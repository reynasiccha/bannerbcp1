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sa Rotación" sheetId="2" state="visible" r:id="rId4"/>
    <sheet name="Proyec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<sst xmlns="http://schemas.openxmlformats.org/spreadsheetml/2006/main" count="269" uniqueCount="67">
  <si>
    <t xml:space="preserve">RESUMEN MENSUAL - CAPACITY VS REAL</t>
  </si>
  <si>
    <t xml:space="preserve">Capacity</t>
  </si>
  <si>
    <t xml:space="preserve">Ene'26</t>
  </si>
  <si>
    <t xml:space="preserve">Feb'26</t>
  </si>
  <si>
    <t xml:space="preserve">Mar'26</t>
  </si>
  <si>
    <t xml:space="preserve">Abr'26</t>
  </si>
  <si>
    <t xml:space="preserve">May'26</t>
  </si>
  <si>
    <t xml:space="preserve">Jun'26</t>
  </si>
  <si>
    <t xml:space="preserve">Jul'26</t>
  </si>
  <si>
    <t xml:space="preserve">Ago'26</t>
  </si>
  <si>
    <t xml:space="preserve">Set'26</t>
  </si>
  <si>
    <t xml:space="preserve">Oct'26</t>
  </si>
  <si>
    <t xml:space="preserve">Llamadas</t>
  </si>
  <si>
    <t xml:space="preserve">Chats</t>
  </si>
  <si>
    <t xml:space="preserve">Inbound</t>
  </si>
  <si>
    <t xml:space="preserve">INI</t>
  </si>
  <si>
    <t xml:space="preserve">Real (cierre)</t>
  </si>
  <si>
    <t xml:space="preserve">Salidas</t>
  </si>
  <si>
    <t xml:space="preserve">R&amp;S</t>
  </si>
  <si>
    <t xml:space="preserve">Ingresos</t>
  </si>
  <si>
    <t xml:space="preserve">Cobertura</t>
  </si>
  <si>
    <t xml:space="preserve">TASA DE ROTACIÓN POR LÍNEA</t>
  </si>
  <si>
    <t xml:space="preserve">Tasa Proyectada = promedio últimos 3 meses (Abr, May, Jun)</t>
  </si>
  <si>
    <t xml:space="preserve">Línea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</si>
  <si>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</si>
  <si>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</si>
  <si>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</si>
  <si>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</si>
  <si>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</si>
  <si>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</si>
  <si>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</si>
  <si>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</si>
  <si>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</si>
  <si>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</si>
  <si>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</si>
  <si>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</si>
  <si>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</si>
  <si>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</si>
  <si>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</si>
  <si>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</si>
  <si>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</si>
  <si>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</si>
  <si>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</si>
  <si>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</si>
  <si>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</si>
  <si>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</si>
  <si>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</si>
  <si>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</si>
  <si>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</si>
  <si>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</si>
  <si>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</si>
  <si>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</si>
  <si>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</si>
  <si>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</si>
  <si>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</si>
  <si>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</si>
  <si>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REDES SOCIALES</t>
  </si>
  <si>
    <t xml:space="preserve">PROYECCIÓN POR LÍNEA - DETALLE (Ene a Oct)</t>
  </si>
  <si>
    <t xml:space="preserve">Lógica: INI = Cierre mes anterior + Ingresos del mes. Cierre = INI - Salidas. Ingresos editables para reflejar transferencias o entradas.</t>
  </si>
  <si>
    <t xml:space="preserve">Tasa</t>
  </si>
  <si>
    <t xml:space="preserve">Ing</t>
  </si>
  <si>
    <t xml:space="preserve">Sal</t>
  </si>
  <si>
    <t xml:space="preserve">Cie</t>
  </si>
  <si>
    <t xml:space="preserve">TOTAL</t>
  </si>
  <si>
    <t xml:space="preserve">LEYENDA</t>
  </si>
  <si>
    <t xml:space="preserve">Datos reales (Ene-Jun, no tocar)</t>
  </si>
  <si>
    <t xml:space="preserve">Ingresos editable (transferencias o ajustes)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</si>
</sst>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8FAADC"/>
        <bgColor rgb="FF969696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2" min="2" style="1" width="1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customFormat="false" ht="15" hidden="false" customHeight="true" outlineLevel="0" collapsed="false">
      <c r="A4" s="5" t="s">
        <v>12</v>
      </c>
      <c r="B4" s="6" t="n">
        <v>856</v>
      </c>
      <c r="C4" s="6" t="n">
        <v>901</v>
      </c>
      <c r="D4" s="6" t="n">
        <v>893</v>
      </c>
      <c r="E4" s="6" t="n">
        <v>858</v>
      </c>
      <c r="F4" s="6" t="n">
        <v>836</v>
      </c>
      <c r="G4" s="6" t="n">
        <v>889</v>
      </c>
      <c r="H4" s="6" t="n">
        <v>851</v>
      </c>
      <c r="I4" s="6" t="n">
        <v>784</v>
      </c>
      <c r="J4" s="6" t="n">
        <v>761</v>
      </c>
      <c r="K4" s="6" t="n">
        <v>732</v>
      </c>
    </row>
    <row r="5" customFormat="false" ht="15" hidden="false" customHeight="true" outlineLevel="0" collapsed="false">
      <c r="A5" s="5" t="s">
        <v>13</v>
      </c>
      <c r="B5" s="6" t="n">
        <v>170</v>
      </c>
      <c r="C5" s="6" t="n">
        <v>160</v>
      </c>
      <c r="D5" s="6" t="n">
        <v>159</v>
      </c>
      <c r="E5" s="6" t="n">
        <v>152</v>
      </c>
      <c r="F5" s="6" t="n">
        <v>171</v>
      </c>
      <c r="G5" s="6" t="n">
        <v>227</v>
      </c>
      <c r="H5" s="6" t="n">
        <v>245</v>
      </c>
      <c r="I5" s="6" t="n">
        <v>242</v>
      </c>
      <c r="J5" s="6" t="n">
        <v>255</v>
      </c>
      <c r="K5" s="6" t="n">
        <v>240</v>
      </c>
    </row>
    <row r="6" customFormat="false" ht="15" hidden="false" customHeight="true" outlineLevel="0" collapsed="false">
      <c r="A6" s="3" t="s">
        <v>14</v>
      </c>
      <c r="B6" s="7" t="n">
        <f aca="false">B4+B5</f>
        <v>1026</v>
      </c>
      <c r="C6" s="7" t="n">
        <f aca="false">C4+C5</f>
        <v>1061</v>
      </c>
      <c r="D6" s="7" t="n">
        <f aca="false">D4+D5</f>
        <v>1052</v>
      </c>
      <c r="E6" s="7" t="n">
        <f aca="false">E4+E5</f>
        <v>1010</v>
      </c>
      <c r="F6" s="7" t="n">
        <f aca="false">F4+F5</f>
        <v>1007</v>
      </c>
      <c r="G6" s="7" t="n">
        <f aca="false">G4+G5</f>
        <v>1116</v>
      </c>
      <c r="H6" s="7" t="n">
        <f aca="false">H4+H5</f>
        <v>1096</v>
      </c>
      <c r="I6" s="7" t="n">
        <f aca="false">I4+I5</f>
        <v>1026</v>
      </c>
      <c r="J6" s="7" t="n">
        <f aca="false">J4+J5</f>
        <v>1016</v>
      </c>
      <c r="K6" s="7" t="n">
        <f aca="false">K4+K5</f>
        <v>972</v>
      </c>
    </row>
    <row r="7" customFormat="false" ht="15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true" outlineLevel="0" collapsed="false">
      <c r="A8" s="3" t="s">
        <v>15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</row>
    <row r="9" customFormat="false" ht="15" hidden="false" customHeight="true" outlineLevel="0" collapsed="false">
      <c r="A9" s="5" t="s">
        <v>12</v>
      </c>
      <c r="B9" s="8" t="n">
        <v>858</v>
      </c>
      <c r="C9" s="8" t="n">
        <v>878</v>
      </c>
      <c r="D9" s="8" t="n">
        <v>875</v>
      </c>
      <c r="E9" s="8" t="n">
        <v>879</v>
      </c>
      <c r="F9" s="8" t="n">
        <v>847</v>
      </c>
      <c r="G9" s="8" t="n">
        <v>837</v>
      </c>
      <c r="H9" s="8" t="n">
        <f aca="false">G14+H29</f>
        <v>855</v>
      </c>
      <c r="I9" s="8" t="n">
        <f aca="false">H14+I29</f>
        <v>862</v>
      </c>
      <c r="J9" s="8" t="n">
        <f aca="false">I14+J29</f>
        <v>863</v>
      </c>
      <c r="K9" s="8" t="n">
        <f aca="false">J14+K29</f>
        <v>865</v>
      </c>
    </row>
    <row r="10" customFormat="false" ht="15" hidden="false" customHeight="true" outlineLevel="0" collapsed="false">
      <c r="A10" s="5" t="s">
        <v>13</v>
      </c>
      <c r="B10" s="8" t="n">
        <v>170</v>
      </c>
      <c r="C10" s="8" t="n">
        <v>160</v>
      </c>
      <c r="D10" s="8" t="n">
        <v>159</v>
      </c>
      <c r="E10" s="8" t="n">
        <v>152</v>
      </c>
      <c r="F10" s="8" t="n">
        <v>159</v>
      </c>
      <c r="G10" s="8" t="n">
        <v>184</v>
      </c>
      <c r="H10" s="8" t="n">
        <f aca="false">G15+H30</f>
        <v>195</v>
      </c>
      <c r="I10" s="8" t="n">
        <f aca="false">H15+I30</f>
        <v>212</v>
      </c>
      <c r="J10" s="8" t="n">
        <f aca="false">I15+J30</f>
        <v>240</v>
      </c>
      <c r="K10" s="8" t="n">
        <f aca="false">J15+K30</f>
        <v>268</v>
      </c>
    </row>
    <row r="11" customFormat="false" ht="15" hidden="false" customHeight="true" outlineLevel="0" collapsed="false">
      <c r="A11" s="3" t="s">
        <v>14</v>
      </c>
      <c r="B11" s="7" t="n">
        <f aca="false">B9+B10</f>
        <v>1028</v>
      </c>
      <c r="C11" s="7" t="n">
        <f aca="false">C9+C10</f>
        <v>1038</v>
      </c>
      <c r="D11" s="7" t="n">
        <f aca="false">D9+D10</f>
        <v>1034</v>
      </c>
      <c r="E11" s="7" t="n">
        <f aca="false">E9+E10</f>
        <v>1031</v>
      </c>
      <c r="F11" s="7" t="n">
        <f aca="false">F9+F10</f>
        <v>1006</v>
      </c>
      <c r="G11" s="7" t="n">
        <f aca="false">G9+G10</f>
        <v>1021</v>
      </c>
      <c r="H11" s="7" t="n">
        <f aca="false">H9+H10</f>
        <v>1050</v>
      </c>
      <c r="I11" s="7" t="n">
        <f aca="false">I9+I10</f>
        <v>1074</v>
      </c>
      <c r="J11" s="7" t="n">
        <f aca="false">J9+J10</f>
        <v>1103</v>
      </c>
      <c r="K11" s="7" t="n">
        <f aca="false">K9+K10</f>
        <v>1133</v>
      </c>
    </row>
    <row r="12" customFormat="false" ht="1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" hidden="false" customHeight="true" outlineLevel="0" collapsed="false">
      <c r="A13" s="3" t="s">
        <v>16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</row>
    <row r="14" customFormat="false" ht="15" hidden="false" customHeight="true" outlineLevel="0" collapsed="false">
      <c r="A14" s="5" t="s">
        <v>12</v>
      </c>
      <c r="B14" s="8" t="n">
        <v>846</v>
      </c>
      <c r="C14" s="8" t="n">
        <v>854</v>
      </c>
      <c r="D14" s="8" t="n">
        <v>865</v>
      </c>
      <c r="E14" s="8" t="n">
        <v>858</v>
      </c>
      <c r="F14" s="8" t="n">
        <v>824</v>
      </c>
      <c r="G14" s="8" t="n">
        <v>832</v>
      </c>
      <c r="H14" s="8" t="n">
        <f aca="false">SUMIF(Proyección!B5:B29,"Llamadas",Proyección!AE5:AE29)</f>
        <v>835</v>
      </c>
      <c r="I14" s="8" t="n">
        <f aca="false">SUMIF(Proyección!B5:B29,"Llamadas",Proyección!AI5:AI29)</f>
        <v>845</v>
      </c>
      <c r="J14" s="8" t="n">
        <f aca="false">SUMIF(Proyección!B5:B29,"Llamadas",Proyección!AM5:AM29)</f>
        <v>847</v>
      </c>
      <c r="K14" s="8" t="n">
        <f aca="false">SUMIF(Proyección!B5:B29,"Llamadas",Proyección!AQ5:AQ29)</f>
        <v>848</v>
      </c>
    </row>
    <row r="15" customFormat="false" ht="15" hidden="false" customHeight="true" outlineLevel="0" collapsed="false">
      <c r="A15" s="5" t="s">
        <v>13</v>
      </c>
      <c r="B15" s="8" t="n">
        <v>162</v>
      </c>
      <c r="C15" s="8" t="n">
        <v>154</v>
      </c>
      <c r="D15" s="8" t="n">
        <v>157</v>
      </c>
      <c r="E15" s="8" t="n">
        <v>145</v>
      </c>
      <c r="F15" s="8" t="n">
        <v>159</v>
      </c>
      <c r="G15" s="8" t="n">
        <v>183</v>
      </c>
      <c r="H15" s="8" t="n">
        <f aca="false">SUMIF(Proyección!B5:B29,"Chats",Proyección!AE5:AE29)</f>
        <v>192</v>
      </c>
      <c r="I15" s="8" t="n">
        <f aca="false">SUMIF(Proyección!B5:B29,"Chats",Proyección!AI5:AI29)</f>
        <v>208</v>
      </c>
      <c r="J15" s="8" t="n">
        <f aca="false">SUMIF(Proyección!B5:B29,"Chats",Proyección!AM5:AM29)</f>
        <v>236</v>
      </c>
      <c r="K15" s="8" t="n">
        <f aca="false">SUMIF(Proyección!B5:B29,"Chats",Proyección!AQ5:AQ29)</f>
        <v>263</v>
      </c>
    </row>
    <row r="16" customFormat="false" ht="15" hidden="false" customHeight="true" outlineLevel="0" collapsed="false">
      <c r="A16" s="3" t="s">
        <v>14</v>
      </c>
      <c r="B16" s="7" t="n">
        <f aca="false">B14+B15</f>
        <v>1008</v>
      </c>
      <c r="C16" s="7" t="n">
        <f aca="false">C14+C15</f>
        <v>1008</v>
      </c>
      <c r="D16" s="7" t="n">
        <f aca="false">D14+D15</f>
        <v>1022</v>
      </c>
      <c r="E16" s="7" t="n">
        <f aca="false">E14+E15</f>
        <v>1003</v>
      </c>
      <c r="F16" s="7" t="n">
        <f aca="false">F14+F15</f>
        <v>983</v>
      </c>
      <c r="G16" s="7" t="n">
        <f aca="false">G14+G15</f>
        <v>1015</v>
      </c>
      <c r="H16" s="7" t="n">
        <f aca="false">H14+H15</f>
        <v>1027</v>
      </c>
      <c r="I16" s="7" t="n">
        <f aca="false">I14+I15</f>
        <v>1053</v>
      </c>
      <c r="J16" s="7" t="n">
        <f aca="false">J14+J15</f>
        <v>1083</v>
      </c>
      <c r="K16" s="7" t="n">
        <f aca="false">K14+K15</f>
        <v>1111</v>
      </c>
    </row>
    <row r="17" customFormat="false" ht="15" hidden="false" customHeight="tru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true" outlineLevel="0" collapsed="false">
      <c r="A18" s="3" t="s">
        <v>17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10</v>
      </c>
      <c r="K18" s="4" t="s">
        <v>11</v>
      </c>
    </row>
    <row r="19" customFormat="false" ht="15" hidden="false" customHeight="true" outlineLevel="0" collapsed="false">
      <c r="A19" s="5" t="s">
        <v>12</v>
      </c>
      <c r="B19" s="8" t="n">
        <f aca="false">SUMIF(Proyección!B5:B29,"Llamadas",Proyección!F5:F29)</f>
        <v>-12</v>
      </c>
      <c r="C19" s="8" t="n">
        <f aca="false">SUMIF(Proyección!B5:B29,"Llamadas",Proyección!J5:J29)</f>
        <v>-24</v>
      </c>
      <c r="D19" s="8" t="n">
        <f aca="false">SUMIF(Proyección!B5:B29,"Llamadas",Proyección!N5:N29)</f>
        <v>-10</v>
      </c>
      <c r="E19" s="8" t="n">
        <f aca="false">SUMIF(Proyección!B5:B29,"Llamadas",Proyección!R5:R29)</f>
        <v>-21</v>
      </c>
      <c r="F19" s="8" t="n">
        <f aca="false">SUMIF(Proyección!B5:B29,"Llamadas",Proyección!V5:V29)</f>
        <v>-23</v>
      </c>
      <c r="G19" s="8" t="n">
        <f aca="false">SUMIF(Proyección!B5:B29,"Llamadas",Proyección!Z5:Z29)</f>
        <v>-5</v>
      </c>
      <c r="H19" s="8" t="n">
        <f aca="false">SUMIF(Proyección!B5:B29,"Llamadas",Proyección!AD5:AD29)</f>
        <v>-16</v>
      </c>
      <c r="I19" s="8" t="n">
        <f aca="false">SUMIF(Proyección!B5:B29,"Llamadas",Proyección!AH5:AH29)</f>
        <v>-17</v>
      </c>
      <c r="J19" s="8" t="n">
        <f aca="false">SUMIF(Proyección!B5:B29,"Llamadas",Proyección!AL5:AL29)</f>
        <v>-16</v>
      </c>
      <c r="K19" s="8" t="n">
        <f aca="false">SUMIF(Proyección!B5:B29,"Llamadas",Proyección!AP5:AP29)</f>
        <v>-17</v>
      </c>
    </row>
    <row r="20" customFormat="false" ht="15" hidden="false" customHeight="true" outlineLevel="0" collapsed="false">
      <c r="A20" s="5" t="s">
        <v>13</v>
      </c>
      <c r="B20" s="8" t="n">
        <f aca="false">SUMIF(Proyección!B5:B29,"Chats",Proyección!F5:F29)</f>
        <v>-8</v>
      </c>
      <c r="C20" s="8" t="n">
        <f aca="false">SUMIF(Proyección!B5:B29,"Chats",Proyección!J5:J29)</f>
        <v>-6</v>
      </c>
      <c r="D20" s="8" t="n">
        <f aca="false">SUMIF(Proyección!B5:B29,"Chats",Proyección!N5:N29)</f>
        <v>-2</v>
      </c>
      <c r="E20" s="8" t="n">
        <f aca="false">SUMIF(Proyección!B5:B29,"Chats",Proyección!R5:R29)</f>
        <v>-7</v>
      </c>
      <c r="F20" s="8" t="n">
        <f aca="false">SUMIF(Proyección!B5:B29,"Chats",Proyección!V5:V29)</f>
        <v>0</v>
      </c>
      <c r="G20" s="8" t="n">
        <f aca="false">SUMIF(Proyección!B5:B29,"Chats",Proyección!Z5:Z29)</f>
        <v>-1</v>
      </c>
      <c r="H20" s="8" t="n">
        <f aca="false">SUMIF(Proyección!B5:B29,"Chats",Proyección!AD5:AD29)</f>
        <v>-3</v>
      </c>
      <c r="I20" s="8" t="n">
        <f aca="false">SUMIF(Proyección!B5:B29,"Chats",Proyección!AH5:AH29)</f>
        <v>-4</v>
      </c>
      <c r="J20" s="8" t="n">
        <f aca="false">SUMIF(Proyección!B5:B29,"Chats",Proyección!AL5:AL29)</f>
        <v>-4</v>
      </c>
      <c r="K20" s="8" t="n">
        <f aca="false">SUMIF(Proyección!B5:B29,"Chats",Proyección!AP5:AP29)</f>
        <v>-5</v>
      </c>
    </row>
    <row r="21" customFormat="false" ht="15" hidden="false" customHeight="true" outlineLevel="0" collapsed="false">
      <c r="A21" s="3" t="s">
        <v>14</v>
      </c>
      <c r="B21" s="7" t="n">
        <f aca="false">B19+B20</f>
        <v>-20</v>
      </c>
      <c r="C21" s="7" t="n">
        <f aca="false">C19+C20</f>
        <v>-30</v>
      </c>
      <c r="D21" s="7" t="n">
        <f aca="false">D19+D20</f>
        <v>-12</v>
      </c>
      <c r="E21" s="7" t="n">
        <f aca="false">E19+E20</f>
        <v>-28</v>
      </c>
      <c r="F21" s="7" t="n">
        <f aca="false">F19+F20</f>
        <v>-23</v>
      </c>
      <c r="G21" s="7" t="n">
        <f aca="false">G19+G20</f>
        <v>-6</v>
      </c>
      <c r="H21" s="7" t="n">
        <f aca="false">H19+H20</f>
        <v>-19</v>
      </c>
      <c r="I21" s="7" t="n">
        <f aca="false">I19+I20</f>
        <v>-21</v>
      </c>
      <c r="J21" s="7" t="n">
        <f aca="false">J19+J20</f>
        <v>-20</v>
      </c>
      <c r="K21" s="7" t="n">
        <f aca="false">K19+K20</f>
        <v>-22</v>
      </c>
    </row>
    <row r="22" customFormat="false" ht="15" hidden="false" customHeight="tru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true" outlineLevel="0" collapsed="false">
      <c r="A23" s="3" t="s">
        <v>18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J23" s="4" t="s">
        <v>10</v>
      </c>
      <c r="K23" s="4" t="s">
        <v>11</v>
      </c>
    </row>
    <row r="24" customFormat="false" ht="15" hidden="false" customHeight="true" outlineLevel="0" collapsed="false">
      <c r="A24" s="5" t="s">
        <v>12</v>
      </c>
      <c r="B24" s="8" t="n">
        <v>44</v>
      </c>
      <c r="C24" s="8" t="n">
        <v>48</v>
      </c>
      <c r="D24" s="8" t="n">
        <v>33</v>
      </c>
      <c r="E24" s="8" t="n">
        <v>23</v>
      </c>
      <c r="F24" s="8" t="n">
        <v>25</v>
      </c>
      <c r="G24" s="8" t="n">
        <v>30</v>
      </c>
      <c r="H24" s="9" t="n">
        <v>20</v>
      </c>
      <c r="I24" s="9" t="n">
        <v>20</v>
      </c>
      <c r="J24" s="9" t="n">
        <v>20</v>
      </c>
      <c r="K24" s="9" t="n">
        <v>20</v>
      </c>
    </row>
    <row r="25" customFormat="false" ht="15" hidden="false" customHeight="true" outlineLevel="0" collapsed="false">
      <c r="A25" s="5" t="s">
        <v>13</v>
      </c>
      <c r="B25" s="8" t="n">
        <v>11</v>
      </c>
      <c r="C25" s="8" t="n">
        <v>0</v>
      </c>
      <c r="D25" s="8" t="n">
        <v>16</v>
      </c>
      <c r="E25" s="8" t="n">
        <v>30</v>
      </c>
      <c r="F25" s="8" t="n">
        <v>13</v>
      </c>
      <c r="G25" s="8" t="n">
        <v>22</v>
      </c>
      <c r="H25" s="9" t="n">
        <v>35</v>
      </c>
      <c r="I25" s="9" t="n">
        <v>35</v>
      </c>
      <c r="J25" s="9" t="n">
        <v>35</v>
      </c>
      <c r="K25" s="9" t="n">
        <v>35</v>
      </c>
    </row>
    <row r="26" customFormat="false" ht="15" hidden="false" customHeight="true" outlineLevel="0" collapsed="false">
      <c r="A26" s="3" t="s">
        <v>14</v>
      </c>
      <c r="B26" s="7" t="n">
        <f aca="false">B24+B25</f>
        <v>55</v>
      </c>
      <c r="C26" s="7" t="n">
        <f aca="false">C24+C25</f>
        <v>48</v>
      </c>
      <c r="D26" s="7" t="n">
        <f aca="false">D24+D25</f>
        <v>49</v>
      </c>
      <c r="E26" s="7" t="n">
        <f aca="false">E24+E25</f>
        <v>53</v>
      </c>
      <c r="F26" s="7" t="n">
        <f aca="false">F24+F25</f>
        <v>38</v>
      </c>
      <c r="G26" s="7" t="n">
        <f aca="false">G24+G25</f>
        <v>52</v>
      </c>
      <c r="H26" s="7" t="n">
        <f aca="false">H24+H25</f>
        <v>55</v>
      </c>
      <c r="I26" s="7" t="n">
        <f aca="false">I24+I25</f>
        <v>55</v>
      </c>
      <c r="J26" s="7" t="n">
        <f aca="false">J24+J25</f>
        <v>55</v>
      </c>
      <c r="K26" s="7" t="n">
        <f aca="false">K24+K25</f>
        <v>55</v>
      </c>
    </row>
    <row r="27" customFormat="false" ht="15" hidden="false" customHeight="tru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true" outlineLevel="0" collapsed="false">
      <c r="A28" s="3" t="s">
        <v>19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</row>
    <row r="29" customFormat="false" ht="15" hidden="false" customHeight="true" outlineLevel="0" collapsed="false">
      <c r="A29" s="5" t="s">
        <v>12</v>
      </c>
      <c r="B29" s="8" t="n">
        <v>36</v>
      </c>
      <c r="C29" s="8" t="n">
        <v>32</v>
      </c>
      <c r="D29" s="8" t="n">
        <v>40</v>
      </c>
      <c r="E29" s="8" t="n">
        <v>43</v>
      </c>
      <c r="F29" s="8" t="n">
        <v>30</v>
      </c>
      <c r="G29" s="8" t="n">
        <v>19</v>
      </c>
      <c r="H29" s="8" t="n">
        <f aca="false">ROUND(F24*0.9,0)</f>
        <v>23</v>
      </c>
      <c r="I29" s="8" t="n">
        <f aca="false">ROUND(G24*0.9,0)</f>
        <v>27</v>
      </c>
      <c r="J29" s="8" t="n">
        <f aca="false">ROUND(H24*0.9,0)</f>
        <v>18</v>
      </c>
      <c r="K29" s="8" t="n">
        <f aca="false">ROUND(I24*0.9,0)</f>
        <v>18</v>
      </c>
    </row>
    <row r="30" customFormat="false" ht="15" hidden="false" customHeight="true" outlineLevel="0" collapsed="false">
      <c r="A30" s="5" t="s">
        <v>13</v>
      </c>
      <c r="B30" s="8" t="n">
        <v>0</v>
      </c>
      <c r="C30" s="8" t="n">
        <v>0</v>
      </c>
      <c r="D30" s="8" t="n">
        <v>10</v>
      </c>
      <c r="E30" s="8" t="n">
        <v>0</v>
      </c>
      <c r="F30" s="8" t="n">
        <v>14</v>
      </c>
      <c r="G30" s="8" t="n">
        <v>30</v>
      </c>
      <c r="H30" s="8" t="n">
        <f aca="false">ROUND(F25*0.9,0)</f>
        <v>12</v>
      </c>
      <c r="I30" s="8" t="n">
        <f aca="false">ROUND(G25*0.9,0)</f>
        <v>20</v>
      </c>
      <c r="J30" s="8" t="n">
        <f aca="false">ROUND(H25*0.9,0)</f>
        <v>32</v>
      </c>
      <c r="K30" s="8" t="n">
        <f aca="false">ROUND(I25*0.9,0)</f>
        <v>32</v>
      </c>
    </row>
    <row r="31" customFormat="false" ht="15" hidden="false" customHeight="true" outlineLevel="0" collapsed="false">
      <c r="A31" s="3" t="s">
        <v>14</v>
      </c>
      <c r="B31" s="7" t="n">
        <f aca="false">B29+B30</f>
        <v>36</v>
      </c>
      <c r="C31" s="7" t="n">
        <f aca="false">C29+C30</f>
        <v>32</v>
      </c>
      <c r="D31" s="7" t="n">
        <f aca="false">D29+D30</f>
        <v>50</v>
      </c>
      <c r="E31" s="7" t="n">
        <f aca="false">E29+E30</f>
        <v>43</v>
      </c>
      <c r="F31" s="7" t="n">
        <f aca="false">F29+F30</f>
        <v>44</v>
      </c>
      <c r="G31" s="7" t="n">
        <f aca="false">G29+G30</f>
        <v>49</v>
      </c>
      <c r="H31" s="7" t="n">
        <f aca="false">H29+H30</f>
        <v>35</v>
      </c>
      <c r="I31" s="7" t="n">
        <f aca="false">I29+I30</f>
        <v>47</v>
      </c>
      <c r="J31" s="7" t="n">
        <f aca="false">J29+J30</f>
        <v>50</v>
      </c>
      <c r="K31" s="7" t="n">
        <f aca="false">K29+K30</f>
        <v>50</v>
      </c>
    </row>
    <row r="32" customFormat="false" ht="15" hidden="false" customHeight="tru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true" outlineLevel="0" collapsed="false">
      <c r="A33" s="3" t="s">
        <v>20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 t="s">
        <v>11</v>
      </c>
    </row>
    <row r="34" customFormat="false" ht="15" hidden="false" customHeight="true" outlineLevel="0" collapsed="false">
      <c r="A34" s="5" t="s">
        <v>12</v>
      </c>
      <c r="B34" s="10" t="n">
        <f aca="false">B14/B4</f>
        <v>0.988317757009346</v>
      </c>
      <c r="C34" s="10" t="n">
        <f aca="false">C14/C4</f>
        <v>0.947835738068812</v>
      </c>
      <c r="D34" s="10" t="n">
        <f aca="false">D14/D4</f>
        <v>0.968645016797312</v>
      </c>
      <c r="E34" s="10" t="n">
        <f aca="false">E14/E4</f>
        <v>1</v>
      </c>
      <c r="F34" s="10" t="n">
        <f aca="false">F14/F4</f>
        <v>0.985645933014354</v>
      </c>
      <c r="G34" s="10" t="n">
        <f aca="false">G14/G4</f>
        <v>0.935883014623172</v>
      </c>
      <c r="H34" s="10" t="n">
        <f aca="false">H14/H4</f>
        <v>0.981198589894242</v>
      </c>
      <c r="I34" s="10" t="n">
        <f aca="false">I14/I4</f>
        <v>1.07780612244898</v>
      </c>
      <c r="J34" s="10" t="n">
        <f aca="false">J14/J4</f>
        <v>1.11300919842313</v>
      </c>
      <c r="K34" s="10" t="n">
        <f aca="false">K14/K4</f>
        <v>1.15846994535519</v>
      </c>
    </row>
    <row r="35" customFormat="false" ht="15" hidden="false" customHeight="true" outlineLevel="0" collapsed="false">
      <c r="A35" s="5" t="s">
        <v>13</v>
      </c>
      <c r="B35" s="10" t="n">
        <f aca="false">B15/B5</f>
        <v>0.952941176470588</v>
      </c>
      <c r="C35" s="10" t="n">
        <f aca="false">C15/C5</f>
        <v>0.9625</v>
      </c>
      <c r="D35" s="10" t="n">
        <f aca="false">D15/D5</f>
        <v>0.987421383647799</v>
      </c>
      <c r="E35" s="10" t="n">
        <f aca="false">E15/E5</f>
        <v>0.953947368421053</v>
      </c>
      <c r="F35" s="10" t="n">
        <f aca="false">F15/F5</f>
        <v>0.929824561403509</v>
      </c>
      <c r="G35" s="10" t="n">
        <f aca="false">G15/G5</f>
        <v>0.806167400881057</v>
      </c>
      <c r="H35" s="10" t="n">
        <f aca="false">H15/H5</f>
        <v>0.783673469387755</v>
      </c>
      <c r="I35" s="10" t="n">
        <f aca="false">I15/I5</f>
        <v>0.859504132231405</v>
      </c>
      <c r="J35" s="10" t="n">
        <f aca="false">J15/J5</f>
        <v>0.925490196078431</v>
      </c>
      <c r="K35" s="10" t="n">
        <f aca="false">K15/K5</f>
        <v>1.09583333333333</v>
      </c>
    </row>
    <row r="36" customFormat="false" ht="15" hidden="false" customHeight="true" outlineLevel="0" collapsed="false">
      <c r="A36" s="3" t="s">
        <v>14</v>
      </c>
      <c r="B36" s="10" t="n">
        <f aca="false">B16/B6</f>
        <v>0.982456140350877</v>
      </c>
      <c r="C36" s="10" t="n">
        <f aca="false">C16/C6</f>
        <v>0.95004712535344</v>
      </c>
      <c r="D36" s="10" t="n">
        <f aca="false">D16/D6</f>
        <v>0.97148288973384</v>
      </c>
      <c r="E36" s="10" t="n">
        <f aca="false">E16/E6</f>
        <v>0.993069306930693</v>
      </c>
      <c r="F36" s="10" t="n">
        <f aca="false">F16/F6</f>
        <v>0.976166832174777</v>
      </c>
      <c r="G36" s="10" t="n">
        <f aca="false">G16/G6</f>
        <v>0.909498207885305</v>
      </c>
      <c r="H36" s="10" t="n">
        <f aca="false">H16/H6</f>
        <v>0.937043795620438</v>
      </c>
      <c r="I36" s="10" t="n">
        <f aca="false">I16/I6</f>
        <v>1.02631578947368</v>
      </c>
      <c r="J36" s="10" t="n">
        <f aca="false">J16/J6</f>
        <v>1.06594488188976</v>
      </c>
      <c r="K36" s="10" t="n">
        <f aca="false">K16/K6</f>
        <v>1.14300411522634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8" min="3" style="1" width="9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11" t="s">
        <v>21</v>
      </c>
    </row>
    <row r="2" customFormat="false" ht="15" hidden="false" customHeight="true" outlineLevel="0" collapsed="false">
      <c r="A2" s="12" t="s">
        <v>22</v>
      </c>
    </row>
    <row r="3" customFormat="false" ht="15" hidden="false" customHeight="true" outlineLevel="0" collapsed="false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  <c r="I3" s="13" t="s">
        <v>31</v>
      </c>
    </row>
    <row r="4" customFormat="false" ht="15" hidden="false" customHeight="true" outlineLevel="0" collapsed="false">
      <c r="A4" s="5" t="s">
        <v>32</v>
      </c>
      <c r="B4" s="5" t="s">
        <v>12</v>
      </c>
      <c r="C4" s="14" t="n">
        <v>0.0136986301369863</v>
      </c>
      <c r="D4" s="14" t="n">
        <v>0.0369127516778524</v>
      </c>
      <c r="E4" s="14" t="n">
        <v>0.00735294117647059</v>
      </c>
      <c r="F4" s="14" t="n">
        <v>0.0464285714285714</v>
      </c>
      <c r="G4" s="14" t="n">
        <v>0.0383275261324042</v>
      </c>
      <c r="H4" s="14" t="n">
        <v>0.00333333333333333</v>
      </c>
      <c r="I4" s="15" t="n">
        <f aca="false">AVERAGE(F4:H4)</f>
        <v>0.0293631436314363</v>
      </c>
    </row>
    <row r="5" customFormat="false" ht="15" hidden="false" customHeight="true" outlineLevel="0" collapsed="false">
      <c r="A5" s="5" t="s">
        <v>33</v>
      </c>
      <c r="B5" s="5" t="s">
        <v>12</v>
      </c>
      <c r="C5" s="14" t="n">
        <v>0</v>
      </c>
      <c r="D5" s="14" t="n">
        <v>0</v>
      </c>
      <c r="E5" s="14" t="n">
        <v>0</v>
      </c>
      <c r="F5" s="14" t="n">
        <v>0.0454545454545455</v>
      </c>
      <c r="G5" s="14" t="n">
        <v>0.0476190476190476</v>
      </c>
      <c r="H5" s="14" t="n">
        <v>0</v>
      </c>
      <c r="I5" s="15" t="n">
        <f aca="false">AVERAGE(F5:H5)</f>
        <v>0.031024531024531</v>
      </c>
    </row>
    <row r="6" customFormat="false" ht="15" hidden="false" customHeight="true" outlineLevel="0" collapsed="false">
      <c r="A6" s="5" t="s">
        <v>34</v>
      </c>
      <c r="B6" s="5" t="s">
        <v>12</v>
      </c>
      <c r="C6" s="14" t="n">
        <v>0</v>
      </c>
      <c r="D6" s="14" t="n">
        <v>0.0757575757575758</v>
      </c>
      <c r="E6" s="14" t="n">
        <v>0.0125</v>
      </c>
      <c r="F6" s="14" t="n">
        <v>0.0147058823529412</v>
      </c>
      <c r="G6" s="14" t="n">
        <v>0.0806451612903226</v>
      </c>
      <c r="H6" s="14" t="n">
        <v>0</v>
      </c>
      <c r="I6" s="15" t="n">
        <f aca="false">AVERAGE(F6:H6)</f>
        <v>0.0317836812144213</v>
      </c>
    </row>
    <row r="7" customFormat="false" ht="15" hidden="false" customHeight="true" outlineLevel="0" collapsed="false">
      <c r="A7" s="5" t="s">
        <v>35</v>
      </c>
      <c r="B7" s="5" t="s">
        <v>12</v>
      </c>
      <c r="C7" s="14" t="n">
        <v>0.0882352941176471</v>
      </c>
      <c r="D7" s="14" t="n">
        <v>0.0810810810810811</v>
      </c>
      <c r="E7" s="14" t="n">
        <v>0.133333333333333</v>
      </c>
      <c r="F7" s="14" t="n">
        <v>0.0714285714285714</v>
      </c>
      <c r="G7" s="14" t="n">
        <v>0.103448275862069</v>
      </c>
      <c r="H7" s="14" t="n">
        <v>0.0625</v>
      </c>
      <c r="I7" s="15" t="n">
        <f aca="false">AVERAGE(F7:H7)</f>
        <v>0.0791256157635468</v>
      </c>
    </row>
    <row r="8" customFormat="false" ht="15" hidden="false" customHeight="true" outlineLevel="0" collapsed="false">
      <c r="A8" s="5" t="s">
        <v>36</v>
      </c>
      <c r="B8" s="5" t="s">
        <v>12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0.25</v>
      </c>
      <c r="H8" s="14" t="n">
        <v>0</v>
      </c>
      <c r="I8" s="15" t="n">
        <f aca="false">AVERAGE(F8:H8)</f>
        <v>0.0833333333333333</v>
      </c>
    </row>
    <row r="9" customFormat="false" ht="15" hidden="false" customHeight="true" outlineLevel="0" collapsed="false">
      <c r="A9" s="5" t="s">
        <v>37</v>
      </c>
      <c r="B9" s="5" t="s">
        <v>12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5" t="n">
        <f aca="false">AVERAGE(F9:H9)</f>
        <v>0</v>
      </c>
    </row>
    <row r="10" customFormat="false" ht="15" hidden="false" customHeight="true" outlineLevel="0" collapsed="false">
      <c r="A10" s="5" t="s">
        <v>38</v>
      </c>
      <c r="B10" s="5" t="s">
        <v>12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5" t="n">
        <f aca="false">AVERAGE(F10:H10)</f>
        <v>0</v>
      </c>
    </row>
    <row r="11" customFormat="false" ht="15" hidden="false" customHeight="true" outlineLevel="0" collapsed="false">
      <c r="A11" s="5" t="s">
        <v>39</v>
      </c>
      <c r="B11" s="5" t="s">
        <v>12</v>
      </c>
      <c r="C11" s="14" t="n">
        <v>0</v>
      </c>
      <c r="D11" s="14" t="n">
        <v>0.04</v>
      </c>
      <c r="E11" s="14" t="n">
        <v>0.075</v>
      </c>
      <c r="F11" s="14" t="n">
        <v>0</v>
      </c>
      <c r="G11" s="14" t="n">
        <v>0</v>
      </c>
      <c r="H11" s="14" t="n">
        <v>0.05</v>
      </c>
      <c r="I11" s="15" t="n">
        <f aca="false">AVERAGE(F11:H11)</f>
        <v>0.0166666666666667</v>
      </c>
    </row>
    <row r="12" customFormat="false" ht="15" hidden="false" customHeight="true" outlineLevel="0" collapsed="false">
      <c r="A12" s="5" t="s">
        <v>40</v>
      </c>
      <c r="B12" s="5" t="s">
        <v>12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5" t="n">
        <f aca="false">AVERAGE(F12:H12)</f>
        <v>0</v>
      </c>
    </row>
    <row r="13" customFormat="false" ht="15" hidden="false" customHeight="true" outlineLevel="0" collapsed="false">
      <c r="A13" s="5" t="s">
        <v>41</v>
      </c>
      <c r="B13" s="5" t="s">
        <v>12</v>
      </c>
      <c r="C13" s="14" t="n">
        <v>0.0114942528735632</v>
      </c>
      <c r="D13" s="14" t="n">
        <v>0</v>
      </c>
      <c r="E13" s="14" t="n">
        <v>0</v>
      </c>
      <c r="F13" s="14" t="n">
        <v>0.0188679245283019</v>
      </c>
      <c r="G13" s="14" t="n">
        <v>0</v>
      </c>
      <c r="H13" s="14" t="n">
        <v>0</v>
      </c>
      <c r="I13" s="15" t="n">
        <f aca="false">AVERAGE(F13:H13)</f>
        <v>0.00628930817610063</v>
      </c>
    </row>
    <row r="14" customFormat="false" ht="15" hidden="false" customHeight="true" outlineLevel="0" collapsed="false">
      <c r="A14" s="5" t="s">
        <v>42</v>
      </c>
      <c r="B14" s="5" t="s">
        <v>12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5" t="n">
        <f aca="false">AVERAGE(F14:H14)</f>
        <v>0</v>
      </c>
    </row>
    <row r="15" customFormat="false" ht="15" hidden="false" customHeight="true" outlineLevel="0" collapsed="false">
      <c r="A15" s="5" t="s">
        <v>43</v>
      </c>
      <c r="B15" s="5" t="s">
        <v>12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5" t="n">
        <f aca="false">AVERAGE(F15:H15)</f>
        <v>0</v>
      </c>
    </row>
    <row r="16" customFormat="false" ht="15" hidden="false" customHeight="true" outlineLevel="0" collapsed="false">
      <c r="A16" s="5" t="s">
        <v>44</v>
      </c>
      <c r="B16" s="5" t="s">
        <v>12</v>
      </c>
      <c r="C16" s="14" t="n">
        <v>0</v>
      </c>
      <c r="D16" s="14" t="n">
        <v>0.0487804878048781</v>
      </c>
      <c r="E16" s="14" t="n">
        <v>0</v>
      </c>
      <c r="F16" s="14" t="n">
        <v>0</v>
      </c>
      <c r="G16" s="14" t="n">
        <v>0</v>
      </c>
      <c r="H16" s="14" t="n">
        <v>0</v>
      </c>
      <c r="I16" s="15" t="n">
        <f aca="false">AVERAGE(F16:H16)</f>
        <v>0</v>
      </c>
    </row>
    <row r="17" customFormat="false" ht="15" hidden="false" customHeight="true" outlineLevel="0" collapsed="false">
      <c r="A17" s="5" t="s">
        <v>45</v>
      </c>
      <c r="B17" s="5" t="s">
        <v>12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5" t="n">
        <f aca="false">AVERAGE(F17:H17)</f>
        <v>0</v>
      </c>
    </row>
    <row r="18" customFormat="false" ht="15" hidden="false" customHeight="true" outlineLevel="0" collapsed="false">
      <c r="A18" s="5" t="s">
        <v>46</v>
      </c>
      <c r="B18" s="5" t="s">
        <v>12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5" t="n">
        <f aca="false">AVERAGE(F18:H18)</f>
        <v>0</v>
      </c>
    </row>
    <row r="19" customFormat="false" ht="15" hidden="false" customHeight="true" outlineLevel="0" collapsed="false">
      <c r="A19" s="5" t="s">
        <v>47</v>
      </c>
      <c r="B19" s="5" t="s">
        <v>12</v>
      </c>
      <c r="C19" s="14" t="n">
        <v>0</v>
      </c>
      <c r="D19" s="14" t="n">
        <v>0.0294117647058824</v>
      </c>
      <c r="E19" s="14" t="n">
        <v>0</v>
      </c>
      <c r="F19" s="14" t="n">
        <v>0</v>
      </c>
      <c r="G19" s="14" t="n">
        <v>0</v>
      </c>
      <c r="H19" s="14" t="n">
        <v>0</v>
      </c>
      <c r="I19" s="15" t="n">
        <f aca="false">AVERAGE(F19:H19)</f>
        <v>0</v>
      </c>
    </row>
    <row r="20" customFormat="false" ht="15" hidden="false" customHeight="true" outlineLevel="0" collapsed="false">
      <c r="A20" s="5" t="s">
        <v>48</v>
      </c>
      <c r="B20" s="5" t="s">
        <v>12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5" t="n">
        <f aca="false">AVERAGE(F20:H20)</f>
        <v>0</v>
      </c>
    </row>
    <row r="21" customFormat="false" ht="15" hidden="false" customHeight="true" outlineLevel="0" collapsed="false">
      <c r="A21" s="5" t="s">
        <v>49</v>
      </c>
      <c r="B21" s="5" t="s">
        <v>12</v>
      </c>
      <c r="C21" s="14" t="n">
        <v>0</v>
      </c>
      <c r="D21" s="14" t="n">
        <v>0</v>
      </c>
      <c r="E21" s="14" t="n">
        <v>0</v>
      </c>
      <c r="F21" s="14" t="n">
        <v>0.0434782608695652</v>
      </c>
      <c r="G21" s="14" t="n">
        <v>0</v>
      </c>
      <c r="H21" s="14" t="n">
        <v>0</v>
      </c>
      <c r="I21" s="15" t="n">
        <f aca="false">AVERAGE(F21:H21)</f>
        <v>0.0144927536231884</v>
      </c>
    </row>
    <row r="22" customFormat="false" ht="15" hidden="false" customHeight="true" outlineLevel="0" collapsed="false">
      <c r="A22" s="5" t="s">
        <v>50</v>
      </c>
      <c r="B22" s="5" t="s">
        <v>12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5" t="n">
        <f aca="false">AVERAGE(F22:H22)</f>
        <v>0</v>
      </c>
    </row>
    <row r="23" customFormat="false" ht="15" hidden="false" customHeight="true" outlineLevel="0" collapsed="false">
      <c r="A23" s="5" t="s">
        <v>51</v>
      </c>
      <c r="B23" s="5" t="s">
        <v>12</v>
      </c>
      <c r="C23" s="14" t="n">
        <v>0.0909090909090909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0.1</v>
      </c>
      <c r="I23" s="15" t="n">
        <f aca="false">AVERAGE(F23:H23)</f>
        <v>0.0333333333333333</v>
      </c>
    </row>
    <row r="24" customFormat="false" ht="15" hidden="false" customHeight="true" outlineLevel="0" collapsed="false">
      <c r="A24" s="5" t="s">
        <v>52</v>
      </c>
      <c r="B24" s="5" t="s">
        <v>12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5" t="n">
        <f aca="false">AVERAGE(F24:H24)</f>
        <v>0</v>
      </c>
    </row>
    <row r="25" customFormat="false" ht="15" hidden="false" customHeight="true" outlineLevel="0" collapsed="false">
      <c r="A25" s="5" t="s">
        <v>53</v>
      </c>
      <c r="B25" s="5" t="s">
        <v>12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5" t="n">
        <f aca="false">AVERAGE(F25:H25)</f>
        <v>0</v>
      </c>
    </row>
    <row r="26" customFormat="false" ht="15" hidden="false" customHeight="true" outlineLevel="0" collapsed="false">
      <c r="A26" s="5" t="s">
        <v>54</v>
      </c>
      <c r="B26" s="5" t="s">
        <v>12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5" t="n">
        <f aca="false">AVERAGE(F26:H26)</f>
        <v>0</v>
      </c>
    </row>
    <row r="27" customFormat="false" ht="15" hidden="false" customHeight="true" outlineLevel="0" collapsed="false">
      <c r="A27" s="5" t="s">
        <v>55</v>
      </c>
      <c r="B27" s="5" t="s">
        <v>13</v>
      </c>
      <c r="C27" s="14" t="n">
        <v>0.0451612903225806</v>
      </c>
      <c r="D27" s="14" t="n">
        <v>0.0408163265306122</v>
      </c>
      <c r="E27" s="14" t="n">
        <v>0.0136054421768708</v>
      </c>
      <c r="F27" s="14" t="n">
        <v>0.049645390070922</v>
      </c>
      <c r="G27" s="14" t="n">
        <v>0</v>
      </c>
      <c r="H27" s="14" t="n">
        <v>0.00584795321637427</v>
      </c>
      <c r="I27" s="15" t="n">
        <f aca="false">AVERAGE(F27:H27)</f>
        <v>0.0184977810957654</v>
      </c>
    </row>
    <row r="28" customFormat="false" ht="15" hidden="false" customHeight="true" outlineLevel="0" collapsed="false">
      <c r="A28" s="5" t="s">
        <v>56</v>
      </c>
      <c r="B28" s="5" t="s">
        <v>13</v>
      </c>
      <c r="C28" s="14" t="n">
        <v>0.0666666666666667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5" t="n">
        <f aca="false">AVERAGE(F28:H28)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9"/>
    <col collapsed="false" customWidth="true" hidden="false" outlineLevel="0" max="43" min="3" style="1" width="6"/>
  </cols>
  <sheetData>
    <row r="1" customFormat="false" ht="17.25" hidden="false" customHeight="true" outlineLevel="0" collapsed="false">
      <c r="A1" s="11" t="s">
        <v>57</v>
      </c>
    </row>
    <row r="2" customFormat="false" ht="15" hidden="false" customHeight="true" outlineLevel="0" collapsed="false">
      <c r="A2" s="16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customFormat="false" ht="15" hidden="false" customHeight="true" outlineLevel="0" collapsed="false">
      <c r="D3" s="17" t="s">
        <v>2</v>
      </c>
      <c r="E3" s="17"/>
      <c r="F3" s="17"/>
      <c r="G3" s="17"/>
      <c r="H3" s="17" t="s">
        <v>3</v>
      </c>
      <c r="I3" s="17"/>
      <c r="J3" s="17"/>
      <c r="K3" s="17"/>
      <c r="L3" s="17" t="s">
        <v>4</v>
      </c>
      <c r="M3" s="17"/>
      <c r="N3" s="17"/>
      <c r="O3" s="17"/>
      <c r="P3" s="17" t="s">
        <v>5</v>
      </c>
      <c r="Q3" s="17"/>
      <c r="R3" s="17"/>
      <c r="S3" s="17"/>
      <c r="T3" s="17" t="s">
        <v>6</v>
      </c>
      <c r="U3" s="17"/>
      <c r="V3" s="17"/>
      <c r="W3" s="17"/>
      <c r="X3" s="17" t="s">
        <v>7</v>
      </c>
      <c r="Y3" s="17"/>
      <c r="Z3" s="17"/>
      <c r="AA3" s="17"/>
      <c r="AB3" s="18" t="s">
        <v>8</v>
      </c>
      <c r="AC3" s="18"/>
      <c r="AD3" s="18"/>
      <c r="AE3" s="18"/>
      <c r="AF3" s="18" t="s">
        <v>9</v>
      </c>
      <c r="AG3" s="18"/>
      <c r="AH3" s="18"/>
      <c r="AI3" s="18"/>
      <c r="AJ3" s="18" t="s">
        <v>10</v>
      </c>
      <c r="AK3" s="18"/>
      <c r="AL3" s="18"/>
      <c r="AM3" s="18"/>
      <c r="AN3" s="18" t="s">
        <v>11</v>
      </c>
      <c r="AO3" s="18"/>
      <c r="AP3" s="18"/>
      <c r="AQ3" s="18"/>
    </row>
    <row r="4" customFormat="false" ht="15" hidden="false" customHeight="true" outlineLevel="0" collapsed="false">
      <c r="A4" s="13" t="s">
        <v>23</v>
      </c>
      <c r="B4" s="13" t="s">
        <v>24</v>
      </c>
      <c r="C4" s="13" t="s">
        <v>59</v>
      </c>
      <c r="D4" s="19" t="s">
        <v>15</v>
      </c>
      <c r="E4" s="19" t="s">
        <v>60</v>
      </c>
      <c r="F4" s="19" t="s">
        <v>61</v>
      </c>
      <c r="G4" s="19" t="s">
        <v>62</v>
      </c>
      <c r="H4" s="19" t="s">
        <v>15</v>
      </c>
      <c r="I4" s="19" t="s">
        <v>60</v>
      </c>
      <c r="J4" s="19" t="s">
        <v>61</v>
      </c>
      <c r="K4" s="19" t="s">
        <v>62</v>
      </c>
      <c r="L4" s="19" t="s">
        <v>15</v>
      </c>
      <c r="M4" s="19" t="s">
        <v>60</v>
      </c>
      <c r="N4" s="19" t="s">
        <v>61</v>
      </c>
      <c r="O4" s="19" t="s">
        <v>62</v>
      </c>
      <c r="P4" s="19" t="s">
        <v>15</v>
      </c>
      <c r="Q4" s="19" t="s">
        <v>60</v>
      </c>
      <c r="R4" s="19" t="s">
        <v>61</v>
      </c>
      <c r="S4" s="19" t="s">
        <v>62</v>
      </c>
      <c r="T4" s="19" t="s">
        <v>15</v>
      </c>
      <c r="U4" s="19" t="s">
        <v>60</v>
      </c>
      <c r="V4" s="19" t="s">
        <v>61</v>
      </c>
      <c r="W4" s="19" t="s">
        <v>62</v>
      </c>
      <c r="X4" s="19" t="s">
        <v>15</v>
      </c>
      <c r="Y4" s="19" t="s">
        <v>60</v>
      </c>
      <c r="Z4" s="19" t="s">
        <v>61</v>
      </c>
      <c r="AA4" s="19" t="s">
        <v>62</v>
      </c>
      <c r="AB4" s="19" t="s">
        <v>15</v>
      </c>
      <c r="AC4" s="19" t="s">
        <v>60</v>
      </c>
      <c r="AD4" s="19" t="s">
        <v>61</v>
      </c>
      <c r="AE4" s="19" t="s">
        <v>62</v>
      </c>
      <c r="AF4" s="19" t="s">
        <v>15</v>
      </c>
      <c r="AG4" s="19" t="s">
        <v>60</v>
      </c>
      <c r="AH4" s="19" t="s">
        <v>61</v>
      </c>
      <c r="AI4" s="19" t="s">
        <v>62</v>
      </c>
      <c r="AJ4" s="19" t="s">
        <v>15</v>
      </c>
      <c r="AK4" s="19" t="s">
        <v>60</v>
      </c>
      <c r="AL4" s="19" t="s">
        <v>61</v>
      </c>
      <c r="AM4" s="19" t="s">
        <v>62</v>
      </c>
      <c r="AN4" s="19" t="s">
        <v>15</v>
      </c>
      <c r="AO4" s="19" t="s">
        <v>60</v>
      </c>
      <c r="AP4" s="19" t="s">
        <v>61</v>
      </c>
      <c r="AQ4" s="19" t="s">
        <v>62</v>
      </c>
    </row>
    <row r="5" customFormat="false" ht="15" hidden="false" customHeight="true" outlineLevel="0" collapsed="false">
      <c r="A5" s="20" t="s">
        <v>32</v>
      </c>
      <c r="B5" s="20" t="s">
        <v>12</v>
      </c>
      <c r="C5" s="21" t="n">
        <f aca="false">'Tasa Rotación'!I4</f>
        <v>0.0293631436314363</v>
      </c>
      <c r="D5" s="22" t="n">
        <v>292</v>
      </c>
      <c r="E5" s="22" t="n">
        <v>0</v>
      </c>
      <c r="F5" s="22" t="n">
        <v>-4</v>
      </c>
      <c r="G5" s="23" t="n">
        <v>288</v>
      </c>
      <c r="H5" s="22" t="n">
        <v>298</v>
      </c>
      <c r="I5" s="22" t="n">
        <v>0</v>
      </c>
      <c r="J5" s="22" t="n">
        <v>-11</v>
      </c>
      <c r="K5" s="23" t="n">
        <v>287</v>
      </c>
      <c r="L5" s="22" t="n">
        <v>272</v>
      </c>
      <c r="M5" s="22" t="n">
        <v>0</v>
      </c>
      <c r="N5" s="22" t="n">
        <v>-2</v>
      </c>
      <c r="O5" s="23" t="n">
        <v>270</v>
      </c>
      <c r="P5" s="22" t="n">
        <v>280</v>
      </c>
      <c r="Q5" s="22" t="n">
        <v>0</v>
      </c>
      <c r="R5" s="22" t="n">
        <v>-13</v>
      </c>
      <c r="S5" s="23" t="n">
        <v>267</v>
      </c>
      <c r="T5" s="22" t="n">
        <v>287</v>
      </c>
      <c r="U5" s="22" t="n">
        <v>0</v>
      </c>
      <c r="V5" s="22" t="n">
        <v>-11</v>
      </c>
      <c r="W5" s="23" t="n">
        <v>276</v>
      </c>
      <c r="X5" s="22" t="n">
        <v>300</v>
      </c>
      <c r="Y5" s="22" t="n">
        <v>0</v>
      </c>
      <c r="Z5" s="22" t="n">
        <v>-1</v>
      </c>
      <c r="AA5" s="23" t="n">
        <v>299</v>
      </c>
      <c r="AB5" s="24" t="n">
        <f aca="false">AA5+AC5</f>
        <v>299</v>
      </c>
      <c r="AC5" s="25" t="n">
        <v>0</v>
      </c>
      <c r="AD5" s="24" t="n">
        <f aca="false">-ROUND(AB5*C5,0)</f>
        <v>-9</v>
      </c>
      <c r="AE5" s="26" t="n">
        <f aca="false">AB5+AD5</f>
        <v>290</v>
      </c>
      <c r="AF5" s="24" t="n">
        <f aca="false">AE5+AG5</f>
        <v>290</v>
      </c>
      <c r="AG5" s="25" t="n">
        <v>0</v>
      </c>
      <c r="AH5" s="24" t="n">
        <f aca="false">-ROUND(AF5*C5,0)</f>
        <v>-9</v>
      </c>
      <c r="AI5" s="26" t="n">
        <f aca="false">AF5+AH5</f>
        <v>281</v>
      </c>
      <c r="AJ5" s="24" t="n">
        <f aca="false">AI5+AK5</f>
        <v>281</v>
      </c>
      <c r="AK5" s="25" t="n">
        <v>0</v>
      </c>
      <c r="AL5" s="24" t="n">
        <f aca="false">-ROUND(AJ5*C5,0)</f>
        <v>-8</v>
      </c>
      <c r="AM5" s="26" t="n">
        <f aca="false">AJ5+AL5</f>
        <v>273</v>
      </c>
      <c r="AN5" s="24" t="n">
        <f aca="false">AM5+AO5</f>
        <v>273</v>
      </c>
      <c r="AO5" s="25" t="n">
        <v>0</v>
      </c>
      <c r="AP5" s="24" t="n">
        <f aca="false">-ROUND(AN5*C5,0)</f>
        <v>-8</v>
      </c>
      <c r="AQ5" s="26" t="n">
        <f aca="false">AN5+AP5</f>
        <v>265</v>
      </c>
    </row>
    <row r="6" customFormat="false" ht="15" hidden="false" customHeight="true" outlineLevel="0" collapsed="false">
      <c r="A6" s="20" t="s">
        <v>33</v>
      </c>
      <c r="B6" s="20" t="s">
        <v>12</v>
      </c>
      <c r="C6" s="21" t="n">
        <f aca="false">'Tasa Rotación'!I5</f>
        <v>0.031024531024531</v>
      </c>
      <c r="D6" s="22" t="n">
        <v>21</v>
      </c>
      <c r="E6" s="22" t="n">
        <v>0</v>
      </c>
      <c r="F6" s="22" t="n">
        <v>0</v>
      </c>
      <c r="G6" s="23" t="n">
        <v>21</v>
      </c>
      <c r="H6" s="22" t="n">
        <v>21</v>
      </c>
      <c r="I6" s="22" t="n">
        <v>0</v>
      </c>
      <c r="J6" s="22" t="n">
        <v>0</v>
      </c>
      <c r="K6" s="23" t="n">
        <v>21</v>
      </c>
      <c r="L6" s="22" t="n">
        <v>22</v>
      </c>
      <c r="M6" s="22" t="n">
        <v>0</v>
      </c>
      <c r="N6" s="22" t="n">
        <v>0</v>
      </c>
      <c r="O6" s="23" t="n">
        <v>22</v>
      </c>
      <c r="P6" s="22" t="n">
        <v>22</v>
      </c>
      <c r="Q6" s="22" t="n">
        <v>0</v>
      </c>
      <c r="R6" s="22" t="n">
        <v>-1</v>
      </c>
      <c r="S6" s="23" t="n">
        <v>21</v>
      </c>
      <c r="T6" s="22" t="n">
        <v>21</v>
      </c>
      <c r="U6" s="22" t="n">
        <v>0</v>
      </c>
      <c r="V6" s="22" t="n">
        <v>-1</v>
      </c>
      <c r="W6" s="23" t="n">
        <v>20</v>
      </c>
      <c r="X6" s="22" t="n">
        <v>21</v>
      </c>
      <c r="Y6" s="22" t="n">
        <v>0</v>
      </c>
      <c r="Z6" s="22" t="n">
        <v>0</v>
      </c>
      <c r="AA6" s="23" t="n">
        <v>21</v>
      </c>
      <c r="AB6" s="24" t="n">
        <f aca="false">AA6+AC6</f>
        <v>21</v>
      </c>
      <c r="AC6" s="25" t="n">
        <v>0</v>
      </c>
      <c r="AD6" s="24" t="n">
        <f aca="false">-ROUND(AB6*C6,0)</f>
        <v>-1</v>
      </c>
      <c r="AE6" s="26" t="n">
        <f aca="false">AB6+AD6</f>
        <v>20</v>
      </c>
      <c r="AF6" s="24" t="n">
        <f aca="false">AE6+AG6</f>
        <v>20</v>
      </c>
      <c r="AG6" s="25" t="n">
        <v>0</v>
      </c>
      <c r="AH6" s="24" t="n">
        <f aca="false">-ROUND(AF6*C6,0)</f>
        <v>-1</v>
      </c>
      <c r="AI6" s="26" t="n">
        <f aca="false">AF6+AH6</f>
        <v>19</v>
      </c>
      <c r="AJ6" s="24" t="n">
        <f aca="false">AI6+AK6</f>
        <v>19</v>
      </c>
      <c r="AK6" s="25" t="n">
        <v>0</v>
      </c>
      <c r="AL6" s="24" t="n">
        <f aca="false">-ROUND(AJ6*C6,0)</f>
        <v>-1</v>
      </c>
      <c r="AM6" s="26" t="n">
        <f aca="false">AJ6+AL6</f>
        <v>18</v>
      </c>
      <c r="AN6" s="24" t="n">
        <f aca="false">AM6+AO6</f>
        <v>18</v>
      </c>
      <c r="AO6" s="25" t="n">
        <v>0</v>
      </c>
      <c r="AP6" s="24" t="n">
        <f aca="false">-ROUND(AN6*C6,0)</f>
        <v>-1</v>
      </c>
      <c r="AQ6" s="26" t="n">
        <f aca="false">AN6+AP6</f>
        <v>17</v>
      </c>
    </row>
    <row r="7" customFormat="false" ht="15" hidden="false" customHeight="true" outlineLevel="0" collapsed="false">
      <c r="A7" s="20" t="s">
        <v>34</v>
      </c>
      <c r="B7" s="20" t="s">
        <v>12</v>
      </c>
      <c r="C7" s="21" t="n">
        <f aca="false">'Tasa Rotación'!I6</f>
        <v>0.0317836812144213</v>
      </c>
      <c r="D7" s="22" t="n">
        <v>50</v>
      </c>
      <c r="E7" s="22" t="n">
        <v>0</v>
      </c>
      <c r="F7" s="22" t="n">
        <v>0</v>
      </c>
      <c r="G7" s="23" t="n">
        <v>50</v>
      </c>
      <c r="H7" s="22" t="n">
        <v>66</v>
      </c>
      <c r="I7" s="22" t="n">
        <v>0</v>
      </c>
      <c r="J7" s="22" t="n">
        <v>-5</v>
      </c>
      <c r="K7" s="23" t="n">
        <v>61</v>
      </c>
      <c r="L7" s="22" t="n">
        <v>80</v>
      </c>
      <c r="M7" s="22" t="n">
        <v>0</v>
      </c>
      <c r="N7" s="22" t="n">
        <v>-1</v>
      </c>
      <c r="O7" s="23" t="n">
        <v>79</v>
      </c>
      <c r="P7" s="22" t="n">
        <v>68</v>
      </c>
      <c r="Q7" s="22" t="n">
        <v>0</v>
      </c>
      <c r="R7" s="22" t="n">
        <v>-1</v>
      </c>
      <c r="S7" s="23" t="n">
        <v>67</v>
      </c>
      <c r="T7" s="22" t="n">
        <v>62</v>
      </c>
      <c r="U7" s="22" t="n">
        <v>0</v>
      </c>
      <c r="V7" s="22" t="n">
        <v>-5</v>
      </c>
      <c r="W7" s="23" t="n">
        <v>57</v>
      </c>
      <c r="X7" s="22" t="n">
        <v>43</v>
      </c>
      <c r="Y7" s="22" t="n">
        <v>0</v>
      </c>
      <c r="Z7" s="22" t="n">
        <v>0</v>
      </c>
      <c r="AA7" s="23" t="n">
        <v>43</v>
      </c>
      <c r="AB7" s="24" t="n">
        <f aca="false">AA7+AC7</f>
        <v>66</v>
      </c>
      <c r="AC7" s="27" t="n">
        <f aca="false">Resumen!H29</f>
        <v>23</v>
      </c>
      <c r="AD7" s="24" t="n">
        <f aca="false">-ROUND(AB7*C7,0)</f>
        <v>-2</v>
      </c>
      <c r="AE7" s="26" t="n">
        <f aca="false">AB7+AD7</f>
        <v>64</v>
      </c>
      <c r="AF7" s="24" t="n">
        <f aca="false">AE7+AG7</f>
        <v>91</v>
      </c>
      <c r="AG7" s="27" t="n">
        <f aca="false">Resumen!I29</f>
        <v>27</v>
      </c>
      <c r="AH7" s="24" t="n">
        <f aca="false">-ROUND(AF7*C7,0)</f>
        <v>-3</v>
      </c>
      <c r="AI7" s="26" t="n">
        <f aca="false">AF7+AH7</f>
        <v>88</v>
      </c>
      <c r="AJ7" s="24" t="n">
        <f aca="false">AI7+AK7</f>
        <v>106</v>
      </c>
      <c r="AK7" s="27" t="n">
        <f aca="false">Resumen!J29</f>
        <v>18</v>
      </c>
      <c r="AL7" s="24" t="n">
        <f aca="false">-ROUND(AJ7*C7,0)</f>
        <v>-3</v>
      </c>
      <c r="AM7" s="26" t="n">
        <f aca="false">AJ7+AL7</f>
        <v>103</v>
      </c>
      <c r="AN7" s="24" t="n">
        <f aca="false">AM7+AO7</f>
        <v>121</v>
      </c>
      <c r="AO7" s="27" t="n">
        <f aca="false">Resumen!K29</f>
        <v>18</v>
      </c>
      <c r="AP7" s="24" t="n">
        <f aca="false">-ROUND(AN7*C7,0)</f>
        <v>-4</v>
      </c>
      <c r="AQ7" s="26" t="n">
        <f aca="false">AN7+AP7</f>
        <v>117</v>
      </c>
    </row>
    <row r="8" customFormat="false" ht="15" hidden="false" customHeight="true" outlineLevel="0" collapsed="false">
      <c r="A8" s="20" t="s">
        <v>35</v>
      </c>
      <c r="B8" s="20" t="s">
        <v>12</v>
      </c>
      <c r="C8" s="21" t="n">
        <f aca="false">'Tasa Rotación'!I7</f>
        <v>0.0791256157635468</v>
      </c>
      <c r="D8" s="22" t="n">
        <v>68</v>
      </c>
      <c r="E8" s="22" t="n">
        <v>0</v>
      </c>
      <c r="F8" s="22" t="n">
        <v>-6</v>
      </c>
      <c r="G8" s="23" t="n">
        <v>62</v>
      </c>
      <c r="H8" s="22" t="n">
        <v>37</v>
      </c>
      <c r="I8" s="22" t="n">
        <v>0</v>
      </c>
      <c r="J8" s="22" t="n">
        <v>-3</v>
      </c>
      <c r="K8" s="23" t="n">
        <v>34</v>
      </c>
      <c r="L8" s="22" t="n">
        <v>30</v>
      </c>
      <c r="M8" s="22" t="n">
        <v>0</v>
      </c>
      <c r="N8" s="22" t="n">
        <v>-4</v>
      </c>
      <c r="O8" s="23" t="n">
        <v>26</v>
      </c>
      <c r="P8" s="22" t="n">
        <v>42</v>
      </c>
      <c r="Q8" s="22" t="n">
        <v>0</v>
      </c>
      <c r="R8" s="22" t="n">
        <v>-3</v>
      </c>
      <c r="S8" s="23" t="n">
        <v>39</v>
      </c>
      <c r="T8" s="22" t="n">
        <v>29</v>
      </c>
      <c r="U8" s="22" t="n">
        <v>0</v>
      </c>
      <c r="V8" s="22" t="n">
        <v>-3</v>
      </c>
      <c r="W8" s="23" t="n">
        <v>26</v>
      </c>
      <c r="X8" s="22" t="n">
        <v>32</v>
      </c>
      <c r="Y8" s="22" t="n">
        <v>0</v>
      </c>
      <c r="Z8" s="22" t="n">
        <v>-2</v>
      </c>
      <c r="AA8" s="23" t="n">
        <v>30</v>
      </c>
      <c r="AB8" s="24" t="n">
        <f aca="false">AA8+AC8</f>
        <v>30</v>
      </c>
      <c r="AC8" s="25" t="n">
        <v>0</v>
      </c>
      <c r="AD8" s="24" t="n">
        <f aca="false">-ROUND(AB8*C8,0)</f>
        <v>-2</v>
      </c>
      <c r="AE8" s="26" t="n">
        <f aca="false">AB8+AD8</f>
        <v>28</v>
      </c>
      <c r="AF8" s="24" t="n">
        <f aca="false">AE8+AG8</f>
        <v>28</v>
      </c>
      <c r="AG8" s="25" t="n">
        <v>0</v>
      </c>
      <c r="AH8" s="24" t="n">
        <f aca="false">-ROUND(AF8*C8,0)</f>
        <v>-2</v>
      </c>
      <c r="AI8" s="26" t="n">
        <f aca="false">AF8+AH8</f>
        <v>26</v>
      </c>
      <c r="AJ8" s="24" t="n">
        <f aca="false">AI8+AK8</f>
        <v>26</v>
      </c>
      <c r="AK8" s="25" t="n">
        <v>0</v>
      </c>
      <c r="AL8" s="24" t="n">
        <f aca="false">-ROUND(AJ8*C8,0)</f>
        <v>-2</v>
      </c>
      <c r="AM8" s="26" t="n">
        <f aca="false">AJ8+AL8</f>
        <v>24</v>
      </c>
      <c r="AN8" s="24" t="n">
        <f aca="false">AM8+AO8</f>
        <v>24</v>
      </c>
      <c r="AO8" s="25" t="n">
        <v>0</v>
      </c>
      <c r="AP8" s="24" t="n">
        <f aca="false">-ROUND(AN8*C8,0)</f>
        <v>-2</v>
      </c>
      <c r="AQ8" s="26" t="n">
        <f aca="false">AN8+AP8</f>
        <v>22</v>
      </c>
    </row>
    <row r="9" customFormat="false" ht="15" hidden="false" customHeight="true" outlineLevel="0" collapsed="false">
      <c r="A9" s="20" t="s">
        <v>36</v>
      </c>
      <c r="B9" s="20" t="s">
        <v>12</v>
      </c>
      <c r="C9" s="21" t="n">
        <f aca="false">'Tasa Rotación'!I8</f>
        <v>0.0833333333333333</v>
      </c>
      <c r="D9" s="22" t="n">
        <v>2</v>
      </c>
      <c r="E9" s="22" t="n">
        <v>0</v>
      </c>
      <c r="F9" s="22" t="n">
        <v>0</v>
      </c>
      <c r="G9" s="23" t="n">
        <v>2</v>
      </c>
      <c r="H9" s="22" t="n">
        <v>2</v>
      </c>
      <c r="I9" s="22" t="n">
        <v>0</v>
      </c>
      <c r="J9" s="22" t="n">
        <v>0</v>
      </c>
      <c r="K9" s="23" t="n">
        <v>2</v>
      </c>
      <c r="L9" s="22" t="n">
        <v>12</v>
      </c>
      <c r="M9" s="22" t="n">
        <v>0</v>
      </c>
      <c r="N9" s="22" t="n">
        <v>0</v>
      </c>
      <c r="O9" s="23" t="n">
        <v>12</v>
      </c>
      <c r="P9" s="22" t="n">
        <v>12</v>
      </c>
      <c r="Q9" s="22" t="n">
        <v>0</v>
      </c>
      <c r="R9" s="22" t="n">
        <v>0</v>
      </c>
      <c r="S9" s="23" t="n">
        <v>12</v>
      </c>
      <c r="T9" s="22" t="n">
        <v>12</v>
      </c>
      <c r="U9" s="22" t="n">
        <v>0</v>
      </c>
      <c r="V9" s="22" t="n">
        <v>-3</v>
      </c>
      <c r="W9" s="23" t="n">
        <v>9</v>
      </c>
      <c r="X9" s="22" t="n">
        <v>0</v>
      </c>
      <c r="Y9" s="22" t="n">
        <v>0</v>
      </c>
      <c r="Z9" s="22" t="n">
        <v>0</v>
      </c>
      <c r="AA9" s="23" t="n">
        <v>0</v>
      </c>
      <c r="AB9" s="24" t="n">
        <f aca="false">AA9+AC9</f>
        <v>0</v>
      </c>
      <c r="AC9" s="25" t="n">
        <v>0</v>
      </c>
      <c r="AD9" s="24" t="n">
        <f aca="false">-ROUND(AB9*C9,0)</f>
        <v>-0</v>
      </c>
      <c r="AE9" s="26" t="n">
        <f aca="false">AB9+AD9</f>
        <v>0</v>
      </c>
      <c r="AF9" s="24" t="n">
        <f aca="false">AE9+AG9</f>
        <v>0</v>
      </c>
      <c r="AG9" s="25" t="n">
        <v>0</v>
      </c>
      <c r="AH9" s="24" t="n">
        <f aca="false">-ROUND(AF9*C9,0)</f>
        <v>-0</v>
      </c>
      <c r="AI9" s="26" t="n">
        <f aca="false">AF9+AH9</f>
        <v>0</v>
      </c>
      <c r="AJ9" s="24" t="n">
        <f aca="false">AI9+AK9</f>
        <v>0</v>
      </c>
      <c r="AK9" s="25" t="n">
        <v>0</v>
      </c>
      <c r="AL9" s="24" t="n">
        <f aca="false">-ROUND(AJ9*C9,0)</f>
        <v>-0</v>
      </c>
      <c r="AM9" s="26" t="n">
        <f aca="false">AJ9+AL9</f>
        <v>0</v>
      </c>
      <c r="AN9" s="24" t="n">
        <f aca="false">AM9+AO9</f>
        <v>0</v>
      </c>
      <c r="AO9" s="25" t="n">
        <v>0</v>
      </c>
      <c r="AP9" s="24" t="n">
        <f aca="false">-ROUND(AN9*C9,0)</f>
        <v>-0</v>
      </c>
      <c r="AQ9" s="26" t="n">
        <f aca="false">AN9+AP9</f>
        <v>0</v>
      </c>
    </row>
    <row r="10" customFormat="false" ht="15" hidden="false" customHeight="true" outlineLevel="0" collapsed="false">
      <c r="A10" s="20" t="s">
        <v>37</v>
      </c>
      <c r="B10" s="20" t="s">
        <v>12</v>
      </c>
      <c r="C10" s="21" t="n">
        <f aca="false">'Tasa Rotación'!I9</f>
        <v>0</v>
      </c>
      <c r="D10" s="22" t="n">
        <v>35</v>
      </c>
      <c r="E10" s="22" t="n">
        <v>0</v>
      </c>
      <c r="F10" s="22" t="n">
        <v>0</v>
      </c>
      <c r="G10" s="23" t="n">
        <v>35</v>
      </c>
      <c r="H10" s="22" t="n">
        <v>38</v>
      </c>
      <c r="I10" s="22" t="n">
        <v>0</v>
      </c>
      <c r="J10" s="22" t="n">
        <v>0</v>
      </c>
      <c r="K10" s="23" t="n">
        <v>38</v>
      </c>
      <c r="L10" s="22" t="n">
        <v>38</v>
      </c>
      <c r="M10" s="22" t="n">
        <v>0</v>
      </c>
      <c r="N10" s="22" t="n">
        <v>0</v>
      </c>
      <c r="O10" s="23" t="n">
        <v>38</v>
      </c>
      <c r="P10" s="22" t="n">
        <v>38</v>
      </c>
      <c r="Q10" s="22" t="n">
        <v>0</v>
      </c>
      <c r="R10" s="22" t="n">
        <v>0</v>
      </c>
      <c r="S10" s="23" t="n">
        <v>38</v>
      </c>
      <c r="T10" s="22" t="n">
        <v>38</v>
      </c>
      <c r="U10" s="22" t="n">
        <v>0</v>
      </c>
      <c r="V10" s="22" t="n">
        <v>0</v>
      </c>
      <c r="W10" s="23" t="n">
        <v>38</v>
      </c>
      <c r="X10" s="22" t="n">
        <v>38</v>
      </c>
      <c r="Y10" s="22" t="n">
        <v>0</v>
      </c>
      <c r="Z10" s="22" t="n">
        <v>0</v>
      </c>
      <c r="AA10" s="23" t="n">
        <v>38</v>
      </c>
      <c r="AB10" s="24" t="n">
        <f aca="false">AA10+AC10</f>
        <v>38</v>
      </c>
      <c r="AC10" s="25" t="n">
        <v>0</v>
      </c>
      <c r="AD10" s="24" t="n">
        <f aca="false">-ROUND(AB10*C10,0)</f>
        <v>-0</v>
      </c>
      <c r="AE10" s="26" t="n">
        <f aca="false">AB10+AD10</f>
        <v>38</v>
      </c>
      <c r="AF10" s="24" t="n">
        <f aca="false">AE10+AG10</f>
        <v>38</v>
      </c>
      <c r="AG10" s="25" t="n">
        <v>0</v>
      </c>
      <c r="AH10" s="24" t="n">
        <f aca="false">-ROUND(AF10*C10,0)</f>
        <v>-0</v>
      </c>
      <c r="AI10" s="26" t="n">
        <f aca="false">AF10+AH10</f>
        <v>38</v>
      </c>
      <c r="AJ10" s="24" t="n">
        <f aca="false">AI10+AK10</f>
        <v>38</v>
      </c>
      <c r="AK10" s="25" t="n">
        <v>0</v>
      </c>
      <c r="AL10" s="24" t="n">
        <f aca="false">-ROUND(AJ10*C10,0)</f>
        <v>-0</v>
      </c>
      <c r="AM10" s="26" t="n">
        <f aca="false">AJ10+AL10</f>
        <v>38</v>
      </c>
      <c r="AN10" s="24" t="n">
        <f aca="false">AM10+AO10</f>
        <v>38</v>
      </c>
      <c r="AO10" s="25" t="n">
        <v>0</v>
      </c>
      <c r="AP10" s="24" t="n">
        <f aca="false">-ROUND(AN10*C10,0)</f>
        <v>-0</v>
      </c>
      <c r="AQ10" s="26" t="n">
        <f aca="false">AN10+AP10</f>
        <v>38</v>
      </c>
    </row>
    <row r="11" customFormat="false" ht="15" hidden="false" customHeight="true" outlineLevel="0" collapsed="false">
      <c r="A11" s="20" t="s">
        <v>38</v>
      </c>
      <c r="B11" s="20" t="s">
        <v>12</v>
      </c>
      <c r="C11" s="21" t="n">
        <f aca="false">'Tasa Rotación'!I10</f>
        <v>0</v>
      </c>
      <c r="D11" s="22" t="n">
        <v>22</v>
      </c>
      <c r="E11" s="22" t="n">
        <v>0</v>
      </c>
      <c r="F11" s="22" t="n">
        <v>0</v>
      </c>
      <c r="G11" s="23" t="n">
        <v>22</v>
      </c>
      <c r="H11" s="22" t="n">
        <v>20</v>
      </c>
      <c r="I11" s="22" t="n">
        <v>0</v>
      </c>
      <c r="J11" s="22" t="n">
        <v>0</v>
      </c>
      <c r="K11" s="23" t="n">
        <v>20</v>
      </c>
      <c r="L11" s="22" t="n">
        <v>20</v>
      </c>
      <c r="M11" s="22" t="n">
        <v>0</v>
      </c>
      <c r="N11" s="22" t="n">
        <v>0</v>
      </c>
      <c r="O11" s="23" t="n">
        <v>20</v>
      </c>
      <c r="P11" s="22" t="n">
        <v>19</v>
      </c>
      <c r="Q11" s="22" t="n">
        <v>0</v>
      </c>
      <c r="R11" s="22" t="n">
        <v>0</v>
      </c>
      <c r="S11" s="23" t="n">
        <v>19</v>
      </c>
      <c r="T11" s="22" t="n">
        <v>20</v>
      </c>
      <c r="U11" s="22" t="n">
        <v>0</v>
      </c>
      <c r="V11" s="22" t="n">
        <v>0</v>
      </c>
      <c r="W11" s="23" t="n">
        <v>20</v>
      </c>
      <c r="X11" s="22" t="n">
        <v>20</v>
      </c>
      <c r="Y11" s="22" t="n">
        <v>0</v>
      </c>
      <c r="Z11" s="22" t="n">
        <v>0</v>
      </c>
      <c r="AA11" s="23" t="n">
        <v>20</v>
      </c>
      <c r="AB11" s="24" t="n">
        <f aca="false">AA11+AC11</f>
        <v>20</v>
      </c>
      <c r="AC11" s="25" t="n">
        <v>0</v>
      </c>
      <c r="AD11" s="24" t="n">
        <f aca="false">-ROUND(AB11*C11,0)</f>
        <v>-0</v>
      </c>
      <c r="AE11" s="26" t="n">
        <f aca="false">AB11+AD11</f>
        <v>20</v>
      </c>
      <c r="AF11" s="24" t="n">
        <f aca="false">AE11+AG11</f>
        <v>20</v>
      </c>
      <c r="AG11" s="25" t="n">
        <v>0</v>
      </c>
      <c r="AH11" s="24" t="n">
        <f aca="false">-ROUND(AF11*C11,0)</f>
        <v>-0</v>
      </c>
      <c r="AI11" s="26" t="n">
        <f aca="false">AF11+AH11</f>
        <v>20</v>
      </c>
      <c r="AJ11" s="24" t="n">
        <f aca="false">AI11+AK11</f>
        <v>20</v>
      </c>
      <c r="AK11" s="25" t="n">
        <v>0</v>
      </c>
      <c r="AL11" s="24" t="n">
        <f aca="false">-ROUND(AJ11*C11,0)</f>
        <v>-0</v>
      </c>
      <c r="AM11" s="26" t="n">
        <f aca="false">AJ11+AL11</f>
        <v>20</v>
      </c>
      <c r="AN11" s="24" t="n">
        <f aca="false">AM11+AO11</f>
        <v>20</v>
      </c>
      <c r="AO11" s="25" t="n">
        <v>0</v>
      </c>
      <c r="AP11" s="24" t="n">
        <f aca="false">-ROUND(AN11*C11,0)</f>
        <v>-0</v>
      </c>
      <c r="AQ11" s="26" t="n">
        <f aca="false">AN11+AP11</f>
        <v>20</v>
      </c>
    </row>
    <row r="12" customFormat="false" ht="15" hidden="false" customHeight="true" outlineLevel="0" collapsed="false">
      <c r="A12" s="20" t="s">
        <v>39</v>
      </c>
      <c r="B12" s="20" t="s">
        <v>12</v>
      </c>
      <c r="C12" s="21" t="n">
        <f aca="false">'Tasa Rotación'!I11</f>
        <v>0.0166666666666667</v>
      </c>
      <c r="D12" s="22" t="n">
        <v>35</v>
      </c>
      <c r="E12" s="22" t="n">
        <v>0</v>
      </c>
      <c r="F12" s="22" t="n">
        <v>0</v>
      </c>
      <c r="G12" s="23" t="n">
        <v>35</v>
      </c>
      <c r="H12" s="22" t="n">
        <v>50</v>
      </c>
      <c r="I12" s="22" t="n">
        <v>0</v>
      </c>
      <c r="J12" s="22" t="n">
        <v>-2</v>
      </c>
      <c r="K12" s="23" t="n">
        <v>48</v>
      </c>
      <c r="L12" s="22" t="n">
        <v>40</v>
      </c>
      <c r="M12" s="22" t="n">
        <v>0</v>
      </c>
      <c r="N12" s="22" t="n">
        <v>-3</v>
      </c>
      <c r="O12" s="23" t="n">
        <v>37</v>
      </c>
      <c r="P12" s="22" t="n">
        <v>39</v>
      </c>
      <c r="Q12" s="22" t="n">
        <v>0</v>
      </c>
      <c r="R12" s="22" t="n">
        <v>0</v>
      </c>
      <c r="S12" s="23" t="n">
        <v>39</v>
      </c>
      <c r="T12" s="22" t="n">
        <v>37</v>
      </c>
      <c r="U12" s="22" t="n">
        <v>0</v>
      </c>
      <c r="V12" s="22" t="n">
        <v>0</v>
      </c>
      <c r="W12" s="23" t="n">
        <v>37</v>
      </c>
      <c r="X12" s="22" t="n">
        <v>40</v>
      </c>
      <c r="Y12" s="22" t="n">
        <v>0</v>
      </c>
      <c r="Z12" s="22" t="n">
        <v>-2</v>
      </c>
      <c r="AA12" s="23" t="n">
        <v>38</v>
      </c>
      <c r="AB12" s="24" t="n">
        <f aca="false">AA12+AC12</f>
        <v>40</v>
      </c>
      <c r="AC12" s="25" t="n">
        <v>2</v>
      </c>
      <c r="AD12" s="24" t="n">
        <f aca="false">-ROUND(AB12*C12,0)</f>
        <v>-1</v>
      </c>
      <c r="AE12" s="26" t="n">
        <f aca="false">AB12+AD12</f>
        <v>39</v>
      </c>
      <c r="AF12" s="24" t="n">
        <f aca="false">AE12+AG12</f>
        <v>39</v>
      </c>
      <c r="AG12" s="25" t="n">
        <v>0</v>
      </c>
      <c r="AH12" s="24" t="n">
        <f aca="false">-ROUND(AF12*C12,0)</f>
        <v>-1</v>
      </c>
      <c r="AI12" s="26" t="n">
        <f aca="false">AF12+AH12</f>
        <v>38</v>
      </c>
      <c r="AJ12" s="24" t="n">
        <f aca="false">AI12+AK12</f>
        <v>38</v>
      </c>
      <c r="AK12" s="25" t="n">
        <v>0</v>
      </c>
      <c r="AL12" s="24" t="n">
        <f aca="false">-ROUND(AJ12*C12,0)</f>
        <v>-1</v>
      </c>
      <c r="AM12" s="26" t="n">
        <f aca="false">AJ12+AL12</f>
        <v>37</v>
      </c>
      <c r="AN12" s="24" t="n">
        <f aca="false">AM12+AO12</f>
        <v>37</v>
      </c>
      <c r="AO12" s="25" t="n">
        <v>0</v>
      </c>
      <c r="AP12" s="24" t="n">
        <f aca="false">-ROUND(AN12*C12,0)</f>
        <v>-1</v>
      </c>
      <c r="AQ12" s="26" t="n">
        <f aca="false">AN12+AP12</f>
        <v>36</v>
      </c>
    </row>
    <row r="13" customFormat="false" ht="15" hidden="false" customHeight="true" outlineLevel="0" collapsed="false">
      <c r="A13" s="20" t="s">
        <v>40</v>
      </c>
      <c r="B13" s="20" t="s">
        <v>12</v>
      </c>
      <c r="C13" s="21" t="n">
        <f aca="false">'Tasa Rotación'!I12</f>
        <v>0</v>
      </c>
      <c r="D13" s="22" t="n">
        <v>17</v>
      </c>
      <c r="E13" s="22" t="n">
        <v>0</v>
      </c>
      <c r="F13" s="22" t="n">
        <v>0</v>
      </c>
      <c r="G13" s="23" t="n">
        <v>17</v>
      </c>
      <c r="H13" s="22" t="n">
        <v>17</v>
      </c>
      <c r="I13" s="22" t="n">
        <v>0</v>
      </c>
      <c r="J13" s="22" t="n">
        <v>0</v>
      </c>
      <c r="K13" s="23" t="n">
        <v>17</v>
      </c>
      <c r="L13" s="22" t="n">
        <v>18</v>
      </c>
      <c r="M13" s="22" t="n">
        <v>0</v>
      </c>
      <c r="N13" s="22" t="n">
        <v>0</v>
      </c>
      <c r="O13" s="23" t="n">
        <v>18</v>
      </c>
      <c r="P13" s="22" t="n">
        <v>17</v>
      </c>
      <c r="Q13" s="22" t="n">
        <v>0</v>
      </c>
      <c r="R13" s="22" t="n">
        <v>0</v>
      </c>
      <c r="S13" s="23" t="n">
        <v>17</v>
      </c>
      <c r="T13" s="22" t="n">
        <v>16</v>
      </c>
      <c r="U13" s="22" t="n">
        <v>0</v>
      </c>
      <c r="V13" s="22" t="n">
        <v>0</v>
      </c>
      <c r="W13" s="23" t="n">
        <v>16</v>
      </c>
      <c r="X13" s="22" t="n">
        <v>16</v>
      </c>
      <c r="Y13" s="22" t="n">
        <v>0</v>
      </c>
      <c r="Z13" s="22" t="n">
        <v>0</v>
      </c>
      <c r="AA13" s="23" t="n">
        <v>16</v>
      </c>
      <c r="AB13" s="24" t="n">
        <f aca="false">AA13+AC13</f>
        <v>16</v>
      </c>
      <c r="AC13" s="25" t="n">
        <v>0</v>
      </c>
      <c r="AD13" s="24" t="n">
        <f aca="false">-ROUND(AB13*C13,0)</f>
        <v>-0</v>
      </c>
      <c r="AE13" s="26" t="n">
        <f aca="false">AB13+AD13</f>
        <v>16</v>
      </c>
      <c r="AF13" s="24" t="n">
        <f aca="false">AE13+AG13</f>
        <v>16</v>
      </c>
      <c r="AG13" s="25" t="n">
        <v>0</v>
      </c>
      <c r="AH13" s="24" t="n">
        <f aca="false">-ROUND(AF13*C13,0)</f>
        <v>-0</v>
      </c>
      <c r="AI13" s="26" t="n">
        <f aca="false">AF13+AH13</f>
        <v>16</v>
      </c>
      <c r="AJ13" s="24" t="n">
        <f aca="false">AI13+AK13</f>
        <v>16</v>
      </c>
      <c r="AK13" s="25" t="n">
        <v>0</v>
      </c>
      <c r="AL13" s="24" t="n">
        <f aca="false">-ROUND(AJ13*C13,0)</f>
        <v>-0</v>
      </c>
      <c r="AM13" s="26" t="n">
        <f aca="false">AJ13+AL13</f>
        <v>16</v>
      </c>
      <c r="AN13" s="24" t="n">
        <f aca="false">AM13+AO13</f>
        <v>16</v>
      </c>
      <c r="AO13" s="25" t="n">
        <v>0</v>
      </c>
      <c r="AP13" s="24" t="n">
        <f aca="false">-ROUND(AN13*C13,0)</f>
        <v>-0</v>
      </c>
      <c r="AQ13" s="26" t="n">
        <f aca="false">AN13+AP13</f>
        <v>16</v>
      </c>
    </row>
    <row r="14" customFormat="false" ht="15" hidden="false" customHeight="true" outlineLevel="0" collapsed="false">
      <c r="A14" s="20" t="s">
        <v>41</v>
      </c>
      <c r="B14" s="20" t="s">
        <v>12</v>
      </c>
      <c r="C14" s="21" t="n">
        <f aca="false">'Tasa Rotación'!I13</f>
        <v>0.00628930817610063</v>
      </c>
      <c r="D14" s="22" t="n">
        <v>87</v>
      </c>
      <c r="E14" s="22" t="n">
        <v>0</v>
      </c>
      <c r="F14" s="22" t="n">
        <v>-1</v>
      </c>
      <c r="G14" s="23" t="n">
        <v>86</v>
      </c>
      <c r="H14" s="22" t="n">
        <v>94</v>
      </c>
      <c r="I14" s="22" t="n">
        <v>0</v>
      </c>
      <c r="J14" s="22" t="n">
        <v>0</v>
      </c>
      <c r="K14" s="23" t="n">
        <v>94</v>
      </c>
      <c r="L14" s="22" t="n">
        <v>109</v>
      </c>
      <c r="M14" s="22" t="n">
        <v>0</v>
      </c>
      <c r="N14" s="22" t="n">
        <v>0</v>
      </c>
      <c r="O14" s="23" t="n">
        <v>109</v>
      </c>
      <c r="P14" s="22" t="n">
        <v>106</v>
      </c>
      <c r="Q14" s="22" t="n">
        <v>0</v>
      </c>
      <c r="R14" s="22" t="n">
        <v>-2</v>
      </c>
      <c r="S14" s="23" t="n">
        <v>104</v>
      </c>
      <c r="T14" s="22" t="n">
        <v>106</v>
      </c>
      <c r="U14" s="22" t="n">
        <v>0</v>
      </c>
      <c r="V14" s="22" t="n">
        <v>0</v>
      </c>
      <c r="W14" s="23" t="n">
        <v>106</v>
      </c>
      <c r="X14" s="22" t="n">
        <v>117</v>
      </c>
      <c r="Y14" s="22" t="n">
        <v>0</v>
      </c>
      <c r="Z14" s="22" t="n">
        <v>1</v>
      </c>
      <c r="AA14" s="23" t="n">
        <v>118</v>
      </c>
      <c r="AB14" s="24" t="n">
        <f aca="false">AA14+AC14</f>
        <v>112</v>
      </c>
      <c r="AC14" s="25" t="n">
        <v>-6</v>
      </c>
      <c r="AD14" s="24" t="n">
        <f aca="false">-ROUND(AB14*C14,0)</f>
        <v>-1</v>
      </c>
      <c r="AE14" s="26" t="n">
        <f aca="false">AB14+AD14</f>
        <v>111</v>
      </c>
      <c r="AF14" s="24" t="n">
        <f aca="false">AE14+AG14</f>
        <v>111</v>
      </c>
      <c r="AG14" s="25" t="n">
        <v>0</v>
      </c>
      <c r="AH14" s="24" t="n">
        <f aca="false">-ROUND(AF14*C14,0)</f>
        <v>-1</v>
      </c>
      <c r="AI14" s="26" t="n">
        <f aca="false">AF14+AH14</f>
        <v>110</v>
      </c>
      <c r="AJ14" s="24" t="n">
        <f aca="false">AI14+AK14</f>
        <v>110</v>
      </c>
      <c r="AK14" s="25" t="n">
        <v>0</v>
      </c>
      <c r="AL14" s="24" t="n">
        <f aca="false">-ROUND(AJ14*C14,0)</f>
        <v>-1</v>
      </c>
      <c r="AM14" s="26" t="n">
        <f aca="false">AJ14+AL14</f>
        <v>109</v>
      </c>
      <c r="AN14" s="24" t="n">
        <f aca="false">AM14+AO14</f>
        <v>109</v>
      </c>
      <c r="AO14" s="25" t="n">
        <v>0</v>
      </c>
      <c r="AP14" s="24" t="n">
        <f aca="false">-ROUND(AN14*C14,0)</f>
        <v>-1</v>
      </c>
      <c r="AQ14" s="26" t="n">
        <f aca="false">AN14+AP14</f>
        <v>108</v>
      </c>
    </row>
    <row r="15" customFormat="false" ht="15" hidden="false" customHeight="true" outlineLevel="0" collapsed="false">
      <c r="A15" s="20" t="s">
        <v>42</v>
      </c>
      <c r="B15" s="20" t="s">
        <v>12</v>
      </c>
      <c r="C15" s="21" t="n">
        <f aca="false">'Tasa Rotación'!I14</f>
        <v>0</v>
      </c>
      <c r="D15" s="22" t="n">
        <v>34</v>
      </c>
      <c r="E15" s="22" t="n">
        <v>0</v>
      </c>
      <c r="F15" s="22" t="n">
        <v>0</v>
      </c>
      <c r="G15" s="23" t="n">
        <v>34</v>
      </c>
      <c r="H15" s="22" t="n">
        <v>34</v>
      </c>
      <c r="I15" s="22" t="n">
        <v>0</v>
      </c>
      <c r="J15" s="22" t="n">
        <v>0</v>
      </c>
      <c r="K15" s="23" t="n">
        <v>34</v>
      </c>
      <c r="L15" s="22" t="n">
        <v>34</v>
      </c>
      <c r="M15" s="22" t="n">
        <v>0</v>
      </c>
      <c r="N15" s="22" t="n">
        <v>0</v>
      </c>
      <c r="O15" s="23" t="n">
        <v>34</v>
      </c>
      <c r="P15" s="22" t="n">
        <v>34</v>
      </c>
      <c r="Q15" s="22" t="n">
        <v>0</v>
      </c>
      <c r="R15" s="22" t="n">
        <v>0</v>
      </c>
      <c r="S15" s="23" t="n">
        <v>34</v>
      </c>
      <c r="T15" s="22" t="n">
        <v>34</v>
      </c>
      <c r="U15" s="22" t="n">
        <v>0</v>
      </c>
      <c r="V15" s="22" t="n">
        <v>0</v>
      </c>
      <c r="W15" s="23" t="n">
        <v>34</v>
      </c>
      <c r="X15" s="22" t="n">
        <v>36</v>
      </c>
      <c r="Y15" s="22" t="n">
        <v>0</v>
      </c>
      <c r="Z15" s="22" t="n">
        <v>0</v>
      </c>
      <c r="AA15" s="23" t="n">
        <v>36</v>
      </c>
      <c r="AB15" s="24" t="n">
        <f aca="false">AA15+AC15</f>
        <v>36</v>
      </c>
      <c r="AC15" s="25" t="n">
        <v>0</v>
      </c>
      <c r="AD15" s="24" t="n">
        <f aca="false">-ROUND(AB15*C15,0)</f>
        <v>-0</v>
      </c>
      <c r="AE15" s="26" t="n">
        <f aca="false">AB15+AD15</f>
        <v>36</v>
      </c>
      <c r="AF15" s="24" t="n">
        <f aca="false">AE15+AG15</f>
        <v>36</v>
      </c>
      <c r="AG15" s="25" t="n">
        <v>0</v>
      </c>
      <c r="AH15" s="24" t="n">
        <f aca="false">-ROUND(AF15*C15,0)</f>
        <v>-0</v>
      </c>
      <c r="AI15" s="26" t="n">
        <f aca="false">AF15+AH15</f>
        <v>36</v>
      </c>
      <c r="AJ15" s="24" t="n">
        <f aca="false">AI15+AK15</f>
        <v>36</v>
      </c>
      <c r="AK15" s="25" t="n">
        <v>0</v>
      </c>
      <c r="AL15" s="24" t="n">
        <f aca="false">-ROUND(AJ15*C15,0)</f>
        <v>-0</v>
      </c>
      <c r="AM15" s="26" t="n">
        <f aca="false">AJ15+AL15</f>
        <v>36</v>
      </c>
      <c r="AN15" s="24" t="n">
        <f aca="false">AM15+AO15</f>
        <v>36</v>
      </c>
      <c r="AO15" s="25" t="n">
        <v>0</v>
      </c>
      <c r="AP15" s="24" t="n">
        <f aca="false">-ROUND(AN15*C15,0)</f>
        <v>-0</v>
      </c>
      <c r="AQ15" s="26" t="n">
        <f aca="false">AN15+AP15</f>
        <v>36</v>
      </c>
    </row>
    <row r="16" customFormat="false" ht="15" hidden="false" customHeight="true" outlineLevel="0" collapsed="false">
      <c r="A16" s="20" t="s">
        <v>43</v>
      </c>
      <c r="B16" s="20" t="s">
        <v>12</v>
      </c>
      <c r="C16" s="21" t="n">
        <f aca="false">'Tasa Rotación'!I15</f>
        <v>0</v>
      </c>
      <c r="D16" s="22" t="n">
        <v>12</v>
      </c>
      <c r="E16" s="22" t="n">
        <v>0</v>
      </c>
      <c r="F16" s="22" t="n">
        <v>0</v>
      </c>
      <c r="G16" s="23" t="n">
        <v>12</v>
      </c>
      <c r="H16" s="22" t="n">
        <v>13</v>
      </c>
      <c r="I16" s="22" t="n">
        <v>0</v>
      </c>
      <c r="J16" s="22" t="n">
        <v>0</v>
      </c>
      <c r="K16" s="23" t="n">
        <v>13</v>
      </c>
      <c r="L16" s="22" t="n">
        <v>13</v>
      </c>
      <c r="M16" s="22" t="n">
        <v>0</v>
      </c>
      <c r="N16" s="22" t="n">
        <v>0</v>
      </c>
      <c r="O16" s="23" t="n">
        <v>13</v>
      </c>
      <c r="P16" s="22" t="n">
        <v>13</v>
      </c>
      <c r="Q16" s="22" t="n">
        <v>0</v>
      </c>
      <c r="R16" s="22" t="n">
        <v>0</v>
      </c>
      <c r="S16" s="23" t="n">
        <v>13</v>
      </c>
      <c r="T16" s="22" t="n">
        <v>13</v>
      </c>
      <c r="U16" s="22" t="n">
        <v>0</v>
      </c>
      <c r="V16" s="22" t="n">
        <v>0</v>
      </c>
      <c r="W16" s="23" t="n">
        <v>13</v>
      </c>
      <c r="X16" s="22" t="n">
        <v>13</v>
      </c>
      <c r="Y16" s="22" t="n">
        <v>0</v>
      </c>
      <c r="Z16" s="22" t="n">
        <v>0</v>
      </c>
      <c r="AA16" s="23" t="n">
        <v>13</v>
      </c>
      <c r="AB16" s="24" t="n">
        <f aca="false">AA16+AC16</f>
        <v>13</v>
      </c>
      <c r="AC16" s="25" t="n">
        <v>0</v>
      </c>
      <c r="AD16" s="24" t="n">
        <f aca="false">-ROUND(AB16*C16,0)</f>
        <v>-0</v>
      </c>
      <c r="AE16" s="26" t="n">
        <f aca="false">AB16+AD16</f>
        <v>13</v>
      </c>
      <c r="AF16" s="24" t="n">
        <f aca="false">AE16+AG16</f>
        <v>13</v>
      </c>
      <c r="AG16" s="25" t="n">
        <v>0</v>
      </c>
      <c r="AH16" s="24" t="n">
        <f aca="false">-ROUND(AF16*C16,0)</f>
        <v>-0</v>
      </c>
      <c r="AI16" s="26" t="n">
        <f aca="false">AF16+AH16</f>
        <v>13</v>
      </c>
      <c r="AJ16" s="24" t="n">
        <f aca="false">AI16+AK16</f>
        <v>13</v>
      </c>
      <c r="AK16" s="25" t="n">
        <v>0</v>
      </c>
      <c r="AL16" s="24" t="n">
        <f aca="false">-ROUND(AJ16*C16,0)</f>
        <v>-0</v>
      </c>
      <c r="AM16" s="26" t="n">
        <f aca="false">AJ16+AL16</f>
        <v>13</v>
      </c>
      <c r="AN16" s="24" t="n">
        <f aca="false">AM16+AO16</f>
        <v>13</v>
      </c>
      <c r="AO16" s="25" t="n">
        <v>0</v>
      </c>
      <c r="AP16" s="24" t="n">
        <f aca="false">-ROUND(AN16*C16,0)</f>
        <v>-0</v>
      </c>
      <c r="AQ16" s="26" t="n">
        <f aca="false">AN16+AP16</f>
        <v>13</v>
      </c>
    </row>
    <row r="17" customFormat="false" ht="15" hidden="false" customHeight="true" outlineLevel="0" collapsed="false">
      <c r="A17" s="20" t="s">
        <v>44</v>
      </c>
      <c r="B17" s="20" t="s">
        <v>12</v>
      </c>
      <c r="C17" s="21" t="n">
        <f aca="false">'Tasa Rotación'!I16</f>
        <v>0</v>
      </c>
      <c r="D17" s="22" t="n">
        <v>43</v>
      </c>
      <c r="E17" s="22" t="n">
        <v>0</v>
      </c>
      <c r="F17" s="22" t="n">
        <v>0</v>
      </c>
      <c r="G17" s="23" t="n">
        <v>43</v>
      </c>
      <c r="H17" s="22" t="n">
        <v>41</v>
      </c>
      <c r="I17" s="22" t="n">
        <v>0</v>
      </c>
      <c r="J17" s="22" t="n">
        <v>-2</v>
      </c>
      <c r="K17" s="23" t="n">
        <v>39</v>
      </c>
      <c r="L17" s="22" t="n">
        <v>40</v>
      </c>
      <c r="M17" s="22" t="n">
        <v>0</v>
      </c>
      <c r="N17" s="22" t="n">
        <v>0</v>
      </c>
      <c r="O17" s="23" t="n">
        <v>40</v>
      </c>
      <c r="P17" s="22" t="n">
        <v>39</v>
      </c>
      <c r="Q17" s="22" t="n">
        <v>0</v>
      </c>
      <c r="R17" s="22" t="n">
        <v>0</v>
      </c>
      <c r="S17" s="23" t="n">
        <v>39</v>
      </c>
      <c r="T17" s="22" t="n">
        <v>23</v>
      </c>
      <c r="U17" s="22" t="n">
        <v>0</v>
      </c>
      <c r="V17" s="22" t="n">
        <v>0</v>
      </c>
      <c r="W17" s="23" t="n">
        <v>23</v>
      </c>
      <c r="X17" s="22" t="n">
        <v>23</v>
      </c>
      <c r="Y17" s="22" t="n">
        <v>0</v>
      </c>
      <c r="Z17" s="22" t="n">
        <v>0</v>
      </c>
      <c r="AA17" s="23" t="n">
        <v>23</v>
      </c>
      <c r="AB17" s="24" t="n">
        <f aca="false">AA17+AC17</f>
        <v>23</v>
      </c>
      <c r="AC17" s="25" t="n">
        <v>0</v>
      </c>
      <c r="AD17" s="24" t="n">
        <f aca="false">-ROUND(AB17*C17,0)</f>
        <v>-0</v>
      </c>
      <c r="AE17" s="26" t="n">
        <f aca="false">AB17+AD17</f>
        <v>23</v>
      </c>
      <c r="AF17" s="24" t="n">
        <f aca="false">AE17+AG17</f>
        <v>23</v>
      </c>
      <c r="AG17" s="25" t="n">
        <v>0</v>
      </c>
      <c r="AH17" s="24" t="n">
        <f aca="false">-ROUND(AF17*C17,0)</f>
        <v>-0</v>
      </c>
      <c r="AI17" s="26" t="n">
        <f aca="false">AF17+AH17</f>
        <v>23</v>
      </c>
      <c r="AJ17" s="24" t="n">
        <f aca="false">AI17+AK17</f>
        <v>23</v>
      </c>
      <c r="AK17" s="25" t="n">
        <v>0</v>
      </c>
      <c r="AL17" s="24" t="n">
        <f aca="false">-ROUND(AJ17*C17,0)</f>
        <v>-0</v>
      </c>
      <c r="AM17" s="26" t="n">
        <f aca="false">AJ17+AL17</f>
        <v>23</v>
      </c>
      <c r="AN17" s="24" t="n">
        <f aca="false">AM17+AO17</f>
        <v>23</v>
      </c>
      <c r="AO17" s="25" t="n">
        <v>0</v>
      </c>
      <c r="AP17" s="24" t="n">
        <f aca="false">-ROUND(AN17*C17,0)</f>
        <v>-0</v>
      </c>
      <c r="AQ17" s="26" t="n">
        <f aca="false">AN17+AP17</f>
        <v>23</v>
      </c>
    </row>
    <row r="18" customFormat="false" ht="15" hidden="false" customHeight="true" outlineLevel="0" collapsed="false">
      <c r="A18" s="20" t="s">
        <v>45</v>
      </c>
      <c r="B18" s="20" t="s">
        <v>12</v>
      </c>
      <c r="C18" s="21" t="n">
        <f aca="false">'Tasa Rotación'!I17</f>
        <v>0</v>
      </c>
      <c r="D18" s="22" t="n">
        <v>23</v>
      </c>
      <c r="E18" s="22" t="n">
        <v>0</v>
      </c>
      <c r="F18" s="22" t="n">
        <v>0</v>
      </c>
      <c r="G18" s="23" t="n">
        <v>23</v>
      </c>
      <c r="H18" s="22" t="n">
        <v>25</v>
      </c>
      <c r="I18" s="22" t="n">
        <v>0</v>
      </c>
      <c r="J18" s="22" t="n">
        <v>0</v>
      </c>
      <c r="K18" s="23" t="n">
        <v>25</v>
      </c>
      <c r="L18" s="22" t="n">
        <v>26</v>
      </c>
      <c r="M18" s="22" t="n">
        <v>0</v>
      </c>
      <c r="N18" s="22" t="n">
        <v>0</v>
      </c>
      <c r="O18" s="23" t="n">
        <v>26</v>
      </c>
      <c r="P18" s="22" t="n">
        <v>28</v>
      </c>
      <c r="Q18" s="22" t="n">
        <v>0</v>
      </c>
      <c r="R18" s="22" t="n">
        <v>0</v>
      </c>
      <c r="S18" s="23" t="n">
        <v>28</v>
      </c>
      <c r="T18" s="22" t="n">
        <v>26</v>
      </c>
      <c r="U18" s="22" t="n">
        <v>0</v>
      </c>
      <c r="V18" s="22" t="n">
        <v>0</v>
      </c>
      <c r="W18" s="23" t="n">
        <v>26</v>
      </c>
      <c r="X18" s="22" t="n">
        <v>29</v>
      </c>
      <c r="Y18" s="22" t="n">
        <v>0</v>
      </c>
      <c r="Z18" s="22" t="n">
        <v>0</v>
      </c>
      <c r="AA18" s="23" t="n">
        <v>29</v>
      </c>
      <c r="AB18" s="24" t="n">
        <f aca="false">AA18+AC18</f>
        <v>29</v>
      </c>
      <c r="AC18" s="25" t="n">
        <v>0</v>
      </c>
      <c r="AD18" s="24" t="n">
        <f aca="false">-ROUND(AB18*C18,0)</f>
        <v>-0</v>
      </c>
      <c r="AE18" s="26" t="n">
        <f aca="false">AB18+AD18</f>
        <v>29</v>
      </c>
      <c r="AF18" s="24" t="n">
        <f aca="false">AE18+AG18</f>
        <v>29</v>
      </c>
      <c r="AG18" s="25" t="n">
        <v>0</v>
      </c>
      <c r="AH18" s="24" t="n">
        <f aca="false">-ROUND(AF18*C18,0)</f>
        <v>-0</v>
      </c>
      <c r="AI18" s="26" t="n">
        <f aca="false">AF18+AH18</f>
        <v>29</v>
      </c>
      <c r="AJ18" s="24" t="n">
        <f aca="false">AI18+AK18</f>
        <v>29</v>
      </c>
      <c r="AK18" s="25" t="n">
        <v>0</v>
      </c>
      <c r="AL18" s="24" t="n">
        <f aca="false">-ROUND(AJ18*C18,0)</f>
        <v>-0</v>
      </c>
      <c r="AM18" s="26" t="n">
        <f aca="false">AJ18+AL18</f>
        <v>29</v>
      </c>
      <c r="AN18" s="24" t="n">
        <f aca="false">AM18+AO18</f>
        <v>29</v>
      </c>
      <c r="AO18" s="25" t="n">
        <v>0</v>
      </c>
      <c r="AP18" s="24" t="n">
        <f aca="false">-ROUND(AN18*C18,0)</f>
        <v>-0</v>
      </c>
      <c r="AQ18" s="26" t="n">
        <f aca="false">AN18+AP18</f>
        <v>29</v>
      </c>
    </row>
    <row r="19" customFormat="false" ht="15" hidden="false" customHeight="true" outlineLevel="0" collapsed="false">
      <c r="A19" s="20" t="s">
        <v>46</v>
      </c>
      <c r="B19" s="20" t="s">
        <v>12</v>
      </c>
      <c r="C19" s="21" t="n">
        <f aca="false">'Tasa Rotación'!I18</f>
        <v>0</v>
      </c>
      <c r="D19" s="22" t="n">
        <v>14</v>
      </c>
      <c r="E19" s="22" t="n">
        <v>0</v>
      </c>
      <c r="F19" s="22" t="n">
        <v>0</v>
      </c>
      <c r="G19" s="23" t="n">
        <v>14</v>
      </c>
      <c r="H19" s="22" t="n">
        <v>15</v>
      </c>
      <c r="I19" s="22" t="n">
        <v>0</v>
      </c>
      <c r="J19" s="22" t="n">
        <v>0</v>
      </c>
      <c r="K19" s="23" t="n">
        <v>15</v>
      </c>
      <c r="L19" s="22" t="n">
        <v>15</v>
      </c>
      <c r="M19" s="22" t="n">
        <v>0</v>
      </c>
      <c r="N19" s="22" t="n">
        <v>0</v>
      </c>
      <c r="O19" s="23" t="n">
        <v>15</v>
      </c>
      <c r="P19" s="22" t="n">
        <v>15</v>
      </c>
      <c r="Q19" s="22" t="n">
        <v>0</v>
      </c>
      <c r="R19" s="22" t="n">
        <v>0</v>
      </c>
      <c r="S19" s="23" t="n">
        <v>15</v>
      </c>
      <c r="T19" s="22" t="n">
        <v>15</v>
      </c>
      <c r="U19" s="22" t="n">
        <v>0</v>
      </c>
      <c r="V19" s="22" t="n">
        <v>0</v>
      </c>
      <c r="W19" s="23" t="n">
        <v>15</v>
      </c>
      <c r="X19" s="22" t="n">
        <v>15</v>
      </c>
      <c r="Y19" s="22" t="n">
        <v>0</v>
      </c>
      <c r="Z19" s="22" t="n">
        <v>0</v>
      </c>
      <c r="AA19" s="23" t="n">
        <v>15</v>
      </c>
      <c r="AB19" s="24" t="n">
        <f aca="false">AA19+AC19</f>
        <v>15</v>
      </c>
      <c r="AC19" s="25" t="n">
        <v>0</v>
      </c>
      <c r="AD19" s="24" t="n">
        <f aca="false">-ROUND(AB19*C19,0)</f>
        <v>-0</v>
      </c>
      <c r="AE19" s="26" t="n">
        <f aca="false">AB19+AD19</f>
        <v>15</v>
      </c>
      <c r="AF19" s="24" t="n">
        <f aca="false">AE19+AG19</f>
        <v>15</v>
      </c>
      <c r="AG19" s="25" t="n">
        <v>0</v>
      </c>
      <c r="AH19" s="24" t="n">
        <f aca="false">-ROUND(AF19*C19,0)</f>
        <v>-0</v>
      </c>
      <c r="AI19" s="26" t="n">
        <f aca="false">AF19+AH19</f>
        <v>15</v>
      </c>
      <c r="AJ19" s="24" t="n">
        <f aca="false">AI19+AK19</f>
        <v>15</v>
      </c>
      <c r="AK19" s="25" t="n">
        <v>0</v>
      </c>
      <c r="AL19" s="24" t="n">
        <f aca="false">-ROUND(AJ19*C19,0)</f>
        <v>-0</v>
      </c>
      <c r="AM19" s="26" t="n">
        <f aca="false">AJ19+AL19</f>
        <v>15</v>
      </c>
      <c r="AN19" s="24" t="n">
        <f aca="false">AM19+AO19</f>
        <v>15</v>
      </c>
      <c r="AO19" s="25" t="n">
        <v>0</v>
      </c>
      <c r="AP19" s="24" t="n">
        <f aca="false">-ROUND(AN19*C19,0)</f>
        <v>-0</v>
      </c>
      <c r="AQ19" s="26" t="n">
        <f aca="false">AN19+AP19</f>
        <v>15</v>
      </c>
    </row>
    <row r="20" customFormat="false" ht="15" hidden="false" customHeight="true" outlineLevel="0" collapsed="false">
      <c r="A20" s="20" t="s">
        <v>47</v>
      </c>
      <c r="B20" s="20" t="s">
        <v>12</v>
      </c>
      <c r="C20" s="21" t="n">
        <f aca="false">'Tasa Rotación'!I19</f>
        <v>0</v>
      </c>
      <c r="D20" s="22" t="n">
        <v>33</v>
      </c>
      <c r="E20" s="22" t="n">
        <v>0</v>
      </c>
      <c r="F20" s="22" t="n">
        <v>0</v>
      </c>
      <c r="G20" s="23" t="n">
        <v>33</v>
      </c>
      <c r="H20" s="22" t="n">
        <v>34</v>
      </c>
      <c r="I20" s="22" t="n">
        <v>0</v>
      </c>
      <c r="J20" s="22" t="n">
        <v>-1</v>
      </c>
      <c r="K20" s="23" t="n">
        <v>33</v>
      </c>
      <c r="L20" s="22" t="n">
        <v>34</v>
      </c>
      <c r="M20" s="22" t="n">
        <v>0</v>
      </c>
      <c r="N20" s="22" t="n">
        <v>0</v>
      </c>
      <c r="O20" s="23" t="n">
        <v>34</v>
      </c>
      <c r="P20" s="22" t="n">
        <v>34</v>
      </c>
      <c r="Q20" s="22" t="n">
        <v>0</v>
      </c>
      <c r="R20" s="22" t="n">
        <v>0</v>
      </c>
      <c r="S20" s="23" t="n">
        <v>34</v>
      </c>
      <c r="T20" s="22" t="n">
        <v>34</v>
      </c>
      <c r="U20" s="22" t="n">
        <v>0</v>
      </c>
      <c r="V20" s="22" t="n">
        <v>0</v>
      </c>
      <c r="W20" s="23" t="n">
        <v>34</v>
      </c>
      <c r="X20" s="22" t="n">
        <v>34</v>
      </c>
      <c r="Y20" s="22" t="n">
        <v>0</v>
      </c>
      <c r="Z20" s="22" t="n">
        <v>0</v>
      </c>
      <c r="AA20" s="23" t="n">
        <v>34</v>
      </c>
      <c r="AB20" s="24" t="n">
        <f aca="false">AA20+AC20</f>
        <v>34</v>
      </c>
      <c r="AC20" s="25" t="n">
        <v>0</v>
      </c>
      <c r="AD20" s="24" t="n">
        <f aca="false">-ROUND(AB20*C20,0)</f>
        <v>-0</v>
      </c>
      <c r="AE20" s="26" t="n">
        <f aca="false">AB20+AD20</f>
        <v>34</v>
      </c>
      <c r="AF20" s="24" t="n">
        <f aca="false">AE20+AG20</f>
        <v>34</v>
      </c>
      <c r="AG20" s="25" t="n">
        <v>0</v>
      </c>
      <c r="AH20" s="24" t="n">
        <f aca="false">-ROUND(AF20*C20,0)</f>
        <v>-0</v>
      </c>
      <c r="AI20" s="26" t="n">
        <f aca="false">AF20+AH20</f>
        <v>34</v>
      </c>
      <c r="AJ20" s="24" t="n">
        <f aca="false">AI20+AK20</f>
        <v>34</v>
      </c>
      <c r="AK20" s="25" t="n">
        <v>0</v>
      </c>
      <c r="AL20" s="24" t="n">
        <f aca="false">-ROUND(AJ20*C20,0)</f>
        <v>-0</v>
      </c>
      <c r="AM20" s="26" t="n">
        <f aca="false">AJ20+AL20</f>
        <v>34</v>
      </c>
      <c r="AN20" s="24" t="n">
        <f aca="false">AM20+AO20</f>
        <v>34</v>
      </c>
      <c r="AO20" s="25" t="n">
        <v>0</v>
      </c>
      <c r="AP20" s="24" t="n">
        <f aca="false">-ROUND(AN20*C20,0)</f>
        <v>-0</v>
      </c>
      <c r="AQ20" s="26" t="n">
        <f aca="false">AN20+AP20</f>
        <v>34</v>
      </c>
    </row>
    <row r="21" customFormat="false" ht="15" hidden="false" customHeight="true" outlineLevel="0" collapsed="false">
      <c r="A21" s="20" t="s">
        <v>48</v>
      </c>
      <c r="B21" s="20" t="s">
        <v>12</v>
      </c>
      <c r="C21" s="21" t="n">
        <f aca="false">'Tasa Rotación'!I20</f>
        <v>0</v>
      </c>
      <c r="D21" s="22" t="n">
        <v>3</v>
      </c>
      <c r="E21" s="22" t="n">
        <v>0</v>
      </c>
      <c r="F21" s="22" t="n">
        <v>0</v>
      </c>
      <c r="G21" s="23" t="n">
        <v>3</v>
      </c>
      <c r="H21" s="22" t="n">
        <v>5</v>
      </c>
      <c r="I21" s="22" t="n">
        <v>0</v>
      </c>
      <c r="J21" s="22" t="n">
        <v>0</v>
      </c>
      <c r="K21" s="23" t="n">
        <v>5</v>
      </c>
      <c r="L21" s="22" t="n">
        <v>5</v>
      </c>
      <c r="M21" s="22" t="n">
        <v>0</v>
      </c>
      <c r="N21" s="22" t="n">
        <v>0</v>
      </c>
      <c r="O21" s="23" t="n">
        <v>5</v>
      </c>
      <c r="P21" s="22" t="n">
        <v>5</v>
      </c>
      <c r="Q21" s="22" t="n">
        <v>0</v>
      </c>
      <c r="R21" s="22" t="n">
        <v>0</v>
      </c>
      <c r="S21" s="23" t="n">
        <v>5</v>
      </c>
      <c r="T21" s="22" t="n">
        <v>5</v>
      </c>
      <c r="U21" s="22" t="n">
        <v>0</v>
      </c>
      <c r="V21" s="22" t="n">
        <v>0</v>
      </c>
      <c r="W21" s="23" t="n">
        <v>5</v>
      </c>
      <c r="X21" s="22" t="n">
        <v>5</v>
      </c>
      <c r="Y21" s="22" t="n">
        <v>0</v>
      </c>
      <c r="Z21" s="22" t="n">
        <v>0</v>
      </c>
      <c r="AA21" s="23" t="n">
        <v>5</v>
      </c>
      <c r="AB21" s="24" t="n">
        <f aca="false">AA21+AC21</f>
        <v>5</v>
      </c>
      <c r="AC21" s="25" t="n">
        <v>0</v>
      </c>
      <c r="AD21" s="24" t="n">
        <f aca="false">-ROUND(AB21*C21,0)</f>
        <v>-0</v>
      </c>
      <c r="AE21" s="26" t="n">
        <f aca="false">AB21+AD21</f>
        <v>5</v>
      </c>
      <c r="AF21" s="24" t="n">
        <f aca="false">AE21+AG21</f>
        <v>5</v>
      </c>
      <c r="AG21" s="25" t="n">
        <v>0</v>
      </c>
      <c r="AH21" s="24" t="n">
        <f aca="false">-ROUND(AF21*C21,0)</f>
        <v>-0</v>
      </c>
      <c r="AI21" s="26" t="n">
        <f aca="false">AF21+AH21</f>
        <v>5</v>
      </c>
      <c r="AJ21" s="24" t="n">
        <f aca="false">AI21+AK21</f>
        <v>5</v>
      </c>
      <c r="AK21" s="25" t="n">
        <v>0</v>
      </c>
      <c r="AL21" s="24" t="n">
        <f aca="false">-ROUND(AJ21*C21,0)</f>
        <v>-0</v>
      </c>
      <c r="AM21" s="26" t="n">
        <f aca="false">AJ21+AL21</f>
        <v>5</v>
      </c>
      <c r="AN21" s="24" t="n">
        <f aca="false">AM21+AO21</f>
        <v>5</v>
      </c>
      <c r="AO21" s="25" t="n">
        <v>0</v>
      </c>
      <c r="AP21" s="24" t="n">
        <f aca="false">-ROUND(AN21*C21,0)</f>
        <v>-0</v>
      </c>
      <c r="AQ21" s="26" t="n">
        <f aca="false">AN21+AP21</f>
        <v>5</v>
      </c>
    </row>
    <row r="22" customFormat="false" ht="15" hidden="false" customHeight="true" outlineLevel="0" collapsed="false">
      <c r="A22" s="20" t="s">
        <v>49</v>
      </c>
      <c r="B22" s="20" t="s">
        <v>12</v>
      </c>
      <c r="C22" s="21" t="n">
        <f aca="false">'Tasa Rotación'!I21</f>
        <v>0.0144927536231884</v>
      </c>
      <c r="D22" s="22" t="n">
        <v>20</v>
      </c>
      <c r="E22" s="22" t="n">
        <v>0</v>
      </c>
      <c r="F22" s="22" t="n">
        <v>0</v>
      </c>
      <c r="G22" s="23" t="n">
        <v>20</v>
      </c>
      <c r="H22" s="22" t="n">
        <v>22</v>
      </c>
      <c r="I22" s="22" t="n">
        <v>0</v>
      </c>
      <c r="J22" s="22" t="n">
        <v>0</v>
      </c>
      <c r="K22" s="23" t="n">
        <v>22</v>
      </c>
      <c r="L22" s="22" t="n">
        <v>22</v>
      </c>
      <c r="M22" s="22" t="n">
        <v>0</v>
      </c>
      <c r="N22" s="22" t="n">
        <v>0</v>
      </c>
      <c r="O22" s="23" t="n">
        <v>22</v>
      </c>
      <c r="P22" s="22" t="n">
        <v>23</v>
      </c>
      <c r="Q22" s="22" t="n">
        <v>0</v>
      </c>
      <c r="R22" s="22" t="n">
        <v>-1</v>
      </c>
      <c r="S22" s="23" t="n">
        <v>22</v>
      </c>
      <c r="T22" s="22" t="n">
        <v>22</v>
      </c>
      <c r="U22" s="22" t="n">
        <v>0</v>
      </c>
      <c r="V22" s="22" t="n">
        <v>0</v>
      </c>
      <c r="W22" s="23" t="n">
        <v>22</v>
      </c>
      <c r="X22" s="22" t="n">
        <v>22</v>
      </c>
      <c r="Y22" s="22" t="n">
        <v>0</v>
      </c>
      <c r="Z22" s="22" t="n">
        <v>0</v>
      </c>
      <c r="AA22" s="23" t="n">
        <v>22</v>
      </c>
      <c r="AB22" s="24" t="n">
        <f aca="false">AA22+AC22</f>
        <v>22</v>
      </c>
      <c r="AC22" s="25" t="n">
        <v>0</v>
      </c>
      <c r="AD22" s="24" t="n">
        <f aca="false">-ROUND(AB22*C22,0)</f>
        <v>-0</v>
      </c>
      <c r="AE22" s="26" t="n">
        <f aca="false">AB22+AD22</f>
        <v>22</v>
      </c>
      <c r="AF22" s="24" t="n">
        <f aca="false">AE22+AG22</f>
        <v>22</v>
      </c>
      <c r="AG22" s="25" t="n">
        <v>0</v>
      </c>
      <c r="AH22" s="24" t="n">
        <f aca="false">-ROUND(AF22*C22,0)</f>
        <v>-0</v>
      </c>
      <c r="AI22" s="26" t="n">
        <f aca="false">AF22+AH22</f>
        <v>22</v>
      </c>
      <c r="AJ22" s="24" t="n">
        <f aca="false">AI22+AK22</f>
        <v>22</v>
      </c>
      <c r="AK22" s="25" t="n">
        <v>0</v>
      </c>
      <c r="AL22" s="24" t="n">
        <f aca="false">-ROUND(AJ22*C22,0)</f>
        <v>-0</v>
      </c>
      <c r="AM22" s="26" t="n">
        <f aca="false">AJ22+AL22</f>
        <v>22</v>
      </c>
      <c r="AN22" s="24" t="n">
        <f aca="false">AM22+AO22</f>
        <v>22</v>
      </c>
      <c r="AO22" s="25" t="n">
        <v>0</v>
      </c>
      <c r="AP22" s="24" t="n">
        <f aca="false">-ROUND(AN22*C22,0)</f>
        <v>-0</v>
      </c>
      <c r="AQ22" s="26" t="n">
        <f aca="false">AN22+AP22</f>
        <v>22</v>
      </c>
    </row>
    <row r="23" customFormat="false" ht="15" hidden="false" customHeight="true" outlineLevel="0" collapsed="false">
      <c r="A23" s="20" t="s">
        <v>50</v>
      </c>
      <c r="B23" s="20" t="s">
        <v>12</v>
      </c>
      <c r="C23" s="21" t="n">
        <f aca="false">'Tasa Rotación'!I22</f>
        <v>0</v>
      </c>
      <c r="D23" s="22" t="n">
        <v>14</v>
      </c>
      <c r="E23" s="22" t="n">
        <v>0</v>
      </c>
      <c r="F23" s="22" t="n">
        <v>0</v>
      </c>
      <c r="G23" s="23" t="n">
        <v>14</v>
      </c>
      <c r="H23" s="22" t="n">
        <v>14</v>
      </c>
      <c r="I23" s="22" t="n">
        <v>0</v>
      </c>
      <c r="J23" s="22" t="n">
        <v>0</v>
      </c>
      <c r="K23" s="23" t="n">
        <v>14</v>
      </c>
      <c r="L23" s="22" t="n">
        <v>14</v>
      </c>
      <c r="M23" s="22" t="n">
        <v>0</v>
      </c>
      <c r="N23" s="22" t="n">
        <v>0</v>
      </c>
      <c r="O23" s="23" t="n">
        <v>14</v>
      </c>
      <c r="P23" s="22" t="n">
        <v>13</v>
      </c>
      <c r="Q23" s="22" t="n">
        <v>0</v>
      </c>
      <c r="R23" s="22" t="n">
        <v>0</v>
      </c>
      <c r="S23" s="23" t="n">
        <v>13</v>
      </c>
      <c r="T23" s="22" t="n">
        <v>14</v>
      </c>
      <c r="U23" s="22" t="n">
        <v>0</v>
      </c>
      <c r="V23" s="22" t="n">
        <v>0</v>
      </c>
      <c r="W23" s="23" t="n">
        <v>14</v>
      </c>
      <c r="X23" s="22" t="n">
        <v>14</v>
      </c>
      <c r="Y23" s="22" t="n">
        <v>0</v>
      </c>
      <c r="Z23" s="22" t="n">
        <v>0</v>
      </c>
      <c r="AA23" s="23" t="n">
        <v>14</v>
      </c>
      <c r="AB23" s="24" t="n">
        <f aca="false">AA23+AC23</f>
        <v>14</v>
      </c>
      <c r="AC23" s="25" t="n">
        <v>0</v>
      </c>
      <c r="AD23" s="24" t="n">
        <f aca="false">-ROUND(AB23*C23,0)</f>
        <v>-0</v>
      </c>
      <c r="AE23" s="26" t="n">
        <f aca="false">AB23+AD23</f>
        <v>14</v>
      </c>
      <c r="AF23" s="24" t="n">
        <f aca="false">AE23+AG23</f>
        <v>14</v>
      </c>
      <c r="AG23" s="25" t="n">
        <v>0</v>
      </c>
      <c r="AH23" s="24" t="n">
        <f aca="false">-ROUND(AF23*C23,0)</f>
        <v>-0</v>
      </c>
      <c r="AI23" s="26" t="n">
        <f aca="false">AF23+AH23</f>
        <v>14</v>
      </c>
      <c r="AJ23" s="24" t="n">
        <f aca="false">AI23+AK23</f>
        <v>14</v>
      </c>
      <c r="AK23" s="25" t="n">
        <v>0</v>
      </c>
      <c r="AL23" s="24" t="n">
        <f aca="false">-ROUND(AJ23*C23,0)</f>
        <v>-0</v>
      </c>
      <c r="AM23" s="26" t="n">
        <f aca="false">AJ23+AL23</f>
        <v>14</v>
      </c>
      <c r="AN23" s="24" t="n">
        <f aca="false">AM23+AO23</f>
        <v>14</v>
      </c>
      <c r="AO23" s="25" t="n">
        <v>0</v>
      </c>
      <c r="AP23" s="24" t="n">
        <f aca="false">-ROUND(AN23*C23,0)</f>
        <v>-0</v>
      </c>
      <c r="AQ23" s="26" t="n">
        <f aca="false">AN23+AP23</f>
        <v>14</v>
      </c>
    </row>
    <row r="24" customFormat="false" ht="15" hidden="false" customHeight="true" outlineLevel="0" collapsed="false">
      <c r="A24" s="20" t="s">
        <v>51</v>
      </c>
      <c r="B24" s="20" t="s">
        <v>12</v>
      </c>
      <c r="C24" s="21" t="n">
        <f aca="false">'Tasa Rotación'!I23</f>
        <v>0.0333333333333333</v>
      </c>
      <c r="D24" s="22" t="n">
        <v>11</v>
      </c>
      <c r="E24" s="22" t="n">
        <v>0</v>
      </c>
      <c r="F24" s="22" t="n">
        <v>-1</v>
      </c>
      <c r="G24" s="23" t="n">
        <v>10</v>
      </c>
      <c r="H24" s="22" t="n">
        <v>10</v>
      </c>
      <c r="I24" s="22" t="n">
        <v>0</v>
      </c>
      <c r="J24" s="22" t="n">
        <v>0</v>
      </c>
      <c r="K24" s="23" t="n">
        <v>10</v>
      </c>
      <c r="L24" s="22" t="n">
        <v>10</v>
      </c>
      <c r="M24" s="22" t="n">
        <v>0</v>
      </c>
      <c r="N24" s="22" t="n">
        <v>0</v>
      </c>
      <c r="O24" s="23" t="n">
        <v>10</v>
      </c>
      <c r="P24" s="22" t="n">
        <v>10</v>
      </c>
      <c r="Q24" s="22" t="n">
        <v>0</v>
      </c>
      <c r="R24" s="22" t="n">
        <v>0</v>
      </c>
      <c r="S24" s="23" t="n">
        <v>10</v>
      </c>
      <c r="T24" s="22" t="n">
        <v>10</v>
      </c>
      <c r="U24" s="22" t="n">
        <v>0</v>
      </c>
      <c r="V24" s="22" t="n">
        <v>0</v>
      </c>
      <c r="W24" s="23" t="n">
        <v>10</v>
      </c>
      <c r="X24" s="22" t="n">
        <v>10</v>
      </c>
      <c r="Y24" s="22" t="n">
        <v>0</v>
      </c>
      <c r="Z24" s="22" t="n">
        <v>-1</v>
      </c>
      <c r="AA24" s="23" t="n">
        <v>9</v>
      </c>
      <c r="AB24" s="24" t="n">
        <f aca="false">AA24+AC24</f>
        <v>9</v>
      </c>
      <c r="AC24" s="25" t="n">
        <v>0</v>
      </c>
      <c r="AD24" s="24" t="n">
        <f aca="false">-ROUND(AB24*C24,0)</f>
        <v>-0</v>
      </c>
      <c r="AE24" s="26" t="n">
        <f aca="false">AB24+AD24</f>
        <v>9</v>
      </c>
      <c r="AF24" s="24" t="n">
        <f aca="false">AE24+AG24</f>
        <v>9</v>
      </c>
      <c r="AG24" s="25" t="n">
        <v>0</v>
      </c>
      <c r="AH24" s="24" t="n">
        <f aca="false">-ROUND(AF24*C24,0)</f>
        <v>-0</v>
      </c>
      <c r="AI24" s="26" t="n">
        <f aca="false">AF24+AH24</f>
        <v>9</v>
      </c>
      <c r="AJ24" s="24" t="n">
        <f aca="false">AI24+AK24</f>
        <v>9</v>
      </c>
      <c r="AK24" s="25" t="n">
        <v>0</v>
      </c>
      <c r="AL24" s="24" t="n">
        <f aca="false">-ROUND(AJ24*C24,0)</f>
        <v>-0</v>
      </c>
      <c r="AM24" s="26" t="n">
        <f aca="false">AJ24+AL24</f>
        <v>9</v>
      </c>
      <c r="AN24" s="24" t="n">
        <f aca="false">AM24+AO24</f>
        <v>9</v>
      </c>
      <c r="AO24" s="25" t="n">
        <v>0</v>
      </c>
      <c r="AP24" s="24" t="n">
        <f aca="false">-ROUND(AN24*C24,0)</f>
        <v>-0</v>
      </c>
      <c r="AQ24" s="26" t="n">
        <f aca="false">AN24+AP24</f>
        <v>9</v>
      </c>
    </row>
    <row r="25" customFormat="false" ht="15" hidden="false" customHeight="true" outlineLevel="0" collapsed="false">
      <c r="A25" s="20" t="s">
        <v>52</v>
      </c>
      <c r="B25" s="20" t="s">
        <v>12</v>
      </c>
      <c r="C25" s="21" t="n">
        <f aca="false">'Tasa Rotación'!I24</f>
        <v>0</v>
      </c>
      <c r="D25" s="22" t="n">
        <v>3</v>
      </c>
      <c r="E25" s="22" t="n">
        <v>0</v>
      </c>
      <c r="F25" s="22" t="n">
        <v>0</v>
      </c>
      <c r="G25" s="23" t="n">
        <v>3</v>
      </c>
      <c r="H25" s="22" t="n">
        <v>3</v>
      </c>
      <c r="I25" s="22" t="n">
        <v>0</v>
      </c>
      <c r="J25" s="22" t="n">
        <v>0</v>
      </c>
      <c r="K25" s="23" t="n">
        <v>3</v>
      </c>
      <c r="L25" s="22" t="n">
        <v>3</v>
      </c>
      <c r="M25" s="22" t="n">
        <v>0</v>
      </c>
      <c r="N25" s="22" t="n">
        <v>0</v>
      </c>
      <c r="O25" s="23" t="n">
        <v>3</v>
      </c>
      <c r="P25" s="22" t="n">
        <v>4</v>
      </c>
      <c r="Q25" s="22" t="n">
        <v>0</v>
      </c>
      <c r="R25" s="22" t="n">
        <v>0</v>
      </c>
      <c r="S25" s="23" t="n">
        <v>4</v>
      </c>
      <c r="T25" s="22" t="n">
        <v>5</v>
      </c>
      <c r="U25" s="22" t="n">
        <v>0</v>
      </c>
      <c r="V25" s="22" t="n">
        <v>0</v>
      </c>
      <c r="W25" s="23" t="n">
        <v>5</v>
      </c>
      <c r="X25" s="22" t="n">
        <v>5</v>
      </c>
      <c r="Y25" s="22" t="n">
        <v>0</v>
      </c>
      <c r="Z25" s="22" t="n">
        <v>0</v>
      </c>
      <c r="AA25" s="23" t="n">
        <v>5</v>
      </c>
      <c r="AB25" s="24" t="n">
        <f aca="false">AA25+AC25</f>
        <v>5</v>
      </c>
      <c r="AC25" s="25" t="n">
        <v>0</v>
      </c>
      <c r="AD25" s="24" t="n">
        <f aca="false">-ROUND(AB25*C25,0)</f>
        <v>-0</v>
      </c>
      <c r="AE25" s="26" t="n">
        <f aca="false">AB25+AD25</f>
        <v>5</v>
      </c>
      <c r="AF25" s="24" t="n">
        <f aca="false">AE25+AG25</f>
        <v>5</v>
      </c>
      <c r="AG25" s="25" t="n">
        <v>0</v>
      </c>
      <c r="AH25" s="24" t="n">
        <f aca="false">-ROUND(AF25*C25,0)</f>
        <v>-0</v>
      </c>
      <c r="AI25" s="26" t="n">
        <f aca="false">AF25+AH25</f>
        <v>5</v>
      </c>
      <c r="AJ25" s="24" t="n">
        <f aca="false">AI25+AK25</f>
        <v>5</v>
      </c>
      <c r="AK25" s="25" t="n">
        <v>0</v>
      </c>
      <c r="AL25" s="24" t="n">
        <f aca="false">-ROUND(AJ25*C25,0)</f>
        <v>-0</v>
      </c>
      <c r="AM25" s="26" t="n">
        <f aca="false">AJ25+AL25</f>
        <v>5</v>
      </c>
      <c r="AN25" s="24" t="n">
        <f aca="false">AM25+AO25</f>
        <v>5</v>
      </c>
      <c r="AO25" s="25" t="n">
        <v>0</v>
      </c>
      <c r="AP25" s="24" t="n">
        <f aca="false">-ROUND(AN25*C25,0)</f>
        <v>-0</v>
      </c>
      <c r="AQ25" s="26" t="n">
        <f aca="false">AN25+AP25</f>
        <v>5</v>
      </c>
    </row>
    <row r="26" customFormat="false" ht="15" hidden="false" customHeight="true" outlineLevel="0" collapsed="false">
      <c r="A26" s="20" t="s">
        <v>53</v>
      </c>
      <c r="B26" s="20" t="s">
        <v>12</v>
      </c>
      <c r="C26" s="21" t="n">
        <f aca="false">'Tasa Rotación'!I25</f>
        <v>0</v>
      </c>
      <c r="D26" s="22" t="n">
        <v>4</v>
      </c>
      <c r="E26" s="22" t="n">
        <v>0</v>
      </c>
      <c r="F26" s="22" t="n">
        <v>0</v>
      </c>
      <c r="G26" s="23" t="n">
        <v>4</v>
      </c>
      <c r="H26" s="22" t="n">
        <v>4</v>
      </c>
      <c r="I26" s="22" t="n">
        <v>0</v>
      </c>
      <c r="J26" s="22" t="n">
        <v>0</v>
      </c>
      <c r="K26" s="23" t="n">
        <v>4</v>
      </c>
      <c r="L26" s="22" t="n">
        <v>4</v>
      </c>
      <c r="M26" s="22" t="n">
        <v>0</v>
      </c>
      <c r="N26" s="22" t="n">
        <v>0</v>
      </c>
      <c r="O26" s="23" t="n">
        <v>4</v>
      </c>
      <c r="P26" s="22" t="n">
        <v>4</v>
      </c>
      <c r="Q26" s="22" t="n">
        <v>0</v>
      </c>
      <c r="R26" s="22" t="n">
        <v>0</v>
      </c>
      <c r="S26" s="23" t="n">
        <v>4</v>
      </c>
      <c r="T26" s="22" t="n">
        <v>4</v>
      </c>
      <c r="U26" s="22" t="n">
        <v>0</v>
      </c>
      <c r="V26" s="22" t="n">
        <v>0</v>
      </c>
      <c r="W26" s="23" t="n">
        <v>4</v>
      </c>
      <c r="X26" s="22" t="n">
        <v>4</v>
      </c>
      <c r="Y26" s="22" t="n">
        <v>0</v>
      </c>
      <c r="Z26" s="22" t="n">
        <v>0</v>
      </c>
      <c r="AA26" s="23" t="n">
        <v>4</v>
      </c>
      <c r="AB26" s="24" t="n">
        <f aca="false">AA26+AC26</f>
        <v>4</v>
      </c>
      <c r="AC26" s="25" t="n">
        <v>0</v>
      </c>
      <c r="AD26" s="24" t="n">
        <f aca="false">-ROUND(AB26*C26,0)</f>
        <v>-0</v>
      </c>
      <c r="AE26" s="26" t="n">
        <f aca="false">AB26+AD26</f>
        <v>4</v>
      </c>
      <c r="AF26" s="24" t="n">
        <f aca="false">AE26+AG26</f>
        <v>4</v>
      </c>
      <c r="AG26" s="25" t="n">
        <v>0</v>
      </c>
      <c r="AH26" s="24" t="n">
        <f aca="false">-ROUND(AF26*C26,0)</f>
        <v>-0</v>
      </c>
      <c r="AI26" s="26" t="n">
        <f aca="false">AF26+AH26</f>
        <v>4</v>
      </c>
      <c r="AJ26" s="24" t="n">
        <f aca="false">AI26+AK26</f>
        <v>4</v>
      </c>
      <c r="AK26" s="25" t="n">
        <v>0</v>
      </c>
      <c r="AL26" s="24" t="n">
        <f aca="false">-ROUND(AJ26*C26,0)</f>
        <v>-0</v>
      </c>
      <c r="AM26" s="26" t="n">
        <f aca="false">AJ26+AL26</f>
        <v>4</v>
      </c>
      <c r="AN26" s="24" t="n">
        <f aca="false">AM26+AO26</f>
        <v>4</v>
      </c>
      <c r="AO26" s="25" t="n">
        <v>0</v>
      </c>
      <c r="AP26" s="24" t="n">
        <f aca="false">-ROUND(AN26*C26,0)</f>
        <v>-0</v>
      </c>
      <c r="AQ26" s="26" t="n">
        <f aca="false">AN26+AP26</f>
        <v>4</v>
      </c>
    </row>
    <row r="27" customFormat="false" ht="15" hidden="false" customHeight="true" outlineLevel="0" collapsed="false">
      <c r="A27" s="20" t="s">
        <v>54</v>
      </c>
      <c r="B27" s="20" t="s">
        <v>12</v>
      </c>
      <c r="C27" s="21" t="n">
        <f aca="false">'Tasa Rotación'!I26</f>
        <v>0</v>
      </c>
      <c r="D27" s="22" t="n">
        <v>15</v>
      </c>
      <c r="E27" s="22" t="n">
        <v>0</v>
      </c>
      <c r="F27" s="22" t="n">
        <v>0</v>
      </c>
      <c r="G27" s="23" t="n">
        <v>15</v>
      </c>
      <c r="H27" s="22" t="n">
        <v>15</v>
      </c>
      <c r="I27" s="22" t="n">
        <v>0</v>
      </c>
      <c r="J27" s="22" t="n">
        <v>0</v>
      </c>
      <c r="K27" s="23" t="n">
        <v>15</v>
      </c>
      <c r="L27" s="22" t="n">
        <v>14</v>
      </c>
      <c r="M27" s="22" t="n">
        <v>0</v>
      </c>
      <c r="N27" s="22" t="n">
        <v>0</v>
      </c>
      <c r="O27" s="23" t="n">
        <v>14</v>
      </c>
      <c r="P27" s="22" t="n">
        <v>14</v>
      </c>
      <c r="Q27" s="22" t="n">
        <v>0</v>
      </c>
      <c r="R27" s="22" t="n">
        <v>0</v>
      </c>
      <c r="S27" s="23" t="n">
        <v>14</v>
      </c>
      <c r="T27" s="22" t="n">
        <v>14</v>
      </c>
      <c r="U27" s="22" t="n">
        <v>0</v>
      </c>
      <c r="V27" s="22" t="n">
        <v>0</v>
      </c>
      <c r="W27" s="23" t="n">
        <v>14</v>
      </c>
      <c r="X27" s="22" t="n">
        <v>0</v>
      </c>
      <c r="Y27" s="22" t="n">
        <v>0</v>
      </c>
      <c r="Z27" s="22" t="n">
        <v>0</v>
      </c>
      <c r="AA27" s="23" t="n">
        <v>0</v>
      </c>
      <c r="AB27" s="24" t="n">
        <f aca="false">AA27+AC27</f>
        <v>0</v>
      </c>
      <c r="AC27" s="25" t="n">
        <v>0</v>
      </c>
      <c r="AD27" s="24" t="n">
        <f aca="false">-ROUND(AB27*C27,0)</f>
        <v>-0</v>
      </c>
      <c r="AE27" s="26" t="n">
        <f aca="false">AB27+AD27</f>
        <v>0</v>
      </c>
      <c r="AF27" s="24" t="n">
        <f aca="false">AE27+AG27</f>
        <v>0</v>
      </c>
      <c r="AG27" s="25" t="n">
        <v>0</v>
      </c>
      <c r="AH27" s="24" t="n">
        <f aca="false">-ROUND(AF27*C27,0)</f>
        <v>-0</v>
      </c>
      <c r="AI27" s="26" t="n">
        <f aca="false">AF27+AH27</f>
        <v>0</v>
      </c>
      <c r="AJ27" s="24" t="n">
        <f aca="false">AI27+AK27</f>
        <v>0</v>
      </c>
      <c r="AK27" s="25" t="n">
        <v>0</v>
      </c>
      <c r="AL27" s="24" t="n">
        <f aca="false">-ROUND(AJ27*C27,0)</f>
        <v>-0</v>
      </c>
      <c r="AM27" s="26" t="n">
        <f aca="false">AJ27+AL27</f>
        <v>0</v>
      </c>
      <c r="AN27" s="24" t="n">
        <f aca="false">AM27+AO27</f>
        <v>0</v>
      </c>
      <c r="AO27" s="25" t="n">
        <v>0</v>
      </c>
      <c r="AP27" s="24" t="n">
        <f aca="false">-ROUND(AN27*C27,0)</f>
        <v>-0</v>
      </c>
      <c r="AQ27" s="26" t="n">
        <f aca="false">AN27+AP27</f>
        <v>0</v>
      </c>
    </row>
    <row r="28" customFormat="false" ht="15" hidden="false" customHeight="true" outlineLevel="0" collapsed="false">
      <c r="A28" s="20" t="s">
        <v>55</v>
      </c>
      <c r="B28" s="20" t="s">
        <v>13</v>
      </c>
      <c r="C28" s="21" t="n">
        <f aca="false">'Tasa Rotación'!I27</f>
        <v>0.0184977810957654</v>
      </c>
      <c r="D28" s="22" t="n">
        <v>155</v>
      </c>
      <c r="E28" s="22" t="n">
        <v>0</v>
      </c>
      <c r="F28" s="22" t="n">
        <v>-7</v>
      </c>
      <c r="G28" s="23" t="n">
        <v>148</v>
      </c>
      <c r="H28" s="22" t="n">
        <v>147</v>
      </c>
      <c r="I28" s="22" t="n">
        <v>0</v>
      </c>
      <c r="J28" s="22" t="n">
        <v>-6</v>
      </c>
      <c r="K28" s="23" t="n">
        <v>141</v>
      </c>
      <c r="L28" s="22" t="n">
        <v>147</v>
      </c>
      <c r="M28" s="22" t="n">
        <v>0</v>
      </c>
      <c r="N28" s="22" t="n">
        <v>-2</v>
      </c>
      <c r="O28" s="23" t="n">
        <v>145</v>
      </c>
      <c r="P28" s="22" t="n">
        <v>141</v>
      </c>
      <c r="Q28" s="22" t="n">
        <v>0</v>
      </c>
      <c r="R28" s="22" t="n">
        <v>-7</v>
      </c>
      <c r="S28" s="23" t="n">
        <v>134</v>
      </c>
      <c r="T28" s="22" t="n">
        <v>146</v>
      </c>
      <c r="U28" s="22" t="n">
        <v>0</v>
      </c>
      <c r="V28" s="22" t="n">
        <v>0</v>
      </c>
      <c r="W28" s="23" t="n">
        <v>146</v>
      </c>
      <c r="X28" s="22" t="n">
        <v>171</v>
      </c>
      <c r="Y28" s="22" t="n">
        <v>0</v>
      </c>
      <c r="Z28" s="22" t="n">
        <v>-1</v>
      </c>
      <c r="AA28" s="23" t="n">
        <v>170</v>
      </c>
      <c r="AB28" s="24" t="n">
        <f aca="false">AA28+AC28</f>
        <v>182</v>
      </c>
      <c r="AC28" s="27" t="n">
        <f aca="false">Resumen!H30</f>
        <v>12</v>
      </c>
      <c r="AD28" s="24" t="n">
        <f aca="false">-ROUND(AB28*C28,0)</f>
        <v>-3</v>
      </c>
      <c r="AE28" s="26" t="n">
        <f aca="false">AB28+AD28</f>
        <v>179</v>
      </c>
      <c r="AF28" s="24" t="n">
        <f aca="false">AE28+AG28</f>
        <v>199</v>
      </c>
      <c r="AG28" s="27" t="n">
        <f aca="false">Resumen!I30</f>
        <v>20</v>
      </c>
      <c r="AH28" s="24" t="n">
        <f aca="false">-ROUND(AF28*C28,0)</f>
        <v>-4</v>
      </c>
      <c r="AI28" s="26" t="n">
        <f aca="false">AF28+AH28</f>
        <v>195</v>
      </c>
      <c r="AJ28" s="24" t="n">
        <f aca="false">AI28+AK28</f>
        <v>227</v>
      </c>
      <c r="AK28" s="27" t="n">
        <f aca="false">Resumen!J30</f>
        <v>32</v>
      </c>
      <c r="AL28" s="24" t="n">
        <f aca="false">-ROUND(AJ28*C28,0)</f>
        <v>-4</v>
      </c>
      <c r="AM28" s="26" t="n">
        <f aca="false">AJ28+AL28</f>
        <v>223</v>
      </c>
      <c r="AN28" s="24" t="n">
        <f aca="false">AM28+AO28</f>
        <v>255</v>
      </c>
      <c r="AO28" s="27" t="n">
        <f aca="false">Resumen!K30</f>
        <v>32</v>
      </c>
      <c r="AP28" s="24" t="n">
        <f aca="false">-ROUND(AN28*C28,0)</f>
        <v>-5</v>
      </c>
      <c r="AQ28" s="26" t="n">
        <f aca="false">AN28+AP28</f>
        <v>250</v>
      </c>
    </row>
    <row r="29" customFormat="false" ht="15" hidden="false" customHeight="true" outlineLevel="0" collapsed="false">
      <c r="A29" s="20" t="s">
        <v>56</v>
      </c>
      <c r="B29" s="20" t="s">
        <v>13</v>
      </c>
      <c r="C29" s="21" t="n">
        <f aca="false">'Tasa Rotación'!I28</f>
        <v>0</v>
      </c>
      <c r="D29" s="22" t="n">
        <v>15</v>
      </c>
      <c r="E29" s="22" t="n">
        <v>0</v>
      </c>
      <c r="F29" s="22" t="n">
        <v>-1</v>
      </c>
      <c r="G29" s="23" t="n">
        <v>14</v>
      </c>
      <c r="H29" s="22" t="n">
        <v>13</v>
      </c>
      <c r="I29" s="22" t="n">
        <v>0</v>
      </c>
      <c r="J29" s="22" t="n">
        <v>0</v>
      </c>
      <c r="K29" s="23" t="n">
        <v>13</v>
      </c>
      <c r="L29" s="22" t="n">
        <v>12</v>
      </c>
      <c r="M29" s="22" t="n">
        <v>0</v>
      </c>
      <c r="N29" s="22" t="n">
        <v>0</v>
      </c>
      <c r="O29" s="23" t="n">
        <v>12</v>
      </c>
      <c r="P29" s="22" t="n">
        <v>11</v>
      </c>
      <c r="Q29" s="22" t="n">
        <v>0</v>
      </c>
      <c r="R29" s="22" t="n">
        <v>0</v>
      </c>
      <c r="S29" s="23" t="n">
        <v>11</v>
      </c>
      <c r="T29" s="22" t="n">
        <v>13</v>
      </c>
      <c r="U29" s="22" t="n">
        <v>0</v>
      </c>
      <c r="V29" s="22" t="n">
        <v>0</v>
      </c>
      <c r="W29" s="23" t="n">
        <v>13</v>
      </c>
      <c r="X29" s="22" t="n">
        <v>13</v>
      </c>
      <c r="Y29" s="22" t="n">
        <v>0</v>
      </c>
      <c r="Z29" s="22" t="n">
        <v>0</v>
      </c>
      <c r="AA29" s="23" t="n">
        <v>13</v>
      </c>
      <c r="AB29" s="24" t="n">
        <f aca="false">AA29+AC29</f>
        <v>13</v>
      </c>
      <c r="AC29" s="25" t="n">
        <v>0</v>
      </c>
      <c r="AD29" s="24" t="n">
        <f aca="false">-ROUND(AB29*C29,0)</f>
        <v>-0</v>
      </c>
      <c r="AE29" s="26" t="n">
        <f aca="false">AB29+AD29</f>
        <v>13</v>
      </c>
      <c r="AF29" s="24" t="n">
        <f aca="false">AE29+AG29</f>
        <v>13</v>
      </c>
      <c r="AG29" s="25" t="n">
        <v>0</v>
      </c>
      <c r="AH29" s="24" t="n">
        <f aca="false">-ROUND(AF29*C29,0)</f>
        <v>-0</v>
      </c>
      <c r="AI29" s="26" t="n">
        <f aca="false">AF29+AH29</f>
        <v>13</v>
      </c>
      <c r="AJ29" s="24" t="n">
        <f aca="false">AI29+AK29</f>
        <v>13</v>
      </c>
      <c r="AK29" s="25" t="n">
        <v>0</v>
      </c>
      <c r="AL29" s="24" t="n">
        <f aca="false">-ROUND(AJ29*C29,0)</f>
        <v>-0</v>
      </c>
      <c r="AM29" s="26" t="n">
        <f aca="false">AJ29+AL29</f>
        <v>13</v>
      </c>
      <c r="AN29" s="24" t="n">
        <f aca="false">AM29+AO29</f>
        <v>13</v>
      </c>
      <c r="AO29" s="25" t="n">
        <v>0</v>
      </c>
      <c r="AP29" s="24" t="n">
        <f aca="false">-ROUND(AN29*C29,0)</f>
        <v>-0</v>
      </c>
      <c r="AQ29" s="26" t="n">
        <f aca="false">AN29+AP29</f>
        <v>13</v>
      </c>
    </row>
    <row r="31" customFormat="false" ht="15" hidden="false" customHeight="true" outlineLevel="0" collapsed="false">
      <c r="A31" s="28" t="s">
        <v>63</v>
      </c>
      <c r="D31" s="19" t="n">
        <f aca="false">SUM(D5:D29)</f>
        <v>1028</v>
      </c>
      <c r="E31" s="19" t="n">
        <f aca="false">SUM(E5:E29)</f>
        <v>0</v>
      </c>
      <c r="F31" s="19" t="n">
        <f aca="false">SUM(F5:F29)</f>
        <v>-20</v>
      </c>
      <c r="G31" s="19" t="n">
        <f aca="false">SUM(G5:G29)</f>
        <v>1008</v>
      </c>
      <c r="H31" s="19" t="n">
        <f aca="false">SUM(H5:H29)</f>
        <v>1038</v>
      </c>
      <c r="I31" s="19" t="n">
        <f aca="false">SUM(I5:I29)</f>
        <v>0</v>
      </c>
      <c r="J31" s="19" t="n">
        <f aca="false">SUM(J5:J29)</f>
        <v>-30</v>
      </c>
      <c r="K31" s="19" t="n">
        <f aca="false">SUM(K5:K29)</f>
        <v>1008</v>
      </c>
      <c r="L31" s="19" t="n">
        <f aca="false">SUM(L5:L29)</f>
        <v>1034</v>
      </c>
      <c r="M31" s="19" t="n">
        <f aca="false">SUM(M5:M29)</f>
        <v>0</v>
      </c>
      <c r="N31" s="19" t="n">
        <f aca="false">SUM(N5:N29)</f>
        <v>-12</v>
      </c>
      <c r="O31" s="19" t="n">
        <f aca="false">SUM(O5:O29)</f>
        <v>1022</v>
      </c>
      <c r="P31" s="19" t="n">
        <f aca="false">SUM(P5:P29)</f>
        <v>1031</v>
      </c>
      <c r="Q31" s="19" t="n">
        <f aca="false">SUM(Q5:Q29)</f>
        <v>0</v>
      </c>
      <c r="R31" s="19" t="n">
        <f aca="false">SUM(R5:R29)</f>
        <v>-28</v>
      </c>
      <c r="S31" s="19" t="n">
        <f aca="false">SUM(S5:S29)</f>
        <v>1003</v>
      </c>
      <c r="T31" s="19" t="n">
        <f aca="false">SUM(T5:T29)</f>
        <v>1006</v>
      </c>
      <c r="U31" s="19" t="n">
        <f aca="false">SUM(U5:U29)</f>
        <v>0</v>
      </c>
      <c r="V31" s="19" t="n">
        <f aca="false">SUM(V5:V29)</f>
        <v>-23</v>
      </c>
      <c r="W31" s="19" t="n">
        <f aca="false">SUM(W5:W29)</f>
        <v>983</v>
      </c>
      <c r="X31" s="19" t="n">
        <f aca="false">SUM(X5:X29)</f>
        <v>1021</v>
      </c>
      <c r="Y31" s="19" t="n">
        <f aca="false">SUM(Y5:Y29)</f>
        <v>0</v>
      </c>
      <c r="Z31" s="19" t="n">
        <f aca="false">SUM(Z5:Z29)</f>
        <v>-6</v>
      </c>
      <c r="AA31" s="19" t="n">
        <f aca="false">SUM(AA5:AA29)</f>
        <v>1015</v>
      </c>
      <c r="AB31" s="19" t="n">
        <f aca="false">SUM(AB5:AB29)</f>
        <v>1046</v>
      </c>
      <c r="AC31" s="19" t="n">
        <f aca="false">SUM(AC5:AC29)</f>
        <v>31</v>
      </c>
      <c r="AD31" s="19" t="n">
        <f aca="false">SUM(AD5:AD29)</f>
        <v>-19</v>
      </c>
      <c r="AE31" s="19" t="n">
        <f aca="false">SUM(AE5:AE29)</f>
        <v>1027</v>
      </c>
      <c r="AF31" s="19" t="n">
        <f aca="false">SUM(AF5:AF29)</f>
        <v>1074</v>
      </c>
      <c r="AG31" s="19" t="n">
        <f aca="false">SUM(AG5:AG29)</f>
        <v>47</v>
      </c>
      <c r="AH31" s="19" t="n">
        <f aca="false">SUM(AH5:AH29)</f>
        <v>-21</v>
      </c>
      <c r="AI31" s="19" t="n">
        <f aca="false">SUM(AI5:AI29)</f>
        <v>1053</v>
      </c>
      <c r="AJ31" s="19" t="n">
        <f aca="false">SUM(AJ5:AJ29)</f>
        <v>1103</v>
      </c>
      <c r="AK31" s="19" t="n">
        <f aca="false">SUM(AK5:AK29)</f>
        <v>50</v>
      </c>
      <c r="AL31" s="19" t="n">
        <f aca="false">SUM(AL5:AL29)</f>
        <v>-20</v>
      </c>
      <c r="AM31" s="19" t="n">
        <f aca="false">SUM(AM5:AM29)</f>
        <v>1083</v>
      </c>
      <c r="AN31" s="19" t="n">
        <f aca="false">SUM(AN5:AN29)</f>
        <v>1133</v>
      </c>
      <c r="AO31" s="19" t="n">
        <f aca="false">SUM(AO5:AO29)</f>
        <v>50</v>
      </c>
      <c r="AP31" s="19" t="n">
        <f aca="false">SUM(AP5:AP29)</f>
        <v>-22</v>
      </c>
      <c r="AQ31" s="19" t="n">
        <f aca="false">SUM(AQ5:AQ29)</f>
        <v>1111</v>
      </c>
    </row>
    <row r="33" customFormat="false" ht="15" hidden="false" customHeight="true" outlineLevel="0" collapsed="false">
      <c r="A33" s="3" t="s">
        <v>64</v>
      </c>
    </row>
    <row r="34" customFormat="false" ht="15" hidden="false" customHeight="true" outlineLevel="0" collapsed="false">
      <c r="A34" s="29" t="s">
        <v>65</v>
      </c>
    </row>
    <row r="35" customFormat="false" ht="15" hidden="false" customHeight="true" outlineLevel="0" collapsed="false">
      <c r="A35" s="30" t="s">
        <v>66</v>
      </c>
    </row>
  </sheetData>
  <mergeCells count="11">
    <mergeCell ref="A2:R2"/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AN3:A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2026-06-10T14:47:48Z</dcterms:created>
  <dc:creator>openpyxl</dc:creator>
  <dc:description/>
  <dc:language>en-US</dc:language>
  <cp:lastModifiedBy/>
  <dcterms:modified xsi:type="dcterms:W3CDTF">2026-06-10T14:59:53Z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