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Tasa Rotación" sheetId="2" state="visible" r:id="rId4"/>
    <sheet name="Proyecció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<sst xmlns="http://schemas.openxmlformats.org/spreadsheetml/2006/main" count="225" uniqueCount="74">
  <si>
    <t xml:space="preserve">RESUMEN MENSUAL - CAPACITY VS REAL</t>
  </si>
  <si>
    <t xml:space="preserve">Capacity</t>
  </si>
  <si>
    <t xml:space="preserve">Ene'26</t>
  </si>
  <si>
    <t xml:space="preserve">Feb'26</t>
  </si>
  <si>
    <t xml:space="preserve">Mar'26</t>
  </si>
  <si>
    <t xml:space="preserve">Abr'26</t>
  </si>
  <si>
    <t xml:space="preserve">May'26</t>
  </si>
  <si>
    <t xml:space="preserve">Jun'26</t>
  </si>
  <si>
    <t xml:space="preserve">Jul'26</t>
  </si>
  <si>
    <t xml:space="preserve">Ago'26</t>
  </si>
  <si>
    <t xml:space="preserve">Set'26</t>
  </si>
  <si>
    <t xml:space="preserve">Oct'26</t>
  </si>
  <si>
    <t xml:space="preserve">Llamadas</t>
  </si>
  <si>
    <t xml:space="preserve">Chats</t>
  </si>
  <si>
    <t xml:space="preserve">Inbound</t>
  </si>
  <si>
    <t xml:space="preserve">Real (cierre)</t>
  </si>
  <si>
    <t xml:space="preserve">Salidas</t>
  </si>
  <si>
    <t xml:space="preserve">R&amp;S</t>
  </si>
  <si>
    <t xml:space="preserve">Ingresos</t>
  </si>
  <si>
    <t xml:space="preserve">Cobertura</t>
  </si>
  <si>
    <t xml:space="preserve">NOTA: Las celdas amarillas son tu R&amp;S futuro editable. Modifícalas y todo se recalcula.</t>
  </si>
  <si>
    <t xml:space="preserve">TASA DE ROTACIÓN POR LÍNEA</t>
  </si>
  <si>
    <t xml:space="preserve">Tasa = (INI - REAL)/INI. Tasa Proyectada = promedio últimos 3 meses (Abr, May, Jun)</t>
  </si>
  <si>
    <t xml:space="preserve">Línea</t>
  </si>
  <si>
    <t xml:space="preserve">Mundo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</si>
  <si>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</si>
  <si>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</si>
  <si>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</si>
  <si>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</si>
  <si>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</si>
  <si>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</si>
  <si>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Tasa Proy</t>
  </si>
  <si>
    <t xml:space="preserve">CONSULTAS GENERALES</t>
  </si>
  <si>
    <t xml:space="preserve">SWAT</t>
  </si>
  <si>
    <t xml:space="preserve">TRAINEE LLAMADAS</t>
  </si>
  <si>
    <t xml:space="preserve">TRAINEE-CCGG</t>
  </si>
  <si>
    <t xml:space="preserve">CANALES DIGITALES</t>
  </si>
  <si>
    <t xml:space="preserve">UDAC BANCA MAYORISTA</t>
  </si>
  <si>
    <t xml:space="preserve">UDAC BANCA NEGOCIOS</t>
  </si>
  <si>
    <t xml:space="preserve">UDAC PYME</t>
  </si>
  <si>
    <t xml:space="preserve">UDAC PYME BUZON</t>
  </si>
  <si>
    <t xml:space="preserve">OPERACIONES NO RECONOCIDAS</t>
  </si>
  <si>
    <t xml:space="preserve">FUERA DE TURNO</t>
  </si>
  <si>
    <t xml:space="preserve">OPERACIONES TRUNCAS</t>
  </si>
  <si>
    <t xml:space="preserve">BANCA SEGURO</t>
  </si>
  <si>
    <t xml:space="preserve">BANCA SEGURO RETENCIONES</t>
  </si>
  <si>
    <t xml:space="preserve">RETENCIONES</t>
  </si>
  <si>
    <t xml:space="preserve">HELPDESK SPE</t>
  </si>
  <si>
    <t xml:space="preserve">INVERSIONES</t>
  </si>
  <si>
    <t xml:space="preserve">ENALTA</t>
  </si>
  <si>
    <t xml:space="preserve">LINEA TU BIENESTAR</t>
  </si>
  <si>
    <t xml:space="preserve">AGENTE</t>
  </si>
  <si>
    <t xml:space="preserve">CENTRAL TELEFONICA</t>
  </si>
  <si>
    <t xml:space="preserve">FACTURACION ELECTRONICA</t>
  </si>
  <si>
    <t xml:space="preserve">BLOQUEOS</t>
  </si>
  <si>
    <t xml:space="preserve">CONTACTOS WEB</t>
  </si>
  <si>
    <t xml:space="preserve">REDES SOCIALES</t>
  </si>
  <si>
    <t xml:space="preserve">PROYECCIÓN POR LÍNEA - JUL A OCT 2026</t>
  </si>
  <si>
    <t xml:space="preserve">Para cada mes: Salidas (calculado por tasa), Ingresos (de Pedidos), Cierre = Cierre anterior + Ingresos + Salidas</t>
  </si>
  <si>
    <t xml:space="preserve">JULIO</t>
  </si>
  <si>
    <t xml:space="preserve">AGOSTO</t>
  </si>
  <si>
    <t xml:space="preserve">SEPTIEMBRE</t>
  </si>
  <si>
    <t xml:space="preserve">OCTUBRE</t>
  </si>
  <si>
    <t xml:space="preserve">Tasa</t>
  </si>
  <si>
    <t xml:space="preserve">May Real</t>
  </si>
  <si>
    <t xml:space="preserve">Jun Real</t>
  </si>
  <si>
    <t xml:space="preserve">Ing</t>
  </si>
  <si>
    <t xml:space="preserve">Sal</t>
  </si>
  <si>
    <t xml:space="preserve">Cierre</t>
  </si>
  <si>
    <t xml:space="preserve">TOTAL</t>
  </si>
  <si>
    <t xml:space="preserve">LEYENDA</t>
  </si>
  <si>
    <t xml:space="preserve">Datos reales (no tocar)</t>
  </si>
  <si>
    <t xml:space="preserve">Editable (ingresos)</t>
  </si>
  <si>
    <t xml:space="preserve">Fórmulas (cierre auto)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</si>
</sst>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0.0%"/>
    <numFmt numFmtId="168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8FAADC"/>
        <bgColor rgb="FF969696"/>
      </patternFill>
    </fill>
    <fill>
      <patternFill patternType="solid">
        <fgColor rgb="FFE2EFDA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2" min="2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customFormat="false" ht="15" hidden="false" customHeight="false" outlineLevel="0" collapsed="false">
      <c r="A4" s="4" t="s">
        <v>12</v>
      </c>
      <c r="B4" s="5" t="n">
        <v>856</v>
      </c>
      <c r="C4" s="5" t="n">
        <v>901</v>
      </c>
      <c r="D4" s="5" t="n">
        <v>893</v>
      </c>
      <c r="E4" s="5" t="n">
        <v>858</v>
      </c>
      <c r="F4" s="5" t="n">
        <v>836</v>
      </c>
      <c r="G4" s="5" t="n">
        <v>889</v>
      </c>
      <c r="H4" s="5" t="n">
        <v>851</v>
      </c>
      <c r="I4" s="5" t="n">
        <v>784</v>
      </c>
      <c r="J4" s="5" t="n">
        <v>761</v>
      </c>
      <c r="K4" s="5" t="n">
        <v>732</v>
      </c>
    </row>
    <row r="5" customFormat="false" ht="15" hidden="false" customHeight="false" outlineLevel="0" collapsed="false">
      <c r="A5" s="4" t="s">
        <v>13</v>
      </c>
      <c r="B5" s="5" t="n">
        <v>170</v>
      </c>
      <c r="C5" s="5" t="n">
        <v>160</v>
      </c>
      <c r="D5" s="5" t="n">
        <v>159</v>
      </c>
      <c r="E5" s="5" t="n">
        <v>152</v>
      </c>
      <c r="F5" s="5" t="n">
        <v>171</v>
      </c>
      <c r="G5" s="5" t="n">
        <v>227</v>
      </c>
      <c r="H5" s="5" t="n">
        <v>245</v>
      </c>
      <c r="I5" s="5" t="n">
        <v>242</v>
      </c>
      <c r="J5" s="5" t="n">
        <v>255</v>
      </c>
      <c r="K5" s="5" t="n">
        <v>240</v>
      </c>
    </row>
    <row r="6" customFormat="false" ht="15" hidden="false" customHeight="false" outlineLevel="0" collapsed="false">
      <c r="A6" s="2" t="s">
        <v>14</v>
      </c>
      <c r="B6" s="6" t="n">
        <f aca="false">B4+B5</f>
        <v>1026</v>
      </c>
      <c r="C6" s="6" t="n">
        <f aca="false">C4+C5</f>
        <v>1061</v>
      </c>
      <c r="D6" s="6" t="n">
        <f aca="false">D4+D5</f>
        <v>1052</v>
      </c>
      <c r="E6" s="6" t="n">
        <f aca="false">E4+E5</f>
        <v>1010</v>
      </c>
      <c r="F6" s="6" t="n">
        <f aca="false">F4+F5</f>
        <v>1007</v>
      </c>
      <c r="G6" s="6" t="n">
        <f aca="false">G4+G5</f>
        <v>1116</v>
      </c>
      <c r="H6" s="6" t="n">
        <f aca="false">H4+H5</f>
        <v>1096</v>
      </c>
      <c r="I6" s="6" t="n">
        <f aca="false">I4+I5</f>
        <v>1026</v>
      </c>
      <c r="J6" s="6" t="n">
        <f aca="false">J4+J5</f>
        <v>1016</v>
      </c>
      <c r="K6" s="6" t="n">
        <f aca="false">K4+K5</f>
        <v>972</v>
      </c>
    </row>
    <row r="7" customFormat="false" ht="15" hidden="false" customHeight="false" outlineLevel="0" collapsed="false">
      <c r="B7" s="5"/>
      <c r="C7" s="5"/>
      <c r="D7" s="5"/>
      <c r="E7" s="5"/>
      <c r="F7" s="5"/>
      <c r="G7" s="5"/>
      <c r="H7" s="5"/>
      <c r="I7" s="5"/>
      <c r="J7" s="5"/>
      <c r="K7" s="5"/>
    </row>
    <row r="8" customFormat="false" ht="15" hidden="false" customHeight="false" outlineLevel="0" collapsed="false">
      <c r="A8" s="2" t="s">
        <v>15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</row>
    <row r="9" customFormat="false" ht="15" hidden="false" customHeight="false" outlineLevel="0" collapsed="false">
      <c r="A9" s="4" t="s">
        <v>12</v>
      </c>
      <c r="B9" s="7" t="n">
        <v>846</v>
      </c>
      <c r="C9" s="7" t="n">
        <v>854</v>
      </c>
      <c r="D9" s="7" t="n">
        <v>865</v>
      </c>
      <c r="E9" s="7" t="n">
        <v>858</v>
      </c>
      <c r="F9" s="7" t="n">
        <v>824</v>
      </c>
      <c r="G9" s="7" t="n">
        <v>832</v>
      </c>
      <c r="H9" s="7" t="n">
        <f aca="false">SUMIF(Proyección!B5:B29,"Llamadas",Proyección!H5:H29)</f>
        <v>839</v>
      </c>
      <c r="I9" s="7" t="n">
        <f aca="false">SUMIF(Proyección!B5:B29,"Llamadas",Proyección!K5:K29)</f>
        <v>849</v>
      </c>
      <c r="J9" s="7" t="n">
        <f aca="false">SUMIF(Proyección!B5:B29,"Llamadas",Proyección!N5:N29)</f>
        <v>851</v>
      </c>
      <c r="K9" s="7" t="n">
        <f aca="false">SUMIF(Proyección!B5:B29,"Llamadas",Proyección!Q5:Q29)</f>
        <v>852</v>
      </c>
    </row>
    <row r="10" customFormat="false" ht="15" hidden="false" customHeight="false" outlineLevel="0" collapsed="false">
      <c r="A10" s="4" t="s">
        <v>13</v>
      </c>
      <c r="B10" s="7" t="n">
        <v>162</v>
      </c>
      <c r="C10" s="7" t="n">
        <v>154</v>
      </c>
      <c r="D10" s="7" t="n">
        <v>157</v>
      </c>
      <c r="E10" s="7" t="n">
        <v>145</v>
      </c>
      <c r="F10" s="7" t="n">
        <v>159</v>
      </c>
      <c r="G10" s="7" t="n">
        <v>183</v>
      </c>
      <c r="H10" s="7" t="n">
        <f aca="false">SUMIF(Proyección!B5:B29,"Chats",Proyección!H5:H29)</f>
        <v>192</v>
      </c>
      <c r="I10" s="7" t="n">
        <f aca="false">SUMIF(Proyección!B5:B29,"Chats",Proyección!K5:K29)</f>
        <v>208</v>
      </c>
      <c r="J10" s="7" t="n">
        <f aca="false">SUMIF(Proyección!B5:B29,"Chats",Proyección!N5:N29)</f>
        <v>236</v>
      </c>
      <c r="K10" s="7" t="n">
        <f aca="false">SUMIF(Proyección!B5:B29,"Chats",Proyección!Q5:Q29)</f>
        <v>263</v>
      </c>
    </row>
    <row r="11" customFormat="false" ht="15" hidden="false" customHeight="false" outlineLevel="0" collapsed="false">
      <c r="A11" s="2" t="s">
        <v>14</v>
      </c>
      <c r="B11" s="6" t="n">
        <f aca="false">B9+B10</f>
        <v>1008</v>
      </c>
      <c r="C11" s="6" t="n">
        <f aca="false">C9+C10</f>
        <v>1008</v>
      </c>
      <c r="D11" s="6" t="n">
        <f aca="false">D9+D10</f>
        <v>1022</v>
      </c>
      <c r="E11" s="6" t="n">
        <f aca="false">E9+E10</f>
        <v>1003</v>
      </c>
      <c r="F11" s="6" t="n">
        <f aca="false">F9+F10</f>
        <v>983</v>
      </c>
      <c r="G11" s="6" t="n">
        <f aca="false">G9+G10</f>
        <v>1015</v>
      </c>
      <c r="H11" s="6" t="n">
        <f aca="false">H9+H10</f>
        <v>1031</v>
      </c>
      <c r="I11" s="6" t="n">
        <f aca="false">I9+I10</f>
        <v>1057</v>
      </c>
      <c r="J11" s="6" t="n">
        <f aca="false">J9+J10</f>
        <v>1087</v>
      </c>
      <c r="K11" s="6" t="n">
        <f aca="false">K9+K10</f>
        <v>1115</v>
      </c>
    </row>
    <row r="12" customFormat="false" ht="15" hidden="false" customHeight="false" outlineLevel="0" collapsed="false">
      <c r="B12" s="5"/>
      <c r="C12" s="5"/>
      <c r="D12" s="5"/>
      <c r="E12" s="5"/>
      <c r="F12" s="5"/>
      <c r="G12" s="5"/>
      <c r="H12" s="5"/>
      <c r="I12" s="5"/>
      <c r="J12" s="5"/>
      <c r="K12" s="5"/>
    </row>
    <row r="13" customFormat="false" ht="15" hidden="false" customHeight="false" outlineLevel="0" collapsed="false">
      <c r="A13" s="2" t="s">
        <v>16</v>
      </c>
      <c r="B13" s="3" t="s">
        <v>2</v>
      </c>
      <c r="C13" s="3" t="s">
        <v>3</v>
      </c>
      <c r="D13" s="3" t="s">
        <v>4</v>
      </c>
      <c r="E13" s="3" t="s">
        <v>5</v>
      </c>
      <c r="F13" s="3" t="s">
        <v>6</v>
      </c>
      <c r="G13" s="3" t="s">
        <v>7</v>
      </c>
      <c r="H13" s="3" t="s">
        <v>8</v>
      </c>
      <c r="I13" s="3" t="s">
        <v>9</v>
      </c>
      <c r="J13" s="3" t="s">
        <v>10</v>
      </c>
      <c r="K13" s="3" t="s">
        <v>11</v>
      </c>
    </row>
    <row r="14" customFormat="false" ht="15" hidden="false" customHeight="false" outlineLevel="0" collapsed="false">
      <c r="A14" s="4" t="s">
        <v>12</v>
      </c>
      <c r="B14" s="7" t="n">
        <v>-12</v>
      </c>
      <c r="C14" s="7" t="n">
        <v>-24</v>
      </c>
      <c r="D14" s="7" t="n">
        <v>-10</v>
      </c>
      <c r="E14" s="7" t="n">
        <v>-21</v>
      </c>
      <c r="F14" s="7" t="n">
        <v>-23</v>
      </c>
      <c r="G14" s="7" t="n">
        <v>-6</v>
      </c>
      <c r="H14" s="7" t="n">
        <f aca="false">SUMIF(Proyección!B5:B29,"Llamadas",Proyección!G5:G29)</f>
        <v>-16</v>
      </c>
      <c r="I14" s="7" t="n">
        <f aca="false">SUMIF(Proyección!B5:B29,"Llamadas",Proyección!J5:J29)</f>
        <v>-17</v>
      </c>
      <c r="J14" s="7" t="n">
        <f aca="false">SUMIF(Proyección!B5:B29,"Llamadas",Proyección!M5:M29)</f>
        <v>-16</v>
      </c>
      <c r="K14" s="7" t="n">
        <f aca="false">SUMIF(Proyección!B5:B29,"Llamadas",Proyección!P5:P29)</f>
        <v>-17</v>
      </c>
    </row>
    <row r="15" customFormat="false" ht="15" hidden="false" customHeight="false" outlineLevel="0" collapsed="false">
      <c r="A15" s="4" t="s">
        <v>13</v>
      </c>
      <c r="B15" s="7" t="n">
        <v>-8</v>
      </c>
      <c r="C15" s="7" t="n">
        <v>-6</v>
      </c>
      <c r="D15" s="7" t="n">
        <v>-2</v>
      </c>
      <c r="E15" s="7" t="n">
        <v>-7</v>
      </c>
      <c r="F15" s="7" t="n">
        <v>0</v>
      </c>
      <c r="G15" s="7" t="n">
        <v>-1</v>
      </c>
      <c r="H15" s="7" t="n">
        <f aca="false">SUMIF(Proyección!B5:B29,"Chats",Proyección!G5:G29)</f>
        <v>-3</v>
      </c>
      <c r="I15" s="7" t="n">
        <f aca="false">SUMIF(Proyección!B5:B29,"Chats",Proyección!J5:J29)</f>
        <v>-4</v>
      </c>
      <c r="J15" s="7" t="n">
        <f aca="false">SUMIF(Proyección!B5:B29,"Chats",Proyección!M5:M29)</f>
        <v>-4</v>
      </c>
      <c r="K15" s="7" t="n">
        <f aca="false">SUMIF(Proyección!B5:B29,"Chats",Proyección!P5:P29)</f>
        <v>-5</v>
      </c>
    </row>
    <row r="16" customFormat="false" ht="15" hidden="false" customHeight="false" outlineLevel="0" collapsed="false">
      <c r="A16" s="2" t="s">
        <v>14</v>
      </c>
      <c r="B16" s="6" t="n">
        <f aca="false">B14+B15</f>
        <v>-20</v>
      </c>
      <c r="C16" s="6" t="n">
        <f aca="false">C14+C15</f>
        <v>-30</v>
      </c>
      <c r="D16" s="6" t="n">
        <f aca="false">D14+D15</f>
        <v>-12</v>
      </c>
      <c r="E16" s="6" t="n">
        <f aca="false">E14+E15</f>
        <v>-28</v>
      </c>
      <c r="F16" s="6" t="n">
        <f aca="false">F14+F15</f>
        <v>-23</v>
      </c>
      <c r="G16" s="6" t="n">
        <f aca="false">G14+G15</f>
        <v>-7</v>
      </c>
      <c r="H16" s="6" t="n">
        <f aca="false">H14+H15</f>
        <v>-19</v>
      </c>
      <c r="I16" s="6" t="n">
        <f aca="false">I14+I15</f>
        <v>-21</v>
      </c>
      <c r="J16" s="6" t="n">
        <f aca="false">J14+J15</f>
        <v>-20</v>
      </c>
      <c r="K16" s="6" t="n">
        <f aca="false">K14+K15</f>
        <v>-22</v>
      </c>
    </row>
    <row r="17" customFormat="false" ht="15" hidden="false" customHeight="false" outlineLevel="0" collapsed="false">
      <c r="B17" s="5"/>
      <c r="C17" s="5"/>
      <c r="D17" s="5"/>
      <c r="E17" s="5"/>
      <c r="F17" s="5"/>
      <c r="G17" s="5"/>
      <c r="H17" s="5"/>
      <c r="I17" s="5"/>
      <c r="J17" s="5"/>
      <c r="K17" s="5"/>
    </row>
    <row r="18" customFormat="false" ht="15" hidden="false" customHeight="false" outlineLevel="0" collapsed="false">
      <c r="A18" s="2" t="s">
        <v>17</v>
      </c>
      <c r="B18" s="3" t="s">
        <v>2</v>
      </c>
      <c r="C18" s="3" t="s">
        <v>3</v>
      </c>
      <c r="D18" s="3" t="s">
        <v>4</v>
      </c>
      <c r="E18" s="3" t="s">
        <v>5</v>
      </c>
      <c r="F18" s="3" t="s">
        <v>6</v>
      </c>
      <c r="G18" s="3" t="s">
        <v>7</v>
      </c>
      <c r="H18" s="3" t="s">
        <v>8</v>
      </c>
      <c r="I18" s="3" t="s">
        <v>9</v>
      </c>
      <c r="J18" s="3" t="s">
        <v>10</v>
      </c>
      <c r="K18" s="3" t="s">
        <v>11</v>
      </c>
    </row>
    <row r="19" customFormat="false" ht="15" hidden="false" customHeight="false" outlineLevel="0" collapsed="false">
      <c r="A19" s="4" t="s">
        <v>12</v>
      </c>
      <c r="B19" s="7" t="n">
        <v>44</v>
      </c>
      <c r="C19" s="7" t="n">
        <v>48</v>
      </c>
      <c r="D19" s="7" t="n">
        <v>33</v>
      </c>
      <c r="E19" s="7" t="n">
        <v>23</v>
      </c>
      <c r="F19" s="7" t="n">
        <v>25</v>
      </c>
      <c r="G19" s="7" t="n">
        <v>30</v>
      </c>
      <c r="H19" s="8" t="n">
        <v>20</v>
      </c>
      <c r="I19" s="8" t="n">
        <v>20</v>
      </c>
      <c r="J19" s="8" t="n">
        <v>20</v>
      </c>
      <c r="K19" s="8" t="n">
        <v>20</v>
      </c>
    </row>
    <row r="20" customFormat="false" ht="15" hidden="false" customHeight="false" outlineLevel="0" collapsed="false">
      <c r="A20" s="4" t="s">
        <v>13</v>
      </c>
      <c r="B20" s="7" t="n">
        <v>11</v>
      </c>
      <c r="C20" s="7" t="n">
        <v>0</v>
      </c>
      <c r="D20" s="7" t="n">
        <v>16</v>
      </c>
      <c r="E20" s="7" t="n">
        <v>30</v>
      </c>
      <c r="F20" s="7" t="n">
        <v>13</v>
      </c>
      <c r="G20" s="7" t="n">
        <v>22</v>
      </c>
      <c r="H20" s="8" t="n">
        <v>35</v>
      </c>
      <c r="I20" s="8" t="n">
        <v>35</v>
      </c>
      <c r="J20" s="8" t="n">
        <v>35</v>
      </c>
      <c r="K20" s="8" t="n">
        <v>35</v>
      </c>
    </row>
    <row r="21" customFormat="false" ht="15" hidden="false" customHeight="false" outlineLevel="0" collapsed="false">
      <c r="A21" s="2" t="s">
        <v>14</v>
      </c>
      <c r="B21" s="6" t="n">
        <f aca="false">B19+B20</f>
        <v>55</v>
      </c>
      <c r="C21" s="6" t="n">
        <f aca="false">C19+C20</f>
        <v>48</v>
      </c>
      <c r="D21" s="6" t="n">
        <f aca="false">D19+D20</f>
        <v>49</v>
      </c>
      <c r="E21" s="6" t="n">
        <f aca="false">E19+E20</f>
        <v>53</v>
      </c>
      <c r="F21" s="6" t="n">
        <f aca="false">F19+F20</f>
        <v>38</v>
      </c>
      <c r="G21" s="6" t="n">
        <f aca="false">G19+G20</f>
        <v>52</v>
      </c>
      <c r="H21" s="6" t="n">
        <f aca="false">H19+H20</f>
        <v>55</v>
      </c>
      <c r="I21" s="6" t="n">
        <f aca="false">I19+I20</f>
        <v>55</v>
      </c>
      <c r="J21" s="6" t="n">
        <f aca="false">J19+J20</f>
        <v>55</v>
      </c>
      <c r="K21" s="6" t="n">
        <f aca="false">K19+K20</f>
        <v>55</v>
      </c>
    </row>
    <row r="22" customFormat="false" ht="15" hidden="false" customHeight="false" outlineLevel="0" collapsed="false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customFormat="false" ht="15" hidden="false" customHeight="false" outlineLevel="0" collapsed="false">
      <c r="A23" s="2" t="s">
        <v>18</v>
      </c>
      <c r="B23" s="3" t="s">
        <v>2</v>
      </c>
      <c r="C23" s="3" t="s">
        <v>3</v>
      </c>
      <c r="D23" s="3" t="s">
        <v>4</v>
      </c>
      <c r="E23" s="3" t="s">
        <v>5</v>
      </c>
      <c r="F23" s="3" t="s">
        <v>6</v>
      </c>
      <c r="G23" s="3" t="s">
        <v>7</v>
      </c>
      <c r="H23" s="3" t="s">
        <v>8</v>
      </c>
      <c r="I23" s="3" t="s">
        <v>9</v>
      </c>
      <c r="J23" s="3" t="s">
        <v>10</v>
      </c>
      <c r="K23" s="3" t="s">
        <v>11</v>
      </c>
    </row>
    <row r="24" customFormat="false" ht="15" hidden="false" customHeight="false" outlineLevel="0" collapsed="false">
      <c r="A24" s="4" t="s">
        <v>12</v>
      </c>
      <c r="B24" s="7" t="n">
        <v>36</v>
      </c>
      <c r="C24" s="7" t="n">
        <v>32</v>
      </c>
      <c r="D24" s="7" t="n">
        <v>40</v>
      </c>
      <c r="E24" s="7" t="n">
        <v>43</v>
      </c>
      <c r="F24" s="7" t="n">
        <v>30</v>
      </c>
      <c r="G24" s="7" t="n">
        <v>19</v>
      </c>
      <c r="H24" s="7" t="n">
        <f aca="false">ROUND(F19*0.9,0)</f>
        <v>23</v>
      </c>
      <c r="I24" s="7" t="n">
        <f aca="false">ROUND(G19*0.9,0)</f>
        <v>27</v>
      </c>
      <c r="J24" s="7" t="n">
        <f aca="false">ROUND(H19*0.9,0)</f>
        <v>18</v>
      </c>
      <c r="K24" s="7" t="n">
        <f aca="false">ROUND(I19*0.9,0)</f>
        <v>18</v>
      </c>
    </row>
    <row r="25" customFormat="false" ht="15" hidden="false" customHeight="false" outlineLevel="0" collapsed="false">
      <c r="A25" s="4" t="s">
        <v>13</v>
      </c>
      <c r="B25" s="7" t="n">
        <v>0</v>
      </c>
      <c r="C25" s="7" t="n">
        <v>0</v>
      </c>
      <c r="D25" s="7" t="n">
        <v>10</v>
      </c>
      <c r="E25" s="7" t="n">
        <v>0</v>
      </c>
      <c r="F25" s="7" t="n">
        <v>14</v>
      </c>
      <c r="G25" s="7" t="n">
        <v>30</v>
      </c>
      <c r="H25" s="7" t="n">
        <f aca="false">ROUND(F20*0.9,0)</f>
        <v>12</v>
      </c>
      <c r="I25" s="7" t="n">
        <f aca="false">ROUND(G20*0.9,0)</f>
        <v>20</v>
      </c>
      <c r="J25" s="7" t="n">
        <f aca="false">ROUND(H20*0.9,0)</f>
        <v>32</v>
      </c>
      <c r="K25" s="7" t="n">
        <f aca="false">ROUND(I20*0.9,0)</f>
        <v>32</v>
      </c>
    </row>
    <row r="26" customFormat="false" ht="15" hidden="false" customHeight="false" outlineLevel="0" collapsed="false">
      <c r="A26" s="2" t="s">
        <v>14</v>
      </c>
      <c r="B26" s="6" t="n">
        <f aca="false">B24+B25</f>
        <v>36</v>
      </c>
      <c r="C26" s="6" t="n">
        <f aca="false">C24+C25</f>
        <v>32</v>
      </c>
      <c r="D26" s="6" t="n">
        <f aca="false">D24+D25</f>
        <v>50</v>
      </c>
      <c r="E26" s="6" t="n">
        <f aca="false">E24+E25</f>
        <v>43</v>
      </c>
      <c r="F26" s="6" t="n">
        <f aca="false">F24+F25</f>
        <v>44</v>
      </c>
      <c r="G26" s="6" t="n">
        <f aca="false">G24+G25</f>
        <v>49</v>
      </c>
      <c r="H26" s="6" t="n">
        <f aca="false">H24+H25</f>
        <v>35</v>
      </c>
      <c r="I26" s="6" t="n">
        <f aca="false">I24+I25</f>
        <v>47</v>
      </c>
      <c r="J26" s="6" t="n">
        <f aca="false">J24+J25</f>
        <v>50</v>
      </c>
      <c r="K26" s="6" t="n">
        <f aca="false">K24+K25</f>
        <v>50</v>
      </c>
    </row>
    <row r="27" customFormat="false" ht="15" hidden="false" customHeight="false" outlineLevel="0" collapsed="false">
      <c r="B27" s="5"/>
      <c r="C27" s="5"/>
      <c r="D27" s="5"/>
      <c r="E27" s="5"/>
      <c r="F27" s="5"/>
      <c r="G27" s="5"/>
      <c r="H27" s="5"/>
      <c r="I27" s="5"/>
      <c r="J27" s="5"/>
      <c r="K27" s="5"/>
    </row>
    <row r="28" customFormat="false" ht="15" hidden="false" customHeight="false" outlineLevel="0" collapsed="false">
      <c r="A28" s="2" t="s">
        <v>19</v>
      </c>
      <c r="B28" s="3" t="s">
        <v>2</v>
      </c>
      <c r="C28" s="3" t="s">
        <v>3</v>
      </c>
      <c r="D28" s="3" t="s">
        <v>4</v>
      </c>
      <c r="E28" s="3" t="s">
        <v>5</v>
      </c>
      <c r="F28" s="3" t="s">
        <v>6</v>
      </c>
      <c r="G28" s="3" t="s">
        <v>7</v>
      </c>
      <c r="H28" s="3" t="s">
        <v>8</v>
      </c>
      <c r="I28" s="3" t="s">
        <v>9</v>
      </c>
      <c r="J28" s="3" t="s">
        <v>10</v>
      </c>
      <c r="K28" s="3" t="s">
        <v>11</v>
      </c>
    </row>
    <row r="29" customFormat="false" ht="15" hidden="false" customHeight="false" outlineLevel="0" collapsed="false">
      <c r="A29" s="4" t="s">
        <v>12</v>
      </c>
      <c r="B29" s="9" t="n">
        <f aca="false">B9/B4</f>
        <v>0.988317757009346</v>
      </c>
      <c r="C29" s="9" t="n">
        <f aca="false">C9/C4</f>
        <v>0.947835738068812</v>
      </c>
      <c r="D29" s="9" t="n">
        <f aca="false">D9/D4</f>
        <v>0.968645016797312</v>
      </c>
      <c r="E29" s="9" t="n">
        <f aca="false">E9/E4</f>
        <v>1</v>
      </c>
      <c r="F29" s="9" t="n">
        <f aca="false">F9/F4</f>
        <v>0.985645933014354</v>
      </c>
      <c r="G29" s="9" t="n">
        <f aca="false">G9/G4</f>
        <v>0.935883014623172</v>
      </c>
      <c r="H29" s="9" t="n">
        <f aca="false">H9/H4</f>
        <v>0.985898942420682</v>
      </c>
      <c r="I29" s="9" t="n">
        <f aca="false">I9/I4</f>
        <v>1.08290816326531</v>
      </c>
      <c r="J29" s="9" t="n">
        <f aca="false">J9/J4</f>
        <v>1.11826544021025</v>
      </c>
      <c r="K29" s="9" t="n">
        <f aca="false">K9/K4</f>
        <v>1.16393442622951</v>
      </c>
    </row>
    <row r="30" customFormat="false" ht="15" hidden="false" customHeight="false" outlineLevel="0" collapsed="false">
      <c r="A30" s="4" t="s">
        <v>13</v>
      </c>
      <c r="B30" s="9" t="n">
        <f aca="false">B10/B5</f>
        <v>0.952941176470588</v>
      </c>
      <c r="C30" s="9" t="n">
        <f aca="false">C10/C5</f>
        <v>0.9625</v>
      </c>
      <c r="D30" s="9" t="n">
        <f aca="false">D10/D5</f>
        <v>0.987421383647799</v>
      </c>
      <c r="E30" s="9" t="n">
        <f aca="false">E10/E5</f>
        <v>0.953947368421053</v>
      </c>
      <c r="F30" s="9" t="n">
        <f aca="false">F10/F5</f>
        <v>0.929824561403509</v>
      </c>
      <c r="G30" s="9" t="n">
        <f aca="false">G10/G5</f>
        <v>0.806167400881057</v>
      </c>
      <c r="H30" s="9" t="n">
        <f aca="false">H10/H5</f>
        <v>0.783673469387755</v>
      </c>
      <c r="I30" s="9" t="n">
        <f aca="false">I10/I5</f>
        <v>0.859504132231405</v>
      </c>
      <c r="J30" s="9" t="n">
        <f aca="false">J10/J5</f>
        <v>0.925490196078431</v>
      </c>
      <c r="K30" s="9" t="n">
        <f aca="false">K10/K5</f>
        <v>1.09583333333333</v>
      </c>
    </row>
    <row r="31" customFormat="false" ht="15" hidden="false" customHeight="false" outlineLevel="0" collapsed="false">
      <c r="A31" s="2" t="s">
        <v>14</v>
      </c>
      <c r="B31" s="9" t="n">
        <f aca="false">B11/B6</f>
        <v>0.982456140350877</v>
      </c>
      <c r="C31" s="9" t="n">
        <f aca="false">C11/C6</f>
        <v>0.95004712535344</v>
      </c>
      <c r="D31" s="9" t="n">
        <f aca="false">D11/D6</f>
        <v>0.97148288973384</v>
      </c>
      <c r="E31" s="9" t="n">
        <f aca="false">E11/E6</f>
        <v>0.993069306930693</v>
      </c>
      <c r="F31" s="9" t="n">
        <f aca="false">F11/F6</f>
        <v>0.976166832174777</v>
      </c>
      <c r="G31" s="9" t="n">
        <f aca="false">G11/G6</f>
        <v>0.909498207885305</v>
      </c>
      <c r="H31" s="9" t="n">
        <f aca="false">H11/H6</f>
        <v>0.940693430656934</v>
      </c>
      <c r="I31" s="9" t="n">
        <f aca="false">I11/I6</f>
        <v>1.03021442495127</v>
      </c>
      <c r="J31" s="9" t="n">
        <f aca="false">J11/J6</f>
        <v>1.06988188976378</v>
      </c>
      <c r="K31" s="9" t="n">
        <f aca="false">K11/K6</f>
        <v>1.14711934156379</v>
      </c>
    </row>
    <row r="34" customFormat="false" ht="15" hidden="false" customHeight="false" outlineLevel="0" collapsed="false">
      <c r="A34" s="10" t="s">
        <v>20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</sheetData>
  <mergeCells count="2">
    <mergeCell ref="A1:L1"/>
    <mergeCell ref="A34:L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8" min="3" style="0" width="9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1" t="s">
        <v>21</v>
      </c>
      <c r="B1" s="11"/>
      <c r="C1" s="11"/>
      <c r="D1" s="11"/>
      <c r="E1" s="11"/>
      <c r="F1" s="11"/>
      <c r="G1" s="11"/>
      <c r="H1" s="11"/>
      <c r="I1" s="11"/>
    </row>
    <row r="2" customFormat="false" ht="15" hidden="false" customHeight="false" outlineLevel="0" collapsed="false">
      <c r="A2" s="12" t="s">
        <v>22</v>
      </c>
      <c r="B2" s="12"/>
      <c r="C2" s="12"/>
      <c r="D2" s="12"/>
      <c r="E2" s="12"/>
      <c r="F2" s="12"/>
      <c r="G2" s="12"/>
      <c r="H2" s="12"/>
      <c r="I2" s="12"/>
    </row>
    <row r="3" customFormat="false" ht="15" hidden="false" customHeight="false" outlineLevel="0" collapsed="false">
      <c r="A3" s="13" t="s">
        <v>23</v>
      </c>
      <c r="B3" s="13" t="s">
        <v>24</v>
      </c>
      <c r="C3" s="13" t="s">
        <v>25</v>
      </c>
      <c r="D3" s="13" t="s">
        <v>26</v>
      </c>
      <c r="E3" s="13" t="s">
        <v>27</v>
      </c>
      <c r="F3" s="13" t="s">
        <v>28</v>
      </c>
      <c r="G3" s="13" t="s">
        <v>29</v>
      </c>
      <c r="H3" s="13" t="s">
        <v>30</v>
      </c>
      <c r="I3" s="13" t="s">
        <v>31</v>
      </c>
    </row>
    <row r="4" customFormat="false" ht="15" hidden="false" customHeight="false" outlineLevel="0" collapsed="false">
      <c r="A4" s="4" t="s">
        <v>32</v>
      </c>
      <c r="B4" s="4" t="s">
        <v>12</v>
      </c>
      <c r="C4" s="14" t="n">
        <v>0.0136986301369863</v>
      </c>
      <c r="D4" s="14" t="n">
        <v>0.0369127516778524</v>
      </c>
      <c r="E4" s="14" t="n">
        <v>0.00735294117647059</v>
      </c>
      <c r="F4" s="14" t="n">
        <v>0.0464285714285714</v>
      </c>
      <c r="G4" s="14" t="n">
        <v>0.0383275261324042</v>
      </c>
      <c r="H4" s="14" t="n">
        <v>0.00333333333333333</v>
      </c>
      <c r="I4" s="15" t="n">
        <f aca="false">AVERAGE(F4:H4)</f>
        <v>0.0293631436314363</v>
      </c>
    </row>
    <row r="5" customFormat="false" ht="15" hidden="false" customHeight="false" outlineLevel="0" collapsed="false">
      <c r="A5" s="4" t="s">
        <v>33</v>
      </c>
      <c r="B5" s="4" t="s">
        <v>12</v>
      </c>
      <c r="C5" s="14" t="n">
        <v>0</v>
      </c>
      <c r="D5" s="14" t="n">
        <v>0</v>
      </c>
      <c r="E5" s="14" t="n">
        <v>0</v>
      </c>
      <c r="F5" s="14" t="n">
        <v>0.0454545454545455</v>
      </c>
      <c r="G5" s="14" t="n">
        <v>0.0476190476190476</v>
      </c>
      <c r="H5" s="14" t="n">
        <v>0</v>
      </c>
      <c r="I5" s="15" t="n">
        <f aca="false">AVERAGE(F5:H5)</f>
        <v>0.031024531024531</v>
      </c>
    </row>
    <row r="6" customFormat="false" ht="15" hidden="false" customHeight="false" outlineLevel="0" collapsed="false">
      <c r="A6" s="4" t="s">
        <v>34</v>
      </c>
      <c r="B6" s="4" t="s">
        <v>12</v>
      </c>
      <c r="C6" s="14" t="n">
        <v>0</v>
      </c>
      <c r="D6" s="14" t="n">
        <v>0.0757575757575758</v>
      </c>
      <c r="E6" s="14" t="n">
        <v>0.0125</v>
      </c>
      <c r="F6" s="14" t="n">
        <v>0.0147058823529412</v>
      </c>
      <c r="G6" s="14" t="n">
        <v>0.0806451612903226</v>
      </c>
      <c r="H6" s="14" t="n">
        <v>0</v>
      </c>
      <c r="I6" s="15" t="n">
        <f aca="false">AVERAGE(F6:H6)</f>
        <v>0.0317836812144213</v>
      </c>
    </row>
    <row r="7" customFormat="false" ht="15" hidden="false" customHeight="false" outlineLevel="0" collapsed="false">
      <c r="A7" s="4" t="s">
        <v>35</v>
      </c>
      <c r="B7" s="4" t="s">
        <v>12</v>
      </c>
      <c r="C7" s="14" t="n">
        <v>0.0882352941176471</v>
      </c>
      <c r="D7" s="14" t="n">
        <v>0.0810810810810811</v>
      </c>
      <c r="E7" s="14" t="n">
        <v>0.133333333333333</v>
      </c>
      <c r="F7" s="14" t="n">
        <v>0.0714285714285714</v>
      </c>
      <c r="G7" s="14" t="n">
        <v>0.103448275862069</v>
      </c>
      <c r="H7" s="14" t="n">
        <v>0.0625</v>
      </c>
      <c r="I7" s="15" t="n">
        <f aca="false">AVERAGE(F7:H7)</f>
        <v>0.0791256157635468</v>
      </c>
    </row>
    <row r="8" customFormat="false" ht="15" hidden="false" customHeight="false" outlineLevel="0" collapsed="false">
      <c r="A8" s="4" t="s">
        <v>36</v>
      </c>
      <c r="B8" s="4" t="s">
        <v>12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0.25</v>
      </c>
      <c r="H8" s="14" t="n">
        <v>0</v>
      </c>
      <c r="I8" s="15" t="n">
        <f aca="false">AVERAGE(F8:H8)</f>
        <v>0.0833333333333333</v>
      </c>
    </row>
    <row r="9" customFormat="false" ht="15" hidden="false" customHeight="false" outlineLevel="0" collapsed="false">
      <c r="A9" s="4" t="s">
        <v>37</v>
      </c>
      <c r="B9" s="4" t="s">
        <v>12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5" t="n">
        <f aca="false">AVERAGE(F9:H9)</f>
        <v>0</v>
      </c>
    </row>
    <row r="10" customFormat="false" ht="15" hidden="false" customHeight="false" outlineLevel="0" collapsed="false">
      <c r="A10" s="4" t="s">
        <v>38</v>
      </c>
      <c r="B10" s="4" t="s">
        <v>12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5" t="n">
        <f aca="false">AVERAGE(F10:H10)</f>
        <v>0</v>
      </c>
    </row>
    <row r="11" customFormat="false" ht="15" hidden="false" customHeight="false" outlineLevel="0" collapsed="false">
      <c r="A11" s="4" t="s">
        <v>39</v>
      </c>
      <c r="B11" s="4" t="s">
        <v>12</v>
      </c>
      <c r="C11" s="14" t="n">
        <v>0</v>
      </c>
      <c r="D11" s="14" t="n">
        <v>0.04</v>
      </c>
      <c r="E11" s="14" t="n">
        <v>0.075</v>
      </c>
      <c r="F11" s="14" t="n">
        <v>0</v>
      </c>
      <c r="G11" s="14" t="n">
        <v>0</v>
      </c>
      <c r="H11" s="14" t="n">
        <v>0.05</v>
      </c>
      <c r="I11" s="15" t="n">
        <f aca="false">AVERAGE(F11:H11)</f>
        <v>0.0166666666666667</v>
      </c>
    </row>
    <row r="12" customFormat="false" ht="15" hidden="false" customHeight="false" outlineLevel="0" collapsed="false">
      <c r="A12" s="4" t="s">
        <v>40</v>
      </c>
      <c r="B12" s="4" t="s">
        <v>12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5" t="n">
        <f aca="false">AVERAGE(F12:H12)</f>
        <v>0</v>
      </c>
    </row>
    <row r="13" customFormat="false" ht="15" hidden="false" customHeight="false" outlineLevel="0" collapsed="false">
      <c r="A13" s="4" t="s">
        <v>41</v>
      </c>
      <c r="B13" s="4" t="s">
        <v>12</v>
      </c>
      <c r="C13" s="14" t="n">
        <v>0.0114942528735632</v>
      </c>
      <c r="D13" s="14" t="n">
        <v>0</v>
      </c>
      <c r="E13" s="14" t="n">
        <v>0</v>
      </c>
      <c r="F13" s="14" t="n">
        <v>0.0188679245283019</v>
      </c>
      <c r="G13" s="14" t="n">
        <v>0</v>
      </c>
      <c r="H13" s="14" t="n">
        <v>0</v>
      </c>
      <c r="I13" s="15" t="n">
        <f aca="false">AVERAGE(F13:H13)</f>
        <v>0.00628930817610063</v>
      </c>
    </row>
    <row r="14" customFormat="false" ht="15" hidden="false" customHeight="false" outlineLevel="0" collapsed="false">
      <c r="A14" s="4" t="s">
        <v>42</v>
      </c>
      <c r="B14" s="4" t="s">
        <v>12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5" t="n">
        <f aca="false">AVERAGE(F14:H14)</f>
        <v>0</v>
      </c>
    </row>
    <row r="15" customFormat="false" ht="15" hidden="false" customHeight="false" outlineLevel="0" collapsed="false">
      <c r="A15" s="4" t="s">
        <v>43</v>
      </c>
      <c r="B15" s="4" t="s">
        <v>12</v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5" t="n">
        <f aca="false">AVERAGE(F15:H15)</f>
        <v>0</v>
      </c>
    </row>
    <row r="16" customFormat="false" ht="15" hidden="false" customHeight="false" outlineLevel="0" collapsed="false">
      <c r="A16" s="4" t="s">
        <v>44</v>
      </c>
      <c r="B16" s="4" t="s">
        <v>12</v>
      </c>
      <c r="C16" s="14" t="n">
        <v>0</v>
      </c>
      <c r="D16" s="14" t="n">
        <v>0.0487804878048781</v>
      </c>
      <c r="E16" s="14" t="n">
        <v>0</v>
      </c>
      <c r="F16" s="14" t="n">
        <v>0</v>
      </c>
      <c r="G16" s="14" t="n">
        <v>0</v>
      </c>
      <c r="H16" s="14" t="n">
        <v>0</v>
      </c>
      <c r="I16" s="15" t="n">
        <f aca="false">AVERAGE(F16:H16)</f>
        <v>0</v>
      </c>
    </row>
    <row r="17" customFormat="false" ht="15" hidden="false" customHeight="false" outlineLevel="0" collapsed="false">
      <c r="A17" s="4" t="s">
        <v>45</v>
      </c>
      <c r="B17" s="4" t="s">
        <v>12</v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5" t="n">
        <f aca="false">AVERAGE(F17:H17)</f>
        <v>0</v>
      </c>
    </row>
    <row r="18" customFormat="false" ht="15" hidden="false" customHeight="false" outlineLevel="0" collapsed="false">
      <c r="A18" s="4" t="s">
        <v>46</v>
      </c>
      <c r="B18" s="4" t="s">
        <v>12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5" t="n">
        <f aca="false">AVERAGE(F18:H18)</f>
        <v>0</v>
      </c>
    </row>
    <row r="19" customFormat="false" ht="15" hidden="false" customHeight="false" outlineLevel="0" collapsed="false">
      <c r="A19" s="4" t="s">
        <v>47</v>
      </c>
      <c r="B19" s="4" t="s">
        <v>12</v>
      </c>
      <c r="C19" s="14" t="n">
        <v>0</v>
      </c>
      <c r="D19" s="14" t="n">
        <v>0.0294117647058824</v>
      </c>
      <c r="E19" s="14" t="n">
        <v>0</v>
      </c>
      <c r="F19" s="14" t="n">
        <v>0</v>
      </c>
      <c r="G19" s="14" t="n">
        <v>0</v>
      </c>
      <c r="H19" s="14" t="n">
        <v>0</v>
      </c>
      <c r="I19" s="15" t="n">
        <f aca="false">AVERAGE(F19:H19)</f>
        <v>0</v>
      </c>
    </row>
    <row r="20" customFormat="false" ht="15" hidden="false" customHeight="false" outlineLevel="0" collapsed="false">
      <c r="A20" s="4" t="s">
        <v>48</v>
      </c>
      <c r="B20" s="4" t="s">
        <v>12</v>
      </c>
      <c r="C20" s="14" t="n">
        <v>0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5" t="n">
        <f aca="false">AVERAGE(F20:H20)</f>
        <v>0</v>
      </c>
    </row>
    <row r="21" customFormat="false" ht="15" hidden="false" customHeight="false" outlineLevel="0" collapsed="false">
      <c r="A21" s="4" t="s">
        <v>49</v>
      </c>
      <c r="B21" s="4" t="s">
        <v>12</v>
      </c>
      <c r="C21" s="14" t="n">
        <v>0</v>
      </c>
      <c r="D21" s="14" t="n">
        <v>0</v>
      </c>
      <c r="E21" s="14" t="n">
        <v>0</v>
      </c>
      <c r="F21" s="14" t="n">
        <v>0.0434782608695652</v>
      </c>
      <c r="G21" s="14" t="n">
        <v>0</v>
      </c>
      <c r="H21" s="14" t="n">
        <v>0</v>
      </c>
      <c r="I21" s="15" t="n">
        <f aca="false">AVERAGE(F21:H21)</f>
        <v>0.0144927536231884</v>
      </c>
    </row>
    <row r="22" customFormat="false" ht="15" hidden="false" customHeight="false" outlineLevel="0" collapsed="false">
      <c r="A22" s="4" t="s">
        <v>50</v>
      </c>
      <c r="B22" s="4" t="s">
        <v>12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5" t="n">
        <f aca="false">AVERAGE(F22:H22)</f>
        <v>0</v>
      </c>
    </row>
    <row r="23" customFormat="false" ht="15" hidden="false" customHeight="false" outlineLevel="0" collapsed="false">
      <c r="A23" s="4" t="s">
        <v>51</v>
      </c>
      <c r="B23" s="4" t="s">
        <v>12</v>
      </c>
      <c r="C23" s="14" t="n">
        <v>0.0909090909090909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0.1</v>
      </c>
      <c r="I23" s="15" t="n">
        <f aca="false">AVERAGE(F23:H23)</f>
        <v>0.0333333333333333</v>
      </c>
    </row>
    <row r="24" customFormat="false" ht="15" hidden="false" customHeight="false" outlineLevel="0" collapsed="false">
      <c r="A24" s="4" t="s">
        <v>52</v>
      </c>
      <c r="B24" s="4" t="s">
        <v>12</v>
      </c>
      <c r="C24" s="14" t="n">
        <v>0</v>
      </c>
      <c r="D24" s="14" t="n">
        <v>0</v>
      </c>
      <c r="E24" s="14" t="n">
        <v>0</v>
      </c>
      <c r="F24" s="14" t="n">
        <v>0</v>
      </c>
      <c r="G24" s="14" t="n">
        <v>0</v>
      </c>
      <c r="H24" s="14" t="n">
        <v>0</v>
      </c>
      <c r="I24" s="15" t="n">
        <f aca="false">AVERAGE(F24:H24)</f>
        <v>0</v>
      </c>
    </row>
    <row r="25" customFormat="false" ht="15" hidden="false" customHeight="false" outlineLevel="0" collapsed="false">
      <c r="A25" s="4" t="s">
        <v>53</v>
      </c>
      <c r="B25" s="4" t="s">
        <v>12</v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5" t="n">
        <f aca="false">AVERAGE(F25:H25)</f>
        <v>0</v>
      </c>
    </row>
    <row r="26" customFormat="false" ht="15" hidden="false" customHeight="false" outlineLevel="0" collapsed="false">
      <c r="A26" s="4" t="s">
        <v>54</v>
      </c>
      <c r="B26" s="4" t="s">
        <v>12</v>
      </c>
      <c r="C26" s="14" t="n">
        <v>0</v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0</v>
      </c>
      <c r="I26" s="15" t="n">
        <f aca="false">AVERAGE(F26:H26)</f>
        <v>0</v>
      </c>
    </row>
    <row r="27" customFormat="false" ht="15" hidden="false" customHeight="false" outlineLevel="0" collapsed="false">
      <c r="A27" s="4" t="s">
        <v>55</v>
      </c>
      <c r="B27" s="4" t="s">
        <v>13</v>
      </c>
      <c r="C27" s="14" t="n">
        <v>0.0451612903225806</v>
      </c>
      <c r="D27" s="14" t="n">
        <v>0.0408163265306122</v>
      </c>
      <c r="E27" s="14" t="n">
        <v>0.0136054421768708</v>
      </c>
      <c r="F27" s="14" t="n">
        <v>0.049645390070922</v>
      </c>
      <c r="G27" s="14" t="n">
        <v>0</v>
      </c>
      <c r="H27" s="14" t="n">
        <v>0.00584795321637427</v>
      </c>
      <c r="I27" s="15" t="n">
        <f aca="false">AVERAGE(F27:H27)</f>
        <v>0.0184977810957654</v>
      </c>
    </row>
    <row r="28" customFormat="false" ht="15" hidden="false" customHeight="false" outlineLevel="0" collapsed="false">
      <c r="A28" s="4" t="s">
        <v>56</v>
      </c>
      <c r="B28" s="4" t="s">
        <v>13</v>
      </c>
      <c r="C28" s="14" t="n">
        <v>0.0666666666666667</v>
      </c>
      <c r="D28" s="14" t="n">
        <v>0</v>
      </c>
      <c r="E28" s="14" t="n">
        <v>0</v>
      </c>
      <c r="F28" s="14" t="n">
        <v>0</v>
      </c>
      <c r="G28" s="14" t="n">
        <v>0</v>
      </c>
      <c r="H28" s="14" t="n">
        <v>0</v>
      </c>
      <c r="I28" s="15" t="n">
        <f aca="false">AVERAGE(F28:H28)</f>
        <v>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17" min="4" style="0" width="8"/>
  </cols>
  <sheetData>
    <row r="1" customFormat="false" ht="17.35" hidden="false" customHeight="false" outlineLevel="0" collapsed="false">
      <c r="A1" s="11" t="s">
        <v>57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customFormat="false" ht="15" hidden="false" customHeight="false" outlineLevel="0" collapsed="false">
      <c r="A2" s="12" t="s">
        <v>58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customFormat="false" ht="15" hidden="false" customHeight="false" outlineLevel="0" collapsed="false">
      <c r="F3" s="16" t="s">
        <v>59</v>
      </c>
      <c r="G3" s="16"/>
      <c r="H3" s="16"/>
      <c r="I3" s="16" t="s">
        <v>60</v>
      </c>
      <c r="J3" s="16"/>
      <c r="K3" s="16"/>
      <c r="L3" s="16" t="s">
        <v>61</v>
      </c>
      <c r="M3" s="16"/>
      <c r="N3" s="16"/>
      <c r="O3" s="16" t="s">
        <v>62</v>
      </c>
      <c r="P3" s="16"/>
      <c r="Q3" s="16"/>
    </row>
    <row r="4" customFormat="false" ht="15" hidden="false" customHeight="false" outlineLevel="0" collapsed="false">
      <c r="A4" s="17" t="s">
        <v>23</v>
      </c>
      <c r="B4" s="17" t="s">
        <v>24</v>
      </c>
      <c r="C4" s="17" t="s">
        <v>63</v>
      </c>
      <c r="D4" s="17" t="s">
        <v>64</v>
      </c>
      <c r="E4" s="17" t="s">
        <v>65</v>
      </c>
      <c r="F4" s="17" t="s">
        <v>66</v>
      </c>
      <c r="G4" s="17" t="s">
        <v>67</v>
      </c>
      <c r="H4" s="17" t="s">
        <v>68</v>
      </c>
      <c r="I4" s="17" t="s">
        <v>66</v>
      </c>
      <c r="J4" s="17" t="s">
        <v>67</v>
      </c>
      <c r="K4" s="17" t="s">
        <v>68</v>
      </c>
      <c r="L4" s="17" t="s">
        <v>66</v>
      </c>
      <c r="M4" s="17" t="s">
        <v>67</v>
      </c>
      <c r="N4" s="17" t="s">
        <v>68</v>
      </c>
      <c r="O4" s="17" t="s">
        <v>66</v>
      </c>
      <c r="P4" s="17" t="s">
        <v>67</v>
      </c>
      <c r="Q4" s="17" t="s">
        <v>68</v>
      </c>
    </row>
    <row r="5" customFormat="false" ht="15" hidden="false" customHeight="false" outlineLevel="0" collapsed="false">
      <c r="A5" s="18" t="s">
        <v>32</v>
      </c>
      <c r="B5" s="18" t="s">
        <v>12</v>
      </c>
      <c r="C5" s="19" t="n">
        <f aca="false">'Tasa Rotación'!I4</f>
        <v>0.0293631436314363</v>
      </c>
      <c r="D5" s="20" t="n">
        <v>276</v>
      </c>
      <c r="E5" s="20" t="n">
        <v>299</v>
      </c>
      <c r="F5" s="21" t="n">
        <v>0</v>
      </c>
      <c r="G5" s="22" t="n">
        <f aca="false">-ROUND((E5+F5)*C5,0)</f>
        <v>-9</v>
      </c>
      <c r="H5" s="23" t="n">
        <f aca="false">E5+F5+G5</f>
        <v>290</v>
      </c>
      <c r="I5" s="21" t="n">
        <v>0</v>
      </c>
      <c r="J5" s="22" t="n">
        <f aca="false">-ROUND((H5+I5)*C5,0)</f>
        <v>-9</v>
      </c>
      <c r="K5" s="23" t="n">
        <f aca="false">H5+I5+J5</f>
        <v>281</v>
      </c>
      <c r="L5" s="21" t="n">
        <v>0</v>
      </c>
      <c r="M5" s="22" t="n">
        <f aca="false">-ROUND((K5+L5)*C5,0)</f>
        <v>-8</v>
      </c>
      <c r="N5" s="23" t="n">
        <f aca="false">K5+L5+M5</f>
        <v>273</v>
      </c>
      <c r="O5" s="21" t="n">
        <v>0</v>
      </c>
      <c r="P5" s="22" t="n">
        <f aca="false">-ROUND((N5+O5)*C5,0)</f>
        <v>-8</v>
      </c>
      <c r="Q5" s="23" t="n">
        <f aca="false">N5+O5+P5</f>
        <v>265</v>
      </c>
    </row>
    <row r="6" customFormat="false" ht="15" hidden="false" customHeight="false" outlineLevel="0" collapsed="false">
      <c r="A6" s="18" t="s">
        <v>33</v>
      </c>
      <c r="B6" s="18" t="s">
        <v>12</v>
      </c>
      <c r="C6" s="19" t="n">
        <f aca="false">'Tasa Rotación'!I5</f>
        <v>0.031024531024531</v>
      </c>
      <c r="D6" s="20" t="n">
        <v>20</v>
      </c>
      <c r="E6" s="20" t="n">
        <v>21</v>
      </c>
      <c r="F6" s="21" t="n">
        <v>0</v>
      </c>
      <c r="G6" s="22" t="n">
        <f aca="false">-ROUND((E6+F6)*C6,0)</f>
        <v>-1</v>
      </c>
      <c r="H6" s="23" t="n">
        <f aca="false">E6+F6+G6</f>
        <v>20</v>
      </c>
      <c r="I6" s="21" t="n">
        <v>0</v>
      </c>
      <c r="J6" s="22" t="n">
        <f aca="false">-ROUND((H6+I6)*C6,0)</f>
        <v>-1</v>
      </c>
      <c r="K6" s="23" t="n">
        <f aca="false">H6+I6+J6</f>
        <v>19</v>
      </c>
      <c r="L6" s="21" t="n">
        <v>0</v>
      </c>
      <c r="M6" s="22" t="n">
        <f aca="false">-ROUND((K6+L6)*C6,0)</f>
        <v>-1</v>
      </c>
      <c r="N6" s="23" t="n">
        <f aca="false">K6+L6+M6</f>
        <v>18</v>
      </c>
      <c r="O6" s="21" t="n">
        <v>0</v>
      </c>
      <c r="P6" s="22" t="n">
        <f aca="false">-ROUND((N6+O6)*C6,0)</f>
        <v>-1</v>
      </c>
      <c r="Q6" s="23" t="n">
        <f aca="false">N6+O6+P6</f>
        <v>17</v>
      </c>
    </row>
    <row r="7" customFormat="false" ht="15" hidden="false" customHeight="false" outlineLevel="0" collapsed="false">
      <c r="A7" s="18" t="s">
        <v>34</v>
      </c>
      <c r="B7" s="18" t="s">
        <v>12</v>
      </c>
      <c r="C7" s="19" t="n">
        <f aca="false">'Tasa Rotación'!I6</f>
        <v>0.0317836812144213</v>
      </c>
      <c r="D7" s="20" t="n">
        <v>57</v>
      </c>
      <c r="E7" s="20" t="n">
        <v>43</v>
      </c>
      <c r="F7" s="24" t="n">
        <f aca="false">Resumen!H24</f>
        <v>23</v>
      </c>
      <c r="G7" s="22" t="n">
        <f aca="false">-ROUND((E7+F7)*C7,0)</f>
        <v>-2</v>
      </c>
      <c r="H7" s="23" t="n">
        <f aca="false">E7+F7+G7</f>
        <v>64</v>
      </c>
      <c r="I7" s="24" t="n">
        <f aca="false">Resumen!I24</f>
        <v>27</v>
      </c>
      <c r="J7" s="22" t="n">
        <f aca="false">-ROUND((H7+I7)*C7,0)</f>
        <v>-3</v>
      </c>
      <c r="K7" s="23" t="n">
        <f aca="false">H7+I7+J7</f>
        <v>88</v>
      </c>
      <c r="L7" s="24" t="n">
        <f aca="false">Resumen!J24</f>
        <v>18</v>
      </c>
      <c r="M7" s="22" t="n">
        <f aca="false">-ROUND((K7+L7)*C7,0)</f>
        <v>-3</v>
      </c>
      <c r="N7" s="23" t="n">
        <f aca="false">K7+L7+M7</f>
        <v>103</v>
      </c>
      <c r="O7" s="24" t="n">
        <f aca="false">Resumen!K24</f>
        <v>18</v>
      </c>
      <c r="P7" s="22" t="n">
        <f aca="false">-ROUND((N7+O7)*C7,0)</f>
        <v>-4</v>
      </c>
      <c r="Q7" s="23" t="n">
        <f aca="false">N7+O7+P7</f>
        <v>117</v>
      </c>
    </row>
    <row r="8" customFormat="false" ht="15" hidden="false" customHeight="false" outlineLevel="0" collapsed="false">
      <c r="A8" s="18" t="s">
        <v>35</v>
      </c>
      <c r="B8" s="18" t="s">
        <v>12</v>
      </c>
      <c r="C8" s="19" t="n">
        <f aca="false">'Tasa Rotación'!I7</f>
        <v>0.0791256157635468</v>
      </c>
      <c r="D8" s="20" t="n">
        <v>26</v>
      </c>
      <c r="E8" s="20" t="n">
        <v>30</v>
      </c>
      <c r="F8" s="21" t="n">
        <v>0</v>
      </c>
      <c r="G8" s="22" t="n">
        <f aca="false">-ROUND((E8+F8)*C8,0)</f>
        <v>-2</v>
      </c>
      <c r="H8" s="23" t="n">
        <f aca="false">E8+F8+G8</f>
        <v>28</v>
      </c>
      <c r="I8" s="21" t="n">
        <v>0</v>
      </c>
      <c r="J8" s="22" t="n">
        <f aca="false">-ROUND((H8+I8)*C8,0)</f>
        <v>-2</v>
      </c>
      <c r="K8" s="23" t="n">
        <f aca="false">H8+I8+J8</f>
        <v>26</v>
      </c>
      <c r="L8" s="21" t="n">
        <v>0</v>
      </c>
      <c r="M8" s="22" t="n">
        <f aca="false">-ROUND((K8+L8)*C8,0)</f>
        <v>-2</v>
      </c>
      <c r="N8" s="23" t="n">
        <f aca="false">K8+L8+M8</f>
        <v>24</v>
      </c>
      <c r="O8" s="21" t="n">
        <v>0</v>
      </c>
      <c r="P8" s="22" t="n">
        <f aca="false">-ROUND((N8+O8)*C8,0)</f>
        <v>-2</v>
      </c>
      <c r="Q8" s="23" t="n">
        <f aca="false">N8+O8+P8</f>
        <v>22</v>
      </c>
    </row>
    <row r="9" customFormat="false" ht="15" hidden="false" customHeight="false" outlineLevel="0" collapsed="false">
      <c r="A9" s="18" t="s">
        <v>36</v>
      </c>
      <c r="B9" s="18" t="s">
        <v>12</v>
      </c>
      <c r="C9" s="19" t="n">
        <f aca="false">'Tasa Rotación'!I8</f>
        <v>0.0833333333333333</v>
      </c>
      <c r="D9" s="20" t="n">
        <v>9</v>
      </c>
      <c r="E9" s="20" t="n">
        <v>0</v>
      </c>
      <c r="F9" s="21" t="n">
        <v>0</v>
      </c>
      <c r="G9" s="22" t="n">
        <f aca="false">-ROUND((E9+F9)*C9,0)</f>
        <v>-0</v>
      </c>
      <c r="H9" s="23" t="n">
        <f aca="false">E9+F9+G9</f>
        <v>0</v>
      </c>
      <c r="I9" s="21" t="n">
        <v>0</v>
      </c>
      <c r="J9" s="22" t="n">
        <f aca="false">-ROUND((H9+I9)*C9,0)</f>
        <v>-0</v>
      </c>
      <c r="K9" s="23" t="n">
        <f aca="false">H9+I9+J9</f>
        <v>0</v>
      </c>
      <c r="L9" s="21" t="n">
        <v>0</v>
      </c>
      <c r="M9" s="22" t="n">
        <f aca="false">-ROUND((K9+L9)*C9,0)</f>
        <v>-0</v>
      </c>
      <c r="N9" s="23" t="n">
        <f aca="false">K9+L9+M9</f>
        <v>0</v>
      </c>
      <c r="O9" s="21" t="n">
        <v>0</v>
      </c>
      <c r="P9" s="22" t="n">
        <f aca="false">-ROUND((N9+O9)*C9,0)</f>
        <v>-0</v>
      </c>
      <c r="Q9" s="23" t="n">
        <f aca="false">N9+O9+P9</f>
        <v>0</v>
      </c>
    </row>
    <row r="10" customFormat="false" ht="15" hidden="false" customHeight="false" outlineLevel="0" collapsed="false">
      <c r="A10" s="18" t="s">
        <v>37</v>
      </c>
      <c r="B10" s="18" t="s">
        <v>12</v>
      </c>
      <c r="C10" s="19" t="n">
        <f aca="false">'Tasa Rotación'!I9</f>
        <v>0</v>
      </c>
      <c r="D10" s="20" t="n">
        <v>38</v>
      </c>
      <c r="E10" s="20" t="n">
        <v>38</v>
      </c>
      <c r="F10" s="21" t="n">
        <v>0</v>
      </c>
      <c r="G10" s="22" t="n">
        <f aca="false">-ROUND((E10+F10)*C10,0)</f>
        <v>-0</v>
      </c>
      <c r="H10" s="23" t="n">
        <f aca="false">E10+F10+G10</f>
        <v>38</v>
      </c>
      <c r="I10" s="21" t="n">
        <v>0</v>
      </c>
      <c r="J10" s="22" t="n">
        <f aca="false">-ROUND((H10+I10)*C10,0)</f>
        <v>-0</v>
      </c>
      <c r="K10" s="23" t="n">
        <f aca="false">H10+I10+J10</f>
        <v>38</v>
      </c>
      <c r="L10" s="21" t="n">
        <v>0</v>
      </c>
      <c r="M10" s="22" t="n">
        <f aca="false">-ROUND((K10+L10)*C10,0)</f>
        <v>-0</v>
      </c>
      <c r="N10" s="23" t="n">
        <f aca="false">K10+L10+M10</f>
        <v>38</v>
      </c>
      <c r="O10" s="21" t="n">
        <v>0</v>
      </c>
      <c r="P10" s="22" t="n">
        <f aca="false">-ROUND((N10+O10)*C10,0)</f>
        <v>-0</v>
      </c>
      <c r="Q10" s="23" t="n">
        <f aca="false">N10+O10+P10</f>
        <v>38</v>
      </c>
    </row>
    <row r="11" customFormat="false" ht="15" hidden="false" customHeight="false" outlineLevel="0" collapsed="false">
      <c r="A11" s="18" t="s">
        <v>38</v>
      </c>
      <c r="B11" s="18" t="s">
        <v>12</v>
      </c>
      <c r="C11" s="19" t="n">
        <f aca="false">'Tasa Rotación'!I10</f>
        <v>0</v>
      </c>
      <c r="D11" s="20" t="n">
        <v>20</v>
      </c>
      <c r="E11" s="20" t="n">
        <v>20</v>
      </c>
      <c r="F11" s="21" t="n">
        <v>0</v>
      </c>
      <c r="G11" s="22" t="n">
        <f aca="false">-ROUND((E11+F11)*C11,0)</f>
        <v>-0</v>
      </c>
      <c r="H11" s="23" t="n">
        <f aca="false">E11+F11+G11</f>
        <v>20</v>
      </c>
      <c r="I11" s="21" t="n">
        <v>0</v>
      </c>
      <c r="J11" s="22" t="n">
        <f aca="false">-ROUND((H11+I11)*C11,0)</f>
        <v>-0</v>
      </c>
      <c r="K11" s="23" t="n">
        <f aca="false">H11+I11+J11</f>
        <v>20</v>
      </c>
      <c r="L11" s="21" t="n">
        <v>0</v>
      </c>
      <c r="M11" s="22" t="n">
        <f aca="false">-ROUND((K11+L11)*C11,0)</f>
        <v>-0</v>
      </c>
      <c r="N11" s="23" t="n">
        <f aca="false">K11+L11+M11</f>
        <v>20</v>
      </c>
      <c r="O11" s="21" t="n">
        <v>0</v>
      </c>
      <c r="P11" s="22" t="n">
        <f aca="false">-ROUND((N11+O11)*C11,0)</f>
        <v>-0</v>
      </c>
      <c r="Q11" s="23" t="n">
        <f aca="false">N11+O11+P11</f>
        <v>20</v>
      </c>
    </row>
    <row r="12" customFormat="false" ht="15" hidden="false" customHeight="false" outlineLevel="0" collapsed="false">
      <c r="A12" s="18" t="s">
        <v>39</v>
      </c>
      <c r="B12" s="18" t="s">
        <v>12</v>
      </c>
      <c r="C12" s="19" t="n">
        <f aca="false">'Tasa Rotación'!I11</f>
        <v>0.0166666666666667</v>
      </c>
      <c r="D12" s="20" t="n">
        <v>37</v>
      </c>
      <c r="E12" s="20" t="n">
        <v>38</v>
      </c>
      <c r="F12" s="21" t="n">
        <v>0</v>
      </c>
      <c r="G12" s="22" t="n">
        <f aca="false">-ROUND((E12+F12)*C12,0)</f>
        <v>-1</v>
      </c>
      <c r="H12" s="23" t="n">
        <f aca="false">E12+F12+G12</f>
        <v>37</v>
      </c>
      <c r="I12" s="21" t="n">
        <v>0</v>
      </c>
      <c r="J12" s="22" t="n">
        <f aca="false">-ROUND((H12+I12)*C12,0)</f>
        <v>-1</v>
      </c>
      <c r="K12" s="23" t="n">
        <f aca="false">H12+I12+J12</f>
        <v>36</v>
      </c>
      <c r="L12" s="21" t="n">
        <v>0</v>
      </c>
      <c r="M12" s="22" t="n">
        <f aca="false">-ROUND((K12+L12)*C12,0)</f>
        <v>-1</v>
      </c>
      <c r="N12" s="23" t="n">
        <f aca="false">K12+L12+M12</f>
        <v>35</v>
      </c>
      <c r="O12" s="21" t="n">
        <v>0</v>
      </c>
      <c r="P12" s="22" t="n">
        <f aca="false">-ROUND((N12+O12)*C12,0)</f>
        <v>-1</v>
      </c>
      <c r="Q12" s="23" t="n">
        <f aca="false">N12+O12+P12</f>
        <v>34</v>
      </c>
    </row>
    <row r="13" customFormat="false" ht="15" hidden="false" customHeight="false" outlineLevel="0" collapsed="false">
      <c r="A13" s="18" t="s">
        <v>40</v>
      </c>
      <c r="B13" s="18" t="s">
        <v>12</v>
      </c>
      <c r="C13" s="19" t="n">
        <f aca="false">'Tasa Rotación'!I12</f>
        <v>0</v>
      </c>
      <c r="D13" s="20" t="n">
        <v>16</v>
      </c>
      <c r="E13" s="20" t="n">
        <v>16</v>
      </c>
      <c r="F13" s="21" t="n">
        <v>0</v>
      </c>
      <c r="G13" s="22" t="n">
        <f aca="false">-ROUND((E13+F13)*C13,0)</f>
        <v>-0</v>
      </c>
      <c r="H13" s="23" t="n">
        <f aca="false">E13+F13+G13</f>
        <v>16</v>
      </c>
      <c r="I13" s="21" t="n">
        <v>0</v>
      </c>
      <c r="J13" s="22" t="n">
        <f aca="false">-ROUND((H13+I13)*C13,0)</f>
        <v>-0</v>
      </c>
      <c r="K13" s="23" t="n">
        <f aca="false">H13+I13+J13</f>
        <v>16</v>
      </c>
      <c r="L13" s="21" t="n">
        <v>0</v>
      </c>
      <c r="M13" s="22" t="n">
        <f aca="false">-ROUND((K13+L13)*C13,0)</f>
        <v>-0</v>
      </c>
      <c r="N13" s="23" t="n">
        <f aca="false">K13+L13+M13</f>
        <v>16</v>
      </c>
      <c r="O13" s="21" t="n">
        <v>0</v>
      </c>
      <c r="P13" s="22" t="n">
        <f aca="false">-ROUND((N13+O13)*C13,0)</f>
        <v>-0</v>
      </c>
      <c r="Q13" s="23" t="n">
        <f aca="false">N13+O13+P13</f>
        <v>16</v>
      </c>
    </row>
    <row r="14" customFormat="false" ht="15" hidden="false" customHeight="false" outlineLevel="0" collapsed="false">
      <c r="A14" s="18" t="s">
        <v>41</v>
      </c>
      <c r="B14" s="18" t="s">
        <v>12</v>
      </c>
      <c r="C14" s="19" t="n">
        <f aca="false">'Tasa Rotación'!I13</f>
        <v>0.00628930817610063</v>
      </c>
      <c r="D14" s="20" t="n">
        <v>106</v>
      </c>
      <c r="E14" s="20" t="n">
        <v>118</v>
      </c>
      <c r="F14" s="21" t="n">
        <v>0</v>
      </c>
      <c r="G14" s="22" t="n">
        <f aca="false">-ROUND((E14+F14)*C14,0)</f>
        <v>-1</v>
      </c>
      <c r="H14" s="23" t="n">
        <f aca="false">E14+F14+G14</f>
        <v>117</v>
      </c>
      <c r="I14" s="21" t="n">
        <v>0</v>
      </c>
      <c r="J14" s="22" t="n">
        <f aca="false">-ROUND((H14+I14)*C14,0)</f>
        <v>-1</v>
      </c>
      <c r="K14" s="23" t="n">
        <f aca="false">H14+I14+J14</f>
        <v>116</v>
      </c>
      <c r="L14" s="21" t="n">
        <v>0</v>
      </c>
      <c r="M14" s="22" t="n">
        <f aca="false">-ROUND((K14+L14)*C14,0)</f>
        <v>-1</v>
      </c>
      <c r="N14" s="23" t="n">
        <f aca="false">K14+L14+M14</f>
        <v>115</v>
      </c>
      <c r="O14" s="21" t="n">
        <v>0</v>
      </c>
      <c r="P14" s="22" t="n">
        <f aca="false">-ROUND((N14+O14)*C14,0)</f>
        <v>-1</v>
      </c>
      <c r="Q14" s="23" t="n">
        <f aca="false">N14+O14+P14</f>
        <v>114</v>
      </c>
    </row>
    <row r="15" customFormat="false" ht="15" hidden="false" customHeight="false" outlineLevel="0" collapsed="false">
      <c r="A15" s="18" t="s">
        <v>42</v>
      </c>
      <c r="B15" s="18" t="s">
        <v>12</v>
      </c>
      <c r="C15" s="19" t="n">
        <f aca="false">'Tasa Rotación'!I14</f>
        <v>0</v>
      </c>
      <c r="D15" s="20" t="n">
        <v>34</v>
      </c>
      <c r="E15" s="20" t="n">
        <v>36</v>
      </c>
      <c r="F15" s="21" t="n">
        <v>0</v>
      </c>
      <c r="G15" s="22" t="n">
        <f aca="false">-ROUND((E15+F15)*C15,0)</f>
        <v>-0</v>
      </c>
      <c r="H15" s="23" t="n">
        <f aca="false">E15+F15+G15</f>
        <v>36</v>
      </c>
      <c r="I15" s="21" t="n">
        <v>0</v>
      </c>
      <c r="J15" s="22" t="n">
        <f aca="false">-ROUND((H15+I15)*C15,0)</f>
        <v>-0</v>
      </c>
      <c r="K15" s="23" t="n">
        <f aca="false">H15+I15+J15</f>
        <v>36</v>
      </c>
      <c r="L15" s="21" t="n">
        <v>0</v>
      </c>
      <c r="M15" s="22" t="n">
        <f aca="false">-ROUND((K15+L15)*C15,0)</f>
        <v>-0</v>
      </c>
      <c r="N15" s="23" t="n">
        <f aca="false">K15+L15+M15</f>
        <v>36</v>
      </c>
      <c r="O15" s="21" t="n">
        <v>0</v>
      </c>
      <c r="P15" s="22" t="n">
        <f aca="false">-ROUND((N15+O15)*C15,0)</f>
        <v>-0</v>
      </c>
      <c r="Q15" s="23" t="n">
        <f aca="false">N15+O15+P15</f>
        <v>36</v>
      </c>
    </row>
    <row r="16" customFormat="false" ht="15" hidden="false" customHeight="false" outlineLevel="0" collapsed="false">
      <c r="A16" s="18" t="s">
        <v>43</v>
      </c>
      <c r="B16" s="18" t="s">
        <v>12</v>
      </c>
      <c r="C16" s="19" t="n">
        <f aca="false">'Tasa Rotación'!I15</f>
        <v>0</v>
      </c>
      <c r="D16" s="20" t="n">
        <v>13</v>
      </c>
      <c r="E16" s="20" t="n">
        <v>13</v>
      </c>
      <c r="F16" s="21" t="n">
        <v>0</v>
      </c>
      <c r="G16" s="22" t="n">
        <f aca="false">-ROUND((E16+F16)*C16,0)</f>
        <v>-0</v>
      </c>
      <c r="H16" s="23" t="n">
        <f aca="false">E16+F16+G16</f>
        <v>13</v>
      </c>
      <c r="I16" s="21" t="n">
        <v>0</v>
      </c>
      <c r="J16" s="22" t="n">
        <f aca="false">-ROUND((H16+I16)*C16,0)</f>
        <v>-0</v>
      </c>
      <c r="K16" s="23" t="n">
        <f aca="false">H16+I16+J16</f>
        <v>13</v>
      </c>
      <c r="L16" s="21" t="n">
        <v>0</v>
      </c>
      <c r="M16" s="22" t="n">
        <f aca="false">-ROUND((K16+L16)*C16,0)</f>
        <v>-0</v>
      </c>
      <c r="N16" s="23" t="n">
        <f aca="false">K16+L16+M16</f>
        <v>13</v>
      </c>
      <c r="O16" s="21" t="n">
        <v>0</v>
      </c>
      <c r="P16" s="22" t="n">
        <f aca="false">-ROUND((N16+O16)*C16,0)</f>
        <v>-0</v>
      </c>
      <c r="Q16" s="23" t="n">
        <f aca="false">N16+O16+P16</f>
        <v>13</v>
      </c>
    </row>
    <row r="17" customFormat="false" ht="15" hidden="false" customHeight="false" outlineLevel="0" collapsed="false">
      <c r="A17" s="18" t="s">
        <v>44</v>
      </c>
      <c r="B17" s="18" t="s">
        <v>12</v>
      </c>
      <c r="C17" s="19" t="n">
        <f aca="false">'Tasa Rotación'!I16</f>
        <v>0</v>
      </c>
      <c r="D17" s="20" t="n">
        <v>23</v>
      </c>
      <c r="E17" s="20" t="n">
        <v>23</v>
      </c>
      <c r="F17" s="21" t="n">
        <v>0</v>
      </c>
      <c r="G17" s="22" t="n">
        <f aca="false">-ROUND((E17+F17)*C17,0)</f>
        <v>-0</v>
      </c>
      <c r="H17" s="23" t="n">
        <f aca="false">E17+F17+G17</f>
        <v>23</v>
      </c>
      <c r="I17" s="21" t="n">
        <v>0</v>
      </c>
      <c r="J17" s="22" t="n">
        <f aca="false">-ROUND((H17+I17)*C17,0)</f>
        <v>-0</v>
      </c>
      <c r="K17" s="23" t="n">
        <f aca="false">H17+I17+J17</f>
        <v>23</v>
      </c>
      <c r="L17" s="21" t="n">
        <v>0</v>
      </c>
      <c r="M17" s="22" t="n">
        <f aca="false">-ROUND((K17+L17)*C17,0)</f>
        <v>-0</v>
      </c>
      <c r="N17" s="23" t="n">
        <f aca="false">K17+L17+M17</f>
        <v>23</v>
      </c>
      <c r="O17" s="21" t="n">
        <v>0</v>
      </c>
      <c r="P17" s="22" t="n">
        <f aca="false">-ROUND((N17+O17)*C17,0)</f>
        <v>-0</v>
      </c>
      <c r="Q17" s="23" t="n">
        <f aca="false">N17+O17+P17</f>
        <v>23</v>
      </c>
    </row>
    <row r="18" customFormat="false" ht="15" hidden="false" customHeight="false" outlineLevel="0" collapsed="false">
      <c r="A18" s="18" t="s">
        <v>45</v>
      </c>
      <c r="B18" s="18" t="s">
        <v>12</v>
      </c>
      <c r="C18" s="19" t="n">
        <f aca="false">'Tasa Rotación'!I17</f>
        <v>0</v>
      </c>
      <c r="D18" s="20" t="n">
        <v>26</v>
      </c>
      <c r="E18" s="20" t="n">
        <v>29</v>
      </c>
      <c r="F18" s="21" t="n">
        <v>0</v>
      </c>
      <c r="G18" s="22" t="n">
        <f aca="false">-ROUND((E18+F18)*C18,0)</f>
        <v>-0</v>
      </c>
      <c r="H18" s="23" t="n">
        <f aca="false">E18+F18+G18</f>
        <v>29</v>
      </c>
      <c r="I18" s="21" t="n">
        <v>0</v>
      </c>
      <c r="J18" s="22" t="n">
        <f aca="false">-ROUND((H18+I18)*C18,0)</f>
        <v>-0</v>
      </c>
      <c r="K18" s="23" t="n">
        <f aca="false">H18+I18+J18</f>
        <v>29</v>
      </c>
      <c r="L18" s="21" t="n">
        <v>0</v>
      </c>
      <c r="M18" s="22" t="n">
        <f aca="false">-ROUND((K18+L18)*C18,0)</f>
        <v>-0</v>
      </c>
      <c r="N18" s="23" t="n">
        <f aca="false">K18+L18+M18</f>
        <v>29</v>
      </c>
      <c r="O18" s="21" t="n">
        <v>0</v>
      </c>
      <c r="P18" s="22" t="n">
        <f aca="false">-ROUND((N18+O18)*C18,0)</f>
        <v>-0</v>
      </c>
      <c r="Q18" s="23" t="n">
        <f aca="false">N18+O18+P18</f>
        <v>29</v>
      </c>
    </row>
    <row r="19" customFormat="false" ht="15" hidden="false" customHeight="false" outlineLevel="0" collapsed="false">
      <c r="A19" s="18" t="s">
        <v>46</v>
      </c>
      <c r="B19" s="18" t="s">
        <v>12</v>
      </c>
      <c r="C19" s="19" t="n">
        <f aca="false">'Tasa Rotación'!I18</f>
        <v>0</v>
      </c>
      <c r="D19" s="20" t="n">
        <v>15</v>
      </c>
      <c r="E19" s="20" t="n">
        <v>15</v>
      </c>
      <c r="F19" s="21" t="n">
        <v>0</v>
      </c>
      <c r="G19" s="22" t="n">
        <f aca="false">-ROUND((E19+F19)*C19,0)</f>
        <v>-0</v>
      </c>
      <c r="H19" s="23" t="n">
        <f aca="false">E19+F19+G19</f>
        <v>15</v>
      </c>
      <c r="I19" s="21" t="n">
        <v>0</v>
      </c>
      <c r="J19" s="22" t="n">
        <f aca="false">-ROUND((H19+I19)*C19,0)</f>
        <v>-0</v>
      </c>
      <c r="K19" s="23" t="n">
        <f aca="false">H19+I19+J19</f>
        <v>15</v>
      </c>
      <c r="L19" s="21" t="n">
        <v>0</v>
      </c>
      <c r="M19" s="22" t="n">
        <f aca="false">-ROUND((K19+L19)*C19,0)</f>
        <v>-0</v>
      </c>
      <c r="N19" s="23" t="n">
        <f aca="false">K19+L19+M19</f>
        <v>15</v>
      </c>
      <c r="O19" s="21" t="n">
        <v>0</v>
      </c>
      <c r="P19" s="22" t="n">
        <f aca="false">-ROUND((N19+O19)*C19,0)</f>
        <v>-0</v>
      </c>
      <c r="Q19" s="23" t="n">
        <f aca="false">N19+O19+P19</f>
        <v>15</v>
      </c>
    </row>
    <row r="20" customFormat="false" ht="15" hidden="false" customHeight="false" outlineLevel="0" collapsed="false">
      <c r="A20" s="18" t="s">
        <v>47</v>
      </c>
      <c r="B20" s="18" t="s">
        <v>12</v>
      </c>
      <c r="C20" s="19" t="n">
        <f aca="false">'Tasa Rotación'!I19</f>
        <v>0</v>
      </c>
      <c r="D20" s="20" t="n">
        <v>34</v>
      </c>
      <c r="E20" s="20" t="n">
        <v>34</v>
      </c>
      <c r="F20" s="21" t="n">
        <v>0</v>
      </c>
      <c r="G20" s="22" t="n">
        <f aca="false">-ROUND((E20+F20)*C20,0)</f>
        <v>-0</v>
      </c>
      <c r="H20" s="23" t="n">
        <f aca="false">E20+F20+G20</f>
        <v>34</v>
      </c>
      <c r="I20" s="21" t="n">
        <v>0</v>
      </c>
      <c r="J20" s="22" t="n">
        <f aca="false">-ROUND((H20+I20)*C20,0)</f>
        <v>-0</v>
      </c>
      <c r="K20" s="23" t="n">
        <f aca="false">H20+I20+J20</f>
        <v>34</v>
      </c>
      <c r="L20" s="21" t="n">
        <v>0</v>
      </c>
      <c r="M20" s="22" t="n">
        <f aca="false">-ROUND((K20+L20)*C20,0)</f>
        <v>-0</v>
      </c>
      <c r="N20" s="23" t="n">
        <f aca="false">K20+L20+M20</f>
        <v>34</v>
      </c>
      <c r="O20" s="21" t="n">
        <v>0</v>
      </c>
      <c r="P20" s="22" t="n">
        <f aca="false">-ROUND((N20+O20)*C20,0)</f>
        <v>-0</v>
      </c>
      <c r="Q20" s="23" t="n">
        <f aca="false">N20+O20+P20</f>
        <v>34</v>
      </c>
    </row>
    <row r="21" customFormat="false" ht="15" hidden="false" customHeight="false" outlineLevel="0" collapsed="false">
      <c r="A21" s="18" t="s">
        <v>48</v>
      </c>
      <c r="B21" s="18" t="s">
        <v>12</v>
      </c>
      <c r="C21" s="19" t="n">
        <f aca="false">'Tasa Rotación'!I20</f>
        <v>0</v>
      </c>
      <c r="D21" s="20" t="n">
        <v>5</v>
      </c>
      <c r="E21" s="20" t="n">
        <v>5</v>
      </c>
      <c r="F21" s="21" t="n">
        <v>0</v>
      </c>
      <c r="G21" s="22" t="n">
        <f aca="false">-ROUND((E21+F21)*C21,0)</f>
        <v>-0</v>
      </c>
      <c r="H21" s="23" t="n">
        <f aca="false">E21+F21+G21</f>
        <v>5</v>
      </c>
      <c r="I21" s="21" t="n">
        <v>0</v>
      </c>
      <c r="J21" s="22" t="n">
        <f aca="false">-ROUND((H21+I21)*C21,0)</f>
        <v>-0</v>
      </c>
      <c r="K21" s="23" t="n">
        <f aca="false">H21+I21+J21</f>
        <v>5</v>
      </c>
      <c r="L21" s="21" t="n">
        <v>0</v>
      </c>
      <c r="M21" s="22" t="n">
        <f aca="false">-ROUND((K21+L21)*C21,0)</f>
        <v>-0</v>
      </c>
      <c r="N21" s="23" t="n">
        <f aca="false">K21+L21+M21</f>
        <v>5</v>
      </c>
      <c r="O21" s="21" t="n">
        <v>0</v>
      </c>
      <c r="P21" s="22" t="n">
        <f aca="false">-ROUND((N21+O21)*C21,0)</f>
        <v>-0</v>
      </c>
      <c r="Q21" s="23" t="n">
        <f aca="false">N21+O21+P21</f>
        <v>5</v>
      </c>
    </row>
    <row r="22" customFormat="false" ht="15" hidden="false" customHeight="false" outlineLevel="0" collapsed="false">
      <c r="A22" s="18" t="s">
        <v>49</v>
      </c>
      <c r="B22" s="18" t="s">
        <v>12</v>
      </c>
      <c r="C22" s="19" t="n">
        <f aca="false">'Tasa Rotación'!I21</f>
        <v>0.0144927536231884</v>
      </c>
      <c r="D22" s="20" t="n">
        <v>22</v>
      </c>
      <c r="E22" s="20" t="n">
        <v>22</v>
      </c>
      <c r="F22" s="21" t="n">
        <v>0</v>
      </c>
      <c r="G22" s="22" t="n">
        <f aca="false">-ROUND((E22+F22)*C22,0)</f>
        <v>-0</v>
      </c>
      <c r="H22" s="23" t="n">
        <f aca="false">E22+F22+G22</f>
        <v>22</v>
      </c>
      <c r="I22" s="21" t="n">
        <v>0</v>
      </c>
      <c r="J22" s="22" t="n">
        <f aca="false">-ROUND((H22+I22)*C22,0)</f>
        <v>-0</v>
      </c>
      <c r="K22" s="23" t="n">
        <f aca="false">H22+I22+J22</f>
        <v>22</v>
      </c>
      <c r="L22" s="21" t="n">
        <v>0</v>
      </c>
      <c r="M22" s="22" t="n">
        <f aca="false">-ROUND((K22+L22)*C22,0)</f>
        <v>-0</v>
      </c>
      <c r="N22" s="23" t="n">
        <f aca="false">K22+L22+M22</f>
        <v>22</v>
      </c>
      <c r="O22" s="21" t="n">
        <v>0</v>
      </c>
      <c r="P22" s="22" t="n">
        <f aca="false">-ROUND((N22+O22)*C22,0)</f>
        <v>-0</v>
      </c>
      <c r="Q22" s="23" t="n">
        <f aca="false">N22+O22+P22</f>
        <v>22</v>
      </c>
    </row>
    <row r="23" customFormat="false" ht="15" hidden="false" customHeight="false" outlineLevel="0" collapsed="false">
      <c r="A23" s="18" t="s">
        <v>50</v>
      </c>
      <c r="B23" s="18" t="s">
        <v>12</v>
      </c>
      <c r="C23" s="19" t="n">
        <f aca="false">'Tasa Rotación'!I22</f>
        <v>0</v>
      </c>
      <c r="D23" s="20" t="n">
        <v>14</v>
      </c>
      <c r="E23" s="20" t="n">
        <v>14</v>
      </c>
      <c r="F23" s="21" t="n">
        <v>0</v>
      </c>
      <c r="G23" s="22" t="n">
        <f aca="false">-ROUND((E23+F23)*C23,0)</f>
        <v>-0</v>
      </c>
      <c r="H23" s="23" t="n">
        <f aca="false">E23+F23+G23</f>
        <v>14</v>
      </c>
      <c r="I23" s="21" t="n">
        <v>0</v>
      </c>
      <c r="J23" s="22" t="n">
        <f aca="false">-ROUND((H23+I23)*C23,0)</f>
        <v>-0</v>
      </c>
      <c r="K23" s="23" t="n">
        <f aca="false">H23+I23+J23</f>
        <v>14</v>
      </c>
      <c r="L23" s="21" t="n">
        <v>0</v>
      </c>
      <c r="M23" s="22" t="n">
        <f aca="false">-ROUND((K23+L23)*C23,0)</f>
        <v>-0</v>
      </c>
      <c r="N23" s="23" t="n">
        <f aca="false">K23+L23+M23</f>
        <v>14</v>
      </c>
      <c r="O23" s="21" t="n">
        <v>0</v>
      </c>
      <c r="P23" s="22" t="n">
        <f aca="false">-ROUND((N23+O23)*C23,0)</f>
        <v>-0</v>
      </c>
      <c r="Q23" s="23" t="n">
        <f aca="false">N23+O23+P23</f>
        <v>14</v>
      </c>
    </row>
    <row r="24" customFormat="false" ht="15" hidden="false" customHeight="false" outlineLevel="0" collapsed="false">
      <c r="A24" s="18" t="s">
        <v>51</v>
      </c>
      <c r="B24" s="18" t="s">
        <v>12</v>
      </c>
      <c r="C24" s="19" t="n">
        <f aca="false">'Tasa Rotación'!I23</f>
        <v>0.0333333333333333</v>
      </c>
      <c r="D24" s="20" t="n">
        <v>10</v>
      </c>
      <c r="E24" s="20" t="n">
        <v>9</v>
      </c>
      <c r="F24" s="21" t="n">
        <v>0</v>
      </c>
      <c r="G24" s="22" t="n">
        <f aca="false">-ROUND((E24+F24)*C24,0)</f>
        <v>-0</v>
      </c>
      <c r="H24" s="23" t="n">
        <f aca="false">E24+F24+G24</f>
        <v>9</v>
      </c>
      <c r="I24" s="21" t="n">
        <v>0</v>
      </c>
      <c r="J24" s="22" t="n">
        <f aca="false">-ROUND((H24+I24)*C24,0)</f>
        <v>-0</v>
      </c>
      <c r="K24" s="23" t="n">
        <f aca="false">H24+I24+J24</f>
        <v>9</v>
      </c>
      <c r="L24" s="21" t="n">
        <v>0</v>
      </c>
      <c r="M24" s="22" t="n">
        <f aca="false">-ROUND((K24+L24)*C24,0)</f>
        <v>-0</v>
      </c>
      <c r="N24" s="23" t="n">
        <f aca="false">K24+L24+M24</f>
        <v>9</v>
      </c>
      <c r="O24" s="21" t="n">
        <v>0</v>
      </c>
      <c r="P24" s="22" t="n">
        <f aca="false">-ROUND((N24+O24)*C24,0)</f>
        <v>-0</v>
      </c>
      <c r="Q24" s="23" t="n">
        <f aca="false">N24+O24+P24</f>
        <v>9</v>
      </c>
    </row>
    <row r="25" customFormat="false" ht="15" hidden="false" customHeight="false" outlineLevel="0" collapsed="false">
      <c r="A25" s="18" t="s">
        <v>52</v>
      </c>
      <c r="B25" s="18" t="s">
        <v>12</v>
      </c>
      <c r="C25" s="19" t="n">
        <f aca="false">'Tasa Rotación'!I24</f>
        <v>0</v>
      </c>
      <c r="D25" s="20" t="n">
        <v>5</v>
      </c>
      <c r="E25" s="20" t="n">
        <v>5</v>
      </c>
      <c r="F25" s="21" t="n">
        <v>0</v>
      </c>
      <c r="G25" s="22" t="n">
        <f aca="false">-ROUND((E25+F25)*C25,0)</f>
        <v>-0</v>
      </c>
      <c r="H25" s="23" t="n">
        <f aca="false">E25+F25+G25</f>
        <v>5</v>
      </c>
      <c r="I25" s="21" t="n">
        <v>0</v>
      </c>
      <c r="J25" s="22" t="n">
        <f aca="false">-ROUND((H25+I25)*C25,0)</f>
        <v>-0</v>
      </c>
      <c r="K25" s="23" t="n">
        <f aca="false">H25+I25+J25</f>
        <v>5</v>
      </c>
      <c r="L25" s="21" t="n">
        <v>0</v>
      </c>
      <c r="M25" s="22" t="n">
        <f aca="false">-ROUND((K25+L25)*C25,0)</f>
        <v>-0</v>
      </c>
      <c r="N25" s="23" t="n">
        <f aca="false">K25+L25+M25</f>
        <v>5</v>
      </c>
      <c r="O25" s="21" t="n">
        <v>0</v>
      </c>
      <c r="P25" s="22" t="n">
        <f aca="false">-ROUND((N25+O25)*C25,0)</f>
        <v>-0</v>
      </c>
      <c r="Q25" s="23" t="n">
        <f aca="false">N25+O25+P25</f>
        <v>5</v>
      </c>
    </row>
    <row r="26" customFormat="false" ht="15" hidden="false" customHeight="false" outlineLevel="0" collapsed="false">
      <c r="A26" s="18" t="s">
        <v>53</v>
      </c>
      <c r="B26" s="18" t="s">
        <v>12</v>
      </c>
      <c r="C26" s="19" t="n">
        <f aca="false">'Tasa Rotación'!I25</f>
        <v>0</v>
      </c>
      <c r="D26" s="20" t="n">
        <v>4</v>
      </c>
      <c r="E26" s="20" t="n">
        <v>4</v>
      </c>
      <c r="F26" s="21" t="n">
        <v>0</v>
      </c>
      <c r="G26" s="22" t="n">
        <f aca="false">-ROUND((E26+F26)*C26,0)</f>
        <v>-0</v>
      </c>
      <c r="H26" s="23" t="n">
        <f aca="false">E26+F26+G26</f>
        <v>4</v>
      </c>
      <c r="I26" s="21" t="n">
        <v>0</v>
      </c>
      <c r="J26" s="22" t="n">
        <f aca="false">-ROUND((H26+I26)*C26,0)</f>
        <v>-0</v>
      </c>
      <c r="K26" s="23" t="n">
        <f aca="false">H26+I26+J26</f>
        <v>4</v>
      </c>
      <c r="L26" s="21" t="n">
        <v>0</v>
      </c>
      <c r="M26" s="22" t="n">
        <f aca="false">-ROUND((K26+L26)*C26,0)</f>
        <v>-0</v>
      </c>
      <c r="N26" s="23" t="n">
        <f aca="false">K26+L26+M26</f>
        <v>4</v>
      </c>
      <c r="O26" s="21" t="n">
        <v>0</v>
      </c>
      <c r="P26" s="22" t="n">
        <f aca="false">-ROUND((N26+O26)*C26,0)</f>
        <v>-0</v>
      </c>
      <c r="Q26" s="23" t="n">
        <f aca="false">N26+O26+P26</f>
        <v>4</v>
      </c>
    </row>
    <row r="27" customFormat="false" ht="15" hidden="false" customHeight="false" outlineLevel="0" collapsed="false">
      <c r="A27" s="18" t="s">
        <v>54</v>
      </c>
      <c r="B27" s="18" t="s">
        <v>12</v>
      </c>
      <c r="C27" s="19" t="n">
        <f aca="false">'Tasa Rotación'!I26</f>
        <v>0</v>
      </c>
      <c r="D27" s="20" t="n">
        <v>14</v>
      </c>
      <c r="E27" s="20" t="n">
        <v>0</v>
      </c>
      <c r="F27" s="21" t="n">
        <v>0</v>
      </c>
      <c r="G27" s="22" t="n">
        <f aca="false">-ROUND((E27+F27)*C27,0)</f>
        <v>-0</v>
      </c>
      <c r="H27" s="23" t="n">
        <f aca="false">E27+F27+G27</f>
        <v>0</v>
      </c>
      <c r="I27" s="21" t="n">
        <v>0</v>
      </c>
      <c r="J27" s="22" t="n">
        <f aca="false">-ROUND((H27+I27)*C27,0)</f>
        <v>-0</v>
      </c>
      <c r="K27" s="23" t="n">
        <f aca="false">H27+I27+J27</f>
        <v>0</v>
      </c>
      <c r="L27" s="21" t="n">
        <v>0</v>
      </c>
      <c r="M27" s="22" t="n">
        <f aca="false">-ROUND((K27+L27)*C27,0)</f>
        <v>-0</v>
      </c>
      <c r="N27" s="23" t="n">
        <f aca="false">K27+L27+M27</f>
        <v>0</v>
      </c>
      <c r="O27" s="21" t="n">
        <v>0</v>
      </c>
      <c r="P27" s="22" t="n">
        <f aca="false">-ROUND((N27+O27)*C27,0)</f>
        <v>-0</v>
      </c>
      <c r="Q27" s="23" t="n">
        <f aca="false">N27+O27+P27</f>
        <v>0</v>
      </c>
    </row>
    <row r="28" customFormat="false" ht="15" hidden="false" customHeight="false" outlineLevel="0" collapsed="false">
      <c r="A28" s="18" t="s">
        <v>55</v>
      </c>
      <c r="B28" s="18" t="s">
        <v>13</v>
      </c>
      <c r="C28" s="19" t="n">
        <f aca="false">'Tasa Rotación'!I27</f>
        <v>0.0184977810957654</v>
      </c>
      <c r="D28" s="20" t="n">
        <v>146</v>
      </c>
      <c r="E28" s="20" t="n">
        <v>170</v>
      </c>
      <c r="F28" s="24" t="n">
        <f aca="false">Resumen!H25</f>
        <v>12</v>
      </c>
      <c r="G28" s="22" t="n">
        <f aca="false">-ROUND((E28+F28)*C28,0)</f>
        <v>-3</v>
      </c>
      <c r="H28" s="23" t="n">
        <f aca="false">E28+F28+G28</f>
        <v>179</v>
      </c>
      <c r="I28" s="24" t="n">
        <f aca="false">Resumen!I25</f>
        <v>20</v>
      </c>
      <c r="J28" s="22" t="n">
        <f aca="false">-ROUND((H28+I28)*C28,0)</f>
        <v>-4</v>
      </c>
      <c r="K28" s="23" t="n">
        <f aca="false">H28+I28+J28</f>
        <v>195</v>
      </c>
      <c r="L28" s="24" t="n">
        <f aca="false">Resumen!J25</f>
        <v>32</v>
      </c>
      <c r="M28" s="22" t="n">
        <f aca="false">-ROUND((K28+L28)*C28,0)</f>
        <v>-4</v>
      </c>
      <c r="N28" s="23" t="n">
        <f aca="false">K28+L28+M28</f>
        <v>223</v>
      </c>
      <c r="O28" s="24" t="n">
        <f aca="false">Resumen!K25</f>
        <v>32</v>
      </c>
      <c r="P28" s="22" t="n">
        <f aca="false">-ROUND((N28+O28)*C28,0)</f>
        <v>-5</v>
      </c>
      <c r="Q28" s="23" t="n">
        <f aca="false">N28+O28+P28</f>
        <v>250</v>
      </c>
    </row>
    <row r="29" customFormat="false" ht="15" hidden="false" customHeight="false" outlineLevel="0" collapsed="false">
      <c r="A29" s="18" t="s">
        <v>56</v>
      </c>
      <c r="B29" s="18" t="s">
        <v>13</v>
      </c>
      <c r="C29" s="19" t="n">
        <f aca="false">'Tasa Rotación'!I28</f>
        <v>0</v>
      </c>
      <c r="D29" s="20" t="n">
        <v>13</v>
      </c>
      <c r="E29" s="20" t="n">
        <v>13</v>
      </c>
      <c r="F29" s="21" t="n">
        <v>0</v>
      </c>
      <c r="G29" s="22" t="n">
        <f aca="false">-ROUND((E29+F29)*C29,0)</f>
        <v>-0</v>
      </c>
      <c r="H29" s="23" t="n">
        <f aca="false">E29+F29+G29</f>
        <v>13</v>
      </c>
      <c r="I29" s="21" t="n">
        <v>0</v>
      </c>
      <c r="J29" s="22" t="n">
        <f aca="false">-ROUND((H29+I29)*C29,0)</f>
        <v>-0</v>
      </c>
      <c r="K29" s="23" t="n">
        <f aca="false">H29+I29+J29</f>
        <v>13</v>
      </c>
      <c r="L29" s="21" t="n">
        <v>0</v>
      </c>
      <c r="M29" s="22" t="n">
        <f aca="false">-ROUND((K29+L29)*C29,0)</f>
        <v>-0</v>
      </c>
      <c r="N29" s="23" t="n">
        <f aca="false">K29+L29+M29</f>
        <v>13</v>
      </c>
      <c r="O29" s="21" t="n">
        <v>0</v>
      </c>
      <c r="P29" s="22" t="n">
        <f aca="false">-ROUND((N29+O29)*C29,0)</f>
        <v>-0</v>
      </c>
      <c r="Q29" s="23" t="n">
        <f aca="false">N29+O29+P29</f>
        <v>13</v>
      </c>
    </row>
    <row r="31" customFormat="false" ht="15" hidden="false" customHeight="false" outlineLevel="0" collapsed="false">
      <c r="A31" s="25" t="s">
        <v>69</v>
      </c>
      <c r="D31" s="13" t="n">
        <f aca="false">SUM(D5:D29)</f>
        <v>983</v>
      </c>
      <c r="E31" s="13" t="n">
        <f aca="false">SUM(E5:E29)</f>
        <v>1015</v>
      </c>
      <c r="F31" s="13" t="n">
        <f aca="false">SUM(F5:F29)</f>
        <v>35</v>
      </c>
      <c r="G31" s="13" t="n">
        <f aca="false">SUM(G5:G29)</f>
        <v>-19</v>
      </c>
      <c r="H31" s="13" t="n">
        <f aca="false">SUM(H5:H29)</f>
        <v>1031</v>
      </c>
      <c r="I31" s="13" t="n">
        <f aca="false">SUM(I5:I29)</f>
        <v>47</v>
      </c>
      <c r="J31" s="13" t="n">
        <f aca="false">SUM(J5:J29)</f>
        <v>-21</v>
      </c>
      <c r="K31" s="13" t="n">
        <f aca="false">SUM(K5:K29)</f>
        <v>1057</v>
      </c>
      <c r="L31" s="13" t="n">
        <f aca="false">SUM(L5:L29)</f>
        <v>50</v>
      </c>
      <c r="M31" s="13" t="n">
        <f aca="false">SUM(M5:M29)</f>
        <v>-20</v>
      </c>
      <c r="N31" s="13" t="n">
        <f aca="false">SUM(N5:N29)</f>
        <v>1087</v>
      </c>
      <c r="O31" s="13" t="n">
        <f aca="false">SUM(O5:O29)</f>
        <v>50</v>
      </c>
      <c r="P31" s="13" t="n">
        <f aca="false">SUM(P5:P29)</f>
        <v>-22</v>
      </c>
      <c r="Q31" s="13" t="n">
        <f aca="false">SUM(Q5:Q29)</f>
        <v>1115</v>
      </c>
    </row>
    <row r="33" customFormat="false" ht="15" hidden="false" customHeight="false" outlineLevel="0" collapsed="false">
      <c r="A33" s="2" t="s">
        <v>70</v>
      </c>
    </row>
    <row r="34" customFormat="false" ht="15" hidden="false" customHeight="false" outlineLevel="0" collapsed="false">
      <c r="A34" s="26" t="s">
        <v>71</v>
      </c>
    </row>
    <row r="35" customFormat="false" ht="15" hidden="false" customHeight="false" outlineLevel="0" collapsed="false">
      <c r="A35" s="27" t="s">
        <v>72</v>
      </c>
    </row>
    <row r="36" customFormat="false" ht="15" hidden="false" customHeight="false" outlineLevel="0" collapsed="false">
      <c r="A36" s="2" t="s">
        <v>73</v>
      </c>
    </row>
  </sheetData>
  <mergeCells count="6">
    <mergeCell ref="A1:Q1"/>
    <mergeCell ref="A2:Q2"/>
    <mergeCell ref="F3:H3"/>
    <mergeCell ref="I3:K3"/>
    <mergeCell ref="L3:N3"/>
    <mergeCell ref="O3:Q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2026-06-10T03:31:43Z</dcterms:created>
  <dc:creator>openpyxl</dc:creator>
  <dc:description/>
  <dc:language>en-US</dc:language>
  <cp:lastModifiedBy/>
  <dcterms:modified xsi:type="dcterms:W3CDTF">2026-06-10T03:31:43Z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