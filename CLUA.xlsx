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os de Usuarios\t62963\Downloads\"/>
    </mc:Choice>
  </mc:AlternateContent>
  <xr:revisionPtr revIDLastSave="0" documentId="13_ncr:1_{B5749C7A-3F39-43D8-AF36-DD0080E5772F}" xr6:coauthVersionLast="47" xr6:coauthVersionMax="47" xr10:uidLastSave="{00000000-0000-0000-0000-000000000000}"/>
  <bookViews>
    <workbookView xWindow="-108" yWindow="-108" windowWidth="23256" windowHeight="13896" xr2:uid="{247CB850-75A0-4CBB-8331-4CD82DEFD7A9}"/>
  </bookViews>
  <sheets>
    <sheet name="Hoja4" sheetId="1" r:id="rId1"/>
    <sheet name="Hoja2" sheetId="2" r:id="rId2"/>
  </sheets>
  <externalReferences>
    <externalReference r:id="rId3"/>
    <externalReference r:id="rId4"/>
    <externalReference r:id="rId5"/>
    <externalReference r:id="rId6"/>
  </externalReferences>
  <definedNames>
    <definedName name="_año_">#REF!</definedName>
    <definedName name="_ArGypBanMin_">#REF!</definedName>
    <definedName name="_ArGypNr_">#REF!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97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mes_">#REF!</definedName>
    <definedName name="_RutGyp_">#REF!</definedName>
    <definedName name="Activos">#REF!</definedName>
    <definedName name="año">#REF!</definedName>
    <definedName name="cedes">#REF!</definedName>
    <definedName name="Contratación">#REF!</definedName>
    <definedName name="Datos">#REF!</definedName>
    <definedName name="DiasCategorias">#REF!</definedName>
    <definedName name="Gasto_Ppto_Acum">#REF!</definedName>
    <definedName name="Gasto_Real_Acum">#REF!</definedName>
    <definedName name="indicadores">#REF!</definedName>
    <definedName name="Matriculas">#REF!</definedName>
    <definedName name="MES">#REF!</definedName>
    <definedName name="Pal_Workbook_GUID" hidden="1">"NVVVVX23A52QJJCWBMRJ2W79"</definedName>
    <definedName name="PPP">OFFSET(#REF!,1,,,(COUNTA(#REF!)-(COUNTIF(#REF!,""))))</definedName>
    <definedName name="Procedencia">#REF!</definedName>
    <definedName name="Proceso">#REF!</definedName>
    <definedName name="Renuncia">#REF!</definedName>
    <definedName name="rewr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roles">#REF!</definedName>
    <definedName name="TablaInventario">#REF!</definedName>
    <definedName name="Tipoperfil">#REF!</definedName>
    <definedName name="wrn.PBI._.Proyección._.96._.97." hidden="1">{#N/A,#N/A,TRUE,"Resumen";#N/A,#N/A,TRUE,"Global";#N/A,#N/A,TRUE,"Agropecuario";#N/A,#N/A,TRUE,"Pesca";#N/A,#N/A,TRUE,"Minería";#N/A,#N/A,TRUE,"Elect. y Agua";#N/A,#N/A,TRUE,"Manufactura";#N/A,#N/A,TRUE,"Construcción";#N/A,#N/A,TRUE,"Comercio";#N/A,#N/A,TRUE,"Otros"}</definedName>
    <definedName name="wrn.PROYECCIONES." hidden="1">{#N/A,#N/A,FALSE,"Final";#N/A,#N/A,FALSE,"PBI Anual";#N/A,#N/A,FALSE,"PBI 95-96";#N/A,#N/A,FALSE,"Gasto Agregado";#N/A,#N/A,FALSE,"Gob. Central";#N/A,#N/A,FALSE,"Bza. Pagos";#N/A,#N/A,FALSE,"Bza. Comercial";#N/A,#N/A,FALSE,"IPC vs DEV"}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49" i="1" l="1"/>
  <c r="S42" i="1"/>
  <c r="S19" i="1"/>
  <c r="O10" i="1"/>
  <c r="N10" i="1"/>
  <c r="L10" i="1"/>
  <c r="K10" i="1"/>
  <c r="I10" i="1"/>
  <c r="H10" i="1"/>
  <c r="C10" i="1"/>
  <c r="B10" i="1"/>
  <c r="F10" i="1"/>
  <c r="E10" i="1"/>
  <c r="G6" i="2"/>
  <c r="J7" i="2" s="1"/>
  <c r="K7" i="2" s="1"/>
  <c r="G5" i="2"/>
  <c r="J6" i="2" s="1"/>
  <c r="K6" i="2" s="1"/>
  <c r="C6" i="2"/>
  <c r="C5" i="2"/>
  <c r="C4" i="2"/>
  <c r="C3" i="2"/>
  <c r="G7" i="2"/>
  <c r="V3" i="2"/>
  <c r="W3" i="2" s="1"/>
  <c r="R3" i="2"/>
  <c r="S3" i="2" s="1"/>
  <c r="N3" i="2"/>
  <c r="O3" i="2" s="1"/>
  <c r="J3" i="2"/>
  <c r="C7" i="2"/>
  <c r="AK2" i="1"/>
  <c r="AQ2" i="1"/>
  <c r="F4" i="2" l="1"/>
  <c r="G4" i="2" s="1"/>
  <c r="J5" i="2" s="1"/>
  <c r="N7" i="2"/>
  <c r="O7" i="2" s="1"/>
  <c r="R7" i="2" s="1"/>
  <c r="S7" i="2" s="1"/>
  <c r="V7" i="2" s="1"/>
  <c r="W7" i="2" s="1"/>
  <c r="K3" i="2"/>
  <c r="N4" i="2" s="1"/>
  <c r="U6" i="1"/>
  <c r="AE6" i="1"/>
  <c r="AF6" i="1"/>
  <c r="AL6" i="1"/>
  <c r="AR6" i="1"/>
  <c r="F3" i="2" l="1"/>
  <c r="G3" i="2" s="1"/>
  <c r="J4" i="2" s="1"/>
  <c r="K4" i="2" s="1"/>
  <c r="N5" i="2" s="1"/>
  <c r="O4" i="2"/>
  <c r="R4" i="2" s="1"/>
  <c r="K5" i="2"/>
  <c r="N6" i="2" s="1"/>
  <c r="AH7" i="1"/>
  <c r="AJ6" i="1" s="1"/>
  <c r="AN7" i="1"/>
  <c r="AP6" i="1" s="1"/>
  <c r="AT7" i="1"/>
  <c r="O6" i="2" l="1"/>
  <c r="R6" i="2" s="1"/>
  <c r="O5" i="2"/>
  <c r="R5" i="2" s="1"/>
  <c r="S4" i="2"/>
  <c r="V4" i="2" s="1"/>
  <c r="W4" i="2" s="1"/>
  <c r="AN6" i="1"/>
  <c r="AM6" i="1"/>
  <c r="AM10" i="1" s="1"/>
  <c r="AS6" i="1"/>
  <c r="AS10" i="1" s="1"/>
  <c r="AT6" i="1"/>
  <c r="V8" i="1"/>
  <c r="X8" i="1"/>
  <c r="AB8" i="1"/>
  <c r="AB9" i="1"/>
  <c r="AD8" i="1" s="1"/>
  <c r="AH8" i="1" s="1"/>
  <c r="AH9" i="1"/>
  <c r="AJ8" i="1" s="1"/>
  <c r="AN9" i="1"/>
  <c r="AP8" i="1" s="1"/>
  <c r="AT9" i="1"/>
  <c r="Q10" i="1"/>
  <c r="T10" i="1"/>
  <c r="Y10" i="1"/>
  <c r="Z10" i="1"/>
  <c r="AE10" i="1"/>
  <c r="AF10" i="1"/>
  <c r="AK10" i="1"/>
  <c r="AL10" i="1"/>
  <c r="AQ10" i="1"/>
  <c r="AR10" i="1"/>
  <c r="X12" i="1"/>
  <c r="Y12" i="1"/>
  <c r="AD12" i="1"/>
  <c r="AJ12" i="1"/>
  <c r="AP12" i="1"/>
  <c r="G14" i="1"/>
  <c r="J14" i="1"/>
  <c r="M14" i="1"/>
  <c r="S5" i="2" l="1"/>
  <c r="V5" i="2" s="1"/>
  <c r="W5" i="2" s="1"/>
  <c r="S6" i="2"/>
  <c r="V6" i="2" s="1"/>
  <c r="W6" i="2" s="1"/>
  <c r="AP10" i="1"/>
  <c r="AT8" i="1"/>
  <c r="AT10" i="1" s="1"/>
  <c r="AJ10" i="1"/>
  <c r="AN8" i="1"/>
  <c r="AN10" i="1" s="1"/>
  <c r="U14" i="1"/>
  <c r="V14" i="1"/>
  <c r="AF14" i="1"/>
  <c r="AL14" i="1"/>
  <c r="AR14" i="1"/>
  <c r="G15" i="1"/>
  <c r="J15" i="1"/>
  <c r="M15" i="1"/>
  <c r="U15" i="1"/>
  <c r="X15" i="1"/>
  <c r="AA15" i="1" s="1"/>
  <c r="AD15" i="1"/>
  <c r="AF15" i="1"/>
  <c r="AG15" i="1" s="1"/>
  <c r="AJ15" i="1"/>
  <c r="AL15" i="1"/>
  <c r="AM15" i="1" s="1"/>
  <c r="AP15" i="1"/>
  <c r="AR15" i="1"/>
  <c r="AS15" i="1" s="1"/>
  <c r="G16" i="1"/>
  <c r="J16" i="1"/>
  <c r="M16" i="1"/>
  <c r="U16" i="1" l="1"/>
  <c r="U10" i="1" s="1"/>
  <c r="AF16" i="1"/>
  <c r="AL16" i="1"/>
  <c r="AR16" i="1"/>
  <c r="U17" i="1"/>
  <c r="AL17" i="1"/>
  <c r="AR17" i="1"/>
  <c r="G18" i="1"/>
  <c r="G19" i="1" s="1"/>
  <c r="J18" i="1"/>
  <c r="J19" i="1" s="1"/>
  <c r="J20" i="1" s="1"/>
  <c r="M18" i="1"/>
  <c r="U18" i="1"/>
  <c r="V18" i="1"/>
  <c r="X18" i="1" s="1"/>
  <c r="AF18" i="1"/>
  <c r="AF19" i="1" s="1"/>
  <c r="AL18" i="1"/>
  <c r="AR18" i="1"/>
  <c r="B19" i="1"/>
  <c r="C19" i="1"/>
  <c r="D19" i="1"/>
  <c r="E19" i="1"/>
  <c r="F19" i="1"/>
  <c r="H19" i="1"/>
  <c r="I19" i="1"/>
  <c r="K19" i="1"/>
  <c r="L19" i="1"/>
  <c r="M19" i="1"/>
  <c r="M20" i="1" s="1"/>
  <c r="N19" i="1"/>
  <c r="O19" i="1"/>
  <c r="P19" i="1"/>
  <c r="Q19" i="1"/>
  <c r="R19" i="1"/>
  <c r="T19" i="1"/>
  <c r="Y19" i="1"/>
  <c r="Z19" i="1"/>
  <c r="AE19" i="1"/>
  <c r="AE2" i="1" s="1"/>
  <c r="B23" i="1"/>
  <c r="C23" i="1"/>
  <c r="E23" i="1"/>
  <c r="F23" i="1"/>
  <c r="H23" i="1"/>
  <c r="I23" i="1"/>
  <c r="K23" i="1"/>
  <c r="L23" i="1"/>
  <c r="R23" i="1"/>
  <c r="V23" i="1"/>
  <c r="X23" i="1"/>
  <c r="Y23" i="1"/>
  <c r="AB23" i="1"/>
  <c r="AD23" i="1"/>
  <c r="AE23" i="1"/>
  <c r="AH23" i="1"/>
  <c r="AJ23" i="1"/>
  <c r="AK23" i="1"/>
  <c r="AN23" i="1"/>
  <c r="AP23" i="1"/>
  <c r="AQ23" i="1"/>
  <c r="AT23" i="1"/>
  <c r="D24" i="1"/>
  <c r="G24" i="1"/>
  <c r="J24" i="1"/>
  <c r="M24" i="1"/>
  <c r="P20" i="1" l="1"/>
  <c r="D20" i="1"/>
  <c r="G20" i="1"/>
  <c r="AR19" i="1"/>
  <c r="AL19" i="1"/>
  <c r="AA18" i="1"/>
  <c r="AB18" i="1"/>
  <c r="AD18" i="1" s="1"/>
  <c r="U19" i="1"/>
  <c r="U24" i="1"/>
  <c r="V24" i="1"/>
  <c r="X24" i="1"/>
  <c r="AA24" i="1"/>
  <c r="AB24" i="1"/>
  <c r="AD24" i="1" s="1"/>
  <c r="AC24" i="1"/>
  <c r="AF24" i="1"/>
  <c r="AL24" i="1"/>
  <c r="AR24" i="1"/>
  <c r="D25" i="1"/>
  <c r="G25" i="1"/>
  <c r="J25" i="1"/>
  <c r="M25" i="1"/>
  <c r="AG24" i="1" l="1"/>
  <c r="AH24" i="1"/>
  <c r="AJ24" i="1" s="1"/>
  <c r="AH18" i="1"/>
  <c r="AJ18" i="1" s="1"/>
  <c r="AG18" i="1"/>
  <c r="U25" i="1"/>
  <c r="V25" i="1"/>
  <c r="X25" i="1"/>
  <c r="AA25" i="1"/>
  <c r="AB25" i="1"/>
  <c r="AD25" i="1" s="1"/>
  <c r="AH25" i="1" s="1"/>
  <c r="AJ25" i="1" s="1"/>
  <c r="AF25" i="1"/>
  <c r="AL25" i="1"/>
  <c r="AR25" i="1"/>
  <c r="D26" i="1"/>
  <c r="G26" i="1"/>
  <c r="J26" i="1"/>
  <c r="M26" i="1"/>
  <c r="R26" i="1"/>
  <c r="AG25" i="1" l="1"/>
  <c r="AM25" i="1"/>
  <c r="AN25" i="1"/>
  <c r="AP25" i="1" s="1"/>
  <c r="AM18" i="1"/>
  <c r="AN18" i="1"/>
  <c r="AP18" i="1" s="1"/>
  <c r="AM24" i="1"/>
  <c r="AN24" i="1"/>
  <c r="AP24" i="1" s="1"/>
  <c r="U26" i="1"/>
  <c r="V26" i="1"/>
  <c r="X26" i="1" s="1"/>
  <c r="AF26" i="1"/>
  <c r="AL26" i="1"/>
  <c r="AR26" i="1"/>
  <c r="D27" i="1"/>
  <c r="G27" i="1"/>
  <c r="J27" i="1"/>
  <c r="M27" i="1"/>
  <c r="AA26" i="1" l="1"/>
  <c r="AB26" i="1"/>
  <c r="AD26" i="1" s="1"/>
  <c r="AT24" i="1"/>
  <c r="AS24" i="1"/>
  <c r="AS18" i="1"/>
  <c r="AT18" i="1"/>
  <c r="AT25" i="1"/>
  <c r="AS25" i="1"/>
  <c r="U27" i="1"/>
  <c r="V27" i="1"/>
  <c r="X27" i="1"/>
  <c r="AA27" i="1"/>
  <c r="AB27" i="1"/>
  <c r="AD27" i="1"/>
  <c r="AH27" i="1" s="1"/>
  <c r="AJ27" i="1" s="1"/>
  <c r="AF27" i="1"/>
  <c r="AL27" i="1"/>
  <c r="AR27" i="1"/>
  <c r="D28" i="1"/>
  <c r="G28" i="1"/>
  <c r="J28" i="1"/>
  <c r="M28" i="1"/>
  <c r="R28" i="1"/>
  <c r="AG27" i="1" l="1"/>
  <c r="AM27" i="1"/>
  <c r="AN27" i="1"/>
  <c r="AP27" i="1" s="1"/>
  <c r="AH26" i="1"/>
  <c r="AJ26" i="1" s="1"/>
  <c r="AG26" i="1"/>
  <c r="U28" i="1"/>
  <c r="V28" i="1"/>
  <c r="X28" i="1" s="1"/>
  <c r="AF28" i="1"/>
  <c r="AL28" i="1"/>
  <c r="AR28" i="1"/>
  <c r="D29" i="1"/>
  <c r="G29" i="1"/>
  <c r="J29" i="1"/>
  <c r="M29" i="1"/>
  <c r="AA28" i="1" l="1"/>
  <c r="AB28" i="1"/>
  <c r="AD28" i="1" s="1"/>
  <c r="AM26" i="1"/>
  <c r="AN26" i="1"/>
  <c r="AP26" i="1" s="1"/>
  <c r="AS27" i="1"/>
  <c r="AT27" i="1"/>
  <c r="U29" i="1"/>
  <c r="V29" i="1"/>
  <c r="X29" i="1"/>
  <c r="AA29" i="1"/>
  <c r="AB29" i="1"/>
  <c r="AD29" i="1" s="1"/>
  <c r="AH29" i="1" s="1"/>
  <c r="AJ29" i="1" s="1"/>
  <c r="AF29" i="1"/>
  <c r="AL29" i="1"/>
  <c r="AR29" i="1"/>
  <c r="D30" i="1"/>
  <c r="G30" i="1"/>
  <c r="J30" i="1"/>
  <c r="M30" i="1"/>
  <c r="AG29" i="1" l="1"/>
  <c r="AG28" i="1"/>
  <c r="AH28" i="1"/>
  <c r="AJ28" i="1" s="1"/>
  <c r="AM29" i="1"/>
  <c r="AN29" i="1"/>
  <c r="AP29" i="1" s="1"/>
  <c r="AT26" i="1"/>
  <c r="AS26" i="1"/>
  <c r="U30" i="1"/>
  <c r="X30" i="1"/>
  <c r="AA30" i="1" s="1"/>
  <c r="AB30" i="1"/>
  <c r="AD30" i="1"/>
  <c r="AF30" i="1"/>
  <c r="AG30" i="1" s="1"/>
  <c r="AJ30" i="1"/>
  <c r="AL30" i="1"/>
  <c r="AP30" i="1"/>
  <c r="AR30" i="1"/>
  <c r="D31" i="1"/>
  <c r="G31" i="1"/>
  <c r="J31" i="1"/>
  <c r="M31" i="1"/>
  <c r="AS30" i="1" l="1"/>
  <c r="AM28" i="1"/>
  <c r="AN28" i="1"/>
  <c r="AP28" i="1" s="1"/>
  <c r="AM30" i="1"/>
  <c r="AS29" i="1"/>
  <c r="AT29" i="1"/>
  <c r="U31" i="1"/>
  <c r="V31" i="1"/>
  <c r="X31" i="1"/>
  <c r="AA31" i="1"/>
  <c r="AB31" i="1"/>
  <c r="AD31" i="1" s="1"/>
  <c r="AH31" i="1" s="1"/>
  <c r="AJ31" i="1" s="1"/>
  <c r="AF31" i="1"/>
  <c r="AL31" i="1"/>
  <c r="AR31" i="1"/>
  <c r="D32" i="1"/>
  <c r="G32" i="1"/>
  <c r="J32" i="1"/>
  <c r="M32" i="1"/>
  <c r="AG31" i="1" l="1"/>
  <c r="AS28" i="1"/>
  <c r="AT28" i="1"/>
  <c r="AN31" i="1"/>
  <c r="AP31" i="1" s="1"/>
  <c r="AM31" i="1"/>
  <c r="U32" i="1"/>
  <c r="V32" i="1"/>
  <c r="X32" i="1"/>
  <c r="AA32" i="1" s="1"/>
  <c r="AB32" i="1"/>
  <c r="AD32" i="1"/>
  <c r="AF32" i="1"/>
  <c r="AG32" i="1" s="1"/>
  <c r="AH32" i="1"/>
  <c r="AJ32" i="1" s="1"/>
  <c r="AN32" i="1" s="1"/>
  <c r="AP32" i="1" s="1"/>
  <c r="AL32" i="1"/>
  <c r="AR32" i="1"/>
  <c r="D33" i="1"/>
  <c r="G33" i="1"/>
  <c r="J33" i="1"/>
  <c r="M33" i="1"/>
  <c r="AT32" i="1" l="1"/>
  <c r="AS32" i="1"/>
  <c r="AM32" i="1"/>
  <c r="AT31" i="1"/>
  <c r="AS31" i="1"/>
  <c r="U33" i="1"/>
  <c r="V33" i="1"/>
  <c r="X33" i="1" s="1"/>
  <c r="AA33" i="1" s="1"/>
  <c r="AB33" i="1"/>
  <c r="AD33" i="1" s="1"/>
  <c r="AH33" i="1" s="1"/>
  <c r="AJ33" i="1" s="1"/>
  <c r="AF33" i="1"/>
  <c r="AL33" i="1"/>
  <c r="AR33" i="1"/>
  <c r="D34" i="1"/>
  <c r="G34" i="1"/>
  <c r="J34" i="1"/>
  <c r="M34" i="1"/>
  <c r="AG33" i="1" l="1"/>
  <c r="AM33" i="1"/>
  <c r="AN33" i="1"/>
  <c r="AP33" i="1" s="1"/>
  <c r="U34" i="1"/>
  <c r="V34" i="1"/>
  <c r="X34" i="1" s="1"/>
  <c r="AA34" i="1" s="1"/>
  <c r="AB34" i="1"/>
  <c r="AD34" i="1"/>
  <c r="AF34" i="1"/>
  <c r="AG34" i="1" s="1"/>
  <c r="AH34" i="1"/>
  <c r="AJ34" i="1"/>
  <c r="AN34" i="1" s="1"/>
  <c r="AP34" i="1" s="1"/>
  <c r="AL34" i="1"/>
  <c r="AR34" i="1"/>
  <c r="D35" i="1"/>
  <c r="G35" i="1"/>
  <c r="J35" i="1"/>
  <c r="M35" i="1"/>
  <c r="AT34" i="1" l="1"/>
  <c r="AS34" i="1"/>
  <c r="AM34" i="1"/>
  <c r="AS33" i="1"/>
  <c r="AT33" i="1"/>
  <c r="U35" i="1"/>
  <c r="V35" i="1"/>
  <c r="X35" i="1" s="1"/>
  <c r="AA35" i="1" s="1"/>
  <c r="AB35" i="1"/>
  <c r="AD35" i="1" s="1"/>
  <c r="AH35" i="1" s="1"/>
  <c r="AJ35" i="1" s="1"/>
  <c r="AF35" i="1"/>
  <c r="AL35" i="1"/>
  <c r="AR35" i="1"/>
  <c r="D36" i="1"/>
  <c r="G36" i="1"/>
  <c r="J36" i="1"/>
  <c r="M36" i="1"/>
  <c r="AG35" i="1" l="1"/>
  <c r="AM35" i="1"/>
  <c r="AN35" i="1"/>
  <c r="AP35" i="1" s="1"/>
  <c r="U36" i="1"/>
  <c r="V36" i="1"/>
  <c r="X36" i="1"/>
  <c r="AA36" i="1"/>
  <c r="AB36" i="1"/>
  <c r="AD36" i="1"/>
  <c r="AF36" i="1"/>
  <c r="AG36" i="1" s="1"/>
  <c r="AH36" i="1"/>
  <c r="AJ36" i="1" s="1"/>
  <c r="AN36" i="1" s="1"/>
  <c r="AP36" i="1" s="1"/>
  <c r="AL36" i="1"/>
  <c r="AR36" i="1"/>
  <c r="D37" i="1"/>
  <c r="G37" i="1"/>
  <c r="J37" i="1"/>
  <c r="M37" i="1"/>
  <c r="AM36" i="1" l="1"/>
  <c r="AS36" i="1"/>
  <c r="AT36" i="1"/>
  <c r="AT35" i="1"/>
  <c r="AS35" i="1"/>
  <c r="U37" i="1"/>
  <c r="V37" i="1"/>
  <c r="X37" i="1"/>
  <c r="AA37" i="1" s="1"/>
  <c r="AB37" i="1"/>
  <c r="AD37" i="1"/>
  <c r="AF37" i="1"/>
  <c r="AG37" i="1" s="1"/>
  <c r="AH37" i="1"/>
  <c r="AJ37" i="1" s="1"/>
  <c r="AL37" i="1"/>
  <c r="AR37" i="1"/>
  <c r="D38" i="1"/>
  <c r="G38" i="1"/>
  <c r="J38" i="1"/>
  <c r="M38" i="1"/>
  <c r="AM37" i="1" l="1"/>
  <c r="AN37" i="1"/>
  <c r="AP37" i="1" s="1"/>
  <c r="U38" i="1"/>
  <c r="V38" i="1"/>
  <c r="X38" i="1" s="1"/>
  <c r="AA38" i="1" s="1"/>
  <c r="AB38" i="1"/>
  <c r="AD38" i="1" s="1"/>
  <c r="AH38" i="1" s="1"/>
  <c r="AJ38" i="1" s="1"/>
  <c r="AN38" i="1" s="1"/>
  <c r="AP38" i="1" s="1"/>
  <c r="AF38" i="1"/>
  <c r="AL38" i="1"/>
  <c r="AR38" i="1"/>
  <c r="D39" i="1"/>
  <c r="G39" i="1"/>
  <c r="J39" i="1"/>
  <c r="M39" i="1"/>
  <c r="AM38" i="1" l="1"/>
  <c r="AG38" i="1"/>
  <c r="AS38" i="1"/>
  <c r="AT38" i="1"/>
  <c r="AT37" i="1"/>
  <c r="AS37" i="1"/>
  <c r="U39" i="1"/>
  <c r="V39" i="1"/>
  <c r="X39" i="1"/>
  <c r="AA39" i="1"/>
  <c r="AB39" i="1"/>
  <c r="AD39" i="1"/>
  <c r="AF39" i="1"/>
  <c r="AG39" i="1" s="1"/>
  <c r="AH39" i="1"/>
  <c r="AJ39" i="1" s="1"/>
  <c r="AL39" i="1"/>
  <c r="AR39" i="1"/>
  <c r="D40" i="1"/>
  <c r="G40" i="1"/>
  <c r="J40" i="1"/>
  <c r="M40" i="1"/>
  <c r="AM39" i="1" l="1"/>
  <c r="AN39" i="1"/>
  <c r="AP39" i="1" s="1"/>
  <c r="U40" i="1"/>
  <c r="V40" i="1"/>
  <c r="V42" i="1" s="1"/>
  <c r="AF40" i="1"/>
  <c r="AL40" i="1"/>
  <c r="AL42" i="1" s="1"/>
  <c r="AR40" i="1"/>
  <c r="D41" i="1"/>
  <c r="D42" i="1" s="1"/>
  <c r="G41" i="1"/>
  <c r="G42" i="1" s="1"/>
  <c r="J41" i="1"/>
  <c r="M41" i="1"/>
  <c r="M42" i="1" s="1"/>
  <c r="U41" i="1"/>
  <c r="X41" i="1"/>
  <c r="AA41" i="1" s="1"/>
  <c r="AD41" i="1"/>
  <c r="AF41" i="1"/>
  <c r="AJ41" i="1"/>
  <c r="AL41" i="1"/>
  <c r="AM41" i="1" s="1"/>
  <c r="AP41" i="1"/>
  <c r="AR41" i="1"/>
  <c r="B42" i="1"/>
  <c r="C42" i="1"/>
  <c r="E42" i="1"/>
  <c r="F42" i="1"/>
  <c r="H42" i="1"/>
  <c r="I42" i="1"/>
  <c r="J42" i="1"/>
  <c r="K42" i="1"/>
  <c r="L42" i="1"/>
  <c r="N42" i="1"/>
  <c r="O42" i="1"/>
  <c r="P42" i="1"/>
  <c r="Q42" i="1"/>
  <c r="R42" i="1"/>
  <c r="T42" i="1"/>
  <c r="Z42" i="1"/>
  <c r="B46" i="1"/>
  <c r="C46" i="1"/>
  <c r="D46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T46" i="1"/>
  <c r="U46" i="1"/>
  <c r="V46" i="1"/>
  <c r="W46" i="1"/>
  <c r="X46" i="1"/>
  <c r="Y46" i="1"/>
  <c r="Z46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D47" i="1"/>
  <c r="G47" i="1"/>
  <c r="J47" i="1"/>
  <c r="M47" i="1"/>
  <c r="AF42" i="1" l="1"/>
  <c r="X40" i="1"/>
  <c r="AA40" i="1" s="1"/>
  <c r="AB40" i="1"/>
  <c r="AG41" i="1"/>
  <c r="AS41" i="1"/>
  <c r="AR42" i="1"/>
  <c r="X42" i="1"/>
  <c r="AA42" i="1" s="1"/>
  <c r="AL2" i="1"/>
  <c r="AR2" i="1"/>
  <c r="AF2" i="1"/>
  <c r="R2" i="1"/>
  <c r="D2" i="1"/>
  <c r="C2" i="1"/>
  <c r="B2" i="1"/>
  <c r="O2" i="1"/>
  <c r="T43" i="1"/>
  <c r="N2" i="1"/>
  <c r="P43" i="1"/>
  <c r="E2" i="1"/>
  <c r="Z2" i="1"/>
  <c r="L2" i="1"/>
  <c r="T2" i="1"/>
  <c r="Q2" i="1"/>
  <c r="K2" i="1"/>
  <c r="S2" i="1"/>
  <c r="F2" i="1"/>
  <c r="U42" i="1"/>
  <c r="AT39" i="1"/>
  <c r="AS39" i="1"/>
  <c r="U47" i="1"/>
  <c r="V47" i="1"/>
  <c r="X47" i="1" s="1"/>
  <c r="Z47" i="1"/>
  <c r="AB47" i="1"/>
  <c r="AD47" i="1" s="1"/>
  <c r="AE47" i="1"/>
  <c r="AF47" i="1"/>
  <c r="AL47" i="1"/>
  <c r="AR47" i="1"/>
  <c r="D48" i="1"/>
  <c r="G48" i="1"/>
  <c r="J48" i="1"/>
  <c r="M48" i="1"/>
  <c r="AA47" i="1" l="1"/>
  <c r="AD40" i="1"/>
  <c r="AB42" i="1"/>
  <c r="AG47" i="1"/>
  <c r="AH47" i="1"/>
  <c r="AJ47" i="1" s="1"/>
  <c r="Q1" i="1"/>
  <c r="U48" i="1"/>
  <c r="V48" i="1"/>
  <c r="V49" i="1" s="1"/>
  <c r="X48" i="1"/>
  <c r="X49" i="1" s="1"/>
  <c r="Z48" i="1"/>
  <c r="Z49" i="1" s="1"/>
  <c r="Z3" i="1" s="1"/>
  <c r="AB48" i="1"/>
  <c r="AB49" i="1" s="1"/>
  <c r="AD48" i="1"/>
  <c r="AF48" i="1"/>
  <c r="AF49" i="1" s="1"/>
  <c r="AF3" i="1" s="1"/>
  <c r="AL48" i="1"/>
  <c r="AL49" i="1" s="1"/>
  <c r="AL3" i="1" s="1"/>
  <c r="AR48" i="1"/>
  <c r="AR49" i="1" s="1"/>
  <c r="AR3" i="1" s="1"/>
  <c r="B49" i="1"/>
  <c r="B3" i="1" s="1"/>
  <c r="C49" i="1"/>
  <c r="C3" i="1" s="1"/>
  <c r="D49" i="1"/>
  <c r="D3" i="1" s="1"/>
  <c r="E49" i="1"/>
  <c r="E3" i="1" s="1"/>
  <c r="F49" i="1"/>
  <c r="F3" i="1" s="1"/>
  <c r="G49" i="1"/>
  <c r="G3" i="1" s="1"/>
  <c r="H49" i="1"/>
  <c r="H3" i="1" s="1"/>
  <c r="I49" i="1"/>
  <c r="I3" i="1" s="1"/>
  <c r="J49" i="1"/>
  <c r="J3" i="1" s="1"/>
  <c r="K49" i="1"/>
  <c r="K3" i="1" s="1"/>
  <c r="K1" i="1" s="1"/>
  <c r="L49" i="1"/>
  <c r="L3" i="1" s="1"/>
  <c r="L1" i="1" s="1"/>
  <c r="M49" i="1"/>
  <c r="M3" i="1" s="1"/>
  <c r="N49" i="1"/>
  <c r="N3" i="1" s="1"/>
  <c r="O49" i="1"/>
  <c r="O3" i="1" s="1"/>
  <c r="P49" i="1"/>
  <c r="P3" i="1" s="1"/>
  <c r="Q49" i="1"/>
  <c r="Q3" i="1" s="1"/>
  <c r="R49" i="1"/>
  <c r="R3" i="1" s="1"/>
  <c r="S3" i="1"/>
  <c r="T49" i="1"/>
  <c r="T3" i="1" s="1"/>
  <c r="U49" i="1"/>
  <c r="Y49" i="1"/>
  <c r="T50" i="1"/>
  <c r="V6" i="1"/>
  <c r="V17" i="1"/>
  <c r="X14" i="1" s="1"/>
  <c r="AG48" i="1" l="1"/>
  <c r="K50" i="1"/>
  <c r="L50" i="1"/>
  <c r="V16" i="1"/>
  <c r="V19" i="1" s="1"/>
  <c r="V3" i="1" s="1"/>
  <c r="V1" i="1" s="1"/>
  <c r="AD42" i="1"/>
  <c r="AG42" i="1" s="1"/>
  <c r="AG40" i="1"/>
  <c r="AH40" i="1"/>
  <c r="AA49" i="1"/>
  <c r="X17" i="1"/>
  <c r="AA17" i="1" s="1"/>
  <c r="AB17" i="1"/>
  <c r="V7" i="1"/>
  <c r="X6" i="1" s="1"/>
  <c r="AB7" i="1"/>
  <c r="AD6" i="1" s="1"/>
  <c r="P50" i="1"/>
  <c r="AD49" i="1"/>
  <c r="AG49" i="1" s="1"/>
  <c r="AA48" i="1"/>
  <c r="O1" i="1"/>
  <c r="AA14" i="1"/>
  <c r="AB14" i="1"/>
  <c r="AH48" i="1"/>
  <c r="AM47" i="1"/>
  <c r="AN47" i="1"/>
  <c r="U3" i="1"/>
  <c r="R1" i="1"/>
  <c r="AJ40" i="1" l="1"/>
  <c r="AH42" i="1"/>
  <c r="X16" i="1"/>
  <c r="AA16" i="1" s="1"/>
  <c r="AA10" i="1" s="1"/>
  <c r="V10" i="1"/>
  <c r="AP47" i="1"/>
  <c r="AB6" i="1"/>
  <c r="AB10" i="1" s="1"/>
  <c r="AH49" i="1"/>
  <c r="AJ48" i="1"/>
  <c r="AA6" i="1"/>
  <c r="X10" i="1"/>
  <c r="AD14" i="1"/>
  <c r="AB16" i="1"/>
  <c r="AG6" i="1"/>
  <c r="AH6" i="1"/>
  <c r="AH10" i="1" s="1"/>
  <c r="AD10" i="1"/>
  <c r="AD17" i="1"/>
  <c r="X19" i="1" l="1"/>
  <c r="X3" i="1" s="1"/>
  <c r="AA3" i="1" s="1"/>
  <c r="AD16" i="1"/>
  <c r="AD19" i="1" s="1"/>
  <c r="AM40" i="1"/>
  <c r="AN40" i="1"/>
  <c r="AJ42" i="1"/>
  <c r="AM42" i="1" s="1"/>
  <c r="AB19" i="1"/>
  <c r="AG17" i="1"/>
  <c r="AH17" i="1"/>
  <c r="AM48" i="1"/>
  <c r="AN48" i="1"/>
  <c r="AJ49" i="1"/>
  <c r="AM49" i="1" s="1"/>
  <c r="AH14" i="1"/>
  <c r="AG14" i="1"/>
  <c r="AJ17" i="1"/>
  <c r="AT47" i="1"/>
  <c r="AS47" i="1"/>
  <c r="AA19" i="1" l="1"/>
  <c r="X2" i="1"/>
  <c r="AH16" i="1"/>
  <c r="AJ16" i="1" s="1"/>
  <c r="AG16" i="1"/>
  <c r="AG10" i="1" s="1"/>
  <c r="AN42" i="1"/>
  <c r="AP40" i="1"/>
  <c r="AP48" i="1"/>
  <c r="AN49" i="1"/>
  <c r="AD2" i="1"/>
  <c r="AD3" i="1"/>
  <c r="AG3" i="1" s="1"/>
  <c r="AG19" i="1"/>
  <c r="AN17" i="1"/>
  <c r="AM17" i="1"/>
  <c r="AP17" i="1"/>
  <c r="AJ14" i="1"/>
  <c r="AH19" i="1"/>
  <c r="AH3" i="1" s="1"/>
  <c r="AB3" i="1"/>
  <c r="AB2" i="1"/>
  <c r="AN16" i="1" l="1"/>
  <c r="AP16" i="1" s="1"/>
  <c r="AS16" i="1" s="1"/>
  <c r="AM16" i="1"/>
  <c r="AP42" i="1"/>
  <c r="AS42" i="1" s="1"/>
  <c r="AS40" i="1"/>
  <c r="AT40" i="1"/>
  <c r="AT42" i="1" s="1"/>
  <c r="AM14" i="1"/>
  <c r="AN14" i="1"/>
  <c r="AJ19" i="1"/>
  <c r="AS17" i="1"/>
  <c r="AT17" i="1"/>
  <c r="AT48" i="1"/>
  <c r="AT49" i="1" s="1"/>
  <c r="AS48" i="1"/>
  <c r="AP49" i="1"/>
  <c r="AS49" i="1" s="1"/>
  <c r="AT16" i="1" l="1"/>
  <c r="AJ3" i="1"/>
  <c r="AM3" i="1" s="1"/>
  <c r="AJ2" i="1"/>
  <c r="AM2" i="1" s="1"/>
  <c r="AM19" i="1"/>
  <c r="AP14" i="1"/>
  <c r="AN19" i="1"/>
  <c r="AN2" i="1" s="1"/>
  <c r="AS14" i="1" l="1"/>
  <c r="AT14" i="1"/>
  <c r="AT19" i="1" s="1"/>
  <c r="AT2" i="1" s="1"/>
  <c r="AP19" i="1"/>
  <c r="AP3" i="1" l="1"/>
  <c r="AS3" i="1" s="1"/>
  <c r="AP2" i="1"/>
  <c r="AS2" i="1" s="1"/>
  <c r="AS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tc={E7D3004A-E0A5-4CB9-970F-B843A7D5D480}</author>
    <author>tc={562D198A-6F96-4D16-A7A0-64CDF84B118F}</author>
    <author>tc={19546D65-0723-4689-A6F7-7653946BD11A}</author>
    <author>tc={8050E303-CAD3-493A-BBB6-ACFBA981B85A}</author>
    <author>tc={2864129F-E6E8-4B99-8C60-F062A33F8505}</author>
    <author>tc={CBFE562E-486E-4F3F-8223-54085851BF12}</author>
    <author>tc={260623DF-53B5-4CDD-905A-7A8CAFB02CBC}</author>
    <author>tc={5994630F-CC4F-4A85-B529-700106A7EB47}</author>
    <author>tc={C064DEF0-562B-4E91-A77A-58F6183422DB}</author>
    <author>tc={C420EEA2-31CE-48C8-AA77-285A11B0E15A}</author>
  </authors>
  <commentList>
    <comment ref="Q14" authorId="0" shapeId="0" xr:uid="{E7D3004A-E0A5-4CB9-970F-B843A7D5D480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11 SALIDAS</t>
      </text>
    </comment>
    <comment ref="Q15" authorId="1" shapeId="0" xr:uid="{562D198A-6F96-4D16-A7A0-64CDF84B118F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</t>
      </text>
    </comment>
    <comment ref="Q16" authorId="2" shapeId="0" xr:uid="{19546D65-0723-4689-A6F7-7653946BD11A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5 TRAINEES
</t>
      </text>
    </comment>
    <comment ref="Q17" authorId="3" shapeId="0" xr:uid="{8050E303-CAD3-493A-BBB6-ACFBA981B8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SALIDAS</t>
      </text>
    </comment>
    <comment ref="Q18" authorId="4" shapeId="0" xr:uid="{2864129F-E6E8-4B99-8C60-F062A33F8505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3 SALIDAS</t>
      </text>
    </comment>
    <comment ref="R26" authorId="5" shapeId="0" xr:uid="{CBFE562E-486E-4F3F-8223-54085851BF12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 ATENTO
Respuesta:
    31 BCP
Respuesta:
    -6 APOYAN A ONR</t>
      </text>
    </comment>
    <comment ref="S26" authorId="6" shapeId="0" xr:uid="{260623DF-53B5-4CDD-905A-7A8CAFB02CBC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18 ATENTO
Respuesta:
    31 BCP
</t>
      </text>
    </comment>
    <comment ref="R28" authorId="7" shapeId="0" xr:uid="{5994630F-CC4F-4A85-B529-700106A7EB47}">
      <text>
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6 DE PYME
</t>
      </text>
    </comment>
    <comment ref="A30" authorId="8" shapeId="0" xr:uid="{C064DEF0-562B-4E91-A77A-58F6183422D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INDECOPI</t>
      </text>
    </comment>
    <comment ref="A41" authorId="9" shapeId="0" xr:uid="{C420EEA2-31CE-48C8-AA77-285A11B0E15A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1 BUZON</t>
      </text>
    </comment>
  </commentList>
</comments>
</file>

<file path=xl/sharedStrings.xml><?xml version="1.0" encoding="utf-8"?>
<sst xmlns="http://schemas.openxmlformats.org/spreadsheetml/2006/main" count="202" uniqueCount="75">
  <si>
    <t>TRAINEE M5</t>
  </si>
  <si>
    <t>TRAINEE M4</t>
  </si>
  <si>
    <t>TRAINEE M3</t>
  </si>
  <si>
    <t>TRAINEE M2</t>
  </si>
  <si>
    <t>TRAINEE M1</t>
  </si>
  <si>
    <t>OCTUBRE</t>
  </si>
  <si>
    <t>SEPTIEMBRE</t>
  </si>
  <si>
    <t>AGOSTO</t>
  </si>
  <si>
    <t>JULIO</t>
  </si>
  <si>
    <t>JUNIO</t>
  </si>
  <si>
    <t>MAYO</t>
  </si>
  <si>
    <t>RATIO CAPACITY</t>
  </si>
  <si>
    <t>TOTAL</t>
  </si>
  <si>
    <t>REDES SOCIALES</t>
  </si>
  <si>
    <t>CONTACTOS WEB</t>
  </si>
  <si>
    <t>LUIS PATRICIO</t>
  </si>
  <si>
    <t>BLOQUEOS</t>
  </si>
  <si>
    <t>FACTURACION ELECTRONICA</t>
  </si>
  <si>
    <t>CENTRAL TELEFONICA</t>
  </si>
  <si>
    <t>AGENTE</t>
  </si>
  <si>
    <t>LINEA TU BIENESTAR</t>
  </si>
  <si>
    <t>ENALTA</t>
  </si>
  <si>
    <t>INVERSIONES</t>
  </si>
  <si>
    <t>HELPDESK SPE</t>
  </si>
  <si>
    <t>RETENCIONES</t>
  </si>
  <si>
    <t>BANCA SEGURO RETENCIONES</t>
  </si>
  <si>
    <t>BANCA SEGURO</t>
  </si>
  <si>
    <t>OPERACIONES TRUNCAS</t>
  </si>
  <si>
    <t>FUERA DE TURNO</t>
  </si>
  <si>
    <t>OPERACIONES NO RECONOCIDAS</t>
  </si>
  <si>
    <t>UDAC PYME BUZON</t>
  </si>
  <si>
    <t>UDAC PYME</t>
  </si>
  <si>
    <t>UDAC BANCA NEGOCIOS</t>
  </si>
  <si>
    <t>UDAC BANCA MAYORISTA</t>
  </si>
  <si>
    <t>%COB</t>
  </si>
  <si>
    <t>CAPACITY</t>
  </si>
  <si>
    <t>CIERRE</t>
  </si>
  <si>
    <t>FORECAST CIERRE</t>
  </si>
  <si>
    <t>REAL-MAY</t>
  </si>
  <si>
    <t>INI-MAY</t>
  </si>
  <si>
    <t>JACQUELINE</t>
  </si>
  <si>
    <t>CANALES DIGITALES</t>
  </si>
  <si>
    <t/>
  </si>
  <si>
    <t>TRAINEE-CCGG</t>
  </si>
  <si>
    <t>TRAINEE LLAMADAS</t>
  </si>
  <si>
    <t>SWAT</t>
  </si>
  <si>
    <t>CONSULTAS GENERALES</t>
  </si>
  <si>
    <t>SUSANA</t>
  </si>
  <si>
    <t>REAL-JUN</t>
  </si>
  <si>
    <t>INI-JUN</t>
  </si>
  <si>
    <t>REAL-ABR</t>
  </si>
  <si>
    <t>INI-ABR</t>
  </si>
  <si>
    <t>REAL-MAR</t>
  </si>
  <si>
    <t>INI-MAR</t>
  </si>
  <si>
    <t>REAL-FEB</t>
  </si>
  <si>
    <t>INI-FEB</t>
  </si>
  <si>
    <t>REAL-ENE</t>
  </si>
  <si>
    <t>INI-ENE</t>
  </si>
  <si>
    <t>LÍNEA</t>
  </si>
  <si>
    <t>CW M1</t>
  </si>
  <si>
    <t>CW M2</t>
  </si>
  <si>
    <t>FORMATIVO INBOUND</t>
  </si>
  <si>
    <t>INI-OCT</t>
  </si>
  <si>
    <t>INI-SEP</t>
  </si>
  <si>
    <t>INI-AGO</t>
  </si>
  <si>
    <t>REAL-JUL</t>
  </si>
  <si>
    <t>INI-JUL</t>
  </si>
  <si>
    <t>ASESORES</t>
  </si>
  <si>
    <t>m1</t>
  </si>
  <si>
    <t>m2</t>
  </si>
  <si>
    <t>m3</t>
  </si>
  <si>
    <t>m4</t>
  </si>
  <si>
    <t>m5</t>
  </si>
  <si>
    <t>m6</t>
  </si>
  <si>
    <t>TRAINEE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</si>
</sst>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ptos Narrow"/>
      <family val="2"/>
    </font>
    <font>
      <sz val="10"/>
      <color rgb="FF000000"/>
      <name val="Flexo Medium"/>
      <family val="3"/>
    </font>
    <font>
      <b/>
      <sz val="11"/>
      <color rgb="FFFFFFFF"/>
      <name val="Aptos Narrow"/>
      <family val="2"/>
    </font>
    <font>
      <b/>
      <sz val="11"/>
      <color rgb="FF000000"/>
      <name val="Aptos Narrow"/>
      <family val="2"/>
    </font>
    <font>
      <b/>
      <sz val="10"/>
      <color rgb="FF000000"/>
      <name val="Flexo Medium"/>
      <family val="3"/>
    </font>
    <font>
      <sz val="11"/>
      <color rgb="FFFFFFFF"/>
      <name val="Aptos Narrow"/>
      <family val="2"/>
    </font>
    <font>
      <sz val="9"/>
      <color indexed="81"/>
      <name val="Tahoma"/>
      <charset val="1"/>
    </font>
  </fonts>
  <fills count="15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CC6600"/>
        <bgColor rgb="FF000000"/>
      </patternFill>
    </fill>
    <fill>
      <patternFill patternType="solid">
        <fgColor rgb="FF7E350E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F9E7E8"/>
        <bgColor rgb="FF000000"/>
      </patternFill>
    </fill>
    <fill>
      <patternFill patternType="solid">
        <fgColor rgb="FFF9E7E8"/>
        <bgColor indexed="64"/>
      </patternFill>
    </fill>
    <fill>
      <patternFill patternType="solid">
        <fgColor rgb="FFCBA5A6"/>
        <bgColor rgb="FF000000"/>
      </patternFill>
    </fill>
    <fill>
      <patternFill patternType="solid">
        <fgColor rgb="FFCBA5A6"/>
        <bgColor indexed="64"/>
      </patternFill>
    </fill>
    <fill>
      <patternFill patternType="solid">
        <fgColor rgb="FF0E2841"/>
        <bgColor rgb="FF000000"/>
      </patternFill>
    </fill>
    <fill>
      <patternFill patternType="solid">
        <fgColor rgb="FFF2CEEF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7">
    <border>
      <left/>
      <right/>
      <top/>
      <bottom/>
      <diagonal/>
    </border>
    <border>
      <left/>
      <right style="thin">
        <color rgb="FF3B2D2D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3B2D2D"/>
      </right>
      <top style="thin">
        <color rgb="FF3B2D2D"/>
      </top>
      <bottom/>
      <diagonal/>
    </border>
    <border>
      <left/>
      <right/>
      <top style="thin">
        <color rgb="FF3B2D2D"/>
      </top>
      <bottom/>
      <diagonal/>
    </border>
    <border>
      <left/>
      <right style="thin">
        <color indexed="64"/>
      </right>
      <top style="thin">
        <color rgb="FF3B2D2D"/>
      </top>
      <bottom/>
      <diagonal/>
    </border>
    <border>
      <left style="thin">
        <color rgb="FF3B2D2D"/>
      </left>
      <right style="thin">
        <color rgb="FF3B2D2D"/>
      </right>
      <top style="thin">
        <color rgb="FF3B2D2D"/>
      </top>
      <bottom/>
      <diagonal/>
    </border>
    <border>
      <left style="thin">
        <color rgb="FF3B2D2D"/>
      </left>
      <right style="thin">
        <color rgb="FF3B2D2D"/>
      </right>
      <top style="thin">
        <color rgb="FF3B2D2D"/>
      </top>
      <bottom style="thin">
        <color rgb="FF3B2D2D"/>
      </bottom>
      <diagonal/>
    </border>
    <border>
      <left style="thin">
        <color rgb="FF3B2D2D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rgb="FF3B2D2D"/>
      </right>
      <top/>
      <bottom/>
      <diagonal/>
    </border>
    <border>
      <left/>
      <right style="thin">
        <color rgb="FF3B2D2D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3B2D2D"/>
      </left>
      <right style="thin">
        <color rgb="FF3B2D2D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125">
    <xf numFmtId="0" fontId="0" fillId="0" borderId="0" xfId="0"/>
    <xf numFmtId="0" fontId="3" fillId="0" borderId="1" xfId="0" applyFont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1" fontId="3" fillId="2" borderId="0" xfId="0" applyNumberFormat="1" applyFont="1" applyFill="1" applyAlignment="1">
      <alignment horizontal="center" vertical="center"/>
    </xf>
    <xf numFmtId="0" fontId="3" fillId="0" borderId="2" xfId="0" applyFont="1" applyBorder="1"/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9" fontId="3" fillId="0" borderId="0" xfId="2" applyFont="1" applyFill="1" applyBorder="1" applyAlignment="1">
      <alignment horizontal="center" vertical="center"/>
    </xf>
    <xf numFmtId="0" fontId="3" fillId="3" borderId="0" xfId="0" applyFont="1" applyFill="1"/>
    <xf numFmtId="1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9" fontId="3" fillId="0" borderId="4" xfId="2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3" borderId="4" xfId="0" applyFont="1" applyFill="1" applyBorder="1"/>
    <xf numFmtId="1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left" vertical="center"/>
    </xf>
    <xf numFmtId="164" fontId="4" fillId="0" borderId="7" xfId="1" applyNumberFormat="1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3" fillId="0" borderId="5" xfId="0" applyNumberFormat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9" fontId="3" fillId="6" borderId="0" xfId="2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1" fontId="3" fillId="6" borderId="0" xfId="0" applyNumberFormat="1" applyFont="1" applyFill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4" fontId="4" fillId="6" borderId="6" xfId="1" applyNumberFormat="1" applyFont="1" applyFill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3" fillId="8" borderId="0" xfId="2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" fontId="3" fillId="8" borderId="0" xfId="0" applyNumberFormat="1" applyFont="1" applyFill="1" applyAlignment="1">
      <alignment horizontal="center" vertical="center"/>
    </xf>
    <xf numFmtId="0" fontId="3" fillId="8" borderId="8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64" fontId="4" fillId="8" borderId="7" xfId="1" applyNumberFormat="1" applyFont="1" applyFill="1" applyBorder="1" applyAlignment="1">
      <alignment horizontal="left" vertical="center"/>
    </xf>
    <xf numFmtId="164" fontId="4" fillId="0" borderId="7" xfId="3" applyNumberFormat="1" applyFont="1" applyFill="1" applyBorder="1" applyAlignment="1">
      <alignment horizontal="left" vertical="center"/>
    </xf>
    <xf numFmtId="1" fontId="3" fillId="0" borderId="8" xfId="0" applyNumberFormat="1" applyFont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5" fillId="10" borderId="0" xfId="0" applyFont="1" applyFill="1" applyAlignment="1">
      <alignment horizontal="center" vertical="center" wrapText="1"/>
    </xf>
    <xf numFmtId="9" fontId="3" fillId="0" borderId="1" xfId="2" applyFont="1" applyFill="1" applyBorder="1" applyAlignment="1">
      <alignment horizontal="center" vertical="center"/>
    </xf>
    <xf numFmtId="9" fontId="0" fillId="0" borderId="1" xfId="2" applyFont="1" applyBorder="1" applyAlignment="1">
      <alignment horizontal="center" vertical="center"/>
    </xf>
    <xf numFmtId="1" fontId="3" fillId="0" borderId="9" xfId="0" applyNumberFormat="1" applyFont="1" applyBorder="1" applyAlignment="1">
      <alignment horizontal="center" vertical="center"/>
    </xf>
    <xf numFmtId="1" fontId="3" fillId="0" borderId="10" xfId="0" applyNumberFormat="1" applyFont="1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164" fontId="4" fillId="0" borderId="6" xfId="1" applyNumberFormat="1" applyFont="1" applyFill="1" applyBorder="1" applyAlignment="1">
      <alignment horizontal="center" vertical="center"/>
    </xf>
    <xf numFmtId="1" fontId="3" fillId="8" borderId="1" xfId="0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164" fontId="4" fillId="8" borderId="7" xfId="1" applyNumberFormat="1" applyFont="1" applyFill="1" applyBorder="1" applyAlignment="1">
      <alignment horizontal="center" vertical="center"/>
    </xf>
    <xf numFmtId="0" fontId="3" fillId="8" borderId="0" xfId="2" applyNumberFormat="1" applyFont="1" applyFill="1" applyBorder="1" applyAlignment="1">
      <alignment horizontal="center" vertical="center"/>
    </xf>
    <xf numFmtId="164" fontId="4" fillId="0" borderId="6" xfId="1" applyNumberFormat="1" applyFont="1" applyFill="1" applyBorder="1" applyAlignment="1">
      <alignment vertical="center"/>
    </xf>
    <xf numFmtId="1" fontId="3" fillId="6" borderId="8" xfId="0" applyNumberFormat="1" applyFont="1" applyFill="1" applyBorder="1" applyAlignment="1">
      <alignment horizontal="center" vertical="center"/>
    </xf>
    <xf numFmtId="164" fontId="4" fillId="0" borderId="7" xfId="1" applyNumberFormat="1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/>
    <xf numFmtId="0" fontId="3" fillId="4" borderId="1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5" fillId="10" borderId="1" xfId="0" applyFont="1" applyFill="1" applyBorder="1" applyAlignment="1">
      <alignment horizontal="center" vertical="center" wrapText="1"/>
    </xf>
    <xf numFmtId="0" fontId="5" fillId="10" borderId="8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 vertical="center" wrapText="1"/>
    </xf>
    <xf numFmtId="0" fontId="5" fillId="10" borderId="0" xfId="0" applyFont="1" applyFill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11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4" fillId="0" borderId="4" xfId="1" applyNumberFormat="1" applyFont="1" applyFill="1" applyBorder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9" fontId="6" fillId="0" borderId="0" xfId="2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" fontId="6" fillId="12" borderId="0" xfId="0" applyNumberFormat="1" applyFont="1" applyFill="1" applyAlignment="1">
      <alignment horizontal="center" vertical="center"/>
    </xf>
    <xf numFmtId="1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1" fontId="3" fillId="0" borderId="12" xfId="0" applyNumberFormat="1" applyFont="1" applyBorder="1" applyAlignment="1">
      <alignment horizontal="center" vertical="center"/>
    </xf>
    <xf numFmtId="9" fontId="3" fillId="0" borderId="13" xfId="2" applyFont="1" applyFill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1" fontId="3" fillId="2" borderId="13" xfId="0" applyNumberFormat="1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1" fontId="3" fillId="0" borderId="13" xfId="0" applyNumberFormat="1" applyFont="1" applyBorder="1" applyAlignment="1">
      <alignment horizontal="center" vertical="center"/>
    </xf>
    <xf numFmtId="0" fontId="3" fillId="11" borderId="13" xfId="0" applyFont="1" applyFill="1" applyBorder="1" applyAlignment="1">
      <alignment horizontal="center" vertical="center"/>
    </xf>
    <xf numFmtId="1" fontId="3" fillId="0" borderId="14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164" fontId="4" fillId="0" borderId="15" xfId="1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1" fontId="6" fillId="12" borderId="1" xfId="0" applyNumberFormat="1" applyFont="1" applyFill="1" applyBorder="1" applyAlignment="1">
      <alignment horizontal="center" vertical="center"/>
    </xf>
    <xf numFmtId="164" fontId="7" fillId="0" borderId="6" xfId="1" applyNumberFormat="1" applyFont="1" applyFill="1" applyBorder="1" applyAlignment="1">
      <alignment horizontal="center" vertical="center"/>
    </xf>
    <xf numFmtId="164" fontId="4" fillId="0" borderId="7" xfId="1" applyNumberFormat="1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9" fontId="5" fillId="10" borderId="0" xfId="2" applyFont="1" applyFill="1" applyBorder="1" applyAlignment="1">
      <alignment horizontal="center" vertical="center"/>
    </xf>
    <xf numFmtId="1" fontId="5" fillId="10" borderId="0" xfId="0" applyNumberFormat="1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/>
    </xf>
    <xf numFmtId="1" fontId="5" fillId="10" borderId="0" xfId="0" applyNumberFormat="1" applyFont="1" applyFill="1" applyAlignment="1">
      <alignment horizontal="center" vertical="center"/>
    </xf>
    <xf numFmtId="1" fontId="5" fillId="10" borderId="2" xfId="0" applyNumberFormat="1" applyFont="1" applyFill="1" applyBorder="1" applyAlignment="1">
      <alignment horizontal="center" vertical="center" wrapText="1"/>
    </xf>
    <xf numFmtId="0" fontId="3" fillId="10" borderId="0" xfId="0" applyFont="1" applyFill="1"/>
    <xf numFmtId="1" fontId="8" fillId="10" borderId="0" xfId="0" applyNumberFormat="1" applyFont="1" applyFill="1" applyAlignment="1">
      <alignment horizontal="center" vertical="center"/>
    </xf>
    <xf numFmtId="9" fontId="8" fillId="10" borderId="0" xfId="2" applyFont="1" applyFill="1" applyBorder="1" applyAlignment="1">
      <alignment horizontal="center" vertical="center"/>
    </xf>
    <xf numFmtId="1" fontId="8" fillId="10" borderId="2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1" fontId="3" fillId="10" borderId="2" xfId="0" applyNumberFormat="1" applyFont="1" applyFill="1" applyBorder="1" applyAlignment="1">
      <alignment horizontal="center" vertical="center"/>
    </xf>
    <xf numFmtId="1" fontId="3" fillId="10" borderId="0" xfId="0" applyNumberFormat="1" applyFont="1" applyFill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0" fillId="13" borderId="0" xfId="0" applyFill="1"/>
    <xf numFmtId="0" fontId="0" fillId="0" borderId="16" xfId="0" applyBorder="1" applyAlignment="1">
      <alignment horizontal="center" vertical="center" wrapText="1"/>
    </xf>
    <xf numFmtId="0" fontId="0" fillId="14" borderId="16" xfId="0" applyFill="1" applyBorder="1" applyAlignment="1">
      <alignment horizontal="center"/>
    </xf>
    <xf numFmtId="9" fontId="0" fillId="0" borderId="16" xfId="0" applyNumberFormat="1" applyBorder="1" applyAlignment="1">
      <alignment horizontal="center" vertical="center" wrapText="1"/>
    </xf>
  </cellXfs>
  <cellStyles count="4">
    <cellStyle name="Millares" xfId="1" builtinId="3"/>
    <cellStyle name="Millares 10 2" xfId="3" xr:uid="{E45978B7-71B7-4B7E-A6A0-AAE3FA703379}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3.xml"/><Relationship Id="rId10" Type="http://schemas.microsoft.com/office/2017/10/relationships/person" Target="persons/perso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dicorponline-my.sharepoint.com/personal/reynasiccha_bcp_com_pe/Documents/GESTI&#211;N_2026/Nuevo_2026.xlsx" TargetMode="External"/><Relationship Id="rId1" Type="http://schemas.openxmlformats.org/officeDocument/2006/relationships/externalLinkPath" Target="https://credicorponline-my.sharepoint.com/personal/reynasiccha_bcp_com_pe/Documents/GESTI&#211;N_2026/Nuevo_20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dicorponline.sharepoint.com/sites/pilotosccv/Documentos%20compartidos/REPORTES/SeguimientoCapacityInbound.xlsx" TargetMode="External"/><Relationship Id="rId1" Type="http://schemas.openxmlformats.org/officeDocument/2006/relationships/externalLinkPath" Target="https://credicorponline.sharepoint.com/sites/pilotosccv/Documentos%20compartidos/REPORTES/SeguimientoCapacityInbound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credicorponline.sharepoint.com/sites/pilotosccv/Documentos%20compartidos/REPORTES/INBOUND_2026.xlsx" TargetMode="External"/><Relationship Id="rId1" Type="http://schemas.openxmlformats.org/officeDocument/2006/relationships/externalLinkPath" Target="https://credicorponline.sharepoint.com/sites/pilotosccv/Documentos%20compartidos/REPORTES/INBOUND_20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tos%20de%20Usuarios\t62963\Downloads\Requerimiento%20CC%20INBOUND%20-%20Setiembre26.xlsx" TargetMode="External"/><Relationship Id="rId1" Type="http://schemas.openxmlformats.org/officeDocument/2006/relationships/externalLinkPath" Target="Requerimiento%20CC%20INBOUND%20-%20Setiembre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SA_ROTACION"/>
      <sheetName val="TRAINEE"/>
      <sheetName val="Hoja7"/>
      <sheetName val="REAL"/>
      <sheetName val="Hoja13"/>
      <sheetName val="Maestro 2026"/>
      <sheetName val="Hoja14"/>
      <sheetName val="Hoja2"/>
      <sheetName val="PROYECCIONES (3)"/>
      <sheetName val="Hoja3"/>
      <sheetName val="APTOS PYME PARA ONR"/>
      <sheetName val="PROYECCIONES"/>
      <sheetName val="CHATXLLAMADAS"/>
      <sheetName val="PROYECCIONES (2)"/>
    </sheetNames>
    <sheetDataSet>
      <sheetData sheetId="0">
        <row r="13">
          <cell r="L13">
            <v>2.0699566103217645E-2</v>
          </cell>
          <cell r="P13">
            <v>4.8282109418026409E-2</v>
          </cell>
          <cell r="R13">
            <v>6.0132888673446905E-2</v>
          </cell>
        </row>
        <row r="54">
          <cell r="L54">
            <v>1.4060923975403698E-2</v>
          </cell>
          <cell r="N54">
            <v>6.1854480410824531E-3</v>
          </cell>
          <cell r="P54">
            <v>1.3520098624908699E-2</v>
          </cell>
          <cell r="R54">
            <v>1.9617659600518457E-2</v>
          </cell>
        </row>
        <row r="69">
          <cell r="L69">
            <v>4.2857142857142858E-2</v>
          </cell>
          <cell r="N69">
            <v>4.252232142857143E-2</v>
          </cell>
          <cell r="P69">
            <v>6.5879716301843319E-2</v>
          </cell>
          <cell r="R69">
            <v>6.0355162730414746E-2</v>
          </cell>
        </row>
        <row r="82">
          <cell r="L82">
            <v>4.6816956046164968E-2</v>
          </cell>
          <cell r="N82">
            <v>5.8825936603753404E-2</v>
          </cell>
          <cell r="P82">
            <v>4.5755809669736365E-2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"/>
      <sheetName val="Asesor CapReal"/>
      <sheetName val="CUADRE"/>
      <sheetName val="Jun"/>
      <sheetName val="Capacity"/>
      <sheetName val="ASESORES (2)"/>
    </sheetNames>
    <sheetDataSet>
      <sheetData sheetId="0"/>
      <sheetData sheetId="1"/>
      <sheetData sheetId="2"/>
      <sheetData sheetId="3"/>
      <sheetData sheetId="4">
        <row r="11">
          <cell r="AM11">
            <v>77</v>
          </cell>
        </row>
        <row r="13">
          <cell r="AM13">
            <v>196</v>
          </cell>
        </row>
        <row r="14">
          <cell r="AM14">
            <v>21</v>
          </cell>
        </row>
        <row r="18">
          <cell r="AM18">
            <v>39</v>
          </cell>
        </row>
        <row r="19">
          <cell r="AM19">
            <v>27</v>
          </cell>
        </row>
        <row r="20">
          <cell r="AM20">
            <v>33</v>
          </cell>
        </row>
        <row r="21">
          <cell r="AM21">
            <v>18</v>
          </cell>
        </row>
        <row r="22">
          <cell r="AM22">
            <v>117</v>
          </cell>
        </row>
        <row r="23">
          <cell r="AM23">
            <v>40</v>
          </cell>
        </row>
        <row r="24">
          <cell r="AM24">
            <v>13</v>
          </cell>
        </row>
        <row r="25">
          <cell r="AM25">
            <v>26</v>
          </cell>
        </row>
        <row r="26">
          <cell r="AM26">
            <v>23</v>
          </cell>
        </row>
        <row r="27">
          <cell r="AM27">
            <v>15</v>
          </cell>
        </row>
        <row r="28">
          <cell r="AM28">
            <v>26</v>
          </cell>
        </row>
        <row r="29">
          <cell r="AM29">
            <v>5</v>
          </cell>
        </row>
        <row r="30">
          <cell r="AM30">
            <v>22</v>
          </cell>
        </row>
        <row r="31">
          <cell r="AM31">
            <v>14</v>
          </cell>
        </row>
        <row r="32">
          <cell r="AM32">
            <v>10</v>
          </cell>
        </row>
        <row r="33">
          <cell r="AM33">
            <v>5</v>
          </cell>
        </row>
        <row r="34">
          <cell r="AM34">
            <v>5</v>
          </cell>
        </row>
        <row r="35">
          <cell r="AM35">
            <v>0</v>
          </cell>
        </row>
        <row r="40">
          <cell r="AM40">
            <v>226</v>
          </cell>
        </row>
        <row r="41">
          <cell r="AM41">
            <v>14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ERIMIENTO INBOUND"/>
      <sheetName val="ASESORES"/>
      <sheetName val="Hoja1"/>
      <sheetName val="CUADRE"/>
      <sheetName val="ASESORES (2)"/>
    </sheetNames>
    <sheetDataSet>
      <sheetData sheetId="0">
        <row r="1">
          <cell r="I1"/>
          <cell r="AA1"/>
          <cell r="AE1"/>
          <cell r="AI1"/>
          <cell r="AP1"/>
        </row>
        <row r="2">
          <cell r="I2" t="str">
            <v>AP</v>
          </cell>
          <cell r="AA2" t="str">
            <v>Asesores</v>
          </cell>
          <cell r="AE2" t="str">
            <v>Asesores</v>
          </cell>
          <cell r="AI2" t="str">
            <v>Asesores</v>
          </cell>
          <cell r="AP2"/>
        </row>
        <row r="3">
          <cell r="I3">
            <v>80</v>
          </cell>
          <cell r="AA3">
            <v>1096</v>
          </cell>
          <cell r="AE3">
            <v>1026</v>
          </cell>
          <cell r="AI3">
            <v>1016</v>
          </cell>
          <cell r="AP3"/>
        </row>
        <row r="4">
          <cell r="I4">
            <v>7</v>
          </cell>
          <cell r="AA4">
            <v>0</v>
          </cell>
          <cell r="AE4">
            <v>0</v>
          </cell>
          <cell r="AI4">
            <v>0</v>
          </cell>
          <cell r="AP4"/>
        </row>
        <row r="5">
          <cell r="B5" t="str">
            <v>FORMATIVO INBOUND</v>
          </cell>
          <cell r="I5">
            <v>7</v>
          </cell>
          <cell r="AA5">
            <v>0</v>
          </cell>
          <cell r="AE5">
            <v>0</v>
          </cell>
          <cell r="AI5">
            <v>0</v>
          </cell>
          <cell r="AP5"/>
        </row>
        <row r="6">
          <cell r="B6"/>
          <cell r="I6"/>
          <cell r="AP6"/>
        </row>
        <row r="7">
          <cell r="B7" t="str">
            <v>LLAMADAS</v>
          </cell>
          <cell r="AA7">
            <v>851</v>
          </cell>
          <cell r="AE7">
            <v>784</v>
          </cell>
          <cell r="AI7">
            <v>761</v>
          </cell>
        </row>
        <row r="8">
          <cell r="I8" t="str">
            <v>AP</v>
          </cell>
          <cell r="AA8" t="str">
            <v>Asesores</v>
          </cell>
          <cell r="AE8" t="str">
            <v>Asesores</v>
          </cell>
          <cell r="AI8" t="str">
            <v>Asesores</v>
          </cell>
          <cell r="AP8"/>
        </row>
        <row r="9">
          <cell r="B9" t="str">
            <v>SUSANA</v>
          </cell>
          <cell r="I9">
            <v>30</v>
          </cell>
          <cell r="AA9">
            <v>411</v>
          </cell>
          <cell r="AE9">
            <v>353</v>
          </cell>
          <cell r="AI9">
            <v>327</v>
          </cell>
          <cell r="AP9"/>
        </row>
        <row r="10">
          <cell r="B10" t="str">
            <v>TRAINEE LLAMADAS</v>
          </cell>
          <cell r="I10">
            <v>7</v>
          </cell>
          <cell r="AA10">
            <v>110</v>
          </cell>
          <cell r="AE10">
            <v>94</v>
          </cell>
          <cell r="AI10">
            <v>85</v>
          </cell>
          <cell r="AP10"/>
        </row>
        <row r="11">
          <cell r="B11" t="str">
            <v>TRAINEE-CCGG</v>
          </cell>
          <cell r="I11" t="str">
            <v/>
          </cell>
          <cell r="AA11" t="str">
            <v/>
          </cell>
          <cell r="AE11" t="str">
            <v/>
          </cell>
          <cell r="AI11" t="str">
            <v/>
          </cell>
          <cell r="AP11"/>
        </row>
        <row r="12">
          <cell r="B12" t="str">
            <v>CANALES DIGITALES</v>
          </cell>
          <cell r="I12">
            <v>0</v>
          </cell>
          <cell r="AA12">
            <v>0</v>
          </cell>
          <cell r="AE12">
            <v>0</v>
          </cell>
          <cell r="AI12">
            <v>0</v>
          </cell>
          <cell r="AP12"/>
        </row>
        <row r="13">
          <cell r="B13" t="str">
            <v>CONSULTAS GENERALES</v>
          </cell>
          <cell r="I13">
            <v>21</v>
          </cell>
          <cell r="AA13">
            <v>280</v>
          </cell>
          <cell r="AE13">
            <v>238</v>
          </cell>
          <cell r="AI13">
            <v>221</v>
          </cell>
          <cell r="AP13"/>
        </row>
        <row r="14">
          <cell r="B14" t="str">
            <v>SWAT</v>
          </cell>
          <cell r="I14">
            <v>2</v>
          </cell>
          <cell r="AA14">
            <v>21</v>
          </cell>
          <cell r="AE14">
            <v>21</v>
          </cell>
          <cell r="AI14">
            <v>21</v>
          </cell>
          <cell r="AP14"/>
        </row>
        <row r="16">
          <cell r="I16" t="str">
            <v>AP</v>
          </cell>
          <cell r="AA16" t="str">
            <v>Asesores</v>
          </cell>
          <cell r="AE16" t="str">
            <v>Asesores</v>
          </cell>
          <cell r="AI16" t="str">
            <v>Asesores</v>
          </cell>
          <cell r="AP16"/>
        </row>
        <row r="17">
          <cell r="B17" t="str">
            <v>JACQUELINE</v>
          </cell>
          <cell r="I17">
            <v>30</v>
          </cell>
          <cell r="AA17">
            <v>440</v>
          </cell>
          <cell r="AE17">
            <v>431</v>
          </cell>
          <cell r="AI17">
            <v>434</v>
          </cell>
          <cell r="AP17"/>
        </row>
        <row r="18">
          <cell r="B18" t="str">
            <v>UDAC BANCA MAYORISTA</v>
          </cell>
          <cell r="I18">
            <v>3</v>
          </cell>
          <cell r="AA18">
            <v>38</v>
          </cell>
          <cell r="AE18">
            <v>38</v>
          </cell>
          <cell r="AI18">
            <v>38</v>
          </cell>
          <cell r="AP18"/>
        </row>
        <row r="19">
          <cell r="B19" t="str">
            <v>UDAC BANCA NEGOCIOS</v>
          </cell>
          <cell r="I19">
            <v>2</v>
          </cell>
          <cell r="AA19">
            <v>20</v>
          </cell>
          <cell r="AE19">
            <v>20</v>
          </cell>
          <cell r="AI19">
            <v>20</v>
          </cell>
          <cell r="AP19"/>
        </row>
        <row r="20">
          <cell r="B20" t="str">
            <v>UDAC PYME</v>
          </cell>
          <cell r="I20">
            <v>3</v>
          </cell>
          <cell r="AA20">
            <v>34</v>
          </cell>
          <cell r="AE20">
            <v>32</v>
          </cell>
          <cell r="AI20">
            <v>32</v>
          </cell>
          <cell r="AP20"/>
        </row>
        <row r="21">
          <cell r="B21" t="str">
            <v>UDAC PYME BUZON</v>
          </cell>
          <cell r="I21">
            <v>0</v>
          </cell>
          <cell r="AA21">
            <v>18</v>
          </cell>
          <cell r="AE21">
            <v>18</v>
          </cell>
          <cell r="AI21">
            <v>18</v>
          </cell>
          <cell r="AP21"/>
        </row>
        <row r="22">
          <cell r="B22" t="str">
            <v>OPERACIONES NO RECONOCIDAS</v>
          </cell>
          <cell r="I22">
            <v>6</v>
          </cell>
          <cell r="AA22">
            <v>119</v>
          </cell>
          <cell r="AE22">
            <v>112</v>
          </cell>
          <cell r="AI22">
            <v>116</v>
          </cell>
          <cell r="AP22"/>
        </row>
        <row r="23">
          <cell r="B23" t="str">
            <v>FUERA DE TURNO</v>
          </cell>
          <cell r="I23">
            <v>2</v>
          </cell>
          <cell r="AA23">
            <v>39</v>
          </cell>
          <cell r="AE23">
            <v>39</v>
          </cell>
          <cell r="AI23">
            <v>40</v>
          </cell>
          <cell r="AP23"/>
        </row>
        <row r="24">
          <cell r="B24" t="str">
            <v>OPERACIONES TRUNCAS</v>
          </cell>
          <cell r="I24">
            <v>1</v>
          </cell>
          <cell r="AA24">
            <v>13</v>
          </cell>
          <cell r="AE24">
            <v>13</v>
          </cell>
          <cell r="AI24">
            <v>13</v>
          </cell>
          <cell r="AP24"/>
        </row>
        <row r="25">
          <cell r="B25" t="str">
            <v>BANCA SEGURO</v>
          </cell>
          <cell r="I25">
            <v>4</v>
          </cell>
          <cell r="AA25">
            <v>26</v>
          </cell>
          <cell r="AE25">
            <v>26</v>
          </cell>
          <cell r="AI25">
            <v>24</v>
          </cell>
          <cell r="AP25"/>
        </row>
        <row r="26">
          <cell r="B26" t="str">
            <v>BANCA SEGURO RETENCIONES</v>
          </cell>
          <cell r="I26">
            <v>2</v>
          </cell>
          <cell r="AA26">
            <v>23</v>
          </cell>
          <cell r="AE26">
            <v>23</v>
          </cell>
          <cell r="AI26">
            <v>23</v>
          </cell>
          <cell r="AP26"/>
        </row>
        <row r="27">
          <cell r="B27" t="str">
            <v>RETENCIONES</v>
          </cell>
          <cell r="I27">
            <v>1</v>
          </cell>
          <cell r="AA27">
            <v>15</v>
          </cell>
          <cell r="AE27">
            <v>15</v>
          </cell>
          <cell r="AI27">
            <v>15</v>
          </cell>
          <cell r="AP27"/>
        </row>
        <row r="28">
          <cell r="B28" t="str">
            <v>HELPDESK SPE</v>
          </cell>
          <cell r="I28">
            <v>3</v>
          </cell>
          <cell r="AA28">
            <v>34</v>
          </cell>
          <cell r="AE28">
            <v>34</v>
          </cell>
          <cell r="AI28">
            <v>34</v>
          </cell>
          <cell r="AP28"/>
        </row>
        <row r="29">
          <cell r="B29" t="str">
            <v>INVERSIONES</v>
          </cell>
          <cell r="I29">
            <v>0</v>
          </cell>
          <cell r="AA29">
            <v>5</v>
          </cell>
          <cell r="AE29">
            <v>5</v>
          </cell>
          <cell r="AI29">
            <v>5</v>
          </cell>
          <cell r="AP29"/>
        </row>
        <row r="30">
          <cell r="B30" t="str">
            <v>ENALTA</v>
          </cell>
          <cell r="I30">
            <v>1</v>
          </cell>
          <cell r="AA30">
            <v>22</v>
          </cell>
          <cell r="AE30">
            <v>22</v>
          </cell>
          <cell r="AI30">
            <v>22</v>
          </cell>
          <cell r="AP30"/>
        </row>
        <row r="31">
          <cell r="B31" t="str">
            <v>LINEA TU BIENESTAR</v>
          </cell>
          <cell r="I31">
            <v>1</v>
          </cell>
          <cell r="AA31">
            <v>14</v>
          </cell>
          <cell r="AE31">
            <v>14</v>
          </cell>
          <cell r="AI31">
            <v>14</v>
          </cell>
          <cell r="AP31"/>
        </row>
        <row r="32">
          <cell r="B32" t="str">
            <v>AGENTE</v>
          </cell>
          <cell r="I32">
            <v>1</v>
          </cell>
          <cell r="AA32">
            <v>10</v>
          </cell>
          <cell r="AE32">
            <v>10</v>
          </cell>
          <cell r="AI32">
            <v>10</v>
          </cell>
          <cell r="AP32"/>
        </row>
        <row r="33">
          <cell r="B33" t="str">
            <v>CENTRAL TELEFONICA</v>
          </cell>
          <cell r="I33">
            <v>0</v>
          </cell>
          <cell r="AA33">
            <v>5</v>
          </cell>
          <cell r="AE33">
            <v>5</v>
          </cell>
          <cell r="AI33">
            <v>5</v>
          </cell>
          <cell r="AP33"/>
        </row>
        <row r="34">
          <cell r="B34" t="str">
            <v>FACTURACION ELECTRONICA</v>
          </cell>
          <cell r="I34">
            <v>0</v>
          </cell>
          <cell r="AA34">
            <v>5</v>
          </cell>
          <cell r="AE34">
            <v>5</v>
          </cell>
          <cell r="AI34">
            <v>5</v>
          </cell>
          <cell r="AP34"/>
        </row>
        <row r="35">
          <cell r="B35" t="str">
            <v>BLOQUEOS</v>
          </cell>
          <cell r="I35">
            <v>0</v>
          </cell>
          <cell r="AA35">
            <v>0</v>
          </cell>
          <cell r="AE35">
            <v>0</v>
          </cell>
          <cell r="AI35">
            <v>0</v>
          </cell>
          <cell r="AP35"/>
        </row>
        <row r="36">
          <cell r="B36"/>
          <cell r="I36"/>
          <cell r="AP36"/>
        </row>
        <row r="38">
          <cell r="B38" t="str">
            <v>CHATS</v>
          </cell>
          <cell r="I38" t="str">
            <v>AP</v>
          </cell>
          <cell r="AA38" t="str">
            <v>Asesores</v>
          </cell>
          <cell r="AE38" t="str">
            <v>Asesores</v>
          </cell>
          <cell r="AI38" t="str">
            <v>Asesores</v>
          </cell>
          <cell r="AP38"/>
        </row>
        <row r="39">
          <cell r="B39" t="str">
            <v>LUIS PATRICIO</v>
          </cell>
          <cell r="I39">
            <v>13</v>
          </cell>
          <cell r="AA39">
            <v>245</v>
          </cell>
          <cell r="AE39">
            <v>242</v>
          </cell>
          <cell r="AI39">
            <v>255</v>
          </cell>
          <cell r="AP39"/>
        </row>
        <row r="40">
          <cell r="B40" t="str">
            <v>CONTACTOS WEB</v>
          </cell>
          <cell r="I40">
            <v>12</v>
          </cell>
          <cell r="AA40">
            <v>231</v>
          </cell>
          <cell r="AE40">
            <v>228</v>
          </cell>
          <cell r="AI40">
            <v>241</v>
          </cell>
          <cell r="AP40"/>
        </row>
        <row r="41">
          <cell r="B41" t="str">
            <v>REDES SOCIALES</v>
          </cell>
          <cell r="I41">
            <v>1</v>
          </cell>
          <cell r="AA41">
            <v>14</v>
          </cell>
          <cell r="AE41">
            <v>14</v>
          </cell>
          <cell r="AI41">
            <v>14</v>
          </cell>
          <cell r="AP41"/>
        </row>
        <row r="45">
          <cell r="AA45"/>
          <cell r="AE45"/>
          <cell r="AI45"/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querimiento Inbound"/>
      <sheetName val="Hoja3"/>
    </sheetNames>
    <sheetDataSet>
      <sheetData sheetId="0">
        <row r="4">
          <cell r="FF4">
            <v>317</v>
          </cell>
        </row>
        <row r="5">
          <cell r="FF5">
            <v>91</v>
          </cell>
        </row>
        <row r="7">
          <cell r="FF7">
            <v>22</v>
          </cell>
        </row>
        <row r="9">
          <cell r="FF9">
            <v>13</v>
          </cell>
        </row>
        <row r="10">
          <cell r="FF10">
            <v>5</v>
          </cell>
        </row>
        <row r="12">
          <cell r="FF12"/>
        </row>
        <row r="13">
          <cell r="FF13">
            <v>89</v>
          </cell>
        </row>
        <row r="14">
          <cell r="FF14">
            <v>38</v>
          </cell>
        </row>
        <row r="15">
          <cell r="FF15">
            <v>20</v>
          </cell>
        </row>
        <row r="17">
          <cell r="FF17">
            <v>34</v>
          </cell>
        </row>
        <row r="18">
          <cell r="FF18">
            <v>14</v>
          </cell>
        </row>
        <row r="19">
          <cell r="FF19">
            <v>10</v>
          </cell>
        </row>
        <row r="20">
          <cell r="FF20">
            <v>157</v>
          </cell>
        </row>
        <row r="21">
          <cell r="FF21">
            <v>3</v>
          </cell>
        </row>
        <row r="22">
          <cell r="FF22">
            <v>15</v>
          </cell>
        </row>
        <row r="23">
          <cell r="FF23">
            <v>14</v>
          </cell>
        </row>
        <row r="24">
          <cell r="FF24">
            <v>21</v>
          </cell>
        </row>
        <row r="25">
          <cell r="FF25"/>
        </row>
        <row r="27">
          <cell r="FF27">
            <v>29</v>
          </cell>
        </row>
        <row r="28">
          <cell r="FF28">
            <v>23</v>
          </cell>
        </row>
        <row r="29">
          <cell r="FF29">
            <v>53</v>
          </cell>
        </row>
        <row r="30">
          <cell r="FF30"/>
        </row>
        <row r="31">
          <cell r="FF31">
            <v>34</v>
          </cell>
        </row>
        <row r="32">
          <cell r="FF32">
            <v>5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Reyna Siccha" id="{BF89B1F9-03D1-4D39-B100-C151960AD859}" userId="S::reynasiccha@bcp.com.pe::11e71cb7-f82d-4d9f-b630-ee72de77f61a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Q14" dT="2026-06-03T02:53:34.65" personId="{BF89B1F9-03D1-4D39-B100-C151960AD859}" id="{E7D3004A-E0A5-4CB9-970F-B843A7D5D480}">
    <text>11 SALIDAS</text>
  </threadedComment>
  <threadedComment ref="Q15" dT="2026-06-03T02:53:51.25" personId="{BF89B1F9-03D1-4D39-B100-C151960AD859}" id="{562D198A-6F96-4D16-A7A0-64CDF84B118F}">
    <text xml:space="preserve">1 </text>
  </threadedComment>
  <threadedComment ref="Q16" dT="2026-06-03T02:59:02.65" personId="{BF89B1F9-03D1-4D39-B100-C151960AD859}" id="{19546D65-0723-4689-A6F7-7653946BD11A}">
    <text xml:space="preserve">5 TRAINEES
</text>
  </threadedComment>
  <threadedComment ref="Q17" dT="2026-06-03T03:11:50.71" personId="{BF89B1F9-03D1-4D39-B100-C151960AD859}" id="{8050E303-CAD3-493A-BBB6-ACFBA981B85A}">
    <text>3 SALIDAS</text>
  </threadedComment>
  <threadedComment ref="Q18" dT="2026-06-03T03:09:49.36" personId="{BF89B1F9-03D1-4D39-B100-C151960AD859}" id="{2864129F-E6E8-4B99-8C60-F062A33F8505}">
    <text>3 SALIDAS</text>
  </threadedComment>
  <threadedComment ref="R26" dT="2026-06-02T13:11:24.67" personId="{BF89B1F9-03D1-4D39-B100-C151960AD859}" id="{CBFE562E-486E-4F3F-8223-54085851BF12}">
    <text>18 ATENTO</text>
  </threadedComment>
  <threadedComment ref="R26" dT="2026-06-02T13:13:36.16" personId="{BF89B1F9-03D1-4D39-B100-C151960AD859}" id="{51CBA684-FD6B-48A1-B984-8CBA048160B4}" parentId="{CBFE562E-486E-4F3F-8223-54085851BF12}">
    <text xml:space="preserve">31 BCP
</text>
  </threadedComment>
  <threadedComment ref="R26" dT="2026-06-03T15:14:22.99" personId="{BF89B1F9-03D1-4D39-B100-C151960AD859}" id="{C5D18D2F-D0D6-4B63-9552-67F1928AFD9C}" parentId="{CBFE562E-486E-4F3F-8223-54085851BF12}">
    <text>-6 APOYAN A ONR</text>
  </threadedComment>
  <threadedComment ref="S26" dT="2026-06-02T13:11:24.67" personId="{BF89B1F9-03D1-4D39-B100-C151960AD859}" id="{260623DF-53B5-4CDD-905A-7A8CAFB02CBC}">
    <text>18 ATENTO</text>
  </threadedComment>
  <threadedComment ref="S26" dT="2026-06-02T13:13:36.16" personId="{BF89B1F9-03D1-4D39-B100-C151960AD859}" id="{58218FF2-F325-4F9C-898A-A6CF51942B72}" parentId="{260623DF-53B5-4CDD-905A-7A8CAFB02CBC}">
    <text xml:space="preserve">31 BCP
</text>
  </threadedComment>
  <threadedComment ref="R28" dT="2026-06-02T22:35:05.92" personId="{BF89B1F9-03D1-4D39-B100-C151960AD859}" id="{5994630F-CC4F-4A85-B529-700106A7EB47}">
    <text xml:space="preserve">6 DE PYME
</text>
  </threadedComment>
  <threadedComment ref="A30" dT="2026-05-16T00:18:40.60" personId="{BF89B1F9-03D1-4D39-B100-C151960AD859}" id="{C064DEF0-562B-4E91-A77A-58F6183422DB}">
    <text>1 INDECOPI</text>
  </threadedComment>
  <threadedComment ref="A41" dT="2026-05-16T00:55:32.76" personId="{BF89B1F9-03D1-4D39-B100-C151960AD859}" id="{C420EEA2-31CE-48C8-AA77-285A11B0E15A}">
    <text>1 BUZON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85FA6-EE89-465D-8EE3-B01E2BB51C0F}">
  <dimension ref="A1:AT50"/>
  <sheetViews>
    <sheetView tabSelected="1" topLeftCell="K1" workbookViewId="0">
      <selection activeCell="AH10" sqref="AH10"/>
    </sheetView>
  </sheetViews>
  <sheetFormatPr baseColWidth="10" defaultRowHeight="14.4" x14ac:dyDescent="0.3"/>
  <cols>
    <col min="1" max="1" width="30.21875" bestFit="1" customWidth="1"/>
  </cols>
  <sheetData>
    <row r="1" spans="1:46" x14ac:dyDescent="0.3">
      <c r="A1" s="113"/>
      <c r="B1" s="110"/>
      <c r="C1" s="120"/>
      <c r="D1" s="110"/>
      <c r="E1" s="110"/>
      <c r="F1" s="110"/>
      <c r="G1" s="110"/>
      <c r="H1" s="110"/>
      <c r="I1" s="110"/>
      <c r="J1" s="110"/>
      <c r="K1" s="119">
        <f>+K3+16</f>
        <v>1047</v>
      </c>
      <c r="L1" s="119">
        <f>+L3+16</f>
        <v>1019</v>
      </c>
      <c r="M1" s="110"/>
      <c r="N1" s="110"/>
      <c r="O1" s="119">
        <f>+N3-Q3</f>
        <v>20</v>
      </c>
      <c r="P1" s="55" t="s">
        <v>67</v>
      </c>
      <c r="Q1" s="118">
        <f>+N2-Q2</f>
        <v>23</v>
      </c>
      <c r="R1" s="114">
        <f>+R3-18</f>
        <v>1003</v>
      </c>
      <c r="S1" s="110"/>
      <c r="T1" s="55" t="s">
        <v>67</v>
      </c>
      <c r="U1" s="110"/>
      <c r="V1" s="117">
        <f>+R3-V3</f>
        <v>23.304126436907609</v>
      </c>
      <c r="W1" s="107"/>
      <c r="X1" s="110"/>
      <c r="Y1" s="110"/>
      <c r="Z1" s="55" t="s">
        <v>67</v>
      </c>
      <c r="AA1" s="110"/>
      <c r="AB1" s="107"/>
      <c r="AC1" s="107"/>
      <c r="AD1" s="110"/>
      <c r="AE1" s="110"/>
      <c r="AF1" s="55" t="s">
        <v>67</v>
      </c>
      <c r="AG1" s="110"/>
      <c r="AH1" s="107"/>
      <c r="AI1" s="107"/>
      <c r="AJ1" s="110"/>
      <c r="AK1" s="110"/>
      <c r="AL1" s="55" t="s">
        <v>67</v>
      </c>
      <c r="AM1" s="110"/>
      <c r="AN1" s="107"/>
      <c r="AO1" s="110"/>
      <c r="AP1" s="110"/>
      <c r="AQ1" s="110"/>
      <c r="AR1" s="55" t="s">
        <v>67</v>
      </c>
      <c r="AS1" s="110"/>
      <c r="AT1" s="107"/>
    </row>
    <row r="2" spans="1:46" x14ac:dyDescent="0.3">
      <c r="A2" s="113"/>
      <c r="B2" s="114">
        <f>+B19+B42</f>
        <v>858</v>
      </c>
      <c r="C2" s="116">
        <f>+C19+C42</f>
        <v>846</v>
      </c>
      <c r="D2" s="116">
        <f>+D19+D42</f>
        <v>836</v>
      </c>
      <c r="E2" s="116">
        <f>+E19+E42</f>
        <v>878</v>
      </c>
      <c r="F2" s="116">
        <f>+F19+F42</f>
        <v>854</v>
      </c>
      <c r="G2" s="110"/>
      <c r="H2" s="110"/>
      <c r="I2" s="110"/>
      <c r="J2" s="110"/>
      <c r="K2" s="114">
        <f>+K19+K42</f>
        <v>879</v>
      </c>
      <c r="L2" s="114">
        <f>+L19+L42</f>
        <v>858</v>
      </c>
      <c r="M2" s="110"/>
      <c r="N2" s="114">
        <f>+N19+N42</f>
        <v>847</v>
      </c>
      <c r="O2" s="114">
        <f>+O19+O42</f>
        <v>824</v>
      </c>
      <c r="P2" s="55"/>
      <c r="Q2" s="116">
        <f>+Q19+Q42</f>
        <v>824</v>
      </c>
      <c r="R2" s="114">
        <f>+R19+R42</f>
        <v>837</v>
      </c>
      <c r="S2" s="114">
        <f>+S19+S42</f>
        <v>832</v>
      </c>
      <c r="T2" s="114">
        <f>+T19+T42</f>
        <v>889</v>
      </c>
      <c r="U2" s="110"/>
      <c r="V2" s="107"/>
      <c r="W2" s="107"/>
      <c r="X2" s="114">
        <f>+X19+X42</f>
        <v>832.4754993667425</v>
      </c>
      <c r="Y2" s="114"/>
      <c r="Z2" s="114">
        <f>+Z19+Z42</f>
        <v>851</v>
      </c>
      <c r="AA2" s="110"/>
      <c r="AB2" s="114">
        <f>+AB19+AB42</f>
        <v>804.33005162216477</v>
      </c>
      <c r="AC2" s="107"/>
      <c r="AD2" s="114">
        <f>+AD19+AD42</f>
        <v>823.93005162216491</v>
      </c>
      <c r="AE2" s="114">
        <f>+AE19+AE42</f>
        <v>0</v>
      </c>
      <c r="AF2" s="114">
        <f>+AF19+AF42</f>
        <v>784</v>
      </c>
      <c r="AG2" s="110"/>
      <c r="AH2" s="107"/>
      <c r="AI2" s="107"/>
      <c r="AJ2" s="114">
        <f>+AJ19+AJ42</f>
        <v>829</v>
      </c>
      <c r="AK2" s="114">
        <f>+AK19+AK42</f>
        <v>0</v>
      </c>
      <c r="AL2" s="114">
        <f>+AL19+AL42</f>
        <v>761</v>
      </c>
      <c r="AM2" s="115">
        <f>+AJ2/AL2</f>
        <v>1.0893561103810776</v>
      </c>
      <c r="AN2" s="114">
        <f>+AN19+AN42</f>
        <v>819.27766656335268</v>
      </c>
      <c r="AO2" s="110"/>
      <c r="AP2" s="114">
        <f>+AP19+AP42</f>
        <v>837</v>
      </c>
      <c r="AQ2" s="114">
        <f>+AQ19+AQ42</f>
        <v>0</v>
      </c>
      <c r="AR2" s="114">
        <f>+AR19+AR42</f>
        <v>732</v>
      </c>
      <c r="AS2" s="115">
        <f>+AP2/AR2</f>
        <v>1.1434426229508197</v>
      </c>
      <c r="AT2" s="114">
        <f>+AT19+AT42</f>
        <v>831.67693270335269</v>
      </c>
    </row>
    <row r="3" spans="1:46" x14ac:dyDescent="0.3">
      <c r="A3" s="113"/>
      <c r="B3" s="109">
        <f>B19+B42+B49</f>
        <v>1028</v>
      </c>
      <c r="C3" s="112">
        <f>C19+C42+C49</f>
        <v>1008</v>
      </c>
      <c r="D3" s="109">
        <f>D19+D42+D49</f>
        <v>1007</v>
      </c>
      <c r="E3" s="109">
        <f>E19+E42+E49</f>
        <v>1038</v>
      </c>
      <c r="F3" s="109">
        <f>F19+F42+F49</f>
        <v>1008</v>
      </c>
      <c r="G3" s="109">
        <f>G19+G42+G49</f>
        <v>1007</v>
      </c>
      <c r="H3" s="109">
        <f>H19+H42+H49</f>
        <v>1034</v>
      </c>
      <c r="I3" s="109">
        <f>I19+I42+I49</f>
        <v>1022</v>
      </c>
      <c r="J3" s="109">
        <f>J19+J42+J49</f>
        <v>1007</v>
      </c>
      <c r="K3" s="109">
        <f>K19+K42+K49</f>
        <v>1031</v>
      </c>
      <c r="L3" s="109">
        <f>L19+L42+L49</f>
        <v>1003</v>
      </c>
      <c r="M3" s="109">
        <f>M19+M42+M49</f>
        <v>1007</v>
      </c>
      <c r="N3" s="109">
        <f>N19+N42+N49</f>
        <v>1006</v>
      </c>
      <c r="O3" s="111">
        <f>O19+O42+O49</f>
        <v>983</v>
      </c>
      <c r="P3" s="109">
        <f>+P10+P19+P42+P49</f>
        <v>1007</v>
      </c>
      <c r="Q3" s="112">
        <f>+Q19+Q42+Q49</f>
        <v>986</v>
      </c>
      <c r="R3" s="111">
        <f>R19+R42+R49</f>
        <v>1021</v>
      </c>
      <c r="S3" s="111">
        <f>S19+S42+S49</f>
        <v>1015</v>
      </c>
      <c r="T3" s="109">
        <f>T19+T42+T49</f>
        <v>1116</v>
      </c>
      <c r="U3" s="108">
        <f>R3/T3</f>
        <v>0.91487455197132617</v>
      </c>
      <c r="V3" s="109">
        <f>V19+V42+V49</f>
        <v>997.69587356309239</v>
      </c>
      <c r="W3" s="107"/>
      <c r="X3" s="111">
        <f>X19+X42+X49</f>
        <v>1026.4358735630922</v>
      </c>
      <c r="Y3" s="111"/>
      <c r="Z3" s="109">
        <f>Z19+Z42+Z49</f>
        <v>1096</v>
      </c>
      <c r="AA3" s="108">
        <f>X3/Z3</f>
        <v>0.93652908171814975</v>
      </c>
      <c r="AB3" s="109">
        <f>AB19+AB42+AB49</f>
        <v>984.79042581851456</v>
      </c>
      <c r="AC3" s="107"/>
      <c r="AD3" s="111">
        <f>AD19+AD42+AD49</f>
        <v>1021.4904258185147</v>
      </c>
      <c r="AE3" s="110"/>
      <c r="AF3" s="109">
        <f>AF19+AF42+AF49</f>
        <v>1026</v>
      </c>
      <c r="AG3" s="108">
        <f>AD3/AF3</f>
        <v>0.99560470352681751</v>
      </c>
      <c r="AH3" s="109">
        <f>AH19+AH42+AH49</f>
        <v>950.53295456188562</v>
      </c>
      <c r="AI3" s="107"/>
      <c r="AJ3" s="111">
        <f>ROUNDDOWN(AJ19+AJ42+AJ49,0)</f>
        <v>1048</v>
      </c>
      <c r="AK3" s="110"/>
      <c r="AL3" s="109">
        <f>AL19+AL42+AL49</f>
        <v>1016</v>
      </c>
      <c r="AM3" s="108">
        <f>AJ3/AL3</f>
        <v>1.0314960629921259</v>
      </c>
      <c r="AN3" s="107"/>
      <c r="AO3" s="110"/>
      <c r="AP3" s="111">
        <f>ROUNDDOWN(AP19+AP42+AP49,0)</f>
        <v>1074</v>
      </c>
      <c r="AQ3" s="110"/>
      <c r="AR3" s="109">
        <f>AR19+AR42+AR49</f>
        <v>972</v>
      </c>
      <c r="AS3" s="108">
        <f>AP3/AR3</f>
        <v>1.1049382716049383</v>
      </c>
      <c r="AT3" s="107"/>
    </row>
    <row r="4" spans="1:46" ht="28.8" x14ac:dyDescent="0.3">
      <c r="A4" s="81" t="s">
        <v>58</v>
      </c>
      <c r="B4" s="55" t="s">
        <v>57</v>
      </c>
      <c r="C4" s="80" t="s">
        <v>56</v>
      </c>
      <c r="D4" s="78" t="s">
        <v>35</v>
      </c>
      <c r="E4" s="55" t="s">
        <v>55</v>
      </c>
      <c r="F4" s="55" t="s">
        <v>54</v>
      </c>
      <c r="G4" s="78" t="s">
        <v>35</v>
      </c>
      <c r="H4" s="55" t="s">
        <v>53</v>
      </c>
      <c r="I4" s="55" t="s">
        <v>52</v>
      </c>
      <c r="J4" s="78" t="s">
        <v>35</v>
      </c>
      <c r="K4" s="55" t="s">
        <v>51</v>
      </c>
      <c r="L4" s="55" t="s">
        <v>50</v>
      </c>
      <c r="M4" s="78" t="s">
        <v>35</v>
      </c>
      <c r="N4" s="55" t="s">
        <v>39</v>
      </c>
      <c r="O4" s="55" t="s">
        <v>38</v>
      </c>
      <c r="P4" s="55" t="s">
        <v>35</v>
      </c>
      <c r="Q4" s="80" t="s">
        <v>36</v>
      </c>
      <c r="R4" s="55" t="s">
        <v>49</v>
      </c>
      <c r="S4" s="55" t="s">
        <v>48</v>
      </c>
      <c r="T4" s="55" t="s">
        <v>35</v>
      </c>
      <c r="U4" s="55" t="s">
        <v>34</v>
      </c>
      <c r="V4" s="78" t="s">
        <v>37</v>
      </c>
      <c r="W4" s="78" t="s">
        <v>36</v>
      </c>
      <c r="X4" s="55" t="s">
        <v>66</v>
      </c>
      <c r="Y4" s="55" t="s">
        <v>65</v>
      </c>
      <c r="Z4" s="55" t="s">
        <v>35</v>
      </c>
      <c r="AA4" s="55" t="s">
        <v>34</v>
      </c>
      <c r="AB4" s="78" t="s">
        <v>37</v>
      </c>
      <c r="AC4" s="78" t="s">
        <v>36</v>
      </c>
      <c r="AD4" s="55" t="s">
        <v>64</v>
      </c>
      <c r="AE4" s="55" t="s">
        <v>48</v>
      </c>
      <c r="AF4" s="55" t="s">
        <v>35</v>
      </c>
      <c r="AG4" s="55" t="s">
        <v>34</v>
      </c>
      <c r="AH4" s="78" t="s">
        <v>37</v>
      </c>
      <c r="AI4" s="78" t="s">
        <v>36</v>
      </c>
      <c r="AJ4" s="55" t="s">
        <v>63</v>
      </c>
      <c r="AK4" s="55" t="s">
        <v>48</v>
      </c>
      <c r="AL4" s="55" t="s">
        <v>35</v>
      </c>
      <c r="AM4" s="55" t="s">
        <v>34</v>
      </c>
      <c r="AN4" s="78" t="s">
        <v>37</v>
      </c>
      <c r="AO4" s="78" t="s">
        <v>36</v>
      </c>
      <c r="AP4" s="55" t="s">
        <v>62</v>
      </c>
      <c r="AQ4" s="55" t="s">
        <v>48</v>
      </c>
      <c r="AR4" s="55" t="s">
        <v>35</v>
      </c>
      <c r="AS4" s="55" t="s">
        <v>34</v>
      </c>
      <c r="AT4" s="78" t="s">
        <v>37</v>
      </c>
    </row>
    <row r="5" spans="1:46" x14ac:dyDescent="0.3">
      <c r="A5" s="106" t="s">
        <v>61</v>
      </c>
      <c r="B5" s="4"/>
      <c r="C5" s="10"/>
      <c r="D5" s="1"/>
      <c r="E5" s="4"/>
      <c r="F5" s="4"/>
      <c r="G5" s="1"/>
      <c r="H5" s="4"/>
      <c r="I5" s="4"/>
      <c r="J5" s="1"/>
      <c r="K5" s="4"/>
      <c r="L5" s="4"/>
      <c r="M5" s="1"/>
      <c r="N5" s="4"/>
      <c r="O5" s="4"/>
      <c r="P5" s="4"/>
      <c r="Q5" s="10"/>
      <c r="R5" s="4"/>
      <c r="S5" s="4"/>
      <c r="T5" s="4"/>
      <c r="U5" s="12"/>
      <c r="V5" s="22"/>
      <c r="W5" s="1"/>
      <c r="X5" s="3"/>
      <c r="Y5" s="4"/>
      <c r="Z5" s="4"/>
      <c r="AA5" s="12"/>
      <c r="AB5" s="22"/>
      <c r="AC5" s="1"/>
      <c r="AD5" s="3"/>
      <c r="AE5" s="4"/>
      <c r="AF5" s="4"/>
      <c r="AG5" s="12"/>
      <c r="AH5" s="22"/>
      <c r="AI5" s="1"/>
      <c r="AJ5" s="3"/>
      <c r="AK5" s="4"/>
      <c r="AL5" s="4"/>
      <c r="AM5" s="12"/>
      <c r="AN5" s="22"/>
      <c r="AO5" s="1"/>
      <c r="AP5" s="3"/>
      <c r="AQ5" s="4"/>
      <c r="AR5" s="4"/>
      <c r="AS5" s="12"/>
      <c r="AT5" s="22"/>
    </row>
    <row r="6" spans="1:46" x14ac:dyDescent="0.3">
      <c r="A6" s="105" t="s">
        <v>3</v>
      </c>
      <c r="B6" s="84">
        <v>35</v>
      </c>
      <c r="C6" s="91">
        <v>32</v>
      </c>
      <c r="D6" s="88"/>
      <c r="E6" s="84">
        <v>40</v>
      </c>
      <c r="F6" s="84">
        <v>40</v>
      </c>
      <c r="G6" s="88"/>
      <c r="H6" s="84">
        <v>40</v>
      </c>
      <c r="I6" s="84">
        <v>39</v>
      </c>
      <c r="J6" s="88"/>
      <c r="K6" s="84">
        <v>16</v>
      </c>
      <c r="L6" s="84">
        <v>16</v>
      </c>
      <c r="M6" s="88"/>
      <c r="N6" s="84">
        <v>21</v>
      </c>
      <c r="O6" s="84">
        <v>19</v>
      </c>
      <c r="P6" s="84"/>
      <c r="Q6" s="90">
        <v>19</v>
      </c>
      <c r="R6" s="84">
        <v>22</v>
      </c>
      <c r="S6" s="84">
        <v>22</v>
      </c>
      <c r="T6" s="84" t="s">
        <v>42</v>
      </c>
      <c r="U6" s="87" t="str">
        <f>+IFERROR(R6/T6,"")</f>
        <v/>
      </c>
      <c r="V6" s="104">
        <f>+Hoja2!G4</f>
        <v>20.240000000000002</v>
      </c>
      <c r="W6" s="88"/>
      <c r="X6" s="86">
        <f>+V7</f>
        <v>29.4</v>
      </c>
      <c r="Y6" s="84"/>
      <c r="Z6" s="84"/>
      <c r="AA6" s="87" t="str">
        <f>+IFERROR(X6/Z6,"")</f>
        <v/>
      </c>
      <c r="AB6" s="103">
        <f>+Hoja2!K4</f>
        <v>27.047999999999998</v>
      </c>
      <c r="AC6" s="88"/>
      <c r="AD6" s="86">
        <f>+AB7</f>
        <v>19.600000000000001</v>
      </c>
      <c r="AE6" s="86">
        <f>AC6</f>
        <v>0</v>
      </c>
      <c r="AF6" s="84" t="str">
        <f>+_xlfn.XLOOKUP(A6,'[3]REQUERIMIENTO INBOUND'!B:B,'[3]REQUERIMIENTO INBOUND'!AE:AE,"",0)</f>
        <v/>
      </c>
      <c r="AG6" s="87" t="str">
        <f>+IFERROR(AD6/AF6,"")</f>
        <v/>
      </c>
      <c r="AH6" s="103">
        <f>+(AD6)*0.9</f>
        <v>17.64</v>
      </c>
      <c r="AI6" s="88"/>
      <c r="AJ6" s="86">
        <f>+AH7</f>
        <v>19.600000000000001</v>
      </c>
      <c r="AK6" s="84"/>
      <c r="AL6" s="84" t="str">
        <f>+_xlfn.XLOOKUP(A6,'[3]REQUERIMIENTO INBOUND'!B:B,'[3]REQUERIMIENTO INBOUND'!AI:AI,"",0)</f>
        <v/>
      </c>
      <c r="AM6" s="87" t="str">
        <f>+IFERROR(AJ6/AL6,"")</f>
        <v/>
      </c>
      <c r="AN6" s="103">
        <f>+(AJ6)*0.9</f>
        <v>17.64</v>
      </c>
      <c r="AO6" s="88"/>
      <c r="AP6" s="86">
        <f>+AN7</f>
        <v>19.600000000000001</v>
      </c>
      <c r="AQ6" s="84"/>
      <c r="AR6" s="84" t="str">
        <f>+_xlfn.XLOOKUP(H6,'[3]REQUERIMIENTO INBOUND'!I:I,'[3]REQUERIMIENTO INBOUND'!AP:AP,"",0)</f>
        <v/>
      </c>
      <c r="AS6" s="87" t="str">
        <f>+IFERROR(AP6/AR6,"")</f>
        <v/>
      </c>
      <c r="AT6" s="103">
        <f>+(AP6)*0.9</f>
        <v>17.64</v>
      </c>
    </row>
    <row r="7" spans="1:46" ht="15" thickBot="1" x14ac:dyDescent="0.35">
      <c r="A7" s="102" t="s">
        <v>4</v>
      </c>
      <c r="B7" s="95">
        <v>41</v>
      </c>
      <c r="C7" s="101">
        <v>41</v>
      </c>
      <c r="D7" s="97"/>
      <c r="E7" s="95">
        <v>43</v>
      </c>
      <c r="F7" s="95">
        <v>43</v>
      </c>
      <c r="G7" s="97"/>
      <c r="H7" s="95">
        <v>30</v>
      </c>
      <c r="I7" s="95">
        <v>30</v>
      </c>
      <c r="J7" s="97"/>
      <c r="K7" s="95">
        <v>22</v>
      </c>
      <c r="L7" s="95">
        <v>21</v>
      </c>
      <c r="M7" s="97"/>
      <c r="N7" s="95">
        <v>25</v>
      </c>
      <c r="O7" s="95">
        <v>22</v>
      </c>
      <c r="P7" s="95"/>
      <c r="Q7" s="100">
        <v>22</v>
      </c>
      <c r="R7" s="99">
        <v>30</v>
      </c>
      <c r="S7" s="95">
        <v>30</v>
      </c>
      <c r="T7" s="95"/>
      <c r="U7" s="94"/>
      <c r="V7" s="93">
        <f>+Hoja2!G3</f>
        <v>29.4</v>
      </c>
      <c r="W7" s="97"/>
      <c r="X7" s="96">
        <v>20</v>
      </c>
      <c r="Y7" s="95"/>
      <c r="Z7" s="95"/>
      <c r="AA7" s="94"/>
      <c r="AB7" s="93">
        <f>+Hoja2!K3</f>
        <v>19.600000000000001</v>
      </c>
      <c r="AC7" s="97"/>
      <c r="AD7" s="96">
        <v>20</v>
      </c>
      <c r="AE7" s="98"/>
      <c r="AF7" s="95"/>
      <c r="AG7" s="94"/>
      <c r="AH7" s="93">
        <f>+(AD7)*0.98</f>
        <v>19.600000000000001</v>
      </c>
      <c r="AI7" s="97"/>
      <c r="AJ7" s="96">
        <v>20</v>
      </c>
      <c r="AK7" s="95"/>
      <c r="AL7" s="95"/>
      <c r="AM7" s="94"/>
      <c r="AN7" s="93">
        <f>+(AJ7)*0.98</f>
        <v>19.600000000000001</v>
      </c>
      <c r="AO7" s="97"/>
      <c r="AP7" s="96">
        <v>20</v>
      </c>
      <c r="AQ7" s="95"/>
      <c r="AR7" s="95"/>
      <c r="AS7" s="94"/>
      <c r="AT7" s="93">
        <f>+(AP7)*0.98</f>
        <v>19.600000000000001</v>
      </c>
    </row>
    <row r="8" spans="1:46" x14ac:dyDescent="0.3">
      <c r="A8" s="92" t="s">
        <v>60</v>
      </c>
      <c r="B8" s="84"/>
      <c r="C8" s="91"/>
      <c r="D8" s="88"/>
      <c r="E8" s="84">
        <v>11</v>
      </c>
      <c r="F8" s="84">
        <v>9</v>
      </c>
      <c r="G8" s="88"/>
      <c r="H8" s="84"/>
      <c r="I8" s="84"/>
      <c r="J8" s="88"/>
      <c r="K8" s="84">
        <v>16</v>
      </c>
      <c r="L8" s="84">
        <v>16</v>
      </c>
      <c r="M8" s="88"/>
      <c r="N8" s="84">
        <v>30</v>
      </c>
      <c r="O8" s="84">
        <v>30</v>
      </c>
      <c r="P8" s="84"/>
      <c r="Q8" s="90">
        <v>30</v>
      </c>
      <c r="R8" s="84">
        <v>15</v>
      </c>
      <c r="S8" s="84">
        <v>15</v>
      </c>
      <c r="T8" s="84"/>
      <c r="U8" s="87"/>
      <c r="V8" s="89">
        <f>+R8*0.9</f>
        <v>13.5</v>
      </c>
      <c r="W8" s="88"/>
      <c r="X8" s="86">
        <f>+V9</f>
        <v>19</v>
      </c>
      <c r="Y8" s="84"/>
      <c r="Z8" s="84"/>
      <c r="AA8" s="87"/>
      <c r="AB8" s="86">
        <f>+X8*0.9</f>
        <v>17.100000000000001</v>
      </c>
      <c r="AC8" s="88"/>
      <c r="AD8" s="86">
        <f>+AB9</f>
        <v>34</v>
      </c>
      <c r="AE8" s="86"/>
      <c r="AF8" s="84"/>
      <c r="AG8" s="87"/>
      <c r="AH8" s="86">
        <f>+AD8*0.9</f>
        <v>30.6</v>
      </c>
      <c r="AI8" s="88"/>
      <c r="AJ8" s="86">
        <f>+AH9</f>
        <v>34</v>
      </c>
      <c r="AK8" s="84"/>
      <c r="AL8" s="84"/>
      <c r="AM8" s="87"/>
      <c r="AN8" s="86">
        <f>+AJ8*0.9</f>
        <v>30.6</v>
      </c>
      <c r="AO8" s="88"/>
      <c r="AP8" s="86">
        <f>+AN9</f>
        <v>34</v>
      </c>
      <c r="AQ8" s="84"/>
      <c r="AR8" s="84"/>
      <c r="AS8" s="87"/>
      <c r="AT8" s="86">
        <f>+AP8*0.9</f>
        <v>30.6</v>
      </c>
    </row>
    <row r="9" spans="1:46" x14ac:dyDescent="0.3">
      <c r="A9" s="85" t="s">
        <v>59</v>
      </c>
      <c r="B9" s="4">
        <v>11</v>
      </c>
      <c r="C9" s="10">
        <v>11</v>
      </c>
      <c r="D9" s="1"/>
      <c r="E9" s="4"/>
      <c r="F9" s="4"/>
      <c r="G9" s="1"/>
      <c r="H9" s="84">
        <v>16</v>
      </c>
      <c r="I9" s="4">
        <v>16</v>
      </c>
      <c r="J9" s="1"/>
      <c r="K9" s="4">
        <v>30</v>
      </c>
      <c r="L9" s="4">
        <v>30</v>
      </c>
      <c r="M9" s="1"/>
      <c r="N9" s="4">
        <v>13</v>
      </c>
      <c r="O9" s="4">
        <v>13</v>
      </c>
      <c r="P9" s="4"/>
      <c r="Q9" s="61">
        <v>13</v>
      </c>
      <c r="R9" s="83">
        <v>20</v>
      </c>
      <c r="S9" s="4">
        <v>20</v>
      </c>
      <c r="T9" s="4"/>
      <c r="U9" s="12"/>
      <c r="V9" s="3">
        <v>19</v>
      </c>
      <c r="W9" s="1"/>
      <c r="X9" s="6">
        <v>35</v>
      </c>
      <c r="Y9" s="4"/>
      <c r="Z9" s="4"/>
      <c r="AA9" s="12"/>
      <c r="AB9" s="3">
        <f>X9-1</f>
        <v>34</v>
      </c>
      <c r="AC9" s="1"/>
      <c r="AD9" s="6">
        <v>35</v>
      </c>
      <c r="AE9" s="3"/>
      <c r="AF9" s="4"/>
      <c r="AG9" s="12"/>
      <c r="AH9" s="3">
        <f>+AD9-1</f>
        <v>34</v>
      </c>
      <c r="AI9" s="1"/>
      <c r="AJ9" s="6">
        <v>35</v>
      </c>
      <c r="AK9" s="4"/>
      <c r="AL9" s="4"/>
      <c r="AM9" s="12"/>
      <c r="AN9" s="3">
        <f>+AJ9-1</f>
        <v>34</v>
      </c>
      <c r="AO9" s="1"/>
      <c r="AP9" s="6">
        <v>35</v>
      </c>
      <c r="AQ9" s="4"/>
      <c r="AR9" s="4"/>
      <c r="AS9" s="12"/>
      <c r="AT9" s="3">
        <f>+AP9-1</f>
        <v>34</v>
      </c>
    </row>
    <row r="10" spans="1:46" x14ac:dyDescent="0.3">
      <c r="A10" s="15" t="s">
        <v>12</v>
      </c>
      <c r="B10" s="15">
        <f t="shared" ref="B10:C10" si="0">+SUM(B6:B9)</f>
        <v>87</v>
      </c>
      <c r="C10" s="15">
        <f t="shared" si="0"/>
        <v>84</v>
      </c>
      <c r="D10" s="17"/>
      <c r="E10" s="15">
        <f>+SUM(E6:E9)</f>
        <v>94</v>
      </c>
      <c r="F10" s="15">
        <f>+SUM(F6:F9)</f>
        <v>92</v>
      </c>
      <c r="G10" s="17"/>
      <c r="H10" s="15">
        <f t="shared" ref="H10:I10" si="1">+SUM(H6:H9)</f>
        <v>86</v>
      </c>
      <c r="I10" s="15">
        <f t="shared" si="1"/>
        <v>85</v>
      </c>
      <c r="J10" s="82"/>
      <c r="K10" s="15">
        <f t="shared" ref="K10" si="2">+SUM(K6:K9)</f>
        <v>84</v>
      </c>
      <c r="L10" s="15">
        <f t="shared" ref="L10" si="3">+SUM(L6:L9)</f>
        <v>83</v>
      </c>
      <c r="M10" s="17"/>
      <c r="N10" s="15">
        <f t="shared" ref="N10" si="4">+SUM(N6:N9)</f>
        <v>89</v>
      </c>
      <c r="O10" s="15">
        <f t="shared" ref="O10" si="5">+SUM(O6:O9)</f>
        <v>84</v>
      </c>
      <c r="P10" s="15"/>
      <c r="Q10" s="33">
        <f>+SUM(Q6:Q9)</f>
        <v>84</v>
      </c>
      <c r="R10" s="15">
        <v>87</v>
      </c>
      <c r="S10" s="15">
        <v>87</v>
      </c>
      <c r="T10" s="15">
        <f>+SUM(T6:T9)</f>
        <v>0</v>
      </c>
      <c r="U10" s="18">
        <f>+SUM(U16)</f>
        <v>0.59055118110236215</v>
      </c>
      <c r="V10" s="16">
        <f>+SUM(V5:V9)</f>
        <v>82.14</v>
      </c>
      <c r="W10" s="17"/>
      <c r="X10" s="16">
        <f>+SUM(X6:X9)</f>
        <v>103.4</v>
      </c>
      <c r="Y10" s="15">
        <f>+SUM(Y6:Y9)</f>
        <v>0</v>
      </c>
      <c r="Z10" s="15">
        <f>+SUM(Z6:Z9)</f>
        <v>0</v>
      </c>
      <c r="AA10" s="16">
        <f>+SUM(AA16)</f>
        <v>0.54345454545454541</v>
      </c>
      <c r="AB10" s="16">
        <f>+SUM(AB6:AB9)</f>
        <v>97.74799999999999</v>
      </c>
      <c r="AC10" s="17"/>
      <c r="AD10" s="15">
        <f>+SUM(AD6:AD9)</f>
        <v>108.6</v>
      </c>
      <c r="AE10" s="15">
        <f>+SUM(AE6:AE9)</f>
        <v>0</v>
      </c>
      <c r="AF10" s="15">
        <f>+SUM(AF6:AF9)</f>
        <v>0</v>
      </c>
      <c r="AG10" s="18">
        <f>+SUM(AG16)</f>
        <v>0.56815425531914898</v>
      </c>
      <c r="AH10" s="16">
        <f>+SUM(AH6:AH9)</f>
        <v>101.84</v>
      </c>
      <c r="AI10" s="17"/>
      <c r="AJ10" s="15">
        <f>+SUM(AJ6:AJ9)</f>
        <v>108.6</v>
      </c>
      <c r="AK10" s="15">
        <f>+SUM(AK6:AK9)</f>
        <v>0</v>
      </c>
      <c r="AL10" s="15">
        <f>+SUM(AL6:AL9)</f>
        <v>0</v>
      </c>
      <c r="AM10" s="16">
        <f>+SUM(AM5:AM9)</f>
        <v>0</v>
      </c>
      <c r="AN10" s="16">
        <f>+SUM(AN6:AN9)</f>
        <v>101.84</v>
      </c>
      <c r="AO10" s="1"/>
      <c r="AP10" s="16">
        <f>+SUM(AP6:AP9)</f>
        <v>108.6</v>
      </c>
      <c r="AQ10" s="15">
        <f>+SUM(AQ6:AQ9)</f>
        <v>0</v>
      </c>
      <c r="AR10" s="15">
        <f>+SUM(AR6:AR9)</f>
        <v>0</v>
      </c>
      <c r="AS10" s="16">
        <f>+SUM(AS5:AS9)</f>
        <v>0</v>
      </c>
      <c r="AT10" s="16">
        <f>+SUM(AT6:AT9)</f>
        <v>101.84</v>
      </c>
    </row>
    <row r="11" spans="1:46" x14ac:dyDescent="0.3">
      <c r="A11" s="5"/>
      <c r="B11" s="4"/>
      <c r="C11" s="10"/>
      <c r="D11" s="1"/>
      <c r="E11" s="4"/>
      <c r="F11" s="4"/>
      <c r="G11" s="1"/>
      <c r="H11" s="9"/>
      <c r="I11" s="9"/>
      <c r="J11" s="8"/>
      <c r="K11" s="5"/>
      <c r="L11" s="5"/>
      <c r="M11" s="1"/>
      <c r="N11" s="4"/>
      <c r="O11" s="4"/>
      <c r="P11" s="3"/>
      <c r="Q11" s="10"/>
      <c r="R11" s="4"/>
      <c r="S11" s="4"/>
      <c r="T11" s="4"/>
      <c r="U11" s="4"/>
      <c r="V11" s="1"/>
      <c r="W11" s="1"/>
      <c r="X11" s="43"/>
      <c r="Y11" s="4"/>
      <c r="Z11" s="4"/>
      <c r="AA11" s="4"/>
      <c r="AB11" s="1"/>
      <c r="AC11" s="1"/>
      <c r="AD11" s="4"/>
      <c r="AE11" s="4"/>
      <c r="AF11" s="4"/>
      <c r="AG11" s="4"/>
      <c r="AH11" s="1"/>
      <c r="AI11" s="1"/>
      <c r="AJ11" s="4"/>
      <c r="AK11" s="4"/>
      <c r="AL11" s="4"/>
      <c r="AM11" s="4"/>
      <c r="AN11" s="1"/>
      <c r="AO11" s="1"/>
      <c r="AP11" s="4"/>
      <c r="AQ11" s="4"/>
      <c r="AR11" s="4"/>
      <c r="AS11" s="4"/>
      <c r="AT11" s="1"/>
    </row>
    <row r="12" spans="1:46" ht="28.8" x14ac:dyDescent="0.3">
      <c r="A12" s="81" t="s">
        <v>58</v>
      </c>
      <c r="B12" s="55" t="s">
        <v>57</v>
      </c>
      <c r="C12" s="80" t="s">
        <v>56</v>
      </c>
      <c r="D12" s="78" t="s">
        <v>35</v>
      </c>
      <c r="E12" s="55" t="s">
        <v>55</v>
      </c>
      <c r="F12" s="55" t="s">
        <v>54</v>
      </c>
      <c r="G12" s="78" t="s">
        <v>35</v>
      </c>
      <c r="H12" s="55" t="s">
        <v>53</v>
      </c>
      <c r="I12" s="55" t="s">
        <v>52</v>
      </c>
      <c r="J12" s="78" t="s">
        <v>35</v>
      </c>
      <c r="K12" s="55" t="s">
        <v>51</v>
      </c>
      <c r="L12" s="55" t="s">
        <v>50</v>
      </c>
      <c r="M12" s="78" t="s">
        <v>35</v>
      </c>
      <c r="N12" s="55" t="s">
        <v>39</v>
      </c>
      <c r="O12" s="55" t="s">
        <v>38</v>
      </c>
      <c r="P12" s="55" t="s">
        <v>35</v>
      </c>
      <c r="Q12" s="80" t="s">
        <v>36</v>
      </c>
      <c r="R12" s="55" t="s">
        <v>49</v>
      </c>
      <c r="S12" s="55" t="s">
        <v>48</v>
      </c>
      <c r="T12" s="55" t="s">
        <v>35</v>
      </c>
      <c r="U12" s="55" t="s">
        <v>34</v>
      </c>
      <c r="V12" s="78" t="s">
        <v>37</v>
      </c>
      <c r="W12" s="78" t="s">
        <v>36</v>
      </c>
      <c r="X12" s="79" t="str">
        <f>+X4</f>
        <v>INI-JUL</v>
      </c>
      <c r="Y12" s="55" t="str">
        <f>+Y4</f>
        <v>REAL-JUL</v>
      </c>
      <c r="Z12" s="55" t="s">
        <v>35</v>
      </c>
      <c r="AA12" s="55" t="s">
        <v>34</v>
      </c>
      <c r="AB12" s="78" t="s">
        <v>37</v>
      </c>
      <c r="AC12" s="78" t="s">
        <v>36</v>
      </c>
      <c r="AD12" s="55" t="str">
        <f>+AD4</f>
        <v>INI-AGO</v>
      </c>
      <c r="AE12" s="55" t="s">
        <v>48</v>
      </c>
      <c r="AF12" s="55" t="s">
        <v>35</v>
      </c>
      <c r="AG12" s="55" t="s">
        <v>34</v>
      </c>
      <c r="AH12" s="78" t="s">
        <v>37</v>
      </c>
      <c r="AI12" s="78" t="s">
        <v>36</v>
      </c>
      <c r="AJ12" s="55" t="str">
        <f>+AJ4</f>
        <v>INI-SEP</v>
      </c>
      <c r="AK12" s="55" t="s">
        <v>48</v>
      </c>
      <c r="AL12" s="55" t="s">
        <v>35</v>
      </c>
      <c r="AM12" s="55" t="s">
        <v>34</v>
      </c>
      <c r="AN12" s="78" t="s">
        <v>37</v>
      </c>
      <c r="AO12" s="78" t="s">
        <v>36</v>
      </c>
      <c r="AP12" s="55" t="str">
        <f>+AP4</f>
        <v>INI-OCT</v>
      </c>
      <c r="AQ12" s="55" t="s">
        <v>48</v>
      </c>
      <c r="AR12" s="55" t="s">
        <v>35</v>
      </c>
      <c r="AS12" s="55" t="s">
        <v>34</v>
      </c>
      <c r="AT12" s="78" t="s">
        <v>37</v>
      </c>
    </row>
    <row r="13" spans="1:46" x14ac:dyDescent="0.3">
      <c r="A13" s="28" t="s">
        <v>47</v>
      </c>
      <c r="B13" s="72"/>
      <c r="C13" s="74"/>
      <c r="D13" s="71"/>
      <c r="E13" s="72"/>
      <c r="F13" s="72"/>
      <c r="G13" s="71"/>
      <c r="H13" s="77"/>
      <c r="I13" s="77"/>
      <c r="J13" s="76"/>
      <c r="K13" s="75"/>
      <c r="L13" s="75"/>
      <c r="M13" s="71"/>
      <c r="N13" s="72"/>
      <c r="O13" s="72"/>
      <c r="P13" s="72"/>
      <c r="Q13" s="74"/>
      <c r="R13" s="72"/>
      <c r="S13" s="72"/>
      <c r="T13" s="72"/>
      <c r="U13" s="72"/>
      <c r="V13" s="71"/>
      <c r="W13" s="71"/>
      <c r="X13" s="73"/>
      <c r="Y13" s="72"/>
      <c r="Z13" s="72"/>
      <c r="AA13" s="72"/>
      <c r="AB13" s="71"/>
      <c r="AC13" s="71"/>
      <c r="AD13" s="72"/>
      <c r="AE13" s="72"/>
      <c r="AF13" s="72"/>
      <c r="AG13" s="72"/>
      <c r="AH13" s="71"/>
      <c r="AI13" s="71"/>
      <c r="AJ13" s="72"/>
      <c r="AK13" s="72"/>
      <c r="AL13" s="72"/>
      <c r="AM13" s="72"/>
      <c r="AN13" s="71"/>
      <c r="AO13" s="71"/>
      <c r="AP13" s="72"/>
      <c r="AQ13" s="72"/>
      <c r="AR13" s="72"/>
      <c r="AS13" s="72"/>
      <c r="AT13" s="71"/>
    </row>
    <row r="14" spans="1:46" x14ac:dyDescent="0.3">
      <c r="A14" s="70" t="s">
        <v>46</v>
      </c>
      <c r="B14" s="4">
        <v>292</v>
      </c>
      <c r="C14" s="10">
        <v>288</v>
      </c>
      <c r="D14" s="24">
        <v>317</v>
      </c>
      <c r="E14" s="4">
        <v>298</v>
      </c>
      <c r="F14" s="4">
        <v>287</v>
      </c>
      <c r="G14" s="1">
        <f>+'[4]Requerimiento Inbound'!$FF$4</f>
        <v>317</v>
      </c>
      <c r="H14" s="4">
        <v>272</v>
      </c>
      <c r="I14" s="4">
        <v>270</v>
      </c>
      <c r="J14" s="1">
        <f>+'[4]Requerimiento Inbound'!$FF$4</f>
        <v>317</v>
      </c>
      <c r="K14" s="4">
        <v>280</v>
      </c>
      <c r="L14" s="4">
        <v>267</v>
      </c>
      <c r="M14" s="1">
        <f>+'[4]Requerimiento Inbound'!$FF$4</f>
        <v>317</v>
      </c>
      <c r="N14" s="4">
        <v>287</v>
      </c>
      <c r="O14" s="4">
        <v>276</v>
      </c>
      <c r="P14" s="4">
        <v>317</v>
      </c>
      <c r="Q14" s="10">
        <v>276</v>
      </c>
      <c r="R14" s="4">
        <v>300</v>
      </c>
      <c r="S14" s="4">
        <v>299</v>
      </c>
      <c r="T14" s="4">
        <v>303</v>
      </c>
      <c r="U14" s="12">
        <f>+IFERROR(R14/T14,"")</f>
        <v>0.99009900990099009</v>
      </c>
      <c r="V14" s="22">
        <f>+R14*(1-[1]TASA_ROTACION!L82)</f>
        <v>285.95491318615052</v>
      </c>
      <c r="W14" s="1"/>
      <c r="X14" s="69">
        <f>+V14+V17</f>
        <v>321.05491318615054</v>
      </c>
      <c r="Y14" s="4"/>
      <c r="Z14" s="4">
        <v>280</v>
      </c>
      <c r="AA14" s="12">
        <f>+IFERROR(X14/Z14,"")</f>
        <v>1.1466246899505377</v>
      </c>
      <c r="AB14" s="22">
        <f>+X14*(1-[1]TASA_ROTACION!N82)</f>
        <v>302.16855721673852</v>
      </c>
      <c r="AC14" s="1"/>
      <c r="AD14" s="38">
        <f>+AB14+AB17</f>
        <v>322.1935572167385</v>
      </c>
      <c r="AE14" s="4"/>
      <c r="AF14" s="4">
        <f>+_xlfn.XLOOKUP(A14,'[3]REQUERIMIENTO INBOUND'!B:B,'[3]REQUERIMIENTO INBOUND'!AE:AE,"",0)</f>
        <v>238</v>
      </c>
      <c r="AG14" s="12">
        <f>+IFERROR(AD14/AF14,"")</f>
        <v>1.3537544420871366</v>
      </c>
      <c r="AH14" s="22">
        <f>+AD14*(1-[1]TASA_ROTACION!P82)</f>
        <v>307.45133013591408</v>
      </c>
      <c r="AI14" s="1"/>
      <c r="AJ14" s="38">
        <f>+AH14+AH17</f>
        <v>318.8385241359141</v>
      </c>
      <c r="AK14" s="4"/>
      <c r="AL14" s="4">
        <f>+_xlfn.XLOOKUP(A14,'[3]REQUERIMIENTO INBOUND'!B:B,'[3]REQUERIMIENTO INBOUND'!AI:AI,"",0)</f>
        <v>221</v>
      </c>
      <c r="AM14" s="12">
        <f>+IFERROR(AJ14/AL14,"")</f>
        <v>1.4427082540086611</v>
      </c>
      <c r="AN14" s="22">
        <f>+AJ14*(1-[1]TASA_ROTACION!AG82)</f>
        <v>318.8385241359141</v>
      </c>
      <c r="AO14" s="1"/>
      <c r="AP14" s="38">
        <f>+AN14+AN17</f>
        <v>329.22549163591412</v>
      </c>
      <c r="AQ14" s="4"/>
      <c r="AR14" s="4">
        <f>+[2]Capacity!$AM$13</f>
        <v>196</v>
      </c>
      <c r="AS14" s="12">
        <f>+IFERROR(AP14/AR14,"")</f>
        <v>1.6797218961016027</v>
      </c>
      <c r="AT14" s="22">
        <f>+AP14*(1-[1]TASA_ROTACION!AN82)</f>
        <v>329.22549163591412</v>
      </c>
    </row>
    <row r="15" spans="1:46" x14ac:dyDescent="0.3">
      <c r="A15" s="68" t="s">
        <v>45</v>
      </c>
      <c r="B15" s="4">
        <v>21</v>
      </c>
      <c r="C15" s="10">
        <v>21</v>
      </c>
      <c r="D15" s="24">
        <v>21</v>
      </c>
      <c r="E15" s="4">
        <v>21</v>
      </c>
      <c r="F15" s="4">
        <v>21</v>
      </c>
      <c r="G15" s="1">
        <f>+'[4]Requerimiento Inbound'!$FF$24</f>
        <v>21</v>
      </c>
      <c r="H15" s="4">
        <v>22</v>
      </c>
      <c r="I15" s="4">
        <v>22</v>
      </c>
      <c r="J15" s="1">
        <f>+'[4]Requerimiento Inbound'!$FF$24</f>
        <v>21</v>
      </c>
      <c r="K15" s="4">
        <v>22</v>
      </c>
      <c r="L15" s="4">
        <v>21</v>
      </c>
      <c r="M15" s="1">
        <f>+'[4]Requerimiento Inbound'!$FF$24</f>
        <v>21</v>
      </c>
      <c r="N15" s="4">
        <v>21</v>
      </c>
      <c r="O15" s="4">
        <v>20</v>
      </c>
      <c r="P15" s="4">
        <v>21</v>
      </c>
      <c r="Q15" s="10">
        <v>20</v>
      </c>
      <c r="R15" s="4">
        <v>21</v>
      </c>
      <c r="S15" s="4">
        <v>21</v>
      </c>
      <c r="T15" s="4">
        <v>21</v>
      </c>
      <c r="U15" s="12">
        <f>+IFERROR(R15/T15,"")</f>
        <v>1</v>
      </c>
      <c r="V15" s="1">
        <v>20</v>
      </c>
      <c r="W15" s="1"/>
      <c r="X15" s="53">
        <f>+V15</f>
        <v>20</v>
      </c>
      <c r="Y15" s="4"/>
      <c r="Z15" s="4">
        <v>21</v>
      </c>
      <c r="AA15" s="12">
        <f>+IFERROR(X15/Z15,"")</f>
        <v>0.95238095238095233</v>
      </c>
      <c r="AB15" s="1">
        <v>20</v>
      </c>
      <c r="AC15" s="1"/>
      <c r="AD15" s="4">
        <f>+AB15</f>
        <v>20</v>
      </c>
      <c r="AE15" s="4"/>
      <c r="AF15" s="4">
        <f>+_xlfn.XLOOKUP(A15,'[3]REQUERIMIENTO INBOUND'!B:B,'[3]REQUERIMIENTO INBOUND'!AE:AE,"",0)</f>
        <v>21</v>
      </c>
      <c r="AG15" s="12">
        <f>+IFERROR(AD15/AF15,"")</f>
        <v>0.95238095238095233</v>
      </c>
      <c r="AH15" s="1">
        <v>20</v>
      </c>
      <c r="AI15" s="1"/>
      <c r="AJ15" s="3">
        <f>+AH15</f>
        <v>20</v>
      </c>
      <c r="AK15" s="4"/>
      <c r="AL15" s="4">
        <f>+_xlfn.XLOOKUP(A15,'[3]REQUERIMIENTO INBOUND'!B:B,'[3]REQUERIMIENTO INBOUND'!AI:AI,"",0)</f>
        <v>21</v>
      </c>
      <c r="AM15" s="12">
        <f>+IFERROR(AJ15/AL15,"")</f>
        <v>0.95238095238095233</v>
      </c>
      <c r="AN15" s="1">
        <v>20</v>
      </c>
      <c r="AO15" s="1"/>
      <c r="AP15" s="3">
        <f>+AN15</f>
        <v>20</v>
      </c>
      <c r="AQ15" s="4"/>
      <c r="AR15" s="4">
        <f>+[2]Capacity!$AM$14</f>
        <v>21</v>
      </c>
      <c r="AS15" s="12">
        <f>+IFERROR(AP15/AR15,"")</f>
        <v>0.95238095238095233</v>
      </c>
      <c r="AT15" s="1">
        <v>20</v>
      </c>
    </row>
    <row r="16" spans="1:46" x14ac:dyDescent="0.3">
      <c r="A16" s="66" t="s">
        <v>44</v>
      </c>
      <c r="B16" s="46">
        <v>50</v>
      </c>
      <c r="C16" s="49">
        <v>50</v>
      </c>
      <c r="D16" s="65">
        <v>91</v>
      </c>
      <c r="E16" s="46">
        <v>66</v>
      </c>
      <c r="F16" s="46">
        <v>61</v>
      </c>
      <c r="G16" s="64">
        <f>+'[4]Requerimiento Inbound'!$FF$5</f>
        <v>91</v>
      </c>
      <c r="H16" s="46">
        <v>80</v>
      </c>
      <c r="I16" s="46">
        <v>79</v>
      </c>
      <c r="J16" s="64">
        <f>+'[4]Requerimiento Inbound'!$FF$5</f>
        <v>91</v>
      </c>
      <c r="K16" s="46">
        <v>68</v>
      </c>
      <c r="L16" s="46">
        <v>67</v>
      </c>
      <c r="M16" s="64">
        <f>+'[4]Requerimiento Inbound'!$FF$5</f>
        <v>91</v>
      </c>
      <c r="N16" s="46">
        <v>62</v>
      </c>
      <c r="O16" s="46">
        <v>57</v>
      </c>
      <c r="P16" s="67">
        <v>91</v>
      </c>
      <c r="Q16" s="49">
        <v>57</v>
      </c>
      <c r="R16" s="46">
        <v>43</v>
      </c>
      <c r="S16" s="46">
        <v>43</v>
      </c>
      <c r="T16" s="46">
        <v>127</v>
      </c>
      <c r="U16" s="45">
        <f>+(R16+R17)/T16</f>
        <v>0.59055118110236215</v>
      </c>
      <c r="V16" s="63">
        <f>+Hoja2!G5+Hoja2!G6</f>
        <v>39.54</v>
      </c>
      <c r="W16" s="44"/>
      <c r="X16" s="47">
        <f>+V16-X17+V6</f>
        <v>37.53</v>
      </c>
      <c r="Y16" s="46"/>
      <c r="Z16" s="46">
        <v>110</v>
      </c>
      <c r="AA16" s="45">
        <f>+IFERROR((X16+X17)/Z16,"")</f>
        <v>0.54345454545454541</v>
      </c>
      <c r="AB16" s="63">
        <f>+Hoja2!K5+Hoja2!K6</f>
        <v>33.8065</v>
      </c>
      <c r="AC16" s="44"/>
      <c r="AD16" s="47">
        <f>+AB16+AB7-AD17</f>
        <v>38.0184</v>
      </c>
      <c r="AE16" s="46"/>
      <c r="AF16" s="46">
        <f>+_xlfn.XLOOKUP(A16,'[3]REQUERIMIENTO INBOUND'!B:B,'[3]REQUERIMIENTO INBOUND'!AE:AE,"",0)</f>
        <v>94</v>
      </c>
      <c r="AG16" s="45">
        <f>+IFERROR((AD16+AD17)/AF16,"")</f>
        <v>0.56815425531914898</v>
      </c>
      <c r="AH16" s="63">
        <f>+AD16*(1-[1]TASA_ROTACION!Z93)</f>
        <v>38.0184</v>
      </c>
      <c r="AI16" s="44"/>
      <c r="AJ16" s="47">
        <f>+AH16+AH6-AJ17</f>
        <v>41.809110000000004</v>
      </c>
      <c r="AK16" s="46"/>
      <c r="AL16" s="46">
        <f>+_xlfn.XLOOKUP(A16,'[3]REQUERIMIENTO INBOUND'!B:B,'[3]REQUERIMIENTO INBOUND'!AI:AI,"",0)</f>
        <v>85</v>
      </c>
      <c r="AM16" s="45">
        <f>+IFERROR((AJ16+AJ17)/AL16,"")</f>
        <v>0.65480470588235296</v>
      </c>
      <c r="AN16" s="63">
        <f>+AJ16*(1-[1]TASA_ROTACION!AG93)</f>
        <v>41.809110000000004</v>
      </c>
      <c r="AO16" s="44"/>
      <c r="AP16" s="47">
        <f>+AN16+AN6-AP17</f>
        <v>46.984749000000008</v>
      </c>
      <c r="AQ16" s="46"/>
      <c r="AR16" s="46">
        <f>+[2]Capacity!$AM$11</f>
        <v>77</v>
      </c>
      <c r="AS16" s="45">
        <f>+IFERROR((AP16+AP17)/AR16,"")</f>
        <v>0.77206636363636372</v>
      </c>
      <c r="AT16" s="63">
        <f>+AP16*(1-[1]TASA_ROTACION!AN93)</f>
        <v>46.984749000000008</v>
      </c>
    </row>
    <row r="17" spans="1:46" x14ac:dyDescent="0.3">
      <c r="A17" s="66" t="s">
        <v>43</v>
      </c>
      <c r="B17" s="46">
        <v>68</v>
      </c>
      <c r="C17" s="49">
        <v>62</v>
      </c>
      <c r="D17" s="65"/>
      <c r="E17" s="46">
        <v>37</v>
      </c>
      <c r="F17" s="46">
        <v>34</v>
      </c>
      <c r="G17" s="64"/>
      <c r="H17" s="46">
        <v>30</v>
      </c>
      <c r="I17" s="46">
        <v>26</v>
      </c>
      <c r="J17" s="64"/>
      <c r="K17" s="46">
        <v>42</v>
      </c>
      <c r="L17" s="46">
        <v>39</v>
      </c>
      <c r="M17" s="64"/>
      <c r="N17" s="46">
        <v>29</v>
      </c>
      <c r="O17" s="46">
        <v>26</v>
      </c>
      <c r="P17" s="46"/>
      <c r="Q17" s="49">
        <v>26</v>
      </c>
      <c r="R17" s="46">
        <v>32</v>
      </c>
      <c r="S17" s="46">
        <v>30</v>
      </c>
      <c r="T17" s="46" t="s">
        <v>42</v>
      </c>
      <c r="U17" s="45" t="str">
        <f>+IFERROR(R17/T17,"")</f>
        <v/>
      </c>
      <c r="V17" s="63">
        <f>+Hoja2!G7</f>
        <v>35.1</v>
      </c>
      <c r="W17" s="44"/>
      <c r="X17" s="47">
        <f>+Hoja2!J7</f>
        <v>22.25</v>
      </c>
      <c r="Y17" s="46"/>
      <c r="Z17" s="46"/>
      <c r="AA17" s="45" t="str">
        <f>+IFERROR(X17/Z17,"")</f>
        <v/>
      </c>
      <c r="AB17" s="63">
        <f>+Hoja2!K7</f>
        <v>20.025000000000002</v>
      </c>
      <c r="AC17" s="44"/>
      <c r="AD17" s="47">
        <f>Hoja2!N7</f>
        <v>15.3881</v>
      </c>
      <c r="AE17" s="46"/>
      <c r="AF17" s="46"/>
      <c r="AG17" s="45" t="str">
        <f>+IFERROR(AD17/AF17,"")</f>
        <v/>
      </c>
      <c r="AH17" s="63">
        <f>+AD17*0.74</f>
        <v>11.387193999999999</v>
      </c>
      <c r="AI17" s="44"/>
      <c r="AJ17" s="47">
        <f>Hoja2!R7</f>
        <v>13.84929</v>
      </c>
      <c r="AK17" s="46"/>
      <c r="AL17" s="46" t="str">
        <f>+_xlfn.XLOOKUP(A17,'[3]REQUERIMIENTO INBOUND'!B:B,'[3]REQUERIMIENTO INBOUND'!AI:AI,"",0)</f>
        <v/>
      </c>
      <c r="AM17" s="45" t="str">
        <f>+IFERROR(AJ17/AL17,"")</f>
        <v/>
      </c>
      <c r="AN17" s="63">
        <f>+AJ17*0.75</f>
        <v>10.386967500000001</v>
      </c>
      <c r="AO17" s="44"/>
      <c r="AP17" s="47">
        <f>Hoja2!V7</f>
        <v>12.464361</v>
      </c>
      <c r="AQ17" s="46"/>
      <c r="AR17" s="46">
        <f>+_xlfn.XLOOKUP(H17,'[3]REQUERIMIENTO INBOUND'!I:I,'[3]REQUERIMIENTO INBOUND'!AP:AP,"",0)</f>
        <v>0</v>
      </c>
      <c r="AS17" s="45" t="str">
        <f>+IFERROR(AP17/AR17,"")</f>
        <v/>
      </c>
      <c r="AT17" s="63">
        <f>+AP17*0.74</f>
        <v>9.2236271399999996</v>
      </c>
    </row>
    <row r="18" spans="1:46" x14ac:dyDescent="0.3">
      <c r="A18" s="62" t="s">
        <v>41</v>
      </c>
      <c r="B18" s="3">
        <v>2</v>
      </c>
      <c r="C18" s="61">
        <v>2</v>
      </c>
      <c r="D18" s="24">
        <v>0</v>
      </c>
      <c r="E18" s="3">
        <v>2</v>
      </c>
      <c r="F18" s="3">
        <v>2</v>
      </c>
      <c r="G18" s="1">
        <f>+'[4]Requerimiento Inbound'!$FF$12</f>
        <v>0</v>
      </c>
      <c r="H18" s="3">
        <v>12</v>
      </c>
      <c r="I18" s="3">
        <v>12</v>
      </c>
      <c r="J18" s="1">
        <f>+'[4]Requerimiento Inbound'!$FF$12</f>
        <v>0</v>
      </c>
      <c r="K18" s="3">
        <v>12</v>
      </c>
      <c r="L18" s="3">
        <v>12</v>
      </c>
      <c r="M18" s="1">
        <f>+'[4]Requerimiento Inbound'!$FF$12</f>
        <v>0</v>
      </c>
      <c r="N18" s="3">
        <v>12</v>
      </c>
      <c r="O18" s="3">
        <v>9</v>
      </c>
      <c r="P18" s="4">
        <v>0</v>
      </c>
      <c r="Q18" s="61">
        <v>9</v>
      </c>
      <c r="R18" s="3">
        <v>0</v>
      </c>
      <c r="S18" s="3">
        <v>0</v>
      </c>
      <c r="T18" s="4">
        <v>0</v>
      </c>
      <c r="U18" s="12" t="str">
        <f>+IFERROR(R18/T18,"")</f>
        <v/>
      </c>
      <c r="V18" s="22">
        <f>+R18</f>
        <v>0</v>
      </c>
      <c r="W18" s="1"/>
      <c r="X18" s="53">
        <f>+V18</f>
        <v>0</v>
      </c>
      <c r="Y18" s="4"/>
      <c r="Z18" s="4">
        <v>0</v>
      </c>
      <c r="AA18" s="12" t="str">
        <f>+IFERROR(X18/Z18,"")</f>
        <v/>
      </c>
      <c r="AB18" s="22">
        <f>+X18</f>
        <v>0</v>
      </c>
      <c r="AC18" s="1"/>
      <c r="AD18" s="3">
        <f>+AB18</f>
        <v>0</v>
      </c>
      <c r="AE18" s="4"/>
      <c r="AF18" s="4">
        <f>+_xlfn.XLOOKUP(A18,'[3]REQUERIMIENTO INBOUND'!B:B,'[3]REQUERIMIENTO INBOUND'!AE:AE,"",0)</f>
        <v>0</v>
      </c>
      <c r="AG18" s="12" t="str">
        <f>+IFERROR(AD18/AF18,"")</f>
        <v/>
      </c>
      <c r="AH18" s="22">
        <f>+AD18</f>
        <v>0</v>
      </c>
      <c r="AI18" s="1"/>
      <c r="AJ18" s="3">
        <f>+AH18</f>
        <v>0</v>
      </c>
      <c r="AK18" s="4"/>
      <c r="AL18" s="4">
        <f>+_xlfn.XLOOKUP(A18,'[3]REQUERIMIENTO INBOUND'!B:B,'[3]REQUERIMIENTO INBOUND'!AI:AI,"",0)</f>
        <v>0</v>
      </c>
      <c r="AM18" s="12" t="str">
        <f>+IFERROR(AJ18/AL18,"")</f>
        <v/>
      </c>
      <c r="AN18" s="22">
        <f>+AJ18</f>
        <v>0</v>
      </c>
      <c r="AO18" s="1"/>
      <c r="AP18" s="3">
        <f>+AN18</f>
        <v>0</v>
      </c>
      <c r="AQ18" s="4"/>
      <c r="AR18" s="4">
        <f>+_xlfn.XLOOKUP(H18,'[3]REQUERIMIENTO INBOUND'!I:I,'[3]REQUERIMIENTO INBOUND'!AP:AP,"",0)</f>
        <v>0</v>
      </c>
      <c r="AS18" s="12" t="str">
        <f>+IFERROR(AP18/AR18,"")</f>
        <v/>
      </c>
      <c r="AT18" s="22">
        <f>+AP18</f>
        <v>0</v>
      </c>
    </row>
    <row r="19" spans="1:46" x14ac:dyDescent="0.3">
      <c r="A19" s="21" t="s">
        <v>12</v>
      </c>
      <c r="B19" s="16">
        <f>+SUM(B14:B18)</f>
        <v>433</v>
      </c>
      <c r="C19" s="33">
        <f>+SUM(C14:C18)</f>
        <v>423</v>
      </c>
      <c r="D19" s="60">
        <f>+SUM(D14:D18)</f>
        <v>429</v>
      </c>
      <c r="E19" s="16">
        <f>+SUM(E14:E18)</f>
        <v>424</v>
      </c>
      <c r="F19" s="16">
        <f>+SUM(F14:F18)</f>
        <v>405</v>
      </c>
      <c r="G19" s="16">
        <f>+SUM(G14:G18)</f>
        <v>429</v>
      </c>
      <c r="H19" s="16">
        <f>+SUM(H14:H18)</f>
        <v>416</v>
      </c>
      <c r="I19" s="16">
        <f>+SUM(I14:I18)</f>
        <v>409</v>
      </c>
      <c r="J19" s="33">
        <f>+SUM(J14:J18)</f>
        <v>429</v>
      </c>
      <c r="K19" s="16">
        <f>+SUM(K14:K18)</f>
        <v>424</v>
      </c>
      <c r="L19" s="16">
        <f>+SUM(L14:L18)</f>
        <v>406</v>
      </c>
      <c r="M19" s="14">
        <f>+SUM(M14:M18)</f>
        <v>429</v>
      </c>
      <c r="N19" s="16">
        <f>+SUM(N14:N18)</f>
        <v>411</v>
      </c>
      <c r="O19" s="16">
        <f>+SUM(O14:O18)</f>
        <v>388</v>
      </c>
      <c r="P19" s="59">
        <f>+SUM(P14:P18)</f>
        <v>429</v>
      </c>
      <c r="Q19" s="58">
        <f>+SUM(Q14:Q18)</f>
        <v>388</v>
      </c>
      <c r="R19" s="16">
        <f>+SUM(R14:R18)</f>
        <v>396</v>
      </c>
      <c r="S19" s="16">
        <f>+SUM(S14:S18)</f>
        <v>393</v>
      </c>
      <c r="T19" s="15">
        <f>+SUM(T14:T18)</f>
        <v>451</v>
      </c>
      <c r="U19" s="18">
        <f>+R19/T19</f>
        <v>0.87804878048780488</v>
      </c>
      <c r="V19" s="33">
        <f>+SUM(V14:V18)</f>
        <v>380.59491318615056</v>
      </c>
      <c r="W19" s="17"/>
      <c r="X19" s="16">
        <f>+SUM(X14:X18)</f>
        <v>400.83491318615052</v>
      </c>
      <c r="Y19" s="15">
        <f>+SUM(Y14:Y15)</f>
        <v>0</v>
      </c>
      <c r="Z19" s="15">
        <f>+SUM(Z14:Z18)</f>
        <v>411</v>
      </c>
      <c r="AA19" s="18">
        <f>X19/Z19</f>
        <v>0.97526742867676519</v>
      </c>
      <c r="AB19" s="33">
        <f>+SUM(AB14:AB17)</f>
        <v>376.00005721673847</v>
      </c>
      <c r="AC19" s="17"/>
      <c r="AD19" s="16">
        <f>+SUM(AD14:AD18)</f>
        <v>395.60005721673849</v>
      </c>
      <c r="AE19" s="15">
        <f>+SUM(AE14:AE18)</f>
        <v>0</v>
      </c>
      <c r="AF19" s="15">
        <f>+SUM(AF14:AF18)</f>
        <v>353</v>
      </c>
      <c r="AG19" s="18">
        <f>+AD19/AF19</f>
        <v>1.1206800487726303</v>
      </c>
      <c r="AH19" s="33">
        <f>+SUM(AH14:AH15)</f>
        <v>327.45133013591408</v>
      </c>
      <c r="AI19" s="17"/>
      <c r="AJ19" s="16">
        <f>ROUNDUP(+SUM(AJ14:AJ18),0)</f>
        <v>395</v>
      </c>
      <c r="AK19" s="15"/>
      <c r="AL19" s="15">
        <f>+SUM(AL14:AL18)</f>
        <v>327</v>
      </c>
      <c r="AM19" s="18">
        <f>AJ19/AL19</f>
        <v>1.2079510703363914</v>
      </c>
      <c r="AN19" s="16">
        <f>+SUM(AN14:AN18)</f>
        <v>391.03460163591416</v>
      </c>
      <c r="AO19" s="17"/>
      <c r="AP19" s="16">
        <f>ROUNDUP(+SUM(AP14:AP18),0)</f>
        <v>409</v>
      </c>
      <c r="AQ19" s="15"/>
      <c r="AR19" s="15">
        <f>+SUM(AR14:AR18)</f>
        <v>294</v>
      </c>
      <c r="AS19" s="18">
        <f>AP19/AR19</f>
        <v>1.3911564625850341</v>
      </c>
      <c r="AT19" s="16">
        <f>+SUM(AT14:AT18)</f>
        <v>405.43386777591417</v>
      </c>
    </row>
    <row r="20" spans="1:46" x14ac:dyDescent="0.3">
      <c r="A20" s="13" t="s">
        <v>11</v>
      </c>
      <c r="B20" s="4"/>
      <c r="C20" s="10"/>
      <c r="D20" s="57">
        <f>B19/D19</f>
        <v>1.0093240093240092</v>
      </c>
      <c r="E20" s="4"/>
      <c r="F20" s="4"/>
      <c r="G20" s="56">
        <f>E19/G19</f>
        <v>0.9883449883449883</v>
      </c>
      <c r="H20" s="4"/>
      <c r="I20" s="4"/>
      <c r="J20" s="56">
        <f>H19/J19</f>
        <v>0.96969696969696972</v>
      </c>
      <c r="K20" s="5"/>
      <c r="L20" s="5"/>
      <c r="M20" s="56">
        <f>K19/M19</f>
        <v>0.9883449883449883</v>
      </c>
      <c r="N20" s="4"/>
      <c r="O20" s="4"/>
      <c r="P20" s="12">
        <f>+N19/P19</f>
        <v>0.95804195804195802</v>
      </c>
      <c r="Q20" s="10"/>
      <c r="R20" s="4"/>
      <c r="S20" s="4"/>
      <c r="T20" s="4"/>
      <c r="U20" s="4"/>
      <c r="V20" s="1"/>
      <c r="W20" s="1"/>
      <c r="X20" s="43"/>
      <c r="Y20" s="4"/>
      <c r="Z20" s="4"/>
      <c r="AA20" s="4"/>
      <c r="AB20" s="1"/>
      <c r="AC20" s="1"/>
      <c r="AD20" s="4"/>
      <c r="AE20" s="4"/>
      <c r="AF20" s="4"/>
      <c r="AG20" s="4"/>
      <c r="AH20" s="1"/>
      <c r="AI20" s="1"/>
      <c r="AJ20" s="4"/>
      <c r="AK20" s="4"/>
      <c r="AL20" s="4"/>
      <c r="AM20" s="4"/>
      <c r="AN20" s="1"/>
      <c r="AO20" s="1"/>
      <c r="AP20" s="4"/>
      <c r="AQ20" s="4"/>
      <c r="AR20" s="4"/>
      <c r="AS20" s="4"/>
      <c r="AT20" s="1"/>
    </row>
    <row r="21" spans="1:46" x14ac:dyDescent="0.3">
      <c r="A21" s="5"/>
      <c r="B21" s="4"/>
      <c r="C21" s="10"/>
      <c r="D21" s="24"/>
      <c r="E21" s="4"/>
      <c r="F21" s="4"/>
      <c r="G21" s="1"/>
      <c r="H21" s="4"/>
      <c r="I21" s="4"/>
      <c r="J21" s="1"/>
      <c r="K21" s="5"/>
      <c r="L21" s="5"/>
      <c r="M21" s="1"/>
      <c r="N21" s="4"/>
      <c r="O21" s="4"/>
      <c r="P21" s="4"/>
      <c r="Q21" s="10"/>
      <c r="R21" s="4"/>
      <c r="S21" s="4"/>
      <c r="T21" s="4"/>
      <c r="U21" s="4"/>
      <c r="V21" s="1"/>
      <c r="W21" s="1"/>
      <c r="X21" s="43"/>
      <c r="Y21" s="4"/>
      <c r="Z21" s="4"/>
      <c r="AA21" s="4"/>
      <c r="AB21" s="1"/>
      <c r="AC21" s="1"/>
      <c r="AD21" s="4"/>
      <c r="AE21" s="4"/>
      <c r="AF21" s="4"/>
      <c r="AG21" s="4"/>
      <c r="AH21" s="1"/>
      <c r="AI21" s="1"/>
      <c r="AJ21" s="4"/>
      <c r="AK21" s="4"/>
      <c r="AL21" s="4"/>
      <c r="AM21" s="4"/>
      <c r="AN21" s="1"/>
      <c r="AO21" s="1"/>
      <c r="AP21" s="4"/>
      <c r="AQ21" s="4"/>
      <c r="AR21" s="4"/>
      <c r="AS21" s="4"/>
      <c r="AT21" s="1"/>
    </row>
    <row r="22" spans="1:46" x14ac:dyDescent="0.3">
      <c r="A22" s="5"/>
      <c r="B22" s="4"/>
      <c r="C22" s="10"/>
      <c r="D22" s="24"/>
      <c r="E22" s="4"/>
      <c r="F22" s="4"/>
      <c r="G22" s="1"/>
      <c r="H22" s="4"/>
      <c r="I22" s="4"/>
      <c r="J22" s="1"/>
      <c r="K22" s="5"/>
      <c r="L22" s="5"/>
      <c r="M22" s="1"/>
      <c r="N22" s="4"/>
      <c r="O22" s="4"/>
      <c r="P22" s="4"/>
      <c r="Q22" s="10"/>
      <c r="R22" s="4"/>
      <c r="S22" s="4"/>
      <c r="T22" s="4"/>
      <c r="U22" s="4"/>
      <c r="V22" s="1"/>
      <c r="W22" s="1"/>
      <c r="X22" s="43"/>
      <c r="Y22" s="4"/>
      <c r="Z22" s="4"/>
      <c r="AA22" s="4"/>
      <c r="AB22" s="1"/>
      <c r="AC22" s="1"/>
      <c r="AD22" s="4"/>
      <c r="AE22" s="4"/>
      <c r="AF22" s="4"/>
      <c r="AG22" s="4"/>
      <c r="AH22" s="1"/>
      <c r="AI22" s="1"/>
      <c r="AJ22" s="4"/>
      <c r="AK22" s="4"/>
      <c r="AL22" s="4"/>
      <c r="AM22" s="4"/>
      <c r="AN22" s="1"/>
      <c r="AO22" s="1"/>
      <c r="AP22" s="4"/>
      <c r="AQ22" s="4"/>
      <c r="AR22" s="4"/>
      <c r="AS22" s="4"/>
      <c r="AT22" s="1"/>
    </row>
    <row r="23" spans="1:46" ht="28.8" x14ac:dyDescent="0.3">
      <c r="A23" s="28" t="s">
        <v>40</v>
      </c>
      <c r="B23" s="28" t="str">
        <f>+B12</f>
        <v>INI-ENE</v>
      </c>
      <c r="C23" s="30" t="str">
        <f>+C12</f>
        <v>REAL-ENE</v>
      </c>
      <c r="D23" s="31" t="s">
        <v>35</v>
      </c>
      <c r="E23" s="28" t="str">
        <f>+E12</f>
        <v>INI-FEB</v>
      </c>
      <c r="F23" s="28" t="str">
        <f>+F12</f>
        <v>REAL-FEB</v>
      </c>
      <c r="G23" s="29" t="s">
        <v>35</v>
      </c>
      <c r="H23" s="28" t="str">
        <f>+H12</f>
        <v>INI-MAR</v>
      </c>
      <c r="I23" s="28" t="str">
        <f>+I12</f>
        <v>REAL-MAR</v>
      </c>
      <c r="J23" s="29" t="s">
        <v>35</v>
      </c>
      <c r="K23" s="28" t="str">
        <f>+K12</f>
        <v>INI-ABR</v>
      </c>
      <c r="L23" s="28" t="str">
        <f>+L12</f>
        <v>REAL-ABR</v>
      </c>
      <c r="M23" s="29" t="s">
        <v>35</v>
      </c>
      <c r="N23" s="28" t="s">
        <v>39</v>
      </c>
      <c r="O23" s="28" t="s">
        <v>38</v>
      </c>
      <c r="P23" s="28" t="s">
        <v>35</v>
      </c>
      <c r="Q23" s="30" t="s">
        <v>36</v>
      </c>
      <c r="R23" s="28" t="str">
        <f>+R12</f>
        <v>INI-JUN</v>
      </c>
      <c r="S23" s="28" t="s">
        <v>48</v>
      </c>
      <c r="T23" s="28" t="s">
        <v>35</v>
      </c>
      <c r="U23" s="28" t="s">
        <v>34</v>
      </c>
      <c r="V23" s="27" t="str">
        <f>+V12</f>
        <v>FORECAST CIERRE</v>
      </c>
      <c r="W23" s="29" t="s">
        <v>36</v>
      </c>
      <c r="X23" s="54" t="str">
        <f>+X12</f>
        <v>INI-JUL</v>
      </c>
      <c r="Y23" s="28" t="str">
        <f>+Y12</f>
        <v>REAL-JUL</v>
      </c>
      <c r="Z23" s="28" t="s">
        <v>35</v>
      </c>
      <c r="AA23" s="28" t="s">
        <v>34</v>
      </c>
      <c r="AB23" s="27" t="str">
        <f>+AB12</f>
        <v>FORECAST CIERRE</v>
      </c>
      <c r="AC23" s="29" t="s">
        <v>36</v>
      </c>
      <c r="AD23" s="28" t="str">
        <f>+AD12</f>
        <v>INI-AGO</v>
      </c>
      <c r="AE23" s="28" t="str">
        <f>+AE12</f>
        <v>REAL-JUN</v>
      </c>
      <c r="AF23" s="28" t="s">
        <v>35</v>
      </c>
      <c r="AG23" s="28" t="s">
        <v>34</v>
      </c>
      <c r="AH23" s="27" t="str">
        <f>+AH12</f>
        <v>FORECAST CIERRE</v>
      </c>
      <c r="AI23" s="29" t="s">
        <v>36</v>
      </c>
      <c r="AJ23" s="28" t="str">
        <f>+AJ12</f>
        <v>INI-SEP</v>
      </c>
      <c r="AK23" s="28" t="str">
        <f>+AK12</f>
        <v>REAL-JUN</v>
      </c>
      <c r="AL23" s="28" t="s">
        <v>35</v>
      </c>
      <c r="AM23" s="28" t="s">
        <v>34</v>
      </c>
      <c r="AN23" s="27" t="str">
        <f>+AN12</f>
        <v>FORECAST CIERRE</v>
      </c>
      <c r="AO23" s="29" t="s">
        <v>36</v>
      </c>
      <c r="AP23" s="28" t="str">
        <f>+AP12</f>
        <v>INI-OCT</v>
      </c>
      <c r="AQ23" s="28" t="str">
        <f>+AQ12</f>
        <v>REAL-JUN</v>
      </c>
      <c r="AR23" s="28" t="s">
        <v>35</v>
      </c>
      <c r="AS23" s="28" t="s">
        <v>34</v>
      </c>
      <c r="AT23" s="27" t="str">
        <f>+AT12</f>
        <v>FORECAST CIERRE</v>
      </c>
    </row>
    <row r="24" spans="1:46" x14ac:dyDescent="0.3">
      <c r="A24" s="26" t="s">
        <v>33</v>
      </c>
      <c r="B24" s="4">
        <v>35</v>
      </c>
      <c r="C24" s="10">
        <v>35</v>
      </c>
      <c r="D24" s="24">
        <f>+'[4]Requerimiento Inbound'!$FF$14</f>
        <v>38</v>
      </c>
      <c r="E24" s="4">
        <v>38</v>
      </c>
      <c r="F24" s="4">
        <v>38</v>
      </c>
      <c r="G24" s="1">
        <f>+'[4]Requerimiento Inbound'!$FF$14</f>
        <v>38</v>
      </c>
      <c r="H24" s="4">
        <v>38</v>
      </c>
      <c r="I24" s="4">
        <v>38</v>
      </c>
      <c r="J24" s="1">
        <f>+'[4]Requerimiento Inbound'!$FF$14</f>
        <v>38</v>
      </c>
      <c r="K24" s="4">
        <v>38</v>
      </c>
      <c r="L24" s="4">
        <v>38</v>
      </c>
      <c r="M24" s="1">
        <f>+'[4]Requerimiento Inbound'!$FF$14</f>
        <v>38</v>
      </c>
      <c r="N24" s="4">
        <v>38</v>
      </c>
      <c r="O24" s="4">
        <v>38</v>
      </c>
      <c r="P24" s="4">
        <v>38</v>
      </c>
      <c r="Q24" s="10">
        <v>38</v>
      </c>
      <c r="R24" s="4">
        <v>38</v>
      </c>
      <c r="S24" s="4">
        <v>38</v>
      </c>
      <c r="T24" s="4">
        <v>38</v>
      </c>
      <c r="U24" s="12">
        <f>+IFERROR(R24/T24,"")</f>
        <v>1</v>
      </c>
      <c r="V24" s="1">
        <f>+R24-1</f>
        <v>37</v>
      </c>
      <c r="W24" s="1"/>
      <c r="X24" s="43">
        <f>+V24</f>
        <v>37</v>
      </c>
      <c r="Y24" s="4"/>
      <c r="Z24" s="4">
        <v>38</v>
      </c>
      <c r="AA24" s="12">
        <f>+IFERROR(X24/Z24,"")</f>
        <v>0.97368421052631582</v>
      </c>
      <c r="AB24" s="1">
        <f>+R24-1</f>
        <v>37</v>
      </c>
      <c r="AC24" s="1">
        <f>+S24-1</f>
        <v>37</v>
      </c>
      <c r="AD24" s="3">
        <f>+AB24</f>
        <v>37</v>
      </c>
      <c r="AE24" s="4"/>
      <c r="AF24" s="4">
        <f>+_xlfn.XLOOKUP(A24,'[3]REQUERIMIENTO INBOUND'!B:B,'[3]REQUERIMIENTO INBOUND'!AE:AE,"",0)</f>
        <v>38</v>
      </c>
      <c r="AG24" s="12">
        <f>+IFERROR(AD24/AF24,"")</f>
        <v>0.97368421052631582</v>
      </c>
      <c r="AH24" s="1">
        <f>+AD24-1</f>
        <v>36</v>
      </c>
      <c r="AI24" s="1"/>
      <c r="AJ24" s="3">
        <f>+AH24</f>
        <v>36</v>
      </c>
      <c r="AK24" s="4"/>
      <c r="AL24" s="4">
        <f>+_xlfn.XLOOKUP(A24,'[3]REQUERIMIENTO INBOUND'!B:B,'[3]REQUERIMIENTO INBOUND'!AI:AI,"",0)</f>
        <v>38</v>
      </c>
      <c r="AM24" s="12">
        <f>+IFERROR(AJ24/AL24,"")</f>
        <v>0.94736842105263153</v>
      </c>
      <c r="AN24" s="1">
        <f>+AJ24-1</f>
        <v>35</v>
      </c>
      <c r="AO24" s="1"/>
      <c r="AP24" s="3">
        <f>+AN24</f>
        <v>35</v>
      </c>
      <c r="AQ24" s="4"/>
      <c r="AR24" s="4">
        <f>+[2]Capacity!$AM$18</f>
        <v>39</v>
      </c>
      <c r="AS24" s="12">
        <f>+IFERROR(AP24/AR24,"")</f>
        <v>0.89743589743589747</v>
      </c>
      <c r="AT24" s="1">
        <f>+AP24-1</f>
        <v>34</v>
      </c>
    </row>
    <row r="25" spans="1:46" x14ac:dyDescent="0.3">
      <c r="A25" s="26" t="s">
        <v>32</v>
      </c>
      <c r="B25" s="4">
        <v>22</v>
      </c>
      <c r="C25" s="10">
        <v>22</v>
      </c>
      <c r="D25" s="24">
        <f>+'[4]Requerimiento Inbound'!$FF$15</f>
        <v>20</v>
      </c>
      <c r="E25" s="4">
        <v>20</v>
      </c>
      <c r="F25" s="4">
        <v>20</v>
      </c>
      <c r="G25" s="1">
        <f>+'[4]Requerimiento Inbound'!$FF$15</f>
        <v>20</v>
      </c>
      <c r="H25" s="4">
        <v>20</v>
      </c>
      <c r="I25" s="4">
        <v>20</v>
      </c>
      <c r="J25" s="1">
        <f>+'[4]Requerimiento Inbound'!$FF$15</f>
        <v>20</v>
      </c>
      <c r="K25" s="4">
        <v>19</v>
      </c>
      <c r="L25" s="4">
        <v>19</v>
      </c>
      <c r="M25" s="1">
        <f>+'[4]Requerimiento Inbound'!$FF$15</f>
        <v>20</v>
      </c>
      <c r="N25" s="4">
        <v>20</v>
      </c>
      <c r="O25" s="4">
        <v>20</v>
      </c>
      <c r="P25" s="4">
        <v>20</v>
      </c>
      <c r="Q25" s="10">
        <v>20</v>
      </c>
      <c r="R25" s="4">
        <v>20</v>
      </c>
      <c r="S25" s="4">
        <v>20</v>
      </c>
      <c r="T25" s="4">
        <v>20</v>
      </c>
      <c r="U25" s="12">
        <f>+IFERROR(R25/T25,"")</f>
        <v>1</v>
      </c>
      <c r="V25" s="1">
        <f>+R25</f>
        <v>20</v>
      </c>
      <c r="W25" s="1"/>
      <c r="X25" s="43">
        <f>+V25</f>
        <v>20</v>
      </c>
      <c r="Y25" s="4"/>
      <c r="Z25" s="4">
        <v>20</v>
      </c>
      <c r="AA25" s="12">
        <f>+IFERROR(X25/Z25,"")</f>
        <v>1</v>
      </c>
      <c r="AB25" s="1">
        <f>+R25-1</f>
        <v>19</v>
      </c>
      <c r="AC25" s="1"/>
      <c r="AD25" s="3">
        <f>+AB25</f>
        <v>19</v>
      </c>
      <c r="AE25" s="4"/>
      <c r="AF25" s="4">
        <f>+_xlfn.XLOOKUP(A25,'[3]REQUERIMIENTO INBOUND'!B:B,'[3]REQUERIMIENTO INBOUND'!AE:AE,"",0)</f>
        <v>20</v>
      </c>
      <c r="AG25" s="12">
        <f>+IFERROR(AD25/AF25,"")</f>
        <v>0.95</v>
      </c>
      <c r="AH25" s="1">
        <f>+AD25-1</f>
        <v>18</v>
      </c>
      <c r="AI25" s="1"/>
      <c r="AJ25" s="3">
        <f>+AH25</f>
        <v>18</v>
      </c>
      <c r="AK25" s="4"/>
      <c r="AL25" s="4">
        <f>+_xlfn.XLOOKUP(A25,'[3]REQUERIMIENTO INBOUND'!B:B,'[3]REQUERIMIENTO INBOUND'!AI:AI,"",0)</f>
        <v>20</v>
      </c>
      <c r="AM25" s="12">
        <f>+IFERROR(AJ25/AL25,"")</f>
        <v>0.9</v>
      </c>
      <c r="AN25" s="1">
        <f>+AJ25-1</f>
        <v>17</v>
      </c>
      <c r="AO25" s="1"/>
      <c r="AP25" s="3">
        <f>+AN25</f>
        <v>17</v>
      </c>
      <c r="AQ25" s="4"/>
      <c r="AR25" s="4">
        <f>+[2]Capacity!$AM$19</f>
        <v>27</v>
      </c>
      <c r="AS25" s="12">
        <f>+IFERROR(AP25/AR25,"")</f>
        <v>0.62962962962962965</v>
      </c>
      <c r="AT25" s="1">
        <f>+AP25-1</f>
        <v>16</v>
      </c>
    </row>
    <row r="26" spans="1:46" x14ac:dyDescent="0.3">
      <c r="A26" s="26" t="s">
        <v>31</v>
      </c>
      <c r="B26" s="4">
        <v>35</v>
      </c>
      <c r="C26" s="10">
        <v>35</v>
      </c>
      <c r="D26" s="24">
        <f>+'[4]Requerimiento Inbound'!$FF$29</f>
        <v>53</v>
      </c>
      <c r="E26" s="4">
        <v>50</v>
      </c>
      <c r="F26" s="4">
        <v>48</v>
      </c>
      <c r="G26" s="1">
        <f>+'[4]Requerimiento Inbound'!$FF$29</f>
        <v>53</v>
      </c>
      <c r="H26" s="4">
        <v>40</v>
      </c>
      <c r="I26" s="4">
        <v>37</v>
      </c>
      <c r="J26" s="1">
        <f>+'[4]Requerimiento Inbound'!$FF$29</f>
        <v>53</v>
      </c>
      <c r="K26" s="4">
        <v>39</v>
      </c>
      <c r="L26" s="4">
        <v>39</v>
      </c>
      <c r="M26" s="1">
        <f>+'[4]Requerimiento Inbound'!$FF$29</f>
        <v>53</v>
      </c>
      <c r="N26" s="4">
        <v>37</v>
      </c>
      <c r="O26" s="4">
        <v>37</v>
      </c>
      <c r="P26" s="4">
        <v>53</v>
      </c>
      <c r="Q26" s="10">
        <v>37</v>
      </c>
      <c r="R26" s="4">
        <f>46-6</f>
        <v>40</v>
      </c>
      <c r="S26" s="4">
        <v>38</v>
      </c>
      <c r="T26" s="4">
        <v>33</v>
      </c>
      <c r="U26" s="12">
        <f>+IFERROR(R26/T26,"")</f>
        <v>1.2121212121212122</v>
      </c>
      <c r="V26" s="22">
        <f>+R26*(1-[1]TASA_ROTACION!L69)</f>
        <v>38.285714285714285</v>
      </c>
      <c r="W26" s="1"/>
      <c r="X26" s="53">
        <f>+V26+6+12-18</f>
        <v>38.285714285714285</v>
      </c>
      <c r="Y26" s="3"/>
      <c r="Z26" s="4">
        <v>34</v>
      </c>
      <c r="AA26" s="12">
        <f>+IFERROR(X26/Z26,"")</f>
        <v>1.1260504201680672</v>
      </c>
      <c r="AB26" s="22">
        <f>+X26*(1-[1]TASA_ROTACION!N69)</f>
        <v>36.657716836734693</v>
      </c>
      <c r="AC26" s="1"/>
      <c r="AD26" s="3">
        <f>+AB26</f>
        <v>36.657716836734693</v>
      </c>
      <c r="AE26" s="4"/>
      <c r="AF26" s="4">
        <f>+_xlfn.XLOOKUP(A26,'[3]REQUERIMIENTO INBOUND'!B:B,'[3]REQUERIMIENTO INBOUND'!AE:AE,"",0)</f>
        <v>32</v>
      </c>
      <c r="AG26" s="12">
        <f>+IFERROR(AD26/AF26,"")</f>
        <v>1.1455536511479592</v>
      </c>
      <c r="AH26" s="22">
        <f>+AD26*(1-[1]TASA_ROTACION!P69)</f>
        <v>34.242716851257306</v>
      </c>
      <c r="AI26" s="1"/>
      <c r="AJ26" s="3">
        <f>+AH26</f>
        <v>34.242716851257306</v>
      </c>
      <c r="AK26" s="4"/>
      <c r="AL26" s="4">
        <f>+_xlfn.XLOOKUP(A26,'[3]REQUERIMIENTO INBOUND'!B:B,'[3]REQUERIMIENTO INBOUND'!AI:AI,"",0)</f>
        <v>32</v>
      </c>
      <c r="AM26" s="12">
        <f>+IFERROR(AJ26/AL26,"")</f>
        <v>1.0700849016017908</v>
      </c>
      <c r="AN26" s="22">
        <f>+AJ26*(1-[1]TASA_ROTACION!R69)</f>
        <v>32.175992103368159</v>
      </c>
      <c r="AO26" s="1"/>
      <c r="AP26" s="3">
        <f>+AN26</f>
        <v>32.175992103368159</v>
      </c>
      <c r="AQ26" s="4"/>
      <c r="AR26" s="4">
        <f>+[2]Capacity!$AM$20</f>
        <v>33</v>
      </c>
      <c r="AS26" s="12">
        <f>+IFERROR(AP26/AR26,"")</f>
        <v>0.97503006373842904</v>
      </c>
      <c r="AT26" s="22">
        <f>+AP26*(1-[1]TASA_ROTACION!Y69)</f>
        <v>32.175992103368159</v>
      </c>
    </row>
    <row r="27" spans="1:46" x14ac:dyDescent="0.3">
      <c r="A27" s="26" t="s">
        <v>30</v>
      </c>
      <c r="B27" s="4">
        <v>17</v>
      </c>
      <c r="C27" s="10">
        <v>17</v>
      </c>
      <c r="D27" s="24">
        <f>+'[4]Requerimiento Inbound'!$FF$30</f>
        <v>0</v>
      </c>
      <c r="E27" s="4">
        <v>17</v>
      </c>
      <c r="F27" s="4">
        <v>17</v>
      </c>
      <c r="G27" s="1">
        <f>+'[4]Requerimiento Inbound'!$FF$30</f>
        <v>0</v>
      </c>
      <c r="H27" s="4">
        <v>18</v>
      </c>
      <c r="I27" s="4">
        <v>18</v>
      </c>
      <c r="J27" s="1">
        <f>+'[4]Requerimiento Inbound'!$FF$30</f>
        <v>0</v>
      </c>
      <c r="K27" s="4">
        <v>17</v>
      </c>
      <c r="L27" s="4">
        <v>17</v>
      </c>
      <c r="M27" s="1">
        <f>+'[4]Requerimiento Inbound'!$FF$30</f>
        <v>0</v>
      </c>
      <c r="N27" s="4">
        <v>16</v>
      </c>
      <c r="O27" s="4">
        <v>16</v>
      </c>
      <c r="P27" s="4">
        <v>0</v>
      </c>
      <c r="Q27" s="10">
        <v>16</v>
      </c>
      <c r="R27" s="4">
        <v>16</v>
      </c>
      <c r="S27" s="4">
        <v>16</v>
      </c>
      <c r="T27" s="4">
        <v>18</v>
      </c>
      <c r="U27" s="12">
        <f>+IFERROR(R27/T27,"")</f>
        <v>0.88888888888888884</v>
      </c>
      <c r="V27" s="1">
        <f>+R27</f>
        <v>16</v>
      </c>
      <c r="W27" s="1"/>
      <c r="X27" s="43">
        <f>+V27</f>
        <v>16</v>
      </c>
      <c r="Y27" s="4"/>
      <c r="Z27" s="4">
        <v>18</v>
      </c>
      <c r="AA27" s="12">
        <f>+IFERROR(X27/Z27,"")</f>
        <v>0.88888888888888884</v>
      </c>
      <c r="AB27" s="1">
        <f>+X27</f>
        <v>16</v>
      </c>
      <c r="AC27" s="1"/>
      <c r="AD27" s="3">
        <f>+AB27</f>
        <v>16</v>
      </c>
      <c r="AE27" s="4"/>
      <c r="AF27" s="4">
        <f>+_xlfn.XLOOKUP(A27,'[3]REQUERIMIENTO INBOUND'!B:B,'[3]REQUERIMIENTO INBOUND'!AE:AE,"",0)</f>
        <v>18</v>
      </c>
      <c r="AG27" s="12">
        <f>+IFERROR(AD27/AF27,"")</f>
        <v>0.88888888888888884</v>
      </c>
      <c r="AH27" s="1">
        <f>+AD27</f>
        <v>16</v>
      </c>
      <c r="AI27" s="1"/>
      <c r="AJ27" s="3">
        <f>+AH27</f>
        <v>16</v>
      </c>
      <c r="AK27" s="4"/>
      <c r="AL27" s="4">
        <f>+_xlfn.XLOOKUP(A27,'[3]REQUERIMIENTO INBOUND'!B:B,'[3]REQUERIMIENTO INBOUND'!AI:AI,"",0)</f>
        <v>18</v>
      </c>
      <c r="AM27" s="12">
        <f>+IFERROR(AJ27/AL27,"")</f>
        <v>0.88888888888888884</v>
      </c>
      <c r="AN27" s="1">
        <f>+AJ27</f>
        <v>16</v>
      </c>
      <c r="AO27" s="1"/>
      <c r="AP27" s="3">
        <f>+AN27</f>
        <v>16</v>
      </c>
      <c r="AQ27" s="4"/>
      <c r="AR27" s="4">
        <f>+[2]Capacity!$AM$21</f>
        <v>18</v>
      </c>
      <c r="AS27" s="12">
        <f>+IFERROR(AP27/AR27,"")</f>
        <v>0.88888888888888884</v>
      </c>
      <c r="AT27" s="1">
        <f>+AP27</f>
        <v>16</v>
      </c>
    </row>
    <row r="28" spans="1:46" x14ac:dyDescent="0.3">
      <c r="A28" s="26" t="s">
        <v>29</v>
      </c>
      <c r="B28" s="4">
        <v>87</v>
      </c>
      <c r="C28" s="10">
        <v>86</v>
      </c>
      <c r="D28" s="24">
        <f>+'[4]Requerimiento Inbound'!$FF$13</f>
        <v>89</v>
      </c>
      <c r="E28" s="4">
        <v>94</v>
      </c>
      <c r="F28" s="4">
        <v>94</v>
      </c>
      <c r="G28" s="1">
        <f>+'[4]Requerimiento Inbound'!$FF$13</f>
        <v>89</v>
      </c>
      <c r="H28" s="4">
        <v>109</v>
      </c>
      <c r="I28" s="4">
        <v>109</v>
      </c>
      <c r="J28" s="1">
        <f>+'[4]Requerimiento Inbound'!$FF$13</f>
        <v>89</v>
      </c>
      <c r="K28" s="4">
        <v>106</v>
      </c>
      <c r="L28" s="4">
        <v>104</v>
      </c>
      <c r="M28" s="1">
        <f>+'[4]Requerimiento Inbound'!$FF$13</f>
        <v>89</v>
      </c>
      <c r="N28" s="4">
        <v>106</v>
      </c>
      <c r="O28" s="4">
        <v>106</v>
      </c>
      <c r="P28" s="4">
        <v>89</v>
      </c>
      <c r="Q28" s="10">
        <v>106</v>
      </c>
      <c r="R28" s="4">
        <f>111+6</f>
        <v>117</v>
      </c>
      <c r="S28" s="4">
        <v>118</v>
      </c>
      <c r="T28" s="4">
        <v>118</v>
      </c>
      <c r="U28" s="12">
        <f>+IFERROR(R28/T28,"")</f>
        <v>0.99152542372881358</v>
      </c>
      <c r="V28" s="22">
        <f>+R28*(1-[1]TASA_ROTACION!L54)</f>
        <v>115.35487189487776</v>
      </c>
      <c r="W28" s="1"/>
      <c r="X28" s="53">
        <f>+V28-6+1</f>
        <v>110.35487189487776</v>
      </c>
      <c r="Y28" s="3"/>
      <c r="Z28" s="4">
        <v>119</v>
      </c>
      <c r="AA28" s="12">
        <f>+IFERROR(X28/Z28,"")</f>
        <v>0.92735186466283837</v>
      </c>
      <c r="AB28" s="22">
        <f>+X28*(1-[1]TASA_ROTACION!N54)</f>
        <v>109.67227756869168</v>
      </c>
      <c r="AC28" s="1"/>
      <c r="AD28" s="3">
        <f>+AB28</f>
        <v>109.67227756869168</v>
      </c>
      <c r="AE28" s="4"/>
      <c r="AF28" s="4">
        <f>+_xlfn.XLOOKUP(A28,'[3]REQUERIMIENTO INBOUND'!B:B,'[3]REQUERIMIENTO INBOUND'!AE:AE,"",0)</f>
        <v>112</v>
      </c>
      <c r="AG28" s="12">
        <f>+IFERROR(AD28/AF28,"")</f>
        <v>0.97921676400617574</v>
      </c>
      <c r="AH28" s="22">
        <f>+AD28*(1-[1]TASA_ROTACION!P54)</f>
        <v>108.18949755954462</v>
      </c>
      <c r="AI28" s="1"/>
      <c r="AJ28" s="3">
        <f>+AH28</f>
        <v>108.18949755954462</v>
      </c>
      <c r="AK28" s="4"/>
      <c r="AL28" s="4">
        <f>+_xlfn.XLOOKUP(A28,'[3]REQUERIMIENTO INBOUND'!B:B,'[3]REQUERIMIENTO INBOUND'!AI:AI,"",0)</f>
        <v>116</v>
      </c>
      <c r="AM28" s="12">
        <f>+IFERROR(AJ28/AL28,"")</f>
        <v>0.93266808240986743</v>
      </c>
      <c r="AN28" s="22">
        <f>+AJ28*(1-[1]TASA_ROTACION!R54)</f>
        <v>106.06707282407035</v>
      </c>
      <c r="AO28" s="1"/>
      <c r="AP28" s="3">
        <f>+AN28</f>
        <v>106.06707282407035</v>
      </c>
      <c r="AQ28" s="4"/>
      <c r="AR28" s="4">
        <f>+[2]Capacity!$AM$22</f>
        <v>117</v>
      </c>
      <c r="AS28" s="12">
        <f>+IFERROR(AP28/AR28,"")</f>
        <v>0.90655617798350729</v>
      </c>
      <c r="AT28" s="22">
        <f>+AP28*(1-[1]TASA_ROTACION!Y54)</f>
        <v>106.06707282407035</v>
      </c>
    </row>
    <row r="29" spans="1:46" x14ac:dyDescent="0.3">
      <c r="A29" s="26" t="s">
        <v>28</v>
      </c>
      <c r="B29" s="4">
        <v>34</v>
      </c>
      <c r="C29" s="10">
        <v>34</v>
      </c>
      <c r="D29" s="24">
        <f>+'[4]Requerimiento Inbound'!$FF$31</f>
        <v>34</v>
      </c>
      <c r="E29" s="4">
        <v>34</v>
      </c>
      <c r="F29" s="4">
        <v>34</v>
      </c>
      <c r="G29" s="1">
        <f>+'[4]Requerimiento Inbound'!$FF$31</f>
        <v>34</v>
      </c>
      <c r="H29" s="4">
        <v>34</v>
      </c>
      <c r="I29" s="4">
        <v>34</v>
      </c>
      <c r="J29" s="1">
        <f>+'[4]Requerimiento Inbound'!$FF$31</f>
        <v>34</v>
      </c>
      <c r="K29" s="4">
        <v>34</v>
      </c>
      <c r="L29" s="4">
        <v>34</v>
      </c>
      <c r="M29" s="1">
        <f>+'[4]Requerimiento Inbound'!$FF$31</f>
        <v>34</v>
      </c>
      <c r="N29" s="4">
        <v>34</v>
      </c>
      <c r="O29" s="4">
        <v>34</v>
      </c>
      <c r="P29" s="4">
        <v>34</v>
      </c>
      <c r="Q29" s="10">
        <v>34</v>
      </c>
      <c r="R29" s="4">
        <v>36</v>
      </c>
      <c r="S29" s="4">
        <v>36</v>
      </c>
      <c r="T29" s="4">
        <v>40</v>
      </c>
      <c r="U29" s="12">
        <f>+IFERROR(R29/T29,"")</f>
        <v>0.9</v>
      </c>
      <c r="V29" s="1">
        <f>+R29</f>
        <v>36</v>
      </c>
      <c r="W29" s="1"/>
      <c r="X29" s="43">
        <f>+V29</f>
        <v>36</v>
      </c>
      <c r="Y29" s="4"/>
      <c r="Z29" s="4">
        <v>39</v>
      </c>
      <c r="AA29" s="12">
        <f>+IFERROR(X29/Z29,"")</f>
        <v>0.92307692307692313</v>
      </c>
      <c r="AB29" s="1">
        <f>+R29</f>
        <v>36</v>
      </c>
      <c r="AC29" s="1"/>
      <c r="AD29" s="3">
        <f>+AB29</f>
        <v>36</v>
      </c>
      <c r="AE29" s="4"/>
      <c r="AF29" s="4">
        <f>+_xlfn.XLOOKUP(A29,'[3]REQUERIMIENTO INBOUND'!B:B,'[3]REQUERIMIENTO INBOUND'!AE:AE,"",0)</f>
        <v>39</v>
      </c>
      <c r="AG29" s="12">
        <f>+IFERROR(AD29/AF29,"")</f>
        <v>0.92307692307692313</v>
      </c>
      <c r="AH29" s="1">
        <f>+AD29</f>
        <v>36</v>
      </c>
      <c r="AI29" s="1"/>
      <c r="AJ29" s="3">
        <f>+AH29</f>
        <v>36</v>
      </c>
      <c r="AK29" s="4"/>
      <c r="AL29" s="4">
        <f>+_xlfn.XLOOKUP(A29,'[3]REQUERIMIENTO INBOUND'!B:B,'[3]REQUERIMIENTO INBOUND'!AI:AI,"",0)</f>
        <v>40</v>
      </c>
      <c r="AM29" s="12">
        <f>+IFERROR(AJ29/AL29,"")</f>
        <v>0.9</v>
      </c>
      <c r="AN29" s="1">
        <f>+AJ29</f>
        <v>36</v>
      </c>
      <c r="AO29" s="1"/>
      <c r="AP29" s="3">
        <f>+AN29</f>
        <v>36</v>
      </c>
      <c r="AQ29" s="4"/>
      <c r="AR29" s="4">
        <f>+[2]Capacity!$AM$23</f>
        <v>40</v>
      </c>
      <c r="AS29" s="12">
        <f>+IFERROR(AP29/AR29,"")</f>
        <v>0.9</v>
      </c>
      <c r="AT29" s="1">
        <f>+AP29</f>
        <v>36</v>
      </c>
    </row>
    <row r="30" spans="1:46" x14ac:dyDescent="0.3">
      <c r="A30" s="51" t="s">
        <v>27</v>
      </c>
      <c r="B30" s="46">
        <v>12</v>
      </c>
      <c r="C30" s="49">
        <v>12</v>
      </c>
      <c r="D30" s="50">
        <f>+'[4]Requerimiento Inbound'!$FF$9</f>
        <v>13</v>
      </c>
      <c r="E30" s="46">
        <v>13</v>
      </c>
      <c r="F30" s="46">
        <v>13</v>
      </c>
      <c r="G30" s="44">
        <f>+'[4]Requerimiento Inbound'!$FF$9</f>
        <v>13</v>
      </c>
      <c r="H30" s="46">
        <v>13</v>
      </c>
      <c r="I30" s="46">
        <v>13</v>
      </c>
      <c r="J30" s="44">
        <f>+'[4]Requerimiento Inbound'!$FF$9</f>
        <v>13</v>
      </c>
      <c r="K30" s="46">
        <v>13</v>
      </c>
      <c r="L30" s="46">
        <v>13</v>
      </c>
      <c r="M30" s="44">
        <f>+'[4]Requerimiento Inbound'!$FF$9</f>
        <v>13</v>
      </c>
      <c r="N30" s="46">
        <v>13</v>
      </c>
      <c r="O30" s="46">
        <v>13</v>
      </c>
      <c r="P30" s="46">
        <v>13</v>
      </c>
      <c r="Q30" s="49">
        <v>13</v>
      </c>
      <c r="R30" s="46">
        <v>13</v>
      </c>
      <c r="S30" s="46">
        <v>13</v>
      </c>
      <c r="T30" s="46">
        <v>13</v>
      </c>
      <c r="U30" s="45">
        <f>+IFERROR(R30/T30,"")</f>
        <v>1</v>
      </c>
      <c r="V30" s="44">
        <v>13</v>
      </c>
      <c r="W30" s="44"/>
      <c r="X30" s="48">
        <f>+V30</f>
        <v>13</v>
      </c>
      <c r="Y30" s="46"/>
      <c r="Z30" s="46">
        <v>13</v>
      </c>
      <c r="AA30" s="45">
        <f>+IFERROR(X30/Z30,"")</f>
        <v>1</v>
      </c>
      <c r="AB30" s="44">
        <f>+R30</f>
        <v>13</v>
      </c>
      <c r="AC30" s="44"/>
      <c r="AD30" s="47">
        <f>+AB30</f>
        <v>13</v>
      </c>
      <c r="AE30" s="46"/>
      <c r="AF30" s="46">
        <f>+_xlfn.XLOOKUP(A30,'[3]REQUERIMIENTO INBOUND'!B:B,'[3]REQUERIMIENTO INBOUND'!AE:AE,"",0)</f>
        <v>13</v>
      </c>
      <c r="AG30" s="45">
        <f>+IFERROR(AD30/AF30,"")</f>
        <v>1</v>
      </c>
      <c r="AH30" s="44">
        <v>12</v>
      </c>
      <c r="AI30" s="44"/>
      <c r="AJ30" s="47">
        <f>+AH30</f>
        <v>12</v>
      </c>
      <c r="AK30" s="46"/>
      <c r="AL30" s="46">
        <f>+_xlfn.XLOOKUP(A30,'[3]REQUERIMIENTO INBOUND'!B:B,'[3]REQUERIMIENTO INBOUND'!AI:AI,"",0)</f>
        <v>13</v>
      </c>
      <c r="AM30" s="45">
        <f>+IFERROR(AJ30/AL30,"")</f>
        <v>0.92307692307692313</v>
      </c>
      <c r="AN30" s="44">
        <v>12</v>
      </c>
      <c r="AO30" s="44"/>
      <c r="AP30" s="47">
        <f>+AN30</f>
        <v>12</v>
      </c>
      <c r="AQ30" s="46"/>
      <c r="AR30" s="46">
        <f>+[2]Capacity!$AM$24</f>
        <v>13</v>
      </c>
      <c r="AS30" s="45">
        <f>+IFERROR(AP30/AR30,"")</f>
        <v>0.92307692307692313</v>
      </c>
      <c r="AT30" s="44">
        <v>12</v>
      </c>
    </row>
    <row r="31" spans="1:46" x14ac:dyDescent="0.3">
      <c r="A31" s="26" t="s">
        <v>26</v>
      </c>
      <c r="B31" s="4">
        <v>43</v>
      </c>
      <c r="C31" s="10">
        <v>43</v>
      </c>
      <c r="D31" s="24">
        <f>+'[4]Requerimiento Inbound'!$FF$27</f>
        <v>29</v>
      </c>
      <c r="E31" s="4">
        <v>41</v>
      </c>
      <c r="F31" s="4">
        <v>39</v>
      </c>
      <c r="G31" s="1">
        <f>+'[4]Requerimiento Inbound'!$FF$27</f>
        <v>29</v>
      </c>
      <c r="H31" s="4">
        <v>40</v>
      </c>
      <c r="I31" s="4">
        <v>40</v>
      </c>
      <c r="J31" s="1">
        <f>+'[4]Requerimiento Inbound'!$FF$27</f>
        <v>29</v>
      </c>
      <c r="K31" s="4">
        <v>39</v>
      </c>
      <c r="L31" s="4">
        <v>39</v>
      </c>
      <c r="M31" s="1">
        <f>+'[4]Requerimiento Inbound'!$FF$27</f>
        <v>29</v>
      </c>
      <c r="N31" s="4">
        <v>23</v>
      </c>
      <c r="O31" s="4">
        <v>23</v>
      </c>
      <c r="P31" s="4">
        <v>29</v>
      </c>
      <c r="Q31" s="10">
        <v>23</v>
      </c>
      <c r="R31" s="4">
        <v>23</v>
      </c>
      <c r="S31" s="4">
        <v>23</v>
      </c>
      <c r="T31" s="4">
        <v>25</v>
      </c>
      <c r="U31" s="12">
        <f>+IFERROR(R31/T31,"")</f>
        <v>0.92</v>
      </c>
      <c r="V31" s="1">
        <f>+R31</f>
        <v>23</v>
      </c>
      <c r="W31" s="1"/>
      <c r="X31" s="43">
        <f>+V31</f>
        <v>23</v>
      </c>
      <c r="Y31" s="4"/>
      <c r="Z31" s="4">
        <v>26</v>
      </c>
      <c r="AA31" s="12">
        <f>+IFERROR(X31/Z31,"")</f>
        <v>0.88461538461538458</v>
      </c>
      <c r="AB31" s="1">
        <f>+R31</f>
        <v>23</v>
      </c>
      <c r="AC31" s="1"/>
      <c r="AD31" s="3">
        <f>+AB31</f>
        <v>23</v>
      </c>
      <c r="AE31" s="4"/>
      <c r="AF31" s="4">
        <f>+_xlfn.XLOOKUP(A31,'[3]REQUERIMIENTO INBOUND'!B:B,'[3]REQUERIMIENTO INBOUND'!AE:AE,"",0)</f>
        <v>26</v>
      </c>
      <c r="AG31" s="12">
        <f>+IFERROR(AD31/AF31,"")</f>
        <v>0.88461538461538458</v>
      </c>
      <c r="AH31" s="1">
        <f>+AD31</f>
        <v>23</v>
      </c>
      <c r="AI31" s="1"/>
      <c r="AJ31" s="3">
        <f>+AH31</f>
        <v>23</v>
      </c>
      <c r="AK31" s="4"/>
      <c r="AL31" s="4">
        <f>+_xlfn.XLOOKUP(A31,'[3]REQUERIMIENTO INBOUND'!B:B,'[3]REQUERIMIENTO INBOUND'!AI:AI,"",0)</f>
        <v>24</v>
      </c>
      <c r="AM31" s="12">
        <f>+IFERROR(AJ31/AL31,"")</f>
        <v>0.95833333333333337</v>
      </c>
      <c r="AN31" s="1">
        <f>+AJ31</f>
        <v>23</v>
      </c>
      <c r="AO31" s="1"/>
      <c r="AP31" s="3">
        <f>+AN31</f>
        <v>23</v>
      </c>
      <c r="AQ31" s="4"/>
      <c r="AR31" s="4">
        <f>+[2]Capacity!$AM$25</f>
        <v>26</v>
      </c>
      <c r="AS31" s="12">
        <f>+IFERROR(AP31/AR31,"")</f>
        <v>0.88461538461538458</v>
      </c>
      <c r="AT31" s="1">
        <f>+AP31</f>
        <v>23</v>
      </c>
    </row>
    <row r="32" spans="1:46" x14ac:dyDescent="0.3">
      <c r="A32" s="52" t="s">
        <v>25</v>
      </c>
      <c r="B32" s="4">
        <v>23</v>
      </c>
      <c r="C32" s="10">
        <v>23</v>
      </c>
      <c r="D32" s="24">
        <f>+'[4]Requerimiento Inbound'!$FF$28</f>
        <v>23</v>
      </c>
      <c r="E32" s="4">
        <v>25</v>
      </c>
      <c r="F32" s="4">
        <v>25</v>
      </c>
      <c r="G32" s="1">
        <f>+'[4]Requerimiento Inbound'!$FF$28</f>
        <v>23</v>
      </c>
      <c r="H32" s="4">
        <v>26</v>
      </c>
      <c r="I32" s="4">
        <v>26</v>
      </c>
      <c r="J32" s="1">
        <f>+'[4]Requerimiento Inbound'!$FF$28</f>
        <v>23</v>
      </c>
      <c r="K32" s="4">
        <v>28</v>
      </c>
      <c r="L32" s="4">
        <v>28</v>
      </c>
      <c r="M32" s="1">
        <f>+'[4]Requerimiento Inbound'!$FF$28</f>
        <v>23</v>
      </c>
      <c r="N32" s="4">
        <v>26</v>
      </c>
      <c r="O32" s="4">
        <v>26</v>
      </c>
      <c r="P32" s="4">
        <v>23</v>
      </c>
      <c r="Q32" s="10">
        <v>26</v>
      </c>
      <c r="R32" s="4">
        <v>29</v>
      </c>
      <c r="S32" s="4">
        <v>29</v>
      </c>
      <c r="T32" s="4">
        <v>23</v>
      </c>
      <c r="U32" s="12">
        <f>+IFERROR(R32/T32,"")</f>
        <v>1.2608695652173914</v>
      </c>
      <c r="V32" s="1">
        <f>+R32</f>
        <v>29</v>
      </c>
      <c r="W32" s="1"/>
      <c r="X32" s="43">
        <f>+V32</f>
        <v>29</v>
      </c>
      <c r="Y32" s="4"/>
      <c r="Z32" s="4">
        <v>23</v>
      </c>
      <c r="AA32" s="12">
        <f>+IFERROR(X32/Z32,"")</f>
        <v>1.2608695652173914</v>
      </c>
      <c r="AB32" s="1">
        <f>+R32</f>
        <v>29</v>
      </c>
      <c r="AC32" s="1"/>
      <c r="AD32" s="3">
        <f>+AB32</f>
        <v>29</v>
      </c>
      <c r="AE32" s="4"/>
      <c r="AF32" s="4">
        <f>+_xlfn.XLOOKUP(A32,'[3]REQUERIMIENTO INBOUND'!B:B,'[3]REQUERIMIENTO INBOUND'!AE:AE,"",0)</f>
        <v>23</v>
      </c>
      <c r="AG32" s="12">
        <f>+IFERROR(AD32/AF32,"")</f>
        <v>1.2608695652173914</v>
      </c>
      <c r="AH32" s="1">
        <f>+AD32</f>
        <v>29</v>
      </c>
      <c r="AI32" s="1"/>
      <c r="AJ32" s="3">
        <f>+AH32</f>
        <v>29</v>
      </c>
      <c r="AK32" s="4"/>
      <c r="AL32" s="4">
        <f>+_xlfn.XLOOKUP(A32,'[3]REQUERIMIENTO INBOUND'!B:B,'[3]REQUERIMIENTO INBOUND'!AI:AI,"",0)</f>
        <v>23</v>
      </c>
      <c r="AM32" s="12">
        <f>+IFERROR(AJ32/AL32,"")</f>
        <v>1.2608695652173914</v>
      </c>
      <c r="AN32" s="1">
        <f>+AJ32</f>
        <v>29</v>
      </c>
      <c r="AO32" s="1"/>
      <c r="AP32" s="3">
        <f>+AN32</f>
        <v>29</v>
      </c>
      <c r="AQ32" s="4"/>
      <c r="AR32" s="4">
        <f>+[2]Capacity!$AM$26</f>
        <v>23</v>
      </c>
      <c r="AS32" s="12">
        <f>+IFERROR(AP32/AR32,"")</f>
        <v>1.2608695652173914</v>
      </c>
      <c r="AT32" s="1">
        <f>+AP32</f>
        <v>29</v>
      </c>
    </row>
    <row r="33" spans="1:46" x14ac:dyDescent="0.3">
      <c r="A33" s="26" t="s">
        <v>24</v>
      </c>
      <c r="B33" s="4">
        <v>14</v>
      </c>
      <c r="C33" s="10">
        <v>14</v>
      </c>
      <c r="D33" s="24">
        <f>+'[4]Requerimiento Inbound'!$FF$22</f>
        <v>15</v>
      </c>
      <c r="E33" s="4">
        <v>15</v>
      </c>
      <c r="F33" s="4">
        <v>15</v>
      </c>
      <c r="G33" s="1">
        <f>+'[4]Requerimiento Inbound'!$FF$22</f>
        <v>15</v>
      </c>
      <c r="H33" s="4">
        <v>15</v>
      </c>
      <c r="I33" s="4">
        <v>15</v>
      </c>
      <c r="J33" s="1">
        <f>+'[4]Requerimiento Inbound'!$FF$22</f>
        <v>15</v>
      </c>
      <c r="K33" s="4">
        <v>15</v>
      </c>
      <c r="L33" s="4">
        <v>15</v>
      </c>
      <c r="M33" s="1">
        <f>+'[4]Requerimiento Inbound'!$FF$22</f>
        <v>15</v>
      </c>
      <c r="N33" s="4">
        <v>15</v>
      </c>
      <c r="O33" s="4">
        <v>15</v>
      </c>
      <c r="P33" s="4">
        <v>15</v>
      </c>
      <c r="Q33" s="10">
        <v>15</v>
      </c>
      <c r="R33" s="4">
        <v>15</v>
      </c>
      <c r="S33" s="4">
        <v>15</v>
      </c>
      <c r="T33" s="4">
        <v>15</v>
      </c>
      <c r="U33" s="12">
        <f>+IFERROR(R33/T33,"")</f>
        <v>1</v>
      </c>
      <c r="V33" s="1">
        <f>+R33</f>
        <v>15</v>
      </c>
      <c r="W33" s="1"/>
      <c r="X33" s="43">
        <f>+V33</f>
        <v>15</v>
      </c>
      <c r="Y33" s="4"/>
      <c r="Z33" s="4">
        <v>15</v>
      </c>
      <c r="AA33" s="12">
        <f>+IFERROR(X33/Z33,"")</f>
        <v>1</v>
      </c>
      <c r="AB33" s="1">
        <f>+R33</f>
        <v>15</v>
      </c>
      <c r="AC33" s="1"/>
      <c r="AD33" s="3">
        <f>+AB33</f>
        <v>15</v>
      </c>
      <c r="AE33" s="4"/>
      <c r="AF33" s="4">
        <f>+_xlfn.XLOOKUP(A33,'[3]REQUERIMIENTO INBOUND'!B:B,'[3]REQUERIMIENTO INBOUND'!AE:AE,"",0)</f>
        <v>15</v>
      </c>
      <c r="AG33" s="12">
        <f>+IFERROR(AD33/AF33,"")</f>
        <v>1</v>
      </c>
      <c r="AH33" s="1">
        <f>+AD33</f>
        <v>15</v>
      </c>
      <c r="AI33" s="1"/>
      <c r="AJ33" s="3">
        <f>+AH33</f>
        <v>15</v>
      </c>
      <c r="AK33" s="4"/>
      <c r="AL33" s="4">
        <f>+_xlfn.XLOOKUP(A33,'[3]REQUERIMIENTO INBOUND'!B:B,'[3]REQUERIMIENTO INBOUND'!AI:AI,"",0)</f>
        <v>15</v>
      </c>
      <c r="AM33" s="12">
        <f>+IFERROR(AJ33/AL33,"")</f>
        <v>1</v>
      </c>
      <c r="AN33" s="1">
        <f>+AJ33</f>
        <v>15</v>
      </c>
      <c r="AO33" s="1"/>
      <c r="AP33" s="3">
        <f>+AN33</f>
        <v>15</v>
      </c>
      <c r="AQ33" s="4"/>
      <c r="AR33" s="4">
        <f>+[2]Capacity!$AM$27</f>
        <v>15</v>
      </c>
      <c r="AS33" s="12">
        <f>+IFERROR(AP33/AR33,"")</f>
        <v>1</v>
      </c>
      <c r="AT33" s="1">
        <f>+AP33</f>
        <v>15</v>
      </c>
    </row>
    <row r="34" spans="1:46" x14ac:dyDescent="0.3">
      <c r="A34" s="26" t="s">
        <v>23</v>
      </c>
      <c r="B34" s="4">
        <v>33</v>
      </c>
      <c r="C34" s="10">
        <v>33</v>
      </c>
      <c r="D34" s="24">
        <f>+'[4]Requerimiento Inbound'!$FF$17</f>
        <v>34</v>
      </c>
      <c r="E34" s="4">
        <v>34</v>
      </c>
      <c r="F34" s="4">
        <v>33</v>
      </c>
      <c r="G34" s="1">
        <f>+'[4]Requerimiento Inbound'!$FF$17</f>
        <v>34</v>
      </c>
      <c r="H34" s="4">
        <v>34</v>
      </c>
      <c r="I34" s="4">
        <v>34</v>
      </c>
      <c r="J34" s="1">
        <f>+'[4]Requerimiento Inbound'!$FF$17</f>
        <v>34</v>
      </c>
      <c r="K34" s="4">
        <v>34</v>
      </c>
      <c r="L34" s="4">
        <v>34</v>
      </c>
      <c r="M34" s="1">
        <f>+'[4]Requerimiento Inbound'!$FF$17</f>
        <v>34</v>
      </c>
      <c r="N34" s="4">
        <v>34</v>
      </c>
      <c r="O34" s="4">
        <v>34</v>
      </c>
      <c r="P34" s="4">
        <v>34</v>
      </c>
      <c r="Q34" s="10">
        <v>34</v>
      </c>
      <c r="R34" s="4">
        <v>34</v>
      </c>
      <c r="S34" s="4">
        <v>34</v>
      </c>
      <c r="T34" s="4">
        <v>34</v>
      </c>
      <c r="U34" s="12">
        <f>+IFERROR(R34/T34,"")</f>
        <v>1</v>
      </c>
      <c r="V34" s="1">
        <f>+R34</f>
        <v>34</v>
      </c>
      <c r="W34" s="1"/>
      <c r="X34" s="43">
        <f>+V34</f>
        <v>34</v>
      </c>
      <c r="Y34" s="4"/>
      <c r="Z34" s="4">
        <v>34</v>
      </c>
      <c r="AA34" s="12">
        <f>+IFERROR(X34/Z34,"")</f>
        <v>1</v>
      </c>
      <c r="AB34" s="1">
        <f>+R34</f>
        <v>34</v>
      </c>
      <c r="AC34" s="1"/>
      <c r="AD34" s="3">
        <f>+AB34</f>
        <v>34</v>
      </c>
      <c r="AE34" s="4"/>
      <c r="AF34" s="4">
        <f>+_xlfn.XLOOKUP(A34,'[3]REQUERIMIENTO INBOUND'!B:B,'[3]REQUERIMIENTO INBOUND'!AE:AE,"",0)</f>
        <v>34</v>
      </c>
      <c r="AG34" s="12">
        <f>+IFERROR(AD34/AF34,"")</f>
        <v>1</v>
      </c>
      <c r="AH34" s="1">
        <f>+AD34</f>
        <v>34</v>
      </c>
      <c r="AI34" s="1"/>
      <c r="AJ34" s="3">
        <f>+AH34</f>
        <v>34</v>
      </c>
      <c r="AK34" s="4"/>
      <c r="AL34" s="4">
        <f>+_xlfn.XLOOKUP(A34,'[3]REQUERIMIENTO INBOUND'!B:B,'[3]REQUERIMIENTO INBOUND'!AI:AI,"",0)</f>
        <v>34</v>
      </c>
      <c r="AM34" s="12">
        <f>+IFERROR(AJ34/AL34,"")</f>
        <v>1</v>
      </c>
      <c r="AN34" s="1">
        <f>+AJ34</f>
        <v>34</v>
      </c>
      <c r="AO34" s="1"/>
      <c r="AP34" s="3">
        <f>+AN34</f>
        <v>34</v>
      </c>
      <c r="AQ34" s="4"/>
      <c r="AR34" s="4">
        <f>+[2]Capacity!$AM$28</f>
        <v>26</v>
      </c>
      <c r="AS34" s="12">
        <f>+IFERROR(AP34/AR34,"")</f>
        <v>1.3076923076923077</v>
      </c>
      <c r="AT34" s="1">
        <f>+AP34</f>
        <v>34</v>
      </c>
    </row>
    <row r="35" spans="1:46" x14ac:dyDescent="0.3">
      <c r="A35" s="26" t="s">
        <v>22</v>
      </c>
      <c r="B35" s="4">
        <v>3</v>
      </c>
      <c r="C35" s="10">
        <v>3</v>
      </c>
      <c r="D35" s="24">
        <f>+'[4]Requerimiento Inbound'!$FF$21</f>
        <v>3</v>
      </c>
      <c r="E35" s="4">
        <v>5</v>
      </c>
      <c r="F35" s="4">
        <v>5</v>
      </c>
      <c r="G35" s="1">
        <f>+'[4]Requerimiento Inbound'!$FF$21</f>
        <v>3</v>
      </c>
      <c r="H35" s="4">
        <v>5</v>
      </c>
      <c r="I35" s="4">
        <v>5</v>
      </c>
      <c r="J35" s="1">
        <f>+'[4]Requerimiento Inbound'!$FF$21</f>
        <v>3</v>
      </c>
      <c r="K35" s="4">
        <v>5</v>
      </c>
      <c r="L35" s="4">
        <v>5</v>
      </c>
      <c r="M35" s="1">
        <f>+'[4]Requerimiento Inbound'!$FF$21</f>
        <v>3</v>
      </c>
      <c r="N35" s="4">
        <v>5</v>
      </c>
      <c r="O35" s="4">
        <v>5</v>
      </c>
      <c r="P35" s="4">
        <v>3</v>
      </c>
      <c r="Q35" s="10">
        <v>5</v>
      </c>
      <c r="R35" s="4">
        <v>5</v>
      </c>
      <c r="S35" s="4">
        <v>5</v>
      </c>
      <c r="T35" s="4">
        <v>5</v>
      </c>
      <c r="U35" s="12">
        <f>+IFERROR(R35/T35,"")</f>
        <v>1</v>
      </c>
      <c r="V35" s="1">
        <f>+R35</f>
        <v>5</v>
      </c>
      <c r="W35" s="1"/>
      <c r="X35" s="43">
        <f>+V35</f>
        <v>5</v>
      </c>
      <c r="Y35" s="4"/>
      <c r="Z35" s="4">
        <v>5</v>
      </c>
      <c r="AA35" s="12">
        <f>+IFERROR(X35/Z35,"")</f>
        <v>1</v>
      </c>
      <c r="AB35" s="1">
        <f>+R35</f>
        <v>5</v>
      </c>
      <c r="AC35" s="1"/>
      <c r="AD35" s="3">
        <f>+AB35</f>
        <v>5</v>
      </c>
      <c r="AE35" s="4"/>
      <c r="AF35" s="4">
        <f>+_xlfn.XLOOKUP(A35,'[3]REQUERIMIENTO INBOUND'!B:B,'[3]REQUERIMIENTO INBOUND'!AE:AE,"",0)</f>
        <v>5</v>
      </c>
      <c r="AG35" s="12">
        <f>+IFERROR(AD35/AF35,"")</f>
        <v>1</v>
      </c>
      <c r="AH35" s="1">
        <f>+AD35</f>
        <v>5</v>
      </c>
      <c r="AI35" s="1"/>
      <c r="AJ35" s="3">
        <f>+AH35</f>
        <v>5</v>
      </c>
      <c r="AK35" s="4"/>
      <c r="AL35" s="4">
        <f>+_xlfn.XLOOKUP(A35,'[3]REQUERIMIENTO INBOUND'!B:B,'[3]REQUERIMIENTO INBOUND'!AI:AI,"",0)</f>
        <v>5</v>
      </c>
      <c r="AM35" s="12">
        <f>+IFERROR(AJ35/AL35,"")</f>
        <v>1</v>
      </c>
      <c r="AN35" s="1">
        <f>+AJ35</f>
        <v>5</v>
      </c>
      <c r="AO35" s="1"/>
      <c r="AP35" s="3">
        <f>+AN35</f>
        <v>5</v>
      </c>
      <c r="AQ35" s="4"/>
      <c r="AR35" s="4">
        <f>+[2]Capacity!$AM$29</f>
        <v>5</v>
      </c>
      <c r="AS35" s="12">
        <f>+IFERROR(AP35/AR35,"")</f>
        <v>1</v>
      </c>
      <c r="AT35" s="1">
        <f>+AP35</f>
        <v>5</v>
      </c>
    </row>
    <row r="36" spans="1:46" x14ac:dyDescent="0.3">
      <c r="A36" s="26" t="s">
        <v>21</v>
      </c>
      <c r="B36" s="4">
        <v>20</v>
      </c>
      <c r="C36" s="10">
        <v>20</v>
      </c>
      <c r="D36" s="24">
        <f>+'[4]Requerimiento Inbound'!$FF$7</f>
        <v>22</v>
      </c>
      <c r="E36" s="4">
        <v>22</v>
      </c>
      <c r="F36" s="4">
        <v>22</v>
      </c>
      <c r="G36" s="1">
        <f>+'[4]Requerimiento Inbound'!$FF$7</f>
        <v>22</v>
      </c>
      <c r="H36" s="4">
        <v>22</v>
      </c>
      <c r="I36" s="4">
        <v>22</v>
      </c>
      <c r="J36" s="1">
        <f>+'[4]Requerimiento Inbound'!$FF$7</f>
        <v>22</v>
      </c>
      <c r="K36" s="4">
        <v>23</v>
      </c>
      <c r="L36" s="4">
        <v>22</v>
      </c>
      <c r="M36" s="1">
        <f>+'[4]Requerimiento Inbound'!$FF$7</f>
        <v>22</v>
      </c>
      <c r="N36" s="4">
        <v>22</v>
      </c>
      <c r="O36" s="4">
        <v>22</v>
      </c>
      <c r="P36" s="4">
        <v>22</v>
      </c>
      <c r="Q36" s="10">
        <v>22</v>
      </c>
      <c r="R36" s="4">
        <v>22</v>
      </c>
      <c r="S36" s="4">
        <v>22</v>
      </c>
      <c r="T36" s="4">
        <v>22</v>
      </c>
      <c r="U36" s="12">
        <f>+IFERROR(R36/T36,"")</f>
        <v>1</v>
      </c>
      <c r="V36" s="1">
        <f>+R36</f>
        <v>22</v>
      </c>
      <c r="W36" s="1"/>
      <c r="X36" s="43">
        <f>+V36</f>
        <v>22</v>
      </c>
      <c r="Y36" s="4"/>
      <c r="Z36" s="4">
        <v>22</v>
      </c>
      <c r="AA36" s="12">
        <f>+IFERROR(X36/Z36,"")</f>
        <v>1</v>
      </c>
      <c r="AB36" s="1">
        <f>+R36</f>
        <v>22</v>
      </c>
      <c r="AC36" s="1"/>
      <c r="AD36" s="3">
        <f>+AB36</f>
        <v>22</v>
      </c>
      <c r="AE36" s="4"/>
      <c r="AF36" s="4">
        <f>+_xlfn.XLOOKUP(A36,'[3]REQUERIMIENTO INBOUND'!B:B,'[3]REQUERIMIENTO INBOUND'!AE:AE,"",0)</f>
        <v>22</v>
      </c>
      <c r="AG36" s="12">
        <f>+IFERROR(AD36/AF36,"")</f>
        <v>1</v>
      </c>
      <c r="AH36" s="1">
        <f>+AD36</f>
        <v>22</v>
      </c>
      <c r="AI36" s="1"/>
      <c r="AJ36" s="3">
        <f>+AH36</f>
        <v>22</v>
      </c>
      <c r="AK36" s="4"/>
      <c r="AL36" s="4">
        <f>+_xlfn.XLOOKUP(A36,'[3]REQUERIMIENTO INBOUND'!B:B,'[3]REQUERIMIENTO INBOUND'!AI:AI,"",0)</f>
        <v>22</v>
      </c>
      <c r="AM36" s="12">
        <f>+IFERROR(AJ36/AL36,"")</f>
        <v>1</v>
      </c>
      <c r="AN36" s="1">
        <f>+AJ36</f>
        <v>22</v>
      </c>
      <c r="AO36" s="1"/>
      <c r="AP36" s="3">
        <f>+AN36</f>
        <v>22</v>
      </c>
      <c r="AQ36" s="4"/>
      <c r="AR36" s="4">
        <f>+[2]Capacity!$AM$30</f>
        <v>22</v>
      </c>
      <c r="AS36" s="12">
        <f>+IFERROR(AP36/AR36,"")</f>
        <v>1</v>
      </c>
      <c r="AT36" s="1">
        <f>+AP36</f>
        <v>22</v>
      </c>
    </row>
    <row r="37" spans="1:46" x14ac:dyDescent="0.3">
      <c r="A37" s="26" t="s">
        <v>20</v>
      </c>
      <c r="B37" s="4">
        <v>14</v>
      </c>
      <c r="C37" s="10">
        <v>14</v>
      </c>
      <c r="D37" s="24">
        <f>+'[4]Requerimiento Inbound'!$FF$18</f>
        <v>14</v>
      </c>
      <c r="E37" s="4">
        <v>14</v>
      </c>
      <c r="F37" s="4">
        <v>14</v>
      </c>
      <c r="G37" s="1">
        <f>+'[4]Requerimiento Inbound'!$FF$18</f>
        <v>14</v>
      </c>
      <c r="H37" s="4">
        <v>14</v>
      </c>
      <c r="I37" s="4">
        <v>14</v>
      </c>
      <c r="J37" s="1">
        <f>+'[4]Requerimiento Inbound'!$FF$18</f>
        <v>14</v>
      </c>
      <c r="K37" s="4">
        <v>13</v>
      </c>
      <c r="L37" s="4">
        <v>13</v>
      </c>
      <c r="M37" s="1">
        <f>+'[4]Requerimiento Inbound'!$FF$18</f>
        <v>14</v>
      </c>
      <c r="N37" s="4">
        <v>14</v>
      </c>
      <c r="O37" s="4">
        <v>14</v>
      </c>
      <c r="P37" s="4">
        <v>14</v>
      </c>
      <c r="Q37" s="10">
        <v>14</v>
      </c>
      <c r="R37" s="4">
        <v>14</v>
      </c>
      <c r="S37" s="4">
        <v>14</v>
      </c>
      <c r="T37" s="4">
        <v>14</v>
      </c>
      <c r="U37" s="12">
        <f>+IFERROR(R37/T37,"")</f>
        <v>1</v>
      </c>
      <c r="V37" s="1">
        <f>+R37</f>
        <v>14</v>
      </c>
      <c r="W37" s="1"/>
      <c r="X37" s="43">
        <f>+V37</f>
        <v>14</v>
      </c>
      <c r="Y37" s="4"/>
      <c r="Z37" s="4">
        <v>14</v>
      </c>
      <c r="AA37" s="12">
        <f>+IFERROR(X37/Z37,"")</f>
        <v>1</v>
      </c>
      <c r="AB37" s="1">
        <f>+R37</f>
        <v>14</v>
      </c>
      <c r="AC37" s="1"/>
      <c r="AD37" s="3">
        <f>+AB37</f>
        <v>14</v>
      </c>
      <c r="AE37" s="4"/>
      <c r="AF37" s="4">
        <f>+_xlfn.XLOOKUP(A37,'[3]REQUERIMIENTO INBOUND'!B:B,'[3]REQUERIMIENTO INBOUND'!AE:AE,"",0)</f>
        <v>14</v>
      </c>
      <c r="AG37" s="12">
        <f>+IFERROR(AD37/AF37,"")</f>
        <v>1</v>
      </c>
      <c r="AH37" s="1">
        <f>+AD37</f>
        <v>14</v>
      </c>
      <c r="AI37" s="1"/>
      <c r="AJ37" s="3">
        <f>+AH37</f>
        <v>14</v>
      </c>
      <c r="AK37" s="4"/>
      <c r="AL37" s="4">
        <f>+_xlfn.XLOOKUP(A37,'[3]REQUERIMIENTO INBOUND'!B:B,'[3]REQUERIMIENTO INBOUND'!AI:AI,"",0)</f>
        <v>14</v>
      </c>
      <c r="AM37" s="12">
        <f>+IFERROR(AJ37/AL37,"")</f>
        <v>1</v>
      </c>
      <c r="AN37" s="1">
        <f>+AJ37</f>
        <v>14</v>
      </c>
      <c r="AO37" s="1"/>
      <c r="AP37" s="3">
        <f>+AN37</f>
        <v>14</v>
      </c>
      <c r="AQ37" s="4"/>
      <c r="AR37" s="4">
        <f>+[2]Capacity!$AM$31</f>
        <v>14</v>
      </c>
      <c r="AS37" s="12">
        <f>+IFERROR(AP37/AR37,"")</f>
        <v>1</v>
      </c>
      <c r="AT37" s="1">
        <f>+AP37</f>
        <v>14</v>
      </c>
    </row>
    <row r="38" spans="1:46" x14ac:dyDescent="0.3">
      <c r="A38" s="51" t="s">
        <v>19</v>
      </c>
      <c r="B38" s="46">
        <v>11</v>
      </c>
      <c r="C38" s="49">
        <v>10</v>
      </c>
      <c r="D38" s="50">
        <f>+'[4]Requerimiento Inbound'!$FF$19</f>
        <v>10</v>
      </c>
      <c r="E38" s="46">
        <v>10</v>
      </c>
      <c r="F38" s="46">
        <v>10</v>
      </c>
      <c r="G38" s="44">
        <f>+'[4]Requerimiento Inbound'!$FF$19</f>
        <v>10</v>
      </c>
      <c r="H38" s="46">
        <v>10</v>
      </c>
      <c r="I38" s="46">
        <v>10</v>
      </c>
      <c r="J38" s="44">
        <f>+'[4]Requerimiento Inbound'!$FF$19</f>
        <v>10</v>
      </c>
      <c r="K38" s="46">
        <v>10</v>
      </c>
      <c r="L38" s="46">
        <v>10</v>
      </c>
      <c r="M38" s="44">
        <f>+'[4]Requerimiento Inbound'!$FF$19</f>
        <v>10</v>
      </c>
      <c r="N38" s="46">
        <v>10</v>
      </c>
      <c r="O38" s="46">
        <v>10</v>
      </c>
      <c r="P38" s="46">
        <v>10</v>
      </c>
      <c r="Q38" s="49">
        <v>10</v>
      </c>
      <c r="R38" s="46">
        <v>10</v>
      </c>
      <c r="S38" s="46">
        <v>9</v>
      </c>
      <c r="T38" s="46">
        <v>10</v>
      </c>
      <c r="U38" s="45">
        <f>+IFERROR(R38/T38,"")</f>
        <v>1</v>
      </c>
      <c r="V38" s="44">
        <f>+R38</f>
        <v>10</v>
      </c>
      <c r="W38" s="44"/>
      <c r="X38" s="48">
        <f>+V38</f>
        <v>10</v>
      </c>
      <c r="Y38" s="46"/>
      <c r="Z38" s="46">
        <v>10</v>
      </c>
      <c r="AA38" s="45">
        <f>+IFERROR(X38/Z38,"")</f>
        <v>1</v>
      </c>
      <c r="AB38" s="44">
        <f>+R38</f>
        <v>10</v>
      </c>
      <c r="AC38" s="44"/>
      <c r="AD38" s="47">
        <f>+AB38</f>
        <v>10</v>
      </c>
      <c r="AE38" s="46"/>
      <c r="AF38" s="46">
        <f>+_xlfn.XLOOKUP(A38,'[3]REQUERIMIENTO INBOUND'!B:B,'[3]REQUERIMIENTO INBOUND'!AE:AE,"",0)</f>
        <v>10</v>
      </c>
      <c r="AG38" s="45">
        <f>+IFERROR(AD38/AF38,"")</f>
        <v>1</v>
      </c>
      <c r="AH38" s="44">
        <f>+AD38</f>
        <v>10</v>
      </c>
      <c r="AI38" s="44"/>
      <c r="AJ38" s="47">
        <f>+AH38</f>
        <v>10</v>
      </c>
      <c r="AK38" s="46"/>
      <c r="AL38" s="46">
        <f>+_xlfn.XLOOKUP(A38,'[3]REQUERIMIENTO INBOUND'!B:B,'[3]REQUERIMIENTO INBOUND'!AI:AI,"",0)</f>
        <v>10</v>
      </c>
      <c r="AM38" s="45">
        <f>+IFERROR(AJ38/AL38,"")</f>
        <v>1</v>
      </c>
      <c r="AN38" s="44">
        <f>+AJ38</f>
        <v>10</v>
      </c>
      <c r="AO38" s="44"/>
      <c r="AP38" s="47">
        <f>+AN38</f>
        <v>10</v>
      </c>
      <c r="AQ38" s="46"/>
      <c r="AR38" s="46">
        <f>+[2]Capacity!$AM$32</f>
        <v>10</v>
      </c>
      <c r="AS38" s="45">
        <f>+IFERROR(AP38/AR38,"")</f>
        <v>1</v>
      </c>
      <c r="AT38" s="44">
        <f>+AP38</f>
        <v>10</v>
      </c>
    </row>
    <row r="39" spans="1:46" x14ac:dyDescent="0.3">
      <c r="A39" s="26" t="s">
        <v>18</v>
      </c>
      <c r="B39" s="4">
        <v>3</v>
      </c>
      <c r="C39" s="10">
        <v>3</v>
      </c>
      <c r="D39" s="24">
        <f>+'[4]Requerimiento Inbound'!$FF$10</f>
        <v>5</v>
      </c>
      <c r="E39" s="4">
        <v>3</v>
      </c>
      <c r="F39" s="4">
        <v>3</v>
      </c>
      <c r="G39" s="1">
        <f>+'[4]Requerimiento Inbound'!$FF$10</f>
        <v>5</v>
      </c>
      <c r="H39" s="4">
        <v>3</v>
      </c>
      <c r="I39" s="4">
        <v>3</v>
      </c>
      <c r="J39" s="1">
        <f>+'[4]Requerimiento Inbound'!$FF$10</f>
        <v>5</v>
      </c>
      <c r="K39" s="4">
        <v>4</v>
      </c>
      <c r="L39" s="4">
        <v>4</v>
      </c>
      <c r="M39" s="1">
        <f>+'[4]Requerimiento Inbound'!$FF$10</f>
        <v>5</v>
      </c>
      <c r="N39" s="4">
        <v>5</v>
      </c>
      <c r="O39" s="4">
        <v>5</v>
      </c>
      <c r="P39" s="4">
        <v>5</v>
      </c>
      <c r="Q39" s="10">
        <v>5</v>
      </c>
      <c r="R39" s="4">
        <v>5</v>
      </c>
      <c r="S39" s="4">
        <v>5</v>
      </c>
      <c r="T39" s="4">
        <v>5</v>
      </c>
      <c r="U39" s="12">
        <f>+IFERROR(R39/T39,"")</f>
        <v>1</v>
      </c>
      <c r="V39" s="1">
        <f>+R39</f>
        <v>5</v>
      </c>
      <c r="W39" s="1"/>
      <c r="X39" s="43">
        <f>+V39</f>
        <v>5</v>
      </c>
      <c r="Y39" s="4"/>
      <c r="Z39" s="4">
        <v>5</v>
      </c>
      <c r="AA39" s="12">
        <f>+IFERROR(X39/Z39,"")</f>
        <v>1</v>
      </c>
      <c r="AB39" s="1">
        <f>+R39</f>
        <v>5</v>
      </c>
      <c r="AC39" s="1"/>
      <c r="AD39" s="3">
        <f>+AB39</f>
        <v>5</v>
      </c>
      <c r="AE39" s="4"/>
      <c r="AF39" s="4">
        <f>+_xlfn.XLOOKUP(A39,'[3]REQUERIMIENTO INBOUND'!B:B,'[3]REQUERIMIENTO INBOUND'!AE:AE,"",0)</f>
        <v>5</v>
      </c>
      <c r="AG39" s="12">
        <f>+IFERROR(AD39/AF39,"")</f>
        <v>1</v>
      </c>
      <c r="AH39" s="1">
        <f>+AD39</f>
        <v>5</v>
      </c>
      <c r="AI39" s="1"/>
      <c r="AJ39" s="3">
        <f>+AH39</f>
        <v>5</v>
      </c>
      <c r="AK39" s="4"/>
      <c r="AL39" s="4">
        <f>+_xlfn.XLOOKUP(A39,'[3]REQUERIMIENTO INBOUND'!B:B,'[3]REQUERIMIENTO INBOUND'!AI:AI,"",0)</f>
        <v>5</v>
      </c>
      <c r="AM39" s="12">
        <f>+IFERROR(AJ39/AL39,"")</f>
        <v>1</v>
      </c>
      <c r="AN39" s="1">
        <f>+AJ39</f>
        <v>5</v>
      </c>
      <c r="AO39" s="1"/>
      <c r="AP39" s="3">
        <f>+AN39</f>
        <v>5</v>
      </c>
      <c r="AQ39" s="4"/>
      <c r="AR39" s="4">
        <f>+[2]Capacity!$AM$33</f>
        <v>5</v>
      </c>
      <c r="AS39" s="12">
        <f>+IFERROR(AP39/AR39,"")</f>
        <v>1</v>
      </c>
      <c r="AT39" s="1">
        <f>+AP39</f>
        <v>5</v>
      </c>
    </row>
    <row r="40" spans="1:46" ht="21.6" customHeight="1" x14ac:dyDescent="0.3">
      <c r="A40" s="26" t="s">
        <v>17</v>
      </c>
      <c r="B40" s="4">
        <v>4</v>
      </c>
      <c r="C40" s="10">
        <v>4</v>
      </c>
      <c r="D40" s="24">
        <f>+'[4]Requerimiento Inbound'!$FF$32</f>
        <v>5</v>
      </c>
      <c r="E40" s="4">
        <v>4</v>
      </c>
      <c r="F40" s="4">
        <v>4</v>
      </c>
      <c r="G40" s="1">
        <f>+'[4]Requerimiento Inbound'!$FF$32</f>
        <v>5</v>
      </c>
      <c r="H40" s="4">
        <v>4</v>
      </c>
      <c r="I40" s="4">
        <v>4</v>
      </c>
      <c r="J40" s="1">
        <f>+'[4]Requerimiento Inbound'!$FF$32</f>
        <v>5</v>
      </c>
      <c r="K40" s="4">
        <v>4</v>
      </c>
      <c r="L40" s="4">
        <v>4</v>
      </c>
      <c r="M40" s="1">
        <f>+'[4]Requerimiento Inbound'!$FF$32</f>
        <v>5</v>
      </c>
      <c r="N40" s="4">
        <v>4</v>
      </c>
      <c r="O40" s="4">
        <v>4</v>
      </c>
      <c r="P40" s="4">
        <v>5</v>
      </c>
      <c r="Q40" s="10">
        <v>4</v>
      </c>
      <c r="R40" s="4">
        <v>4</v>
      </c>
      <c r="S40" s="4">
        <v>4</v>
      </c>
      <c r="T40" s="4">
        <v>5</v>
      </c>
      <c r="U40" s="12">
        <f>+IFERROR(R40/T40,"")</f>
        <v>0.8</v>
      </c>
      <c r="V40" s="1">
        <f>+R40</f>
        <v>4</v>
      </c>
      <c r="W40" s="1"/>
      <c r="X40" s="43">
        <f>+V40</f>
        <v>4</v>
      </c>
      <c r="Y40" s="4"/>
      <c r="Z40" s="4">
        <v>5</v>
      </c>
      <c r="AA40" s="12">
        <f>+IFERROR(X40/Z40,"")</f>
        <v>0.8</v>
      </c>
      <c r="AB40" s="1">
        <f>+X40</f>
        <v>4</v>
      </c>
      <c r="AC40" s="1"/>
      <c r="AD40" s="3">
        <f>+AB40</f>
        <v>4</v>
      </c>
      <c r="AE40" s="4"/>
      <c r="AF40" s="4">
        <f>+_xlfn.XLOOKUP(A40,'[3]REQUERIMIENTO INBOUND'!B:B,'[3]REQUERIMIENTO INBOUND'!AE:AE,"",0)</f>
        <v>5</v>
      </c>
      <c r="AG40" s="12">
        <f>+IFERROR(AD40/AF40,"")</f>
        <v>0.8</v>
      </c>
      <c r="AH40" s="1">
        <f>+AD40</f>
        <v>4</v>
      </c>
      <c r="AI40" s="1"/>
      <c r="AJ40" s="3">
        <f>+AH40</f>
        <v>4</v>
      </c>
      <c r="AK40" s="4"/>
      <c r="AL40" s="4">
        <f>+_xlfn.XLOOKUP(A40,'[3]REQUERIMIENTO INBOUND'!B:B,'[3]REQUERIMIENTO INBOUND'!AI:AI,"",0)</f>
        <v>5</v>
      </c>
      <c r="AM40" s="12">
        <f>+IFERROR(AJ40/AL40,"")</f>
        <v>0.8</v>
      </c>
      <c r="AN40" s="1">
        <f>+AJ40</f>
        <v>4</v>
      </c>
      <c r="AO40" s="1"/>
      <c r="AP40" s="3">
        <f>+AN40</f>
        <v>4</v>
      </c>
      <c r="AQ40" s="4"/>
      <c r="AR40" s="4">
        <f>+[2]Capacity!$AM$34</f>
        <v>5</v>
      </c>
      <c r="AS40" s="12">
        <f>+IFERROR(AP40/AR40,"")</f>
        <v>0.8</v>
      </c>
      <c r="AT40" s="1">
        <f>+AP40</f>
        <v>4</v>
      </c>
    </row>
    <row r="41" spans="1:46" x14ac:dyDescent="0.3">
      <c r="A41" s="42" t="s">
        <v>16</v>
      </c>
      <c r="B41" s="37">
        <v>15</v>
      </c>
      <c r="C41" s="40">
        <v>15</v>
      </c>
      <c r="D41" s="41">
        <f>+'[4]Requerimiento Inbound'!$FF$25</f>
        <v>0</v>
      </c>
      <c r="E41" s="37">
        <v>15</v>
      </c>
      <c r="F41" s="37">
        <v>15</v>
      </c>
      <c r="G41" s="35">
        <f>+'[4]Requerimiento Inbound'!$FF$25</f>
        <v>0</v>
      </c>
      <c r="H41" s="37">
        <v>14</v>
      </c>
      <c r="I41" s="37">
        <v>14</v>
      </c>
      <c r="J41" s="35">
        <f>+'[4]Requerimiento Inbound'!$FF$25</f>
        <v>0</v>
      </c>
      <c r="K41" s="37">
        <v>14</v>
      </c>
      <c r="L41" s="37">
        <v>14</v>
      </c>
      <c r="M41" s="35">
        <f>+'[4]Requerimiento Inbound'!$FF$25</f>
        <v>0</v>
      </c>
      <c r="N41" s="37">
        <v>14</v>
      </c>
      <c r="O41" s="37">
        <v>14</v>
      </c>
      <c r="P41" s="37">
        <v>0</v>
      </c>
      <c r="Q41" s="40">
        <v>14</v>
      </c>
      <c r="R41" s="37"/>
      <c r="S41" s="37"/>
      <c r="T41" s="37">
        <v>0</v>
      </c>
      <c r="U41" s="36" t="str">
        <f>+IFERROR(R41/T41,"")</f>
        <v/>
      </c>
      <c r="V41" s="35"/>
      <c r="W41" s="35"/>
      <c r="X41" s="39">
        <f>+V41</f>
        <v>0</v>
      </c>
      <c r="Y41" s="37"/>
      <c r="Z41" s="37">
        <v>0</v>
      </c>
      <c r="AA41" s="36" t="str">
        <f>+IFERROR(X41/Z41,"")</f>
        <v/>
      </c>
      <c r="AB41" s="35"/>
      <c r="AC41" s="35"/>
      <c r="AD41" s="38">
        <f>+AB41</f>
        <v>0</v>
      </c>
      <c r="AE41" s="37"/>
      <c r="AF41" s="37">
        <f>+_xlfn.XLOOKUP(A41,'[3]REQUERIMIENTO INBOUND'!B:B,'[3]REQUERIMIENTO INBOUND'!AE:AE,"",0)</f>
        <v>0</v>
      </c>
      <c r="AG41" s="36" t="str">
        <f>+IFERROR(AD41/AF41,"")</f>
        <v/>
      </c>
      <c r="AH41" s="35">
        <v>13</v>
      </c>
      <c r="AI41" s="35"/>
      <c r="AJ41" s="38">
        <f>+AH41</f>
        <v>13</v>
      </c>
      <c r="AK41" s="37"/>
      <c r="AL41" s="37">
        <f>+_xlfn.XLOOKUP(A41,'[3]REQUERIMIENTO INBOUND'!B:B,'[3]REQUERIMIENTO INBOUND'!AI:AI,"",0)</f>
        <v>0</v>
      </c>
      <c r="AM41" s="36" t="str">
        <f>+IFERROR(AJ41/AL41,"")</f>
        <v/>
      </c>
      <c r="AN41" s="35">
        <v>13</v>
      </c>
      <c r="AO41" s="35"/>
      <c r="AP41" s="38">
        <f>+AN41</f>
        <v>13</v>
      </c>
      <c r="AQ41" s="37"/>
      <c r="AR41" s="37">
        <f>+[2]Capacity!$AM$35</f>
        <v>0</v>
      </c>
      <c r="AS41" s="36" t="str">
        <f>+IFERROR(AP41/AR41,"")</f>
        <v/>
      </c>
      <c r="AT41" s="35">
        <v>13</v>
      </c>
    </row>
    <row r="42" spans="1:46" x14ac:dyDescent="0.3">
      <c r="A42" s="21" t="s">
        <v>12</v>
      </c>
      <c r="B42" s="15">
        <f>+SUM(B24:B41)</f>
        <v>425</v>
      </c>
      <c r="C42" s="19">
        <f>+SUM(C24:C41)</f>
        <v>423</v>
      </c>
      <c r="D42" s="34">
        <f>+SUM(D24:D41)</f>
        <v>407</v>
      </c>
      <c r="E42" s="15">
        <f>+SUM(E24:E41)</f>
        <v>454</v>
      </c>
      <c r="F42" s="15">
        <f>+SUM(F24:F41)</f>
        <v>449</v>
      </c>
      <c r="G42" s="15">
        <f>+SUM(G24:G41)</f>
        <v>407</v>
      </c>
      <c r="H42" s="15">
        <f>+SUM(H24:H41)</f>
        <v>459</v>
      </c>
      <c r="I42" s="15">
        <f>+SUM(I24:I41)</f>
        <v>456</v>
      </c>
      <c r="J42" s="17">
        <f>+SUM(J24:J40)</f>
        <v>407</v>
      </c>
      <c r="K42" s="15">
        <f>+SUM(K24:K41)</f>
        <v>455</v>
      </c>
      <c r="L42" s="15">
        <f>+SUM(L24:L41)</f>
        <v>452</v>
      </c>
      <c r="M42" s="15">
        <f>+SUM(M24:M41)</f>
        <v>407</v>
      </c>
      <c r="N42" s="15">
        <f>+SUM(N24:N41)</f>
        <v>436</v>
      </c>
      <c r="O42" s="15">
        <f>+SUM(O24:O41)</f>
        <v>436</v>
      </c>
      <c r="P42" s="15">
        <f>+SUM(P24:P41)</f>
        <v>407</v>
      </c>
      <c r="Q42" s="33">
        <f>+SUM(Q24:Q41)</f>
        <v>436</v>
      </c>
      <c r="R42" s="16">
        <f>+SUM(R24:R41)</f>
        <v>441</v>
      </c>
      <c r="S42" s="16">
        <f>+SUM(S24:S41)</f>
        <v>439</v>
      </c>
      <c r="T42" s="15">
        <f>+SUM(T24:T41)</f>
        <v>438</v>
      </c>
      <c r="U42" s="18">
        <f>+R42/T42</f>
        <v>1.0068493150684932</v>
      </c>
      <c r="V42" s="16">
        <f>+SUM(V24:V41)</f>
        <v>436.64058618059204</v>
      </c>
      <c r="W42" s="17"/>
      <c r="X42" s="16">
        <f>+SUM(X24:X41)</f>
        <v>431.64058618059204</v>
      </c>
      <c r="Y42" s="15"/>
      <c r="Z42" s="15">
        <f>+SUM(Z24:Z41)</f>
        <v>440</v>
      </c>
      <c r="AA42" s="12">
        <f>+X42/Z42</f>
        <v>0.98100133222861829</v>
      </c>
      <c r="AB42" s="33">
        <f>+SUM(AB24:AB41)</f>
        <v>428.32999440542636</v>
      </c>
      <c r="AC42" s="17"/>
      <c r="AD42" s="16">
        <f>+SUM(AD24:AD41)</f>
        <v>428.32999440542636</v>
      </c>
      <c r="AE42" s="15"/>
      <c r="AF42" s="15">
        <f>+SUM(AF24:AF41)</f>
        <v>431</v>
      </c>
      <c r="AG42" s="12">
        <f>+AD42/AF42</f>
        <v>0.99380509142790341</v>
      </c>
      <c r="AH42" s="33">
        <f>+SUM(AH24:AH41)</f>
        <v>434.43221441080192</v>
      </c>
      <c r="AI42" s="17"/>
      <c r="AJ42" s="16">
        <f>ROUNDDOWN(+SUM(AJ24:AJ41),0)</f>
        <v>434</v>
      </c>
      <c r="AK42" s="15"/>
      <c r="AL42" s="15">
        <f>+SUM(AL24:AL41)</f>
        <v>434</v>
      </c>
      <c r="AM42" s="12">
        <f>+AJ42/AL42</f>
        <v>1</v>
      </c>
      <c r="AN42" s="33">
        <f>+SUM(AN24:AN41)</f>
        <v>428.24306492743852</v>
      </c>
      <c r="AO42" s="17"/>
      <c r="AP42" s="16">
        <f>ROUNDDOWN(+SUM(AP24:AP41),0)</f>
        <v>428</v>
      </c>
      <c r="AQ42" s="15"/>
      <c r="AR42" s="15">
        <f>+SUM(AR24:AR41)</f>
        <v>438</v>
      </c>
      <c r="AS42" s="12">
        <f>+AP42/AR42</f>
        <v>0.97716894977168944</v>
      </c>
      <c r="AT42" s="33">
        <f>+SUM(AT24:AT41)</f>
        <v>426.24306492743852</v>
      </c>
    </row>
    <row r="43" spans="1:46" x14ac:dyDescent="0.3">
      <c r="A43" s="13" t="s">
        <v>11</v>
      </c>
      <c r="B43" s="4"/>
      <c r="C43" s="10"/>
      <c r="D43" s="24"/>
      <c r="E43" s="4"/>
      <c r="F43" s="4"/>
      <c r="G43" s="1"/>
      <c r="H43" s="4"/>
      <c r="I43" s="4"/>
      <c r="J43" s="1"/>
      <c r="K43" s="5"/>
      <c r="L43" s="5"/>
      <c r="M43" s="1"/>
      <c r="N43" s="4"/>
      <c r="O43" s="4"/>
      <c r="P43" s="12">
        <f>+N42/P42</f>
        <v>1.0712530712530712</v>
      </c>
      <c r="Q43" s="10"/>
      <c r="R43" s="4"/>
      <c r="S43" s="4"/>
      <c r="T43" s="12">
        <f>+R42/T42</f>
        <v>1.0068493150684932</v>
      </c>
      <c r="U43" s="4"/>
      <c r="V43" s="1"/>
      <c r="W43" s="1"/>
      <c r="X43" s="4"/>
      <c r="Y43" s="4"/>
      <c r="Z43" s="4"/>
      <c r="AA43" s="4"/>
      <c r="AB43" s="1"/>
      <c r="AC43" s="1"/>
      <c r="AD43" s="4"/>
      <c r="AE43" s="4"/>
      <c r="AF43" s="4"/>
      <c r="AG43" s="4"/>
      <c r="AH43" s="1"/>
      <c r="AI43" s="1"/>
      <c r="AJ43" s="4"/>
      <c r="AK43" s="4"/>
      <c r="AL43" s="4"/>
      <c r="AM43" s="4"/>
      <c r="AN43" s="1"/>
      <c r="AO43" s="1"/>
      <c r="AP43" s="4"/>
      <c r="AQ43" s="4"/>
      <c r="AR43" s="4"/>
      <c r="AS43" s="4"/>
      <c r="AT43" s="1"/>
    </row>
    <row r="44" spans="1:46" x14ac:dyDescent="0.3">
      <c r="A44" s="5"/>
      <c r="B44" s="4"/>
      <c r="C44" s="10"/>
      <c r="D44" s="32"/>
      <c r="E44" s="4"/>
      <c r="F44" s="4"/>
      <c r="G44" s="4"/>
      <c r="H44" s="4"/>
      <c r="I44" s="4"/>
      <c r="J44" s="4"/>
      <c r="K44" s="5"/>
      <c r="L44" s="5"/>
      <c r="M44" s="4"/>
      <c r="N44" s="5"/>
      <c r="O44" s="5"/>
      <c r="P44" s="5"/>
      <c r="Q44" s="7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</row>
    <row r="45" spans="1:46" x14ac:dyDescent="0.3">
      <c r="A45" s="5"/>
      <c r="B45" s="4"/>
      <c r="C45" s="10"/>
      <c r="D45" s="24"/>
      <c r="E45" s="4"/>
      <c r="F45" s="4"/>
      <c r="G45" s="1"/>
      <c r="H45" s="4"/>
      <c r="I45" s="4"/>
      <c r="J45" s="1"/>
      <c r="K45" s="5"/>
      <c r="L45" s="5"/>
      <c r="M45" s="1"/>
      <c r="N45" s="4"/>
      <c r="O45" s="4"/>
      <c r="P45" s="4"/>
      <c r="Q45" s="10"/>
      <c r="R45" s="4"/>
      <c r="S45" s="4"/>
      <c r="T45" s="4"/>
      <c r="U45" s="4"/>
      <c r="V45" s="1"/>
      <c r="W45" s="1"/>
      <c r="X45" s="4"/>
      <c r="Y45" s="4"/>
      <c r="Z45" s="4"/>
      <c r="AA45" s="4"/>
      <c r="AB45" s="1"/>
      <c r="AC45" s="1"/>
      <c r="AD45" s="4"/>
      <c r="AE45" s="4"/>
      <c r="AF45" s="4"/>
      <c r="AG45" s="4"/>
      <c r="AH45" s="1"/>
      <c r="AI45" s="1"/>
      <c r="AJ45" s="4"/>
      <c r="AK45" s="4"/>
      <c r="AL45" s="4"/>
      <c r="AM45" s="4"/>
      <c r="AN45" s="1"/>
      <c r="AO45" s="1"/>
      <c r="AP45" s="4"/>
      <c r="AQ45" s="4"/>
      <c r="AR45" s="4"/>
      <c r="AS45" s="4"/>
      <c r="AT45" s="1"/>
    </row>
    <row r="46" spans="1:46" ht="28.8" x14ac:dyDescent="0.3">
      <c r="A46" s="28" t="s">
        <v>15</v>
      </c>
      <c r="B46" s="28" t="str">
        <f>+B23</f>
        <v>INI-ENE</v>
      </c>
      <c r="C46" s="30" t="str">
        <f>+C23</f>
        <v>REAL-ENE</v>
      </c>
      <c r="D46" s="31" t="str">
        <f>+D23</f>
        <v>CAPACITY</v>
      </c>
      <c r="E46" s="28" t="str">
        <f>+E23</f>
        <v>INI-FEB</v>
      </c>
      <c r="F46" s="28" t="str">
        <f>+F23</f>
        <v>REAL-FEB</v>
      </c>
      <c r="G46" s="29" t="str">
        <f>+G23</f>
        <v>CAPACITY</v>
      </c>
      <c r="H46" s="28" t="str">
        <f>+H23</f>
        <v>INI-MAR</v>
      </c>
      <c r="I46" s="28" t="str">
        <f>+I23</f>
        <v>REAL-MAR</v>
      </c>
      <c r="J46" s="29" t="str">
        <f>+J23</f>
        <v>CAPACITY</v>
      </c>
      <c r="K46" s="28" t="str">
        <f>+K23</f>
        <v>INI-ABR</v>
      </c>
      <c r="L46" s="28" t="str">
        <f>+L23</f>
        <v>REAL-ABR</v>
      </c>
      <c r="M46" s="29" t="str">
        <f>+M23</f>
        <v>CAPACITY</v>
      </c>
      <c r="N46" s="28" t="str">
        <f>+N23</f>
        <v>INI-MAY</v>
      </c>
      <c r="O46" s="28" t="str">
        <f>+O23</f>
        <v>REAL-MAY</v>
      </c>
      <c r="P46" s="28" t="str">
        <f>+P23</f>
        <v>CAPACITY</v>
      </c>
      <c r="Q46" s="30" t="str">
        <f>+Q23</f>
        <v>CIERRE</v>
      </c>
      <c r="R46" s="28" t="str">
        <f>+R12</f>
        <v>INI-JUN</v>
      </c>
      <c r="S46" s="28" t="s">
        <v>48</v>
      </c>
      <c r="T46" s="28" t="str">
        <f>+T12</f>
        <v>CAPACITY</v>
      </c>
      <c r="U46" s="28" t="str">
        <f>+U12</f>
        <v>%COB</v>
      </c>
      <c r="V46" s="27" t="str">
        <f>+V12</f>
        <v>FORECAST CIERRE</v>
      </c>
      <c r="W46" s="29" t="str">
        <f>+W12</f>
        <v>CIERRE</v>
      </c>
      <c r="X46" s="28" t="str">
        <f>+X4</f>
        <v>INI-JUL</v>
      </c>
      <c r="Y46" s="28" t="str">
        <f>+Y12</f>
        <v>REAL-JUL</v>
      </c>
      <c r="Z46" s="28" t="str">
        <f>+Z12</f>
        <v>CAPACITY</v>
      </c>
      <c r="AA46" s="28" t="str">
        <f>+AA12</f>
        <v>%COB</v>
      </c>
      <c r="AB46" s="27" t="str">
        <f>+AB12</f>
        <v>FORECAST CIERRE</v>
      </c>
      <c r="AC46" s="29" t="str">
        <f>+AC12</f>
        <v>CIERRE</v>
      </c>
      <c r="AD46" s="28" t="str">
        <f>+AD4</f>
        <v>INI-AGO</v>
      </c>
      <c r="AE46" s="28" t="str">
        <f>+AE12</f>
        <v>REAL-JUN</v>
      </c>
      <c r="AF46" s="28" t="str">
        <f>+AF12</f>
        <v>CAPACITY</v>
      </c>
      <c r="AG46" s="28" t="str">
        <f>+AG12</f>
        <v>%COB</v>
      </c>
      <c r="AH46" s="27" t="str">
        <f>+AH12</f>
        <v>FORECAST CIERRE</v>
      </c>
      <c r="AI46" s="29" t="str">
        <f>+AI12</f>
        <v>CIERRE</v>
      </c>
      <c r="AJ46" s="28" t="str">
        <f>+AJ4</f>
        <v>INI-SEP</v>
      </c>
      <c r="AK46" s="28" t="str">
        <f>+AK12</f>
        <v>REAL-JUN</v>
      </c>
      <c r="AL46" s="28" t="str">
        <f>+AL12</f>
        <v>CAPACITY</v>
      </c>
      <c r="AM46" s="28" t="str">
        <f>+AM12</f>
        <v>%COB</v>
      </c>
      <c r="AN46" s="27" t="str">
        <f>+AN12</f>
        <v>FORECAST CIERRE</v>
      </c>
      <c r="AO46" s="29" t="str">
        <f>+AO12</f>
        <v>CIERRE</v>
      </c>
      <c r="AP46" s="28" t="str">
        <f>+AP4</f>
        <v>INI-OCT</v>
      </c>
      <c r="AQ46" s="28" t="str">
        <f>+AQ12</f>
        <v>REAL-JUN</v>
      </c>
      <c r="AR46" s="28" t="str">
        <f>+AR12</f>
        <v>CAPACITY</v>
      </c>
      <c r="AS46" s="28" t="str">
        <f>+AS12</f>
        <v>%COB</v>
      </c>
      <c r="AT46" s="27" t="str">
        <f>+AT12</f>
        <v>FORECAST CIERRE</v>
      </c>
    </row>
    <row r="47" spans="1:46" x14ac:dyDescent="0.3">
      <c r="A47" s="26" t="s">
        <v>14</v>
      </c>
      <c r="B47" s="4">
        <v>155</v>
      </c>
      <c r="C47" s="10">
        <v>148</v>
      </c>
      <c r="D47" s="24">
        <f>+'[4]Requerimiento Inbound'!$FF$20</f>
        <v>157</v>
      </c>
      <c r="E47" s="4">
        <v>147</v>
      </c>
      <c r="F47" s="4">
        <v>141</v>
      </c>
      <c r="G47" s="1">
        <f>+'[4]Requerimiento Inbound'!$FF$20</f>
        <v>157</v>
      </c>
      <c r="H47" s="4">
        <v>147</v>
      </c>
      <c r="I47" s="4">
        <v>145</v>
      </c>
      <c r="J47" s="1">
        <f>+'[4]Requerimiento Inbound'!$FF$20</f>
        <v>157</v>
      </c>
      <c r="K47" s="9">
        <v>141</v>
      </c>
      <c r="L47" s="9">
        <v>134</v>
      </c>
      <c r="M47" s="1">
        <f>+'[4]Requerimiento Inbound'!$FF$20</f>
        <v>157</v>
      </c>
      <c r="N47" s="9">
        <v>146</v>
      </c>
      <c r="O47" s="9">
        <v>146</v>
      </c>
      <c r="P47" s="4">
        <v>157</v>
      </c>
      <c r="Q47" s="23">
        <v>149</v>
      </c>
      <c r="R47" s="9">
        <v>171</v>
      </c>
      <c r="S47" s="9">
        <v>170</v>
      </c>
      <c r="T47" s="4">
        <v>213</v>
      </c>
      <c r="U47" s="12">
        <f>+IFERROR(R47/T47,"")</f>
        <v>0.80281690140845074</v>
      </c>
      <c r="V47" s="22">
        <f>+R47*(1-[1]TASA_ROTACION!L13)</f>
        <v>167.46037419634979</v>
      </c>
      <c r="W47" s="1"/>
      <c r="X47" s="3">
        <f>+V47+V8</f>
        <v>180.96037419634979</v>
      </c>
      <c r="Y47" s="4"/>
      <c r="Z47" s="4">
        <f>+_xlfn.XLOOKUP(A47,'[3]REQUERIMIENTO INBOUND'!B:B,'[3]REQUERIMIENTO INBOUND'!AA:AA,"",0)</f>
        <v>231</v>
      </c>
      <c r="AA47" s="12">
        <f>+IFERROR(X47/Z47,"")</f>
        <v>0.78337824327424155</v>
      </c>
      <c r="AB47" s="22">
        <f>+R47*(1-[1]TASA_ROTACION!L13)</f>
        <v>167.46037419634979</v>
      </c>
      <c r="AC47" s="1"/>
      <c r="AD47" s="3">
        <f>+AB47+AB8</f>
        <v>184.56037419634978</v>
      </c>
      <c r="AE47" s="3">
        <f>+AC47</f>
        <v>0</v>
      </c>
      <c r="AF47" s="4">
        <f>+_xlfn.XLOOKUP(A47,'[3]REQUERIMIENTO INBOUND'!B:B,'[3]REQUERIMIENTO INBOUND'!AE:AE,"",0)</f>
        <v>228</v>
      </c>
      <c r="AG47" s="12">
        <f>+IFERROR(AD47/AF47,"")</f>
        <v>0.80947532542258682</v>
      </c>
      <c r="AH47" s="22">
        <f>+AD47*(1-[1]TASA_ROTACION!P13)</f>
        <v>175.64941001516974</v>
      </c>
      <c r="AI47" s="1"/>
      <c r="AJ47" s="3">
        <f>+AH47+AH8</f>
        <v>206.24941001516973</v>
      </c>
      <c r="AK47" s="4"/>
      <c r="AL47" s="4">
        <f>+_xlfn.XLOOKUP(A47,'[3]REQUERIMIENTO INBOUND'!B:B,'[3]REQUERIMIENTO INBOUND'!AI:AI,"",0)</f>
        <v>241</v>
      </c>
      <c r="AM47" s="12">
        <f>+IFERROR(AJ47/AL47,"")</f>
        <v>0.85580668056087028</v>
      </c>
      <c r="AN47" s="22">
        <f>+AJ47*(1-[1]TASA_ROTACION!R13)</f>
        <v>193.84703720376342</v>
      </c>
      <c r="AO47" s="1"/>
      <c r="AP47" s="3">
        <f>+AN47+AN8</f>
        <v>224.44703720376341</v>
      </c>
      <c r="AQ47" s="4"/>
      <c r="AR47" s="4">
        <f>+[2]Capacity!$AM$40</f>
        <v>226</v>
      </c>
      <c r="AS47" s="12">
        <f>+IFERROR(AP47/AR47,"")</f>
        <v>0.99312848320249303</v>
      </c>
      <c r="AT47" s="22">
        <f>+AP47*(1-[1]TASA_ROTACION!Y13)</f>
        <v>224.44703720376341</v>
      </c>
    </row>
    <row r="48" spans="1:46" x14ac:dyDescent="0.3">
      <c r="A48" s="25" t="s">
        <v>13</v>
      </c>
      <c r="B48" s="4">
        <v>15</v>
      </c>
      <c r="C48" s="10">
        <v>14</v>
      </c>
      <c r="D48" s="24">
        <f>+'[4]Requerimiento Inbound'!$FF$23</f>
        <v>14</v>
      </c>
      <c r="E48" s="4">
        <v>13</v>
      </c>
      <c r="F48" s="4">
        <v>13</v>
      </c>
      <c r="G48" s="1">
        <f>+'[4]Requerimiento Inbound'!$FF$23</f>
        <v>14</v>
      </c>
      <c r="H48" s="4">
        <v>12</v>
      </c>
      <c r="I48" s="4">
        <v>12</v>
      </c>
      <c r="J48" s="1">
        <f>+'[4]Requerimiento Inbound'!$FF$23</f>
        <v>14</v>
      </c>
      <c r="K48" s="9">
        <v>11</v>
      </c>
      <c r="L48" s="9">
        <v>11</v>
      </c>
      <c r="M48" s="1">
        <f>+'[4]Requerimiento Inbound'!$FF$23</f>
        <v>14</v>
      </c>
      <c r="N48" s="9">
        <v>13</v>
      </c>
      <c r="O48" s="9">
        <v>13</v>
      </c>
      <c r="P48" s="4">
        <v>14</v>
      </c>
      <c r="Q48" s="23">
        <v>13</v>
      </c>
      <c r="R48" s="9">
        <v>13</v>
      </c>
      <c r="S48" s="9">
        <v>13</v>
      </c>
      <c r="T48" s="4">
        <v>14</v>
      </c>
      <c r="U48" s="12">
        <f>+IFERROR(R48/T48,"")</f>
        <v>0.9285714285714286</v>
      </c>
      <c r="V48" s="22">
        <f>+R48</f>
        <v>13</v>
      </c>
      <c r="W48" s="1"/>
      <c r="X48" s="3">
        <f>+V48</f>
        <v>13</v>
      </c>
      <c r="Y48" s="4"/>
      <c r="Z48" s="4">
        <f>+_xlfn.XLOOKUP(A48,'[3]REQUERIMIENTO INBOUND'!B:B,'[3]REQUERIMIENTO INBOUND'!AA:AA,"",0)</f>
        <v>14</v>
      </c>
      <c r="AA48" s="12">
        <f>+IFERROR(X48/Z48,"")</f>
        <v>0.9285714285714286</v>
      </c>
      <c r="AB48" s="22">
        <f>+R48</f>
        <v>13</v>
      </c>
      <c r="AC48" s="1"/>
      <c r="AD48" s="3">
        <f>+AB48</f>
        <v>13</v>
      </c>
      <c r="AE48" s="4"/>
      <c r="AF48" s="4">
        <f>+_xlfn.XLOOKUP(A48,'[3]REQUERIMIENTO INBOUND'!B:B,'[3]REQUERIMIENTO INBOUND'!AE:AE,"",0)</f>
        <v>14</v>
      </c>
      <c r="AG48" s="12">
        <f>+IFERROR(AD48/AF48,"")</f>
        <v>0.9285714285714286</v>
      </c>
      <c r="AH48" s="22">
        <f>+AD48</f>
        <v>13</v>
      </c>
      <c r="AI48" s="1"/>
      <c r="AJ48" s="3">
        <f>+AH48</f>
        <v>13</v>
      </c>
      <c r="AK48" s="4"/>
      <c r="AL48" s="4">
        <f>+_xlfn.XLOOKUP(A48,'[3]REQUERIMIENTO INBOUND'!B:B,'[3]REQUERIMIENTO INBOUND'!AI:AI,"",0)</f>
        <v>14</v>
      </c>
      <c r="AM48" s="12">
        <f>+IFERROR(AJ48/AL48,"")</f>
        <v>0.9285714285714286</v>
      </c>
      <c r="AN48" s="22">
        <f>+AJ48</f>
        <v>13</v>
      </c>
      <c r="AO48" s="1"/>
      <c r="AP48" s="3">
        <f>+AN48</f>
        <v>13</v>
      </c>
      <c r="AQ48" s="4"/>
      <c r="AR48" s="4">
        <f>+[2]Capacity!$AM$41</f>
        <v>14</v>
      </c>
      <c r="AS48" s="12">
        <f>+IFERROR(AP48/AR48,"")</f>
        <v>0.9285714285714286</v>
      </c>
      <c r="AT48" s="22">
        <f>+AP48</f>
        <v>13</v>
      </c>
    </row>
    <row r="49" spans="1:46" x14ac:dyDescent="0.3">
      <c r="A49" s="21" t="s">
        <v>12</v>
      </c>
      <c r="B49" s="15">
        <f>+B47+B48</f>
        <v>170</v>
      </c>
      <c r="C49" s="19">
        <f>+C47+C48</f>
        <v>162</v>
      </c>
      <c r="D49" s="20">
        <f>+SUM(D47:D48)</f>
        <v>171</v>
      </c>
      <c r="E49" s="15">
        <f>+E47+E48</f>
        <v>160</v>
      </c>
      <c r="F49" s="15">
        <f>+F47+F48</f>
        <v>154</v>
      </c>
      <c r="G49" s="15">
        <f>+G47+G48</f>
        <v>171</v>
      </c>
      <c r="H49" s="15">
        <f>+H47+H48</f>
        <v>159</v>
      </c>
      <c r="I49" s="15">
        <f>+I47+I48</f>
        <v>157</v>
      </c>
      <c r="J49" s="15">
        <f>+J47+J48</f>
        <v>171</v>
      </c>
      <c r="K49" s="15">
        <f>+K47+K48</f>
        <v>152</v>
      </c>
      <c r="L49" s="15">
        <f>+L47+L48</f>
        <v>145</v>
      </c>
      <c r="M49" s="17">
        <f>+SUM(M47:M48)</f>
        <v>171</v>
      </c>
      <c r="N49" s="15">
        <f>+SUM(N47:N48)</f>
        <v>159</v>
      </c>
      <c r="O49" s="15">
        <f>+SUM(O47:O48)</f>
        <v>159</v>
      </c>
      <c r="P49" s="15">
        <f>+SUM(P47:P48)</f>
        <v>171</v>
      </c>
      <c r="Q49" s="19">
        <f>+SUM(Q47:Q48)</f>
        <v>162</v>
      </c>
      <c r="R49" s="16">
        <f>+SUM(R47:R48)</f>
        <v>184</v>
      </c>
      <c r="S49" s="16">
        <f>+SUM(S47:S48)</f>
        <v>183</v>
      </c>
      <c r="T49" s="15">
        <f>+SUM(T47:T48)</f>
        <v>227</v>
      </c>
      <c r="U49" s="18">
        <f>+R49/T49</f>
        <v>0.81057268722466957</v>
      </c>
      <c r="V49" s="14">
        <f>+SUM(V47:V48)</f>
        <v>180.46037419634979</v>
      </c>
      <c r="W49" s="17"/>
      <c r="X49" s="16">
        <f>+SUM(X47:X48)</f>
        <v>193.96037419634979</v>
      </c>
      <c r="Y49" s="16">
        <f>+SUM(Y47:Y48)</f>
        <v>0</v>
      </c>
      <c r="Z49" s="16">
        <f>+SUM(Z47:Z48)</f>
        <v>245</v>
      </c>
      <c r="AA49" s="12">
        <f>X49/Z49</f>
        <v>0.79167499671979502</v>
      </c>
      <c r="AB49" s="14">
        <f>+SUM(AB47:AB48)</f>
        <v>180.46037419634979</v>
      </c>
      <c r="AC49" s="17"/>
      <c r="AD49" s="16">
        <f>+SUM(AD47:AD48)</f>
        <v>197.56037419634978</v>
      </c>
      <c r="AE49" s="15"/>
      <c r="AF49" s="15">
        <f>+SUM(AF47:AF48)</f>
        <v>242</v>
      </c>
      <c r="AG49" s="12">
        <f>+(AD49)/(AF49)</f>
        <v>0.81636518262954461</v>
      </c>
      <c r="AH49" s="14">
        <f>+SUM(AH47:AH48)</f>
        <v>188.64941001516974</v>
      </c>
      <c r="AI49" s="17"/>
      <c r="AJ49" s="16">
        <f>ROUND(+SUM(AJ47:AJ48),0)</f>
        <v>219</v>
      </c>
      <c r="AK49" s="15"/>
      <c r="AL49" s="15">
        <f>+SUM(AL47:AL48)</f>
        <v>255</v>
      </c>
      <c r="AM49" s="12">
        <f>+(AJ49)/(AL49)</f>
        <v>0.85882352941176465</v>
      </c>
      <c r="AN49" s="14">
        <f>+SUM(AN47:AN48)</f>
        <v>206.84703720376342</v>
      </c>
      <c r="AO49" s="17"/>
      <c r="AP49" s="16">
        <f>ROUND(+SUM(AP47:AP48),0)</f>
        <v>237</v>
      </c>
      <c r="AQ49" s="15"/>
      <c r="AR49" s="15">
        <f>+SUM(AR47:AR48)</f>
        <v>240</v>
      </c>
      <c r="AS49" s="12">
        <f>+(AP49)/(AR49)</f>
        <v>0.98750000000000004</v>
      </c>
      <c r="AT49" s="14">
        <f>+SUM(AT47:AT48)</f>
        <v>237.44703720376341</v>
      </c>
    </row>
    <row r="50" spans="1:46" x14ac:dyDescent="0.3">
      <c r="A50" s="13" t="s">
        <v>11</v>
      </c>
      <c r="B50" s="4"/>
      <c r="C50" s="10"/>
      <c r="D50" s="1"/>
      <c r="E50" s="4"/>
      <c r="F50" s="4"/>
      <c r="G50" s="1"/>
      <c r="H50" s="9"/>
      <c r="I50" s="9"/>
      <c r="J50" s="8"/>
      <c r="K50" s="5">
        <f>+K49+16</f>
        <v>168</v>
      </c>
      <c r="L50" s="5">
        <f>+L49+16</f>
        <v>161</v>
      </c>
      <c r="M50" s="1"/>
      <c r="N50" s="4"/>
      <c r="O50" s="4"/>
      <c r="P50" s="12">
        <f>+(N49)/(P49)</f>
        <v>0.92982456140350878</v>
      </c>
      <c r="Q50" s="10"/>
      <c r="R50" s="4"/>
      <c r="S50" s="4"/>
      <c r="T50" s="12">
        <f>+(R49)/(T49)</f>
        <v>0.81057268722466957</v>
      </c>
      <c r="U50" s="4"/>
      <c r="V50" s="1"/>
      <c r="W50" s="1"/>
      <c r="X50" s="4"/>
      <c r="Y50" s="4"/>
      <c r="Z50" s="4"/>
      <c r="AA50" s="4"/>
      <c r="AB50" s="1"/>
      <c r="AC50" s="1"/>
      <c r="AD50" s="4"/>
      <c r="AE50" s="4"/>
      <c r="AF50" s="4"/>
      <c r="AG50" s="4"/>
      <c r="AH50" s="1"/>
      <c r="AI50" s="1"/>
      <c r="AJ50" s="4"/>
      <c r="AK50" s="4"/>
      <c r="AL50" s="4"/>
      <c r="AM50" s="4"/>
      <c r="AN50" s="1"/>
      <c r="AO50" s="1"/>
      <c r="AP50" s="4"/>
      <c r="AQ50" s="4"/>
      <c r="AR50" s="4"/>
      <c r="AS50" s="4"/>
      <c r="AT50" s="1"/>
    </row>
  </sheetData>
  <mergeCells count="4">
    <mergeCell ref="D16:D17"/>
    <mergeCell ref="G16:G17"/>
    <mergeCell ref="J16:J17"/>
    <mergeCell ref="M16:M17"/>
  </mergeCells>
  <pageMargins left="0.7" right="0.7" top="0.75" bottom="0.75" header="0.3" footer="0.3"/>
  <headerFooter>
    <oddFooter>&amp;C_x000D_&amp;1#&amp;"Aptos"&amp;8&amp;K0000FF Datos elaborados por BCP para uso Interno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9F5D3-124A-4877-B4FB-AAB3B0A38A16}">
  <dimension ref="A1:W12"/>
  <sheetViews>
    <sheetView topLeftCell="D1" workbookViewId="0">
      <selection activeCell="N1" sqref="N1:N1048576"/>
    </sheetView>
  </sheetViews>
  <sheetFormatPr baseColWidth="10" defaultRowHeight="14.4" x14ac:dyDescent="0.3"/>
  <sheetData>
    <row r="1" spans="1:23" x14ac:dyDescent="0.3">
      <c r="A1" s="5" t="s">
        <v>10</v>
      </c>
      <c r="E1" s="7" t="s">
        <v>9</v>
      </c>
      <c r="F1" s="4"/>
      <c r="G1" s="4"/>
      <c r="H1" s="4"/>
      <c r="I1" s="5" t="s">
        <v>8</v>
      </c>
      <c r="J1" s="4"/>
      <c r="K1" s="4"/>
      <c r="L1" s="4"/>
      <c r="M1" s="5" t="s">
        <v>7</v>
      </c>
      <c r="N1" s="4"/>
      <c r="O1" s="4"/>
      <c r="P1" s="1"/>
      <c r="Q1" s="4" t="s">
        <v>6</v>
      </c>
      <c r="R1" s="4"/>
      <c r="S1" s="4"/>
      <c r="T1" s="1"/>
      <c r="U1" s="11" t="s">
        <v>5</v>
      </c>
      <c r="V1" s="4"/>
      <c r="W1" s="4"/>
    </row>
    <row r="2" spans="1:23" x14ac:dyDescent="0.3">
      <c r="A2" s="5"/>
      <c r="E2" s="10"/>
      <c r="F2" s="4"/>
      <c r="G2" s="4"/>
      <c r="H2" s="4"/>
      <c r="I2" s="1"/>
      <c r="J2" s="4"/>
      <c r="K2" s="4"/>
      <c r="L2" s="4"/>
      <c r="M2" s="1"/>
      <c r="N2" s="4"/>
      <c r="O2" s="4"/>
      <c r="P2" s="1"/>
      <c r="Q2" s="4"/>
      <c r="R2" s="4"/>
      <c r="S2" s="4"/>
      <c r="T2" s="1"/>
      <c r="U2" s="4"/>
      <c r="V2" s="4"/>
      <c r="W2" s="4"/>
    </row>
    <row r="3" spans="1:23" x14ac:dyDescent="0.3">
      <c r="A3" s="5" t="s">
        <v>4</v>
      </c>
      <c r="B3" s="4">
        <v>25</v>
      </c>
      <c r="C3" s="6">
        <f>+B3*(1-$B$12)</f>
        <v>24.5</v>
      </c>
      <c r="E3" s="7" t="s">
        <v>4</v>
      </c>
      <c r="F3" s="4">
        <f>+Hoja4!R7</f>
        <v>30</v>
      </c>
      <c r="G3" s="6">
        <f>+F3*(1-$B$12)</f>
        <v>29.4</v>
      </c>
      <c r="H3" s="4"/>
      <c r="I3" s="5" t="s">
        <v>4</v>
      </c>
      <c r="J3" s="3">
        <f>+Hoja4!X7</f>
        <v>20</v>
      </c>
      <c r="K3" s="6">
        <f>+J3*(1-$B$12)</f>
        <v>19.600000000000001</v>
      </c>
      <c r="L3" s="4"/>
      <c r="M3" s="5" t="s">
        <v>4</v>
      </c>
      <c r="N3" s="3">
        <f>+Hoja4!AD7</f>
        <v>20</v>
      </c>
      <c r="O3" s="6">
        <f>+N3*(1-$B$12)</f>
        <v>19.600000000000001</v>
      </c>
      <c r="P3" s="1"/>
      <c r="Q3" s="5" t="s">
        <v>4</v>
      </c>
      <c r="R3" s="3">
        <f>+Hoja4!AJ7</f>
        <v>20</v>
      </c>
      <c r="S3" s="6">
        <f>+R3*(1-$B$12)</f>
        <v>19.600000000000001</v>
      </c>
      <c r="T3" s="1"/>
      <c r="U3" s="5" t="s">
        <v>4</v>
      </c>
      <c r="V3" s="3">
        <f>+Hoja4!AP7</f>
        <v>20</v>
      </c>
      <c r="W3" s="6">
        <f>+V3*(1-$B$12)</f>
        <v>19.600000000000001</v>
      </c>
    </row>
    <row r="4" spans="1:23" x14ac:dyDescent="0.3">
      <c r="A4" s="5" t="s">
        <v>3</v>
      </c>
      <c r="B4" s="4">
        <v>21</v>
      </c>
      <c r="C4" s="6">
        <f>+B4*(1-$C$12)</f>
        <v>19.32</v>
      </c>
      <c r="E4" s="7" t="s">
        <v>3</v>
      </c>
      <c r="F4" s="3">
        <f>+Hoja4!R6</f>
        <v>22</v>
      </c>
      <c r="G4" s="6">
        <f>+F4*(1-$C$12)</f>
        <v>20.240000000000002</v>
      </c>
      <c r="H4" s="4"/>
      <c r="I4" s="5" t="s">
        <v>3</v>
      </c>
      <c r="J4" s="3">
        <f>+G3</f>
        <v>29.4</v>
      </c>
      <c r="K4" s="6">
        <f>+J4*(1-$C$12)</f>
        <v>27.047999999999998</v>
      </c>
      <c r="L4" s="4"/>
      <c r="M4" s="5" t="s">
        <v>3</v>
      </c>
      <c r="N4" s="3">
        <f>+K3</f>
        <v>19.600000000000001</v>
      </c>
      <c r="O4" s="6">
        <f>+N4*(1-$C$12)</f>
        <v>18.032000000000004</v>
      </c>
      <c r="P4" s="1"/>
      <c r="Q4" s="5" t="s">
        <v>3</v>
      </c>
      <c r="R4" s="3">
        <f>+O4</f>
        <v>18.032000000000004</v>
      </c>
      <c r="S4" s="6">
        <f>+R4*(1-$C$12)</f>
        <v>16.589440000000003</v>
      </c>
      <c r="T4" s="1"/>
      <c r="U4" s="5" t="s">
        <v>3</v>
      </c>
      <c r="V4" s="3">
        <f>+S4</f>
        <v>16.589440000000003</v>
      </c>
      <c r="W4" s="6">
        <f>+V4*(1-$C$12)</f>
        <v>15.262284800000003</v>
      </c>
    </row>
    <row r="5" spans="1:23" x14ac:dyDescent="0.3">
      <c r="A5" s="5" t="s">
        <v>2</v>
      </c>
      <c r="B5" s="4">
        <v>27</v>
      </c>
      <c r="C5" s="6">
        <f>+B5*(1-$D$12)</f>
        <v>24.57</v>
      </c>
      <c r="E5" s="7" t="s">
        <v>2</v>
      </c>
      <c r="F5" s="3">
        <v>19</v>
      </c>
      <c r="G5" s="6">
        <f>+F5*(1-$D$12)</f>
        <v>17.29</v>
      </c>
      <c r="H5" s="4"/>
      <c r="I5" s="5" t="s">
        <v>2</v>
      </c>
      <c r="J5" s="3">
        <f>+G4</f>
        <v>20.240000000000002</v>
      </c>
      <c r="K5" s="6">
        <f>+J5*(1-$D$12)</f>
        <v>18.418400000000002</v>
      </c>
      <c r="L5" s="4"/>
      <c r="M5" s="5" t="s">
        <v>2</v>
      </c>
      <c r="N5" s="3">
        <f>+K4</f>
        <v>27.047999999999998</v>
      </c>
      <c r="O5" s="6">
        <f>+N5*(1-$D$12)</f>
        <v>24.613679999999999</v>
      </c>
      <c r="P5" s="1"/>
      <c r="Q5" s="5" t="s">
        <v>2</v>
      </c>
      <c r="R5" s="3">
        <f>+O5</f>
        <v>24.613679999999999</v>
      </c>
      <c r="S5" s="6">
        <f>+R5*(1-$D$12)</f>
        <v>22.398448800000001</v>
      </c>
      <c r="T5" s="1"/>
      <c r="U5" s="5" t="s">
        <v>2</v>
      </c>
      <c r="V5" s="3">
        <f>+S5</f>
        <v>22.398448800000001</v>
      </c>
      <c r="W5" s="6">
        <f>+V5*(1-$D$12)</f>
        <v>20.382588408</v>
      </c>
    </row>
    <row r="6" spans="1:23" x14ac:dyDescent="0.3">
      <c r="A6" s="5" t="s">
        <v>1</v>
      </c>
      <c r="B6" s="4">
        <v>32</v>
      </c>
      <c r="C6" s="6">
        <f>+B6*(1-$E$12)</f>
        <v>28.48</v>
      </c>
      <c r="E6" s="7" t="s">
        <v>1</v>
      </c>
      <c r="F6" s="3">
        <v>25</v>
      </c>
      <c r="G6" s="6">
        <f>+F6*(1-$E$12)</f>
        <v>22.25</v>
      </c>
      <c r="H6" s="4"/>
      <c r="I6" s="5" t="s">
        <v>1</v>
      </c>
      <c r="J6" s="3">
        <f>+G5</f>
        <v>17.29</v>
      </c>
      <c r="K6" s="6">
        <f>+J6*(1-$E$12)</f>
        <v>15.3881</v>
      </c>
      <c r="L6" s="4"/>
      <c r="M6" s="5" t="s">
        <v>1</v>
      </c>
      <c r="N6" s="3">
        <f>+K5</f>
        <v>18.418400000000002</v>
      </c>
      <c r="O6" s="6">
        <f>+N6*(1-$E$12)</f>
        <v>16.392376000000002</v>
      </c>
      <c r="P6" s="1"/>
      <c r="Q6" s="5" t="s">
        <v>1</v>
      </c>
      <c r="R6" s="3">
        <f>+O6</f>
        <v>16.392376000000002</v>
      </c>
      <c r="S6" s="6">
        <f>+R6*(1-$E$12)</f>
        <v>14.589214640000002</v>
      </c>
      <c r="T6" s="1"/>
      <c r="U6" s="5" t="s">
        <v>1</v>
      </c>
      <c r="V6" s="3">
        <f>+S6</f>
        <v>14.589214640000002</v>
      </c>
      <c r="W6" s="6">
        <f>+V6*(1-$E$12)</f>
        <v>12.984401029600001</v>
      </c>
    </row>
    <row r="7" spans="1:23" x14ac:dyDescent="0.3">
      <c r="A7" s="5" t="s">
        <v>0</v>
      </c>
      <c r="B7" s="4">
        <v>29</v>
      </c>
      <c r="C7" s="6">
        <f>+B7*0.9</f>
        <v>26.1</v>
      </c>
      <c r="E7" s="7" t="s">
        <v>0</v>
      </c>
      <c r="F7" s="3">
        <v>39</v>
      </c>
      <c r="G7" s="6">
        <f>+F7*0.9</f>
        <v>35.1</v>
      </c>
      <c r="H7" s="4"/>
      <c r="I7" s="5" t="s">
        <v>0</v>
      </c>
      <c r="J7" s="3">
        <f>+G6</f>
        <v>22.25</v>
      </c>
      <c r="K7" s="2">
        <f>+J7*0.9</f>
        <v>20.025000000000002</v>
      </c>
      <c r="L7" s="4"/>
      <c r="M7" s="5" t="s">
        <v>0</v>
      </c>
      <c r="N7" s="3">
        <f>+K6</f>
        <v>15.3881</v>
      </c>
      <c r="O7" s="2">
        <f>+N7*0.9</f>
        <v>13.84929</v>
      </c>
      <c r="P7" s="1"/>
      <c r="Q7" s="5" t="s">
        <v>0</v>
      </c>
      <c r="R7" s="3">
        <f>+O7</f>
        <v>13.84929</v>
      </c>
      <c r="S7" s="2">
        <f>+R7*0.9</f>
        <v>12.464361</v>
      </c>
      <c r="T7" s="1"/>
      <c r="U7" s="5" t="s">
        <v>0</v>
      </c>
      <c r="V7" s="3">
        <f>+S7</f>
        <v>12.464361</v>
      </c>
      <c r="W7" s="2">
        <f>+V7*0.9</f>
        <v>11.2179249</v>
      </c>
    </row>
    <row r="11" spans="1:23" x14ac:dyDescent="0.3">
      <c r="A11" s="121"/>
      <c r="B11" s="122" t="s">
        <v>68</v>
      </c>
      <c r="C11" s="122" t="s">
        <v>69</v>
      </c>
      <c r="D11" s="122" t="s">
        <v>70</v>
      </c>
      <c r="E11" s="122" t="s">
        <v>71</v>
      </c>
      <c r="F11" s="122" t="s">
        <v>72</v>
      </c>
      <c r="G11" s="122" t="s">
        <v>73</v>
      </c>
    </row>
    <row r="12" spans="1:23" x14ac:dyDescent="0.3">
      <c r="A12" s="123" t="s">
        <v>74</v>
      </c>
      <c r="B12" s="124">
        <v>0.02</v>
      </c>
      <c r="C12" s="124">
        <v>0.08</v>
      </c>
      <c r="D12" s="124">
        <v>0.09</v>
      </c>
      <c r="E12" s="124">
        <v>0.11</v>
      </c>
      <c r="F12" s="124">
        <v>0.22</v>
      </c>
      <c r="G12" s="124">
        <v>0.3</v>
      </c>
    </row>
  </sheetData>
  <pageMargins left="0.7" right="0.7" top="0.75" bottom="0.75" header="0.3" footer="0.3"/>
  <headerFooter>
    <oddFooter>&amp;C_x000D_&amp;1#&amp;"Aptos"&amp;8&amp;K0000FF Datos elaborados por BCP para uso Interno</oddFooter>
  </headerFooter>
</worksheet>
</file>

<file path=docMetadata/LabelInfo.xml><?xml version="1.0" encoding="utf-8"?>
<clbl:labelList xmlns:clbl="http://schemas.microsoft.com/office/2020/mipLabelMetadata">
  <clbl:label id="{c15ead3b-a842-409e-8059-3e3468c48585}" enabled="1" method="Standard" siteId="{5d93ebcc-f769-4380-8b7e-289fc972da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Hoja4</vt:lpstr>
      <vt:lpstr>Hoja2</vt:lpstr>
    </vt:vector>
  </TitlesOfParts>
  <Company>Banco de Credito del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Reyna Siccha</dc:creator>
  <cp:lastModifiedBy>Reyna Siccha</cp:lastModifiedBy>
  <dcterms:created xsi:type="dcterms:W3CDTF">2026-06-09T16:52:59Z</dcterms:created>
  <dcterms:modified xsi:type="dcterms:W3CDTF">2026-06-09T17:15:49Z</dcterms:modified>
</cp:coreProperties>
</file>