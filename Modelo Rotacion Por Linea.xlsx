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a Rotación" sheetId="1" state="visible" r:id="rId3"/>
    <sheet name="Proyección" sheetId="2" state="visible" r:id="rId4"/>
    <sheet name="Resumen vs Capac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<sst xmlns="http://schemas.openxmlformats.org/spreadsheetml/2006/main" count="175" uniqueCount="66">
  <si>
    <t xml:space="preserve">TASA DE ROTACIÓN HISTÓRICA Y PROYECTADA POR LÍNEA</t>
  </si>
  <si>
    <t xml:space="preserve">Tasa = (INI mes - REAL mes) / INI mes. Proyección = promedio últimos 3 meses (Abr, May, Jun)</t>
  </si>
  <si>
    <t xml:space="preserve">Línea</t>
  </si>
  <si>
    <t xml:space="preserve">Categoría</t>
  </si>
  <si>
    <t xml:space="preserve">Mundo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</si>
  <si>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</si>
  <si>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</si>
  <si>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</si>
  <si>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</si>
  <si>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</si>
  <si>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</si>
  <si>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Tasa Proy</t>
  </si>
  <si>
    <t xml:space="preserve">CONSULTAS GENERALES</t>
  </si>
  <si>
    <t xml:space="preserve">Susana</t>
  </si>
  <si>
    <t xml:space="preserve">Llamadas</t>
  </si>
  <si>
    <t xml:space="preserve">SWAT</t>
  </si>
  <si>
    <t xml:space="preserve">TRAINEE LLAMADAS</t>
  </si>
  <si>
    <t xml:space="preserve">TRAINEE-CCGG</t>
  </si>
  <si>
    <t xml:space="preserve">CANALES DIGITALES</t>
  </si>
  <si>
    <t xml:space="preserve">UDAC BANCA MAYORISTA</t>
  </si>
  <si>
    <t xml:space="preserve">Jacqueline</t>
  </si>
  <si>
    <t xml:space="preserve">UDAC BANCA NEGOCIOS</t>
  </si>
  <si>
    <t xml:space="preserve">UDAC PYME</t>
  </si>
  <si>
    <t xml:space="preserve">UDAC PYME BUZON</t>
  </si>
  <si>
    <t xml:space="preserve">OPERACIONES NO RECONOCIDAS</t>
  </si>
  <si>
    <t xml:space="preserve">FUERA DE TURNO</t>
  </si>
  <si>
    <t xml:space="preserve">OPERACIONES TRUNCAS</t>
  </si>
  <si>
    <t xml:space="preserve">BANCA SEGURO</t>
  </si>
  <si>
    <t xml:space="preserve">BANCA SEGURO RETENCIONES</t>
  </si>
  <si>
    <t xml:space="preserve">RETENCIONES</t>
  </si>
  <si>
    <t xml:space="preserve">HELPDESK SPE</t>
  </si>
  <si>
    <t xml:space="preserve">INVERSIONES</t>
  </si>
  <si>
    <t xml:space="preserve">ENALTA</t>
  </si>
  <si>
    <t xml:space="preserve">LINEA TU BIENESTAR</t>
  </si>
  <si>
    <t xml:space="preserve">AGENTE</t>
  </si>
  <si>
    <t xml:space="preserve">CENTRAL TELEFONICA</t>
  </si>
  <si>
    <t xml:space="preserve">FACTURACION ELECTRONICA</t>
  </si>
  <si>
    <t xml:space="preserve">BLOQUEOS</t>
  </si>
  <si>
    <t xml:space="preserve">CONTACTOS WEB</t>
  </si>
  <si>
    <t xml:space="preserve">Luis Patricio</t>
  </si>
  <si>
    <t xml:space="preserve">Chats</t>
  </si>
  <si>
    <t xml:space="preserve">REDES SOCIALES</t>
  </si>
  <si>
    <t xml:space="preserve">PROYECCIÓN CIERRE POR LÍNEA (basada en tasa de rotación)</t>
  </si>
  <si>
    <t xml:space="preserve">Forecast cierre mes = INI mes × (1 - tasa rotación). INI mes siguiente = cierre del anterior</t>
  </si>
  <si>
    <t xml:space="preserve">Tasa</t>
  </si>
  <si>
    <t xml:space="preserve">May (real)</t>
  </si>
  <si>
    <t xml:space="preserve">Jun (real)</t>
  </si>
  <si>
    <t xml:space="preserve">Jul</t>
  </si>
  <si>
    <t xml:space="preserve">Ago</t>
  </si>
  <si>
    <t xml:space="preserve">Sep</t>
  </si>
  <si>
    <t xml:space="preserve">Oct</t>
  </si>
  <si>
    <t xml:space="preserve">TOTAL</t>
  </si>
  <si>
    <t xml:space="preserve">RESUMEN: FORECAST VS CAPACITY POR MUNDO</t>
  </si>
  <si>
    <t xml:space="preserve">Concepto</t>
  </si>
  <si>
    <t xml:space="preserve">LLAMADAS</t>
  </si>
  <si>
    <t xml:space="preserve">Capacity</t>
  </si>
  <si>
    <t xml:space="preserve">Forecast</t>
  </si>
  <si>
    <t xml:space="preserve">Cobertura</t>
  </si>
  <si>
    <t xml:space="preserve">CHATS</t>
  </si>
  <si>
    <t xml:space="preserve">INBOUND</t>
  </si>
  <si>
    <t xml:space="preserve">NOTAS METODOLÓGICAS</t>
  </si>
  <si>
    <t xml:space="preserve">• La tasa de rotación es el promedio de los últimos 3 meses (Abr, May, Jun) por línea.</t>
  </si>
  <si>
    <t xml:space="preserve">• Cada mes proyectado: cierre = INI × (1 - tasa). El INI del mes siguiente = cierre del anterior.</t>
  </si>
  <si>
    <t xml:space="preserve">• Esta proyección NO incluye ingresos de trainees graduando ni transferencias internas.</t>
  </si>
  <si>
    <t xml:space="preserve">• Para incluir esos efectos, ajustar manualmente el INI de la línea afectada.</t>
  </si>
  <si>
    <t xml:space="preserve">• Ejemplo: si en agosto entran 18 trainees a TRAINEE LLAMADAS, sumar 18 al INI agosto de esa línea.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</si>
</sst>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#,##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8FAADC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9" min="4" style="0" width="8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5" t="n">
        <v>0.0136986301369863</v>
      </c>
      <c r="E5" s="5" t="n">
        <v>0.0369127516778524</v>
      </c>
      <c r="F5" s="5" t="n">
        <v>0.00735294117647059</v>
      </c>
      <c r="G5" s="5" t="n">
        <v>0.0464285714285714</v>
      </c>
      <c r="H5" s="5" t="n">
        <v>0.0383275261324042</v>
      </c>
      <c r="I5" s="5" t="n">
        <v>0.00333333333333333</v>
      </c>
      <c r="J5" s="6" t="n">
        <f aca="false">AVERAGE(G5:I5)</f>
        <v>0.0293631436314363</v>
      </c>
    </row>
    <row r="6" customFormat="false" ht="15" hidden="false" customHeight="false" outlineLevel="0" collapsed="false">
      <c r="A6" s="4" t="s">
        <v>15</v>
      </c>
      <c r="B6" s="4" t="s">
        <v>13</v>
      </c>
      <c r="C6" s="4" t="s">
        <v>14</v>
      </c>
      <c r="D6" s="5" t="n">
        <v>0</v>
      </c>
      <c r="E6" s="5" t="n">
        <v>0</v>
      </c>
      <c r="F6" s="5" t="n">
        <v>0</v>
      </c>
      <c r="G6" s="5" t="n">
        <v>0.0454545454545455</v>
      </c>
      <c r="H6" s="5" t="n">
        <v>0.0476190476190476</v>
      </c>
      <c r="I6" s="5" t="n">
        <v>0</v>
      </c>
      <c r="J6" s="6" t="n">
        <f aca="false">AVERAGE(G6:I6)</f>
        <v>0.031024531024531</v>
      </c>
    </row>
    <row r="7" customFormat="false" ht="15" hidden="false" customHeight="false" outlineLevel="0" collapsed="false">
      <c r="A7" s="4" t="s">
        <v>16</v>
      </c>
      <c r="B7" s="4" t="s">
        <v>13</v>
      </c>
      <c r="C7" s="4" t="s">
        <v>14</v>
      </c>
      <c r="D7" s="5" t="n">
        <v>0</v>
      </c>
      <c r="E7" s="5" t="n">
        <v>0.0757575757575758</v>
      </c>
      <c r="F7" s="5" t="n">
        <v>0.0125</v>
      </c>
      <c r="G7" s="5" t="n">
        <v>0.0147058823529412</v>
      </c>
      <c r="H7" s="5" t="n">
        <v>0.0806451612903226</v>
      </c>
      <c r="I7" s="5" t="n">
        <v>0</v>
      </c>
      <c r="J7" s="6" t="n">
        <f aca="false">AVERAGE(G7:I7)</f>
        <v>0.0317836812144213</v>
      </c>
    </row>
    <row r="8" customFormat="false" ht="15" hidden="false" customHeight="false" outlineLevel="0" collapsed="false">
      <c r="A8" s="4" t="s">
        <v>17</v>
      </c>
      <c r="B8" s="4" t="s">
        <v>13</v>
      </c>
      <c r="C8" s="4" t="s">
        <v>14</v>
      </c>
      <c r="D8" s="5" t="n">
        <v>0.0882352941176471</v>
      </c>
      <c r="E8" s="5" t="n">
        <v>0.0810810810810811</v>
      </c>
      <c r="F8" s="5" t="n">
        <v>0.133333333333333</v>
      </c>
      <c r="G8" s="5" t="n">
        <v>0.0714285714285714</v>
      </c>
      <c r="H8" s="5" t="n">
        <v>0.103448275862069</v>
      </c>
      <c r="I8" s="5" t="n">
        <v>0.0625</v>
      </c>
      <c r="J8" s="6" t="n">
        <f aca="false">AVERAGE(G8:I8)</f>
        <v>0.0791256157635468</v>
      </c>
    </row>
    <row r="9" customFormat="false" ht="15" hidden="false" customHeight="false" outlineLevel="0" collapsed="false">
      <c r="A9" s="4" t="s">
        <v>18</v>
      </c>
      <c r="B9" s="4" t="s">
        <v>13</v>
      </c>
      <c r="C9" s="4" t="s">
        <v>14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0.25</v>
      </c>
      <c r="I9" s="7" t="n">
        <v>0</v>
      </c>
      <c r="J9" s="6" t="n">
        <f aca="false">AVERAGE(G9:I9)</f>
        <v>0.0833333333333333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4" t="s">
        <v>14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6" t="n">
        <f aca="false">AVERAGE(G10:I10)</f>
        <v>0</v>
      </c>
    </row>
    <row r="11" customFormat="false" ht="15" hidden="false" customHeight="false" outlineLevel="0" collapsed="false">
      <c r="A11" s="4" t="s">
        <v>21</v>
      </c>
      <c r="B11" s="4" t="s">
        <v>20</v>
      </c>
      <c r="C11" s="4" t="s">
        <v>14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6" t="n">
        <f aca="false">AVERAGE(G11:I11)</f>
        <v>0</v>
      </c>
    </row>
    <row r="12" customFormat="false" ht="15" hidden="false" customHeight="false" outlineLevel="0" collapsed="false">
      <c r="A12" s="4" t="s">
        <v>22</v>
      </c>
      <c r="B12" s="4" t="s">
        <v>20</v>
      </c>
      <c r="C12" s="4" t="s">
        <v>14</v>
      </c>
      <c r="D12" s="5" t="n">
        <v>0</v>
      </c>
      <c r="E12" s="5" t="n">
        <v>0.04</v>
      </c>
      <c r="F12" s="5" t="n">
        <v>0.075</v>
      </c>
      <c r="G12" s="5" t="n">
        <v>0</v>
      </c>
      <c r="H12" s="5" t="n">
        <v>0</v>
      </c>
      <c r="I12" s="5" t="n">
        <v>0.05</v>
      </c>
      <c r="J12" s="6" t="n">
        <f aca="false">AVERAGE(G12:I12)</f>
        <v>0.0166666666666667</v>
      </c>
    </row>
    <row r="13" customFormat="false" ht="15" hidden="false" customHeight="false" outlineLevel="0" collapsed="false">
      <c r="A13" s="4" t="s">
        <v>23</v>
      </c>
      <c r="B13" s="4" t="s">
        <v>20</v>
      </c>
      <c r="C13" s="4" t="s">
        <v>14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6" t="n">
        <f aca="false">AVERAGE(G13:I13)</f>
        <v>0</v>
      </c>
    </row>
    <row r="14" customFormat="false" ht="15" hidden="false" customHeight="false" outlineLevel="0" collapsed="false">
      <c r="A14" s="4" t="s">
        <v>24</v>
      </c>
      <c r="B14" s="4" t="s">
        <v>20</v>
      </c>
      <c r="C14" s="4" t="s">
        <v>14</v>
      </c>
      <c r="D14" s="5" t="n">
        <v>0.0114942528735632</v>
      </c>
      <c r="E14" s="5" t="n">
        <v>0</v>
      </c>
      <c r="F14" s="5" t="n">
        <v>0</v>
      </c>
      <c r="G14" s="5" t="n">
        <v>0.0188679245283019</v>
      </c>
      <c r="H14" s="5" t="n">
        <v>0</v>
      </c>
      <c r="I14" s="5" t="n">
        <v>0</v>
      </c>
      <c r="J14" s="6" t="n">
        <f aca="false">AVERAGE(G14:I14)</f>
        <v>0.00628930817610063</v>
      </c>
    </row>
    <row r="15" customFormat="false" ht="15" hidden="false" customHeight="false" outlineLevel="0" collapsed="false">
      <c r="A15" s="4" t="s">
        <v>25</v>
      </c>
      <c r="B15" s="4" t="s">
        <v>20</v>
      </c>
      <c r="C15" s="4" t="s">
        <v>14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6" t="n">
        <f aca="false">AVERAGE(G15:I15)</f>
        <v>0</v>
      </c>
    </row>
    <row r="16" customFormat="false" ht="15" hidden="false" customHeight="false" outlineLevel="0" collapsed="false">
      <c r="A16" s="4" t="s">
        <v>26</v>
      </c>
      <c r="B16" s="4" t="s">
        <v>20</v>
      </c>
      <c r="C16" s="4" t="s">
        <v>14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6" t="n">
        <f aca="false">AVERAGE(G16:I16)</f>
        <v>0</v>
      </c>
    </row>
    <row r="17" customFormat="false" ht="15" hidden="false" customHeight="false" outlineLevel="0" collapsed="false">
      <c r="A17" s="4" t="s">
        <v>27</v>
      </c>
      <c r="B17" s="4" t="s">
        <v>20</v>
      </c>
      <c r="C17" s="4" t="s">
        <v>14</v>
      </c>
      <c r="D17" s="5" t="n">
        <v>0</v>
      </c>
      <c r="E17" s="5" t="n">
        <v>0.0487804878048781</v>
      </c>
      <c r="F17" s="5" t="n">
        <v>0</v>
      </c>
      <c r="G17" s="5" t="n">
        <v>0</v>
      </c>
      <c r="H17" s="5" t="n">
        <v>0</v>
      </c>
      <c r="I17" s="5" t="n">
        <v>0</v>
      </c>
      <c r="J17" s="6" t="n">
        <f aca="false">AVERAGE(G17:I17)</f>
        <v>0</v>
      </c>
    </row>
    <row r="18" customFormat="false" ht="15" hidden="false" customHeight="false" outlineLevel="0" collapsed="false">
      <c r="A18" s="4" t="s">
        <v>28</v>
      </c>
      <c r="B18" s="4" t="s">
        <v>20</v>
      </c>
      <c r="C18" s="4" t="s">
        <v>14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6" t="n">
        <f aca="false">AVERAGE(G18:I18)</f>
        <v>0</v>
      </c>
    </row>
    <row r="19" customFormat="false" ht="15" hidden="false" customHeight="false" outlineLevel="0" collapsed="false">
      <c r="A19" s="4" t="s">
        <v>29</v>
      </c>
      <c r="B19" s="4" t="s">
        <v>20</v>
      </c>
      <c r="C19" s="4" t="s">
        <v>14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6" t="n">
        <f aca="false">AVERAGE(G19:I19)</f>
        <v>0</v>
      </c>
    </row>
    <row r="20" customFormat="false" ht="15" hidden="false" customHeight="false" outlineLevel="0" collapsed="false">
      <c r="A20" s="4" t="s">
        <v>30</v>
      </c>
      <c r="B20" s="4" t="s">
        <v>20</v>
      </c>
      <c r="C20" s="4" t="s">
        <v>14</v>
      </c>
      <c r="D20" s="5" t="n">
        <v>0</v>
      </c>
      <c r="E20" s="5" t="n">
        <v>0.0294117647058824</v>
      </c>
      <c r="F20" s="5" t="n">
        <v>0</v>
      </c>
      <c r="G20" s="5" t="n">
        <v>0</v>
      </c>
      <c r="H20" s="5" t="n">
        <v>0</v>
      </c>
      <c r="I20" s="5" t="n">
        <v>0</v>
      </c>
      <c r="J20" s="6" t="n">
        <f aca="false">AVERAGE(G20:I20)</f>
        <v>0</v>
      </c>
    </row>
    <row r="21" customFormat="false" ht="15" hidden="false" customHeight="false" outlineLevel="0" collapsed="false">
      <c r="A21" s="4" t="s">
        <v>31</v>
      </c>
      <c r="B21" s="4" t="s">
        <v>20</v>
      </c>
      <c r="C21" s="4" t="s">
        <v>14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6" t="n">
        <f aca="false">AVERAGE(G21:I21)</f>
        <v>0</v>
      </c>
    </row>
    <row r="22" customFormat="false" ht="15" hidden="false" customHeight="false" outlineLevel="0" collapsed="false">
      <c r="A22" s="4" t="s">
        <v>32</v>
      </c>
      <c r="B22" s="4" t="s">
        <v>20</v>
      </c>
      <c r="C22" s="4" t="s">
        <v>14</v>
      </c>
      <c r="D22" s="5" t="n">
        <v>0</v>
      </c>
      <c r="E22" s="5" t="n">
        <v>0</v>
      </c>
      <c r="F22" s="5" t="n">
        <v>0</v>
      </c>
      <c r="G22" s="5" t="n">
        <v>0.0434782608695652</v>
      </c>
      <c r="H22" s="5" t="n">
        <v>0</v>
      </c>
      <c r="I22" s="5" t="n">
        <v>0</v>
      </c>
      <c r="J22" s="6" t="n">
        <f aca="false">AVERAGE(G22:I22)</f>
        <v>0.0144927536231884</v>
      </c>
    </row>
    <row r="23" customFormat="false" ht="15" hidden="false" customHeight="false" outlineLevel="0" collapsed="false">
      <c r="A23" s="4" t="s">
        <v>33</v>
      </c>
      <c r="B23" s="4" t="s">
        <v>20</v>
      </c>
      <c r="C23" s="4" t="s">
        <v>14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6" t="n">
        <f aca="false">AVERAGE(G23:I23)</f>
        <v>0</v>
      </c>
    </row>
    <row r="24" customFormat="false" ht="15" hidden="false" customHeight="false" outlineLevel="0" collapsed="false">
      <c r="A24" s="4" t="s">
        <v>34</v>
      </c>
      <c r="B24" s="4" t="s">
        <v>20</v>
      </c>
      <c r="C24" s="4" t="s">
        <v>14</v>
      </c>
      <c r="D24" s="5" t="n">
        <v>0.0909090909090909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0.1</v>
      </c>
      <c r="J24" s="6" t="n">
        <f aca="false">AVERAGE(G24:I24)</f>
        <v>0.0333333333333333</v>
      </c>
    </row>
    <row r="25" customFormat="false" ht="15" hidden="false" customHeight="false" outlineLevel="0" collapsed="false">
      <c r="A25" s="4" t="s">
        <v>35</v>
      </c>
      <c r="B25" s="4" t="s">
        <v>20</v>
      </c>
      <c r="C25" s="4" t="s">
        <v>14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6" t="n">
        <f aca="false">AVERAGE(G25:I25)</f>
        <v>0</v>
      </c>
    </row>
    <row r="26" customFormat="false" ht="15" hidden="false" customHeight="false" outlineLevel="0" collapsed="false">
      <c r="A26" s="4" t="s">
        <v>36</v>
      </c>
      <c r="B26" s="4" t="s">
        <v>20</v>
      </c>
      <c r="C26" s="4" t="s">
        <v>14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6" t="n">
        <f aca="false">AVERAGE(G26:I26)</f>
        <v>0</v>
      </c>
    </row>
    <row r="27" customFormat="false" ht="15" hidden="false" customHeight="false" outlineLevel="0" collapsed="false">
      <c r="A27" s="4" t="s">
        <v>37</v>
      </c>
      <c r="B27" s="4" t="s">
        <v>20</v>
      </c>
      <c r="C27" s="4" t="s">
        <v>14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7" t="n">
        <v>0</v>
      </c>
      <c r="J27" s="6" t="n">
        <f aca="false">AVERAGE(G27:I27)</f>
        <v>0</v>
      </c>
    </row>
    <row r="28" customFormat="false" ht="15" hidden="false" customHeight="false" outlineLevel="0" collapsed="false">
      <c r="A28" s="4" t="s">
        <v>38</v>
      </c>
      <c r="B28" s="4" t="s">
        <v>39</v>
      </c>
      <c r="C28" s="4" t="s">
        <v>40</v>
      </c>
      <c r="D28" s="5" t="n">
        <v>0.0451612903225806</v>
      </c>
      <c r="E28" s="5" t="n">
        <v>0.0408163265306122</v>
      </c>
      <c r="F28" s="5" t="n">
        <v>0.0136054421768708</v>
      </c>
      <c r="G28" s="5" t="n">
        <v>0.049645390070922</v>
      </c>
      <c r="H28" s="5" t="n">
        <v>0</v>
      </c>
      <c r="I28" s="5" t="n">
        <v>0.00584795321637427</v>
      </c>
      <c r="J28" s="6" t="n">
        <f aca="false">AVERAGE(G28:I28)</f>
        <v>0.0184977810957654</v>
      </c>
    </row>
    <row r="29" customFormat="false" ht="15" hidden="false" customHeight="false" outlineLevel="0" collapsed="false">
      <c r="A29" s="4" t="s">
        <v>41</v>
      </c>
      <c r="B29" s="4" t="s">
        <v>39</v>
      </c>
      <c r="C29" s="4" t="s">
        <v>40</v>
      </c>
      <c r="D29" s="5" t="n">
        <v>0.0666666666666667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6" t="n">
        <f aca="false">AVERAGE(G29:I29)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9" min="4" style="0" width="11"/>
  </cols>
  <sheetData>
    <row r="1" customFormat="false" ht="17.3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</row>
    <row r="5" customFormat="false" ht="15" hidden="false" customHeight="false" outlineLevel="0" collapsed="false">
      <c r="A5" s="4" t="s">
        <v>12</v>
      </c>
      <c r="B5" s="4" t="s">
        <v>14</v>
      </c>
      <c r="C5" s="8" t="n">
        <f aca="false">'Tasa Rotación'!J5</f>
        <v>0.0293631436314363</v>
      </c>
      <c r="D5" s="9" t="n">
        <v>276</v>
      </c>
      <c r="E5" s="9" t="n">
        <v>299</v>
      </c>
      <c r="F5" s="10" t="n">
        <f aca="false">ROUND(E5*(1-C5),0)</f>
        <v>290</v>
      </c>
      <c r="G5" s="10" t="n">
        <f aca="false">ROUND(F5*(1-C5),0)</f>
        <v>281</v>
      </c>
      <c r="H5" s="10" t="n">
        <f aca="false">ROUND(G5*(1-C5),0)</f>
        <v>273</v>
      </c>
      <c r="I5" s="10" t="n">
        <f aca="false">ROUND(H5*(1-C5),0)</f>
        <v>265</v>
      </c>
    </row>
    <row r="6" customFormat="false" ht="15" hidden="false" customHeight="false" outlineLevel="0" collapsed="false">
      <c r="A6" s="4" t="s">
        <v>15</v>
      </c>
      <c r="B6" s="4" t="s">
        <v>14</v>
      </c>
      <c r="C6" s="8" t="n">
        <f aca="false">'Tasa Rotación'!J6</f>
        <v>0.031024531024531</v>
      </c>
      <c r="D6" s="9" t="n">
        <v>20</v>
      </c>
      <c r="E6" s="9" t="n">
        <v>21</v>
      </c>
      <c r="F6" s="10" t="n">
        <f aca="false">ROUND(E6*(1-C6),0)</f>
        <v>20</v>
      </c>
      <c r="G6" s="10" t="n">
        <f aca="false">ROUND(F6*(1-C6),0)</f>
        <v>19</v>
      </c>
      <c r="H6" s="10" t="n">
        <f aca="false">ROUND(G6*(1-C6),0)</f>
        <v>18</v>
      </c>
      <c r="I6" s="10" t="n">
        <f aca="false">ROUND(H6*(1-C6),0)</f>
        <v>17</v>
      </c>
    </row>
    <row r="7" customFormat="false" ht="15" hidden="false" customHeight="false" outlineLevel="0" collapsed="false">
      <c r="A7" s="4" t="s">
        <v>16</v>
      </c>
      <c r="B7" s="4" t="s">
        <v>14</v>
      </c>
      <c r="C7" s="8" t="n">
        <f aca="false">'Tasa Rotación'!J7</f>
        <v>0.0317836812144213</v>
      </c>
      <c r="D7" s="9" t="n">
        <v>57</v>
      </c>
      <c r="E7" s="9" t="n">
        <v>43</v>
      </c>
      <c r="F7" s="10" t="n">
        <f aca="false">ROUND(E7*(1-C7),0)</f>
        <v>42</v>
      </c>
      <c r="G7" s="10" t="n">
        <f aca="false">ROUND(F7*(1-C7),0)</f>
        <v>41</v>
      </c>
      <c r="H7" s="10" t="n">
        <f aca="false">ROUND(G7*(1-C7),0)</f>
        <v>40</v>
      </c>
      <c r="I7" s="10" t="n">
        <f aca="false">ROUND(H7*(1-C7),0)</f>
        <v>39</v>
      </c>
    </row>
    <row r="8" customFormat="false" ht="15" hidden="false" customHeight="false" outlineLevel="0" collapsed="false">
      <c r="A8" s="4" t="s">
        <v>17</v>
      </c>
      <c r="B8" s="4" t="s">
        <v>14</v>
      </c>
      <c r="C8" s="8" t="n">
        <f aca="false">'Tasa Rotación'!J8</f>
        <v>0.0791256157635468</v>
      </c>
      <c r="D8" s="9" t="n">
        <v>26</v>
      </c>
      <c r="E8" s="9" t="n">
        <v>30</v>
      </c>
      <c r="F8" s="10" t="n">
        <f aca="false">ROUND(E8*(1-C8),0)</f>
        <v>28</v>
      </c>
      <c r="G8" s="10" t="n">
        <f aca="false">ROUND(F8*(1-C8),0)</f>
        <v>26</v>
      </c>
      <c r="H8" s="10" t="n">
        <f aca="false">ROUND(G8*(1-C8),0)</f>
        <v>24</v>
      </c>
      <c r="I8" s="10" t="n">
        <f aca="false">ROUND(H8*(1-C8),0)</f>
        <v>22</v>
      </c>
    </row>
    <row r="9" customFormat="false" ht="15" hidden="false" customHeight="false" outlineLevel="0" collapsed="false">
      <c r="A9" s="4" t="s">
        <v>18</v>
      </c>
      <c r="B9" s="4" t="s">
        <v>14</v>
      </c>
      <c r="C9" s="8" t="n">
        <f aca="false">'Tasa Rotación'!J9</f>
        <v>0.0833333333333333</v>
      </c>
      <c r="D9" s="9" t="n">
        <v>9</v>
      </c>
      <c r="E9" s="9" t="n">
        <v>0</v>
      </c>
      <c r="F9" s="10" t="n">
        <f aca="false">ROUND(E9*(1-C9),0)</f>
        <v>0</v>
      </c>
      <c r="G9" s="10" t="n">
        <f aca="false">ROUND(F9*(1-C9),0)</f>
        <v>0</v>
      </c>
      <c r="H9" s="10" t="n">
        <f aca="false">ROUND(G9*(1-C9),0)</f>
        <v>0</v>
      </c>
      <c r="I9" s="10" t="n">
        <f aca="false">ROUND(H9*(1-C9),0)</f>
        <v>0</v>
      </c>
    </row>
    <row r="10" customFormat="false" ht="15" hidden="false" customHeight="false" outlineLevel="0" collapsed="false">
      <c r="A10" s="4" t="s">
        <v>19</v>
      </c>
      <c r="B10" s="4" t="s">
        <v>14</v>
      </c>
      <c r="C10" s="8" t="n">
        <f aca="false">'Tasa Rotación'!J10</f>
        <v>0</v>
      </c>
      <c r="D10" s="9" t="n">
        <v>38</v>
      </c>
      <c r="E10" s="9" t="n">
        <v>38</v>
      </c>
      <c r="F10" s="10" t="n">
        <f aca="false">ROUND(E10*(1-C10),0)</f>
        <v>38</v>
      </c>
      <c r="G10" s="10" t="n">
        <f aca="false">ROUND(F10*(1-C10),0)</f>
        <v>38</v>
      </c>
      <c r="H10" s="10" t="n">
        <f aca="false">ROUND(G10*(1-C10),0)</f>
        <v>38</v>
      </c>
      <c r="I10" s="10" t="n">
        <f aca="false">ROUND(H10*(1-C10),0)</f>
        <v>38</v>
      </c>
    </row>
    <row r="11" customFormat="false" ht="15" hidden="false" customHeight="false" outlineLevel="0" collapsed="false">
      <c r="A11" s="4" t="s">
        <v>21</v>
      </c>
      <c r="B11" s="4" t="s">
        <v>14</v>
      </c>
      <c r="C11" s="8" t="n">
        <f aca="false">'Tasa Rotación'!J11</f>
        <v>0</v>
      </c>
      <c r="D11" s="9" t="n">
        <v>20</v>
      </c>
      <c r="E11" s="9" t="n">
        <v>20</v>
      </c>
      <c r="F11" s="10" t="n">
        <f aca="false">ROUND(E11*(1-C11),0)</f>
        <v>20</v>
      </c>
      <c r="G11" s="10" t="n">
        <f aca="false">ROUND(F11*(1-C11),0)</f>
        <v>20</v>
      </c>
      <c r="H11" s="10" t="n">
        <f aca="false">ROUND(G11*(1-C11),0)</f>
        <v>20</v>
      </c>
      <c r="I11" s="10" t="n">
        <f aca="false">ROUND(H11*(1-C11),0)</f>
        <v>20</v>
      </c>
    </row>
    <row r="12" customFormat="false" ht="15" hidden="false" customHeight="false" outlineLevel="0" collapsed="false">
      <c r="A12" s="4" t="s">
        <v>22</v>
      </c>
      <c r="B12" s="4" t="s">
        <v>14</v>
      </c>
      <c r="C12" s="8" t="n">
        <f aca="false">'Tasa Rotación'!J12</f>
        <v>0.0166666666666667</v>
      </c>
      <c r="D12" s="9" t="n">
        <v>37</v>
      </c>
      <c r="E12" s="9" t="n">
        <v>38</v>
      </c>
      <c r="F12" s="10" t="n">
        <f aca="false">ROUND(E12*(1-C12),0)</f>
        <v>37</v>
      </c>
      <c r="G12" s="10" t="n">
        <f aca="false">ROUND(F12*(1-C12),0)</f>
        <v>36</v>
      </c>
      <c r="H12" s="10" t="n">
        <f aca="false">ROUND(G12*(1-C12),0)</f>
        <v>35</v>
      </c>
      <c r="I12" s="10" t="n">
        <f aca="false">ROUND(H12*(1-C12),0)</f>
        <v>34</v>
      </c>
    </row>
    <row r="13" customFormat="false" ht="15" hidden="false" customHeight="false" outlineLevel="0" collapsed="false">
      <c r="A13" s="4" t="s">
        <v>23</v>
      </c>
      <c r="B13" s="4" t="s">
        <v>14</v>
      </c>
      <c r="C13" s="8" t="n">
        <f aca="false">'Tasa Rotación'!J13</f>
        <v>0</v>
      </c>
      <c r="D13" s="9" t="n">
        <v>16</v>
      </c>
      <c r="E13" s="9" t="n">
        <v>16</v>
      </c>
      <c r="F13" s="10" t="n">
        <f aca="false">ROUND(E13*(1-C13),0)</f>
        <v>16</v>
      </c>
      <c r="G13" s="10" t="n">
        <f aca="false">ROUND(F13*(1-C13),0)</f>
        <v>16</v>
      </c>
      <c r="H13" s="10" t="n">
        <f aca="false">ROUND(G13*(1-C13),0)</f>
        <v>16</v>
      </c>
      <c r="I13" s="10" t="n">
        <f aca="false">ROUND(H13*(1-C13),0)</f>
        <v>16</v>
      </c>
    </row>
    <row r="14" customFormat="false" ht="15" hidden="false" customHeight="false" outlineLevel="0" collapsed="false">
      <c r="A14" s="4" t="s">
        <v>24</v>
      </c>
      <c r="B14" s="4" t="s">
        <v>14</v>
      </c>
      <c r="C14" s="8" t="n">
        <f aca="false">'Tasa Rotación'!J14</f>
        <v>0.00628930817610063</v>
      </c>
      <c r="D14" s="9" t="n">
        <v>106</v>
      </c>
      <c r="E14" s="9" t="n">
        <v>118</v>
      </c>
      <c r="F14" s="10" t="n">
        <f aca="false">ROUND(E14*(1-C14),0)</f>
        <v>117</v>
      </c>
      <c r="G14" s="10" t="n">
        <f aca="false">ROUND(F14*(1-C14),0)</f>
        <v>116</v>
      </c>
      <c r="H14" s="10" t="n">
        <f aca="false">ROUND(G14*(1-C14),0)</f>
        <v>115</v>
      </c>
      <c r="I14" s="10" t="n">
        <f aca="false">ROUND(H14*(1-C14),0)</f>
        <v>114</v>
      </c>
    </row>
    <row r="15" customFormat="false" ht="15" hidden="false" customHeight="false" outlineLevel="0" collapsed="false">
      <c r="A15" s="4" t="s">
        <v>25</v>
      </c>
      <c r="B15" s="4" t="s">
        <v>14</v>
      </c>
      <c r="C15" s="8" t="n">
        <f aca="false">'Tasa Rotación'!J15</f>
        <v>0</v>
      </c>
      <c r="D15" s="9" t="n">
        <v>34</v>
      </c>
      <c r="E15" s="9" t="n">
        <v>36</v>
      </c>
      <c r="F15" s="10" t="n">
        <f aca="false">ROUND(E15*(1-C15),0)</f>
        <v>36</v>
      </c>
      <c r="G15" s="10" t="n">
        <f aca="false">ROUND(F15*(1-C15),0)</f>
        <v>36</v>
      </c>
      <c r="H15" s="10" t="n">
        <f aca="false">ROUND(G15*(1-C15),0)</f>
        <v>36</v>
      </c>
      <c r="I15" s="10" t="n">
        <f aca="false">ROUND(H15*(1-C15),0)</f>
        <v>36</v>
      </c>
    </row>
    <row r="16" customFormat="false" ht="15" hidden="false" customHeight="false" outlineLevel="0" collapsed="false">
      <c r="A16" s="4" t="s">
        <v>26</v>
      </c>
      <c r="B16" s="4" t="s">
        <v>14</v>
      </c>
      <c r="C16" s="8" t="n">
        <f aca="false">'Tasa Rotación'!J16</f>
        <v>0</v>
      </c>
      <c r="D16" s="9" t="n">
        <v>13</v>
      </c>
      <c r="E16" s="9" t="n">
        <v>13</v>
      </c>
      <c r="F16" s="10" t="n">
        <f aca="false">ROUND(E16*(1-C16),0)</f>
        <v>13</v>
      </c>
      <c r="G16" s="10" t="n">
        <f aca="false">ROUND(F16*(1-C16),0)</f>
        <v>13</v>
      </c>
      <c r="H16" s="10" t="n">
        <f aca="false">ROUND(G16*(1-C16),0)</f>
        <v>13</v>
      </c>
      <c r="I16" s="10" t="n">
        <f aca="false">ROUND(H16*(1-C16),0)</f>
        <v>13</v>
      </c>
    </row>
    <row r="17" customFormat="false" ht="15" hidden="false" customHeight="false" outlineLevel="0" collapsed="false">
      <c r="A17" s="4" t="s">
        <v>27</v>
      </c>
      <c r="B17" s="4" t="s">
        <v>14</v>
      </c>
      <c r="C17" s="8" t="n">
        <f aca="false">'Tasa Rotación'!J17</f>
        <v>0</v>
      </c>
      <c r="D17" s="9" t="n">
        <v>23</v>
      </c>
      <c r="E17" s="9" t="n">
        <v>23</v>
      </c>
      <c r="F17" s="10" t="n">
        <f aca="false">ROUND(E17*(1-C17),0)</f>
        <v>23</v>
      </c>
      <c r="G17" s="10" t="n">
        <f aca="false">ROUND(F17*(1-C17),0)</f>
        <v>23</v>
      </c>
      <c r="H17" s="10" t="n">
        <f aca="false">ROUND(G17*(1-C17),0)</f>
        <v>23</v>
      </c>
      <c r="I17" s="10" t="n">
        <f aca="false">ROUND(H17*(1-C17),0)</f>
        <v>23</v>
      </c>
    </row>
    <row r="18" customFormat="false" ht="15" hidden="false" customHeight="false" outlineLevel="0" collapsed="false">
      <c r="A18" s="4" t="s">
        <v>28</v>
      </c>
      <c r="B18" s="4" t="s">
        <v>14</v>
      </c>
      <c r="C18" s="8" t="n">
        <f aca="false">'Tasa Rotación'!J18</f>
        <v>0</v>
      </c>
      <c r="D18" s="9" t="n">
        <v>26</v>
      </c>
      <c r="E18" s="9" t="n">
        <v>29</v>
      </c>
      <c r="F18" s="10" t="n">
        <f aca="false">ROUND(E18*(1-C18),0)</f>
        <v>29</v>
      </c>
      <c r="G18" s="10" t="n">
        <f aca="false">ROUND(F18*(1-C18),0)</f>
        <v>29</v>
      </c>
      <c r="H18" s="10" t="n">
        <f aca="false">ROUND(G18*(1-C18),0)</f>
        <v>29</v>
      </c>
      <c r="I18" s="10" t="n">
        <f aca="false">ROUND(H18*(1-C18),0)</f>
        <v>29</v>
      </c>
    </row>
    <row r="19" customFormat="false" ht="15" hidden="false" customHeight="false" outlineLevel="0" collapsed="false">
      <c r="A19" s="4" t="s">
        <v>29</v>
      </c>
      <c r="B19" s="4" t="s">
        <v>14</v>
      </c>
      <c r="C19" s="8" t="n">
        <f aca="false">'Tasa Rotación'!J19</f>
        <v>0</v>
      </c>
      <c r="D19" s="9" t="n">
        <v>15</v>
      </c>
      <c r="E19" s="9" t="n">
        <v>15</v>
      </c>
      <c r="F19" s="10" t="n">
        <f aca="false">ROUND(E19*(1-C19),0)</f>
        <v>15</v>
      </c>
      <c r="G19" s="10" t="n">
        <f aca="false">ROUND(F19*(1-C19),0)</f>
        <v>15</v>
      </c>
      <c r="H19" s="10" t="n">
        <f aca="false">ROUND(G19*(1-C19),0)</f>
        <v>15</v>
      </c>
      <c r="I19" s="10" t="n">
        <f aca="false">ROUND(H19*(1-C19),0)</f>
        <v>15</v>
      </c>
    </row>
    <row r="20" customFormat="false" ht="15" hidden="false" customHeight="false" outlineLevel="0" collapsed="false">
      <c r="A20" s="4" t="s">
        <v>30</v>
      </c>
      <c r="B20" s="4" t="s">
        <v>14</v>
      </c>
      <c r="C20" s="8" t="n">
        <f aca="false">'Tasa Rotación'!J20</f>
        <v>0</v>
      </c>
      <c r="D20" s="9" t="n">
        <v>34</v>
      </c>
      <c r="E20" s="9" t="n">
        <v>34</v>
      </c>
      <c r="F20" s="10" t="n">
        <f aca="false">ROUND(E20*(1-C20),0)</f>
        <v>34</v>
      </c>
      <c r="G20" s="10" t="n">
        <f aca="false">ROUND(F20*(1-C20),0)</f>
        <v>34</v>
      </c>
      <c r="H20" s="10" t="n">
        <f aca="false">ROUND(G20*(1-C20),0)</f>
        <v>34</v>
      </c>
      <c r="I20" s="10" t="n">
        <f aca="false">ROUND(H20*(1-C20),0)</f>
        <v>34</v>
      </c>
    </row>
    <row r="21" customFormat="false" ht="15" hidden="false" customHeight="false" outlineLevel="0" collapsed="false">
      <c r="A21" s="4" t="s">
        <v>31</v>
      </c>
      <c r="B21" s="4" t="s">
        <v>14</v>
      </c>
      <c r="C21" s="8" t="n">
        <f aca="false">'Tasa Rotación'!J21</f>
        <v>0</v>
      </c>
      <c r="D21" s="9" t="n">
        <v>5</v>
      </c>
      <c r="E21" s="9" t="n">
        <v>5</v>
      </c>
      <c r="F21" s="10" t="n">
        <f aca="false">ROUND(E21*(1-C21),0)</f>
        <v>5</v>
      </c>
      <c r="G21" s="10" t="n">
        <f aca="false">ROUND(F21*(1-C21),0)</f>
        <v>5</v>
      </c>
      <c r="H21" s="10" t="n">
        <f aca="false">ROUND(G21*(1-C21),0)</f>
        <v>5</v>
      </c>
      <c r="I21" s="10" t="n">
        <f aca="false">ROUND(H21*(1-C21),0)</f>
        <v>5</v>
      </c>
    </row>
    <row r="22" customFormat="false" ht="15" hidden="false" customHeight="false" outlineLevel="0" collapsed="false">
      <c r="A22" s="4" t="s">
        <v>32</v>
      </c>
      <c r="B22" s="4" t="s">
        <v>14</v>
      </c>
      <c r="C22" s="8" t="n">
        <f aca="false">'Tasa Rotación'!J22</f>
        <v>0.0144927536231884</v>
      </c>
      <c r="D22" s="9" t="n">
        <v>22</v>
      </c>
      <c r="E22" s="9" t="n">
        <v>22</v>
      </c>
      <c r="F22" s="10" t="n">
        <f aca="false">ROUND(E22*(1-C22),0)</f>
        <v>22</v>
      </c>
      <c r="G22" s="10" t="n">
        <f aca="false">ROUND(F22*(1-C22),0)</f>
        <v>22</v>
      </c>
      <c r="H22" s="10" t="n">
        <f aca="false">ROUND(G22*(1-C22),0)</f>
        <v>22</v>
      </c>
      <c r="I22" s="10" t="n">
        <f aca="false">ROUND(H22*(1-C22),0)</f>
        <v>22</v>
      </c>
    </row>
    <row r="23" customFormat="false" ht="15" hidden="false" customHeight="false" outlineLevel="0" collapsed="false">
      <c r="A23" s="4" t="s">
        <v>33</v>
      </c>
      <c r="B23" s="4" t="s">
        <v>14</v>
      </c>
      <c r="C23" s="8" t="n">
        <f aca="false">'Tasa Rotación'!J23</f>
        <v>0</v>
      </c>
      <c r="D23" s="9" t="n">
        <v>14</v>
      </c>
      <c r="E23" s="9" t="n">
        <v>14</v>
      </c>
      <c r="F23" s="10" t="n">
        <f aca="false">ROUND(E23*(1-C23),0)</f>
        <v>14</v>
      </c>
      <c r="G23" s="10" t="n">
        <f aca="false">ROUND(F23*(1-C23),0)</f>
        <v>14</v>
      </c>
      <c r="H23" s="10" t="n">
        <f aca="false">ROUND(G23*(1-C23),0)</f>
        <v>14</v>
      </c>
      <c r="I23" s="10" t="n">
        <f aca="false">ROUND(H23*(1-C23),0)</f>
        <v>14</v>
      </c>
    </row>
    <row r="24" customFormat="false" ht="15" hidden="false" customHeight="false" outlineLevel="0" collapsed="false">
      <c r="A24" s="4" t="s">
        <v>34</v>
      </c>
      <c r="B24" s="4" t="s">
        <v>14</v>
      </c>
      <c r="C24" s="8" t="n">
        <f aca="false">'Tasa Rotación'!J24</f>
        <v>0.0333333333333333</v>
      </c>
      <c r="D24" s="9" t="n">
        <v>10</v>
      </c>
      <c r="E24" s="9" t="n">
        <v>9</v>
      </c>
      <c r="F24" s="10" t="n">
        <f aca="false">ROUND(E24*(1-C24),0)</f>
        <v>9</v>
      </c>
      <c r="G24" s="10" t="n">
        <f aca="false">ROUND(F24*(1-C24),0)</f>
        <v>9</v>
      </c>
      <c r="H24" s="10" t="n">
        <f aca="false">ROUND(G24*(1-C24),0)</f>
        <v>9</v>
      </c>
      <c r="I24" s="10" t="n">
        <f aca="false">ROUND(H24*(1-C24),0)</f>
        <v>9</v>
      </c>
    </row>
    <row r="25" customFormat="false" ht="15" hidden="false" customHeight="false" outlineLevel="0" collapsed="false">
      <c r="A25" s="4" t="s">
        <v>35</v>
      </c>
      <c r="B25" s="4" t="s">
        <v>14</v>
      </c>
      <c r="C25" s="8" t="n">
        <f aca="false">'Tasa Rotación'!J25</f>
        <v>0</v>
      </c>
      <c r="D25" s="9" t="n">
        <v>5</v>
      </c>
      <c r="E25" s="9" t="n">
        <v>5</v>
      </c>
      <c r="F25" s="10" t="n">
        <f aca="false">ROUND(E25*(1-C25),0)</f>
        <v>5</v>
      </c>
      <c r="G25" s="10" t="n">
        <f aca="false">ROUND(F25*(1-C25),0)</f>
        <v>5</v>
      </c>
      <c r="H25" s="10" t="n">
        <f aca="false">ROUND(G25*(1-C25),0)</f>
        <v>5</v>
      </c>
      <c r="I25" s="10" t="n">
        <f aca="false">ROUND(H25*(1-C25),0)</f>
        <v>5</v>
      </c>
    </row>
    <row r="26" customFormat="false" ht="15" hidden="false" customHeight="false" outlineLevel="0" collapsed="false">
      <c r="A26" s="4" t="s">
        <v>36</v>
      </c>
      <c r="B26" s="4" t="s">
        <v>14</v>
      </c>
      <c r="C26" s="8" t="n">
        <f aca="false">'Tasa Rotación'!J26</f>
        <v>0</v>
      </c>
      <c r="D26" s="9" t="n">
        <v>4</v>
      </c>
      <c r="E26" s="9" t="n">
        <v>4</v>
      </c>
      <c r="F26" s="10" t="n">
        <f aca="false">ROUND(E26*(1-C26),0)</f>
        <v>4</v>
      </c>
      <c r="G26" s="10" t="n">
        <f aca="false">ROUND(F26*(1-C26),0)</f>
        <v>4</v>
      </c>
      <c r="H26" s="10" t="n">
        <f aca="false">ROUND(G26*(1-C26),0)</f>
        <v>4</v>
      </c>
      <c r="I26" s="10" t="n">
        <f aca="false">ROUND(H26*(1-C26),0)</f>
        <v>4</v>
      </c>
    </row>
    <row r="27" customFormat="false" ht="15" hidden="false" customHeight="false" outlineLevel="0" collapsed="false">
      <c r="A27" s="4" t="s">
        <v>37</v>
      </c>
      <c r="B27" s="4" t="s">
        <v>14</v>
      </c>
      <c r="C27" s="8" t="n">
        <f aca="false">'Tasa Rotación'!J27</f>
        <v>0</v>
      </c>
      <c r="D27" s="9" t="n">
        <v>14</v>
      </c>
      <c r="E27" s="9" t="n">
        <v>0</v>
      </c>
      <c r="F27" s="10" t="n">
        <f aca="false">ROUND(E27*(1-C27),0)</f>
        <v>0</v>
      </c>
      <c r="G27" s="10" t="n">
        <f aca="false">ROUND(F27*(1-C27),0)</f>
        <v>0</v>
      </c>
      <c r="H27" s="10" t="n">
        <f aca="false">ROUND(G27*(1-C27),0)</f>
        <v>0</v>
      </c>
      <c r="I27" s="10" t="n">
        <f aca="false">ROUND(H27*(1-C27),0)</f>
        <v>0</v>
      </c>
    </row>
    <row r="28" customFormat="false" ht="15" hidden="false" customHeight="false" outlineLevel="0" collapsed="false">
      <c r="A28" s="4" t="s">
        <v>38</v>
      </c>
      <c r="B28" s="4" t="s">
        <v>40</v>
      </c>
      <c r="C28" s="8" t="n">
        <f aca="false">'Tasa Rotación'!J28</f>
        <v>0.0184977810957654</v>
      </c>
      <c r="D28" s="9" t="n">
        <v>146</v>
      </c>
      <c r="E28" s="9" t="n">
        <v>170</v>
      </c>
      <c r="F28" s="10" t="n">
        <f aca="false">ROUND(E28*(1-C28),0)</f>
        <v>167</v>
      </c>
      <c r="G28" s="10" t="n">
        <f aca="false">ROUND(F28*(1-C28),0)</f>
        <v>164</v>
      </c>
      <c r="H28" s="10" t="n">
        <f aca="false">ROUND(G28*(1-C28),0)</f>
        <v>161</v>
      </c>
      <c r="I28" s="10" t="n">
        <f aca="false">ROUND(H28*(1-C28),0)</f>
        <v>158</v>
      </c>
    </row>
    <row r="29" customFormat="false" ht="15" hidden="false" customHeight="false" outlineLevel="0" collapsed="false">
      <c r="A29" s="4" t="s">
        <v>41</v>
      </c>
      <c r="B29" s="4" t="s">
        <v>40</v>
      </c>
      <c r="C29" s="8" t="n">
        <f aca="false">'Tasa Rotación'!J29</f>
        <v>0</v>
      </c>
      <c r="D29" s="9" t="n">
        <v>13</v>
      </c>
      <c r="E29" s="9" t="n">
        <v>13</v>
      </c>
      <c r="F29" s="10" t="n">
        <f aca="false">ROUND(E29*(1-C29),0)</f>
        <v>13</v>
      </c>
      <c r="G29" s="10" t="n">
        <f aca="false">ROUND(F29*(1-C29),0)</f>
        <v>13</v>
      </c>
      <c r="H29" s="10" t="n">
        <f aca="false">ROUND(G29*(1-C29),0)</f>
        <v>13</v>
      </c>
      <c r="I29" s="10" t="n">
        <f aca="false">ROUND(H29*(1-C29),0)</f>
        <v>13</v>
      </c>
    </row>
    <row r="30" customFormat="false" ht="15" hidden="false" customHeight="false" outlineLevel="0" collapsed="false">
      <c r="C30" s="11"/>
      <c r="D30" s="11"/>
      <c r="E30" s="11"/>
      <c r="F30" s="11"/>
      <c r="G30" s="11"/>
      <c r="H30" s="11"/>
      <c r="I30" s="11"/>
    </row>
    <row r="31" customFormat="false" ht="15" hidden="false" customHeight="false" outlineLevel="0" collapsed="false">
      <c r="A31" s="12" t="s">
        <v>51</v>
      </c>
      <c r="C31" s="11"/>
      <c r="D31" s="13" t="n">
        <f aca="false">SUM(D5:D29)</f>
        <v>983</v>
      </c>
      <c r="E31" s="13" t="n">
        <f aca="false">SUM(E5:E29)</f>
        <v>1015</v>
      </c>
      <c r="F31" s="13" t="n">
        <f aca="false">SUM(F5:F29)</f>
        <v>997</v>
      </c>
      <c r="G31" s="13" t="n">
        <f aca="false">SUM(G5:G29)</f>
        <v>979</v>
      </c>
      <c r="H31" s="13" t="n">
        <f aca="false">SUM(H5:H29)</f>
        <v>962</v>
      </c>
      <c r="I31" s="13" t="n">
        <f aca="false">SUM(I5:I29)</f>
        <v>945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0"/>
  </cols>
  <sheetData>
    <row r="1" customFormat="false" ht="17.3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53</v>
      </c>
      <c r="B3" s="3" t="s">
        <v>9</v>
      </c>
      <c r="C3" s="3" t="s">
        <v>10</v>
      </c>
      <c r="D3" s="3" t="s">
        <v>47</v>
      </c>
      <c r="E3" s="3" t="s">
        <v>48</v>
      </c>
      <c r="F3" s="3" t="s">
        <v>49</v>
      </c>
      <c r="G3" s="3" t="s">
        <v>50</v>
      </c>
    </row>
    <row r="4" customFormat="false" ht="15" hidden="false" customHeight="false" outlineLevel="0" collapsed="false">
      <c r="A4" s="14" t="s">
        <v>54</v>
      </c>
    </row>
    <row r="5" customFormat="false" ht="15" hidden="false" customHeight="false" outlineLevel="0" collapsed="false">
      <c r="A5" s="4" t="s">
        <v>55</v>
      </c>
      <c r="B5" s="15" t="n">
        <v>836</v>
      </c>
      <c r="C5" s="15" t="n">
        <v>889</v>
      </c>
      <c r="D5" s="15" t="n">
        <v>851</v>
      </c>
      <c r="E5" s="15" t="n">
        <v>784</v>
      </c>
      <c r="F5" s="15" t="n">
        <v>761</v>
      </c>
      <c r="G5" s="15" t="n">
        <v>732</v>
      </c>
    </row>
    <row r="6" customFormat="false" ht="15" hidden="false" customHeight="false" outlineLevel="0" collapsed="false">
      <c r="A6" s="4" t="s">
        <v>56</v>
      </c>
      <c r="B6" s="15" t="n">
        <v>824</v>
      </c>
      <c r="C6" s="15" t="n">
        <v>832</v>
      </c>
      <c r="D6" s="15" t="n">
        <f aca="false">SUM(Proyección!F5,Proyección!F6,Proyección!F7,Proyección!F8,Proyección!F9,Proyección!F10,Proyección!F11,Proyección!F12,Proyección!F13,Proyección!F14,Proyección!F15,Proyección!F16,Proyección!F17,Proyección!F18,Proyección!F19,Proyección!F20,Proyección!F21,Proyección!F22,Proyección!F23,Proyección!F24,Proyección!F25,Proyección!F26,Proyección!F27)</f>
        <v>817</v>
      </c>
      <c r="E6" s="15" t="n">
        <f aca="false">SUM(Proyección!G5,Proyección!G6,Proyección!G7,Proyección!G8,Proyección!G9,Proyección!G10,Proyección!G11,Proyección!G12,Proyección!G13,Proyección!G14,Proyección!G15,Proyección!G16,Proyección!G17,Proyección!G18,Proyección!G19,Proyección!G20,Proyección!G21,Proyección!G22,Proyección!G23,Proyección!G24,Proyección!G25,Proyección!G26,Proyección!G27)</f>
        <v>802</v>
      </c>
      <c r="F6" s="15" t="n">
        <f aca="false">SUM(Proyección!H5,Proyección!H6,Proyección!H7,Proyección!H8,Proyección!H9,Proyección!H10,Proyección!H11,Proyección!H12,Proyección!H13,Proyección!H14,Proyección!H15,Proyección!H16,Proyección!H17,Proyección!H18,Proyección!H19,Proyección!H20,Proyección!H21,Proyección!H22,Proyección!H23,Proyección!H24,Proyección!H25,Proyección!H26,Proyección!H27)</f>
        <v>788</v>
      </c>
      <c r="G6" s="15" t="n">
        <f aca="false">SUM(Proyección!I5,Proyección!I6,Proyección!I7,Proyección!I8,Proyección!I9,Proyección!I10,Proyección!I11,Proyección!I12,Proyección!I13,Proyección!I14,Proyección!I15,Proyección!I16,Proyección!I17,Proyección!I18,Proyección!I19,Proyección!I20,Proyección!I21,Proyección!I22,Proyección!I23,Proyección!I24,Proyección!I25,Proyección!I26,Proyección!I27)</f>
        <v>774</v>
      </c>
    </row>
    <row r="7" customFormat="false" ht="15" hidden="false" customHeight="false" outlineLevel="0" collapsed="false">
      <c r="A7" s="16" t="s">
        <v>57</v>
      </c>
      <c r="B7" s="17" t="n">
        <f aca="false">B6/B5</f>
        <v>0.985645933014354</v>
      </c>
      <c r="C7" s="17" t="n">
        <f aca="false">C6/C5</f>
        <v>0.935883014623172</v>
      </c>
      <c r="D7" s="17" t="n">
        <f aca="false">D6/D5</f>
        <v>0.960047003525264</v>
      </c>
      <c r="E7" s="17" t="n">
        <f aca="false">E6/E5</f>
        <v>1.02295918367347</v>
      </c>
      <c r="F7" s="17" t="n">
        <f aca="false">F6/F5</f>
        <v>1.03547963206307</v>
      </c>
      <c r="G7" s="17" t="n">
        <f aca="false">G6/G5</f>
        <v>1.05737704918033</v>
      </c>
    </row>
    <row r="9" customFormat="false" ht="15" hidden="false" customHeight="false" outlineLevel="0" collapsed="false">
      <c r="A9" s="14" t="s">
        <v>58</v>
      </c>
    </row>
    <row r="10" customFormat="false" ht="15" hidden="false" customHeight="false" outlineLevel="0" collapsed="false">
      <c r="A10" s="4" t="s">
        <v>55</v>
      </c>
      <c r="B10" s="15" t="n">
        <v>171</v>
      </c>
      <c r="C10" s="15" t="n">
        <v>227</v>
      </c>
      <c r="D10" s="15" t="n">
        <v>245</v>
      </c>
      <c r="E10" s="15" t="n">
        <v>242</v>
      </c>
      <c r="F10" s="15" t="n">
        <v>255</v>
      </c>
      <c r="G10" s="15" t="n">
        <v>240</v>
      </c>
    </row>
    <row r="11" customFormat="false" ht="15" hidden="false" customHeight="false" outlineLevel="0" collapsed="false">
      <c r="A11" s="4" t="s">
        <v>56</v>
      </c>
      <c r="B11" s="15" t="n">
        <v>159</v>
      </c>
      <c r="C11" s="15" t="n">
        <v>183</v>
      </c>
      <c r="D11" s="15" t="n">
        <f aca="false">SUM(Proyección!F28,Proyección!F29)</f>
        <v>180</v>
      </c>
      <c r="E11" s="15" t="n">
        <f aca="false">SUM(Proyección!G28,Proyección!G29)</f>
        <v>177</v>
      </c>
      <c r="F11" s="15" t="n">
        <f aca="false">SUM(Proyección!H28,Proyección!H29)</f>
        <v>174</v>
      </c>
      <c r="G11" s="15" t="n">
        <f aca="false">SUM(Proyección!I28,Proyección!I29)</f>
        <v>171</v>
      </c>
    </row>
    <row r="12" customFormat="false" ht="15" hidden="false" customHeight="false" outlineLevel="0" collapsed="false">
      <c r="A12" s="16" t="s">
        <v>57</v>
      </c>
      <c r="B12" s="17" t="n">
        <f aca="false">B11/B10</f>
        <v>0.929824561403509</v>
      </c>
      <c r="C12" s="17" t="n">
        <f aca="false">C11/C10</f>
        <v>0.806167400881057</v>
      </c>
      <c r="D12" s="17" t="n">
        <f aca="false">D11/D10</f>
        <v>0.73469387755102</v>
      </c>
      <c r="E12" s="17" t="n">
        <f aca="false">E11/E10</f>
        <v>0.731404958677686</v>
      </c>
      <c r="F12" s="17" t="n">
        <f aca="false">F11/F10</f>
        <v>0.682352941176471</v>
      </c>
      <c r="G12" s="17" t="n">
        <f aca="false">G11/G10</f>
        <v>0.7125</v>
      </c>
    </row>
    <row r="14" customFormat="false" ht="15" hidden="false" customHeight="false" outlineLevel="0" collapsed="false">
      <c r="A14" s="14" t="s">
        <v>59</v>
      </c>
    </row>
    <row r="15" customFormat="false" ht="15" hidden="false" customHeight="false" outlineLevel="0" collapsed="false">
      <c r="A15" s="4" t="s">
        <v>55</v>
      </c>
      <c r="B15" s="15" t="n">
        <f aca="false">B5+B10</f>
        <v>1007</v>
      </c>
      <c r="C15" s="15" t="n">
        <f aca="false">C5+C10</f>
        <v>1116</v>
      </c>
      <c r="D15" s="15" t="n">
        <f aca="false">D5+D10</f>
        <v>1096</v>
      </c>
      <c r="E15" s="15" t="n">
        <f aca="false">E5+E10</f>
        <v>1026</v>
      </c>
      <c r="F15" s="15" t="n">
        <f aca="false">F5+F10</f>
        <v>1016</v>
      </c>
      <c r="G15" s="15" t="n">
        <f aca="false">G5+G10</f>
        <v>972</v>
      </c>
    </row>
    <row r="16" customFormat="false" ht="15" hidden="false" customHeight="false" outlineLevel="0" collapsed="false">
      <c r="A16" s="4" t="s">
        <v>56</v>
      </c>
      <c r="B16" s="15" t="n">
        <f aca="false">B6+B11</f>
        <v>983</v>
      </c>
      <c r="C16" s="15" t="n">
        <f aca="false">C6+C11</f>
        <v>1015</v>
      </c>
      <c r="D16" s="15" t="n">
        <f aca="false">D6+D11</f>
        <v>997</v>
      </c>
      <c r="E16" s="15" t="n">
        <f aca="false">E6+E11</f>
        <v>979</v>
      </c>
      <c r="F16" s="15" t="n">
        <f aca="false">F6+F11</f>
        <v>962</v>
      </c>
      <c r="G16" s="15" t="n">
        <f aca="false">G6+G11</f>
        <v>945</v>
      </c>
    </row>
    <row r="17" customFormat="false" ht="15" hidden="false" customHeight="false" outlineLevel="0" collapsed="false">
      <c r="A17" s="16" t="s">
        <v>57</v>
      </c>
      <c r="B17" s="17" t="n">
        <f aca="false">B16/B15</f>
        <v>0.976166832174777</v>
      </c>
      <c r="C17" s="17" t="n">
        <f aca="false">C16/C15</f>
        <v>0.909498207885305</v>
      </c>
      <c r="D17" s="17" t="n">
        <f aca="false">D16/D15</f>
        <v>0.909671532846715</v>
      </c>
      <c r="E17" s="17" t="n">
        <f aca="false">E16/E15</f>
        <v>0.954191033138402</v>
      </c>
      <c r="F17" s="17" t="n">
        <f aca="false">F16/F15</f>
        <v>0.946850393700787</v>
      </c>
      <c r="G17" s="17" t="n">
        <f aca="false">G16/G15</f>
        <v>0.972222222222222</v>
      </c>
    </row>
    <row r="20" customFormat="false" ht="15" hidden="false" customHeight="false" outlineLevel="0" collapsed="false">
      <c r="A20" s="18" t="s">
        <v>60</v>
      </c>
    </row>
    <row r="21" customFormat="false" ht="15" hidden="false" customHeight="false" outlineLevel="0" collapsed="false">
      <c r="A21" s="19" t="s">
        <v>61</v>
      </c>
      <c r="B21" s="19"/>
      <c r="C21" s="19"/>
      <c r="D21" s="19"/>
      <c r="E21" s="19"/>
      <c r="F21" s="19"/>
      <c r="G21" s="19"/>
    </row>
    <row r="22" customFormat="false" ht="15" hidden="false" customHeight="false" outlineLevel="0" collapsed="false">
      <c r="A22" s="19" t="s">
        <v>62</v>
      </c>
      <c r="B22" s="19"/>
      <c r="C22" s="19"/>
      <c r="D22" s="19"/>
      <c r="E22" s="19"/>
      <c r="F22" s="19"/>
      <c r="G22" s="19"/>
    </row>
    <row r="23" customFormat="false" ht="15" hidden="false" customHeight="false" outlineLevel="0" collapsed="false">
      <c r="A23" s="19" t="s">
        <v>63</v>
      </c>
      <c r="B23" s="19"/>
      <c r="C23" s="19"/>
      <c r="D23" s="19"/>
      <c r="E23" s="19"/>
      <c r="F23" s="19"/>
      <c r="G23" s="19"/>
    </row>
    <row r="24" customFormat="false" ht="15" hidden="false" customHeight="false" outlineLevel="0" collapsed="false">
      <c r="A24" s="19" t="s">
        <v>64</v>
      </c>
      <c r="B24" s="19"/>
      <c r="C24" s="19"/>
      <c r="D24" s="19"/>
      <c r="E24" s="19"/>
      <c r="F24" s="19"/>
      <c r="G24" s="19"/>
    </row>
    <row r="25" customFormat="false" ht="15" hidden="false" customHeight="false" outlineLevel="0" collapsed="false">
      <c r="A25" s="19" t="s">
        <v>65</v>
      </c>
      <c r="B25" s="19"/>
      <c r="C25" s="19"/>
      <c r="D25" s="19"/>
      <c r="E25" s="19"/>
      <c r="F25" s="19"/>
      <c r="G25" s="19"/>
    </row>
  </sheetData>
  <mergeCells count="6">
    <mergeCell ref="A1:G1"/>
    <mergeCell ref="A21:G21"/>
    <mergeCell ref="A22:G22"/>
    <mergeCell ref="A23:G23"/>
    <mergeCell ref="A24:G24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2026-06-09T23:11:31Z</dcterms:created>
  <dc:creator>openpyxl</dc:creator>
  <dc:description/>
  <dc:language>en-US</dc:language>
  <cp:lastModifiedBy/>
  <dcterms:modified xsi:type="dcterms:W3CDTF">2026-06-09T23:11:31Z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