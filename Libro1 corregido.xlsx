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</sheets>
  <definedNames>
    <definedName function="false" hidden="false" name="Activos" vbProcedure="false">#REF!</definedName>
    <definedName function="false" hidden="false" name="año" vbProcedure="false">#REF!</definedName>
    <definedName function="false" hidden="false" name="cedes" vbProcedure="false">#REF!</definedName>
    <definedName function="false" hidden="false" name="Contratación" vbProcedure="false">#REF!</definedName>
    <definedName function="false" hidden="false" name="Datos" vbProcedure="false">#REF!</definedName>
    <definedName function="false" hidden="false" name="DiasCategorias" vbProcedure="false">#REF!</definedName>
    <definedName function="false" hidden="false" name="Gasto_Ppto_Acum" vbProcedure="false">#REF!</definedName>
    <definedName function="false" hidden="false" name="Gasto_Real_Acum" vbProcedure="false">#REF!</definedName>
    <definedName function="false" hidden="false" name="indicadores" vbProcedure="false">#REF!</definedName>
    <definedName function="false" hidden="false" name="Matriculas" vbProcedure="false">#REF!</definedName>
    <definedName function="false" hidden="false" name="MES" vbProcedure="false">#REF!</definedName>
    <definedName function="false" hidden="true" name="Pal_Workbook_GUID" vbProcedure="false">"NVVVVX23A52QJJCWBMRJ2W79"</definedName>
    <definedName function="false" hidden="false" name="PPP" vbProcedure="false">OFFSET(#REF!,1,,,(COUNTA(#REF!)-(COUNTIF(#REF!,""))))</definedName>
    <definedName function="false" hidden="false" name="Procedencia" vbProcedure="false">#REF!</definedName>
    <definedName function="false" hidden="false" name="Proceso" vbProcedure="false">#REF!</definedName>
    <definedName function="false" hidden="false" name="Renuncia" vbProcedure="false">#REF!</definedName>
    <definedName function="false" hidden="false" name="rewr" vbProcedure="false">#REF!</definedName>
    <definedName function="false" hidden="true" name="RiskAfterRecalcMacro" vbProcedure="false">""</definedName>
    <definedName function="false" hidden="true" name="RiskAfterSimMacro" vbProcedure="false">""</definedName>
    <definedName function="false" hidden="true" name="RiskBeforeRecalcMacro" vbProcedure="false">""</definedName>
    <definedName function="false" hidden="true" name="RiskBeforeSimMacro" vbProcedure="false">""</definedName>
    <definedName function="false" hidden="true" name="RiskCollectDistributionSamples" vbProcedure="false">2</definedName>
    <definedName function="false" hidden="true" name="RiskFixedSeed" vbProcedure="false">1</definedName>
    <definedName function="false" hidden="true" name="RiskHasSettings" vbProcedure="false">6</definedName>
    <definedName function="false" hidden="true" name="RiskMinimizeOnStart" vbProcedure="false">FALSE()</definedName>
    <definedName function="false" hidden="true" name="RiskMonitorConvergence" vbProcedure="false">FALSE()</definedName>
    <definedName function="false" hidden="true" name="RiskMultipleCPUSupportEnabled" vbProcedure="false">TRUE()</definedName>
    <definedName function="false" hidden="true" name="RiskNumIterations" vbProcedure="false">1000</definedName>
    <definedName function="false" hidden="true" name="RiskNumSimulations" vbProcedure="false">1</definedName>
    <definedName function="false" hidden="true" name="RiskPauseOnError" vbProcedure="false">FALSE()</definedName>
    <definedName function="false" hidden="true" name="RiskRunAfterRecalcMacro" vbProcedure="false">FALSE()</definedName>
    <definedName function="false" hidden="true" name="RiskRunAfterSimMacro" vbProcedure="false">FALSE()</definedName>
    <definedName function="false" hidden="true" name="RiskRunBeforeRecalcMacro" vbProcedure="false">FALSE()</definedName>
    <definedName function="false" hidden="true" name="RiskRunBeforeSimMacro" vbProcedure="false">FALSE()</definedName>
    <definedName function="false" hidden="true" name="RiskSamplingType" vbProcedure="false">3</definedName>
    <definedName function="false" hidden="true" name="RiskStandardRecalc" vbProcedure="false">2</definedName>
    <definedName function="false" hidden="true" name="RiskUpdateDisplay" vbProcedure="false">FALSE()</definedName>
    <definedName function="false" hidden="true" name="RiskUseDifferentSeedForEachSim" vbProcedure="false">FALSE()</definedName>
    <definedName function="false" hidden="true" name="RiskUseFixedSeed" vbProcedure="false">FALSE()</definedName>
    <definedName function="false" hidden="true" name="RiskUseMultipleCPUs" vbProcedure="false">TRUE()</definedName>
    <definedName function="false" hidden="false" name="roles" vbProcedure="false">#REF!</definedName>
    <definedName function="false" hidden="false" name="TablaInventario" vbProcedure="false">#REF!</definedName>
    <definedName function="false" hidden="false" name="Tipoperfil" vbProcedure="false">#REF!</definedName>
    <definedName function="false" hidden="true" name="wrn.PBI._.Proyección._.96._.97." vbProcedure="false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function="false" hidden="true" name="wrn.PROYECCIONES." vbProcedure="false">{#N/A,#N/A,FALSE,"Final";#N/A,#N/A,FALSE,"PBI Anual";#N/A,#N/A,FALSE,"PBI 95-96";#N/A,#N/A,FALSE,"Gasto Agregado";#N/A,#N/A,FALSE,"Gob. Central";#N/A,#N/A,FALSE,"Bza. Pagos";#N/A,#N/A,FALSE,"Bza. Comercial";#N/A,#N/A,FALSE,"IPC vs DEV"}</definedName>
    <definedName function="false" hidden="false" name="_ArGypBanMin_" vbProcedure="false">#REF!</definedName>
    <definedName function="false" hidden="false" name="_ArGypNr_" vbProcedure="false">#REF!</definedName>
    <definedName function="false" hidden="true" name="_AtRisk_SimSetting_AutomaticallyGenerateReports" vbProcedure="false">FALSE()</definedName>
    <definedName function="false" hidden="true" name="_AtRisk_SimSetting_AutomaticResultsDisplayMode" vbProcedure="false">0</definedName>
    <definedName function="false" hidden="true" name="_AtRisk_SimSetting_ConvergenceConfidenceLevel" vbProcedure="false">0.95</definedName>
    <definedName function="false" hidden="true" name="_AtRisk_SimSetting_ConvergencePercentileToTest" vbProcedure="false">0.9</definedName>
    <definedName function="false" hidden="true" name="_AtRisk_SimSetting_ConvergencePerformMeanTest" vbProcedure="false">TRUE()</definedName>
    <definedName function="false" hidden="true" name="_AtRisk_SimSetting_ConvergencePerformPercentileTest" vbProcedure="false">FALSE()</definedName>
    <definedName function="false" hidden="true" name="_AtRisk_SimSetting_ConvergencePerformStdDeviationTest" vbProcedure="false">FALSE()</definedName>
    <definedName function="false" hidden="true" name="_AtRisk_SimSetting_ConvergenceTestAllOutputs" vbProcedure="false">TRUE()</definedName>
    <definedName function="false" hidden="true" name="_AtRisk_SimSetting_ConvergenceTestingPeriod" vbProcedure="false">100</definedName>
    <definedName function="false" hidden="true" name="_AtRisk_SimSetting_ConvergenceTolerance" vbProcedure="false">0.03</definedName>
    <definedName function="false" hidden="true" name="_AtRisk_SimSetting_LiveUpdate" vbProcedure="false">TRUE()</definedName>
    <definedName function="false" hidden="true" name="_AtRisk_SimSetting_LiveUpdatePeriod" vbProcedure="false">-1</definedName>
    <definedName function="false" hidden="true" name="_AtRisk_SimSetting_MacroRecalculationBehavior" vbProcedure="false">0</definedName>
    <definedName function="false" hidden="true" name="_AtRisk_SimSetting_RandomNumberGenerator" vbProcedure="false">0</definedName>
    <definedName function="false" hidden="true" name="_AtRisk_SimSetting_ReportsList" vbProcedure="false">97</definedName>
    <definedName function="false" hidden="true" name="_AtRisk_SimSetting_ShowSimulationProgressWindow" vbProcedure="false">TRUE()</definedName>
    <definedName function="false" hidden="true" name="_AtRisk_SimSetting_SimNameCount" vbProcedure="false">0</definedName>
    <definedName function="false" hidden="true" name="_AtRisk_SimSetting_SmartSensitivityAnalysisEnabled" vbProcedure="false">TRUE()</definedName>
    <definedName function="false" hidden="true" name="_AtRisk_SimSetting_StatisticFunctionUpdating" vbProcedure="false">1</definedName>
    <definedName function="false" hidden="true" name="_AtRisk_SimSetting_StdRecalcActiveSimulationNumber" vbProcedure="false">1</definedName>
    <definedName function="false" hidden="true" name="_AtRisk_SimSetting_StdRecalcBehavior" vbProcedure="false">1</definedName>
    <definedName function="false" hidden="true" name="_AtRisk_SimSetting_StdRecalcWithoutRiskStatic" vbProcedure="false">0</definedName>
    <definedName function="false" hidden="true" name="_AtRisk_SimSetting_StdRecalcWithoutRiskStaticPercentile" vbProcedure="false">0.5</definedName>
    <definedName function="false" hidden="false" name="_año_" vbProcedure="false">#REF!</definedName>
    <definedName function="false" hidden="false" name="_mes_" vbProcedure="false">#REF!</definedName>
    <definedName function="false" hidden="false" name="_RutGyp_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3" authorId="0">
      <text>
        <r>
          <rPr>
            <sz val="10"/>
            <rFont val="Arial"/>
            <family val="2"/>
          </rPr>
          <t xml:space="preserve">Back Office Seguros</t>
        </r>
      </text>
    </comment>
    <comment ref="G23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@Reyna Siccha dime quienes han sido estas 22 salidas de mayo (diferencia entre inicio y fin mayo)</t>
        </r>
      </text>
    </comment>
    <comment ref="H24" authorId="0">
      <text>
        <r>
          <rPr>
            <sz val="10"/>
            <rFont val="Arial"/>
            <family val="2"/>
          </rPr>
          <t xml:space="preserve">Excluye mayo del promedio porque mayo estaba en 0 (sin dato real). Cuando mayo cierre con dato real, cambiar a =AVERAGE(C24:G24)</t>
        </r>
      </text>
    </comment>
    <comment ref="H45" authorId="0">
      <text>
        <r>
          <rPr>
            <sz val="10"/>
            <rFont val="Arial"/>
            <family val="2"/>
          </rPr>
          <t xml:space="preserve">Excluye mayo porque no hubo dato real de salidas</t>
        </r>
      </text>
    </comment>
    <comment ref="I13" authorId="0">
      <text>
        <r>
          <rPr>
            <sz val="10"/>
            <rFont val="Arial"/>
            <family val="2"/>
          </rPr>
          <t xml:space="preserve">Inicial Jul = Cierre Jun + Ingresos Jul + Transferencias Jul (ver fila 54)</t>
        </r>
      </text>
    </comment>
    <comment ref="I54" authorId="0">
      <text>
        <r>
          <rPr>
            <sz val="10"/>
            <rFont val="Arial"/>
            <family val="2"/>
          </rPr>
          <t xml:space="preserve">Reemplaza el "-18+12" hardcodeado en I13 original. Documenta los movimientos internos esperados en julio (-18 salen, +12 entran). Editar este valor cuando cambien las transferencias.</t>
        </r>
      </text>
    </comment>
  </commentList>
</comments>
</file>

<file path=xl/sharedStrings.xml><?xml version="1.0" encoding="utf-8"?>
<sst xmlns="http://schemas.openxmlformats.org/spreadsheetml/2006/main" count="144" uniqueCount="35">
  <si>
    <t xml:space="preserve">*</t>
  </si>
  <si>
    <t xml:space="preserve">Capacity</t>
  </si>
  <si>
    <t xml:space="preserve">Ene'26</t>
  </si>
  <si>
    <t xml:space="preserve">Feb'26</t>
  </si>
  <si>
    <t xml:space="preserve">Mar'26</t>
  </si>
  <si>
    <t xml:space="preserve">Abr'26</t>
  </si>
  <si>
    <t xml:space="preserve">May'26</t>
  </si>
  <si>
    <t xml:space="preserve">Jun'26</t>
  </si>
  <si>
    <t xml:space="preserve">Jul'26</t>
  </si>
  <si>
    <t xml:space="preserve">Ago'26</t>
  </si>
  <si>
    <t xml:space="preserve">Set'26</t>
  </si>
  <si>
    <t xml:space="preserve">Oct'26</t>
  </si>
  <si>
    <t xml:space="preserve">Llamadas</t>
  </si>
  <si>
    <t xml:space="preserve">Chats</t>
  </si>
  <si>
    <t xml:space="preserve">Inbound</t>
  </si>
  <si>
    <t xml:space="preserve">Real prom</t>
  </si>
  <si>
    <t xml:space="preserve">Real Inbound</t>
  </si>
  <si>
    <t xml:space="preserve">Real inicial</t>
  </si>
  <si>
    <t xml:space="preserve">Real cierre</t>
  </si>
  <si>
    <t xml:space="preserve">Salidas</t>
  </si>
  <si>
    <t xml:space="preserve">R&amp;S</t>
  </si>
  <si>
    <t xml:space="preserve">Ingresos</t>
  </si>
  <si>
    <t xml:space="preserve">Cobertura</t>
  </si>
  <si>
    <t xml:space="preserve">Cobertura Inbound</t>
  </si>
  <si>
    <t xml:space="preserve">TASA ROTACIÓN (proyección alternativa basada en %)</t>
  </si>
  <si>
    <t xml:space="preserve">.</t>
  </si>
  <si>
    <t xml:space="preserve">Tasa Llamadas</t>
  </si>
  <si>
    <t xml:space="preserve">Tasa Chats</t>
  </si>
  <si>
    <t xml:space="preserve">Salidas Llamadas (proy por tasa)</t>
  </si>
  <si>
    <t xml:space="preserve">Salidas Chats (proy por tasa)</t>
  </si>
  <si>
    <t xml:space="preserve">NOTA: Esta proyección por tasa escala con el tamaño del equipo (más sólida cuando el equipo crece)</t>
  </si>
  <si>
    <t xml:space="preserve">Recomendación: usar fila 46-47 en lugar de fila 23-24 para mejor precisión</t>
  </si>
  <si>
    <t xml:space="preserve">TRANSFERENCIAS (movimientos internos documentados)</t>
  </si>
  <si>
    <t xml:space="preserve">Transf. Llamadas</t>
  </si>
  <si>
    <t xml:space="preserve">Transf. Chats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</si>
</sst>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"/>
    <numFmt numFmtId="167" formatCode="General"/>
    <numFmt numFmtId="168" formatCode="0%"/>
    <numFmt numFmtId="169" formatCode="0.0%"/>
  </numFmts>
  <fonts count="1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0"/>
      <name val="Arial"/>
      <family val="2"/>
    </font>
    <font>
      <sz val="9"/>
      <color rgb="FF404040"/>
      <name val="Flexo"/>
      <family val="2"/>
    </font>
    <font>
      <sz val="9"/>
      <color rgb="FF595959"/>
      <name val="Flexo"/>
      <family val="2"/>
    </font>
    <font>
      <sz val="10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7499"/>
        <bgColor rgb="FFC0C0C0"/>
      </patternFill>
    </fill>
    <fill>
      <patternFill patternType="solid">
        <fgColor theme="8" tint="0.7999"/>
        <bgColor rgb="FFD9D9D9"/>
      </patternFill>
    </fill>
    <fill>
      <patternFill patternType="solid">
        <fgColor theme="7" tint="0.7999"/>
        <bgColor rgb="FFC1E5F5"/>
      </patternFill>
    </fill>
    <fill>
      <patternFill patternType="solid">
        <fgColor theme="5" tint="0.7999"/>
        <bgColor rgb="FFF2CFEE"/>
      </patternFill>
    </fill>
    <fill>
      <patternFill patternType="solid">
        <fgColor theme="4" tint="0.7999"/>
        <bgColor rgb="FFCAEEFB"/>
      </patternFill>
    </fill>
    <fill>
      <patternFill patternType="solid">
        <fgColor rgb="FFFFFF00"/>
        <bgColor rgb="FFFFFF00"/>
      </patternFill>
    </fill>
    <fill>
      <patternFill patternType="solid">
        <fgColor theme="6" tint="0.7999"/>
        <bgColor rgb="FFC1E5F5"/>
      </patternFill>
    </fill>
    <fill>
      <patternFill patternType="solid">
        <fgColor rgb="FF4472C4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4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B8B8B"/>
      <rgbColor rgb="FF9999FF"/>
      <rgbColor rgb="FF993366"/>
      <rgbColor rgb="FFFBE3D6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C2F1C8"/>
      <rgbColor rgb="FFFFFF99"/>
      <rgbColor rgb="FFA6CAEC"/>
      <rgbColor rgb="FFFF99CC"/>
      <rgbColor rgb="FFCC99FF"/>
      <rgbColor rgb="FFF2CFEE"/>
      <rgbColor rgb="FF4472C4"/>
      <rgbColor rgb="FF33CCCC"/>
      <rgbColor rgb="FF92D050"/>
      <rgbColor rgb="FFFFCC00"/>
      <rgbColor rgb="FFFF9900"/>
      <rgbColor rgb="FFE97132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20982355746304"/>
          <c:y val="0.076812781646866"/>
          <c:w val="0.925906056270863"/>
          <c:h val="0.5464973371569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Resumen!$B$8</c:f>
              <c:strCache>
                <c:ptCount val="1"/>
                <c:pt idx="0">
                  <c:v>Llamadas</c:v>
                </c:pt>
              </c:strCache>
            </c:strRef>
          </c:tx>
          <c:spPr>
            <a:solidFill>
              <a:srgbClr val="a6caec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Flexo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Resumen!$C$7:$K$7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Resumen!$C$8:$K$8</c:f>
              <c:numCache>
                <c:formatCode>General</c:formatCode>
                <c:ptCount val="9"/>
                <c:pt idx="0">
                  <c:v>836</c:v>
                </c:pt>
                <c:pt idx="1">
                  <c:v>842</c:v>
                </c:pt>
                <c:pt idx="2">
                  <c:v>852.5</c:v>
                </c:pt>
                <c:pt idx="3">
                  <c:v>868.5</c:v>
                </c:pt>
                <c:pt idx="4">
                  <c:v>835.5</c:v>
                </c:pt>
                <c:pt idx="5">
                  <c:v>828.7</c:v>
                </c:pt>
                <c:pt idx="6">
                  <c:v>825.64</c:v>
                </c:pt>
                <c:pt idx="7">
                  <c:v>834.368</c:v>
                </c:pt>
                <c:pt idx="8">
                  <c:v>833.3416</c:v>
                </c:pt>
              </c:numCache>
            </c:numRef>
          </c:val>
        </c:ser>
        <c:ser>
          <c:idx val="1"/>
          <c:order val="1"/>
          <c:tx>
            <c:strRef>
              <c:f>Resumen!$B$9</c:f>
              <c:strCache>
                <c:ptCount val="1"/>
                <c:pt idx="0">
                  <c:v>Chats</c:v>
                </c:pt>
              </c:strCache>
            </c:strRef>
          </c:tx>
          <c:spPr>
            <a:solidFill>
              <a:srgbClr val="92d05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Flexo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Resumen!$C$7:$K$7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Resumen!$C$9:$K$9</c:f>
              <c:numCache>
                <c:formatCode>General</c:formatCode>
                <c:ptCount val="9"/>
                <c:pt idx="0">
                  <c:v>166</c:v>
                </c:pt>
                <c:pt idx="1">
                  <c:v>157</c:v>
                </c:pt>
                <c:pt idx="2">
                  <c:v>158</c:v>
                </c:pt>
                <c:pt idx="3">
                  <c:v>163.5</c:v>
                </c:pt>
                <c:pt idx="4">
                  <c:v>159</c:v>
                </c:pt>
                <c:pt idx="5">
                  <c:v>180.875</c:v>
                </c:pt>
                <c:pt idx="6">
                  <c:v>190.425</c:v>
                </c:pt>
                <c:pt idx="7">
                  <c:v>205.91</c:v>
                </c:pt>
                <c:pt idx="8">
                  <c:v>233.292</c:v>
                </c:pt>
              </c:numCache>
            </c:numRef>
          </c:val>
        </c:ser>
        <c:gapWidth val="219"/>
        <c:overlap val="100"/>
        <c:axId val="41798221"/>
        <c:axId val="31218750"/>
      </c:barChart>
      <c:lineChart>
        <c:grouping val="stacked"/>
        <c:varyColors val="0"/>
        <c:ser>
          <c:idx val="2"/>
          <c:order val="2"/>
          <c:tx>
            <c:strRef>
              <c:f>Resumen!$B$10</c:f>
              <c:strCache>
                <c:ptCount val="1"/>
                <c:pt idx="0">
                  <c:v>Real Inbound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Flex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Resumen!$C$7:$K$7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Resumen!$C$10:$K$10</c:f>
              <c:numCache>
                <c:formatCode>General</c:formatCode>
                <c:ptCount val="9"/>
                <c:pt idx="0">
                  <c:v>1002</c:v>
                </c:pt>
                <c:pt idx="1">
                  <c:v>999</c:v>
                </c:pt>
                <c:pt idx="2">
                  <c:v>1010.5</c:v>
                </c:pt>
                <c:pt idx="3">
                  <c:v>1032</c:v>
                </c:pt>
                <c:pt idx="4">
                  <c:v>994.5</c:v>
                </c:pt>
                <c:pt idx="5">
                  <c:v>1009.575</c:v>
                </c:pt>
                <c:pt idx="6">
                  <c:v>1016.065</c:v>
                </c:pt>
                <c:pt idx="7">
                  <c:v>1040.278</c:v>
                </c:pt>
                <c:pt idx="8">
                  <c:v>1066.6336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Resumen!$B$2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rgbClr val="002060"/>
            </a:solidFill>
            <a:ln cap="rnd" w="28440">
              <a:solidFill>
                <a:srgbClr val="002060"/>
              </a:solidFill>
              <a:round/>
            </a:ln>
          </c:spPr>
          <c:marker>
            <c:symbol val="none"/>
          </c:marker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Flex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Resumen!$C$7:$K$7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Resumen!$C$5:$K$5</c:f>
              <c:numCache>
                <c:formatCode>General</c:formatCode>
                <c:ptCount val="9"/>
                <c:pt idx="0">
                  <c:v>1021</c:v>
                </c:pt>
                <c:pt idx="1">
                  <c:v>1021</c:v>
                </c:pt>
                <c:pt idx="2">
                  <c:v>1021</c:v>
                </c:pt>
                <c:pt idx="3">
                  <c:v>1021</c:v>
                </c:pt>
                <c:pt idx="4">
                  <c:v>1007</c:v>
                </c:pt>
                <c:pt idx="5">
                  <c:v>1116</c:v>
                </c:pt>
                <c:pt idx="6">
                  <c:v>1096</c:v>
                </c:pt>
                <c:pt idx="7">
                  <c:v>1026</c:v>
                </c:pt>
                <c:pt idx="8">
                  <c:v>1016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798221"/>
        <c:axId val="31218750"/>
      </c:lineChart>
      <c:catAx>
        <c:axId val="417982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Flexo"/>
              </a:defRPr>
            </a:pPr>
          </a:p>
        </c:txPr>
        <c:crossAx val="31218750"/>
        <c:crosses val="autoZero"/>
        <c:auto val="1"/>
        <c:lblAlgn val="ctr"/>
        <c:lblOffset val="100"/>
        <c:noMultiLvlLbl val="0"/>
      </c:catAx>
      <c:valAx>
        <c:axId val="312187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41798221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Flexo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20407679544916"/>
          <c:y val="0.161700806952204"/>
          <c:w val="0.904301967290827"/>
          <c:h val="0.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Resumen!$B$38</c:f>
              <c:strCache>
                <c:ptCount val="1"/>
                <c:pt idx="0">
                  <c:v>Llamadas</c:v>
                </c:pt>
              </c:strCache>
            </c:strRef>
          </c:tx>
          <c:spPr>
            <a:solidFill>
              <a:srgbClr val="a6caec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Flexo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Resumen!$C$37:$K$37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Resumen!$C$38:$K$38</c:f>
              <c:numCache>
                <c:formatCode>0%</c:formatCode>
                <c:ptCount val="9"/>
                <c:pt idx="0">
                  <c:v>0.983529411764706</c:v>
                </c:pt>
                <c:pt idx="1">
                  <c:v>0.990588235294118</c:v>
                </c:pt>
                <c:pt idx="2">
                  <c:v>1.00294117647059</c:v>
                </c:pt>
                <c:pt idx="3">
                  <c:v>1.02176470588235</c:v>
                </c:pt>
                <c:pt idx="4">
                  <c:v>0.999401913875598</c:v>
                </c:pt>
                <c:pt idx="5">
                  <c:v>0.932170978627672</c:v>
                </c:pt>
                <c:pt idx="6">
                  <c:v>0.970199764982374</c:v>
                </c:pt>
                <c:pt idx="7">
                  <c:v>1.06424489795918</c:v>
                </c:pt>
                <c:pt idx="8">
                  <c:v>1.09506123521682</c:v>
                </c:pt>
              </c:numCache>
            </c:numRef>
          </c:val>
        </c:ser>
        <c:ser>
          <c:idx val="1"/>
          <c:order val="1"/>
          <c:tx>
            <c:strRef>
              <c:f>Resumen!$B$39</c:f>
              <c:strCache>
                <c:ptCount val="1"/>
                <c:pt idx="0">
                  <c:v>Chats</c:v>
                </c:pt>
              </c:strCache>
            </c:strRef>
          </c:tx>
          <c:spPr>
            <a:solidFill>
              <a:srgbClr val="92d050"/>
            </a:solidFill>
            <a:ln w="0">
              <a:noFill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Flexo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Resumen!$C$37:$K$37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Resumen!$C$39:$K$39</c:f>
              <c:numCache>
                <c:formatCode>0%</c:formatCode>
                <c:ptCount val="9"/>
                <c:pt idx="0">
                  <c:v>0.970760233918129</c:v>
                </c:pt>
                <c:pt idx="1">
                  <c:v>0.91812865497076</c:v>
                </c:pt>
                <c:pt idx="2">
                  <c:v>0.923976608187135</c:v>
                </c:pt>
                <c:pt idx="3">
                  <c:v>0.956140350877193</c:v>
                </c:pt>
                <c:pt idx="4">
                  <c:v>0.929824561403509</c:v>
                </c:pt>
                <c:pt idx="5">
                  <c:v>0.796806167400881</c:v>
                </c:pt>
                <c:pt idx="6">
                  <c:v>0.777244897959184</c:v>
                </c:pt>
                <c:pt idx="7">
                  <c:v>0.850867768595041</c:v>
                </c:pt>
                <c:pt idx="8">
                  <c:v>0.914870588235294</c:v>
                </c:pt>
              </c:numCache>
            </c:numRef>
          </c:val>
        </c:ser>
        <c:gapWidth val="150"/>
        <c:overlap val="0"/>
        <c:axId val="26906665"/>
        <c:axId val="70317261"/>
      </c:barChart>
      <c:lineChart>
        <c:grouping val="standard"/>
        <c:varyColors val="0"/>
        <c:ser>
          <c:idx val="2"/>
          <c:order val="2"/>
          <c:tx>
            <c:strRef>
              <c:f>Resumen!$B$40</c:f>
              <c:strCache>
                <c:ptCount val="1"/>
                <c:pt idx="0">
                  <c:v>Cobertura Inbound</c:v>
                </c:pt>
              </c:strCache>
            </c:strRef>
          </c:tx>
          <c:spPr>
            <a:solidFill>
              <a:srgbClr val="e97132"/>
            </a:solidFill>
            <a:ln cap="rnd" w="2844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numFmt formatCode="0%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Flexo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Resumen!$C$37:$K$37</c:f>
              <c:strCache>
                <c:ptCount val="9"/>
                <c:pt idx="0">
                  <c:v>Ene'26</c:v>
                </c:pt>
                <c:pt idx="1">
                  <c:v>Feb'26</c:v>
                </c:pt>
                <c:pt idx="2">
                  <c:v>Mar'26</c:v>
                </c:pt>
                <c:pt idx="3">
                  <c:v>Abr'26</c:v>
                </c:pt>
                <c:pt idx="4">
                  <c:v>May'26</c:v>
                </c:pt>
                <c:pt idx="5">
                  <c:v>Jun'26</c:v>
                </c:pt>
                <c:pt idx="6">
                  <c:v>Jul'26</c:v>
                </c:pt>
                <c:pt idx="7">
                  <c:v>Ago'26</c:v>
                </c:pt>
                <c:pt idx="8">
                  <c:v>Set'26</c:v>
                </c:pt>
              </c:strCache>
            </c:strRef>
          </c:cat>
          <c:val>
            <c:numRef>
              <c:f>Resumen!$C$40:$K$40</c:f>
              <c:numCache>
                <c:formatCode>0%</c:formatCode>
                <c:ptCount val="9"/>
                <c:pt idx="0">
                  <c:v>0.981390793339863</c:v>
                </c:pt>
                <c:pt idx="1">
                  <c:v>0.97845249755142</c:v>
                </c:pt>
                <c:pt idx="2">
                  <c:v>0.989715964740451</c:v>
                </c:pt>
                <c:pt idx="3">
                  <c:v>1.01077375122429</c:v>
                </c:pt>
                <c:pt idx="4">
                  <c:v>0.987586891757696</c:v>
                </c:pt>
                <c:pt idx="5">
                  <c:v>0.904637096774194</c:v>
                </c:pt>
                <c:pt idx="6">
                  <c:v>0.927066605839416</c:v>
                </c:pt>
                <c:pt idx="7">
                  <c:v>1.01391617933723</c:v>
                </c:pt>
                <c:pt idx="8">
                  <c:v>1.04983622047244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179532"/>
        <c:axId val="64341698"/>
      </c:lineChart>
      <c:catAx>
        <c:axId val="2690666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Flexo"/>
              </a:defRPr>
            </a:pPr>
          </a:p>
        </c:txPr>
        <c:crossAx val="70317261"/>
        <c:crosses val="autoZero"/>
        <c:auto val="1"/>
        <c:lblAlgn val="ctr"/>
        <c:lblOffset val="100"/>
        <c:noMultiLvlLbl val="0"/>
      </c:catAx>
      <c:valAx>
        <c:axId val="7031726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26906665"/>
        <c:crossBetween val="between"/>
      </c:valAx>
      <c:catAx>
        <c:axId val="7617953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64341698"/>
        <c:auto val="1"/>
        <c:lblAlgn val="ctr"/>
        <c:lblOffset val="100"/>
        <c:noMultiLvlLbl val="0"/>
      </c:catAx>
      <c:valAx>
        <c:axId val="64341698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</a:defRPr>
            </a:pPr>
          </a:p>
        </c:txPr>
        <c:crossAx val="76179532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Flexo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402840</xdr:colOff>
      <xdr:row>14</xdr:row>
      <xdr:rowOff>170640</xdr:rowOff>
    </xdr:from>
    <xdr:to>
      <xdr:col>18</xdr:col>
      <xdr:colOff>338040</xdr:colOff>
      <xdr:row>24</xdr:row>
      <xdr:rowOff>118080</xdr:rowOff>
    </xdr:to>
    <xdr:graphicFrame>
      <xdr:nvGraphicFramePr>
        <xdr:cNvPr id="0" name="Chart 1"/>
        <xdr:cNvGraphicFramePr/>
      </xdr:nvGraphicFramePr>
      <xdr:xfrm>
        <a:off x="13480560" y="2704320"/>
        <a:ext cx="6039000" cy="175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384840</xdr:colOff>
      <xdr:row>0</xdr:row>
      <xdr:rowOff>168120</xdr:rowOff>
    </xdr:from>
    <xdr:to>
      <xdr:col>18</xdr:col>
      <xdr:colOff>356040</xdr:colOff>
      <xdr:row>13</xdr:row>
      <xdr:rowOff>135000</xdr:rowOff>
    </xdr:to>
    <xdr:graphicFrame>
      <xdr:nvGraphicFramePr>
        <xdr:cNvPr id="1" name="Chart 2"/>
        <xdr:cNvGraphicFramePr/>
      </xdr:nvGraphicFramePr>
      <xdr:xfrm>
        <a:off x="13462560" y="168120"/>
        <a:ext cx="6075000" cy="231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55"/>
  <sheetViews>
    <sheetView showFormulas="false" showGridLines="true" showRowColHeaders="true" showZeros="true" rightToLeft="false" tabSelected="true" showOutlineSymbols="true" defaultGridColor="true" view="normal" topLeftCell="A3" colorId="64" zoomScale="91" zoomScaleNormal="91" zoomScalePageLayoutView="100" workbookViewId="0">
      <selection pane="topLeft" activeCell="I23" activeCellId="0" sqref="I23"/>
    </sheetView>
  </sheetViews>
  <sheetFormatPr defaultColWidth="11.4453125" defaultRowHeight="14.25" zeroHeight="false" outlineLevelRow="1" outlineLevelCol="0"/>
  <cols>
    <col collapsed="false" customWidth="true" hidden="false" outlineLevel="0" max="1" min="1" style="0" width="2.11"/>
    <col collapsed="false" customWidth="true" hidden="false" outlineLevel="0" max="2" min="2" style="0" width="35"/>
    <col collapsed="false" customWidth="true" hidden="false" outlineLevel="0" max="12" min="3" style="1" width="11"/>
    <col collapsed="false" customWidth="false" hidden="false" outlineLevel="0" max="14" min="13" style="1" width="11.44"/>
  </cols>
  <sheetData>
    <row r="1" customFormat="false" ht="14.25" hidden="false" customHeight="false" outlineLevel="0" collapsed="false">
      <c r="K1" s="2" t="s">
        <v>0</v>
      </c>
    </row>
    <row r="2" s="3" customFormat="true" ht="14.25" hidden="false" customHeight="false" outlineLevel="0" collapsed="false">
      <c r="B2" s="3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/>
      <c r="N2" s="2"/>
    </row>
    <row r="3" customFormat="false" ht="14.25" hidden="false" customHeight="false" outlineLevel="0" collapsed="false">
      <c r="B3" s="0" t="s">
        <v>12</v>
      </c>
      <c r="C3" s="1" t="n">
        <v>850</v>
      </c>
      <c r="D3" s="1" t="n">
        <v>850</v>
      </c>
      <c r="E3" s="1" t="n">
        <v>850</v>
      </c>
      <c r="F3" s="1" t="n">
        <v>850</v>
      </c>
      <c r="G3" s="4" t="n">
        <v>836</v>
      </c>
      <c r="H3" s="5" t="n">
        <v>889</v>
      </c>
      <c r="I3" s="6" t="n">
        <v>851</v>
      </c>
      <c r="J3" s="6" t="n">
        <v>784</v>
      </c>
      <c r="K3" s="6" t="n">
        <v>761</v>
      </c>
      <c r="L3" s="6" t="n">
        <v>732</v>
      </c>
    </row>
    <row r="4" customFormat="false" ht="14.25" hidden="false" customHeight="false" outlineLevel="0" collapsed="false">
      <c r="B4" s="0" t="s">
        <v>13</v>
      </c>
      <c r="C4" s="1" t="n">
        <v>171</v>
      </c>
      <c r="D4" s="1" t="n">
        <v>171</v>
      </c>
      <c r="E4" s="1" t="n">
        <v>171</v>
      </c>
      <c r="F4" s="1" t="n">
        <v>171</v>
      </c>
      <c r="G4" s="4" t="n">
        <v>171</v>
      </c>
      <c r="H4" s="4" t="n">
        <v>227</v>
      </c>
      <c r="I4" s="6" t="n">
        <v>245</v>
      </c>
      <c r="J4" s="6" t="n">
        <v>242</v>
      </c>
      <c r="K4" s="6" t="n">
        <v>255</v>
      </c>
      <c r="L4" s="6" t="n">
        <v>240</v>
      </c>
    </row>
    <row r="5" s="3" customFormat="true" ht="14.25" hidden="false" customHeight="false" outlineLevel="0" collapsed="false">
      <c r="B5" s="3" t="s">
        <v>14</v>
      </c>
      <c r="C5" s="2" t="n">
        <f aca="false">SUM(C3:C4)</f>
        <v>1021</v>
      </c>
      <c r="D5" s="2" t="n">
        <f aca="false">SUM(D3:D4)</f>
        <v>1021</v>
      </c>
      <c r="E5" s="2" t="n">
        <f aca="false">SUM(E3:E4)</f>
        <v>1021</v>
      </c>
      <c r="F5" s="2" t="n">
        <f aca="false">SUM(F3:F4)</f>
        <v>1021</v>
      </c>
      <c r="G5" s="7" t="n">
        <f aca="false">SUM(G3:G4)</f>
        <v>1007</v>
      </c>
      <c r="H5" s="8" t="n">
        <f aca="false">SUM(H3:H4)</f>
        <v>1116</v>
      </c>
      <c r="I5" s="9" t="n">
        <f aca="false">SUM(I3:I4)</f>
        <v>1096</v>
      </c>
      <c r="J5" s="9" t="n">
        <f aca="false">SUM(J3:J4)</f>
        <v>1026</v>
      </c>
      <c r="K5" s="9" t="n">
        <f aca="false">SUM(K3:K4)</f>
        <v>1016</v>
      </c>
      <c r="L5" s="9" t="n">
        <f aca="false">SUM(L3:L4)</f>
        <v>972</v>
      </c>
      <c r="M5" s="2"/>
      <c r="N5" s="2"/>
    </row>
    <row r="7" customFormat="false" ht="14.25" hidden="false" customHeight="false" outlineLevel="0" collapsed="false">
      <c r="B7" s="3" t="s">
        <v>15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</row>
    <row r="8" customFormat="false" ht="14.25" hidden="false" customHeight="false" outlineLevel="0" collapsed="false">
      <c r="B8" s="0" t="s">
        <v>12</v>
      </c>
      <c r="C8" s="10" t="n">
        <f aca="false">+AVERAGE(C13,C18)</f>
        <v>836</v>
      </c>
      <c r="D8" s="10" t="n">
        <f aca="false">+AVERAGE(D13,D18)</f>
        <v>842</v>
      </c>
      <c r="E8" s="11" t="n">
        <f aca="false">+AVERAGE(E13,E18)</f>
        <v>852.5</v>
      </c>
      <c r="F8" s="11" t="n">
        <f aca="false">+AVERAGE(F13,F18)</f>
        <v>868.5</v>
      </c>
      <c r="G8" s="11" t="n">
        <f aca="false">+AVERAGE(G13,G18)</f>
        <v>835.5</v>
      </c>
      <c r="H8" s="12" t="n">
        <f aca="false">+AVERAGE(H13,H18)</f>
        <v>828.7</v>
      </c>
      <c r="I8" s="12" t="n">
        <f aca="false">+AVERAGE(I13,I18)</f>
        <v>825.64</v>
      </c>
      <c r="J8" s="12" t="n">
        <f aca="false">+AVERAGE(J13,J18)</f>
        <v>834.368</v>
      </c>
      <c r="K8" s="12" t="n">
        <f aca="false">+AVERAGE(K13,K18)</f>
        <v>833.3416</v>
      </c>
      <c r="L8" s="12" t="n">
        <f aca="false">+AVERAGE(L13,L18)</f>
        <v>832.50992</v>
      </c>
    </row>
    <row r="9" customFormat="false" ht="14.25" hidden="false" customHeight="false" outlineLevel="0" collapsed="false">
      <c r="B9" s="0" t="s">
        <v>13</v>
      </c>
      <c r="C9" s="10" t="n">
        <f aca="false">+AVERAGE(C14,C19)</f>
        <v>166</v>
      </c>
      <c r="D9" s="10" t="n">
        <f aca="false">+AVERAGE(D14,D19)</f>
        <v>157</v>
      </c>
      <c r="E9" s="10" t="n">
        <f aca="false">+AVERAGE(E14,E19)</f>
        <v>158</v>
      </c>
      <c r="F9" s="10" t="n">
        <f aca="false">+AVERAGE(F14,F19)</f>
        <v>163.5</v>
      </c>
      <c r="G9" s="10" t="n">
        <f aca="false">+AVERAGE(G14,G19)</f>
        <v>159</v>
      </c>
      <c r="H9" s="12" t="n">
        <f aca="false">+AVERAGE(H14,H19)</f>
        <v>180.875</v>
      </c>
      <c r="I9" s="12" t="n">
        <f aca="false">+AVERAGE(I14,I19)</f>
        <v>190.425</v>
      </c>
      <c r="J9" s="12" t="n">
        <f aca="false">+AVERAGE(J14,J19)</f>
        <v>205.91</v>
      </c>
      <c r="K9" s="12" t="n">
        <f aca="false">+AVERAGE(K14,K19)</f>
        <v>233.292</v>
      </c>
      <c r="L9" s="12" t="n">
        <f aca="false">+AVERAGE(L14,L19)</f>
        <v>259.8504</v>
      </c>
    </row>
    <row r="10" s="3" customFormat="true" ht="14.25" hidden="false" customHeight="false" outlineLevel="0" collapsed="false">
      <c r="B10" s="3" t="s">
        <v>16</v>
      </c>
      <c r="C10" s="13" t="n">
        <f aca="false">SUM(C8:C9)</f>
        <v>1002</v>
      </c>
      <c r="D10" s="13" t="n">
        <f aca="false">SUM(D8:D9)</f>
        <v>999</v>
      </c>
      <c r="E10" s="14" t="n">
        <f aca="false">SUM(E8:E9)</f>
        <v>1010.5</v>
      </c>
      <c r="F10" s="14" t="n">
        <f aca="false">SUM(F8:F9)</f>
        <v>1032</v>
      </c>
      <c r="G10" s="15" t="n">
        <f aca="false">SUM(G8:G9)</f>
        <v>994.5</v>
      </c>
      <c r="H10" s="16" t="n">
        <f aca="false">SUM(H8:H9)</f>
        <v>1009.575</v>
      </c>
      <c r="I10" s="16" t="n">
        <f aca="false">SUM(I8:I9)</f>
        <v>1016.065</v>
      </c>
      <c r="J10" s="16" t="n">
        <f aca="false">SUM(J8:J9)</f>
        <v>1040.278</v>
      </c>
      <c r="K10" s="16" t="n">
        <f aca="false">SUM(K8:K9)</f>
        <v>1066.6336</v>
      </c>
      <c r="L10" s="16" t="n">
        <f aca="false">SUM(L8:L9)</f>
        <v>1092.36032</v>
      </c>
      <c r="M10" s="2"/>
      <c r="N10" s="2"/>
    </row>
    <row r="12" customFormat="false" ht="14.25" hidden="false" customHeight="false" outlineLevel="1" collapsed="false">
      <c r="B12" s="3" t="s">
        <v>17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8</v>
      </c>
      <c r="J12" s="2" t="s">
        <v>9</v>
      </c>
      <c r="K12" s="2" t="s">
        <v>10</v>
      </c>
      <c r="L12" s="2" t="s">
        <v>11</v>
      </c>
    </row>
    <row r="13" customFormat="false" ht="14.25" hidden="false" customHeight="false" outlineLevel="1" collapsed="false">
      <c r="B13" s="0" t="s">
        <v>12</v>
      </c>
      <c r="C13" s="10" t="n">
        <v>842</v>
      </c>
      <c r="D13" s="10" t="n">
        <v>852</v>
      </c>
      <c r="E13" s="10" t="n">
        <v>856</v>
      </c>
      <c r="F13" s="10" t="n">
        <v>879</v>
      </c>
      <c r="G13" s="10" t="n">
        <v>847</v>
      </c>
      <c r="H13" s="17" t="n">
        <v>837</v>
      </c>
      <c r="I13" s="12" t="n">
        <f aca="false">H18+I33+I54</f>
        <v>834.4</v>
      </c>
      <c r="J13" s="12" t="n">
        <f aca="false">+I18+J33</f>
        <v>842.88</v>
      </c>
      <c r="K13" s="12" t="n">
        <f aca="false">+J18+K33</f>
        <v>842.856</v>
      </c>
      <c r="L13" s="12" t="n">
        <f aca="false">+K18+L33</f>
        <v>841.8272</v>
      </c>
    </row>
    <row r="14" customFormat="false" ht="14.25" hidden="false" customHeight="false" outlineLevel="1" collapsed="false">
      <c r="B14" s="0" t="s">
        <v>13</v>
      </c>
      <c r="C14" s="10" t="n">
        <v>170</v>
      </c>
      <c r="D14" s="10" t="n">
        <v>160</v>
      </c>
      <c r="E14" s="10" t="n">
        <v>159</v>
      </c>
      <c r="F14" s="10" t="n">
        <v>168</v>
      </c>
      <c r="G14" s="10" t="n">
        <v>159</v>
      </c>
      <c r="H14" s="17" t="n">
        <v>184</v>
      </c>
      <c r="I14" s="12" t="n">
        <f aca="false">+H19+I34</f>
        <v>192.75</v>
      </c>
      <c r="J14" s="12" t="n">
        <f aca="false">+I19+J34</f>
        <v>208.1</v>
      </c>
      <c r="K14" s="12" t="n">
        <f aca="false">+J19+K34</f>
        <v>235.72</v>
      </c>
      <c r="L14" s="12" t="n">
        <f aca="false">+K19+L34</f>
        <v>261.864</v>
      </c>
    </row>
    <row r="15" s="3" customFormat="true" ht="14.25" hidden="false" customHeight="false" outlineLevel="1" collapsed="false">
      <c r="B15" s="3" t="s">
        <v>14</v>
      </c>
      <c r="C15" s="13" t="n">
        <f aca="false">SUM(C13:C14)</f>
        <v>1012</v>
      </c>
      <c r="D15" s="13" t="n">
        <f aca="false">SUM(D13:D14)</f>
        <v>1012</v>
      </c>
      <c r="E15" s="13" t="n">
        <f aca="false">SUM(E13:E14)</f>
        <v>1015</v>
      </c>
      <c r="F15" s="13" t="n">
        <f aca="false">SUM(F13:F14)</f>
        <v>1047</v>
      </c>
      <c r="G15" s="13" t="n">
        <f aca="false">SUM(G13:G14)</f>
        <v>1006</v>
      </c>
      <c r="H15" s="8" t="n">
        <f aca="false">SUM(H13:H14)</f>
        <v>1021</v>
      </c>
      <c r="I15" s="16" t="n">
        <f aca="false">SUM(I13:I14)</f>
        <v>1027.15</v>
      </c>
      <c r="J15" s="16" t="n">
        <f aca="false">SUM(J13:J14)</f>
        <v>1050.98</v>
      </c>
      <c r="K15" s="16" t="n">
        <f aca="false">SUM(K13:K14)</f>
        <v>1078.576</v>
      </c>
      <c r="L15" s="16" t="n">
        <f aca="false">SUM(L13:L14)</f>
        <v>1103.6912</v>
      </c>
      <c r="M15" s="2"/>
      <c r="N15" s="2"/>
    </row>
    <row r="16" customFormat="false" ht="14.25" hidden="false" customHeight="false" outlineLevel="1" collapsed="false"/>
    <row r="17" customFormat="false" ht="14.25" hidden="false" customHeight="false" outlineLevel="1" collapsed="false">
      <c r="B17" s="3" t="s">
        <v>18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  <c r="L17" s="2" t="s">
        <v>11</v>
      </c>
      <c r="N17" s="3"/>
      <c r="O17" s="2"/>
      <c r="P17" s="2"/>
    </row>
    <row r="18" customFormat="false" ht="14.25" hidden="false" customHeight="false" outlineLevel="1" collapsed="false">
      <c r="B18" s="0" t="s">
        <v>12</v>
      </c>
      <c r="C18" s="10" t="n">
        <v>830</v>
      </c>
      <c r="D18" s="10" t="n">
        <v>832</v>
      </c>
      <c r="E18" s="10" t="n">
        <v>849</v>
      </c>
      <c r="F18" s="10" t="n">
        <v>858</v>
      </c>
      <c r="G18" s="4" t="n">
        <v>824</v>
      </c>
      <c r="H18" s="18" t="n">
        <f aca="false">+H13+H23</f>
        <v>820.4</v>
      </c>
      <c r="I18" s="18" t="n">
        <f aca="false">+I13+I23</f>
        <v>816.88</v>
      </c>
      <c r="J18" s="18" t="n">
        <f aca="false">+J13+J23</f>
        <v>825.856</v>
      </c>
      <c r="K18" s="18" t="n">
        <f aca="false">+K13+K23</f>
        <v>823.8272</v>
      </c>
      <c r="L18" s="18" t="n">
        <f aca="false">+L13+L23</f>
        <v>823.19264</v>
      </c>
      <c r="O18" s="12"/>
      <c r="P18" s="19"/>
    </row>
    <row r="19" customFormat="false" ht="14.25" hidden="false" customHeight="false" outlineLevel="1" collapsed="false">
      <c r="B19" s="0" t="s">
        <v>13</v>
      </c>
      <c r="C19" s="10" t="n">
        <v>162</v>
      </c>
      <c r="D19" s="10" t="n">
        <v>154</v>
      </c>
      <c r="E19" s="10" t="n">
        <v>157</v>
      </c>
      <c r="F19" s="10" t="n">
        <v>159</v>
      </c>
      <c r="G19" s="4" t="n">
        <v>159</v>
      </c>
      <c r="H19" s="18" t="n">
        <f aca="false">+H14+H24</f>
        <v>177.75</v>
      </c>
      <c r="I19" s="18" t="n">
        <f aca="false">+I14+I24</f>
        <v>188.1</v>
      </c>
      <c r="J19" s="18" t="n">
        <f aca="false">+J14+J24</f>
        <v>203.72</v>
      </c>
      <c r="K19" s="18" t="n">
        <f aca="false">+K14+K24</f>
        <v>230.864</v>
      </c>
      <c r="L19" s="18" t="n">
        <f aca="false">+L14+L24</f>
        <v>257.8368</v>
      </c>
      <c r="O19" s="12"/>
      <c r="P19" s="6"/>
    </row>
    <row r="20" s="3" customFormat="true" ht="14.25" hidden="false" customHeight="false" outlineLevel="1" collapsed="false">
      <c r="B20" s="3" t="s">
        <v>14</v>
      </c>
      <c r="C20" s="13" t="n">
        <f aca="false">SUM(C18:C19)</f>
        <v>992</v>
      </c>
      <c r="D20" s="13" t="n">
        <f aca="false">SUM(D18:D19)</f>
        <v>986</v>
      </c>
      <c r="E20" s="13" t="n">
        <f aca="false">SUM(E18:E19)</f>
        <v>1006</v>
      </c>
      <c r="F20" s="13" t="n">
        <f aca="false">SUM(F18:F19)</f>
        <v>1017</v>
      </c>
      <c r="G20" s="7" t="n">
        <f aca="false">SUM(G18:G19)</f>
        <v>983</v>
      </c>
      <c r="H20" s="20" t="n">
        <f aca="false">SUM(H18:H19)</f>
        <v>998.15</v>
      </c>
      <c r="I20" s="20" t="n">
        <f aca="false">SUM(I18:I19)</f>
        <v>1004.98</v>
      </c>
      <c r="J20" s="20" t="n">
        <f aca="false">SUM(J18:J19)</f>
        <v>1029.576</v>
      </c>
      <c r="K20" s="20" t="n">
        <f aca="false">SUM(K18:K19)</f>
        <v>1054.6912</v>
      </c>
      <c r="L20" s="20" t="n">
        <f aca="false">SUM(L18:L19)</f>
        <v>1081.02944</v>
      </c>
      <c r="M20" s="2"/>
      <c r="O20" s="16"/>
      <c r="P20" s="16"/>
    </row>
    <row r="21" customFormat="false" ht="14.25" hidden="false" customHeight="false" outlineLevel="1" collapsed="false"/>
    <row r="22" customFormat="false" ht="14.25" hidden="false" customHeight="false" outlineLevel="1" collapsed="false">
      <c r="B22" s="3" t="s">
        <v>19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</row>
    <row r="23" customFormat="false" ht="14.25" hidden="false" customHeight="false" outlineLevel="1" collapsed="false">
      <c r="B23" s="0" t="s">
        <v>12</v>
      </c>
      <c r="C23" s="10" t="n">
        <f aca="false">+C18-C13</f>
        <v>-12</v>
      </c>
      <c r="D23" s="21" t="n">
        <f aca="false">+D18-D13</f>
        <v>-20</v>
      </c>
      <c r="E23" s="10" t="n">
        <f aca="false">+E18-E13</f>
        <v>-7</v>
      </c>
      <c r="F23" s="21" t="n">
        <f aca="false">+F18-F13</f>
        <v>-21</v>
      </c>
      <c r="G23" s="13" t="n">
        <f aca="false">+G18-G13</f>
        <v>-23</v>
      </c>
      <c r="H23" s="22" t="n">
        <f aca="false">+AVERAGE(C23:G23)</f>
        <v>-16.6</v>
      </c>
      <c r="I23" s="22" t="n">
        <f aca="false">+AVERAGE(D23:H23)</f>
        <v>-17.52</v>
      </c>
      <c r="J23" s="22" t="n">
        <f aca="false">+AVERAGE(E23:I23)</f>
        <v>-17.024</v>
      </c>
      <c r="K23" s="22" t="n">
        <f aca="false">+AVERAGE(F23:J23)</f>
        <v>-19.0288</v>
      </c>
      <c r="L23" s="22" t="n">
        <f aca="false">+AVERAGE(G23:K23)</f>
        <v>-18.63456</v>
      </c>
    </row>
    <row r="24" customFormat="false" ht="14.25" hidden="false" customHeight="false" outlineLevel="1" collapsed="false">
      <c r="B24" s="0" t="s">
        <v>13</v>
      </c>
      <c r="C24" s="10" t="n">
        <f aca="false">+C19-C14</f>
        <v>-8</v>
      </c>
      <c r="D24" s="10" t="n">
        <f aca="false">+D19-D14</f>
        <v>-6</v>
      </c>
      <c r="E24" s="10" t="n">
        <f aca="false">+E19-E14</f>
        <v>-2</v>
      </c>
      <c r="F24" s="10" t="n">
        <f aca="false">+F19-F14</f>
        <v>-9</v>
      </c>
      <c r="G24" s="10" t="n">
        <f aca="false">+G19-G14</f>
        <v>0</v>
      </c>
      <c r="H24" s="22" t="n">
        <f aca="false">AVERAGE(C24:F24)</f>
        <v>-6.25</v>
      </c>
      <c r="I24" s="22" t="n">
        <f aca="false">+AVERAGE(D24:H24)</f>
        <v>-4.65</v>
      </c>
      <c r="J24" s="22" t="n">
        <f aca="false">+AVERAGE(E24:I24)</f>
        <v>-4.38</v>
      </c>
      <c r="K24" s="22" t="n">
        <f aca="false">+AVERAGE(F24:J24)</f>
        <v>-4.856</v>
      </c>
      <c r="L24" s="22" t="n">
        <f aca="false">+AVERAGE(G24:K24)</f>
        <v>-4.0272</v>
      </c>
    </row>
    <row r="25" s="3" customFormat="true" ht="14.25" hidden="false" customHeight="false" outlineLevel="1" collapsed="false">
      <c r="B25" s="3" t="s">
        <v>14</v>
      </c>
      <c r="C25" s="13" t="n">
        <f aca="false">SUM(C23:C24)</f>
        <v>-20</v>
      </c>
      <c r="D25" s="13" t="n">
        <f aca="false">SUM(D23:D24)</f>
        <v>-26</v>
      </c>
      <c r="E25" s="13" t="n">
        <f aca="false">SUM(E23:E24)</f>
        <v>-9</v>
      </c>
      <c r="F25" s="13" t="n">
        <f aca="false">SUM(F23:F24)</f>
        <v>-30</v>
      </c>
      <c r="G25" s="13" t="n">
        <f aca="false">SUM(G23:G24)</f>
        <v>-23</v>
      </c>
      <c r="H25" s="23" t="n">
        <f aca="false">SUM(H23:H24)</f>
        <v>-22.85</v>
      </c>
      <c r="I25" s="23" t="n">
        <f aca="false">SUM(I23:I24)</f>
        <v>-22.17</v>
      </c>
      <c r="J25" s="23" t="n">
        <f aca="false">SUM(J23:J24)</f>
        <v>-21.404</v>
      </c>
      <c r="K25" s="23" t="n">
        <f aca="false">SUM(K23:K24)</f>
        <v>-23.8848</v>
      </c>
      <c r="L25" s="23" t="n">
        <f aca="false">SUM(L23:L24)</f>
        <v>-22.66176</v>
      </c>
      <c r="M25" s="2"/>
      <c r="N25" s="2"/>
    </row>
    <row r="26" customFormat="false" ht="14.25" hidden="false" customHeight="false" outlineLevel="1" collapsed="false"/>
    <row r="27" customFormat="false" ht="14.25" hidden="false" customHeight="false" outlineLevel="0" collapsed="false">
      <c r="B27" s="3" t="s">
        <v>20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</row>
    <row r="28" customFormat="false" ht="14.25" hidden="false" customHeight="false" outlineLevel="0" collapsed="false">
      <c r="B28" s="0" t="s">
        <v>12</v>
      </c>
      <c r="C28" s="24" t="n">
        <v>44</v>
      </c>
      <c r="D28" s="24" t="n">
        <v>48</v>
      </c>
      <c r="E28" s="24" t="n">
        <v>33</v>
      </c>
      <c r="F28" s="25" t="n">
        <v>23</v>
      </c>
      <c r="G28" s="24" t="n">
        <v>25</v>
      </c>
      <c r="H28" s="24" t="n">
        <v>30</v>
      </c>
      <c r="I28" s="26" t="n">
        <v>20</v>
      </c>
      <c r="J28" s="27" t="n">
        <v>20</v>
      </c>
    </row>
    <row r="29" customFormat="false" ht="14.25" hidden="false" customHeight="false" outlineLevel="0" collapsed="false">
      <c r="B29" s="0" t="s">
        <v>13</v>
      </c>
      <c r="C29" s="24" t="n">
        <v>11</v>
      </c>
      <c r="D29" s="24" t="n">
        <v>0</v>
      </c>
      <c r="E29" s="24" t="n">
        <v>16</v>
      </c>
      <c r="F29" s="25" t="n">
        <v>30</v>
      </c>
      <c r="G29" s="28" t="n">
        <f aca="false">13</f>
        <v>13</v>
      </c>
      <c r="H29" s="24" t="n">
        <v>22</v>
      </c>
      <c r="I29" s="26" t="n">
        <v>35</v>
      </c>
      <c r="J29" s="27" t="n">
        <v>35</v>
      </c>
    </row>
    <row r="30" customFormat="false" ht="14.25" hidden="false" customHeight="false" outlineLevel="0" collapsed="false">
      <c r="B30" s="3" t="s">
        <v>14</v>
      </c>
      <c r="C30" s="2" t="n">
        <f aca="false">SUM(C28:C29)</f>
        <v>55</v>
      </c>
      <c r="D30" s="2" t="n">
        <f aca="false">SUM(D28:D29)</f>
        <v>48</v>
      </c>
      <c r="E30" s="2" t="n">
        <f aca="false">SUM(E28:E29)</f>
        <v>49</v>
      </c>
      <c r="F30" s="29" t="n">
        <f aca="false">SUM(F28:F29)</f>
        <v>53</v>
      </c>
      <c r="G30" s="29" t="n">
        <f aca="false">SUM(G28:G29)</f>
        <v>38</v>
      </c>
      <c r="H30" s="29" t="n">
        <f aca="false">SUM(H28:H29)</f>
        <v>52</v>
      </c>
      <c r="I30" s="30" t="n">
        <f aca="false">SUM(I28:I29)</f>
        <v>55</v>
      </c>
      <c r="J30" s="31" t="n">
        <f aca="false">SUM(J28:J29)</f>
        <v>55</v>
      </c>
    </row>
    <row r="32" customFormat="false" ht="14.25" hidden="false" customHeight="false" outlineLevel="1" collapsed="false">
      <c r="B32" s="3" t="s">
        <v>21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</row>
    <row r="33" customFormat="false" ht="14.25" hidden="false" customHeight="false" outlineLevel="1" collapsed="false">
      <c r="B33" s="0" t="s">
        <v>12</v>
      </c>
      <c r="C33" s="24" t="n">
        <v>36</v>
      </c>
      <c r="D33" s="24" t="n">
        <v>32</v>
      </c>
      <c r="E33" s="24" t="n">
        <f aca="false">+ROUND(C28*90%,0)</f>
        <v>40</v>
      </c>
      <c r="F33" s="24" t="n">
        <f aca="false">+ROUND(D28*90%,0)</f>
        <v>43</v>
      </c>
      <c r="G33" s="24" t="n">
        <f aca="false">+ROUND(E28*90%,0)</f>
        <v>30</v>
      </c>
      <c r="H33" s="32" t="n">
        <v>19</v>
      </c>
      <c r="I33" s="33" t="n">
        <f aca="false">+ROUND(G28*80%,0)</f>
        <v>20</v>
      </c>
      <c r="J33" s="33" t="n">
        <f aca="false">+ROUND(H28*85%,0)</f>
        <v>26</v>
      </c>
      <c r="K33" s="26" t="n">
        <f aca="false">+ROUND(I28*85%,0)</f>
        <v>17</v>
      </c>
      <c r="L33" s="27" t="n">
        <f aca="false">+ROUND(J28*90%,0)</f>
        <v>18</v>
      </c>
    </row>
    <row r="34" customFormat="false" ht="14.25" hidden="false" customHeight="false" outlineLevel="1" collapsed="false">
      <c r="B34" s="0" t="s">
        <v>13</v>
      </c>
      <c r="C34" s="24"/>
      <c r="D34" s="24"/>
      <c r="E34" s="24" t="n">
        <f aca="false">+ROUND(C29*90%,0)</f>
        <v>10</v>
      </c>
      <c r="F34" s="24" t="n">
        <f aca="false">+ROUND(D29*90%,0)</f>
        <v>0</v>
      </c>
      <c r="G34" s="24" t="n">
        <f aca="false">+ROUND(E29*90%,0)</f>
        <v>14</v>
      </c>
      <c r="H34" s="32" t="n">
        <v>30</v>
      </c>
      <c r="I34" s="33" t="n">
        <f aca="false">+ROUND(G29*90%,0)+3</f>
        <v>15</v>
      </c>
      <c r="J34" s="33" t="n">
        <f aca="false">+ROUND(H29*90%,0)</f>
        <v>20</v>
      </c>
      <c r="K34" s="26" t="n">
        <f aca="false">+ROUND(I29*90%,0)</f>
        <v>32</v>
      </c>
      <c r="L34" s="27" t="n">
        <v>31</v>
      </c>
    </row>
    <row r="35" customFormat="false" ht="14.25" hidden="false" customHeight="false" outlineLevel="1" collapsed="false">
      <c r="B35" s="3" t="s">
        <v>14</v>
      </c>
      <c r="C35" s="2" t="n">
        <f aca="false">SUM(C33:C34)</f>
        <v>36</v>
      </c>
      <c r="D35" s="2" t="n">
        <f aca="false">SUM(D33:D34)</f>
        <v>32</v>
      </c>
      <c r="E35" s="2" t="n">
        <f aca="false">SUM(E33:E34)</f>
        <v>50</v>
      </c>
      <c r="F35" s="29" t="n">
        <f aca="false">SUM(F33:F34)</f>
        <v>43</v>
      </c>
      <c r="G35" s="29" t="n">
        <f aca="false">SUM(G33:G34)</f>
        <v>44</v>
      </c>
      <c r="H35" s="29" t="n">
        <f aca="false">SUM(H33:H34)</f>
        <v>49</v>
      </c>
      <c r="I35" s="23" t="n">
        <f aca="false">SUM(I33:I34)</f>
        <v>35</v>
      </c>
      <c r="J35" s="23" t="n">
        <f aca="false">SUM(J33:J34)</f>
        <v>46</v>
      </c>
      <c r="K35" s="30" t="n">
        <f aca="false">SUM(K33:K34)</f>
        <v>49</v>
      </c>
      <c r="L35" s="31" t="n">
        <f aca="false">SUM(L33:L34)</f>
        <v>49</v>
      </c>
    </row>
    <row r="37" customFormat="false" ht="14.25" hidden="false" customHeight="false" outlineLevel="0" collapsed="false">
      <c r="B37" s="3" t="s">
        <v>22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  <c r="L37" s="2" t="s">
        <v>11</v>
      </c>
    </row>
    <row r="38" customFormat="false" ht="14.25" hidden="false" customHeight="false" outlineLevel="0" collapsed="false">
      <c r="B38" s="0" t="s">
        <v>12</v>
      </c>
      <c r="C38" s="34" t="n">
        <f aca="false">+C8/C3</f>
        <v>0.983529411764706</v>
      </c>
      <c r="D38" s="34" t="n">
        <f aca="false">+D8/D3</f>
        <v>0.990588235294118</v>
      </c>
      <c r="E38" s="34" t="n">
        <f aca="false">+E8/E3</f>
        <v>1.00294117647059</v>
      </c>
      <c r="F38" s="34" t="n">
        <f aca="false">+F8/F3</f>
        <v>1.02176470588235</v>
      </c>
      <c r="G38" s="34" t="n">
        <f aca="false">+G8/G3</f>
        <v>0.999401913875598</v>
      </c>
      <c r="H38" s="34" t="n">
        <f aca="false">+H8/H3</f>
        <v>0.932170978627672</v>
      </c>
      <c r="I38" s="34" t="n">
        <f aca="false">+I8/I3</f>
        <v>0.970199764982374</v>
      </c>
      <c r="J38" s="34" t="n">
        <f aca="false">+J8/J3</f>
        <v>1.06424489795918</v>
      </c>
      <c r="K38" s="34" t="n">
        <f aca="false">+K8/K3</f>
        <v>1.09506123521682</v>
      </c>
      <c r="L38" s="34" t="n">
        <f aca="false">+L8/L3</f>
        <v>1.13730863387978</v>
      </c>
    </row>
    <row r="39" customFormat="false" ht="14.25" hidden="false" customHeight="false" outlineLevel="0" collapsed="false">
      <c r="B39" s="0" t="s">
        <v>13</v>
      </c>
      <c r="C39" s="34" t="n">
        <f aca="false">+C9/C4</f>
        <v>0.970760233918129</v>
      </c>
      <c r="D39" s="34" t="n">
        <f aca="false">+D9/D4</f>
        <v>0.91812865497076</v>
      </c>
      <c r="E39" s="34" t="n">
        <f aca="false">+E9/E4</f>
        <v>0.923976608187135</v>
      </c>
      <c r="F39" s="34" t="n">
        <f aca="false">+F9/F4</f>
        <v>0.956140350877193</v>
      </c>
      <c r="G39" s="34" t="n">
        <f aca="false">+G9/G4</f>
        <v>0.929824561403509</v>
      </c>
      <c r="H39" s="34" t="n">
        <f aca="false">+H9/H4</f>
        <v>0.796806167400881</v>
      </c>
      <c r="I39" s="34" t="n">
        <f aca="false">+I9/I4</f>
        <v>0.777244897959184</v>
      </c>
      <c r="J39" s="34" t="n">
        <f aca="false">+J9/J4</f>
        <v>0.850867768595041</v>
      </c>
      <c r="K39" s="34" t="n">
        <f aca="false">+K9/K4</f>
        <v>0.914870588235294</v>
      </c>
      <c r="L39" s="34" t="n">
        <f aca="false">+L9/L4</f>
        <v>1.08271</v>
      </c>
    </row>
    <row r="40" s="3" customFormat="true" ht="14.25" hidden="false" customHeight="false" outlineLevel="0" collapsed="false">
      <c r="B40" s="3" t="s">
        <v>23</v>
      </c>
      <c r="C40" s="35" t="n">
        <f aca="false">+C10/C5</f>
        <v>0.981390793339863</v>
      </c>
      <c r="D40" s="35" t="n">
        <f aca="false">+D10/D5</f>
        <v>0.97845249755142</v>
      </c>
      <c r="E40" s="35" t="n">
        <f aca="false">+E10/E5</f>
        <v>0.989715964740451</v>
      </c>
      <c r="F40" s="35" t="n">
        <f aca="false">+F10/F5</f>
        <v>1.01077375122429</v>
      </c>
      <c r="G40" s="35" t="n">
        <f aca="false">+G10/G5</f>
        <v>0.987586891757696</v>
      </c>
      <c r="H40" s="35" t="n">
        <f aca="false">+H10/H5</f>
        <v>0.904637096774194</v>
      </c>
      <c r="I40" s="35" t="n">
        <f aca="false">+I10/I5</f>
        <v>0.927066605839416</v>
      </c>
      <c r="J40" s="35" t="n">
        <f aca="false">+J10/J5</f>
        <v>1.01391617933723</v>
      </c>
      <c r="K40" s="35" t="n">
        <f aca="false">+K10/K5</f>
        <v>1.04983622047244</v>
      </c>
      <c r="L40" s="35" t="n">
        <f aca="false">+L10/L5</f>
        <v>1.12382748971193</v>
      </c>
      <c r="M40" s="2"/>
      <c r="N40" s="2"/>
    </row>
    <row r="42" customFormat="false" ht="14.25" hidden="false" customHeight="false" outlineLevel="0" collapsed="false">
      <c r="B42" s="36" t="s">
        <v>24</v>
      </c>
      <c r="J42" s="1" t="s">
        <v>25</v>
      </c>
    </row>
    <row r="43" customFormat="false" ht="14.25" hidden="false" customHeight="false" outlineLevel="0" collapsed="false">
      <c r="B43" s="37"/>
      <c r="C43" s="37" t="s">
        <v>2</v>
      </c>
      <c r="D43" s="37" t="s">
        <v>3</v>
      </c>
      <c r="E43" s="37" t="s">
        <v>4</v>
      </c>
      <c r="F43" s="37" t="s">
        <v>5</v>
      </c>
      <c r="G43" s="37" t="s">
        <v>6</v>
      </c>
      <c r="H43" s="37" t="s">
        <v>7</v>
      </c>
      <c r="I43" s="37" t="s">
        <v>8</v>
      </c>
      <c r="J43" s="37" t="s">
        <v>9</v>
      </c>
      <c r="K43" s="37" t="s">
        <v>10</v>
      </c>
      <c r="L43" s="37" t="s">
        <v>11</v>
      </c>
    </row>
    <row r="44" customFormat="false" ht="14.25" hidden="false" customHeight="false" outlineLevel="0" collapsed="false">
      <c r="B44" s="0" t="s">
        <v>26</v>
      </c>
      <c r="C44" s="38" t="n">
        <f aca="false">ABS(C23)/C13</f>
        <v>0.0142517814726841</v>
      </c>
      <c r="D44" s="38" t="n">
        <f aca="false">ABS(D23)/D13</f>
        <v>0.0234741784037559</v>
      </c>
      <c r="E44" s="38" t="n">
        <f aca="false">ABS(E23)/E13</f>
        <v>0.00817757009345794</v>
      </c>
      <c r="F44" s="38" t="n">
        <f aca="false">ABS(F23)/F13</f>
        <v>0.0238907849829352</v>
      </c>
      <c r="G44" s="38" t="n">
        <f aca="false">ABS(G23)/G13</f>
        <v>0.0271546635182999</v>
      </c>
      <c r="H44" s="38" t="n">
        <f aca="false">AVERAGE(C44:G44)</f>
        <v>0.0193897956942266</v>
      </c>
      <c r="I44" s="38" t="n">
        <f aca="false">AVERAGE(D44:H44)</f>
        <v>0.0204173985385351</v>
      </c>
      <c r="J44" s="38" t="n">
        <f aca="false">AVERAGE(E44:I44)</f>
        <v>0.0198060425654909</v>
      </c>
      <c r="K44" s="38" t="n">
        <f aca="false">AVERAGE(F44:J44)</f>
        <v>0.0221317370598975</v>
      </c>
      <c r="L44" s="38" t="n">
        <f aca="false">AVERAGE(G44:K44)</f>
        <v>0.02177992747529</v>
      </c>
    </row>
    <row r="45" customFormat="false" ht="14.25" hidden="false" customHeight="false" outlineLevel="0" collapsed="false">
      <c r="B45" s="0" t="s">
        <v>27</v>
      </c>
      <c r="C45" s="38" t="n">
        <f aca="false">ABS(C24)/C14</f>
        <v>0.0470588235294118</v>
      </c>
      <c r="D45" s="38" t="n">
        <f aca="false">ABS(D24)/D14</f>
        <v>0.0375</v>
      </c>
      <c r="E45" s="38" t="n">
        <f aca="false">ABS(E24)/E14</f>
        <v>0.0125786163522013</v>
      </c>
      <c r="F45" s="38" t="n">
        <f aca="false">ABS(F24)/F14</f>
        <v>0.0535714285714286</v>
      </c>
      <c r="G45" s="38" t="n">
        <f aca="false">ABS(G24)/G14</f>
        <v>0</v>
      </c>
      <c r="H45" s="38" t="n">
        <f aca="false">AVERAGE(C45:F45)</f>
        <v>0.0376772171132604</v>
      </c>
      <c r="I45" s="38" t="n">
        <f aca="false">AVERAGE(D45:H45)</f>
        <v>0.028265452407378</v>
      </c>
      <c r="J45" s="38" t="n">
        <f aca="false">AVERAGE(E45:I45)</f>
        <v>0.0264185428888537</v>
      </c>
      <c r="K45" s="38" t="n">
        <f aca="false">AVERAGE(F45:J45)</f>
        <v>0.0291865281961841</v>
      </c>
      <c r="L45" s="38" t="n">
        <f aca="false">AVERAGE(G45:K45)</f>
        <v>0.0243095481211352</v>
      </c>
    </row>
    <row r="46" customFormat="false" ht="14.25" hidden="false" customHeight="false" outlineLevel="0" collapsed="false">
      <c r="B46" s="0" t="s">
        <v>28</v>
      </c>
      <c r="H46" s="1" t="n">
        <f aca="false">-ROUND(H13*H44,0)</f>
        <v>-16</v>
      </c>
      <c r="I46" s="1" t="n">
        <f aca="false">-ROUND(I13*I44,0)</f>
        <v>-17</v>
      </c>
      <c r="J46" s="1" t="n">
        <f aca="false">-ROUND(J13*J44,0)</f>
        <v>-17</v>
      </c>
      <c r="K46" s="1" t="n">
        <f aca="false">-ROUND(K13*K44,0)</f>
        <v>-19</v>
      </c>
      <c r="L46" s="1" t="n">
        <f aca="false">-ROUND(L13*L44,0)</f>
        <v>-18</v>
      </c>
    </row>
    <row r="47" customFormat="false" ht="14.25" hidden="false" customHeight="false" outlineLevel="0" collapsed="false">
      <c r="B47" s="0" t="s">
        <v>29</v>
      </c>
      <c r="H47" s="1" t="n">
        <f aca="false">-ROUND(H14*H45,0)</f>
        <v>-7</v>
      </c>
      <c r="I47" s="1" t="n">
        <f aca="false">-ROUND(I14*I45,0)</f>
        <v>-5</v>
      </c>
      <c r="J47" s="1" t="n">
        <f aca="false">-ROUND(J14*J45,0)</f>
        <v>-5</v>
      </c>
      <c r="K47" s="1" t="n">
        <f aca="false">-ROUND(K14*K45,0)</f>
        <v>-7</v>
      </c>
      <c r="L47" s="1" t="n">
        <f aca="false">-ROUND(L14*L45,0)</f>
        <v>-6</v>
      </c>
    </row>
    <row r="49" customFormat="false" ht="14.25" hidden="false" customHeight="false" outlineLevel="0" collapsed="false">
      <c r="B49" s="39" t="s">
        <v>30</v>
      </c>
    </row>
    <row r="50" customFormat="false" ht="14.25" hidden="false" customHeight="false" outlineLevel="0" collapsed="false">
      <c r="B50" s="39" t="s">
        <v>31</v>
      </c>
    </row>
    <row r="52" customFormat="false" ht="14.25" hidden="false" customHeight="false" outlineLevel="0" collapsed="false">
      <c r="B52" s="36" t="s">
        <v>32</v>
      </c>
    </row>
    <row r="53" customFormat="false" ht="14.25" hidden="false" customHeight="false" outlineLevel="0" collapsed="false">
      <c r="B53" s="37"/>
      <c r="C53" s="37" t="s">
        <v>2</v>
      </c>
      <c r="D53" s="37" t="s">
        <v>3</v>
      </c>
      <c r="E53" s="37" t="s">
        <v>4</v>
      </c>
      <c r="F53" s="37" t="s">
        <v>5</v>
      </c>
      <c r="G53" s="37" t="s">
        <v>6</v>
      </c>
      <c r="H53" s="37" t="s">
        <v>7</v>
      </c>
      <c r="I53" s="37" t="s">
        <v>8</v>
      </c>
      <c r="J53" s="37" t="s">
        <v>9</v>
      </c>
      <c r="K53" s="37" t="s">
        <v>10</v>
      </c>
      <c r="L53" s="37" t="s">
        <v>11</v>
      </c>
    </row>
    <row r="54" customFormat="false" ht="14.25" hidden="false" customHeight="false" outlineLevel="0" collapsed="false">
      <c r="B54" s="0" t="s">
        <v>33</v>
      </c>
      <c r="I54" s="40" t="n">
        <v>-6</v>
      </c>
    </row>
    <row r="55" customFormat="false" ht="14.25" hidden="false" customHeight="false" outlineLevel="0" collapsed="false">
      <c r="B55" s="0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&amp;C&amp;"Aptos,Regular"&amp;8 &amp;K0000ff_x005F_x000d_# Datos elaborados por BCP para uso Interno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2026-06-08T20:46:37Z</dcterms:created>
  <dc:creator>Reyna Siccha</dc:creator>
  <dc:description/>
  <dc:language>en-US</dc:language>
  <cp:lastModifiedBy/>
  <dcterms:modified xsi:type="dcterms:W3CDTF">2026-06-08T21:05:18Z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