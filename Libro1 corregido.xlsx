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ocumenttasks/documenttask1.xml" ContentType="application/vnd.ms-excel.documenttask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Datos de Usuarios\t62963\Downloads\"/>
    </mc:Choice>
  </mc:AlternateContent>
  <xr:revisionPtr revIDLastSave="0" documentId="13_ncr:1_{DF51AED5-6977-43B5-91D5-381A233D0845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Resumen" sheetId="2" r:id="rId1"/>
  </sheets>
  <externalReferences>
    <externalReference r:id="rId2"/>
  </externalReferences>
  <definedNames>
    <definedName name="_año_">#REF!</definedName>
    <definedName name="_ArGypBanMin_">#REF!</definedName>
    <definedName name="_ArGypNr_">#REF!</definedName>
    <definedName name="_AtRisk_SimSetting_AutomaticallyGenerateReports" localSheetId="0" hidden="1">FALSE</definedName>
    <definedName name="_AtRisk_SimSetting_AutomaticallyGenerateReports" hidden="1">FALSE()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localSheetId="0" hidden="1">TRUE</definedName>
    <definedName name="_AtRisk_SimSetting_ConvergencePerformMeanTest" hidden="1">TRUE()</definedName>
    <definedName name="_AtRisk_SimSetting_ConvergencePerformPercentileTest" localSheetId="0" hidden="1">FALSE</definedName>
    <definedName name="_AtRisk_SimSetting_ConvergencePerformPercentileTest" hidden="1">FALSE()</definedName>
    <definedName name="_AtRisk_SimSetting_ConvergencePerformStdDeviationTest" localSheetId="0" hidden="1">FALSE</definedName>
    <definedName name="_AtRisk_SimSetting_ConvergencePerformStdDeviationTest" hidden="1">FALSE()</definedName>
    <definedName name="_AtRisk_SimSetting_ConvergenceTestAllOutputs" localSheetId="0" hidden="1">TRUE</definedName>
    <definedName name="_AtRisk_SimSetting_ConvergenceTestAllOutputs" hidden="1">TRUE()</definedName>
    <definedName name="_AtRisk_SimSetting_ConvergenceTestingPeriod" hidden="1">100</definedName>
    <definedName name="_AtRisk_SimSetting_ConvergenceTolerance" hidden="1">0.03</definedName>
    <definedName name="_AtRisk_SimSetting_LiveUpdate" localSheetId="0" hidden="1">TRUE</definedName>
    <definedName name="_AtRisk_SimSetting_LiveUpdate" hidden="1">TRUE()</definedName>
    <definedName name="_AtRisk_SimSetting_LiveUpdatePeriod" hidden="1">-1</definedName>
    <definedName name="_AtRisk_SimSetting_MacroRecalculationBehavior" hidden="1">0</definedName>
    <definedName name="_AtRisk_SimSetting_RandomNumberGenerator" hidden="1">0</definedName>
    <definedName name="_AtRisk_SimSetting_ReportsList" hidden="1">97</definedName>
    <definedName name="_AtRisk_SimSetting_ShowSimulationProgressWindow" localSheetId="0" hidden="1">TRUE</definedName>
    <definedName name="_AtRisk_SimSetting_ShowSimulationProgressWindow" hidden="1">TRUE()</definedName>
    <definedName name="_AtRisk_SimSetting_SimNameCount" hidden="1">0</definedName>
    <definedName name="_AtRisk_SimSetting_SmartSensitivityAnalysisEnabled" localSheetId="0" hidden="1">TRUE</definedName>
    <definedName name="_AtRisk_SimSetting_SmartSensitivityAnalysisEnabled" hidden="1">TRUE()</definedName>
    <definedName name="_AtRisk_SimSetting_StatisticFunctionUpdating" hidden="1">1</definedName>
    <definedName name="_AtRisk_SimSetting_StdRecalcActiveSimulationNumber" hidden="1">1</definedName>
    <definedName name="_AtRisk_SimSetting_StdRecalcBehavior" hidden="1">1</definedName>
    <definedName name="_AtRisk_SimSetting_StdRecalcWithoutRiskStatic" hidden="1">0</definedName>
    <definedName name="_AtRisk_SimSetting_StdRecalcWithoutRiskStaticPercentile" hidden="1">0.5</definedName>
    <definedName name="_mes_">#REF!</definedName>
    <definedName name="_RutGyp_">#REF!</definedName>
    <definedName name="Activos">#REF!</definedName>
    <definedName name="año">#REF!</definedName>
    <definedName name="cedes">#REF!</definedName>
    <definedName name="Contratación">#REF!</definedName>
    <definedName name="Datos">#REF!</definedName>
    <definedName name="DiasCategorias">#REF!</definedName>
    <definedName name="Gasto_Ppto_Acum">#REF!</definedName>
    <definedName name="Gasto_Real_Acum">#REF!</definedName>
    <definedName name="indicadores">#REF!</definedName>
    <definedName name="Matriculas">#REF!</definedName>
    <definedName name="MES">#REF!</definedName>
    <definedName name="Pal_Workbook_GUID" hidden="1">"NVVVVX23A52QJJCWBMRJ2W79"</definedName>
    <definedName name="PPP">OFFSET(#REF!,1,,,(COUNTA(#REF!)-(COUNTIF(#REF!,""))))</definedName>
    <definedName name="Procedencia">#REF!</definedName>
    <definedName name="Proceso">#REF!</definedName>
    <definedName name="Renuncia">#REF!</definedName>
    <definedName name="rewr">#REF!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6</definedName>
    <definedName name="RiskMinimizeOnStart" localSheetId="0" hidden="1">FALSE</definedName>
    <definedName name="RiskMinimizeOnStart" hidden="1">FALSE()</definedName>
    <definedName name="RiskMonitorConvergence" localSheetId="0" hidden="1">FALSE</definedName>
    <definedName name="RiskMonitorConvergence" hidden="1">FALSE()</definedName>
    <definedName name="RiskMultipleCPUSupportEnabled" localSheetId="0" hidden="1">TRUE</definedName>
    <definedName name="RiskMultipleCPUSupportEnabled" hidden="1">TRUE()</definedName>
    <definedName name="RiskNumIterations" hidden="1">1000</definedName>
    <definedName name="RiskNumSimulations" hidden="1">1</definedName>
    <definedName name="RiskPauseOnError" localSheetId="0" hidden="1">FALSE</definedName>
    <definedName name="RiskPauseOnError" hidden="1">FALSE()</definedName>
    <definedName name="RiskRunAfterRecalcMacro" localSheetId="0" hidden="1">FALSE</definedName>
    <definedName name="RiskRunAfterRecalcMacro" hidden="1">FALSE()</definedName>
    <definedName name="RiskRunAfterSimMacro" localSheetId="0" hidden="1">FALSE</definedName>
    <definedName name="RiskRunAfterSimMacro" hidden="1">FALSE()</definedName>
    <definedName name="RiskRunBeforeRecalcMacro" localSheetId="0" hidden="1">FALSE</definedName>
    <definedName name="RiskRunBeforeRecalcMacro" hidden="1">FALSE()</definedName>
    <definedName name="RiskRunBeforeSimMacro" localSheetId="0" hidden="1">FALSE</definedName>
    <definedName name="RiskRunBeforeSimMacro" hidden="1">FALSE()</definedName>
    <definedName name="RiskSamplingType" hidden="1">3</definedName>
    <definedName name="RiskStandardRecalc" hidden="1">2</definedName>
    <definedName name="RiskUpdateDisplay" localSheetId="0" hidden="1">FALSE</definedName>
    <definedName name="RiskUpdateDisplay" hidden="1">FALSE()</definedName>
    <definedName name="RiskUseDifferentSeedForEachSim" localSheetId="0" hidden="1">FALSE</definedName>
    <definedName name="RiskUseDifferentSeedForEachSim" hidden="1">FALSE()</definedName>
    <definedName name="RiskUseFixedSeed" localSheetId="0" hidden="1">FALSE</definedName>
    <definedName name="RiskUseFixedSeed" hidden="1">FALSE()</definedName>
    <definedName name="RiskUseMultipleCPUs" localSheetId="0" hidden="1">TRUE</definedName>
    <definedName name="RiskUseMultipleCPUs" hidden="1">TRUE()</definedName>
    <definedName name="roles">#REF!</definedName>
    <definedName name="TablaInventario">#REF!</definedName>
    <definedName name="Tipoperfil">#REF!</definedName>
    <definedName name="wrn.PBI._.Proyección._.96._.97." localSheetId="0" hidden="1">{#N/A,#N/A,TRUE,"Resumen";#N/A,#N/A,TRUE,"Global";#N/A,#N/A,TRUE,"Agropecuario";#N/A,#N/A,TRUE,"Pesca";#N/A,#N/A,TRUE,"Minería";#N/A,#N/A,TRUE,"Elect. y Agua";#N/A,#N/A,TRUE,"Manufactura";#N/A,#N/A,TRUE,"Construcción";#N/A,#N/A,TRUE,"Comercio";#N/A,#N/A,TRUE,"Otros"}</definedName>
    <definedName name="wrn.PBI._.Proyección._.96._.97." hidden="1">{#N/A,#N/A,TRUE,"Resumen";#N/A,#N/A,TRUE,"Global";#N/A,#N/A,TRUE,"Agropecuario";#N/A,#N/A,TRUE,"Pesca";#N/A,#N/A,TRUE,"Minería";#N/A,#N/A,TRUE,"Elect. y Agua";#N/A,#N/A,TRUE,"Manufactura";#N/A,#N/A,TRUE,"Construcción";#N/A,#N/A,TRUE,"Comercio";#N/A,#N/A,TRUE,"Otros"}</definedName>
    <definedName name="wrn.PROYECCIONES." localSheetId="0" hidden="1">{#N/A,#N/A,FALSE,"Final";#N/A,#N/A,FALSE,"PBI Anual";#N/A,#N/A,FALSE,"PBI 95-96";#N/A,#N/A,FALSE,"Gasto Agregado";#N/A,#N/A,FALSE,"Gob. Central";#N/A,#N/A,FALSE,"Bza. Pagos";#N/A,#N/A,FALSE,"Bza. Comercial";#N/A,#N/A,FALSE,"IPC vs DEV"}</definedName>
    <definedName name="wrn.PROYECCIONES." hidden="1">{#N/A,#N/A,FALSE,"Final";#N/A,#N/A,FALSE,"PBI Anual";#N/A,#N/A,FALSE,"PBI 95-96";#N/A,#N/A,FALSE,"Gasto Agregado";#N/A,#N/A,FALSE,"Gob. Central";#N/A,#N/A,FALSE,"Bza. Pagos";#N/A,#N/A,FALSE,"Bza. Comercial";#N/A,#N/A,FALSE,"IPC vs DEV"}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2" i="2" l="1"/>
  <c r="J52" i="2"/>
  <c r="I52" i="2"/>
  <c r="I46" i="2"/>
  <c r="I45" i="2"/>
  <c r="J46" i="2" s="1"/>
  <c r="K44" i="2"/>
  <c r="J44" i="2"/>
  <c r="K45" i="2" s="1"/>
  <c r="I44" i="2"/>
  <c r="J45" i="2" s="1"/>
  <c r="K46" i="2" s="1"/>
  <c r="G39" i="2"/>
  <c r="E39" i="2"/>
  <c r="F38" i="2"/>
  <c r="E38" i="2"/>
  <c r="D38" i="2"/>
  <c r="C38" i="2"/>
  <c r="L35" i="2"/>
  <c r="K35" i="2"/>
  <c r="H35" i="2"/>
  <c r="D35" i="2"/>
  <c r="C35" i="2"/>
  <c r="K34" i="2"/>
  <c r="J34" i="2"/>
  <c r="I34" i="2"/>
  <c r="G34" i="2"/>
  <c r="F34" i="2"/>
  <c r="E34" i="2"/>
  <c r="L33" i="2"/>
  <c r="K33" i="2"/>
  <c r="J33" i="2"/>
  <c r="J35" i="2" s="1"/>
  <c r="I33" i="2"/>
  <c r="I35" i="2" s="1"/>
  <c r="G33" i="2"/>
  <c r="G35" i="2" s="1"/>
  <c r="F33" i="2"/>
  <c r="F35" i="2" s="1"/>
  <c r="E33" i="2"/>
  <c r="E35" i="2" s="1"/>
  <c r="J30" i="2"/>
  <c r="I30" i="2"/>
  <c r="H30" i="2"/>
  <c r="G30" i="2"/>
  <c r="F30" i="2"/>
  <c r="E30" i="2"/>
  <c r="D30" i="2"/>
  <c r="C30" i="2"/>
  <c r="G29" i="2"/>
  <c r="F25" i="2"/>
  <c r="E25" i="2"/>
  <c r="D25" i="2"/>
  <c r="C25" i="2"/>
  <c r="G24" i="2"/>
  <c r="F24" i="2"/>
  <c r="E24" i="2"/>
  <c r="D24" i="2"/>
  <c r="C24" i="2"/>
  <c r="F23" i="2"/>
  <c r="E23" i="2"/>
  <c r="D23" i="2"/>
  <c r="C23" i="2"/>
  <c r="F20" i="2"/>
  <c r="E20" i="2"/>
  <c r="D20" i="2"/>
  <c r="C20" i="2"/>
  <c r="G18" i="2"/>
  <c r="G23" i="2" s="1"/>
  <c r="G15" i="2"/>
  <c r="F15" i="2"/>
  <c r="E15" i="2"/>
  <c r="D15" i="2"/>
  <c r="C15" i="2"/>
  <c r="H14" i="2"/>
  <c r="H13" i="2"/>
  <c r="H15" i="2" s="1"/>
  <c r="F10" i="2"/>
  <c r="F40" i="2" s="1"/>
  <c r="E10" i="2"/>
  <c r="E40" i="2" s="1"/>
  <c r="D10" i="2"/>
  <c r="D40" i="2" s="1"/>
  <c r="G9" i="2"/>
  <c r="F9" i="2"/>
  <c r="F39" i="2" s="1"/>
  <c r="E9" i="2"/>
  <c r="D9" i="2"/>
  <c r="D39" i="2" s="1"/>
  <c r="C9" i="2"/>
  <c r="C10" i="2" s="1"/>
  <c r="F8" i="2"/>
  <c r="E8" i="2"/>
  <c r="D8" i="2"/>
  <c r="C8" i="2"/>
  <c r="I5" i="2"/>
  <c r="H5" i="2"/>
  <c r="G5" i="2"/>
  <c r="F5" i="2"/>
  <c r="D5" i="2"/>
  <c r="L4" i="2"/>
  <c r="K4" i="2"/>
  <c r="J4" i="2"/>
  <c r="I4" i="2"/>
  <c r="H4" i="2"/>
  <c r="G4" i="2"/>
  <c r="F4" i="2"/>
  <c r="E4" i="2"/>
  <c r="E5" i="2" s="1"/>
  <c r="D4" i="2"/>
  <c r="C4" i="2"/>
  <c r="L3" i="2"/>
  <c r="L5" i="2" s="1"/>
  <c r="K3" i="2"/>
  <c r="K5" i="2" s="1"/>
  <c r="J3" i="2"/>
  <c r="J5" i="2" s="1"/>
  <c r="I3" i="2"/>
  <c r="H3" i="2"/>
  <c r="G3" i="2"/>
  <c r="F3" i="2"/>
  <c r="E3" i="2"/>
  <c r="D3" i="2"/>
  <c r="C3" i="2"/>
  <c r="C5" i="2" s="1"/>
  <c r="C40" i="2" l="1"/>
  <c r="H23" i="2"/>
  <c r="I23" i="2"/>
  <c r="G25" i="2"/>
  <c r="J23" i="2"/>
  <c r="G20" i="2"/>
  <c r="H24" i="2"/>
  <c r="I24" i="2"/>
  <c r="C39" i="2"/>
  <c r="G8" i="2"/>
  <c r="K23" i="2" l="1"/>
  <c r="L23" i="2"/>
  <c r="I25" i="2"/>
  <c r="H25" i="2"/>
  <c r="H18" i="2"/>
  <c r="J24" i="2"/>
  <c r="K24" i="2" s="1"/>
  <c r="L24" i="2" s="1"/>
  <c r="G38" i="2"/>
  <c r="G10" i="2"/>
  <c r="G40" i="2" s="1"/>
  <c r="H19" i="2"/>
  <c r="I14" i="2" l="1"/>
  <c r="H9" i="2"/>
  <c r="H39" i="2" s="1"/>
  <c r="H8" i="2"/>
  <c r="I13" i="2"/>
  <c r="H20" i="2"/>
  <c r="L25" i="2"/>
  <c r="K25" i="2"/>
  <c r="J25" i="2"/>
  <c r="H38" i="2" l="1"/>
  <c r="H10" i="2"/>
  <c r="H40" i="2" s="1"/>
  <c r="I15" i="2"/>
  <c r="I18" i="2"/>
  <c r="I19" i="2"/>
  <c r="J14" i="2" s="1"/>
  <c r="I9" i="2"/>
  <c r="I39" i="2" s="1"/>
  <c r="J19" i="2" l="1"/>
  <c r="K14" i="2" s="1"/>
  <c r="J9" i="2"/>
  <c r="J39" i="2" s="1"/>
  <c r="J13" i="2"/>
  <c r="I20" i="2"/>
  <c r="I8" i="2"/>
  <c r="I38" i="2" l="1"/>
  <c r="I10" i="2"/>
  <c r="I40" i="2" s="1"/>
  <c r="J15" i="2"/>
  <c r="J18" i="2"/>
  <c r="J8" i="2"/>
  <c r="K19" i="2"/>
  <c r="L14" i="2" s="1"/>
  <c r="L19" i="2" l="1"/>
  <c r="L9" i="2" s="1"/>
  <c r="L39" i="2" s="1"/>
  <c r="K9" i="2"/>
  <c r="K39" i="2" s="1"/>
  <c r="J10" i="2"/>
  <c r="J40" i="2" s="1"/>
  <c r="J38" i="2"/>
  <c r="K13" i="2"/>
  <c r="J20" i="2"/>
  <c r="K15" i="2" l="1"/>
  <c r="K18" i="2"/>
  <c r="K8" i="2"/>
  <c r="K38" i="2" l="1"/>
  <c r="K10" i="2"/>
  <c r="K40" i="2" s="1"/>
  <c r="L13" i="2"/>
  <c r="K20" i="2"/>
  <c r="L18" i="2" l="1"/>
  <c r="L20" i="2" s="1"/>
  <c r="L8" i="2"/>
  <c r="L15" i="2"/>
  <c r="L10" i="2" l="1"/>
  <c r="L40" i="2" s="1"/>
  <c r="L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Mariella Diaz Ramirez</author>
    <author>tc={20F321B4-0925-4AD5-BE34-0FC919BB3FA4}</author>
  </authors>
  <commentList>
    <comment ref="G3" authorId="0" shapeId="0" xr:uid="{BF50F323-1F55-4928-9CAF-B3A210BBB86D}">
      <text>
        <r>
          <rPr>
            <b/>
            <sz val="9"/>
            <color indexed="81"/>
            <rFont val="Tahoma"/>
          </rPr>
          <t>Back Office Seguros</t>
        </r>
      </text>
    </comment>
    <comment ref="G23" authorId="1" shapeId="0" xr:uid="{20F321B4-0925-4AD5-BE34-0FC919BB3FA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[Tasks]
Hay una tarea anclada a este comentario que no se puede ver en el cliente.
Comentario:
    @Reyna Siccha dime quienes han sido estas 22 salidas de mayo (diferencia entre inicio y fin mayo)</t>
      </text>
    </comment>
  </commentList>
</comments>
</file>

<file path=xl/sharedStrings.xml><?xml version="1.0" encoding="utf-8"?>
<sst xmlns="http://schemas.openxmlformats.org/spreadsheetml/2006/main" count="128" uniqueCount="33">
  <si>
    <t>*</t>
  </si>
  <si>
    <t>Capacity</t>
  </si>
  <si>
    <t>Ene'26</t>
  </si>
  <si>
    <t>Feb'26</t>
  </si>
  <si>
    <t>Mar'26</t>
  </si>
  <si>
    <t>Abr'26</t>
  </si>
  <si>
    <t>May'26</t>
  </si>
  <si>
    <t>Jun'26</t>
  </si>
  <si>
    <t>Jul'26</t>
  </si>
  <si>
    <t>Ago'26</t>
  </si>
  <si>
    <t>Set'26</t>
  </si>
  <si>
    <t>Oct'26</t>
  </si>
  <si>
    <t>Llamadas</t>
  </si>
  <si>
    <t>Chats</t>
  </si>
  <si>
    <t>Inbound</t>
  </si>
  <si>
    <t>Real prom</t>
  </si>
  <si>
    <t>Real Inbound</t>
  </si>
  <si>
    <t>Real inicial</t>
  </si>
  <si>
    <t>Real cierre</t>
  </si>
  <si>
    <t>Salidas</t>
  </si>
  <si>
    <t>R&amp;S</t>
  </si>
  <si>
    <t>Ingresos</t>
  </si>
  <si>
    <t>Cobertura</t>
  </si>
  <si>
    <t>Cobertura Inbound</t>
  </si>
  <si>
    <t>.</t>
  </si>
  <si>
    <t># ftes</t>
  </si>
  <si>
    <t>julio</t>
  </si>
  <si>
    <t>agosto</t>
  </si>
  <si>
    <t>setiembre</t>
  </si>
  <si>
    <t>mes3</t>
  </si>
  <si>
    <t>mes4</t>
  </si>
  <si>
    <t>mes5</t>
  </si>
  <si>
    <t># equipos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</si>
</sst>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\-??_);_(@_)"/>
    <numFmt numFmtId="166" formatCode="_(* #,##0.00_);_(* \(#,##0.00\);_(* &quot;-&quot;??_);_(@_)"/>
  </numFmts>
  <fonts count="10" x14ac:knownFonts="1">
    <font>
      <sz val="11"/>
      <color theme="1"/>
      <name val="Aptos Narrow"/>
      <family val="2"/>
      <charset val="1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charset val="1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b/>
      <sz val="9"/>
      <color indexed="81"/>
      <name val="Tahoma"/>
    </font>
    <font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164" fontId="2" fillId="0" borderId="0"/>
    <xf numFmtId="0" fontId="1" fillId="0" borderId="0"/>
    <xf numFmtId="166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8">
    <xf numFmtId="0" fontId="0" fillId="0" borderId="0" xfId="0"/>
    <xf numFmtId="0" fontId="1" fillId="0" borderId="0" xfId="2"/>
    <xf numFmtId="0" fontId="1" fillId="0" borderId="0" xfId="2" applyAlignment="1">
      <alignment horizontal="center"/>
    </xf>
    <xf numFmtId="0" fontId="4" fillId="0" borderId="0" xfId="2" applyFont="1" applyAlignment="1">
      <alignment horizontal="center"/>
    </xf>
    <xf numFmtId="0" fontId="4" fillId="0" borderId="0" xfId="2" applyFont="1"/>
    <xf numFmtId="0" fontId="1" fillId="2" borderId="0" xfId="2" applyFill="1" applyAlignment="1">
      <alignment horizontal="center"/>
    </xf>
    <xf numFmtId="1" fontId="5" fillId="2" borderId="0" xfId="2" applyNumberFormat="1" applyFont="1" applyFill="1" applyAlignment="1">
      <alignment horizontal="center"/>
    </xf>
    <xf numFmtId="0" fontId="1" fillId="3" borderId="0" xfId="2" applyFill="1" applyAlignment="1">
      <alignment horizontal="center"/>
    </xf>
    <xf numFmtId="0" fontId="4" fillId="2" borderId="0" xfId="2" applyFont="1" applyFill="1" applyAlignment="1">
      <alignment horizontal="center"/>
    </xf>
    <xf numFmtId="1" fontId="4" fillId="2" borderId="0" xfId="2" applyNumberFormat="1" applyFont="1" applyFill="1" applyAlignment="1">
      <alignment horizontal="center"/>
    </xf>
    <xf numFmtId="0" fontId="4" fillId="3" borderId="0" xfId="2" applyFont="1" applyFill="1" applyAlignment="1">
      <alignment horizontal="center"/>
    </xf>
    <xf numFmtId="0" fontId="1" fillId="4" borderId="0" xfId="2" applyFill="1" applyAlignment="1">
      <alignment horizontal="center"/>
    </xf>
    <xf numFmtId="1" fontId="1" fillId="4" borderId="0" xfId="2" applyNumberFormat="1" applyFill="1" applyAlignment="1">
      <alignment horizontal="center"/>
    </xf>
    <xf numFmtId="1" fontId="6" fillId="3" borderId="0" xfId="2" applyNumberFormat="1" applyFont="1" applyFill="1" applyAlignment="1">
      <alignment horizontal="center"/>
    </xf>
    <xf numFmtId="0" fontId="4" fillId="4" borderId="0" xfId="2" applyFont="1" applyFill="1" applyAlignment="1">
      <alignment horizontal="center"/>
    </xf>
    <xf numFmtId="1" fontId="4" fillId="4" borderId="0" xfId="3" applyNumberFormat="1" applyFont="1" applyFill="1" applyAlignment="1">
      <alignment horizontal="center" vertical="center"/>
    </xf>
    <xf numFmtId="1" fontId="4" fillId="4" borderId="0" xfId="2" applyNumberFormat="1" applyFont="1" applyFill="1" applyAlignment="1">
      <alignment horizontal="center"/>
    </xf>
    <xf numFmtId="1" fontId="4" fillId="3" borderId="0" xfId="2" applyNumberFormat="1" applyFont="1" applyFill="1" applyAlignment="1">
      <alignment horizontal="center"/>
    </xf>
    <xf numFmtId="1" fontId="1" fillId="2" borderId="0" xfId="2" applyNumberFormat="1" applyFill="1" applyAlignment="1">
      <alignment horizontal="center"/>
    </xf>
    <xf numFmtId="1" fontId="6" fillId="5" borderId="0" xfId="2" applyNumberFormat="1" applyFont="1" applyFill="1" applyAlignment="1">
      <alignment horizontal="center"/>
    </xf>
    <xf numFmtId="1" fontId="5" fillId="3" borderId="0" xfId="2" applyNumberFormat="1" applyFont="1" applyFill="1" applyAlignment="1">
      <alignment horizontal="center"/>
    </xf>
    <xf numFmtId="1" fontId="7" fillId="5" borderId="0" xfId="2" applyNumberFormat="1" applyFont="1" applyFill="1" applyAlignment="1">
      <alignment horizontal="center"/>
    </xf>
    <xf numFmtId="0" fontId="3" fillId="4" borderId="0" xfId="2" applyFont="1" applyFill="1" applyAlignment="1">
      <alignment horizontal="center"/>
    </xf>
    <xf numFmtId="1" fontId="3" fillId="5" borderId="0" xfId="2" applyNumberFormat="1" applyFont="1" applyFill="1" applyAlignment="1">
      <alignment horizontal="center"/>
    </xf>
    <xf numFmtId="1" fontId="4" fillId="5" borderId="0" xfId="2" applyNumberFormat="1" applyFont="1" applyFill="1" applyAlignment="1">
      <alignment horizontal="center"/>
    </xf>
    <xf numFmtId="0" fontId="1" fillId="6" borderId="0" xfId="2" applyFill="1" applyAlignment="1">
      <alignment horizontal="center"/>
    </xf>
    <xf numFmtId="1" fontId="1" fillId="6" borderId="0" xfId="2" applyNumberFormat="1" applyFill="1" applyAlignment="1">
      <alignment horizontal="center"/>
    </xf>
    <xf numFmtId="0" fontId="1" fillId="7" borderId="0" xfId="2" applyFill="1" applyAlignment="1">
      <alignment horizontal="center"/>
    </xf>
    <xf numFmtId="0" fontId="1" fillId="8" borderId="0" xfId="2" applyFill="1" applyAlignment="1">
      <alignment horizontal="center"/>
    </xf>
    <xf numFmtId="0" fontId="5" fillId="6" borderId="0" xfId="2" applyFont="1" applyFill="1" applyAlignment="1">
      <alignment horizontal="center"/>
    </xf>
    <xf numFmtId="1" fontId="4" fillId="0" borderId="0" xfId="2" applyNumberFormat="1" applyFont="1" applyAlignment="1">
      <alignment horizontal="center"/>
    </xf>
    <xf numFmtId="1" fontId="4" fillId="7" borderId="0" xfId="2" applyNumberFormat="1" applyFont="1" applyFill="1" applyAlignment="1">
      <alignment horizontal="center"/>
    </xf>
    <xf numFmtId="1" fontId="4" fillId="8" borderId="0" xfId="2" applyNumberFormat="1" applyFont="1" applyFill="1" applyAlignment="1">
      <alignment horizontal="center"/>
    </xf>
    <xf numFmtId="1" fontId="1" fillId="0" borderId="0" xfId="2" applyNumberFormat="1" applyAlignment="1">
      <alignment horizontal="center"/>
    </xf>
    <xf numFmtId="0" fontId="3" fillId="2" borderId="0" xfId="2" applyFont="1" applyFill="1" applyAlignment="1">
      <alignment horizontal="center"/>
    </xf>
    <xf numFmtId="0" fontId="1" fillId="5" borderId="0" xfId="2" applyFill="1" applyAlignment="1">
      <alignment horizontal="center"/>
    </xf>
    <xf numFmtId="9" fontId="0" fillId="0" borderId="0" xfId="4" applyFont="1" applyAlignment="1">
      <alignment horizontal="center"/>
    </xf>
    <xf numFmtId="9" fontId="4" fillId="0" borderId="0" xfId="4" applyFont="1" applyAlignment="1">
      <alignment horizontal="center"/>
    </xf>
  </cellXfs>
  <cellStyles count="5">
    <cellStyle name="Millares 2" xfId="1" xr:uid="{00000000-0005-0000-0000-000006000000}"/>
    <cellStyle name="Millares 3" xfId="3" xr:uid="{2D6C90CA-2133-4A29-8D5A-7BDE28DB318A}"/>
    <cellStyle name="Normal" xfId="0" builtinId="0"/>
    <cellStyle name="Normal 2" xfId="2" xr:uid="{1DE28035-304B-4779-960D-5C9AD95C88D5}"/>
    <cellStyle name="Porcentaje 2" xfId="4" xr:uid="{DA38D430-72FE-4627-A1AE-7FF5BC0508E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C0C0C0"/>
      <rgbColor rgb="FF8B8B8B"/>
      <rgbColor rgb="FF9999FF"/>
      <rgbColor rgb="FF993366"/>
      <rgbColor rgb="FFFBE3D6"/>
      <rgbColor rgb="FFCAEEFB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1E5F5"/>
      <rgbColor rgb="FFC2F1C8"/>
      <rgbColor rgb="FFFFFF99"/>
      <rgbColor rgb="FFA6CAEC"/>
      <rgbColor rgb="FFFF99CC"/>
      <rgbColor rgb="FFCC99FF"/>
      <rgbColor rgb="FFF2CFEE"/>
      <rgbColor rgb="FF4472C4"/>
      <rgbColor rgb="FF33CCCC"/>
      <rgbColor rgb="FF92D050"/>
      <rgbColor rgb="FFFFCC00"/>
      <rgbColor rgb="FFFF9900"/>
      <rgbColor rgb="FFE97132"/>
      <rgbColor rgb="FF595959"/>
      <rgbColor rgb="FF969696"/>
      <rgbColor rgb="FF002060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2078466215107616E-2"/>
          <c:y val="7.6887916621129343E-2"/>
          <c:w val="0.9259858963074058"/>
          <c:h val="0.5465588584615773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Resumen!$B$8</c:f>
              <c:strCache>
                <c:ptCount val="1"/>
                <c:pt idx="0">
                  <c:v>Llamadas</c:v>
                </c:pt>
              </c:strCache>
            </c:strRef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Flexo" pitchFamily="50" charset="0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Resumen!$C$7:$K$7</c:f>
              <c:strCache>
                <c:ptCount val="9"/>
                <c:pt idx="0">
                  <c:v>Ene'26</c:v>
                </c:pt>
                <c:pt idx="1">
                  <c:v>Feb'26</c:v>
                </c:pt>
                <c:pt idx="2">
                  <c:v>Mar'26</c:v>
                </c:pt>
                <c:pt idx="3">
                  <c:v>Abr'26</c:v>
                </c:pt>
                <c:pt idx="4">
                  <c:v>May'26</c:v>
                </c:pt>
                <c:pt idx="5">
                  <c:v>Jun'26</c:v>
                </c:pt>
                <c:pt idx="6">
                  <c:v>Jul'26</c:v>
                </c:pt>
                <c:pt idx="7">
                  <c:v>Ago'26</c:v>
                </c:pt>
                <c:pt idx="8">
                  <c:v>Set'26</c:v>
                </c:pt>
              </c:strCache>
            </c:strRef>
          </c:cat>
          <c:val>
            <c:numRef>
              <c:f>Resumen!$C$8:$K$8</c:f>
              <c:numCache>
                <c:formatCode>General</c:formatCode>
                <c:ptCount val="9"/>
                <c:pt idx="0">
                  <c:v>836</c:v>
                </c:pt>
                <c:pt idx="1">
                  <c:v>842</c:v>
                </c:pt>
                <c:pt idx="2" formatCode="0">
                  <c:v>852.5</c:v>
                </c:pt>
                <c:pt idx="3" formatCode="0">
                  <c:v>868.5</c:v>
                </c:pt>
                <c:pt idx="4" formatCode="0">
                  <c:v>835.5</c:v>
                </c:pt>
                <c:pt idx="5" formatCode="0">
                  <c:v>828.7</c:v>
                </c:pt>
                <c:pt idx="6" formatCode="0">
                  <c:v>826.09999999999991</c:v>
                </c:pt>
                <c:pt idx="7" formatCode="0">
                  <c:v>835.5</c:v>
                </c:pt>
                <c:pt idx="8" formatCode="0">
                  <c:v>834.81999999999994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A-4B4F-B5E7-60BD1EEFA5F1}"/>
            </c:ext>
          </c:extLst>
        </c:ser>
        <c:ser>
          <c:idx val="1"/>
          <c:order val="1"/>
          <c:tx>
            <c:strRef>
              <c:f>Resumen!$B$9</c:f>
              <c:strCache>
                <c:ptCount val="1"/>
                <c:pt idx="0">
                  <c:v>Chats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Flexo" pitchFamily="50" charset="0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Resumen!$C$7:$K$7</c:f>
              <c:strCache>
                <c:ptCount val="9"/>
                <c:pt idx="0">
                  <c:v>Ene'26</c:v>
                </c:pt>
                <c:pt idx="1">
                  <c:v>Feb'26</c:v>
                </c:pt>
                <c:pt idx="2">
                  <c:v>Mar'26</c:v>
                </c:pt>
                <c:pt idx="3">
                  <c:v>Abr'26</c:v>
                </c:pt>
                <c:pt idx="4">
                  <c:v>May'26</c:v>
                </c:pt>
                <c:pt idx="5">
                  <c:v>Jun'26</c:v>
                </c:pt>
                <c:pt idx="6">
                  <c:v>Jul'26</c:v>
                </c:pt>
                <c:pt idx="7">
                  <c:v>Ago'26</c:v>
                </c:pt>
                <c:pt idx="8">
                  <c:v>Set'26</c:v>
                </c:pt>
              </c:strCache>
            </c:strRef>
          </c:cat>
          <c:val>
            <c:numRef>
              <c:f>Resumen!$C$9:$K$9</c:f>
              <c:numCache>
                <c:formatCode>General</c:formatCode>
                <c:ptCount val="9"/>
                <c:pt idx="0">
                  <c:v>166</c:v>
                </c:pt>
                <c:pt idx="1">
                  <c:v>157</c:v>
                </c:pt>
                <c:pt idx="2">
                  <c:v>158</c:v>
                </c:pt>
                <c:pt idx="3">
                  <c:v>163.5</c:v>
                </c:pt>
                <c:pt idx="4">
                  <c:v>159</c:v>
                </c:pt>
                <c:pt idx="5" formatCode="0">
                  <c:v>181.5</c:v>
                </c:pt>
                <c:pt idx="6" formatCode="0">
                  <c:v>191.5</c:v>
                </c:pt>
                <c:pt idx="7" formatCode="0">
                  <c:v>206.5</c:v>
                </c:pt>
                <c:pt idx="8" formatCode="0">
                  <c:v>233.6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5A-4B4F-B5E7-60BD1EEFA5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411199071"/>
        <c:axId val="1411203871"/>
      </c:barChart>
      <c:lineChart>
        <c:grouping val="stacked"/>
        <c:varyColors val="0"/>
        <c:ser>
          <c:idx val="2"/>
          <c:order val="2"/>
          <c:tx>
            <c:strRef>
              <c:f>Resumen!$B$10</c:f>
              <c:strCache>
                <c:ptCount val="1"/>
                <c:pt idx="0">
                  <c:v>Real Inbound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Flexo" pitchFamily="50" charset="0"/>
                    <a:ea typeface="+mn-ea"/>
                    <a:cs typeface="+mn-cs"/>
                  </a:defRPr>
                </a:pPr>
                <a:endParaRPr lang="es-P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Resumen!$C$2:$K$2</c:f>
              <c:strCache>
                <c:ptCount val="9"/>
                <c:pt idx="0">
                  <c:v>Ene'26</c:v>
                </c:pt>
                <c:pt idx="1">
                  <c:v>Feb'26</c:v>
                </c:pt>
                <c:pt idx="2">
                  <c:v>Mar'26</c:v>
                </c:pt>
                <c:pt idx="3">
                  <c:v>Abr'26</c:v>
                </c:pt>
                <c:pt idx="4">
                  <c:v>May'26</c:v>
                </c:pt>
                <c:pt idx="5">
                  <c:v>Jun'26</c:v>
                </c:pt>
                <c:pt idx="6">
                  <c:v>Jul'26</c:v>
                </c:pt>
                <c:pt idx="7">
                  <c:v>Ago'26</c:v>
                </c:pt>
                <c:pt idx="8">
                  <c:v>Set'26</c:v>
                </c:pt>
              </c:strCache>
            </c:strRef>
          </c:cat>
          <c:val>
            <c:numRef>
              <c:f>Resumen!$C$10:$K$10</c:f>
              <c:numCache>
                <c:formatCode>General</c:formatCode>
                <c:ptCount val="9"/>
                <c:pt idx="0">
                  <c:v>1002</c:v>
                </c:pt>
                <c:pt idx="1">
                  <c:v>999</c:v>
                </c:pt>
                <c:pt idx="2" formatCode="0">
                  <c:v>1010.5</c:v>
                </c:pt>
                <c:pt idx="3" formatCode="0">
                  <c:v>1032</c:v>
                </c:pt>
                <c:pt idx="4" formatCode="0">
                  <c:v>994.5</c:v>
                </c:pt>
                <c:pt idx="5" formatCode="0">
                  <c:v>1010.2</c:v>
                </c:pt>
                <c:pt idx="6" formatCode="0">
                  <c:v>1017.5999999999999</c:v>
                </c:pt>
                <c:pt idx="7" formatCode="0">
                  <c:v>1042</c:v>
                </c:pt>
                <c:pt idx="8" formatCode="0">
                  <c:v>1068.4199999999998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05A-4B4F-B5E7-60BD1EEFA5F1}"/>
            </c:ext>
          </c:extLst>
        </c:ser>
        <c:ser>
          <c:idx val="3"/>
          <c:order val="3"/>
          <c:tx>
            <c:strRef>
              <c:f>Resumen!$B$2</c:f>
              <c:strCache>
                <c:ptCount val="1"/>
                <c:pt idx="0">
                  <c:v>Capacity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Flexo" pitchFamily="50" charset="0"/>
                    <a:ea typeface="+mn-ea"/>
                    <a:cs typeface="+mn-cs"/>
                  </a:defRPr>
                </a:pPr>
                <a:endParaRPr lang="es-P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Resumen!$C$2:$K$2</c:f>
              <c:strCache>
                <c:ptCount val="9"/>
                <c:pt idx="0">
                  <c:v>Ene'26</c:v>
                </c:pt>
                <c:pt idx="1">
                  <c:v>Feb'26</c:v>
                </c:pt>
                <c:pt idx="2">
                  <c:v>Mar'26</c:v>
                </c:pt>
                <c:pt idx="3">
                  <c:v>Abr'26</c:v>
                </c:pt>
                <c:pt idx="4">
                  <c:v>May'26</c:v>
                </c:pt>
                <c:pt idx="5">
                  <c:v>Jun'26</c:v>
                </c:pt>
                <c:pt idx="6">
                  <c:v>Jul'26</c:v>
                </c:pt>
                <c:pt idx="7">
                  <c:v>Ago'26</c:v>
                </c:pt>
                <c:pt idx="8">
                  <c:v>Set'26</c:v>
                </c:pt>
              </c:strCache>
            </c:strRef>
          </c:cat>
          <c:val>
            <c:numRef>
              <c:f>Resumen!$C$5:$K$5</c:f>
              <c:numCache>
                <c:formatCode>General</c:formatCode>
                <c:ptCount val="9"/>
                <c:pt idx="0">
                  <c:v>1021</c:v>
                </c:pt>
                <c:pt idx="1">
                  <c:v>1021</c:v>
                </c:pt>
                <c:pt idx="2">
                  <c:v>1021</c:v>
                </c:pt>
                <c:pt idx="3">
                  <c:v>1021</c:v>
                </c:pt>
                <c:pt idx="4">
                  <c:v>1007</c:v>
                </c:pt>
                <c:pt idx="5" formatCode="0">
                  <c:v>1116</c:v>
                </c:pt>
                <c:pt idx="6">
                  <c:v>1096</c:v>
                </c:pt>
                <c:pt idx="7">
                  <c:v>1026</c:v>
                </c:pt>
                <c:pt idx="8">
                  <c:v>1016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05A-4B4F-B5E7-60BD1EEFA5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1199071"/>
        <c:axId val="1411203871"/>
      </c:lineChart>
      <c:catAx>
        <c:axId val="1411199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Flexo" pitchFamily="50" charset="0"/>
                <a:ea typeface="+mn-ea"/>
                <a:cs typeface="+mn-cs"/>
              </a:defRPr>
            </a:pPr>
            <a:endParaRPr lang="es-PE"/>
          </a:p>
        </c:txPr>
        <c:crossAx val="1411203871"/>
        <c:crosses val="autoZero"/>
        <c:auto val="1"/>
        <c:lblAlgn val="ctr"/>
        <c:lblOffset val="100"/>
        <c:noMultiLvlLbl val="0"/>
      </c:catAx>
      <c:valAx>
        <c:axId val="1411203871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411199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Flexo" pitchFamily="50" charset="0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900">
          <a:latin typeface="Flexo" pitchFamily="50" charset="0"/>
        </a:defRPr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2039370078740157E-2"/>
          <c:y val="0.16176470588235295"/>
          <c:w val="0.90434329221996268"/>
          <c:h val="0.5000486336266790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Resumen!$B$38</c:f>
              <c:strCache>
                <c:ptCount val="1"/>
                <c:pt idx="0">
                  <c:v>Llamadas</c:v>
                </c:pt>
              </c:strCache>
            </c:strRef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Flexo" pitchFamily="50" charset="0"/>
                    <a:ea typeface="+mn-ea"/>
                    <a:cs typeface="+mn-cs"/>
                  </a:defRPr>
                </a:pPr>
                <a:endParaRPr lang="es-PE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Resumen!$C$37:$K$37</c:f>
              <c:strCache>
                <c:ptCount val="9"/>
                <c:pt idx="0">
                  <c:v>Ene'26</c:v>
                </c:pt>
                <c:pt idx="1">
                  <c:v>Feb'26</c:v>
                </c:pt>
                <c:pt idx="2">
                  <c:v>Mar'26</c:v>
                </c:pt>
                <c:pt idx="3">
                  <c:v>Abr'26</c:v>
                </c:pt>
                <c:pt idx="4">
                  <c:v>May'26</c:v>
                </c:pt>
                <c:pt idx="5">
                  <c:v>Jun'26</c:v>
                </c:pt>
                <c:pt idx="6">
                  <c:v>Jul'26</c:v>
                </c:pt>
                <c:pt idx="7">
                  <c:v>Ago'26</c:v>
                </c:pt>
                <c:pt idx="8">
                  <c:v>Set'26</c:v>
                </c:pt>
              </c:strCache>
            </c:strRef>
          </c:cat>
          <c:val>
            <c:numRef>
              <c:f>Resumen!$C$38:$K$38</c:f>
              <c:numCache>
                <c:formatCode>0%</c:formatCode>
                <c:ptCount val="9"/>
                <c:pt idx="0">
                  <c:v>0.98352941176470587</c:v>
                </c:pt>
                <c:pt idx="1">
                  <c:v>0.99058823529411766</c:v>
                </c:pt>
                <c:pt idx="2">
                  <c:v>1.0029411764705882</c:v>
                </c:pt>
                <c:pt idx="3">
                  <c:v>1.0217647058823529</c:v>
                </c:pt>
                <c:pt idx="4">
                  <c:v>0.99940191387559807</c:v>
                </c:pt>
                <c:pt idx="5">
                  <c:v>0.93217097862767162</c:v>
                </c:pt>
                <c:pt idx="6">
                  <c:v>0.97074030552291413</c:v>
                </c:pt>
                <c:pt idx="7">
                  <c:v>1.065688775510204</c:v>
                </c:pt>
                <c:pt idx="8">
                  <c:v>1.0970039421813402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3A-42EE-BC13-5BABE85A65E2}"/>
            </c:ext>
          </c:extLst>
        </c:ser>
        <c:ser>
          <c:idx val="1"/>
          <c:order val="1"/>
          <c:tx>
            <c:strRef>
              <c:f>Resumen!$B$39</c:f>
              <c:strCache>
                <c:ptCount val="1"/>
                <c:pt idx="0">
                  <c:v>Chats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Flexo" pitchFamily="50" charset="0"/>
                    <a:ea typeface="+mn-ea"/>
                    <a:cs typeface="+mn-cs"/>
                  </a:defRPr>
                </a:pPr>
                <a:endParaRPr lang="es-PE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Resumen!$C$37:$K$37</c:f>
              <c:strCache>
                <c:ptCount val="9"/>
                <c:pt idx="0">
                  <c:v>Ene'26</c:v>
                </c:pt>
                <c:pt idx="1">
                  <c:v>Feb'26</c:v>
                </c:pt>
                <c:pt idx="2">
                  <c:v>Mar'26</c:v>
                </c:pt>
                <c:pt idx="3">
                  <c:v>Abr'26</c:v>
                </c:pt>
                <c:pt idx="4">
                  <c:v>May'26</c:v>
                </c:pt>
                <c:pt idx="5">
                  <c:v>Jun'26</c:v>
                </c:pt>
                <c:pt idx="6">
                  <c:v>Jul'26</c:v>
                </c:pt>
                <c:pt idx="7">
                  <c:v>Ago'26</c:v>
                </c:pt>
                <c:pt idx="8">
                  <c:v>Set'26</c:v>
                </c:pt>
              </c:strCache>
            </c:strRef>
          </c:cat>
          <c:val>
            <c:numRef>
              <c:f>Resumen!$C$39:$K$39</c:f>
              <c:numCache>
                <c:formatCode>0%</c:formatCode>
                <c:ptCount val="9"/>
                <c:pt idx="0">
                  <c:v>0.9707602339181286</c:v>
                </c:pt>
                <c:pt idx="1">
                  <c:v>0.91812865497076024</c:v>
                </c:pt>
                <c:pt idx="2">
                  <c:v>0.92397660818713445</c:v>
                </c:pt>
                <c:pt idx="3">
                  <c:v>0.95614035087719296</c:v>
                </c:pt>
                <c:pt idx="4">
                  <c:v>0.92982456140350878</c:v>
                </c:pt>
                <c:pt idx="5">
                  <c:v>0.79955947136563876</c:v>
                </c:pt>
                <c:pt idx="6">
                  <c:v>0.78163265306122454</c:v>
                </c:pt>
                <c:pt idx="7">
                  <c:v>0.85330578512396693</c:v>
                </c:pt>
                <c:pt idx="8">
                  <c:v>0.91607843137254896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3A-42EE-BC13-5BABE85A65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58047791"/>
        <c:axId val="758048751"/>
      </c:barChart>
      <c:lineChart>
        <c:grouping val="standard"/>
        <c:varyColors val="0"/>
        <c:ser>
          <c:idx val="2"/>
          <c:order val="2"/>
          <c:tx>
            <c:strRef>
              <c:f>Resumen!$B$40</c:f>
              <c:strCache>
                <c:ptCount val="1"/>
                <c:pt idx="0">
                  <c:v>Cobertura Inbound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Flexo" pitchFamily="50" charset="0"/>
                    <a:ea typeface="+mn-ea"/>
                    <a:cs typeface="+mn-cs"/>
                  </a:defRPr>
                </a:pPr>
                <a:endParaRPr lang="es-P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Resumen!$C$37:$K$37</c:f>
              <c:strCache>
                <c:ptCount val="9"/>
                <c:pt idx="0">
                  <c:v>Ene'26</c:v>
                </c:pt>
                <c:pt idx="1">
                  <c:v>Feb'26</c:v>
                </c:pt>
                <c:pt idx="2">
                  <c:v>Mar'26</c:v>
                </c:pt>
                <c:pt idx="3">
                  <c:v>Abr'26</c:v>
                </c:pt>
                <c:pt idx="4">
                  <c:v>May'26</c:v>
                </c:pt>
                <c:pt idx="5">
                  <c:v>Jun'26</c:v>
                </c:pt>
                <c:pt idx="6">
                  <c:v>Jul'26</c:v>
                </c:pt>
                <c:pt idx="7">
                  <c:v>Ago'26</c:v>
                </c:pt>
                <c:pt idx="8">
                  <c:v>Set'26</c:v>
                </c:pt>
              </c:strCache>
            </c:strRef>
          </c:cat>
          <c:val>
            <c:numRef>
              <c:f>Resumen!$C$40:$K$40</c:f>
              <c:numCache>
                <c:formatCode>0%</c:formatCode>
                <c:ptCount val="9"/>
                <c:pt idx="0">
                  <c:v>0.9813907933398629</c:v>
                </c:pt>
                <c:pt idx="1">
                  <c:v>0.97845249755142016</c:v>
                </c:pt>
                <c:pt idx="2">
                  <c:v>0.98971596474045054</c:v>
                </c:pt>
                <c:pt idx="3">
                  <c:v>1.0107737512242898</c:v>
                </c:pt>
                <c:pt idx="4">
                  <c:v>0.98758689175769609</c:v>
                </c:pt>
                <c:pt idx="5">
                  <c:v>0.90519713261648749</c:v>
                </c:pt>
                <c:pt idx="6">
                  <c:v>0.92846715328467144</c:v>
                </c:pt>
                <c:pt idx="7">
                  <c:v>1.0155945419103314</c:v>
                </c:pt>
                <c:pt idx="8">
                  <c:v>1.0515944881889763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3A-42EE-BC13-5BABE85A65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925327"/>
        <c:axId val="97923887"/>
      </c:lineChart>
      <c:catAx>
        <c:axId val="758047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Flexo" pitchFamily="50" charset="0"/>
                <a:ea typeface="+mn-ea"/>
                <a:cs typeface="+mn-cs"/>
              </a:defRPr>
            </a:pPr>
            <a:endParaRPr lang="es-PE"/>
          </a:p>
        </c:txPr>
        <c:crossAx val="758048751"/>
        <c:crosses val="autoZero"/>
        <c:auto val="1"/>
        <c:lblAlgn val="ctr"/>
        <c:lblOffset val="100"/>
        <c:noMultiLvlLbl val="0"/>
      </c:catAx>
      <c:valAx>
        <c:axId val="758048751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758047791"/>
        <c:crosses val="autoZero"/>
        <c:crossBetween val="between"/>
      </c:valAx>
      <c:valAx>
        <c:axId val="97923887"/>
        <c:scaling>
          <c:orientation val="minMax"/>
        </c:scaling>
        <c:delete val="1"/>
        <c:axPos val="r"/>
        <c:numFmt formatCode="0%" sourceLinked="1"/>
        <c:majorTickMark val="out"/>
        <c:minorTickMark val="none"/>
        <c:tickLblPos val="nextTo"/>
        <c:crossAx val="97925327"/>
        <c:crosses val="max"/>
        <c:crossBetween val="between"/>
      </c:valAx>
      <c:catAx>
        <c:axId val="9792532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792388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Flexo" pitchFamily="50" charset="0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900">
          <a:latin typeface="Flexo" pitchFamily="50" charset="0"/>
        </a:defRPr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ocumenttasks/documenttask1.xml><?xml version="1.0" encoding="utf-8"?>
<Tasks xmlns="http://schemas.microsoft.com/office/tasks/2019/documenttasks">
  <Task id="{04F5FE2E-393D-49E3-80B0-DAD9EBC51DD5}">
    <Anchor>
      <Comment id="{20F321B4-0925-4AD5-BE34-0FC919BB3FA4}"/>
    </Anchor>
    <History>
      <Event time="2026-06-03T01:48:38.82" id="{786420A7-7A03-4469-8AD5-02FDA3480434}">
        <Attribution userId="S::mdiazr@bcp.com.pe::3aebe713-b1f2-4ade-8e1b-991e8e943b3e" userName="Mariella Diaz Ramirez" userProvider="AD"/>
        <Anchor>
          <Comment id="{20F321B4-0925-4AD5-BE34-0FC919BB3FA4}"/>
        </Anchor>
        <Create/>
      </Event>
      <Event time="2026-06-03T01:48:38.82" id="{480A3625-AB61-46EC-92A7-B297D6622E96}">
        <Attribution userId="S::mdiazr@bcp.com.pe::3aebe713-b1f2-4ade-8e1b-991e8e943b3e" userName="Mariella Diaz Ramirez" userProvider="AD"/>
        <Anchor>
          <Comment id="{20F321B4-0925-4AD5-BE34-0FC919BB3FA4}"/>
        </Anchor>
        <Assign userId="S::reynasiccha@bcp.com.pe::11e71cb7-f82d-4d9f-b630-ee72de77f61a" userName="Reyna Siccha" userProvider="AD"/>
      </Event>
      <Event time="2026-06-03T01:48:38.82" id="{2499510F-9CF9-4A70-9465-042A080348E0}">
        <Attribution userId="S::mdiazr@bcp.com.pe::3aebe713-b1f2-4ade-8e1b-991e8e943b3e" userName="Mariella Diaz Ramirez" userProvider="AD"/>
        <Anchor>
          <Comment id="{20F321B4-0925-4AD5-BE34-0FC919BB3FA4}"/>
        </Anchor>
        <SetTitle title="@Reyna Siccha dime quienes han sido estas 22 salidas de mayo (diferencia entre inicio y fin mayo)"/>
      </Event>
    </History>
  </Task>
</Task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402840</xdr:colOff>
      <xdr:row>14</xdr:row>
      <xdr:rowOff>170674</xdr:rowOff>
    </xdr:from>
    <xdr:to>
      <xdr:col>18</xdr:col>
      <xdr:colOff>338417</xdr:colOff>
      <xdr:row>24</xdr:row>
      <xdr:rowOff>118322</xdr:rowOff>
    </xdr:to>
    <xdr:graphicFrame macro="">
      <xdr:nvGraphicFramePr>
        <xdr:cNvPr id="2" name="Gráfico 3">
          <a:extLst>
            <a:ext uri="{FF2B5EF4-FFF2-40B4-BE49-F238E27FC236}">
              <a16:creationId xmlns:a16="http://schemas.microsoft.com/office/drawing/2014/main" id="{A740CD34-1BAD-456A-8B42-F861A853B1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384954</xdr:colOff>
      <xdr:row>0</xdr:row>
      <xdr:rowOff>168088</xdr:rowOff>
    </xdr:from>
    <xdr:to>
      <xdr:col>18</xdr:col>
      <xdr:colOff>356379</xdr:colOff>
      <xdr:row>13</xdr:row>
      <xdr:rowOff>135217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4FD6C6E-BC21-4DD3-9E05-D9B40CA7AA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redicorponline.sharepoint.com/sites/pilotosccv/Documentos%20compartidos/REPORTES/SeguimientoCapacityInbound.xlsx" TargetMode="External"/><Relationship Id="rId1" Type="http://schemas.openxmlformats.org/officeDocument/2006/relationships/externalLinkPath" Target="https://credicorponline.sharepoint.com/sites/pilotosccv/Documentos%20compartidos/REPORTES/SeguimientoCapacityInboun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umen"/>
      <sheetName val="Asesor CapReal"/>
      <sheetName val="CUADRE"/>
      <sheetName val="Jun"/>
      <sheetName val="Capacity"/>
      <sheetName val="ASESORES (2)"/>
    </sheetNames>
    <sheetDataSet>
      <sheetData sheetId="0">
        <row r="2">
          <cell r="B2" t="str">
            <v>Capacity</v>
          </cell>
          <cell r="C2" t="str">
            <v>Ene'26</v>
          </cell>
          <cell r="D2" t="str">
            <v>Feb'26</v>
          </cell>
          <cell r="E2" t="str">
            <v>Mar'26</v>
          </cell>
          <cell r="F2" t="str">
            <v>Abr'26</v>
          </cell>
          <cell r="G2" t="str">
            <v>May'26</v>
          </cell>
          <cell r="H2" t="str">
            <v>Jun'26</v>
          </cell>
          <cell r="I2" t="str">
            <v>Jul'26</v>
          </cell>
          <cell r="J2" t="str">
            <v>Ago'26</v>
          </cell>
          <cell r="K2" t="str">
            <v>Set'26</v>
          </cell>
        </row>
        <row r="5">
          <cell r="C5">
            <v>1021</v>
          </cell>
          <cell r="D5">
            <v>1021</v>
          </cell>
          <cell r="E5">
            <v>1021</v>
          </cell>
          <cell r="F5">
            <v>1021</v>
          </cell>
          <cell r="G5">
            <v>1007</v>
          </cell>
          <cell r="H5">
            <v>1116</v>
          </cell>
          <cell r="I5">
            <v>1096</v>
          </cell>
          <cell r="J5">
            <v>1026</v>
          </cell>
          <cell r="K5">
            <v>1016</v>
          </cell>
        </row>
        <row r="7">
          <cell r="C7" t="str">
            <v>Ene'26</v>
          </cell>
          <cell r="D7" t="str">
            <v>Feb'26</v>
          </cell>
          <cell r="E7" t="str">
            <v>Mar'26</v>
          </cell>
          <cell r="F7" t="str">
            <v>Abr'26</v>
          </cell>
          <cell r="G7" t="str">
            <v>May'26</v>
          </cell>
          <cell r="H7" t="str">
            <v>Jun'26</v>
          </cell>
          <cell r="I7" t="str">
            <v>Jul'26</v>
          </cell>
          <cell r="J7" t="str">
            <v>Ago'26</v>
          </cell>
          <cell r="K7" t="str">
            <v>Set'26</v>
          </cell>
        </row>
        <row r="8">
          <cell r="B8" t="str">
            <v>Llamadas</v>
          </cell>
          <cell r="C8">
            <v>836</v>
          </cell>
          <cell r="D8">
            <v>842</v>
          </cell>
          <cell r="E8">
            <v>852.5</v>
          </cell>
          <cell r="F8">
            <v>868.5</v>
          </cell>
          <cell r="G8">
            <v>835.5</v>
          </cell>
          <cell r="H8">
            <v>828.7</v>
          </cell>
          <cell r="I8">
            <v>826.09999999999991</v>
          </cell>
          <cell r="J8">
            <v>835.5</v>
          </cell>
          <cell r="K8">
            <v>834.81999999999994</v>
          </cell>
        </row>
        <row r="9">
          <cell r="B9" t="str">
            <v>Chats</v>
          </cell>
          <cell r="C9">
            <v>166</v>
          </cell>
          <cell r="D9">
            <v>157</v>
          </cell>
          <cell r="E9">
            <v>158</v>
          </cell>
          <cell r="F9">
            <v>163.5</v>
          </cell>
          <cell r="G9">
            <v>159</v>
          </cell>
          <cell r="H9">
            <v>181.5</v>
          </cell>
          <cell r="I9">
            <v>191.5</v>
          </cell>
          <cell r="J9">
            <v>206.5</v>
          </cell>
          <cell r="K9">
            <v>233.6</v>
          </cell>
        </row>
        <row r="10">
          <cell r="B10" t="str">
            <v>Real Inbound</v>
          </cell>
          <cell r="C10">
            <v>1002</v>
          </cell>
          <cell r="D10">
            <v>999</v>
          </cell>
          <cell r="E10">
            <v>1010.5</v>
          </cell>
          <cell r="F10">
            <v>1032</v>
          </cell>
          <cell r="G10">
            <v>994.5</v>
          </cell>
          <cell r="H10">
            <v>1010.2</v>
          </cell>
          <cell r="I10">
            <v>1017.5999999999999</v>
          </cell>
          <cell r="J10">
            <v>1042</v>
          </cell>
          <cell r="K10">
            <v>1068.4199999999998</v>
          </cell>
        </row>
        <row r="37">
          <cell r="C37" t="str">
            <v>Ene'26</v>
          </cell>
          <cell r="D37" t="str">
            <v>Feb'26</v>
          </cell>
          <cell r="E37" t="str">
            <v>Mar'26</v>
          </cell>
          <cell r="F37" t="str">
            <v>Abr'26</v>
          </cell>
          <cell r="G37" t="str">
            <v>May'26</v>
          </cell>
          <cell r="H37" t="str">
            <v>Jun'26</v>
          </cell>
          <cell r="I37" t="str">
            <v>Jul'26</v>
          </cell>
          <cell r="J37" t="str">
            <v>Ago'26</v>
          </cell>
          <cell r="K37" t="str">
            <v>Set'26</v>
          </cell>
        </row>
        <row r="38">
          <cell r="B38" t="str">
            <v>Llamadas</v>
          </cell>
          <cell r="C38">
            <v>0.98352941176470587</v>
          </cell>
          <cell r="D38">
            <v>0.99058823529411766</v>
          </cell>
          <cell r="E38">
            <v>1.0029411764705882</v>
          </cell>
          <cell r="F38">
            <v>1.0217647058823529</v>
          </cell>
          <cell r="G38">
            <v>0.99940191387559807</v>
          </cell>
          <cell r="H38">
            <v>0.93217097862767162</v>
          </cell>
          <cell r="I38">
            <v>0.97074030552291413</v>
          </cell>
          <cell r="J38">
            <v>1.065688775510204</v>
          </cell>
          <cell r="K38">
            <v>1.0970039421813402</v>
          </cell>
        </row>
        <row r="39">
          <cell r="B39" t="str">
            <v>Chats</v>
          </cell>
          <cell r="C39">
            <v>0.9707602339181286</v>
          </cell>
          <cell r="D39">
            <v>0.91812865497076024</v>
          </cell>
          <cell r="E39">
            <v>0.92397660818713445</v>
          </cell>
          <cell r="F39">
            <v>0.95614035087719296</v>
          </cell>
          <cell r="G39">
            <v>0.92982456140350878</v>
          </cell>
          <cell r="H39">
            <v>0.79955947136563876</v>
          </cell>
          <cell r="I39">
            <v>0.78163265306122454</v>
          </cell>
          <cell r="J39">
            <v>0.85330578512396693</v>
          </cell>
          <cell r="K39">
            <v>0.91607843137254896</v>
          </cell>
        </row>
        <row r="40">
          <cell r="B40" t="str">
            <v>Cobertura Inbound</v>
          </cell>
          <cell r="C40">
            <v>0.9813907933398629</v>
          </cell>
          <cell r="D40">
            <v>0.97845249755142016</v>
          </cell>
          <cell r="E40">
            <v>0.98971596474045054</v>
          </cell>
          <cell r="F40">
            <v>1.0107737512242898</v>
          </cell>
          <cell r="G40">
            <v>0.98758689175769609</v>
          </cell>
          <cell r="H40">
            <v>0.90519713261648749</v>
          </cell>
          <cell r="I40">
            <v>0.92846715328467144</v>
          </cell>
          <cell r="J40">
            <v>1.0155945419103314</v>
          </cell>
          <cell r="K40">
            <v>1.0515944881889763</v>
          </cell>
        </row>
      </sheetData>
      <sheetData sheetId="1">
        <row r="15">
          <cell r="E15">
            <v>824</v>
          </cell>
          <cell r="I15">
            <v>837</v>
          </cell>
        </row>
        <row r="48">
          <cell r="I48">
            <v>184</v>
          </cell>
        </row>
      </sheetData>
      <sheetData sheetId="2"/>
      <sheetData sheetId="3"/>
      <sheetData sheetId="4">
        <row r="7">
          <cell r="C7">
            <v>850</v>
          </cell>
          <cell r="G7">
            <v>850</v>
          </cell>
          <cell r="K7">
            <v>850</v>
          </cell>
          <cell r="O7">
            <v>850</v>
          </cell>
          <cell r="S7">
            <v>836</v>
          </cell>
          <cell r="W7">
            <v>889</v>
          </cell>
          <cell r="AA7">
            <v>851</v>
          </cell>
          <cell r="AE7">
            <v>784</v>
          </cell>
          <cell r="AI7">
            <v>761</v>
          </cell>
          <cell r="AM7">
            <v>732</v>
          </cell>
        </row>
        <row r="39">
          <cell r="C39">
            <v>171</v>
          </cell>
          <cell r="G39">
            <v>171</v>
          </cell>
          <cell r="K39">
            <v>171</v>
          </cell>
          <cell r="O39">
            <v>171</v>
          </cell>
          <cell r="S39">
            <v>171</v>
          </cell>
          <cell r="W39">
            <v>227</v>
          </cell>
          <cell r="AA39">
            <v>245</v>
          </cell>
          <cell r="AE39">
            <v>242</v>
          </cell>
          <cell r="AI39">
            <v>255</v>
          </cell>
          <cell r="AM39">
            <v>240</v>
          </cell>
        </row>
      </sheetData>
      <sheetData sheetId="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Reyna Siccha" id="{FD64CF15-81B0-44D2-8112-7FBAC20E23A8}" userId="reynasiccha@bcp.com.pe" providerId="PeoplePicker"/>
  <person displayName="Mariella Diaz Ramirez" id="{9EA87F5D-2C45-44F8-A98C-9D62FB1F3370}" userId="S::mdiazr@bcp.com.pe::3aebe713-b1f2-4ade-8e1b-991e8e943b3e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23" dT="2026-06-03T01:48:38.82" personId="{9EA87F5D-2C45-44F8-A98C-9D62FB1F3370}" id="{20F321B4-0925-4AD5-BE34-0FC919BB3FA4}">
    <text>@Reyna Siccha dime quienes han sido estas 22 salidas de mayo (diferencia entre inicio y fin mayo)</text>
    <mentions>
      <mention mentionpersonId="{FD64CF15-81B0-44D2-8112-7FBAC20E23A8}" mentionId="{6F311696-D0F8-4687-8D2E-E5F2F96D8ECB}" startIndex="0" length="13"/>
    </mentions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documenttask" Target="../documenttasks/documenttask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2DCAB-A63D-440E-B08B-63D9DEA34098}">
  <dimension ref="B1:P52"/>
  <sheetViews>
    <sheetView tabSelected="1" topLeftCell="A7" zoomScale="68" zoomScaleNormal="120" workbookViewId="0">
      <selection activeCell="I45" sqref="I45"/>
    </sheetView>
  </sheetViews>
  <sheetFormatPr baseColWidth="10" defaultColWidth="11.44140625" defaultRowHeight="14.4" outlineLevelRow="1" x14ac:dyDescent="0.3"/>
  <cols>
    <col min="1" max="1" width="2.109375" style="1" customWidth="1"/>
    <col min="2" max="2" width="12.109375" style="1" customWidth="1"/>
    <col min="3" max="7" width="8.88671875" style="2" customWidth="1"/>
    <col min="8" max="12" width="9.6640625" style="2" customWidth="1"/>
    <col min="13" max="14" width="11.44140625" style="2"/>
    <col min="15" max="16384" width="11.44140625" style="1"/>
  </cols>
  <sheetData>
    <row r="1" spans="2:14" x14ac:dyDescent="0.3">
      <c r="K1" s="3" t="s">
        <v>0</v>
      </c>
    </row>
    <row r="2" spans="2:14" s="4" customFormat="1" x14ac:dyDescent="0.3">
      <c r="B2" s="4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3"/>
      <c r="N2" s="3"/>
    </row>
    <row r="3" spans="2:14" x14ac:dyDescent="0.3">
      <c r="B3" s="1" t="s">
        <v>12</v>
      </c>
      <c r="C3" s="2">
        <f>+[1]Capacity!C7</f>
        <v>850</v>
      </c>
      <c r="D3" s="2">
        <f>+[1]Capacity!G7</f>
        <v>850</v>
      </c>
      <c r="E3" s="2">
        <f>+[1]Capacity!K7</f>
        <v>850</v>
      </c>
      <c r="F3" s="2">
        <f>+[1]Capacity!O7</f>
        <v>850</v>
      </c>
      <c r="G3" s="5">
        <f>+[1]Capacity!S7</f>
        <v>836</v>
      </c>
      <c r="H3" s="6">
        <f>+[1]Capacity!W7</f>
        <v>889</v>
      </c>
      <c r="I3" s="7">
        <f>+[1]Capacity!AA7</f>
        <v>851</v>
      </c>
      <c r="J3" s="7">
        <f>+[1]Capacity!AE7</f>
        <v>784</v>
      </c>
      <c r="K3" s="7">
        <f>+[1]Capacity!AI7</f>
        <v>761</v>
      </c>
      <c r="L3" s="7">
        <f>+[1]Capacity!AM7</f>
        <v>732</v>
      </c>
    </row>
    <row r="4" spans="2:14" x14ac:dyDescent="0.3">
      <c r="B4" s="1" t="s">
        <v>13</v>
      </c>
      <c r="C4" s="2">
        <f>+[1]Capacity!C39</f>
        <v>171</v>
      </c>
      <c r="D4" s="2">
        <f>+[1]Capacity!G39</f>
        <v>171</v>
      </c>
      <c r="E4" s="2">
        <f>+[1]Capacity!K39</f>
        <v>171</v>
      </c>
      <c r="F4" s="2">
        <f>+[1]Capacity!O39</f>
        <v>171</v>
      </c>
      <c r="G4" s="5">
        <f>+[1]Capacity!S39</f>
        <v>171</v>
      </c>
      <c r="H4" s="5">
        <f>+[1]Capacity!W39</f>
        <v>227</v>
      </c>
      <c r="I4" s="7">
        <f>+[1]Capacity!AA39</f>
        <v>245</v>
      </c>
      <c r="J4" s="7">
        <f>+[1]Capacity!AE39</f>
        <v>242</v>
      </c>
      <c r="K4" s="7">
        <f>+[1]Capacity!AI39</f>
        <v>255</v>
      </c>
      <c r="L4" s="7">
        <f>+[1]Capacity!AM39</f>
        <v>240</v>
      </c>
    </row>
    <row r="5" spans="2:14" s="4" customFormat="1" x14ac:dyDescent="0.3">
      <c r="B5" s="4" t="s">
        <v>14</v>
      </c>
      <c r="C5" s="3">
        <f t="shared" ref="C5:F5" si="0">SUM(C3:C4)</f>
        <v>1021</v>
      </c>
      <c r="D5" s="3">
        <f t="shared" si="0"/>
        <v>1021</v>
      </c>
      <c r="E5" s="3">
        <f t="shared" si="0"/>
        <v>1021</v>
      </c>
      <c r="F5" s="3">
        <f t="shared" si="0"/>
        <v>1021</v>
      </c>
      <c r="G5" s="8">
        <f>SUM(G3:G4)</f>
        <v>1007</v>
      </c>
      <c r="H5" s="9">
        <f t="shared" ref="H5:L5" si="1">SUM(H3:H4)</f>
        <v>1116</v>
      </c>
      <c r="I5" s="10">
        <f t="shared" si="1"/>
        <v>1096</v>
      </c>
      <c r="J5" s="10">
        <f t="shared" si="1"/>
        <v>1026</v>
      </c>
      <c r="K5" s="10">
        <f t="shared" si="1"/>
        <v>1016</v>
      </c>
      <c r="L5" s="10">
        <f t="shared" si="1"/>
        <v>972</v>
      </c>
      <c r="M5" s="3"/>
      <c r="N5" s="3"/>
    </row>
    <row r="7" spans="2:14" x14ac:dyDescent="0.3">
      <c r="B7" s="4" t="s">
        <v>15</v>
      </c>
      <c r="C7" s="3" t="s">
        <v>2</v>
      </c>
      <c r="D7" s="3" t="s">
        <v>3</v>
      </c>
      <c r="E7" s="3" t="s">
        <v>4</v>
      </c>
      <c r="F7" s="3" t="s">
        <v>5</v>
      </c>
      <c r="G7" s="3" t="s">
        <v>6</v>
      </c>
      <c r="H7" s="3" t="s">
        <v>7</v>
      </c>
      <c r="I7" s="3" t="s">
        <v>8</v>
      </c>
      <c r="J7" s="3" t="s">
        <v>9</v>
      </c>
      <c r="K7" s="3" t="s">
        <v>10</v>
      </c>
      <c r="L7" s="3" t="s">
        <v>11</v>
      </c>
    </row>
    <row r="8" spans="2:14" x14ac:dyDescent="0.3">
      <c r="B8" s="1" t="s">
        <v>12</v>
      </c>
      <c r="C8" s="11">
        <f>+AVERAGE(C13,C18)</f>
        <v>836</v>
      </c>
      <c r="D8" s="11">
        <f t="shared" ref="D8:H9" si="2">+AVERAGE(D13,D18)</f>
        <v>842</v>
      </c>
      <c r="E8" s="12">
        <f t="shared" si="2"/>
        <v>852.5</v>
      </c>
      <c r="F8" s="12">
        <f t="shared" si="2"/>
        <v>868.5</v>
      </c>
      <c r="G8" s="12">
        <f>+AVERAGE(G13,G18)</f>
        <v>835.5</v>
      </c>
      <c r="H8" s="13">
        <f>+AVERAGE(H13,H18)</f>
        <v>828.7</v>
      </c>
      <c r="I8" s="13">
        <f t="shared" ref="I8:K9" si="3">+AVERAGE(I13,I18)</f>
        <v>826.09999999999991</v>
      </c>
      <c r="J8" s="13">
        <f t="shared" si="3"/>
        <v>835.5</v>
      </c>
      <c r="K8" s="13">
        <f t="shared" si="3"/>
        <v>834.81999999999994</v>
      </c>
      <c r="L8" s="13">
        <f>+AVERAGE(L13,L18)</f>
        <v>834.28399999999988</v>
      </c>
    </row>
    <row r="9" spans="2:14" x14ac:dyDescent="0.3">
      <c r="B9" s="1" t="s">
        <v>13</v>
      </c>
      <c r="C9" s="11">
        <f>+AVERAGE(C14,C19)</f>
        <v>166</v>
      </c>
      <c r="D9" s="11">
        <f t="shared" si="2"/>
        <v>157</v>
      </c>
      <c r="E9" s="11">
        <f t="shared" si="2"/>
        <v>158</v>
      </c>
      <c r="F9" s="11">
        <f t="shared" si="2"/>
        <v>163.5</v>
      </c>
      <c r="G9" s="11">
        <f>+AVERAGE(G14,G19)</f>
        <v>159</v>
      </c>
      <c r="H9" s="13">
        <f t="shared" si="2"/>
        <v>181.5</v>
      </c>
      <c r="I9" s="13">
        <f t="shared" si="3"/>
        <v>191.5</v>
      </c>
      <c r="J9" s="13">
        <f t="shared" si="3"/>
        <v>206.5</v>
      </c>
      <c r="K9" s="13">
        <f t="shared" si="3"/>
        <v>233.6</v>
      </c>
      <c r="L9" s="13">
        <f>+AVERAGE(L14,L19)</f>
        <v>260.22000000000003</v>
      </c>
    </row>
    <row r="10" spans="2:14" s="4" customFormat="1" x14ac:dyDescent="0.3">
      <c r="B10" s="4" t="s">
        <v>16</v>
      </c>
      <c r="C10" s="14">
        <f t="shared" ref="C10:F10" si="4">SUM(C8:C9)</f>
        <v>1002</v>
      </c>
      <c r="D10" s="14">
        <f t="shared" si="4"/>
        <v>999</v>
      </c>
      <c r="E10" s="15">
        <f t="shared" si="4"/>
        <v>1010.5</v>
      </c>
      <c r="F10" s="15">
        <f t="shared" si="4"/>
        <v>1032</v>
      </c>
      <c r="G10" s="16">
        <f>SUM(G8:G9)</f>
        <v>994.5</v>
      </c>
      <c r="H10" s="17">
        <f>SUM(H8:H9)</f>
        <v>1010.2</v>
      </c>
      <c r="I10" s="17">
        <f t="shared" ref="I10:K10" si="5">SUM(I8:I9)</f>
        <v>1017.5999999999999</v>
      </c>
      <c r="J10" s="17">
        <f t="shared" si="5"/>
        <v>1042</v>
      </c>
      <c r="K10" s="17">
        <f t="shared" si="5"/>
        <v>1068.4199999999998</v>
      </c>
      <c r="L10" s="17">
        <f>SUM(L8:L9)</f>
        <v>1094.5039999999999</v>
      </c>
      <c r="M10" s="3"/>
      <c r="N10" s="3"/>
    </row>
    <row r="12" spans="2:14" outlineLevel="1" x14ac:dyDescent="0.3">
      <c r="B12" s="4" t="s">
        <v>17</v>
      </c>
      <c r="C12" s="3" t="s">
        <v>2</v>
      </c>
      <c r="D12" s="3" t="s">
        <v>3</v>
      </c>
      <c r="E12" s="3" t="s">
        <v>4</v>
      </c>
      <c r="F12" s="3" t="s">
        <v>5</v>
      </c>
      <c r="G12" s="3" t="s">
        <v>6</v>
      </c>
      <c r="H12" s="3" t="s">
        <v>7</v>
      </c>
      <c r="I12" s="3" t="s">
        <v>8</v>
      </c>
      <c r="J12" s="3" t="s">
        <v>9</v>
      </c>
      <c r="K12" s="3" t="s">
        <v>10</v>
      </c>
      <c r="L12" s="3" t="s">
        <v>11</v>
      </c>
    </row>
    <row r="13" spans="2:14" outlineLevel="1" x14ac:dyDescent="0.3">
      <c r="B13" s="1" t="s">
        <v>12</v>
      </c>
      <c r="C13" s="11">
        <v>842</v>
      </c>
      <c r="D13" s="11">
        <v>852</v>
      </c>
      <c r="E13" s="11">
        <v>856</v>
      </c>
      <c r="F13" s="11">
        <v>879</v>
      </c>
      <c r="G13" s="11">
        <v>847</v>
      </c>
      <c r="H13" s="18">
        <f>+'[1]Asesor CapReal'!I15</f>
        <v>837</v>
      </c>
      <c r="I13" s="13">
        <f>+H18+I33-18+12</f>
        <v>834.4</v>
      </c>
      <c r="J13" s="13">
        <f t="shared" ref="J13:L14" si="6">+I18+J33</f>
        <v>843.8</v>
      </c>
      <c r="K13" s="13">
        <f t="shared" si="6"/>
        <v>844.19999999999993</v>
      </c>
      <c r="L13" s="13">
        <f t="shared" si="6"/>
        <v>843.43999999999994</v>
      </c>
    </row>
    <row r="14" spans="2:14" outlineLevel="1" x14ac:dyDescent="0.3">
      <c r="B14" s="1" t="s">
        <v>13</v>
      </c>
      <c r="C14" s="11">
        <v>170</v>
      </c>
      <c r="D14" s="11">
        <v>160</v>
      </c>
      <c r="E14" s="11">
        <v>159</v>
      </c>
      <c r="F14" s="11">
        <v>168</v>
      </c>
      <c r="G14" s="11">
        <v>159</v>
      </c>
      <c r="H14" s="18">
        <f>+'[1]Asesor CapReal'!I48</f>
        <v>184</v>
      </c>
      <c r="I14" s="13">
        <f>+H19+I34</f>
        <v>194</v>
      </c>
      <c r="J14" s="13">
        <f t="shared" si="6"/>
        <v>209</v>
      </c>
      <c r="K14" s="13">
        <f t="shared" si="6"/>
        <v>236</v>
      </c>
      <c r="L14" s="13">
        <f t="shared" si="6"/>
        <v>262.2</v>
      </c>
    </row>
    <row r="15" spans="2:14" s="4" customFormat="1" outlineLevel="1" x14ac:dyDescent="0.3">
      <c r="B15" s="4" t="s">
        <v>14</v>
      </c>
      <c r="C15" s="14">
        <f t="shared" ref="C15:E15" si="7">SUM(C13:C14)</f>
        <v>1012</v>
      </c>
      <c r="D15" s="14">
        <f t="shared" si="7"/>
        <v>1012</v>
      </c>
      <c r="E15" s="14">
        <f t="shared" si="7"/>
        <v>1015</v>
      </c>
      <c r="F15" s="14">
        <f>SUM(F13:F14)</f>
        <v>1047</v>
      </c>
      <c r="G15" s="14">
        <f>SUM(G13:G14)</f>
        <v>1006</v>
      </c>
      <c r="H15" s="9">
        <f>SUM(H13:H14)</f>
        <v>1021</v>
      </c>
      <c r="I15" s="17">
        <f t="shared" ref="I15:K15" si="8">SUM(I13:I14)</f>
        <v>1028.4000000000001</v>
      </c>
      <c r="J15" s="17">
        <f t="shared" si="8"/>
        <v>1052.8</v>
      </c>
      <c r="K15" s="17">
        <f t="shared" si="8"/>
        <v>1080.1999999999998</v>
      </c>
      <c r="L15" s="17">
        <f>SUM(L13:L14)</f>
        <v>1105.6399999999999</v>
      </c>
      <c r="M15" s="3"/>
      <c r="N15" s="3"/>
    </row>
    <row r="16" spans="2:14" outlineLevel="1" x14ac:dyDescent="0.3"/>
    <row r="17" spans="2:16" outlineLevel="1" x14ac:dyDescent="0.3">
      <c r="B17" s="4" t="s">
        <v>18</v>
      </c>
      <c r="C17" s="3" t="s">
        <v>2</v>
      </c>
      <c r="D17" s="3" t="s">
        <v>3</v>
      </c>
      <c r="E17" s="3" t="s">
        <v>4</v>
      </c>
      <c r="F17" s="3" t="s">
        <v>5</v>
      </c>
      <c r="G17" s="3" t="s">
        <v>6</v>
      </c>
      <c r="H17" s="3" t="s">
        <v>7</v>
      </c>
      <c r="I17" s="3" t="s">
        <v>8</v>
      </c>
      <c r="J17" s="3" t="s">
        <v>9</v>
      </c>
      <c r="K17" s="3" t="s">
        <v>10</v>
      </c>
      <c r="L17" s="3" t="s">
        <v>11</v>
      </c>
      <c r="N17" s="4"/>
      <c r="O17" s="3"/>
      <c r="P17" s="3"/>
    </row>
    <row r="18" spans="2:16" outlineLevel="1" x14ac:dyDescent="0.3">
      <c r="B18" s="1" t="s">
        <v>12</v>
      </c>
      <c r="C18" s="11">
        <v>830</v>
      </c>
      <c r="D18" s="11">
        <v>832</v>
      </c>
      <c r="E18" s="11">
        <v>849</v>
      </c>
      <c r="F18" s="11">
        <v>858</v>
      </c>
      <c r="G18" s="5">
        <f>+'[1]Asesor CapReal'!E15</f>
        <v>824</v>
      </c>
      <c r="H18" s="19">
        <f>+H13+H23</f>
        <v>820.4</v>
      </c>
      <c r="I18" s="19">
        <f>+I13+I23</f>
        <v>817.8</v>
      </c>
      <c r="J18" s="19">
        <f t="shared" ref="J18:K19" si="9">+J13+J23</f>
        <v>827.19999999999993</v>
      </c>
      <c r="K18" s="19">
        <f t="shared" si="9"/>
        <v>825.43999999999994</v>
      </c>
      <c r="L18" s="19">
        <f>+L13+L23</f>
        <v>825.12799999999993</v>
      </c>
      <c r="N18" s="1"/>
      <c r="O18" s="13"/>
      <c r="P18" s="20"/>
    </row>
    <row r="19" spans="2:16" outlineLevel="1" x14ac:dyDescent="0.3">
      <c r="B19" s="1" t="s">
        <v>13</v>
      </c>
      <c r="C19" s="11">
        <v>162</v>
      </c>
      <c r="D19" s="11">
        <v>154</v>
      </c>
      <c r="E19" s="11">
        <v>157</v>
      </c>
      <c r="F19" s="11">
        <v>159</v>
      </c>
      <c r="G19" s="5">
        <v>159</v>
      </c>
      <c r="H19" s="19">
        <f>+H14+H24</f>
        <v>179</v>
      </c>
      <c r="I19" s="19">
        <f>+I14+I24</f>
        <v>189</v>
      </c>
      <c r="J19" s="19">
        <f t="shared" si="9"/>
        <v>204</v>
      </c>
      <c r="K19" s="19">
        <f t="shared" si="9"/>
        <v>231.2</v>
      </c>
      <c r="L19" s="19">
        <f>+L14+L24</f>
        <v>258.24</v>
      </c>
      <c r="N19" s="1"/>
      <c r="O19" s="13"/>
      <c r="P19" s="7"/>
    </row>
    <row r="20" spans="2:16" s="4" customFormat="1" outlineLevel="1" x14ac:dyDescent="0.3">
      <c r="B20" s="4" t="s">
        <v>14</v>
      </c>
      <c r="C20" s="14">
        <f t="shared" ref="C20:L20" si="10">SUM(C18:C19)</f>
        <v>992</v>
      </c>
      <c r="D20" s="14">
        <f t="shared" si="10"/>
        <v>986</v>
      </c>
      <c r="E20" s="14">
        <f t="shared" si="10"/>
        <v>1006</v>
      </c>
      <c r="F20" s="14">
        <f t="shared" si="10"/>
        <v>1017</v>
      </c>
      <c r="G20" s="8">
        <f t="shared" si="10"/>
        <v>983</v>
      </c>
      <c r="H20" s="21">
        <f t="shared" si="10"/>
        <v>999.4</v>
      </c>
      <c r="I20" s="21">
        <f t="shared" si="10"/>
        <v>1006.8</v>
      </c>
      <c r="J20" s="21">
        <f t="shared" si="10"/>
        <v>1031.1999999999998</v>
      </c>
      <c r="K20" s="21">
        <f t="shared" si="10"/>
        <v>1056.6399999999999</v>
      </c>
      <c r="L20" s="21">
        <f t="shared" si="10"/>
        <v>1083.3679999999999</v>
      </c>
      <c r="M20" s="3"/>
      <c r="O20" s="17"/>
      <c r="P20" s="17"/>
    </row>
    <row r="21" spans="2:16" outlineLevel="1" x14ac:dyDescent="0.3"/>
    <row r="22" spans="2:16" outlineLevel="1" x14ac:dyDescent="0.3">
      <c r="B22" s="4" t="s">
        <v>19</v>
      </c>
      <c r="C22" s="3" t="s">
        <v>2</v>
      </c>
      <c r="D22" s="3" t="s">
        <v>3</v>
      </c>
      <c r="E22" s="3" t="s">
        <v>4</v>
      </c>
      <c r="F22" s="3" t="s">
        <v>5</v>
      </c>
      <c r="G22" s="3" t="s">
        <v>6</v>
      </c>
      <c r="H22" s="3" t="s">
        <v>7</v>
      </c>
      <c r="I22" s="3" t="s">
        <v>8</v>
      </c>
      <c r="J22" s="3" t="s">
        <v>9</v>
      </c>
      <c r="K22" s="3" t="s">
        <v>10</v>
      </c>
      <c r="L22" s="3" t="s">
        <v>11</v>
      </c>
    </row>
    <row r="23" spans="2:16" outlineLevel="1" x14ac:dyDescent="0.3">
      <c r="B23" s="1" t="s">
        <v>12</v>
      </c>
      <c r="C23" s="11">
        <f>+C18-C13</f>
        <v>-12</v>
      </c>
      <c r="D23" s="22">
        <f t="shared" ref="D23:F24" si="11">+D18-D13</f>
        <v>-20</v>
      </c>
      <c r="E23" s="11">
        <f t="shared" si="11"/>
        <v>-7</v>
      </c>
      <c r="F23" s="22">
        <f t="shared" si="11"/>
        <v>-21</v>
      </c>
      <c r="G23" s="14">
        <f>+G18-G13</f>
        <v>-23</v>
      </c>
      <c r="H23" s="23">
        <f>+AVERAGE(C23:G23)</f>
        <v>-16.600000000000001</v>
      </c>
      <c r="I23" s="23">
        <f>+AVERAGE(C23:H23)</f>
        <v>-16.599999999999998</v>
      </c>
      <c r="J23" s="23">
        <f>+AVERAGE(C23:I23)</f>
        <v>-16.599999999999998</v>
      </c>
      <c r="K23" s="23">
        <f t="shared" ref="K23:K24" si="12">+AVERAGE(F23:J23)</f>
        <v>-18.759999999999998</v>
      </c>
      <c r="L23" s="23">
        <f>+AVERAGE(G23:K23)</f>
        <v>-18.312000000000001</v>
      </c>
    </row>
    <row r="24" spans="2:16" outlineLevel="1" x14ac:dyDescent="0.3">
      <c r="B24" s="1" t="s">
        <v>13</v>
      </c>
      <c r="C24" s="11">
        <f>+C19-C14</f>
        <v>-8</v>
      </c>
      <c r="D24" s="11">
        <f t="shared" si="11"/>
        <v>-6</v>
      </c>
      <c r="E24" s="11">
        <f t="shared" si="11"/>
        <v>-2</v>
      </c>
      <c r="F24" s="11">
        <f>+F19-F14</f>
        <v>-9</v>
      </c>
      <c r="G24" s="11">
        <f>+G19-G14</f>
        <v>0</v>
      </c>
      <c r="H24" s="23">
        <f>+AVERAGE(C24:G24)</f>
        <v>-5</v>
      </c>
      <c r="I24" s="23">
        <f>+AVERAGE(C24:H24)</f>
        <v>-5</v>
      </c>
      <c r="J24" s="23">
        <f>+AVERAGE(C24:I24)</f>
        <v>-5</v>
      </c>
      <c r="K24" s="23">
        <f t="shared" si="12"/>
        <v>-4.8</v>
      </c>
      <c r="L24" s="23">
        <f>+AVERAGE(G24:K24)</f>
        <v>-3.96</v>
      </c>
    </row>
    <row r="25" spans="2:16" s="4" customFormat="1" outlineLevel="1" x14ac:dyDescent="0.3">
      <c r="B25" s="4" t="s">
        <v>14</v>
      </c>
      <c r="C25" s="14">
        <f t="shared" ref="C25:G25" si="13">SUM(C23:C24)</f>
        <v>-20</v>
      </c>
      <c r="D25" s="14">
        <f t="shared" si="13"/>
        <v>-26</v>
      </c>
      <c r="E25" s="14">
        <f t="shared" si="13"/>
        <v>-9</v>
      </c>
      <c r="F25" s="14">
        <f t="shared" si="13"/>
        <v>-30</v>
      </c>
      <c r="G25" s="14">
        <f t="shared" si="13"/>
        <v>-23</v>
      </c>
      <c r="H25" s="24">
        <f>SUM(H23:H24)</f>
        <v>-21.6</v>
      </c>
      <c r="I25" s="24">
        <f t="shared" ref="I25:K25" si="14">SUM(I23:I24)</f>
        <v>-21.599999999999998</v>
      </c>
      <c r="J25" s="24">
        <f t="shared" si="14"/>
        <v>-21.599999999999998</v>
      </c>
      <c r="K25" s="24">
        <f t="shared" si="14"/>
        <v>-23.56</v>
      </c>
      <c r="L25" s="24">
        <f>SUM(L23:L24)</f>
        <v>-22.272000000000002</v>
      </c>
      <c r="M25" s="3"/>
      <c r="N25" s="3"/>
    </row>
    <row r="26" spans="2:16" outlineLevel="1" x14ac:dyDescent="0.3"/>
    <row r="27" spans="2:16" x14ac:dyDescent="0.3">
      <c r="B27" s="4" t="s">
        <v>20</v>
      </c>
      <c r="C27" s="3" t="s">
        <v>2</v>
      </c>
      <c r="D27" s="3" t="s">
        <v>3</v>
      </c>
      <c r="E27" s="3" t="s">
        <v>4</v>
      </c>
      <c r="F27" s="3" t="s">
        <v>5</v>
      </c>
      <c r="G27" s="3" t="s">
        <v>6</v>
      </c>
      <c r="H27" s="3" t="s">
        <v>7</v>
      </c>
      <c r="I27" s="3" t="s">
        <v>8</v>
      </c>
      <c r="J27" s="3" t="s">
        <v>9</v>
      </c>
      <c r="K27" s="3" t="s">
        <v>10</v>
      </c>
      <c r="L27" s="3" t="s">
        <v>11</v>
      </c>
    </row>
    <row r="28" spans="2:16" x14ac:dyDescent="0.3">
      <c r="B28" s="1" t="s">
        <v>12</v>
      </c>
      <c r="C28" s="25">
        <v>44</v>
      </c>
      <c r="D28" s="25">
        <v>48</v>
      </c>
      <c r="E28" s="25">
        <v>33</v>
      </c>
      <c r="F28" s="26">
        <v>23</v>
      </c>
      <c r="G28" s="25">
        <v>25</v>
      </c>
      <c r="H28" s="25">
        <v>30</v>
      </c>
      <c r="I28" s="27">
        <v>20</v>
      </c>
      <c r="J28" s="28">
        <v>20</v>
      </c>
    </row>
    <row r="29" spans="2:16" x14ac:dyDescent="0.3">
      <c r="B29" s="1" t="s">
        <v>13</v>
      </c>
      <c r="C29" s="25">
        <v>11</v>
      </c>
      <c r="D29" s="25">
        <v>0</v>
      </c>
      <c r="E29" s="25">
        <v>16</v>
      </c>
      <c r="F29" s="26">
        <v>30</v>
      </c>
      <c r="G29" s="29">
        <f>13</f>
        <v>13</v>
      </c>
      <c r="H29" s="25">
        <v>22</v>
      </c>
      <c r="I29" s="27">
        <v>35</v>
      </c>
      <c r="J29" s="28">
        <v>35</v>
      </c>
    </row>
    <row r="30" spans="2:16" x14ac:dyDescent="0.3">
      <c r="B30" s="4" t="s">
        <v>14</v>
      </c>
      <c r="C30" s="3">
        <f t="shared" ref="C30:D30" si="15">SUM(C28:C29)</f>
        <v>55</v>
      </c>
      <c r="D30" s="3">
        <f t="shared" si="15"/>
        <v>48</v>
      </c>
      <c r="E30" s="3">
        <f>SUM(E28:E29)</f>
        <v>49</v>
      </c>
      <c r="F30" s="30">
        <f>SUM(F28:F29)</f>
        <v>53</v>
      </c>
      <c r="G30" s="30">
        <f t="shared" ref="G30:I30" si="16">SUM(G28:G29)</f>
        <v>38</v>
      </c>
      <c r="H30" s="30">
        <f t="shared" si="16"/>
        <v>52</v>
      </c>
      <c r="I30" s="31">
        <f t="shared" si="16"/>
        <v>55</v>
      </c>
      <c r="J30" s="32">
        <f>SUM(J28:J29)</f>
        <v>55</v>
      </c>
    </row>
    <row r="31" spans="2:16" x14ac:dyDescent="0.3">
      <c r="I31" s="33"/>
    </row>
    <row r="32" spans="2:16" hidden="1" outlineLevel="1" x14ac:dyDescent="0.3">
      <c r="B32" s="4" t="s">
        <v>21</v>
      </c>
      <c r="C32" s="3" t="s">
        <v>2</v>
      </c>
      <c r="D32" s="3" t="s">
        <v>3</v>
      </c>
      <c r="E32" s="3" t="s">
        <v>4</v>
      </c>
      <c r="F32" s="3" t="s">
        <v>5</v>
      </c>
      <c r="G32" s="3" t="s">
        <v>6</v>
      </c>
      <c r="H32" s="3" t="s">
        <v>7</v>
      </c>
      <c r="I32" s="3" t="s">
        <v>8</v>
      </c>
      <c r="J32" s="3" t="s">
        <v>9</v>
      </c>
      <c r="K32" s="3" t="s">
        <v>10</v>
      </c>
      <c r="L32" s="3" t="s">
        <v>11</v>
      </c>
    </row>
    <row r="33" spans="2:14" hidden="1" outlineLevel="1" x14ac:dyDescent="0.3">
      <c r="B33" s="1" t="s">
        <v>12</v>
      </c>
      <c r="C33" s="25">
        <v>36</v>
      </c>
      <c r="D33" s="25">
        <v>32</v>
      </c>
      <c r="E33" s="25">
        <f>+ROUND(C28*90%,0)</f>
        <v>40</v>
      </c>
      <c r="F33" s="25">
        <f t="shared" ref="F33:J34" si="17">+ROUND(D28*90%,0)</f>
        <v>43</v>
      </c>
      <c r="G33" s="25">
        <f>+ROUND(E28*90%,0)</f>
        <v>30</v>
      </c>
      <c r="H33" s="34">
        <v>19</v>
      </c>
      <c r="I33" s="35">
        <f>+ROUND(G28*80%,0)</f>
        <v>20</v>
      </c>
      <c r="J33" s="35">
        <f>+ROUND(H28*85%,0)</f>
        <v>26</v>
      </c>
      <c r="K33" s="27">
        <f>+ROUND(I28*85%,0)</f>
        <v>17</v>
      </c>
      <c r="L33" s="28">
        <f>+ROUND(J28*90%,0)</f>
        <v>18</v>
      </c>
    </row>
    <row r="34" spans="2:14" hidden="1" outlineLevel="1" x14ac:dyDescent="0.3">
      <c r="B34" s="1" t="s">
        <v>13</v>
      </c>
      <c r="C34" s="25"/>
      <c r="D34" s="25"/>
      <c r="E34" s="25">
        <f>+ROUND(C29*90%,0)</f>
        <v>10</v>
      </c>
      <c r="F34" s="25">
        <f t="shared" si="17"/>
        <v>0</v>
      </c>
      <c r="G34" s="25">
        <f t="shared" si="17"/>
        <v>14</v>
      </c>
      <c r="H34" s="34">
        <v>30</v>
      </c>
      <c r="I34" s="35">
        <f>+ROUND(G29*90%,0)+3</f>
        <v>15</v>
      </c>
      <c r="J34" s="35">
        <f t="shared" si="17"/>
        <v>20</v>
      </c>
      <c r="K34" s="27">
        <f>+ROUND(I29*90%,0)</f>
        <v>32</v>
      </c>
      <c r="L34" s="28">
        <v>31</v>
      </c>
    </row>
    <row r="35" spans="2:14" hidden="1" outlineLevel="1" x14ac:dyDescent="0.3">
      <c r="B35" s="4" t="s">
        <v>14</v>
      </c>
      <c r="C35" s="3">
        <f t="shared" ref="C35:D35" si="18">SUM(C33:C34)</f>
        <v>36</v>
      </c>
      <c r="D35" s="3">
        <f t="shared" si="18"/>
        <v>32</v>
      </c>
      <c r="E35" s="3">
        <f>SUM(E33:E34)</f>
        <v>50</v>
      </c>
      <c r="F35" s="30">
        <f>SUM(F33:F34)</f>
        <v>43</v>
      </c>
      <c r="G35" s="30">
        <f t="shared" ref="G35:K35" si="19">SUM(G33:G34)</f>
        <v>44</v>
      </c>
      <c r="H35" s="30">
        <f t="shared" si="19"/>
        <v>49</v>
      </c>
      <c r="I35" s="24">
        <f t="shared" si="19"/>
        <v>35</v>
      </c>
      <c r="J35" s="24">
        <f t="shared" si="19"/>
        <v>46</v>
      </c>
      <c r="K35" s="31">
        <f t="shared" si="19"/>
        <v>49</v>
      </c>
      <c r="L35" s="32">
        <f>SUM(L33:L34)</f>
        <v>49</v>
      </c>
    </row>
    <row r="36" spans="2:14" collapsed="1" x14ac:dyDescent="0.3"/>
    <row r="37" spans="2:14" x14ac:dyDescent="0.3">
      <c r="B37" s="4" t="s">
        <v>22</v>
      </c>
      <c r="C37" s="3" t="s">
        <v>2</v>
      </c>
      <c r="D37" s="3" t="s">
        <v>3</v>
      </c>
      <c r="E37" s="3" t="s">
        <v>4</v>
      </c>
      <c r="F37" s="3" t="s">
        <v>5</v>
      </c>
      <c r="G37" s="3" t="s">
        <v>6</v>
      </c>
      <c r="H37" s="3" t="s">
        <v>7</v>
      </c>
      <c r="I37" s="3" t="s">
        <v>8</v>
      </c>
      <c r="J37" s="3" t="s">
        <v>9</v>
      </c>
      <c r="K37" s="3" t="s">
        <v>10</v>
      </c>
      <c r="L37" s="3" t="s">
        <v>11</v>
      </c>
    </row>
    <row r="38" spans="2:14" x14ac:dyDescent="0.3">
      <c r="B38" s="1" t="s">
        <v>12</v>
      </c>
      <c r="C38" s="36">
        <f>+C8/C3</f>
        <v>0.98352941176470587</v>
      </c>
      <c r="D38" s="36">
        <f t="shared" ref="D38:K40" si="20">+D8/D3</f>
        <v>0.99058823529411766</v>
      </c>
      <c r="E38" s="36">
        <f t="shared" si="20"/>
        <v>1.0029411764705882</v>
      </c>
      <c r="F38" s="36">
        <f t="shared" si="20"/>
        <v>1.0217647058823529</v>
      </c>
      <c r="G38" s="36">
        <f>+G8/G3</f>
        <v>0.99940191387559807</v>
      </c>
      <c r="H38" s="36">
        <f>+H8/H3</f>
        <v>0.93217097862767162</v>
      </c>
      <c r="I38" s="36">
        <f t="shared" si="20"/>
        <v>0.97074030552291413</v>
      </c>
      <c r="J38" s="36">
        <f t="shared" si="20"/>
        <v>1.065688775510204</v>
      </c>
      <c r="K38" s="36">
        <f t="shared" si="20"/>
        <v>1.0970039421813402</v>
      </c>
      <c r="L38" s="36">
        <f>+L8/L3</f>
        <v>1.1397322404371584</v>
      </c>
    </row>
    <row r="39" spans="2:14" x14ac:dyDescent="0.3">
      <c r="B39" s="1" t="s">
        <v>13</v>
      </c>
      <c r="C39" s="36">
        <f>+C9/C4</f>
        <v>0.9707602339181286</v>
      </c>
      <c r="D39" s="36">
        <f t="shared" si="20"/>
        <v>0.91812865497076024</v>
      </c>
      <c r="E39" s="36">
        <f t="shared" si="20"/>
        <v>0.92397660818713445</v>
      </c>
      <c r="F39" s="36">
        <f t="shared" si="20"/>
        <v>0.95614035087719296</v>
      </c>
      <c r="G39" s="36">
        <f t="shared" si="20"/>
        <v>0.92982456140350878</v>
      </c>
      <c r="H39" s="36">
        <f>+H9/H4</f>
        <v>0.79955947136563876</v>
      </c>
      <c r="I39" s="36">
        <f t="shared" si="20"/>
        <v>0.78163265306122454</v>
      </c>
      <c r="J39" s="36">
        <f t="shared" si="20"/>
        <v>0.85330578512396693</v>
      </c>
      <c r="K39" s="36">
        <f t="shared" si="20"/>
        <v>0.91607843137254896</v>
      </c>
      <c r="L39" s="36">
        <f>+L9/L4</f>
        <v>1.0842500000000002</v>
      </c>
    </row>
    <row r="40" spans="2:14" s="4" customFormat="1" x14ac:dyDescent="0.3">
      <c r="B40" s="4" t="s">
        <v>23</v>
      </c>
      <c r="C40" s="37">
        <f>+C10/C5</f>
        <v>0.9813907933398629</v>
      </c>
      <c r="D40" s="37">
        <f t="shared" si="20"/>
        <v>0.97845249755142016</v>
      </c>
      <c r="E40" s="37">
        <f t="shared" si="20"/>
        <v>0.98971596474045054</v>
      </c>
      <c r="F40" s="37">
        <f t="shared" si="20"/>
        <v>1.0107737512242898</v>
      </c>
      <c r="G40" s="37">
        <f t="shared" si="20"/>
        <v>0.98758689175769609</v>
      </c>
      <c r="H40" s="37">
        <f t="shared" si="20"/>
        <v>0.90519713261648749</v>
      </c>
      <c r="I40" s="37">
        <f t="shared" si="20"/>
        <v>0.92846715328467144</v>
      </c>
      <c r="J40" s="37">
        <f t="shared" si="20"/>
        <v>1.0155945419103314</v>
      </c>
      <c r="K40" s="37">
        <f t="shared" si="20"/>
        <v>1.0515944881889763</v>
      </c>
      <c r="L40" s="37">
        <f>+L10/L5</f>
        <v>1.1260329218106995</v>
      </c>
      <c r="M40" s="3"/>
      <c r="N40" s="3"/>
    </row>
    <row r="42" spans="2:14" x14ac:dyDescent="0.3">
      <c r="J42" s="2" t="s">
        <v>24</v>
      </c>
    </row>
    <row r="43" spans="2:14" x14ac:dyDescent="0.3">
      <c r="H43" s="2" t="s">
        <v>25</v>
      </c>
      <c r="I43" s="2" t="s">
        <v>26</v>
      </c>
      <c r="J43" s="2" t="s">
        <v>27</v>
      </c>
      <c r="K43" s="2" t="s">
        <v>28</v>
      </c>
    </row>
    <row r="44" spans="2:14" x14ac:dyDescent="0.3">
      <c r="H44" s="2" t="s">
        <v>29</v>
      </c>
      <c r="I44" s="33">
        <f>+G28*90%</f>
        <v>22.5</v>
      </c>
      <c r="J44" s="2">
        <f>+H28*90%</f>
        <v>27</v>
      </c>
      <c r="K44" s="2">
        <f>+I28*90%</f>
        <v>18</v>
      </c>
    </row>
    <row r="45" spans="2:14" x14ac:dyDescent="0.3">
      <c r="H45" s="2" t="s">
        <v>30</v>
      </c>
      <c r="I45" s="33">
        <f>+F28*85%</f>
        <v>19.55</v>
      </c>
      <c r="J45" s="33">
        <f>+I44*90%</f>
        <v>20.25</v>
      </c>
      <c r="K45" s="33">
        <f>+J44*90%</f>
        <v>24.3</v>
      </c>
    </row>
    <row r="46" spans="2:14" x14ac:dyDescent="0.3">
      <c r="H46" s="2" t="s">
        <v>31</v>
      </c>
      <c r="I46" s="33">
        <f>+E28*85%</f>
        <v>28.05</v>
      </c>
      <c r="J46" s="33">
        <f>+I45*90%</f>
        <v>17.595000000000002</v>
      </c>
      <c r="K46" s="33">
        <f>+J45*90%</f>
        <v>18.225000000000001</v>
      </c>
    </row>
    <row r="48" spans="2:14" x14ac:dyDescent="0.3">
      <c r="H48" s="2" t="s">
        <v>32</v>
      </c>
      <c r="I48" s="2" t="s">
        <v>26</v>
      </c>
      <c r="J48" s="2" t="s">
        <v>27</v>
      </c>
      <c r="K48" s="2" t="s">
        <v>28</v>
      </c>
    </row>
    <row r="49" spans="8:11" x14ac:dyDescent="0.3">
      <c r="H49" s="2" t="s">
        <v>29</v>
      </c>
      <c r="I49" s="33">
        <v>2</v>
      </c>
      <c r="J49" s="2">
        <v>2</v>
      </c>
      <c r="K49" s="2">
        <v>1</v>
      </c>
    </row>
    <row r="50" spans="8:11" x14ac:dyDescent="0.3">
      <c r="H50" s="2" t="s">
        <v>30</v>
      </c>
      <c r="I50" s="33">
        <v>1</v>
      </c>
      <c r="J50" s="33">
        <v>1</v>
      </c>
      <c r="K50" s="33">
        <v>1</v>
      </c>
    </row>
    <row r="51" spans="8:11" x14ac:dyDescent="0.3">
      <c r="H51" s="2" t="s">
        <v>31</v>
      </c>
      <c r="I51" s="33">
        <v>2</v>
      </c>
      <c r="J51" s="33">
        <v>1</v>
      </c>
      <c r="K51" s="33">
        <v>1</v>
      </c>
    </row>
    <row r="52" spans="8:11" x14ac:dyDescent="0.3">
      <c r="I52" s="3">
        <f>SUM(I49:I51)</f>
        <v>5</v>
      </c>
      <c r="J52" s="30">
        <f>SUM(J49:J51)</f>
        <v>4</v>
      </c>
      <c r="K52" s="3">
        <f>SUM(K49:K51)</f>
        <v>3</v>
      </c>
    </row>
  </sheetData>
  <pageMargins left="0.7" right="0.7" top="0.75" bottom="0.75" header="0.3" footer="0.3"/>
  <headerFooter>
    <oddFooter>&amp;C_x000D_&amp;1#&amp;"Aptos"&amp;8&amp;K0000FF Datos elaborados por BCP para uso Interno</oddFooter>
  </headerFooter>
  <drawing r:id="rId1"/>
  <legacyDrawing r:id="rId2"/>
</worksheet>
</file>

<file path=docMetadata/LabelInfo.xml><?xml version="1.0" encoding="utf-8"?>
<clbl:labelList xmlns:clbl="http://schemas.microsoft.com/office/2020/mipLabelMetadata">
  <clbl:label id="{c15ead3b-a842-409e-8059-3e3468c48585}" enabled="1" method="Standard" siteId="{5d93ebcc-f769-4380-8b7e-289fc972da1b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Reyna Siccha</dc:creator>
  <dc:description/>
  <cp:lastModifiedBy>Reyna Siccha</cp:lastModifiedBy>
  <cp:revision>1</cp:revision>
  <dcterms:created xsi:type="dcterms:W3CDTF">2026-06-08T20:46:37Z</dcterms:created>
  <dcterms:modified xsi:type="dcterms:W3CDTF">2026-06-09T22:15:53Z</dcterms:modified>
  <dc:language>en-US</dc:language>
</cp:coreProperties>
</file>