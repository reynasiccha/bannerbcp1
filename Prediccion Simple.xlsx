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redic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<sst xmlns="http://schemas.openxmlformats.org/spreadsheetml/2006/main" count="52" uniqueCount="30">
  <si>
    <t xml:space="preserve">REGISTRO DE INGRESOS Y EGRESOS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</si>
  <si>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</si>
  <si>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</si>
  <si>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</si>
  <si>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</si>
  <si>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</si>
  <si>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</si>
  <si>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</si>
  <si>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</si>
  <si>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</si>
  <si>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</si>
  <si>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</si>
  <si>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</si>
  <si>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</si>
  <si>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Ing</t>
  </si>
  <si>
    <t xml:space="preserve">Egr</t>
  </si>
  <si>
    <t xml:space="preserve">← Rellena los meses con datos reales. Agrega filas nuevas para años adicionales (copia el formato).</t>
  </si>
  <si>
    <t xml:space="preserve">PREDICTOR DE INGRESOS Y EGRESOS</t>
  </si>
  <si>
    <t xml:space="preserve">Ingresa el año y mes que quieres predecir. Los resultados se calculan con regresión lineal sobre la data histórica.</t>
  </si>
  <si>
    <t xml:space="preserve">Año a predecir</t>
  </si>
  <si>
    <t xml:space="preserve">Ej: 2027</t>
  </si>
  <si>
    <t xml:space="preserve">Mes a predecir</t>
  </si>
  <si>
    <t xml:space="preserve">Número: 1=ENE … 12=DIC</t>
  </si>
  <si>
    <t xml:space="preserve">PREDICCIÓN</t>
  </si>
  <si>
    <t xml:space="preserve">Mes seleccionado</t>
  </si>
  <si>
    <t xml:space="preserve">Ingresos predichos</t>
  </si>
  <si>
    <t xml:space="preserve">(aux)</t>
  </si>
  <si>
    <t xml:space="preserve">Egresos predichos</t>
  </si>
  <si>
    <t xml:space="preserve">Neto predicho</t>
  </si>
  <si>
    <t xml:space="preserve">⚠  Precisión mayor con más datos reales en la hoja Data. La predicción mejora al agregar meses y años.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</si>
</sst>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1"/>
      <color rgb="FF0D47A1"/>
      <name val="Arial"/>
      <family val="0"/>
      <charset val="1"/>
    </font>
    <font>
      <sz val="11"/>
      <color rgb="FFB71C1C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527A0"/>
      <name val="Arial"/>
      <family val="0"/>
      <charset val="1"/>
    </font>
    <font>
      <b val="true"/>
      <sz val="12"/>
      <color rgb="FF0000CD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37474F"/>
      <name val="Arial"/>
      <family val="0"/>
      <charset val="1"/>
    </font>
    <font>
      <b val="true"/>
      <sz val="13"/>
      <color rgb="FF37474F"/>
      <name val="Arial"/>
      <family val="0"/>
      <charset val="1"/>
    </font>
    <font>
      <b val="true"/>
      <sz val="13"/>
      <color rgb="FF0D47A1"/>
      <name val="Arial"/>
      <family val="0"/>
      <charset val="1"/>
    </font>
    <font>
      <b val="true"/>
      <sz val="13"/>
      <color rgb="FFB71C1C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i val="true"/>
      <sz val="9"/>
      <color rgb="FFBF360C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263238"/>
        <bgColor rgb="FF37474F"/>
      </patternFill>
    </fill>
    <fill>
      <patternFill patternType="solid">
        <fgColor rgb="FFE3F2FD"/>
        <bgColor rgb="FFECEFF1"/>
      </patternFill>
    </fill>
    <fill>
      <patternFill patternType="solid">
        <fgColor rgb="FFFFEBEE"/>
        <bgColor rgb="FFF3E5F5"/>
      </patternFill>
    </fill>
    <fill>
      <patternFill patternType="solid">
        <fgColor rgb="FFFF8F00"/>
        <bgColor rgb="FFFF6600"/>
      </patternFill>
    </fill>
    <fill>
      <patternFill patternType="solid">
        <fgColor rgb="FF4527A0"/>
        <bgColor rgb="FF37474F"/>
      </patternFill>
    </fill>
    <fill>
      <patternFill patternType="solid">
        <fgColor rgb="FFF3E5F5"/>
        <bgColor rgb="FFE8EAF6"/>
      </patternFill>
    </fill>
    <fill>
      <patternFill patternType="solid">
        <fgColor rgb="FFFFFDE7"/>
        <bgColor rgb="FFFFF8E1"/>
      </patternFill>
    </fill>
    <fill>
      <patternFill patternType="solid">
        <fgColor rgb="FFFAFAFA"/>
        <bgColor rgb="FFFFFFFF"/>
      </patternFill>
    </fill>
    <fill>
      <patternFill patternType="solid">
        <fgColor rgb="FFE8EAF6"/>
        <bgColor rgb="FFECEFF1"/>
      </patternFill>
    </fill>
    <fill>
      <patternFill patternType="solid">
        <fgColor rgb="FFF5F5F5"/>
        <bgColor rgb="FFFAFAFA"/>
      </patternFill>
    </fill>
    <fill>
      <patternFill patternType="solid">
        <fgColor rgb="FFECEFF1"/>
        <bgColor rgb="FFE8EAF6"/>
      </patternFill>
    </fill>
    <fill>
      <patternFill patternType="solid">
        <fgColor rgb="FFE8F5E9"/>
        <bgColor rgb="FFECEFF1"/>
      </patternFill>
    </fill>
    <fill>
      <patternFill patternType="solid">
        <fgColor rgb="FFFFF8E1"/>
        <bgColor rgb="FFFFFD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B71C1C"/>
      <rgbColor rgb="FFFFF8E1"/>
      <rgbColor rgb="FFE3F2FD"/>
      <rgbColor rgb="FF660066"/>
      <rgbColor rgb="FFFF8080"/>
      <rgbColor rgb="FF1565C0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DE7"/>
      <rgbColor rgb="FFF5F5F5"/>
      <rgbColor rgb="FFFFEBEE"/>
      <rgbColor rgb="FFFAFAFA"/>
      <rgbColor rgb="FFF3E5F5"/>
      <rgbColor rgb="FF3366FF"/>
      <rgbColor rgb="FF33CCCC"/>
      <rgbColor rgb="FF99CC00"/>
      <rgbColor rgb="FFFFCC00"/>
      <rgbColor rgb="FFFF8F00"/>
      <rgbColor rgb="FFFF6600"/>
      <rgbColor rgb="FF666699"/>
      <rgbColor rgb="FF969696"/>
      <rgbColor rgb="FF0D47A1"/>
      <rgbColor rgb="FF339966"/>
      <rgbColor rgb="FF003300"/>
      <rgbColor rgb="FF37474F"/>
      <rgbColor rgb="FFBF360C"/>
      <rgbColor rgb="FF993366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5" min="1" style="0" width="7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9.5" hidden="false" customHeight="true" outlineLevel="0" collapsed="false">
      <c r="A2" s="2" t="s">
        <v>1</v>
      </c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  <c r="K2" s="3"/>
      <c r="L2" s="3" t="s">
        <v>7</v>
      </c>
      <c r="M2" s="3"/>
      <c r="N2" s="3" t="s">
        <v>8</v>
      </c>
      <c r="O2" s="3"/>
      <c r="P2" s="3" t="s">
        <v>9</v>
      </c>
      <c r="Q2" s="3"/>
      <c r="R2" s="3" t="s">
        <v>10</v>
      </c>
      <c r="S2" s="3"/>
      <c r="T2" s="3" t="s">
        <v>11</v>
      </c>
      <c r="U2" s="3"/>
      <c r="V2" s="3" t="s">
        <v>12</v>
      </c>
      <c r="W2" s="3"/>
      <c r="X2" s="3" t="s">
        <v>13</v>
      </c>
      <c r="Y2" s="3"/>
    </row>
    <row r="3" customFormat="false" ht="15.75" hidden="false" customHeight="true" outlineLevel="0" collapsed="false">
      <c r="A3" s="4"/>
      <c r="B3" s="5" t="s">
        <v>14</v>
      </c>
      <c r="C3" s="6" t="s">
        <v>15</v>
      </c>
      <c r="D3" s="5" t="s">
        <v>14</v>
      </c>
      <c r="E3" s="6" t="s">
        <v>15</v>
      </c>
      <c r="F3" s="5" t="s">
        <v>14</v>
      </c>
      <c r="G3" s="6" t="s">
        <v>15</v>
      </c>
      <c r="H3" s="5" t="s">
        <v>14</v>
      </c>
      <c r="I3" s="6" t="s">
        <v>15</v>
      </c>
      <c r="J3" s="5" t="s">
        <v>14</v>
      </c>
      <c r="K3" s="6" t="s">
        <v>15</v>
      </c>
      <c r="L3" s="5" t="s">
        <v>14</v>
      </c>
      <c r="M3" s="6" t="s">
        <v>15</v>
      </c>
      <c r="N3" s="5" t="s">
        <v>14</v>
      </c>
      <c r="O3" s="6" t="s">
        <v>15</v>
      </c>
      <c r="P3" s="5" t="s">
        <v>14</v>
      </c>
      <c r="Q3" s="6" t="s">
        <v>15</v>
      </c>
      <c r="R3" s="5" t="s">
        <v>14</v>
      </c>
      <c r="S3" s="6" t="s">
        <v>15</v>
      </c>
      <c r="T3" s="5" t="s">
        <v>14</v>
      </c>
      <c r="U3" s="6" t="s">
        <v>15</v>
      </c>
      <c r="V3" s="5" t="s">
        <v>14</v>
      </c>
      <c r="W3" s="6" t="s">
        <v>15</v>
      </c>
      <c r="X3" s="5" t="s">
        <v>14</v>
      </c>
      <c r="Y3" s="6" t="s">
        <v>15</v>
      </c>
    </row>
    <row r="4" customFormat="false" ht="16.5" hidden="false" customHeight="true" outlineLevel="0" collapsed="false">
      <c r="A4" s="7" t="n">
        <v>2024</v>
      </c>
      <c r="B4" s="8" t="n">
        <v>442</v>
      </c>
      <c r="C4" s="9" t="n">
        <v>20</v>
      </c>
      <c r="D4" s="8" t="n">
        <v>438</v>
      </c>
      <c r="E4" s="9" t="n">
        <v>18</v>
      </c>
      <c r="F4" s="8" t="n">
        <v>426</v>
      </c>
      <c r="G4" s="9" t="n">
        <v>29</v>
      </c>
      <c r="H4" s="8" t="n">
        <v>429</v>
      </c>
      <c r="I4" s="9" t="n">
        <v>15</v>
      </c>
      <c r="J4" s="8" t="n">
        <v>467</v>
      </c>
      <c r="K4" s="9" t="n">
        <v>25</v>
      </c>
      <c r="L4" s="8" t="n">
        <v>476</v>
      </c>
      <c r="M4" s="9" t="n">
        <v>20</v>
      </c>
      <c r="N4" s="8" t="n">
        <v>491</v>
      </c>
      <c r="O4" s="9" t="n">
        <v>35</v>
      </c>
      <c r="P4" s="8" t="n">
        <v>473</v>
      </c>
      <c r="Q4" s="9" t="n">
        <v>30</v>
      </c>
      <c r="R4" s="8" t="n">
        <v>450</v>
      </c>
      <c r="S4" s="9" t="n">
        <v>45</v>
      </c>
      <c r="T4" s="8" t="n">
        <v>416</v>
      </c>
      <c r="U4" s="9" t="n">
        <v>29</v>
      </c>
      <c r="V4" s="8" t="n">
        <v>387</v>
      </c>
      <c r="W4" s="9" t="n">
        <v>24</v>
      </c>
      <c r="X4" s="8" t="n">
        <v>379</v>
      </c>
      <c r="Y4" s="9" t="n">
        <v>19</v>
      </c>
    </row>
    <row r="5" customFormat="false" ht="16.5" hidden="false" customHeight="true" outlineLevel="0" collapsed="false">
      <c r="A5" s="7" t="n">
        <v>2025</v>
      </c>
      <c r="B5" s="8" t="n">
        <v>425</v>
      </c>
      <c r="C5" s="9" t="n">
        <v>18</v>
      </c>
      <c r="D5" s="8" t="n">
        <v>448</v>
      </c>
      <c r="E5" s="9" t="n">
        <v>10</v>
      </c>
      <c r="F5" s="8" t="n">
        <v>397</v>
      </c>
      <c r="G5" s="9" t="n">
        <v>24</v>
      </c>
      <c r="H5" s="8" t="n">
        <v>363</v>
      </c>
      <c r="I5" s="9" t="n">
        <v>19</v>
      </c>
      <c r="J5" s="8" t="n">
        <v>343</v>
      </c>
      <c r="K5" s="9" t="n">
        <v>25</v>
      </c>
      <c r="L5" s="8" t="n">
        <v>333</v>
      </c>
      <c r="M5" s="9" t="n">
        <v>21</v>
      </c>
      <c r="N5" s="8" t="n">
        <v>334</v>
      </c>
      <c r="O5" s="9" t="n">
        <v>24</v>
      </c>
      <c r="P5" s="8" t="n">
        <v>337</v>
      </c>
      <c r="Q5" s="9" t="n">
        <v>18</v>
      </c>
      <c r="R5" s="8" t="n">
        <v>353</v>
      </c>
      <c r="S5" s="9" t="n">
        <v>29</v>
      </c>
      <c r="T5" s="8" t="n">
        <v>351</v>
      </c>
      <c r="U5" s="9" t="n">
        <v>20</v>
      </c>
      <c r="V5" s="8" t="n">
        <v>321</v>
      </c>
      <c r="W5" s="9" t="n">
        <v>23</v>
      </c>
      <c r="X5" s="8" t="n">
        <v>309</v>
      </c>
      <c r="Y5" s="9" t="n">
        <v>24</v>
      </c>
    </row>
    <row r="6" customFormat="false" ht="16.5" hidden="false" customHeight="true" outlineLevel="0" collapsed="false">
      <c r="A6" s="7" t="n">
        <v>2026</v>
      </c>
      <c r="B6" s="8" t="n">
        <v>276</v>
      </c>
      <c r="C6" s="9" t="n">
        <v>18</v>
      </c>
      <c r="D6" s="8" t="n">
        <v>275</v>
      </c>
      <c r="E6" s="9" t="n">
        <v>24</v>
      </c>
      <c r="F6" s="8" t="n">
        <v>272</v>
      </c>
      <c r="G6" s="9" t="n">
        <v>16</v>
      </c>
      <c r="H6" s="8" t="n">
        <v>280</v>
      </c>
      <c r="I6" s="9" t="n">
        <v>13</v>
      </c>
      <c r="J6" s="8" t="n">
        <v>290</v>
      </c>
      <c r="K6" s="9" t="n">
        <v>6</v>
      </c>
      <c r="L6" s="8"/>
      <c r="M6" s="9"/>
      <c r="N6" s="8"/>
      <c r="O6" s="9"/>
      <c r="P6" s="8"/>
      <c r="Q6" s="9"/>
      <c r="R6" s="8"/>
      <c r="S6" s="9"/>
      <c r="T6" s="8"/>
      <c r="U6" s="9"/>
      <c r="V6" s="8"/>
      <c r="W6" s="9"/>
      <c r="X6" s="8"/>
      <c r="Y6" s="9"/>
    </row>
    <row r="7" customFormat="false" ht="16.5" hidden="false" customHeight="true" outlineLevel="0" collapsed="false">
      <c r="A7" s="7" t="n">
        <v>2027</v>
      </c>
      <c r="B7" s="8"/>
      <c r="C7" s="9"/>
      <c r="D7" s="8"/>
      <c r="E7" s="9"/>
      <c r="F7" s="8"/>
      <c r="G7" s="9"/>
      <c r="H7" s="8"/>
      <c r="I7" s="9"/>
      <c r="J7" s="8"/>
      <c r="K7" s="9"/>
      <c r="L7" s="8"/>
      <c r="M7" s="9"/>
      <c r="N7" s="8"/>
      <c r="O7" s="9"/>
      <c r="P7" s="8"/>
      <c r="Q7" s="9"/>
      <c r="R7" s="8"/>
      <c r="S7" s="9"/>
      <c r="T7" s="8"/>
      <c r="U7" s="9"/>
      <c r="V7" s="8"/>
      <c r="W7" s="9"/>
      <c r="X7" s="8"/>
      <c r="Y7" s="9"/>
    </row>
    <row r="8" customFormat="false" ht="16.5" hidden="false" customHeight="true" outlineLevel="0" collapsed="false">
      <c r="A8" s="7" t="n">
        <v>2028</v>
      </c>
      <c r="B8" s="8"/>
      <c r="C8" s="9"/>
      <c r="D8" s="8"/>
      <c r="E8" s="9"/>
      <c r="F8" s="8"/>
      <c r="G8" s="9"/>
      <c r="H8" s="8"/>
      <c r="I8" s="9"/>
      <c r="J8" s="8"/>
      <c r="K8" s="9"/>
      <c r="L8" s="8"/>
      <c r="M8" s="9"/>
      <c r="N8" s="8"/>
      <c r="O8" s="9"/>
      <c r="P8" s="8"/>
      <c r="Q8" s="9"/>
      <c r="R8" s="8"/>
      <c r="S8" s="9"/>
      <c r="T8" s="8"/>
      <c r="U8" s="9"/>
      <c r="V8" s="8"/>
      <c r="W8" s="9"/>
      <c r="X8" s="8"/>
      <c r="Y8" s="9"/>
    </row>
    <row r="9" customFormat="false" ht="16.5" hidden="false" customHeight="true" outlineLevel="0" collapsed="false">
      <c r="A9" s="7" t="n">
        <v>2029</v>
      </c>
      <c r="B9" s="8"/>
      <c r="C9" s="9"/>
      <c r="D9" s="8"/>
      <c r="E9" s="9"/>
      <c r="F9" s="8"/>
      <c r="G9" s="9"/>
      <c r="H9" s="8"/>
      <c r="I9" s="9"/>
      <c r="J9" s="8"/>
      <c r="K9" s="9"/>
      <c r="L9" s="8"/>
      <c r="M9" s="9"/>
      <c r="N9" s="8"/>
      <c r="O9" s="9"/>
      <c r="P9" s="8"/>
      <c r="Q9" s="9"/>
      <c r="R9" s="8"/>
      <c r="S9" s="9"/>
      <c r="T9" s="8"/>
      <c r="U9" s="9"/>
      <c r="V9" s="8"/>
      <c r="W9" s="9"/>
      <c r="X9" s="8"/>
      <c r="Y9" s="9"/>
    </row>
    <row r="10" customFormat="false" ht="13.5" hidden="false" customHeight="true" outlineLevel="0" collapsed="false">
      <c r="A10" s="10" t="s">
        <v>16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</sheetData>
  <mergeCells count="14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10:Y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6" min="4" style="0" width="10"/>
    <col collapsed="false" customWidth="true" hidden="true" outlineLevel="0" max="10" min="8" style="0" width="11.53"/>
  </cols>
  <sheetData>
    <row r="1" customFormat="false" ht="17.35" hidden="false" customHeight="false" outlineLevel="0" collapsed="false">
      <c r="A1" s="11" t="s">
        <v>17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">
        <v>18</v>
      </c>
      <c r="B2" s="12"/>
      <c r="C2" s="12"/>
      <c r="D2" s="12"/>
      <c r="E2" s="12"/>
      <c r="F2" s="12"/>
    </row>
    <row r="4" customFormat="false" ht="21.75" hidden="false" customHeight="true" outlineLevel="0" collapsed="false">
      <c r="A4" s="13" t="s">
        <v>19</v>
      </c>
      <c r="B4" s="14" t="n">
        <v>2027</v>
      </c>
      <c r="C4" s="15" t="s">
        <v>20</v>
      </c>
      <c r="D4" s="15"/>
      <c r="E4" s="15"/>
      <c r="F4" s="15"/>
    </row>
    <row r="5" customFormat="false" ht="21.75" hidden="false" customHeight="true" outlineLevel="0" collapsed="false">
      <c r="A5" s="13" t="s">
        <v>21</v>
      </c>
      <c r="B5" s="14" t="n">
        <v>1</v>
      </c>
      <c r="C5" s="15" t="s">
        <v>22</v>
      </c>
      <c r="D5" s="15"/>
      <c r="E5" s="15"/>
      <c r="F5" s="15"/>
    </row>
    <row r="7" customFormat="false" ht="4.5" hidden="false" customHeight="true" outlineLevel="0" collapsed="false">
      <c r="A7" s="16"/>
      <c r="B7" s="16"/>
      <c r="C7" s="16"/>
      <c r="D7" s="16"/>
      <c r="E7" s="16"/>
      <c r="F7" s="16"/>
    </row>
    <row r="8" customFormat="false" ht="15" hidden="false" customHeight="false" outlineLevel="0" collapsed="false">
      <c r="A8" s="17" t="s">
        <v>23</v>
      </c>
      <c r="B8" s="17"/>
      <c r="C8" s="17"/>
      <c r="D8" s="17"/>
      <c r="E8" s="17"/>
      <c r="F8" s="17"/>
    </row>
    <row r="9" customFormat="false" ht="9.75" hidden="false" customHeight="true" outlineLevel="0" collapsed="false"/>
    <row r="10" customFormat="false" ht="27.75" hidden="false" customHeight="true" outlineLevel="0" collapsed="false">
      <c r="A10" s="18" t="s">
        <v>24</v>
      </c>
      <c r="B10" s="19" t="str">
        <f aca="false">IFERROR(CHOOSE(B5,"ENE","FEB","MAR","ABR","MAY","JUN","JUL","AGO","SEP","OCT","NOV","DIC"),"-")</f>
        <v>ENE</v>
      </c>
      <c r="C10" s="19"/>
    </row>
    <row r="11" customFormat="false" ht="27.75" hidden="false" customHeight="true" outlineLevel="0" collapsed="false">
      <c r="A11" s="18" t="s">
        <v>25</v>
      </c>
      <c r="B11" s="20" t="str">
        <f aca="false">IFERROR(ROUND(forecast.linear((B4-2024+1),I12:I14,H12:H14),0),"Sin datos")</f>
        <v>Sin datos</v>
      </c>
      <c r="C11" s="20"/>
      <c r="H11" s="21" t="s">
        <v>26</v>
      </c>
    </row>
    <row r="12" customFormat="false" ht="27.75" hidden="false" customHeight="true" outlineLevel="0" collapsed="false">
      <c r="A12" s="18" t="s">
        <v>27</v>
      </c>
      <c r="B12" s="22" t="str">
        <f aca="false">IFERROR(ROUND(forecast.linear((B4-2024+1),J12:J14,H12:H14),0),"Sin datos")</f>
        <v>Sin datos</v>
      </c>
      <c r="C12" s="22"/>
      <c r="H12" s="0" t="n">
        <v>1</v>
      </c>
      <c r="I12" s="23" t="n">
        <f aca="false">IFERROR(INDEX(Data!B4:Y4,1,(B5-1)*2+1),"")</f>
        <v>442</v>
      </c>
      <c r="J12" s="23" t="n">
        <f aca="false">IFERROR(INDEX(Data!B4:Y4,1,(B5-1)*2+2),"")</f>
        <v>20</v>
      </c>
    </row>
    <row r="13" customFormat="false" ht="27.75" hidden="false" customHeight="true" outlineLevel="0" collapsed="false">
      <c r="A13" s="18" t="s">
        <v>28</v>
      </c>
      <c r="B13" s="24" t="str">
        <f aca="false">IFERROR(B10-B11,"-")</f>
        <v>-</v>
      </c>
      <c r="C13" s="24"/>
      <c r="H13" s="0" t="n">
        <v>2</v>
      </c>
      <c r="I13" s="23" t="n">
        <f aca="false">IFERROR(INDEX(Data!B5:Y5,1,(B5-1)*2+1),"")</f>
        <v>425</v>
      </c>
      <c r="J13" s="23" t="n">
        <f aca="false">IFERROR(INDEX(Data!B5:Y5,1,(B5-1)*2+2),"")</f>
        <v>18</v>
      </c>
    </row>
    <row r="14" customFormat="false" ht="15" hidden="false" customHeight="false" outlineLevel="0" collapsed="false">
      <c r="H14" s="0" t="n">
        <v>3</v>
      </c>
      <c r="I14" s="23" t="n">
        <f aca="false">IFERROR(INDEX(Data!B6:Y6,1,(B5-1)*2+1),"")</f>
        <v>276</v>
      </c>
      <c r="J14" s="23" t="n">
        <f aca="false">IFERROR(INDEX(Data!B6:Y6,1,(B5-1)*2+2),"")</f>
        <v>18</v>
      </c>
    </row>
    <row r="15" customFormat="false" ht="13.5" hidden="false" customHeight="true" outlineLevel="0" collapsed="false">
      <c r="A15" s="25" t="s">
        <v>29</v>
      </c>
      <c r="B15" s="25"/>
      <c r="C15" s="25"/>
      <c r="D15" s="25"/>
      <c r="E15" s="25"/>
      <c r="F15" s="25"/>
    </row>
  </sheetData>
  <mergeCells count="11">
    <mergeCell ref="A1:F1"/>
    <mergeCell ref="A2:F2"/>
    <mergeCell ref="C4:F4"/>
    <mergeCell ref="C5:F5"/>
    <mergeCell ref="A7:F7"/>
    <mergeCell ref="A8:F8"/>
    <mergeCell ref="B10:C10"/>
    <mergeCell ref="B11:C11"/>
    <mergeCell ref="B12:C12"/>
    <mergeCell ref="B13:C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2026-05-21T15:58:14Z</dcterms:created>
  <dc:creator>openpyxl</dc:creator>
  <dc:description/>
  <dc:language>en-US</dc:language>
  <cp:lastModifiedBy/>
  <dcterms:modified xsi:type="dcterms:W3CDTF">2026-05-21T15:58:14Z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