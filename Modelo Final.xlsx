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Tasa Rotación" sheetId="2" state="visible" r:id="rId4"/>
    <sheet name="Pedidos" sheetId="3" state="visible" r:id="rId5"/>
    <sheet name="Proyección" sheetId="4" state="visible" r:id="rId6"/>
    <sheet name="Resumen vs Capac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Llenar cuando los trainees realmente entren a la línea</t>
        </r>
      </text>
    </comment>
    <comment ref="G6" authorId="0">
      <text>
        <r>
          <rPr>
            <sz val="10"/>
            <rFont val="Arial"/>
            <family val="2"/>
          </rPr>
          <t xml:space="preserve">Llenar cuando los trainees realmente entren a la línea</t>
        </r>
      </text>
    </comment>
    <comment ref="G7" authorId="0">
      <text>
        <r>
          <rPr>
            <sz val="10"/>
            <rFont val="Arial"/>
            <family val="2"/>
          </rPr>
          <t xml:space="preserve">Llenar cuando los trainees realmente entren a la línea</t>
        </r>
      </text>
    </comment>
    <comment ref="G8" authorId="0">
      <text>
        <r>
          <rPr>
            <sz val="10"/>
            <rFont val="Arial"/>
            <family val="2"/>
          </rPr>
          <t xml:space="preserve">Llenar cuando los trainees realmente entren a la línea</t>
        </r>
      </text>
    </comment>
    <comment ref="G9" authorId="0">
      <text>
        <r>
          <rPr>
            <sz val="10"/>
            <rFont val="Arial"/>
            <family val="2"/>
          </rPr>
          <t xml:space="preserve">Llenar cuando los trainees realmente entren a la línea</t>
        </r>
      </text>
    </comment>
    <comment ref="G10" authorId="0">
      <text>
        <r>
          <rPr>
            <sz val="10"/>
            <rFont val="Arial"/>
            <family val="2"/>
          </rPr>
          <t xml:space="preserve">Llenar cuando los trainees realmente entren a la línea</t>
        </r>
      </text>
    </comment>
    <comment ref="G11" authorId="0">
      <text>
        <r>
          <rPr>
            <sz val="10"/>
            <rFont val="Arial"/>
            <family val="2"/>
          </rPr>
          <t xml:space="preserve">Llenar cuando los trainees realmente entren a la línea</t>
        </r>
      </text>
    </comment>
    <comment ref="G12" authorId="0">
      <text>
        <r>
          <rPr>
            <sz val="10"/>
            <rFont val="Arial"/>
            <family val="2"/>
          </rPr>
          <t xml:space="preserve">Llenar cuando los trainees realmente entren a la línea</t>
        </r>
      </text>
    </comment>
  </commentList>
</comments>
</file>

<file path=xl/sharedStrings.xml><?xml version="1.0" encoding="utf-8"?>
<sst xmlns="http://schemas.openxmlformats.org/spreadsheetml/2006/main" count="240" uniqueCount="114">
  <si>
    <t xml:space="preserve">MODELO DE PROYECCIÓN MENSUAL - INSTRUCCIONES</t>
  </si>
  <si>
    <t xml:space="preserve">ESTRUCTURA DEL ARCHIVO</t>
  </si>
  <si>
    <t xml:space="preserve">1. Tasa Rotación</t>
  </si>
  <si>
    <t xml:space="preserve">   Histórico real por mes y línea. La columna "Tasa Proyectada" es promedio de los últimos 3 meses.</t>
  </si>
  <si>
    <t xml:space="preserve">   No tocar fórmulas. Solo agregar columnas nuevas cuando cierre un mes.</t>
  </si>
  <si>
    <t xml:space="preserve">2. Pedidos</t>
  </si>
  <si>
    <t xml:space="preserve">   Lleva el control de cuánta gente pediste cada mes y a qué línea destino llegarán.</t>
  </si>
  <si>
    <t xml:space="preserve">   Llamadas: tarda 3 meses (M1 → M2 → entra a TRAINEE LLAMADAS en M3)</t>
  </si>
  <si>
    <t xml:space="preserve">   Chats: tarda 3 meses (M1 → M2 → entra a CONTACTOS WEB después de M2)</t>
  </si>
  <si>
    <t xml:space="preserve">   Merma estimada en formativo: 10% (2% en M1, 8% en M2)</t>
  </si>
  <si>
    <t xml:space="preserve">3. Proyección</t>
  </si>
  <si>
    <t xml:space="preserve">   Cierre mes = (INI mes - rotación) + ingresos del mes</t>
  </si>
  <si>
    <t xml:space="preserve">   Los ingresos vienen automáticamente de la hoja Pedidos.</t>
  </si>
  <si>
    <t xml:space="preserve">   Si hay transferencias internas, ajusta manualmente la columna "Transf" del mes.</t>
  </si>
  <si>
    <t xml:space="preserve">4. Resumen vs Capacity</t>
  </si>
  <si>
    <t xml:space="preserve">   Vista ejecutiva con totales por mundo y cobertura.</t>
  </si>
  <si>
    <t xml:space="preserve">PROCESO MENSUAL (cuando cierra un mes)</t>
  </si>
  <si>
    <t xml:space="preserve">Paso 1: Actualizar Tasa Rotación</t>
  </si>
  <si>
    <t xml:space="preserve">   • Reemplaza los valores estimados del mes que acaba de cerrar por los reales.</t>
  </si>
  <si>
    <t xml:space="preserve">   • La tasa proyectada se actualizará sola.</t>
  </si>
  <si>
    <t xml:space="preserve">Paso 2: Confirmar ingresos reales en Pedidos</t>
  </si>
  <si>
    <t xml:space="preserve">   • Si los trainees graduaron este mes, marca cuántos realmente llegaron a la línea.</t>
  </si>
  <si>
    <t xml:space="preserve">   • Eso ajusta la proyección de la línea final que los recibe.</t>
  </si>
  <si>
    <t xml:space="preserve">Paso 3: Registrar transferencias internas</t>
  </si>
  <si>
    <t xml:space="preserve">   • Si hubo movimientos entre líneas (ej: 6 personas de UDAC PYME a ONR), regístralo.</t>
  </si>
  <si>
    <t xml:space="preserve">   • Resta de la línea origen, suma a la línea destino.</t>
  </si>
  <si>
    <t xml:space="preserve">Paso 4: Agregar nuevo pedido del mes</t>
  </si>
  <si>
    <t xml:space="preserve">   • Anota qué pediste este mes en la hoja Pedidos.</t>
  </si>
  <si>
    <t xml:space="preserve">   • Esa gente entrará a su línea destino 3 meses después.</t>
  </si>
  <si>
    <t xml:space="preserve">Paso 5: Validar coberturas</t>
  </si>
  <si>
    <t xml:space="preserve">   • Revisa la hoja Resumen vs Capacity para ver si necesitas ajustar pedidos futuros.</t>
  </si>
  <si>
    <t xml:space="preserve">TASA DE ROTACIÓN POR LÍNEA</t>
  </si>
  <si>
    <t xml:space="preserve">Línea</t>
  </si>
  <si>
    <t xml:space="preserve">Mundo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</si>
  <si>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</si>
  <si>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</si>
  <si>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</si>
  <si>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</si>
  <si>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</si>
  <si>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</si>
  <si>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Tasa Proy</t>
  </si>
  <si>
    <t xml:space="preserve">CONSULTAS GENERALES</t>
  </si>
  <si>
    <t xml:space="preserve">Llamadas</t>
  </si>
  <si>
    <t xml:space="preserve">SWAT</t>
  </si>
  <si>
    <t xml:space="preserve">TRAINEE LLAMADAS</t>
  </si>
  <si>
    <t xml:space="preserve">TRAINEE-CCGG</t>
  </si>
  <si>
    <t xml:space="preserve">CANALES DIGITALES</t>
  </si>
  <si>
    <t xml:space="preserve">UDAC BANCA MAYORISTA</t>
  </si>
  <si>
    <t xml:space="preserve">UDAC BANCA NEGOCIOS</t>
  </si>
  <si>
    <t xml:space="preserve">UDAC PYME</t>
  </si>
  <si>
    <t xml:space="preserve">UDAC PYME BUZON</t>
  </si>
  <si>
    <t xml:space="preserve">OPERACIONES NO RECONOCIDAS</t>
  </si>
  <si>
    <t xml:space="preserve">FUERA DE TURNO</t>
  </si>
  <si>
    <t xml:space="preserve">OPERACIONES TRUNCAS</t>
  </si>
  <si>
    <t xml:space="preserve">BANCA SEGURO</t>
  </si>
  <si>
    <t xml:space="preserve">BANCA SEGURO RETENCIONES</t>
  </si>
  <si>
    <t xml:space="preserve">RETENCIONES</t>
  </si>
  <si>
    <t xml:space="preserve">HELPDESK SPE</t>
  </si>
  <si>
    <t xml:space="preserve">INVERSIONES</t>
  </si>
  <si>
    <t xml:space="preserve">ENALTA</t>
  </si>
  <si>
    <t xml:space="preserve">LINEA TU BIENESTAR</t>
  </si>
  <si>
    <t xml:space="preserve">AGENTE</t>
  </si>
  <si>
    <t xml:space="preserve">CENTRAL TELEFONICA</t>
  </si>
  <si>
    <t xml:space="preserve">FACTURACION ELECTRONICA</t>
  </si>
  <si>
    <t xml:space="preserve">BLOQUEOS</t>
  </si>
  <si>
    <t xml:space="preserve">CONTACTOS WEB</t>
  </si>
  <si>
    <t xml:space="preserve">Chats</t>
  </si>
  <si>
    <t xml:space="preserve">REDES SOCIALES</t>
  </si>
  <si>
    <t xml:space="preserve">NOTA: Tasa Proyectada = promedio de Abr, May, Jun. Cuando cierre un mes nuevo, agrega columna y la fórmula se ajusta sola si extiendes el rango.</t>
  </si>
  <si>
    <t xml:space="preserve">CONTROL DE PEDIDOS Y PIPELINE DE TRAINEES</t>
  </si>
  <si>
    <t xml:space="preserve">Llamadas: pedido del mes X entra a TRAINEE LLAMADAS en mes X+2. Chats: entra a CONTACTOS WEB en mes X+2.</t>
  </si>
  <si>
    <t xml:space="preserve">Mes Pedido</t>
  </si>
  <si>
    <t xml:space="preserve">Cantidad Pedida</t>
  </si>
  <si>
    <t xml:space="preserve">Mes Ingreso Línea</t>
  </si>
  <si>
    <t xml:space="preserve">Línea Destino</t>
  </si>
  <si>
    <t xml:space="preserve">Estimado (90% merma)</t>
  </si>
  <si>
    <t xml:space="preserve">Real Ingresado</t>
  </si>
  <si>
    <t xml:space="preserve">Notas</t>
  </si>
  <si>
    <t xml:space="preserve">Jun (Ago)</t>
  </si>
  <si>
    <t xml:space="preserve">Pedido en 3ra semana de Abr</t>
  </si>
  <si>
    <t xml:space="preserve">Jul (Sep)</t>
  </si>
  <si>
    <t xml:space="preserve">Pedido oficial en mayo</t>
  </si>
  <si>
    <t xml:space="preserve">Ago (Oct)</t>
  </si>
  <si>
    <t xml:space="preserve">Tentativo - validar</t>
  </si>
  <si>
    <t xml:space="preserve">Jul</t>
  </si>
  <si>
    <t xml:space="preserve">Sep (Nov)</t>
  </si>
  <si>
    <t xml:space="preserve">PROYECCIÓN DE PERSONAL POR LÍNEA</t>
  </si>
  <si>
    <t xml:space="preserve">Cierre mes = (INI - rotación) + ingresos + transferencias. INI mes = cierre mes anterior.</t>
  </si>
  <si>
    <t xml:space="preserve">JULIO</t>
  </si>
  <si>
    <t xml:space="preserve">AGOSTO</t>
  </si>
  <si>
    <t xml:space="preserve">SEPTIEMBRE</t>
  </si>
  <si>
    <t xml:space="preserve">OCTUBRE</t>
  </si>
  <si>
    <t xml:space="preserve">Tasa</t>
  </si>
  <si>
    <t xml:space="preserve">May Real</t>
  </si>
  <si>
    <t xml:space="preserve">Jun Real</t>
  </si>
  <si>
    <t xml:space="preserve">Ing</t>
  </si>
  <si>
    <t xml:space="preserve">Transf</t>
  </si>
  <si>
    <t xml:space="preserve">Cierre</t>
  </si>
  <si>
    <t xml:space="preserve">TOTAL</t>
  </si>
  <si>
    <t xml:space="preserve">LEYENDA:</t>
  </si>
  <si>
    <t xml:space="preserve">Datos reales</t>
  </si>
  <si>
    <t xml:space="preserve">Editables (ingresos/transferencias)</t>
  </si>
  <si>
    <t xml:space="preserve">Fórmula automática (cierre proyectado)</t>
  </si>
  <si>
    <t xml:space="preserve">RESUMEN: FORECAST VS CAPACITY POR MUNDO</t>
  </si>
  <si>
    <t xml:space="preserve">Concepto</t>
  </si>
  <si>
    <t xml:space="preserve">Ago</t>
  </si>
  <si>
    <t xml:space="preserve">Sep</t>
  </si>
  <si>
    <t xml:space="preserve">Oct</t>
  </si>
  <si>
    <t xml:space="preserve">LLAMADAS</t>
  </si>
  <si>
    <t xml:space="preserve">Capacity</t>
  </si>
  <si>
    <t xml:space="preserve">Forecast</t>
  </si>
  <si>
    <t xml:space="preserve">Cobertura</t>
  </si>
  <si>
    <t xml:space="preserve">CHATS</t>
  </si>
  <si>
    <t xml:space="preserve">INBOUND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</si>
</sst>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General"/>
    <numFmt numFmtId="167" formatCode="#,##0"/>
    <numFmt numFmtId="168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30549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8FAADC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6.1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4" t="s">
        <v>2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2" t="s">
        <v>3</v>
      </c>
      <c r="B6" s="2"/>
      <c r="C6" s="2"/>
      <c r="D6" s="2"/>
      <c r="E6" s="2"/>
      <c r="F6" s="2"/>
      <c r="G6" s="2"/>
      <c r="H6" s="2"/>
    </row>
    <row r="7" customFormat="false" ht="15" hidden="false" customHeight="false" outlineLevel="0" collapsed="false">
      <c r="A7" s="2" t="s">
        <v>4</v>
      </c>
      <c r="B7" s="2"/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 t="s">
        <v>5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2" t="s">
        <v>6</v>
      </c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2" t="s">
        <v>7</v>
      </c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" t="s">
        <v>8</v>
      </c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2" t="s">
        <v>9</v>
      </c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4" t="s">
        <v>10</v>
      </c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2" t="s">
        <v>11</v>
      </c>
      <c r="B16" s="2"/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2" t="s">
        <v>12</v>
      </c>
      <c r="B17" s="2"/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2" t="s">
        <v>13</v>
      </c>
      <c r="B18" s="2"/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4" t="s">
        <v>14</v>
      </c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2" t="s">
        <v>15</v>
      </c>
      <c r="B21" s="2"/>
      <c r="C21" s="2"/>
      <c r="D21" s="2"/>
      <c r="E21" s="2"/>
      <c r="F21" s="2"/>
      <c r="G21" s="2"/>
      <c r="H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16.15" hidden="false" customHeight="false" outlineLevel="0" collapsed="false">
      <c r="A23" s="3" t="s">
        <v>16</v>
      </c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4" t="s">
        <v>17</v>
      </c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2" t="s">
        <v>18</v>
      </c>
      <c r="B26" s="2"/>
      <c r="C26" s="2"/>
      <c r="D26" s="2"/>
      <c r="E26" s="2"/>
      <c r="F26" s="2"/>
      <c r="G26" s="2"/>
      <c r="H26" s="2"/>
    </row>
    <row r="27" customFormat="false" ht="15" hidden="false" customHeight="false" outlineLevel="0" collapsed="false">
      <c r="A27" s="2" t="s">
        <v>19</v>
      </c>
      <c r="B27" s="2"/>
      <c r="C27" s="2"/>
      <c r="D27" s="2"/>
      <c r="E27" s="2"/>
      <c r="F27" s="2"/>
      <c r="G27" s="2"/>
      <c r="H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5" hidden="false" customHeight="false" outlineLevel="0" collapsed="false">
      <c r="A29" s="4" t="s">
        <v>20</v>
      </c>
      <c r="B29" s="4"/>
      <c r="C29" s="4"/>
      <c r="D29" s="4"/>
      <c r="E29" s="4"/>
      <c r="F29" s="4"/>
      <c r="G29" s="4"/>
      <c r="H29" s="4"/>
    </row>
    <row r="30" customFormat="false" ht="15" hidden="false" customHeight="false" outlineLevel="0" collapsed="false">
      <c r="A30" s="2" t="s">
        <v>21</v>
      </c>
      <c r="B30" s="2"/>
      <c r="C30" s="2"/>
      <c r="D30" s="2"/>
      <c r="E30" s="2"/>
      <c r="F30" s="2"/>
      <c r="G30" s="2"/>
      <c r="H30" s="2"/>
    </row>
    <row r="31" customFormat="false" ht="15" hidden="false" customHeight="false" outlineLevel="0" collapsed="false">
      <c r="A31" s="2" t="s">
        <v>22</v>
      </c>
      <c r="B31" s="2"/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4" t="s">
        <v>23</v>
      </c>
      <c r="B33" s="4"/>
      <c r="C33" s="4"/>
      <c r="D33" s="4"/>
      <c r="E33" s="4"/>
      <c r="F33" s="4"/>
      <c r="G33" s="4"/>
      <c r="H33" s="4"/>
    </row>
    <row r="34" customFormat="false" ht="15" hidden="false" customHeight="false" outlineLevel="0" collapsed="false">
      <c r="A34" s="2" t="s">
        <v>24</v>
      </c>
      <c r="B34" s="2"/>
      <c r="C34" s="2"/>
      <c r="D34" s="2"/>
      <c r="E34" s="2"/>
      <c r="F34" s="2"/>
      <c r="G34" s="2"/>
      <c r="H34" s="2"/>
    </row>
    <row r="35" customFormat="false" ht="15" hidden="false" customHeight="false" outlineLevel="0" collapsed="false">
      <c r="A35" s="2" t="s">
        <v>25</v>
      </c>
      <c r="B35" s="2"/>
      <c r="C35" s="2"/>
      <c r="D35" s="2"/>
      <c r="E35" s="2"/>
      <c r="F35" s="2"/>
      <c r="G35" s="2"/>
      <c r="H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</row>
    <row r="37" customFormat="false" ht="15" hidden="false" customHeight="false" outlineLevel="0" collapsed="false">
      <c r="A37" s="4" t="s">
        <v>26</v>
      </c>
      <c r="B37" s="4"/>
      <c r="C37" s="4"/>
      <c r="D37" s="4"/>
      <c r="E37" s="4"/>
      <c r="F37" s="4"/>
      <c r="G37" s="4"/>
      <c r="H37" s="4"/>
    </row>
    <row r="38" customFormat="false" ht="15" hidden="false" customHeight="false" outlineLevel="0" collapsed="false">
      <c r="A38" s="2" t="s">
        <v>27</v>
      </c>
      <c r="B38" s="2"/>
      <c r="C38" s="2"/>
      <c r="D38" s="2"/>
      <c r="E38" s="2"/>
      <c r="F38" s="2"/>
      <c r="G38" s="2"/>
      <c r="H38" s="2"/>
    </row>
    <row r="39" customFormat="false" ht="15" hidden="false" customHeight="false" outlineLevel="0" collapsed="false">
      <c r="A39" s="2" t="s">
        <v>28</v>
      </c>
      <c r="B39" s="2"/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A41" s="4" t="s">
        <v>29</v>
      </c>
      <c r="B41" s="4"/>
      <c r="C41" s="4"/>
      <c r="D41" s="4"/>
      <c r="E41" s="4"/>
      <c r="F41" s="4"/>
      <c r="G41" s="4"/>
      <c r="H41" s="4"/>
    </row>
    <row r="42" customFormat="false" ht="15" hidden="false" customHeight="false" outlineLevel="0" collapsed="false">
      <c r="A42" s="2" t="s">
        <v>30</v>
      </c>
      <c r="B42" s="2"/>
      <c r="C42" s="2"/>
      <c r="D42" s="2"/>
      <c r="E42" s="2"/>
      <c r="F42" s="2"/>
      <c r="G42" s="2"/>
      <c r="H42" s="2"/>
    </row>
  </sheetData>
  <mergeCells count="42">
    <mergeCell ref="A1:E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  <mergeCell ref="A39:H39"/>
    <mergeCell ref="A40:H40"/>
    <mergeCell ref="A41:H41"/>
    <mergeCell ref="A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8" min="3" style="0" width="9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5" t="s">
        <v>31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customFormat="false" ht="15" hidden="false" customHeight="false" outlineLevel="0" collapsed="false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6" t="s">
        <v>39</v>
      </c>
      <c r="I3" s="6" t="s">
        <v>40</v>
      </c>
    </row>
    <row r="4" customFormat="false" ht="15" hidden="false" customHeight="false" outlineLevel="0" collapsed="false">
      <c r="A4" s="7" t="s">
        <v>41</v>
      </c>
      <c r="B4" s="7" t="s">
        <v>42</v>
      </c>
      <c r="C4" s="8" t="n">
        <v>0.0136986301369863</v>
      </c>
      <c r="D4" s="8" t="n">
        <v>0.0369127516778524</v>
      </c>
      <c r="E4" s="8" t="n">
        <v>0.00735294117647059</v>
      </c>
      <c r="F4" s="8" t="n">
        <v>0.0464285714285714</v>
      </c>
      <c r="G4" s="8" t="n">
        <v>0.0383275261324042</v>
      </c>
      <c r="H4" s="8" t="n">
        <v>0.00333333333333333</v>
      </c>
      <c r="I4" s="9" t="n">
        <f aca="false">AVERAGE(F4:H4)</f>
        <v>0.0293631436314363</v>
      </c>
    </row>
    <row r="5" customFormat="false" ht="15" hidden="false" customHeight="false" outlineLevel="0" collapsed="false">
      <c r="A5" s="7" t="s">
        <v>43</v>
      </c>
      <c r="B5" s="7" t="s">
        <v>42</v>
      </c>
      <c r="C5" s="8" t="n">
        <v>0</v>
      </c>
      <c r="D5" s="8" t="n">
        <v>0</v>
      </c>
      <c r="E5" s="8" t="n">
        <v>0</v>
      </c>
      <c r="F5" s="8" t="n">
        <v>0.0454545454545455</v>
      </c>
      <c r="G5" s="8" t="n">
        <v>0.0476190476190476</v>
      </c>
      <c r="H5" s="8" t="n">
        <v>0</v>
      </c>
      <c r="I5" s="9" t="n">
        <f aca="false">AVERAGE(F5:H5)</f>
        <v>0.031024531024531</v>
      </c>
    </row>
    <row r="6" customFormat="false" ht="15" hidden="false" customHeight="false" outlineLevel="0" collapsed="false">
      <c r="A6" s="7" t="s">
        <v>44</v>
      </c>
      <c r="B6" s="7" t="s">
        <v>42</v>
      </c>
      <c r="C6" s="8" t="n">
        <v>0</v>
      </c>
      <c r="D6" s="8" t="n">
        <v>0.0757575757575758</v>
      </c>
      <c r="E6" s="8" t="n">
        <v>0.0125</v>
      </c>
      <c r="F6" s="8" t="n">
        <v>0.0147058823529412</v>
      </c>
      <c r="G6" s="8" t="n">
        <v>0.0806451612903226</v>
      </c>
      <c r="H6" s="8" t="n">
        <v>0</v>
      </c>
      <c r="I6" s="9" t="n">
        <f aca="false">AVERAGE(F6:H6)</f>
        <v>0.0317836812144213</v>
      </c>
    </row>
    <row r="7" customFormat="false" ht="15" hidden="false" customHeight="false" outlineLevel="0" collapsed="false">
      <c r="A7" s="7" t="s">
        <v>45</v>
      </c>
      <c r="B7" s="7" t="s">
        <v>42</v>
      </c>
      <c r="C7" s="8" t="n">
        <v>0.0882352941176471</v>
      </c>
      <c r="D7" s="8" t="n">
        <v>0.0810810810810811</v>
      </c>
      <c r="E7" s="8" t="n">
        <v>0.133333333333333</v>
      </c>
      <c r="F7" s="8" t="n">
        <v>0.0714285714285714</v>
      </c>
      <c r="G7" s="8" t="n">
        <v>0.103448275862069</v>
      </c>
      <c r="H7" s="8" t="n">
        <v>0.0625</v>
      </c>
      <c r="I7" s="9" t="n">
        <f aca="false">AVERAGE(F7:H7)</f>
        <v>0.0791256157635468</v>
      </c>
    </row>
    <row r="8" customFormat="false" ht="15" hidden="false" customHeight="false" outlineLevel="0" collapsed="false">
      <c r="A8" s="7" t="s">
        <v>46</v>
      </c>
      <c r="B8" s="7" t="s">
        <v>42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0.25</v>
      </c>
      <c r="H8" s="8" t="n">
        <v>0</v>
      </c>
      <c r="I8" s="9" t="n">
        <f aca="false">AVERAGE(F8:H8)</f>
        <v>0.0833333333333333</v>
      </c>
    </row>
    <row r="9" customFormat="false" ht="15" hidden="false" customHeight="false" outlineLevel="0" collapsed="false">
      <c r="A9" s="7" t="s">
        <v>47</v>
      </c>
      <c r="B9" s="7" t="s">
        <v>42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9" t="n">
        <f aca="false">AVERAGE(F9:H9)</f>
        <v>0</v>
      </c>
    </row>
    <row r="10" customFormat="false" ht="15" hidden="false" customHeight="false" outlineLevel="0" collapsed="false">
      <c r="A10" s="7" t="s">
        <v>48</v>
      </c>
      <c r="B10" s="7" t="s">
        <v>42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9" t="n">
        <f aca="false">AVERAGE(F10:H10)</f>
        <v>0</v>
      </c>
    </row>
    <row r="11" customFormat="false" ht="15" hidden="false" customHeight="false" outlineLevel="0" collapsed="false">
      <c r="A11" s="7" t="s">
        <v>49</v>
      </c>
      <c r="B11" s="7" t="s">
        <v>42</v>
      </c>
      <c r="C11" s="8" t="n">
        <v>0</v>
      </c>
      <c r="D11" s="8" t="n">
        <v>0.04</v>
      </c>
      <c r="E11" s="8" t="n">
        <v>0.075</v>
      </c>
      <c r="F11" s="8" t="n">
        <v>0</v>
      </c>
      <c r="G11" s="8" t="n">
        <v>0</v>
      </c>
      <c r="H11" s="8" t="n">
        <v>0.05</v>
      </c>
      <c r="I11" s="9" t="n">
        <f aca="false">AVERAGE(F11:H11)</f>
        <v>0.0166666666666667</v>
      </c>
    </row>
    <row r="12" customFormat="false" ht="15" hidden="false" customHeight="false" outlineLevel="0" collapsed="false">
      <c r="A12" s="7" t="s">
        <v>50</v>
      </c>
      <c r="B12" s="7" t="s">
        <v>42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9" t="n">
        <f aca="false">AVERAGE(F12:H12)</f>
        <v>0</v>
      </c>
    </row>
    <row r="13" customFormat="false" ht="15" hidden="false" customHeight="false" outlineLevel="0" collapsed="false">
      <c r="A13" s="7" t="s">
        <v>51</v>
      </c>
      <c r="B13" s="7" t="s">
        <v>42</v>
      </c>
      <c r="C13" s="8" t="n">
        <v>0.0114942528735632</v>
      </c>
      <c r="D13" s="8" t="n">
        <v>0</v>
      </c>
      <c r="E13" s="8" t="n">
        <v>0</v>
      </c>
      <c r="F13" s="8" t="n">
        <v>0.0188679245283019</v>
      </c>
      <c r="G13" s="8" t="n">
        <v>0</v>
      </c>
      <c r="H13" s="8" t="n">
        <v>0</v>
      </c>
      <c r="I13" s="9" t="n">
        <f aca="false">AVERAGE(F13:H13)</f>
        <v>0.00628930817610063</v>
      </c>
    </row>
    <row r="14" customFormat="false" ht="15" hidden="false" customHeight="false" outlineLevel="0" collapsed="false">
      <c r="A14" s="7" t="s">
        <v>52</v>
      </c>
      <c r="B14" s="7" t="s">
        <v>42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9" t="n">
        <f aca="false">AVERAGE(F14:H14)</f>
        <v>0</v>
      </c>
    </row>
    <row r="15" customFormat="false" ht="15" hidden="false" customHeight="false" outlineLevel="0" collapsed="false">
      <c r="A15" s="7" t="s">
        <v>53</v>
      </c>
      <c r="B15" s="7" t="s">
        <v>42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9" t="n">
        <f aca="false">AVERAGE(F15:H15)</f>
        <v>0</v>
      </c>
    </row>
    <row r="16" customFormat="false" ht="15" hidden="false" customHeight="false" outlineLevel="0" collapsed="false">
      <c r="A16" s="7" t="s">
        <v>54</v>
      </c>
      <c r="B16" s="7" t="s">
        <v>42</v>
      </c>
      <c r="C16" s="8" t="n">
        <v>0</v>
      </c>
      <c r="D16" s="8" t="n">
        <v>0.0487804878048781</v>
      </c>
      <c r="E16" s="8" t="n">
        <v>0</v>
      </c>
      <c r="F16" s="8" t="n">
        <v>0</v>
      </c>
      <c r="G16" s="8" t="n">
        <v>0</v>
      </c>
      <c r="H16" s="8" t="n">
        <v>0</v>
      </c>
      <c r="I16" s="9" t="n">
        <f aca="false">AVERAGE(F16:H16)</f>
        <v>0</v>
      </c>
    </row>
    <row r="17" customFormat="false" ht="15" hidden="false" customHeight="false" outlineLevel="0" collapsed="false">
      <c r="A17" s="7" t="s">
        <v>55</v>
      </c>
      <c r="B17" s="7" t="s">
        <v>42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9" t="n">
        <f aca="false">AVERAGE(F17:H17)</f>
        <v>0</v>
      </c>
    </row>
    <row r="18" customFormat="false" ht="15" hidden="false" customHeight="false" outlineLevel="0" collapsed="false">
      <c r="A18" s="7" t="s">
        <v>56</v>
      </c>
      <c r="B18" s="7" t="s">
        <v>42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9" t="n">
        <f aca="false">AVERAGE(F18:H18)</f>
        <v>0</v>
      </c>
    </row>
    <row r="19" customFormat="false" ht="15" hidden="false" customHeight="false" outlineLevel="0" collapsed="false">
      <c r="A19" s="7" t="s">
        <v>57</v>
      </c>
      <c r="B19" s="7" t="s">
        <v>42</v>
      </c>
      <c r="C19" s="8" t="n">
        <v>0</v>
      </c>
      <c r="D19" s="8" t="n">
        <v>0.0294117647058824</v>
      </c>
      <c r="E19" s="8" t="n">
        <v>0</v>
      </c>
      <c r="F19" s="8" t="n">
        <v>0</v>
      </c>
      <c r="G19" s="8" t="n">
        <v>0</v>
      </c>
      <c r="H19" s="8" t="n">
        <v>0</v>
      </c>
      <c r="I19" s="9" t="n">
        <f aca="false">AVERAGE(F19:H19)</f>
        <v>0</v>
      </c>
    </row>
    <row r="20" customFormat="false" ht="15" hidden="false" customHeight="false" outlineLevel="0" collapsed="false">
      <c r="A20" s="7" t="s">
        <v>58</v>
      </c>
      <c r="B20" s="7" t="s">
        <v>42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9" t="n">
        <f aca="false">AVERAGE(F20:H20)</f>
        <v>0</v>
      </c>
    </row>
    <row r="21" customFormat="false" ht="15" hidden="false" customHeight="false" outlineLevel="0" collapsed="false">
      <c r="A21" s="7" t="s">
        <v>59</v>
      </c>
      <c r="B21" s="7" t="s">
        <v>42</v>
      </c>
      <c r="C21" s="8" t="n">
        <v>0</v>
      </c>
      <c r="D21" s="8" t="n">
        <v>0</v>
      </c>
      <c r="E21" s="8" t="n">
        <v>0</v>
      </c>
      <c r="F21" s="8" t="n">
        <v>0.0434782608695652</v>
      </c>
      <c r="G21" s="8" t="n">
        <v>0</v>
      </c>
      <c r="H21" s="8" t="n">
        <v>0</v>
      </c>
      <c r="I21" s="9" t="n">
        <f aca="false">AVERAGE(F21:H21)</f>
        <v>0.0144927536231884</v>
      </c>
    </row>
    <row r="22" customFormat="false" ht="15" hidden="false" customHeight="false" outlineLevel="0" collapsed="false">
      <c r="A22" s="7" t="s">
        <v>60</v>
      </c>
      <c r="B22" s="7" t="s">
        <v>42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9" t="n">
        <f aca="false">AVERAGE(F22:H22)</f>
        <v>0</v>
      </c>
    </row>
    <row r="23" customFormat="false" ht="15" hidden="false" customHeight="false" outlineLevel="0" collapsed="false">
      <c r="A23" s="7" t="s">
        <v>61</v>
      </c>
      <c r="B23" s="7" t="s">
        <v>42</v>
      </c>
      <c r="C23" s="8" t="n">
        <v>0.0909090909090909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0.1</v>
      </c>
      <c r="I23" s="9" t="n">
        <f aca="false">AVERAGE(F23:H23)</f>
        <v>0.0333333333333333</v>
      </c>
    </row>
    <row r="24" customFormat="false" ht="15" hidden="false" customHeight="false" outlineLevel="0" collapsed="false">
      <c r="A24" s="7" t="s">
        <v>62</v>
      </c>
      <c r="B24" s="7" t="s">
        <v>42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9" t="n">
        <f aca="false">AVERAGE(F24:H24)</f>
        <v>0</v>
      </c>
    </row>
    <row r="25" customFormat="false" ht="15" hidden="false" customHeight="false" outlineLevel="0" collapsed="false">
      <c r="A25" s="7" t="s">
        <v>63</v>
      </c>
      <c r="B25" s="7" t="s">
        <v>42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9" t="n">
        <f aca="false">AVERAGE(F25:H25)</f>
        <v>0</v>
      </c>
    </row>
    <row r="26" customFormat="false" ht="15" hidden="false" customHeight="false" outlineLevel="0" collapsed="false">
      <c r="A26" s="7" t="s">
        <v>64</v>
      </c>
      <c r="B26" s="7" t="s">
        <v>42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9" t="n">
        <f aca="false">AVERAGE(F26:H26)</f>
        <v>0</v>
      </c>
    </row>
    <row r="27" customFormat="false" ht="15" hidden="false" customHeight="false" outlineLevel="0" collapsed="false">
      <c r="A27" s="7" t="s">
        <v>65</v>
      </c>
      <c r="B27" s="7" t="s">
        <v>66</v>
      </c>
      <c r="C27" s="8" t="n">
        <v>0.0451612903225806</v>
      </c>
      <c r="D27" s="8" t="n">
        <v>0.0408163265306122</v>
      </c>
      <c r="E27" s="8" t="n">
        <v>0.0136054421768708</v>
      </c>
      <c r="F27" s="8" t="n">
        <v>0.049645390070922</v>
      </c>
      <c r="G27" s="8" t="n">
        <v>0</v>
      </c>
      <c r="H27" s="8" t="n">
        <v>0.00584795321637427</v>
      </c>
      <c r="I27" s="9" t="n">
        <f aca="false">AVERAGE(F27:H27)</f>
        <v>0.0184977810957654</v>
      </c>
    </row>
    <row r="28" customFormat="false" ht="15" hidden="false" customHeight="false" outlineLevel="0" collapsed="false">
      <c r="A28" s="7" t="s">
        <v>67</v>
      </c>
      <c r="B28" s="7" t="s">
        <v>66</v>
      </c>
      <c r="C28" s="8" t="n">
        <v>0.0666666666666667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9" t="n">
        <f aca="false">AVERAGE(F28:H28)</f>
        <v>0</v>
      </c>
    </row>
    <row r="31" customFormat="false" ht="15" hidden="false" customHeight="false" outlineLevel="0" collapsed="false">
      <c r="A31" s="10" t="s">
        <v>68</v>
      </c>
      <c r="B31" s="10"/>
      <c r="C31" s="10"/>
      <c r="D31" s="10"/>
      <c r="E31" s="10"/>
      <c r="F31" s="10"/>
      <c r="G31" s="10"/>
      <c r="H31" s="10"/>
      <c r="I31" s="10"/>
    </row>
  </sheetData>
  <mergeCells count="2">
    <mergeCell ref="A1:K1"/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5" t="s">
        <v>69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10" t="s">
        <v>70</v>
      </c>
      <c r="B2" s="10"/>
      <c r="C2" s="10"/>
      <c r="D2" s="10"/>
      <c r="E2" s="10"/>
      <c r="F2" s="10"/>
      <c r="G2" s="10"/>
      <c r="H2" s="10"/>
    </row>
    <row r="4" customFormat="false" ht="15" hidden="false" customHeight="false" outlineLevel="0" collapsed="false">
      <c r="A4" s="6" t="s">
        <v>71</v>
      </c>
      <c r="B4" s="6" t="s">
        <v>33</v>
      </c>
      <c r="C4" s="6" t="s">
        <v>72</v>
      </c>
      <c r="D4" s="6" t="s">
        <v>73</v>
      </c>
      <c r="E4" s="6" t="s">
        <v>74</v>
      </c>
      <c r="F4" s="6" t="s">
        <v>75</v>
      </c>
      <c r="G4" s="6" t="s">
        <v>76</v>
      </c>
      <c r="H4" s="6" t="s">
        <v>77</v>
      </c>
    </row>
    <row r="5" customFormat="false" ht="15" hidden="false" customHeight="false" outlineLevel="0" collapsed="false">
      <c r="A5" s="11" t="s">
        <v>37</v>
      </c>
      <c r="B5" s="11" t="s">
        <v>42</v>
      </c>
      <c r="C5" s="11" t="n">
        <v>30</v>
      </c>
      <c r="D5" s="11" t="s">
        <v>78</v>
      </c>
      <c r="E5" s="11" t="s">
        <v>44</v>
      </c>
      <c r="F5" s="12" t="n">
        <f aca="false">ROUND(C5*0.9,0)</f>
        <v>27</v>
      </c>
      <c r="G5" s="13"/>
      <c r="H5" s="14" t="s">
        <v>79</v>
      </c>
    </row>
    <row r="6" customFormat="false" ht="15" hidden="false" customHeight="false" outlineLevel="0" collapsed="false">
      <c r="A6" s="11" t="s">
        <v>37</v>
      </c>
      <c r="B6" s="11" t="s">
        <v>66</v>
      </c>
      <c r="C6" s="11" t="n">
        <v>20</v>
      </c>
      <c r="D6" s="11" t="s">
        <v>78</v>
      </c>
      <c r="E6" s="11" t="s">
        <v>65</v>
      </c>
      <c r="F6" s="12" t="n">
        <f aca="false">ROUND(C6*0.9,0)</f>
        <v>18</v>
      </c>
      <c r="G6" s="13"/>
      <c r="H6" s="14" t="s">
        <v>79</v>
      </c>
    </row>
    <row r="7" customFormat="false" ht="15" hidden="false" customHeight="false" outlineLevel="0" collapsed="false">
      <c r="A7" s="11" t="s">
        <v>38</v>
      </c>
      <c r="B7" s="11" t="s">
        <v>42</v>
      </c>
      <c r="C7" s="11" t="n">
        <v>20</v>
      </c>
      <c r="D7" s="11" t="s">
        <v>80</v>
      </c>
      <c r="E7" s="11" t="s">
        <v>44</v>
      </c>
      <c r="F7" s="12" t="n">
        <f aca="false">ROUND(C7*0.9,0)</f>
        <v>18</v>
      </c>
      <c r="G7" s="13"/>
      <c r="H7" s="14" t="s">
        <v>81</v>
      </c>
    </row>
    <row r="8" customFormat="false" ht="15" hidden="false" customHeight="false" outlineLevel="0" collapsed="false">
      <c r="A8" s="11" t="s">
        <v>38</v>
      </c>
      <c r="B8" s="11" t="s">
        <v>66</v>
      </c>
      <c r="C8" s="11" t="n">
        <v>35</v>
      </c>
      <c r="D8" s="11" t="s">
        <v>80</v>
      </c>
      <c r="E8" s="11" t="s">
        <v>65</v>
      </c>
      <c r="F8" s="12" t="n">
        <f aca="false">ROUND(C8*0.9,0)</f>
        <v>32</v>
      </c>
      <c r="G8" s="13"/>
      <c r="H8" s="14" t="s">
        <v>81</v>
      </c>
    </row>
    <row r="9" customFormat="false" ht="15" hidden="false" customHeight="false" outlineLevel="0" collapsed="false">
      <c r="A9" s="15" t="s">
        <v>39</v>
      </c>
      <c r="B9" s="11" t="s">
        <v>42</v>
      </c>
      <c r="C9" s="11" t="n">
        <v>20</v>
      </c>
      <c r="D9" s="11" t="s">
        <v>82</v>
      </c>
      <c r="E9" s="11" t="s">
        <v>44</v>
      </c>
      <c r="F9" s="12" t="n">
        <f aca="false">ROUND(C9*0.9,0)</f>
        <v>18</v>
      </c>
      <c r="G9" s="13"/>
      <c r="H9" s="14" t="s">
        <v>83</v>
      </c>
    </row>
    <row r="10" customFormat="false" ht="15" hidden="false" customHeight="false" outlineLevel="0" collapsed="false">
      <c r="A10" s="15" t="s">
        <v>39</v>
      </c>
      <c r="B10" s="11" t="s">
        <v>66</v>
      </c>
      <c r="C10" s="11" t="n">
        <v>35</v>
      </c>
      <c r="D10" s="11" t="s">
        <v>82</v>
      </c>
      <c r="E10" s="11" t="s">
        <v>65</v>
      </c>
      <c r="F10" s="12" t="n">
        <f aca="false">ROUND(C10*0.9,0)</f>
        <v>32</v>
      </c>
      <c r="G10" s="13"/>
      <c r="H10" s="14" t="s">
        <v>83</v>
      </c>
    </row>
    <row r="11" customFormat="false" ht="15" hidden="false" customHeight="false" outlineLevel="0" collapsed="false">
      <c r="A11" s="15" t="s">
        <v>84</v>
      </c>
      <c r="B11" s="11" t="s">
        <v>42</v>
      </c>
      <c r="C11" s="11" t="n">
        <v>20</v>
      </c>
      <c r="D11" s="11" t="s">
        <v>85</v>
      </c>
      <c r="E11" s="11" t="s">
        <v>44</v>
      </c>
      <c r="F11" s="12" t="n">
        <f aca="false">ROUND(C11*0.9,0)</f>
        <v>18</v>
      </c>
      <c r="G11" s="13"/>
      <c r="H11" s="14" t="s">
        <v>83</v>
      </c>
    </row>
    <row r="12" customFormat="false" ht="15" hidden="false" customHeight="false" outlineLevel="0" collapsed="false">
      <c r="A12" s="15" t="s">
        <v>84</v>
      </c>
      <c r="B12" s="11" t="s">
        <v>66</v>
      </c>
      <c r="C12" s="11" t="n">
        <v>35</v>
      </c>
      <c r="D12" s="11" t="s">
        <v>85</v>
      </c>
      <c r="E12" s="11" t="s">
        <v>65</v>
      </c>
      <c r="F12" s="12" t="n">
        <f aca="false">ROUND(C12*0.9,0)</f>
        <v>32</v>
      </c>
      <c r="G12" s="13"/>
      <c r="H12" s="14" t="s">
        <v>83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17" min="4" style="0" width="8"/>
  </cols>
  <sheetData>
    <row r="1" customFormat="false" ht="17.35" hidden="false" customHeight="false" outlineLevel="0" collapsed="false">
      <c r="A1" s="5" t="s">
        <v>86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customFormat="false" ht="15" hidden="false" customHeight="false" outlineLevel="0" collapsed="false">
      <c r="A2" s="10" t="s">
        <v>87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customFormat="false" ht="15" hidden="false" customHeight="false" outlineLevel="0" collapsed="false">
      <c r="F3" s="16" t="s">
        <v>88</v>
      </c>
      <c r="G3" s="16"/>
      <c r="H3" s="16"/>
      <c r="I3" s="16" t="s">
        <v>89</v>
      </c>
      <c r="J3" s="16"/>
      <c r="K3" s="16"/>
      <c r="L3" s="16" t="s">
        <v>90</v>
      </c>
      <c r="M3" s="16"/>
      <c r="N3" s="16"/>
      <c r="O3" s="16" t="s">
        <v>91</v>
      </c>
      <c r="P3" s="16"/>
      <c r="Q3" s="16"/>
    </row>
    <row r="4" customFormat="false" ht="15" hidden="false" customHeight="false" outlineLevel="0" collapsed="false">
      <c r="A4" s="17" t="s">
        <v>32</v>
      </c>
      <c r="B4" s="17" t="s">
        <v>33</v>
      </c>
      <c r="C4" s="17" t="s">
        <v>92</v>
      </c>
      <c r="D4" s="17" t="s">
        <v>93</v>
      </c>
      <c r="E4" s="17" t="s">
        <v>94</v>
      </c>
      <c r="F4" s="17" t="s">
        <v>95</v>
      </c>
      <c r="G4" s="17" t="s">
        <v>96</v>
      </c>
      <c r="H4" s="17" t="s">
        <v>97</v>
      </c>
      <c r="I4" s="17" t="s">
        <v>95</v>
      </c>
      <c r="J4" s="17" t="s">
        <v>96</v>
      </c>
      <c r="K4" s="17" t="s">
        <v>97</v>
      </c>
      <c r="L4" s="17" t="s">
        <v>95</v>
      </c>
      <c r="M4" s="17" t="s">
        <v>96</v>
      </c>
      <c r="N4" s="17" t="s">
        <v>97</v>
      </c>
      <c r="O4" s="17" t="s">
        <v>95</v>
      </c>
      <c r="P4" s="17" t="s">
        <v>96</v>
      </c>
      <c r="Q4" s="17" t="s">
        <v>97</v>
      </c>
    </row>
    <row r="5" customFormat="false" ht="15" hidden="false" customHeight="false" outlineLevel="0" collapsed="false">
      <c r="A5" s="18" t="s">
        <v>41</v>
      </c>
      <c r="B5" s="18" t="s">
        <v>42</v>
      </c>
      <c r="C5" s="19" t="n">
        <f aca="false">'Tasa Rotación'!I4</f>
        <v>0.0293631436314363</v>
      </c>
      <c r="D5" s="20" t="n">
        <v>276</v>
      </c>
      <c r="E5" s="20" t="n">
        <v>299</v>
      </c>
      <c r="F5" s="21" t="n">
        <v>0</v>
      </c>
      <c r="G5" s="21" t="n">
        <v>0</v>
      </c>
      <c r="H5" s="22" t="n">
        <f aca="false">ROUND(E5*(1-C5),0)+F5+G5</f>
        <v>290</v>
      </c>
      <c r="I5" s="21" t="n">
        <v>0</v>
      </c>
      <c r="J5" s="21" t="n">
        <v>0</v>
      </c>
      <c r="K5" s="22" t="n">
        <f aca="false">ROUND(H5*(1-C5),0)+I5+J5</f>
        <v>281</v>
      </c>
      <c r="L5" s="21" t="n">
        <v>0</v>
      </c>
      <c r="M5" s="21" t="n">
        <v>0</v>
      </c>
      <c r="N5" s="22" t="n">
        <f aca="false">ROUND(K5*(1-C5),0)+L5+M5</f>
        <v>273</v>
      </c>
      <c r="O5" s="21" t="n">
        <v>0</v>
      </c>
      <c r="P5" s="21" t="n">
        <v>0</v>
      </c>
      <c r="Q5" s="22" t="n">
        <f aca="false">ROUND(N5*(1-C5),0)+O5+P5</f>
        <v>265</v>
      </c>
    </row>
    <row r="6" customFormat="false" ht="15" hidden="false" customHeight="false" outlineLevel="0" collapsed="false">
      <c r="A6" s="18" t="s">
        <v>43</v>
      </c>
      <c r="B6" s="18" t="s">
        <v>42</v>
      </c>
      <c r="C6" s="19" t="n">
        <f aca="false">'Tasa Rotación'!I5</f>
        <v>0.031024531024531</v>
      </c>
      <c r="D6" s="20" t="n">
        <v>20</v>
      </c>
      <c r="E6" s="20" t="n">
        <v>21</v>
      </c>
      <c r="F6" s="21" t="n">
        <v>0</v>
      </c>
      <c r="G6" s="21" t="n">
        <v>0</v>
      </c>
      <c r="H6" s="22" t="n">
        <f aca="false">ROUND(E6*(1-C6),0)+F6+G6</f>
        <v>20</v>
      </c>
      <c r="I6" s="21" t="n">
        <v>0</v>
      </c>
      <c r="J6" s="21" t="n">
        <v>0</v>
      </c>
      <c r="K6" s="22" t="n">
        <f aca="false">ROUND(H6*(1-C6),0)+I6+J6</f>
        <v>19</v>
      </c>
      <c r="L6" s="21" t="n">
        <v>0</v>
      </c>
      <c r="M6" s="21" t="n">
        <v>0</v>
      </c>
      <c r="N6" s="22" t="n">
        <f aca="false">ROUND(K6*(1-C6),0)+L6+M6</f>
        <v>18</v>
      </c>
      <c r="O6" s="21" t="n">
        <v>0</v>
      </c>
      <c r="P6" s="21" t="n">
        <v>0</v>
      </c>
      <c r="Q6" s="22" t="n">
        <f aca="false">ROUND(N6*(1-C6),0)+O6+P6</f>
        <v>17</v>
      </c>
    </row>
    <row r="7" customFormat="false" ht="15" hidden="false" customHeight="false" outlineLevel="0" collapsed="false">
      <c r="A7" s="18" t="s">
        <v>44</v>
      </c>
      <c r="B7" s="18" t="s">
        <v>42</v>
      </c>
      <c r="C7" s="19" t="n">
        <f aca="false">'Tasa Rotación'!I6</f>
        <v>0.0317836812144213</v>
      </c>
      <c r="D7" s="20" t="n">
        <v>57</v>
      </c>
      <c r="E7" s="20" t="n">
        <v>43</v>
      </c>
      <c r="F7" s="21" t="n">
        <v>18</v>
      </c>
      <c r="G7" s="21" t="n">
        <v>0</v>
      </c>
      <c r="H7" s="22" t="n">
        <f aca="false">ROUND(E7*(1-C7),0)+F7+G7</f>
        <v>60</v>
      </c>
      <c r="I7" s="21" t="n">
        <v>27</v>
      </c>
      <c r="J7" s="21" t="n">
        <v>0</v>
      </c>
      <c r="K7" s="22" t="n">
        <f aca="false">ROUND(H7*(1-C7),0)+I7+J7</f>
        <v>85</v>
      </c>
      <c r="L7" s="21" t="n">
        <v>18</v>
      </c>
      <c r="M7" s="21" t="n">
        <v>0</v>
      </c>
      <c r="N7" s="22" t="n">
        <f aca="false">ROUND(K7*(1-C7),0)+L7+M7</f>
        <v>100</v>
      </c>
      <c r="O7" s="21" t="n">
        <v>18</v>
      </c>
      <c r="P7" s="21" t="n">
        <v>0</v>
      </c>
      <c r="Q7" s="22" t="n">
        <f aca="false">ROUND(N7*(1-C7),0)+O7+P7</f>
        <v>115</v>
      </c>
    </row>
    <row r="8" customFormat="false" ht="15" hidden="false" customHeight="false" outlineLevel="0" collapsed="false">
      <c r="A8" s="18" t="s">
        <v>45</v>
      </c>
      <c r="B8" s="18" t="s">
        <v>42</v>
      </c>
      <c r="C8" s="19" t="n">
        <f aca="false">'Tasa Rotación'!I7</f>
        <v>0.0791256157635468</v>
      </c>
      <c r="D8" s="20" t="n">
        <v>26</v>
      </c>
      <c r="E8" s="20" t="n">
        <v>30</v>
      </c>
      <c r="F8" s="21" t="n">
        <v>0</v>
      </c>
      <c r="G8" s="21" t="n">
        <v>0</v>
      </c>
      <c r="H8" s="22" t="n">
        <f aca="false">ROUND(E8*(1-C8),0)+F8+G8</f>
        <v>28</v>
      </c>
      <c r="I8" s="21" t="n">
        <v>0</v>
      </c>
      <c r="J8" s="21" t="n">
        <v>0</v>
      </c>
      <c r="K8" s="22" t="n">
        <f aca="false">ROUND(H8*(1-C8),0)+I8+J8</f>
        <v>26</v>
      </c>
      <c r="L8" s="21" t="n">
        <v>0</v>
      </c>
      <c r="M8" s="21" t="n">
        <v>0</v>
      </c>
      <c r="N8" s="22" t="n">
        <f aca="false">ROUND(K8*(1-C8),0)+L8+M8</f>
        <v>24</v>
      </c>
      <c r="O8" s="21" t="n">
        <v>0</v>
      </c>
      <c r="P8" s="21" t="n">
        <v>0</v>
      </c>
      <c r="Q8" s="22" t="n">
        <f aca="false">ROUND(N8*(1-C8),0)+O8+P8</f>
        <v>22</v>
      </c>
    </row>
    <row r="9" customFormat="false" ht="15" hidden="false" customHeight="false" outlineLevel="0" collapsed="false">
      <c r="A9" s="18" t="s">
        <v>46</v>
      </c>
      <c r="B9" s="18" t="s">
        <v>42</v>
      </c>
      <c r="C9" s="19" t="n">
        <f aca="false">'Tasa Rotación'!I8</f>
        <v>0.0833333333333333</v>
      </c>
      <c r="D9" s="20" t="n">
        <v>9</v>
      </c>
      <c r="E9" s="20" t="n">
        <v>0</v>
      </c>
      <c r="F9" s="21" t="n">
        <v>0</v>
      </c>
      <c r="G9" s="21" t="n">
        <v>0</v>
      </c>
      <c r="H9" s="22" t="n">
        <f aca="false">ROUND(E9*(1-C9),0)+F9+G9</f>
        <v>0</v>
      </c>
      <c r="I9" s="21" t="n">
        <v>0</v>
      </c>
      <c r="J9" s="21" t="n">
        <v>0</v>
      </c>
      <c r="K9" s="22" t="n">
        <f aca="false">ROUND(H9*(1-C9),0)+I9+J9</f>
        <v>0</v>
      </c>
      <c r="L9" s="21" t="n">
        <v>0</v>
      </c>
      <c r="M9" s="21" t="n">
        <v>0</v>
      </c>
      <c r="N9" s="22" t="n">
        <f aca="false">ROUND(K9*(1-C9),0)+L9+M9</f>
        <v>0</v>
      </c>
      <c r="O9" s="21" t="n">
        <v>0</v>
      </c>
      <c r="P9" s="21" t="n">
        <v>0</v>
      </c>
      <c r="Q9" s="22" t="n">
        <f aca="false">ROUND(N9*(1-C9),0)+O9+P9</f>
        <v>0</v>
      </c>
    </row>
    <row r="10" customFormat="false" ht="15" hidden="false" customHeight="false" outlineLevel="0" collapsed="false">
      <c r="A10" s="18" t="s">
        <v>47</v>
      </c>
      <c r="B10" s="18" t="s">
        <v>42</v>
      </c>
      <c r="C10" s="19" t="n">
        <f aca="false">'Tasa Rotación'!I9</f>
        <v>0</v>
      </c>
      <c r="D10" s="20" t="n">
        <v>38</v>
      </c>
      <c r="E10" s="20" t="n">
        <v>38</v>
      </c>
      <c r="F10" s="21" t="n">
        <v>0</v>
      </c>
      <c r="G10" s="21" t="n">
        <v>0</v>
      </c>
      <c r="H10" s="22" t="n">
        <f aca="false">ROUND(E10*(1-C10),0)+F10+G10</f>
        <v>38</v>
      </c>
      <c r="I10" s="21" t="n">
        <v>0</v>
      </c>
      <c r="J10" s="21" t="n">
        <v>0</v>
      </c>
      <c r="K10" s="22" t="n">
        <f aca="false">ROUND(H10*(1-C10),0)+I10+J10</f>
        <v>38</v>
      </c>
      <c r="L10" s="21" t="n">
        <v>0</v>
      </c>
      <c r="M10" s="21" t="n">
        <v>0</v>
      </c>
      <c r="N10" s="22" t="n">
        <f aca="false">ROUND(K10*(1-C10),0)+L10+M10</f>
        <v>38</v>
      </c>
      <c r="O10" s="21" t="n">
        <v>0</v>
      </c>
      <c r="P10" s="21" t="n">
        <v>0</v>
      </c>
      <c r="Q10" s="22" t="n">
        <f aca="false">ROUND(N10*(1-C10),0)+O10+P10</f>
        <v>38</v>
      </c>
    </row>
    <row r="11" customFormat="false" ht="15" hidden="false" customHeight="false" outlineLevel="0" collapsed="false">
      <c r="A11" s="18" t="s">
        <v>48</v>
      </c>
      <c r="B11" s="18" t="s">
        <v>42</v>
      </c>
      <c r="C11" s="19" t="n">
        <f aca="false">'Tasa Rotación'!I10</f>
        <v>0</v>
      </c>
      <c r="D11" s="20" t="n">
        <v>20</v>
      </c>
      <c r="E11" s="20" t="n">
        <v>20</v>
      </c>
      <c r="F11" s="21" t="n">
        <v>0</v>
      </c>
      <c r="G11" s="21" t="n">
        <v>0</v>
      </c>
      <c r="H11" s="22" t="n">
        <f aca="false">ROUND(E11*(1-C11),0)+F11+G11</f>
        <v>20</v>
      </c>
      <c r="I11" s="21" t="n">
        <v>0</v>
      </c>
      <c r="J11" s="21" t="n">
        <v>0</v>
      </c>
      <c r="K11" s="22" t="n">
        <f aca="false">ROUND(H11*(1-C11),0)+I11+J11</f>
        <v>20</v>
      </c>
      <c r="L11" s="21" t="n">
        <v>0</v>
      </c>
      <c r="M11" s="21" t="n">
        <v>0</v>
      </c>
      <c r="N11" s="22" t="n">
        <f aca="false">ROUND(K11*(1-C11),0)+L11+M11</f>
        <v>20</v>
      </c>
      <c r="O11" s="21" t="n">
        <v>0</v>
      </c>
      <c r="P11" s="21" t="n">
        <v>0</v>
      </c>
      <c r="Q11" s="22" t="n">
        <f aca="false">ROUND(N11*(1-C11),0)+O11+P11</f>
        <v>20</v>
      </c>
    </row>
    <row r="12" customFormat="false" ht="15" hidden="false" customHeight="false" outlineLevel="0" collapsed="false">
      <c r="A12" s="18" t="s">
        <v>49</v>
      </c>
      <c r="B12" s="18" t="s">
        <v>42</v>
      </c>
      <c r="C12" s="19" t="n">
        <f aca="false">'Tasa Rotación'!I11</f>
        <v>0.0166666666666667</v>
      </c>
      <c r="D12" s="20" t="n">
        <v>37</v>
      </c>
      <c r="E12" s="20" t="n">
        <v>38</v>
      </c>
      <c r="F12" s="21" t="n">
        <v>0</v>
      </c>
      <c r="G12" s="21" t="n">
        <v>2</v>
      </c>
      <c r="H12" s="22" t="n">
        <f aca="false">ROUND(E12*(1-C12),0)+F12+G12</f>
        <v>39</v>
      </c>
      <c r="I12" s="21" t="n">
        <v>0</v>
      </c>
      <c r="J12" s="21" t="n">
        <v>0</v>
      </c>
      <c r="K12" s="22" t="n">
        <f aca="false">ROUND(H12*(1-C12),0)+I12+J12</f>
        <v>38</v>
      </c>
      <c r="L12" s="21" t="n">
        <v>0</v>
      </c>
      <c r="M12" s="21" t="n">
        <v>0</v>
      </c>
      <c r="N12" s="22" t="n">
        <f aca="false">ROUND(K12*(1-C12),0)+L12+M12</f>
        <v>37</v>
      </c>
      <c r="O12" s="21" t="n">
        <v>0</v>
      </c>
      <c r="P12" s="21" t="n">
        <v>0</v>
      </c>
      <c r="Q12" s="22" t="n">
        <f aca="false">ROUND(N12*(1-C12),0)+O12+P12</f>
        <v>36</v>
      </c>
    </row>
    <row r="13" customFormat="false" ht="15" hidden="false" customHeight="false" outlineLevel="0" collapsed="false">
      <c r="A13" s="18" t="s">
        <v>50</v>
      </c>
      <c r="B13" s="18" t="s">
        <v>42</v>
      </c>
      <c r="C13" s="19" t="n">
        <f aca="false">'Tasa Rotación'!I12</f>
        <v>0</v>
      </c>
      <c r="D13" s="20" t="n">
        <v>16</v>
      </c>
      <c r="E13" s="20" t="n">
        <v>16</v>
      </c>
      <c r="F13" s="21" t="n">
        <v>0</v>
      </c>
      <c r="G13" s="21" t="n">
        <v>0</v>
      </c>
      <c r="H13" s="22" t="n">
        <f aca="false">ROUND(E13*(1-C13),0)+F13+G13</f>
        <v>16</v>
      </c>
      <c r="I13" s="21" t="n">
        <v>0</v>
      </c>
      <c r="J13" s="21" t="n">
        <v>0</v>
      </c>
      <c r="K13" s="22" t="n">
        <f aca="false">ROUND(H13*(1-C13),0)+I13+J13</f>
        <v>16</v>
      </c>
      <c r="L13" s="21" t="n">
        <v>0</v>
      </c>
      <c r="M13" s="21" t="n">
        <v>0</v>
      </c>
      <c r="N13" s="22" t="n">
        <f aca="false">ROUND(K13*(1-C13),0)+L13+M13</f>
        <v>16</v>
      </c>
      <c r="O13" s="21" t="n">
        <v>0</v>
      </c>
      <c r="P13" s="21" t="n">
        <v>0</v>
      </c>
      <c r="Q13" s="22" t="n">
        <f aca="false">ROUND(N13*(1-C13),0)+O13+P13</f>
        <v>16</v>
      </c>
    </row>
    <row r="14" customFormat="false" ht="15" hidden="false" customHeight="false" outlineLevel="0" collapsed="false">
      <c r="A14" s="18" t="s">
        <v>51</v>
      </c>
      <c r="B14" s="18" t="s">
        <v>42</v>
      </c>
      <c r="C14" s="19" t="n">
        <f aca="false">'Tasa Rotación'!I13</f>
        <v>0.00628930817610063</v>
      </c>
      <c r="D14" s="20" t="n">
        <v>106</v>
      </c>
      <c r="E14" s="20" t="n">
        <v>118</v>
      </c>
      <c r="F14" s="21" t="n">
        <v>0</v>
      </c>
      <c r="G14" s="21" t="n">
        <v>-6</v>
      </c>
      <c r="H14" s="22" t="n">
        <f aca="false">ROUND(E14*(1-C14),0)+F14+G14</f>
        <v>111</v>
      </c>
      <c r="I14" s="21" t="n">
        <v>0</v>
      </c>
      <c r="J14" s="21" t="n">
        <v>0</v>
      </c>
      <c r="K14" s="22" t="n">
        <f aca="false">ROUND(H14*(1-C14),0)+I14+J14</f>
        <v>110</v>
      </c>
      <c r="L14" s="21" t="n">
        <v>0</v>
      </c>
      <c r="M14" s="21" t="n">
        <v>0</v>
      </c>
      <c r="N14" s="22" t="n">
        <f aca="false">ROUND(K14*(1-C14),0)+L14+M14</f>
        <v>109</v>
      </c>
      <c r="O14" s="21" t="n">
        <v>0</v>
      </c>
      <c r="P14" s="21" t="n">
        <v>0</v>
      </c>
      <c r="Q14" s="22" t="n">
        <f aca="false">ROUND(N14*(1-C14),0)+O14+P14</f>
        <v>108</v>
      </c>
    </row>
    <row r="15" customFormat="false" ht="15" hidden="false" customHeight="false" outlineLevel="0" collapsed="false">
      <c r="A15" s="18" t="s">
        <v>52</v>
      </c>
      <c r="B15" s="18" t="s">
        <v>42</v>
      </c>
      <c r="C15" s="19" t="n">
        <f aca="false">'Tasa Rotación'!I14</f>
        <v>0</v>
      </c>
      <c r="D15" s="20" t="n">
        <v>34</v>
      </c>
      <c r="E15" s="20" t="n">
        <v>36</v>
      </c>
      <c r="F15" s="21" t="n">
        <v>0</v>
      </c>
      <c r="G15" s="21" t="n">
        <v>0</v>
      </c>
      <c r="H15" s="22" t="n">
        <f aca="false">ROUND(E15*(1-C15),0)+F15+G15</f>
        <v>36</v>
      </c>
      <c r="I15" s="21" t="n">
        <v>0</v>
      </c>
      <c r="J15" s="21" t="n">
        <v>0</v>
      </c>
      <c r="K15" s="22" t="n">
        <f aca="false">ROUND(H15*(1-C15),0)+I15+J15</f>
        <v>36</v>
      </c>
      <c r="L15" s="21" t="n">
        <v>0</v>
      </c>
      <c r="M15" s="21" t="n">
        <v>0</v>
      </c>
      <c r="N15" s="22" t="n">
        <f aca="false">ROUND(K15*(1-C15),0)+L15+M15</f>
        <v>36</v>
      </c>
      <c r="O15" s="21" t="n">
        <v>0</v>
      </c>
      <c r="P15" s="21" t="n">
        <v>0</v>
      </c>
      <c r="Q15" s="22" t="n">
        <f aca="false">ROUND(N15*(1-C15),0)+O15+P15</f>
        <v>36</v>
      </c>
    </row>
    <row r="16" customFormat="false" ht="15" hidden="false" customHeight="false" outlineLevel="0" collapsed="false">
      <c r="A16" s="18" t="s">
        <v>53</v>
      </c>
      <c r="B16" s="18" t="s">
        <v>42</v>
      </c>
      <c r="C16" s="19" t="n">
        <f aca="false">'Tasa Rotación'!I15</f>
        <v>0</v>
      </c>
      <c r="D16" s="20" t="n">
        <v>13</v>
      </c>
      <c r="E16" s="20" t="n">
        <v>13</v>
      </c>
      <c r="F16" s="21" t="n">
        <v>0</v>
      </c>
      <c r="G16" s="21" t="n">
        <v>0</v>
      </c>
      <c r="H16" s="22" t="n">
        <f aca="false">ROUND(E16*(1-C16),0)+F16+G16</f>
        <v>13</v>
      </c>
      <c r="I16" s="21" t="n">
        <v>0</v>
      </c>
      <c r="J16" s="21" t="n">
        <v>0</v>
      </c>
      <c r="K16" s="22" t="n">
        <f aca="false">ROUND(H16*(1-C16),0)+I16+J16</f>
        <v>13</v>
      </c>
      <c r="L16" s="21" t="n">
        <v>0</v>
      </c>
      <c r="M16" s="21" t="n">
        <v>0</v>
      </c>
      <c r="N16" s="22" t="n">
        <f aca="false">ROUND(K16*(1-C16),0)+L16+M16</f>
        <v>13</v>
      </c>
      <c r="O16" s="21" t="n">
        <v>0</v>
      </c>
      <c r="P16" s="21" t="n">
        <v>0</v>
      </c>
      <c r="Q16" s="22" t="n">
        <f aca="false">ROUND(N16*(1-C16),0)+O16+P16</f>
        <v>13</v>
      </c>
    </row>
    <row r="17" customFormat="false" ht="15" hidden="false" customHeight="false" outlineLevel="0" collapsed="false">
      <c r="A17" s="18" t="s">
        <v>54</v>
      </c>
      <c r="B17" s="18" t="s">
        <v>42</v>
      </c>
      <c r="C17" s="19" t="n">
        <f aca="false">'Tasa Rotación'!I16</f>
        <v>0</v>
      </c>
      <c r="D17" s="20" t="n">
        <v>23</v>
      </c>
      <c r="E17" s="20" t="n">
        <v>23</v>
      </c>
      <c r="F17" s="21" t="n">
        <v>0</v>
      </c>
      <c r="G17" s="21" t="n">
        <v>0</v>
      </c>
      <c r="H17" s="22" t="n">
        <f aca="false">ROUND(E17*(1-C17),0)+F17+G17</f>
        <v>23</v>
      </c>
      <c r="I17" s="21" t="n">
        <v>0</v>
      </c>
      <c r="J17" s="21" t="n">
        <v>0</v>
      </c>
      <c r="K17" s="22" t="n">
        <f aca="false">ROUND(H17*(1-C17),0)+I17+J17</f>
        <v>23</v>
      </c>
      <c r="L17" s="21" t="n">
        <v>0</v>
      </c>
      <c r="M17" s="21" t="n">
        <v>0</v>
      </c>
      <c r="N17" s="22" t="n">
        <f aca="false">ROUND(K17*(1-C17),0)+L17+M17</f>
        <v>23</v>
      </c>
      <c r="O17" s="21" t="n">
        <v>0</v>
      </c>
      <c r="P17" s="21" t="n">
        <v>0</v>
      </c>
      <c r="Q17" s="22" t="n">
        <f aca="false">ROUND(N17*(1-C17),0)+O17+P17</f>
        <v>23</v>
      </c>
    </row>
    <row r="18" customFormat="false" ht="15" hidden="false" customHeight="false" outlineLevel="0" collapsed="false">
      <c r="A18" s="18" t="s">
        <v>55</v>
      </c>
      <c r="B18" s="18" t="s">
        <v>42</v>
      </c>
      <c r="C18" s="19" t="n">
        <f aca="false">'Tasa Rotación'!I17</f>
        <v>0</v>
      </c>
      <c r="D18" s="20" t="n">
        <v>26</v>
      </c>
      <c r="E18" s="20" t="n">
        <v>29</v>
      </c>
      <c r="F18" s="21" t="n">
        <v>0</v>
      </c>
      <c r="G18" s="21" t="n">
        <v>0</v>
      </c>
      <c r="H18" s="22" t="n">
        <f aca="false">ROUND(E18*(1-C18),0)+F18+G18</f>
        <v>29</v>
      </c>
      <c r="I18" s="21" t="n">
        <v>0</v>
      </c>
      <c r="J18" s="21" t="n">
        <v>0</v>
      </c>
      <c r="K18" s="22" t="n">
        <f aca="false">ROUND(H18*(1-C18),0)+I18+J18</f>
        <v>29</v>
      </c>
      <c r="L18" s="21" t="n">
        <v>0</v>
      </c>
      <c r="M18" s="21" t="n">
        <v>0</v>
      </c>
      <c r="N18" s="22" t="n">
        <f aca="false">ROUND(K18*(1-C18),0)+L18+M18</f>
        <v>29</v>
      </c>
      <c r="O18" s="21" t="n">
        <v>0</v>
      </c>
      <c r="P18" s="21" t="n">
        <v>0</v>
      </c>
      <c r="Q18" s="22" t="n">
        <f aca="false">ROUND(N18*(1-C18),0)+O18+P18</f>
        <v>29</v>
      </c>
    </row>
    <row r="19" customFormat="false" ht="15" hidden="false" customHeight="false" outlineLevel="0" collapsed="false">
      <c r="A19" s="18" t="s">
        <v>56</v>
      </c>
      <c r="B19" s="18" t="s">
        <v>42</v>
      </c>
      <c r="C19" s="19" t="n">
        <f aca="false">'Tasa Rotación'!I18</f>
        <v>0</v>
      </c>
      <c r="D19" s="20" t="n">
        <v>15</v>
      </c>
      <c r="E19" s="20" t="n">
        <v>15</v>
      </c>
      <c r="F19" s="21" t="n">
        <v>0</v>
      </c>
      <c r="G19" s="21" t="n">
        <v>0</v>
      </c>
      <c r="H19" s="22" t="n">
        <f aca="false">ROUND(E19*(1-C19),0)+F19+G19</f>
        <v>15</v>
      </c>
      <c r="I19" s="21" t="n">
        <v>0</v>
      </c>
      <c r="J19" s="21" t="n">
        <v>0</v>
      </c>
      <c r="K19" s="22" t="n">
        <f aca="false">ROUND(H19*(1-C19),0)+I19+J19</f>
        <v>15</v>
      </c>
      <c r="L19" s="21" t="n">
        <v>0</v>
      </c>
      <c r="M19" s="21" t="n">
        <v>0</v>
      </c>
      <c r="N19" s="22" t="n">
        <f aca="false">ROUND(K19*(1-C19),0)+L19+M19</f>
        <v>15</v>
      </c>
      <c r="O19" s="21" t="n">
        <v>0</v>
      </c>
      <c r="P19" s="21" t="n">
        <v>0</v>
      </c>
      <c r="Q19" s="22" t="n">
        <f aca="false">ROUND(N19*(1-C19),0)+O19+P19</f>
        <v>15</v>
      </c>
    </row>
    <row r="20" customFormat="false" ht="15" hidden="false" customHeight="false" outlineLevel="0" collapsed="false">
      <c r="A20" s="18" t="s">
        <v>57</v>
      </c>
      <c r="B20" s="18" t="s">
        <v>42</v>
      </c>
      <c r="C20" s="19" t="n">
        <f aca="false">'Tasa Rotación'!I19</f>
        <v>0</v>
      </c>
      <c r="D20" s="20" t="n">
        <v>34</v>
      </c>
      <c r="E20" s="20" t="n">
        <v>34</v>
      </c>
      <c r="F20" s="21" t="n">
        <v>0</v>
      </c>
      <c r="G20" s="21" t="n">
        <v>0</v>
      </c>
      <c r="H20" s="22" t="n">
        <f aca="false">ROUND(E20*(1-C20),0)+F20+G20</f>
        <v>34</v>
      </c>
      <c r="I20" s="21" t="n">
        <v>0</v>
      </c>
      <c r="J20" s="21" t="n">
        <v>0</v>
      </c>
      <c r="K20" s="22" t="n">
        <f aca="false">ROUND(H20*(1-C20),0)+I20+J20</f>
        <v>34</v>
      </c>
      <c r="L20" s="21" t="n">
        <v>0</v>
      </c>
      <c r="M20" s="21" t="n">
        <v>0</v>
      </c>
      <c r="N20" s="22" t="n">
        <f aca="false">ROUND(K20*(1-C20),0)+L20+M20</f>
        <v>34</v>
      </c>
      <c r="O20" s="21" t="n">
        <v>0</v>
      </c>
      <c r="P20" s="21" t="n">
        <v>0</v>
      </c>
      <c r="Q20" s="22" t="n">
        <f aca="false">ROUND(N20*(1-C20),0)+O20+P20</f>
        <v>34</v>
      </c>
    </row>
    <row r="21" customFormat="false" ht="15" hidden="false" customHeight="false" outlineLevel="0" collapsed="false">
      <c r="A21" s="18" t="s">
        <v>58</v>
      </c>
      <c r="B21" s="18" t="s">
        <v>42</v>
      </c>
      <c r="C21" s="19" t="n">
        <f aca="false">'Tasa Rotación'!I20</f>
        <v>0</v>
      </c>
      <c r="D21" s="20" t="n">
        <v>5</v>
      </c>
      <c r="E21" s="20" t="n">
        <v>5</v>
      </c>
      <c r="F21" s="21" t="n">
        <v>0</v>
      </c>
      <c r="G21" s="21" t="n">
        <v>0</v>
      </c>
      <c r="H21" s="22" t="n">
        <f aca="false">ROUND(E21*(1-C21),0)+F21+G21</f>
        <v>5</v>
      </c>
      <c r="I21" s="21" t="n">
        <v>0</v>
      </c>
      <c r="J21" s="21" t="n">
        <v>0</v>
      </c>
      <c r="K21" s="22" t="n">
        <f aca="false">ROUND(H21*(1-C21),0)+I21+J21</f>
        <v>5</v>
      </c>
      <c r="L21" s="21" t="n">
        <v>0</v>
      </c>
      <c r="M21" s="21" t="n">
        <v>0</v>
      </c>
      <c r="N21" s="22" t="n">
        <f aca="false">ROUND(K21*(1-C21),0)+L21+M21</f>
        <v>5</v>
      </c>
      <c r="O21" s="21" t="n">
        <v>0</v>
      </c>
      <c r="P21" s="21" t="n">
        <v>0</v>
      </c>
      <c r="Q21" s="22" t="n">
        <f aca="false">ROUND(N21*(1-C21),0)+O21+P21</f>
        <v>5</v>
      </c>
    </row>
    <row r="22" customFormat="false" ht="15" hidden="false" customHeight="false" outlineLevel="0" collapsed="false">
      <c r="A22" s="18" t="s">
        <v>59</v>
      </c>
      <c r="B22" s="18" t="s">
        <v>42</v>
      </c>
      <c r="C22" s="19" t="n">
        <f aca="false">'Tasa Rotación'!I21</f>
        <v>0.0144927536231884</v>
      </c>
      <c r="D22" s="20" t="n">
        <v>22</v>
      </c>
      <c r="E22" s="20" t="n">
        <v>22</v>
      </c>
      <c r="F22" s="21" t="n">
        <v>0</v>
      </c>
      <c r="G22" s="21" t="n">
        <v>0</v>
      </c>
      <c r="H22" s="22" t="n">
        <f aca="false">ROUND(E22*(1-C22),0)+F22+G22</f>
        <v>22</v>
      </c>
      <c r="I22" s="21" t="n">
        <v>0</v>
      </c>
      <c r="J22" s="21" t="n">
        <v>0</v>
      </c>
      <c r="K22" s="22" t="n">
        <f aca="false">ROUND(H22*(1-C22),0)+I22+J22</f>
        <v>22</v>
      </c>
      <c r="L22" s="21" t="n">
        <v>0</v>
      </c>
      <c r="M22" s="21" t="n">
        <v>0</v>
      </c>
      <c r="N22" s="22" t="n">
        <f aca="false">ROUND(K22*(1-C22),0)+L22+M22</f>
        <v>22</v>
      </c>
      <c r="O22" s="21" t="n">
        <v>0</v>
      </c>
      <c r="P22" s="21" t="n">
        <v>0</v>
      </c>
      <c r="Q22" s="22" t="n">
        <f aca="false">ROUND(N22*(1-C22),0)+O22+P22</f>
        <v>22</v>
      </c>
    </row>
    <row r="23" customFormat="false" ht="15" hidden="false" customHeight="false" outlineLevel="0" collapsed="false">
      <c r="A23" s="18" t="s">
        <v>60</v>
      </c>
      <c r="B23" s="18" t="s">
        <v>42</v>
      </c>
      <c r="C23" s="19" t="n">
        <f aca="false">'Tasa Rotación'!I22</f>
        <v>0</v>
      </c>
      <c r="D23" s="20" t="n">
        <v>14</v>
      </c>
      <c r="E23" s="20" t="n">
        <v>14</v>
      </c>
      <c r="F23" s="21" t="n">
        <v>0</v>
      </c>
      <c r="G23" s="21" t="n">
        <v>0</v>
      </c>
      <c r="H23" s="22" t="n">
        <f aca="false">ROUND(E23*(1-C23),0)+F23+G23</f>
        <v>14</v>
      </c>
      <c r="I23" s="21" t="n">
        <v>0</v>
      </c>
      <c r="J23" s="21" t="n">
        <v>0</v>
      </c>
      <c r="K23" s="22" t="n">
        <f aca="false">ROUND(H23*(1-C23),0)+I23+J23</f>
        <v>14</v>
      </c>
      <c r="L23" s="21" t="n">
        <v>0</v>
      </c>
      <c r="M23" s="21" t="n">
        <v>0</v>
      </c>
      <c r="N23" s="22" t="n">
        <f aca="false">ROUND(K23*(1-C23),0)+L23+M23</f>
        <v>14</v>
      </c>
      <c r="O23" s="21" t="n">
        <v>0</v>
      </c>
      <c r="P23" s="21" t="n">
        <v>0</v>
      </c>
      <c r="Q23" s="22" t="n">
        <f aca="false">ROUND(N23*(1-C23),0)+O23+P23</f>
        <v>14</v>
      </c>
    </row>
    <row r="24" customFormat="false" ht="15" hidden="false" customHeight="false" outlineLevel="0" collapsed="false">
      <c r="A24" s="18" t="s">
        <v>61</v>
      </c>
      <c r="B24" s="18" t="s">
        <v>42</v>
      </c>
      <c r="C24" s="19" t="n">
        <f aca="false">'Tasa Rotación'!I23</f>
        <v>0.0333333333333333</v>
      </c>
      <c r="D24" s="20" t="n">
        <v>10</v>
      </c>
      <c r="E24" s="20" t="n">
        <v>9</v>
      </c>
      <c r="F24" s="21" t="n">
        <v>0</v>
      </c>
      <c r="G24" s="21" t="n">
        <v>0</v>
      </c>
      <c r="H24" s="22" t="n">
        <f aca="false">ROUND(E24*(1-C24),0)+F24+G24</f>
        <v>9</v>
      </c>
      <c r="I24" s="21" t="n">
        <v>0</v>
      </c>
      <c r="J24" s="21" t="n">
        <v>0</v>
      </c>
      <c r="K24" s="22" t="n">
        <f aca="false">ROUND(H24*(1-C24),0)+I24+J24</f>
        <v>9</v>
      </c>
      <c r="L24" s="21" t="n">
        <v>0</v>
      </c>
      <c r="M24" s="21" t="n">
        <v>0</v>
      </c>
      <c r="N24" s="22" t="n">
        <f aca="false">ROUND(K24*(1-C24),0)+L24+M24</f>
        <v>9</v>
      </c>
      <c r="O24" s="21" t="n">
        <v>0</v>
      </c>
      <c r="P24" s="21" t="n">
        <v>0</v>
      </c>
      <c r="Q24" s="22" t="n">
        <f aca="false">ROUND(N24*(1-C24),0)+O24+P24</f>
        <v>9</v>
      </c>
    </row>
    <row r="25" customFormat="false" ht="15" hidden="false" customHeight="false" outlineLevel="0" collapsed="false">
      <c r="A25" s="18" t="s">
        <v>62</v>
      </c>
      <c r="B25" s="18" t="s">
        <v>42</v>
      </c>
      <c r="C25" s="19" t="n">
        <f aca="false">'Tasa Rotación'!I24</f>
        <v>0</v>
      </c>
      <c r="D25" s="20" t="n">
        <v>5</v>
      </c>
      <c r="E25" s="20" t="n">
        <v>5</v>
      </c>
      <c r="F25" s="21" t="n">
        <v>0</v>
      </c>
      <c r="G25" s="21" t="n">
        <v>0</v>
      </c>
      <c r="H25" s="22" t="n">
        <f aca="false">ROUND(E25*(1-C25),0)+F25+G25</f>
        <v>5</v>
      </c>
      <c r="I25" s="21" t="n">
        <v>0</v>
      </c>
      <c r="J25" s="21" t="n">
        <v>0</v>
      </c>
      <c r="K25" s="22" t="n">
        <f aca="false">ROUND(H25*(1-C25),0)+I25+J25</f>
        <v>5</v>
      </c>
      <c r="L25" s="21" t="n">
        <v>0</v>
      </c>
      <c r="M25" s="21" t="n">
        <v>0</v>
      </c>
      <c r="N25" s="22" t="n">
        <f aca="false">ROUND(K25*(1-C25),0)+L25+M25</f>
        <v>5</v>
      </c>
      <c r="O25" s="21" t="n">
        <v>0</v>
      </c>
      <c r="P25" s="21" t="n">
        <v>0</v>
      </c>
      <c r="Q25" s="22" t="n">
        <f aca="false">ROUND(N25*(1-C25),0)+O25+P25</f>
        <v>5</v>
      </c>
    </row>
    <row r="26" customFormat="false" ht="15" hidden="false" customHeight="false" outlineLevel="0" collapsed="false">
      <c r="A26" s="18" t="s">
        <v>63</v>
      </c>
      <c r="B26" s="18" t="s">
        <v>42</v>
      </c>
      <c r="C26" s="19" t="n">
        <f aca="false">'Tasa Rotación'!I25</f>
        <v>0</v>
      </c>
      <c r="D26" s="20" t="n">
        <v>4</v>
      </c>
      <c r="E26" s="20" t="n">
        <v>4</v>
      </c>
      <c r="F26" s="21" t="n">
        <v>0</v>
      </c>
      <c r="G26" s="21" t="n">
        <v>0</v>
      </c>
      <c r="H26" s="22" t="n">
        <f aca="false">ROUND(E26*(1-C26),0)+F26+G26</f>
        <v>4</v>
      </c>
      <c r="I26" s="21" t="n">
        <v>0</v>
      </c>
      <c r="J26" s="21" t="n">
        <v>0</v>
      </c>
      <c r="K26" s="22" t="n">
        <f aca="false">ROUND(H26*(1-C26),0)+I26+J26</f>
        <v>4</v>
      </c>
      <c r="L26" s="21" t="n">
        <v>0</v>
      </c>
      <c r="M26" s="21" t="n">
        <v>0</v>
      </c>
      <c r="N26" s="22" t="n">
        <f aca="false">ROUND(K26*(1-C26),0)+L26+M26</f>
        <v>4</v>
      </c>
      <c r="O26" s="21" t="n">
        <v>0</v>
      </c>
      <c r="P26" s="21" t="n">
        <v>0</v>
      </c>
      <c r="Q26" s="22" t="n">
        <f aca="false">ROUND(N26*(1-C26),0)+O26+P26</f>
        <v>4</v>
      </c>
    </row>
    <row r="27" customFormat="false" ht="15" hidden="false" customHeight="false" outlineLevel="0" collapsed="false">
      <c r="A27" s="18" t="s">
        <v>64</v>
      </c>
      <c r="B27" s="18" t="s">
        <v>42</v>
      </c>
      <c r="C27" s="19" t="n">
        <f aca="false">'Tasa Rotación'!I26</f>
        <v>0</v>
      </c>
      <c r="D27" s="20" t="n">
        <v>14</v>
      </c>
      <c r="E27" s="20" t="n">
        <v>0</v>
      </c>
      <c r="F27" s="21" t="n">
        <v>0</v>
      </c>
      <c r="G27" s="21" t="n">
        <v>0</v>
      </c>
      <c r="H27" s="22" t="n">
        <f aca="false">ROUND(E27*(1-C27),0)+F27+G27</f>
        <v>0</v>
      </c>
      <c r="I27" s="21" t="n">
        <v>0</v>
      </c>
      <c r="J27" s="21" t="n">
        <v>0</v>
      </c>
      <c r="K27" s="22" t="n">
        <f aca="false">ROUND(H27*(1-C27),0)+I27+J27</f>
        <v>0</v>
      </c>
      <c r="L27" s="21" t="n">
        <v>0</v>
      </c>
      <c r="M27" s="21" t="n">
        <v>0</v>
      </c>
      <c r="N27" s="22" t="n">
        <f aca="false">ROUND(K27*(1-C27),0)+L27+M27</f>
        <v>0</v>
      </c>
      <c r="O27" s="21" t="n">
        <v>0</v>
      </c>
      <c r="P27" s="21" t="n">
        <v>0</v>
      </c>
      <c r="Q27" s="22" t="n">
        <f aca="false">ROUND(N27*(1-C27),0)+O27+P27</f>
        <v>0</v>
      </c>
    </row>
    <row r="28" customFormat="false" ht="15" hidden="false" customHeight="false" outlineLevel="0" collapsed="false">
      <c r="A28" s="18" t="s">
        <v>65</v>
      </c>
      <c r="B28" s="18" t="s">
        <v>66</v>
      </c>
      <c r="C28" s="19" t="n">
        <f aca="false">'Tasa Rotación'!I27</f>
        <v>0.0184977810957654</v>
      </c>
      <c r="D28" s="20" t="n">
        <v>146</v>
      </c>
      <c r="E28" s="20" t="n">
        <v>170</v>
      </c>
      <c r="F28" s="21" t="n">
        <v>32</v>
      </c>
      <c r="G28" s="21" t="n">
        <v>0</v>
      </c>
      <c r="H28" s="22" t="n">
        <f aca="false">ROUND(E28*(1-C28),0)+F28+G28</f>
        <v>199</v>
      </c>
      <c r="I28" s="21" t="n">
        <v>18</v>
      </c>
      <c r="J28" s="21" t="n">
        <v>0</v>
      </c>
      <c r="K28" s="22" t="n">
        <f aca="false">ROUND(H28*(1-C28),0)+I28+J28</f>
        <v>213</v>
      </c>
      <c r="L28" s="21" t="n">
        <v>32</v>
      </c>
      <c r="M28" s="21" t="n">
        <v>0</v>
      </c>
      <c r="N28" s="22" t="n">
        <f aca="false">ROUND(K28*(1-C28),0)+L28+M28</f>
        <v>241</v>
      </c>
      <c r="O28" s="21" t="n">
        <v>32</v>
      </c>
      <c r="P28" s="21" t="n">
        <v>0</v>
      </c>
      <c r="Q28" s="22" t="n">
        <f aca="false">ROUND(N28*(1-C28),0)+O28+P28</f>
        <v>269</v>
      </c>
    </row>
    <row r="29" customFormat="false" ht="15" hidden="false" customHeight="false" outlineLevel="0" collapsed="false">
      <c r="A29" s="18" t="s">
        <v>67</v>
      </c>
      <c r="B29" s="18" t="s">
        <v>66</v>
      </c>
      <c r="C29" s="19" t="n">
        <f aca="false">'Tasa Rotación'!I28</f>
        <v>0</v>
      </c>
      <c r="D29" s="20" t="n">
        <v>13</v>
      </c>
      <c r="E29" s="20" t="n">
        <v>13</v>
      </c>
      <c r="F29" s="21" t="n">
        <v>0</v>
      </c>
      <c r="G29" s="21" t="n">
        <v>0</v>
      </c>
      <c r="H29" s="22" t="n">
        <f aca="false">ROUND(E29*(1-C29),0)+F29+G29</f>
        <v>13</v>
      </c>
      <c r="I29" s="21" t="n">
        <v>0</v>
      </c>
      <c r="J29" s="21" t="n">
        <v>0</v>
      </c>
      <c r="K29" s="22" t="n">
        <f aca="false">ROUND(H29*(1-C29),0)+I29+J29</f>
        <v>13</v>
      </c>
      <c r="L29" s="21" t="n">
        <v>0</v>
      </c>
      <c r="M29" s="21" t="n">
        <v>0</v>
      </c>
      <c r="N29" s="22" t="n">
        <f aca="false">ROUND(K29*(1-C29),0)+L29+M29</f>
        <v>13</v>
      </c>
      <c r="O29" s="21" t="n">
        <v>0</v>
      </c>
      <c r="P29" s="21" t="n">
        <v>0</v>
      </c>
      <c r="Q29" s="22" t="n">
        <f aca="false">ROUND(N29*(1-C29),0)+O29+P29</f>
        <v>13</v>
      </c>
    </row>
    <row r="31" customFormat="false" ht="15" hidden="false" customHeight="false" outlineLevel="0" collapsed="false">
      <c r="A31" s="23" t="s">
        <v>98</v>
      </c>
      <c r="D31" s="6" t="n">
        <f aca="false">SUM(D5:D29)</f>
        <v>983</v>
      </c>
      <c r="E31" s="6" t="n">
        <f aca="false">SUM(E5:E29)</f>
        <v>1015</v>
      </c>
      <c r="F31" s="6" t="n">
        <f aca="false">SUM(F5:F29)</f>
        <v>50</v>
      </c>
      <c r="G31" s="6" t="n">
        <f aca="false">SUM(G5:G29)</f>
        <v>-4</v>
      </c>
      <c r="H31" s="6" t="n">
        <f aca="false">SUM(H5:H29)</f>
        <v>1043</v>
      </c>
      <c r="I31" s="6" t="n">
        <f aca="false">SUM(I5:I29)</f>
        <v>45</v>
      </c>
      <c r="J31" s="6" t="n">
        <f aca="false">SUM(J5:J29)</f>
        <v>0</v>
      </c>
      <c r="K31" s="6" t="n">
        <f aca="false">SUM(K5:K29)</f>
        <v>1068</v>
      </c>
      <c r="L31" s="6" t="n">
        <f aca="false">SUM(L5:L29)</f>
        <v>50</v>
      </c>
      <c r="M31" s="6" t="n">
        <f aca="false">SUM(M5:M29)</f>
        <v>0</v>
      </c>
      <c r="N31" s="6" t="n">
        <f aca="false">SUM(N5:N29)</f>
        <v>1098</v>
      </c>
      <c r="O31" s="6" t="n">
        <f aca="false">SUM(O5:O29)</f>
        <v>50</v>
      </c>
      <c r="P31" s="6" t="n">
        <f aca="false">SUM(P5:P29)</f>
        <v>0</v>
      </c>
      <c r="Q31" s="6" t="n">
        <f aca="false">SUM(Q5:Q29)</f>
        <v>1128</v>
      </c>
    </row>
    <row r="33" customFormat="false" ht="15" hidden="false" customHeight="false" outlineLevel="0" collapsed="false">
      <c r="A33" s="24" t="s">
        <v>99</v>
      </c>
    </row>
    <row r="34" customFormat="false" ht="15" hidden="false" customHeight="false" outlineLevel="0" collapsed="false">
      <c r="A34" s="25" t="s">
        <v>100</v>
      </c>
    </row>
    <row r="35" customFormat="false" ht="15" hidden="false" customHeight="false" outlineLevel="0" collapsed="false">
      <c r="A35" s="26" t="s">
        <v>101</v>
      </c>
    </row>
    <row r="36" customFormat="false" ht="15" hidden="false" customHeight="false" outlineLevel="0" collapsed="false">
      <c r="A36" s="24" t="s">
        <v>102</v>
      </c>
    </row>
  </sheetData>
  <mergeCells count="6">
    <mergeCell ref="A1:T1"/>
    <mergeCell ref="A2:T2"/>
    <mergeCell ref="F3:H3"/>
    <mergeCell ref="I3:K3"/>
    <mergeCell ref="L3:N3"/>
    <mergeCell ref="O3:Q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0"/>
  </cols>
  <sheetData>
    <row r="1" customFormat="false" ht="17.35" hidden="false" customHeight="false" outlineLevel="0" collapsed="false">
      <c r="A1" s="5" t="s">
        <v>103</v>
      </c>
      <c r="B1" s="5"/>
      <c r="C1" s="5"/>
      <c r="D1" s="5"/>
      <c r="E1" s="5"/>
      <c r="F1" s="5"/>
      <c r="G1" s="5"/>
    </row>
    <row r="3" customFormat="false" ht="15" hidden="false" customHeight="false" outlineLevel="0" collapsed="false">
      <c r="A3" s="6" t="s">
        <v>104</v>
      </c>
      <c r="B3" s="6" t="s">
        <v>38</v>
      </c>
      <c r="C3" s="6" t="s">
        <v>39</v>
      </c>
      <c r="D3" s="6" t="s">
        <v>84</v>
      </c>
      <c r="E3" s="6" t="s">
        <v>105</v>
      </c>
      <c r="F3" s="6" t="s">
        <v>106</v>
      </c>
      <c r="G3" s="6" t="s">
        <v>107</v>
      </c>
    </row>
    <row r="4" customFormat="false" ht="15" hidden="false" customHeight="false" outlineLevel="0" collapsed="false">
      <c r="A4" s="27" t="s">
        <v>108</v>
      </c>
    </row>
    <row r="5" customFormat="false" ht="15" hidden="false" customHeight="false" outlineLevel="0" collapsed="false">
      <c r="A5" s="7" t="s">
        <v>109</v>
      </c>
      <c r="B5" s="28" t="n">
        <v>836</v>
      </c>
      <c r="C5" s="28" t="n">
        <v>889</v>
      </c>
      <c r="D5" s="28" t="n">
        <v>851</v>
      </c>
      <c r="E5" s="28" t="n">
        <v>784</v>
      </c>
      <c r="F5" s="28" t="n">
        <v>761</v>
      </c>
      <c r="G5" s="28" t="n">
        <v>732</v>
      </c>
    </row>
    <row r="6" customFormat="false" ht="15" hidden="false" customHeight="false" outlineLevel="0" collapsed="false">
      <c r="A6" s="7" t="s">
        <v>110</v>
      </c>
      <c r="B6" s="28" t="n">
        <v>824</v>
      </c>
      <c r="C6" s="28" t="n">
        <v>832</v>
      </c>
      <c r="D6" s="28" t="n">
        <f aca="false">SUM(Proyección!H5,Proyección!H6,Proyección!H7,Proyección!H8,Proyección!H9,Proyección!H10,Proyección!H11,Proyección!H12,Proyección!H13,Proyección!H14,Proyección!H15,Proyección!H16,Proyección!H17,Proyección!H18,Proyección!H19,Proyección!H20,Proyección!H21,Proyección!H22,Proyección!H23,Proyección!H24,Proyección!H25,Proyección!H26,Proyección!H27)</f>
        <v>831</v>
      </c>
      <c r="E6" s="28" t="n">
        <f aca="false">SUM(Proyección!K5,Proyección!K6,Proyección!K7,Proyección!K8,Proyección!K9,Proyección!K10,Proyección!K11,Proyección!K12,Proyección!K13,Proyección!K14,Proyección!K15,Proyección!K16,Proyección!K17,Proyección!K18,Proyección!K19,Proyección!K20,Proyección!K21,Proyección!K22,Proyección!K23,Proyección!K24,Proyección!K25,Proyección!K26,Proyección!K27)</f>
        <v>842</v>
      </c>
      <c r="F6" s="28" t="n">
        <f aca="false">SUM(Proyección!N5,Proyección!N6,Proyección!N7,Proyección!N8,Proyección!N9,Proyección!N10,Proyección!N11,Proyección!N12,Proyección!N13,Proyección!N14,Proyección!N15,Proyección!N16,Proyección!N17,Proyección!N18,Proyección!N19,Proyección!N20,Proyección!N21,Proyección!N22,Proyección!N23,Proyección!N24,Proyección!N25,Proyección!N26,Proyección!N27)</f>
        <v>844</v>
      </c>
      <c r="G6" s="28" t="n">
        <f aca="false">SUM(Proyección!Q5,Proyección!Q6,Proyección!Q7,Proyección!Q8,Proyección!Q9,Proyección!Q10,Proyección!Q11,Proyección!Q12,Proyección!Q13,Proyección!Q14,Proyección!Q15,Proyección!Q16,Proyección!Q17,Proyección!Q18,Proyección!Q19,Proyección!Q20,Proyección!Q21,Proyección!Q22,Proyección!Q23,Proyección!Q24,Proyección!Q25,Proyección!Q26,Proyección!Q27)</f>
        <v>846</v>
      </c>
    </row>
    <row r="7" customFormat="false" ht="15" hidden="false" customHeight="false" outlineLevel="0" collapsed="false">
      <c r="A7" s="24" t="s">
        <v>111</v>
      </c>
      <c r="B7" s="29" t="n">
        <f aca="false">B6/B5</f>
        <v>0.985645933014354</v>
      </c>
      <c r="C7" s="29" t="n">
        <f aca="false">C6/C5</f>
        <v>0.935883014623172</v>
      </c>
      <c r="D7" s="29" t="n">
        <f aca="false">D6/D5</f>
        <v>0.976498237367803</v>
      </c>
      <c r="E7" s="29" t="n">
        <f aca="false">E6/E5</f>
        <v>1.07397959183673</v>
      </c>
      <c r="F7" s="29" t="n">
        <f aca="false">F6/F5</f>
        <v>1.10906701708279</v>
      </c>
      <c r="G7" s="29" t="n">
        <f aca="false">G6/G5</f>
        <v>1.15573770491803</v>
      </c>
    </row>
    <row r="9" customFormat="false" ht="15" hidden="false" customHeight="false" outlineLevel="0" collapsed="false">
      <c r="A9" s="27" t="s">
        <v>112</v>
      </c>
    </row>
    <row r="10" customFormat="false" ht="15" hidden="false" customHeight="false" outlineLevel="0" collapsed="false">
      <c r="A10" s="7" t="s">
        <v>109</v>
      </c>
      <c r="B10" s="28" t="n">
        <v>171</v>
      </c>
      <c r="C10" s="28" t="n">
        <v>227</v>
      </c>
      <c r="D10" s="28" t="n">
        <v>245</v>
      </c>
      <c r="E10" s="28" t="n">
        <v>242</v>
      </c>
      <c r="F10" s="28" t="n">
        <v>255</v>
      </c>
      <c r="G10" s="28" t="n">
        <v>240</v>
      </c>
    </row>
    <row r="11" customFormat="false" ht="15" hidden="false" customHeight="false" outlineLevel="0" collapsed="false">
      <c r="A11" s="7" t="s">
        <v>110</v>
      </c>
      <c r="B11" s="28" t="n">
        <v>159</v>
      </c>
      <c r="C11" s="28" t="n">
        <v>183</v>
      </c>
      <c r="D11" s="28" t="n">
        <f aca="false">SUM(Proyección!H28,Proyección!H29)</f>
        <v>212</v>
      </c>
      <c r="E11" s="28" t="n">
        <f aca="false">SUM(Proyección!K28,Proyección!K29)</f>
        <v>226</v>
      </c>
      <c r="F11" s="28" t="n">
        <f aca="false">SUM(Proyección!N28,Proyección!N29)</f>
        <v>254</v>
      </c>
      <c r="G11" s="28" t="n">
        <f aca="false">SUM(Proyección!Q28,Proyección!Q29)</f>
        <v>282</v>
      </c>
    </row>
    <row r="12" customFormat="false" ht="15" hidden="false" customHeight="false" outlineLevel="0" collapsed="false">
      <c r="A12" s="24" t="s">
        <v>111</v>
      </c>
      <c r="B12" s="29" t="n">
        <f aca="false">B11/B10</f>
        <v>0.929824561403509</v>
      </c>
      <c r="C12" s="29" t="n">
        <f aca="false">C11/C10</f>
        <v>0.806167400881057</v>
      </c>
      <c r="D12" s="29" t="n">
        <f aca="false">D11/D10</f>
        <v>0.86530612244898</v>
      </c>
      <c r="E12" s="29" t="n">
        <f aca="false">E11/E10</f>
        <v>0.933884297520661</v>
      </c>
      <c r="F12" s="29" t="n">
        <f aca="false">F11/F10</f>
        <v>0.996078431372549</v>
      </c>
      <c r="G12" s="29" t="n">
        <f aca="false">G11/G10</f>
        <v>1.175</v>
      </c>
    </row>
    <row r="14" customFormat="false" ht="15" hidden="false" customHeight="false" outlineLevel="0" collapsed="false">
      <c r="A14" s="27" t="s">
        <v>113</v>
      </c>
    </row>
    <row r="15" customFormat="false" ht="15" hidden="false" customHeight="false" outlineLevel="0" collapsed="false">
      <c r="A15" s="7" t="s">
        <v>109</v>
      </c>
      <c r="B15" s="28" t="n">
        <f aca="false">B5+B10</f>
        <v>1007</v>
      </c>
      <c r="C15" s="28" t="n">
        <f aca="false">C5+C10</f>
        <v>1116</v>
      </c>
      <c r="D15" s="28" t="n">
        <f aca="false">D5+D10</f>
        <v>1096</v>
      </c>
      <c r="E15" s="28" t="n">
        <f aca="false">E5+E10</f>
        <v>1026</v>
      </c>
      <c r="F15" s="28" t="n">
        <f aca="false">F5+F10</f>
        <v>1016</v>
      </c>
      <c r="G15" s="28" t="n">
        <f aca="false">G5+G10</f>
        <v>972</v>
      </c>
    </row>
    <row r="16" customFormat="false" ht="15" hidden="false" customHeight="false" outlineLevel="0" collapsed="false">
      <c r="A16" s="7" t="s">
        <v>110</v>
      </c>
      <c r="B16" s="28" t="n">
        <f aca="false">B6+B11</f>
        <v>983</v>
      </c>
      <c r="C16" s="28" t="n">
        <f aca="false">C6+C11</f>
        <v>1015</v>
      </c>
      <c r="D16" s="28" t="n">
        <f aca="false">D6+D11</f>
        <v>1043</v>
      </c>
      <c r="E16" s="28" t="n">
        <f aca="false">E6+E11</f>
        <v>1068</v>
      </c>
      <c r="F16" s="28" t="n">
        <f aca="false">F6+F11</f>
        <v>1098</v>
      </c>
      <c r="G16" s="28" t="n">
        <f aca="false">G6+G11</f>
        <v>1128</v>
      </c>
    </row>
    <row r="17" customFormat="false" ht="15" hidden="false" customHeight="false" outlineLevel="0" collapsed="false">
      <c r="A17" s="24" t="s">
        <v>111</v>
      </c>
      <c r="B17" s="29" t="n">
        <f aca="false">B16/B15</f>
        <v>0.976166832174777</v>
      </c>
      <c r="C17" s="29" t="n">
        <f aca="false">C16/C15</f>
        <v>0.909498207885305</v>
      </c>
      <c r="D17" s="29" t="n">
        <f aca="false">D16/D15</f>
        <v>0.951642335766423</v>
      </c>
      <c r="E17" s="29" t="n">
        <f aca="false">E16/E15</f>
        <v>1.04093567251462</v>
      </c>
      <c r="F17" s="29" t="n">
        <f aca="false">F16/F15</f>
        <v>1.08070866141732</v>
      </c>
      <c r="G17" s="29" t="n">
        <f aca="false">G16/G15</f>
        <v>1.16049382716049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2026-06-10T02:51:26Z</dcterms:created>
  <dc:creator>openpyxl</dc:creator>
  <dc:description/>
  <dc:language>en-US</dc:language>
  <cp:lastModifiedBy/>
  <dcterms:modified xsi:type="dcterms:W3CDTF">2026-06-10T02:51:26Z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