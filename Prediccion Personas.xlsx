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Históricos" sheetId="1" state="visible" r:id="rId3"/>
    <sheet name="Análisis &amp; Predicción" sheetId="2" state="visible" r:id="rId4"/>
    <sheet name="📋 Instruccio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<sst xmlns="http://schemas.openxmlformats.org/spreadsheetml/2006/main" count="181" uniqueCount="120">
  <si>
    <t xml:space="preserve">📊  REGISTRO HISTÓRICO DE INGRESOS Y EGRESOS DE PERSONAS</t>
  </si>
  <si>
    <t xml:space="preserve">Ingresa datos reales en las celdas azules (Ingresos) y rojas (Egresos). Las columnas Neto se calculan automáticamente.</t>
  </si>
  <si>
    <t xml:space="preserve">AÑO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</si>
  <si>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</si>
  <si>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</si>
  <si>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</si>
  <si>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</si>
  <si>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</si>
  <si>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</si>
  <si>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</si>
  <si>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</si>
  <si>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</si>
  <si>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</si>
  <si>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</si>
  <si>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</si>
  <si>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
INGRESOS</t>
  </si>
  <si>
    <t xml:space="preserve">TOT
EGRESOS</t>
  </si>
  <si>
    <t xml:space="preserve">NETO
ACUM</t>
  </si>
  <si>
    <t xml:space="preserve">Ingresos</t>
  </si>
  <si>
    <t xml:space="preserve">Egresos</t>
  </si>
  <si>
    <t xml:space="preserve">Neto</t>
  </si>
  <si>
    <t xml:space="preserve">⬇  Agrega un nuevo año aquí: escribe el año en col A, luego llena Ingresos y Egresos por mes</t>
  </si>
  <si>
    <t xml:space="preserve">🔮  ANÁLISIS ESTADÍSTICO Y PREDICCIÓN  —  FORECAST.LINEAR + ESCENARIOS</t>
  </si>
  <si>
    <t xml:space="preserve">Predicción por REGRESIÓN LINEAL (FORECAST.LINEAR) mes a mes. Agrega más años históricos en Hoja 1 y esta hoja se actualiza automáticamente.</t>
  </si>
  <si>
    <t xml:space="preserve">DATOS POR AÑO (tabla auxiliar para regresión — no modificar)</t>
  </si>
  <si>
    <t xml:space="preserve">Periodo</t>
  </si>
  <si>
    <t xml:space="preserve">Año</t>
  </si>
  <si>
    <t xml:space="preserve">ENE
Ing</t>
  </si>
  <si>
    <t xml:space="preserve">FEB
Ing</t>
  </si>
  <si>
    <t xml:space="preserve">MAR
Ing</t>
  </si>
  <si>
    <t xml:space="preserve">ABR
Ing</t>
  </si>
  <si>
    <t xml:space="preserve">MAY
Ing</t>
  </si>
  <si>
    <t xml:space="preserve">JUN
Ing</t>
  </si>
  <si>
    <t xml:space="preserve">JUL
Ing</t>
  </si>
  <si>
    <t xml:space="preserve">AGO
Ing</t>
  </si>
  <si>
    <t xml:space="preserve">SEP
Ing</t>
  </si>
  <si>
    <t xml:space="preserve">OCT
Ing</t>
  </si>
  <si>
    <t xml:space="preserve">NOV
Ing</t>
  </si>
  <si>
    <t xml:space="preserve">DIC
Ing</t>
  </si>
  <si>
    <t xml:space="preserve">ENE
Egr</t>
  </si>
  <si>
    <t xml:space="preserve">FEB
Egr</t>
  </si>
  <si>
    <t xml:space="preserve">MAR
Egr</t>
  </si>
  <si>
    <t xml:space="preserve">ABR
Egr</t>
  </si>
  <si>
    <t xml:space="preserve">MAY
Egr</t>
  </si>
  <si>
    <t xml:space="preserve">JUN
Egr</t>
  </si>
  <si>
    <t xml:space="preserve">JUL
Egr</t>
  </si>
  <si>
    <t xml:space="preserve">AGO
Egr</t>
  </si>
  <si>
    <t xml:space="preserve">SEP
Egr</t>
  </si>
  <si>
    <t xml:space="preserve">OCT
Egr</t>
  </si>
  <si>
    <t xml:space="preserve">NOV
Egr</t>
  </si>
  <si>
    <t xml:space="preserve">DIC
Egr</t>
  </si>
  <si>
    <t xml:space="preserve">⬇  Cuando agregues un año nuevo en Hoja 1, extiende esta tabla hacia abajo con el periodo siguiente y referencias a esa fila</t>
  </si>
  <si>
    <t xml:space="preserve">SECCIÓN 1 – PROMEDIOS HISTÓRICOS POR MES</t>
  </si>
  <si>
    <t xml:space="preserve">Mes</t>
  </si>
  <si>
    <t xml:space="preserve">Prom.Ingresos</t>
  </si>
  <si>
    <t xml:space="preserve">Prom.Egresos</t>
  </si>
  <si>
    <t xml:space="preserve">Prom.Neto</t>
  </si>
  <si>
    <t xml:space="preserve">% Egreso/Ingreso</t>
  </si>
  <si>
    <t xml:space="preserve">Índice Estacionalidad</t>
  </si>
  <si>
    <t xml:space="preserve">Mín Ingresos</t>
  </si>
  <si>
    <t xml:space="preserve">Máx Ingresos</t>
  </si>
  <si>
    <t xml:space="preserve">SECCIÓN 2 – PARÁMETROS DE PREDICCIÓN  (celdas en amarillo = editables)</t>
  </si>
  <si>
    <t xml:space="preserve">Año a predecir</t>
  </si>
  <si>
    <t xml:space="preserve">Cambia este valor al año que deseas estimar</t>
  </si>
  <si>
    <t xml:space="preserve">Factor ajuste tendencia</t>
  </si>
  <si>
    <t xml:space="preserve">Ajuste manual sobre el forecast. Ej: -0.05 = 5% menos</t>
  </si>
  <si>
    <t xml:space="preserve">Multiplicador Pesimista</t>
  </si>
  <si>
    <t xml:space="preserve">0.85 = 15% menos que la predicción central</t>
  </si>
  <si>
    <t xml:space="preserve">Multiplicador Optimista</t>
  </si>
  <si>
    <t xml:space="preserve">1.15 = 15% más que la predicción central</t>
  </si>
  <si>
    <t xml:space="preserve">Confianza en el modelo (info)</t>
  </si>
  <si>
    <t xml:space="preserve">Basado en R² de la regresión — calculado automáticamente</t>
  </si>
  <si>
    <t xml:space="preserve">SECCIÓN 3 – PREDICCIÓN MENSUAL  (FORECAST.LINEAR + ajustes)</t>
  </si>
  <si>
    <t xml:space="preserve">Período
Predicho</t>
  </si>
  <si>
    <t xml:space="preserve">FORECAST
Ingresos (raw)</t>
  </si>
  <si>
    <t xml:space="preserve">Con Tendencia
(Central Ing.)</t>
  </si>
  <si>
    <t xml:space="preserve">Pesimista
Ingresos</t>
  </si>
  <si>
    <t xml:space="preserve">Optimista
Ingresos</t>
  </si>
  <si>
    <t xml:space="preserve">FORECAST
Egresos (raw)</t>
  </si>
  <si>
    <t xml:space="preserve">Egresos
Central</t>
  </si>
  <si>
    <t xml:space="preserve">Neto
Central</t>
  </si>
  <si>
    <t xml:space="preserve">Neto
Pesimista</t>
  </si>
  <si>
    <t xml:space="preserve">Neto
Optimista</t>
  </si>
  <si>
    <t xml:space="preserve">Variación vs
prom histórico</t>
  </si>
  <si>
    <t xml:space="preserve">TOTAL AÑO</t>
  </si>
  <si>
    <t xml:space="preserve">SECCIÓN 4 – KPIs PREDICTIVOS</t>
  </si>
  <si>
    <t xml:space="preserve">Tasa retención promedio histórica</t>
  </si>
  <si>
    <t xml:space="preserve">Mes pico ingresos histórico</t>
  </si>
  <si>
    <t xml:space="preserve">Mes mayor rotación histórica</t>
  </si>
  <si>
    <t xml:space="preserve">Total ingresos predichos (central)</t>
  </si>
  <si>
    <t xml:space="preserve">Total egresos predichos (central)</t>
  </si>
  <si>
    <t xml:space="preserve">Neto anual predicho (central)</t>
  </si>
  <si>
    <t xml:space="preserve">Neto anual pesimista</t>
  </si>
  <si>
    <t xml:space="preserve">Neto anual optimista</t>
  </si>
  <si>
    <t xml:space="preserve">📋  GUÍA DE USO DE LA PLANTILLA</t>
  </si>
  <si>
    <t xml:space="preserve">HOJA 1 — Datos Históricos</t>
  </si>
  <si>
    <t xml:space="preserve">• Col A = Año. Col B en adelante = Ingresos y Egresos por mes (pares).</t>
  </si>
  <si>
    <t xml:space="preserve">• Para agregar un nuevo mes con datos: llena Ingresos y Egresos en la columna correspondiente.</t>
  </si>
  <si>
    <t xml:space="preserve">• Para agregar un año nuevo: escribe el año en col A de la fila vacía y llena sus datos.</t>
  </si>
  <si>
    <t xml:space="preserve">• Las columnas 'Neto' y los Totales se calculan solos.</t>
  </si>
  <si>
    <t xml:space="preserve">HOJA 2 — Análisis &amp; Predicción</t>
  </si>
  <si>
    <t xml:space="preserve">• Tabla auxiliar (arriba): vincula automáticamente los datos históricos para la regresión.</t>
  </si>
  <si>
    <t xml:space="preserve">  Al agregar un año nuevo en Hoja 1, extiende esta tabla agregando una fila con el período siguiente.</t>
  </si>
  <si>
    <t xml:space="preserve">• SECCIÓN 1: Promedios e índices de estacionalidad por mes — se actualizan solos.</t>
  </si>
  <si>
    <t xml:space="preserve">• SECCIÓN 2: Cambia el 'Año a predecir' y los multiplicadores (celdas en AMARILLO).</t>
  </si>
  <si>
    <t xml:space="preserve">  - Factor tendencia: 0 = sin ajuste manual. -0.05 = 5% a la baja.</t>
  </si>
  <si>
    <t xml:space="preserve">  - Pesimista/Optimista: rango de incertidumbre (ej. 0.85 / 1.15).</t>
  </si>
  <si>
    <t xml:space="preserve">• SECCIÓN 3: Predicción mensual automática usando FORECAST.LINEAR.</t>
  </si>
  <si>
    <t xml:space="preserve">• SECCIÓN 4: KPIs anuales calculados a partir de la predicción central.</t>
  </si>
  <si>
    <t xml:space="preserve">FÓRMULA ESTADÍSTICA USADA</t>
  </si>
  <si>
    <t xml:space="preserve">FORECAST.LINEAR(x_nuevo, y_conocidos, x_conocidos)</t>
  </si>
  <si>
    <t xml:space="preserve">Ajusta una línea de regresión sobre los datos históricos año a año por cada mes.</t>
  </si>
  <si>
    <t xml:space="preserve">A más años de datos reales, mayor precisión en la predicción.</t>
  </si>
  <si>
    <t xml:space="preserve">El índice de estacionalidad muestra qué meses están por encima/abajo del promedio anual.</t>
  </si>
  <si>
    <t xml:space="preserve">COLORES DE REFERENCIA</t>
  </si>
  <si>
    <t xml:space="preserve">Azul = Ingresos (personas que entraron)</t>
  </si>
  <si>
    <t xml:space="preserve">Rojo = Egresos (personas que salieron)</t>
  </si>
  <si>
    <t xml:space="preserve">Verde = Neto (diferencia)</t>
  </si>
  <si>
    <t xml:space="preserve">Amarillo = Celdas editables / parámetros</t>
  </si>
  <si>
    <t xml:space="preserve">Azul oscuro = Fórmulas calculadas (no editar)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</si>
</sst>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#,##0.0"/>
    <numFmt numFmtId="168" formatCode="0.0%"/>
    <numFmt numFmtId="169" formatCode="0.00"/>
    <numFmt numFmtId="170" formatCode="0%"/>
    <numFmt numFmtId="171" formatCode="\+0.0%;\-0.0%;\-"/>
    <numFmt numFmtId="172" formatCode="@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55A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37474F"/>
      <name val="Arial"/>
      <family val="0"/>
      <charset val="1"/>
    </font>
    <font>
      <sz val="10"/>
      <color rgb="FF0D47A1"/>
      <name val="Arial"/>
      <family val="0"/>
      <charset val="1"/>
    </font>
    <font>
      <sz val="10"/>
      <color rgb="FFB71C1C"/>
      <name val="Arial"/>
      <family val="0"/>
      <charset val="1"/>
    </font>
    <font>
      <sz val="10"/>
      <color rgb="FF1B5E2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9"/>
      <color rgb="FF4527A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37474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0"/>
      <color rgb="FF4527A0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57575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10"/>
      <color rgb="FF4527A0"/>
      <name val="Arial"/>
      <family val="0"/>
      <charset val="1"/>
    </font>
    <font>
      <sz val="10"/>
      <color rgb="FFBF360C"/>
      <name val="Arial"/>
      <family val="0"/>
      <charset val="1"/>
    </font>
    <font>
      <sz val="10"/>
      <color rgb="FFFFFFFF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565C0"/>
        <bgColor rgb="FF1976D2"/>
      </patternFill>
    </fill>
    <fill>
      <patternFill patternType="solid">
        <fgColor rgb="FFF5F5F5"/>
        <bgColor rgb="FFFAFAFA"/>
      </patternFill>
    </fill>
    <fill>
      <patternFill patternType="solid">
        <fgColor rgb="FF263238"/>
        <bgColor rgb="FF37474F"/>
      </patternFill>
    </fill>
    <fill>
      <patternFill patternType="solid">
        <fgColor rgb="FF1976D2"/>
        <bgColor rgb="FF1565C0"/>
      </patternFill>
    </fill>
    <fill>
      <patternFill patternType="solid">
        <fgColor rgb="FFE3F2FD"/>
        <bgColor rgb="FFDCEEFB"/>
      </patternFill>
    </fill>
    <fill>
      <patternFill patternType="solid">
        <fgColor rgb="FFFFEBEE"/>
        <bgColor rgb="FFF3E5F5"/>
      </patternFill>
    </fill>
    <fill>
      <patternFill patternType="solid">
        <fgColor rgb="FFE8F5E9"/>
        <bgColor rgb="FFECEFF1"/>
      </patternFill>
    </fill>
    <fill>
      <patternFill patternType="solid">
        <fgColor rgb="FFECEFF1"/>
        <bgColor rgb="FFE8F5E9"/>
      </patternFill>
    </fill>
    <fill>
      <patternFill patternType="solid">
        <fgColor rgb="FFFF8F00"/>
        <bgColor rgb="FFFF6600"/>
      </patternFill>
    </fill>
    <fill>
      <patternFill patternType="solid">
        <fgColor rgb="FF4527A0"/>
        <bgColor rgb="FF512DA8"/>
      </patternFill>
    </fill>
    <fill>
      <patternFill patternType="solid">
        <fgColor rgb="FFF3E5F5"/>
        <bgColor rgb="FFEDE7F6"/>
      </patternFill>
    </fill>
    <fill>
      <patternFill patternType="solid">
        <fgColor rgb="FF546E7A"/>
        <bgColor rgb="FF607D8B"/>
      </patternFill>
    </fill>
    <fill>
      <patternFill patternType="solid">
        <fgColor rgb="FF607D8B"/>
        <bgColor rgb="FF546E7A"/>
      </patternFill>
    </fill>
    <fill>
      <patternFill patternType="solid">
        <fgColor rgb="FF7B1FA2"/>
        <bgColor rgb="FF512DA8"/>
      </patternFill>
    </fill>
    <fill>
      <patternFill patternType="solid">
        <fgColor rgb="FFFFF9C4"/>
        <bgColor rgb="FFFFFDE7"/>
      </patternFill>
    </fill>
    <fill>
      <patternFill patternType="solid">
        <fgColor rgb="FFFFFDE7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EDE7F6"/>
        <bgColor rgb="FFF3E5F5"/>
      </patternFill>
    </fill>
    <fill>
      <patternFill patternType="solid">
        <fgColor rgb="FF512DA8"/>
        <bgColor rgb="FF4527A0"/>
      </patternFill>
    </fill>
    <fill>
      <patternFill patternType="solid">
        <fgColor rgb="FFDCEEFB"/>
        <bgColor rgb="FFE3F2FD"/>
      </patternFill>
    </fill>
    <fill>
      <patternFill patternType="solid">
        <fgColor rgb="FFC5CAE9"/>
        <bgColor rgb="FFBDBDBD"/>
      </patternFill>
    </fill>
    <fill>
      <patternFill patternType="solid">
        <fgColor rgb="FFFFCDD2"/>
        <bgColor rgb="FFF3E5F5"/>
      </patternFill>
    </fill>
    <fill>
      <patternFill patternType="solid">
        <fgColor rgb="FF311B92"/>
        <bgColor rgb="FF4527A0"/>
      </patternFill>
    </fill>
    <fill>
      <patternFill patternType="solid">
        <fgColor rgb="FF37474F"/>
        <bgColor rgb="FF455A64"/>
      </patternFill>
    </fill>
    <fill>
      <patternFill patternType="solid">
        <fgColor rgb="FFFFFFFF"/>
        <bgColor rgb="FFFAFAFA"/>
      </patternFill>
    </fill>
    <fill>
      <patternFill patternType="solid">
        <fgColor rgb="FF0000FF"/>
        <bgColor rgb="FF0000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BEE"/>
      <rgbColor rgb="FFFF00FF"/>
      <rgbColor rgb="FF00FFFF"/>
      <rgbColor rgb="FF800000"/>
      <rgbColor rgb="FF1B5E20"/>
      <rgbColor rgb="FF311B92"/>
      <rgbColor rgb="FF808000"/>
      <rgbColor rgb="FF7B1FA2"/>
      <rgbColor rgb="FF0D47A1"/>
      <rgbColor rgb="FFBDBDBD"/>
      <rgbColor rgb="FF757575"/>
      <rgbColor rgb="FF9999FF"/>
      <rgbColor rgb="FFB71C1C"/>
      <rgbColor rgb="FFFFF9C4"/>
      <rgbColor rgb="FFDCEEFB"/>
      <rgbColor rgb="FF512DA8"/>
      <rgbColor rgb="FFFF8080"/>
      <rgbColor rgb="FF1565C0"/>
      <rgbColor rgb="FFC5CAE9"/>
      <rgbColor rgb="FF000080"/>
      <rgbColor rgb="FFFF00FF"/>
      <rgbColor rgb="FFF5F5F5"/>
      <rgbColor rgb="FF00FFFF"/>
      <rgbColor rgb="FF800080"/>
      <rgbColor rgb="FF800000"/>
      <rgbColor rgb="FF455A64"/>
      <rgbColor rgb="FF0000FF"/>
      <rgbColor rgb="FF00CCFF"/>
      <rgbColor rgb="FFE3F2FD"/>
      <rgbColor rgb="FFE8F5E9"/>
      <rgbColor rgb="FFFFFDE7"/>
      <rgbColor rgb="FFEDE7F6"/>
      <rgbColor rgb="FFF3E5F5"/>
      <rgbColor rgb="FFECEFF1"/>
      <rgbColor rgb="FFFFCDD2"/>
      <rgbColor rgb="FF1976D2"/>
      <rgbColor rgb="FF33CCCC"/>
      <rgbColor rgb="FF99CC00"/>
      <rgbColor rgb="FFFAFAFA"/>
      <rgbColor rgb="FFFF8F00"/>
      <rgbColor rgb="FFFF6600"/>
      <rgbColor rgb="FF546E7A"/>
      <rgbColor rgb="FF969696"/>
      <rgbColor rgb="FF1A237E"/>
      <rgbColor rgb="FF607D8B"/>
      <rgbColor rgb="FF003300"/>
      <rgbColor rgb="FF37474F"/>
      <rgbColor rgb="FFBF360C"/>
      <rgbColor rgb="FF993366"/>
      <rgbColor rgb="FF4527A0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40" min="2" style="0" width="9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21.75" hidden="false" customHeight="true" outlineLevel="0" collapsed="false">
      <c r="A3" s="3" t="s">
        <v>2</v>
      </c>
      <c r="B3" s="4" t="s">
        <v>3</v>
      </c>
      <c r="C3" s="4"/>
      <c r="D3" s="4"/>
      <c r="E3" s="4" t="s">
        <v>4</v>
      </c>
      <c r="F3" s="4"/>
      <c r="G3" s="4"/>
      <c r="H3" s="4" t="s">
        <v>5</v>
      </c>
      <c r="I3" s="4"/>
      <c r="J3" s="4"/>
      <c r="K3" s="4" t="s">
        <v>6</v>
      </c>
      <c r="L3" s="4"/>
      <c r="M3" s="4"/>
      <c r="N3" s="4" t="s">
        <v>7</v>
      </c>
      <c r="O3" s="4"/>
      <c r="P3" s="4"/>
      <c r="Q3" s="4" t="s">
        <v>8</v>
      </c>
      <c r="R3" s="4"/>
      <c r="S3" s="4"/>
      <c r="T3" s="4" t="s">
        <v>9</v>
      </c>
      <c r="U3" s="4"/>
      <c r="V3" s="4"/>
      <c r="W3" s="4" t="s">
        <v>10</v>
      </c>
      <c r="X3" s="4"/>
      <c r="Y3" s="4"/>
      <c r="Z3" s="4" t="s">
        <v>11</v>
      </c>
      <c r="AA3" s="4"/>
      <c r="AB3" s="4"/>
      <c r="AC3" s="4" t="s">
        <v>12</v>
      </c>
      <c r="AD3" s="4"/>
      <c r="AE3" s="4"/>
      <c r="AF3" s="4" t="s">
        <v>13</v>
      </c>
      <c r="AG3" s="4"/>
      <c r="AH3" s="4"/>
      <c r="AI3" s="4" t="s">
        <v>14</v>
      </c>
      <c r="AJ3" s="4"/>
      <c r="AK3" s="4"/>
      <c r="AL3" s="5" t="s">
        <v>15</v>
      </c>
      <c r="AM3" s="5" t="s">
        <v>16</v>
      </c>
      <c r="AN3" s="5" t="s">
        <v>17</v>
      </c>
    </row>
    <row r="4" customFormat="false" ht="18" hidden="false" customHeight="true" outlineLevel="0" collapsed="false">
      <c r="A4" s="6"/>
      <c r="B4" s="7" t="s">
        <v>18</v>
      </c>
      <c r="C4" s="8" t="s">
        <v>19</v>
      </c>
      <c r="D4" s="9" t="s">
        <v>20</v>
      </c>
      <c r="E4" s="7" t="s">
        <v>18</v>
      </c>
      <c r="F4" s="8" t="s">
        <v>19</v>
      </c>
      <c r="G4" s="9" t="s">
        <v>20</v>
      </c>
      <c r="H4" s="7" t="s">
        <v>18</v>
      </c>
      <c r="I4" s="8" t="s">
        <v>19</v>
      </c>
      <c r="J4" s="9" t="s">
        <v>20</v>
      </c>
      <c r="K4" s="7" t="s">
        <v>18</v>
      </c>
      <c r="L4" s="8" t="s">
        <v>19</v>
      </c>
      <c r="M4" s="9" t="s">
        <v>20</v>
      </c>
      <c r="N4" s="7" t="s">
        <v>18</v>
      </c>
      <c r="O4" s="8" t="s">
        <v>19</v>
      </c>
      <c r="P4" s="9" t="s">
        <v>20</v>
      </c>
      <c r="Q4" s="7" t="s">
        <v>18</v>
      </c>
      <c r="R4" s="8" t="s">
        <v>19</v>
      </c>
      <c r="S4" s="9" t="s">
        <v>20</v>
      </c>
      <c r="T4" s="7" t="s">
        <v>18</v>
      </c>
      <c r="U4" s="8" t="s">
        <v>19</v>
      </c>
      <c r="V4" s="9" t="s">
        <v>20</v>
      </c>
      <c r="W4" s="7" t="s">
        <v>18</v>
      </c>
      <c r="X4" s="8" t="s">
        <v>19</v>
      </c>
      <c r="Y4" s="9" t="s">
        <v>20</v>
      </c>
      <c r="Z4" s="7" t="s">
        <v>18</v>
      </c>
      <c r="AA4" s="8" t="s">
        <v>19</v>
      </c>
      <c r="AB4" s="9" t="s">
        <v>20</v>
      </c>
      <c r="AC4" s="7" t="s">
        <v>18</v>
      </c>
      <c r="AD4" s="8" t="s">
        <v>19</v>
      </c>
      <c r="AE4" s="9" t="s">
        <v>20</v>
      </c>
      <c r="AF4" s="7" t="s">
        <v>18</v>
      </c>
      <c r="AG4" s="8" t="s">
        <v>19</v>
      </c>
      <c r="AH4" s="9" t="s">
        <v>20</v>
      </c>
      <c r="AI4" s="7" t="s">
        <v>18</v>
      </c>
      <c r="AJ4" s="8" t="s">
        <v>19</v>
      </c>
      <c r="AK4" s="9" t="s">
        <v>20</v>
      </c>
      <c r="AL4" s="10" t="s">
        <v>18</v>
      </c>
      <c r="AM4" s="10" t="s">
        <v>19</v>
      </c>
      <c r="AN4" s="10" t="s">
        <v>20</v>
      </c>
    </row>
    <row r="5" customFormat="false" ht="16.5" hidden="false" customHeight="true" outlineLevel="0" collapsed="false">
      <c r="A5" s="11" t="n">
        <v>2024</v>
      </c>
      <c r="B5" s="12" t="n">
        <v>442</v>
      </c>
      <c r="C5" s="13" t="n">
        <v>20</v>
      </c>
      <c r="D5" s="14" t="n">
        <f aca="false">IF(AND(B5&lt;&gt;"",C5&lt;&gt;""),B5-C5,"")</f>
        <v>422</v>
      </c>
      <c r="E5" s="12" t="n">
        <v>438</v>
      </c>
      <c r="F5" s="13" t="n">
        <v>18</v>
      </c>
      <c r="G5" s="14" t="n">
        <f aca="false">IF(AND(E5&lt;&gt;"",F5&lt;&gt;""),E5-F5,"")</f>
        <v>420</v>
      </c>
      <c r="H5" s="12" t="n">
        <v>426</v>
      </c>
      <c r="I5" s="13" t="n">
        <v>29</v>
      </c>
      <c r="J5" s="14" t="n">
        <f aca="false">IF(AND(H5&lt;&gt;"",I5&lt;&gt;""),H5-I5,"")</f>
        <v>397</v>
      </c>
      <c r="K5" s="12" t="n">
        <v>429</v>
      </c>
      <c r="L5" s="13" t="n">
        <v>15</v>
      </c>
      <c r="M5" s="14" t="n">
        <f aca="false">IF(AND(K5&lt;&gt;"",L5&lt;&gt;""),K5-L5,"")</f>
        <v>414</v>
      </c>
      <c r="N5" s="12" t="n">
        <v>467</v>
      </c>
      <c r="O5" s="13" t="n">
        <v>25</v>
      </c>
      <c r="P5" s="14" t="n">
        <f aca="false">IF(AND(N5&lt;&gt;"",O5&lt;&gt;""),N5-O5,"")</f>
        <v>442</v>
      </c>
      <c r="Q5" s="12" t="n">
        <v>476</v>
      </c>
      <c r="R5" s="13" t="n">
        <v>20</v>
      </c>
      <c r="S5" s="14" t="n">
        <f aca="false">IF(AND(Q5&lt;&gt;"",R5&lt;&gt;""),Q5-R5,"")</f>
        <v>456</v>
      </c>
      <c r="T5" s="12" t="n">
        <v>491</v>
      </c>
      <c r="U5" s="13" t="n">
        <v>35</v>
      </c>
      <c r="V5" s="14" t="n">
        <f aca="false">IF(AND(T5&lt;&gt;"",U5&lt;&gt;""),T5-U5,"")</f>
        <v>456</v>
      </c>
      <c r="W5" s="12" t="n">
        <v>473</v>
      </c>
      <c r="X5" s="13" t="n">
        <v>30</v>
      </c>
      <c r="Y5" s="14" t="n">
        <f aca="false">IF(AND(W5&lt;&gt;"",X5&lt;&gt;""),W5-X5,"")</f>
        <v>443</v>
      </c>
      <c r="Z5" s="12" t="n">
        <v>450</v>
      </c>
      <c r="AA5" s="13" t="n">
        <v>45</v>
      </c>
      <c r="AB5" s="14" t="n">
        <f aca="false">IF(AND(Z5&lt;&gt;"",AA5&lt;&gt;""),Z5-AA5,"")</f>
        <v>405</v>
      </c>
      <c r="AC5" s="12" t="n">
        <v>416</v>
      </c>
      <c r="AD5" s="13" t="n">
        <v>29</v>
      </c>
      <c r="AE5" s="14" t="n">
        <f aca="false">IF(AND(AC5&lt;&gt;"",AD5&lt;&gt;""),AC5-AD5,"")</f>
        <v>387</v>
      </c>
      <c r="AF5" s="12" t="n">
        <v>387</v>
      </c>
      <c r="AG5" s="13" t="n">
        <v>24</v>
      </c>
      <c r="AH5" s="14" t="n">
        <f aca="false">IF(AND(AF5&lt;&gt;"",AG5&lt;&gt;""),AF5-AG5,"")</f>
        <v>363</v>
      </c>
      <c r="AI5" s="12" t="n">
        <v>379</v>
      </c>
      <c r="AJ5" s="13" t="n">
        <v>19</v>
      </c>
      <c r="AK5" s="14" t="n">
        <f aca="false">IF(AND(AI5&lt;&gt;"",AJ5&lt;&gt;""),AI5-AJ5,"")</f>
        <v>360</v>
      </c>
      <c r="AL5" s="15" t="n">
        <f aca="false">IFERROR(SUMPRODUCT((B5+E5+H5+K5+N5+Q5+T5+W5+Z5+AC5+AF5+AI5)*1),0)</f>
        <v>5274</v>
      </c>
      <c r="AM5" s="15" t="n">
        <f aca="false">IFERROR(SUMPRODUCT((C5+F5+I5+L5+O5+R5+U5+X5+AA5+AD5+AG5+AJ5)*1),0)</f>
        <v>309</v>
      </c>
      <c r="AN5" s="15" t="n">
        <f aca="false">AL5-AM5</f>
        <v>4965</v>
      </c>
    </row>
    <row r="6" customFormat="false" ht="16.5" hidden="false" customHeight="true" outlineLevel="0" collapsed="false">
      <c r="A6" s="11" t="n">
        <v>2025</v>
      </c>
      <c r="B6" s="12" t="n">
        <v>425</v>
      </c>
      <c r="C6" s="13" t="n">
        <v>18</v>
      </c>
      <c r="D6" s="14" t="n">
        <f aca="false">IF(AND(B6&lt;&gt;"",C6&lt;&gt;""),B6-C6,"")</f>
        <v>407</v>
      </c>
      <c r="E6" s="12" t="n">
        <v>448</v>
      </c>
      <c r="F6" s="13" t="n">
        <v>10</v>
      </c>
      <c r="G6" s="14" t="n">
        <f aca="false">IF(AND(E6&lt;&gt;"",F6&lt;&gt;""),E6-F6,"")</f>
        <v>438</v>
      </c>
      <c r="H6" s="12" t="n">
        <v>397</v>
      </c>
      <c r="I6" s="13" t="n">
        <v>24</v>
      </c>
      <c r="J6" s="14" t="n">
        <f aca="false">IF(AND(H6&lt;&gt;"",I6&lt;&gt;""),H6-I6,"")</f>
        <v>373</v>
      </c>
      <c r="K6" s="12" t="n">
        <v>363</v>
      </c>
      <c r="L6" s="13" t="n">
        <v>19</v>
      </c>
      <c r="M6" s="14" t="n">
        <f aca="false">IF(AND(K6&lt;&gt;"",L6&lt;&gt;""),K6-L6,"")</f>
        <v>344</v>
      </c>
      <c r="N6" s="12" t="n">
        <v>343</v>
      </c>
      <c r="O6" s="13" t="n">
        <v>25</v>
      </c>
      <c r="P6" s="14" t="n">
        <f aca="false">IF(AND(N6&lt;&gt;"",O6&lt;&gt;""),N6-O6,"")</f>
        <v>318</v>
      </c>
      <c r="Q6" s="12" t="n">
        <v>333</v>
      </c>
      <c r="R6" s="13" t="n">
        <v>21</v>
      </c>
      <c r="S6" s="14" t="n">
        <f aca="false">IF(AND(Q6&lt;&gt;"",R6&lt;&gt;""),Q6-R6,"")</f>
        <v>312</v>
      </c>
      <c r="T6" s="12" t="n">
        <v>334</v>
      </c>
      <c r="U6" s="13" t="n">
        <v>24</v>
      </c>
      <c r="V6" s="14" t="n">
        <f aca="false">IF(AND(T6&lt;&gt;"",U6&lt;&gt;""),T6-U6,"")</f>
        <v>310</v>
      </c>
      <c r="W6" s="12" t="n">
        <v>337</v>
      </c>
      <c r="X6" s="13" t="n">
        <v>18</v>
      </c>
      <c r="Y6" s="14" t="n">
        <f aca="false">IF(AND(W6&lt;&gt;"",X6&lt;&gt;""),W6-X6,"")</f>
        <v>319</v>
      </c>
      <c r="Z6" s="12" t="n">
        <v>353</v>
      </c>
      <c r="AA6" s="13" t="n">
        <v>29</v>
      </c>
      <c r="AB6" s="14" t="n">
        <f aca="false">IF(AND(Z6&lt;&gt;"",AA6&lt;&gt;""),Z6-AA6,"")</f>
        <v>324</v>
      </c>
      <c r="AC6" s="12" t="n">
        <v>351</v>
      </c>
      <c r="AD6" s="13" t="n">
        <v>20</v>
      </c>
      <c r="AE6" s="14" t="n">
        <f aca="false">IF(AND(AC6&lt;&gt;"",AD6&lt;&gt;""),AC6-AD6,"")</f>
        <v>331</v>
      </c>
      <c r="AF6" s="12" t="n">
        <v>321</v>
      </c>
      <c r="AG6" s="13" t="n">
        <v>23</v>
      </c>
      <c r="AH6" s="14" t="n">
        <f aca="false">IF(AND(AF6&lt;&gt;"",AG6&lt;&gt;""),AF6-AG6,"")</f>
        <v>298</v>
      </c>
      <c r="AI6" s="12" t="n">
        <v>309</v>
      </c>
      <c r="AJ6" s="13" t="n">
        <v>24</v>
      </c>
      <c r="AK6" s="14" t="n">
        <f aca="false">IF(AND(AI6&lt;&gt;"",AJ6&lt;&gt;""),AI6-AJ6,"")</f>
        <v>285</v>
      </c>
      <c r="AL6" s="15" t="n">
        <f aca="false">IFERROR(SUMPRODUCT((B6+E6+H6+K6+N6+Q6+T6+W6+Z6+AC6+AF6+AI6)*1),0)</f>
        <v>4314</v>
      </c>
      <c r="AM6" s="15" t="n">
        <f aca="false">IFERROR(SUMPRODUCT((C6+F6+I6+L6+O6+R6+U6+X6+AA6+AD6+AG6+AJ6)*1),0)</f>
        <v>255</v>
      </c>
      <c r="AN6" s="15" t="n">
        <f aca="false">AL6-AM6</f>
        <v>4059</v>
      </c>
    </row>
    <row r="7" customFormat="false" ht="16.5" hidden="false" customHeight="true" outlineLevel="0" collapsed="false">
      <c r="A7" s="11" t="n">
        <v>2026</v>
      </c>
      <c r="B7" s="12" t="n">
        <v>276</v>
      </c>
      <c r="C7" s="13" t="n">
        <v>18</v>
      </c>
      <c r="D7" s="14" t="n">
        <f aca="false">IF(AND(B7&lt;&gt;"",C7&lt;&gt;""),B7-C7,"")</f>
        <v>258</v>
      </c>
      <c r="E7" s="12" t="n">
        <v>275</v>
      </c>
      <c r="F7" s="13" t="n">
        <v>24</v>
      </c>
      <c r="G7" s="14" t="n">
        <f aca="false">IF(AND(E7&lt;&gt;"",F7&lt;&gt;""),E7-F7,"")</f>
        <v>251</v>
      </c>
      <c r="H7" s="12" t="n">
        <v>272</v>
      </c>
      <c r="I7" s="13" t="n">
        <v>16</v>
      </c>
      <c r="J7" s="14" t="n">
        <f aca="false">IF(AND(H7&lt;&gt;"",I7&lt;&gt;""),H7-I7,"")</f>
        <v>256</v>
      </c>
      <c r="K7" s="12" t="n">
        <v>280</v>
      </c>
      <c r="L7" s="13" t="n">
        <v>13</v>
      </c>
      <c r="M7" s="14" t="n">
        <f aca="false">IF(AND(K7&lt;&gt;"",L7&lt;&gt;""),K7-L7,"")</f>
        <v>267</v>
      </c>
      <c r="N7" s="12" t="n">
        <v>290</v>
      </c>
      <c r="O7" s="13" t="n">
        <v>6</v>
      </c>
      <c r="P7" s="14" t="n">
        <f aca="false">IF(AND(N7&lt;&gt;"",O7&lt;&gt;""),N7-O7,"")</f>
        <v>284</v>
      </c>
      <c r="Q7" s="12"/>
      <c r="R7" s="13"/>
      <c r="S7" s="14" t="str">
        <f aca="false">IF(AND(Q7&lt;&gt;"",R7&lt;&gt;""),Q7-R7,"")</f>
        <v/>
      </c>
      <c r="T7" s="12"/>
      <c r="U7" s="13"/>
      <c r="V7" s="14" t="str">
        <f aca="false">IF(AND(T7&lt;&gt;"",U7&lt;&gt;""),T7-U7,"")</f>
        <v/>
      </c>
      <c r="W7" s="12"/>
      <c r="X7" s="13"/>
      <c r="Y7" s="14" t="str">
        <f aca="false">IF(AND(W7&lt;&gt;"",X7&lt;&gt;""),W7-X7,"")</f>
        <v/>
      </c>
      <c r="Z7" s="12"/>
      <c r="AA7" s="13"/>
      <c r="AB7" s="14" t="str">
        <f aca="false">IF(AND(Z7&lt;&gt;"",AA7&lt;&gt;""),Z7-AA7,"")</f>
        <v/>
      </c>
      <c r="AC7" s="12"/>
      <c r="AD7" s="13"/>
      <c r="AE7" s="14" t="str">
        <f aca="false">IF(AND(AC7&lt;&gt;"",AD7&lt;&gt;""),AC7-AD7,"")</f>
        <v/>
      </c>
      <c r="AF7" s="12"/>
      <c r="AG7" s="13"/>
      <c r="AH7" s="14" t="str">
        <f aca="false">IF(AND(AF7&lt;&gt;"",AG7&lt;&gt;""),AF7-AG7,"")</f>
        <v/>
      </c>
      <c r="AI7" s="12"/>
      <c r="AJ7" s="13"/>
      <c r="AK7" s="14" t="str">
        <f aca="false">IF(AND(AI7&lt;&gt;"",AJ7&lt;&gt;""),AI7-AJ7,"")</f>
        <v/>
      </c>
      <c r="AL7" s="15" t="n">
        <f aca="false">IFERROR(SUMPRODUCT((B7+E7+H7+K7+N7+Q7+T7+W7+Z7+AC7+AF7+AI7)*1),0)</f>
        <v>1393</v>
      </c>
      <c r="AM7" s="15" t="n">
        <f aca="false">IFERROR(SUMPRODUCT((C7+F7+I7+L7+O7+R7+U7+X7+AA7+AD7+AG7+AJ7)*1),0)</f>
        <v>77</v>
      </c>
      <c r="AN7" s="15" t="n">
        <f aca="false">AL7-AM7</f>
        <v>1316</v>
      </c>
    </row>
    <row r="8" customFormat="false" ht="16.5" hidden="false" customHeight="true" outlineLevel="0" collapsed="false">
      <c r="A8" s="16" t="s">
        <v>21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</row>
  </sheetData>
  <mergeCells count="15">
    <mergeCell ref="A1:AC1"/>
    <mergeCell ref="A2:AC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8:AL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15" min="3" style="0" width="13"/>
  </cols>
  <sheetData>
    <row r="1" customFormat="false" ht="16.15" hidden="false" customHeight="false" outlineLevel="0" collapsed="false">
      <c r="A1" s="17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customFormat="false" ht="15" hidden="false" customHeight="false" outlineLevel="0" collapsed="false">
      <c r="A2" s="18" t="s">
        <v>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4" customFormat="false" ht="15" hidden="false" customHeight="false" outlineLevel="0" collapsed="false">
      <c r="A4" s="19" t="s">
        <v>24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customFormat="false" ht="27.75" hidden="false" customHeight="true" outlineLevel="0" collapsed="false">
      <c r="A5" s="20" t="s">
        <v>25</v>
      </c>
      <c r="B5" s="20" t="s">
        <v>26</v>
      </c>
      <c r="C5" s="20" t="s">
        <v>27</v>
      </c>
      <c r="D5" s="20" t="s">
        <v>28</v>
      </c>
      <c r="E5" s="20" t="s">
        <v>29</v>
      </c>
      <c r="F5" s="20" t="s">
        <v>30</v>
      </c>
      <c r="G5" s="20" t="s">
        <v>31</v>
      </c>
      <c r="H5" s="20" t="s">
        <v>32</v>
      </c>
      <c r="I5" s="20" t="s">
        <v>33</v>
      </c>
      <c r="J5" s="20" t="s">
        <v>34</v>
      </c>
      <c r="K5" s="20" t="s">
        <v>35</v>
      </c>
      <c r="L5" s="20" t="s">
        <v>36</v>
      </c>
      <c r="M5" s="20" t="s">
        <v>37</v>
      </c>
      <c r="N5" s="20" t="s">
        <v>38</v>
      </c>
      <c r="O5" s="20" t="s">
        <v>39</v>
      </c>
      <c r="P5" s="20" t="s">
        <v>40</v>
      </c>
      <c r="Q5" s="20" t="s">
        <v>41</v>
      </c>
      <c r="R5" s="20" t="s">
        <v>42</v>
      </c>
      <c r="S5" s="20" t="s">
        <v>43</v>
      </c>
      <c r="T5" s="20" t="s">
        <v>44</v>
      </c>
      <c r="U5" s="20" t="s">
        <v>45</v>
      </c>
      <c r="V5" s="20" t="s">
        <v>46</v>
      </c>
      <c r="W5" s="20" t="s">
        <v>47</v>
      </c>
      <c r="X5" s="20" t="s">
        <v>48</v>
      </c>
      <c r="Y5" s="20" t="s">
        <v>49</v>
      </c>
      <c r="Z5" s="20" t="s">
        <v>50</v>
      </c>
    </row>
    <row r="6" customFormat="false" ht="15" hidden="false" customHeight="true" outlineLevel="0" collapsed="false">
      <c r="A6" s="21" t="n">
        <v>1</v>
      </c>
      <c r="B6" s="21" t="n">
        <v>2024</v>
      </c>
      <c r="C6" s="12" t="n">
        <f aca="false">'Datos Históricos'!B5</f>
        <v>442</v>
      </c>
      <c r="D6" s="12" t="n">
        <f aca="false">'Datos Históricos'!E5</f>
        <v>438</v>
      </c>
      <c r="E6" s="12" t="n">
        <f aca="false">'Datos Históricos'!H5</f>
        <v>426</v>
      </c>
      <c r="F6" s="12" t="n">
        <f aca="false">'Datos Históricos'!K5</f>
        <v>429</v>
      </c>
      <c r="G6" s="12" t="n">
        <f aca="false">'Datos Históricos'!N5</f>
        <v>467</v>
      </c>
      <c r="H6" s="12" t="n">
        <f aca="false">'Datos Históricos'!Q5</f>
        <v>476</v>
      </c>
      <c r="I6" s="12" t="n">
        <f aca="false">'Datos Históricos'!T5</f>
        <v>491</v>
      </c>
      <c r="J6" s="12" t="n">
        <f aca="false">'Datos Históricos'!W5</f>
        <v>473</v>
      </c>
      <c r="K6" s="12" t="n">
        <f aca="false">'Datos Históricos'!Z5</f>
        <v>450</v>
      </c>
      <c r="L6" s="12" t="n">
        <f aca="false">'Datos Históricos'!AC5</f>
        <v>416</v>
      </c>
      <c r="M6" s="12" t="n">
        <f aca="false">'Datos Históricos'!AF5</f>
        <v>387</v>
      </c>
      <c r="N6" s="12" t="n">
        <f aca="false">'Datos Históricos'!AI5</f>
        <v>379</v>
      </c>
      <c r="O6" s="13" t="n">
        <f aca="false">'Datos Históricos'!C5</f>
        <v>20</v>
      </c>
      <c r="P6" s="13" t="n">
        <f aca="false">'Datos Históricos'!F5</f>
        <v>18</v>
      </c>
      <c r="Q6" s="13" t="n">
        <f aca="false">'Datos Históricos'!I5</f>
        <v>29</v>
      </c>
      <c r="R6" s="13" t="n">
        <f aca="false">'Datos Históricos'!L5</f>
        <v>15</v>
      </c>
      <c r="S6" s="13" t="n">
        <f aca="false">'Datos Históricos'!O5</f>
        <v>25</v>
      </c>
      <c r="T6" s="13" t="n">
        <f aca="false">'Datos Históricos'!R5</f>
        <v>20</v>
      </c>
      <c r="U6" s="13" t="n">
        <f aca="false">'Datos Históricos'!U5</f>
        <v>35</v>
      </c>
      <c r="V6" s="13" t="n">
        <f aca="false">'Datos Históricos'!X5</f>
        <v>30</v>
      </c>
      <c r="W6" s="13" t="n">
        <f aca="false">'Datos Históricos'!AA5</f>
        <v>45</v>
      </c>
      <c r="X6" s="13" t="n">
        <f aca="false">'Datos Históricos'!AD5</f>
        <v>29</v>
      </c>
      <c r="Y6" s="13" t="n">
        <f aca="false">'Datos Históricos'!AG5</f>
        <v>24</v>
      </c>
      <c r="Z6" s="13" t="n">
        <f aca="false">'Datos Históricos'!AJ5</f>
        <v>19</v>
      </c>
    </row>
    <row r="7" customFormat="false" ht="15" hidden="false" customHeight="true" outlineLevel="0" collapsed="false">
      <c r="A7" s="21" t="n">
        <v>2</v>
      </c>
      <c r="B7" s="21" t="n">
        <v>2025</v>
      </c>
      <c r="C7" s="12" t="n">
        <f aca="false">'Datos Históricos'!B6</f>
        <v>425</v>
      </c>
      <c r="D7" s="12" t="n">
        <f aca="false">'Datos Históricos'!E6</f>
        <v>448</v>
      </c>
      <c r="E7" s="12" t="n">
        <f aca="false">'Datos Históricos'!H6</f>
        <v>397</v>
      </c>
      <c r="F7" s="12" t="n">
        <f aca="false">'Datos Históricos'!K6</f>
        <v>363</v>
      </c>
      <c r="G7" s="12" t="n">
        <f aca="false">'Datos Históricos'!N6</f>
        <v>343</v>
      </c>
      <c r="H7" s="12" t="n">
        <f aca="false">'Datos Históricos'!Q6</f>
        <v>333</v>
      </c>
      <c r="I7" s="12" t="n">
        <f aca="false">'Datos Históricos'!T6</f>
        <v>334</v>
      </c>
      <c r="J7" s="12" t="n">
        <f aca="false">'Datos Históricos'!W6</f>
        <v>337</v>
      </c>
      <c r="K7" s="12" t="n">
        <f aca="false">'Datos Históricos'!Z6</f>
        <v>353</v>
      </c>
      <c r="L7" s="12" t="n">
        <f aca="false">'Datos Históricos'!AC6</f>
        <v>351</v>
      </c>
      <c r="M7" s="12" t="n">
        <f aca="false">'Datos Históricos'!AF6</f>
        <v>321</v>
      </c>
      <c r="N7" s="12" t="n">
        <f aca="false">'Datos Históricos'!AI6</f>
        <v>309</v>
      </c>
      <c r="O7" s="13" t="n">
        <f aca="false">'Datos Históricos'!C6</f>
        <v>18</v>
      </c>
      <c r="P7" s="13" t="n">
        <f aca="false">'Datos Históricos'!F6</f>
        <v>10</v>
      </c>
      <c r="Q7" s="13" t="n">
        <f aca="false">'Datos Históricos'!I6</f>
        <v>24</v>
      </c>
      <c r="R7" s="13" t="n">
        <f aca="false">'Datos Históricos'!L6</f>
        <v>19</v>
      </c>
      <c r="S7" s="13" t="n">
        <f aca="false">'Datos Históricos'!O6</f>
        <v>25</v>
      </c>
      <c r="T7" s="13" t="n">
        <f aca="false">'Datos Históricos'!R6</f>
        <v>21</v>
      </c>
      <c r="U7" s="13" t="n">
        <f aca="false">'Datos Históricos'!U6</f>
        <v>24</v>
      </c>
      <c r="V7" s="13" t="n">
        <f aca="false">'Datos Históricos'!X6</f>
        <v>18</v>
      </c>
      <c r="W7" s="13" t="n">
        <f aca="false">'Datos Históricos'!AA6</f>
        <v>29</v>
      </c>
      <c r="X7" s="13" t="n">
        <f aca="false">'Datos Históricos'!AD6</f>
        <v>20</v>
      </c>
      <c r="Y7" s="13" t="n">
        <f aca="false">'Datos Históricos'!AG6</f>
        <v>23</v>
      </c>
      <c r="Z7" s="13" t="n">
        <f aca="false">'Datos Históricos'!AJ6</f>
        <v>24</v>
      </c>
    </row>
    <row r="8" customFormat="false" ht="15" hidden="false" customHeight="true" outlineLevel="0" collapsed="false">
      <c r="A8" s="21" t="n">
        <v>3</v>
      </c>
      <c r="B8" s="21" t="n">
        <v>2026</v>
      </c>
      <c r="C8" s="12" t="n">
        <f aca="false">'Datos Históricos'!B7</f>
        <v>276</v>
      </c>
      <c r="D8" s="12" t="n">
        <f aca="false">'Datos Históricos'!E7</f>
        <v>275</v>
      </c>
      <c r="E8" s="12" t="n">
        <f aca="false">'Datos Históricos'!H7</f>
        <v>272</v>
      </c>
      <c r="F8" s="12" t="n">
        <f aca="false">'Datos Históricos'!K7</f>
        <v>280</v>
      </c>
      <c r="G8" s="12" t="n">
        <f aca="false">'Datos Históricos'!N7</f>
        <v>290</v>
      </c>
      <c r="H8" s="12" t="n">
        <f aca="false">'Datos Históricos'!Q7</f>
        <v>0</v>
      </c>
      <c r="I8" s="12" t="n">
        <f aca="false">'Datos Históricos'!T7</f>
        <v>0</v>
      </c>
      <c r="J8" s="12" t="n">
        <f aca="false">'Datos Históricos'!W7</f>
        <v>0</v>
      </c>
      <c r="K8" s="12" t="n">
        <f aca="false">'Datos Históricos'!Z7</f>
        <v>0</v>
      </c>
      <c r="L8" s="12" t="n">
        <f aca="false">'Datos Históricos'!AC7</f>
        <v>0</v>
      </c>
      <c r="M8" s="12" t="n">
        <f aca="false">'Datos Históricos'!AF7</f>
        <v>0</v>
      </c>
      <c r="N8" s="12" t="n">
        <f aca="false">'Datos Históricos'!AI7</f>
        <v>0</v>
      </c>
      <c r="O8" s="13" t="n">
        <f aca="false">'Datos Históricos'!C7</f>
        <v>18</v>
      </c>
      <c r="P8" s="13" t="n">
        <f aca="false">'Datos Históricos'!F7</f>
        <v>24</v>
      </c>
      <c r="Q8" s="13" t="n">
        <f aca="false">'Datos Históricos'!I7</f>
        <v>16</v>
      </c>
      <c r="R8" s="13" t="n">
        <f aca="false">'Datos Históricos'!L7</f>
        <v>13</v>
      </c>
      <c r="S8" s="13" t="n">
        <f aca="false">'Datos Históricos'!O7</f>
        <v>6</v>
      </c>
      <c r="T8" s="13" t="n">
        <f aca="false">'Datos Históricos'!R7</f>
        <v>0</v>
      </c>
      <c r="U8" s="13" t="n">
        <f aca="false">'Datos Históricos'!U7</f>
        <v>0</v>
      </c>
      <c r="V8" s="13" t="n">
        <f aca="false">'Datos Históricos'!X7</f>
        <v>0</v>
      </c>
      <c r="W8" s="13" t="n">
        <f aca="false">'Datos Históricos'!AA7</f>
        <v>0</v>
      </c>
      <c r="X8" s="13" t="n">
        <f aca="false">'Datos Históricos'!AD7</f>
        <v>0</v>
      </c>
      <c r="Y8" s="13" t="n">
        <f aca="false">'Datos Históricos'!AG7</f>
        <v>0</v>
      </c>
      <c r="Z8" s="13" t="n">
        <f aca="false">'Datos Históricos'!AJ7</f>
        <v>0</v>
      </c>
    </row>
    <row r="9" customFormat="false" ht="15" hidden="false" customHeight="false" outlineLevel="0" collapsed="false">
      <c r="A9" s="22" t="s">
        <v>51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1" customFormat="false" ht="15" hidden="false" customHeight="false" outlineLevel="0" collapsed="false">
      <c r="A11" s="23" t="s">
        <v>52</v>
      </c>
      <c r="B11" s="23"/>
      <c r="C11" s="23"/>
      <c r="D11" s="23"/>
      <c r="E11" s="23"/>
      <c r="F11" s="23"/>
      <c r="G11" s="23"/>
      <c r="H11" s="23"/>
    </row>
    <row r="12" customFormat="false" ht="15.75" hidden="false" customHeight="true" outlineLevel="0" collapsed="false">
      <c r="A12" s="24" t="s">
        <v>53</v>
      </c>
      <c r="B12" s="24" t="s">
        <v>54</v>
      </c>
      <c r="C12" s="24" t="s">
        <v>55</v>
      </c>
      <c r="D12" s="24" t="s">
        <v>56</v>
      </c>
      <c r="E12" s="24" t="s">
        <v>57</v>
      </c>
      <c r="F12" s="24" t="s">
        <v>58</v>
      </c>
      <c r="G12" s="24" t="s">
        <v>59</v>
      </c>
      <c r="H12" s="24" t="s">
        <v>60</v>
      </c>
    </row>
    <row r="13" customFormat="false" ht="15" hidden="false" customHeight="true" outlineLevel="0" collapsed="false">
      <c r="A13" s="25" t="s">
        <v>3</v>
      </c>
      <c r="B13" s="26" t="n">
        <f aca="false">IFERROR(AVERAGEIF(C6:C8,"&gt;0"),0)</f>
        <v>381</v>
      </c>
      <c r="C13" s="27" t="n">
        <f aca="false">IFERROR(AVERAGEIF(O6:O8,"&gt;0"),0)</f>
        <v>18.6666666666667</v>
      </c>
      <c r="D13" s="28" t="n">
        <f aca="false">IFERROR(B13-C13,0)</f>
        <v>362.333333333333</v>
      </c>
      <c r="E13" s="29" t="n">
        <f aca="false">IFERROR(C13/B13,0)</f>
        <v>0.0489938757655293</v>
      </c>
      <c r="F13" s="30" t="n">
        <f aca="false">IFERROR(B13/AVERAGE(B13:B24),0)</f>
        <v>1.0021920210434</v>
      </c>
      <c r="G13" s="12" t="n">
        <f aca="false">IFERROR(minifs(C6:C8,C6:C8,"&gt;0"),0)</f>
        <v>0</v>
      </c>
      <c r="H13" s="12" t="n">
        <f aca="false">IFERROR(maxifs(C6:C8,C6:C8,"&gt;0"),0)</f>
        <v>0</v>
      </c>
    </row>
    <row r="14" customFormat="false" ht="15" hidden="false" customHeight="true" outlineLevel="0" collapsed="false">
      <c r="A14" s="25" t="s">
        <v>4</v>
      </c>
      <c r="B14" s="26" t="n">
        <f aca="false">IFERROR(AVERAGEIF(D6:D8,"&gt;0"),0)</f>
        <v>387</v>
      </c>
      <c r="C14" s="27" t="n">
        <f aca="false">IFERROR(AVERAGEIF(P6:P8,"&gt;0"),0)</f>
        <v>17.3333333333333</v>
      </c>
      <c r="D14" s="28" t="n">
        <f aca="false">IFERROR(B14-C14,0)</f>
        <v>369.666666666667</v>
      </c>
      <c r="E14" s="29" t="n">
        <f aca="false">IFERROR(C14/B14,0)</f>
        <v>0.0447889750215332</v>
      </c>
      <c r="F14" s="30" t="n">
        <f aca="false">IFERROR(B14/AVERAGE(B13:B24),0)</f>
        <v>1.0179745725559</v>
      </c>
      <c r="G14" s="12" t="n">
        <f aca="false">IFERROR(minifs(D6:D8,D6:D8,"&gt;0"),0)</f>
        <v>0</v>
      </c>
      <c r="H14" s="12" t="n">
        <f aca="false">IFERROR(maxifs(D6:D8,D6:D8,"&gt;0"),0)</f>
        <v>0</v>
      </c>
    </row>
    <row r="15" customFormat="false" ht="15" hidden="false" customHeight="true" outlineLevel="0" collapsed="false">
      <c r="A15" s="25" t="s">
        <v>5</v>
      </c>
      <c r="B15" s="26" t="n">
        <f aca="false">IFERROR(AVERAGEIF(E6:E8,"&gt;0"),0)</f>
        <v>365</v>
      </c>
      <c r="C15" s="27" t="n">
        <f aca="false">IFERROR(AVERAGEIF(Q6:Q8,"&gt;0"),0)</f>
        <v>23</v>
      </c>
      <c r="D15" s="28" t="n">
        <f aca="false">IFERROR(B15-C15,0)</f>
        <v>342</v>
      </c>
      <c r="E15" s="29" t="n">
        <f aca="false">IFERROR(C15/B15,0)</f>
        <v>0.063013698630137</v>
      </c>
      <c r="F15" s="30" t="n">
        <f aca="false">IFERROR(B15/AVERAGE(B13:B24),0)</f>
        <v>0.960105217010083</v>
      </c>
      <c r="G15" s="12" t="n">
        <f aca="false">IFERROR(minifs(E6:E8,E6:E8,"&gt;0"),0)</f>
        <v>0</v>
      </c>
      <c r="H15" s="12" t="n">
        <f aca="false">IFERROR(maxifs(E6:E8,E6:E8,"&gt;0"),0)</f>
        <v>0</v>
      </c>
    </row>
    <row r="16" customFormat="false" ht="15" hidden="false" customHeight="true" outlineLevel="0" collapsed="false">
      <c r="A16" s="25" t="s">
        <v>6</v>
      </c>
      <c r="B16" s="26" t="n">
        <f aca="false">IFERROR(AVERAGEIF(F6:F8,"&gt;0"),0)</f>
        <v>357.333333333333</v>
      </c>
      <c r="C16" s="27" t="n">
        <f aca="false">IFERROR(AVERAGEIF(R6:R8,"&gt;0"),0)</f>
        <v>15.6666666666667</v>
      </c>
      <c r="D16" s="28" t="n">
        <f aca="false">IFERROR(B16-C16,0)</f>
        <v>341.666666666667</v>
      </c>
      <c r="E16" s="29" t="n">
        <f aca="false">IFERROR(C16/B16,0)</f>
        <v>0.0438432835820896</v>
      </c>
      <c r="F16" s="30" t="n">
        <f aca="false">IFERROR(B16/AVERAGE(B13:B24),0)</f>
        <v>0.939938623410785</v>
      </c>
      <c r="G16" s="12" t="n">
        <f aca="false">IFERROR(minifs(F6:F8,F6:F8,"&gt;0"),0)</f>
        <v>0</v>
      </c>
      <c r="H16" s="12" t="n">
        <f aca="false">IFERROR(maxifs(F6:F8,F6:F8,"&gt;0"),0)</f>
        <v>0</v>
      </c>
    </row>
    <row r="17" customFormat="false" ht="15" hidden="false" customHeight="true" outlineLevel="0" collapsed="false">
      <c r="A17" s="25" t="s">
        <v>7</v>
      </c>
      <c r="B17" s="26" t="n">
        <f aca="false">IFERROR(AVERAGEIF(G6:G8,"&gt;0"),0)</f>
        <v>366.666666666667</v>
      </c>
      <c r="C17" s="27" t="n">
        <f aca="false">IFERROR(AVERAGEIF(S6:S8,"&gt;0"),0)</f>
        <v>18.6666666666667</v>
      </c>
      <c r="D17" s="28" t="n">
        <f aca="false">IFERROR(B17-C17,0)</f>
        <v>348</v>
      </c>
      <c r="E17" s="29" t="n">
        <f aca="false">IFERROR(C17/B17,0)</f>
        <v>0.0509090909090909</v>
      </c>
      <c r="F17" s="30" t="n">
        <f aca="false">IFERROR(B17/AVERAGE(B13:B24),0)</f>
        <v>0.964489259096887</v>
      </c>
      <c r="G17" s="12" t="n">
        <f aca="false">IFERROR(minifs(G6:G8,G6:G8,"&gt;0"),0)</f>
        <v>0</v>
      </c>
      <c r="H17" s="12" t="n">
        <f aca="false">IFERROR(maxifs(G6:G8,G6:G8,"&gt;0"),0)</f>
        <v>0</v>
      </c>
    </row>
    <row r="18" customFormat="false" ht="15" hidden="false" customHeight="true" outlineLevel="0" collapsed="false">
      <c r="A18" s="25" t="s">
        <v>8</v>
      </c>
      <c r="B18" s="26" t="n">
        <f aca="false">IFERROR(AVERAGEIF(H6:H8,"&gt;0"),0)</f>
        <v>404.5</v>
      </c>
      <c r="C18" s="27" t="n">
        <f aca="false">IFERROR(AVERAGEIF(T6:T8,"&gt;0"),0)</f>
        <v>20.5</v>
      </c>
      <c r="D18" s="28" t="n">
        <f aca="false">IFERROR(B18-C18,0)</f>
        <v>384</v>
      </c>
      <c r="E18" s="29" t="n">
        <f aca="false">IFERROR(C18/B18,0)</f>
        <v>0.0506798516687268</v>
      </c>
      <c r="F18" s="30" t="n">
        <f aca="false">IFERROR(B18/AVERAGE(B13:B24),0)</f>
        <v>1.06400701446734</v>
      </c>
      <c r="G18" s="12" t="n">
        <f aca="false">IFERROR(minifs(H6:H8,H6:H8,"&gt;0"),0)</f>
        <v>0</v>
      </c>
      <c r="H18" s="12" t="n">
        <f aca="false">IFERROR(maxifs(H6:H8,H6:H8,"&gt;0"),0)</f>
        <v>0</v>
      </c>
    </row>
    <row r="19" customFormat="false" ht="15" hidden="false" customHeight="true" outlineLevel="0" collapsed="false">
      <c r="A19" s="25" t="s">
        <v>9</v>
      </c>
      <c r="B19" s="26" t="n">
        <f aca="false">IFERROR(AVERAGEIF(I6:I8,"&gt;0"),0)</f>
        <v>412.5</v>
      </c>
      <c r="C19" s="27" t="n">
        <f aca="false">IFERROR(AVERAGEIF(U6:U8,"&gt;0"),0)</f>
        <v>29.5</v>
      </c>
      <c r="D19" s="28" t="n">
        <f aca="false">IFERROR(B19-C19,0)</f>
        <v>383</v>
      </c>
      <c r="E19" s="29" t="n">
        <f aca="false">IFERROR(C19/B19,0)</f>
        <v>0.0715151515151515</v>
      </c>
      <c r="F19" s="30" t="n">
        <f aca="false">IFERROR(B19/AVERAGE(B13:B24),0)</f>
        <v>1.085050416484</v>
      </c>
      <c r="G19" s="12" t="n">
        <f aca="false">IFERROR(minifs(I6:I8,I6:I8,"&gt;0"),0)</f>
        <v>0</v>
      </c>
      <c r="H19" s="12" t="n">
        <f aca="false">IFERROR(maxifs(I6:I8,I6:I8,"&gt;0"),0)</f>
        <v>0</v>
      </c>
    </row>
    <row r="20" customFormat="false" ht="15" hidden="false" customHeight="true" outlineLevel="0" collapsed="false">
      <c r="A20" s="25" t="s">
        <v>10</v>
      </c>
      <c r="B20" s="26" t="n">
        <f aca="false">IFERROR(AVERAGEIF(J6:J8,"&gt;0"),0)</f>
        <v>405</v>
      </c>
      <c r="C20" s="27" t="n">
        <f aca="false">IFERROR(AVERAGEIF(V6:V8,"&gt;0"),0)</f>
        <v>24</v>
      </c>
      <c r="D20" s="28" t="n">
        <f aca="false">IFERROR(B20-C20,0)</f>
        <v>381</v>
      </c>
      <c r="E20" s="29" t="n">
        <f aca="false">IFERROR(C20/B20,0)</f>
        <v>0.0592592592592593</v>
      </c>
      <c r="F20" s="30" t="n">
        <f aca="false">IFERROR(B20/AVERAGE(B13:B24),0)</f>
        <v>1.06532222709338</v>
      </c>
      <c r="G20" s="12" t="n">
        <f aca="false">IFERROR(minifs(J6:J8,J6:J8,"&gt;0"),0)</f>
        <v>0</v>
      </c>
      <c r="H20" s="12" t="n">
        <f aca="false">IFERROR(maxifs(J6:J8,J6:J8,"&gt;0"),0)</f>
        <v>0</v>
      </c>
    </row>
    <row r="21" customFormat="false" ht="15" hidden="false" customHeight="true" outlineLevel="0" collapsed="false">
      <c r="A21" s="25" t="s">
        <v>11</v>
      </c>
      <c r="B21" s="26" t="n">
        <f aca="false">IFERROR(AVERAGEIF(K6:K8,"&gt;0"),0)</f>
        <v>401.5</v>
      </c>
      <c r="C21" s="27" t="n">
        <f aca="false">IFERROR(AVERAGEIF(W6:W8,"&gt;0"),0)</f>
        <v>37</v>
      </c>
      <c r="D21" s="28" t="n">
        <f aca="false">IFERROR(B21-C21,0)</f>
        <v>364.5</v>
      </c>
      <c r="E21" s="29" t="n">
        <f aca="false">IFERROR(C21/B21,0)</f>
        <v>0.0921544209215442</v>
      </c>
      <c r="F21" s="30" t="n">
        <f aca="false">IFERROR(B21/AVERAGE(B13:B24),0)</f>
        <v>1.05611573871109</v>
      </c>
      <c r="G21" s="12" t="n">
        <f aca="false">IFERROR(minifs(K6:K8,K6:K8,"&gt;0"),0)</f>
        <v>0</v>
      </c>
      <c r="H21" s="12" t="n">
        <f aca="false">IFERROR(maxifs(K6:K8,K6:K8,"&gt;0"),0)</f>
        <v>0</v>
      </c>
    </row>
    <row r="22" customFormat="false" ht="15" hidden="false" customHeight="true" outlineLevel="0" collapsed="false">
      <c r="A22" s="25" t="s">
        <v>12</v>
      </c>
      <c r="B22" s="26" t="n">
        <f aca="false">IFERROR(AVERAGEIF(L6:L8,"&gt;0"),0)</f>
        <v>383.5</v>
      </c>
      <c r="C22" s="27" t="n">
        <f aca="false">IFERROR(AVERAGEIF(X6:X8,"&gt;0"),0)</f>
        <v>24.5</v>
      </c>
      <c r="D22" s="28" t="n">
        <f aca="false">IFERROR(B22-C22,0)</f>
        <v>359</v>
      </c>
      <c r="E22" s="29" t="n">
        <f aca="false">IFERROR(C22/B22,0)</f>
        <v>0.0638852672750978</v>
      </c>
      <c r="F22" s="30" t="n">
        <f aca="false">IFERROR(B22/AVERAGE(B13:B24),0)</f>
        <v>1.00876808417361</v>
      </c>
      <c r="G22" s="12" t="n">
        <f aca="false">IFERROR(minifs(L6:L8,L6:L8,"&gt;0"),0)</f>
        <v>0</v>
      </c>
      <c r="H22" s="12" t="n">
        <f aca="false">IFERROR(maxifs(L6:L8,L6:L8,"&gt;0"),0)</f>
        <v>0</v>
      </c>
    </row>
    <row r="23" customFormat="false" ht="15" hidden="false" customHeight="true" outlineLevel="0" collapsed="false">
      <c r="A23" s="25" t="s">
        <v>13</v>
      </c>
      <c r="B23" s="26" t="n">
        <f aca="false">IFERROR(AVERAGEIF(M6:M8,"&gt;0"),0)</f>
        <v>354</v>
      </c>
      <c r="C23" s="27" t="n">
        <f aca="false">IFERROR(AVERAGEIF(Y6:Y8,"&gt;0"),0)</f>
        <v>23.5</v>
      </c>
      <c r="D23" s="28" t="n">
        <f aca="false">IFERROR(B23-C23,0)</f>
        <v>330.5</v>
      </c>
      <c r="E23" s="29" t="n">
        <f aca="false">IFERROR(C23/B23,0)</f>
        <v>0.0663841807909605</v>
      </c>
      <c r="F23" s="30" t="n">
        <f aca="false">IFERROR(B23/AVERAGE(B13:B24),0)</f>
        <v>0.931170539237177</v>
      </c>
      <c r="G23" s="12" t="n">
        <f aca="false">IFERROR(minifs(M6:M8,M6:M8,"&gt;0"),0)</f>
        <v>0</v>
      </c>
      <c r="H23" s="12" t="n">
        <f aca="false">IFERROR(maxifs(M6:M8,M6:M8,"&gt;0"),0)</f>
        <v>0</v>
      </c>
    </row>
    <row r="24" customFormat="false" ht="15" hidden="false" customHeight="true" outlineLevel="0" collapsed="false">
      <c r="A24" s="25" t="s">
        <v>14</v>
      </c>
      <c r="B24" s="26" t="n">
        <f aca="false">IFERROR(AVERAGEIF(N6:N8,"&gt;0"),0)</f>
        <v>344</v>
      </c>
      <c r="C24" s="27" t="n">
        <f aca="false">IFERROR(AVERAGEIF(Z6:Z8,"&gt;0"),0)</f>
        <v>21.5</v>
      </c>
      <c r="D24" s="28" t="n">
        <f aca="false">IFERROR(B24-C24,0)</f>
        <v>322.5</v>
      </c>
      <c r="E24" s="29" t="n">
        <f aca="false">IFERROR(C24/B24,0)</f>
        <v>0.0625</v>
      </c>
      <c r="F24" s="30" t="n">
        <f aca="false">IFERROR(B24/AVERAGE(B13:B24),0)</f>
        <v>0.904866286716352</v>
      </c>
      <c r="G24" s="12" t="n">
        <f aca="false">IFERROR(minifs(N6:N8,N6:N8,"&gt;0"),0)</f>
        <v>0</v>
      </c>
      <c r="H24" s="12" t="n">
        <f aca="false">IFERROR(maxifs(N6:N8,N6:N8,"&gt;0"),0)</f>
        <v>0</v>
      </c>
    </row>
    <row r="27" customFormat="false" ht="15" hidden="false" customHeight="false" outlineLevel="0" collapsed="false">
      <c r="A27" s="23" t="s">
        <v>61</v>
      </c>
      <c r="B27" s="23"/>
      <c r="C27" s="23"/>
      <c r="D27" s="23"/>
      <c r="E27" s="23"/>
      <c r="F27" s="23"/>
      <c r="G27" s="23"/>
      <c r="H27" s="23"/>
    </row>
    <row r="28" customFormat="false" ht="15" hidden="false" customHeight="false" outlineLevel="0" collapsed="false">
      <c r="A28" s="31" t="s">
        <v>62</v>
      </c>
      <c r="B28" s="32" t="n">
        <v>2027</v>
      </c>
      <c r="C28" s="33" t="s">
        <v>63</v>
      </c>
      <c r="D28" s="33"/>
      <c r="E28" s="33"/>
      <c r="F28" s="33"/>
      <c r="G28" s="33"/>
      <c r="H28" s="33"/>
    </row>
    <row r="29" customFormat="false" ht="15" hidden="false" customHeight="false" outlineLevel="0" collapsed="false">
      <c r="A29" s="31" t="s">
        <v>64</v>
      </c>
      <c r="B29" s="34" t="n">
        <v>0</v>
      </c>
      <c r="C29" s="33" t="s">
        <v>65</v>
      </c>
      <c r="D29" s="33"/>
      <c r="E29" s="33"/>
      <c r="F29" s="33"/>
      <c r="G29" s="33"/>
      <c r="H29" s="33"/>
    </row>
    <row r="30" customFormat="false" ht="15" hidden="false" customHeight="false" outlineLevel="0" collapsed="false">
      <c r="A30" s="31" t="s">
        <v>66</v>
      </c>
      <c r="B30" s="35" t="n">
        <v>0.85</v>
      </c>
      <c r="C30" s="33" t="s">
        <v>67</v>
      </c>
      <c r="D30" s="33"/>
      <c r="E30" s="33"/>
      <c r="F30" s="33"/>
      <c r="G30" s="33"/>
      <c r="H30" s="33"/>
    </row>
    <row r="31" customFormat="false" ht="15" hidden="false" customHeight="false" outlineLevel="0" collapsed="false">
      <c r="A31" s="31" t="s">
        <v>68</v>
      </c>
      <c r="B31" s="35" t="n">
        <v>1.15</v>
      </c>
      <c r="C31" s="33" t="s">
        <v>69</v>
      </c>
      <c r="D31" s="33"/>
      <c r="E31" s="33"/>
      <c r="F31" s="33"/>
      <c r="G31" s="33"/>
      <c r="H31" s="33"/>
    </row>
    <row r="32" customFormat="false" ht="15" hidden="false" customHeight="false" outlineLevel="0" collapsed="false">
      <c r="A32" s="31" t="s">
        <v>70</v>
      </c>
      <c r="B32" s="36" t="n">
        <f aca="false">IFERROR(RSQ(B6:B8,A6:A8),"N/D")</f>
        <v>1</v>
      </c>
      <c r="C32" s="33" t="s">
        <v>71</v>
      </c>
      <c r="D32" s="33"/>
      <c r="E32" s="33"/>
      <c r="F32" s="33"/>
      <c r="G32" s="33"/>
      <c r="H32" s="33"/>
    </row>
    <row r="35" customFormat="false" ht="15" hidden="false" customHeight="false" outlineLevel="0" collapsed="false">
      <c r="A35" s="23" t="s">
        <v>72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customFormat="false" ht="31.5" hidden="false" customHeight="true" outlineLevel="0" collapsed="false">
      <c r="A36" s="37" t="s">
        <v>53</v>
      </c>
      <c r="B36" s="37" t="s">
        <v>73</v>
      </c>
      <c r="C36" s="37" t="s">
        <v>74</v>
      </c>
      <c r="D36" s="37" t="s">
        <v>75</v>
      </c>
      <c r="E36" s="37" t="s">
        <v>76</v>
      </c>
      <c r="F36" s="37" t="s">
        <v>77</v>
      </c>
      <c r="G36" s="37" t="s">
        <v>78</v>
      </c>
      <c r="H36" s="37" t="s">
        <v>79</v>
      </c>
      <c r="I36" s="37" t="s">
        <v>80</v>
      </c>
      <c r="J36" s="37" t="s">
        <v>81</v>
      </c>
      <c r="K36" s="37" t="s">
        <v>82</v>
      </c>
      <c r="L36" s="37" t="s">
        <v>83</v>
      </c>
    </row>
    <row r="37" customFormat="false" ht="16.5" hidden="false" customHeight="true" outlineLevel="0" collapsed="false">
      <c r="A37" s="25" t="s">
        <v>3</v>
      </c>
      <c r="B37" s="38" t="n">
        <f aca="false">(B28-2024+1)</f>
        <v>4</v>
      </c>
      <c r="C37" s="39" t="n">
        <f aca="false">IFERROR(forecast.linear(B37,C6:C8,A6:A8),B37*B13)</f>
        <v>1524</v>
      </c>
      <c r="D37" s="40" t="n">
        <f aca="false">IFERROR(C37*(1+B29),"-")</f>
        <v>1524</v>
      </c>
      <c r="E37" s="13" t="n">
        <f aca="false">IFERROR(D37*B30,"-")</f>
        <v>1295.4</v>
      </c>
      <c r="F37" s="14" t="n">
        <f aca="false">IFERROR(D37*B31,"-")</f>
        <v>1752.6</v>
      </c>
      <c r="G37" s="41" t="n">
        <f aca="false">IFERROR(forecast.linear(B37,O6:O8,A6:A8),B37*C13)</f>
        <v>74.6666666666667</v>
      </c>
      <c r="H37" s="42" t="n">
        <f aca="false">IFERROR(G37*(1+B29),"-")</f>
        <v>74.6666666666667</v>
      </c>
      <c r="I37" s="43" t="n">
        <f aca="false">IFERROR(D37-H37,"-")</f>
        <v>1449.33333333333</v>
      </c>
      <c r="J37" s="42" t="n">
        <f aca="false">IFERROR(E37-H37,"-")</f>
        <v>1220.73333333333</v>
      </c>
      <c r="K37" s="14" t="n">
        <f aca="false">IFERROR(F37-H37,"-")</f>
        <v>1677.93333333333</v>
      </c>
      <c r="L37" s="44" t="n">
        <f aca="false">IFERROR((D37-B13)/B13,"-")</f>
        <v>3</v>
      </c>
    </row>
    <row r="38" customFormat="false" ht="16.5" hidden="false" customHeight="true" outlineLevel="0" collapsed="false">
      <c r="A38" s="25" t="s">
        <v>4</v>
      </c>
      <c r="B38" s="38" t="n">
        <f aca="false">(B28-2024+1)</f>
        <v>4</v>
      </c>
      <c r="C38" s="39" t="n">
        <f aca="false">IFERROR(forecast.linear(B38,D6:D8,A6:A8),B38*B14)</f>
        <v>1548</v>
      </c>
      <c r="D38" s="40" t="n">
        <f aca="false">IFERROR(C38*(1+B29),"-")</f>
        <v>1548</v>
      </c>
      <c r="E38" s="13" t="n">
        <f aca="false">IFERROR(D38*B30,"-")</f>
        <v>1315.8</v>
      </c>
      <c r="F38" s="14" t="n">
        <f aca="false">IFERROR(D38*B31,"-")</f>
        <v>1780.2</v>
      </c>
      <c r="G38" s="41" t="n">
        <f aca="false">IFERROR(forecast.linear(B38,P6:P8,A6:A8),B38*C14)</f>
        <v>69.3333333333333</v>
      </c>
      <c r="H38" s="42" t="n">
        <f aca="false">IFERROR(G38*(1+B29),"-")</f>
        <v>69.3333333333333</v>
      </c>
      <c r="I38" s="43" t="n">
        <f aca="false">IFERROR(D38-H38,"-")</f>
        <v>1478.66666666667</v>
      </c>
      <c r="J38" s="42" t="n">
        <f aca="false">IFERROR(E38-H38,"-")</f>
        <v>1246.46666666667</v>
      </c>
      <c r="K38" s="14" t="n">
        <f aca="false">IFERROR(F38-H38,"-")</f>
        <v>1710.86666666667</v>
      </c>
      <c r="L38" s="44" t="n">
        <f aca="false">IFERROR((D38-B14)/B14,"-")</f>
        <v>3</v>
      </c>
    </row>
    <row r="39" customFormat="false" ht="16.5" hidden="false" customHeight="true" outlineLevel="0" collapsed="false">
      <c r="A39" s="25" t="s">
        <v>5</v>
      </c>
      <c r="B39" s="38" t="n">
        <f aca="false">(B28-2024+1)</f>
        <v>4</v>
      </c>
      <c r="C39" s="39" t="n">
        <f aca="false">IFERROR(forecast.linear(B39,E6:E8,A6:A8),B39*B15)</f>
        <v>1460</v>
      </c>
      <c r="D39" s="40" t="n">
        <f aca="false">IFERROR(C39*(1+B29),"-")</f>
        <v>1460</v>
      </c>
      <c r="E39" s="13" t="n">
        <f aca="false">IFERROR(D39*B30,"-")</f>
        <v>1241</v>
      </c>
      <c r="F39" s="14" t="n">
        <f aca="false">IFERROR(D39*B31,"-")</f>
        <v>1679</v>
      </c>
      <c r="G39" s="41" t="n">
        <f aca="false">IFERROR(forecast.linear(B39,Q6:Q8,A6:A8),B39*C15)</f>
        <v>92</v>
      </c>
      <c r="H39" s="42" t="n">
        <f aca="false">IFERROR(G39*(1+B29),"-")</f>
        <v>92</v>
      </c>
      <c r="I39" s="43" t="n">
        <f aca="false">IFERROR(D39-H39,"-")</f>
        <v>1368</v>
      </c>
      <c r="J39" s="42" t="n">
        <f aca="false">IFERROR(E39-H39,"-")</f>
        <v>1149</v>
      </c>
      <c r="K39" s="14" t="n">
        <f aca="false">IFERROR(F39-H39,"-")</f>
        <v>1587</v>
      </c>
      <c r="L39" s="44" t="n">
        <f aca="false">IFERROR((D39-B15)/B15,"-")</f>
        <v>3</v>
      </c>
    </row>
    <row r="40" customFormat="false" ht="16.5" hidden="false" customHeight="true" outlineLevel="0" collapsed="false">
      <c r="A40" s="25" t="s">
        <v>6</v>
      </c>
      <c r="B40" s="38" t="n">
        <f aca="false">(B28-2024+1)</f>
        <v>4</v>
      </c>
      <c r="C40" s="39" t="n">
        <f aca="false">IFERROR(forecast.linear(B40,F6:F8,A6:A8),B40*B16)</f>
        <v>1429.33333333333</v>
      </c>
      <c r="D40" s="40" t="n">
        <f aca="false">IFERROR(C40*(1+B29),"-")</f>
        <v>1429.33333333333</v>
      </c>
      <c r="E40" s="13" t="n">
        <f aca="false">IFERROR(D40*B30,"-")</f>
        <v>1214.93333333333</v>
      </c>
      <c r="F40" s="14" t="n">
        <f aca="false">IFERROR(D40*B31,"-")</f>
        <v>1643.73333333333</v>
      </c>
      <c r="G40" s="41" t="n">
        <f aca="false">IFERROR(forecast.linear(B40,R6:R8,A6:A8),B40*C16)</f>
        <v>62.6666666666667</v>
      </c>
      <c r="H40" s="42" t="n">
        <f aca="false">IFERROR(G40*(1+B29),"-")</f>
        <v>62.6666666666667</v>
      </c>
      <c r="I40" s="43" t="n">
        <f aca="false">IFERROR(D40-H40,"-")</f>
        <v>1366.66666666667</v>
      </c>
      <c r="J40" s="42" t="n">
        <f aca="false">IFERROR(E40-H40,"-")</f>
        <v>1152.26666666667</v>
      </c>
      <c r="K40" s="14" t="n">
        <f aca="false">IFERROR(F40-H40,"-")</f>
        <v>1581.06666666667</v>
      </c>
      <c r="L40" s="44" t="n">
        <f aca="false">IFERROR((D40-B16)/B16,"-")</f>
        <v>3</v>
      </c>
    </row>
    <row r="41" customFormat="false" ht="16.5" hidden="false" customHeight="true" outlineLevel="0" collapsed="false">
      <c r="A41" s="25" t="s">
        <v>7</v>
      </c>
      <c r="B41" s="38" t="n">
        <f aca="false">(B28-2024+1)</f>
        <v>4</v>
      </c>
      <c r="C41" s="39" t="n">
        <f aca="false">IFERROR(forecast.linear(B41,G6:G8,A6:A8),B41*B17)</f>
        <v>1466.66666666667</v>
      </c>
      <c r="D41" s="40" t="n">
        <f aca="false">IFERROR(C41*(1+B29),"-")</f>
        <v>1466.66666666667</v>
      </c>
      <c r="E41" s="13" t="n">
        <f aca="false">IFERROR(D41*B30,"-")</f>
        <v>1246.66666666667</v>
      </c>
      <c r="F41" s="14" t="n">
        <f aca="false">IFERROR(D41*B31,"-")</f>
        <v>1686.66666666667</v>
      </c>
      <c r="G41" s="41" t="n">
        <f aca="false">IFERROR(forecast.linear(B41,S6:S8,A6:A8),B41*C17)</f>
        <v>74.6666666666667</v>
      </c>
      <c r="H41" s="42" t="n">
        <f aca="false">IFERROR(G41*(1+B29),"-")</f>
        <v>74.6666666666667</v>
      </c>
      <c r="I41" s="43" t="n">
        <f aca="false">IFERROR(D41-H41,"-")</f>
        <v>1392</v>
      </c>
      <c r="J41" s="42" t="n">
        <f aca="false">IFERROR(E41-H41,"-")</f>
        <v>1172</v>
      </c>
      <c r="K41" s="14" t="n">
        <f aca="false">IFERROR(F41-H41,"-")</f>
        <v>1612</v>
      </c>
      <c r="L41" s="44" t="n">
        <f aca="false">IFERROR((D41-B17)/B17,"-")</f>
        <v>3</v>
      </c>
    </row>
    <row r="42" customFormat="false" ht="16.5" hidden="false" customHeight="true" outlineLevel="0" collapsed="false">
      <c r="A42" s="25" t="s">
        <v>8</v>
      </c>
      <c r="B42" s="38" t="n">
        <f aca="false">(B28-2024+1)</f>
        <v>4</v>
      </c>
      <c r="C42" s="39" t="n">
        <f aca="false">IFERROR(forecast.linear(B42,H6:H8,A6:A8),B42*B18)</f>
        <v>1618</v>
      </c>
      <c r="D42" s="40" t="n">
        <f aca="false">IFERROR(C42*(1+B29),"-")</f>
        <v>1618</v>
      </c>
      <c r="E42" s="13" t="n">
        <f aca="false">IFERROR(D42*B30,"-")</f>
        <v>1375.3</v>
      </c>
      <c r="F42" s="14" t="n">
        <f aca="false">IFERROR(D42*B31,"-")</f>
        <v>1860.7</v>
      </c>
      <c r="G42" s="41" t="n">
        <f aca="false">IFERROR(forecast.linear(B42,T6:T8,A6:A8),B42*C18)</f>
        <v>82</v>
      </c>
      <c r="H42" s="42" t="n">
        <f aca="false">IFERROR(G42*(1+B29),"-")</f>
        <v>82</v>
      </c>
      <c r="I42" s="43" t="n">
        <f aca="false">IFERROR(D42-H42,"-")</f>
        <v>1536</v>
      </c>
      <c r="J42" s="42" t="n">
        <f aca="false">IFERROR(E42-H42,"-")</f>
        <v>1293.3</v>
      </c>
      <c r="K42" s="14" t="n">
        <f aca="false">IFERROR(F42-H42,"-")</f>
        <v>1778.7</v>
      </c>
      <c r="L42" s="44" t="n">
        <f aca="false">IFERROR((D42-B18)/B18,"-")</f>
        <v>3</v>
      </c>
    </row>
    <row r="43" customFormat="false" ht="16.5" hidden="false" customHeight="true" outlineLevel="0" collapsed="false">
      <c r="A43" s="25" t="s">
        <v>9</v>
      </c>
      <c r="B43" s="38" t="n">
        <f aca="false">(B28-2024+1)</f>
        <v>4</v>
      </c>
      <c r="C43" s="39" t="n">
        <f aca="false">IFERROR(forecast.linear(B43,I6:I8,A6:A8),B43*B19)</f>
        <v>1650</v>
      </c>
      <c r="D43" s="40" t="n">
        <f aca="false">IFERROR(C43*(1+B29),"-")</f>
        <v>1650</v>
      </c>
      <c r="E43" s="13" t="n">
        <f aca="false">IFERROR(D43*B30,"-")</f>
        <v>1402.5</v>
      </c>
      <c r="F43" s="14" t="n">
        <f aca="false">IFERROR(D43*B31,"-")</f>
        <v>1897.5</v>
      </c>
      <c r="G43" s="41" t="n">
        <f aca="false">IFERROR(forecast.linear(B43,U6:U8,A6:A8),B43*C19)</f>
        <v>118</v>
      </c>
      <c r="H43" s="42" t="n">
        <f aca="false">IFERROR(G43*(1+B29),"-")</f>
        <v>118</v>
      </c>
      <c r="I43" s="43" t="n">
        <f aca="false">IFERROR(D43-H43,"-")</f>
        <v>1532</v>
      </c>
      <c r="J43" s="42" t="n">
        <f aca="false">IFERROR(E43-H43,"-")</f>
        <v>1284.5</v>
      </c>
      <c r="K43" s="14" t="n">
        <f aca="false">IFERROR(F43-H43,"-")</f>
        <v>1779.5</v>
      </c>
      <c r="L43" s="44" t="n">
        <f aca="false">IFERROR((D43-B19)/B19,"-")</f>
        <v>3</v>
      </c>
    </row>
    <row r="44" customFormat="false" ht="16.5" hidden="false" customHeight="true" outlineLevel="0" collapsed="false">
      <c r="A44" s="25" t="s">
        <v>10</v>
      </c>
      <c r="B44" s="38" t="n">
        <f aca="false">(B28-2024+1)</f>
        <v>4</v>
      </c>
      <c r="C44" s="39" t="n">
        <f aca="false">IFERROR(forecast.linear(B44,J6:J8,A6:A8),B44*B20)</f>
        <v>1620</v>
      </c>
      <c r="D44" s="40" t="n">
        <f aca="false">IFERROR(C44*(1+B29),"-")</f>
        <v>1620</v>
      </c>
      <c r="E44" s="13" t="n">
        <f aca="false">IFERROR(D44*B30,"-")</f>
        <v>1377</v>
      </c>
      <c r="F44" s="14" t="n">
        <f aca="false">IFERROR(D44*B31,"-")</f>
        <v>1863</v>
      </c>
      <c r="G44" s="41" t="n">
        <f aca="false">IFERROR(forecast.linear(B44,V6:V8,A6:A8),B44*C20)</f>
        <v>96</v>
      </c>
      <c r="H44" s="42" t="n">
        <f aca="false">IFERROR(G44*(1+B29),"-")</f>
        <v>96</v>
      </c>
      <c r="I44" s="43" t="n">
        <f aca="false">IFERROR(D44-H44,"-")</f>
        <v>1524</v>
      </c>
      <c r="J44" s="42" t="n">
        <f aca="false">IFERROR(E44-H44,"-")</f>
        <v>1281</v>
      </c>
      <c r="K44" s="14" t="n">
        <f aca="false">IFERROR(F44-H44,"-")</f>
        <v>1767</v>
      </c>
      <c r="L44" s="44" t="n">
        <f aca="false">IFERROR((D44-B20)/B20,"-")</f>
        <v>3</v>
      </c>
    </row>
    <row r="45" customFormat="false" ht="16.5" hidden="false" customHeight="true" outlineLevel="0" collapsed="false">
      <c r="A45" s="25" t="s">
        <v>11</v>
      </c>
      <c r="B45" s="38" t="n">
        <f aca="false">(B28-2024+1)</f>
        <v>4</v>
      </c>
      <c r="C45" s="39" t="n">
        <f aca="false">IFERROR(forecast.linear(B45,K6:K8,A6:A8),B45*B21)</f>
        <v>1606</v>
      </c>
      <c r="D45" s="40" t="n">
        <f aca="false">IFERROR(C45*(1+B29),"-")</f>
        <v>1606</v>
      </c>
      <c r="E45" s="13" t="n">
        <f aca="false">IFERROR(D45*B30,"-")</f>
        <v>1365.1</v>
      </c>
      <c r="F45" s="14" t="n">
        <f aca="false">IFERROR(D45*B31,"-")</f>
        <v>1846.9</v>
      </c>
      <c r="G45" s="41" t="n">
        <f aca="false">IFERROR(forecast.linear(B45,W6:W8,A6:A8),B45*C21)</f>
        <v>148</v>
      </c>
      <c r="H45" s="42" t="n">
        <f aca="false">IFERROR(G45*(1+B29),"-")</f>
        <v>148</v>
      </c>
      <c r="I45" s="43" t="n">
        <f aca="false">IFERROR(D45-H45,"-")</f>
        <v>1458</v>
      </c>
      <c r="J45" s="42" t="n">
        <f aca="false">IFERROR(E45-H45,"-")</f>
        <v>1217.1</v>
      </c>
      <c r="K45" s="14" t="n">
        <f aca="false">IFERROR(F45-H45,"-")</f>
        <v>1698.9</v>
      </c>
      <c r="L45" s="44" t="n">
        <f aca="false">IFERROR((D45-B21)/B21,"-")</f>
        <v>3</v>
      </c>
    </row>
    <row r="46" customFormat="false" ht="16.5" hidden="false" customHeight="true" outlineLevel="0" collapsed="false">
      <c r="A46" s="25" t="s">
        <v>12</v>
      </c>
      <c r="B46" s="38" t="n">
        <f aca="false">(B28-2024+1)</f>
        <v>4</v>
      </c>
      <c r="C46" s="39" t="n">
        <f aca="false">IFERROR(forecast.linear(B46,L6:L8,A6:A8),B46*B22)</f>
        <v>1534</v>
      </c>
      <c r="D46" s="40" t="n">
        <f aca="false">IFERROR(C46*(1+B29),"-")</f>
        <v>1534</v>
      </c>
      <c r="E46" s="13" t="n">
        <f aca="false">IFERROR(D46*B30,"-")</f>
        <v>1303.9</v>
      </c>
      <c r="F46" s="14" t="n">
        <f aca="false">IFERROR(D46*B31,"-")</f>
        <v>1764.1</v>
      </c>
      <c r="G46" s="41" t="n">
        <f aca="false">IFERROR(forecast.linear(B46,X6:X8,A6:A8),B46*C22)</f>
        <v>98</v>
      </c>
      <c r="H46" s="42" t="n">
        <f aca="false">IFERROR(G46*(1+B29),"-")</f>
        <v>98</v>
      </c>
      <c r="I46" s="43" t="n">
        <f aca="false">IFERROR(D46-H46,"-")</f>
        <v>1436</v>
      </c>
      <c r="J46" s="42" t="n">
        <f aca="false">IFERROR(E46-H46,"-")</f>
        <v>1205.9</v>
      </c>
      <c r="K46" s="14" t="n">
        <f aca="false">IFERROR(F46-H46,"-")</f>
        <v>1666.1</v>
      </c>
      <c r="L46" s="44" t="n">
        <f aca="false">IFERROR((D46-B22)/B22,"-")</f>
        <v>3</v>
      </c>
    </row>
    <row r="47" customFormat="false" ht="16.5" hidden="false" customHeight="true" outlineLevel="0" collapsed="false">
      <c r="A47" s="25" t="s">
        <v>13</v>
      </c>
      <c r="B47" s="38" t="n">
        <f aca="false">(B28-2024+1)</f>
        <v>4</v>
      </c>
      <c r="C47" s="39" t="n">
        <f aca="false">IFERROR(forecast.linear(B47,M6:M8,A6:A8),B47*B23)</f>
        <v>1416</v>
      </c>
      <c r="D47" s="40" t="n">
        <f aca="false">IFERROR(C47*(1+B29),"-")</f>
        <v>1416</v>
      </c>
      <c r="E47" s="13" t="n">
        <f aca="false">IFERROR(D47*B30,"-")</f>
        <v>1203.6</v>
      </c>
      <c r="F47" s="14" t="n">
        <f aca="false">IFERROR(D47*B31,"-")</f>
        <v>1628.4</v>
      </c>
      <c r="G47" s="41" t="n">
        <f aca="false">IFERROR(forecast.linear(B47,Y6:Y8,A6:A8),B47*C23)</f>
        <v>94</v>
      </c>
      <c r="H47" s="42" t="n">
        <f aca="false">IFERROR(G47*(1+B29),"-")</f>
        <v>94</v>
      </c>
      <c r="I47" s="43" t="n">
        <f aca="false">IFERROR(D47-H47,"-")</f>
        <v>1322</v>
      </c>
      <c r="J47" s="42" t="n">
        <f aca="false">IFERROR(E47-H47,"-")</f>
        <v>1109.6</v>
      </c>
      <c r="K47" s="14" t="n">
        <f aca="false">IFERROR(F47-H47,"-")</f>
        <v>1534.4</v>
      </c>
      <c r="L47" s="44" t="n">
        <f aca="false">IFERROR((D47-B23)/B23,"-")</f>
        <v>3</v>
      </c>
    </row>
    <row r="48" customFormat="false" ht="16.5" hidden="false" customHeight="true" outlineLevel="0" collapsed="false">
      <c r="A48" s="25" t="s">
        <v>14</v>
      </c>
      <c r="B48" s="38" t="n">
        <f aca="false">(B28-2024+1)</f>
        <v>4</v>
      </c>
      <c r="C48" s="39" t="n">
        <f aca="false">IFERROR(forecast.linear(B48,N6:N8,A6:A8),B48*B24)</f>
        <v>1376</v>
      </c>
      <c r="D48" s="40" t="n">
        <f aca="false">IFERROR(C48*(1+B29),"-")</f>
        <v>1376</v>
      </c>
      <c r="E48" s="13" t="n">
        <f aca="false">IFERROR(D48*B30,"-")</f>
        <v>1169.6</v>
      </c>
      <c r="F48" s="14" t="n">
        <f aca="false">IFERROR(D48*B31,"-")</f>
        <v>1582.4</v>
      </c>
      <c r="G48" s="41" t="n">
        <f aca="false">IFERROR(forecast.linear(B48,Z6:Z8,A6:A8),B48*C24)</f>
        <v>86</v>
      </c>
      <c r="H48" s="42" t="n">
        <f aca="false">IFERROR(G48*(1+B29),"-")</f>
        <v>86</v>
      </c>
      <c r="I48" s="43" t="n">
        <f aca="false">IFERROR(D48-H48,"-")</f>
        <v>1290</v>
      </c>
      <c r="J48" s="42" t="n">
        <f aca="false">IFERROR(E48-H48,"-")</f>
        <v>1083.6</v>
      </c>
      <c r="K48" s="14" t="n">
        <f aca="false">IFERROR(F48-H48,"-")</f>
        <v>1496.4</v>
      </c>
      <c r="L48" s="44" t="n">
        <f aca="false">IFERROR((D48-B24)/B24,"-")</f>
        <v>3</v>
      </c>
    </row>
    <row r="49" customFormat="false" ht="15" hidden="false" customHeight="false" outlineLevel="0" collapsed="false">
      <c r="A49" s="45" t="s">
        <v>84</v>
      </c>
      <c r="B49" s="46"/>
      <c r="C49" s="47" t="n">
        <f aca="false">IFERROR(SUM(C37:C48),"-")</f>
        <v>18248</v>
      </c>
      <c r="D49" s="47" t="n">
        <f aca="false">IFERROR(SUM(D37:D48),"-")</f>
        <v>18248</v>
      </c>
      <c r="E49" s="47" t="n">
        <f aca="false">IFERROR(SUM(E37:E48),"-")</f>
        <v>15510.8</v>
      </c>
      <c r="F49" s="47" t="n">
        <f aca="false">IFERROR(SUM(F37:F48),"-")</f>
        <v>20985.2</v>
      </c>
      <c r="G49" s="47" t="n">
        <f aca="false">IFERROR(SUM(G37:G48),"-")</f>
        <v>1095.33333333333</v>
      </c>
      <c r="H49" s="47" t="n">
        <f aca="false">IFERROR(SUM(H37:H48),"-")</f>
        <v>1095.33333333333</v>
      </c>
      <c r="I49" s="47" t="n">
        <f aca="false">IFERROR(SUM(I37:I48),"-")</f>
        <v>17152.6666666667</v>
      </c>
      <c r="J49" s="47" t="n">
        <f aca="false">IFERROR(SUM(J37:J48),"-")</f>
        <v>14415.4666666667</v>
      </c>
      <c r="K49" s="47" t="n">
        <f aca="false">IFERROR(SUM(K37:K48),"-")</f>
        <v>19889.8666666667</v>
      </c>
      <c r="L49" s="47" t="n">
        <f aca="false">IFERROR(SUM(L37:L48),"-")</f>
        <v>36</v>
      </c>
    </row>
    <row r="52" customFormat="false" ht="15" hidden="false" customHeight="false" outlineLevel="0" collapsed="false">
      <c r="A52" s="23" t="s">
        <v>85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customFormat="false" ht="15" hidden="false" customHeight="false" outlineLevel="0" collapsed="false">
      <c r="A53" s="31" t="s">
        <v>86</v>
      </c>
      <c r="B53" s="36" t="n">
        <f aca="false">IFERROR(1-AVERAGE(C13:C24)/AVERAGE(B13:B24),"-")</f>
        <v>0.939975157094842</v>
      </c>
    </row>
    <row r="54" customFormat="false" ht="15" hidden="false" customHeight="false" outlineLevel="0" collapsed="false">
      <c r="A54" s="31" t="s">
        <v>87</v>
      </c>
      <c r="B54" s="48" t="str">
        <f aca="false">IFERROR(INDEX(A13:A24,MATCH(MAX(B13:B24),B13:B24,0)),"-")</f>
        <v>JUL</v>
      </c>
    </row>
    <row r="55" customFormat="false" ht="15" hidden="false" customHeight="false" outlineLevel="0" collapsed="false">
      <c r="A55" s="31" t="s">
        <v>88</v>
      </c>
      <c r="B55" s="48" t="str">
        <f aca="false">IFERROR(INDEX(A13:A24,MATCH(MAX(C13:C24),C13:C24,0)),"-")</f>
        <v>SEP</v>
      </c>
    </row>
    <row r="56" customFormat="false" ht="15" hidden="false" customHeight="false" outlineLevel="0" collapsed="false">
      <c r="A56" s="31" t="s">
        <v>89</v>
      </c>
      <c r="B56" s="49" t="n">
        <f aca="false">IFERROR(D49,"-")</f>
        <v>18248</v>
      </c>
    </row>
    <row r="57" customFormat="false" ht="15" hidden="false" customHeight="false" outlineLevel="0" collapsed="false">
      <c r="A57" s="31" t="s">
        <v>90</v>
      </c>
      <c r="B57" s="49" t="n">
        <f aca="false">IFERROR(H49,"-")</f>
        <v>1095.33333333333</v>
      </c>
    </row>
    <row r="58" customFormat="false" ht="15" hidden="false" customHeight="false" outlineLevel="0" collapsed="false">
      <c r="A58" s="31" t="s">
        <v>91</v>
      </c>
      <c r="B58" s="49" t="n">
        <f aca="false">IFERROR(I49,"-")</f>
        <v>17152.6666666667</v>
      </c>
    </row>
    <row r="59" customFormat="false" ht="15" hidden="false" customHeight="false" outlineLevel="0" collapsed="false">
      <c r="A59" s="31" t="s">
        <v>92</v>
      </c>
      <c r="B59" s="49" t="n">
        <f aca="false">IFERROR(J49,"-")</f>
        <v>14415.4666666667</v>
      </c>
    </row>
    <row r="60" customFormat="false" ht="15" hidden="false" customHeight="false" outlineLevel="0" collapsed="false">
      <c r="A60" s="31" t="s">
        <v>93</v>
      </c>
      <c r="B60" s="49" t="n">
        <f aca="false">IFERROR(K49,"-")</f>
        <v>19889.8666666667</v>
      </c>
    </row>
  </sheetData>
  <mergeCells count="13">
    <mergeCell ref="A1:R1"/>
    <mergeCell ref="A2:R2"/>
    <mergeCell ref="A4:R4"/>
    <mergeCell ref="A9:Z9"/>
    <mergeCell ref="A11:H11"/>
    <mergeCell ref="A27:H27"/>
    <mergeCell ref="C28:H28"/>
    <mergeCell ref="C29:H29"/>
    <mergeCell ref="C30:H30"/>
    <mergeCell ref="C31:H31"/>
    <mergeCell ref="C32:H32"/>
    <mergeCell ref="A35:N35"/>
    <mergeCell ref="A52:N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6.15" hidden="false" customHeight="false" outlineLevel="0" collapsed="false">
      <c r="A1" s="50" t="s">
        <v>94</v>
      </c>
      <c r="B1" s="50"/>
      <c r="C1" s="50"/>
      <c r="D1" s="50"/>
      <c r="E1" s="50"/>
    </row>
    <row r="2" customFormat="false" ht="15" hidden="false" customHeight="true" outlineLevel="0" collapsed="false">
      <c r="A2" s="51" t="s">
        <v>95</v>
      </c>
      <c r="B2" s="51"/>
      <c r="C2" s="51"/>
      <c r="D2" s="51"/>
      <c r="E2" s="51"/>
    </row>
    <row r="3" customFormat="false" ht="15" hidden="false" customHeight="true" outlineLevel="0" collapsed="false">
      <c r="A3" s="52" t="s">
        <v>96</v>
      </c>
      <c r="B3" s="52"/>
      <c r="C3" s="52"/>
      <c r="D3" s="52"/>
      <c r="E3" s="52"/>
    </row>
    <row r="4" customFormat="false" ht="15" hidden="false" customHeight="true" outlineLevel="0" collapsed="false">
      <c r="A4" s="52" t="s">
        <v>97</v>
      </c>
      <c r="B4" s="52"/>
      <c r="C4" s="52"/>
      <c r="D4" s="52"/>
      <c r="E4" s="52"/>
    </row>
    <row r="5" customFormat="false" ht="15" hidden="false" customHeight="true" outlineLevel="0" collapsed="false">
      <c r="A5" s="53" t="s">
        <v>98</v>
      </c>
      <c r="B5" s="53"/>
      <c r="C5" s="53"/>
      <c r="D5" s="53"/>
      <c r="E5" s="53"/>
    </row>
    <row r="6" customFormat="false" ht="15" hidden="false" customHeight="true" outlineLevel="0" collapsed="false">
      <c r="A6" s="53" t="s">
        <v>99</v>
      </c>
      <c r="B6" s="53"/>
      <c r="C6" s="53"/>
      <c r="D6" s="53"/>
      <c r="E6" s="53"/>
    </row>
    <row r="7" customFormat="false" ht="15" hidden="false" customHeight="true" outlineLevel="0" collapsed="false">
      <c r="A7" s="54"/>
      <c r="B7" s="54"/>
      <c r="C7" s="54"/>
      <c r="D7" s="54"/>
      <c r="E7" s="54"/>
    </row>
    <row r="8" customFormat="false" ht="15" hidden="false" customHeight="true" outlineLevel="0" collapsed="false">
      <c r="A8" s="51" t="s">
        <v>100</v>
      </c>
      <c r="B8" s="51"/>
      <c r="C8" s="51"/>
      <c r="D8" s="51"/>
      <c r="E8" s="51"/>
    </row>
    <row r="9" customFormat="false" ht="15" hidden="false" customHeight="true" outlineLevel="0" collapsed="false">
      <c r="A9" s="55" t="s">
        <v>101</v>
      </c>
      <c r="B9" s="55"/>
      <c r="C9" s="55"/>
      <c r="D9" s="55"/>
      <c r="E9" s="55"/>
    </row>
    <row r="10" customFormat="false" ht="15" hidden="false" customHeight="true" outlineLevel="0" collapsed="false">
      <c r="A10" s="55" t="s">
        <v>102</v>
      </c>
      <c r="B10" s="55"/>
      <c r="C10" s="55"/>
      <c r="D10" s="55"/>
      <c r="E10" s="55"/>
    </row>
    <row r="11" customFormat="false" ht="15" hidden="false" customHeight="true" outlineLevel="0" collapsed="false">
      <c r="A11" s="52" t="s">
        <v>103</v>
      </c>
      <c r="B11" s="52"/>
      <c r="C11" s="52"/>
      <c r="D11" s="52"/>
      <c r="E11" s="52"/>
    </row>
    <row r="12" customFormat="false" ht="15" hidden="false" customHeight="true" outlineLevel="0" collapsed="false">
      <c r="A12" s="56" t="s">
        <v>104</v>
      </c>
      <c r="B12" s="56"/>
      <c r="C12" s="56"/>
      <c r="D12" s="56"/>
      <c r="E12" s="56"/>
    </row>
    <row r="13" customFormat="false" ht="15" hidden="false" customHeight="true" outlineLevel="0" collapsed="false">
      <c r="A13" s="56" t="s">
        <v>105</v>
      </c>
      <c r="B13" s="56"/>
      <c r="C13" s="56"/>
      <c r="D13" s="56"/>
      <c r="E13" s="56"/>
    </row>
    <row r="14" customFormat="false" ht="15" hidden="false" customHeight="true" outlineLevel="0" collapsed="false">
      <c r="A14" s="56" t="s">
        <v>106</v>
      </c>
      <c r="B14" s="56"/>
      <c r="C14" s="56"/>
      <c r="D14" s="56"/>
      <c r="E14" s="56"/>
    </row>
    <row r="15" customFormat="false" ht="15" hidden="false" customHeight="true" outlineLevel="0" collapsed="false">
      <c r="A15" s="57" t="s">
        <v>107</v>
      </c>
      <c r="B15" s="57"/>
      <c r="C15" s="57"/>
      <c r="D15" s="57"/>
      <c r="E15" s="57"/>
    </row>
    <row r="16" customFormat="false" ht="15" hidden="false" customHeight="true" outlineLevel="0" collapsed="false">
      <c r="A16" s="57" t="s">
        <v>108</v>
      </c>
      <c r="B16" s="57"/>
      <c r="C16" s="57"/>
      <c r="D16" s="57"/>
      <c r="E16" s="57"/>
    </row>
    <row r="17" customFormat="false" ht="15" hidden="false" customHeight="true" outlineLevel="0" collapsed="false">
      <c r="A17" s="54"/>
      <c r="B17" s="54"/>
      <c r="C17" s="54"/>
      <c r="D17" s="54"/>
      <c r="E17" s="54"/>
    </row>
    <row r="18" customFormat="false" ht="15" hidden="false" customHeight="true" outlineLevel="0" collapsed="false">
      <c r="A18" s="58" t="s">
        <v>109</v>
      </c>
      <c r="B18" s="58"/>
      <c r="C18" s="58"/>
      <c r="D18" s="58"/>
      <c r="E18" s="58"/>
    </row>
    <row r="19" customFormat="false" ht="15" hidden="false" customHeight="true" outlineLevel="0" collapsed="false">
      <c r="A19" s="57" t="s">
        <v>110</v>
      </c>
      <c r="B19" s="57"/>
      <c r="C19" s="57"/>
      <c r="D19" s="57"/>
      <c r="E19" s="57"/>
    </row>
    <row r="20" customFormat="false" ht="15" hidden="false" customHeight="true" outlineLevel="0" collapsed="false">
      <c r="A20" s="57" t="s">
        <v>111</v>
      </c>
      <c r="B20" s="57"/>
      <c r="C20" s="57"/>
      <c r="D20" s="57"/>
      <c r="E20" s="57"/>
    </row>
    <row r="21" customFormat="false" ht="15" hidden="false" customHeight="true" outlineLevel="0" collapsed="false">
      <c r="A21" s="57" t="s">
        <v>112</v>
      </c>
      <c r="B21" s="57"/>
      <c r="C21" s="57"/>
      <c r="D21" s="57"/>
      <c r="E21" s="57"/>
    </row>
    <row r="22" customFormat="false" ht="15" hidden="false" customHeight="true" outlineLevel="0" collapsed="false">
      <c r="A22" s="53" t="s">
        <v>113</v>
      </c>
      <c r="B22" s="53"/>
      <c r="C22" s="53"/>
      <c r="D22" s="53"/>
      <c r="E22" s="53"/>
    </row>
    <row r="23" customFormat="false" ht="15" hidden="false" customHeight="true" outlineLevel="0" collapsed="false">
      <c r="A23" s="54"/>
      <c r="B23" s="54"/>
      <c r="C23" s="54"/>
      <c r="D23" s="54"/>
      <c r="E23" s="54"/>
    </row>
    <row r="24" customFormat="false" ht="15" hidden="false" customHeight="true" outlineLevel="0" collapsed="false">
      <c r="A24" s="51" t="s">
        <v>114</v>
      </c>
      <c r="B24" s="51"/>
      <c r="C24" s="51"/>
      <c r="D24" s="51"/>
      <c r="E24" s="51"/>
    </row>
    <row r="25" customFormat="false" ht="15" hidden="false" customHeight="true" outlineLevel="0" collapsed="false">
      <c r="A25" s="59" t="s">
        <v>115</v>
      </c>
      <c r="B25" s="59"/>
      <c r="C25" s="59"/>
      <c r="D25" s="59"/>
      <c r="E25" s="59"/>
    </row>
    <row r="26" customFormat="false" ht="15" hidden="false" customHeight="true" outlineLevel="0" collapsed="false">
      <c r="A26" s="60" t="s">
        <v>116</v>
      </c>
      <c r="B26" s="60"/>
      <c r="C26" s="60"/>
      <c r="D26" s="60"/>
      <c r="E26" s="60"/>
    </row>
    <row r="27" customFormat="false" ht="15" hidden="false" customHeight="true" outlineLevel="0" collapsed="false">
      <c r="A27" s="53" t="s">
        <v>117</v>
      </c>
      <c r="B27" s="53"/>
      <c r="C27" s="53"/>
      <c r="D27" s="53"/>
      <c r="E27" s="53"/>
    </row>
    <row r="28" customFormat="false" ht="15" hidden="false" customHeight="true" outlineLevel="0" collapsed="false">
      <c r="A28" s="56" t="s">
        <v>118</v>
      </c>
      <c r="B28" s="56"/>
      <c r="C28" s="56"/>
      <c r="D28" s="56"/>
      <c r="E28" s="56"/>
    </row>
    <row r="29" customFormat="false" ht="15" hidden="false" customHeight="true" outlineLevel="0" collapsed="false">
      <c r="A29" s="61" t="s">
        <v>119</v>
      </c>
      <c r="B29" s="61"/>
      <c r="C29" s="61"/>
      <c r="D29" s="61"/>
      <c r="E29" s="61"/>
    </row>
  </sheetData>
  <mergeCells count="29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2026-05-21T13:38:48Z</dcterms:created>
  <dc:creator>openpyxl</dc:creator>
  <dc:description/>
  <dc:language>en-US</dc:language>
  <cp:lastModifiedBy/>
  <dcterms:modified xsi:type="dcterms:W3CDTF">2026-05-21T13:38:48Z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