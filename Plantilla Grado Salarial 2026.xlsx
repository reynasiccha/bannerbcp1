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A" sheetId="2" state="visible" r:id="rId4"/>
    <sheet name="CALCULO" sheetId="3" state="visible" r:id="rId5"/>
    <sheet name="INSTRUCTIV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<sst xmlns="http://schemas.openxmlformats.org/spreadsheetml/2006/main" count="107" uniqueCount="85">
  <si>
    <t xml:space="preserve">ANÁLISIS DE MOVIMIENTOS DE GRADO SALARIAL – 2026</t>
  </si>
  <si>
    <t xml:space="preserve">Solo colaboradores activos en AMBOS meses  |  Chats: GCIA LINEA SERVICIO DIGITALIDAD Y VENTAS  |  Llamadas: INBOUND LÍNEAS SERVICIO Y VENTA + INBOUND LINEAS ESPECIALIZADAS</t>
  </si>
  <si>
    <t xml:space="preserve">📋 Completa la tabla de abajo con los períodos que deseas analizar (Mes_Origen → Mes_Destino)</t>
  </si>
  <si>
    <t xml:space="preserve">Mes_Origen</t>
  </si>
  <si>
    <t xml:space="preserve">Mes_Destino</t>
  </si>
  <si>
    <t xml:space="preserve">B3 → B2 Chats</t>
  </si>
  <si>
    <t xml:space="preserve">B3 → B2 Llamadas</t>
  </si>
  <si>
    <t xml:space="preserve">B2 → B1 Chats</t>
  </si>
  <si>
    <t xml:space="preserve">B2 → B1 Llamadas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</si>
  <si>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</si>
  <si>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</si>
  <si>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</si>
  <si>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</si>
  <si>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</si>
  <si>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</si>
  <si>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</si>
  <si>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</si>
  <si>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</si>
  <si>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</si>
  <si>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</si>
  <si>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</si>
  <si>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AÑO</t>
  </si>
  <si>
    <t xml:space="preserve">RESUMEN CONSOLIDADO POR TIPO DE TRANSICIÓN</t>
  </si>
  <si>
    <t xml:space="preserve">Transición</t>
  </si>
  <si>
    <t xml:space="preserve">Chats (Total año)</t>
  </si>
  <si>
    <t xml:space="preserve">Llamadas (Total año)</t>
  </si>
  <si>
    <t xml:space="preserve">TOTAL</t>
  </si>
  <si>
    <t xml:space="preserve">B3 → B2</t>
  </si>
  <si>
    <t xml:space="preserve">B2 → B1</t>
  </si>
  <si>
    <t xml:space="preserve">⬇️  PEGA TU DATA AQUÍ — mantén los encabezados en la fila 1 y los datos desde la fila 2</t>
  </si>
  <si>
    <t xml:space="preserve">Año</t>
  </si>
  <si>
    <t xml:space="preserve">Mes</t>
  </si>
  <si>
    <t xml:space="preserve">Canal</t>
  </si>
  <si>
    <t xml:space="preserve">Atención</t>
  </si>
  <si>
    <t xml:space="preserve">Matricula</t>
  </si>
  <si>
    <t xml:space="preserve">Cod.</t>
  </si>
  <si>
    <t xml:space="preserve">Colaborador</t>
  </si>
  <si>
    <t xml:space="preserve">Fecha ingreso</t>
  </si>
  <si>
    <t xml:space="preserve">Fecha fin contrato</t>
  </si>
  <si>
    <t xml:space="preserve">Tipo de contrato</t>
  </si>
  <si>
    <t xml:space="preserve">Función actual</t>
  </si>
  <si>
    <t xml:space="preserve">Cod Función actual</t>
  </si>
  <si>
    <t xml:space="preserve">GS</t>
  </si>
  <si>
    <t xml:space="preserve">Unidad actual</t>
  </si>
  <si>
    <t xml:space="preserve">Cod. Unidad actual</t>
  </si>
  <si>
    <t xml:space="preserve">Mat. Jefe actual</t>
  </si>
  <si>
    <t xml:space="preserve">Jefe mes actual</t>
  </si>
  <si>
    <t xml:space="preserve">Dpto</t>
  </si>
  <si>
    <t xml:space="preserve">Canal 2</t>
  </si>
  <si>
    <t xml:space="preserve">Tipo</t>
  </si>
  <si>
    <t xml:space="preserve">Tipo de Orgánico</t>
  </si>
  <si>
    <t xml:space="preserve">Ubicación</t>
  </si>
  <si>
    <t xml:space="preserve">Gcia</t>
  </si>
  <si>
    <t xml:space="preserve">Ingreso puesto</t>
  </si>
  <si>
    <t xml:space="preserve">CIUDAD</t>
  </si>
  <si>
    <t xml:space="preserve">Correo</t>
  </si>
  <si>
    <t xml:space="preserve">← Mes (col B)</t>
  </si>
  <si>
    <t xml:space="preserve">← Matricula (col E)</t>
  </si>
  <si>
    <t xml:space="preserve">← GS (col M)</t>
  </si>
  <si>
    <t xml:space="preserve">← Gcia (col W)</t>
  </si>
  <si>
    <t xml:space="preserve">TABLA DE TRANSICIONES — Se actualiza automáticamente al pegar datos en DATA</t>
  </si>
  <si>
    <t xml:space="preserve">✏️ Columnas AMARILLAS: ingresa Matricula, Mes_Origen y Mes_Destino de cada colaborador que quieras comparar.  ⚡ Columnas AZULES: se calculan solas con BUSCARX desde DATA.</t>
  </si>
  <si>
    <t xml:space="preserve">✏️ INGRESAR</t>
  </si>
  <si>
    <t xml:space="preserve">⚡ AUTO</t>
  </si>
  <si>
    <t xml:space="preserve">GS_Origen</t>
  </si>
  <si>
    <t xml:space="preserve">Gcia_Origen</t>
  </si>
  <si>
    <t xml:space="preserve">GS_Destino</t>
  </si>
  <si>
    <t xml:space="preserve">Transicion</t>
  </si>
  <si>
    <t xml:space="preserve">Tipo_Servicio</t>
  </si>
  <si>
    <t xml:space="preserve">Activo_Origen</t>
  </si>
  <si>
    <t xml:space="preserve">Activo_Destino</t>
  </si>
  <si>
    <t xml:space="preserve">Activo_Ambos</t>
  </si>
  <si>
    <t xml:space="preserve">📖 INSTRUCTIVO — PLANTILLA ANÁLISIS DE GRADO SALARIAL 2026</t>
  </si>
  <si>
    <t xml:space="preserve">  PASO 1 — Ir a hoja DATA</t>
  </si>
  <si>
    <t xml:space="preserve">Copia y pega toda tu tabla de datos. Asegúrate que los encabezados queden en la fila 2 y los datos desde la fila 3. Las columnas CLAVE son: E=Matricula, B=Mes, M=GS (grado salarial), W=Gcia (gerencia).</t>
  </si>
  <si>
    <t xml:space="preserve">  PASO 2 — Ir a hoja CALCULO</t>
  </si>
  <si>
    <t xml:space="preserve">En las columnas AMARILLAS ingresa: A=Matricula del colaborador, B=Mes origen (ej: Enero), E=Mes destino (ej: Febrero). Las columnas AZULES se calculan solas con BUSCARX. Solo aparecen colaboradores presentes en AMBOS meses.</t>
  </si>
  <si>
    <t xml:space="preserve">  PASO 3 — Ir a hoja RESUMEN</t>
  </si>
  <si>
    <t xml:space="preserve">Los conteos se actualizan automáticamente con CONTAR.SI.CONJUNTO. La tabla ya tiene precargados los períodos Enero→Febrero hasta Noviembre→Diciembre. Solo verás resultados en los períodos donde hayas ingresado datos en CALCULO.</t>
  </si>
  <si>
    <t xml:space="preserve">  ATENCIÓN — Colaboradores inactivos</t>
  </si>
  <si>
    <t xml:space="preserve">Si un colaborador aparece en Mes_Origen pero NO en Mes_Destino → columna F muestra 'Inactivo' y K='No'. Estos NO se cuentan en RESUMEN. Solo cuentan colaboradores con K='Sí' (activos en ambos meses).</t>
  </si>
  <si>
    <t xml:space="preserve">  GERENCIAS — Clasificación Chats / Llamadas</t>
  </si>
  <si>
    <t xml:space="preserve">Chats → 'GCIA LINEA SERVICIO DIGITALIDAD Y VENTAS'
Llamadas → 'GERENCIA INBOUND LÍNEAS SERVICIO Y VENTA' ó 'GERENCIA INBOUND LINEAS ESPECIALIZADAS'
Cualquier otra gerencia aparece como 'Otro' y no se cuenta en RESUMEN.</t>
  </si>
  <si>
    <t xml:space="preserve">  TIP — Agregar más data</t>
  </si>
  <si>
    <t xml:space="preserve">Agrega filas en DATA (desde fila 3 hacia abajo) y agrega filas en CALCULO (desde fila 5 hacia abajo). RESUMEN se recalcula solo. La plantilla soporta hasta 10.000 filas en DATA y 5.000 en CALCULO.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</si>
</sst>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C55A11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8"/>
      <color rgb="FFC55A11"/>
      <name val="Arial"/>
      <family val="0"/>
      <charset val="1"/>
    </font>
    <font>
      <b val="true"/>
      <sz val="8"/>
      <color rgb="FF2E75B6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6E4F0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9E1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27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customFormat="false" ht="21.75" hidden="false" customHeight="true" outlineLevel="0" collapsed="false">
      <c r="A5" s="5" t="s">
        <v>9</v>
      </c>
      <c r="B5" s="5" t="s">
        <v>10</v>
      </c>
      <c r="C5" s="6" t="n">
        <f aca="false">IFERROR(contar.si.conjunto(CALCULO!$B$5:$B$5004,A5,CALCULO!$E$5:$E$5004,B5,CALCULO!$G$5:$G$5004,"B3 → B2",CALCULO!$H$5:$H$5004,"Chats",CALCULO!$K$5:$K$5004,"Sí"),0)</f>
        <v>0</v>
      </c>
      <c r="D5" s="6" t="n">
        <f aca="false">IFERROR(contar.si.conjunto(CALCULO!$B$5:$B$5004,A5,CALCULO!$E$5:$E$5004,B5,CALCULO!$G$5:$G$5004,"B3 → B2",CALCULO!$H$5:$H$5004,"Llamadas",CALCULO!$K$5:$K$5004,"Sí"),0)</f>
        <v>0</v>
      </c>
      <c r="E5" s="6" t="n">
        <f aca="false">IFERROR(contar.si.conjunto(CALCULO!$B$5:$B$5004,A5,CALCULO!$E$5:$E$5004,B5,CALCULO!$G$5:$G$5004,"B2 → B1",CALCULO!$H$5:$H$5004,"Chats",CALCULO!$K$5:$K$5004,"Sí"),0)</f>
        <v>0</v>
      </c>
      <c r="F5" s="6" t="n">
        <f aca="false">IFERROR(contar.si.conjunto(CALCULO!$B$5:$B$5004,A5,CALCULO!$E$5:$E$5004,B5,CALCULO!$G$5:$G$5004,"B2 → B1",CALCULO!$H$5:$H$5004,"Llamadas",CALCULO!$K$5:$K$5004,"Sí"),0)</f>
        <v>0</v>
      </c>
    </row>
    <row r="6" customFormat="false" ht="21.75" hidden="false" customHeight="true" outlineLevel="0" collapsed="false">
      <c r="A6" s="5" t="s">
        <v>10</v>
      </c>
      <c r="B6" s="5" t="s">
        <v>11</v>
      </c>
      <c r="C6" s="7" t="n">
        <f aca="false">IFERROR(contar.si.conjunto(CALCULO!$B$5:$B$5004,A6,CALCULO!$E$5:$E$5004,B6,CALCULO!$G$5:$G$5004,"B3 → B2",CALCULO!$H$5:$H$5004,"Chats",CALCULO!$K$5:$K$5004,"Sí"),0)</f>
        <v>0</v>
      </c>
      <c r="D6" s="7" t="n">
        <f aca="false">IFERROR(contar.si.conjunto(CALCULO!$B$5:$B$5004,A6,CALCULO!$E$5:$E$5004,B6,CALCULO!$G$5:$G$5004,"B3 → B2",CALCULO!$H$5:$H$5004,"Llamadas",CALCULO!$K$5:$K$5004,"Sí"),0)</f>
        <v>0</v>
      </c>
      <c r="E6" s="7" t="n">
        <f aca="false">IFERROR(contar.si.conjunto(CALCULO!$B$5:$B$5004,A6,CALCULO!$E$5:$E$5004,B6,CALCULO!$G$5:$G$5004,"B2 → B1",CALCULO!$H$5:$H$5004,"Chats",CALCULO!$K$5:$K$5004,"Sí"),0)</f>
        <v>0</v>
      </c>
      <c r="F6" s="7" t="n">
        <f aca="false">IFERROR(contar.si.conjunto(CALCULO!$B$5:$B$5004,A6,CALCULO!$E$5:$E$5004,B6,CALCULO!$G$5:$G$5004,"B2 → B1",CALCULO!$H$5:$H$5004,"Llamadas",CALCULO!$K$5:$K$5004,"Sí"),0)</f>
        <v>0</v>
      </c>
    </row>
    <row r="7" customFormat="false" ht="21.75" hidden="false" customHeight="true" outlineLevel="0" collapsed="false">
      <c r="A7" s="5" t="s">
        <v>11</v>
      </c>
      <c r="B7" s="5" t="s">
        <v>12</v>
      </c>
      <c r="C7" s="6" t="n">
        <f aca="false">IFERROR(contar.si.conjunto(CALCULO!$B$5:$B$5004,A7,CALCULO!$E$5:$E$5004,B7,CALCULO!$G$5:$G$5004,"B3 → B2",CALCULO!$H$5:$H$5004,"Chats",CALCULO!$K$5:$K$5004,"Sí"),0)</f>
        <v>0</v>
      </c>
      <c r="D7" s="6" t="n">
        <f aca="false">IFERROR(contar.si.conjunto(CALCULO!$B$5:$B$5004,A7,CALCULO!$E$5:$E$5004,B7,CALCULO!$G$5:$G$5004,"B3 → B2",CALCULO!$H$5:$H$5004,"Llamadas",CALCULO!$K$5:$K$5004,"Sí"),0)</f>
        <v>0</v>
      </c>
      <c r="E7" s="6" t="n">
        <f aca="false">IFERROR(contar.si.conjunto(CALCULO!$B$5:$B$5004,A7,CALCULO!$E$5:$E$5004,B7,CALCULO!$G$5:$G$5004,"B2 → B1",CALCULO!$H$5:$H$5004,"Chats",CALCULO!$K$5:$K$5004,"Sí"),0)</f>
        <v>0</v>
      </c>
      <c r="F7" s="6" t="n">
        <f aca="false">IFERROR(contar.si.conjunto(CALCULO!$B$5:$B$5004,A7,CALCULO!$E$5:$E$5004,B7,CALCULO!$G$5:$G$5004,"B2 → B1",CALCULO!$H$5:$H$5004,"Llamadas",CALCULO!$K$5:$K$5004,"Sí"),0)</f>
        <v>0</v>
      </c>
    </row>
    <row r="8" customFormat="false" ht="21.75" hidden="false" customHeight="true" outlineLevel="0" collapsed="false">
      <c r="A8" s="5" t="s">
        <v>12</v>
      </c>
      <c r="B8" s="5" t="s">
        <v>13</v>
      </c>
      <c r="C8" s="7" t="n">
        <f aca="false">IFERROR(contar.si.conjunto(CALCULO!$B$5:$B$5004,A8,CALCULO!$E$5:$E$5004,B8,CALCULO!$G$5:$G$5004,"B3 → B2",CALCULO!$H$5:$H$5004,"Chats",CALCULO!$K$5:$K$5004,"Sí"),0)</f>
        <v>0</v>
      </c>
      <c r="D8" s="7" t="n">
        <f aca="false">IFERROR(contar.si.conjunto(CALCULO!$B$5:$B$5004,A8,CALCULO!$E$5:$E$5004,B8,CALCULO!$G$5:$G$5004,"B3 → B2",CALCULO!$H$5:$H$5004,"Llamadas",CALCULO!$K$5:$K$5004,"Sí"),0)</f>
        <v>0</v>
      </c>
      <c r="E8" s="7" t="n">
        <f aca="false">IFERROR(contar.si.conjunto(CALCULO!$B$5:$B$5004,A8,CALCULO!$E$5:$E$5004,B8,CALCULO!$G$5:$G$5004,"B2 → B1",CALCULO!$H$5:$H$5004,"Chats",CALCULO!$K$5:$K$5004,"Sí"),0)</f>
        <v>0</v>
      </c>
      <c r="F8" s="7" t="n">
        <f aca="false">IFERROR(contar.si.conjunto(CALCULO!$B$5:$B$5004,A8,CALCULO!$E$5:$E$5004,B8,CALCULO!$G$5:$G$5004,"B2 → B1",CALCULO!$H$5:$H$5004,"Llamadas",CALCULO!$K$5:$K$5004,"Sí"),0)</f>
        <v>0</v>
      </c>
    </row>
    <row r="9" customFormat="false" ht="21.75" hidden="false" customHeight="true" outlineLevel="0" collapsed="false">
      <c r="A9" s="5" t="s">
        <v>13</v>
      </c>
      <c r="B9" s="5" t="s">
        <v>14</v>
      </c>
      <c r="C9" s="6" t="n">
        <f aca="false">IFERROR(contar.si.conjunto(CALCULO!$B$5:$B$5004,A9,CALCULO!$E$5:$E$5004,B9,CALCULO!$G$5:$G$5004,"B3 → B2",CALCULO!$H$5:$H$5004,"Chats",CALCULO!$K$5:$K$5004,"Sí"),0)</f>
        <v>0</v>
      </c>
      <c r="D9" s="6" t="n">
        <f aca="false">IFERROR(contar.si.conjunto(CALCULO!$B$5:$B$5004,A9,CALCULO!$E$5:$E$5004,B9,CALCULO!$G$5:$G$5004,"B3 → B2",CALCULO!$H$5:$H$5004,"Llamadas",CALCULO!$K$5:$K$5004,"Sí"),0)</f>
        <v>0</v>
      </c>
      <c r="E9" s="6" t="n">
        <f aca="false">IFERROR(contar.si.conjunto(CALCULO!$B$5:$B$5004,A9,CALCULO!$E$5:$E$5004,B9,CALCULO!$G$5:$G$5004,"B2 → B1",CALCULO!$H$5:$H$5004,"Chats",CALCULO!$K$5:$K$5004,"Sí"),0)</f>
        <v>0</v>
      </c>
      <c r="F9" s="6" t="n">
        <f aca="false">IFERROR(contar.si.conjunto(CALCULO!$B$5:$B$5004,A9,CALCULO!$E$5:$E$5004,B9,CALCULO!$G$5:$G$5004,"B2 → B1",CALCULO!$H$5:$H$5004,"Llamadas",CALCULO!$K$5:$K$5004,"Sí"),0)</f>
        <v>0</v>
      </c>
    </row>
    <row r="10" customFormat="false" ht="21.75" hidden="false" customHeight="true" outlineLevel="0" collapsed="false">
      <c r="A10" s="5" t="s">
        <v>14</v>
      </c>
      <c r="B10" s="5" t="s">
        <v>15</v>
      </c>
      <c r="C10" s="7" t="n">
        <f aca="false">IFERROR(contar.si.conjunto(CALCULO!$B$5:$B$5004,A10,CALCULO!$E$5:$E$5004,B10,CALCULO!$G$5:$G$5004,"B3 → B2",CALCULO!$H$5:$H$5004,"Chats",CALCULO!$K$5:$K$5004,"Sí"),0)</f>
        <v>0</v>
      </c>
      <c r="D10" s="7" t="n">
        <f aca="false">IFERROR(contar.si.conjunto(CALCULO!$B$5:$B$5004,A10,CALCULO!$E$5:$E$5004,B10,CALCULO!$G$5:$G$5004,"B3 → B2",CALCULO!$H$5:$H$5004,"Llamadas",CALCULO!$K$5:$K$5004,"Sí"),0)</f>
        <v>0</v>
      </c>
      <c r="E10" s="7" t="n">
        <f aca="false">IFERROR(contar.si.conjunto(CALCULO!$B$5:$B$5004,A10,CALCULO!$E$5:$E$5004,B10,CALCULO!$G$5:$G$5004,"B2 → B1",CALCULO!$H$5:$H$5004,"Chats",CALCULO!$K$5:$K$5004,"Sí"),0)</f>
        <v>0</v>
      </c>
      <c r="F10" s="7" t="n">
        <f aca="false">IFERROR(contar.si.conjunto(CALCULO!$B$5:$B$5004,A10,CALCULO!$E$5:$E$5004,B10,CALCULO!$G$5:$G$5004,"B2 → B1",CALCULO!$H$5:$H$5004,"Llamadas",CALCULO!$K$5:$K$5004,"Sí"),0)</f>
        <v>0</v>
      </c>
    </row>
    <row r="11" customFormat="false" ht="21.75" hidden="false" customHeight="true" outlineLevel="0" collapsed="false">
      <c r="A11" s="5" t="s">
        <v>15</v>
      </c>
      <c r="B11" s="5" t="s">
        <v>16</v>
      </c>
      <c r="C11" s="6" t="n">
        <f aca="false">IFERROR(contar.si.conjunto(CALCULO!$B$5:$B$5004,A11,CALCULO!$E$5:$E$5004,B11,CALCULO!$G$5:$G$5004,"B3 → B2",CALCULO!$H$5:$H$5004,"Chats",CALCULO!$K$5:$K$5004,"Sí"),0)</f>
        <v>0</v>
      </c>
      <c r="D11" s="6" t="n">
        <f aca="false">IFERROR(contar.si.conjunto(CALCULO!$B$5:$B$5004,A11,CALCULO!$E$5:$E$5004,B11,CALCULO!$G$5:$G$5004,"B3 → B2",CALCULO!$H$5:$H$5004,"Llamadas",CALCULO!$K$5:$K$5004,"Sí"),0)</f>
        <v>0</v>
      </c>
      <c r="E11" s="6" t="n">
        <f aca="false">IFERROR(contar.si.conjunto(CALCULO!$B$5:$B$5004,A11,CALCULO!$E$5:$E$5004,B11,CALCULO!$G$5:$G$5004,"B2 → B1",CALCULO!$H$5:$H$5004,"Chats",CALCULO!$K$5:$K$5004,"Sí"),0)</f>
        <v>0</v>
      </c>
      <c r="F11" s="6" t="n">
        <f aca="false">IFERROR(contar.si.conjunto(CALCULO!$B$5:$B$5004,A11,CALCULO!$E$5:$E$5004,B11,CALCULO!$G$5:$G$5004,"B2 → B1",CALCULO!$H$5:$H$5004,"Llamadas",CALCULO!$K$5:$K$5004,"Sí"),0)</f>
        <v>0</v>
      </c>
    </row>
    <row r="12" customFormat="false" ht="21.75" hidden="false" customHeight="true" outlineLevel="0" collapsed="false">
      <c r="A12" s="5" t="s">
        <v>16</v>
      </c>
      <c r="B12" s="5" t="s">
        <v>17</v>
      </c>
      <c r="C12" s="7" t="n">
        <f aca="false">IFERROR(contar.si.conjunto(CALCULO!$B$5:$B$5004,A12,CALCULO!$E$5:$E$5004,B12,CALCULO!$G$5:$G$5004,"B3 → B2",CALCULO!$H$5:$H$5004,"Chats",CALCULO!$K$5:$K$5004,"Sí"),0)</f>
        <v>0</v>
      </c>
      <c r="D12" s="7" t="n">
        <f aca="false">IFERROR(contar.si.conjunto(CALCULO!$B$5:$B$5004,A12,CALCULO!$E$5:$E$5004,B12,CALCULO!$G$5:$G$5004,"B3 → B2",CALCULO!$H$5:$H$5004,"Llamadas",CALCULO!$K$5:$K$5004,"Sí"),0)</f>
        <v>0</v>
      </c>
      <c r="E12" s="7" t="n">
        <f aca="false">IFERROR(contar.si.conjunto(CALCULO!$B$5:$B$5004,A12,CALCULO!$E$5:$E$5004,B12,CALCULO!$G$5:$G$5004,"B2 → B1",CALCULO!$H$5:$H$5004,"Chats",CALCULO!$K$5:$K$5004,"Sí"),0)</f>
        <v>0</v>
      </c>
      <c r="F12" s="7" t="n">
        <f aca="false">IFERROR(contar.si.conjunto(CALCULO!$B$5:$B$5004,A12,CALCULO!$E$5:$E$5004,B12,CALCULO!$G$5:$G$5004,"B2 → B1",CALCULO!$H$5:$H$5004,"Llamadas",CALCULO!$K$5:$K$5004,"Sí"),0)</f>
        <v>0</v>
      </c>
    </row>
    <row r="13" customFormat="false" ht="21.75" hidden="false" customHeight="true" outlineLevel="0" collapsed="false">
      <c r="A13" s="5" t="s">
        <v>17</v>
      </c>
      <c r="B13" s="5" t="s">
        <v>18</v>
      </c>
      <c r="C13" s="6" t="n">
        <f aca="false">IFERROR(contar.si.conjunto(CALCULO!$B$5:$B$5004,A13,CALCULO!$E$5:$E$5004,B13,CALCULO!$G$5:$G$5004,"B3 → B2",CALCULO!$H$5:$H$5004,"Chats",CALCULO!$K$5:$K$5004,"Sí"),0)</f>
        <v>0</v>
      </c>
      <c r="D13" s="6" t="n">
        <f aca="false">IFERROR(contar.si.conjunto(CALCULO!$B$5:$B$5004,A13,CALCULO!$E$5:$E$5004,B13,CALCULO!$G$5:$G$5004,"B3 → B2",CALCULO!$H$5:$H$5004,"Llamadas",CALCULO!$K$5:$K$5004,"Sí"),0)</f>
        <v>0</v>
      </c>
      <c r="E13" s="6" t="n">
        <f aca="false">IFERROR(contar.si.conjunto(CALCULO!$B$5:$B$5004,A13,CALCULO!$E$5:$E$5004,B13,CALCULO!$G$5:$G$5004,"B2 → B1",CALCULO!$H$5:$H$5004,"Chats",CALCULO!$K$5:$K$5004,"Sí"),0)</f>
        <v>0</v>
      </c>
      <c r="F13" s="6" t="n">
        <f aca="false">IFERROR(contar.si.conjunto(CALCULO!$B$5:$B$5004,A13,CALCULO!$E$5:$E$5004,B13,CALCULO!$G$5:$G$5004,"B2 → B1",CALCULO!$H$5:$H$5004,"Llamadas",CALCULO!$K$5:$K$5004,"Sí"),0)</f>
        <v>0</v>
      </c>
    </row>
    <row r="14" customFormat="false" ht="21.75" hidden="false" customHeight="true" outlineLevel="0" collapsed="false">
      <c r="A14" s="5" t="s">
        <v>18</v>
      </c>
      <c r="B14" s="5" t="s">
        <v>19</v>
      </c>
      <c r="C14" s="7" t="n">
        <f aca="false">IFERROR(contar.si.conjunto(CALCULO!$B$5:$B$5004,A14,CALCULO!$E$5:$E$5004,B14,CALCULO!$G$5:$G$5004,"B3 → B2",CALCULO!$H$5:$H$5004,"Chats",CALCULO!$K$5:$K$5004,"Sí"),0)</f>
        <v>0</v>
      </c>
      <c r="D14" s="7" t="n">
        <f aca="false">IFERROR(contar.si.conjunto(CALCULO!$B$5:$B$5004,A14,CALCULO!$E$5:$E$5004,B14,CALCULO!$G$5:$G$5004,"B3 → B2",CALCULO!$H$5:$H$5004,"Llamadas",CALCULO!$K$5:$K$5004,"Sí"),0)</f>
        <v>0</v>
      </c>
      <c r="E14" s="7" t="n">
        <f aca="false">IFERROR(contar.si.conjunto(CALCULO!$B$5:$B$5004,A14,CALCULO!$E$5:$E$5004,B14,CALCULO!$G$5:$G$5004,"B2 → B1",CALCULO!$H$5:$H$5004,"Chats",CALCULO!$K$5:$K$5004,"Sí"),0)</f>
        <v>0</v>
      </c>
      <c r="F14" s="7" t="n">
        <f aca="false">IFERROR(contar.si.conjunto(CALCULO!$B$5:$B$5004,A14,CALCULO!$E$5:$E$5004,B14,CALCULO!$G$5:$G$5004,"B2 → B1",CALCULO!$H$5:$H$5004,"Llamadas",CALCULO!$K$5:$K$5004,"Sí"),0)</f>
        <v>0</v>
      </c>
    </row>
    <row r="15" customFormat="false" ht="21.75" hidden="false" customHeight="true" outlineLevel="0" collapsed="false">
      <c r="A15" s="5" t="s">
        <v>19</v>
      </c>
      <c r="B15" s="5" t="s">
        <v>20</v>
      </c>
      <c r="C15" s="6" t="n">
        <f aca="false">IFERROR(contar.si.conjunto(CALCULO!$B$5:$B$5004,A15,CALCULO!$E$5:$E$5004,B15,CALCULO!$G$5:$G$5004,"B3 → B2",CALCULO!$H$5:$H$5004,"Chats",CALCULO!$K$5:$K$5004,"Sí"),0)</f>
        <v>0</v>
      </c>
      <c r="D15" s="6" t="n">
        <f aca="false">IFERROR(contar.si.conjunto(CALCULO!$B$5:$B$5004,A15,CALCULO!$E$5:$E$5004,B15,CALCULO!$G$5:$G$5004,"B3 → B2",CALCULO!$H$5:$H$5004,"Llamadas",CALCULO!$K$5:$K$5004,"Sí"),0)</f>
        <v>0</v>
      </c>
      <c r="E15" s="6" t="n">
        <f aca="false">IFERROR(contar.si.conjunto(CALCULO!$B$5:$B$5004,A15,CALCULO!$E$5:$E$5004,B15,CALCULO!$G$5:$G$5004,"B2 → B1",CALCULO!$H$5:$H$5004,"Chats",CALCULO!$K$5:$K$5004,"Sí"),0)</f>
        <v>0</v>
      </c>
      <c r="F15" s="6" t="n">
        <f aca="false">IFERROR(contar.si.conjunto(CALCULO!$B$5:$B$5004,A15,CALCULO!$E$5:$E$5004,B15,CALCULO!$G$5:$G$5004,"B2 → B1",CALCULO!$H$5:$H$5004,"Llamadas",CALCULO!$K$5:$K$5004,"Sí"),0)</f>
        <v>0</v>
      </c>
    </row>
    <row r="16" customFormat="false" ht="21.75" hidden="false" customHeight="true" outlineLevel="0" collapsed="false">
      <c r="A16" s="5"/>
      <c r="B16" s="5"/>
      <c r="C16" s="8" t="n">
        <f aca="false">IFERROR(contar.si.conjunto(CALCULO!$B$5:$B$5004,A16,CALCULO!$E$5:$E$5004,B16,CALCULO!$G$5:$G$5004,"B3 → B2",CALCULO!$H$5:$H$5004,"Chats",CALCULO!$K$5:$K$5004,"Sí"),0)</f>
        <v>0</v>
      </c>
      <c r="D16" s="8" t="n">
        <f aca="false">IFERROR(contar.si.conjunto(CALCULO!$B$5:$B$5004,A16,CALCULO!$E$5:$E$5004,B16,CALCULO!$G$5:$G$5004,"B3 → B2",CALCULO!$H$5:$H$5004,"Llamadas",CALCULO!$K$5:$K$5004,"Sí"),0)</f>
        <v>0</v>
      </c>
      <c r="E16" s="8" t="n">
        <f aca="false">IFERROR(contar.si.conjunto(CALCULO!$B$5:$B$5004,A16,CALCULO!$E$5:$E$5004,B16,CALCULO!$G$5:$G$5004,"B2 → B1",CALCULO!$H$5:$H$5004,"Chats",CALCULO!$K$5:$K$5004,"Sí"),0)</f>
        <v>0</v>
      </c>
      <c r="F16" s="8" t="n">
        <f aca="false">IFERROR(contar.si.conjunto(CALCULO!$B$5:$B$5004,A16,CALCULO!$E$5:$E$5004,B16,CALCULO!$G$5:$G$5004,"B2 → B1",CALCULO!$H$5:$H$5004,"Llamadas",CALCULO!$K$5:$K$5004,"Sí"),0)</f>
        <v>0</v>
      </c>
    </row>
    <row r="17" customFormat="false" ht="25.5" hidden="false" customHeight="true" outlineLevel="0" collapsed="false">
      <c r="A17" s="9" t="s">
        <v>21</v>
      </c>
      <c r="B17" s="9"/>
      <c r="C17" s="10" t="n">
        <f aca="false">SUM(C5:C16)</f>
        <v>0</v>
      </c>
      <c r="D17" s="10" t="n">
        <f aca="false">SUM(D5:D16)</f>
        <v>0</v>
      </c>
      <c r="E17" s="10" t="n">
        <f aca="false">SUM(E5:E16)</f>
        <v>0</v>
      </c>
      <c r="F17" s="10" t="n">
        <f aca="false">SUM(F5:F16)</f>
        <v>0</v>
      </c>
    </row>
    <row r="19" customFormat="false" ht="24" hidden="false" customHeight="true" outlineLevel="0" collapsed="false">
      <c r="A19" s="11" t="s">
        <v>22</v>
      </c>
      <c r="B19" s="11"/>
      <c r="C19" s="11"/>
      <c r="D19" s="11"/>
      <c r="E19" s="11"/>
      <c r="F19" s="11"/>
    </row>
    <row r="20" customFormat="false" ht="24" hidden="false" customHeight="true" outlineLevel="0" collapsed="false">
      <c r="A20" s="4" t="s">
        <v>23</v>
      </c>
      <c r="B20" s="4" t="s">
        <v>24</v>
      </c>
      <c r="C20" s="4" t="s">
        <v>25</v>
      </c>
      <c r="D20" s="4" t="s">
        <v>26</v>
      </c>
    </row>
    <row r="21" customFormat="false" ht="21.75" hidden="false" customHeight="true" outlineLevel="0" collapsed="false">
      <c r="A21" s="12" t="s">
        <v>27</v>
      </c>
      <c r="B21" s="7" t="n">
        <f aca="false">SUM(C5:C16)</f>
        <v>0</v>
      </c>
      <c r="C21" s="7" t="n">
        <f aca="false">SUM(D5:D16)</f>
        <v>0</v>
      </c>
      <c r="D21" s="13" t="n">
        <f aca="false">B21+C21</f>
        <v>0</v>
      </c>
    </row>
    <row r="22" customFormat="false" ht="21.75" hidden="false" customHeight="true" outlineLevel="0" collapsed="false">
      <c r="A22" s="14" t="s">
        <v>28</v>
      </c>
      <c r="B22" s="6" t="n">
        <f aca="false">SUM(E5:E16)</f>
        <v>0</v>
      </c>
      <c r="C22" s="6" t="n">
        <f aca="false">SUM(F5:F16)</f>
        <v>0</v>
      </c>
      <c r="D22" s="15" t="n">
        <f aca="false">B22+C22</f>
        <v>0</v>
      </c>
    </row>
  </sheetData>
  <mergeCells count="5">
    <mergeCell ref="A1:F1"/>
    <mergeCell ref="A2:F2"/>
    <mergeCell ref="A3:F3"/>
    <mergeCell ref="A17:B17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4" min="14" style="0" width="35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18" min="18" style="0" width="20"/>
    <col collapsed="false" customWidth="true" hidden="false" outlineLevel="0" max="20" min="19" style="0" width="10"/>
    <col collapsed="false" customWidth="true" hidden="false" outlineLevel="0" max="22" min="21" style="0" width="14"/>
    <col collapsed="false" customWidth="true" hidden="false" outlineLevel="0" max="23" min="23" style="0" width="45"/>
    <col collapsed="false" customWidth="true" hidden="false" outlineLevel="0" max="24" min="24" style="0" width="13"/>
    <col collapsed="false" customWidth="true" hidden="false" outlineLevel="0" max="25" min="25" style="0" width="10"/>
    <col collapsed="false" customWidth="true" hidden="false" outlineLevel="0" max="26" min="26" style="0" width="25"/>
  </cols>
  <sheetData>
    <row r="1" customFormat="false" ht="31.5" hidden="false" customHeight="true" outlineLevel="0" collapsed="false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customFormat="false" ht="27.75" hidden="false" customHeight="true" outlineLevel="0" collapsed="false">
      <c r="A2" s="17" t="s">
        <v>30</v>
      </c>
      <c r="B2" s="17" t="s">
        <v>31</v>
      </c>
      <c r="C2" s="17" t="s">
        <v>32</v>
      </c>
      <c r="D2" s="17" t="s">
        <v>33</v>
      </c>
      <c r="E2" s="17" t="s">
        <v>34</v>
      </c>
      <c r="F2" s="17" t="s">
        <v>35</v>
      </c>
      <c r="G2" s="17" t="s">
        <v>36</v>
      </c>
      <c r="H2" s="17" t="s">
        <v>37</v>
      </c>
      <c r="I2" s="17" t="s">
        <v>38</v>
      </c>
      <c r="J2" s="17" t="s">
        <v>39</v>
      </c>
      <c r="K2" s="17" t="s">
        <v>40</v>
      </c>
      <c r="L2" s="17" t="s">
        <v>41</v>
      </c>
      <c r="M2" s="17" t="s">
        <v>42</v>
      </c>
      <c r="N2" s="17" t="s">
        <v>43</v>
      </c>
      <c r="O2" s="17" t="s">
        <v>44</v>
      </c>
      <c r="P2" s="17" t="s">
        <v>45</v>
      </c>
      <c r="Q2" s="17" t="s">
        <v>46</v>
      </c>
      <c r="R2" s="17" t="s">
        <v>47</v>
      </c>
      <c r="S2" s="17" t="s">
        <v>48</v>
      </c>
      <c r="T2" s="17" t="s">
        <v>49</v>
      </c>
      <c r="U2" s="17" t="s">
        <v>50</v>
      </c>
      <c r="V2" s="17" t="s">
        <v>51</v>
      </c>
      <c r="W2" s="17" t="s">
        <v>52</v>
      </c>
      <c r="X2" s="17" t="s">
        <v>53</v>
      </c>
      <c r="Y2" s="17" t="s">
        <v>54</v>
      </c>
      <c r="Z2" s="17" t="s">
        <v>55</v>
      </c>
    </row>
    <row r="3" customFormat="false" ht="19.5" hidden="false" customHeight="true" outlineLevel="0" collapsed="false">
      <c r="B3" s="18" t="s">
        <v>56</v>
      </c>
      <c r="E3" s="18" t="s">
        <v>57</v>
      </c>
      <c r="M3" s="18" t="s">
        <v>58</v>
      </c>
      <c r="W3" s="18" t="s">
        <v>59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11" min="7" style="0" width="14"/>
  </cols>
  <sheetData>
    <row r="1" customFormat="false" ht="31.5" hidden="false" customHeight="true" outlineLevel="0" collapsed="false">
      <c r="A1" s="16" t="s">
        <v>60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36" hidden="false" customHeight="true" outlineLevel="0" collapsed="false">
      <c r="A2" s="19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customFormat="false" ht="18" hidden="false" customHeight="true" outlineLevel="0" collapsed="false">
      <c r="A3" s="20" t="s">
        <v>62</v>
      </c>
      <c r="B3" s="20" t="s">
        <v>62</v>
      </c>
      <c r="C3" s="21" t="s">
        <v>63</v>
      </c>
      <c r="D3" s="21" t="s">
        <v>63</v>
      </c>
      <c r="E3" s="20" t="s">
        <v>62</v>
      </c>
      <c r="F3" s="21" t="s">
        <v>63</v>
      </c>
      <c r="G3" s="21" t="s">
        <v>63</v>
      </c>
      <c r="H3" s="21" t="s">
        <v>63</v>
      </c>
      <c r="I3" s="21" t="s">
        <v>63</v>
      </c>
      <c r="J3" s="21" t="s">
        <v>63</v>
      </c>
      <c r="K3" s="21" t="s">
        <v>63</v>
      </c>
    </row>
    <row r="4" customFormat="false" ht="25.5" hidden="false" customHeight="true" outlineLevel="0" collapsed="false">
      <c r="A4" s="4" t="s">
        <v>34</v>
      </c>
      <c r="B4" s="4" t="s">
        <v>3</v>
      </c>
      <c r="C4" s="4" t="s">
        <v>64</v>
      </c>
      <c r="D4" s="4" t="s">
        <v>65</v>
      </c>
      <c r="E4" s="4" t="s">
        <v>4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</row>
    <row r="5" customFormat="false" ht="15" hidden="false" customHeight="false" outlineLevel="0" collapsed="false">
      <c r="A5" s="22"/>
      <c r="B5" s="22"/>
      <c r="C5" s="23" t="str">
        <f aca="false">IF(A5="","",IFERROR(buscarx(A5&amp;B5,DATA!$E$3:$E$10000&amp;DATA!$B$3:$B$10000,DATA!$M$3:$M$10000),"No encontrado"))</f>
        <v/>
      </c>
      <c r="D5" s="24" t="str">
        <f aca="false">IF(A5="","",IFERROR(buscarx(A5&amp;B5,DATA!$E$3:$E$10000&amp;DATA!$B$3:$B$10000,DATA!$W$3:$W$10000),"No encontrado"))</f>
        <v/>
      </c>
      <c r="E5" s="22"/>
      <c r="F5" s="23" t="str">
        <f aca="false">IF(A5="","",IFERROR(buscarx(A5&amp;E5,DATA!$E$3:$E$10000&amp;DATA!$B$3:$B$10000,DATA!$M$3:$M$10000),"Inactivo"))</f>
        <v/>
      </c>
      <c r="G5" s="25" t="str">
        <f aca="false">IF(A5="","",IF(AND(C5&lt;&gt;"No encontrado",F5&lt;&gt;"Inactivo"),C5&amp;" → "&amp;F5,"Sin transición"))</f>
        <v/>
      </c>
      <c r="H5" s="23" t="str">
        <f aca="false">IF(A5="","",IF(D5="GCIA LINEA SERVICIO DIGITALIDAD Y VENTAS","Chats",IF(OR(D5="GERENCIA INBOUND LÍNEAS SERVICIO Y VENTA",D5="GERENCIA INBOUND LINEAS ESPECIALIZADAS"),"Llamadas","Otro")))</f>
        <v/>
      </c>
      <c r="I5" s="23" t="str">
        <f aca="false">IF(A5="","",IF(C5="No encontrado","No","Sí"))</f>
        <v/>
      </c>
      <c r="J5" s="23" t="str">
        <f aca="false">IF(A5="","",IF(F5="Inactivo","No","Sí"))</f>
        <v/>
      </c>
      <c r="K5" s="23" t="str">
        <f aca="false">IF(A5="","",IF(AND(I5="Sí",J5="Sí"),"Sí","No"))</f>
        <v/>
      </c>
    </row>
    <row r="6" customFormat="false" ht="15" hidden="false" customHeight="false" outlineLevel="0" collapsed="false">
      <c r="A6" s="22"/>
      <c r="B6" s="22"/>
      <c r="C6" s="26" t="str">
        <f aca="false">IF(A6="","",IFERROR(buscarx(A6&amp;B6,DATA!$E$3:$E$10000&amp;DATA!$B$3:$B$10000,DATA!$M$3:$M$10000),"No encontrado"))</f>
        <v/>
      </c>
      <c r="D6" s="27" t="str">
        <f aca="false">IF(A6="","",IFERROR(buscarx(A6&amp;B6,DATA!$E$3:$E$10000&amp;DATA!$B$3:$B$10000,DATA!$W$3:$W$10000),"No encontrado"))</f>
        <v/>
      </c>
      <c r="E6" s="22"/>
      <c r="F6" s="26" t="str">
        <f aca="false">IF(A6="","",IFERROR(buscarx(A6&amp;E6,DATA!$E$3:$E$10000&amp;DATA!$B$3:$B$10000,DATA!$M$3:$M$10000),"Inactivo"))</f>
        <v/>
      </c>
      <c r="G6" s="28" t="str">
        <f aca="false">IF(A6="","",IF(AND(C6&lt;&gt;"No encontrado",F6&lt;&gt;"Inactivo"),C6&amp;" → "&amp;F6,"Sin transición"))</f>
        <v/>
      </c>
      <c r="H6" s="26" t="str">
        <f aca="false">IF(A6="","",IF(D6="GCIA LINEA SERVICIO DIGITALIDAD Y VENTAS","Chats",IF(OR(D6="GERENCIA INBOUND LÍNEAS SERVICIO Y VENTA",D6="GERENCIA INBOUND LINEAS ESPECIALIZADAS"),"Llamadas","Otro")))</f>
        <v/>
      </c>
      <c r="I6" s="26" t="str">
        <f aca="false">IF(A6="","",IF(C6="No encontrado","No","Sí"))</f>
        <v/>
      </c>
      <c r="J6" s="26" t="str">
        <f aca="false">IF(A6="","",IF(F6="Inactivo","No","Sí"))</f>
        <v/>
      </c>
      <c r="K6" s="26" t="str">
        <f aca="false">IF(A6="","",IF(AND(I6="Sí",J6="Sí"),"Sí","No"))</f>
        <v/>
      </c>
    </row>
    <row r="7" customFormat="false" ht="15" hidden="false" customHeight="false" outlineLevel="0" collapsed="false">
      <c r="A7" s="22"/>
      <c r="B7" s="22"/>
      <c r="C7" s="23" t="str">
        <f aca="false">IF(A7="","",IFERROR(buscarx(A7&amp;B7,DATA!$E$3:$E$10000&amp;DATA!$B$3:$B$10000,DATA!$M$3:$M$10000),"No encontrado"))</f>
        <v/>
      </c>
      <c r="D7" s="24" t="str">
        <f aca="false">IF(A7="","",IFERROR(buscarx(A7&amp;B7,DATA!$E$3:$E$10000&amp;DATA!$B$3:$B$10000,DATA!$W$3:$W$10000),"No encontrado"))</f>
        <v/>
      </c>
      <c r="E7" s="22"/>
      <c r="F7" s="23" t="str">
        <f aca="false">IF(A7="","",IFERROR(buscarx(A7&amp;E7,DATA!$E$3:$E$10000&amp;DATA!$B$3:$B$10000,DATA!$M$3:$M$10000),"Inactivo"))</f>
        <v/>
      </c>
      <c r="G7" s="25" t="str">
        <f aca="false">IF(A7="","",IF(AND(C7&lt;&gt;"No encontrado",F7&lt;&gt;"Inactivo"),C7&amp;" → "&amp;F7,"Sin transición"))</f>
        <v/>
      </c>
      <c r="H7" s="23" t="str">
        <f aca="false">IF(A7="","",IF(D7="GCIA LINEA SERVICIO DIGITALIDAD Y VENTAS","Chats",IF(OR(D7="GERENCIA INBOUND LÍNEAS SERVICIO Y VENTA",D7="GERENCIA INBOUND LINEAS ESPECIALIZADAS"),"Llamadas","Otro")))</f>
        <v/>
      </c>
      <c r="I7" s="23" t="str">
        <f aca="false">IF(A7="","",IF(C7="No encontrado","No","Sí"))</f>
        <v/>
      </c>
      <c r="J7" s="23" t="str">
        <f aca="false">IF(A7="","",IF(F7="Inactivo","No","Sí"))</f>
        <v/>
      </c>
      <c r="K7" s="23" t="str">
        <f aca="false">IF(A7="","",IF(AND(I7="Sí",J7="Sí"),"Sí","No"))</f>
        <v/>
      </c>
    </row>
    <row r="8" customFormat="false" ht="15" hidden="false" customHeight="false" outlineLevel="0" collapsed="false">
      <c r="A8" s="22"/>
      <c r="B8" s="22"/>
      <c r="C8" s="26" t="str">
        <f aca="false">IF(A8="","",IFERROR(buscarx(A8&amp;B8,DATA!$E$3:$E$10000&amp;DATA!$B$3:$B$10000,DATA!$M$3:$M$10000),"No encontrado"))</f>
        <v/>
      </c>
      <c r="D8" s="27" t="str">
        <f aca="false">IF(A8="","",IFERROR(buscarx(A8&amp;B8,DATA!$E$3:$E$10000&amp;DATA!$B$3:$B$10000,DATA!$W$3:$W$10000),"No encontrado"))</f>
        <v/>
      </c>
      <c r="E8" s="22"/>
      <c r="F8" s="26" t="str">
        <f aca="false">IF(A8="","",IFERROR(buscarx(A8&amp;E8,DATA!$E$3:$E$10000&amp;DATA!$B$3:$B$10000,DATA!$M$3:$M$10000),"Inactivo"))</f>
        <v/>
      </c>
      <c r="G8" s="28" t="str">
        <f aca="false">IF(A8="","",IF(AND(C8&lt;&gt;"No encontrado",F8&lt;&gt;"Inactivo"),C8&amp;" → "&amp;F8,"Sin transición"))</f>
        <v/>
      </c>
      <c r="H8" s="26" t="str">
        <f aca="false">IF(A8="","",IF(D8="GCIA LINEA SERVICIO DIGITALIDAD Y VENTAS","Chats",IF(OR(D8="GERENCIA INBOUND LÍNEAS SERVICIO Y VENTA",D8="GERENCIA INBOUND LINEAS ESPECIALIZADAS"),"Llamadas","Otro")))</f>
        <v/>
      </c>
      <c r="I8" s="26" t="str">
        <f aca="false">IF(A8="","",IF(C8="No encontrado","No","Sí"))</f>
        <v/>
      </c>
      <c r="J8" s="26" t="str">
        <f aca="false">IF(A8="","",IF(F8="Inactivo","No","Sí"))</f>
        <v/>
      </c>
      <c r="K8" s="26" t="str">
        <f aca="false">IF(A8="","",IF(AND(I8="Sí",J8="Sí"),"Sí","No"))</f>
        <v/>
      </c>
    </row>
    <row r="9" customFormat="false" ht="15" hidden="false" customHeight="false" outlineLevel="0" collapsed="false">
      <c r="A9" s="22"/>
      <c r="B9" s="22"/>
      <c r="C9" s="23" t="str">
        <f aca="false">IF(A9="","",IFERROR(buscarx(A9&amp;B9,DATA!$E$3:$E$10000&amp;DATA!$B$3:$B$10000,DATA!$M$3:$M$10000),"No encontrado"))</f>
        <v/>
      </c>
      <c r="D9" s="24" t="str">
        <f aca="false">IF(A9="","",IFERROR(buscarx(A9&amp;B9,DATA!$E$3:$E$10000&amp;DATA!$B$3:$B$10000,DATA!$W$3:$W$10000),"No encontrado"))</f>
        <v/>
      </c>
      <c r="E9" s="22"/>
      <c r="F9" s="23" t="str">
        <f aca="false">IF(A9="","",IFERROR(buscarx(A9&amp;E9,DATA!$E$3:$E$10000&amp;DATA!$B$3:$B$10000,DATA!$M$3:$M$10000),"Inactivo"))</f>
        <v/>
      </c>
      <c r="G9" s="25" t="str">
        <f aca="false">IF(A9="","",IF(AND(C9&lt;&gt;"No encontrado",F9&lt;&gt;"Inactivo"),C9&amp;" → "&amp;F9,"Sin transición"))</f>
        <v/>
      </c>
      <c r="H9" s="23" t="str">
        <f aca="false">IF(A9="","",IF(D9="GCIA LINEA SERVICIO DIGITALIDAD Y VENTAS","Chats",IF(OR(D9="GERENCIA INBOUND LÍNEAS SERVICIO Y VENTA",D9="GERENCIA INBOUND LINEAS ESPECIALIZADAS"),"Llamadas","Otro")))</f>
        <v/>
      </c>
      <c r="I9" s="23" t="str">
        <f aca="false">IF(A9="","",IF(C9="No encontrado","No","Sí"))</f>
        <v/>
      </c>
      <c r="J9" s="23" t="str">
        <f aca="false">IF(A9="","",IF(F9="Inactivo","No","Sí"))</f>
        <v/>
      </c>
      <c r="K9" s="23" t="str">
        <f aca="false">IF(A9="","",IF(AND(I9="Sí",J9="Sí"),"Sí","No"))</f>
        <v/>
      </c>
    </row>
    <row r="10" customFormat="false" ht="15" hidden="false" customHeight="false" outlineLevel="0" collapsed="false">
      <c r="A10" s="22"/>
      <c r="B10" s="22"/>
      <c r="C10" s="26" t="str">
        <f aca="false">IF(A10="","",IFERROR(buscarx(A10&amp;B10,DATA!$E$3:$E$10000&amp;DATA!$B$3:$B$10000,DATA!$M$3:$M$10000),"No encontrado"))</f>
        <v/>
      </c>
      <c r="D10" s="27" t="str">
        <f aca="false">IF(A10="","",IFERROR(buscarx(A10&amp;B10,DATA!$E$3:$E$10000&amp;DATA!$B$3:$B$10000,DATA!$W$3:$W$10000),"No encontrado"))</f>
        <v/>
      </c>
      <c r="E10" s="22"/>
      <c r="F10" s="26" t="str">
        <f aca="false">IF(A10="","",IFERROR(buscarx(A10&amp;E10,DATA!$E$3:$E$10000&amp;DATA!$B$3:$B$10000,DATA!$M$3:$M$10000),"Inactivo"))</f>
        <v/>
      </c>
      <c r="G10" s="28" t="str">
        <f aca="false">IF(A10="","",IF(AND(C10&lt;&gt;"No encontrado",F10&lt;&gt;"Inactivo"),C10&amp;" → "&amp;F10,"Sin transición"))</f>
        <v/>
      </c>
      <c r="H10" s="26" t="str">
        <f aca="false">IF(A10="","",IF(D10="GCIA LINEA SERVICIO DIGITALIDAD Y VENTAS","Chats",IF(OR(D10="GERENCIA INBOUND LÍNEAS SERVICIO Y VENTA",D10="GERENCIA INBOUND LINEAS ESPECIALIZADAS"),"Llamadas","Otro")))</f>
        <v/>
      </c>
      <c r="I10" s="26" t="str">
        <f aca="false">IF(A10="","",IF(C10="No encontrado","No","Sí"))</f>
        <v/>
      </c>
      <c r="J10" s="26" t="str">
        <f aca="false">IF(A10="","",IF(F10="Inactivo","No","Sí"))</f>
        <v/>
      </c>
      <c r="K10" s="26" t="str">
        <f aca="false">IF(A10="","",IF(AND(I10="Sí",J10="Sí"),"Sí","No"))</f>
        <v/>
      </c>
    </row>
    <row r="11" customFormat="false" ht="15" hidden="false" customHeight="false" outlineLevel="0" collapsed="false">
      <c r="A11" s="22"/>
      <c r="B11" s="22"/>
      <c r="C11" s="23" t="str">
        <f aca="false">IF(A11="","",IFERROR(buscarx(A11&amp;B11,DATA!$E$3:$E$10000&amp;DATA!$B$3:$B$10000,DATA!$M$3:$M$10000),"No encontrado"))</f>
        <v/>
      </c>
      <c r="D11" s="24" t="str">
        <f aca="false">IF(A11="","",IFERROR(buscarx(A11&amp;B11,DATA!$E$3:$E$10000&amp;DATA!$B$3:$B$10000,DATA!$W$3:$W$10000),"No encontrado"))</f>
        <v/>
      </c>
      <c r="E11" s="22"/>
      <c r="F11" s="23" t="str">
        <f aca="false">IF(A11="","",IFERROR(buscarx(A11&amp;E11,DATA!$E$3:$E$10000&amp;DATA!$B$3:$B$10000,DATA!$M$3:$M$10000),"Inactivo"))</f>
        <v/>
      </c>
      <c r="G11" s="25" t="str">
        <f aca="false">IF(A11="","",IF(AND(C11&lt;&gt;"No encontrado",F11&lt;&gt;"Inactivo"),C11&amp;" → "&amp;F11,"Sin transición"))</f>
        <v/>
      </c>
      <c r="H11" s="23" t="str">
        <f aca="false">IF(A11="","",IF(D11="GCIA LINEA SERVICIO DIGITALIDAD Y VENTAS","Chats",IF(OR(D11="GERENCIA INBOUND LÍNEAS SERVICIO Y VENTA",D11="GERENCIA INBOUND LINEAS ESPECIALIZADAS"),"Llamadas","Otro")))</f>
        <v/>
      </c>
      <c r="I11" s="23" t="str">
        <f aca="false">IF(A11="","",IF(C11="No encontrado","No","Sí"))</f>
        <v/>
      </c>
      <c r="J11" s="23" t="str">
        <f aca="false">IF(A11="","",IF(F11="Inactivo","No","Sí"))</f>
        <v/>
      </c>
      <c r="K11" s="23" t="str">
        <f aca="false">IF(A11="","",IF(AND(I11="Sí",J11="Sí"),"Sí","No"))</f>
        <v/>
      </c>
    </row>
    <row r="12" customFormat="false" ht="15" hidden="false" customHeight="false" outlineLevel="0" collapsed="false">
      <c r="A12" s="22"/>
      <c r="B12" s="22"/>
      <c r="C12" s="26" t="str">
        <f aca="false">IF(A12="","",IFERROR(buscarx(A12&amp;B12,DATA!$E$3:$E$10000&amp;DATA!$B$3:$B$10000,DATA!$M$3:$M$10000),"No encontrado"))</f>
        <v/>
      </c>
      <c r="D12" s="27" t="str">
        <f aca="false">IF(A12="","",IFERROR(buscarx(A12&amp;B12,DATA!$E$3:$E$10000&amp;DATA!$B$3:$B$10000,DATA!$W$3:$W$10000),"No encontrado"))</f>
        <v/>
      </c>
      <c r="E12" s="22"/>
      <c r="F12" s="26" t="str">
        <f aca="false">IF(A12="","",IFERROR(buscarx(A12&amp;E12,DATA!$E$3:$E$10000&amp;DATA!$B$3:$B$10000,DATA!$M$3:$M$10000),"Inactivo"))</f>
        <v/>
      </c>
      <c r="G12" s="28" t="str">
        <f aca="false">IF(A12="","",IF(AND(C12&lt;&gt;"No encontrado",F12&lt;&gt;"Inactivo"),C12&amp;" → "&amp;F12,"Sin transición"))</f>
        <v/>
      </c>
      <c r="H12" s="26" t="str">
        <f aca="false">IF(A12="","",IF(D12="GCIA LINEA SERVICIO DIGITALIDAD Y VENTAS","Chats",IF(OR(D12="GERENCIA INBOUND LÍNEAS SERVICIO Y VENTA",D12="GERENCIA INBOUND LINEAS ESPECIALIZADAS"),"Llamadas","Otro")))</f>
        <v/>
      </c>
      <c r="I12" s="26" t="str">
        <f aca="false">IF(A12="","",IF(C12="No encontrado","No","Sí"))</f>
        <v/>
      </c>
      <c r="J12" s="26" t="str">
        <f aca="false">IF(A12="","",IF(F12="Inactivo","No","Sí"))</f>
        <v/>
      </c>
      <c r="K12" s="26" t="str">
        <f aca="false">IF(A12="","",IF(AND(I12="Sí",J12="Sí"),"Sí","No"))</f>
        <v/>
      </c>
    </row>
    <row r="13" customFormat="false" ht="15" hidden="false" customHeight="false" outlineLevel="0" collapsed="false">
      <c r="A13" s="22"/>
      <c r="B13" s="22"/>
      <c r="C13" s="23" t="str">
        <f aca="false">IF(A13="","",IFERROR(buscarx(A13&amp;B13,DATA!$E$3:$E$10000&amp;DATA!$B$3:$B$10000,DATA!$M$3:$M$10000),"No encontrado"))</f>
        <v/>
      </c>
      <c r="D13" s="24" t="str">
        <f aca="false">IF(A13="","",IFERROR(buscarx(A13&amp;B13,DATA!$E$3:$E$10000&amp;DATA!$B$3:$B$10000,DATA!$W$3:$W$10000),"No encontrado"))</f>
        <v/>
      </c>
      <c r="E13" s="22"/>
      <c r="F13" s="23" t="str">
        <f aca="false">IF(A13="","",IFERROR(buscarx(A13&amp;E13,DATA!$E$3:$E$10000&amp;DATA!$B$3:$B$10000,DATA!$M$3:$M$10000),"Inactivo"))</f>
        <v/>
      </c>
      <c r="G13" s="25" t="str">
        <f aca="false">IF(A13="","",IF(AND(C13&lt;&gt;"No encontrado",F13&lt;&gt;"Inactivo"),C13&amp;" → "&amp;F13,"Sin transición"))</f>
        <v/>
      </c>
      <c r="H13" s="23" t="str">
        <f aca="false">IF(A13="","",IF(D13="GCIA LINEA SERVICIO DIGITALIDAD Y VENTAS","Chats",IF(OR(D13="GERENCIA INBOUND LÍNEAS SERVICIO Y VENTA",D13="GERENCIA INBOUND LINEAS ESPECIALIZADAS"),"Llamadas","Otro")))</f>
        <v/>
      </c>
      <c r="I13" s="23" t="str">
        <f aca="false">IF(A13="","",IF(C13="No encontrado","No","Sí"))</f>
        <v/>
      </c>
      <c r="J13" s="23" t="str">
        <f aca="false">IF(A13="","",IF(F13="Inactivo","No","Sí"))</f>
        <v/>
      </c>
      <c r="K13" s="23" t="str">
        <f aca="false">IF(A13="","",IF(AND(I13="Sí",J13="Sí"),"Sí","No"))</f>
        <v/>
      </c>
    </row>
    <row r="14" customFormat="false" ht="15" hidden="false" customHeight="false" outlineLevel="0" collapsed="false">
      <c r="A14" s="22"/>
      <c r="B14" s="22"/>
      <c r="C14" s="26" t="str">
        <f aca="false">IF(A14="","",IFERROR(buscarx(A14&amp;B14,DATA!$E$3:$E$10000&amp;DATA!$B$3:$B$10000,DATA!$M$3:$M$10000),"No encontrado"))</f>
        <v/>
      </c>
      <c r="D14" s="27" t="str">
        <f aca="false">IF(A14="","",IFERROR(buscarx(A14&amp;B14,DATA!$E$3:$E$10000&amp;DATA!$B$3:$B$10000,DATA!$W$3:$W$10000),"No encontrado"))</f>
        <v/>
      </c>
      <c r="E14" s="22"/>
      <c r="F14" s="26" t="str">
        <f aca="false">IF(A14="","",IFERROR(buscarx(A14&amp;E14,DATA!$E$3:$E$10000&amp;DATA!$B$3:$B$10000,DATA!$M$3:$M$10000),"Inactivo"))</f>
        <v/>
      </c>
      <c r="G14" s="28" t="str">
        <f aca="false">IF(A14="","",IF(AND(C14&lt;&gt;"No encontrado",F14&lt;&gt;"Inactivo"),C14&amp;" → "&amp;F14,"Sin transición"))</f>
        <v/>
      </c>
      <c r="H14" s="26" t="str">
        <f aca="false">IF(A14="","",IF(D14="GCIA LINEA SERVICIO DIGITALIDAD Y VENTAS","Chats",IF(OR(D14="GERENCIA INBOUND LÍNEAS SERVICIO Y VENTA",D14="GERENCIA INBOUND LINEAS ESPECIALIZADAS"),"Llamadas","Otro")))</f>
        <v/>
      </c>
      <c r="I14" s="26" t="str">
        <f aca="false">IF(A14="","",IF(C14="No encontrado","No","Sí"))</f>
        <v/>
      </c>
      <c r="J14" s="26" t="str">
        <f aca="false">IF(A14="","",IF(F14="Inactivo","No","Sí"))</f>
        <v/>
      </c>
      <c r="K14" s="26" t="str">
        <f aca="false">IF(A14="","",IF(AND(I14="Sí",J14="Sí"),"Sí","No"))</f>
        <v/>
      </c>
    </row>
    <row r="15" customFormat="false" ht="15" hidden="false" customHeight="false" outlineLevel="0" collapsed="false">
      <c r="A15" s="22"/>
      <c r="B15" s="22"/>
      <c r="C15" s="23" t="str">
        <f aca="false">IF(A15="","",IFERROR(buscarx(A15&amp;B15,DATA!$E$3:$E$10000&amp;DATA!$B$3:$B$10000,DATA!$M$3:$M$10000),"No encontrado"))</f>
        <v/>
      </c>
      <c r="D15" s="24" t="str">
        <f aca="false">IF(A15="","",IFERROR(buscarx(A15&amp;B15,DATA!$E$3:$E$10000&amp;DATA!$B$3:$B$10000,DATA!$W$3:$W$10000),"No encontrado"))</f>
        <v/>
      </c>
      <c r="E15" s="22"/>
      <c r="F15" s="23" t="str">
        <f aca="false">IF(A15="","",IFERROR(buscarx(A15&amp;E15,DATA!$E$3:$E$10000&amp;DATA!$B$3:$B$10000,DATA!$M$3:$M$10000),"Inactivo"))</f>
        <v/>
      </c>
      <c r="G15" s="25" t="str">
        <f aca="false">IF(A15="","",IF(AND(C15&lt;&gt;"No encontrado",F15&lt;&gt;"Inactivo"),C15&amp;" → "&amp;F15,"Sin transición"))</f>
        <v/>
      </c>
      <c r="H15" s="23" t="str">
        <f aca="false">IF(A15="","",IF(D15="GCIA LINEA SERVICIO DIGITALIDAD Y VENTAS","Chats",IF(OR(D15="GERENCIA INBOUND LÍNEAS SERVICIO Y VENTA",D15="GERENCIA INBOUND LINEAS ESPECIALIZADAS"),"Llamadas","Otro")))</f>
        <v/>
      </c>
      <c r="I15" s="23" t="str">
        <f aca="false">IF(A15="","",IF(C15="No encontrado","No","Sí"))</f>
        <v/>
      </c>
      <c r="J15" s="23" t="str">
        <f aca="false">IF(A15="","",IF(F15="Inactivo","No","Sí"))</f>
        <v/>
      </c>
      <c r="K15" s="23" t="str">
        <f aca="false">IF(A15="","",IF(AND(I15="Sí",J15="Sí"),"Sí","No"))</f>
        <v/>
      </c>
    </row>
    <row r="16" customFormat="false" ht="15" hidden="false" customHeight="false" outlineLevel="0" collapsed="false">
      <c r="A16" s="22"/>
      <c r="B16" s="22"/>
      <c r="C16" s="26" t="str">
        <f aca="false">IF(A16="","",IFERROR(buscarx(A16&amp;B16,DATA!$E$3:$E$10000&amp;DATA!$B$3:$B$10000,DATA!$M$3:$M$10000),"No encontrado"))</f>
        <v/>
      </c>
      <c r="D16" s="27" t="str">
        <f aca="false">IF(A16="","",IFERROR(buscarx(A16&amp;B16,DATA!$E$3:$E$10000&amp;DATA!$B$3:$B$10000,DATA!$W$3:$W$10000),"No encontrado"))</f>
        <v/>
      </c>
      <c r="E16" s="22"/>
      <c r="F16" s="26" t="str">
        <f aca="false">IF(A16="","",IFERROR(buscarx(A16&amp;E16,DATA!$E$3:$E$10000&amp;DATA!$B$3:$B$10000,DATA!$M$3:$M$10000),"Inactivo"))</f>
        <v/>
      </c>
      <c r="G16" s="28" t="str">
        <f aca="false">IF(A16="","",IF(AND(C16&lt;&gt;"No encontrado",F16&lt;&gt;"Inactivo"),C16&amp;" → "&amp;F16,"Sin transición"))</f>
        <v/>
      </c>
      <c r="H16" s="26" t="str">
        <f aca="false">IF(A16="","",IF(D16="GCIA LINEA SERVICIO DIGITALIDAD Y VENTAS","Chats",IF(OR(D16="GERENCIA INBOUND LÍNEAS SERVICIO Y VENTA",D16="GERENCIA INBOUND LINEAS ESPECIALIZADAS"),"Llamadas","Otro")))</f>
        <v/>
      </c>
      <c r="I16" s="26" t="str">
        <f aca="false">IF(A16="","",IF(C16="No encontrado","No","Sí"))</f>
        <v/>
      </c>
      <c r="J16" s="26" t="str">
        <f aca="false">IF(A16="","",IF(F16="Inactivo","No","Sí"))</f>
        <v/>
      </c>
      <c r="K16" s="26" t="str">
        <f aca="false">IF(A16="","",IF(AND(I16="Sí",J16="Sí"),"Sí","No"))</f>
        <v/>
      </c>
    </row>
    <row r="17" customFormat="false" ht="15" hidden="false" customHeight="false" outlineLevel="0" collapsed="false">
      <c r="A17" s="22"/>
      <c r="B17" s="22"/>
      <c r="C17" s="23" t="str">
        <f aca="false">IF(A17="","",IFERROR(buscarx(A17&amp;B17,DATA!$E$3:$E$10000&amp;DATA!$B$3:$B$10000,DATA!$M$3:$M$10000),"No encontrado"))</f>
        <v/>
      </c>
      <c r="D17" s="24" t="str">
        <f aca="false">IF(A17="","",IFERROR(buscarx(A17&amp;B17,DATA!$E$3:$E$10000&amp;DATA!$B$3:$B$10000,DATA!$W$3:$W$10000),"No encontrado"))</f>
        <v/>
      </c>
      <c r="E17" s="22"/>
      <c r="F17" s="23" t="str">
        <f aca="false">IF(A17="","",IFERROR(buscarx(A17&amp;E17,DATA!$E$3:$E$10000&amp;DATA!$B$3:$B$10000,DATA!$M$3:$M$10000),"Inactivo"))</f>
        <v/>
      </c>
      <c r="G17" s="25" t="str">
        <f aca="false">IF(A17="","",IF(AND(C17&lt;&gt;"No encontrado",F17&lt;&gt;"Inactivo"),C17&amp;" → "&amp;F17,"Sin transición"))</f>
        <v/>
      </c>
      <c r="H17" s="23" t="str">
        <f aca="false">IF(A17="","",IF(D17="GCIA LINEA SERVICIO DIGITALIDAD Y VENTAS","Chats",IF(OR(D17="GERENCIA INBOUND LÍNEAS SERVICIO Y VENTA",D17="GERENCIA INBOUND LINEAS ESPECIALIZADAS"),"Llamadas","Otro")))</f>
        <v/>
      </c>
      <c r="I17" s="23" t="str">
        <f aca="false">IF(A17="","",IF(C17="No encontrado","No","Sí"))</f>
        <v/>
      </c>
      <c r="J17" s="23" t="str">
        <f aca="false">IF(A17="","",IF(F17="Inactivo","No","Sí"))</f>
        <v/>
      </c>
      <c r="K17" s="23" t="str">
        <f aca="false">IF(A17="","",IF(AND(I17="Sí",J17="Sí"),"Sí","No"))</f>
        <v/>
      </c>
    </row>
    <row r="18" customFormat="false" ht="15" hidden="false" customHeight="false" outlineLevel="0" collapsed="false">
      <c r="A18" s="22"/>
      <c r="B18" s="22"/>
      <c r="C18" s="26" t="str">
        <f aca="false">IF(A18="","",IFERROR(buscarx(A18&amp;B18,DATA!$E$3:$E$10000&amp;DATA!$B$3:$B$10000,DATA!$M$3:$M$10000),"No encontrado"))</f>
        <v/>
      </c>
      <c r="D18" s="27" t="str">
        <f aca="false">IF(A18="","",IFERROR(buscarx(A18&amp;B18,DATA!$E$3:$E$10000&amp;DATA!$B$3:$B$10000,DATA!$W$3:$W$10000),"No encontrado"))</f>
        <v/>
      </c>
      <c r="E18" s="22"/>
      <c r="F18" s="26" t="str">
        <f aca="false">IF(A18="","",IFERROR(buscarx(A18&amp;E18,DATA!$E$3:$E$10000&amp;DATA!$B$3:$B$10000,DATA!$M$3:$M$10000),"Inactivo"))</f>
        <v/>
      </c>
      <c r="G18" s="28" t="str">
        <f aca="false">IF(A18="","",IF(AND(C18&lt;&gt;"No encontrado",F18&lt;&gt;"Inactivo"),C18&amp;" → "&amp;F18,"Sin transición"))</f>
        <v/>
      </c>
      <c r="H18" s="26" t="str">
        <f aca="false">IF(A18="","",IF(D18="GCIA LINEA SERVICIO DIGITALIDAD Y VENTAS","Chats",IF(OR(D18="GERENCIA INBOUND LÍNEAS SERVICIO Y VENTA",D18="GERENCIA INBOUND LINEAS ESPECIALIZADAS"),"Llamadas","Otro")))</f>
        <v/>
      </c>
      <c r="I18" s="26" t="str">
        <f aca="false">IF(A18="","",IF(C18="No encontrado","No","Sí"))</f>
        <v/>
      </c>
      <c r="J18" s="26" t="str">
        <f aca="false">IF(A18="","",IF(F18="Inactivo","No","Sí"))</f>
        <v/>
      </c>
      <c r="K18" s="26" t="str">
        <f aca="false">IF(A18="","",IF(AND(I18="Sí",J18="Sí"),"Sí","No"))</f>
        <v/>
      </c>
    </row>
    <row r="19" customFormat="false" ht="15" hidden="false" customHeight="false" outlineLevel="0" collapsed="false">
      <c r="A19" s="22"/>
      <c r="B19" s="22"/>
      <c r="C19" s="23" t="str">
        <f aca="false">IF(A19="","",IFERROR(buscarx(A19&amp;B19,DATA!$E$3:$E$10000&amp;DATA!$B$3:$B$10000,DATA!$M$3:$M$10000),"No encontrado"))</f>
        <v/>
      </c>
      <c r="D19" s="24" t="str">
        <f aca="false">IF(A19="","",IFERROR(buscarx(A19&amp;B19,DATA!$E$3:$E$10000&amp;DATA!$B$3:$B$10000,DATA!$W$3:$W$10000),"No encontrado"))</f>
        <v/>
      </c>
      <c r="E19" s="22"/>
      <c r="F19" s="23" t="str">
        <f aca="false">IF(A19="","",IFERROR(buscarx(A19&amp;E19,DATA!$E$3:$E$10000&amp;DATA!$B$3:$B$10000,DATA!$M$3:$M$10000),"Inactivo"))</f>
        <v/>
      </c>
      <c r="G19" s="25" t="str">
        <f aca="false">IF(A19="","",IF(AND(C19&lt;&gt;"No encontrado",F19&lt;&gt;"Inactivo"),C19&amp;" → "&amp;F19,"Sin transición"))</f>
        <v/>
      </c>
      <c r="H19" s="23" t="str">
        <f aca="false">IF(A19="","",IF(D19="GCIA LINEA SERVICIO DIGITALIDAD Y VENTAS","Chats",IF(OR(D19="GERENCIA INBOUND LÍNEAS SERVICIO Y VENTA",D19="GERENCIA INBOUND LINEAS ESPECIALIZADAS"),"Llamadas","Otro")))</f>
        <v/>
      </c>
      <c r="I19" s="23" t="str">
        <f aca="false">IF(A19="","",IF(C19="No encontrado","No","Sí"))</f>
        <v/>
      </c>
      <c r="J19" s="23" t="str">
        <f aca="false">IF(A19="","",IF(F19="Inactivo","No","Sí"))</f>
        <v/>
      </c>
      <c r="K19" s="23" t="str">
        <f aca="false">IF(A19="","",IF(AND(I19="Sí",J19="Sí"),"Sí","No"))</f>
        <v/>
      </c>
    </row>
    <row r="20" customFormat="false" ht="15" hidden="false" customHeight="false" outlineLevel="0" collapsed="false">
      <c r="A20" s="22"/>
      <c r="B20" s="22"/>
      <c r="C20" s="26" t="str">
        <f aca="false">IF(A20="","",IFERROR(buscarx(A20&amp;B20,DATA!$E$3:$E$10000&amp;DATA!$B$3:$B$10000,DATA!$M$3:$M$10000),"No encontrado"))</f>
        <v/>
      </c>
      <c r="D20" s="27" t="str">
        <f aca="false">IF(A20="","",IFERROR(buscarx(A20&amp;B20,DATA!$E$3:$E$10000&amp;DATA!$B$3:$B$10000,DATA!$W$3:$W$10000),"No encontrado"))</f>
        <v/>
      </c>
      <c r="E20" s="22"/>
      <c r="F20" s="26" t="str">
        <f aca="false">IF(A20="","",IFERROR(buscarx(A20&amp;E20,DATA!$E$3:$E$10000&amp;DATA!$B$3:$B$10000,DATA!$M$3:$M$10000),"Inactivo"))</f>
        <v/>
      </c>
      <c r="G20" s="28" t="str">
        <f aca="false">IF(A20="","",IF(AND(C20&lt;&gt;"No encontrado",F20&lt;&gt;"Inactivo"),C20&amp;" → "&amp;F20,"Sin transición"))</f>
        <v/>
      </c>
      <c r="H20" s="26" t="str">
        <f aca="false">IF(A20="","",IF(D20="GCIA LINEA SERVICIO DIGITALIDAD Y VENTAS","Chats",IF(OR(D20="GERENCIA INBOUND LÍNEAS SERVICIO Y VENTA",D20="GERENCIA INBOUND LINEAS ESPECIALIZADAS"),"Llamadas","Otro")))</f>
        <v/>
      </c>
      <c r="I20" s="26" t="str">
        <f aca="false">IF(A20="","",IF(C20="No encontrado","No","Sí"))</f>
        <v/>
      </c>
      <c r="J20" s="26" t="str">
        <f aca="false">IF(A20="","",IF(F20="Inactivo","No","Sí"))</f>
        <v/>
      </c>
      <c r="K20" s="26" t="str">
        <f aca="false">IF(A20="","",IF(AND(I20="Sí",J20="Sí"),"Sí","No"))</f>
        <v/>
      </c>
    </row>
    <row r="21" customFormat="false" ht="15" hidden="false" customHeight="false" outlineLevel="0" collapsed="false">
      <c r="A21" s="22"/>
      <c r="B21" s="22"/>
      <c r="C21" s="23" t="str">
        <f aca="false">IF(A21="","",IFERROR(buscarx(A21&amp;B21,DATA!$E$3:$E$10000&amp;DATA!$B$3:$B$10000,DATA!$M$3:$M$10000),"No encontrado"))</f>
        <v/>
      </c>
      <c r="D21" s="24" t="str">
        <f aca="false">IF(A21="","",IFERROR(buscarx(A21&amp;B21,DATA!$E$3:$E$10000&amp;DATA!$B$3:$B$10000,DATA!$W$3:$W$10000),"No encontrado"))</f>
        <v/>
      </c>
      <c r="E21" s="22"/>
      <c r="F21" s="23" t="str">
        <f aca="false">IF(A21="","",IFERROR(buscarx(A21&amp;E21,DATA!$E$3:$E$10000&amp;DATA!$B$3:$B$10000,DATA!$M$3:$M$10000),"Inactivo"))</f>
        <v/>
      </c>
      <c r="G21" s="25" t="str">
        <f aca="false">IF(A21="","",IF(AND(C21&lt;&gt;"No encontrado",F21&lt;&gt;"Inactivo"),C21&amp;" → "&amp;F21,"Sin transición"))</f>
        <v/>
      </c>
      <c r="H21" s="23" t="str">
        <f aca="false">IF(A21="","",IF(D21="GCIA LINEA SERVICIO DIGITALIDAD Y VENTAS","Chats",IF(OR(D21="GERENCIA INBOUND LÍNEAS SERVICIO Y VENTA",D21="GERENCIA INBOUND LINEAS ESPECIALIZADAS"),"Llamadas","Otro")))</f>
        <v/>
      </c>
      <c r="I21" s="23" t="str">
        <f aca="false">IF(A21="","",IF(C21="No encontrado","No","Sí"))</f>
        <v/>
      </c>
      <c r="J21" s="23" t="str">
        <f aca="false">IF(A21="","",IF(F21="Inactivo","No","Sí"))</f>
        <v/>
      </c>
      <c r="K21" s="23" t="str">
        <f aca="false">IF(A21="","",IF(AND(I21="Sí",J21="Sí"),"Sí","No"))</f>
        <v/>
      </c>
    </row>
    <row r="22" customFormat="false" ht="15" hidden="false" customHeight="false" outlineLevel="0" collapsed="false">
      <c r="A22" s="22"/>
      <c r="B22" s="22"/>
      <c r="C22" s="26" t="str">
        <f aca="false">IF(A22="","",IFERROR(buscarx(A22&amp;B22,DATA!$E$3:$E$10000&amp;DATA!$B$3:$B$10000,DATA!$M$3:$M$10000),"No encontrado"))</f>
        <v/>
      </c>
      <c r="D22" s="27" t="str">
        <f aca="false">IF(A22="","",IFERROR(buscarx(A22&amp;B22,DATA!$E$3:$E$10000&amp;DATA!$B$3:$B$10000,DATA!$W$3:$W$10000),"No encontrado"))</f>
        <v/>
      </c>
      <c r="E22" s="22"/>
      <c r="F22" s="26" t="str">
        <f aca="false">IF(A22="","",IFERROR(buscarx(A22&amp;E22,DATA!$E$3:$E$10000&amp;DATA!$B$3:$B$10000,DATA!$M$3:$M$10000),"Inactivo"))</f>
        <v/>
      </c>
      <c r="G22" s="28" t="str">
        <f aca="false">IF(A22="","",IF(AND(C22&lt;&gt;"No encontrado",F22&lt;&gt;"Inactivo"),C22&amp;" → "&amp;F22,"Sin transición"))</f>
        <v/>
      </c>
      <c r="H22" s="26" t="str">
        <f aca="false">IF(A22="","",IF(D22="GCIA LINEA SERVICIO DIGITALIDAD Y VENTAS","Chats",IF(OR(D22="GERENCIA INBOUND LÍNEAS SERVICIO Y VENTA",D22="GERENCIA INBOUND LINEAS ESPECIALIZADAS"),"Llamadas","Otro")))</f>
        <v/>
      </c>
      <c r="I22" s="26" t="str">
        <f aca="false">IF(A22="","",IF(C22="No encontrado","No","Sí"))</f>
        <v/>
      </c>
      <c r="J22" s="26" t="str">
        <f aca="false">IF(A22="","",IF(F22="Inactivo","No","Sí"))</f>
        <v/>
      </c>
      <c r="K22" s="26" t="str">
        <f aca="false">IF(A22="","",IF(AND(I22="Sí",J22="Sí"),"Sí","No"))</f>
        <v/>
      </c>
    </row>
    <row r="23" customFormat="false" ht="15" hidden="false" customHeight="false" outlineLevel="0" collapsed="false">
      <c r="A23" s="22"/>
      <c r="B23" s="22"/>
      <c r="C23" s="23" t="str">
        <f aca="false">IF(A23="","",IFERROR(buscarx(A23&amp;B23,DATA!$E$3:$E$10000&amp;DATA!$B$3:$B$10000,DATA!$M$3:$M$10000),"No encontrado"))</f>
        <v/>
      </c>
      <c r="D23" s="24" t="str">
        <f aca="false">IF(A23="","",IFERROR(buscarx(A23&amp;B23,DATA!$E$3:$E$10000&amp;DATA!$B$3:$B$10000,DATA!$W$3:$W$10000),"No encontrado"))</f>
        <v/>
      </c>
      <c r="E23" s="22"/>
      <c r="F23" s="23" t="str">
        <f aca="false">IF(A23="","",IFERROR(buscarx(A23&amp;E23,DATA!$E$3:$E$10000&amp;DATA!$B$3:$B$10000,DATA!$M$3:$M$10000),"Inactivo"))</f>
        <v/>
      </c>
      <c r="G23" s="25" t="str">
        <f aca="false">IF(A23="","",IF(AND(C23&lt;&gt;"No encontrado",F23&lt;&gt;"Inactivo"),C23&amp;" → "&amp;F23,"Sin transición"))</f>
        <v/>
      </c>
      <c r="H23" s="23" t="str">
        <f aca="false">IF(A23="","",IF(D23="GCIA LINEA SERVICIO DIGITALIDAD Y VENTAS","Chats",IF(OR(D23="GERENCIA INBOUND LÍNEAS SERVICIO Y VENTA",D23="GERENCIA INBOUND LINEAS ESPECIALIZADAS"),"Llamadas","Otro")))</f>
        <v/>
      </c>
      <c r="I23" s="23" t="str">
        <f aca="false">IF(A23="","",IF(C23="No encontrado","No","Sí"))</f>
        <v/>
      </c>
      <c r="J23" s="23" t="str">
        <f aca="false">IF(A23="","",IF(F23="Inactivo","No","Sí"))</f>
        <v/>
      </c>
      <c r="K23" s="23" t="str">
        <f aca="false">IF(A23="","",IF(AND(I23="Sí",J23="Sí"),"Sí","No"))</f>
        <v/>
      </c>
    </row>
    <row r="24" customFormat="false" ht="15" hidden="false" customHeight="false" outlineLevel="0" collapsed="false">
      <c r="A24" s="22"/>
      <c r="B24" s="22"/>
      <c r="C24" s="26" t="str">
        <f aca="false">IF(A24="","",IFERROR(buscarx(A24&amp;B24,DATA!$E$3:$E$10000&amp;DATA!$B$3:$B$10000,DATA!$M$3:$M$10000),"No encontrado"))</f>
        <v/>
      </c>
      <c r="D24" s="27" t="str">
        <f aca="false">IF(A24="","",IFERROR(buscarx(A24&amp;B24,DATA!$E$3:$E$10000&amp;DATA!$B$3:$B$10000,DATA!$W$3:$W$10000),"No encontrado"))</f>
        <v/>
      </c>
      <c r="E24" s="22"/>
      <c r="F24" s="26" t="str">
        <f aca="false">IF(A24="","",IFERROR(buscarx(A24&amp;E24,DATA!$E$3:$E$10000&amp;DATA!$B$3:$B$10000,DATA!$M$3:$M$10000),"Inactivo"))</f>
        <v/>
      </c>
      <c r="G24" s="28" t="str">
        <f aca="false">IF(A24="","",IF(AND(C24&lt;&gt;"No encontrado",F24&lt;&gt;"Inactivo"),C24&amp;" → "&amp;F24,"Sin transición"))</f>
        <v/>
      </c>
      <c r="H24" s="26" t="str">
        <f aca="false">IF(A24="","",IF(D24="GCIA LINEA SERVICIO DIGITALIDAD Y VENTAS","Chats",IF(OR(D24="GERENCIA INBOUND LÍNEAS SERVICIO Y VENTA",D24="GERENCIA INBOUND LINEAS ESPECIALIZADAS"),"Llamadas","Otro")))</f>
        <v/>
      </c>
      <c r="I24" s="26" t="str">
        <f aca="false">IF(A24="","",IF(C24="No encontrado","No","Sí"))</f>
        <v/>
      </c>
      <c r="J24" s="26" t="str">
        <f aca="false">IF(A24="","",IF(F24="Inactivo","No","Sí"))</f>
        <v/>
      </c>
      <c r="K24" s="26" t="str">
        <f aca="false">IF(A24="","",IF(AND(I24="Sí",J24="Sí"),"Sí","No"))</f>
        <v/>
      </c>
    </row>
    <row r="25" customFormat="false" ht="15" hidden="false" customHeight="false" outlineLevel="0" collapsed="false">
      <c r="A25" s="22"/>
      <c r="B25" s="22"/>
      <c r="C25" s="23" t="str">
        <f aca="false">IF(A25="","",IFERROR(buscarx(A25&amp;B25,DATA!$E$3:$E$10000&amp;DATA!$B$3:$B$10000,DATA!$M$3:$M$10000),"No encontrado"))</f>
        <v/>
      </c>
      <c r="D25" s="24" t="str">
        <f aca="false">IF(A25="","",IFERROR(buscarx(A25&amp;B25,DATA!$E$3:$E$10000&amp;DATA!$B$3:$B$10000,DATA!$W$3:$W$10000),"No encontrado"))</f>
        <v/>
      </c>
      <c r="E25" s="22"/>
      <c r="F25" s="23" t="str">
        <f aca="false">IF(A25="","",IFERROR(buscarx(A25&amp;E25,DATA!$E$3:$E$10000&amp;DATA!$B$3:$B$10000,DATA!$M$3:$M$10000),"Inactivo"))</f>
        <v/>
      </c>
      <c r="G25" s="25" t="str">
        <f aca="false">IF(A25="","",IF(AND(C25&lt;&gt;"No encontrado",F25&lt;&gt;"Inactivo"),C25&amp;" → "&amp;F25,"Sin transición"))</f>
        <v/>
      </c>
      <c r="H25" s="23" t="str">
        <f aca="false">IF(A25="","",IF(D25="GCIA LINEA SERVICIO DIGITALIDAD Y VENTAS","Chats",IF(OR(D25="GERENCIA INBOUND LÍNEAS SERVICIO Y VENTA",D25="GERENCIA INBOUND LINEAS ESPECIALIZADAS"),"Llamadas","Otro")))</f>
        <v/>
      </c>
      <c r="I25" s="23" t="str">
        <f aca="false">IF(A25="","",IF(C25="No encontrado","No","Sí"))</f>
        <v/>
      </c>
      <c r="J25" s="23" t="str">
        <f aca="false">IF(A25="","",IF(F25="Inactivo","No","Sí"))</f>
        <v/>
      </c>
      <c r="K25" s="23" t="str">
        <f aca="false">IF(A25="","",IF(AND(I25="Sí",J25="Sí"),"Sí","No"))</f>
        <v/>
      </c>
    </row>
    <row r="26" customFormat="false" ht="15" hidden="false" customHeight="false" outlineLevel="0" collapsed="false">
      <c r="A26" s="22"/>
      <c r="B26" s="22"/>
      <c r="C26" s="26" t="str">
        <f aca="false">IF(A26="","",IFERROR(buscarx(A26&amp;B26,DATA!$E$3:$E$10000&amp;DATA!$B$3:$B$10000,DATA!$M$3:$M$10000),"No encontrado"))</f>
        <v/>
      </c>
      <c r="D26" s="27" t="str">
        <f aca="false">IF(A26="","",IFERROR(buscarx(A26&amp;B26,DATA!$E$3:$E$10000&amp;DATA!$B$3:$B$10000,DATA!$W$3:$W$10000),"No encontrado"))</f>
        <v/>
      </c>
      <c r="E26" s="22"/>
      <c r="F26" s="26" t="str">
        <f aca="false">IF(A26="","",IFERROR(buscarx(A26&amp;E26,DATA!$E$3:$E$10000&amp;DATA!$B$3:$B$10000,DATA!$M$3:$M$10000),"Inactivo"))</f>
        <v/>
      </c>
      <c r="G26" s="28" t="str">
        <f aca="false">IF(A26="","",IF(AND(C26&lt;&gt;"No encontrado",F26&lt;&gt;"Inactivo"),C26&amp;" → "&amp;F26,"Sin transición"))</f>
        <v/>
      </c>
      <c r="H26" s="26" t="str">
        <f aca="false">IF(A26="","",IF(D26="GCIA LINEA SERVICIO DIGITALIDAD Y VENTAS","Chats",IF(OR(D26="GERENCIA INBOUND LÍNEAS SERVICIO Y VENTA",D26="GERENCIA INBOUND LINEAS ESPECIALIZADAS"),"Llamadas","Otro")))</f>
        <v/>
      </c>
      <c r="I26" s="26" t="str">
        <f aca="false">IF(A26="","",IF(C26="No encontrado","No","Sí"))</f>
        <v/>
      </c>
      <c r="J26" s="26" t="str">
        <f aca="false">IF(A26="","",IF(F26="Inactivo","No","Sí"))</f>
        <v/>
      </c>
      <c r="K26" s="26" t="str">
        <f aca="false">IF(A26="","",IF(AND(I26="Sí",J26="Sí"),"Sí","No"))</f>
        <v/>
      </c>
    </row>
    <row r="27" customFormat="false" ht="15" hidden="false" customHeight="false" outlineLevel="0" collapsed="false">
      <c r="A27" s="22"/>
      <c r="B27" s="22"/>
      <c r="C27" s="23" t="str">
        <f aca="false">IF(A27="","",IFERROR(buscarx(A27&amp;B27,DATA!$E$3:$E$10000&amp;DATA!$B$3:$B$10000,DATA!$M$3:$M$10000),"No encontrado"))</f>
        <v/>
      </c>
      <c r="D27" s="24" t="str">
        <f aca="false">IF(A27="","",IFERROR(buscarx(A27&amp;B27,DATA!$E$3:$E$10000&amp;DATA!$B$3:$B$10000,DATA!$W$3:$W$10000),"No encontrado"))</f>
        <v/>
      </c>
      <c r="E27" s="22"/>
      <c r="F27" s="23" t="str">
        <f aca="false">IF(A27="","",IFERROR(buscarx(A27&amp;E27,DATA!$E$3:$E$10000&amp;DATA!$B$3:$B$10000,DATA!$M$3:$M$10000),"Inactivo"))</f>
        <v/>
      </c>
      <c r="G27" s="25" t="str">
        <f aca="false">IF(A27="","",IF(AND(C27&lt;&gt;"No encontrado",F27&lt;&gt;"Inactivo"),C27&amp;" → "&amp;F27,"Sin transición"))</f>
        <v/>
      </c>
      <c r="H27" s="23" t="str">
        <f aca="false">IF(A27="","",IF(D27="GCIA LINEA SERVICIO DIGITALIDAD Y VENTAS","Chats",IF(OR(D27="GERENCIA INBOUND LÍNEAS SERVICIO Y VENTA",D27="GERENCIA INBOUND LINEAS ESPECIALIZADAS"),"Llamadas","Otro")))</f>
        <v/>
      </c>
      <c r="I27" s="23" t="str">
        <f aca="false">IF(A27="","",IF(C27="No encontrado","No","Sí"))</f>
        <v/>
      </c>
      <c r="J27" s="23" t="str">
        <f aca="false">IF(A27="","",IF(F27="Inactivo","No","Sí"))</f>
        <v/>
      </c>
      <c r="K27" s="23" t="str">
        <f aca="false">IF(A27="","",IF(AND(I27="Sí",J27="Sí"),"Sí","No"))</f>
        <v/>
      </c>
    </row>
    <row r="28" customFormat="false" ht="15" hidden="false" customHeight="false" outlineLevel="0" collapsed="false">
      <c r="A28" s="22"/>
      <c r="B28" s="22"/>
      <c r="C28" s="26" t="str">
        <f aca="false">IF(A28="","",IFERROR(buscarx(A28&amp;B28,DATA!$E$3:$E$10000&amp;DATA!$B$3:$B$10000,DATA!$M$3:$M$10000),"No encontrado"))</f>
        <v/>
      </c>
      <c r="D28" s="27" t="str">
        <f aca="false">IF(A28="","",IFERROR(buscarx(A28&amp;B28,DATA!$E$3:$E$10000&amp;DATA!$B$3:$B$10000,DATA!$W$3:$W$10000),"No encontrado"))</f>
        <v/>
      </c>
      <c r="E28" s="22"/>
      <c r="F28" s="26" t="str">
        <f aca="false">IF(A28="","",IFERROR(buscarx(A28&amp;E28,DATA!$E$3:$E$10000&amp;DATA!$B$3:$B$10000,DATA!$M$3:$M$10000),"Inactivo"))</f>
        <v/>
      </c>
      <c r="G28" s="28" t="str">
        <f aca="false">IF(A28="","",IF(AND(C28&lt;&gt;"No encontrado",F28&lt;&gt;"Inactivo"),C28&amp;" → "&amp;F28,"Sin transición"))</f>
        <v/>
      </c>
      <c r="H28" s="26" t="str">
        <f aca="false">IF(A28="","",IF(D28="GCIA LINEA SERVICIO DIGITALIDAD Y VENTAS","Chats",IF(OR(D28="GERENCIA INBOUND LÍNEAS SERVICIO Y VENTA",D28="GERENCIA INBOUND LINEAS ESPECIALIZADAS"),"Llamadas","Otro")))</f>
        <v/>
      </c>
      <c r="I28" s="26" t="str">
        <f aca="false">IF(A28="","",IF(C28="No encontrado","No","Sí"))</f>
        <v/>
      </c>
      <c r="J28" s="26" t="str">
        <f aca="false">IF(A28="","",IF(F28="Inactivo","No","Sí"))</f>
        <v/>
      </c>
      <c r="K28" s="26" t="str">
        <f aca="false">IF(A28="","",IF(AND(I28="Sí",J28="Sí"),"Sí","No"))</f>
        <v/>
      </c>
    </row>
    <row r="29" customFormat="false" ht="15" hidden="false" customHeight="false" outlineLevel="0" collapsed="false">
      <c r="A29" s="22"/>
      <c r="B29" s="22"/>
      <c r="C29" s="23" t="str">
        <f aca="false">IF(A29="","",IFERROR(buscarx(A29&amp;B29,DATA!$E$3:$E$10000&amp;DATA!$B$3:$B$10000,DATA!$M$3:$M$10000),"No encontrado"))</f>
        <v/>
      </c>
      <c r="D29" s="24" t="str">
        <f aca="false">IF(A29="","",IFERROR(buscarx(A29&amp;B29,DATA!$E$3:$E$10000&amp;DATA!$B$3:$B$10000,DATA!$W$3:$W$10000),"No encontrado"))</f>
        <v/>
      </c>
      <c r="E29" s="22"/>
      <c r="F29" s="23" t="str">
        <f aca="false">IF(A29="","",IFERROR(buscarx(A29&amp;E29,DATA!$E$3:$E$10000&amp;DATA!$B$3:$B$10000,DATA!$M$3:$M$10000),"Inactivo"))</f>
        <v/>
      </c>
      <c r="G29" s="25" t="str">
        <f aca="false">IF(A29="","",IF(AND(C29&lt;&gt;"No encontrado",F29&lt;&gt;"Inactivo"),C29&amp;" → "&amp;F29,"Sin transición"))</f>
        <v/>
      </c>
      <c r="H29" s="23" t="str">
        <f aca="false">IF(A29="","",IF(D29="GCIA LINEA SERVICIO DIGITALIDAD Y VENTAS","Chats",IF(OR(D29="GERENCIA INBOUND LÍNEAS SERVICIO Y VENTA",D29="GERENCIA INBOUND LINEAS ESPECIALIZADAS"),"Llamadas","Otro")))</f>
        <v/>
      </c>
      <c r="I29" s="23" t="str">
        <f aca="false">IF(A29="","",IF(C29="No encontrado","No","Sí"))</f>
        <v/>
      </c>
      <c r="J29" s="23" t="str">
        <f aca="false">IF(A29="","",IF(F29="Inactivo","No","Sí"))</f>
        <v/>
      </c>
      <c r="K29" s="23" t="str">
        <f aca="false">IF(A29="","",IF(AND(I29="Sí",J29="Sí"),"Sí","No"))</f>
        <v/>
      </c>
    </row>
    <row r="30" customFormat="false" ht="15" hidden="false" customHeight="false" outlineLevel="0" collapsed="false">
      <c r="A30" s="22"/>
      <c r="B30" s="22"/>
      <c r="C30" s="26" t="str">
        <f aca="false">IF(A30="","",IFERROR(buscarx(A30&amp;B30,DATA!$E$3:$E$10000&amp;DATA!$B$3:$B$10000,DATA!$M$3:$M$10000),"No encontrado"))</f>
        <v/>
      </c>
      <c r="D30" s="27" t="str">
        <f aca="false">IF(A30="","",IFERROR(buscarx(A30&amp;B30,DATA!$E$3:$E$10000&amp;DATA!$B$3:$B$10000,DATA!$W$3:$W$10000),"No encontrado"))</f>
        <v/>
      </c>
      <c r="E30" s="22"/>
      <c r="F30" s="26" t="str">
        <f aca="false">IF(A30="","",IFERROR(buscarx(A30&amp;E30,DATA!$E$3:$E$10000&amp;DATA!$B$3:$B$10000,DATA!$M$3:$M$10000),"Inactivo"))</f>
        <v/>
      </c>
      <c r="G30" s="28" t="str">
        <f aca="false">IF(A30="","",IF(AND(C30&lt;&gt;"No encontrado",F30&lt;&gt;"Inactivo"),C30&amp;" → "&amp;F30,"Sin transición"))</f>
        <v/>
      </c>
      <c r="H30" s="26" t="str">
        <f aca="false">IF(A30="","",IF(D30="GCIA LINEA SERVICIO DIGITALIDAD Y VENTAS","Chats",IF(OR(D30="GERENCIA INBOUND LÍNEAS SERVICIO Y VENTA",D30="GERENCIA INBOUND LINEAS ESPECIALIZADAS"),"Llamadas","Otro")))</f>
        <v/>
      </c>
      <c r="I30" s="26" t="str">
        <f aca="false">IF(A30="","",IF(C30="No encontrado","No","Sí"))</f>
        <v/>
      </c>
      <c r="J30" s="26" t="str">
        <f aca="false">IF(A30="","",IF(F30="Inactivo","No","Sí"))</f>
        <v/>
      </c>
      <c r="K30" s="26" t="str">
        <f aca="false">IF(A30="","",IF(AND(I30="Sí",J30="Sí"),"Sí","No"))</f>
        <v/>
      </c>
    </row>
    <row r="31" customFormat="false" ht="15" hidden="false" customHeight="false" outlineLevel="0" collapsed="false">
      <c r="A31" s="22"/>
      <c r="B31" s="22"/>
      <c r="C31" s="23" t="str">
        <f aca="false">IF(A31="","",IFERROR(buscarx(A31&amp;B31,DATA!$E$3:$E$10000&amp;DATA!$B$3:$B$10000,DATA!$M$3:$M$10000),"No encontrado"))</f>
        <v/>
      </c>
      <c r="D31" s="24" t="str">
        <f aca="false">IF(A31="","",IFERROR(buscarx(A31&amp;B31,DATA!$E$3:$E$10000&amp;DATA!$B$3:$B$10000,DATA!$W$3:$W$10000),"No encontrado"))</f>
        <v/>
      </c>
      <c r="E31" s="22"/>
      <c r="F31" s="23" t="str">
        <f aca="false">IF(A31="","",IFERROR(buscarx(A31&amp;E31,DATA!$E$3:$E$10000&amp;DATA!$B$3:$B$10000,DATA!$M$3:$M$10000),"Inactivo"))</f>
        <v/>
      </c>
      <c r="G31" s="25" t="str">
        <f aca="false">IF(A31="","",IF(AND(C31&lt;&gt;"No encontrado",F31&lt;&gt;"Inactivo"),C31&amp;" → "&amp;F31,"Sin transición"))</f>
        <v/>
      </c>
      <c r="H31" s="23" t="str">
        <f aca="false">IF(A31="","",IF(D31="GCIA LINEA SERVICIO DIGITALIDAD Y VENTAS","Chats",IF(OR(D31="GERENCIA INBOUND LÍNEAS SERVICIO Y VENTA",D31="GERENCIA INBOUND LINEAS ESPECIALIZADAS"),"Llamadas","Otro")))</f>
        <v/>
      </c>
      <c r="I31" s="23" t="str">
        <f aca="false">IF(A31="","",IF(C31="No encontrado","No","Sí"))</f>
        <v/>
      </c>
      <c r="J31" s="23" t="str">
        <f aca="false">IF(A31="","",IF(F31="Inactivo","No","Sí"))</f>
        <v/>
      </c>
      <c r="K31" s="23" t="str">
        <f aca="false">IF(A31="","",IF(AND(I31="Sí",J31="Sí"),"Sí","No"))</f>
        <v/>
      </c>
    </row>
    <row r="32" customFormat="false" ht="15" hidden="false" customHeight="false" outlineLevel="0" collapsed="false">
      <c r="A32" s="22"/>
      <c r="B32" s="22"/>
      <c r="C32" s="26" t="str">
        <f aca="false">IF(A32="","",IFERROR(buscarx(A32&amp;B32,DATA!$E$3:$E$10000&amp;DATA!$B$3:$B$10000,DATA!$M$3:$M$10000),"No encontrado"))</f>
        <v/>
      </c>
      <c r="D32" s="27" t="str">
        <f aca="false">IF(A32="","",IFERROR(buscarx(A32&amp;B32,DATA!$E$3:$E$10000&amp;DATA!$B$3:$B$10000,DATA!$W$3:$W$10000),"No encontrado"))</f>
        <v/>
      </c>
      <c r="E32" s="22"/>
      <c r="F32" s="26" t="str">
        <f aca="false">IF(A32="","",IFERROR(buscarx(A32&amp;E32,DATA!$E$3:$E$10000&amp;DATA!$B$3:$B$10000,DATA!$M$3:$M$10000),"Inactivo"))</f>
        <v/>
      </c>
      <c r="G32" s="28" t="str">
        <f aca="false">IF(A32="","",IF(AND(C32&lt;&gt;"No encontrado",F32&lt;&gt;"Inactivo"),C32&amp;" → "&amp;F32,"Sin transición"))</f>
        <v/>
      </c>
      <c r="H32" s="26" t="str">
        <f aca="false">IF(A32="","",IF(D32="GCIA LINEA SERVICIO DIGITALIDAD Y VENTAS","Chats",IF(OR(D32="GERENCIA INBOUND LÍNEAS SERVICIO Y VENTA",D32="GERENCIA INBOUND LINEAS ESPECIALIZADAS"),"Llamadas","Otro")))</f>
        <v/>
      </c>
      <c r="I32" s="26" t="str">
        <f aca="false">IF(A32="","",IF(C32="No encontrado","No","Sí"))</f>
        <v/>
      </c>
      <c r="J32" s="26" t="str">
        <f aca="false">IF(A32="","",IF(F32="Inactivo","No","Sí"))</f>
        <v/>
      </c>
      <c r="K32" s="26" t="str">
        <f aca="false">IF(A32="","",IF(AND(I32="Sí",J32="Sí"),"Sí","No"))</f>
        <v/>
      </c>
    </row>
    <row r="33" customFormat="false" ht="15" hidden="false" customHeight="false" outlineLevel="0" collapsed="false">
      <c r="A33" s="22"/>
      <c r="B33" s="22"/>
      <c r="C33" s="23" t="str">
        <f aca="false">IF(A33="","",IFERROR(buscarx(A33&amp;B33,DATA!$E$3:$E$10000&amp;DATA!$B$3:$B$10000,DATA!$M$3:$M$10000),"No encontrado"))</f>
        <v/>
      </c>
      <c r="D33" s="24" t="str">
        <f aca="false">IF(A33="","",IFERROR(buscarx(A33&amp;B33,DATA!$E$3:$E$10000&amp;DATA!$B$3:$B$10000,DATA!$W$3:$W$10000),"No encontrado"))</f>
        <v/>
      </c>
      <c r="E33" s="22"/>
      <c r="F33" s="23" t="str">
        <f aca="false">IF(A33="","",IFERROR(buscarx(A33&amp;E33,DATA!$E$3:$E$10000&amp;DATA!$B$3:$B$10000,DATA!$M$3:$M$10000),"Inactivo"))</f>
        <v/>
      </c>
      <c r="G33" s="25" t="str">
        <f aca="false">IF(A33="","",IF(AND(C33&lt;&gt;"No encontrado",F33&lt;&gt;"Inactivo"),C33&amp;" → "&amp;F33,"Sin transición"))</f>
        <v/>
      </c>
      <c r="H33" s="23" t="str">
        <f aca="false">IF(A33="","",IF(D33="GCIA LINEA SERVICIO DIGITALIDAD Y VENTAS","Chats",IF(OR(D33="GERENCIA INBOUND LÍNEAS SERVICIO Y VENTA",D33="GERENCIA INBOUND LINEAS ESPECIALIZADAS"),"Llamadas","Otro")))</f>
        <v/>
      </c>
      <c r="I33" s="23" t="str">
        <f aca="false">IF(A33="","",IF(C33="No encontrado","No","Sí"))</f>
        <v/>
      </c>
      <c r="J33" s="23" t="str">
        <f aca="false">IF(A33="","",IF(F33="Inactivo","No","Sí"))</f>
        <v/>
      </c>
      <c r="K33" s="23" t="str">
        <f aca="false">IF(A33="","",IF(AND(I33="Sí",J33="Sí"),"Sí","No"))</f>
        <v/>
      </c>
    </row>
    <row r="34" customFormat="false" ht="15" hidden="false" customHeight="false" outlineLevel="0" collapsed="false">
      <c r="A34" s="22"/>
      <c r="B34" s="22"/>
      <c r="C34" s="26" t="str">
        <f aca="false">IF(A34="","",IFERROR(buscarx(A34&amp;B34,DATA!$E$3:$E$10000&amp;DATA!$B$3:$B$10000,DATA!$M$3:$M$10000),"No encontrado"))</f>
        <v/>
      </c>
      <c r="D34" s="27" t="str">
        <f aca="false">IF(A34="","",IFERROR(buscarx(A34&amp;B34,DATA!$E$3:$E$10000&amp;DATA!$B$3:$B$10000,DATA!$W$3:$W$10000),"No encontrado"))</f>
        <v/>
      </c>
      <c r="E34" s="22"/>
      <c r="F34" s="26" t="str">
        <f aca="false">IF(A34="","",IFERROR(buscarx(A34&amp;E34,DATA!$E$3:$E$10000&amp;DATA!$B$3:$B$10000,DATA!$M$3:$M$10000),"Inactivo"))</f>
        <v/>
      </c>
      <c r="G34" s="28" t="str">
        <f aca="false">IF(A34="","",IF(AND(C34&lt;&gt;"No encontrado",F34&lt;&gt;"Inactivo"),C34&amp;" → "&amp;F34,"Sin transición"))</f>
        <v/>
      </c>
      <c r="H34" s="26" t="str">
        <f aca="false">IF(A34="","",IF(D34="GCIA LINEA SERVICIO DIGITALIDAD Y VENTAS","Chats",IF(OR(D34="GERENCIA INBOUND LÍNEAS SERVICIO Y VENTA",D34="GERENCIA INBOUND LINEAS ESPECIALIZADAS"),"Llamadas","Otro")))</f>
        <v/>
      </c>
      <c r="I34" s="26" t="str">
        <f aca="false">IF(A34="","",IF(C34="No encontrado","No","Sí"))</f>
        <v/>
      </c>
      <c r="J34" s="26" t="str">
        <f aca="false">IF(A34="","",IF(F34="Inactivo","No","Sí"))</f>
        <v/>
      </c>
      <c r="K34" s="26" t="str">
        <f aca="false">IF(A34="","",IF(AND(I34="Sí",J34="Sí"),"Sí","No"))</f>
        <v/>
      </c>
    </row>
    <row r="35" customFormat="false" ht="15" hidden="false" customHeight="false" outlineLevel="0" collapsed="false">
      <c r="A35" s="22"/>
      <c r="B35" s="22"/>
      <c r="C35" s="23" t="str">
        <f aca="false">IF(A35="","",IFERROR(buscarx(A35&amp;B35,DATA!$E$3:$E$10000&amp;DATA!$B$3:$B$10000,DATA!$M$3:$M$10000),"No encontrado"))</f>
        <v/>
      </c>
      <c r="D35" s="24" t="str">
        <f aca="false">IF(A35="","",IFERROR(buscarx(A35&amp;B35,DATA!$E$3:$E$10000&amp;DATA!$B$3:$B$10000,DATA!$W$3:$W$10000),"No encontrado"))</f>
        <v/>
      </c>
      <c r="E35" s="22"/>
      <c r="F35" s="23" t="str">
        <f aca="false">IF(A35="","",IFERROR(buscarx(A35&amp;E35,DATA!$E$3:$E$10000&amp;DATA!$B$3:$B$10000,DATA!$M$3:$M$10000),"Inactivo"))</f>
        <v/>
      </c>
      <c r="G35" s="25" t="str">
        <f aca="false">IF(A35="","",IF(AND(C35&lt;&gt;"No encontrado",F35&lt;&gt;"Inactivo"),C35&amp;" → "&amp;F35,"Sin transición"))</f>
        <v/>
      </c>
      <c r="H35" s="23" t="str">
        <f aca="false">IF(A35="","",IF(D35="GCIA LINEA SERVICIO DIGITALIDAD Y VENTAS","Chats",IF(OR(D35="GERENCIA INBOUND LÍNEAS SERVICIO Y VENTA",D35="GERENCIA INBOUND LINEAS ESPECIALIZADAS"),"Llamadas","Otro")))</f>
        <v/>
      </c>
      <c r="I35" s="23" t="str">
        <f aca="false">IF(A35="","",IF(C35="No encontrado","No","Sí"))</f>
        <v/>
      </c>
      <c r="J35" s="23" t="str">
        <f aca="false">IF(A35="","",IF(F35="Inactivo","No","Sí"))</f>
        <v/>
      </c>
      <c r="K35" s="23" t="str">
        <f aca="false">IF(A35="","",IF(AND(I35="Sí",J35="Sí"),"Sí","No"))</f>
        <v/>
      </c>
    </row>
    <row r="36" customFormat="false" ht="15" hidden="false" customHeight="false" outlineLevel="0" collapsed="false">
      <c r="A36" s="22"/>
      <c r="B36" s="22"/>
      <c r="C36" s="26" t="str">
        <f aca="false">IF(A36="","",IFERROR(buscarx(A36&amp;B36,DATA!$E$3:$E$10000&amp;DATA!$B$3:$B$10000,DATA!$M$3:$M$10000),"No encontrado"))</f>
        <v/>
      </c>
      <c r="D36" s="27" t="str">
        <f aca="false">IF(A36="","",IFERROR(buscarx(A36&amp;B36,DATA!$E$3:$E$10000&amp;DATA!$B$3:$B$10000,DATA!$W$3:$W$10000),"No encontrado"))</f>
        <v/>
      </c>
      <c r="E36" s="22"/>
      <c r="F36" s="26" t="str">
        <f aca="false">IF(A36="","",IFERROR(buscarx(A36&amp;E36,DATA!$E$3:$E$10000&amp;DATA!$B$3:$B$10000,DATA!$M$3:$M$10000),"Inactivo"))</f>
        <v/>
      </c>
      <c r="G36" s="28" t="str">
        <f aca="false">IF(A36="","",IF(AND(C36&lt;&gt;"No encontrado",F36&lt;&gt;"Inactivo"),C36&amp;" → "&amp;F36,"Sin transición"))</f>
        <v/>
      </c>
      <c r="H36" s="26" t="str">
        <f aca="false">IF(A36="","",IF(D36="GCIA LINEA SERVICIO DIGITALIDAD Y VENTAS","Chats",IF(OR(D36="GERENCIA INBOUND LÍNEAS SERVICIO Y VENTA",D36="GERENCIA INBOUND LINEAS ESPECIALIZADAS"),"Llamadas","Otro")))</f>
        <v/>
      </c>
      <c r="I36" s="26" t="str">
        <f aca="false">IF(A36="","",IF(C36="No encontrado","No","Sí"))</f>
        <v/>
      </c>
      <c r="J36" s="26" t="str">
        <f aca="false">IF(A36="","",IF(F36="Inactivo","No","Sí"))</f>
        <v/>
      </c>
      <c r="K36" s="26" t="str">
        <f aca="false">IF(A36="","",IF(AND(I36="Sí",J36="Sí"),"Sí","No"))</f>
        <v/>
      </c>
    </row>
    <row r="37" customFormat="false" ht="15" hidden="false" customHeight="false" outlineLevel="0" collapsed="false">
      <c r="A37" s="22"/>
      <c r="B37" s="22"/>
      <c r="C37" s="23" t="str">
        <f aca="false">IF(A37="","",IFERROR(buscarx(A37&amp;B37,DATA!$E$3:$E$10000&amp;DATA!$B$3:$B$10000,DATA!$M$3:$M$10000),"No encontrado"))</f>
        <v/>
      </c>
      <c r="D37" s="24" t="str">
        <f aca="false">IF(A37="","",IFERROR(buscarx(A37&amp;B37,DATA!$E$3:$E$10000&amp;DATA!$B$3:$B$10000,DATA!$W$3:$W$10000),"No encontrado"))</f>
        <v/>
      </c>
      <c r="E37" s="22"/>
      <c r="F37" s="23" t="str">
        <f aca="false">IF(A37="","",IFERROR(buscarx(A37&amp;E37,DATA!$E$3:$E$10000&amp;DATA!$B$3:$B$10000,DATA!$M$3:$M$10000),"Inactivo"))</f>
        <v/>
      </c>
      <c r="G37" s="25" t="str">
        <f aca="false">IF(A37="","",IF(AND(C37&lt;&gt;"No encontrado",F37&lt;&gt;"Inactivo"),C37&amp;" → "&amp;F37,"Sin transición"))</f>
        <v/>
      </c>
      <c r="H37" s="23" t="str">
        <f aca="false">IF(A37="","",IF(D37="GCIA LINEA SERVICIO DIGITALIDAD Y VENTAS","Chats",IF(OR(D37="GERENCIA INBOUND LÍNEAS SERVICIO Y VENTA",D37="GERENCIA INBOUND LINEAS ESPECIALIZADAS"),"Llamadas","Otro")))</f>
        <v/>
      </c>
      <c r="I37" s="23" t="str">
        <f aca="false">IF(A37="","",IF(C37="No encontrado","No","Sí"))</f>
        <v/>
      </c>
      <c r="J37" s="23" t="str">
        <f aca="false">IF(A37="","",IF(F37="Inactivo","No","Sí"))</f>
        <v/>
      </c>
      <c r="K37" s="23" t="str">
        <f aca="false">IF(A37="","",IF(AND(I37="Sí",J37="Sí"),"Sí","No"))</f>
        <v/>
      </c>
    </row>
    <row r="38" customFormat="false" ht="15" hidden="false" customHeight="false" outlineLevel="0" collapsed="false">
      <c r="A38" s="22"/>
      <c r="B38" s="22"/>
      <c r="C38" s="26" t="str">
        <f aca="false">IF(A38="","",IFERROR(buscarx(A38&amp;B38,DATA!$E$3:$E$10000&amp;DATA!$B$3:$B$10000,DATA!$M$3:$M$10000),"No encontrado"))</f>
        <v/>
      </c>
      <c r="D38" s="27" t="str">
        <f aca="false">IF(A38="","",IFERROR(buscarx(A38&amp;B38,DATA!$E$3:$E$10000&amp;DATA!$B$3:$B$10000,DATA!$W$3:$W$10000),"No encontrado"))</f>
        <v/>
      </c>
      <c r="E38" s="22"/>
      <c r="F38" s="26" t="str">
        <f aca="false">IF(A38="","",IFERROR(buscarx(A38&amp;E38,DATA!$E$3:$E$10000&amp;DATA!$B$3:$B$10000,DATA!$M$3:$M$10000),"Inactivo"))</f>
        <v/>
      </c>
      <c r="G38" s="28" t="str">
        <f aca="false">IF(A38="","",IF(AND(C38&lt;&gt;"No encontrado",F38&lt;&gt;"Inactivo"),C38&amp;" → "&amp;F38,"Sin transición"))</f>
        <v/>
      </c>
      <c r="H38" s="26" t="str">
        <f aca="false">IF(A38="","",IF(D38="GCIA LINEA SERVICIO DIGITALIDAD Y VENTAS","Chats",IF(OR(D38="GERENCIA INBOUND LÍNEAS SERVICIO Y VENTA",D38="GERENCIA INBOUND LINEAS ESPECIALIZADAS"),"Llamadas","Otro")))</f>
        <v/>
      </c>
      <c r="I38" s="26" t="str">
        <f aca="false">IF(A38="","",IF(C38="No encontrado","No","Sí"))</f>
        <v/>
      </c>
      <c r="J38" s="26" t="str">
        <f aca="false">IF(A38="","",IF(F38="Inactivo","No","Sí"))</f>
        <v/>
      </c>
      <c r="K38" s="26" t="str">
        <f aca="false">IF(A38="","",IF(AND(I38="Sí",J38="Sí"),"Sí","No"))</f>
        <v/>
      </c>
    </row>
    <row r="39" customFormat="false" ht="15" hidden="false" customHeight="false" outlineLevel="0" collapsed="false">
      <c r="A39" s="22"/>
      <c r="B39" s="22"/>
      <c r="C39" s="23" t="str">
        <f aca="false">IF(A39="","",IFERROR(buscarx(A39&amp;B39,DATA!$E$3:$E$10000&amp;DATA!$B$3:$B$10000,DATA!$M$3:$M$10000),"No encontrado"))</f>
        <v/>
      </c>
      <c r="D39" s="24" t="str">
        <f aca="false">IF(A39="","",IFERROR(buscarx(A39&amp;B39,DATA!$E$3:$E$10000&amp;DATA!$B$3:$B$10000,DATA!$W$3:$W$10000),"No encontrado"))</f>
        <v/>
      </c>
      <c r="E39" s="22"/>
      <c r="F39" s="23" t="str">
        <f aca="false">IF(A39="","",IFERROR(buscarx(A39&amp;E39,DATA!$E$3:$E$10000&amp;DATA!$B$3:$B$10000,DATA!$M$3:$M$10000),"Inactivo"))</f>
        <v/>
      </c>
      <c r="G39" s="25" t="str">
        <f aca="false">IF(A39="","",IF(AND(C39&lt;&gt;"No encontrado",F39&lt;&gt;"Inactivo"),C39&amp;" → "&amp;F39,"Sin transición"))</f>
        <v/>
      </c>
      <c r="H39" s="23" t="str">
        <f aca="false">IF(A39="","",IF(D39="GCIA LINEA SERVICIO DIGITALIDAD Y VENTAS","Chats",IF(OR(D39="GERENCIA INBOUND LÍNEAS SERVICIO Y VENTA",D39="GERENCIA INBOUND LINEAS ESPECIALIZADAS"),"Llamadas","Otro")))</f>
        <v/>
      </c>
      <c r="I39" s="23" t="str">
        <f aca="false">IF(A39="","",IF(C39="No encontrado","No","Sí"))</f>
        <v/>
      </c>
      <c r="J39" s="23" t="str">
        <f aca="false">IF(A39="","",IF(F39="Inactivo","No","Sí"))</f>
        <v/>
      </c>
      <c r="K39" s="23" t="str">
        <f aca="false">IF(A39="","",IF(AND(I39="Sí",J39="Sí"),"Sí","No"))</f>
        <v/>
      </c>
    </row>
    <row r="40" customFormat="false" ht="15" hidden="false" customHeight="false" outlineLevel="0" collapsed="false">
      <c r="A40" s="22"/>
      <c r="B40" s="22"/>
      <c r="C40" s="26" t="str">
        <f aca="false">IF(A40="","",IFERROR(buscarx(A40&amp;B40,DATA!$E$3:$E$10000&amp;DATA!$B$3:$B$10000,DATA!$M$3:$M$10000),"No encontrado"))</f>
        <v/>
      </c>
      <c r="D40" s="27" t="str">
        <f aca="false">IF(A40="","",IFERROR(buscarx(A40&amp;B40,DATA!$E$3:$E$10000&amp;DATA!$B$3:$B$10000,DATA!$W$3:$W$10000),"No encontrado"))</f>
        <v/>
      </c>
      <c r="E40" s="22"/>
      <c r="F40" s="26" t="str">
        <f aca="false">IF(A40="","",IFERROR(buscarx(A40&amp;E40,DATA!$E$3:$E$10000&amp;DATA!$B$3:$B$10000,DATA!$M$3:$M$10000),"Inactivo"))</f>
        <v/>
      </c>
      <c r="G40" s="28" t="str">
        <f aca="false">IF(A40="","",IF(AND(C40&lt;&gt;"No encontrado",F40&lt;&gt;"Inactivo"),C40&amp;" → "&amp;F40,"Sin transición"))</f>
        <v/>
      </c>
      <c r="H40" s="26" t="str">
        <f aca="false">IF(A40="","",IF(D40="GCIA LINEA SERVICIO DIGITALIDAD Y VENTAS","Chats",IF(OR(D40="GERENCIA INBOUND LÍNEAS SERVICIO Y VENTA",D40="GERENCIA INBOUND LINEAS ESPECIALIZADAS"),"Llamadas","Otro")))</f>
        <v/>
      </c>
      <c r="I40" s="26" t="str">
        <f aca="false">IF(A40="","",IF(C40="No encontrado","No","Sí"))</f>
        <v/>
      </c>
      <c r="J40" s="26" t="str">
        <f aca="false">IF(A40="","",IF(F40="Inactivo","No","Sí"))</f>
        <v/>
      </c>
      <c r="K40" s="26" t="str">
        <f aca="false">IF(A40="","",IF(AND(I40="Sí",J40="Sí"),"Sí","No"))</f>
        <v/>
      </c>
    </row>
    <row r="41" customFormat="false" ht="15" hidden="false" customHeight="false" outlineLevel="0" collapsed="false">
      <c r="A41" s="22"/>
      <c r="B41" s="22"/>
      <c r="C41" s="23" t="str">
        <f aca="false">IF(A41="","",IFERROR(buscarx(A41&amp;B41,DATA!$E$3:$E$10000&amp;DATA!$B$3:$B$10000,DATA!$M$3:$M$10000),"No encontrado"))</f>
        <v/>
      </c>
      <c r="D41" s="24" t="str">
        <f aca="false">IF(A41="","",IFERROR(buscarx(A41&amp;B41,DATA!$E$3:$E$10000&amp;DATA!$B$3:$B$10000,DATA!$W$3:$W$10000),"No encontrado"))</f>
        <v/>
      </c>
      <c r="E41" s="22"/>
      <c r="F41" s="23" t="str">
        <f aca="false">IF(A41="","",IFERROR(buscarx(A41&amp;E41,DATA!$E$3:$E$10000&amp;DATA!$B$3:$B$10000,DATA!$M$3:$M$10000),"Inactivo"))</f>
        <v/>
      </c>
      <c r="G41" s="25" t="str">
        <f aca="false">IF(A41="","",IF(AND(C41&lt;&gt;"No encontrado",F41&lt;&gt;"Inactivo"),C41&amp;" → "&amp;F41,"Sin transición"))</f>
        <v/>
      </c>
      <c r="H41" s="23" t="str">
        <f aca="false">IF(A41="","",IF(D41="GCIA LINEA SERVICIO DIGITALIDAD Y VENTAS","Chats",IF(OR(D41="GERENCIA INBOUND LÍNEAS SERVICIO Y VENTA",D41="GERENCIA INBOUND LINEAS ESPECIALIZADAS"),"Llamadas","Otro")))</f>
        <v/>
      </c>
      <c r="I41" s="23" t="str">
        <f aca="false">IF(A41="","",IF(C41="No encontrado","No","Sí"))</f>
        <v/>
      </c>
      <c r="J41" s="23" t="str">
        <f aca="false">IF(A41="","",IF(F41="Inactivo","No","Sí"))</f>
        <v/>
      </c>
      <c r="K41" s="23" t="str">
        <f aca="false">IF(A41="","",IF(AND(I41="Sí",J41="Sí"),"Sí","No"))</f>
        <v/>
      </c>
    </row>
    <row r="42" customFormat="false" ht="15" hidden="false" customHeight="false" outlineLevel="0" collapsed="false">
      <c r="A42" s="22"/>
      <c r="B42" s="22"/>
      <c r="C42" s="26" t="str">
        <f aca="false">IF(A42="","",IFERROR(buscarx(A42&amp;B42,DATA!$E$3:$E$10000&amp;DATA!$B$3:$B$10000,DATA!$M$3:$M$10000),"No encontrado"))</f>
        <v/>
      </c>
      <c r="D42" s="27" t="str">
        <f aca="false">IF(A42="","",IFERROR(buscarx(A42&amp;B42,DATA!$E$3:$E$10000&amp;DATA!$B$3:$B$10000,DATA!$W$3:$W$10000),"No encontrado"))</f>
        <v/>
      </c>
      <c r="E42" s="22"/>
      <c r="F42" s="26" t="str">
        <f aca="false">IF(A42="","",IFERROR(buscarx(A42&amp;E42,DATA!$E$3:$E$10000&amp;DATA!$B$3:$B$10000,DATA!$M$3:$M$10000),"Inactivo"))</f>
        <v/>
      </c>
      <c r="G42" s="28" t="str">
        <f aca="false">IF(A42="","",IF(AND(C42&lt;&gt;"No encontrado",F42&lt;&gt;"Inactivo"),C42&amp;" → "&amp;F42,"Sin transición"))</f>
        <v/>
      </c>
      <c r="H42" s="26" t="str">
        <f aca="false">IF(A42="","",IF(D42="GCIA LINEA SERVICIO DIGITALIDAD Y VENTAS","Chats",IF(OR(D42="GERENCIA INBOUND LÍNEAS SERVICIO Y VENTA",D42="GERENCIA INBOUND LINEAS ESPECIALIZADAS"),"Llamadas","Otro")))</f>
        <v/>
      </c>
      <c r="I42" s="26" t="str">
        <f aca="false">IF(A42="","",IF(C42="No encontrado","No","Sí"))</f>
        <v/>
      </c>
      <c r="J42" s="26" t="str">
        <f aca="false">IF(A42="","",IF(F42="Inactivo","No","Sí"))</f>
        <v/>
      </c>
      <c r="K42" s="26" t="str">
        <f aca="false">IF(A42="","",IF(AND(I42="Sí",J42="Sí"),"Sí","No"))</f>
        <v/>
      </c>
    </row>
    <row r="43" customFormat="false" ht="15" hidden="false" customHeight="false" outlineLevel="0" collapsed="false">
      <c r="A43" s="22"/>
      <c r="B43" s="22"/>
      <c r="C43" s="23" t="str">
        <f aca="false">IF(A43="","",IFERROR(buscarx(A43&amp;B43,DATA!$E$3:$E$10000&amp;DATA!$B$3:$B$10000,DATA!$M$3:$M$10000),"No encontrado"))</f>
        <v/>
      </c>
      <c r="D43" s="24" t="str">
        <f aca="false">IF(A43="","",IFERROR(buscarx(A43&amp;B43,DATA!$E$3:$E$10000&amp;DATA!$B$3:$B$10000,DATA!$W$3:$W$10000),"No encontrado"))</f>
        <v/>
      </c>
      <c r="E43" s="22"/>
      <c r="F43" s="23" t="str">
        <f aca="false">IF(A43="","",IFERROR(buscarx(A43&amp;E43,DATA!$E$3:$E$10000&amp;DATA!$B$3:$B$10000,DATA!$M$3:$M$10000),"Inactivo"))</f>
        <v/>
      </c>
      <c r="G43" s="25" t="str">
        <f aca="false">IF(A43="","",IF(AND(C43&lt;&gt;"No encontrado",F43&lt;&gt;"Inactivo"),C43&amp;" → "&amp;F43,"Sin transición"))</f>
        <v/>
      </c>
      <c r="H43" s="23" t="str">
        <f aca="false">IF(A43="","",IF(D43="GCIA LINEA SERVICIO DIGITALIDAD Y VENTAS","Chats",IF(OR(D43="GERENCIA INBOUND LÍNEAS SERVICIO Y VENTA",D43="GERENCIA INBOUND LINEAS ESPECIALIZADAS"),"Llamadas","Otro")))</f>
        <v/>
      </c>
      <c r="I43" s="23" t="str">
        <f aca="false">IF(A43="","",IF(C43="No encontrado","No","Sí"))</f>
        <v/>
      </c>
      <c r="J43" s="23" t="str">
        <f aca="false">IF(A43="","",IF(F43="Inactivo","No","Sí"))</f>
        <v/>
      </c>
      <c r="K43" s="23" t="str">
        <f aca="false">IF(A43="","",IF(AND(I43="Sí",J43="Sí"),"Sí","No"))</f>
        <v/>
      </c>
    </row>
    <row r="44" customFormat="false" ht="15" hidden="false" customHeight="false" outlineLevel="0" collapsed="false">
      <c r="A44" s="22"/>
      <c r="B44" s="22"/>
      <c r="C44" s="26" t="str">
        <f aca="false">IF(A44="","",IFERROR(buscarx(A44&amp;B44,DATA!$E$3:$E$10000&amp;DATA!$B$3:$B$10000,DATA!$M$3:$M$10000),"No encontrado"))</f>
        <v/>
      </c>
      <c r="D44" s="27" t="str">
        <f aca="false">IF(A44="","",IFERROR(buscarx(A44&amp;B44,DATA!$E$3:$E$10000&amp;DATA!$B$3:$B$10000,DATA!$W$3:$W$10000),"No encontrado"))</f>
        <v/>
      </c>
      <c r="E44" s="22"/>
      <c r="F44" s="26" t="str">
        <f aca="false">IF(A44="","",IFERROR(buscarx(A44&amp;E44,DATA!$E$3:$E$10000&amp;DATA!$B$3:$B$10000,DATA!$M$3:$M$10000),"Inactivo"))</f>
        <v/>
      </c>
      <c r="G44" s="28" t="str">
        <f aca="false">IF(A44="","",IF(AND(C44&lt;&gt;"No encontrado",F44&lt;&gt;"Inactivo"),C44&amp;" → "&amp;F44,"Sin transición"))</f>
        <v/>
      </c>
      <c r="H44" s="26" t="str">
        <f aca="false">IF(A44="","",IF(D44="GCIA LINEA SERVICIO DIGITALIDAD Y VENTAS","Chats",IF(OR(D44="GERENCIA INBOUND LÍNEAS SERVICIO Y VENTA",D44="GERENCIA INBOUND LINEAS ESPECIALIZADAS"),"Llamadas","Otro")))</f>
        <v/>
      </c>
      <c r="I44" s="26" t="str">
        <f aca="false">IF(A44="","",IF(C44="No encontrado","No","Sí"))</f>
        <v/>
      </c>
      <c r="J44" s="26" t="str">
        <f aca="false">IF(A44="","",IF(F44="Inactivo","No","Sí"))</f>
        <v/>
      </c>
      <c r="K44" s="26" t="str">
        <f aca="false">IF(A44="","",IF(AND(I44="Sí",J44="Sí"),"Sí","No"))</f>
        <v/>
      </c>
    </row>
    <row r="45" customFormat="false" ht="15" hidden="false" customHeight="false" outlineLevel="0" collapsed="false">
      <c r="A45" s="22"/>
      <c r="B45" s="22"/>
      <c r="C45" s="23" t="str">
        <f aca="false">IF(A45="","",IFERROR(buscarx(A45&amp;B45,DATA!$E$3:$E$10000&amp;DATA!$B$3:$B$10000,DATA!$M$3:$M$10000),"No encontrado"))</f>
        <v/>
      </c>
      <c r="D45" s="24" t="str">
        <f aca="false">IF(A45="","",IFERROR(buscarx(A45&amp;B45,DATA!$E$3:$E$10000&amp;DATA!$B$3:$B$10000,DATA!$W$3:$W$10000),"No encontrado"))</f>
        <v/>
      </c>
      <c r="E45" s="22"/>
      <c r="F45" s="23" t="str">
        <f aca="false">IF(A45="","",IFERROR(buscarx(A45&amp;E45,DATA!$E$3:$E$10000&amp;DATA!$B$3:$B$10000,DATA!$M$3:$M$10000),"Inactivo"))</f>
        <v/>
      </c>
      <c r="G45" s="25" t="str">
        <f aca="false">IF(A45="","",IF(AND(C45&lt;&gt;"No encontrado",F45&lt;&gt;"Inactivo"),C45&amp;" → "&amp;F45,"Sin transición"))</f>
        <v/>
      </c>
      <c r="H45" s="23" t="str">
        <f aca="false">IF(A45="","",IF(D45="GCIA LINEA SERVICIO DIGITALIDAD Y VENTAS","Chats",IF(OR(D45="GERENCIA INBOUND LÍNEAS SERVICIO Y VENTA",D45="GERENCIA INBOUND LINEAS ESPECIALIZADAS"),"Llamadas","Otro")))</f>
        <v/>
      </c>
      <c r="I45" s="23" t="str">
        <f aca="false">IF(A45="","",IF(C45="No encontrado","No","Sí"))</f>
        <v/>
      </c>
      <c r="J45" s="23" t="str">
        <f aca="false">IF(A45="","",IF(F45="Inactivo","No","Sí"))</f>
        <v/>
      </c>
      <c r="K45" s="23" t="str">
        <f aca="false">IF(A45="","",IF(AND(I45="Sí",J45="Sí"),"Sí","No"))</f>
        <v/>
      </c>
    </row>
    <row r="46" customFormat="false" ht="15" hidden="false" customHeight="false" outlineLevel="0" collapsed="false">
      <c r="A46" s="22"/>
      <c r="B46" s="22"/>
      <c r="C46" s="26" t="str">
        <f aca="false">IF(A46="","",IFERROR(buscarx(A46&amp;B46,DATA!$E$3:$E$10000&amp;DATA!$B$3:$B$10000,DATA!$M$3:$M$10000),"No encontrado"))</f>
        <v/>
      </c>
      <c r="D46" s="27" t="str">
        <f aca="false">IF(A46="","",IFERROR(buscarx(A46&amp;B46,DATA!$E$3:$E$10000&amp;DATA!$B$3:$B$10000,DATA!$W$3:$W$10000),"No encontrado"))</f>
        <v/>
      </c>
      <c r="E46" s="22"/>
      <c r="F46" s="26" t="str">
        <f aca="false">IF(A46="","",IFERROR(buscarx(A46&amp;E46,DATA!$E$3:$E$10000&amp;DATA!$B$3:$B$10000,DATA!$M$3:$M$10000),"Inactivo"))</f>
        <v/>
      </c>
      <c r="G46" s="28" t="str">
        <f aca="false">IF(A46="","",IF(AND(C46&lt;&gt;"No encontrado",F46&lt;&gt;"Inactivo"),C46&amp;" → "&amp;F46,"Sin transición"))</f>
        <v/>
      </c>
      <c r="H46" s="26" t="str">
        <f aca="false">IF(A46="","",IF(D46="GCIA LINEA SERVICIO DIGITALIDAD Y VENTAS","Chats",IF(OR(D46="GERENCIA INBOUND LÍNEAS SERVICIO Y VENTA",D46="GERENCIA INBOUND LINEAS ESPECIALIZADAS"),"Llamadas","Otro")))</f>
        <v/>
      </c>
      <c r="I46" s="26" t="str">
        <f aca="false">IF(A46="","",IF(C46="No encontrado","No","Sí"))</f>
        <v/>
      </c>
      <c r="J46" s="26" t="str">
        <f aca="false">IF(A46="","",IF(F46="Inactivo","No","Sí"))</f>
        <v/>
      </c>
      <c r="K46" s="26" t="str">
        <f aca="false">IF(A46="","",IF(AND(I46="Sí",J46="Sí"),"Sí","No"))</f>
        <v/>
      </c>
    </row>
    <row r="47" customFormat="false" ht="15" hidden="false" customHeight="false" outlineLevel="0" collapsed="false">
      <c r="A47" s="22"/>
      <c r="B47" s="22"/>
      <c r="C47" s="23" t="str">
        <f aca="false">IF(A47="","",IFERROR(buscarx(A47&amp;B47,DATA!$E$3:$E$10000&amp;DATA!$B$3:$B$10000,DATA!$M$3:$M$10000),"No encontrado"))</f>
        <v/>
      </c>
      <c r="D47" s="24" t="str">
        <f aca="false">IF(A47="","",IFERROR(buscarx(A47&amp;B47,DATA!$E$3:$E$10000&amp;DATA!$B$3:$B$10000,DATA!$W$3:$W$10000),"No encontrado"))</f>
        <v/>
      </c>
      <c r="E47" s="22"/>
      <c r="F47" s="23" t="str">
        <f aca="false">IF(A47="","",IFERROR(buscarx(A47&amp;E47,DATA!$E$3:$E$10000&amp;DATA!$B$3:$B$10000,DATA!$M$3:$M$10000),"Inactivo"))</f>
        <v/>
      </c>
      <c r="G47" s="25" t="str">
        <f aca="false">IF(A47="","",IF(AND(C47&lt;&gt;"No encontrado",F47&lt;&gt;"Inactivo"),C47&amp;" → "&amp;F47,"Sin transición"))</f>
        <v/>
      </c>
      <c r="H47" s="23" t="str">
        <f aca="false">IF(A47="","",IF(D47="GCIA LINEA SERVICIO DIGITALIDAD Y VENTAS","Chats",IF(OR(D47="GERENCIA INBOUND LÍNEAS SERVICIO Y VENTA",D47="GERENCIA INBOUND LINEAS ESPECIALIZADAS"),"Llamadas","Otro")))</f>
        <v/>
      </c>
      <c r="I47" s="23" t="str">
        <f aca="false">IF(A47="","",IF(C47="No encontrado","No","Sí"))</f>
        <v/>
      </c>
      <c r="J47" s="23" t="str">
        <f aca="false">IF(A47="","",IF(F47="Inactivo","No","Sí"))</f>
        <v/>
      </c>
      <c r="K47" s="23" t="str">
        <f aca="false">IF(A47="","",IF(AND(I47="Sí",J47="Sí"),"Sí","No"))</f>
        <v/>
      </c>
    </row>
    <row r="48" customFormat="false" ht="15" hidden="false" customHeight="false" outlineLevel="0" collapsed="false">
      <c r="A48" s="22"/>
      <c r="B48" s="22"/>
      <c r="C48" s="26" t="str">
        <f aca="false">IF(A48="","",IFERROR(buscarx(A48&amp;B48,DATA!$E$3:$E$10000&amp;DATA!$B$3:$B$10000,DATA!$M$3:$M$10000),"No encontrado"))</f>
        <v/>
      </c>
      <c r="D48" s="27" t="str">
        <f aca="false">IF(A48="","",IFERROR(buscarx(A48&amp;B48,DATA!$E$3:$E$10000&amp;DATA!$B$3:$B$10000,DATA!$W$3:$W$10000),"No encontrado"))</f>
        <v/>
      </c>
      <c r="E48" s="22"/>
      <c r="F48" s="26" t="str">
        <f aca="false">IF(A48="","",IFERROR(buscarx(A48&amp;E48,DATA!$E$3:$E$10000&amp;DATA!$B$3:$B$10000,DATA!$M$3:$M$10000),"Inactivo"))</f>
        <v/>
      </c>
      <c r="G48" s="28" t="str">
        <f aca="false">IF(A48="","",IF(AND(C48&lt;&gt;"No encontrado",F48&lt;&gt;"Inactivo"),C48&amp;" → "&amp;F48,"Sin transición"))</f>
        <v/>
      </c>
      <c r="H48" s="26" t="str">
        <f aca="false">IF(A48="","",IF(D48="GCIA LINEA SERVICIO DIGITALIDAD Y VENTAS","Chats",IF(OR(D48="GERENCIA INBOUND LÍNEAS SERVICIO Y VENTA",D48="GERENCIA INBOUND LINEAS ESPECIALIZADAS"),"Llamadas","Otro")))</f>
        <v/>
      </c>
      <c r="I48" s="26" t="str">
        <f aca="false">IF(A48="","",IF(C48="No encontrado","No","Sí"))</f>
        <v/>
      </c>
      <c r="J48" s="26" t="str">
        <f aca="false">IF(A48="","",IF(F48="Inactivo","No","Sí"))</f>
        <v/>
      </c>
      <c r="K48" s="26" t="str">
        <f aca="false">IF(A48="","",IF(AND(I48="Sí",J48="Sí"),"Sí","No"))</f>
        <v/>
      </c>
    </row>
    <row r="49" customFormat="false" ht="15" hidden="false" customHeight="false" outlineLevel="0" collapsed="false">
      <c r="A49" s="22"/>
      <c r="B49" s="22"/>
      <c r="C49" s="23" t="str">
        <f aca="false">IF(A49="","",IFERROR(buscarx(A49&amp;B49,DATA!$E$3:$E$10000&amp;DATA!$B$3:$B$10000,DATA!$M$3:$M$10000),"No encontrado"))</f>
        <v/>
      </c>
      <c r="D49" s="24" t="str">
        <f aca="false">IF(A49="","",IFERROR(buscarx(A49&amp;B49,DATA!$E$3:$E$10000&amp;DATA!$B$3:$B$10000,DATA!$W$3:$W$10000),"No encontrado"))</f>
        <v/>
      </c>
      <c r="E49" s="22"/>
      <c r="F49" s="23" t="str">
        <f aca="false">IF(A49="","",IFERROR(buscarx(A49&amp;E49,DATA!$E$3:$E$10000&amp;DATA!$B$3:$B$10000,DATA!$M$3:$M$10000),"Inactivo"))</f>
        <v/>
      </c>
      <c r="G49" s="25" t="str">
        <f aca="false">IF(A49="","",IF(AND(C49&lt;&gt;"No encontrado",F49&lt;&gt;"Inactivo"),C49&amp;" → "&amp;F49,"Sin transición"))</f>
        <v/>
      </c>
      <c r="H49" s="23" t="str">
        <f aca="false">IF(A49="","",IF(D49="GCIA LINEA SERVICIO DIGITALIDAD Y VENTAS","Chats",IF(OR(D49="GERENCIA INBOUND LÍNEAS SERVICIO Y VENTA",D49="GERENCIA INBOUND LINEAS ESPECIALIZADAS"),"Llamadas","Otro")))</f>
        <v/>
      </c>
      <c r="I49" s="23" t="str">
        <f aca="false">IF(A49="","",IF(C49="No encontrado","No","Sí"))</f>
        <v/>
      </c>
      <c r="J49" s="23" t="str">
        <f aca="false">IF(A49="","",IF(F49="Inactivo","No","Sí"))</f>
        <v/>
      </c>
      <c r="K49" s="23" t="str">
        <f aca="false">IF(A49="","",IF(AND(I49="Sí",J49="Sí"),"Sí","No"))</f>
        <v/>
      </c>
    </row>
    <row r="50" customFormat="false" ht="15" hidden="false" customHeight="false" outlineLevel="0" collapsed="false">
      <c r="A50" s="22"/>
      <c r="B50" s="22"/>
      <c r="C50" s="26" t="str">
        <f aca="false">IF(A50="","",IFERROR(buscarx(A50&amp;B50,DATA!$E$3:$E$10000&amp;DATA!$B$3:$B$10000,DATA!$M$3:$M$10000),"No encontrado"))</f>
        <v/>
      </c>
      <c r="D50" s="27" t="str">
        <f aca="false">IF(A50="","",IFERROR(buscarx(A50&amp;B50,DATA!$E$3:$E$10000&amp;DATA!$B$3:$B$10000,DATA!$W$3:$W$10000),"No encontrado"))</f>
        <v/>
      </c>
      <c r="E50" s="22"/>
      <c r="F50" s="26" t="str">
        <f aca="false">IF(A50="","",IFERROR(buscarx(A50&amp;E50,DATA!$E$3:$E$10000&amp;DATA!$B$3:$B$10000,DATA!$M$3:$M$10000),"Inactivo"))</f>
        <v/>
      </c>
      <c r="G50" s="28" t="str">
        <f aca="false">IF(A50="","",IF(AND(C50&lt;&gt;"No encontrado",F50&lt;&gt;"Inactivo"),C50&amp;" → "&amp;F50,"Sin transición"))</f>
        <v/>
      </c>
      <c r="H50" s="26" t="str">
        <f aca="false">IF(A50="","",IF(D50="GCIA LINEA SERVICIO DIGITALIDAD Y VENTAS","Chats",IF(OR(D50="GERENCIA INBOUND LÍNEAS SERVICIO Y VENTA",D50="GERENCIA INBOUND LINEAS ESPECIALIZADAS"),"Llamadas","Otro")))</f>
        <v/>
      </c>
      <c r="I50" s="26" t="str">
        <f aca="false">IF(A50="","",IF(C50="No encontrado","No","Sí"))</f>
        <v/>
      </c>
      <c r="J50" s="26" t="str">
        <f aca="false">IF(A50="","",IF(F50="Inactivo","No","Sí"))</f>
        <v/>
      </c>
      <c r="K50" s="26" t="str">
        <f aca="false">IF(A50="","",IF(AND(I50="Sí",J50="Sí"),"Sí","No"))</f>
        <v/>
      </c>
    </row>
    <row r="51" customFormat="false" ht="15" hidden="false" customHeight="false" outlineLevel="0" collapsed="false">
      <c r="A51" s="22"/>
      <c r="B51" s="22"/>
      <c r="C51" s="23" t="str">
        <f aca="false">IF(A51="","",IFERROR(buscarx(A51&amp;B51,DATA!$E$3:$E$10000&amp;DATA!$B$3:$B$10000,DATA!$M$3:$M$10000),"No encontrado"))</f>
        <v/>
      </c>
      <c r="D51" s="24" t="str">
        <f aca="false">IF(A51="","",IFERROR(buscarx(A51&amp;B51,DATA!$E$3:$E$10000&amp;DATA!$B$3:$B$10000,DATA!$W$3:$W$10000),"No encontrado"))</f>
        <v/>
      </c>
      <c r="E51" s="22"/>
      <c r="F51" s="23" t="str">
        <f aca="false">IF(A51="","",IFERROR(buscarx(A51&amp;E51,DATA!$E$3:$E$10000&amp;DATA!$B$3:$B$10000,DATA!$M$3:$M$10000),"Inactivo"))</f>
        <v/>
      </c>
      <c r="G51" s="25" t="str">
        <f aca="false">IF(A51="","",IF(AND(C51&lt;&gt;"No encontrado",F51&lt;&gt;"Inactivo"),C51&amp;" → "&amp;F51,"Sin transición"))</f>
        <v/>
      </c>
      <c r="H51" s="23" t="str">
        <f aca="false">IF(A51="","",IF(D51="GCIA LINEA SERVICIO DIGITALIDAD Y VENTAS","Chats",IF(OR(D51="GERENCIA INBOUND LÍNEAS SERVICIO Y VENTA",D51="GERENCIA INBOUND LINEAS ESPECIALIZADAS"),"Llamadas","Otro")))</f>
        <v/>
      </c>
      <c r="I51" s="23" t="str">
        <f aca="false">IF(A51="","",IF(C51="No encontrado","No","Sí"))</f>
        <v/>
      </c>
      <c r="J51" s="23" t="str">
        <f aca="false">IF(A51="","",IF(F51="Inactivo","No","Sí"))</f>
        <v/>
      </c>
      <c r="K51" s="23" t="str">
        <f aca="false">IF(A51="","",IF(AND(I51="Sí",J51="Sí"),"Sí","No"))</f>
        <v/>
      </c>
    </row>
    <row r="52" customFormat="false" ht="15" hidden="false" customHeight="false" outlineLevel="0" collapsed="false">
      <c r="A52" s="22"/>
      <c r="B52" s="22"/>
      <c r="C52" s="26" t="str">
        <f aca="false">IF(A52="","",IFERROR(buscarx(A52&amp;B52,DATA!$E$3:$E$10000&amp;DATA!$B$3:$B$10000,DATA!$M$3:$M$10000),"No encontrado"))</f>
        <v/>
      </c>
      <c r="D52" s="27" t="str">
        <f aca="false">IF(A52="","",IFERROR(buscarx(A52&amp;B52,DATA!$E$3:$E$10000&amp;DATA!$B$3:$B$10000,DATA!$W$3:$W$10000),"No encontrado"))</f>
        <v/>
      </c>
      <c r="E52" s="22"/>
      <c r="F52" s="26" t="str">
        <f aca="false">IF(A52="","",IFERROR(buscarx(A52&amp;E52,DATA!$E$3:$E$10000&amp;DATA!$B$3:$B$10000,DATA!$M$3:$M$10000),"Inactivo"))</f>
        <v/>
      </c>
      <c r="G52" s="28" t="str">
        <f aca="false">IF(A52="","",IF(AND(C52&lt;&gt;"No encontrado",F52&lt;&gt;"Inactivo"),C52&amp;" → "&amp;F52,"Sin transición"))</f>
        <v/>
      </c>
      <c r="H52" s="26" t="str">
        <f aca="false">IF(A52="","",IF(D52="GCIA LINEA SERVICIO DIGITALIDAD Y VENTAS","Chats",IF(OR(D52="GERENCIA INBOUND LÍNEAS SERVICIO Y VENTA",D52="GERENCIA INBOUND LINEAS ESPECIALIZADAS"),"Llamadas","Otro")))</f>
        <v/>
      </c>
      <c r="I52" s="26" t="str">
        <f aca="false">IF(A52="","",IF(C52="No encontrado","No","Sí"))</f>
        <v/>
      </c>
      <c r="J52" s="26" t="str">
        <f aca="false">IF(A52="","",IF(F52="Inactivo","No","Sí"))</f>
        <v/>
      </c>
      <c r="K52" s="26" t="str">
        <f aca="false">IF(A52="","",IF(AND(I52="Sí",J52="Sí"),"Sí","No"))</f>
        <v/>
      </c>
    </row>
    <row r="53" customFormat="false" ht="15" hidden="false" customHeight="false" outlineLevel="0" collapsed="false">
      <c r="A53" s="22"/>
      <c r="B53" s="22"/>
      <c r="C53" s="23" t="str">
        <f aca="false">IF(A53="","",IFERROR(buscarx(A53&amp;B53,DATA!$E$3:$E$10000&amp;DATA!$B$3:$B$10000,DATA!$M$3:$M$10000),"No encontrado"))</f>
        <v/>
      </c>
      <c r="D53" s="24" t="str">
        <f aca="false">IF(A53="","",IFERROR(buscarx(A53&amp;B53,DATA!$E$3:$E$10000&amp;DATA!$B$3:$B$10000,DATA!$W$3:$W$10000),"No encontrado"))</f>
        <v/>
      </c>
      <c r="E53" s="22"/>
      <c r="F53" s="23" t="str">
        <f aca="false">IF(A53="","",IFERROR(buscarx(A53&amp;E53,DATA!$E$3:$E$10000&amp;DATA!$B$3:$B$10000,DATA!$M$3:$M$10000),"Inactivo"))</f>
        <v/>
      </c>
      <c r="G53" s="25" t="str">
        <f aca="false">IF(A53="","",IF(AND(C53&lt;&gt;"No encontrado",F53&lt;&gt;"Inactivo"),C53&amp;" → "&amp;F53,"Sin transición"))</f>
        <v/>
      </c>
      <c r="H53" s="23" t="str">
        <f aca="false">IF(A53="","",IF(D53="GCIA LINEA SERVICIO DIGITALIDAD Y VENTAS","Chats",IF(OR(D53="GERENCIA INBOUND LÍNEAS SERVICIO Y VENTA",D53="GERENCIA INBOUND LINEAS ESPECIALIZADAS"),"Llamadas","Otro")))</f>
        <v/>
      </c>
      <c r="I53" s="23" t="str">
        <f aca="false">IF(A53="","",IF(C53="No encontrado","No","Sí"))</f>
        <v/>
      </c>
      <c r="J53" s="23" t="str">
        <f aca="false">IF(A53="","",IF(F53="Inactivo","No","Sí"))</f>
        <v/>
      </c>
      <c r="K53" s="23" t="str">
        <f aca="false">IF(A53="","",IF(AND(I53="Sí",J53="Sí"),"Sí","No"))</f>
        <v/>
      </c>
    </row>
    <row r="54" customFormat="false" ht="15" hidden="false" customHeight="false" outlineLevel="0" collapsed="false">
      <c r="A54" s="22"/>
      <c r="B54" s="22"/>
      <c r="C54" s="26" t="str">
        <f aca="false">IF(A54="","",IFERROR(buscarx(A54&amp;B54,DATA!$E$3:$E$10000&amp;DATA!$B$3:$B$10000,DATA!$M$3:$M$10000),"No encontrado"))</f>
        <v/>
      </c>
      <c r="D54" s="27" t="str">
        <f aca="false">IF(A54="","",IFERROR(buscarx(A54&amp;B54,DATA!$E$3:$E$10000&amp;DATA!$B$3:$B$10000,DATA!$W$3:$W$10000),"No encontrado"))</f>
        <v/>
      </c>
      <c r="E54" s="22"/>
      <c r="F54" s="26" t="str">
        <f aca="false">IF(A54="","",IFERROR(buscarx(A54&amp;E54,DATA!$E$3:$E$10000&amp;DATA!$B$3:$B$10000,DATA!$M$3:$M$10000),"Inactivo"))</f>
        <v/>
      </c>
      <c r="G54" s="28" t="str">
        <f aca="false">IF(A54="","",IF(AND(C54&lt;&gt;"No encontrado",F54&lt;&gt;"Inactivo"),C54&amp;" → "&amp;F54,"Sin transición"))</f>
        <v/>
      </c>
      <c r="H54" s="26" t="str">
        <f aca="false">IF(A54="","",IF(D54="GCIA LINEA SERVICIO DIGITALIDAD Y VENTAS","Chats",IF(OR(D54="GERENCIA INBOUND LÍNEAS SERVICIO Y VENTA",D54="GERENCIA INBOUND LINEAS ESPECIALIZADAS"),"Llamadas","Otro")))</f>
        <v/>
      </c>
      <c r="I54" s="26" t="str">
        <f aca="false">IF(A54="","",IF(C54="No encontrado","No","Sí"))</f>
        <v/>
      </c>
      <c r="J54" s="26" t="str">
        <f aca="false">IF(A54="","",IF(F54="Inactivo","No","Sí"))</f>
        <v/>
      </c>
      <c r="K54" s="26" t="str">
        <f aca="false">IF(A54="","",IF(AND(I54="Sí",J54="Sí"),"Sí","No"))</f>
        <v/>
      </c>
    </row>
    <row r="55" customFormat="false" ht="15" hidden="false" customHeight="false" outlineLevel="0" collapsed="false">
      <c r="A55" s="22"/>
      <c r="B55" s="22"/>
      <c r="C55" s="23" t="str">
        <f aca="false">IF(A55="","",IFERROR(buscarx(A55&amp;B55,DATA!$E$3:$E$10000&amp;DATA!$B$3:$B$10000,DATA!$M$3:$M$10000),"No encontrado"))</f>
        <v/>
      </c>
      <c r="D55" s="24" t="str">
        <f aca="false">IF(A55="","",IFERROR(buscarx(A55&amp;B55,DATA!$E$3:$E$10000&amp;DATA!$B$3:$B$10000,DATA!$W$3:$W$10000),"No encontrado"))</f>
        <v/>
      </c>
      <c r="E55" s="22"/>
      <c r="F55" s="23" t="str">
        <f aca="false">IF(A55="","",IFERROR(buscarx(A55&amp;E55,DATA!$E$3:$E$10000&amp;DATA!$B$3:$B$10000,DATA!$M$3:$M$10000),"Inactivo"))</f>
        <v/>
      </c>
      <c r="G55" s="25" t="str">
        <f aca="false">IF(A55="","",IF(AND(C55&lt;&gt;"No encontrado",F55&lt;&gt;"Inactivo"),C55&amp;" → "&amp;F55,"Sin transición"))</f>
        <v/>
      </c>
      <c r="H55" s="23" t="str">
        <f aca="false">IF(A55="","",IF(D55="GCIA LINEA SERVICIO DIGITALIDAD Y VENTAS","Chats",IF(OR(D55="GERENCIA INBOUND LÍNEAS SERVICIO Y VENTA",D55="GERENCIA INBOUND LINEAS ESPECIALIZADAS"),"Llamadas","Otro")))</f>
        <v/>
      </c>
      <c r="I55" s="23" t="str">
        <f aca="false">IF(A55="","",IF(C55="No encontrado","No","Sí"))</f>
        <v/>
      </c>
      <c r="J55" s="23" t="str">
        <f aca="false">IF(A55="","",IF(F55="Inactivo","No","Sí"))</f>
        <v/>
      </c>
      <c r="K55" s="23" t="str">
        <f aca="false">IF(A55="","",IF(AND(I55="Sí",J55="Sí"),"Sí","No"))</f>
        <v/>
      </c>
    </row>
    <row r="56" customFormat="false" ht="15" hidden="false" customHeight="false" outlineLevel="0" collapsed="false">
      <c r="A56" s="22"/>
      <c r="B56" s="22"/>
      <c r="C56" s="26" t="str">
        <f aca="false">IF(A56="","",IFERROR(buscarx(A56&amp;B56,DATA!$E$3:$E$10000&amp;DATA!$B$3:$B$10000,DATA!$M$3:$M$10000),"No encontrado"))</f>
        <v/>
      </c>
      <c r="D56" s="27" t="str">
        <f aca="false">IF(A56="","",IFERROR(buscarx(A56&amp;B56,DATA!$E$3:$E$10000&amp;DATA!$B$3:$B$10000,DATA!$W$3:$W$10000),"No encontrado"))</f>
        <v/>
      </c>
      <c r="E56" s="22"/>
      <c r="F56" s="26" t="str">
        <f aca="false">IF(A56="","",IFERROR(buscarx(A56&amp;E56,DATA!$E$3:$E$10000&amp;DATA!$B$3:$B$10000,DATA!$M$3:$M$10000),"Inactivo"))</f>
        <v/>
      </c>
      <c r="G56" s="28" t="str">
        <f aca="false">IF(A56="","",IF(AND(C56&lt;&gt;"No encontrado",F56&lt;&gt;"Inactivo"),C56&amp;" → "&amp;F56,"Sin transición"))</f>
        <v/>
      </c>
      <c r="H56" s="26" t="str">
        <f aca="false">IF(A56="","",IF(D56="GCIA LINEA SERVICIO DIGITALIDAD Y VENTAS","Chats",IF(OR(D56="GERENCIA INBOUND LÍNEAS SERVICIO Y VENTA",D56="GERENCIA INBOUND LINEAS ESPECIALIZADAS"),"Llamadas","Otro")))</f>
        <v/>
      </c>
      <c r="I56" s="26" t="str">
        <f aca="false">IF(A56="","",IF(C56="No encontrado","No","Sí"))</f>
        <v/>
      </c>
      <c r="J56" s="26" t="str">
        <f aca="false">IF(A56="","",IF(F56="Inactivo","No","Sí"))</f>
        <v/>
      </c>
      <c r="K56" s="26" t="str">
        <f aca="false">IF(A56="","",IF(AND(I56="Sí",J56="Sí"),"Sí","No"))</f>
        <v/>
      </c>
    </row>
    <row r="57" customFormat="false" ht="15" hidden="false" customHeight="false" outlineLevel="0" collapsed="false">
      <c r="A57" s="22"/>
      <c r="B57" s="22"/>
      <c r="C57" s="23" t="str">
        <f aca="false">IF(A57="","",IFERROR(buscarx(A57&amp;B57,DATA!$E$3:$E$10000&amp;DATA!$B$3:$B$10000,DATA!$M$3:$M$10000),"No encontrado"))</f>
        <v/>
      </c>
      <c r="D57" s="24" t="str">
        <f aca="false">IF(A57="","",IFERROR(buscarx(A57&amp;B57,DATA!$E$3:$E$10000&amp;DATA!$B$3:$B$10000,DATA!$W$3:$W$10000),"No encontrado"))</f>
        <v/>
      </c>
      <c r="E57" s="22"/>
      <c r="F57" s="23" t="str">
        <f aca="false">IF(A57="","",IFERROR(buscarx(A57&amp;E57,DATA!$E$3:$E$10000&amp;DATA!$B$3:$B$10000,DATA!$M$3:$M$10000),"Inactivo"))</f>
        <v/>
      </c>
      <c r="G57" s="25" t="str">
        <f aca="false">IF(A57="","",IF(AND(C57&lt;&gt;"No encontrado",F57&lt;&gt;"Inactivo"),C57&amp;" → "&amp;F57,"Sin transición"))</f>
        <v/>
      </c>
      <c r="H57" s="23" t="str">
        <f aca="false">IF(A57="","",IF(D57="GCIA LINEA SERVICIO DIGITALIDAD Y VENTAS","Chats",IF(OR(D57="GERENCIA INBOUND LÍNEAS SERVICIO Y VENTA",D57="GERENCIA INBOUND LINEAS ESPECIALIZADAS"),"Llamadas","Otro")))</f>
        <v/>
      </c>
      <c r="I57" s="23" t="str">
        <f aca="false">IF(A57="","",IF(C57="No encontrado","No","Sí"))</f>
        <v/>
      </c>
      <c r="J57" s="23" t="str">
        <f aca="false">IF(A57="","",IF(F57="Inactivo","No","Sí"))</f>
        <v/>
      </c>
      <c r="K57" s="23" t="str">
        <f aca="false">IF(A57="","",IF(AND(I57="Sí",J57="Sí"),"Sí","No"))</f>
        <v/>
      </c>
    </row>
    <row r="58" customFormat="false" ht="15" hidden="false" customHeight="false" outlineLevel="0" collapsed="false">
      <c r="A58" s="22"/>
      <c r="B58" s="22"/>
      <c r="C58" s="26" t="str">
        <f aca="false">IF(A58="","",IFERROR(buscarx(A58&amp;B58,DATA!$E$3:$E$10000&amp;DATA!$B$3:$B$10000,DATA!$M$3:$M$10000),"No encontrado"))</f>
        <v/>
      </c>
      <c r="D58" s="27" t="str">
        <f aca="false">IF(A58="","",IFERROR(buscarx(A58&amp;B58,DATA!$E$3:$E$10000&amp;DATA!$B$3:$B$10000,DATA!$W$3:$W$10000),"No encontrado"))</f>
        <v/>
      </c>
      <c r="E58" s="22"/>
      <c r="F58" s="26" t="str">
        <f aca="false">IF(A58="","",IFERROR(buscarx(A58&amp;E58,DATA!$E$3:$E$10000&amp;DATA!$B$3:$B$10000,DATA!$M$3:$M$10000),"Inactivo"))</f>
        <v/>
      </c>
      <c r="G58" s="28" t="str">
        <f aca="false">IF(A58="","",IF(AND(C58&lt;&gt;"No encontrado",F58&lt;&gt;"Inactivo"),C58&amp;" → "&amp;F58,"Sin transición"))</f>
        <v/>
      </c>
      <c r="H58" s="26" t="str">
        <f aca="false">IF(A58="","",IF(D58="GCIA LINEA SERVICIO DIGITALIDAD Y VENTAS","Chats",IF(OR(D58="GERENCIA INBOUND LÍNEAS SERVICIO Y VENTA",D58="GERENCIA INBOUND LINEAS ESPECIALIZADAS"),"Llamadas","Otro")))</f>
        <v/>
      </c>
      <c r="I58" s="26" t="str">
        <f aca="false">IF(A58="","",IF(C58="No encontrado","No","Sí"))</f>
        <v/>
      </c>
      <c r="J58" s="26" t="str">
        <f aca="false">IF(A58="","",IF(F58="Inactivo","No","Sí"))</f>
        <v/>
      </c>
      <c r="K58" s="26" t="str">
        <f aca="false">IF(A58="","",IF(AND(I58="Sí",J58="Sí"),"Sí","No"))</f>
        <v/>
      </c>
    </row>
    <row r="59" customFormat="false" ht="15" hidden="false" customHeight="false" outlineLevel="0" collapsed="false">
      <c r="A59" s="22"/>
      <c r="B59" s="22"/>
      <c r="C59" s="23" t="str">
        <f aca="false">IF(A59="","",IFERROR(buscarx(A59&amp;B59,DATA!$E$3:$E$10000&amp;DATA!$B$3:$B$10000,DATA!$M$3:$M$10000),"No encontrado"))</f>
        <v/>
      </c>
      <c r="D59" s="24" t="str">
        <f aca="false">IF(A59="","",IFERROR(buscarx(A59&amp;B59,DATA!$E$3:$E$10000&amp;DATA!$B$3:$B$10000,DATA!$W$3:$W$10000),"No encontrado"))</f>
        <v/>
      </c>
      <c r="E59" s="22"/>
      <c r="F59" s="23" t="str">
        <f aca="false">IF(A59="","",IFERROR(buscarx(A59&amp;E59,DATA!$E$3:$E$10000&amp;DATA!$B$3:$B$10000,DATA!$M$3:$M$10000),"Inactivo"))</f>
        <v/>
      </c>
      <c r="G59" s="25" t="str">
        <f aca="false">IF(A59="","",IF(AND(C59&lt;&gt;"No encontrado",F59&lt;&gt;"Inactivo"),C59&amp;" → "&amp;F59,"Sin transición"))</f>
        <v/>
      </c>
      <c r="H59" s="23" t="str">
        <f aca="false">IF(A59="","",IF(D59="GCIA LINEA SERVICIO DIGITALIDAD Y VENTAS","Chats",IF(OR(D59="GERENCIA INBOUND LÍNEAS SERVICIO Y VENTA",D59="GERENCIA INBOUND LINEAS ESPECIALIZADAS"),"Llamadas","Otro")))</f>
        <v/>
      </c>
      <c r="I59" s="23" t="str">
        <f aca="false">IF(A59="","",IF(C59="No encontrado","No","Sí"))</f>
        <v/>
      </c>
      <c r="J59" s="23" t="str">
        <f aca="false">IF(A59="","",IF(F59="Inactivo","No","Sí"))</f>
        <v/>
      </c>
      <c r="K59" s="23" t="str">
        <f aca="false">IF(A59="","",IF(AND(I59="Sí",J59="Sí"),"Sí","No"))</f>
        <v/>
      </c>
    </row>
    <row r="60" customFormat="false" ht="15" hidden="false" customHeight="false" outlineLevel="0" collapsed="false">
      <c r="A60" s="22"/>
      <c r="B60" s="22"/>
      <c r="C60" s="26" t="str">
        <f aca="false">IF(A60="","",IFERROR(buscarx(A60&amp;B60,DATA!$E$3:$E$10000&amp;DATA!$B$3:$B$10000,DATA!$M$3:$M$10000),"No encontrado"))</f>
        <v/>
      </c>
      <c r="D60" s="27" t="str">
        <f aca="false">IF(A60="","",IFERROR(buscarx(A60&amp;B60,DATA!$E$3:$E$10000&amp;DATA!$B$3:$B$10000,DATA!$W$3:$W$10000),"No encontrado"))</f>
        <v/>
      </c>
      <c r="E60" s="22"/>
      <c r="F60" s="26" t="str">
        <f aca="false">IF(A60="","",IFERROR(buscarx(A60&amp;E60,DATA!$E$3:$E$10000&amp;DATA!$B$3:$B$10000,DATA!$M$3:$M$10000),"Inactivo"))</f>
        <v/>
      </c>
      <c r="G60" s="28" t="str">
        <f aca="false">IF(A60="","",IF(AND(C60&lt;&gt;"No encontrado",F60&lt;&gt;"Inactivo"),C60&amp;" → "&amp;F60,"Sin transición"))</f>
        <v/>
      </c>
      <c r="H60" s="26" t="str">
        <f aca="false">IF(A60="","",IF(D60="GCIA LINEA SERVICIO DIGITALIDAD Y VENTAS","Chats",IF(OR(D60="GERENCIA INBOUND LÍNEAS SERVICIO Y VENTA",D60="GERENCIA INBOUND LINEAS ESPECIALIZADAS"),"Llamadas","Otro")))</f>
        <v/>
      </c>
      <c r="I60" s="26" t="str">
        <f aca="false">IF(A60="","",IF(C60="No encontrado","No","Sí"))</f>
        <v/>
      </c>
      <c r="J60" s="26" t="str">
        <f aca="false">IF(A60="","",IF(F60="Inactivo","No","Sí"))</f>
        <v/>
      </c>
      <c r="K60" s="26" t="str">
        <f aca="false">IF(A60="","",IF(AND(I60="Sí",J60="Sí"),"Sí","No"))</f>
        <v/>
      </c>
    </row>
    <row r="61" customFormat="false" ht="15" hidden="false" customHeight="false" outlineLevel="0" collapsed="false">
      <c r="A61" s="22"/>
      <c r="B61" s="22"/>
      <c r="C61" s="23" t="str">
        <f aca="false">IF(A61="","",IFERROR(buscarx(A61&amp;B61,DATA!$E$3:$E$10000&amp;DATA!$B$3:$B$10000,DATA!$M$3:$M$10000),"No encontrado"))</f>
        <v/>
      </c>
      <c r="D61" s="24" t="str">
        <f aca="false">IF(A61="","",IFERROR(buscarx(A61&amp;B61,DATA!$E$3:$E$10000&amp;DATA!$B$3:$B$10000,DATA!$W$3:$W$10000),"No encontrado"))</f>
        <v/>
      </c>
      <c r="E61" s="22"/>
      <c r="F61" s="23" t="str">
        <f aca="false">IF(A61="","",IFERROR(buscarx(A61&amp;E61,DATA!$E$3:$E$10000&amp;DATA!$B$3:$B$10000,DATA!$M$3:$M$10000),"Inactivo"))</f>
        <v/>
      </c>
      <c r="G61" s="25" t="str">
        <f aca="false">IF(A61="","",IF(AND(C61&lt;&gt;"No encontrado",F61&lt;&gt;"Inactivo"),C61&amp;" → "&amp;F61,"Sin transición"))</f>
        <v/>
      </c>
      <c r="H61" s="23" t="str">
        <f aca="false">IF(A61="","",IF(D61="GCIA LINEA SERVICIO DIGITALIDAD Y VENTAS","Chats",IF(OR(D61="GERENCIA INBOUND LÍNEAS SERVICIO Y VENTA",D61="GERENCIA INBOUND LINEAS ESPECIALIZADAS"),"Llamadas","Otro")))</f>
        <v/>
      </c>
      <c r="I61" s="23" t="str">
        <f aca="false">IF(A61="","",IF(C61="No encontrado","No","Sí"))</f>
        <v/>
      </c>
      <c r="J61" s="23" t="str">
        <f aca="false">IF(A61="","",IF(F61="Inactivo","No","Sí"))</f>
        <v/>
      </c>
      <c r="K61" s="23" t="str">
        <f aca="false">IF(A61="","",IF(AND(I61="Sí",J61="Sí"),"Sí","No"))</f>
        <v/>
      </c>
    </row>
    <row r="62" customFormat="false" ht="15" hidden="false" customHeight="false" outlineLevel="0" collapsed="false">
      <c r="A62" s="22"/>
      <c r="B62" s="22"/>
      <c r="C62" s="26" t="str">
        <f aca="false">IF(A62="","",IFERROR(buscarx(A62&amp;B62,DATA!$E$3:$E$10000&amp;DATA!$B$3:$B$10000,DATA!$M$3:$M$10000),"No encontrado"))</f>
        <v/>
      </c>
      <c r="D62" s="27" t="str">
        <f aca="false">IF(A62="","",IFERROR(buscarx(A62&amp;B62,DATA!$E$3:$E$10000&amp;DATA!$B$3:$B$10000,DATA!$W$3:$W$10000),"No encontrado"))</f>
        <v/>
      </c>
      <c r="E62" s="22"/>
      <c r="F62" s="26" t="str">
        <f aca="false">IF(A62="","",IFERROR(buscarx(A62&amp;E62,DATA!$E$3:$E$10000&amp;DATA!$B$3:$B$10000,DATA!$M$3:$M$10000),"Inactivo"))</f>
        <v/>
      </c>
      <c r="G62" s="28" t="str">
        <f aca="false">IF(A62="","",IF(AND(C62&lt;&gt;"No encontrado",F62&lt;&gt;"Inactivo"),C62&amp;" → "&amp;F62,"Sin transición"))</f>
        <v/>
      </c>
      <c r="H62" s="26" t="str">
        <f aca="false">IF(A62="","",IF(D62="GCIA LINEA SERVICIO DIGITALIDAD Y VENTAS","Chats",IF(OR(D62="GERENCIA INBOUND LÍNEAS SERVICIO Y VENTA",D62="GERENCIA INBOUND LINEAS ESPECIALIZADAS"),"Llamadas","Otro")))</f>
        <v/>
      </c>
      <c r="I62" s="26" t="str">
        <f aca="false">IF(A62="","",IF(C62="No encontrado","No","Sí"))</f>
        <v/>
      </c>
      <c r="J62" s="26" t="str">
        <f aca="false">IF(A62="","",IF(F62="Inactivo","No","Sí"))</f>
        <v/>
      </c>
      <c r="K62" s="26" t="str">
        <f aca="false">IF(A62="","",IF(AND(I62="Sí",J62="Sí"),"Sí","No"))</f>
        <v/>
      </c>
    </row>
    <row r="63" customFormat="false" ht="15" hidden="false" customHeight="false" outlineLevel="0" collapsed="false">
      <c r="A63" s="22"/>
      <c r="B63" s="22"/>
      <c r="C63" s="23" t="str">
        <f aca="false">IF(A63="","",IFERROR(buscarx(A63&amp;B63,DATA!$E$3:$E$10000&amp;DATA!$B$3:$B$10000,DATA!$M$3:$M$10000),"No encontrado"))</f>
        <v/>
      </c>
      <c r="D63" s="24" t="str">
        <f aca="false">IF(A63="","",IFERROR(buscarx(A63&amp;B63,DATA!$E$3:$E$10000&amp;DATA!$B$3:$B$10000,DATA!$W$3:$W$10000),"No encontrado"))</f>
        <v/>
      </c>
      <c r="E63" s="22"/>
      <c r="F63" s="23" t="str">
        <f aca="false">IF(A63="","",IFERROR(buscarx(A63&amp;E63,DATA!$E$3:$E$10000&amp;DATA!$B$3:$B$10000,DATA!$M$3:$M$10000),"Inactivo"))</f>
        <v/>
      </c>
      <c r="G63" s="25" t="str">
        <f aca="false">IF(A63="","",IF(AND(C63&lt;&gt;"No encontrado",F63&lt;&gt;"Inactivo"),C63&amp;" → "&amp;F63,"Sin transición"))</f>
        <v/>
      </c>
      <c r="H63" s="23" t="str">
        <f aca="false">IF(A63="","",IF(D63="GCIA LINEA SERVICIO DIGITALIDAD Y VENTAS","Chats",IF(OR(D63="GERENCIA INBOUND LÍNEAS SERVICIO Y VENTA",D63="GERENCIA INBOUND LINEAS ESPECIALIZADAS"),"Llamadas","Otro")))</f>
        <v/>
      </c>
      <c r="I63" s="23" t="str">
        <f aca="false">IF(A63="","",IF(C63="No encontrado","No","Sí"))</f>
        <v/>
      </c>
      <c r="J63" s="23" t="str">
        <f aca="false">IF(A63="","",IF(F63="Inactivo","No","Sí"))</f>
        <v/>
      </c>
      <c r="K63" s="23" t="str">
        <f aca="false">IF(A63="","",IF(AND(I63="Sí",J63="Sí"),"Sí","No"))</f>
        <v/>
      </c>
    </row>
    <row r="64" customFormat="false" ht="15" hidden="false" customHeight="false" outlineLevel="0" collapsed="false">
      <c r="A64" s="22"/>
      <c r="B64" s="22"/>
      <c r="C64" s="26" t="str">
        <f aca="false">IF(A64="","",IFERROR(buscarx(A64&amp;B64,DATA!$E$3:$E$10000&amp;DATA!$B$3:$B$10000,DATA!$M$3:$M$10000),"No encontrado"))</f>
        <v/>
      </c>
      <c r="D64" s="27" t="str">
        <f aca="false">IF(A64="","",IFERROR(buscarx(A64&amp;B64,DATA!$E$3:$E$10000&amp;DATA!$B$3:$B$10000,DATA!$W$3:$W$10000),"No encontrado"))</f>
        <v/>
      </c>
      <c r="E64" s="22"/>
      <c r="F64" s="26" t="str">
        <f aca="false">IF(A64="","",IFERROR(buscarx(A64&amp;E64,DATA!$E$3:$E$10000&amp;DATA!$B$3:$B$10000,DATA!$M$3:$M$10000),"Inactivo"))</f>
        <v/>
      </c>
      <c r="G64" s="28" t="str">
        <f aca="false">IF(A64="","",IF(AND(C64&lt;&gt;"No encontrado",F64&lt;&gt;"Inactivo"),C64&amp;" → "&amp;F64,"Sin transición"))</f>
        <v/>
      </c>
      <c r="H64" s="26" t="str">
        <f aca="false">IF(A64="","",IF(D64="GCIA LINEA SERVICIO DIGITALIDAD Y VENTAS","Chats",IF(OR(D64="GERENCIA INBOUND LÍNEAS SERVICIO Y VENTA",D64="GERENCIA INBOUND LINEAS ESPECIALIZADAS"),"Llamadas","Otro")))</f>
        <v/>
      </c>
      <c r="I64" s="26" t="str">
        <f aca="false">IF(A64="","",IF(C64="No encontrado","No","Sí"))</f>
        <v/>
      </c>
      <c r="J64" s="26" t="str">
        <f aca="false">IF(A64="","",IF(F64="Inactivo","No","Sí"))</f>
        <v/>
      </c>
      <c r="K64" s="26" t="str">
        <f aca="false">IF(A64="","",IF(AND(I64="Sí",J64="Sí"),"Sí","No"))</f>
        <v/>
      </c>
    </row>
    <row r="65" customFormat="false" ht="15" hidden="false" customHeight="false" outlineLevel="0" collapsed="false">
      <c r="A65" s="22"/>
      <c r="B65" s="22"/>
      <c r="C65" s="23" t="str">
        <f aca="false">IF(A65="","",IFERROR(buscarx(A65&amp;B65,DATA!$E$3:$E$10000&amp;DATA!$B$3:$B$10000,DATA!$M$3:$M$10000),"No encontrado"))</f>
        <v/>
      </c>
      <c r="D65" s="24" t="str">
        <f aca="false">IF(A65="","",IFERROR(buscarx(A65&amp;B65,DATA!$E$3:$E$10000&amp;DATA!$B$3:$B$10000,DATA!$W$3:$W$10000),"No encontrado"))</f>
        <v/>
      </c>
      <c r="E65" s="22"/>
      <c r="F65" s="23" t="str">
        <f aca="false">IF(A65="","",IFERROR(buscarx(A65&amp;E65,DATA!$E$3:$E$10000&amp;DATA!$B$3:$B$10000,DATA!$M$3:$M$10000),"Inactivo"))</f>
        <v/>
      </c>
      <c r="G65" s="25" t="str">
        <f aca="false">IF(A65="","",IF(AND(C65&lt;&gt;"No encontrado",F65&lt;&gt;"Inactivo"),C65&amp;" → "&amp;F65,"Sin transición"))</f>
        <v/>
      </c>
      <c r="H65" s="23" t="str">
        <f aca="false">IF(A65="","",IF(D65="GCIA LINEA SERVICIO DIGITALIDAD Y VENTAS","Chats",IF(OR(D65="GERENCIA INBOUND LÍNEAS SERVICIO Y VENTA",D65="GERENCIA INBOUND LINEAS ESPECIALIZADAS"),"Llamadas","Otro")))</f>
        <v/>
      </c>
      <c r="I65" s="23" t="str">
        <f aca="false">IF(A65="","",IF(C65="No encontrado","No","Sí"))</f>
        <v/>
      </c>
      <c r="J65" s="23" t="str">
        <f aca="false">IF(A65="","",IF(F65="Inactivo","No","Sí"))</f>
        <v/>
      </c>
      <c r="K65" s="23" t="str">
        <f aca="false">IF(A65="","",IF(AND(I65="Sí",J65="Sí"),"Sí","No"))</f>
        <v/>
      </c>
    </row>
    <row r="66" customFormat="false" ht="15" hidden="false" customHeight="false" outlineLevel="0" collapsed="false">
      <c r="A66" s="22"/>
      <c r="B66" s="22"/>
      <c r="C66" s="26" t="str">
        <f aca="false">IF(A66="","",IFERROR(buscarx(A66&amp;B66,DATA!$E$3:$E$10000&amp;DATA!$B$3:$B$10000,DATA!$M$3:$M$10000),"No encontrado"))</f>
        <v/>
      </c>
      <c r="D66" s="27" t="str">
        <f aca="false">IF(A66="","",IFERROR(buscarx(A66&amp;B66,DATA!$E$3:$E$10000&amp;DATA!$B$3:$B$10000,DATA!$W$3:$W$10000),"No encontrado"))</f>
        <v/>
      </c>
      <c r="E66" s="22"/>
      <c r="F66" s="26" t="str">
        <f aca="false">IF(A66="","",IFERROR(buscarx(A66&amp;E66,DATA!$E$3:$E$10000&amp;DATA!$B$3:$B$10000,DATA!$M$3:$M$10000),"Inactivo"))</f>
        <v/>
      </c>
      <c r="G66" s="28" t="str">
        <f aca="false">IF(A66="","",IF(AND(C66&lt;&gt;"No encontrado",F66&lt;&gt;"Inactivo"),C66&amp;" → "&amp;F66,"Sin transición"))</f>
        <v/>
      </c>
      <c r="H66" s="26" t="str">
        <f aca="false">IF(A66="","",IF(D66="GCIA LINEA SERVICIO DIGITALIDAD Y VENTAS","Chats",IF(OR(D66="GERENCIA INBOUND LÍNEAS SERVICIO Y VENTA",D66="GERENCIA INBOUND LINEAS ESPECIALIZADAS"),"Llamadas","Otro")))</f>
        <v/>
      </c>
      <c r="I66" s="26" t="str">
        <f aca="false">IF(A66="","",IF(C66="No encontrado","No","Sí"))</f>
        <v/>
      </c>
      <c r="J66" s="26" t="str">
        <f aca="false">IF(A66="","",IF(F66="Inactivo","No","Sí"))</f>
        <v/>
      </c>
      <c r="K66" s="26" t="str">
        <f aca="false">IF(A66="","",IF(AND(I66="Sí",J66="Sí"),"Sí","No"))</f>
        <v/>
      </c>
    </row>
    <row r="67" customFormat="false" ht="15" hidden="false" customHeight="false" outlineLevel="0" collapsed="false">
      <c r="A67" s="22"/>
      <c r="B67" s="22"/>
      <c r="C67" s="23" t="str">
        <f aca="false">IF(A67="","",IFERROR(buscarx(A67&amp;B67,DATA!$E$3:$E$10000&amp;DATA!$B$3:$B$10000,DATA!$M$3:$M$10000),"No encontrado"))</f>
        <v/>
      </c>
      <c r="D67" s="24" t="str">
        <f aca="false">IF(A67="","",IFERROR(buscarx(A67&amp;B67,DATA!$E$3:$E$10000&amp;DATA!$B$3:$B$10000,DATA!$W$3:$W$10000),"No encontrado"))</f>
        <v/>
      </c>
      <c r="E67" s="22"/>
      <c r="F67" s="23" t="str">
        <f aca="false">IF(A67="","",IFERROR(buscarx(A67&amp;E67,DATA!$E$3:$E$10000&amp;DATA!$B$3:$B$10000,DATA!$M$3:$M$10000),"Inactivo"))</f>
        <v/>
      </c>
      <c r="G67" s="25" t="str">
        <f aca="false">IF(A67="","",IF(AND(C67&lt;&gt;"No encontrado",F67&lt;&gt;"Inactivo"),C67&amp;" → "&amp;F67,"Sin transición"))</f>
        <v/>
      </c>
      <c r="H67" s="23" t="str">
        <f aca="false">IF(A67="","",IF(D67="GCIA LINEA SERVICIO DIGITALIDAD Y VENTAS","Chats",IF(OR(D67="GERENCIA INBOUND LÍNEAS SERVICIO Y VENTA",D67="GERENCIA INBOUND LINEAS ESPECIALIZADAS"),"Llamadas","Otro")))</f>
        <v/>
      </c>
      <c r="I67" s="23" t="str">
        <f aca="false">IF(A67="","",IF(C67="No encontrado","No","Sí"))</f>
        <v/>
      </c>
      <c r="J67" s="23" t="str">
        <f aca="false">IF(A67="","",IF(F67="Inactivo","No","Sí"))</f>
        <v/>
      </c>
      <c r="K67" s="23" t="str">
        <f aca="false">IF(A67="","",IF(AND(I67="Sí",J67="Sí"),"Sí","No"))</f>
        <v/>
      </c>
    </row>
    <row r="68" customFormat="false" ht="15" hidden="false" customHeight="false" outlineLevel="0" collapsed="false">
      <c r="A68" s="22"/>
      <c r="B68" s="22"/>
      <c r="C68" s="26" t="str">
        <f aca="false">IF(A68="","",IFERROR(buscarx(A68&amp;B68,DATA!$E$3:$E$10000&amp;DATA!$B$3:$B$10000,DATA!$M$3:$M$10000),"No encontrado"))</f>
        <v/>
      </c>
      <c r="D68" s="27" t="str">
        <f aca="false">IF(A68="","",IFERROR(buscarx(A68&amp;B68,DATA!$E$3:$E$10000&amp;DATA!$B$3:$B$10000,DATA!$W$3:$W$10000),"No encontrado"))</f>
        <v/>
      </c>
      <c r="E68" s="22"/>
      <c r="F68" s="26" t="str">
        <f aca="false">IF(A68="","",IFERROR(buscarx(A68&amp;E68,DATA!$E$3:$E$10000&amp;DATA!$B$3:$B$10000,DATA!$M$3:$M$10000),"Inactivo"))</f>
        <v/>
      </c>
      <c r="G68" s="28" t="str">
        <f aca="false">IF(A68="","",IF(AND(C68&lt;&gt;"No encontrado",F68&lt;&gt;"Inactivo"),C68&amp;" → "&amp;F68,"Sin transición"))</f>
        <v/>
      </c>
      <c r="H68" s="26" t="str">
        <f aca="false">IF(A68="","",IF(D68="GCIA LINEA SERVICIO DIGITALIDAD Y VENTAS","Chats",IF(OR(D68="GERENCIA INBOUND LÍNEAS SERVICIO Y VENTA",D68="GERENCIA INBOUND LINEAS ESPECIALIZADAS"),"Llamadas","Otro")))</f>
        <v/>
      </c>
      <c r="I68" s="26" t="str">
        <f aca="false">IF(A68="","",IF(C68="No encontrado","No","Sí"))</f>
        <v/>
      </c>
      <c r="J68" s="26" t="str">
        <f aca="false">IF(A68="","",IF(F68="Inactivo","No","Sí"))</f>
        <v/>
      </c>
      <c r="K68" s="26" t="str">
        <f aca="false">IF(A68="","",IF(AND(I68="Sí",J68="Sí"),"Sí","No"))</f>
        <v/>
      </c>
    </row>
    <row r="69" customFormat="false" ht="15" hidden="false" customHeight="false" outlineLevel="0" collapsed="false">
      <c r="A69" s="22"/>
      <c r="B69" s="22"/>
      <c r="C69" s="23" t="str">
        <f aca="false">IF(A69="","",IFERROR(buscarx(A69&amp;B69,DATA!$E$3:$E$10000&amp;DATA!$B$3:$B$10000,DATA!$M$3:$M$10000),"No encontrado"))</f>
        <v/>
      </c>
      <c r="D69" s="24" t="str">
        <f aca="false">IF(A69="","",IFERROR(buscarx(A69&amp;B69,DATA!$E$3:$E$10000&amp;DATA!$B$3:$B$10000,DATA!$W$3:$W$10000),"No encontrado"))</f>
        <v/>
      </c>
      <c r="E69" s="22"/>
      <c r="F69" s="23" t="str">
        <f aca="false">IF(A69="","",IFERROR(buscarx(A69&amp;E69,DATA!$E$3:$E$10000&amp;DATA!$B$3:$B$10000,DATA!$M$3:$M$10000),"Inactivo"))</f>
        <v/>
      </c>
      <c r="G69" s="25" t="str">
        <f aca="false">IF(A69="","",IF(AND(C69&lt;&gt;"No encontrado",F69&lt;&gt;"Inactivo"),C69&amp;" → "&amp;F69,"Sin transición"))</f>
        <v/>
      </c>
      <c r="H69" s="23" t="str">
        <f aca="false">IF(A69="","",IF(D69="GCIA LINEA SERVICIO DIGITALIDAD Y VENTAS","Chats",IF(OR(D69="GERENCIA INBOUND LÍNEAS SERVICIO Y VENTA",D69="GERENCIA INBOUND LINEAS ESPECIALIZADAS"),"Llamadas","Otro")))</f>
        <v/>
      </c>
      <c r="I69" s="23" t="str">
        <f aca="false">IF(A69="","",IF(C69="No encontrado","No","Sí"))</f>
        <v/>
      </c>
      <c r="J69" s="23" t="str">
        <f aca="false">IF(A69="","",IF(F69="Inactivo","No","Sí"))</f>
        <v/>
      </c>
      <c r="K69" s="23" t="str">
        <f aca="false">IF(A69="","",IF(AND(I69="Sí",J69="Sí"),"Sí","No"))</f>
        <v/>
      </c>
    </row>
    <row r="70" customFormat="false" ht="15" hidden="false" customHeight="false" outlineLevel="0" collapsed="false">
      <c r="A70" s="22"/>
      <c r="B70" s="22"/>
      <c r="C70" s="26" t="str">
        <f aca="false">IF(A70="","",IFERROR(buscarx(A70&amp;B70,DATA!$E$3:$E$10000&amp;DATA!$B$3:$B$10000,DATA!$M$3:$M$10000),"No encontrado"))</f>
        <v/>
      </c>
      <c r="D70" s="27" t="str">
        <f aca="false">IF(A70="","",IFERROR(buscarx(A70&amp;B70,DATA!$E$3:$E$10000&amp;DATA!$B$3:$B$10000,DATA!$W$3:$W$10000),"No encontrado"))</f>
        <v/>
      </c>
      <c r="E70" s="22"/>
      <c r="F70" s="26" t="str">
        <f aca="false">IF(A70="","",IFERROR(buscarx(A70&amp;E70,DATA!$E$3:$E$10000&amp;DATA!$B$3:$B$10000,DATA!$M$3:$M$10000),"Inactivo"))</f>
        <v/>
      </c>
      <c r="G70" s="28" t="str">
        <f aca="false">IF(A70="","",IF(AND(C70&lt;&gt;"No encontrado",F70&lt;&gt;"Inactivo"),C70&amp;" → "&amp;F70,"Sin transición"))</f>
        <v/>
      </c>
      <c r="H70" s="26" t="str">
        <f aca="false">IF(A70="","",IF(D70="GCIA LINEA SERVICIO DIGITALIDAD Y VENTAS","Chats",IF(OR(D70="GERENCIA INBOUND LÍNEAS SERVICIO Y VENTA",D70="GERENCIA INBOUND LINEAS ESPECIALIZADAS"),"Llamadas","Otro")))</f>
        <v/>
      </c>
      <c r="I70" s="26" t="str">
        <f aca="false">IF(A70="","",IF(C70="No encontrado","No","Sí"))</f>
        <v/>
      </c>
      <c r="J70" s="26" t="str">
        <f aca="false">IF(A70="","",IF(F70="Inactivo","No","Sí"))</f>
        <v/>
      </c>
      <c r="K70" s="26" t="str">
        <f aca="false">IF(A70="","",IF(AND(I70="Sí",J70="Sí"),"Sí","No"))</f>
        <v/>
      </c>
    </row>
    <row r="71" customFormat="false" ht="15" hidden="false" customHeight="false" outlineLevel="0" collapsed="false">
      <c r="A71" s="22"/>
      <c r="B71" s="22"/>
      <c r="C71" s="23" t="str">
        <f aca="false">IF(A71="","",IFERROR(buscarx(A71&amp;B71,DATA!$E$3:$E$10000&amp;DATA!$B$3:$B$10000,DATA!$M$3:$M$10000),"No encontrado"))</f>
        <v/>
      </c>
      <c r="D71" s="24" t="str">
        <f aca="false">IF(A71="","",IFERROR(buscarx(A71&amp;B71,DATA!$E$3:$E$10000&amp;DATA!$B$3:$B$10000,DATA!$W$3:$W$10000),"No encontrado"))</f>
        <v/>
      </c>
      <c r="E71" s="22"/>
      <c r="F71" s="23" t="str">
        <f aca="false">IF(A71="","",IFERROR(buscarx(A71&amp;E71,DATA!$E$3:$E$10000&amp;DATA!$B$3:$B$10000,DATA!$M$3:$M$10000),"Inactivo"))</f>
        <v/>
      </c>
      <c r="G71" s="25" t="str">
        <f aca="false">IF(A71="","",IF(AND(C71&lt;&gt;"No encontrado",F71&lt;&gt;"Inactivo"),C71&amp;" → "&amp;F71,"Sin transición"))</f>
        <v/>
      </c>
      <c r="H71" s="23" t="str">
        <f aca="false">IF(A71="","",IF(D71="GCIA LINEA SERVICIO DIGITALIDAD Y VENTAS","Chats",IF(OR(D71="GERENCIA INBOUND LÍNEAS SERVICIO Y VENTA",D71="GERENCIA INBOUND LINEAS ESPECIALIZADAS"),"Llamadas","Otro")))</f>
        <v/>
      </c>
      <c r="I71" s="23" t="str">
        <f aca="false">IF(A71="","",IF(C71="No encontrado","No","Sí"))</f>
        <v/>
      </c>
      <c r="J71" s="23" t="str">
        <f aca="false">IF(A71="","",IF(F71="Inactivo","No","Sí"))</f>
        <v/>
      </c>
      <c r="K71" s="23" t="str">
        <f aca="false">IF(A71="","",IF(AND(I71="Sí",J71="Sí"),"Sí","No"))</f>
        <v/>
      </c>
    </row>
    <row r="72" customFormat="false" ht="15" hidden="false" customHeight="false" outlineLevel="0" collapsed="false">
      <c r="A72" s="22"/>
      <c r="B72" s="22"/>
      <c r="C72" s="26" t="str">
        <f aca="false">IF(A72="","",IFERROR(buscarx(A72&amp;B72,DATA!$E$3:$E$10000&amp;DATA!$B$3:$B$10000,DATA!$M$3:$M$10000),"No encontrado"))</f>
        <v/>
      </c>
      <c r="D72" s="27" t="str">
        <f aca="false">IF(A72="","",IFERROR(buscarx(A72&amp;B72,DATA!$E$3:$E$10000&amp;DATA!$B$3:$B$10000,DATA!$W$3:$W$10000),"No encontrado"))</f>
        <v/>
      </c>
      <c r="E72" s="22"/>
      <c r="F72" s="26" t="str">
        <f aca="false">IF(A72="","",IFERROR(buscarx(A72&amp;E72,DATA!$E$3:$E$10000&amp;DATA!$B$3:$B$10000,DATA!$M$3:$M$10000),"Inactivo"))</f>
        <v/>
      </c>
      <c r="G72" s="28" t="str">
        <f aca="false">IF(A72="","",IF(AND(C72&lt;&gt;"No encontrado",F72&lt;&gt;"Inactivo"),C72&amp;" → "&amp;F72,"Sin transición"))</f>
        <v/>
      </c>
      <c r="H72" s="26" t="str">
        <f aca="false">IF(A72="","",IF(D72="GCIA LINEA SERVICIO DIGITALIDAD Y VENTAS","Chats",IF(OR(D72="GERENCIA INBOUND LÍNEAS SERVICIO Y VENTA",D72="GERENCIA INBOUND LINEAS ESPECIALIZADAS"),"Llamadas","Otro")))</f>
        <v/>
      </c>
      <c r="I72" s="26" t="str">
        <f aca="false">IF(A72="","",IF(C72="No encontrado","No","Sí"))</f>
        <v/>
      </c>
      <c r="J72" s="26" t="str">
        <f aca="false">IF(A72="","",IF(F72="Inactivo","No","Sí"))</f>
        <v/>
      </c>
      <c r="K72" s="26" t="str">
        <f aca="false">IF(A72="","",IF(AND(I72="Sí",J72="Sí"),"Sí","No"))</f>
        <v/>
      </c>
    </row>
    <row r="73" customFormat="false" ht="15" hidden="false" customHeight="false" outlineLevel="0" collapsed="false">
      <c r="A73" s="22"/>
      <c r="B73" s="22"/>
      <c r="C73" s="23" t="str">
        <f aca="false">IF(A73="","",IFERROR(buscarx(A73&amp;B73,DATA!$E$3:$E$10000&amp;DATA!$B$3:$B$10000,DATA!$M$3:$M$10000),"No encontrado"))</f>
        <v/>
      </c>
      <c r="D73" s="24" t="str">
        <f aca="false">IF(A73="","",IFERROR(buscarx(A73&amp;B73,DATA!$E$3:$E$10000&amp;DATA!$B$3:$B$10000,DATA!$W$3:$W$10000),"No encontrado"))</f>
        <v/>
      </c>
      <c r="E73" s="22"/>
      <c r="F73" s="23" t="str">
        <f aca="false">IF(A73="","",IFERROR(buscarx(A73&amp;E73,DATA!$E$3:$E$10000&amp;DATA!$B$3:$B$10000,DATA!$M$3:$M$10000),"Inactivo"))</f>
        <v/>
      </c>
      <c r="G73" s="25" t="str">
        <f aca="false">IF(A73="","",IF(AND(C73&lt;&gt;"No encontrado",F73&lt;&gt;"Inactivo"),C73&amp;" → "&amp;F73,"Sin transición"))</f>
        <v/>
      </c>
      <c r="H73" s="23" t="str">
        <f aca="false">IF(A73="","",IF(D73="GCIA LINEA SERVICIO DIGITALIDAD Y VENTAS","Chats",IF(OR(D73="GERENCIA INBOUND LÍNEAS SERVICIO Y VENTA",D73="GERENCIA INBOUND LINEAS ESPECIALIZADAS"),"Llamadas","Otro")))</f>
        <v/>
      </c>
      <c r="I73" s="23" t="str">
        <f aca="false">IF(A73="","",IF(C73="No encontrado","No","Sí"))</f>
        <v/>
      </c>
      <c r="J73" s="23" t="str">
        <f aca="false">IF(A73="","",IF(F73="Inactivo","No","Sí"))</f>
        <v/>
      </c>
      <c r="K73" s="23" t="str">
        <f aca="false">IF(A73="","",IF(AND(I73="Sí",J73="Sí"),"Sí","No"))</f>
        <v/>
      </c>
    </row>
    <row r="74" customFormat="false" ht="15" hidden="false" customHeight="false" outlineLevel="0" collapsed="false">
      <c r="A74" s="22"/>
      <c r="B74" s="22"/>
      <c r="C74" s="26" t="str">
        <f aca="false">IF(A74="","",IFERROR(buscarx(A74&amp;B74,DATA!$E$3:$E$10000&amp;DATA!$B$3:$B$10000,DATA!$M$3:$M$10000),"No encontrado"))</f>
        <v/>
      </c>
      <c r="D74" s="27" t="str">
        <f aca="false">IF(A74="","",IFERROR(buscarx(A74&amp;B74,DATA!$E$3:$E$10000&amp;DATA!$B$3:$B$10000,DATA!$W$3:$W$10000),"No encontrado"))</f>
        <v/>
      </c>
      <c r="E74" s="22"/>
      <c r="F74" s="26" t="str">
        <f aca="false">IF(A74="","",IFERROR(buscarx(A74&amp;E74,DATA!$E$3:$E$10000&amp;DATA!$B$3:$B$10000,DATA!$M$3:$M$10000),"Inactivo"))</f>
        <v/>
      </c>
      <c r="G74" s="28" t="str">
        <f aca="false">IF(A74="","",IF(AND(C74&lt;&gt;"No encontrado",F74&lt;&gt;"Inactivo"),C74&amp;" → "&amp;F74,"Sin transición"))</f>
        <v/>
      </c>
      <c r="H74" s="26" t="str">
        <f aca="false">IF(A74="","",IF(D74="GCIA LINEA SERVICIO DIGITALIDAD Y VENTAS","Chats",IF(OR(D74="GERENCIA INBOUND LÍNEAS SERVICIO Y VENTA",D74="GERENCIA INBOUND LINEAS ESPECIALIZADAS"),"Llamadas","Otro")))</f>
        <v/>
      </c>
      <c r="I74" s="26" t="str">
        <f aca="false">IF(A74="","",IF(C74="No encontrado","No","Sí"))</f>
        <v/>
      </c>
      <c r="J74" s="26" t="str">
        <f aca="false">IF(A74="","",IF(F74="Inactivo","No","Sí"))</f>
        <v/>
      </c>
      <c r="K74" s="26" t="str">
        <f aca="false">IF(A74="","",IF(AND(I74="Sí",J74="Sí"),"Sí","No"))</f>
        <v/>
      </c>
    </row>
    <row r="75" customFormat="false" ht="15" hidden="false" customHeight="false" outlineLevel="0" collapsed="false">
      <c r="A75" s="22"/>
      <c r="B75" s="22"/>
      <c r="C75" s="23" t="str">
        <f aca="false">IF(A75="","",IFERROR(buscarx(A75&amp;B75,DATA!$E$3:$E$10000&amp;DATA!$B$3:$B$10000,DATA!$M$3:$M$10000),"No encontrado"))</f>
        <v/>
      </c>
      <c r="D75" s="24" t="str">
        <f aca="false">IF(A75="","",IFERROR(buscarx(A75&amp;B75,DATA!$E$3:$E$10000&amp;DATA!$B$3:$B$10000,DATA!$W$3:$W$10000),"No encontrado"))</f>
        <v/>
      </c>
      <c r="E75" s="22"/>
      <c r="F75" s="23" t="str">
        <f aca="false">IF(A75="","",IFERROR(buscarx(A75&amp;E75,DATA!$E$3:$E$10000&amp;DATA!$B$3:$B$10000,DATA!$M$3:$M$10000),"Inactivo"))</f>
        <v/>
      </c>
      <c r="G75" s="25" t="str">
        <f aca="false">IF(A75="","",IF(AND(C75&lt;&gt;"No encontrado",F75&lt;&gt;"Inactivo"),C75&amp;" → "&amp;F75,"Sin transición"))</f>
        <v/>
      </c>
      <c r="H75" s="23" t="str">
        <f aca="false">IF(A75="","",IF(D75="GCIA LINEA SERVICIO DIGITALIDAD Y VENTAS","Chats",IF(OR(D75="GERENCIA INBOUND LÍNEAS SERVICIO Y VENTA",D75="GERENCIA INBOUND LINEAS ESPECIALIZADAS"),"Llamadas","Otro")))</f>
        <v/>
      </c>
      <c r="I75" s="23" t="str">
        <f aca="false">IF(A75="","",IF(C75="No encontrado","No","Sí"))</f>
        <v/>
      </c>
      <c r="J75" s="23" t="str">
        <f aca="false">IF(A75="","",IF(F75="Inactivo","No","Sí"))</f>
        <v/>
      </c>
      <c r="K75" s="23" t="str">
        <f aca="false">IF(A75="","",IF(AND(I75="Sí",J75="Sí"),"Sí","No"))</f>
        <v/>
      </c>
    </row>
    <row r="76" customFormat="false" ht="15" hidden="false" customHeight="false" outlineLevel="0" collapsed="false">
      <c r="A76" s="22"/>
      <c r="B76" s="22"/>
      <c r="C76" s="26" t="str">
        <f aca="false">IF(A76="","",IFERROR(buscarx(A76&amp;B76,DATA!$E$3:$E$10000&amp;DATA!$B$3:$B$10000,DATA!$M$3:$M$10000),"No encontrado"))</f>
        <v/>
      </c>
      <c r="D76" s="27" t="str">
        <f aca="false">IF(A76="","",IFERROR(buscarx(A76&amp;B76,DATA!$E$3:$E$10000&amp;DATA!$B$3:$B$10000,DATA!$W$3:$W$10000),"No encontrado"))</f>
        <v/>
      </c>
      <c r="E76" s="22"/>
      <c r="F76" s="26" t="str">
        <f aca="false">IF(A76="","",IFERROR(buscarx(A76&amp;E76,DATA!$E$3:$E$10000&amp;DATA!$B$3:$B$10000,DATA!$M$3:$M$10000),"Inactivo"))</f>
        <v/>
      </c>
      <c r="G76" s="28" t="str">
        <f aca="false">IF(A76="","",IF(AND(C76&lt;&gt;"No encontrado",F76&lt;&gt;"Inactivo"),C76&amp;" → "&amp;F76,"Sin transición"))</f>
        <v/>
      </c>
      <c r="H76" s="26" t="str">
        <f aca="false">IF(A76="","",IF(D76="GCIA LINEA SERVICIO DIGITALIDAD Y VENTAS","Chats",IF(OR(D76="GERENCIA INBOUND LÍNEAS SERVICIO Y VENTA",D76="GERENCIA INBOUND LINEAS ESPECIALIZADAS"),"Llamadas","Otro")))</f>
        <v/>
      </c>
      <c r="I76" s="26" t="str">
        <f aca="false">IF(A76="","",IF(C76="No encontrado","No","Sí"))</f>
        <v/>
      </c>
      <c r="J76" s="26" t="str">
        <f aca="false">IF(A76="","",IF(F76="Inactivo","No","Sí"))</f>
        <v/>
      </c>
      <c r="K76" s="26" t="str">
        <f aca="false">IF(A76="","",IF(AND(I76="Sí",J76="Sí"),"Sí","No"))</f>
        <v/>
      </c>
    </row>
    <row r="77" customFormat="false" ht="15" hidden="false" customHeight="false" outlineLevel="0" collapsed="false">
      <c r="A77" s="22"/>
      <c r="B77" s="22"/>
      <c r="C77" s="23" t="str">
        <f aca="false">IF(A77="","",IFERROR(buscarx(A77&amp;B77,DATA!$E$3:$E$10000&amp;DATA!$B$3:$B$10000,DATA!$M$3:$M$10000),"No encontrado"))</f>
        <v/>
      </c>
      <c r="D77" s="24" t="str">
        <f aca="false">IF(A77="","",IFERROR(buscarx(A77&amp;B77,DATA!$E$3:$E$10000&amp;DATA!$B$3:$B$10000,DATA!$W$3:$W$10000),"No encontrado"))</f>
        <v/>
      </c>
      <c r="E77" s="22"/>
      <c r="F77" s="23" t="str">
        <f aca="false">IF(A77="","",IFERROR(buscarx(A77&amp;E77,DATA!$E$3:$E$10000&amp;DATA!$B$3:$B$10000,DATA!$M$3:$M$10000),"Inactivo"))</f>
        <v/>
      </c>
      <c r="G77" s="25" t="str">
        <f aca="false">IF(A77="","",IF(AND(C77&lt;&gt;"No encontrado",F77&lt;&gt;"Inactivo"),C77&amp;" → "&amp;F77,"Sin transición"))</f>
        <v/>
      </c>
      <c r="H77" s="23" t="str">
        <f aca="false">IF(A77="","",IF(D77="GCIA LINEA SERVICIO DIGITALIDAD Y VENTAS","Chats",IF(OR(D77="GERENCIA INBOUND LÍNEAS SERVICIO Y VENTA",D77="GERENCIA INBOUND LINEAS ESPECIALIZADAS"),"Llamadas","Otro")))</f>
        <v/>
      </c>
      <c r="I77" s="23" t="str">
        <f aca="false">IF(A77="","",IF(C77="No encontrado","No","Sí"))</f>
        <v/>
      </c>
      <c r="J77" s="23" t="str">
        <f aca="false">IF(A77="","",IF(F77="Inactivo","No","Sí"))</f>
        <v/>
      </c>
      <c r="K77" s="23" t="str">
        <f aca="false">IF(A77="","",IF(AND(I77="Sí",J77="Sí"),"Sí","No"))</f>
        <v/>
      </c>
    </row>
    <row r="78" customFormat="false" ht="15" hidden="false" customHeight="false" outlineLevel="0" collapsed="false">
      <c r="A78" s="22"/>
      <c r="B78" s="22"/>
      <c r="C78" s="26" t="str">
        <f aca="false">IF(A78="","",IFERROR(buscarx(A78&amp;B78,DATA!$E$3:$E$10000&amp;DATA!$B$3:$B$10000,DATA!$M$3:$M$10000),"No encontrado"))</f>
        <v/>
      </c>
      <c r="D78" s="27" t="str">
        <f aca="false">IF(A78="","",IFERROR(buscarx(A78&amp;B78,DATA!$E$3:$E$10000&amp;DATA!$B$3:$B$10000,DATA!$W$3:$W$10000),"No encontrado"))</f>
        <v/>
      </c>
      <c r="E78" s="22"/>
      <c r="F78" s="26" t="str">
        <f aca="false">IF(A78="","",IFERROR(buscarx(A78&amp;E78,DATA!$E$3:$E$10000&amp;DATA!$B$3:$B$10000,DATA!$M$3:$M$10000),"Inactivo"))</f>
        <v/>
      </c>
      <c r="G78" s="28" t="str">
        <f aca="false">IF(A78="","",IF(AND(C78&lt;&gt;"No encontrado",F78&lt;&gt;"Inactivo"),C78&amp;" → "&amp;F78,"Sin transición"))</f>
        <v/>
      </c>
      <c r="H78" s="26" t="str">
        <f aca="false">IF(A78="","",IF(D78="GCIA LINEA SERVICIO DIGITALIDAD Y VENTAS","Chats",IF(OR(D78="GERENCIA INBOUND LÍNEAS SERVICIO Y VENTA",D78="GERENCIA INBOUND LINEAS ESPECIALIZADAS"),"Llamadas","Otro")))</f>
        <v/>
      </c>
      <c r="I78" s="26" t="str">
        <f aca="false">IF(A78="","",IF(C78="No encontrado","No","Sí"))</f>
        <v/>
      </c>
      <c r="J78" s="26" t="str">
        <f aca="false">IF(A78="","",IF(F78="Inactivo","No","Sí"))</f>
        <v/>
      </c>
      <c r="K78" s="26" t="str">
        <f aca="false">IF(A78="","",IF(AND(I78="Sí",J78="Sí"),"Sí","No"))</f>
        <v/>
      </c>
    </row>
    <row r="79" customFormat="false" ht="15" hidden="false" customHeight="false" outlineLevel="0" collapsed="false">
      <c r="A79" s="22"/>
      <c r="B79" s="22"/>
      <c r="C79" s="23" t="str">
        <f aca="false">IF(A79="","",IFERROR(buscarx(A79&amp;B79,DATA!$E$3:$E$10000&amp;DATA!$B$3:$B$10000,DATA!$M$3:$M$10000),"No encontrado"))</f>
        <v/>
      </c>
      <c r="D79" s="24" t="str">
        <f aca="false">IF(A79="","",IFERROR(buscarx(A79&amp;B79,DATA!$E$3:$E$10000&amp;DATA!$B$3:$B$10000,DATA!$W$3:$W$10000),"No encontrado"))</f>
        <v/>
      </c>
      <c r="E79" s="22"/>
      <c r="F79" s="23" t="str">
        <f aca="false">IF(A79="","",IFERROR(buscarx(A79&amp;E79,DATA!$E$3:$E$10000&amp;DATA!$B$3:$B$10000,DATA!$M$3:$M$10000),"Inactivo"))</f>
        <v/>
      </c>
      <c r="G79" s="25" t="str">
        <f aca="false">IF(A79="","",IF(AND(C79&lt;&gt;"No encontrado",F79&lt;&gt;"Inactivo"),C79&amp;" → "&amp;F79,"Sin transición"))</f>
        <v/>
      </c>
      <c r="H79" s="23" t="str">
        <f aca="false">IF(A79="","",IF(D79="GCIA LINEA SERVICIO DIGITALIDAD Y VENTAS","Chats",IF(OR(D79="GERENCIA INBOUND LÍNEAS SERVICIO Y VENTA",D79="GERENCIA INBOUND LINEAS ESPECIALIZADAS"),"Llamadas","Otro")))</f>
        <v/>
      </c>
      <c r="I79" s="23" t="str">
        <f aca="false">IF(A79="","",IF(C79="No encontrado","No","Sí"))</f>
        <v/>
      </c>
      <c r="J79" s="23" t="str">
        <f aca="false">IF(A79="","",IF(F79="Inactivo","No","Sí"))</f>
        <v/>
      </c>
      <c r="K79" s="23" t="str">
        <f aca="false">IF(A79="","",IF(AND(I79="Sí",J79="Sí"),"Sí","No"))</f>
        <v/>
      </c>
    </row>
    <row r="80" customFormat="false" ht="15" hidden="false" customHeight="false" outlineLevel="0" collapsed="false">
      <c r="A80" s="22"/>
      <c r="B80" s="22"/>
      <c r="C80" s="26" t="str">
        <f aca="false">IF(A80="","",IFERROR(buscarx(A80&amp;B80,DATA!$E$3:$E$10000&amp;DATA!$B$3:$B$10000,DATA!$M$3:$M$10000),"No encontrado"))</f>
        <v/>
      </c>
      <c r="D80" s="27" t="str">
        <f aca="false">IF(A80="","",IFERROR(buscarx(A80&amp;B80,DATA!$E$3:$E$10000&amp;DATA!$B$3:$B$10000,DATA!$W$3:$W$10000),"No encontrado"))</f>
        <v/>
      </c>
      <c r="E80" s="22"/>
      <c r="F80" s="26" t="str">
        <f aca="false">IF(A80="","",IFERROR(buscarx(A80&amp;E80,DATA!$E$3:$E$10000&amp;DATA!$B$3:$B$10000,DATA!$M$3:$M$10000),"Inactivo"))</f>
        <v/>
      </c>
      <c r="G80" s="28" t="str">
        <f aca="false">IF(A80="","",IF(AND(C80&lt;&gt;"No encontrado",F80&lt;&gt;"Inactivo"),C80&amp;" → "&amp;F80,"Sin transición"))</f>
        <v/>
      </c>
      <c r="H80" s="26" t="str">
        <f aca="false">IF(A80="","",IF(D80="GCIA LINEA SERVICIO DIGITALIDAD Y VENTAS","Chats",IF(OR(D80="GERENCIA INBOUND LÍNEAS SERVICIO Y VENTA",D80="GERENCIA INBOUND LINEAS ESPECIALIZADAS"),"Llamadas","Otro")))</f>
        <v/>
      </c>
      <c r="I80" s="26" t="str">
        <f aca="false">IF(A80="","",IF(C80="No encontrado","No","Sí"))</f>
        <v/>
      </c>
      <c r="J80" s="26" t="str">
        <f aca="false">IF(A80="","",IF(F80="Inactivo","No","Sí"))</f>
        <v/>
      </c>
      <c r="K80" s="26" t="str">
        <f aca="false">IF(A80="","",IF(AND(I80="Sí",J80="Sí"),"Sí","No"))</f>
        <v/>
      </c>
    </row>
    <row r="81" customFormat="false" ht="15" hidden="false" customHeight="false" outlineLevel="0" collapsed="false">
      <c r="A81" s="22"/>
      <c r="B81" s="22"/>
      <c r="C81" s="23" t="str">
        <f aca="false">IF(A81="","",IFERROR(buscarx(A81&amp;B81,DATA!$E$3:$E$10000&amp;DATA!$B$3:$B$10000,DATA!$M$3:$M$10000),"No encontrado"))</f>
        <v/>
      </c>
      <c r="D81" s="24" t="str">
        <f aca="false">IF(A81="","",IFERROR(buscarx(A81&amp;B81,DATA!$E$3:$E$10000&amp;DATA!$B$3:$B$10000,DATA!$W$3:$W$10000),"No encontrado"))</f>
        <v/>
      </c>
      <c r="E81" s="22"/>
      <c r="F81" s="23" t="str">
        <f aca="false">IF(A81="","",IFERROR(buscarx(A81&amp;E81,DATA!$E$3:$E$10000&amp;DATA!$B$3:$B$10000,DATA!$M$3:$M$10000),"Inactivo"))</f>
        <v/>
      </c>
      <c r="G81" s="25" t="str">
        <f aca="false">IF(A81="","",IF(AND(C81&lt;&gt;"No encontrado",F81&lt;&gt;"Inactivo"),C81&amp;" → "&amp;F81,"Sin transición"))</f>
        <v/>
      </c>
      <c r="H81" s="23" t="str">
        <f aca="false">IF(A81="","",IF(D81="GCIA LINEA SERVICIO DIGITALIDAD Y VENTAS","Chats",IF(OR(D81="GERENCIA INBOUND LÍNEAS SERVICIO Y VENTA",D81="GERENCIA INBOUND LINEAS ESPECIALIZADAS"),"Llamadas","Otro")))</f>
        <v/>
      </c>
      <c r="I81" s="23" t="str">
        <f aca="false">IF(A81="","",IF(C81="No encontrado","No","Sí"))</f>
        <v/>
      </c>
      <c r="J81" s="23" t="str">
        <f aca="false">IF(A81="","",IF(F81="Inactivo","No","Sí"))</f>
        <v/>
      </c>
      <c r="K81" s="23" t="str">
        <f aca="false">IF(A81="","",IF(AND(I81="Sí",J81="Sí"),"Sí","No"))</f>
        <v/>
      </c>
    </row>
    <row r="82" customFormat="false" ht="15" hidden="false" customHeight="false" outlineLevel="0" collapsed="false">
      <c r="A82" s="22"/>
      <c r="B82" s="22"/>
      <c r="C82" s="26" t="str">
        <f aca="false">IF(A82="","",IFERROR(buscarx(A82&amp;B82,DATA!$E$3:$E$10000&amp;DATA!$B$3:$B$10000,DATA!$M$3:$M$10000),"No encontrado"))</f>
        <v/>
      </c>
      <c r="D82" s="27" t="str">
        <f aca="false">IF(A82="","",IFERROR(buscarx(A82&amp;B82,DATA!$E$3:$E$10000&amp;DATA!$B$3:$B$10000,DATA!$W$3:$W$10000),"No encontrado"))</f>
        <v/>
      </c>
      <c r="E82" s="22"/>
      <c r="F82" s="26" t="str">
        <f aca="false">IF(A82="","",IFERROR(buscarx(A82&amp;E82,DATA!$E$3:$E$10000&amp;DATA!$B$3:$B$10000,DATA!$M$3:$M$10000),"Inactivo"))</f>
        <v/>
      </c>
      <c r="G82" s="28" t="str">
        <f aca="false">IF(A82="","",IF(AND(C82&lt;&gt;"No encontrado",F82&lt;&gt;"Inactivo"),C82&amp;" → "&amp;F82,"Sin transición"))</f>
        <v/>
      </c>
      <c r="H82" s="26" t="str">
        <f aca="false">IF(A82="","",IF(D82="GCIA LINEA SERVICIO DIGITALIDAD Y VENTAS","Chats",IF(OR(D82="GERENCIA INBOUND LÍNEAS SERVICIO Y VENTA",D82="GERENCIA INBOUND LINEAS ESPECIALIZADAS"),"Llamadas","Otro")))</f>
        <v/>
      </c>
      <c r="I82" s="26" t="str">
        <f aca="false">IF(A82="","",IF(C82="No encontrado","No","Sí"))</f>
        <v/>
      </c>
      <c r="J82" s="26" t="str">
        <f aca="false">IF(A82="","",IF(F82="Inactivo","No","Sí"))</f>
        <v/>
      </c>
      <c r="K82" s="26" t="str">
        <f aca="false">IF(A82="","",IF(AND(I82="Sí",J82="Sí"),"Sí","No"))</f>
        <v/>
      </c>
    </row>
    <row r="83" customFormat="false" ht="15" hidden="false" customHeight="false" outlineLevel="0" collapsed="false">
      <c r="A83" s="22"/>
      <c r="B83" s="22"/>
      <c r="C83" s="23" t="str">
        <f aca="false">IF(A83="","",IFERROR(buscarx(A83&amp;B83,DATA!$E$3:$E$10000&amp;DATA!$B$3:$B$10000,DATA!$M$3:$M$10000),"No encontrado"))</f>
        <v/>
      </c>
      <c r="D83" s="24" t="str">
        <f aca="false">IF(A83="","",IFERROR(buscarx(A83&amp;B83,DATA!$E$3:$E$10000&amp;DATA!$B$3:$B$10000,DATA!$W$3:$W$10000),"No encontrado"))</f>
        <v/>
      </c>
      <c r="E83" s="22"/>
      <c r="F83" s="23" t="str">
        <f aca="false">IF(A83="","",IFERROR(buscarx(A83&amp;E83,DATA!$E$3:$E$10000&amp;DATA!$B$3:$B$10000,DATA!$M$3:$M$10000),"Inactivo"))</f>
        <v/>
      </c>
      <c r="G83" s="25" t="str">
        <f aca="false">IF(A83="","",IF(AND(C83&lt;&gt;"No encontrado",F83&lt;&gt;"Inactivo"),C83&amp;" → "&amp;F83,"Sin transición"))</f>
        <v/>
      </c>
      <c r="H83" s="23" t="str">
        <f aca="false">IF(A83="","",IF(D83="GCIA LINEA SERVICIO DIGITALIDAD Y VENTAS","Chats",IF(OR(D83="GERENCIA INBOUND LÍNEAS SERVICIO Y VENTA",D83="GERENCIA INBOUND LINEAS ESPECIALIZADAS"),"Llamadas","Otro")))</f>
        <v/>
      </c>
      <c r="I83" s="23" t="str">
        <f aca="false">IF(A83="","",IF(C83="No encontrado","No","Sí"))</f>
        <v/>
      </c>
      <c r="J83" s="23" t="str">
        <f aca="false">IF(A83="","",IF(F83="Inactivo","No","Sí"))</f>
        <v/>
      </c>
      <c r="K83" s="23" t="str">
        <f aca="false">IF(A83="","",IF(AND(I83="Sí",J83="Sí"),"Sí","No"))</f>
        <v/>
      </c>
    </row>
    <row r="84" customFormat="false" ht="15" hidden="false" customHeight="false" outlineLevel="0" collapsed="false">
      <c r="A84" s="22"/>
      <c r="B84" s="22"/>
      <c r="C84" s="26" t="str">
        <f aca="false">IF(A84="","",IFERROR(buscarx(A84&amp;B84,DATA!$E$3:$E$10000&amp;DATA!$B$3:$B$10000,DATA!$M$3:$M$10000),"No encontrado"))</f>
        <v/>
      </c>
      <c r="D84" s="27" t="str">
        <f aca="false">IF(A84="","",IFERROR(buscarx(A84&amp;B84,DATA!$E$3:$E$10000&amp;DATA!$B$3:$B$10000,DATA!$W$3:$W$10000),"No encontrado"))</f>
        <v/>
      </c>
      <c r="E84" s="22"/>
      <c r="F84" s="26" t="str">
        <f aca="false">IF(A84="","",IFERROR(buscarx(A84&amp;E84,DATA!$E$3:$E$10000&amp;DATA!$B$3:$B$10000,DATA!$M$3:$M$10000),"Inactivo"))</f>
        <v/>
      </c>
      <c r="G84" s="28" t="str">
        <f aca="false">IF(A84="","",IF(AND(C84&lt;&gt;"No encontrado",F84&lt;&gt;"Inactivo"),C84&amp;" → "&amp;F84,"Sin transición"))</f>
        <v/>
      </c>
      <c r="H84" s="26" t="str">
        <f aca="false">IF(A84="","",IF(D84="GCIA LINEA SERVICIO DIGITALIDAD Y VENTAS","Chats",IF(OR(D84="GERENCIA INBOUND LÍNEAS SERVICIO Y VENTA",D84="GERENCIA INBOUND LINEAS ESPECIALIZADAS"),"Llamadas","Otro")))</f>
        <v/>
      </c>
      <c r="I84" s="26" t="str">
        <f aca="false">IF(A84="","",IF(C84="No encontrado","No","Sí"))</f>
        <v/>
      </c>
      <c r="J84" s="26" t="str">
        <f aca="false">IF(A84="","",IF(F84="Inactivo","No","Sí"))</f>
        <v/>
      </c>
      <c r="K84" s="26" t="str">
        <f aca="false">IF(A84="","",IF(AND(I84="Sí",J84="Sí"),"Sí","No"))</f>
        <v/>
      </c>
    </row>
    <row r="85" customFormat="false" ht="15" hidden="false" customHeight="false" outlineLevel="0" collapsed="false">
      <c r="A85" s="22"/>
      <c r="B85" s="22"/>
      <c r="C85" s="23" t="str">
        <f aca="false">IF(A85="","",IFERROR(buscarx(A85&amp;B85,DATA!$E$3:$E$10000&amp;DATA!$B$3:$B$10000,DATA!$M$3:$M$10000),"No encontrado"))</f>
        <v/>
      </c>
      <c r="D85" s="24" t="str">
        <f aca="false">IF(A85="","",IFERROR(buscarx(A85&amp;B85,DATA!$E$3:$E$10000&amp;DATA!$B$3:$B$10000,DATA!$W$3:$W$10000),"No encontrado"))</f>
        <v/>
      </c>
      <c r="E85" s="22"/>
      <c r="F85" s="23" t="str">
        <f aca="false">IF(A85="","",IFERROR(buscarx(A85&amp;E85,DATA!$E$3:$E$10000&amp;DATA!$B$3:$B$10000,DATA!$M$3:$M$10000),"Inactivo"))</f>
        <v/>
      </c>
      <c r="G85" s="25" t="str">
        <f aca="false">IF(A85="","",IF(AND(C85&lt;&gt;"No encontrado",F85&lt;&gt;"Inactivo"),C85&amp;" → "&amp;F85,"Sin transición"))</f>
        <v/>
      </c>
      <c r="H85" s="23" t="str">
        <f aca="false">IF(A85="","",IF(D85="GCIA LINEA SERVICIO DIGITALIDAD Y VENTAS","Chats",IF(OR(D85="GERENCIA INBOUND LÍNEAS SERVICIO Y VENTA",D85="GERENCIA INBOUND LINEAS ESPECIALIZADAS"),"Llamadas","Otro")))</f>
        <v/>
      </c>
      <c r="I85" s="23" t="str">
        <f aca="false">IF(A85="","",IF(C85="No encontrado","No","Sí"))</f>
        <v/>
      </c>
      <c r="J85" s="23" t="str">
        <f aca="false">IF(A85="","",IF(F85="Inactivo","No","Sí"))</f>
        <v/>
      </c>
      <c r="K85" s="23" t="str">
        <f aca="false">IF(A85="","",IF(AND(I85="Sí",J85="Sí"),"Sí","No"))</f>
        <v/>
      </c>
    </row>
    <row r="86" customFormat="false" ht="15" hidden="false" customHeight="false" outlineLevel="0" collapsed="false">
      <c r="A86" s="22"/>
      <c r="B86" s="22"/>
      <c r="C86" s="26" t="str">
        <f aca="false">IF(A86="","",IFERROR(buscarx(A86&amp;B86,DATA!$E$3:$E$10000&amp;DATA!$B$3:$B$10000,DATA!$M$3:$M$10000),"No encontrado"))</f>
        <v/>
      </c>
      <c r="D86" s="27" t="str">
        <f aca="false">IF(A86="","",IFERROR(buscarx(A86&amp;B86,DATA!$E$3:$E$10000&amp;DATA!$B$3:$B$10000,DATA!$W$3:$W$10000),"No encontrado"))</f>
        <v/>
      </c>
      <c r="E86" s="22"/>
      <c r="F86" s="26" t="str">
        <f aca="false">IF(A86="","",IFERROR(buscarx(A86&amp;E86,DATA!$E$3:$E$10000&amp;DATA!$B$3:$B$10000,DATA!$M$3:$M$10000),"Inactivo"))</f>
        <v/>
      </c>
      <c r="G86" s="28" t="str">
        <f aca="false">IF(A86="","",IF(AND(C86&lt;&gt;"No encontrado",F86&lt;&gt;"Inactivo"),C86&amp;" → "&amp;F86,"Sin transición"))</f>
        <v/>
      </c>
      <c r="H86" s="26" t="str">
        <f aca="false">IF(A86="","",IF(D86="GCIA LINEA SERVICIO DIGITALIDAD Y VENTAS","Chats",IF(OR(D86="GERENCIA INBOUND LÍNEAS SERVICIO Y VENTA",D86="GERENCIA INBOUND LINEAS ESPECIALIZADAS"),"Llamadas","Otro")))</f>
        <v/>
      </c>
      <c r="I86" s="26" t="str">
        <f aca="false">IF(A86="","",IF(C86="No encontrado","No","Sí"))</f>
        <v/>
      </c>
      <c r="J86" s="26" t="str">
        <f aca="false">IF(A86="","",IF(F86="Inactivo","No","Sí"))</f>
        <v/>
      </c>
      <c r="K86" s="26" t="str">
        <f aca="false">IF(A86="","",IF(AND(I86="Sí",J86="Sí"),"Sí","No"))</f>
        <v/>
      </c>
    </row>
    <row r="87" customFormat="false" ht="15" hidden="false" customHeight="false" outlineLevel="0" collapsed="false">
      <c r="A87" s="22"/>
      <c r="B87" s="22"/>
      <c r="C87" s="23" t="str">
        <f aca="false">IF(A87="","",IFERROR(buscarx(A87&amp;B87,DATA!$E$3:$E$10000&amp;DATA!$B$3:$B$10000,DATA!$M$3:$M$10000),"No encontrado"))</f>
        <v/>
      </c>
      <c r="D87" s="24" t="str">
        <f aca="false">IF(A87="","",IFERROR(buscarx(A87&amp;B87,DATA!$E$3:$E$10000&amp;DATA!$B$3:$B$10000,DATA!$W$3:$W$10000),"No encontrado"))</f>
        <v/>
      </c>
      <c r="E87" s="22"/>
      <c r="F87" s="23" t="str">
        <f aca="false">IF(A87="","",IFERROR(buscarx(A87&amp;E87,DATA!$E$3:$E$10000&amp;DATA!$B$3:$B$10000,DATA!$M$3:$M$10000),"Inactivo"))</f>
        <v/>
      </c>
      <c r="G87" s="25" t="str">
        <f aca="false">IF(A87="","",IF(AND(C87&lt;&gt;"No encontrado",F87&lt;&gt;"Inactivo"),C87&amp;" → "&amp;F87,"Sin transición"))</f>
        <v/>
      </c>
      <c r="H87" s="23" t="str">
        <f aca="false">IF(A87="","",IF(D87="GCIA LINEA SERVICIO DIGITALIDAD Y VENTAS","Chats",IF(OR(D87="GERENCIA INBOUND LÍNEAS SERVICIO Y VENTA",D87="GERENCIA INBOUND LINEAS ESPECIALIZADAS"),"Llamadas","Otro")))</f>
        <v/>
      </c>
      <c r="I87" s="23" t="str">
        <f aca="false">IF(A87="","",IF(C87="No encontrado","No","Sí"))</f>
        <v/>
      </c>
      <c r="J87" s="23" t="str">
        <f aca="false">IF(A87="","",IF(F87="Inactivo","No","Sí"))</f>
        <v/>
      </c>
      <c r="K87" s="23" t="str">
        <f aca="false">IF(A87="","",IF(AND(I87="Sí",J87="Sí"),"Sí","No"))</f>
        <v/>
      </c>
    </row>
    <row r="88" customFormat="false" ht="15" hidden="false" customHeight="false" outlineLevel="0" collapsed="false">
      <c r="A88" s="22"/>
      <c r="B88" s="22"/>
      <c r="C88" s="26" t="str">
        <f aca="false">IF(A88="","",IFERROR(buscarx(A88&amp;B88,DATA!$E$3:$E$10000&amp;DATA!$B$3:$B$10000,DATA!$M$3:$M$10000),"No encontrado"))</f>
        <v/>
      </c>
      <c r="D88" s="27" t="str">
        <f aca="false">IF(A88="","",IFERROR(buscarx(A88&amp;B88,DATA!$E$3:$E$10000&amp;DATA!$B$3:$B$10000,DATA!$W$3:$W$10000),"No encontrado"))</f>
        <v/>
      </c>
      <c r="E88" s="22"/>
      <c r="F88" s="26" t="str">
        <f aca="false">IF(A88="","",IFERROR(buscarx(A88&amp;E88,DATA!$E$3:$E$10000&amp;DATA!$B$3:$B$10000,DATA!$M$3:$M$10000),"Inactivo"))</f>
        <v/>
      </c>
      <c r="G88" s="28" t="str">
        <f aca="false">IF(A88="","",IF(AND(C88&lt;&gt;"No encontrado",F88&lt;&gt;"Inactivo"),C88&amp;" → "&amp;F88,"Sin transición"))</f>
        <v/>
      </c>
      <c r="H88" s="26" t="str">
        <f aca="false">IF(A88="","",IF(D88="GCIA LINEA SERVICIO DIGITALIDAD Y VENTAS","Chats",IF(OR(D88="GERENCIA INBOUND LÍNEAS SERVICIO Y VENTA",D88="GERENCIA INBOUND LINEAS ESPECIALIZADAS"),"Llamadas","Otro")))</f>
        <v/>
      </c>
      <c r="I88" s="26" t="str">
        <f aca="false">IF(A88="","",IF(C88="No encontrado","No","Sí"))</f>
        <v/>
      </c>
      <c r="J88" s="26" t="str">
        <f aca="false">IF(A88="","",IF(F88="Inactivo","No","Sí"))</f>
        <v/>
      </c>
      <c r="K88" s="26" t="str">
        <f aca="false">IF(A88="","",IF(AND(I88="Sí",J88="Sí"),"Sí","No"))</f>
        <v/>
      </c>
    </row>
    <row r="89" customFormat="false" ht="15" hidden="false" customHeight="false" outlineLevel="0" collapsed="false">
      <c r="A89" s="22"/>
      <c r="B89" s="22"/>
      <c r="C89" s="23" t="str">
        <f aca="false">IF(A89="","",IFERROR(buscarx(A89&amp;B89,DATA!$E$3:$E$10000&amp;DATA!$B$3:$B$10000,DATA!$M$3:$M$10000),"No encontrado"))</f>
        <v/>
      </c>
      <c r="D89" s="24" t="str">
        <f aca="false">IF(A89="","",IFERROR(buscarx(A89&amp;B89,DATA!$E$3:$E$10000&amp;DATA!$B$3:$B$10000,DATA!$W$3:$W$10000),"No encontrado"))</f>
        <v/>
      </c>
      <c r="E89" s="22"/>
      <c r="F89" s="23" t="str">
        <f aca="false">IF(A89="","",IFERROR(buscarx(A89&amp;E89,DATA!$E$3:$E$10000&amp;DATA!$B$3:$B$10000,DATA!$M$3:$M$10000),"Inactivo"))</f>
        <v/>
      </c>
      <c r="G89" s="25" t="str">
        <f aca="false">IF(A89="","",IF(AND(C89&lt;&gt;"No encontrado",F89&lt;&gt;"Inactivo"),C89&amp;" → "&amp;F89,"Sin transición"))</f>
        <v/>
      </c>
      <c r="H89" s="23" t="str">
        <f aca="false">IF(A89="","",IF(D89="GCIA LINEA SERVICIO DIGITALIDAD Y VENTAS","Chats",IF(OR(D89="GERENCIA INBOUND LÍNEAS SERVICIO Y VENTA",D89="GERENCIA INBOUND LINEAS ESPECIALIZADAS"),"Llamadas","Otro")))</f>
        <v/>
      </c>
      <c r="I89" s="23" t="str">
        <f aca="false">IF(A89="","",IF(C89="No encontrado","No","Sí"))</f>
        <v/>
      </c>
      <c r="J89" s="23" t="str">
        <f aca="false">IF(A89="","",IF(F89="Inactivo","No","Sí"))</f>
        <v/>
      </c>
      <c r="K89" s="23" t="str">
        <f aca="false">IF(A89="","",IF(AND(I89="Sí",J89="Sí"),"Sí","No"))</f>
        <v/>
      </c>
    </row>
    <row r="90" customFormat="false" ht="15" hidden="false" customHeight="false" outlineLevel="0" collapsed="false">
      <c r="A90" s="22"/>
      <c r="B90" s="22"/>
      <c r="C90" s="26" t="str">
        <f aca="false">IF(A90="","",IFERROR(buscarx(A90&amp;B90,DATA!$E$3:$E$10000&amp;DATA!$B$3:$B$10000,DATA!$M$3:$M$10000),"No encontrado"))</f>
        <v/>
      </c>
      <c r="D90" s="27" t="str">
        <f aca="false">IF(A90="","",IFERROR(buscarx(A90&amp;B90,DATA!$E$3:$E$10000&amp;DATA!$B$3:$B$10000,DATA!$W$3:$W$10000),"No encontrado"))</f>
        <v/>
      </c>
      <c r="E90" s="22"/>
      <c r="F90" s="26" t="str">
        <f aca="false">IF(A90="","",IFERROR(buscarx(A90&amp;E90,DATA!$E$3:$E$10000&amp;DATA!$B$3:$B$10000,DATA!$M$3:$M$10000),"Inactivo"))</f>
        <v/>
      </c>
      <c r="G90" s="28" t="str">
        <f aca="false">IF(A90="","",IF(AND(C90&lt;&gt;"No encontrado",F90&lt;&gt;"Inactivo"),C90&amp;" → "&amp;F90,"Sin transición"))</f>
        <v/>
      </c>
      <c r="H90" s="26" t="str">
        <f aca="false">IF(A90="","",IF(D90="GCIA LINEA SERVICIO DIGITALIDAD Y VENTAS","Chats",IF(OR(D90="GERENCIA INBOUND LÍNEAS SERVICIO Y VENTA",D90="GERENCIA INBOUND LINEAS ESPECIALIZADAS"),"Llamadas","Otro")))</f>
        <v/>
      </c>
      <c r="I90" s="26" t="str">
        <f aca="false">IF(A90="","",IF(C90="No encontrado","No","Sí"))</f>
        <v/>
      </c>
      <c r="J90" s="26" t="str">
        <f aca="false">IF(A90="","",IF(F90="Inactivo","No","Sí"))</f>
        <v/>
      </c>
      <c r="K90" s="26" t="str">
        <f aca="false">IF(A90="","",IF(AND(I90="Sí",J90="Sí"),"Sí","No"))</f>
        <v/>
      </c>
    </row>
    <row r="91" customFormat="false" ht="15" hidden="false" customHeight="false" outlineLevel="0" collapsed="false">
      <c r="A91" s="22"/>
      <c r="B91" s="22"/>
      <c r="C91" s="23" t="str">
        <f aca="false">IF(A91="","",IFERROR(buscarx(A91&amp;B91,DATA!$E$3:$E$10000&amp;DATA!$B$3:$B$10000,DATA!$M$3:$M$10000),"No encontrado"))</f>
        <v/>
      </c>
      <c r="D91" s="24" t="str">
        <f aca="false">IF(A91="","",IFERROR(buscarx(A91&amp;B91,DATA!$E$3:$E$10000&amp;DATA!$B$3:$B$10000,DATA!$W$3:$W$10000),"No encontrado"))</f>
        <v/>
      </c>
      <c r="E91" s="22"/>
      <c r="F91" s="23" t="str">
        <f aca="false">IF(A91="","",IFERROR(buscarx(A91&amp;E91,DATA!$E$3:$E$10000&amp;DATA!$B$3:$B$10000,DATA!$M$3:$M$10000),"Inactivo"))</f>
        <v/>
      </c>
      <c r="G91" s="25" t="str">
        <f aca="false">IF(A91="","",IF(AND(C91&lt;&gt;"No encontrado",F91&lt;&gt;"Inactivo"),C91&amp;" → "&amp;F91,"Sin transición"))</f>
        <v/>
      </c>
      <c r="H91" s="23" t="str">
        <f aca="false">IF(A91="","",IF(D91="GCIA LINEA SERVICIO DIGITALIDAD Y VENTAS","Chats",IF(OR(D91="GERENCIA INBOUND LÍNEAS SERVICIO Y VENTA",D91="GERENCIA INBOUND LINEAS ESPECIALIZADAS"),"Llamadas","Otro")))</f>
        <v/>
      </c>
      <c r="I91" s="23" t="str">
        <f aca="false">IF(A91="","",IF(C91="No encontrado","No","Sí"))</f>
        <v/>
      </c>
      <c r="J91" s="23" t="str">
        <f aca="false">IF(A91="","",IF(F91="Inactivo","No","Sí"))</f>
        <v/>
      </c>
      <c r="K91" s="23" t="str">
        <f aca="false">IF(A91="","",IF(AND(I91="Sí",J91="Sí"),"Sí","No"))</f>
        <v/>
      </c>
    </row>
    <row r="92" customFormat="false" ht="15" hidden="false" customHeight="false" outlineLevel="0" collapsed="false">
      <c r="A92" s="22"/>
      <c r="B92" s="22"/>
      <c r="C92" s="26" t="str">
        <f aca="false">IF(A92="","",IFERROR(buscarx(A92&amp;B92,DATA!$E$3:$E$10000&amp;DATA!$B$3:$B$10000,DATA!$M$3:$M$10000),"No encontrado"))</f>
        <v/>
      </c>
      <c r="D92" s="27" t="str">
        <f aca="false">IF(A92="","",IFERROR(buscarx(A92&amp;B92,DATA!$E$3:$E$10000&amp;DATA!$B$3:$B$10000,DATA!$W$3:$W$10000),"No encontrado"))</f>
        <v/>
      </c>
      <c r="E92" s="22"/>
      <c r="F92" s="26" t="str">
        <f aca="false">IF(A92="","",IFERROR(buscarx(A92&amp;E92,DATA!$E$3:$E$10000&amp;DATA!$B$3:$B$10000,DATA!$M$3:$M$10000),"Inactivo"))</f>
        <v/>
      </c>
      <c r="G92" s="28" t="str">
        <f aca="false">IF(A92="","",IF(AND(C92&lt;&gt;"No encontrado",F92&lt;&gt;"Inactivo"),C92&amp;" → "&amp;F92,"Sin transición"))</f>
        <v/>
      </c>
      <c r="H92" s="26" t="str">
        <f aca="false">IF(A92="","",IF(D92="GCIA LINEA SERVICIO DIGITALIDAD Y VENTAS","Chats",IF(OR(D92="GERENCIA INBOUND LÍNEAS SERVICIO Y VENTA",D92="GERENCIA INBOUND LINEAS ESPECIALIZADAS"),"Llamadas","Otro")))</f>
        <v/>
      </c>
      <c r="I92" s="26" t="str">
        <f aca="false">IF(A92="","",IF(C92="No encontrado","No","Sí"))</f>
        <v/>
      </c>
      <c r="J92" s="26" t="str">
        <f aca="false">IF(A92="","",IF(F92="Inactivo","No","Sí"))</f>
        <v/>
      </c>
      <c r="K92" s="26" t="str">
        <f aca="false">IF(A92="","",IF(AND(I92="Sí",J92="Sí"),"Sí","No"))</f>
        <v/>
      </c>
    </row>
    <row r="93" customFormat="false" ht="15" hidden="false" customHeight="false" outlineLevel="0" collapsed="false">
      <c r="A93" s="22"/>
      <c r="B93" s="22"/>
      <c r="C93" s="23" t="str">
        <f aca="false">IF(A93="","",IFERROR(buscarx(A93&amp;B93,DATA!$E$3:$E$10000&amp;DATA!$B$3:$B$10000,DATA!$M$3:$M$10000),"No encontrado"))</f>
        <v/>
      </c>
      <c r="D93" s="24" t="str">
        <f aca="false">IF(A93="","",IFERROR(buscarx(A93&amp;B93,DATA!$E$3:$E$10000&amp;DATA!$B$3:$B$10000,DATA!$W$3:$W$10000),"No encontrado"))</f>
        <v/>
      </c>
      <c r="E93" s="22"/>
      <c r="F93" s="23" t="str">
        <f aca="false">IF(A93="","",IFERROR(buscarx(A93&amp;E93,DATA!$E$3:$E$10000&amp;DATA!$B$3:$B$10000,DATA!$M$3:$M$10000),"Inactivo"))</f>
        <v/>
      </c>
      <c r="G93" s="25" t="str">
        <f aca="false">IF(A93="","",IF(AND(C93&lt;&gt;"No encontrado",F93&lt;&gt;"Inactivo"),C93&amp;" → "&amp;F93,"Sin transición"))</f>
        <v/>
      </c>
      <c r="H93" s="23" t="str">
        <f aca="false">IF(A93="","",IF(D93="GCIA LINEA SERVICIO DIGITALIDAD Y VENTAS","Chats",IF(OR(D93="GERENCIA INBOUND LÍNEAS SERVICIO Y VENTA",D93="GERENCIA INBOUND LINEAS ESPECIALIZADAS"),"Llamadas","Otro")))</f>
        <v/>
      </c>
      <c r="I93" s="23" t="str">
        <f aca="false">IF(A93="","",IF(C93="No encontrado","No","Sí"))</f>
        <v/>
      </c>
      <c r="J93" s="23" t="str">
        <f aca="false">IF(A93="","",IF(F93="Inactivo","No","Sí"))</f>
        <v/>
      </c>
      <c r="K93" s="23" t="str">
        <f aca="false">IF(A93="","",IF(AND(I93="Sí",J93="Sí"),"Sí","No"))</f>
        <v/>
      </c>
    </row>
    <row r="94" customFormat="false" ht="15" hidden="false" customHeight="false" outlineLevel="0" collapsed="false">
      <c r="A94" s="22"/>
      <c r="B94" s="22"/>
      <c r="C94" s="26" t="str">
        <f aca="false">IF(A94="","",IFERROR(buscarx(A94&amp;B94,DATA!$E$3:$E$10000&amp;DATA!$B$3:$B$10000,DATA!$M$3:$M$10000),"No encontrado"))</f>
        <v/>
      </c>
      <c r="D94" s="27" t="str">
        <f aca="false">IF(A94="","",IFERROR(buscarx(A94&amp;B94,DATA!$E$3:$E$10000&amp;DATA!$B$3:$B$10000,DATA!$W$3:$W$10000),"No encontrado"))</f>
        <v/>
      </c>
      <c r="E94" s="22"/>
      <c r="F94" s="26" t="str">
        <f aca="false">IF(A94="","",IFERROR(buscarx(A94&amp;E94,DATA!$E$3:$E$10000&amp;DATA!$B$3:$B$10000,DATA!$M$3:$M$10000),"Inactivo"))</f>
        <v/>
      </c>
      <c r="G94" s="28" t="str">
        <f aca="false">IF(A94="","",IF(AND(C94&lt;&gt;"No encontrado",F94&lt;&gt;"Inactivo"),C94&amp;" → "&amp;F94,"Sin transición"))</f>
        <v/>
      </c>
      <c r="H94" s="26" t="str">
        <f aca="false">IF(A94="","",IF(D94="GCIA LINEA SERVICIO DIGITALIDAD Y VENTAS","Chats",IF(OR(D94="GERENCIA INBOUND LÍNEAS SERVICIO Y VENTA",D94="GERENCIA INBOUND LINEAS ESPECIALIZADAS"),"Llamadas","Otro")))</f>
        <v/>
      </c>
      <c r="I94" s="26" t="str">
        <f aca="false">IF(A94="","",IF(C94="No encontrado","No","Sí"))</f>
        <v/>
      </c>
      <c r="J94" s="26" t="str">
        <f aca="false">IF(A94="","",IF(F94="Inactivo","No","Sí"))</f>
        <v/>
      </c>
      <c r="K94" s="26" t="str">
        <f aca="false">IF(A94="","",IF(AND(I94="Sí",J94="Sí"),"Sí","No"))</f>
        <v/>
      </c>
    </row>
    <row r="95" customFormat="false" ht="15" hidden="false" customHeight="false" outlineLevel="0" collapsed="false">
      <c r="A95" s="22"/>
      <c r="B95" s="22"/>
      <c r="C95" s="23" t="str">
        <f aca="false">IF(A95="","",IFERROR(buscarx(A95&amp;B95,DATA!$E$3:$E$10000&amp;DATA!$B$3:$B$10000,DATA!$M$3:$M$10000),"No encontrado"))</f>
        <v/>
      </c>
      <c r="D95" s="24" t="str">
        <f aca="false">IF(A95="","",IFERROR(buscarx(A95&amp;B95,DATA!$E$3:$E$10000&amp;DATA!$B$3:$B$10000,DATA!$W$3:$W$10000),"No encontrado"))</f>
        <v/>
      </c>
      <c r="E95" s="22"/>
      <c r="F95" s="23" t="str">
        <f aca="false">IF(A95="","",IFERROR(buscarx(A95&amp;E95,DATA!$E$3:$E$10000&amp;DATA!$B$3:$B$10000,DATA!$M$3:$M$10000),"Inactivo"))</f>
        <v/>
      </c>
      <c r="G95" s="25" t="str">
        <f aca="false">IF(A95="","",IF(AND(C95&lt;&gt;"No encontrado",F95&lt;&gt;"Inactivo"),C95&amp;" → "&amp;F95,"Sin transición"))</f>
        <v/>
      </c>
      <c r="H95" s="23" t="str">
        <f aca="false">IF(A95="","",IF(D95="GCIA LINEA SERVICIO DIGITALIDAD Y VENTAS","Chats",IF(OR(D95="GERENCIA INBOUND LÍNEAS SERVICIO Y VENTA",D95="GERENCIA INBOUND LINEAS ESPECIALIZADAS"),"Llamadas","Otro")))</f>
        <v/>
      </c>
      <c r="I95" s="23" t="str">
        <f aca="false">IF(A95="","",IF(C95="No encontrado","No","Sí"))</f>
        <v/>
      </c>
      <c r="J95" s="23" t="str">
        <f aca="false">IF(A95="","",IF(F95="Inactivo","No","Sí"))</f>
        <v/>
      </c>
      <c r="K95" s="23" t="str">
        <f aca="false">IF(A95="","",IF(AND(I95="Sí",J95="Sí"),"Sí","No"))</f>
        <v/>
      </c>
    </row>
    <row r="96" customFormat="false" ht="15" hidden="false" customHeight="false" outlineLevel="0" collapsed="false">
      <c r="A96" s="22"/>
      <c r="B96" s="22"/>
      <c r="C96" s="26" t="str">
        <f aca="false">IF(A96="","",IFERROR(buscarx(A96&amp;B96,DATA!$E$3:$E$10000&amp;DATA!$B$3:$B$10000,DATA!$M$3:$M$10000),"No encontrado"))</f>
        <v/>
      </c>
      <c r="D96" s="27" t="str">
        <f aca="false">IF(A96="","",IFERROR(buscarx(A96&amp;B96,DATA!$E$3:$E$10000&amp;DATA!$B$3:$B$10000,DATA!$W$3:$W$10000),"No encontrado"))</f>
        <v/>
      </c>
      <c r="E96" s="22"/>
      <c r="F96" s="26" t="str">
        <f aca="false">IF(A96="","",IFERROR(buscarx(A96&amp;E96,DATA!$E$3:$E$10000&amp;DATA!$B$3:$B$10000,DATA!$M$3:$M$10000),"Inactivo"))</f>
        <v/>
      </c>
      <c r="G96" s="28" t="str">
        <f aca="false">IF(A96="","",IF(AND(C96&lt;&gt;"No encontrado",F96&lt;&gt;"Inactivo"),C96&amp;" → "&amp;F96,"Sin transición"))</f>
        <v/>
      </c>
      <c r="H96" s="26" t="str">
        <f aca="false">IF(A96="","",IF(D96="GCIA LINEA SERVICIO DIGITALIDAD Y VENTAS","Chats",IF(OR(D96="GERENCIA INBOUND LÍNEAS SERVICIO Y VENTA",D96="GERENCIA INBOUND LINEAS ESPECIALIZADAS"),"Llamadas","Otro")))</f>
        <v/>
      </c>
      <c r="I96" s="26" t="str">
        <f aca="false">IF(A96="","",IF(C96="No encontrado","No","Sí"))</f>
        <v/>
      </c>
      <c r="J96" s="26" t="str">
        <f aca="false">IF(A96="","",IF(F96="Inactivo","No","Sí"))</f>
        <v/>
      </c>
      <c r="K96" s="26" t="str">
        <f aca="false">IF(A96="","",IF(AND(I96="Sí",J96="Sí"),"Sí","No"))</f>
        <v/>
      </c>
    </row>
    <row r="97" customFormat="false" ht="15" hidden="false" customHeight="false" outlineLevel="0" collapsed="false">
      <c r="A97" s="22"/>
      <c r="B97" s="22"/>
      <c r="C97" s="23" t="str">
        <f aca="false">IF(A97="","",IFERROR(buscarx(A97&amp;B97,DATA!$E$3:$E$10000&amp;DATA!$B$3:$B$10000,DATA!$M$3:$M$10000),"No encontrado"))</f>
        <v/>
      </c>
      <c r="D97" s="24" t="str">
        <f aca="false">IF(A97="","",IFERROR(buscarx(A97&amp;B97,DATA!$E$3:$E$10000&amp;DATA!$B$3:$B$10000,DATA!$W$3:$W$10000),"No encontrado"))</f>
        <v/>
      </c>
      <c r="E97" s="22"/>
      <c r="F97" s="23" t="str">
        <f aca="false">IF(A97="","",IFERROR(buscarx(A97&amp;E97,DATA!$E$3:$E$10000&amp;DATA!$B$3:$B$10000,DATA!$M$3:$M$10000),"Inactivo"))</f>
        <v/>
      </c>
      <c r="G97" s="25" t="str">
        <f aca="false">IF(A97="","",IF(AND(C97&lt;&gt;"No encontrado",F97&lt;&gt;"Inactivo"),C97&amp;" → "&amp;F97,"Sin transición"))</f>
        <v/>
      </c>
      <c r="H97" s="23" t="str">
        <f aca="false">IF(A97="","",IF(D97="GCIA LINEA SERVICIO DIGITALIDAD Y VENTAS","Chats",IF(OR(D97="GERENCIA INBOUND LÍNEAS SERVICIO Y VENTA",D97="GERENCIA INBOUND LINEAS ESPECIALIZADAS"),"Llamadas","Otro")))</f>
        <v/>
      </c>
      <c r="I97" s="23" t="str">
        <f aca="false">IF(A97="","",IF(C97="No encontrado","No","Sí"))</f>
        <v/>
      </c>
      <c r="J97" s="23" t="str">
        <f aca="false">IF(A97="","",IF(F97="Inactivo","No","Sí"))</f>
        <v/>
      </c>
      <c r="K97" s="23" t="str">
        <f aca="false">IF(A97="","",IF(AND(I97="Sí",J97="Sí"),"Sí","No"))</f>
        <v/>
      </c>
    </row>
    <row r="98" customFormat="false" ht="15" hidden="false" customHeight="false" outlineLevel="0" collapsed="false">
      <c r="A98" s="22"/>
      <c r="B98" s="22"/>
      <c r="C98" s="26" t="str">
        <f aca="false">IF(A98="","",IFERROR(buscarx(A98&amp;B98,DATA!$E$3:$E$10000&amp;DATA!$B$3:$B$10000,DATA!$M$3:$M$10000),"No encontrado"))</f>
        <v/>
      </c>
      <c r="D98" s="27" t="str">
        <f aca="false">IF(A98="","",IFERROR(buscarx(A98&amp;B98,DATA!$E$3:$E$10000&amp;DATA!$B$3:$B$10000,DATA!$W$3:$W$10000),"No encontrado"))</f>
        <v/>
      </c>
      <c r="E98" s="22"/>
      <c r="F98" s="26" t="str">
        <f aca="false">IF(A98="","",IFERROR(buscarx(A98&amp;E98,DATA!$E$3:$E$10000&amp;DATA!$B$3:$B$10000,DATA!$M$3:$M$10000),"Inactivo"))</f>
        <v/>
      </c>
      <c r="G98" s="28" t="str">
        <f aca="false">IF(A98="","",IF(AND(C98&lt;&gt;"No encontrado",F98&lt;&gt;"Inactivo"),C98&amp;" → "&amp;F98,"Sin transición"))</f>
        <v/>
      </c>
      <c r="H98" s="26" t="str">
        <f aca="false">IF(A98="","",IF(D98="GCIA LINEA SERVICIO DIGITALIDAD Y VENTAS","Chats",IF(OR(D98="GERENCIA INBOUND LÍNEAS SERVICIO Y VENTA",D98="GERENCIA INBOUND LINEAS ESPECIALIZADAS"),"Llamadas","Otro")))</f>
        <v/>
      </c>
      <c r="I98" s="26" t="str">
        <f aca="false">IF(A98="","",IF(C98="No encontrado","No","Sí"))</f>
        <v/>
      </c>
      <c r="J98" s="26" t="str">
        <f aca="false">IF(A98="","",IF(F98="Inactivo","No","Sí"))</f>
        <v/>
      </c>
      <c r="K98" s="26" t="str">
        <f aca="false">IF(A98="","",IF(AND(I98="Sí",J98="Sí"),"Sí","No"))</f>
        <v/>
      </c>
    </row>
    <row r="99" customFormat="false" ht="15" hidden="false" customHeight="false" outlineLevel="0" collapsed="false">
      <c r="A99" s="22"/>
      <c r="B99" s="22"/>
      <c r="C99" s="23" t="str">
        <f aca="false">IF(A99="","",IFERROR(buscarx(A99&amp;B99,DATA!$E$3:$E$10000&amp;DATA!$B$3:$B$10000,DATA!$M$3:$M$10000),"No encontrado"))</f>
        <v/>
      </c>
      <c r="D99" s="24" t="str">
        <f aca="false">IF(A99="","",IFERROR(buscarx(A99&amp;B99,DATA!$E$3:$E$10000&amp;DATA!$B$3:$B$10000,DATA!$W$3:$W$10000),"No encontrado"))</f>
        <v/>
      </c>
      <c r="E99" s="22"/>
      <c r="F99" s="23" t="str">
        <f aca="false">IF(A99="","",IFERROR(buscarx(A99&amp;E99,DATA!$E$3:$E$10000&amp;DATA!$B$3:$B$10000,DATA!$M$3:$M$10000),"Inactivo"))</f>
        <v/>
      </c>
      <c r="G99" s="25" t="str">
        <f aca="false">IF(A99="","",IF(AND(C99&lt;&gt;"No encontrado",F99&lt;&gt;"Inactivo"),C99&amp;" → "&amp;F99,"Sin transición"))</f>
        <v/>
      </c>
      <c r="H99" s="23" t="str">
        <f aca="false">IF(A99="","",IF(D99="GCIA LINEA SERVICIO DIGITALIDAD Y VENTAS","Chats",IF(OR(D99="GERENCIA INBOUND LÍNEAS SERVICIO Y VENTA",D99="GERENCIA INBOUND LINEAS ESPECIALIZADAS"),"Llamadas","Otro")))</f>
        <v/>
      </c>
      <c r="I99" s="23" t="str">
        <f aca="false">IF(A99="","",IF(C99="No encontrado","No","Sí"))</f>
        <v/>
      </c>
      <c r="J99" s="23" t="str">
        <f aca="false">IF(A99="","",IF(F99="Inactivo","No","Sí"))</f>
        <v/>
      </c>
      <c r="K99" s="23" t="str">
        <f aca="false">IF(A99="","",IF(AND(I99="Sí",J99="Sí"),"Sí","No"))</f>
        <v/>
      </c>
    </row>
    <row r="100" customFormat="false" ht="15" hidden="false" customHeight="false" outlineLevel="0" collapsed="false">
      <c r="A100" s="22"/>
      <c r="B100" s="22"/>
      <c r="C100" s="26" t="str">
        <f aca="false">IF(A100="","",IFERROR(buscarx(A100&amp;B100,DATA!$E$3:$E$10000&amp;DATA!$B$3:$B$10000,DATA!$M$3:$M$10000),"No encontrado"))</f>
        <v/>
      </c>
      <c r="D100" s="27" t="str">
        <f aca="false">IF(A100="","",IFERROR(buscarx(A100&amp;B100,DATA!$E$3:$E$10000&amp;DATA!$B$3:$B$10000,DATA!$W$3:$W$10000),"No encontrado"))</f>
        <v/>
      </c>
      <c r="E100" s="22"/>
      <c r="F100" s="26" t="str">
        <f aca="false">IF(A100="","",IFERROR(buscarx(A100&amp;E100,DATA!$E$3:$E$10000&amp;DATA!$B$3:$B$10000,DATA!$M$3:$M$10000),"Inactivo"))</f>
        <v/>
      </c>
      <c r="G100" s="28" t="str">
        <f aca="false">IF(A100="","",IF(AND(C100&lt;&gt;"No encontrado",F100&lt;&gt;"Inactivo"),C100&amp;" → "&amp;F100,"Sin transición"))</f>
        <v/>
      </c>
      <c r="H100" s="26" t="str">
        <f aca="false">IF(A100="","",IF(D100="GCIA LINEA SERVICIO DIGITALIDAD Y VENTAS","Chats",IF(OR(D100="GERENCIA INBOUND LÍNEAS SERVICIO Y VENTA",D100="GERENCIA INBOUND LINEAS ESPECIALIZADAS"),"Llamadas","Otro")))</f>
        <v/>
      </c>
      <c r="I100" s="26" t="str">
        <f aca="false">IF(A100="","",IF(C100="No encontrado","No","Sí"))</f>
        <v/>
      </c>
      <c r="J100" s="26" t="str">
        <f aca="false">IF(A100="","",IF(F100="Inactivo","No","Sí"))</f>
        <v/>
      </c>
      <c r="K100" s="26" t="str">
        <f aca="false">IF(A100="","",IF(AND(I100="Sí",J100="Sí"),"Sí","No"))</f>
        <v/>
      </c>
    </row>
    <row r="101" customFormat="false" ht="15" hidden="false" customHeight="false" outlineLevel="0" collapsed="false">
      <c r="A101" s="22"/>
      <c r="B101" s="22"/>
      <c r="C101" s="23" t="str">
        <f aca="false">IF(A101="","",IFERROR(buscarx(A101&amp;B101,DATA!$E$3:$E$10000&amp;DATA!$B$3:$B$10000,DATA!$M$3:$M$10000),"No encontrado"))</f>
        <v/>
      </c>
      <c r="D101" s="24" t="str">
        <f aca="false">IF(A101="","",IFERROR(buscarx(A101&amp;B101,DATA!$E$3:$E$10000&amp;DATA!$B$3:$B$10000,DATA!$W$3:$W$10000),"No encontrado"))</f>
        <v/>
      </c>
      <c r="E101" s="22"/>
      <c r="F101" s="23" t="str">
        <f aca="false">IF(A101="","",IFERROR(buscarx(A101&amp;E101,DATA!$E$3:$E$10000&amp;DATA!$B$3:$B$10000,DATA!$M$3:$M$10000),"Inactivo"))</f>
        <v/>
      </c>
      <c r="G101" s="25" t="str">
        <f aca="false">IF(A101="","",IF(AND(C101&lt;&gt;"No encontrado",F101&lt;&gt;"Inactivo"),C101&amp;" → "&amp;F101,"Sin transición"))</f>
        <v/>
      </c>
      <c r="H101" s="23" t="str">
        <f aca="false">IF(A101="","",IF(D101="GCIA LINEA SERVICIO DIGITALIDAD Y VENTAS","Chats",IF(OR(D101="GERENCIA INBOUND LÍNEAS SERVICIO Y VENTA",D101="GERENCIA INBOUND LINEAS ESPECIALIZADAS"),"Llamadas","Otro")))</f>
        <v/>
      </c>
      <c r="I101" s="23" t="str">
        <f aca="false">IF(A101="","",IF(C101="No encontrado","No","Sí"))</f>
        <v/>
      </c>
      <c r="J101" s="23" t="str">
        <f aca="false">IF(A101="","",IF(F101="Inactivo","No","Sí"))</f>
        <v/>
      </c>
      <c r="K101" s="23" t="str">
        <f aca="false">IF(A101="","",IF(AND(I101="Sí",J101="Sí"),"Sí","No"))</f>
        <v/>
      </c>
    </row>
    <row r="102" customFormat="false" ht="15" hidden="false" customHeight="false" outlineLevel="0" collapsed="false">
      <c r="A102" s="22"/>
      <c r="B102" s="22"/>
      <c r="C102" s="26" t="str">
        <f aca="false">IF(A102="","",IFERROR(buscarx(A102&amp;B102,DATA!$E$3:$E$10000&amp;DATA!$B$3:$B$10000,DATA!$M$3:$M$10000),"No encontrado"))</f>
        <v/>
      </c>
      <c r="D102" s="27" t="str">
        <f aca="false">IF(A102="","",IFERROR(buscarx(A102&amp;B102,DATA!$E$3:$E$10000&amp;DATA!$B$3:$B$10000,DATA!$W$3:$W$10000),"No encontrado"))</f>
        <v/>
      </c>
      <c r="E102" s="22"/>
      <c r="F102" s="26" t="str">
        <f aca="false">IF(A102="","",IFERROR(buscarx(A102&amp;E102,DATA!$E$3:$E$10000&amp;DATA!$B$3:$B$10000,DATA!$M$3:$M$10000),"Inactivo"))</f>
        <v/>
      </c>
      <c r="G102" s="28" t="str">
        <f aca="false">IF(A102="","",IF(AND(C102&lt;&gt;"No encontrado",F102&lt;&gt;"Inactivo"),C102&amp;" → "&amp;F102,"Sin transición"))</f>
        <v/>
      </c>
      <c r="H102" s="26" t="str">
        <f aca="false">IF(A102="","",IF(D102="GCIA LINEA SERVICIO DIGITALIDAD Y VENTAS","Chats",IF(OR(D102="GERENCIA INBOUND LÍNEAS SERVICIO Y VENTA",D102="GERENCIA INBOUND LINEAS ESPECIALIZADAS"),"Llamadas","Otro")))</f>
        <v/>
      </c>
      <c r="I102" s="26" t="str">
        <f aca="false">IF(A102="","",IF(C102="No encontrado","No","Sí"))</f>
        <v/>
      </c>
      <c r="J102" s="26" t="str">
        <f aca="false">IF(A102="","",IF(F102="Inactivo","No","Sí"))</f>
        <v/>
      </c>
      <c r="K102" s="26" t="str">
        <f aca="false">IF(A102="","",IF(AND(I102="Sí",J102="Sí"),"Sí","No"))</f>
        <v/>
      </c>
    </row>
    <row r="103" customFormat="false" ht="15" hidden="false" customHeight="false" outlineLevel="0" collapsed="false">
      <c r="A103" s="22"/>
      <c r="B103" s="22"/>
      <c r="C103" s="23" t="str">
        <f aca="false">IF(A103="","",IFERROR(buscarx(A103&amp;B103,DATA!$E$3:$E$10000&amp;DATA!$B$3:$B$10000,DATA!$M$3:$M$10000),"No encontrado"))</f>
        <v/>
      </c>
      <c r="D103" s="24" t="str">
        <f aca="false">IF(A103="","",IFERROR(buscarx(A103&amp;B103,DATA!$E$3:$E$10000&amp;DATA!$B$3:$B$10000,DATA!$W$3:$W$10000),"No encontrado"))</f>
        <v/>
      </c>
      <c r="E103" s="22"/>
      <c r="F103" s="23" t="str">
        <f aca="false">IF(A103="","",IFERROR(buscarx(A103&amp;E103,DATA!$E$3:$E$10000&amp;DATA!$B$3:$B$10000,DATA!$M$3:$M$10000),"Inactivo"))</f>
        <v/>
      </c>
      <c r="G103" s="25" t="str">
        <f aca="false">IF(A103="","",IF(AND(C103&lt;&gt;"No encontrado",F103&lt;&gt;"Inactivo"),C103&amp;" → "&amp;F103,"Sin transición"))</f>
        <v/>
      </c>
      <c r="H103" s="23" t="str">
        <f aca="false">IF(A103="","",IF(D103="GCIA LINEA SERVICIO DIGITALIDAD Y VENTAS","Chats",IF(OR(D103="GERENCIA INBOUND LÍNEAS SERVICIO Y VENTA",D103="GERENCIA INBOUND LINEAS ESPECIALIZADAS"),"Llamadas","Otro")))</f>
        <v/>
      </c>
      <c r="I103" s="23" t="str">
        <f aca="false">IF(A103="","",IF(C103="No encontrado","No","Sí"))</f>
        <v/>
      </c>
      <c r="J103" s="23" t="str">
        <f aca="false">IF(A103="","",IF(F103="Inactivo","No","Sí"))</f>
        <v/>
      </c>
      <c r="K103" s="23" t="str">
        <f aca="false">IF(A103="","",IF(AND(I103="Sí",J103="Sí"),"Sí","No"))</f>
        <v/>
      </c>
    </row>
    <row r="104" customFormat="false" ht="15" hidden="false" customHeight="false" outlineLevel="0" collapsed="false">
      <c r="A104" s="22"/>
      <c r="B104" s="22"/>
      <c r="C104" s="26" t="str">
        <f aca="false">IF(A104="","",IFERROR(buscarx(A104&amp;B104,DATA!$E$3:$E$10000&amp;DATA!$B$3:$B$10000,DATA!$M$3:$M$10000),"No encontrado"))</f>
        <v/>
      </c>
      <c r="D104" s="27" t="str">
        <f aca="false">IF(A104="","",IFERROR(buscarx(A104&amp;B104,DATA!$E$3:$E$10000&amp;DATA!$B$3:$B$10000,DATA!$W$3:$W$10000),"No encontrado"))</f>
        <v/>
      </c>
      <c r="E104" s="22"/>
      <c r="F104" s="26" t="str">
        <f aca="false">IF(A104="","",IFERROR(buscarx(A104&amp;E104,DATA!$E$3:$E$10000&amp;DATA!$B$3:$B$10000,DATA!$M$3:$M$10000),"Inactivo"))</f>
        <v/>
      </c>
      <c r="G104" s="28" t="str">
        <f aca="false">IF(A104="","",IF(AND(C104&lt;&gt;"No encontrado",F104&lt;&gt;"Inactivo"),C104&amp;" → "&amp;F104,"Sin transición"))</f>
        <v/>
      </c>
      <c r="H104" s="26" t="str">
        <f aca="false">IF(A104="","",IF(D104="GCIA LINEA SERVICIO DIGITALIDAD Y VENTAS","Chats",IF(OR(D104="GERENCIA INBOUND LÍNEAS SERVICIO Y VENTA",D104="GERENCIA INBOUND LINEAS ESPECIALIZADAS"),"Llamadas","Otro")))</f>
        <v/>
      </c>
      <c r="I104" s="26" t="str">
        <f aca="false">IF(A104="","",IF(C104="No encontrado","No","Sí"))</f>
        <v/>
      </c>
      <c r="J104" s="26" t="str">
        <f aca="false">IF(A104="","",IF(F104="Inactivo","No","Sí"))</f>
        <v/>
      </c>
      <c r="K104" s="26" t="str">
        <f aca="false">IF(A104="","",IF(AND(I104="Sí",J104="Sí"),"Sí","No"))</f>
        <v/>
      </c>
    </row>
    <row r="105" customFormat="false" ht="15" hidden="false" customHeight="false" outlineLevel="0" collapsed="false">
      <c r="A105" s="22"/>
      <c r="B105" s="22"/>
      <c r="C105" s="23" t="str">
        <f aca="false">IF(A105="","",IFERROR(buscarx(A105&amp;B105,DATA!$E$3:$E$10000&amp;DATA!$B$3:$B$10000,DATA!$M$3:$M$10000),"No encontrado"))</f>
        <v/>
      </c>
      <c r="D105" s="24" t="str">
        <f aca="false">IF(A105="","",IFERROR(buscarx(A105&amp;B105,DATA!$E$3:$E$10000&amp;DATA!$B$3:$B$10000,DATA!$W$3:$W$10000),"No encontrado"))</f>
        <v/>
      </c>
      <c r="E105" s="22"/>
      <c r="F105" s="23" t="str">
        <f aca="false">IF(A105="","",IFERROR(buscarx(A105&amp;E105,DATA!$E$3:$E$10000&amp;DATA!$B$3:$B$10000,DATA!$M$3:$M$10000),"Inactivo"))</f>
        <v/>
      </c>
      <c r="G105" s="25" t="str">
        <f aca="false">IF(A105="","",IF(AND(C105&lt;&gt;"No encontrado",F105&lt;&gt;"Inactivo"),C105&amp;" → "&amp;F105,"Sin transición"))</f>
        <v/>
      </c>
      <c r="H105" s="23" t="str">
        <f aca="false">IF(A105="","",IF(D105="GCIA LINEA SERVICIO DIGITALIDAD Y VENTAS","Chats",IF(OR(D105="GERENCIA INBOUND LÍNEAS SERVICIO Y VENTA",D105="GERENCIA INBOUND LINEAS ESPECIALIZADAS"),"Llamadas","Otro")))</f>
        <v/>
      </c>
      <c r="I105" s="23" t="str">
        <f aca="false">IF(A105="","",IF(C105="No encontrado","No","Sí"))</f>
        <v/>
      </c>
      <c r="J105" s="23" t="str">
        <f aca="false">IF(A105="","",IF(F105="Inactivo","No","Sí"))</f>
        <v/>
      </c>
      <c r="K105" s="23" t="str">
        <f aca="false">IF(A105="","",IF(AND(I105="Sí",J105="Sí"),"Sí","No"))</f>
        <v/>
      </c>
    </row>
    <row r="106" customFormat="false" ht="15" hidden="false" customHeight="false" outlineLevel="0" collapsed="false">
      <c r="A106" s="22"/>
      <c r="B106" s="22"/>
      <c r="C106" s="26" t="str">
        <f aca="false">IF(A106="","",IFERROR(buscarx(A106&amp;B106,DATA!$E$3:$E$10000&amp;DATA!$B$3:$B$10000,DATA!$M$3:$M$10000),"No encontrado"))</f>
        <v/>
      </c>
      <c r="D106" s="27" t="str">
        <f aca="false">IF(A106="","",IFERROR(buscarx(A106&amp;B106,DATA!$E$3:$E$10000&amp;DATA!$B$3:$B$10000,DATA!$W$3:$W$10000),"No encontrado"))</f>
        <v/>
      </c>
      <c r="E106" s="22"/>
      <c r="F106" s="26" t="str">
        <f aca="false">IF(A106="","",IFERROR(buscarx(A106&amp;E106,DATA!$E$3:$E$10000&amp;DATA!$B$3:$B$10000,DATA!$M$3:$M$10000),"Inactivo"))</f>
        <v/>
      </c>
      <c r="G106" s="28" t="str">
        <f aca="false">IF(A106="","",IF(AND(C106&lt;&gt;"No encontrado",F106&lt;&gt;"Inactivo"),C106&amp;" → "&amp;F106,"Sin transición"))</f>
        <v/>
      </c>
      <c r="H106" s="26" t="str">
        <f aca="false">IF(A106="","",IF(D106="GCIA LINEA SERVICIO DIGITALIDAD Y VENTAS","Chats",IF(OR(D106="GERENCIA INBOUND LÍNEAS SERVICIO Y VENTA",D106="GERENCIA INBOUND LINEAS ESPECIALIZADAS"),"Llamadas","Otro")))</f>
        <v/>
      </c>
      <c r="I106" s="26" t="str">
        <f aca="false">IF(A106="","",IF(C106="No encontrado","No","Sí"))</f>
        <v/>
      </c>
      <c r="J106" s="26" t="str">
        <f aca="false">IF(A106="","",IF(F106="Inactivo","No","Sí"))</f>
        <v/>
      </c>
      <c r="K106" s="26" t="str">
        <f aca="false">IF(A106="","",IF(AND(I106="Sí",J106="Sí"),"Sí","No"))</f>
        <v/>
      </c>
    </row>
    <row r="107" customFormat="false" ht="15" hidden="false" customHeight="false" outlineLevel="0" collapsed="false">
      <c r="A107" s="22"/>
      <c r="B107" s="22"/>
      <c r="C107" s="23" t="str">
        <f aca="false">IF(A107="","",IFERROR(buscarx(A107&amp;B107,DATA!$E$3:$E$10000&amp;DATA!$B$3:$B$10000,DATA!$M$3:$M$10000),"No encontrado"))</f>
        <v/>
      </c>
      <c r="D107" s="24" t="str">
        <f aca="false">IF(A107="","",IFERROR(buscarx(A107&amp;B107,DATA!$E$3:$E$10000&amp;DATA!$B$3:$B$10000,DATA!$W$3:$W$10000),"No encontrado"))</f>
        <v/>
      </c>
      <c r="E107" s="22"/>
      <c r="F107" s="23" t="str">
        <f aca="false">IF(A107="","",IFERROR(buscarx(A107&amp;E107,DATA!$E$3:$E$10000&amp;DATA!$B$3:$B$10000,DATA!$M$3:$M$10000),"Inactivo"))</f>
        <v/>
      </c>
      <c r="G107" s="25" t="str">
        <f aca="false">IF(A107="","",IF(AND(C107&lt;&gt;"No encontrado",F107&lt;&gt;"Inactivo"),C107&amp;" → "&amp;F107,"Sin transición"))</f>
        <v/>
      </c>
      <c r="H107" s="23" t="str">
        <f aca="false">IF(A107="","",IF(D107="GCIA LINEA SERVICIO DIGITALIDAD Y VENTAS","Chats",IF(OR(D107="GERENCIA INBOUND LÍNEAS SERVICIO Y VENTA",D107="GERENCIA INBOUND LINEAS ESPECIALIZADAS"),"Llamadas","Otro")))</f>
        <v/>
      </c>
      <c r="I107" s="23" t="str">
        <f aca="false">IF(A107="","",IF(C107="No encontrado","No","Sí"))</f>
        <v/>
      </c>
      <c r="J107" s="23" t="str">
        <f aca="false">IF(A107="","",IF(F107="Inactivo","No","Sí"))</f>
        <v/>
      </c>
      <c r="K107" s="23" t="str">
        <f aca="false">IF(A107="","",IF(AND(I107="Sí",J107="Sí"),"Sí","No"))</f>
        <v/>
      </c>
    </row>
    <row r="108" customFormat="false" ht="15" hidden="false" customHeight="false" outlineLevel="0" collapsed="false">
      <c r="A108" s="22"/>
      <c r="B108" s="22"/>
      <c r="C108" s="26" t="str">
        <f aca="false">IF(A108="","",IFERROR(buscarx(A108&amp;B108,DATA!$E$3:$E$10000&amp;DATA!$B$3:$B$10000,DATA!$M$3:$M$10000),"No encontrado"))</f>
        <v/>
      </c>
      <c r="D108" s="27" t="str">
        <f aca="false">IF(A108="","",IFERROR(buscarx(A108&amp;B108,DATA!$E$3:$E$10000&amp;DATA!$B$3:$B$10000,DATA!$W$3:$W$10000),"No encontrado"))</f>
        <v/>
      </c>
      <c r="E108" s="22"/>
      <c r="F108" s="26" t="str">
        <f aca="false">IF(A108="","",IFERROR(buscarx(A108&amp;E108,DATA!$E$3:$E$10000&amp;DATA!$B$3:$B$10000,DATA!$M$3:$M$10000),"Inactivo"))</f>
        <v/>
      </c>
      <c r="G108" s="28" t="str">
        <f aca="false">IF(A108="","",IF(AND(C108&lt;&gt;"No encontrado",F108&lt;&gt;"Inactivo"),C108&amp;" → "&amp;F108,"Sin transición"))</f>
        <v/>
      </c>
      <c r="H108" s="26" t="str">
        <f aca="false">IF(A108="","",IF(D108="GCIA LINEA SERVICIO DIGITALIDAD Y VENTAS","Chats",IF(OR(D108="GERENCIA INBOUND LÍNEAS SERVICIO Y VENTA",D108="GERENCIA INBOUND LINEAS ESPECIALIZADAS"),"Llamadas","Otro")))</f>
        <v/>
      </c>
      <c r="I108" s="26" t="str">
        <f aca="false">IF(A108="","",IF(C108="No encontrado","No","Sí"))</f>
        <v/>
      </c>
      <c r="J108" s="26" t="str">
        <f aca="false">IF(A108="","",IF(F108="Inactivo","No","Sí"))</f>
        <v/>
      </c>
      <c r="K108" s="26" t="str">
        <f aca="false">IF(A108="","",IF(AND(I108="Sí",J108="Sí"),"Sí","No"))</f>
        <v/>
      </c>
    </row>
    <row r="109" customFormat="false" ht="15" hidden="false" customHeight="false" outlineLevel="0" collapsed="false">
      <c r="A109" s="22"/>
      <c r="B109" s="22"/>
      <c r="C109" s="23" t="str">
        <f aca="false">IF(A109="","",IFERROR(buscarx(A109&amp;B109,DATA!$E$3:$E$10000&amp;DATA!$B$3:$B$10000,DATA!$M$3:$M$10000),"No encontrado"))</f>
        <v/>
      </c>
      <c r="D109" s="24" t="str">
        <f aca="false">IF(A109="","",IFERROR(buscarx(A109&amp;B109,DATA!$E$3:$E$10000&amp;DATA!$B$3:$B$10000,DATA!$W$3:$W$10000),"No encontrado"))</f>
        <v/>
      </c>
      <c r="E109" s="22"/>
      <c r="F109" s="23" t="str">
        <f aca="false">IF(A109="","",IFERROR(buscarx(A109&amp;E109,DATA!$E$3:$E$10000&amp;DATA!$B$3:$B$10000,DATA!$M$3:$M$10000),"Inactivo"))</f>
        <v/>
      </c>
      <c r="G109" s="25" t="str">
        <f aca="false">IF(A109="","",IF(AND(C109&lt;&gt;"No encontrado",F109&lt;&gt;"Inactivo"),C109&amp;" → "&amp;F109,"Sin transición"))</f>
        <v/>
      </c>
      <c r="H109" s="23" t="str">
        <f aca="false">IF(A109="","",IF(D109="GCIA LINEA SERVICIO DIGITALIDAD Y VENTAS","Chats",IF(OR(D109="GERENCIA INBOUND LÍNEAS SERVICIO Y VENTA",D109="GERENCIA INBOUND LINEAS ESPECIALIZADAS"),"Llamadas","Otro")))</f>
        <v/>
      </c>
      <c r="I109" s="23" t="str">
        <f aca="false">IF(A109="","",IF(C109="No encontrado","No","Sí"))</f>
        <v/>
      </c>
      <c r="J109" s="23" t="str">
        <f aca="false">IF(A109="","",IF(F109="Inactivo","No","Sí"))</f>
        <v/>
      </c>
      <c r="K109" s="23" t="str">
        <f aca="false">IF(A109="","",IF(AND(I109="Sí",J109="Sí"),"Sí","No"))</f>
        <v/>
      </c>
    </row>
    <row r="110" customFormat="false" ht="15" hidden="false" customHeight="false" outlineLevel="0" collapsed="false">
      <c r="A110" s="22"/>
      <c r="B110" s="22"/>
      <c r="C110" s="26" t="str">
        <f aca="false">IF(A110="","",IFERROR(buscarx(A110&amp;B110,DATA!$E$3:$E$10000&amp;DATA!$B$3:$B$10000,DATA!$M$3:$M$10000),"No encontrado"))</f>
        <v/>
      </c>
      <c r="D110" s="27" t="str">
        <f aca="false">IF(A110="","",IFERROR(buscarx(A110&amp;B110,DATA!$E$3:$E$10000&amp;DATA!$B$3:$B$10000,DATA!$W$3:$W$10000),"No encontrado"))</f>
        <v/>
      </c>
      <c r="E110" s="22"/>
      <c r="F110" s="26" t="str">
        <f aca="false">IF(A110="","",IFERROR(buscarx(A110&amp;E110,DATA!$E$3:$E$10000&amp;DATA!$B$3:$B$10000,DATA!$M$3:$M$10000),"Inactivo"))</f>
        <v/>
      </c>
      <c r="G110" s="28" t="str">
        <f aca="false">IF(A110="","",IF(AND(C110&lt;&gt;"No encontrado",F110&lt;&gt;"Inactivo"),C110&amp;" → "&amp;F110,"Sin transición"))</f>
        <v/>
      </c>
      <c r="H110" s="26" t="str">
        <f aca="false">IF(A110="","",IF(D110="GCIA LINEA SERVICIO DIGITALIDAD Y VENTAS","Chats",IF(OR(D110="GERENCIA INBOUND LÍNEAS SERVICIO Y VENTA",D110="GERENCIA INBOUND LINEAS ESPECIALIZADAS"),"Llamadas","Otro")))</f>
        <v/>
      </c>
      <c r="I110" s="26" t="str">
        <f aca="false">IF(A110="","",IF(C110="No encontrado","No","Sí"))</f>
        <v/>
      </c>
      <c r="J110" s="26" t="str">
        <f aca="false">IF(A110="","",IF(F110="Inactivo","No","Sí"))</f>
        <v/>
      </c>
      <c r="K110" s="26" t="str">
        <f aca="false">IF(A110="","",IF(AND(I110="Sí",J110="Sí"),"Sí","No"))</f>
        <v/>
      </c>
    </row>
    <row r="111" customFormat="false" ht="15" hidden="false" customHeight="false" outlineLevel="0" collapsed="false">
      <c r="A111" s="22"/>
      <c r="B111" s="22"/>
      <c r="C111" s="23" t="str">
        <f aca="false">IF(A111="","",IFERROR(buscarx(A111&amp;B111,DATA!$E$3:$E$10000&amp;DATA!$B$3:$B$10000,DATA!$M$3:$M$10000),"No encontrado"))</f>
        <v/>
      </c>
      <c r="D111" s="24" t="str">
        <f aca="false">IF(A111="","",IFERROR(buscarx(A111&amp;B111,DATA!$E$3:$E$10000&amp;DATA!$B$3:$B$10000,DATA!$W$3:$W$10000),"No encontrado"))</f>
        <v/>
      </c>
      <c r="E111" s="22"/>
      <c r="F111" s="23" t="str">
        <f aca="false">IF(A111="","",IFERROR(buscarx(A111&amp;E111,DATA!$E$3:$E$10000&amp;DATA!$B$3:$B$10000,DATA!$M$3:$M$10000),"Inactivo"))</f>
        <v/>
      </c>
      <c r="G111" s="25" t="str">
        <f aca="false">IF(A111="","",IF(AND(C111&lt;&gt;"No encontrado",F111&lt;&gt;"Inactivo"),C111&amp;" → "&amp;F111,"Sin transición"))</f>
        <v/>
      </c>
      <c r="H111" s="23" t="str">
        <f aca="false">IF(A111="","",IF(D111="GCIA LINEA SERVICIO DIGITALIDAD Y VENTAS","Chats",IF(OR(D111="GERENCIA INBOUND LÍNEAS SERVICIO Y VENTA",D111="GERENCIA INBOUND LINEAS ESPECIALIZADAS"),"Llamadas","Otro")))</f>
        <v/>
      </c>
      <c r="I111" s="23" t="str">
        <f aca="false">IF(A111="","",IF(C111="No encontrado","No","Sí"))</f>
        <v/>
      </c>
      <c r="J111" s="23" t="str">
        <f aca="false">IF(A111="","",IF(F111="Inactivo","No","Sí"))</f>
        <v/>
      </c>
      <c r="K111" s="23" t="str">
        <f aca="false">IF(A111="","",IF(AND(I111="Sí",J111="Sí"),"Sí","No"))</f>
        <v/>
      </c>
    </row>
    <row r="112" customFormat="false" ht="15" hidden="false" customHeight="false" outlineLevel="0" collapsed="false">
      <c r="A112" s="22"/>
      <c r="B112" s="22"/>
      <c r="C112" s="26" t="str">
        <f aca="false">IF(A112="","",IFERROR(buscarx(A112&amp;B112,DATA!$E$3:$E$10000&amp;DATA!$B$3:$B$10000,DATA!$M$3:$M$10000),"No encontrado"))</f>
        <v/>
      </c>
      <c r="D112" s="27" t="str">
        <f aca="false">IF(A112="","",IFERROR(buscarx(A112&amp;B112,DATA!$E$3:$E$10000&amp;DATA!$B$3:$B$10000,DATA!$W$3:$W$10000),"No encontrado"))</f>
        <v/>
      </c>
      <c r="E112" s="22"/>
      <c r="F112" s="26" t="str">
        <f aca="false">IF(A112="","",IFERROR(buscarx(A112&amp;E112,DATA!$E$3:$E$10000&amp;DATA!$B$3:$B$10000,DATA!$M$3:$M$10000),"Inactivo"))</f>
        <v/>
      </c>
      <c r="G112" s="28" t="str">
        <f aca="false">IF(A112="","",IF(AND(C112&lt;&gt;"No encontrado",F112&lt;&gt;"Inactivo"),C112&amp;" → "&amp;F112,"Sin transición"))</f>
        <v/>
      </c>
      <c r="H112" s="26" t="str">
        <f aca="false">IF(A112="","",IF(D112="GCIA LINEA SERVICIO DIGITALIDAD Y VENTAS","Chats",IF(OR(D112="GERENCIA INBOUND LÍNEAS SERVICIO Y VENTA",D112="GERENCIA INBOUND LINEAS ESPECIALIZADAS"),"Llamadas","Otro")))</f>
        <v/>
      </c>
      <c r="I112" s="26" t="str">
        <f aca="false">IF(A112="","",IF(C112="No encontrado","No","Sí"))</f>
        <v/>
      </c>
      <c r="J112" s="26" t="str">
        <f aca="false">IF(A112="","",IF(F112="Inactivo","No","Sí"))</f>
        <v/>
      </c>
      <c r="K112" s="26" t="str">
        <f aca="false">IF(A112="","",IF(AND(I112="Sí",J112="Sí"),"Sí","No"))</f>
        <v/>
      </c>
    </row>
    <row r="113" customFormat="false" ht="15" hidden="false" customHeight="false" outlineLevel="0" collapsed="false">
      <c r="A113" s="22"/>
      <c r="B113" s="22"/>
      <c r="C113" s="23" t="str">
        <f aca="false">IF(A113="","",IFERROR(buscarx(A113&amp;B113,DATA!$E$3:$E$10000&amp;DATA!$B$3:$B$10000,DATA!$M$3:$M$10000),"No encontrado"))</f>
        <v/>
      </c>
      <c r="D113" s="24" t="str">
        <f aca="false">IF(A113="","",IFERROR(buscarx(A113&amp;B113,DATA!$E$3:$E$10000&amp;DATA!$B$3:$B$10000,DATA!$W$3:$W$10000),"No encontrado"))</f>
        <v/>
      </c>
      <c r="E113" s="22"/>
      <c r="F113" s="23" t="str">
        <f aca="false">IF(A113="","",IFERROR(buscarx(A113&amp;E113,DATA!$E$3:$E$10000&amp;DATA!$B$3:$B$10000,DATA!$M$3:$M$10000),"Inactivo"))</f>
        <v/>
      </c>
      <c r="G113" s="25" t="str">
        <f aca="false">IF(A113="","",IF(AND(C113&lt;&gt;"No encontrado",F113&lt;&gt;"Inactivo"),C113&amp;" → "&amp;F113,"Sin transición"))</f>
        <v/>
      </c>
      <c r="H113" s="23" t="str">
        <f aca="false">IF(A113="","",IF(D113="GCIA LINEA SERVICIO DIGITALIDAD Y VENTAS","Chats",IF(OR(D113="GERENCIA INBOUND LÍNEAS SERVICIO Y VENTA",D113="GERENCIA INBOUND LINEAS ESPECIALIZADAS"),"Llamadas","Otro")))</f>
        <v/>
      </c>
      <c r="I113" s="23" t="str">
        <f aca="false">IF(A113="","",IF(C113="No encontrado","No","Sí"))</f>
        <v/>
      </c>
      <c r="J113" s="23" t="str">
        <f aca="false">IF(A113="","",IF(F113="Inactivo","No","Sí"))</f>
        <v/>
      </c>
      <c r="K113" s="23" t="str">
        <f aca="false">IF(A113="","",IF(AND(I113="Sí",J113="Sí"),"Sí","No"))</f>
        <v/>
      </c>
    </row>
    <row r="114" customFormat="false" ht="15" hidden="false" customHeight="false" outlineLevel="0" collapsed="false">
      <c r="A114" s="22"/>
      <c r="B114" s="22"/>
      <c r="C114" s="26" t="str">
        <f aca="false">IF(A114="","",IFERROR(buscarx(A114&amp;B114,DATA!$E$3:$E$10000&amp;DATA!$B$3:$B$10000,DATA!$M$3:$M$10000),"No encontrado"))</f>
        <v/>
      </c>
      <c r="D114" s="27" t="str">
        <f aca="false">IF(A114="","",IFERROR(buscarx(A114&amp;B114,DATA!$E$3:$E$10000&amp;DATA!$B$3:$B$10000,DATA!$W$3:$W$10000),"No encontrado"))</f>
        <v/>
      </c>
      <c r="E114" s="22"/>
      <c r="F114" s="26" t="str">
        <f aca="false">IF(A114="","",IFERROR(buscarx(A114&amp;E114,DATA!$E$3:$E$10000&amp;DATA!$B$3:$B$10000,DATA!$M$3:$M$10000),"Inactivo"))</f>
        <v/>
      </c>
      <c r="G114" s="28" t="str">
        <f aca="false">IF(A114="","",IF(AND(C114&lt;&gt;"No encontrado",F114&lt;&gt;"Inactivo"),C114&amp;" → "&amp;F114,"Sin transición"))</f>
        <v/>
      </c>
      <c r="H114" s="26" t="str">
        <f aca="false">IF(A114="","",IF(D114="GCIA LINEA SERVICIO DIGITALIDAD Y VENTAS","Chats",IF(OR(D114="GERENCIA INBOUND LÍNEAS SERVICIO Y VENTA",D114="GERENCIA INBOUND LINEAS ESPECIALIZADAS"),"Llamadas","Otro")))</f>
        <v/>
      </c>
      <c r="I114" s="26" t="str">
        <f aca="false">IF(A114="","",IF(C114="No encontrado","No","Sí"))</f>
        <v/>
      </c>
      <c r="J114" s="26" t="str">
        <f aca="false">IF(A114="","",IF(F114="Inactivo","No","Sí"))</f>
        <v/>
      </c>
      <c r="K114" s="26" t="str">
        <f aca="false">IF(A114="","",IF(AND(I114="Sí",J114="Sí"),"Sí","No"))</f>
        <v/>
      </c>
    </row>
    <row r="115" customFormat="false" ht="15" hidden="false" customHeight="false" outlineLevel="0" collapsed="false">
      <c r="A115" s="22"/>
      <c r="B115" s="22"/>
      <c r="C115" s="23" t="str">
        <f aca="false">IF(A115="","",IFERROR(buscarx(A115&amp;B115,DATA!$E$3:$E$10000&amp;DATA!$B$3:$B$10000,DATA!$M$3:$M$10000),"No encontrado"))</f>
        <v/>
      </c>
      <c r="D115" s="24" t="str">
        <f aca="false">IF(A115="","",IFERROR(buscarx(A115&amp;B115,DATA!$E$3:$E$10000&amp;DATA!$B$3:$B$10000,DATA!$W$3:$W$10000),"No encontrado"))</f>
        <v/>
      </c>
      <c r="E115" s="22"/>
      <c r="F115" s="23" t="str">
        <f aca="false">IF(A115="","",IFERROR(buscarx(A115&amp;E115,DATA!$E$3:$E$10000&amp;DATA!$B$3:$B$10000,DATA!$M$3:$M$10000),"Inactivo"))</f>
        <v/>
      </c>
      <c r="G115" s="25" t="str">
        <f aca="false">IF(A115="","",IF(AND(C115&lt;&gt;"No encontrado",F115&lt;&gt;"Inactivo"),C115&amp;" → "&amp;F115,"Sin transición"))</f>
        <v/>
      </c>
      <c r="H115" s="23" t="str">
        <f aca="false">IF(A115="","",IF(D115="GCIA LINEA SERVICIO DIGITALIDAD Y VENTAS","Chats",IF(OR(D115="GERENCIA INBOUND LÍNEAS SERVICIO Y VENTA",D115="GERENCIA INBOUND LINEAS ESPECIALIZADAS"),"Llamadas","Otro")))</f>
        <v/>
      </c>
      <c r="I115" s="23" t="str">
        <f aca="false">IF(A115="","",IF(C115="No encontrado","No","Sí"))</f>
        <v/>
      </c>
      <c r="J115" s="23" t="str">
        <f aca="false">IF(A115="","",IF(F115="Inactivo","No","Sí"))</f>
        <v/>
      </c>
      <c r="K115" s="23" t="str">
        <f aca="false">IF(A115="","",IF(AND(I115="Sí",J115="Sí"),"Sí","No"))</f>
        <v/>
      </c>
    </row>
    <row r="116" customFormat="false" ht="15" hidden="false" customHeight="false" outlineLevel="0" collapsed="false">
      <c r="A116" s="22"/>
      <c r="B116" s="22"/>
      <c r="C116" s="26" t="str">
        <f aca="false">IF(A116="","",IFERROR(buscarx(A116&amp;B116,DATA!$E$3:$E$10000&amp;DATA!$B$3:$B$10000,DATA!$M$3:$M$10000),"No encontrado"))</f>
        <v/>
      </c>
      <c r="D116" s="27" t="str">
        <f aca="false">IF(A116="","",IFERROR(buscarx(A116&amp;B116,DATA!$E$3:$E$10000&amp;DATA!$B$3:$B$10000,DATA!$W$3:$W$10000),"No encontrado"))</f>
        <v/>
      </c>
      <c r="E116" s="22"/>
      <c r="F116" s="26" t="str">
        <f aca="false">IF(A116="","",IFERROR(buscarx(A116&amp;E116,DATA!$E$3:$E$10000&amp;DATA!$B$3:$B$10000,DATA!$M$3:$M$10000),"Inactivo"))</f>
        <v/>
      </c>
      <c r="G116" s="28" t="str">
        <f aca="false">IF(A116="","",IF(AND(C116&lt;&gt;"No encontrado",F116&lt;&gt;"Inactivo"),C116&amp;" → "&amp;F116,"Sin transición"))</f>
        <v/>
      </c>
      <c r="H116" s="26" t="str">
        <f aca="false">IF(A116="","",IF(D116="GCIA LINEA SERVICIO DIGITALIDAD Y VENTAS","Chats",IF(OR(D116="GERENCIA INBOUND LÍNEAS SERVICIO Y VENTA",D116="GERENCIA INBOUND LINEAS ESPECIALIZADAS"),"Llamadas","Otro")))</f>
        <v/>
      </c>
      <c r="I116" s="26" t="str">
        <f aca="false">IF(A116="","",IF(C116="No encontrado","No","Sí"))</f>
        <v/>
      </c>
      <c r="J116" s="26" t="str">
        <f aca="false">IF(A116="","",IF(F116="Inactivo","No","Sí"))</f>
        <v/>
      </c>
      <c r="K116" s="26" t="str">
        <f aca="false">IF(A116="","",IF(AND(I116="Sí",J116="Sí"),"Sí","No"))</f>
        <v/>
      </c>
    </row>
    <row r="117" customFormat="false" ht="15" hidden="false" customHeight="false" outlineLevel="0" collapsed="false">
      <c r="A117" s="22"/>
      <c r="B117" s="22"/>
      <c r="C117" s="23" t="str">
        <f aca="false">IF(A117="","",IFERROR(buscarx(A117&amp;B117,DATA!$E$3:$E$10000&amp;DATA!$B$3:$B$10000,DATA!$M$3:$M$10000),"No encontrado"))</f>
        <v/>
      </c>
      <c r="D117" s="24" t="str">
        <f aca="false">IF(A117="","",IFERROR(buscarx(A117&amp;B117,DATA!$E$3:$E$10000&amp;DATA!$B$3:$B$10000,DATA!$W$3:$W$10000),"No encontrado"))</f>
        <v/>
      </c>
      <c r="E117" s="22"/>
      <c r="F117" s="23" t="str">
        <f aca="false">IF(A117="","",IFERROR(buscarx(A117&amp;E117,DATA!$E$3:$E$10000&amp;DATA!$B$3:$B$10000,DATA!$M$3:$M$10000),"Inactivo"))</f>
        <v/>
      </c>
      <c r="G117" s="25" t="str">
        <f aca="false">IF(A117="","",IF(AND(C117&lt;&gt;"No encontrado",F117&lt;&gt;"Inactivo"),C117&amp;" → "&amp;F117,"Sin transición"))</f>
        <v/>
      </c>
      <c r="H117" s="23" t="str">
        <f aca="false">IF(A117="","",IF(D117="GCIA LINEA SERVICIO DIGITALIDAD Y VENTAS","Chats",IF(OR(D117="GERENCIA INBOUND LÍNEAS SERVICIO Y VENTA",D117="GERENCIA INBOUND LINEAS ESPECIALIZADAS"),"Llamadas","Otro")))</f>
        <v/>
      </c>
      <c r="I117" s="23" t="str">
        <f aca="false">IF(A117="","",IF(C117="No encontrado","No","Sí"))</f>
        <v/>
      </c>
      <c r="J117" s="23" t="str">
        <f aca="false">IF(A117="","",IF(F117="Inactivo","No","Sí"))</f>
        <v/>
      </c>
      <c r="K117" s="23" t="str">
        <f aca="false">IF(A117="","",IF(AND(I117="Sí",J117="Sí"),"Sí","No"))</f>
        <v/>
      </c>
    </row>
    <row r="118" customFormat="false" ht="15" hidden="false" customHeight="false" outlineLevel="0" collapsed="false">
      <c r="A118" s="22"/>
      <c r="B118" s="22"/>
      <c r="C118" s="26" t="str">
        <f aca="false">IF(A118="","",IFERROR(buscarx(A118&amp;B118,DATA!$E$3:$E$10000&amp;DATA!$B$3:$B$10000,DATA!$M$3:$M$10000),"No encontrado"))</f>
        <v/>
      </c>
      <c r="D118" s="27" t="str">
        <f aca="false">IF(A118="","",IFERROR(buscarx(A118&amp;B118,DATA!$E$3:$E$10000&amp;DATA!$B$3:$B$10000,DATA!$W$3:$W$10000),"No encontrado"))</f>
        <v/>
      </c>
      <c r="E118" s="22"/>
      <c r="F118" s="26" t="str">
        <f aca="false">IF(A118="","",IFERROR(buscarx(A118&amp;E118,DATA!$E$3:$E$10000&amp;DATA!$B$3:$B$10000,DATA!$M$3:$M$10000),"Inactivo"))</f>
        <v/>
      </c>
      <c r="G118" s="28" t="str">
        <f aca="false">IF(A118="","",IF(AND(C118&lt;&gt;"No encontrado",F118&lt;&gt;"Inactivo"),C118&amp;" → "&amp;F118,"Sin transición"))</f>
        <v/>
      </c>
      <c r="H118" s="26" t="str">
        <f aca="false">IF(A118="","",IF(D118="GCIA LINEA SERVICIO DIGITALIDAD Y VENTAS","Chats",IF(OR(D118="GERENCIA INBOUND LÍNEAS SERVICIO Y VENTA",D118="GERENCIA INBOUND LINEAS ESPECIALIZADAS"),"Llamadas","Otro")))</f>
        <v/>
      </c>
      <c r="I118" s="26" t="str">
        <f aca="false">IF(A118="","",IF(C118="No encontrado","No","Sí"))</f>
        <v/>
      </c>
      <c r="J118" s="26" t="str">
        <f aca="false">IF(A118="","",IF(F118="Inactivo","No","Sí"))</f>
        <v/>
      </c>
      <c r="K118" s="26" t="str">
        <f aca="false">IF(A118="","",IF(AND(I118="Sí",J118="Sí"),"Sí","No"))</f>
        <v/>
      </c>
    </row>
    <row r="119" customFormat="false" ht="15" hidden="false" customHeight="false" outlineLevel="0" collapsed="false">
      <c r="A119" s="22"/>
      <c r="B119" s="22"/>
      <c r="C119" s="23" t="str">
        <f aca="false">IF(A119="","",IFERROR(buscarx(A119&amp;B119,DATA!$E$3:$E$10000&amp;DATA!$B$3:$B$10000,DATA!$M$3:$M$10000),"No encontrado"))</f>
        <v/>
      </c>
      <c r="D119" s="24" t="str">
        <f aca="false">IF(A119="","",IFERROR(buscarx(A119&amp;B119,DATA!$E$3:$E$10000&amp;DATA!$B$3:$B$10000,DATA!$W$3:$W$10000),"No encontrado"))</f>
        <v/>
      </c>
      <c r="E119" s="22"/>
      <c r="F119" s="23" t="str">
        <f aca="false">IF(A119="","",IFERROR(buscarx(A119&amp;E119,DATA!$E$3:$E$10000&amp;DATA!$B$3:$B$10000,DATA!$M$3:$M$10000),"Inactivo"))</f>
        <v/>
      </c>
      <c r="G119" s="25" t="str">
        <f aca="false">IF(A119="","",IF(AND(C119&lt;&gt;"No encontrado",F119&lt;&gt;"Inactivo"),C119&amp;" → "&amp;F119,"Sin transición"))</f>
        <v/>
      </c>
      <c r="H119" s="23" t="str">
        <f aca="false">IF(A119="","",IF(D119="GCIA LINEA SERVICIO DIGITALIDAD Y VENTAS","Chats",IF(OR(D119="GERENCIA INBOUND LÍNEAS SERVICIO Y VENTA",D119="GERENCIA INBOUND LINEAS ESPECIALIZADAS"),"Llamadas","Otro")))</f>
        <v/>
      </c>
      <c r="I119" s="23" t="str">
        <f aca="false">IF(A119="","",IF(C119="No encontrado","No","Sí"))</f>
        <v/>
      </c>
      <c r="J119" s="23" t="str">
        <f aca="false">IF(A119="","",IF(F119="Inactivo","No","Sí"))</f>
        <v/>
      </c>
      <c r="K119" s="23" t="str">
        <f aca="false">IF(A119="","",IF(AND(I119="Sí",J119="Sí"),"Sí","No"))</f>
        <v/>
      </c>
    </row>
    <row r="120" customFormat="false" ht="15" hidden="false" customHeight="false" outlineLevel="0" collapsed="false">
      <c r="A120" s="22"/>
      <c r="B120" s="22"/>
      <c r="C120" s="26" t="str">
        <f aca="false">IF(A120="","",IFERROR(buscarx(A120&amp;B120,DATA!$E$3:$E$10000&amp;DATA!$B$3:$B$10000,DATA!$M$3:$M$10000),"No encontrado"))</f>
        <v/>
      </c>
      <c r="D120" s="27" t="str">
        <f aca="false">IF(A120="","",IFERROR(buscarx(A120&amp;B120,DATA!$E$3:$E$10000&amp;DATA!$B$3:$B$10000,DATA!$W$3:$W$10000),"No encontrado"))</f>
        <v/>
      </c>
      <c r="E120" s="22"/>
      <c r="F120" s="26" t="str">
        <f aca="false">IF(A120="","",IFERROR(buscarx(A120&amp;E120,DATA!$E$3:$E$10000&amp;DATA!$B$3:$B$10000,DATA!$M$3:$M$10000),"Inactivo"))</f>
        <v/>
      </c>
      <c r="G120" s="28" t="str">
        <f aca="false">IF(A120="","",IF(AND(C120&lt;&gt;"No encontrado",F120&lt;&gt;"Inactivo"),C120&amp;" → "&amp;F120,"Sin transición"))</f>
        <v/>
      </c>
      <c r="H120" s="26" t="str">
        <f aca="false">IF(A120="","",IF(D120="GCIA LINEA SERVICIO DIGITALIDAD Y VENTAS","Chats",IF(OR(D120="GERENCIA INBOUND LÍNEAS SERVICIO Y VENTA",D120="GERENCIA INBOUND LINEAS ESPECIALIZADAS"),"Llamadas","Otro")))</f>
        <v/>
      </c>
      <c r="I120" s="26" t="str">
        <f aca="false">IF(A120="","",IF(C120="No encontrado","No","Sí"))</f>
        <v/>
      </c>
      <c r="J120" s="26" t="str">
        <f aca="false">IF(A120="","",IF(F120="Inactivo","No","Sí"))</f>
        <v/>
      </c>
      <c r="K120" s="26" t="str">
        <f aca="false">IF(A120="","",IF(AND(I120="Sí",J120="Sí"),"Sí","No"))</f>
        <v/>
      </c>
    </row>
    <row r="121" customFormat="false" ht="15" hidden="false" customHeight="false" outlineLevel="0" collapsed="false">
      <c r="A121" s="22"/>
      <c r="B121" s="22"/>
      <c r="C121" s="23" t="str">
        <f aca="false">IF(A121="","",IFERROR(buscarx(A121&amp;B121,DATA!$E$3:$E$10000&amp;DATA!$B$3:$B$10000,DATA!$M$3:$M$10000),"No encontrado"))</f>
        <v/>
      </c>
      <c r="D121" s="24" t="str">
        <f aca="false">IF(A121="","",IFERROR(buscarx(A121&amp;B121,DATA!$E$3:$E$10000&amp;DATA!$B$3:$B$10000,DATA!$W$3:$W$10000),"No encontrado"))</f>
        <v/>
      </c>
      <c r="E121" s="22"/>
      <c r="F121" s="23" t="str">
        <f aca="false">IF(A121="","",IFERROR(buscarx(A121&amp;E121,DATA!$E$3:$E$10000&amp;DATA!$B$3:$B$10000,DATA!$M$3:$M$10000),"Inactivo"))</f>
        <v/>
      </c>
      <c r="G121" s="25" t="str">
        <f aca="false">IF(A121="","",IF(AND(C121&lt;&gt;"No encontrado",F121&lt;&gt;"Inactivo"),C121&amp;" → "&amp;F121,"Sin transición"))</f>
        <v/>
      </c>
      <c r="H121" s="23" t="str">
        <f aca="false">IF(A121="","",IF(D121="GCIA LINEA SERVICIO DIGITALIDAD Y VENTAS","Chats",IF(OR(D121="GERENCIA INBOUND LÍNEAS SERVICIO Y VENTA",D121="GERENCIA INBOUND LINEAS ESPECIALIZADAS"),"Llamadas","Otro")))</f>
        <v/>
      </c>
      <c r="I121" s="23" t="str">
        <f aca="false">IF(A121="","",IF(C121="No encontrado","No","Sí"))</f>
        <v/>
      </c>
      <c r="J121" s="23" t="str">
        <f aca="false">IF(A121="","",IF(F121="Inactivo","No","Sí"))</f>
        <v/>
      </c>
      <c r="K121" s="23" t="str">
        <f aca="false">IF(A121="","",IF(AND(I121="Sí",J121="Sí"),"Sí","No"))</f>
        <v/>
      </c>
    </row>
    <row r="122" customFormat="false" ht="15" hidden="false" customHeight="false" outlineLevel="0" collapsed="false">
      <c r="A122" s="22"/>
      <c r="B122" s="22"/>
      <c r="C122" s="26" t="str">
        <f aca="false">IF(A122="","",IFERROR(buscarx(A122&amp;B122,DATA!$E$3:$E$10000&amp;DATA!$B$3:$B$10000,DATA!$M$3:$M$10000),"No encontrado"))</f>
        <v/>
      </c>
      <c r="D122" s="27" t="str">
        <f aca="false">IF(A122="","",IFERROR(buscarx(A122&amp;B122,DATA!$E$3:$E$10000&amp;DATA!$B$3:$B$10000,DATA!$W$3:$W$10000),"No encontrado"))</f>
        <v/>
      </c>
      <c r="E122" s="22"/>
      <c r="F122" s="26" t="str">
        <f aca="false">IF(A122="","",IFERROR(buscarx(A122&amp;E122,DATA!$E$3:$E$10000&amp;DATA!$B$3:$B$10000,DATA!$M$3:$M$10000),"Inactivo"))</f>
        <v/>
      </c>
      <c r="G122" s="28" t="str">
        <f aca="false">IF(A122="","",IF(AND(C122&lt;&gt;"No encontrado",F122&lt;&gt;"Inactivo"),C122&amp;" → "&amp;F122,"Sin transición"))</f>
        <v/>
      </c>
      <c r="H122" s="26" t="str">
        <f aca="false">IF(A122="","",IF(D122="GCIA LINEA SERVICIO DIGITALIDAD Y VENTAS","Chats",IF(OR(D122="GERENCIA INBOUND LÍNEAS SERVICIO Y VENTA",D122="GERENCIA INBOUND LINEAS ESPECIALIZADAS"),"Llamadas","Otro")))</f>
        <v/>
      </c>
      <c r="I122" s="26" t="str">
        <f aca="false">IF(A122="","",IF(C122="No encontrado","No","Sí"))</f>
        <v/>
      </c>
      <c r="J122" s="26" t="str">
        <f aca="false">IF(A122="","",IF(F122="Inactivo","No","Sí"))</f>
        <v/>
      </c>
      <c r="K122" s="26" t="str">
        <f aca="false">IF(A122="","",IF(AND(I122="Sí",J122="Sí"),"Sí","No"))</f>
        <v/>
      </c>
    </row>
    <row r="123" customFormat="false" ht="15" hidden="false" customHeight="false" outlineLevel="0" collapsed="false">
      <c r="A123" s="22"/>
      <c r="B123" s="22"/>
      <c r="C123" s="23" t="str">
        <f aca="false">IF(A123="","",IFERROR(buscarx(A123&amp;B123,DATA!$E$3:$E$10000&amp;DATA!$B$3:$B$10000,DATA!$M$3:$M$10000),"No encontrado"))</f>
        <v/>
      </c>
      <c r="D123" s="24" t="str">
        <f aca="false">IF(A123="","",IFERROR(buscarx(A123&amp;B123,DATA!$E$3:$E$10000&amp;DATA!$B$3:$B$10000,DATA!$W$3:$W$10000),"No encontrado"))</f>
        <v/>
      </c>
      <c r="E123" s="22"/>
      <c r="F123" s="23" t="str">
        <f aca="false">IF(A123="","",IFERROR(buscarx(A123&amp;E123,DATA!$E$3:$E$10000&amp;DATA!$B$3:$B$10000,DATA!$M$3:$M$10000),"Inactivo"))</f>
        <v/>
      </c>
      <c r="G123" s="25" t="str">
        <f aca="false">IF(A123="","",IF(AND(C123&lt;&gt;"No encontrado",F123&lt;&gt;"Inactivo"),C123&amp;" → "&amp;F123,"Sin transición"))</f>
        <v/>
      </c>
      <c r="H123" s="23" t="str">
        <f aca="false">IF(A123="","",IF(D123="GCIA LINEA SERVICIO DIGITALIDAD Y VENTAS","Chats",IF(OR(D123="GERENCIA INBOUND LÍNEAS SERVICIO Y VENTA",D123="GERENCIA INBOUND LINEAS ESPECIALIZADAS"),"Llamadas","Otro")))</f>
        <v/>
      </c>
      <c r="I123" s="23" t="str">
        <f aca="false">IF(A123="","",IF(C123="No encontrado","No","Sí"))</f>
        <v/>
      </c>
      <c r="J123" s="23" t="str">
        <f aca="false">IF(A123="","",IF(F123="Inactivo","No","Sí"))</f>
        <v/>
      </c>
      <c r="K123" s="23" t="str">
        <f aca="false">IF(A123="","",IF(AND(I123="Sí",J123="Sí"),"Sí","No"))</f>
        <v/>
      </c>
    </row>
    <row r="124" customFormat="false" ht="15" hidden="false" customHeight="false" outlineLevel="0" collapsed="false">
      <c r="A124" s="22"/>
      <c r="B124" s="22"/>
      <c r="C124" s="26" t="str">
        <f aca="false">IF(A124="","",IFERROR(buscarx(A124&amp;B124,DATA!$E$3:$E$10000&amp;DATA!$B$3:$B$10000,DATA!$M$3:$M$10000),"No encontrado"))</f>
        <v/>
      </c>
      <c r="D124" s="27" t="str">
        <f aca="false">IF(A124="","",IFERROR(buscarx(A124&amp;B124,DATA!$E$3:$E$10000&amp;DATA!$B$3:$B$10000,DATA!$W$3:$W$10000),"No encontrado"))</f>
        <v/>
      </c>
      <c r="E124" s="22"/>
      <c r="F124" s="26" t="str">
        <f aca="false">IF(A124="","",IFERROR(buscarx(A124&amp;E124,DATA!$E$3:$E$10000&amp;DATA!$B$3:$B$10000,DATA!$M$3:$M$10000),"Inactivo"))</f>
        <v/>
      </c>
      <c r="G124" s="28" t="str">
        <f aca="false">IF(A124="","",IF(AND(C124&lt;&gt;"No encontrado",F124&lt;&gt;"Inactivo"),C124&amp;" → "&amp;F124,"Sin transición"))</f>
        <v/>
      </c>
      <c r="H124" s="26" t="str">
        <f aca="false">IF(A124="","",IF(D124="GCIA LINEA SERVICIO DIGITALIDAD Y VENTAS","Chats",IF(OR(D124="GERENCIA INBOUND LÍNEAS SERVICIO Y VENTA",D124="GERENCIA INBOUND LINEAS ESPECIALIZADAS"),"Llamadas","Otro")))</f>
        <v/>
      </c>
      <c r="I124" s="26" t="str">
        <f aca="false">IF(A124="","",IF(C124="No encontrado","No","Sí"))</f>
        <v/>
      </c>
      <c r="J124" s="26" t="str">
        <f aca="false">IF(A124="","",IF(F124="Inactivo","No","Sí"))</f>
        <v/>
      </c>
      <c r="K124" s="26" t="str">
        <f aca="false">IF(A124="","",IF(AND(I124="Sí",J124="Sí"),"Sí","No"))</f>
        <v/>
      </c>
    </row>
    <row r="125" customFormat="false" ht="15" hidden="false" customHeight="false" outlineLevel="0" collapsed="false">
      <c r="A125" s="22"/>
      <c r="B125" s="22"/>
      <c r="C125" s="23" t="str">
        <f aca="false">IF(A125="","",IFERROR(buscarx(A125&amp;B125,DATA!$E$3:$E$10000&amp;DATA!$B$3:$B$10000,DATA!$M$3:$M$10000),"No encontrado"))</f>
        <v/>
      </c>
      <c r="D125" s="24" t="str">
        <f aca="false">IF(A125="","",IFERROR(buscarx(A125&amp;B125,DATA!$E$3:$E$10000&amp;DATA!$B$3:$B$10000,DATA!$W$3:$W$10000),"No encontrado"))</f>
        <v/>
      </c>
      <c r="E125" s="22"/>
      <c r="F125" s="23" t="str">
        <f aca="false">IF(A125="","",IFERROR(buscarx(A125&amp;E125,DATA!$E$3:$E$10000&amp;DATA!$B$3:$B$10000,DATA!$M$3:$M$10000),"Inactivo"))</f>
        <v/>
      </c>
      <c r="G125" s="25" t="str">
        <f aca="false">IF(A125="","",IF(AND(C125&lt;&gt;"No encontrado",F125&lt;&gt;"Inactivo"),C125&amp;" → "&amp;F125,"Sin transición"))</f>
        <v/>
      </c>
      <c r="H125" s="23" t="str">
        <f aca="false">IF(A125="","",IF(D125="GCIA LINEA SERVICIO DIGITALIDAD Y VENTAS","Chats",IF(OR(D125="GERENCIA INBOUND LÍNEAS SERVICIO Y VENTA",D125="GERENCIA INBOUND LINEAS ESPECIALIZADAS"),"Llamadas","Otro")))</f>
        <v/>
      </c>
      <c r="I125" s="23" t="str">
        <f aca="false">IF(A125="","",IF(C125="No encontrado","No","Sí"))</f>
        <v/>
      </c>
      <c r="J125" s="23" t="str">
        <f aca="false">IF(A125="","",IF(F125="Inactivo","No","Sí"))</f>
        <v/>
      </c>
      <c r="K125" s="23" t="str">
        <f aca="false">IF(A125="","",IF(AND(I125="Sí",J125="Sí"),"Sí","No"))</f>
        <v/>
      </c>
    </row>
    <row r="126" customFormat="false" ht="15" hidden="false" customHeight="false" outlineLevel="0" collapsed="false">
      <c r="A126" s="22"/>
      <c r="B126" s="22"/>
      <c r="C126" s="26" t="str">
        <f aca="false">IF(A126="","",IFERROR(buscarx(A126&amp;B126,DATA!$E$3:$E$10000&amp;DATA!$B$3:$B$10000,DATA!$M$3:$M$10000),"No encontrado"))</f>
        <v/>
      </c>
      <c r="D126" s="27" t="str">
        <f aca="false">IF(A126="","",IFERROR(buscarx(A126&amp;B126,DATA!$E$3:$E$10000&amp;DATA!$B$3:$B$10000,DATA!$W$3:$W$10000),"No encontrado"))</f>
        <v/>
      </c>
      <c r="E126" s="22"/>
      <c r="F126" s="26" t="str">
        <f aca="false">IF(A126="","",IFERROR(buscarx(A126&amp;E126,DATA!$E$3:$E$10000&amp;DATA!$B$3:$B$10000,DATA!$M$3:$M$10000),"Inactivo"))</f>
        <v/>
      </c>
      <c r="G126" s="28" t="str">
        <f aca="false">IF(A126="","",IF(AND(C126&lt;&gt;"No encontrado",F126&lt;&gt;"Inactivo"),C126&amp;" → "&amp;F126,"Sin transición"))</f>
        <v/>
      </c>
      <c r="H126" s="26" t="str">
        <f aca="false">IF(A126="","",IF(D126="GCIA LINEA SERVICIO DIGITALIDAD Y VENTAS","Chats",IF(OR(D126="GERENCIA INBOUND LÍNEAS SERVICIO Y VENTA",D126="GERENCIA INBOUND LINEAS ESPECIALIZADAS"),"Llamadas","Otro")))</f>
        <v/>
      </c>
      <c r="I126" s="26" t="str">
        <f aca="false">IF(A126="","",IF(C126="No encontrado","No","Sí"))</f>
        <v/>
      </c>
      <c r="J126" s="26" t="str">
        <f aca="false">IF(A126="","",IF(F126="Inactivo","No","Sí"))</f>
        <v/>
      </c>
      <c r="K126" s="26" t="str">
        <f aca="false">IF(A126="","",IF(AND(I126="Sí",J126="Sí"),"Sí","No"))</f>
        <v/>
      </c>
    </row>
    <row r="127" customFormat="false" ht="15" hidden="false" customHeight="false" outlineLevel="0" collapsed="false">
      <c r="A127" s="22"/>
      <c r="B127" s="22"/>
      <c r="C127" s="23" t="str">
        <f aca="false">IF(A127="","",IFERROR(buscarx(A127&amp;B127,DATA!$E$3:$E$10000&amp;DATA!$B$3:$B$10000,DATA!$M$3:$M$10000),"No encontrado"))</f>
        <v/>
      </c>
      <c r="D127" s="24" t="str">
        <f aca="false">IF(A127="","",IFERROR(buscarx(A127&amp;B127,DATA!$E$3:$E$10000&amp;DATA!$B$3:$B$10000,DATA!$W$3:$W$10000),"No encontrado"))</f>
        <v/>
      </c>
      <c r="E127" s="22"/>
      <c r="F127" s="23" t="str">
        <f aca="false">IF(A127="","",IFERROR(buscarx(A127&amp;E127,DATA!$E$3:$E$10000&amp;DATA!$B$3:$B$10000,DATA!$M$3:$M$10000),"Inactivo"))</f>
        <v/>
      </c>
      <c r="G127" s="25" t="str">
        <f aca="false">IF(A127="","",IF(AND(C127&lt;&gt;"No encontrado",F127&lt;&gt;"Inactivo"),C127&amp;" → "&amp;F127,"Sin transición"))</f>
        <v/>
      </c>
      <c r="H127" s="23" t="str">
        <f aca="false">IF(A127="","",IF(D127="GCIA LINEA SERVICIO DIGITALIDAD Y VENTAS","Chats",IF(OR(D127="GERENCIA INBOUND LÍNEAS SERVICIO Y VENTA",D127="GERENCIA INBOUND LINEAS ESPECIALIZADAS"),"Llamadas","Otro")))</f>
        <v/>
      </c>
      <c r="I127" s="23" t="str">
        <f aca="false">IF(A127="","",IF(C127="No encontrado","No","Sí"))</f>
        <v/>
      </c>
      <c r="J127" s="23" t="str">
        <f aca="false">IF(A127="","",IF(F127="Inactivo","No","Sí"))</f>
        <v/>
      </c>
      <c r="K127" s="23" t="str">
        <f aca="false">IF(A127="","",IF(AND(I127="Sí",J127="Sí"),"Sí","No"))</f>
        <v/>
      </c>
    </row>
    <row r="128" customFormat="false" ht="15" hidden="false" customHeight="false" outlineLevel="0" collapsed="false">
      <c r="A128" s="22"/>
      <c r="B128" s="22"/>
      <c r="C128" s="26" t="str">
        <f aca="false">IF(A128="","",IFERROR(buscarx(A128&amp;B128,DATA!$E$3:$E$10000&amp;DATA!$B$3:$B$10000,DATA!$M$3:$M$10000),"No encontrado"))</f>
        <v/>
      </c>
      <c r="D128" s="27" t="str">
        <f aca="false">IF(A128="","",IFERROR(buscarx(A128&amp;B128,DATA!$E$3:$E$10000&amp;DATA!$B$3:$B$10000,DATA!$W$3:$W$10000),"No encontrado"))</f>
        <v/>
      </c>
      <c r="E128" s="22"/>
      <c r="F128" s="26" t="str">
        <f aca="false">IF(A128="","",IFERROR(buscarx(A128&amp;E128,DATA!$E$3:$E$10000&amp;DATA!$B$3:$B$10000,DATA!$M$3:$M$10000),"Inactivo"))</f>
        <v/>
      </c>
      <c r="G128" s="28" t="str">
        <f aca="false">IF(A128="","",IF(AND(C128&lt;&gt;"No encontrado",F128&lt;&gt;"Inactivo"),C128&amp;" → "&amp;F128,"Sin transición"))</f>
        <v/>
      </c>
      <c r="H128" s="26" t="str">
        <f aca="false">IF(A128="","",IF(D128="GCIA LINEA SERVICIO DIGITALIDAD Y VENTAS","Chats",IF(OR(D128="GERENCIA INBOUND LÍNEAS SERVICIO Y VENTA",D128="GERENCIA INBOUND LINEAS ESPECIALIZADAS"),"Llamadas","Otro")))</f>
        <v/>
      </c>
      <c r="I128" s="26" t="str">
        <f aca="false">IF(A128="","",IF(C128="No encontrado","No","Sí"))</f>
        <v/>
      </c>
      <c r="J128" s="26" t="str">
        <f aca="false">IF(A128="","",IF(F128="Inactivo","No","Sí"))</f>
        <v/>
      </c>
      <c r="K128" s="26" t="str">
        <f aca="false">IF(A128="","",IF(AND(I128="Sí",J128="Sí"),"Sí","No"))</f>
        <v/>
      </c>
    </row>
    <row r="129" customFormat="false" ht="15" hidden="false" customHeight="false" outlineLevel="0" collapsed="false">
      <c r="A129" s="22"/>
      <c r="B129" s="22"/>
      <c r="C129" s="23" t="str">
        <f aca="false">IF(A129="","",IFERROR(buscarx(A129&amp;B129,DATA!$E$3:$E$10000&amp;DATA!$B$3:$B$10000,DATA!$M$3:$M$10000),"No encontrado"))</f>
        <v/>
      </c>
      <c r="D129" s="24" t="str">
        <f aca="false">IF(A129="","",IFERROR(buscarx(A129&amp;B129,DATA!$E$3:$E$10000&amp;DATA!$B$3:$B$10000,DATA!$W$3:$W$10000),"No encontrado"))</f>
        <v/>
      </c>
      <c r="E129" s="22"/>
      <c r="F129" s="23" t="str">
        <f aca="false">IF(A129="","",IFERROR(buscarx(A129&amp;E129,DATA!$E$3:$E$10000&amp;DATA!$B$3:$B$10000,DATA!$M$3:$M$10000),"Inactivo"))</f>
        <v/>
      </c>
      <c r="G129" s="25" t="str">
        <f aca="false">IF(A129="","",IF(AND(C129&lt;&gt;"No encontrado",F129&lt;&gt;"Inactivo"),C129&amp;" → "&amp;F129,"Sin transición"))</f>
        <v/>
      </c>
      <c r="H129" s="23" t="str">
        <f aca="false">IF(A129="","",IF(D129="GCIA LINEA SERVICIO DIGITALIDAD Y VENTAS","Chats",IF(OR(D129="GERENCIA INBOUND LÍNEAS SERVICIO Y VENTA",D129="GERENCIA INBOUND LINEAS ESPECIALIZADAS"),"Llamadas","Otro")))</f>
        <v/>
      </c>
      <c r="I129" s="23" t="str">
        <f aca="false">IF(A129="","",IF(C129="No encontrado","No","Sí"))</f>
        <v/>
      </c>
      <c r="J129" s="23" t="str">
        <f aca="false">IF(A129="","",IF(F129="Inactivo","No","Sí"))</f>
        <v/>
      </c>
      <c r="K129" s="23" t="str">
        <f aca="false">IF(A129="","",IF(AND(I129="Sí",J129="Sí"),"Sí","No"))</f>
        <v/>
      </c>
    </row>
    <row r="130" customFormat="false" ht="15" hidden="false" customHeight="false" outlineLevel="0" collapsed="false">
      <c r="A130" s="22"/>
      <c r="B130" s="22"/>
      <c r="C130" s="26" t="str">
        <f aca="false">IF(A130="","",IFERROR(buscarx(A130&amp;B130,DATA!$E$3:$E$10000&amp;DATA!$B$3:$B$10000,DATA!$M$3:$M$10000),"No encontrado"))</f>
        <v/>
      </c>
      <c r="D130" s="27" t="str">
        <f aca="false">IF(A130="","",IFERROR(buscarx(A130&amp;B130,DATA!$E$3:$E$10000&amp;DATA!$B$3:$B$10000,DATA!$W$3:$W$10000),"No encontrado"))</f>
        <v/>
      </c>
      <c r="E130" s="22"/>
      <c r="F130" s="26" t="str">
        <f aca="false">IF(A130="","",IFERROR(buscarx(A130&amp;E130,DATA!$E$3:$E$10000&amp;DATA!$B$3:$B$10000,DATA!$M$3:$M$10000),"Inactivo"))</f>
        <v/>
      </c>
      <c r="G130" s="28" t="str">
        <f aca="false">IF(A130="","",IF(AND(C130&lt;&gt;"No encontrado",F130&lt;&gt;"Inactivo"),C130&amp;" → "&amp;F130,"Sin transición"))</f>
        <v/>
      </c>
      <c r="H130" s="26" t="str">
        <f aca="false">IF(A130="","",IF(D130="GCIA LINEA SERVICIO DIGITALIDAD Y VENTAS","Chats",IF(OR(D130="GERENCIA INBOUND LÍNEAS SERVICIO Y VENTA",D130="GERENCIA INBOUND LINEAS ESPECIALIZADAS"),"Llamadas","Otro")))</f>
        <v/>
      </c>
      <c r="I130" s="26" t="str">
        <f aca="false">IF(A130="","",IF(C130="No encontrado","No","Sí"))</f>
        <v/>
      </c>
      <c r="J130" s="26" t="str">
        <f aca="false">IF(A130="","",IF(F130="Inactivo","No","Sí"))</f>
        <v/>
      </c>
      <c r="K130" s="26" t="str">
        <f aca="false">IF(A130="","",IF(AND(I130="Sí",J130="Sí"),"Sí","No"))</f>
        <v/>
      </c>
    </row>
    <row r="131" customFormat="false" ht="15" hidden="false" customHeight="false" outlineLevel="0" collapsed="false">
      <c r="A131" s="22"/>
      <c r="B131" s="22"/>
      <c r="C131" s="23" t="str">
        <f aca="false">IF(A131="","",IFERROR(buscarx(A131&amp;B131,DATA!$E$3:$E$10000&amp;DATA!$B$3:$B$10000,DATA!$M$3:$M$10000),"No encontrado"))</f>
        <v/>
      </c>
      <c r="D131" s="24" t="str">
        <f aca="false">IF(A131="","",IFERROR(buscarx(A131&amp;B131,DATA!$E$3:$E$10000&amp;DATA!$B$3:$B$10000,DATA!$W$3:$W$10000),"No encontrado"))</f>
        <v/>
      </c>
      <c r="E131" s="22"/>
      <c r="F131" s="23" t="str">
        <f aca="false">IF(A131="","",IFERROR(buscarx(A131&amp;E131,DATA!$E$3:$E$10000&amp;DATA!$B$3:$B$10000,DATA!$M$3:$M$10000),"Inactivo"))</f>
        <v/>
      </c>
      <c r="G131" s="25" t="str">
        <f aca="false">IF(A131="","",IF(AND(C131&lt;&gt;"No encontrado",F131&lt;&gt;"Inactivo"),C131&amp;" → "&amp;F131,"Sin transición"))</f>
        <v/>
      </c>
      <c r="H131" s="23" t="str">
        <f aca="false">IF(A131="","",IF(D131="GCIA LINEA SERVICIO DIGITALIDAD Y VENTAS","Chats",IF(OR(D131="GERENCIA INBOUND LÍNEAS SERVICIO Y VENTA",D131="GERENCIA INBOUND LINEAS ESPECIALIZADAS"),"Llamadas","Otro")))</f>
        <v/>
      </c>
      <c r="I131" s="23" t="str">
        <f aca="false">IF(A131="","",IF(C131="No encontrado","No","Sí"))</f>
        <v/>
      </c>
      <c r="J131" s="23" t="str">
        <f aca="false">IF(A131="","",IF(F131="Inactivo","No","Sí"))</f>
        <v/>
      </c>
      <c r="K131" s="23" t="str">
        <f aca="false">IF(A131="","",IF(AND(I131="Sí",J131="Sí"),"Sí","No"))</f>
        <v/>
      </c>
    </row>
    <row r="132" customFormat="false" ht="15" hidden="false" customHeight="false" outlineLevel="0" collapsed="false">
      <c r="A132" s="22"/>
      <c r="B132" s="22"/>
      <c r="C132" s="26" t="str">
        <f aca="false">IF(A132="","",IFERROR(buscarx(A132&amp;B132,DATA!$E$3:$E$10000&amp;DATA!$B$3:$B$10000,DATA!$M$3:$M$10000),"No encontrado"))</f>
        <v/>
      </c>
      <c r="D132" s="27" t="str">
        <f aca="false">IF(A132="","",IFERROR(buscarx(A132&amp;B132,DATA!$E$3:$E$10000&amp;DATA!$B$3:$B$10000,DATA!$W$3:$W$10000),"No encontrado"))</f>
        <v/>
      </c>
      <c r="E132" s="22"/>
      <c r="F132" s="26" t="str">
        <f aca="false">IF(A132="","",IFERROR(buscarx(A132&amp;E132,DATA!$E$3:$E$10000&amp;DATA!$B$3:$B$10000,DATA!$M$3:$M$10000),"Inactivo"))</f>
        <v/>
      </c>
      <c r="G132" s="28" t="str">
        <f aca="false">IF(A132="","",IF(AND(C132&lt;&gt;"No encontrado",F132&lt;&gt;"Inactivo"),C132&amp;" → "&amp;F132,"Sin transición"))</f>
        <v/>
      </c>
      <c r="H132" s="26" t="str">
        <f aca="false">IF(A132="","",IF(D132="GCIA LINEA SERVICIO DIGITALIDAD Y VENTAS","Chats",IF(OR(D132="GERENCIA INBOUND LÍNEAS SERVICIO Y VENTA",D132="GERENCIA INBOUND LINEAS ESPECIALIZADAS"),"Llamadas","Otro")))</f>
        <v/>
      </c>
      <c r="I132" s="26" t="str">
        <f aca="false">IF(A132="","",IF(C132="No encontrado","No","Sí"))</f>
        <v/>
      </c>
      <c r="J132" s="26" t="str">
        <f aca="false">IF(A132="","",IF(F132="Inactivo","No","Sí"))</f>
        <v/>
      </c>
      <c r="K132" s="26" t="str">
        <f aca="false">IF(A132="","",IF(AND(I132="Sí",J132="Sí"),"Sí","No"))</f>
        <v/>
      </c>
    </row>
    <row r="133" customFormat="false" ht="15" hidden="false" customHeight="false" outlineLevel="0" collapsed="false">
      <c r="A133" s="22"/>
      <c r="B133" s="22"/>
      <c r="C133" s="23" t="str">
        <f aca="false">IF(A133="","",IFERROR(buscarx(A133&amp;B133,DATA!$E$3:$E$10000&amp;DATA!$B$3:$B$10000,DATA!$M$3:$M$10000),"No encontrado"))</f>
        <v/>
      </c>
      <c r="D133" s="24" t="str">
        <f aca="false">IF(A133="","",IFERROR(buscarx(A133&amp;B133,DATA!$E$3:$E$10000&amp;DATA!$B$3:$B$10000,DATA!$W$3:$W$10000),"No encontrado"))</f>
        <v/>
      </c>
      <c r="E133" s="22"/>
      <c r="F133" s="23" t="str">
        <f aca="false">IF(A133="","",IFERROR(buscarx(A133&amp;E133,DATA!$E$3:$E$10000&amp;DATA!$B$3:$B$10000,DATA!$M$3:$M$10000),"Inactivo"))</f>
        <v/>
      </c>
      <c r="G133" s="25" t="str">
        <f aca="false">IF(A133="","",IF(AND(C133&lt;&gt;"No encontrado",F133&lt;&gt;"Inactivo"),C133&amp;" → "&amp;F133,"Sin transición"))</f>
        <v/>
      </c>
      <c r="H133" s="23" t="str">
        <f aca="false">IF(A133="","",IF(D133="GCIA LINEA SERVICIO DIGITALIDAD Y VENTAS","Chats",IF(OR(D133="GERENCIA INBOUND LÍNEAS SERVICIO Y VENTA",D133="GERENCIA INBOUND LINEAS ESPECIALIZADAS"),"Llamadas","Otro")))</f>
        <v/>
      </c>
      <c r="I133" s="23" t="str">
        <f aca="false">IF(A133="","",IF(C133="No encontrado","No","Sí"))</f>
        <v/>
      </c>
      <c r="J133" s="23" t="str">
        <f aca="false">IF(A133="","",IF(F133="Inactivo","No","Sí"))</f>
        <v/>
      </c>
      <c r="K133" s="23" t="str">
        <f aca="false">IF(A133="","",IF(AND(I133="Sí",J133="Sí"),"Sí","No"))</f>
        <v/>
      </c>
    </row>
    <row r="134" customFormat="false" ht="15" hidden="false" customHeight="false" outlineLevel="0" collapsed="false">
      <c r="A134" s="22"/>
      <c r="B134" s="22"/>
      <c r="C134" s="26" t="str">
        <f aca="false">IF(A134="","",IFERROR(buscarx(A134&amp;B134,DATA!$E$3:$E$10000&amp;DATA!$B$3:$B$10000,DATA!$M$3:$M$10000),"No encontrado"))</f>
        <v/>
      </c>
      <c r="D134" s="27" t="str">
        <f aca="false">IF(A134="","",IFERROR(buscarx(A134&amp;B134,DATA!$E$3:$E$10000&amp;DATA!$B$3:$B$10000,DATA!$W$3:$W$10000),"No encontrado"))</f>
        <v/>
      </c>
      <c r="E134" s="22"/>
      <c r="F134" s="26" t="str">
        <f aca="false">IF(A134="","",IFERROR(buscarx(A134&amp;E134,DATA!$E$3:$E$10000&amp;DATA!$B$3:$B$10000,DATA!$M$3:$M$10000),"Inactivo"))</f>
        <v/>
      </c>
      <c r="G134" s="28" t="str">
        <f aca="false">IF(A134="","",IF(AND(C134&lt;&gt;"No encontrado",F134&lt;&gt;"Inactivo"),C134&amp;" → "&amp;F134,"Sin transición"))</f>
        <v/>
      </c>
      <c r="H134" s="26" t="str">
        <f aca="false">IF(A134="","",IF(D134="GCIA LINEA SERVICIO DIGITALIDAD Y VENTAS","Chats",IF(OR(D134="GERENCIA INBOUND LÍNEAS SERVICIO Y VENTA",D134="GERENCIA INBOUND LINEAS ESPECIALIZADAS"),"Llamadas","Otro")))</f>
        <v/>
      </c>
      <c r="I134" s="26" t="str">
        <f aca="false">IF(A134="","",IF(C134="No encontrado","No","Sí"))</f>
        <v/>
      </c>
      <c r="J134" s="26" t="str">
        <f aca="false">IF(A134="","",IF(F134="Inactivo","No","Sí"))</f>
        <v/>
      </c>
      <c r="K134" s="26" t="str">
        <f aca="false">IF(A134="","",IF(AND(I134="Sí",J134="Sí"),"Sí","No"))</f>
        <v/>
      </c>
    </row>
    <row r="135" customFormat="false" ht="15" hidden="false" customHeight="false" outlineLevel="0" collapsed="false">
      <c r="A135" s="22"/>
      <c r="B135" s="22"/>
      <c r="C135" s="23" t="str">
        <f aca="false">IF(A135="","",IFERROR(buscarx(A135&amp;B135,DATA!$E$3:$E$10000&amp;DATA!$B$3:$B$10000,DATA!$M$3:$M$10000),"No encontrado"))</f>
        <v/>
      </c>
      <c r="D135" s="24" t="str">
        <f aca="false">IF(A135="","",IFERROR(buscarx(A135&amp;B135,DATA!$E$3:$E$10000&amp;DATA!$B$3:$B$10000,DATA!$W$3:$W$10000),"No encontrado"))</f>
        <v/>
      </c>
      <c r="E135" s="22"/>
      <c r="F135" s="23" t="str">
        <f aca="false">IF(A135="","",IFERROR(buscarx(A135&amp;E135,DATA!$E$3:$E$10000&amp;DATA!$B$3:$B$10000,DATA!$M$3:$M$10000),"Inactivo"))</f>
        <v/>
      </c>
      <c r="G135" s="25" t="str">
        <f aca="false">IF(A135="","",IF(AND(C135&lt;&gt;"No encontrado",F135&lt;&gt;"Inactivo"),C135&amp;" → "&amp;F135,"Sin transición"))</f>
        <v/>
      </c>
      <c r="H135" s="23" t="str">
        <f aca="false">IF(A135="","",IF(D135="GCIA LINEA SERVICIO DIGITALIDAD Y VENTAS","Chats",IF(OR(D135="GERENCIA INBOUND LÍNEAS SERVICIO Y VENTA",D135="GERENCIA INBOUND LINEAS ESPECIALIZADAS"),"Llamadas","Otro")))</f>
        <v/>
      </c>
      <c r="I135" s="23" t="str">
        <f aca="false">IF(A135="","",IF(C135="No encontrado","No","Sí"))</f>
        <v/>
      </c>
      <c r="J135" s="23" t="str">
        <f aca="false">IF(A135="","",IF(F135="Inactivo","No","Sí"))</f>
        <v/>
      </c>
      <c r="K135" s="23" t="str">
        <f aca="false">IF(A135="","",IF(AND(I135="Sí",J135="Sí"),"Sí","No"))</f>
        <v/>
      </c>
    </row>
    <row r="136" customFormat="false" ht="15" hidden="false" customHeight="false" outlineLevel="0" collapsed="false">
      <c r="A136" s="22"/>
      <c r="B136" s="22"/>
      <c r="C136" s="26" t="str">
        <f aca="false">IF(A136="","",IFERROR(buscarx(A136&amp;B136,DATA!$E$3:$E$10000&amp;DATA!$B$3:$B$10000,DATA!$M$3:$M$10000),"No encontrado"))</f>
        <v/>
      </c>
      <c r="D136" s="27" t="str">
        <f aca="false">IF(A136="","",IFERROR(buscarx(A136&amp;B136,DATA!$E$3:$E$10000&amp;DATA!$B$3:$B$10000,DATA!$W$3:$W$10000),"No encontrado"))</f>
        <v/>
      </c>
      <c r="E136" s="22"/>
      <c r="F136" s="26" t="str">
        <f aca="false">IF(A136="","",IFERROR(buscarx(A136&amp;E136,DATA!$E$3:$E$10000&amp;DATA!$B$3:$B$10000,DATA!$M$3:$M$10000),"Inactivo"))</f>
        <v/>
      </c>
      <c r="G136" s="28" t="str">
        <f aca="false">IF(A136="","",IF(AND(C136&lt;&gt;"No encontrado",F136&lt;&gt;"Inactivo"),C136&amp;" → "&amp;F136,"Sin transición"))</f>
        <v/>
      </c>
      <c r="H136" s="26" t="str">
        <f aca="false">IF(A136="","",IF(D136="GCIA LINEA SERVICIO DIGITALIDAD Y VENTAS","Chats",IF(OR(D136="GERENCIA INBOUND LÍNEAS SERVICIO Y VENTA",D136="GERENCIA INBOUND LINEAS ESPECIALIZADAS"),"Llamadas","Otro")))</f>
        <v/>
      </c>
      <c r="I136" s="26" t="str">
        <f aca="false">IF(A136="","",IF(C136="No encontrado","No","Sí"))</f>
        <v/>
      </c>
      <c r="J136" s="26" t="str">
        <f aca="false">IF(A136="","",IF(F136="Inactivo","No","Sí"))</f>
        <v/>
      </c>
      <c r="K136" s="26" t="str">
        <f aca="false">IF(A136="","",IF(AND(I136="Sí",J136="Sí"),"Sí","No"))</f>
        <v/>
      </c>
    </row>
    <row r="137" customFormat="false" ht="15" hidden="false" customHeight="false" outlineLevel="0" collapsed="false">
      <c r="A137" s="22"/>
      <c r="B137" s="22"/>
      <c r="C137" s="23" t="str">
        <f aca="false">IF(A137="","",IFERROR(buscarx(A137&amp;B137,DATA!$E$3:$E$10000&amp;DATA!$B$3:$B$10000,DATA!$M$3:$M$10000),"No encontrado"))</f>
        <v/>
      </c>
      <c r="D137" s="24" t="str">
        <f aca="false">IF(A137="","",IFERROR(buscarx(A137&amp;B137,DATA!$E$3:$E$10000&amp;DATA!$B$3:$B$10000,DATA!$W$3:$W$10000),"No encontrado"))</f>
        <v/>
      </c>
      <c r="E137" s="22"/>
      <c r="F137" s="23" t="str">
        <f aca="false">IF(A137="","",IFERROR(buscarx(A137&amp;E137,DATA!$E$3:$E$10000&amp;DATA!$B$3:$B$10000,DATA!$M$3:$M$10000),"Inactivo"))</f>
        <v/>
      </c>
      <c r="G137" s="25" t="str">
        <f aca="false">IF(A137="","",IF(AND(C137&lt;&gt;"No encontrado",F137&lt;&gt;"Inactivo"),C137&amp;" → "&amp;F137,"Sin transición"))</f>
        <v/>
      </c>
      <c r="H137" s="23" t="str">
        <f aca="false">IF(A137="","",IF(D137="GCIA LINEA SERVICIO DIGITALIDAD Y VENTAS","Chats",IF(OR(D137="GERENCIA INBOUND LÍNEAS SERVICIO Y VENTA",D137="GERENCIA INBOUND LINEAS ESPECIALIZADAS"),"Llamadas","Otro")))</f>
        <v/>
      </c>
      <c r="I137" s="23" t="str">
        <f aca="false">IF(A137="","",IF(C137="No encontrado","No","Sí"))</f>
        <v/>
      </c>
      <c r="J137" s="23" t="str">
        <f aca="false">IF(A137="","",IF(F137="Inactivo","No","Sí"))</f>
        <v/>
      </c>
      <c r="K137" s="23" t="str">
        <f aca="false">IF(A137="","",IF(AND(I137="Sí",J137="Sí"),"Sí","No"))</f>
        <v/>
      </c>
    </row>
    <row r="138" customFormat="false" ht="15" hidden="false" customHeight="false" outlineLevel="0" collapsed="false">
      <c r="A138" s="22"/>
      <c r="B138" s="22"/>
      <c r="C138" s="26" t="str">
        <f aca="false">IF(A138="","",IFERROR(buscarx(A138&amp;B138,DATA!$E$3:$E$10000&amp;DATA!$B$3:$B$10000,DATA!$M$3:$M$10000),"No encontrado"))</f>
        <v/>
      </c>
      <c r="D138" s="27" t="str">
        <f aca="false">IF(A138="","",IFERROR(buscarx(A138&amp;B138,DATA!$E$3:$E$10000&amp;DATA!$B$3:$B$10000,DATA!$W$3:$W$10000),"No encontrado"))</f>
        <v/>
      </c>
      <c r="E138" s="22"/>
      <c r="F138" s="26" t="str">
        <f aca="false">IF(A138="","",IFERROR(buscarx(A138&amp;E138,DATA!$E$3:$E$10000&amp;DATA!$B$3:$B$10000,DATA!$M$3:$M$10000),"Inactivo"))</f>
        <v/>
      </c>
      <c r="G138" s="28" t="str">
        <f aca="false">IF(A138="","",IF(AND(C138&lt;&gt;"No encontrado",F138&lt;&gt;"Inactivo"),C138&amp;" → "&amp;F138,"Sin transición"))</f>
        <v/>
      </c>
      <c r="H138" s="26" t="str">
        <f aca="false">IF(A138="","",IF(D138="GCIA LINEA SERVICIO DIGITALIDAD Y VENTAS","Chats",IF(OR(D138="GERENCIA INBOUND LÍNEAS SERVICIO Y VENTA",D138="GERENCIA INBOUND LINEAS ESPECIALIZADAS"),"Llamadas","Otro")))</f>
        <v/>
      </c>
      <c r="I138" s="26" t="str">
        <f aca="false">IF(A138="","",IF(C138="No encontrado","No","Sí"))</f>
        <v/>
      </c>
      <c r="J138" s="26" t="str">
        <f aca="false">IF(A138="","",IF(F138="Inactivo","No","Sí"))</f>
        <v/>
      </c>
      <c r="K138" s="26" t="str">
        <f aca="false">IF(A138="","",IF(AND(I138="Sí",J138="Sí"),"Sí","No"))</f>
        <v/>
      </c>
    </row>
    <row r="139" customFormat="false" ht="15" hidden="false" customHeight="false" outlineLevel="0" collapsed="false">
      <c r="A139" s="22"/>
      <c r="B139" s="22"/>
      <c r="C139" s="23" t="str">
        <f aca="false">IF(A139="","",IFERROR(buscarx(A139&amp;B139,DATA!$E$3:$E$10000&amp;DATA!$B$3:$B$10000,DATA!$M$3:$M$10000),"No encontrado"))</f>
        <v/>
      </c>
      <c r="D139" s="24" t="str">
        <f aca="false">IF(A139="","",IFERROR(buscarx(A139&amp;B139,DATA!$E$3:$E$10000&amp;DATA!$B$3:$B$10000,DATA!$W$3:$W$10000),"No encontrado"))</f>
        <v/>
      </c>
      <c r="E139" s="22"/>
      <c r="F139" s="23" t="str">
        <f aca="false">IF(A139="","",IFERROR(buscarx(A139&amp;E139,DATA!$E$3:$E$10000&amp;DATA!$B$3:$B$10000,DATA!$M$3:$M$10000),"Inactivo"))</f>
        <v/>
      </c>
      <c r="G139" s="25" t="str">
        <f aca="false">IF(A139="","",IF(AND(C139&lt;&gt;"No encontrado",F139&lt;&gt;"Inactivo"),C139&amp;" → "&amp;F139,"Sin transición"))</f>
        <v/>
      </c>
      <c r="H139" s="23" t="str">
        <f aca="false">IF(A139="","",IF(D139="GCIA LINEA SERVICIO DIGITALIDAD Y VENTAS","Chats",IF(OR(D139="GERENCIA INBOUND LÍNEAS SERVICIO Y VENTA",D139="GERENCIA INBOUND LINEAS ESPECIALIZADAS"),"Llamadas","Otro")))</f>
        <v/>
      </c>
      <c r="I139" s="23" t="str">
        <f aca="false">IF(A139="","",IF(C139="No encontrado","No","Sí"))</f>
        <v/>
      </c>
      <c r="J139" s="23" t="str">
        <f aca="false">IF(A139="","",IF(F139="Inactivo","No","Sí"))</f>
        <v/>
      </c>
      <c r="K139" s="23" t="str">
        <f aca="false">IF(A139="","",IF(AND(I139="Sí",J139="Sí"),"Sí","No"))</f>
        <v/>
      </c>
    </row>
    <row r="140" customFormat="false" ht="15" hidden="false" customHeight="false" outlineLevel="0" collapsed="false">
      <c r="A140" s="22"/>
      <c r="B140" s="22"/>
      <c r="C140" s="26" t="str">
        <f aca="false">IF(A140="","",IFERROR(buscarx(A140&amp;B140,DATA!$E$3:$E$10000&amp;DATA!$B$3:$B$10000,DATA!$M$3:$M$10000),"No encontrado"))</f>
        <v/>
      </c>
      <c r="D140" s="27" t="str">
        <f aca="false">IF(A140="","",IFERROR(buscarx(A140&amp;B140,DATA!$E$3:$E$10000&amp;DATA!$B$3:$B$10000,DATA!$W$3:$W$10000),"No encontrado"))</f>
        <v/>
      </c>
      <c r="E140" s="22"/>
      <c r="F140" s="26" t="str">
        <f aca="false">IF(A140="","",IFERROR(buscarx(A140&amp;E140,DATA!$E$3:$E$10000&amp;DATA!$B$3:$B$10000,DATA!$M$3:$M$10000),"Inactivo"))</f>
        <v/>
      </c>
      <c r="G140" s="28" t="str">
        <f aca="false">IF(A140="","",IF(AND(C140&lt;&gt;"No encontrado",F140&lt;&gt;"Inactivo"),C140&amp;" → "&amp;F140,"Sin transición"))</f>
        <v/>
      </c>
      <c r="H140" s="26" t="str">
        <f aca="false">IF(A140="","",IF(D140="GCIA LINEA SERVICIO DIGITALIDAD Y VENTAS","Chats",IF(OR(D140="GERENCIA INBOUND LÍNEAS SERVICIO Y VENTA",D140="GERENCIA INBOUND LINEAS ESPECIALIZADAS"),"Llamadas","Otro")))</f>
        <v/>
      </c>
      <c r="I140" s="26" t="str">
        <f aca="false">IF(A140="","",IF(C140="No encontrado","No","Sí"))</f>
        <v/>
      </c>
      <c r="J140" s="26" t="str">
        <f aca="false">IF(A140="","",IF(F140="Inactivo","No","Sí"))</f>
        <v/>
      </c>
      <c r="K140" s="26" t="str">
        <f aca="false">IF(A140="","",IF(AND(I140="Sí",J140="Sí"),"Sí","No"))</f>
        <v/>
      </c>
    </row>
    <row r="141" customFormat="false" ht="15" hidden="false" customHeight="false" outlineLevel="0" collapsed="false">
      <c r="A141" s="22"/>
      <c r="B141" s="22"/>
      <c r="C141" s="23" t="str">
        <f aca="false">IF(A141="","",IFERROR(buscarx(A141&amp;B141,DATA!$E$3:$E$10000&amp;DATA!$B$3:$B$10000,DATA!$M$3:$M$10000),"No encontrado"))</f>
        <v/>
      </c>
      <c r="D141" s="24" t="str">
        <f aca="false">IF(A141="","",IFERROR(buscarx(A141&amp;B141,DATA!$E$3:$E$10000&amp;DATA!$B$3:$B$10000,DATA!$W$3:$W$10000),"No encontrado"))</f>
        <v/>
      </c>
      <c r="E141" s="22"/>
      <c r="F141" s="23" t="str">
        <f aca="false">IF(A141="","",IFERROR(buscarx(A141&amp;E141,DATA!$E$3:$E$10000&amp;DATA!$B$3:$B$10000,DATA!$M$3:$M$10000),"Inactivo"))</f>
        <v/>
      </c>
      <c r="G141" s="25" t="str">
        <f aca="false">IF(A141="","",IF(AND(C141&lt;&gt;"No encontrado",F141&lt;&gt;"Inactivo"),C141&amp;" → "&amp;F141,"Sin transición"))</f>
        <v/>
      </c>
      <c r="H141" s="23" t="str">
        <f aca="false">IF(A141="","",IF(D141="GCIA LINEA SERVICIO DIGITALIDAD Y VENTAS","Chats",IF(OR(D141="GERENCIA INBOUND LÍNEAS SERVICIO Y VENTA",D141="GERENCIA INBOUND LINEAS ESPECIALIZADAS"),"Llamadas","Otro")))</f>
        <v/>
      </c>
      <c r="I141" s="23" t="str">
        <f aca="false">IF(A141="","",IF(C141="No encontrado","No","Sí"))</f>
        <v/>
      </c>
      <c r="J141" s="23" t="str">
        <f aca="false">IF(A141="","",IF(F141="Inactivo","No","Sí"))</f>
        <v/>
      </c>
      <c r="K141" s="23" t="str">
        <f aca="false">IF(A141="","",IF(AND(I141="Sí",J141="Sí"),"Sí","No"))</f>
        <v/>
      </c>
    </row>
    <row r="142" customFormat="false" ht="15" hidden="false" customHeight="false" outlineLevel="0" collapsed="false">
      <c r="A142" s="22"/>
      <c r="B142" s="22"/>
      <c r="C142" s="26" t="str">
        <f aca="false">IF(A142="","",IFERROR(buscarx(A142&amp;B142,DATA!$E$3:$E$10000&amp;DATA!$B$3:$B$10000,DATA!$M$3:$M$10000),"No encontrado"))</f>
        <v/>
      </c>
      <c r="D142" s="27" t="str">
        <f aca="false">IF(A142="","",IFERROR(buscarx(A142&amp;B142,DATA!$E$3:$E$10000&amp;DATA!$B$3:$B$10000,DATA!$W$3:$W$10000),"No encontrado"))</f>
        <v/>
      </c>
      <c r="E142" s="22"/>
      <c r="F142" s="26" t="str">
        <f aca="false">IF(A142="","",IFERROR(buscarx(A142&amp;E142,DATA!$E$3:$E$10000&amp;DATA!$B$3:$B$10000,DATA!$M$3:$M$10000),"Inactivo"))</f>
        <v/>
      </c>
      <c r="G142" s="28" t="str">
        <f aca="false">IF(A142="","",IF(AND(C142&lt;&gt;"No encontrado",F142&lt;&gt;"Inactivo"),C142&amp;" → "&amp;F142,"Sin transición"))</f>
        <v/>
      </c>
      <c r="H142" s="26" t="str">
        <f aca="false">IF(A142="","",IF(D142="GCIA LINEA SERVICIO DIGITALIDAD Y VENTAS","Chats",IF(OR(D142="GERENCIA INBOUND LÍNEAS SERVICIO Y VENTA",D142="GERENCIA INBOUND LINEAS ESPECIALIZADAS"),"Llamadas","Otro")))</f>
        <v/>
      </c>
      <c r="I142" s="26" t="str">
        <f aca="false">IF(A142="","",IF(C142="No encontrado","No","Sí"))</f>
        <v/>
      </c>
      <c r="J142" s="26" t="str">
        <f aca="false">IF(A142="","",IF(F142="Inactivo","No","Sí"))</f>
        <v/>
      </c>
      <c r="K142" s="26" t="str">
        <f aca="false">IF(A142="","",IF(AND(I142="Sí",J142="Sí"),"Sí","No"))</f>
        <v/>
      </c>
    </row>
    <row r="143" customFormat="false" ht="15" hidden="false" customHeight="false" outlineLevel="0" collapsed="false">
      <c r="A143" s="22"/>
      <c r="B143" s="22"/>
      <c r="C143" s="23" t="str">
        <f aca="false">IF(A143="","",IFERROR(buscarx(A143&amp;B143,DATA!$E$3:$E$10000&amp;DATA!$B$3:$B$10000,DATA!$M$3:$M$10000),"No encontrado"))</f>
        <v/>
      </c>
      <c r="D143" s="24" t="str">
        <f aca="false">IF(A143="","",IFERROR(buscarx(A143&amp;B143,DATA!$E$3:$E$10000&amp;DATA!$B$3:$B$10000,DATA!$W$3:$W$10000),"No encontrado"))</f>
        <v/>
      </c>
      <c r="E143" s="22"/>
      <c r="F143" s="23" t="str">
        <f aca="false">IF(A143="","",IFERROR(buscarx(A143&amp;E143,DATA!$E$3:$E$10000&amp;DATA!$B$3:$B$10000,DATA!$M$3:$M$10000),"Inactivo"))</f>
        <v/>
      </c>
      <c r="G143" s="25" t="str">
        <f aca="false">IF(A143="","",IF(AND(C143&lt;&gt;"No encontrado",F143&lt;&gt;"Inactivo"),C143&amp;" → "&amp;F143,"Sin transición"))</f>
        <v/>
      </c>
      <c r="H143" s="23" t="str">
        <f aca="false">IF(A143="","",IF(D143="GCIA LINEA SERVICIO DIGITALIDAD Y VENTAS","Chats",IF(OR(D143="GERENCIA INBOUND LÍNEAS SERVICIO Y VENTA",D143="GERENCIA INBOUND LINEAS ESPECIALIZADAS"),"Llamadas","Otro")))</f>
        <v/>
      </c>
      <c r="I143" s="23" t="str">
        <f aca="false">IF(A143="","",IF(C143="No encontrado","No","Sí"))</f>
        <v/>
      </c>
      <c r="J143" s="23" t="str">
        <f aca="false">IF(A143="","",IF(F143="Inactivo","No","Sí"))</f>
        <v/>
      </c>
      <c r="K143" s="23" t="str">
        <f aca="false">IF(A143="","",IF(AND(I143="Sí",J143="Sí"),"Sí","No"))</f>
        <v/>
      </c>
    </row>
    <row r="144" customFormat="false" ht="15" hidden="false" customHeight="false" outlineLevel="0" collapsed="false">
      <c r="A144" s="22"/>
      <c r="B144" s="22"/>
      <c r="C144" s="26" t="str">
        <f aca="false">IF(A144="","",IFERROR(buscarx(A144&amp;B144,DATA!$E$3:$E$10000&amp;DATA!$B$3:$B$10000,DATA!$M$3:$M$10000),"No encontrado"))</f>
        <v/>
      </c>
      <c r="D144" s="27" t="str">
        <f aca="false">IF(A144="","",IFERROR(buscarx(A144&amp;B144,DATA!$E$3:$E$10000&amp;DATA!$B$3:$B$10000,DATA!$W$3:$W$10000),"No encontrado"))</f>
        <v/>
      </c>
      <c r="E144" s="22"/>
      <c r="F144" s="26" t="str">
        <f aca="false">IF(A144="","",IFERROR(buscarx(A144&amp;E144,DATA!$E$3:$E$10000&amp;DATA!$B$3:$B$10000,DATA!$M$3:$M$10000),"Inactivo"))</f>
        <v/>
      </c>
      <c r="G144" s="28" t="str">
        <f aca="false">IF(A144="","",IF(AND(C144&lt;&gt;"No encontrado",F144&lt;&gt;"Inactivo"),C144&amp;" → "&amp;F144,"Sin transición"))</f>
        <v/>
      </c>
      <c r="H144" s="26" t="str">
        <f aca="false">IF(A144="","",IF(D144="GCIA LINEA SERVICIO DIGITALIDAD Y VENTAS","Chats",IF(OR(D144="GERENCIA INBOUND LÍNEAS SERVICIO Y VENTA",D144="GERENCIA INBOUND LINEAS ESPECIALIZADAS"),"Llamadas","Otro")))</f>
        <v/>
      </c>
      <c r="I144" s="26" t="str">
        <f aca="false">IF(A144="","",IF(C144="No encontrado","No","Sí"))</f>
        <v/>
      </c>
      <c r="J144" s="26" t="str">
        <f aca="false">IF(A144="","",IF(F144="Inactivo","No","Sí"))</f>
        <v/>
      </c>
      <c r="K144" s="26" t="str">
        <f aca="false">IF(A144="","",IF(AND(I144="Sí",J144="Sí"),"Sí","No"))</f>
        <v/>
      </c>
    </row>
    <row r="145" customFormat="false" ht="15" hidden="false" customHeight="false" outlineLevel="0" collapsed="false">
      <c r="A145" s="22"/>
      <c r="B145" s="22"/>
      <c r="C145" s="23" t="str">
        <f aca="false">IF(A145="","",IFERROR(buscarx(A145&amp;B145,DATA!$E$3:$E$10000&amp;DATA!$B$3:$B$10000,DATA!$M$3:$M$10000),"No encontrado"))</f>
        <v/>
      </c>
      <c r="D145" s="24" t="str">
        <f aca="false">IF(A145="","",IFERROR(buscarx(A145&amp;B145,DATA!$E$3:$E$10000&amp;DATA!$B$3:$B$10000,DATA!$W$3:$W$10000),"No encontrado"))</f>
        <v/>
      </c>
      <c r="E145" s="22"/>
      <c r="F145" s="23" t="str">
        <f aca="false">IF(A145="","",IFERROR(buscarx(A145&amp;E145,DATA!$E$3:$E$10000&amp;DATA!$B$3:$B$10000,DATA!$M$3:$M$10000),"Inactivo"))</f>
        <v/>
      </c>
      <c r="G145" s="25" t="str">
        <f aca="false">IF(A145="","",IF(AND(C145&lt;&gt;"No encontrado",F145&lt;&gt;"Inactivo"),C145&amp;" → "&amp;F145,"Sin transición"))</f>
        <v/>
      </c>
      <c r="H145" s="23" t="str">
        <f aca="false">IF(A145="","",IF(D145="GCIA LINEA SERVICIO DIGITALIDAD Y VENTAS","Chats",IF(OR(D145="GERENCIA INBOUND LÍNEAS SERVICIO Y VENTA",D145="GERENCIA INBOUND LINEAS ESPECIALIZADAS"),"Llamadas","Otro")))</f>
        <v/>
      </c>
      <c r="I145" s="23" t="str">
        <f aca="false">IF(A145="","",IF(C145="No encontrado","No","Sí"))</f>
        <v/>
      </c>
      <c r="J145" s="23" t="str">
        <f aca="false">IF(A145="","",IF(F145="Inactivo","No","Sí"))</f>
        <v/>
      </c>
      <c r="K145" s="23" t="str">
        <f aca="false">IF(A145="","",IF(AND(I145="Sí",J145="Sí"),"Sí","No"))</f>
        <v/>
      </c>
    </row>
    <row r="146" customFormat="false" ht="15" hidden="false" customHeight="false" outlineLevel="0" collapsed="false">
      <c r="A146" s="22"/>
      <c r="B146" s="22"/>
      <c r="C146" s="26" t="str">
        <f aca="false">IF(A146="","",IFERROR(buscarx(A146&amp;B146,DATA!$E$3:$E$10000&amp;DATA!$B$3:$B$10000,DATA!$M$3:$M$10000),"No encontrado"))</f>
        <v/>
      </c>
      <c r="D146" s="27" t="str">
        <f aca="false">IF(A146="","",IFERROR(buscarx(A146&amp;B146,DATA!$E$3:$E$10000&amp;DATA!$B$3:$B$10000,DATA!$W$3:$W$10000),"No encontrado"))</f>
        <v/>
      </c>
      <c r="E146" s="22"/>
      <c r="F146" s="26" t="str">
        <f aca="false">IF(A146="","",IFERROR(buscarx(A146&amp;E146,DATA!$E$3:$E$10000&amp;DATA!$B$3:$B$10000,DATA!$M$3:$M$10000),"Inactivo"))</f>
        <v/>
      </c>
      <c r="G146" s="28" t="str">
        <f aca="false">IF(A146="","",IF(AND(C146&lt;&gt;"No encontrado",F146&lt;&gt;"Inactivo"),C146&amp;" → "&amp;F146,"Sin transición"))</f>
        <v/>
      </c>
      <c r="H146" s="26" t="str">
        <f aca="false">IF(A146="","",IF(D146="GCIA LINEA SERVICIO DIGITALIDAD Y VENTAS","Chats",IF(OR(D146="GERENCIA INBOUND LÍNEAS SERVICIO Y VENTA",D146="GERENCIA INBOUND LINEAS ESPECIALIZADAS"),"Llamadas","Otro")))</f>
        <v/>
      </c>
      <c r="I146" s="26" t="str">
        <f aca="false">IF(A146="","",IF(C146="No encontrado","No","Sí"))</f>
        <v/>
      </c>
      <c r="J146" s="26" t="str">
        <f aca="false">IF(A146="","",IF(F146="Inactivo","No","Sí"))</f>
        <v/>
      </c>
      <c r="K146" s="26" t="str">
        <f aca="false">IF(A146="","",IF(AND(I146="Sí",J146="Sí"),"Sí","No"))</f>
        <v/>
      </c>
    </row>
    <row r="147" customFormat="false" ht="15" hidden="false" customHeight="false" outlineLevel="0" collapsed="false">
      <c r="A147" s="22"/>
      <c r="B147" s="22"/>
      <c r="C147" s="23" t="str">
        <f aca="false">IF(A147="","",IFERROR(buscarx(A147&amp;B147,DATA!$E$3:$E$10000&amp;DATA!$B$3:$B$10000,DATA!$M$3:$M$10000),"No encontrado"))</f>
        <v/>
      </c>
      <c r="D147" s="24" t="str">
        <f aca="false">IF(A147="","",IFERROR(buscarx(A147&amp;B147,DATA!$E$3:$E$10000&amp;DATA!$B$3:$B$10000,DATA!$W$3:$W$10000),"No encontrado"))</f>
        <v/>
      </c>
      <c r="E147" s="22"/>
      <c r="F147" s="23" t="str">
        <f aca="false">IF(A147="","",IFERROR(buscarx(A147&amp;E147,DATA!$E$3:$E$10000&amp;DATA!$B$3:$B$10000,DATA!$M$3:$M$10000),"Inactivo"))</f>
        <v/>
      </c>
      <c r="G147" s="25" t="str">
        <f aca="false">IF(A147="","",IF(AND(C147&lt;&gt;"No encontrado",F147&lt;&gt;"Inactivo"),C147&amp;" → "&amp;F147,"Sin transición"))</f>
        <v/>
      </c>
      <c r="H147" s="23" t="str">
        <f aca="false">IF(A147="","",IF(D147="GCIA LINEA SERVICIO DIGITALIDAD Y VENTAS","Chats",IF(OR(D147="GERENCIA INBOUND LÍNEAS SERVICIO Y VENTA",D147="GERENCIA INBOUND LINEAS ESPECIALIZADAS"),"Llamadas","Otro")))</f>
        <v/>
      </c>
      <c r="I147" s="23" t="str">
        <f aca="false">IF(A147="","",IF(C147="No encontrado","No","Sí"))</f>
        <v/>
      </c>
      <c r="J147" s="23" t="str">
        <f aca="false">IF(A147="","",IF(F147="Inactivo","No","Sí"))</f>
        <v/>
      </c>
      <c r="K147" s="23" t="str">
        <f aca="false">IF(A147="","",IF(AND(I147="Sí",J147="Sí"),"Sí","No"))</f>
        <v/>
      </c>
    </row>
    <row r="148" customFormat="false" ht="15" hidden="false" customHeight="false" outlineLevel="0" collapsed="false">
      <c r="A148" s="22"/>
      <c r="B148" s="22"/>
      <c r="C148" s="26" t="str">
        <f aca="false">IF(A148="","",IFERROR(buscarx(A148&amp;B148,DATA!$E$3:$E$10000&amp;DATA!$B$3:$B$10000,DATA!$M$3:$M$10000),"No encontrado"))</f>
        <v/>
      </c>
      <c r="D148" s="27" t="str">
        <f aca="false">IF(A148="","",IFERROR(buscarx(A148&amp;B148,DATA!$E$3:$E$10000&amp;DATA!$B$3:$B$10000,DATA!$W$3:$W$10000),"No encontrado"))</f>
        <v/>
      </c>
      <c r="E148" s="22"/>
      <c r="F148" s="26" t="str">
        <f aca="false">IF(A148="","",IFERROR(buscarx(A148&amp;E148,DATA!$E$3:$E$10000&amp;DATA!$B$3:$B$10000,DATA!$M$3:$M$10000),"Inactivo"))</f>
        <v/>
      </c>
      <c r="G148" s="28" t="str">
        <f aca="false">IF(A148="","",IF(AND(C148&lt;&gt;"No encontrado",F148&lt;&gt;"Inactivo"),C148&amp;" → "&amp;F148,"Sin transición"))</f>
        <v/>
      </c>
      <c r="H148" s="26" t="str">
        <f aca="false">IF(A148="","",IF(D148="GCIA LINEA SERVICIO DIGITALIDAD Y VENTAS","Chats",IF(OR(D148="GERENCIA INBOUND LÍNEAS SERVICIO Y VENTA",D148="GERENCIA INBOUND LINEAS ESPECIALIZADAS"),"Llamadas","Otro")))</f>
        <v/>
      </c>
      <c r="I148" s="26" t="str">
        <f aca="false">IF(A148="","",IF(C148="No encontrado","No","Sí"))</f>
        <v/>
      </c>
      <c r="J148" s="26" t="str">
        <f aca="false">IF(A148="","",IF(F148="Inactivo","No","Sí"))</f>
        <v/>
      </c>
      <c r="K148" s="26" t="str">
        <f aca="false">IF(A148="","",IF(AND(I148="Sí",J148="Sí"),"Sí","No"))</f>
        <v/>
      </c>
    </row>
    <row r="149" customFormat="false" ht="15" hidden="false" customHeight="false" outlineLevel="0" collapsed="false">
      <c r="A149" s="22"/>
      <c r="B149" s="22"/>
      <c r="C149" s="23" t="str">
        <f aca="false">IF(A149="","",IFERROR(buscarx(A149&amp;B149,DATA!$E$3:$E$10000&amp;DATA!$B$3:$B$10000,DATA!$M$3:$M$10000),"No encontrado"))</f>
        <v/>
      </c>
      <c r="D149" s="24" t="str">
        <f aca="false">IF(A149="","",IFERROR(buscarx(A149&amp;B149,DATA!$E$3:$E$10000&amp;DATA!$B$3:$B$10000,DATA!$W$3:$W$10000),"No encontrado"))</f>
        <v/>
      </c>
      <c r="E149" s="22"/>
      <c r="F149" s="23" t="str">
        <f aca="false">IF(A149="","",IFERROR(buscarx(A149&amp;E149,DATA!$E$3:$E$10000&amp;DATA!$B$3:$B$10000,DATA!$M$3:$M$10000),"Inactivo"))</f>
        <v/>
      </c>
      <c r="G149" s="25" t="str">
        <f aca="false">IF(A149="","",IF(AND(C149&lt;&gt;"No encontrado",F149&lt;&gt;"Inactivo"),C149&amp;" → "&amp;F149,"Sin transición"))</f>
        <v/>
      </c>
      <c r="H149" s="23" t="str">
        <f aca="false">IF(A149="","",IF(D149="GCIA LINEA SERVICIO DIGITALIDAD Y VENTAS","Chats",IF(OR(D149="GERENCIA INBOUND LÍNEAS SERVICIO Y VENTA",D149="GERENCIA INBOUND LINEAS ESPECIALIZADAS"),"Llamadas","Otro")))</f>
        <v/>
      </c>
      <c r="I149" s="23" t="str">
        <f aca="false">IF(A149="","",IF(C149="No encontrado","No","Sí"))</f>
        <v/>
      </c>
      <c r="J149" s="23" t="str">
        <f aca="false">IF(A149="","",IF(F149="Inactivo","No","Sí"))</f>
        <v/>
      </c>
      <c r="K149" s="23" t="str">
        <f aca="false">IF(A149="","",IF(AND(I149="Sí",J149="Sí"),"Sí","No"))</f>
        <v/>
      </c>
    </row>
    <row r="150" customFormat="false" ht="15" hidden="false" customHeight="false" outlineLevel="0" collapsed="false">
      <c r="A150" s="22"/>
      <c r="B150" s="22"/>
      <c r="C150" s="26" t="str">
        <f aca="false">IF(A150="","",IFERROR(buscarx(A150&amp;B150,DATA!$E$3:$E$10000&amp;DATA!$B$3:$B$10000,DATA!$M$3:$M$10000),"No encontrado"))</f>
        <v/>
      </c>
      <c r="D150" s="27" t="str">
        <f aca="false">IF(A150="","",IFERROR(buscarx(A150&amp;B150,DATA!$E$3:$E$10000&amp;DATA!$B$3:$B$10000,DATA!$W$3:$W$10000),"No encontrado"))</f>
        <v/>
      </c>
      <c r="E150" s="22"/>
      <c r="F150" s="26" t="str">
        <f aca="false">IF(A150="","",IFERROR(buscarx(A150&amp;E150,DATA!$E$3:$E$10000&amp;DATA!$B$3:$B$10000,DATA!$M$3:$M$10000),"Inactivo"))</f>
        <v/>
      </c>
      <c r="G150" s="28" t="str">
        <f aca="false">IF(A150="","",IF(AND(C150&lt;&gt;"No encontrado",F150&lt;&gt;"Inactivo"),C150&amp;" → "&amp;F150,"Sin transición"))</f>
        <v/>
      </c>
      <c r="H150" s="26" t="str">
        <f aca="false">IF(A150="","",IF(D150="GCIA LINEA SERVICIO DIGITALIDAD Y VENTAS","Chats",IF(OR(D150="GERENCIA INBOUND LÍNEAS SERVICIO Y VENTA",D150="GERENCIA INBOUND LINEAS ESPECIALIZADAS"),"Llamadas","Otro")))</f>
        <v/>
      </c>
      <c r="I150" s="26" t="str">
        <f aca="false">IF(A150="","",IF(C150="No encontrado","No","Sí"))</f>
        <v/>
      </c>
      <c r="J150" s="26" t="str">
        <f aca="false">IF(A150="","",IF(F150="Inactivo","No","Sí"))</f>
        <v/>
      </c>
      <c r="K150" s="26" t="str">
        <f aca="false">IF(A150="","",IF(AND(I150="Sí",J150="Sí"),"Sí","No"))</f>
        <v/>
      </c>
    </row>
    <row r="151" customFormat="false" ht="15" hidden="false" customHeight="false" outlineLevel="0" collapsed="false">
      <c r="A151" s="22"/>
      <c r="B151" s="22"/>
      <c r="C151" s="23" t="str">
        <f aca="false">IF(A151="","",IFERROR(buscarx(A151&amp;B151,DATA!$E$3:$E$10000&amp;DATA!$B$3:$B$10000,DATA!$M$3:$M$10000),"No encontrado"))</f>
        <v/>
      </c>
      <c r="D151" s="24" t="str">
        <f aca="false">IF(A151="","",IFERROR(buscarx(A151&amp;B151,DATA!$E$3:$E$10000&amp;DATA!$B$3:$B$10000,DATA!$W$3:$W$10000),"No encontrado"))</f>
        <v/>
      </c>
      <c r="E151" s="22"/>
      <c r="F151" s="23" t="str">
        <f aca="false">IF(A151="","",IFERROR(buscarx(A151&amp;E151,DATA!$E$3:$E$10000&amp;DATA!$B$3:$B$10000,DATA!$M$3:$M$10000),"Inactivo"))</f>
        <v/>
      </c>
      <c r="G151" s="25" t="str">
        <f aca="false">IF(A151="","",IF(AND(C151&lt;&gt;"No encontrado",F151&lt;&gt;"Inactivo"),C151&amp;" → "&amp;F151,"Sin transición"))</f>
        <v/>
      </c>
      <c r="H151" s="23" t="str">
        <f aca="false">IF(A151="","",IF(D151="GCIA LINEA SERVICIO DIGITALIDAD Y VENTAS","Chats",IF(OR(D151="GERENCIA INBOUND LÍNEAS SERVICIO Y VENTA",D151="GERENCIA INBOUND LINEAS ESPECIALIZADAS"),"Llamadas","Otro")))</f>
        <v/>
      </c>
      <c r="I151" s="23" t="str">
        <f aca="false">IF(A151="","",IF(C151="No encontrado","No","Sí"))</f>
        <v/>
      </c>
      <c r="J151" s="23" t="str">
        <f aca="false">IF(A151="","",IF(F151="Inactivo","No","Sí"))</f>
        <v/>
      </c>
      <c r="K151" s="23" t="str">
        <f aca="false">IF(A151="","",IF(AND(I151="Sí",J151="Sí"),"Sí","No"))</f>
        <v/>
      </c>
    </row>
    <row r="152" customFormat="false" ht="15" hidden="false" customHeight="false" outlineLevel="0" collapsed="false">
      <c r="A152" s="22"/>
      <c r="B152" s="22"/>
      <c r="C152" s="26" t="str">
        <f aca="false">IF(A152="","",IFERROR(buscarx(A152&amp;B152,DATA!$E$3:$E$10000&amp;DATA!$B$3:$B$10000,DATA!$M$3:$M$10000),"No encontrado"))</f>
        <v/>
      </c>
      <c r="D152" s="27" t="str">
        <f aca="false">IF(A152="","",IFERROR(buscarx(A152&amp;B152,DATA!$E$3:$E$10000&amp;DATA!$B$3:$B$10000,DATA!$W$3:$W$10000),"No encontrado"))</f>
        <v/>
      </c>
      <c r="E152" s="22"/>
      <c r="F152" s="26" t="str">
        <f aca="false">IF(A152="","",IFERROR(buscarx(A152&amp;E152,DATA!$E$3:$E$10000&amp;DATA!$B$3:$B$10000,DATA!$M$3:$M$10000),"Inactivo"))</f>
        <v/>
      </c>
      <c r="G152" s="28" t="str">
        <f aca="false">IF(A152="","",IF(AND(C152&lt;&gt;"No encontrado",F152&lt;&gt;"Inactivo"),C152&amp;" → "&amp;F152,"Sin transición"))</f>
        <v/>
      </c>
      <c r="H152" s="26" t="str">
        <f aca="false">IF(A152="","",IF(D152="GCIA LINEA SERVICIO DIGITALIDAD Y VENTAS","Chats",IF(OR(D152="GERENCIA INBOUND LÍNEAS SERVICIO Y VENTA",D152="GERENCIA INBOUND LINEAS ESPECIALIZADAS"),"Llamadas","Otro")))</f>
        <v/>
      </c>
      <c r="I152" s="26" t="str">
        <f aca="false">IF(A152="","",IF(C152="No encontrado","No","Sí"))</f>
        <v/>
      </c>
      <c r="J152" s="26" t="str">
        <f aca="false">IF(A152="","",IF(F152="Inactivo","No","Sí"))</f>
        <v/>
      </c>
      <c r="K152" s="26" t="str">
        <f aca="false">IF(A152="","",IF(AND(I152="Sí",J152="Sí"),"Sí","No"))</f>
        <v/>
      </c>
    </row>
    <row r="153" customFormat="false" ht="15" hidden="false" customHeight="false" outlineLevel="0" collapsed="false">
      <c r="A153" s="22"/>
      <c r="B153" s="22"/>
      <c r="C153" s="23" t="str">
        <f aca="false">IF(A153="","",IFERROR(buscarx(A153&amp;B153,DATA!$E$3:$E$10000&amp;DATA!$B$3:$B$10000,DATA!$M$3:$M$10000),"No encontrado"))</f>
        <v/>
      </c>
      <c r="D153" s="24" t="str">
        <f aca="false">IF(A153="","",IFERROR(buscarx(A153&amp;B153,DATA!$E$3:$E$10000&amp;DATA!$B$3:$B$10000,DATA!$W$3:$W$10000),"No encontrado"))</f>
        <v/>
      </c>
      <c r="E153" s="22"/>
      <c r="F153" s="23" t="str">
        <f aca="false">IF(A153="","",IFERROR(buscarx(A153&amp;E153,DATA!$E$3:$E$10000&amp;DATA!$B$3:$B$10000,DATA!$M$3:$M$10000),"Inactivo"))</f>
        <v/>
      </c>
      <c r="G153" s="25" t="str">
        <f aca="false">IF(A153="","",IF(AND(C153&lt;&gt;"No encontrado",F153&lt;&gt;"Inactivo"),C153&amp;" → "&amp;F153,"Sin transición"))</f>
        <v/>
      </c>
      <c r="H153" s="23" t="str">
        <f aca="false">IF(A153="","",IF(D153="GCIA LINEA SERVICIO DIGITALIDAD Y VENTAS","Chats",IF(OR(D153="GERENCIA INBOUND LÍNEAS SERVICIO Y VENTA",D153="GERENCIA INBOUND LINEAS ESPECIALIZADAS"),"Llamadas","Otro")))</f>
        <v/>
      </c>
      <c r="I153" s="23" t="str">
        <f aca="false">IF(A153="","",IF(C153="No encontrado","No","Sí"))</f>
        <v/>
      </c>
      <c r="J153" s="23" t="str">
        <f aca="false">IF(A153="","",IF(F153="Inactivo","No","Sí"))</f>
        <v/>
      </c>
      <c r="K153" s="23" t="str">
        <f aca="false">IF(A153="","",IF(AND(I153="Sí",J153="Sí"),"Sí","No"))</f>
        <v/>
      </c>
    </row>
    <row r="154" customFormat="false" ht="15" hidden="false" customHeight="false" outlineLevel="0" collapsed="false">
      <c r="A154" s="22"/>
      <c r="B154" s="22"/>
      <c r="C154" s="26" t="str">
        <f aca="false">IF(A154="","",IFERROR(buscarx(A154&amp;B154,DATA!$E$3:$E$10000&amp;DATA!$B$3:$B$10000,DATA!$M$3:$M$10000),"No encontrado"))</f>
        <v/>
      </c>
      <c r="D154" s="27" t="str">
        <f aca="false">IF(A154="","",IFERROR(buscarx(A154&amp;B154,DATA!$E$3:$E$10000&amp;DATA!$B$3:$B$10000,DATA!$W$3:$W$10000),"No encontrado"))</f>
        <v/>
      </c>
      <c r="E154" s="22"/>
      <c r="F154" s="26" t="str">
        <f aca="false">IF(A154="","",IFERROR(buscarx(A154&amp;E154,DATA!$E$3:$E$10000&amp;DATA!$B$3:$B$10000,DATA!$M$3:$M$10000),"Inactivo"))</f>
        <v/>
      </c>
      <c r="G154" s="28" t="str">
        <f aca="false">IF(A154="","",IF(AND(C154&lt;&gt;"No encontrado",F154&lt;&gt;"Inactivo"),C154&amp;" → "&amp;F154,"Sin transición"))</f>
        <v/>
      </c>
      <c r="H154" s="26" t="str">
        <f aca="false">IF(A154="","",IF(D154="GCIA LINEA SERVICIO DIGITALIDAD Y VENTAS","Chats",IF(OR(D154="GERENCIA INBOUND LÍNEAS SERVICIO Y VENTA",D154="GERENCIA INBOUND LINEAS ESPECIALIZADAS"),"Llamadas","Otro")))</f>
        <v/>
      </c>
      <c r="I154" s="26" t="str">
        <f aca="false">IF(A154="","",IF(C154="No encontrado","No","Sí"))</f>
        <v/>
      </c>
      <c r="J154" s="26" t="str">
        <f aca="false">IF(A154="","",IF(F154="Inactivo","No","Sí"))</f>
        <v/>
      </c>
      <c r="K154" s="26" t="str">
        <f aca="false">IF(A154="","",IF(AND(I154="Sí",J154="Sí"),"Sí","No"))</f>
        <v/>
      </c>
    </row>
    <row r="155" customFormat="false" ht="15" hidden="false" customHeight="false" outlineLevel="0" collapsed="false">
      <c r="A155" s="22"/>
      <c r="B155" s="22"/>
      <c r="C155" s="23" t="str">
        <f aca="false">IF(A155="","",IFERROR(buscarx(A155&amp;B155,DATA!$E$3:$E$10000&amp;DATA!$B$3:$B$10000,DATA!$M$3:$M$10000),"No encontrado"))</f>
        <v/>
      </c>
      <c r="D155" s="24" t="str">
        <f aca="false">IF(A155="","",IFERROR(buscarx(A155&amp;B155,DATA!$E$3:$E$10000&amp;DATA!$B$3:$B$10000,DATA!$W$3:$W$10000),"No encontrado"))</f>
        <v/>
      </c>
      <c r="E155" s="22"/>
      <c r="F155" s="23" t="str">
        <f aca="false">IF(A155="","",IFERROR(buscarx(A155&amp;E155,DATA!$E$3:$E$10000&amp;DATA!$B$3:$B$10000,DATA!$M$3:$M$10000),"Inactivo"))</f>
        <v/>
      </c>
      <c r="G155" s="25" t="str">
        <f aca="false">IF(A155="","",IF(AND(C155&lt;&gt;"No encontrado",F155&lt;&gt;"Inactivo"),C155&amp;" → "&amp;F155,"Sin transición"))</f>
        <v/>
      </c>
      <c r="H155" s="23" t="str">
        <f aca="false">IF(A155="","",IF(D155="GCIA LINEA SERVICIO DIGITALIDAD Y VENTAS","Chats",IF(OR(D155="GERENCIA INBOUND LÍNEAS SERVICIO Y VENTA",D155="GERENCIA INBOUND LINEAS ESPECIALIZADAS"),"Llamadas","Otro")))</f>
        <v/>
      </c>
      <c r="I155" s="23" t="str">
        <f aca="false">IF(A155="","",IF(C155="No encontrado","No","Sí"))</f>
        <v/>
      </c>
      <c r="J155" s="23" t="str">
        <f aca="false">IF(A155="","",IF(F155="Inactivo","No","Sí"))</f>
        <v/>
      </c>
      <c r="K155" s="23" t="str">
        <f aca="false">IF(A155="","",IF(AND(I155="Sí",J155="Sí"),"Sí","No"))</f>
        <v/>
      </c>
    </row>
    <row r="156" customFormat="false" ht="15" hidden="false" customHeight="false" outlineLevel="0" collapsed="false">
      <c r="A156" s="22"/>
      <c r="B156" s="22"/>
      <c r="C156" s="26" t="str">
        <f aca="false">IF(A156="","",IFERROR(buscarx(A156&amp;B156,DATA!$E$3:$E$10000&amp;DATA!$B$3:$B$10000,DATA!$M$3:$M$10000),"No encontrado"))</f>
        <v/>
      </c>
      <c r="D156" s="27" t="str">
        <f aca="false">IF(A156="","",IFERROR(buscarx(A156&amp;B156,DATA!$E$3:$E$10000&amp;DATA!$B$3:$B$10000,DATA!$W$3:$W$10000),"No encontrado"))</f>
        <v/>
      </c>
      <c r="E156" s="22"/>
      <c r="F156" s="26" t="str">
        <f aca="false">IF(A156="","",IFERROR(buscarx(A156&amp;E156,DATA!$E$3:$E$10000&amp;DATA!$B$3:$B$10000,DATA!$M$3:$M$10000),"Inactivo"))</f>
        <v/>
      </c>
      <c r="G156" s="28" t="str">
        <f aca="false">IF(A156="","",IF(AND(C156&lt;&gt;"No encontrado",F156&lt;&gt;"Inactivo"),C156&amp;" → "&amp;F156,"Sin transición"))</f>
        <v/>
      </c>
      <c r="H156" s="26" t="str">
        <f aca="false">IF(A156="","",IF(D156="GCIA LINEA SERVICIO DIGITALIDAD Y VENTAS","Chats",IF(OR(D156="GERENCIA INBOUND LÍNEAS SERVICIO Y VENTA",D156="GERENCIA INBOUND LINEAS ESPECIALIZADAS"),"Llamadas","Otro")))</f>
        <v/>
      </c>
      <c r="I156" s="26" t="str">
        <f aca="false">IF(A156="","",IF(C156="No encontrado","No","Sí"))</f>
        <v/>
      </c>
      <c r="J156" s="26" t="str">
        <f aca="false">IF(A156="","",IF(F156="Inactivo","No","Sí"))</f>
        <v/>
      </c>
      <c r="K156" s="26" t="str">
        <f aca="false">IF(A156="","",IF(AND(I156="Sí",J156="Sí"),"Sí","No"))</f>
        <v/>
      </c>
    </row>
    <row r="157" customFormat="false" ht="15" hidden="false" customHeight="false" outlineLevel="0" collapsed="false">
      <c r="A157" s="22"/>
      <c r="B157" s="22"/>
      <c r="C157" s="23" t="str">
        <f aca="false">IF(A157="","",IFERROR(buscarx(A157&amp;B157,DATA!$E$3:$E$10000&amp;DATA!$B$3:$B$10000,DATA!$M$3:$M$10000),"No encontrado"))</f>
        <v/>
      </c>
      <c r="D157" s="24" t="str">
        <f aca="false">IF(A157="","",IFERROR(buscarx(A157&amp;B157,DATA!$E$3:$E$10000&amp;DATA!$B$3:$B$10000,DATA!$W$3:$W$10000),"No encontrado"))</f>
        <v/>
      </c>
      <c r="E157" s="22"/>
      <c r="F157" s="23" t="str">
        <f aca="false">IF(A157="","",IFERROR(buscarx(A157&amp;E157,DATA!$E$3:$E$10000&amp;DATA!$B$3:$B$10000,DATA!$M$3:$M$10000),"Inactivo"))</f>
        <v/>
      </c>
      <c r="G157" s="25" t="str">
        <f aca="false">IF(A157="","",IF(AND(C157&lt;&gt;"No encontrado",F157&lt;&gt;"Inactivo"),C157&amp;" → "&amp;F157,"Sin transición"))</f>
        <v/>
      </c>
      <c r="H157" s="23" t="str">
        <f aca="false">IF(A157="","",IF(D157="GCIA LINEA SERVICIO DIGITALIDAD Y VENTAS","Chats",IF(OR(D157="GERENCIA INBOUND LÍNEAS SERVICIO Y VENTA",D157="GERENCIA INBOUND LINEAS ESPECIALIZADAS"),"Llamadas","Otro")))</f>
        <v/>
      </c>
      <c r="I157" s="23" t="str">
        <f aca="false">IF(A157="","",IF(C157="No encontrado","No","Sí"))</f>
        <v/>
      </c>
      <c r="J157" s="23" t="str">
        <f aca="false">IF(A157="","",IF(F157="Inactivo","No","Sí"))</f>
        <v/>
      </c>
      <c r="K157" s="23" t="str">
        <f aca="false">IF(A157="","",IF(AND(I157="Sí",J157="Sí"),"Sí","No"))</f>
        <v/>
      </c>
    </row>
    <row r="158" customFormat="false" ht="15" hidden="false" customHeight="false" outlineLevel="0" collapsed="false">
      <c r="A158" s="22"/>
      <c r="B158" s="22"/>
      <c r="C158" s="26" t="str">
        <f aca="false">IF(A158="","",IFERROR(buscarx(A158&amp;B158,DATA!$E$3:$E$10000&amp;DATA!$B$3:$B$10000,DATA!$M$3:$M$10000),"No encontrado"))</f>
        <v/>
      </c>
      <c r="D158" s="27" t="str">
        <f aca="false">IF(A158="","",IFERROR(buscarx(A158&amp;B158,DATA!$E$3:$E$10000&amp;DATA!$B$3:$B$10000,DATA!$W$3:$W$10000),"No encontrado"))</f>
        <v/>
      </c>
      <c r="E158" s="22"/>
      <c r="F158" s="26" t="str">
        <f aca="false">IF(A158="","",IFERROR(buscarx(A158&amp;E158,DATA!$E$3:$E$10000&amp;DATA!$B$3:$B$10000,DATA!$M$3:$M$10000),"Inactivo"))</f>
        <v/>
      </c>
      <c r="G158" s="28" t="str">
        <f aca="false">IF(A158="","",IF(AND(C158&lt;&gt;"No encontrado",F158&lt;&gt;"Inactivo"),C158&amp;" → "&amp;F158,"Sin transición"))</f>
        <v/>
      </c>
      <c r="H158" s="26" t="str">
        <f aca="false">IF(A158="","",IF(D158="GCIA LINEA SERVICIO DIGITALIDAD Y VENTAS","Chats",IF(OR(D158="GERENCIA INBOUND LÍNEAS SERVICIO Y VENTA",D158="GERENCIA INBOUND LINEAS ESPECIALIZADAS"),"Llamadas","Otro")))</f>
        <v/>
      </c>
      <c r="I158" s="26" t="str">
        <f aca="false">IF(A158="","",IF(C158="No encontrado","No","Sí"))</f>
        <v/>
      </c>
      <c r="J158" s="26" t="str">
        <f aca="false">IF(A158="","",IF(F158="Inactivo","No","Sí"))</f>
        <v/>
      </c>
      <c r="K158" s="26" t="str">
        <f aca="false">IF(A158="","",IF(AND(I158="Sí",J158="Sí"),"Sí","No"))</f>
        <v/>
      </c>
    </row>
    <row r="159" customFormat="false" ht="15" hidden="false" customHeight="false" outlineLevel="0" collapsed="false">
      <c r="A159" s="22"/>
      <c r="B159" s="22"/>
      <c r="C159" s="23" t="str">
        <f aca="false">IF(A159="","",IFERROR(buscarx(A159&amp;B159,DATA!$E$3:$E$10000&amp;DATA!$B$3:$B$10000,DATA!$M$3:$M$10000),"No encontrado"))</f>
        <v/>
      </c>
      <c r="D159" s="24" t="str">
        <f aca="false">IF(A159="","",IFERROR(buscarx(A159&amp;B159,DATA!$E$3:$E$10000&amp;DATA!$B$3:$B$10000,DATA!$W$3:$W$10000),"No encontrado"))</f>
        <v/>
      </c>
      <c r="E159" s="22"/>
      <c r="F159" s="23" t="str">
        <f aca="false">IF(A159="","",IFERROR(buscarx(A159&amp;E159,DATA!$E$3:$E$10000&amp;DATA!$B$3:$B$10000,DATA!$M$3:$M$10000),"Inactivo"))</f>
        <v/>
      </c>
      <c r="G159" s="25" t="str">
        <f aca="false">IF(A159="","",IF(AND(C159&lt;&gt;"No encontrado",F159&lt;&gt;"Inactivo"),C159&amp;" → "&amp;F159,"Sin transición"))</f>
        <v/>
      </c>
      <c r="H159" s="23" t="str">
        <f aca="false">IF(A159="","",IF(D159="GCIA LINEA SERVICIO DIGITALIDAD Y VENTAS","Chats",IF(OR(D159="GERENCIA INBOUND LÍNEAS SERVICIO Y VENTA",D159="GERENCIA INBOUND LINEAS ESPECIALIZADAS"),"Llamadas","Otro")))</f>
        <v/>
      </c>
      <c r="I159" s="23" t="str">
        <f aca="false">IF(A159="","",IF(C159="No encontrado","No","Sí"))</f>
        <v/>
      </c>
      <c r="J159" s="23" t="str">
        <f aca="false">IF(A159="","",IF(F159="Inactivo","No","Sí"))</f>
        <v/>
      </c>
      <c r="K159" s="23" t="str">
        <f aca="false">IF(A159="","",IF(AND(I159="Sí",J159="Sí"),"Sí","No"))</f>
        <v/>
      </c>
    </row>
    <row r="160" customFormat="false" ht="15" hidden="false" customHeight="false" outlineLevel="0" collapsed="false">
      <c r="A160" s="22"/>
      <c r="B160" s="22"/>
      <c r="C160" s="26" t="str">
        <f aca="false">IF(A160="","",IFERROR(buscarx(A160&amp;B160,DATA!$E$3:$E$10000&amp;DATA!$B$3:$B$10000,DATA!$M$3:$M$10000),"No encontrado"))</f>
        <v/>
      </c>
      <c r="D160" s="27" t="str">
        <f aca="false">IF(A160="","",IFERROR(buscarx(A160&amp;B160,DATA!$E$3:$E$10000&amp;DATA!$B$3:$B$10000,DATA!$W$3:$W$10000),"No encontrado"))</f>
        <v/>
      </c>
      <c r="E160" s="22"/>
      <c r="F160" s="26" t="str">
        <f aca="false">IF(A160="","",IFERROR(buscarx(A160&amp;E160,DATA!$E$3:$E$10000&amp;DATA!$B$3:$B$10000,DATA!$M$3:$M$10000),"Inactivo"))</f>
        <v/>
      </c>
      <c r="G160" s="28" t="str">
        <f aca="false">IF(A160="","",IF(AND(C160&lt;&gt;"No encontrado",F160&lt;&gt;"Inactivo"),C160&amp;" → "&amp;F160,"Sin transición"))</f>
        <v/>
      </c>
      <c r="H160" s="26" t="str">
        <f aca="false">IF(A160="","",IF(D160="GCIA LINEA SERVICIO DIGITALIDAD Y VENTAS","Chats",IF(OR(D160="GERENCIA INBOUND LÍNEAS SERVICIO Y VENTA",D160="GERENCIA INBOUND LINEAS ESPECIALIZADAS"),"Llamadas","Otro")))</f>
        <v/>
      </c>
      <c r="I160" s="26" t="str">
        <f aca="false">IF(A160="","",IF(C160="No encontrado","No","Sí"))</f>
        <v/>
      </c>
      <c r="J160" s="26" t="str">
        <f aca="false">IF(A160="","",IF(F160="Inactivo","No","Sí"))</f>
        <v/>
      </c>
      <c r="K160" s="26" t="str">
        <f aca="false">IF(A160="","",IF(AND(I160="Sí",J160="Sí"),"Sí","No"))</f>
        <v/>
      </c>
    </row>
    <row r="161" customFormat="false" ht="15" hidden="false" customHeight="false" outlineLevel="0" collapsed="false">
      <c r="A161" s="22"/>
      <c r="B161" s="22"/>
      <c r="C161" s="23" t="str">
        <f aca="false">IF(A161="","",IFERROR(buscarx(A161&amp;B161,DATA!$E$3:$E$10000&amp;DATA!$B$3:$B$10000,DATA!$M$3:$M$10000),"No encontrado"))</f>
        <v/>
      </c>
      <c r="D161" s="24" t="str">
        <f aca="false">IF(A161="","",IFERROR(buscarx(A161&amp;B161,DATA!$E$3:$E$10000&amp;DATA!$B$3:$B$10000,DATA!$W$3:$W$10000),"No encontrado"))</f>
        <v/>
      </c>
      <c r="E161" s="22"/>
      <c r="F161" s="23" t="str">
        <f aca="false">IF(A161="","",IFERROR(buscarx(A161&amp;E161,DATA!$E$3:$E$10000&amp;DATA!$B$3:$B$10000,DATA!$M$3:$M$10000),"Inactivo"))</f>
        <v/>
      </c>
      <c r="G161" s="25" t="str">
        <f aca="false">IF(A161="","",IF(AND(C161&lt;&gt;"No encontrado",F161&lt;&gt;"Inactivo"),C161&amp;" → "&amp;F161,"Sin transición"))</f>
        <v/>
      </c>
      <c r="H161" s="23" t="str">
        <f aca="false">IF(A161="","",IF(D161="GCIA LINEA SERVICIO DIGITALIDAD Y VENTAS","Chats",IF(OR(D161="GERENCIA INBOUND LÍNEAS SERVICIO Y VENTA",D161="GERENCIA INBOUND LINEAS ESPECIALIZADAS"),"Llamadas","Otro")))</f>
        <v/>
      </c>
      <c r="I161" s="23" t="str">
        <f aca="false">IF(A161="","",IF(C161="No encontrado","No","Sí"))</f>
        <v/>
      </c>
      <c r="J161" s="23" t="str">
        <f aca="false">IF(A161="","",IF(F161="Inactivo","No","Sí"))</f>
        <v/>
      </c>
      <c r="K161" s="23" t="str">
        <f aca="false">IF(A161="","",IF(AND(I161="Sí",J161="Sí"),"Sí","No"))</f>
        <v/>
      </c>
    </row>
    <row r="162" customFormat="false" ht="15" hidden="false" customHeight="false" outlineLevel="0" collapsed="false">
      <c r="A162" s="22"/>
      <c r="B162" s="22"/>
      <c r="C162" s="26" t="str">
        <f aca="false">IF(A162="","",IFERROR(buscarx(A162&amp;B162,DATA!$E$3:$E$10000&amp;DATA!$B$3:$B$10000,DATA!$M$3:$M$10000),"No encontrado"))</f>
        <v/>
      </c>
      <c r="D162" s="27" t="str">
        <f aca="false">IF(A162="","",IFERROR(buscarx(A162&amp;B162,DATA!$E$3:$E$10000&amp;DATA!$B$3:$B$10000,DATA!$W$3:$W$10000),"No encontrado"))</f>
        <v/>
      </c>
      <c r="E162" s="22"/>
      <c r="F162" s="26" t="str">
        <f aca="false">IF(A162="","",IFERROR(buscarx(A162&amp;E162,DATA!$E$3:$E$10000&amp;DATA!$B$3:$B$10000,DATA!$M$3:$M$10000),"Inactivo"))</f>
        <v/>
      </c>
      <c r="G162" s="28" t="str">
        <f aca="false">IF(A162="","",IF(AND(C162&lt;&gt;"No encontrado",F162&lt;&gt;"Inactivo"),C162&amp;" → "&amp;F162,"Sin transición"))</f>
        <v/>
      </c>
      <c r="H162" s="26" t="str">
        <f aca="false">IF(A162="","",IF(D162="GCIA LINEA SERVICIO DIGITALIDAD Y VENTAS","Chats",IF(OR(D162="GERENCIA INBOUND LÍNEAS SERVICIO Y VENTA",D162="GERENCIA INBOUND LINEAS ESPECIALIZADAS"),"Llamadas","Otro")))</f>
        <v/>
      </c>
      <c r="I162" s="26" t="str">
        <f aca="false">IF(A162="","",IF(C162="No encontrado","No","Sí"))</f>
        <v/>
      </c>
      <c r="J162" s="26" t="str">
        <f aca="false">IF(A162="","",IF(F162="Inactivo","No","Sí"))</f>
        <v/>
      </c>
      <c r="K162" s="26" t="str">
        <f aca="false">IF(A162="","",IF(AND(I162="Sí",J162="Sí"),"Sí","No"))</f>
        <v/>
      </c>
    </row>
    <row r="163" customFormat="false" ht="15" hidden="false" customHeight="false" outlineLevel="0" collapsed="false">
      <c r="A163" s="22"/>
      <c r="B163" s="22"/>
      <c r="C163" s="23" t="str">
        <f aca="false">IF(A163="","",IFERROR(buscarx(A163&amp;B163,DATA!$E$3:$E$10000&amp;DATA!$B$3:$B$10000,DATA!$M$3:$M$10000),"No encontrado"))</f>
        <v/>
      </c>
      <c r="D163" s="24" t="str">
        <f aca="false">IF(A163="","",IFERROR(buscarx(A163&amp;B163,DATA!$E$3:$E$10000&amp;DATA!$B$3:$B$10000,DATA!$W$3:$W$10000),"No encontrado"))</f>
        <v/>
      </c>
      <c r="E163" s="22"/>
      <c r="F163" s="23" t="str">
        <f aca="false">IF(A163="","",IFERROR(buscarx(A163&amp;E163,DATA!$E$3:$E$10000&amp;DATA!$B$3:$B$10000,DATA!$M$3:$M$10000),"Inactivo"))</f>
        <v/>
      </c>
      <c r="G163" s="25" t="str">
        <f aca="false">IF(A163="","",IF(AND(C163&lt;&gt;"No encontrado",F163&lt;&gt;"Inactivo"),C163&amp;" → "&amp;F163,"Sin transición"))</f>
        <v/>
      </c>
      <c r="H163" s="23" t="str">
        <f aca="false">IF(A163="","",IF(D163="GCIA LINEA SERVICIO DIGITALIDAD Y VENTAS","Chats",IF(OR(D163="GERENCIA INBOUND LÍNEAS SERVICIO Y VENTA",D163="GERENCIA INBOUND LINEAS ESPECIALIZADAS"),"Llamadas","Otro")))</f>
        <v/>
      </c>
      <c r="I163" s="23" t="str">
        <f aca="false">IF(A163="","",IF(C163="No encontrado","No","Sí"))</f>
        <v/>
      </c>
      <c r="J163" s="23" t="str">
        <f aca="false">IF(A163="","",IF(F163="Inactivo","No","Sí"))</f>
        <v/>
      </c>
      <c r="K163" s="23" t="str">
        <f aca="false">IF(A163="","",IF(AND(I163="Sí",J163="Sí"),"Sí","No"))</f>
        <v/>
      </c>
    </row>
    <row r="164" customFormat="false" ht="15" hidden="false" customHeight="false" outlineLevel="0" collapsed="false">
      <c r="A164" s="22"/>
      <c r="B164" s="22"/>
      <c r="C164" s="26" t="str">
        <f aca="false">IF(A164="","",IFERROR(buscarx(A164&amp;B164,DATA!$E$3:$E$10000&amp;DATA!$B$3:$B$10000,DATA!$M$3:$M$10000),"No encontrado"))</f>
        <v/>
      </c>
      <c r="D164" s="27" t="str">
        <f aca="false">IF(A164="","",IFERROR(buscarx(A164&amp;B164,DATA!$E$3:$E$10000&amp;DATA!$B$3:$B$10000,DATA!$W$3:$W$10000),"No encontrado"))</f>
        <v/>
      </c>
      <c r="E164" s="22"/>
      <c r="F164" s="26" t="str">
        <f aca="false">IF(A164="","",IFERROR(buscarx(A164&amp;E164,DATA!$E$3:$E$10000&amp;DATA!$B$3:$B$10000,DATA!$M$3:$M$10000),"Inactivo"))</f>
        <v/>
      </c>
      <c r="G164" s="28" t="str">
        <f aca="false">IF(A164="","",IF(AND(C164&lt;&gt;"No encontrado",F164&lt;&gt;"Inactivo"),C164&amp;" → "&amp;F164,"Sin transición"))</f>
        <v/>
      </c>
      <c r="H164" s="26" t="str">
        <f aca="false">IF(A164="","",IF(D164="GCIA LINEA SERVICIO DIGITALIDAD Y VENTAS","Chats",IF(OR(D164="GERENCIA INBOUND LÍNEAS SERVICIO Y VENTA",D164="GERENCIA INBOUND LINEAS ESPECIALIZADAS"),"Llamadas","Otro")))</f>
        <v/>
      </c>
      <c r="I164" s="26" t="str">
        <f aca="false">IF(A164="","",IF(C164="No encontrado","No","Sí"))</f>
        <v/>
      </c>
      <c r="J164" s="26" t="str">
        <f aca="false">IF(A164="","",IF(F164="Inactivo","No","Sí"))</f>
        <v/>
      </c>
      <c r="K164" s="26" t="str">
        <f aca="false">IF(A164="","",IF(AND(I164="Sí",J164="Sí"),"Sí","No"))</f>
        <v/>
      </c>
    </row>
    <row r="165" customFormat="false" ht="15" hidden="false" customHeight="false" outlineLevel="0" collapsed="false">
      <c r="A165" s="22"/>
      <c r="B165" s="22"/>
      <c r="C165" s="23" t="str">
        <f aca="false">IF(A165="","",IFERROR(buscarx(A165&amp;B165,DATA!$E$3:$E$10000&amp;DATA!$B$3:$B$10000,DATA!$M$3:$M$10000),"No encontrado"))</f>
        <v/>
      </c>
      <c r="D165" s="24" t="str">
        <f aca="false">IF(A165="","",IFERROR(buscarx(A165&amp;B165,DATA!$E$3:$E$10000&amp;DATA!$B$3:$B$10000,DATA!$W$3:$W$10000),"No encontrado"))</f>
        <v/>
      </c>
      <c r="E165" s="22"/>
      <c r="F165" s="23" t="str">
        <f aca="false">IF(A165="","",IFERROR(buscarx(A165&amp;E165,DATA!$E$3:$E$10000&amp;DATA!$B$3:$B$10000,DATA!$M$3:$M$10000),"Inactivo"))</f>
        <v/>
      </c>
      <c r="G165" s="25" t="str">
        <f aca="false">IF(A165="","",IF(AND(C165&lt;&gt;"No encontrado",F165&lt;&gt;"Inactivo"),C165&amp;" → "&amp;F165,"Sin transición"))</f>
        <v/>
      </c>
      <c r="H165" s="23" t="str">
        <f aca="false">IF(A165="","",IF(D165="GCIA LINEA SERVICIO DIGITALIDAD Y VENTAS","Chats",IF(OR(D165="GERENCIA INBOUND LÍNEAS SERVICIO Y VENTA",D165="GERENCIA INBOUND LINEAS ESPECIALIZADAS"),"Llamadas","Otro")))</f>
        <v/>
      </c>
      <c r="I165" s="23" t="str">
        <f aca="false">IF(A165="","",IF(C165="No encontrado","No","Sí"))</f>
        <v/>
      </c>
      <c r="J165" s="23" t="str">
        <f aca="false">IF(A165="","",IF(F165="Inactivo","No","Sí"))</f>
        <v/>
      </c>
      <c r="K165" s="23" t="str">
        <f aca="false">IF(A165="","",IF(AND(I165="Sí",J165="Sí"),"Sí","No"))</f>
        <v/>
      </c>
    </row>
    <row r="166" customFormat="false" ht="15" hidden="false" customHeight="false" outlineLevel="0" collapsed="false">
      <c r="A166" s="22"/>
      <c r="B166" s="22"/>
      <c r="C166" s="26" t="str">
        <f aca="false">IF(A166="","",IFERROR(buscarx(A166&amp;B166,DATA!$E$3:$E$10000&amp;DATA!$B$3:$B$10000,DATA!$M$3:$M$10000),"No encontrado"))</f>
        <v/>
      </c>
      <c r="D166" s="27" t="str">
        <f aca="false">IF(A166="","",IFERROR(buscarx(A166&amp;B166,DATA!$E$3:$E$10000&amp;DATA!$B$3:$B$10000,DATA!$W$3:$W$10000),"No encontrado"))</f>
        <v/>
      </c>
      <c r="E166" s="22"/>
      <c r="F166" s="26" t="str">
        <f aca="false">IF(A166="","",IFERROR(buscarx(A166&amp;E166,DATA!$E$3:$E$10000&amp;DATA!$B$3:$B$10000,DATA!$M$3:$M$10000),"Inactivo"))</f>
        <v/>
      </c>
      <c r="G166" s="28" t="str">
        <f aca="false">IF(A166="","",IF(AND(C166&lt;&gt;"No encontrado",F166&lt;&gt;"Inactivo"),C166&amp;" → "&amp;F166,"Sin transición"))</f>
        <v/>
      </c>
      <c r="H166" s="26" t="str">
        <f aca="false">IF(A166="","",IF(D166="GCIA LINEA SERVICIO DIGITALIDAD Y VENTAS","Chats",IF(OR(D166="GERENCIA INBOUND LÍNEAS SERVICIO Y VENTA",D166="GERENCIA INBOUND LINEAS ESPECIALIZADAS"),"Llamadas","Otro")))</f>
        <v/>
      </c>
      <c r="I166" s="26" t="str">
        <f aca="false">IF(A166="","",IF(C166="No encontrado","No","Sí"))</f>
        <v/>
      </c>
      <c r="J166" s="26" t="str">
        <f aca="false">IF(A166="","",IF(F166="Inactivo","No","Sí"))</f>
        <v/>
      </c>
      <c r="K166" s="26" t="str">
        <f aca="false">IF(A166="","",IF(AND(I166="Sí",J166="Sí"),"Sí","No"))</f>
        <v/>
      </c>
    </row>
    <row r="167" customFormat="false" ht="15" hidden="false" customHeight="false" outlineLevel="0" collapsed="false">
      <c r="A167" s="22"/>
      <c r="B167" s="22"/>
      <c r="C167" s="23" t="str">
        <f aca="false">IF(A167="","",IFERROR(buscarx(A167&amp;B167,DATA!$E$3:$E$10000&amp;DATA!$B$3:$B$10000,DATA!$M$3:$M$10000),"No encontrado"))</f>
        <v/>
      </c>
      <c r="D167" s="24" t="str">
        <f aca="false">IF(A167="","",IFERROR(buscarx(A167&amp;B167,DATA!$E$3:$E$10000&amp;DATA!$B$3:$B$10000,DATA!$W$3:$W$10000),"No encontrado"))</f>
        <v/>
      </c>
      <c r="E167" s="22"/>
      <c r="F167" s="23" t="str">
        <f aca="false">IF(A167="","",IFERROR(buscarx(A167&amp;E167,DATA!$E$3:$E$10000&amp;DATA!$B$3:$B$10000,DATA!$M$3:$M$10000),"Inactivo"))</f>
        <v/>
      </c>
      <c r="G167" s="25" t="str">
        <f aca="false">IF(A167="","",IF(AND(C167&lt;&gt;"No encontrado",F167&lt;&gt;"Inactivo"),C167&amp;" → "&amp;F167,"Sin transición"))</f>
        <v/>
      </c>
      <c r="H167" s="23" t="str">
        <f aca="false">IF(A167="","",IF(D167="GCIA LINEA SERVICIO DIGITALIDAD Y VENTAS","Chats",IF(OR(D167="GERENCIA INBOUND LÍNEAS SERVICIO Y VENTA",D167="GERENCIA INBOUND LINEAS ESPECIALIZADAS"),"Llamadas","Otro")))</f>
        <v/>
      </c>
      <c r="I167" s="23" t="str">
        <f aca="false">IF(A167="","",IF(C167="No encontrado","No","Sí"))</f>
        <v/>
      </c>
      <c r="J167" s="23" t="str">
        <f aca="false">IF(A167="","",IF(F167="Inactivo","No","Sí"))</f>
        <v/>
      </c>
      <c r="K167" s="23" t="str">
        <f aca="false">IF(A167="","",IF(AND(I167="Sí",J167="Sí"),"Sí","No"))</f>
        <v/>
      </c>
    </row>
    <row r="168" customFormat="false" ht="15" hidden="false" customHeight="false" outlineLevel="0" collapsed="false">
      <c r="A168" s="22"/>
      <c r="B168" s="22"/>
      <c r="C168" s="26" t="str">
        <f aca="false">IF(A168="","",IFERROR(buscarx(A168&amp;B168,DATA!$E$3:$E$10000&amp;DATA!$B$3:$B$10000,DATA!$M$3:$M$10000),"No encontrado"))</f>
        <v/>
      </c>
      <c r="D168" s="27" t="str">
        <f aca="false">IF(A168="","",IFERROR(buscarx(A168&amp;B168,DATA!$E$3:$E$10000&amp;DATA!$B$3:$B$10000,DATA!$W$3:$W$10000),"No encontrado"))</f>
        <v/>
      </c>
      <c r="E168" s="22"/>
      <c r="F168" s="26" t="str">
        <f aca="false">IF(A168="","",IFERROR(buscarx(A168&amp;E168,DATA!$E$3:$E$10000&amp;DATA!$B$3:$B$10000,DATA!$M$3:$M$10000),"Inactivo"))</f>
        <v/>
      </c>
      <c r="G168" s="28" t="str">
        <f aca="false">IF(A168="","",IF(AND(C168&lt;&gt;"No encontrado",F168&lt;&gt;"Inactivo"),C168&amp;" → "&amp;F168,"Sin transición"))</f>
        <v/>
      </c>
      <c r="H168" s="26" t="str">
        <f aca="false">IF(A168="","",IF(D168="GCIA LINEA SERVICIO DIGITALIDAD Y VENTAS","Chats",IF(OR(D168="GERENCIA INBOUND LÍNEAS SERVICIO Y VENTA",D168="GERENCIA INBOUND LINEAS ESPECIALIZADAS"),"Llamadas","Otro")))</f>
        <v/>
      </c>
      <c r="I168" s="26" t="str">
        <f aca="false">IF(A168="","",IF(C168="No encontrado","No","Sí"))</f>
        <v/>
      </c>
      <c r="J168" s="26" t="str">
        <f aca="false">IF(A168="","",IF(F168="Inactivo","No","Sí"))</f>
        <v/>
      </c>
      <c r="K168" s="26" t="str">
        <f aca="false">IF(A168="","",IF(AND(I168="Sí",J168="Sí"),"Sí","No"))</f>
        <v/>
      </c>
    </row>
    <row r="169" customFormat="false" ht="15" hidden="false" customHeight="false" outlineLevel="0" collapsed="false">
      <c r="A169" s="22"/>
      <c r="B169" s="22"/>
      <c r="C169" s="23" t="str">
        <f aca="false">IF(A169="","",IFERROR(buscarx(A169&amp;B169,DATA!$E$3:$E$10000&amp;DATA!$B$3:$B$10000,DATA!$M$3:$M$10000),"No encontrado"))</f>
        <v/>
      </c>
      <c r="D169" s="24" t="str">
        <f aca="false">IF(A169="","",IFERROR(buscarx(A169&amp;B169,DATA!$E$3:$E$10000&amp;DATA!$B$3:$B$10000,DATA!$W$3:$W$10000),"No encontrado"))</f>
        <v/>
      </c>
      <c r="E169" s="22"/>
      <c r="F169" s="23" t="str">
        <f aca="false">IF(A169="","",IFERROR(buscarx(A169&amp;E169,DATA!$E$3:$E$10000&amp;DATA!$B$3:$B$10000,DATA!$M$3:$M$10000),"Inactivo"))</f>
        <v/>
      </c>
      <c r="G169" s="25" t="str">
        <f aca="false">IF(A169="","",IF(AND(C169&lt;&gt;"No encontrado",F169&lt;&gt;"Inactivo"),C169&amp;" → "&amp;F169,"Sin transición"))</f>
        <v/>
      </c>
      <c r="H169" s="23" t="str">
        <f aca="false">IF(A169="","",IF(D169="GCIA LINEA SERVICIO DIGITALIDAD Y VENTAS","Chats",IF(OR(D169="GERENCIA INBOUND LÍNEAS SERVICIO Y VENTA",D169="GERENCIA INBOUND LINEAS ESPECIALIZADAS"),"Llamadas","Otro")))</f>
        <v/>
      </c>
      <c r="I169" s="23" t="str">
        <f aca="false">IF(A169="","",IF(C169="No encontrado","No","Sí"))</f>
        <v/>
      </c>
      <c r="J169" s="23" t="str">
        <f aca="false">IF(A169="","",IF(F169="Inactivo","No","Sí"))</f>
        <v/>
      </c>
      <c r="K169" s="23" t="str">
        <f aca="false">IF(A169="","",IF(AND(I169="Sí",J169="Sí"),"Sí","No"))</f>
        <v/>
      </c>
    </row>
    <row r="170" customFormat="false" ht="15" hidden="false" customHeight="false" outlineLevel="0" collapsed="false">
      <c r="A170" s="22"/>
      <c r="B170" s="22"/>
      <c r="C170" s="26" t="str">
        <f aca="false">IF(A170="","",IFERROR(buscarx(A170&amp;B170,DATA!$E$3:$E$10000&amp;DATA!$B$3:$B$10000,DATA!$M$3:$M$10000),"No encontrado"))</f>
        <v/>
      </c>
      <c r="D170" s="27" t="str">
        <f aca="false">IF(A170="","",IFERROR(buscarx(A170&amp;B170,DATA!$E$3:$E$10000&amp;DATA!$B$3:$B$10000,DATA!$W$3:$W$10000),"No encontrado"))</f>
        <v/>
      </c>
      <c r="E170" s="22"/>
      <c r="F170" s="26" t="str">
        <f aca="false">IF(A170="","",IFERROR(buscarx(A170&amp;E170,DATA!$E$3:$E$10000&amp;DATA!$B$3:$B$10000,DATA!$M$3:$M$10000),"Inactivo"))</f>
        <v/>
      </c>
      <c r="G170" s="28" t="str">
        <f aca="false">IF(A170="","",IF(AND(C170&lt;&gt;"No encontrado",F170&lt;&gt;"Inactivo"),C170&amp;" → "&amp;F170,"Sin transición"))</f>
        <v/>
      </c>
      <c r="H170" s="26" t="str">
        <f aca="false">IF(A170="","",IF(D170="GCIA LINEA SERVICIO DIGITALIDAD Y VENTAS","Chats",IF(OR(D170="GERENCIA INBOUND LÍNEAS SERVICIO Y VENTA",D170="GERENCIA INBOUND LINEAS ESPECIALIZADAS"),"Llamadas","Otro")))</f>
        <v/>
      </c>
      <c r="I170" s="26" t="str">
        <f aca="false">IF(A170="","",IF(C170="No encontrado","No","Sí"))</f>
        <v/>
      </c>
      <c r="J170" s="26" t="str">
        <f aca="false">IF(A170="","",IF(F170="Inactivo","No","Sí"))</f>
        <v/>
      </c>
      <c r="K170" s="26" t="str">
        <f aca="false">IF(A170="","",IF(AND(I170="Sí",J170="Sí"),"Sí","No"))</f>
        <v/>
      </c>
    </row>
    <row r="171" customFormat="false" ht="15" hidden="false" customHeight="false" outlineLevel="0" collapsed="false">
      <c r="A171" s="22"/>
      <c r="B171" s="22"/>
      <c r="C171" s="23" t="str">
        <f aca="false">IF(A171="","",IFERROR(buscarx(A171&amp;B171,DATA!$E$3:$E$10000&amp;DATA!$B$3:$B$10000,DATA!$M$3:$M$10000),"No encontrado"))</f>
        <v/>
      </c>
      <c r="D171" s="24" t="str">
        <f aca="false">IF(A171="","",IFERROR(buscarx(A171&amp;B171,DATA!$E$3:$E$10000&amp;DATA!$B$3:$B$10000,DATA!$W$3:$W$10000),"No encontrado"))</f>
        <v/>
      </c>
      <c r="E171" s="22"/>
      <c r="F171" s="23" t="str">
        <f aca="false">IF(A171="","",IFERROR(buscarx(A171&amp;E171,DATA!$E$3:$E$10000&amp;DATA!$B$3:$B$10000,DATA!$M$3:$M$10000),"Inactivo"))</f>
        <v/>
      </c>
      <c r="G171" s="25" t="str">
        <f aca="false">IF(A171="","",IF(AND(C171&lt;&gt;"No encontrado",F171&lt;&gt;"Inactivo"),C171&amp;" → "&amp;F171,"Sin transición"))</f>
        <v/>
      </c>
      <c r="H171" s="23" t="str">
        <f aca="false">IF(A171="","",IF(D171="GCIA LINEA SERVICIO DIGITALIDAD Y VENTAS","Chats",IF(OR(D171="GERENCIA INBOUND LÍNEAS SERVICIO Y VENTA",D171="GERENCIA INBOUND LINEAS ESPECIALIZADAS"),"Llamadas","Otro")))</f>
        <v/>
      </c>
      <c r="I171" s="23" t="str">
        <f aca="false">IF(A171="","",IF(C171="No encontrado","No","Sí"))</f>
        <v/>
      </c>
      <c r="J171" s="23" t="str">
        <f aca="false">IF(A171="","",IF(F171="Inactivo","No","Sí"))</f>
        <v/>
      </c>
      <c r="K171" s="23" t="str">
        <f aca="false">IF(A171="","",IF(AND(I171="Sí",J171="Sí"),"Sí","No"))</f>
        <v/>
      </c>
    </row>
    <row r="172" customFormat="false" ht="15" hidden="false" customHeight="false" outlineLevel="0" collapsed="false">
      <c r="A172" s="22"/>
      <c r="B172" s="22"/>
      <c r="C172" s="26" t="str">
        <f aca="false">IF(A172="","",IFERROR(buscarx(A172&amp;B172,DATA!$E$3:$E$10000&amp;DATA!$B$3:$B$10000,DATA!$M$3:$M$10000),"No encontrado"))</f>
        <v/>
      </c>
      <c r="D172" s="27" t="str">
        <f aca="false">IF(A172="","",IFERROR(buscarx(A172&amp;B172,DATA!$E$3:$E$10000&amp;DATA!$B$3:$B$10000,DATA!$W$3:$W$10000),"No encontrado"))</f>
        <v/>
      </c>
      <c r="E172" s="22"/>
      <c r="F172" s="26" t="str">
        <f aca="false">IF(A172="","",IFERROR(buscarx(A172&amp;E172,DATA!$E$3:$E$10000&amp;DATA!$B$3:$B$10000,DATA!$M$3:$M$10000),"Inactivo"))</f>
        <v/>
      </c>
      <c r="G172" s="28" t="str">
        <f aca="false">IF(A172="","",IF(AND(C172&lt;&gt;"No encontrado",F172&lt;&gt;"Inactivo"),C172&amp;" → "&amp;F172,"Sin transición"))</f>
        <v/>
      </c>
      <c r="H172" s="26" t="str">
        <f aca="false">IF(A172="","",IF(D172="GCIA LINEA SERVICIO DIGITALIDAD Y VENTAS","Chats",IF(OR(D172="GERENCIA INBOUND LÍNEAS SERVICIO Y VENTA",D172="GERENCIA INBOUND LINEAS ESPECIALIZADAS"),"Llamadas","Otro")))</f>
        <v/>
      </c>
      <c r="I172" s="26" t="str">
        <f aca="false">IF(A172="","",IF(C172="No encontrado","No","Sí"))</f>
        <v/>
      </c>
      <c r="J172" s="26" t="str">
        <f aca="false">IF(A172="","",IF(F172="Inactivo","No","Sí"))</f>
        <v/>
      </c>
      <c r="K172" s="26" t="str">
        <f aca="false">IF(A172="","",IF(AND(I172="Sí",J172="Sí"),"Sí","No"))</f>
        <v/>
      </c>
    </row>
    <row r="173" customFormat="false" ht="15" hidden="false" customHeight="false" outlineLevel="0" collapsed="false">
      <c r="A173" s="22"/>
      <c r="B173" s="22"/>
      <c r="C173" s="23" t="str">
        <f aca="false">IF(A173="","",IFERROR(buscarx(A173&amp;B173,DATA!$E$3:$E$10000&amp;DATA!$B$3:$B$10000,DATA!$M$3:$M$10000),"No encontrado"))</f>
        <v/>
      </c>
      <c r="D173" s="24" t="str">
        <f aca="false">IF(A173="","",IFERROR(buscarx(A173&amp;B173,DATA!$E$3:$E$10000&amp;DATA!$B$3:$B$10000,DATA!$W$3:$W$10000),"No encontrado"))</f>
        <v/>
      </c>
      <c r="E173" s="22"/>
      <c r="F173" s="23" t="str">
        <f aca="false">IF(A173="","",IFERROR(buscarx(A173&amp;E173,DATA!$E$3:$E$10000&amp;DATA!$B$3:$B$10000,DATA!$M$3:$M$10000),"Inactivo"))</f>
        <v/>
      </c>
      <c r="G173" s="25" t="str">
        <f aca="false">IF(A173="","",IF(AND(C173&lt;&gt;"No encontrado",F173&lt;&gt;"Inactivo"),C173&amp;" → "&amp;F173,"Sin transición"))</f>
        <v/>
      </c>
      <c r="H173" s="23" t="str">
        <f aca="false">IF(A173="","",IF(D173="GCIA LINEA SERVICIO DIGITALIDAD Y VENTAS","Chats",IF(OR(D173="GERENCIA INBOUND LÍNEAS SERVICIO Y VENTA",D173="GERENCIA INBOUND LINEAS ESPECIALIZADAS"),"Llamadas","Otro")))</f>
        <v/>
      </c>
      <c r="I173" s="23" t="str">
        <f aca="false">IF(A173="","",IF(C173="No encontrado","No","Sí"))</f>
        <v/>
      </c>
      <c r="J173" s="23" t="str">
        <f aca="false">IF(A173="","",IF(F173="Inactivo","No","Sí"))</f>
        <v/>
      </c>
      <c r="K173" s="23" t="str">
        <f aca="false">IF(A173="","",IF(AND(I173="Sí",J173="Sí"),"Sí","No"))</f>
        <v/>
      </c>
    </row>
    <row r="174" customFormat="false" ht="15" hidden="false" customHeight="false" outlineLevel="0" collapsed="false">
      <c r="A174" s="22"/>
      <c r="B174" s="22"/>
      <c r="C174" s="26" t="str">
        <f aca="false">IF(A174="","",IFERROR(buscarx(A174&amp;B174,DATA!$E$3:$E$10000&amp;DATA!$B$3:$B$10000,DATA!$M$3:$M$10000),"No encontrado"))</f>
        <v/>
      </c>
      <c r="D174" s="27" t="str">
        <f aca="false">IF(A174="","",IFERROR(buscarx(A174&amp;B174,DATA!$E$3:$E$10000&amp;DATA!$B$3:$B$10000,DATA!$W$3:$W$10000),"No encontrado"))</f>
        <v/>
      </c>
      <c r="E174" s="22"/>
      <c r="F174" s="26" t="str">
        <f aca="false">IF(A174="","",IFERROR(buscarx(A174&amp;E174,DATA!$E$3:$E$10000&amp;DATA!$B$3:$B$10000,DATA!$M$3:$M$10000),"Inactivo"))</f>
        <v/>
      </c>
      <c r="G174" s="28" t="str">
        <f aca="false">IF(A174="","",IF(AND(C174&lt;&gt;"No encontrado",F174&lt;&gt;"Inactivo"),C174&amp;" → "&amp;F174,"Sin transición"))</f>
        <v/>
      </c>
      <c r="H174" s="26" t="str">
        <f aca="false">IF(A174="","",IF(D174="GCIA LINEA SERVICIO DIGITALIDAD Y VENTAS","Chats",IF(OR(D174="GERENCIA INBOUND LÍNEAS SERVICIO Y VENTA",D174="GERENCIA INBOUND LINEAS ESPECIALIZADAS"),"Llamadas","Otro")))</f>
        <v/>
      </c>
      <c r="I174" s="26" t="str">
        <f aca="false">IF(A174="","",IF(C174="No encontrado","No","Sí"))</f>
        <v/>
      </c>
      <c r="J174" s="26" t="str">
        <f aca="false">IF(A174="","",IF(F174="Inactivo","No","Sí"))</f>
        <v/>
      </c>
      <c r="K174" s="26" t="str">
        <f aca="false">IF(A174="","",IF(AND(I174="Sí",J174="Sí"),"Sí","No"))</f>
        <v/>
      </c>
    </row>
    <row r="175" customFormat="false" ht="15" hidden="false" customHeight="false" outlineLevel="0" collapsed="false">
      <c r="A175" s="22"/>
      <c r="B175" s="22"/>
      <c r="C175" s="23" t="str">
        <f aca="false">IF(A175="","",IFERROR(buscarx(A175&amp;B175,DATA!$E$3:$E$10000&amp;DATA!$B$3:$B$10000,DATA!$M$3:$M$10000),"No encontrado"))</f>
        <v/>
      </c>
      <c r="D175" s="24" t="str">
        <f aca="false">IF(A175="","",IFERROR(buscarx(A175&amp;B175,DATA!$E$3:$E$10000&amp;DATA!$B$3:$B$10000,DATA!$W$3:$W$10000),"No encontrado"))</f>
        <v/>
      </c>
      <c r="E175" s="22"/>
      <c r="F175" s="23" t="str">
        <f aca="false">IF(A175="","",IFERROR(buscarx(A175&amp;E175,DATA!$E$3:$E$10000&amp;DATA!$B$3:$B$10000,DATA!$M$3:$M$10000),"Inactivo"))</f>
        <v/>
      </c>
      <c r="G175" s="25" t="str">
        <f aca="false">IF(A175="","",IF(AND(C175&lt;&gt;"No encontrado",F175&lt;&gt;"Inactivo"),C175&amp;" → "&amp;F175,"Sin transición"))</f>
        <v/>
      </c>
      <c r="H175" s="23" t="str">
        <f aca="false">IF(A175="","",IF(D175="GCIA LINEA SERVICIO DIGITALIDAD Y VENTAS","Chats",IF(OR(D175="GERENCIA INBOUND LÍNEAS SERVICIO Y VENTA",D175="GERENCIA INBOUND LINEAS ESPECIALIZADAS"),"Llamadas","Otro")))</f>
        <v/>
      </c>
      <c r="I175" s="23" t="str">
        <f aca="false">IF(A175="","",IF(C175="No encontrado","No","Sí"))</f>
        <v/>
      </c>
      <c r="J175" s="23" t="str">
        <f aca="false">IF(A175="","",IF(F175="Inactivo","No","Sí"))</f>
        <v/>
      </c>
      <c r="K175" s="23" t="str">
        <f aca="false">IF(A175="","",IF(AND(I175="Sí",J175="Sí"),"Sí","No"))</f>
        <v/>
      </c>
    </row>
    <row r="176" customFormat="false" ht="15" hidden="false" customHeight="false" outlineLevel="0" collapsed="false">
      <c r="A176" s="22"/>
      <c r="B176" s="22"/>
      <c r="C176" s="26" t="str">
        <f aca="false">IF(A176="","",IFERROR(buscarx(A176&amp;B176,DATA!$E$3:$E$10000&amp;DATA!$B$3:$B$10000,DATA!$M$3:$M$10000),"No encontrado"))</f>
        <v/>
      </c>
      <c r="D176" s="27" t="str">
        <f aca="false">IF(A176="","",IFERROR(buscarx(A176&amp;B176,DATA!$E$3:$E$10000&amp;DATA!$B$3:$B$10000,DATA!$W$3:$W$10000),"No encontrado"))</f>
        <v/>
      </c>
      <c r="E176" s="22"/>
      <c r="F176" s="26" t="str">
        <f aca="false">IF(A176="","",IFERROR(buscarx(A176&amp;E176,DATA!$E$3:$E$10000&amp;DATA!$B$3:$B$10000,DATA!$M$3:$M$10000),"Inactivo"))</f>
        <v/>
      </c>
      <c r="G176" s="28" t="str">
        <f aca="false">IF(A176="","",IF(AND(C176&lt;&gt;"No encontrado",F176&lt;&gt;"Inactivo"),C176&amp;" → "&amp;F176,"Sin transición"))</f>
        <v/>
      </c>
      <c r="H176" s="26" t="str">
        <f aca="false">IF(A176="","",IF(D176="GCIA LINEA SERVICIO DIGITALIDAD Y VENTAS","Chats",IF(OR(D176="GERENCIA INBOUND LÍNEAS SERVICIO Y VENTA",D176="GERENCIA INBOUND LINEAS ESPECIALIZADAS"),"Llamadas","Otro")))</f>
        <v/>
      </c>
      <c r="I176" s="26" t="str">
        <f aca="false">IF(A176="","",IF(C176="No encontrado","No","Sí"))</f>
        <v/>
      </c>
      <c r="J176" s="26" t="str">
        <f aca="false">IF(A176="","",IF(F176="Inactivo","No","Sí"))</f>
        <v/>
      </c>
      <c r="K176" s="26" t="str">
        <f aca="false">IF(A176="","",IF(AND(I176="Sí",J176="Sí"),"Sí","No"))</f>
        <v/>
      </c>
    </row>
    <row r="177" customFormat="false" ht="15" hidden="false" customHeight="false" outlineLevel="0" collapsed="false">
      <c r="A177" s="22"/>
      <c r="B177" s="22"/>
      <c r="C177" s="23" t="str">
        <f aca="false">IF(A177="","",IFERROR(buscarx(A177&amp;B177,DATA!$E$3:$E$10000&amp;DATA!$B$3:$B$10000,DATA!$M$3:$M$10000),"No encontrado"))</f>
        <v/>
      </c>
      <c r="D177" s="24" t="str">
        <f aca="false">IF(A177="","",IFERROR(buscarx(A177&amp;B177,DATA!$E$3:$E$10000&amp;DATA!$B$3:$B$10000,DATA!$W$3:$W$10000),"No encontrado"))</f>
        <v/>
      </c>
      <c r="E177" s="22"/>
      <c r="F177" s="23" t="str">
        <f aca="false">IF(A177="","",IFERROR(buscarx(A177&amp;E177,DATA!$E$3:$E$10000&amp;DATA!$B$3:$B$10000,DATA!$M$3:$M$10000),"Inactivo"))</f>
        <v/>
      </c>
      <c r="G177" s="25" t="str">
        <f aca="false">IF(A177="","",IF(AND(C177&lt;&gt;"No encontrado",F177&lt;&gt;"Inactivo"),C177&amp;" → "&amp;F177,"Sin transición"))</f>
        <v/>
      </c>
      <c r="H177" s="23" t="str">
        <f aca="false">IF(A177="","",IF(D177="GCIA LINEA SERVICIO DIGITALIDAD Y VENTAS","Chats",IF(OR(D177="GERENCIA INBOUND LÍNEAS SERVICIO Y VENTA",D177="GERENCIA INBOUND LINEAS ESPECIALIZADAS"),"Llamadas","Otro")))</f>
        <v/>
      </c>
      <c r="I177" s="23" t="str">
        <f aca="false">IF(A177="","",IF(C177="No encontrado","No","Sí"))</f>
        <v/>
      </c>
      <c r="J177" s="23" t="str">
        <f aca="false">IF(A177="","",IF(F177="Inactivo","No","Sí"))</f>
        <v/>
      </c>
      <c r="K177" s="23" t="str">
        <f aca="false">IF(A177="","",IF(AND(I177="Sí",J177="Sí"),"Sí","No"))</f>
        <v/>
      </c>
    </row>
    <row r="178" customFormat="false" ht="15" hidden="false" customHeight="false" outlineLevel="0" collapsed="false">
      <c r="A178" s="22"/>
      <c r="B178" s="22"/>
      <c r="C178" s="26" t="str">
        <f aca="false">IF(A178="","",IFERROR(buscarx(A178&amp;B178,DATA!$E$3:$E$10000&amp;DATA!$B$3:$B$10000,DATA!$M$3:$M$10000),"No encontrado"))</f>
        <v/>
      </c>
      <c r="D178" s="27" t="str">
        <f aca="false">IF(A178="","",IFERROR(buscarx(A178&amp;B178,DATA!$E$3:$E$10000&amp;DATA!$B$3:$B$10000,DATA!$W$3:$W$10000),"No encontrado"))</f>
        <v/>
      </c>
      <c r="E178" s="22"/>
      <c r="F178" s="26" t="str">
        <f aca="false">IF(A178="","",IFERROR(buscarx(A178&amp;E178,DATA!$E$3:$E$10000&amp;DATA!$B$3:$B$10000,DATA!$M$3:$M$10000),"Inactivo"))</f>
        <v/>
      </c>
      <c r="G178" s="28" t="str">
        <f aca="false">IF(A178="","",IF(AND(C178&lt;&gt;"No encontrado",F178&lt;&gt;"Inactivo"),C178&amp;" → "&amp;F178,"Sin transición"))</f>
        <v/>
      </c>
      <c r="H178" s="26" t="str">
        <f aca="false">IF(A178="","",IF(D178="GCIA LINEA SERVICIO DIGITALIDAD Y VENTAS","Chats",IF(OR(D178="GERENCIA INBOUND LÍNEAS SERVICIO Y VENTA",D178="GERENCIA INBOUND LINEAS ESPECIALIZADAS"),"Llamadas","Otro")))</f>
        <v/>
      </c>
      <c r="I178" s="26" t="str">
        <f aca="false">IF(A178="","",IF(C178="No encontrado","No","Sí"))</f>
        <v/>
      </c>
      <c r="J178" s="26" t="str">
        <f aca="false">IF(A178="","",IF(F178="Inactivo","No","Sí"))</f>
        <v/>
      </c>
      <c r="K178" s="26" t="str">
        <f aca="false">IF(A178="","",IF(AND(I178="Sí",J178="Sí"),"Sí","No"))</f>
        <v/>
      </c>
    </row>
    <row r="179" customFormat="false" ht="15" hidden="false" customHeight="false" outlineLevel="0" collapsed="false">
      <c r="A179" s="22"/>
      <c r="B179" s="22"/>
      <c r="C179" s="23" t="str">
        <f aca="false">IF(A179="","",IFERROR(buscarx(A179&amp;B179,DATA!$E$3:$E$10000&amp;DATA!$B$3:$B$10000,DATA!$M$3:$M$10000),"No encontrado"))</f>
        <v/>
      </c>
      <c r="D179" s="24" t="str">
        <f aca="false">IF(A179="","",IFERROR(buscarx(A179&amp;B179,DATA!$E$3:$E$10000&amp;DATA!$B$3:$B$10000,DATA!$W$3:$W$10000),"No encontrado"))</f>
        <v/>
      </c>
      <c r="E179" s="22"/>
      <c r="F179" s="23" t="str">
        <f aca="false">IF(A179="","",IFERROR(buscarx(A179&amp;E179,DATA!$E$3:$E$10000&amp;DATA!$B$3:$B$10000,DATA!$M$3:$M$10000),"Inactivo"))</f>
        <v/>
      </c>
      <c r="G179" s="25" t="str">
        <f aca="false">IF(A179="","",IF(AND(C179&lt;&gt;"No encontrado",F179&lt;&gt;"Inactivo"),C179&amp;" → "&amp;F179,"Sin transición"))</f>
        <v/>
      </c>
      <c r="H179" s="23" t="str">
        <f aca="false">IF(A179="","",IF(D179="GCIA LINEA SERVICIO DIGITALIDAD Y VENTAS","Chats",IF(OR(D179="GERENCIA INBOUND LÍNEAS SERVICIO Y VENTA",D179="GERENCIA INBOUND LINEAS ESPECIALIZADAS"),"Llamadas","Otro")))</f>
        <v/>
      </c>
      <c r="I179" s="23" t="str">
        <f aca="false">IF(A179="","",IF(C179="No encontrado","No","Sí"))</f>
        <v/>
      </c>
      <c r="J179" s="23" t="str">
        <f aca="false">IF(A179="","",IF(F179="Inactivo","No","Sí"))</f>
        <v/>
      </c>
      <c r="K179" s="23" t="str">
        <f aca="false">IF(A179="","",IF(AND(I179="Sí",J179="Sí"),"Sí","No"))</f>
        <v/>
      </c>
    </row>
    <row r="180" customFormat="false" ht="15" hidden="false" customHeight="false" outlineLevel="0" collapsed="false">
      <c r="A180" s="22"/>
      <c r="B180" s="22"/>
      <c r="C180" s="26" t="str">
        <f aca="false">IF(A180="","",IFERROR(buscarx(A180&amp;B180,DATA!$E$3:$E$10000&amp;DATA!$B$3:$B$10000,DATA!$M$3:$M$10000),"No encontrado"))</f>
        <v/>
      </c>
      <c r="D180" s="27" t="str">
        <f aca="false">IF(A180="","",IFERROR(buscarx(A180&amp;B180,DATA!$E$3:$E$10000&amp;DATA!$B$3:$B$10000,DATA!$W$3:$W$10000),"No encontrado"))</f>
        <v/>
      </c>
      <c r="E180" s="22"/>
      <c r="F180" s="26" t="str">
        <f aca="false">IF(A180="","",IFERROR(buscarx(A180&amp;E180,DATA!$E$3:$E$10000&amp;DATA!$B$3:$B$10000,DATA!$M$3:$M$10000),"Inactivo"))</f>
        <v/>
      </c>
      <c r="G180" s="28" t="str">
        <f aca="false">IF(A180="","",IF(AND(C180&lt;&gt;"No encontrado",F180&lt;&gt;"Inactivo"),C180&amp;" → "&amp;F180,"Sin transición"))</f>
        <v/>
      </c>
      <c r="H180" s="26" t="str">
        <f aca="false">IF(A180="","",IF(D180="GCIA LINEA SERVICIO DIGITALIDAD Y VENTAS","Chats",IF(OR(D180="GERENCIA INBOUND LÍNEAS SERVICIO Y VENTA",D180="GERENCIA INBOUND LINEAS ESPECIALIZADAS"),"Llamadas","Otro")))</f>
        <v/>
      </c>
      <c r="I180" s="26" t="str">
        <f aca="false">IF(A180="","",IF(C180="No encontrado","No","Sí"))</f>
        <v/>
      </c>
      <c r="J180" s="26" t="str">
        <f aca="false">IF(A180="","",IF(F180="Inactivo","No","Sí"))</f>
        <v/>
      </c>
      <c r="K180" s="26" t="str">
        <f aca="false">IF(A180="","",IF(AND(I180="Sí",J180="Sí"),"Sí","No"))</f>
        <v/>
      </c>
    </row>
    <row r="181" customFormat="false" ht="15" hidden="false" customHeight="false" outlineLevel="0" collapsed="false">
      <c r="A181" s="22"/>
      <c r="B181" s="22"/>
      <c r="C181" s="23" t="str">
        <f aca="false">IF(A181="","",IFERROR(buscarx(A181&amp;B181,DATA!$E$3:$E$10000&amp;DATA!$B$3:$B$10000,DATA!$M$3:$M$10000),"No encontrado"))</f>
        <v/>
      </c>
      <c r="D181" s="24" t="str">
        <f aca="false">IF(A181="","",IFERROR(buscarx(A181&amp;B181,DATA!$E$3:$E$10000&amp;DATA!$B$3:$B$10000,DATA!$W$3:$W$10000),"No encontrado"))</f>
        <v/>
      </c>
      <c r="E181" s="22"/>
      <c r="F181" s="23" t="str">
        <f aca="false">IF(A181="","",IFERROR(buscarx(A181&amp;E181,DATA!$E$3:$E$10000&amp;DATA!$B$3:$B$10000,DATA!$M$3:$M$10000),"Inactivo"))</f>
        <v/>
      </c>
      <c r="G181" s="25" t="str">
        <f aca="false">IF(A181="","",IF(AND(C181&lt;&gt;"No encontrado",F181&lt;&gt;"Inactivo"),C181&amp;" → "&amp;F181,"Sin transición"))</f>
        <v/>
      </c>
      <c r="H181" s="23" t="str">
        <f aca="false">IF(A181="","",IF(D181="GCIA LINEA SERVICIO DIGITALIDAD Y VENTAS","Chats",IF(OR(D181="GERENCIA INBOUND LÍNEAS SERVICIO Y VENTA",D181="GERENCIA INBOUND LINEAS ESPECIALIZADAS"),"Llamadas","Otro")))</f>
        <v/>
      </c>
      <c r="I181" s="23" t="str">
        <f aca="false">IF(A181="","",IF(C181="No encontrado","No","Sí"))</f>
        <v/>
      </c>
      <c r="J181" s="23" t="str">
        <f aca="false">IF(A181="","",IF(F181="Inactivo","No","Sí"))</f>
        <v/>
      </c>
      <c r="K181" s="23" t="str">
        <f aca="false">IF(A181="","",IF(AND(I181="Sí",J181="Sí"),"Sí","No"))</f>
        <v/>
      </c>
    </row>
    <row r="182" customFormat="false" ht="15" hidden="false" customHeight="false" outlineLevel="0" collapsed="false">
      <c r="A182" s="22"/>
      <c r="B182" s="22"/>
      <c r="C182" s="26" t="str">
        <f aca="false">IF(A182="","",IFERROR(buscarx(A182&amp;B182,DATA!$E$3:$E$10000&amp;DATA!$B$3:$B$10000,DATA!$M$3:$M$10000),"No encontrado"))</f>
        <v/>
      </c>
      <c r="D182" s="27" t="str">
        <f aca="false">IF(A182="","",IFERROR(buscarx(A182&amp;B182,DATA!$E$3:$E$10000&amp;DATA!$B$3:$B$10000,DATA!$W$3:$W$10000),"No encontrado"))</f>
        <v/>
      </c>
      <c r="E182" s="22"/>
      <c r="F182" s="26" t="str">
        <f aca="false">IF(A182="","",IFERROR(buscarx(A182&amp;E182,DATA!$E$3:$E$10000&amp;DATA!$B$3:$B$10000,DATA!$M$3:$M$10000),"Inactivo"))</f>
        <v/>
      </c>
      <c r="G182" s="28" t="str">
        <f aca="false">IF(A182="","",IF(AND(C182&lt;&gt;"No encontrado",F182&lt;&gt;"Inactivo"),C182&amp;" → "&amp;F182,"Sin transición"))</f>
        <v/>
      </c>
      <c r="H182" s="26" t="str">
        <f aca="false">IF(A182="","",IF(D182="GCIA LINEA SERVICIO DIGITALIDAD Y VENTAS","Chats",IF(OR(D182="GERENCIA INBOUND LÍNEAS SERVICIO Y VENTA",D182="GERENCIA INBOUND LINEAS ESPECIALIZADAS"),"Llamadas","Otro")))</f>
        <v/>
      </c>
      <c r="I182" s="26" t="str">
        <f aca="false">IF(A182="","",IF(C182="No encontrado","No","Sí"))</f>
        <v/>
      </c>
      <c r="J182" s="26" t="str">
        <f aca="false">IF(A182="","",IF(F182="Inactivo","No","Sí"))</f>
        <v/>
      </c>
      <c r="K182" s="26" t="str">
        <f aca="false">IF(A182="","",IF(AND(I182="Sí",J182="Sí"),"Sí","No"))</f>
        <v/>
      </c>
    </row>
    <row r="183" customFormat="false" ht="15" hidden="false" customHeight="false" outlineLevel="0" collapsed="false">
      <c r="A183" s="22"/>
      <c r="B183" s="22"/>
      <c r="C183" s="23" t="str">
        <f aca="false">IF(A183="","",IFERROR(buscarx(A183&amp;B183,DATA!$E$3:$E$10000&amp;DATA!$B$3:$B$10000,DATA!$M$3:$M$10000),"No encontrado"))</f>
        <v/>
      </c>
      <c r="D183" s="24" t="str">
        <f aca="false">IF(A183="","",IFERROR(buscarx(A183&amp;B183,DATA!$E$3:$E$10000&amp;DATA!$B$3:$B$10000,DATA!$W$3:$W$10000),"No encontrado"))</f>
        <v/>
      </c>
      <c r="E183" s="22"/>
      <c r="F183" s="23" t="str">
        <f aca="false">IF(A183="","",IFERROR(buscarx(A183&amp;E183,DATA!$E$3:$E$10000&amp;DATA!$B$3:$B$10000,DATA!$M$3:$M$10000),"Inactivo"))</f>
        <v/>
      </c>
      <c r="G183" s="25" t="str">
        <f aca="false">IF(A183="","",IF(AND(C183&lt;&gt;"No encontrado",F183&lt;&gt;"Inactivo"),C183&amp;" → "&amp;F183,"Sin transición"))</f>
        <v/>
      </c>
      <c r="H183" s="23" t="str">
        <f aca="false">IF(A183="","",IF(D183="GCIA LINEA SERVICIO DIGITALIDAD Y VENTAS","Chats",IF(OR(D183="GERENCIA INBOUND LÍNEAS SERVICIO Y VENTA",D183="GERENCIA INBOUND LINEAS ESPECIALIZADAS"),"Llamadas","Otro")))</f>
        <v/>
      </c>
      <c r="I183" s="23" t="str">
        <f aca="false">IF(A183="","",IF(C183="No encontrado","No","Sí"))</f>
        <v/>
      </c>
      <c r="J183" s="23" t="str">
        <f aca="false">IF(A183="","",IF(F183="Inactivo","No","Sí"))</f>
        <v/>
      </c>
      <c r="K183" s="23" t="str">
        <f aca="false">IF(A183="","",IF(AND(I183="Sí",J183="Sí"),"Sí","No"))</f>
        <v/>
      </c>
    </row>
    <row r="184" customFormat="false" ht="15" hidden="false" customHeight="false" outlineLevel="0" collapsed="false">
      <c r="A184" s="22"/>
      <c r="B184" s="22"/>
      <c r="C184" s="26" t="str">
        <f aca="false">IF(A184="","",IFERROR(buscarx(A184&amp;B184,DATA!$E$3:$E$10000&amp;DATA!$B$3:$B$10000,DATA!$M$3:$M$10000),"No encontrado"))</f>
        <v/>
      </c>
      <c r="D184" s="27" t="str">
        <f aca="false">IF(A184="","",IFERROR(buscarx(A184&amp;B184,DATA!$E$3:$E$10000&amp;DATA!$B$3:$B$10000,DATA!$W$3:$W$10000),"No encontrado"))</f>
        <v/>
      </c>
      <c r="E184" s="22"/>
      <c r="F184" s="26" t="str">
        <f aca="false">IF(A184="","",IFERROR(buscarx(A184&amp;E184,DATA!$E$3:$E$10000&amp;DATA!$B$3:$B$10000,DATA!$M$3:$M$10000),"Inactivo"))</f>
        <v/>
      </c>
      <c r="G184" s="28" t="str">
        <f aca="false">IF(A184="","",IF(AND(C184&lt;&gt;"No encontrado",F184&lt;&gt;"Inactivo"),C184&amp;" → "&amp;F184,"Sin transición"))</f>
        <v/>
      </c>
      <c r="H184" s="26" t="str">
        <f aca="false">IF(A184="","",IF(D184="GCIA LINEA SERVICIO DIGITALIDAD Y VENTAS","Chats",IF(OR(D184="GERENCIA INBOUND LÍNEAS SERVICIO Y VENTA",D184="GERENCIA INBOUND LINEAS ESPECIALIZADAS"),"Llamadas","Otro")))</f>
        <v/>
      </c>
      <c r="I184" s="26" t="str">
        <f aca="false">IF(A184="","",IF(C184="No encontrado","No","Sí"))</f>
        <v/>
      </c>
      <c r="J184" s="26" t="str">
        <f aca="false">IF(A184="","",IF(F184="Inactivo","No","Sí"))</f>
        <v/>
      </c>
      <c r="K184" s="26" t="str">
        <f aca="false">IF(A184="","",IF(AND(I184="Sí",J184="Sí"),"Sí","No"))</f>
        <v/>
      </c>
    </row>
    <row r="185" customFormat="false" ht="15" hidden="false" customHeight="false" outlineLevel="0" collapsed="false">
      <c r="A185" s="22"/>
      <c r="B185" s="22"/>
      <c r="C185" s="23" t="str">
        <f aca="false">IF(A185="","",IFERROR(buscarx(A185&amp;B185,DATA!$E$3:$E$10000&amp;DATA!$B$3:$B$10000,DATA!$M$3:$M$10000),"No encontrado"))</f>
        <v/>
      </c>
      <c r="D185" s="24" t="str">
        <f aca="false">IF(A185="","",IFERROR(buscarx(A185&amp;B185,DATA!$E$3:$E$10000&amp;DATA!$B$3:$B$10000,DATA!$W$3:$W$10000),"No encontrado"))</f>
        <v/>
      </c>
      <c r="E185" s="22"/>
      <c r="F185" s="23" t="str">
        <f aca="false">IF(A185="","",IFERROR(buscarx(A185&amp;E185,DATA!$E$3:$E$10000&amp;DATA!$B$3:$B$10000,DATA!$M$3:$M$10000),"Inactivo"))</f>
        <v/>
      </c>
      <c r="G185" s="25" t="str">
        <f aca="false">IF(A185="","",IF(AND(C185&lt;&gt;"No encontrado",F185&lt;&gt;"Inactivo"),C185&amp;" → "&amp;F185,"Sin transición"))</f>
        <v/>
      </c>
      <c r="H185" s="23" t="str">
        <f aca="false">IF(A185="","",IF(D185="GCIA LINEA SERVICIO DIGITALIDAD Y VENTAS","Chats",IF(OR(D185="GERENCIA INBOUND LÍNEAS SERVICIO Y VENTA",D185="GERENCIA INBOUND LINEAS ESPECIALIZADAS"),"Llamadas","Otro")))</f>
        <v/>
      </c>
      <c r="I185" s="23" t="str">
        <f aca="false">IF(A185="","",IF(C185="No encontrado","No","Sí"))</f>
        <v/>
      </c>
      <c r="J185" s="23" t="str">
        <f aca="false">IF(A185="","",IF(F185="Inactivo","No","Sí"))</f>
        <v/>
      </c>
      <c r="K185" s="23" t="str">
        <f aca="false">IF(A185="","",IF(AND(I185="Sí",J185="Sí"),"Sí","No"))</f>
        <v/>
      </c>
    </row>
    <row r="186" customFormat="false" ht="15" hidden="false" customHeight="false" outlineLevel="0" collapsed="false">
      <c r="A186" s="22"/>
      <c r="B186" s="22"/>
      <c r="C186" s="26" t="str">
        <f aca="false">IF(A186="","",IFERROR(buscarx(A186&amp;B186,DATA!$E$3:$E$10000&amp;DATA!$B$3:$B$10000,DATA!$M$3:$M$10000),"No encontrado"))</f>
        <v/>
      </c>
      <c r="D186" s="27" t="str">
        <f aca="false">IF(A186="","",IFERROR(buscarx(A186&amp;B186,DATA!$E$3:$E$10000&amp;DATA!$B$3:$B$10000,DATA!$W$3:$W$10000),"No encontrado"))</f>
        <v/>
      </c>
      <c r="E186" s="22"/>
      <c r="F186" s="26" t="str">
        <f aca="false">IF(A186="","",IFERROR(buscarx(A186&amp;E186,DATA!$E$3:$E$10000&amp;DATA!$B$3:$B$10000,DATA!$M$3:$M$10000),"Inactivo"))</f>
        <v/>
      </c>
      <c r="G186" s="28" t="str">
        <f aca="false">IF(A186="","",IF(AND(C186&lt;&gt;"No encontrado",F186&lt;&gt;"Inactivo"),C186&amp;" → "&amp;F186,"Sin transición"))</f>
        <v/>
      </c>
      <c r="H186" s="26" t="str">
        <f aca="false">IF(A186="","",IF(D186="GCIA LINEA SERVICIO DIGITALIDAD Y VENTAS","Chats",IF(OR(D186="GERENCIA INBOUND LÍNEAS SERVICIO Y VENTA",D186="GERENCIA INBOUND LINEAS ESPECIALIZADAS"),"Llamadas","Otro")))</f>
        <v/>
      </c>
      <c r="I186" s="26" t="str">
        <f aca="false">IF(A186="","",IF(C186="No encontrado","No","Sí"))</f>
        <v/>
      </c>
      <c r="J186" s="26" t="str">
        <f aca="false">IF(A186="","",IF(F186="Inactivo","No","Sí"))</f>
        <v/>
      </c>
      <c r="K186" s="26" t="str">
        <f aca="false">IF(A186="","",IF(AND(I186="Sí",J186="Sí"),"Sí","No"))</f>
        <v/>
      </c>
    </row>
    <row r="187" customFormat="false" ht="15" hidden="false" customHeight="false" outlineLevel="0" collapsed="false">
      <c r="A187" s="22"/>
      <c r="B187" s="22"/>
      <c r="C187" s="23" t="str">
        <f aca="false">IF(A187="","",IFERROR(buscarx(A187&amp;B187,DATA!$E$3:$E$10000&amp;DATA!$B$3:$B$10000,DATA!$M$3:$M$10000),"No encontrado"))</f>
        <v/>
      </c>
      <c r="D187" s="24" t="str">
        <f aca="false">IF(A187="","",IFERROR(buscarx(A187&amp;B187,DATA!$E$3:$E$10000&amp;DATA!$B$3:$B$10000,DATA!$W$3:$W$10000),"No encontrado"))</f>
        <v/>
      </c>
      <c r="E187" s="22"/>
      <c r="F187" s="23" t="str">
        <f aca="false">IF(A187="","",IFERROR(buscarx(A187&amp;E187,DATA!$E$3:$E$10000&amp;DATA!$B$3:$B$10000,DATA!$M$3:$M$10000),"Inactivo"))</f>
        <v/>
      </c>
      <c r="G187" s="25" t="str">
        <f aca="false">IF(A187="","",IF(AND(C187&lt;&gt;"No encontrado",F187&lt;&gt;"Inactivo"),C187&amp;" → "&amp;F187,"Sin transición"))</f>
        <v/>
      </c>
      <c r="H187" s="23" t="str">
        <f aca="false">IF(A187="","",IF(D187="GCIA LINEA SERVICIO DIGITALIDAD Y VENTAS","Chats",IF(OR(D187="GERENCIA INBOUND LÍNEAS SERVICIO Y VENTA",D187="GERENCIA INBOUND LINEAS ESPECIALIZADAS"),"Llamadas","Otro")))</f>
        <v/>
      </c>
      <c r="I187" s="23" t="str">
        <f aca="false">IF(A187="","",IF(C187="No encontrado","No","Sí"))</f>
        <v/>
      </c>
      <c r="J187" s="23" t="str">
        <f aca="false">IF(A187="","",IF(F187="Inactivo","No","Sí"))</f>
        <v/>
      </c>
      <c r="K187" s="23" t="str">
        <f aca="false">IF(A187="","",IF(AND(I187="Sí",J187="Sí"),"Sí","No"))</f>
        <v/>
      </c>
    </row>
    <row r="188" customFormat="false" ht="15" hidden="false" customHeight="false" outlineLevel="0" collapsed="false">
      <c r="A188" s="22"/>
      <c r="B188" s="22"/>
      <c r="C188" s="26" t="str">
        <f aca="false">IF(A188="","",IFERROR(buscarx(A188&amp;B188,DATA!$E$3:$E$10000&amp;DATA!$B$3:$B$10000,DATA!$M$3:$M$10000),"No encontrado"))</f>
        <v/>
      </c>
      <c r="D188" s="27" t="str">
        <f aca="false">IF(A188="","",IFERROR(buscarx(A188&amp;B188,DATA!$E$3:$E$10000&amp;DATA!$B$3:$B$10000,DATA!$W$3:$W$10000),"No encontrado"))</f>
        <v/>
      </c>
      <c r="E188" s="22"/>
      <c r="F188" s="26" t="str">
        <f aca="false">IF(A188="","",IFERROR(buscarx(A188&amp;E188,DATA!$E$3:$E$10000&amp;DATA!$B$3:$B$10000,DATA!$M$3:$M$10000),"Inactivo"))</f>
        <v/>
      </c>
      <c r="G188" s="28" t="str">
        <f aca="false">IF(A188="","",IF(AND(C188&lt;&gt;"No encontrado",F188&lt;&gt;"Inactivo"),C188&amp;" → "&amp;F188,"Sin transición"))</f>
        <v/>
      </c>
      <c r="H188" s="26" t="str">
        <f aca="false">IF(A188="","",IF(D188="GCIA LINEA SERVICIO DIGITALIDAD Y VENTAS","Chats",IF(OR(D188="GERENCIA INBOUND LÍNEAS SERVICIO Y VENTA",D188="GERENCIA INBOUND LINEAS ESPECIALIZADAS"),"Llamadas","Otro")))</f>
        <v/>
      </c>
      <c r="I188" s="26" t="str">
        <f aca="false">IF(A188="","",IF(C188="No encontrado","No","Sí"))</f>
        <v/>
      </c>
      <c r="J188" s="26" t="str">
        <f aca="false">IF(A188="","",IF(F188="Inactivo","No","Sí"))</f>
        <v/>
      </c>
      <c r="K188" s="26" t="str">
        <f aca="false">IF(A188="","",IF(AND(I188="Sí",J188="Sí"),"Sí","No"))</f>
        <v/>
      </c>
    </row>
    <row r="189" customFormat="false" ht="15" hidden="false" customHeight="false" outlineLevel="0" collapsed="false">
      <c r="A189" s="22"/>
      <c r="B189" s="22"/>
      <c r="C189" s="23" t="str">
        <f aca="false">IF(A189="","",IFERROR(buscarx(A189&amp;B189,DATA!$E$3:$E$10000&amp;DATA!$B$3:$B$10000,DATA!$M$3:$M$10000),"No encontrado"))</f>
        <v/>
      </c>
      <c r="D189" s="24" t="str">
        <f aca="false">IF(A189="","",IFERROR(buscarx(A189&amp;B189,DATA!$E$3:$E$10000&amp;DATA!$B$3:$B$10000,DATA!$W$3:$W$10000),"No encontrado"))</f>
        <v/>
      </c>
      <c r="E189" s="22"/>
      <c r="F189" s="23" t="str">
        <f aca="false">IF(A189="","",IFERROR(buscarx(A189&amp;E189,DATA!$E$3:$E$10000&amp;DATA!$B$3:$B$10000,DATA!$M$3:$M$10000),"Inactivo"))</f>
        <v/>
      </c>
      <c r="G189" s="25" t="str">
        <f aca="false">IF(A189="","",IF(AND(C189&lt;&gt;"No encontrado",F189&lt;&gt;"Inactivo"),C189&amp;" → "&amp;F189,"Sin transición"))</f>
        <v/>
      </c>
      <c r="H189" s="23" t="str">
        <f aca="false">IF(A189="","",IF(D189="GCIA LINEA SERVICIO DIGITALIDAD Y VENTAS","Chats",IF(OR(D189="GERENCIA INBOUND LÍNEAS SERVICIO Y VENTA",D189="GERENCIA INBOUND LINEAS ESPECIALIZADAS"),"Llamadas","Otro")))</f>
        <v/>
      </c>
      <c r="I189" s="23" t="str">
        <f aca="false">IF(A189="","",IF(C189="No encontrado","No","Sí"))</f>
        <v/>
      </c>
      <c r="J189" s="23" t="str">
        <f aca="false">IF(A189="","",IF(F189="Inactivo","No","Sí"))</f>
        <v/>
      </c>
      <c r="K189" s="23" t="str">
        <f aca="false">IF(A189="","",IF(AND(I189="Sí",J189="Sí"),"Sí","No"))</f>
        <v/>
      </c>
    </row>
    <row r="190" customFormat="false" ht="15" hidden="false" customHeight="false" outlineLevel="0" collapsed="false">
      <c r="A190" s="22"/>
      <c r="B190" s="22"/>
      <c r="C190" s="26" t="str">
        <f aca="false">IF(A190="","",IFERROR(buscarx(A190&amp;B190,DATA!$E$3:$E$10000&amp;DATA!$B$3:$B$10000,DATA!$M$3:$M$10000),"No encontrado"))</f>
        <v/>
      </c>
      <c r="D190" s="27" t="str">
        <f aca="false">IF(A190="","",IFERROR(buscarx(A190&amp;B190,DATA!$E$3:$E$10000&amp;DATA!$B$3:$B$10000,DATA!$W$3:$W$10000),"No encontrado"))</f>
        <v/>
      </c>
      <c r="E190" s="22"/>
      <c r="F190" s="26" t="str">
        <f aca="false">IF(A190="","",IFERROR(buscarx(A190&amp;E190,DATA!$E$3:$E$10000&amp;DATA!$B$3:$B$10000,DATA!$M$3:$M$10000),"Inactivo"))</f>
        <v/>
      </c>
      <c r="G190" s="28" t="str">
        <f aca="false">IF(A190="","",IF(AND(C190&lt;&gt;"No encontrado",F190&lt;&gt;"Inactivo"),C190&amp;" → "&amp;F190,"Sin transición"))</f>
        <v/>
      </c>
      <c r="H190" s="26" t="str">
        <f aca="false">IF(A190="","",IF(D190="GCIA LINEA SERVICIO DIGITALIDAD Y VENTAS","Chats",IF(OR(D190="GERENCIA INBOUND LÍNEAS SERVICIO Y VENTA",D190="GERENCIA INBOUND LINEAS ESPECIALIZADAS"),"Llamadas","Otro")))</f>
        <v/>
      </c>
      <c r="I190" s="26" t="str">
        <f aca="false">IF(A190="","",IF(C190="No encontrado","No","Sí"))</f>
        <v/>
      </c>
      <c r="J190" s="26" t="str">
        <f aca="false">IF(A190="","",IF(F190="Inactivo","No","Sí"))</f>
        <v/>
      </c>
      <c r="K190" s="26" t="str">
        <f aca="false">IF(A190="","",IF(AND(I190="Sí",J190="Sí"),"Sí","No"))</f>
        <v/>
      </c>
    </row>
    <row r="191" customFormat="false" ht="15" hidden="false" customHeight="false" outlineLevel="0" collapsed="false">
      <c r="A191" s="22"/>
      <c r="B191" s="22"/>
      <c r="C191" s="23" t="str">
        <f aca="false">IF(A191="","",IFERROR(buscarx(A191&amp;B191,DATA!$E$3:$E$10000&amp;DATA!$B$3:$B$10000,DATA!$M$3:$M$10000),"No encontrado"))</f>
        <v/>
      </c>
      <c r="D191" s="24" t="str">
        <f aca="false">IF(A191="","",IFERROR(buscarx(A191&amp;B191,DATA!$E$3:$E$10000&amp;DATA!$B$3:$B$10000,DATA!$W$3:$W$10000),"No encontrado"))</f>
        <v/>
      </c>
      <c r="E191" s="22"/>
      <c r="F191" s="23" t="str">
        <f aca="false">IF(A191="","",IFERROR(buscarx(A191&amp;E191,DATA!$E$3:$E$10000&amp;DATA!$B$3:$B$10000,DATA!$M$3:$M$10000),"Inactivo"))</f>
        <v/>
      </c>
      <c r="G191" s="25" t="str">
        <f aca="false">IF(A191="","",IF(AND(C191&lt;&gt;"No encontrado",F191&lt;&gt;"Inactivo"),C191&amp;" → "&amp;F191,"Sin transición"))</f>
        <v/>
      </c>
      <c r="H191" s="23" t="str">
        <f aca="false">IF(A191="","",IF(D191="GCIA LINEA SERVICIO DIGITALIDAD Y VENTAS","Chats",IF(OR(D191="GERENCIA INBOUND LÍNEAS SERVICIO Y VENTA",D191="GERENCIA INBOUND LINEAS ESPECIALIZADAS"),"Llamadas","Otro")))</f>
        <v/>
      </c>
      <c r="I191" s="23" t="str">
        <f aca="false">IF(A191="","",IF(C191="No encontrado","No","Sí"))</f>
        <v/>
      </c>
      <c r="J191" s="23" t="str">
        <f aca="false">IF(A191="","",IF(F191="Inactivo","No","Sí"))</f>
        <v/>
      </c>
      <c r="K191" s="23" t="str">
        <f aca="false">IF(A191="","",IF(AND(I191="Sí",J191="Sí"),"Sí","No"))</f>
        <v/>
      </c>
    </row>
    <row r="192" customFormat="false" ht="15" hidden="false" customHeight="false" outlineLevel="0" collapsed="false">
      <c r="A192" s="22"/>
      <c r="B192" s="22"/>
      <c r="C192" s="26" t="str">
        <f aca="false">IF(A192="","",IFERROR(buscarx(A192&amp;B192,DATA!$E$3:$E$10000&amp;DATA!$B$3:$B$10000,DATA!$M$3:$M$10000),"No encontrado"))</f>
        <v/>
      </c>
      <c r="D192" s="27" t="str">
        <f aca="false">IF(A192="","",IFERROR(buscarx(A192&amp;B192,DATA!$E$3:$E$10000&amp;DATA!$B$3:$B$10000,DATA!$W$3:$W$10000),"No encontrado"))</f>
        <v/>
      </c>
      <c r="E192" s="22"/>
      <c r="F192" s="26" t="str">
        <f aca="false">IF(A192="","",IFERROR(buscarx(A192&amp;E192,DATA!$E$3:$E$10000&amp;DATA!$B$3:$B$10000,DATA!$M$3:$M$10000),"Inactivo"))</f>
        <v/>
      </c>
      <c r="G192" s="28" t="str">
        <f aca="false">IF(A192="","",IF(AND(C192&lt;&gt;"No encontrado",F192&lt;&gt;"Inactivo"),C192&amp;" → "&amp;F192,"Sin transición"))</f>
        <v/>
      </c>
      <c r="H192" s="26" t="str">
        <f aca="false">IF(A192="","",IF(D192="GCIA LINEA SERVICIO DIGITALIDAD Y VENTAS","Chats",IF(OR(D192="GERENCIA INBOUND LÍNEAS SERVICIO Y VENTA",D192="GERENCIA INBOUND LINEAS ESPECIALIZADAS"),"Llamadas","Otro")))</f>
        <v/>
      </c>
      <c r="I192" s="26" t="str">
        <f aca="false">IF(A192="","",IF(C192="No encontrado","No","Sí"))</f>
        <v/>
      </c>
      <c r="J192" s="26" t="str">
        <f aca="false">IF(A192="","",IF(F192="Inactivo","No","Sí"))</f>
        <v/>
      </c>
      <c r="K192" s="26" t="str">
        <f aca="false">IF(A192="","",IF(AND(I192="Sí",J192="Sí"),"Sí","No"))</f>
        <v/>
      </c>
    </row>
    <row r="193" customFormat="false" ht="15" hidden="false" customHeight="false" outlineLevel="0" collapsed="false">
      <c r="A193" s="22"/>
      <c r="B193" s="22"/>
      <c r="C193" s="23" t="str">
        <f aca="false">IF(A193="","",IFERROR(buscarx(A193&amp;B193,DATA!$E$3:$E$10000&amp;DATA!$B$3:$B$10000,DATA!$M$3:$M$10000),"No encontrado"))</f>
        <v/>
      </c>
      <c r="D193" s="24" t="str">
        <f aca="false">IF(A193="","",IFERROR(buscarx(A193&amp;B193,DATA!$E$3:$E$10000&amp;DATA!$B$3:$B$10000,DATA!$W$3:$W$10000),"No encontrado"))</f>
        <v/>
      </c>
      <c r="E193" s="22"/>
      <c r="F193" s="23" t="str">
        <f aca="false">IF(A193="","",IFERROR(buscarx(A193&amp;E193,DATA!$E$3:$E$10000&amp;DATA!$B$3:$B$10000,DATA!$M$3:$M$10000),"Inactivo"))</f>
        <v/>
      </c>
      <c r="G193" s="25" t="str">
        <f aca="false">IF(A193="","",IF(AND(C193&lt;&gt;"No encontrado",F193&lt;&gt;"Inactivo"),C193&amp;" → "&amp;F193,"Sin transición"))</f>
        <v/>
      </c>
      <c r="H193" s="23" t="str">
        <f aca="false">IF(A193="","",IF(D193="GCIA LINEA SERVICIO DIGITALIDAD Y VENTAS","Chats",IF(OR(D193="GERENCIA INBOUND LÍNEAS SERVICIO Y VENTA",D193="GERENCIA INBOUND LINEAS ESPECIALIZADAS"),"Llamadas","Otro")))</f>
        <v/>
      </c>
      <c r="I193" s="23" t="str">
        <f aca="false">IF(A193="","",IF(C193="No encontrado","No","Sí"))</f>
        <v/>
      </c>
      <c r="J193" s="23" t="str">
        <f aca="false">IF(A193="","",IF(F193="Inactivo","No","Sí"))</f>
        <v/>
      </c>
      <c r="K193" s="23" t="str">
        <f aca="false">IF(A193="","",IF(AND(I193="Sí",J193="Sí"),"Sí","No"))</f>
        <v/>
      </c>
    </row>
    <row r="194" customFormat="false" ht="15" hidden="false" customHeight="false" outlineLevel="0" collapsed="false">
      <c r="A194" s="22"/>
      <c r="B194" s="22"/>
      <c r="C194" s="26" t="str">
        <f aca="false">IF(A194="","",IFERROR(buscarx(A194&amp;B194,DATA!$E$3:$E$10000&amp;DATA!$B$3:$B$10000,DATA!$M$3:$M$10000),"No encontrado"))</f>
        <v/>
      </c>
      <c r="D194" s="27" t="str">
        <f aca="false">IF(A194="","",IFERROR(buscarx(A194&amp;B194,DATA!$E$3:$E$10000&amp;DATA!$B$3:$B$10000,DATA!$W$3:$W$10000),"No encontrado"))</f>
        <v/>
      </c>
      <c r="E194" s="22"/>
      <c r="F194" s="26" t="str">
        <f aca="false">IF(A194="","",IFERROR(buscarx(A194&amp;E194,DATA!$E$3:$E$10000&amp;DATA!$B$3:$B$10000,DATA!$M$3:$M$10000),"Inactivo"))</f>
        <v/>
      </c>
      <c r="G194" s="28" t="str">
        <f aca="false">IF(A194="","",IF(AND(C194&lt;&gt;"No encontrado",F194&lt;&gt;"Inactivo"),C194&amp;" → "&amp;F194,"Sin transición"))</f>
        <v/>
      </c>
      <c r="H194" s="26" t="str">
        <f aca="false">IF(A194="","",IF(D194="GCIA LINEA SERVICIO DIGITALIDAD Y VENTAS","Chats",IF(OR(D194="GERENCIA INBOUND LÍNEAS SERVICIO Y VENTA",D194="GERENCIA INBOUND LINEAS ESPECIALIZADAS"),"Llamadas","Otro")))</f>
        <v/>
      </c>
      <c r="I194" s="26" t="str">
        <f aca="false">IF(A194="","",IF(C194="No encontrado","No","Sí"))</f>
        <v/>
      </c>
      <c r="J194" s="26" t="str">
        <f aca="false">IF(A194="","",IF(F194="Inactivo","No","Sí"))</f>
        <v/>
      </c>
      <c r="K194" s="26" t="str">
        <f aca="false">IF(A194="","",IF(AND(I194="Sí",J194="Sí"),"Sí","No"))</f>
        <v/>
      </c>
    </row>
    <row r="195" customFormat="false" ht="15" hidden="false" customHeight="false" outlineLevel="0" collapsed="false">
      <c r="A195" s="22"/>
      <c r="B195" s="22"/>
      <c r="C195" s="23" t="str">
        <f aca="false">IF(A195="","",IFERROR(buscarx(A195&amp;B195,DATA!$E$3:$E$10000&amp;DATA!$B$3:$B$10000,DATA!$M$3:$M$10000),"No encontrado"))</f>
        <v/>
      </c>
      <c r="D195" s="24" t="str">
        <f aca="false">IF(A195="","",IFERROR(buscarx(A195&amp;B195,DATA!$E$3:$E$10000&amp;DATA!$B$3:$B$10000,DATA!$W$3:$W$10000),"No encontrado"))</f>
        <v/>
      </c>
      <c r="E195" s="22"/>
      <c r="F195" s="23" t="str">
        <f aca="false">IF(A195="","",IFERROR(buscarx(A195&amp;E195,DATA!$E$3:$E$10000&amp;DATA!$B$3:$B$10000,DATA!$M$3:$M$10000),"Inactivo"))</f>
        <v/>
      </c>
      <c r="G195" s="25" t="str">
        <f aca="false">IF(A195="","",IF(AND(C195&lt;&gt;"No encontrado",F195&lt;&gt;"Inactivo"),C195&amp;" → "&amp;F195,"Sin transición"))</f>
        <v/>
      </c>
      <c r="H195" s="23" t="str">
        <f aca="false">IF(A195="","",IF(D195="GCIA LINEA SERVICIO DIGITALIDAD Y VENTAS","Chats",IF(OR(D195="GERENCIA INBOUND LÍNEAS SERVICIO Y VENTA",D195="GERENCIA INBOUND LINEAS ESPECIALIZADAS"),"Llamadas","Otro")))</f>
        <v/>
      </c>
      <c r="I195" s="23" t="str">
        <f aca="false">IF(A195="","",IF(C195="No encontrado","No","Sí"))</f>
        <v/>
      </c>
      <c r="J195" s="23" t="str">
        <f aca="false">IF(A195="","",IF(F195="Inactivo","No","Sí"))</f>
        <v/>
      </c>
      <c r="K195" s="23" t="str">
        <f aca="false">IF(A195="","",IF(AND(I195="Sí",J195="Sí"),"Sí","No"))</f>
        <v/>
      </c>
    </row>
    <row r="196" customFormat="false" ht="15" hidden="false" customHeight="false" outlineLevel="0" collapsed="false">
      <c r="A196" s="22"/>
      <c r="B196" s="22"/>
      <c r="C196" s="26" t="str">
        <f aca="false">IF(A196="","",IFERROR(buscarx(A196&amp;B196,DATA!$E$3:$E$10000&amp;DATA!$B$3:$B$10000,DATA!$M$3:$M$10000),"No encontrado"))</f>
        <v/>
      </c>
      <c r="D196" s="27" t="str">
        <f aca="false">IF(A196="","",IFERROR(buscarx(A196&amp;B196,DATA!$E$3:$E$10000&amp;DATA!$B$3:$B$10000,DATA!$W$3:$W$10000),"No encontrado"))</f>
        <v/>
      </c>
      <c r="E196" s="22"/>
      <c r="F196" s="26" t="str">
        <f aca="false">IF(A196="","",IFERROR(buscarx(A196&amp;E196,DATA!$E$3:$E$10000&amp;DATA!$B$3:$B$10000,DATA!$M$3:$M$10000),"Inactivo"))</f>
        <v/>
      </c>
      <c r="G196" s="28" t="str">
        <f aca="false">IF(A196="","",IF(AND(C196&lt;&gt;"No encontrado",F196&lt;&gt;"Inactivo"),C196&amp;" → "&amp;F196,"Sin transición"))</f>
        <v/>
      </c>
      <c r="H196" s="26" t="str">
        <f aca="false">IF(A196="","",IF(D196="GCIA LINEA SERVICIO DIGITALIDAD Y VENTAS","Chats",IF(OR(D196="GERENCIA INBOUND LÍNEAS SERVICIO Y VENTA",D196="GERENCIA INBOUND LINEAS ESPECIALIZADAS"),"Llamadas","Otro")))</f>
        <v/>
      </c>
      <c r="I196" s="26" t="str">
        <f aca="false">IF(A196="","",IF(C196="No encontrado","No","Sí"))</f>
        <v/>
      </c>
      <c r="J196" s="26" t="str">
        <f aca="false">IF(A196="","",IF(F196="Inactivo","No","Sí"))</f>
        <v/>
      </c>
      <c r="K196" s="26" t="str">
        <f aca="false">IF(A196="","",IF(AND(I196="Sí",J196="Sí"),"Sí","No"))</f>
        <v/>
      </c>
    </row>
    <row r="197" customFormat="false" ht="15" hidden="false" customHeight="false" outlineLevel="0" collapsed="false">
      <c r="A197" s="22"/>
      <c r="B197" s="22"/>
      <c r="C197" s="23" t="str">
        <f aca="false">IF(A197="","",IFERROR(buscarx(A197&amp;B197,DATA!$E$3:$E$10000&amp;DATA!$B$3:$B$10000,DATA!$M$3:$M$10000),"No encontrado"))</f>
        <v/>
      </c>
      <c r="D197" s="24" t="str">
        <f aca="false">IF(A197="","",IFERROR(buscarx(A197&amp;B197,DATA!$E$3:$E$10000&amp;DATA!$B$3:$B$10000,DATA!$W$3:$W$10000),"No encontrado"))</f>
        <v/>
      </c>
      <c r="E197" s="22"/>
      <c r="F197" s="23" t="str">
        <f aca="false">IF(A197="","",IFERROR(buscarx(A197&amp;E197,DATA!$E$3:$E$10000&amp;DATA!$B$3:$B$10000,DATA!$M$3:$M$10000),"Inactivo"))</f>
        <v/>
      </c>
      <c r="G197" s="25" t="str">
        <f aca="false">IF(A197="","",IF(AND(C197&lt;&gt;"No encontrado",F197&lt;&gt;"Inactivo"),C197&amp;" → "&amp;F197,"Sin transición"))</f>
        <v/>
      </c>
      <c r="H197" s="23" t="str">
        <f aca="false">IF(A197="","",IF(D197="GCIA LINEA SERVICIO DIGITALIDAD Y VENTAS","Chats",IF(OR(D197="GERENCIA INBOUND LÍNEAS SERVICIO Y VENTA",D197="GERENCIA INBOUND LINEAS ESPECIALIZADAS"),"Llamadas","Otro")))</f>
        <v/>
      </c>
      <c r="I197" s="23" t="str">
        <f aca="false">IF(A197="","",IF(C197="No encontrado","No","Sí"))</f>
        <v/>
      </c>
      <c r="J197" s="23" t="str">
        <f aca="false">IF(A197="","",IF(F197="Inactivo","No","Sí"))</f>
        <v/>
      </c>
      <c r="K197" s="23" t="str">
        <f aca="false">IF(A197="","",IF(AND(I197="Sí",J197="Sí"),"Sí","No"))</f>
        <v/>
      </c>
    </row>
    <row r="198" customFormat="false" ht="15" hidden="false" customHeight="false" outlineLevel="0" collapsed="false">
      <c r="A198" s="22"/>
      <c r="B198" s="22"/>
      <c r="C198" s="26" t="str">
        <f aca="false">IF(A198="","",IFERROR(buscarx(A198&amp;B198,DATA!$E$3:$E$10000&amp;DATA!$B$3:$B$10000,DATA!$M$3:$M$10000),"No encontrado"))</f>
        <v/>
      </c>
      <c r="D198" s="27" t="str">
        <f aca="false">IF(A198="","",IFERROR(buscarx(A198&amp;B198,DATA!$E$3:$E$10000&amp;DATA!$B$3:$B$10000,DATA!$W$3:$W$10000),"No encontrado"))</f>
        <v/>
      </c>
      <c r="E198" s="22"/>
      <c r="F198" s="26" t="str">
        <f aca="false">IF(A198="","",IFERROR(buscarx(A198&amp;E198,DATA!$E$3:$E$10000&amp;DATA!$B$3:$B$10000,DATA!$M$3:$M$10000),"Inactivo"))</f>
        <v/>
      </c>
      <c r="G198" s="28" t="str">
        <f aca="false">IF(A198="","",IF(AND(C198&lt;&gt;"No encontrado",F198&lt;&gt;"Inactivo"),C198&amp;" → "&amp;F198,"Sin transición"))</f>
        <v/>
      </c>
      <c r="H198" s="26" t="str">
        <f aca="false">IF(A198="","",IF(D198="GCIA LINEA SERVICIO DIGITALIDAD Y VENTAS","Chats",IF(OR(D198="GERENCIA INBOUND LÍNEAS SERVICIO Y VENTA",D198="GERENCIA INBOUND LINEAS ESPECIALIZADAS"),"Llamadas","Otro")))</f>
        <v/>
      </c>
      <c r="I198" s="26" t="str">
        <f aca="false">IF(A198="","",IF(C198="No encontrado","No","Sí"))</f>
        <v/>
      </c>
      <c r="J198" s="26" t="str">
        <f aca="false">IF(A198="","",IF(F198="Inactivo","No","Sí"))</f>
        <v/>
      </c>
      <c r="K198" s="26" t="str">
        <f aca="false">IF(A198="","",IF(AND(I198="Sí",J198="Sí"),"Sí","No"))</f>
        <v/>
      </c>
    </row>
    <row r="199" customFormat="false" ht="15" hidden="false" customHeight="false" outlineLevel="0" collapsed="false">
      <c r="A199" s="22"/>
      <c r="B199" s="22"/>
      <c r="C199" s="23" t="str">
        <f aca="false">IF(A199="","",IFERROR(buscarx(A199&amp;B199,DATA!$E$3:$E$10000&amp;DATA!$B$3:$B$10000,DATA!$M$3:$M$10000),"No encontrado"))</f>
        <v/>
      </c>
      <c r="D199" s="24" t="str">
        <f aca="false">IF(A199="","",IFERROR(buscarx(A199&amp;B199,DATA!$E$3:$E$10000&amp;DATA!$B$3:$B$10000,DATA!$W$3:$W$10000),"No encontrado"))</f>
        <v/>
      </c>
      <c r="E199" s="22"/>
      <c r="F199" s="23" t="str">
        <f aca="false">IF(A199="","",IFERROR(buscarx(A199&amp;E199,DATA!$E$3:$E$10000&amp;DATA!$B$3:$B$10000,DATA!$M$3:$M$10000),"Inactivo"))</f>
        <v/>
      </c>
      <c r="G199" s="25" t="str">
        <f aca="false">IF(A199="","",IF(AND(C199&lt;&gt;"No encontrado",F199&lt;&gt;"Inactivo"),C199&amp;" → "&amp;F199,"Sin transición"))</f>
        <v/>
      </c>
      <c r="H199" s="23" t="str">
        <f aca="false">IF(A199="","",IF(D199="GCIA LINEA SERVICIO DIGITALIDAD Y VENTAS","Chats",IF(OR(D199="GERENCIA INBOUND LÍNEAS SERVICIO Y VENTA",D199="GERENCIA INBOUND LINEAS ESPECIALIZADAS"),"Llamadas","Otro")))</f>
        <v/>
      </c>
      <c r="I199" s="23" t="str">
        <f aca="false">IF(A199="","",IF(C199="No encontrado","No","Sí"))</f>
        <v/>
      </c>
      <c r="J199" s="23" t="str">
        <f aca="false">IF(A199="","",IF(F199="Inactivo","No","Sí"))</f>
        <v/>
      </c>
      <c r="K199" s="23" t="str">
        <f aca="false">IF(A199="","",IF(AND(I199="Sí",J199="Sí"),"Sí","No"))</f>
        <v/>
      </c>
    </row>
    <row r="200" customFormat="false" ht="15" hidden="false" customHeight="false" outlineLevel="0" collapsed="false">
      <c r="A200" s="22"/>
      <c r="B200" s="22"/>
      <c r="C200" s="26" t="str">
        <f aca="false">IF(A200="","",IFERROR(buscarx(A200&amp;B200,DATA!$E$3:$E$10000&amp;DATA!$B$3:$B$10000,DATA!$M$3:$M$10000),"No encontrado"))</f>
        <v/>
      </c>
      <c r="D200" s="27" t="str">
        <f aca="false">IF(A200="","",IFERROR(buscarx(A200&amp;B200,DATA!$E$3:$E$10000&amp;DATA!$B$3:$B$10000,DATA!$W$3:$W$10000),"No encontrado"))</f>
        <v/>
      </c>
      <c r="E200" s="22"/>
      <c r="F200" s="26" t="str">
        <f aca="false">IF(A200="","",IFERROR(buscarx(A200&amp;E200,DATA!$E$3:$E$10000&amp;DATA!$B$3:$B$10000,DATA!$M$3:$M$10000),"Inactivo"))</f>
        <v/>
      </c>
      <c r="G200" s="28" t="str">
        <f aca="false">IF(A200="","",IF(AND(C200&lt;&gt;"No encontrado",F200&lt;&gt;"Inactivo"),C200&amp;" → "&amp;F200,"Sin transición"))</f>
        <v/>
      </c>
      <c r="H200" s="26" t="str">
        <f aca="false">IF(A200="","",IF(D200="GCIA LINEA SERVICIO DIGITALIDAD Y VENTAS","Chats",IF(OR(D200="GERENCIA INBOUND LÍNEAS SERVICIO Y VENTA",D200="GERENCIA INBOUND LINEAS ESPECIALIZADAS"),"Llamadas","Otro")))</f>
        <v/>
      </c>
      <c r="I200" s="26" t="str">
        <f aca="false">IF(A200="","",IF(C200="No encontrado","No","Sí"))</f>
        <v/>
      </c>
      <c r="J200" s="26" t="str">
        <f aca="false">IF(A200="","",IF(F200="Inactivo","No","Sí"))</f>
        <v/>
      </c>
      <c r="K200" s="26" t="str">
        <f aca="false">IF(A200="","",IF(AND(I200="Sí",J200="Sí"),"Sí","No"))</f>
        <v/>
      </c>
    </row>
    <row r="201" customFormat="false" ht="15" hidden="false" customHeight="false" outlineLevel="0" collapsed="false">
      <c r="A201" s="22"/>
      <c r="B201" s="22"/>
      <c r="C201" s="23" t="str">
        <f aca="false">IF(A201="","",IFERROR(buscarx(A201&amp;B201,DATA!$E$3:$E$10000&amp;DATA!$B$3:$B$10000,DATA!$M$3:$M$10000),"No encontrado"))</f>
        <v/>
      </c>
      <c r="D201" s="24" t="str">
        <f aca="false">IF(A201="","",IFERROR(buscarx(A201&amp;B201,DATA!$E$3:$E$10000&amp;DATA!$B$3:$B$10000,DATA!$W$3:$W$10000),"No encontrado"))</f>
        <v/>
      </c>
      <c r="E201" s="22"/>
      <c r="F201" s="23" t="str">
        <f aca="false">IF(A201="","",IFERROR(buscarx(A201&amp;E201,DATA!$E$3:$E$10000&amp;DATA!$B$3:$B$10000,DATA!$M$3:$M$10000),"Inactivo"))</f>
        <v/>
      </c>
      <c r="G201" s="25" t="str">
        <f aca="false">IF(A201="","",IF(AND(C201&lt;&gt;"No encontrado",F201&lt;&gt;"Inactivo"),C201&amp;" → "&amp;F201,"Sin transición"))</f>
        <v/>
      </c>
      <c r="H201" s="23" t="str">
        <f aca="false">IF(A201="","",IF(D201="GCIA LINEA SERVICIO DIGITALIDAD Y VENTAS","Chats",IF(OR(D201="GERENCIA INBOUND LÍNEAS SERVICIO Y VENTA",D201="GERENCIA INBOUND LINEAS ESPECIALIZADAS"),"Llamadas","Otro")))</f>
        <v/>
      </c>
      <c r="I201" s="23" t="str">
        <f aca="false">IF(A201="","",IF(C201="No encontrado","No","Sí"))</f>
        <v/>
      </c>
      <c r="J201" s="23" t="str">
        <f aca="false">IF(A201="","",IF(F201="Inactivo","No","Sí"))</f>
        <v/>
      </c>
      <c r="K201" s="23" t="str">
        <f aca="false">IF(A201="","",IF(AND(I201="Sí",J201="Sí"),"Sí","No"))</f>
        <v/>
      </c>
    </row>
    <row r="202" customFormat="false" ht="15" hidden="false" customHeight="false" outlineLevel="0" collapsed="false">
      <c r="A202" s="22"/>
      <c r="B202" s="22"/>
      <c r="C202" s="26" t="str">
        <f aca="false">IF(A202="","",IFERROR(buscarx(A202&amp;B202,DATA!$E$3:$E$10000&amp;DATA!$B$3:$B$10000,DATA!$M$3:$M$10000),"No encontrado"))</f>
        <v/>
      </c>
      <c r="D202" s="27" t="str">
        <f aca="false">IF(A202="","",IFERROR(buscarx(A202&amp;B202,DATA!$E$3:$E$10000&amp;DATA!$B$3:$B$10000,DATA!$W$3:$W$10000),"No encontrado"))</f>
        <v/>
      </c>
      <c r="E202" s="22"/>
      <c r="F202" s="26" t="str">
        <f aca="false">IF(A202="","",IFERROR(buscarx(A202&amp;E202,DATA!$E$3:$E$10000&amp;DATA!$B$3:$B$10000,DATA!$M$3:$M$10000),"Inactivo"))</f>
        <v/>
      </c>
      <c r="G202" s="28" t="str">
        <f aca="false">IF(A202="","",IF(AND(C202&lt;&gt;"No encontrado",F202&lt;&gt;"Inactivo"),C202&amp;" → "&amp;F202,"Sin transición"))</f>
        <v/>
      </c>
      <c r="H202" s="26" t="str">
        <f aca="false">IF(A202="","",IF(D202="GCIA LINEA SERVICIO DIGITALIDAD Y VENTAS","Chats",IF(OR(D202="GERENCIA INBOUND LÍNEAS SERVICIO Y VENTA",D202="GERENCIA INBOUND LINEAS ESPECIALIZADAS"),"Llamadas","Otro")))</f>
        <v/>
      </c>
      <c r="I202" s="26" t="str">
        <f aca="false">IF(A202="","",IF(C202="No encontrado","No","Sí"))</f>
        <v/>
      </c>
      <c r="J202" s="26" t="str">
        <f aca="false">IF(A202="","",IF(F202="Inactivo","No","Sí"))</f>
        <v/>
      </c>
      <c r="K202" s="26" t="str">
        <f aca="false">IF(A202="","",IF(AND(I202="Sí",J202="Sí"),"Sí","No"))</f>
        <v/>
      </c>
    </row>
    <row r="203" customFormat="false" ht="15" hidden="false" customHeight="false" outlineLevel="0" collapsed="false">
      <c r="A203" s="22"/>
      <c r="B203" s="22"/>
      <c r="C203" s="23" t="str">
        <f aca="false">IF(A203="","",IFERROR(buscarx(A203&amp;B203,DATA!$E$3:$E$10000&amp;DATA!$B$3:$B$10000,DATA!$M$3:$M$10000),"No encontrado"))</f>
        <v/>
      </c>
      <c r="D203" s="24" t="str">
        <f aca="false">IF(A203="","",IFERROR(buscarx(A203&amp;B203,DATA!$E$3:$E$10000&amp;DATA!$B$3:$B$10000,DATA!$W$3:$W$10000),"No encontrado"))</f>
        <v/>
      </c>
      <c r="E203" s="22"/>
      <c r="F203" s="23" t="str">
        <f aca="false">IF(A203="","",IFERROR(buscarx(A203&amp;E203,DATA!$E$3:$E$10000&amp;DATA!$B$3:$B$10000,DATA!$M$3:$M$10000),"Inactivo"))</f>
        <v/>
      </c>
      <c r="G203" s="25" t="str">
        <f aca="false">IF(A203="","",IF(AND(C203&lt;&gt;"No encontrado",F203&lt;&gt;"Inactivo"),C203&amp;" → "&amp;F203,"Sin transición"))</f>
        <v/>
      </c>
      <c r="H203" s="23" t="str">
        <f aca="false">IF(A203="","",IF(D203="GCIA LINEA SERVICIO DIGITALIDAD Y VENTAS","Chats",IF(OR(D203="GERENCIA INBOUND LÍNEAS SERVICIO Y VENTA",D203="GERENCIA INBOUND LINEAS ESPECIALIZADAS"),"Llamadas","Otro")))</f>
        <v/>
      </c>
      <c r="I203" s="23" t="str">
        <f aca="false">IF(A203="","",IF(C203="No encontrado","No","Sí"))</f>
        <v/>
      </c>
      <c r="J203" s="23" t="str">
        <f aca="false">IF(A203="","",IF(F203="Inactivo","No","Sí"))</f>
        <v/>
      </c>
      <c r="K203" s="23" t="str">
        <f aca="false">IF(A203="","",IF(AND(I203="Sí",J203="Sí"),"Sí","No"))</f>
        <v/>
      </c>
    </row>
    <row r="204" customFormat="false" ht="15" hidden="false" customHeight="false" outlineLevel="0" collapsed="false">
      <c r="A204" s="22"/>
      <c r="B204" s="22"/>
      <c r="C204" s="26" t="str">
        <f aca="false">IF(A204="","",IFERROR(buscarx(A204&amp;B204,DATA!$E$3:$E$10000&amp;DATA!$B$3:$B$10000,DATA!$M$3:$M$10000),"No encontrado"))</f>
        <v/>
      </c>
      <c r="D204" s="27" t="str">
        <f aca="false">IF(A204="","",IFERROR(buscarx(A204&amp;B204,DATA!$E$3:$E$10000&amp;DATA!$B$3:$B$10000,DATA!$W$3:$W$10000),"No encontrado"))</f>
        <v/>
      </c>
      <c r="E204" s="22"/>
      <c r="F204" s="26" t="str">
        <f aca="false">IF(A204="","",IFERROR(buscarx(A204&amp;E204,DATA!$E$3:$E$10000&amp;DATA!$B$3:$B$10000,DATA!$M$3:$M$10000),"Inactivo"))</f>
        <v/>
      </c>
      <c r="G204" s="28" t="str">
        <f aca="false">IF(A204="","",IF(AND(C204&lt;&gt;"No encontrado",F204&lt;&gt;"Inactivo"),C204&amp;" → "&amp;F204,"Sin transición"))</f>
        <v/>
      </c>
      <c r="H204" s="26" t="str">
        <f aca="false">IF(A204="","",IF(D204="GCIA LINEA SERVICIO DIGITALIDAD Y VENTAS","Chats",IF(OR(D204="GERENCIA INBOUND LÍNEAS SERVICIO Y VENTA",D204="GERENCIA INBOUND LINEAS ESPECIALIZADAS"),"Llamadas","Otro")))</f>
        <v/>
      </c>
      <c r="I204" s="26" t="str">
        <f aca="false">IF(A204="","",IF(C204="No encontrado","No","Sí"))</f>
        <v/>
      </c>
      <c r="J204" s="26" t="str">
        <f aca="false">IF(A204="","",IF(F204="Inactivo","No","Sí"))</f>
        <v/>
      </c>
      <c r="K204" s="26" t="str">
        <f aca="false">IF(A204="","",IF(AND(I204="Sí",J204="Sí"),"Sí","No"))</f>
        <v/>
      </c>
    </row>
    <row r="205" customFormat="false" ht="15" hidden="false" customHeight="false" outlineLevel="0" collapsed="false">
      <c r="A205" s="22"/>
      <c r="B205" s="22"/>
      <c r="C205" s="23" t="str">
        <f aca="false">IF(A205="","",IFERROR(buscarx(A205&amp;B205,DATA!$E$3:$E$10000&amp;DATA!$B$3:$B$10000,DATA!$M$3:$M$10000),"No encontrado"))</f>
        <v/>
      </c>
      <c r="D205" s="24" t="str">
        <f aca="false">IF(A205="","",IFERROR(buscarx(A205&amp;B205,DATA!$E$3:$E$10000&amp;DATA!$B$3:$B$10000,DATA!$W$3:$W$10000),"No encontrado"))</f>
        <v/>
      </c>
      <c r="E205" s="22"/>
      <c r="F205" s="23" t="str">
        <f aca="false">IF(A205="","",IFERROR(buscarx(A205&amp;E205,DATA!$E$3:$E$10000&amp;DATA!$B$3:$B$10000,DATA!$M$3:$M$10000),"Inactivo"))</f>
        <v/>
      </c>
      <c r="G205" s="25" t="str">
        <f aca="false">IF(A205="","",IF(AND(C205&lt;&gt;"No encontrado",F205&lt;&gt;"Inactivo"),C205&amp;" → "&amp;F205,"Sin transición"))</f>
        <v/>
      </c>
      <c r="H205" s="23" t="str">
        <f aca="false">IF(A205="","",IF(D205="GCIA LINEA SERVICIO DIGITALIDAD Y VENTAS","Chats",IF(OR(D205="GERENCIA INBOUND LÍNEAS SERVICIO Y VENTA",D205="GERENCIA INBOUND LINEAS ESPECIALIZADAS"),"Llamadas","Otro")))</f>
        <v/>
      </c>
      <c r="I205" s="23" t="str">
        <f aca="false">IF(A205="","",IF(C205="No encontrado","No","Sí"))</f>
        <v/>
      </c>
      <c r="J205" s="23" t="str">
        <f aca="false">IF(A205="","",IF(F205="Inactivo","No","Sí"))</f>
        <v/>
      </c>
      <c r="K205" s="23" t="str">
        <f aca="false">IF(A205="","",IF(AND(I205="Sí",J205="Sí"),"Sí","No"))</f>
        <v/>
      </c>
    </row>
    <row r="206" customFormat="false" ht="15" hidden="false" customHeight="false" outlineLevel="0" collapsed="false">
      <c r="A206" s="22"/>
      <c r="B206" s="22"/>
      <c r="C206" s="26" t="str">
        <f aca="false">IF(A206="","",IFERROR(buscarx(A206&amp;B206,DATA!$E$3:$E$10000&amp;DATA!$B$3:$B$10000,DATA!$M$3:$M$10000),"No encontrado"))</f>
        <v/>
      </c>
      <c r="D206" s="27" t="str">
        <f aca="false">IF(A206="","",IFERROR(buscarx(A206&amp;B206,DATA!$E$3:$E$10000&amp;DATA!$B$3:$B$10000,DATA!$W$3:$W$10000),"No encontrado"))</f>
        <v/>
      </c>
      <c r="E206" s="22"/>
      <c r="F206" s="26" t="str">
        <f aca="false">IF(A206="","",IFERROR(buscarx(A206&amp;E206,DATA!$E$3:$E$10000&amp;DATA!$B$3:$B$10000,DATA!$M$3:$M$10000),"Inactivo"))</f>
        <v/>
      </c>
      <c r="G206" s="28" t="str">
        <f aca="false">IF(A206="","",IF(AND(C206&lt;&gt;"No encontrado",F206&lt;&gt;"Inactivo"),C206&amp;" → "&amp;F206,"Sin transición"))</f>
        <v/>
      </c>
      <c r="H206" s="26" t="str">
        <f aca="false">IF(A206="","",IF(D206="GCIA LINEA SERVICIO DIGITALIDAD Y VENTAS","Chats",IF(OR(D206="GERENCIA INBOUND LÍNEAS SERVICIO Y VENTA",D206="GERENCIA INBOUND LINEAS ESPECIALIZADAS"),"Llamadas","Otro")))</f>
        <v/>
      </c>
      <c r="I206" s="26" t="str">
        <f aca="false">IF(A206="","",IF(C206="No encontrado","No","Sí"))</f>
        <v/>
      </c>
      <c r="J206" s="26" t="str">
        <f aca="false">IF(A206="","",IF(F206="Inactivo","No","Sí"))</f>
        <v/>
      </c>
      <c r="K206" s="26" t="str">
        <f aca="false">IF(A206="","",IF(AND(I206="Sí",J206="Sí"),"Sí","No"))</f>
        <v/>
      </c>
    </row>
    <row r="207" customFormat="false" ht="15" hidden="false" customHeight="false" outlineLevel="0" collapsed="false">
      <c r="A207" s="22"/>
      <c r="B207" s="22"/>
      <c r="C207" s="23" t="str">
        <f aca="false">IF(A207="","",IFERROR(buscarx(A207&amp;B207,DATA!$E$3:$E$10000&amp;DATA!$B$3:$B$10000,DATA!$M$3:$M$10000),"No encontrado"))</f>
        <v/>
      </c>
      <c r="D207" s="24" t="str">
        <f aca="false">IF(A207="","",IFERROR(buscarx(A207&amp;B207,DATA!$E$3:$E$10000&amp;DATA!$B$3:$B$10000,DATA!$W$3:$W$10000),"No encontrado"))</f>
        <v/>
      </c>
      <c r="E207" s="22"/>
      <c r="F207" s="23" t="str">
        <f aca="false">IF(A207="","",IFERROR(buscarx(A207&amp;E207,DATA!$E$3:$E$10000&amp;DATA!$B$3:$B$10000,DATA!$M$3:$M$10000),"Inactivo"))</f>
        <v/>
      </c>
      <c r="G207" s="25" t="str">
        <f aca="false">IF(A207="","",IF(AND(C207&lt;&gt;"No encontrado",F207&lt;&gt;"Inactivo"),C207&amp;" → "&amp;F207,"Sin transición"))</f>
        <v/>
      </c>
      <c r="H207" s="23" t="str">
        <f aca="false">IF(A207="","",IF(D207="GCIA LINEA SERVICIO DIGITALIDAD Y VENTAS","Chats",IF(OR(D207="GERENCIA INBOUND LÍNEAS SERVICIO Y VENTA",D207="GERENCIA INBOUND LINEAS ESPECIALIZADAS"),"Llamadas","Otro")))</f>
        <v/>
      </c>
      <c r="I207" s="23" t="str">
        <f aca="false">IF(A207="","",IF(C207="No encontrado","No","Sí"))</f>
        <v/>
      </c>
      <c r="J207" s="23" t="str">
        <f aca="false">IF(A207="","",IF(F207="Inactivo","No","Sí"))</f>
        <v/>
      </c>
      <c r="K207" s="23" t="str">
        <f aca="false">IF(A207="","",IF(AND(I207="Sí",J207="Sí"),"Sí","No"))</f>
        <v/>
      </c>
    </row>
    <row r="208" customFormat="false" ht="15" hidden="false" customHeight="false" outlineLevel="0" collapsed="false">
      <c r="A208" s="22"/>
      <c r="B208" s="22"/>
      <c r="C208" s="26" t="str">
        <f aca="false">IF(A208="","",IFERROR(buscarx(A208&amp;B208,DATA!$E$3:$E$10000&amp;DATA!$B$3:$B$10000,DATA!$M$3:$M$10000),"No encontrado"))</f>
        <v/>
      </c>
      <c r="D208" s="27" t="str">
        <f aca="false">IF(A208="","",IFERROR(buscarx(A208&amp;B208,DATA!$E$3:$E$10000&amp;DATA!$B$3:$B$10000,DATA!$W$3:$W$10000),"No encontrado"))</f>
        <v/>
      </c>
      <c r="E208" s="22"/>
      <c r="F208" s="26" t="str">
        <f aca="false">IF(A208="","",IFERROR(buscarx(A208&amp;E208,DATA!$E$3:$E$10000&amp;DATA!$B$3:$B$10000,DATA!$M$3:$M$10000),"Inactivo"))</f>
        <v/>
      </c>
      <c r="G208" s="28" t="str">
        <f aca="false">IF(A208="","",IF(AND(C208&lt;&gt;"No encontrado",F208&lt;&gt;"Inactivo"),C208&amp;" → "&amp;F208,"Sin transición"))</f>
        <v/>
      </c>
      <c r="H208" s="26" t="str">
        <f aca="false">IF(A208="","",IF(D208="GCIA LINEA SERVICIO DIGITALIDAD Y VENTAS","Chats",IF(OR(D208="GERENCIA INBOUND LÍNEAS SERVICIO Y VENTA",D208="GERENCIA INBOUND LINEAS ESPECIALIZADAS"),"Llamadas","Otro")))</f>
        <v/>
      </c>
      <c r="I208" s="26" t="str">
        <f aca="false">IF(A208="","",IF(C208="No encontrado","No","Sí"))</f>
        <v/>
      </c>
      <c r="J208" s="26" t="str">
        <f aca="false">IF(A208="","",IF(F208="Inactivo","No","Sí"))</f>
        <v/>
      </c>
      <c r="K208" s="26" t="str">
        <f aca="false">IF(A208="","",IF(AND(I208="Sí",J208="Sí"),"Sí","No"))</f>
        <v/>
      </c>
    </row>
    <row r="209" customFormat="false" ht="15" hidden="false" customHeight="false" outlineLevel="0" collapsed="false">
      <c r="A209" s="22"/>
      <c r="B209" s="22"/>
      <c r="C209" s="23" t="str">
        <f aca="false">IF(A209="","",IFERROR(buscarx(A209&amp;B209,DATA!$E$3:$E$10000&amp;DATA!$B$3:$B$10000,DATA!$M$3:$M$10000),"No encontrado"))</f>
        <v/>
      </c>
      <c r="D209" s="24" t="str">
        <f aca="false">IF(A209="","",IFERROR(buscarx(A209&amp;B209,DATA!$E$3:$E$10000&amp;DATA!$B$3:$B$10000,DATA!$W$3:$W$10000),"No encontrado"))</f>
        <v/>
      </c>
      <c r="E209" s="22"/>
      <c r="F209" s="23" t="str">
        <f aca="false">IF(A209="","",IFERROR(buscarx(A209&amp;E209,DATA!$E$3:$E$10000&amp;DATA!$B$3:$B$10000,DATA!$M$3:$M$10000),"Inactivo"))</f>
        <v/>
      </c>
      <c r="G209" s="25" t="str">
        <f aca="false">IF(A209="","",IF(AND(C209&lt;&gt;"No encontrado",F209&lt;&gt;"Inactivo"),C209&amp;" → "&amp;F209,"Sin transición"))</f>
        <v/>
      </c>
      <c r="H209" s="23" t="str">
        <f aca="false">IF(A209="","",IF(D209="GCIA LINEA SERVICIO DIGITALIDAD Y VENTAS","Chats",IF(OR(D209="GERENCIA INBOUND LÍNEAS SERVICIO Y VENTA",D209="GERENCIA INBOUND LINEAS ESPECIALIZADAS"),"Llamadas","Otro")))</f>
        <v/>
      </c>
      <c r="I209" s="23" t="str">
        <f aca="false">IF(A209="","",IF(C209="No encontrado","No","Sí"))</f>
        <v/>
      </c>
      <c r="J209" s="23" t="str">
        <f aca="false">IF(A209="","",IF(F209="Inactivo","No","Sí"))</f>
        <v/>
      </c>
      <c r="K209" s="23" t="str">
        <f aca="false">IF(A209="","",IF(AND(I209="Sí",J209="Sí"),"Sí","No"))</f>
        <v/>
      </c>
    </row>
    <row r="210" customFormat="false" ht="15" hidden="false" customHeight="false" outlineLevel="0" collapsed="false">
      <c r="A210" s="22"/>
      <c r="B210" s="22"/>
      <c r="C210" s="26" t="str">
        <f aca="false">IF(A210="","",IFERROR(buscarx(A210&amp;B210,DATA!$E$3:$E$10000&amp;DATA!$B$3:$B$10000,DATA!$M$3:$M$10000),"No encontrado"))</f>
        <v/>
      </c>
      <c r="D210" s="27" t="str">
        <f aca="false">IF(A210="","",IFERROR(buscarx(A210&amp;B210,DATA!$E$3:$E$10000&amp;DATA!$B$3:$B$10000,DATA!$W$3:$W$10000),"No encontrado"))</f>
        <v/>
      </c>
      <c r="E210" s="22"/>
      <c r="F210" s="26" t="str">
        <f aca="false">IF(A210="","",IFERROR(buscarx(A210&amp;E210,DATA!$E$3:$E$10000&amp;DATA!$B$3:$B$10000,DATA!$M$3:$M$10000),"Inactivo"))</f>
        <v/>
      </c>
      <c r="G210" s="28" t="str">
        <f aca="false">IF(A210="","",IF(AND(C210&lt;&gt;"No encontrado",F210&lt;&gt;"Inactivo"),C210&amp;" → "&amp;F210,"Sin transición"))</f>
        <v/>
      </c>
      <c r="H210" s="26" t="str">
        <f aca="false">IF(A210="","",IF(D210="GCIA LINEA SERVICIO DIGITALIDAD Y VENTAS","Chats",IF(OR(D210="GERENCIA INBOUND LÍNEAS SERVICIO Y VENTA",D210="GERENCIA INBOUND LINEAS ESPECIALIZADAS"),"Llamadas","Otro")))</f>
        <v/>
      </c>
      <c r="I210" s="26" t="str">
        <f aca="false">IF(A210="","",IF(C210="No encontrado","No","Sí"))</f>
        <v/>
      </c>
      <c r="J210" s="26" t="str">
        <f aca="false">IF(A210="","",IF(F210="Inactivo","No","Sí"))</f>
        <v/>
      </c>
      <c r="K210" s="26" t="str">
        <f aca="false">IF(A210="","",IF(AND(I210="Sí",J210="Sí"),"Sí","No"))</f>
        <v/>
      </c>
    </row>
    <row r="211" customFormat="false" ht="15" hidden="false" customHeight="false" outlineLevel="0" collapsed="false">
      <c r="A211" s="22"/>
      <c r="B211" s="22"/>
      <c r="C211" s="23" t="str">
        <f aca="false">IF(A211="","",IFERROR(buscarx(A211&amp;B211,DATA!$E$3:$E$10000&amp;DATA!$B$3:$B$10000,DATA!$M$3:$M$10000),"No encontrado"))</f>
        <v/>
      </c>
      <c r="D211" s="24" t="str">
        <f aca="false">IF(A211="","",IFERROR(buscarx(A211&amp;B211,DATA!$E$3:$E$10000&amp;DATA!$B$3:$B$10000,DATA!$W$3:$W$10000),"No encontrado"))</f>
        <v/>
      </c>
      <c r="E211" s="22"/>
      <c r="F211" s="23" t="str">
        <f aca="false">IF(A211="","",IFERROR(buscarx(A211&amp;E211,DATA!$E$3:$E$10000&amp;DATA!$B$3:$B$10000,DATA!$M$3:$M$10000),"Inactivo"))</f>
        <v/>
      </c>
      <c r="G211" s="25" t="str">
        <f aca="false">IF(A211="","",IF(AND(C211&lt;&gt;"No encontrado",F211&lt;&gt;"Inactivo"),C211&amp;" → "&amp;F211,"Sin transición"))</f>
        <v/>
      </c>
      <c r="H211" s="23" t="str">
        <f aca="false">IF(A211="","",IF(D211="GCIA LINEA SERVICIO DIGITALIDAD Y VENTAS","Chats",IF(OR(D211="GERENCIA INBOUND LÍNEAS SERVICIO Y VENTA",D211="GERENCIA INBOUND LINEAS ESPECIALIZADAS"),"Llamadas","Otro")))</f>
        <v/>
      </c>
      <c r="I211" s="23" t="str">
        <f aca="false">IF(A211="","",IF(C211="No encontrado","No","Sí"))</f>
        <v/>
      </c>
      <c r="J211" s="23" t="str">
        <f aca="false">IF(A211="","",IF(F211="Inactivo","No","Sí"))</f>
        <v/>
      </c>
      <c r="K211" s="23" t="str">
        <f aca="false">IF(A211="","",IF(AND(I211="Sí",J211="Sí"),"Sí","No"))</f>
        <v/>
      </c>
    </row>
    <row r="212" customFormat="false" ht="15" hidden="false" customHeight="false" outlineLevel="0" collapsed="false">
      <c r="A212" s="22"/>
      <c r="B212" s="22"/>
      <c r="C212" s="26" t="str">
        <f aca="false">IF(A212="","",IFERROR(buscarx(A212&amp;B212,DATA!$E$3:$E$10000&amp;DATA!$B$3:$B$10000,DATA!$M$3:$M$10000),"No encontrado"))</f>
        <v/>
      </c>
      <c r="D212" s="27" t="str">
        <f aca="false">IF(A212="","",IFERROR(buscarx(A212&amp;B212,DATA!$E$3:$E$10000&amp;DATA!$B$3:$B$10000,DATA!$W$3:$W$10000),"No encontrado"))</f>
        <v/>
      </c>
      <c r="E212" s="22"/>
      <c r="F212" s="26" t="str">
        <f aca="false">IF(A212="","",IFERROR(buscarx(A212&amp;E212,DATA!$E$3:$E$10000&amp;DATA!$B$3:$B$10000,DATA!$M$3:$M$10000),"Inactivo"))</f>
        <v/>
      </c>
      <c r="G212" s="28" t="str">
        <f aca="false">IF(A212="","",IF(AND(C212&lt;&gt;"No encontrado",F212&lt;&gt;"Inactivo"),C212&amp;" → "&amp;F212,"Sin transición"))</f>
        <v/>
      </c>
      <c r="H212" s="26" t="str">
        <f aca="false">IF(A212="","",IF(D212="GCIA LINEA SERVICIO DIGITALIDAD Y VENTAS","Chats",IF(OR(D212="GERENCIA INBOUND LÍNEAS SERVICIO Y VENTA",D212="GERENCIA INBOUND LINEAS ESPECIALIZADAS"),"Llamadas","Otro")))</f>
        <v/>
      </c>
      <c r="I212" s="26" t="str">
        <f aca="false">IF(A212="","",IF(C212="No encontrado","No","Sí"))</f>
        <v/>
      </c>
      <c r="J212" s="26" t="str">
        <f aca="false">IF(A212="","",IF(F212="Inactivo","No","Sí"))</f>
        <v/>
      </c>
      <c r="K212" s="26" t="str">
        <f aca="false">IF(A212="","",IF(AND(I212="Sí",J212="Sí"),"Sí","No"))</f>
        <v/>
      </c>
    </row>
    <row r="213" customFormat="false" ht="15" hidden="false" customHeight="false" outlineLevel="0" collapsed="false">
      <c r="A213" s="22"/>
      <c r="B213" s="22"/>
      <c r="C213" s="23" t="str">
        <f aca="false">IF(A213="","",IFERROR(buscarx(A213&amp;B213,DATA!$E$3:$E$10000&amp;DATA!$B$3:$B$10000,DATA!$M$3:$M$10000),"No encontrado"))</f>
        <v/>
      </c>
      <c r="D213" s="24" t="str">
        <f aca="false">IF(A213="","",IFERROR(buscarx(A213&amp;B213,DATA!$E$3:$E$10000&amp;DATA!$B$3:$B$10000,DATA!$W$3:$W$10000),"No encontrado"))</f>
        <v/>
      </c>
      <c r="E213" s="22"/>
      <c r="F213" s="23" t="str">
        <f aca="false">IF(A213="","",IFERROR(buscarx(A213&amp;E213,DATA!$E$3:$E$10000&amp;DATA!$B$3:$B$10000,DATA!$M$3:$M$10000),"Inactivo"))</f>
        <v/>
      </c>
      <c r="G213" s="25" t="str">
        <f aca="false">IF(A213="","",IF(AND(C213&lt;&gt;"No encontrado",F213&lt;&gt;"Inactivo"),C213&amp;" → "&amp;F213,"Sin transición"))</f>
        <v/>
      </c>
      <c r="H213" s="23" t="str">
        <f aca="false">IF(A213="","",IF(D213="GCIA LINEA SERVICIO DIGITALIDAD Y VENTAS","Chats",IF(OR(D213="GERENCIA INBOUND LÍNEAS SERVICIO Y VENTA",D213="GERENCIA INBOUND LINEAS ESPECIALIZADAS"),"Llamadas","Otro")))</f>
        <v/>
      </c>
      <c r="I213" s="23" t="str">
        <f aca="false">IF(A213="","",IF(C213="No encontrado","No","Sí"))</f>
        <v/>
      </c>
      <c r="J213" s="23" t="str">
        <f aca="false">IF(A213="","",IF(F213="Inactivo","No","Sí"))</f>
        <v/>
      </c>
      <c r="K213" s="23" t="str">
        <f aca="false">IF(A213="","",IF(AND(I213="Sí",J213="Sí"),"Sí","No"))</f>
        <v/>
      </c>
    </row>
    <row r="214" customFormat="false" ht="15" hidden="false" customHeight="false" outlineLevel="0" collapsed="false">
      <c r="A214" s="22"/>
      <c r="B214" s="22"/>
      <c r="C214" s="26" t="str">
        <f aca="false">IF(A214="","",IFERROR(buscarx(A214&amp;B214,DATA!$E$3:$E$10000&amp;DATA!$B$3:$B$10000,DATA!$M$3:$M$10000),"No encontrado"))</f>
        <v/>
      </c>
      <c r="D214" s="27" t="str">
        <f aca="false">IF(A214="","",IFERROR(buscarx(A214&amp;B214,DATA!$E$3:$E$10000&amp;DATA!$B$3:$B$10000,DATA!$W$3:$W$10000),"No encontrado"))</f>
        <v/>
      </c>
      <c r="E214" s="22"/>
      <c r="F214" s="26" t="str">
        <f aca="false">IF(A214="","",IFERROR(buscarx(A214&amp;E214,DATA!$E$3:$E$10000&amp;DATA!$B$3:$B$10000,DATA!$M$3:$M$10000),"Inactivo"))</f>
        <v/>
      </c>
      <c r="G214" s="28" t="str">
        <f aca="false">IF(A214="","",IF(AND(C214&lt;&gt;"No encontrado",F214&lt;&gt;"Inactivo"),C214&amp;" → "&amp;F214,"Sin transición"))</f>
        <v/>
      </c>
      <c r="H214" s="26" t="str">
        <f aca="false">IF(A214="","",IF(D214="GCIA LINEA SERVICIO DIGITALIDAD Y VENTAS","Chats",IF(OR(D214="GERENCIA INBOUND LÍNEAS SERVICIO Y VENTA",D214="GERENCIA INBOUND LINEAS ESPECIALIZADAS"),"Llamadas","Otro")))</f>
        <v/>
      </c>
      <c r="I214" s="26" t="str">
        <f aca="false">IF(A214="","",IF(C214="No encontrado","No","Sí"))</f>
        <v/>
      </c>
      <c r="J214" s="26" t="str">
        <f aca="false">IF(A214="","",IF(F214="Inactivo","No","Sí"))</f>
        <v/>
      </c>
      <c r="K214" s="26" t="str">
        <f aca="false">IF(A214="","",IF(AND(I214="Sí",J214="Sí"),"Sí","No"))</f>
        <v/>
      </c>
    </row>
    <row r="215" customFormat="false" ht="15" hidden="false" customHeight="false" outlineLevel="0" collapsed="false">
      <c r="A215" s="22"/>
      <c r="B215" s="22"/>
      <c r="C215" s="23" t="str">
        <f aca="false">IF(A215="","",IFERROR(buscarx(A215&amp;B215,DATA!$E$3:$E$10000&amp;DATA!$B$3:$B$10000,DATA!$M$3:$M$10000),"No encontrado"))</f>
        <v/>
      </c>
      <c r="D215" s="24" t="str">
        <f aca="false">IF(A215="","",IFERROR(buscarx(A215&amp;B215,DATA!$E$3:$E$10000&amp;DATA!$B$3:$B$10000,DATA!$W$3:$W$10000),"No encontrado"))</f>
        <v/>
      </c>
      <c r="E215" s="22"/>
      <c r="F215" s="23" t="str">
        <f aca="false">IF(A215="","",IFERROR(buscarx(A215&amp;E215,DATA!$E$3:$E$10000&amp;DATA!$B$3:$B$10000,DATA!$M$3:$M$10000),"Inactivo"))</f>
        <v/>
      </c>
      <c r="G215" s="25" t="str">
        <f aca="false">IF(A215="","",IF(AND(C215&lt;&gt;"No encontrado",F215&lt;&gt;"Inactivo"),C215&amp;" → "&amp;F215,"Sin transición"))</f>
        <v/>
      </c>
      <c r="H215" s="23" t="str">
        <f aca="false">IF(A215="","",IF(D215="GCIA LINEA SERVICIO DIGITALIDAD Y VENTAS","Chats",IF(OR(D215="GERENCIA INBOUND LÍNEAS SERVICIO Y VENTA",D215="GERENCIA INBOUND LINEAS ESPECIALIZADAS"),"Llamadas","Otro")))</f>
        <v/>
      </c>
      <c r="I215" s="23" t="str">
        <f aca="false">IF(A215="","",IF(C215="No encontrado","No","Sí"))</f>
        <v/>
      </c>
      <c r="J215" s="23" t="str">
        <f aca="false">IF(A215="","",IF(F215="Inactivo","No","Sí"))</f>
        <v/>
      </c>
      <c r="K215" s="23" t="str">
        <f aca="false">IF(A215="","",IF(AND(I215="Sí",J215="Sí"),"Sí","No"))</f>
        <v/>
      </c>
    </row>
    <row r="216" customFormat="false" ht="15" hidden="false" customHeight="false" outlineLevel="0" collapsed="false">
      <c r="A216" s="22"/>
      <c r="B216" s="22"/>
      <c r="C216" s="26" t="str">
        <f aca="false">IF(A216="","",IFERROR(buscarx(A216&amp;B216,DATA!$E$3:$E$10000&amp;DATA!$B$3:$B$10000,DATA!$M$3:$M$10000),"No encontrado"))</f>
        <v/>
      </c>
      <c r="D216" s="27" t="str">
        <f aca="false">IF(A216="","",IFERROR(buscarx(A216&amp;B216,DATA!$E$3:$E$10000&amp;DATA!$B$3:$B$10000,DATA!$W$3:$W$10000),"No encontrado"))</f>
        <v/>
      </c>
      <c r="E216" s="22"/>
      <c r="F216" s="26" t="str">
        <f aca="false">IF(A216="","",IFERROR(buscarx(A216&amp;E216,DATA!$E$3:$E$10000&amp;DATA!$B$3:$B$10000,DATA!$M$3:$M$10000),"Inactivo"))</f>
        <v/>
      </c>
      <c r="G216" s="28" t="str">
        <f aca="false">IF(A216="","",IF(AND(C216&lt;&gt;"No encontrado",F216&lt;&gt;"Inactivo"),C216&amp;" → "&amp;F216,"Sin transición"))</f>
        <v/>
      </c>
      <c r="H216" s="26" t="str">
        <f aca="false">IF(A216="","",IF(D216="GCIA LINEA SERVICIO DIGITALIDAD Y VENTAS","Chats",IF(OR(D216="GERENCIA INBOUND LÍNEAS SERVICIO Y VENTA",D216="GERENCIA INBOUND LINEAS ESPECIALIZADAS"),"Llamadas","Otro")))</f>
        <v/>
      </c>
      <c r="I216" s="26" t="str">
        <f aca="false">IF(A216="","",IF(C216="No encontrado","No","Sí"))</f>
        <v/>
      </c>
      <c r="J216" s="26" t="str">
        <f aca="false">IF(A216="","",IF(F216="Inactivo","No","Sí"))</f>
        <v/>
      </c>
      <c r="K216" s="26" t="str">
        <f aca="false">IF(A216="","",IF(AND(I216="Sí",J216="Sí"),"Sí","No"))</f>
        <v/>
      </c>
    </row>
    <row r="217" customFormat="false" ht="15" hidden="false" customHeight="false" outlineLevel="0" collapsed="false">
      <c r="A217" s="22"/>
      <c r="B217" s="22"/>
      <c r="C217" s="23" t="str">
        <f aca="false">IF(A217="","",IFERROR(buscarx(A217&amp;B217,DATA!$E$3:$E$10000&amp;DATA!$B$3:$B$10000,DATA!$M$3:$M$10000),"No encontrado"))</f>
        <v/>
      </c>
      <c r="D217" s="24" t="str">
        <f aca="false">IF(A217="","",IFERROR(buscarx(A217&amp;B217,DATA!$E$3:$E$10000&amp;DATA!$B$3:$B$10000,DATA!$W$3:$W$10000),"No encontrado"))</f>
        <v/>
      </c>
      <c r="E217" s="22"/>
      <c r="F217" s="23" t="str">
        <f aca="false">IF(A217="","",IFERROR(buscarx(A217&amp;E217,DATA!$E$3:$E$10000&amp;DATA!$B$3:$B$10000,DATA!$M$3:$M$10000),"Inactivo"))</f>
        <v/>
      </c>
      <c r="G217" s="25" t="str">
        <f aca="false">IF(A217="","",IF(AND(C217&lt;&gt;"No encontrado",F217&lt;&gt;"Inactivo"),C217&amp;" → "&amp;F217,"Sin transición"))</f>
        <v/>
      </c>
      <c r="H217" s="23" t="str">
        <f aca="false">IF(A217="","",IF(D217="GCIA LINEA SERVICIO DIGITALIDAD Y VENTAS","Chats",IF(OR(D217="GERENCIA INBOUND LÍNEAS SERVICIO Y VENTA",D217="GERENCIA INBOUND LINEAS ESPECIALIZADAS"),"Llamadas","Otro")))</f>
        <v/>
      </c>
      <c r="I217" s="23" t="str">
        <f aca="false">IF(A217="","",IF(C217="No encontrado","No","Sí"))</f>
        <v/>
      </c>
      <c r="J217" s="23" t="str">
        <f aca="false">IF(A217="","",IF(F217="Inactivo","No","Sí"))</f>
        <v/>
      </c>
      <c r="K217" s="23" t="str">
        <f aca="false">IF(A217="","",IF(AND(I217="Sí",J217="Sí"),"Sí","No"))</f>
        <v/>
      </c>
    </row>
    <row r="218" customFormat="false" ht="15" hidden="false" customHeight="false" outlineLevel="0" collapsed="false">
      <c r="A218" s="22"/>
      <c r="B218" s="22"/>
      <c r="C218" s="26" t="str">
        <f aca="false">IF(A218="","",IFERROR(buscarx(A218&amp;B218,DATA!$E$3:$E$10000&amp;DATA!$B$3:$B$10000,DATA!$M$3:$M$10000),"No encontrado"))</f>
        <v/>
      </c>
      <c r="D218" s="27" t="str">
        <f aca="false">IF(A218="","",IFERROR(buscarx(A218&amp;B218,DATA!$E$3:$E$10000&amp;DATA!$B$3:$B$10000,DATA!$W$3:$W$10000),"No encontrado"))</f>
        <v/>
      </c>
      <c r="E218" s="22"/>
      <c r="F218" s="26" t="str">
        <f aca="false">IF(A218="","",IFERROR(buscarx(A218&amp;E218,DATA!$E$3:$E$10000&amp;DATA!$B$3:$B$10000,DATA!$M$3:$M$10000),"Inactivo"))</f>
        <v/>
      </c>
      <c r="G218" s="28" t="str">
        <f aca="false">IF(A218="","",IF(AND(C218&lt;&gt;"No encontrado",F218&lt;&gt;"Inactivo"),C218&amp;" → "&amp;F218,"Sin transición"))</f>
        <v/>
      </c>
      <c r="H218" s="26" t="str">
        <f aca="false">IF(A218="","",IF(D218="GCIA LINEA SERVICIO DIGITALIDAD Y VENTAS","Chats",IF(OR(D218="GERENCIA INBOUND LÍNEAS SERVICIO Y VENTA",D218="GERENCIA INBOUND LINEAS ESPECIALIZADAS"),"Llamadas","Otro")))</f>
        <v/>
      </c>
      <c r="I218" s="26" t="str">
        <f aca="false">IF(A218="","",IF(C218="No encontrado","No","Sí"))</f>
        <v/>
      </c>
      <c r="J218" s="26" t="str">
        <f aca="false">IF(A218="","",IF(F218="Inactivo","No","Sí"))</f>
        <v/>
      </c>
      <c r="K218" s="26" t="str">
        <f aca="false">IF(A218="","",IF(AND(I218="Sí",J218="Sí"),"Sí","No"))</f>
        <v/>
      </c>
    </row>
    <row r="219" customFormat="false" ht="15" hidden="false" customHeight="false" outlineLevel="0" collapsed="false">
      <c r="A219" s="22"/>
      <c r="B219" s="22"/>
      <c r="C219" s="23" t="str">
        <f aca="false">IF(A219="","",IFERROR(buscarx(A219&amp;B219,DATA!$E$3:$E$10000&amp;DATA!$B$3:$B$10000,DATA!$M$3:$M$10000),"No encontrado"))</f>
        <v/>
      </c>
      <c r="D219" s="24" t="str">
        <f aca="false">IF(A219="","",IFERROR(buscarx(A219&amp;B219,DATA!$E$3:$E$10000&amp;DATA!$B$3:$B$10000,DATA!$W$3:$W$10000),"No encontrado"))</f>
        <v/>
      </c>
      <c r="E219" s="22"/>
      <c r="F219" s="23" t="str">
        <f aca="false">IF(A219="","",IFERROR(buscarx(A219&amp;E219,DATA!$E$3:$E$10000&amp;DATA!$B$3:$B$10000,DATA!$M$3:$M$10000),"Inactivo"))</f>
        <v/>
      </c>
      <c r="G219" s="25" t="str">
        <f aca="false">IF(A219="","",IF(AND(C219&lt;&gt;"No encontrado",F219&lt;&gt;"Inactivo"),C219&amp;" → "&amp;F219,"Sin transición"))</f>
        <v/>
      </c>
      <c r="H219" s="23" t="str">
        <f aca="false">IF(A219="","",IF(D219="GCIA LINEA SERVICIO DIGITALIDAD Y VENTAS","Chats",IF(OR(D219="GERENCIA INBOUND LÍNEAS SERVICIO Y VENTA",D219="GERENCIA INBOUND LINEAS ESPECIALIZADAS"),"Llamadas","Otro")))</f>
        <v/>
      </c>
      <c r="I219" s="23" t="str">
        <f aca="false">IF(A219="","",IF(C219="No encontrado","No","Sí"))</f>
        <v/>
      </c>
      <c r="J219" s="23" t="str">
        <f aca="false">IF(A219="","",IF(F219="Inactivo","No","Sí"))</f>
        <v/>
      </c>
      <c r="K219" s="23" t="str">
        <f aca="false">IF(A219="","",IF(AND(I219="Sí",J219="Sí"),"Sí","No"))</f>
        <v/>
      </c>
    </row>
    <row r="220" customFormat="false" ht="15" hidden="false" customHeight="false" outlineLevel="0" collapsed="false">
      <c r="A220" s="22"/>
      <c r="B220" s="22"/>
      <c r="C220" s="26" t="str">
        <f aca="false">IF(A220="","",IFERROR(buscarx(A220&amp;B220,DATA!$E$3:$E$10000&amp;DATA!$B$3:$B$10000,DATA!$M$3:$M$10000),"No encontrado"))</f>
        <v/>
      </c>
      <c r="D220" s="27" t="str">
        <f aca="false">IF(A220="","",IFERROR(buscarx(A220&amp;B220,DATA!$E$3:$E$10000&amp;DATA!$B$3:$B$10000,DATA!$W$3:$W$10000),"No encontrado"))</f>
        <v/>
      </c>
      <c r="E220" s="22"/>
      <c r="F220" s="26" t="str">
        <f aca="false">IF(A220="","",IFERROR(buscarx(A220&amp;E220,DATA!$E$3:$E$10000&amp;DATA!$B$3:$B$10000,DATA!$M$3:$M$10000),"Inactivo"))</f>
        <v/>
      </c>
      <c r="G220" s="28" t="str">
        <f aca="false">IF(A220="","",IF(AND(C220&lt;&gt;"No encontrado",F220&lt;&gt;"Inactivo"),C220&amp;" → "&amp;F220,"Sin transición"))</f>
        <v/>
      </c>
      <c r="H220" s="26" t="str">
        <f aca="false">IF(A220="","",IF(D220="GCIA LINEA SERVICIO DIGITALIDAD Y VENTAS","Chats",IF(OR(D220="GERENCIA INBOUND LÍNEAS SERVICIO Y VENTA",D220="GERENCIA INBOUND LINEAS ESPECIALIZADAS"),"Llamadas","Otro")))</f>
        <v/>
      </c>
      <c r="I220" s="26" t="str">
        <f aca="false">IF(A220="","",IF(C220="No encontrado","No","Sí"))</f>
        <v/>
      </c>
      <c r="J220" s="26" t="str">
        <f aca="false">IF(A220="","",IF(F220="Inactivo","No","Sí"))</f>
        <v/>
      </c>
      <c r="K220" s="26" t="str">
        <f aca="false">IF(A220="","",IF(AND(I220="Sí",J220="Sí"),"Sí","No"))</f>
        <v/>
      </c>
    </row>
    <row r="221" customFormat="false" ht="15" hidden="false" customHeight="false" outlineLevel="0" collapsed="false">
      <c r="A221" s="22"/>
      <c r="B221" s="22"/>
      <c r="C221" s="23" t="str">
        <f aca="false">IF(A221="","",IFERROR(buscarx(A221&amp;B221,DATA!$E$3:$E$10000&amp;DATA!$B$3:$B$10000,DATA!$M$3:$M$10000),"No encontrado"))</f>
        <v/>
      </c>
      <c r="D221" s="24" t="str">
        <f aca="false">IF(A221="","",IFERROR(buscarx(A221&amp;B221,DATA!$E$3:$E$10000&amp;DATA!$B$3:$B$10000,DATA!$W$3:$W$10000),"No encontrado"))</f>
        <v/>
      </c>
      <c r="E221" s="22"/>
      <c r="F221" s="23" t="str">
        <f aca="false">IF(A221="","",IFERROR(buscarx(A221&amp;E221,DATA!$E$3:$E$10000&amp;DATA!$B$3:$B$10000,DATA!$M$3:$M$10000),"Inactivo"))</f>
        <v/>
      </c>
      <c r="G221" s="25" t="str">
        <f aca="false">IF(A221="","",IF(AND(C221&lt;&gt;"No encontrado",F221&lt;&gt;"Inactivo"),C221&amp;" → "&amp;F221,"Sin transición"))</f>
        <v/>
      </c>
      <c r="H221" s="23" t="str">
        <f aca="false">IF(A221="","",IF(D221="GCIA LINEA SERVICIO DIGITALIDAD Y VENTAS","Chats",IF(OR(D221="GERENCIA INBOUND LÍNEAS SERVICIO Y VENTA",D221="GERENCIA INBOUND LINEAS ESPECIALIZADAS"),"Llamadas","Otro")))</f>
        <v/>
      </c>
      <c r="I221" s="23" t="str">
        <f aca="false">IF(A221="","",IF(C221="No encontrado","No","Sí"))</f>
        <v/>
      </c>
      <c r="J221" s="23" t="str">
        <f aca="false">IF(A221="","",IF(F221="Inactivo","No","Sí"))</f>
        <v/>
      </c>
      <c r="K221" s="23" t="str">
        <f aca="false">IF(A221="","",IF(AND(I221="Sí",J221="Sí"),"Sí","No"))</f>
        <v/>
      </c>
    </row>
    <row r="222" customFormat="false" ht="15" hidden="false" customHeight="false" outlineLevel="0" collapsed="false">
      <c r="A222" s="22"/>
      <c r="B222" s="22"/>
      <c r="C222" s="26" t="str">
        <f aca="false">IF(A222="","",IFERROR(buscarx(A222&amp;B222,DATA!$E$3:$E$10000&amp;DATA!$B$3:$B$10000,DATA!$M$3:$M$10000),"No encontrado"))</f>
        <v/>
      </c>
      <c r="D222" s="27" t="str">
        <f aca="false">IF(A222="","",IFERROR(buscarx(A222&amp;B222,DATA!$E$3:$E$10000&amp;DATA!$B$3:$B$10000,DATA!$W$3:$W$10000),"No encontrado"))</f>
        <v/>
      </c>
      <c r="E222" s="22"/>
      <c r="F222" s="26" t="str">
        <f aca="false">IF(A222="","",IFERROR(buscarx(A222&amp;E222,DATA!$E$3:$E$10000&amp;DATA!$B$3:$B$10000,DATA!$M$3:$M$10000),"Inactivo"))</f>
        <v/>
      </c>
      <c r="G222" s="28" t="str">
        <f aca="false">IF(A222="","",IF(AND(C222&lt;&gt;"No encontrado",F222&lt;&gt;"Inactivo"),C222&amp;" → "&amp;F222,"Sin transición"))</f>
        <v/>
      </c>
      <c r="H222" s="26" t="str">
        <f aca="false">IF(A222="","",IF(D222="GCIA LINEA SERVICIO DIGITALIDAD Y VENTAS","Chats",IF(OR(D222="GERENCIA INBOUND LÍNEAS SERVICIO Y VENTA",D222="GERENCIA INBOUND LINEAS ESPECIALIZADAS"),"Llamadas","Otro")))</f>
        <v/>
      </c>
      <c r="I222" s="26" t="str">
        <f aca="false">IF(A222="","",IF(C222="No encontrado","No","Sí"))</f>
        <v/>
      </c>
      <c r="J222" s="26" t="str">
        <f aca="false">IF(A222="","",IF(F222="Inactivo","No","Sí"))</f>
        <v/>
      </c>
      <c r="K222" s="26" t="str">
        <f aca="false">IF(A222="","",IF(AND(I222="Sí",J222="Sí"),"Sí","No"))</f>
        <v/>
      </c>
    </row>
    <row r="223" customFormat="false" ht="15" hidden="false" customHeight="false" outlineLevel="0" collapsed="false">
      <c r="A223" s="22"/>
      <c r="B223" s="22"/>
      <c r="C223" s="23" t="str">
        <f aca="false">IF(A223="","",IFERROR(buscarx(A223&amp;B223,DATA!$E$3:$E$10000&amp;DATA!$B$3:$B$10000,DATA!$M$3:$M$10000),"No encontrado"))</f>
        <v/>
      </c>
      <c r="D223" s="24" t="str">
        <f aca="false">IF(A223="","",IFERROR(buscarx(A223&amp;B223,DATA!$E$3:$E$10000&amp;DATA!$B$3:$B$10000,DATA!$W$3:$W$10000),"No encontrado"))</f>
        <v/>
      </c>
      <c r="E223" s="22"/>
      <c r="F223" s="23" t="str">
        <f aca="false">IF(A223="","",IFERROR(buscarx(A223&amp;E223,DATA!$E$3:$E$10000&amp;DATA!$B$3:$B$10000,DATA!$M$3:$M$10000),"Inactivo"))</f>
        <v/>
      </c>
      <c r="G223" s="25" t="str">
        <f aca="false">IF(A223="","",IF(AND(C223&lt;&gt;"No encontrado",F223&lt;&gt;"Inactivo"),C223&amp;" → "&amp;F223,"Sin transición"))</f>
        <v/>
      </c>
      <c r="H223" s="23" t="str">
        <f aca="false">IF(A223="","",IF(D223="GCIA LINEA SERVICIO DIGITALIDAD Y VENTAS","Chats",IF(OR(D223="GERENCIA INBOUND LÍNEAS SERVICIO Y VENTA",D223="GERENCIA INBOUND LINEAS ESPECIALIZADAS"),"Llamadas","Otro")))</f>
        <v/>
      </c>
      <c r="I223" s="23" t="str">
        <f aca="false">IF(A223="","",IF(C223="No encontrado","No","Sí"))</f>
        <v/>
      </c>
      <c r="J223" s="23" t="str">
        <f aca="false">IF(A223="","",IF(F223="Inactivo","No","Sí"))</f>
        <v/>
      </c>
      <c r="K223" s="23" t="str">
        <f aca="false">IF(A223="","",IF(AND(I223="Sí",J223="Sí"),"Sí","No"))</f>
        <v/>
      </c>
    </row>
    <row r="224" customFormat="false" ht="15" hidden="false" customHeight="false" outlineLevel="0" collapsed="false">
      <c r="A224" s="22"/>
      <c r="B224" s="22"/>
      <c r="C224" s="26" t="str">
        <f aca="false">IF(A224="","",IFERROR(buscarx(A224&amp;B224,DATA!$E$3:$E$10000&amp;DATA!$B$3:$B$10000,DATA!$M$3:$M$10000),"No encontrado"))</f>
        <v/>
      </c>
      <c r="D224" s="27" t="str">
        <f aca="false">IF(A224="","",IFERROR(buscarx(A224&amp;B224,DATA!$E$3:$E$10000&amp;DATA!$B$3:$B$10000,DATA!$W$3:$W$10000),"No encontrado"))</f>
        <v/>
      </c>
      <c r="E224" s="22"/>
      <c r="F224" s="26" t="str">
        <f aca="false">IF(A224="","",IFERROR(buscarx(A224&amp;E224,DATA!$E$3:$E$10000&amp;DATA!$B$3:$B$10000,DATA!$M$3:$M$10000),"Inactivo"))</f>
        <v/>
      </c>
      <c r="G224" s="28" t="str">
        <f aca="false">IF(A224="","",IF(AND(C224&lt;&gt;"No encontrado",F224&lt;&gt;"Inactivo"),C224&amp;" → "&amp;F224,"Sin transición"))</f>
        <v/>
      </c>
      <c r="H224" s="26" t="str">
        <f aca="false">IF(A224="","",IF(D224="GCIA LINEA SERVICIO DIGITALIDAD Y VENTAS","Chats",IF(OR(D224="GERENCIA INBOUND LÍNEAS SERVICIO Y VENTA",D224="GERENCIA INBOUND LINEAS ESPECIALIZADAS"),"Llamadas","Otro")))</f>
        <v/>
      </c>
      <c r="I224" s="26" t="str">
        <f aca="false">IF(A224="","",IF(C224="No encontrado","No","Sí"))</f>
        <v/>
      </c>
      <c r="J224" s="26" t="str">
        <f aca="false">IF(A224="","",IF(F224="Inactivo","No","Sí"))</f>
        <v/>
      </c>
      <c r="K224" s="26" t="str">
        <f aca="false">IF(A224="","",IF(AND(I224="Sí",J224="Sí"),"Sí","No"))</f>
        <v/>
      </c>
    </row>
    <row r="225" customFormat="false" ht="15" hidden="false" customHeight="false" outlineLevel="0" collapsed="false">
      <c r="A225" s="22"/>
      <c r="B225" s="22"/>
      <c r="C225" s="23" t="str">
        <f aca="false">IF(A225="","",IFERROR(buscarx(A225&amp;B225,DATA!$E$3:$E$10000&amp;DATA!$B$3:$B$10000,DATA!$M$3:$M$10000),"No encontrado"))</f>
        <v/>
      </c>
      <c r="D225" s="24" t="str">
        <f aca="false">IF(A225="","",IFERROR(buscarx(A225&amp;B225,DATA!$E$3:$E$10000&amp;DATA!$B$3:$B$10000,DATA!$W$3:$W$10000),"No encontrado"))</f>
        <v/>
      </c>
      <c r="E225" s="22"/>
      <c r="F225" s="23" t="str">
        <f aca="false">IF(A225="","",IFERROR(buscarx(A225&amp;E225,DATA!$E$3:$E$10000&amp;DATA!$B$3:$B$10000,DATA!$M$3:$M$10000),"Inactivo"))</f>
        <v/>
      </c>
      <c r="G225" s="25" t="str">
        <f aca="false">IF(A225="","",IF(AND(C225&lt;&gt;"No encontrado",F225&lt;&gt;"Inactivo"),C225&amp;" → "&amp;F225,"Sin transición"))</f>
        <v/>
      </c>
      <c r="H225" s="23" t="str">
        <f aca="false">IF(A225="","",IF(D225="GCIA LINEA SERVICIO DIGITALIDAD Y VENTAS","Chats",IF(OR(D225="GERENCIA INBOUND LÍNEAS SERVICIO Y VENTA",D225="GERENCIA INBOUND LINEAS ESPECIALIZADAS"),"Llamadas","Otro")))</f>
        <v/>
      </c>
      <c r="I225" s="23" t="str">
        <f aca="false">IF(A225="","",IF(C225="No encontrado","No","Sí"))</f>
        <v/>
      </c>
      <c r="J225" s="23" t="str">
        <f aca="false">IF(A225="","",IF(F225="Inactivo","No","Sí"))</f>
        <v/>
      </c>
      <c r="K225" s="23" t="str">
        <f aca="false">IF(A225="","",IF(AND(I225="Sí",J225="Sí"),"Sí","No"))</f>
        <v/>
      </c>
    </row>
    <row r="226" customFormat="false" ht="15" hidden="false" customHeight="false" outlineLevel="0" collapsed="false">
      <c r="A226" s="22"/>
      <c r="B226" s="22"/>
      <c r="C226" s="26" t="str">
        <f aca="false">IF(A226="","",IFERROR(buscarx(A226&amp;B226,DATA!$E$3:$E$10000&amp;DATA!$B$3:$B$10000,DATA!$M$3:$M$10000),"No encontrado"))</f>
        <v/>
      </c>
      <c r="D226" s="27" t="str">
        <f aca="false">IF(A226="","",IFERROR(buscarx(A226&amp;B226,DATA!$E$3:$E$10000&amp;DATA!$B$3:$B$10000,DATA!$W$3:$W$10000),"No encontrado"))</f>
        <v/>
      </c>
      <c r="E226" s="22"/>
      <c r="F226" s="26" t="str">
        <f aca="false">IF(A226="","",IFERROR(buscarx(A226&amp;E226,DATA!$E$3:$E$10000&amp;DATA!$B$3:$B$10000,DATA!$M$3:$M$10000),"Inactivo"))</f>
        <v/>
      </c>
      <c r="G226" s="28" t="str">
        <f aca="false">IF(A226="","",IF(AND(C226&lt;&gt;"No encontrado",F226&lt;&gt;"Inactivo"),C226&amp;" → "&amp;F226,"Sin transición"))</f>
        <v/>
      </c>
      <c r="H226" s="26" t="str">
        <f aca="false">IF(A226="","",IF(D226="GCIA LINEA SERVICIO DIGITALIDAD Y VENTAS","Chats",IF(OR(D226="GERENCIA INBOUND LÍNEAS SERVICIO Y VENTA",D226="GERENCIA INBOUND LINEAS ESPECIALIZADAS"),"Llamadas","Otro")))</f>
        <v/>
      </c>
      <c r="I226" s="26" t="str">
        <f aca="false">IF(A226="","",IF(C226="No encontrado","No","Sí"))</f>
        <v/>
      </c>
      <c r="J226" s="26" t="str">
        <f aca="false">IF(A226="","",IF(F226="Inactivo","No","Sí"))</f>
        <v/>
      </c>
      <c r="K226" s="26" t="str">
        <f aca="false">IF(A226="","",IF(AND(I226="Sí",J226="Sí"),"Sí","No"))</f>
        <v/>
      </c>
    </row>
    <row r="227" customFormat="false" ht="15" hidden="false" customHeight="false" outlineLevel="0" collapsed="false">
      <c r="A227" s="22"/>
      <c r="B227" s="22"/>
      <c r="C227" s="23" t="str">
        <f aca="false">IF(A227="","",IFERROR(buscarx(A227&amp;B227,DATA!$E$3:$E$10000&amp;DATA!$B$3:$B$10000,DATA!$M$3:$M$10000),"No encontrado"))</f>
        <v/>
      </c>
      <c r="D227" s="24" t="str">
        <f aca="false">IF(A227="","",IFERROR(buscarx(A227&amp;B227,DATA!$E$3:$E$10000&amp;DATA!$B$3:$B$10000,DATA!$W$3:$W$10000),"No encontrado"))</f>
        <v/>
      </c>
      <c r="E227" s="22"/>
      <c r="F227" s="23" t="str">
        <f aca="false">IF(A227="","",IFERROR(buscarx(A227&amp;E227,DATA!$E$3:$E$10000&amp;DATA!$B$3:$B$10000,DATA!$M$3:$M$10000),"Inactivo"))</f>
        <v/>
      </c>
      <c r="G227" s="25" t="str">
        <f aca="false">IF(A227="","",IF(AND(C227&lt;&gt;"No encontrado",F227&lt;&gt;"Inactivo"),C227&amp;" → "&amp;F227,"Sin transición"))</f>
        <v/>
      </c>
      <c r="H227" s="23" t="str">
        <f aca="false">IF(A227="","",IF(D227="GCIA LINEA SERVICIO DIGITALIDAD Y VENTAS","Chats",IF(OR(D227="GERENCIA INBOUND LÍNEAS SERVICIO Y VENTA",D227="GERENCIA INBOUND LINEAS ESPECIALIZADAS"),"Llamadas","Otro")))</f>
        <v/>
      </c>
      <c r="I227" s="23" t="str">
        <f aca="false">IF(A227="","",IF(C227="No encontrado","No","Sí"))</f>
        <v/>
      </c>
      <c r="J227" s="23" t="str">
        <f aca="false">IF(A227="","",IF(F227="Inactivo","No","Sí"))</f>
        <v/>
      </c>
      <c r="K227" s="23" t="str">
        <f aca="false">IF(A227="","",IF(AND(I227="Sí",J227="Sí"),"Sí","No"))</f>
        <v/>
      </c>
    </row>
    <row r="228" customFormat="false" ht="15" hidden="false" customHeight="false" outlineLevel="0" collapsed="false">
      <c r="A228" s="22"/>
      <c r="B228" s="22"/>
      <c r="C228" s="26" t="str">
        <f aca="false">IF(A228="","",IFERROR(buscarx(A228&amp;B228,DATA!$E$3:$E$10000&amp;DATA!$B$3:$B$10000,DATA!$M$3:$M$10000),"No encontrado"))</f>
        <v/>
      </c>
      <c r="D228" s="27" t="str">
        <f aca="false">IF(A228="","",IFERROR(buscarx(A228&amp;B228,DATA!$E$3:$E$10000&amp;DATA!$B$3:$B$10000,DATA!$W$3:$W$10000),"No encontrado"))</f>
        <v/>
      </c>
      <c r="E228" s="22"/>
      <c r="F228" s="26" t="str">
        <f aca="false">IF(A228="","",IFERROR(buscarx(A228&amp;E228,DATA!$E$3:$E$10000&amp;DATA!$B$3:$B$10000,DATA!$M$3:$M$10000),"Inactivo"))</f>
        <v/>
      </c>
      <c r="G228" s="28" t="str">
        <f aca="false">IF(A228="","",IF(AND(C228&lt;&gt;"No encontrado",F228&lt;&gt;"Inactivo"),C228&amp;" → "&amp;F228,"Sin transición"))</f>
        <v/>
      </c>
      <c r="H228" s="26" t="str">
        <f aca="false">IF(A228="","",IF(D228="GCIA LINEA SERVICIO DIGITALIDAD Y VENTAS","Chats",IF(OR(D228="GERENCIA INBOUND LÍNEAS SERVICIO Y VENTA",D228="GERENCIA INBOUND LINEAS ESPECIALIZADAS"),"Llamadas","Otro")))</f>
        <v/>
      </c>
      <c r="I228" s="26" t="str">
        <f aca="false">IF(A228="","",IF(C228="No encontrado","No","Sí"))</f>
        <v/>
      </c>
      <c r="J228" s="26" t="str">
        <f aca="false">IF(A228="","",IF(F228="Inactivo","No","Sí"))</f>
        <v/>
      </c>
      <c r="K228" s="26" t="str">
        <f aca="false">IF(A228="","",IF(AND(I228="Sí",J228="Sí"),"Sí","No"))</f>
        <v/>
      </c>
    </row>
    <row r="229" customFormat="false" ht="15" hidden="false" customHeight="false" outlineLevel="0" collapsed="false">
      <c r="A229" s="22"/>
      <c r="B229" s="22"/>
      <c r="C229" s="23" t="str">
        <f aca="false">IF(A229="","",IFERROR(buscarx(A229&amp;B229,DATA!$E$3:$E$10000&amp;DATA!$B$3:$B$10000,DATA!$M$3:$M$10000),"No encontrado"))</f>
        <v/>
      </c>
      <c r="D229" s="24" t="str">
        <f aca="false">IF(A229="","",IFERROR(buscarx(A229&amp;B229,DATA!$E$3:$E$10000&amp;DATA!$B$3:$B$10000,DATA!$W$3:$W$10000),"No encontrado"))</f>
        <v/>
      </c>
      <c r="E229" s="22"/>
      <c r="F229" s="23" t="str">
        <f aca="false">IF(A229="","",IFERROR(buscarx(A229&amp;E229,DATA!$E$3:$E$10000&amp;DATA!$B$3:$B$10000,DATA!$M$3:$M$10000),"Inactivo"))</f>
        <v/>
      </c>
      <c r="G229" s="25" t="str">
        <f aca="false">IF(A229="","",IF(AND(C229&lt;&gt;"No encontrado",F229&lt;&gt;"Inactivo"),C229&amp;" → "&amp;F229,"Sin transición"))</f>
        <v/>
      </c>
      <c r="H229" s="23" t="str">
        <f aca="false">IF(A229="","",IF(D229="GCIA LINEA SERVICIO DIGITALIDAD Y VENTAS","Chats",IF(OR(D229="GERENCIA INBOUND LÍNEAS SERVICIO Y VENTA",D229="GERENCIA INBOUND LINEAS ESPECIALIZADAS"),"Llamadas","Otro")))</f>
        <v/>
      </c>
      <c r="I229" s="23" t="str">
        <f aca="false">IF(A229="","",IF(C229="No encontrado","No","Sí"))</f>
        <v/>
      </c>
      <c r="J229" s="23" t="str">
        <f aca="false">IF(A229="","",IF(F229="Inactivo","No","Sí"))</f>
        <v/>
      </c>
      <c r="K229" s="23" t="str">
        <f aca="false">IF(A229="","",IF(AND(I229="Sí",J229="Sí"),"Sí","No"))</f>
        <v/>
      </c>
    </row>
    <row r="230" customFormat="false" ht="15" hidden="false" customHeight="false" outlineLevel="0" collapsed="false">
      <c r="A230" s="22"/>
      <c r="B230" s="22"/>
      <c r="C230" s="26" t="str">
        <f aca="false">IF(A230="","",IFERROR(buscarx(A230&amp;B230,DATA!$E$3:$E$10000&amp;DATA!$B$3:$B$10000,DATA!$M$3:$M$10000),"No encontrado"))</f>
        <v/>
      </c>
      <c r="D230" s="27" t="str">
        <f aca="false">IF(A230="","",IFERROR(buscarx(A230&amp;B230,DATA!$E$3:$E$10000&amp;DATA!$B$3:$B$10000,DATA!$W$3:$W$10000),"No encontrado"))</f>
        <v/>
      </c>
      <c r="E230" s="22"/>
      <c r="F230" s="26" t="str">
        <f aca="false">IF(A230="","",IFERROR(buscarx(A230&amp;E230,DATA!$E$3:$E$10000&amp;DATA!$B$3:$B$10000,DATA!$M$3:$M$10000),"Inactivo"))</f>
        <v/>
      </c>
      <c r="G230" s="28" t="str">
        <f aca="false">IF(A230="","",IF(AND(C230&lt;&gt;"No encontrado",F230&lt;&gt;"Inactivo"),C230&amp;" → "&amp;F230,"Sin transición"))</f>
        <v/>
      </c>
      <c r="H230" s="26" t="str">
        <f aca="false">IF(A230="","",IF(D230="GCIA LINEA SERVICIO DIGITALIDAD Y VENTAS","Chats",IF(OR(D230="GERENCIA INBOUND LÍNEAS SERVICIO Y VENTA",D230="GERENCIA INBOUND LINEAS ESPECIALIZADAS"),"Llamadas","Otro")))</f>
        <v/>
      </c>
      <c r="I230" s="26" t="str">
        <f aca="false">IF(A230="","",IF(C230="No encontrado","No","Sí"))</f>
        <v/>
      </c>
      <c r="J230" s="26" t="str">
        <f aca="false">IF(A230="","",IF(F230="Inactivo","No","Sí"))</f>
        <v/>
      </c>
      <c r="K230" s="26" t="str">
        <f aca="false">IF(A230="","",IF(AND(I230="Sí",J230="Sí"),"Sí","No"))</f>
        <v/>
      </c>
    </row>
    <row r="231" customFormat="false" ht="15" hidden="false" customHeight="false" outlineLevel="0" collapsed="false">
      <c r="A231" s="22"/>
      <c r="B231" s="22"/>
      <c r="C231" s="23" t="str">
        <f aca="false">IF(A231="","",IFERROR(buscarx(A231&amp;B231,DATA!$E$3:$E$10000&amp;DATA!$B$3:$B$10000,DATA!$M$3:$M$10000),"No encontrado"))</f>
        <v/>
      </c>
      <c r="D231" s="24" t="str">
        <f aca="false">IF(A231="","",IFERROR(buscarx(A231&amp;B231,DATA!$E$3:$E$10000&amp;DATA!$B$3:$B$10000,DATA!$W$3:$W$10000),"No encontrado"))</f>
        <v/>
      </c>
      <c r="E231" s="22"/>
      <c r="F231" s="23" t="str">
        <f aca="false">IF(A231="","",IFERROR(buscarx(A231&amp;E231,DATA!$E$3:$E$10000&amp;DATA!$B$3:$B$10000,DATA!$M$3:$M$10000),"Inactivo"))</f>
        <v/>
      </c>
      <c r="G231" s="25" t="str">
        <f aca="false">IF(A231="","",IF(AND(C231&lt;&gt;"No encontrado",F231&lt;&gt;"Inactivo"),C231&amp;" → "&amp;F231,"Sin transición"))</f>
        <v/>
      </c>
      <c r="H231" s="23" t="str">
        <f aca="false">IF(A231="","",IF(D231="GCIA LINEA SERVICIO DIGITALIDAD Y VENTAS","Chats",IF(OR(D231="GERENCIA INBOUND LÍNEAS SERVICIO Y VENTA",D231="GERENCIA INBOUND LINEAS ESPECIALIZADAS"),"Llamadas","Otro")))</f>
        <v/>
      </c>
      <c r="I231" s="23" t="str">
        <f aca="false">IF(A231="","",IF(C231="No encontrado","No","Sí"))</f>
        <v/>
      </c>
      <c r="J231" s="23" t="str">
        <f aca="false">IF(A231="","",IF(F231="Inactivo","No","Sí"))</f>
        <v/>
      </c>
      <c r="K231" s="23" t="str">
        <f aca="false">IF(A231="","",IF(AND(I231="Sí",J231="Sí"),"Sí","No"))</f>
        <v/>
      </c>
    </row>
    <row r="232" customFormat="false" ht="15" hidden="false" customHeight="false" outlineLevel="0" collapsed="false">
      <c r="A232" s="22"/>
      <c r="B232" s="22"/>
      <c r="C232" s="26" t="str">
        <f aca="false">IF(A232="","",IFERROR(buscarx(A232&amp;B232,DATA!$E$3:$E$10000&amp;DATA!$B$3:$B$10000,DATA!$M$3:$M$10000),"No encontrado"))</f>
        <v/>
      </c>
      <c r="D232" s="27" t="str">
        <f aca="false">IF(A232="","",IFERROR(buscarx(A232&amp;B232,DATA!$E$3:$E$10000&amp;DATA!$B$3:$B$10000,DATA!$W$3:$W$10000),"No encontrado"))</f>
        <v/>
      </c>
      <c r="E232" s="22"/>
      <c r="F232" s="26" t="str">
        <f aca="false">IF(A232="","",IFERROR(buscarx(A232&amp;E232,DATA!$E$3:$E$10000&amp;DATA!$B$3:$B$10000,DATA!$M$3:$M$10000),"Inactivo"))</f>
        <v/>
      </c>
      <c r="G232" s="28" t="str">
        <f aca="false">IF(A232="","",IF(AND(C232&lt;&gt;"No encontrado",F232&lt;&gt;"Inactivo"),C232&amp;" → "&amp;F232,"Sin transición"))</f>
        <v/>
      </c>
      <c r="H232" s="26" t="str">
        <f aca="false">IF(A232="","",IF(D232="GCIA LINEA SERVICIO DIGITALIDAD Y VENTAS","Chats",IF(OR(D232="GERENCIA INBOUND LÍNEAS SERVICIO Y VENTA",D232="GERENCIA INBOUND LINEAS ESPECIALIZADAS"),"Llamadas","Otro")))</f>
        <v/>
      </c>
      <c r="I232" s="26" t="str">
        <f aca="false">IF(A232="","",IF(C232="No encontrado","No","Sí"))</f>
        <v/>
      </c>
      <c r="J232" s="26" t="str">
        <f aca="false">IF(A232="","",IF(F232="Inactivo","No","Sí"))</f>
        <v/>
      </c>
      <c r="K232" s="26" t="str">
        <f aca="false">IF(A232="","",IF(AND(I232="Sí",J232="Sí"),"Sí","No"))</f>
        <v/>
      </c>
    </row>
    <row r="233" customFormat="false" ht="15" hidden="false" customHeight="false" outlineLevel="0" collapsed="false">
      <c r="A233" s="22"/>
      <c r="B233" s="22"/>
      <c r="C233" s="23" t="str">
        <f aca="false">IF(A233="","",IFERROR(buscarx(A233&amp;B233,DATA!$E$3:$E$10000&amp;DATA!$B$3:$B$10000,DATA!$M$3:$M$10000),"No encontrado"))</f>
        <v/>
      </c>
      <c r="D233" s="24" t="str">
        <f aca="false">IF(A233="","",IFERROR(buscarx(A233&amp;B233,DATA!$E$3:$E$10000&amp;DATA!$B$3:$B$10000,DATA!$W$3:$W$10000),"No encontrado"))</f>
        <v/>
      </c>
      <c r="E233" s="22"/>
      <c r="F233" s="23" t="str">
        <f aca="false">IF(A233="","",IFERROR(buscarx(A233&amp;E233,DATA!$E$3:$E$10000&amp;DATA!$B$3:$B$10000,DATA!$M$3:$M$10000),"Inactivo"))</f>
        <v/>
      </c>
      <c r="G233" s="25" t="str">
        <f aca="false">IF(A233="","",IF(AND(C233&lt;&gt;"No encontrado",F233&lt;&gt;"Inactivo"),C233&amp;" → "&amp;F233,"Sin transición"))</f>
        <v/>
      </c>
      <c r="H233" s="23" t="str">
        <f aca="false">IF(A233="","",IF(D233="GCIA LINEA SERVICIO DIGITALIDAD Y VENTAS","Chats",IF(OR(D233="GERENCIA INBOUND LÍNEAS SERVICIO Y VENTA",D233="GERENCIA INBOUND LINEAS ESPECIALIZADAS"),"Llamadas","Otro")))</f>
        <v/>
      </c>
      <c r="I233" s="23" t="str">
        <f aca="false">IF(A233="","",IF(C233="No encontrado","No","Sí"))</f>
        <v/>
      </c>
      <c r="J233" s="23" t="str">
        <f aca="false">IF(A233="","",IF(F233="Inactivo","No","Sí"))</f>
        <v/>
      </c>
      <c r="K233" s="23" t="str">
        <f aca="false">IF(A233="","",IF(AND(I233="Sí",J233="Sí"),"Sí","No"))</f>
        <v/>
      </c>
    </row>
    <row r="234" customFormat="false" ht="15" hidden="false" customHeight="false" outlineLevel="0" collapsed="false">
      <c r="A234" s="22"/>
      <c r="B234" s="22"/>
      <c r="C234" s="26" t="str">
        <f aca="false">IF(A234="","",IFERROR(buscarx(A234&amp;B234,DATA!$E$3:$E$10000&amp;DATA!$B$3:$B$10000,DATA!$M$3:$M$10000),"No encontrado"))</f>
        <v/>
      </c>
      <c r="D234" s="27" t="str">
        <f aca="false">IF(A234="","",IFERROR(buscarx(A234&amp;B234,DATA!$E$3:$E$10000&amp;DATA!$B$3:$B$10000,DATA!$W$3:$W$10000),"No encontrado"))</f>
        <v/>
      </c>
      <c r="E234" s="22"/>
      <c r="F234" s="26" t="str">
        <f aca="false">IF(A234="","",IFERROR(buscarx(A234&amp;E234,DATA!$E$3:$E$10000&amp;DATA!$B$3:$B$10000,DATA!$M$3:$M$10000),"Inactivo"))</f>
        <v/>
      </c>
      <c r="G234" s="28" t="str">
        <f aca="false">IF(A234="","",IF(AND(C234&lt;&gt;"No encontrado",F234&lt;&gt;"Inactivo"),C234&amp;" → "&amp;F234,"Sin transición"))</f>
        <v/>
      </c>
      <c r="H234" s="26" t="str">
        <f aca="false">IF(A234="","",IF(D234="GCIA LINEA SERVICIO DIGITALIDAD Y VENTAS","Chats",IF(OR(D234="GERENCIA INBOUND LÍNEAS SERVICIO Y VENTA",D234="GERENCIA INBOUND LINEAS ESPECIALIZADAS"),"Llamadas","Otro")))</f>
        <v/>
      </c>
      <c r="I234" s="26" t="str">
        <f aca="false">IF(A234="","",IF(C234="No encontrado","No","Sí"))</f>
        <v/>
      </c>
      <c r="J234" s="26" t="str">
        <f aca="false">IF(A234="","",IF(F234="Inactivo","No","Sí"))</f>
        <v/>
      </c>
      <c r="K234" s="26" t="str">
        <f aca="false">IF(A234="","",IF(AND(I234="Sí",J234="Sí"),"Sí","No"))</f>
        <v/>
      </c>
    </row>
    <row r="235" customFormat="false" ht="15" hidden="false" customHeight="false" outlineLevel="0" collapsed="false">
      <c r="A235" s="22"/>
      <c r="B235" s="22"/>
      <c r="C235" s="23" t="str">
        <f aca="false">IF(A235="","",IFERROR(buscarx(A235&amp;B235,DATA!$E$3:$E$10000&amp;DATA!$B$3:$B$10000,DATA!$M$3:$M$10000),"No encontrado"))</f>
        <v/>
      </c>
      <c r="D235" s="24" t="str">
        <f aca="false">IF(A235="","",IFERROR(buscarx(A235&amp;B235,DATA!$E$3:$E$10000&amp;DATA!$B$3:$B$10000,DATA!$W$3:$W$10000),"No encontrado"))</f>
        <v/>
      </c>
      <c r="E235" s="22"/>
      <c r="F235" s="23" t="str">
        <f aca="false">IF(A235="","",IFERROR(buscarx(A235&amp;E235,DATA!$E$3:$E$10000&amp;DATA!$B$3:$B$10000,DATA!$M$3:$M$10000),"Inactivo"))</f>
        <v/>
      </c>
      <c r="G235" s="25" t="str">
        <f aca="false">IF(A235="","",IF(AND(C235&lt;&gt;"No encontrado",F235&lt;&gt;"Inactivo"),C235&amp;" → "&amp;F235,"Sin transición"))</f>
        <v/>
      </c>
      <c r="H235" s="23" t="str">
        <f aca="false">IF(A235="","",IF(D235="GCIA LINEA SERVICIO DIGITALIDAD Y VENTAS","Chats",IF(OR(D235="GERENCIA INBOUND LÍNEAS SERVICIO Y VENTA",D235="GERENCIA INBOUND LINEAS ESPECIALIZADAS"),"Llamadas","Otro")))</f>
        <v/>
      </c>
      <c r="I235" s="23" t="str">
        <f aca="false">IF(A235="","",IF(C235="No encontrado","No","Sí"))</f>
        <v/>
      </c>
      <c r="J235" s="23" t="str">
        <f aca="false">IF(A235="","",IF(F235="Inactivo","No","Sí"))</f>
        <v/>
      </c>
      <c r="K235" s="23" t="str">
        <f aca="false">IF(A235="","",IF(AND(I235="Sí",J235="Sí"),"Sí","No"))</f>
        <v/>
      </c>
    </row>
    <row r="236" customFormat="false" ht="15" hidden="false" customHeight="false" outlineLevel="0" collapsed="false">
      <c r="A236" s="22"/>
      <c r="B236" s="22"/>
      <c r="C236" s="26" t="str">
        <f aca="false">IF(A236="","",IFERROR(buscarx(A236&amp;B236,DATA!$E$3:$E$10000&amp;DATA!$B$3:$B$10000,DATA!$M$3:$M$10000),"No encontrado"))</f>
        <v/>
      </c>
      <c r="D236" s="27" t="str">
        <f aca="false">IF(A236="","",IFERROR(buscarx(A236&amp;B236,DATA!$E$3:$E$10000&amp;DATA!$B$3:$B$10000,DATA!$W$3:$W$10000),"No encontrado"))</f>
        <v/>
      </c>
      <c r="E236" s="22"/>
      <c r="F236" s="26" t="str">
        <f aca="false">IF(A236="","",IFERROR(buscarx(A236&amp;E236,DATA!$E$3:$E$10000&amp;DATA!$B$3:$B$10000,DATA!$M$3:$M$10000),"Inactivo"))</f>
        <v/>
      </c>
      <c r="G236" s="28" t="str">
        <f aca="false">IF(A236="","",IF(AND(C236&lt;&gt;"No encontrado",F236&lt;&gt;"Inactivo"),C236&amp;" → "&amp;F236,"Sin transición"))</f>
        <v/>
      </c>
      <c r="H236" s="26" t="str">
        <f aca="false">IF(A236="","",IF(D236="GCIA LINEA SERVICIO DIGITALIDAD Y VENTAS","Chats",IF(OR(D236="GERENCIA INBOUND LÍNEAS SERVICIO Y VENTA",D236="GERENCIA INBOUND LINEAS ESPECIALIZADAS"),"Llamadas","Otro")))</f>
        <v/>
      </c>
      <c r="I236" s="26" t="str">
        <f aca="false">IF(A236="","",IF(C236="No encontrado","No","Sí"))</f>
        <v/>
      </c>
      <c r="J236" s="26" t="str">
        <f aca="false">IF(A236="","",IF(F236="Inactivo","No","Sí"))</f>
        <v/>
      </c>
      <c r="K236" s="26" t="str">
        <f aca="false">IF(A236="","",IF(AND(I236="Sí",J236="Sí"),"Sí","No"))</f>
        <v/>
      </c>
    </row>
    <row r="237" customFormat="false" ht="15" hidden="false" customHeight="false" outlineLevel="0" collapsed="false">
      <c r="A237" s="22"/>
      <c r="B237" s="22"/>
      <c r="C237" s="23" t="str">
        <f aca="false">IF(A237="","",IFERROR(buscarx(A237&amp;B237,DATA!$E$3:$E$10000&amp;DATA!$B$3:$B$10000,DATA!$M$3:$M$10000),"No encontrado"))</f>
        <v/>
      </c>
      <c r="D237" s="24" t="str">
        <f aca="false">IF(A237="","",IFERROR(buscarx(A237&amp;B237,DATA!$E$3:$E$10000&amp;DATA!$B$3:$B$10000,DATA!$W$3:$W$10000),"No encontrado"))</f>
        <v/>
      </c>
      <c r="E237" s="22"/>
      <c r="F237" s="23" t="str">
        <f aca="false">IF(A237="","",IFERROR(buscarx(A237&amp;E237,DATA!$E$3:$E$10000&amp;DATA!$B$3:$B$10000,DATA!$M$3:$M$10000),"Inactivo"))</f>
        <v/>
      </c>
      <c r="G237" s="25" t="str">
        <f aca="false">IF(A237="","",IF(AND(C237&lt;&gt;"No encontrado",F237&lt;&gt;"Inactivo"),C237&amp;" → "&amp;F237,"Sin transición"))</f>
        <v/>
      </c>
      <c r="H237" s="23" t="str">
        <f aca="false">IF(A237="","",IF(D237="GCIA LINEA SERVICIO DIGITALIDAD Y VENTAS","Chats",IF(OR(D237="GERENCIA INBOUND LÍNEAS SERVICIO Y VENTA",D237="GERENCIA INBOUND LINEAS ESPECIALIZADAS"),"Llamadas","Otro")))</f>
        <v/>
      </c>
      <c r="I237" s="23" t="str">
        <f aca="false">IF(A237="","",IF(C237="No encontrado","No","Sí"))</f>
        <v/>
      </c>
      <c r="J237" s="23" t="str">
        <f aca="false">IF(A237="","",IF(F237="Inactivo","No","Sí"))</f>
        <v/>
      </c>
      <c r="K237" s="23" t="str">
        <f aca="false">IF(A237="","",IF(AND(I237="Sí",J237="Sí"),"Sí","No"))</f>
        <v/>
      </c>
    </row>
    <row r="238" customFormat="false" ht="15" hidden="false" customHeight="false" outlineLevel="0" collapsed="false">
      <c r="A238" s="22"/>
      <c r="B238" s="22"/>
      <c r="C238" s="26" t="str">
        <f aca="false">IF(A238="","",IFERROR(buscarx(A238&amp;B238,DATA!$E$3:$E$10000&amp;DATA!$B$3:$B$10000,DATA!$M$3:$M$10000),"No encontrado"))</f>
        <v/>
      </c>
      <c r="D238" s="27" t="str">
        <f aca="false">IF(A238="","",IFERROR(buscarx(A238&amp;B238,DATA!$E$3:$E$10000&amp;DATA!$B$3:$B$10000,DATA!$W$3:$W$10000),"No encontrado"))</f>
        <v/>
      </c>
      <c r="E238" s="22"/>
      <c r="F238" s="26" t="str">
        <f aca="false">IF(A238="","",IFERROR(buscarx(A238&amp;E238,DATA!$E$3:$E$10000&amp;DATA!$B$3:$B$10000,DATA!$M$3:$M$10000),"Inactivo"))</f>
        <v/>
      </c>
      <c r="G238" s="28" t="str">
        <f aca="false">IF(A238="","",IF(AND(C238&lt;&gt;"No encontrado",F238&lt;&gt;"Inactivo"),C238&amp;" → "&amp;F238,"Sin transición"))</f>
        <v/>
      </c>
      <c r="H238" s="26" t="str">
        <f aca="false">IF(A238="","",IF(D238="GCIA LINEA SERVICIO DIGITALIDAD Y VENTAS","Chats",IF(OR(D238="GERENCIA INBOUND LÍNEAS SERVICIO Y VENTA",D238="GERENCIA INBOUND LINEAS ESPECIALIZADAS"),"Llamadas","Otro")))</f>
        <v/>
      </c>
      <c r="I238" s="26" t="str">
        <f aca="false">IF(A238="","",IF(C238="No encontrado","No","Sí"))</f>
        <v/>
      </c>
      <c r="J238" s="26" t="str">
        <f aca="false">IF(A238="","",IF(F238="Inactivo","No","Sí"))</f>
        <v/>
      </c>
      <c r="K238" s="26" t="str">
        <f aca="false">IF(A238="","",IF(AND(I238="Sí",J238="Sí"),"Sí","No"))</f>
        <v/>
      </c>
    </row>
    <row r="239" customFormat="false" ht="15" hidden="false" customHeight="false" outlineLevel="0" collapsed="false">
      <c r="A239" s="22"/>
      <c r="B239" s="22"/>
      <c r="C239" s="23" t="str">
        <f aca="false">IF(A239="","",IFERROR(buscarx(A239&amp;B239,DATA!$E$3:$E$10000&amp;DATA!$B$3:$B$10000,DATA!$M$3:$M$10000),"No encontrado"))</f>
        <v/>
      </c>
      <c r="D239" s="24" t="str">
        <f aca="false">IF(A239="","",IFERROR(buscarx(A239&amp;B239,DATA!$E$3:$E$10000&amp;DATA!$B$3:$B$10000,DATA!$W$3:$W$10000),"No encontrado"))</f>
        <v/>
      </c>
      <c r="E239" s="22"/>
      <c r="F239" s="23" t="str">
        <f aca="false">IF(A239="","",IFERROR(buscarx(A239&amp;E239,DATA!$E$3:$E$10000&amp;DATA!$B$3:$B$10000,DATA!$M$3:$M$10000),"Inactivo"))</f>
        <v/>
      </c>
      <c r="G239" s="25" t="str">
        <f aca="false">IF(A239="","",IF(AND(C239&lt;&gt;"No encontrado",F239&lt;&gt;"Inactivo"),C239&amp;" → "&amp;F239,"Sin transición"))</f>
        <v/>
      </c>
      <c r="H239" s="23" t="str">
        <f aca="false">IF(A239="","",IF(D239="GCIA LINEA SERVICIO DIGITALIDAD Y VENTAS","Chats",IF(OR(D239="GERENCIA INBOUND LÍNEAS SERVICIO Y VENTA",D239="GERENCIA INBOUND LINEAS ESPECIALIZADAS"),"Llamadas","Otro")))</f>
        <v/>
      </c>
      <c r="I239" s="23" t="str">
        <f aca="false">IF(A239="","",IF(C239="No encontrado","No","Sí"))</f>
        <v/>
      </c>
      <c r="J239" s="23" t="str">
        <f aca="false">IF(A239="","",IF(F239="Inactivo","No","Sí"))</f>
        <v/>
      </c>
      <c r="K239" s="23" t="str">
        <f aca="false">IF(A239="","",IF(AND(I239="Sí",J239="Sí"),"Sí","No"))</f>
        <v/>
      </c>
    </row>
    <row r="240" customFormat="false" ht="15" hidden="false" customHeight="false" outlineLevel="0" collapsed="false">
      <c r="A240" s="22"/>
      <c r="B240" s="22"/>
      <c r="C240" s="26" t="str">
        <f aca="false">IF(A240="","",IFERROR(buscarx(A240&amp;B240,DATA!$E$3:$E$10000&amp;DATA!$B$3:$B$10000,DATA!$M$3:$M$10000),"No encontrado"))</f>
        <v/>
      </c>
      <c r="D240" s="27" t="str">
        <f aca="false">IF(A240="","",IFERROR(buscarx(A240&amp;B240,DATA!$E$3:$E$10000&amp;DATA!$B$3:$B$10000,DATA!$W$3:$W$10000),"No encontrado"))</f>
        <v/>
      </c>
      <c r="E240" s="22"/>
      <c r="F240" s="26" t="str">
        <f aca="false">IF(A240="","",IFERROR(buscarx(A240&amp;E240,DATA!$E$3:$E$10000&amp;DATA!$B$3:$B$10000,DATA!$M$3:$M$10000),"Inactivo"))</f>
        <v/>
      </c>
      <c r="G240" s="28" t="str">
        <f aca="false">IF(A240="","",IF(AND(C240&lt;&gt;"No encontrado",F240&lt;&gt;"Inactivo"),C240&amp;" → "&amp;F240,"Sin transición"))</f>
        <v/>
      </c>
      <c r="H240" s="26" t="str">
        <f aca="false">IF(A240="","",IF(D240="GCIA LINEA SERVICIO DIGITALIDAD Y VENTAS","Chats",IF(OR(D240="GERENCIA INBOUND LÍNEAS SERVICIO Y VENTA",D240="GERENCIA INBOUND LINEAS ESPECIALIZADAS"),"Llamadas","Otro")))</f>
        <v/>
      </c>
      <c r="I240" s="26" t="str">
        <f aca="false">IF(A240="","",IF(C240="No encontrado","No","Sí"))</f>
        <v/>
      </c>
      <c r="J240" s="26" t="str">
        <f aca="false">IF(A240="","",IF(F240="Inactivo","No","Sí"))</f>
        <v/>
      </c>
      <c r="K240" s="26" t="str">
        <f aca="false">IF(A240="","",IF(AND(I240="Sí",J240="Sí"),"Sí","No"))</f>
        <v/>
      </c>
    </row>
    <row r="241" customFormat="false" ht="15" hidden="false" customHeight="false" outlineLevel="0" collapsed="false">
      <c r="A241" s="22"/>
      <c r="B241" s="22"/>
      <c r="C241" s="23" t="str">
        <f aca="false">IF(A241="","",IFERROR(buscarx(A241&amp;B241,DATA!$E$3:$E$10000&amp;DATA!$B$3:$B$10000,DATA!$M$3:$M$10000),"No encontrado"))</f>
        <v/>
      </c>
      <c r="D241" s="24" t="str">
        <f aca="false">IF(A241="","",IFERROR(buscarx(A241&amp;B241,DATA!$E$3:$E$10000&amp;DATA!$B$3:$B$10000,DATA!$W$3:$W$10000),"No encontrado"))</f>
        <v/>
      </c>
      <c r="E241" s="22"/>
      <c r="F241" s="23" t="str">
        <f aca="false">IF(A241="","",IFERROR(buscarx(A241&amp;E241,DATA!$E$3:$E$10000&amp;DATA!$B$3:$B$10000,DATA!$M$3:$M$10000),"Inactivo"))</f>
        <v/>
      </c>
      <c r="G241" s="25" t="str">
        <f aca="false">IF(A241="","",IF(AND(C241&lt;&gt;"No encontrado",F241&lt;&gt;"Inactivo"),C241&amp;" → "&amp;F241,"Sin transición"))</f>
        <v/>
      </c>
      <c r="H241" s="23" t="str">
        <f aca="false">IF(A241="","",IF(D241="GCIA LINEA SERVICIO DIGITALIDAD Y VENTAS","Chats",IF(OR(D241="GERENCIA INBOUND LÍNEAS SERVICIO Y VENTA",D241="GERENCIA INBOUND LINEAS ESPECIALIZADAS"),"Llamadas","Otro")))</f>
        <v/>
      </c>
      <c r="I241" s="23" t="str">
        <f aca="false">IF(A241="","",IF(C241="No encontrado","No","Sí"))</f>
        <v/>
      </c>
      <c r="J241" s="23" t="str">
        <f aca="false">IF(A241="","",IF(F241="Inactivo","No","Sí"))</f>
        <v/>
      </c>
      <c r="K241" s="23" t="str">
        <f aca="false">IF(A241="","",IF(AND(I241="Sí",J241="Sí"),"Sí","No"))</f>
        <v/>
      </c>
    </row>
    <row r="242" customFormat="false" ht="15" hidden="false" customHeight="false" outlineLevel="0" collapsed="false">
      <c r="A242" s="22"/>
      <c r="B242" s="22"/>
      <c r="C242" s="26" t="str">
        <f aca="false">IF(A242="","",IFERROR(buscarx(A242&amp;B242,DATA!$E$3:$E$10000&amp;DATA!$B$3:$B$10000,DATA!$M$3:$M$10000),"No encontrado"))</f>
        <v/>
      </c>
      <c r="D242" s="27" t="str">
        <f aca="false">IF(A242="","",IFERROR(buscarx(A242&amp;B242,DATA!$E$3:$E$10000&amp;DATA!$B$3:$B$10000,DATA!$W$3:$W$10000),"No encontrado"))</f>
        <v/>
      </c>
      <c r="E242" s="22"/>
      <c r="F242" s="26" t="str">
        <f aca="false">IF(A242="","",IFERROR(buscarx(A242&amp;E242,DATA!$E$3:$E$10000&amp;DATA!$B$3:$B$10000,DATA!$M$3:$M$10000),"Inactivo"))</f>
        <v/>
      </c>
      <c r="G242" s="28" t="str">
        <f aca="false">IF(A242="","",IF(AND(C242&lt;&gt;"No encontrado",F242&lt;&gt;"Inactivo"),C242&amp;" → "&amp;F242,"Sin transición"))</f>
        <v/>
      </c>
      <c r="H242" s="26" t="str">
        <f aca="false">IF(A242="","",IF(D242="GCIA LINEA SERVICIO DIGITALIDAD Y VENTAS","Chats",IF(OR(D242="GERENCIA INBOUND LÍNEAS SERVICIO Y VENTA",D242="GERENCIA INBOUND LINEAS ESPECIALIZADAS"),"Llamadas","Otro")))</f>
        <v/>
      </c>
      <c r="I242" s="26" t="str">
        <f aca="false">IF(A242="","",IF(C242="No encontrado","No","Sí"))</f>
        <v/>
      </c>
      <c r="J242" s="26" t="str">
        <f aca="false">IF(A242="","",IF(F242="Inactivo","No","Sí"))</f>
        <v/>
      </c>
      <c r="K242" s="26" t="str">
        <f aca="false">IF(A242="","",IF(AND(I242="Sí",J242="Sí"),"Sí","No"))</f>
        <v/>
      </c>
    </row>
    <row r="243" customFormat="false" ht="15" hidden="false" customHeight="false" outlineLevel="0" collapsed="false">
      <c r="A243" s="22"/>
      <c r="B243" s="22"/>
      <c r="C243" s="23" t="str">
        <f aca="false">IF(A243="","",IFERROR(buscarx(A243&amp;B243,DATA!$E$3:$E$10000&amp;DATA!$B$3:$B$10000,DATA!$M$3:$M$10000),"No encontrado"))</f>
        <v/>
      </c>
      <c r="D243" s="24" t="str">
        <f aca="false">IF(A243="","",IFERROR(buscarx(A243&amp;B243,DATA!$E$3:$E$10000&amp;DATA!$B$3:$B$10000,DATA!$W$3:$W$10000),"No encontrado"))</f>
        <v/>
      </c>
      <c r="E243" s="22"/>
      <c r="F243" s="23" t="str">
        <f aca="false">IF(A243="","",IFERROR(buscarx(A243&amp;E243,DATA!$E$3:$E$10000&amp;DATA!$B$3:$B$10000,DATA!$M$3:$M$10000),"Inactivo"))</f>
        <v/>
      </c>
      <c r="G243" s="25" t="str">
        <f aca="false">IF(A243="","",IF(AND(C243&lt;&gt;"No encontrado",F243&lt;&gt;"Inactivo"),C243&amp;" → "&amp;F243,"Sin transición"))</f>
        <v/>
      </c>
      <c r="H243" s="23" t="str">
        <f aca="false">IF(A243="","",IF(D243="GCIA LINEA SERVICIO DIGITALIDAD Y VENTAS","Chats",IF(OR(D243="GERENCIA INBOUND LÍNEAS SERVICIO Y VENTA",D243="GERENCIA INBOUND LINEAS ESPECIALIZADAS"),"Llamadas","Otro")))</f>
        <v/>
      </c>
      <c r="I243" s="23" t="str">
        <f aca="false">IF(A243="","",IF(C243="No encontrado","No","Sí"))</f>
        <v/>
      </c>
      <c r="J243" s="23" t="str">
        <f aca="false">IF(A243="","",IF(F243="Inactivo","No","Sí"))</f>
        <v/>
      </c>
      <c r="K243" s="23" t="str">
        <f aca="false">IF(A243="","",IF(AND(I243="Sí",J243="Sí"),"Sí","No"))</f>
        <v/>
      </c>
    </row>
    <row r="244" customFormat="false" ht="15" hidden="false" customHeight="false" outlineLevel="0" collapsed="false">
      <c r="A244" s="22"/>
      <c r="B244" s="22"/>
      <c r="C244" s="26" t="str">
        <f aca="false">IF(A244="","",IFERROR(buscarx(A244&amp;B244,DATA!$E$3:$E$10000&amp;DATA!$B$3:$B$10000,DATA!$M$3:$M$10000),"No encontrado"))</f>
        <v/>
      </c>
      <c r="D244" s="27" t="str">
        <f aca="false">IF(A244="","",IFERROR(buscarx(A244&amp;B244,DATA!$E$3:$E$10000&amp;DATA!$B$3:$B$10000,DATA!$W$3:$W$10000),"No encontrado"))</f>
        <v/>
      </c>
      <c r="E244" s="22"/>
      <c r="F244" s="26" t="str">
        <f aca="false">IF(A244="","",IFERROR(buscarx(A244&amp;E244,DATA!$E$3:$E$10000&amp;DATA!$B$3:$B$10000,DATA!$M$3:$M$10000),"Inactivo"))</f>
        <v/>
      </c>
      <c r="G244" s="28" t="str">
        <f aca="false">IF(A244="","",IF(AND(C244&lt;&gt;"No encontrado",F244&lt;&gt;"Inactivo"),C244&amp;" → "&amp;F244,"Sin transición"))</f>
        <v/>
      </c>
      <c r="H244" s="26" t="str">
        <f aca="false">IF(A244="","",IF(D244="GCIA LINEA SERVICIO DIGITALIDAD Y VENTAS","Chats",IF(OR(D244="GERENCIA INBOUND LÍNEAS SERVICIO Y VENTA",D244="GERENCIA INBOUND LINEAS ESPECIALIZADAS"),"Llamadas","Otro")))</f>
        <v/>
      </c>
      <c r="I244" s="26" t="str">
        <f aca="false">IF(A244="","",IF(C244="No encontrado","No","Sí"))</f>
        <v/>
      </c>
      <c r="J244" s="26" t="str">
        <f aca="false">IF(A244="","",IF(F244="Inactivo","No","Sí"))</f>
        <v/>
      </c>
      <c r="K244" s="26" t="str">
        <f aca="false">IF(A244="","",IF(AND(I244="Sí",J244="Sí"),"Sí","No"))</f>
        <v/>
      </c>
    </row>
    <row r="245" customFormat="false" ht="15" hidden="false" customHeight="false" outlineLevel="0" collapsed="false">
      <c r="A245" s="22"/>
      <c r="B245" s="22"/>
      <c r="C245" s="23" t="str">
        <f aca="false">IF(A245="","",IFERROR(buscarx(A245&amp;B245,DATA!$E$3:$E$10000&amp;DATA!$B$3:$B$10000,DATA!$M$3:$M$10000),"No encontrado"))</f>
        <v/>
      </c>
      <c r="D245" s="24" t="str">
        <f aca="false">IF(A245="","",IFERROR(buscarx(A245&amp;B245,DATA!$E$3:$E$10000&amp;DATA!$B$3:$B$10000,DATA!$W$3:$W$10000),"No encontrado"))</f>
        <v/>
      </c>
      <c r="E245" s="22"/>
      <c r="F245" s="23" t="str">
        <f aca="false">IF(A245="","",IFERROR(buscarx(A245&amp;E245,DATA!$E$3:$E$10000&amp;DATA!$B$3:$B$10000,DATA!$M$3:$M$10000),"Inactivo"))</f>
        <v/>
      </c>
      <c r="G245" s="25" t="str">
        <f aca="false">IF(A245="","",IF(AND(C245&lt;&gt;"No encontrado",F245&lt;&gt;"Inactivo"),C245&amp;" → "&amp;F245,"Sin transición"))</f>
        <v/>
      </c>
      <c r="H245" s="23" t="str">
        <f aca="false">IF(A245="","",IF(D245="GCIA LINEA SERVICIO DIGITALIDAD Y VENTAS","Chats",IF(OR(D245="GERENCIA INBOUND LÍNEAS SERVICIO Y VENTA",D245="GERENCIA INBOUND LINEAS ESPECIALIZADAS"),"Llamadas","Otro")))</f>
        <v/>
      </c>
      <c r="I245" s="23" t="str">
        <f aca="false">IF(A245="","",IF(C245="No encontrado","No","Sí"))</f>
        <v/>
      </c>
      <c r="J245" s="23" t="str">
        <f aca="false">IF(A245="","",IF(F245="Inactivo","No","Sí"))</f>
        <v/>
      </c>
      <c r="K245" s="23" t="str">
        <f aca="false">IF(A245="","",IF(AND(I245="Sí",J245="Sí"),"Sí","No"))</f>
        <v/>
      </c>
    </row>
    <row r="246" customFormat="false" ht="15" hidden="false" customHeight="false" outlineLevel="0" collapsed="false">
      <c r="A246" s="22"/>
      <c r="B246" s="22"/>
      <c r="C246" s="26" t="str">
        <f aca="false">IF(A246="","",IFERROR(buscarx(A246&amp;B246,DATA!$E$3:$E$10000&amp;DATA!$B$3:$B$10000,DATA!$M$3:$M$10000),"No encontrado"))</f>
        <v/>
      </c>
      <c r="D246" s="27" t="str">
        <f aca="false">IF(A246="","",IFERROR(buscarx(A246&amp;B246,DATA!$E$3:$E$10000&amp;DATA!$B$3:$B$10000,DATA!$W$3:$W$10000),"No encontrado"))</f>
        <v/>
      </c>
      <c r="E246" s="22"/>
      <c r="F246" s="26" t="str">
        <f aca="false">IF(A246="","",IFERROR(buscarx(A246&amp;E246,DATA!$E$3:$E$10000&amp;DATA!$B$3:$B$10000,DATA!$M$3:$M$10000),"Inactivo"))</f>
        <v/>
      </c>
      <c r="G246" s="28" t="str">
        <f aca="false">IF(A246="","",IF(AND(C246&lt;&gt;"No encontrado",F246&lt;&gt;"Inactivo"),C246&amp;" → "&amp;F246,"Sin transición"))</f>
        <v/>
      </c>
      <c r="H246" s="26" t="str">
        <f aca="false">IF(A246="","",IF(D246="GCIA LINEA SERVICIO DIGITALIDAD Y VENTAS","Chats",IF(OR(D246="GERENCIA INBOUND LÍNEAS SERVICIO Y VENTA",D246="GERENCIA INBOUND LINEAS ESPECIALIZADAS"),"Llamadas","Otro")))</f>
        <v/>
      </c>
      <c r="I246" s="26" t="str">
        <f aca="false">IF(A246="","",IF(C246="No encontrado","No","Sí"))</f>
        <v/>
      </c>
      <c r="J246" s="26" t="str">
        <f aca="false">IF(A246="","",IF(F246="Inactivo","No","Sí"))</f>
        <v/>
      </c>
      <c r="K246" s="26" t="str">
        <f aca="false">IF(A246="","",IF(AND(I246="Sí",J246="Sí"),"Sí","No"))</f>
        <v/>
      </c>
    </row>
    <row r="247" customFormat="false" ht="15" hidden="false" customHeight="false" outlineLevel="0" collapsed="false">
      <c r="A247" s="22"/>
      <c r="B247" s="22"/>
      <c r="C247" s="23" t="str">
        <f aca="false">IF(A247="","",IFERROR(buscarx(A247&amp;B247,DATA!$E$3:$E$10000&amp;DATA!$B$3:$B$10000,DATA!$M$3:$M$10000),"No encontrado"))</f>
        <v/>
      </c>
      <c r="D247" s="24" t="str">
        <f aca="false">IF(A247="","",IFERROR(buscarx(A247&amp;B247,DATA!$E$3:$E$10000&amp;DATA!$B$3:$B$10000,DATA!$W$3:$W$10000),"No encontrado"))</f>
        <v/>
      </c>
      <c r="E247" s="22"/>
      <c r="F247" s="23" t="str">
        <f aca="false">IF(A247="","",IFERROR(buscarx(A247&amp;E247,DATA!$E$3:$E$10000&amp;DATA!$B$3:$B$10000,DATA!$M$3:$M$10000),"Inactivo"))</f>
        <v/>
      </c>
      <c r="G247" s="25" t="str">
        <f aca="false">IF(A247="","",IF(AND(C247&lt;&gt;"No encontrado",F247&lt;&gt;"Inactivo"),C247&amp;" → "&amp;F247,"Sin transición"))</f>
        <v/>
      </c>
      <c r="H247" s="23" t="str">
        <f aca="false">IF(A247="","",IF(D247="GCIA LINEA SERVICIO DIGITALIDAD Y VENTAS","Chats",IF(OR(D247="GERENCIA INBOUND LÍNEAS SERVICIO Y VENTA",D247="GERENCIA INBOUND LINEAS ESPECIALIZADAS"),"Llamadas","Otro")))</f>
        <v/>
      </c>
      <c r="I247" s="23" t="str">
        <f aca="false">IF(A247="","",IF(C247="No encontrado","No","Sí"))</f>
        <v/>
      </c>
      <c r="J247" s="23" t="str">
        <f aca="false">IF(A247="","",IF(F247="Inactivo","No","Sí"))</f>
        <v/>
      </c>
      <c r="K247" s="23" t="str">
        <f aca="false">IF(A247="","",IF(AND(I247="Sí",J247="Sí"),"Sí","No"))</f>
        <v/>
      </c>
    </row>
    <row r="248" customFormat="false" ht="15" hidden="false" customHeight="false" outlineLevel="0" collapsed="false">
      <c r="A248" s="22"/>
      <c r="B248" s="22"/>
      <c r="C248" s="26" t="str">
        <f aca="false">IF(A248="","",IFERROR(buscarx(A248&amp;B248,DATA!$E$3:$E$10000&amp;DATA!$B$3:$B$10000,DATA!$M$3:$M$10000),"No encontrado"))</f>
        <v/>
      </c>
      <c r="D248" s="27" t="str">
        <f aca="false">IF(A248="","",IFERROR(buscarx(A248&amp;B248,DATA!$E$3:$E$10000&amp;DATA!$B$3:$B$10000,DATA!$W$3:$W$10000),"No encontrado"))</f>
        <v/>
      </c>
      <c r="E248" s="22"/>
      <c r="F248" s="26" t="str">
        <f aca="false">IF(A248="","",IFERROR(buscarx(A248&amp;E248,DATA!$E$3:$E$10000&amp;DATA!$B$3:$B$10000,DATA!$M$3:$M$10000),"Inactivo"))</f>
        <v/>
      </c>
      <c r="G248" s="28" t="str">
        <f aca="false">IF(A248="","",IF(AND(C248&lt;&gt;"No encontrado",F248&lt;&gt;"Inactivo"),C248&amp;" → "&amp;F248,"Sin transición"))</f>
        <v/>
      </c>
      <c r="H248" s="26" t="str">
        <f aca="false">IF(A248="","",IF(D248="GCIA LINEA SERVICIO DIGITALIDAD Y VENTAS","Chats",IF(OR(D248="GERENCIA INBOUND LÍNEAS SERVICIO Y VENTA",D248="GERENCIA INBOUND LINEAS ESPECIALIZADAS"),"Llamadas","Otro")))</f>
        <v/>
      </c>
      <c r="I248" s="26" t="str">
        <f aca="false">IF(A248="","",IF(C248="No encontrado","No","Sí"))</f>
        <v/>
      </c>
      <c r="J248" s="26" t="str">
        <f aca="false">IF(A248="","",IF(F248="Inactivo","No","Sí"))</f>
        <v/>
      </c>
      <c r="K248" s="26" t="str">
        <f aca="false">IF(A248="","",IF(AND(I248="Sí",J248="Sí"),"Sí","No"))</f>
        <v/>
      </c>
    </row>
    <row r="249" customFormat="false" ht="15" hidden="false" customHeight="false" outlineLevel="0" collapsed="false">
      <c r="A249" s="22"/>
      <c r="B249" s="22"/>
      <c r="C249" s="23" t="str">
        <f aca="false">IF(A249="","",IFERROR(buscarx(A249&amp;B249,DATA!$E$3:$E$10000&amp;DATA!$B$3:$B$10000,DATA!$M$3:$M$10000),"No encontrado"))</f>
        <v/>
      </c>
      <c r="D249" s="24" t="str">
        <f aca="false">IF(A249="","",IFERROR(buscarx(A249&amp;B249,DATA!$E$3:$E$10000&amp;DATA!$B$3:$B$10000,DATA!$W$3:$W$10000),"No encontrado"))</f>
        <v/>
      </c>
      <c r="E249" s="22"/>
      <c r="F249" s="23" t="str">
        <f aca="false">IF(A249="","",IFERROR(buscarx(A249&amp;E249,DATA!$E$3:$E$10000&amp;DATA!$B$3:$B$10000,DATA!$M$3:$M$10000),"Inactivo"))</f>
        <v/>
      </c>
      <c r="G249" s="25" t="str">
        <f aca="false">IF(A249="","",IF(AND(C249&lt;&gt;"No encontrado",F249&lt;&gt;"Inactivo"),C249&amp;" → "&amp;F249,"Sin transición"))</f>
        <v/>
      </c>
      <c r="H249" s="23" t="str">
        <f aca="false">IF(A249="","",IF(D249="GCIA LINEA SERVICIO DIGITALIDAD Y VENTAS","Chats",IF(OR(D249="GERENCIA INBOUND LÍNEAS SERVICIO Y VENTA",D249="GERENCIA INBOUND LINEAS ESPECIALIZADAS"),"Llamadas","Otro")))</f>
        <v/>
      </c>
      <c r="I249" s="23" t="str">
        <f aca="false">IF(A249="","",IF(C249="No encontrado","No","Sí"))</f>
        <v/>
      </c>
      <c r="J249" s="23" t="str">
        <f aca="false">IF(A249="","",IF(F249="Inactivo","No","Sí"))</f>
        <v/>
      </c>
      <c r="K249" s="23" t="str">
        <f aca="false">IF(A249="","",IF(AND(I249="Sí",J249="Sí"),"Sí","No"))</f>
        <v/>
      </c>
    </row>
    <row r="250" customFormat="false" ht="15" hidden="false" customHeight="false" outlineLevel="0" collapsed="false">
      <c r="A250" s="22"/>
      <c r="B250" s="22"/>
      <c r="C250" s="26" t="str">
        <f aca="false">IF(A250="","",IFERROR(buscarx(A250&amp;B250,DATA!$E$3:$E$10000&amp;DATA!$B$3:$B$10000,DATA!$M$3:$M$10000),"No encontrado"))</f>
        <v/>
      </c>
      <c r="D250" s="27" t="str">
        <f aca="false">IF(A250="","",IFERROR(buscarx(A250&amp;B250,DATA!$E$3:$E$10000&amp;DATA!$B$3:$B$10000,DATA!$W$3:$W$10000),"No encontrado"))</f>
        <v/>
      </c>
      <c r="E250" s="22"/>
      <c r="F250" s="26" t="str">
        <f aca="false">IF(A250="","",IFERROR(buscarx(A250&amp;E250,DATA!$E$3:$E$10000&amp;DATA!$B$3:$B$10000,DATA!$M$3:$M$10000),"Inactivo"))</f>
        <v/>
      </c>
      <c r="G250" s="28" t="str">
        <f aca="false">IF(A250="","",IF(AND(C250&lt;&gt;"No encontrado",F250&lt;&gt;"Inactivo"),C250&amp;" → "&amp;F250,"Sin transición"))</f>
        <v/>
      </c>
      <c r="H250" s="26" t="str">
        <f aca="false">IF(A250="","",IF(D250="GCIA LINEA SERVICIO DIGITALIDAD Y VENTAS","Chats",IF(OR(D250="GERENCIA INBOUND LÍNEAS SERVICIO Y VENTA",D250="GERENCIA INBOUND LINEAS ESPECIALIZADAS"),"Llamadas","Otro")))</f>
        <v/>
      </c>
      <c r="I250" s="26" t="str">
        <f aca="false">IF(A250="","",IF(C250="No encontrado","No","Sí"))</f>
        <v/>
      </c>
      <c r="J250" s="26" t="str">
        <f aca="false">IF(A250="","",IF(F250="Inactivo","No","Sí"))</f>
        <v/>
      </c>
      <c r="K250" s="26" t="str">
        <f aca="false">IF(A250="","",IF(AND(I250="Sí",J250="Sí"),"Sí","No"))</f>
        <v/>
      </c>
    </row>
    <row r="251" customFormat="false" ht="15" hidden="false" customHeight="false" outlineLevel="0" collapsed="false">
      <c r="A251" s="22"/>
      <c r="B251" s="22"/>
      <c r="C251" s="23" t="str">
        <f aca="false">IF(A251="","",IFERROR(buscarx(A251&amp;B251,DATA!$E$3:$E$10000&amp;DATA!$B$3:$B$10000,DATA!$M$3:$M$10000),"No encontrado"))</f>
        <v/>
      </c>
      <c r="D251" s="24" t="str">
        <f aca="false">IF(A251="","",IFERROR(buscarx(A251&amp;B251,DATA!$E$3:$E$10000&amp;DATA!$B$3:$B$10000,DATA!$W$3:$W$10000),"No encontrado"))</f>
        <v/>
      </c>
      <c r="E251" s="22"/>
      <c r="F251" s="23" t="str">
        <f aca="false">IF(A251="","",IFERROR(buscarx(A251&amp;E251,DATA!$E$3:$E$10000&amp;DATA!$B$3:$B$10000,DATA!$M$3:$M$10000),"Inactivo"))</f>
        <v/>
      </c>
      <c r="G251" s="25" t="str">
        <f aca="false">IF(A251="","",IF(AND(C251&lt;&gt;"No encontrado",F251&lt;&gt;"Inactivo"),C251&amp;" → "&amp;F251,"Sin transición"))</f>
        <v/>
      </c>
      <c r="H251" s="23" t="str">
        <f aca="false">IF(A251="","",IF(D251="GCIA LINEA SERVICIO DIGITALIDAD Y VENTAS","Chats",IF(OR(D251="GERENCIA INBOUND LÍNEAS SERVICIO Y VENTA",D251="GERENCIA INBOUND LINEAS ESPECIALIZADAS"),"Llamadas","Otro")))</f>
        <v/>
      </c>
      <c r="I251" s="23" t="str">
        <f aca="false">IF(A251="","",IF(C251="No encontrado","No","Sí"))</f>
        <v/>
      </c>
      <c r="J251" s="23" t="str">
        <f aca="false">IF(A251="","",IF(F251="Inactivo","No","Sí"))</f>
        <v/>
      </c>
      <c r="K251" s="23" t="str">
        <f aca="false">IF(A251="","",IF(AND(I251="Sí",J251="Sí"),"Sí","No"))</f>
        <v/>
      </c>
    </row>
    <row r="252" customFormat="false" ht="15" hidden="false" customHeight="false" outlineLevel="0" collapsed="false">
      <c r="A252" s="22"/>
      <c r="B252" s="22"/>
      <c r="C252" s="26" t="str">
        <f aca="false">IF(A252="","",IFERROR(buscarx(A252&amp;B252,DATA!$E$3:$E$10000&amp;DATA!$B$3:$B$10000,DATA!$M$3:$M$10000),"No encontrado"))</f>
        <v/>
      </c>
      <c r="D252" s="27" t="str">
        <f aca="false">IF(A252="","",IFERROR(buscarx(A252&amp;B252,DATA!$E$3:$E$10000&amp;DATA!$B$3:$B$10000,DATA!$W$3:$W$10000),"No encontrado"))</f>
        <v/>
      </c>
      <c r="E252" s="22"/>
      <c r="F252" s="26" t="str">
        <f aca="false">IF(A252="","",IFERROR(buscarx(A252&amp;E252,DATA!$E$3:$E$10000&amp;DATA!$B$3:$B$10000,DATA!$M$3:$M$10000),"Inactivo"))</f>
        <v/>
      </c>
      <c r="G252" s="28" t="str">
        <f aca="false">IF(A252="","",IF(AND(C252&lt;&gt;"No encontrado",F252&lt;&gt;"Inactivo"),C252&amp;" → "&amp;F252,"Sin transición"))</f>
        <v/>
      </c>
      <c r="H252" s="26" t="str">
        <f aca="false">IF(A252="","",IF(D252="GCIA LINEA SERVICIO DIGITALIDAD Y VENTAS","Chats",IF(OR(D252="GERENCIA INBOUND LÍNEAS SERVICIO Y VENTA",D252="GERENCIA INBOUND LINEAS ESPECIALIZADAS"),"Llamadas","Otro")))</f>
        <v/>
      </c>
      <c r="I252" s="26" t="str">
        <f aca="false">IF(A252="","",IF(C252="No encontrado","No","Sí"))</f>
        <v/>
      </c>
      <c r="J252" s="26" t="str">
        <f aca="false">IF(A252="","",IF(F252="Inactivo","No","Sí"))</f>
        <v/>
      </c>
      <c r="K252" s="26" t="str">
        <f aca="false">IF(A252="","",IF(AND(I252="Sí",J252="Sí"),"Sí","No"))</f>
        <v/>
      </c>
    </row>
    <row r="253" customFormat="false" ht="15" hidden="false" customHeight="false" outlineLevel="0" collapsed="false">
      <c r="A253" s="22"/>
      <c r="B253" s="22"/>
      <c r="C253" s="23" t="str">
        <f aca="false">IF(A253="","",IFERROR(buscarx(A253&amp;B253,DATA!$E$3:$E$10000&amp;DATA!$B$3:$B$10000,DATA!$M$3:$M$10000),"No encontrado"))</f>
        <v/>
      </c>
      <c r="D253" s="24" t="str">
        <f aca="false">IF(A253="","",IFERROR(buscarx(A253&amp;B253,DATA!$E$3:$E$10000&amp;DATA!$B$3:$B$10000,DATA!$W$3:$W$10000),"No encontrado"))</f>
        <v/>
      </c>
      <c r="E253" s="22"/>
      <c r="F253" s="23" t="str">
        <f aca="false">IF(A253="","",IFERROR(buscarx(A253&amp;E253,DATA!$E$3:$E$10000&amp;DATA!$B$3:$B$10000,DATA!$M$3:$M$10000),"Inactivo"))</f>
        <v/>
      </c>
      <c r="G253" s="25" t="str">
        <f aca="false">IF(A253="","",IF(AND(C253&lt;&gt;"No encontrado",F253&lt;&gt;"Inactivo"),C253&amp;" → "&amp;F253,"Sin transición"))</f>
        <v/>
      </c>
      <c r="H253" s="23" t="str">
        <f aca="false">IF(A253="","",IF(D253="GCIA LINEA SERVICIO DIGITALIDAD Y VENTAS","Chats",IF(OR(D253="GERENCIA INBOUND LÍNEAS SERVICIO Y VENTA",D253="GERENCIA INBOUND LINEAS ESPECIALIZADAS"),"Llamadas","Otro")))</f>
        <v/>
      </c>
      <c r="I253" s="23" t="str">
        <f aca="false">IF(A253="","",IF(C253="No encontrado","No","Sí"))</f>
        <v/>
      </c>
      <c r="J253" s="23" t="str">
        <f aca="false">IF(A253="","",IF(F253="Inactivo","No","Sí"))</f>
        <v/>
      </c>
      <c r="K253" s="23" t="str">
        <f aca="false">IF(A253="","",IF(AND(I253="Sí",J253="Sí"),"Sí","No"))</f>
        <v/>
      </c>
    </row>
    <row r="254" customFormat="false" ht="15" hidden="false" customHeight="false" outlineLevel="0" collapsed="false">
      <c r="A254" s="22"/>
      <c r="B254" s="22"/>
      <c r="C254" s="26" t="str">
        <f aca="false">IF(A254="","",IFERROR(buscarx(A254&amp;B254,DATA!$E$3:$E$10000&amp;DATA!$B$3:$B$10000,DATA!$M$3:$M$10000),"No encontrado"))</f>
        <v/>
      </c>
      <c r="D254" s="27" t="str">
        <f aca="false">IF(A254="","",IFERROR(buscarx(A254&amp;B254,DATA!$E$3:$E$10000&amp;DATA!$B$3:$B$10000,DATA!$W$3:$W$10000),"No encontrado"))</f>
        <v/>
      </c>
      <c r="E254" s="22"/>
      <c r="F254" s="26" t="str">
        <f aca="false">IF(A254="","",IFERROR(buscarx(A254&amp;E254,DATA!$E$3:$E$10000&amp;DATA!$B$3:$B$10000,DATA!$M$3:$M$10000),"Inactivo"))</f>
        <v/>
      </c>
      <c r="G254" s="28" t="str">
        <f aca="false">IF(A254="","",IF(AND(C254&lt;&gt;"No encontrado",F254&lt;&gt;"Inactivo"),C254&amp;" → "&amp;F254,"Sin transición"))</f>
        <v/>
      </c>
      <c r="H254" s="26" t="str">
        <f aca="false">IF(A254="","",IF(D254="GCIA LINEA SERVICIO DIGITALIDAD Y VENTAS","Chats",IF(OR(D254="GERENCIA INBOUND LÍNEAS SERVICIO Y VENTA",D254="GERENCIA INBOUND LINEAS ESPECIALIZADAS"),"Llamadas","Otro")))</f>
        <v/>
      </c>
      <c r="I254" s="26" t="str">
        <f aca="false">IF(A254="","",IF(C254="No encontrado","No","Sí"))</f>
        <v/>
      </c>
      <c r="J254" s="26" t="str">
        <f aca="false">IF(A254="","",IF(F254="Inactivo","No","Sí"))</f>
        <v/>
      </c>
      <c r="K254" s="26" t="str">
        <f aca="false">IF(A254="","",IF(AND(I254="Sí",J254="Sí"),"Sí","No"))</f>
        <v/>
      </c>
    </row>
    <row r="255" customFormat="false" ht="15" hidden="false" customHeight="false" outlineLevel="0" collapsed="false">
      <c r="A255" s="22"/>
      <c r="B255" s="22"/>
      <c r="C255" s="23" t="str">
        <f aca="false">IF(A255="","",IFERROR(buscarx(A255&amp;B255,DATA!$E$3:$E$10000&amp;DATA!$B$3:$B$10000,DATA!$M$3:$M$10000),"No encontrado"))</f>
        <v/>
      </c>
      <c r="D255" s="24" t="str">
        <f aca="false">IF(A255="","",IFERROR(buscarx(A255&amp;B255,DATA!$E$3:$E$10000&amp;DATA!$B$3:$B$10000,DATA!$W$3:$W$10000),"No encontrado"))</f>
        <v/>
      </c>
      <c r="E255" s="22"/>
      <c r="F255" s="23" t="str">
        <f aca="false">IF(A255="","",IFERROR(buscarx(A255&amp;E255,DATA!$E$3:$E$10000&amp;DATA!$B$3:$B$10000,DATA!$M$3:$M$10000),"Inactivo"))</f>
        <v/>
      </c>
      <c r="G255" s="25" t="str">
        <f aca="false">IF(A255="","",IF(AND(C255&lt;&gt;"No encontrado",F255&lt;&gt;"Inactivo"),C255&amp;" → "&amp;F255,"Sin transición"))</f>
        <v/>
      </c>
      <c r="H255" s="23" t="str">
        <f aca="false">IF(A255="","",IF(D255="GCIA LINEA SERVICIO DIGITALIDAD Y VENTAS","Chats",IF(OR(D255="GERENCIA INBOUND LÍNEAS SERVICIO Y VENTA",D255="GERENCIA INBOUND LINEAS ESPECIALIZADAS"),"Llamadas","Otro")))</f>
        <v/>
      </c>
      <c r="I255" s="23" t="str">
        <f aca="false">IF(A255="","",IF(C255="No encontrado","No","Sí"))</f>
        <v/>
      </c>
      <c r="J255" s="23" t="str">
        <f aca="false">IF(A255="","",IF(F255="Inactivo","No","Sí"))</f>
        <v/>
      </c>
      <c r="K255" s="23" t="str">
        <f aca="false">IF(A255="","",IF(AND(I255="Sí",J255="Sí"),"Sí","No"))</f>
        <v/>
      </c>
    </row>
    <row r="256" customFormat="false" ht="15" hidden="false" customHeight="false" outlineLevel="0" collapsed="false">
      <c r="A256" s="22"/>
      <c r="B256" s="22"/>
      <c r="C256" s="26" t="str">
        <f aca="false">IF(A256="","",IFERROR(buscarx(A256&amp;B256,DATA!$E$3:$E$10000&amp;DATA!$B$3:$B$10000,DATA!$M$3:$M$10000),"No encontrado"))</f>
        <v/>
      </c>
      <c r="D256" s="27" t="str">
        <f aca="false">IF(A256="","",IFERROR(buscarx(A256&amp;B256,DATA!$E$3:$E$10000&amp;DATA!$B$3:$B$10000,DATA!$W$3:$W$10000),"No encontrado"))</f>
        <v/>
      </c>
      <c r="E256" s="22"/>
      <c r="F256" s="26" t="str">
        <f aca="false">IF(A256="","",IFERROR(buscarx(A256&amp;E256,DATA!$E$3:$E$10000&amp;DATA!$B$3:$B$10000,DATA!$M$3:$M$10000),"Inactivo"))</f>
        <v/>
      </c>
      <c r="G256" s="28" t="str">
        <f aca="false">IF(A256="","",IF(AND(C256&lt;&gt;"No encontrado",F256&lt;&gt;"Inactivo"),C256&amp;" → "&amp;F256,"Sin transición"))</f>
        <v/>
      </c>
      <c r="H256" s="26" t="str">
        <f aca="false">IF(A256="","",IF(D256="GCIA LINEA SERVICIO DIGITALIDAD Y VENTAS","Chats",IF(OR(D256="GERENCIA INBOUND LÍNEAS SERVICIO Y VENTA",D256="GERENCIA INBOUND LINEAS ESPECIALIZADAS"),"Llamadas","Otro")))</f>
        <v/>
      </c>
      <c r="I256" s="26" t="str">
        <f aca="false">IF(A256="","",IF(C256="No encontrado","No","Sí"))</f>
        <v/>
      </c>
      <c r="J256" s="26" t="str">
        <f aca="false">IF(A256="","",IF(F256="Inactivo","No","Sí"))</f>
        <v/>
      </c>
      <c r="K256" s="26" t="str">
        <f aca="false">IF(A256="","",IF(AND(I256="Sí",J256="Sí"),"Sí","No"))</f>
        <v/>
      </c>
    </row>
    <row r="257" customFormat="false" ht="15" hidden="false" customHeight="false" outlineLevel="0" collapsed="false">
      <c r="A257" s="22"/>
      <c r="B257" s="22"/>
      <c r="C257" s="23" t="str">
        <f aca="false">IF(A257="","",IFERROR(buscarx(A257&amp;B257,DATA!$E$3:$E$10000&amp;DATA!$B$3:$B$10000,DATA!$M$3:$M$10000),"No encontrado"))</f>
        <v/>
      </c>
      <c r="D257" s="24" t="str">
        <f aca="false">IF(A257="","",IFERROR(buscarx(A257&amp;B257,DATA!$E$3:$E$10000&amp;DATA!$B$3:$B$10000,DATA!$W$3:$W$10000),"No encontrado"))</f>
        <v/>
      </c>
      <c r="E257" s="22"/>
      <c r="F257" s="23" t="str">
        <f aca="false">IF(A257="","",IFERROR(buscarx(A257&amp;E257,DATA!$E$3:$E$10000&amp;DATA!$B$3:$B$10000,DATA!$M$3:$M$10000),"Inactivo"))</f>
        <v/>
      </c>
      <c r="G257" s="25" t="str">
        <f aca="false">IF(A257="","",IF(AND(C257&lt;&gt;"No encontrado",F257&lt;&gt;"Inactivo"),C257&amp;" → "&amp;F257,"Sin transición"))</f>
        <v/>
      </c>
      <c r="H257" s="23" t="str">
        <f aca="false">IF(A257="","",IF(D257="GCIA LINEA SERVICIO DIGITALIDAD Y VENTAS","Chats",IF(OR(D257="GERENCIA INBOUND LÍNEAS SERVICIO Y VENTA",D257="GERENCIA INBOUND LINEAS ESPECIALIZADAS"),"Llamadas","Otro")))</f>
        <v/>
      </c>
      <c r="I257" s="23" t="str">
        <f aca="false">IF(A257="","",IF(C257="No encontrado","No","Sí"))</f>
        <v/>
      </c>
      <c r="J257" s="23" t="str">
        <f aca="false">IF(A257="","",IF(F257="Inactivo","No","Sí"))</f>
        <v/>
      </c>
      <c r="K257" s="23" t="str">
        <f aca="false">IF(A257="","",IF(AND(I257="Sí",J257="Sí"),"Sí","No"))</f>
        <v/>
      </c>
    </row>
    <row r="258" customFormat="false" ht="15" hidden="false" customHeight="false" outlineLevel="0" collapsed="false">
      <c r="A258" s="22"/>
      <c r="B258" s="22"/>
      <c r="C258" s="26" t="str">
        <f aca="false">IF(A258="","",IFERROR(buscarx(A258&amp;B258,DATA!$E$3:$E$10000&amp;DATA!$B$3:$B$10000,DATA!$M$3:$M$10000),"No encontrado"))</f>
        <v/>
      </c>
      <c r="D258" s="27" t="str">
        <f aca="false">IF(A258="","",IFERROR(buscarx(A258&amp;B258,DATA!$E$3:$E$10000&amp;DATA!$B$3:$B$10000,DATA!$W$3:$W$10000),"No encontrado"))</f>
        <v/>
      </c>
      <c r="E258" s="22"/>
      <c r="F258" s="26" t="str">
        <f aca="false">IF(A258="","",IFERROR(buscarx(A258&amp;E258,DATA!$E$3:$E$10000&amp;DATA!$B$3:$B$10000,DATA!$M$3:$M$10000),"Inactivo"))</f>
        <v/>
      </c>
      <c r="G258" s="28" t="str">
        <f aca="false">IF(A258="","",IF(AND(C258&lt;&gt;"No encontrado",F258&lt;&gt;"Inactivo"),C258&amp;" → "&amp;F258,"Sin transición"))</f>
        <v/>
      </c>
      <c r="H258" s="26" t="str">
        <f aca="false">IF(A258="","",IF(D258="GCIA LINEA SERVICIO DIGITALIDAD Y VENTAS","Chats",IF(OR(D258="GERENCIA INBOUND LÍNEAS SERVICIO Y VENTA",D258="GERENCIA INBOUND LINEAS ESPECIALIZADAS"),"Llamadas","Otro")))</f>
        <v/>
      </c>
      <c r="I258" s="26" t="str">
        <f aca="false">IF(A258="","",IF(C258="No encontrado","No","Sí"))</f>
        <v/>
      </c>
      <c r="J258" s="26" t="str">
        <f aca="false">IF(A258="","",IF(F258="Inactivo","No","Sí"))</f>
        <v/>
      </c>
      <c r="K258" s="26" t="str">
        <f aca="false">IF(A258="","",IF(AND(I258="Sí",J258="Sí"),"Sí","No"))</f>
        <v/>
      </c>
    </row>
    <row r="259" customFormat="false" ht="15" hidden="false" customHeight="false" outlineLevel="0" collapsed="false">
      <c r="A259" s="22"/>
      <c r="B259" s="22"/>
      <c r="C259" s="23" t="str">
        <f aca="false">IF(A259="","",IFERROR(buscarx(A259&amp;B259,DATA!$E$3:$E$10000&amp;DATA!$B$3:$B$10000,DATA!$M$3:$M$10000),"No encontrado"))</f>
        <v/>
      </c>
      <c r="D259" s="24" t="str">
        <f aca="false">IF(A259="","",IFERROR(buscarx(A259&amp;B259,DATA!$E$3:$E$10000&amp;DATA!$B$3:$B$10000,DATA!$W$3:$W$10000),"No encontrado"))</f>
        <v/>
      </c>
      <c r="E259" s="22"/>
      <c r="F259" s="23" t="str">
        <f aca="false">IF(A259="","",IFERROR(buscarx(A259&amp;E259,DATA!$E$3:$E$10000&amp;DATA!$B$3:$B$10000,DATA!$M$3:$M$10000),"Inactivo"))</f>
        <v/>
      </c>
      <c r="G259" s="25" t="str">
        <f aca="false">IF(A259="","",IF(AND(C259&lt;&gt;"No encontrado",F259&lt;&gt;"Inactivo"),C259&amp;" → "&amp;F259,"Sin transición"))</f>
        <v/>
      </c>
      <c r="H259" s="23" t="str">
        <f aca="false">IF(A259="","",IF(D259="GCIA LINEA SERVICIO DIGITALIDAD Y VENTAS","Chats",IF(OR(D259="GERENCIA INBOUND LÍNEAS SERVICIO Y VENTA",D259="GERENCIA INBOUND LINEAS ESPECIALIZADAS"),"Llamadas","Otro")))</f>
        <v/>
      </c>
      <c r="I259" s="23" t="str">
        <f aca="false">IF(A259="","",IF(C259="No encontrado","No","Sí"))</f>
        <v/>
      </c>
      <c r="J259" s="23" t="str">
        <f aca="false">IF(A259="","",IF(F259="Inactivo","No","Sí"))</f>
        <v/>
      </c>
      <c r="K259" s="23" t="str">
        <f aca="false">IF(A259="","",IF(AND(I259="Sí",J259="Sí"),"Sí","No"))</f>
        <v/>
      </c>
    </row>
    <row r="260" customFormat="false" ht="15" hidden="false" customHeight="false" outlineLevel="0" collapsed="false">
      <c r="A260" s="22"/>
      <c r="B260" s="22"/>
      <c r="C260" s="26" t="str">
        <f aca="false">IF(A260="","",IFERROR(buscarx(A260&amp;B260,DATA!$E$3:$E$10000&amp;DATA!$B$3:$B$10000,DATA!$M$3:$M$10000),"No encontrado"))</f>
        <v/>
      </c>
      <c r="D260" s="27" t="str">
        <f aca="false">IF(A260="","",IFERROR(buscarx(A260&amp;B260,DATA!$E$3:$E$10000&amp;DATA!$B$3:$B$10000,DATA!$W$3:$W$10000),"No encontrado"))</f>
        <v/>
      </c>
      <c r="E260" s="22"/>
      <c r="F260" s="26" t="str">
        <f aca="false">IF(A260="","",IFERROR(buscarx(A260&amp;E260,DATA!$E$3:$E$10000&amp;DATA!$B$3:$B$10000,DATA!$M$3:$M$10000),"Inactivo"))</f>
        <v/>
      </c>
      <c r="G260" s="28" t="str">
        <f aca="false">IF(A260="","",IF(AND(C260&lt;&gt;"No encontrado",F260&lt;&gt;"Inactivo"),C260&amp;" → "&amp;F260,"Sin transición"))</f>
        <v/>
      </c>
      <c r="H260" s="26" t="str">
        <f aca="false">IF(A260="","",IF(D260="GCIA LINEA SERVICIO DIGITALIDAD Y VENTAS","Chats",IF(OR(D260="GERENCIA INBOUND LÍNEAS SERVICIO Y VENTA",D260="GERENCIA INBOUND LINEAS ESPECIALIZADAS"),"Llamadas","Otro")))</f>
        <v/>
      </c>
      <c r="I260" s="26" t="str">
        <f aca="false">IF(A260="","",IF(C260="No encontrado","No","Sí"))</f>
        <v/>
      </c>
      <c r="J260" s="26" t="str">
        <f aca="false">IF(A260="","",IF(F260="Inactivo","No","Sí"))</f>
        <v/>
      </c>
      <c r="K260" s="26" t="str">
        <f aca="false">IF(A260="","",IF(AND(I260="Sí",J260="Sí"),"Sí","No"))</f>
        <v/>
      </c>
    </row>
    <row r="261" customFormat="false" ht="15" hidden="false" customHeight="false" outlineLevel="0" collapsed="false">
      <c r="A261" s="22"/>
      <c r="B261" s="22"/>
      <c r="C261" s="23" t="str">
        <f aca="false">IF(A261="","",IFERROR(buscarx(A261&amp;B261,DATA!$E$3:$E$10000&amp;DATA!$B$3:$B$10000,DATA!$M$3:$M$10000),"No encontrado"))</f>
        <v/>
      </c>
      <c r="D261" s="24" t="str">
        <f aca="false">IF(A261="","",IFERROR(buscarx(A261&amp;B261,DATA!$E$3:$E$10000&amp;DATA!$B$3:$B$10000,DATA!$W$3:$W$10000),"No encontrado"))</f>
        <v/>
      </c>
      <c r="E261" s="22"/>
      <c r="F261" s="23" t="str">
        <f aca="false">IF(A261="","",IFERROR(buscarx(A261&amp;E261,DATA!$E$3:$E$10000&amp;DATA!$B$3:$B$10000,DATA!$M$3:$M$10000),"Inactivo"))</f>
        <v/>
      </c>
      <c r="G261" s="25" t="str">
        <f aca="false">IF(A261="","",IF(AND(C261&lt;&gt;"No encontrado",F261&lt;&gt;"Inactivo"),C261&amp;" → "&amp;F261,"Sin transición"))</f>
        <v/>
      </c>
      <c r="H261" s="23" t="str">
        <f aca="false">IF(A261="","",IF(D261="GCIA LINEA SERVICIO DIGITALIDAD Y VENTAS","Chats",IF(OR(D261="GERENCIA INBOUND LÍNEAS SERVICIO Y VENTA",D261="GERENCIA INBOUND LINEAS ESPECIALIZADAS"),"Llamadas","Otro")))</f>
        <v/>
      </c>
      <c r="I261" s="23" t="str">
        <f aca="false">IF(A261="","",IF(C261="No encontrado","No","Sí"))</f>
        <v/>
      </c>
      <c r="J261" s="23" t="str">
        <f aca="false">IF(A261="","",IF(F261="Inactivo","No","Sí"))</f>
        <v/>
      </c>
      <c r="K261" s="23" t="str">
        <f aca="false">IF(A261="","",IF(AND(I261="Sí",J261="Sí"),"Sí","No"))</f>
        <v/>
      </c>
    </row>
    <row r="262" customFormat="false" ht="15" hidden="false" customHeight="false" outlineLevel="0" collapsed="false">
      <c r="A262" s="22"/>
      <c r="B262" s="22"/>
      <c r="C262" s="26" t="str">
        <f aca="false">IF(A262="","",IFERROR(buscarx(A262&amp;B262,DATA!$E$3:$E$10000&amp;DATA!$B$3:$B$10000,DATA!$M$3:$M$10000),"No encontrado"))</f>
        <v/>
      </c>
      <c r="D262" s="27" t="str">
        <f aca="false">IF(A262="","",IFERROR(buscarx(A262&amp;B262,DATA!$E$3:$E$10000&amp;DATA!$B$3:$B$10000,DATA!$W$3:$W$10000),"No encontrado"))</f>
        <v/>
      </c>
      <c r="E262" s="22"/>
      <c r="F262" s="26" t="str">
        <f aca="false">IF(A262="","",IFERROR(buscarx(A262&amp;E262,DATA!$E$3:$E$10000&amp;DATA!$B$3:$B$10000,DATA!$M$3:$M$10000),"Inactivo"))</f>
        <v/>
      </c>
      <c r="G262" s="28" t="str">
        <f aca="false">IF(A262="","",IF(AND(C262&lt;&gt;"No encontrado",F262&lt;&gt;"Inactivo"),C262&amp;" → "&amp;F262,"Sin transición"))</f>
        <v/>
      </c>
      <c r="H262" s="26" t="str">
        <f aca="false">IF(A262="","",IF(D262="GCIA LINEA SERVICIO DIGITALIDAD Y VENTAS","Chats",IF(OR(D262="GERENCIA INBOUND LÍNEAS SERVICIO Y VENTA",D262="GERENCIA INBOUND LINEAS ESPECIALIZADAS"),"Llamadas","Otro")))</f>
        <v/>
      </c>
      <c r="I262" s="26" t="str">
        <f aca="false">IF(A262="","",IF(C262="No encontrado","No","Sí"))</f>
        <v/>
      </c>
      <c r="J262" s="26" t="str">
        <f aca="false">IF(A262="","",IF(F262="Inactivo","No","Sí"))</f>
        <v/>
      </c>
      <c r="K262" s="26" t="str">
        <f aca="false">IF(A262="","",IF(AND(I262="Sí",J262="Sí"),"Sí","No"))</f>
        <v/>
      </c>
    </row>
    <row r="263" customFormat="false" ht="15" hidden="false" customHeight="false" outlineLevel="0" collapsed="false">
      <c r="A263" s="22"/>
      <c r="B263" s="22"/>
      <c r="C263" s="23" t="str">
        <f aca="false">IF(A263="","",IFERROR(buscarx(A263&amp;B263,DATA!$E$3:$E$10000&amp;DATA!$B$3:$B$10000,DATA!$M$3:$M$10000),"No encontrado"))</f>
        <v/>
      </c>
      <c r="D263" s="24" t="str">
        <f aca="false">IF(A263="","",IFERROR(buscarx(A263&amp;B263,DATA!$E$3:$E$10000&amp;DATA!$B$3:$B$10000,DATA!$W$3:$W$10000),"No encontrado"))</f>
        <v/>
      </c>
      <c r="E263" s="22"/>
      <c r="F263" s="23" t="str">
        <f aca="false">IF(A263="","",IFERROR(buscarx(A263&amp;E263,DATA!$E$3:$E$10000&amp;DATA!$B$3:$B$10000,DATA!$M$3:$M$10000),"Inactivo"))</f>
        <v/>
      </c>
      <c r="G263" s="25" t="str">
        <f aca="false">IF(A263="","",IF(AND(C263&lt;&gt;"No encontrado",F263&lt;&gt;"Inactivo"),C263&amp;" → "&amp;F263,"Sin transición"))</f>
        <v/>
      </c>
      <c r="H263" s="23" t="str">
        <f aca="false">IF(A263="","",IF(D263="GCIA LINEA SERVICIO DIGITALIDAD Y VENTAS","Chats",IF(OR(D263="GERENCIA INBOUND LÍNEAS SERVICIO Y VENTA",D263="GERENCIA INBOUND LINEAS ESPECIALIZADAS"),"Llamadas","Otro")))</f>
        <v/>
      </c>
      <c r="I263" s="23" t="str">
        <f aca="false">IF(A263="","",IF(C263="No encontrado","No","Sí"))</f>
        <v/>
      </c>
      <c r="J263" s="23" t="str">
        <f aca="false">IF(A263="","",IF(F263="Inactivo","No","Sí"))</f>
        <v/>
      </c>
      <c r="K263" s="23" t="str">
        <f aca="false">IF(A263="","",IF(AND(I263="Sí",J263="Sí"),"Sí","No"))</f>
        <v/>
      </c>
    </row>
    <row r="264" customFormat="false" ht="15" hidden="false" customHeight="false" outlineLevel="0" collapsed="false">
      <c r="A264" s="22"/>
      <c r="B264" s="22"/>
      <c r="C264" s="26" t="str">
        <f aca="false">IF(A264="","",IFERROR(buscarx(A264&amp;B264,DATA!$E$3:$E$10000&amp;DATA!$B$3:$B$10000,DATA!$M$3:$M$10000),"No encontrado"))</f>
        <v/>
      </c>
      <c r="D264" s="27" t="str">
        <f aca="false">IF(A264="","",IFERROR(buscarx(A264&amp;B264,DATA!$E$3:$E$10000&amp;DATA!$B$3:$B$10000,DATA!$W$3:$W$10000),"No encontrado"))</f>
        <v/>
      </c>
      <c r="E264" s="22"/>
      <c r="F264" s="26" t="str">
        <f aca="false">IF(A264="","",IFERROR(buscarx(A264&amp;E264,DATA!$E$3:$E$10000&amp;DATA!$B$3:$B$10000,DATA!$M$3:$M$10000),"Inactivo"))</f>
        <v/>
      </c>
      <c r="G264" s="28" t="str">
        <f aca="false">IF(A264="","",IF(AND(C264&lt;&gt;"No encontrado",F264&lt;&gt;"Inactivo"),C264&amp;" → "&amp;F264,"Sin transición"))</f>
        <v/>
      </c>
      <c r="H264" s="26" t="str">
        <f aca="false">IF(A264="","",IF(D264="GCIA LINEA SERVICIO DIGITALIDAD Y VENTAS","Chats",IF(OR(D264="GERENCIA INBOUND LÍNEAS SERVICIO Y VENTA",D264="GERENCIA INBOUND LINEAS ESPECIALIZADAS"),"Llamadas","Otro")))</f>
        <v/>
      </c>
      <c r="I264" s="26" t="str">
        <f aca="false">IF(A264="","",IF(C264="No encontrado","No","Sí"))</f>
        <v/>
      </c>
      <c r="J264" s="26" t="str">
        <f aca="false">IF(A264="","",IF(F264="Inactivo","No","Sí"))</f>
        <v/>
      </c>
      <c r="K264" s="26" t="str">
        <f aca="false">IF(A264="","",IF(AND(I264="Sí",J264="Sí"),"Sí","No"))</f>
        <v/>
      </c>
    </row>
    <row r="265" customFormat="false" ht="15" hidden="false" customHeight="false" outlineLevel="0" collapsed="false">
      <c r="A265" s="22"/>
      <c r="B265" s="22"/>
      <c r="C265" s="23" t="str">
        <f aca="false">IF(A265="","",IFERROR(buscarx(A265&amp;B265,DATA!$E$3:$E$10000&amp;DATA!$B$3:$B$10000,DATA!$M$3:$M$10000),"No encontrado"))</f>
        <v/>
      </c>
      <c r="D265" s="24" t="str">
        <f aca="false">IF(A265="","",IFERROR(buscarx(A265&amp;B265,DATA!$E$3:$E$10000&amp;DATA!$B$3:$B$10000,DATA!$W$3:$W$10000),"No encontrado"))</f>
        <v/>
      </c>
      <c r="E265" s="22"/>
      <c r="F265" s="23" t="str">
        <f aca="false">IF(A265="","",IFERROR(buscarx(A265&amp;E265,DATA!$E$3:$E$10000&amp;DATA!$B$3:$B$10000,DATA!$M$3:$M$10000),"Inactivo"))</f>
        <v/>
      </c>
      <c r="G265" s="25" t="str">
        <f aca="false">IF(A265="","",IF(AND(C265&lt;&gt;"No encontrado",F265&lt;&gt;"Inactivo"),C265&amp;" → "&amp;F265,"Sin transición"))</f>
        <v/>
      </c>
      <c r="H265" s="23" t="str">
        <f aca="false">IF(A265="","",IF(D265="GCIA LINEA SERVICIO DIGITALIDAD Y VENTAS","Chats",IF(OR(D265="GERENCIA INBOUND LÍNEAS SERVICIO Y VENTA",D265="GERENCIA INBOUND LINEAS ESPECIALIZADAS"),"Llamadas","Otro")))</f>
        <v/>
      </c>
      <c r="I265" s="23" t="str">
        <f aca="false">IF(A265="","",IF(C265="No encontrado","No","Sí"))</f>
        <v/>
      </c>
      <c r="J265" s="23" t="str">
        <f aca="false">IF(A265="","",IF(F265="Inactivo","No","Sí"))</f>
        <v/>
      </c>
      <c r="K265" s="23" t="str">
        <f aca="false">IF(A265="","",IF(AND(I265="Sí",J265="Sí"),"Sí","No"))</f>
        <v/>
      </c>
    </row>
    <row r="266" customFormat="false" ht="15" hidden="false" customHeight="false" outlineLevel="0" collapsed="false">
      <c r="A266" s="22"/>
      <c r="B266" s="22"/>
      <c r="C266" s="26" t="str">
        <f aca="false">IF(A266="","",IFERROR(buscarx(A266&amp;B266,DATA!$E$3:$E$10000&amp;DATA!$B$3:$B$10000,DATA!$M$3:$M$10000),"No encontrado"))</f>
        <v/>
      </c>
      <c r="D266" s="27" t="str">
        <f aca="false">IF(A266="","",IFERROR(buscarx(A266&amp;B266,DATA!$E$3:$E$10000&amp;DATA!$B$3:$B$10000,DATA!$W$3:$W$10000),"No encontrado"))</f>
        <v/>
      </c>
      <c r="E266" s="22"/>
      <c r="F266" s="26" t="str">
        <f aca="false">IF(A266="","",IFERROR(buscarx(A266&amp;E266,DATA!$E$3:$E$10000&amp;DATA!$B$3:$B$10000,DATA!$M$3:$M$10000),"Inactivo"))</f>
        <v/>
      </c>
      <c r="G266" s="28" t="str">
        <f aca="false">IF(A266="","",IF(AND(C266&lt;&gt;"No encontrado",F266&lt;&gt;"Inactivo"),C266&amp;" → "&amp;F266,"Sin transición"))</f>
        <v/>
      </c>
      <c r="H266" s="26" t="str">
        <f aca="false">IF(A266="","",IF(D266="GCIA LINEA SERVICIO DIGITALIDAD Y VENTAS","Chats",IF(OR(D266="GERENCIA INBOUND LÍNEAS SERVICIO Y VENTA",D266="GERENCIA INBOUND LINEAS ESPECIALIZADAS"),"Llamadas","Otro")))</f>
        <v/>
      </c>
      <c r="I266" s="26" t="str">
        <f aca="false">IF(A266="","",IF(C266="No encontrado","No","Sí"))</f>
        <v/>
      </c>
      <c r="J266" s="26" t="str">
        <f aca="false">IF(A266="","",IF(F266="Inactivo","No","Sí"))</f>
        <v/>
      </c>
      <c r="K266" s="26" t="str">
        <f aca="false">IF(A266="","",IF(AND(I266="Sí",J266="Sí"),"Sí","No"))</f>
        <v/>
      </c>
    </row>
    <row r="267" customFormat="false" ht="15" hidden="false" customHeight="false" outlineLevel="0" collapsed="false">
      <c r="A267" s="22"/>
      <c r="B267" s="22"/>
      <c r="C267" s="23" t="str">
        <f aca="false">IF(A267="","",IFERROR(buscarx(A267&amp;B267,DATA!$E$3:$E$10000&amp;DATA!$B$3:$B$10000,DATA!$M$3:$M$10000),"No encontrado"))</f>
        <v/>
      </c>
      <c r="D267" s="24" t="str">
        <f aca="false">IF(A267="","",IFERROR(buscarx(A267&amp;B267,DATA!$E$3:$E$10000&amp;DATA!$B$3:$B$10000,DATA!$W$3:$W$10000),"No encontrado"))</f>
        <v/>
      </c>
      <c r="E267" s="22"/>
      <c r="F267" s="23" t="str">
        <f aca="false">IF(A267="","",IFERROR(buscarx(A267&amp;E267,DATA!$E$3:$E$10000&amp;DATA!$B$3:$B$10000,DATA!$M$3:$M$10000),"Inactivo"))</f>
        <v/>
      </c>
      <c r="G267" s="25" t="str">
        <f aca="false">IF(A267="","",IF(AND(C267&lt;&gt;"No encontrado",F267&lt;&gt;"Inactivo"),C267&amp;" → "&amp;F267,"Sin transición"))</f>
        <v/>
      </c>
      <c r="H267" s="23" t="str">
        <f aca="false">IF(A267="","",IF(D267="GCIA LINEA SERVICIO DIGITALIDAD Y VENTAS","Chats",IF(OR(D267="GERENCIA INBOUND LÍNEAS SERVICIO Y VENTA",D267="GERENCIA INBOUND LINEAS ESPECIALIZADAS"),"Llamadas","Otro")))</f>
        <v/>
      </c>
      <c r="I267" s="23" t="str">
        <f aca="false">IF(A267="","",IF(C267="No encontrado","No","Sí"))</f>
        <v/>
      </c>
      <c r="J267" s="23" t="str">
        <f aca="false">IF(A267="","",IF(F267="Inactivo","No","Sí"))</f>
        <v/>
      </c>
      <c r="K267" s="23" t="str">
        <f aca="false">IF(A267="","",IF(AND(I267="Sí",J267="Sí"),"Sí","No"))</f>
        <v/>
      </c>
    </row>
    <row r="268" customFormat="false" ht="15" hidden="false" customHeight="false" outlineLevel="0" collapsed="false">
      <c r="A268" s="22"/>
      <c r="B268" s="22"/>
      <c r="C268" s="26" t="str">
        <f aca="false">IF(A268="","",IFERROR(buscarx(A268&amp;B268,DATA!$E$3:$E$10000&amp;DATA!$B$3:$B$10000,DATA!$M$3:$M$10000),"No encontrado"))</f>
        <v/>
      </c>
      <c r="D268" s="27" t="str">
        <f aca="false">IF(A268="","",IFERROR(buscarx(A268&amp;B268,DATA!$E$3:$E$10000&amp;DATA!$B$3:$B$10000,DATA!$W$3:$W$10000),"No encontrado"))</f>
        <v/>
      </c>
      <c r="E268" s="22"/>
      <c r="F268" s="26" t="str">
        <f aca="false">IF(A268="","",IFERROR(buscarx(A268&amp;E268,DATA!$E$3:$E$10000&amp;DATA!$B$3:$B$10000,DATA!$M$3:$M$10000),"Inactivo"))</f>
        <v/>
      </c>
      <c r="G268" s="28" t="str">
        <f aca="false">IF(A268="","",IF(AND(C268&lt;&gt;"No encontrado",F268&lt;&gt;"Inactivo"),C268&amp;" → "&amp;F268,"Sin transición"))</f>
        <v/>
      </c>
      <c r="H268" s="26" t="str">
        <f aca="false">IF(A268="","",IF(D268="GCIA LINEA SERVICIO DIGITALIDAD Y VENTAS","Chats",IF(OR(D268="GERENCIA INBOUND LÍNEAS SERVICIO Y VENTA",D268="GERENCIA INBOUND LINEAS ESPECIALIZADAS"),"Llamadas","Otro")))</f>
        <v/>
      </c>
      <c r="I268" s="26" t="str">
        <f aca="false">IF(A268="","",IF(C268="No encontrado","No","Sí"))</f>
        <v/>
      </c>
      <c r="J268" s="26" t="str">
        <f aca="false">IF(A268="","",IF(F268="Inactivo","No","Sí"))</f>
        <v/>
      </c>
      <c r="K268" s="26" t="str">
        <f aca="false">IF(A268="","",IF(AND(I268="Sí",J268="Sí"),"Sí","No"))</f>
        <v/>
      </c>
    </row>
    <row r="269" customFormat="false" ht="15" hidden="false" customHeight="false" outlineLevel="0" collapsed="false">
      <c r="A269" s="22"/>
      <c r="B269" s="22"/>
      <c r="C269" s="23" t="str">
        <f aca="false">IF(A269="","",IFERROR(buscarx(A269&amp;B269,DATA!$E$3:$E$10000&amp;DATA!$B$3:$B$10000,DATA!$M$3:$M$10000),"No encontrado"))</f>
        <v/>
      </c>
      <c r="D269" s="24" t="str">
        <f aca="false">IF(A269="","",IFERROR(buscarx(A269&amp;B269,DATA!$E$3:$E$10000&amp;DATA!$B$3:$B$10000,DATA!$W$3:$W$10000),"No encontrado"))</f>
        <v/>
      </c>
      <c r="E269" s="22"/>
      <c r="F269" s="23" t="str">
        <f aca="false">IF(A269="","",IFERROR(buscarx(A269&amp;E269,DATA!$E$3:$E$10000&amp;DATA!$B$3:$B$10000,DATA!$M$3:$M$10000),"Inactivo"))</f>
        <v/>
      </c>
      <c r="G269" s="25" t="str">
        <f aca="false">IF(A269="","",IF(AND(C269&lt;&gt;"No encontrado",F269&lt;&gt;"Inactivo"),C269&amp;" → "&amp;F269,"Sin transición"))</f>
        <v/>
      </c>
      <c r="H269" s="23" t="str">
        <f aca="false">IF(A269="","",IF(D269="GCIA LINEA SERVICIO DIGITALIDAD Y VENTAS","Chats",IF(OR(D269="GERENCIA INBOUND LÍNEAS SERVICIO Y VENTA",D269="GERENCIA INBOUND LINEAS ESPECIALIZADAS"),"Llamadas","Otro")))</f>
        <v/>
      </c>
      <c r="I269" s="23" t="str">
        <f aca="false">IF(A269="","",IF(C269="No encontrado","No","Sí"))</f>
        <v/>
      </c>
      <c r="J269" s="23" t="str">
        <f aca="false">IF(A269="","",IF(F269="Inactivo","No","Sí"))</f>
        <v/>
      </c>
      <c r="K269" s="23" t="str">
        <f aca="false">IF(A269="","",IF(AND(I269="Sí",J269="Sí"),"Sí","No"))</f>
        <v/>
      </c>
    </row>
    <row r="270" customFormat="false" ht="15" hidden="false" customHeight="false" outlineLevel="0" collapsed="false">
      <c r="A270" s="22"/>
      <c r="B270" s="22"/>
      <c r="C270" s="26" t="str">
        <f aca="false">IF(A270="","",IFERROR(buscarx(A270&amp;B270,DATA!$E$3:$E$10000&amp;DATA!$B$3:$B$10000,DATA!$M$3:$M$10000),"No encontrado"))</f>
        <v/>
      </c>
      <c r="D270" s="27" t="str">
        <f aca="false">IF(A270="","",IFERROR(buscarx(A270&amp;B270,DATA!$E$3:$E$10000&amp;DATA!$B$3:$B$10000,DATA!$W$3:$W$10000),"No encontrado"))</f>
        <v/>
      </c>
      <c r="E270" s="22"/>
      <c r="F270" s="26" t="str">
        <f aca="false">IF(A270="","",IFERROR(buscarx(A270&amp;E270,DATA!$E$3:$E$10000&amp;DATA!$B$3:$B$10000,DATA!$M$3:$M$10000),"Inactivo"))</f>
        <v/>
      </c>
      <c r="G270" s="28" t="str">
        <f aca="false">IF(A270="","",IF(AND(C270&lt;&gt;"No encontrado",F270&lt;&gt;"Inactivo"),C270&amp;" → "&amp;F270,"Sin transición"))</f>
        <v/>
      </c>
      <c r="H270" s="26" t="str">
        <f aca="false">IF(A270="","",IF(D270="GCIA LINEA SERVICIO DIGITALIDAD Y VENTAS","Chats",IF(OR(D270="GERENCIA INBOUND LÍNEAS SERVICIO Y VENTA",D270="GERENCIA INBOUND LINEAS ESPECIALIZADAS"),"Llamadas","Otro")))</f>
        <v/>
      </c>
      <c r="I270" s="26" t="str">
        <f aca="false">IF(A270="","",IF(C270="No encontrado","No","Sí"))</f>
        <v/>
      </c>
      <c r="J270" s="26" t="str">
        <f aca="false">IF(A270="","",IF(F270="Inactivo","No","Sí"))</f>
        <v/>
      </c>
      <c r="K270" s="26" t="str">
        <f aca="false">IF(A270="","",IF(AND(I270="Sí",J270="Sí"),"Sí","No"))</f>
        <v/>
      </c>
    </row>
    <row r="271" customFormat="false" ht="15" hidden="false" customHeight="false" outlineLevel="0" collapsed="false">
      <c r="A271" s="22"/>
      <c r="B271" s="22"/>
      <c r="C271" s="23" t="str">
        <f aca="false">IF(A271="","",IFERROR(buscarx(A271&amp;B271,DATA!$E$3:$E$10000&amp;DATA!$B$3:$B$10000,DATA!$M$3:$M$10000),"No encontrado"))</f>
        <v/>
      </c>
      <c r="D271" s="24" t="str">
        <f aca="false">IF(A271="","",IFERROR(buscarx(A271&amp;B271,DATA!$E$3:$E$10000&amp;DATA!$B$3:$B$10000,DATA!$W$3:$W$10000),"No encontrado"))</f>
        <v/>
      </c>
      <c r="E271" s="22"/>
      <c r="F271" s="23" t="str">
        <f aca="false">IF(A271="","",IFERROR(buscarx(A271&amp;E271,DATA!$E$3:$E$10000&amp;DATA!$B$3:$B$10000,DATA!$M$3:$M$10000),"Inactivo"))</f>
        <v/>
      </c>
      <c r="G271" s="25" t="str">
        <f aca="false">IF(A271="","",IF(AND(C271&lt;&gt;"No encontrado",F271&lt;&gt;"Inactivo"),C271&amp;" → "&amp;F271,"Sin transición"))</f>
        <v/>
      </c>
      <c r="H271" s="23" t="str">
        <f aca="false">IF(A271="","",IF(D271="GCIA LINEA SERVICIO DIGITALIDAD Y VENTAS","Chats",IF(OR(D271="GERENCIA INBOUND LÍNEAS SERVICIO Y VENTA",D271="GERENCIA INBOUND LINEAS ESPECIALIZADAS"),"Llamadas","Otro")))</f>
        <v/>
      </c>
      <c r="I271" s="23" t="str">
        <f aca="false">IF(A271="","",IF(C271="No encontrado","No","Sí"))</f>
        <v/>
      </c>
      <c r="J271" s="23" t="str">
        <f aca="false">IF(A271="","",IF(F271="Inactivo","No","Sí"))</f>
        <v/>
      </c>
      <c r="K271" s="23" t="str">
        <f aca="false">IF(A271="","",IF(AND(I271="Sí",J271="Sí"),"Sí","No"))</f>
        <v/>
      </c>
    </row>
    <row r="272" customFormat="false" ht="15" hidden="false" customHeight="false" outlineLevel="0" collapsed="false">
      <c r="A272" s="22"/>
      <c r="B272" s="22"/>
      <c r="C272" s="26" t="str">
        <f aca="false">IF(A272="","",IFERROR(buscarx(A272&amp;B272,DATA!$E$3:$E$10000&amp;DATA!$B$3:$B$10000,DATA!$M$3:$M$10000),"No encontrado"))</f>
        <v/>
      </c>
      <c r="D272" s="27" t="str">
        <f aca="false">IF(A272="","",IFERROR(buscarx(A272&amp;B272,DATA!$E$3:$E$10000&amp;DATA!$B$3:$B$10000,DATA!$W$3:$W$10000),"No encontrado"))</f>
        <v/>
      </c>
      <c r="E272" s="22"/>
      <c r="F272" s="26" t="str">
        <f aca="false">IF(A272="","",IFERROR(buscarx(A272&amp;E272,DATA!$E$3:$E$10000&amp;DATA!$B$3:$B$10000,DATA!$M$3:$M$10000),"Inactivo"))</f>
        <v/>
      </c>
      <c r="G272" s="28" t="str">
        <f aca="false">IF(A272="","",IF(AND(C272&lt;&gt;"No encontrado",F272&lt;&gt;"Inactivo"),C272&amp;" → "&amp;F272,"Sin transición"))</f>
        <v/>
      </c>
      <c r="H272" s="26" t="str">
        <f aca="false">IF(A272="","",IF(D272="GCIA LINEA SERVICIO DIGITALIDAD Y VENTAS","Chats",IF(OR(D272="GERENCIA INBOUND LÍNEAS SERVICIO Y VENTA",D272="GERENCIA INBOUND LINEAS ESPECIALIZADAS"),"Llamadas","Otro")))</f>
        <v/>
      </c>
      <c r="I272" s="26" t="str">
        <f aca="false">IF(A272="","",IF(C272="No encontrado","No","Sí"))</f>
        <v/>
      </c>
      <c r="J272" s="26" t="str">
        <f aca="false">IF(A272="","",IF(F272="Inactivo","No","Sí"))</f>
        <v/>
      </c>
      <c r="K272" s="26" t="str">
        <f aca="false">IF(A272="","",IF(AND(I272="Sí",J272="Sí"),"Sí","No"))</f>
        <v/>
      </c>
    </row>
    <row r="273" customFormat="false" ht="15" hidden="false" customHeight="false" outlineLevel="0" collapsed="false">
      <c r="A273" s="22"/>
      <c r="B273" s="22"/>
      <c r="C273" s="23" t="str">
        <f aca="false">IF(A273="","",IFERROR(buscarx(A273&amp;B273,DATA!$E$3:$E$10000&amp;DATA!$B$3:$B$10000,DATA!$M$3:$M$10000),"No encontrado"))</f>
        <v/>
      </c>
      <c r="D273" s="24" t="str">
        <f aca="false">IF(A273="","",IFERROR(buscarx(A273&amp;B273,DATA!$E$3:$E$10000&amp;DATA!$B$3:$B$10000,DATA!$W$3:$W$10000),"No encontrado"))</f>
        <v/>
      </c>
      <c r="E273" s="22"/>
      <c r="F273" s="23" t="str">
        <f aca="false">IF(A273="","",IFERROR(buscarx(A273&amp;E273,DATA!$E$3:$E$10000&amp;DATA!$B$3:$B$10000,DATA!$M$3:$M$10000),"Inactivo"))</f>
        <v/>
      </c>
      <c r="G273" s="25" t="str">
        <f aca="false">IF(A273="","",IF(AND(C273&lt;&gt;"No encontrado",F273&lt;&gt;"Inactivo"),C273&amp;" → "&amp;F273,"Sin transición"))</f>
        <v/>
      </c>
      <c r="H273" s="23" t="str">
        <f aca="false">IF(A273="","",IF(D273="GCIA LINEA SERVICIO DIGITALIDAD Y VENTAS","Chats",IF(OR(D273="GERENCIA INBOUND LÍNEAS SERVICIO Y VENTA",D273="GERENCIA INBOUND LINEAS ESPECIALIZADAS"),"Llamadas","Otro")))</f>
        <v/>
      </c>
      <c r="I273" s="23" t="str">
        <f aca="false">IF(A273="","",IF(C273="No encontrado","No","Sí"))</f>
        <v/>
      </c>
      <c r="J273" s="23" t="str">
        <f aca="false">IF(A273="","",IF(F273="Inactivo","No","Sí"))</f>
        <v/>
      </c>
      <c r="K273" s="23" t="str">
        <f aca="false">IF(A273="","",IF(AND(I273="Sí",J273="Sí"),"Sí","No"))</f>
        <v/>
      </c>
    </row>
    <row r="274" customFormat="false" ht="15" hidden="false" customHeight="false" outlineLevel="0" collapsed="false">
      <c r="A274" s="22"/>
      <c r="B274" s="22"/>
      <c r="C274" s="26" t="str">
        <f aca="false">IF(A274="","",IFERROR(buscarx(A274&amp;B274,DATA!$E$3:$E$10000&amp;DATA!$B$3:$B$10000,DATA!$M$3:$M$10000),"No encontrado"))</f>
        <v/>
      </c>
      <c r="D274" s="27" t="str">
        <f aca="false">IF(A274="","",IFERROR(buscarx(A274&amp;B274,DATA!$E$3:$E$10000&amp;DATA!$B$3:$B$10000,DATA!$W$3:$W$10000),"No encontrado"))</f>
        <v/>
      </c>
      <c r="E274" s="22"/>
      <c r="F274" s="26" t="str">
        <f aca="false">IF(A274="","",IFERROR(buscarx(A274&amp;E274,DATA!$E$3:$E$10000&amp;DATA!$B$3:$B$10000,DATA!$M$3:$M$10000),"Inactivo"))</f>
        <v/>
      </c>
      <c r="G274" s="28" t="str">
        <f aca="false">IF(A274="","",IF(AND(C274&lt;&gt;"No encontrado",F274&lt;&gt;"Inactivo"),C274&amp;" → "&amp;F274,"Sin transición"))</f>
        <v/>
      </c>
      <c r="H274" s="26" t="str">
        <f aca="false">IF(A274="","",IF(D274="GCIA LINEA SERVICIO DIGITALIDAD Y VENTAS","Chats",IF(OR(D274="GERENCIA INBOUND LÍNEAS SERVICIO Y VENTA",D274="GERENCIA INBOUND LINEAS ESPECIALIZADAS"),"Llamadas","Otro")))</f>
        <v/>
      </c>
      <c r="I274" s="26" t="str">
        <f aca="false">IF(A274="","",IF(C274="No encontrado","No","Sí"))</f>
        <v/>
      </c>
      <c r="J274" s="26" t="str">
        <f aca="false">IF(A274="","",IF(F274="Inactivo","No","Sí"))</f>
        <v/>
      </c>
      <c r="K274" s="26" t="str">
        <f aca="false">IF(A274="","",IF(AND(I274="Sí",J274="Sí"),"Sí","No"))</f>
        <v/>
      </c>
    </row>
    <row r="275" customFormat="false" ht="15" hidden="false" customHeight="false" outlineLevel="0" collapsed="false">
      <c r="A275" s="22"/>
      <c r="B275" s="22"/>
      <c r="C275" s="23" t="str">
        <f aca="false">IF(A275="","",IFERROR(buscarx(A275&amp;B275,DATA!$E$3:$E$10000&amp;DATA!$B$3:$B$10000,DATA!$M$3:$M$10000),"No encontrado"))</f>
        <v/>
      </c>
      <c r="D275" s="24" t="str">
        <f aca="false">IF(A275="","",IFERROR(buscarx(A275&amp;B275,DATA!$E$3:$E$10000&amp;DATA!$B$3:$B$10000,DATA!$W$3:$W$10000),"No encontrado"))</f>
        <v/>
      </c>
      <c r="E275" s="22"/>
      <c r="F275" s="23" t="str">
        <f aca="false">IF(A275="","",IFERROR(buscarx(A275&amp;E275,DATA!$E$3:$E$10000&amp;DATA!$B$3:$B$10000,DATA!$M$3:$M$10000),"Inactivo"))</f>
        <v/>
      </c>
      <c r="G275" s="25" t="str">
        <f aca="false">IF(A275="","",IF(AND(C275&lt;&gt;"No encontrado",F275&lt;&gt;"Inactivo"),C275&amp;" → "&amp;F275,"Sin transición"))</f>
        <v/>
      </c>
      <c r="H275" s="23" t="str">
        <f aca="false">IF(A275="","",IF(D275="GCIA LINEA SERVICIO DIGITALIDAD Y VENTAS","Chats",IF(OR(D275="GERENCIA INBOUND LÍNEAS SERVICIO Y VENTA",D275="GERENCIA INBOUND LINEAS ESPECIALIZADAS"),"Llamadas","Otro")))</f>
        <v/>
      </c>
      <c r="I275" s="23" t="str">
        <f aca="false">IF(A275="","",IF(C275="No encontrado","No","Sí"))</f>
        <v/>
      </c>
      <c r="J275" s="23" t="str">
        <f aca="false">IF(A275="","",IF(F275="Inactivo","No","Sí"))</f>
        <v/>
      </c>
      <c r="K275" s="23" t="str">
        <f aca="false">IF(A275="","",IF(AND(I275="Sí",J275="Sí"),"Sí","No"))</f>
        <v/>
      </c>
    </row>
    <row r="276" customFormat="false" ht="15" hidden="false" customHeight="false" outlineLevel="0" collapsed="false">
      <c r="A276" s="22"/>
      <c r="B276" s="22"/>
      <c r="C276" s="26" t="str">
        <f aca="false">IF(A276="","",IFERROR(buscarx(A276&amp;B276,DATA!$E$3:$E$10000&amp;DATA!$B$3:$B$10000,DATA!$M$3:$M$10000),"No encontrado"))</f>
        <v/>
      </c>
      <c r="D276" s="27" t="str">
        <f aca="false">IF(A276="","",IFERROR(buscarx(A276&amp;B276,DATA!$E$3:$E$10000&amp;DATA!$B$3:$B$10000,DATA!$W$3:$W$10000),"No encontrado"))</f>
        <v/>
      </c>
      <c r="E276" s="22"/>
      <c r="F276" s="26" t="str">
        <f aca="false">IF(A276="","",IFERROR(buscarx(A276&amp;E276,DATA!$E$3:$E$10000&amp;DATA!$B$3:$B$10000,DATA!$M$3:$M$10000),"Inactivo"))</f>
        <v/>
      </c>
      <c r="G276" s="28" t="str">
        <f aca="false">IF(A276="","",IF(AND(C276&lt;&gt;"No encontrado",F276&lt;&gt;"Inactivo"),C276&amp;" → "&amp;F276,"Sin transición"))</f>
        <v/>
      </c>
      <c r="H276" s="26" t="str">
        <f aca="false">IF(A276="","",IF(D276="GCIA LINEA SERVICIO DIGITALIDAD Y VENTAS","Chats",IF(OR(D276="GERENCIA INBOUND LÍNEAS SERVICIO Y VENTA",D276="GERENCIA INBOUND LINEAS ESPECIALIZADAS"),"Llamadas","Otro")))</f>
        <v/>
      </c>
      <c r="I276" s="26" t="str">
        <f aca="false">IF(A276="","",IF(C276="No encontrado","No","Sí"))</f>
        <v/>
      </c>
      <c r="J276" s="26" t="str">
        <f aca="false">IF(A276="","",IF(F276="Inactivo","No","Sí"))</f>
        <v/>
      </c>
      <c r="K276" s="26" t="str">
        <f aca="false">IF(A276="","",IF(AND(I276="Sí",J276="Sí"),"Sí","No"))</f>
        <v/>
      </c>
    </row>
    <row r="277" customFormat="false" ht="15" hidden="false" customHeight="false" outlineLevel="0" collapsed="false">
      <c r="A277" s="22"/>
      <c r="B277" s="22"/>
      <c r="C277" s="23" t="str">
        <f aca="false">IF(A277="","",IFERROR(buscarx(A277&amp;B277,DATA!$E$3:$E$10000&amp;DATA!$B$3:$B$10000,DATA!$M$3:$M$10000),"No encontrado"))</f>
        <v/>
      </c>
      <c r="D277" s="24" t="str">
        <f aca="false">IF(A277="","",IFERROR(buscarx(A277&amp;B277,DATA!$E$3:$E$10000&amp;DATA!$B$3:$B$10000,DATA!$W$3:$W$10000),"No encontrado"))</f>
        <v/>
      </c>
      <c r="E277" s="22"/>
      <c r="F277" s="23" t="str">
        <f aca="false">IF(A277="","",IFERROR(buscarx(A277&amp;E277,DATA!$E$3:$E$10000&amp;DATA!$B$3:$B$10000,DATA!$M$3:$M$10000),"Inactivo"))</f>
        <v/>
      </c>
      <c r="G277" s="25" t="str">
        <f aca="false">IF(A277="","",IF(AND(C277&lt;&gt;"No encontrado",F277&lt;&gt;"Inactivo"),C277&amp;" → "&amp;F277,"Sin transición"))</f>
        <v/>
      </c>
      <c r="H277" s="23" t="str">
        <f aca="false">IF(A277="","",IF(D277="GCIA LINEA SERVICIO DIGITALIDAD Y VENTAS","Chats",IF(OR(D277="GERENCIA INBOUND LÍNEAS SERVICIO Y VENTA",D277="GERENCIA INBOUND LINEAS ESPECIALIZADAS"),"Llamadas","Otro")))</f>
        <v/>
      </c>
      <c r="I277" s="23" t="str">
        <f aca="false">IF(A277="","",IF(C277="No encontrado","No","Sí"))</f>
        <v/>
      </c>
      <c r="J277" s="23" t="str">
        <f aca="false">IF(A277="","",IF(F277="Inactivo","No","Sí"))</f>
        <v/>
      </c>
      <c r="K277" s="23" t="str">
        <f aca="false">IF(A277="","",IF(AND(I277="Sí",J277="Sí"),"Sí","No"))</f>
        <v/>
      </c>
    </row>
    <row r="278" customFormat="false" ht="15" hidden="false" customHeight="false" outlineLevel="0" collapsed="false">
      <c r="A278" s="22"/>
      <c r="B278" s="22"/>
      <c r="C278" s="26" t="str">
        <f aca="false">IF(A278="","",IFERROR(buscarx(A278&amp;B278,DATA!$E$3:$E$10000&amp;DATA!$B$3:$B$10000,DATA!$M$3:$M$10000),"No encontrado"))</f>
        <v/>
      </c>
      <c r="D278" s="27" t="str">
        <f aca="false">IF(A278="","",IFERROR(buscarx(A278&amp;B278,DATA!$E$3:$E$10000&amp;DATA!$B$3:$B$10000,DATA!$W$3:$W$10000),"No encontrado"))</f>
        <v/>
      </c>
      <c r="E278" s="22"/>
      <c r="F278" s="26" t="str">
        <f aca="false">IF(A278="","",IFERROR(buscarx(A278&amp;E278,DATA!$E$3:$E$10000&amp;DATA!$B$3:$B$10000,DATA!$M$3:$M$10000),"Inactivo"))</f>
        <v/>
      </c>
      <c r="G278" s="28" t="str">
        <f aca="false">IF(A278="","",IF(AND(C278&lt;&gt;"No encontrado",F278&lt;&gt;"Inactivo"),C278&amp;" → "&amp;F278,"Sin transición"))</f>
        <v/>
      </c>
      <c r="H278" s="26" t="str">
        <f aca="false">IF(A278="","",IF(D278="GCIA LINEA SERVICIO DIGITALIDAD Y VENTAS","Chats",IF(OR(D278="GERENCIA INBOUND LÍNEAS SERVICIO Y VENTA",D278="GERENCIA INBOUND LINEAS ESPECIALIZADAS"),"Llamadas","Otro")))</f>
        <v/>
      </c>
      <c r="I278" s="26" t="str">
        <f aca="false">IF(A278="","",IF(C278="No encontrado","No","Sí"))</f>
        <v/>
      </c>
      <c r="J278" s="26" t="str">
        <f aca="false">IF(A278="","",IF(F278="Inactivo","No","Sí"))</f>
        <v/>
      </c>
      <c r="K278" s="26" t="str">
        <f aca="false">IF(A278="","",IF(AND(I278="Sí",J278="Sí"),"Sí","No"))</f>
        <v/>
      </c>
    </row>
    <row r="279" customFormat="false" ht="15" hidden="false" customHeight="false" outlineLevel="0" collapsed="false">
      <c r="A279" s="22"/>
      <c r="B279" s="22"/>
      <c r="C279" s="23" t="str">
        <f aca="false">IF(A279="","",IFERROR(buscarx(A279&amp;B279,DATA!$E$3:$E$10000&amp;DATA!$B$3:$B$10000,DATA!$M$3:$M$10000),"No encontrado"))</f>
        <v/>
      </c>
      <c r="D279" s="24" t="str">
        <f aca="false">IF(A279="","",IFERROR(buscarx(A279&amp;B279,DATA!$E$3:$E$10000&amp;DATA!$B$3:$B$10000,DATA!$W$3:$W$10000),"No encontrado"))</f>
        <v/>
      </c>
      <c r="E279" s="22"/>
      <c r="F279" s="23" t="str">
        <f aca="false">IF(A279="","",IFERROR(buscarx(A279&amp;E279,DATA!$E$3:$E$10000&amp;DATA!$B$3:$B$10000,DATA!$M$3:$M$10000),"Inactivo"))</f>
        <v/>
      </c>
      <c r="G279" s="25" t="str">
        <f aca="false">IF(A279="","",IF(AND(C279&lt;&gt;"No encontrado",F279&lt;&gt;"Inactivo"),C279&amp;" → "&amp;F279,"Sin transición"))</f>
        <v/>
      </c>
      <c r="H279" s="23" t="str">
        <f aca="false">IF(A279="","",IF(D279="GCIA LINEA SERVICIO DIGITALIDAD Y VENTAS","Chats",IF(OR(D279="GERENCIA INBOUND LÍNEAS SERVICIO Y VENTA",D279="GERENCIA INBOUND LINEAS ESPECIALIZADAS"),"Llamadas","Otro")))</f>
        <v/>
      </c>
      <c r="I279" s="23" t="str">
        <f aca="false">IF(A279="","",IF(C279="No encontrado","No","Sí"))</f>
        <v/>
      </c>
      <c r="J279" s="23" t="str">
        <f aca="false">IF(A279="","",IF(F279="Inactivo","No","Sí"))</f>
        <v/>
      </c>
      <c r="K279" s="23" t="str">
        <f aca="false">IF(A279="","",IF(AND(I279="Sí",J279="Sí"),"Sí","No"))</f>
        <v/>
      </c>
    </row>
    <row r="280" customFormat="false" ht="15" hidden="false" customHeight="false" outlineLevel="0" collapsed="false">
      <c r="A280" s="22"/>
      <c r="B280" s="22"/>
      <c r="C280" s="26" t="str">
        <f aca="false">IF(A280="","",IFERROR(buscarx(A280&amp;B280,DATA!$E$3:$E$10000&amp;DATA!$B$3:$B$10000,DATA!$M$3:$M$10000),"No encontrado"))</f>
        <v/>
      </c>
      <c r="D280" s="27" t="str">
        <f aca="false">IF(A280="","",IFERROR(buscarx(A280&amp;B280,DATA!$E$3:$E$10000&amp;DATA!$B$3:$B$10000,DATA!$W$3:$W$10000),"No encontrado"))</f>
        <v/>
      </c>
      <c r="E280" s="22"/>
      <c r="F280" s="26" t="str">
        <f aca="false">IF(A280="","",IFERROR(buscarx(A280&amp;E280,DATA!$E$3:$E$10000&amp;DATA!$B$3:$B$10000,DATA!$M$3:$M$10000),"Inactivo"))</f>
        <v/>
      </c>
      <c r="G280" s="28" t="str">
        <f aca="false">IF(A280="","",IF(AND(C280&lt;&gt;"No encontrado",F280&lt;&gt;"Inactivo"),C280&amp;" → "&amp;F280,"Sin transición"))</f>
        <v/>
      </c>
      <c r="H280" s="26" t="str">
        <f aca="false">IF(A280="","",IF(D280="GCIA LINEA SERVICIO DIGITALIDAD Y VENTAS","Chats",IF(OR(D280="GERENCIA INBOUND LÍNEAS SERVICIO Y VENTA",D280="GERENCIA INBOUND LINEAS ESPECIALIZADAS"),"Llamadas","Otro")))</f>
        <v/>
      </c>
      <c r="I280" s="26" t="str">
        <f aca="false">IF(A280="","",IF(C280="No encontrado","No","Sí"))</f>
        <v/>
      </c>
      <c r="J280" s="26" t="str">
        <f aca="false">IF(A280="","",IF(F280="Inactivo","No","Sí"))</f>
        <v/>
      </c>
      <c r="K280" s="26" t="str">
        <f aca="false">IF(A280="","",IF(AND(I280="Sí",J280="Sí"),"Sí","No"))</f>
        <v/>
      </c>
    </row>
    <row r="281" customFormat="false" ht="15" hidden="false" customHeight="false" outlineLevel="0" collapsed="false">
      <c r="A281" s="22"/>
      <c r="B281" s="22"/>
      <c r="C281" s="23" t="str">
        <f aca="false">IF(A281="","",IFERROR(buscarx(A281&amp;B281,DATA!$E$3:$E$10000&amp;DATA!$B$3:$B$10000,DATA!$M$3:$M$10000),"No encontrado"))</f>
        <v/>
      </c>
      <c r="D281" s="24" t="str">
        <f aca="false">IF(A281="","",IFERROR(buscarx(A281&amp;B281,DATA!$E$3:$E$10000&amp;DATA!$B$3:$B$10000,DATA!$W$3:$W$10000),"No encontrado"))</f>
        <v/>
      </c>
      <c r="E281" s="22"/>
      <c r="F281" s="23" t="str">
        <f aca="false">IF(A281="","",IFERROR(buscarx(A281&amp;E281,DATA!$E$3:$E$10000&amp;DATA!$B$3:$B$10000,DATA!$M$3:$M$10000),"Inactivo"))</f>
        <v/>
      </c>
      <c r="G281" s="25" t="str">
        <f aca="false">IF(A281="","",IF(AND(C281&lt;&gt;"No encontrado",F281&lt;&gt;"Inactivo"),C281&amp;" → "&amp;F281,"Sin transición"))</f>
        <v/>
      </c>
      <c r="H281" s="23" t="str">
        <f aca="false">IF(A281="","",IF(D281="GCIA LINEA SERVICIO DIGITALIDAD Y VENTAS","Chats",IF(OR(D281="GERENCIA INBOUND LÍNEAS SERVICIO Y VENTA",D281="GERENCIA INBOUND LINEAS ESPECIALIZADAS"),"Llamadas","Otro")))</f>
        <v/>
      </c>
      <c r="I281" s="23" t="str">
        <f aca="false">IF(A281="","",IF(C281="No encontrado","No","Sí"))</f>
        <v/>
      </c>
      <c r="J281" s="23" t="str">
        <f aca="false">IF(A281="","",IF(F281="Inactivo","No","Sí"))</f>
        <v/>
      </c>
      <c r="K281" s="23" t="str">
        <f aca="false">IF(A281="","",IF(AND(I281="Sí",J281="Sí"),"Sí","No"))</f>
        <v/>
      </c>
    </row>
    <row r="282" customFormat="false" ht="15" hidden="false" customHeight="false" outlineLevel="0" collapsed="false">
      <c r="A282" s="22"/>
      <c r="B282" s="22"/>
      <c r="C282" s="26" t="str">
        <f aca="false">IF(A282="","",IFERROR(buscarx(A282&amp;B282,DATA!$E$3:$E$10000&amp;DATA!$B$3:$B$10000,DATA!$M$3:$M$10000),"No encontrado"))</f>
        <v/>
      </c>
      <c r="D282" s="27" t="str">
        <f aca="false">IF(A282="","",IFERROR(buscarx(A282&amp;B282,DATA!$E$3:$E$10000&amp;DATA!$B$3:$B$10000,DATA!$W$3:$W$10000),"No encontrado"))</f>
        <v/>
      </c>
      <c r="E282" s="22"/>
      <c r="F282" s="26" t="str">
        <f aca="false">IF(A282="","",IFERROR(buscarx(A282&amp;E282,DATA!$E$3:$E$10000&amp;DATA!$B$3:$B$10000,DATA!$M$3:$M$10000),"Inactivo"))</f>
        <v/>
      </c>
      <c r="G282" s="28" t="str">
        <f aca="false">IF(A282="","",IF(AND(C282&lt;&gt;"No encontrado",F282&lt;&gt;"Inactivo"),C282&amp;" → "&amp;F282,"Sin transición"))</f>
        <v/>
      </c>
      <c r="H282" s="26" t="str">
        <f aca="false">IF(A282="","",IF(D282="GCIA LINEA SERVICIO DIGITALIDAD Y VENTAS","Chats",IF(OR(D282="GERENCIA INBOUND LÍNEAS SERVICIO Y VENTA",D282="GERENCIA INBOUND LINEAS ESPECIALIZADAS"),"Llamadas","Otro")))</f>
        <v/>
      </c>
      <c r="I282" s="26" t="str">
        <f aca="false">IF(A282="","",IF(C282="No encontrado","No","Sí"))</f>
        <v/>
      </c>
      <c r="J282" s="26" t="str">
        <f aca="false">IF(A282="","",IF(F282="Inactivo","No","Sí"))</f>
        <v/>
      </c>
      <c r="K282" s="26" t="str">
        <f aca="false">IF(A282="","",IF(AND(I282="Sí",J282="Sí"),"Sí","No"))</f>
        <v/>
      </c>
    </row>
    <row r="283" customFormat="false" ht="15" hidden="false" customHeight="false" outlineLevel="0" collapsed="false">
      <c r="A283" s="22"/>
      <c r="B283" s="22"/>
      <c r="C283" s="23" t="str">
        <f aca="false">IF(A283="","",IFERROR(buscarx(A283&amp;B283,DATA!$E$3:$E$10000&amp;DATA!$B$3:$B$10000,DATA!$M$3:$M$10000),"No encontrado"))</f>
        <v/>
      </c>
      <c r="D283" s="24" t="str">
        <f aca="false">IF(A283="","",IFERROR(buscarx(A283&amp;B283,DATA!$E$3:$E$10000&amp;DATA!$B$3:$B$10000,DATA!$W$3:$W$10000),"No encontrado"))</f>
        <v/>
      </c>
      <c r="E283" s="22"/>
      <c r="F283" s="23" t="str">
        <f aca="false">IF(A283="","",IFERROR(buscarx(A283&amp;E283,DATA!$E$3:$E$10000&amp;DATA!$B$3:$B$10000,DATA!$M$3:$M$10000),"Inactivo"))</f>
        <v/>
      </c>
      <c r="G283" s="25" t="str">
        <f aca="false">IF(A283="","",IF(AND(C283&lt;&gt;"No encontrado",F283&lt;&gt;"Inactivo"),C283&amp;" → "&amp;F283,"Sin transición"))</f>
        <v/>
      </c>
      <c r="H283" s="23" t="str">
        <f aca="false">IF(A283="","",IF(D283="GCIA LINEA SERVICIO DIGITALIDAD Y VENTAS","Chats",IF(OR(D283="GERENCIA INBOUND LÍNEAS SERVICIO Y VENTA",D283="GERENCIA INBOUND LINEAS ESPECIALIZADAS"),"Llamadas","Otro")))</f>
        <v/>
      </c>
      <c r="I283" s="23" t="str">
        <f aca="false">IF(A283="","",IF(C283="No encontrado","No","Sí"))</f>
        <v/>
      </c>
      <c r="J283" s="23" t="str">
        <f aca="false">IF(A283="","",IF(F283="Inactivo","No","Sí"))</f>
        <v/>
      </c>
      <c r="K283" s="23" t="str">
        <f aca="false">IF(A283="","",IF(AND(I283="Sí",J283="Sí"),"Sí","No"))</f>
        <v/>
      </c>
    </row>
    <row r="284" customFormat="false" ht="15" hidden="false" customHeight="false" outlineLevel="0" collapsed="false">
      <c r="A284" s="22"/>
      <c r="B284" s="22"/>
      <c r="C284" s="26" t="str">
        <f aca="false">IF(A284="","",IFERROR(buscarx(A284&amp;B284,DATA!$E$3:$E$10000&amp;DATA!$B$3:$B$10000,DATA!$M$3:$M$10000),"No encontrado"))</f>
        <v/>
      </c>
      <c r="D284" s="27" t="str">
        <f aca="false">IF(A284="","",IFERROR(buscarx(A284&amp;B284,DATA!$E$3:$E$10000&amp;DATA!$B$3:$B$10000,DATA!$W$3:$W$10000),"No encontrado"))</f>
        <v/>
      </c>
      <c r="E284" s="22"/>
      <c r="F284" s="26" t="str">
        <f aca="false">IF(A284="","",IFERROR(buscarx(A284&amp;E284,DATA!$E$3:$E$10000&amp;DATA!$B$3:$B$10000,DATA!$M$3:$M$10000),"Inactivo"))</f>
        <v/>
      </c>
      <c r="G284" s="28" t="str">
        <f aca="false">IF(A284="","",IF(AND(C284&lt;&gt;"No encontrado",F284&lt;&gt;"Inactivo"),C284&amp;" → "&amp;F284,"Sin transición"))</f>
        <v/>
      </c>
      <c r="H284" s="26" t="str">
        <f aca="false">IF(A284="","",IF(D284="GCIA LINEA SERVICIO DIGITALIDAD Y VENTAS","Chats",IF(OR(D284="GERENCIA INBOUND LÍNEAS SERVICIO Y VENTA",D284="GERENCIA INBOUND LINEAS ESPECIALIZADAS"),"Llamadas","Otro")))</f>
        <v/>
      </c>
      <c r="I284" s="26" t="str">
        <f aca="false">IF(A284="","",IF(C284="No encontrado","No","Sí"))</f>
        <v/>
      </c>
      <c r="J284" s="26" t="str">
        <f aca="false">IF(A284="","",IF(F284="Inactivo","No","Sí"))</f>
        <v/>
      </c>
      <c r="K284" s="26" t="str">
        <f aca="false">IF(A284="","",IF(AND(I284="Sí",J284="Sí"),"Sí","No"))</f>
        <v/>
      </c>
    </row>
    <row r="285" customFormat="false" ht="15" hidden="false" customHeight="false" outlineLevel="0" collapsed="false">
      <c r="A285" s="22"/>
      <c r="B285" s="22"/>
      <c r="C285" s="23" t="str">
        <f aca="false">IF(A285="","",IFERROR(buscarx(A285&amp;B285,DATA!$E$3:$E$10000&amp;DATA!$B$3:$B$10000,DATA!$M$3:$M$10000),"No encontrado"))</f>
        <v/>
      </c>
      <c r="D285" s="24" t="str">
        <f aca="false">IF(A285="","",IFERROR(buscarx(A285&amp;B285,DATA!$E$3:$E$10000&amp;DATA!$B$3:$B$10000,DATA!$W$3:$W$10000),"No encontrado"))</f>
        <v/>
      </c>
      <c r="E285" s="22"/>
      <c r="F285" s="23" t="str">
        <f aca="false">IF(A285="","",IFERROR(buscarx(A285&amp;E285,DATA!$E$3:$E$10000&amp;DATA!$B$3:$B$10000,DATA!$M$3:$M$10000),"Inactivo"))</f>
        <v/>
      </c>
      <c r="G285" s="25" t="str">
        <f aca="false">IF(A285="","",IF(AND(C285&lt;&gt;"No encontrado",F285&lt;&gt;"Inactivo"),C285&amp;" → "&amp;F285,"Sin transición"))</f>
        <v/>
      </c>
      <c r="H285" s="23" t="str">
        <f aca="false">IF(A285="","",IF(D285="GCIA LINEA SERVICIO DIGITALIDAD Y VENTAS","Chats",IF(OR(D285="GERENCIA INBOUND LÍNEAS SERVICIO Y VENTA",D285="GERENCIA INBOUND LINEAS ESPECIALIZADAS"),"Llamadas","Otro")))</f>
        <v/>
      </c>
      <c r="I285" s="23" t="str">
        <f aca="false">IF(A285="","",IF(C285="No encontrado","No","Sí"))</f>
        <v/>
      </c>
      <c r="J285" s="23" t="str">
        <f aca="false">IF(A285="","",IF(F285="Inactivo","No","Sí"))</f>
        <v/>
      </c>
      <c r="K285" s="23" t="str">
        <f aca="false">IF(A285="","",IF(AND(I285="Sí",J285="Sí"),"Sí","No"))</f>
        <v/>
      </c>
    </row>
    <row r="286" customFormat="false" ht="15" hidden="false" customHeight="false" outlineLevel="0" collapsed="false">
      <c r="A286" s="22"/>
      <c r="B286" s="22"/>
      <c r="C286" s="26" t="str">
        <f aca="false">IF(A286="","",IFERROR(buscarx(A286&amp;B286,DATA!$E$3:$E$10000&amp;DATA!$B$3:$B$10000,DATA!$M$3:$M$10000),"No encontrado"))</f>
        <v/>
      </c>
      <c r="D286" s="27" t="str">
        <f aca="false">IF(A286="","",IFERROR(buscarx(A286&amp;B286,DATA!$E$3:$E$10000&amp;DATA!$B$3:$B$10000,DATA!$W$3:$W$10000),"No encontrado"))</f>
        <v/>
      </c>
      <c r="E286" s="22"/>
      <c r="F286" s="26" t="str">
        <f aca="false">IF(A286="","",IFERROR(buscarx(A286&amp;E286,DATA!$E$3:$E$10000&amp;DATA!$B$3:$B$10000,DATA!$M$3:$M$10000),"Inactivo"))</f>
        <v/>
      </c>
      <c r="G286" s="28" t="str">
        <f aca="false">IF(A286="","",IF(AND(C286&lt;&gt;"No encontrado",F286&lt;&gt;"Inactivo"),C286&amp;" → "&amp;F286,"Sin transición"))</f>
        <v/>
      </c>
      <c r="H286" s="26" t="str">
        <f aca="false">IF(A286="","",IF(D286="GCIA LINEA SERVICIO DIGITALIDAD Y VENTAS","Chats",IF(OR(D286="GERENCIA INBOUND LÍNEAS SERVICIO Y VENTA",D286="GERENCIA INBOUND LINEAS ESPECIALIZADAS"),"Llamadas","Otro")))</f>
        <v/>
      </c>
      <c r="I286" s="26" t="str">
        <f aca="false">IF(A286="","",IF(C286="No encontrado","No","Sí"))</f>
        <v/>
      </c>
      <c r="J286" s="26" t="str">
        <f aca="false">IF(A286="","",IF(F286="Inactivo","No","Sí"))</f>
        <v/>
      </c>
      <c r="K286" s="26" t="str">
        <f aca="false">IF(A286="","",IF(AND(I286="Sí",J286="Sí"),"Sí","No"))</f>
        <v/>
      </c>
    </row>
    <row r="287" customFormat="false" ht="15" hidden="false" customHeight="false" outlineLevel="0" collapsed="false">
      <c r="A287" s="22"/>
      <c r="B287" s="22"/>
      <c r="C287" s="23" t="str">
        <f aca="false">IF(A287="","",IFERROR(buscarx(A287&amp;B287,DATA!$E$3:$E$10000&amp;DATA!$B$3:$B$10000,DATA!$M$3:$M$10000),"No encontrado"))</f>
        <v/>
      </c>
      <c r="D287" s="24" t="str">
        <f aca="false">IF(A287="","",IFERROR(buscarx(A287&amp;B287,DATA!$E$3:$E$10000&amp;DATA!$B$3:$B$10000,DATA!$W$3:$W$10000),"No encontrado"))</f>
        <v/>
      </c>
      <c r="E287" s="22"/>
      <c r="F287" s="23" t="str">
        <f aca="false">IF(A287="","",IFERROR(buscarx(A287&amp;E287,DATA!$E$3:$E$10000&amp;DATA!$B$3:$B$10000,DATA!$M$3:$M$10000),"Inactivo"))</f>
        <v/>
      </c>
      <c r="G287" s="25" t="str">
        <f aca="false">IF(A287="","",IF(AND(C287&lt;&gt;"No encontrado",F287&lt;&gt;"Inactivo"),C287&amp;" → "&amp;F287,"Sin transición"))</f>
        <v/>
      </c>
      <c r="H287" s="23" t="str">
        <f aca="false">IF(A287="","",IF(D287="GCIA LINEA SERVICIO DIGITALIDAD Y VENTAS","Chats",IF(OR(D287="GERENCIA INBOUND LÍNEAS SERVICIO Y VENTA",D287="GERENCIA INBOUND LINEAS ESPECIALIZADAS"),"Llamadas","Otro")))</f>
        <v/>
      </c>
      <c r="I287" s="23" t="str">
        <f aca="false">IF(A287="","",IF(C287="No encontrado","No","Sí"))</f>
        <v/>
      </c>
      <c r="J287" s="23" t="str">
        <f aca="false">IF(A287="","",IF(F287="Inactivo","No","Sí"))</f>
        <v/>
      </c>
      <c r="K287" s="23" t="str">
        <f aca="false">IF(A287="","",IF(AND(I287="Sí",J287="Sí"),"Sí","No"))</f>
        <v/>
      </c>
    </row>
    <row r="288" customFormat="false" ht="15" hidden="false" customHeight="false" outlineLevel="0" collapsed="false">
      <c r="A288" s="22"/>
      <c r="B288" s="22"/>
      <c r="C288" s="26" t="str">
        <f aca="false">IF(A288="","",IFERROR(buscarx(A288&amp;B288,DATA!$E$3:$E$10000&amp;DATA!$B$3:$B$10000,DATA!$M$3:$M$10000),"No encontrado"))</f>
        <v/>
      </c>
      <c r="D288" s="27" t="str">
        <f aca="false">IF(A288="","",IFERROR(buscarx(A288&amp;B288,DATA!$E$3:$E$10000&amp;DATA!$B$3:$B$10000,DATA!$W$3:$W$10000),"No encontrado"))</f>
        <v/>
      </c>
      <c r="E288" s="22"/>
      <c r="F288" s="26" t="str">
        <f aca="false">IF(A288="","",IFERROR(buscarx(A288&amp;E288,DATA!$E$3:$E$10000&amp;DATA!$B$3:$B$10000,DATA!$M$3:$M$10000),"Inactivo"))</f>
        <v/>
      </c>
      <c r="G288" s="28" t="str">
        <f aca="false">IF(A288="","",IF(AND(C288&lt;&gt;"No encontrado",F288&lt;&gt;"Inactivo"),C288&amp;" → "&amp;F288,"Sin transición"))</f>
        <v/>
      </c>
      <c r="H288" s="26" t="str">
        <f aca="false">IF(A288="","",IF(D288="GCIA LINEA SERVICIO DIGITALIDAD Y VENTAS","Chats",IF(OR(D288="GERENCIA INBOUND LÍNEAS SERVICIO Y VENTA",D288="GERENCIA INBOUND LINEAS ESPECIALIZADAS"),"Llamadas","Otro")))</f>
        <v/>
      </c>
      <c r="I288" s="26" t="str">
        <f aca="false">IF(A288="","",IF(C288="No encontrado","No","Sí"))</f>
        <v/>
      </c>
      <c r="J288" s="26" t="str">
        <f aca="false">IF(A288="","",IF(F288="Inactivo","No","Sí"))</f>
        <v/>
      </c>
      <c r="K288" s="26" t="str">
        <f aca="false">IF(A288="","",IF(AND(I288="Sí",J288="Sí"),"Sí","No"))</f>
        <v/>
      </c>
    </row>
    <row r="289" customFormat="false" ht="15" hidden="false" customHeight="false" outlineLevel="0" collapsed="false">
      <c r="A289" s="22"/>
      <c r="B289" s="22"/>
      <c r="C289" s="23" t="str">
        <f aca="false">IF(A289="","",IFERROR(buscarx(A289&amp;B289,DATA!$E$3:$E$10000&amp;DATA!$B$3:$B$10000,DATA!$M$3:$M$10000),"No encontrado"))</f>
        <v/>
      </c>
      <c r="D289" s="24" t="str">
        <f aca="false">IF(A289="","",IFERROR(buscarx(A289&amp;B289,DATA!$E$3:$E$10000&amp;DATA!$B$3:$B$10000,DATA!$W$3:$W$10000),"No encontrado"))</f>
        <v/>
      </c>
      <c r="E289" s="22"/>
      <c r="F289" s="23" t="str">
        <f aca="false">IF(A289="","",IFERROR(buscarx(A289&amp;E289,DATA!$E$3:$E$10000&amp;DATA!$B$3:$B$10000,DATA!$M$3:$M$10000),"Inactivo"))</f>
        <v/>
      </c>
      <c r="G289" s="25" t="str">
        <f aca="false">IF(A289="","",IF(AND(C289&lt;&gt;"No encontrado",F289&lt;&gt;"Inactivo"),C289&amp;" → "&amp;F289,"Sin transición"))</f>
        <v/>
      </c>
      <c r="H289" s="23" t="str">
        <f aca="false">IF(A289="","",IF(D289="GCIA LINEA SERVICIO DIGITALIDAD Y VENTAS","Chats",IF(OR(D289="GERENCIA INBOUND LÍNEAS SERVICIO Y VENTA",D289="GERENCIA INBOUND LINEAS ESPECIALIZADAS"),"Llamadas","Otro")))</f>
        <v/>
      </c>
      <c r="I289" s="23" t="str">
        <f aca="false">IF(A289="","",IF(C289="No encontrado","No","Sí"))</f>
        <v/>
      </c>
      <c r="J289" s="23" t="str">
        <f aca="false">IF(A289="","",IF(F289="Inactivo","No","Sí"))</f>
        <v/>
      </c>
      <c r="K289" s="23" t="str">
        <f aca="false">IF(A289="","",IF(AND(I289="Sí",J289="Sí"),"Sí","No"))</f>
        <v/>
      </c>
    </row>
    <row r="290" customFormat="false" ht="15" hidden="false" customHeight="false" outlineLevel="0" collapsed="false">
      <c r="A290" s="22"/>
      <c r="B290" s="22"/>
      <c r="C290" s="26" t="str">
        <f aca="false">IF(A290="","",IFERROR(buscarx(A290&amp;B290,DATA!$E$3:$E$10000&amp;DATA!$B$3:$B$10000,DATA!$M$3:$M$10000),"No encontrado"))</f>
        <v/>
      </c>
      <c r="D290" s="27" t="str">
        <f aca="false">IF(A290="","",IFERROR(buscarx(A290&amp;B290,DATA!$E$3:$E$10000&amp;DATA!$B$3:$B$10000,DATA!$W$3:$W$10000),"No encontrado"))</f>
        <v/>
      </c>
      <c r="E290" s="22"/>
      <c r="F290" s="26" t="str">
        <f aca="false">IF(A290="","",IFERROR(buscarx(A290&amp;E290,DATA!$E$3:$E$10000&amp;DATA!$B$3:$B$10000,DATA!$M$3:$M$10000),"Inactivo"))</f>
        <v/>
      </c>
      <c r="G290" s="28" t="str">
        <f aca="false">IF(A290="","",IF(AND(C290&lt;&gt;"No encontrado",F290&lt;&gt;"Inactivo"),C290&amp;" → "&amp;F290,"Sin transición"))</f>
        <v/>
      </c>
      <c r="H290" s="26" t="str">
        <f aca="false">IF(A290="","",IF(D290="GCIA LINEA SERVICIO DIGITALIDAD Y VENTAS","Chats",IF(OR(D290="GERENCIA INBOUND LÍNEAS SERVICIO Y VENTA",D290="GERENCIA INBOUND LINEAS ESPECIALIZADAS"),"Llamadas","Otro")))</f>
        <v/>
      </c>
      <c r="I290" s="26" t="str">
        <f aca="false">IF(A290="","",IF(C290="No encontrado","No","Sí"))</f>
        <v/>
      </c>
      <c r="J290" s="26" t="str">
        <f aca="false">IF(A290="","",IF(F290="Inactivo","No","Sí"))</f>
        <v/>
      </c>
      <c r="K290" s="26" t="str">
        <f aca="false">IF(A290="","",IF(AND(I290="Sí",J290="Sí"),"Sí","No"))</f>
        <v/>
      </c>
    </row>
    <row r="291" customFormat="false" ht="15" hidden="false" customHeight="false" outlineLevel="0" collapsed="false">
      <c r="A291" s="22"/>
      <c r="B291" s="22"/>
      <c r="C291" s="23" t="str">
        <f aca="false">IF(A291="","",IFERROR(buscarx(A291&amp;B291,DATA!$E$3:$E$10000&amp;DATA!$B$3:$B$10000,DATA!$M$3:$M$10000),"No encontrado"))</f>
        <v/>
      </c>
      <c r="D291" s="24" t="str">
        <f aca="false">IF(A291="","",IFERROR(buscarx(A291&amp;B291,DATA!$E$3:$E$10000&amp;DATA!$B$3:$B$10000,DATA!$W$3:$W$10000),"No encontrado"))</f>
        <v/>
      </c>
      <c r="E291" s="22"/>
      <c r="F291" s="23" t="str">
        <f aca="false">IF(A291="","",IFERROR(buscarx(A291&amp;E291,DATA!$E$3:$E$10000&amp;DATA!$B$3:$B$10000,DATA!$M$3:$M$10000),"Inactivo"))</f>
        <v/>
      </c>
      <c r="G291" s="25" t="str">
        <f aca="false">IF(A291="","",IF(AND(C291&lt;&gt;"No encontrado",F291&lt;&gt;"Inactivo"),C291&amp;" → "&amp;F291,"Sin transición"))</f>
        <v/>
      </c>
      <c r="H291" s="23" t="str">
        <f aca="false">IF(A291="","",IF(D291="GCIA LINEA SERVICIO DIGITALIDAD Y VENTAS","Chats",IF(OR(D291="GERENCIA INBOUND LÍNEAS SERVICIO Y VENTA",D291="GERENCIA INBOUND LINEAS ESPECIALIZADAS"),"Llamadas","Otro")))</f>
        <v/>
      </c>
      <c r="I291" s="23" t="str">
        <f aca="false">IF(A291="","",IF(C291="No encontrado","No","Sí"))</f>
        <v/>
      </c>
      <c r="J291" s="23" t="str">
        <f aca="false">IF(A291="","",IF(F291="Inactivo","No","Sí"))</f>
        <v/>
      </c>
      <c r="K291" s="23" t="str">
        <f aca="false">IF(A291="","",IF(AND(I291="Sí",J291="Sí"),"Sí","No"))</f>
        <v/>
      </c>
    </row>
    <row r="292" customFormat="false" ht="15" hidden="false" customHeight="false" outlineLevel="0" collapsed="false">
      <c r="A292" s="22"/>
      <c r="B292" s="22"/>
      <c r="C292" s="26" t="str">
        <f aca="false">IF(A292="","",IFERROR(buscarx(A292&amp;B292,DATA!$E$3:$E$10000&amp;DATA!$B$3:$B$10000,DATA!$M$3:$M$10000),"No encontrado"))</f>
        <v/>
      </c>
      <c r="D292" s="27" t="str">
        <f aca="false">IF(A292="","",IFERROR(buscarx(A292&amp;B292,DATA!$E$3:$E$10000&amp;DATA!$B$3:$B$10000,DATA!$W$3:$W$10000),"No encontrado"))</f>
        <v/>
      </c>
      <c r="E292" s="22"/>
      <c r="F292" s="26" t="str">
        <f aca="false">IF(A292="","",IFERROR(buscarx(A292&amp;E292,DATA!$E$3:$E$10000&amp;DATA!$B$3:$B$10000,DATA!$M$3:$M$10000),"Inactivo"))</f>
        <v/>
      </c>
      <c r="G292" s="28" t="str">
        <f aca="false">IF(A292="","",IF(AND(C292&lt;&gt;"No encontrado",F292&lt;&gt;"Inactivo"),C292&amp;" → "&amp;F292,"Sin transición"))</f>
        <v/>
      </c>
      <c r="H292" s="26" t="str">
        <f aca="false">IF(A292="","",IF(D292="GCIA LINEA SERVICIO DIGITALIDAD Y VENTAS","Chats",IF(OR(D292="GERENCIA INBOUND LÍNEAS SERVICIO Y VENTA",D292="GERENCIA INBOUND LINEAS ESPECIALIZADAS"),"Llamadas","Otro")))</f>
        <v/>
      </c>
      <c r="I292" s="26" t="str">
        <f aca="false">IF(A292="","",IF(C292="No encontrado","No","Sí"))</f>
        <v/>
      </c>
      <c r="J292" s="26" t="str">
        <f aca="false">IF(A292="","",IF(F292="Inactivo","No","Sí"))</f>
        <v/>
      </c>
      <c r="K292" s="26" t="str">
        <f aca="false">IF(A292="","",IF(AND(I292="Sí",J292="Sí"),"Sí","No"))</f>
        <v/>
      </c>
    </row>
    <row r="293" customFormat="false" ht="15" hidden="false" customHeight="false" outlineLevel="0" collapsed="false">
      <c r="A293" s="22"/>
      <c r="B293" s="22"/>
      <c r="C293" s="23" t="str">
        <f aca="false">IF(A293="","",IFERROR(buscarx(A293&amp;B293,DATA!$E$3:$E$10000&amp;DATA!$B$3:$B$10000,DATA!$M$3:$M$10000),"No encontrado"))</f>
        <v/>
      </c>
      <c r="D293" s="24" t="str">
        <f aca="false">IF(A293="","",IFERROR(buscarx(A293&amp;B293,DATA!$E$3:$E$10000&amp;DATA!$B$3:$B$10000,DATA!$W$3:$W$10000),"No encontrado"))</f>
        <v/>
      </c>
      <c r="E293" s="22"/>
      <c r="F293" s="23" t="str">
        <f aca="false">IF(A293="","",IFERROR(buscarx(A293&amp;E293,DATA!$E$3:$E$10000&amp;DATA!$B$3:$B$10000,DATA!$M$3:$M$10000),"Inactivo"))</f>
        <v/>
      </c>
      <c r="G293" s="25" t="str">
        <f aca="false">IF(A293="","",IF(AND(C293&lt;&gt;"No encontrado",F293&lt;&gt;"Inactivo"),C293&amp;" → "&amp;F293,"Sin transición"))</f>
        <v/>
      </c>
      <c r="H293" s="23" t="str">
        <f aca="false">IF(A293="","",IF(D293="GCIA LINEA SERVICIO DIGITALIDAD Y VENTAS","Chats",IF(OR(D293="GERENCIA INBOUND LÍNEAS SERVICIO Y VENTA",D293="GERENCIA INBOUND LINEAS ESPECIALIZADAS"),"Llamadas","Otro")))</f>
        <v/>
      </c>
      <c r="I293" s="23" t="str">
        <f aca="false">IF(A293="","",IF(C293="No encontrado","No","Sí"))</f>
        <v/>
      </c>
      <c r="J293" s="23" t="str">
        <f aca="false">IF(A293="","",IF(F293="Inactivo","No","Sí"))</f>
        <v/>
      </c>
      <c r="K293" s="23" t="str">
        <f aca="false">IF(A293="","",IF(AND(I293="Sí",J293="Sí"),"Sí","No"))</f>
        <v/>
      </c>
    </row>
    <row r="294" customFormat="false" ht="15" hidden="false" customHeight="false" outlineLevel="0" collapsed="false">
      <c r="A294" s="22"/>
      <c r="B294" s="22"/>
      <c r="C294" s="26" t="str">
        <f aca="false">IF(A294="","",IFERROR(buscarx(A294&amp;B294,DATA!$E$3:$E$10000&amp;DATA!$B$3:$B$10000,DATA!$M$3:$M$10000),"No encontrado"))</f>
        <v/>
      </c>
      <c r="D294" s="27" t="str">
        <f aca="false">IF(A294="","",IFERROR(buscarx(A294&amp;B294,DATA!$E$3:$E$10000&amp;DATA!$B$3:$B$10000,DATA!$W$3:$W$10000),"No encontrado"))</f>
        <v/>
      </c>
      <c r="E294" s="22"/>
      <c r="F294" s="26" t="str">
        <f aca="false">IF(A294="","",IFERROR(buscarx(A294&amp;E294,DATA!$E$3:$E$10000&amp;DATA!$B$3:$B$10000,DATA!$M$3:$M$10000),"Inactivo"))</f>
        <v/>
      </c>
      <c r="G294" s="28" t="str">
        <f aca="false">IF(A294="","",IF(AND(C294&lt;&gt;"No encontrado",F294&lt;&gt;"Inactivo"),C294&amp;" → "&amp;F294,"Sin transición"))</f>
        <v/>
      </c>
      <c r="H294" s="26" t="str">
        <f aca="false">IF(A294="","",IF(D294="GCIA LINEA SERVICIO DIGITALIDAD Y VENTAS","Chats",IF(OR(D294="GERENCIA INBOUND LÍNEAS SERVICIO Y VENTA",D294="GERENCIA INBOUND LINEAS ESPECIALIZADAS"),"Llamadas","Otro")))</f>
        <v/>
      </c>
      <c r="I294" s="26" t="str">
        <f aca="false">IF(A294="","",IF(C294="No encontrado","No","Sí"))</f>
        <v/>
      </c>
      <c r="J294" s="26" t="str">
        <f aca="false">IF(A294="","",IF(F294="Inactivo","No","Sí"))</f>
        <v/>
      </c>
      <c r="K294" s="26" t="str">
        <f aca="false">IF(A294="","",IF(AND(I294="Sí",J294="Sí"),"Sí","No"))</f>
        <v/>
      </c>
    </row>
    <row r="295" customFormat="false" ht="15" hidden="false" customHeight="false" outlineLevel="0" collapsed="false">
      <c r="A295" s="22"/>
      <c r="B295" s="22"/>
      <c r="C295" s="23" t="str">
        <f aca="false">IF(A295="","",IFERROR(buscarx(A295&amp;B295,DATA!$E$3:$E$10000&amp;DATA!$B$3:$B$10000,DATA!$M$3:$M$10000),"No encontrado"))</f>
        <v/>
      </c>
      <c r="D295" s="24" t="str">
        <f aca="false">IF(A295="","",IFERROR(buscarx(A295&amp;B295,DATA!$E$3:$E$10000&amp;DATA!$B$3:$B$10000,DATA!$W$3:$W$10000),"No encontrado"))</f>
        <v/>
      </c>
      <c r="E295" s="22"/>
      <c r="F295" s="23" t="str">
        <f aca="false">IF(A295="","",IFERROR(buscarx(A295&amp;E295,DATA!$E$3:$E$10000&amp;DATA!$B$3:$B$10000,DATA!$M$3:$M$10000),"Inactivo"))</f>
        <v/>
      </c>
      <c r="G295" s="25" t="str">
        <f aca="false">IF(A295="","",IF(AND(C295&lt;&gt;"No encontrado",F295&lt;&gt;"Inactivo"),C295&amp;" → "&amp;F295,"Sin transición"))</f>
        <v/>
      </c>
      <c r="H295" s="23" t="str">
        <f aca="false">IF(A295="","",IF(D295="GCIA LINEA SERVICIO DIGITALIDAD Y VENTAS","Chats",IF(OR(D295="GERENCIA INBOUND LÍNEAS SERVICIO Y VENTA",D295="GERENCIA INBOUND LINEAS ESPECIALIZADAS"),"Llamadas","Otro")))</f>
        <v/>
      </c>
      <c r="I295" s="23" t="str">
        <f aca="false">IF(A295="","",IF(C295="No encontrado","No","Sí"))</f>
        <v/>
      </c>
      <c r="J295" s="23" t="str">
        <f aca="false">IF(A295="","",IF(F295="Inactivo","No","Sí"))</f>
        <v/>
      </c>
      <c r="K295" s="23" t="str">
        <f aca="false">IF(A295="","",IF(AND(I295="Sí",J295="Sí"),"Sí","No"))</f>
        <v/>
      </c>
    </row>
    <row r="296" customFormat="false" ht="15" hidden="false" customHeight="false" outlineLevel="0" collapsed="false">
      <c r="A296" s="22"/>
      <c r="B296" s="22"/>
      <c r="C296" s="26" t="str">
        <f aca="false">IF(A296="","",IFERROR(buscarx(A296&amp;B296,DATA!$E$3:$E$10000&amp;DATA!$B$3:$B$10000,DATA!$M$3:$M$10000),"No encontrado"))</f>
        <v/>
      </c>
      <c r="D296" s="27" t="str">
        <f aca="false">IF(A296="","",IFERROR(buscarx(A296&amp;B296,DATA!$E$3:$E$10000&amp;DATA!$B$3:$B$10000,DATA!$W$3:$W$10000),"No encontrado"))</f>
        <v/>
      </c>
      <c r="E296" s="22"/>
      <c r="F296" s="26" t="str">
        <f aca="false">IF(A296="","",IFERROR(buscarx(A296&amp;E296,DATA!$E$3:$E$10000&amp;DATA!$B$3:$B$10000,DATA!$M$3:$M$10000),"Inactivo"))</f>
        <v/>
      </c>
      <c r="G296" s="28" t="str">
        <f aca="false">IF(A296="","",IF(AND(C296&lt;&gt;"No encontrado",F296&lt;&gt;"Inactivo"),C296&amp;" → "&amp;F296,"Sin transición"))</f>
        <v/>
      </c>
      <c r="H296" s="26" t="str">
        <f aca="false">IF(A296="","",IF(D296="GCIA LINEA SERVICIO DIGITALIDAD Y VENTAS","Chats",IF(OR(D296="GERENCIA INBOUND LÍNEAS SERVICIO Y VENTA",D296="GERENCIA INBOUND LINEAS ESPECIALIZADAS"),"Llamadas","Otro")))</f>
        <v/>
      </c>
      <c r="I296" s="26" t="str">
        <f aca="false">IF(A296="","",IF(C296="No encontrado","No","Sí"))</f>
        <v/>
      </c>
      <c r="J296" s="26" t="str">
        <f aca="false">IF(A296="","",IF(F296="Inactivo","No","Sí"))</f>
        <v/>
      </c>
      <c r="K296" s="26" t="str">
        <f aca="false">IF(A296="","",IF(AND(I296="Sí",J296="Sí"),"Sí","No"))</f>
        <v/>
      </c>
    </row>
    <row r="297" customFormat="false" ht="15" hidden="false" customHeight="false" outlineLevel="0" collapsed="false">
      <c r="A297" s="22"/>
      <c r="B297" s="22"/>
      <c r="C297" s="23" t="str">
        <f aca="false">IF(A297="","",IFERROR(buscarx(A297&amp;B297,DATA!$E$3:$E$10000&amp;DATA!$B$3:$B$10000,DATA!$M$3:$M$10000),"No encontrado"))</f>
        <v/>
      </c>
      <c r="D297" s="24" t="str">
        <f aca="false">IF(A297="","",IFERROR(buscarx(A297&amp;B297,DATA!$E$3:$E$10000&amp;DATA!$B$3:$B$10000,DATA!$W$3:$W$10000),"No encontrado"))</f>
        <v/>
      </c>
      <c r="E297" s="22"/>
      <c r="F297" s="23" t="str">
        <f aca="false">IF(A297="","",IFERROR(buscarx(A297&amp;E297,DATA!$E$3:$E$10000&amp;DATA!$B$3:$B$10000,DATA!$M$3:$M$10000),"Inactivo"))</f>
        <v/>
      </c>
      <c r="G297" s="25" t="str">
        <f aca="false">IF(A297="","",IF(AND(C297&lt;&gt;"No encontrado",F297&lt;&gt;"Inactivo"),C297&amp;" → "&amp;F297,"Sin transición"))</f>
        <v/>
      </c>
      <c r="H297" s="23" t="str">
        <f aca="false">IF(A297="","",IF(D297="GCIA LINEA SERVICIO DIGITALIDAD Y VENTAS","Chats",IF(OR(D297="GERENCIA INBOUND LÍNEAS SERVICIO Y VENTA",D297="GERENCIA INBOUND LINEAS ESPECIALIZADAS"),"Llamadas","Otro")))</f>
        <v/>
      </c>
      <c r="I297" s="23" t="str">
        <f aca="false">IF(A297="","",IF(C297="No encontrado","No","Sí"))</f>
        <v/>
      </c>
      <c r="J297" s="23" t="str">
        <f aca="false">IF(A297="","",IF(F297="Inactivo","No","Sí"))</f>
        <v/>
      </c>
      <c r="K297" s="23" t="str">
        <f aca="false">IF(A297="","",IF(AND(I297="Sí",J297="Sí"),"Sí","No"))</f>
        <v/>
      </c>
    </row>
    <row r="298" customFormat="false" ht="15" hidden="false" customHeight="false" outlineLevel="0" collapsed="false">
      <c r="A298" s="22"/>
      <c r="B298" s="22"/>
      <c r="C298" s="26" t="str">
        <f aca="false">IF(A298="","",IFERROR(buscarx(A298&amp;B298,DATA!$E$3:$E$10000&amp;DATA!$B$3:$B$10000,DATA!$M$3:$M$10000),"No encontrado"))</f>
        <v/>
      </c>
      <c r="D298" s="27" t="str">
        <f aca="false">IF(A298="","",IFERROR(buscarx(A298&amp;B298,DATA!$E$3:$E$10000&amp;DATA!$B$3:$B$10000,DATA!$W$3:$W$10000),"No encontrado"))</f>
        <v/>
      </c>
      <c r="E298" s="22"/>
      <c r="F298" s="26" t="str">
        <f aca="false">IF(A298="","",IFERROR(buscarx(A298&amp;E298,DATA!$E$3:$E$10000&amp;DATA!$B$3:$B$10000,DATA!$M$3:$M$10000),"Inactivo"))</f>
        <v/>
      </c>
      <c r="G298" s="28" t="str">
        <f aca="false">IF(A298="","",IF(AND(C298&lt;&gt;"No encontrado",F298&lt;&gt;"Inactivo"),C298&amp;" → "&amp;F298,"Sin transición"))</f>
        <v/>
      </c>
      <c r="H298" s="26" t="str">
        <f aca="false">IF(A298="","",IF(D298="GCIA LINEA SERVICIO DIGITALIDAD Y VENTAS","Chats",IF(OR(D298="GERENCIA INBOUND LÍNEAS SERVICIO Y VENTA",D298="GERENCIA INBOUND LINEAS ESPECIALIZADAS"),"Llamadas","Otro")))</f>
        <v/>
      </c>
      <c r="I298" s="26" t="str">
        <f aca="false">IF(A298="","",IF(C298="No encontrado","No","Sí"))</f>
        <v/>
      </c>
      <c r="J298" s="26" t="str">
        <f aca="false">IF(A298="","",IF(F298="Inactivo","No","Sí"))</f>
        <v/>
      </c>
      <c r="K298" s="26" t="str">
        <f aca="false">IF(A298="","",IF(AND(I298="Sí",J298="Sí"),"Sí","No"))</f>
        <v/>
      </c>
    </row>
    <row r="299" customFormat="false" ht="15" hidden="false" customHeight="false" outlineLevel="0" collapsed="false">
      <c r="A299" s="22"/>
      <c r="B299" s="22"/>
      <c r="C299" s="23" t="str">
        <f aca="false">IF(A299="","",IFERROR(buscarx(A299&amp;B299,DATA!$E$3:$E$10000&amp;DATA!$B$3:$B$10000,DATA!$M$3:$M$10000),"No encontrado"))</f>
        <v/>
      </c>
      <c r="D299" s="24" t="str">
        <f aca="false">IF(A299="","",IFERROR(buscarx(A299&amp;B299,DATA!$E$3:$E$10000&amp;DATA!$B$3:$B$10000,DATA!$W$3:$W$10000),"No encontrado"))</f>
        <v/>
      </c>
      <c r="E299" s="22"/>
      <c r="F299" s="23" t="str">
        <f aca="false">IF(A299="","",IFERROR(buscarx(A299&amp;E299,DATA!$E$3:$E$10000&amp;DATA!$B$3:$B$10000,DATA!$M$3:$M$10000),"Inactivo"))</f>
        <v/>
      </c>
      <c r="G299" s="25" t="str">
        <f aca="false">IF(A299="","",IF(AND(C299&lt;&gt;"No encontrado",F299&lt;&gt;"Inactivo"),C299&amp;" → "&amp;F299,"Sin transición"))</f>
        <v/>
      </c>
      <c r="H299" s="23" t="str">
        <f aca="false">IF(A299="","",IF(D299="GCIA LINEA SERVICIO DIGITALIDAD Y VENTAS","Chats",IF(OR(D299="GERENCIA INBOUND LÍNEAS SERVICIO Y VENTA",D299="GERENCIA INBOUND LINEAS ESPECIALIZADAS"),"Llamadas","Otro")))</f>
        <v/>
      </c>
      <c r="I299" s="23" t="str">
        <f aca="false">IF(A299="","",IF(C299="No encontrado","No","Sí"))</f>
        <v/>
      </c>
      <c r="J299" s="23" t="str">
        <f aca="false">IF(A299="","",IF(F299="Inactivo","No","Sí"))</f>
        <v/>
      </c>
      <c r="K299" s="23" t="str">
        <f aca="false">IF(A299="","",IF(AND(I299="Sí",J299="Sí"),"Sí","No"))</f>
        <v/>
      </c>
    </row>
    <row r="300" customFormat="false" ht="15" hidden="false" customHeight="false" outlineLevel="0" collapsed="false">
      <c r="A300" s="22"/>
      <c r="B300" s="22"/>
      <c r="C300" s="26" t="str">
        <f aca="false">IF(A300="","",IFERROR(buscarx(A300&amp;B300,DATA!$E$3:$E$10000&amp;DATA!$B$3:$B$10000,DATA!$M$3:$M$10000),"No encontrado"))</f>
        <v/>
      </c>
      <c r="D300" s="27" t="str">
        <f aca="false">IF(A300="","",IFERROR(buscarx(A300&amp;B300,DATA!$E$3:$E$10000&amp;DATA!$B$3:$B$10000,DATA!$W$3:$W$10000),"No encontrado"))</f>
        <v/>
      </c>
      <c r="E300" s="22"/>
      <c r="F300" s="26" t="str">
        <f aca="false">IF(A300="","",IFERROR(buscarx(A300&amp;E300,DATA!$E$3:$E$10000&amp;DATA!$B$3:$B$10000,DATA!$M$3:$M$10000),"Inactivo"))</f>
        <v/>
      </c>
      <c r="G300" s="28" t="str">
        <f aca="false">IF(A300="","",IF(AND(C300&lt;&gt;"No encontrado",F300&lt;&gt;"Inactivo"),C300&amp;" → "&amp;F300,"Sin transición"))</f>
        <v/>
      </c>
      <c r="H300" s="26" t="str">
        <f aca="false">IF(A300="","",IF(D300="GCIA LINEA SERVICIO DIGITALIDAD Y VENTAS","Chats",IF(OR(D300="GERENCIA INBOUND LÍNEAS SERVICIO Y VENTA",D300="GERENCIA INBOUND LINEAS ESPECIALIZADAS"),"Llamadas","Otro")))</f>
        <v/>
      </c>
      <c r="I300" s="26" t="str">
        <f aca="false">IF(A300="","",IF(C300="No encontrado","No","Sí"))</f>
        <v/>
      </c>
      <c r="J300" s="26" t="str">
        <f aca="false">IF(A300="","",IF(F300="Inactivo","No","Sí"))</f>
        <v/>
      </c>
      <c r="K300" s="26" t="str">
        <f aca="false">IF(A300="","",IF(AND(I300="Sí",J300="Sí"),"Sí","No"))</f>
        <v/>
      </c>
    </row>
    <row r="301" customFormat="false" ht="15" hidden="false" customHeight="false" outlineLevel="0" collapsed="false">
      <c r="A301" s="22"/>
      <c r="B301" s="22"/>
      <c r="C301" s="23" t="str">
        <f aca="false">IF(A301="","",IFERROR(buscarx(A301&amp;B301,DATA!$E$3:$E$10000&amp;DATA!$B$3:$B$10000,DATA!$M$3:$M$10000),"No encontrado"))</f>
        <v/>
      </c>
      <c r="D301" s="24" t="str">
        <f aca="false">IF(A301="","",IFERROR(buscarx(A301&amp;B301,DATA!$E$3:$E$10000&amp;DATA!$B$3:$B$10000,DATA!$W$3:$W$10000),"No encontrado"))</f>
        <v/>
      </c>
      <c r="E301" s="22"/>
      <c r="F301" s="23" t="str">
        <f aca="false">IF(A301="","",IFERROR(buscarx(A301&amp;E301,DATA!$E$3:$E$10000&amp;DATA!$B$3:$B$10000,DATA!$M$3:$M$10000),"Inactivo"))</f>
        <v/>
      </c>
      <c r="G301" s="25" t="str">
        <f aca="false">IF(A301="","",IF(AND(C301&lt;&gt;"No encontrado",F301&lt;&gt;"Inactivo"),C301&amp;" → "&amp;F301,"Sin transición"))</f>
        <v/>
      </c>
      <c r="H301" s="23" t="str">
        <f aca="false">IF(A301="","",IF(D301="GCIA LINEA SERVICIO DIGITALIDAD Y VENTAS","Chats",IF(OR(D301="GERENCIA INBOUND LÍNEAS SERVICIO Y VENTA",D301="GERENCIA INBOUND LINEAS ESPECIALIZADAS"),"Llamadas","Otro")))</f>
        <v/>
      </c>
      <c r="I301" s="23" t="str">
        <f aca="false">IF(A301="","",IF(C301="No encontrado","No","Sí"))</f>
        <v/>
      </c>
      <c r="J301" s="23" t="str">
        <f aca="false">IF(A301="","",IF(F301="Inactivo","No","Sí"))</f>
        <v/>
      </c>
      <c r="K301" s="23" t="str">
        <f aca="false">IF(A301="","",IF(AND(I301="Sí",J301="Sí"),"Sí","No"))</f>
        <v/>
      </c>
    </row>
    <row r="302" customFormat="false" ht="15" hidden="false" customHeight="false" outlineLevel="0" collapsed="false">
      <c r="A302" s="22"/>
      <c r="B302" s="22"/>
      <c r="C302" s="26" t="str">
        <f aca="false">IF(A302="","",IFERROR(buscarx(A302&amp;B302,DATA!$E$3:$E$10000&amp;DATA!$B$3:$B$10000,DATA!$M$3:$M$10000),"No encontrado"))</f>
        <v/>
      </c>
      <c r="D302" s="27" t="str">
        <f aca="false">IF(A302="","",IFERROR(buscarx(A302&amp;B302,DATA!$E$3:$E$10000&amp;DATA!$B$3:$B$10000,DATA!$W$3:$W$10000),"No encontrado"))</f>
        <v/>
      </c>
      <c r="E302" s="22"/>
      <c r="F302" s="26" t="str">
        <f aca="false">IF(A302="","",IFERROR(buscarx(A302&amp;E302,DATA!$E$3:$E$10000&amp;DATA!$B$3:$B$10000,DATA!$M$3:$M$10000),"Inactivo"))</f>
        <v/>
      </c>
      <c r="G302" s="28" t="str">
        <f aca="false">IF(A302="","",IF(AND(C302&lt;&gt;"No encontrado",F302&lt;&gt;"Inactivo"),C302&amp;" → "&amp;F302,"Sin transición"))</f>
        <v/>
      </c>
      <c r="H302" s="26" t="str">
        <f aca="false">IF(A302="","",IF(D302="GCIA LINEA SERVICIO DIGITALIDAD Y VENTAS","Chats",IF(OR(D302="GERENCIA INBOUND LÍNEAS SERVICIO Y VENTA",D302="GERENCIA INBOUND LINEAS ESPECIALIZADAS"),"Llamadas","Otro")))</f>
        <v/>
      </c>
      <c r="I302" s="26" t="str">
        <f aca="false">IF(A302="","",IF(C302="No encontrado","No","Sí"))</f>
        <v/>
      </c>
      <c r="J302" s="26" t="str">
        <f aca="false">IF(A302="","",IF(F302="Inactivo","No","Sí"))</f>
        <v/>
      </c>
      <c r="K302" s="26" t="str">
        <f aca="false">IF(A302="","",IF(AND(I302="Sí",J302="Sí"),"Sí","No"))</f>
        <v/>
      </c>
    </row>
    <row r="303" customFormat="false" ht="15" hidden="false" customHeight="false" outlineLevel="0" collapsed="false">
      <c r="A303" s="22"/>
      <c r="B303" s="22"/>
      <c r="C303" s="23" t="str">
        <f aca="false">IF(A303="","",IFERROR(buscarx(A303&amp;B303,DATA!$E$3:$E$10000&amp;DATA!$B$3:$B$10000,DATA!$M$3:$M$10000),"No encontrado"))</f>
        <v/>
      </c>
      <c r="D303" s="24" t="str">
        <f aca="false">IF(A303="","",IFERROR(buscarx(A303&amp;B303,DATA!$E$3:$E$10000&amp;DATA!$B$3:$B$10000,DATA!$W$3:$W$10000),"No encontrado"))</f>
        <v/>
      </c>
      <c r="E303" s="22"/>
      <c r="F303" s="23" t="str">
        <f aca="false">IF(A303="","",IFERROR(buscarx(A303&amp;E303,DATA!$E$3:$E$10000&amp;DATA!$B$3:$B$10000,DATA!$M$3:$M$10000),"Inactivo"))</f>
        <v/>
      </c>
      <c r="G303" s="25" t="str">
        <f aca="false">IF(A303="","",IF(AND(C303&lt;&gt;"No encontrado",F303&lt;&gt;"Inactivo"),C303&amp;" → "&amp;F303,"Sin transición"))</f>
        <v/>
      </c>
      <c r="H303" s="23" t="str">
        <f aca="false">IF(A303="","",IF(D303="GCIA LINEA SERVICIO DIGITALIDAD Y VENTAS","Chats",IF(OR(D303="GERENCIA INBOUND LÍNEAS SERVICIO Y VENTA",D303="GERENCIA INBOUND LINEAS ESPECIALIZADAS"),"Llamadas","Otro")))</f>
        <v/>
      </c>
      <c r="I303" s="23" t="str">
        <f aca="false">IF(A303="","",IF(C303="No encontrado","No","Sí"))</f>
        <v/>
      </c>
      <c r="J303" s="23" t="str">
        <f aca="false">IF(A303="","",IF(F303="Inactivo","No","Sí"))</f>
        <v/>
      </c>
      <c r="K303" s="23" t="str">
        <f aca="false">IF(A303="","",IF(AND(I303="Sí",J303="Sí"),"Sí","No"))</f>
        <v/>
      </c>
    </row>
    <row r="304" customFormat="false" ht="15" hidden="false" customHeight="false" outlineLevel="0" collapsed="false">
      <c r="A304" s="22"/>
      <c r="B304" s="22"/>
      <c r="C304" s="26" t="str">
        <f aca="false">IF(A304="","",IFERROR(buscarx(A304&amp;B304,DATA!$E$3:$E$10000&amp;DATA!$B$3:$B$10000,DATA!$M$3:$M$10000),"No encontrado"))</f>
        <v/>
      </c>
      <c r="D304" s="27" t="str">
        <f aca="false">IF(A304="","",IFERROR(buscarx(A304&amp;B304,DATA!$E$3:$E$10000&amp;DATA!$B$3:$B$10000,DATA!$W$3:$W$10000),"No encontrado"))</f>
        <v/>
      </c>
      <c r="E304" s="22"/>
      <c r="F304" s="26" t="str">
        <f aca="false">IF(A304="","",IFERROR(buscarx(A304&amp;E304,DATA!$E$3:$E$10000&amp;DATA!$B$3:$B$10000,DATA!$M$3:$M$10000),"Inactivo"))</f>
        <v/>
      </c>
      <c r="G304" s="28" t="str">
        <f aca="false">IF(A304="","",IF(AND(C304&lt;&gt;"No encontrado",F304&lt;&gt;"Inactivo"),C304&amp;" → "&amp;F304,"Sin transición"))</f>
        <v/>
      </c>
      <c r="H304" s="26" t="str">
        <f aca="false">IF(A304="","",IF(D304="GCIA LINEA SERVICIO DIGITALIDAD Y VENTAS","Chats",IF(OR(D304="GERENCIA INBOUND LÍNEAS SERVICIO Y VENTA",D304="GERENCIA INBOUND LINEAS ESPECIALIZADAS"),"Llamadas","Otro")))</f>
        <v/>
      </c>
      <c r="I304" s="26" t="str">
        <f aca="false">IF(A304="","",IF(C304="No encontrado","No","Sí"))</f>
        <v/>
      </c>
      <c r="J304" s="26" t="str">
        <f aca="false">IF(A304="","",IF(F304="Inactivo","No","Sí"))</f>
        <v/>
      </c>
      <c r="K304" s="26" t="str">
        <f aca="false">IF(A304="","",IF(AND(I304="Sí",J304="Sí"),"Sí","No"))</f>
        <v/>
      </c>
    </row>
    <row r="305" customFormat="false" ht="15" hidden="false" customHeight="false" outlineLevel="0" collapsed="false">
      <c r="A305" s="22"/>
      <c r="B305" s="22"/>
      <c r="C305" s="23" t="str">
        <f aca="false">IF(A305="","",IFERROR(buscarx(A305&amp;B305,DATA!$E$3:$E$10000&amp;DATA!$B$3:$B$10000,DATA!$M$3:$M$10000),"No encontrado"))</f>
        <v/>
      </c>
      <c r="D305" s="24" t="str">
        <f aca="false">IF(A305="","",IFERROR(buscarx(A305&amp;B305,DATA!$E$3:$E$10000&amp;DATA!$B$3:$B$10000,DATA!$W$3:$W$10000),"No encontrado"))</f>
        <v/>
      </c>
      <c r="E305" s="22"/>
      <c r="F305" s="23" t="str">
        <f aca="false">IF(A305="","",IFERROR(buscarx(A305&amp;E305,DATA!$E$3:$E$10000&amp;DATA!$B$3:$B$10000,DATA!$M$3:$M$10000),"Inactivo"))</f>
        <v/>
      </c>
      <c r="G305" s="25" t="str">
        <f aca="false">IF(A305="","",IF(AND(C305&lt;&gt;"No encontrado",F305&lt;&gt;"Inactivo"),C305&amp;" → "&amp;F305,"Sin transición"))</f>
        <v/>
      </c>
      <c r="H305" s="23" t="str">
        <f aca="false">IF(A305="","",IF(D305="GCIA LINEA SERVICIO DIGITALIDAD Y VENTAS","Chats",IF(OR(D305="GERENCIA INBOUND LÍNEAS SERVICIO Y VENTA",D305="GERENCIA INBOUND LINEAS ESPECIALIZADAS"),"Llamadas","Otro")))</f>
        <v/>
      </c>
      <c r="I305" s="23" t="str">
        <f aca="false">IF(A305="","",IF(C305="No encontrado","No","Sí"))</f>
        <v/>
      </c>
      <c r="J305" s="23" t="str">
        <f aca="false">IF(A305="","",IF(F305="Inactivo","No","Sí"))</f>
        <v/>
      </c>
      <c r="K305" s="23" t="str">
        <f aca="false">IF(A305="","",IF(AND(I305="Sí",J305="Sí"),"Sí","No"))</f>
        <v/>
      </c>
    </row>
    <row r="306" customFormat="false" ht="15" hidden="false" customHeight="false" outlineLevel="0" collapsed="false">
      <c r="A306" s="22"/>
      <c r="B306" s="22"/>
      <c r="C306" s="26" t="str">
        <f aca="false">IF(A306="","",IFERROR(buscarx(A306&amp;B306,DATA!$E$3:$E$10000&amp;DATA!$B$3:$B$10000,DATA!$M$3:$M$10000),"No encontrado"))</f>
        <v/>
      </c>
      <c r="D306" s="27" t="str">
        <f aca="false">IF(A306="","",IFERROR(buscarx(A306&amp;B306,DATA!$E$3:$E$10000&amp;DATA!$B$3:$B$10000,DATA!$W$3:$W$10000),"No encontrado"))</f>
        <v/>
      </c>
      <c r="E306" s="22"/>
      <c r="F306" s="26" t="str">
        <f aca="false">IF(A306="","",IFERROR(buscarx(A306&amp;E306,DATA!$E$3:$E$10000&amp;DATA!$B$3:$B$10000,DATA!$M$3:$M$10000),"Inactivo"))</f>
        <v/>
      </c>
      <c r="G306" s="28" t="str">
        <f aca="false">IF(A306="","",IF(AND(C306&lt;&gt;"No encontrado",F306&lt;&gt;"Inactivo"),C306&amp;" → "&amp;F306,"Sin transición"))</f>
        <v/>
      </c>
      <c r="H306" s="26" t="str">
        <f aca="false">IF(A306="","",IF(D306="GCIA LINEA SERVICIO DIGITALIDAD Y VENTAS","Chats",IF(OR(D306="GERENCIA INBOUND LÍNEAS SERVICIO Y VENTA",D306="GERENCIA INBOUND LINEAS ESPECIALIZADAS"),"Llamadas","Otro")))</f>
        <v/>
      </c>
      <c r="I306" s="26" t="str">
        <f aca="false">IF(A306="","",IF(C306="No encontrado","No","Sí"))</f>
        <v/>
      </c>
      <c r="J306" s="26" t="str">
        <f aca="false">IF(A306="","",IF(F306="Inactivo","No","Sí"))</f>
        <v/>
      </c>
      <c r="K306" s="26" t="str">
        <f aca="false">IF(A306="","",IF(AND(I306="Sí",J306="Sí"),"Sí","No"))</f>
        <v/>
      </c>
    </row>
    <row r="307" customFormat="false" ht="15" hidden="false" customHeight="false" outlineLevel="0" collapsed="false">
      <c r="A307" s="22"/>
      <c r="B307" s="22"/>
      <c r="C307" s="23" t="str">
        <f aca="false">IF(A307="","",IFERROR(buscarx(A307&amp;B307,DATA!$E$3:$E$10000&amp;DATA!$B$3:$B$10000,DATA!$M$3:$M$10000),"No encontrado"))</f>
        <v/>
      </c>
      <c r="D307" s="24" t="str">
        <f aca="false">IF(A307="","",IFERROR(buscarx(A307&amp;B307,DATA!$E$3:$E$10000&amp;DATA!$B$3:$B$10000,DATA!$W$3:$W$10000),"No encontrado"))</f>
        <v/>
      </c>
      <c r="E307" s="22"/>
      <c r="F307" s="23" t="str">
        <f aca="false">IF(A307="","",IFERROR(buscarx(A307&amp;E307,DATA!$E$3:$E$10000&amp;DATA!$B$3:$B$10000,DATA!$M$3:$M$10000),"Inactivo"))</f>
        <v/>
      </c>
      <c r="G307" s="25" t="str">
        <f aca="false">IF(A307="","",IF(AND(C307&lt;&gt;"No encontrado",F307&lt;&gt;"Inactivo"),C307&amp;" → "&amp;F307,"Sin transición"))</f>
        <v/>
      </c>
      <c r="H307" s="23" t="str">
        <f aca="false">IF(A307="","",IF(D307="GCIA LINEA SERVICIO DIGITALIDAD Y VENTAS","Chats",IF(OR(D307="GERENCIA INBOUND LÍNEAS SERVICIO Y VENTA",D307="GERENCIA INBOUND LINEAS ESPECIALIZADAS"),"Llamadas","Otro")))</f>
        <v/>
      </c>
      <c r="I307" s="23" t="str">
        <f aca="false">IF(A307="","",IF(C307="No encontrado","No","Sí"))</f>
        <v/>
      </c>
      <c r="J307" s="23" t="str">
        <f aca="false">IF(A307="","",IF(F307="Inactivo","No","Sí"))</f>
        <v/>
      </c>
      <c r="K307" s="23" t="str">
        <f aca="false">IF(A307="","",IF(AND(I307="Sí",J307="Sí"),"Sí","No"))</f>
        <v/>
      </c>
    </row>
    <row r="308" customFormat="false" ht="15" hidden="false" customHeight="false" outlineLevel="0" collapsed="false">
      <c r="A308" s="22"/>
      <c r="B308" s="22"/>
      <c r="C308" s="26" t="str">
        <f aca="false">IF(A308="","",IFERROR(buscarx(A308&amp;B308,DATA!$E$3:$E$10000&amp;DATA!$B$3:$B$10000,DATA!$M$3:$M$10000),"No encontrado"))</f>
        <v/>
      </c>
      <c r="D308" s="27" t="str">
        <f aca="false">IF(A308="","",IFERROR(buscarx(A308&amp;B308,DATA!$E$3:$E$10000&amp;DATA!$B$3:$B$10000,DATA!$W$3:$W$10000),"No encontrado"))</f>
        <v/>
      </c>
      <c r="E308" s="22"/>
      <c r="F308" s="26" t="str">
        <f aca="false">IF(A308="","",IFERROR(buscarx(A308&amp;E308,DATA!$E$3:$E$10000&amp;DATA!$B$3:$B$10000,DATA!$M$3:$M$10000),"Inactivo"))</f>
        <v/>
      </c>
      <c r="G308" s="28" t="str">
        <f aca="false">IF(A308="","",IF(AND(C308&lt;&gt;"No encontrado",F308&lt;&gt;"Inactivo"),C308&amp;" → "&amp;F308,"Sin transición"))</f>
        <v/>
      </c>
      <c r="H308" s="26" t="str">
        <f aca="false">IF(A308="","",IF(D308="GCIA LINEA SERVICIO DIGITALIDAD Y VENTAS","Chats",IF(OR(D308="GERENCIA INBOUND LÍNEAS SERVICIO Y VENTA",D308="GERENCIA INBOUND LINEAS ESPECIALIZADAS"),"Llamadas","Otro")))</f>
        <v/>
      </c>
      <c r="I308" s="26" t="str">
        <f aca="false">IF(A308="","",IF(C308="No encontrado","No","Sí"))</f>
        <v/>
      </c>
      <c r="J308" s="26" t="str">
        <f aca="false">IF(A308="","",IF(F308="Inactivo","No","Sí"))</f>
        <v/>
      </c>
      <c r="K308" s="26" t="str">
        <f aca="false">IF(A308="","",IF(AND(I308="Sí",J308="Sí"),"Sí","No"))</f>
        <v/>
      </c>
    </row>
    <row r="309" customFormat="false" ht="15" hidden="false" customHeight="false" outlineLevel="0" collapsed="false">
      <c r="A309" s="22"/>
      <c r="B309" s="22"/>
      <c r="C309" s="23" t="str">
        <f aca="false">IF(A309="","",IFERROR(buscarx(A309&amp;B309,DATA!$E$3:$E$10000&amp;DATA!$B$3:$B$10000,DATA!$M$3:$M$10000),"No encontrado"))</f>
        <v/>
      </c>
      <c r="D309" s="24" t="str">
        <f aca="false">IF(A309="","",IFERROR(buscarx(A309&amp;B309,DATA!$E$3:$E$10000&amp;DATA!$B$3:$B$10000,DATA!$W$3:$W$10000),"No encontrado"))</f>
        <v/>
      </c>
      <c r="E309" s="22"/>
      <c r="F309" s="23" t="str">
        <f aca="false">IF(A309="","",IFERROR(buscarx(A309&amp;E309,DATA!$E$3:$E$10000&amp;DATA!$B$3:$B$10000,DATA!$M$3:$M$10000),"Inactivo"))</f>
        <v/>
      </c>
      <c r="G309" s="25" t="str">
        <f aca="false">IF(A309="","",IF(AND(C309&lt;&gt;"No encontrado",F309&lt;&gt;"Inactivo"),C309&amp;" → "&amp;F309,"Sin transición"))</f>
        <v/>
      </c>
      <c r="H309" s="23" t="str">
        <f aca="false">IF(A309="","",IF(D309="GCIA LINEA SERVICIO DIGITALIDAD Y VENTAS","Chats",IF(OR(D309="GERENCIA INBOUND LÍNEAS SERVICIO Y VENTA",D309="GERENCIA INBOUND LINEAS ESPECIALIZADAS"),"Llamadas","Otro")))</f>
        <v/>
      </c>
      <c r="I309" s="23" t="str">
        <f aca="false">IF(A309="","",IF(C309="No encontrado","No","Sí"))</f>
        <v/>
      </c>
      <c r="J309" s="23" t="str">
        <f aca="false">IF(A309="","",IF(F309="Inactivo","No","Sí"))</f>
        <v/>
      </c>
      <c r="K309" s="23" t="str">
        <f aca="false">IF(A309="","",IF(AND(I309="Sí",J309="Sí"),"Sí","No"))</f>
        <v/>
      </c>
    </row>
    <row r="310" customFormat="false" ht="15" hidden="false" customHeight="false" outlineLevel="0" collapsed="false">
      <c r="A310" s="22"/>
      <c r="B310" s="22"/>
      <c r="C310" s="26" t="str">
        <f aca="false">IF(A310="","",IFERROR(buscarx(A310&amp;B310,DATA!$E$3:$E$10000&amp;DATA!$B$3:$B$10000,DATA!$M$3:$M$10000),"No encontrado"))</f>
        <v/>
      </c>
      <c r="D310" s="27" t="str">
        <f aca="false">IF(A310="","",IFERROR(buscarx(A310&amp;B310,DATA!$E$3:$E$10000&amp;DATA!$B$3:$B$10000,DATA!$W$3:$W$10000),"No encontrado"))</f>
        <v/>
      </c>
      <c r="E310" s="22"/>
      <c r="F310" s="26" t="str">
        <f aca="false">IF(A310="","",IFERROR(buscarx(A310&amp;E310,DATA!$E$3:$E$10000&amp;DATA!$B$3:$B$10000,DATA!$M$3:$M$10000),"Inactivo"))</f>
        <v/>
      </c>
      <c r="G310" s="28" t="str">
        <f aca="false">IF(A310="","",IF(AND(C310&lt;&gt;"No encontrado",F310&lt;&gt;"Inactivo"),C310&amp;" → "&amp;F310,"Sin transición"))</f>
        <v/>
      </c>
      <c r="H310" s="26" t="str">
        <f aca="false">IF(A310="","",IF(D310="GCIA LINEA SERVICIO DIGITALIDAD Y VENTAS","Chats",IF(OR(D310="GERENCIA INBOUND LÍNEAS SERVICIO Y VENTA",D310="GERENCIA INBOUND LINEAS ESPECIALIZADAS"),"Llamadas","Otro")))</f>
        <v/>
      </c>
      <c r="I310" s="26" t="str">
        <f aca="false">IF(A310="","",IF(C310="No encontrado","No","Sí"))</f>
        <v/>
      </c>
      <c r="J310" s="26" t="str">
        <f aca="false">IF(A310="","",IF(F310="Inactivo","No","Sí"))</f>
        <v/>
      </c>
      <c r="K310" s="26" t="str">
        <f aca="false">IF(A310="","",IF(AND(I310="Sí",J310="Sí"),"Sí","No"))</f>
        <v/>
      </c>
    </row>
    <row r="311" customFormat="false" ht="15" hidden="false" customHeight="false" outlineLevel="0" collapsed="false">
      <c r="A311" s="22"/>
      <c r="B311" s="22"/>
      <c r="C311" s="23" t="str">
        <f aca="false">IF(A311="","",IFERROR(buscarx(A311&amp;B311,DATA!$E$3:$E$10000&amp;DATA!$B$3:$B$10000,DATA!$M$3:$M$10000),"No encontrado"))</f>
        <v/>
      </c>
      <c r="D311" s="24" t="str">
        <f aca="false">IF(A311="","",IFERROR(buscarx(A311&amp;B311,DATA!$E$3:$E$10000&amp;DATA!$B$3:$B$10000,DATA!$W$3:$W$10000),"No encontrado"))</f>
        <v/>
      </c>
      <c r="E311" s="22"/>
      <c r="F311" s="23" t="str">
        <f aca="false">IF(A311="","",IFERROR(buscarx(A311&amp;E311,DATA!$E$3:$E$10000&amp;DATA!$B$3:$B$10000,DATA!$M$3:$M$10000),"Inactivo"))</f>
        <v/>
      </c>
      <c r="G311" s="25" t="str">
        <f aca="false">IF(A311="","",IF(AND(C311&lt;&gt;"No encontrado",F311&lt;&gt;"Inactivo"),C311&amp;" → "&amp;F311,"Sin transición"))</f>
        <v/>
      </c>
      <c r="H311" s="23" t="str">
        <f aca="false">IF(A311="","",IF(D311="GCIA LINEA SERVICIO DIGITALIDAD Y VENTAS","Chats",IF(OR(D311="GERENCIA INBOUND LÍNEAS SERVICIO Y VENTA",D311="GERENCIA INBOUND LINEAS ESPECIALIZADAS"),"Llamadas","Otro")))</f>
        <v/>
      </c>
      <c r="I311" s="23" t="str">
        <f aca="false">IF(A311="","",IF(C311="No encontrado","No","Sí"))</f>
        <v/>
      </c>
      <c r="J311" s="23" t="str">
        <f aca="false">IF(A311="","",IF(F311="Inactivo","No","Sí"))</f>
        <v/>
      </c>
      <c r="K311" s="23" t="str">
        <f aca="false">IF(A311="","",IF(AND(I311="Sí",J311="Sí"),"Sí","No"))</f>
        <v/>
      </c>
    </row>
    <row r="312" customFormat="false" ht="15" hidden="false" customHeight="false" outlineLevel="0" collapsed="false">
      <c r="A312" s="22"/>
      <c r="B312" s="22"/>
      <c r="C312" s="26" t="str">
        <f aca="false">IF(A312="","",IFERROR(buscarx(A312&amp;B312,DATA!$E$3:$E$10000&amp;DATA!$B$3:$B$10000,DATA!$M$3:$M$10000),"No encontrado"))</f>
        <v/>
      </c>
      <c r="D312" s="27" t="str">
        <f aca="false">IF(A312="","",IFERROR(buscarx(A312&amp;B312,DATA!$E$3:$E$10000&amp;DATA!$B$3:$B$10000,DATA!$W$3:$W$10000),"No encontrado"))</f>
        <v/>
      </c>
      <c r="E312" s="22"/>
      <c r="F312" s="26" t="str">
        <f aca="false">IF(A312="","",IFERROR(buscarx(A312&amp;E312,DATA!$E$3:$E$10000&amp;DATA!$B$3:$B$10000,DATA!$M$3:$M$10000),"Inactivo"))</f>
        <v/>
      </c>
      <c r="G312" s="28" t="str">
        <f aca="false">IF(A312="","",IF(AND(C312&lt;&gt;"No encontrado",F312&lt;&gt;"Inactivo"),C312&amp;" → "&amp;F312,"Sin transición"))</f>
        <v/>
      </c>
      <c r="H312" s="26" t="str">
        <f aca="false">IF(A312="","",IF(D312="GCIA LINEA SERVICIO DIGITALIDAD Y VENTAS","Chats",IF(OR(D312="GERENCIA INBOUND LÍNEAS SERVICIO Y VENTA",D312="GERENCIA INBOUND LINEAS ESPECIALIZADAS"),"Llamadas","Otro")))</f>
        <v/>
      </c>
      <c r="I312" s="26" t="str">
        <f aca="false">IF(A312="","",IF(C312="No encontrado","No","Sí"))</f>
        <v/>
      </c>
      <c r="J312" s="26" t="str">
        <f aca="false">IF(A312="","",IF(F312="Inactivo","No","Sí"))</f>
        <v/>
      </c>
      <c r="K312" s="26" t="str">
        <f aca="false">IF(A312="","",IF(AND(I312="Sí",J312="Sí"),"Sí","No"))</f>
        <v/>
      </c>
    </row>
    <row r="313" customFormat="false" ht="15" hidden="false" customHeight="false" outlineLevel="0" collapsed="false">
      <c r="A313" s="22"/>
      <c r="B313" s="22"/>
      <c r="C313" s="23" t="str">
        <f aca="false">IF(A313="","",IFERROR(buscarx(A313&amp;B313,DATA!$E$3:$E$10000&amp;DATA!$B$3:$B$10000,DATA!$M$3:$M$10000),"No encontrado"))</f>
        <v/>
      </c>
      <c r="D313" s="24" t="str">
        <f aca="false">IF(A313="","",IFERROR(buscarx(A313&amp;B313,DATA!$E$3:$E$10000&amp;DATA!$B$3:$B$10000,DATA!$W$3:$W$10000),"No encontrado"))</f>
        <v/>
      </c>
      <c r="E313" s="22"/>
      <c r="F313" s="23" t="str">
        <f aca="false">IF(A313="","",IFERROR(buscarx(A313&amp;E313,DATA!$E$3:$E$10000&amp;DATA!$B$3:$B$10000,DATA!$M$3:$M$10000),"Inactivo"))</f>
        <v/>
      </c>
      <c r="G313" s="25" t="str">
        <f aca="false">IF(A313="","",IF(AND(C313&lt;&gt;"No encontrado",F313&lt;&gt;"Inactivo"),C313&amp;" → "&amp;F313,"Sin transición"))</f>
        <v/>
      </c>
      <c r="H313" s="23" t="str">
        <f aca="false">IF(A313="","",IF(D313="GCIA LINEA SERVICIO DIGITALIDAD Y VENTAS","Chats",IF(OR(D313="GERENCIA INBOUND LÍNEAS SERVICIO Y VENTA",D313="GERENCIA INBOUND LINEAS ESPECIALIZADAS"),"Llamadas","Otro")))</f>
        <v/>
      </c>
      <c r="I313" s="23" t="str">
        <f aca="false">IF(A313="","",IF(C313="No encontrado","No","Sí"))</f>
        <v/>
      </c>
      <c r="J313" s="23" t="str">
        <f aca="false">IF(A313="","",IF(F313="Inactivo","No","Sí"))</f>
        <v/>
      </c>
      <c r="K313" s="23" t="str">
        <f aca="false">IF(A313="","",IF(AND(I313="Sí",J313="Sí"),"Sí","No"))</f>
        <v/>
      </c>
    </row>
    <row r="314" customFormat="false" ht="15" hidden="false" customHeight="false" outlineLevel="0" collapsed="false">
      <c r="A314" s="22"/>
      <c r="B314" s="22"/>
      <c r="C314" s="26" t="str">
        <f aca="false">IF(A314="","",IFERROR(buscarx(A314&amp;B314,DATA!$E$3:$E$10000&amp;DATA!$B$3:$B$10000,DATA!$M$3:$M$10000),"No encontrado"))</f>
        <v/>
      </c>
      <c r="D314" s="27" t="str">
        <f aca="false">IF(A314="","",IFERROR(buscarx(A314&amp;B314,DATA!$E$3:$E$10000&amp;DATA!$B$3:$B$10000,DATA!$W$3:$W$10000),"No encontrado"))</f>
        <v/>
      </c>
      <c r="E314" s="22"/>
      <c r="F314" s="26" t="str">
        <f aca="false">IF(A314="","",IFERROR(buscarx(A314&amp;E314,DATA!$E$3:$E$10000&amp;DATA!$B$3:$B$10000,DATA!$M$3:$M$10000),"Inactivo"))</f>
        <v/>
      </c>
      <c r="G314" s="28" t="str">
        <f aca="false">IF(A314="","",IF(AND(C314&lt;&gt;"No encontrado",F314&lt;&gt;"Inactivo"),C314&amp;" → "&amp;F314,"Sin transición"))</f>
        <v/>
      </c>
      <c r="H314" s="26" t="str">
        <f aca="false">IF(A314="","",IF(D314="GCIA LINEA SERVICIO DIGITALIDAD Y VENTAS","Chats",IF(OR(D314="GERENCIA INBOUND LÍNEAS SERVICIO Y VENTA",D314="GERENCIA INBOUND LINEAS ESPECIALIZADAS"),"Llamadas","Otro")))</f>
        <v/>
      </c>
      <c r="I314" s="26" t="str">
        <f aca="false">IF(A314="","",IF(C314="No encontrado","No","Sí"))</f>
        <v/>
      </c>
      <c r="J314" s="26" t="str">
        <f aca="false">IF(A314="","",IF(F314="Inactivo","No","Sí"))</f>
        <v/>
      </c>
      <c r="K314" s="26" t="str">
        <f aca="false">IF(A314="","",IF(AND(I314="Sí",J314="Sí"),"Sí","No"))</f>
        <v/>
      </c>
    </row>
    <row r="315" customFormat="false" ht="15" hidden="false" customHeight="false" outlineLevel="0" collapsed="false">
      <c r="A315" s="22"/>
      <c r="B315" s="22"/>
      <c r="C315" s="23" t="str">
        <f aca="false">IF(A315="","",IFERROR(buscarx(A315&amp;B315,DATA!$E$3:$E$10000&amp;DATA!$B$3:$B$10000,DATA!$M$3:$M$10000),"No encontrado"))</f>
        <v/>
      </c>
      <c r="D315" s="24" t="str">
        <f aca="false">IF(A315="","",IFERROR(buscarx(A315&amp;B315,DATA!$E$3:$E$10000&amp;DATA!$B$3:$B$10000,DATA!$W$3:$W$10000),"No encontrado"))</f>
        <v/>
      </c>
      <c r="E315" s="22"/>
      <c r="F315" s="23" t="str">
        <f aca="false">IF(A315="","",IFERROR(buscarx(A315&amp;E315,DATA!$E$3:$E$10000&amp;DATA!$B$3:$B$10000,DATA!$M$3:$M$10000),"Inactivo"))</f>
        <v/>
      </c>
      <c r="G315" s="25" t="str">
        <f aca="false">IF(A315="","",IF(AND(C315&lt;&gt;"No encontrado",F315&lt;&gt;"Inactivo"),C315&amp;" → "&amp;F315,"Sin transición"))</f>
        <v/>
      </c>
      <c r="H315" s="23" t="str">
        <f aca="false">IF(A315="","",IF(D315="GCIA LINEA SERVICIO DIGITALIDAD Y VENTAS","Chats",IF(OR(D315="GERENCIA INBOUND LÍNEAS SERVICIO Y VENTA",D315="GERENCIA INBOUND LINEAS ESPECIALIZADAS"),"Llamadas","Otro")))</f>
        <v/>
      </c>
      <c r="I315" s="23" t="str">
        <f aca="false">IF(A315="","",IF(C315="No encontrado","No","Sí"))</f>
        <v/>
      </c>
      <c r="J315" s="23" t="str">
        <f aca="false">IF(A315="","",IF(F315="Inactivo","No","Sí"))</f>
        <v/>
      </c>
      <c r="K315" s="23" t="str">
        <f aca="false">IF(A315="","",IF(AND(I315="Sí",J315="Sí"),"Sí","No"))</f>
        <v/>
      </c>
    </row>
    <row r="316" customFormat="false" ht="15" hidden="false" customHeight="false" outlineLevel="0" collapsed="false">
      <c r="A316" s="22"/>
      <c r="B316" s="22"/>
      <c r="C316" s="26" t="str">
        <f aca="false">IF(A316="","",IFERROR(buscarx(A316&amp;B316,DATA!$E$3:$E$10000&amp;DATA!$B$3:$B$10000,DATA!$M$3:$M$10000),"No encontrado"))</f>
        <v/>
      </c>
      <c r="D316" s="27" t="str">
        <f aca="false">IF(A316="","",IFERROR(buscarx(A316&amp;B316,DATA!$E$3:$E$10000&amp;DATA!$B$3:$B$10000,DATA!$W$3:$W$10000),"No encontrado"))</f>
        <v/>
      </c>
      <c r="E316" s="22"/>
      <c r="F316" s="26" t="str">
        <f aca="false">IF(A316="","",IFERROR(buscarx(A316&amp;E316,DATA!$E$3:$E$10000&amp;DATA!$B$3:$B$10000,DATA!$M$3:$M$10000),"Inactivo"))</f>
        <v/>
      </c>
      <c r="G316" s="28" t="str">
        <f aca="false">IF(A316="","",IF(AND(C316&lt;&gt;"No encontrado",F316&lt;&gt;"Inactivo"),C316&amp;" → "&amp;F316,"Sin transición"))</f>
        <v/>
      </c>
      <c r="H316" s="26" t="str">
        <f aca="false">IF(A316="","",IF(D316="GCIA LINEA SERVICIO DIGITALIDAD Y VENTAS","Chats",IF(OR(D316="GERENCIA INBOUND LÍNEAS SERVICIO Y VENTA",D316="GERENCIA INBOUND LINEAS ESPECIALIZADAS"),"Llamadas","Otro")))</f>
        <v/>
      </c>
      <c r="I316" s="26" t="str">
        <f aca="false">IF(A316="","",IF(C316="No encontrado","No","Sí"))</f>
        <v/>
      </c>
      <c r="J316" s="26" t="str">
        <f aca="false">IF(A316="","",IF(F316="Inactivo","No","Sí"))</f>
        <v/>
      </c>
      <c r="K316" s="26" t="str">
        <f aca="false">IF(A316="","",IF(AND(I316="Sí",J316="Sí"),"Sí","No"))</f>
        <v/>
      </c>
    </row>
    <row r="317" customFormat="false" ht="15" hidden="false" customHeight="false" outlineLevel="0" collapsed="false">
      <c r="A317" s="22"/>
      <c r="B317" s="22"/>
      <c r="C317" s="23" t="str">
        <f aca="false">IF(A317="","",IFERROR(buscarx(A317&amp;B317,DATA!$E$3:$E$10000&amp;DATA!$B$3:$B$10000,DATA!$M$3:$M$10000),"No encontrado"))</f>
        <v/>
      </c>
      <c r="D317" s="24" t="str">
        <f aca="false">IF(A317="","",IFERROR(buscarx(A317&amp;B317,DATA!$E$3:$E$10000&amp;DATA!$B$3:$B$10000,DATA!$W$3:$W$10000),"No encontrado"))</f>
        <v/>
      </c>
      <c r="E317" s="22"/>
      <c r="F317" s="23" t="str">
        <f aca="false">IF(A317="","",IFERROR(buscarx(A317&amp;E317,DATA!$E$3:$E$10000&amp;DATA!$B$3:$B$10000,DATA!$M$3:$M$10000),"Inactivo"))</f>
        <v/>
      </c>
      <c r="G317" s="25" t="str">
        <f aca="false">IF(A317="","",IF(AND(C317&lt;&gt;"No encontrado",F317&lt;&gt;"Inactivo"),C317&amp;" → "&amp;F317,"Sin transición"))</f>
        <v/>
      </c>
      <c r="H317" s="23" t="str">
        <f aca="false">IF(A317="","",IF(D317="GCIA LINEA SERVICIO DIGITALIDAD Y VENTAS","Chats",IF(OR(D317="GERENCIA INBOUND LÍNEAS SERVICIO Y VENTA",D317="GERENCIA INBOUND LINEAS ESPECIALIZADAS"),"Llamadas","Otro")))</f>
        <v/>
      </c>
      <c r="I317" s="23" t="str">
        <f aca="false">IF(A317="","",IF(C317="No encontrado","No","Sí"))</f>
        <v/>
      </c>
      <c r="J317" s="23" t="str">
        <f aca="false">IF(A317="","",IF(F317="Inactivo","No","Sí"))</f>
        <v/>
      </c>
      <c r="K317" s="23" t="str">
        <f aca="false">IF(A317="","",IF(AND(I317="Sí",J317="Sí"),"Sí","No"))</f>
        <v/>
      </c>
    </row>
    <row r="318" customFormat="false" ht="15" hidden="false" customHeight="false" outlineLevel="0" collapsed="false">
      <c r="A318" s="22"/>
      <c r="B318" s="22"/>
      <c r="C318" s="26" t="str">
        <f aca="false">IF(A318="","",IFERROR(buscarx(A318&amp;B318,DATA!$E$3:$E$10000&amp;DATA!$B$3:$B$10000,DATA!$M$3:$M$10000),"No encontrado"))</f>
        <v/>
      </c>
      <c r="D318" s="27" t="str">
        <f aca="false">IF(A318="","",IFERROR(buscarx(A318&amp;B318,DATA!$E$3:$E$10000&amp;DATA!$B$3:$B$10000,DATA!$W$3:$W$10000),"No encontrado"))</f>
        <v/>
      </c>
      <c r="E318" s="22"/>
      <c r="F318" s="26" t="str">
        <f aca="false">IF(A318="","",IFERROR(buscarx(A318&amp;E318,DATA!$E$3:$E$10000&amp;DATA!$B$3:$B$10000,DATA!$M$3:$M$10000),"Inactivo"))</f>
        <v/>
      </c>
      <c r="G318" s="28" t="str">
        <f aca="false">IF(A318="","",IF(AND(C318&lt;&gt;"No encontrado",F318&lt;&gt;"Inactivo"),C318&amp;" → "&amp;F318,"Sin transición"))</f>
        <v/>
      </c>
      <c r="H318" s="26" t="str">
        <f aca="false">IF(A318="","",IF(D318="GCIA LINEA SERVICIO DIGITALIDAD Y VENTAS","Chats",IF(OR(D318="GERENCIA INBOUND LÍNEAS SERVICIO Y VENTA",D318="GERENCIA INBOUND LINEAS ESPECIALIZADAS"),"Llamadas","Otro")))</f>
        <v/>
      </c>
      <c r="I318" s="26" t="str">
        <f aca="false">IF(A318="","",IF(C318="No encontrado","No","Sí"))</f>
        <v/>
      </c>
      <c r="J318" s="26" t="str">
        <f aca="false">IF(A318="","",IF(F318="Inactivo","No","Sí"))</f>
        <v/>
      </c>
      <c r="K318" s="26" t="str">
        <f aca="false">IF(A318="","",IF(AND(I318="Sí",J318="Sí"),"Sí","No"))</f>
        <v/>
      </c>
    </row>
    <row r="319" customFormat="false" ht="15" hidden="false" customHeight="false" outlineLevel="0" collapsed="false">
      <c r="A319" s="22"/>
      <c r="B319" s="22"/>
      <c r="C319" s="23" t="str">
        <f aca="false">IF(A319="","",IFERROR(buscarx(A319&amp;B319,DATA!$E$3:$E$10000&amp;DATA!$B$3:$B$10000,DATA!$M$3:$M$10000),"No encontrado"))</f>
        <v/>
      </c>
      <c r="D319" s="24" t="str">
        <f aca="false">IF(A319="","",IFERROR(buscarx(A319&amp;B319,DATA!$E$3:$E$10000&amp;DATA!$B$3:$B$10000,DATA!$W$3:$W$10000),"No encontrado"))</f>
        <v/>
      </c>
      <c r="E319" s="22"/>
      <c r="F319" s="23" t="str">
        <f aca="false">IF(A319="","",IFERROR(buscarx(A319&amp;E319,DATA!$E$3:$E$10000&amp;DATA!$B$3:$B$10000,DATA!$M$3:$M$10000),"Inactivo"))</f>
        <v/>
      </c>
      <c r="G319" s="25" t="str">
        <f aca="false">IF(A319="","",IF(AND(C319&lt;&gt;"No encontrado",F319&lt;&gt;"Inactivo"),C319&amp;" → "&amp;F319,"Sin transición"))</f>
        <v/>
      </c>
      <c r="H319" s="23" t="str">
        <f aca="false">IF(A319="","",IF(D319="GCIA LINEA SERVICIO DIGITALIDAD Y VENTAS","Chats",IF(OR(D319="GERENCIA INBOUND LÍNEAS SERVICIO Y VENTA",D319="GERENCIA INBOUND LINEAS ESPECIALIZADAS"),"Llamadas","Otro")))</f>
        <v/>
      </c>
      <c r="I319" s="23" t="str">
        <f aca="false">IF(A319="","",IF(C319="No encontrado","No","Sí"))</f>
        <v/>
      </c>
      <c r="J319" s="23" t="str">
        <f aca="false">IF(A319="","",IF(F319="Inactivo","No","Sí"))</f>
        <v/>
      </c>
      <c r="K319" s="23" t="str">
        <f aca="false">IF(A319="","",IF(AND(I319="Sí",J319="Sí"),"Sí","No"))</f>
        <v/>
      </c>
    </row>
    <row r="320" customFormat="false" ht="15" hidden="false" customHeight="false" outlineLevel="0" collapsed="false">
      <c r="A320" s="22"/>
      <c r="B320" s="22"/>
      <c r="C320" s="26" t="str">
        <f aca="false">IF(A320="","",IFERROR(buscarx(A320&amp;B320,DATA!$E$3:$E$10000&amp;DATA!$B$3:$B$10000,DATA!$M$3:$M$10000),"No encontrado"))</f>
        <v/>
      </c>
      <c r="D320" s="27" t="str">
        <f aca="false">IF(A320="","",IFERROR(buscarx(A320&amp;B320,DATA!$E$3:$E$10000&amp;DATA!$B$3:$B$10000,DATA!$W$3:$W$10000),"No encontrado"))</f>
        <v/>
      </c>
      <c r="E320" s="22"/>
      <c r="F320" s="26" t="str">
        <f aca="false">IF(A320="","",IFERROR(buscarx(A320&amp;E320,DATA!$E$3:$E$10000&amp;DATA!$B$3:$B$10000,DATA!$M$3:$M$10000),"Inactivo"))</f>
        <v/>
      </c>
      <c r="G320" s="28" t="str">
        <f aca="false">IF(A320="","",IF(AND(C320&lt;&gt;"No encontrado",F320&lt;&gt;"Inactivo"),C320&amp;" → "&amp;F320,"Sin transición"))</f>
        <v/>
      </c>
      <c r="H320" s="26" t="str">
        <f aca="false">IF(A320="","",IF(D320="GCIA LINEA SERVICIO DIGITALIDAD Y VENTAS","Chats",IF(OR(D320="GERENCIA INBOUND LÍNEAS SERVICIO Y VENTA",D320="GERENCIA INBOUND LINEAS ESPECIALIZADAS"),"Llamadas","Otro")))</f>
        <v/>
      </c>
      <c r="I320" s="26" t="str">
        <f aca="false">IF(A320="","",IF(C320="No encontrado","No","Sí"))</f>
        <v/>
      </c>
      <c r="J320" s="26" t="str">
        <f aca="false">IF(A320="","",IF(F320="Inactivo","No","Sí"))</f>
        <v/>
      </c>
      <c r="K320" s="26" t="str">
        <f aca="false">IF(A320="","",IF(AND(I320="Sí",J320="Sí"),"Sí","No"))</f>
        <v/>
      </c>
    </row>
    <row r="321" customFormat="false" ht="15" hidden="false" customHeight="false" outlineLevel="0" collapsed="false">
      <c r="A321" s="22"/>
      <c r="B321" s="22"/>
      <c r="C321" s="23" t="str">
        <f aca="false">IF(A321="","",IFERROR(buscarx(A321&amp;B321,DATA!$E$3:$E$10000&amp;DATA!$B$3:$B$10000,DATA!$M$3:$M$10000),"No encontrado"))</f>
        <v/>
      </c>
      <c r="D321" s="24" t="str">
        <f aca="false">IF(A321="","",IFERROR(buscarx(A321&amp;B321,DATA!$E$3:$E$10000&amp;DATA!$B$3:$B$10000,DATA!$W$3:$W$10000),"No encontrado"))</f>
        <v/>
      </c>
      <c r="E321" s="22"/>
      <c r="F321" s="23" t="str">
        <f aca="false">IF(A321="","",IFERROR(buscarx(A321&amp;E321,DATA!$E$3:$E$10000&amp;DATA!$B$3:$B$10000,DATA!$M$3:$M$10000),"Inactivo"))</f>
        <v/>
      </c>
      <c r="G321" s="25" t="str">
        <f aca="false">IF(A321="","",IF(AND(C321&lt;&gt;"No encontrado",F321&lt;&gt;"Inactivo"),C321&amp;" → "&amp;F321,"Sin transición"))</f>
        <v/>
      </c>
      <c r="H321" s="23" t="str">
        <f aca="false">IF(A321="","",IF(D321="GCIA LINEA SERVICIO DIGITALIDAD Y VENTAS","Chats",IF(OR(D321="GERENCIA INBOUND LÍNEAS SERVICIO Y VENTA",D321="GERENCIA INBOUND LINEAS ESPECIALIZADAS"),"Llamadas","Otro")))</f>
        <v/>
      </c>
      <c r="I321" s="23" t="str">
        <f aca="false">IF(A321="","",IF(C321="No encontrado","No","Sí"))</f>
        <v/>
      </c>
      <c r="J321" s="23" t="str">
        <f aca="false">IF(A321="","",IF(F321="Inactivo","No","Sí"))</f>
        <v/>
      </c>
      <c r="K321" s="23" t="str">
        <f aca="false">IF(A321="","",IF(AND(I321="Sí",J321="Sí"),"Sí","No"))</f>
        <v/>
      </c>
    </row>
    <row r="322" customFormat="false" ht="15" hidden="false" customHeight="false" outlineLevel="0" collapsed="false">
      <c r="A322" s="22"/>
      <c r="B322" s="22"/>
      <c r="C322" s="26" t="str">
        <f aca="false">IF(A322="","",IFERROR(buscarx(A322&amp;B322,DATA!$E$3:$E$10000&amp;DATA!$B$3:$B$10000,DATA!$M$3:$M$10000),"No encontrado"))</f>
        <v/>
      </c>
      <c r="D322" s="27" t="str">
        <f aca="false">IF(A322="","",IFERROR(buscarx(A322&amp;B322,DATA!$E$3:$E$10000&amp;DATA!$B$3:$B$10000,DATA!$W$3:$W$10000),"No encontrado"))</f>
        <v/>
      </c>
      <c r="E322" s="22"/>
      <c r="F322" s="26" t="str">
        <f aca="false">IF(A322="","",IFERROR(buscarx(A322&amp;E322,DATA!$E$3:$E$10000&amp;DATA!$B$3:$B$10000,DATA!$M$3:$M$10000),"Inactivo"))</f>
        <v/>
      </c>
      <c r="G322" s="28" t="str">
        <f aca="false">IF(A322="","",IF(AND(C322&lt;&gt;"No encontrado",F322&lt;&gt;"Inactivo"),C322&amp;" → "&amp;F322,"Sin transición"))</f>
        <v/>
      </c>
      <c r="H322" s="26" t="str">
        <f aca="false">IF(A322="","",IF(D322="GCIA LINEA SERVICIO DIGITALIDAD Y VENTAS","Chats",IF(OR(D322="GERENCIA INBOUND LÍNEAS SERVICIO Y VENTA",D322="GERENCIA INBOUND LINEAS ESPECIALIZADAS"),"Llamadas","Otro")))</f>
        <v/>
      </c>
      <c r="I322" s="26" t="str">
        <f aca="false">IF(A322="","",IF(C322="No encontrado","No","Sí"))</f>
        <v/>
      </c>
      <c r="J322" s="26" t="str">
        <f aca="false">IF(A322="","",IF(F322="Inactivo","No","Sí"))</f>
        <v/>
      </c>
      <c r="K322" s="26" t="str">
        <f aca="false">IF(A322="","",IF(AND(I322="Sí",J322="Sí"),"Sí","No"))</f>
        <v/>
      </c>
    </row>
    <row r="323" customFormat="false" ht="15" hidden="false" customHeight="false" outlineLevel="0" collapsed="false">
      <c r="A323" s="22"/>
      <c r="B323" s="22"/>
      <c r="C323" s="23" t="str">
        <f aca="false">IF(A323="","",IFERROR(buscarx(A323&amp;B323,DATA!$E$3:$E$10000&amp;DATA!$B$3:$B$10000,DATA!$M$3:$M$10000),"No encontrado"))</f>
        <v/>
      </c>
      <c r="D323" s="24" t="str">
        <f aca="false">IF(A323="","",IFERROR(buscarx(A323&amp;B323,DATA!$E$3:$E$10000&amp;DATA!$B$3:$B$10000,DATA!$W$3:$W$10000),"No encontrado"))</f>
        <v/>
      </c>
      <c r="E323" s="22"/>
      <c r="F323" s="23" t="str">
        <f aca="false">IF(A323="","",IFERROR(buscarx(A323&amp;E323,DATA!$E$3:$E$10000&amp;DATA!$B$3:$B$10000,DATA!$M$3:$M$10000),"Inactivo"))</f>
        <v/>
      </c>
      <c r="G323" s="25" t="str">
        <f aca="false">IF(A323="","",IF(AND(C323&lt;&gt;"No encontrado",F323&lt;&gt;"Inactivo"),C323&amp;" → "&amp;F323,"Sin transición"))</f>
        <v/>
      </c>
      <c r="H323" s="23" t="str">
        <f aca="false">IF(A323="","",IF(D323="GCIA LINEA SERVICIO DIGITALIDAD Y VENTAS","Chats",IF(OR(D323="GERENCIA INBOUND LÍNEAS SERVICIO Y VENTA",D323="GERENCIA INBOUND LINEAS ESPECIALIZADAS"),"Llamadas","Otro")))</f>
        <v/>
      </c>
      <c r="I323" s="23" t="str">
        <f aca="false">IF(A323="","",IF(C323="No encontrado","No","Sí"))</f>
        <v/>
      </c>
      <c r="J323" s="23" t="str">
        <f aca="false">IF(A323="","",IF(F323="Inactivo","No","Sí"))</f>
        <v/>
      </c>
      <c r="K323" s="23" t="str">
        <f aca="false">IF(A323="","",IF(AND(I323="Sí",J323="Sí"),"Sí","No"))</f>
        <v/>
      </c>
    </row>
    <row r="324" customFormat="false" ht="15" hidden="false" customHeight="false" outlineLevel="0" collapsed="false">
      <c r="A324" s="22"/>
      <c r="B324" s="22"/>
      <c r="C324" s="26" t="str">
        <f aca="false">IF(A324="","",IFERROR(buscarx(A324&amp;B324,DATA!$E$3:$E$10000&amp;DATA!$B$3:$B$10000,DATA!$M$3:$M$10000),"No encontrado"))</f>
        <v/>
      </c>
      <c r="D324" s="27" t="str">
        <f aca="false">IF(A324="","",IFERROR(buscarx(A324&amp;B324,DATA!$E$3:$E$10000&amp;DATA!$B$3:$B$10000,DATA!$W$3:$W$10000),"No encontrado"))</f>
        <v/>
      </c>
      <c r="E324" s="22"/>
      <c r="F324" s="26" t="str">
        <f aca="false">IF(A324="","",IFERROR(buscarx(A324&amp;E324,DATA!$E$3:$E$10000&amp;DATA!$B$3:$B$10000,DATA!$M$3:$M$10000),"Inactivo"))</f>
        <v/>
      </c>
      <c r="G324" s="28" t="str">
        <f aca="false">IF(A324="","",IF(AND(C324&lt;&gt;"No encontrado",F324&lt;&gt;"Inactivo"),C324&amp;" → "&amp;F324,"Sin transición"))</f>
        <v/>
      </c>
      <c r="H324" s="26" t="str">
        <f aca="false">IF(A324="","",IF(D324="GCIA LINEA SERVICIO DIGITALIDAD Y VENTAS","Chats",IF(OR(D324="GERENCIA INBOUND LÍNEAS SERVICIO Y VENTA",D324="GERENCIA INBOUND LINEAS ESPECIALIZADAS"),"Llamadas","Otro")))</f>
        <v/>
      </c>
      <c r="I324" s="26" t="str">
        <f aca="false">IF(A324="","",IF(C324="No encontrado","No","Sí"))</f>
        <v/>
      </c>
      <c r="J324" s="26" t="str">
        <f aca="false">IF(A324="","",IF(F324="Inactivo","No","Sí"))</f>
        <v/>
      </c>
      <c r="K324" s="26" t="str">
        <f aca="false">IF(A324="","",IF(AND(I324="Sí",J324="Sí"),"Sí","No"))</f>
        <v/>
      </c>
    </row>
    <row r="325" customFormat="false" ht="15" hidden="false" customHeight="false" outlineLevel="0" collapsed="false">
      <c r="A325" s="22"/>
      <c r="B325" s="22"/>
      <c r="C325" s="23" t="str">
        <f aca="false">IF(A325="","",IFERROR(buscarx(A325&amp;B325,DATA!$E$3:$E$10000&amp;DATA!$B$3:$B$10000,DATA!$M$3:$M$10000),"No encontrado"))</f>
        <v/>
      </c>
      <c r="D325" s="24" t="str">
        <f aca="false">IF(A325="","",IFERROR(buscarx(A325&amp;B325,DATA!$E$3:$E$10000&amp;DATA!$B$3:$B$10000,DATA!$W$3:$W$10000),"No encontrado"))</f>
        <v/>
      </c>
      <c r="E325" s="22"/>
      <c r="F325" s="23" t="str">
        <f aca="false">IF(A325="","",IFERROR(buscarx(A325&amp;E325,DATA!$E$3:$E$10000&amp;DATA!$B$3:$B$10000,DATA!$M$3:$M$10000),"Inactivo"))</f>
        <v/>
      </c>
      <c r="G325" s="25" t="str">
        <f aca="false">IF(A325="","",IF(AND(C325&lt;&gt;"No encontrado",F325&lt;&gt;"Inactivo"),C325&amp;" → "&amp;F325,"Sin transición"))</f>
        <v/>
      </c>
      <c r="H325" s="23" t="str">
        <f aca="false">IF(A325="","",IF(D325="GCIA LINEA SERVICIO DIGITALIDAD Y VENTAS","Chats",IF(OR(D325="GERENCIA INBOUND LÍNEAS SERVICIO Y VENTA",D325="GERENCIA INBOUND LINEAS ESPECIALIZADAS"),"Llamadas","Otro")))</f>
        <v/>
      </c>
      <c r="I325" s="23" t="str">
        <f aca="false">IF(A325="","",IF(C325="No encontrado","No","Sí"))</f>
        <v/>
      </c>
      <c r="J325" s="23" t="str">
        <f aca="false">IF(A325="","",IF(F325="Inactivo","No","Sí"))</f>
        <v/>
      </c>
      <c r="K325" s="23" t="str">
        <f aca="false">IF(A325="","",IF(AND(I325="Sí",J325="Sí"),"Sí","No"))</f>
        <v/>
      </c>
    </row>
    <row r="326" customFormat="false" ht="15" hidden="false" customHeight="false" outlineLevel="0" collapsed="false">
      <c r="A326" s="22"/>
      <c r="B326" s="22"/>
      <c r="C326" s="26" t="str">
        <f aca="false">IF(A326="","",IFERROR(buscarx(A326&amp;B326,DATA!$E$3:$E$10000&amp;DATA!$B$3:$B$10000,DATA!$M$3:$M$10000),"No encontrado"))</f>
        <v/>
      </c>
      <c r="D326" s="27" t="str">
        <f aca="false">IF(A326="","",IFERROR(buscarx(A326&amp;B326,DATA!$E$3:$E$10000&amp;DATA!$B$3:$B$10000,DATA!$W$3:$W$10000),"No encontrado"))</f>
        <v/>
      </c>
      <c r="E326" s="22"/>
      <c r="F326" s="26" t="str">
        <f aca="false">IF(A326="","",IFERROR(buscarx(A326&amp;E326,DATA!$E$3:$E$10000&amp;DATA!$B$3:$B$10000,DATA!$M$3:$M$10000),"Inactivo"))</f>
        <v/>
      </c>
      <c r="G326" s="28" t="str">
        <f aca="false">IF(A326="","",IF(AND(C326&lt;&gt;"No encontrado",F326&lt;&gt;"Inactivo"),C326&amp;" → "&amp;F326,"Sin transición"))</f>
        <v/>
      </c>
      <c r="H326" s="26" t="str">
        <f aca="false">IF(A326="","",IF(D326="GCIA LINEA SERVICIO DIGITALIDAD Y VENTAS","Chats",IF(OR(D326="GERENCIA INBOUND LÍNEAS SERVICIO Y VENTA",D326="GERENCIA INBOUND LINEAS ESPECIALIZADAS"),"Llamadas","Otro")))</f>
        <v/>
      </c>
      <c r="I326" s="26" t="str">
        <f aca="false">IF(A326="","",IF(C326="No encontrado","No","Sí"))</f>
        <v/>
      </c>
      <c r="J326" s="26" t="str">
        <f aca="false">IF(A326="","",IF(F326="Inactivo","No","Sí"))</f>
        <v/>
      </c>
      <c r="K326" s="26" t="str">
        <f aca="false">IF(A326="","",IF(AND(I326="Sí",J326="Sí"),"Sí","No"))</f>
        <v/>
      </c>
    </row>
    <row r="327" customFormat="false" ht="15" hidden="false" customHeight="false" outlineLevel="0" collapsed="false">
      <c r="A327" s="22"/>
      <c r="B327" s="22"/>
      <c r="C327" s="23" t="str">
        <f aca="false">IF(A327="","",IFERROR(buscarx(A327&amp;B327,DATA!$E$3:$E$10000&amp;DATA!$B$3:$B$10000,DATA!$M$3:$M$10000),"No encontrado"))</f>
        <v/>
      </c>
      <c r="D327" s="24" t="str">
        <f aca="false">IF(A327="","",IFERROR(buscarx(A327&amp;B327,DATA!$E$3:$E$10000&amp;DATA!$B$3:$B$10000,DATA!$W$3:$W$10000),"No encontrado"))</f>
        <v/>
      </c>
      <c r="E327" s="22"/>
      <c r="F327" s="23" t="str">
        <f aca="false">IF(A327="","",IFERROR(buscarx(A327&amp;E327,DATA!$E$3:$E$10000&amp;DATA!$B$3:$B$10000,DATA!$M$3:$M$10000),"Inactivo"))</f>
        <v/>
      </c>
      <c r="G327" s="25" t="str">
        <f aca="false">IF(A327="","",IF(AND(C327&lt;&gt;"No encontrado",F327&lt;&gt;"Inactivo"),C327&amp;" → "&amp;F327,"Sin transición"))</f>
        <v/>
      </c>
      <c r="H327" s="23" t="str">
        <f aca="false">IF(A327="","",IF(D327="GCIA LINEA SERVICIO DIGITALIDAD Y VENTAS","Chats",IF(OR(D327="GERENCIA INBOUND LÍNEAS SERVICIO Y VENTA",D327="GERENCIA INBOUND LINEAS ESPECIALIZADAS"),"Llamadas","Otro")))</f>
        <v/>
      </c>
      <c r="I327" s="23" t="str">
        <f aca="false">IF(A327="","",IF(C327="No encontrado","No","Sí"))</f>
        <v/>
      </c>
      <c r="J327" s="23" t="str">
        <f aca="false">IF(A327="","",IF(F327="Inactivo","No","Sí"))</f>
        <v/>
      </c>
      <c r="K327" s="23" t="str">
        <f aca="false">IF(A327="","",IF(AND(I327="Sí",J327="Sí"),"Sí","No"))</f>
        <v/>
      </c>
    </row>
    <row r="328" customFormat="false" ht="15" hidden="false" customHeight="false" outlineLevel="0" collapsed="false">
      <c r="A328" s="22"/>
      <c r="B328" s="22"/>
      <c r="C328" s="26" t="str">
        <f aca="false">IF(A328="","",IFERROR(buscarx(A328&amp;B328,DATA!$E$3:$E$10000&amp;DATA!$B$3:$B$10000,DATA!$M$3:$M$10000),"No encontrado"))</f>
        <v/>
      </c>
      <c r="D328" s="27" t="str">
        <f aca="false">IF(A328="","",IFERROR(buscarx(A328&amp;B328,DATA!$E$3:$E$10000&amp;DATA!$B$3:$B$10000,DATA!$W$3:$W$10000),"No encontrado"))</f>
        <v/>
      </c>
      <c r="E328" s="22"/>
      <c r="F328" s="26" t="str">
        <f aca="false">IF(A328="","",IFERROR(buscarx(A328&amp;E328,DATA!$E$3:$E$10000&amp;DATA!$B$3:$B$10000,DATA!$M$3:$M$10000),"Inactivo"))</f>
        <v/>
      </c>
      <c r="G328" s="28" t="str">
        <f aca="false">IF(A328="","",IF(AND(C328&lt;&gt;"No encontrado",F328&lt;&gt;"Inactivo"),C328&amp;" → "&amp;F328,"Sin transición"))</f>
        <v/>
      </c>
      <c r="H328" s="26" t="str">
        <f aca="false">IF(A328="","",IF(D328="GCIA LINEA SERVICIO DIGITALIDAD Y VENTAS","Chats",IF(OR(D328="GERENCIA INBOUND LÍNEAS SERVICIO Y VENTA",D328="GERENCIA INBOUND LINEAS ESPECIALIZADAS"),"Llamadas","Otro")))</f>
        <v/>
      </c>
      <c r="I328" s="26" t="str">
        <f aca="false">IF(A328="","",IF(C328="No encontrado","No","Sí"))</f>
        <v/>
      </c>
      <c r="J328" s="26" t="str">
        <f aca="false">IF(A328="","",IF(F328="Inactivo","No","Sí"))</f>
        <v/>
      </c>
      <c r="K328" s="26" t="str">
        <f aca="false">IF(A328="","",IF(AND(I328="Sí",J328="Sí"),"Sí","No"))</f>
        <v/>
      </c>
    </row>
    <row r="329" customFormat="false" ht="15" hidden="false" customHeight="false" outlineLevel="0" collapsed="false">
      <c r="A329" s="22"/>
      <c r="B329" s="22"/>
      <c r="C329" s="23" t="str">
        <f aca="false">IF(A329="","",IFERROR(buscarx(A329&amp;B329,DATA!$E$3:$E$10000&amp;DATA!$B$3:$B$10000,DATA!$M$3:$M$10000),"No encontrado"))</f>
        <v/>
      </c>
      <c r="D329" s="24" t="str">
        <f aca="false">IF(A329="","",IFERROR(buscarx(A329&amp;B329,DATA!$E$3:$E$10000&amp;DATA!$B$3:$B$10000,DATA!$W$3:$W$10000),"No encontrado"))</f>
        <v/>
      </c>
      <c r="E329" s="22"/>
      <c r="F329" s="23" t="str">
        <f aca="false">IF(A329="","",IFERROR(buscarx(A329&amp;E329,DATA!$E$3:$E$10000&amp;DATA!$B$3:$B$10000,DATA!$M$3:$M$10000),"Inactivo"))</f>
        <v/>
      </c>
      <c r="G329" s="25" t="str">
        <f aca="false">IF(A329="","",IF(AND(C329&lt;&gt;"No encontrado",F329&lt;&gt;"Inactivo"),C329&amp;" → "&amp;F329,"Sin transición"))</f>
        <v/>
      </c>
      <c r="H329" s="23" t="str">
        <f aca="false">IF(A329="","",IF(D329="GCIA LINEA SERVICIO DIGITALIDAD Y VENTAS","Chats",IF(OR(D329="GERENCIA INBOUND LÍNEAS SERVICIO Y VENTA",D329="GERENCIA INBOUND LINEAS ESPECIALIZADAS"),"Llamadas","Otro")))</f>
        <v/>
      </c>
      <c r="I329" s="23" t="str">
        <f aca="false">IF(A329="","",IF(C329="No encontrado","No","Sí"))</f>
        <v/>
      </c>
      <c r="J329" s="23" t="str">
        <f aca="false">IF(A329="","",IF(F329="Inactivo","No","Sí"))</f>
        <v/>
      </c>
      <c r="K329" s="23" t="str">
        <f aca="false">IF(A329="","",IF(AND(I329="Sí",J329="Sí"),"Sí","No"))</f>
        <v/>
      </c>
    </row>
    <row r="330" customFormat="false" ht="15" hidden="false" customHeight="false" outlineLevel="0" collapsed="false">
      <c r="A330" s="22"/>
      <c r="B330" s="22"/>
      <c r="C330" s="26" t="str">
        <f aca="false">IF(A330="","",IFERROR(buscarx(A330&amp;B330,DATA!$E$3:$E$10000&amp;DATA!$B$3:$B$10000,DATA!$M$3:$M$10000),"No encontrado"))</f>
        <v/>
      </c>
      <c r="D330" s="27" t="str">
        <f aca="false">IF(A330="","",IFERROR(buscarx(A330&amp;B330,DATA!$E$3:$E$10000&amp;DATA!$B$3:$B$10000,DATA!$W$3:$W$10000),"No encontrado"))</f>
        <v/>
      </c>
      <c r="E330" s="22"/>
      <c r="F330" s="26" t="str">
        <f aca="false">IF(A330="","",IFERROR(buscarx(A330&amp;E330,DATA!$E$3:$E$10000&amp;DATA!$B$3:$B$10000,DATA!$M$3:$M$10000),"Inactivo"))</f>
        <v/>
      </c>
      <c r="G330" s="28" t="str">
        <f aca="false">IF(A330="","",IF(AND(C330&lt;&gt;"No encontrado",F330&lt;&gt;"Inactivo"),C330&amp;" → "&amp;F330,"Sin transición"))</f>
        <v/>
      </c>
      <c r="H330" s="26" t="str">
        <f aca="false">IF(A330="","",IF(D330="GCIA LINEA SERVICIO DIGITALIDAD Y VENTAS","Chats",IF(OR(D330="GERENCIA INBOUND LÍNEAS SERVICIO Y VENTA",D330="GERENCIA INBOUND LINEAS ESPECIALIZADAS"),"Llamadas","Otro")))</f>
        <v/>
      </c>
      <c r="I330" s="26" t="str">
        <f aca="false">IF(A330="","",IF(C330="No encontrado","No","Sí"))</f>
        <v/>
      </c>
      <c r="J330" s="26" t="str">
        <f aca="false">IF(A330="","",IF(F330="Inactivo","No","Sí"))</f>
        <v/>
      </c>
      <c r="K330" s="26" t="str">
        <f aca="false">IF(A330="","",IF(AND(I330="Sí",J330="Sí"),"Sí","No"))</f>
        <v/>
      </c>
    </row>
    <row r="331" customFormat="false" ht="15" hidden="false" customHeight="false" outlineLevel="0" collapsed="false">
      <c r="A331" s="22"/>
      <c r="B331" s="22"/>
      <c r="C331" s="23" t="str">
        <f aca="false">IF(A331="","",IFERROR(buscarx(A331&amp;B331,DATA!$E$3:$E$10000&amp;DATA!$B$3:$B$10000,DATA!$M$3:$M$10000),"No encontrado"))</f>
        <v/>
      </c>
      <c r="D331" s="24" t="str">
        <f aca="false">IF(A331="","",IFERROR(buscarx(A331&amp;B331,DATA!$E$3:$E$10000&amp;DATA!$B$3:$B$10000,DATA!$W$3:$W$10000),"No encontrado"))</f>
        <v/>
      </c>
      <c r="E331" s="22"/>
      <c r="F331" s="23" t="str">
        <f aca="false">IF(A331="","",IFERROR(buscarx(A331&amp;E331,DATA!$E$3:$E$10000&amp;DATA!$B$3:$B$10000,DATA!$M$3:$M$10000),"Inactivo"))</f>
        <v/>
      </c>
      <c r="G331" s="25" t="str">
        <f aca="false">IF(A331="","",IF(AND(C331&lt;&gt;"No encontrado",F331&lt;&gt;"Inactivo"),C331&amp;" → "&amp;F331,"Sin transición"))</f>
        <v/>
      </c>
      <c r="H331" s="23" t="str">
        <f aca="false">IF(A331="","",IF(D331="GCIA LINEA SERVICIO DIGITALIDAD Y VENTAS","Chats",IF(OR(D331="GERENCIA INBOUND LÍNEAS SERVICIO Y VENTA",D331="GERENCIA INBOUND LINEAS ESPECIALIZADAS"),"Llamadas","Otro")))</f>
        <v/>
      </c>
      <c r="I331" s="23" t="str">
        <f aca="false">IF(A331="","",IF(C331="No encontrado","No","Sí"))</f>
        <v/>
      </c>
      <c r="J331" s="23" t="str">
        <f aca="false">IF(A331="","",IF(F331="Inactivo","No","Sí"))</f>
        <v/>
      </c>
      <c r="K331" s="23" t="str">
        <f aca="false">IF(A331="","",IF(AND(I331="Sí",J331="Sí"),"Sí","No"))</f>
        <v/>
      </c>
    </row>
    <row r="332" customFormat="false" ht="15" hidden="false" customHeight="false" outlineLevel="0" collapsed="false">
      <c r="A332" s="22"/>
      <c r="B332" s="22"/>
      <c r="C332" s="26" t="str">
        <f aca="false">IF(A332="","",IFERROR(buscarx(A332&amp;B332,DATA!$E$3:$E$10000&amp;DATA!$B$3:$B$10000,DATA!$M$3:$M$10000),"No encontrado"))</f>
        <v/>
      </c>
      <c r="D332" s="27" t="str">
        <f aca="false">IF(A332="","",IFERROR(buscarx(A332&amp;B332,DATA!$E$3:$E$10000&amp;DATA!$B$3:$B$10000,DATA!$W$3:$W$10000),"No encontrado"))</f>
        <v/>
      </c>
      <c r="E332" s="22"/>
      <c r="F332" s="26" t="str">
        <f aca="false">IF(A332="","",IFERROR(buscarx(A332&amp;E332,DATA!$E$3:$E$10000&amp;DATA!$B$3:$B$10000,DATA!$M$3:$M$10000),"Inactivo"))</f>
        <v/>
      </c>
      <c r="G332" s="28" t="str">
        <f aca="false">IF(A332="","",IF(AND(C332&lt;&gt;"No encontrado",F332&lt;&gt;"Inactivo"),C332&amp;" → "&amp;F332,"Sin transición"))</f>
        <v/>
      </c>
      <c r="H332" s="26" t="str">
        <f aca="false">IF(A332="","",IF(D332="GCIA LINEA SERVICIO DIGITALIDAD Y VENTAS","Chats",IF(OR(D332="GERENCIA INBOUND LÍNEAS SERVICIO Y VENTA",D332="GERENCIA INBOUND LINEAS ESPECIALIZADAS"),"Llamadas","Otro")))</f>
        <v/>
      </c>
      <c r="I332" s="26" t="str">
        <f aca="false">IF(A332="","",IF(C332="No encontrado","No","Sí"))</f>
        <v/>
      </c>
      <c r="J332" s="26" t="str">
        <f aca="false">IF(A332="","",IF(F332="Inactivo","No","Sí"))</f>
        <v/>
      </c>
      <c r="K332" s="26" t="str">
        <f aca="false">IF(A332="","",IF(AND(I332="Sí",J332="Sí"),"Sí","No"))</f>
        <v/>
      </c>
    </row>
    <row r="333" customFormat="false" ht="15" hidden="false" customHeight="false" outlineLevel="0" collapsed="false">
      <c r="A333" s="22"/>
      <c r="B333" s="22"/>
      <c r="C333" s="23" t="str">
        <f aca="false">IF(A333="","",IFERROR(buscarx(A333&amp;B333,DATA!$E$3:$E$10000&amp;DATA!$B$3:$B$10000,DATA!$M$3:$M$10000),"No encontrado"))</f>
        <v/>
      </c>
      <c r="D333" s="24" t="str">
        <f aca="false">IF(A333="","",IFERROR(buscarx(A333&amp;B333,DATA!$E$3:$E$10000&amp;DATA!$B$3:$B$10000,DATA!$W$3:$W$10000),"No encontrado"))</f>
        <v/>
      </c>
      <c r="E333" s="22"/>
      <c r="F333" s="23" t="str">
        <f aca="false">IF(A333="","",IFERROR(buscarx(A333&amp;E333,DATA!$E$3:$E$10000&amp;DATA!$B$3:$B$10000,DATA!$M$3:$M$10000),"Inactivo"))</f>
        <v/>
      </c>
      <c r="G333" s="25" t="str">
        <f aca="false">IF(A333="","",IF(AND(C333&lt;&gt;"No encontrado",F333&lt;&gt;"Inactivo"),C333&amp;" → "&amp;F333,"Sin transición"))</f>
        <v/>
      </c>
      <c r="H333" s="23" t="str">
        <f aca="false">IF(A333="","",IF(D333="GCIA LINEA SERVICIO DIGITALIDAD Y VENTAS","Chats",IF(OR(D333="GERENCIA INBOUND LÍNEAS SERVICIO Y VENTA",D333="GERENCIA INBOUND LINEAS ESPECIALIZADAS"),"Llamadas","Otro")))</f>
        <v/>
      </c>
      <c r="I333" s="23" t="str">
        <f aca="false">IF(A333="","",IF(C333="No encontrado","No","Sí"))</f>
        <v/>
      </c>
      <c r="J333" s="23" t="str">
        <f aca="false">IF(A333="","",IF(F333="Inactivo","No","Sí"))</f>
        <v/>
      </c>
      <c r="K333" s="23" t="str">
        <f aca="false">IF(A333="","",IF(AND(I333="Sí",J333="Sí"),"Sí","No"))</f>
        <v/>
      </c>
    </row>
    <row r="334" customFormat="false" ht="15" hidden="false" customHeight="false" outlineLevel="0" collapsed="false">
      <c r="A334" s="22"/>
      <c r="B334" s="22"/>
      <c r="C334" s="26" t="str">
        <f aca="false">IF(A334="","",IFERROR(buscarx(A334&amp;B334,DATA!$E$3:$E$10000&amp;DATA!$B$3:$B$10000,DATA!$M$3:$M$10000),"No encontrado"))</f>
        <v/>
      </c>
      <c r="D334" s="27" t="str">
        <f aca="false">IF(A334="","",IFERROR(buscarx(A334&amp;B334,DATA!$E$3:$E$10000&amp;DATA!$B$3:$B$10000,DATA!$W$3:$W$10000),"No encontrado"))</f>
        <v/>
      </c>
      <c r="E334" s="22"/>
      <c r="F334" s="26" t="str">
        <f aca="false">IF(A334="","",IFERROR(buscarx(A334&amp;E334,DATA!$E$3:$E$10000&amp;DATA!$B$3:$B$10000,DATA!$M$3:$M$10000),"Inactivo"))</f>
        <v/>
      </c>
      <c r="G334" s="28" t="str">
        <f aca="false">IF(A334="","",IF(AND(C334&lt;&gt;"No encontrado",F334&lt;&gt;"Inactivo"),C334&amp;" → "&amp;F334,"Sin transición"))</f>
        <v/>
      </c>
      <c r="H334" s="26" t="str">
        <f aca="false">IF(A334="","",IF(D334="GCIA LINEA SERVICIO DIGITALIDAD Y VENTAS","Chats",IF(OR(D334="GERENCIA INBOUND LÍNEAS SERVICIO Y VENTA",D334="GERENCIA INBOUND LINEAS ESPECIALIZADAS"),"Llamadas","Otro")))</f>
        <v/>
      </c>
      <c r="I334" s="26" t="str">
        <f aca="false">IF(A334="","",IF(C334="No encontrado","No","Sí"))</f>
        <v/>
      </c>
      <c r="J334" s="26" t="str">
        <f aca="false">IF(A334="","",IF(F334="Inactivo","No","Sí"))</f>
        <v/>
      </c>
      <c r="K334" s="26" t="str">
        <f aca="false">IF(A334="","",IF(AND(I334="Sí",J334="Sí"),"Sí","No"))</f>
        <v/>
      </c>
    </row>
    <row r="335" customFormat="false" ht="15" hidden="false" customHeight="false" outlineLevel="0" collapsed="false">
      <c r="A335" s="22"/>
      <c r="B335" s="22"/>
      <c r="C335" s="23" t="str">
        <f aca="false">IF(A335="","",IFERROR(buscarx(A335&amp;B335,DATA!$E$3:$E$10000&amp;DATA!$B$3:$B$10000,DATA!$M$3:$M$10000),"No encontrado"))</f>
        <v/>
      </c>
      <c r="D335" s="24" t="str">
        <f aca="false">IF(A335="","",IFERROR(buscarx(A335&amp;B335,DATA!$E$3:$E$10000&amp;DATA!$B$3:$B$10000,DATA!$W$3:$W$10000),"No encontrado"))</f>
        <v/>
      </c>
      <c r="E335" s="22"/>
      <c r="F335" s="23" t="str">
        <f aca="false">IF(A335="","",IFERROR(buscarx(A335&amp;E335,DATA!$E$3:$E$10000&amp;DATA!$B$3:$B$10000,DATA!$M$3:$M$10000),"Inactivo"))</f>
        <v/>
      </c>
      <c r="G335" s="25" t="str">
        <f aca="false">IF(A335="","",IF(AND(C335&lt;&gt;"No encontrado",F335&lt;&gt;"Inactivo"),C335&amp;" → "&amp;F335,"Sin transición"))</f>
        <v/>
      </c>
      <c r="H335" s="23" t="str">
        <f aca="false">IF(A335="","",IF(D335="GCIA LINEA SERVICIO DIGITALIDAD Y VENTAS","Chats",IF(OR(D335="GERENCIA INBOUND LÍNEAS SERVICIO Y VENTA",D335="GERENCIA INBOUND LINEAS ESPECIALIZADAS"),"Llamadas","Otro")))</f>
        <v/>
      </c>
      <c r="I335" s="23" t="str">
        <f aca="false">IF(A335="","",IF(C335="No encontrado","No","Sí"))</f>
        <v/>
      </c>
      <c r="J335" s="23" t="str">
        <f aca="false">IF(A335="","",IF(F335="Inactivo","No","Sí"))</f>
        <v/>
      </c>
      <c r="K335" s="23" t="str">
        <f aca="false">IF(A335="","",IF(AND(I335="Sí",J335="Sí"),"Sí","No"))</f>
        <v/>
      </c>
    </row>
    <row r="336" customFormat="false" ht="15" hidden="false" customHeight="false" outlineLevel="0" collapsed="false">
      <c r="A336" s="22"/>
      <c r="B336" s="22"/>
      <c r="C336" s="26" t="str">
        <f aca="false">IF(A336="","",IFERROR(buscarx(A336&amp;B336,DATA!$E$3:$E$10000&amp;DATA!$B$3:$B$10000,DATA!$M$3:$M$10000),"No encontrado"))</f>
        <v/>
      </c>
      <c r="D336" s="27" t="str">
        <f aca="false">IF(A336="","",IFERROR(buscarx(A336&amp;B336,DATA!$E$3:$E$10000&amp;DATA!$B$3:$B$10000,DATA!$W$3:$W$10000),"No encontrado"))</f>
        <v/>
      </c>
      <c r="E336" s="22"/>
      <c r="F336" s="26" t="str">
        <f aca="false">IF(A336="","",IFERROR(buscarx(A336&amp;E336,DATA!$E$3:$E$10000&amp;DATA!$B$3:$B$10000,DATA!$M$3:$M$10000),"Inactivo"))</f>
        <v/>
      </c>
      <c r="G336" s="28" t="str">
        <f aca="false">IF(A336="","",IF(AND(C336&lt;&gt;"No encontrado",F336&lt;&gt;"Inactivo"),C336&amp;" → "&amp;F336,"Sin transición"))</f>
        <v/>
      </c>
      <c r="H336" s="26" t="str">
        <f aca="false">IF(A336="","",IF(D336="GCIA LINEA SERVICIO DIGITALIDAD Y VENTAS","Chats",IF(OR(D336="GERENCIA INBOUND LÍNEAS SERVICIO Y VENTA",D336="GERENCIA INBOUND LINEAS ESPECIALIZADAS"),"Llamadas","Otro")))</f>
        <v/>
      </c>
      <c r="I336" s="26" t="str">
        <f aca="false">IF(A336="","",IF(C336="No encontrado","No","Sí"))</f>
        <v/>
      </c>
      <c r="J336" s="26" t="str">
        <f aca="false">IF(A336="","",IF(F336="Inactivo","No","Sí"))</f>
        <v/>
      </c>
      <c r="K336" s="26" t="str">
        <f aca="false">IF(A336="","",IF(AND(I336="Sí",J336="Sí"),"Sí","No"))</f>
        <v/>
      </c>
    </row>
    <row r="337" customFormat="false" ht="15" hidden="false" customHeight="false" outlineLevel="0" collapsed="false">
      <c r="A337" s="22"/>
      <c r="B337" s="22"/>
      <c r="C337" s="23" t="str">
        <f aca="false">IF(A337="","",IFERROR(buscarx(A337&amp;B337,DATA!$E$3:$E$10000&amp;DATA!$B$3:$B$10000,DATA!$M$3:$M$10000),"No encontrado"))</f>
        <v/>
      </c>
      <c r="D337" s="24" t="str">
        <f aca="false">IF(A337="","",IFERROR(buscarx(A337&amp;B337,DATA!$E$3:$E$10000&amp;DATA!$B$3:$B$10000,DATA!$W$3:$W$10000),"No encontrado"))</f>
        <v/>
      </c>
      <c r="E337" s="22"/>
      <c r="F337" s="23" t="str">
        <f aca="false">IF(A337="","",IFERROR(buscarx(A337&amp;E337,DATA!$E$3:$E$10000&amp;DATA!$B$3:$B$10000,DATA!$M$3:$M$10000),"Inactivo"))</f>
        <v/>
      </c>
      <c r="G337" s="25" t="str">
        <f aca="false">IF(A337="","",IF(AND(C337&lt;&gt;"No encontrado",F337&lt;&gt;"Inactivo"),C337&amp;" → "&amp;F337,"Sin transición"))</f>
        <v/>
      </c>
      <c r="H337" s="23" t="str">
        <f aca="false">IF(A337="","",IF(D337="GCIA LINEA SERVICIO DIGITALIDAD Y VENTAS","Chats",IF(OR(D337="GERENCIA INBOUND LÍNEAS SERVICIO Y VENTA",D337="GERENCIA INBOUND LINEAS ESPECIALIZADAS"),"Llamadas","Otro")))</f>
        <v/>
      </c>
      <c r="I337" s="23" t="str">
        <f aca="false">IF(A337="","",IF(C337="No encontrado","No","Sí"))</f>
        <v/>
      </c>
      <c r="J337" s="23" t="str">
        <f aca="false">IF(A337="","",IF(F337="Inactivo","No","Sí"))</f>
        <v/>
      </c>
      <c r="K337" s="23" t="str">
        <f aca="false">IF(A337="","",IF(AND(I337="Sí",J337="Sí"),"Sí","No"))</f>
        <v/>
      </c>
    </row>
    <row r="338" customFormat="false" ht="15" hidden="false" customHeight="false" outlineLevel="0" collapsed="false">
      <c r="A338" s="22"/>
      <c r="B338" s="22"/>
      <c r="C338" s="26" t="str">
        <f aca="false">IF(A338="","",IFERROR(buscarx(A338&amp;B338,DATA!$E$3:$E$10000&amp;DATA!$B$3:$B$10000,DATA!$M$3:$M$10000),"No encontrado"))</f>
        <v/>
      </c>
      <c r="D338" s="27" t="str">
        <f aca="false">IF(A338="","",IFERROR(buscarx(A338&amp;B338,DATA!$E$3:$E$10000&amp;DATA!$B$3:$B$10000,DATA!$W$3:$W$10000),"No encontrado"))</f>
        <v/>
      </c>
      <c r="E338" s="22"/>
      <c r="F338" s="26" t="str">
        <f aca="false">IF(A338="","",IFERROR(buscarx(A338&amp;E338,DATA!$E$3:$E$10000&amp;DATA!$B$3:$B$10000,DATA!$M$3:$M$10000),"Inactivo"))</f>
        <v/>
      </c>
      <c r="G338" s="28" t="str">
        <f aca="false">IF(A338="","",IF(AND(C338&lt;&gt;"No encontrado",F338&lt;&gt;"Inactivo"),C338&amp;" → "&amp;F338,"Sin transición"))</f>
        <v/>
      </c>
      <c r="H338" s="26" t="str">
        <f aca="false">IF(A338="","",IF(D338="GCIA LINEA SERVICIO DIGITALIDAD Y VENTAS","Chats",IF(OR(D338="GERENCIA INBOUND LÍNEAS SERVICIO Y VENTA",D338="GERENCIA INBOUND LINEAS ESPECIALIZADAS"),"Llamadas","Otro")))</f>
        <v/>
      </c>
      <c r="I338" s="26" t="str">
        <f aca="false">IF(A338="","",IF(C338="No encontrado","No","Sí"))</f>
        <v/>
      </c>
      <c r="J338" s="26" t="str">
        <f aca="false">IF(A338="","",IF(F338="Inactivo","No","Sí"))</f>
        <v/>
      </c>
      <c r="K338" s="26" t="str">
        <f aca="false">IF(A338="","",IF(AND(I338="Sí",J338="Sí"),"Sí","No"))</f>
        <v/>
      </c>
    </row>
    <row r="339" customFormat="false" ht="15" hidden="false" customHeight="false" outlineLevel="0" collapsed="false">
      <c r="A339" s="22"/>
      <c r="B339" s="22"/>
      <c r="C339" s="23" t="str">
        <f aca="false">IF(A339="","",IFERROR(buscarx(A339&amp;B339,DATA!$E$3:$E$10000&amp;DATA!$B$3:$B$10000,DATA!$M$3:$M$10000),"No encontrado"))</f>
        <v/>
      </c>
      <c r="D339" s="24" t="str">
        <f aca="false">IF(A339="","",IFERROR(buscarx(A339&amp;B339,DATA!$E$3:$E$10000&amp;DATA!$B$3:$B$10000,DATA!$W$3:$W$10000),"No encontrado"))</f>
        <v/>
      </c>
      <c r="E339" s="22"/>
      <c r="F339" s="23" t="str">
        <f aca="false">IF(A339="","",IFERROR(buscarx(A339&amp;E339,DATA!$E$3:$E$10000&amp;DATA!$B$3:$B$10000,DATA!$M$3:$M$10000),"Inactivo"))</f>
        <v/>
      </c>
      <c r="G339" s="25" t="str">
        <f aca="false">IF(A339="","",IF(AND(C339&lt;&gt;"No encontrado",F339&lt;&gt;"Inactivo"),C339&amp;" → "&amp;F339,"Sin transición"))</f>
        <v/>
      </c>
      <c r="H339" s="23" t="str">
        <f aca="false">IF(A339="","",IF(D339="GCIA LINEA SERVICIO DIGITALIDAD Y VENTAS","Chats",IF(OR(D339="GERENCIA INBOUND LÍNEAS SERVICIO Y VENTA",D339="GERENCIA INBOUND LINEAS ESPECIALIZADAS"),"Llamadas","Otro")))</f>
        <v/>
      </c>
      <c r="I339" s="23" t="str">
        <f aca="false">IF(A339="","",IF(C339="No encontrado","No","Sí"))</f>
        <v/>
      </c>
      <c r="J339" s="23" t="str">
        <f aca="false">IF(A339="","",IF(F339="Inactivo","No","Sí"))</f>
        <v/>
      </c>
      <c r="K339" s="23" t="str">
        <f aca="false">IF(A339="","",IF(AND(I339="Sí",J339="Sí"),"Sí","No"))</f>
        <v/>
      </c>
    </row>
    <row r="340" customFormat="false" ht="15" hidden="false" customHeight="false" outlineLevel="0" collapsed="false">
      <c r="A340" s="22"/>
      <c r="B340" s="22"/>
      <c r="C340" s="26" t="str">
        <f aca="false">IF(A340="","",IFERROR(buscarx(A340&amp;B340,DATA!$E$3:$E$10000&amp;DATA!$B$3:$B$10000,DATA!$M$3:$M$10000),"No encontrado"))</f>
        <v/>
      </c>
      <c r="D340" s="27" t="str">
        <f aca="false">IF(A340="","",IFERROR(buscarx(A340&amp;B340,DATA!$E$3:$E$10000&amp;DATA!$B$3:$B$10000,DATA!$W$3:$W$10000),"No encontrado"))</f>
        <v/>
      </c>
      <c r="E340" s="22"/>
      <c r="F340" s="26" t="str">
        <f aca="false">IF(A340="","",IFERROR(buscarx(A340&amp;E340,DATA!$E$3:$E$10000&amp;DATA!$B$3:$B$10000,DATA!$M$3:$M$10000),"Inactivo"))</f>
        <v/>
      </c>
      <c r="G340" s="28" t="str">
        <f aca="false">IF(A340="","",IF(AND(C340&lt;&gt;"No encontrado",F340&lt;&gt;"Inactivo"),C340&amp;" → "&amp;F340,"Sin transición"))</f>
        <v/>
      </c>
      <c r="H340" s="26" t="str">
        <f aca="false">IF(A340="","",IF(D340="GCIA LINEA SERVICIO DIGITALIDAD Y VENTAS","Chats",IF(OR(D340="GERENCIA INBOUND LÍNEAS SERVICIO Y VENTA",D340="GERENCIA INBOUND LINEAS ESPECIALIZADAS"),"Llamadas","Otro")))</f>
        <v/>
      </c>
      <c r="I340" s="26" t="str">
        <f aca="false">IF(A340="","",IF(C340="No encontrado","No","Sí"))</f>
        <v/>
      </c>
      <c r="J340" s="26" t="str">
        <f aca="false">IF(A340="","",IF(F340="Inactivo","No","Sí"))</f>
        <v/>
      </c>
      <c r="K340" s="26" t="str">
        <f aca="false">IF(A340="","",IF(AND(I340="Sí",J340="Sí"),"Sí","No"))</f>
        <v/>
      </c>
    </row>
    <row r="341" customFormat="false" ht="15" hidden="false" customHeight="false" outlineLevel="0" collapsed="false">
      <c r="A341" s="22"/>
      <c r="B341" s="22"/>
      <c r="C341" s="23" t="str">
        <f aca="false">IF(A341="","",IFERROR(buscarx(A341&amp;B341,DATA!$E$3:$E$10000&amp;DATA!$B$3:$B$10000,DATA!$M$3:$M$10000),"No encontrado"))</f>
        <v/>
      </c>
      <c r="D341" s="24" t="str">
        <f aca="false">IF(A341="","",IFERROR(buscarx(A341&amp;B341,DATA!$E$3:$E$10000&amp;DATA!$B$3:$B$10000,DATA!$W$3:$W$10000),"No encontrado"))</f>
        <v/>
      </c>
      <c r="E341" s="22"/>
      <c r="F341" s="23" t="str">
        <f aca="false">IF(A341="","",IFERROR(buscarx(A341&amp;E341,DATA!$E$3:$E$10000&amp;DATA!$B$3:$B$10000,DATA!$M$3:$M$10000),"Inactivo"))</f>
        <v/>
      </c>
      <c r="G341" s="25" t="str">
        <f aca="false">IF(A341="","",IF(AND(C341&lt;&gt;"No encontrado",F341&lt;&gt;"Inactivo"),C341&amp;" → "&amp;F341,"Sin transición"))</f>
        <v/>
      </c>
      <c r="H341" s="23" t="str">
        <f aca="false">IF(A341="","",IF(D341="GCIA LINEA SERVICIO DIGITALIDAD Y VENTAS","Chats",IF(OR(D341="GERENCIA INBOUND LÍNEAS SERVICIO Y VENTA",D341="GERENCIA INBOUND LINEAS ESPECIALIZADAS"),"Llamadas","Otro")))</f>
        <v/>
      </c>
      <c r="I341" s="23" t="str">
        <f aca="false">IF(A341="","",IF(C341="No encontrado","No","Sí"))</f>
        <v/>
      </c>
      <c r="J341" s="23" t="str">
        <f aca="false">IF(A341="","",IF(F341="Inactivo","No","Sí"))</f>
        <v/>
      </c>
      <c r="K341" s="23" t="str">
        <f aca="false">IF(A341="","",IF(AND(I341="Sí",J341="Sí"),"Sí","No"))</f>
        <v/>
      </c>
    </row>
    <row r="342" customFormat="false" ht="15" hidden="false" customHeight="false" outlineLevel="0" collapsed="false">
      <c r="A342" s="22"/>
      <c r="B342" s="22"/>
      <c r="C342" s="26" t="str">
        <f aca="false">IF(A342="","",IFERROR(buscarx(A342&amp;B342,DATA!$E$3:$E$10000&amp;DATA!$B$3:$B$10000,DATA!$M$3:$M$10000),"No encontrado"))</f>
        <v/>
      </c>
      <c r="D342" s="27" t="str">
        <f aca="false">IF(A342="","",IFERROR(buscarx(A342&amp;B342,DATA!$E$3:$E$10000&amp;DATA!$B$3:$B$10000,DATA!$W$3:$W$10000),"No encontrado"))</f>
        <v/>
      </c>
      <c r="E342" s="22"/>
      <c r="F342" s="26" t="str">
        <f aca="false">IF(A342="","",IFERROR(buscarx(A342&amp;E342,DATA!$E$3:$E$10000&amp;DATA!$B$3:$B$10000,DATA!$M$3:$M$10000),"Inactivo"))</f>
        <v/>
      </c>
      <c r="G342" s="28" t="str">
        <f aca="false">IF(A342="","",IF(AND(C342&lt;&gt;"No encontrado",F342&lt;&gt;"Inactivo"),C342&amp;" → "&amp;F342,"Sin transición"))</f>
        <v/>
      </c>
      <c r="H342" s="26" t="str">
        <f aca="false">IF(A342="","",IF(D342="GCIA LINEA SERVICIO DIGITALIDAD Y VENTAS","Chats",IF(OR(D342="GERENCIA INBOUND LÍNEAS SERVICIO Y VENTA",D342="GERENCIA INBOUND LINEAS ESPECIALIZADAS"),"Llamadas","Otro")))</f>
        <v/>
      </c>
      <c r="I342" s="26" t="str">
        <f aca="false">IF(A342="","",IF(C342="No encontrado","No","Sí"))</f>
        <v/>
      </c>
      <c r="J342" s="26" t="str">
        <f aca="false">IF(A342="","",IF(F342="Inactivo","No","Sí"))</f>
        <v/>
      </c>
      <c r="K342" s="26" t="str">
        <f aca="false">IF(A342="","",IF(AND(I342="Sí",J342="Sí"),"Sí","No"))</f>
        <v/>
      </c>
    </row>
    <row r="343" customFormat="false" ht="15" hidden="false" customHeight="false" outlineLevel="0" collapsed="false">
      <c r="A343" s="22"/>
      <c r="B343" s="22"/>
      <c r="C343" s="23" t="str">
        <f aca="false">IF(A343="","",IFERROR(buscarx(A343&amp;B343,DATA!$E$3:$E$10000&amp;DATA!$B$3:$B$10000,DATA!$M$3:$M$10000),"No encontrado"))</f>
        <v/>
      </c>
      <c r="D343" s="24" t="str">
        <f aca="false">IF(A343="","",IFERROR(buscarx(A343&amp;B343,DATA!$E$3:$E$10000&amp;DATA!$B$3:$B$10000,DATA!$W$3:$W$10000),"No encontrado"))</f>
        <v/>
      </c>
      <c r="E343" s="22"/>
      <c r="F343" s="23" t="str">
        <f aca="false">IF(A343="","",IFERROR(buscarx(A343&amp;E343,DATA!$E$3:$E$10000&amp;DATA!$B$3:$B$10000,DATA!$M$3:$M$10000),"Inactivo"))</f>
        <v/>
      </c>
      <c r="G343" s="25" t="str">
        <f aca="false">IF(A343="","",IF(AND(C343&lt;&gt;"No encontrado",F343&lt;&gt;"Inactivo"),C343&amp;" → "&amp;F343,"Sin transición"))</f>
        <v/>
      </c>
      <c r="H343" s="23" t="str">
        <f aca="false">IF(A343="","",IF(D343="GCIA LINEA SERVICIO DIGITALIDAD Y VENTAS","Chats",IF(OR(D343="GERENCIA INBOUND LÍNEAS SERVICIO Y VENTA",D343="GERENCIA INBOUND LINEAS ESPECIALIZADAS"),"Llamadas","Otro")))</f>
        <v/>
      </c>
      <c r="I343" s="23" t="str">
        <f aca="false">IF(A343="","",IF(C343="No encontrado","No","Sí"))</f>
        <v/>
      </c>
      <c r="J343" s="23" t="str">
        <f aca="false">IF(A343="","",IF(F343="Inactivo","No","Sí"))</f>
        <v/>
      </c>
      <c r="K343" s="23" t="str">
        <f aca="false">IF(A343="","",IF(AND(I343="Sí",J343="Sí"),"Sí","No"))</f>
        <v/>
      </c>
    </row>
    <row r="344" customFormat="false" ht="15" hidden="false" customHeight="false" outlineLevel="0" collapsed="false">
      <c r="A344" s="22"/>
      <c r="B344" s="22"/>
      <c r="C344" s="26" t="str">
        <f aca="false">IF(A344="","",IFERROR(buscarx(A344&amp;B344,DATA!$E$3:$E$10000&amp;DATA!$B$3:$B$10000,DATA!$M$3:$M$10000),"No encontrado"))</f>
        <v/>
      </c>
      <c r="D344" s="27" t="str">
        <f aca="false">IF(A344="","",IFERROR(buscarx(A344&amp;B344,DATA!$E$3:$E$10000&amp;DATA!$B$3:$B$10000,DATA!$W$3:$W$10000),"No encontrado"))</f>
        <v/>
      </c>
      <c r="E344" s="22"/>
      <c r="F344" s="26" t="str">
        <f aca="false">IF(A344="","",IFERROR(buscarx(A344&amp;E344,DATA!$E$3:$E$10000&amp;DATA!$B$3:$B$10000,DATA!$M$3:$M$10000),"Inactivo"))</f>
        <v/>
      </c>
      <c r="G344" s="28" t="str">
        <f aca="false">IF(A344="","",IF(AND(C344&lt;&gt;"No encontrado",F344&lt;&gt;"Inactivo"),C344&amp;" → "&amp;F344,"Sin transición"))</f>
        <v/>
      </c>
      <c r="H344" s="26" t="str">
        <f aca="false">IF(A344="","",IF(D344="GCIA LINEA SERVICIO DIGITALIDAD Y VENTAS","Chats",IF(OR(D344="GERENCIA INBOUND LÍNEAS SERVICIO Y VENTA",D344="GERENCIA INBOUND LINEAS ESPECIALIZADAS"),"Llamadas","Otro")))</f>
        <v/>
      </c>
      <c r="I344" s="26" t="str">
        <f aca="false">IF(A344="","",IF(C344="No encontrado","No","Sí"))</f>
        <v/>
      </c>
      <c r="J344" s="26" t="str">
        <f aca="false">IF(A344="","",IF(F344="Inactivo","No","Sí"))</f>
        <v/>
      </c>
      <c r="K344" s="26" t="str">
        <f aca="false">IF(A344="","",IF(AND(I344="Sí",J344="Sí"),"Sí","No"))</f>
        <v/>
      </c>
    </row>
    <row r="345" customFormat="false" ht="15" hidden="false" customHeight="false" outlineLevel="0" collapsed="false">
      <c r="A345" s="22"/>
      <c r="B345" s="22"/>
      <c r="C345" s="23" t="str">
        <f aca="false">IF(A345="","",IFERROR(buscarx(A345&amp;B345,DATA!$E$3:$E$10000&amp;DATA!$B$3:$B$10000,DATA!$M$3:$M$10000),"No encontrado"))</f>
        <v/>
      </c>
      <c r="D345" s="24" t="str">
        <f aca="false">IF(A345="","",IFERROR(buscarx(A345&amp;B345,DATA!$E$3:$E$10000&amp;DATA!$B$3:$B$10000,DATA!$W$3:$W$10000),"No encontrado"))</f>
        <v/>
      </c>
      <c r="E345" s="22"/>
      <c r="F345" s="23" t="str">
        <f aca="false">IF(A345="","",IFERROR(buscarx(A345&amp;E345,DATA!$E$3:$E$10000&amp;DATA!$B$3:$B$10000,DATA!$M$3:$M$10000),"Inactivo"))</f>
        <v/>
      </c>
      <c r="G345" s="25" t="str">
        <f aca="false">IF(A345="","",IF(AND(C345&lt;&gt;"No encontrado",F345&lt;&gt;"Inactivo"),C345&amp;" → "&amp;F345,"Sin transición"))</f>
        <v/>
      </c>
      <c r="H345" s="23" t="str">
        <f aca="false">IF(A345="","",IF(D345="GCIA LINEA SERVICIO DIGITALIDAD Y VENTAS","Chats",IF(OR(D345="GERENCIA INBOUND LÍNEAS SERVICIO Y VENTA",D345="GERENCIA INBOUND LINEAS ESPECIALIZADAS"),"Llamadas","Otro")))</f>
        <v/>
      </c>
      <c r="I345" s="23" t="str">
        <f aca="false">IF(A345="","",IF(C345="No encontrado","No","Sí"))</f>
        <v/>
      </c>
      <c r="J345" s="23" t="str">
        <f aca="false">IF(A345="","",IF(F345="Inactivo","No","Sí"))</f>
        <v/>
      </c>
      <c r="K345" s="23" t="str">
        <f aca="false">IF(A345="","",IF(AND(I345="Sí",J345="Sí"),"Sí","No"))</f>
        <v/>
      </c>
    </row>
    <row r="346" customFormat="false" ht="15" hidden="false" customHeight="false" outlineLevel="0" collapsed="false">
      <c r="A346" s="22"/>
      <c r="B346" s="22"/>
      <c r="C346" s="26" t="str">
        <f aca="false">IF(A346="","",IFERROR(buscarx(A346&amp;B346,DATA!$E$3:$E$10000&amp;DATA!$B$3:$B$10000,DATA!$M$3:$M$10000),"No encontrado"))</f>
        <v/>
      </c>
      <c r="D346" s="27" t="str">
        <f aca="false">IF(A346="","",IFERROR(buscarx(A346&amp;B346,DATA!$E$3:$E$10000&amp;DATA!$B$3:$B$10000,DATA!$W$3:$W$10000),"No encontrado"))</f>
        <v/>
      </c>
      <c r="E346" s="22"/>
      <c r="F346" s="26" t="str">
        <f aca="false">IF(A346="","",IFERROR(buscarx(A346&amp;E346,DATA!$E$3:$E$10000&amp;DATA!$B$3:$B$10000,DATA!$M$3:$M$10000),"Inactivo"))</f>
        <v/>
      </c>
      <c r="G346" s="28" t="str">
        <f aca="false">IF(A346="","",IF(AND(C346&lt;&gt;"No encontrado",F346&lt;&gt;"Inactivo"),C346&amp;" → "&amp;F346,"Sin transición"))</f>
        <v/>
      </c>
      <c r="H346" s="26" t="str">
        <f aca="false">IF(A346="","",IF(D346="GCIA LINEA SERVICIO DIGITALIDAD Y VENTAS","Chats",IF(OR(D346="GERENCIA INBOUND LÍNEAS SERVICIO Y VENTA",D346="GERENCIA INBOUND LINEAS ESPECIALIZADAS"),"Llamadas","Otro")))</f>
        <v/>
      </c>
      <c r="I346" s="26" t="str">
        <f aca="false">IF(A346="","",IF(C346="No encontrado","No","Sí"))</f>
        <v/>
      </c>
      <c r="J346" s="26" t="str">
        <f aca="false">IF(A346="","",IF(F346="Inactivo","No","Sí"))</f>
        <v/>
      </c>
      <c r="K346" s="26" t="str">
        <f aca="false">IF(A346="","",IF(AND(I346="Sí",J346="Sí"),"Sí","No"))</f>
        <v/>
      </c>
    </row>
    <row r="347" customFormat="false" ht="15" hidden="false" customHeight="false" outlineLevel="0" collapsed="false">
      <c r="A347" s="22"/>
      <c r="B347" s="22"/>
      <c r="C347" s="23" t="str">
        <f aca="false">IF(A347="","",IFERROR(buscarx(A347&amp;B347,DATA!$E$3:$E$10000&amp;DATA!$B$3:$B$10000,DATA!$M$3:$M$10000),"No encontrado"))</f>
        <v/>
      </c>
      <c r="D347" s="24" t="str">
        <f aca="false">IF(A347="","",IFERROR(buscarx(A347&amp;B347,DATA!$E$3:$E$10000&amp;DATA!$B$3:$B$10000,DATA!$W$3:$W$10000),"No encontrado"))</f>
        <v/>
      </c>
      <c r="E347" s="22"/>
      <c r="F347" s="23" t="str">
        <f aca="false">IF(A347="","",IFERROR(buscarx(A347&amp;E347,DATA!$E$3:$E$10000&amp;DATA!$B$3:$B$10000,DATA!$M$3:$M$10000),"Inactivo"))</f>
        <v/>
      </c>
      <c r="G347" s="25" t="str">
        <f aca="false">IF(A347="","",IF(AND(C347&lt;&gt;"No encontrado",F347&lt;&gt;"Inactivo"),C347&amp;" → "&amp;F347,"Sin transición"))</f>
        <v/>
      </c>
      <c r="H347" s="23" t="str">
        <f aca="false">IF(A347="","",IF(D347="GCIA LINEA SERVICIO DIGITALIDAD Y VENTAS","Chats",IF(OR(D347="GERENCIA INBOUND LÍNEAS SERVICIO Y VENTA",D347="GERENCIA INBOUND LINEAS ESPECIALIZADAS"),"Llamadas","Otro")))</f>
        <v/>
      </c>
      <c r="I347" s="23" t="str">
        <f aca="false">IF(A347="","",IF(C347="No encontrado","No","Sí"))</f>
        <v/>
      </c>
      <c r="J347" s="23" t="str">
        <f aca="false">IF(A347="","",IF(F347="Inactivo","No","Sí"))</f>
        <v/>
      </c>
      <c r="K347" s="23" t="str">
        <f aca="false">IF(A347="","",IF(AND(I347="Sí",J347="Sí"),"Sí","No"))</f>
        <v/>
      </c>
    </row>
    <row r="348" customFormat="false" ht="15" hidden="false" customHeight="false" outlineLevel="0" collapsed="false">
      <c r="A348" s="22"/>
      <c r="B348" s="22"/>
      <c r="C348" s="26" t="str">
        <f aca="false">IF(A348="","",IFERROR(buscarx(A348&amp;B348,DATA!$E$3:$E$10000&amp;DATA!$B$3:$B$10000,DATA!$M$3:$M$10000),"No encontrado"))</f>
        <v/>
      </c>
      <c r="D348" s="27" t="str">
        <f aca="false">IF(A348="","",IFERROR(buscarx(A348&amp;B348,DATA!$E$3:$E$10000&amp;DATA!$B$3:$B$10000,DATA!$W$3:$W$10000),"No encontrado"))</f>
        <v/>
      </c>
      <c r="E348" s="22"/>
      <c r="F348" s="26" t="str">
        <f aca="false">IF(A348="","",IFERROR(buscarx(A348&amp;E348,DATA!$E$3:$E$10000&amp;DATA!$B$3:$B$10000,DATA!$M$3:$M$10000),"Inactivo"))</f>
        <v/>
      </c>
      <c r="G348" s="28" t="str">
        <f aca="false">IF(A348="","",IF(AND(C348&lt;&gt;"No encontrado",F348&lt;&gt;"Inactivo"),C348&amp;" → "&amp;F348,"Sin transición"))</f>
        <v/>
      </c>
      <c r="H348" s="26" t="str">
        <f aca="false">IF(A348="","",IF(D348="GCIA LINEA SERVICIO DIGITALIDAD Y VENTAS","Chats",IF(OR(D348="GERENCIA INBOUND LÍNEAS SERVICIO Y VENTA",D348="GERENCIA INBOUND LINEAS ESPECIALIZADAS"),"Llamadas","Otro")))</f>
        <v/>
      </c>
      <c r="I348" s="26" t="str">
        <f aca="false">IF(A348="","",IF(C348="No encontrado","No","Sí"))</f>
        <v/>
      </c>
      <c r="J348" s="26" t="str">
        <f aca="false">IF(A348="","",IF(F348="Inactivo","No","Sí"))</f>
        <v/>
      </c>
      <c r="K348" s="26" t="str">
        <f aca="false">IF(A348="","",IF(AND(I348="Sí",J348="Sí"),"Sí","No"))</f>
        <v/>
      </c>
    </row>
    <row r="349" customFormat="false" ht="15" hidden="false" customHeight="false" outlineLevel="0" collapsed="false">
      <c r="A349" s="22"/>
      <c r="B349" s="22"/>
      <c r="C349" s="23" t="str">
        <f aca="false">IF(A349="","",IFERROR(buscarx(A349&amp;B349,DATA!$E$3:$E$10000&amp;DATA!$B$3:$B$10000,DATA!$M$3:$M$10000),"No encontrado"))</f>
        <v/>
      </c>
      <c r="D349" s="24" t="str">
        <f aca="false">IF(A349="","",IFERROR(buscarx(A349&amp;B349,DATA!$E$3:$E$10000&amp;DATA!$B$3:$B$10000,DATA!$W$3:$W$10000),"No encontrado"))</f>
        <v/>
      </c>
      <c r="E349" s="22"/>
      <c r="F349" s="23" t="str">
        <f aca="false">IF(A349="","",IFERROR(buscarx(A349&amp;E349,DATA!$E$3:$E$10000&amp;DATA!$B$3:$B$10000,DATA!$M$3:$M$10000),"Inactivo"))</f>
        <v/>
      </c>
      <c r="G349" s="25" t="str">
        <f aca="false">IF(A349="","",IF(AND(C349&lt;&gt;"No encontrado",F349&lt;&gt;"Inactivo"),C349&amp;" → "&amp;F349,"Sin transición"))</f>
        <v/>
      </c>
      <c r="H349" s="23" t="str">
        <f aca="false">IF(A349="","",IF(D349="GCIA LINEA SERVICIO DIGITALIDAD Y VENTAS","Chats",IF(OR(D349="GERENCIA INBOUND LÍNEAS SERVICIO Y VENTA",D349="GERENCIA INBOUND LINEAS ESPECIALIZADAS"),"Llamadas","Otro")))</f>
        <v/>
      </c>
      <c r="I349" s="23" t="str">
        <f aca="false">IF(A349="","",IF(C349="No encontrado","No","Sí"))</f>
        <v/>
      </c>
      <c r="J349" s="23" t="str">
        <f aca="false">IF(A349="","",IF(F349="Inactivo","No","Sí"))</f>
        <v/>
      </c>
      <c r="K349" s="23" t="str">
        <f aca="false">IF(A349="","",IF(AND(I349="Sí",J349="Sí"),"Sí","No"))</f>
        <v/>
      </c>
    </row>
    <row r="350" customFormat="false" ht="15" hidden="false" customHeight="false" outlineLevel="0" collapsed="false">
      <c r="A350" s="22"/>
      <c r="B350" s="22"/>
      <c r="C350" s="26" t="str">
        <f aca="false">IF(A350="","",IFERROR(buscarx(A350&amp;B350,DATA!$E$3:$E$10000&amp;DATA!$B$3:$B$10000,DATA!$M$3:$M$10000),"No encontrado"))</f>
        <v/>
      </c>
      <c r="D350" s="27" t="str">
        <f aca="false">IF(A350="","",IFERROR(buscarx(A350&amp;B350,DATA!$E$3:$E$10000&amp;DATA!$B$3:$B$10000,DATA!$W$3:$W$10000),"No encontrado"))</f>
        <v/>
      </c>
      <c r="E350" s="22"/>
      <c r="F350" s="26" t="str">
        <f aca="false">IF(A350="","",IFERROR(buscarx(A350&amp;E350,DATA!$E$3:$E$10000&amp;DATA!$B$3:$B$10000,DATA!$M$3:$M$10000),"Inactivo"))</f>
        <v/>
      </c>
      <c r="G350" s="28" t="str">
        <f aca="false">IF(A350="","",IF(AND(C350&lt;&gt;"No encontrado",F350&lt;&gt;"Inactivo"),C350&amp;" → "&amp;F350,"Sin transición"))</f>
        <v/>
      </c>
      <c r="H350" s="26" t="str">
        <f aca="false">IF(A350="","",IF(D350="GCIA LINEA SERVICIO DIGITALIDAD Y VENTAS","Chats",IF(OR(D350="GERENCIA INBOUND LÍNEAS SERVICIO Y VENTA",D350="GERENCIA INBOUND LINEAS ESPECIALIZADAS"),"Llamadas","Otro")))</f>
        <v/>
      </c>
      <c r="I350" s="26" t="str">
        <f aca="false">IF(A350="","",IF(C350="No encontrado","No","Sí"))</f>
        <v/>
      </c>
      <c r="J350" s="26" t="str">
        <f aca="false">IF(A350="","",IF(F350="Inactivo","No","Sí"))</f>
        <v/>
      </c>
      <c r="K350" s="26" t="str">
        <f aca="false">IF(A350="","",IF(AND(I350="Sí",J350="Sí"),"Sí","No"))</f>
        <v/>
      </c>
    </row>
    <row r="351" customFormat="false" ht="15" hidden="false" customHeight="false" outlineLevel="0" collapsed="false">
      <c r="A351" s="22"/>
      <c r="B351" s="22"/>
      <c r="C351" s="23" t="str">
        <f aca="false">IF(A351="","",IFERROR(buscarx(A351&amp;B351,DATA!$E$3:$E$10000&amp;DATA!$B$3:$B$10000,DATA!$M$3:$M$10000),"No encontrado"))</f>
        <v/>
      </c>
      <c r="D351" s="24" t="str">
        <f aca="false">IF(A351="","",IFERROR(buscarx(A351&amp;B351,DATA!$E$3:$E$10000&amp;DATA!$B$3:$B$10000,DATA!$W$3:$W$10000),"No encontrado"))</f>
        <v/>
      </c>
      <c r="E351" s="22"/>
      <c r="F351" s="23" t="str">
        <f aca="false">IF(A351="","",IFERROR(buscarx(A351&amp;E351,DATA!$E$3:$E$10000&amp;DATA!$B$3:$B$10000,DATA!$M$3:$M$10000),"Inactivo"))</f>
        <v/>
      </c>
      <c r="G351" s="25" t="str">
        <f aca="false">IF(A351="","",IF(AND(C351&lt;&gt;"No encontrado",F351&lt;&gt;"Inactivo"),C351&amp;" → "&amp;F351,"Sin transición"))</f>
        <v/>
      </c>
      <c r="H351" s="23" t="str">
        <f aca="false">IF(A351="","",IF(D351="GCIA LINEA SERVICIO DIGITALIDAD Y VENTAS","Chats",IF(OR(D351="GERENCIA INBOUND LÍNEAS SERVICIO Y VENTA",D351="GERENCIA INBOUND LINEAS ESPECIALIZADAS"),"Llamadas","Otro")))</f>
        <v/>
      </c>
      <c r="I351" s="23" t="str">
        <f aca="false">IF(A351="","",IF(C351="No encontrado","No","Sí"))</f>
        <v/>
      </c>
      <c r="J351" s="23" t="str">
        <f aca="false">IF(A351="","",IF(F351="Inactivo","No","Sí"))</f>
        <v/>
      </c>
      <c r="K351" s="23" t="str">
        <f aca="false">IF(A351="","",IF(AND(I351="Sí",J351="Sí"),"Sí","No"))</f>
        <v/>
      </c>
    </row>
    <row r="352" customFormat="false" ht="15" hidden="false" customHeight="false" outlineLevel="0" collapsed="false">
      <c r="A352" s="22"/>
      <c r="B352" s="22"/>
      <c r="C352" s="26" t="str">
        <f aca="false">IF(A352="","",IFERROR(buscarx(A352&amp;B352,DATA!$E$3:$E$10000&amp;DATA!$B$3:$B$10000,DATA!$M$3:$M$10000),"No encontrado"))</f>
        <v/>
      </c>
      <c r="D352" s="27" t="str">
        <f aca="false">IF(A352="","",IFERROR(buscarx(A352&amp;B352,DATA!$E$3:$E$10000&amp;DATA!$B$3:$B$10000,DATA!$W$3:$W$10000),"No encontrado"))</f>
        <v/>
      </c>
      <c r="E352" s="22"/>
      <c r="F352" s="26" t="str">
        <f aca="false">IF(A352="","",IFERROR(buscarx(A352&amp;E352,DATA!$E$3:$E$10000&amp;DATA!$B$3:$B$10000,DATA!$M$3:$M$10000),"Inactivo"))</f>
        <v/>
      </c>
      <c r="G352" s="28" t="str">
        <f aca="false">IF(A352="","",IF(AND(C352&lt;&gt;"No encontrado",F352&lt;&gt;"Inactivo"),C352&amp;" → "&amp;F352,"Sin transición"))</f>
        <v/>
      </c>
      <c r="H352" s="26" t="str">
        <f aca="false">IF(A352="","",IF(D352="GCIA LINEA SERVICIO DIGITALIDAD Y VENTAS","Chats",IF(OR(D352="GERENCIA INBOUND LÍNEAS SERVICIO Y VENTA",D352="GERENCIA INBOUND LINEAS ESPECIALIZADAS"),"Llamadas","Otro")))</f>
        <v/>
      </c>
      <c r="I352" s="26" t="str">
        <f aca="false">IF(A352="","",IF(C352="No encontrado","No","Sí"))</f>
        <v/>
      </c>
      <c r="J352" s="26" t="str">
        <f aca="false">IF(A352="","",IF(F352="Inactivo","No","Sí"))</f>
        <v/>
      </c>
      <c r="K352" s="26" t="str">
        <f aca="false">IF(A352="","",IF(AND(I352="Sí",J352="Sí"),"Sí","No"))</f>
        <v/>
      </c>
    </row>
    <row r="353" customFormat="false" ht="15" hidden="false" customHeight="false" outlineLevel="0" collapsed="false">
      <c r="A353" s="22"/>
      <c r="B353" s="22"/>
      <c r="C353" s="23" t="str">
        <f aca="false">IF(A353="","",IFERROR(buscarx(A353&amp;B353,DATA!$E$3:$E$10000&amp;DATA!$B$3:$B$10000,DATA!$M$3:$M$10000),"No encontrado"))</f>
        <v/>
      </c>
      <c r="D353" s="24" t="str">
        <f aca="false">IF(A353="","",IFERROR(buscarx(A353&amp;B353,DATA!$E$3:$E$10000&amp;DATA!$B$3:$B$10000,DATA!$W$3:$W$10000),"No encontrado"))</f>
        <v/>
      </c>
      <c r="E353" s="22"/>
      <c r="F353" s="23" t="str">
        <f aca="false">IF(A353="","",IFERROR(buscarx(A353&amp;E353,DATA!$E$3:$E$10000&amp;DATA!$B$3:$B$10000,DATA!$M$3:$M$10000),"Inactivo"))</f>
        <v/>
      </c>
      <c r="G353" s="25" t="str">
        <f aca="false">IF(A353="","",IF(AND(C353&lt;&gt;"No encontrado",F353&lt;&gt;"Inactivo"),C353&amp;" → "&amp;F353,"Sin transición"))</f>
        <v/>
      </c>
      <c r="H353" s="23" t="str">
        <f aca="false">IF(A353="","",IF(D353="GCIA LINEA SERVICIO DIGITALIDAD Y VENTAS","Chats",IF(OR(D353="GERENCIA INBOUND LÍNEAS SERVICIO Y VENTA",D353="GERENCIA INBOUND LINEAS ESPECIALIZADAS"),"Llamadas","Otro")))</f>
        <v/>
      </c>
      <c r="I353" s="23" t="str">
        <f aca="false">IF(A353="","",IF(C353="No encontrado","No","Sí"))</f>
        <v/>
      </c>
      <c r="J353" s="23" t="str">
        <f aca="false">IF(A353="","",IF(F353="Inactivo","No","Sí"))</f>
        <v/>
      </c>
      <c r="K353" s="23" t="str">
        <f aca="false">IF(A353="","",IF(AND(I353="Sí",J353="Sí"),"Sí","No"))</f>
        <v/>
      </c>
    </row>
    <row r="354" customFormat="false" ht="15" hidden="false" customHeight="false" outlineLevel="0" collapsed="false">
      <c r="A354" s="22"/>
      <c r="B354" s="22"/>
      <c r="C354" s="26" t="str">
        <f aca="false">IF(A354="","",IFERROR(buscarx(A354&amp;B354,DATA!$E$3:$E$10000&amp;DATA!$B$3:$B$10000,DATA!$M$3:$M$10000),"No encontrado"))</f>
        <v/>
      </c>
      <c r="D354" s="27" t="str">
        <f aca="false">IF(A354="","",IFERROR(buscarx(A354&amp;B354,DATA!$E$3:$E$10000&amp;DATA!$B$3:$B$10000,DATA!$W$3:$W$10000),"No encontrado"))</f>
        <v/>
      </c>
      <c r="E354" s="22"/>
      <c r="F354" s="26" t="str">
        <f aca="false">IF(A354="","",IFERROR(buscarx(A354&amp;E354,DATA!$E$3:$E$10000&amp;DATA!$B$3:$B$10000,DATA!$M$3:$M$10000),"Inactivo"))</f>
        <v/>
      </c>
      <c r="G354" s="28" t="str">
        <f aca="false">IF(A354="","",IF(AND(C354&lt;&gt;"No encontrado",F354&lt;&gt;"Inactivo"),C354&amp;" → "&amp;F354,"Sin transición"))</f>
        <v/>
      </c>
      <c r="H354" s="26" t="str">
        <f aca="false">IF(A354="","",IF(D354="GCIA LINEA SERVICIO DIGITALIDAD Y VENTAS","Chats",IF(OR(D354="GERENCIA INBOUND LÍNEAS SERVICIO Y VENTA",D354="GERENCIA INBOUND LINEAS ESPECIALIZADAS"),"Llamadas","Otro")))</f>
        <v/>
      </c>
      <c r="I354" s="26" t="str">
        <f aca="false">IF(A354="","",IF(C354="No encontrado","No","Sí"))</f>
        <v/>
      </c>
      <c r="J354" s="26" t="str">
        <f aca="false">IF(A354="","",IF(F354="Inactivo","No","Sí"))</f>
        <v/>
      </c>
      <c r="K354" s="26" t="str">
        <f aca="false">IF(A354="","",IF(AND(I354="Sí",J354="Sí"),"Sí","No"))</f>
        <v/>
      </c>
    </row>
    <row r="355" customFormat="false" ht="15" hidden="false" customHeight="false" outlineLevel="0" collapsed="false">
      <c r="A355" s="22"/>
      <c r="B355" s="22"/>
      <c r="C355" s="23" t="str">
        <f aca="false">IF(A355="","",IFERROR(buscarx(A355&amp;B355,DATA!$E$3:$E$10000&amp;DATA!$B$3:$B$10000,DATA!$M$3:$M$10000),"No encontrado"))</f>
        <v/>
      </c>
      <c r="D355" s="24" t="str">
        <f aca="false">IF(A355="","",IFERROR(buscarx(A355&amp;B355,DATA!$E$3:$E$10000&amp;DATA!$B$3:$B$10000,DATA!$W$3:$W$10000),"No encontrado"))</f>
        <v/>
      </c>
      <c r="E355" s="22"/>
      <c r="F355" s="23" t="str">
        <f aca="false">IF(A355="","",IFERROR(buscarx(A355&amp;E355,DATA!$E$3:$E$10000&amp;DATA!$B$3:$B$10000,DATA!$M$3:$M$10000),"Inactivo"))</f>
        <v/>
      </c>
      <c r="G355" s="25" t="str">
        <f aca="false">IF(A355="","",IF(AND(C355&lt;&gt;"No encontrado",F355&lt;&gt;"Inactivo"),C355&amp;" → "&amp;F355,"Sin transición"))</f>
        <v/>
      </c>
      <c r="H355" s="23" t="str">
        <f aca="false">IF(A355="","",IF(D355="GCIA LINEA SERVICIO DIGITALIDAD Y VENTAS","Chats",IF(OR(D355="GERENCIA INBOUND LÍNEAS SERVICIO Y VENTA",D355="GERENCIA INBOUND LINEAS ESPECIALIZADAS"),"Llamadas","Otro")))</f>
        <v/>
      </c>
      <c r="I355" s="23" t="str">
        <f aca="false">IF(A355="","",IF(C355="No encontrado","No","Sí"))</f>
        <v/>
      </c>
      <c r="J355" s="23" t="str">
        <f aca="false">IF(A355="","",IF(F355="Inactivo","No","Sí"))</f>
        <v/>
      </c>
      <c r="K355" s="23" t="str">
        <f aca="false">IF(A355="","",IF(AND(I355="Sí",J355="Sí"),"Sí","No"))</f>
        <v/>
      </c>
    </row>
    <row r="356" customFormat="false" ht="15" hidden="false" customHeight="false" outlineLevel="0" collapsed="false">
      <c r="A356" s="22"/>
      <c r="B356" s="22"/>
      <c r="C356" s="26" t="str">
        <f aca="false">IF(A356="","",IFERROR(buscarx(A356&amp;B356,DATA!$E$3:$E$10000&amp;DATA!$B$3:$B$10000,DATA!$M$3:$M$10000),"No encontrado"))</f>
        <v/>
      </c>
      <c r="D356" s="27" t="str">
        <f aca="false">IF(A356="","",IFERROR(buscarx(A356&amp;B356,DATA!$E$3:$E$10000&amp;DATA!$B$3:$B$10000,DATA!$W$3:$W$10000),"No encontrado"))</f>
        <v/>
      </c>
      <c r="E356" s="22"/>
      <c r="F356" s="26" t="str">
        <f aca="false">IF(A356="","",IFERROR(buscarx(A356&amp;E356,DATA!$E$3:$E$10000&amp;DATA!$B$3:$B$10000,DATA!$M$3:$M$10000),"Inactivo"))</f>
        <v/>
      </c>
      <c r="G356" s="28" t="str">
        <f aca="false">IF(A356="","",IF(AND(C356&lt;&gt;"No encontrado",F356&lt;&gt;"Inactivo"),C356&amp;" → "&amp;F356,"Sin transición"))</f>
        <v/>
      </c>
      <c r="H356" s="26" t="str">
        <f aca="false">IF(A356="","",IF(D356="GCIA LINEA SERVICIO DIGITALIDAD Y VENTAS","Chats",IF(OR(D356="GERENCIA INBOUND LÍNEAS SERVICIO Y VENTA",D356="GERENCIA INBOUND LINEAS ESPECIALIZADAS"),"Llamadas","Otro")))</f>
        <v/>
      </c>
      <c r="I356" s="26" t="str">
        <f aca="false">IF(A356="","",IF(C356="No encontrado","No","Sí"))</f>
        <v/>
      </c>
      <c r="J356" s="26" t="str">
        <f aca="false">IF(A356="","",IF(F356="Inactivo","No","Sí"))</f>
        <v/>
      </c>
      <c r="K356" s="26" t="str">
        <f aca="false">IF(A356="","",IF(AND(I356="Sí",J356="Sí"),"Sí","No"))</f>
        <v/>
      </c>
    </row>
    <row r="357" customFormat="false" ht="15" hidden="false" customHeight="false" outlineLevel="0" collapsed="false">
      <c r="A357" s="22"/>
      <c r="B357" s="22"/>
      <c r="C357" s="23" t="str">
        <f aca="false">IF(A357="","",IFERROR(buscarx(A357&amp;B357,DATA!$E$3:$E$10000&amp;DATA!$B$3:$B$10000,DATA!$M$3:$M$10000),"No encontrado"))</f>
        <v/>
      </c>
      <c r="D357" s="24" t="str">
        <f aca="false">IF(A357="","",IFERROR(buscarx(A357&amp;B357,DATA!$E$3:$E$10000&amp;DATA!$B$3:$B$10000,DATA!$W$3:$W$10000),"No encontrado"))</f>
        <v/>
      </c>
      <c r="E357" s="22"/>
      <c r="F357" s="23" t="str">
        <f aca="false">IF(A357="","",IFERROR(buscarx(A357&amp;E357,DATA!$E$3:$E$10000&amp;DATA!$B$3:$B$10000,DATA!$M$3:$M$10000),"Inactivo"))</f>
        <v/>
      </c>
      <c r="G357" s="25" t="str">
        <f aca="false">IF(A357="","",IF(AND(C357&lt;&gt;"No encontrado",F357&lt;&gt;"Inactivo"),C357&amp;" → "&amp;F357,"Sin transición"))</f>
        <v/>
      </c>
      <c r="H357" s="23" t="str">
        <f aca="false">IF(A357="","",IF(D357="GCIA LINEA SERVICIO DIGITALIDAD Y VENTAS","Chats",IF(OR(D357="GERENCIA INBOUND LÍNEAS SERVICIO Y VENTA",D357="GERENCIA INBOUND LINEAS ESPECIALIZADAS"),"Llamadas","Otro")))</f>
        <v/>
      </c>
      <c r="I357" s="23" t="str">
        <f aca="false">IF(A357="","",IF(C357="No encontrado","No","Sí"))</f>
        <v/>
      </c>
      <c r="J357" s="23" t="str">
        <f aca="false">IF(A357="","",IF(F357="Inactivo","No","Sí"))</f>
        <v/>
      </c>
      <c r="K357" s="23" t="str">
        <f aca="false">IF(A357="","",IF(AND(I357="Sí",J357="Sí"),"Sí","No"))</f>
        <v/>
      </c>
    </row>
    <row r="358" customFormat="false" ht="15" hidden="false" customHeight="false" outlineLevel="0" collapsed="false">
      <c r="A358" s="22"/>
      <c r="B358" s="22"/>
      <c r="C358" s="26" t="str">
        <f aca="false">IF(A358="","",IFERROR(buscarx(A358&amp;B358,DATA!$E$3:$E$10000&amp;DATA!$B$3:$B$10000,DATA!$M$3:$M$10000),"No encontrado"))</f>
        <v/>
      </c>
      <c r="D358" s="27" t="str">
        <f aca="false">IF(A358="","",IFERROR(buscarx(A358&amp;B358,DATA!$E$3:$E$10000&amp;DATA!$B$3:$B$10000,DATA!$W$3:$W$10000),"No encontrado"))</f>
        <v/>
      </c>
      <c r="E358" s="22"/>
      <c r="F358" s="26" t="str">
        <f aca="false">IF(A358="","",IFERROR(buscarx(A358&amp;E358,DATA!$E$3:$E$10000&amp;DATA!$B$3:$B$10000,DATA!$M$3:$M$10000),"Inactivo"))</f>
        <v/>
      </c>
      <c r="G358" s="28" t="str">
        <f aca="false">IF(A358="","",IF(AND(C358&lt;&gt;"No encontrado",F358&lt;&gt;"Inactivo"),C358&amp;" → "&amp;F358,"Sin transición"))</f>
        <v/>
      </c>
      <c r="H358" s="26" t="str">
        <f aca="false">IF(A358="","",IF(D358="GCIA LINEA SERVICIO DIGITALIDAD Y VENTAS","Chats",IF(OR(D358="GERENCIA INBOUND LÍNEAS SERVICIO Y VENTA",D358="GERENCIA INBOUND LINEAS ESPECIALIZADAS"),"Llamadas","Otro")))</f>
        <v/>
      </c>
      <c r="I358" s="26" t="str">
        <f aca="false">IF(A358="","",IF(C358="No encontrado","No","Sí"))</f>
        <v/>
      </c>
      <c r="J358" s="26" t="str">
        <f aca="false">IF(A358="","",IF(F358="Inactivo","No","Sí"))</f>
        <v/>
      </c>
      <c r="K358" s="26" t="str">
        <f aca="false">IF(A358="","",IF(AND(I358="Sí",J358="Sí"),"Sí","No"))</f>
        <v/>
      </c>
    </row>
    <row r="359" customFormat="false" ht="15" hidden="false" customHeight="false" outlineLevel="0" collapsed="false">
      <c r="A359" s="22"/>
      <c r="B359" s="22"/>
      <c r="C359" s="23" t="str">
        <f aca="false">IF(A359="","",IFERROR(buscarx(A359&amp;B359,DATA!$E$3:$E$10000&amp;DATA!$B$3:$B$10000,DATA!$M$3:$M$10000),"No encontrado"))</f>
        <v/>
      </c>
      <c r="D359" s="24" t="str">
        <f aca="false">IF(A359="","",IFERROR(buscarx(A359&amp;B359,DATA!$E$3:$E$10000&amp;DATA!$B$3:$B$10000,DATA!$W$3:$W$10000),"No encontrado"))</f>
        <v/>
      </c>
      <c r="E359" s="22"/>
      <c r="F359" s="23" t="str">
        <f aca="false">IF(A359="","",IFERROR(buscarx(A359&amp;E359,DATA!$E$3:$E$10000&amp;DATA!$B$3:$B$10000,DATA!$M$3:$M$10000),"Inactivo"))</f>
        <v/>
      </c>
      <c r="G359" s="25" t="str">
        <f aca="false">IF(A359="","",IF(AND(C359&lt;&gt;"No encontrado",F359&lt;&gt;"Inactivo"),C359&amp;" → "&amp;F359,"Sin transición"))</f>
        <v/>
      </c>
      <c r="H359" s="23" t="str">
        <f aca="false">IF(A359="","",IF(D359="GCIA LINEA SERVICIO DIGITALIDAD Y VENTAS","Chats",IF(OR(D359="GERENCIA INBOUND LÍNEAS SERVICIO Y VENTA",D359="GERENCIA INBOUND LINEAS ESPECIALIZADAS"),"Llamadas","Otro")))</f>
        <v/>
      </c>
      <c r="I359" s="23" t="str">
        <f aca="false">IF(A359="","",IF(C359="No encontrado","No","Sí"))</f>
        <v/>
      </c>
      <c r="J359" s="23" t="str">
        <f aca="false">IF(A359="","",IF(F359="Inactivo","No","Sí"))</f>
        <v/>
      </c>
      <c r="K359" s="23" t="str">
        <f aca="false">IF(A359="","",IF(AND(I359="Sí",J359="Sí"),"Sí","No"))</f>
        <v/>
      </c>
    </row>
    <row r="360" customFormat="false" ht="15" hidden="false" customHeight="false" outlineLevel="0" collapsed="false">
      <c r="A360" s="22"/>
      <c r="B360" s="22"/>
      <c r="C360" s="26" t="str">
        <f aca="false">IF(A360="","",IFERROR(buscarx(A360&amp;B360,DATA!$E$3:$E$10000&amp;DATA!$B$3:$B$10000,DATA!$M$3:$M$10000),"No encontrado"))</f>
        <v/>
      </c>
      <c r="D360" s="27" t="str">
        <f aca="false">IF(A360="","",IFERROR(buscarx(A360&amp;B360,DATA!$E$3:$E$10000&amp;DATA!$B$3:$B$10000,DATA!$W$3:$W$10000),"No encontrado"))</f>
        <v/>
      </c>
      <c r="E360" s="22"/>
      <c r="F360" s="26" t="str">
        <f aca="false">IF(A360="","",IFERROR(buscarx(A360&amp;E360,DATA!$E$3:$E$10000&amp;DATA!$B$3:$B$10000,DATA!$M$3:$M$10000),"Inactivo"))</f>
        <v/>
      </c>
      <c r="G360" s="28" t="str">
        <f aca="false">IF(A360="","",IF(AND(C360&lt;&gt;"No encontrado",F360&lt;&gt;"Inactivo"),C360&amp;" → "&amp;F360,"Sin transición"))</f>
        <v/>
      </c>
      <c r="H360" s="26" t="str">
        <f aca="false">IF(A360="","",IF(D360="GCIA LINEA SERVICIO DIGITALIDAD Y VENTAS","Chats",IF(OR(D360="GERENCIA INBOUND LÍNEAS SERVICIO Y VENTA",D360="GERENCIA INBOUND LINEAS ESPECIALIZADAS"),"Llamadas","Otro")))</f>
        <v/>
      </c>
      <c r="I360" s="26" t="str">
        <f aca="false">IF(A360="","",IF(C360="No encontrado","No","Sí"))</f>
        <v/>
      </c>
      <c r="J360" s="26" t="str">
        <f aca="false">IF(A360="","",IF(F360="Inactivo","No","Sí"))</f>
        <v/>
      </c>
      <c r="K360" s="26" t="str">
        <f aca="false">IF(A360="","",IF(AND(I360="Sí",J360="Sí"),"Sí","No"))</f>
        <v/>
      </c>
    </row>
    <row r="361" customFormat="false" ht="15" hidden="false" customHeight="false" outlineLevel="0" collapsed="false">
      <c r="A361" s="22"/>
      <c r="B361" s="22"/>
      <c r="C361" s="23" t="str">
        <f aca="false">IF(A361="","",IFERROR(buscarx(A361&amp;B361,DATA!$E$3:$E$10000&amp;DATA!$B$3:$B$10000,DATA!$M$3:$M$10000),"No encontrado"))</f>
        <v/>
      </c>
      <c r="D361" s="24" t="str">
        <f aca="false">IF(A361="","",IFERROR(buscarx(A361&amp;B361,DATA!$E$3:$E$10000&amp;DATA!$B$3:$B$10000,DATA!$W$3:$W$10000),"No encontrado"))</f>
        <v/>
      </c>
      <c r="E361" s="22"/>
      <c r="F361" s="23" t="str">
        <f aca="false">IF(A361="","",IFERROR(buscarx(A361&amp;E361,DATA!$E$3:$E$10000&amp;DATA!$B$3:$B$10000,DATA!$M$3:$M$10000),"Inactivo"))</f>
        <v/>
      </c>
      <c r="G361" s="25" t="str">
        <f aca="false">IF(A361="","",IF(AND(C361&lt;&gt;"No encontrado",F361&lt;&gt;"Inactivo"),C361&amp;" → "&amp;F361,"Sin transición"))</f>
        <v/>
      </c>
      <c r="H361" s="23" t="str">
        <f aca="false">IF(A361="","",IF(D361="GCIA LINEA SERVICIO DIGITALIDAD Y VENTAS","Chats",IF(OR(D361="GERENCIA INBOUND LÍNEAS SERVICIO Y VENTA",D361="GERENCIA INBOUND LINEAS ESPECIALIZADAS"),"Llamadas","Otro")))</f>
        <v/>
      </c>
      <c r="I361" s="23" t="str">
        <f aca="false">IF(A361="","",IF(C361="No encontrado","No","Sí"))</f>
        <v/>
      </c>
      <c r="J361" s="23" t="str">
        <f aca="false">IF(A361="","",IF(F361="Inactivo","No","Sí"))</f>
        <v/>
      </c>
      <c r="K361" s="23" t="str">
        <f aca="false">IF(A361="","",IF(AND(I361="Sí",J361="Sí"),"Sí","No"))</f>
        <v/>
      </c>
    </row>
    <row r="362" customFormat="false" ht="15" hidden="false" customHeight="false" outlineLevel="0" collapsed="false">
      <c r="A362" s="22"/>
      <c r="B362" s="22"/>
      <c r="C362" s="26" t="str">
        <f aca="false">IF(A362="","",IFERROR(buscarx(A362&amp;B362,DATA!$E$3:$E$10000&amp;DATA!$B$3:$B$10000,DATA!$M$3:$M$10000),"No encontrado"))</f>
        <v/>
      </c>
      <c r="D362" s="27" t="str">
        <f aca="false">IF(A362="","",IFERROR(buscarx(A362&amp;B362,DATA!$E$3:$E$10000&amp;DATA!$B$3:$B$10000,DATA!$W$3:$W$10000),"No encontrado"))</f>
        <v/>
      </c>
      <c r="E362" s="22"/>
      <c r="F362" s="26" t="str">
        <f aca="false">IF(A362="","",IFERROR(buscarx(A362&amp;E362,DATA!$E$3:$E$10000&amp;DATA!$B$3:$B$10000,DATA!$M$3:$M$10000),"Inactivo"))</f>
        <v/>
      </c>
      <c r="G362" s="28" t="str">
        <f aca="false">IF(A362="","",IF(AND(C362&lt;&gt;"No encontrado",F362&lt;&gt;"Inactivo"),C362&amp;" → "&amp;F362,"Sin transición"))</f>
        <v/>
      </c>
      <c r="H362" s="26" t="str">
        <f aca="false">IF(A362="","",IF(D362="GCIA LINEA SERVICIO DIGITALIDAD Y VENTAS","Chats",IF(OR(D362="GERENCIA INBOUND LÍNEAS SERVICIO Y VENTA",D362="GERENCIA INBOUND LINEAS ESPECIALIZADAS"),"Llamadas","Otro")))</f>
        <v/>
      </c>
      <c r="I362" s="26" t="str">
        <f aca="false">IF(A362="","",IF(C362="No encontrado","No","Sí"))</f>
        <v/>
      </c>
      <c r="J362" s="26" t="str">
        <f aca="false">IF(A362="","",IF(F362="Inactivo","No","Sí"))</f>
        <v/>
      </c>
      <c r="K362" s="26" t="str">
        <f aca="false">IF(A362="","",IF(AND(I362="Sí",J362="Sí"),"Sí","No"))</f>
        <v/>
      </c>
    </row>
    <row r="363" customFormat="false" ht="15" hidden="false" customHeight="false" outlineLevel="0" collapsed="false">
      <c r="A363" s="22"/>
      <c r="B363" s="22"/>
      <c r="C363" s="23" t="str">
        <f aca="false">IF(A363="","",IFERROR(buscarx(A363&amp;B363,DATA!$E$3:$E$10000&amp;DATA!$B$3:$B$10000,DATA!$M$3:$M$10000),"No encontrado"))</f>
        <v/>
      </c>
      <c r="D363" s="24" t="str">
        <f aca="false">IF(A363="","",IFERROR(buscarx(A363&amp;B363,DATA!$E$3:$E$10000&amp;DATA!$B$3:$B$10000,DATA!$W$3:$W$10000),"No encontrado"))</f>
        <v/>
      </c>
      <c r="E363" s="22"/>
      <c r="F363" s="23" t="str">
        <f aca="false">IF(A363="","",IFERROR(buscarx(A363&amp;E363,DATA!$E$3:$E$10000&amp;DATA!$B$3:$B$10000,DATA!$M$3:$M$10000),"Inactivo"))</f>
        <v/>
      </c>
      <c r="G363" s="25" t="str">
        <f aca="false">IF(A363="","",IF(AND(C363&lt;&gt;"No encontrado",F363&lt;&gt;"Inactivo"),C363&amp;" → "&amp;F363,"Sin transición"))</f>
        <v/>
      </c>
      <c r="H363" s="23" t="str">
        <f aca="false">IF(A363="","",IF(D363="GCIA LINEA SERVICIO DIGITALIDAD Y VENTAS","Chats",IF(OR(D363="GERENCIA INBOUND LÍNEAS SERVICIO Y VENTA",D363="GERENCIA INBOUND LINEAS ESPECIALIZADAS"),"Llamadas","Otro")))</f>
        <v/>
      </c>
      <c r="I363" s="23" t="str">
        <f aca="false">IF(A363="","",IF(C363="No encontrado","No","Sí"))</f>
        <v/>
      </c>
      <c r="J363" s="23" t="str">
        <f aca="false">IF(A363="","",IF(F363="Inactivo","No","Sí"))</f>
        <v/>
      </c>
      <c r="K363" s="23" t="str">
        <f aca="false">IF(A363="","",IF(AND(I363="Sí",J363="Sí"),"Sí","No"))</f>
        <v/>
      </c>
    </row>
    <row r="364" customFormat="false" ht="15" hidden="false" customHeight="false" outlineLevel="0" collapsed="false">
      <c r="A364" s="22"/>
      <c r="B364" s="22"/>
      <c r="C364" s="26" t="str">
        <f aca="false">IF(A364="","",IFERROR(buscarx(A364&amp;B364,DATA!$E$3:$E$10000&amp;DATA!$B$3:$B$10000,DATA!$M$3:$M$10000),"No encontrado"))</f>
        <v/>
      </c>
      <c r="D364" s="27" t="str">
        <f aca="false">IF(A364="","",IFERROR(buscarx(A364&amp;B364,DATA!$E$3:$E$10000&amp;DATA!$B$3:$B$10000,DATA!$W$3:$W$10000),"No encontrado"))</f>
        <v/>
      </c>
      <c r="E364" s="22"/>
      <c r="F364" s="26" t="str">
        <f aca="false">IF(A364="","",IFERROR(buscarx(A364&amp;E364,DATA!$E$3:$E$10000&amp;DATA!$B$3:$B$10000,DATA!$M$3:$M$10000),"Inactivo"))</f>
        <v/>
      </c>
      <c r="G364" s="28" t="str">
        <f aca="false">IF(A364="","",IF(AND(C364&lt;&gt;"No encontrado",F364&lt;&gt;"Inactivo"),C364&amp;" → "&amp;F364,"Sin transición"))</f>
        <v/>
      </c>
      <c r="H364" s="26" t="str">
        <f aca="false">IF(A364="","",IF(D364="GCIA LINEA SERVICIO DIGITALIDAD Y VENTAS","Chats",IF(OR(D364="GERENCIA INBOUND LÍNEAS SERVICIO Y VENTA",D364="GERENCIA INBOUND LINEAS ESPECIALIZADAS"),"Llamadas","Otro")))</f>
        <v/>
      </c>
      <c r="I364" s="26" t="str">
        <f aca="false">IF(A364="","",IF(C364="No encontrado","No","Sí"))</f>
        <v/>
      </c>
      <c r="J364" s="26" t="str">
        <f aca="false">IF(A364="","",IF(F364="Inactivo","No","Sí"))</f>
        <v/>
      </c>
      <c r="K364" s="26" t="str">
        <f aca="false">IF(A364="","",IF(AND(I364="Sí",J364="Sí"),"Sí","No"))</f>
        <v/>
      </c>
    </row>
    <row r="365" customFormat="false" ht="15" hidden="false" customHeight="false" outlineLevel="0" collapsed="false">
      <c r="A365" s="22"/>
      <c r="B365" s="22"/>
      <c r="C365" s="23" t="str">
        <f aca="false">IF(A365="","",IFERROR(buscarx(A365&amp;B365,DATA!$E$3:$E$10000&amp;DATA!$B$3:$B$10000,DATA!$M$3:$M$10000),"No encontrado"))</f>
        <v/>
      </c>
      <c r="D365" s="24" t="str">
        <f aca="false">IF(A365="","",IFERROR(buscarx(A365&amp;B365,DATA!$E$3:$E$10000&amp;DATA!$B$3:$B$10000,DATA!$W$3:$W$10000),"No encontrado"))</f>
        <v/>
      </c>
      <c r="E365" s="22"/>
      <c r="F365" s="23" t="str">
        <f aca="false">IF(A365="","",IFERROR(buscarx(A365&amp;E365,DATA!$E$3:$E$10000&amp;DATA!$B$3:$B$10000,DATA!$M$3:$M$10000),"Inactivo"))</f>
        <v/>
      </c>
      <c r="G365" s="25" t="str">
        <f aca="false">IF(A365="","",IF(AND(C365&lt;&gt;"No encontrado",F365&lt;&gt;"Inactivo"),C365&amp;" → "&amp;F365,"Sin transición"))</f>
        <v/>
      </c>
      <c r="H365" s="23" t="str">
        <f aca="false">IF(A365="","",IF(D365="GCIA LINEA SERVICIO DIGITALIDAD Y VENTAS","Chats",IF(OR(D365="GERENCIA INBOUND LÍNEAS SERVICIO Y VENTA",D365="GERENCIA INBOUND LINEAS ESPECIALIZADAS"),"Llamadas","Otro")))</f>
        <v/>
      </c>
      <c r="I365" s="23" t="str">
        <f aca="false">IF(A365="","",IF(C365="No encontrado","No","Sí"))</f>
        <v/>
      </c>
      <c r="J365" s="23" t="str">
        <f aca="false">IF(A365="","",IF(F365="Inactivo","No","Sí"))</f>
        <v/>
      </c>
      <c r="K365" s="23" t="str">
        <f aca="false">IF(A365="","",IF(AND(I365="Sí",J365="Sí"),"Sí","No"))</f>
        <v/>
      </c>
    </row>
    <row r="366" customFormat="false" ht="15" hidden="false" customHeight="false" outlineLevel="0" collapsed="false">
      <c r="A366" s="22"/>
      <c r="B366" s="22"/>
      <c r="C366" s="26" t="str">
        <f aca="false">IF(A366="","",IFERROR(buscarx(A366&amp;B366,DATA!$E$3:$E$10000&amp;DATA!$B$3:$B$10000,DATA!$M$3:$M$10000),"No encontrado"))</f>
        <v/>
      </c>
      <c r="D366" s="27" t="str">
        <f aca="false">IF(A366="","",IFERROR(buscarx(A366&amp;B366,DATA!$E$3:$E$10000&amp;DATA!$B$3:$B$10000,DATA!$W$3:$W$10000),"No encontrado"))</f>
        <v/>
      </c>
      <c r="E366" s="22"/>
      <c r="F366" s="26" t="str">
        <f aca="false">IF(A366="","",IFERROR(buscarx(A366&amp;E366,DATA!$E$3:$E$10000&amp;DATA!$B$3:$B$10000,DATA!$M$3:$M$10000),"Inactivo"))</f>
        <v/>
      </c>
      <c r="G366" s="28" t="str">
        <f aca="false">IF(A366="","",IF(AND(C366&lt;&gt;"No encontrado",F366&lt;&gt;"Inactivo"),C366&amp;" → "&amp;F366,"Sin transición"))</f>
        <v/>
      </c>
      <c r="H366" s="26" t="str">
        <f aca="false">IF(A366="","",IF(D366="GCIA LINEA SERVICIO DIGITALIDAD Y VENTAS","Chats",IF(OR(D366="GERENCIA INBOUND LÍNEAS SERVICIO Y VENTA",D366="GERENCIA INBOUND LINEAS ESPECIALIZADAS"),"Llamadas","Otro")))</f>
        <v/>
      </c>
      <c r="I366" s="26" t="str">
        <f aca="false">IF(A366="","",IF(C366="No encontrado","No","Sí"))</f>
        <v/>
      </c>
      <c r="J366" s="26" t="str">
        <f aca="false">IF(A366="","",IF(F366="Inactivo","No","Sí"))</f>
        <v/>
      </c>
      <c r="K366" s="26" t="str">
        <f aca="false">IF(A366="","",IF(AND(I366="Sí",J366="Sí"),"Sí","No"))</f>
        <v/>
      </c>
    </row>
    <row r="367" customFormat="false" ht="15" hidden="false" customHeight="false" outlineLevel="0" collapsed="false">
      <c r="A367" s="22"/>
      <c r="B367" s="22"/>
      <c r="C367" s="23" t="str">
        <f aca="false">IF(A367="","",IFERROR(buscarx(A367&amp;B367,DATA!$E$3:$E$10000&amp;DATA!$B$3:$B$10000,DATA!$M$3:$M$10000),"No encontrado"))</f>
        <v/>
      </c>
      <c r="D367" s="24" t="str">
        <f aca="false">IF(A367="","",IFERROR(buscarx(A367&amp;B367,DATA!$E$3:$E$10000&amp;DATA!$B$3:$B$10000,DATA!$W$3:$W$10000),"No encontrado"))</f>
        <v/>
      </c>
      <c r="E367" s="22"/>
      <c r="F367" s="23" t="str">
        <f aca="false">IF(A367="","",IFERROR(buscarx(A367&amp;E367,DATA!$E$3:$E$10000&amp;DATA!$B$3:$B$10000,DATA!$M$3:$M$10000),"Inactivo"))</f>
        <v/>
      </c>
      <c r="G367" s="25" t="str">
        <f aca="false">IF(A367="","",IF(AND(C367&lt;&gt;"No encontrado",F367&lt;&gt;"Inactivo"),C367&amp;" → "&amp;F367,"Sin transición"))</f>
        <v/>
      </c>
      <c r="H367" s="23" t="str">
        <f aca="false">IF(A367="","",IF(D367="GCIA LINEA SERVICIO DIGITALIDAD Y VENTAS","Chats",IF(OR(D367="GERENCIA INBOUND LÍNEAS SERVICIO Y VENTA",D367="GERENCIA INBOUND LINEAS ESPECIALIZADAS"),"Llamadas","Otro")))</f>
        <v/>
      </c>
      <c r="I367" s="23" t="str">
        <f aca="false">IF(A367="","",IF(C367="No encontrado","No","Sí"))</f>
        <v/>
      </c>
      <c r="J367" s="23" t="str">
        <f aca="false">IF(A367="","",IF(F367="Inactivo","No","Sí"))</f>
        <v/>
      </c>
      <c r="K367" s="23" t="str">
        <f aca="false">IF(A367="","",IF(AND(I367="Sí",J367="Sí"),"Sí","No"))</f>
        <v/>
      </c>
    </row>
    <row r="368" customFormat="false" ht="15" hidden="false" customHeight="false" outlineLevel="0" collapsed="false">
      <c r="A368" s="22"/>
      <c r="B368" s="22"/>
      <c r="C368" s="26" t="str">
        <f aca="false">IF(A368="","",IFERROR(buscarx(A368&amp;B368,DATA!$E$3:$E$10000&amp;DATA!$B$3:$B$10000,DATA!$M$3:$M$10000),"No encontrado"))</f>
        <v/>
      </c>
      <c r="D368" s="27" t="str">
        <f aca="false">IF(A368="","",IFERROR(buscarx(A368&amp;B368,DATA!$E$3:$E$10000&amp;DATA!$B$3:$B$10000,DATA!$W$3:$W$10000),"No encontrado"))</f>
        <v/>
      </c>
      <c r="E368" s="22"/>
      <c r="F368" s="26" t="str">
        <f aca="false">IF(A368="","",IFERROR(buscarx(A368&amp;E368,DATA!$E$3:$E$10000&amp;DATA!$B$3:$B$10000,DATA!$M$3:$M$10000),"Inactivo"))</f>
        <v/>
      </c>
      <c r="G368" s="28" t="str">
        <f aca="false">IF(A368="","",IF(AND(C368&lt;&gt;"No encontrado",F368&lt;&gt;"Inactivo"),C368&amp;" → "&amp;F368,"Sin transición"))</f>
        <v/>
      </c>
      <c r="H368" s="26" t="str">
        <f aca="false">IF(A368="","",IF(D368="GCIA LINEA SERVICIO DIGITALIDAD Y VENTAS","Chats",IF(OR(D368="GERENCIA INBOUND LÍNEAS SERVICIO Y VENTA",D368="GERENCIA INBOUND LINEAS ESPECIALIZADAS"),"Llamadas","Otro")))</f>
        <v/>
      </c>
      <c r="I368" s="26" t="str">
        <f aca="false">IF(A368="","",IF(C368="No encontrado","No","Sí"))</f>
        <v/>
      </c>
      <c r="J368" s="26" t="str">
        <f aca="false">IF(A368="","",IF(F368="Inactivo","No","Sí"))</f>
        <v/>
      </c>
      <c r="K368" s="26" t="str">
        <f aca="false">IF(A368="","",IF(AND(I368="Sí",J368="Sí"),"Sí","No"))</f>
        <v/>
      </c>
    </row>
    <row r="369" customFormat="false" ht="15" hidden="false" customHeight="false" outlineLevel="0" collapsed="false">
      <c r="A369" s="22"/>
      <c r="B369" s="22"/>
      <c r="C369" s="23" t="str">
        <f aca="false">IF(A369="","",IFERROR(buscarx(A369&amp;B369,DATA!$E$3:$E$10000&amp;DATA!$B$3:$B$10000,DATA!$M$3:$M$10000),"No encontrado"))</f>
        <v/>
      </c>
      <c r="D369" s="24" t="str">
        <f aca="false">IF(A369="","",IFERROR(buscarx(A369&amp;B369,DATA!$E$3:$E$10000&amp;DATA!$B$3:$B$10000,DATA!$W$3:$W$10000),"No encontrado"))</f>
        <v/>
      </c>
      <c r="E369" s="22"/>
      <c r="F369" s="23" t="str">
        <f aca="false">IF(A369="","",IFERROR(buscarx(A369&amp;E369,DATA!$E$3:$E$10000&amp;DATA!$B$3:$B$10000,DATA!$M$3:$M$10000),"Inactivo"))</f>
        <v/>
      </c>
      <c r="G369" s="25" t="str">
        <f aca="false">IF(A369="","",IF(AND(C369&lt;&gt;"No encontrado",F369&lt;&gt;"Inactivo"),C369&amp;" → "&amp;F369,"Sin transición"))</f>
        <v/>
      </c>
      <c r="H369" s="23" t="str">
        <f aca="false">IF(A369="","",IF(D369="GCIA LINEA SERVICIO DIGITALIDAD Y VENTAS","Chats",IF(OR(D369="GERENCIA INBOUND LÍNEAS SERVICIO Y VENTA",D369="GERENCIA INBOUND LINEAS ESPECIALIZADAS"),"Llamadas","Otro")))</f>
        <v/>
      </c>
      <c r="I369" s="23" t="str">
        <f aca="false">IF(A369="","",IF(C369="No encontrado","No","Sí"))</f>
        <v/>
      </c>
      <c r="J369" s="23" t="str">
        <f aca="false">IF(A369="","",IF(F369="Inactivo","No","Sí"))</f>
        <v/>
      </c>
      <c r="K369" s="23" t="str">
        <f aca="false">IF(A369="","",IF(AND(I369="Sí",J369="Sí"),"Sí","No"))</f>
        <v/>
      </c>
    </row>
    <row r="370" customFormat="false" ht="15" hidden="false" customHeight="false" outlineLevel="0" collapsed="false">
      <c r="A370" s="22"/>
      <c r="B370" s="22"/>
      <c r="C370" s="26" t="str">
        <f aca="false">IF(A370="","",IFERROR(buscarx(A370&amp;B370,DATA!$E$3:$E$10000&amp;DATA!$B$3:$B$10000,DATA!$M$3:$M$10000),"No encontrado"))</f>
        <v/>
      </c>
      <c r="D370" s="27" t="str">
        <f aca="false">IF(A370="","",IFERROR(buscarx(A370&amp;B370,DATA!$E$3:$E$10000&amp;DATA!$B$3:$B$10000,DATA!$W$3:$W$10000),"No encontrado"))</f>
        <v/>
      </c>
      <c r="E370" s="22"/>
      <c r="F370" s="26" t="str">
        <f aca="false">IF(A370="","",IFERROR(buscarx(A370&amp;E370,DATA!$E$3:$E$10000&amp;DATA!$B$3:$B$10000,DATA!$M$3:$M$10000),"Inactivo"))</f>
        <v/>
      </c>
      <c r="G370" s="28" t="str">
        <f aca="false">IF(A370="","",IF(AND(C370&lt;&gt;"No encontrado",F370&lt;&gt;"Inactivo"),C370&amp;" → "&amp;F370,"Sin transición"))</f>
        <v/>
      </c>
      <c r="H370" s="26" t="str">
        <f aca="false">IF(A370="","",IF(D370="GCIA LINEA SERVICIO DIGITALIDAD Y VENTAS","Chats",IF(OR(D370="GERENCIA INBOUND LÍNEAS SERVICIO Y VENTA",D370="GERENCIA INBOUND LINEAS ESPECIALIZADAS"),"Llamadas","Otro")))</f>
        <v/>
      </c>
      <c r="I370" s="26" t="str">
        <f aca="false">IF(A370="","",IF(C370="No encontrado","No","Sí"))</f>
        <v/>
      </c>
      <c r="J370" s="26" t="str">
        <f aca="false">IF(A370="","",IF(F370="Inactivo","No","Sí"))</f>
        <v/>
      </c>
      <c r="K370" s="26" t="str">
        <f aca="false">IF(A370="","",IF(AND(I370="Sí",J370="Sí"),"Sí","No"))</f>
        <v/>
      </c>
    </row>
    <row r="371" customFormat="false" ht="15" hidden="false" customHeight="false" outlineLevel="0" collapsed="false">
      <c r="A371" s="22"/>
      <c r="B371" s="22"/>
      <c r="C371" s="23" t="str">
        <f aca="false">IF(A371="","",IFERROR(buscarx(A371&amp;B371,DATA!$E$3:$E$10000&amp;DATA!$B$3:$B$10000,DATA!$M$3:$M$10000),"No encontrado"))</f>
        <v/>
      </c>
      <c r="D371" s="24" t="str">
        <f aca="false">IF(A371="","",IFERROR(buscarx(A371&amp;B371,DATA!$E$3:$E$10000&amp;DATA!$B$3:$B$10000,DATA!$W$3:$W$10000),"No encontrado"))</f>
        <v/>
      </c>
      <c r="E371" s="22"/>
      <c r="F371" s="23" t="str">
        <f aca="false">IF(A371="","",IFERROR(buscarx(A371&amp;E371,DATA!$E$3:$E$10000&amp;DATA!$B$3:$B$10000,DATA!$M$3:$M$10000),"Inactivo"))</f>
        <v/>
      </c>
      <c r="G371" s="25" t="str">
        <f aca="false">IF(A371="","",IF(AND(C371&lt;&gt;"No encontrado",F371&lt;&gt;"Inactivo"),C371&amp;" → "&amp;F371,"Sin transición"))</f>
        <v/>
      </c>
      <c r="H371" s="23" t="str">
        <f aca="false">IF(A371="","",IF(D371="GCIA LINEA SERVICIO DIGITALIDAD Y VENTAS","Chats",IF(OR(D371="GERENCIA INBOUND LÍNEAS SERVICIO Y VENTA",D371="GERENCIA INBOUND LINEAS ESPECIALIZADAS"),"Llamadas","Otro")))</f>
        <v/>
      </c>
      <c r="I371" s="23" t="str">
        <f aca="false">IF(A371="","",IF(C371="No encontrado","No","Sí"))</f>
        <v/>
      </c>
      <c r="J371" s="23" t="str">
        <f aca="false">IF(A371="","",IF(F371="Inactivo","No","Sí"))</f>
        <v/>
      </c>
      <c r="K371" s="23" t="str">
        <f aca="false">IF(A371="","",IF(AND(I371="Sí",J371="Sí"),"Sí","No"))</f>
        <v/>
      </c>
    </row>
    <row r="372" customFormat="false" ht="15" hidden="false" customHeight="false" outlineLevel="0" collapsed="false">
      <c r="A372" s="22"/>
      <c r="B372" s="22"/>
      <c r="C372" s="26" t="str">
        <f aca="false">IF(A372="","",IFERROR(buscarx(A372&amp;B372,DATA!$E$3:$E$10000&amp;DATA!$B$3:$B$10000,DATA!$M$3:$M$10000),"No encontrado"))</f>
        <v/>
      </c>
      <c r="D372" s="27" t="str">
        <f aca="false">IF(A372="","",IFERROR(buscarx(A372&amp;B372,DATA!$E$3:$E$10000&amp;DATA!$B$3:$B$10000,DATA!$W$3:$W$10000),"No encontrado"))</f>
        <v/>
      </c>
      <c r="E372" s="22"/>
      <c r="F372" s="26" t="str">
        <f aca="false">IF(A372="","",IFERROR(buscarx(A372&amp;E372,DATA!$E$3:$E$10000&amp;DATA!$B$3:$B$10000,DATA!$M$3:$M$10000),"Inactivo"))</f>
        <v/>
      </c>
      <c r="G372" s="28" t="str">
        <f aca="false">IF(A372="","",IF(AND(C372&lt;&gt;"No encontrado",F372&lt;&gt;"Inactivo"),C372&amp;" → "&amp;F372,"Sin transición"))</f>
        <v/>
      </c>
      <c r="H372" s="26" t="str">
        <f aca="false">IF(A372="","",IF(D372="GCIA LINEA SERVICIO DIGITALIDAD Y VENTAS","Chats",IF(OR(D372="GERENCIA INBOUND LÍNEAS SERVICIO Y VENTA",D372="GERENCIA INBOUND LINEAS ESPECIALIZADAS"),"Llamadas","Otro")))</f>
        <v/>
      </c>
      <c r="I372" s="26" t="str">
        <f aca="false">IF(A372="","",IF(C372="No encontrado","No","Sí"))</f>
        <v/>
      </c>
      <c r="J372" s="26" t="str">
        <f aca="false">IF(A372="","",IF(F372="Inactivo","No","Sí"))</f>
        <v/>
      </c>
      <c r="K372" s="26" t="str">
        <f aca="false">IF(A372="","",IF(AND(I372="Sí",J372="Sí"),"Sí","No"))</f>
        <v/>
      </c>
    </row>
    <row r="373" customFormat="false" ht="15" hidden="false" customHeight="false" outlineLevel="0" collapsed="false">
      <c r="A373" s="22"/>
      <c r="B373" s="22"/>
      <c r="C373" s="23" t="str">
        <f aca="false">IF(A373="","",IFERROR(buscarx(A373&amp;B373,DATA!$E$3:$E$10000&amp;DATA!$B$3:$B$10000,DATA!$M$3:$M$10000),"No encontrado"))</f>
        <v/>
      </c>
      <c r="D373" s="24" t="str">
        <f aca="false">IF(A373="","",IFERROR(buscarx(A373&amp;B373,DATA!$E$3:$E$10000&amp;DATA!$B$3:$B$10000,DATA!$W$3:$W$10000),"No encontrado"))</f>
        <v/>
      </c>
      <c r="E373" s="22"/>
      <c r="F373" s="23" t="str">
        <f aca="false">IF(A373="","",IFERROR(buscarx(A373&amp;E373,DATA!$E$3:$E$10000&amp;DATA!$B$3:$B$10000,DATA!$M$3:$M$10000),"Inactivo"))</f>
        <v/>
      </c>
      <c r="G373" s="25" t="str">
        <f aca="false">IF(A373="","",IF(AND(C373&lt;&gt;"No encontrado",F373&lt;&gt;"Inactivo"),C373&amp;" → "&amp;F373,"Sin transición"))</f>
        <v/>
      </c>
      <c r="H373" s="23" t="str">
        <f aca="false">IF(A373="","",IF(D373="GCIA LINEA SERVICIO DIGITALIDAD Y VENTAS","Chats",IF(OR(D373="GERENCIA INBOUND LÍNEAS SERVICIO Y VENTA",D373="GERENCIA INBOUND LINEAS ESPECIALIZADAS"),"Llamadas","Otro")))</f>
        <v/>
      </c>
      <c r="I373" s="23" t="str">
        <f aca="false">IF(A373="","",IF(C373="No encontrado","No","Sí"))</f>
        <v/>
      </c>
      <c r="J373" s="23" t="str">
        <f aca="false">IF(A373="","",IF(F373="Inactivo","No","Sí"))</f>
        <v/>
      </c>
      <c r="K373" s="23" t="str">
        <f aca="false">IF(A373="","",IF(AND(I373="Sí",J373="Sí"),"Sí","No"))</f>
        <v/>
      </c>
    </row>
    <row r="374" customFormat="false" ht="15" hidden="false" customHeight="false" outlineLevel="0" collapsed="false">
      <c r="A374" s="22"/>
      <c r="B374" s="22"/>
      <c r="C374" s="26" t="str">
        <f aca="false">IF(A374="","",IFERROR(buscarx(A374&amp;B374,DATA!$E$3:$E$10000&amp;DATA!$B$3:$B$10000,DATA!$M$3:$M$10000),"No encontrado"))</f>
        <v/>
      </c>
      <c r="D374" s="27" t="str">
        <f aca="false">IF(A374="","",IFERROR(buscarx(A374&amp;B374,DATA!$E$3:$E$10000&amp;DATA!$B$3:$B$10000,DATA!$W$3:$W$10000),"No encontrado"))</f>
        <v/>
      </c>
      <c r="E374" s="22"/>
      <c r="F374" s="26" t="str">
        <f aca="false">IF(A374="","",IFERROR(buscarx(A374&amp;E374,DATA!$E$3:$E$10000&amp;DATA!$B$3:$B$10000,DATA!$M$3:$M$10000),"Inactivo"))</f>
        <v/>
      </c>
      <c r="G374" s="28" t="str">
        <f aca="false">IF(A374="","",IF(AND(C374&lt;&gt;"No encontrado",F374&lt;&gt;"Inactivo"),C374&amp;" → "&amp;F374,"Sin transición"))</f>
        <v/>
      </c>
      <c r="H374" s="26" t="str">
        <f aca="false">IF(A374="","",IF(D374="GCIA LINEA SERVICIO DIGITALIDAD Y VENTAS","Chats",IF(OR(D374="GERENCIA INBOUND LÍNEAS SERVICIO Y VENTA",D374="GERENCIA INBOUND LINEAS ESPECIALIZADAS"),"Llamadas","Otro")))</f>
        <v/>
      </c>
      <c r="I374" s="26" t="str">
        <f aca="false">IF(A374="","",IF(C374="No encontrado","No","Sí"))</f>
        <v/>
      </c>
      <c r="J374" s="26" t="str">
        <f aca="false">IF(A374="","",IF(F374="Inactivo","No","Sí"))</f>
        <v/>
      </c>
      <c r="K374" s="26" t="str">
        <f aca="false">IF(A374="","",IF(AND(I374="Sí",J374="Sí"),"Sí","No"))</f>
        <v/>
      </c>
    </row>
    <row r="375" customFormat="false" ht="15" hidden="false" customHeight="false" outlineLevel="0" collapsed="false">
      <c r="A375" s="22"/>
      <c r="B375" s="22"/>
      <c r="C375" s="23" t="str">
        <f aca="false">IF(A375="","",IFERROR(buscarx(A375&amp;B375,DATA!$E$3:$E$10000&amp;DATA!$B$3:$B$10000,DATA!$M$3:$M$10000),"No encontrado"))</f>
        <v/>
      </c>
      <c r="D375" s="24" t="str">
        <f aca="false">IF(A375="","",IFERROR(buscarx(A375&amp;B375,DATA!$E$3:$E$10000&amp;DATA!$B$3:$B$10000,DATA!$W$3:$W$10000),"No encontrado"))</f>
        <v/>
      </c>
      <c r="E375" s="22"/>
      <c r="F375" s="23" t="str">
        <f aca="false">IF(A375="","",IFERROR(buscarx(A375&amp;E375,DATA!$E$3:$E$10000&amp;DATA!$B$3:$B$10000,DATA!$M$3:$M$10000),"Inactivo"))</f>
        <v/>
      </c>
      <c r="G375" s="25" t="str">
        <f aca="false">IF(A375="","",IF(AND(C375&lt;&gt;"No encontrado",F375&lt;&gt;"Inactivo"),C375&amp;" → "&amp;F375,"Sin transición"))</f>
        <v/>
      </c>
      <c r="H375" s="23" t="str">
        <f aca="false">IF(A375="","",IF(D375="GCIA LINEA SERVICIO DIGITALIDAD Y VENTAS","Chats",IF(OR(D375="GERENCIA INBOUND LÍNEAS SERVICIO Y VENTA",D375="GERENCIA INBOUND LINEAS ESPECIALIZADAS"),"Llamadas","Otro")))</f>
        <v/>
      </c>
      <c r="I375" s="23" t="str">
        <f aca="false">IF(A375="","",IF(C375="No encontrado","No","Sí"))</f>
        <v/>
      </c>
      <c r="J375" s="23" t="str">
        <f aca="false">IF(A375="","",IF(F375="Inactivo","No","Sí"))</f>
        <v/>
      </c>
      <c r="K375" s="23" t="str">
        <f aca="false">IF(A375="","",IF(AND(I375="Sí",J375="Sí"),"Sí","No"))</f>
        <v/>
      </c>
    </row>
    <row r="376" customFormat="false" ht="15" hidden="false" customHeight="false" outlineLevel="0" collapsed="false">
      <c r="A376" s="22"/>
      <c r="B376" s="22"/>
      <c r="C376" s="26" t="str">
        <f aca="false">IF(A376="","",IFERROR(buscarx(A376&amp;B376,DATA!$E$3:$E$10000&amp;DATA!$B$3:$B$10000,DATA!$M$3:$M$10000),"No encontrado"))</f>
        <v/>
      </c>
      <c r="D376" s="27" t="str">
        <f aca="false">IF(A376="","",IFERROR(buscarx(A376&amp;B376,DATA!$E$3:$E$10000&amp;DATA!$B$3:$B$10000,DATA!$W$3:$W$10000),"No encontrado"))</f>
        <v/>
      </c>
      <c r="E376" s="22"/>
      <c r="F376" s="26" t="str">
        <f aca="false">IF(A376="","",IFERROR(buscarx(A376&amp;E376,DATA!$E$3:$E$10000&amp;DATA!$B$3:$B$10000,DATA!$M$3:$M$10000),"Inactivo"))</f>
        <v/>
      </c>
      <c r="G376" s="28" t="str">
        <f aca="false">IF(A376="","",IF(AND(C376&lt;&gt;"No encontrado",F376&lt;&gt;"Inactivo"),C376&amp;" → "&amp;F376,"Sin transición"))</f>
        <v/>
      </c>
      <c r="H376" s="26" t="str">
        <f aca="false">IF(A376="","",IF(D376="GCIA LINEA SERVICIO DIGITALIDAD Y VENTAS","Chats",IF(OR(D376="GERENCIA INBOUND LÍNEAS SERVICIO Y VENTA",D376="GERENCIA INBOUND LINEAS ESPECIALIZADAS"),"Llamadas","Otro")))</f>
        <v/>
      </c>
      <c r="I376" s="26" t="str">
        <f aca="false">IF(A376="","",IF(C376="No encontrado","No","Sí"))</f>
        <v/>
      </c>
      <c r="J376" s="26" t="str">
        <f aca="false">IF(A376="","",IF(F376="Inactivo","No","Sí"))</f>
        <v/>
      </c>
      <c r="K376" s="26" t="str">
        <f aca="false">IF(A376="","",IF(AND(I376="Sí",J376="Sí"),"Sí","No"))</f>
        <v/>
      </c>
    </row>
    <row r="377" customFormat="false" ht="15" hidden="false" customHeight="false" outlineLevel="0" collapsed="false">
      <c r="A377" s="22"/>
      <c r="B377" s="22"/>
      <c r="C377" s="23" t="str">
        <f aca="false">IF(A377="","",IFERROR(buscarx(A377&amp;B377,DATA!$E$3:$E$10000&amp;DATA!$B$3:$B$10000,DATA!$M$3:$M$10000),"No encontrado"))</f>
        <v/>
      </c>
      <c r="D377" s="24" t="str">
        <f aca="false">IF(A377="","",IFERROR(buscarx(A377&amp;B377,DATA!$E$3:$E$10000&amp;DATA!$B$3:$B$10000,DATA!$W$3:$W$10000),"No encontrado"))</f>
        <v/>
      </c>
      <c r="E377" s="22"/>
      <c r="F377" s="23" t="str">
        <f aca="false">IF(A377="","",IFERROR(buscarx(A377&amp;E377,DATA!$E$3:$E$10000&amp;DATA!$B$3:$B$10000,DATA!$M$3:$M$10000),"Inactivo"))</f>
        <v/>
      </c>
      <c r="G377" s="25" t="str">
        <f aca="false">IF(A377="","",IF(AND(C377&lt;&gt;"No encontrado",F377&lt;&gt;"Inactivo"),C377&amp;" → "&amp;F377,"Sin transición"))</f>
        <v/>
      </c>
      <c r="H377" s="23" t="str">
        <f aca="false">IF(A377="","",IF(D377="GCIA LINEA SERVICIO DIGITALIDAD Y VENTAS","Chats",IF(OR(D377="GERENCIA INBOUND LÍNEAS SERVICIO Y VENTA",D377="GERENCIA INBOUND LINEAS ESPECIALIZADAS"),"Llamadas","Otro")))</f>
        <v/>
      </c>
      <c r="I377" s="23" t="str">
        <f aca="false">IF(A377="","",IF(C377="No encontrado","No","Sí"))</f>
        <v/>
      </c>
      <c r="J377" s="23" t="str">
        <f aca="false">IF(A377="","",IF(F377="Inactivo","No","Sí"))</f>
        <v/>
      </c>
      <c r="K377" s="23" t="str">
        <f aca="false">IF(A377="","",IF(AND(I377="Sí",J377="Sí"),"Sí","No"))</f>
        <v/>
      </c>
    </row>
    <row r="378" customFormat="false" ht="15" hidden="false" customHeight="false" outlineLevel="0" collapsed="false">
      <c r="A378" s="22"/>
      <c r="B378" s="22"/>
      <c r="C378" s="26" t="str">
        <f aca="false">IF(A378="","",IFERROR(buscarx(A378&amp;B378,DATA!$E$3:$E$10000&amp;DATA!$B$3:$B$10000,DATA!$M$3:$M$10000),"No encontrado"))</f>
        <v/>
      </c>
      <c r="D378" s="27" t="str">
        <f aca="false">IF(A378="","",IFERROR(buscarx(A378&amp;B378,DATA!$E$3:$E$10000&amp;DATA!$B$3:$B$10000,DATA!$W$3:$W$10000),"No encontrado"))</f>
        <v/>
      </c>
      <c r="E378" s="22"/>
      <c r="F378" s="26" t="str">
        <f aca="false">IF(A378="","",IFERROR(buscarx(A378&amp;E378,DATA!$E$3:$E$10000&amp;DATA!$B$3:$B$10000,DATA!$M$3:$M$10000),"Inactivo"))</f>
        <v/>
      </c>
      <c r="G378" s="28" t="str">
        <f aca="false">IF(A378="","",IF(AND(C378&lt;&gt;"No encontrado",F378&lt;&gt;"Inactivo"),C378&amp;" → "&amp;F378,"Sin transición"))</f>
        <v/>
      </c>
      <c r="H378" s="26" t="str">
        <f aca="false">IF(A378="","",IF(D378="GCIA LINEA SERVICIO DIGITALIDAD Y VENTAS","Chats",IF(OR(D378="GERENCIA INBOUND LÍNEAS SERVICIO Y VENTA",D378="GERENCIA INBOUND LINEAS ESPECIALIZADAS"),"Llamadas","Otro")))</f>
        <v/>
      </c>
      <c r="I378" s="26" t="str">
        <f aca="false">IF(A378="","",IF(C378="No encontrado","No","Sí"))</f>
        <v/>
      </c>
      <c r="J378" s="26" t="str">
        <f aca="false">IF(A378="","",IF(F378="Inactivo","No","Sí"))</f>
        <v/>
      </c>
      <c r="K378" s="26" t="str">
        <f aca="false">IF(A378="","",IF(AND(I378="Sí",J378="Sí"),"Sí","No"))</f>
        <v/>
      </c>
    </row>
    <row r="379" customFormat="false" ht="15" hidden="false" customHeight="false" outlineLevel="0" collapsed="false">
      <c r="A379" s="22"/>
      <c r="B379" s="22"/>
      <c r="C379" s="23" t="str">
        <f aca="false">IF(A379="","",IFERROR(buscarx(A379&amp;B379,DATA!$E$3:$E$10000&amp;DATA!$B$3:$B$10000,DATA!$M$3:$M$10000),"No encontrado"))</f>
        <v/>
      </c>
      <c r="D379" s="24" t="str">
        <f aca="false">IF(A379="","",IFERROR(buscarx(A379&amp;B379,DATA!$E$3:$E$10000&amp;DATA!$B$3:$B$10000,DATA!$W$3:$W$10000),"No encontrado"))</f>
        <v/>
      </c>
      <c r="E379" s="22"/>
      <c r="F379" s="23" t="str">
        <f aca="false">IF(A379="","",IFERROR(buscarx(A379&amp;E379,DATA!$E$3:$E$10000&amp;DATA!$B$3:$B$10000,DATA!$M$3:$M$10000),"Inactivo"))</f>
        <v/>
      </c>
      <c r="G379" s="25" t="str">
        <f aca="false">IF(A379="","",IF(AND(C379&lt;&gt;"No encontrado",F379&lt;&gt;"Inactivo"),C379&amp;" → "&amp;F379,"Sin transición"))</f>
        <v/>
      </c>
      <c r="H379" s="23" t="str">
        <f aca="false">IF(A379="","",IF(D379="GCIA LINEA SERVICIO DIGITALIDAD Y VENTAS","Chats",IF(OR(D379="GERENCIA INBOUND LÍNEAS SERVICIO Y VENTA",D379="GERENCIA INBOUND LINEAS ESPECIALIZADAS"),"Llamadas","Otro")))</f>
        <v/>
      </c>
      <c r="I379" s="23" t="str">
        <f aca="false">IF(A379="","",IF(C379="No encontrado","No","Sí"))</f>
        <v/>
      </c>
      <c r="J379" s="23" t="str">
        <f aca="false">IF(A379="","",IF(F379="Inactivo","No","Sí"))</f>
        <v/>
      </c>
      <c r="K379" s="23" t="str">
        <f aca="false">IF(A379="","",IF(AND(I379="Sí",J379="Sí"),"Sí","No"))</f>
        <v/>
      </c>
    </row>
    <row r="380" customFormat="false" ht="15" hidden="false" customHeight="false" outlineLevel="0" collapsed="false">
      <c r="A380" s="22"/>
      <c r="B380" s="22"/>
      <c r="C380" s="26" t="str">
        <f aca="false">IF(A380="","",IFERROR(buscarx(A380&amp;B380,DATA!$E$3:$E$10000&amp;DATA!$B$3:$B$10000,DATA!$M$3:$M$10000),"No encontrado"))</f>
        <v/>
      </c>
      <c r="D380" s="27" t="str">
        <f aca="false">IF(A380="","",IFERROR(buscarx(A380&amp;B380,DATA!$E$3:$E$10000&amp;DATA!$B$3:$B$10000,DATA!$W$3:$W$10000),"No encontrado"))</f>
        <v/>
      </c>
      <c r="E380" s="22"/>
      <c r="F380" s="26" t="str">
        <f aca="false">IF(A380="","",IFERROR(buscarx(A380&amp;E380,DATA!$E$3:$E$10000&amp;DATA!$B$3:$B$10000,DATA!$M$3:$M$10000),"Inactivo"))</f>
        <v/>
      </c>
      <c r="G380" s="28" t="str">
        <f aca="false">IF(A380="","",IF(AND(C380&lt;&gt;"No encontrado",F380&lt;&gt;"Inactivo"),C380&amp;" → "&amp;F380,"Sin transición"))</f>
        <v/>
      </c>
      <c r="H380" s="26" t="str">
        <f aca="false">IF(A380="","",IF(D380="GCIA LINEA SERVICIO DIGITALIDAD Y VENTAS","Chats",IF(OR(D380="GERENCIA INBOUND LÍNEAS SERVICIO Y VENTA",D380="GERENCIA INBOUND LINEAS ESPECIALIZADAS"),"Llamadas","Otro")))</f>
        <v/>
      </c>
      <c r="I380" s="26" t="str">
        <f aca="false">IF(A380="","",IF(C380="No encontrado","No","Sí"))</f>
        <v/>
      </c>
      <c r="J380" s="26" t="str">
        <f aca="false">IF(A380="","",IF(F380="Inactivo","No","Sí"))</f>
        <v/>
      </c>
      <c r="K380" s="26" t="str">
        <f aca="false">IF(A380="","",IF(AND(I380="Sí",J380="Sí"),"Sí","No"))</f>
        <v/>
      </c>
    </row>
    <row r="381" customFormat="false" ht="15" hidden="false" customHeight="false" outlineLevel="0" collapsed="false">
      <c r="A381" s="22"/>
      <c r="B381" s="22"/>
      <c r="C381" s="23" t="str">
        <f aca="false">IF(A381="","",IFERROR(buscarx(A381&amp;B381,DATA!$E$3:$E$10000&amp;DATA!$B$3:$B$10000,DATA!$M$3:$M$10000),"No encontrado"))</f>
        <v/>
      </c>
      <c r="D381" s="24" t="str">
        <f aca="false">IF(A381="","",IFERROR(buscarx(A381&amp;B381,DATA!$E$3:$E$10000&amp;DATA!$B$3:$B$10000,DATA!$W$3:$W$10000),"No encontrado"))</f>
        <v/>
      </c>
      <c r="E381" s="22"/>
      <c r="F381" s="23" t="str">
        <f aca="false">IF(A381="","",IFERROR(buscarx(A381&amp;E381,DATA!$E$3:$E$10000&amp;DATA!$B$3:$B$10000,DATA!$M$3:$M$10000),"Inactivo"))</f>
        <v/>
      </c>
      <c r="G381" s="25" t="str">
        <f aca="false">IF(A381="","",IF(AND(C381&lt;&gt;"No encontrado",F381&lt;&gt;"Inactivo"),C381&amp;" → "&amp;F381,"Sin transición"))</f>
        <v/>
      </c>
      <c r="H381" s="23" t="str">
        <f aca="false">IF(A381="","",IF(D381="GCIA LINEA SERVICIO DIGITALIDAD Y VENTAS","Chats",IF(OR(D381="GERENCIA INBOUND LÍNEAS SERVICIO Y VENTA",D381="GERENCIA INBOUND LINEAS ESPECIALIZADAS"),"Llamadas","Otro")))</f>
        <v/>
      </c>
      <c r="I381" s="23" t="str">
        <f aca="false">IF(A381="","",IF(C381="No encontrado","No","Sí"))</f>
        <v/>
      </c>
      <c r="J381" s="23" t="str">
        <f aca="false">IF(A381="","",IF(F381="Inactivo","No","Sí"))</f>
        <v/>
      </c>
      <c r="K381" s="23" t="str">
        <f aca="false">IF(A381="","",IF(AND(I381="Sí",J381="Sí"),"Sí","No"))</f>
        <v/>
      </c>
    </row>
    <row r="382" customFormat="false" ht="15" hidden="false" customHeight="false" outlineLevel="0" collapsed="false">
      <c r="A382" s="22"/>
      <c r="B382" s="22"/>
      <c r="C382" s="26" t="str">
        <f aca="false">IF(A382="","",IFERROR(buscarx(A382&amp;B382,DATA!$E$3:$E$10000&amp;DATA!$B$3:$B$10000,DATA!$M$3:$M$10000),"No encontrado"))</f>
        <v/>
      </c>
      <c r="D382" s="27" t="str">
        <f aca="false">IF(A382="","",IFERROR(buscarx(A382&amp;B382,DATA!$E$3:$E$10000&amp;DATA!$B$3:$B$10000,DATA!$W$3:$W$10000),"No encontrado"))</f>
        <v/>
      </c>
      <c r="E382" s="22"/>
      <c r="F382" s="26" t="str">
        <f aca="false">IF(A382="","",IFERROR(buscarx(A382&amp;E382,DATA!$E$3:$E$10000&amp;DATA!$B$3:$B$10000,DATA!$M$3:$M$10000),"Inactivo"))</f>
        <v/>
      </c>
      <c r="G382" s="28" t="str">
        <f aca="false">IF(A382="","",IF(AND(C382&lt;&gt;"No encontrado",F382&lt;&gt;"Inactivo"),C382&amp;" → "&amp;F382,"Sin transición"))</f>
        <v/>
      </c>
      <c r="H382" s="26" t="str">
        <f aca="false">IF(A382="","",IF(D382="GCIA LINEA SERVICIO DIGITALIDAD Y VENTAS","Chats",IF(OR(D382="GERENCIA INBOUND LÍNEAS SERVICIO Y VENTA",D382="GERENCIA INBOUND LINEAS ESPECIALIZADAS"),"Llamadas","Otro")))</f>
        <v/>
      </c>
      <c r="I382" s="26" t="str">
        <f aca="false">IF(A382="","",IF(C382="No encontrado","No","Sí"))</f>
        <v/>
      </c>
      <c r="J382" s="26" t="str">
        <f aca="false">IF(A382="","",IF(F382="Inactivo","No","Sí"))</f>
        <v/>
      </c>
      <c r="K382" s="26" t="str">
        <f aca="false">IF(A382="","",IF(AND(I382="Sí",J382="Sí"),"Sí","No"))</f>
        <v/>
      </c>
    </row>
    <row r="383" customFormat="false" ht="15" hidden="false" customHeight="false" outlineLevel="0" collapsed="false">
      <c r="A383" s="22"/>
      <c r="B383" s="22"/>
      <c r="C383" s="23" t="str">
        <f aca="false">IF(A383="","",IFERROR(buscarx(A383&amp;B383,DATA!$E$3:$E$10000&amp;DATA!$B$3:$B$10000,DATA!$M$3:$M$10000),"No encontrado"))</f>
        <v/>
      </c>
      <c r="D383" s="24" t="str">
        <f aca="false">IF(A383="","",IFERROR(buscarx(A383&amp;B383,DATA!$E$3:$E$10000&amp;DATA!$B$3:$B$10000,DATA!$W$3:$W$10000),"No encontrado"))</f>
        <v/>
      </c>
      <c r="E383" s="22"/>
      <c r="F383" s="23" t="str">
        <f aca="false">IF(A383="","",IFERROR(buscarx(A383&amp;E383,DATA!$E$3:$E$10000&amp;DATA!$B$3:$B$10000,DATA!$M$3:$M$10000),"Inactivo"))</f>
        <v/>
      </c>
      <c r="G383" s="25" t="str">
        <f aca="false">IF(A383="","",IF(AND(C383&lt;&gt;"No encontrado",F383&lt;&gt;"Inactivo"),C383&amp;" → "&amp;F383,"Sin transición"))</f>
        <v/>
      </c>
      <c r="H383" s="23" t="str">
        <f aca="false">IF(A383="","",IF(D383="GCIA LINEA SERVICIO DIGITALIDAD Y VENTAS","Chats",IF(OR(D383="GERENCIA INBOUND LÍNEAS SERVICIO Y VENTA",D383="GERENCIA INBOUND LINEAS ESPECIALIZADAS"),"Llamadas","Otro")))</f>
        <v/>
      </c>
      <c r="I383" s="23" t="str">
        <f aca="false">IF(A383="","",IF(C383="No encontrado","No","Sí"))</f>
        <v/>
      </c>
      <c r="J383" s="23" t="str">
        <f aca="false">IF(A383="","",IF(F383="Inactivo","No","Sí"))</f>
        <v/>
      </c>
      <c r="K383" s="23" t="str">
        <f aca="false">IF(A383="","",IF(AND(I383="Sí",J383="Sí"),"Sí","No"))</f>
        <v/>
      </c>
    </row>
    <row r="384" customFormat="false" ht="15" hidden="false" customHeight="false" outlineLevel="0" collapsed="false">
      <c r="A384" s="22"/>
      <c r="B384" s="22"/>
      <c r="C384" s="26" t="str">
        <f aca="false">IF(A384="","",IFERROR(buscarx(A384&amp;B384,DATA!$E$3:$E$10000&amp;DATA!$B$3:$B$10000,DATA!$M$3:$M$10000),"No encontrado"))</f>
        <v/>
      </c>
      <c r="D384" s="27" t="str">
        <f aca="false">IF(A384="","",IFERROR(buscarx(A384&amp;B384,DATA!$E$3:$E$10000&amp;DATA!$B$3:$B$10000,DATA!$W$3:$W$10000),"No encontrado"))</f>
        <v/>
      </c>
      <c r="E384" s="22"/>
      <c r="F384" s="26" t="str">
        <f aca="false">IF(A384="","",IFERROR(buscarx(A384&amp;E384,DATA!$E$3:$E$10000&amp;DATA!$B$3:$B$10000,DATA!$M$3:$M$10000),"Inactivo"))</f>
        <v/>
      </c>
      <c r="G384" s="28" t="str">
        <f aca="false">IF(A384="","",IF(AND(C384&lt;&gt;"No encontrado",F384&lt;&gt;"Inactivo"),C384&amp;" → "&amp;F384,"Sin transición"))</f>
        <v/>
      </c>
      <c r="H384" s="26" t="str">
        <f aca="false">IF(A384="","",IF(D384="GCIA LINEA SERVICIO DIGITALIDAD Y VENTAS","Chats",IF(OR(D384="GERENCIA INBOUND LÍNEAS SERVICIO Y VENTA",D384="GERENCIA INBOUND LINEAS ESPECIALIZADAS"),"Llamadas","Otro")))</f>
        <v/>
      </c>
      <c r="I384" s="26" t="str">
        <f aca="false">IF(A384="","",IF(C384="No encontrado","No","Sí"))</f>
        <v/>
      </c>
      <c r="J384" s="26" t="str">
        <f aca="false">IF(A384="","",IF(F384="Inactivo","No","Sí"))</f>
        <v/>
      </c>
      <c r="K384" s="26" t="str">
        <f aca="false">IF(A384="","",IF(AND(I384="Sí",J384="Sí"),"Sí","No"))</f>
        <v/>
      </c>
    </row>
    <row r="385" customFormat="false" ht="15" hidden="false" customHeight="false" outlineLevel="0" collapsed="false">
      <c r="A385" s="22"/>
      <c r="B385" s="22"/>
      <c r="C385" s="23" t="str">
        <f aca="false">IF(A385="","",IFERROR(buscarx(A385&amp;B385,DATA!$E$3:$E$10000&amp;DATA!$B$3:$B$10000,DATA!$M$3:$M$10000),"No encontrado"))</f>
        <v/>
      </c>
      <c r="D385" s="24" t="str">
        <f aca="false">IF(A385="","",IFERROR(buscarx(A385&amp;B385,DATA!$E$3:$E$10000&amp;DATA!$B$3:$B$10000,DATA!$W$3:$W$10000),"No encontrado"))</f>
        <v/>
      </c>
      <c r="E385" s="22"/>
      <c r="F385" s="23" t="str">
        <f aca="false">IF(A385="","",IFERROR(buscarx(A385&amp;E385,DATA!$E$3:$E$10000&amp;DATA!$B$3:$B$10000,DATA!$M$3:$M$10000),"Inactivo"))</f>
        <v/>
      </c>
      <c r="G385" s="25" t="str">
        <f aca="false">IF(A385="","",IF(AND(C385&lt;&gt;"No encontrado",F385&lt;&gt;"Inactivo"),C385&amp;" → "&amp;F385,"Sin transición"))</f>
        <v/>
      </c>
      <c r="H385" s="23" t="str">
        <f aca="false">IF(A385="","",IF(D385="GCIA LINEA SERVICIO DIGITALIDAD Y VENTAS","Chats",IF(OR(D385="GERENCIA INBOUND LÍNEAS SERVICIO Y VENTA",D385="GERENCIA INBOUND LINEAS ESPECIALIZADAS"),"Llamadas","Otro")))</f>
        <v/>
      </c>
      <c r="I385" s="23" t="str">
        <f aca="false">IF(A385="","",IF(C385="No encontrado","No","Sí"))</f>
        <v/>
      </c>
      <c r="J385" s="23" t="str">
        <f aca="false">IF(A385="","",IF(F385="Inactivo","No","Sí"))</f>
        <v/>
      </c>
      <c r="K385" s="23" t="str">
        <f aca="false">IF(A385="","",IF(AND(I385="Sí",J385="Sí"),"Sí","No"))</f>
        <v/>
      </c>
    </row>
    <row r="386" customFormat="false" ht="15" hidden="false" customHeight="false" outlineLevel="0" collapsed="false">
      <c r="A386" s="22"/>
      <c r="B386" s="22"/>
      <c r="C386" s="26" t="str">
        <f aca="false">IF(A386="","",IFERROR(buscarx(A386&amp;B386,DATA!$E$3:$E$10000&amp;DATA!$B$3:$B$10000,DATA!$M$3:$M$10000),"No encontrado"))</f>
        <v/>
      </c>
      <c r="D386" s="27" t="str">
        <f aca="false">IF(A386="","",IFERROR(buscarx(A386&amp;B386,DATA!$E$3:$E$10000&amp;DATA!$B$3:$B$10000,DATA!$W$3:$W$10000),"No encontrado"))</f>
        <v/>
      </c>
      <c r="E386" s="22"/>
      <c r="F386" s="26" t="str">
        <f aca="false">IF(A386="","",IFERROR(buscarx(A386&amp;E386,DATA!$E$3:$E$10000&amp;DATA!$B$3:$B$10000,DATA!$M$3:$M$10000),"Inactivo"))</f>
        <v/>
      </c>
      <c r="G386" s="28" t="str">
        <f aca="false">IF(A386="","",IF(AND(C386&lt;&gt;"No encontrado",F386&lt;&gt;"Inactivo"),C386&amp;" → "&amp;F386,"Sin transición"))</f>
        <v/>
      </c>
      <c r="H386" s="26" t="str">
        <f aca="false">IF(A386="","",IF(D386="GCIA LINEA SERVICIO DIGITALIDAD Y VENTAS","Chats",IF(OR(D386="GERENCIA INBOUND LÍNEAS SERVICIO Y VENTA",D386="GERENCIA INBOUND LINEAS ESPECIALIZADAS"),"Llamadas","Otro")))</f>
        <v/>
      </c>
      <c r="I386" s="26" t="str">
        <f aca="false">IF(A386="","",IF(C386="No encontrado","No","Sí"))</f>
        <v/>
      </c>
      <c r="J386" s="26" t="str">
        <f aca="false">IF(A386="","",IF(F386="Inactivo","No","Sí"))</f>
        <v/>
      </c>
      <c r="K386" s="26" t="str">
        <f aca="false">IF(A386="","",IF(AND(I386="Sí",J386="Sí"),"Sí","No"))</f>
        <v/>
      </c>
    </row>
    <row r="387" customFormat="false" ht="15" hidden="false" customHeight="false" outlineLevel="0" collapsed="false">
      <c r="A387" s="22"/>
      <c r="B387" s="22"/>
      <c r="C387" s="23" t="str">
        <f aca="false">IF(A387="","",IFERROR(buscarx(A387&amp;B387,DATA!$E$3:$E$10000&amp;DATA!$B$3:$B$10000,DATA!$M$3:$M$10000),"No encontrado"))</f>
        <v/>
      </c>
      <c r="D387" s="24" t="str">
        <f aca="false">IF(A387="","",IFERROR(buscarx(A387&amp;B387,DATA!$E$3:$E$10000&amp;DATA!$B$3:$B$10000,DATA!$W$3:$W$10000),"No encontrado"))</f>
        <v/>
      </c>
      <c r="E387" s="22"/>
      <c r="F387" s="23" t="str">
        <f aca="false">IF(A387="","",IFERROR(buscarx(A387&amp;E387,DATA!$E$3:$E$10000&amp;DATA!$B$3:$B$10000,DATA!$M$3:$M$10000),"Inactivo"))</f>
        <v/>
      </c>
      <c r="G387" s="25" t="str">
        <f aca="false">IF(A387="","",IF(AND(C387&lt;&gt;"No encontrado",F387&lt;&gt;"Inactivo"),C387&amp;" → "&amp;F387,"Sin transición"))</f>
        <v/>
      </c>
      <c r="H387" s="23" t="str">
        <f aca="false">IF(A387="","",IF(D387="GCIA LINEA SERVICIO DIGITALIDAD Y VENTAS","Chats",IF(OR(D387="GERENCIA INBOUND LÍNEAS SERVICIO Y VENTA",D387="GERENCIA INBOUND LINEAS ESPECIALIZADAS"),"Llamadas","Otro")))</f>
        <v/>
      </c>
      <c r="I387" s="23" t="str">
        <f aca="false">IF(A387="","",IF(C387="No encontrado","No","Sí"))</f>
        <v/>
      </c>
      <c r="J387" s="23" t="str">
        <f aca="false">IF(A387="","",IF(F387="Inactivo","No","Sí"))</f>
        <v/>
      </c>
      <c r="K387" s="23" t="str">
        <f aca="false">IF(A387="","",IF(AND(I387="Sí",J387="Sí"),"Sí","No"))</f>
        <v/>
      </c>
    </row>
    <row r="388" customFormat="false" ht="15" hidden="false" customHeight="false" outlineLevel="0" collapsed="false">
      <c r="A388" s="22"/>
      <c r="B388" s="22"/>
      <c r="C388" s="26" t="str">
        <f aca="false">IF(A388="","",IFERROR(buscarx(A388&amp;B388,DATA!$E$3:$E$10000&amp;DATA!$B$3:$B$10000,DATA!$M$3:$M$10000),"No encontrado"))</f>
        <v/>
      </c>
      <c r="D388" s="27" t="str">
        <f aca="false">IF(A388="","",IFERROR(buscarx(A388&amp;B388,DATA!$E$3:$E$10000&amp;DATA!$B$3:$B$10000,DATA!$W$3:$W$10000),"No encontrado"))</f>
        <v/>
      </c>
      <c r="E388" s="22"/>
      <c r="F388" s="26" t="str">
        <f aca="false">IF(A388="","",IFERROR(buscarx(A388&amp;E388,DATA!$E$3:$E$10000&amp;DATA!$B$3:$B$10000,DATA!$M$3:$M$10000),"Inactivo"))</f>
        <v/>
      </c>
      <c r="G388" s="28" t="str">
        <f aca="false">IF(A388="","",IF(AND(C388&lt;&gt;"No encontrado",F388&lt;&gt;"Inactivo"),C388&amp;" → "&amp;F388,"Sin transición"))</f>
        <v/>
      </c>
      <c r="H388" s="26" t="str">
        <f aca="false">IF(A388="","",IF(D388="GCIA LINEA SERVICIO DIGITALIDAD Y VENTAS","Chats",IF(OR(D388="GERENCIA INBOUND LÍNEAS SERVICIO Y VENTA",D388="GERENCIA INBOUND LINEAS ESPECIALIZADAS"),"Llamadas","Otro")))</f>
        <v/>
      </c>
      <c r="I388" s="26" t="str">
        <f aca="false">IF(A388="","",IF(C388="No encontrado","No","Sí"))</f>
        <v/>
      </c>
      <c r="J388" s="26" t="str">
        <f aca="false">IF(A388="","",IF(F388="Inactivo","No","Sí"))</f>
        <v/>
      </c>
      <c r="K388" s="26" t="str">
        <f aca="false">IF(A388="","",IF(AND(I388="Sí",J388="Sí"),"Sí","No"))</f>
        <v/>
      </c>
    </row>
    <row r="389" customFormat="false" ht="15" hidden="false" customHeight="false" outlineLevel="0" collapsed="false">
      <c r="A389" s="22"/>
      <c r="B389" s="22"/>
      <c r="C389" s="23" t="str">
        <f aca="false">IF(A389="","",IFERROR(buscarx(A389&amp;B389,DATA!$E$3:$E$10000&amp;DATA!$B$3:$B$10000,DATA!$M$3:$M$10000),"No encontrado"))</f>
        <v/>
      </c>
      <c r="D389" s="24" t="str">
        <f aca="false">IF(A389="","",IFERROR(buscarx(A389&amp;B389,DATA!$E$3:$E$10000&amp;DATA!$B$3:$B$10000,DATA!$W$3:$W$10000),"No encontrado"))</f>
        <v/>
      </c>
      <c r="E389" s="22"/>
      <c r="F389" s="23" t="str">
        <f aca="false">IF(A389="","",IFERROR(buscarx(A389&amp;E389,DATA!$E$3:$E$10000&amp;DATA!$B$3:$B$10000,DATA!$M$3:$M$10000),"Inactivo"))</f>
        <v/>
      </c>
      <c r="G389" s="25" t="str">
        <f aca="false">IF(A389="","",IF(AND(C389&lt;&gt;"No encontrado",F389&lt;&gt;"Inactivo"),C389&amp;" → "&amp;F389,"Sin transición"))</f>
        <v/>
      </c>
      <c r="H389" s="23" t="str">
        <f aca="false">IF(A389="","",IF(D389="GCIA LINEA SERVICIO DIGITALIDAD Y VENTAS","Chats",IF(OR(D389="GERENCIA INBOUND LÍNEAS SERVICIO Y VENTA",D389="GERENCIA INBOUND LINEAS ESPECIALIZADAS"),"Llamadas","Otro")))</f>
        <v/>
      </c>
      <c r="I389" s="23" t="str">
        <f aca="false">IF(A389="","",IF(C389="No encontrado","No","Sí"))</f>
        <v/>
      </c>
      <c r="J389" s="23" t="str">
        <f aca="false">IF(A389="","",IF(F389="Inactivo","No","Sí"))</f>
        <v/>
      </c>
      <c r="K389" s="23" t="str">
        <f aca="false">IF(A389="","",IF(AND(I389="Sí",J389="Sí"),"Sí","No"))</f>
        <v/>
      </c>
    </row>
    <row r="390" customFormat="false" ht="15" hidden="false" customHeight="false" outlineLevel="0" collapsed="false">
      <c r="A390" s="22"/>
      <c r="B390" s="22"/>
      <c r="C390" s="26" t="str">
        <f aca="false">IF(A390="","",IFERROR(buscarx(A390&amp;B390,DATA!$E$3:$E$10000&amp;DATA!$B$3:$B$10000,DATA!$M$3:$M$10000),"No encontrado"))</f>
        <v/>
      </c>
      <c r="D390" s="27" t="str">
        <f aca="false">IF(A390="","",IFERROR(buscarx(A390&amp;B390,DATA!$E$3:$E$10000&amp;DATA!$B$3:$B$10000,DATA!$W$3:$W$10000),"No encontrado"))</f>
        <v/>
      </c>
      <c r="E390" s="22"/>
      <c r="F390" s="26" t="str">
        <f aca="false">IF(A390="","",IFERROR(buscarx(A390&amp;E390,DATA!$E$3:$E$10000&amp;DATA!$B$3:$B$10000,DATA!$M$3:$M$10000),"Inactivo"))</f>
        <v/>
      </c>
      <c r="G390" s="28" t="str">
        <f aca="false">IF(A390="","",IF(AND(C390&lt;&gt;"No encontrado",F390&lt;&gt;"Inactivo"),C390&amp;" → "&amp;F390,"Sin transición"))</f>
        <v/>
      </c>
      <c r="H390" s="26" t="str">
        <f aca="false">IF(A390="","",IF(D390="GCIA LINEA SERVICIO DIGITALIDAD Y VENTAS","Chats",IF(OR(D390="GERENCIA INBOUND LÍNEAS SERVICIO Y VENTA",D390="GERENCIA INBOUND LINEAS ESPECIALIZADAS"),"Llamadas","Otro")))</f>
        <v/>
      </c>
      <c r="I390" s="26" t="str">
        <f aca="false">IF(A390="","",IF(C390="No encontrado","No","Sí"))</f>
        <v/>
      </c>
      <c r="J390" s="26" t="str">
        <f aca="false">IF(A390="","",IF(F390="Inactivo","No","Sí"))</f>
        <v/>
      </c>
      <c r="K390" s="26" t="str">
        <f aca="false">IF(A390="","",IF(AND(I390="Sí",J390="Sí"),"Sí","No"))</f>
        <v/>
      </c>
    </row>
    <row r="391" customFormat="false" ht="15" hidden="false" customHeight="false" outlineLevel="0" collapsed="false">
      <c r="A391" s="22"/>
      <c r="B391" s="22"/>
      <c r="C391" s="23" t="str">
        <f aca="false">IF(A391="","",IFERROR(buscarx(A391&amp;B391,DATA!$E$3:$E$10000&amp;DATA!$B$3:$B$10000,DATA!$M$3:$M$10000),"No encontrado"))</f>
        <v/>
      </c>
      <c r="D391" s="24" t="str">
        <f aca="false">IF(A391="","",IFERROR(buscarx(A391&amp;B391,DATA!$E$3:$E$10000&amp;DATA!$B$3:$B$10000,DATA!$W$3:$W$10000),"No encontrado"))</f>
        <v/>
      </c>
      <c r="E391" s="22"/>
      <c r="F391" s="23" t="str">
        <f aca="false">IF(A391="","",IFERROR(buscarx(A391&amp;E391,DATA!$E$3:$E$10000&amp;DATA!$B$3:$B$10000,DATA!$M$3:$M$10000),"Inactivo"))</f>
        <v/>
      </c>
      <c r="G391" s="25" t="str">
        <f aca="false">IF(A391="","",IF(AND(C391&lt;&gt;"No encontrado",F391&lt;&gt;"Inactivo"),C391&amp;" → "&amp;F391,"Sin transición"))</f>
        <v/>
      </c>
      <c r="H391" s="23" t="str">
        <f aca="false">IF(A391="","",IF(D391="GCIA LINEA SERVICIO DIGITALIDAD Y VENTAS","Chats",IF(OR(D391="GERENCIA INBOUND LÍNEAS SERVICIO Y VENTA",D391="GERENCIA INBOUND LINEAS ESPECIALIZADAS"),"Llamadas","Otro")))</f>
        <v/>
      </c>
      <c r="I391" s="23" t="str">
        <f aca="false">IF(A391="","",IF(C391="No encontrado","No","Sí"))</f>
        <v/>
      </c>
      <c r="J391" s="23" t="str">
        <f aca="false">IF(A391="","",IF(F391="Inactivo","No","Sí"))</f>
        <v/>
      </c>
      <c r="K391" s="23" t="str">
        <f aca="false">IF(A391="","",IF(AND(I391="Sí",J391="Sí"),"Sí","No"))</f>
        <v/>
      </c>
    </row>
    <row r="392" customFormat="false" ht="15" hidden="false" customHeight="false" outlineLevel="0" collapsed="false">
      <c r="A392" s="22"/>
      <c r="B392" s="22"/>
      <c r="C392" s="26" t="str">
        <f aca="false">IF(A392="","",IFERROR(buscarx(A392&amp;B392,DATA!$E$3:$E$10000&amp;DATA!$B$3:$B$10000,DATA!$M$3:$M$10000),"No encontrado"))</f>
        <v/>
      </c>
      <c r="D392" s="27" t="str">
        <f aca="false">IF(A392="","",IFERROR(buscarx(A392&amp;B392,DATA!$E$3:$E$10000&amp;DATA!$B$3:$B$10000,DATA!$W$3:$W$10000),"No encontrado"))</f>
        <v/>
      </c>
      <c r="E392" s="22"/>
      <c r="F392" s="26" t="str">
        <f aca="false">IF(A392="","",IFERROR(buscarx(A392&amp;E392,DATA!$E$3:$E$10000&amp;DATA!$B$3:$B$10000,DATA!$M$3:$M$10000),"Inactivo"))</f>
        <v/>
      </c>
      <c r="G392" s="28" t="str">
        <f aca="false">IF(A392="","",IF(AND(C392&lt;&gt;"No encontrado",F392&lt;&gt;"Inactivo"),C392&amp;" → "&amp;F392,"Sin transición"))</f>
        <v/>
      </c>
      <c r="H392" s="26" t="str">
        <f aca="false">IF(A392="","",IF(D392="GCIA LINEA SERVICIO DIGITALIDAD Y VENTAS","Chats",IF(OR(D392="GERENCIA INBOUND LÍNEAS SERVICIO Y VENTA",D392="GERENCIA INBOUND LINEAS ESPECIALIZADAS"),"Llamadas","Otro")))</f>
        <v/>
      </c>
      <c r="I392" s="26" t="str">
        <f aca="false">IF(A392="","",IF(C392="No encontrado","No","Sí"))</f>
        <v/>
      </c>
      <c r="J392" s="26" t="str">
        <f aca="false">IF(A392="","",IF(F392="Inactivo","No","Sí"))</f>
        <v/>
      </c>
      <c r="K392" s="26" t="str">
        <f aca="false">IF(A392="","",IF(AND(I392="Sí",J392="Sí"),"Sí","No"))</f>
        <v/>
      </c>
    </row>
    <row r="393" customFormat="false" ht="15" hidden="false" customHeight="false" outlineLevel="0" collapsed="false">
      <c r="A393" s="22"/>
      <c r="B393" s="22"/>
      <c r="C393" s="23" t="str">
        <f aca="false">IF(A393="","",IFERROR(buscarx(A393&amp;B393,DATA!$E$3:$E$10000&amp;DATA!$B$3:$B$10000,DATA!$M$3:$M$10000),"No encontrado"))</f>
        <v/>
      </c>
      <c r="D393" s="24" t="str">
        <f aca="false">IF(A393="","",IFERROR(buscarx(A393&amp;B393,DATA!$E$3:$E$10000&amp;DATA!$B$3:$B$10000,DATA!$W$3:$W$10000),"No encontrado"))</f>
        <v/>
      </c>
      <c r="E393" s="22"/>
      <c r="F393" s="23" t="str">
        <f aca="false">IF(A393="","",IFERROR(buscarx(A393&amp;E393,DATA!$E$3:$E$10000&amp;DATA!$B$3:$B$10000,DATA!$M$3:$M$10000),"Inactivo"))</f>
        <v/>
      </c>
      <c r="G393" s="25" t="str">
        <f aca="false">IF(A393="","",IF(AND(C393&lt;&gt;"No encontrado",F393&lt;&gt;"Inactivo"),C393&amp;" → "&amp;F393,"Sin transición"))</f>
        <v/>
      </c>
      <c r="H393" s="23" t="str">
        <f aca="false">IF(A393="","",IF(D393="GCIA LINEA SERVICIO DIGITALIDAD Y VENTAS","Chats",IF(OR(D393="GERENCIA INBOUND LÍNEAS SERVICIO Y VENTA",D393="GERENCIA INBOUND LINEAS ESPECIALIZADAS"),"Llamadas","Otro")))</f>
        <v/>
      </c>
      <c r="I393" s="23" t="str">
        <f aca="false">IF(A393="","",IF(C393="No encontrado","No","Sí"))</f>
        <v/>
      </c>
      <c r="J393" s="23" t="str">
        <f aca="false">IF(A393="","",IF(F393="Inactivo","No","Sí"))</f>
        <v/>
      </c>
      <c r="K393" s="23" t="str">
        <f aca="false">IF(A393="","",IF(AND(I393="Sí",J393="Sí"),"Sí","No"))</f>
        <v/>
      </c>
    </row>
    <row r="394" customFormat="false" ht="15" hidden="false" customHeight="false" outlineLevel="0" collapsed="false">
      <c r="A394" s="22"/>
      <c r="B394" s="22"/>
      <c r="C394" s="26" t="str">
        <f aca="false">IF(A394="","",IFERROR(buscarx(A394&amp;B394,DATA!$E$3:$E$10000&amp;DATA!$B$3:$B$10000,DATA!$M$3:$M$10000),"No encontrado"))</f>
        <v/>
      </c>
      <c r="D394" s="27" t="str">
        <f aca="false">IF(A394="","",IFERROR(buscarx(A394&amp;B394,DATA!$E$3:$E$10000&amp;DATA!$B$3:$B$10000,DATA!$W$3:$W$10000),"No encontrado"))</f>
        <v/>
      </c>
      <c r="E394" s="22"/>
      <c r="F394" s="26" t="str">
        <f aca="false">IF(A394="","",IFERROR(buscarx(A394&amp;E394,DATA!$E$3:$E$10000&amp;DATA!$B$3:$B$10000,DATA!$M$3:$M$10000),"Inactivo"))</f>
        <v/>
      </c>
      <c r="G394" s="28" t="str">
        <f aca="false">IF(A394="","",IF(AND(C394&lt;&gt;"No encontrado",F394&lt;&gt;"Inactivo"),C394&amp;" → "&amp;F394,"Sin transición"))</f>
        <v/>
      </c>
      <c r="H394" s="26" t="str">
        <f aca="false">IF(A394="","",IF(D394="GCIA LINEA SERVICIO DIGITALIDAD Y VENTAS","Chats",IF(OR(D394="GERENCIA INBOUND LÍNEAS SERVICIO Y VENTA",D394="GERENCIA INBOUND LINEAS ESPECIALIZADAS"),"Llamadas","Otro")))</f>
        <v/>
      </c>
      <c r="I394" s="26" t="str">
        <f aca="false">IF(A394="","",IF(C394="No encontrado","No","Sí"))</f>
        <v/>
      </c>
      <c r="J394" s="26" t="str">
        <f aca="false">IF(A394="","",IF(F394="Inactivo","No","Sí"))</f>
        <v/>
      </c>
      <c r="K394" s="26" t="str">
        <f aca="false">IF(A394="","",IF(AND(I394="Sí",J394="Sí"),"Sí","No"))</f>
        <v/>
      </c>
    </row>
    <row r="395" customFormat="false" ht="15" hidden="false" customHeight="false" outlineLevel="0" collapsed="false">
      <c r="A395" s="22"/>
      <c r="B395" s="22"/>
      <c r="C395" s="23" t="str">
        <f aca="false">IF(A395="","",IFERROR(buscarx(A395&amp;B395,DATA!$E$3:$E$10000&amp;DATA!$B$3:$B$10000,DATA!$M$3:$M$10000),"No encontrado"))</f>
        <v/>
      </c>
      <c r="D395" s="24" t="str">
        <f aca="false">IF(A395="","",IFERROR(buscarx(A395&amp;B395,DATA!$E$3:$E$10000&amp;DATA!$B$3:$B$10000,DATA!$W$3:$W$10000),"No encontrado"))</f>
        <v/>
      </c>
      <c r="E395" s="22"/>
      <c r="F395" s="23" t="str">
        <f aca="false">IF(A395="","",IFERROR(buscarx(A395&amp;E395,DATA!$E$3:$E$10000&amp;DATA!$B$3:$B$10000,DATA!$M$3:$M$10000),"Inactivo"))</f>
        <v/>
      </c>
      <c r="G395" s="25" t="str">
        <f aca="false">IF(A395="","",IF(AND(C395&lt;&gt;"No encontrado",F395&lt;&gt;"Inactivo"),C395&amp;" → "&amp;F395,"Sin transición"))</f>
        <v/>
      </c>
      <c r="H395" s="23" t="str">
        <f aca="false">IF(A395="","",IF(D395="GCIA LINEA SERVICIO DIGITALIDAD Y VENTAS","Chats",IF(OR(D395="GERENCIA INBOUND LÍNEAS SERVICIO Y VENTA",D395="GERENCIA INBOUND LINEAS ESPECIALIZADAS"),"Llamadas","Otro")))</f>
        <v/>
      </c>
      <c r="I395" s="23" t="str">
        <f aca="false">IF(A395="","",IF(C395="No encontrado","No","Sí"))</f>
        <v/>
      </c>
      <c r="J395" s="23" t="str">
        <f aca="false">IF(A395="","",IF(F395="Inactivo","No","Sí"))</f>
        <v/>
      </c>
      <c r="K395" s="23" t="str">
        <f aca="false">IF(A395="","",IF(AND(I395="Sí",J395="Sí"),"Sí","No"))</f>
        <v/>
      </c>
    </row>
    <row r="396" customFormat="false" ht="15" hidden="false" customHeight="false" outlineLevel="0" collapsed="false">
      <c r="A396" s="22"/>
      <c r="B396" s="22"/>
      <c r="C396" s="26" t="str">
        <f aca="false">IF(A396="","",IFERROR(buscarx(A396&amp;B396,DATA!$E$3:$E$10000&amp;DATA!$B$3:$B$10000,DATA!$M$3:$M$10000),"No encontrado"))</f>
        <v/>
      </c>
      <c r="D396" s="27" t="str">
        <f aca="false">IF(A396="","",IFERROR(buscarx(A396&amp;B396,DATA!$E$3:$E$10000&amp;DATA!$B$3:$B$10000,DATA!$W$3:$W$10000),"No encontrado"))</f>
        <v/>
      </c>
      <c r="E396" s="22"/>
      <c r="F396" s="26" t="str">
        <f aca="false">IF(A396="","",IFERROR(buscarx(A396&amp;E396,DATA!$E$3:$E$10000&amp;DATA!$B$3:$B$10000,DATA!$M$3:$M$10000),"Inactivo"))</f>
        <v/>
      </c>
      <c r="G396" s="28" t="str">
        <f aca="false">IF(A396="","",IF(AND(C396&lt;&gt;"No encontrado",F396&lt;&gt;"Inactivo"),C396&amp;" → "&amp;F396,"Sin transición"))</f>
        <v/>
      </c>
      <c r="H396" s="26" t="str">
        <f aca="false">IF(A396="","",IF(D396="GCIA LINEA SERVICIO DIGITALIDAD Y VENTAS","Chats",IF(OR(D396="GERENCIA INBOUND LÍNEAS SERVICIO Y VENTA",D396="GERENCIA INBOUND LINEAS ESPECIALIZADAS"),"Llamadas","Otro")))</f>
        <v/>
      </c>
      <c r="I396" s="26" t="str">
        <f aca="false">IF(A396="","",IF(C396="No encontrado","No","Sí"))</f>
        <v/>
      </c>
      <c r="J396" s="26" t="str">
        <f aca="false">IF(A396="","",IF(F396="Inactivo","No","Sí"))</f>
        <v/>
      </c>
      <c r="K396" s="26" t="str">
        <f aca="false">IF(A396="","",IF(AND(I396="Sí",J396="Sí"),"Sí","No"))</f>
        <v/>
      </c>
    </row>
    <row r="397" customFormat="false" ht="15" hidden="false" customHeight="false" outlineLevel="0" collapsed="false">
      <c r="A397" s="22"/>
      <c r="B397" s="22"/>
      <c r="C397" s="23" t="str">
        <f aca="false">IF(A397="","",IFERROR(buscarx(A397&amp;B397,DATA!$E$3:$E$10000&amp;DATA!$B$3:$B$10000,DATA!$M$3:$M$10000),"No encontrado"))</f>
        <v/>
      </c>
      <c r="D397" s="24" t="str">
        <f aca="false">IF(A397="","",IFERROR(buscarx(A397&amp;B397,DATA!$E$3:$E$10000&amp;DATA!$B$3:$B$10000,DATA!$W$3:$W$10000),"No encontrado"))</f>
        <v/>
      </c>
      <c r="E397" s="22"/>
      <c r="F397" s="23" t="str">
        <f aca="false">IF(A397="","",IFERROR(buscarx(A397&amp;E397,DATA!$E$3:$E$10000&amp;DATA!$B$3:$B$10000,DATA!$M$3:$M$10000),"Inactivo"))</f>
        <v/>
      </c>
      <c r="G397" s="25" t="str">
        <f aca="false">IF(A397="","",IF(AND(C397&lt;&gt;"No encontrado",F397&lt;&gt;"Inactivo"),C397&amp;" → "&amp;F397,"Sin transición"))</f>
        <v/>
      </c>
      <c r="H397" s="23" t="str">
        <f aca="false">IF(A397="","",IF(D397="GCIA LINEA SERVICIO DIGITALIDAD Y VENTAS","Chats",IF(OR(D397="GERENCIA INBOUND LÍNEAS SERVICIO Y VENTA",D397="GERENCIA INBOUND LINEAS ESPECIALIZADAS"),"Llamadas","Otro")))</f>
        <v/>
      </c>
      <c r="I397" s="23" t="str">
        <f aca="false">IF(A397="","",IF(C397="No encontrado","No","Sí"))</f>
        <v/>
      </c>
      <c r="J397" s="23" t="str">
        <f aca="false">IF(A397="","",IF(F397="Inactivo","No","Sí"))</f>
        <v/>
      </c>
      <c r="K397" s="23" t="str">
        <f aca="false">IF(A397="","",IF(AND(I397="Sí",J397="Sí"),"Sí","No"))</f>
        <v/>
      </c>
    </row>
    <row r="398" customFormat="false" ht="15" hidden="false" customHeight="false" outlineLevel="0" collapsed="false">
      <c r="A398" s="22"/>
      <c r="B398" s="22"/>
      <c r="C398" s="26" t="str">
        <f aca="false">IF(A398="","",IFERROR(buscarx(A398&amp;B398,DATA!$E$3:$E$10000&amp;DATA!$B$3:$B$10000,DATA!$M$3:$M$10000),"No encontrado"))</f>
        <v/>
      </c>
      <c r="D398" s="27" t="str">
        <f aca="false">IF(A398="","",IFERROR(buscarx(A398&amp;B398,DATA!$E$3:$E$10000&amp;DATA!$B$3:$B$10000,DATA!$W$3:$W$10000),"No encontrado"))</f>
        <v/>
      </c>
      <c r="E398" s="22"/>
      <c r="F398" s="26" t="str">
        <f aca="false">IF(A398="","",IFERROR(buscarx(A398&amp;E398,DATA!$E$3:$E$10000&amp;DATA!$B$3:$B$10000,DATA!$M$3:$M$10000),"Inactivo"))</f>
        <v/>
      </c>
      <c r="G398" s="28" t="str">
        <f aca="false">IF(A398="","",IF(AND(C398&lt;&gt;"No encontrado",F398&lt;&gt;"Inactivo"),C398&amp;" → "&amp;F398,"Sin transición"))</f>
        <v/>
      </c>
      <c r="H398" s="26" t="str">
        <f aca="false">IF(A398="","",IF(D398="GCIA LINEA SERVICIO DIGITALIDAD Y VENTAS","Chats",IF(OR(D398="GERENCIA INBOUND LÍNEAS SERVICIO Y VENTA",D398="GERENCIA INBOUND LINEAS ESPECIALIZADAS"),"Llamadas","Otro")))</f>
        <v/>
      </c>
      <c r="I398" s="26" t="str">
        <f aca="false">IF(A398="","",IF(C398="No encontrado","No","Sí"))</f>
        <v/>
      </c>
      <c r="J398" s="26" t="str">
        <f aca="false">IF(A398="","",IF(F398="Inactivo","No","Sí"))</f>
        <v/>
      </c>
      <c r="K398" s="26" t="str">
        <f aca="false">IF(A398="","",IF(AND(I398="Sí",J398="Sí"),"Sí","No"))</f>
        <v/>
      </c>
    </row>
    <row r="399" customFormat="false" ht="15" hidden="false" customHeight="false" outlineLevel="0" collapsed="false">
      <c r="A399" s="22"/>
      <c r="B399" s="22"/>
      <c r="C399" s="23" t="str">
        <f aca="false">IF(A399="","",IFERROR(buscarx(A399&amp;B399,DATA!$E$3:$E$10000&amp;DATA!$B$3:$B$10000,DATA!$M$3:$M$10000),"No encontrado"))</f>
        <v/>
      </c>
      <c r="D399" s="24" t="str">
        <f aca="false">IF(A399="","",IFERROR(buscarx(A399&amp;B399,DATA!$E$3:$E$10000&amp;DATA!$B$3:$B$10000,DATA!$W$3:$W$10000),"No encontrado"))</f>
        <v/>
      </c>
      <c r="E399" s="22"/>
      <c r="F399" s="23" t="str">
        <f aca="false">IF(A399="","",IFERROR(buscarx(A399&amp;E399,DATA!$E$3:$E$10000&amp;DATA!$B$3:$B$10000,DATA!$M$3:$M$10000),"Inactivo"))</f>
        <v/>
      </c>
      <c r="G399" s="25" t="str">
        <f aca="false">IF(A399="","",IF(AND(C399&lt;&gt;"No encontrado",F399&lt;&gt;"Inactivo"),C399&amp;" → "&amp;F399,"Sin transición"))</f>
        <v/>
      </c>
      <c r="H399" s="23" t="str">
        <f aca="false">IF(A399="","",IF(D399="GCIA LINEA SERVICIO DIGITALIDAD Y VENTAS","Chats",IF(OR(D399="GERENCIA INBOUND LÍNEAS SERVICIO Y VENTA",D399="GERENCIA INBOUND LINEAS ESPECIALIZADAS"),"Llamadas","Otro")))</f>
        <v/>
      </c>
      <c r="I399" s="23" t="str">
        <f aca="false">IF(A399="","",IF(C399="No encontrado","No","Sí"))</f>
        <v/>
      </c>
      <c r="J399" s="23" t="str">
        <f aca="false">IF(A399="","",IF(F399="Inactivo","No","Sí"))</f>
        <v/>
      </c>
      <c r="K399" s="23" t="str">
        <f aca="false">IF(A399="","",IF(AND(I399="Sí",J399="Sí"),"Sí","No"))</f>
        <v/>
      </c>
    </row>
    <row r="400" customFormat="false" ht="15" hidden="false" customHeight="false" outlineLevel="0" collapsed="false">
      <c r="A400" s="22"/>
      <c r="B400" s="22"/>
      <c r="C400" s="26" t="str">
        <f aca="false">IF(A400="","",IFERROR(buscarx(A400&amp;B400,DATA!$E$3:$E$10000&amp;DATA!$B$3:$B$10000,DATA!$M$3:$M$10000),"No encontrado"))</f>
        <v/>
      </c>
      <c r="D400" s="27" t="str">
        <f aca="false">IF(A400="","",IFERROR(buscarx(A400&amp;B400,DATA!$E$3:$E$10000&amp;DATA!$B$3:$B$10000,DATA!$W$3:$W$10000),"No encontrado"))</f>
        <v/>
      </c>
      <c r="E400" s="22"/>
      <c r="F400" s="26" t="str">
        <f aca="false">IF(A400="","",IFERROR(buscarx(A400&amp;E400,DATA!$E$3:$E$10000&amp;DATA!$B$3:$B$10000,DATA!$M$3:$M$10000),"Inactivo"))</f>
        <v/>
      </c>
      <c r="G400" s="28" t="str">
        <f aca="false">IF(A400="","",IF(AND(C400&lt;&gt;"No encontrado",F400&lt;&gt;"Inactivo"),C400&amp;" → "&amp;F400,"Sin transición"))</f>
        <v/>
      </c>
      <c r="H400" s="26" t="str">
        <f aca="false">IF(A400="","",IF(D400="GCIA LINEA SERVICIO DIGITALIDAD Y VENTAS","Chats",IF(OR(D400="GERENCIA INBOUND LÍNEAS SERVICIO Y VENTA",D400="GERENCIA INBOUND LINEAS ESPECIALIZADAS"),"Llamadas","Otro")))</f>
        <v/>
      </c>
      <c r="I400" s="26" t="str">
        <f aca="false">IF(A400="","",IF(C400="No encontrado","No","Sí"))</f>
        <v/>
      </c>
      <c r="J400" s="26" t="str">
        <f aca="false">IF(A400="","",IF(F400="Inactivo","No","Sí"))</f>
        <v/>
      </c>
      <c r="K400" s="26" t="str">
        <f aca="false">IF(A400="","",IF(AND(I400="Sí",J400="Sí"),"Sí","No"))</f>
        <v/>
      </c>
    </row>
    <row r="401" customFormat="false" ht="15" hidden="false" customHeight="false" outlineLevel="0" collapsed="false">
      <c r="A401" s="22"/>
      <c r="B401" s="22"/>
      <c r="C401" s="23" t="str">
        <f aca="false">IF(A401="","",IFERROR(buscarx(A401&amp;B401,DATA!$E$3:$E$10000&amp;DATA!$B$3:$B$10000,DATA!$M$3:$M$10000),"No encontrado"))</f>
        <v/>
      </c>
      <c r="D401" s="24" t="str">
        <f aca="false">IF(A401="","",IFERROR(buscarx(A401&amp;B401,DATA!$E$3:$E$10000&amp;DATA!$B$3:$B$10000,DATA!$W$3:$W$10000),"No encontrado"))</f>
        <v/>
      </c>
      <c r="E401" s="22"/>
      <c r="F401" s="23" t="str">
        <f aca="false">IF(A401="","",IFERROR(buscarx(A401&amp;E401,DATA!$E$3:$E$10000&amp;DATA!$B$3:$B$10000,DATA!$M$3:$M$10000),"Inactivo"))</f>
        <v/>
      </c>
      <c r="G401" s="25" t="str">
        <f aca="false">IF(A401="","",IF(AND(C401&lt;&gt;"No encontrado",F401&lt;&gt;"Inactivo"),C401&amp;" → "&amp;F401,"Sin transición"))</f>
        <v/>
      </c>
      <c r="H401" s="23" t="str">
        <f aca="false">IF(A401="","",IF(D401="GCIA LINEA SERVICIO DIGITALIDAD Y VENTAS","Chats",IF(OR(D401="GERENCIA INBOUND LÍNEAS SERVICIO Y VENTA",D401="GERENCIA INBOUND LINEAS ESPECIALIZADAS"),"Llamadas","Otro")))</f>
        <v/>
      </c>
      <c r="I401" s="23" t="str">
        <f aca="false">IF(A401="","",IF(C401="No encontrado","No","Sí"))</f>
        <v/>
      </c>
      <c r="J401" s="23" t="str">
        <f aca="false">IF(A401="","",IF(F401="Inactivo","No","Sí"))</f>
        <v/>
      </c>
      <c r="K401" s="23" t="str">
        <f aca="false">IF(A401="","",IF(AND(I401="Sí",J401="Sí"),"Sí","No"))</f>
        <v/>
      </c>
    </row>
    <row r="402" customFormat="false" ht="15" hidden="false" customHeight="false" outlineLevel="0" collapsed="false">
      <c r="A402" s="22"/>
      <c r="B402" s="22"/>
      <c r="C402" s="26" t="str">
        <f aca="false">IF(A402="","",IFERROR(buscarx(A402&amp;B402,DATA!$E$3:$E$10000&amp;DATA!$B$3:$B$10000,DATA!$M$3:$M$10000),"No encontrado"))</f>
        <v/>
      </c>
      <c r="D402" s="27" t="str">
        <f aca="false">IF(A402="","",IFERROR(buscarx(A402&amp;B402,DATA!$E$3:$E$10000&amp;DATA!$B$3:$B$10000,DATA!$W$3:$W$10000),"No encontrado"))</f>
        <v/>
      </c>
      <c r="E402" s="22"/>
      <c r="F402" s="26" t="str">
        <f aca="false">IF(A402="","",IFERROR(buscarx(A402&amp;E402,DATA!$E$3:$E$10000&amp;DATA!$B$3:$B$10000,DATA!$M$3:$M$10000),"Inactivo"))</f>
        <v/>
      </c>
      <c r="G402" s="28" t="str">
        <f aca="false">IF(A402="","",IF(AND(C402&lt;&gt;"No encontrado",F402&lt;&gt;"Inactivo"),C402&amp;" → "&amp;F402,"Sin transición"))</f>
        <v/>
      </c>
      <c r="H402" s="26" t="str">
        <f aca="false">IF(A402="","",IF(D402="GCIA LINEA SERVICIO DIGITALIDAD Y VENTAS","Chats",IF(OR(D402="GERENCIA INBOUND LÍNEAS SERVICIO Y VENTA",D402="GERENCIA INBOUND LINEAS ESPECIALIZADAS"),"Llamadas","Otro")))</f>
        <v/>
      </c>
      <c r="I402" s="26" t="str">
        <f aca="false">IF(A402="","",IF(C402="No encontrado","No","Sí"))</f>
        <v/>
      </c>
      <c r="J402" s="26" t="str">
        <f aca="false">IF(A402="","",IF(F402="Inactivo","No","Sí"))</f>
        <v/>
      </c>
      <c r="K402" s="26" t="str">
        <f aca="false">IF(A402="","",IF(AND(I402="Sí",J402="Sí"),"Sí","No"))</f>
        <v/>
      </c>
    </row>
    <row r="403" customFormat="false" ht="15" hidden="false" customHeight="false" outlineLevel="0" collapsed="false">
      <c r="A403" s="22"/>
      <c r="B403" s="22"/>
      <c r="C403" s="23" t="str">
        <f aca="false">IF(A403="","",IFERROR(buscarx(A403&amp;B403,DATA!$E$3:$E$10000&amp;DATA!$B$3:$B$10000,DATA!$M$3:$M$10000),"No encontrado"))</f>
        <v/>
      </c>
      <c r="D403" s="24" t="str">
        <f aca="false">IF(A403="","",IFERROR(buscarx(A403&amp;B403,DATA!$E$3:$E$10000&amp;DATA!$B$3:$B$10000,DATA!$W$3:$W$10000),"No encontrado"))</f>
        <v/>
      </c>
      <c r="E403" s="22"/>
      <c r="F403" s="23" t="str">
        <f aca="false">IF(A403="","",IFERROR(buscarx(A403&amp;E403,DATA!$E$3:$E$10000&amp;DATA!$B$3:$B$10000,DATA!$M$3:$M$10000),"Inactivo"))</f>
        <v/>
      </c>
      <c r="G403" s="25" t="str">
        <f aca="false">IF(A403="","",IF(AND(C403&lt;&gt;"No encontrado",F403&lt;&gt;"Inactivo"),C403&amp;" → "&amp;F403,"Sin transición"))</f>
        <v/>
      </c>
      <c r="H403" s="23" t="str">
        <f aca="false">IF(A403="","",IF(D403="GCIA LINEA SERVICIO DIGITALIDAD Y VENTAS","Chats",IF(OR(D403="GERENCIA INBOUND LÍNEAS SERVICIO Y VENTA",D403="GERENCIA INBOUND LINEAS ESPECIALIZADAS"),"Llamadas","Otro")))</f>
        <v/>
      </c>
      <c r="I403" s="23" t="str">
        <f aca="false">IF(A403="","",IF(C403="No encontrado","No","Sí"))</f>
        <v/>
      </c>
      <c r="J403" s="23" t="str">
        <f aca="false">IF(A403="","",IF(F403="Inactivo","No","Sí"))</f>
        <v/>
      </c>
      <c r="K403" s="23" t="str">
        <f aca="false">IF(A403="","",IF(AND(I403="Sí",J403="Sí"),"Sí","No"))</f>
        <v/>
      </c>
    </row>
    <row r="404" customFormat="false" ht="15" hidden="false" customHeight="false" outlineLevel="0" collapsed="false">
      <c r="A404" s="22"/>
      <c r="B404" s="22"/>
      <c r="C404" s="26" t="str">
        <f aca="false">IF(A404="","",IFERROR(buscarx(A404&amp;B404,DATA!$E$3:$E$10000&amp;DATA!$B$3:$B$10000,DATA!$M$3:$M$10000),"No encontrado"))</f>
        <v/>
      </c>
      <c r="D404" s="27" t="str">
        <f aca="false">IF(A404="","",IFERROR(buscarx(A404&amp;B404,DATA!$E$3:$E$10000&amp;DATA!$B$3:$B$10000,DATA!$W$3:$W$10000),"No encontrado"))</f>
        <v/>
      </c>
      <c r="E404" s="22"/>
      <c r="F404" s="26" t="str">
        <f aca="false">IF(A404="","",IFERROR(buscarx(A404&amp;E404,DATA!$E$3:$E$10000&amp;DATA!$B$3:$B$10000,DATA!$M$3:$M$10000),"Inactivo"))</f>
        <v/>
      </c>
      <c r="G404" s="28" t="str">
        <f aca="false">IF(A404="","",IF(AND(C404&lt;&gt;"No encontrado",F404&lt;&gt;"Inactivo"),C404&amp;" → "&amp;F404,"Sin transición"))</f>
        <v/>
      </c>
      <c r="H404" s="26" t="str">
        <f aca="false">IF(A404="","",IF(D404="GCIA LINEA SERVICIO DIGITALIDAD Y VENTAS","Chats",IF(OR(D404="GERENCIA INBOUND LÍNEAS SERVICIO Y VENTA",D404="GERENCIA INBOUND LINEAS ESPECIALIZADAS"),"Llamadas","Otro")))</f>
        <v/>
      </c>
      <c r="I404" s="26" t="str">
        <f aca="false">IF(A404="","",IF(C404="No encontrado","No","Sí"))</f>
        <v/>
      </c>
      <c r="J404" s="26" t="str">
        <f aca="false">IF(A404="","",IF(F404="Inactivo","No","Sí"))</f>
        <v/>
      </c>
      <c r="K404" s="26" t="str">
        <f aca="false">IF(A404="","",IF(AND(I404="Sí",J404="Sí"),"Sí","No"))</f>
        <v/>
      </c>
    </row>
    <row r="405" customFormat="false" ht="15" hidden="false" customHeight="false" outlineLevel="0" collapsed="false">
      <c r="A405" s="22"/>
      <c r="B405" s="22"/>
      <c r="C405" s="23" t="str">
        <f aca="false">IF(A405="","",IFERROR(buscarx(A405&amp;B405,DATA!$E$3:$E$10000&amp;DATA!$B$3:$B$10000,DATA!$M$3:$M$10000),"No encontrado"))</f>
        <v/>
      </c>
      <c r="D405" s="24" t="str">
        <f aca="false">IF(A405="","",IFERROR(buscarx(A405&amp;B405,DATA!$E$3:$E$10000&amp;DATA!$B$3:$B$10000,DATA!$W$3:$W$10000),"No encontrado"))</f>
        <v/>
      </c>
      <c r="E405" s="22"/>
      <c r="F405" s="23" t="str">
        <f aca="false">IF(A405="","",IFERROR(buscarx(A405&amp;E405,DATA!$E$3:$E$10000&amp;DATA!$B$3:$B$10000,DATA!$M$3:$M$10000),"Inactivo"))</f>
        <v/>
      </c>
      <c r="G405" s="25" t="str">
        <f aca="false">IF(A405="","",IF(AND(C405&lt;&gt;"No encontrado",F405&lt;&gt;"Inactivo"),C405&amp;" → "&amp;F405,"Sin transición"))</f>
        <v/>
      </c>
      <c r="H405" s="23" t="str">
        <f aca="false">IF(A405="","",IF(D405="GCIA LINEA SERVICIO DIGITALIDAD Y VENTAS","Chats",IF(OR(D405="GERENCIA INBOUND LÍNEAS SERVICIO Y VENTA",D405="GERENCIA INBOUND LINEAS ESPECIALIZADAS"),"Llamadas","Otro")))</f>
        <v/>
      </c>
      <c r="I405" s="23" t="str">
        <f aca="false">IF(A405="","",IF(C405="No encontrado","No","Sí"))</f>
        <v/>
      </c>
      <c r="J405" s="23" t="str">
        <f aca="false">IF(A405="","",IF(F405="Inactivo","No","Sí"))</f>
        <v/>
      </c>
      <c r="K405" s="23" t="str">
        <f aca="false">IF(A405="","",IF(AND(I405="Sí",J405="Sí"),"Sí","No"))</f>
        <v/>
      </c>
    </row>
    <row r="406" customFormat="false" ht="15" hidden="false" customHeight="false" outlineLevel="0" collapsed="false">
      <c r="A406" s="22"/>
      <c r="B406" s="22"/>
      <c r="C406" s="26" t="str">
        <f aca="false">IF(A406="","",IFERROR(buscarx(A406&amp;B406,DATA!$E$3:$E$10000&amp;DATA!$B$3:$B$10000,DATA!$M$3:$M$10000),"No encontrado"))</f>
        <v/>
      </c>
      <c r="D406" s="27" t="str">
        <f aca="false">IF(A406="","",IFERROR(buscarx(A406&amp;B406,DATA!$E$3:$E$10000&amp;DATA!$B$3:$B$10000,DATA!$W$3:$W$10000),"No encontrado"))</f>
        <v/>
      </c>
      <c r="E406" s="22"/>
      <c r="F406" s="26" t="str">
        <f aca="false">IF(A406="","",IFERROR(buscarx(A406&amp;E406,DATA!$E$3:$E$10000&amp;DATA!$B$3:$B$10000,DATA!$M$3:$M$10000),"Inactivo"))</f>
        <v/>
      </c>
      <c r="G406" s="28" t="str">
        <f aca="false">IF(A406="","",IF(AND(C406&lt;&gt;"No encontrado",F406&lt;&gt;"Inactivo"),C406&amp;" → "&amp;F406,"Sin transición"))</f>
        <v/>
      </c>
      <c r="H406" s="26" t="str">
        <f aca="false">IF(A406="","",IF(D406="GCIA LINEA SERVICIO DIGITALIDAD Y VENTAS","Chats",IF(OR(D406="GERENCIA INBOUND LÍNEAS SERVICIO Y VENTA",D406="GERENCIA INBOUND LINEAS ESPECIALIZADAS"),"Llamadas","Otro")))</f>
        <v/>
      </c>
      <c r="I406" s="26" t="str">
        <f aca="false">IF(A406="","",IF(C406="No encontrado","No","Sí"))</f>
        <v/>
      </c>
      <c r="J406" s="26" t="str">
        <f aca="false">IF(A406="","",IF(F406="Inactivo","No","Sí"))</f>
        <v/>
      </c>
      <c r="K406" s="26" t="str">
        <f aca="false">IF(A406="","",IF(AND(I406="Sí",J406="Sí"),"Sí","No"))</f>
        <v/>
      </c>
    </row>
    <row r="407" customFormat="false" ht="15" hidden="false" customHeight="false" outlineLevel="0" collapsed="false">
      <c r="A407" s="22"/>
      <c r="B407" s="22"/>
      <c r="C407" s="23" t="str">
        <f aca="false">IF(A407="","",IFERROR(buscarx(A407&amp;B407,DATA!$E$3:$E$10000&amp;DATA!$B$3:$B$10000,DATA!$M$3:$M$10000),"No encontrado"))</f>
        <v/>
      </c>
      <c r="D407" s="24" t="str">
        <f aca="false">IF(A407="","",IFERROR(buscarx(A407&amp;B407,DATA!$E$3:$E$10000&amp;DATA!$B$3:$B$10000,DATA!$W$3:$W$10000),"No encontrado"))</f>
        <v/>
      </c>
      <c r="E407" s="22"/>
      <c r="F407" s="23" t="str">
        <f aca="false">IF(A407="","",IFERROR(buscarx(A407&amp;E407,DATA!$E$3:$E$10000&amp;DATA!$B$3:$B$10000,DATA!$M$3:$M$10000),"Inactivo"))</f>
        <v/>
      </c>
      <c r="G407" s="25" t="str">
        <f aca="false">IF(A407="","",IF(AND(C407&lt;&gt;"No encontrado",F407&lt;&gt;"Inactivo"),C407&amp;" → "&amp;F407,"Sin transición"))</f>
        <v/>
      </c>
      <c r="H407" s="23" t="str">
        <f aca="false">IF(A407="","",IF(D407="GCIA LINEA SERVICIO DIGITALIDAD Y VENTAS","Chats",IF(OR(D407="GERENCIA INBOUND LÍNEAS SERVICIO Y VENTA",D407="GERENCIA INBOUND LINEAS ESPECIALIZADAS"),"Llamadas","Otro")))</f>
        <v/>
      </c>
      <c r="I407" s="23" t="str">
        <f aca="false">IF(A407="","",IF(C407="No encontrado","No","Sí"))</f>
        <v/>
      </c>
      <c r="J407" s="23" t="str">
        <f aca="false">IF(A407="","",IF(F407="Inactivo","No","Sí"))</f>
        <v/>
      </c>
      <c r="K407" s="23" t="str">
        <f aca="false">IF(A407="","",IF(AND(I407="Sí",J407="Sí"),"Sí","No"))</f>
        <v/>
      </c>
    </row>
    <row r="408" customFormat="false" ht="15" hidden="false" customHeight="false" outlineLevel="0" collapsed="false">
      <c r="A408" s="22"/>
      <c r="B408" s="22"/>
      <c r="C408" s="26" t="str">
        <f aca="false">IF(A408="","",IFERROR(buscarx(A408&amp;B408,DATA!$E$3:$E$10000&amp;DATA!$B$3:$B$10000,DATA!$M$3:$M$10000),"No encontrado"))</f>
        <v/>
      </c>
      <c r="D408" s="27" t="str">
        <f aca="false">IF(A408="","",IFERROR(buscarx(A408&amp;B408,DATA!$E$3:$E$10000&amp;DATA!$B$3:$B$10000,DATA!$W$3:$W$10000),"No encontrado"))</f>
        <v/>
      </c>
      <c r="E408" s="22"/>
      <c r="F408" s="26" t="str">
        <f aca="false">IF(A408="","",IFERROR(buscarx(A408&amp;E408,DATA!$E$3:$E$10000&amp;DATA!$B$3:$B$10000,DATA!$M$3:$M$10000),"Inactivo"))</f>
        <v/>
      </c>
      <c r="G408" s="28" t="str">
        <f aca="false">IF(A408="","",IF(AND(C408&lt;&gt;"No encontrado",F408&lt;&gt;"Inactivo"),C408&amp;" → "&amp;F408,"Sin transición"))</f>
        <v/>
      </c>
      <c r="H408" s="26" t="str">
        <f aca="false">IF(A408="","",IF(D408="GCIA LINEA SERVICIO DIGITALIDAD Y VENTAS","Chats",IF(OR(D408="GERENCIA INBOUND LÍNEAS SERVICIO Y VENTA",D408="GERENCIA INBOUND LINEAS ESPECIALIZADAS"),"Llamadas","Otro")))</f>
        <v/>
      </c>
      <c r="I408" s="26" t="str">
        <f aca="false">IF(A408="","",IF(C408="No encontrado","No","Sí"))</f>
        <v/>
      </c>
      <c r="J408" s="26" t="str">
        <f aca="false">IF(A408="","",IF(F408="Inactivo","No","Sí"))</f>
        <v/>
      </c>
      <c r="K408" s="26" t="str">
        <f aca="false">IF(A408="","",IF(AND(I408="Sí",J408="Sí"),"Sí","No"))</f>
        <v/>
      </c>
    </row>
    <row r="409" customFormat="false" ht="15" hidden="false" customHeight="false" outlineLevel="0" collapsed="false">
      <c r="A409" s="22"/>
      <c r="B409" s="22"/>
      <c r="C409" s="23" t="str">
        <f aca="false">IF(A409="","",IFERROR(buscarx(A409&amp;B409,DATA!$E$3:$E$10000&amp;DATA!$B$3:$B$10000,DATA!$M$3:$M$10000),"No encontrado"))</f>
        <v/>
      </c>
      <c r="D409" s="24" t="str">
        <f aca="false">IF(A409="","",IFERROR(buscarx(A409&amp;B409,DATA!$E$3:$E$10000&amp;DATA!$B$3:$B$10000,DATA!$W$3:$W$10000),"No encontrado"))</f>
        <v/>
      </c>
      <c r="E409" s="22"/>
      <c r="F409" s="23" t="str">
        <f aca="false">IF(A409="","",IFERROR(buscarx(A409&amp;E409,DATA!$E$3:$E$10000&amp;DATA!$B$3:$B$10000,DATA!$M$3:$M$10000),"Inactivo"))</f>
        <v/>
      </c>
      <c r="G409" s="25" t="str">
        <f aca="false">IF(A409="","",IF(AND(C409&lt;&gt;"No encontrado",F409&lt;&gt;"Inactivo"),C409&amp;" → "&amp;F409,"Sin transición"))</f>
        <v/>
      </c>
      <c r="H409" s="23" t="str">
        <f aca="false">IF(A409="","",IF(D409="GCIA LINEA SERVICIO DIGITALIDAD Y VENTAS","Chats",IF(OR(D409="GERENCIA INBOUND LÍNEAS SERVICIO Y VENTA",D409="GERENCIA INBOUND LINEAS ESPECIALIZADAS"),"Llamadas","Otro")))</f>
        <v/>
      </c>
      <c r="I409" s="23" t="str">
        <f aca="false">IF(A409="","",IF(C409="No encontrado","No","Sí"))</f>
        <v/>
      </c>
      <c r="J409" s="23" t="str">
        <f aca="false">IF(A409="","",IF(F409="Inactivo","No","Sí"))</f>
        <v/>
      </c>
      <c r="K409" s="23" t="str">
        <f aca="false">IF(A409="","",IF(AND(I409="Sí",J409="Sí"),"Sí","No"))</f>
        <v/>
      </c>
    </row>
    <row r="410" customFormat="false" ht="15" hidden="false" customHeight="false" outlineLevel="0" collapsed="false">
      <c r="A410" s="22"/>
      <c r="B410" s="22"/>
      <c r="C410" s="26" t="str">
        <f aca="false">IF(A410="","",IFERROR(buscarx(A410&amp;B410,DATA!$E$3:$E$10000&amp;DATA!$B$3:$B$10000,DATA!$M$3:$M$10000),"No encontrado"))</f>
        <v/>
      </c>
      <c r="D410" s="27" t="str">
        <f aca="false">IF(A410="","",IFERROR(buscarx(A410&amp;B410,DATA!$E$3:$E$10000&amp;DATA!$B$3:$B$10000,DATA!$W$3:$W$10000),"No encontrado"))</f>
        <v/>
      </c>
      <c r="E410" s="22"/>
      <c r="F410" s="26" t="str">
        <f aca="false">IF(A410="","",IFERROR(buscarx(A410&amp;E410,DATA!$E$3:$E$10000&amp;DATA!$B$3:$B$10000,DATA!$M$3:$M$10000),"Inactivo"))</f>
        <v/>
      </c>
      <c r="G410" s="28" t="str">
        <f aca="false">IF(A410="","",IF(AND(C410&lt;&gt;"No encontrado",F410&lt;&gt;"Inactivo"),C410&amp;" → "&amp;F410,"Sin transición"))</f>
        <v/>
      </c>
      <c r="H410" s="26" t="str">
        <f aca="false">IF(A410="","",IF(D410="GCIA LINEA SERVICIO DIGITALIDAD Y VENTAS","Chats",IF(OR(D410="GERENCIA INBOUND LÍNEAS SERVICIO Y VENTA",D410="GERENCIA INBOUND LINEAS ESPECIALIZADAS"),"Llamadas","Otro")))</f>
        <v/>
      </c>
      <c r="I410" s="26" t="str">
        <f aca="false">IF(A410="","",IF(C410="No encontrado","No","Sí"))</f>
        <v/>
      </c>
      <c r="J410" s="26" t="str">
        <f aca="false">IF(A410="","",IF(F410="Inactivo","No","Sí"))</f>
        <v/>
      </c>
      <c r="K410" s="26" t="str">
        <f aca="false">IF(A410="","",IF(AND(I410="Sí",J410="Sí"),"Sí","No"))</f>
        <v/>
      </c>
    </row>
    <row r="411" customFormat="false" ht="15" hidden="false" customHeight="false" outlineLevel="0" collapsed="false">
      <c r="A411" s="22"/>
      <c r="B411" s="22"/>
      <c r="C411" s="23" t="str">
        <f aca="false">IF(A411="","",IFERROR(buscarx(A411&amp;B411,DATA!$E$3:$E$10000&amp;DATA!$B$3:$B$10000,DATA!$M$3:$M$10000),"No encontrado"))</f>
        <v/>
      </c>
      <c r="D411" s="24" t="str">
        <f aca="false">IF(A411="","",IFERROR(buscarx(A411&amp;B411,DATA!$E$3:$E$10000&amp;DATA!$B$3:$B$10000,DATA!$W$3:$W$10000),"No encontrado"))</f>
        <v/>
      </c>
      <c r="E411" s="22"/>
      <c r="F411" s="23" t="str">
        <f aca="false">IF(A411="","",IFERROR(buscarx(A411&amp;E411,DATA!$E$3:$E$10000&amp;DATA!$B$3:$B$10000,DATA!$M$3:$M$10000),"Inactivo"))</f>
        <v/>
      </c>
      <c r="G411" s="25" t="str">
        <f aca="false">IF(A411="","",IF(AND(C411&lt;&gt;"No encontrado",F411&lt;&gt;"Inactivo"),C411&amp;" → "&amp;F411,"Sin transición"))</f>
        <v/>
      </c>
      <c r="H411" s="23" t="str">
        <f aca="false">IF(A411="","",IF(D411="GCIA LINEA SERVICIO DIGITALIDAD Y VENTAS","Chats",IF(OR(D411="GERENCIA INBOUND LÍNEAS SERVICIO Y VENTA",D411="GERENCIA INBOUND LINEAS ESPECIALIZADAS"),"Llamadas","Otro")))</f>
        <v/>
      </c>
      <c r="I411" s="23" t="str">
        <f aca="false">IF(A411="","",IF(C411="No encontrado","No","Sí"))</f>
        <v/>
      </c>
      <c r="J411" s="23" t="str">
        <f aca="false">IF(A411="","",IF(F411="Inactivo","No","Sí"))</f>
        <v/>
      </c>
      <c r="K411" s="23" t="str">
        <f aca="false">IF(A411="","",IF(AND(I411="Sí",J411="Sí"),"Sí","No"))</f>
        <v/>
      </c>
    </row>
    <row r="412" customFormat="false" ht="15" hidden="false" customHeight="false" outlineLevel="0" collapsed="false">
      <c r="A412" s="22"/>
      <c r="B412" s="22"/>
      <c r="C412" s="26" t="str">
        <f aca="false">IF(A412="","",IFERROR(buscarx(A412&amp;B412,DATA!$E$3:$E$10000&amp;DATA!$B$3:$B$10000,DATA!$M$3:$M$10000),"No encontrado"))</f>
        <v/>
      </c>
      <c r="D412" s="27" t="str">
        <f aca="false">IF(A412="","",IFERROR(buscarx(A412&amp;B412,DATA!$E$3:$E$10000&amp;DATA!$B$3:$B$10000,DATA!$W$3:$W$10000),"No encontrado"))</f>
        <v/>
      </c>
      <c r="E412" s="22"/>
      <c r="F412" s="26" t="str">
        <f aca="false">IF(A412="","",IFERROR(buscarx(A412&amp;E412,DATA!$E$3:$E$10000&amp;DATA!$B$3:$B$10000,DATA!$M$3:$M$10000),"Inactivo"))</f>
        <v/>
      </c>
      <c r="G412" s="28" t="str">
        <f aca="false">IF(A412="","",IF(AND(C412&lt;&gt;"No encontrado",F412&lt;&gt;"Inactivo"),C412&amp;" → "&amp;F412,"Sin transición"))</f>
        <v/>
      </c>
      <c r="H412" s="26" t="str">
        <f aca="false">IF(A412="","",IF(D412="GCIA LINEA SERVICIO DIGITALIDAD Y VENTAS","Chats",IF(OR(D412="GERENCIA INBOUND LÍNEAS SERVICIO Y VENTA",D412="GERENCIA INBOUND LINEAS ESPECIALIZADAS"),"Llamadas","Otro")))</f>
        <v/>
      </c>
      <c r="I412" s="26" t="str">
        <f aca="false">IF(A412="","",IF(C412="No encontrado","No","Sí"))</f>
        <v/>
      </c>
      <c r="J412" s="26" t="str">
        <f aca="false">IF(A412="","",IF(F412="Inactivo","No","Sí"))</f>
        <v/>
      </c>
      <c r="K412" s="26" t="str">
        <f aca="false">IF(A412="","",IF(AND(I412="Sí",J412="Sí"),"Sí","No"))</f>
        <v/>
      </c>
    </row>
    <row r="413" customFormat="false" ht="15" hidden="false" customHeight="false" outlineLevel="0" collapsed="false">
      <c r="A413" s="22"/>
      <c r="B413" s="22"/>
      <c r="C413" s="23" t="str">
        <f aca="false">IF(A413="","",IFERROR(buscarx(A413&amp;B413,DATA!$E$3:$E$10000&amp;DATA!$B$3:$B$10000,DATA!$M$3:$M$10000),"No encontrado"))</f>
        <v/>
      </c>
      <c r="D413" s="24" t="str">
        <f aca="false">IF(A413="","",IFERROR(buscarx(A413&amp;B413,DATA!$E$3:$E$10000&amp;DATA!$B$3:$B$10000,DATA!$W$3:$W$10000),"No encontrado"))</f>
        <v/>
      </c>
      <c r="E413" s="22"/>
      <c r="F413" s="23" t="str">
        <f aca="false">IF(A413="","",IFERROR(buscarx(A413&amp;E413,DATA!$E$3:$E$10000&amp;DATA!$B$3:$B$10000,DATA!$M$3:$M$10000),"Inactivo"))</f>
        <v/>
      </c>
      <c r="G413" s="25" t="str">
        <f aca="false">IF(A413="","",IF(AND(C413&lt;&gt;"No encontrado",F413&lt;&gt;"Inactivo"),C413&amp;" → "&amp;F413,"Sin transición"))</f>
        <v/>
      </c>
      <c r="H413" s="23" t="str">
        <f aca="false">IF(A413="","",IF(D413="GCIA LINEA SERVICIO DIGITALIDAD Y VENTAS","Chats",IF(OR(D413="GERENCIA INBOUND LÍNEAS SERVICIO Y VENTA",D413="GERENCIA INBOUND LINEAS ESPECIALIZADAS"),"Llamadas","Otro")))</f>
        <v/>
      </c>
      <c r="I413" s="23" t="str">
        <f aca="false">IF(A413="","",IF(C413="No encontrado","No","Sí"))</f>
        <v/>
      </c>
      <c r="J413" s="23" t="str">
        <f aca="false">IF(A413="","",IF(F413="Inactivo","No","Sí"))</f>
        <v/>
      </c>
      <c r="K413" s="23" t="str">
        <f aca="false">IF(A413="","",IF(AND(I413="Sí",J413="Sí"),"Sí","No"))</f>
        <v/>
      </c>
    </row>
    <row r="414" customFormat="false" ht="15" hidden="false" customHeight="false" outlineLevel="0" collapsed="false">
      <c r="A414" s="22"/>
      <c r="B414" s="22"/>
      <c r="C414" s="26" t="str">
        <f aca="false">IF(A414="","",IFERROR(buscarx(A414&amp;B414,DATA!$E$3:$E$10000&amp;DATA!$B$3:$B$10000,DATA!$M$3:$M$10000),"No encontrado"))</f>
        <v/>
      </c>
      <c r="D414" s="27" t="str">
        <f aca="false">IF(A414="","",IFERROR(buscarx(A414&amp;B414,DATA!$E$3:$E$10000&amp;DATA!$B$3:$B$10000,DATA!$W$3:$W$10000),"No encontrado"))</f>
        <v/>
      </c>
      <c r="E414" s="22"/>
      <c r="F414" s="26" t="str">
        <f aca="false">IF(A414="","",IFERROR(buscarx(A414&amp;E414,DATA!$E$3:$E$10000&amp;DATA!$B$3:$B$10000,DATA!$M$3:$M$10000),"Inactivo"))</f>
        <v/>
      </c>
      <c r="G414" s="28" t="str">
        <f aca="false">IF(A414="","",IF(AND(C414&lt;&gt;"No encontrado",F414&lt;&gt;"Inactivo"),C414&amp;" → "&amp;F414,"Sin transición"))</f>
        <v/>
      </c>
      <c r="H414" s="26" t="str">
        <f aca="false">IF(A414="","",IF(D414="GCIA LINEA SERVICIO DIGITALIDAD Y VENTAS","Chats",IF(OR(D414="GERENCIA INBOUND LÍNEAS SERVICIO Y VENTA",D414="GERENCIA INBOUND LINEAS ESPECIALIZADAS"),"Llamadas","Otro")))</f>
        <v/>
      </c>
      <c r="I414" s="26" t="str">
        <f aca="false">IF(A414="","",IF(C414="No encontrado","No","Sí"))</f>
        <v/>
      </c>
      <c r="J414" s="26" t="str">
        <f aca="false">IF(A414="","",IF(F414="Inactivo","No","Sí"))</f>
        <v/>
      </c>
      <c r="K414" s="26" t="str">
        <f aca="false">IF(A414="","",IF(AND(I414="Sí",J414="Sí"),"Sí","No"))</f>
        <v/>
      </c>
    </row>
    <row r="415" customFormat="false" ht="15" hidden="false" customHeight="false" outlineLevel="0" collapsed="false">
      <c r="A415" s="22"/>
      <c r="B415" s="22"/>
      <c r="C415" s="23" t="str">
        <f aca="false">IF(A415="","",IFERROR(buscarx(A415&amp;B415,DATA!$E$3:$E$10000&amp;DATA!$B$3:$B$10000,DATA!$M$3:$M$10000),"No encontrado"))</f>
        <v/>
      </c>
      <c r="D415" s="24" t="str">
        <f aca="false">IF(A415="","",IFERROR(buscarx(A415&amp;B415,DATA!$E$3:$E$10000&amp;DATA!$B$3:$B$10000,DATA!$W$3:$W$10000),"No encontrado"))</f>
        <v/>
      </c>
      <c r="E415" s="22"/>
      <c r="F415" s="23" t="str">
        <f aca="false">IF(A415="","",IFERROR(buscarx(A415&amp;E415,DATA!$E$3:$E$10000&amp;DATA!$B$3:$B$10000,DATA!$M$3:$M$10000),"Inactivo"))</f>
        <v/>
      </c>
      <c r="G415" s="25" t="str">
        <f aca="false">IF(A415="","",IF(AND(C415&lt;&gt;"No encontrado",F415&lt;&gt;"Inactivo"),C415&amp;" → "&amp;F415,"Sin transición"))</f>
        <v/>
      </c>
      <c r="H415" s="23" t="str">
        <f aca="false">IF(A415="","",IF(D415="GCIA LINEA SERVICIO DIGITALIDAD Y VENTAS","Chats",IF(OR(D415="GERENCIA INBOUND LÍNEAS SERVICIO Y VENTA",D415="GERENCIA INBOUND LINEAS ESPECIALIZADAS"),"Llamadas","Otro")))</f>
        <v/>
      </c>
      <c r="I415" s="23" t="str">
        <f aca="false">IF(A415="","",IF(C415="No encontrado","No","Sí"))</f>
        <v/>
      </c>
      <c r="J415" s="23" t="str">
        <f aca="false">IF(A415="","",IF(F415="Inactivo","No","Sí"))</f>
        <v/>
      </c>
      <c r="K415" s="23" t="str">
        <f aca="false">IF(A415="","",IF(AND(I415="Sí",J415="Sí"),"Sí","No"))</f>
        <v/>
      </c>
    </row>
    <row r="416" customFormat="false" ht="15" hidden="false" customHeight="false" outlineLevel="0" collapsed="false">
      <c r="A416" s="22"/>
      <c r="B416" s="22"/>
      <c r="C416" s="26" t="str">
        <f aca="false">IF(A416="","",IFERROR(buscarx(A416&amp;B416,DATA!$E$3:$E$10000&amp;DATA!$B$3:$B$10000,DATA!$M$3:$M$10000),"No encontrado"))</f>
        <v/>
      </c>
      <c r="D416" s="27" t="str">
        <f aca="false">IF(A416="","",IFERROR(buscarx(A416&amp;B416,DATA!$E$3:$E$10000&amp;DATA!$B$3:$B$10000,DATA!$W$3:$W$10000),"No encontrado"))</f>
        <v/>
      </c>
      <c r="E416" s="22"/>
      <c r="F416" s="26" t="str">
        <f aca="false">IF(A416="","",IFERROR(buscarx(A416&amp;E416,DATA!$E$3:$E$10000&amp;DATA!$B$3:$B$10000,DATA!$M$3:$M$10000),"Inactivo"))</f>
        <v/>
      </c>
      <c r="G416" s="28" t="str">
        <f aca="false">IF(A416="","",IF(AND(C416&lt;&gt;"No encontrado",F416&lt;&gt;"Inactivo"),C416&amp;" → "&amp;F416,"Sin transición"))</f>
        <v/>
      </c>
      <c r="H416" s="26" t="str">
        <f aca="false">IF(A416="","",IF(D416="GCIA LINEA SERVICIO DIGITALIDAD Y VENTAS","Chats",IF(OR(D416="GERENCIA INBOUND LÍNEAS SERVICIO Y VENTA",D416="GERENCIA INBOUND LINEAS ESPECIALIZADAS"),"Llamadas","Otro")))</f>
        <v/>
      </c>
      <c r="I416" s="26" t="str">
        <f aca="false">IF(A416="","",IF(C416="No encontrado","No","Sí"))</f>
        <v/>
      </c>
      <c r="J416" s="26" t="str">
        <f aca="false">IF(A416="","",IF(F416="Inactivo","No","Sí"))</f>
        <v/>
      </c>
      <c r="K416" s="26" t="str">
        <f aca="false">IF(A416="","",IF(AND(I416="Sí",J416="Sí"),"Sí","No"))</f>
        <v/>
      </c>
    </row>
    <row r="417" customFormat="false" ht="15" hidden="false" customHeight="false" outlineLevel="0" collapsed="false">
      <c r="A417" s="22"/>
      <c r="B417" s="22"/>
      <c r="C417" s="23" t="str">
        <f aca="false">IF(A417="","",IFERROR(buscarx(A417&amp;B417,DATA!$E$3:$E$10000&amp;DATA!$B$3:$B$10000,DATA!$M$3:$M$10000),"No encontrado"))</f>
        <v/>
      </c>
      <c r="D417" s="24" t="str">
        <f aca="false">IF(A417="","",IFERROR(buscarx(A417&amp;B417,DATA!$E$3:$E$10000&amp;DATA!$B$3:$B$10000,DATA!$W$3:$W$10000),"No encontrado"))</f>
        <v/>
      </c>
      <c r="E417" s="22"/>
      <c r="F417" s="23" t="str">
        <f aca="false">IF(A417="","",IFERROR(buscarx(A417&amp;E417,DATA!$E$3:$E$10000&amp;DATA!$B$3:$B$10000,DATA!$M$3:$M$10000),"Inactivo"))</f>
        <v/>
      </c>
      <c r="G417" s="25" t="str">
        <f aca="false">IF(A417="","",IF(AND(C417&lt;&gt;"No encontrado",F417&lt;&gt;"Inactivo"),C417&amp;" → "&amp;F417,"Sin transición"))</f>
        <v/>
      </c>
      <c r="H417" s="23" t="str">
        <f aca="false">IF(A417="","",IF(D417="GCIA LINEA SERVICIO DIGITALIDAD Y VENTAS","Chats",IF(OR(D417="GERENCIA INBOUND LÍNEAS SERVICIO Y VENTA",D417="GERENCIA INBOUND LINEAS ESPECIALIZADAS"),"Llamadas","Otro")))</f>
        <v/>
      </c>
      <c r="I417" s="23" t="str">
        <f aca="false">IF(A417="","",IF(C417="No encontrado","No","Sí"))</f>
        <v/>
      </c>
      <c r="J417" s="23" t="str">
        <f aca="false">IF(A417="","",IF(F417="Inactivo","No","Sí"))</f>
        <v/>
      </c>
      <c r="K417" s="23" t="str">
        <f aca="false">IF(A417="","",IF(AND(I417="Sí",J417="Sí"),"Sí","No"))</f>
        <v/>
      </c>
    </row>
    <row r="418" customFormat="false" ht="15" hidden="false" customHeight="false" outlineLevel="0" collapsed="false">
      <c r="A418" s="22"/>
      <c r="B418" s="22"/>
      <c r="C418" s="26" t="str">
        <f aca="false">IF(A418="","",IFERROR(buscarx(A418&amp;B418,DATA!$E$3:$E$10000&amp;DATA!$B$3:$B$10000,DATA!$M$3:$M$10000),"No encontrado"))</f>
        <v/>
      </c>
      <c r="D418" s="27" t="str">
        <f aca="false">IF(A418="","",IFERROR(buscarx(A418&amp;B418,DATA!$E$3:$E$10000&amp;DATA!$B$3:$B$10000,DATA!$W$3:$W$10000),"No encontrado"))</f>
        <v/>
      </c>
      <c r="E418" s="22"/>
      <c r="F418" s="26" t="str">
        <f aca="false">IF(A418="","",IFERROR(buscarx(A418&amp;E418,DATA!$E$3:$E$10000&amp;DATA!$B$3:$B$10000,DATA!$M$3:$M$10000),"Inactivo"))</f>
        <v/>
      </c>
      <c r="G418" s="28" t="str">
        <f aca="false">IF(A418="","",IF(AND(C418&lt;&gt;"No encontrado",F418&lt;&gt;"Inactivo"),C418&amp;" → "&amp;F418,"Sin transición"))</f>
        <v/>
      </c>
      <c r="H418" s="26" t="str">
        <f aca="false">IF(A418="","",IF(D418="GCIA LINEA SERVICIO DIGITALIDAD Y VENTAS","Chats",IF(OR(D418="GERENCIA INBOUND LÍNEAS SERVICIO Y VENTA",D418="GERENCIA INBOUND LINEAS ESPECIALIZADAS"),"Llamadas","Otro")))</f>
        <v/>
      </c>
      <c r="I418" s="26" t="str">
        <f aca="false">IF(A418="","",IF(C418="No encontrado","No","Sí"))</f>
        <v/>
      </c>
      <c r="J418" s="26" t="str">
        <f aca="false">IF(A418="","",IF(F418="Inactivo","No","Sí"))</f>
        <v/>
      </c>
      <c r="K418" s="26" t="str">
        <f aca="false">IF(A418="","",IF(AND(I418="Sí",J418="Sí"),"Sí","No"))</f>
        <v/>
      </c>
    </row>
    <row r="419" customFormat="false" ht="15" hidden="false" customHeight="false" outlineLevel="0" collapsed="false">
      <c r="A419" s="22"/>
      <c r="B419" s="22"/>
      <c r="C419" s="23" t="str">
        <f aca="false">IF(A419="","",IFERROR(buscarx(A419&amp;B419,DATA!$E$3:$E$10000&amp;DATA!$B$3:$B$10000,DATA!$M$3:$M$10000),"No encontrado"))</f>
        <v/>
      </c>
      <c r="D419" s="24" t="str">
        <f aca="false">IF(A419="","",IFERROR(buscarx(A419&amp;B419,DATA!$E$3:$E$10000&amp;DATA!$B$3:$B$10000,DATA!$W$3:$W$10000),"No encontrado"))</f>
        <v/>
      </c>
      <c r="E419" s="22"/>
      <c r="F419" s="23" t="str">
        <f aca="false">IF(A419="","",IFERROR(buscarx(A419&amp;E419,DATA!$E$3:$E$10000&amp;DATA!$B$3:$B$10000,DATA!$M$3:$M$10000),"Inactivo"))</f>
        <v/>
      </c>
      <c r="G419" s="25" t="str">
        <f aca="false">IF(A419="","",IF(AND(C419&lt;&gt;"No encontrado",F419&lt;&gt;"Inactivo"),C419&amp;" → "&amp;F419,"Sin transición"))</f>
        <v/>
      </c>
      <c r="H419" s="23" t="str">
        <f aca="false">IF(A419="","",IF(D419="GCIA LINEA SERVICIO DIGITALIDAD Y VENTAS","Chats",IF(OR(D419="GERENCIA INBOUND LÍNEAS SERVICIO Y VENTA",D419="GERENCIA INBOUND LINEAS ESPECIALIZADAS"),"Llamadas","Otro")))</f>
        <v/>
      </c>
      <c r="I419" s="23" t="str">
        <f aca="false">IF(A419="","",IF(C419="No encontrado","No","Sí"))</f>
        <v/>
      </c>
      <c r="J419" s="23" t="str">
        <f aca="false">IF(A419="","",IF(F419="Inactivo","No","Sí"))</f>
        <v/>
      </c>
      <c r="K419" s="23" t="str">
        <f aca="false">IF(A419="","",IF(AND(I419="Sí",J419="Sí"),"Sí","No"))</f>
        <v/>
      </c>
    </row>
    <row r="420" customFormat="false" ht="15" hidden="false" customHeight="false" outlineLevel="0" collapsed="false">
      <c r="A420" s="22"/>
      <c r="B420" s="22"/>
      <c r="C420" s="26" t="str">
        <f aca="false">IF(A420="","",IFERROR(buscarx(A420&amp;B420,DATA!$E$3:$E$10000&amp;DATA!$B$3:$B$10000,DATA!$M$3:$M$10000),"No encontrado"))</f>
        <v/>
      </c>
      <c r="D420" s="27" t="str">
        <f aca="false">IF(A420="","",IFERROR(buscarx(A420&amp;B420,DATA!$E$3:$E$10000&amp;DATA!$B$3:$B$10000,DATA!$W$3:$W$10000),"No encontrado"))</f>
        <v/>
      </c>
      <c r="E420" s="22"/>
      <c r="F420" s="26" t="str">
        <f aca="false">IF(A420="","",IFERROR(buscarx(A420&amp;E420,DATA!$E$3:$E$10000&amp;DATA!$B$3:$B$10000,DATA!$M$3:$M$10000),"Inactivo"))</f>
        <v/>
      </c>
      <c r="G420" s="28" t="str">
        <f aca="false">IF(A420="","",IF(AND(C420&lt;&gt;"No encontrado",F420&lt;&gt;"Inactivo"),C420&amp;" → "&amp;F420,"Sin transición"))</f>
        <v/>
      </c>
      <c r="H420" s="26" t="str">
        <f aca="false">IF(A420="","",IF(D420="GCIA LINEA SERVICIO DIGITALIDAD Y VENTAS","Chats",IF(OR(D420="GERENCIA INBOUND LÍNEAS SERVICIO Y VENTA",D420="GERENCIA INBOUND LINEAS ESPECIALIZADAS"),"Llamadas","Otro")))</f>
        <v/>
      </c>
      <c r="I420" s="26" t="str">
        <f aca="false">IF(A420="","",IF(C420="No encontrado","No","Sí"))</f>
        <v/>
      </c>
      <c r="J420" s="26" t="str">
        <f aca="false">IF(A420="","",IF(F420="Inactivo","No","Sí"))</f>
        <v/>
      </c>
      <c r="K420" s="26" t="str">
        <f aca="false">IF(A420="","",IF(AND(I420="Sí",J420="Sí"),"Sí","No"))</f>
        <v/>
      </c>
    </row>
    <row r="421" customFormat="false" ht="15" hidden="false" customHeight="false" outlineLevel="0" collapsed="false">
      <c r="A421" s="22"/>
      <c r="B421" s="22"/>
      <c r="C421" s="23" t="str">
        <f aca="false">IF(A421="","",IFERROR(buscarx(A421&amp;B421,DATA!$E$3:$E$10000&amp;DATA!$B$3:$B$10000,DATA!$M$3:$M$10000),"No encontrado"))</f>
        <v/>
      </c>
      <c r="D421" s="24" t="str">
        <f aca="false">IF(A421="","",IFERROR(buscarx(A421&amp;B421,DATA!$E$3:$E$10000&amp;DATA!$B$3:$B$10000,DATA!$W$3:$W$10000),"No encontrado"))</f>
        <v/>
      </c>
      <c r="E421" s="22"/>
      <c r="F421" s="23" t="str">
        <f aca="false">IF(A421="","",IFERROR(buscarx(A421&amp;E421,DATA!$E$3:$E$10000&amp;DATA!$B$3:$B$10000,DATA!$M$3:$M$10000),"Inactivo"))</f>
        <v/>
      </c>
      <c r="G421" s="25" t="str">
        <f aca="false">IF(A421="","",IF(AND(C421&lt;&gt;"No encontrado",F421&lt;&gt;"Inactivo"),C421&amp;" → "&amp;F421,"Sin transición"))</f>
        <v/>
      </c>
      <c r="H421" s="23" t="str">
        <f aca="false">IF(A421="","",IF(D421="GCIA LINEA SERVICIO DIGITALIDAD Y VENTAS","Chats",IF(OR(D421="GERENCIA INBOUND LÍNEAS SERVICIO Y VENTA",D421="GERENCIA INBOUND LINEAS ESPECIALIZADAS"),"Llamadas","Otro")))</f>
        <v/>
      </c>
      <c r="I421" s="23" t="str">
        <f aca="false">IF(A421="","",IF(C421="No encontrado","No","Sí"))</f>
        <v/>
      </c>
      <c r="J421" s="23" t="str">
        <f aca="false">IF(A421="","",IF(F421="Inactivo","No","Sí"))</f>
        <v/>
      </c>
      <c r="K421" s="23" t="str">
        <f aca="false">IF(A421="","",IF(AND(I421="Sí",J421="Sí"),"Sí","No"))</f>
        <v/>
      </c>
    </row>
    <row r="422" customFormat="false" ht="15" hidden="false" customHeight="false" outlineLevel="0" collapsed="false">
      <c r="A422" s="22"/>
      <c r="B422" s="22"/>
      <c r="C422" s="26" t="str">
        <f aca="false">IF(A422="","",IFERROR(buscarx(A422&amp;B422,DATA!$E$3:$E$10000&amp;DATA!$B$3:$B$10000,DATA!$M$3:$M$10000),"No encontrado"))</f>
        <v/>
      </c>
      <c r="D422" s="27" t="str">
        <f aca="false">IF(A422="","",IFERROR(buscarx(A422&amp;B422,DATA!$E$3:$E$10000&amp;DATA!$B$3:$B$10000,DATA!$W$3:$W$10000),"No encontrado"))</f>
        <v/>
      </c>
      <c r="E422" s="22"/>
      <c r="F422" s="26" t="str">
        <f aca="false">IF(A422="","",IFERROR(buscarx(A422&amp;E422,DATA!$E$3:$E$10000&amp;DATA!$B$3:$B$10000,DATA!$M$3:$M$10000),"Inactivo"))</f>
        <v/>
      </c>
      <c r="G422" s="28" t="str">
        <f aca="false">IF(A422="","",IF(AND(C422&lt;&gt;"No encontrado",F422&lt;&gt;"Inactivo"),C422&amp;" → "&amp;F422,"Sin transición"))</f>
        <v/>
      </c>
      <c r="H422" s="26" t="str">
        <f aca="false">IF(A422="","",IF(D422="GCIA LINEA SERVICIO DIGITALIDAD Y VENTAS","Chats",IF(OR(D422="GERENCIA INBOUND LÍNEAS SERVICIO Y VENTA",D422="GERENCIA INBOUND LINEAS ESPECIALIZADAS"),"Llamadas","Otro")))</f>
        <v/>
      </c>
      <c r="I422" s="26" t="str">
        <f aca="false">IF(A422="","",IF(C422="No encontrado","No","Sí"))</f>
        <v/>
      </c>
      <c r="J422" s="26" t="str">
        <f aca="false">IF(A422="","",IF(F422="Inactivo","No","Sí"))</f>
        <v/>
      </c>
      <c r="K422" s="26" t="str">
        <f aca="false">IF(A422="","",IF(AND(I422="Sí",J422="Sí"),"Sí","No"))</f>
        <v/>
      </c>
    </row>
    <row r="423" customFormat="false" ht="15" hidden="false" customHeight="false" outlineLevel="0" collapsed="false">
      <c r="A423" s="22"/>
      <c r="B423" s="22"/>
      <c r="C423" s="23" t="str">
        <f aca="false">IF(A423="","",IFERROR(buscarx(A423&amp;B423,DATA!$E$3:$E$10000&amp;DATA!$B$3:$B$10000,DATA!$M$3:$M$10000),"No encontrado"))</f>
        <v/>
      </c>
      <c r="D423" s="24" t="str">
        <f aca="false">IF(A423="","",IFERROR(buscarx(A423&amp;B423,DATA!$E$3:$E$10000&amp;DATA!$B$3:$B$10000,DATA!$W$3:$W$10000),"No encontrado"))</f>
        <v/>
      </c>
      <c r="E423" s="22"/>
      <c r="F423" s="23" t="str">
        <f aca="false">IF(A423="","",IFERROR(buscarx(A423&amp;E423,DATA!$E$3:$E$10000&amp;DATA!$B$3:$B$10000,DATA!$M$3:$M$10000),"Inactivo"))</f>
        <v/>
      </c>
      <c r="G423" s="25" t="str">
        <f aca="false">IF(A423="","",IF(AND(C423&lt;&gt;"No encontrado",F423&lt;&gt;"Inactivo"),C423&amp;" → "&amp;F423,"Sin transición"))</f>
        <v/>
      </c>
      <c r="H423" s="23" t="str">
        <f aca="false">IF(A423="","",IF(D423="GCIA LINEA SERVICIO DIGITALIDAD Y VENTAS","Chats",IF(OR(D423="GERENCIA INBOUND LÍNEAS SERVICIO Y VENTA",D423="GERENCIA INBOUND LINEAS ESPECIALIZADAS"),"Llamadas","Otro")))</f>
        <v/>
      </c>
      <c r="I423" s="23" t="str">
        <f aca="false">IF(A423="","",IF(C423="No encontrado","No","Sí"))</f>
        <v/>
      </c>
      <c r="J423" s="23" t="str">
        <f aca="false">IF(A423="","",IF(F423="Inactivo","No","Sí"))</f>
        <v/>
      </c>
      <c r="K423" s="23" t="str">
        <f aca="false">IF(A423="","",IF(AND(I423="Sí",J423="Sí"),"Sí","No"))</f>
        <v/>
      </c>
    </row>
    <row r="424" customFormat="false" ht="15" hidden="false" customHeight="false" outlineLevel="0" collapsed="false">
      <c r="A424" s="22"/>
      <c r="B424" s="22"/>
      <c r="C424" s="26" t="str">
        <f aca="false">IF(A424="","",IFERROR(buscarx(A424&amp;B424,DATA!$E$3:$E$10000&amp;DATA!$B$3:$B$10000,DATA!$M$3:$M$10000),"No encontrado"))</f>
        <v/>
      </c>
      <c r="D424" s="27" t="str">
        <f aca="false">IF(A424="","",IFERROR(buscarx(A424&amp;B424,DATA!$E$3:$E$10000&amp;DATA!$B$3:$B$10000,DATA!$W$3:$W$10000),"No encontrado"))</f>
        <v/>
      </c>
      <c r="E424" s="22"/>
      <c r="F424" s="26" t="str">
        <f aca="false">IF(A424="","",IFERROR(buscarx(A424&amp;E424,DATA!$E$3:$E$10000&amp;DATA!$B$3:$B$10000,DATA!$M$3:$M$10000),"Inactivo"))</f>
        <v/>
      </c>
      <c r="G424" s="28" t="str">
        <f aca="false">IF(A424="","",IF(AND(C424&lt;&gt;"No encontrado",F424&lt;&gt;"Inactivo"),C424&amp;" → "&amp;F424,"Sin transición"))</f>
        <v/>
      </c>
      <c r="H424" s="26" t="str">
        <f aca="false">IF(A424="","",IF(D424="GCIA LINEA SERVICIO DIGITALIDAD Y VENTAS","Chats",IF(OR(D424="GERENCIA INBOUND LÍNEAS SERVICIO Y VENTA",D424="GERENCIA INBOUND LINEAS ESPECIALIZADAS"),"Llamadas","Otro")))</f>
        <v/>
      </c>
      <c r="I424" s="26" t="str">
        <f aca="false">IF(A424="","",IF(C424="No encontrado","No","Sí"))</f>
        <v/>
      </c>
      <c r="J424" s="26" t="str">
        <f aca="false">IF(A424="","",IF(F424="Inactivo","No","Sí"))</f>
        <v/>
      </c>
      <c r="K424" s="26" t="str">
        <f aca="false">IF(A424="","",IF(AND(I424="Sí",J424="Sí"),"Sí","No"))</f>
        <v/>
      </c>
    </row>
    <row r="425" customFormat="false" ht="15" hidden="false" customHeight="false" outlineLevel="0" collapsed="false">
      <c r="A425" s="22"/>
      <c r="B425" s="22"/>
      <c r="C425" s="23" t="str">
        <f aca="false">IF(A425="","",IFERROR(buscarx(A425&amp;B425,DATA!$E$3:$E$10000&amp;DATA!$B$3:$B$10000,DATA!$M$3:$M$10000),"No encontrado"))</f>
        <v/>
      </c>
      <c r="D425" s="24" t="str">
        <f aca="false">IF(A425="","",IFERROR(buscarx(A425&amp;B425,DATA!$E$3:$E$10000&amp;DATA!$B$3:$B$10000,DATA!$W$3:$W$10000),"No encontrado"))</f>
        <v/>
      </c>
      <c r="E425" s="22"/>
      <c r="F425" s="23" t="str">
        <f aca="false">IF(A425="","",IFERROR(buscarx(A425&amp;E425,DATA!$E$3:$E$10000&amp;DATA!$B$3:$B$10000,DATA!$M$3:$M$10000),"Inactivo"))</f>
        <v/>
      </c>
      <c r="G425" s="25" t="str">
        <f aca="false">IF(A425="","",IF(AND(C425&lt;&gt;"No encontrado",F425&lt;&gt;"Inactivo"),C425&amp;" → "&amp;F425,"Sin transición"))</f>
        <v/>
      </c>
      <c r="H425" s="23" t="str">
        <f aca="false">IF(A425="","",IF(D425="GCIA LINEA SERVICIO DIGITALIDAD Y VENTAS","Chats",IF(OR(D425="GERENCIA INBOUND LÍNEAS SERVICIO Y VENTA",D425="GERENCIA INBOUND LINEAS ESPECIALIZADAS"),"Llamadas","Otro")))</f>
        <v/>
      </c>
      <c r="I425" s="23" t="str">
        <f aca="false">IF(A425="","",IF(C425="No encontrado","No","Sí"))</f>
        <v/>
      </c>
      <c r="J425" s="23" t="str">
        <f aca="false">IF(A425="","",IF(F425="Inactivo","No","Sí"))</f>
        <v/>
      </c>
      <c r="K425" s="23" t="str">
        <f aca="false">IF(A425="","",IF(AND(I425="Sí",J425="Sí"),"Sí","No"))</f>
        <v/>
      </c>
    </row>
    <row r="426" customFormat="false" ht="15" hidden="false" customHeight="false" outlineLevel="0" collapsed="false">
      <c r="A426" s="22"/>
      <c r="B426" s="22"/>
      <c r="C426" s="26" t="str">
        <f aca="false">IF(A426="","",IFERROR(buscarx(A426&amp;B426,DATA!$E$3:$E$10000&amp;DATA!$B$3:$B$10000,DATA!$M$3:$M$10000),"No encontrado"))</f>
        <v/>
      </c>
      <c r="D426" s="27" t="str">
        <f aca="false">IF(A426="","",IFERROR(buscarx(A426&amp;B426,DATA!$E$3:$E$10000&amp;DATA!$B$3:$B$10000,DATA!$W$3:$W$10000),"No encontrado"))</f>
        <v/>
      </c>
      <c r="E426" s="22"/>
      <c r="F426" s="26" t="str">
        <f aca="false">IF(A426="","",IFERROR(buscarx(A426&amp;E426,DATA!$E$3:$E$10000&amp;DATA!$B$3:$B$10000,DATA!$M$3:$M$10000),"Inactivo"))</f>
        <v/>
      </c>
      <c r="G426" s="28" t="str">
        <f aca="false">IF(A426="","",IF(AND(C426&lt;&gt;"No encontrado",F426&lt;&gt;"Inactivo"),C426&amp;" → "&amp;F426,"Sin transición"))</f>
        <v/>
      </c>
      <c r="H426" s="26" t="str">
        <f aca="false">IF(A426="","",IF(D426="GCIA LINEA SERVICIO DIGITALIDAD Y VENTAS","Chats",IF(OR(D426="GERENCIA INBOUND LÍNEAS SERVICIO Y VENTA",D426="GERENCIA INBOUND LINEAS ESPECIALIZADAS"),"Llamadas","Otro")))</f>
        <v/>
      </c>
      <c r="I426" s="26" t="str">
        <f aca="false">IF(A426="","",IF(C426="No encontrado","No","Sí"))</f>
        <v/>
      </c>
      <c r="J426" s="26" t="str">
        <f aca="false">IF(A426="","",IF(F426="Inactivo","No","Sí"))</f>
        <v/>
      </c>
      <c r="K426" s="26" t="str">
        <f aca="false">IF(A426="","",IF(AND(I426="Sí",J426="Sí"),"Sí","No"))</f>
        <v/>
      </c>
    </row>
    <row r="427" customFormat="false" ht="15" hidden="false" customHeight="false" outlineLevel="0" collapsed="false">
      <c r="A427" s="22"/>
      <c r="B427" s="22"/>
      <c r="C427" s="23" t="str">
        <f aca="false">IF(A427="","",IFERROR(buscarx(A427&amp;B427,DATA!$E$3:$E$10000&amp;DATA!$B$3:$B$10000,DATA!$M$3:$M$10000),"No encontrado"))</f>
        <v/>
      </c>
      <c r="D427" s="24" t="str">
        <f aca="false">IF(A427="","",IFERROR(buscarx(A427&amp;B427,DATA!$E$3:$E$10000&amp;DATA!$B$3:$B$10000,DATA!$W$3:$W$10000),"No encontrado"))</f>
        <v/>
      </c>
      <c r="E427" s="22"/>
      <c r="F427" s="23" t="str">
        <f aca="false">IF(A427="","",IFERROR(buscarx(A427&amp;E427,DATA!$E$3:$E$10000&amp;DATA!$B$3:$B$10000,DATA!$M$3:$M$10000),"Inactivo"))</f>
        <v/>
      </c>
      <c r="G427" s="25" t="str">
        <f aca="false">IF(A427="","",IF(AND(C427&lt;&gt;"No encontrado",F427&lt;&gt;"Inactivo"),C427&amp;" → "&amp;F427,"Sin transición"))</f>
        <v/>
      </c>
      <c r="H427" s="23" t="str">
        <f aca="false">IF(A427="","",IF(D427="GCIA LINEA SERVICIO DIGITALIDAD Y VENTAS","Chats",IF(OR(D427="GERENCIA INBOUND LÍNEAS SERVICIO Y VENTA",D427="GERENCIA INBOUND LINEAS ESPECIALIZADAS"),"Llamadas","Otro")))</f>
        <v/>
      </c>
      <c r="I427" s="23" t="str">
        <f aca="false">IF(A427="","",IF(C427="No encontrado","No","Sí"))</f>
        <v/>
      </c>
      <c r="J427" s="23" t="str">
        <f aca="false">IF(A427="","",IF(F427="Inactivo","No","Sí"))</f>
        <v/>
      </c>
      <c r="K427" s="23" t="str">
        <f aca="false">IF(A427="","",IF(AND(I427="Sí",J427="Sí"),"Sí","No"))</f>
        <v/>
      </c>
    </row>
    <row r="428" customFormat="false" ht="15" hidden="false" customHeight="false" outlineLevel="0" collapsed="false">
      <c r="A428" s="22"/>
      <c r="B428" s="22"/>
      <c r="C428" s="26" t="str">
        <f aca="false">IF(A428="","",IFERROR(buscarx(A428&amp;B428,DATA!$E$3:$E$10000&amp;DATA!$B$3:$B$10000,DATA!$M$3:$M$10000),"No encontrado"))</f>
        <v/>
      </c>
      <c r="D428" s="27" t="str">
        <f aca="false">IF(A428="","",IFERROR(buscarx(A428&amp;B428,DATA!$E$3:$E$10000&amp;DATA!$B$3:$B$10000,DATA!$W$3:$W$10000),"No encontrado"))</f>
        <v/>
      </c>
      <c r="E428" s="22"/>
      <c r="F428" s="26" t="str">
        <f aca="false">IF(A428="","",IFERROR(buscarx(A428&amp;E428,DATA!$E$3:$E$10000&amp;DATA!$B$3:$B$10000,DATA!$M$3:$M$10000),"Inactivo"))</f>
        <v/>
      </c>
      <c r="G428" s="28" t="str">
        <f aca="false">IF(A428="","",IF(AND(C428&lt;&gt;"No encontrado",F428&lt;&gt;"Inactivo"),C428&amp;" → "&amp;F428,"Sin transición"))</f>
        <v/>
      </c>
      <c r="H428" s="26" t="str">
        <f aca="false">IF(A428="","",IF(D428="GCIA LINEA SERVICIO DIGITALIDAD Y VENTAS","Chats",IF(OR(D428="GERENCIA INBOUND LÍNEAS SERVICIO Y VENTA",D428="GERENCIA INBOUND LINEAS ESPECIALIZADAS"),"Llamadas","Otro")))</f>
        <v/>
      </c>
      <c r="I428" s="26" t="str">
        <f aca="false">IF(A428="","",IF(C428="No encontrado","No","Sí"))</f>
        <v/>
      </c>
      <c r="J428" s="26" t="str">
        <f aca="false">IF(A428="","",IF(F428="Inactivo","No","Sí"))</f>
        <v/>
      </c>
      <c r="K428" s="26" t="str">
        <f aca="false">IF(A428="","",IF(AND(I428="Sí",J428="Sí"),"Sí","No"))</f>
        <v/>
      </c>
    </row>
    <row r="429" customFormat="false" ht="15" hidden="false" customHeight="false" outlineLevel="0" collapsed="false">
      <c r="A429" s="22"/>
      <c r="B429" s="22"/>
      <c r="C429" s="23" t="str">
        <f aca="false">IF(A429="","",IFERROR(buscarx(A429&amp;B429,DATA!$E$3:$E$10000&amp;DATA!$B$3:$B$10000,DATA!$M$3:$M$10000),"No encontrado"))</f>
        <v/>
      </c>
      <c r="D429" s="24" t="str">
        <f aca="false">IF(A429="","",IFERROR(buscarx(A429&amp;B429,DATA!$E$3:$E$10000&amp;DATA!$B$3:$B$10000,DATA!$W$3:$W$10000),"No encontrado"))</f>
        <v/>
      </c>
      <c r="E429" s="22"/>
      <c r="F429" s="23" t="str">
        <f aca="false">IF(A429="","",IFERROR(buscarx(A429&amp;E429,DATA!$E$3:$E$10000&amp;DATA!$B$3:$B$10000,DATA!$M$3:$M$10000),"Inactivo"))</f>
        <v/>
      </c>
      <c r="G429" s="25" t="str">
        <f aca="false">IF(A429="","",IF(AND(C429&lt;&gt;"No encontrado",F429&lt;&gt;"Inactivo"),C429&amp;" → "&amp;F429,"Sin transición"))</f>
        <v/>
      </c>
      <c r="H429" s="23" t="str">
        <f aca="false">IF(A429="","",IF(D429="GCIA LINEA SERVICIO DIGITALIDAD Y VENTAS","Chats",IF(OR(D429="GERENCIA INBOUND LÍNEAS SERVICIO Y VENTA",D429="GERENCIA INBOUND LINEAS ESPECIALIZADAS"),"Llamadas","Otro")))</f>
        <v/>
      </c>
      <c r="I429" s="23" t="str">
        <f aca="false">IF(A429="","",IF(C429="No encontrado","No","Sí"))</f>
        <v/>
      </c>
      <c r="J429" s="23" t="str">
        <f aca="false">IF(A429="","",IF(F429="Inactivo","No","Sí"))</f>
        <v/>
      </c>
      <c r="K429" s="23" t="str">
        <f aca="false">IF(A429="","",IF(AND(I429="Sí",J429="Sí"),"Sí","No"))</f>
        <v/>
      </c>
    </row>
    <row r="430" customFormat="false" ht="15" hidden="false" customHeight="false" outlineLevel="0" collapsed="false">
      <c r="A430" s="22"/>
      <c r="B430" s="22"/>
      <c r="C430" s="26" t="str">
        <f aca="false">IF(A430="","",IFERROR(buscarx(A430&amp;B430,DATA!$E$3:$E$10000&amp;DATA!$B$3:$B$10000,DATA!$M$3:$M$10000),"No encontrado"))</f>
        <v/>
      </c>
      <c r="D430" s="27" t="str">
        <f aca="false">IF(A430="","",IFERROR(buscarx(A430&amp;B430,DATA!$E$3:$E$10000&amp;DATA!$B$3:$B$10000,DATA!$W$3:$W$10000),"No encontrado"))</f>
        <v/>
      </c>
      <c r="E430" s="22"/>
      <c r="F430" s="26" t="str">
        <f aca="false">IF(A430="","",IFERROR(buscarx(A430&amp;E430,DATA!$E$3:$E$10000&amp;DATA!$B$3:$B$10000,DATA!$M$3:$M$10000),"Inactivo"))</f>
        <v/>
      </c>
      <c r="G430" s="28" t="str">
        <f aca="false">IF(A430="","",IF(AND(C430&lt;&gt;"No encontrado",F430&lt;&gt;"Inactivo"),C430&amp;" → "&amp;F430,"Sin transición"))</f>
        <v/>
      </c>
      <c r="H430" s="26" t="str">
        <f aca="false">IF(A430="","",IF(D430="GCIA LINEA SERVICIO DIGITALIDAD Y VENTAS","Chats",IF(OR(D430="GERENCIA INBOUND LÍNEAS SERVICIO Y VENTA",D430="GERENCIA INBOUND LINEAS ESPECIALIZADAS"),"Llamadas","Otro")))</f>
        <v/>
      </c>
      <c r="I430" s="26" t="str">
        <f aca="false">IF(A430="","",IF(C430="No encontrado","No","Sí"))</f>
        <v/>
      </c>
      <c r="J430" s="26" t="str">
        <f aca="false">IF(A430="","",IF(F430="Inactivo","No","Sí"))</f>
        <v/>
      </c>
      <c r="K430" s="26" t="str">
        <f aca="false">IF(A430="","",IF(AND(I430="Sí",J430="Sí"),"Sí","No"))</f>
        <v/>
      </c>
    </row>
    <row r="431" customFormat="false" ht="15" hidden="false" customHeight="false" outlineLevel="0" collapsed="false">
      <c r="A431" s="22"/>
      <c r="B431" s="22"/>
      <c r="C431" s="23" t="str">
        <f aca="false">IF(A431="","",IFERROR(buscarx(A431&amp;B431,DATA!$E$3:$E$10000&amp;DATA!$B$3:$B$10000,DATA!$M$3:$M$10000),"No encontrado"))</f>
        <v/>
      </c>
      <c r="D431" s="24" t="str">
        <f aca="false">IF(A431="","",IFERROR(buscarx(A431&amp;B431,DATA!$E$3:$E$10000&amp;DATA!$B$3:$B$10000,DATA!$W$3:$W$10000),"No encontrado"))</f>
        <v/>
      </c>
      <c r="E431" s="22"/>
      <c r="F431" s="23" t="str">
        <f aca="false">IF(A431="","",IFERROR(buscarx(A431&amp;E431,DATA!$E$3:$E$10000&amp;DATA!$B$3:$B$10000,DATA!$M$3:$M$10000),"Inactivo"))</f>
        <v/>
      </c>
      <c r="G431" s="25" t="str">
        <f aca="false">IF(A431="","",IF(AND(C431&lt;&gt;"No encontrado",F431&lt;&gt;"Inactivo"),C431&amp;" → "&amp;F431,"Sin transición"))</f>
        <v/>
      </c>
      <c r="H431" s="23" t="str">
        <f aca="false">IF(A431="","",IF(D431="GCIA LINEA SERVICIO DIGITALIDAD Y VENTAS","Chats",IF(OR(D431="GERENCIA INBOUND LÍNEAS SERVICIO Y VENTA",D431="GERENCIA INBOUND LINEAS ESPECIALIZADAS"),"Llamadas","Otro")))</f>
        <v/>
      </c>
      <c r="I431" s="23" t="str">
        <f aca="false">IF(A431="","",IF(C431="No encontrado","No","Sí"))</f>
        <v/>
      </c>
      <c r="J431" s="23" t="str">
        <f aca="false">IF(A431="","",IF(F431="Inactivo","No","Sí"))</f>
        <v/>
      </c>
      <c r="K431" s="23" t="str">
        <f aca="false">IF(A431="","",IF(AND(I431="Sí",J431="Sí"),"Sí","No"))</f>
        <v/>
      </c>
    </row>
    <row r="432" customFormat="false" ht="15" hidden="false" customHeight="false" outlineLevel="0" collapsed="false">
      <c r="A432" s="22"/>
      <c r="B432" s="22"/>
      <c r="C432" s="26" t="str">
        <f aca="false">IF(A432="","",IFERROR(buscarx(A432&amp;B432,DATA!$E$3:$E$10000&amp;DATA!$B$3:$B$10000,DATA!$M$3:$M$10000),"No encontrado"))</f>
        <v/>
      </c>
      <c r="D432" s="27" t="str">
        <f aca="false">IF(A432="","",IFERROR(buscarx(A432&amp;B432,DATA!$E$3:$E$10000&amp;DATA!$B$3:$B$10000,DATA!$W$3:$W$10000),"No encontrado"))</f>
        <v/>
      </c>
      <c r="E432" s="22"/>
      <c r="F432" s="26" t="str">
        <f aca="false">IF(A432="","",IFERROR(buscarx(A432&amp;E432,DATA!$E$3:$E$10000&amp;DATA!$B$3:$B$10000,DATA!$M$3:$M$10000),"Inactivo"))</f>
        <v/>
      </c>
      <c r="G432" s="28" t="str">
        <f aca="false">IF(A432="","",IF(AND(C432&lt;&gt;"No encontrado",F432&lt;&gt;"Inactivo"),C432&amp;" → "&amp;F432,"Sin transición"))</f>
        <v/>
      </c>
      <c r="H432" s="26" t="str">
        <f aca="false">IF(A432="","",IF(D432="GCIA LINEA SERVICIO DIGITALIDAD Y VENTAS","Chats",IF(OR(D432="GERENCIA INBOUND LÍNEAS SERVICIO Y VENTA",D432="GERENCIA INBOUND LINEAS ESPECIALIZADAS"),"Llamadas","Otro")))</f>
        <v/>
      </c>
      <c r="I432" s="26" t="str">
        <f aca="false">IF(A432="","",IF(C432="No encontrado","No","Sí"))</f>
        <v/>
      </c>
      <c r="J432" s="26" t="str">
        <f aca="false">IF(A432="","",IF(F432="Inactivo","No","Sí"))</f>
        <v/>
      </c>
      <c r="K432" s="26" t="str">
        <f aca="false">IF(A432="","",IF(AND(I432="Sí",J432="Sí"),"Sí","No"))</f>
        <v/>
      </c>
    </row>
    <row r="433" customFormat="false" ht="15" hidden="false" customHeight="false" outlineLevel="0" collapsed="false">
      <c r="A433" s="22"/>
      <c r="B433" s="22"/>
      <c r="C433" s="23" t="str">
        <f aca="false">IF(A433="","",IFERROR(buscarx(A433&amp;B433,DATA!$E$3:$E$10000&amp;DATA!$B$3:$B$10000,DATA!$M$3:$M$10000),"No encontrado"))</f>
        <v/>
      </c>
      <c r="D433" s="24" t="str">
        <f aca="false">IF(A433="","",IFERROR(buscarx(A433&amp;B433,DATA!$E$3:$E$10000&amp;DATA!$B$3:$B$10000,DATA!$W$3:$W$10000),"No encontrado"))</f>
        <v/>
      </c>
      <c r="E433" s="22"/>
      <c r="F433" s="23" t="str">
        <f aca="false">IF(A433="","",IFERROR(buscarx(A433&amp;E433,DATA!$E$3:$E$10000&amp;DATA!$B$3:$B$10000,DATA!$M$3:$M$10000),"Inactivo"))</f>
        <v/>
      </c>
      <c r="G433" s="25" t="str">
        <f aca="false">IF(A433="","",IF(AND(C433&lt;&gt;"No encontrado",F433&lt;&gt;"Inactivo"),C433&amp;" → "&amp;F433,"Sin transición"))</f>
        <v/>
      </c>
      <c r="H433" s="23" t="str">
        <f aca="false">IF(A433="","",IF(D433="GCIA LINEA SERVICIO DIGITALIDAD Y VENTAS","Chats",IF(OR(D433="GERENCIA INBOUND LÍNEAS SERVICIO Y VENTA",D433="GERENCIA INBOUND LINEAS ESPECIALIZADAS"),"Llamadas","Otro")))</f>
        <v/>
      </c>
      <c r="I433" s="23" t="str">
        <f aca="false">IF(A433="","",IF(C433="No encontrado","No","Sí"))</f>
        <v/>
      </c>
      <c r="J433" s="23" t="str">
        <f aca="false">IF(A433="","",IF(F433="Inactivo","No","Sí"))</f>
        <v/>
      </c>
      <c r="K433" s="23" t="str">
        <f aca="false">IF(A433="","",IF(AND(I433="Sí",J433="Sí"),"Sí","No"))</f>
        <v/>
      </c>
    </row>
    <row r="434" customFormat="false" ht="15" hidden="false" customHeight="false" outlineLevel="0" collapsed="false">
      <c r="A434" s="22"/>
      <c r="B434" s="22"/>
      <c r="C434" s="26" t="str">
        <f aca="false">IF(A434="","",IFERROR(buscarx(A434&amp;B434,DATA!$E$3:$E$10000&amp;DATA!$B$3:$B$10000,DATA!$M$3:$M$10000),"No encontrado"))</f>
        <v/>
      </c>
      <c r="D434" s="27" t="str">
        <f aca="false">IF(A434="","",IFERROR(buscarx(A434&amp;B434,DATA!$E$3:$E$10000&amp;DATA!$B$3:$B$10000,DATA!$W$3:$W$10000),"No encontrado"))</f>
        <v/>
      </c>
      <c r="E434" s="22"/>
      <c r="F434" s="26" t="str">
        <f aca="false">IF(A434="","",IFERROR(buscarx(A434&amp;E434,DATA!$E$3:$E$10000&amp;DATA!$B$3:$B$10000,DATA!$M$3:$M$10000),"Inactivo"))</f>
        <v/>
      </c>
      <c r="G434" s="28" t="str">
        <f aca="false">IF(A434="","",IF(AND(C434&lt;&gt;"No encontrado",F434&lt;&gt;"Inactivo"),C434&amp;" → "&amp;F434,"Sin transición"))</f>
        <v/>
      </c>
      <c r="H434" s="26" t="str">
        <f aca="false">IF(A434="","",IF(D434="GCIA LINEA SERVICIO DIGITALIDAD Y VENTAS","Chats",IF(OR(D434="GERENCIA INBOUND LÍNEAS SERVICIO Y VENTA",D434="GERENCIA INBOUND LINEAS ESPECIALIZADAS"),"Llamadas","Otro")))</f>
        <v/>
      </c>
      <c r="I434" s="26" t="str">
        <f aca="false">IF(A434="","",IF(C434="No encontrado","No","Sí"))</f>
        <v/>
      </c>
      <c r="J434" s="26" t="str">
        <f aca="false">IF(A434="","",IF(F434="Inactivo","No","Sí"))</f>
        <v/>
      </c>
      <c r="K434" s="26" t="str">
        <f aca="false">IF(A434="","",IF(AND(I434="Sí",J434="Sí"),"Sí","No"))</f>
        <v/>
      </c>
    </row>
    <row r="435" customFormat="false" ht="15" hidden="false" customHeight="false" outlineLevel="0" collapsed="false">
      <c r="A435" s="22"/>
      <c r="B435" s="22"/>
      <c r="C435" s="23" t="str">
        <f aca="false">IF(A435="","",IFERROR(buscarx(A435&amp;B435,DATA!$E$3:$E$10000&amp;DATA!$B$3:$B$10000,DATA!$M$3:$M$10000),"No encontrado"))</f>
        <v/>
      </c>
      <c r="D435" s="24" t="str">
        <f aca="false">IF(A435="","",IFERROR(buscarx(A435&amp;B435,DATA!$E$3:$E$10000&amp;DATA!$B$3:$B$10000,DATA!$W$3:$W$10000),"No encontrado"))</f>
        <v/>
      </c>
      <c r="E435" s="22"/>
      <c r="F435" s="23" t="str">
        <f aca="false">IF(A435="","",IFERROR(buscarx(A435&amp;E435,DATA!$E$3:$E$10000&amp;DATA!$B$3:$B$10000,DATA!$M$3:$M$10000),"Inactivo"))</f>
        <v/>
      </c>
      <c r="G435" s="25" t="str">
        <f aca="false">IF(A435="","",IF(AND(C435&lt;&gt;"No encontrado",F435&lt;&gt;"Inactivo"),C435&amp;" → "&amp;F435,"Sin transición"))</f>
        <v/>
      </c>
      <c r="H435" s="23" t="str">
        <f aca="false">IF(A435="","",IF(D435="GCIA LINEA SERVICIO DIGITALIDAD Y VENTAS","Chats",IF(OR(D435="GERENCIA INBOUND LÍNEAS SERVICIO Y VENTA",D435="GERENCIA INBOUND LINEAS ESPECIALIZADAS"),"Llamadas","Otro")))</f>
        <v/>
      </c>
      <c r="I435" s="23" t="str">
        <f aca="false">IF(A435="","",IF(C435="No encontrado","No","Sí"))</f>
        <v/>
      </c>
      <c r="J435" s="23" t="str">
        <f aca="false">IF(A435="","",IF(F435="Inactivo","No","Sí"))</f>
        <v/>
      </c>
      <c r="K435" s="23" t="str">
        <f aca="false">IF(A435="","",IF(AND(I435="Sí",J435="Sí"),"Sí","No"))</f>
        <v/>
      </c>
    </row>
    <row r="436" customFormat="false" ht="15" hidden="false" customHeight="false" outlineLevel="0" collapsed="false">
      <c r="A436" s="22"/>
      <c r="B436" s="22"/>
      <c r="C436" s="26" t="str">
        <f aca="false">IF(A436="","",IFERROR(buscarx(A436&amp;B436,DATA!$E$3:$E$10000&amp;DATA!$B$3:$B$10000,DATA!$M$3:$M$10000),"No encontrado"))</f>
        <v/>
      </c>
      <c r="D436" s="27" t="str">
        <f aca="false">IF(A436="","",IFERROR(buscarx(A436&amp;B436,DATA!$E$3:$E$10000&amp;DATA!$B$3:$B$10000,DATA!$W$3:$W$10000),"No encontrado"))</f>
        <v/>
      </c>
      <c r="E436" s="22"/>
      <c r="F436" s="26" t="str">
        <f aca="false">IF(A436="","",IFERROR(buscarx(A436&amp;E436,DATA!$E$3:$E$10000&amp;DATA!$B$3:$B$10000,DATA!$M$3:$M$10000),"Inactivo"))</f>
        <v/>
      </c>
      <c r="G436" s="28" t="str">
        <f aca="false">IF(A436="","",IF(AND(C436&lt;&gt;"No encontrado",F436&lt;&gt;"Inactivo"),C436&amp;" → "&amp;F436,"Sin transición"))</f>
        <v/>
      </c>
      <c r="H436" s="26" t="str">
        <f aca="false">IF(A436="","",IF(D436="GCIA LINEA SERVICIO DIGITALIDAD Y VENTAS","Chats",IF(OR(D436="GERENCIA INBOUND LÍNEAS SERVICIO Y VENTA",D436="GERENCIA INBOUND LINEAS ESPECIALIZADAS"),"Llamadas","Otro")))</f>
        <v/>
      </c>
      <c r="I436" s="26" t="str">
        <f aca="false">IF(A436="","",IF(C436="No encontrado","No","Sí"))</f>
        <v/>
      </c>
      <c r="J436" s="26" t="str">
        <f aca="false">IF(A436="","",IF(F436="Inactivo","No","Sí"))</f>
        <v/>
      </c>
      <c r="K436" s="26" t="str">
        <f aca="false">IF(A436="","",IF(AND(I436="Sí",J436="Sí"),"Sí","No"))</f>
        <v/>
      </c>
    </row>
    <row r="437" customFormat="false" ht="15" hidden="false" customHeight="false" outlineLevel="0" collapsed="false">
      <c r="A437" s="22"/>
      <c r="B437" s="22"/>
      <c r="C437" s="23" t="str">
        <f aca="false">IF(A437="","",IFERROR(buscarx(A437&amp;B437,DATA!$E$3:$E$10000&amp;DATA!$B$3:$B$10000,DATA!$M$3:$M$10000),"No encontrado"))</f>
        <v/>
      </c>
      <c r="D437" s="24" t="str">
        <f aca="false">IF(A437="","",IFERROR(buscarx(A437&amp;B437,DATA!$E$3:$E$10000&amp;DATA!$B$3:$B$10000,DATA!$W$3:$W$10000),"No encontrado"))</f>
        <v/>
      </c>
      <c r="E437" s="22"/>
      <c r="F437" s="23" t="str">
        <f aca="false">IF(A437="","",IFERROR(buscarx(A437&amp;E437,DATA!$E$3:$E$10000&amp;DATA!$B$3:$B$10000,DATA!$M$3:$M$10000),"Inactivo"))</f>
        <v/>
      </c>
      <c r="G437" s="25" t="str">
        <f aca="false">IF(A437="","",IF(AND(C437&lt;&gt;"No encontrado",F437&lt;&gt;"Inactivo"),C437&amp;" → "&amp;F437,"Sin transición"))</f>
        <v/>
      </c>
      <c r="H437" s="23" t="str">
        <f aca="false">IF(A437="","",IF(D437="GCIA LINEA SERVICIO DIGITALIDAD Y VENTAS","Chats",IF(OR(D437="GERENCIA INBOUND LÍNEAS SERVICIO Y VENTA",D437="GERENCIA INBOUND LINEAS ESPECIALIZADAS"),"Llamadas","Otro")))</f>
        <v/>
      </c>
      <c r="I437" s="23" t="str">
        <f aca="false">IF(A437="","",IF(C437="No encontrado","No","Sí"))</f>
        <v/>
      </c>
      <c r="J437" s="23" t="str">
        <f aca="false">IF(A437="","",IF(F437="Inactivo","No","Sí"))</f>
        <v/>
      </c>
      <c r="K437" s="23" t="str">
        <f aca="false">IF(A437="","",IF(AND(I437="Sí",J437="Sí"),"Sí","No"))</f>
        <v/>
      </c>
    </row>
    <row r="438" customFormat="false" ht="15" hidden="false" customHeight="false" outlineLevel="0" collapsed="false">
      <c r="A438" s="22"/>
      <c r="B438" s="22"/>
      <c r="C438" s="26" t="str">
        <f aca="false">IF(A438="","",IFERROR(buscarx(A438&amp;B438,DATA!$E$3:$E$10000&amp;DATA!$B$3:$B$10000,DATA!$M$3:$M$10000),"No encontrado"))</f>
        <v/>
      </c>
      <c r="D438" s="27" t="str">
        <f aca="false">IF(A438="","",IFERROR(buscarx(A438&amp;B438,DATA!$E$3:$E$10000&amp;DATA!$B$3:$B$10000,DATA!$W$3:$W$10000),"No encontrado"))</f>
        <v/>
      </c>
      <c r="E438" s="22"/>
      <c r="F438" s="26" t="str">
        <f aca="false">IF(A438="","",IFERROR(buscarx(A438&amp;E438,DATA!$E$3:$E$10000&amp;DATA!$B$3:$B$10000,DATA!$M$3:$M$10000),"Inactivo"))</f>
        <v/>
      </c>
      <c r="G438" s="28" t="str">
        <f aca="false">IF(A438="","",IF(AND(C438&lt;&gt;"No encontrado",F438&lt;&gt;"Inactivo"),C438&amp;" → "&amp;F438,"Sin transición"))</f>
        <v/>
      </c>
      <c r="H438" s="26" t="str">
        <f aca="false">IF(A438="","",IF(D438="GCIA LINEA SERVICIO DIGITALIDAD Y VENTAS","Chats",IF(OR(D438="GERENCIA INBOUND LÍNEAS SERVICIO Y VENTA",D438="GERENCIA INBOUND LINEAS ESPECIALIZADAS"),"Llamadas","Otro")))</f>
        <v/>
      </c>
      <c r="I438" s="26" t="str">
        <f aca="false">IF(A438="","",IF(C438="No encontrado","No","Sí"))</f>
        <v/>
      </c>
      <c r="J438" s="26" t="str">
        <f aca="false">IF(A438="","",IF(F438="Inactivo","No","Sí"))</f>
        <v/>
      </c>
      <c r="K438" s="26" t="str">
        <f aca="false">IF(A438="","",IF(AND(I438="Sí",J438="Sí"),"Sí","No"))</f>
        <v/>
      </c>
    </row>
    <row r="439" customFormat="false" ht="15" hidden="false" customHeight="false" outlineLevel="0" collapsed="false">
      <c r="A439" s="22"/>
      <c r="B439" s="22"/>
      <c r="C439" s="23" t="str">
        <f aca="false">IF(A439="","",IFERROR(buscarx(A439&amp;B439,DATA!$E$3:$E$10000&amp;DATA!$B$3:$B$10000,DATA!$M$3:$M$10000),"No encontrado"))</f>
        <v/>
      </c>
      <c r="D439" s="24" t="str">
        <f aca="false">IF(A439="","",IFERROR(buscarx(A439&amp;B439,DATA!$E$3:$E$10000&amp;DATA!$B$3:$B$10000,DATA!$W$3:$W$10000),"No encontrado"))</f>
        <v/>
      </c>
      <c r="E439" s="22"/>
      <c r="F439" s="23" t="str">
        <f aca="false">IF(A439="","",IFERROR(buscarx(A439&amp;E439,DATA!$E$3:$E$10000&amp;DATA!$B$3:$B$10000,DATA!$M$3:$M$10000),"Inactivo"))</f>
        <v/>
      </c>
      <c r="G439" s="25" t="str">
        <f aca="false">IF(A439="","",IF(AND(C439&lt;&gt;"No encontrado",F439&lt;&gt;"Inactivo"),C439&amp;" → "&amp;F439,"Sin transición"))</f>
        <v/>
      </c>
      <c r="H439" s="23" t="str">
        <f aca="false">IF(A439="","",IF(D439="GCIA LINEA SERVICIO DIGITALIDAD Y VENTAS","Chats",IF(OR(D439="GERENCIA INBOUND LÍNEAS SERVICIO Y VENTA",D439="GERENCIA INBOUND LINEAS ESPECIALIZADAS"),"Llamadas","Otro")))</f>
        <v/>
      </c>
      <c r="I439" s="23" t="str">
        <f aca="false">IF(A439="","",IF(C439="No encontrado","No","Sí"))</f>
        <v/>
      </c>
      <c r="J439" s="23" t="str">
        <f aca="false">IF(A439="","",IF(F439="Inactivo","No","Sí"))</f>
        <v/>
      </c>
      <c r="K439" s="23" t="str">
        <f aca="false">IF(A439="","",IF(AND(I439="Sí",J439="Sí"),"Sí","No"))</f>
        <v/>
      </c>
    </row>
    <row r="440" customFormat="false" ht="15" hidden="false" customHeight="false" outlineLevel="0" collapsed="false">
      <c r="A440" s="22"/>
      <c r="B440" s="22"/>
      <c r="C440" s="26" t="str">
        <f aca="false">IF(A440="","",IFERROR(buscarx(A440&amp;B440,DATA!$E$3:$E$10000&amp;DATA!$B$3:$B$10000,DATA!$M$3:$M$10000),"No encontrado"))</f>
        <v/>
      </c>
      <c r="D440" s="27" t="str">
        <f aca="false">IF(A440="","",IFERROR(buscarx(A440&amp;B440,DATA!$E$3:$E$10000&amp;DATA!$B$3:$B$10000,DATA!$W$3:$W$10000),"No encontrado"))</f>
        <v/>
      </c>
      <c r="E440" s="22"/>
      <c r="F440" s="26" t="str">
        <f aca="false">IF(A440="","",IFERROR(buscarx(A440&amp;E440,DATA!$E$3:$E$10000&amp;DATA!$B$3:$B$10000,DATA!$M$3:$M$10000),"Inactivo"))</f>
        <v/>
      </c>
      <c r="G440" s="28" t="str">
        <f aca="false">IF(A440="","",IF(AND(C440&lt;&gt;"No encontrado",F440&lt;&gt;"Inactivo"),C440&amp;" → "&amp;F440,"Sin transición"))</f>
        <v/>
      </c>
      <c r="H440" s="26" t="str">
        <f aca="false">IF(A440="","",IF(D440="GCIA LINEA SERVICIO DIGITALIDAD Y VENTAS","Chats",IF(OR(D440="GERENCIA INBOUND LÍNEAS SERVICIO Y VENTA",D440="GERENCIA INBOUND LINEAS ESPECIALIZADAS"),"Llamadas","Otro")))</f>
        <v/>
      </c>
      <c r="I440" s="26" t="str">
        <f aca="false">IF(A440="","",IF(C440="No encontrado","No","Sí"))</f>
        <v/>
      </c>
      <c r="J440" s="26" t="str">
        <f aca="false">IF(A440="","",IF(F440="Inactivo","No","Sí"))</f>
        <v/>
      </c>
      <c r="K440" s="26" t="str">
        <f aca="false">IF(A440="","",IF(AND(I440="Sí",J440="Sí"),"Sí","No"))</f>
        <v/>
      </c>
    </row>
    <row r="441" customFormat="false" ht="15" hidden="false" customHeight="false" outlineLevel="0" collapsed="false">
      <c r="A441" s="22"/>
      <c r="B441" s="22"/>
      <c r="C441" s="23" t="str">
        <f aca="false">IF(A441="","",IFERROR(buscarx(A441&amp;B441,DATA!$E$3:$E$10000&amp;DATA!$B$3:$B$10000,DATA!$M$3:$M$10000),"No encontrado"))</f>
        <v/>
      </c>
      <c r="D441" s="24" t="str">
        <f aca="false">IF(A441="","",IFERROR(buscarx(A441&amp;B441,DATA!$E$3:$E$10000&amp;DATA!$B$3:$B$10000,DATA!$W$3:$W$10000),"No encontrado"))</f>
        <v/>
      </c>
      <c r="E441" s="22"/>
      <c r="F441" s="23" t="str">
        <f aca="false">IF(A441="","",IFERROR(buscarx(A441&amp;E441,DATA!$E$3:$E$10000&amp;DATA!$B$3:$B$10000,DATA!$M$3:$M$10000),"Inactivo"))</f>
        <v/>
      </c>
      <c r="G441" s="25" t="str">
        <f aca="false">IF(A441="","",IF(AND(C441&lt;&gt;"No encontrado",F441&lt;&gt;"Inactivo"),C441&amp;" → "&amp;F441,"Sin transición"))</f>
        <v/>
      </c>
      <c r="H441" s="23" t="str">
        <f aca="false">IF(A441="","",IF(D441="GCIA LINEA SERVICIO DIGITALIDAD Y VENTAS","Chats",IF(OR(D441="GERENCIA INBOUND LÍNEAS SERVICIO Y VENTA",D441="GERENCIA INBOUND LINEAS ESPECIALIZADAS"),"Llamadas","Otro")))</f>
        <v/>
      </c>
      <c r="I441" s="23" t="str">
        <f aca="false">IF(A441="","",IF(C441="No encontrado","No","Sí"))</f>
        <v/>
      </c>
      <c r="J441" s="23" t="str">
        <f aca="false">IF(A441="","",IF(F441="Inactivo","No","Sí"))</f>
        <v/>
      </c>
      <c r="K441" s="23" t="str">
        <f aca="false">IF(A441="","",IF(AND(I441="Sí",J441="Sí"),"Sí","No"))</f>
        <v/>
      </c>
    </row>
    <row r="442" customFormat="false" ht="15" hidden="false" customHeight="false" outlineLevel="0" collapsed="false">
      <c r="A442" s="22"/>
      <c r="B442" s="22"/>
      <c r="C442" s="26" t="str">
        <f aca="false">IF(A442="","",IFERROR(buscarx(A442&amp;B442,DATA!$E$3:$E$10000&amp;DATA!$B$3:$B$10000,DATA!$M$3:$M$10000),"No encontrado"))</f>
        <v/>
      </c>
      <c r="D442" s="27" t="str">
        <f aca="false">IF(A442="","",IFERROR(buscarx(A442&amp;B442,DATA!$E$3:$E$10000&amp;DATA!$B$3:$B$10000,DATA!$W$3:$W$10000),"No encontrado"))</f>
        <v/>
      </c>
      <c r="E442" s="22"/>
      <c r="F442" s="26" t="str">
        <f aca="false">IF(A442="","",IFERROR(buscarx(A442&amp;E442,DATA!$E$3:$E$10000&amp;DATA!$B$3:$B$10000,DATA!$M$3:$M$10000),"Inactivo"))</f>
        <v/>
      </c>
      <c r="G442" s="28" t="str">
        <f aca="false">IF(A442="","",IF(AND(C442&lt;&gt;"No encontrado",F442&lt;&gt;"Inactivo"),C442&amp;" → "&amp;F442,"Sin transición"))</f>
        <v/>
      </c>
      <c r="H442" s="26" t="str">
        <f aca="false">IF(A442="","",IF(D442="GCIA LINEA SERVICIO DIGITALIDAD Y VENTAS","Chats",IF(OR(D442="GERENCIA INBOUND LÍNEAS SERVICIO Y VENTA",D442="GERENCIA INBOUND LINEAS ESPECIALIZADAS"),"Llamadas","Otro")))</f>
        <v/>
      </c>
      <c r="I442" s="26" t="str">
        <f aca="false">IF(A442="","",IF(C442="No encontrado","No","Sí"))</f>
        <v/>
      </c>
      <c r="J442" s="26" t="str">
        <f aca="false">IF(A442="","",IF(F442="Inactivo","No","Sí"))</f>
        <v/>
      </c>
      <c r="K442" s="26" t="str">
        <f aca="false">IF(A442="","",IF(AND(I442="Sí",J442="Sí"),"Sí","No"))</f>
        <v/>
      </c>
    </row>
    <row r="443" customFormat="false" ht="15" hidden="false" customHeight="false" outlineLevel="0" collapsed="false">
      <c r="A443" s="22"/>
      <c r="B443" s="22"/>
      <c r="C443" s="23" t="str">
        <f aca="false">IF(A443="","",IFERROR(buscarx(A443&amp;B443,DATA!$E$3:$E$10000&amp;DATA!$B$3:$B$10000,DATA!$M$3:$M$10000),"No encontrado"))</f>
        <v/>
      </c>
      <c r="D443" s="24" t="str">
        <f aca="false">IF(A443="","",IFERROR(buscarx(A443&amp;B443,DATA!$E$3:$E$10000&amp;DATA!$B$3:$B$10000,DATA!$W$3:$W$10000),"No encontrado"))</f>
        <v/>
      </c>
      <c r="E443" s="22"/>
      <c r="F443" s="23" t="str">
        <f aca="false">IF(A443="","",IFERROR(buscarx(A443&amp;E443,DATA!$E$3:$E$10000&amp;DATA!$B$3:$B$10000,DATA!$M$3:$M$10000),"Inactivo"))</f>
        <v/>
      </c>
      <c r="G443" s="25" t="str">
        <f aca="false">IF(A443="","",IF(AND(C443&lt;&gt;"No encontrado",F443&lt;&gt;"Inactivo"),C443&amp;" → "&amp;F443,"Sin transición"))</f>
        <v/>
      </c>
      <c r="H443" s="23" t="str">
        <f aca="false">IF(A443="","",IF(D443="GCIA LINEA SERVICIO DIGITALIDAD Y VENTAS","Chats",IF(OR(D443="GERENCIA INBOUND LÍNEAS SERVICIO Y VENTA",D443="GERENCIA INBOUND LINEAS ESPECIALIZADAS"),"Llamadas","Otro")))</f>
        <v/>
      </c>
      <c r="I443" s="23" t="str">
        <f aca="false">IF(A443="","",IF(C443="No encontrado","No","Sí"))</f>
        <v/>
      </c>
      <c r="J443" s="23" t="str">
        <f aca="false">IF(A443="","",IF(F443="Inactivo","No","Sí"))</f>
        <v/>
      </c>
      <c r="K443" s="23" t="str">
        <f aca="false">IF(A443="","",IF(AND(I443="Sí",J443="Sí"),"Sí","No"))</f>
        <v/>
      </c>
    </row>
    <row r="444" customFormat="false" ht="15" hidden="false" customHeight="false" outlineLevel="0" collapsed="false">
      <c r="A444" s="22"/>
      <c r="B444" s="22"/>
      <c r="C444" s="26" t="str">
        <f aca="false">IF(A444="","",IFERROR(buscarx(A444&amp;B444,DATA!$E$3:$E$10000&amp;DATA!$B$3:$B$10000,DATA!$M$3:$M$10000),"No encontrado"))</f>
        <v/>
      </c>
      <c r="D444" s="27" t="str">
        <f aca="false">IF(A444="","",IFERROR(buscarx(A444&amp;B444,DATA!$E$3:$E$10000&amp;DATA!$B$3:$B$10000,DATA!$W$3:$W$10000),"No encontrado"))</f>
        <v/>
      </c>
      <c r="E444" s="22"/>
      <c r="F444" s="26" t="str">
        <f aca="false">IF(A444="","",IFERROR(buscarx(A444&amp;E444,DATA!$E$3:$E$10000&amp;DATA!$B$3:$B$10000,DATA!$M$3:$M$10000),"Inactivo"))</f>
        <v/>
      </c>
      <c r="G444" s="28" t="str">
        <f aca="false">IF(A444="","",IF(AND(C444&lt;&gt;"No encontrado",F444&lt;&gt;"Inactivo"),C444&amp;" → "&amp;F444,"Sin transición"))</f>
        <v/>
      </c>
      <c r="H444" s="26" t="str">
        <f aca="false">IF(A444="","",IF(D444="GCIA LINEA SERVICIO DIGITALIDAD Y VENTAS","Chats",IF(OR(D444="GERENCIA INBOUND LÍNEAS SERVICIO Y VENTA",D444="GERENCIA INBOUND LINEAS ESPECIALIZADAS"),"Llamadas","Otro")))</f>
        <v/>
      </c>
      <c r="I444" s="26" t="str">
        <f aca="false">IF(A444="","",IF(C444="No encontrado","No","Sí"))</f>
        <v/>
      </c>
      <c r="J444" s="26" t="str">
        <f aca="false">IF(A444="","",IF(F444="Inactivo","No","Sí"))</f>
        <v/>
      </c>
      <c r="K444" s="26" t="str">
        <f aca="false">IF(A444="","",IF(AND(I444="Sí",J444="Sí"),"Sí","No"))</f>
        <v/>
      </c>
    </row>
    <row r="445" customFormat="false" ht="15" hidden="false" customHeight="false" outlineLevel="0" collapsed="false">
      <c r="A445" s="22"/>
      <c r="B445" s="22"/>
      <c r="C445" s="23" t="str">
        <f aca="false">IF(A445="","",IFERROR(buscarx(A445&amp;B445,DATA!$E$3:$E$10000&amp;DATA!$B$3:$B$10000,DATA!$M$3:$M$10000),"No encontrado"))</f>
        <v/>
      </c>
      <c r="D445" s="24" t="str">
        <f aca="false">IF(A445="","",IFERROR(buscarx(A445&amp;B445,DATA!$E$3:$E$10000&amp;DATA!$B$3:$B$10000,DATA!$W$3:$W$10000),"No encontrado"))</f>
        <v/>
      </c>
      <c r="E445" s="22"/>
      <c r="F445" s="23" t="str">
        <f aca="false">IF(A445="","",IFERROR(buscarx(A445&amp;E445,DATA!$E$3:$E$10000&amp;DATA!$B$3:$B$10000,DATA!$M$3:$M$10000),"Inactivo"))</f>
        <v/>
      </c>
      <c r="G445" s="25" t="str">
        <f aca="false">IF(A445="","",IF(AND(C445&lt;&gt;"No encontrado",F445&lt;&gt;"Inactivo"),C445&amp;" → "&amp;F445,"Sin transición"))</f>
        <v/>
      </c>
      <c r="H445" s="23" t="str">
        <f aca="false">IF(A445="","",IF(D445="GCIA LINEA SERVICIO DIGITALIDAD Y VENTAS","Chats",IF(OR(D445="GERENCIA INBOUND LÍNEAS SERVICIO Y VENTA",D445="GERENCIA INBOUND LINEAS ESPECIALIZADAS"),"Llamadas","Otro")))</f>
        <v/>
      </c>
      <c r="I445" s="23" t="str">
        <f aca="false">IF(A445="","",IF(C445="No encontrado","No","Sí"))</f>
        <v/>
      </c>
      <c r="J445" s="23" t="str">
        <f aca="false">IF(A445="","",IF(F445="Inactivo","No","Sí"))</f>
        <v/>
      </c>
      <c r="K445" s="23" t="str">
        <f aca="false">IF(A445="","",IF(AND(I445="Sí",J445="Sí"),"Sí","No"))</f>
        <v/>
      </c>
    </row>
    <row r="446" customFormat="false" ht="15" hidden="false" customHeight="false" outlineLevel="0" collapsed="false">
      <c r="A446" s="22"/>
      <c r="B446" s="22"/>
      <c r="C446" s="26" t="str">
        <f aca="false">IF(A446="","",IFERROR(buscarx(A446&amp;B446,DATA!$E$3:$E$10000&amp;DATA!$B$3:$B$10000,DATA!$M$3:$M$10000),"No encontrado"))</f>
        <v/>
      </c>
      <c r="D446" s="27" t="str">
        <f aca="false">IF(A446="","",IFERROR(buscarx(A446&amp;B446,DATA!$E$3:$E$10000&amp;DATA!$B$3:$B$10000,DATA!$W$3:$W$10000),"No encontrado"))</f>
        <v/>
      </c>
      <c r="E446" s="22"/>
      <c r="F446" s="26" t="str">
        <f aca="false">IF(A446="","",IFERROR(buscarx(A446&amp;E446,DATA!$E$3:$E$10000&amp;DATA!$B$3:$B$10000,DATA!$M$3:$M$10000),"Inactivo"))</f>
        <v/>
      </c>
      <c r="G446" s="28" t="str">
        <f aca="false">IF(A446="","",IF(AND(C446&lt;&gt;"No encontrado",F446&lt;&gt;"Inactivo"),C446&amp;" → "&amp;F446,"Sin transición"))</f>
        <v/>
      </c>
      <c r="H446" s="26" t="str">
        <f aca="false">IF(A446="","",IF(D446="GCIA LINEA SERVICIO DIGITALIDAD Y VENTAS","Chats",IF(OR(D446="GERENCIA INBOUND LÍNEAS SERVICIO Y VENTA",D446="GERENCIA INBOUND LINEAS ESPECIALIZADAS"),"Llamadas","Otro")))</f>
        <v/>
      </c>
      <c r="I446" s="26" t="str">
        <f aca="false">IF(A446="","",IF(C446="No encontrado","No","Sí"))</f>
        <v/>
      </c>
      <c r="J446" s="26" t="str">
        <f aca="false">IF(A446="","",IF(F446="Inactivo","No","Sí"))</f>
        <v/>
      </c>
      <c r="K446" s="26" t="str">
        <f aca="false">IF(A446="","",IF(AND(I446="Sí",J446="Sí"),"Sí","No"))</f>
        <v/>
      </c>
    </row>
    <row r="447" customFormat="false" ht="15" hidden="false" customHeight="false" outlineLevel="0" collapsed="false">
      <c r="A447" s="22"/>
      <c r="B447" s="22"/>
      <c r="C447" s="23" t="str">
        <f aca="false">IF(A447="","",IFERROR(buscarx(A447&amp;B447,DATA!$E$3:$E$10000&amp;DATA!$B$3:$B$10000,DATA!$M$3:$M$10000),"No encontrado"))</f>
        <v/>
      </c>
      <c r="D447" s="24" t="str">
        <f aca="false">IF(A447="","",IFERROR(buscarx(A447&amp;B447,DATA!$E$3:$E$10000&amp;DATA!$B$3:$B$10000,DATA!$W$3:$W$10000),"No encontrado"))</f>
        <v/>
      </c>
      <c r="E447" s="22"/>
      <c r="F447" s="23" t="str">
        <f aca="false">IF(A447="","",IFERROR(buscarx(A447&amp;E447,DATA!$E$3:$E$10000&amp;DATA!$B$3:$B$10000,DATA!$M$3:$M$10000),"Inactivo"))</f>
        <v/>
      </c>
      <c r="G447" s="25" t="str">
        <f aca="false">IF(A447="","",IF(AND(C447&lt;&gt;"No encontrado",F447&lt;&gt;"Inactivo"),C447&amp;" → "&amp;F447,"Sin transición"))</f>
        <v/>
      </c>
      <c r="H447" s="23" t="str">
        <f aca="false">IF(A447="","",IF(D447="GCIA LINEA SERVICIO DIGITALIDAD Y VENTAS","Chats",IF(OR(D447="GERENCIA INBOUND LÍNEAS SERVICIO Y VENTA",D447="GERENCIA INBOUND LINEAS ESPECIALIZADAS"),"Llamadas","Otro")))</f>
        <v/>
      </c>
      <c r="I447" s="23" t="str">
        <f aca="false">IF(A447="","",IF(C447="No encontrado","No","Sí"))</f>
        <v/>
      </c>
      <c r="J447" s="23" t="str">
        <f aca="false">IF(A447="","",IF(F447="Inactivo","No","Sí"))</f>
        <v/>
      </c>
      <c r="K447" s="23" t="str">
        <f aca="false">IF(A447="","",IF(AND(I447="Sí",J447="Sí"),"Sí","No"))</f>
        <v/>
      </c>
    </row>
    <row r="448" customFormat="false" ht="15" hidden="false" customHeight="false" outlineLevel="0" collapsed="false">
      <c r="A448" s="22"/>
      <c r="B448" s="22"/>
      <c r="C448" s="26" t="str">
        <f aca="false">IF(A448="","",IFERROR(buscarx(A448&amp;B448,DATA!$E$3:$E$10000&amp;DATA!$B$3:$B$10000,DATA!$M$3:$M$10000),"No encontrado"))</f>
        <v/>
      </c>
      <c r="D448" s="27" t="str">
        <f aca="false">IF(A448="","",IFERROR(buscarx(A448&amp;B448,DATA!$E$3:$E$10000&amp;DATA!$B$3:$B$10000,DATA!$W$3:$W$10000),"No encontrado"))</f>
        <v/>
      </c>
      <c r="E448" s="22"/>
      <c r="F448" s="26" t="str">
        <f aca="false">IF(A448="","",IFERROR(buscarx(A448&amp;E448,DATA!$E$3:$E$10000&amp;DATA!$B$3:$B$10000,DATA!$M$3:$M$10000),"Inactivo"))</f>
        <v/>
      </c>
      <c r="G448" s="28" t="str">
        <f aca="false">IF(A448="","",IF(AND(C448&lt;&gt;"No encontrado",F448&lt;&gt;"Inactivo"),C448&amp;" → "&amp;F448,"Sin transición"))</f>
        <v/>
      </c>
      <c r="H448" s="26" t="str">
        <f aca="false">IF(A448="","",IF(D448="GCIA LINEA SERVICIO DIGITALIDAD Y VENTAS","Chats",IF(OR(D448="GERENCIA INBOUND LÍNEAS SERVICIO Y VENTA",D448="GERENCIA INBOUND LINEAS ESPECIALIZADAS"),"Llamadas","Otro")))</f>
        <v/>
      </c>
      <c r="I448" s="26" t="str">
        <f aca="false">IF(A448="","",IF(C448="No encontrado","No","Sí"))</f>
        <v/>
      </c>
      <c r="J448" s="26" t="str">
        <f aca="false">IF(A448="","",IF(F448="Inactivo","No","Sí"))</f>
        <v/>
      </c>
      <c r="K448" s="26" t="str">
        <f aca="false">IF(A448="","",IF(AND(I448="Sí",J448="Sí"),"Sí","No"))</f>
        <v/>
      </c>
    </row>
    <row r="449" customFormat="false" ht="15" hidden="false" customHeight="false" outlineLevel="0" collapsed="false">
      <c r="A449" s="22"/>
      <c r="B449" s="22"/>
      <c r="C449" s="23" t="str">
        <f aca="false">IF(A449="","",IFERROR(buscarx(A449&amp;B449,DATA!$E$3:$E$10000&amp;DATA!$B$3:$B$10000,DATA!$M$3:$M$10000),"No encontrado"))</f>
        <v/>
      </c>
      <c r="D449" s="24" t="str">
        <f aca="false">IF(A449="","",IFERROR(buscarx(A449&amp;B449,DATA!$E$3:$E$10000&amp;DATA!$B$3:$B$10000,DATA!$W$3:$W$10000),"No encontrado"))</f>
        <v/>
      </c>
      <c r="E449" s="22"/>
      <c r="F449" s="23" t="str">
        <f aca="false">IF(A449="","",IFERROR(buscarx(A449&amp;E449,DATA!$E$3:$E$10000&amp;DATA!$B$3:$B$10000,DATA!$M$3:$M$10000),"Inactivo"))</f>
        <v/>
      </c>
      <c r="G449" s="25" t="str">
        <f aca="false">IF(A449="","",IF(AND(C449&lt;&gt;"No encontrado",F449&lt;&gt;"Inactivo"),C449&amp;" → "&amp;F449,"Sin transición"))</f>
        <v/>
      </c>
      <c r="H449" s="23" t="str">
        <f aca="false">IF(A449="","",IF(D449="GCIA LINEA SERVICIO DIGITALIDAD Y VENTAS","Chats",IF(OR(D449="GERENCIA INBOUND LÍNEAS SERVICIO Y VENTA",D449="GERENCIA INBOUND LINEAS ESPECIALIZADAS"),"Llamadas","Otro")))</f>
        <v/>
      </c>
      <c r="I449" s="23" t="str">
        <f aca="false">IF(A449="","",IF(C449="No encontrado","No","Sí"))</f>
        <v/>
      </c>
      <c r="J449" s="23" t="str">
        <f aca="false">IF(A449="","",IF(F449="Inactivo","No","Sí"))</f>
        <v/>
      </c>
      <c r="K449" s="23" t="str">
        <f aca="false">IF(A449="","",IF(AND(I449="Sí",J449="Sí"),"Sí","No"))</f>
        <v/>
      </c>
    </row>
    <row r="450" customFormat="false" ht="15" hidden="false" customHeight="false" outlineLevel="0" collapsed="false">
      <c r="A450" s="22"/>
      <c r="B450" s="22"/>
      <c r="C450" s="26" t="str">
        <f aca="false">IF(A450="","",IFERROR(buscarx(A450&amp;B450,DATA!$E$3:$E$10000&amp;DATA!$B$3:$B$10000,DATA!$M$3:$M$10000),"No encontrado"))</f>
        <v/>
      </c>
      <c r="D450" s="27" t="str">
        <f aca="false">IF(A450="","",IFERROR(buscarx(A450&amp;B450,DATA!$E$3:$E$10000&amp;DATA!$B$3:$B$10000,DATA!$W$3:$W$10000),"No encontrado"))</f>
        <v/>
      </c>
      <c r="E450" s="22"/>
      <c r="F450" s="26" t="str">
        <f aca="false">IF(A450="","",IFERROR(buscarx(A450&amp;E450,DATA!$E$3:$E$10000&amp;DATA!$B$3:$B$10000,DATA!$M$3:$M$10000),"Inactivo"))</f>
        <v/>
      </c>
      <c r="G450" s="28" t="str">
        <f aca="false">IF(A450="","",IF(AND(C450&lt;&gt;"No encontrado",F450&lt;&gt;"Inactivo"),C450&amp;" → "&amp;F450,"Sin transición"))</f>
        <v/>
      </c>
      <c r="H450" s="26" t="str">
        <f aca="false">IF(A450="","",IF(D450="GCIA LINEA SERVICIO DIGITALIDAD Y VENTAS","Chats",IF(OR(D450="GERENCIA INBOUND LÍNEAS SERVICIO Y VENTA",D450="GERENCIA INBOUND LINEAS ESPECIALIZADAS"),"Llamadas","Otro")))</f>
        <v/>
      </c>
      <c r="I450" s="26" t="str">
        <f aca="false">IF(A450="","",IF(C450="No encontrado","No","Sí"))</f>
        <v/>
      </c>
      <c r="J450" s="26" t="str">
        <f aca="false">IF(A450="","",IF(F450="Inactivo","No","Sí"))</f>
        <v/>
      </c>
      <c r="K450" s="26" t="str">
        <f aca="false">IF(A450="","",IF(AND(I450="Sí",J450="Sí"),"Sí","No"))</f>
        <v/>
      </c>
    </row>
    <row r="451" customFormat="false" ht="15" hidden="false" customHeight="false" outlineLevel="0" collapsed="false">
      <c r="A451" s="22"/>
      <c r="B451" s="22"/>
      <c r="C451" s="23" t="str">
        <f aca="false">IF(A451="","",IFERROR(buscarx(A451&amp;B451,DATA!$E$3:$E$10000&amp;DATA!$B$3:$B$10000,DATA!$M$3:$M$10000),"No encontrado"))</f>
        <v/>
      </c>
      <c r="D451" s="24" t="str">
        <f aca="false">IF(A451="","",IFERROR(buscarx(A451&amp;B451,DATA!$E$3:$E$10000&amp;DATA!$B$3:$B$10000,DATA!$W$3:$W$10000),"No encontrado"))</f>
        <v/>
      </c>
      <c r="E451" s="22"/>
      <c r="F451" s="23" t="str">
        <f aca="false">IF(A451="","",IFERROR(buscarx(A451&amp;E451,DATA!$E$3:$E$10000&amp;DATA!$B$3:$B$10000,DATA!$M$3:$M$10000),"Inactivo"))</f>
        <v/>
      </c>
      <c r="G451" s="25" t="str">
        <f aca="false">IF(A451="","",IF(AND(C451&lt;&gt;"No encontrado",F451&lt;&gt;"Inactivo"),C451&amp;" → "&amp;F451,"Sin transición"))</f>
        <v/>
      </c>
      <c r="H451" s="23" t="str">
        <f aca="false">IF(A451="","",IF(D451="GCIA LINEA SERVICIO DIGITALIDAD Y VENTAS","Chats",IF(OR(D451="GERENCIA INBOUND LÍNEAS SERVICIO Y VENTA",D451="GERENCIA INBOUND LINEAS ESPECIALIZADAS"),"Llamadas","Otro")))</f>
        <v/>
      </c>
      <c r="I451" s="23" t="str">
        <f aca="false">IF(A451="","",IF(C451="No encontrado","No","Sí"))</f>
        <v/>
      </c>
      <c r="J451" s="23" t="str">
        <f aca="false">IF(A451="","",IF(F451="Inactivo","No","Sí"))</f>
        <v/>
      </c>
      <c r="K451" s="23" t="str">
        <f aca="false">IF(A451="","",IF(AND(I451="Sí",J451="Sí"),"Sí","No"))</f>
        <v/>
      </c>
    </row>
    <row r="452" customFormat="false" ht="15" hidden="false" customHeight="false" outlineLevel="0" collapsed="false">
      <c r="A452" s="22"/>
      <c r="B452" s="22"/>
      <c r="C452" s="26" t="str">
        <f aca="false">IF(A452="","",IFERROR(buscarx(A452&amp;B452,DATA!$E$3:$E$10000&amp;DATA!$B$3:$B$10000,DATA!$M$3:$M$10000),"No encontrado"))</f>
        <v/>
      </c>
      <c r="D452" s="27" t="str">
        <f aca="false">IF(A452="","",IFERROR(buscarx(A452&amp;B452,DATA!$E$3:$E$10000&amp;DATA!$B$3:$B$10000,DATA!$W$3:$W$10000),"No encontrado"))</f>
        <v/>
      </c>
      <c r="E452" s="22"/>
      <c r="F452" s="26" t="str">
        <f aca="false">IF(A452="","",IFERROR(buscarx(A452&amp;E452,DATA!$E$3:$E$10000&amp;DATA!$B$3:$B$10000,DATA!$M$3:$M$10000),"Inactivo"))</f>
        <v/>
      </c>
      <c r="G452" s="28" t="str">
        <f aca="false">IF(A452="","",IF(AND(C452&lt;&gt;"No encontrado",F452&lt;&gt;"Inactivo"),C452&amp;" → "&amp;F452,"Sin transición"))</f>
        <v/>
      </c>
      <c r="H452" s="26" t="str">
        <f aca="false">IF(A452="","",IF(D452="GCIA LINEA SERVICIO DIGITALIDAD Y VENTAS","Chats",IF(OR(D452="GERENCIA INBOUND LÍNEAS SERVICIO Y VENTA",D452="GERENCIA INBOUND LINEAS ESPECIALIZADAS"),"Llamadas","Otro")))</f>
        <v/>
      </c>
      <c r="I452" s="26" t="str">
        <f aca="false">IF(A452="","",IF(C452="No encontrado","No","Sí"))</f>
        <v/>
      </c>
      <c r="J452" s="26" t="str">
        <f aca="false">IF(A452="","",IF(F452="Inactivo","No","Sí"))</f>
        <v/>
      </c>
      <c r="K452" s="26" t="str">
        <f aca="false">IF(A452="","",IF(AND(I452="Sí",J452="Sí"),"Sí","No"))</f>
        <v/>
      </c>
    </row>
    <row r="453" customFormat="false" ht="15" hidden="false" customHeight="false" outlineLevel="0" collapsed="false">
      <c r="A453" s="22"/>
      <c r="B453" s="22"/>
      <c r="C453" s="23" t="str">
        <f aca="false">IF(A453="","",IFERROR(buscarx(A453&amp;B453,DATA!$E$3:$E$10000&amp;DATA!$B$3:$B$10000,DATA!$M$3:$M$10000),"No encontrado"))</f>
        <v/>
      </c>
      <c r="D453" s="24" t="str">
        <f aca="false">IF(A453="","",IFERROR(buscarx(A453&amp;B453,DATA!$E$3:$E$10000&amp;DATA!$B$3:$B$10000,DATA!$W$3:$W$10000),"No encontrado"))</f>
        <v/>
      </c>
      <c r="E453" s="22"/>
      <c r="F453" s="23" t="str">
        <f aca="false">IF(A453="","",IFERROR(buscarx(A453&amp;E453,DATA!$E$3:$E$10000&amp;DATA!$B$3:$B$10000,DATA!$M$3:$M$10000),"Inactivo"))</f>
        <v/>
      </c>
      <c r="G453" s="25" t="str">
        <f aca="false">IF(A453="","",IF(AND(C453&lt;&gt;"No encontrado",F453&lt;&gt;"Inactivo"),C453&amp;" → "&amp;F453,"Sin transición"))</f>
        <v/>
      </c>
      <c r="H453" s="23" t="str">
        <f aca="false">IF(A453="","",IF(D453="GCIA LINEA SERVICIO DIGITALIDAD Y VENTAS","Chats",IF(OR(D453="GERENCIA INBOUND LÍNEAS SERVICIO Y VENTA",D453="GERENCIA INBOUND LINEAS ESPECIALIZADAS"),"Llamadas","Otro")))</f>
        <v/>
      </c>
      <c r="I453" s="23" t="str">
        <f aca="false">IF(A453="","",IF(C453="No encontrado","No","Sí"))</f>
        <v/>
      </c>
      <c r="J453" s="23" t="str">
        <f aca="false">IF(A453="","",IF(F453="Inactivo","No","Sí"))</f>
        <v/>
      </c>
      <c r="K453" s="23" t="str">
        <f aca="false">IF(A453="","",IF(AND(I453="Sí",J453="Sí"),"Sí","No"))</f>
        <v/>
      </c>
    </row>
    <row r="454" customFormat="false" ht="15" hidden="false" customHeight="false" outlineLevel="0" collapsed="false">
      <c r="A454" s="22"/>
      <c r="B454" s="22"/>
      <c r="C454" s="26" t="str">
        <f aca="false">IF(A454="","",IFERROR(buscarx(A454&amp;B454,DATA!$E$3:$E$10000&amp;DATA!$B$3:$B$10000,DATA!$M$3:$M$10000),"No encontrado"))</f>
        <v/>
      </c>
      <c r="D454" s="27" t="str">
        <f aca="false">IF(A454="","",IFERROR(buscarx(A454&amp;B454,DATA!$E$3:$E$10000&amp;DATA!$B$3:$B$10000,DATA!$W$3:$W$10000),"No encontrado"))</f>
        <v/>
      </c>
      <c r="E454" s="22"/>
      <c r="F454" s="26" t="str">
        <f aca="false">IF(A454="","",IFERROR(buscarx(A454&amp;E454,DATA!$E$3:$E$10000&amp;DATA!$B$3:$B$10000,DATA!$M$3:$M$10000),"Inactivo"))</f>
        <v/>
      </c>
      <c r="G454" s="28" t="str">
        <f aca="false">IF(A454="","",IF(AND(C454&lt;&gt;"No encontrado",F454&lt;&gt;"Inactivo"),C454&amp;" → "&amp;F454,"Sin transición"))</f>
        <v/>
      </c>
      <c r="H454" s="26" t="str">
        <f aca="false">IF(A454="","",IF(D454="GCIA LINEA SERVICIO DIGITALIDAD Y VENTAS","Chats",IF(OR(D454="GERENCIA INBOUND LÍNEAS SERVICIO Y VENTA",D454="GERENCIA INBOUND LINEAS ESPECIALIZADAS"),"Llamadas","Otro")))</f>
        <v/>
      </c>
      <c r="I454" s="26" t="str">
        <f aca="false">IF(A454="","",IF(C454="No encontrado","No","Sí"))</f>
        <v/>
      </c>
      <c r="J454" s="26" t="str">
        <f aca="false">IF(A454="","",IF(F454="Inactivo","No","Sí"))</f>
        <v/>
      </c>
      <c r="K454" s="26" t="str">
        <f aca="false">IF(A454="","",IF(AND(I454="Sí",J454="Sí"),"Sí","No"))</f>
        <v/>
      </c>
    </row>
    <row r="455" customFormat="false" ht="15" hidden="false" customHeight="false" outlineLevel="0" collapsed="false">
      <c r="A455" s="22"/>
      <c r="B455" s="22"/>
      <c r="C455" s="23" t="str">
        <f aca="false">IF(A455="","",IFERROR(buscarx(A455&amp;B455,DATA!$E$3:$E$10000&amp;DATA!$B$3:$B$10000,DATA!$M$3:$M$10000),"No encontrado"))</f>
        <v/>
      </c>
      <c r="D455" s="24" t="str">
        <f aca="false">IF(A455="","",IFERROR(buscarx(A455&amp;B455,DATA!$E$3:$E$10000&amp;DATA!$B$3:$B$10000,DATA!$W$3:$W$10000),"No encontrado"))</f>
        <v/>
      </c>
      <c r="E455" s="22"/>
      <c r="F455" s="23" t="str">
        <f aca="false">IF(A455="","",IFERROR(buscarx(A455&amp;E455,DATA!$E$3:$E$10000&amp;DATA!$B$3:$B$10000,DATA!$M$3:$M$10000),"Inactivo"))</f>
        <v/>
      </c>
      <c r="G455" s="25" t="str">
        <f aca="false">IF(A455="","",IF(AND(C455&lt;&gt;"No encontrado",F455&lt;&gt;"Inactivo"),C455&amp;" → "&amp;F455,"Sin transición"))</f>
        <v/>
      </c>
      <c r="H455" s="23" t="str">
        <f aca="false">IF(A455="","",IF(D455="GCIA LINEA SERVICIO DIGITALIDAD Y VENTAS","Chats",IF(OR(D455="GERENCIA INBOUND LÍNEAS SERVICIO Y VENTA",D455="GERENCIA INBOUND LINEAS ESPECIALIZADAS"),"Llamadas","Otro")))</f>
        <v/>
      </c>
      <c r="I455" s="23" t="str">
        <f aca="false">IF(A455="","",IF(C455="No encontrado","No","Sí"))</f>
        <v/>
      </c>
      <c r="J455" s="23" t="str">
        <f aca="false">IF(A455="","",IF(F455="Inactivo","No","Sí"))</f>
        <v/>
      </c>
      <c r="K455" s="23" t="str">
        <f aca="false">IF(A455="","",IF(AND(I455="Sí",J455="Sí"),"Sí","No"))</f>
        <v/>
      </c>
    </row>
    <row r="456" customFormat="false" ht="15" hidden="false" customHeight="false" outlineLevel="0" collapsed="false">
      <c r="A456" s="22"/>
      <c r="B456" s="22"/>
      <c r="C456" s="26" t="str">
        <f aca="false">IF(A456="","",IFERROR(buscarx(A456&amp;B456,DATA!$E$3:$E$10000&amp;DATA!$B$3:$B$10000,DATA!$M$3:$M$10000),"No encontrado"))</f>
        <v/>
      </c>
      <c r="D456" s="27" t="str">
        <f aca="false">IF(A456="","",IFERROR(buscarx(A456&amp;B456,DATA!$E$3:$E$10000&amp;DATA!$B$3:$B$10000,DATA!$W$3:$W$10000),"No encontrado"))</f>
        <v/>
      </c>
      <c r="E456" s="22"/>
      <c r="F456" s="26" t="str">
        <f aca="false">IF(A456="","",IFERROR(buscarx(A456&amp;E456,DATA!$E$3:$E$10000&amp;DATA!$B$3:$B$10000,DATA!$M$3:$M$10000),"Inactivo"))</f>
        <v/>
      </c>
      <c r="G456" s="28" t="str">
        <f aca="false">IF(A456="","",IF(AND(C456&lt;&gt;"No encontrado",F456&lt;&gt;"Inactivo"),C456&amp;" → "&amp;F456,"Sin transición"))</f>
        <v/>
      </c>
      <c r="H456" s="26" t="str">
        <f aca="false">IF(A456="","",IF(D456="GCIA LINEA SERVICIO DIGITALIDAD Y VENTAS","Chats",IF(OR(D456="GERENCIA INBOUND LÍNEAS SERVICIO Y VENTA",D456="GERENCIA INBOUND LINEAS ESPECIALIZADAS"),"Llamadas","Otro")))</f>
        <v/>
      </c>
      <c r="I456" s="26" t="str">
        <f aca="false">IF(A456="","",IF(C456="No encontrado","No","Sí"))</f>
        <v/>
      </c>
      <c r="J456" s="26" t="str">
        <f aca="false">IF(A456="","",IF(F456="Inactivo","No","Sí"))</f>
        <v/>
      </c>
      <c r="K456" s="26" t="str">
        <f aca="false">IF(A456="","",IF(AND(I456="Sí",J456="Sí"),"Sí","No"))</f>
        <v/>
      </c>
    </row>
    <row r="457" customFormat="false" ht="15" hidden="false" customHeight="false" outlineLevel="0" collapsed="false">
      <c r="A457" s="22"/>
      <c r="B457" s="22"/>
      <c r="C457" s="23" t="str">
        <f aca="false">IF(A457="","",IFERROR(buscarx(A457&amp;B457,DATA!$E$3:$E$10000&amp;DATA!$B$3:$B$10000,DATA!$M$3:$M$10000),"No encontrado"))</f>
        <v/>
      </c>
      <c r="D457" s="24" t="str">
        <f aca="false">IF(A457="","",IFERROR(buscarx(A457&amp;B457,DATA!$E$3:$E$10000&amp;DATA!$B$3:$B$10000,DATA!$W$3:$W$10000),"No encontrado"))</f>
        <v/>
      </c>
      <c r="E457" s="22"/>
      <c r="F457" s="23" t="str">
        <f aca="false">IF(A457="","",IFERROR(buscarx(A457&amp;E457,DATA!$E$3:$E$10000&amp;DATA!$B$3:$B$10000,DATA!$M$3:$M$10000),"Inactivo"))</f>
        <v/>
      </c>
      <c r="G457" s="25" t="str">
        <f aca="false">IF(A457="","",IF(AND(C457&lt;&gt;"No encontrado",F457&lt;&gt;"Inactivo"),C457&amp;" → "&amp;F457,"Sin transición"))</f>
        <v/>
      </c>
      <c r="H457" s="23" t="str">
        <f aca="false">IF(A457="","",IF(D457="GCIA LINEA SERVICIO DIGITALIDAD Y VENTAS","Chats",IF(OR(D457="GERENCIA INBOUND LÍNEAS SERVICIO Y VENTA",D457="GERENCIA INBOUND LINEAS ESPECIALIZADAS"),"Llamadas","Otro")))</f>
        <v/>
      </c>
      <c r="I457" s="23" t="str">
        <f aca="false">IF(A457="","",IF(C457="No encontrado","No","Sí"))</f>
        <v/>
      </c>
      <c r="J457" s="23" t="str">
        <f aca="false">IF(A457="","",IF(F457="Inactivo","No","Sí"))</f>
        <v/>
      </c>
      <c r="K457" s="23" t="str">
        <f aca="false">IF(A457="","",IF(AND(I457="Sí",J457="Sí"),"Sí","No"))</f>
        <v/>
      </c>
    </row>
    <row r="458" customFormat="false" ht="15" hidden="false" customHeight="false" outlineLevel="0" collapsed="false">
      <c r="A458" s="22"/>
      <c r="B458" s="22"/>
      <c r="C458" s="26" t="str">
        <f aca="false">IF(A458="","",IFERROR(buscarx(A458&amp;B458,DATA!$E$3:$E$10000&amp;DATA!$B$3:$B$10000,DATA!$M$3:$M$10000),"No encontrado"))</f>
        <v/>
      </c>
      <c r="D458" s="27" t="str">
        <f aca="false">IF(A458="","",IFERROR(buscarx(A458&amp;B458,DATA!$E$3:$E$10000&amp;DATA!$B$3:$B$10000,DATA!$W$3:$W$10000),"No encontrado"))</f>
        <v/>
      </c>
      <c r="E458" s="22"/>
      <c r="F458" s="26" t="str">
        <f aca="false">IF(A458="","",IFERROR(buscarx(A458&amp;E458,DATA!$E$3:$E$10000&amp;DATA!$B$3:$B$10000,DATA!$M$3:$M$10000),"Inactivo"))</f>
        <v/>
      </c>
      <c r="G458" s="28" t="str">
        <f aca="false">IF(A458="","",IF(AND(C458&lt;&gt;"No encontrado",F458&lt;&gt;"Inactivo"),C458&amp;" → "&amp;F458,"Sin transición"))</f>
        <v/>
      </c>
      <c r="H458" s="26" t="str">
        <f aca="false">IF(A458="","",IF(D458="GCIA LINEA SERVICIO DIGITALIDAD Y VENTAS","Chats",IF(OR(D458="GERENCIA INBOUND LÍNEAS SERVICIO Y VENTA",D458="GERENCIA INBOUND LINEAS ESPECIALIZADAS"),"Llamadas","Otro")))</f>
        <v/>
      </c>
      <c r="I458" s="26" t="str">
        <f aca="false">IF(A458="","",IF(C458="No encontrado","No","Sí"))</f>
        <v/>
      </c>
      <c r="J458" s="26" t="str">
        <f aca="false">IF(A458="","",IF(F458="Inactivo","No","Sí"))</f>
        <v/>
      </c>
      <c r="K458" s="26" t="str">
        <f aca="false">IF(A458="","",IF(AND(I458="Sí",J458="Sí"),"Sí","No"))</f>
        <v/>
      </c>
    </row>
    <row r="459" customFormat="false" ht="15" hidden="false" customHeight="false" outlineLevel="0" collapsed="false">
      <c r="A459" s="22"/>
      <c r="B459" s="22"/>
      <c r="C459" s="23" t="str">
        <f aca="false">IF(A459="","",IFERROR(buscarx(A459&amp;B459,DATA!$E$3:$E$10000&amp;DATA!$B$3:$B$10000,DATA!$M$3:$M$10000),"No encontrado"))</f>
        <v/>
      </c>
      <c r="D459" s="24" t="str">
        <f aca="false">IF(A459="","",IFERROR(buscarx(A459&amp;B459,DATA!$E$3:$E$10000&amp;DATA!$B$3:$B$10000,DATA!$W$3:$W$10000),"No encontrado"))</f>
        <v/>
      </c>
      <c r="E459" s="22"/>
      <c r="F459" s="23" t="str">
        <f aca="false">IF(A459="","",IFERROR(buscarx(A459&amp;E459,DATA!$E$3:$E$10000&amp;DATA!$B$3:$B$10000,DATA!$M$3:$M$10000),"Inactivo"))</f>
        <v/>
      </c>
      <c r="G459" s="25" t="str">
        <f aca="false">IF(A459="","",IF(AND(C459&lt;&gt;"No encontrado",F459&lt;&gt;"Inactivo"),C459&amp;" → "&amp;F459,"Sin transición"))</f>
        <v/>
      </c>
      <c r="H459" s="23" t="str">
        <f aca="false">IF(A459="","",IF(D459="GCIA LINEA SERVICIO DIGITALIDAD Y VENTAS","Chats",IF(OR(D459="GERENCIA INBOUND LÍNEAS SERVICIO Y VENTA",D459="GERENCIA INBOUND LINEAS ESPECIALIZADAS"),"Llamadas","Otro")))</f>
        <v/>
      </c>
      <c r="I459" s="23" t="str">
        <f aca="false">IF(A459="","",IF(C459="No encontrado","No","Sí"))</f>
        <v/>
      </c>
      <c r="J459" s="23" t="str">
        <f aca="false">IF(A459="","",IF(F459="Inactivo","No","Sí"))</f>
        <v/>
      </c>
      <c r="K459" s="23" t="str">
        <f aca="false">IF(A459="","",IF(AND(I459="Sí",J459="Sí"),"Sí","No"))</f>
        <v/>
      </c>
    </row>
    <row r="460" customFormat="false" ht="15" hidden="false" customHeight="false" outlineLevel="0" collapsed="false">
      <c r="A460" s="22"/>
      <c r="B460" s="22"/>
      <c r="C460" s="26" t="str">
        <f aca="false">IF(A460="","",IFERROR(buscarx(A460&amp;B460,DATA!$E$3:$E$10000&amp;DATA!$B$3:$B$10000,DATA!$M$3:$M$10000),"No encontrado"))</f>
        <v/>
      </c>
      <c r="D460" s="27" t="str">
        <f aca="false">IF(A460="","",IFERROR(buscarx(A460&amp;B460,DATA!$E$3:$E$10000&amp;DATA!$B$3:$B$10000,DATA!$W$3:$W$10000),"No encontrado"))</f>
        <v/>
      </c>
      <c r="E460" s="22"/>
      <c r="F460" s="26" t="str">
        <f aca="false">IF(A460="","",IFERROR(buscarx(A460&amp;E460,DATA!$E$3:$E$10000&amp;DATA!$B$3:$B$10000,DATA!$M$3:$M$10000),"Inactivo"))</f>
        <v/>
      </c>
      <c r="G460" s="28" t="str">
        <f aca="false">IF(A460="","",IF(AND(C460&lt;&gt;"No encontrado",F460&lt;&gt;"Inactivo"),C460&amp;" → "&amp;F460,"Sin transición"))</f>
        <v/>
      </c>
      <c r="H460" s="26" t="str">
        <f aca="false">IF(A460="","",IF(D460="GCIA LINEA SERVICIO DIGITALIDAD Y VENTAS","Chats",IF(OR(D460="GERENCIA INBOUND LÍNEAS SERVICIO Y VENTA",D460="GERENCIA INBOUND LINEAS ESPECIALIZADAS"),"Llamadas","Otro")))</f>
        <v/>
      </c>
      <c r="I460" s="26" t="str">
        <f aca="false">IF(A460="","",IF(C460="No encontrado","No","Sí"))</f>
        <v/>
      </c>
      <c r="J460" s="26" t="str">
        <f aca="false">IF(A460="","",IF(F460="Inactivo","No","Sí"))</f>
        <v/>
      </c>
      <c r="K460" s="26" t="str">
        <f aca="false">IF(A460="","",IF(AND(I460="Sí",J460="Sí"),"Sí","No"))</f>
        <v/>
      </c>
    </row>
    <row r="461" customFormat="false" ht="15" hidden="false" customHeight="false" outlineLevel="0" collapsed="false">
      <c r="A461" s="22"/>
      <c r="B461" s="22"/>
      <c r="C461" s="23" t="str">
        <f aca="false">IF(A461="","",IFERROR(buscarx(A461&amp;B461,DATA!$E$3:$E$10000&amp;DATA!$B$3:$B$10000,DATA!$M$3:$M$10000),"No encontrado"))</f>
        <v/>
      </c>
      <c r="D461" s="24" t="str">
        <f aca="false">IF(A461="","",IFERROR(buscarx(A461&amp;B461,DATA!$E$3:$E$10000&amp;DATA!$B$3:$B$10000,DATA!$W$3:$W$10000),"No encontrado"))</f>
        <v/>
      </c>
      <c r="E461" s="22"/>
      <c r="F461" s="23" t="str">
        <f aca="false">IF(A461="","",IFERROR(buscarx(A461&amp;E461,DATA!$E$3:$E$10000&amp;DATA!$B$3:$B$10000,DATA!$M$3:$M$10000),"Inactivo"))</f>
        <v/>
      </c>
      <c r="G461" s="25" t="str">
        <f aca="false">IF(A461="","",IF(AND(C461&lt;&gt;"No encontrado",F461&lt;&gt;"Inactivo"),C461&amp;" → "&amp;F461,"Sin transición"))</f>
        <v/>
      </c>
      <c r="H461" s="23" t="str">
        <f aca="false">IF(A461="","",IF(D461="GCIA LINEA SERVICIO DIGITALIDAD Y VENTAS","Chats",IF(OR(D461="GERENCIA INBOUND LÍNEAS SERVICIO Y VENTA",D461="GERENCIA INBOUND LINEAS ESPECIALIZADAS"),"Llamadas","Otro")))</f>
        <v/>
      </c>
      <c r="I461" s="23" t="str">
        <f aca="false">IF(A461="","",IF(C461="No encontrado","No","Sí"))</f>
        <v/>
      </c>
      <c r="J461" s="23" t="str">
        <f aca="false">IF(A461="","",IF(F461="Inactivo","No","Sí"))</f>
        <v/>
      </c>
      <c r="K461" s="23" t="str">
        <f aca="false">IF(A461="","",IF(AND(I461="Sí",J461="Sí"),"Sí","No"))</f>
        <v/>
      </c>
    </row>
    <row r="462" customFormat="false" ht="15" hidden="false" customHeight="false" outlineLevel="0" collapsed="false">
      <c r="A462" s="22"/>
      <c r="B462" s="22"/>
      <c r="C462" s="26" t="str">
        <f aca="false">IF(A462="","",IFERROR(buscarx(A462&amp;B462,DATA!$E$3:$E$10000&amp;DATA!$B$3:$B$10000,DATA!$M$3:$M$10000),"No encontrado"))</f>
        <v/>
      </c>
      <c r="D462" s="27" t="str">
        <f aca="false">IF(A462="","",IFERROR(buscarx(A462&amp;B462,DATA!$E$3:$E$10000&amp;DATA!$B$3:$B$10000,DATA!$W$3:$W$10000),"No encontrado"))</f>
        <v/>
      </c>
      <c r="E462" s="22"/>
      <c r="F462" s="26" t="str">
        <f aca="false">IF(A462="","",IFERROR(buscarx(A462&amp;E462,DATA!$E$3:$E$10000&amp;DATA!$B$3:$B$10000,DATA!$M$3:$M$10000),"Inactivo"))</f>
        <v/>
      </c>
      <c r="G462" s="28" t="str">
        <f aca="false">IF(A462="","",IF(AND(C462&lt;&gt;"No encontrado",F462&lt;&gt;"Inactivo"),C462&amp;" → "&amp;F462,"Sin transición"))</f>
        <v/>
      </c>
      <c r="H462" s="26" t="str">
        <f aca="false">IF(A462="","",IF(D462="GCIA LINEA SERVICIO DIGITALIDAD Y VENTAS","Chats",IF(OR(D462="GERENCIA INBOUND LÍNEAS SERVICIO Y VENTA",D462="GERENCIA INBOUND LINEAS ESPECIALIZADAS"),"Llamadas","Otro")))</f>
        <v/>
      </c>
      <c r="I462" s="26" t="str">
        <f aca="false">IF(A462="","",IF(C462="No encontrado","No","Sí"))</f>
        <v/>
      </c>
      <c r="J462" s="26" t="str">
        <f aca="false">IF(A462="","",IF(F462="Inactivo","No","Sí"))</f>
        <v/>
      </c>
      <c r="K462" s="26" t="str">
        <f aca="false">IF(A462="","",IF(AND(I462="Sí",J462="Sí"),"Sí","No"))</f>
        <v/>
      </c>
    </row>
    <row r="463" customFormat="false" ht="15" hidden="false" customHeight="false" outlineLevel="0" collapsed="false">
      <c r="A463" s="22"/>
      <c r="B463" s="22"/>
      <c r="C463" s="23" t="str">
        <f aca="false">IF(A463="","",IFERROR(buscarx(A463&amp;B463,DATA!$E$3:$E$10000&amp;DATA!$B$3:$B$10000,DATA!$M$3:$M$10000),"No encontrado"))</f>
        <v/>
      </c>
      <c r="D463" s="24" t="str">
        <f aca="false">IF(A463="","",IFERROR(buscarx(A463&amp;B463,DATA!$E$3:$E$10000&amp;DATA!$B$3:$B$10000,DATA!$W$3:$W$10000),"No encontrado"))</f>
        <v/>
      </c>
      <c r="E463" s="22"/>
      <c r="F463" s="23" t="str">
        <f aca="false">IF(A463="","",IFERROR(buscarx(A463&amp;E463,DATA!$E$3:$E$10000&amp;DATA!$B$3:$B$10000,DATA!$M$3:$M$10000),"Inactivo"))</f>
        <v/>
      </c>
      <c r="G463" s="25" t="str">
        <f aca="false">IF(A463="","",IF(AND(C463&lt;&gt;"No encontrado",F463&lt;&gt;"Inactivo"),C463&amp;" → "&amp;F463,"Sin transición"))</f>
        <v/>
      </c>
      <c r="H463" s="23" t="str">
        <f aca="false">IF(A463="","",IF(D463="GCIA LINEA SERVICIO DIGITALIDAD Y VENTAS","Chats",IF(OR(D463="GERENCIA INBOUND LÍNEAS SERVICIO Y VENTA",D463="GERENCIA INBOUND LINEAS ESPECIALIZADAS"),"Llamadas","Otro")))</f>
        <v/>
      </c>
      <c r="I463" s="23" t="str">
        <f aca="false">IF(A463="","",IF(C463="No encontrado","No","Sí"))</f>
        <v/>
      </c>
      <c r="J463" s="23" t="str">
        <f aca="false">IF(A463="","",IF(F463="Inactivo","No","Sí"))</f>
        <v/>
      </c>
      <c r="K463" s="23" t="str">
        <f aca="false">IF(A463="","",IF(AND(I463="Sí",J463="Sí"),"Sí","No"))</f>
        <v/>
      </c>
    </row>
    <row r="464" customFormat="false" ht="15" hidden="false" customHeight="false" outlineLevel="0" collapsed="false">
      <c r="A464" s="22"/>
      <c r="B464" s="22"/>
      <c r="C464" s="26" t="str">
        <f aca="false">IF(A464="","",IFERROR(buscarx(A464&amp;B464,DATA!$E$3:$E$10000&amp;DATA!$B$3:$B$10000,DATA!$M$3:$M$10000),"No encontrado"))</f>
        <v/>
      </c>
      <c r="D464" s="27" t="str">
        <f aca="false">IF(A464="","",IFERROR(buscarx(A464&amp;B464,DATA!$E$3:$E$10000&amp;DATA!$B$3:$B$10000,DATA!$W$3:$W$10000),"No encontrado"))</f>
        <v/>
      </c>
      <c r="E464" s="22"/>
      <c r="F464" s="26" t="str">
        <f aca="false">IF(A464="","",IFERROR(buscarx(A464&amp;E464,DATA!$E$3:$E$10000&amp;DATA!$B$3:$B$10000,DATA!$M$3:$M$10000),"Inactivo"))</f>
        <v/>
      </c>
      <c r="G464" s="28" t="str">
        <f aca="false">IF(A464="","",IF(AND(C464&lt;&gt;"No encontrado",F464&lt;&gt;"Inactivo"),C464&amp;" → "&amp;F464,"Sin transición"))</f>
        <v/>
      </c>
      <c r="H464" s="26" t="str">
        <f aca="false">IF(A464="","",IF(D464="GCIA LINEA SERVICIO DIGITALIDAD Y VENTAS","Chats",IF(OR(D464="GERENCIA INBOUND LÍNEAS SERVICIO Y VENTA",D464="GERENCIA INBOUND LINEAS ESPECIALIZADAS"),"Llamadas","Otro")))</f>
        <v/>
      </c>
      <c r="I464" s="26" t="str">
        <f aca="false">IF(A464="","",IF(C464="No encontrado","No","Sí"))</f>
        <v/>
      </c>
      <c r="J464" s="26" t="str">
        <f aca="false">IF(A464="","",IF(F464="Inactivo","No","Sí"))</f>
        <v/>
      </c>
      <c r="K464" s="26" t="str">
        <f aca="false">IF(A464="","",IF(AND(I464="Sí",J464="Sí"),"Sí","No"))</f>
        <v/>
      </c>
    </row>
    <row r="465" customFormat="false" ht="15" hidden="false" customHeight="false" outlineLevel="0" collapsed="false">
      <c r="A465" s="22"/>
      <c r="B465" s="22"/>
      <c r="C465" s="23" t="str">
        <f aca="false">IF(A465="","",IFERROR(buscarx(A465&amp;B465,DATA!$E$3:$E$10000&amp;DATA!$B$3:$B$10000,DATA!$M$3:$M$10000),"No encontrado"))</f>
        <v/>
      </c>
      <c r="D465" s="24" t="str">
        <f aca="false">IF(A465="","",IFERROR(buscarx(A465&amp;B465,DATA!$E$3:$E$10000&amp;DATA!$B$3:$B$10000,DATA!$W$3:$W$10000),"No encontrado"))</f>
        <v/>
      </c>
      <c r="E465" s="22"/>
      <c r="F465" s="23" t="str">
        <f aca="false">IF(A465="","",IFERROR(buscarx(A465&amp;E465,DATA!$E$3:$E$10000&amp;DATA!$B$3:$B$10000,DATA!$M$3:$M$10000),"Inactivo"))</f>
        <v/>
      </c>
      <c r="G465" s="25" t="str">
        <f aca="false">IF(A465="","",IF(AND(C465&lt;&gt;"No encontrado",F465&lt;&gt;"Inactivo"),C465&amp;" → "&amp;F465,"Sin transición"))</f>
        <v/>
      </c>
      <c r="H465" s="23" t="str">
        <f aca="false">IF(A465="","",IF(D465="GCIA LINEA SERVICIO DIGITALIDAD Y VENTAS","Chats",IF(OR(D465="GERENCIA INBOUND LÍNEAS SERVICIO Y VENTA",D465="GERENCIA INBOUND LINEAS ESPECIALIZADAS"),"Llamadas","Otro")))</f>
        <v/>
      </c>
      <c r="I465" s="23" t="str">
        <f aca="false">IF(A465="","",IF(C465="No encontrado","No","Sí"))</f>
        <v/>
      </c>
      <c r="J465" s="23" t="str">
        <f aca="false">IF(A465="","",IF(F465="Inactivo","No","Sí"))</f>
        <v/>
      </c>
      <c r="K465" s="23" t="str">
        <f aca="false">IF(A465="","",IF(AND(I465="Sí",J465="Sí"),"Sí","No"))</f>
        <v/>
      </c>
    </row>
    <row r="466" customFormat="false" ht="15" hidden="false" customHeight="false" outlineLevel="0" collapsed="false">
      <c r="A466" s="22"/>
      <c r="B466" s="22"/>
      <c r="C466" s="26" t="str">
        <f aca="false">IF(A466="","",IFERROR(buscarx(A466&amp;B466,DATA!$E$3:$E$10000&amp;DATA!$B$3:$B$10000,DATA!$M$3:$M$10000),"No encontrado"))</f>
        <v/>
      </c>
      <c r="D466" s="27" t="str">
        <f aca="false">IF(A466="","",IFERROR(buscarx(A466&amp;B466,DATA!$E$3:$E$10000&amp;DATA!$B$3:$B$10000,DATA!$W$3:$W$10000),"No encontrado"))</f>
        <v/>
      </c>
      <c r="E466" s="22"/>
      <c r="F466" s="26" t="str">
        <f aca="false">IF(A466="","",IFERROR(buscarx(A466&amp;E466,DATA!$E$3:$E$10000&amp;DATA!$B$3:$B$10000,DATA!$M$3:$M$10000),"Inactivo"))</f>
        <v/>
      </c>
      <c r="G466" s="28" t="str">
        <f aca="false">IF(A466="","",IF(AND(C466&lt;&gt;"No encontrado",F466&lt;&gt;"Inactivo"),C466&amp;" → "&amp;F466,"Sin transición"))</f>
        <v/>
      </c>
      <c r="H466" s="26" t="str">
        <f aca="false">IF(A466="","",IF(D466="GCIA LINEA SERVICIO DIGITALIDAD Y VENTAS","Chats",IF(OR(D466="GERENCIA INBOUND LÍNEAS SERVICIO Y VENTA",D466="GERENCIA INBOUND LINEAS ESPECIALIZADAS"),"Llamadas","Otro")))</f>
        <v/>
      </c>
      <c r="I466" s="26" t="str">
        <f aca="false">IF(A466="","",IF(C466="No encontrado","No","Sí"))</f>
        <v/>
      </c>
      <c r="J466" s="26" t="str">
        <f aca="false">IF(A466="","",IF(F466="Inactivo","No","Sí"))</f>
        <v/>
      </c>
      <c r="K466" s="26" t="str">
        <f aca="false">IF(A466="","",IF(AND(I466="Sí",J466="Sí"),"Sí","No"))</f>
        <v/>
      </c>
    </row>
    <row r="467" customFormat="false" ht="15" hidden="false" customHeight="false" outlineLevel="0" collapsed="false">
      <c r="A467" s="22"/>
      <c r="B467" s="22"/>
      <c r="C467" s="23" t="str">
        <f aca="false">IF(A467="","",IFERROR(buscarx(A467&amp;B467,DATA!$E$3:$E$10000&amp;DATA!$B$3:$B$10000,DATA!$M$3:$M$10000),"No encontrado"))</f>
        <v/>
      </c>
      <c r="D467" s="24" t="str">
        <f aca="false">IF(A467="","",IFERROR(buscarx(A467&amp;B467,DATA!$E$3:$E$10000&amp;DATA!$B$3:$B$10000,DATA!$W$3:$W$10000),"No encontrado"))</f>
        <v/>
      </c>
      <c r="E467" s="22"/>
      <c r="F467" s="23" t="str">
        <f aca="false">IF(A467="","",IFERROR(buscarx(A467&amp;E467,DATA!$E$3:$E$10000&amp;DATA!$B$3:$B$10000,DATA!$M$3:$M$10000),"Inactivo"))</f>
        <v/>
      </c>
      <c r="G467" s="25" t="str">
        <f aca="false">IF(A467="","",IF(AND(C467&lt;&gt;"No encontrado",F467&lt;&gt;"Inactivo"),C467&amp;" → "&amp;F467,"Sin transición"))</f>
        <v/>
      </c>
      <c r="H467" s="23" t="str">
        <f aca="false">IF(A467="","",IF(D467="GCIA LINEA SERVICIO DIGITALIDAD Y VENTAS","Chats",IF(OR(D467="GERENCIA INBOUND LÍNEAS SERVICIO Y VENTA",D467="GERENCIA INBOUND LINEAS ESPECIALIZADAS"),"Llamadas","Otro")))</f>
        <v/>
      </c>
      <c r="I467" s="23" t="str">
        <f aca="false">IF(A467="","",IF(C467="No encontrado","No","Sí"))</f>
        <v/>
      </c>
      <c r="J467" s="23" t="str">
        <f aca="false">IF(A467="","",IF(F467="Inactivo","No","Sí"))</f>
        <v/>
      </c>
      <c r="K467" s="23" t="str">
        <f aca="false">IF(A467="","",IF(AND(I467="Sí",J467="Sí"),"Sí","No"))</f>
        <v/>
      </c>
    </row>
    <row r="468" customFormat="false" ht="15" hidden="false" customHeight="false" outlineLevel="0" collapsed="false">
      <c r="A468" s="22"/>
      <c r="B468" s="22"/>
      <c r="C468" s="26" t="str">
        <f aca="false">IF(A468="","",IFERROR(buscarx(A468&amp;B468,DATA!$E$3:$E$10000&amp;DATA!$B$3:$B$10000,DATA!$M$3:$M$10000),"No encontrado"))</f>
        <v/>
      </c>
      <c r="D468" s="27" t="str">
        <f aca="false">IF(A468="","",IFERROR(buscarx(A468&amp;B468,DATA!$E$3:$E$10000&amp;DATA!$B$3:$B$10000,DATA!$W$3:$W$10000),"No encontrado"))</f>
        <v/>
      </c>
      <c r="E468" s="22"/>
      <c r="F468" s="26" t="str">
        <f aca="false">IF(A468="","",IFERROR(buscarx(A468&amp;E468,DATA!$E$3:$E$10000&amp;DATA!$B$3:$B$10000,DATA!$M$3:$M$10000),"Inactivo"))</f>
        <v/>
      </c>
      <c r="G468" s="28" t="str">
        <f aca="false">IF(A468="","",IF(AND(C468&lt;&gt;"No encontrado",F468&lt;&gt;"Inactivo"),C468&amp;" → "&amp;F468,"Sin transición"))</f>
        <v/>
      </c>
      <c r="H468" s="26" t="str">
        <f aca="false">IF(A468="","",IF(D468="GCIA LINEA SERVICIO DIGITALIDAD Y VENTAS","Chats",IF(OR(D468="GERENCIA INBOUND LÍNEAS SERVICIO Y VENTA",D468="GERENCIA INBOUND LINEAS ESPECIALIZADAS"),"Llamadas","Otro")))</f>
        <v/>
      </c>
      <c r="I468" s="26" t="str">
        <f aca="false">IF(A468="","",IF(C468="No encontrado","No","Sí"))</f>
        <v/>
      </c>
      <c r="J468" s="26" t="str">
        <f aca="false">IF(A468="","",IF(F468="Inactivo","No","Sí"))</f>
        <v/>
      </c>
      <c r="K468" s="26" t="str">
        <f aca="false">IF(A468="","",IF(AND(I468="Sí",J468="Sí"),"Sí","No"))</f>
        <v/>
      </c>
    </row>
    <row r="469" customFormat="false" ht="15" hidden="false" customHeight="false" outlineLevel="0" collapsed="false">
      <c r="A469" s="22"/>
      <c r="B469" s="22"/>
      <c r="C469" s="23" t="str">
        <f aca="false">IF(A469="","",IFERROR(buscarx(A469&amp;B469,DATA!$E$3:$E$10000&amp;DATA!$B$3:$B$10000,DATA!$M$3:$M$10000),"No encontrado"))</f>
        <v/>
      </c>
      <c r="D469" s="24" t="str">
        <f aca="false">IF(A469="","",IFERROR(buscarx(A469&amp;B469,DATA!$E$3:$E$10000&amp;DATA!$B$3:$B$10000,DATA!$W$3:$W$10000),"No encontrado"))</f>
        <v/>
      </c>
      <c r="E469" s="22"/>
      <c r="F469" s="23" t="str">
        <f aca="false">IF(A469="","",IFERROR(buscarx(A469&amp;E469,DATA!$E$3:$E$10000&amp;DATA!$B$3:$B$10000,DATA!$M$3:$M$10000),"Inactivo"))</f>
        <v/>
      </c>
      <c r="G469" s="25" t="str">
        <f aca="false">IF(A469="","",IF(AND(C469&lt;&gt;"No encontrado",F469&lt;&gt;"Inactivo"),C469&amp;" → "&amp;F469,"Sin transición"))</f>
        <v/>
      </c>
      <c r="H469" s="23" t="str">
        <f aca="false">IF(A469="","",IF(D469="GCIA LINEA SERVICIO DIGITALIDAD Y VENTAS","Chats",IF(OR(D469="GERENCIA INBOUND LÍNEAS SERVICIO Y VENTA",D469="GERENCIA INBOUND LINEAS ESPECIALIZADAS"),"Llamadas","Otro")))</f>
        <v/>
      </c>
      <c r="I469" s="23" t="str">
        <f aca="false">IF(A469="","",IF(C469="No encontrado","No","Sí"))</f>
        <v/>
      </c>
      <c r="J469" s="23" t="str">
        <f aca="false">IF(A469="","",IF(F469="Inactivo","No","Sí"))</f>
        <v/>
      </c>
      <c r="K469" s="23" t="str">
        <f aca="false">IF(A469="","",IF(AND(I469="Sí",J469="Sí"),"Sí","No"))</f>
        <v/>
      </c>
    </row>
    <row r="470" customFormat="false" ht="15" hidden="false" customHeight="false" outlineLevel="0" collapsed="false">
      <c r="A470" s="22"/>
      <c r="B470" s="22"/>
      <c r="C470" s="26" t="str">
        <f aca="false">IF(A470="","",IFERROR(buscarx(A470&amp;B470,DATA!$E$3:$E$10000&amp;DATA!$B$3:$B$10000,DATA!$M$3:$M$10000),"No encontrado"))</f>
        <v/>
      </c>
      <c r="D470" s="27" t="str">
        <f aca="false">IF(A470="","",IFERROR(buscarx(A470&amp;B470,DATA!$E$3:$E$10000&amp;DATA!$B$3:$B$10000,DATA!$W$3:$W$10000),"No encontrado"))</f>
        <v/>
      </c>
      <c r="E470" s="22"/>
      <c r="F470" s="26" t="str">
        <f aca="false">IF(A470="","",IFERROR(buscarx(A470&amp;E470,DATA!$E$3:$E$10000&amp;DATA!$B$3:$B$10000,DATA!$M$3:$M$10000),"Inactivo"))</f>
        <v/>
      </c>
      <c r="G470" s="28" t="str">
        <f aca="false">IF(A470="","",IF(AND(C470&lt;&gt;"No encontrado",F470&lt;&gt;"Inactivo"),C470&amp;" → "&amp;F470,"Sin transición"))</f>
        <v/>
      </c>
      <c r="H470" s="26" t="str">
        <f aca="false">IF(A470="","",IF(D470="GCIA LINEA SERVICIO DIGITALIDAD Y VENTAS","Chats",IF(OR(D470="GERENCIA INBOUND LÍNEAS SERVICIO Y VENTA",D470="GERENCIA INBOUND LINEAS ESPECIALIZADAS"),"Llamadas","Otro")))</f>
        <v/>
      </c>
      <c r="I470" s="26" t="str">
        <f aca="false">IF(A470="","",IF(C470="No encontrado","No","Sí"))</f>
        <v/>
      </c>
      <c r="J470" s="26" t="str">
        <f aca="false">IF(A470="","",IF(F470="Inactivo","No","Sí"))</f>
        <v/>
      </c>
      <c r="K470" s="26" t="str">
        <f aca="false">IF(A470="","",IF(AND(I470="Sí",J470="Sí"),"Sí","No"))</f>
        <v/>
      </c>
    </row>
    <row r="471" customFormat="false" ht="15" hidden="false" customHeight="false" outlineLevel="0" collapsed="false">
      <c r="A471" s="22"/>
      <c r="B471" s="22"/>
      <c r="C471" s="23" t="str">
        <f aca="false">IF(A471="","",IFERROR(buscarx(A471&amp;B471,DATA!$E$3:$E$10000&amp;DATA!$B$3:$B$10000,DATA!$M$3:$M$10000),"No encontrado"))</f>
        <v/>
      </c>
      <c r="D471" s="24" t="str">
        <f aca="false">IF(A471="","",IFERROR(buscarx(A471&amp;B471,DATA!$E$3:$E$10000&amp;DATA!$B$3:$B$10000,DATA!$W$3:$W$10000),"No encontrado"))</f>
        <v/>
      </c>
      <c r="E471" s="22"/>
      <c r="F471" s="23" t="str">
        <f aca="false">IF(A471="","",IFERROR(buscarx(A471&amp;E471,DATA!$E$3:$E$10000&amp;DATA!$B$3:$B$10000,DATA!$M$3:$M$10000),"Inactivo"))</f>
        <v/>
      </c>
      <c r="G471" s="25" t="str">
        <f aca="false">IF(A471="","",IF(AND(C471&lt;&gt;"No encontrado",F471&lt;&gt;"Inactivo"),C471&amp;" → "&amp;F471,"Sin transición"))</f>
        <v/>
      </c>
      <c r="H471" s="23" t="str">
        <f aca="false">IF(A471="","",IF(D471="GCIA LINEA SERVICIO DIGITALIDAD Y VENTAS","Chats",IF(OR(D471="GERENCIA INBOUND LÍNEAS SERVICIO Y VENTA",D471="GERENCIA INBOUND LINEAS ESPECIALIZADAS"),"Llamadas","Otro")))</f>
        <v/>
      </c>
      <c r="I471" s="23" t="str">
        <f aca="false">IF(A471="","",IF(C471="No encontrado","No","Sí"))</f>
        <v/>
      </c>
      <c r="J471" s="23" t="str">
        <f aca="false">IF(A471="","",IF(F471="Inactivo","No","Sí"))</f>
        <v/>
      </c>
      <c r="K471" s="23" t="str">
        <f aca="false">IF(A471="","",IF(AND(I471="Sí",J471="Sí"),"Sí","No"))</f>
        <v/>
      </c>
    </row>
    <row r="472" customFormat="false" ht="15" hidden="false" customHeight="false" outlineLevel="0" collapsed="false">
      <c r="A472" s="22"/>
      <c r="B472" s="22"/>
      <c r="C472" s="26" t="str">
        <f aca="false">IF(A472="","",IFERROR(buscarx(A472&amp;B472,DATA!$E$3:$E$10000&amp;DATA!$B$3:$B$10000,DATA!$M$3:$M$10000),"No encontrado"))</f>
        <v/>
      </c>
      <c r="D472" s="27" t="str">
        <f aca="false">IF(A472="","",IFERROR(buscarx(A472&amp;B472,DATA!$E$3:$E$10000&amp;DATA!$B$3:$B$10000,DATA!$W$3:$W$10000),"No encontrado"))</f>
        <v/>
      </c>
      <c r="E472" s="22"/>
      <c r="F472" s="26" t="str">
        <f aca="false">IF(A472="","",IFERROR(buscarx(A472&amp;E472,DATA!$E$3:$E$10000&amp;DATA!$B$3:$B$10000,DATA!$M$3:$M$10000),"Inactivo"))</f>
        <v/>
      </c>
      <c r="G472" s="28" t="str">
        <f aca="false">IF(A472="","",IF(AND(C472&lt;&gt;"No encontrado",F472&lt;&gt;"Inactivo"),C472&amp;" → "&amp;F472,"Sin transición"))</f>
        <v/>
      </c>
      <c r="H472" s="26" t="str">
        <f aca="false">IF(A472="","",IF(D472="GCIA LINEA SERVICIO DIGITALIDAD Y VENTAS","Chats",IF(OR(D472="GERENCIA INBOUND LÍNEAS SERVICIO Y VENTA",D472="GERENCIA INBOUND LINEAS ESPECIALIZADAS"),"Llamadas","Otro")))</f>
        <v/>
      </c>
      <c r="I472" s="26" t="str">
        <f aca="false">IF(A472="","",IF(C472="No encontrado","No","Sí"))</f>
        <v/>
      </c>
      <c r="J472" s="26" t="str">
        <f aca="false">IF(A472="","",IF(F472="Inactivo","No","Sí"))</f>
        <v/>
      </c>
      <c r="K472" s="26" t="str">
        <f aca="false">IF(A472="","",IF(AND(I472="Sí",J472="Sí"),"Sí","No"))</f>
        <v/>
      </c>
    </row>
    <row r="473" customFormat="false" ht="15" hidden="false" customHeight="false" outlineLevel="0" collapsed="false">
      <c r="A473" s="22"/>
      <c r="B473" s="22"/>
      <c r="C473" s="23" t="str">
        <f aca="false">IF(A473="","",IFERROR(buscarx(A473&amp;B473,DATA!$E$3:$E$10000&amp;DATA!$B$3:$B$10000,DATA!$M$3:$M$10000),"No encontrado"))</f>
        <v/>
      </c>
      <c r="D473" s="24" t="str">
        <f aca="false">IF(A473="","",IFERROR(buscarx(A473&amp;B473,DATA!$E$3:$E$10000&amp;DATA!$B$3:$B$10000,DATA!$W$3:$W$10000),"No encontrado"))</f>
        <v/>
      </c>
      <c r="E473" s="22"/>
      <c r="F473" s="23" t="str">
        <f aca="false">IF(A473="","",IFERROR(buscarx(A473&amp;E473,DATA!$E$3:$E$10000&amp;DATA!$B$3:$B$10000,DATA!$M$3:$M$10000),"Inactivo"))</f>
        <v/>
      </c>
      <c r="G473" s="25" t="str">
        <f aca="false">IF(A473="","",IF(AND(C473&lt;&gt;"No encontrado",F473&lt;&gt;"Inactivo"),C473&amp;" → "&amp;F473,"Sin transición"))</f>
        <v/>
      </c>
      <c r="H473" s="23" t="str">
        <f aca="false">IF(A473="","",IF(D473="GCIA LINEA SERVICIO DIGITALIDAD Y VENTAS","Chats",IF(OR(D473="GERENCIA INBOUND LÍNEAS SERVICIO Y VENTA",D473="GERENCIA INBOUND LINEAS ESPECIALIZADAS"),"Llamadas","Otro")))</f>
        <v/>
      </c>
      <c r="I473" s="23" t="str">
        <f aca="false">IF(A473="","",IF(C473="No encontrado","No","Sí"))</f>
        <v/>
      </c>
      <c r="J473" s="23" t="str">
        <f aca="false">IF(A473="","",IF(F473="Inactivo","No","Sí"))</f>
        <v/>
      </c>
      <c r="K473" s="23" t="str">
        <f aca="false">IF(A473="","",IF(AND(I473="Sí",J473="Sí"),"Sí","No"))</f>
        <v/>
      </c>
    </row>
    <row r="474" customFormat="false" ht="15" hidden="false" customHeight="false" outlineLevel="0" collapsed="false">
      <c r="A474" s="22"/>
      <c r="B474" s="22"/>
      <c r="C474" s="26" t="str">
        <f aca="false">IF(A474="","",IFERROR(buscarx(A474&amp;B474,DATA!$E$3:$E$10000&amp;DATA!$B$3:$B$10000,DATA!$M$3:$M$10000),"No encontrado"))</f>
        <v/>
      </c>
      <c r="D474" s="27" t="str">
        <f aca="false">IF(A474="","",IFERROR(buscarx(A474&amp;B474,DATA!$E$3:$E$10000&amp;DATA!$B$3:$B$10000,DATA!$W$3:$W$10000),"No encontrado"))</f>
        <v/>
      </c>
      <c r="E474" s="22"/>
      <c r="F474" s="26" t="str">
        <f aca="false">IF(A474="","",IFERROR(buscarx(A474&amp;E474,DATA!$E$3:$E$10000&amp;DATA!$B$3:$B$10000,DATA!$M$3:$M$10000),"Inactivo"))</f>
        <v/>
      </c>
      <c r="G474" s="28" t="str">
        <f aca="false">IF(A474="","",IF(AND(C474&lt;&gt;"No encontrado",F474&lt;&gt;"Inactivo"),C474&amp;" → "&amp;F474,"Sin transición"))</f>
        <v/>
      </c>
      <c r="H474" s="26" t="str">
        <f aca="false">IF(A474="","",IF(D474="GCIA LINEA SERVICIO DIGITALIDAD Y VENTAS","Chats",IF(OR(D474="GERENCIA INBOUND LÍNEAS SERVICIO Y VENTA",D474="GERENCIA INBOUND LINEAS ESPECIALIZADAS"),"Llamadas","Otro")))</f>
        <v/>
      </c>
      <c r="I474" s="26" t="str">
        <f aca="false">IF(A474="","",IF(C474="No encontrado","No","Sí"))</f>
        <v/>
      </c>
      <c r="J474" s="26" t="str">
        <f aca="false">IF(A474="","",IF(F474="Inactivo","No","Sí"))</f>
        <v/>
      </c>
      <c r="K474" s="26" t="str">
        <f aca="false">IF(A474="","",IF(AND(I474="Sí",J474="Sí"),"Sí","No"))</f>
        <v/>
      </c>
    </row>
    <row r="475" customFormat="false" ht="15" hidden="false" customHeight="false" outlineLevel="0" collapsed="false">
      <c r="A475" s="22"/>
      <c r="B475" s="22"/>
      <c r="C475" s="23" t="str">
        <f aca="false">IF(A475="","",IFERROR(buscarx(A475&amp;B475,DATA!$E$3:$E$10000&amp;DATA!$B$3:$B$10000,DATA!$M$3:$M$10000),"No encontrado"))</f>
        <v/>
      </c>
      <c r="D475" s="24" t="str">
        <f aca="false">IF(A475="","",IFERROR(buscarx(A475&amp;B475,DATA!$E$3:$E$10000&amp;DATA!$B$3:$B$10000,DATA!$W$3:$W$10000),"No encontrado"))</f>
        <v/>
      </c>
      <c r="E475" s="22"/>
      <c r="F475" s="23" t="str">
        <f aca="false">IF(A475="","",IFERROR(buscarx(A475&amp;E475,DATA!$E$3:$E$10000&amp;DATA!$B$3:$B$10000,DATA!$M$3:$M$10000),"Inactivo"))</f>
        <v/>
      </c>
      <c r="G475" s="25" t="str">
        <f aca="false">IF(A475="","",IF(AND(C475&lt;&gt;"No encontrado",F475&lt;&gt;"Inactivo"),C475&amp;" → "&amp;F475,"Sin transición"))</f>
        <v/>
      </c>
      <c r="H475" s="23" t="str">
        <f aca="false">IF(A475="","",IF(D475="GCIA LINEA SERVICIO DIGITALIDAD Y VENTAS","Chats",IF(OR(D475="GERENCIA INBOUND LÍNEAS SERVICIO Y VENTA",D475="GERENCIA INBOUND LINEAS ESPECIALIZADAS"),"Llamadas","Otro")))</f>
        <v/>
      </c>
      <c r="I475" s="23" t="str">
        <f aca="false">IF(A475="","",IF(C475="No encontrado","No","Sí"))</f>
        <v/>
      </c>
      <c r="J475" s="23" t="str">
        <f aca="false">IF(A475="","",IF(F475="Inactivo","No","Sí"))</f>
        <v/>
      </c>
      <c r="K475" s="23" t="str">
        <f aca="false">IF(A475="","",IF(AND(I475="Sí",J475="Sí"),"Sí","No"))</f>
        <v/>
      </c>
    </row>
    <row r="476" customFormat="false" ht="15" hidden="false" customHeight="false" outlineLevel="0" collapsed="false">
      <c r="A476" s="22"/>
      <c r="B476" s="22"/>
      <c r="C476" s="26" t="str">
        <f aca="false">IF(A476="","",IFERROR(buscarx(A476&amp;B476,DATA!$E$3:$E$10000&amp;DATA!$B$3:$B$10000,DATA!$M$3:$M$10000),"No encontrado"))</f>
        <v/>
      </c>
      <c r="D476" s="27" t="str">
        <f aca="false">IF(A476="","",IFERROR(buscarx(A476&amp;B476,DATA!$E$3:$E$10000&amp;DATA!$B$3:$B$10000,DATA!$W$3:$W$10000),"No encontrado"))</f>
        <v/>
      </c>
      <c r="E476" s="22"/>
      <c r="F476" s="26" t="str">
        <f aca="false">IF(A476="","",IFERROR(buscarx(A476&amp;E476,DATA!$E$3:$E$10000&amp;DATA!$B$3:$B$10000,DATA!$M$3:$M$10000),"Inactivo"))</f>
        <v/>
      </c>
      <c r="G476" s="28" t="str">
        <f aca="false">IF(A476="","",IF(AND(C476&lt;&gt;"No encontrado",F476&lt;&gt;"Inactivo"),C476&amp;" → "&amp;F476,"Sin transición"))</f>
        <v/>
      </c>
      <c r="H476" s="26" t="str">
        <f aca="false">IF(A476="","",IF(D476="GCIA LINEA SERVICIO DIGITALIDAD Y VENTAS","Chats",IF(OR(D476="GERENCIA INBOUND LÍNEAS SERVICIO Y VENTA",D476="GERENCIA INBOUND LINEAS ESPECIALIZADAS"),"Llamadas","Otro")))</f>
        <v/>
      </c>
      <c r="I476" s="26" t="str">
        <f aca="false">IF(A476="","",IF(C476="No encontrado","No","Sí"))</f>
        <v/>
      </c>
      <c r="J476" s="26" t="str">
        <f aca="false">IF(A476="","",IF(F476="Inactivo","No","Sí"))</f>
        <v/>
      </c>
      <c r="K476" s="26" t="str">
        <f aca="false">IF(A476="","",IF(AND(I476="Sí",J476="Sí"),"Sí","No"))</f>
        <v/>
      </c>
    </row>
    <row r="477" customFormat="false" ht="15" hidden="false" customHeight="false" outlineLevel="0" collapsed="false">
      <c r="A477" s="22"/>
      <c r="B477" s="22"/>
      <c r="C477" s="23" t="str">
        <f aca="false">IF(A477="","",IFERROR(buscarx(A477&amp;B477,DATA!$E$3:$E$10000&amp;DATA!$B$3:$B$10000,DATA!$M$3:$M$10000),"No encontrado"))</f>
        <v/>
      </c>
      <c r="D477" s="24" t="str">
        <f aca="false">IF(A477="","",IFERROR(buscarx(A477&amp;B477,DATA!$E$3:$E$10000&amp;DATA!$B$3:$B$10000,DATA!$W$3:$W$10000),"No encontrado"))</f>
        <v/>
      </c>
      <c r="E477" s="22"/>
      <c r="F477" s="23" t="str">
        <f aca="false">IF(A477="","",IFERROR(buscarx(A477&amp;E477,DATA!$E$3:$E$10000&amp;DATA!$B$3:$B$10000,DATA!$M$3:$M$10000),"Inactivo"))</f>
        <v/>
      </c>
      <c r="G477" s="25" t="str">
        <f aca="false">IF(A477="","",IF(AND(C477&lt;&gt;"No encontrado",F477&lt;&gt;"Inactivo"),C477&amp;" → "&amp;F477,"Sin transición"))</f>
        <v/>
      </c>
      <c r="H477" s="23" t="str">
        <f aca="false">IF(A477="","",IF(D477="GCIA LINEA SERVICIO DIGITALIDAD Y VENTAS","Chats",IF(OR(D477="GERENCIA INBOUND LÍNEAS SERVICIO Y VENTA",D477="GERENCIA INBOUND LINEAS ESPECIALIZADAS"),"Llamadas","Otro")))</f>
        <v/>
      </c>
      <c r="I477" s="23" t="str">
        <f aca="false">IF(A477="","",IF(C477="No encontrado","No","Sí"))</f>
        <v/>
      </c>
      <c r="J477" s="23" t="str">
        <f aca="false">IF(A477="","",IF(F477="Inactivo","No","Sí"))</f>
        <v/>
      </c>
      <c r="K477" s="23" t="str">
        <f aca="false">IF(A477="","",IF(AND(I477="Sí",J477="Sí"),"Sí","No"))</f>
        <v/>
      </c>
    </row>
    <row r="478" customFormat="false" ht="15" hidden="false" customHeight="false" outlineLevel="0" collapsed="false">
      <c r="A478" s="22"/>
      <c r="B478" s="22"/>
      <c r="C478" s="26" t="str">
        <f aca="false">IF(A478="","",IFERROR(buscarx(A478&amp;B478,DATA!$E$3:$E$10000&amp;DATA!$B$3:$B$10000,DATA!$M$3:$M$10000),"No encontrado"))</f>
        <v/>
      </c>
      <c r="D478" s="27" t="str">
        <f aca="false">IF(A478="","",IFERROR(buscarx(A478&amp;B478,DATA!$E$3:$E$10000&amp;DATA!$B$3:$B$10000,DATA!$W$3:$W$10000),"No encontrado"))</f>
        <v/>
      </c>
      <c r="E478" s="22"/>
      <c r="F478" s="26" t="str">
        <f aca="false">IF(A478="","",IFERROR(buscarx(A478&amp;E478,DATA!$E$3:$E$10000&amp;DATA!$B$3:$B$10000,DATA!$M$3:$M$10000),"Inactivo"))</f>
        <v/>
      </c>
      <c r="G478" s="28" t="str">
        <f aca="false">IF(A478="","",IF(AND(C478&lt;&gt;"No encontrado",F478&lt;&gt;"Inactivo"),C478&amp;" → "&amp;F478,"Sin transición"))</f>
        <v/>
      </c>
      <c r="H478" s="26" t="str">
        <f aca="false">IF(A478="","",IF(D478="GCIA LINEA SERVICIO DIGITALIDAD Y VENTAS","Chats",IF(OR(D478="GERENCIA INBOUND LÍNEAS SERVICIO Y VENTA",D478="GERENCIA INBOUND LINEAS ESPECIALIZADAS"),"Llamadas","Otro")))</f>
        <v/>
      </c>
      <c r="I478" s="26" t="str">
        <f aca="false">IF(A478="","",IF(C478="No encontrado","No","Sí"))</f>
        <v/>
      </c>
      <c r="J478" s="26" t="str">
        <f aca="false">IF(A478="","",IF(F478="Inactivo","No","Sí"))</f>
        <v/>
      </c>
      <c r="K478" s="26" t="str">
        <f aca="false">IF(A478="","",IF(AND(I478="Sí",J478="Sí"),"Sí","No"))</f>
        <v/>
      </c>
    </row>
    <row r="479" customFormat="false" ht="15" hidden="false" customHeight="false" outlineLevel="0" collapsed="false">
      <c r="A479" s="22"/>
      <c r="B479" s="22"/>
      <c r="C479" s="23" t="str">
        <f aca="false">IF(A479="","",IFERROR(buscarx(A479&amp;B479,DATA!$E$3:$E$10000&amp;DATA!$B$3:$B$10000,DATA!$M$3:$M$10000),"No encontrado"))</f>
        <v/>
      </c>
      <c r="D479" s="24" t="str">
        <f aca="false">IF(A479="","",IFERROR(buscarx(A479&amp;B479,DATA!$E$3:$E$10000&amp;DATA!$B$3:$B$10000,DATA!$W$3:$W$10000),"No encontrado"))</f>
        <v/>
      </c>
      <c r="E479" s="22"/>
      <c r="F479" s="23" t="str">
        <f aca="false">IF(A479="","",IFERROR(buscarx(A479&amp;E479,DATA!$E$3:$E$10000&amp;DATA!$B$3:$B$10000,DATA!$M$3:$M$10000),"Inactivo"))</f>
        <v/>
      </c>
      <c r="G479" s="25" t="str">
        <f aca="false">IF(A479="","",IF(AND(C479&lt;&gt;"No encontrado",F479&lt;&gt;"Inactivo"),C479&amp;" → "&amp;F479,"Sin transición"))</f>
        <v/>
      </c>
      <c r="H479" s="23" t="str">
        <f aca="false">IF(A479="","",IF(D479="GCIA LINEA SERVICIO DIGITALIDAD Y VENTAS","Chats",IF(OR(D479="GERENCIA INBOUND LÍNEAS SERVICIO Y VENTA",D479="GERENCIA INBOUND LINEAS ESPECIALIZADAS"),"Llamadas","Otro")))</f>
        <v/>
      </c>
      <c r="I479" s="23" t="str">
        <f aca="false">IF(A479="","",IF(C479="No encontrado","No","Sí"))</f>
        <v/>
      </c>
      <c r="J479" s="23" t="str">
        <f aca="false">IF(A479="","",IF(F479="Inactivo","No","Sí"))</f>
        <v/>
      </c>
      <c r="K479" s="23" t="str">
        <f aca="false">IF(A479="","",IF(AND(I479="Sí",J479="Sí"),"Sí","No"))</f>
        <v/>
      </c>
    </row>
    <row r="480" customFormat="false" ht="15" hidden="false" customHeight="false" outlineLevel="0" collapsed="false">
      <c r="A480" s="22"/>
      <c r="B480" s="22"/>
      <c r="C480" s="26" t="str">
        <f aca="false">IF(A480="","",IFERROR(buscarx(A480&amp;B480,DATA!$E$3:$E$10000&amp;DATA!$B$3:$B$10000,DATA!$M$3:$M$10000),"No encontrado"))</f>
        <v/>
      </c>
      <c r="D480" s="27" t="str">
        <f aca="false">IF(A480="","",IFERROR(buscarx(A480&amp;B480,DATA!$E$3:$E$10000&amp;DATA!$B$3:$B$10000,DATA!$W$3:$W$10000),"No encontrado"))</f>
        <v/>
      </c>
      <c r="E480" s="22"/>
      <c r="F480" s="26" t="str">
        <f aca="false">IF(A480="","",IFERROR(buscarx(A480&amp;E480,DATA!$E$3:$E$10000&amp;DATA!$B$3:$B$10000,DATA!$M$3:$M$10000),"Inactivo"))</f>
        <v/>
      </c>
      <c r="G480" s="28" t="str">
        <f aca="false">IF(A480="","",IF(AND(C480&lt;&gt;"No encontrado",F480&lt;&gt;"Inactivo"),C480&amp;" → "&amp;F480,"Sin transición"))</f>
        <v/>
      </c>
      <c r="H480" s="26" t="str">
        <f aca="false">IF(A480="","",IF(D480="GCIA LINEA SERVICIO DIGITALIDAD Y VENTAS","Chats",IF(OR(D480="GERENCIA INBOUND LÍNEAS SERVICIO Y VENTA",D480="GERENCIA INBOUND LINEAS ESPECIALIZADAS"),"Llamadas","Otro")))</f>
        <v/>
      </c>
      <c r="I480" s="26" t="str">
        <f aca="false">IF(A480="","",IF(C480="No encontrado","No","Sí"))</f>
        <v/>
      </c>
      <c r="J480" s="26" t="str">
        <f aca="false">IF(A480="","",IF(F480="Inactivo","No","Sí"))</f>
        <v/>
      </c>
      <c r="K480" s="26" t="str">
        <f aca="false">IF(A480="","",IF(AND(I480="Sí",J480="Sí"),"Sí","No"))</f>
        <v/>
      </c>
    </row>
    <row r="481" customFormat="false" ht="15" hidden="false" customHeight="false" outlineLevel="0" collapsed="false">
      <c r="A481" s="22"/>
      <c r="B481" s="22"/>
      <c r="C481" s="23" t="str">
        <f aca="false">IF(A481="","",IFERROR(buscarx(A481&amp;B481,DATA!$E$3:$E$10000&amp;DATA!$B$3:$B$10000,DATA!$M$3:$M$10000),"No encontrado"))</f>
        <v/>
      </c>
      <c r="D481" s="24" t="str">
        <f aca="false">IF(A481="","",IFERROR(buscarx(A481&amp;B481,DATA!$E$3:$E$10000&amp;DATA!$B$3:$B$10000,DATA!$W$3:$W$10000),"No encontrado"))</f>
        <v/>
      </c>
      <c r="E481" s="22"/>
      <c r="F481" s="23" t="str">
        <f aca="false">IF(A481="","",IFERROR(buscarx(A481&amp;E481,DATA!$E$3:$E$10000&amp;DATA!$B$3:$B$10000,DATA!$M$3:$M$10000),"Inactivo"))</f>
        <v/>
      </c>
      <c r="G481" s="25" t="str">
        <f aca="false">IF(A481="","",IF(AND(C481&lt;&gt;"No encontrado",F481&lt;&gt;"Inactivo"),C481&amp;" → "&amp;F481,"Sin transición"))</f>
        <v/>
      </c>
      <c r="H481" s="23" t="str">
        <f aca="false">IF(A481="","",IF(D481="GCIA LINEA SERVICIO DIGITALIDAD Y VENTAS","Chats",IF(OR(D481="GERENCIA INBOUND LÍNEAS SERVICIO Y VENTA",D481="GERENCIA INBOUND LINEAS ESPECIALIZADAS"),"Llamadas","Otro")))</f>
        <v/>
      </c>
      <c r="I481" s="23" t="str">
        <f aca="false">IF(A481="","",IF(C481="No encontrado","No","Sí"))</f>
        <v/>
      </c>
      <c r="J481" s="23" t="str">
        <f aca="false">IF(A481="","",IF(F481="Inactivo","No","Sí"))</f>
        <v/>
      </c>
      <c r="K481" s="23" t="str">
        <f aca="false">IF(A481="","",IF(AND(I481="Sí",J481="Sí"),"Sí","No"))</f>
        <v/>
      </c>
    </row>
    <row r="482" customFormat="false" ht="15" hidden="false" customHeight="false" outlineLevel="0" collapsed="false">
      <c r="A482" s="22"/>
      <c r="B482" s="22"/>
      <c r="C482" s="26" t="str">
        <f aca="false">IF(A482="","",IFERROR(buscarx(A482&amp;B482,DATA!$E$3:$E$10000&amp;DATA!$B$3:$B$10000,DATA!$M$3:$M$10000),"No encontrado"))</f>
        <v/>
      </c>
      <c r="D482" s="27" t="str">
        <f aca="false">IF(A482="","",IFERROR(buscarx(A482&amp;B482,DATA!$E$3:$E$10000&amp;DATA!$B$3:$B$10000,DATA!$W$3:$W$10000),"No encontrado"))</f>
        <v/>
      </c>
      <c r="E482" s="22"/>
      <c r="F482" s="26" t="str">
        <f aca="false">IF(A482="","",IFERROR(buscarx(A482&amp;E482,DATA!$E$3:$E$10000&amp;DATA!$B$3:$B$10000,DATA!$M$3:$M$10000),"Inactivo"))</f>
        <v/>
      </c>
      <c r="G482" s="28" t="str">
        <f aca="false">IF(A482="","",IF(AND(C482&lt;&gt;"No encontrado",F482&lt;&gt;"Inactivo"),C482&amp;" → "&amp;F482,"Sin transición"))</f>
        <v/>
      </c>
      <c r="H482" s="26" t="str">
        <f aca="false">IF(A482="","",IF(D482="GCIA LINEA SERVICIO DIGITALIDAD Y VENTAS","Chats",IF(OR(D482="GERENCIA INBOUND LÍNEAS SERVICIO Y VENTA",D482="GERENCIA INBOUND LINEAS ESPECIALIZADAS"),"Llamadas","Otro")))</f>
        <v/>
      </c>
      <c r="I482" s="26" t="str">
        <f aca="false">IF(A482="","",IF(C482="No encontrado","No","Sí"))</f>
        <v/>
      </c>
      <c r="J482" s="26" t="str">
        <f aca="false">IF(A482="","",IF(F482="Inactivo","No","Sí"))</f>
        <v/>
      </c>
      <c r="K482" s="26" t="str">
        <f aca="false">IF(A482="","",IF(AND(I482="Sí",J482="Sí"),"Sí","No"))</f>
        <v/>
      </c>
    </row>
    <row r="483" customFormat="false" ht="15" hidden="false" customHeight="false" outlineLevel="0" collapsed="false">
      <c r="A483" s="22"/>
      <c r="B483" s="22"/>
      <c r="C483" s="23" t="str">
        <f aca="false">IF(A483="","",IFERROR(buscarx(A483&amp;B483,DATA!$E$3:$E$10000&amp;DATA!$B$3:$B$10000,DATA!$M$3:$M$10000),"No encontrado"))</f>
        <v/>
      </c>
      <c r="D483" s="24" t="str">
        <f aca="false">IF(A483="","",IFERROR(buscarx(A483&amp;B483,DATA!$E$3:$E$10000&amp;DATA!$B$3:$B$10000,DATA!$W$3:$W$10000),"No encontrado"))</f>
        <v/>
      </c>
      <c r="E483" s="22"/>
      <c r="F483" s="23" t="str">
        <f aca="false">IF(A483="","",IFERROR(buscarx(A483&amp;E483,DATA!$E$3:$E$10000&amp;DATA!$B$3:$B$10000,DATA!$M$3:$M$10000),"Inactivo"))</f>
        <v/>
      </c>
      <c r="G483" s="25" t="str">
        <f aca="false">IF(A483="","",IF(AND(C483&lt;&gt;"No encontrado",F483&lt;&gt;"Inactivo"),C483&amp;" → "&amp;F483,"Sin transición"))</f>
        <v/>
      </c>
      <c r="H483" s="23" t="str">
        <f aca="false">IF(A483="","",IF(D483="GCIA LINEA SERVICIO DIGITALIDAD Y VENTAS","Chats",IF(OR(D483="GERENCIA INBOUND LÍNEAS SERVICIO Y VENTA",D483="GERENCIA INBOUND LINEAS ESPECIALIZADAS"),"Llamadas","Otro")))</f>
        <v/>
      </c>
      <c r="I483" s="23" t="str">
        <f aca="false">IF(A483="","",IF(C483="No encontrado","No","Sí"))</f>
        <v/>
      </c>
      <c r="J483" s="23" t="str">
        <f aca="false">IF(A483="","",IF(F483="Inactivo","No","Sí"))</f>
        <v/>
      </c>
      <c r="K483" s="23" t="str">
        <f aca="false">IF(A483="","",IF(AND(I483="Sí",J483="Sí"),"Sí","No"))</f>
        <v/>
      </c>
    </row>
    <row r="484" customFormat="false" ht="15" hidden="false" customHeight="false" outlineLevel="0" collapsed="false">
      <c r="A484" s="22"/>
      <c r="B484" s="22"/>
      <c r="C484" s="26" t="str">
        <f aca="false">IF(A484="","",IFERROR(buscarx(A484&amp;B484,DATA!$E$3:$E$10000&amp;DATA!$B$3:$B$10000,DATA!$M$3:$M$10000),"No encontrado"))</f>
        <v/>
      </c>
      <c r="D484" s="27" t="str">
        <f aca="false">IF(A484="","",IFERROR(buscarx(A484&amp;B484,DATA!$E$3:$E$10000&amp;DATA!$B$3:$B$10000,DATA!$W$3:$W$10000),"No encontrado"))</f>
        <v/>
      </c>
      <c r="E484" s="22"/>
      <c r="F484" s="26" t="str">
        <f aca="false">IF(A484="","",IFERROR(buscarx(A484&amp;E484,DATA!$E$3:$E$10000&amp;DATA!$B$3:$B$10000,DATA!$M$3:$M$10000),"Inactivo"))</f>
        <v/>
      </c>
      <c r="G484" s="28" t="str">
        <f aca="false">IF(A484="","",IF(AND(C484&lt;&gt;"No encontrado",F484&lt;&gt;"Inactivo"),C484&amp;" → "&amp;F484,"Sin transición"))</f>
        <v/>
      </c>
      <c r="H484" s="26" t="str">
        <f aca="false">IF(A484="","",IF(D484="GCIA LINEA SERVICIO DIGITALIDAD Y VENTAS","Chats",IF(OR(D484="GERENCIA INBOUND LÍNEAS SERVICIO Y VENTA",D484="GERENCIA INBOUND LINEAS ESPECIALIZADAS"),"Llamadas","Otro")))</f>
        <v/>
      </c>
      <c r="I484" s="26" t="str">
        <f aca="false">IF(A484="","",IF(C484="No encontrado","No","Sí"))</f>
        <v/>
      </c>
      <c r="J484" s="26" t="str">
        <f aca="false">IF(A484="","",IF(F484="Inactivo","No","Sí"))</f>
        <v/>
      </c>
      <c r="K484" s="26" t="str">
        <f aca="false">IF(A484="","",IF(AND(I484="Sí",J484="Sí"),"Sí","No"))</f>
        <v/>
      </c>
    </row>
    <row r="485" customFormat="false" ht="15" hidden="false" customHeight="false" outlineLevel="0" collapsed="false">
      <c r="A485" s="22"/>
      <c r="B485" s="22"/>
      <c r="C485" s="23" t="str">
        <f aca="false">IF(A485="","",IFERROR(buscarx(A485&amp;B485,DATA!$E$3:$E$10000&amp;DATA!$B$3:$B$10000,DATA!$M$3:$M$10000),"No encontrado"))</f>
        <v/>
      </c>
      <c r="D485" s="24" t="str">
        <f aca="false">IF(A485="","",IFERROR(buscarx(A485&amp;B485,DATA!$E$3:$E$10000&amp;DATA!$B$3:$B$10000,DATA!$W$3:$W$10000),"No encontrado"))</f>
        <v/>
      </c>
      <c r="E485" s="22"/>
      <c r="F485" s="23" t="str">
        <f aca="false">IF(A485="","",IFERROR(buscarx(A485&amp;E485,DATA!$E$3:$E$10000&amp;DATA!$B$3:$B$10000,DATA!$M$3:$M$10000),"Inactivo"))</f>
        <v/>
      </c>
      <c r="G485" s="25" t="str">
        <f aca="false">IF(A485="","",IF(AND(C485&lt;&gt;"No encontrado",F485&lt;&gt;"Inactivo"),C485&amp;" → "&amp;F485,"Sin transición"))</f>
        <v/>
      </c>
      <c r="H485" s="23" t="str">
        <f aca="false">IF(A485="","",IF(D485="GCIA LINEA SERVICIO DIGITALIDAD Y VENTAS","Chats",IF(OR(D485="GERENCIA INBOUND LÍNEAS SERVICIO Y VENTA",D485="GERENCIA INBOUND LINEAS ESPECIALIZADAS"),"Llamadas","Otro")))</f>
        <v/>
      </c>
      <c r="I485" s="23" t="str">
        <f aca="false">IF(A485="","",IF(C485="No encontrado","No","Sí"))</f>
        <v/>
      </c>
      <c r="J485" s="23" t="str">
        <f aca="false">IF(A485="","",IF(F485="Inactivo","No","Sí"))</f>
        <v/>
      </c>
      <c r="K485" s="23" t="str">
        <f aca="false">IF(A485="","",IF(AND(I485="Sí",J485="Sí"),"Sí","No"))</f>
        <v/>
      </c>
    </row>
    <row r="486" customFormat="false" ht="15" hidden="false" customHeight="false" outlineLevel="0" collapsed="false">
      <c r="A486" s="22"/>
      <c r="B486" s="22"/>
      <c r="C486" s="26" t="str">
        <f aca="false">IF(A486="","",IFERROR(buscarx(A486&amp;B486,DATA!$E$3:$E$10000&amp;DATA!$B$3:$B$10000,DATA!$M$3:$M$10000),"No encontrado"))</f>
        <v/>
      </c>
      <c r="D486" s="27" t="str">
        <f aca="false">IF(A486="","",IFERROR(buscarx(A486&amp;B486,DATA!$E$3:$E$10000&amp;DATA!$B$3:$B$10000,DATA!$W$3:$W$10000),"No encontrado"))</f>
        <v/>
      </c>
      <c r="E486" s="22"/>
      <c r="F486" s="26" t="str">
        <f aca="false">IF(A486="","",IFERROR(buscarx(A486&amp;E486,DATA!$E$3:$E$10000&amp;DATA!$B$3:$B$10000,DATA!$M$3:$M$10000),"Inactivo"))</f>
        <v/>
      </c>
      <c r="G486" s="28" t="str">
        <f aca="false">IF(A486="","",IF(AND(C486&lt;&gt;"No encontrado",F486&lt;&gt;"Inactivo"),C486&amp;" → "&amp;F486,"Sin transición"))</f>
        <v/>
      </c>
      <c r="H486" s="26" t="str">
        <f aca="false">IF(A486="","",IF(D486="GCIA LINEA SERVICIO DIGITALIDAD Y VENTAS","Chats",IF(OR(D486="GERENCIA INBOUND LÍNEAS SERVICIO Y VENTA",D486="GERENCIA INBOUND LINEAS ESPECIALIZADAS"),"Llamadas","Otro")))</f>
        <v/>
      </c>
      <c r="I486" s="26" t="str">
        <f aca="false">IF(A486="","",IF(C486="No encontrado","No","Sí"))</f>
        <v/>
      </c>
      <c r="J486" s="26" t="str">
        <f aca="false">IF(A486="","",IF(F486="Inactivo","No","Sí"))</f>
        <v/>
      </c>
      <c r="K486" s="26" t="str">
        <f aca="false">IF(A486="","",IF(AND(I486="Sí",J486="Sí"),"Sí","No"))</f>
        <v/>
      </c>
    </row>
    <row r="487" customFormat="false" ht="15" hidden="false" customHeight="false" outlineLevel="0" collapsed="false">
      <c r="A487" s="22"/>
      <c r="B487" s="22"/>
      <c r="C487" s="23" t="str">
        <f aca="false">IF(A487="","",IFERROR(buscarx(A487&amp;B487,DATA!$E$3:$E$10000&amp;DATA!$B$3:$B$10000,DATA!$M$3:$M$10000),"No encontrado"))</f>
        <v/>
      </c>
      <c r="D487" s="24" t="str">
        <f aca="false">IF(A487="","",IFERROR(buscarx(A487&amp;B487,DATA!$E$3:$E$10000&amp;DATA!$B$3:$B$10000,DATA!$W$3:$W$10000),"No encontrado"))</f>
        <v/>
      </c>
      <c r="E487" s="22"/>
      <c r="F487" s="23" t="str">
        <f aca="false">IF(A487="","",IFERROR(buscarx(A487&amp;E487,DATA!$E$3:$E$10000&amp;DATA!$B$3:$B$10000,DATA!$M$3:$M$10000),"Inactivo"))</f>
        <v/>
      </c>
      <c r="G487" s="25" t="str">
        <f aca="false">IF(A487="","",IF(AND(C487&lt;&gt;"No encontrado",F487&lt;&gt;"Inactivo"),C487&amp;" → "&amp;F487,"Sin transición"))</f>
        <v/>
      </c>
      <c r="H487" s="23" t="str">
        <f aca="false">IF(A487="","",IF(D487="GCIA LINEA SERVICIO DIGITALIDAD Y VENTAS","Chats",IF(OR(D487="GERENCIA INBOUND LÍNEAS SERVICIO Y VENTA",D487="GERENCIA INBOUND LINEAS ESPECIALIZADAS"),"Llamadas","Otro")))</f>
        <v/>
      </c>
      <c r="I487" s="23" t="str">
        <f aca="false">IF(A487="","",IF(C487="No encontrado","No","Sí"))</f>
        <v/>
      </c>
      <c r="J487" s="23" t="str">
        <f aca="false">IF(A487="","",IF(F487="Inactivo","No","Sí"))</f>
        <v/>
      </c>
      <c r="K487" s="23" t="str">
        <f aca="false">IF(A487="","",IF(AND(I487="Sí",J487="Sí"),"Sí","No"))</f>
        <v/>
      </c>
    </row>
    <row r="488" customFormat="false" ht="15" hidden="false" customHeight="false" outlineLevel="0" collapsed="false">
      <c r="A488" s="22"/>
      <c r="B488" s="22"/>
      <c r="C488" s="26" t="str">
        <f aca="false">IF(A488="","",IFERROR(buscarx(A488&amp;B488,DATA!$E$3:$E$10000&amp;DATA!$B$3:$B$10000,DATA!$M$3:$M$10000),"No encontrado"))</f>
        <v/>
      </c>
      <c r="D488" s="27" t="str">
        <f aca="false">IF(A488="","",IFERROR(buscarx(A488&amp;B488,DATA!$E$3:$E$10000&amp;DATA!$B$3:$B$10000,DATA!$W$3:$W$10000),"No encontrado"))</f>
        <v/>
      </c>
      <c r="E488" s="22"/>
      <c r="F488" s="26" t="str">
        <f aca="false">IF(A488="","",IFERROR(buscarx(A488&amp;E488,DATA!$E$3:$E$10000&amp;DATA!$B$3:$B$10000,DATA!$M$3:$M$10000),"Inactivo"))</f>
        <v/>
      </c>
      <c r="G488" s="28" t="str">
        <f aca="false">IF(A488="","",IF(AND(C488&lt;&gt;"No encontrado",F488&lt;&gt;"Inactivo"),C488&amp;" → "&amp;F488,"Sin transición"))</f>
        <v/>
      </c>
      <c r="H488" s="26" t="str">
        <f aca="false">IF(A488="","",IF(D488="GCIA LINEA SERVICIO DIGITALIDAD Y VENTAS","Chats",IF(OR(D488="GERENCIA INBOUND LÍNEAS SERVICIO Y VENTA",D488="GERENCIA INBOUND LINEAS ESPECIALIZADAS"),"Llamadas","Otro")))</f>
        <v/>
      </c>
      <c r="I488" s="26" t="str">
        <f aca="false">IF(A488="","",IF(C488="No encontrado","No","Sí"))</f>
        <v/>
      </c>
      <c r="J488" s="26" t="str">
        <f aca="false">IF(A488="","",IF(F488="Inactivo","No","Sí"))</f>
        <v/>
      </c>
      <c r="K488" s="26" t="str">
        <f aca="false">IF(A488="","",IF(AND(I488="Sí",J488="Sí"),"Sí","No"))</f>
        <v/>
      </c>
    </row>
    <row r="489" customFormat="false" ht="15" hidden="false" customHeight="false" outlineLevel="0" collapsed="false">
      <c r="A489" s="22"/>
      <c r="B489" s="22"/>
      <c r="C489" s="23" t="str">
        <f aca="false">IF(A489="","",IFERROR(buscarx(A489&amp;B489,DATA!$E$3:$E$10000&amp;DATA!$B$3:$B$10000,DATA!$M$3:$M$10000),"No encontrado"))</f>
        <v/>
      </c>
      <c r="D489" s="24" t="str">
        <f aca="false">IF(A489="","",IFERROR(buscarx(A489&amp;B489,DATA!$E$3:$E$10000&amp;DATA!$B$3:$B$10000,DATA!$W$3:$W$10000),"No encontrado"))</f>
        <v/>
      </c>
      <c r="E489" s="22"/>
      <c r="F489" s="23" t="str">
        <f aca="false">IF(A489="","",IFERROR(buscarx(A489&amp;E489,DATA!$E$3:$E$10000&amp;DATA!$B$3:$B$10000,DATA!$M$3:$M$10000),"Inactivo"))</f>
        <v/>
      </c>
      <c r="G489" s="25" t="str">
        <f aca="false">IF(A489="","",IF(AND(C489&lt;&gt;"No encontrado",F489&lt;&gt;"Inactivo"),C489&amp;" → "&amp;F489,"Sin transición"))</f>
        <v/>
      </c>
      <c r="H489" s="23" t="str">
        <f aca="false">IF(A489="","",IF(D489="GCIA LINEA SERVICIO DIGITALIDAD Y VENTAS","Chats",IF(OR(D489="GERENCIA INBOUND LÍNEAS SERVICIO Y VENTA",D489="GERENCIA INBOUND LINEAS ESPECIALIZADAS"),"Llamadas","Otro")))</f>
        <v/>
      </c>
      <c r="I489" s="23" t="str">
        <f aca="false">IF(A489="","",IF(C489="No encontrado","No","Sí"))</f>
        <v/>
      </c>
      <c r="J489" s="23" t="str">
        <f aca="false">IF(A489="","",IF(F489="Inactivo","No","Sí"))</f>
        <v/>
      </c>
      <c r="K489" s="23" t="str">
        <f aca="false">IF(A489="","",IF(AND(I489="Sí",J489="Sí"),"Sí","No"))</f>
        <v/>
      </c>
    </row>
    <row r="490" customFormat="false" ht="15" hidden="false" customHeight="false" outlineLevel="0" collapsed="false">
      <c r="A490" s="22"/>
      <c r="B490" s="22"/>
      <c r="C490" s="26" t="str">
        <f aca="false">IF(A490="","",IFERROR(buscarx(A490&amp;B490,DATA!$E$3:$E$10000&amp;DATA!$B$3:$B$10000,DATA!$M$3:$M$10000),"No encontrado"))</f>
        <v/>
      </c>
      <c r="D490" s="27" t="str">
        <f aca="false">IF(A490="","",IFERROR(buscarx(A490&amp;B490,DATA!$E$3:$E$10000&amp;DATA!$B$3:$B$10000,DATA!$W$3:$W$10000),"No encontrado"))</f>
        <v/>
      </c>
      <c r="E490" s="22"/>
      <c r="F490" s="26" t="str">
        <f aca="false">IF(A490="","",IFERROR(buscarx(A490&amp;E490,DATA!$E$3:$E$10000&amp;DATA!$B$3:$B$10000,DATA!$M$3:$M$10000),"Inactivo"))</f>
        <v/>
      </c>
      <c r="G490" s="28" t="str">
        <f aca="false">IF(A490="","",IF(AND(C490&lt;&gt;"No encontrado",F490&lt;&gt;"Inactivo"),C490&amp;" → "&amp;F490,"Sin transición"))</f>
        <v/>
      </c>
      <c r="H490" s="26" t="str">
        <f aca="false">IF(A490="","",IF(D490="GCIA LINEA SERVICIO DIGITALIDAD Y VENTAS","Chats",IF(OR(D490="GERENCIA INBOUND LÍNEAS SERVICIO Y VENTA",D490="GERENCIA INBOUND LINEAS ESPECIALIZADAS"),"Llamadas","Otro")))</f>
        <v/>
      </c>
      <c r="I490" s="26" t="str">
        <f aca="false">IF(A490="","",IF(C490="No encontrado","No","Sí"))</f>
        <v/>
      </c>
      <c r="J490" s="26" t="str">
        <f aca="false">IF(A490="","",IF(F490="Inactivo","No","Sí"))</f>
        <v/>
      </c>
      <c r="K490" s="26" t="str">
        <f aca="false">IF(A490="","",IF(AND(I490="Sí",J490="Sí"),"Sí","No"))</f>
        <v/>
      </c>
    </row>
    <row r="491" customFormat="false" ht="15" hidden="false" customHeight="false" outlineLevel="0" collapsed="false">
      <c r="A491" s="22"/>
      <c r="B491" s="22"/>
      <c r="C491" s="23" t="str">
        <f aca="false">IF(A491="","",IFERROR(buscarx(A491&amp;B491,DATA!$E$3:$E$10000&amp;DATA!$B$3:$B$10000,DATA!$M$3:$M$10000),"No encontrado"))</f>
        <v/>
      </c>
      <c r="D491" s="24" t="str">
        <f aca="false">IF(A491="","",IFERROR(buscarx(A491&amp;B491,DATA!$E$3:$E$10000&amp;DATA!$B$3:$B$10000,DATA!$W$3:$W$10000),"No encontrado"))</f>
        <v/>
      </c>
      <c r="E491" s="22"/>
      <c r="F491" s="23" t="str">
        <f aca="false">IF(A491="","",IFERROR(buscarx(A491&amp;E491,DATA!$E$3:$E$10000&amp;DATA!$B$3:$B$10000,DATA!$M$3:$M$10000),"Inactivo"))</f>
        <v/>
      </c>
      <c r="G491" s="25" t="str">
        <f aca="false">IF(A491="","",IF(AND(C491&lt;&gt;"No encontrado",F491&lt;&gt;"Inactivo"),C491&amp;" → "&amp;F491,"Sin transición"))</f>
        <v/>
      </c>
      <c r="H491" s="23" t="str">
        <f aca="false">IF(A491="","",IF(D491="GCIA LINEA SERVICIO DIGITALIDAD Y VENTAS","Chats",IF(OR(D491="GERENCIA INBOUND LÍNEAS SERVICIO Y VENTA",D491="GERENCIA INBOUND LINEAS ESPECIALIZADAS"),"Llamadas","Otro")))</f>
        <v/>
      </c>
      <c r="I491" s="23" t="str">
        <f aca="false">IF(A491="","",IF(C491="No encontrado","No","Sí"))</f>
        <v/>
      </c>
      <c r="J491" s="23" t="str">
        <f aca="false">IF(A491="","",IF(F491="Inactivo","No","Sí"))</f>
        <v/>
      </c>
      <c r="K491" s="23" t="str">
        <f aca="false">IF(A491="","",IF(AND(I491="Sí",J491="Sí"),"Sí","No"))</f>
        <v/>
      </c>
    </row>
    <row r="492" customFormat="false" ht="15" hidden="false" customHeight="false" outlineLevel="0" collapsed="false">
      <c r="A492" s="22"/>
      <c r="B492" s="22"/>
      <c r="C492" s="26" t="str">
        <f aca="false">IF(A492="","",IFERROR(buscarx(A492&amp;B492,DATA!$E$3:$E$10000&amp;DATA!$B$3:$B$10000,DATA!$M$3:$M$10000),"No encontrado"))</f>
        <v/>
      </c>
      <c r="D492" s="27" t="str">
        <f aca="false">IF(A492="","",IFERROR(buscarx(A492&amp;B492,DATA!$E$3:$E$10000&amp;DATA!$B$3:$B$10000,DATA!$W$3:$W$10000),"No encontrado"))</f>
        <v/>
      </c>
      <c r="E492" s="22"/>
      <c r="F492" s="26" t="str">
        <f aca="false">IF(A492="","",IFERROR(buscarx(A492&amp;E492,DATA!$E$3:$E$10000&amp;DATA!$B$3:$B$10000,DATA!$M$3:$M$10000),"Inactivo"))</f>
        <v/>
      </c>
      <c r="G492" s="28" t="str">
        <f aca="false">IF(A492="","",IF(AND(C492&lt;&gt;"No encontrado",F492&lt;&gt;"Inactivo"),C492&amp;" → "&amp;F492,"Sin transición"))</f>
        <v/>
      </c>
      <c r="H492" s="26" t="str">
        <f aca="false">IF(A492="","",IF(D492="GCIA LINEA SERVICIO DIGITALIDAD Y VENTAS","Chats",IF(OR(D492="GERENCIA INBOUND LÍNEAS SERVICIO Y VENTA",D492="GERENCIA INBOUND LINEAS ESPECIALIZADAS"),"Llamadas","Otro")))</f>
        <v/>
      </c>
      <c r="I492" s="26" t="str">
        <f aca="false">IF(A492="","",IF(C492="No encontrado","No","Sí"))</f>
        <v/>
      </c>
      <c r="J492" s="26" t="str">
        <f aca="false">IF(A492="","",IF(F492="Inactivo","No","Sí"))</f>
        <v/>
      </c>
      <c r="K492" s="26" t="str">
        <f aca="false">IF(A492="","",IF(AND(I492="Sí",J492="Sí"),"Sí","No"))</f>
        <v/>
      </c>
    </row>
    <row r="493" customFormat="false" ht="15" hidden="false" customHeight="false" outlineLevel="0" collapsed="false">
      <c r="A493" s="22"/>
      <c r="B493" s="22"/>
      <c r="C493" s="23" t="str">
        <f aca="false">IF(A493="","",IFERROR(buscarx(A493&amp;B493,DATA!$E$3:$E$10000&amp;DATA!$B$3:$B$10000,DATA!$M$3:$M$10000),"No encontrado"))</f>
        <v/>
      </c>
      <c r="D493" s="24" t="str">
        <f aca="false">IF(A493="","",IFERROR(buscarx(A493&amp;B493,DATA!$E$3:$E$10000&amp;DATA!$B$3:$B$10000,DATA!$W$3:$W$10000),"No encontrado"))</f>
        <v/>
      </c>
      <c r="E493" s="22"/>
      <c r="F493" s="23" t="str">
        <f aca="false">IF(A493="","",IFERROR(buscarx(A493&amp;E493,DATA!$E$3:$E$10000&amp;DATA!$B$3:$B$10000,DATA!$M$3:$M$10000),"Inactivo"))</f>
        <v/>
      </c>
      <c r="G493" s="25" t="str">
        <f aca="false">IF(A493="","",IF(AND(C493&lt;&gt;"No encontrado",F493&lt;&gt;"Inactivo"),C493&amp;" → "&amp;F493,"Sin transición"))</f>
        <v/>
      </c>
      <c r="H493" s="23" t="str">
        <f aca="false">IF(A493="","",IF(D493="GCIA LINEA SERVICIO DIGITALIDAD Y VENTAS","Chats",IF(OR(D493="GERENCIA INBOUND LÍNEAS SERVICIO Y VENTA",D493="GERENCIA INBOUND LINEAS ESPECIALIZADAS"),"Llamadas","Otro")))</f>
        <v/>
      </c>
      <c r="I493" s="23" t="str">
        <f aca="false">IF(A493="","",IF(C493="No encontrado","No","Sí"))</f>
        <v/>
      </c>
      <c r="J493" s="23" t="str">
        <f aca="false">IF(A493="","",IF(F493="Inactivo","No","Sí"))</f>
        <v/>
      </c>
      <c r="K493" s="23" t="str">
        <f aca="false">IF(A493="","",IF(AND(I493="Sí",J493="Sí"),"Sí","No"))</f>
        <v/>
      </c>
    </row>
    <row r="494" customFormat="false" ht="15" hidden="false" customHeight="false" outlineLevel="0" collapsed="false">
      <c r="A494" s="22"/>
      <c r="B494" s="22"/>
      <c r="C494" s="26" t="str">
        <f aca="false">IF(A494="","",IFERROR(buscarx(A494&amp;B494,DATA!$E$3:$E$10000&amp;DATA!$B$3:$B$10000,DATA!$M$3:$M$10000),"No encontrado"))</f>
        <v/>
      </c>
      <c r="D494" s="27" t="str">
        <f aca="false">IF(A494="","",IFERROR(buscarx(A494&amp;B494,DATA!$E$3:$E$10000&amp;DATA!$B$3:$B$10000,DATA!$W$3:$W$10000),"No encontrado"))</f>
        <v/>
      </c>
      <c r="E494" s="22"/>
      <c r="F494" s="26" t="str">
        <f aca="false">IF(A494="","",IFERROR(buscarx(A494&amp;E494,DATA!$E$3:$E$10000&amp;DATA!$B$3:$B$10000,DATA!$M$3:$M$10000),"Inactivo"))</f>
        <v/>
      </c>
      <c r="G494" s="28" t="str">
        <f aca="false">IF(A494="","",IF(AND(C494&lt;&gt;"No encontrado",F494&lt;&gt;"Inactivo"),C494&amp;" → "&amp;F494,"Sin transición"))</f>
        <v/>
      </c>
      <c r="H494" s="26" t="str">
        <f aca="false">IF(A494="","",IF(D494="GCIA LINEA SERVICIO DIGITALIDAD Y VENTAS","Chats",IF(OR(D494="GERENCIA INBOUND LÍNEAS SERVICIO Y VENTA",D494="GERENCIA INBOUND LINEAS ESPECIALIZADAS"),"Llamadas","Otro")))</f>
        <v/>
      </c>
      <c r="I494" s="26" t="str">
        <f aca="false">IF(A494="","",IF(C494="No encontrado","No","Sí"))</f>
        <v/>
      </c>
      <c r="J494" s="26" t="str">
        <f aca="false">IF(A494="","",IF(F494="Inactivo","No","Sí"))</f>
        <v/>
      </c>
      <c r="K494" s="26" t="str">
        <f aca="false">IF(A494="","",IF(AND(I494="Sí",J494="Sí"),"Sí","No"))</f>
        <v/>
      </c>
    </row>
    <row r="495" customFormat="false" ht="15" hidden="false" customHeight="false" outlineLevel="0" collapsed="false">
      <c r="A495" s="22"/>
      <c r="B495" s="22"/>
      <c r="C495" s="23" t="str">
        <f aca="false">IF(A495="","",IFERROR(buscarx(A495&amp;B495,DATA!$E$3:$E$10000&amp;DATA!$B$3:$B$10000,DATA!$M$3:$M$10000),"No encontrado"))</f>
        <v/>
      </c>
      <c r="D495" s="24" t="str">
        <f aca="false">IF(A495="","",IFERROR(buscarx(A495&amp;B495,DATA!$E$3:$E$10000&amp;DATA!$B$3:$B$10000,DATA!$W$3:$W$10000),"No encontrado"))</f>
        <v/>
      </c>
      <c r="E495" s="22"/>
      <c r="F495" s="23" t="str">
        <f aca="false">IF(A495="","",IFERROR(buscarx(A495&amp;E495,DATA!$E$3:$E$10000&amp;DATA!$B$3:$B$10000,DATA!$M$3:$M$10000),"Inactivo"))</f>
        <v/>
      </c>
      <c r="G495" s="25" t="str">
        <f aca="false">IF(A495="","",IF(AND(C495&lt;&gt;"No encontrado",F495&lt;&gt;"Inactivo"),C495&amp;" → "&amp;F495,"Sin transición"))</f>
        <v/>
      </c>
      <c r="H495" s="23" t="str">
        <f aca="false">IF(A495="","",IF(D495="GCIA LINEA SERVICIO DIGITALIDAD Y VENTAS","Chats",IF(OR(D495="GERENCIA INBOUND LÍNEAS SERVICIO Y VENTA",D495="GERENCIA INBOUND LINEAS ESPECIALIZADAS"),"Llamadas","Otro")))</f>
        <v/>
      </c>
      <c r="I495" s="23" t="str">
        <f aca="false">IF(A495="","",IF(C495="No encontrado","No","Sí"))</f>
        <v/>
      </c>
      <c r="J495" s="23" t="str">
        <f aca="false">IF(A495="","",IF(F495="Inactivo","No","Sí"))</f>
        <v/>
      </c>
      <c r="K495" s="23" t="str">
        <f aca="false">IF(A495="","",IF(AND(I495="Sí",J495="Sí"),"Sí","No"))</f>
        <v/>
      </c>
    </row>
    <row r="496" customFormat="false" ht="15" hidden="false" customHeight="false" outlineLevel="0" collapsed="false">
      <c r="A496" s="22"/>
      <c r="B496" s="22"/>
      <c r="C496" s="26" t="str">
        <f aca="false">IF(A496="","",IFERROR(buscarx(A496&amp;B496,DATA!$E$3:$E$10000&amp;DATA!$B$3:$B$10000,DATA!$M$3:$M$10000),"No encontrado"))</f>
        <v/>
      </c>
      <c r="D496" s="27" t="str">
        <f aca="false">IF(A496="","",IFERROR(buscarx(A496&amp;B496,DATA!$E$3:$E$10000&amp;DATA!$B$3:$B$10000,DATA!$W$3:$W$10000),"No encontrado"))</f>
        <v/>
      </c>
      <c r="E496" s="22"/>
      <c r="F496" s="26" t="str">
        <f aca="false">IF(A496="","",IFERROR(buscarx(A496&amp;E496,DATA!$E$3:$E$10000&amp;DATA!$B$3:$B$10000,DATA!$M$3:$M$10000),"Inactivo"))</f>
        <v/>
      </c>
      <c r="G496" s="28" t="str">
        <f aca="false">IF(A496="","",IF(AND(C496&lt;&gt;"No encontrado",F496&lt;&gt;"Inactivo"),C496&amp;" → "&amp;F496,"Sin transición"))</f>
        <v/>
      </c>
      <c r="H496" s="26" t="str">
        <f aca="false">IF(A496="","",IF(D496="GCIA LINEA SERVICIO DIGITALIDAD Y VENTAS","Chats",IF(OR(D496="GERENCIA INBOUND LÍNEAS SERVICIO Y VENTA",D496="GERENCIA INBOUND LINEAS ESPECIALIZADAS"),"Llamadas","Otro")))</f>
        <v/>
      </c>
      <c r="I496" s="26" t="str">
        <f aca="false">IF(A496="","",IF(C496="No encontrado","No","Sí"))</f>
        <v/>
      </c>
      <c r="J496" s="26" t="str">
        <f aca="false">IF(A496="","",IF(F496="Inactivo","No","Sí"))</f>
        <v/>
      </c>
      <c r="K496" s="26" t="str">
        <f aca="false">IF(A496="","",IF(AND(I496="Sí",J496="Sí"),"Sí","No"))</f>
        <v/>
      </c>
    </row>
    <row r="497" customFormat="false" ht="15" hidden="false" customHeight="false" outlineLevel="0" collapsed="false">
      <c r="A497" s="22"/>
      <c r="B497" s="22"/>
      <c r="C497" s="23" t="str">
        <f aca="false">IF(A497="","",IFERROR(buscarx(A497&amp;B497,DATA!$E$3:$E$10000&amp;DATA!$B$3:$B$10000,DATA!$M$3:$M$10000),"No encontrado"))</f>
        <v/>
      </c>
      <c r="D497" s="24" t="str">
        <f aca="false">IF(A497="","",IFERROR(buscarx(A497&amp;B497,DATA!$E$3:$E$10000&amp;DATA!$B$3:$B$10000,DATA!$W$3:$W$10000),"No encontrado"))</f>
        <v/>
      </c>
      <c r="E497" s="22"/>
      <c r="F497" s="23" t="str">
        <f aca="false">IF(A497="","",IFERROR(buscarx(A497&amp;E497,DATA!$E$3:$E$10000&amp;DATA!$B$3:$B$10000,DATA!$M$3:$M$10000),"Inactivo"))</f>
        <v/>
      </c>
      <c r="G497" s="25" t="str">
        <f aca="false">IF(A497="","",IF(AND(C497&lt;&gt;"No encontrado",F497&lt;&gt;"Inactivo"),C497&amp;" → "&amp;F497,"Sin transición"))</f>
        <v/>
      </c>
      <c r="H497" s="23" t="str">
        <f aca="false">IF(A497="","",IF(D497="GCIA LINEA SERVICIO DIGITALIDAD Y VENTAS","Chats",IF(OR(D497="GERENCIA INBOUND LÍNEAS SERVICIO Y VENTA",D497="GERENCIA INBOUND LINEAS ESPECIALIZADAS"),"Llamadas","Otro")))</f>
        <v/>
      </c>
      <c r="I497" s="23" t="str">
        <f aca="false">IF(A497="","",IF(C497="No encontrado","No","Sí"))</f>
        <v/>
      </c>
      <c r="J497" s="23" t="str">
        <f aca="false">IF(A497="","",IF(F497="Inactivo","No","Sí"))</f>
        <v/>
      </c>
      <c r="K497" s="23" t="str">
        <f aca="false">IF(A497="","",IF(AND(I497="Sí",J497="Sí"),"Sí","No"))</f>
        <v/>
      </c>
    </row>
    <row r="498" customFormat="false" ht="15" hidden="false" customHeight="false" outlineLevel="0" collapsed="false">
      <c r="A498" s="22"/>
      <c r="B498" s="22"/>
      <c r="C498" s="26" t="str">
        <f aca="false">IF(A498="","",IFERROR(buscarx(A498&amp;B498,DATA!$E$3:$E$10000&amp;DATA!$B$3:$B$10000,DATA!$M$3:$M$10000),"No encontrado"))</f>
        <v/>
      </c>
      <c r="D498" s="27" t="str">
        <f aca="false">IF(A498="","",IFERROR(buscarx(A498&amp;B498,DATA!$E$3:$E$10000&amp;DATA!$B$3:$B$10000,DATA!$W$3:$W$10000),"No encontrado"))</f>
        <v/>
      </c>
      <c r="E498" s="22"/>
      <c r="F498" s="26" t="str">
        <f aca="false">IF(A498="","",IFERROR(buscarx(A498&amp;E498,DATA!$E$3:$E$10000&amp;DATA!$B$3:$B$10000,DATA!$M$3:$M$10000),"Inactivo"))</f>
        <v/>
      </c>
      <c r="G498" s="28" t="str">
        <f aca="false">IF(A498="","",IF(AND(C498&lt;&gt;"No encontrado",F498&lt;&gt;"Inactivo"),C498&amp;" → "&amp;F498,"Sin transición"))</f>
        <v/>
      </c>
      <c r="H498" s="26" t="str">
        <f aca="false">IF(A498="","",IF(D498="GCIA LINEA SERVICIO DIGITALIDAD Y VENTAS","Chats",IF(OR(D498="GERENCIA INBOUND LÍNEAS SERVICIO Y VENTA",D498="GERENCIA INBOUND LINEAS ESPECIALIZADAS"),"Llamadas","Otro")))</f>
        <v/>
      </c>
      <c r="I498" s="26" t="str">
        <f aca="false">IF(A498="","",IF(C498="No encontrado","No","Sí"))</f>
        <v/>
      </c>
      <c r="J498" s="26" t="str">
        <f aca="false">IF(A498="","",IF(F498="Inactivo","No","Sí"))</f>
        <v/>
      </c>
      <c r="K498" s="26" t="str">
        <f aca="false">IF(A498="","",IF(AND(I498="Sí",J498="Sí"),"Sí","No"))</f>
        <v/>
      </c>
    </row>
    <row r="499" customFormat="false" ht="15" hidden="false" customHeight="false" outlineLevel="0" collapsed="false">
      <c r="A499" s="22"/>
      <c r="B499" s="22"/>
      <c r="C499" s="23" t="str">
        <f aca="false">IF(A499="","",IFERROR(buscarx(A499&amp;B499,DATA!$E$3:$E$10000&amp;DATA!$B$3:$B$10000,DATA!$M$3:$M$10000),"No encontrado"))</f>
        <v/>
      </c>
      <c r="D499" s="24" t="str">
        <f aca="false">IF(A499="","",IFERROR(buscarx(A499&amp;B499,DATA!$E$3:$E$10000&amp;DATA!$B$3:$B$10000,DATA!$W$3:$W$10000),"No encontrado"))</f>
        <v/>
      </c>
      <c r="E499" s="22"/>
      <c r="F499" s="23" t="str">
        <f aca="false">IF(A499="","",IFERROR(buscarx(A499&amp;E499,DATA!$E$3:$E$10000&amp;DATA!$B$3:$B$10000,DATA!$M$3:$M$10000),"Inactivo"))</f>
        <v/>
      </c>
      <c r="G499" s="25" t="str">
        <f aca="false">IF(A499="","",IF(AND(C499&lt;&gt;"No encontrado",F499&lt;&gt;"Inactivo"),C499&amp;" → "&amp;F499,"Sin transición"))</f>
        <v/>
      </c>
      <c r="H499" s="23" t="str">
        <f aca="false">IF(A499="","",IF(D499="GCIA LINEA SERVICIO DIGITALIDAD Y VENTAS","Chats",IF(OR(D499="GERENCIA INBOUND LÍNEAS SERVICIO Y VENTA",D499="GERENCIA INBOUND LINEAS ESPECIALIZADAS"),"Llamadas","Otro")))</f>
        <v/>
      </c>
      <c r="I499" s="23" t="str">
        <f aca="false">IF(A499="","",IF(C499="No encontrado","No","Sí"))</f>
        <v/>
      </c>
      <c r="J499" s="23" t="str">
        <f aca="false">IF(A499="","",IF(F499="Inactivo","No","Sí"))</f>
        <v/>
      </c>
      <c r="K499" s="23" t="str">
        <f aca="false">IF(A499="","",IF(AND(I499="Sí",J499="Sí"),"Sí","No"))</f>
        <v/>
      </c>
    </row>
    <row r="500" customFormat="false" ht="15" hidden="false" customHeight="false" outlineLevel="0" collapsed="false">
      <c r="A500" s="22"/>
      <c r="B500" s="22"/>
      <c r="C500" s="26" t="str">
        <f aca="false">IF(A500="","",IFERROR(buscarx(A500&amp;B500,DATA!$E$3:$E$10000&amp;DATA!$B$3:$B$10000,DATA!$M$3:$M$10000),"No encontrado"))</f>
        <v/>
      </c>
      <c r="D500" s="27" t="str">
        <f aca="false">IF(A500="","",IFERROR(buscarx(A500&amp;B500,DATA!$E$3:$E$10000&amp;DATA!$B$3:$B$10000,DATA!$W$3:$W$10000),"No encontrado"))</f>
        <v/>
      </c>
      <c r="E500" s="22"/>
      <c r="F500" s="26" t="str">
        <f aca="false">IF(A500="","",IFERROR(buscarx(A500&amp;E500,DATA!$E$3:$E$10000&amp;DATA!$B$3:$B$10000,DATA!$M$3:$M$10000),"Inactivo"))</f>
        <v/>
      </c>
      <c r="G500" s="28" t="str">
        <f aca="false">IF(A500="","",IF(AND(C500&lt;&gt;"No encontrado",F500&lt;&gt;"Inactivo"),C500&amp;" → "&amp;F500,"Sin transición"))</f>
        <v/>
      </c>
      <c r="H500" s="26" t="str">
        <f aca="false">IF(A500="","",IF(D500="GCIA LINEA SERVICIO DIGITALIDAD Y VENTAS","Chats",IF(OR(D500="GERENCIA INBOUND LÍNEAS SERVICIO Y VENTA",D500="GERENCIA INBOUND LINEAS ESPECIALIZADAS"),"Llamadas","Otro")))</f>
        <v/>
      </c>
      <c r="I500" s="26" t="str">
        <f aca="false">IF(A500="","",IF(C500="No encontrado","No","Sí"))</f>
        <v/>
      </c>
      <c r="J500" s="26" t="str">
        <f aca="false">IF(A500="","",IF(F500="Inactivo","No","Sí"))</f>
        <v/>
      </c>
      <c r="K500" s="26" t="str">
        <f aca="false">IF(A500="","",IF(AND(I500="Sí",J500="Sí"),"Sí","No"))</f>
        <v/>
      </c>
    </row>
    <row r="501" customFormat="false" ht="15" hidden="false" customHeight="false" outlineLevel="0" collapsed="false">
      <c r="A501" s="22"/>
      <c r="B501" s="22"/>
      <c r="C501" s="23" t="str">
        <f aca="false">IF(A501="","",IFERROR(buscarx(A501&amp;B501,DATA!$E$3:$E$10000&amp;DATA!$B$3:$B$10000,DATA!$M$3:$M$10000),"No encontrado"))</f>
        <v/>
      </c>
      <c r="D501" s="24" t="str">
        <f aca="false">IF(A501="","",IFERROR(buscarx(A501&amp;B501,DATA!$E$3:$E$10000&amp;DATA!$B$3:$B$10000,DATA!$W$3:$W$10000),"No encontrado"))</f>
        <v/>
      </c>
      <c r="E501" s="22"/>
      <c r="F501" s="23" t="str">
        <f aca="false">IF(A501="","",IFERROR(buscarx(A501&amp;E501,DATA!$E$3:$E$10000&amp;DATA!$B$3:$B$10000,DATA!$M$3:$M$10000),"Inactivo"))</f>
        <v/>
      </c>
      <c r="G501" s="25" t="str">
        <f aca="false">IF(A501="","",IF(AND(C501&lt;&gt;"No encontrado",F501&lt;&gt;"Inactivo"),C501&amp;" → "&amp;F501,"Sin transición"))</f>
        <v/>
      </c>
      <c r="H501" s="23" t="str">
        <f aca="false">IF(A501="","",IF(D501="GCIA LINEA SERVICIO DIGITALIDAD Y VENTAS","Chats",IF(OR(D501="GERENCIA INBOUND LÍNEAS SERVICIO Y VENTA",D501="GERENCIA INBOUND LINEAS ESPECIALIZADAS"),"Llamadas","Otro")))</f>
        <v/>
      </c>
      <c r="I501" s="23" t="str">
        <f aca="false">IF(A501="","",IF(C501="No encontrado","No","Sí"))</f>
        <v/>
      </c>
      <c r="J501" s="23" t="str">
        <f aca="false">IF(A501="","",IF(F501="Inactivo","No","Sí"))</f>
        <v/>
      </c>
      <c r="K501" s="23" t="str">
        <f aca="false">IF(A501="","",IF(AND(I501="Sí",J501="Sí"),"Sí","No"))</f>
        <v/>
      </c>
    </row>
    <row r="502" customFormat="false" ht="15" hidden="false" customHeight="false" outlineLevel="0" collapsed="false">
      <c r="A502" s="22"/>
      <c r="B502" s="22"/>
      <c r="C502" s="26" t="str">
        <f aca="false">IF(A502="","",IFERROR(buscarx(A502&amp;B502,DATA!$E$3:$E$10000&amp;DATA!$B$3:$B$10000,DATA!$M$3:$M$10000),"No encontrado"))</f>
        <v/>
      </c>
      <c r="D502" s="27" t="str">
        <f aca="false">IF(A502="","",IFERROR(buscarx(A502&amp;B502,DATA!$E$3:$E$10000&amp;DATA!$B$3:$B$10000,DATA!$W$3:$W$10000),"No encontrado"))</f>
        <v/>
      </c>
      <c r="E502" s="22"/>
      <c r="F502" s="26" t="str">
        <f aca="false">IF(A502="","",IFERROR(buscarx(A502&amp;E502,DATA!$E$3:$E$10000&amp;DATA!$B$3:$B$10000,DATA!$M$3:$M$10000),"Inactivo"))</f>
        <v/>
      </c>
      <c r="G502" s="28" t="str">
        <f aca="false">IF(A502="","",IF(AND(C502&lt;&gt;"No encontrado",F502&lt;&gt;"Inactivo"),C502&amp;" → "&amp;F502,"Sin transición"))</f>
        <v/>
      </c>
      <c r="H502" s="26" t="str">
        <f aca="false">IF(A502="","",IF(D502="GCIA LINEA SERVICIO DIGITALIDAD Y VENTAS","Chats",IF(OR(D502="GERENCIA INBOUND LÍNEAS SERVICIO Y VENTA",D502="GERENCIA INBOUND LINEAS ESPECIALIZADAS"),"Llamadas","Otro")))</f>
        <v/>
      </c>
      <c r="I502" s="26" t="str">
        <f aca="false">IF(A502="","",IF(C502="No encontrado","No","Sí"))</f>
        <v/>
      </c>
      <c r="J502" s="26" t="str">
        <f aca="false">IF(A502="","",IF(F502="Inactivo","No","Sí"))</f>
        <v/>
      </c>
      <c r="K502" s="26" t="str">
        <f aca="false">IF(A502="","",IF(AND(I502="Sí",J502="Sí"),"Sí","No"))</f>
        <v/>
      </c>
    </row>
    <row r="503" customFormat="false" ht="15" hidden="false" customHeight="false" outlineLevel="0" collapsed="false">
      <c r="A503" s="22"/>
      <c r="B503" s="22"/>
      <c r="C503" s="23" t="str">
        <f aca="false">IF(A503="","",IFERROR(buscarx(A503&amp;B503,DATA!$E$3:$E$10000&amp;DATA!$B$3:$B$10000,DATA!$M$3:$M$10000),"No encontrado"))</f>
        <v/>
      </c>
      <c r="D503" s="24" t="str">
        <f aca="false">IF(A503="","",IFERROR(buscarx(A503&amp;B503,DATA!$E$3:$E$10000&amp;DATA!$B$3:$B$10000,DATA!$W$3:$W$10000),"No encontrado"))</f>
        <v/>
      </c>
      <c r="E503" s="22"/>
      <c r="F503" s="23" t="str">
        <f aca="false">IF(A503="","",IFERROR(buscarx(A503&amp;E503,DATA!$E$3:$E$10000&amp;DATA!$B$3:$B$10000,DATA!$M$3:$M$10000),"Inactivo"))</f>
        <v/>
      </c>
      <c r="G503" s="25" t="str">
        <f aca="false">IF(A503="","",IF(AND(C503&lt;&gt;"No encontrado",F503&lt;&gt;"Inactivo"),C503&amp;" → "&amp;F503,"Sin transición"))</f>
        <v/>
      </c>
      <c r="H503" s="23" t="str">
        <f aca="false">IF(A503="","",IF(D503="GCIA LINEA SERVICIO DIGITALIDAD Y VENTAS","Chats",IF(OR(D503="GERENCIA INBOUND LÍNEAS SERVICIO Y VENTA",D503="GERENCIA INBOUND LINEAS ESPECIALIZADAS"),"Llamadas","Otro")))</f>
        <v/>
      </c>
      <c r="I503" s="23" t="str">
        <f aca="false">IF(A503="","",IF(C503="No encontrado","No","Sí"))</f>
        <v/>
      </c>
      <c r="J503" s="23" t="str">
        <f aca="false">IF(A503="","",IF(F503="Inactivo","No","Sí"))</f>
        <v/>
      </c>
      <c r="K503" s="23" t="str">
        <f aca="false">IF(A503="","",IF(AND(I503="Sí",J503="Sí"),"Sí","No"))</f>
        <v/>
      </c>
    </row>
    <row r="504" customFormat="false" ht="15" hidden="false" customHeight="false" outlineLevel="0" collapsed="false">
      <c r="A504" s="22"/>
      <c r="B504" s="22"/>
      <c r="C504" s="26" t="str">
        <f aca="false">IF(A504="","",IFERROR(buscarx(A504&amp;B504,DATA!$E$3:$E$10000&amp;DATA!$B$3:$B$10000,DATA!$M$3:$M$10000),"No encontrado"))</f>
        <v/>
      </c>
      <c r="D504" s="27" t="str">
        <f aca="false">IF(A504="","",IFERROR(buscarx(A504&amp;B504,DATA!$E$3:$E$10000&amp;DATA!$B$3:$B$10000,DATA!$W$3:$W$10000),"No encontrado"))</f>
        <v/>
      </c>
      <c r="E504" s="22"/>
      <c r="F504" s="26" t="str">
        <f aca="false">IF(A504="","",IFERROR(buscarx(A504&amp;E504,DATA!$E$3:$E$10000&amp;DATA!$B$3:$B$10000,DATA!$M$3:$M$10000),"Inactivo"))</f>
        <v/>
      </c>
      <c r="G504" s="28" t="str">
        <f aca="false">IF(A504="","",IF(AND(C504&lt;&gt;"No encontrado",F504&lt;&gt;"Inactivo"),C504&amp;" → "&amp;F504,"Sin transición"))</f>
        <v/>
      </c>
      <c r="H504" s="26" t="str">
        <f aca="false">IF(A504="","",IF(D504="GCIA LINEA SERVICIO DIGITALIDAD Y VENTAS","Chats",IF(OR(D504="GERENCIA INBOUND LÍNEAS SERVICIO Y VENTA",D504="GERENCIA INBOUND LINEAS ESPECIALIZADAS"),"Llamadas","Otro")))</f>
        <v/>
      </c>
      <c r="I504" s="26" t="str">
        <f aca="false">IF(A504="","",IF(C504="No encontrado","No","Sí"))</f>
        <v/>
      </c>
      <c r="J504" s="26" t="str">
        <f aca="false">IF(A504="","",IF(F504="Inactivo","No","Sí"))</f>
        <v/>
      </c>
      <c r="K504" s="26" t="str">
        <f aca="false">IF(A504="","",IF(AND(I504="Sí",J504="Sí"),"Sí","No"))</f>
        <v/>
      </c>
    </row>
    <row r="505" customFormat="false" ht="15" hidden="false" customHeight="false" outlineLevel="0" collapsed="false">
      <c r="A505" s="22"/>
      <c r="B505" s="22"/>
      <c r="C505" s="23" t="str">
        <f aca="false">IF(A505="","",IFERROR(buscarx(A505&amp;B505,DATA!$E$3:$E$10000&amp;DATA!$B$3:$B$10000,DATA!$M$3:$M$10000),"No encontrado"))</f>
        <v/>
      </c>
      <c r="D505" s="24" t="str">
        <f aca="false">IF(A505="","",IFERROR(buscarx(A505&amp;B505,DATA!$E$3:$E$10000&amp;DATA!$B$3:$B$10000,DATA!$W$3:$W$10000),"No encontrado"))</f>
        <v/>
      </c>
      <c r="E505" s="22"/>
      <c r="F505" s="23" t="str">
        <f aca="false">IF(A505="","",IFERROR(buscarx(A505&amp;E505,DATA!$E$3:$E$10000&amp;DATA!$B$3:$B$10000,DATA!$M$3:$M$10000),"Inactivo"))</f>
        <v/>
      </c>
      <c r="G505" s="25" t="str">
        <f aca="false">IF(A505="","",IF(AND(C505&lt;&gt;"No encontrado",F505&lt;&gt;"Inactivo"),C505&amp;" → "&amp;F505,"Sin transición"))</f>
        <v/>
      </c>
      <c r="H505" s="23" t="str">
        <f aca="false">IF(A505="","",IF(D505="GCIA LINEA SERVICIO DIGITALIDAD Y VENTAS","Chats",IF(OR(D505="GERENCIA INBOUND LÍNEAS SERVICIO Y VENTA",D505="GERENCIA INBOUND LINEAS ESPECIALIZADAS"),"Llamadas","Otro")))</f>
        <v/>
      </c>
      <c r="I505" s="23" t="str">
        <f aca="false">IF(A505="","",IF(C505="No encontrado","No","Sí"))</f>
        <v/>
      </c>
      <c r="J505" s="23" t="str">
        <f aca="false">IF(A505="","",IF(F505="Inactivo","No","Sí"))</f>
        <v/>
      </c>
      <c r="K505" s="23" t="str">
        <f aca="false">IF(A505="","",IF(AND(I505="Sí",J505="Sí"),"Sí","No"))</f>
        <v/>
      </c>
    </row>
    <row r="506" customFormat="false" ht="15" hidden="false" customHeight="false" outlineLevel="0" collapsed="false">
      <c r="A506" s="22"/>
      <c r="B506" s="22"/>
      <c r="C506" s="26" t="str">
        <f aca="false">IF(A506="","",IFERROR(buscarx(A506&amp;B506,DATA!$E$3:$E$10000&amp;DATA!$B$3:$B$10000,DATA!$M$3:$M$10000),"No encontrado"))</f>
        <v/>
      </c>
      <c r="D506" s="27" t="str">
        <f aca="false">IF(A506="","",IFERROR(buscarx(A506&amp;B506,DATA!$E$3:$E$10000&amp;DATA!$B$3:$B$10000,DATA!$W$3:$W$10000),"No encontrado"))</f>
        <v/>
      </c>
      <c r="E506" s="22"/>
      <c r="F506" s="26" t="str">
        <f aca="false">IF(A506="","",IFERROR(buscarx(A506&amp;E506,DATA!$E$3:$E$10000&amp;DATA!$B$3:$B$10000,DATA!$M$3:$M$10000),"Inactivo"))</f>
        <v/>
      </c>
      <c r="G506" s="28" t="str">
        <f aca="false">IF(A506="","",IF(AND(C506&lt;&gt;"No encontrado",F506&lt;&gt;"Inactivo"),C506&amp;" → "&amp;F506,"Sin transición"))</f>
        <v/>
      </c>
      <c r="H506" s="26" t="str">
        <f aca="false">IF(A506="","",IF(D506="GCIA LINEA SERVICIO DIGITALIDAD Y VENTAS","Chats",IF(OR(D506="GERENCIA INBOUND LÍNEAS SERVICIO Y VENTA",D506="GERENCIA INBOUND LINEAS ESPECIALIZADAS"),"Llamadas","Otro")))</f>
        <v/>
      </c>
      <c r="I506" s="26" t="str">
        <f aca="false">IF(A506="","",IF(C506="No encontrado","No","Sí"))</f>
        <v/>
      </c>
      <c r="J506" s="26" t="str">
        <f aca="false">IF(A506="","",IF(F506="Inactivo","No","Sí"))</f>
        <v/>
      </c>
      <c r="K506" s="26" t="str">
        <f aca="false">IF(A506="","",IF(AND(I506="Sí",J506="Sí"),"Sí","No"))</f>
        <v/>
      </c>
    </row>
    <row r="507" customFormat="false" ht="15" hidden="false" customHeight="false" outlineLevel="0" collapsed="false">
      <c r="A507" s="22"/>
      <c r="B507" s="22"/>
      <c r="C507" s="23" t="str">
        <f aca="false">IF(A507="","",IFERROR(buscarx(A507&amp;B507,DATA!$E$3:$E$10000&amp;DATA!$B$3:$B$10000,DATA!$M$3:$M$10000),"No encontrado"))</f>
        <v/>
      </c>
      <c r="D507" s="24" t="str">
        <f aca="false">IF(A507="","",IFERROR(buscarx(A507&amp;B507,DATA!$E$3:$E$10000&amp;DATA!$B$3:$B$10000,DATA!$W$3:$W$10000),"No encontrado"))</f>
        <v/>
      </c>
      <c r="E507" s="22"/>
      <c r="F507" s="23" t="str">
        <f aca="false">IF(A507="","",IFERROR(buscarx(A507&amp;E507,DATA!$E$3:$E$10000&amp;DATA!$B$3:$B$10000,DATA!$M$3:$M$10000),"Inactivo"))</f>
        <v/>
      </c>
      <c r="G507" s="25" t="str">
        <f aca="false">IF(A507="","",IF(AND(C507&lt;&gt;"No encontrado",F507&lt;&gt;"Inactivo"),C507&amp;" → "&amp;F507,"Sin transición"))</f>
        <v/>
      </c>
      <c r="H507" s="23" t="str">
        <f aca="false">IF(A507="","",IF(D507="GCIA LINEA SERVICIO DIGITALIDAD Y VENTAS","Chats",IF(OR(D507="GERENCIA INBOUND LÍNEAS SERVICIO Y VENTA",D507="GERENCIA INBOUND LINEAS ESPECIALIZADAS"),"Llamadas","Otro")))</f>
        <v/>
      </c>
      <c r="I507" s="23" t="str">
        <f aca="false">IF(A507="","",IF(C507="No encontrado","No","Sí"))</f>
        <v/>
      </c>
      <c r="J507" s="23" t="str">
        <f aca="false">IF(A507="","",IF(F507="Inactivo","No","Sí"))</f>
        <v/>
      </c>
      <c r="K507" s="23" t="str">
        <f aca="false">IF(A507="","",IF(AND(I507="Sí",J507="Sí"),"Sí","No"))</f>
        <v/>
      </c>
    </row>
    <row r="508" customFormat="false" ht="15" hidden="false" customHeight="false" outlineLevel="0" collapsed="false">
      <c r="A508" s="22"/>
      <c r="B508" s="22"/>
      <c r="C508" s="26" t="str">
        <f aca="false">IF(A508="","",IFERROR(buscarx(A508&amp;B508,DATA!$E$3:$E$10000&amp;DATA!$B$3:$B$10000,DATA!$M$3:$M$10000),"No encontrado"))</f>
        <v/>
      </c>
      <c r="D508" s="27" t="str">
        <f aca="false">IF(A508="","",IFERROR(buscarx(A508&amp;B508,DATA!$E$3:$E$10000&amp;DATA!$B$3:$B$10000,DATA!$W$3:$W$10000),"No encontrado"))</f>
        <v/>
      </c>
      <c r="E508" s="22"/>
      <c r="F508" s="26" t="str">
        <f aca="false">IF(A508="","",IFERROR(buscarx(A508&amp;E508,DATA!$E$3:$E$10000&amp;DATA!$B$3:$B$10000,DATA!$M$3:$M$10000),"Inactivo"))</f>
        <v/>
      </c>
      <c r="G508" s="28" t="str">
        <f aca="false">IF(A508="","",IF(AND(C508&lt;&gt;"No encontrado",F508&lt;&gt;"Inactivo"),C508&amp;" → "&amp;F508,"Sin transición"))</f>
        <v/>
      </c>
      <c r="H508" s="26" t="str">
        <f aca="false">IF(A508="","",IF(D508="GCIA LINEA SERVICIO DIGITALIDAD Y VENTAS","Chats",IF(OR(D508="GERENCIA INBOUND LÍNEAS SERVICIO Y VENTA",D508="GERENCIA INBOUND LINEAS ESPECIALIZADAS"),"Llamadas","Otro")))</f>
        <v/>
      </c>
      <c r="I508" s="26" t="str">
        <f aca="false">IF(A508="","",IF(C508="No encontrado","No","Sí"))</f>
        <v/>
      </c>
      <c r="J508" s="26" t="str">
        <f aca="false">IF(A508="","",IF(F508="Inactivo","No","Sí"))</f>
        <v/>
      </c>
      <c r="K508" s="26" t="str">
        <f aca="false">IF(A508="","",IF(AND(I508="Sí",J508="Sí"),"Sí","No"))</f>
        <v/>
      </c>
    </row>
    <row r="509" customFormat="false" ht="15" hidden="false" customHeight="false" outlineLevel="0" collapsed="false">
      <c r="A509" s="22"/>
      <c r="B509" s="22"/>
      <c r="C509" s="23" t="str">
        <f aca="false">IF(A509="","",IFERROR(buscarx(A509&amp;B509,DATA!$E$3:$E$10000&amp;DATA!$B$3:$B$10000,DATA!$M$3:$M$10000),"No encontrado"))</f>
        <v/>
      </c>
      <c r="D509" s="24" t="str">
        <f aca="false">IF(A509="","",IFERROR(buscarx(A509&amp;B509,DATA!$E$3:$E$10000&amp;DATA!$B$3:$B$10000,DATA!$W$3:$W$10000),"No encontrado"))</f>
        <v/>
      </c>
      <c r="E509" s="22"/>
      <c r="F509" s="23" t="str">
        <f aca="false">IF(A509="","",IFERROR(buscarx(A509&amp;E509,DATA!$E$3:$E$10000&amp;DATA!$B$3:$B$10000,DATA!$M$3:$M$10000),"Inactivo"))</f>
        <v/>
      </c>
      <c r="G509" s="25" t="str">
        <f aca="false">IF(A509="","",IF(AND(C509&lt;&gt;"No encontrado",F509&lt;&gt;"Inactivo"),C509&amp;" → "&amp;F509,"Sin transición"))</f>
        <v/>
      </c>
      <c r="H509" s="23" t="str">
        <f aca="false">IF(A509="","",IF(D509="GCIA LINEA SERVICIO DIGITALIDAD Y VENTAS","Chats",IF(OR(D509="GERENCIA INBOUND LÍNEAS SERVICIO Y VENTA",D509="GERENCIA INBOUND LINEAS ESPECIALIZADAS"),"Llamadas","Otro")))</f>
        <v/>
      </c>
      <c r="I509" s="23" t="str">
        <f aca="false">IF(A509="","",IF(C509="No encontrado","No","Sí"))</f>
        <v/>
      </c>
      <c r="J509" s="23" t="str">
        <f aca="false">IF(A509="","",IF(F509="Inactivo","No","Sí"))</f>
        <v/>
      </c>
      <c r="K509" s="23" t="str">
        <f aca="false">IF(A509="","",IF(AND(I509="Sí",J509="Sí"),"Sí","No"))</f>
        <v/>
      </c>
    </row>
    <row r="510" customFormat="false" ht="15" hidden="false" customHeight="false" outlineLevel="0" collapsed="false">
      <c r="A510" s="22"/>
      <c r="B510" s="22"/>
      <c r="C510" s="26" t="str">
        <f aca="false">IF(A510="","",IFERROR(buscarx(A510&amp;B510,DATA!$E$3:$E$10000&amp;DATA!$B$3:$B$10000,DATA!$M$3:$M$10000),"No encontrado"))</f>
        <v/>
      </c>
      <c r="D510" s="27" t="str">
        <f aca="false">IF(A510="","",IFERROR(buscarx(A510&amp;B510,DATA!$E$3:$E$10000&amp;DATA!$B$3:$B$10000,DATA!$W$3:$W$10000),"No encontrado"))</f>
        <v/>
      </c>
      <c r="E510" s="22"/>
      <c r="F510" s="26" t="str">
        <f aca="false">IF(A510="","",IFERROR(buscarx(A510&amp;E510,DATA!$E$3:$E$10000&amp;DATA!$B$3:$B$10000,DATA!$M$3:$M$10000),"Inactivo"))</f>
        <v/>
      </c>
      <c r="G510" s="28" t="str">
        <f aca="false">IF(A510="","",IF(AND(C510&lt;&gt;"No encontrado",F510&lt;&gt;"Inactivo"),C510&amp;" → "&amp;F510,"Sin transición"))</f>
        <v/>
      </c>
      <c r="H510" s="26" t="str">
        <f aca="false">IF(A510="","",IF(D510="GCIA LINEA SERVICIO DIGITALIDAD Y VENTAS","Chats",IF(OR(D510="GERENCIA INBOUND LÍNEAS SERVICIO Y VENTA",D510="GERENCIA INBOUND LINEAS ESPECIALIZADAS"),"Llamadas","Otro")))</f>
        <v/>
      </c>
      <c r="I510" s="26" t="str">
        <f aca="false">IF(A510="","",IF(C510="No encontrado","No","Sí"))</f>
        <v/>
      </c>
      <c r="J510" s="26" t="str">
        <f aca="false">IF(A510="","",IF(F510="Inactivo","No","Sí"))</f>
        <v/>
      </c>
      <c r="K510" s="26" t="str">
        <f aca="false">IF(A510="","",IF(AND(I510="Sí",J510="Sí"),"Sí","No"))</f>
        <v/>
      </c>
    </row>
    <row r="511" customFormat="false" ht="15" hidden="false" customHeight="false" outlineLevel="0" collapsed="false">
      <c r="A511" s="22"/>
      <c r="B511" s="22"/>
      <c r="C511" s="23" t="str">
        <f aca="false">IF(A511="","",IFERROR(buscarx(A511&amp;B511,DATA!$E$3:$E$10000&amp;DATA!$B$3:$B$10000,DATA!$M$3:$M$10000),"No encontrado"))</f>
        <v/>
      </c>
      <c r="D511" s="24" t="str">
        <f aca="false">IF(A511="","",IFERROR(buscarx(A511&amp;B511,DATA!$E$3:$E$10000&amp;DATA!$B$3:$B$10000,DATA!$W$3:$W$10000),"No encontrado"))</f>
        <v/>
      </c>
      <c r="E511" s="22"/>
      <c r="F511" s="23" t="str">
        <f aca="false">IF(A511="","",IFERROR(buscarx(A511&amp;E511,DATA!$E$3:$E$10000&amp;DATA!$B$3:$B$10000,DATA!$M$3:$M$10000),"Inactivo"))</f>
        <v/>
      </c>
      <c r="G511" s="25" t="str">
        <f aca="false">IF(A511="","",IF(AND(C511&lt;&gt;"No encontrado",F511&lt;&gt;"Inactivo"),C511&amp;" → "&amp;F511,"Sin transición"))</f>
        <v/>
      </c>
      <c r="H511" s="23" t="str">
        <f aca="false">IF(A511="","",IF(D511="GCIA LINEA SERVICIO DIGITALIDAD Y VENTAS","Chats",IF(OR(D511="GERENCIA INBOUND LÍNEAS SERVICIO Y VENTA",D511="GERENCIA INBOUND LINEAS ESPECIALIZADAS"),"Llamadas","Otro")))</f>
        <v/>
      </c>
      <c r="I511" s="23" t="str">
        <f aca="false">IF(A511="","",IF(C511="No encontrado","No","Sí"))</f>
        <v/>
      </c>
      <c r="J511" s="23" t="str">
        <f aca="false">IF(A511="","",IF(F511="Inactivo","No","Sí"))</f>
        <v/>
      </c>
      <c r="K511" s="23" t="str">
        <f aca="false">IF(A511="","",IF(AND(I511="Sí",J511="Sí"),"Sí","No"))</f>
        <v/>
      </c>
    </row>
    <row r="512" customFormat="false" ht="15" hidden="false" customHeight="false" outlineLevel="0" collapsed="false">
      <c r="A512" s="22"/>
      <c r="B512" s="22"/>
      <c r="C512" s="26" t="str">
        <f aca="false">IF(A512="","",IFERROR(buscarx(A512&amp;B512,DATA!$E$3:$E$10000&amp;DATA!$B$3:$B$10000,DATA!$M$3:$M$10000),"No encontrado"))</f>
        <v/>
      </c>
      <c r="D512" s="27" t="str">
        <f aca="false">IF(A512="","",IFERROR(buscarx(A512&amp;B512,DATA!$E$3:$E$10000&amp;DATA!$B$3:$B$10000,DATA!$W$3:$W$10000),"No encontrado"))</f>
        <v/>
      </c>
      <c r="E512" s="22"/>
      <c r="F512" s="26" t="str">
        <f aca="false">IF(A512="","",IFERROR(buscarx(A512&amp;E512,DATA!$E$3:$E$10000&amp;DATA!$B$3:$B$10000,DATA!$M$3:$M$10000),"Inactivo"))</f>
        <v/>
      </c>
      <c r="G512" s="28" t="str">
        <f aca="false">IF(A512="","",IF(AND(C512&lt;&gt;"No encontrado",F512&lt;&gt;"Inactivo"),C512&amp;" → "&amp;F512,"Sin transición"))</f>
        <v/>
      </c>
      <c r="H512" s="26" t="str">
        <f aca="false">IF(A512="","",IF(D512="GCIA LINEA SERVICIO DIGITALIDAD Y VENTAS","Chats",IF(OR(D512="GERENCIA INBOUND LÍNEAS SERVICIO Y VENTA",D512="GERENCIA INBOUND LINEAS ESPECIALIZADAS"),"Llamadas","Otro")))</f>
        <v/>
      </c>
      <c r="I512" s="26" t="str">
        <f aca="false">IF(A512="","",IF(C512="No encontrado","No","Sí"))</f>
        <v/>
      </c>
      <c r="J512" s="26" t="str">
        <f aca="false">IF(A512="","",IF(F512="Inactivo","No","Sí"))</f>
        <v/>
      </c>
      <c r="K512" s="26" t="str">
        <f aca="false">IF(A512="","",IF(AND(I512="Sí",J512="Sí"),"Sí","No"))</f>
        <v/>
      </c>
    </row>
    <row r="513" customFormat="false" ht="15" hidden="false" customHeight="false" outlineLevel="0" collapsed="false">
      <c r="A513" s="22"/>
      <c r="B513" s="22"/>
      <c r="C513" s="23" t="str">
        <f aca="false">IF(A513="","",IFERROR(buscarx(A513&amp;B513,DATA!$E$3:$E$10000&amp;DATA!$B$3:$B$10000,DATA!$M$3:$M$10000),"No encontrado"))</f>
        <v/>
      </c>
      <c r="D513" s="24" t="str">
        <f aca="false">IF(A513="","",IFERROR(buscarx(A513&amp;B513,DATA!$E$3:$E$10000&amp;DATA!$B$3:$B$10000,DATA!$W$3:$W$10000),"No encontrado"))</f>
        <v/>
      </c>
      <c r="E513" s="22"/>
      <c r="F513" s="23" t="str">
        <f aca="false">IF(A513="","",IFERROR(buscarx(A513&amp;E513,DATA!$E$3:$E$10000&amp;DATA!$B$3:$B$10000,DATA!$M$3:$M$10000),"Inactivo"))</f>
        <v/>
      </c>
      <c r="G513" s="25" t="str">
        <f aca="false">IF(A513="","",IF(AND(C513&lt;&gt;"No encontrado",F513&lt;&gt;"Inactivo"),C513&amp;" → "&amp;F513,"Sin transición"))</f>
        <v/>
      </c>
      <c r="H513" s="23" t="str">
        <f aca="false">IF(A513="","",IF(D513="GCIA LINEA SERVICIO DIGITALIDAD Y VENTAS","Chats",IF(OR(D513="GERENCIA INBOUND LÍNEAS SERVICIO Y VENTA",D513="GERENCIA INBOUND LINEAS ESPECIALIZADAS"),"Llamadas","Otro")))</f>
        <v/>
      </c>
      <c r="I513" s="23" t="str">
        <f aca="false">IF(A513="","",IF(C513="No encontrado","No","Sí"))</f>
        <v/>
      </c>
      <c r="J513" s="23" t="str">
        <f aca="false">IF(A513="","",IF(F513="Inactivo","No","Sí"))</f>
        <v/>
      </c>
      <c r="K513" s="23" t="str">
        <f aca="false">IF(A513="","",IF(AND(I513="Sí",J513="Sí"),"Sí","No"))</f>
        <v/>
      </c>
    </row>
    <row r="514" customFormat="false" ht="15" hidden="false" customHeight="false" outlineLevel="0" collapsed="false">
      <c r="A514" s="22"/>
      <c r="B514" s="22"/>
      <c r="C514" s="26" t="str">
        <f aca="false">IF(A514="","",IFERROR(buscarx(A514&amp;B514,DATA!$E$3:$E$10000&amp;DATA!$B$3:$B$10000,DATA!$M$3:$M$10000),"No encontrado"))</f>
        <v/>
      </c>
      <c r="D514" s="27" t="str">
        <f aca="false">IF(A514="","",IFERROR(buscarx(A514&amp;B514,DATA!$E$3:$E$10000&amp;DATA!$B$3:$B$10000,DATA!$W$3:$W$10000),"No encontrado"))</f>
        <v/>
      </c>
      <c r="E514" s="22"/>
      <c r="F514" s="26" t="str">
        <f aca="false">IF(A514="","",IFERROR(buscarx(A514&amp;E514,DATA!$E$3:$E$10000&amp;DATA!$B$3:$B$10000,DATA!$M$3:$M$10000),"Inactivo"))</f>
        <v/>
      </c>
      <c r="G514" s="28" t="str">
        <f aca="false">IF(A514="","",IF(AND(C514&lt;&gt;"No encontrado",F514&lt;&gt;"Inactivo"),C514&amp;" → "&amp;F514,"Sin transición"))</f>
        <v/>
      </c>
      <c r="H514" s="26" t="str">
        <f aca="false">IF(A514="","",IF(D514="GCIA LINEA SERVICIO DIGITALIDAD Y VENTAS","Chats",IF(OR(D514="GERENCIA INBOUND LÍNEAS SERVICIO Y VENTA",D514="GERENCIA INBOUND LINEAS ESPECIALIZADAS"),"Llamadas","Otro")))</f>
        <v/>
      </c>
      <c r="I514" s="26" t="str">
        <f aca="false">IF(A514="","",IF(C514="No encontrado","No","Sí"))</f>
        <v/>
      </c>
      <c r="J514" s="26" t="str">
        <f aca="false">IF(A514="","",IF(F514="Inactivo","No","Sí"))</f>
        <v/>
      </c>
      <c r="K514" s="26" t="str">
        <f aca="false">IF(A514="","",IF(AND(I514="Sí",J514="Sí"),"Sí","No"))</f>
        <v/>
      </c>
    </row>
    <row r="515" customFormat="false" ht="15" hidden="false" customHeight="false" outlineLevel="0" collapsed="false">
      <c r="A515" s="22"/>
      <c r="B515" s="22"/>
      <c r="C515" s="23" t="str">
        <f aca="false">IF(A515="","",IFERROR(buscarx(A515&amp;B515,DATA!$E$3:$E$10000&amp;DATA!$B$3:$B$10000,DATA!$M$3:$M$10000),"No encontrado"))</f>
        <v/>
      </c>
      <c r="D515" s="24" t="str">
        <f aca="false">IF(A515="","",IFERROR(buscarx(A515&amp;B515,DATA!$E$3:$E$10000&amp;DATA!$B$3:$B$10000,DATA!$W$3:$W$10000),"No encontrado"))</f>
        <v/>
      </c>
      <c r="E515" s="22"/>
      <c r="F515" s="23" t="str">
        <f aca="false">IF(A515="","",IFERROR(buscarx(A515&amp;E515,DATA!$E$3:$E$10000&amp;DATA!$B$3:$B$10000,DATA!$M$3:$M$10000),"Inactivo"))</f>
        <v/>
      </c>
      <c r="G515" s="25" t="str">
        <f aca="false">IF(A515="","",IF(AND(C515&lt;&gt;"No encontrado",F515&lt;&gt;"Inactivo"),C515&amp;" → "&amp;F515,"Sin transición"))</f>
        <v/>
      </c>
      <c r="H515" s="23" t="str">
        <f aca="false">IF(A515="","",IF(D515="GCIA LINEA SERVICIO DIGITALIDAD Y VENTAS","Chats",IF(OR(D515="GERENCIA INBOUND LÍNEAS SERVICIO Y VENTA",D515="GERENCIA INBOUND LINEAS ESPECIALIZADAS"),"Llamadas","Otro")))</f>
        <v/>
      </c>
      <c r="I515" s="23" t="str">
        <f aca="false">IF(A515="","",IF(C515="No encontrado","No","Sí"))</f>
        <v/>
      </c>
      <c r="J515" s="23" t="str">
        <f aca="false">IF(A515="","",IF(F515="Inactivo","No","Sí"))</f>
        <v/>
      </c>
      <c r="K515" s="23" t="str">
        <f aca="false">IF(A515="","",IF(AND(I515="Sí",J515="Sí"),"Sí","No"))</f>
        <v/>
      </c>
    </row>
    <row r="516" customFormat="false" ht="15" hidden="false" customHeight="false" outlineLevel="0" collapsed="false">
      <c r="A516" s="22"/>
      <c r="B516" s="22"/>
      <c r="C516" s="26" t="str">
        <f aca="false">IF(A516="","",IFERROR(buscarx(A516&amp;B516,DATA!$E$3:$E$10000&amp;DATA!$B$3:$B$10000,DATA!$M$3:$M$10000),"No encontrado"))</f>
        <v/>
      </c>
      <c r="D516" s="27" t="str">
        <f aca="false">IF(A516="","",IFERROR(buscarx(A516&amp;B516,DATA!$E$3:$E$10000&amp;DATA!$B$3:$B$10000,DATA!$W$3:$W$10000),"No encontrado"))</f>
        <v/>
      </c>
      <c r="E516" s="22"/>
      <c r="F516" s="26" t="str">
        <f aca="false">IF(A516="","",IFERROR(buscarx(A516&amp;E516,DATA!$E$3:$E$10000&amp;DATA!$B$3:$B$10000,DATA!$M$3:$M$10000),"Inactivo"))</f>
        <v/>
      </c>
      <c r="G516" s="28" t="str">
        <f aca="false">IF(A516="","",IF(AND(C516&lt;&gt;"No encontrado",F516&lt;&gt;"Inactivo"),C516&amp;" → "&amp;F516,"Sin transición"))</f>
        <v/>
      </c>
      <c r="H516" s="26" t="str">
        <f aca="false">IF(A516="","",IF(D516="GCIA LINEA SERVICIO DIGITALIDAD Y VENTAS","Chats",IF(OR(D516="GERENCIA INBOUND LÍNEAS SERVICIO Y VENTA",D516="GERENCIA INBOUND LINEAS ESPECIALIZADAS"),"Llamadas","Otro")))</f>
        <v/>
      </c>
      <c r="I516" s="26" t="str">
        <f aca="false">IF(A516="","",IF(C516="No encontrado","No","Sí"))</f>
        <v/>
      </c>
      <c r="J516" s="26" t="str">
        <f aca="false">IF(A516="","",IF(F516="Inactivo","No","Sí"))</f>
        <v/>
      </c>
      <c r="K516" s="26" t="str">
        <f aca="false">IF(A516="","",IF(AND(I516="Sí",J516="Sí"),"Sí","No"))</f>
        <v/>
      </c>
    </row>
    <row r="517" customFormat="false" ht="15" hidden="false" customHeight="false" outlineLevel="0" collapsed="false">
      <c r="A517" s="22"/>
      <c r="B517" s="22"/>
      <c r="C517" s="23" t="str">
        <f aca="false">IF(A517="","",IFERROR(buscarx(A517&amp;B517,DATA!$E$3:$E$10000&amp;DATA!$B$3:$B$10000,DATA!$M$3:$M$10000),"No encontrado"))</f>
        <v/>
      </c>
      <c r="D517" s="24" t="str">
        <f aca="false">IF(A517="","",IFERROR(buscarx(A517&amp;B517,DATA!$E$3:$E$10000&amp;DATA!$B$3:$B$10000,DATA!$W$3:$W$10000),"No encontrado"))</f>
        <v/>
      </c>
      <c r="E517" s="22"/>
      <c r="F517" s="23" t="str">
        <f aca="false">IF(A517="","",IFERROR(buscarx(A517&amp;E517,DATA!$E$3:$E$10000&amp;DATA!$B$3:$B$10000,DATA!$M$3:$M$10000),"Inactivo"))</f>
        <v/>
      </c>
      <c r="G517" s="25" t="str">
        <f aca="false">IF(A517="","",IF(AND(C517&lt;&gt;"No encontrado",F517&lt;&gt;"Inactivo"),C517&amp;" → "&amp;F517,"Sin transición"))</f>
        <v/>
      </c>
      <c r="H517" s="23" t="str">
        <f aca="false">IF(A517="","",IF(D517="GCIA LINEA SERVICIO DIGITALIDAD Y VENTAS","Chats",IF(OR(D517="GERENCIA INBOUND LÍNEAS SERVICIO Y VENTA",D517="GERENCIA INBOUND LINEAS ESPECIALIZADAS"),"Llamadas","Otro")))</f>
        <v/>
      </c>
      <c r="I517" s="23" t="str">
        <f aca="false">IF(A517="","",IF(C517="No encontrado","No","Sí"))</f>
        <v/>
      </c>
      <c r="J517" s="23" t="str">
        <f aca="false">IF(A517="","",IF(F517="Inactivo","No","Sí"))</f>
        <v/>
      </c>
      <c r="K517" s="23" t="str">
        <f aca="false">IF(A517="","",IF(AND(I517="Sí",J517="Sí"),"Sí","No"))</f>
        <v/>
      </c>
    </row>
    <row r="518" customFormat="false" ht="15" hidden="false" customHeight="false" outlineLevel="0" collapsed="false">
      <c r="A518" s="22"/>
      <c r="B518" s="22"/>
      <c r="C518" s="26" t="str">
        <f aca="false">IF(A518="","",IFERROR(buscarx(A518&amp;B518,DATA!$E$3:$E$10000&amp;DATA!$B$3:$B$10000,DATA!$M$3:$M$10000),"No encontrado"))</f>
        <v/>
      </c>
      <c r="D518" s="27" t="str">
        <f aca="false">IF(A518="","",IFERROR(buscarx(A518&amp;B518,DATA!$E$3:$E$10000&amp;DATA!$B$3:$B$10000,DATA!$W$3:$W$10000),"No encontrado"))</f>
        <v/>
      </c>
      <c r="E518" s="22"/>
      <c r="F518" s="26" t="str">
        <f aca="false">IF(A518="","",IFERROR(buscarx(A518&amp;E518,DATA!$E$3:$E$10000&amp;DATA!$B$3:$B$10000,DATA!$M$3:$M$10000),"Inactivo"))</f>
        <v/>
      </c>
      <c r="G518" s="28" t="str">
        <f aca="false">IF(A518="","",IF(AND(C518&lt;&gt;"No encontrado",F518&lt;&gt;"Inactivo"),C518&amp;" → "&amp;F518,"Sin transición"))</f>
        <v/>
      </c>
      <c r="H518" s="26" t="str">
        <f aca="false">IF(A518="","",IF(D518="GCIA LINEA SERVICIO DIGITALIDAD Y VENTAS","Chats",IF(OR(D518="GERENCIA INBOUND LÍNEAS SERVICIO Y VENTA",D518="GERENCIA INBOUND LINEAS ESPECIALIZADAS"),"Llamadas","Otro")))</f>
        <v/>
      </c>
      <c r="I518" s="26" t="str">
        <f aca="false">IF(A518="","",IF(C518="No encontrado","No","Sí"))</f>
        <v/>
      </c>
      <c r="J518" s="26" t="str">
        <f aca="false">IF(A518="","",IF(F518="Inactivo","No","Sí"))</f>
        <v/>
      </c>
      <c r="K518" s="26" t="str">
        <f aca="false">IF(A518="","",IF(AND(I518="Sí",J518="Sí"),"Sí","No"))</f>
        <v/>
      </c>
    </row>
    <row r="519" customFormat="false" ht="15" hidden="false" customHeight="false" outlineLevel="0" collapsed="false">
      <c r="A519" s="22"/>
      <c r="B519" s="22"/>
      <c r="C519" s="23" t="str">
        <f aca="false">IF(A519="","",IFERROR(buscarx(A519&amp;B519,DATA!$E$3:$E$10000&amp;DATA!$B$3:$B$10000,DATA!$M$3:$M$10000),"No encontrado"))</f>
        <v/>
      </c>
      <c r="D519" s="24" t="str">
        <f aca="false">IF(A519="","",IFERROR(buscarx(A519&amp;B519,DATA!$E$3:$E$10000&amp;DATA!$B$3:$B$10000,DATA!$W$3:$W$10000),"No encontrado"))</f>
        <v/>
      </c>
      <c r="E519" s="22"/>
      <c r="F519" s="23" t="str">
        <f aca="false">IF(A519="","",IFERROR(buscarx(A519&amp;E519,DATA!$E$3:$E$10000&amp;DATA!$B$3:$B$10000,DATA!$M$3:$M$10000),"Inactivo"))</f>
        <v/>
      </c>
      <c r="G519" s="25" t="str">
        <f aca="false">IF(A519="","",IF(AND(C519&lt;&gt;"No encontrado",F519&lt;&gt;"Inactivo"),C519&amp;" → "&amp;F519,"Sin transición"))</f>
        <v/>
      </c>
      <c r="H519" s="23" t="str">
        <f aca="false">IF(A519="","",IF(D519="GCIA LINEA SERVICIO DIGITALIDAD Y VENTAS","Chats",IF(OR(D519="GERENCIA INBOUND LÍNEAS SERVICIO Y VENTA",D519="GERENCIA INBOUND LINEAS ESPECIALIZADAS"),"Llamadas","Otro")))</f>
        <v/>
      </c>
      <c r="I519" s="23" t="str">
        <f aca="false">IF(A519="","",IF(C519="No encontrado","No","Sí"))</f>
        <v/>
      </c>
      <c r="J519" s="23" t="str">
        <f aca="false">IF(A519="","",IF(F519="Inactivo","No","Sí"))</f>
        <v/>
      </c>
      <c r="K519" s="23" t="str">
        <f aca="false">IF(A519="","",IF(AND(I519="Sí",J519="Sí"),"Sí","No"))</f>
        <v/>
      </c>
    </row>
    <row r="520" customFormat="false" ht="15" hidden="false" customHeight="false" outlineLevel="0" collapsed="false">
      <c r="A520" s="22"/>
      <c r="B520" s="22"/>
      <c r="C520" s="26" t="str">
        <f aca="false">IF(A520="","",IFERROR(buscarx(A520&amp;B520,DATA!$E$3:$E$10000&amp;DATA!$B$3:$B$10000,DATA!$M$3:$M$10000),"No encontrado"))</f>
        <v/>
      </c>
      <c r="D520" s="27" t="str">
        <f aca="false">IF(A520="","",IFERROR(buscarx(A520&amp;B520,DATA!$E$3:$E$10000&amp;DATA!$B$3:$B$10000,DATA!$W$3:$W$10000),"No encontrado"))</f>
        <v/>
      </c>
      <c r="E520" s="22"/>
      <c r="F520" s="26" t="str">
        <f aca="false">IF(A520="","",IFERROR(buscarx(A520&amp;E520,DATA!$E$3:$E$10000&amp;DATA!$B$3:$B$10000,DATA!$M$3:$M$10000),"Inactivo"))</f>
        <v/>
      </c>
      <c r="G520" s="28" t="str">
        <f aca="false">IF(A520="","",IF(AND(C520&lt;&gt;"No encontrado",F520&lt;&gt;"Inactivo"),C520&amp;" → "&amp;F520,"Sin transición"))</f>
        <v/>
      </c>
      <c r="H520" s="26" t="str">
        <f aca="false">IF(A520="","",IF(D520="GCIA LINEA SERVICIO DIGITALIDAD Y VENTAS","Chats",IF(OR(D520="GERENCIA INBOUND LÍNEAS SERVICIO Y VENTA",D520="GERENCIA INBOUND LINEAS ESPECIALIZADAS"),"Llamadas","Otro")))</f>
        <v/>
      </c>
      <c r="I520" s="26" t="str">
        <f aca="false">IF(A520="","",IF(C520="No encontrado","No","Sí"))</f>
        <v/>
      </c>
      <c r="J520" s="26" t="str">
        <f aca="false">IF(A520="","",IF(F520="Inactivo","No","Sí"))</f>
        <v/>
      </c>
      <c r="K520" s="26" t="str">
        <f aca="false">IF(A520="","",IF(AND(I520="Sí",J520="Sí"),"Sí","No"))</f>
        <v/>
      </c>
    </row>
    <row r="521" customFormat="false" ht="15" hidden="false" customHeight="false" outlineLevel="0" collapsed="false">
      <c r="A521" s="22"/>
      <c r="B521" s="22"/>
      <c r="C521" s="23" t="str">
        <f aca="false">IF(A521="","",IFERROR(buscarx(A521&amp;B521,DATA!$E$3:$E$10000&amp;DATA!$B$3:$B$10000,DATA!$M$3:$M$10000),"No encontrado"))</f>
        <v/>
      </c>
      <c r="D521" s="24" t="str">
        <f aca="false">IF(A521="","",IFERROR(buscarx(A521&amp;B521,DATA!$E$3:$E$10000&amp;DATA!$B$3:$B$10000,DATA!$W$3:$W$10000),"No encontrado"))</f>
        <v/>
      </c>
      <c r="E521" s="22"/>
      <c r="F521" s="23" t="str">
        <f aca="false">IF(A521="","",IFERROR(buscarx(A521&amp;E521,DATA!$E$3:$E$10000&amp;DATA!$B$3:$B$10000,DATA!$M$3:$M$10000),"Inactivo"))</f>
        <v/>
      </c>
      <c r="G521" s="25" t="str">
        <f aca="false">IF(A521="","",IF(AND(C521&lt;&gt;"No encontrado",F521&lt;&gt;"Inactivo"),C521&amp;" → "&amp;F521,"Sin transición"))</f>
        <v/>
      </c>
      <c r="H521" s="23" t="str">
        <f aca="false">IF(A521="","",IF(D521="GCIA LINEA SERVICIO DIGITALIDAD Y VENTAS","Chats",IF(OR(D521="GERENCIA INBOUND LÍNEAS SERVICIO Y VENTA",D521="GERENCIA INBOUND LINEAS ESPECIALIZADAS"),"Llamadas","Otro")))</f>
        <v/>
      </c>
      <c r="I521" s="23" t="str">
        <f aca="false">IF(A521="","",IF(C521="No encontrado","No","Sí"))</f>
        <v/>
      </c>
      <c r="J521" s="23" t="str">
        <f aca="false">IF(A521="","",IF(F521="Inactivo","No","Sí"))</f>
        <v/>
      </c>
      <c r="K521" s="23" t="str">
        <f aca="false">IF(A521="","",IF(AND(I521="Sí",J521="Sí"),"Sí","No"))</f>
        <v/>
      </c>
    </row>
    <row r="522" customFormat="false" ht="15" hidden="false" customHeight="false" outlineLevel="0" collapsed="false">
      <c r="A522" s="22"/>
      <c r="B522" s="22"/>
      <c r="C522" s="26" t="str">
        <f aca="false">IF(A522="","",IFERROR(buscarx(A522&amp;B522,DATA!$E$3:$E$10000&amp;DATA!$B$3:$B$10000,DATA!$M$3:$M$10000),"No encontrado"))</f>
        <v/>
      </c>
      <c r="D522" s="27" t="str">
        <f aca="false">IF(A522="","",IFERROR(buscarx(A522&amp;B522,DATA!$E$3:$E$10000&amp;DATA!$B$3:$B$10000,DATA!$W$3:$W$10000),"No encontrado"))</f>
        <v/>
      </c>
      <c r="E522" s="22"/>
      <c r="F522" s="26" t="str">
        <f aca="false">IF(A522="","",IFERROR(buscarx(A522&amp;E522,DATA!$E$3:$E$10000&amp;DATA!$B$3:$B$10000,DATA!$M$3:$M$10000),"Inactivo"))</f>
        <v/>
      </c>
      <c r="G522" s="28" t="str">
        <f aca="false">IF(A522="","",IF(AND(C522&lt;&gt;"No encontrado",F522&lt;&gt;"Inactivo"),C522&amp;" → "&amp;F522,"Sin transición"))</f>
        <v/>
      </c>
      <c r="H522" s="26" t="str">
        <f aca="false">IF(A522="","",IF(D522="GCIA LINEA SERVICIO DIGITALIDAD Y VENTAS","Chats",IF(OR(D522="GERENCIA INBOUND LÍNEAS SERVICIO Y VENTA",D522="GERENCIA INBOUND LINEAS ESPECIALIZADAS"),"Llamadas","Otro")))</f>
        <v/>
      </c>
      <c r="I522" s="26" t="str">
        <f aca="false">IF(A522="","",IF(C522="No encontrado","No","Sí"))</f>
        <v/>
      </c>
      <c r="J522" s="26" t="str">
        <f aca="false">IF(A522="","",IF(F522="Inactivo","No","Sí"))</f>
        <v/>
      </c>
      <c r="K522" s="26" t="str">
        <f aca="false">IF(A522="","",IF(AND(I522="Sí",J522="Sí"),"Sí","No"))</f>
        <v/>
      </c>
    </row>
    <row r="523" customFormat="false" ht="15" hidden="false" customHeight="false" outlineLevel="0" collapsed="false">
      <c r="A523" s="22"/>
      <c r="B523" s="22"/>
      <c r="C523" s="23" t="str">
        <f aca="false">IF(A523="","",IFERROR(buscarx(A523&amp;B523,DATA!$E$3:$E$10000&amp;DATA!$B$3:$B$10000,DATA!$M$3:$M$10000),"No encontrado"))</f>
        <v/>
      </c>
      <c r="D523" s="24" t="str">
        <f aca="false">IF(A523="","",IFERROR(buscarx(A523&amp;B523,DATA!$E$3:$E$10000&amp;DATA!$B$3:$B$10000,DATA!$W$3:$W$10000),"No encontrado"))</f>
        <v/>
      </c>
      <c r="E523" s="22"/>
      <c r="F523" s="23" t="str">
        <f aca="false">IF(A523="","",IFERROR(buscarx(A523&amp;E523,DATA!$E$3:$E$10000&amp;DATA!$B$3:$B$10000,DATA!$M$3:$M$10000),"Inactivo"))</f>
        <v/>
      </c>
      <c r="G523" s="25" t="str">
        <f aca="false">IF(A523="","",IF(AND(C523&lt;&gt;"No encontrado",F523&lt;&gt;"Inactivo"),C523&amp;" → "&amp;F523,"Sin transición"))</f>
        <v/>
      </c>
      <c r="H523" s="23" t="str">
        <f aca="false">IF(A523="","",IF(D523="GCIA LINEA SERVICIO DIGITALIDAD Y VENTAS","Chats",IF(OR(D523="GERENCIA INBOUND LÍNEAS SERVICIO Y VENTA",D523="GERENCIA INBOUND LINEAS ESPECIALIZADAS"),"Llamadas","Otro")))</f>
        <v/>
      </c>
      <c r="I523" s="23" t="str">
        <f aca="false">IF(A523="","",IF(C523="No encontrado","No","Sí"))</f>
        <v/>
      </c>
      <c r="J523" s="23" t="str">
        <f aca="false">IF(A523="","",IF(F523="Inactivo","No","Sí"))</f>
        <v/>
      </c>
      <c r="K523" s="23" t="str">
        <f aca="false">IF(A523="","",IF(AND(I523="Sí",J523="Sí"),"Sí","No"))</f>
        <v/>
      </c>
    </row>
    <row r="524" customFormat="false" ht="15" hidden="false" customHeight="false" outlineLevel="0" collapsed="false">
      <c r="A524" s="22"/>
      <c r="B524" s="22"/>
      <c r="C524" s="26" t="str">
        <f aca="false">IF(A524="","",IFERROR(buscarx(A524&amp;B524,DATA!$E$3:$E$10000&amp;DATA!$B$3:$B$10000,DATA!$M$3:$M$10000),"No encontrado"))</f>
        <v/>
      </c>
      <c r="D524" s="27" t="str">
        <f aca="false">IF(A524="","",IFERROR(buscarx(A524&amp;B524,DATA!$E$3:$E$10000&amp;DATA!$B$3:$B$10000,DATA!$W$3:$W$10000),"No encontrado"))</f>
        <v/>
      </c>
      <c r="E524" s="22"/>
      <c r="F524" s="26" t="str">
        <f aca="false">IF(A524="","",IFERROR(buscarx(A524&amp;E524,DATA!$E$3:$E$10000&amp;DATA!$B$3:$B$10000,DATA!$M$3:$M$10000),"Inactivo"))</f>
        <v/>
      </c>
      <c r="G524" s="28" t="str">
        <f aca="false">IF(A524="","",IF(AND(C524&lt;&gt;"No encontrado",F524&lt;&gt;"Inactivo"),C524&amp;" → "&amp;F524,"Sin transición"))</f>
        <v/>
      </c>
      <c r="H524" s="26" t="str">
        <f aca="false">IF(A524="","",IF(D524="GCIA LINEA SERVICIO DIGITALIDAD Y VENTAS","Chats",IF(OR(D524="GERENCIA INBOUND LÍNEAS SERVICIO Y VENTA",D524="GERENCIA INBOUND LINEAS ESPECIALIZADAS"),"Llamadas","Otro")))</f>
        <v/>
      </c>
      <c r="I524" s="26" t="str">
        <f aca="false">IF(A524="","",IF(C524="No encontrado","No","Sí"))</f>
        <v/>
      </c>
      <c r="J524" s="26" t="str">
        <f aca="false">IF(A524="","",IF(F524="Inactivo","No","Sí"))</f>
        <v/>
      </c>
      <c r="K524" s="26" t="str">
        <f aca="false">IF(A524="","",IF(AND(I524="Sí",J524="Sí"),"Sí","No"))</f>
        <v/>
      </c>
    </row>
    <row r="525" customFormat="false" ht="15" hidden="false" customHeight="false" outlineLevel="0" collapsed="false">
      <c r="A525" s="22"/>
      <c r="B525" s="22"/>
      <c r="C525" s="23" t="str">
        <f aca="false">IF(A525="","",IFERROR(buscarx(A525&amp;B525,DATA!$E$3:$E$10000&amp;DATA!$B$3:$B$10000,DATA!$M$3:$M$10000),"No encontrado"))</f>
        <v/>
      </c>
      <c r="D525" s="24" t="str">
        <f aca="false">IF(A525="","",IFERROR(buscarx(A525&amp;B525,DATA!$E$3:$E$10000&amp;DATA!$B$3:$B$10000,DATA!$W$3:$W$10000),"No encontrado"))</f>
        <v/>
      </c>
      <c r="E525" s="22"/>
      <c r="F525" s="23" t="str">
        <f aca="false">IF(A525="","",IFERROR(buscarx(A525&amp;E525,DATA!$E$3:$E$10000&amp;DATA!$B$3:$B$10000,DATA!$M$3:$M$10000),"Inactivo"))</f>
        <v/>
      </c>
      <c r="G525" s="25" t="str">
        <f aca="false">IF(A525="","",IF(AND(C525&lt;&gt;"No encontrado",F525&lt;&gt;"Inactivo"),C525&amp;" → "&amp;F525,"Sin transición"))</f>
        <v/>
      </c>
      <c r="H525" s="23" t="str">
        <f aca="false">IF(A525="","",IF(D525="GCIA LINEA SERVICIO DIGITALIDAD Y VENTAS","Chats",IF(OR(D525="GERENCIA INBOUND LÍNEAS SERVICIO Y VENTA",D525="GERENCIA INBOUND LINEAS ESPECIALIZADAS"),"Llamadas","Otro")))</f>
        <v/>
      </c>
      <c r="I525" s="23" t="str">
        <f aca="false">IF(A525="","",IF(C525="No encontrado","No","Sí"))</f>
        <v/>
      </c>
      <c r="J525" s="23" t="str">
        <f aca="false">IF(A525="","",IF(F525="Inactivo","No","Sí"))</f>
        <v/>
      </c>
      <c r="K525" s="23" t="str">
        <f aca="false">IF(A525="","",IF(AND(I525="Sí",J525="Sí"),"Sí","No"))</f>
        <v/>
      </c>
    </row>
    <row r="526" customFormat="false" ht="15" hidden="false" customHeight="false" outlineLevel="0" collapsed="false">
      <c r="A526" s="22"/>
      <c r="B526" s="22"/>
      <c r="C526" s="26" t="str">
        <f aca="false">IF(A526="","",IFERROR(buscarx(A526&amp;B526,DATA!$E$3:$E$10000&amp;DATA!$B$3:$B$10000,DATA!$M$3:$M$10000),"No encontrado"))</f>
        <v/>
      </c>
      <c r="D526" s="27" t="str">
        <f aca="false">IF(A526="","",IFERROR(buscarx(A526&amp;B526,DATA!$E$3:$E$10000&amp;DATA!$B$3:$B$10000,DATA!$W$3:$W$10000),"No encontrado"))</f>
        <v/>
      </c>
      <c r="E526" s="22"/>
      <c r="F526" s="26" t="str">
        <f aca="false">IF(A526="","",IFERROR(buscarx(A526&amp;E526,DATA!$E$3:$E$10000&amp;DATA!$B$3:$B$10000,DATA!$M$3:$M$10000),"Inactivo"))</f>
        <v/>
      </c>
      <c r="G526" s="28" t="str">
        <f aca="false">IF(A526="","",IF(AND(C526&lt;&gt;"No encontrado",F526&lt;&gt;"Inactivo"),C526&amp;" → "&amp;F526,"Sin transición"))</f>
        <v/>
      </c>
      <c r="H526" s="26" t="str">
        <f aca="false">IF(A526="","",IF(D526="GCIA LINEA SERVICIO DIGITALIDAD Y VENTAS","Chats",IF(OR(D526="GERENCIA INBOUND LÍNEAS SERVICIO Y VENTA",D526="GERENCIA INBOUND LINEAS ESPECIALIZADAS"),"Llamadas","Otro")))</f>
        <v/>
      </c>
      <c r="I526" s="26" t="str">
        <f aca="false">IF(A526="","",IF(C526="No encontrado","No","Sí"))</f>
        <v/>
      </c>
      <c r="J526" s="26" t="str">
        <f aca="false">IF(A526="","",IF(F526="Inactivo","No","Sí"))</f>
        <v/>
      </c>
      <c r="K526" s="26" t="str">
        <f aca="false">IF(A526="","",IF(AND(I526="Sí",J526="Sí"),"Sí","No"))</f>
        <v/>
      </c>
    </row>
    <row r="527" customFormat="false" ht="15" hidden="false" customHeight="false" outlineLevel="0" collapsed="false">
      <c r="A527" s="22"/>
      <c r="B527" s="22"/>
      <c r="C527" s="23" t="str">
        <f aca="false">IF(A527="","",IFERROR(buscarx(A527&amp;B527,DATA!$E$3:$E$10000&amp;DATA!$B$3:$B$10000,DATA!$M$3:$M$10000),"No encontrado"))</f>
        <v/>
      </c>
      <c r="D527" s="24" t="str">
        <f aca="false">IF(A527="","",IFERROR(buscarx(A527&amp;B527,DATA!$E$3:$E$10000&amp;DATA!$B$3:$B$10000,DATA!$W$3:$W$10000),"No encontrado"))</f>
        <v/>
      </c>
      <c r="E527" s="22"/>
      <c r="F527" s="23" t="str">
        <f aca="false">IF(A527="","",IFERROR(buscarx(A527&amp;E527,DATA!$E$3:$E$10000&amp;DATA!$B$3:$B$10000,DATA!$M$3:$M$10000),"Inactivo"))</f>
        <v/>
      </c>
      <c r="G527" s="25" t="str">
        <f aca="false">IF(A527="","",IF(AND(C527&lt;&gt;"No encontrado",F527&lt;&gt;"Inactivo"),C527&amp;" → "&amp;F527,"Sin transición"))</f>
        <v/>
      </c>
      <c r="H527" s="23" t="str">
        <f aca="false">IF(A527="","",IF(D527="GCIA LINEA SERVICIO DIGITALIDAD Y VENTAS","Chats",IF(OR(D527="GERENCIA INBOUND LÍNEAS SERVICIO Y VENTA",D527="GERENCIA INBOUND LINEAS ESPECIALIZADAS"),"Llamadas","Otro")))</f>
        <v/>
      </c>
      <c r="I527" s="23" t="str">
        <f aca="false">IF(A527="","",IF(C527="No encontrado","No","Sí"))</f>
        <v/>
      </c>
      <c r="J527" s="23" t="str">
        <f aca="false">IF(A527="","",IF(F527="Inactivo","No","Sí"))</f>
        <v/>
      </c>
      <c r="K527" s="23" t="str">
        <f aca="false">IF(A527="","",IF(AND(I527="Sí",J527="Sí"),"Sí","No"))</f>
        <v/>
      </c>
    </row>
    <row r="528" customFormat="false" ht="15" hidden="false" customHeight="false" outlineLevel="0" collapsed="false">
      <c r="A528" s="22"/>
      <c r="B528" s="22"/>
      <c r="C528" s="26" t="str">
        <f aca="false">IF(A528="","",IFERROR(buscarx(A528&amp;B528,DATA!$E$3:$E$10000&amp;DATA!$B$3:$B$10000,DATA!$M$3:$M$10000),"No encontrado"))</f>
        <v/>
      </c>
      <c r="D528" s="27" t="str">
        <f aca="false">IF(A528="","",IFERROR(buscarx(A528&amp;B528,DATA!$E$3:$E$10000&amp;DATA!$B$3:$B$10000,DATA!$W$3:$W$10000),"No encontrado"))</f>
        <v/>
      </c>
      <c r="E528" s="22"/>
      <c r="F528" s="26" t="str">
        <f aca="false">IF(A528="","",IFERROR(buscarx(A528&amp;E528,DATA!$E$3:$E$10000&amp;DATA!$B$3:$B$10000,DATA!$M$3:$M$10000),"Inactivo"))</f>
        <v/>
      </c>
      <c r="G528" s="28" t="str">
        <f aca="false">IF(A528="","",IF(AND(C528&lt;&gt;"No encontrado",F528&lt;&gt;"Inactivo"),C528&amp;" → "&amp;F528,"Sin transición"))</f>
        <v/>
      </c>
      <c r="H528" s="26" t="str">
        <f aca="false">IF(A528="","",IF(D528="GCIA LINEA SERVICIO DIGITALIDAD Y VENTAS","Chats",IF(OR(D528="GERENCIA INBOUND LÍNEAS SERVICIO Y VENTA",D528="GERENCIA INBOUND LINEAS ESPECIALIZADAS"),"Llamadas","Otro")))</f>
        <v/>
      </c>
      <c r="I528" s="26" t="str">
        <f aca="false">IF(A528="","",IF(C528="No encontrado","No","Sí"))</f>
        <v/>
      </c>
      <c r="J528" s="26" t="str">
        <f aca="false">IF(A528="","",IF(F528="Inactivo","No","Sí"))</f>
        <v/>
      </c>
      <c r="K528" s="26" t="str">
        <f aca="false">IF(A528="","",IF(AND(I528="Sí",J528="Sí"),"Sí","No"))</f>
        <v/>
      </c>
    </row>
    <row r="529" customFormat="false" ht="15" hidden="false" customHeight="false" outlineLevel="0" collapsed="false">
      <c r="A529" s="22"/>
      <c r="B529" s="22"/>
      <c r="C529" s="23" t="str">
        <f aca="false">IF(A529="","",IFERROR(buscarx(A529&amp;B529,DATA!$E$3:$E$10000&amp;DATA!$B$3:$B$10000,DATA!$M$3:$M$10000),"No encontrado"))</f>
        <v/>
      </c>
      <c r="D529" s="24" t="str">
        <f aca="false">IF(A529="","",IFERROR(buscarx(A529&amp;B529,DATA!$E$3:$E$10000&amp;DATA!$B$3:$B$10000,DATA!$W$3:$W$10000),"No encontrado"))</f>
        <v/>
      </c>
      <c r="E529" s="22"/>
      <c r="F529" s="23" t="str">
        <f aca="false">IF(A529="","",IFERROR(buscarx(A529&amp;E529,DATA!$E$3:$E$10000&amp;DATA!$B$3:$B$10000,DATA!$M$3:$M$10000),"Inactivo"))</f>
        <v/>
      </c>
      <c r="G529" s="25" t="str">
        <f aca="false">IF(A529="","",IF(AND(C529&lt;&gt;"No encontrado",F529&lt;&gt;"Inactivo"),C529&amp;" → "&amp;F529,"Sin transición"))</f>
        <v/>
      </c>
      <c r="H529" s="23" t="str">
        <f aca="false">IF(A529="","",IF(D529="GCIA LINEA SERVICIO DIGITALIDAD Y VENTAS","Chats",IF(OR(D529="GERENCIA INBOUND LÍNEAS SERVICIO Y VENTA",D529="GERENCIA INBOUND LINEAS ESPECIALIZADAS"),"Llamadas","Otro")))</f>
        <v/>
      </c>
      <c r="I529" s="23" t="str">
        <f aca="false">IF(A529="","",IF(C529="No encontrado","No","Sí"))</f>
        <v/>
      </c>
      <c r="J529" s="23" t="str">
        <f aca="false">IF(A529="","",IF(F529="Inactivo","No","Sí"))</f>
        <v/>
      </c>
      <c r="K529" s="23" t="str">
        <f aca="false">IF(A529="","",IF(AND(I529="Sí",J529="Sí"),"Sí","No"))</f>
        <v/>
      </c>
    </row>
    <row r="530" customFormat="false" ht="15" hidden="false" customHeight="false" outlineLevel="0" collapsed="false">
      <c r="A530" s="22"/>
      <c r="B530" s="22"/>
      <c r="C530" s="26" t="str">
        <f aca="false">IF(A530="","",IFERROR(buscarx(A530&amp;B530,DATA!$E$3:$E$10000&amp;DATA!$B$3:$B$10000,DATA!$M$3:$M$10000),"No encontrado"))</f>
        <v/>
      </c>
      <c r="D530" s="27" t="str">
        <f aca="false">IF(A530="","",IFERROR(buscarx(A530&amp;B530,DATA!$E$3:$E$10000&amp;DATA!$B$3:$B$10000,DATA!$W$3:$W$10000),"No encontrado"))</f>
        <v/>
      </c>
      <c r="E530" s="22"/>
      <c r="F530" s="26" t="str">
        <f aca="false">IF(A530="","",IFERROR(buscarx(A530&amp;E530,DATA!$E$3:$E$10000&amp;DATA!$B$3:$B$10000,DATA!$M$3:$M$10000),"Inactivo"))</f>
        <v/>
      </c>
      <c r="G530" s="28" t="str">
        <f aca="false">IF(A530="","",IF(AND(C530&lt;&gt;"No encontrado",F530&lt;&gt;"Inactivo"),C530&amp;" → "&amp;F530,"Sin transición"))</f>
        <v/>
      </c>
      <c r="H530" s="26" t="str">
        <f aca="false">IF(A530="","",IF(D530="GCIA LINEA SERVICIO DIGITALIDAD Y VENTAS","Chats",IF(OR(D530="GERENCIA INBOUND LÍNEAS SERVICIO Y VENTA",D530="GERENCIA INBOUND LINEAS ESPECIALIZADAS"),"Llamadas","Otro")))</f>
        <v/>
      </c>
      <c r="I530" s="26" t="str">
        <f aca="false">IF(A530="","",IF(C530="No encontrado","No","Sí"))</f>
        <v/>
      </c>
      <c r="J530" s="26" t="str">
        <f aca="false">IF(A530="","",IF(F530="Inactivo","No","Sí"))</f>
        <v/>
      </c>
      <c r="K530" s="26" t="str">
        <f aca="false">IF(A530="","",IF(AND(I530="Sí",J530="Sí"),"Sí","No"))</f>
        <v/>
      </c>
    </row>
    <row r="531" customFormat="false" ht="15" hidden="false" customHeight="false" outlineLevel="0" collapsed="false">
      <c r="A531" s="22"/>
      <c r="B531" s="22"/>
      <c r="C531" s="23" t="str">
        <f aca="false">IF(A531="","",IFERROR(buscarx(A531&amp;B531,DATA!$E$3:$E$10000&amp;DATA!$B$3:$B$10000,DATA!$M$3:$M$10000),"No encontrado"))</f>
        <v/>
      </c>
      <c r="D531" s="24" t="str">
        <f aca="false">IF(A531="","",IFERROR(buscarx(A531&amp;B531,DATA!$E$3:$E$10000&amp;DATA!$B$3:$B$10000,DATA!$W$3:$W$10000),"No encontrado"))</f>
        <v/>
      </c>
      <c r="E531" s="22"/>
      <c r="F531" s="23" t="str">
        <f aca="false">IF(A531="","",IFERROR(buscarx(A531&amp;E531,DATA!$E$3:$E$10000&amp;DATA!$B$3:$B$10000,DATA!$M$3:$M$10000),"Inactivo"))</f>
        <v/>
      </c>
      <c r="G531" s="25" t="str">
        <f aca="false">IF(A531="","",IF(AND(C531&lt;&gt;"No encontrado",F531&lt;&gt;"Inactivo"),C531&amp;" → "&amp;F531,"Sin transición"))</f>
        <v/>
      </c>
      <c r="H531" s="23" t="str">
        <f aca="false">IF(A531="","",IF(D531="GCIA LINEA SERVICIO DIGITALIDAD Y VENTAS","Chats",IF(OR(D531="GERENCIA INBOUND LÍNEAS SERVICIO Y VENTA",D531="GERENCIA INBOUND LINEAS ESPECIALIZADAS"),"Llamadas","Otro")))</f>
        <v/>
      </c>
      <c r="I531" s="23" t="str">
        <f aca="false">IF(A531="","",IF(C531="No encontrado","No","Sí"))</f>
        <v/>
      </c>
      <c r="J531" s="23" t="str">
        <f aca="false">IF(A531="","",IF(F531="Inactivo","No","Sí"))</f>
        <v/>
      </c>
      <c r="K531" s="23" t="str">
        <f aca="false">IF(A531="","",IF(AND(I531="Sí",J531="Sí"),"Sí","No"))</f>
        <v/>
      </c>
    </row>
    <row r="532" customFormat="false" ht="15" hidden="false" customHeight="false" outlineLevel="0" collapsed="false">
      <c r="A532" s="22"/>
      <c r="B532" s="22"/>
      <c r="C532" s="26" t="str">
        <f aca="false">IF(A532="","",IFERROR(buscarx(A532&amp;B532,DATA!$E$3:$E$10000&amp;DATA!$B$3:$B$10000,DATA!$M$3:$M$10000),"No encontrado"))</f>
        <v/>
      </c>
      <c r="D532" s="27" t="str">
        <f aca="false">IF(A532="","",IFERROR(buscarx(A532&amp;B532,DATA!$E$3:$E$10000&amp;DATA!$B$3:$B$10000,DATA!$W$3:$W$10000),"No encontrado"))</f>
        <v/>
      </c>
      <c r="E532" s="22"/>
      <c r="F532" s="26" t="str">
        <f aca="false">IF(A532="","",IFERROR(buscarx(A532&amp;E532,DATA!$E$3:$E$10000&amp;DATA!$B$3:$B$10000,DATA!$M$3:$M$10000),"Inactivo"))</f>
        <v/>
      </c>
      <c r="G532" s="28" t="str">
        <f aca="false">IF(A532="","",IF(AND(C532&lt;&gt;"No encontrado",F532&lt;&gt;"Inactivo"),C532&amp;" → "&amp;F532,"Sin transición"))</f>
        <v/>
      </c>
      <c r="H532" s="26" t="str">
        <f aca="false">IF(A532="","",IF(D532="GCIA LINEA SERVICIO DIGITALIDAD Y VENTAS","Chats",IF(OR(D532="GERENCIA INBOUND LÍNEAS SERVICIO Y VENTA",D532="GERENCIA INBOUND LINEAS ESPECIALIZADAS"),"Llamadas","Otro")))</f>
        <v/>
      </c>
      <c r="I532" s="26" t="str">
        <f aca="false">IF(A532="","",IF(C532="No encontrado","No","Sí"))</f>
        <v/>
      </c>
      <c r="J532" s="26" t="str">
        <f aca="false">IF(A532="","",IF(F532="Inactivo","No","Sí"))</f>
        <v/>
      </c>
      <c r="K532" s="26" t="str">
        <f aca="false">IF(A532="","",IF(AND(I532="Sí",J532="Sí"),"Sí","No"))</f>
        <v/>
      </c>
    </row>
    <row r="533" customFormat="false" ht="15" hidden="false" customHeight="false" outlineLevel="0" collapsed="false">
      <c r="A533" s="22"/>
      <c r="B533" s="22"/>
      <c r="C533" s="23" t="str">
        <f aca="false">IF(A533="","",IFERROR(buscarx(A533&amp;B533,DATA!$E$3:$E$10000&amp;DATA!$B$3:$B$10000,DATA!$M$3:$M$10000),"No encontrado"))</f>
        <v/>
      </c>
      <c r="D533" s="24" t="str">
        <f aca="false">IF(A533="","",IFERROR(buscarx(A533&amp;B533,DATA!$E$3:$E$10000&amp;DATA!$B$3:$B$10000,DATA!$W$3:$W$10000),"No encontrado"))</f>
        <v/>
      </c>
      <c r="E533" s="22"/>
      <c r="F533" s="23" t="str">
        <f aca="false">IF(A533="","",IFERROR(buscarx(A533&amp;E533,DATA!$E$3:$E$10000&amp;DATA!$B$3:$B$10000,DATA!$M$3:$M$10000),"Inactivo"))</f>
        <v/>
      </c>
      <c r="G533" s="25" t="str">
        <f aca="false">IF(A533="","",IF(AND(C533&lt;&gt;"No encontrado",F533&lt;&gt;"Inactivo"),C533&amp;" → "&amp;F533,"Sin transición"))</f>
        <v/>
      </c>
      <c r="H533" s="23" t="str">
        <f aca="false">IF(A533="","",IF(D533="GCIA LINEA SERVICIO DIGITALIDAD Y VENTAS","Chats",IF(OR(D533="GERENCIA INBOUND LÍNEAS SERVICIO Y VENTA",D533="GERENCIA INBOUND LINEAS ESPECIALIZADAS"),"Llamadas","Otro")))</f>
        <v/>
      </c>
      <c r="I533" s="23" t="str">
        <f aca="false">IF(A533="","",IF(C533="No encontrado","No","Sí"))</f>
        <v/>
      </c>
      <c r="J533" s="23" t="str">
        <f aca="false">IF(A533="","",IF(F533="Inactivo","No","Sí"))</f>
        <v/>
      </c>
      <c r="K533" s="23" t="str">
        <f aca="false">IF(A533="","",IF(AND(I533="Sí",J533="Sí"),"Sí","No"))</f>
        <v/>
      </c>
    </row>
    <row r="534" customFormat="false" ht="15" hidden="false" customHeight="false" outlineLevel="0" collapsed="false">
      <c r="A534" s="22"/>
      <c r="B534" s="22"/>
      <c r="C534" s="26" t="str">
        <f aca="false">IF(A534="","",IFERROR(buscarx(A534&amp;B534,DATA!$E$3:$E$10000&amp;DATA!$B$3:$B$10000,DATA!$M$3:$M$10000),"No encontrado"))</f>
        <v/>
      </c>
      <c r="D534" s="27" t="str">
        <f aca="false">IF(A534="","",IFERROR(buscarx(A534&amp;B534,DATA!$E$3:$E$10000&amp;DATA!$B$3:$B$10000,DATA!$W$3:$W$10000),"No encontrado"))</f>
        <v/>
      </c>
      <c r="E534" s="22"/>
      <c r="F534" s="26" t="str">
        <f aca="false">IF(A534="","",IFERROR(buscarx(A534&amp;E534,DATA!$E$3:$E$10000&amp;DATA!$B$3:$B$10000,DATA!$M$3:$M$10000),"Inactivo"))</f>
        <v/>
      </c>
      <c r="G534" s="28" t="str">
        <f aca="false">IF(A534="","",IF(AND(C534&lt;&gt;"No encontrado",F534&lt;&gt;"Inactivo"),C534&amp;" → "&amp;F534,"Sin transición"))</f>
        <v/>
      </c>
      <c r="H534" s="26" t="str">
        <f aca="false">IF(A534="","",IF(D534="GCIA LINEA SERVICIO DIGITALIDAD Y VENTAS","Chats",IF(OR(D534="GERENCIA INBOUND LÍNEAS SERVICIO Y VENTA",D534="GERENCIA INBOUND LINEAS ESPECIALIZADAS"),"Llamadas","Otro")))</f>
        <v/>
      </c>
      <c r="I534" s="26" t="str">
        <f aca="false">IF(A534="","",IF(C534="No encontrado","No","Sí"))</f>
        <v/>
      </c>
      <c r="J534" s="26" t="str">
        <f aca="false">IF(A534="","",IF(F534="Inactivo","No","Sí"))</f>
        <v/>
      </c>
      <c r="K534" s="26" t="str">
        <f aca="false">IF(A534="","",IF(AND(I534="Sí",J534="Sí"),"Sí","No"))</f>
        <v/>
      </c>
    </row>
    <row r="535" customFormat="false" ht="15" hidden="false" customHeight="false" outlineLevel="0" collapsed="false">
      <c r="A535" s="22"/>
      <c r="B535" s="22"/>
      <c r="C535" s="23" t="str">
        <f aca="false">IF(A535="","",IFERROR(buscarx(A535&amp;B535,DATA!$E$3:$E$10000&amp;DATA!$B$3:$B$10000,DATA!$M$3:$M$10000),"No encontrado"))</f>
        <v/>
      </c>
      <c r="D535" s="24" t="str">
        <f aca="false">IF(A535="","",IFERROR(buscarx(A535&amp;B535,DATA!$E$3:$E$10000&amp;DATA!$B$3:$B$10000,DATA!$W$3:$W$10000),"No encontrado"))</f>
        <v/>
      </c>
      <c r="E535" s="22"/>
      <c r="F535" s="23" t="str">
        <f aca="false">IF(A535="","",IFERROR(buscarx(A535&amp;E535,DATA!$E$3:$E$10000&amp;DATA!$B$3:$B$10000,DATA!$M$3:$M$10000),"Inactivo"))</f>
        <v/>
      </c>
      <c r="G535" s="25" t="str">
        <f aca="false">IF(A535="","",IF(AND(C535&lt;&gt;"No encontrado",F535&lt;&gt;"Inactivo"),C535&amp;" → "&amp;F535,"Sin transición"))</f>
        <v/>
      </c>
      <c r="H535" s="23" t="str">
        <f aca="false">IF(A535="","",IF(D535="GCIA LINEA SERVICIO DIGITALIDAD Y VENTAS","Chats",IF(OR(D535="GERENCIA INBOUND LÍNEAS SERVICIO Y VENTA",D535="GERENCIA INBOUND LINEAS ESPECIALIZADAS"),"Llamadas","Otro")))</f>
        <v/>
      </c>
      <c r="I535" s="23" t="str">
        <f aca="false">IF(A535="","",IF(C535="No encontrado","No","Sí"))</f>
        <v/>
      </c>
      <c r="J535" s="23" t="str">
        <f aca="false">IF(A535="","",IF(F535="Inactivo","No","Sí"))</f>
        <v/>
      </c>
      <c r="K535" s="23" t="str">
        <f aca="false">IF(A535="","",IF(AND(I535="Sí",J535="Sí"),"Sí","No"))</f>
        <v/>
      </c>
    </row>
    <row r="536" customFormat="false" ht="15" hidden="false" customHeight="false" outlineLevel="0" collapsed="false">
      <c r="A536" s="22"/>
      <c r="B536" s="22"/>
      <c r="C536" s="26" t="str">
        <f aca="false">IF(A536="","",IFERROR(buscarx(A536&amp;B536,DATA!$E$3:$E$10000&amp;DATA!$B$3:$B$10000,DATA!$M$3:$M$10000),"No encontrado"))</f>
        <v/>
      </c>
      <c r="D536" s="27" t="str">
        <f aca="false">IF(A536="","",IFERROR(buscarx(A536&amp;B536,DATA!$E$3:$E$10000&amp;DATA!$B$3:$B$10000,DATA!$W$3:$W$10000),"No encontrado"))</f>
        <v/>
      </c>
      <c r="E536" s="22"/>
      <c r="F536" s="26" t="str">
        <f aca="false">IF(A536="","",IFERROR(buscarx(A536&amp;E536,DATA!$E$3:$E$10000&amp;DATA!$B$3:$B$10000,DATA!$M$3:$M$10000),"Inactivo"))</f>
        <v/>
      </c>
      <c r="G536" s="28" t="str">
        <f aca="false">IF(A536="","",IF(AND(C536&lt;&gt;"No encontrado",F536&lt;&gt;"Inactivo"),C536&amp;" → "&amp;F536,"Sin transición"))</f>
        <v/>
      </c>
      <c r="H536" s="26" t="str">
        <f aca="false">IF(A536="","",IF(D536="GCIA LINEA SERVICIO DIGITALIDAD Y VENTAS","Chats",IF(OR(D536="GERENCIA INBOUND LÍNEAS SERVICIO Y VENTA",D536="GERENCIA INBOUND LINEAS ESPECIALIZADAS"),"Llamadas","Otro")))</f>
        <v/>
      </c>
      <c r="I536" s="26" t="str">
        <f aca="false">IF(A536="","",IF(C536="No encontrado","No","Sí"))</f>
        <v/>
      </c>
      <c r="J536" s="26" t="str">
        <f aca="false">IF(A536="","",IF(F536="Inactivo","No","Sí"))</f>
        <v/>
      </c>
      <c r="K536" s="26" t="str">
        <f aca="false">IF(A536="","",IF(AND(I536="Sí",J536="Sí"),"Sí","No"))</f>
        <v/>
      </c>
    </row>
    <row r="537" customFormat="false" ht="15" hidden="false" customHeight="false" outlineLevel="0" collapsed="false">
      <c r="A537" s="22"/>
      <c r="B537" s="22"/>
      <c r="C537" s="23" t="str">
        <f aca="false">IF(A537="","",IFERROR(buscarx(A537&amp;B537,DATA!$E$3:$E$10000&amp;DATA!$B$3:$B$10000,DATA!$M$3:$M$10000),"No encontrado"))</f>
        <v/>
      </c>
      <c r="D537" s="24" t="str">
        <f aca="false">IF(A537="","",IFERROR(buscarx(A537&amp;B537,DATA!$E$3:$E$10000&amp;DATA!$B$3:$B$10000,DATA!$W$3:$W$10000),"No encontrado"))</f>
        <v/>
      </c>
      <c r="E537" s="22"/>
      <c r="F537" s="23" t="str">
        <f aca="false">IF(A537="","",IFERROR(buscarx(A537&amp;E537,DATA!$E$3:$E$10000&amp;DATA!$B$3:$B$10000,DATA!$M$3:$M$10000),"Inactivo"))</f>
        <v/>
      </c>
      <c r="G537" s="25" t="str">
        <f aca="false">IF(A537="","",IF(AND(C537&lt;&gt;"No encontrado",F537&lt;&gt;"Inactivo"),C537&amp;" → "&amp;F537,"Sin transición"))</f>
        <v/>
      </c>
      <c r="H537" s="23" t="str">
        <f aca="false">IF(A537="","",IF(D537="GCIA LINEA SERVICIO DIGITALIDAD Y VENTAS","Chats",IF(OR(D537="GERENCIA INBOUND LÍNEAS SERVICIO Y VENTA",D537="GERENCIA INBOUND LINEAS ESPECIALIZADAS"),"Llamadas","Otro")))</f>
        <v/>
      </c>
      <c r="I537" s="23" t="str">
        <f aca="false">IF(A537="","",IF(C537="No encontrado","No","Sí"))</f>
        <v/>
      </c>
      <c r="J537" s="23" t="str">
        <f aca="false">IF(A537="","",IF(F537="Inactivo","No","Sí"))</f>
        <v/>
      </c>
      <c r="K537" s="23" t="str">
        <f aca="false">IF(A537="","",IF(AND(I537="Sí",J537="Sí"),"Sí","No"))</f>
        <v/>
      </c>
    </row>
    <row r="538" customFormat="false" ht="15" hidden="false" customHeight="false" outlineLevel="0" collapsed="false">
      <c r="A538" s="22"/>
      <c r="B538" s="22"/>
      <c r="C538" s="26" t="str">
        <f aca="false">IF(A538="","",IFERROR(buscarx(A538&amp;B538,DATA!$E$3:$E$10000&amp;DATA!$B$3:$B$10000,DATA!$M$3:$M$10000),"No encontrado"))</f>
        <v/>
      </c>
      <c r="D538" s="27" t="str">
        <f aca="false">IF(A538="","",IFERROR(buscarx(A538&amp;B538,DATA!$E$3:$E$10000&amp;DATA!$B$3:$B$10000,DATA!$W$3:$W$10000),"No encontrado"))</f>
        <v/>
      </c>
      <c r="E538" s="22"/>
      <c r="F538" s="26" t="str">
        <f aca="false">IF(A538="","",IFERROR(buscarx(A538&amp;E538,DATA!$E$3:$E$10000&amp;DATA!$B$3:$B$10000,DATA!$M$3:$M$10000),"Inactivo"))</f>
        <v/>
      </c>
      <c r="G538" s="28" t="str">
        <f aca="false">IF(A538="","",IF(AND(C538&lt;&gt;"No encontrado",F538&lt;&gt;"Inactivo"),C538&amp;" → "&amp;F538,"Sin transición"))</f>
        <v/>
      </c>
      <c r="H538" s="26" t="str">
        <f aca="false">IF(A538="","",IF(D538="GCIA LINEA SERVICIO DIGITALIDAD Y VENTAS","Chats",IF(OR(D538="GERENCIA INBOUND LÍNEAS SERVICIO Y VENTA",D538="GERENCIA INBOUND LINEAS ESPECIALIZADAS"),"Llamadas","Otro")))</f>
        <v/>
      </c>
      <c r="I538" s="26" t="str">
        <f aca="false">IF(A538="","",IF(C538="No encontrado","No","Sí"))</f>
        <v/>
      </c>
      <c r="J538" s="26" t="str">
        <f aca="false">IF(A538="","",IF(F538="Inactivo","No","Sí"))</f>
        <v/>
      </c>
      <c r="K538" s="26" t="str">
        <f aca="false">IF(A538="","",IF(AND(I538="Sí",J538="Sí"),"Sí","No"))</f>
        <v/>
      </c>
    </row>
    <row r="539" customFormat="false" ht="15" hidden="false" customHeight="false" outlineLevel="0" collapsed="false">
      <c r="A539" s="22"/>
      <c r="B539" s="22"/>
      <c r="C539" s="23" t="str">
        <f aca="false">IF(A539="","",IFERROR(buscarx(A539&amp;B539,DATA!$E$3:$E$10000&amp;DATA!$B$3:$B$10000,DATA!$M$3:$M$10000),"No encontrado"))</f>
        <v/>
      </c>
      <c r="D539" s="24" t="str">
        <f aca="false">IF(A539="","",IFERROR(buscarx(A539&amp;B539,DATA!$E$3:$E$10000&amp;DATA!$B$3:$B$10000,DATA!$W$3:$W$10000),"No encontrado"))</f>
        <v/>
      </c>
      <c r="E539" s="22"/>
      <c r="F539" s="23" t="str">
        <f aca="false">IF(A539="","",IFERROR(buscarx(A539&amp;E539,DATA!$E$3:$E$10000&amp;DATA!$B$3:$B$10000,DATA!$M$3:$M$10000),"Inactivo"))</f>
        <v/>
      </c>
      <c r="G539" s="25" t="str">
        <f aca="false">IF(A539="","",IF(AND(C539&lt;&gt;"No encontrado",F539&lt;&gt;"Inactivo"),C539&amp;" → "&amp;F539,"Sin transición"))</f>
        <v/>
      </c>
      <c r="H539" s="23" t="str">
        <f aca="false">IF(A539="","",IF(D539="GCIA LINEA SERVICIO DIGITALIDAD Y VENTAS","Chats",IF(OR(D539="GERENCIA INBOUND LÍNEAS SERVICIO Y VENTA",D539="GERENCIA INBOUND LINEAS ESPECIALIZADAS"),"Llamadas","Otro")))</f>
        <v/>
      </c>
      <c r="I539" s="23" t="str">
        <f aca="false">IF(A539="","",IF(C539="No encontrado","No","Sí"))</f>
        <v/>
      </c>
      <c r="J539" s="23" t="str">
        <f aca="false">IF(A539="","",IF(F539="Inactivo","No","Sí"))</f>
        <v/>
      </c>
      <c r="K539" s="23" t="str">
        <f aca="false">IF(A539="","",IF(AND(I539="Sí",J539="Sí"),"Sí","No"))</f>
        <v/>
      </c>
    </row>
    <row r="540" customFormat="false" ht="15" hidden="false" customHeight="false" outlineLevel="0" collapsed="false">
      <c r="A540" s="22"/>
      <c r="B540" s="22"/>
      <c r="C540" s="26" t="str">
        <f aca="false">IF(A540="","",IFERROR(buscarx(A540&amp;B540,DATA!$E$3:$E$10000&amp;DATA!$B$3:$B$10000,DATA!$M$3:$M$10000),"No encontrado"))</f>
        <v/>
      </c>
      <c r="D540" s="27" t="str">
        <f aca="false">IF(A540="","",IFERROR(buscarx(A540&amp;B540,DATA!$E$3:$E$10000&amp;DATA!$B$3:$B$10000,DATA!$W$3:$W$10000),"No encontrado"))</f>
        <v/>
      </c>
      <c r="E540" s="22"/>
      <c r="F540" s="26" t="str">
        <f aca="false">IF(A540="","",IFERROR(buscarx(A540&amp;E540,DATA!$E$3:$E$10000&amp;DATA!$B$3:$B$10000,DATA!$M$3:$M$10000),"Inactivo"))</f>
        <v/>
      </c>
      <c r="G540" s="28" t="str">
        <f aca="false">IF(A540="","",IF(AND(C540&lt;&gt;"No encontrado",F540&lt;&gt;"Inactivo"),C540&amp;" → "&amp;F540,"Sin transición"))</f>
        <v/>
      </c>
      <c r="H540" s="26" t="str">
        <f aca="false">IF(A540="","",IF(D540="GCIA LINEA SERVICIO DIGITALIDAD Y VENTAS","Chats",IF(OR(D540="GERENCIA INBOUND LÍNEAS SERVICIO Y VENTA",D540="GERENCIA INBOUND LINEAS ESPECIALIZADAS"),"Llamadas","Otro")))</f>
        <v/>
      </c>
      <c r="I540" s="26" t="str">
        <f aca="false">IF(A540="","",IF(C540="No encontrado","No","Sí"))</f>
        <v/>
      </c>
      <c r="J540" s="26" t="str">
        <f aca="false">IF(A540="","",IF(F540="Inactivo","No","Sí"))</f>
        <v/>
      </c>
      <c r="K540" s="26" t="str">
        <f aca="false">IF(A540="","",IF(AND(I540="Sí",J540="Sí"),"Sí","No"))</f>
        <v/>
      </c>
    </row>
    <row r="541" customFormat="false" ht="15" hidden="false" customHeight="false" outlineLevel="0" collapsed="false">
      <c r="A541" s="22"/>
      <c r="B541" s="22"/>
      <c r="C541" s="23" t="str">
        <f aca="false">IF(A541="","",IFERROR(buscarx(A541&amp;B541,DATA!$E$3:$E$10000&amp;DATA!$B$3:$B$10000,DATA!$M$3:$M$10000),"No encontrado"))</f>
        <v/>
      </c>
      <c r="D541" s="24" t="str">
        <f aca="false">IF(A541="","",IFERROR(buscarx(A541&amp;B541,DATA!$E$3:$E$10000&amp;DATA!$B$3:$B$10000,DATA!$W$3:$W$10000),"No encontrado"))</f>
        <v/>
      </c>
      <c r="E541" s="22"/>
      <c r="F541" s="23" t="str">
        <f aca="false">IF(A541="","",IFERROR(buscarx(A541&amp;E541,DATA!$E$3:$E$10000&amp;DATA!$B$3:$B$10000,DATA!$M$3:$M$10000),"Inactivo"))</f>
        <v/>
      </c>
      <c r="G541" s="25" t="str">
        <f aca="false">IF(A541="","",IF(AND(C541&lt;&gt;"No encontrado",F541&lt;&gt;"Inactivo"),C541&amp;" → "&amp;F541,"Sin transición"))</f>
        <v/>
      </c>
      <c r="H541" s="23" t="str">
        <f aca="false">IF(A541="","",IF(D541="GCIA LINEA SERVICIO DIGITALIDAD Y VENTAS","Chats",IF(OR(D541="GERENCIA INBOUND LÍNEAS SERVICIO Y VENTA",D541="GERENCIA INBOUND LINEAS ESPECIALIZADAS"),"Llamadas","Otro")))</f>
        <v/>
      </c>
      <c r="I541" s="23" t="str">
        <f aca="false">IF(A541="","",IF(C541="No encontrado","No","Sí"))</f>
        <v/>
      </c>
      <c r="J541" s="23" t="str">
        <f aca="false">IF(A541="","",IF(F541="Inactivo","No","Sí"))</f>
        <v/>
      </c>
      <c r="K541" s="23" t="str">
        <f aca="false">IF(A541="","",IF(AND(I541="Sí",J541="Sí"),"Sí","No"))</f>
        <v/>
      </c>
    </row>
    <row r="542" customFormat="false" ht="15" hidden="false" customHeight="false" outlineLevel="0" collapsed="false">
      <c r="A542" s="22"/>
      <c r="B542" s="22"/>
      <c r="C542" s="26" t="str">
        <f aca="false">IF(A542="","",IFERROR(buscarx(A542&amp;B542,DATA!$E$3:$E$10000&amp;DATA!$B$3:$B$10000,DATA!$M$3:$M$10000),"No encontrado"))</f>
        <v/>
      </c>
      <c r="D542" s="27" t="str">
        <f aca="false">IF(A542="","",IFERROR(buscarx(A542&amp;B542,DATA!$E$3:$E$10000&amp;DATA!$B$3:$B$10000,DATA!$W$3:$W$10000),"No encontrado"))</f>
        <v/>
      </c>
      <c r="E542" s="22"/>
      <c r="F542" s="26" t="str">
        <f aca="false">IF(A542="","",IFERROR(buscarx(A542&amp;E542,DATA!$E$3:$E$10000&amp;DATA!$B$3:$B$10000,DATA!$M$3:$M$10000),"Inactivo"))</f>
        <v/>
      </c>
      <c r="G542" s="28" t="str">
        <f aca="false">IF(A542="","",IF(AND(C542&lt;&gt;"No encontrado",F542&lt;&gt;"Inactivo"),C542&amp;" → "&amp;F542,"Sin transición"))</f>
        <v/>
      </c>
      <c r="H542" s="26" t="str">
        <f aca="false">IF(A542="","",IF(D542="GCIA LINEA SERVICIO DIGITALIDAD Y VENTAS","Chats",IF(OR(D542="GERENCIA INBOUND LÍNEAS SERVICIO Y VENTA",D542="GERENCIA INBOUND LINEAS ESPECIALIZADAS"),"Llamadas","Otro")))</f>
        <v/>
      </c>
      <c r="I542" s="26" t="str">
        <f aca="false">IF(A542="","",IF(C542="No encontrado","No","Sí"))</f>
        <v/>
      </c>
      <c r="J542" s="26" t="str">
        <f aca="false">IF(A542="","",IF(F542="Inactivo","No","Sí"))</f>
        <v/>
      </c>
      <c r="K542" s="26" t="str">
        <f aca="false">IF(A542="","",IF(AND(I542="Sí",J542="Sí"),"Sí","No"))</f>
        <v/>
      </c>
    </row>
    <row r="543" customFormat="false" ht="15" hidden="false" customHeight="false" outlineLevel="0" collapsed="false">
      <c r="A543" s="22"/>
      <c r="B543" s="22"/>
      <c r="C543" s="23" t="str">
        <f aca="false">IF(A543="","",IFERROR(buscarx(A543&amp;B543,DATA!$E$3:$E$10000&amp;DATA!$B$3:$B$10000,DATA!$M$3:$M$10000),"No encontrado"))</f>
        <v/>
      </c>
      <c r="D543" s="24" t="str">
        <f aca="false">IF(A543="","",IFERROR(buscarx(A543&amp;B543,DATA!$E$3:$E$10000&amp;DATA!$B$3:$B$10000,DATA!$W$3:$W$10000),"No encontrado"))</f>
        <v/>
      </c>
      <c r="E543" s="22"/>
      <c r="F543" s="23" t="str">
        <f aca="false">IF(A543="","",IFERROR(buscarx(A543&amp;E543,DATA!$E$3:$E$10000&amp;DATA!$B$3:$B$10000,DATA!$M$3:$M$10000),"Inactivo"))</f>
        <v/>
      </c>
      <c r="G543" s="25" t="str">
        <f aca="false">IF(A543="","",IF(AND(C543&lt;&gt;"No encontrado",F543&lt;&gt;"Inactivo"),C543&amp;" → "&amp;F543,"Sin transición"))</f>
        <v/>
      </c>
      <c r="H543" s="23" t="str">
        <f aca="false">IF(A543="","",IF(D543="GCIA LINEA SERVICIO DIGITALIDAD Y VENTAS","Chats",IF(OR(D543="GERENCIA INBOUND LÍNEAS SERVICIO Y VENTA",D543="GERENCIA INBOUND LINEAS ESPECIALIZADAS"),"Llamadas","Otro")))</f>
        <v/>
      </c>
      <c r="I543" s="23" t="str">
        <f aca="false">IF(A543="","",IF(C543="No encontrado","No","Sí"))</f>
        <v/>
      </c>
      <c r="J543" s="23" t="str">
        <f aca="false">IF(A543="","",IF(F543="Inactivo","No","Sí"))</f>
        <v/>
      </c>
      <c r="K543" s="23" t="str">
        <f aca="false">IF(A543="","",IF(AND(I543="Sí",J543="Sí"),"Sí","No"))</f>
        <v/>
      </c>
    </row>
    <row r="544" customFormat="false" ht="15" hidden="false" customHeight="false" outlineLevel="0" collapsed="false">
      <c r="A544" s="22"/>
      <c r="B544" s="22"/>
      <c r="C544" s="26" t="str">
        <f aca="false">IF(A544="","",IFERROR(buscarx(A544&amp;B544,DATA!$E$3:$E$10000&amp;DATA!$B$3:$B$10000,DATA!$M$3:$M$10000),"No encontrado"))</f>
        <v/>
      </c>
      <c r="D544" s="27" t="str">
        <f aca="false">IF(A544="","",IFERROR(buscarx(A544&amp;B544,DATA!$E$3:$E$10000&amp;DATA!$B$3:$B$10000,DATA!$W$3:$W$10000),"No encontrado"))</f>
        <v/>
      </c>
      <c r="E544" s="22"/>
      <c r="F544" s="26" t="str">
        <f aca="false">IF(A544="","",IFERROR(buscarx(A544&amp;E544,DATA!$E$3:$E$10000&amp;DATA!$B$3:$B$10000,DATA!$M$3:$M$10000),"Inactivo"))</f>
        <v/>
      </c>
      <c r="G544" s="28" t="str">
        <f aca="false">IF(A544="","",IF(AND(C544&lt;&gt;"No encontrado",F544&lt;&gt;"Inactivo"),C544&amp;" → "&amp;F544,"Sin transición"))</f>
        <v/>
      </c>
      <c r="H544" s="26" t="str">
        <f aca="false">IF(A544="","",IF(D544="GCIA LINEA SERVICIO DIGITALIDAD Y VENTAS","Chats",IF(OR(D544="GERENCIA INBOUND LÍNEAS SERVICIO Y VENTA",D544="GERENCIA INBOUND LINEAS ESPECIALIZADAS"),"Llamadas","Otro")))</f>
        <v/>
      </c>
      <c r="I544" s="26" t="str">
        <f aca="false">IF(A544="","",IF(C544="No encontrado","No","Sí"))</f>
        <v/>
      </c>
      <c r="J544" s="26" t="str">
        <f aca="false">IF(A544="","",IF(F544="Inactivo","No","Sí"))</f>
        <v/>
      </c>
      <c r="K544" s="26" t="str">
        <f aca="false">IF(A544="","",IF(AND(I544="Sí",J544="Sí"),"Sí","No"))</f>
        <v/>
      </c>
    </row>
    <row r="545" customFormat="false" ht="15" hidden="false" customHeight="false" outlineLevel="0" collapsed="false">
      <c r="A545" s="22"/>
      <c r="B545" s="22"/>
      <c r="C545" s="23" t="str">
        <f aca="false">IF(A545="","",IFERROR(buscarx(A545&amp;B545,DATA!$E$3:$E$10000&amp;DATA!$B$3:$B$10000,DATA!$M$3:$M$10000),"No encontrado"))</f>
        <v/>
      </c>
      <c r="D545" s="24" t="str">
        <f aca="false">IF(A545="","",IFERROR(buscarx(A545&amp;B545,DATA!$E$3:$E$10000&amp;DATA!$B$3:$B$10000,DATA!$W$3:$W$10000),"No encontrado"))</f>
        <v/>
      </c>
      <c r="E545" s="22"/>
      <c r="F545" s="23" t="str">
        <f aca="false">IF(A545="","",IFERROR(buscarx(A545&amp;E545,DATA!$E$3:$E$10000&amp;DATA!$B$3:$B$10000,DATA!$M$3:$M$10000),"Inactivo"))</f>
        <v/>
      </c>
      <c r="G545" s="25" t="str">
        <f aca="false">IF(A545="","",IF(AND(C545&lt;&gt;"No encontrado",F545&lt;&gt;"Inactivo"),C545&amp;" → "&amp;F545,"Sin transición"))</f>
        <v/>
      </c>
      <c r="H545" s="23" t="str">
        <f aca="false">IF(A545="","",IF(D545="GCIA LINEA SERVICIO DIGITALIDAD Y VENTAS","Chats",IF(OR(D545="GERENCIA INBOUND LÍNEAS SERVICIO Y VENTA",D545="GERENCIA INBOUND LINEAS ESPECIALIZADAS"),"Llamadas","Otro")))</f>
        <v/>
      </c>
      <c r="I545" s="23" t="str">
        <f aca="false">IF(A545="","",IF(C545="No encontrado","No","Sí"))</f>
        <v/>
      </c>
      <c r="J545" s="23" t="str">
        <f aca="false">IF(A545="","",IF(F545="Inactivo","No","Sí"))</f>
        <v/>
      </c>
      <c r="K545" s="23" t="str">
        <f aca="false">IF(A545="","",IF(AND(I545="Sí",J545="Sí"),"Sí","No"))</f>
        <v/>
      </c>
    </row>
    <row r="546" customFormat="false" ht="15" hidden="false" customHeight="false" outlineLevel="0" collapsed="false">
      <c r="A546" s="22"/>
      <c r="B546" s="22"/>
      <c r="C546" s="26" t="str">
        <f aca="false">IF(A546="","",IFERROR(buscarx(A546&amp;B546,DATA!$E$3:$E$10000&amp;DATA!$B$3:$B$10000,DATA!$M$3:$M$10000),"No encontrado"))</f>
        <v/>
      </c>
      <c r="D546" s="27" t="str">
        <f aca="false">IF(A546="","",IFERROR(buscarx(A546&amp;B546,DATA!$E$3:$E$10000&amp;DATA!$B$3:$B$10000,DATA!$W$3:$W$10000),"No encontrado"))</f>
        <v/>
      </c>
      <c r="E546" s="22"/>
      <c r="F546" s="26" t="str">
        <f aca="false">IF(A546="","",IFERROR(buscarx(A546&amp;E546,DATA!$E$3:$E$10000&amp;DATA!$B$3:$B$10000,DATA!$M$3:$M$10000),"Inactivo"))</f>
        <v/>
      </c>
      <c r="G546" s="28" t="str">
        <f aca="false">IF(A546="","",IF(AND(C546&lt;&gt;"No encontrado",F546&lt;&gt;"Inactivo"),C546&amp;" → "&amp;F546,"Sin transición"))</f>
        <v/>
      </c>
      <c r="H546" s="26" t="str">
        <f aca="false">IF(A546="","",IF(D546="GCIA LINEA SERVICIO DIGITALIDAD Y VENTAS","Chats",IF(OR(D546="GERENCIA INBOUND LÍNEAS SERVICIO Y VENTA",D546="GERENCIA INBOUND LINEAS ESPECIALIZADAS"),"Llamadas","Otro")))</f>
        <v/>
      </c>
      <c r="I546" s="26" t="str">
        <f aca="false">IF(A546="","",IF(C546="No encontrado","No","Sí"))</f>
        <v/>
      </c>
      <c r="J546" s="26" t="str">
        <f aca="false">IF(A546="","",IF(F546="Inactivo","No","Sí"))</f>
        <v/>
      </c>
      <c r="K546" s="26" t="str">
        <f aca="false">IF(A546="","",IF(AND(I546="Sí",J546="Sí"),"Sí","No"))</f>
        <v/>
      </c>
    </row>
    <row r="547" customFormat="false" ht="15" hidden="false" customHeight="false" outlineLevel="0" collapsed="false">
      <c r="A547" s="22"/>
      <c r="B547" s="22"/>
      <c r="C547" s="23" t="str">
        <f aca="false">IF(A547="","",IFERROR(buscarx(A547&amp;B547,DATA!$E$3:$E$10000&amp;DATA!$B$3:$B$10000,DATA!$M$3:$M$10000),"No encontrado"))</f>
        <v/>
      </c>
      <c r="D547" s="24" t="str">
        <f aca="false">IF(A547="","",IFERROR(buscarx(A547&amp;B547,DATA!$E$3:$E$10000&amp;DATA!$B$3:$B$10000,DATA!$W$3:$W$10000),"No encontrado"))</f>
        <v/>
      </c>
      <c r="E547" s="22"/>
      <c r="F547" s="23" t="str">
        <f aca="false">IF(A547="","",IFERROR(buscarx(A547&amp;E547,DATA!$E$3:$E$10000&amp;DATA!$B$3:$B$10000,DATA!$M$3:$M$10000),"Inactivo"))</f>
        <v/>
      </c>
      <c r="G547" s="25" t="str">
        <f aca="false">IF(A547="","",IF(AND(C547&lt;&gt;"No encontrado",F547&lt;&gt;"Inactivo"),C547&amp;" → "&amp;F547,"Sin transición"))</f>
        <v/>
      </c>
      <c r="H547" s="23" t="str">
        <f aca="false">IF(A547="","",IF(D547="GCIA LINEA SERVICIO DIGITALIDAD Y VENTAS","Chats",IF(OR(D547="GERENCIA INBOUND LÍNEAS SERVICIO Y VENTA",D547="GERENCIA INBOUND LINEAS ESPECIALIZADAS"),"Llamadas","Otro")))</f>
        <v/>
      </c>
      <c r="I547" s="23" t="str">
        <f aca="false">IF(A547="","",IF(C547="No encontrado","No","Sí"))</f>
        <v/>
      </c>
      <c r="J547" s="23" t="str">
        <f aca="false">IF(A547="","",IF(F547="Inactivo","No","Sí"))</f>
        <v/>
      </c>
      <c r="K547" s="23" t="str">
        <f aca="false">IF(A547="","",IF(AND(I547="Sí",J547="Sí"),"Sí","No"))</f>
        <v/>
      </c>
    </row>
    <row r="548" customFormat="false" ht="15" hidden="false" customHeight="false" outlineLevel="0" collapsed="false">
      <c r="A548" s="22"/>
      <c r="B548" s="22"/>
      <c r="C548" s="26" t="str">
        <f aca="false">IF(A548="","",IFERROR(buscarx(A548&amp;B548,DATA!$E$3:$E$10000&amp;DATA!$B$3:$B$10000,DATA!$M$3:$M$10000),"No encontrado"))</f>
        <v/>
      </c>
      <c r="D548" s="27" t="str">
        <f aca="false">IF(A548="","",IFERROR(buscarx(A548&amp;B548,DATA!$E$3:$E$10000&amp;DATA!$B$3:$B$10000,DATA!$W$3:$W$10000),"No encontrado"))</f>
        <v/>
      </c>
      <c r="E548" s="22"/>
      <c r="F548" s="26" t="str">
        <f aca="false">IF(A548="","",IFERROR(buscarx(A548&amp;E548,DATA!$E$3:$E$10000&amp;DATA!$B$3:$B$10000,DATA!$M$3:$M$10000),"Inactivo"))</f>
        <v/>
      </c>
      <c r="G548" s="28" t="str">
        <f aca="false">IF(A548="","",IF(AND(C548&lt;&gt;"No encontrado",F548&lt;&gt;"Inactivo"),C548&amp;" → "&amp;F548,"Sin transición"))</f>
        <v/>
      </c>
      <c r="H548" s="26" t="str">
        <f aca="false">IF(A548="","",IF(D548="GCIA LINEA SERVICIO DIGITALIDAD Y VENTAS","Chats",IF(OR(D548="GERENCIA INBOUND LÍNEAS SERVICIO Y VENTA",D548="GERENCIA INBOUND LINEAS ESPECIALIZADAS"),"Llamadas","Otro")))</f>
        <v/>
      </c>
      <c r="I548" s="26" t="str">
        <f aca="false">IF(A548="","",IF(C548="No encontrado","No","Sí"))</f>
        <v/>
      </c>
      <c r="J548" s="26" t="str">
        <f aca="false">IF(A548="","",IF(F548="Inactivo","No","Sí"))</f>
        <v/>
      </c>
      <c r="K548" s="26" t="str">
        <f aca="false">IF(A548="","",IF(AND(I548="Sí",J548="Sí"),"Sí","No"))</f>
        <v/>
      </c>
    </row>
    <row r="549" customFormat="false" ht="15" hidden="false" customHeight="false" outlineLevel="0" collapsed="false">
      <c r="A549" s="22"/>
      <c r="B549" s="22"/>
      <c r="C549" s="23" t="str">
        <f aca="false">IF(A549="","",IFERROR(buscarx(A549&amp;B549,DATA!$E$3:$E$10000&amp;DATA!$B$3:$B$10000,DATA!$M$3:$M$10000),"No encontrado"))</f>
        <v/>
      </c>
      <c r="D549" s="24" t="str">
        <f aca="false">IF(A549="","",IFERROR(buscarx(A549&amp;B549,DATA!$E$3:$E$10000&amp;DATA!$B$3:$B$10000,DATA!$W$3:$W$10000),"No encontrado"))</f>
        <v/>
      </c>
      <c r="E549" s="22"/>
      <c r="F549" s="23" t="str">
        <f aca="false">IF(A549="","",IFERROR(buscarx(A549&amp;E549,DATA!$E$3:$E$10000&amp;DATA!$B$3:$B$10000,DATA!$M$3:$M$10000),"Inactivo"))</f>
        <v/>
      </c>
      <c r="G549" s="25" t="str">
        <f aca="false">IF(A549="","",IF(AND(C549&lt;&gt;"No encontrado",F549&lt;&gt;"Inactivo"),C549&amp;" → "&amp;F549,"Sin transición"))</f>
        <v/>
      </c>
      <c r="H549" s="23" t="str">
        <f aca="false">IF(A549="","",IF(D549="GCIA LINEA SERVICIO DIGITALIDAD Y VENTAS","Chats",IF(OR(D549="GERENCIA INBOUND LÍNEAS SERVICIO Y VENTA",D549="GERENCIA INBOUND LINEAS ESPECIALIZADAS"),"Llamadas","Otro")))</f>
        <v/>
      </c>
      <c r="I549" s="23" t="str">
        <f aca="false">IF(A549="","",IF(C549="No encontrado","No","Sí"))</f>
        <v/>
      </c>
      <c r="J549" s="23" t="str">
        <f aca="false">IF(A549="","",IF(F549="Inactivo","No","Sí"))</f>
        <v/>
      </c>
      <c r="K549" s="23" t="str">
        <f aca="false">IF(A549="","",IF(AND(I549="Sí",J549="Sí"),"Sí","No"))</f>
        <v/>
      </c>
    </row>
    <row r="550" customFormat="false" ht="15" hidden="false" customHeight="false" outlineLevel="0" collapsed="false">
      <c r="A550" s="22"/>
      <c r="B550" s="22"/>
      <c r="C550" s="26" t="str">
        <f aca="false">IF(A550="","",IFERROR(buscarx(A550&amp;B550,DATA!$E$3:$E$10000&amp;DATA!$B$3:$B$10000,DATA!$M$3:$M$10000),"No encontrado"))</f>
        <v/>
      </c>
      <c r="D550" s="27" t="str">
        <f aca="false">IF(A550="","",IFERROR(buscarx(A550&amp;B550,DATA!$E$3:$E$10000&amp;DATA!$B$3:$B$10000,DATA!$W$3:$W$10000),"No encontrado"))</f>
        <v/>
      </c>
      <c r="E550" s="22"/>
      <c r="F550" s="26" t="str">
        <f aca="false">IF(A550="","",IFERROR(buscarx(A550&amp;E550,DATA!$E$3:$E$10000&amp;DATA!$B$3:$B$10000,DATA!$M$3:$M$10000),"Inactivo"))</f>
        <v/>
      </c>
      <c r="G550" s="28" t="str">
        <f aca="false">IF(A550="","",IF(AND(C550&lt;&gt;"No encontrado",F550&lt;&gt;"Inactivo"),C550&amp;" → "&amp;F550,"Sin transición"))</f>
        <v/>
      </c>
      <c r="H550" s="26" t="str">
        <f aca="false">IF(A550="","",IF(D550="GCIA LINEA SERVICIO DIGITALIDAD Y VENTAS","Chats",IF(OR(D550="GERENCIA INBOUND LÍNEAS SERVICIO Y VENTA",D550="GERENCIA INBOUND LINEAS ESPECIALIZADAS"),"Llamadas","Otro")))</f>
        <v/>
      </c>
      <c r="I550" s="26" t="str">
        <f aca="false">IF(A550="","",IF(C550="No encontrado","No","Sí"))</f>
        <v/>
      </c>
      <c r="J550" s="26" t="str">
        <f aca="false">IF(A550="","",IF(F550="Inactivo","No","Sí"))</f>
        <v/>
      </c>
      <c r="K550" s="26" t="str">
        <f aca="false">IF(A550="","",IF(AND(I550="Sí",J550="Sí"),"Sí","No"))</f>
        <v/>
      </c>
    </row>
    <row r="551" customFormat="false" ht="15" hidden="false" customHeight="false" outlineLevel="0" collapsed="false">
      <c r="A551" s="22"/>
      <c r="B551" s="22"/>
      <c r="C551" s="23" t="str">
        <f aca="false">IF(A551="","",IFERROR(buscarx(A551&amp;B551,DATA!$E$3:$E$10000&amp;DATA!$B$3:$B$10000,DATA!$M$3:$M$10000),"No encontrado"))</f>
        <v/>
      </c>
      <c r="D551" s="24" t="str">
        <f aca="false">IF(A551="","",IFERROR(buscarx(A551&amp;B551,DATA!$E$3:$E$10000&amp;DATA!$B$3:$B$10000,DATA!$W$3:$W$10000),"No encontrado"))</f>
        <v/>
      </c>
      <c r="E551" s="22"/>
      <c r="F551" s="23" t="str">
        <f aca="false">IF(A551="","",IFERROR(buscarx(A551&amp;E551,DATA!$E$3:$E$10000&amp;DATA!$B$3:$B$10000,DATA!$M$3:$M$10000),"Inactivo"))</f>
        <v/>
      </c>
      <c r="G551" s="25" t="str">
        <f aca="false">IF(A551="","",IF(AND(C551&lt;&gt;"No encontrado",F551&lt;&gt;"Inactivo"),C551&amp;" → "&amp;F551,"Sin transición"))</f>
        <v/>
      </c>
      <c r="H551" s="23" t="str">
        <f aca="false">IF(A551="","",IF(D551="GCIA LINEA SERVICIO DIGITALIDAD Y VENTAS","Chats",IF(OR(D551="GERENCIA INBOUND LÍNEAS SERVICIO Y VENTA",D551="GERENCIA INBOUND LINEAS ESPECIALIZADAS"),"Llamadas","Otro")))</f>
        <v/>
      </c>
      <c r="I551" s="23" t="str">
        <f aca="false">IF(A551="","",IF(C551="No encontrado","No","Sí"))</f>
        <v/>
      </c>
      <c r="J551" s="23" t="str">
        <f aca="false">IF(A551="","",IF(F551="Inactivo","No","Sí"))</f>
        <v/>
      </c>
      <c r="K551" s="23" t="str">
        <f aca="false">IF(A551="","",IF(AND(I551="Sí",J551="Sí"),"Sí","No"))</f>
        <v/>
      </c>
    </row>
    <row r="552" customFormat="false" ht="15" hidden="false" customHeight="false" outlineLevel="0" collapsed="false">
      <c r="A552" s="22"/>
      <c r="B552" s="22"/>
      <c r="C552" s="26" t="str">
        <f aca="false">IF(A552="","",IFERROR(buscarx(A552&amp;B552,DATA!$E$3:$E$10000&amp;DATA!$B$3:$B$10000,DATA!$M$3:$M$10000),"No encontrado"))</f>
        <v/>
      </c>
      <c r="D552" s="27" t="str">
        <f aca="false">IF(A552="","",IFERROR(buscarx(A552&amp;B552,DATA!$E$3:$E$10000&amp;DATA!$B$3:$B$10000,DATA!$W$3:$W$10000),"No encontrado"))</f>
        <v/>
      </c>
      <c r="E552" s="22"/>
      <c r="F552" s="26" t="str">
        <f aca="false">IF(A552="","",IFERROR(buscarx(A552&amp;E552,DATA!$E$3:$E$10000&amp;DATA!$B$3:$B$10000,DATA!$M$3:$M$10000),"Inactivo"))</f>
        <v/>
      </c>
      <c r="G552" s="28" t="str">
        <f aca="false">IF(A552="","",IF(AND(C552&lt;&gt;"No encontrado",F552&lt;&gt;"Inactivo"),C552&amp;" → "&amp;F552,"Sin transición"))</f>
        <v/>
      </c>
      <c r="H552" s="26" t="str">
        <f aca="false">IF(A552="","",IF(D552="GCIA LINEA SERVICIO DIGITALIDAD Y VENTAS","Chats",IF(OR(D552="GERENCIA INBOUND LÍNEAS SERVICIO Y VENTA",D552="GERENCIA INBOUND LINEAS ESPECIALIZADAS"),"Llamadas","Otro")))</f>
        <v/>
      </c>
      <c r="I552" s="26" t="str">
        <f aca="false">IF(A552="","",IF(C552="No encontrado","No","Sí"))</f>
        <v/>
      </c>
      <c r="J552" s="26" t="str">
        <f aca="false">IF(A552="","",IF(F552="Inactivo","No","Sí"))</f>
        <v/>
      </c>
      <c r="K552" s="26" t="str">
        <f aca="false">IF(A552="","",IF(AND(I552="Sí",J552="Sí"),"Sí","No"))</f>
        <v/>
      </c>
    </row>
    <row r="553" customFormat="false" ht="15" hidden="false" customHeight="false" outlineLevel="0" collapsed="false">
      <c r="A553" s="22"/>
      <c r="B553" s="22"/>
      <c r="C553" s="23" t="str">
        <f aca="false">IF(A553="","",IFERROR(buscarx(A553&amp;B553,DATA!$E$3:$E$10000&amp;DATA!$B$3:$B$10000,DATA!$M$3:$M$10000),"No encontrado"))</f>
        <v/>
      </c>
      <c r="D553" s="24" t="str">
        <f aca="false">IF(A553="","",IFERROR(buscarx(A553&amp;B553,DATA!$E$3:$E$10000&amp;DATA!$B$3:$B$10000,DATA!$W$3:$W$10000),"No encontrado"))</f>
        <v/>
      </c>
      <c r="E553" s="22"/>
      <c r="F553" s="23" t="str">
        <f aca="false">IF(A553="","",IFERROR(buscarx(A553&amp;E553,DATA!$E$3:$E$10000&amp;DATA!$B$3:$B$10000,DATA!$M$3:$M$10000),"Inactivo"))</f>
        <v/>
      </c>
      <c r="G553" s="25" t="str">
        <f aca="false">IF(A553="","",IF(AND(C553&lt;&gt;"No encontrado",F553&lt;&gt;"Inactivo"),C553&amp;" → "&amp;F553,"Sin transición"))</f>
        <v/>
      </c>
      <c r="H553" s="23" t="str">
        <f aca="false">IF(A553="","",IF(D553="GCIA LINEA SERVICIO DIGITALIDAD Y VENTAS","Chats",IF(OR(D553="GERENCIA INBOUND LÍNEAS SERVICIO Y VENTA",D553="GERENCIA INBOUND LINEAS ESPECIALIZADAS"),"Llamadas","Otro")))</f>
        <v/>
      </c>
      <c r="I553" s="23" t="str">
        <f aca="false">IF(A553="","",IF(C553="No encontrado","No","Sí"))</f>
        <v/>
      </c>
      <c r="J553" s="23" t="str">
        <f aca="false">IF(A553="","",IF(F553="Inactivo","No","Sí"))</f>
        <v/>
      </c>
      <c r="K553" s="23" t="str">
        <f aca="false">IF(A553="","",IF(AND(I553="Sí",J553="Sí"),"Sí","No"))</f>
        <v/>
      </c>
    </row>
    <row r="554" customFormat="false" ht="15" hidden="false" customHeight="false" outlineLevel="0" collapsed="false">
      <c r="A554" s="22"/>
      <c r="B554" s="22"/>
      <c r="C554" s="26" t="str">
        <f aca="false">IF(A554="","",IFERROR(buscarx(A554&amp;B554,DATA!$E$3:$E$10000&amp;DATA!$B$3:$B$10000,DATA!$M$3:$M$10000),"No encontrado"))</f>
        <v/>
      </c>
      <c r="D554" s="27" t="str">
        <f aca="false">IF(A554="","",IFERROR(buscarx(A554&amp;B554,DATA!$E$3:$E$10000&amp;DATA!$B$3:$B$10000,DATA!$W$3:$W$10000),"No encontrado"))</f>
        <v/>
      </c>
      <c r="E554" s="22"/>
      <c r="F554" s="26" t="str">
        <f aca="false">IF(A554="","",IFERROR(buscarx(A554&amp;E554,DATA!$E$3:$E$10000&amp;DATA!$B$3:$B$10000,DATA!$M$3:$M$10000),"Inactivo"))</f>
        <v/>
      </c>
      <c r="G554" s="28" t="str">
        <f aca="false">IF(A554="","",IF(AND(C554&lt;&gt;"No encontrado",F554&lt;&gt;"Inactivo"),C554&amp;" → "&amp;F554,"Sin transición"))</f>
        <v/>
      </c>
      <c r="H554" s="26" t="str">
        <f aca="false">IF(A554="","",IF(D554="GCIA LINEA SERVICIO DIGITALIDAD Y VENTAS","Chats",IF(OR(D554="GERENCIA INBOUND LÍNEAS SERVICIO Y VENTA",D554="GERENCIA INBOUND LINEAS ESPECIALIZADAS"),"Llamadas","Otro")))</f>
        <v/>
      </c>
      <c r="I554" s="26" t="str">
        <f aca="false">IF(A554="","",IF(C554="No encontrado","No","Sí"))</f>
        <v/>
      </c>
      <c r="J554" s="26" t="str">
        <f aca="false">IF(A554="","",IF(F554="Inactivo","No","Sí"))</f>
        <v/>
      </c>
      <c r="K554" s="26" t="str">
        <f aca="false">IF(A554="","",IF(AND(I554="Sí",J554="Sí"),"Sí","No"))</f>
        <v/>
      </c>
    </row>
    <row r="555" customFormat="false" ht="15" hidden="false" customHeight="false" outlineLevel="0" collapsed="false">
      <c r="A555" s="22"/>
      <c r="B555" s="22"/>
      <c r="C555" s="23" t="str">
        <f aca="false">IF(A555="","",IFERROR(buscarx(A555&amp;B555,DATA!$E$3:$E$10000&amp;DATA!$B$3:$B$10000,DATA!$M$3:$M$10000),"No encontrado"))</f>
        <v/>
      </c>
      <c r="D555" s="24" t="str">
        <f aca="false">IF(A555="","",IFERROR(buscarx(A555&amp;B555,DATA!$E$3:$E$10000&amp;DATA!$B$3:$B$10000,DATA!$W$3:$W$10000),"No encontrado"))</f>
        <v/>
      </c>
      <c r="E555" s="22"/>
      <c r="F555" s="23" t="str">
        <f aca="false">IF(A555="","",IFERROR(buscarx(A555&amp;E555,DATA!$E$3:$E$10000&amp;DATA!$B$3:$B$10000,DATA!$M$3:$M$10000),"Inactivo"))</f>
        <v/>
      </c>
      <c r="G555" s="25" t="str">
        <f aca="false">IF(A555="","",IF(AND(C555&lt;&gt;"No encontrado",F555&lt;&gt;"Inactivo"),C555&amp;" → "&amp;F555,"Sin transición"))</f>
        <v/>
      </c>
      <c r="H555" s="23" t="str">
        <f aca="false">IF(A555="","",IF(D555="GCIA LINEA SERVICIO DIGITALIDAD Y VENTAS","Chats",IF(OR(D555="GERENCIA INBOUND LÍNEAS SERVICIO Y VENTA",D555="GERENCIA INBOUND LINEAS ESPECIALIZADAS"),"Llamadas","Otro")))</f>
        <v/>
      </c>
      <c r="I555" s="23" t="str">
        <f aca="false">IF(A555="","",IF(C555="No encontrado","No","Sí"))</f>
        <v/>
      </c>
      <c r="J555" s="23" t="str">
        <f aca="false">IF(A555="","",IF(F555="Inactivo","No","Sí"))</f>
        <v/>
      </c>
      <c r="K555" s="23" t="str">
        <f aca="false">IF(A555="","",IF(AND(I555="Sí",J555="Sí"),"Sí","No"))</f>
        <v/>
      </c>
    </row>
    <row r="556" customFormat="false" ht="15" hidden="false" customHeight="false" outlineLevel="0" collapsed="false">
      <c r="A556" s="22"/>
      <c r="B556" s="22"/>
      <c r="C556" s="26" t="str">
        <f aca="false">IF(A556="","",IFERROR(buscarx(A556&amp;B556,DATA!$E$3:$E$10000&amp;DATA!$B$3:$B$10000,DATA!$M$3:$M$10000),"No encontrado"))</f>
        <v/>
      </c>
      <c r="D556" s="27" t="str">
        <f aca="false">IF(A556="","",IFERROR(buscarx(A556&amp;B556,DATA!$E$3:$E$10000&amp;DATA!$B$3:$B$10000,DATA!$W$3:$W$10000),"No encontrado"))</f>
        <v/>
      </c>
      <c r="E556" s="22"/>
      <c r="F556" s="26" t="str">
        <f aca="false">IF(A556="","",IFERROR(buscarx(A556&amp;E556,DATA!$E$3:$E$10000&amp;DATA!$B$3:$B$10000,DATA!$M$3:$M$10000),"Inactivo"))</f>
        <v/>
      </c>
      <c r="G556" s="28" t="str">
        <f aca="false">IF(A556="","",IF(AND(C556&lt;&gt;"No encontrado",F556&lt;&gt;"Inactivo"),C556&amp;" → "&amp;F556,"Sin transición"))</f>
        <v/>
      </c>
      <c r="H556" s="26" t="str">
        <f aca="false">IF(A556="","",IF(D556="GCIA LINEA SERVICIO DIGITALIDAD Y VENTAS","Chats",IF(OR(D556="GERENCIA INBOUND LÍNEAS SERVICIO Y VENTA",D556="GERENCIA INBOUND LINEAS ESPECIALIZADAS"),"Llamadas","Otro")))</f>
        <v/>
      </c>
      <c r="I556" s="26" t="str">
        <f aca="false">IF(A556="","",IF(C556="No encontrado","No","Sí"))</f>
        <v/>
      </c>
      <c r="J556" s="26" t="str">
        <f aca="false">IF(A556="","",IF(F556="Inactivo","No","Sí"))</f>
        <v/>
      </c>
      <c r="K556" s="26" t="str">
        <f aca="false">IF(A556="","",IF(AND(I556="Sí",J556="Sí"),"Sí","No"))</f>
        <v/>
      </c>
    </row>
    <row r="557" customFormat="false" ht="15" hidden="false" customHeight="false" outlineLevel="0" collapsed="false">
      <c r="A557" s="22"/>
      <c r="B557" s="22"/>
      <c r="C557" s="23" t="str">
        <f aca="false">IF(A557="","",IFERROR(buscarx(A557&amp;B557,DATA!$E$3:$E$10000&amp;DATA!$B$3:$B$10000,DATA!$M$3:$M$10000),"No encontrado"))</f>
        <v/>
      </c>
      <c r="D557" s="24" t="str">
        <f aca="false">IF(A557="","",IFERROR(buscarx(A557&amp;B557,DATA!$E$3:$E$10000&amp;DATA!$B$3:$B$10000,DATA!$W$3:$W$10000),"No encontrado"))</f>
        <v/>
      </c>
      <c r="E557" s="22"/>
      <c r="F557" s="23" t="str">
        <f aca="false">IF(A557="","",IFERROR(buscarx(A557&amp;E557,DATA!$E$3:$E$10000&amp;DATA!$B$3:$B$10000,DATA!$M$3:$M$10000),"Inactivo"))</f>
        <v/>
      </c>
      <c r="G557" s="25" t="str">
        <f aca="false">IF(A557="","",IF(AND(C557&lt;&gt;"No encontrado",F557&lt;&gt;"Inactivo"),C557&amp;" → "&amp;F557,"Sin transición"))</f>
        <v/>
      </c>
      <c r="H557" s="23" t="str">
        <f aca="false">IF(A557="","",IF(D557="GCIA LINEA SERVICIO DIGITALIDAD Y VENTAS","Chats",IF(OR(D557="GERENCIA INBOUND LÍNEAS SERVICIO Y VENTA",D557="GERENCIA INBOUND LINEAS ESPECIALIZADAS"),"Llamadas","Otro")))</f>
        <v/>
      </c>
      <c r="I557" s="23" t="str">
        <f aca="false">IF(A557="","",IF(C557="No encontrado","No","Sí"))</f>
        <v/>
      </c>
      <c r="J557" s="23" t="str">
        <f aca="false">IF(A557="","",IF(F557="Inactivo","No","Sí"))</f>
        <v/>
      </c>
      <c r="K557" s="23" t="str">
        <f aca="false">IF(A557="","",IF(AND(I557="Sí",J557="Sí"),"Sí","No"))</f>
        <v/>
      </c>
    </row>
    <row r="558" customFormat="false" ht="15" hidden="false" customHeight="false" outlineLevel="0" collapsed="false">
      <c r="A558" s="22"/>
      <c r="B558" s="22"/>
      <c r="C558" s="26" t="str">
        <f aca="false">IF(A558="","",IFERROR(buscarx(A558&amp;B558,DATA!$E$3:$E$10000&amp;DATA!$B$3:$B$10000,DATA!$M$3:$M$10000),"No encontrado"))</f>
        <v/>
      </c>
      <c r="D558" s="27" t="str">
        <f aca="false">IF(A558="","",IFERROR(buscarx(A558&amp;B558,DATA!$E$3:$E$10000&amp;DATA!$B$3:$B$10000,DATA!$W$3:$W$10000),"No encontrado"))</f>
        <v/>
      </c>
      <c r="E558" s="22"/>
      <c r="F558" s="26" t="str">
        <f aca="false">IF(A558="","",IFERROR(buscarx(A558&amp;E558,DATA!$E$3:$E$10000&amp;DATA!$B$3:$B$10000,DATA!$M$3:$M$10000),"Inactivo"))</f>
        <v/>
      </c>
      <c r="G558" s="28" t="str">
        <f aca="false">IF(A558="","",IF(AND(C558&lt;&gt;"No encontrado",F558&lt;&gt;"Inactivo"),C558&amp;" → "&amp;F558,"Sin transición"))</f>
        <v/>
      </c>
      <c r="H558" s="26" t="str">
        <f aca="false">IF(A558="","",IF(D558="GCIA LINEA SERVICIO DIGITALIDAD Y VENTAS","Chats",IF(OR(D558="GERENCIA INBOUND LÍNEAS SERVICIO Y VENTA",D558="GERENCIA INBOUND LINEAS ESPECIALIZADAS"),"Llamadas","Otro")))</f>
        <v/>
      </c>
      <c r="I558" s="26" t="str">
        <f aca="false">IF(A558="","",IF(C558="No encontrado","No","Sí"))</f>
        <v/>
      </c>
      <c r="J558" s="26" t="str">
        <f aca="false">IF(A558="","",IF(F558="Inactivo","No","Sí"))</f>
        <v/>
      </c>
      <c r="K558" s="26" t="str">
        <f aca="false">IF(A558="","",IF(AND(I558="Sí",J558="Sí"),"Sí","No"))</f>
        <v/>
      </c>
    </row>
    <row r="559" customFormat="false" ht="15" hidden="false" customHeight="false" outlineLevel="0" collapsed="false">
      <c r="A559" s="22"/>
      <c r="B559" s="22"/>
      <c r="C559" s="23" t="str">
        <f aca="false">IF(A559="","",IFERROR(buscarx(A559&amp;B559,DATA!$E$3:$E$10000&amp;DATA!$B$3:$B$10000,DATA!$M$3:$M$10000),"No encontrado"))</f>
        <v/>
      </c>
      <c r="D559" s="24" t="str">
        <f aca="false">IF(A559="","",IFERROR(buscarx(A559&amp;B559,DATA!$E$3:$E$10000&amp;DATA!$B$3:$B$10000,DATA!$W$3:$W$10000),"No encontrado"))</f>
        <v/>
      </c>
      <c r="E559" s="22"/>
      <c r="F559" s="23" t="str">
        <f aca="false">IF(A559="","",IFERROR(buscarx(A559&amp;E559,DATA!$E$3:$E$10000&amp;DATA!$B$3:$B$10000,DATA!$M$3:$M$10000),"Inactivo"))</f>
        <v/>
      </c>
      <c r="G559" s="25" t="str">
        <f aca="false">IF(A559="","",IF(AND(C559&lt;&gt;"No encontrado",F559&lt;&gt;"Inactivo"),C559&amp;" → "&amp;F559,"Sin transición"))</f>
        <v/>
      </c>
      <c r="H559" s="23" t="str">
        <f aca="false">IF(A559="","",IF(D559="GCIA LINEA SERVICIO DIGITALIDAD Y VENTAS","Chats",IF(OR(D559="GERENCIA INBOUND LÍNEAS SERVICIO Y VENTA",D559="GERENCIA INBOUND LINEAS ESPECIALIZADAS"),"Llamadas","Otro")))</f>
        <v/>
      </c>
      <c r="I559" s="23" t="str">
        <f aca="false">IF(A559="","",IF(C559="No encontrado","No","Sí"))</f>
        <v/>
      </c>
      <c r="J559" s="23" t="str">
        <f aca="false">IF(A559="","",IF(F559="Inactivo","No","Sí"))</f>
        <v/>
      </c>
      <c r="K559" s="23" t="str">
        <f aca="false">IF(A559="","",IF(AND(I559="Sí",J559="Sí"),"Sí","No"))</f>
        <v/>
      </c>
    </row>
    <row r="560" customFormat="false" ht="15" hidden="false" customHeight="false" outlineLevel="0" collapsed="false">
      <c r="A560" s="22"/>
      <c r="B560" s="22"/>
      <c r="C560" s="26" t="str">
        <f aca="false">IF(A560="","",IFERROR(buscarx(A560&amp;B560,DATA!$E$3:$E$10000&amp;DATA!$B$3:$B$10000,DATA!$M$3:$M$10000),"No encontrado"))</f>
        <v/>
      </c>
      <c r="D560" s="27" t="str">
        <f aca="false">IF(A560="","",IFERROR(buscarx(A560&amp;B560,DATA!$E$3:$E$10000&amp;DATA!$B$3:$B$10000,DATA!$W$3:$W$10000),"No encontrado"))</f>
        <v/>
      </c>
      <c r="E560" s="22"/>
      <c r="F560" s="26" t="str">
        <f aca="false">IF(A560="","",IFERROR(buscarx(A560&amp;E560,DATA!$E$3:$E$10000&amp;DATA!$B$3:$B$10000,DATA!$M$3:$M$10000),"Inactivo"))</f>
        <v/>
      </c>
      <c r="G560" s="28" t="str">
        <f aca="false">IF(A560="","",IF(AND(C560&lt;&gt;"No encontrado",F560&lt;&gt;"Inactivo"),C560&amp;" → "&amp;F560,"Sin transición"))</f>
        <v/>
      </c>
      <c r="H560" s="26" t="str">
        <f aca="false">IF(A560="","",IF(D560="GCIA LINEA SERVICIO DIGITALIDAD Y VENTAS","Chats",IF(OR(D560="GERENCIA INBOUND LÍNEAS SERVICIO Y VENTA",D560="GERENCIA INBOUND LINEAS ESPECIALIZADAS"),"Llamadas","Otro")))</f>
        <v/>
      </c>
      <c r="I560" s="26" t="str">
        <f aca="false">IF(A560="","",IF(C560="No encontrado","No","Sí"))</f>
        <v/>
      </c>
      <c r="J560" s="26" t="str">
        <f aca="false">IF(A560="","",IF(F560="Inactivo","No","Sí"))</f>
        <v/>
      </c>
      <c r="K560" s="26" t="str">
        <f aca="false">IF(A560="","",IF(AND(I560="Sí",J560="Sí"),"Sí","No"))</f>
        <v/>
      </c>
    </row>
    <row r="561" customFormat="false" ht="15" hidden="false" customHeight="false" outlineLevel="0" collapsed="false">
      <c r="A561" s="22"/>
      <c r="B561" s="22"/>
      <c r="C561" s="23" t="str">
        <f aca="false">IF(A561="","",IFERROR(buscarx(A561&amp;B561,DATA!$E$3:$E$10000&amp;DATA!$B$3:$B$10000,DATA!$M$3:$M$10000),"No encontrado"))</f>
        <v/>
      </c>
      <c r="D561" s="24" t="str">
        <f aca="false">IF(A561="","",IFERROR(buscarx(A561&amp;B561,DATA!$E$3:$E$10000&amp;DATA!$B$3:$B$10000,DATA!$W$3:$W$10000),"No encontrado"))</f>
        <v/>
      </c>
      <c r="E561" s="22"/>
      <c r="F561" s="23" t="str">
        <f aca="false">IF(A561="","",IFERROR(buscarx(A561&amp;E561,DATA!$E$3:$E$10000&amp;DATA!$B$3:$B$10000,DATA!$M$3:$M$10000),"Inactivo"))</f>
        <v/>
      </c>
      <c r="G561" s="25" t="str">
        <f aca="false">IF(A561="","",IF(AND(C561&lt;&gt;"No encontrado",F561&lt;&gt;"Inactivo"),C561&amp;" → "&amp;F561,"Sin transición"))</f>
        <v/>
      </c>
      <c r="H561" s="23" t="str">
        <f aca="false">IF(A561="","",IF(D561="GCIA LINEA SERVICIO DIGITALIDAD Y VENTAS","Chats",IF(OR(D561="GERENCIA INBOUND LÍNEAS SERVICIO Y VENTA",D561="GERENCIA INBOUND LINEAS ESPECIALIZADAS"),"Llamadas","Otro")))</f>
        <v/>
      </c>
      <c r="I561" s="23" t="str">
        <f aca="false">IF(A561="","",IF(C561="No encontrado","No","Sí"))</f>
        <v/>
      </c>
      <c r="J561" s="23" t="str">
        <f aca="false">IF(A561="","",IF(F561="Inactivo","No","Sí"))</f>
        <v/>
      </c>
      <c r="K561" s="23" t="str">
        <f aca="false">IF(A561="","",IF(AND(I561="Sí",J561="Sí"),"Sí","No"))</f>
        <v/>
      </c>
    </row>
    <row r="562" customFormat="false" ht="15" hidden="false" customHeight="false" outlineLevel="0" collapsed="false">
      <c r="A562" s="22"/>
      <c r="B562" s="22"/>
      <c r="C562" s="26" t="str">
        <f aca="false">IF(A562="","",IFERROR(buscarx(A562&amp;B562,DATA!$E$3:$E$10000&amp;DATA!$B$3:$B$10000,DATA!$M$3:$M$10000),"No encontrado"))</f>
        <v/>
      </c>
      <c r="D562" s="27" t="str">
        <f aca="false">IF(A562="","",IFERROR(buscarx(A562&amp;B562,DATA!$E$3:$E$10000&amp;DATA!$B$3:$B$10000,DATA!$W$3:$W$10000),"No encontrado"))</f>
        <v/>
      </c>
      <c r="E562" s="22"/>
      <c r="F562" s="26" t="str">
        <f aca="false">IF(A562="","",IFERROR(buscarx(A562&amp;E562,DATA!$E$3:$E$10000&amp;DATA!$B$3:$B$10000,DATA!$M$3:$M$10000),"Inactivo"))</f>
        <v/>
      </c>
      <c r="G562" s="28" t="str">
        <f aca="false">IF(A562="","",IF(AND(C562&lt;&gt;"No encontrado",F562&lt;&gt;"Inactivo"),C562&amp;" → "&amp;F562,"Sin transición"))</f>
        <v/>
      </c>
      <c r="H562" s="26" t="str">
        <f aca="false">IF(A562="","",IF(D562="GCIA LINEA SERVICIO DIGITALIDAD Y VENTAS","Chats",IF(OR(D562="GERENCIA INBOUND LÍNEAS SERVICIO Y VENTA",D562="GERENCIA INBOUND LINEAS ESPECIALIZADAS"),"Llamadas","Otro")))</f>
        <v/>
      </c>
      <c r="I562" s="26" t="str">
        <f aca="false">IF(A562="","",IF(C562="No encontrado","No","Sí"))</f>
        <v/>
      </c>
      <c r="J562" s="26" t="str">
        <f aca="false">IF(A562="","",IF(F562="Inactivo","No","Sí"))</f>
        <v/>
      </c>
      <c r="K562" s="26" t="str">
        <f aca="false">IF(A562="","",IF(AND(I562="Sí",J562="Sí"),"Sí","No"))</f>
        <v/>
      </c>
    </row>
    <row r="563" customFormat="false" ht="15" hidden="false" customHeight="false" outlineLevel="0" collapsed="false">
      <c r="A563" s="22"/>
      <c r="B563" s="22"/>
      <c r="C563" s="23" t="str">
        <f aca="false">IF(A563="","",IFERROR(buscarx(A563&amp;B563,DATA!$E$3:$E$10000&amp;DATA!$B$3:$B$10000,DATA!$M$3:$M$10000),"No encontrado"))</f>
        <v/>
      </c>
      <c r="D563" s="24" t="str">
        <f aca="false">IF(A563="","",IFERROR(buscarx(A563&amp;B563,DATA!$E$3:$E$10000&amp;DATA!$B$3:$B$10000,DATA!$W$3:$W$10000),"No encontrado"))</f>
        <v/>
      </c>
      <c r="E563" s="22"/>
      <c r="F563" s="23" t="str">
        <f aca="false">IF(A563="","",IFERROR(buscarx(A563&amp;E563,DATA!$E$3:$E$10000&amp;DATA!$B$3:$B$10000,DATA!$M$3:$M$10000),"Inactivo"))</f>
        <v/>
      </c>
      <c r="G563" s="25" t="str">
        <f aca="false">IF(A563="","",IF(AND(C563&lt;&gt;"No encontrado",F563&lt;&gt;"Inactivo"),C563&amp;" → "&amp;F563,"Sin transición"))</f>
        <v/>
      </c>
      <c r="H563" s="23" t="str">
        <f aca="false">IF(A563="","",IF(D563="GCIA LINEA SERVICIO DIGITALIDAD Y VENTAS","Chats",IF(OR(D563="GERENCIA INBOUND LÍNEAS SERVICIO Y VENTA",D563="GERENCIA INBOUND LINEAS ESPECIALIZADAS"),"Llamadas","Otro")))</f>
        <v/>
      </c>
      <c r="I563" s="23" t="str">
        <f aca="false">IF(A563="","",IF(C563="No encontrado","No","Sí"))</f>
        <v/>
      </c>
      <c r="J563" s="23" t="str">
        <f aca="false">IF(A563="","",IF(F563="Inactivo","No","Sí"))</f>
        <v/>
      </c>
      <c r="K563" s="23" t="str">
        <f aca="false">IF(A563="","",IF(AND(I563="Sí",J563="Sí"),"Sí","No"))</f>
        <v/>
      </c>
    </row>
    <row r="564" customFormat="false" ht="15" hidden="false" customHeight="false" outlineLevel="0" collapsed="false">
      <c r="A564" s="22"/>
      <c r="B564" s="22"/>
      <c r="C564" s="26" t="str">
        <f aca="false">IF(A564="","",IFERROR(buscarx(A564&amp;B564,DATA!$E$3:$E$10000&amp;DATA!$B$3:$B$10000,DATA!$M$3:$M$10000),"No encontrado"))</f>
        <v/>
      </c>
      <c r="D564" s="27" t="str">
        <f aca="false">IF(A564="","",IFERROR(buscarx(A564&amp;B564,DATA!$E$3:$E$10000&amp;DATA!$B$3:$B$10000,DATA!$W$3:$W$10000),"No encontrado"))</f>
        <v/>
      </c>
      <c r="E564" s="22"/>
      <c r="F564" s="26" t="str">
        <f aca="false">IF(A564="","",IFERROR(buscarx(A564&amp;E564,DATA!$E$3:$E$10000&amp;DATA!$B$3:$B$10000,DATA!$M$3:$M$10000),"Inactivo"))</f>
        <v/>
      </c>
      <c r="G564" s="28" t="str">
        <f aca="false">IF(A564="","",IF(AND(C564&lt;&gt;"No encontrado",F564&lt;&gt;"Inactivo"),C564&amp;" → "&amp;F564,"Sin transición"))</f>
        <v/>
      </c>
      <c r="H564" s="26" t="str">
        <f aca="false">IF(A564="","",IF(D564="GCIA LINEA SERVICIO DIGITALIDAD Y VENTAS","Chats",IF(OR(D564="GERENCIA INBOUND LÍNEAS SERVICIO Y VENTA",D564="GERENCIA INBOUND LINEAS ESPECIALIZADAS"),"Llamadas","Otro")))</f>
        <v/>
      </c>
      <c r="I564" s="26" t="str">
        <f aca="false">IF(A564="","",IF(C564="No encontrado","No","Sí"))</f>
        <v/>
      </c>
      <c r="J564" s="26" t="str">
        <f aca="false">IF(A564="","",IF(F564="Inactivo","No","Sí"))</f>
        <v/>
      </c>
      <c r="K564" s="26" t="str">
        <f aca="false">IF(A564="","",IF(AND(I564="Sí",J564="Sí"),"Sí","No"))</f>
        <v/>
      </c>
    </row>
    <row r="565" customFormat="false" ht="15" hidden="false" customHeight="false" outlineLevel="0" collapsed="false">
      <c r="A565" s="22"/>
      <c r="B565" s="22"/>
      <c r="C565" s="23" t="str">
        <f aca="false">IF(A565="","",IFERROR(buscarx(A565&amp;B565,DATA!$E$3:$E$10000&amp;DATA!$B$3:$B$10000,DATA!$M$3:$M$10000),"No encontrado"))</f>
        <v/>
      </c>
      <c r="D565" s="24" t="str">
        <f aca="false">IF(A565="","",IFERROR(buscarx(A565&amp;B565,DATA!$E$3:$E$10000&amp;DATA!$B$3:$B$10000,DATA!$W$3:$W$10000),"No encontrado"))</f>
        <v/>
      </c>
      <c r="E565" s="22"/>
      <c r="F565" s="23" t="str">
        <f aca="false">IF(A565="","",IFERROR(buscarx(A565&amp;E565,DATA!$E$3:$E$10000&amp;DATA!$B$3:$B$10000,DATA!$M$3:$M$10000),"Inactivo"))</f>
        <v/>
      </c>
      <c r="G565" s="25" t="str">
        <f aca="false">IF(A565="","",IF(AND(C565&lt;&gt;"No encontrado",F565&lt;&gt;"Inactivo"),C565&amp;" → "&amp;F565,"Sin transición"))</f>
        <v/>
      </c>
      <c r="H565" s="23" t="str">
        <f aca="false">IF(A565="","",IF(D565="GCIA LINEA SERVICIO DIGITALIDAD Y VENTAS","Chats",IF(OR(D565="GERENCIA INBOUND LÍNEAS SERVICIO Y VENTA",D565="GERENCIA INBOUND LINEAS ESPECIALIZADAS"),"Llamadas","Otro")))</f>
        <v/>
      </c>
      <c r="I565" s="23" t="str">
        <f aca="false">IF(A565="","",IF(C565="No encontrado","No","Sí"))</f>
        <v/>
      </c>
      <c r="J565" s="23" t="str">
        <f aca="false">IF(A565="","",IF(F565="Inactivo","No","Sí"))</f>
        <v/>
      </c>
      <c r="K565" s="23" t="str">
        <f aca="false">IF(A565="","",IF(AND(I565="Sí",J565="Sí"),"Sí","No"))</f>
        <v/>
      </c>
    </row>
    <row r="566" customFormat="false" ht="15" hidden="false" customHeight="false" outlineLevel="0" collapsed="false">
      <c r="A566" s="22"/>
      <c r="B566" s="22"/>
      <c r="C566" s="26" t="str">
        <f aca="false">IF(A566="","",IFERROR(buscarx(A566&amp;B566,DATA!$E$3:$E$10000&amp;DATA!$B$3:$B$10000,DATA!$M$3:$M$10000),"No encontrado"))</f>
        <v/>
      </c>
      <c r="D566" s="27" t="str">
        <f aca="false">IF(A566="","",IFERROR(buscarx(A566&amp;B566,DATA!$E$3:$E$10000&amp;DATA!$B$3:$B$10000,DATA!$W$3:$W$10000),"No encontrado"))</f>
        <v/>
      </c>
      <c r="E566" s="22"/>
      <c r="F566" s="26" t="str">
        <f aca="false">IF(A566="","",IFERROR(buscarx(A566&amp;E566,DATA!$E$3:$E$10000&amp;DATA!$B$3:$B$10000,DATA!$M$3:$M$10000),"Inactivo"))</f>
        <v/>
      </c>
      <c r="G566" s="28" t="str">
        <f aca="false">IF(A566="","",IF(AND(C566&lt;&gt;"No encontrado",F566&lt;&gt;"Inactivo"),C566&amp;" → "&amp;F566,"Sin transición"))</f>
        <v/>
      </c>
      <c r="H566" s="26" t="str">
        <f aca="false">IF(A566="","",IF(D566="GCIA LINEA SERVICIO DIGITALIDAD Y VENTAS","Chats",IF(OR(D566="GERENCIA INBOUND LÍNEAS SERVICIO Y VENTA",D566="GERENCIA INBOUND LINEAS ESPECIALIZADAS"),"Llamadas","Otro")))</f>
        <v/>
      </c>
      <c r="I566" s="26" t="str">
        <f aca="false">IF(A566="","",IF(C566="No encontrado","No","Sí"))</f>
        <v/>
      </c>
      <c r="J566" s="26" t="str">
        <f aca="false">IF(A566="","",IF(F566="Inactivo","No","Sí"))</f>
        <v/>
      </c>
      <c r="K566" s="26" t="str">
        <f aca="false">IF(A566="","",IF(AND(I566="Sí",J566="Sí"),"Sí","No"))</f>
        <v/>
      </c>
    </row>
    <row r="567" customFormat="false" ht="15" hidden="false" customHeight="false" outlineLevel="0" collapsed="false">
      <c r="A567" s="22"/>
      <c r="B567" s="22"/>
      <c r="C567" s="23" t="str">
        <f aca="false">IF(A567="","",IFERROR(buscarx(A567&amp;B567,DATA!$E$3:$E$10000&amp;DATA!$B$3:$B$10000,DATA!$M$3:$M$10000),"No encontrado"))</f>
        <v/>
      </c>
      <c r="D567" s="24" t="str">
        <f aca="false">IF(A567="","",IFERROR(buscarx(A567&amp;B567,DATA!$E$3:$E$10000&amp;DATA!$B$3:$B$10000,DATA!$W$3:$W$10000),"No encontrado"))</f>
        <v/>
      </c>
      <c r="E567" s="22"/>
      <c r="F567" s="23" t="str">
        <f aca="false">IF(A567="","",IFERROR(buscarx(A567&amp;E567,DATA!$E$3:$E$10000&amp;DATA!$B$3:$B$10000,DATA!$M$3:$M$10000),"Inactivo"))</f>
        <v/>
      </c>
      <c r="G567" s="25" t="str">
        <f aca="false">IF(A567="","",IF(AND(C567&lt;&gt;"No encontrado",F567&lt;&gt;"Inactivo"),C567&amp;" → "&amp;F567,"Sin transición"))</f>
        <v/>
      </c>
      <c r="H567" s="23" t="str">
        <f aca="false">IF(A567="","",IF(D567="GCIA LINEA SERVICIO DIGITALIDAD Y VENTAS","Chats",IF(OR(D567="GERENCIA INBOUND LÍNEAS SERVICIO Y VENTA",D567="GERENCIA INBOUND LINEAS ESPECIALIZADAS"),"Llamadas","Otro")))</f>
        <v/>
      </c>
      <c r="I567" s="23" t="str">
        <f aca="false">IF(A567="","",IF(C567="No encontrado","No","Sí"))</f>
        <v/>
      </c>
      <c r="J567" s="23" t="str">
        <f aca="false">IF(A567="","",IF(F567="Inactivo","No","Sí"))</f>
        <v/>
      </c>
      <c r="K567" s="23" t="str">
        <f aca="false">IF(A567="","",IF(AND(I567="Sí",J567="Sí"),"Sí","No"))</f>
        <v/>
      </c>
    </row>
    <row r="568" customFormat="false" ht="15" hidden="false" customHeight="false" outlineLevel="0" collapsed="false">
      <c r="A568" s="22"/>
      <c r="B568" s="22"/>
      <c r="C568" s="26" t="str">
        <f aca="false">IF(A568="","",IFERROR(buscarx(A568&amp;B568,DATA!$E$3:$E$10000&amp;DATA!$B$3:$B$10000,DATA!$M$3:$M$10000),"No encontrado"))</f>
        <v/>
      </c>
      <c r="D568" s="27" t="str">
        <f aca="false">IF(A568="","",IFERROR(buscarx(A568&amp;B568,DATA!$E$3:$E$10000&amp;DATA!$B$3:$B$10000,DATA!$W$3:$W$10000),"No encontrado"))</f>
        <v/>
      </c>
      <c r="E568" s="22"/>
      <c r="F568" s="26" t="str">
        <f aca="false">IF(A568="","",IFERROR(buscarx(A568&amp;E568,DATA!$E$3:$E$10000&amp;DATA!$B$3:$B$10000,DATA!$M$3:$M$10000),"Inactivo"))</f>
        <v/>
      </c>
      <c r="G568" s="28" t="str">
        <f aca="false">IF(A568="","",IF(AND(C568&lt;&gt;"No encontrado",F568&lt;&gt;"Inactivo"),C568&amp;" → "&amp;F568,"Sin transición"))</f>
        <v/>
      </c>
      <c r="H568" s="26" t="str">
        <f aca="false">IF(A568="","",IF(D568="GCIA LINEA SERVICIO DIGITALIDAD Y VENTAS","Chats",IF(OR(D568="GERENCIA INBOUND LÍNEAS SERVICIO Y VENTA",D568="GERENCIA INBOUND LINEAS ESPECIALIZADAS"),"Llamadas","Otro")))</f>
        <v/>
      </c>
      <c r="I568" s="26" t="str">
        <f aca="false">IF(A568="","",IF(C568="No encontrado","No","Sí"))</f>
        <v/>
      </c>
      <c r="J568" s="26" t="str">
        <f aca="false">IF(A568="","",IF(F568="Inactivo","No","Sí"))</f>
        <v/>
      </c>
      <c r="K568" s="26" t="str">
        <f aca="false">IF(A568="","",IF(AND(I568="Sí",J568="Sí"),"Sí","No"))</f>
        <v/>
      </c>
    </row>
    <row r="569" customFormat="false" ht="15" hidden="false" customHeight="false" outlineLevel="0" collapsed="false">
      <c r="A569" s="22"/>
      <c r="B569" s="22"/>
      <c r="C569" s="23" t="str">
        <f aca="false">IF(A569="","",IFERROR(buscarx(A569&amp;B569,DATA!$E$3:$E$10000&amp;DATA!$B$3:$B$10000,DATA!$M$3:$M$10000),"No encontrado"))</f>
        <v/>
      </c>
      <c r="D569" s="24" t="str">
        <f aca="false">IF(A569="","",IFERROR(buscarx(A569&amp;B569,DATA!$E$3:$E$10000&amp;DATA!$B$3:$B$10000,DATA!$W$3:$W$10000),"No encontrado"))</f>
        <v/>
      </c>
      <c r="E569" s="22"/>
      <c r="F569" s="23" t="str">
        <f aca="false">IF(A569="","",IFERROR(buscarx(A569&amp;E569,DATA!$E$3:$E$10000&amp;DATA!$B$3:$B$10000,DATA!$M$3:$M$10000),"Inactivo"))</f>
        <v/>
      </c>
      <c r="G569" s="25" t="str">
        <f aca="false">IF(A569="","",IF(AND(C569&lt;&gt;"No encontrado",F569&lt;&gt;"Inactivo"),C569&amp;" → "&amp;F569,"Sin transición"))</f>
        <v/>
      </c>
      <c r="H569" s="23" t="str">
        <f aca="false">IF(A569="","",IF(D569="GCIA LINEA SERVICIO DIGITALIDAD Y VENTAS","Chats",IF(OR(D569="GERENCIA INBOUND LÍNEAS SERVICIO Y VENTA",D569="GERENCIA INBOUND LINEAS ESPECIALIZADAS"),"Llamadas","Otro")))</f>
        <v/>
      </c>
      <c r="I569" s="23" t="str">
        <f aca="false">IF(A569="","",IF(C569="No encontrado","No","Sí"))</f>
        <v/>
      </c>
      <c r="J569" s="23" t="str">
        <f aca="false">IF(A569="","",IF(F569="Inactivo","No","Sí"))</f>
        <v/>
      </c>
      <c r="K569" s="23" t="str">
        <f aca="false">IF(A569="","",IF(AND(I569="Sí",J569="Sí"),"Sí","No"))</f>
        <v/>
      </c>
    </row>
    <row r="570" customFormat="false" ht="15" hidden="false" customHeight="false" outlineLevel="0" collapsed="false">
      <c r="A570" s="22"/>
      <c r="B570" s="22"/>
      <c r="C570" s="26" t="str">
        <f aca="false">IF(A570="","",IFERROR(buscarx(A570&amp;B570,DATA!$E$3:$E$10000&amp;DATA!$B$3:$B$10000,DATA!$M$3:$M$10000),"No encontrado"))</f>
        <v/>
      </c>
      <c r="D570" s="27" t="str">
        <f aca="false">IF(A570="","",IFERROR(buscarx(A570&amp;B570,DATA!$E$3:$E$10000&amp;DATA!$B$3:$B$10000,DATA!$W$3:$W$10000),"No encontrado"))</f>
        <v/>
      </c>
      <c r="E570" s="22"/>
      <c r="F570" s="26" t="str">
        <f aca="false">IF(A570="","",IFERROR(buscarx(A570&amp;E570,DATA!$E$3:$E$10000&amp;DATA!$B$3:$B$10000,DATA!$M$3:$M$10000),"Inactivo"))</f>
        <v/>
      </c>
      <c r="G570" s="28" t="str">
        <f aca="false">IF(A570="","",IF(AND(C570&lt;&gt;"No encontrado",F570&lt;&gt;"Inactivo"),C570&amp;" → "&amp;F570,"Sin transición"))</f>
        <v/>
      </c>
      <c r="H570" s="26" t="str">
        <f aca="false">IF(A570="","",IF(D570="GCIA LINEA SERVICIO DIGITALIDAD Y VENTAS","Chats",IF(OR(D570="GERENCIA INBOUND LÍNEAS SERVICIO Y VENTA",D570="GERENCIA INBOUND LINEAS ESPECIALIZADAS"),"Llamadas","Otro")))</f>
        <v/>
      </c>
      <c r="I570" s="26" t="str">
        <f aca="false">IF(A570="","",IF(C570="No encontrado","No","Sí"))</f>
        <v/>
      </c>
      <c r="J570" s="26" t="str">
        <f aca="false">IF(A570="","",IF(F570="Inactivo","No","Sí"))</f>
        <v/>
      </c>
      <c r="K570" s="26" t="str">
        <f aca="false">IF(A570="","",IF(AND(I570="Sí",J570="Sí"),"Sí","No"))</f>
        <v/>
      </c>
    </row>
    <row r="571" customFormat="false" ht="15" hidden="false" customHeight="false" outlineLevel="0" collapsed="false">
      <c r="A571" s="22"/>
      <c r="B571" s="22"/>
      <c r="C571" s="23" t="str">
        <f aca="false">IF(A571="","",IFERROR(buscarx(A571&amp;B571,DATA!$E$3:$E$10000&amp;DATA!$B$3:$B$10000,DATA!$M$3:$M$10000),"No encontrado"))</f>
        <v/>
      </c>
      <c r="D571" s="24" t="str">
        <f aca="false">IF(A571="","",IFERROR(buscarx(A571&amp;B571,DATA!$E$3:$E$10000&amp;DATA!$B$3:$B$10000,DATA!$W$3:$W$10000),"No encontrado"))</f>
        <v/>
      </c>
      <c r="E571" s="22"/>
      <c r="F571" s="23" t="str">
        <f aca="false">IF(A571="","",IFERROR(buscarx(A571&amp;E571,DATA!$E$3:$E$10000&amp;DATA!$B$3:$B$10000,DATA!$M$3:$M$10000),"Inactivo"))</f>
        <v/>
      </c>
      <c r="G571" s="25" t="str">
        <f aca="false">IF(A571="","",IF(AND(C571&lt;&gt;"No encontrado",F571&lt;&gt;"Inactivo"),C571&amp;" → "&amp;F571,"Sin transición"))</f>
        <v/>
      </c>
      <c r="H571" s="23" t="str">
        <f aca="false">IF(A571="","",IF(D571="GCIA LINEA SERVICIO DIGITALIDAD Y VENTAS","Chats",IF(OR(D571="GERENCIA INBOUND LÍNEAS SERVICIO Y VENTA",D571="GERENCIA INBOUND LINEAS ESPECIALIZADAS"),"Llamadas","Otro")))</f>
        <v/>
      </c>
      <c r="I571" s="23" t="str">
        <f aca="false">IF(A571="","",IF(C571="No encontrado","No","Sí"))</f>
        <v/>
      </c>
      <c r="J571" s="23" t="str">
        <f aca="false">IF(A571="","",IF(F571="Inactivo","No","Sí"))</f>
        <v/>
      </c>
      <c r="K571" s="23" t="str">
        <f aca="false">IF(A571="","",IF(AND(I571="Sí",J571="Sí"),"Sí","No"))</f>
        <v/>
      </c>
    </row>
    <row r="572" customFormat="false" ht="15" hidden="false" customHeight="false" outlineLevel="0" collapsed="false">
      <c r="A572" s="22"/>
      <c r="B572" s="22"/>
      <c r="C572" s="26" t="str">
        <f aca="false">IF(A572="","",IFERROR(buscarx(A572&amp;B572,DATA!$E$3:$E$10000&amp;DATA!$B$3:$B$10000,DATA!$M$3:$M$10000),"No encontrado"))</f>
        <v/>
      </c>
      <c r="D572" s="27" t="str">
        <f aca="false">IF(A572="","",IFERROR(buscarx(A572&amp;B572,DATA!$E$3:$E$10000&amp;DATA!$B$3:$B$10000,DATA!$W$3:$W$10000),"No encontrado"))</f>
        <v/>
      </c>
      <c r="E572" s="22"/>
      <c r="F572" s="26" t="str">
        <f aca="false">IF(A572="","",IFERROR(buscarx(A572&amp;E572,DATA!$E$3:$E$10000&amp;DATA!$B$3:$B$10000,DATA!$M$3:$M$10000),"Inactivo"))</f>
        <v/>
      </c>
      <c r="G572" s="28" t="str">
        <f aca="false">IF(A572="","",IF(AND(C572&lt;&gt;"No encontrado",F572&lt;&gt;"Inactivo"),C572&amp;" → "&amp;F572,"Sin transición"))</f>
        <v/>
      </c>
      <c r="H572" s="26" t="str">
        <f aca="false">IF(A572="","",IF(D572="GCIA LINEA SERVICIO DIGITALIDAD Y VENTAS","Chats",IF(OR(D572="GERENCIA INBOUND LÍNEAS SERVICIO Y VENTA",D572="GERENCIA INBOUND LINEAS ESPECIALIZADAS"),"Llamadas","Otro")))</f>
        <v/>
      </c>
      <c r="I572" s="26" t="str">
        <f aca="false">IF(A572="","",IF(C572="No encontrado","No","Sí"))</f>
        <v/>
      </c>
      <c r="J572" s="26" t="str">
        <f aca="false">IF(A572="","",IF(F572="Inactivo","No","Sí"))</f>
        <v/>
      </c>
      <c r="K572" s="26" t="str">
        <f aca="false">IF(A572="","",IF(AND(I572="Sí",J572="Sí"),"Sí","No"))</f>
        <v/>
      </c>
    </row>
    <row r="573" customFormat="false" ht="15" hidden="false" customHeight="false" outlineLevel="0" collapsed="false">
      <c r="A573" s="22"/>
      <c r="B573" s="22"/>
      <c r="C573" s="23" t="str">
        <f aca="false">IF(A573="","",IFERROR(buscarx(A573&amp;B573,DATA!$E$3:$E$10000&amp;DATA!$B$3:$B$10000,DATA!$M$3:$M$10000),"No encontrado"))</f>
        <v/>
      </c>
      <c r="D573" s="24" t="str">
        <f aca="false">IF(A573="","",IFERROR(buscarx(A573&amp;B573,DATA!$E$3:$E$10000&amp;DATA!$B$3:$B$10000,DATA!$W$3:$W$10000),"No encontrado"))</f>
        <v/>
      </c>
      <c r="E573" s="22"/>
      <c r="F573" s="23" t="str">
        <f aca="false">IF(A573="","",IFERROR(buscarx(A573&amp;E573,DATA!$E$3:$E$10000&amp;DATA!$B$3:$B$10000,DATA!$M$3:$M$10000),"Inactivo"))</f>
        <v/>
      </c>
      <c r="G573" s="25" t="str">
        <f aca="false">IF(A573="","",IF(AND(C573&lt;&gt;"No encontrado",F573&lt;&gt;"Inactivo"),C573&amp;" → "&amp;F573,"Sin transición"))</f>
        <v/>
      </c>
      <c r="H573" s="23" t="str">
        <f aca="false">IF(A573="","",IF(D573="GCIA LINEA SERVICIO DIGITALIDAD Y VENTAS","Chats",IF(OR(D573="GERENCIA INBOUND LÍNEAS SERVICIO Y VENTA",D573="GERENCIA INBOUND LINEAS ESPECIALIZADAS"),"Llamadas","Otro")))</f>
        <v/>
      </c>
      <c r="I573" s="23" t="str">
        <f aca="false">IF(A573="","",IF(C573="No encontrado","No","Sí"))</f>
        <v/>
      </c>
      <c r="J573" s="23" t="str">
        <f aca="false">IF(A573="","",IF(F573="Inactivo","No","Sí"))</f>
        <v/>
      </c>
      <c r="K573" s="23" t="str">
        <f aca="false">IF(A573="","",IF(AND(I573="Sí",J573="Sí"),"Sí","No"))</f>
        <v/>
      </c>
    </row>
    <row r="574" customFormat="false" ht="15" hidden="false" customHeight="false" outlineLevel="0" collapsed="false">
      <c r="A574" s="22"/>
      <c r="B574" s="22"/>
      <c r="C574" s="26" t="str">
        <f aca="false">IF(A574="","",IFERROR(buscarx(A574&amp;B574,DATA!$E$3:$E$10000&amp;DATA!$B$3:$B$10000,DATA!$M$3:$M$10000),"No encontrado"))</f>
        <v/>
      </c>
      <c r="D574" s="27" t="str">
        <f aca="false">IF(A574="","",IFERROR(buscarx(A574&amp;B574,DATA!$E$3:$E$10000&amp;DATA!$B$3:$B$10000,DATA!$W$3:$W$10000),"No encontrado"))</f>
        <v/>
      </c>
      <c r="E574" s="22"/>
      <c r="F574" s="26" t="str">
        <f aca="false">IF(A574="","",IFERROR(buscarx(A574&amp;E574,DATA!$E$3:$E$10000&amp;DATA!$B$3:$B$10000,DATA!$M$3:$M$10000),"Inactivo"))</f>
        <v/>
      </c>
      <c r="G574" s="28" t="str">
        <f aca="false">IF(A574="","",IF(AND(C574&lt;&gt;"No encontrado",F574&lt;&gt;"Inactivo"),C574&amp;" → "&amp;F574,"Sin transición"))</f>
        <v/>
      </c>
      <c r="H574" s="26" t="str">
        <f aca="false">IF(A574="","",IF(D574="GCIA LINEA SERVICIO DIGITALIDAD Y VENTAS","Chats",IF(OR(D574="GERENCIA INBOUND LÍNEAS SERVICIO Y VENTA",D574="GERENCIA INBOUND LINEAS ESPECIALIZADAS"),"Llamadas","Otro")))</f>
        <v/>
      </c>
      <c r="I574" s="26" t="str">
        <f aca="false">IF(A574="","",IF(C574="No encontrado","No","Sí"))</f>
        <v/>
      </c>
      <c r="J574" s="26" t="str">
        <f aca="false">IF(A574="","",IF(F574="Inactivo","No","Sí"))</f>
        <v/>
      </c>
      <c r="K574" s="26" t="str">
        <f aca="false">IF(A574="","",IF(AND(I574="Sí",J574="Sí"),"Sí","No"))</f>
        <v/>
      </c>
    </row>
    <row r="575" customFormat="false" ht="15" hidden="false" customHeight="false" outlineLevel="0" collapsed="false">
      <c r="A575" s="22"/>
      <c r="B575" s="22"/>
      <c r="C575" s="23" t="str">
        <f aca="false">IF(A575="","",IFERROR(buscarx(A575&amp;B575,DATA!$E$3:$E$10000&amp;DATA!$B$3:$B$10000,DATA!$M$3:$M$10000),"No encontrado"))</f>
        <v/>
      </c>
      <c r="D575" s="24" t="str">
        <f aca="false">IF(A575="","",IFERROR(buscarx(A575&amp;B575,DATA!$E$3:$E$10000&amp;DATA!$B$3:$B$10000,DATA!$W$3:$W$10000),"No encontrado"))</f>
        <v/>
      </c>
      <c r="E575" s="22"/>
      <c r="F575" s="23" t="str">
        <f aca="false">IF(A575="","",IFERROR(buscarx(A575&amp;E575,DATA!$E$3:$E$10000&amp;DATA!$B$3:$B$10000,DATA!$M$3:$M$10000),"Inactivo"))</f>
        <v/>
      </c>
      <c r="G575" s="25" t="str">
        <f aca="false">IF(A575="","",IF(AND(C575&lt;&gt;"No encontrado",F575&lt;&gt;"Inactivo"),C575&amp;" → "&amp;F575,"Sin transición"))</f>
        <v/>
      </c>
      <c r="H575" s="23" t="str">
        <f aca="false">IF(A575="","",IF(D575="GCIA LINEA SERVICIO DIGITALIDAD Y VENTAS","Chats",IF(OR(D575="GERENCIA INBOUND LÍNEAS SERVICIO Y VENTA",D575="GERENCIA INBOUND LINEAS ESPECIALIZADAS"),"Llamadas","Otro")))</f>
        <v/>
      </c>
      <c r="I575" s="23" t="str">
        <f aca="false">IF(A575="","",IF(C575="No encontrado","No","Sí"))</f>
        <v/>
      </c>
      <c r="J575" s="23" t="str">
        <f aca="false">IF(A575="","",IF(F575="Inactivo","No","Sí"))</f>
        <v/>
      </c>
      <c r="K575" s="23" t="str">
        <f aca="false">IF(A575="","",IF(AND(I575="Sí",J575="Sí"),"Sí","No"))</f>
        <v/>
      </c>
    </row>
    <row r="576" customFormat="false" ht="15" hidden="false" customHeight="false" outlineLevel="0" collapsed="false">
      <c r="A576" s="22"/>
      <c r="B576" s="22"/>
      <c r="C576" s="26" t="str">
        <f aca="false">IF(A576="","",IFERROR(buscarx(A576&amp;B576,DATA!$E$3:$E$10000&amp;DATA!$B$3:$B$10000,DATA!$M$3:$M$10000),"No encontrado"))</f>
        <v/>
      </c>
      <c r="D576" s="27" t="str">
        <f aca="false">IF(A576="","",IFERROR(buscarx(A576&amp;B576,DATA!$E$3:$E$10000&amp;DATA!$B$3:$B$10000,DATA!$W$3:$W$10000),"No encontrado"))</f>
        <v/>
      </c>
      <c r="E576" s="22"/>
      <c r="F576" s="26" t="str">
        <f aca="false">IF(A576="","",IFERROR(buscarx(A576&amp;E576,DATA!$E$3:$E$10000&amp;DATA!$B$3:$B$10000,DATA!$M$3:$M$10000),"Inactivo"))</f>
        <v/>
      </c>
      <c r="G576" s="28" t="str">
        <f aca="false">IF(A576="","",IF(AND(C576&lt;&gt;"No encontrado",F576&lt;&gt;"Inactivo"),C576&amp;" → "&amp;F576,"Sin transición"))</f>
        <v/>
      </c>
      <c r="H576" s="26" t="str">
        <f aca="false">IF(A576="","",IF(D576="GCIA LINEA SERVICIO DIGITALIDAD Y VENTAS","Chats",IF(OR(D576="GERENCIA INBOUND LÍNEAS SERVICIO Y VENTA",D576="GERENCIA INBOUND LINEAS ESPECIALIZADAS"),"Llamadas","Otro")))</f>
        <v/>
      </c>
      <c r="I576" s="26" t="str">
        <f aca="false">IF(A576="","",IF(C576="No encontrado","No","Sí"))</f>
        <v/>
      </c>
      <c r="J576" s="26" t="str">
        <f aca="false">IF(A576="","",IF(F576="Inactivo","No","Sí"))</f>
        <v/>
      </c>
      <c r="K576" s="26" t="str">
        <f aca="false">IF(A576="","",IF(AND(I576="Sí",J576="Sí"),"Sí","No"))</f>
        <v/>
      </c>
    </row>
    <row r="577" customFormat="false" ht="15" hidden="false" customHeight="false" outlineLevel="0" collapsed="false">
      <c r="A577" s="22"/>
      <c r="B577" s="22"/>
      <c r="C577" s="23" t="str">
        <f aca="false">IF(A577="","",IFERROR(buscarx(A577&amp;B577,DATA!$E$3:$E$10000&amp;DATA!$B$3:$B$10000,DATA!$M$3:$M$10000),"No encontrado"))</f>
        <v/>
      </c>
      <c r="D577" s="24" t="str">
        <f aca="false">IF(A577="","",IFERROR(buscarx(A577&amp;B577,DATA!$E$3:$E$10000&amp;DATA!$B$3:$B$10000,DATA!$W$3:$W$10000),"No encontrado"))</f>
        <v/>
      </c>
      <c r="E577" s="22"/>
      <c r="F577" s="23" t="str">
        <f aca="false">IF(A577="","",IFERROR(buscarx(A577&amp;E577,DATA!$E$3:$E$10000&amp;DATA!$B$3:$B$10000,DATA!$M$3:$M$10000),"Inactivo"))</f>
        <v/>
      </c>
      <c r="G577" s="25" t="str">
        <f aca="false">IF(A577="","",IF(AND(C577&lt;&gt;"No encontrado",F577&lt;&gt;"Inactivo"),C577&amp;" → "&amp;F577,"Sin transición"))</f>
        <v/>
      </c>
      <c r="H577" s="23" t="str">
        <f aca="false">IF(A577="","",IF(D577="GCIA LINEA SERVICIO DIGITALIDAD Y VENTAS","Chats",IF(OR(D577="GERENCIA INBOUND LÍNEAS SERVICIO Y VENTA",D577="GERENCIA INBOUND LINEAS ESPECIALIZADAS"),"Llamadas","Otro")))</f>
        <v/>
      </c>
      <c r="I577" s="23" t="str">
        <f aca="false">IF(A577="","",IF(C577="No encontrado","No","Sí"))</f>
        <v/>
      </c>
      <c r="J577" s="23" t="str">
        <f aca="false">IF(A577="","",IF(F577="Inactivo","No","Sí"))</f>
        <v/>
      </c>
      <c r="K577" s="23" t="str">
        <f aca="false">IF(A577="","",IF(AND(I577="Sí",J577="Sí"),"Sí","No"))</f>
        <v/>
      </c>
    </row>
    <row r="578" customFormat="false" ht="15" hidden="false" customHeight="false" outlineLevel="0" collapsed="false">
      <c r="A578" s="22"/>
      <c r="B578" s="22"/>
      <c r="C578" s="26" t="str">
        <f aca="false">IF(A578="","",IFERROR(buscarx(A578&amp;B578,DATA!$E$3:$E$10000&amp;DATA!$B$3:$B$10000,DATA!$M$3:$M$10000),"No encontrado"))</f>
        <v/>
      </c>
      <c r="D578" s="27" t="str">
        <f aca="false">IF(A578="","",IFERROR(buscarx(A578&amp;B578,DATA!$E$3:$E$10000&amp;DATA!$B$3:$B$10000,DATA!$W$3:$W$10000),"No encontrado"))</f>
        <v/>
      </c>
      <c r="E578" s="22"/>
      <c r="F578" s="26" t="str">
        <f aca="false">IF(A578="","",IFERROR(buscarx(A578&amp;E578,DATA!$E$3:$E$10000&amp;DATA!$B$3:$B$10000,DATA!$M$3:$M$10000),"Inactivo"))</f>
        <v/>
      </c>
      <c r="G578" s="28" t="str">
        <f aca="false">IF(A578="","",IF(AND(C578&lt;&gt;"No encontrado",F578&lt;&gt;"Inactivo"),C578&amp;" → "&amp;F578,"Sin transición"))</f>
        <v/>
      </c>
      <c r="H578" s="26" t="str">
        <f aca="false">IF(A578="","",IF(D578="GCIA LINEA SERVICIO DIGITALIDAD Y VENTAS","Chats",IF(OR(D578="GERENCIA INBOUND LÍNEAS SERVICIO Y VENTA",D578="GERENCIA INBOUND LINEAS ESPECIALIZADAS"),"Llamadas","Otro")))</f>
        <v/>
      </c>
      <c r="I578" s="26" t="str">
        <f aca="false">IF(A578="","",IF(C578="No encontrado","No","Sí"))</f>
        <v/>
      </c>
      <c r="J578" s="26" t="str">
        <f aca="false">IF(A578="","",IF(F578="Inactivo","No","Sí"))</f>
        <v/>
      </c>
      <c r="K578" s="26" t="str">
        <f aca="false">IF(A578="","",IF(AND(I578="Sí",J578="Sí"),"Sí","No"))</f>
        <v/>
      </c>
    </row>
    <row r="579" customFormat="false" ht="15" hidden="false" customHeight="false" outlineLevel="0" collapsed="false">
      <c r="A579" s="22"/>
      <c r="B579" s="22"/>
      <c r="C579" s="23" t="str">
        <f aca="false">IF(A579="","",IFERROR(buscarx(A579&amp;B579,DATA!$E$3:$E$10000&amp;DATA!$B$3:$B$10000,DATA!$M$3:$M$10000),"No encontrado"))</f>
        <v/>
      </c>
      <c r="D579" s="24" t="str">
        <f aca="false">IF(A579="","",IFERROR(buscarx(A579&amp;B579,DATA!$E$3:$E$10000&amp;DATA!$B$3:$B$10000,DATA!$W$3:$W$10000),"No encontrado"))</f>
        <v/>
      </c>
      <c r="E579" s="22"/>
      <c r="F579" s="23" t="str">
        <f aca="false">IF(A579="","",IFERROR(buscarx(A579&amp;E579,DATA!$E$3:$E$10000&amp;DATA!$B$3:$B$10000,DATA!$M$3:$M$10000),"Inactivo"))</f>
        <v/>
      </c>
      <c r="G579" s="25" t="str">
        <f aca="false">IF(A579="","",IF(AND(C579&lt;&gt;"No encontrado",F579&lt;&gt;"Inactivo"),C579&amp;" → "&amp;F579,"Sin transición"))</f>
        <v/>
      </c>
      <c r="H579" s="23" t="str">
        <f aca="false">IF(A579="","",IF(D579="GCIA LINEA SERVICIO DIGITALIDAD Y VENTAS","Chats",IF(OR(D579="GERENCIA INBOUND LÍNEAS SERVICIO Y VENTA",D579="GERENCIA INBOUND LINEAS ESPECIALIZADAS"),"Llamadas","Otro")))</f>
        <v/>
      </c>
      <c r="I579" s="23" t="str">
        <f aca="false">IF(A579="","",IF(C579="No encontrado","No","Sí"))</f>
        <v/>
      </c>
      <c r="J579" s="23" t="str">
        <f aca="false">IF(A579="","",IF(F579="Inactivo","No","Sí"))</f>
        <v/>
      </c>
      <c r="K579" s="23" t="str">
        <f aca="false">IF(A579="","",IF(AND(I579="Sí",J579="Sí"),"Sí","No"))</f>
        <v/>
      </c>
    </row>
    <row r="580" customFormat="false" ht="15" hidden="false" customHeight="false" outlineLevel="0" collapsed="false">
      <c r="A580" s="22"/>
      <c r="B580" s="22"/>
      <c r="C580" s="26" t="str">
        <f aca="false">IF(A580="","",IFERROR(buscarx(A580&amp;B580,DATA!$E$3:$E$10000&amp;DATA!$B$3:$B$10000,DATA!$M$3:$M$10000),"No encontrado"))</f>
        <v/>
      </c>
      <c r="D580" s="27" t="str">
        <f aca="false">IF(A580="","",IFERROR(buscarx(A580&amp;B580,DATA!$E$3:$E$10000&amp;DATA!$B$3:$B$10000,DATA!$W$3:$W$10000),"No encontrado"))</f>
        <v/>
      </c>
      <c r="E580" s="22"/>
      <c r="F580" s="26" t="str">
        <f aca="false">IF(A580="","",IFERROR(buscarx(A580&amp;E580,DATA!$E$3:$E$10000&amp;DATA!$B$3:$B$10000,DATA!$M$3:$M$10000),"Inactivo"))</f>
        <v/>
      </c>
      <c r="G580" s="28" t="str">
        <f aca="false">IF(A580="","",IF(AND(C580&lt;&gt;"No encontrado",F580&lt;&gt;"Inactivo"),C580&amp;" → "&amp;F580,"Sin transición"))</f>
        <v/>
      </c>
      <c r="H580" s="26" t="str">
        <f aca="false">IF(A580="","",IF(D580="GCIA LINEA SERVICIO DIGITALIDAD Y VENTAS","Chats",IF(OR(D580="GERENCIA INBOUND LÍNEAS SERVICIO Y VENTA",D580="GERENCIA INBOUND LINEAS ESPECIALIZADAS"),"Llamadas","Otro")))</f>
        <v/>
      </c>
      <c r="I580" s="26" t="str">
        <f aca="false">IF(A580="","",IF(C580="No encontrado","No","Sí"))</f>
        <v/>
      </c>
      <c r="J580" s="26" t="str">
        <f aca="false">IF(A580="","",IF(F580="Inactivo","No","Sí"))</f>
        <v/>
      </c>
      <c r="K580" s="26" t="str">
        <f aca="false">IF(A580="","",IF(AND(I580="Sí",J580="Sí"),"Sí","No"))</f>
        <v/>
      </c>
    </row>
    <row r="581" customFormat="false" ht="15" hidden="false" customHeight="false" outlineLevel="0" collapsed="false">
      <c r="A581" s="22"/>
      <c r="B581" s="22"/>
      <c r="C581" s="23" t="str">
        <f aca="false">IF(A581="","",IFERROR(buscarx(A581&amp;B581,DATA!$E$3:$E$10000&amp;DATA!$B$3:$B$10000,DATA!$M$3:$M$10000),"No encontrado"))</f>
        <v/>
      </c>
      <c r="D581" s="24" t="str">
        <f aca="false">IF(A581="","",IFERROR(buscarx(A581&amp;B581,DATA!$E$3:$E$10000&amp;DATA!$B$3:$B$10000,DATA!$W$3:$W$10000),"No encontrado"))</f>
        <v/>
      </c>
      <c r="E581" s="22"/>
      <c r="F581" s="23" t="str">
        <f aca="false">IF(A581="","",IFERROR(buscarx(A581&amp;E581,DATA!$E$3:$E$10000&amp;DATA!$B$3:$B$10000,DATA!$M$3:$M$10000),"Inactivo"))</f>
        <v/>
      </c>
      <c r="G581" s="25" t="str">
        <f aca="false">IF(A581="","",IF(AND(C581&lt;&gt;"No encontrado",F581&lt;&gt;"Inactivo"),C581&amp;" → "&amp;F581,"Sin transición"))</f>
        <v/>
      </c>
      <c r="H581" s="23" t="str">
        <f aca="false">IF(A581="","",IF(D581="GCIA LINEA SERVICIO DIGITALIDAD Y VENTAS","Chats",IF(OR(D581="GERENCIA INBOUND LÍNEAS SERVICIO Y VENTA",D581="GERENCIA INBOUND LINEAS ESPECIALIZADAS"),"Llamadas","Otro")))</f>
        <v/>
      </c>
      <c r="I581" s="23" t="str">
        <f aca="false">IF(A581="","",IF(C581="No encontrado","No","Sí"))</f>
        <v/>
      </c>
      <c r="J581" s="23" t="str">
        <f aca="false">IF(A581="","",IF(F581="Inactivo","No","Sí"))</f>
        <v/>
      </c>
      <c r="K581" s="23" t="str">
        <f aca="false">IF(A581="","",IF(AND(I581="Sí",J581="Sí"),"Sí","No"))</f>
        <v/>
      </c>
    </row>
    <row r="582" customFormat="false" ht="15" hidden="false" customHeight="false" outlineLevel="0" collapsed="false">
      <c r="A582" s="22"/>
      <c r="B582" s="22"/>
      <c r="C582" s="26" t="str">
        <f aca="false">IF(A582="","",IFERROR(buscarx(A582&amp;B582,DATA!$E$3:$E$10000&amp;DATA!$B$3:$B$10000,DATA!$M$3:$M$10000),"No encontrado"))</f>
        <v/>
      </c>
      <c r="D582" s="27" t="str">
        <f aca="false">IF(A582="","",IFERROR(buscarx(A582&amp;B582,DATA!$E$3:$E$10000&amp;DATA!$B$3:$B$10000,DATA!$W$3:$W$10000),"No encontrado"))</f>
        <v/>
      </c>
      <c r="E582" s="22"/>
      <c r="F582" s="26" t="str">
        <f aca="false">IF(A582="","",IFERROR(buscarx(A582&amp;E582,DATA!$E$3:$E$10000&amp;DATA!$B$3:$B$10000,DATA!$M$3:$M$10000),"Inactivo"))</f>
        <v/>
      </c>
      <c r="G582" s="28" t="str">
        <f aca="false">IF(A582="","",IF(AND(C582&lt;&gt;"No encontrado",F582&lt;&gt;"Inactivo"),C582&amp;" → "&amp;F582,"Sin transición"))</f>
        <v/>
      </c>
      <c r="H582" s="26" t="str">
        <f aca="false">IF(A582="","",IF(D582="GCIA LINEA SERVICIO DIGITALIDAD Y VENTAS","Chats",IF(OR(D582="GERENCIA INBOUND LÍNEAS SERVICIO Y VENTA",D582="GERENCIA INBOUND LINEAS ESPECIALIZADAS"),"Llamadas","Otro")))</f>
        <v/>
      </c>
      <c r="I582" s="26" t="str">
        <f aca="false">IF(A582="","",IF(C582="No encontrado","No","Sí"))</f>
        <v/>
      </c>
      <c r="J582" s="26" t="str">
        <f aca="false">IF(A582="","",IF(F582="Inactivo","No","Sí"))</f>
        <v/>
      </c>
      <c r="K582" s="26" t="str">
        <f aca="false">IF(A582="","",IF(AND(I582="Sí",J582="Sí"),"Sí","No"))</f>
        <v/>
      </c>
    </row>
    <row r="583" customFormat="false" ht="15" hidden="false" customHeight="false" outlineLevel="0" collapsed="false">
      <c r="A583" s="22"/>
      <c r="B583" s="22"/>
      <c r="C583" s="23" t="str">
        <f aca="false">IF(A583="","",IFERROR(buscarx(A583&amp;B583,DATA!$E$3:$E$10000&amp;DATA!$B$3:$B$10000,DATA!$M$3:$M$10000),"No encontrado"))</f>
        <v/>
      </c>
      <c r="D583" s="24" t="str">
        <f aca="false">IF(A583="","",IFERROR(buscarx(A583&amp;B583,DATA!$E$3:$E$10000&amp;DATA!$B$3:$B$10000,DATA!$W$3:$W$10000),"No encontrado"))</f>
        <v/>
      </c>
      <c r="E583" s="22"/>
      <c r="F583" s="23" t="str">
        <f aca="false">IF(A583="","",IFERROR(buscarx(A583&amp;E583,DATA!$E$3:$E$10000&amp;DATA!$B$3:$B$10000,DATA!$M$3:$M$10000),"Inactivo"))</f>
        <v/>
      </c>
      <c r="G583" s="25" t="str">
        <f aca="false">IF(A583="","",IF(AND(C583&lt;&gt;"No encontrado",F583&lt;&gt;"Inactivo"),C583&amp;" → "&amp;F583,"Sin transición"))</f>
        <v/>
      </c>
      <c r="H583" s="23" t="str">
        <f aca="false">IF(A583="","",IF(D583="GCIA LINEA SERVICIO DIGITALIDAD Y VENTAS","Chats",IF(OR(D583="GERENCIA INBOUND LÍNEAS SERVICIO Y VENTA",D583="GERENCIA INBOUND LINEAS ESPECIALIZADAS"),"Llamadas","Otro")))</f>
        <v/>
      </c>
      <c r="I583" s="23" t="str">
        <f aca="false">IF(A583="","",IF(C583="No encontrado","No","Sí"))</f>
        <v/>
      </c>
      <c r="J583" s="23" t="str">
        <f aca="false">IF(A583="","",IF(F583="Inactivo","No","Sí"))</f>
        <v/>
      </c>
      <c r="K583" s="23" t="str">
        <f aca="false">IF(A583="","",IF(AND(I583="Sí",J583="Sí"),"Sí","No"))</f>
        <v/>
      </c>
    </row>
    <row r="584" customFormat="false" ht="15" hidden="false" customHeight="false" outlineLevel="0" collapsed="false">
      <c r="A584" s="22"/>
      <c r="B584" s="22"/>
      <c r="C584" s="26" t="str">
        <f aca="false">IF(A584="","",IFERROR(buscarx(A584&amp;B584,DATA!$E$3:$E$10000&amp;DATA!$B$3:$B$10000,DATA!$M$3:$M$10000),"No encontrado"))</f>
        <v/>
      </c>
      <c r="D584" s="27" t="str">
        <f aca="false">IF(A584="","",IFERROR(buscarx(A584&amp;B584,DATA!$E$3:$E$10000&amp;DATA!$B$3:$B$10000,DATA!$W$3:$W$10000),"No encontrado"))</f>
        <v/>
      </c>
      <c r="E584" s="22"/>
      <c r="F584" s="26" t="str">
        <f aca="false">IF(A584="","",IFERROR(buscarx(A584&amp;E584,DATA!$E$3:$E$10000&amp;DATA!$B$3:$B$10000,DATA!$M$3:$M$10000),"Inactivo"))</f>
        <v/>
      </c>
      <c r="G584" s="28" t="str">
        <f aca="false">IF(A584="","",IF(AND(C584&lt;&gt;"No encontrado",F584&lt;&gt;"Inactivo"),C584&amp;" → "&amp;F584,"Sin transición"))</f>
        <v/>
      </c>
      <c r="H584" s="26" t="str">
        <f aca="false">IF(A584="","",IF(D584="GCIA LINEA SERVICIO DIGITALIDAD Y VENTAS","Chats",IF(OR(D584="GERENCIA INBOUND LÍNEAS SERVICIO Y VENTA",D584="GERENCIA INBOUND LINEAS ESPECIALIZADAS"),"Llamadas","Otro")))</f>
        <v/>
      </c>
      <c r="I584" s="26" t="str">
        <f aca="false">IF(A584="","",IF(C584="No encontrado","No","Sí"))</f>
        <v/>
      </c>
      <c r="J584" s="26" t="str">
        <f aca="false">IF(A584="","",IF(F584="Inactivo","No","Sí"))</f>
        <v/>
      </c>
      <c r="K584" s="26" t="str">
        <f aca="false">IF(A584="","",IF(AND(I584="Sí",J584="Sí"),"Sí","No"))</f>
        <v/>
      </c>
    </row>
    <row r="585" customFormat="false" ht="15" hidden="false" customHeight="false" outlineLevel="0" collapsed="false">
      <c r="A585" s="22"/>
      <c r="B585" s="22"/>
      <c r="C585" s="23" t="str">
        <f aca="false">IF(A585="","",IFERROR(buscarx(A585&amp;B585,DATA!$E$3:$E$10000&amp;DATA!$B$3:$B$10000,DATA!$M$3:$M$10000),"No encontrado"))</f>
        <v/>
      </c>
      <c r="D585" s="24" t="str">
        <f aca="false">IF(A585="","",IFERROR(buscarx(A585&amp;B585,DATA!$E$3:$E$10000&amp;DATA!$B$3:$B$10000,DATA!$W$3:$W$10000),"No encontrado"))</f>
        <v/>
      </c>
      <c r="E585" s="22"/>
      <c r="F585" s="23" t="str">
        <f aca="false">IF(A585="","",IFERROR(buscarx(A585&amp;E585,DATA!$E$3:$E$10000&amp;DATA!$B$3:$B$10000,DATA!$M$3:$M$10000),"Inactivo"))</f>
        <v/>
      </c>
      <c r="G585" s="25" t="str">
        <f aca="false">IF(A585="","",IF(AND(C585&lt;&gt;"No encontrado",F585&lt;&gt;"Inactivo"),C585&amp;" → "&amp;F585,"Sin transición"))</f>
        <v/>
      </c>
      <c r="H585" s="23" t="str">
        <f aca="false">IF(A585="","",IF(D585="GCIA LINEA SERVICIO DIGITALIDAD Y VENTAS","Chats",IF(OR(D585="GERENCIA INBOUND LÍNEAS SERVICIO Y VENTA",D585="GERENCIA INBOUND LINEAS ESPECIALIZADAS"),"Llamadas","Otro")))</f>
        <v/>
      </c>
      <c r="I585" s="23" t="str">
        <f aca="false">IF(A585="","",IF(C585="No encontrado","No","Sí"))</f>
        <v/>
      </c>
      <c r="J585" s="23" t="str">
        <f aca="false">IF(A585="","",IF(F585="Inactivo","No","Sí"))</f>
        <v/>
      </c>
      <c r="K585" s="23" t="str">
        <f aca="false">IF(A585="","",IF(AND(I585="Sí",J585="Sí"),"Sí","No"))</f>
        <v/>
      </c>
    </row>
    <row r="586" customFormat="false" ht="15" hidden="false" customHeight="false" outlineLevel="0" collapsed="false">
      <c r="A586" s="22"/>
      <c r="B586" s="22"/>
      <c r="C586" s="26" t="str">
        <f aca="false">IF(A586="","",IFERROR(buscarx(A586&amp;B586,DATA!$E$3:$E$10000&amp;DATA!$B$3:$B$10000,DATA!$M$3:$M$10000),"No encontrado"))</f>
        <v/>
      </c>
      <c r="D586" s="27" t="str">
        <f aca="false">IF(A586="","",IFERROR(buscarx(A586&amp;B586,DATA!$E$3:$E$10000&amp;DATA!$B$3:$B$10000,DATA!$W$3:$W$10000),"No encontrado"))</f>
        <v/>
      </c>
      <c r="E586" s="22"/>
      <c r="F586" s="26" t="str">
        <f aca="false">IF(A586="","",IFERROR(buscarx(A586&amp;E586,DATA!$E$3:$E$10000&amp;DATA!$B$3:$B$10000,DATA!$M$3:$M$10000),"Inactivo"))</f>
        <v/>
      </c>
      <c r="G586" s="28" t="str">
        <f aca="false">IF(A586="","",IF(AND(C586&lt;&gt;"No encontrado",F586&lt;&gt;"Inactivo"),C586&amp;" → "&amp;F586,"Sin transición"))</f>
        <v/>
      </c>
      <c r="H586" s="26" t="str">
        <f aca="false">IF(A586="","",IF(D586="GCIA LINEA SERVICIO DIGITALIDAD Y VENTAS","Chats",IF(OR(D586="GERENCIA INBOUND LÍNEAS SERVICIO Y VENTA",D586="GERENCIA INBOUND LINEAS ESPECIALIZADAS"),"Llamadas","Otro")))</f>
        <v/>
      </c>
      <c r="I586" s="26" t="str">
        <f aca="false">IF(A586="","",IF(C586="No encontrado","No","Sí"))</f>
        <v/>
      </c>
      <c r="J586" s="26" t="str">
        <f aca="false">IF(A586="","",IF(F586="Inactivo","No","Sí"))</f>
        <v/>
      </c>
      <c r="K586" s="26" t="str">
        <f aca="false">IF(A586="","",IF(AND(I586="Sí",J586="Sí"),"Sí","No"))</f>
        <v/>
      </c>
    </row>
    <row r="587" customFormat="false" ht="15" hidden="false" customHeight="false" outlineLevel="0" collapsed="false">
      <c r="A587" s="22"/>
      <c r="B587" s="22"/>
      <c r="C587" s="23" t="str">
        <f aca="false">IF(A587="","",IFERROR(buscarx(A587&amp;B587,DATA!$E$3:$E$10000&amp;DATA!$B$3:$B$10000,DATA!$M$3:$M$10000),"No encontrado"))</f>
        <v/>
      </c>
      <c r="D587" s="24" t="str">
        <f aca="false">IF(A587="","",IFERROR(buscarx(A587&amp;B587,DATA!$E$3:$E$10000&amp;DATA!$B$3:$B$10000,DATA!$W$3:$W$10000),"No encontrado"))</f>
        <v/>
      </c>
      <c r="E587" s="22"/>
      <c r="F587" s="23" t="str">
        <f aca="false">IF(A587="","",IFERROR(buscarx(A587&amp;E587,DATA!$E$3:$E$10000&amp;DATA!$B$3:$B$10000,DATA!$M$3:$M$10000),"Inactivo"))</f>
        <v/>
      </c>
      <c r="G587" s="25" t="str">
        <f aca="false">IF(A587="","",IF(AND(C587&lt;&gt;"No encontrado",F587&lt;&gt;"Inactivo"),C587&amp;" → "&amp;F587,"Sin transición"))</f>
        <v/>
      </c>
      <c r="H587" s="23" t="str">
        <f aca="false">IF(A587="","",IF(D587="GCIA LINEA SERVICIO DIGITALIDAD Y VENTAS","Chats",IF(OR(D587="GERENCIA INBOUND LÍNEAS SERVICIO Y VENTA",D587="GERENCIA INBOUND LINEAS ESPECIALIZADAS"),"Llamadas","Otro")))</f>
        <v/>
      </c>
      <c r="I587" s="23" t="str">
        <f aca="false">IF(A587="","",IF(C587="No encontrado","No","Sí"))</f>
        <v/>
      </c>
      <c r="J587" s="23" t="str">
        <f aca="false">IF(A587="","",IF(F587="Inactivo","No","Sí"))</f>
        <v/>
      </c>
      <c r="K587" s="23" t="str">
        <f aca="false">IF(A587="","",IF(AND(I587="Sí",J587="Sí"),"Sí","No"))</f>
        <v/>
      </c>
    </row>
    <row r="588" customFormat="false" ht="15" hidden="false" customHeight="false" outlineLevel="0" collapsed="false">
      <c r="A588" s="22"/>
      <c r="B588" s="22"/>
      <c r="C588" s="26" t="str">
        <f aca="false">IF(A588="","",IFERROR(buscarx(A588&amp;B588,DATA!$E$3:$E$10000&amp;DATA!$B$3:$B$10000,DATA!$M$3:$M$10000),"No encontrado"))</f>
        <v/>
      </c>
      <c r="D588" s="27" t="str">
        <f aca="false">IF(A588="","",IFERROR(buscarx(A588&amp;B588,DATA!$E$3:$E$10000&amp;DATA!$B$3:$B$10000,DATA!$W$3:$W$10000),"No encontrado"))</f>
        <v/>
      </c>
      <c r="E588" s="22"/>
      <c r="F588" s="26" t="str">
        <f aca="false">IF(A588="","",IFERROR(buscarx(A588&amp;E588,DATA!$E$3:$E$10000&amp;DATA!$B$3:$B$10000,DATA!$M$3:$M$10000),"Inactivo"))</f>
        <v/>
      </c>
      <c r="G588" s="28" t="str">
        <f aca="false">IF(A588="","",IF(AND(C588&lt;&gt;"No encontrado",F588&lt;&gt;"Inactivo"),C588&amp;" → "&amp;F588,"Sin transición"))</f>
        <v/>
      </c>
      <c r="H588" s="26" t="str">
        <f aca="false">IF(A588="","",IF(D588="GCIA LINEA SERVICIO DIGITALIDAD Y VENTAS","Chats",IF(OR(D588="GERENCIA INBOUND LÍNEAS SERVICIO Y VENTA",D588="GERENCIA INBOUND LINEAS ESPECIALIZADAS"),"Llamadas","Otro")))</f>
        <v/>
      </c>
      <c r="I588" s="26" t="str">
        <f aca="false">IF(A588="","",IF(C588="No encontrado","No","Sí"))</f>
        <v/>
      </c>
      <c r="J588" s="26" t="str">
        <f aca="false">IF(A588="","",IF(F588="Inactivo","No","Sí"))</f>
        <v/>
      </c>
      <c r="K588" s="26" t="str">
        <f aca="false">IF(A588="","",IF(AND(I588="Sí",J588="Sí"),"Sí","No"))</f>
        <v/>
      </c>
    </row>
    <row r="589" customFormat="false" ht="15" hidden="false" customHeight="false" outlineLevel="0" collapsed="false">
      <c r="A589" s="22"/>
      <c r="B589" s="22"/>
      <c r="C589" s="23" t="str">
        <f aca="false">IF(A589="","",IFERROR(buscarx(A589&amp;B589,DATA!$E$3:$E$10000&amp;DATA!$B$3:$B$10000,DATA!$M$3:$M$10000),"No encontrado"))</f>
        <v/>
      </c>
      <c r="D589" s="24" t="str">
        <f aca="false">IF(A589="","",IFERROR(buscarx(A589&amp;B589,DATA!$E$3:$E$10000&amp;DATA!$B$3:$B$10000,DATA!$W$3:$W$10000),"No encontrado"))</f>
        <v/>
      </c>
      <c r="E589" s="22"/>
      <c r="F589" s="23" t="str">
        <f aca="false">IF(A589="","",IFERROR(buscarx(A589&amp;E589,DATA!$E$3:$E$10000&amp;DATA!$B$3:$B$10000,DATA!$M$3:$M$10000),"Inactivo"))</f>
        <v/>
      </c>
      <c r="G589" s="25" t="str">
        <f aca="false">IF(A589="","",IF(AND(C589&lt;&gt;"No encontrado",F589&lt;&gt;"Inactivo"),C589&amp;" → "&amp;F589,"Sin transición"))</f>
        <v/>
      </c>
      <c r="H589" s="23" t="str">
        <f aca="false">IF(A589="","",IF(D589="GCIA LINEA SERVICIO DIGITALIDAD Y VENTAS","Chats",IF(OR(D589="GERENCIA INBOUND LÍNEAS SERVICIO Y VENTA",D589="GERENCIA INBOUND LINEAS ESPECIALIZADAS"),"Llamadas","Otro")))</f>
        <v/>
      </c>
      <c r="I589" s="23" t="str">
        <f aca="false">IF(A589="","",IF(C589="No encontrado","No","Sí"))</f>
        <v/>
      </c>
      <c r="J589" s="23" t="str">
        <f aca="false">IF(A589="","",IF(F589="Inactivo","No","Sí"))</f>
        <v/>
      </c>
      <c r="K589" s="23" t="str">
        <f aca="false">IF(A589="","",IF(AND(I589="Sí",J589="Sí"),"Sí","No"))</f>
        <v/>
      </c>
    </row>
    <row r="590" customFormat="false" ht="15" hidden="false" customHeight="false" outlineLevel="0" collapsed="false">
      <c r="A590" s="22"/>
      <c r="B590" s="22"/>
      <c r="C590" s="26" t="str">
        <f aca="false">IF(A590="","",IFERROR(buscarx(A590&amp;B590,DATA!$E$3:$E$10000&amp;DATA!$B$3:$B$10000,DATA!$M$3:$M$10000),"No encontrado"))</f>
        <v/>
      </c>
      <c r="D590" s="27" t="str">
        <f aca="false">IF(A590="","",IFERROR(buscarx(A590&amp;B590,DATA!$E$3:$E$10000&amp;DATA!$B$3:$B$10000,DATA!$W$3:$W$10000),"No encontrado"))</f>
        <v/>
      </c>
      <c r="E590" s="22"/>
      <c r="F590" s="26" t="str">
        <f aca="false">IF(A590="","",IFERROR(buscarx(A590&amp;E590,DATA!$E$3:$E$10000&amp;DATA!$B$3:$B$10000,DATA!$M$3:$M$10000),"Inactivo"))</f>
        <v/>
      </c>
      <c r="G590" s="28" t="str">
        <f aca="false">IF(A590="","",IF(AND(C590&lt;&gt;"No encontrado",F590&lt;&gt;"Inactivo"),C590&amp;" → "&amp;F590,"Sin transición"))</f>
        <v/>
      </c>
      <c r="H590" s="26" t="str">
        <f aca="false">IF(A590="","",IF(D590="GCIA LINEA SERVICIO DIGITALIDAD Y VENTAS","Chats",IF(OR(D590="GERENCIA INBOUND LÍNEAS SERVICIO Y VENTA",D590="GERENCIA INBOUND LINEAS ESPECIALIZADAS"),"Llamadas","Otro")))</f>
        <v/>
      </c>
      <c r="I590" s="26" t="str">
        <f aca="false">IF(A590="","",IF(C590="No encontrado","No","Sí"))</f>
        <v/>
      </c>
      <c r="J590" s="26" t="str">
        <f aca="false">IF(A590="","",IF(F590="Inactivo","No","Sí"))</f>
        <v/>
      </c>
      <c r="K590" s="26" t="str">
        <f aca="false">IF(A590="","",IF(AND(I590="Sí",J590="Sí"),"Sí","No"))</f>
        <v/>
      </c>
    </row>
    <row r="591" customFormat="false" ht="15" hidden="false" customHeight="false" outlineLevel="0" collapsed="false">
      <c r="A591" s="22"/>
      <c r="B591" s="22"/>
      <c r="C591" s="23" t="str">
        <f aca="false">IF(A591="","",IFERROR(buscarx(A591&amp;B591,DATA!$E$3:$E$10000&amp;DATA!$B$3:$B$10000,DATA!$M$3:$M$10000),"No encontrado"))</f>
        <v/>
      </c>
      <c r="D591" s="24" t="str">
        <f aca="false">IF(A591="","",IFERROR(buscarx(A591&amp;B591,DATA!$E$3:$E$10000&amp;DATA!$B$3:$B$10000,DATA!$W$3:$W$10000),"No encontrado"))</f>
        <v/>
      </c>
      <c r="E591" s="22"/>
      <c r="F591" s="23" t="str">
        <f aca="false">IF(A591="","",IFERROR(buscarx(A591&amp;E591,DATA!$E$3:$E$10000&amp;DATA!$B$3:$B$10000,DATA!$M$3:$M$10000),"Inactivo"))</f>
        <v/>
      </c>
      <c r="G591" s="25" t="str">
        <f aca="false">IF(A591="","",IF(AND(C591&lt;&gt;"No encontrado",F591&lt;&gt;"Inactivo"),C591&amp;" → "&amp;F591,"Sin transición"))</f>
        <v/>
      </c>
      <c r="H591" s="23" t="str">
        <f aca="false">IF(A591="","",IF(D591="GCIA LINEA SERVICIO DIGITALIDAD Y VENTAS","Chats",IF(OR(D591="GERENCIA INBOUND LÍNEAS SERVICIO Y VENTA",D591="GERENCIA INBOUND LINEAS ESPECIALIZADAS"),"Llamadas","Otro")))</f>
        <v/>
      </c>
      <c r="I591" s="23" t="str">
        <f aca="false">IF(A591="","",IF(C591="No encontrado","No","Sí"))</f>
        <v/>
      </c>
      <c r="J591" s="23" t="str">
        <f aca="false">IF(A591="","",IF(F591="Inactivo","No","Sí"))</f>
        <v/>
      </c>
      <c r="K591" s="23" t="str">
        <f aca="false">IF(A591="","",IF(AND(I591="Sí",J591="Sí"),"Sí","No"))</f>
        <v/>
      </c>
    </row>
    <row r="592" customFormat="false" ht="15" hidden="false" customHeight="false" outlineLevel="0" collapsed="false">
      <c r="A592" s="22"/>
      <c r="B592" s="22"/>
      <c r="C592" s="26" t="str">
        <f aca="false">IF(A592="","",IFERROR(buscarx(A592&amp;B592,DATA!$E$3:$E$10000&amp;DATA!$B$3:$B$10000,DATA!$M$3:$M$10000),"No encontrado"))</f>
        <v/>
      </c>
      <c r="D592" s="27" t="str">
        <f aca="false">IF(A592="","",IFERROR(buscarx(A592&amp;B592,DATA!$E$3:$E$10000&amp;DATA!$B$3:$B$10000,DATA!$W$3:$W$10000),"No encontrado"))</f>
        <v/>
      </c>
      <c r="E592" s="22"/>
      <c r="F592" s="26" t="str">
        <f aca="false">IF(A592="","",IFERROR(buscarx(A592&amp;E592,DATA!$E$3:$E$10000&amp;DATA!$B$3:$B$10000,DATA!$M$3:$M$10000),"Inactivo"))</f>
        <v/>
      </c>
      <c r="G592" s="28" t="str">
        <f aca="false">IF(A592="","",IF(AND(C592&lt;&gt;"No encontrado",F592&lt;&gt;"Inactivo"),C592&amp;" → "&amp;F592,"Sin transición"))</f>
        <v/>
      </c>
      <c r="H592" s="26" t="str">
        <f aca="false">IF(A592="","",IF(D592="GCIA LINEA SERVICIO DIGITALIDAD Y VENTAS","Chats",IF(OR(D592="GERENCIA INBOUND LÍNEAS SERVICIO Y VENTA",D592="GERENCIA INBOUND LINEAS ESPECIALIZADAS"),"Llamadas","Otro")))</f>
        <v/>
      </c>
      <c r="I592" s="26" t="str">
        <f aca="false">IF(A592="","",IF(C592="No encontrado","No","Sí"))</f>
        <v/>
      </c>
      <c r="J592" s="26" t="str">
        <f aca="false">IF(A592="","",IF(F592="Inactivo","No","Sí"))</f>
        <v/>
      </c>
      <c r="K592" s="26" t="str">
        <f aca="false">IF(A592="","",IF(AND(I592="Sí",J592="Sí"),"Sí","No"))</f>
        <v/>
      </c>
    </row>
    <row r="593" customFormat="false" ht="15" hidden="false" customHeight="false" outlineLevel="0" collapsed="false">
      <c r="A593" s="22"/>
      <c r="B593" s="22"/>
      <c r="C593" s="23" t="str">
        <f aca="false">IF(A593="","",IFERROR(buscarx(A593&amp;B593,DATA!$E$3:$E$10000&amp;DATA!$B$3:$B$10000,DATA!$M$3:$M$10000),"No encontrado"))</f>
        <v/>
      </c>
      <c r="D593" s="24" t="str">
        <f aca="false">IF(A593="","",IFERROR(buscarx(A593&amp;B593,DATA!$E$3:$E$10000&amp;DATA!$B$3:$B$10000,DATA!$W$3:$W$10000),"No encontrado"))</f>
        <v/>
      </c>
      <c r="E593" s="22"/>
      <c r="F593" s="23" t="str">
        <f aca="false">IF(A593="","",IFERROR(buscarx(A593&amp;E593,DATA!$E$3:$E$10000&amp;DATA!$B$3:$B$10000,DATA!$M$3:$M$10000),"Inactivo"))</f>
        <v/>
      </c>
      <c r="G593" s="25" t="str">
        <f aca="false">IF(A593="","",IF(AND(C593&lt;&gt;"No encontrado",F593&lt;&gt;"Inactivo"),C593&amp;" → "&amp;F593,"Sin transición"))</f>
        <v/>
      </c>
      <c r="H593" s="23" t="str">
        <f aca="false">IF(A593="","",IF(D593="GCIA LINEA SERVICIO DIGITALIDAD Y VENTAS","Chats",IF(OR(D593="GERENCIA INBOUND LÍNEAS SERVICIO Y VENTA",D593="GERENCIA INBOUND LINEAS ESPECIALIZADAS"),"Llamadas","Otro")))</f>
        <v/>
      </c>
      <c r="I593" s="23" t="str">
        <f aca="false">IF(A593="","",IF(C593="No encontrado","No","Sí"))</f>
        <v/>
      </c>
      <c r="J593" s="23" t="str">
        <f aca="false">IF(A593="","",IF(F593="Inactivo","No","Sí"))</f>
        <v/>
      </c>
      <c r="K593" s="23" t="str">
        <f aca="false">IF(A593="","",IF(AND(I593="Sí",J593="Sí"),"Sí","No"))</f>
        <v/>
      </c>
    </row>
    <row r="594" customFormat="false" ht="15" hidden="false" customHeight="false" outlineLevel="0" collapsed="false">
      <c r="A594" s="22"/>
      <c r="B594" s="22"/>
      <c r="C594" s="26" t="str">
        <f aca="false">IF(A594="","",IFERROR(buscarx(A594&amp;B594,DATA!$E$3:$E$10000&amp;DATA!$B$3:$B$10000,DATA!$M$3:$M$10000),"No encontrado"))</f>
        <v/>
      </c>
      <c r="D594" s="27" t="str">
        <f aca="false">IF(A594="","",IFERROR(buscarx(A594&amp;B594,DATA!$E$3:$E$10000&amp;DATA!$B$3:$B$10000,DATA!$W$3:$W$10000),"No encontrado"))</f>
        <v/>
      </c>
      <c r="E594" s="22"/>
      <c r="F594" s="26" t="str">
        <f aca="false">IF(A594="","",IFERROR(buscarx(A594&amp;E594,DATA!$E$3:$E$10000&amp;DATA!$B$3:$B$10000,DATA!$M$3:$M$10000),"Inactivo"))</f>
        <v/>
      </c>
      <c r="G594" s="28" t="str">
        <f aca="false">IF(A594="","",IF(AND(C594&lt;&gt;"No encontrado",F594&lt;&gt;"Inactivo"),C594&amp;" → "&amp;F594,"Sin transición"))</f>
        <v/>
      </c>
      <c r="H594" s="26" t="str">
        <f aca="false">IF(A594="","",IF(D594="GCIA LINEA SERVICIO DIGITALIDAD Y VENTAS","Chats",IF(OR(D594="GERENCIA INBOUND LÍNEAS SERVICIO Y VENTA",D594="GERENCIA INBOUND LINEAS ESPECIALIZADAS"),"Llamadas","Otro")))</f>
        <v/>
      </c>
      <c r="I594" s="26" t="str">
        <f aca="false">IF(A594="","",IF(C594="No encontrado","No","Sí"))</f>
        <v/>
      </c>
      <c r="J594" s="26" t="str">
        <f aca="false">IF(A594="","",IF(F594="Inactivo","No","Sí"))</f>
        <v/>
      </c>
      <c r="K594" s="26" t="str">
        <f aca="false">IF(A594="","",IF(AND(I594="Sí",J594="Sí"),"Sí","No"))</f>
        <v/>
      </c>
    </row>
    <row r="595" customFormat="false" ht="15" hidden="false" customHeight="false" outlineLevel="0" collapsed="false">
      <c r="A595" s="22"/>
      <c r="B595" s="22"/>
      <c r="C595" s="23" t="str">
        <f aca="false">IF(A595="","",IFERROR(buscarx(A595&amp;B595,DATA!$E$3:$E$10000&amp;DATA!$B$3:$B$10000,DATA!$M$3:$M$10000),"No encontrado"))</f>
        <v/>
      </c>
      <c r="D595" s="24" t="str">
        <f aca="false">IF(A595="","",IFERROR(buscarx(A595&amp;B595,DATA!$E$3:$E$10000&amp;DATA!$B$3:$B$10000,DATA!$W$3:$W$10000),"No encontrado"))</f>
        <v/>
      </c>
      <c r="E595" s="22"/>
      <c r="F595" s="23" t="str">
        <f aca="false">IF(A595="","",IFERROR(buscarx(A595&amp;E595,DATA!$E$3:$E$10000&amp;DATA!$B$3:$B$10000,DATA!$M$3:$M$10000),"Inactivo"))</f>
        <v/>
      </c>
      <c r="G595" s="25" t="str">
        <f aca="false">IF(A595="","",IF(AND(C595&lt;&gt;"No encontrado",F595&lt;&gt;"Inactivo"),C595&amp;" → "&amp;F595,"Sin transición"))</f>
        <v/>
      </c>
      <c r="H595" s="23" t="str">
        <f aca="false">IF(A595="","",IF(D595="GCIA LINEA SERVICIO DIGITALIDAD Y VENTAS","Chats",IF(OR(D595="GERENCIA INBOUND LÍNEAS SERVICIO Y VENTA",D595="GERENCIA INBOUND LINEAS ESPECIALIZADAS"),"Llamadas","Otro")))</f>
        <v/>
      </c>
      <c r="I595" s="23" t="str">
        <f aca="false">IF(A595="","",IF(C595="No encontrado","No","Sí"))</f>
        <v/>
      </c>
      <c r="J595" s="23" t="str">
        <f aca="false">IF(A595="","",IF(F595="Inactivo","No","Sí"))</f>
        <v/>
      </c>
      <c r="K595" s="23" t="str">
        <f aca="false">IF(A595="","",IF(AND(I595="Sí",J595="Sí"),"Sí","No"))</f>
        <v/>
      </c>
    </row>
    <row r="596" customFormat="false" ht="15" hidden="false" customHeight="false" outlineLevel="0" collapsed="false">
      <c r="A596" s="22"/>
      <c r="B596" s="22"/>
      <c r="C596" s="26" t="str">
        <f aca="false">IF(A596="","",IFERROR(buscarx(A596&amp;B596,DATA!$E$3:$E$10000&amp;DATA!$B$3:$B$10000,DATA!$M$3:$M$10000),"No encontrado"))</f>
        <v/>
      </c>
      <c r="D596" s="27" t="str">
        <f aca="false">IF(A596="","",IFERROR(buscarx(A596&amp;B596,DATA!$E$3:$E$10000&amp;DATA!$B$3:$B$10000,DATA!$W$3:$W$10000),"No encontrado"))</f>
        <v/>
      </c>
      <c r="E596" s="22"/>
      <c r="F596" s="26" t="str">
        <f aca="false">IF(A596="","",IFERROR(buscarx(A596&amp;E596,DATA!$E$3:$E$10000&amp;DATA!$B$3:$B$10000,DATA!$M$3:$M$10000),"Inactivo"))</f>
        <v/>
      </c>
      <c r="G596" s="28" t="str">
        <f aca="false">IF(A596="","",IF(AND(C596&lt;&gt;"No encontrado",F596&lt;&gt;"Inactivo"),C596&amp;" → "&amp;F596,"Sin transición"))</f>
        <v/>
      </c>
      <c r="H596" s="26" t="str">
        <f aca="false">IF(A596="","",IF(D596="GCIA LINEA SERVICIO DIGITALIDAD Y VENTAS","Chats",IF(OR(D596="GERENCIA INBOUND LÍNEAS SERVICIO Y VENTA",D596="GERENCIA INBOUND LINEAS ESPECIALIZADAS"),"Llamadas","Otro")))</f>
        <v/>
      </c>
      <c r="I596" s="26" t="str">
        <f aca="false">IF(A596="","",IF(C596="No encontrado","No","Sí"))</f>
        <v/>
      </c>
      <c r="J596" s="26" t="str">
        <f aca="false">IF(A596="","",IF(F596="Inactivo","No","Sí"))</f>
        <v/>
      </c>
      <c r="K596" s="26" t="str">
        <f aca="false">IF(A596="","",IF(AND(I596="Sí",J596="Sí"),"Sí","No"))</f>
        <v/>
      </c>
    </row>
    <row r="597" customFormat="false" ht="15" hidden="false" customHeight="false" outlineLevel="0" collapsed="false">
      <c r="A597" s="22"/>
      <c r="B597" s="22"/>
      <c r="C597" s="23" t="str">
        <f aca="false">IF(A597="","",IFERROR(buscarx(A597&amp;B597,DATA!$E$3:$E$10000&amp;DATA!$B$3:$B$10000,DATA!$M$3:$M$10000),"No encontrado"))</f>
        <v/>
      </c>
      <c r="D597" s="24" t="str">
        <f aca="false">IF(A597="","",IFERROR(buscarx(A597&amp;B597,DATA!$E$3:$E$10000&amp;DATA!$B$3:$B$10000,DATA!$W$3:$W$10000),"No encontrado"))</f>
        <v/>
      </c>
      <c r="E597" s="22"/>
      <c r="F597" s="23" t="str">
        <f aca="false">IF(A597="","",IFERROR(buscarx(A597&amp;E597,DATA!$E$3:$E$10000&amp;DATA!$B$3:$B$10000,DATA!$M$3:$M$10000),"Inactivo"))</f>
        <v/>
      </c>
      <c r="G597" s="25" t="str">
        <f aca="false">IF(A597="","",IF(AND(C597&lt;&gt;"No encontrado",F597&lt;&gt;"Inactivo"),C597&amp;" → "&amp;F597,"Sin transición"))</f>
        <v/>
      </c>
      <c r="H597" s="23" t="str">
        <f aca="false">IF(A597="","",IF(D597="GCIA LINEA SERVICIO DIGITALIDAD Y VENTAS","Chats",IF(OR(D597="GERENCIA INBOUND LÍNEAS SERVICIO Y VENTA",D597="GERENCIA INBOUND LINEAS ESPECIALIZADAS"),"Llamadas","Otro")))</f>
        <v/>
      </c>
      <c r="I597" s="23" t="str">
        <f aca="false">IF(A597="","",IF(C597="No encontrado","No","Sí"))</f>
        <v/>
      </c>
      <c r="J597" s="23" t="str">
        <f aca="false">IF(A597="","",IF(F597="Inactivo","No","Sí"))</f>
        <v/>
      </c>
      <c r="K597" s="23" t="str">
        <f aca="false">IF(A597="","",IF(AND(I597="Sí",J597="Sí"),"Sí","No"))</f>
        <v/>
      </c>
    </row>
    <row r="598" customFormat="false" ht="15" hidden="false" customHeight="false" outlineLevel="0" collapsed="false">
      <c r="A598" s="22"/>
      <c r="B598" s="22"/>
      <c r="C598" s="26" t="str">
        <f aca="false">IF(A598="","",IFERROR(buscarx(A598&amp;B598,DATA!$E$3:$E$10000&amp;DATA!$B$3:$B$10000,DATA!$M$3:$M$10000),"No encontrado"))</f>
        <v/>
      </c>
      <c r="D598" s="27" t="str">
        <f aca="false">IF(A598="","",IFERROR(buscarx(A598&amp;B598,DATA!$E$3:$E$10000&amp;DATA!$B$3:$B$10000,DATA!$W$3:$W$10000),"No encontrado"))</f>
        <v/>
      </c>
      <c r="E598" s="22"/>
      <c r="F598" s="26" t="str">
        <f aca="false">IF(A598="","",IFERROR(buscarx(A598&amp;E598,DATA!$E$3:$E$10000&amp;DATA!$B$3:$B$10000,DATA!$M$3:$M$10000),"Inactivo"))</f>
        <v/>
      </c>
      <c r="G598" s="28" t="str">
        <f aca="false">IF(A598="","",IF(AND(C598&lt;&gt;"No encontrado",F598&lt;&gt;"Inactivo"),C598&amp;" → "&amp;F598,"Sin transición"))</f>
        <v/>
      </c>
      <c r="H598" s="26" t="str">
        <f aca="false">IF(A598="","",IF(D598="GCIA LINEA SERVICIO DIGITALIDAD Y VENTAS","Chats",IF(OR(D598="GERENCIA INBOUND LÍNEAS SERVICIO Y VENTA",D598="GERENCIA INBOUND LINEAS ESPECIALIZADAS"),"Llamadas","Otro")))</f>
        <v/>
      </c>
      <c r="I598" s="26" t="str">
        <f aca="false">IF(A598="","",IF(C598="No encontrado","No","Sí"))</f>
        <v/>
      </c>
      <c r="J598" s="26" t="str">
        <f aca="false">IF(A598="","",IF(F598="Inactivo","No","Sí"))</f>
        <v/>
      </c>
      <c r="K598" s="26" t="str">
        <f aca="false">IF(A598="","",IF(AND(I598="Sí",J598="Sí"),"Sí","No"))</f>
        <v/>
      </c>
    </row>
    <row r="599" customFormat="false" ht="15" hidden="false" customHeight="false" outlineLevel="0" collapsed="false">
      <c r="A599" s="22"/>
      <c r="B599" s="22"/>
      <c r="C599" s="23" t="str">
        <f aca="false">IF(A599="","",IFERROR(buscarx(A599&amp;B599,DATA!$E$3:$E$10000&amp;DATA!$B$3:$B$10000,DATA!$M$3:$M$10000),"No encontrado"))</f>
        <v/>
      </c>
      <c r="D599" s="24" t="str">
        <f aca="false">IF(A599="","",IFERROR(buscarx(A599&amp;B599,DATA!$E$3:$E$10000&amp;DATA!$B$3:$B$10000,DATA!$W$3:$W$10000),"No encontrado"))</f>
        <v/>
      </c>
      <c r="E599" s="22"/>
      <c r="F599" s="23" t="str">
        <f aca="false">IF(A599="","",IFERROR(buscarx(A599&amp;E599,DATA!$E$3:$E$10000&amp;DATA!$B$3:$B$10000,DATA!$M$3:$M$10000),"Inactivo"))</f>
        <v/>
      </c>
      <c r="G599" s="25" t="str">
        <f aca="false">IF(A599="","",IF(AND(C599&lt;&gt;"No encontrado",F599&lt;&gt;"Inactivo"),C599&amp;" → "&amp;F599,"Sin transición"))</f>
        <v/>
      </c>
      <c r="H599" s="23" t="str">
        <f aca="false">IF(A599="","",IF(D599="GCIA LINEA SERVICIO DIGITALIDAD Y VENTAS","Chats",IF(OR(D599="GERENCIA INBOUND LÍNEAS SERVICIO Y VENTA",D599="GERENCIA INBOUND LINEAS ESPECIALIZADAS"),"Llamadas","Otro")))</f>
        <v/>
      </c>
      <c r="I599" s="23" t="str">
        <f aca="false">IF(A599="","",IF(C599="No encontrado","No","Sí"))</f>
        <v/>
      </c>
      <c r="J599" s="23" t="str">
        <f aca="false">IF(A599="","",IF(F599="Inactivo","No","Sí"))</f>
        <v/>
      </c>
      <c r="K599" s="23" t="str">
        <f aca="false">IF(A599="","",IF(AND(I599="Sí",J599="Sí"),"Sí","No"))</f>
        <v/>
      </c>
    </row>
    <row r="600" customFormat="false" ht="15" hidden="false" customHeight="false" outlineLevel="0" collapsed="false">
      <c r="A600" s="22"/>
      <c r="B600" s="22"/>
      <c r="C600" s="26" t="str">
        <f aca="false">IF(A600="","",IFERROR(buscarx(A600&amp;B600,DATA!$E$3:$E$10000&amp;DATA!$B$3:$B$10000,DATA!$M$3:$M$10000),"No encontrado"))</f>
        <v/>
      </c>
      <c r="D600" s="27" t="str">
        <f aca="false">IF(A600="","",IFERROR(buscarx(A600&amp;B600,DATA!$E$3:$E$10000&amp;DATA!$B$3:$B$10000,DATA!$W$3:$W$10000),"No encontrado"))</f>
        <v/>
      </c>
      <c r="E600" s="22"/>
      <c r="F600" s="26" t="str">
        <f aca="false">IF(A600="","",IFERROR(buscarx(A600&amp;E600,DATA!$E$3:$E$10000&amp;DATA!$B$3:$B$10000,DATA!$M$3:$M$10000),"Inactivo"))</f>
        <v/>
      </c>
      <c r="G600" s="28" t="str">
        <f aca="false">IF(A600="","",IF(AND(C600&lt;&gt;"No encontrado",F600&lt;&gt;"Inactivo"),C600&amp;" → "&amp;F600,"Sin transición"))</f>
        <v/>
      </c>
      <c r="H600" s="26" t="str">
        <f aca="false">IF(A600="","",IF(D600="GCIA LINEA SERVICIO DIGITALIDAD Y VENTAS","Chats",IF(OR(D600="GERENCIA INBOUND LÍNEAS SERVICIO Y VENTA",D600="GERENCIA INBOUND LINEAS ESPECIALIZADAS"),"Llamadas","Otro")))</f>
        <v/>
      </c>
      <c r="I600" s="26" t="str">
        <f aca="false">IF(A600="","",IF(C600="No encontrado","No","Sí"))</f>
        <v/>
      </c>
      <c r="J600" s="26" t="str">
        <f aca="false">IF(A600="","",IF(F600="Inactivo","No","Sí"))</f>
        <v/>
      </c>
      <c r="K600" s="26" t="str">
        <f aca="false">IF(A600="","",IF(AND(I600="Sí",J600="Sí"),"Sí","No"))</f>
        <v/>
      </c>
    </row>
    <row r="601" customFormat="false" ht="15" hidden="false" customHeight="false" outlineLevel="0" collapsed="false">
      <c r="A601" s="22"/>
      <c r="B601" s="22"/>
      <c r="C601" s="23" t="str">
        <f aca="false">IF(A601="","",IFERROR(buscarx(A601&amp;B601,DATA!$E$3:$E$10000&amp;DATA!$B$3:$B$10000,DATA!$M$3:$M$10000),"No encontrado"))</f>
        <v/>
      </c>
      <c r="D601" s="24" t="str">
        <f aca="false">IF(A601="","",IFERROR(buscarx(A601&amp;B601,DATA!$E$3:$E$10000&amp;DATA!$B$3:$B$10000,DATA!$W$3:$W$10000),"No encontrado"))</f>
        <v/>
      </c>
      <c r="E601" s="22"/>
      <c r="F601" s="23" t="str">
        <f aca="false">IF(A601="","",IFERROR(buscarx(A601&amp;E601,DATA!$E$3:$E$10000&amp;DATA!$B$3:$B$10000,DATA!$M$3:$M$10000),"Inactivo"))</f>
        <v/>
      </c>
      <c r="G601" s="25" t="str">
        <f aca="false">IF(A601="","",IF(AND(C601&lt;&gt;"No encontrado",F601&lt;&gt;"Inactivo"),C601&amp;" → "&amp;F601,"Sin transición"))</f>
        <v/>
      </c>
      <c r="H601" s="23" t="str">
        <f aca="false">IF(A601="","",IF(D601="GCIA LINEA SERVICIO DIGITALIDAD Y VENTAS","Chats",IF(OR(D601="GERENCIA INBOUND LÍNEAS SERVICIO Y VENTA",D601="GERENCIA INBOUND LINEAS ESPECIALIZADAS"),"Llamadas","Otro")))</f>
        <v/>
      </c>
      <c r="I601" s="23" t="str">
        <f aca="false">IF(A601="","",IF(C601="No encontrado","No","Sí"))</f>
        <v/>
      </c>
      <c r="J601" s="23" t="str">
        <f aca="false">IF(A601="","",IF(F601="Inactivo","No","Sí"))</f>
        <v/>
      </c>
      <c r="K601" s="23" t="str">
        <f aca="false">IF(A601="","",IF(AND(I601="Sí",J601="Sí"),"Sí","No"))</f>
        <v/>
      </c>
    </row>
    <row r="602" customFormat="false" ht="15" hidden="false" customHeight="false" outlineLevel="0" collapsed="false">
      <c r="A602" s="22"/>
      <c r="B602" s="22"/>
      <c r="C602" s="26" t="str">
        <f aca="false">IF(A602="","",IFERROR(buscarx(A602&amp;B602,DATA!$E$3:$E$10000&amp;DATA!$B$3:$B$10000,DATA!$M$3:$M$10000),"No encontrado"))</f>
        <v/>
      </c>
      <c r="D602" s="27" t="str">
        <f aca="false">IF(A602="","",IFERROR(buscarx(A602&amp;B602,DATA!$E$3:$E$10000&amp;DATA!$B$3:$B$10000,DATA!$W$3:$W$10000),"No encontrado"))</f>
        <v/>
      </c>
      <c r="E602" s="22"/>
      <c r="F602" s="26" t="str">
        <f aca="false">IF(A602="","",IFERROR(buscarx(A602&amp;E602,DATA!$E$3:$E$10000&amp;DATA!$B$3:$B$10000,DATA!$M$3:$M$10000),"Inactivo"))</f>
        <v/>
      </c>
      <c r="G602" s="28" t="str">
        <f aca="false">IF(A602="","",IF(AND(C602&lt;&gt;"No encontrado",F602&lt;&gt;"Inactivo"),C602&amp;" → "&amp;F602,"Sin transición"))</f>
        <v/>
      </c>
      <c r="H602" s="26" t="str">
        <f aca="false">IF(A602="","",IF(D602="GCIA LINEA SERVICIO DIGITALIDAD Y VENTAS","Chats",IF(OR(D602="GERENCIA INBOUND LÍNEAS SERVICIO Y VENTA",D602="GERENCIA INBOUND LINEAS ESPECIALIZADAS"),"Llamadas","Otro")))</f>
        <v/>
      </c>
      <c r="I602" s="26" t="str">
        <f aca="false">IF(A602="","",IF(C602="No encontrado","No","Sí"))</f>
        <v/>
      </c>
      <c r="J602" s="26" t="str">
        <f aca="false">IF(A602="","",IF(F602="Inactivo","No","Sí"))</f>
        <v/>
      </c>
      <c r="K602" s="26" t="str">
        <f aca="false">IF(A602="","",IF(AND(I602="Sí",J602="Sí"),"Sí","No"))</f>
        <v/>
      </c>
    </row>
    <row r="603" customFormat="false" ht="15" hidden="false" customHeight="false" outlineLevel="0" collapsed="false">
      <c r="A603" s="22"/>
      <c r="B603" s="22"/>
      <c r="C603" s="23" t="str">
        <f aca="false">IF(A603="","",IFERROR(buscarx(A603&amp;B603,DATA!$E$3:$E$10000&amp;DATA!$B$3:$B$10000,DATA!$M$3:$M$10000),"No encontrado"))</f>
        <v/>
      </c>
      <c r="D603" s="24" t="str">
        <f aca="false">IF(A603="","",IFERROR(buscarx(A603&amp;B603,DATA!$E$3:$E$10000&amp;DATA!$B$3:$B$10000,DATA!$W$3:$W$10000),"No encontrado"))</f>
        <v/>
      </c>
      <c r="E603" s="22"/>
      <c r="F603" s="23" t="str">
        <f aca="false">IF(A603="","",IFERROR(buscarx(A603&amp;E603,DATA!$E$3:$E$10000&amp;DATA!$B$3:$B$10000,DATA!$M$3:$M$10000),"Inactivo"))</f>
        <v/>
      </c>
      <c r="G603" s="25" t="str">
        <f aca="false">IF(A603="","",IF(AND(C603&lt;&gt;"No encontrado",F603&lt;&gt;"Inactivo"),C603&amp;" → "&amp;F603,"Sin transición"))</f>
        <v/>
      </c>
      <c r="H603" s="23" t="str">
        <f aca="false">IF(A603="","",IF(D603="GCIA LINEA SERVICIO DIGITALIDAD Y VENTAS","Chats",IF(OR(D603="GERENCIA INBOUND LÍNEAS SERVICIO Y VENTA",D603="GERENCIA INBOUND LINEAS ESPECIALIZADAS"),"Llamadas","Otro")))</f>
        <v/>
      </c>
      <c r="I603" s="23" t="str">
        <f aca="false">IF(A603="","",IF(C603="No encontrado","No","Sí"))</f>
        <v/>
      </c>
      <c r="J603" s="23" t="str">
        <f aca="false">IF(A603="","",IF(F603="Inactivo","No","Sí"))</f>
        <v/>
      </c>
      <c r="K603" s="23" t="str">
        <f aca="false">IF(A603="","",IF(AND(I603="Sí",J603="Sí"),"Sí","No"))</f>
        <v/>
      </c>
    </row>
    <row r="604" customFormat="false" ht="15" hidden="false" customHeight="false" outlineLevel="0" collapsed="false">
      <c r="A604" s="22"/>
      <c r="B604" s="22"/>
      <c r="C604" s="26" t="str">
        <f aca="false">IF(A604="","",IFERROR(buscarx(A604&amp;B604,DATA!$E$3:$E$10000&amp;DATA!$B$3:$B$10000,DATA!$M$3:$M$10000),"No encontrado"))</f>
        <v/>
      </c>
      <c r="D604" s="27" t="str">
        <f aca="false">IF(A604="","",IFERROR(buscarx(A604&amp;B604,DATA!$E$3:$E$10000&amp;DATA!$B$3:$B$10000,DATA!$W$3:$W$10000),"No encontrado"))</f>
        <v/>
      </c>
      <c r="E604" s="22"/>
      <c r="F604" s="26" t="str">
        <f aca="false">IF(A604="","",IFERROR(buscarx(A604&amp;E604,DATA!$E$3:$E$10000&amp;DATA!$B$3:$B$10000,DATA!$M$3:$M$10000),"Inactivo"))</f>
        <v/>
      </c>
      <c r="G604" s="28" t="str">
        <f aca="false">IF(A604="","",IF(AND(C604&lt;&gt;"No encontrado",F604&lt;&gt;"Inactivo"),C604&amp;" → "&amp;F604,"Sin transición"))</f>
        <v/>
      </c>
      <c r="H604" s="26" t="str">
        <f aca="false">IF(A604="","",IF(D604="GCIA LINEA SERVICIO DIGITALIDAD Y VENTAS","Chats",IF(OR(D604="GERENCIA INBOUND LÍNEAS SERVICIO Y VENTA",D604="GERENCIA INBOUND LINEAS ESPECIALIZADAS"),"Llamadas","Otro")))</f>
        <v/>
      </c>
      <c r="I604" s="26" t="str">
        <f aca="false">IF(A604="","",IF(C604="No encontrado","No","Sí"))</f>
        <v/>
      </c>
      <c r="J604" s="26" t="str">
        <f aca="false">IF(A604="","",IF(F604="Inactivo","No","Sí"))</f>
        <v/>
      </c>
      <c r="K604" s="26" t="str">
        <f aca="false">IF(A604="","",IF(AND(I604="Sí",J604="Sí"),"Sí","No"))</f>
        <v/>
      </c>
    </row>
    <row r="605" customFormat="false" ht="15" hidden="false" customHeight="false" outlineLevel="0" collapsed="false">
      <c r="A605" s="22"/>
      <c r="B605" s="22"/>
      <c r="C605" s="23" t="str">
        <f aca="false">IF(A605="","",IFERROR(buscarx(A605&amp;B605,DATA!$E$3:$E$10000&amp;DATA!$B$3:$B$10000,DATA!$M$3:$M$10000),"No encontrado"))</f>
        <v/>
      </c>
      <c r="D605" s="24" t="str">
        <f aca="false">IF(A605="","",IFERROR(buscarx(A605&amp;B605,DATA!$E$3:$E$10000&amp;DATA!$B$3:$B$10000,DATA!$W$3:$W$10000),"No encontrado"))</f>
        <v/>
      </c>
      <c r="E605" s="22"/>
      <c r="F605" s="23" t="str">
        <f aca="false">IF(A605="","",IFERROR(buscarx(A605&amp;E605,DATA!$E$3:$E$10000&amp;DATA!$B$3:$B$10000,DATA!$M$3:$M$10000),"Inactivo"))</f>
        <v/>
      </c>
      <c r="G605" s="25" t="str">
        <f aca="false">IF(A605="","",IF(AND(C605&lt;&gt;"No encontrado",F605&lt;&gt;"Inactivo"),C605&amp;" → "&amp;F605,"Sin transición"))</f>
        <v/>
      </c>
      <c r="H605" s="23" t="str">
        <f aca="false">IF(A605="","",IF(D605="GCIA LINEA SERVICIO DIGITALIDAD Y VENTAS","Chats",IF(OR(D605="GERENCIA INBOUND LÍNEAS SERVICIO Y VENTA",D605="GERENCIA INBOUND LINEAS ESPECIALIZADAS"),"Llamadas","Otro")))</f>
        <v/>
      </c>
      <c r="I605" s="23" t="str">
        <f aca="false">IF(A605="","",IF(C605="No encontrado","No","Sí"))</f>
        <v/>
      </c>
      <c r="J605" s="23" t="str">
        <f aca="false">IF(A605="","",IF(F605="Inactivo","No","Sí"))</f>
        <v/>
      </c>
      <c r="K605" s="23" t="str">
        <f aca="false">IF(A605="","",IF(AND(I605="Sí",J605="Sí"),"Sí","No"))</f>
        <v/>
      </c>
    </row>
    <row r="606" customFormat="false" ht="15" hidden="false" customHeight="false" outlineLevel="0" collapsed="false">
      <c r="A606" s="22"/>
      <c r="B606" s="22"/>
      <c r="C606" s="26" t="str">
        <f aca="false">IF(A606="","",IFERROR(buscarx(A606&amp;B606,DATA!$E$3:$E$10000&amp;DATA!$B$3:$B$10000,DATA!$M$3:$M$10000),"No encontrado"))</f>
        <v/>
      </c>
      <c r="D606" s="27" t="str">
        <f aca="false">IF(A606="","",IFERROR(buscarx(A606&amp;B606,DATA!$E$3:$E$10000&amp;DATA!$B$3:$B$10000,DATA!$W$3:$W$10000),"No encontrado"))</f>
        <v/>
      </c>
      <c r="E606" s="22"/>
      <c r="F606" s="26" t="str">
        <f aca="false">IF(A606="","",IFERROR(buscarx(A606&amp;E606,DATA!$E$3:$E$10000&amp;DATA!$B$3:$B$10000,DATA!$M$3:$M$10000),"Inactivo"))</f>
        <v/>
      </c>
      <c r="G606" s="28" t="str">
        <f aca="false">IF(A606="","",IF(AND(C606&lt;&gt;"No encontrado",F606&lt;&gt;"Inactivo"),C606&amp;" → "&amp;F606,"Sin transición"))</f>
        <v/>
      </c>
      <c r="H606" s="26" t="str">
        <f aca="false">IF(A606="","",IF(D606="GCIA LINEA SERVICIO DIGITALIDAD Y VENTAS","Chats",IF(OR(D606="GERENCIA INBOUND LÍNEAS SERVICIO Y VENTA",D606="GERENCIA INBOUND LINEAS ESPECIALIZADAS"),"Llamadas","Otro")))</f>
        <v/>
      </c>
      <c r="I606" s="26" t="str">
        <f aca="false">IF(A606="","",IF(C606="No encontrado","No","Sí"))</f>
        <v/>
      </c>
      <c r="J606" s="26" t="str">
        <f aca="false">IF(A606="","",IF(F606="Inactivo","No","Sí"))</f>
        <v/>
      </c>
      <c r="K606" s="26" t="str">
        <f aca="false">IF(A606="","",IF(AND(I606="Sí",J606="Sí"),"Sí","No"))</f>
        <v/>
      </c>
    </row>
    <row r="607" customFormat="false" ht="15" hidden="false" customHeight="false" outlineLevel="0" collapsed="false">
      <c r="A607" s="22"/>
      <c r="B607" s="22"/>
      <c r="C607" s="23" t="str">
        <f aca="false">IF(A607="","",IFERROR(buscarx(A607&amp;B607,DATA!$E$3:$E$10000&amp;DATA!$B$3:$B$10000,DATA!$M$3:$M$10000),"No encontrado"))</f>
        <v/>
      </c>
      <c r="D607" s="24" t="str">
        <f aca="false">IF(A607="","",IFERROR(buscarx(A607&amp;B607,DATA!$E$3:$E$10000&amp;DATA!$B$3:$B$10000,DATA!$W$3:$W$10000),"No encontrado"))</f>
        <v/>
      </c>
      <c r="E607" s="22"/>
      <c r="F607" s="23" t="str">
        <f aca="false">IF(A607="","",IFERROR(buscarx(A607&amp;E607,DATA!$E$3:$E$10000&amp;DATA!$B$3:$B$10000,DATA!$M$3:$M$10000),"Inactivo"))</f>
        <v/>
      </c>
      <c r="G607" s="25" t="str">
        <f aca="false">IF(A607="","",IF(AND(C607&lt;&gt;"No encontrado",F607&lt;&gt;"Inactivo"),C607&amp;" → "&amp;F607,"Sin transición"))</f>
        <v/>
      </c>
      <c r="H607" s="23" t="str">
        <f aca="false">IF(A607="","",IF(D607="GCIA LINEA SERVICIO DIGITALIDAD Y VENTAS","Chats",IF(OR(D607="GERENCIA INBOUND LÍNEAS SERVICIO Y VENTA",D607="GERENCIA INBOUND LINEAS ESPECIALIZADAS"),"Llamadas","Otro")))</f>
        <v/>
      </c>
      <c r="I607" s="23" t="str">
        <f aca="false">IF(A607="","",IF(C607="No encontrado","No","Sí"))</f>
        <v/>
      </c>
      <c r="J607" s="23" t="str">
        <f aca="false">IF(A607="","",IF(F607="Inactivo","No","Sí"))</f>
        <v/>
      </c>
      <c r="K607" s="23" t="str">
        <f aca="false">IF(A607="","",IF(AND(I607="Sí",J607="Sí"),"Sí","No"))</f>
        <v/>
      </c>
    </row>
    <row r="608" customFormat="false" ht="15" hidden="false" customHeight="false" outlineLevel="0" collapsed="false">
      <c r="A608" s="22"/>
      <c r="B608" s="22"/>
      <c r="C608" s="26" t="str">
        <f aca="false">IF(A608="","",IFERROR(buscarx(A608&amp;B608,DATA!$E$3:$E$10000&amp;DATA!$B$3:$B$10000,DATA!$M$3:$M$10000),"No encontrado"))</f>
        <v/>
      </c>
      <c r="D608" s="27" t="str">
        <f aca="false">IF(A608="","",IFERROR(buscarx(A608&amp;B608,DATA!$E$3:$E$10000&amp;DATA!$B$3:$B$10000,DATA!$W$3:$W$10000),"No encontrado"))</f>
        <v/>
      </c>
      <c r="E608" s="22"/>
      <c r="F608" s="26" t="str">
        <f aca="false">IF(A608="","",IFERROR(buscarx(A608&amp;E608,DATA!$E$3:$E$10000&amp;DATA!$B$3:$B$10000,DATA!$M$3:$M$10000),"Inactivo"))</f>
        <v/>
      </c>
      <c r="G608" s="28" t="str">
        <f aca="false">IF(A608="","",IF(AND(C608&lt;&gt;"No encontrado",F608&lt;&gt;"Inactivo"),C608&amp;" → "&amp;F608,"Sin transición"))</f>
        <v/>
      </c>
      <c r="H608" s="26" t="str">
        <f aca="false">IF(A608="","",IF(D608="GCIA LINEA SERVICIO DIGITALIDAD Y VENTAS","Chats",IF(OR(D608="GERENCIA INBOUND LÍNEAS SERVICIO Y VENTA",D608="GERENCIA INBOUND LINEAS ESPECIALIZADAS"),"Llamadas","Otro")))</f>
        <v/>
      </c>
      <c r="I608" s="26" t="str">
        <f aca="false">IF(A608="","",IF(C608="No encontrado","No","Sí"))</f>
        <v/>
      </c>
      <c r="J608" s="26" t="str">
        <f aca="false">IF(A608="","",IF(F608="Inactivo","No","Sí"))</f>
        <v/>
      </c>
      <c r="K608" s="26" t="str">
        <f aca="false">IF(A608="","",IF(AND(I608="Sí",J608="Sí"),"Sí","No"))</f>
        <v/>
      </c>
    </row>
    <row r="609" customFormat="false" ht="15" hidden="false" customHeight="false" outlineLevel="0" collapsed="false">
      <c r="A609" s="22"/>
      <c r="B609" s="22"/>
      <c r="C609" s="23" t="str">
        <f aca="false">IF(A609="","",IFERROR(buscarx(A609&amp;B609,DATA!$E$3:$E$10000&amp;DATA!$B$3:$B$10000,DATA!$M$3:$M$10000),"No encontrado"))</f>
        <v/>
      </c>
      <c r="D609" s="24" t="str">
        <f aca="false">IF(A609="","",IFERROR(buscarx(A609&amp;B609,DATA!$E$3:$E$10000&amp;DATA!$B$3:$B$10000,DATA!$W$3:$W$10000),"No encontrado"))</f>
        <v/>
      </c>
      <c r="E609" s="22"/>
      <c r="F609" s="23" t="str">
        <f aca="false">IF(A609="","",IFERROR(buscarx(A609&amp;E609,DATA!$E$3:$E$10000&amp;DATA!$B$3:$B$10000,DATA!$M$3:$M$10000),"Inactivo"))</f>
        <v/>
      </c>
      <c r="G609" s="25" t="str">
        <f aca="false">IF(A609="","",IF(AND(C609&lt;&gt;"No encontrado",F609&lt;&gt;"Inactivo"),C609&amp;" → "&amp;F609,"Sin transición"))</f>
        <v/>
      </c>
      <c r="H609" s="23" t="str">
        <f aca="false">IF(A609="","",IF(D609="GCIA LINEA SERVICIO DIGITALIDAD Y VENTAS","Chats",IF(OR(D609="GERENCIA INBOUND LÍNEAS SERVICIO Y VENTA",D609="GERENCIA INBOUND LINEAS ESPECIALIZADAS"),"Llamadas","Otro")))</f>
        <v/>
      </c>
      <c r="I609" s="23" t="str">
        <f aca="false">IF(A609="","",IF(C609="No encontrado","No","Sí"))</f>
        <v/>
      </c>
      <c r="J609" s="23" t="str">
        <f aca="false">IF(A609="","",IF(F609="Inactivo","No","Sí"))</f>
        <v/>
      </c>
      <c r="K609" s="23" t="str">
        <f aca="false">IF(A609="","",IF(AND(I609="Sí",J609="Sí"),"Sí","No"))</f>
        <v/>
      </c>
    </row>
    <row r="610" customFormat="false" ht="15" hidden="false" customHeight="false" outlineLevel="0" collapsed="false">
      <c r="A610" s="22"/>
      <c r="B610" s="22"/>
      <c r="C610" s="26" t="str">
        <f aca="false">IF(A610="","",IFERROR(buscarx(A610&amp;B610,DATA!$E$3:$E$10000&amp;DATA!$B$3:$B$10000,DATA!$M$3:$M$10000),"No encontrado"))</f>
        <v/>
      </c>
      <c r="D610" s="27" t="str">
        <f aca="false">IF(A610="","",IFERROR(buscarx(A610&amp;B610,DATA!$E$3:$E$10000&amp;DATA!$B$3:$B$10000,DATA!$W$3:$W$10000),"No encontrado"))</f>
        <v/>
      </c>
      <c r="E610" s="22"/>
      <c r="F610" s="26" t="str">
        <f aca="false">IF(A610="","",IFERROR(buscarx(A610&amp;E610,DATA!$E$3:$E$10000&amp;DATA!$B$3:$B$10000,DATA!$M$3:$M$10000),"Inactivo"))</f>
        <v/>
      </c>
      <c r="G610" s="28" t="str">
        <f aca="false">IF(A610="","",IF(AND(C610&lt;&gt;"No encontrado",F610&lt;&gt;"Inactivo"),C610&amp;" → "&amp;F610,"Sin transición"))</f>
        <v/>
      </c>
      <c r="H610" s="26" t="str">
        <f aca="false">IF(A610="","",IF(D610="GCIA LINEA SERVICIO DIGITALIDAD Y VENTAS","Chats",IF(OR(D610="GERENCIA INBOUND LÍNEAS SERVICIO Y VENTA",D610="GERENCIA INBOUND LINEAS ESPECIALIZADAS"),"Llamadas","Otro")))</f>
        <v/>
      </c>
      <c r="I610" s="26" t="str">
        <f aca="false">IF(A610="","",IF(C610="No encontrado","No","Sí"))</f>
        <v/>
      </c>
      <c r="J610" s="26" t="str">
        <f aca="false">IF(A610="","",IF(F610="Inactivo","No","Sí"))</f>
        <v/>
      </c>
      <c r="K610" s="26" t="str">
        <f aca="false">IF(A610="","",IF(AND(I610="Sí",J610="Sí"),"Sí","No"))</f>
        <v/>
      </c>
    </row>
    <row r="611" customFormat="false" ht="15" hidden="false" customHeight="false" outlineLevel="0" collapsed="false">
      <c r="A611" s="22"/>
      <c r="B611" s="22"/>
      <c r="C611" s="23" t="str">
        <f aca="false">IF(A611="","",IFERROR(buscarx(A611&amp;B611,DATA!$E$3:$E$10000&amp;DATA!$B$3:$B$10000,DATA!$M$3:$M$10000),"No encontrado"))</f>
        <v/>
      </c>
      <c r="D611" s="24" t="str">
        <f aca="false">IF(A611="","",IFERROR(buscarx(A611&amp;B611,DATA!$E$3:$E$10000&amp;DATA!$B$3:$B$10000,DATA!$W$3:$W$10000),"No encontrado"))</f>
        <v/>
      </c>
      <c r="E611" s="22"/>
      <c r="F611" s="23" t="str">
        <f aca="false">IF(A611="","",IFERROR(buscarx(A611&amp;E611,DATA!$E$3:$E$10000&amp;DATA!$B$3:$B$10000,DATA!$M$3:$M$10000),"Inactivo"))</f>
        <v/>
      </c>
      <c r="G611" s="25" t="str">
        <f aca="false">IF(A611="","",IF(AND(C611&lt;&gt;"No encontrado",F611&lt;&gt;"Inactivo"),C611&amp;" → "&amp;F611,"Sin transición"))</f>
        <v/>
      </c>
      <c r="H611" s="23" t="str">
        <f aca="false">IF(A611="","",IF(D611="GCIA LINEA SERVICIO DIGITALIDAD Y VENTAS","Chats",IF(OR(D611="GERENCIA INBOUND LÍNEAS SERVICIO Y VENTA",D611="GERENCIA INBOUND LINEAS ESPECIALIZADAS"),"Llamadas","Otro")))</f>
        <v/>
      </c>
      <c r="I611" s="23" t="str">
        <f aca="false">IF(A611="","",IF(C611="No encontrado","No","Sí"))</f>
        <v/>
      </c>
      <c r="J611" s="23" t="str">
        <f aca="false">IF(A611="","",IF(F611="Inactivo","No","Sí"))</f>
        <v/>
      </c>
      <c r="K611" s="23" t="str">
        <f aca="false">IF(A611="","",IF(AND(I611="Sí",J611="Sí"),"Sí","No"))</f>
        <v/>
      </c>
    </row>
    <row r="612" customFormat="false" ht="15" hidden="false" customHeight="false" outlineLevel="0" collapsed="false">
      <c r="A612" s="22"/>
      <c r="B612" s="22"/>
      <c r="C612" s="26" t="str">
        <f aca="false">IF(A612="","",IFERROR(buscarx(A612&amp;B612,DATA!$E$3:$E$10000&amp;DATA!$B$3:$B$10000,DATA!$M$3:$M$10000),"No encontrado"))</f>
        <v/>
      </c>
      <c r="D612" s="27" t="str">
        <f aca="false">IF(A612="","",IFERROR(buscarx(A612&amp;B612,DATA!$E$3:$E$10000&amp;DATA!$B$3:$B$10000,DATA!$W$3:$W$10000),"No encontrado"))</f>
        <v/>
      </c>
      <c r="E612" s="22"/>
      <c r="F612" s="26" t="str">
        <f aca="false">IF(A612="","",IFERROR(buscarx(A612&amp;E612,DATA!$E$3:$E$10000&amp;DATA!$B$3:$B$10000,DATA!$M$3:$M$10000),"Inactivo"))</f>
        <v/>
      </c>
      <c r="G612" s="28" t="str">
        <f aca="false">IF(A612="","",IF(AND(C612&lt;&gt;"No encontrado",F612&lt;&gt;"Inactivo"),C612&amp;" → "&amp;F612,"Sin transición"))</f>
        <v/>
      </c>
      <c r="H612" s="26" t="str">
        <f aca="false">IF(A612="","",IF(D612="GCIA LINEA SERVICIO DIGITALIDAD Y VENTAS","Chats",IF(OR(D612="GERENCIA INBOUND LÍNEAS SERVICIO Y VENTA",D612="GERENCIA INBOUND LINEAS ESPECIALIZADAS"),"Llamadas","Otro")))</f>
        <v/>
      </c>
      <c r="I612" s="26" t="str">
        <f aca="false">IF(A612="","",IF(C612="No encontrado","No","Sí"))</f>
        <v/>
      </c>
      <c r="J612" s="26" t="str">
        <f aca="false">IF(A612="","",IF(F612="Inactivo","No","Sí"))</f>
        <v/>
      </c>
      <c r="K612" s="26" t="str">
        <f aca="false">IF(A612="","",IF(AND(I612="Sí",J612="Sí"),"Sí","No"))</f>
        <v/>
      </c>
    </row>
    <row r="613" customFormat="false" ht="15" hidden="false" customHeight="false" outlineLevel="0" collapsed="false">
      <c r="A613" s="22"/>
      <c r="B613" s="22"/>
      <c r="C613" s="23" t="str">
        <f aca="false">IF(A613="","",IFERROR(buscarx(A613&amp;B613,DATA!$E$3:$E$10000&amp;DATA!$B$3:$B$10000,DATA!$M$3:$M$10000),"No encontrado"))</f>
        <v/>
      </c>
      <c r="D613" s="24" t="str">
        <f aca="false">IF(A613="","",IFERROR(buscarx(A613&amp;B613,DATA!$E$3:$E$10000&amp;DATA!$B$3:$B$10000,DATA!$W$3:$W$10000),"No encontrado"))</f>
        <v/>
      </c>
      <c r="E613" s="22"/>
      <c r="F613" s="23" t="str">
        <f aca="false">IF(A613="","",IFERROR(buscarx(A613&amp;E613,DATA!$E$3:$E$10000&amp;DATA!$B$3:$B$10000,DATA!$M$3:$M$10000),"Inactivo"))</f>
        <v/>
      </c>
      <c r="G613" s="25" t="str">
        <f aca="false">IF(A613="","",IF(AND(C613&lt;&gt;"No encontrado",F613&lt;&gt;"Inactivo"),C613&amp;" → "&amp;F613,"Sin transición"))</f>
        <v/>
      </c>
      <c r="H613" s="23" t="str">
        <f aca="false">IF(A613="","",IF(D613="GCIA LINEA SERVICIO DIGITALIDAD Y VENTAS","Chats",IF(OR(D613="GERENCIA INBOUND LÍNEAS SERVICIO Y VENTA",D613="GERENCIA INBOUND LINEAS ESPECIALIZADAS"),"Llamadas","Otro")))</f>
        <v/>
      </c>
      <c r="I613" s="23" t="str">
        <f aca="false">IF(A613="","",IF(C613="No encontrado","No","Sí"))</f>
        <v/>
      </c>
      <c r="J613" s="23" t="str">
        <f aca="false">IF(A613="","",IF(F613="Inactivo","No","Sí"))</f>
        <v/>
      </c>
      <c r="K613" s="23" t="str">
        <f aca="false">IF(A613="","",IF(AND(I613="Sí",J613="Sí"),"Sí","No"))</f>
        <v/>
      </c>
    </row>
    <row r="614" customFormat="false" ht="15" hidden="false" customHeight="false" outlineLevel="0" collapsed="false">
      <c r="A614" s="22"/>
      <c r="B614" s="22"/>
      <c r="C614" s="26" t="str">
        <f aca="false">IF(A614="","",IFERROR(buscarx(A614&amp;B614,DATA!$E$3:$E$10000&amp;DATA!$B$3:$B$10000,DATA!$M$3:$M$10000),"No encontrado"))</f>
        <v/>
      </c>
      <c r="D614" s="27" t="str">
        <f aca="false">IF(A614="","",IFERROR(buscarx(A614&amp;B614,DATA!$E$3:$E$10000&amp;DATA!$B$3:$B$10000,DATA!$W$3:$W$10000),"No encontrado"))</f>
        <v/>
      </c>
      <c r="E614" s="22"/>
      <c r="F614" s="26" t="str">
        <f aca="false">IF(A614="","",IFERROR(buscarx(A614&amp;E614,DATA!$E$3:$E$10000&amp;DATA!$B$3:$B$10000,DATA!$M$3:$M$10000),"Inactivo"))</f>
        <v/>
      </c>
      <c r="G614" s="28" t="str">
        <f aca="false">IF(A614="","",IF(AND(C614&lt;&gt;"No encontrado",F614&lt;&gt;"Inactivo"),C614&amp;" → "&amp;F614,"Sin transición"))</f>
        <v/>
      </c>
      <c r="H614" s="26" t="str">
        <f aca="false">IF(A614="","",IF(D614="GCIA LINEA SERVICIO DIGITALIDAD Y VENTAS","Chats",IF(OR(D614="GERENCIA INBOUND LÍNEAS SERVICIO Y VENTA",D614="GERENCIA INBOUND LINEAS ESPECIALIZADAS"),"Llamadas","Otro")))</f>
        <v/>
      </c>
      <c r="I614" s="26" t="str">
        <f aca="false">IF(A614="","",IF(C614="No encontrado","No","Sí"))</f>
        <v/>
      </c>
      <c r="J614" s="26" t="str">
        <f aca="false">IF(A614="","",IF(F614="Inactivo","No","Sí"))</f>
        <v/>
      </c>
      <c r="K614" s="26" t="str">
        <f aca="false">IF(A614="","",IF(AND(I614="Sí",J614="Sí"),"Sí","No"))</f>
        <v/>
      </c>
    </row>
    <row r="615" customFormat="false" ht="15" hidden="false" customHeight="false" outlineLevel="0" collapsed="false">
      <c r="A615" s="22"/>
      <c r="B615" s="22"/>
      <c r="C615" s="23" t="str">
        <f aca="false">IF(A615="","",IFERROR(buscarx(A615&amp;B615,DATA!$E$3:$E$10000&amp;DATA!$B$3:$B$10000,DATA!$M$3:$M$10000),"No encontrado"))</f>
        <v/>
      </c>
      <c r="D615" s="24" t="str">
        <f aca="false">IF(A615="","",IFERROR(buscarx(A615&amp;B615,DATA!$E$3:$E$10000&amp;DATA!$B$3:$B$10000,DATA!$W$3:$W$10000),"No encontrado"))</f>
        <v/>
      </c>
      <c r="E615" s="22"/>
      <c r="F615" s="23" t="str">
        <f aca="false">IF(A615="","",IFERROR(buscarx(A615&amp;E615,DATA!$E$3:$E$10000&amp;DATA!$B$3:$B$10000,DATA!$M$3:$M$10000),"Inactivo"))</f>
        <v/>
      </c>
      <c r="G615" s="25" t="str">
        <f aca="false">IF(A615="","",IF(AND(C615&lt;&gt;"No encontrado",F615&lt;&gt;"Inactivo"),C615&amp;" → "&amp;F615,"Sin transición"))</f>
        <v/>
      </c>
      <c r="H615" s="23" t="str">
        <f aca="false">IF(A615="","",IF(D615="GCIA LINEA SERVICIO DIGITALIDAD Y VENTAS","Chats",IF(OR(D615="GERENCIA INBOUND LÍNEAS SERVICIO Y VENTA",D615="GERENCIA INBOUND LINEAS ESPECIALIZADAS"),"Llamadas","Otro")))</f>
        <v/>
      </c>
      <c r="I615" s="23" t="str">
        <f aca="false">IF(A615="","",IF(C615="No encontrado","No","Sí"))</f>
        <v/>
      </c>
      <c r="J615" s="23" t="str">
        <f aca="false">IF(A615="","",IF(F615="Inactivo","No","Sí"))</f>
        <v/>
      </c>
      <c r="K615" s="23" t="str">
        <f aca="false">IF(A615="","",IF(AND(I615="Sí",J615="Sí"),"Sí","No"))</f>
        <v/>
      </c>
    </row>
    <row r="616" customFormat="false" ht="15" hidden="false" customHeight="false" outlineLevel="0" collapsed="false">
      <c r="A616" s="22"/>
      <c r="B616" s="22"/>
      <c r="C616" s="26" t="str">
        <f aca="false">IF(A616="","",IFERROR(buscarx(A616&amp;B616,DATA!$E$3:$E$10000&amp;DATA!$B$3:$B$10000,DATA!$M$3:$M$10000),"No encontrado"))</f>
        <v/>
      </c>
      <c r="D616" s="27" t="str">
        <f aca="false">IF(A616="","",IFERROR(buscarx(A616&amp;B616,DATA!$E$3:$E$10000&amp;DATA!$B$3:$B$10000,DATA!$W$3:$W$10000),"No encontrado"))</f>
        <v/>
      </c>
      <c r="E616" s="22"/>
      <c r="F616" s="26" t="str">
        <f aca="false">IF(A616="","",IFERROR(buscarx(A616&amp;E616,DATA!$E$3:$E$10000&amp;DATA!$B$3:$B$10000,DATA!$M$3:$M$10000),"Inactivo"))</f>
        <v/>
      </c>
      <c r="G616" s="28" t="str">
        <f aca="false">IF(A616="","",IF(AND(C616&lt;&gt;"No encontrado",F616&lt;&gt;"Inactivo"),C616&amp;" → "&amp;F616,"Sin transición"))</f>
        <v/>
      </c>
      <c r="H616" s="26" t="str">
        <f aca="false">IF(A616="","",IF(D616="GCIA LINEA SERVICIO DIGITALIDAD Y VENTAS","Chats",IF(OR(D616="GERENCIA INBOUND LÍNEAS SERVICIO Y VENTA",D616="GERENCIA INBOUND LINEAS ESPECIALIZADAS"),"Llamadas","Otro")))</f>
        <v/>
      </c>
      <c r="I616" s="26" t="str">
        <f aca="false">IF(A616="","",IF(C616="No encontrado","No","Sí"))</f>
        <v/>
      </c>
      <c r="J616" s="26" t="str">
        <f aca="false">IF(A616="","",IF(F616="Inactivo","No","Sí"))</f>
        <v/>
      </c>
      <c r="K616" s="26" t="str">
        <f aca="false">IF(A616="","",IF(AND(I616="Sí",J616="Sí"),"Sí","No"))</f>
        <v/>
      </c>
    </row>
    <row r="617" customFormat="false" ht="15" hidden="false" customHeight="false" outlineLevel="0" collapsed="false">
      <c r="A617" s="22"/>
      <c r="B617" s="22"/>
      <c r="C617" s="23" t="str">
        <f aca="false">IF(A617="","",IFERROR(buscarx(A617&amp;B617,DATA!$E$3:$E$10000&amp;DATA!$B$3:$B$10000,DATA!$M$3:$M$10000),"No encontrado"))</f>
        <v/>
      </c>
      <c r="D617" s="24" t="str">
        <f aca="false">IF(A617="","",IFERROR(buscarx(A617&amp;B617,DATA!$E$3:$E$10000&amp;DATA!$B$3:$B$10000,DATA!$W$3:$W$10000),"No encontrado"))</f>
        <v/>
      </c>
      <c r="E617" s="22"/>
      <c r="F617" s="23" t="str">
        <f aca="false">IF(A617="","",IFERROR(buscarx(A617&amp;E617,DATA!$E$3:$E$10000&amp;DATA!$B$3:$B$10000,DATA!$M$3:$M$10000),"Inactivo"))</f>
        <v/>
      </c>
      <c r="G617" s="25" t="str">
        <f aca="false">IF(A617="","",IF(AND(C617&lt;&gt;"No encontrado",F617&lt;&gt;"Inactivo"),C617&amp;" → "&amp;F617,"Sin transición"))</f>
        <v/>
      </c>
      <c r="H617" s="23" t="str">
        <f aca="false">IF(A617="","",IF(D617="GCIA LINEA SERVICIO DIGITALIDAD Y VENTAS","Chats",IF(OR(D617="GERENCIA INBOUND LÍNEAS SERVICIO Y VENTA",D617="GERENCIA INBOUND LINEAS ESPECIALIZADAS"),"Llamadas","Otro")))</f>
        <v/>
      </c>
      <c r="I617" s="23" t="str">
        <f aca="false">IF(A617="","",IF(C617="No encontrado","No","Sí"))</f>
        <v/>
      </c>
      <c r="J617" s="23" t="str">
        <f aca="false">IF(A617="","",IF(F617="Inactivo","No","Sí"))</f>
        <v/>
      </c>
      <c r="K617" s="23" t="str">
        <f aca="false">IF(A617="","",IF(AND(I617="Sí",J617="Sí"),"Sí","No"))</f>
        <v/>
      </c>
    </row>
    <row r="618" customFormat="false" ht="15" hidden="false" customHeight="false" outlineLevel="0" collapsed="false">
      <c r="A618" s="22"/>
      <c r="B618" s="22"/>
      <c r="C618" s="26" t="str">
        <f aca="false">IF(A618="","",IFERROR(buscarx(A618&amp;B618,DATA!$E$3:$E$10000&amp;DATA!$B$3:$B$10000,DATA!$M$3:$M$10000),"No encontrado"))</f>
        <v/>
      </c>
      <c r="D618" s="27" t="str">
        <f aca="false">IF(A618="","",IFERROR(buscarx(A618&amp;B618,DATA!$E$3:$E$10000&amp;DATA!$B$3:$B$10000,DATA!$W$3:$W$10000),"No encontrado"))</f>
        <v/>
      </c>
      <c r="E618" s="22"/>
      <c r="F618" s="26" t="str">
        <f aca="false">IF(A618="","",IFERROR(buscarx(A618&amp;E618,DATA!$E$3:$E$10000&amp;DATA!$B$3:$B$10000,DATA!$M$3:$M$10000),"Inactivo"))</f>
        <v/>
      </c>
      <c r="G618" s="28" t="str">
        <f aca="false">IF(A618="","",IF(AND(C618&lt;&gt;"No encontrado",F618&lt;&gt;"Inactivo"),C618&amp;" → "&amp;F618,"Sin transición"))</f>
        <v/>
      </c>
      <c r="H618" s="26" t="str">
        <f aca="false">IF(A618="","",IF(D618="GCIA LINEA SERVICIO DIGITALIDAD Y VENTAS","Chats",IF(OR(D618="GERENCIA INBOUND LÍNEAS SERVICIO Y VENTA",D618="GERENCIA INBOUND LINEAS ESPECIALIZADAS"),"Llamadas","Otro")))</f>
        <v/>
      </c>
      <c r="I618" s="26" t="str">
        <f aca="false">IF(A618="","",IF(C618="No encontrado","No","Sí"))</f>
        <v/>
      </c>
      <c r="J618" s="26" t="str">
        <f aca="false">IF(A618="","",IF(F618="Inactivo","No","Sí"))</f>
        <v/>
      </c>
      <c r="K618" s="26" t="str">
        <f aca="false">IF(A618="","",IF(AND(I618="Sí",J618="Sí"),"Sí","No"))</f>
        <v/>
      </c>
    </row>
    <row r="619" customFormat="false" ht="15" hidden="false" customHeight="false" outlineLevel="0" collapsed="false">
      <c r="A619" s="22"/>
      <c r="B619" s="22"/>
      <c r="C619" s="23" t="str">
        <f aca="false">IF(A619="","",IFERROR(buscarx(A619&amp;B619,DATA!$E$3:$E$10000&amp;DATA!$B$3:$B$10000,DATA!$M$3:$M$10000),"No encontrado"))</f>
        <v/>
      </c>
      <c r="D619" s="24" t="str">
        <f aca="false">IF(A619="","",IFERROR(buscarx(A619&amp;B619,DATA!$E$3:$E$10000&amp;DATA!$B$3:$B$10000,DATA!$W$3:$W$10000),"No encontrado"))</f>
        <v/>
      </c>
      <c r="E619" s="22"/>
      <c r="F619" s="23" t="str">
        <f aca="false">IF(A619="","",IFERROR(buscarx(A619&amp;E619,DATA!$E$3:$E$10000&amp;DATA!$B$3:$B$10000,DATA!$M$3:$M$10000),"Inactivo"))</f>
        <v/>
      </c>
      <c r="G619" s="25" t="str">
        <f aca="false">IF(A619="","",IF(AND(C619&lt;&gt;"No encontrado",F619&lt;&gt;"Inactivo"),C619&amp;" → "&amp;F619,"Sin transición"))</f>
        <v/>
      </c>
      <c r="H619" s="23" t="str">
        <f aca="false">IF(A619="","",IF(D619="GCIA LINEA SERVICIO DIGITALIDAD Y VENTAS","Chats",IF(OR(D619="GERENCIA INBOUND LÍNEAS SERVICIO Y VENTA",D619="GERENCIA INBOUND LINEAS ESPECIALIZADAS"),"Llamadas","Otro")))</f>
        <v/>
      </c>
      <c r="I619" s="23" t="str">
        <f aca="false">IF(A619="","",IF(C619="No encontrado","No","Sí"))</f>
        <v/>
      </c>
      <c r="J619" s="23" t="str">
        <f aca="false">IF(A619="","",IF(F619="Inactivo","No","Sí"))</f>
        <v/>
      </c>
      <c r="K619" s="23" t="str">
        <f aca="false">IF(A619="","",IF(AND(I619="Sí",J619="Sí"),"Sí","No"))</f>
        <v/>
      </c>
    </row>
    <row r="620" customFormat="false" ht="15" hidden="false" customHeight="false" outlineLevel="0" collapsed="false">
      <c r="A620" s="22"/>
      <c r="B620" s="22"/>
      <c r="C620" s="26" t="str">
        <f aca="false">IF(A620="","",IFERROR(buscarx(A620&amp;B620,DATA!$E$3:$E$10000&amp;DATA!$B$3:$B$10000,DATA!$M$3:$M$10000),"No encontrado"))</f>
        <v/>
      </c>
      <c r="D620" s="27" t="str">
        <f aca="false">IF(A620="","",IFERROR(buscarx(A620&amp;B620,DATA!$E$3:$E$10000&amp;DATA!$B$3:$B$10000,DATA!$W$3:$W$10000),"No encontrado"))</f>
        <v/>
      </c>
      <c r="E620" s="22"/>
      <c r="F620" s="26" t="str">
        <f aca="false">IF(A620="","",IFERROR(buscarx(A620&amp;E620,DATA!$E$3:$E$10000&amp;DATA!$B$3:$B$10000,DATA!$M$3:$M$10000),"Inactivo"))</f>
        <v/>
      </c>
      <c r="G620" s="28" t="str">
        <f aca="false">IF(A620="","",IF(AND(C620&lt;&gt;"No encontrado",F620&lt;&gt;"Inactivo"),C620&amp;" → "&amp;F620,"Sin transición"))</f>
        <v/>
      </c>
      <c r="H620" s="26" t="str">
        <f aca="false">IF(A620="","",IF(D620="GCIA LINEA SERVICIO DIGITALIDAD Y VENTAS","Chats",IF(OR(D620="GERENCIA INBOUND LÍNEAS SERVICIO Y VENTA",D620="GERENCIA INBOUND LINEAS ESPECIALIZADAS"),"Llamadas","Otro")))</f>
        <v/>
      </c>
      <c r="I620" s="26" t="str">
        <f aca="false">IF(A620="","",IF(C620="No encontrado","No","Sí"))</f>
        <v/>
      </c>
      <c r="J620" s="26" t="str">
        <f aca="false">IF(A620="","",IF(F620="Inactivo","No","Sí"))</f>
        <v/>
      </c>
      <c r="K620" s="26" t="str">
        <f aca="false">IF(A620="","",IF(AND(I620="Sí",J620="Sí"),"Sí","No"))</f>
        <v/>
      </c>
    </row>
    <row r="621" customFormat="false" ht="15" hidden="false" customHeight="false" outlineLevel="0" collapsed="false">
      <c r="A621" s="22"/>
      <c r="B621" s="22"/>
      <c r="C621" s="23" t="str">
        <f aca="false">IF(A621="","",IFERROR(buscarx(A621&amp;B621,DATA!$E$3:$E$10000&amp;DATA!$B$3:$B$10000,DATA!$M$3:$M$10000),"No encontrado"))</f>
        <v/>
      </c>
      <c r="D621" s="24" t="str">
        <f aca="false">IF(A621="","",IFERROR(buscarx(A621&amp;B621,DATA!$E$3:$E$10000&amp;DATA!$B$3:$B$10000,DATA!$W$3:$W$10000),"No encontrado"))</f>
        <v/>
      </c>
      <c r="E621" s="22"/>
      <c r="F621" s="23" t="str">
        <f aca="false">IF(A621="","",IFERROR(buscarx(A621&amp;E621,DATA!$E$3:$E$10000&amp;DATA!$B$3:$B$10000,DATA!$M$3:$M$10000),"Inactivo"))</f>
        <v/>
      </c>
      <c r="G621" s="25" t="str">
        <f aca="false">IF(A621="","",IF(AND(C621&lt;&gt;"No encontrado",F621&lt;&gt;"Inactivo"),C621&amp;" → "&amp;F621,"Sin transición"))</f>
        <v/>
      </c>
      <c r="H621" s="23" t="str">
        <f aca="false">IF(A621="","",IF(D621="GCIA LINEA SERVICIO DIGITALIDAD Y VENTAS","Chats",IF(OR(D621="GERENCIA INBOUND LÍNEAS SERVICIO Y VENTA",D621="GERENCIA INBOUND LINEAS ESPECIALIZADAS"),"Llamadas","Otro")))</f>
        <v/>
      </c>
      <c r="I621" s="23" t="str">
        <f aca="false">IF(A621="","",IF(C621="No encontrado","No","Sí"))</f>
        <v/>
      </c>
      <c r="J621" s="23" t="str">
        <f aca="false">IF(A621="","",IF(F621="Inactivo","No","Sí"))</f>
        <v/>
      </c>
      <c r="K621" s="23" t="str">
        <f aca="false">IF(A621="","",IF(AND(I621="Sí",J621="Sí"),"Sí","No"))</f>
        <v/>
      </c>
    </row>
    <row r="622" customFormat="false" ht="15" hidden="false" customHeight="false" outlineLevel="0" collapsed="false">
      <c r="A622" s="22"/>
      <c r="B622" s="22"/>
      <c r="C622" s="26" t="str">
        <f aca="false">IF(A622="","",IFERROR(buscarx(A622&amp;B622,DATA!$E$3:$E$10000&amp;DATA!$B$3:$B$10000,DATA!$M$3:$M$10000),"No encontrado"))</f>
        <v/>
      </c>
      <c r="D622" s="27" t="str">
        <f aca="false">IF(A622="","",IFERROR(buscarx(A622&amp;B622,DATA!$E$3:$E$10000&amp;DATA!$B$3:$B$10000,DATA!$W$3:$W$10000),"No encontrado"))</f>
        <v/>
      </c>
      <c r="E622" s="22"/>
      <c r="F622" s="26" t="str">
        <f aca="false">IF(A622="","",IFERROR(buscarx(A622&amp;E622,DATA!$E$3:$E$10000&amp;DATA!$B$3:$B$10000,DATA!$M$3:$M$10000),"Inactivo"))</f>
        <v/>
      </c>
      <c r="G622" s="28" t="str">
        <f aca="false">IF(A622="","",IF(AND(C622&lt;&gt;"No encontrado",F622&lt;&gt;"Inactivo"),C622&amp;" → "&amp;F622,"Sin transición"))</f>
        <v/>
      </c>
      <c r="H622" s="26" t="str">
        <f aca="false">IF(A622="","",IF(D622="GCIA LINEA SERVICIO DIGITALIDAD Y VENTAS","Chats",IF(OR(D622="GERENCIA INBOUND LÍNEAS SERVICIO Y VENTA",D622="GERENCIA INBOUND LINEAS ESPECIALIZADAS"),"Llamadas","Otro")))</f>
        <v/>
      </c>
      <c r="I622" s="26" t="str">
        <f aca="false">IF(A622="","",IF(C622="No encontrado","No","Sí"))</f>
        <v/>
      </c>
      <c r="J622" s="26" t="str">
        <f aca="false">IF(A622="","",IF(F622="Inactivo","No","Sí"))</f>
        <v/>
      </c>
      <c r="K622" s="26" t="str">
        <f aca="false">IF(A622="","",IF(AND(I622="Sí",J622="Sí"),"Sí","No"))</f>
        <v/>
      </c>
    </row>
    <row r="623" customFormat="false" ht="15" hidden="false" customHeight="false" outlineLevel="0" collapsed="false">
      <c r="A623" s="22"/>
      <c r="B623" s="22"/>
      <c r="C623" s="23" t="str">
        <f aca="false">IF(A623="","",IFERROR(buscarx(A623&amp;B623,DATA!$E$3:$E$10000&amp;DATA!$B$3:$B$10000,DATA!$M$3:$M$10000),"No encontrado"))</f>
        <v/>
      </c>
      <c r="D623" s="24" t="str">
        <f aca="false">IF(A623="","",IFERROR(buscarx(A623&amp;B623,DATA!$E$3:$E$10000&amp;DATA!$B$3:$B$10000,DATA!$W$3:$W$10000),"No encontrado"))</f>
        <v/>
      </c>
      <c r="E623" s="22"/>
      <c r="F623" s="23" t="str">
        <f aca="false">IF(A623="","",IFERROR(buscarx(A623&amp;E623,DATA!$E$3:$E$10000&amp;DATA!$B$3:$B$10000,DATA!$M$3:$M$10000),"Inactivo"))</f>
        <v/>
      </c>
      <c r="G623" s="25" t="str">
        <f aca="false">IF(A623="","",IF(AND(C623&lt;&gt;"No encontrado",F623&lt;&gt;"Inactivo"),C623&amp;" → "&amp;F623,"Sin transición"))</f>
        <v/>
      </c>
      <c r="H623" s="23" t="str">
        <f aca="false">IF(A623="","",IF(D623="GCIA LINEA SERVICIO DIGITALIDAD Y VENTAS","Chats",IF(OR(D623="GERENCIA INBOUND LÍNEAS SERVICIO Y VENTA",D623="GERENCIA INBOUND LINEAS ESPECIALIZADAS"),"Llamadas","Otro")))</f>
        <v/>
      </c>
      <c r="I623" s="23" t="str">
        <f aca="false">IF(A623="","",IF(C623="No encontrado","No","Sí"))</f>
        <v/>
      </c>
      <c r="J623" s="23" t="str">
        <f aca="false">IF(A623="","",IF(F623="Inactivo","No","Sí"))</f>
        <v/>
      </c>
      <c r="K623" s="23" t="str">
        <f aca="false">IF(A623="","",IF(AND(I623="Sí",J623="Sí"),"Sí","No"))</f>
        <v/>
      </c>
    </row>
    <row r="624" customFormat="false" ht="15" hidden="false" customHeight="false" outlineLevel="0" collapsed="false">
      <c r="A624" s="22"/>
      <c r="B624" s="22"/>
      <c r="C624" s="26" t="str">
        <f aca="false">IF(A624="","",IFERROR(buscarx(A624&amp;B624,DATA!$E$3:$E$10000&amp;DATA!$B$3:$B$10000,DATA!$M$3:$M$10000),"No encontrado"))</f>
        <v/>
      </c>
      <c r="D624" s="27" t="str">
        <f aca="false">IF(A624="","",IFERROR(buscarx(A624&amp;B624,DATA!$E$3:$E$10000&amp;DATA!$B$3:$B$10000,DATA!$W$3:$W$10000),"No encontrado"))</f>
        <v/>
      </c>
      <c r="E624" s="22"/>
      <c r="F624" s="26" t="str">
        <f aca="false">IF(A624="","",IFERROR(buscarx(A624&amp;E624,DATA!$E$3:$E$10000&amp;DATA!$B$3:$B$10000,DATA!$M$3:$M$10000),"Inactivo"))</f>
        <v/>
      </c>
      <c r="G624" s="28" t="str">
        <f aca="false">IF(A624="","",IF(AND(C624&lt;&gt;"No encontrado",F624&lt;&gt;"Inactivo"),C624&amp;" → "&amp;F624,"Sin transición"))</f>
        <v/>
      </c>
      <c r="H624" s="26" t="str">
        <f aca="false">IF(A624="","",IF(D624="GCIA LINEA SERVICIO DIGITALIDAD Y VENTAS","Chats",IF(OR(D624="GERENCIA INBOUND LÍNEAS SERVICIO Y VENTA",D624="GERENCIA INBOUND LINEAS ESPECIALIZADAS"),"Llamadas","Otro")))</f>
        <v/>
      </c>
      <c r="I624" s="26" t="str">
        <f aca="false">IF(A624="","",IF(C624="No encontrado","No","Sí"))</f>
        <v/>
      </c>
      <c r="J624" s="26" t="str">
        <f aca="false">IF(A624="","",IF(F624="Inactivo","No","Sí"))</f>
        <v/>
      </c>
      <c r="K624" s="26" t="str">
        <f aca="false">IF(A624="","",IF(AND(I624="Sí",J624="Sí"),"Sí","No"))</f>
        <v/>
      </c>
    </row>
    <row r="625" customFormat="false" ht="15" hidden="false" customHeight="false" outlineLevel="0" collapsed="false">
      <c r="A625" s="22"/>
      <c r="B625" s="22"/>
      <c r="C625" s="23" t="str">
        <f aca="false">IF(A625="","",IFERROR(buscarx(A625&amp;B625,DATA!$E$3:$E$10000&amp;DATA!$B$3:$B$10000,DATA!$M$3:$M$10000),"No encontrado"))</f>
        <v/>
      </c>
      <c r="D625" s="24" t="str">
        <f aca="false">IF(A625="","",IFERROR(buscarx(A625&amp;B625,DATA!$E$3:$E$10000&amp;DATA!$B$3:$B$10000,DATA!$W$3:$W$10000),"No encontrado"))</f>
        <v/>
      </c>
      <c r="E625" s="22"/>
      <c r="F625" s="23" t="str">
        <f aca="false">IF(A625="","",IFERROR(buscarx(A625&amp;E625,DATA!$E$3:$E$10000&amp;DATA!$B$3:$B$10000,DATA!$M$3:$M$10000),"Inactivo"))</f>
        <v/>
      </c>
      <c r="G625" s="25" t="str">
        <f aca="false">IF(A625="","",IF(AND(C625&lt;&gt;"No encontrado",F625&lt;&gt;"Inactivo"),C625&amp;" → "&amp;F625,"Sin transición"))</f>
        <v/>
      </c>
      <c r="H625" s="23" t="str">
        <f aca="false">IF(A625="","",IF(D625="GCIA LINEA SERVICIO DIGITALIDAD Y VENTAS","Chats",IF(OR(D625="GERENCIA INBOUND LÍNEAS SERVICIO Y VENTA",D625="GERENCIA INBOUND LINEAS ESPECIALIZADAS"),"Llamadas","Otro")))</f>
        <v/>
      </c>
      <c r="I625" s="23" t="str">
        <f aca="false">IF(A625="","",IF(C625="No encontrado","No","Sí"))</f>
        <v/>
      </c>
      <c r="J625" s="23" t="str">
        <f aca="false">IF(A625="","",IF(F625="Inactivo","No","Sí"))</f>
        <v/>
      </c>
      <c r="K625" s="23" t="str">
        <f aca="false">IF(A625="","",IF(AND(I625="Sí",J625="Sí"),"Sí","No"))</f>
        <v/>
      </c>
    </row>
    <row r="626" customFormat="false" ht="15" hidden="false" customHeight="false" outlineLevel="0" collapsed="false">
      <c r="A626" s="22"/>
      <c r="B626" s="22"/>
      <c r="C626" s="26" t="str">
        <f aca="false">IF(A626="","",IFERROR(buscarx(A626&amp;B626,DATA!$E$3:$E$10000&amp;DATA!$B$3:$B$10000,DATA!$M$3:$M$10000),"No encontrado"))</f>
        <v/>
      </c>
      <c r="D626" s="27" t="str">
        <f aca="false">IF(A626="","",IFERROR(buscarx(A626&amp;B626,DATA!$E$3:$E$10000&amp;DATA!$B$3:$B$10000,DATA!$W$3:$W$10000),"No encontrado"))</f>
        <v/>
      </c>
      <c r="E626" s="22"/>
      <c r="F626" s="26" t="str">
        <f aca="false">IF(A626="","",IFERROR(buscarx(A626&amp;E626,DATA!$E$3:$E$10000&amp;DATA!$B$3:$B$10000,DATA!$M$3:$M$10000),"Inactivo"))</f>
        <v/>
      </c>
      <c r="G626" s="28" t="str">
        <f aca="false">IF(A626="","",IF(AND(C626&lt;&gt;"No encontrado",F626&lt;&gt;"Inactivo"),C626&amp;" → "&amp;F626,"Sin transición"))</f>
        <v/>
      </c>
      <c r="H626" s="26" t="str">
        <f aca="false">IF(A626="","",IF(D626="GCIA LINEA SERVICIO DIGITALIDAD Y VENTAS","Chats",IF(OR(D626="GERENCIA INBOUND LÍNEAS SERVICIO Y VENTA",D626="GERENCIA INBOUND LINEAS ESPECIALIZADAS"),"Llamadas","Otro")))</f>
        <v/>
      </c>
      <c r="I626" s="26" t="str">
        <f aca="false">IF(A626="","",IF(C626="No encontrado","No","Sí"))</f>
        <v/>
      </c>
      <c r="J626" s="26" t="str">
        <f aca="false">IF(A626="","",IF(F626="Inactivo","No","Sí"))</f>
        <v/>
      </c>
      <c r="K626" s="26" t="str">
        <f aca="false">IF(A626="","",IF(AND(I626="Sí",J626="Sí"),"Sí","No"))</f>
        <v/>
      </c>
    </row>
    <row r="627" customFormat="false" ht="15" hidden="false" customHeight="false" outlineLevel="0" collapsed="false">
      <c r="A627" s="22"/>
      <c r="B627" s="22"/>
      <c r="C627" s="23" t="str">
        <f aca="false">IF(A627="","",IFERROR(buscarx(A627&amp;B627,DATA!$E$3:$E$10000&amp;DATA!$B$3:$B$10000,DATA!$M$3:$M$10000),"No encontrado"))</f>
        <v/>
      </c>
      <c r="D627" s="24" t="str">
        <f aca="false">IF(A627="","",IFERROR(buscarx(A627&amp;B627,DATA!$E$3:$E$10000&amp;DATA!$B$3:$B$10000,DATA!$W$3:$W$10000),"No encontrado"))</f>
        <v/>
      </c>
      <c r="E627" s="22"/>
      <c r="F627" s="23" t="str">
        <f aca="false">IF(A627="","",IFERROR(buscarx(A627&amp;E627,DATA!$E$3:$E$10000&amp;DATA!$B$3:$B$10000,DATA!$M$3:$M$10000),"Inactivo"))</f>
        <v/>
      </c>
      <c r="G627" s="25" t="str">
        <f aca="false">IF(A627="","",IF(AND(C627&lt;&gt;"No encontrado",F627&lt;&gt;"Inactivo"),C627&amp;" → "&amp;F627,"Sin transición"))</f>
        <v/>
      </c>
      <c r="H627" s="23" t="str">
        <f aca="false">IF(A627="","",IF(D627="GCIA LINEA SERVICIO DIGITALIDAD Y VENTAS","Chats",IF(OR(D627="GERENCIA INBOUND LÍNEAS SERVICIO Y VENTA",D627="GERENCIA INBOUND LINEAS ESPECIALIZADAS"),"Llamadas","Otro")))</f>
        <v/>
      </c>
      <c r="I627" s="23" t="str">
        <f aca="false">IF(A627="","",IF(C627="No encontrado","No","Sí"))</f>
        <v/>
      </c>
      <c r="J627" s="23" t="str">
        <f aca="false">IF(A627="","",IF(F627="Inactivo","No","Sí"))</f>
        <v/>
      </c>
      <c r="K627" s="23" t="str">
        <f aca="false">IF(A627="","",IF(AND(I627="Sí",J627="Sí"),"Sí","No"))</f>
        <v/>
      </c>
    </row>
    <row r="628" customFormat="false" ht="15" hidden="false" customHeight="false" outlineLevel="0" collapsed="false">
      <c r="A628" s="22"/>
      <c r="B628" s="22"/>
      <c r="C628" s="26" t="str">
        <f aca="false">IF(A628="","",IFERROR(buscarx(A628&amp;B628,DATA!$E$3:$E$10000&amp;DATA!$B$3:$B$10000,DATA!$M$3:$M$10000),"No encontrado"))</f>
        <v/>
      </c>
      <c r="D628" s="27" t="str">
        <f aca="false">IF(A628="","",IFERROR(buscarx(A628&amp;B628,DATA!$E$3:$E$10000&amp;DATA!$B$3:$B$10000,DATA!$W$3:$W$10000),"No encontrado"))</f>
        <v/>
      </c>
      <c r="E628" s="22"/>
      <c r="F628" s="26" t="str">
        <f aca="false">IF(A628="","",IFERROR(buscarx(A628&amp;E628,DATA!$E$3:$E$10000&amp;DATA!$B$3:$B$10000,DATA!$M$3:$M$10000),"Inactivo"))</f>
        <v/>
      </c>
      <c r="G628" s="28" t="str">
        <f aca="false">IF(A628="","",IF(AND(C628&lt;&gt;"No encontrado",F628&lt;&gt;"Inactivo"),C628&amp;" → "&amp;F628,"Sin transición"))</f>
        <v/>
      </c>
      <c r="H628" s="26" t="str">
        <f aca="false">IF(A628="","",IF(D628="GCIA LINEA SERVICIO DIGITALIDAD Y VENTAS","Chats",IF(OR(D628="GERENCIA INBOUND LÍNEAS SERVICIO Y VENTA",D628="GERENCIA INBOUND LINEAS ESPECIALIZADAS"),"Llamadas","Otro")))</f>
        <v/>
      </c>
      <c r="I628" s="26" t="str">
        <f aca="false">IF(A628="","",IF(C628="No encontrado","No","Sí"))</f>
        <v/>
      </c>
      <c r="J628" s="26" t="str">
        <f aca="false">IF(A628="","",IF(F628="Inactivo","No","Sí"))</f>
        <v/>
      </c>
      <c r="K628" s="26" t="str">
        <f aca="false">IF(A628="","",IF(AND(I628="Sí",J628="Sí"),"Sí","No"))</f>
        <v/>
      </c>
    </row>
    <row r="629" customFormat="false" ht="15" hidden="false" customHeight="false" outlineLevel="0" collapsed="false">
      <c r="A629" s="22"/>
      <c r="B629" s="22"/>
      <c r="C629" s="23" t="str">
        <f aca="false">IF(A629="","",IFERROR(buscarx(A629&amp;B629,DATA!$E$3:$E$10000&amp;DATA!$B$3:$B$10000,DATA!$M$3:$M$10000),"No encontrado"))</f>
        <v/>
      </c>
      <c r="D629" s="24" t="str">
        <f aca="false">IF(A629="","",IFERROR(buscarx(A629&amp;B629,DATA!$E$3:$E$10000&amp;DATA!$B$3:$B$10000,DATA!$W$3:$W$10000),"No encontrado"))</f>
        <v/>
      </c>
      <c r="E629" s="22"/>
      <c r="F629" s="23" t="str">
        <f aca="false">IF(A629="","",IFERROR(buscarx(A629&amp;E629,DATA!$E$3:$E$10000&amp;DATA!$B$3:$B$10000,DATA!$M$3:$M$10000),"Inactivo"))</f>
        <v/>
      </c>
      <c r="G629" s="25" t="str">
        <f aca="false">IF(A629="","",IF(AND(C629&lt;&gt;"No encontrado",F629&lt;&gt;"Inactivo"),C629&amp;" → "&amp;F629,"Sin transición"))</f>
        <v/>
      </c>
      <c r="H629" s="23" t="str">
        <f aca="false">IF(A629="","",IF(D629="GCIA LINEA SERVICIO DIGITALIDAD Y VENTAS","Chats",IF(OR(D629="GERENCIA INBOUND LÍNEAS SERVICIO Y VENTA",D629="GERENCIA INBOUND LINEAS ESPECIALIZADAS"),"Llamadas","Otro")))</f>
        <v/>
      </c>
      <c r="I629" s="23" t="str">
        <f aca="false">IF(A629="","",IF(C629="No encontrado","No","Sí"))</f>
        <v/>
      </c>
      <c r="J629" s="23" t="str">
        <f aca="false">IF(A629="","",IF(F629="Inactivo","No","Sí"))</f>
        <v/>
      </c>
      <c r="K629" s="23" t="str">
        <f aca="false">IF(A629="","",IF(AND(I629="Sí",J629="Sí"),"Sí","No"))</f>
        <v/>
      </c>
    </row>
    <row r="630" customFormat="false" ht="15" hidden="false" customHeight="false" outlineLevel="0" collapsed="false">
      <c r="A630" s="22"/>
      <c r="B630" s="22"/>
      <c r="C630" s="26" t="str">
        <f aca="false">IF(A630="","",IFERROR(buscarx(A630&amp;B630,DATA!$E$3:$E$10000&amp;DATA!$B$3:$B$10000,DATA!$M$3:$M$10000),"No encontrado"))</f>
        <v/>
      </c>
      <c r="D630" s="27" t="str">
        <f aca="false">IF(A630="","",IFERROR(buscarx(A630&amp;B630,DATA!$E$3:$E$10000&amp;DATA!$B$3:$B$10000,DATA!$W$3:$W$10000),"No encontrado"))</f>
        <v/>
      </c>
      <c r="E630" s="22"/>
      <c r="F630" s="26" t="str">
        <f aca="false">IF(A630="","",IFERROR(buscarx(A630&amp;E630,DATA!$E$3:$E$10000&amp;DATA!$B$3:$B$10000,DATA!$M$3:$M$10000),"Inactivo"))</f>
        <v/>
      </c>
      <c r="G630" s="28" t="str">
        <f aca="false">IF(A630="","",IF(AND(C630&lt;&gt;"No encontrado",F630&lt;&gt;"Inactivo"),C630&amp;" → "&amp;F630,"Sin transición"))</f>
        <v/>
      </c>
      <c r="H630" s="26" t="str">
        <f aca="false">IF(A630="","",IF(D630="GCIA LINEA SERVICIO DIGITALIDAD Y VENTAS","Chats",IF(OR(D630="GERENCIA INBOUND LÍNEAS SERVICIO Y VENTA",D630="GERENCIA INBOUND LINEAS ESPECIALIZADAS"),"Llamadas","Otro")))</f>
        <v/>
      </c>
      <c r="I630" s="26" t="str">
        <f aca="false">IF(A630="","",IF(C630="No encontrado","No","Sí"))</f>
        <v/>
      </c>
      <c r="J630" s="26" t="str">
        <f aca="false">IF(A630="","",IF(F630="Inactivo","No","Sí"))</f>
        <v/>
      </c>
      <c r="K630" s="26" t="str">
        <f aca="false">IF(A630="","",IF(AND(I630="Sí",J630="Sí"),"Sí","No"))</f>
        <v/>
      </c>
    </row>
    <row r="631" customFormat="false" ht="15" hidden="false" customHeight="false" outlineLevel="0" collapsed="false">
      <c r="A631" s="22"/>
      <c r="B631" s="22"/>
      <c r="C631" s="23" t="str">
        <f aca="false">IF(A631="","",IFERROR(buscarx(A631&amp;B631,DATA!$E$3:$E$10000&amp;DATA!$B$3:$B$10000,DATA!$M$3:$M$10000),"No encontrado"))</f>
        <v/>
      </c>
      <c r="D631" s="24" t="str">
        <f aca="false">IF(A631="","",IFERROR(buscarx(A631&amp;B631,DATA!$E$3:$E$10000&amp;DATA!$B$3:$B$10000,DATA!$W$3:$W$10000),"No encontrado"))</f>
        <v/>
      </c>
      <c r="E631" s="22"/>
      <c r="F631" s="23" t="str">
        <f aca="false">IF(A631="","",IFERROR(buscarx(A631&amp;E631,DATA!$E$3:$E$10000&amp;DATA!$B$3:$B$10000,DATA!$M$3:$M$10000),"Inactivo"))</f>
        <v/>
      </c>
      <c r="G631" s="25" t="str">
        <f aca="false">IF(A631="","",IF(AND(C631&lt;&gt;"No encontrado",F631&lt;&gt;"Inactivo"),C631&amp;" → "&amp;F631,"Sin transición"))</f>
        <v/>
      </c>
      <c r="H631" s="23" t="str">
        <f aca="false">IF(A631="","",IF(D631="GCIA LINEA SERVICIO DIGITALIDAD Y VENTAS","Chats",IF(OR(D631="GERENCIA INBOUND LÍNEAS SERVICIO Y VENTA",D631="GERENCIA INBOUND LINEAS ESPECIALIZADAS"),"Llamadas","Otro")))</f>
        <v/>
      </c>
      <c r="I631" s="23" t="str">
        <f aca="false">IF(A631="","",IF(C631="No encontrado","No","Sí"))</f>
        <v/>
      </c>
      <c r="J631" s="23" t="str">
        <f aca="false">IF(A631="","",IF(F631="Inactivo","No","Sí"))</f>
        <v/>
      </c>
      <c r="K631" s="23" t="str">
        <f aca="false">IF(A631="","",IF(AND(I631="Sí",J631="Sí"),"Sí","No"))</f>
        <v/>
      </c>
    </row>
    <row r="632" customFormat="false" ht="15" hidden="false" customHeight="false" outlineLevel="0" collapsed="false">
      <c r="A632" s="22"/>
      <c r="B632" s="22"/>
      <c r="C632" s="26" t="str">
        <f aca="false">IF(A632="","",IFERROR(buscarx(A632&amp;B632,DATA!$E$3:$E$10000&amp;DATA!$B$3:$B$10000,DATA!$M$3:$M$10000),"No encontrado"))</f>
        <v/>
      </c>
      <c r="D632" s="27" t="str">
        <f aca="false">IF(A632="","",IFERROR(buscarx(A632&amp;B632,DATA!$E$3:$E$10000&amp;DATA!$B$3:$B$10000,DATA!$W$3:$W$10000),"No encontrado"))</f>
        <v/>
      </c>
      <c r="E632" s="22"/>
      <c r="F632" s="26" t="str">
        <f aca="false">IF(A632="","",IFERROR(buscarx(A632&amp;E632,DATA!$E$3:$E$10000&amp;DATA!$B$3:$B$10000,DATA!$M$3:$M$10000),"Inactivo"))</f>
        <v/>
      </c>
      <c r="G632" s="28" t="str">
        <f aca="false">IF(A632="","",IF(AND(C632&lt;&gt;"No encontrado",F632&lt;&gt;"Inactivo"),C632&amp;" → "&amp;F632,"Sin transición"))</f>
        <v/>
      </c>
      <c r="H632" s="26" t="str">
        <f aca="false">IF(A632="","",IF(D632="GCIA LINEA SERVICIO DIGITALIDAD Y VENTAS","Chats",IF(OR(D632="GERENCIA INBOUND LÍNEAS SERVICIO Y VENTA",D632="GERENCIA INBOUND LINEAS ESPECIALIZADAS"),"Llamadas","Otro")))</f>
        <v/>
      </c>
      <c r="I632" s="26" t="str">
        <f aca="false">IF(A632="","",IF(C632="No encontrado","No","Sí"))</f>
        <v/>
      </c>
      <c r="J632" s="26" t="str">
        <f aca="false">IF(A632="","",IF(F632="Inactivo","No","Sí"))</f>
        <v/>
      </c>
      <c r="K632" s="26" t="str">
        <f aca="false">IF(A632="","",IF(AND(I632="Sí",J632="Sí"),"Sí","No"))</f>
        <v/>
      </c>
    </row>
    <row r="633" customFormat="false" ht="15" hidden="false" customHeight="false" outlineLevel="0" collapsed="false">
      <c r="A633" s="22"/>
      <c r="B633" s="22"/>
      <c r="C633" s="23" t="str">
        <f aca="false">IF(A633="","",IFERROR(buscarx(A633&amp;B633,DATA!$E$3:$E$10000&amp;DATA!$B$3:$B$10000,DATA!$M$3:$M$10000),"No encontrado"))</f>
        <v/>
      </c>
      <c r="D633" s="24" t="str">
        <f aca="false">IF(A633="","",IFERROR(buscarx(A633&amp;B633,DATA!$E$3:$E$10000&amp;DATA!$B$3:$B$10000,DATA!$W$3:$W$10000),"No encontrado"))</f>
        <v/>
      </c>
      <c r="E633" s="22"/>
      <c r="F633" s="23" t="str">
        <f aca="false">IF(A633="","",IFERROR(buscarx(A633&amp;E633,DATA!$E$3:$E$10000&amp;DATA!$B$3:$B$10000,DATA!$M$3:$M$10000),"Inactivo"))</f>
        <v/>
      </c>
      <c r="G633" s="25" t="str">
        <f aca="false">IF(A633="","",IF(AND(C633&lt;&gt;"No encontrado",F633&lt;&gt;"Inactivo"),C633&amp;" → "&amp;F633,"Sin transición"))</f>
        <v/>
      </c>
      <c r="H633" s="23" t="str">
        <f aca="false">IF(A633="","",IF(D633="GCIA LINEA SERVICIO DIGITALIDAD Y VENTAS","Chats",IF(OR(D633="GERENCIA INBOUND LÍNEAS SERVICIO Y VENTA",D633="GERENCIA INBOUND LINEAS ESPECIALIZADAS"),"Llamadas","Otro")))</f>
        <v/>
      </c>
      <c r="I633" s="23" t="str">
        <f aca="false">IF(A633="","",IF(C633="No encontrado","No","Sí"))</f>
        <v/>
      </c>
      <c r="J633" s="23" t="str">
        <f aca="false">IF(A633="","",IF(F633="Inactivo","No","Sí"))</f>
        <v/>
      </c>
      <c r="K633" s="23" t="str">
        <f aca="false">IF(A633="","",IF(AND(I633="Sí",J633="Sí"),"Sí","No"))</f>
        <v/>
      </c>
    </row>
    <row r="634" customFormat="false" ht="15" hidden="false" customHeight="false" outlineLevel="0" collapsed="false">
      <c r="A634" s="22"/>
      <c r="B634" s="22"/>
      <c r="C634" s="26" t="str">
        <f aca="false">IF(A634="","",IFERROR(buscarx(A634&amp;B634,DATA!$E$3:$E$10000&amp;DATA!$B$3:$B$10000,DATA!$M$3:$M$10000),"No encontrado"))</f>
        <v/>
      </c>
      <c r="D634" s="27" t="str">
        <f aca="false">IF(A634="","",IFERROR(buscarx(A634&amp;B634,DATA!$E$3:$E$10000&amp;DATA!$B$3:$B$10000,DATA!$W$3:$W$10000),"No encontrado"))</f>
        <v/>
      </c>
      <c r="E634" s="22"/>
      <c r="F634" s="26" t="str">
        <f aca="false">IF(A634="","",IFERROR(buscarx(A634&amp;E634,DATA!$E$3:$E$10000&amp;DATA!$B$3:$B$10000,DATA!$M$3:$M$10000),"Inactivo"))</f>
        <v/>
      </c>
      <c r="G634" s="28" t="str">
        <f aca="false">IF(A634="","",IF(AND(C634&lt;&gt;"No encontrado",F634&lt;&gt;"Inactivo"),C634&amp;" → "&amp;F634,"Sin transición"))</f>
        <v/>
      </c>
      <c r="H634" s="26" t="str">
        <f aca="false">IF(A634="","",IF(D634="GCIA LINEA SERVICIO DIGITALIDAD Y VENTAS","Chats",IF(OR(D634="GERENCIA INBOUND LÍNEAS SERVICIO Y VENTA",D634="GERENCIA INBOUND LINEAS ESPECIALIZADAS"),"Llamadas","Otro")))</f>
        <v/>
      </c>
      <c r="I634" s="26" t="str">
        <f aca="false">IF(A634="","",IF(C634="No encontrado","No","Sí"))</f>
        <v/>
      </c>
      <c r="J634" s="26" t="str">
        <f aca="false">IF(A634="","",IF(F634="Inactivo","No","Sí"))</f>
        <v/>
      </c>
      <c r="K634" s="26" t="str">
        <f aca="false">IF(A634="","",IF(AND(I634="Sí",J634="Sí"),"Sí","No"))</f>
        <v/>
      </c>
    </row>
    <row r="635" customFormat="false" ht="15" hidden="false" customHeight="false" outlineLevel="0" collapsed="false">
      <c r="A635" s="22"/>
      <c r="B635" s="22"/>
      <c r="C635" s="23" t="str">
        <f aca="false">IF(A635="","",IFERROR(buscarx(A635&amp;B635,DATA!$E$3:$E$10000&amp;DATA!$B$3:$B$10000,DATA!$M$3:$M$10000),"No encontrado"))</f>
        <v/>
      </c>
      <c r="D635" s="24" t="str">
        <f aca="false">IF(A635="","",IFERROR(buscarx(A635&amp;B635,DATA!$E$3:$E$10000&amp;DATA!$B$3:$B$10000,DATA!$W$3:$W$10000),"No encontrado"))</f>
        <v/>
      </c>
      <c r="E635" s="22"/>
      <c r="F635" s="23" t="str">
        <f aca="false">IF(A635="","",IFERROR(buscarx(A635&amp;E635,DATA!$E$3:$E$10000&amp;DATA!$B$3:$B$10000,DATA!$M$3:$M$10000),"Inactivo"))</f>
        <v/>
      </c>
      <c r="G635" s="25" t="str">
        <f aca="false">IF(A635="","",IF(AND(C635&lt;&gt;"No encontrado",F635&lt;&gt;"Inactivo"),C635&amp;" → "&amp;F635,"Sin transición"))</f>
        <v/>
      </c>
      <c r="H635" s="23" t="str">
        <f aca="false">IF(A635="","",IF(D635="GCIA LINEA SERVICIO DIGITALIDAD Y VENTAS","Chats",IF(OR(D635="GERENCIA INBOUND LÍNEAS SERVICIO Y VENTA",D635="GERENCIA INBOUND LINEAS ESPECIALIZADAS"),"Llamadas","Otro")))</f>
        <v/>
      </c>
      <c r="I635" s="23" t="str">
        <f aca="false">IF(A635="","",IF(C635="No encontrado","No","Sí"))</f>
        <v/>
      </c>
      <c r="J635" s="23" t="str">
        <f aca="false">IF(A635="","",IF(F635="Inactivo","No","Sí"))</f>
        <v/>
      </c>
      <c r="K635" s="23" t="str">
        <f aca="false">IF(A635="","",IF(AND(I635="Sí",J635="Sí"),"Sí","No"))</f>
        <v/>
      </c>
    </row>
    <row r="636" customFormat="false" ht="15" hidden="false" customHeight="false" outlineLevel="0" collapsed="false">
      <c r="A636" s="22"/>
      <c r="B636" s="22"/>
      <c r="C636" s="26" t="str">
        <f aca="false">IF(A636="","",IFERROR(buscarx(A636&amp;B636,DATA!$E$3:$E$10000&amp;DATA!$B$3:$B$10000,DATA!$M$3:$M$10000),"No encontrado"))</f>
        <v/>
      </c>
      <c r="D636" s="27" t="str">
        <f aca="false">IF(A636="","",IFERROR(buscarx(A636&amp;B636,DATA!$E$3:$E$10000&amp;DATA!$B$3:$B$10000,DATA!$W$3:$W$10000),"No encontrado"))</f>
        <v/>
      </c>
      <c r="E636" s="22"/>
      <c r="F636" s="26" t="str">
        <f aca="false">IF(A636="","",IFERROR(buscarx(A636&amp;E636,DATA!$E$3:$E$10000&amp;DATA!$B$3:$B$10000,DATA!$M$3:$M$10000),"Inactivo"))</f>
        <v/>
      </c>
      <c r="G636" s="28" t="str">
        <f aca="false">IF(A636="","",IF(AND(C636&lt;&gt;"No encontrado",F636&lt;&gt;"Inactivo"),C636&amp;" → "&amp;F636,"Sin transición"))</f>
        <v/>
      </c>
      <c r="H636" s="26" t="str">
        <f aca="false">IF(A636="","",IF(D636="GCIA LINEA SERVICIO DIGITALIDAD Y VENTAS","Chats",IF(OR(D636="GERENCIA INBOUND LÍNEAS SERVICIO Y VENTA",D636="GERENCIA INBOUND LINEAS ESPECIALIZADAS"),"Llamadas","Otro")))</f>
        <v/>
      </c>
      <c r="I636" s="26" t="str">
        <f aca="false">IF(A636="","",IF(C636="No encontrado","No","Sí"))</f>
        <v/>
      </c>
      <c r="J636" s="26" t="str">
        <f aca="false">IF(A636="","",IF(F636="Inactivo","No","Sí"))</f>
        <v/>
      </c>
      <c r="K636" s="26" t="str">
        <f aca="false">IF(A636="","",IF(AND(I636="Sí",J636="Sí"),"Sí","No"))</f>
        <v/>
      </c>
    </row>
    <row r="637" customFormat="false" ht="15" hidden="false" customHeight="false" outlineLevel="0" collapsed="false">
      <c r="A637" s="22"/>
      <c r="B637" s="22"/>
      <c r="C637" s="23" t="str">
        <f aca="false">IF(A637="","",IFERROR(buscarx(A637&amp;B637,DATA!$E$3:$E$10000&amp;DATA!$B$3:$B$10000,DATA!$M$3:$M$10000),"No encontrado"))</f>
        <v/>
      </c>
      <c r="D637" s="24" t="str">
        <f aca="false">IF(A637="","",IFERROR(buscarx(A637&amp;B637,DATA!$E$3:$E$10000&amp;DATA!$B$3:$B$10000,DATA!$W$3:$W$10000),"No encontrado"))</f>
        <v/>
      </c>
      <c r="E637" s="22"/>
      <c r="F637" s="23" t="str">
        <f aca="false">IF(A637="","",IFERROR(buscarx(A637&amp;E637,DATA!$E$3:$E$10000&amp;DATA!$B$3:$B$10000,DATA!$M$3:$M$10000),"Inactivo"))</f>
        <v/>
      </c>
      <c r="G637" s="25" t="str">
        <f aca="false">IF(A637="","",IF(AND(C637&lt;&gt;"No encontrado",F637&lt;&gt;"Inactivo"),C637&amp;" → "&amp;F637,"Sin transición"))</f>
        <v/>
      </c>
      <c r="H637" s="23" t="str">
        <f aca="false">IF(A637="","",IF(D637="GCIA LINEA SERVICIO DIGITALIDAD Y VENTAS","Chats",IF(OR(D637="GERENCIA INBOUND LÍNEAS SERVICIO Y VENTA",D637="GERENCIA INBOUND LINEAS ESPECIALIZADAS"),"Llamadas","Otro")))</f>
        <v/>
      </c>
      <c r="I637" s="23" t="str">
        <f aca="false">IF(A637="","",IF(C637="No encontrado","No","Sí"))</f>
        <v/>
      </c>
      <c r="J637" s="23" t="str">
        <f aca="false">IF(A637="","",IF(F637="Inactivo","No","Sí"))</f>
        <v/>
      </c>
      <c r="K637" s="23" t="str">
        <f aca="false">IF(A637="","",IF(AND(I637="Sí",J637="Sí"),"Sí","No"))</f>
        <v/>
      </c>
    </row>
    <row r="638" customFormat="false" ht="15" hidden="false" customHeight="false" outlineLevel="0" collapsed="false">
      <c r="A638" s="22"/>
      <c r="B638" s="22"/>
      <c r="C638" s="26" t="str">
        <f aca="false">IF(A638="","",IFERROR(buscarx(A638&amp;B638,DATA!$E$3:$E$10000&amp;DATA!$B$3:$B$10000,DATA!$M$3:$M$10000),"No encontrado"))</f>
        <v/>
      </c>
      <c r="D638" s="27" t="str">
        <f aca="false">IF(A638="","",IFERROR(buscarx(A638&amp;B638,DATA!$E$3:$E$10000&amp;DATA!$B$3:$B$10000,DATA!$W$3:$W$10000),"No encontrado"))</f>
        <v/>
      </c>
      <c r="E638" s="22"/>
      <c r="F638" s="26" t="str">
        <f aca="false">IF(A638="","",IFERROR(buscarx(A638&amp;E638,DATA!$E$3:$E$10000&amp;DATA!$B$3:$B$10000,DATA!$M$3:$M$10000),"Inactivo"))</f>
        <v/>
      </c>
      <c r="G638" s="28" t="str">
        <f aca="false">IF(A638="","",IF(AND(C638&lt;&gt;"No encontrado",F638&lt;&gt;"Inactivo"),C638&amp;" → "&amp;F638,"Sin transición"))</f>
        <v/>
      </c>
      <c r="H638" s="26" t="str">
        <f aca="false">IF(A638="","",IF(D638="GCIA LINEA SERVICIO DIGITALIDAD Y VENTAS","Chats",IF(OR(D638="GERENCIA INBOUND LÍNEAS SERVICIO Y VENTA",D638="GERENCIA INBOUND LINEAS ESPECIALIZADAS"),"Llamadas","Otro")))</f>
        <v/>
      </c>
      <c r="I638" s="26" t="str">
        <f aca="false">IF(A638="","",IF(C638="No encontrado","No","Sí"))</f>
        <v/>
      </c>
      <c r="J638" s="26" t="str">
        <f aca="false">IF(A638="","",IF(F638="Inactivo","No","Sí"))</f>
        <v/>
      </c>
      <c r="K638" s="26" t="str">
        <f aca="false">IF(A638="","",IF(AND(I638="Sí",J638="Sí"),"Sí","No"))</f>
        <v/>
      </c>
    </row>
    <row r="639" customFormat="false" ht="15" hidden="false" customHeight="false" outlineLevel="0" collapsed="false">
      <c r="A639" s="22"/>
      <c r="B639" s="22"/>
      <c r="C639" s="23" t="str">
        <f aca="false">IF(A639="","",IFERROR(buscarx(A639&amp;B639,DATA!$E$3:$E$10000&amp;DATA!$B$3:$B$10000,DATA!$M$3:$M$10000),"No encontrado"))</f>
        <v/>
      </c>
      <c r="D639" s="24" t="str">
        <f aca="false">IF(A639="","",IFERROR(buscarx(A639&amp;B639,DATA!$E$3:$E$10000&amp;DATA!$B$3:$B$10000,DATA!$W$3:$W$10000),"No encontrado"))</f>
        <v/>
      </c>
      <c r="E639" s="22"/>
      <c r="F639" s="23" t="str">
        <f aca="false">IF(A639="","",IFERROR(buscarx(A639&amp;E639,DATA!$E$3:$E$10000&amp;DATA!$B$3:$B$10000,DATA!$M$3:$M$10000),"Inactivo"))</f>
        <v/>
      </c>
      <c r="G639" s="25" t="str">
        <f aca="false">IF(A639="","",IF(AND(C639&lt;&gt;"No encontrado",F639&lt;&gt;"Inactivo"),C639&amp;" → "&amp;F639,"Sin transición"))</f>
        <v/>
      </c>
      <c r="H639" s="23" t="str">
        <f aca="false">IF(A639="","",IF(D639="GCIA LINEA SERVICIO DIGITALIDAD Y VENTAS","Chats",IF(OR(D639="GERENCIA INBOUND LÍNEAS SERVICIO Y VENTA",D639="GERENCIA INBOUND LINEAS ESPECIALIZADAS"),"Llamadas","Otro")))</f>
        <v/>
      </c>
      <c r="I639" s="23" t="str">
        <f aca="false">IF(A639="","",IF(C639="No encontrado","No","Sí"))</f>
        <v/>
      </c>
      <c r="J639" s="23" t="str">
        <f aca="false">IF(A639="","",IF(F639="Inactivo","No","Sí"))</f>
        <v/>
      </c>
      <c r="K639" s="23" t="str">
        <f aca="false">IF(A639="","",IF(AND(I639="Sí",J639="Sí"),"Sí","No"))</f>
        <v/>
      </c>
    </row>
    <row r="640" customFormat="false" ht="15" hidden="false" customHeight="false" outlineLevel="0" collapsed="false">
      <c r="A640" s="22"/>
      <c r="B640" s="22"/>
      <c r="C640" s="26" t="str">
        <f aca="false">IF(A640="","",IFERROR(buscarx(A640&amp;B640,DATA!$E$3:$E$10000&amp;DATA!$B$3:$B$10000,DATA!$M$3:$M$10000),"No encontrado"))</f>
        <v/>
      </c>
      <c r="D640" s="27" t="str">
        <f aca="false">IF(A640="","",IFERROR(buscarx(A640&amp;B640,DATA!$E$3:$E$10000&amp;DATA!$B$3:$B$10000,DATA!$W$3:$W$10000),"No encontrado"))</f>
        <v/>
      </c>
      <c r="E640" s="22"/>
      <c r="F640" s="26" t="str">
        <f aca="false">IF(A640="","",IFERROR(buscarx(A640&amp;E640,DATA!$E$3:$E$10000&amp;DATA!$B$3:$B$10000,DATA!$M$3:$M$10000),"Inactivo"))</f>
        <v/>
      </c>
      <c r="G640" s="28" t="str">
        <f aca="false">IF(A640="","",IF(AND(C640&lt;&gt;"No encontrado",F640&lt;&gt;"Inactivo"),C640&amp;" → "&amp;F640,"Sin transición"))</f>
        <v/>
      </c>
      <c r="H640" s="26" t="str">
        <f aca="false">IF(A640="","",IF(D640="GCIA LINEA SERVICIO DIGITALIDAD Y VENTAS","Chats",IF(OR(D640="GERENCIA INBOUND LÍNEAS SERVICIO Y VENTA",D640="GERENCIA INBOUND LINEAS ESPECIALIZADAS"),"Llamadas","Otro")))</f>
        <v/>
      </c>
      <c r="I640" s="26" t="str">
        <f aca="false">IF(A640="","",IF(C640="No encontrado","No","Sí"))</f>
        <v/>
      </c>
      <c r="J640" s="26" t="str">
        <f aca="false">IF(A640="","",IF(F640="Inactivo","No","Sí"))</f>
        <v/>
      </c>
      <c r="K640" s="26" t="str">
        <f aca="false">IF(A640="","",IF(AND(I640="Sí",J640="Sí"),"Sí","No"))</f>
        <v/>
      </c>
    </row>
    <row r="641" customFormat="false" ht="15" hidden="false" customHeight="false" outlineLevel="0" collapsed="false">
      <c r="A641" s="22"/>
      <c r="B641" s="22"/>
      <c r="C641" s="23" t="str">
        <f aca="false">IF(A641="","",IFERROR(buscarx(A641&amp;B641,DATA!$E$3:$E$10000&amp;DATA!$B$3:$B$10000,DATA!$M$3:$M$10000),"No encontrado"))</f>
        <v/>
      </c>
      <c r="D641" s="24" t="str">
        <f aca="false">IF(A641="","",IFERROR(buscarx(A641&amp;B641,DATA!$E$3:$E$10000&amp;DATA!$B$3:$B$10000,DATA!$W$3:$W$10000),"No encontrado"))</f>
        <v/>
      </c>
      <c r="E641" s="22"/>
      <c r="F641" s="23" t="str">
        <f aca="false">IF(A641="","",IFERROR(buscarx(A641&amp;E641,DATA!$E$3:$E$10000&amp;DATA!$B$3:$B$10000,DATA!$M$3:$M$10000),"Inactivo"))</f>
        <v/>
      </c>
      <c r="G641" s="25" t="str">
        <f aca="false">IF(A641="","",IF(AND(C641&lt;&gt;"No encontrado",F641&lt;&gt;"Inactivo"),C641&amp;" → "&amp;F641,"Sin transición"))</f>
        <v/>
      </c>
      <c r="H641" s="23" t="str">
        <f aca="false">IF(A641="","",IF(D641="GCIA LINEA SERVICIO DIGITALIDAD Y VENTAS","Chats",IF(OR(D641="GERENCIA INBOUND LÍNEAS SERVICIO Y VENTA",D641="GERENCIA INBOUND LINEAS ESPECIALIZADAS"),"Llamadas","Otro")))</f>
        <v/>
      </c>
      <c r="I641" s="23" t="str">
        <f aca="false">IF(A641="","",IF(C641="No encontrado","No","Sí"))</f>
        <v/>
      </c>
      <c r="J641" s="23" t="str">
        <f aca="false">IF(A641="","",IF(F641="Inactivo","No","Sí"))</f>
        <v/>
      </c>
      <c r="K641" s="23" t="str">
        <f aca="false">IF(A641="","",IF(AND(I641="Sí",J641="Sí"),"Sí","No"))</f>
        <v/>
      </c>
    </row>
    <row r="642" customFormat="false" ht="15" hidden="false" customHeight="false" outlineLevel="0" collapsed="false">
      <c r="A642" s="22"/>
      <c r="B642" s="22"/>
      <c r="C642" s="26" t="str">
        <f aca="false">IF(A642="","",IFERROR(buscarx(A642&amp;B642,DATA!$E$3:$E$10000&amp;DATA!$B$3:$B$10000,DATA!$M$3:$M$10000),"No encontrado"))</f>
        <v/>
      </c>
      <c r="D642" s="27" t="str">
        <f aca="false">IF(A642="","",IFERROR(buscarx(A642&amp;B642,DATA!$E$3:$E$10000&amp;DATA!$B$3:$B$10000,DATA!$W$3:$W$10000),"No encontrado"))</f>
        <v/>
      </c>
      <c r="E642" s="22"/>
      <c r="F642" s="26" t="str">
        <f aca="false">IF(A642="","",IFERROR(buscarx(A642&amp;E642,DATA!$E$3:$E$10000&amp;DATA!$B$3:$B$10000,DATA!$M$3:$M$10000),"Inactivo"))</f>
        <v/>
      </c>
      <c r="G642" s="28" t="str">
        <f aca="false">IF(A642="","",IF(AND(C642&lt;&gt;"No encontrado",F642&lt;&gt;"Inactivo"),C642&amp;" → "&amp;F642,"Sin transición"))</f>
        <v/>
      </c>
      <c r="H642" s="26" t="str">
        <f aca="false">IF(A642="","",IF(D642="GCIA LINEA SERVICIO DIGITALIDAD Y VENTAS","Chats",IF(OR(D642="GERENCIA INBOUND LÍNEAS SERVICIO Y VENTA",D642="GERENCIA INBOUND LINEAS ESPECIALIZADAS"),"Llamadas","Otro")))</f>
        <v/>
      </c>
      <c r="I642" s="26" t="str">
        <f aca="false">IF(A642="","",IF(C642="No encontrado","No","Sí"))</f>
        <v/>
      </c>
      <c r="J642" s="26" t="str">
        <f aca="false">IF(A642="","",IF(F642="Inactivo","No","Sí"))</f>
        <v/>
      </c>
      <c r="K642" s="26" t="str">
        <f aca="false">IF(A642="","",IF(AND(I642="Sí",J642="Sí"),"Sí","No"))</f>
        <v/>
      </c>
    </row>
    <row r="643" customFormat="false" ht="15" hidden="false" customHeight="false" outlineLevel="0" collapsed="false">
      <c r="A643" s="22"/>
      <c r="B643" s="22"/>
      <c r="C643" s="23" t="str">
        <f aca="false">IF(A643="","",IFERROR(buscarx(A643&amp;B643,DATA!$E$3:$E$10000&amp;DATA!$B$3:$B$10000,DATA!$M$3:$M$10000),"No encontrado"))</f>
        <v/>
      </c>
      <c r="D643" s="24" t="str">
        <f aca="false">IF(A643="","",IFERROR(buscarx(A643&amp;B643,DATA!$E$3:$E$10000&amp;DATA!$B$3:$B$10000,DATA!$W$3:$W$10000),"No encontrado"))</f>
        <v/>
      </c>
      <c r="E643" s="22"/>
      <c r="F643" s="23" t="str">
        <f aca="false">IF(A643="","",IFERROR(buscarx(A643&amp;E643,DATA!$E$3:$E$10000&amp;DATA!$B$3:$B$10000,DATA!$M$3:$M$10000),"Inactivo"))</f>
        <v/>
      </c>
      <c r="G643" s="25" t="str">
        <f aca="false">IF(A643="","",IF(AND(C643&lt;&gt;"No encontrado",F643&lt;&gt;"Inactivo"),C643&amp;" → "&amp;F643,"Sin transición"))</f>
        <v/>
      </c>
      <c r="H643" s="23" t="str">
        <f aca="false">IF(A643="","",IF(D643="GCIA LINEA SERVICIO DIGITALIDAD Y VENTAS","Chats",IF(OR(D643="GERENCIA INBOUND LÍNEAS SERVICIO Y VENTA",D643="GERENCIA INBOUND LINEAS ESPECIALIZADAS"),"Llamadas","Otro")))</f>
        <v/>
      </c>
      <c r="I643" s="23" t="str">
        <f aca="false">IF(A643="","",IF(C643="No encontrado","No","Sí"))</f>
        <v/>
      </c>
      <c r="J643" s="23" t="str">
        <f aca="false">IF(A643="","",IF(F643="Inactivo","No","Sí"))</f>
        <v/>
      </c>
      <c r="K643" s="23" t="str">
        <f aca="false">IF(A643="","",IF(AND(I643="Sí",J643="Sí"),"Sí","No"))</f>
        <v/>
      </c>
    </row>
    <row r="644" customFormat="false" ht="15" hidden="false" customHeight="false" outlineLevel="0" collapsed="false">
      <c r="A644" s="22"/>
      <c r="B644" s="22"/>
      <c r="C644" s="26" t="str">
        <f aca="false">IF(A644="","",IFERROR(buscarx(A644&amp;B644,DATA!$E$3:$E$10000&amp;DATA!$B$3:$B$10000,DATA!$M$3:$M$10000),"No encontrado"))</f>
        <v/>
      </c>
      <c r="D644" s="27" t="str">
        <f aca="false">IF(A644="","",IFERROR(buscarx(A644&amp;B644,DATA!$E$3:$E$10000&amp;DATA!$B$3:$B$10000,DATA!$W$3:$W$10000),"No encontrado"))</f>
        <v/>
      </c>
      <c r="E644" s="22"/>
      <c r="F644" s="26" t="str">
        <f aca="false">IF(A644="","",IFERROR(buscarx(A644&amp;E644,DATA!$E$3:$E$10000&amp;DATA!$B$3:$B$10000,DATA!$M$3:$M$10000),"Inactivo"))</f>
        <v/>
      </c>
      <c r="G644" s="28" t="str">
        <f aca="false">IF(A644="","",IF(AND(C644&lt;&gt;"No encontrado",F644&lt;&gt;"Inactivo"),C644&amp;" → "&amp;F644,"Sin transición"))</f>
        <v/>
      </c>
      <c r="H644" s="26" t="str">
        <f aca="false">IF(A644="","",IF(D644="GCIA LINEA SERVICIO DIGITALIDAD Y VENTAS","Chats",IF(OR(D644="GERENCIA INBOUND LÍNEAS SERVICIO Y VENTA",D644="GERENCIA INBOUND LINEAS ESPECIALIZADAS"),"Llamadas","Otro")))</f>
        <v/>
      </c>
      <c r="I644" s="26" t="str">
        <f aca="false">IF(A644="","",IF(C644="No encontrado","No","Sí"))</f>
        <v/>
      </c>
      <c r="J644" s="26" t="str">
        <f aca="false">IF(A644="","",IF(F644="Inactivo","No","Sí"))</f>
        <v/>
      </c>
      <c r="K644" s="26" t="str">
        <f aca="false">IF(A644="","",IF(AND(I644="Sí",J644="Sí"),"Sí","No"))</f>
        <v/>
      </c>
    </row>
    <row r="645" customFormat="false" ht="15" hidden="false" customHeight="false" outlineLevel="0" collapsed="false">
      <c r="A645" s="22"/>
      <c r="B645" s="22"/>
      <c r="C645" s="23" t="str">
        <f aca="false">IF(A645="","",IFERROR(buscarx(A645&amp;B645,DATA!$E$3:$E$10000&amp;DATA!$B$3:$B$10000,DATA!$M$3:$M$10000),"No encontrado"))</f>
        <v/>
      </c>
      <c r="D645" s="24" t="str">
        <f aca="false">IF(A645="","",IFERROR(buscarx(A645&amp;B645,DATA!$E$3:$E$10000&amp;DATA!$B$3:$B$10000,DATA!$W$3:$W$10000),"No encontrado"))</f>
        <v/>
      </c>
      <c r="E645" s="22"/>
      <c r="F645" s="23" t="str">
        <f aca="false">IF(A645="","",IFERROR(buscarx(A645&amp;E645,DATA!$E$3:$E$10000&amp;DATA!$B$3:$B$10000,DATA!$M$3:$M$10000),"Inactivo"))</f>
        <v/>
      </c>
      <c r="G645" s="25" t="str">
        <f aca="false">IF(A645="","",IF(AND(C645&lt;&gt;"No encontrado",F645&lt;&gt;"Inactivo"),C645&amp;" → "&amp;F645,"Sin transición"))</f>
        <v/>
      </c>
      <c r="H645" s="23" t="str">
        <f aca="false">IF(A645="","",IF(D645="GCIA LINEA SERVICIO DIGITALIDAD Y VENTAS","Chats",IF(OR(D645="GERENCIA INBOUND LÍNEAS SERVICIO Y VENTA",D645="GERENCIA INBOUND LINEAS ESPECIALIZADAS"),"Llamadas","Otro")))</f>
        <v/>
      </c>
      <c r="I645" s="23" t="str">
        <f aca="false">IF(A645="","",IF(C645="No encontrado","No","Sí"))</f>
        <v/>
      </c>
      <c r="J645" s="23" t="str">
        <f aca="false">IF(A645="","",IF(F645="Inactivo","No","Sí"))</f>
        <v/>
      </c>
      <c r="K645" s="23" t="str">
        <f aca="false">IF(A645="","",IF(AND(I645="Sí",J645="Sí"),"Sí","No"))</f>
        <v/>
      </c>
    </row>
    <row r="646" customFormat="false" ht="15" hidden="false" customHeight="false" outlineLevel="0" collapsed="false">
      <c r="A646" s="22"/>
      <c r="B646" s="22"/>
      <c r="C646" s="26" t="str">
        <f aca="false">IF(A646="","",IFERROR(buscarx(A646&amp;B646,DATA!$E$3:$E$10000&amp;DATA!$B$3:$B$10000,DATA!$M$3:$M$10000),"No encontrado"))</f>
        <v/>
      </c>
      <c r="D646" s="27" t="str">
        <f aca="false">IF(A646="","",IFERROR(buscarx(A646&amp;B646,DATA!$E$3:$E$10000&amp;DATA!$B$3:$B$10000,DATA!$W$3:$W$10000),"No encontrado"))</f>
        <v/>
      </c>
      <c r="E646" s="22"/>
      <c r="F646" s="26" t="str">
        <f aca="false">IF(A646="","",IFERROR(buscarx(A646&amp;E646,DATA!$E$3:$E$10000&amp;DATA!$B$3:$B$10000,DATA!$M$3:$M$10000),"Inactivo"))</f>
        <v/>
      </c>
      <c r="G646" s="28" t="str">
        <f aca="false">IF(A646="","",IF(AND(C646&lt;&gt;"No encontrado",F646&lt;&gt;"Inactivo"),C646&amp;" → "&amp;F646,"Sin transición"))</f>
        <v/>
      </c>
      <c r="H646" s="26" t="str">
        <f aca="false">IF(A646="","",IF(D646="GCIA LINEA SERVICIO DIGITALIDAD Y VENTAS","Chats",IF(OR(D646="GERENCIA INBOUND LÍNEAS SERVICIO Y VENTA",D646="GERENCIA INBOUND LINEAS ESPECIALIZADAS"),"Llamadas","Otro")))</f>
        <v/>
      </c>
      <c r="I646" s="26" t="str">
        <f aca="false">IF(A646="","",IF(C646="No encontrado","No","Sí"))</f>
        <v/>
      </c>
      <c r="J646" s="26" t="str">
        <f aca="false">IF(A646="","",IF(F646="Inactivo","No","Sí"))</f>
        <v/>
      </c>
      <c r="K646" s="26" t="str">
        <f aca="false">IF(A646="","",IF(AND(I646="Sí",J646="Sí"),"Sí","No"))</f>
        <v/>
      </c>
    </row>
    <row r="647" customFormat="false" ht="15" hidden="false" customHeight="false" outlineLevel="0" collapsed="false">
      <c r="A647" s="22"/>
      <c r="B647" s="22"/>
      <c r="C647" s="23" t="str">
        <f aca="false">IF(A647="","",IFERROR(buscarx(A647&amp;B647,DATA!$E$3:$E$10000&amp;DATA!$B$3:$B$10000,DATA!$M$3:$M$10000),"No encontrado"))</f>
        <v/>
      </c>
      <c r="D647" s="24" t="str">
        <f aca="false">IF(A647="","",IFERROR(buscarx(A647&amp;B647,DATA!$E$3:$E$10000&amp;DATA!$B$3:$B$10000,DATA!$W$3:$W$10000),"No encontrado"))</f>
        <v/>
      </c>
      <c r="E647" s="22"/>
      <c r="F647" s="23" t="str">
        <f aca="false">IF(A647="","",IFERROR(buscarx(A647&amp;E647,DATA!$E$3:$E$10000&amp;DATA!$B$3:$B$10000,DATA!$M$3:$M$10000),"Inactivo"))</f>
        <v/>
      </c>
      <c r="G647" s="25" t="str">
        <f aca="false">IF(A647="","",IF(AND(C647&lt;&gt;"No encontrado",F647&lt;&gt;"Inactivo"),C647&amp;" → "&amp;F647,"Sin transición"))</f>
        <v/>
      </c>
      <c r="H647" s="23" t="str">
        <f aca="false">IF(A647="","",IF(D647="GCIA LINEA SERVICIO DIGITALIDAD Y VENTAS","Chats",IF(OR(D647="GERENCIA INBOUND LÍNEAS SERVICIO Y VENTA",D647="GERENCIA INBOUND LINEAS ESPECIALIZADAS"),"Llamadas","Otro")))</f>
        <v/>
      </c>
      <c r="I647" s="23" t="str">
        <f aca="false">IF(A647="","",IF(C647="No encontrado","No","Sí"))</f>
        <v/>
      </c>
      <c r="J647" s="23" t="str">
        <f aca="false">IF(A647="","",IF(F647="Inactivo","No","Sí"))</f>
        <v/>
      </c>
      <c r="K647" s="23" t="str">
        <f aca="false">IF(A647="","",IF(AND(I647="Sí",J647="Sí"),"Sí","No"))</f>
        <v/>
      </c>
    </row>
    <row r="648" customFormat="false" ht="15" hidden="false" customHeight="false" outlineLevel="0" collapsed="false">
      <c r="A648" s="22"/>
      <c r="B648" s="22"/>
      <c r="C648" s="26" t="str">
        <f aca="false">IF(A648="","",IFERROR(buscarx(A648&amp;B648,DATA!$E$3:$E$10000&amp;DATA!$B$3:$B$10000,DATA!$M$3:$M$10000),"No encontrado"))</f>
        <v/>
      </c>
      <c r="D648" s="27" t="str">
        <f aca="false">IF(A648="","",IFERROR(buscarx(A648&amp;B648,DATA!$E$3:$E$10000&amp;DATA!$B$3:$B$10000,DATA!$W$3:$W$10000),"No encontrado"))</f>
        <v/>
      </c>
      <c r="E648" s="22"/>
      <c r="F648" s="26" t="str">
        <f aca="false">IF(A648="","",IFERROR(buscarx(A648&amp;E648,DATA!$E$3:$E$10000&amp;DATA!$B$3:$B$10000,DATA!$M$3:$M$10000),"Inactivo"))</f>
        <v/>
      </c>
      <c r="G648" s="28" t="str">
        <f aca="false">IF(A648="","",IF(AND(C648&lt;&gt;"No encontrado",F648&lt;&gt;"Inactivo"),C648&amp;" → "&amp;F648,"Sin transición"))</f>
        <v/>
      </c>
      <c r="H648" s="26" t="str">
        <f aca="false">IF(A648="","",IF(D648="GCIA LINEA SERVICIO DIGITALIDAD Y VENTAS","Chats",IF(OR(D648="GERENCIA INBOUND LÍNEAS SERVICIO Y VENTA",D648="GERENCIA INBOUND LINEAS ESPECIALIZADAS"),"Llamadas","Otro")))</f>
        <v/>
      </c>
      <c r="I648" s="26" t="str">
        <f aca="false">IF(A648="","",IF(C648="No encontrado","No","Sí"))</f>
        <v/>
      </c>
      <c r="J648" s="26" t="str">
        <f aca="false">IF(A648="","",IF(F648="Inactivo","No","Sí"))</f>
        <v/>
      </c>
      <c r="K648" s="26" t="str">
        <f aca="false">IF(A648="","",IF(AND(I648="Sí",J648="Sí"),"Sí","No"))</f>
        <v/>
      </c>
    </row>
    <row r="649" customFormat="false" ht="15" hidden="false" customHeight="false" outlineLevel="0" collapsed="false">
      <c r="A649" s="22"/>
      <c r="B649" s="22"/>
      <c r="C649" s="23" t="str">
        <f aca="false">IF(A649="","",IFERROR(buscarx(A649&amp;B649,DATA!$E$3:$E$10000&amp;DATA!$B$3:$B$10000,DATA!$M$3:$M$10000),"No encontrado"))</f>
        <v/>
      </c>
      <c r="D649" s="24" t="str">
        <f aca="false">IF(A649="","",IFERROR(buscarx(A649&amp;B649,DATA!$E$3:$E$10000&amp;DATA!$B$3:$B$10000,DATA!$W$3:$W$10000),"No encontrado"))</f>
        <v/>
      </c>
      <c r="E649" s="22"/>
      <c r="F649" s="23" t="str">
        <f aca="false">IF(A649="","",IFERROR(buscarx(A649&amp;E649,DATA!$E$3:$E$10000&amp;DATA!$B$3:$B$10000,DATA!$M$3:$M$10000),"Inactivo"))</f>
        <v/>
      </c>
      <c r="G649" s="25" t="str">
        <f aca="false">IF(A649="","",IF(AND(C649&lt;&gt;"No encontrado",F649&lt;&gt;"Inactivo"),C649&amp;" → "&amp;F649,"Sin transición"))</f>
        <v/>
      </c>
      <c r="H649" s="23" t="str">
        <f aca="false">IF(A649="","",IF(D649="GCIA LINEA SERVICIO DIGITALIDAD Y VENTAS","Chats",IF(OR(D649="GERENCIA INBOUND LÍNEAS SERVICIO Y VENTA",D649="GERENCIA INBOUND LINEAS ESPECIALIZADAS"),"Llamadas","Otro")))</f>
        <v/>
      </c>
      <c r="I649" s="23" t="str">
        <f aca="false">IF(A649="","",IF(C649="No encontrado","No","Sí"))</f>
        <v/>
      </c>
      <c r="J649" s="23" t="str">
        <f aca="false">IF(A649="","",IF(F649="Inactivo","No","Sí"))</f>
        <v/>
      </c>
      <c r="K649" s="23" t="str">
        <f aca="false">IF(A649="","",IF(AND(I649="Sí",J649="Sí"),"Sí","No"))</f>
        <v/>
      </c>
    </row>
    <row r="650" customFormat="false" ht="15" hidden="false" customHeight="false" outlineLevel="0" collapsed="false">
      <c r="A650" s="22"/>
      <c r="B650" s="22"/>
      <c r="C650" s="26" t="str">
        <f aca="false">IF(A650="","",IFERROR(buscarx(A650&amp;B650,DATA!$E$3:$E$10000&amp;DATA!$B$3:$B$10000,DATA!$M$3:$M$10000),"No encontrado"))</f>
        <v/>
      </c>
      <c r="D650" s="27" t="str">
        <f aca="false">IF(A650="","",IFERROR(buscarx(A650&amp;B650,DATA!$E$3:$E$10000&amp;DATA!$B$3:$B$10000,DATA!$W$3:$W$10000),"No encontrado"))</f>
        <v/>
      </c>
      <c r="E650" s="22"/>
      <c r="F650" s="26" t="str">
        <f aca="false">IF(A650="","",IFERROR(buscarx(A650&amp;E650,DATA!$E$3:$E$10000&amp;DATA!$B$3:$B$10000,DATA!$M$3:$M$10000),"Inactivo"))</f>
        <v/>
      </c>
      <c r="G650" s="28" t="str">
        <f aca="false">IF(A650="","",IF(AND(C650&lt;&gt;"No encontrado",F650&lt;&gt;"Inactivo"),C650&amp;" → "&amp;F650,"Sin transición"))</f>
        <v/>
      </c>
      <c r="H650" s="26" t="str">
        <f aca="false">IF(A650="","",IF(D650="GCIA LINEA SERVICIO DIGITALIDAD Y VENTAS","Chats",IF(OR(D650="GERENCIA INBOUND LÍNEAS SERVICIO Y VENTA",D650="GERENCIA INBOUND LINEAS ESPECIALIZADAS"),"Llamadas","Otro")))</f>
        <v/>
      </c>
      <c r="I650" s="26" t="str">
        <f aca="false">IF(A650="","",IF(C650="No encontrado","No","Sí"))</f>
        <v/>
      </c>
      <c r="J650" s="26" t="str">
        <f aca="false">IF(A650="","",IF(F650="Inactivo","No","Sí"))</f>
        <v/>
      </c>
      <c r="K650" s="26" t="str">
        <f aca="false">IF(A650="","",IF(AND(I650="Sí",J650="Sí"),"Sí","No"))</f>
        <v/>
      </c>
    </row>
    <row r="651" customFormat="false" ht="15" hidden="false" customHeight="false" outlineLevel="0" collapsed="false">
      <c r="A651" s="22"/>
      <c r="B651" s="22"/>
      <c r="C651" s="23" t="str">
        <f aca="false">IF(A651="","",IFERROR(buscarx(A651&amp;B651,DATA!$E$3:$E$10000&amp;DATA!$B$3:$B$10000,DATA!$M$3:$M$10000),"No encontrado"))</f>
        <v/>
      </c>
      <c r="D651" s="24" t="str">
        <f aca="false">IF(A651="","",IFERROR(buscarx(A651&amp;B651,DATA!$E$3:$E$10000&amp;DATA!$B$3:$B$10000,DATA!$W$3:$W$10000),"No encontrado"))</f>
        <v/>
      </c>
      <c r="E651" s="22"/>
      <c r="F651" s="23" t="str">
        <f aca="false">IF(A651="","",IFERROR(buscarx(A651&amp;E651,DATA!$E$3:$E$10000&amp;DATA!$B$3:$B$10000,DATA!$M$3:$M$10000),"Inactivo"))</f>
        <v/>
      </c>
      <c r="G651" s="25" t="str">
        <f aca="false">IF(A651="","",IF(AND(C651&lt;&gt;"No encontrado",F651&lt;&gt;"Inactivo"),C651&amp;" → "&amp;F651,"Sin transición"))</f>
        <v/>
      </c>
      <c r="H651" s="23" t="str">
        <f aca="false">IF(A651="","",IF(D651="GCIA LINEA SERVICIO DIGITALIDAD Y VENTAS","Chats",IF(OR(D651="GERENCIA INBOUND LÍNEAS SERVICIO Y VENTA",D651="GERENCIA INBOUND LINEAS ESPECIALIZADAS"),"Llamadas","Otro")))</f>
        <v/>
      </c>
      <c r="I651" s="23" t="str">
        <f aca="false">IF(A651="","",IF(C651="No encontrado","No","Sí"))</f>
        <v/>
      </c>
      <c r="J651" s="23" t="str">
        <f aca="false">IF(A651="","",IF(F651="Inactivo","No","Sí"))</f>
        <v/>
      </c>
      <c r="K651" s="23" t="str">
        <f aca="false">IF(A651="","",IF(AND(I651="Sí",J651="Sí"),"Sí","No"))</f>
        <v/>
      </c>
    </row>
    <row r="652" customFormat="false" ht="15" hidden="false" customHeight="false" outlineLevel="0" collapsed="false">
      <c r="A652" s="22"/>
      <c r="B652" s="22"/>
      <c r="C652" s="26" t="str">
        <f aca="false">IF(A652="","",IFERROR(buscarx(A652&amp;B652,DATA!$E$3:$E$10000&amp;DATA!$B$3:$B$10000,DATA!$M$3:$M$10000),"No encontrado"))</f>
        <v/>
      </c>
      <c r="D652" s="27" t="str">
        <f aca="false">IF(A652="","",IFERROR(buscarx(A652&amp;B652,DATA!$E$3:$E$10000&amp;DATA!$B$3:$B$10000,DATA!$W$3:$W$10000),"No encontrado"))</f>
        <v/>
      </c>
      <c r="E652" s="22"/>
      <c r="F652" s="26" t="str">
        <f aca="false">IF(A652="","",IFERROR(buscarx(A652&amp;E652,DATA!$E$3:$E$10000&amp;DATA!$B$3:$B$10000,DATA!$M$3:$M$10000),"Inactivo"))</f>
        <v/>
      </c>
      <c r="G652" s="28" t="str">
        <f aca="false">IF(A652="","",IF(AND(C652&lt;&gt;"No encontrado",F652&lt;&gt;"Inactivo"),C652&amp;" → "&amp;F652,"Sin transición"))</f>
        <v/>
      </c>
      <c r="H652" s="26" t="str">
        <f aca="false">IF(A652="","",IF(D652="GCIA LINEA SERVICIO DIGITALIDAD Y VENTAS","Chats",IF(OR(D652="GERENCIA INBOUND LÍNEAS SERVICIO Y VENTA",D652="GERENCIA INBOUND LINEAS ESPECIALIZADAS"),"Llamadas","Otro")))</f>
        <v/>
      </c>
      <c r="I652" s="26" t="str">
        <f aca="false">IF(A652="","",IF(C652="No encontrado","No","Sí"))</f>
        <v/>
      </c>
      <c r="J652" s="26" t="str">
        <f aca="false">IF(A652="","",IF(F652="Inactivo","No","Sí"))</f>
        <v/>
      </c>
      <c r="K652" s="26" t="str">
        <f aca="false">IF(A652="","",IF(AND(I652="Sí",J652="Sí"),"Sí","No"))</f>
        <v/>
      </c>
    </row>
    <row r="653" customFormat="false" ht="15" hidden="false" customHeight="false" outlineLevel="0" collapsed="false">
      <c r="A653" s="22"/>
      <c r="B653" s="22"/>
      <c r="C653" s="23" t="str">
        <f aca="false">IF(A653="","",IFERROR(buscarx(A653&amp;B653,DATA!$E$3:$E$10000&amp;DATA!$B$3:$B$10000,DATA!$M$3:$M$10000),"No encontrado"))</f>
        <v/>
      </c>
      <c r="D653" s="24" t="str">
        <f aca="false">IF(A653="","",IFERROR(buscarx(A653&amp;B653,DATA!$E$3:$E$10000&amp;DATA!$B$3:$B$10000,DATA!$W$3:$W$10000),"No encontrado"))</f>
        <v/>
      </c>
      <c r="E653" s="22"/>
      <c r="F653" s="23" t="str">
        <f aca="false">IF(A653="","",IFERROR(buscarx(A653&amp;E653,DATA!$E$3:$E$10000&amp;DATA!$B$3:$B$10000,DATA!$M$3:$M$10000),"Inactivo"))</f>
        <v/>
      </c>
      <c r="G653" s="25" t="str">
        <f aca="false">IF(A653="","",IF(AND(C653&lt;&gt;"No encontrado",F653&lt;&gt;"Inactivo"),C653&amp;" → "&amp;F653,"Sin transición"))</f>
        <v/>
      </c>
      <c r="H653" s="23" t="str">
        <f aca="false">IF(A653="","",IF(D653="GCIA LINEA SERVICIO DIGITALIDAD Y VENTAS","Chats",IF(OR(D653="GERENCIA INBOUND LÍNEAS SERVICIO Y VENTA",D653="GERENCIA INBOUND LINEAS ESPECIALIZADAS"),"Llamadas","Otro")))</f>
        <v/>
      </c>
      <c r="I653" s="23" t="str">
        <f aca="false">IF(A653="","",IF(C653="No encontrado","No","Sí"))</f>
        <v/>
      </c>
      <c r="J653" s="23" t="str">
        <f aca="false">IF(A653="","",IF(F653="Inactivo","No","Sí"))</f>
        <v/>
      </c>
      <c r="K653" s="23" t="str">
        <f aca="false">IF(A653="","",IF(AND(I653="Sí",J653="Sí"),"Sí","No"))</f>
        <v/>
      </c>
    </row>
    <row r="654" customFormat="false" ht="15" hidden="false" customHeight="false" outlineLevel="0" collapsed="false">
      <c r="A654" s="22"/>
      <c r="B654" s="22"/>
      <c r="C654" s="26" t="str">
        <f aca="false">IF(A654="","",IFERROR(buscarx(A654&amp;B654,DATA!$E$3:$E$10000&amp;DATA!$B$3:$B$10000,DATA!$M$3:$M$10000),"No encontrado"))</f>
        <v/>
      </c>
      <c r="D654" s="27" t="str">
        <f aca="false">IF(A654="","",IFERROR(buscarx(A654&amp;B654,DATA!$E$3:$E$10000&amp;DATA!$B$3:$B$10000,DATA!$W$3:$W$10000),"No encontrado"))</f>
        <v/>
      </c>
      <c r="E654" s="22"/>
      <c r="F654" s="26" t="str">
        <f aca="false">IF(A654="","",IFERROR(buscarx(A654&amp;E654,DATA!$E$3:$E$10000&amp;DATA!$B$3:$B$10000,DATA!$M$3:$M$10000),"Inactivo"))</f>
        <v/>
      </c>
      <c r="G654" s="28" t="str">
        <f aca="false">IF(A654="","",IF(AND(C654&lt;&gt;"No encontrado",F654&lt;&gt;"Inactivo"),C654&amp;" → "&amp;F654,"Sin transición"))</f>
        <v/>
      </c>
      <c r="H654" s="26" t="str">
        <f aca="false">IF(A654="","",IF(D654="GCIA LINEA SERVICIO DIGITALIDAD Y VENTAS","Chats",IF(OR(D654="GERENCIA INBOUND LÍNEAS SERVICIO Y VENTA",D654="GERENCIA INBOUND LINEAS ESPECIALIZADAS"),"Llamadas","Otro")))</f>
        <v/>
      </c>
      <c r="I654" s="26" t="str">
        <f aca="false">IF(A654="","",IF(C654="No encontrado","No","Sí"))</f>
        <v/>
      </c>
      <c r="J654" s="26" t="str">
        <f aca="false">IF(A654="","",IF(F654="Inactivo","No","Sí"))</f>
        <v/>
      </c>
      <c r="K654" s="26" t="str">
        <f aca="false">IF(A654="","",IF(AND(I654="Sí",J654="Sí"),"Sí","No"))</f>
        <v/>
      </c>
    </row>
    <row r="655" customFormat="false" ht="15" hidden="false" customHeight="false" outlineLevel="0" collapsed="false">
      <c r="A655" s="22"/>
      <c r="B655" s="22"/>
      <c r="C655" s="23" t="str">
        <f aca="false">IF(A655="","",IFERROR(buscarx(A655&amp;B655,DATA!$E$3:$E$10000&amp;DATA!$B$3:$B$10000,DATA!$M$3:$M$10000),"No encontrado"))</f>
        <v/>
      </c>
      <c r="D655" s="24" t="str">
        <f aca="false">IF(A655="","",IFERROR(buscarx(A655&amp;B655,DATA!$E$3:$E$10000&amp;DATA!$B$3:$B$10000,DATA!$W$3:$W$10000),"No encontrado"))</f>
        <v/>
      </c>
      <c r="E655" s="22"/>
      <c r="F655" s="23" t="str">
        <f aca="false">IF(A655="","",IFERROR(buscarx(A655&amp;E655,DATA!$E$3:$E$10000&amp;DATA!$B$3:$B$10000,DATA!$M$3:$M$10000),"Inactivo"))</f>
        <v/>
      </c>
      <c r="G655" s="25" t="str">
        <f aca="false">IF(A655="","",IF(AND(C655&lt;&gt;"No encontrado",F655&lt;&gt;"Inactivo"),C655&amp;" → "&amp;F655,"Sin transición"))</f>
        <v/>
      </c>
      <c r="H655" s="23" t="str">
        <f aca="false">IF(A655="","",IF(D655="GCIA LINEA SERVICIO DIGITALIDAD Y VENTAS","Chats",IF(OR(D655="GERENCIA INBOUND LÍNEAS SERVICIO Y VENTA",D655="GERENCIA INBOUND LINEAS ESPECIALIZADAS"),"Llamadas","Otro")))</f>
        <v/>
      </c>
      <c r="I655" s="23" t="str">
        <f aca="false">IF(A655="","",IF(C655="No encontrado","No","Sí"))</f>
        <v/>
      </c>
      <c r="J655" s="23" t="str">
        <f aca="false">IF(A655="","",IF(F655="Inactivo","No","Sí"))</f>
        <v/>
      </c>
      <c r="K655" s="23" t="str">
        <f aca="false">IF(A655="","",IF(AND(I655="Sí",J655="Sí"),"Sí","No"))</f>
        <v/>
      </c>
    </row>
    <row r="656" customFormat="false" ht="15" hidden="false" customHeight="false" outlineLevel="0" collapsed="false">
      <c r="A656" s="22"/>
      <c r="B656" s="22"/>
      <c r="C656" s="26" t="str">
        <f aca="false">IF(A656="","",IFERROR(buscarx(A656&amp;B656,DATA!$E$3:$E$10000&amp;DATA!$B$3:$B$10000,DATA!$M$3:$M$10000),"No encontrado"))</f>
        <v/>
      </c>
      <c r="D656" s="27" t="str">
        <f aca="false">IF(A656="","",IFERROR(buscarx(A656&amp;B656,DATA!$E$3:$E$10000&amp;DATA!$B$3:$B$10000,DATA!$W$3:$W$10000),"No encontrado"))</f>
        <v/>
      </c>
      <c r="E656" s="22"/>
      <c r="F656" s="26" t="str">
        <f aca="false">IF(A656="","",IFERROR(buscarx(A656&amp;E656,DATA!$E$3:$E$10000&amp;DATA!$B$3:$B$10000,DATA!$M$3:$M$10000),"Inactivo"))</f>
        <v/>
      </c>
      <c r="G656" s="28" t="str">
        <f aca="false">IF(A656="","",IF(AND(C656&lt;&gt;"No encontrado",F656&lt;&gt;"Inactivo"),C656&amp;" → "&amp;F656,"Sin transición"))</f>
        <v/>
      </c>
      <c r="H656" s="26" t="str">
        <f aca="false">IF(A656="","",IF(D656="GCIA LINEA SERVICIO DIGITALIDAD Y VENTAS","Chats",IF(OR(D656="GERENCIA INBOUND LÍNEAS SERVICIO Y VENTA",D656="GERENCIA INBOUND LINEAS ESPECIALIZADAS"),"Llamadas","Otro")))</f>
        <v/>
      </c>
      <c r="I656" s="26" t="str">
        <f aca="false">IF(A656="","",IF(C656="No encontrado","No","Sí"))</f>
        <v/>
      </c>
      <c r="J656" s="26" t="str">
        <f aca="false">IF(A656="","",IF(F656="Inactivo","No","Sí"))</f>
        <v/>
      </c>
      <c r="K656" s="26" t="str">
        <f aca="false">IF(A656="","",IF(AND(I656="Sí",J656="Sí"),"Sí","No"))</f>
        <v/>
      </c>
    </row>
    <row r="657" customFormat="false" ht="15" hidden="false" customHeight="false" outlineLevel="0" collapsed="false">
      <c r="A657" s="22"/>
      <c r="B657" s="22"/>
      <c r="C657" s="23" t="str">
        <f aca="false">IF(A657="","",IFERROR(buscarx(A657&amp;B657,DATA!$E$3:$E$10000&amp;DATA!$B$3:$B$10000,DATA!$M$3:$M$10000),"No encontrado"))</f>
        <v/>
      </c>
      <c r="D657" s="24" t="str">
        <f aca="false">IF(A657="","",IFERROR(buscarx(A657&amp;B657,DATA!$E$3:$E$10000&amp;DATA!$B$3:$B$10000,DATA!$W$3:$W$10000),"No encontrado"))</f>
        <v/>
      </c>
      <c r="E657" s="22"/>
      <c r="F657" s="23" t="str">
        <f aca="false">IF(A657="","",IFERROR(buscarx(A657&amp;E657,DATA!$E$3:$E$10000&amp;DATA!$B$3:$B$10000,DATA!$M$3:$M$10000),"Inactivo"))</f>
        <v/>
      </c>
      <c r="G657" s="25" t="str">
        <f aca="false">IF(A657="","",IF(AND(C657&lt;&gt;"No encontrado",F657&lt;&gt;"Inactivo"),C657&amp;" → "&amp;F657,"Sin transición"))</f>
        <v/>
      </c>
      <c r="H657" s="23" t="str">
        <f aca="false">IF(A657="","",IF(D657="GCIA LINEA SERVICIO DIGITALIDAD Y VENTAS","Chats",IF(OR(D657="GERENCIA INBOUND LÍNEAS SERVICIO Y VENTA",D657="GERENCIA INBOUND LINEAS ESPECIALIZADAS"),"Llamadas","Otro")))</f>
        <v/>
      </c>
      <c r="I657" s="23" t="str">
        <f aca="false">IF(A657="","",IF(C657="No encontrado","No","Sí"))</f>
        <v/>
      </c>
      <c r="J657" s="23" t="str">
        <f aca="false">IF(A657="","",IF(F657="Inactivo","No","Sí"))</f>
        <v/>
      </c>
      <c r="K657" s="23" t="str">
        <f aca="false">IF(A657="","",IF(AND(I657="Sí",J657="Sí"),"Sí","No"))</f>
        <v/>
      </c>
    </row>
    <row r="658" customFormat="false" ht="15" hidden="false" customHeight="false" outlineLevel="0" collapsed="false">
      <c r="A658" s="22"/>
      <c r="B658" s="22"/>
      <c r="C658" s="26" t="str">
        <f aca="false">IF(A658="","",IFERROR(buscarx(A658&amp;B658,DATA!$E$3:$E$10000&amp;DATA!$B$3:$B$10000,DATA!$M$3:$M$10000),"No encontrado"))</f>
        <v/>
      </c>
      <c r="D658" s="27" t="str">
        <f aca="false">IF(A658="","",IFERROR(buscarx(A658&amp;B658,DATA!$E$3:$E$10000&amp;DATA!$B$3:$B$10000,DATA!$W$3:$W$10000),"No encontrado"))</f>
        <v/>
      </c>
      <c r="E658" s="22"/>
      <c r="F658" s="26" t="str">
        <f aca="false">IF(A658="","",IFERROR(buscarx(A658&amp;E658,DATA!$E$3:$E$10000&amp;DATA!$B$3:$B$10000,DATA!$M$3:$M$10000),"Inactivo"))</f>
        <v/>
      </c>
      <c r="G658" s="28" t="str">
        <f aca="false">IF(A658="","",IF(AND(C658&lt;&gt;"No encontrado",F658&lt;&gt;"Inactivo"),C658&amp;" → "&amp;F658,"Sin transición"))</f>
        <v/>
      </c>
      <c r="H658" s="26" t="str">
        <f aca="false">IF(A658="","",IF(D658="GCIA LINEA SERVICIO DIGITALIDAD Y VENTAS","Chats",IF(OR(D658="GERENCIA INBOUND LÍNEAS SERVICIO Y VENTA",D658="GERENCIA INBOUND LINEAS ESPECIALIZADAS"),"Llamadas","Otro")))</f>
        <v/>
      </c>
      <c r="I658" s="26" t="str">
        <f aca="false">IF(A658="","",IF(C658="No encontrado","No","Sí"))</f>
        <v/>
      </c>
      <c r="J658" s="26" t="str">
        <f aca="false">IF(A658="","",IF(F658="Inactivo","No","Sí"))</f>
        <v/>
      </c>
      <c r="K658" s="26" t="str">
        <f aca="false">IF(A658="","",IF(AND(I658="Sí",J658="Sí"),"Sí","No"))</f>
        <v/>
      </c>
    </row>
    <row r="659" customFormat="false" ht="15" hidden="false" customHeight="false" outlineLevel="0" collapsed="false">
      <c r="A659" s="22"/>
      <c r="B659" s="22"/>
      <c r="C659" s="23" t="str">
        <f aca="false">IF(A659="","",IFERROR(buscarx(A659&amp;B659,DATA!$E$3:$E$10000&amp;DATA!$B$3:$B$10000,DATA!$M$3:$M$10000),"No encontrado"))</f>
        <v/>
      </c>
      <c r="D659" s="24" t="str">
        <f aca="false">IF(A659="","",IFERROR(buscarx(A659&amp;B659,DATA!$E$3:$E$10000&amp;DATA!$B$3:$B$10000,DATA!$W$3:$W$10000),"No encontrado"))</f>
        <v/>
      </c>
      <c r="E659" s="22"/>
      <c r="F659" s="23" t="str">
        <f aca="false">IF(A659="","",IFERROR(buscarx(A659&amp;E659,DATA!$E$3:$E$10000&amp;DATA!$B$3:$B$10000,DATA!$M$3:$M$10000),"Inactivo"))</f>
        <v/>
      </c>
      <c r="G659" s="25" t="str">
        <f aca="false">IF(A659="","",IF(AND(C659&lt;&gt;"No encontrado",F659&lt;&gt;"Inactivo"),C659&amp;" → "&amp;F659,"Sin transición"))</f>
        <v/>
      </c>
      <c r="H659" s="23" t="str">
        <f aca="false">IF(A659="","",IF(D659="GCIA LINEA SERVICIO DIGITALIDAD Y VENTAS","Chats",IF(OR(D659="GERENCIA INBOUND LÍNEAS SERVICIO Y VENTA",D659="GERENCIA INBOUND LINEAS ESPECIALIZADAS"),"Llamadas","Otro")))</f>
        <v/>
      </c>
      <c r="I659" s="23" t="str">
        <f aca="false">IF(A659="","",IF(C659="No encontrado","No","Sí"))</f>
        <v/>
      </c>
      <c r="J659" s="23" t="str">
        <f aca="false">IF(A659="","",IF(F659="Inactivo","No","Sí"))</f>
        <v/>
      </c>
      <c r="K659" s="23" t="str">
        <f aca="false">IF(A659="","",IF(AND(I659="Sí",J659="Sí"),"Sí","No"))</f>
        <v/>
      </c>
    </row>
    <row r="660" customFormat="false" ht="15" hidden="false" customHeight="false" outlineLevel="0" collapsed="false">
      <c r="A660" s="22"/>
      <c r="B660" s="22"/>
      <c r="C660" s="26" t="str">
        <f aca="false">IF(A660="","",IFERROR(buscarx(A660&amp;B660,DATA!$E$3:$E$10000&amp;DATA!$B$3:$B$10000,DATA!$M$3:$M$10000),"No encontrado"))</f>
        <v/>
      </c>
      <c r="D660" s="27" t="str">
        <f aca="false">IF(A660="","",IFERROR(buscarx(A660&amp;B660,DATA!$E$3:$E$10000&amp;DATA!$B$3:$B$10000,DATA!$W$3:$W$10000),"No encontrado"))</f>
        <v/>
      </c>
      <c r="E660" s="22"/>
      <c r="F660" s="26" t="str">
        <f aca="false">IF(A660="","",IFERROR(buscarx(A660&amp;E660,DATA!$E$3:$E$10000&amp;DATA!$B$3:$B$10000,DATA!$M$3:$M$10000),"Inactivo"))</f>
        <v/>
      </c>
      <c r="G660" s="28" t="str">
        <f aca="false">IF(A660="","",IF(AND(C660&lt;&gt;"No encontrado",F660&lt;&gt;"Inactivo"),C660&amp;" → "&amp;F660,"Sin transición"))</f>
        <v/>
      </c>
      <c r="H660" s="26" t="str">
        <f aca="false">IF(A660="","",IF(D660="GCIA LINEA SERVICIO DIGITALIDAD Y VENTAS","Chats",IF(OR(D660="GERENCIA INBOUND LÍNEAS SERVICIO Y VENTA",D660="GERENCIA INBOUND LINEAS ESPECIALIZADAS"),"Llamadas","Otro")))</f>
        <v/>
      </c>
      <c r="I660" s="26" t="str">
        <f aca="false">IF(A660="","",IF(C660="No encontrado","No","Sí"))</f>
        <v/>
      </c>
      <c r="J660" s="26" t="str">
        <f aca="false">IF(A660="","",IF(F660="Inactivo","No","Sí"))</f>
        <v/>
      </c>
      <c r="K660" s="26" t="str">
        <f aca="false">IF(A660="","",IF(AND(I660="Sí",J660="Sí"),"Sí","No"))</f>
        <v/>
      </c>
    </row>
    <row r="661" customFormat="false" ht="15" hidden="false" customHeight="false" outlineLevel="0" collapsed="false">
      <c r="A661" s="22"/>
      <c r="B661" s="22"/>
      <c r="C661" s="23" t="str">
        <f aca="false">IF(A661="","",IFERROR(buscarx(A661&amp;B661,DATA!$E$3:$E$10000&amp;DATA!$B$3:$B$10000,DATA!$M$3:$M$10000),"No encontrado"))</f>
        <v/>
      </c>
      <c r="D661" s="24" t="str">
        <f aca="false">IF(A661="","",IFERROR(buscarx(A661&amp;B661,DATA!$E$3:$E$10000&amp;DATA!$B$3:$B$10000,DATA!$W$3:$W$10000),"No encontrado"))</f>
        <v/>
      </c>
      <c r="E661" s="22"/>
      <c r="F661" s="23" t="str">
        <f aca="false">IF(A661="","",IFERROR(buscarx(A661&amp;E661,DATA!$E$3:$E$10000&amp;DATA!$B$3:$B$10000,DATA!$M$3:$M$10000),"Inactivo"))</f>
        <v/>
      </c>
      <c r="G661" s="25" t="str">
        <f aca="false">IF(A661="","",IF(AND(C661&lt;&gt;"No encontrado",F661&lt;&gt;"Inactivo"),C661&amp;" → "&amp;F661,"Sin transición"))</f>
        <v/>
      </c>
      <c r="H661" s="23" t="str">
        <f aca="false">IF(A661="","",IF(D661="GCIA LINEA SERVICIO DIGITALIDAD Y VENTAS","Chats",IF(OR(D661="GERENCIA INBOUND LÍNEAS SERVICIO Y VENTA",D661="GERENCIA INBOUND LINEAS ESPECIALIZADAS"),"Llamadas","Otro")))</f>
        <v/>
      </c>
      <c r="I661" s="23" t="str">
        <f aca="false">IF(A661="","",IF(C661="No encontrado","No","Sí"))</f>
        <v/>
      </c>
      <c r="J661" s="23" t="str">
        <f aca="false">IF(A661="","",IF(F661="Inactivo","No","Sí"))</f>
        <v/>
      </c>
      <c r="K661" s="23" t="str">
        <f aca="false">IF(A661="","",IF(AND(I661="Sí",J661="Sí"),"Sí","No"))</f>
        <v/>
      </c>
    </row>
    <row r="662" customFormat="false" ht="15" hidden="false" customHeight="false" outlineLevel="0" collapsed="false">
      <c r="A662" s="22"/>
      <c r="B662" s="22"/>
      <c r="C662" s="26" t="str">
        <f aca="false">IF(A662="","",IFERROR(buscarx(A662&amp;B662,DATA!$E$3:$E$10000&amp;DATA!$B$3:$B$10000,DATA!$M$3:$M$10000),"No encontrado"))</f>
        <v/>
      </c>
      <c r="D662" s="27" t="str">
        <f aca="false">IF(A662="","",IFERROR(buscarx(A662&amp;B662,DATA!$E$3:$E$10000&amp;DATA!$B$3:$B$10000,DATA!$W$3:$W$10000),"No encontrado"))</f>
        <v/>
      </c>
      <c r="E662" s="22"/>
      <c r="F662" s="26" t="str">
        <f aca="false">IF(A662="","",IFERROR(buscarx(A662&amp;E662,DATA!$E$3:$E$10000&amp;DATA!$B$3:$B$10000,DATA!$M$3:$M$10000),"Inactivo"))</f>
        <v/>
      </c>
      <c r="G662" s="28" t="str">
        <f aca="false">IF(A662="","",IF(AND(C662&lt;&gt;"No encontrado",F662&lt;&gt;"Inactivo"),C662&amp;" → "&amp;F662,"Sin transición"))</f>
        <v/>
      </c>
      <c r="H662" s="26" t="str">
        <f aca="false">IF(A662="","",IF(D662="GCIA LINEA SERVICIO DIGITALIDAD Y VENTAS","Chats",IF(OR(D662="GERENCIA INBOUND LÍNEAS SERVICIO Y VENTA",D662="GERENCIA INBOUND LINEAS ESPECIALIZADAS"),"Llamadas","Otro")))</f>
        <v/>
      </c>
      <c r="I662" s="26" t="str">
        <f aca="false">IF(A662="","",IF(C662="No encontrado","No","Sí"))</f>
        <v/>
      </c>
      <c r="J662" s="26" t="str">
        <f aca="false">IF(A662="","",IF(F662="Inactivo","No","Sí"))</f>
        <v/>
      </c>
      <c r="K662" s="26" t="str">
        <f aca="false">IF(A662="","",IF(AND(I662="Sí",J662="Sí"),"Sí","No"))</f>
        <v/>
      </c>
    </row>
    <row r="663" customFormat="false" ht="15" hidden="false" customHeight="false" outlineLevel="0" collapsed="false">
      <c r="A663" s="22"/>
      <c r="B663" s="22"/>
      <c r="C663" s="23" t="str">
        <f aca="false">IF(A663="","",IFERROR(buscarx(A663&amp;B663,DATA!$E$3:$E$10000&amp;DATA!$B$3:$B$10000,DATA!$M$3:$M$10000),"No encontrado"))</f>
        <v/>
      </c>
      <c r="D663" s="24" t="str">
        <f aca="false">IF(A663="","",IFERROR(buscarx(A663&amp;B663,DATA!$E$3:$E$10000&amp;DATA!$B$3:$B$10000,DATA!$W$3:$W$10000),"No encontrado"))</f>
        <v/>
      </c>
      <c r="E663" s="22"/>
      <c r="F663" s="23" t="str">
        <f aca="false">IF(A663="","",IFERROR(buscarx(A663&amp;E663,DATA!$E$3:$E$10000&amp;DATA!$B$3:$B$10000,DATA!$M$3:$M$10000),"Inactivo"))</f>
        <v/>
      </c>
      <c r="G663" s="25" t="str">
        <f aca="false">IF(A663="","",IF(AND(C663&lt;&gt;"No encontrado",F663&lt;&gt;"Inactivo"),C663&amp;" → "&amp;F663,"Sin transición"))</f>
        <v/>
      </c>
      <c r="H663" s="23" t="str">
        <f aca="false">IF(A663="","",IF(D663="GCIA LINEA SERVICIO DIGITALIDAD Y VENTAS","Chats",IF(OR(D663="GERENCIA INBOUND LÍNEAS SERVICIO Y VENTA",D663="GERENCIA INBOUND LINEAS ESPECIALIZADAS"),"Llamadas","Otro")))</f>
        <v/>
      </c>
      <c r="I663" s="23" t="str">
        <f aca="false">IF(A663="","",IF(C663="No encontrado","No","Sí"))</f>
        <v/>
      </c>
      <c r="J663" s="23" t="str">
        <f aca="false">IF(A663="","",IF(F663="Inactivo","No","Sí"))</f>
        <v/>
      </c>
      <c r="K663" s="23" t="str">
        <f aca="false">IF(A663="","",IF(AND(I663="Sí",J663="Sí"),"Sí","No"))</f>
        <v/>
      </c>
    </row>
    <row r="664" customFormat="false" ht="15" hidden="false" customHeight="false" outlineLevel="0" collapsed="false">
      <c r="A664" s="22"/>
      <c r="B664" s="22"/>
      <c r="C664" s="26" t="str">
        <f aca="false">IF(A664="","",IFERROR(buscarx(A664&amp;B664,DATA!$E$3:$E$10000&amp;DATA!$B$3:$B$10000,DATA!$M$3:$M$10000),"No encontrado"))</f>
        <v/>
      </c>
      <c r="D664" s="27" t="str">
        <f aca="false">IF(A664="","",IFERROR(buscarx(A664&amp;B664,DATA!$E$3:$E$10000&amp;DATA!$B$3:$B$10000,DATA!$W$3:$W$10000),"No encontrado"))</f>
        <v/>
      </c>
      <c r="E664" s="22"/>
      <c r="F664" s="26" t="str">
        <f aca="false">IF(A664="","",IFERROR(buscarx(A664&amp;E664,DATA!$E$3:$E$10000&amp;DATA!$B$3:$B$10000,DATA!$M$3:$M$10000),"Inactivo"))</f>
        <v/>
      </c>
      <c r="G664" s="28" t="str">
        <f aca="false">IF(A664="","",IF(AND(C664&lt;&gt;"No encontrado",F664&lt;&gt;"Inactivo"),C664&amp;" → "&amp;F664,"Sin transición"))</f>
        <v/>
      </c>
      <c r="H664" s="26" t="str">
        <f aca="false">IF(A664="","",IF(D664="GCIA LINEA SERVICIO DIGITALIDAD Y VENTAS","Chats",IF(OR(D664="GERENCIA INBOUND LÍNEAS SERVICIO Y VENTA",D664="GERENCIA INBOUND LINEAS ESPECIALIZADAS"),"Llamadas","Otro")))</f>
        <v/>
      </c>
      <c r="I664" s="26" t="str">
        <f aca="false">IF(A664="","",IF(C664="No encontrado","No","Sí"))</f>
        <v/>
      </c>
      <c r="J664" s="26" t="str">
        <f aca="false">IF(A664="","",IF(F664="Inactivo","No","Sí"))</f>
        <v/>
      </c>
      <c r="K664" s="26" t="str">
        <f aca="false">IF(A664="","",IF(AND(I664="Sí",J664="Sí"),"Sí","No"))</f>
        <v/>
      </c>
    </row>
    <row r="665" customFormat="false" ht="15" hidden="false" customHeight="false" outlineLevel="0" collapsed="false">
      <c r="A665" s="22"/>
      <c r="B665" s="22"/>
      <c r="C665" s="23" t="str">
        <f aca="false">IF(A665="","",IFERROR(buscarx(A665&amp;B665,DATA!$E$3:$E$10000&amp;DATA!$B$3:$B$10000,DATA!$M$3:$M$10000),"No encontrado"))</f>
        <v/>
      </c>
      <c r="D665" s="24" t="str">
        <f aca="false">IF(A665="","",IFERROR(buscarx(A665&amp;B665,DATA!$E$3:$E$10000&amp;DATA!$B$3:$B$10000,DATA!$W$3:$W$10000),"No encontrado"))</f>
        <v/>
      </c>
      <c r="E665" s="22"/>
      <c r="F665" s="23" t="str">
        <f aca="false">IF(A665="","",IFERROR(buscarx(A665&amp;E665,DATA!$E$3:$E$10000&amp;DATA!$B$3:$B$10000,DATA!$M$3:$M$10000),"Inactivo"))</f>
        <v/>
      </c>
      <c r="G665" s="25" t="str">
        <f aca="false">IF(A665="","",IF(AND(C665&lt;&gt;"No encontrado",F665&lt;&gt;"Inactivo"),C665&amp;" → "&amp;F665,"Sin transición"))</f>
        <v/>
      </c>
      <c r="H665" s="23" t="str">
        <f aca="false">IF(A665="","",IF(D665="GCIA LINEA SERVICIO DIGITALIDAD Y VENTAS","Chats",IF(OR(D665="GERENCIA INBOUND LÍNEAS SERVICIO Y VENTA",D665="GERENCIA INBOUND LINEAS ESPECIALIZADAS"),"Llamadas","Otro")))</f>
        <v/>
      </c>
      <c r="I665" s="23" t="str">
        <f aca="false">IF(A665="","",IF(C665="No encontrado","No","Sí"))</f>
        <v/>
      </c>
      <c r="J665" s="23" t="str">
        <f aca="false">IF(A665="","",IF(F665="Inactivo","No","Sí"))</f>
        <v/>
      </c>
      <c r="K665" s="23" t="str">
        <f aca="false">IF(A665="","",IF(AND(I665="Sí",J665="Sí"),"Sí","No"))</f>
        <v/>
      </c>
    </row>
    <row r="666" customFormat="false" ht="15" hidden="false" customHeight="false" outlineLevel="0" collapsed="false">
      <c r="A666" s="22"/>
      <c r="B666" s="22"/>
      <c r="C666" s="26" t="str">
        <f aca="false">IF(A666="","",IFERROR(buscarx(A666&amp;B666,DATA!$E$3:$E$10000&amp;DATA!$B$3:$B$10000,DATA!$M$3:$M$10000),"No encontrado"))</f>
        <v/>
      </c>
      <c r="D666" s="27" t="str">
        <f aca="false">IF(A666="","",IFERROR(buscarx(A666&amp;B666,DATA!$E$3:$E$10000&amp;DATA!$B$3:$B$10000,DATA!$W$3:$W$10000),"No encontrado"))</f>
        <v/>
      </c>
      <c r="E666" s="22"/>
      <c r="F666" s="26" t="str">
        <f aca="false">IF(A666="","",IFERROR(buscarx(A666&amp;E666,DATA!$E$3:$E$10000&amp;DATA!$B$3:$B$10000,DATA!$M$3:$M$10000),"Inactivo"))</f>
        <v/>
      </c>
      <c r="G666" s="28" t="str">
        <f aca="false">IF(A666="","",IF(AND(C666&lt;&gt;"No encontrado",F666&lt;&gt;"Inactivo"),C666&amp;" → "&amp;F666,"Sin transición"))</f>
        <v/>
      </c>
      <c r="H666" s="26" t="str">
        <f aca="false">IF(A666="","",IF(D666="GCIA LINEA SERVICIO DIGITALIDAD Y VENTAS","Chats",IF(OR(D666="GERENCIA INBOUND LÍNEAS SERVICIO Y VENTA",D666="GERENCIA INBOUND LINEAS ESPECIALIZADAS"),"Llamadas","Otro")))</f>
        <v/>
      </c>
      <c r="I666" s="26" t="str">
        <f aca="false">IF(A666="","",IF(C666="No encontrado","No","Sí"))</f>
        <v/>
      </c>
      <c r="J666" s="26" t="str">
        <f aca="false">IF(A666="","",IF(F666="Inactivo","No","Sí"))</f>
        <v/>
      </c>
      <c r="K666" s="26" t="str">
        <f aca="false">IF(A666="","",IF(AND(I666="Sí",J666="Sí"),"Sí","No"))</f>
        <v/>
      </c>
    </row>
    <row r="667" customFormat="false" ht="15" hidden="false" customHeight="false" outlineLevel="0" collapsed="false">
      <c r="A667" s="22"/>
      <c r="B667" s="22"/>
      <c r="C667" s="23" t="str">
        <f aca="false">IF(A667="","",IFERROR(buscarx(A667&amp;B667,DATA!$E$3:$E$10000&amp;DATA!$B$3:$B$10000,DATA!$M$3:$M$10000),"No encontrado"))</f>
        <v/>
      </c>
      <c r="D667" s="24" t="str">
        <f aca="false">IF(A667="","",IFERROR(buscarx(A667&amp;B667,DATA!$E$3:$E$10000&amp;DATA!$B$3:$B$10000,DATA!$W$3:$W$10000),"No encontrado"))</f>
        <v/>
      </c>
      <c r="E667" s="22"/>
      <c r="F667" s="23" t="str">
        <f aca="false">IF(A667="","",IFERROR(buscarx(A667&amp;E667,DATA!$E$3:$E$10000&amp;DATA!$B$3:$B$10000,DATA!$M$3:$M$10000),"Inactivo"))</f>
        <v/>
      </c>
      <c r="G667" s="25" t="str">
        <f aca="false">IF(A667="","",IF(AND(C667&lt;&gt;"No encontrado",F667&lt;&gt;"Inactivo"),C667&amp;" → "&amp;F667,"Sin transición"))</f>
        <v/>
      </c>
      <c r="H667" s="23" t="str">
        <f aca="false">IF(A667="","",IF(D667="GCIA LINEA SERVICIO DIGITALIDAD Y VENTAS","Chats",IF(OR(D667="GERENCIA INBOUND LÍNEAS SERVICIO Y VENTA",D667="GERENCIA INBOUND LINEAS ESPECIALIZADAS"),"Llamadas","Otro")))</f>
        <v/>
      </c>
      <c r="I667" s="23" t="str">
        <f aca="false">IF(A667="","",IF(C667="No encontrado","No","Sí"))</f>
        <v/>
      </c>
      <c r="J667" s="23" t="str">
        <f aca="false">IF(A667="","",IF(F667="Inactivo","No","Sí"))</f>
        <v/>
      </c>
      <c r="K667" s="23" t="str">
        <f aca="false">IF(A667="","",IF(AND(I667="Sí",J667="Sí"),"Sí","No"))</f>
        <v/>
      </c>
    </row>
    <row r="668" customFormat="false" ht="15" hidden="false" customHeight="false" outlineLevel="0" collapsed="false">
      <c r="A668" s="22"/>
      <c r="B668" s="22"/>
      <c r="C668" s="26" t="str">
        <f aca="false">IF(A668="","",IFERROR(buscarx(A668&amp;B668,DATA!$E$3:$E$10000&amp;DATA!$B$3:$B$10000,DATA!$M$3:$M$10000),"No encontrado"))</f>
        <v/>
      </c>
      <c r="D668" s="27" t="str">
        <f aca="false">IF(A668="","",IFERROR(buscarx(A668&amp;B668,DATA!$E$3:$E$10000&amp;DATA!$B$3:$B$10000,DATA!$W$3:$W$10000),"No encontrado"))</f>
        <v/>
      </c>
      <c r="E668" s="22"/>
      <c r="F668" s="26" t="str">
        <f aca="false">IF(A668="","",IFERROR(buscarx(A668&amp;E668,DATA!$E$3:$E$10000&amp;DATA!$B$3:$B$10000,DATA!$M$3:$M$10000),"Inactivo"))</f>
        <v/>
      </c>
      <c r="G668" s="28" t="str">
        <f aca="false">IF(A668="","",IF(AND(C668&lt;&gt;"No encontrado",F668&lt;&gt;"Inactivo"),C668&amp;" → "&amp;F668,"Sin transición"))</f>
        <v/>
      </c>
      <c r="H668" s="26" t="str">
        <f aca="false">IF(A668="","",IF(D668="GCIA LINEA SERVICIO DIGITALIDAD Y VENTAS","Chats",IF(OR(D668="GERENCIA INBOUND LÍNEAS SERVICIO Y VENTA",D668="GERENCIA INBOUND LINEAS ESPECIALIZADAS"),"Llamadas","Otro")))</f>
        <v/>
      </c>
      <c r="I668" s="26" t="str">
        <f aca="false">IF(A668="","",IF(C668="No encontrado","No","Sí"))</f>
        <v/>
      </c>
      <c r="J668" s="26" t="str">
        <f aca="false">IF(A668="","",IF(F668="Inactivo","No","Sí"))</f>
        <v/>
      </c>
      <c r="K668" s="26" t="str">
        <f aca="false">IF(A668="","",IF(AND(I668="Sí",J668="Sí"),"Sí","No"))</f>
        <v/>
      </c>
    </row>
    <row r="669" customFormat="false" ht="15" hidden="false" customHeight="false" outlineLevel="0" collapsed="false">
      <c r="A669" s="22"/>
      <c r="B669" s="22"/>
      <c r="C669" s="23" t="str">
        <f aca="false">IF(A669="","",IFERROR(buscarx(A669&amp;B669,DATA!$E$3:$E$10000&amp;DATA!$B$3:$B$10000,DATA!$M$3:$M$10000),"No encontrado"))</f>
        <v/>
      </c>
      <c r="D669" s="24" t="str">
        <f aca="false">IF(A669="","",IFERROR(buscarx(A669&amp;B669,DATA!$E$3:$E$10000&amp;DATA!$B$3:$B$10000,DATA!$W$3:$W$10000),"No encontrado"))</f>
        <v/>
      </c>
      <c r="E669" s="22"/>
      <c r="F669" s="23" t="str">
        <f aca="false">IF(A669="","",IFERROR(buscarx(A669&amp;E669,DATA!$E$3:$E$10000&amp;DATA!$B$3:$B$10000,DATA!$M$3:$M$10000),"Inactivo"))</f>
        <v/>
      </c>
      <c r="G669" s="25" t="str">
        <f aca="false">IF(A669="","",IF(AND(C669&lt;&gt;"No encontrado",F669&lt;&gt;"Inactivo"),C669&amp;" → "&amp;F669,"Sin transición"))</f>
        <v/>
      </c>
      <c r="H669" s="23" t="str">
        <f aca="false">IF(A669="","",IF(D669="GCIA LINEA SERVICIO DIGITALIDAD Y VENTAS","Chats",IF(OR(D669="GERENCIA INBOUND LÍNEAS SERVICIO Y VENTA",D669="GERENCIA INBOUND LINEAS ESPECIALIZADAS"),"Llamadas","Otro")))</f>
        <v/>
      </c>
      <c r="I669" s="23" t="str">
        <f aca="false">IF(A669="","",IF(C669="No encontrado","No","Sí"))</f>
        <v/>
      </c>
      <c r="J669" s="23" t="str">
        <f aca="false">IF(A669="","",IF(F669="Inactivo","No","Sí"))</f>
        <v/>
      </c>
      <c r="K669" s="23" t="str">
        <f aca="false">IF(A669="","",IF(AND(I669="Sí",J669="Sí"),"Sí","No"))</f>
        <v/>
      </c>
    </row>
    <row r="670" customFormat="false" ht="15" hidden="false" customHeight="false" outlineLevel="0" collapsed="false">
      <c r="A670" s="22"/>
      <c r="B670" s="22"/>
      <c r="C670" s="26" t="str">
        <f aca="false">IF(A670="","",IFERROR(buscarx(A670&amp;B670,DATA!$E$3:$E$10000&amp;DATA!$B$3:$B$10000,DATA!$M$3:$M$10000),"No encontrado"))</f>
        <v/>
      </c>
      <c r="D670" s="27" t="str">
        <f aca="false">IF(A670="","",IFERROR(buscarx(A670&amp;B670,DATA!$E$3:$E$10000&amp;DATA!$B$3:$B$10000,DATA!$W$3:$W$10000),"No encontrado"))</f>
        <v/>
      </c>
      <c r="E670" s="22"/>
      <c r="F670" s="26" t="str">
        <f aca="false">IF(A670="","",IFERROR(buscarx(A670&amp;E670,DATA!$E$3:$E$10000&amp;DATA!$B$3:$B$10000,DATA!$M$3:$M$10000),"Inactivo"))</f>
        <v/>
      </c>
      <c r="G670" s="28" t="str">
        <f aca="false">IF(A670="","",IF(AND(C670&lt;&gt;"No encontrado",F670&lt;&gt;"Inactivo"),C670&amp;" → "&amp;F670,"Sin transición"))</f>
        <v/>
      </c>
      <c r="H670" s="26" t="str">
        <f aca="false">IF(A670="","",IF(D670="GCIA LINEA SERVICIO DIGITALIDAD Y VENTAS","Chats",IF(OR(D670="GERENCIA INBOUND LÍNEAS SERVICIO Y VENTA",D670="GERENCIA INBOUND LINEAS ESPECIALIZADAS"),"Llamadas","Otro")))</f>
        <v/>
      </c>
      <c r="I670" s="26" t="str">
        <f aca="false">IF(A670="","",IF(C670="No encontrado","No","Sí"))</f>
        <v/>
      </c>
      <c r="J670" s="26" t="str">
        <f aca="false">IF(A670="","",IF(F670="Inactivo","No","Sí"))</f>
        <v/>
      </c>
      <c r="K670" s="26" t="str">
        <f aca="false">IF(A670="","",IF(AND(I670="Sí",J670="Sí"),"Sí","No"))</f>
        <v/>
      </c>
    </row>
    <row r="671" customFormat="false" ht="15" hidden="false" customHeight="false" outlineLevel="0" collapsed="false">
      <c r="A671" s="22"/>
      <c r="B671" s="22"/>
      <c r="C671" s="23" t="str">
        <f aca="false">IF(A671="","",IFERROR(buscarx(A671&amp;B671,DATA!$E$3:$E$10000&amp;DATA!$B$3:$B$10000,DATA!$M$3:$M$10000),"No encontrado"))</f>
        <v/>
      </c>
      <c r="D671" s="24" t="str">
        <f aca="false">IF(A671="","",IFERROR(buscarx(A671&amp;B671,DATA!$E$3:$E$10000&amp;DATA!$B$3:$B$10000,DATA!$W$3:$W$10000),"No encontrado"))</f>
        <v/>
      </c>
      <c r="E671" s="22"/>
      <c r="F671" s="23" t="str">
        <f aca="false">IF(A671="","",IFERROR(buscarx(A671&amp;E671,DATA!$E$3:$E$10000&amp;DATA!$B$3:$B$10000,DATA!$M$3:$M$10000),"Inactivo"))</f>
        <v/>
      </c>
      <c r="G671" s="25" t="str">
        <f aca="false">IF(A671="","",IF(AND(C671&lt;&gt;"No encontrado",F671&lt;&gt;"Inactivo"),C671&amp;" → "&amp;F671,"Sin transición"))</f>
        <v/>
      </c>
      <c r="H671" s="23" t="str">
        <f aca="false">IF(A671="","",IF(D671="GCIA LINEA SERVICIO DIGITALIDAD Y VENTAS","Chats",IF(OR(D671="GERENCIA INBOUND LÍNEAS SERVICIO Y VENTA",D671="GERENCIA INBOUND LINEAS ESPECIALIZADAS"),"Llamadas","Otro")))</f>
        <v/>
      </c>
      <c r="I671" s="23" t="str">
        <f aca="false">IF(A671="","",IF(C671="No encontrado","No","Sí"))</f>
        <v/>
      </c>
      <c r="J671" s="23" t="str">
        <f aca="false">IF(A671="","",IF(F671="Inactivo","No","Sí"))</f>
        <v/>
      </c>
      <c r="K671" s="23" t="str">
        <f aca="false">IF(A671="","",IF(AND(I671="Sí",J671="Sí"),"Sí","No"))</f>
        <v/>
      </c>
    </row>
    <row r="672" customFormat="false" ht="15" hidden="false" customHeight="false" outlineLevel="0" collapsed="false">
      <c r="A672" s="22"/>
      <c r="B672" s="22"/>
      <c r="C672" s="26" t="str">
        <f aca="false">IF(A672="","",IFERROR(buscarx(A672&amp;B672,DATA!$E$3:$E$10000&amp;DATA!$B$3:$B$10000,DATA!$M$3:$M$10000),"No encontrado"))</f>
        <v/>
      </c>
      <c r="D672" s="27" t="str">
        <f aca="false">IF(A672="","",IFERROR(buscarx(A672&amp;B672,DATA!$E$3:$E$10000&amp;DATA!$B$3:$B$10000,DATA!$W$3:$W$10000),"No encontrado"))</f>
        <v/>
      </c>
      <c r="E672" s="22"/>
      <c r="F672" s="26" t="str">
        <f aca="false">IF(A672="","",IFERROR(buscarx(A672&amp;E672,DATA!$E$3:$E$10000&amp;DATA!$B$3:$B$10000,DATA!$M$3:$M$10000),"Inactivo"))</f>
        <v/>
      </c>
      <c r="G672" s="28" t="str">
        <f aca="false">IF(A672="","",IF(AND(C672&lt;&gt;"No encontrado",F672&lt;&gt;"Inactivo"),C672&amp;" → "&amp;F672,"Sin transición"))</f>
        <v/>
      </c>
      <c r="H672" s="26" t="str">
        <f aca="false">IF(A672="","",IF(D672="GCIA LINEA SERVICIO DIGITALIDAD Y VENTAS","Chats",IF(OR(D672="GERENCIA INBOUND LÍNEAS SERVICIO Y VENTA",D672="GERENCIA INBOUND LINEAS ESPECIALIZADAS"),"Llamadas","Otro")))</f>
        <v/>
      </c>
      <c r="I672" s="26" t="str">
        <f aca="false">IF(A672="","",IF(C672="No encontrado","No","Sí"))</f>
        <v/>
      </c>
      <c r="J672" s="26" t="str">
        <f aca="false">IF(A672="","",IF(F672="Inactivo","No","Sí"))</f>
        <v/>
      </c>
      <c r="K672" s="26" t="str">
        <f aca="false">IF(A672="","",IF(AND(I672="Sí",J672="Sí"),"Sí","No"))</f>
        <v/>
      </c>
    </row>
    <row r="673" customFormat="false" ht="15" hidden="false" customHeight="false" outlineLevel="0" collapsed="false">
      <c r="A673" s="22"/>
      <c r="B673" s="22"/>
      <c r="C673" s="23" t="str">
        <f aca="false">IF(A673="","",IFERROR(buscarx(A673&amp;B673,DATA!$E$3:$E$10000&amp;DATA!$B$3:$B$10000,DATA!$M$3:$M$10000),"No encontrado"))</f>
        <v/>
      </c>
      <c r="D673" s="24" t="str">
        <f aca="false">IF(A673="","",IFERROR(buscarx(A673&amp;B673,DATA!$E$3:$E$10000&amp;DATA!$B$3:$B$10000,DATA!$W$3:$W$10000),"No encontrado"))</f>
        <v/>
      </c>
      <c r="E673" s="22"/>
      <c r="F673" s="23" t="str">
        <f aca="false">IF(A673="","",IFERROR(buscarx(A673&amp;E673,DATA!$E$3:$E$10000&amp;DATA!$B$3:$B$10000,DATA!$M$3:$M$10000),"Inactivo"))</f>
        <v/>
      </c>
      <c r="G673" s="25" t="str">
        <f aca="false">IF(A673="","",IF(AND(C673&lt;&gt;"No encontrado",F673&lt;&gt;"Inactivo"),C673&amp;" → "&amp;F673,"Sin transición"))</f>
        <v/>
      </c>
      <c r="H673" s="23" t="str">
        <f aca="false">IF(A673="","",IF(D673="GCIA LINEA SERVICIO DIGITALIDAD Y VENTAS","Chats",IF(OR(D673="GERENCIA INBOUND LÍNEAS SERVICIO Y VENTA",D673="GERENCIA INBOUND LINEAS ESPECIALIZADAS"),"Llamadas","Otro")))</f>
        <v/>
      </c>
      <c r="I673" s="23" t="str">
        <f aca="false">IF(A673="","",IF(C673="No encontrado","No","Sí"))</f>
        <v/>
      </c>
      <c r="J673" s="23" t="str">
        <f aca="false">IF(A673="","",IF(F673="Inactivo","No","Sí"))</f>
        <v/>
      </c>
      <c r="K673" s="23" t="str">
        <f aca="false">IF(A673="","",IF(AND(I673="Sí",J673="Sí"),"Sí","No"))</f>
        <v/>
      </c>
    </row>
    <row r="674" customFormat="false" ht="15" hidden="false" customHeight="false" outlineLevel="0" collapsed="false">
      <c r="A674" s="22"/>
      <c r="B674" s="22"/>
      <c r="C674" s="26" t="str">
        <f aca="false">IF(A674="","",IFERROR(buscarx(A674&amp;B674,DATA!$E$3:$E$10000&amp;DATA!$B$3:$B$10000,DATA!$M$3:$M$10000),"No encontrado"))</f>
        <v/>
      </c>
      <c r="D674" s="27" t="str">
        <f aca="false">IF(A674="","",IFERROR(buscarx(A674&amp;B674,DATA!$E$3:$E$10000&amp;DATA!$B$3:$B$10000,DATA!$W$3:$W$10000),"No encontrado"))</f>
        <v/>
      </c>
      <c r="E674" s="22"/>
      <c r="F674" s="26" t="str">
        <f aca="false">IF(A674="","",IFERROR(buscarx(A674&amp;E674,DATA!$E$3:$E$10000&amp;DATA!$B$3:$B$10000,DATA!$M$3:$M$10000),"Inactivo"))</f>
        <v/>
      </c>
      <c r="G674" s="28" t="str">
        <f aca="false">IF(A674="","",IF(AND(C674&lt;&gt;"No encontrado",F674&lt;&gt;"Inactivo"),C674&amp;" → "&amp;F674,"Sin transición"))</f>
        <v/>
      </c>
      <c r="H674" s="26" t="str">
        <f aca="false">IF(A674="","",IF(D674="GCIA LINEA SERVICIO DIGITALIDAD Y VENTAS","Chats",IF(OR(D674="GERENCIA INBOUND LÍNEAS SERVICIO Y VENTA",D674="GERENCIA INBOUND LINEAS ESPECIALIZADAS"),"Llamadas","Otro")))</f>
        <v/>
      </c>
      <c r="I674" s="26" t="str">
        <f aca="false">IF(A674="","",IF(C674="No encontrado","No","Sí"))</f>
        <v/>
      </c>
      <c r="J674" s="26" t="str">
        <f aca="false">IF(A674="","",IF(F674="Inactivo","No","Sí"))</f>
        <v/>
      </c>
      <c r="K674" s="26" t="str">
        <f aca="false">IF(A674="","",IF(AND(I674="Sí",J674="Sí"),"Sí","No"))</f>
        <v/>
      </c>
    </row>
    <row r="675" customFormat="false" ht="15" hidden="false" customHeight="false" outlineLevel="0" collapsed="false">
      <c r="A675" s="22"/>
      <c r="B675" s="22"/>
      <c r="C675" s="23" t="str">
        <f aca="false">IF(A675="","",IFERROR(buscarx(A675&amp;B675,DATA!$E$3:$E$10000&amp;DATA!$B$3:$B$10000,DATA!$M$3:$M$10000),"No encontrado"))</f>
        <v/>
      </c>
      <c r="D675" s="24" t="str">
        <f aca="false">IF(A675="","",IFERROR(buscarx(A675&amp;B675,DATA!$E$3:$E$10000&amp;DATA!$B$3:$B$10000,DATA!$W$3:$W$10000),"No encontrado"))</f>
        <v/>
      </c>
      <c r="E675" s="22"/>
      <c r="F675" s="23" t="str">
        <f aca="false">IF(A675="","",IFERROR(buscarx(A675&amp;E675,DATA!$E$3:$E$10000&amp;DATA!$B$3:$B$10000,DATA!$M$3:$M$10000),"Inactivo"))</f>
        <v/>
      </c>
      <c r="G675" s="25" t="str">
        <f aca="false">IF(A675="","",IF(AND(C675&lt;&gt;"No encontrado",F675&lt;&gt;"Inactivo"),C675&amp;" → "&amp;F675,"Sin transición"))</f>
        <v/>
      </c>
      <c r="H675" s="23" t="str">
        <f aca="false">IF(A675="","",IF(D675="GCIA LINEA SERVICIO DIGITALIDAD Y VENTAS","Chats",IF(OR(D675="GERENCIA INBOUND LÍNEAS SERVICIO Y VENTA",D675="GERENCIA INBOUND LINEAS ESPECIALIZADAS"),"Llamadas","Otro")))</f>
        <v/>
      </c>
      <c r="I675" s="23" t="str">
        <f aca="false">IF(A675="","",IF(C675="No encontrado","No","Sí"))</f>
        <v/>
      </c>
      <c r="J675" s="23" t="str">
        <f aca="false">IF(A675="","",IF(F675="Inactivo","No","Sí"))</f>
        <v/>
      </c>
      <c r="K675" s="23" t="str">
        <f aca="false">IF(A675="","",IF(AND(I675="Sí",J675="Sí"),"Sí","No"))</f>
        <v/>
      </c>
    </row>
    <row r="676" customFormat="false" ht="15" hidden="false" customHeight="false" outlineLevel="0" collapsed="false">
      <c r="A676" s="22"/>
      <c r="B676" s="22"/>
      <c r="C676" s="26" t="str">
        <f aca="false">IF(A676="","",IFERROR(buscarx(A676&amp;B676,DATA!$E$3:$E$10000&amp;DATA!$B$3:$B$10000,DATA!$M$3:$M$10000),"No encontrado"))</f>
        <v/>
      </c>
      <c r="D676" s="27" t="str">
        <f aca="false">IF(A676="","",IFERROR(buscarx(A676&amp;B676,DATA!$E$3:$E$10000&amp;DATA!$B$3:$B$10000,DATA!$W$3:$W$10000),"No encontrado"))</f>
        <v/>
      </c>
      <c r="E676" s="22"/>
      <c r="F676" s="26" t="str">
        <f aca="false">IF(A676="","",IFERROR(buscarx(A676&amp;E676,DATA!$E$3:$E$10000&amp;DATA!$B$3:$B$10000,DATA!$M$3:$M$10000),"Inactivo"))</f>
        <v/>
      </c>
      <c r="G676" s="28" t="str">
        <f aca="false">IF(A676="","",IF(AND(C676&lt;&gt;"No encontrado",F676&lt;&gt;"Inactivo"),C676&amp;" → "&amp;F676,"Sin transición"))</f>
        <v/>
      </c>
      <c r="H676" s="26" t="str">
        <f aca="false">IF(A676="","",IF(D676="GCIA LINEA SERVICIO DIGITALIDAD Y VENTAS","Chats",IF(OR(D676="GERENCIA INBOUND LÍNEAS SERVICIO Y VENTA",D676="GERENCIA INBOUND LINEAS ESPECIALIZADAS"),"Llamadas","Otro")))</f>
        <v/>
      </c>
      <c r="I676" s="26" t="str">
        <f aca="false">IF(A676="","",IF(C676="No encontrado","No","Sí"))</f>
        <v/>
      </c>
      <c r="J676" s="26" t="str">
        <f aca="false">IF(A676="","",IF(F676="Inactivo","No","Sí"))</f>
        <v/>
      </c>
      <c r="K676" s="26" t="str">
        <f aca="false">IF(A676="","",IF(AND(I676="Sí",J676="Sí"),"Sí","No"))</f>
        <v/>
      </c>
    </row>
    <row r="677" customFormat="false" ht="15" hidden="false" customHeight="false" outlineLevel="0" collapsed="false">
      <c r="A677" s="22"/>
      <c r="B677" s="22"/>
      <c r="C677" s="23" t="str">
        <f aca="false">IF(A677="","",IFERROR(buscarx(A677&amp;B677,DATA!$E$3:$E$10000&amp;DATA!$B$3:$B$10000,DATA!$M$3:$M$10000),"No encontrado"))</f>
        <v/>
      </c>
      <c r="D677" s="24" t="str">
        <f aca="false">IF(A677="","",IFERROR(buscarx(A677&amp;B677,DATA!$E$3:$E$10000&amp;DATA!$B$3:$B$10000,DATA!$W$3:$W$10000),"No encontrado"))</f>
        <v/>
      </c>
      <c r="E677" s="22"/>
      <c r="F677" s="23" t="str">
        <f aca="false">IF(A677="","",IFERROR(buscarx(A677&amp;E677,DATA!$E$3:$E$10000&amp;DATA!$B$3:$B$10000,DATA!$M$3:$M$10000),"Inactivo"))</f>
        <v/>
      </c>
      <c r="G677" s="25" t="str">
        <f aca="false">IF(A677="","",IF(AND(C677&lt;&gt;"No encontrado",F677&lt;&gt;"Inactivo"),C677&amp;" → "&amp;F677,"Sin transición"))</f>
        <v/>
      </c>
      <c r="H677" s="23" t="str">
        <f aca="false">IF(A677="","",IF(D677="GCIA LINEA SERVICIO DIGITALIDAD Y VENTAS","Chats",IF(OR(D677="GERENCIA INBOUND LÍNEAS SERVICIO Y VENTA",D677="GERENCIA INBOUND LINEAS ESPECIALIZADAS"),"Llamadas","Otro")))</f>
        <v/>
      </c>
      <c r="I677" s="23" t="str">
        <f aca="false">IF(A677="","",IF(C677="No encontrado","No","Sí"))</f>
        <v/>
      </c>
      <c r="J677" s="23" t="str">
        <f aca="false">IF(A677="","",IF(F677="Inactivo","No","Sí"))</f>
        <v/>
      </c>
      <c r="K677" s="23" t="str">
        <f aca="false">IF(A677="","",IF(AND(I677="Sí",J677="Sí"),"Sí","No"))</f>
        <v/>
      </c>
    </row>
    <row r="678" customFormat="false" ht="15" hidden="false" customHeight="false" outlineLevel="0" collapsed="false">
      <c r="A678" s="22"/>
      <c r="B678" s="22"/>
      <c r="C678" s="26" t="str">
        <f aca="false">IF(A678="","",IFERROR(buscarx(A678&amp;B678,DATA!$E$3:$E$10000&amp;DATA!$B$3:$B$10000,DATA!$M$3:$M$10000),"No encontrado"))</f>
        <v/>
      </c>
      <c r="D678" s="27" t="str">
        <f aca="false">IF(A678="","",IFERROR(buscarx(A678&amp;B678,DATA!$E$3:$E$10000&amp;DATA!$B$3:$B$10000,DATA!$W$3:$W$10000),"No encontrado"))</f>
        <v/>
      </c>
      <c r="E678" s="22"/>
      <c r="F678" s="26" t="str">
        <f aca="false">IF(A678="","",IFERROR(buscarx(A678&amp;E678,DATA!$E$3:$E$10000&amp;DATA!$B$3:$B$10000,DATA!$M$3:$M$10000),"Inactivo"))</f>
        <v/>
      </c>
      <c r="G678" s="28" t="str">
        <f aca="false">IF(A678="","",IF(AND(C678&lt;&gt;"No encontrado",F678&lt;&gt;"Inactivo"),C678&amp;" → "&amp;F678,"Sin transición"))</f>
        <v/>
      </c>
      <c r="H678" s="26" t="str">
        <f aca="false">IF(A678="","",IF(D678="GCIA LINEA SERVICIO DIGITALIDAD Y VENTAS","Chats",IF(OR(D678="GERENCIA INBOUND LÍNEAS SERVICIO Y VENTA",D678="GERENCIA INBOUND LINEAS ESPECIALIZADAS"),"Llamadas","Otro")))</f>
        <v/>
      </c>
      <c r="I678" s="26" t="str">
        <f aca="false">IF(A678="","",IF(C678="No encontrado","No","Sí"))</f>
        <v/>
      </c>
      <c r="J678" s="26" t="str">
        <f aca="false">IF(A678="","",IF(F678="Inactivo","No","Sí"))</f>
        <v/>
      </c>
      <c r="K678" s="26" t="str">
        <f aca="false">IF(A678="","",IF(AND(I678="Sí",J678="Sí"),"Sí","No"))</f>
        <v/>
      </c>
    </row>
    <row r="679" customFormat="false" ht="15" hidden="false" customHeight="false" outlineLevel="0" collapsed="false">
      <c r="A679" s="22"/>
      <c r="B679" s="22"/>
      <c r="C679" s="23" t="str">
        <f aca="false">IF(A679="","",IFERROR(buscarx(A679&amp;B679,DATA!$E$3:$E$10000&amp;DATA!$B$3:$B$10000,DATA!$M$3:$M$10000),"No encontrado"))</f>
        <v/>
      </c>
      <c r="D679" s="24" t="str">
        <f aca="false">IF(A679="","",IFERROR(buscarx(A679&amp;B679,DATA!$E$3:$E$10000&amp;DATA!$B$3:$B$10000,DATA!$W$3:$W$10000),"No encontrado"))</f>
        <v/>
      </c>
      <c r="E679" s="22"/>
      <c r="F679" s="23" t="str">
        <f aca="false">IF(A679="","",IFERROR(buscarx(A679&amp;E679,DATA!$E$3:$E$10000&amp;DATA!$B$3:$B$10000,DATA!$M$3:$M$10000),"Inactivo"))</f>
        <v/>
      </c>
      <c r="G679" s="25" t="str">
        <f aca="false">IF(A679="","",IF(AND(C679&lt;&gt;"No encontrado",F679&lt;&gt;"Inactivo"),C679&amp;" → "&amp;F679,"Sin transición"))</f>
        <v/>
      </c>
      <c r="H679" s="23" t="str">
        <f aca="false">IF(A679="","",IF(D679="GCIA LINEA SERVICIO DIGITALIDAD Y VENTAS","Chats",IF(OR(D679="GERENCIA INBOUND LÍNEAS SERVICIO Y VENTA",D679="GERENCIA INBOUND LINEAS ESPECIALIZADAS"),"Llamadas","Otro")))</f>
        <v/>
      </c>
      <c r="I679" s="23" t="str">
        <f aca="false">IF(A679="","",IF(C679="No encontrado","No","Sí"))</f>
        <v/>
      </c>
      <c r="J679" s="23" t="str">
        <f aca="false">IF(A679="","",IF(F679="Inactivo","No","Sí"))</f>
        <v/>
      </c>
      <c r="K679" s="23" t="str">
        <f aca="false">IF(A679="","",IF(AND(I679="Sí",J679="Sí"),"Sí","No"))</f>
        <v/>
      </c>
    </row>
    <row r="680" customFormat="false" ht="15" hidden="false" customHeight="false" outlineLevel="0" collapsed="false">
      <c r="A680" s="22"/>
      <c r="B680" s="22"/>
      <c r="C680" s="26" t="str">
        <f aca="false">IF(A680="","",IFERROR(buscarx(A680&amp;B680,DATA!$E$3:$E$10000&amp;DATA!$B$3:$B$10000,DATA!$M$3:$M$10000),"No encontrado"))</f>
        <v/>
      </c>
      <c r="D680" s="27" t="str">
        <f aca="false">IF(A680="","",IFERROR(buscarx(A680&amp;B680,DATA!$E$3:$E$10000&amp;DATA!$B$3:$B$10000,DATA!$W$3:$W$10000),"No encontrado"))</f>
        <v/>
      </c>
      <c r="E680" s="22"/>
      <c r="F680" s="26" t="str">
        <f aca="false">IF(A680="","",IFERROR(buscarx(A680&amp;E680,DATA!$E$3:$E$10000&amp;DATA!$B$3:$B$10000,DATA!$M$3:$M$10000),"Inactivo"))</f>
        <v/>
      </c>
      <c r="G680" s="28" t="str">
        <f aca="false">IF(A680="","",IF(AND(C680&lt;&gt;"No encontrado",F680&lt;&gt;"Inactivo"),C680&amp;" → "&amp;F680,"Sin transición"))</f>
        <v/>
      </c>
      <c r="H680" s="26" t="str">
        <f aca="false">IF(A680="","",IF(D680="GCIA LINEA SERVICIO DIGITALIDAD Y VENTAS","Chats",IF(OR(D680="GERENCIA INBOUND LÍNEAS SERVICIO Y VENTA",D680="GERENCIA INBOUND LINEAS ESPECIALIZADAS"),"Llamadas","Otro")))</f>
        <v/>
      </c>
      <c r="I680" s="26" t="str">
        <f aca="false">IF(A680="","",IF(C680="No encontrado","No","Sí"))</f>
        <v/>
      </c>
      <c r="J680" s="26" t="str">
        <f aca="false">IF(A680="","",IF(F680="Inactivo","No","Sí"))</f>
        <v/>
      </c>
      <c r="K680" s="26" t="str">
        <f aca="false">IF(A680="","",IF(AND(I680="Sí",J680="Sí"),"Sí","No"))</f>
        <v/>
      </c>
    </row>
    <row r="681" customFormat="false" ht="15" hidden="false" customHeight="false" outlineLevel="0" collapsed="false">
      <c r="A681" s="22"/>
      <c r="B681" s="22"/>
      <c r="C681" s="23" t="str">
        <f aca="false">IF(A681="","",IFERROR(buscarx(A681&amp;B681,DATA!$E$3:$E$10000&amp;DATA!$B$3:$B$10000,DATA!$M$3:$M$10000),"No encontrado"))</f>
        <v/>
      </c>
      <c r="D681" s="24" t="str">
        <f aca="false">IF(A681="","",IFERROR(buscarx(A681&amp;B681,DATA!$E$3:$E$10000&amp;DATA!$B$3:$B$10000,DATA!$W$3:$W$10000),"No encontrado"))</f>
        <v/>
      </c>
      <c r="E681" s="22"/>
      <c r="F681" s="23" t="str">
        <f aca="false">IF(A681="","",IFERROR(buscarx(A681&amp;E681,DATA!$E$3:$E$10000&amp;DATA!$B$3:$B$10000,DATA!$M$3:$M$10000),"Inactivo"))</f>
        <v/>
      </c>
      <c r="G681" s="25" t="str">
        <f aca="false">IF(A681="","",IF(AND(C681&lt;&gt;"No encontrado",F681&lt;&gt;"Inactivo"),C681&amp;" → "&amp;F681,"Sin transición"))</f>
        <v/>
      </c>
      <c r="H681" s="23" t="str">
        <f aca="false">IF(A681="","",IF(D681="GCIA LINEA SERVICIO DIGITALIDAD Y VENTAS","Chats",IF(OR(D681="GERENCIA INBOUND LÍNEAS SERVICIO Y VENTA",D681="GERENCIA INBOUND LINEAS ESPECIALIZADAS"),"Llamadas","Otro")))</f>
        <v/>
      </c>
      <c r="I681" s="23" t="str">
        <f aca="false">IF(A681="","",IF(C681="No encontrado","No","Sí"))</f>
        <v/>
      </c>
      <c r="J681" s="23" t="str">
        <f aca="false">IF(A681="","",IF(F681="Inactivo","No","Sí"))</f>
        <v/>
      </c>
      <c r="K681" s="23" t="str">
        <f aca="false">IF(A681="","",IF(AND(I681="Sí",J681="Sí"),"Sí","No"))</f>
        <v/>
      </c>
    </row>
    <row r="682" customFormat="false" ht="15" hidden="false" customHeight="false" outlineLevel="0" collapsed="false">
      <c r="A682" s="22"/>
      <c r="B682" s="22"/>
      <c r="C682" s="26" t="str">
        <f aca="false">IF(A682="","",IFERROR(buscarx(A682&amp;B682,DATA!$E$3:$E$10000&amp;DATA!$B$3:$B$10000,DATA!$M$3:$M$10000),"No encontrado"))</f>
        <v/>
      </c>
      <c r="D682" s="27" t="str">
        <f aca="false">IF(A682="","",IFERROR(buscarx(A682&amp;B682,DATA!$E$3:$E$10000&amp;DATA!$B$3:$B$10000,DATA!$W$3:$W$10000),"No encontrado"))</f>
        <v/>
      </c>
      <c r="E682" s="22"/>
      <c r="F682" s="26" t="str">
        <f aca="false">IF(A682="","",IFERROR(buscarx(A682&amp;E682,DATA!$E$3:$E$10000&amp;DATA!$B$3:$B$10000,DATA!$M$3:$M$10000),"Inactivo"))</f>
        <v/>
      </c>
      <c r="G682" s="28" t="str">
        <f aca="false">IF(A682="","",IF(AND(C682&lt;&gt;"No encontrado",F682&lt;&gt;"Inactivo"),C682&amp;" → "&amp;F682,"Sin transición"))</f>
        <v/>
      </c>
      <c r="H682" s="26" t="str">
        <f aca="false">IF(A682="","",IF(D682="GCIA LINEA SERVICIO DIGITALIDAD Y VENTAS","Chats",IF(OR(D682="GERENCIA INBOUND LÍNEAS SERVICIO Y VENTA",D682="GERENCIA INBOUND LINEAS ESPECIALIZADAS"),"Llamadas","Otro")))</f>
        <v/>
      </c>
      <c r="I682" s="26" t="str">
        <f aca="false">IF(A682="","",IF(C682="No encontrado","No","Sí"))</f>
        <v/>
      </c>
      <c r="J682" s="26" t="str">
        <f aca="false">IF(A682="","",IF(F682="Inactivo","No","Sí"))</f>
        <v/>
      </c>
      <c r="K682" s="26" t="str">
        <f aca="false">IF(A682="","",IF(AND(I682="Sí",J682="Sí"),"Sí","No"))</f>
        <v/>
      </c>
    </row>
    <row r="683" customFormat="false" ht="15" hidden="false" customHeight="false" outlineLevel="0" collapsed="false">
      <c r="A683" s="22"/>
      <c r="B683" s="22"/>
      <c r="C683" s="23" t="str">
        <f aca="false">IF(A683="","",IFERROR(buscarx(A683&amp;B683,DATA!$E$3:$E$10000&amp;DATA!$B$3:$B$10000,DATA!$M$3:$M$10000),"No encontrado"))</f>
        <v/>
      </c>
      <c r="D683" s="24" t="str">
        <f aca="false">IF(A683="","",IFERROR(buscarx(A683&amp;B683,DATA!$E$3:$E$10000&amp;DATA!$B$3:$B$10000,DATA!$W$3:$W$10000),"No encontrado"))</f>
        <v/>
      </c>
      <c r="E683" s="22"/>
      <c r="F683" s="23" t="str">
        <f aca="false">IF(A683="","",IFERROR(buscarx(A683&amp;E683,DATA!$E$3:$E$10000&amp;DATA!$B$3:$B$10000,DATA!$M$3:$M$10000),"Inactivo"))</f>
        <v/>
      </c>
      <c r="G683" s="25" t="str">
        <f aca="false">IF(A683="","",IF(AND(C683&lt;&gt;"No encontrado",F683&lt;&gt;"Inactivo"),C683&amp;" → "&amp;F683,"Sin transición"))</f>
        <v/>
      </c>
      <c r="H683" s="23" t="str">
        <f aca="false">IF(A683="","",IF(D683="GCIA LINEA SERVICIO DIGITALIDAD Y VENTAS","Chats",IF(OR(D683="GERENCIA INBOUND LÍNEAS SERVICIO Y VENTA",D683="GERENCIA INBOUND LINEAS ESPECIALIZADAS"),"Llamadas","Otro")))</f>
        <v/>
      </c>
      <c r="I683" s="23" t="str">
        <f aca="false">IF(A683="","",IF(C683="No encontrado","No","Sí"))</f>
        <v/>
      </c>
      <c r="J683" s="23" t="str">
        <f aca="false">IF(A683="","",IF(F683="Inactivo","No","Sí"))</f>
        <v/>
      </c>
      <c r="K683" s="23" t="str">
        <f aca="false">IF(A683="","",IF(AND(I683="Sí",J683="Sí"),"Sí","No"))</f>
        <v/>
      </c>
    </row>
    <row r="684" customFormat="false" ht="15" hidden="false" customHeight="false" outlineLevel="0" collapsed="false">
      <c r="A684" s="22"/>
      <c r="B684" s="22"/>
      <c r="C684" s="26" t="str">
        <f aca="false">IF(A684="","",IFERROR(buscarx(A684&amp;B684,DATA!$E$3:$E$10000&amp;DATA!$B$3:$B$10000,DATA!$M$3:$M$10000),"No encontrado"))</f>
        <v/>
      </c>
      <c r="D684" s="27" t="str">
        <f aca="false">IF(A684="","",IFERROR(buscarx(A684&amp;B684,DATA!$E$3:$E$10000&amp;DATA!$B$3:$B$10000,DATA!$W$3:$W$10000),"No encontrado"))</f>
        <v/>
      </c>
      <c r="E684" s="22"/>
      <c r="F684" s="26" t="str">
        <f aca="false">IF(A684="","",IFERROR(buscarx(A684&amp;E684,DATA!$E$3:$E$10000&amp;DATA!$B$3:$B$10000,DATA!$M$3:$M$10000),"Inactivo"))</f>
        <v/>
      </c>
      <c r="G684" s="28" t="str">
        <f aca="false">IF(A684="","",IF(AND(C684&lt;&gt;"No encontrado",F684&lt;&gt;"Inactivo"),C684&amp;" → "&amp;F684,"Sin transición"))</f>
        <v/>
      </c>
      <c r="H684" s="26" t="str">
        <f aca="false">IF(A684="","",IF(D684="GCIA LINEA SERVICIO DIGITALIDAD Y VENTAS","Chats",IF(OR(D684="GERENCIA INBOUND LÍNEAS SERVICIO Y VENTA",D684="GERENCIA INBOUND LINEAS ESPECIALIZADAS"),"Llamadas","Otro")))</f>
        <v/>
      </c>
      <c r="I684" s="26" t="str">
        <f aca="false">IF(A684="","",IF(C684="No encontrado","No","Sí"))</f>
        <v/>
      </c>
      <c r="J684" s="26" t="str">
        <f aca="false">IF(A684="","",IF(F684="Inactivo","No","Sí"))</f>
        <v/>
      </c>
      <c r="K684" s="26" t="str">
        <f aca="false">IF(A684="","",IF(AND(I684="Sí",J684="Sí"),"Sí","No"))</f>
        <v/>
      </c>
    </row>
    <row r="685" customFormat="false" ht="15" hidden="false" customHeight="false" outlineLevel="0" collapsed="false">
      <c r="A685" s="22"/>
      <c r="B685" s="22"/>
      <c r="C685" s="23" t="str">
        <f aca="false">IF(A685="","",IFERROR(buscarx(A685&amp;B685,DATA!$E$3:$E$10000&amp;DATA!$B$3:$B$10000,DATA!$M$3:$M$10000),"No encontrado"))</f>
        <v/>
      </c>
      <c r="D685" s="24" t="str">
        <f aca="false">IF(A685="","",IFERROR(buscarx(A685&amp;B685,DATA!$E$3:$E$10000&amp;DATA!$B$3:$B$10000,DATA!$W$3:$W$10000),"No encontrado"))</f>
        <v/>
      </c>
      <c r="E685" s="22"/>
      <c r="F685" s="23" t="str">
        <f aca="false">IF(A685="","",IFERROR(buscarx(A685&amp;E685,DATA!$E$3:$E$10000&amp;DATA!$B$3:$B$10000,DATA!$M$3:$M$10000),"Inactivo"))</f>
        <v/>
      </c>
      <c r="G685" s="25" t="str">
        <f aca="false">IF(A685="","",IF(AND(C685&lt;&gt;"No encontrado",F685&lt;&gt;"Inactivo"),C685&amp;" → "&amp;F685,"Sin transición"))</f>
        <v/>
      </c>
      <c r="H685" s="23" t="str">
        <f aca="false">IF(A685="","",IF(D685="GCIA LINEA SERVICIO DIGITALIDAD Y VENTAS","Chats",IF(OR(D685="GERENCIA INBOUND LÍNEAS SERVICIO Y VENTA",D685="GERENCIA INBOUND LINEAS ESPECIALIZADAS"),"Llamadas","Otro")))</f>
        <v/>
      </c>
      <c r="I685" s="23" t="str">
        <f aca="false">IF(A685="","",IF(C685="No encontrado","No","Sí"))</f>
        <v/>
      </c>
      <c r="J685" s="23" t="str">
        <f aca="false">IF(A685="","",IF(F685="Inactivo","No","Sí"))</f>
        <v/>
      </c>
      <c r="K685" s="23" t="str">
        <f aca="false">IF(A685="","",IF(AND(I685="Sí",J685="Sí"),"Sí","No"))</f>
        <v/>
      </c>
    </row>
    <row r="686" customFormat="false" ht="15" hidden="false" customHeight="false" outlineLevel="0" collapsed="false">
      <c r="A686" s="22"/>
      <c r="B686" s="22"/>
      <c r="C686" s="26" t="str">
        <f aca="false">IF(A686="","",IFERROR(buscarx(A686&amp;B686,DATA!$E$3:$E$10000&amp;DATA!$B$3:$B$10000,DATA!$M$3:$M$10000),"No encontrado"))</f>
        <v/>
      </c>
      <c r="D686" s="27" t="str">
        <f aca="false">IF(A686="","",IFERROR(buscarx(A686&amp;B686,DATA!$E$3:$E$10000&amp;DATA!$B$3:$B$10000,DATA!$W$3:$W$10000),"No encontrado"))</f>
        <v/>
      </c>
      <c r="E686" s="22"/>
      <c r="F686" s="26" t="str">
        <f aca="false">IF(A686="","",IFERROR(buscarx(A686&amp;E686,DATA!$E$3:$E$10000&amp;DATA!$B$3:$B$10000,DATA!$M$3:$M$10000),"Inactivo"))</f>
        <v/>
      </c>
      <c r="G686" s="28" t="str">
        <f aca="false">IF(A686="","",IF(AND(C686&lt;&gt;"No encontrado",F686&lt;&gt;"Inactivo"),C686&amp;" → "&amp;F686,"Sin transición"))</f>
        <v/>
      </c>
      <c r="H686" s="26" t="str">
        <f aca="false">IF(A686="","",IF(D686="GCIA LINEA SERVICIO DIGITALIDAD Y VENTAS","Chats",IF(OR(D686="GERENCIA INBOUND LÍNEAS SERVICIO Y VENTA",D686="GERENCIA INBOUND LINEAS ESPECIALIZADAS"),"Llamadas","Otro")))</f>
        <v/>
      </c>
      <c r="I686" s="26" t="str">
        <f aca="false">IF(A686="","",IF(C686="No encontrado","No","Sí"))</f>
        <v/>
      </c>
      <c r="J686" s="26" t="str">
        <f aca="false">IF(A686="","",IF(F686="Inactivo","No","Sí"))</f>
        <v/>
      </c>
      <c r="K686" s="26" t="str">
        <f aca="false">IF(A686="","",IF(AND(I686="Sí",J686="Sí"),"Sí","No"))</f>
        <v/>
      </c>
    </row>
    <row r="687" customFormat="false" ht="15" hidden="false" customHeight="false" outlineLevel="0" collapsed="false">
      <c r="A687" s="22"/>
      <c r="B687" s="22"/>
      <c r="C687" s="23" t="str">
        <f aca="false">IF(A687="","",IFERROR(buscarx(A687&amp;B687,DATA!$E$3:$E$10000&amp;DATA!$B$3:$B$10000,DATA!$M$3:$M$10000),"No encontrado"))</f>
        <v/>
      </c>
      <c r="D687" s="24" t="str">
        <f aca="false">IF(A687="","",IFERROR(buscarx(A687&amp;B687,DATA!$E$3:$E$10000&amp;DATA!$B$3:$B$10000,DATA!$W$3:$W$10000),"No encontrado"))</f>
        <v/>
      </c>
      <c r="E687" s="22"/>
      <c r="F687" s="23" t="str">
        <f aca="false">IF(A687="","",IFERROR(buscarx(A687&amp;E687,DATA!$E$3:$E$10000&amp;DATA!$B$3:$B$10000,DATA!$M$3:$M$10000),"Inactivo"))</f>
        <v/>
      </c>
      <c r="G687" s="25" t="str">
        <f aca="false">IF(A687="","",IF(AND(C687&lt;&gt;"No encontrado",F687&lt;&gt;"Inactivo"),C687&amp;" → "&amp;F687,"Sin transición"))</f>
        <v/>
      </c>
      <c r="H687" s="23" t="str">
        <f aca="false">IF(A687="","",IF(D687="GCIA LINEA SERVICIO DIGITALIDAD Y VENTAS","Chats",IF(OR(D687="GERENCIA INBOUND LÍNEAS SERVICIO Y VENTA",D687="GERENCIA INBOUND LINEAS ESPECIALIZADAS"),"Llamadas","Otro")))</f>
        <v/>
      </c>
      <c r="I687" s="23" t="str">
        <f aca="false">IF(A687="","",IF(C687="No encontrado","No","Sí"))</f>
        <v/>
      </c>
      <c r="J687" s="23" t="str">
        <f aca="false">IF(A687="","",IF(F687="Inactivo","No","Sí"))</f>
        <v/>
      </c>
      <c r="K687" s="23" t="str">
        <f aca="false">IF(A687="","",IF(AND(I687="Sí",J687="Sí"),"Sí","No"))</f>
        <v/>
      </c>
    </row>
    <row r="688" customFormat="false" ht="15" hidden="false" customHeight="false" outlineLevel="0" collapsed="false">
      <c r="A688" s="22"/>
      <c r="B688" s="22"/>
      <c r="C688" s="26" t="str">
        <f aca="false">IF(A688="","",IFERROR(buscarx(A688&amp;B688,DATA!$E$3:$E$10000&amp;DATA!$B$3:$B$10000,DATA!$M$3:$M$10000),"No encontrado"))</f>
        <v/>
      </c>
      <c r="D688" s="27" t="str">
        <f aca="false">IF(A688="","",IFERROR(buscarx(A688&amp;B688,DATA!$E$3:$E$10000&amp;DATA!$B$3:$B$10000,DATA!$W$3:$W$10000),"No encontrado"))</f>
        <v/>
      </c>
      <c r="E688" s="22"/>
      <c r="F688" s="26" t="str">
        <f aca="false">IF(A688="","",IFERROR(buscarx(A688&amp;E688,DATA!$E$3:$E$10000&amp;DATA!$B$3:$B$10000,DATA!$M$3:$M$10000),"Inactivo"))</f>
        <v/>
      </c>
      <c r="G688" s="28" t="str">
        <f aca="false">IF(A688="","",IF(AND(C688&lt;&gt;"No encontrado",F688&lt;&gt;"Inactivo"),C688&amp;" → "&amp;F688,"Sin transición"))</f>
        <v/>
      </c>
      <c r="H688" s="26" t="str">
        <f aca="false">IF(A688="","",IF(D688="GCIA LINEA SERVICIO DIGITALIDAD Y VENTAS","Chats",IF(OR(D688="GERENCIA INBOUND LÍNEAS SERVICIO Y VENTA",D688="GERENCIA INBOUND LINEAS ESPECIALIZADAS"),"Llamadas","Otro")))</f>
        <v/>
      </c>
      <c r="I688" s="26" t="str">
        <f aca="false">IF(A688="","",IF(C688="No encontrado","No","Sí"))</f>
        <v/>
      </c>
      <c r="J688" s="26" t="str">
        <f aca="false">IF(A688="","",IF(F688="Inactivo","No","Sí"))</f>
        <v/>
      </c>
      <c r="K688" s="26" t="str">
        <f aca="false">IF(A688="","",IF(AND(I688="Sí",J688="Sí"),"Sí","No"))</f>
        <v/>
      </c>
    </row>
    <row r="689" customFormat="false" ht="15" hidden="false" customHeight="false" outlineLevel="0" collapsed="false">
      <c r="A689" s="22"/>
      <c r="B689" s="22"/>
      <c r="C689" s="23" t="str">
        <f aca="false">IF(A689="","",IFERROR(buscarx(A689&amp;B689,DATA!$E$3:$E$10000&amp;DATA!$B$3:$B$10000,DATA!$M$3:$M$10000),"No encontrado"))</f>
        <v/>
      </c>
      <c r="D689" s="24" t="str">
        <f aca="false">IF(A689="","",IFERROR(buscarx(A689&amp;B689,DATA!$E$3:$E$10000&amp;DATA!$B$3:$B$10000,DATA!$W$3:$W$10000),"No encontrado"))</f>
        <v/>
      </c>
      <c r="E689" s="22"/>
      <c r="F689" s="23" t="str">
        <f aca="false">IF(A689="","",IFERROR(buscarx(A689&amp;E689,DATA!$E$3:$E$10000&amp;DATA!$B$3:$B$10000,DATA!$M$3:$M$10000),"Inactivo"))</f>
        <v/>
      </c>
      <c r="G689" s="25" t="str">
        <f aca="false">IF(A689="","",IF(AND(C689&lt;&gt;"No encontrado",F689&lt;&gt;"Inactivo"),C689&amp;" → "&amp;F689,"Sin transición"))</f>
        <v/>
      </c>
      <c r="H689" s="23" t="str">
        <f aca="false">IF(A689="","",IF(D689="GCIA LINEA SERVICIO DIGITALIDAD Y VENTAS","Chats",IF(OR(D689="GERENCIA INBOUND LÍNEAS SERVICIO Y VENTA",D689="GERENCIA INBOUND LINEAS ESPECIALIZADAS"),"Llamadas","Otro")))</f>
        <v/>
      </c>
      <c r="I689" s="23" t="str">
        <f aca="false">IF(A689="","",IF(C689="No encontrado","No","Sí"))</f>
        <v/>
      </c>
      <c r="J689" s="23" t="str">
        <f aca="false">IF(A689="","",IF(F689="Inactivo","No","Sí"))</f>
        <v/>
      </c>
      <c r="K689" s="23" t="str">
        <f aca="false">IF(A689="","",IF(AND(I689="Sí",J689="Sí"),"Sí","No"))</f>
        <v/>
      </c>
    </row>
    <row r="690" customFormat="false" ht="15" hidden="false" customHeight="false" outlineLevel="0" collapsed="false">
      <c r="A690" s="22"/>
      <c r="B690" s="22"/>
      <c r="C690" s="26" t="str">
        <f aca="false">IF(A690="","",IFERROR(buscarx(A690&amp;B690,DATA!$E$3:$E$10000&amp;DATA!$B$3:$B$10000,DATA!$M$3:$M$10000),"No encontrado"))</f>
        <v/>
      </c>
      <c r="D690" s="27" t="str">
        <f aca="false">IF(A690="","",IFERROR(buscarx(A690&amp;B690,DATA!$E$3:$E$10000&amp;DATA!$B$3:$B$10000,DATA!$W$3:$W$10000),"No encontrado"))</f>
        <v/>
      </c>
      <c r="E690" s="22"/>
      <c r="F690" s="26" t="str">
        <f aca="false">IF(A690="","",IFERROR(buscarx(A690&amp;E690,DATA!$E$3:$E$10000&amp;DATA!$B$3:$B$10000,DATA!$M$3:$M$10000),"Inactivo"))</f>
        <v/>
      </c>
      <c r="G690" s="28" t="str">
        <f aca="false">IF(A690="","",IF(AND(C690&lt;&gt;"No encontrado",F690&lt;&gt;"Inactivo"),C690&amp;" → "&amp;F690,"Sin transición"))</f>
        <v/>
      </c>
      <c r="H690" s="26" t="str">
        <f aca="false">IF(A690="","",IF(D690="GCIA LINEA SERVICIO DIGITALIDAD Y VENTAS","Chats",IF(OR(D690="GERENCIA INBOUND LÍNEAS SERVICIO Y VENTA",D690="GERENCIA INBOUND LINEAS ESPECIALIZADAS"),"Llamadas","Otro")))</f>
        <v/>
      </c>
      <c r="I690" s="26" t="str">
        <f aca="false">IF(A690="","",IF(C690="No encontrado","No","Sí"))</f>
        <v/>
      </c>
      <c r="J690" s="26" t="str">
        <f aca="false">IF(A690="","",IF(F690="Inactivo","No","Sí"))</f>
        <v/>
      </c>
      <c r="K690" s="26" t="str">
        <f aca="false">IF(A690="","",IF(AND(I690="Sí",J690="Sí"),"Sí","No"))</f>
        <v/>
      </c>
    </row>
    <row r="691" customFormat="false" ht="15" hidden="false" customHeight="false" outlineLevel="0" collapsed="false">
      <c r="A691" s="22"/>
      <c r="B691" s="22"/>
      <c r="C691" s="23" t="str">
        <f aca="false">IF(A691="","",IFERROR(buscarx(A691&amp;B691,DATA!$E$3:$E$10000&amp;DATA!$B$3:$B$10000,DATA!$M$3:$M$10000),"No encontrado"))</f>
        <v/>
      </c>
      <c r="D691" s="24" t="str">
        <f aca="false">IF(A691="","",IFERROR(buscarx(A691&amp;B691,DATA!$E$3:$E$10000&amp;DATA!$B$3:$B$10000,DATA!$W$3:$W$10000),"No encontrado"))</f>
        <v/>
      </c>
      <c r="E691" s="22"/>
      <c r="F691" s="23" t="str">
        <f aca="false">IF(A691="","",IFERROR(buscarx(A691&amp;E691,DATA!$E$3:$E$10000&amp;DATA!$B$3:$B$10000,DATA!$M$3:$M$10000),"Inactivo"))</f>
        <v/>
      </c>
      <c r="G691" s="25" t="str">
        <f aca="false">IF(A691="","",IF(AND(C691&lt;&gt;"No encontrado",F691&lt;&gt;"Inactivo"),C691&amp;" → "&amp;F691,"Sin transición"))</f>
        <v/>
      </c>
      <c r="H691" s="23" t="str">
        <f aca="false">IF(A691="","",IF(D691="GCIA LINEA SERVICIO DIGITALIDAD Y VENTAS","Chats",IF(OR(D691="GERENCIA INBOUND LÍNEAS SERVICIO Y VENTA",D691="GERENCIA INBOUND LINEAS ESPECIALIZADAS"),"Llamadas","Otro")))</f>
        <v/>
      </c>
      <c r="I691" s="23" t="str">
        <f aca="false">IF(A691="","",IF(C691="No encontrado","No","Sí"))</f>
        <v/>
      </c>
      <c r="J691" s="23" t="str">
        <f aca="false">IF(A691="","",IF(F691="Inactivo","No","Sí"))</f>
        <v/>
      </c>
      <c r="K691" s="23" t="str">
        <f aca="false">IF(A691="","",IF(AND(I691="Sí",J691="Sí"),"Sí","No"))</f>
        <v/>
      </c>
    </row>
    <row r="692" customFormat="false" ht="15" hidden="false" customHeight="false" outlineLevel="0" collapsed="false">
      <c r="A692" s="22"/>
      <c r="B692" s="22"/>
      <c r="C692" s="26" t="str">
        <f aca="false">IF(A692="","",IFERROR(buscarx(A692&amp;B692,DATA!$E$3:$E$10000&amp;DATA!$B$3:$B$10000,DATA!$M$3:$M$10000),"No encontrado"))</f>
        <v/>
      </c>
      <c r="D692" s="27" t="str">
        <f aca="false">IF(A692="","",IFERROR(buscarx(A692&amp;B692,DATA!$E$3:$E$10000&amp;DATA!$B$3:$B$10000,DATA!$W$3:$W$10000),"No encontrado"))</f>
        <v/>
      </c>
      <c r="E692" s="22"/>
      <c r="F692" s="26" t="str">
        <f aca="false">IF(A692="","",IFERROR(buscarx(A692&amp;E692,DATA!$E$3:$E$10000&amp;DATA!$B$3:$B$10000,DATA!$M$3:$M$10000),"Inactivo"))</f>
        <v/>
      </c>
      <c r="G692" s="28" t="str">
        <f aca="false">IF(A692="","",IF(AND(C692&lt;&gt;"No encontrado",F692&lt;&gt;"Inactivo"),C692&amp;" → "&amp;F692,"Sin transición"))</f>
        <v/>
      </c>
      <c r="H692" s="26" t="str">
        <f aca="false">IF(A692="","",IF(D692="GCIA LINEA SERVICIO DIGITALIDAD Y VENTAS","Chats",IF(OR(D692="GERENCIA INBOUND LÍNEAS SERVICIO Y VENTA",D692="GERENCIA INBOUND LINEAS ESPECIALIZADAS"),"Llamadas","Otro")))</f>
        <v/>
      </c>
      <c r="I692" s="26" t="str">
        <f aca="false">IF(A692="","",IF(C692="No encontrado","No","Sí"))</f>
        <v/>
      </c>
      <c r="J692" s="26" t="str">
        <f aca="false">IF(A692="","",IF(F692="Inactivo","No","Sí"))</f>
        <v/>
      </c>
      <c r="K692" s="26" t="str">
        <f aca="false">IF(A692="","",IF(AND(I692="Sí",J692="Sí"),"Sí","No"))</f>
        <v/>
      </c>
    </row>
    <row r="693" customFormat="false" ht="15" hidden="false" customHeight="false" outlineLevel="0" collapsed="false">
      <c r="A693" s="22"/>
      <c r="B693" s="22"/>
      <c r="C693" s="23" t="str">
        <f aca="false">IF(A693="","",IFERROR(buscarx(A693&amp;B693,DATA!$E$3:$E$10000&amp;DATA!$B$3:$B$10000,DATA!$M$3:$M$10000),"No encontrado"))</f>
        <v/>
      </c>
      <c r="D693" s="24" t="str">
        <f aca="false">IF(A693="","",IFERROR(buscarx(A693&amp;B693,DATA!$E$3:$E$10000&amp;DATA!$B$3:$B$10000,DATA!$W$3:$W$10000),"No encontrado"))</f>
        <v/>
      </c>
      <c r="E693" s="22"/>
      <c r="F693" s="23" t="str">
        <f aca="false">IF(A693="","",IFERROR(buscarx(A693&amp;E693,DATA!$E$3:$E$10000&amp;DATA!$B$3:$B$10000,DATA!$M$3:$M$10000),"Inactivo"))</f>
        <v/>
      </c>
      <c r="G693" s="25" t="str">
        <f aca="false">IF(A693="","",IF(AND(C693&lt;&gt;"No encontrado",F693&lt;&gt;"Inactivo"),C693&amp;" → "&amp;F693,"Sin transición"))</f>
        <v/>
      </c>
      <c r="H693" s="23" t="str">
        <f aca="false">IF(A693="","",IF(D693="GCIA LINEA SERVICIO DIGITALIDAD Y VENTAS","Chats",IF(OR(D693="GERENCIA INBOUND LÍNEAS SERVICIO Y VENTA",D693="GERENCIA INBOUND LINEAS ESPECIALIZADAS"),"Llamadas","Otro")))</f>
        <v/>
      </c>
      <c r="I693" s="23" t="str">
        <f aca="false">IF(A693="","",IF(C693="No encontrado","No","Sí"))</f>
        <v/>
      </c>
      <c r="J693" s="23" t="str">
        <f aca="false">IF(A693="","",IF(F693="Inactivo","No","Sí"))</f>
        <v/>
      </c>
      <c r="K693" s="23" t="str">
        <f aca="false">IF(A693="","",IF(AND(I693="Sí",J693="Sí"),"Sí","No"))</f>
        <v/>
      </c>
    </row>
    <row r="694" customFormat="false" ht="15" hidden="false" customHeight="false" outlineLevel="0" collapsed="false">
      <c r="A694" s="22"/>
      <c r="B694" s="22"/>
      <c r="C694" s="26" t="str">
        <f aca="false">IF(A694="","",IFERROR(buscarx(A694&amp;B694,DATA!$E$3:$E$10000&amp;DATA!$B$3:$B$10000,DATA!$M$3:$M$10000),"No encontrado"))</f>
        <v/>
      </c>
      <c r="D694" s="27" t="str">
        <f aca="false">IF(A694="","",IFERROR(buscarx(A694&amp;B694,DATA!$E$3:$E$10000&amp;DATA!$B$3:$B$10000,DATA!$W$3:$W$10000),"No encontrado"))</f>
        <v/>
      </c>
      <c r="E694" s="22"/>
      <c r="F694" s="26" t="str">
        <f aca="false">IF(A694="","",IFERROR(buscarx(A694&amp;E694,DATA!$E$3:$E$10000&amp;DATA!$B$3:$B$10000,DATA!$M$3:$M$10000),"Inactivo"))</f>
        <v/>
      </c>
      <c r="G694" s="28" t="str">
        <f aca="false">IF(A694="","",IF(AND(C694&lt;&gt;"No encontrado",F694&lt;&gt;"Inactivo"),C694&amp;" → "&amp;F694,"Sin transición"))</f>
        <v/>
      </c>
      <c r="H694" s="26" t="str">
        <f aca="false">IF(A694="","",IF(D694="GCIA LINEA SERVICIO DIGITALIDAD Y VENTAS","Chats",IF(OR(D694="GERENCIA INBOUND LÍNEAS SERVICIO Y VENTA",D694="GERENCIA INBOUND LINEAS ESPECIALIZADAS"),"Llamadas","Otro")))</f>
        <v/>
      </c>
      <c r="I694" s="26" t="str">
        <f aca="false">IF(A694="","",IF(C694="No encontrado","No","Sí"))</f>
        <v/>
      </c>
      <c r="J694" s="26" t="str">
        <f aca="false">IF(A694="","",IF(F694="Inactivo","No","Sí"))</f>
        <v/>
      </c>
      <c r="K694" s="26" t="str">
        <f aca="false">IF(A694="","",IF(AND(I694="Sí",J694="Sí"),"Sí","No"))</f>
        <v/>
      </c>
    </row>
    <row r="695" customFormat="false" ht="15" hidden="false" customHeight="false" outlineLevel="0" collapsed="false">
      <c r="A695" s="22"/>
      <c r="B695" s="22"/>
      <c r="C695" s="23" t="str">
        <f aca="false">IF(A695="","",IFERROR(buscarx(A695&amp;B695,DATA!$E$3:$E$10000&amp;DATA!$B$3:$B$10000,DATA!$M$3:$M$10000),"No encontrado"))</f>
        <v/>
      </c>
      <c r="D695" s="24" t="str">
        <f aca="false">IF(A695="","",IFERROR(buscarx(A695&amp;B695,DATA!$E$3:$E$10000&amp;DATA!$B$3:$B$10000,DATA!$W$3:$W$10000),"No encontrado"))</f>
        <v/>
      </c>
      <c r="E695" s="22"/>
      <c r="F695" s="23" t="str">
        <f aca="false">IF(A695="","",IFERROR(buscarx(A695&amp;E695,DATA!$E$3:$E$10000&amp;DATA!$B$3:$B$10000,DATA!$M$3:$M$10000),"Inactivo"))</f>
        <v/>
      </c>
      <c r="G695" s="25" t="str">
        <f aca="false">IF(A695="","",IF(AND(C695&lt;&gt;"No encontrado",F695&lt;&gt;"Inactivo"),C695&amp;" → "&amp;F695,"Sin transición"))</f>
        <v/>
      </c>
      <c r="H695" s="23" t="str">
        <f aca="false">IF(A695="","",IF(D695="GCIA LINEA SERVICIO DIGITALIDAD Y VENTAS","Chats",IF(OR(D695="GERENCIA INBOUND LÍNEAS SERVICIO Y VENTA",D695="GERENCIA INBOUND LINEAS ESPECIALIZADAS"),"Llamadas","Otro")))</f>
        <v/>
      </c>
      <c r="I695" s="23" t="str">
        <f aca="false">IF(A695="","",IF(C695="No encontrado","No","Sí"))</f>
        <v/>
      </c>
      <c r="J695" s="23" t="str">
        <f aca="false">IF(A695="","",IF(F695="Inactivo","No","Sí"))</f>
        <v/>
      </c>
      <c r="K695" s="23" t="str">
        <f aca="false">IF(A695="","",IF(AND(I695="Sí",J695="Sí"),"Sí","No"))</f>
        <v/>
      </c>
    </row>
    <row r="696" customFormat="false" ht="15" hidden="false" customHeight="false" outlineLevel="0" collapsed="false">
      <c r="A696" s="22"/>
      <c r="B696" s="22"/>
      <c r="C696" s="26" t="str">
        <f aca="false">IF(A696="","",IFERROR(buscarx(A696&amp;B696,DATA!$E$3:$E$10000&amp;DATA!$B$3:$B$10000,DATA!$M$3:$M$10000),"No encontrado"))</f>
        <v/>
      </c>
      <c r="D696" s="27" t="str">
        <f aca="false">IF(A696="","",IFERROR(buscarx(A696&amp;B696,DATA!$E$3:$E$10000&amp;DATA!$B$3:$B$10000,DATA!$W$3:$W$10000),"No encontrado"))</f>
        <v/>
      </c>
      <c r="E696" s="22"/>
      <c r="F696" s="26" t="str">
        <f aca="false">IF(A696="","",IFERROR(buscarx(A696&amp;E696,DATA!$E$3:$E$10000&amp;DATA!$B$3:$B$10000,DATA!$M$3:$M$10000),"Inactivo"))</f>
        <v/>
      </c>
      <c r="G696" s="28" t="str">
        <f aca="false">IF(A696="","",IF(AND(C696&lt;&gt;"No encontrado",F696&lt;&gt;"Inactivo"),C696&amp;" → "&amp;F696,"Sin transición"))</f>
        <v/>
      </c>
      <c r="H696" s="26" t="str">
        <f aca="false">IF(A696="","",IF(D696="GCIA LINEA SERVICIO DIGITALIDAD Y VENTAS","Chats",IF(OR(D696="GERENCIA INBOUND LÍNEAS SERVICIO Y VENTA",D696="GERENCIA INBOUND LINEAS ESPECIALIZADAS"),"Llamadas","Otro")))</f>
        <v/>
      </c>
      <c r="I696" s="26" t="str">
        <f aca="false">IF(A696="","",IF(C696="No encontrado","No","Sí"))</f>
        <v/>
      </c>
      <c r="J696" s="26" t="str">
        <f aca="false">IF(A696="","",IF(F696="Inactivo","No","Sí"))</f>
        <v/>
      </c>
      <c r="K696" s="26" t="str">
        <f aca="false">IF(A696="","",IF(AND(I696="Sí",J696="Sí"),"Sí","No"))</f>
        <v/>
      </c>
    </row>
    <row r="697" customFormat="false" ht="15" hidden="false" customHeight="false" outlineLevel="0" collapsed="false">
      <c r="A697" s="22"/>
      <c r="B697" s="22"/>
      <c r="C697" s="23" t="str">
        <f aca="false">IF(A697="","",IFERROR(buscarx(A697&amp;B697,DATA!$E$3:$E$10000&amp;DATA!$B$3:$B$10000,DATA!$M$3:$M$10000),"No encontrado"))</f>
        <v/>
      </c>
      <c r="D697" s="24" t="str">
        <f aca="false">IF(A697="","",IFERROR(buscarx(A697&amp;B697,DATA!$E$3:$E$10000&amp;DATA!$B$3:$B$10000,DATA!$W$3:$W$10000),"No encontrado"))</f>
        <v/>
      </c>
      <c r="E697" s="22"/>
      <c r="F697" s="23" t="str">
        <f aca="false">IF(A697="","",IFERROR(buscarx(A697&amp;E697,DATA!$E$3:$E$10000&amp;DATA!$B$3:$B$10000,DATA!$M$3:$M$10000),"Inactivo"))</f>
        <v/>
      </c>
      <c r="G697" s="25" t="str">
        <f aca="false">IF(A697="","",IF(AND(C697&lt;&gt;"No encontrado",F697&lt;&gt;"Inactivo"),C697&amp;" → "&amp;F697,"Sin transición"))</f>
        <v/>
      </c>
      <c r="H697" s="23" t="str">
        <f aca="false">IF(A697="","",IF(D697="GCIA LINEA SERVICIO DIGITALIDAD Y VENTAS","Chats",IF(OR(D697="GERENCIA INBOUND LÍNEAS SERVICIO Y VENTA",D697="GERENCIA INBOUND LINEAS ESPECIALIZADAS"),"Llamadas","Otro")))</f>
        <v/>
      </c>
      <c r="I697" s="23" t="str">
        <f aca="false">IF(A697="","",IF(C697="No encontrado","No","Sí"))</f>
        <v/>
      </c>
      <c r="J697" s="23" t="str">
        <f aca="false">IF(A697="","",IF(F697="Inactivo","No","Sí"))</f>
        <v/>
      </c>
      <c r="K697" s="23" t="str">
        <f aca="false">IF(A697="","",IF(AND(I697="Sí",J697="Sí"),"Sí","No"))</f>
        <v/>
      </c>
    </row>
    <row r="698" customFormat="false" ht="15" hidden="false" customHeight="false" outlineLevel="0" collapsed="false">
      <c r="A698" s="22"/>
      <c r="B698" s="22"/>
      <c r="C698" s="26" t="str">
        <f aca="false">IF(A698="","",IFERROR(buscarx(A698&amp;B698,DATA!$E$3:$E$10000&amp;DATA!$B$3:$B$10000,DATA!$M$3:$M$10000),"No encontrado"))</f>
        <v/>
      </c>
      <c r="D698" s="27" t="str">
        <f aca="false">IF(A698="","",IFERROR(buscarx(A698&amp;B698,DATA!$E$3:$E$10000&amp;DATA!$B$3:$B$10000,DATA!$W$3:$W$10000),"No encontrado"))</f>
        <v/>
      </c>
      <c r="E698" s="22"/>
      <c r="F698" s="26" t="str">
        <f aca="false">IF(A698="","",IFERROR(buscarx(A698&amp;E698,DATA!$E$3:$E$10000&amp;DATA!$B$3:$B$10000,DATA!$M$3:$M$10000),"Inactivo"))</f>
        <v/>
      </c>
      <c r="G698" s="28" t="str">
        <f aca="false">IF(A698="","",IF(AND(C698&lt;&gt;"No encontrado",F698&lt;&gt;"Inactivo"),C698&amp;" → "&amp;F698,"Sin transición"))</f>
        <v/>
      </c>
      <c r="H698" s="26" t="str">
        <f aca="false">IF(A698="","",IF(D698="GCIA LINEA SERVICIO DIGITALIDAD Y VENTAS","Chats",IF(OR(D698="GERENCIA INBOUND LÍNEAS SERVICIO Y VENTA",D698="GERENCIA INBOUND LINEAS ESPECIALIZADAS"),"Llamadas","Otro")))</f>
        <v/>
      </c>
      <c r="I698" s="26" t="str">
        <f aca="false">IF(A698="","",IF(C698="No encontrado","No","Sí"))</f>
        <v/>
      </c>
      <c r="J698" s="26" t="str">
        <f aca="false">IF(A698="","",IF(F698="Inactivo","No","Sí"))</f>
        <v/>
      </c>
      <c r="K698" s="26" t="str">
        <f aca="false">IF(A698="","",IF(AND(I698="Sí",J698="Sí"),"Sí","No"))</f>
        <v/>
      </c>
    </row>
    <row r="699" customFormat="false" ht="15" hidden="false" customHeight="false" outlineLevel="0" collapsed="false">
      <c r="A699" s="22"/>
      <c r="B699" s="22"/>
      <c r="C699" s="23" t="str">
        <f aca="false">IF(A699="","",IFERROR(buscarx(A699&amp;B699,DATA!$E$3:$E$10000&amp;DATA!$B$3:$B$10000,DATA!$M$3:$M$10000),"No encontrado"))</f>
        <v/>
      </c>
      <c r="D699" s="24" t="str">
        <f aca="false">IF(A699="","",IFERROR(buscarx(A699&amp;B699,DATA!$E$3:$E$10000&amp;DATA!$B$3:$B$10000,DATA!$W$3:$W$10000),"No encontrado"))</f>
        <v/>
      </c>
      <c r="E699" s="22"/>
      <c r="F699" s="23" t="str">
        <f aca="false">IF(A699="","",IFERROR(buscarx(A699&amp;E699,DATA!$E$3:$E$10000&amp;DATA!$B$3:$B$10000,DATA!$M$3:$M$10000),"Inactivo"))</f>
        <v/>
      </c>
      <c r="G699" s="25" t="str">
        <f aca="false">IF(A699="","",IF(AND(C699&lt;&gt;"No encontrado",F699&lt;&gt;"Inactivo"),C699&amp;" → "&amp;F699,"Sin transición"))</f>
        <v/>
      </c>
      <c r="H699" s="23" t="str">
        <f aca="false">IF(A699="","",IF(D699="GCIA LINEA SERVICIO DIGITALIDAD Y VENTAS","Chats",IF(OR(D699="GERENCIA INBOUND LÍNEAS SERVICIO Y VENTA",D699="GERENCIA INBOUND LINEAS ESPECIALIZADAS"),"Llamadas","Otro")))</f>
        <v/>
      </c>
      <c r="I699" s="23" t="str">
        <f aca="false">IF(A699="","",IF(C699="No encontrado","No","Sí"))</f>
        <v/>
      </c>
      <c r="J699" s="23" t="str">
        <f aca="false">IF(A699="","",IF(F699="Inactivo","No","Sí"))</f>
        <v/>
      </c>
      <c r="K699" s="23" t="str">
        <f aca="false">IF(A699="","",IF(AND(I699="Sí",J699="Sí"),"Sí","No"))</f>
        <v/>
      </c>
    </row>
    <row r="700" customFormat="false" ht="15" hidden="false" customHeight="false" outlineLevel="0" collapsed="false">
      <c r="A700" s="22"/>
      <c r="B700" s="22"/>
      <c r="C700" s="26" t="str">
        <f aca="false">IF(A700="","",IFERROR(buscarx(A700&amp;B700,DATA!$E$3:$E$10000&amp;DATA!$B$3:$B$10000,DATA!$M$3:$M$10000),"No encontrado"))</f>
        <v/>
      </c>
      <c r="D700" s="27" t="str">
        <f aca="false">IF(A700="","",IFERROR(buscarx(A700&amp;B700,DATA!$E$3:$E$10000&amp;DATA!$B$3:$B$10000,DATA!$W$3:$W$10000),"No encontrado"))</f>
        <v/>
      </c>
      <c r="E700" s="22"/>
      <c r="F700" s="26" t="str">
        <f aca="false">IF(A700="","",IFERROR(buscarx(A700&amp;E700,DATA!$E$3:$E$10000&amp;DATA!$B$3:$B$10000,DATA!$M$3:$M$10000),"Inactivo"))</f>
        <v/>
      </c>
      <c r="G700" s="28" t="str">
        <f aca="false">IF(A700="","",IF(AND(C700&lt;&gt;"No encontrado",F700&lt;&gt;"Inactivo"),C700&amp;" → "&amp;F700,"Sin transición"))</f>
        <v/>
      </c>
      <c r="H700" s="26" t="str">
        <f aca="false">IF(A700="","",IF(D700="GCIA LINEA SERVICIO DIGITALIDAD Y VENTAS","Chats",IF(OR(D700="GERENCIA INBOUND LÍNEAS SERVICIO Y VENTA",D700="GERENCIA INBOUND LINEAS ESPECIALIZADAS"),"Llamadas","Otro")))</f>
        <v/>
      </c>
      <c r="I700" s="26" t="str">
        <f aca="false">IF(A700="","",IF(C700="No encontrado","No","Sí"))</f>
        <v/>
      </c>
      <c r="J700" s="26" t="str">
        <f aca="false">IF(A700="","",IF(F700="Inactivo","No","Sí"))</f>
        <v/>
      </c>
      <c r="K700" s="26" t="str">
        <f aca="false">IF(A700="","",IF(AND(I700="Sí",J700="Sí"),"Sí","No"))</f>
        <v/>
      </c>
    </row>
    <row r="701" customFormat="false" ht="15" hidden="false" customHeight="false" outlineLevel="0" collapsed="false">
      <c r="A701" s="22"/>
      <c r="B701" s="22"/>
      <c r="C701" s="23" t="str">
        <f aca="false">IF(A701="","",IFERROR(buscarx(A701&amp;B701,DATA!$E$3:$E$10000&amp;DATA!$B$3:$B$10000,DATA!$M$3:$M$10000),"No encontrado"))</f>
        <v/>
      </c>
      <c r="D701" s="24" t="str">
        <f aca="false">IF(A701="","",IFERROR(buscarx(A701&amp;B701,DATA!$E$3:$E$10000&amp;DATA!$B$3:$B$10000,DATA!$W$3:$W$10000),"No encontrado"))</f>
        <v/>
      </c>
      <c r="E701" s="22"/>
      <c r="F701" s="23" t="str">
        <f aca="false">IF(A701="","",IFERROR(buscarx(A701&amp;E701,DATA!$E$3:$E$10000&amp;DATA!$B$3:$B$10000,DATA!$M$3:$M$10000),"Inactivo"))</f>
        <v/>
      </c>
      <c r="G701" s="25" t="str">
        <f aca="false">IF(A701="","",IF(AND(C701&lt;&gt;"No encontrado",F701&lt;&gt;"Inactivo"),C701&amp;" → "&amp;F701,"Sin transición"))</f>
        <v/>
      </c>
      <c r="H701" s="23" t="str">
        <f aca="false">IF(A701="","",IF(D701="GCIA LINEA SERVICIO DIGITALIDAD Y VENTAS","Chats",IF(OR(D701="GERENCIA INBOUND LÍNEAS SERVICIO Y VENTA",D701="GERENCIA INBOUND LINEAS ESPECIALIZADAS"),"Llamadas","Otro")))</f>
        <v/>
      </c>
      <c r="I701" s="23" t="str">
        <f aca="false">IF(A701="","",IF(C701="No encontrado","No","Sí"))</f>
        <v/>
      </c>
      <c r="J701" s="23" t="str">
        <f aca="false">IF(A701="","",IF(F701="Inactivo","No","Sí"))</f>
        <v/>
      </c>
      <c r="K701" s="23" t="str">
        <f aca="false">IF(A701="","",IF(AND(I701="Sí",J701="Sí"),"Sí","No"))</f>
        <v/>
      </c>
    </row>
    <row r="702" customFormat="false" ht="15" hidden="false" customHeight="false" outlineLevel="0" collapsed="false">
      <c r="A702" s="22"/>
      <c r="B702" s="22"/>
      <c r="C702" s="26" t="str">
        <f aca="false">IF(A702="","",IFERROR(buscarx(A702&amp;B702,DATA!$E$3:$E$10000&amp;DATA!$B$3:$B$10000,DATA!$M$3:$M$10000),"No encontrado"))</f>
        <v/>
      </c>
      <c r="D702" s="27" t="str">
        <f aca="false">IF(A702="","",IFERROR(buscarx(A702&amp;B702,DATA!$E$3:$E$10000&amp;DATA!$B$3:$B$10000,DATA!$W$3:$W$10000),"No encontrado"))</f>
        <v/>
      </c>
      <c r="E702" s="22"/>
      <c r="F702" s="26" t="str">
        <f aca="false">IF(A702="","",IFERROR(buscarx(A702&amp;E702,DATA!$E$3:$E$10000&amp;DATA!$B$3:$B$10000,DATA!$M$3:$M$10000),"Inactivo"))</f>
        <v/>
      </c>
      <c r="G702" s="28" t="str">
        <f aca="false">IF(A702="","",IF(AND(C702&lt;&gt;"No encontrado",F702&lt;&gt;"Inactivo"),C702&amp;" → "&amp;F702,"Sin transición"))</f>
        <v/>
      </c>
      <c r="H702" s="26" t="str">
        <f aca="false">IF(A702="","",IF(D702="GCIA LINEA SERVICIO DIGITALIDAD Y VENTAS","Chats",IF(OR(D702="GERENCIA INBOUND LÍNEAS SERVICIO Y VENTA",D702="GERENCIA INBOUND LINEAS ESPECIALIZADAS"),"Llamadas","Otro")))</f>
        <v/>
      </c>
      <c r="I702" s="26" t="str">
        <f aca="false">IF(A702="","",IF(C702="No encontrado","No","Sí"))</f>
        <v/>
      </c>
      <c r="J702" s="26" t="str">
        <f aca="false">IF(A702="","",IF(F702="Inactivo","No","Sí"))</f>
        <v/>
      </c>
      <c r="K702" s="26" t="str">
        <f aca="false">IF(A702="","",IF(AND(I702="Sí",J702="Sí"),"Sí","No"))</f>
        <v/>
      </c>
    </row>
    <row r="703" customFormat="false" ht="15" hidden="false" customHeight="false" outlineLevel="0" collapsed="false">
      <c r="A703" s="22"/>
      <c r="B703" s="22"/>
      <c r="C703" s="23" t="str">
        <f aca="false">IF(A703="","",IFERROR(buscarx(A703&amp;B703,DATA!$E$3:$E$10000&amp;DATA!$B$3:$B$10000,DATA!$M$3:$M$10000),"No encontrado"))</f>
        <v/>
      </c>
      <c r="D703" s="24" t="str">
        <f aca="false">IF(A703="","",IFERROR(buscarx(A703&amp;B703,DATA!$E$3:$E$10000&amp;DATA!$B$3:$B$10000,DATA!$W$3:$W$10000),"No encontrado"))</f>
        <v/>
      </c>
      <c r="E703" s="22"/>
      <c r="F703" s="23" t="str">
        <f aca="false">IF(A703="","",IFERROR(buscarx(A703&amp;E703,DATA!$E$3:$E$10000&amp;DATA!$B$3:$B$10000,DATA!$M$3:$M$10000),"Inactivo"))</f>
        <v/>
      </c>
      <c r="G703" s="25" t="str">
        <f aca="false">IF(A703="","",IF(AND(C703&lt;&gt;"No encontrado",F703&lt;&gt;"Inactivo"),C703&amp;" → "&amp;F703,"Sin transición"))</f>
        <v/>
      </c>
      <c r="H703" s="23" t="str">
        <f aca="false">IF(A703="","",IF(D703="GCIA LINEA SERVICIO DIGITALIDAD Y VENTAS","Chats",IF(OR(D703="GERENCIA INBOUND LÍNEAS SERVICIO Y VENTA",D703="GERENCIA INBOUND LINEAS ESPECIALIZADAS"),"Llamadas","Otro")))</f>
        <v/>
      </c>
      <c r="I703" s="23" t="str">
        <f aca="false">IF(A703="","",IF(C703="No encontrado","No","Sí"))</f>
        <v/>
      </c>
      <c r="J703" s="23" t="str">
        <f aca="false">IF(A703="","",IF(F703="Inactivo","No","Sí"))</f>
        <v/>
      </c>
      <c r="K703" s="23" t="str">
        <f aca="false">IF(A703="","",IF(AND(I703="Sí",J703="Sí"),"Sí","No"))</f>
        <v/>
      </c>
    </row>
    <row r="704" customFormat="false" ht="15" hidden="false" customHeight="false" outlineLevel="0" collapsed="false">
      <c r="A704" s="22"/>
      <c r="B704" s="22"/>
      <c r="C704" s="26" t="str">
        <f aca="false">IF(A704="","",IFERROR(buscarx(A704&amp;B704,DATA!$E$3:$E$10000&amp;DATA!$B$3:$B$10000,DATA!$M$3:$M$10000),"No encontrado"))</f>
        <v/>
      </c>
      <c r="D704" s="27" t="str">
        <f aca="false">IF(A704="","",IFERROR(buscarx(A704&amp;B704,DATA!$E$3:$E$10000&amp;DATA!$B$3:$B$10000,DATA!$W$3:$W$10000),"No encontrado"))</f>
        <v/>
      </c>
      <c r="E704" s="22"/>
      <c r="F704" s="26" t="str">
        <f aca="false">IF(A704="","",IFERROR(buscarx(A704&amp;E704,DATA!$E$3:$E$10000&amp;DATA!$B$3:$B$10000,DATA!$M$3:$M$10000),"Inactivo"))</f>
        <v/>
      </c>
      <c r="G704" s="28" t="str">
        <f aca="false">IF(A704="","",IF(AND(C704&lt;&gt;"No encontrado",F704&lt;&gt;"Inactivo"),C704&amp;" → "&amp;F704,"Sin transición"))</f>
        <v/>
      </c>
      <c r="H704" s="26" t="str">
        <f aca="false">IF(A704="","",IF(D704="GCIA LINEA SERVICIO DIGITALIDAD Y VENTAS","Chats",IF(OR(D704="GERENCIA INBOUND LÍNEAS SERVICIO Y VENTA",D704="GERENCIA INBOUND LINEAS ESPECIALIZADAS"),"Llamadas","Otro")))</f>
        <v/>
      </c>
      <c r="I704" s="26" t="str">
        <f aca="false">IF(A704="","",IF(C704="No encontrado","No","Sí"))</f>
        <v/>
      </c>
      <c r="J704" s="26" t="str">
        <f aca="false">IF(A704="","",IF(F704="Inactivo","No","Sí"))</f>
        <v/>
      </c>
      <c r="K704" s="26" t="str">
        <f aca="false">IF(A704="","",IF(AND(I704="Sí",J704="Sí"),"Sí","No"))</f>
        <v/>
      </c>
    </row>
    <row r="705" customFormat="false" ht="15" hidden="false" customHeight="false" outlineLevel="0" collapsed="false">
      <c r="A705" s="22"/>
      <c r="B705" s="22"/>
      <c r="C705" s="23" t="str">
        <f aca="false">IF(A705="","",IFERROR(buscarx(A705&amp;B705,DATA!$E$3:$E$10000&amp;DATA!$B$3:$B$10000,DATA!$M$3:$M$10000),"No encontrado"))</f>
        <v/>
      </c>
      <c r="D705" s="24" t="str">
        <f aca="false">IF(A705="","",IFERROR(buscarx(A705&amp;B705,DATA!$E$3:$E$10000&amp;DATA!$B$3:$B$10000,DATA!$W$3:$W$10000),"No encontrado"))</f>
        <v/>
      </c>
      <c r="E705" s="22"/>
      <c r="F705" s="23" t="str">
        <f aca="false">IF(A705="","",IFERROR(buscarx(A705&amp;E705,DATA!$E$3:$E$10000&amp;DATA!$B$3:$B$10000,DATA!$M$3:$M$10000),"Inactivo"))</f>
        <v/>
      </c>
      <c r="G705" s="25" t="str">
        <f aca="false">IF(A705="","",IF(AND(C705&lt;&gt;"No encontrado",F705&lt;&gt;"Inactivo"),C705&amp;" → "&amp;F705,"Sin transición"))</f>
        <v/>
      </c>
      <c r="H705" s="23" t="str">
        <f aca="false">IF(A705="","",IF(D705="GCIA LINEA SERVICIO DIGITALIDAD Y VENTAS","Chats",IF(OR(D705="GERENCIA INBOUND LÍNEAS SERVICIO Y VENTA",D705="GERENCIA INBOUND LINEAS ESPECIALIZADAS"),"Llamadas","Otro")))</f>
        <v/>
      </c>
      <c r="I705" s="23" t="str">
        <f aca="false">IF(A705="","",IF(C705="No encontrado","No","Sí"))</f>
        <v/>
      </c>
      <c r="J705" s="23" t="str">
        <f aca="false">IF(A705="","",IF(F705="Inactivo","No","Sí"))</f>
        <v/>
      </c>
      <c r="K705" s="23" t="str">
        <f aca="false">IF(A705="","",IF(AND(I705="Sí",J705="Sí"),"Sí","No"))</f>
        <v/>
      </c>
    </row>
    <row r="706" customFormat="false" ht="15" hidden="false" customHeight="false" outlineLevel="0" collapsed="false">
      <c r="A706" s="22"/>
      <c r="B706" s="22"/>
      <c r="C706" s="26" t="str">
        <f aca="false">IF(A706="","",IFERROR(buscarx(A706&amp;B706,DATA!$E$3:$E$10000&amp;DATA!$B$3:$B$10000,DATA!$M$3:$M$10000),"No encontrado"))</f>
        <v/>
      </c>
      <c r="D706" s="27" t="str">
        <f aca="false">IF(A706="","",IFERROR(buscarx(A706&amp;B706,DATA!$E$3:$E$10000&amp;DATA!$B$3:$B$10000,DATA!$W$3:$W$10000),"No encontrado"))</f>
        <v/>
      </c>
      <c r="E706" s="22"/>
      <c r="F706" s="26" t="str">
        <f aca="false">IF(A706="","",IFERROR(buscarx(A706&amp;E706,DATA!$E$3:$E$10000&amp;DATA!$B$3:$B$10000,DATA!$M$3:$M$10000),"Inactivo"))</f>
        <v/>
      </c>
      <c r="G706" s="28" t="str">
        <f aca="false">IF(A706="","",IF(AND(C706&lt;&gt;"No encontrado",F706&lt;&gt;"Inactivo"),C706&amp;" → "&amp;F706,"Sin transición"))</f>
        <v/>
      </c>
      <c r="H706" s="26" t="str">
        <f aca="false">IF(A706="","",IF(D706="GCIA LINEA SERVICIO DIGITALIDAD Y VENTAS","Chats",IF(OR(D706="GERENCIA INBOUND LÍNEAS SERVICIO Y VENTA",D706="GERENCIA INBOUND LINEAS ESPECIALIZADAS"),"Llamadas","Otro")))</f>
        <v/>
      </c>
      <c r="I706" s="26" t="str">
        <f aca="false">IF(A706="","",IF(C706="No encontrado","No","Sí"))</f>
        <v/>
      </c>
      <c r="J706" s="26" t="str">
        <f aca="false">IF(A706="","",IF(F706="Inactivo","No","Sí"))</f>
        <v/>
      </c>
      <c r="K706" s="26" t="str">
        <f aca="false">IF(A706="","",IF(AND(I706="Sí",J706="Sí"),"Sí","No"))</f>
        <v/>
      </c>
    </row>
    <row r="707" customFormat="false" ht="15" hidden="false" customHeight="false" outlineLevel="0" collapsed="false">
      <c r="A707" s="22"/>
      <c r="B707" s="22"/>
      <c r="C707" s="23" t="str">
        <f aca="false">IF(A707="","",IFERROR(buscarx(A707&amp;B707,DATA!$E$3:$E$10000&amp;DATA!$B$3:$B$10000,DATA!$M$3:$M$10000),"No encontrado"))</f>
        <v/>
      </c>
      <c r="D707" s="24" t="str">
        <f aca="false">IF(A707="","",IFERROR(buscarx(A707&amp;B707,DATA!$E$3:$E$10000&amp;DATA!$B$3:$B$10000,DATA!$W$3:$W$10000),"No encontrado"))</f>
        <v/>
      </c>
      <c r="E707" s="22"/>
      <c r="F707" s="23" t="str">
        <f aca="false">IF(A707="","",IFERROR(buscarx(A707&amp;E707,DATA!$E$3:$E$10000&amp;DATA!$B$3:$B$10000,DATA!$M$3:$M$10000),"Inactivo"))</f>
        <v/>
      </c>
      <c r="G707" s="25" t="str">
        <f aca="false">IF(A707="","",IF(AND(C707&lt;&gt;"No encontrado",F707&lt;&gt;"Inactivo"),C707&amp;" → "&amp;F707,"Sin transición"))</f>
        <v/>
      </c>
      <c r="H707" s="23" t="str">
        <f aca="false">IF(A707="","",IF(D707="GCIA LINEA SERVICIO DIGITALIDAD Y VENTAS","Chats",IF(OR(D707="GERENCIA INBOUND LÍNEAS SERVICIO Y VENTA",D707="GERENCIA INBOUND LINEAS ESPECIALIZADAS"),"Llamadas","Otro")))</f>
        <v/>
      </c>
      <c r="I707" s="23" t="str">
        <f aca="false">IF(A707="","",IF(C707="No encontrado","No","Sí"))</f>
        <v/>
      </c>
      <c r="J707" s="23" t="str">
        <f aca="false">IF(A707="","",IF(F707="Inactivo","No","Sí"))</f>
        <v/>
      </c>
      <c r="K707" s="23" t="str">
        <f aca="false">IF(A707="","",IF(AND(I707="Sí",J707="Sí"),"Sí","No"))</f>
        <v/>
      </c>
    </row>
    <row r="708" customFormat="false" ht="15" hidden="false" customHeight="false" outlineLevel="0" collapsed="false">
      <c r="A708" s="22"/>
      <c r="B708" s="22"/>
      <c r="C708" s="26" t="str">
        <f aca="false">IF(A708="","",IFERROR(buscarx(A708&amp;B708,DATA!$E$3:$E$10000&amp;DATA!$B$3:$B$10000,DATA!$M$3:$M$10000),"No encontrado"))</f>
        <v/>
      </c>
      <c r="D708" s="27" t="str">
        <f aca="false">IF(A708="","",IFERROR(buscarx(A708&amp;B708,DATA!$E$3:$E$10000&amp;DATA!$B$3:$B$10000,DATA!$W$3:$W$10000),"No encontrado"))</f>
        <v/>
      </c>
      <c r="E708" s="22"/>
      <c r="F708" s="26" t="str">
        <f aca="false">IF(A708="","",IFERROR(buscarx(A708&amp;E708,DATA!$E$3:$E$10000&amp;DATA!$B$3:$B$10000,DATA!$M$3:$M$10000),"Inactivo"))</f>
        <v/>
      </c>
      <c r="G708" s="28" t="str">
        <f aca="false">IF(A708="","",IF(AND(C708&lt;&gt;"No encontrado",F708&lt;&gt;"Inactivo"),C708&amp;" → "&amp;F708,"Sin transición"))</f>
        <v/>
      </c>
      <c r="H708" s="26" t="str">
        <f aca="false">IF(A708="","",IF(D708="GCIA LINEA SERVICIO DIGITALIDAD Y VENTAS","Chats",IF(OR(D708="GERENCIA INBOUND LÍNEAS SERVICIO Y VENTA",D708="GERENCIA INBOUND LINEAS ESPECIALIZADAS"),"Llamadas","Otro")))</f>
        <v/>
      </c>
      <c r="I708" s="26" t="str">
        <f aca="false">IF(A708="","",IF(C708="No encontrado","No","Sí"))</f>
        <v/>
      </c>
      <c r="J708" s="26" t="str">
        <f aca="false">IF(A708="","",IF(F708="Inactivo","No","Sí"))</f>
        <v/>
      </c>
      <c r="K708" s="26" t="str">
        <f aca="false">IF(A708="","",IF(AND(I708="Sí",J708="Sí"),"Sí","No"))</f>
        <v/>
      </c>
    </row>
    <row r="709" customFormat="false" ht="15" hidden="false" customHeight="false" outlineLevel="0" collapsed="false">
      <c r="A709" s="22"/>
      <c r="B709" s="22"/>
      <c r="C709" s="23" t="str">
        <f aca="false">IF(A709="","",IFERROR(buscarx(A709&amp;B709,DATA!$E$3:$E$10000&amp;DATA!$B$3:$B$10000,DATA!$M$3:$M$10000),"No encontrado"))</f>
        <v/>
      </c>
      <c r="D709" s="24" t="str">
        <f aca="false">IF(A709="","",IFERROR(buscarx(A709&amp;B709,DATA!$E$3:$E$10000&amp;DATA!$B$3:$B$10000,DATA!$W$3:$W$10000),"No encontrado"))</f>
        <v/>
      </c>
      <c r="E709" s="22"/>
      <c r="F709" s="23" t="str">
        <f aca="false">IF(A709="","",IFERROR(buscarx(A709&amp;E709,DATA!$E$3:$E$10000&amp;DATA!$B$3:$B$10000,DATA!$M$3:$M$10000),"Inactivo"))</f>
        <v/>
      </c>
      <c r="G709" s="25" t="str">
        <f aca="false">IF(A709="","",IF(AND(C709&lt;&gt;"No encontrado",F709&lt;&gt;"Inactivo"),C709&amp;" → "&amp;F709,"Sin transición"))</f>
        <v/>
      </c>
      <c r="H709" s="23" t="str">
        <f aca="false">IF(A709="","",IF(D709="GCIA LINEA SERVICIO DIGITALIDAD Y VENTAS","Chats",IF(OR(D709="GERENCIA INBOUND LÍNEAS SERVICIO Y VENTA",D709="GERENCIA INBOUND LINEAS ESPECIALIZADAS"),"Llamadas","Otro")))</f>
        <v/>
      </c>
      <c r="I709" s="23" t="str">
        <f aca="false">IF(A709="","",IF(C709="No encontrado","No","Sí"))</f>
        <v/>
      </c>
      <c r="J709" s="23" t="str">
        <f aca="false">IF(A709="","",IF(F709="Inactivo","No","Sí"))</f>
        <v/>
      </c>
      <c r="K709" s="23" t="str">
        <f aca="false">IF(A709="","",IF(AND(I709="Sí",J709="Sí"),"Sí","No"))</f>
        <v/>
      </c>
    </row>
    <row r="710" customFormat="false" ht="15" hidden="false" customHeight="false" outlineLevel="0" collapsed="false">
      <c r="A710" s="22"/>
      <c r="B710" s="22"/>
      <c r="C710" s="26" t="str">
        <f aca="false">IF(A710="","",IFERROR(buscarx(A710&amp;B710,DATA!$E$3:$E$10000&amp;DATA!$B$3:$B$10000,DATA!$M$3:$M$10000),"No encontrado"))</f>
        <v/>
      </c>
      <c r="D710" s="27" t="str">
        <f aca="false">IF(A710="","",IFERROR(buscarx(A710&amp;B710,DATA!$E$3:$E$10000&amp;DATA!$B$3:$B$10000,DATA!$W$3:$W$10000),"No encontrado"))</f>
        <v/>
      </c>
      <c r="E710" s="22"/>
      <c r="F710" s="26" t="str">
        <f aca="false">IF(A710="","",IFERROR(buscarx(A710&amp;E710,DATA!$E$3:$E$10000&amp;DATA!$B$3:$B$10000,DATA!$M$3:$M$10000),"Inactivo"))</f>
        <v/>
      </c>
      <c r="G710" s="28" t="str">
        <f aca="false">IF(A710="","",IF(AND(C710&lt;&gt;"No encontrado",F710&lt;&gt;"Inactivo"),C710&amp;" → "&amp;F710,"Sin transición"))</f>
        <v/>
      </c>
      <c r="H710" s="26" t="str">
        <f aca="false">IF(A710="","",IF(D710="GCIA LINEA SERVICIO DIGITALIDAD Y VENTAS","Chats",IF(OR(D710="GERENCIA INBOUND LÍNEAS SERVICIO Y VENTA",D710="GERENCIA INBOUND LINEAS ESPECIALIZADAS"),"Llamadas","Otro")))</f>
        <v/>
      </c>
      <c r="I710" s="26" t="str">
        <f aca="false">IF(A710="","",IF(C710="No encontrado","No","Sí"))</f>
        <v/>
      </c>
      <c r="J710" s="26" t="str">
        <f aca="false">IF(A710="","",IF(F710="Inactivo","No","Sí"))</f>
        <v/>
      </c>
      <c r="K710" s="26" t="str">
        <f aca="false">IF(A710="","",IF(AND(I710="Sí",J710="Sí"),"Sí","No"))</f>
        <v/>
      </c>
    </row>
    <row r="711" customFormat="false" ht="15" hidden="false" customHeight="false" outlineLevel="0" collapsed="false">
      <c r="A711" s="22"/>
      <c r="B711" s="22"/>
      <c r="C711" s="23" t="str">
        <f aca="false">IF(A711="","",IFERROR(buscarx(A711&amp;B711,DATA!$E$3:$E$10000&amp;DATA!$B$3:$B$10000,DATA!$M$3:$M$10000),"No encontrado"))</f>
        <v/>
      </c>
      <c r="D711" s="24" t="str">
        <f aca="false">IF(A711="","",IFERROR(buscarx(A711&amp;B711,DATA!$E$3:$E$10000&amp;DATA!$B$3:$B$10000,DATA!$W$3:$W$10000),"No encontrado"))</f>
        <v/>
      </c>
      <c r="E711" s="22"/>
      <c r="F711" s="23" t="str">
        <f aca="false">IF(A711="","",IFERROR(buscarx(A711&amp;E711,DATA!$E$3:$E$10000&amp;DATA!$B$3:$B$10000,DATA!$M$3:$M$10000),"Inactivo"))</f>
        <v/>
      </c>
      <c r="G711" s="25" t="str">
        <f aca="false">IF(A711="","",IF(AND(C711&lt;&gt;"No encontrado",F711&lt;&gt;"Inactivo"),C711&amp;" → "&amp;F711,"Sin transición"))</f>
        <v/>
      </c>
      <c r="H711" s="23" t="str">
        <f aca="false">IF(A711="","",IF(D711="GCIA LINEA SERVICIO DIGITALIDAD Y VENTAS","Chats",IF(OR(D711="GERENCIA INBOUND LÍNEAS SERVICIO Y VENTA",D711="GERENCIA INBOUND LINEAS ESPECIALIZADAS"),"Llamadas","Otro")))</f>
        <v/>
      </c>
      <c r="I711" s="23" t="str">
        <f aca="false">IF(A711="","",IF(C711="No encontrado","No","Sí"))</f>
        <v/>
      </c>
      <c r="J711" s="23" t="str">
        <f aca="false">IF(A711="","",IF(F711="Inactivo","No","Sí"))</f>
        <v/>
      </c>
      <c r="K711" s="23" t="str">
        <f aca="false">IF(A711="","",IF(AND(I711="Sí",J711="Sí"),"Sí","No"))</f>
        <v/>
      </c>
    </row>
    <row r="712" customFormat="false" ht="15" hidden="false" customHeight="false" outlineLevel="0" collapsed="false">
      <c r="A712" s="22"/>
      <c r="B712" s="22"/>
      <c r="C712" s="26" t="str">
        <f aca="false">IF(A712="","",IFERROR(buscarx(A712&amp;B712,DATA!$E$3:$E$10000&amp;DATA!$B$3:$B$10000,DATA!$M$3:$M$10000),"No encontrado"))</f>
        <v/>
      </c>
      <c r="D712" s="27" t="str">
        <f aca="false">IF(A712="","",IFERROR(buscarx(A712&amp;B712,DATA!$E$3:$E$10000&amp;DATA!$B$3:$B$10000,DATA!$W$3:$W$10000),"No encontrado"))</f>
        <v/>
      </c>
      <c r="E712" s="22"/>
      <c r="F712" s="26" t="str">
        <f aca="false">IF(A712="","",IFERROR(buscarx(A712&amp;E712,DATA!$E$3:$E$10000&amp;DATA!$B$3:$B$10000,DATA!$M$3:$M$10000),"Inactivo"))</f>
        <v/>
      </c>
      <c r="G712" s="28" t="str">
        <f aca="false">IF(A712="","",IF(AND(C712&lt;&gt;"No encontrado",F712&lt;&gt;"Inactivo"),C712&amp;" → "&amp;F712,"Sin transición"))</f>
        <v/>
      </c>
      <c r="H712" s="26" t="str">
        <f aca="false">IF(A712="","",IF(D712="GCIA LINEA SERVICIO DIGITALIDAD Y VENTAS","Chats",IF(OR(D712="GERENCIA INBOUND LÍNEAS SERVICIO Y VENTA",D712="GERENCIA INBOUND LINEAS ESPECIALIZADAS"),"Llamadas","Otro")))</f>
        <v/>
      </c>
      <c r="I712" s="26" t="str">
        <f aca="false">IF(A712="","",IF(C712="No encontrado","No","Sí"))</f>
        <v/>
      </c>
      <c r="J712" s="26" t="str">
        <f aca="false">IF(A712="","",IF(F712="Inactivo","No","Sí"))</f>
        <v/>
      </c>
      <c r="K712" s="26" t="str">
        <f aca="false">IF(A712="","",IF(AND(I712="Sí",J712="Sí"),"Sí","No"))</f>
        <v/>
      </c>
    </row>
    <row r="713" customFormat="false" ht="15" hidden="false" customHeight="false" outlineLevel="0" collapsed="false">
      <c r="A713" s="22"/>
      <c r="B713" s="22"/>
      <c r="C713" s="23" t="str">
        <f aca="false">IF(A713="","",IFERROR(buscarx(A713&amp;B713,DATA!$E$3:$E$10000&amp;DATA!$B$3:$B$10000,DATA!$M$3:$M$10000),"No encontrado"))</f>
        <v/>
      </c>
      <c r="D713" s="24" t="str">
        <f aca="false">IF(A713="","",IFERROR(buscarx(A713&amp;B713,DATA!$E$3:$E$10000&amp;DATA!$B$3:$B$10000,DATA!$W$3:$W$10000),"No encontrado"))</f>
        <v/>
      </c>
      <c r="E713" s="22"/>
      <c r="F713" s="23" t="str">
        <f aca="false">IF(A713="","",IFERROR(buscarx(A713&amp;E713,DATA!$E$3:$E$10000&amp;DATA!$B$3:$B$10000,DATA!$M$3:$M$10000),"Inactivo"))</f>
        <v/>
      </c>
      <c r="G713" s="25" t="str">
        <f aca="false">IF(A713="","",IF(AND(C713&lt;&gt;"No encontrado",F713&lt;&gt;"Inactivo"),C713&amp;" → "&amp;F713,"Sin transición"))</f>
        <v/>
      </c>
      <c r="H713" s="23" t="str">
        <f aca="false">IF(A713="","",IF(D713="GCIA LINEA SERVICIO DIGITALIDAD Y VENTAS","Chats",IF(OR(D713="GERENCIA INBOUND LÍNEAS SERVICIO Y VENTA",D713="GERENCIA INBOUND LINEAS ESPECIALIZADAS"),"Llamadas","Otro")))</f>
        <v/>
      </c>
      <c r="I713" s="23" t="str">
        <f aca="false">IF(A713="","",IF(C713="No encontrado","No","Sí"))</f>
        <v/>
      </c>
      <c r="J713" s="23" t="str">
        <f aca="false">IF(A713="","",IF(F713="Inactivo","No","Sí"))</f>
        <v/>
      </c>
      <c r="K713" s="23" t="str">
        <f aca="false">IF(A713="","",IF(AND(I713="Sí",J713="Sí"),"Sí","No"))</f>
        <v/>
      </c>
    </row>
    <row r="714" customFormat="false" ht="15" hidden="false" customHeight="false" outlineLevel="0" collapsed="false">
      <c r="A714" s="22"/>
      <c r="B714" s="22"/>
      <c r="C714" s="26" t="str">
        <f aca="false">IF(A714="","",IFERROR(buscarx(A714&amp;B714,DATA!$E$3:$E$10000&amp;DATA!$B$3:$B$10000,DATA!$M$3:$M$10000),"No encontrado"))</f>
        <v/>
      </c>
      <c r="D714" s="27" t="str">
        <f aca="false">IF(A714="","",IFERROR(buscarx(A714&amp;B714,DATA!$E$3:$E$10000&amp;DATA!$B$3:$B$10000,DATA!$W$3:$W$10000),"No encontrado"))</f>
        <v/>
      </c>
      <c r="E714" s="22"/>
      <c r="F714" s="26" t="str">
        <f aca="false">IF(A714="","",IFERROR(buscarx(A714&amp;E714,DATA!$E$3:$E$10000&amp;DATA!$B$3:$B$10000,DATA!$M$3:$M$10000),"Inactivo"))</f>
        <v/>
      </c>
      <c r="G714" s="28" t="str">
        <f aca="false">IF(A714="","",IF(AND(C714&lt;&gt;"No encontrado",F714&lt;&gt;"Inactivo"),C714&amp;" → "&amp;F714,"Sin transición"))</f>
        <v/>
      </c>
      <c r="H714" s="26" t="str">
        <f aca="false">IF(A714="","",IF(D714="GCIA LINEA SERVICIO DIGITALIDAD Y VENTAS","Chats",IF(OR(D714="GERENCIA INBOUND LÍNEAS SERVICIO Y VENTA",D714="GERENCIA INBOUND LINEAS ESPECIALIZADAS"),"Llamadas","Otro")))</f>
        <v/>
      </c>
      <c r="I714" s="26" t="str">
        <f aca="false">IF(A714="","",IF(C714="No encontrado","No","Sí"))</f>
        <v/>
      </c>
      <c r="J714" s="26" t="str">
        <f aca="false">IF(A714="","",IF(F714="Inactivo","No","Sí"))</f>
        <v/>
      </c>
      <c r="K714" s="26" t="str">
        <f aca="false">IF(A714="","",IF(AND(I714="Sí",J714="Sí"),"Sí","No"))</f>
        <v/>
      </c>
    </row>
    <row r="715" customFormat="false" ht="15" hidden="false" customHeight="false" outlineLevel="0" collapsed="false">
      <c r="A715" s="22"/>
      <c r="B715" s="22"/>
      <c r="C715" s="23" t="str">
        <f aca="false">IF(A715="","",IFERROR(buscarx(A715&amp;B715,DATA!$E$3:$E$10000&amp;DATA!$B$3:$B$10000,DATA!$M$3:$M$10000),"No encontrado"))</f>
        <v/>
      </c>
      <c r="D715" s="24" t="str">
        <f aca="false">IF(A715="","",IFERROR(buscarx(A715&amp;B715,DATA!$E$3:$E$10000&amp;DATA!$B$3:$B$10000,DATA!$W$3:$W$10000),"No encontrado"))</f>
        <v/>
      </c>
      <c r="E715" s="22"/>
      <c r="F715" s="23" t="str">
        <f aca="false">IF(A715="","",IFERROR(buscarx(A715&amp;E715,DATA!$E$3:$E$10000&amp;DATA!$B$3:$B$10000,DATA!$M$3:$M$10000),"Inactivo"))</f>
        <v/>
      </c>
      <c r="G715" s="25" t="str">
        <f aca="false">IF(A715="","",IF(AND(C715&lt;&gt;"No encontrado",F715&lt;&gt;"Inactivo"),C715&amp;" → "&amp;F715,"Sin transición"))</f>
        <v/>
      </c>
      <c r="H715" s="23" t="str">
        <f aca="false">IF(A715="","",IF(D715="GCIA LINEA SERVICIO DIGITALIDAD Y VENTAS","Chats",IF(OR(D715="GERENCIA INBOUND LÍNEAS SERVICIO Y VENTA",D715="GERENCIA INBOUND LINEAS ESPECIALIZADAS"),"Llamadas","Otro")))</f>
        <v/>
      </c>
      <c r="I715" s="23" t="str">
        <f aca="false">IF(A715="","",IF(C715="No encontrado","No","Sí"))</f>
        <v/>
      </c>
      <c r="J715" s="23" t="str">
        <f aca="false">IF(A715="","",IF(F715="Inactivo","No","Sí"))</f>
        <v/>
      </c>
      <c r="K715" s="23" t="str">
        <f aca="false">IF(A715="","",IF(AND(I715="Sí",J715="Sí"),"Sí","No"))</f>
        <v/>
      </c>
    </row>
    <row r="716" customFormat="false" ht="15" hidden="false" customHeight="false" outlineLevel="0" collapsed="false">
      <c r="A716" s="22"/>
      <c r="B716" s="22"/>
      <c r="C716" s="26" t="str">
        <f aca="false">IF(A716="","",IFERROR(buscarx(A716&amp;B716,DATA!$E$3:$E$10000&amp;DATA!$B$3:$B$10000,DATA!$M$3:$M$10000),"No encontrado"))</f>
        <v/>
      </c>
      <c r="D716" s="27" t="str">
        <f aca="false">IF(A716="","",IFERROR(buscarx(A716&amp;B716,DATA!$E$3:$E$10000&amp;DATA!$B$3:$B$10000,DATA!$W$3:$W$10000),"No encontrado"))</f>
        <v/>
      </c>
      <c r="E716" s="22"/>
      <c r="F716" s="26" t="str">
        <f aca="false">IF(A716="","",IFERROR(buscarx(A716&amp;E716,DATA!$E$3:$E$10000&amp;DATA!$B$3:$B$10000,DATA!$M$3:$M$10000),"Inactivo"))</f>
        <v/>
      </c>
      <c r="G716" s="28" t="str">
        <f aca="false">IF(A716="","",IF(AND(C716&lt;&gt;"No encontrado",F716&lt;&gt;"Inactivo"),C716&amp;" → "&amp;F716,"Sin transición"))</f>
        <v/>
      </c>
      <c r="H716" s="26" t="str">
        <f aca="false">IF(A716="","",IF(D716="GCIA LINEA SERVICIO DIGITALIDAD Y VENTAS","Chats",IF(OR(D716="GERENCIA INBOUND LÍNEAS SERVICIO Y VENTA",D716="GERENCIA INBOUND LINEAS ESPECIALIZADAS"),"Llamadas","Otro")))</f>
        <v/>
      </c>
      <c r="I716" s="26" t="str">
        <f aca="false">IF(A716="","",IF(C716="No encontrado","No","Sí"))</f>
        <v/>
      </c>
      <c r="J716" s="26" t="str">
        <f aca="false">IF(A716="","",IF(F716="Inactivo","No","Sí"))</f>
        <v/>
      </c>
      <c r="K716" s="26" t="str">
        <f aca="false">IF(A716="","",IF(AND(I716="Sí",J716="Sí"),"Sí","No"))</f>
        <v/>
      </c>
    </row>
    <row r="717" customFormat="false" ht="15" hidden="false" customHeight="false" outlineLevel="0" collapsed="false">
      <c r="A717" s="22"/>
      <c r="B717" s="22"/>
      <c r="C717" s="23" t="str">
        <f aca="false">IF(A717="","",IFERROR(buscarx(A717&amp;B717,DATA!$E$3:$E$10000&amp;DATA!$B$3:$B$10000,DATA!$M$3:$M$10000),"No encontrado"))</f>
        <v/>
      </c>
      <c r="D717" s="24" t="str">
        <f aca="false">IF(A717="","",IFERROR(buscarx(A717&amp;B717,DATA!$E$3:$E$10000&amp;DATA!$B$3:$B$10000,DATA!$W$3:$W$10000),"No encontrado"))</f>
        <v/>
      </c>
      <c r="E717" s="22"/>
      <c r="F717" s="23" t="str">
        <f aca="false">IF(A717="","",IFERROR(buscarx(A717&amp;E717,DATA!$E$3:$E$10000&amp;DATA!$B$3:$B$10000,DATA!$M$3:$M$10000),"Inactivo"))</f>
        <v/>
      </c>
      <c r="G717" s="25" t="str">
        <f aca="false">IF(A717="","",IF(AND(C717&lt;&gt;"No encontrado",F717&lt;&gt;"Inactivo"),C717&amp;" → "&amp;F717,"Sin transición"))</f>
        <v/>
      </c>
      <c r="H717" s="23" t="str">
        <f aca="false">IF(A717="","",IF(D717="GCIA LINEA SERVICIO DIGITALIDAD Y VENTAS","Chats",IF(OR(D717="GERENCIA INBOUND LÍNEAS SERVICIO Y VENTA",D717="GERENCIA INBOUND LINEAS ESPECIALIZADAS"),"Llamadas","Otro")))</f>
        <v/>
      </c>
      <c r="I717" s="23" t="str">
        <f aca="false">IF(A717="","",IF(C717="No encontrado","No","Sí"))</f>
        <v/>
      </c>
      <c r="J717" s="23" t="str">
        <f aca="false">IF(A717="","",IF(F717="Inactivo","No","Sí"))</f>
        <v/>
      </c>
      <c r="K717" s="23" t="str">
        <f aca="false">IF(A717="","",IF(AND(I717="Sí",J717="Sí"),"Sí","No"))</f>
        <v/>
      </c>
    </row>
    <row r="718" customFormat="false" ht="15" hidden="false" customHeight="false" outlineLevel="0" collapsed="false">
      <c r="A718" s="22"/>
      <c r="B718" s="22"/>
      <c r="C718" s="26" t="str">
        <f aca="false">IF(A718="","",IFERROR(buscarx(A718&amp;B718,DATA!$E$3:$E$10000&amp;DATA!$B$3:$B$10000,DATA!$M$3:$M$10000),"No encontrado"))</f>
        <v/>
      </c>
      <c r="D718" s="27" t="str">
        <f aca="false">IF(A718="","",IFERROR(buscarx(A718&amp;B718,DATA!$E$3:$E$10000&amp;DATA!$B$3:$B$10000,DATA!$W$3:$W$10000),"No encontrado"))</f>
        <v/>
      </c>
      <c r="E718" s="22"/>
      <c r="F718" s="26" t="str">
        <f aca="false">IF(A718="","",IFERROR(buscarx(A718&amp;E718,DATA!$E$3:$E$10000&amp;DATA!$B$3:$B$10000,DATA!$M$3:$M$10000),"Inactivo"))</f>
        <v/>
      </c>
      <c r="G718" s="28" t="str">
        <f aca="false">IF(A718="","",IF(AND(C718&lt;&gt;"No encontrado",F718&lt;&gt;"Inactivo"),C718&amp;" → "&amp;F718,"Sin transición"))</f>
        <v/>
      </c>
      <c r="H718" s="26" t="str">
        <f aca="false">IF(A718="","",IF(D718="GCIA LINEA SERVICIO DIGITALIDAD Y VENTAS","Chats",IF(OR(D718="GERENCIA INBOUND LÍNEAS SERVICIO Y VENTA",D718="GERENCIA INBOUND LINEAS ESPECIALIZADAS"),"Llamadas","Otro")))</f>
        <v/>
      </c>
      <c r="I718" s="26" t="str">
        <f aca="false">IF(A718="","",IF(C718="No encontrado","No","Sí"))</f>
        <v/>
      </c>
      <c r="J718" s="26" t="str">
        <f aca="false">IF(A718="","",IF(F718="Inactivo","No","Sí"))</f>
        <v/>
      </c>
      <c r="K718" s="26" t="str">
        <f aca="false">IF(A718="","",IF(AND(I718="Sí",J718="Sí"),"Sí","No"))</f>
        <v/>
      </c>
    </row>
    <row r="719" customFormat="false" ht="15" hidden="false" customHeight="false" outlineLevel="0" collapsed="false">
      <c r="A719" s="22"/>
      <c r="B719" s="22"/>
      <c r="C719" s="23" t="str">
        <f aca="false">IF(A719="","",IFERROR(buscarx(A719&amp;B719,DATA!$E$3:$E$10000&amp;DATA!$B$3:$B$10000,DATA!$M$3:$M$10000),"No encontrado"))</f>
        <v/>
      </c>
      <c r="D719" s="24" t="str">
        <f aca="false">IF(A719="","",IFERROR(buscarx(A719&amp;B719,DATA!$E$3:$E$10000&amp;DATA!$B$3:$B$10000,DATA!$W$3:$W$10000),"No encontrado"))</f>
        <v/>
      </c>
      <c r="E719" s="22"/>
      <c r="F719" s="23" t="str">
        <f aca="false">IF(A719="","",IFERROR(buscarx(A719&amp;E719,DATA!$E$3:$E$10000&amp;DATA!$B$3:$B$10000,DATA!$M$3:$M$10000),"Inactivo"))</f>
        <v/>
      </c>
      <c r="G719" s="25" t="str">
        <f aca="false">IF(A719="","",IF(AND(C719&lt;&gt;"No encontrado",F719&lt;&gt;"Inactivo"),C719&amp;" → "&amp;F719,"Sin transición"))</f>
        <v/>
      </c>
      <c r="H719" s="23" t="str">
        <f aca="false">IF(A719="","",IF(D719="GCIA LINEA SERVICIO DIGITALIDAD Y VENTAS","Chats",IF(OR(D719="GERENCIA INBOUND LÍNEAS SERVICIO Y VENTA",D719="GERENCIA INBOUND LINEAS ESPECIALIZADAS"),"Llamadas","Otro")))</f>
        <v/>
      </c>
      <c r="I719" s="23" t="str">
        <f aca="false">IF(A719="","",IF(C719="No encontrado","No","Sí"))</f>
        <v/>
      </c>
      <c r="J719" s="23" t="str">
        <f aca="false">IF(A719="","",IF(F719="Inactivo","No","Sí"))</f>
        <v/>
      </c>
      <c r="K719" s="23" t="str">
        <f aca="false">IF(A719="","",IF(AND(I719="Sí",J719="Sí"),"Sí","No"))</f>
        <v/>
      </c>
    </row>
    <row r="720" customFormat="false" ht="15" hidden="false" customHeight="false" outlineLevel="0" collapsed="false">
      <c r="A720" s="22"/>
      <c r="B720" s="22"/>
      <c r="C720" s="26" t="str">
        <f aca="false">IF(A720="","",IFERROR(buscarx(A720&amp;B720,DATA!$E$3:$E$10000&amp;DATA!$B$3:$B$10000,DATA!$M$3:$M$10000),"No encontrado"))</f>
        <v/>
      </c>
      <c r="D720" s="27" t="str">
        <f aca="false">IF(A720="","",IFERROR(buscarx(A720&amp;B720,DATA!$E$3:$E$10000&amp;DATA!$B$3:$B$10000,DATA!$W$3:$W$10000),"No encontrado"))</f>
        <v/>
      </c>
      <c r="E720" s="22"/>
      <c r="F720" s="26" t="str">
        <f aca="false">IF(A720="","",IFERROR(buscarx(A720&amp;E720,DATA!$E$3:$E$10000&amp;DATA!$B$3:$B$10000,DATA!$M$3:$M$10000),"Inactivo"))</f>
        <v/>
      </c>
      <c r="G720" s="28" t="str">
        <f aca="false">IF(A720="","",IF(AND(C720&lt;&gt;"No encontrado",F720&lt;&gt;"Inactivo"),C720&amp;" → "&amp;F720,"Sin transición"))</f>
        <v/>
      </c>
      <c r="H720" s="26" t="str">
        <f aca="false">IF(A720="","",IF(D720="GCIA LINEA SERVICIO DIGITALIDAD Y VENTAS","Chats",IF(OR(D720="GERENCIA INBOUND LÍNEAS SERVICIO Y VENTA",D720="GERENCIA INBOUND LINEAS ESPECIALIZADAS"),"Llamadas","Otro")))</f>
        <v/>
      </c>
      <c r="I720" s="26" t="str">
        <f aca="false">IF(A720="","",IF(C720="No encontrado","No","Sí"))</f>
        <v/>
      </c>
      <c r="J720" s="26" t="str">
        <f aca="false">IF(A720="","",IF(F720="Inactivo","No","Sí"))</f>
        <v/>
      </c>
      <c r="K720" s="26" t="str">
        <f aca="false">IF(A720="","",IF(AND(I720="Sí",J720="Sí"),"Sí","No"))</f>
        <v/>
      </c>
    </row>
    <row r="721" customFormat="false" ht="15" hidden="false" customHeight="false" outlineLevel="0" collapsed="false">
      <c r="A721" s="22"/>
      <c r="B721" s="22"/>
      <c r="C721" s="23" t="str">
        <f aca="false">IF(A721="","",IFERROR(buscarx(A721&amp;B721,DATA!$E$3:$E$10000&amp;DATA!$B$3:$B$10000,DATA!$M$3:$M$10000),"No encontrado"))</f>
        <v/>
      </c>
      <c r="D721" s="24" t="str">
        <f aca="false">IF(A721="","",IFERROR(buscarx(A721&amp;B721,DATA!$E$3:$E$10000&amp;DATA!$B$3:$B$10000,DATA!$W$3:$W$10000),"No encontrado"))</f>
        <v/>
      </c>
      <c r="E721" s="22"/>
      <c r="F721" s="23" t="str">
        <f aca="false">IF(A721="","",IFERROR(buscarx(A721&amp;E721,DATA!$E$3:$E$10000&amp;DATA!$B$3:$B$10000,DATA!$M$3:$M$10000),"Inactivo"))</f>
        <v/>
      </c>
      <c r="G721" s="25" t="str">
        <f aca="false">IF(A721="","",IF(AND(C721&lt;&gt;"No encontrado",F721&lt;&gt;"Inactivo"),C721&amp;" → "&amp;F721,"Sin transición"))</f>
        <v/>
      </c>
      <c r="H721" s="23" t="str">
        <f aca="false">IF(A721="","",IF(D721="GCIA LINEA SERVICIO DIGITALIDAD Y VENTAS","Chats",IF(OR(D721="GERENCIA INBOUND LÍNEAS SERVICIO Y VENTA",D721="GERENCIA INBOUND LINEAS ESPECIALIZADAS"),"Llamadas","Otro")))</f>
        <v/>
      </c>
      <c r="I721" s="23" t="str">
        <f aca="false">IF(A721="","",IF(C721="No encontrado","No","Sí"))</f>
        <v/>
      </c>
      <c r="J721" s="23" t="str">
        <f aca="false">IF(A721="","",IF(F721="Inactivo","No","Sí"))</f>
        <v/>
      </c>
      <c r="K721" s="23" t="str">
        <f aca="false">IF(A721="","",IF(AND(I721="Sí",J721="Sí"),"Sí","No"))</f>
        <v/>
      </c>
    </row>
    <row r="722" customFormat="false" ht="15" hidden="false" customHeight="false" outlineLevel="0" collapsed="false">
      <c r="A722" s="22"/>
      <c r="B722" s="22"/>
      <c r="C722" s="26" t="str">
        <f aca="false">IF(A722="","",IFERROR(buscarx(A722&amp;B722,DATA!$E$3:$E$10000&amp;DATA!$B$3:$B$10000,DATA!$M$3:$M$10000),"No encontrado"))</f>
        <v/>
      </c>
      <c r="D722" s="27" t="str">
        <f aca="false">IF(A722="","",IFERROR(buscarx(A722&amp;B722,DATA!$E$3:$E$10000&amp;DATA!$B$3:$B$10000,DATA!$W$3:$W$10000),"No encontrado"))</f>
        <v/>
      </c>
      <c r="E722" s="22"/>
      <c r="F722" s="26" t="str">
        <f aca="false">IF(A722="","",IFERROR(buscarx(A722&amp;E722,DATA!$E$3:$E$10000&amp;DATA!$B$3:$B$10000,DATA!$M$3:$M$10000),"Inactivo"))</f>
        <v/>
      </c>
      <c r="G722" s="28" t="str">
        <f aca="false">IF(A722="","",IF(AND(C722&lt;&gt;"No encontrado",F722&lt;&gt;"Inactivo"),C722&amp;" → "&amp;F722,"Sin transición"))</f>
        <v/>
      </c>
      <c r="H722" s="26" t="str">
        <f aca="false">IF(A722="","",IF(D722="GCIA LINEA SERVICIO DIGITALIDAD Y VENTAS","Chats",IF(OR(D722="GERENCIA INBOUND LÍNEAS SERVICIO Y VENTA",D722="GERENCIA INBOUND LINEAS ESPECIALIZADAS"),"Llamadas","Otro")))</f>
        <v/>
      </c>
      <c r="I722" s="26" t="str">
        <f aca="false">IF(A722="","",IF(C722="No encontrado","No","Sí"))</f>
        <v/>
      </c>
      <c r="J722" s="26" t="str">
        <f aca="false">IF(A722="","",IF(F722="Inactivo","No","Sí"))</f>
        <v/>
      </c>
      <c r="K722" s="26" t="str">
        <f aca="false">IF(A722="","",IF(AND(I722="Sí",J722="Sí"),"Sí","No"))</f>
        <v/>
      </c>
    </row>
    <row r="723" customFormat="false" ht="15" hidden="false" customHeight="false" outlineLevel="0" collapsed="false">
      <c r="A723" s="22"/>
      <c r="B723" s="22"/>
      <c r="C723" s="23" t="str">
        <f aca="false">IF(A723="","",IFERROR(buscarx(A723&amp;B723,DATA!$E$3:$E$10000&amp;DATA!$B$3:$B$10000,DATA!$M$3:$M$10000),"No encontrado"))</f>
        <v/>
      </c>
      <c r="D723" s="24" t="str">
        <f aca="false">IF(A723="","",IFERROR(buscarx(A723&amp;B723,DATA!$E$3:$E$10000&amp;DATA!$B$3:$B$10000,DATA!$W$3:$W$10000),"No encontrado"))</f>
        <v/>
      </c>
      <c r="E723" s="22"/>
      <c r="F723" s="23" t="str">
        <f aca="false">IF(A723="","",IFERROR(buscarx(A723&amp;E723,DATA!$E$3:$E$10000&amp;DATA!$B$3:$B$10000,DATA!$M$3:$M$10000),"Inactivo"))</f>
        <v/>
      </c>
      <c r="G723" s="25" t="str">
        <f aca="false">IF(A723="","",IF(AND(C723&lt;&gt;"No encontrado",F723&lt;&gt;"Inactivo"),C723&amp;" → "&amp;F723,"Sin transición"))</f>
        <v/>
      </c>
      <c r="H723" s="23" t="str">
        <f aca="false">IF(A723="","",IF(D723="GCIA LINEA SERVICIO DIGITALIDAD Y VENTAS","Chats",IF(OR(D723="GERENCIA INBOUND LÍNEAS SERVICIO Y VENTA",D723="GERENCIA INBOUND LINEAS ESPECIALIZADAS"),"Llamadas","Otro")))</f>
        <v/>
      </c>
      <c r="I723" s="23" t="str">
        <f aca="false">IF(A723="","",IF(C723="No encontrado","No","Sí"))</f>
        <v/>
      </c>
      <c r="J723" s="23" t="str">
        <f aca="false">IF(A723="","",IF(F723="Inactivo","No","Sí"))</f>
        <v/>
      </c>
      <c r="K723" s="23" t="str">
        <f aca="false">IF(A723="","",IF(AND(I723="Sí",J723="Sí"),"Sí","No"))</f>
        <v/>
      </c>
    </row>
    <row r="724" customFormat="false" ht="15" hidden="false" customHeight="false" outlineLevel="0" collapsed="false">
      <c r="A724" s="22"/>
      <c r="B724" s="22"/>
      <c r="C724" s="26" t="str">
        <f aca="false">IF(A724="","",IFERROR(buscarx(A724&amp;B724,DATA!$E$3:$E$10000&amp;DATA!$B$3:$B$10000,DATA!$M$3:$M$10000),"No encontrado"))</f>
        <v/>
      </c>
      <c r="D724" s="27" t="str">
        <f aca="false">IF(A724="","",IFERROR(buscarx(A724&amp;B724,DATA!$E$3:$E$10000&amp;DATA!$B$3:$B$10000,DATA!$W$3:$W$10000),"No encontrado"))</f>
        <v/>
      </c>
      <c r="E724" s="22"/>
      <c r="F724" s="26" t="str">
        <f aca="false">IF(A724="","",IFERROR(buscarx(A724&amp;E724,DATA!$E$3:$E$10000&amp;DATA!$B$3:$B$10000,DATA!$M$3:$M$10000),"Inactivo"))</f>
        <v/>
      </c>
      <c r="G724" s="28" t="str">
        <f aca="false">IF(A724="","",IF(AND(C724&lt;&gt;"No encontrado",F724&lt;&gt;"Inactivo"),C724&amp;" → "&amp;F724,"Sin transición"))</f>
        <v/>
      </c>
      <c r="H724" s="26" t="str">
        <f aca="false">IF(A724="","",IF(D724="GCIA LINEA SERVICIO DIGITALIDAD Y VENTAS","Chats",IF(OR(D724="GERENCIA INBOUND LÍNEAS SERVICIO Y VENTA",D724="GERENCIA INBOUND LINEAS ESPECIALIZADAS"),"Llamadas","Otro")))</f>
        <v/>
      </c>
      <c r="I724" s="26" t="str">
        <f aca="false">IF(A724="","",IF(C724="No encontrado","No","Sí"))</f>
        <v/>
      </c>
      <c r="J724" s="26" t="str">
        <f aca="false">IF(A724="","",IF(F724="Inactivo","No","Sí"))</f>
        <v/>
      </c>
      <c r="K724" s="26" t="str">
        <f aca="false">IF(A724="","",IF(AND(I724="Sí",J724="Sí"),"Sí","No"))</f>
        <v/>
      </c>
    </row>
    <row r="725" customFormat="false" ht="15" hidden="false" customHeight="false" outlineLevel="0" collapsed="false">
      <c r="A725" s="22"/>
      <c r="B725" s="22"/>
      <c r="C725" s="23" t="str">
        <f aca="false">IF(A725="","",IFERROR(buscarx(A725&amp;B725,DATA!$E$3:$E$10000&amp;DATA!$B$3:$B$10000,DATA!$M$3:$M$10000),"No encontrado"))</f>
        <v/>
      </c>
      <c r="D725" s="24" t="str">
        <f aca="false">IF(A725="","",IFERROR(buscarx(A725&amp;B725,DATA!$E$3:$E$10000&amp;DATA!$B$3:$B$10000,DATA!$W$3:$W$10000),"No encontrado"))</f>
        <v/>
      </c>
      <c r="E725" s="22"/>
      <c r="F725" s="23" t="str">
        <f aca="false">IF(A725="","",IFERROR(buscarx(A725&amp;E725,DATA!$E$3:$E$10000&amp;DATA!$B$3:$B$10000,DATA!$M$3:$M$10000),"Inactivo"))</f>
        <v/>
      </c>
      <c r="G725" s="25" t="str">
        <f aca="false">IF(A725="","",IF(AND(C725&lt;&gt;"No encontrado",F725&lt;&gt;"Inactivo"),C725&amp;" → "&amp;F725,"Sin transición"))</f>
        <v/>
      </c>
      <c r="H725" s="23" t="str">
        <f aca="false">IF(A725="","",IF(D725="GCIA LINEA SERVICIO DIGITALIDAD Y VENTAS","Chats",IF(OR(D725="GERENCIA INBOUND LÍNEAS SERVICIO Y VENTA",D725="GERENCIA INBOUND LINEAS ESPECIALIZADAS"),"Llamadas","Otro")))</f>
        <v/>
      </c>
      <c r="I725" s="23" t="str">
        <f aca="false">IF(A725="","",IF(C725="No encontrado","No","Sí"))</f>
        <v/>
      </c>
      <c r="J725" s="23" t="str">
        <f aca="false">IF(A725="","",IF(F725="Inactivo","No","Sí"))</f>
        <v/>
      </c>
      <c r="K725" s="23" t="str">
        <f aca="false">IF(A725="","",IF(AND(I725="Sí",J725="Sí"),"Sí","No"))</f>
        <v/>
      </c>
    </row>
    <row r="726" customFormat="false" ht="15" hidden="false" customHeight="false" outlineLevel="0" collapsed="false">
      <c r="A726" s="22"/>
      <c r="B726" s="22"/>
      <c r="C726" s="26" t="str">
        <f aca="false">IF(A726="","",IFERROR(buscarx(A726&amp;B726,DATA!$E$3:$E$10000&amp;DATA!$B$3:$B$10000,DATA!$M$3:$M$10000),"No encontrado"))</f>
        <v/>
      </c>
      <c r="D726" s="27" t="str">
        <f aca="false">IF(A726="","",IFERROR(buscarx(A726&amp;B726,DATA!$E$3:$E$10000&amp;DATA!$B$3:$B$10000,DATA!$W$3:$W$10000),"No encontrado"))</f>
        <v/>
      </c>
      <c r="E726" s="22"/>
      <c r="F726" s="26" t="str">
        <f aca="false">IF(A726="","",IFERROR(buscarx(A726&amp;E726,DATA!$E$3:$E$10000&amp;DATA!$B$3:$B$10000,DATA!$M$3:$M$10000),"Inactivo"))</f>
        <v/>
      </c>
      <c r="G726" s="28" t="str">
        <f aca="false">IF(A726="","",IF(AND(C726&lt;&gt;"No encontrado",F726&lt;&gt;"Inactivo"),C726&amp;" → "&amp;F726,"Sin transición"))</f>
        <v/>
      </c>
      <c r="H726" s="26" t="str">
        <f aca="false">IF(A726="","",IF(D726="GCIA LINEA SERVICIO DIGITALIDAD Y VENTAS","Chats",IF(OR(D726="GERENCIA INBOUND LÍNEAS SERVICIO Y VENTA",D726="GERENCIA INBOUND LINEAS ESPECIALIZADAS"),"Llamadas","Otro")))</f>
        <v/>
      </c>
      <c r="I726" s="26" t="str">
        <f aca="false">IF(A726="","",IF(C726="No encontrado","No","Sí"))</f>
        <v/>
      </c>
      <c r="J726" s="26" t="str">
        <f aca="false">IF(A726="","",IF(F726="Inactivo","No","Sí"))</f>
        <v/>
      </c>
      <c r="K726" s="26" t="str">
        <f aca="false">IF(A726="","",IF(AND(I726="Sí",J726="Sí"),"Sí","No"))</f>
        <v/>
      </c>
    </row>
    <row r="727" customFormat="false" ht="15" hidden="false" customHeight="false" outlineLevel="0" collapsed="false">
      <c r="A727" s="22"/>
      <c r="B727" s="22"/>
      <c r="C727" s="23" t="str">
        <f aca="false">IF(A727="","",IFERROR(buscarx(A727&amp;B727,DATA!$E$3:$E$10000&amp;DATA!$B$3:$B$10000,DATA!$M$3:$M$10000),"No encontrado"))</f>
        <v/>
      </c>
      <c r="D727" s="24" t="str">
        <f aca="false">IF(A727="","",IFERROR(buscarx(A727&amp;B727,DATA!$E$3:$E$10000&amp;DATA!$B$3:$B$10000,DATA!$W$3:$W$10000),"No encontrado"))</f>
        <v/>
      </c>
      <c r="E727" s="22"/>
      <c r="F727" s="23" t="str">
        <f aca="false">IF(A727="","",IFERROR(buscarx(A727&amp;E727,DATA!$E$3:$E$10000&amp;DATA!$B$3:$B$10000,DATA!$M$3:$M$10000),"Inactivo"))</f>
        <v/>
      </c>
      <c r="G727" s="25" t="str">
        <f aca="false">IF(A727="","",IF(AND(C727&lt;&gt;"No encontrado",F727&lt;&gt;"Inactivo"),C727&amp;" → "&amp;F727,"Sin transición"))</f>
        <v/>
      </c>
      <c r="H727" s="23" t="str">
        <f aca="false">IF(A727="","",IF(D727="GCIA LINEA SERVICIO DIGITALIDAD Y VENTAS","Chats",IF(OR(D727="GERENCIA INBOUND LÍNEAS SERVICIO Y VENTA",D727="GERENCIA INBOUND LINEAS ESPECIALIZADAS"),"Llamadas","Otro")))</f>
        <v/>
      </c>
      <c r="I727" s="23" t="str">
        <f aca="false">IF(A727="","",IF(C727="No encontrado","No","Sí"))</f>
        <v/>
      </c>
      <c r="J727" s="23" t="str">
        <f aca="false">IF(A727="","",IF(F727="Inactivo","No","Sí"))</f>
        <v/>
      </c>
      <c r="K727" s="23" t="str">
        <f aca="false">IF(A727="","",IF(AND(I727="Sí",J727="Sí"),"Sí","No"))</f>
        <v/>
      </c>
    </row>
    <row r="728" customFormat="false" ht="15" hidden="false" customHeight="false" outlineLevel="0" collapsed="false">
      <c r="A728" s="22"/>
      <c r="B728" s="22"/>
      <c r="C728" s="26" t="str">
        <f aca="false">IF(A728="","",IFERROR(buscarx(A728&amp;B728,DATA!$E$3:$E$10000&amp;DATA!$B$3:$B$10000,DATA!$M$3:$M$10000),"No encontrado"))</f>
        <v/>
      </c>
      <c r="D728" s="27" t="str">
        <f aca="false">IF(A728="","",IFERROR(buscarx(A728&amp;B728,DATA!$E$3:$E$10000&amp;DATA!$B$3:$B$10000,DATA!$W$3:$W$10000),"No encontrado"))</f>
        <v/>
      </c>
      <c r="E728" s="22"/>
      <c r="F728" s="26" t="str">
        <f aca="false">IF(A728="","",IFERROR(buscarx(A728&amp;E728,DATA!$E$3:$E$10000&amp;DATA!$B$3:$B$10000,DATA!$M$3:$M$10000),"Inactivo"))</f>
        <v/>
      </c>
      <c r="G728" s="28" t="str">
        <f aca="false">IF(A728="","",IF(AND(C728&lt;&gt;"No encontrado",F728&lt;&gt;"Inactivo"),C728&amp;" → "&amp;F728,"Sin transición"))</f>
        <v/>
      </c>
      <c r="H728" s="26" t="str">
        <f aca="false">IF(A728="","",IF(D728="GCIA LINEA SERVICIO DIGITALIDAD Y VENTAS","Chats",IF(OR(D728="GERENCIA INBOUND LÍNEAS SERVICIO Y VENTA",D728="GERENCIA INBOUND LINEAS ESPECIALIZADAS"),"Llamadas","Otro")))</f>
        <v/>
      </c>
      <c r="I728" s="26" t="str">
        <f aca="false">IF(A728="","",IF(C728="No encontrado","No","Sí"))</f>
        <v/>
      </c>
      <c r="J728" s="26" t="str">
        <f aca="false">IF(A728="","",IF(F728="Inactivo","No","Sí"))</f>
        <v/>
      </c>
      <c r="K728" s="26" t="str">
        <f aca="false">IF(A728="","",IF(AND(I728="Sí",J728="Sí"),"Sí","No"))</f>
        <v/>
      </c>
    </row>
    <row r="729" customFormat="false" ht="15" hidden="false" customHeight="false" outlineLevel="0" collapsed="false">
      <c r="A729" s="22"/>
      <c r="B729" s="22"/>
      <c r="C729" s="23" t="str">
        <f aca="false">IF(A729="","",IFERROR(buscarx(A729&amp;B729,DATA!$E$3:$E$10000&amp;DATA!$B$3:$B$10000,DATA!$M$3:$M$10000),"No encontrado"))</f>
        <v/>
      </c>
      <c r="D729" s="24" t="str">
        <f aca="false">IF(A729="","",IFERROR(buscarx(A729&amp;B729,DATA!$E$3:$E$10000&amp;DATA!$B$3:$B$10000,DATA!$W$3:$W$10000),"No encontrado"))</f>
        <v/>
      </c>
      <c r="E729" s="22"/>
      <c r="F729" s="23" t="str">
        <f aca="false">IF(A729="","",IFERROR(buscarx(A729&amp;E729,DATA!$E$3:$E$10000&amp;DATA!$B$3:$B$10000,DATA!$M$3:$M$10000),"Inactivo"))</f>
        <v/>
      </c>
      <c r="G729" s="25" t="str">
        <f aca="false">IF(A729="","",IF(AND(C729&lt;&gt;"No encontrado",F729&lt;&gt;"Inactivo"),C729&amp;" → "&amp;F729,"Sin transición"))</f>
        <v/>
      </c>
      <c r="H729" s="23" t="str">
        <f aca="false">IF(A729="","",IF(D729="GCIA LINEA SERVICIO DIGITALIDAD Y VENTAS","Chats",IF(OR(D729="GERENCIA INBOUND LÍNEAS SERVICIO Y VENTA",D729="GERENCIA INBOUND LINEAS ESPECIALIZADAS"),"Llamadas","Otro")))</f>
        <v/>
      </c>
      <c r="I729" s="23" t="str">
        <f aca="false">IF(A729="","",IF(C729="No encontrado","No","Sí"))</f>
        <v/>
      </c>
      <c r="J729" s="23" t="str">
        <f aca="false">IF(A729="","",IF(F729="Inactivo","No","Sí"))</f>
        <v/>
      </c>
      <c r="K729" s="23" t="str">
        <f aca="false">IF(A729="","",IF(AND(I729="Sí",J729="Sí"),"Sí","No"))</f>
        <v/>
      </c>
    </row>
    <row r="730" customFormat="false" ht="15" hidden="false" customHeight="false" outlineLevel="0" collapsed="false">
      <c r="A730" s="22"/>
      <c r="B730" s="22"/>
      <c r="C730" s="26" t="str">
        <f aca="false">IF(A730="","",IFERROR(buscarx(A730&amp;B730,DATA!$E$3:$E$10000&amp;DATA!$B$3:$B$10000,DATA!$M$3:$M$10000),"No encontrado"))</f>
        <v/>
      </c>
      <c r="D730" s="27" t="str">
        <f aca="false">IF(A730="","",IFERROR(buscarx(A730&amp;B730,DATA!$E$3:$E$10000&amp;DATA!$B$3:$B$10000,DATA!$W$3:$W$10000),"No encontrado"))</f>
        <v/>
      </c>
      <c r="E730" s="22"/>
      <c r="F730" s="26" t="str">
        <f aca="false">IF(A730="","",IFERROR(buscarx(A730&amp;E730,DATA!$E$3:$E$10000&amp;DATA!$B$3:$B$10000,DATA!$M$3:$M$10000),"Inactivo"))</f>
        <v/>
      </c>
      <c r="G730" s="28" t="str">
        <f aca="false">IF(A730="","",IF(AND(C730&lt;&gt;"No encontrado",F730&lt;&gt;"Inactivo"),C730&amp;" → "&amp;F730,"Sin transición"))</f>
        <v/>
      </c>
      <c r="H730" s="26" t="str">
        <f aca="false">IF(A730="","",IF(D730="GCIA LINEA SERVICIO DIGITALIDAD Y VENTAS","Chats",IF(OR(D730="GERENCIA INBOUND LÍNEAS SERVICIO Y VENTA",D730="GERENCIA INBOUND LINEAS ESPECIALIZADAS"),"Llamadas","Otro")))</f>
        <v/>
      </c>
      <c r="I730" s="26" t="str">
        <f aca="false">IF(A730="","",IF(C730="No encontrado","No","Sí"))</f>
        <v/>
      </c>
      <c r="J730" s="26" t="str">
        <f aca="false">IF(A730="","",IF(F730="Inactivo","No","Sí"))</f>
        <v/>
      </c>
      <c r="K730" s="26" t="str">
        <f aca="false">IF(A730="","",IF(AND(I730="Sí",J730="Sí"),"Sí","No"))</f>
        <v/>
      </c>
    </row>
    <row r="731" customFormat="false" ht="15" hidden="false" customHeight="false" outlineLevel="0" collapsed="false">
      <c r="A731" s="22"/>
      <c r="B731" s="22"/>
      <c r="C731" s="23" t="str">
        <f aca="false">IF(A731="","",IFERROR(buscarx(A731&amp;B731,DATA!$E$3:$E$10000&amp;DATA!$B$3:$B$10000,DATA!$M$3:$M$10000),"No encontrado"))</f>
        <v/>
      </c>
      <c r="D731" s="24" t="str">
        <f aca="false">IF(A731="","",IFERROR(buscarx(A731&amp;B731,DATA!$E$3:$E$10000&amp;DATA!$B$3:$B$10000,DATA!$W$3:$W$10000),"No encontrado"))</f>
        <v/>
      </c>
      <c r="E731" s="22"/>
      <c r="F731" s="23" t="str">
        <f aca="false">IF(A731="","",IFERROR(buscarx(A731&amp;E731,DATA!$E$3:$E$10000&amp;DATA!$B$3:$B$10000,DATA!$M$3:$M$10000),"Inactivo"))</f>
        <v/>
      </c>
      <c r="G731" s="25" t="str">
        <f aca="false">IF(A731="","",IF(AND(C731&lt;&gt;"No encontrado",F731&lt;&gt;"Inactivo"),C731&amp;" → "&amp;F731,"Sin transición"))</f>
        <v/>
      </c>
      <c r="H731" s="23" t="str">
        <f aca="false">IF(A731="","",IF(D731="GCIA LINEA SERVICIO DIGITALIDAD Y VENTAS","Chats",IF(OR(D731="GERENCIA INBOUND LÍNEAS SERVICIO Y VENTA",D731="GERENCIA INBOUND LINEAS ESPECIALIZADAS"),"Llamadas","Otro")))</f>
        <v/>
      </c>
      <c r="I731" s="23" t="str">
        <f aca="false">IF(A731="","",IF(C731="No encontrado","No","Sí"))</f>
        <v/>
      </c>
      <c r="J731" s="23" t="str">
        <f aca="false">IF(A731="","",IF(F731="Inactivo","No","Sí"))</f>
        <v/>
      </c>
      <c r="K731" s="23" t="str">
        <f aca="false">IF(A731="","",IF(AND(I731="Sí",J731="Sí"),"Sí","No"))</f>
        <v/>
      </c>
    </row>
    <row r="732" customFormat="false" ht="15" hidden="false" customHeight="false" outlineLevel="0" collapsed="false">
      <c r="A732" s="22"/>
      <c r="B732" s="22"/>
      <c r="C732" s="26" t="str">
        <f aca="false">IF(A732="","",IFERROR(buscarx(A732&amp;B732,DATA!$E$3:$E$10000&amp;DATA!$B$3:$B$10000,DATA!$M$3:$M$10000),"No encontrado"))</f>
        <v/>
      </c>
      <c r="D732" s="27" t="str">
        <f aca="false">IF(A732="","",IFERROR(buscarx(A732&amp;B732,DATA!$E$3:$E$10000&amp;DATA!$B$3:$B$10000,DATA!$W$3:$W$10000),"No encontrado"))</f>
        <v/>
      </c>
      <c r="E732" s="22"/>
      <c r="F732" s="26" t="str">
        <f aca="false">IF(A732="","",IFERROR(buscarx(A732&amp;E732,DATA!$E$3:$E$10000&amp;DATA!$B$3:$B$10000,DATA!$M$3:$M$10000),"Inactivo"))</f>
        <v/>
      </c>
      <c r="G732" s="28" t="str">
        <f aca="false">IF(A732="","",IF(AND(C732&lt;&gt;"No encontrado",F732&lt;&gt;"Inactivo"),C732&amp;" → "&amp;F732,"Sin transición"))</f>
        <v/>
      </c>
      <c r="H732" s="26" t="str">
        <f aca="false">IF(A732="","",IF(D732="GCIA LINEA SERVICIO DIGITALIDAD Y VENTAS","Chats",IF(OR(D732="GERENCIA INBOUND LÍNEAS SERVICIO Y VENTA",D732="GERENCIA INBOUND LINEAS ESPECIALIZADAS"),"Llamadas","Otro")))</f>
        <v/>
      </c>
      <c r="I732" s="26" t="str">
        <f aca="false">IF(A732="","",IF(C732="No encontrado","No","Sí"))</f>
        <v/>
      </c>
      <c r="J732" s="26" t="str">
        <f aca="false">IF(A732="","",IF(F732="Inactivo","No","Sí"))</f>
        <v/>
      </c>
      <c r="K732" s="26" t="str">
        <f aca="false">IF(A732="","",IF(AND(I732="Sí",J732="Sí"),"Sí","No"))</f>
        <v/>
      </c>
    </row>
    <row r="733" customFormat="false" ht="15" hidden="false" customHeight="false" outlineLevel="0" collapsed="false">
      <c r="A733" s="22"/>
      <c r="B733" s="22"/>
      <c r="C733" s="23" t="str">
        <f aca="false">IF(A733="","",IFERROR(buscarx(A733&amp;B733,DATA!$E$3:$E$10000&amp;DATA!$B$3:$B$10000,DATA!$M$3:$M$10000),"No encontrado"))</f>
        <v/>
      </c>
      <c r="D733" s="24" t="str">
        <f aca="false">IF(A733="","",IFERROR(buscarx(A733&amp;B733,DATA!$E$3:$E$10000&amp;DATA!$B$3:$B$10000,DATA!$W$3:$W$10000),"No encontrado"))</f>
        <v/>
      </c>
      <c r="E733" s="22"/>
      <c r="F733" s="23" t="str">
        <f aca="false">IF(A733="","",IFERROR(buscarx(A733&amp;E733,DATA!$E$3:$E$10000&amp;DATA!$B$3:$B$10000,DATA!$M$3:$M$10000),"Inactivo"))</f>
        <v/>
      </c>
      <c r="G733" s="25" t="str">
        <f aca="false">IF(A733="","",IF(AND(C733&lt;&gt;"No encontrado",F733&lt;&gt;"Inactivo"),C733&amp;" → "&amp;F733,"Sin transición"))</f>
        <v/>
      </c>
      <c r="H733" s="23" t="str">
        <f aca="false">IF(A733="","",IF(D733="GCIA LINEA SERVICIO DIGITALIDAD Y VENTAS","Chats",IF(OR(D733="GERENCIA INBOUND LÍNEAS SERVICIO Y VENTA",D733="GERENCIA INBOUND LINEAS ESPECIALIZADAS"),"Llamadas","Otro")))</f>
        <v/>
      </c>
      <c r="I733" s="23" t="str">
        <f aca="false">IF(A733="","",IF(C733="No encontrado","No","Sí"))</f>
        <v/>
      </c>
      <c r="J733" s="23" t="str">
        <f aca="false">IF(A733="","",IF(F733="Inactivo","No","Sí"))</f>
        <v/>
      </c>
      <c r="K733" s="23" t="str">
        <f aca="false">IF(A733="","",IF(AND(I733="Sí",J733="Sí"),"Sí","No"))</f>
        <v/>
      </c>
    </row>
    <row r="734" customFormat="false" ht="15" hidden="false" customHeight="false" outlineLevel="0" collapsed="false">
      <c r="A734" s="22"/>
      <c r="B734" s="22"/>
      <c r="C734" s="26" t="str">
        <f aca="false">IF(A734="","",IFERROR(buscarx(A734&amp;B734,DATA!$E$3:$E$10000&amp;DATA!$B$3:$B$10000,DATA!$M$3:$M$10000),"No encontrado"))</f>
        <v/>
      </c>
      <c r="D734" s="27" t="str">
        <f aca="false">IF(A734="","",IFERROR(buscarx(A734&amp;B734,DATA!$E$3:$E$10000&amp;DATA!$B$3:$B$10000,DATA!$W$3:$W$10000),"No encontrado"))</f>
        <v/>
      </c>
      <c r="E734" s="22"/>
      <c r="F734" s="26" t="str">
        <f aca="false">IF(A734="","",IFERROR(buscarx(A734&amp;E734,DATA!$E$3:$E$10000&amp;DATA!$B$3:$B$10000,DATA!$M$3:$M$10000),"Inactivo"))</f>
        <v/>
      </c>
      <c r="G734" s="28" t="str">
        <f aca="false">IF(A734="","",IF(AND(C734&lt;&gt;"No encontrado",F734&lt;&gt;"Inactivo"),C734&amp;" → "&amp;F734,"Sin transición"))</f>
        <v/>
      </c>
      <c r="H734" s="26" t="str">
        <f aca="false">IF(A734="","",IF(D734="GCIA LINEA SERVICIO DIGITALIDAD Y VENTAS","Chats",IF(OR(D734="GERENCIA INBOUND LÍNEAS SERVICIO Y VENTA",D734="GERENCIA INBOUND LINEAS ESPECIALIZADAS"),"Llamadas","Otro")))</f>
        <v/>
      </c>
      <c r="I734" s="26" t="str">
        <f aca="false">IF(A734="","",IF(C734="No encontrado","No","Sí"))</f>
        <v/>
      </c>
      <c r="J734" s="26" t="str">
        <f aca="false">IF(A734="","",IF(F734="Inactivo","No","Sí"))</f>
        <v/>
      </c>
      <c r="K734" s="26" t="str">
        <f aca="false">IF(A734="","",IF(AND(I734="Sí",J734="Sí"),"Sí","No"))</f>
        <v/>
      </c>
    </row>
    <row r="735" customFormat="false" ht="15" hidden="false" customHeight="false" outlineLevel="0" collapsed="false">
      <c r="A735" s="22"/>
      <c r="B735" s="22"/>
      <c r="C735" s="23" t="str">
        <f aca="false">IF(A735="","",IFERROR(buscarx(A735&amp;B735,DATA!$E$3:$E$10000&amp;DATA!$B$3:$B$10000,DATA!$M$3:$M$10000),"No encontrado"))</f>
        <v/>
      </c>
      <c r="D735" s="24" t="str">
        <f aca="false">IF(A735="","",IFERROR(buscarx(A735&amp;B735,DATA!$E$3:$E$10000&amp;DATA!$B$3:$B$10000,DATA!$W$3:$W$10000),"No encontrado"))</f>
        <v/>
      </c>
      <c r="E735" s="22"/>
      <c r="F735" s="23" t="str">
        <f aca="false">IF(A735="","",IFERROR(buscarx(A735&amp;E735,DATA!$E$3:$E$10000&amp;DATA!$B$3:$B$10000,DATA!$M$3:$M$10000),"Inactivo"))</f>
        <v/>
      </c>
      <c r="G735" s="25" t="str">
        <f aca="false">IF(A735="","",IF(AND(C735&lt;&gt;"No encontrado",F735&lt;&gt;"Inactivo"),C735&amp;" → "&amp;F735,"Sin transición"))</f>
        <v/>
      </c>
      <c r="H735" s="23" t="str">
        <f aca="false">IF(A735="","",IF(D735="GCIA LINEA SERVICIO DIGITALIDAD Y VENTAS","Chats",IF(OR(D735="GERENCIA INBOUND LÍNEAS SERVICIO Y VENTA",D735="GERENCIA INBOUND LINEAS ESPECIALIZADAS"),"Llamadas","Otro")))</f>
        <v/>
      </c>
      <c r="I735" s="23" t="str">
        <f aca="false">IF(A735="","",IF(C735="No encontrado","No","Sí"))</f>
        <v/>
      </c>
      <c r="J735" s="23" t="str">
        <f aca="false">IF(A735="","",IF(F735="Inactivo","No","Sí"))</f>
        <v/>
      </c>
      <c r="K735" s="23" t="str">
        <f aca="false">IF(A735="","",IF(AND(I735="Sí",J735="Sí"),"Sí","No"))</f>
        <v/>
      </c>
    </row>
    <row r="736" customFormat="false" ht="15" hidden="false" customHeight="false" outlineLevel="0" collapsed="false">
      <c r="A736" s="22"/>
      <c r="B736" s="22"/>
      <c r="C736" s="26" t="str">
        <f aca="false">IF(A736="","",IFERROR(buscarx(A736&amp;B736,DATA!$E$3:$E$10000&amp;DATA!$B$3:$B$10000,DATA!$M$3:$M$10000),"No encontrado"))</f>
        <v/>
      </c>
      <c r="D736" s="27" t="str">
        <f aca="false">IF(A736="","",IFERROR(buscarx(A736&amp;B736,DATA!$E$3:$E$10000&amp;DATA!$B$3:$B$10000,DATA!$W$3:$W$10000),"No encontrado"))</f>
        <v/>
      </c>
      <c r="E736" s="22"/>
      <c r="F736" s="26" t="str">
        <f aca="false">IF(A736="","",IFERROR(buscarx(A736&amp;E736,DATA!$E$3:$E$10000&amp;DATA!$B$3:$B$10000,DATA!$M$3:$M$10000),"Inactivo"))</f>
        <v/>
      </c>
      <c r="G736" s="28" t="str">
        <f aca="false">IF(A736="","",IF(AND(C736&lt;&gt;"No encontrado",F736&lt;&gt;"Inactivo"),C736&amp;" → "&amp;F736,"Sin transición"))</f>
        <v/>
      </c>
      <c r="H736" s="26" t="str">
        <f aca="false">IF(A736="","",IF(D736="GCIA LINEA SERVICIO DIGITALIDAD Y VENTAS","Chats",IF(OR(D736="GERENCIA INBOUND LÍNEAS SERVICIO Y VENTA",D736="GERENCIA INBOUND LINEAS ESPECIALIZADAS"),"Llamadas","Otro")))</f>
        <v/>
      </c>
      <c r="I736" s="26" t="str">
        <f aca="false">IF(A736="","",IF(C736="No encontrado","No","Sí"))</f>
        <v/>
      </c>
      <c r="J736" s="26" t="str">
        <f aca="false">IF(A736="","",IF(F736="Inactivo","No","Sí"))</f>
        <v/>
      </c>
      <c r="K736" s="26" t="str">
        <f aca="false">IF(A736="","",IF(AND(I736="Sí",J736="Sí"),"Sí","No"))</f>
        <v/>
      </c>
    </row>
    <row r="737" customFormat="false" ht="15" hidden="false" customHeight="false" outlineLevel="0" collapsed="false">
      <c r="A737" s="22"/>
      <c r="B737" s="22"/>
      <c r="C737" s="23" t="str">
        <f aca="false">IF(A737="","",IFERROR(buscarx(A737&amp;B737,DATA!$E$3:$E$10000&amp;DATA!$B$3:$B$10000,DATA!$M$3:$M$10000),"No encontrado"))</f>
        <v/>
      </c>
      <c r="D737" s="24" t="str">
        <f aca="false">IF(A737="","",IFERROR(buscarx(A737&amp;B737,DATA!$E$3:$E$10000&amp;DATA!$B$3:$B$10000,DATA!$W$3:$W$10000),"No encontrado"))</f>
        <v/>
      </c>
      <c r="E737" s="22"/>
      <c r="F737" s="23" t="str">
        <f aca="false">IF(A737="","",IFERROR(buscarx(A737&amp;E737,DATA!$E$3:$E$10000&amp;DATA!$B$3:$B$10000,DATA!$M$3:$M$10000),"Inactivo"))</f>
        <v/>
      </c>
      <c r="G737" s="25" t="str">
        <f aca="false">IF(A737="","",IF(AND(C737&lt;&gt;"No encontrado",F737&lt;&gt;"Inactivo"),C737&amp;" → "&amp;F737,"Sin transición"))</f>
        <v/>
      </c>
      <c r="H737" s="23" t="str">
        <f aca="false">IF(A737="","",IF(D737="GCIA LINEA SERVICIO DIGITALIDAD Y VENTAS","Chats",IF(OR(D737="GERENCIA INBOUND LÍNEAS SERVICIO Y VENTA",D737="GERENCIA INBOUND LINEAS ESPECIALIZADAS"),"Llamadas","Otro")))</f>
        <v/>
      </c>
      <c r="I737" s="23" t="str">
        <f aca="false">IF(A737="","",IF(C737="No encontrado","No","Sí"))</f>
        <v/>
      </c>
      <c r="J737" s="23" t="str">
        <f aca="false">IF(A737="","",IF(F737="Inactivo","No","Sí"))</f>
        <v/>
      </c>
      <c r="K737" s="23" t="str">
        <f aca="false">IF(A737="","",IF(AND(I737="Sí",J737="Sí"),"Sí","No"))</f>
        <v/>
      </c>
    </row>
    <row r="738" customFormat="false" ht="15" hidden="false" customHeight="false" outlineLevel="0" collapsed="false">
      <c r="A738" s="22"/>
      <c r="B738" s="22"/>
      <c r="C738" s="26" t="str">
        <f aca="false">IF(A738="","",IFERROR(buscarx(A738&amp;B738,DATA!$E$3:$E$10000&amp;DATA!$B$3:$B$10000,DATA!$M$3:$M$10000),"No encontrado"))</f>
        <v/>
      </c>
      <c r="D738" s="27" t="str">
        <f aca="false">IF(A738="","",IFERROR(buscarx(A738&amp;B738,DATA!$E$3:$E$10000&amp;DATA!$B$3:$B$10000,DATA!$W$3:$W$10000),"No encontrado"))</f>
        <v/>
      </c>
      <c r="E738" s="22"/>
      <c r="F738" s="26" t="str">
        <f aca="false">IF(A738="","",IFERROR(buscarx(A738&amp;E738,DATA!$E$3:$E$10000&amp;DATA!$B$3:$B$10000,DATA!$M$3:$M$10000),"Inactivo"))</f>
        <v/>
      </c>
      <c r="G738" s="28" t="str">
        <f aca="false">IF(A738="","",IF(AND(C738&lt;&gt;"No encontrado",F738&lt;&gt;"Inactivo"),C738&amp;" → "&amp;F738,"Sin transición"))</f>
        <v/>
      </c>
      <c r="H738" s="26" t="str">
        <f aca="false">IF(A738="","",IF(D738="GCIA LINEA SERVICIO DIGITALIDAD Y VENTAS","Chats",IF(OR(D738="GERENCIA INBOUND LÍNEAS SERVICIO Y VENTA",D738="GERENCIA INBOUND LINEAS ESPECIALIZADAS"),"Llamadas","Otro")))</f>
        <v/>
      </c>
      <c r="I738" s="26" t="str">
        <f aca="false">IF(A738="","",IF(C738="No encontrado","No","Sí"))</f>
        <v/>
      </c>
      <c r="J738" s="26" t="str">
        <f aca="false">IF(A738="","",IF(F738="Inactivo","No","Sí"))</f>
        <v/>
      </c>
      <c r="K738" s="26" t="str">
        <f aca="false">IF(A738="","",IF(AND(I738="Sí",J738="Sí"),"Sí","No"))</f>
        <v/>
      </c>
    </row>
    <row r="739" customFormat="false" ht="15" hidden="false" customHeight="false" outlineLevel="0" collapsed="false">
      <c r="A739" s="22"/>
      <c r="B739" s="22"/>
      <c r="C739" s="23" t="str">
        <f aca="false">IF(A739="","",IFERROR(buscarx(A739&amp;B739,DATA!$E$3:$E$10000&amp;DATA!$B$3:$B$10000,DATA!$M$3:$M$10000),"No encontrado"))</f>
        <v/>
      </c>
      <c r="D739" s="24" t="str">
        <f aca="false">IF(A739="","",IFERROR(buscarx(A739&amp;B739,DATA!$E$3:$E$10000&amp;DATA!$B$3:$B$10000,DATA!$W$3:$W$10000),"No encontrado"))</f>
        <v/>
      </c>
      <c r="E739" s="22"/>
      <c r="F739" s="23" t="str">
        <f aca="false">IF(A739="","",IFERROR(buscarx(A739&amp;E739,DATA!$E$3:$E$10000&amp;DATA!$B$3:$B$10000,DATA!$M$3:$M$10000),"Inactivo"))</f>
        <v/>
      </c>
      <c r="G739" s="25" t="str">
        <f aca="false">IF(A739="","",IF(AND(C739&lt;&gt;"No encontrado",F739&lt;&gt;"Inactivo"),C739&amp;" → "&amp;F739,"Sin transición"))</f>
        <v/>
      </c>
      <c r="H739" s="23" t="str">
        <f aca="false">IF(A739="","",IF(D739="GCIA LINEA SERVICIO DIGITALIDAD Y VENTAS","Chats",IF(OR(D739="GERENCIA INBOUND LÍNEAS SERVICIO Y VENTA",D739="GERENCIA INBOUND LINEAS ESPECIALIZADAS"),"Llamadas","Otro")))</f>
        <v/>
      </c>
      <c r="I739" s="23" t="str">
        <f aca="false">IF(A739="","",IF(C739="No encontrado","No","Sí"))</f>
        <v/>
      </c>
      <c r="J739" s="23" t="str">
        <f aca="false">IF(A739="","",IF(F739="Inactivo","No","Sí"))</f>
        <v/>
      </c>
      <c r="K739" s="23" t="str">
        <f aca="false">IF(A739="","",IF(AND(I739="Sí",J739="Sí"),"Sí","No"))</f>
        <v/>
      </c>
    </row>
    <row r="740" customFormat="false" ht="15" hidden="false" customHeight="false" outlineLevel="0" collapsed="false">
      <c r="A740" s="22"/>
      <c r="B740" s="22"/>
      <c r="C740" s="26" t="str">
        <f aca="false">IF(A740="","",IFERROR(buscarx(A740&amp;B740,DATA!$E$3:$E$10000&amp;DATA!$B$3:$B$10000,DATA!$M$3:$M$10000),"No encontrado"))</f>
        <v/>
      </c>
      <c r="D740" s="27" t="str">
        <f aca="false">IF(A740="","",IFERROR(buscarx(A740&amp;B740,DATA!$E$3:$E$10000&amp;DATA!$B$3:$B$10000,DATA!$W$3:$W$10000),"No encontrado"))</f>
        <v/>
      </c>
      <c r="E740" s="22"/>
      <c r="F740" s="26" t="str">
        <f aca="false">IF(A740="","",IFERROR(buscarx(A740&amp;E740,DATA!$E$3:$E$10000&amp;DATA!$B$3:$B$10000,DATA!$M$3:$M$10000),"Inactivo"))</f>
        <v/>
      </c>
      <c r="G740" s="28" t="str">
        <f aca="false">IF(A740="","",IF(AND(C740&lt;&gt;"No encontrado",F740&lt;&gt;"Inactivo"),C740&amp;" → "&amp;F740,"Sin transición"))</f>
        <v/>
      </c>
      <c r="H740" s="26" t="str">
        <f aca="false">IF(A740="","",IF(D740="GCIA LINEA SERVICIO DIGITALIDAD Y VENTAS","Chats",IF(OR(D740="GERENCIA INBOUND LÍNEAS SERVICIO Y VENTA",D740="GERENCIA INBOUND LINEAS ESPECIALIZADAS"),"Llamadas","Otro")))</f>
        <v/>
      </c>
      <c r="I740" s="26" t="str">
        <f aca="false">IF(A740="","",IF(C740="No encontrado","No","Sí"))</f>
        <v/>
      </c>
      <c r="J740" s="26" t="str">
        <f aca="false">IF(A740="","",IF(F740="Inactivo","No","Sí"))</f>
        <v/>
      </c>
      <c r="K740" s="26" t="str">
        <f aca="false">IF(A740="","",IF(AND(I740="Sí",J740="Sí"),"Sí","No"))</f>
        <v/>
      </c>
    </row>
    <row r="741" customFormat="false" ht="15" hidden="false" customHeight="false" outlineLevel="0" collapsed="false">
      <c r="A741" s="22"/>
      <c r="B741" s="22"/>
      <c r="C741" s="23" t="str">
        <f aca="false">IF(A741="","",IFERROR(buscarx(A741&amp;B741,DATA!$E$3:$E$10000&amp;DATA!$B$3:$B$10000,DATA!$M$3:$M$10000),"No encontrado"))</f>
        <v/>
      </c>
      <c r="D741" s="24" t="str">
        <f aca="false">IF(A741="","",IFERROR(buscarx(A741&amp;B741,DATA!$E$3:$E$10000&amp;DATA!$B$3:$B$10000,DATA!$W$3:$W$10000),"No encontrado"))</f>
        <v/>
      </c>
      <c r="E741" s="22"/>
      <c r="F741" s="23" t="str">
        <f aca="false">IF(A741="","",IFERROR(buscarx(A741&amp;E741,DATA!$E$3:$E$10000&amp;DATA!$B$3:$B$10000,DATA!$M$3:$M$10000),"Inactivo"))</f>
        <v/>
      </c>
      <c r="G741" s="25" t="str">
        <f aca="false">IF(A741="","",IF(AND(C741&lt;&gt;"No encontrado",F741&lt;&gt;"Inactivo"),C741&amp;" → "&amp;F741,"Sin transición"))</f>
        <v/>
      </c>
      <c r="H741" s="23" t="str">
        <f aca="false">IF(A741="","",IF(D741="GCIA LINEA SERVICIO DIGITALIDAD Y VENTAS","Chats",IF(OR(D741="GERENCIA INBOUND LÍNEAS SERVICIO Y VENTA",D741="GERENCIA INBOUND LINEAS ESPECIALIZADAS"),"Llamadas","Otro")))</f>
        <v/>
      </c>
      <c r="I741" s="23" t="str">
        <f aca="false">IF(A741="","",IF(C741="No encontrado","No","Sí"))</f>
        <v/>
      </c>
      <c r="J741" s="23" t="str">
        <f aca="false">IF(A741="","",IF(F741="Inactivo","No","Sí"))</f>
        <v/>
      </c>
      <c r="K741" s="23" t="str">
        <f aca="false">IF(A741="","",IF(AND(I741="Sí",J741="Sí"),"Sí","No"))</f>
        <v/>
      </c>
    </row>
    <row r="742" customFormat="false" ht="15" hidden="false" customHeight="false" outlineLevel="0" collapsed="false">
      <c r="A742" s="22"/>
      <c r="B742" s="22"/>
      <c r="C742" s="26" t="str">
        <f aca="false">IF(A742="","",IFERROR(buscarx(A742&amp;B742,DATA!$E$3:$E$10000&amp;DATA!$B$3:$B$10000,DATA!$M$3:$M$10000),"No encontrado"))</f>
        <v/>
      </c>
      <c r="D742" s="27" t="str">
        <f aca="false">IF(A742="","",IFERROR(buscarx(A742&amp;B742,DATA!$E$3:$E$10000&amp;DATA!$B$3:$B$10000,DATA!$W$3:$W$10000),"No encontrado"))</f>
        <v/>
      </c>
      <c r="E742" s="22"/>
      <c r="F742" s="26" t="str">
        <f aca="false">IF(A742="","",IFERROR(buscarx(A742&amp;E742,DATA!$E$3:$E$10000&amp;DATA!$B$3:$B$10000,DATA!$M$3:$M$10000),"Inactivo"))</f>
        <v/>
      </c>
      <c r="G742" s="28" t="str">
        <f aca="false">IF(A742="","",IF(AND(C742&lt;&gt;"No encontrado",F742&lt;&gt;"Inactivo"),C742&amp;" → "&amp;F742,"Sin transición"))</f>
        <v/>
      </c>
      <c r="H742" s="26" t="str">
        <f aca="false">IF(A742="","",IF(D742="GCIA LINEA SERVICIO DIGITALIDAD Y VENTAS","Chats",IF(OR(D742="GERENCIA INBOUND LÍNEAS SERVICIO Y VENTA",D742="GERENCIA INBOUND LINEAS ESPECIALIZADAS"),"Llamadas","Otro")))</f>
        <v/>
      </c>
      <c r="I742" s="26" t="str">
        <f aca="false">IF(A742="","",IF(C742="No encontrado","No","Sí"))</f>
        <v/>
      </c>
      <c r="J742" s="26" t="str">
        <f aca="false">IF(A742="","",IF(F742="Inactivo","No","Sí"))</f>
        <v/>
      </c>
      <c r="K742" s="26" t="str">
        <f aca="false">IF(A742="","",IF(AND(I742="Sí",J742="Sí"),"Sí","No"))</f>
        <v/>
      </c>
    </row>
    <row r="743" customFormat="false" ht="15" hidden="false" customHeight="false" outlineLevel="0" collapsed="false">
      <c r="A743" s="22"/>
      <c r="B743" s="22"/>
      <c r="C743" s="23" t="str">
        <f aca="false">IF(A743="","",IFERROR(buscarx(A743&amp;B743,DATA!$E$3:$E$10000&amp;DATA!$B$3:$B$10000,DATA!$M$3:$M$10000),"No encontrado"))</f>
        <v/>
      </c>
      <c r="D743" s="24" t="str">
        <f aca="false">IF(A743="","",IFERROR(buscarx(A743&amp;B743,DATA!$E$3:$E$10000&amp;DATA!$B$3:$B$10000,DATA!$W$3:$W$10000),"No encontrado"))</f>
        <v/>
      </c>
      <c r="E743" s="22"/>
      <c r="F743" s="23" t="str">
        <f aca="false">IF(A743="","",IFERROR(buscarx(A743&amp;E743,DATA!$E$3:$E$10000&amp;DATA!$B$3:$B$10000,DATA!$M$3:$M$10000),"Inactivo"))</f>
        <v/>
      </c>
      <c r="G743" s="25" t="str">
        <f aca="false">IF(A743="","",IF(AND(C743&lt;&gt;"No encontrado",F743&lt;&gt;"Inactivo"),C743&amp;" → "&amp;F743,"Sin transición"))</f>
        <v/>
      </c>
      <c r="H743" s="23" t="str">
        <f aca="false">IF(A743="","",IF(D743="GCIA LINEA SERVICIO DIGITALIDAD Y VENTAS","Chats",IF(OR(D743="GERENCIA INBOUND LÍNEAS SERVICIO Y VENTA",D743="GERENCIA INBOUND LINEAS ESPECIALIZADAS"),"Llamadas","Otro")))</f>
        <v/>
      </c>
      <c r="I743" s="23" t="str">
        <f aca="false">IF(A743="","",IF(C743="No encontrado","No","Sí"))</f>
        <v/>
      </c>
      <c r="J743" s="23" t="str">
        <f aca="false">IF(A743="","",IF(F743="Inactivo","No","Sí"))</f>
        <v/>
      </c>
      <c r="K743" s="23" t="str">
        <f aca="false">IF(A743="","",IF(AND(I743="Sí",J743="Sí"),"Sí","No"))</f>
        <v/>
      </c>
    </row>
    <row r="744" customFormat="false" ht="15" hidden="false" customHeight="false" outlineLevel="0" collapsed="false">
      <c r="A744" s="22"/>
      <c r="B744" s="22"/>
      <c r="C744" s="26" t="str">
        <f aca="false">IF(A744="","",IFERROR(buscarx(A744&amp;B744,DATA!$E$3:$E$10000&amp;DATA!$B$3:$B$10000,DATA!$M$3:$M$10000),"No encontrado"))</f>
        <v/>
      </c>
      <c r="D744" s="27" t="str">
        <f aca="false">IF(A744="","",IFERROR(buscarx(A744&amp;B744,DATA!$E$3:$E$10000&amp;DATA!$B$3:$B$10000,DATA!$W$3:$W$10000),"No encontrado"))</f>
        <v/>
      </c>
      <c r="E744" s="22"/>
      <c r="F744" s="26" t="str">
        <f aca="false">IF(A744="","",IFERROR(buscarx(A744&amp;E744,DATA!$E$3:$E$10000&amp;DATA!$B$3:$B$10000,DATA!$M$3:$M$10000),"Inactivo"))</f>
        <v/>
      </c>
      <c r="G744" s="28" t="str">
        <f aca="false">IF(A744="","",IF(AND(C744&lt;&gt;"No encontrado",F744&lt;&gt;"Inactivo"),C744&amp;" → "&amp;F744,"Sin transición"))</f>
        <v/>
      </c>
      <c r="H744" s="26" t="str">
        <f aca="false">IF(A744="","",IF(D744="GCIA LINEA SERVICIO DIGITALIDAD Y VENTAS","Chats",IF(OR(D744="GERENCIA INBOUND LÍNEAS SERVICIO Y VENTA",D744="GERENCIA INBOUND LINEAS ESPECIALIZADAS"),"Llamadas","Otro")))</f>
        <v/>
      </c>
      <c r="I744" s="26" t="str">
        <f aca="false">IF(A744="","",IF(C744="No encontrado","No","Sí"))</f>
        <v/>
      </c>
      <c r="J744" s="26" t="str">
        <f aca="false">IF(A744="","",IF(F744="Inactivo","No","Sí"))</f>
        <v/>
      </c>
      <c r="K744" s="26" t="str">
        <f aca="false">IF(A744="","",IF(AND(I744="Sí",J744="Sí"),"Sí","No"))</f>
        <v/>
      </c>
    </row>
    <row r="745" customFormat="false" ht="15" hidden="false" customHeight="false" outlineLevel="0" collapsed="false">
      <c r="A745" s="22"/>
      <c r="B745" s="22"/>
      <c r="C745" s="23" t="str">
        <f aca="false">IF(A745="","",IFERROR(buscarx(A745&amp;B745,DATA!$E$3:$E$10000&amp;DATA!$B$3:$B$10000,DATA!$M$3:$M$10000),"No encontrado"))</f>
        <v/>
      </c>
      <c r="D745" s="24" t="str">
        <f aca="false">IF(A745="","",IFERROR(buscarx(A745&amp;B745,DATA!$E$3:$E$10000&amp;DATA!$B$3:$B$10000,DATA!$W$3:$W$10000),"No encontrado"))</f>
        <v/>
      </c>
      <c r="E745" s="22"/>
      <c r="F745" s="23" t="str">
        <f aca="false">IF(A745="","",IFERROR(buscarx(A745&amp;E745,DATA!$E$3:$E$10000&amp;DATA!$B$3:$B$10000,DATA!$M$3:$M$10000),"Inactivo"))</f>
        <v/>
      </c>
      <c r="G745" s="25" t="str">
        <f aca="false">IF(A745="","",IF(AND(C745&lt;&gt;"No encontrado",F745&lt;&gt;"Inactivo"),C745&amp;" → "&amp;F745,"Sin transición"))</f>
        <v/>
      </c>
      <c r="H745" s="23" t="str">
        <f aca="false">IF(A745="","",IF(D745="GCIA LINEA SERVICIO DIGITALIDAD Y VENTAS","Chats",IF(OR(D745="GERENCIA INBOUND LÍNEAS SERVICIO Y VENTA",D745="GERENCIA INBOUND LINEAS ESPECIALIZADAS"),"Llamadas","Otro")))</f>
        <v/>
      </c>
      <c r="I745" s="23" t="str">
        <f aca="false">IF(A745="","",IF(C745="No encontrado","No","Sí"))</f>
        <v/>
      </c>
      <c r="J745" s="23" t="str">
        <f aca="false">IF(A745="","",IF(F745="Inactivo","No","Sí"))</f>
        <v/>
      </c>
      <c r="K745" s="23" t="str">
        <f aca="false">IF(A745="","",IF(AND(I745="Sí",J745="Sí"),"Sí","No"))</f>
        <v/>
      </c>
    </row>
    <row r="746" customFormat="false" ht="15" hidden="false" customHeight="false" outlineLevel="0" collapsed="false">
      <c r="A746" s="22"/>
      <c r="B746" s="22"/>
      <c r="C746" s="26" t="str">
        <f aca="false">IF(A746="","",IFERROR(buscarx(A746&amp;B746,DATA!$E$3:$E$10000&amp;DATA!$B$3:$B$10000,DATA!$M$3:$M$10000),"No encontrado"))</f>
        <v/>
      </c>
      <c r="D746" s="27" t="str">
        <f aca="false">IF(A746="","",IFERROR(buscarx(A746&amp;B746,DATA!$E$3:$E$10000&amp;DATA!$B$3:$B$10000,DATA!$W$3:$W$10000),"No encontrado"))</f>
        <v/>
      </c>
      <c r="E746" s="22"/>
      <c r="F746" s="26" t="str">
        <f aca="false">IF(A746="","",IFERROR(buscarx(A746&amp;E746,DATA!$E$3:$E$10000&amp;DATA!$B$3:$B$10000,DATA!$M$3:$M$10000),"Inactivo"))</f>
        <v/>
      </c>
      <c r="G746" s="28" t="str">
        <f aca="false">IF(A746="","",IF(AND(C746&lt;&gt;"No encontrado",F746&lt;&gt;"Inactivo"),C746&amp;" → "&amp;F746,"Sin transición"))</f>
        <v/>
      </c>
      <c r="H746" s="26" t="str">
        <f aca="false">IF(A746="","",IF(D746="GCIA LINEA SERVICIO DIGITALIDAD Y VENTAS","Chats",IF(OR(D746="GERENCIA INBOUND LÍNEAS SERVICIO Y VENTA",D746="GERENCIA INBOUND LINEAS ESPECIALIZADAS"),"Llamadas","Otro")))</f>
        <v/>
      </c>
      <c r="I746" s="26" t="str">
        <f aca="false">IF(A746="","",IF(C746="No encontrado","No","Sí"))</f>
        <v/>
      </c>
      <c r="J746" s="26" t="str">
        <f aca="false">IF(A746="","",IF(F746="Inactivo","No","Sí"))</f>
        <v/>
      </c>
      <c r="K746" s="26" t="str">
        <f aca="false">IF(A746="","",IF(AND(I746="Sí",J746="Sí"),"Sí","No"))</f>
        <v/>
      </c>
    </row>
    <row r="747" customFormat="false" ht="15" hidden="false" customHeight="false" outlineLevel="0" collapsed="false">
      <c r="A747" s="22"/>
      <c r="B747" s="22"/>
      <c r="C747" s="23" t="str">
        <f aca="false">IF(A747="","",IFERROR(buscarx(A747&amp;B747,DATA!$E$3:$E$10000&amp;DATA!$B$3:$B$10000,DATA!$M$3:$M$10000),"No encontrado"))</f>
        <v/>
      </c>
      <c r="D747" s="24" t="str">
        <f aca="false">IF(A747="","",IFERROR(buscarx(A747&amp;B747,DATA!$E$3:$E$10000&amp;DATA!$B$3:$B$10000,DATA!$W$3:$W$10000),"No encontrado"))</f>
        <v/>
      </c>
      <c r="E747" s="22"/>
      <c r="F747" s="23" t="str">
        <f aca="false">IF(A747="","",IFERROR(buscarx(A747&amp;E747,DATA!$E$3:$E$10000&amp;DATA!$B$3:$B$10000,DATA!$M$3:$M$10000),"Inactivo"))</f>
        <v/>
      </c>
      <c r="G747" s="25" t="str">
        <f aca="false">IF(A747="","",IF(AND(C747&lt;&gt;"No encontrado",F747&lt;&gt;"Inactivo"),C747&amp;" → "&amp;F747,"Sin transición"))</f>
        <v/>
      </c>
      <c r="H747" s="23" t="str">
        <f aca="false">IF(A747="","",IF(D747="GCIA LINEA SERVICIO DIGITALIDAD Y VENTAS","Chats",IF(OR(D747="GERENCIA INBOUND LÍNEAS SERVICIO Y VENTA",D747="GERENCIA INBOUND LINEAS ESPECIALIZADAS"),"Llamadas","Otro")))</f>
        <v/>
      </c>
      <c r="I747" s="23" t="str">
        <f aca="false">IF(A747="","",IF(C747="No encontrado","No","Sí"))</f>
        <v/>
      </c>
      <c r="J747" s="23" t="str">
        <f aca="false">IF(A747="","",IF(F747="Inactivo","No","Sí"))</f>
        <v/>
      </c>
      <c r="K747" s="23" t="str">
        <f aca="false">IF(A747="","",IF(AND(I747="Sí",J747="Sí"),"Sí","No"))</f>
        <v/>
      </c>
    </row>
    <row r="748" customFormat="false" ht="15" hidden="false" customHeight="false" outlineLevel="0" collapsed="false">
      <c r="A748" s="22"/>
      <c r="B748" s="22"/>
      <c r="C748" s="26" t="str">
        <f aca="false">IF(A748="","",IFERROR(buscarx(A748&amp;B748,DATA!$E$3:$E$10000&amp;DATA!$B$3:$B$10000,DATA!$M$3:$M$10000),"No encontrado"))</f>
        <v/>
      </c>
      <c r="D748" s="27" t="str">
        <f aca="false">IF(A748="","",IFERROR(buscarx(A748&amp;B748,DATA!$E$3:$E$10000&amp;DATA!$B$3:$B$10000,DATA!$W$3:$W$10000),"No encontrado"))</f>
        <v/>
      </c>
      <c r="E748" s="22"/>
      <c r="F748" s="26" t="str">
        <f aca="false">IF(A748="","",IFERROR(buscarx(A748&amp;E748,DATA!$E$3:$E$10000&amp;DATA!$B$3:$B$10000,DATA!$M$3:$M$10000),"Inactivo"))</f>
        <v/>
      </c>
      <c r="G748" s="28" t="str">
        <f aca="false">IF(A748="","",IF(AND(C748&lt;&gt;"No encontrado",F748&lt;&gt;"Inactivo"),C748&amp;" → "&amp;F748,"Sin transición"))</f>
        <v/>
      </c>
      <c r="H748" s="26" t="str">
        <f aca="false">IF(A748="","",IF(D748="GCIA LINEA SERVICIO DIGITALIDAD Y VENTAS","Chats",IF(OR(D748="GERENCIA INBOUND LÍNEAS SERVICIO Y VENTA",D748="GERENCIA INBOUND LINEAS ESPECIALIZADAS"),"Llamadas","Otro")))</f>
        <v/>
      </c>
      <c r="I748" s="26" t="str">
        <f aca="false">IF(A748="","",IF(C748="No encontrado","No","Sí"))</f>
        <v/>
      </c>
      <c r="J748" s="26" t="str">
        <f aca="false">IF(A748="","",IF(F748="Inactivo","No","Sí"))</f>
        <v/>
      </c>
      <c r="K748" s="26" t="str">
        <f aca="false">IF(A748="","",IF(AND(I748="Sí",J748="Sí"),"Sí","No"))</f>
        <v/>
      </c>
    </row>
    <row r="749" customFormat="false" ht="15" hidden="false" customHeight="false" outlineLevel="0" collapsed="false">
      <c r="A749" s="22"/>
      <c r="B749" s="22"/>
      <c r="C749" s="23" t="str">
        <f aca="false">IF(A749="","",IFERROR(buscarx(A749&amp;B749,DATA!$E$3:$E$10000&amp;DATA!$B$3:$B$10000,DATA!$M$3:$M$10000),"No encontrado"))</f>
        <v/>
      </c>
      <c r="D749" s="24" t="str">
        <f aca="false">IF(A749="","",IFERROR(buscarx(A749&amp;B749,DATA!$E$3:$E$10000&amp;DATA!$B$3:$B$10000,DATA!$W$3:$W$10000),"No encontrado"))</f>
        <v/>
      </c>
      <c r="E749" s="22"/>
      <c r="F749" s="23" t="str">
        <f aca="false">IF(A749="","",IFERROR(buscarx(A749&amp;E749,DATA!$E$3:$E$10000&amp;DATA!$B$3:$B$10000,DATA!$M$3:$M$10000),"Inactivo"))</f>
        <v/>
      </c>
      <c r="G749" s="25" t="str">
        <f aca="false">IF(A749="","",IF(AND(C749&lt;&gt;"No encontrado",F749&lt;&gt;"Inactivo"),C749&amp;" → "&amp;F749,"Sin transición"))</f>
        <v/>
      </c>
      <c r="H749" s="23" t="str">
        <f aca="false">IF(A749="","",IF(D749="GCIA LINEA SERVICIO DIGITALIDAD Y VENTAS","Chats",IF(OR(D749="GERENCIA INBOUND LÍNEAS SERVICIO Y VENTA",D749="GERENCIA INBOUND LINEAS ESPECIALIZADAS"),"Llamadas","Otro")))</f>
        <v/>
      </c>
      <c r="I749" s="23" t="str">
        <f aca="false">IF(A749="","",IF(C749="No encontrado","No","Sí"))</f>
        <v/>
      </c>
      <c r="J749" s="23" t="str">
        <f aca="false">IF(A749="","",IF(F749="Inactivo","No","Sí"))</f>
        <v/>
      </c>
      <c r="K749" s="23" t="str">
        <f aca="false">IF(A749="","",IF(AND(I749="Sí",J749="Sí"),"Sí","No"))</f>
        <v/>
      </c>
    </row>
    <row r="750" customFormat="false" ht="15" hidden="false" customHeight="false" outlineLevel="0" collapsed="false">
      <c r="A750" s="22"/>
      <c r="B750" s="22"/>
      <c r="C750" s="26" t="str">
        <f aca="false">IF(A750="","",IFERROR(buscarx(A750&amp;B750,DATA!$E$3:$E$10000&amp;DATA!$B$3:$B$10000,DATA!$M$3:$M$10000),"No encontrado"))</f>
        <v/>
      </c>
      <c r="D750" s="27" t="str">
        <f aca="false">IF(A750="","",IFERROR(buscarx(A750&amp;B750,DATA!$E$3:$E$10000&amp;DATA!$B$3:$B$10000,DATA!$W$3:$W$10000),"No encontrado"))</f>
        <v/>
      </c>
      <c r="E750" s="22"/>
      <c r="F750" s="26" t="str">
        <f aca="false">IF(A750="","",IFERROR(buscarx(A750&amp;E750,DATA!$E$3:$E$10000&amp;DATA!$B$3:$B$10000,DATA!$M$3:$M$10000),"Inactivo"))</f>
        <v/>
      </c>
      <c r="G750" s="28" t="str">
        <f aca="false">IF(A750="","",IF(AND(C750&lt;&gt;"No encontrado",F750&lt;&gt;"Inactivo"),C750&amp;" → "&amp;F750,"Sin transición"))</f>
        <v/>
      </c>
      <c r="H750" s="26" t="str">
        <f aca="false">IF(A750="","",IF(D750="GCIA LINEA SERVICIO DIGITALIDAD Y VENTAS","Chats",IF(OR(D750="GERENCIA INBOUND LÍNEAS SERVICIO Y VENTA",D750="GERENCIA INBOUND LINEAS ESPECIALIZADAS"),"Llamadas","Otro")))</f>
        <v/>
      </c>
      <c r="I750" s="26" t="str">
        <f aca="false">IF(A750="","",IF(C750="No encontrado","No","Sí"))</f>
        <v/>
      </c>
      <c r="J750" s="26" t="str">
        <f aca="false">IF(A750="","",IF(F750="Inactivo","No","Sí"))</f>
        <v/>
      </c>
      <c r="K750" s="26" t="str">
        <f aca="false">IF(A750="","",IF(AND(I750="Sí",J750="Sí"),"Sí","No"))</f>
        <v/>
      </c>
    </row>
    <row r="751" customFormat="false" ht="15" hidden="false" customHeight="false" outlineLevel="0" collapsed="false">
      <c r="A751" s="22"/>
      <c r="B751" s="22"/>
      <c r="C751" s="23" t="str">
        <f aca="false">IF(A751="","",IFERROR(buscarx(A751&amp;B751,DATA!$E$3:$E$10000&amp;DATA!$B$3:$B$10000,DATA!$M$3:$M$10000),"No encontrado"))</f>
        <v/>
      </c>
      <c r="D751" s="24" t="str">
        <f aca="false">IF(A751="","",IFERROR(buscarx(A751&amp;B751,DATA!$E$3:$E$10000&amp;DATA!$B$3:$B$10000,DATA!$W$3:$W$10000),"No encontrado"))</f>
        <v/>
      </c>
      <c r="E751" s="22"/>
      <c r="F751" s="23" t="str">
        <f aca="false">IF(A751="","",IFERROR(buscarx(A751&amp;E751,DATA!$E$3:$E$10000&amp;DATA!$B$3:$B$10000,DATA!$M$3:$M$10000),"Inactivo"))</f>
        <v/>
      </c>
      <c r="G751" s="25" t="str">
        <f aca="false">IF(A751="","",IF(AND(C751&lt;&gt;"No encontrado",F751&lt;&gt;"Inactivo"),C751&amp;" → "&amp;F751,"Sin transición"))</f>
        <v/>
      </c>
      <c r="H751" s="23" t="str">
        <f aca="false">IF(A751="","",IF(D751="GCIA LINEA SERVICIO DIGITALIDAD Y VENTAS","Chats",IF(OR(D751="GERENCIA INBOUND LÍNEAS SERVICIO Y VENTA",D751="GERENCIA INBOUND LINEAS ESPECIALIZADAS"),"Llamadas","Otro")))</f>
        <v/>
      </c>
      <c r="I751" s="23" t="str">
        <f aca="false">IF(A751="","",IF(C751="No encontrado","No","Sí"))</f>
        <v/>
      </c>
      <c r="J751" s="23" t="str">
        <f aca="false">IF(A751="","",IF(F751="Inactivo","No","Sí"))</f>
        <v/>
      </c>
      <c r="K751" s="23" t="str">
        <f aca="false">IF(A751="","",IF(AND(I751="Sí",J751="Sí"),"Sí","No"))</f>
        <v/>
      </c>
    </row>
    <row r="752" customFormat="false" ht="15" hidden="false" customHeight="false" outlineLevel="0" collapsed="false">
      <c r="A752" s="22"/>
      <c r="B752" s="22"/>
      <c r="C752" s="26" t="str">
        <f aca="false">IF(A752="","",IFERROR(buscarx(A752&amp;B752,DATA!$E$3:$E$10000&amp;DATA!$B$3:$B$10000,DATA!$M$3:$M$10000),"No encontrado"))</f>
        <v/>
      </c>
      <c r="D752" s="27" t="str">
        <f aca="false">IF(A752="","",IFERROR(buscarx(A752&amp;B752,DATA!$E$3:$E$10000&amp;DATA!$B$3:$B$10000,DATA!$W$3:$W$10000),"No encontrado"))</f>
        <v/>
      </c>
      <c r="E752" s="22"/>
      <c r="F752" s="26" t="str">
        <f aca="false">IF(A752="","",IFERROR(buscarx(A752&amp;E752,DATA!$E$3:$E$10000&amp;DATA!$B$3:$B$10000,DATA!$M$3:$M$10000),"Inactivo"))</f>
        <v/>
      </c>
      <c r="G752" s="28" t="str">
        <f aca="false">IF(A752="","",IF(AND(C752&lt;&gt;"No encontrado",F752&lt;&gt;"Inactivo"),C752&amp;" → "&amp;F752,"Sin transición"))</f>
        <v/>
      </c>
      <c r="H752" s="26" t="str">
        <f aca="false">IF(A752="","",IF(D752="GCIA LINEA SERVICIO DIGITALIDAD Y VENTAS","Chats",IF(OR(D752="GERENCIA INBOUND LÍNEAS SERVICIO Y VENTA",D752="GERENCIA INBOUND LINEAS ESPECIALIZADAS"),"Llamadas","Otro")))</f>
        <v/>
      </c>
      <c r="I752" s="26" t="str">
        <f aca="false">IF(A752="","",IF(C752="No encontrado","No","Sí"))</f>
        <v/>
      </c>
      <c r="J752" s="26" t="str">
        <f aca="false">IF(A752="","",IF(F752="Inactivo","No","Sí"))</f>
        <v/>
      </c>
      <c r="K752" s="26" t="str">
        <f aca="false">IF(A752="","",IF(AND(I752="Sí",J752="Sí"),"Sí","No"))</f>
        <v/>
      </c>
    </row>
    <row r="753" customFormat="false" ht="15" hidden="false" customHeight="false" outlineLevel="0" collapsed="false">
      <c r="A753" s="22"/>
      <c r="B753" s="22"/>
      <c r="C753" s="23" t="str">
        <f aca="false">IF(A753="","",IFERROR(buscarx(A753&amp;B753,DATA!$E$3:$E$10000&amp;DATA!$B$3:$B$10000,DATA!$M$3:$M$10000),"No encontrado"))</f>
        <v/>
      </c>
      <c r="D753" s="24" t="str">
        <f aca="false">IF(A753="","",IFERROR(buscarx(A753&amp;B753,DATA!$E$3:$E$10000&amp;DATA!$B$3:$B$10000,DATA!$W$3:$W$10000),"No encontrado"))</f>
        <v/>
      </c>
      <c r="E753" s="22"/>
      <c r="F753" s="23" t="str">
        <f aca="false">IF(A753="","",IFERROR(buscarx(A753&amp;E753,DATA!$E$3:$E$10000&amp;DATA!$B$3:$B$10000,DATA!$M$3:$M$10000),"Inactivo"))</f>
        <v/>
      </c>
      <c r="G753" s="25" t="str">
        <f aca="false">IF(A753="","",IF(AND(C753&lt;&gt;"No encontrado",F753&lt;&gt;"Inactivo"),C753&amp;" → "&amp;F753,"Sin transición"))</f>
        <v/>
      </c>
      <c r="H753" s="23" t="str">
        <f aca="false">IF(A753="","",IF(D753="GCIA LINEA SERVICIO DIGITALIDAD Y VENTAS","Chats",IF(OR(D753="GERENCIA INBOUND LÍNEAS SERVICIO Y VENTA",D753="GERENCIA INBOUND LINEAS ESPECIALIZADAS"),"Llamadas","Otro")))</f>
        <v/>
      </c>
      <c r="I753" s="23" t="str">
        <f aca="false">IF(A753="","",IF(C753="No encontrado","No","Sí"))</f>
        <v/>
      </c>
      <c r="J753" s="23" t="str">
        <f aca="false">IF(A753="","",IF(F753="Inactivo","No","Sí"))</f>
        <v/>
      </c>
      <c r="K753" s="23" t="str">
        <f aca="false">IF(A753="","",IF(AND(I753="Sí",J753="Sí"),"Sí","No"))</f>
        <v/>
      </c>
    </row>
    <row r="754" customFormat="false" ht="15" hidden="false" customHeight="false" outlineLevel="0" collapsed="false">
      <c r="A754" s="22"/>
      <c r="B754" s="22"/>
      <c r="C754" s="26" t="str">
        <f aca="false">IF(A754="","",IFERROR(buscarx(A754&amp;B754,DATA!$E$3:$E$10000&amp;DATA!$B$3:$B$10000,DATA!$M$3:$M$10000),"No encontrado"))</f>
        <v/>
      </c>
      <c r="D754" s="27" t="str">
        <f aca="false">IF(A754="","",IFERROR(buscarx(A754&amp;B754,DATA!$E$3:$E$10000&amp;DATA!$B$3:$B$10000,DATA!$W$3:$W$10000),"No encontrado"))</f>
        <v/>
      </c>
      <c r="E754" s="22"/>
      <c r="F754" s="26" t="str">
        <f aca="false">IF(A754="","",IFERROR(buscarx(A754&amp;E754,DATA!$E$3:$E$10000&amp;DATA!$B$3:$B$10000,DATA!$M$3:$M$10000),"Inactivo"))</f>
        <v/>
      </c>
      <c r="G754" s="28" t="str">
        <f aca="false">IF(A754="","",IF(AND(C754&lt;&gt;"No encontrado",F754&lt;&gt;"Inactivo"),C754&amp;" → "&amp;F754,"Sin transición"))</f>
        <v/>
      </c>
      <c r="H754" s="26" t="str">
        <f aca="false">IF(A754="","",IF(D754="GCIA LINEA SERVICIO DIGITALIDAD Y VENTAS","Chats",IF(OR(D754="GERENCIA INBOUND LÍNEAS SERVICIO Y VENTA",D754="GERENCIA INBOUND LINEAS ESPECIALIZADAS"),"Llamadas","Otro")))</f>
        <v/>
      </c>
      <c r="I754" s="26" t="str">
        <f aca="false">IF(A754="","",IF(C754="No encontrado","No","Sí"))</f>
        <v/>
      </c>
      <c r="J754" s="26" t="str">
        <f aca="false">IF(A754="","",IF(F754="Inactivo","No","Sí"))</f>
        <v/>
      </c>
      <c r="K754" s="26" t="str">
        <f aca="false">IF(A754="","",IF(AND(I754="Sí",J754="Sí"),"Sí","No"))</f>
        <v/>
      </c>
    </row>
    <row r="755" customFormat="false" ht="15" hidden="false" customHeight="false" outlineLevel="0" collapsed="false">
      <c r="A755" s="22"/>
      <c r="B755" s="22"/>
      <c r="C755" s="23" t="str">
        <f aca="false">IF(A755="","",IFERROR(buscarx(A755&amp;B755,DATA!$E$3:$E$10000&amp;DATA!$B$3:$B$10000,DATA!$M$3:$M$10000),"No encontrado"))</f>
        <v/>
      </c>
      <c r="D755" s="24" t="str">
        <f aca="false">IF(A755="","",IFERROR(buscarx(A755&amp;B755,DATA!$E$3:$E$10000&amp;DATA!$B$3:$B$10000,DATA!$W$3:$W$10000),"No encontrado"))</f>
        <v/>
      </c>
      <c r="E755" s="22"/>
      <c r="F755" s="23" t="str">
        <f aca="false">IF(A755="","",IFERROR(buscarx(A755&amp;E755,DATA!$E$3:$E$10000&amp;DATA!$B$3:$B$10000,DATA!$M$3:$M$10000),"Inactivo"))</f>
        <v/>
      </c>
      <c r="G755" s="25" t="str">
        <f aca="false">IF(A755="","",IF(AND(C755&lt;&gt;"No encontrado",F755&lt;&gt;"Inactivo"),C755&amp;" → "&amp;F755,"Sin transición"))</f>
        <v/>
      </c>
      <c r="H755" s="23" t="str">
        <f aca="false">IF(A755="","",IF(D755="GCIA LINEA SERVICIO DIGITALIDAD Y VENTAS","Chats",IF(OR(D755="GERENCIA INBOUND LÍNEAS SERVICIO Y VENTA",D755="GERENCIA INBOUND LINEAS ESPECIALIZADAS"),"Llamadas","Otro")))</f>
        <v/>
      </c>
      <c r="I755" s="23" t="str">
        <f aca="false">IF(A755="","",IF(C755="No encontrado","No","Sí"))</f>
        <v/>
      </c>
      <c r="J755" s="23" t="str">
        <f aca="false">IF(A755="","",IF(F755="Inactivo","No","Sí"))</f>
        <v/>
      </c>
      <c r="K755" s="23" t="str">
        <f aca="false">IF(A755="","",IF(AND(I755="Sí",J755="Sí"),"Sí","No"))</f>
        <v/>
      </c>
    </row>
    <row r="756" customFormat="false" ht="15" hidden="false" customHeight="false" outlineLevel="0" collapsed="false">
      <c r="A756" s="22"/>
      <c r="B756" s="22"/>
      <c r="C756" s="26" t="str">
        <f aca="false">IF(A756="","",IFERROR(buscarx(A756&amp;B756,DATA!$E$3:$E$10000&amp;DATA!$B$3:$B$10000,DATA!$M$3:$M$10000),"No encontrado"))</f>
        <v/>
      </c>
      <c r="D756" s="27" t="str">
        <f aca="false">IF(A756="","",IFERROR(buscarx(A756&amp;B756,DATA!$E$3:$E$10000&amp;DATA!$B$3:$B$10000,DATA!$W$3:$W$10000),"No encontrado"))</f>
        <v/>
      </c>
      <c r="E756" s="22"/>
      <c r="F756" s="26" t="str">
        <f aca="false">IF(A756="","",IFERROR(buscarx(A756&amp;E756,DATA!$E$3:$E$10000&amp;DATA!$B$3:$B$10000,DATA!$M$3:$M$10000),"Inactivo"))</f>
        <v/>
      </c>
      <c r="G756" s="28" t="str">
        <f aca="false">IF(A756="","",IF(AND(C756&lt;&gt;"No encontrado",F756&lt;&gt;"Inactivo"),C756&amp;" → "&amp;F756,"Sin transición"))</f>
        <v/>
      </c>
      <c r="H756" s="26" t="str">
        <f aca="false">IF(A756="","",IF(D756="GCIA LINEA SERVICIO DIGITALIDAD Y VENTAS","Chats",IF(OR(D756="GERENCIA INBOUND LÍNEAS SERVICIO Y VENTA",D756="GERENCIA INBOUND LINEAS ESPECIALIZADAS"),"Llamadas","Otro")))</f>
        <v/>
      </c>
      <c r="I756" s="26" t="str">
        <f aca="false">IF(A756="","",IF(C756="No encontrado","No","Sí"))</f>
        <v/>
      </c>
      <c r="J756" s="26" t="str">
        <f aca="false">IF(A756="","",IF(F756="Inactivo","No","Sí"))</f>
        <v/>
      </c>
      <c r="K756" s="26" t="str">
        <f aca="false">IF(A756="","",IF(AND(I756="Sí",J756="Sí"),"Sí","No"))</f>
        <v/>
      </c>
    </row>
    <row r="757" customFormat="false" ht="15" hidden="false" customHeight="false" outlineLevel="0" collapsed="false">
      <c r="A757" s="22"/>
      <c r="B757" s="22"/>
      <c r="C757" s="23" t="str">
        <f aca="false">IF(A757="","",IFERROR(buscarx(A757&amp;B757,DATA!$E$3:$E$10000&amp;DATA!$B$3:$B$10000,DATA!$M$3:$M$10000),"No encontrado"))</f>
        <v/>
      </c>
      <c r="D757" s="24" t="str">
        <f aca="false">IF(A757="","",IFERROR(buscarx(A757&amp;B757,DATA!$E$3:$E$10000&amp;DATA!$B$3:$B$10000,DATA!$W$3:$W$10000),"No encontrado"))</f>
        <v/>
      </c>
      <c r="E757" s="22"/>
      <c r="F757" s="23" t="str">
        <f aca="false">IF(A757="","",IFERROR(buscarx(A757&amp;E757,DATA!$E$3:$E$10000&amp;DATA!$B$3:$B$10000,DATA!$M$3:$M$10000),"Inactivo"))</f>
        <v/>
      </c>
      <c r="G757" s="25" t="str">
        <f aca="false">IF(A757="","",IF(AND(C757&lt;&gt;"No encontrado",F757&lt;&gt;"Inactivo"),C757&amp;" → "&amp;F757,"Sin transición"))</f>
        <v/>
      </c>
      <c r="H757" s="23" t="str">
        <f aca="false">IF(A757="","",IF(D757="GCIA LINEA SERVICIO DIGITALIDAD Y VENTAS","Chats",IF(OR(D757="GERENCIA INBOUND LÍNEAS SERVICIO Y VENTA",D757="GERENCIA INBOUND LINEAS ESPECIALIZADAS"),"Llamadas","Otro")))</f>
        <v/>
      </c>
      <c r="I757" s="23" t="str">
        <f aca="false">IF(A757="","",IF(C757="No encontrado","No","Sí"))</f>
        <v/>
      </c>
      <c r="J757" s="23" t="str">
        <f aca="false">IF(A757="","",IF(F757="Inactivo","No","Sí"))</f>
        <v/>
      </c>
      <c r="K757" s="23" t="str">
        <f aca="false">IF(A757="","",IF(AND(I757="Sí",J757="Sí"),"Sí","No"))</f>
        <v/>
      </c>
    </row>
    <row r="758" customFormat="false" ht="15" hidden="false" customHeight="false" outlineLevel="0" collapsed="false">
      <c r="A758" s="22"/>
      <c r="B758" s="22"/>
      <c r="C758" s="26" t="str">
        <f aca="false">IF(A758="","",IFERROR(buscarx(A758&amp;B758,DATA!$E$3:$E$10000&amp;DATA!$B$3:$B$10000,DATA!$M$3:$M$10000),"No encontrado"))</f>
        <v/>
      </c>
      <c r="D758" s="27" t="str">
        <f aca="false">IF(A758="","",IFERROR(buscarx(A758&amp;B758,DATA!$E$3:$E$10000&amp;DATA!$B$3:$B$10000,DATA!$W$3:$W$10000),"No encontrado"))</f>
        <v/>
      </c>
      <c r="E758" s="22"/>
      <c r="F758" s="26" t="str">
        <f aca="false">IF(A758="","",IFERROR(buscarx(A758&amp;E758,DATA!$E$3:$E$10000&amp;DATA!$B$3:$B$10000,DATA!$M$3:$M$10000),"Inactivo"))</f>
        <v/>
      </c>
      <c r="G758" s="28" t="str">
        <f aca="false">IF(A758="","",IF(AND(C758&lt;&gt;"No encontrado",F758&lt;&gt;"Inactivo"),C758&amp;" → "&amp;F758,"Sin transición"))</f>
        <v/>
      </c>
      <c r="H758" s="26" t="str">
        <f aca="false">IF(A758="","",IF(D758="GCIA LINEA SERVICIO DIGITALIDAD Y VENTAS","Chats",IF(OR(D758="GERENCIA INBOUND LÍNEAS SERVICIO Y VENTA",D758="GERENCIA INBOUND LINEAS ESPECIALIZADAS"),"Llamadas","Otro")))</f>
        <v/>
      </c>
      <c r="I758" s="26" t="str">
        <f aca="false">IF(A758="","",IF(C758="No encontrado","No","Sí"))</f>
        <v/>
      </c>
      <c r="J758" s="26" t="str">
        <f aca="false">IF(A758="","",IF(F758="Inactivo","No","Sí"))</f>
        <v/>
      </c>
      <c r="K758" s="26" t="str">
        <f aca="false">IF(A758="","",IF(AND(I758="Sí",J758="Sí"),"Sí","No"))</f>
        <v/>
      </c>
    </row>
    <row r="759" customFormat="false" ht="15" hidden="false" customHeight="false" outlineLevel="0" collapsed="false">
      <c r="A759" s="22"/>
      <c r="B759" s="22"/>
      <c r="C759" s="23" t="str">
        <f aca="false">IF(A759="","",IFERROR(buscarx(A759&amp;B759,DATA!$E$3:$E$10000&amp;DATA!$B$3:$B$10000,DATA!$M$3:$M$10000),"No encontrado"))</f>
        <v/>
      </c>
      <c r="D759" s="24" t="str">
        <f aca="false">IF(A759="","",IFERROR(buscarx(A759&amp;B759,DATA!$E$3:$E$10000&amp;DATA!$B$3:$B$10000,DATA!$W$3:$W$10000),"No encontrado"))</f>
        <v/>
      </c>
      <c r="E759" s="22"/>
      <c r="F759" s="23" t="str">
        <f aca="false">IF(A759="","",IFERROR(buscarx(A759&amp;E759,DATA!$E$3:$E$10000&amp;DATA!$B$3:$B$10000,DATA!$M$3:$M$10000),"Inactivo"))</f>
        <v/>
      </c>
      <c r="G759" s="25" t="str">
        <f aca="false">IF(A759="","",IF(AND(C759&lt;&gt;"No encontrado",F759&lt;&gt;"Inactivo"),C759&amp;" → "&amp;F759,"Sin transición"))</f>
        <v/>
      </c>
      <c r="H759" s="23" t="str">
        <f aca="false">IF(A759="","",IF(D759="GCIA LINEA SERVICIO DIGITALIDAD Y VENTAS","Chats",IF(OR(D759="GERENCIA INBOUND LÍNEAS SERVICIO Y VENTA",D759="GERENCIA INBOUND LINEAS ESPECIALIZADAS"),"Llamadas","Otro")))</f>
        <v/>
      </c>
      <c r="I759" s="23" t="str">
        <f aca="false">IF(A759="","",IF(C759="No encontrado","No","Sí"))</f>
        <v/>
      </c>
      <c r="J759" s="23" t="str">
        <f aca="false">IF(A759="","",IF(F759="Inactivo","No","Sí"))</f>
        <v/>
      </c>
      <c r="K759" s="23" t="str">
        <f aca="false">IF(A759="","",IF(AND(I759="Sí",J759="Sí"),"Sí","No"))</f>
        <v/>
      </c>
    </row>
    <row r="760" customFormat="false" ht="15" hidden="false" customHeight="false" outlineLevel="0" collapsed="false">
      <c r="A760" s="22"/>
      <c r="B760" s="22"/>
      <c r="C760" s="26" t="str">
        <f aca="false">IF(A760="","",IFERROR(buscarx(A760&amp;B760,DATA!$E$3:$E$10000&amp;DATA!$B$3:$B$10000,DATA!$M$3:$M$10000),"No encontrado"))</f>
        <v/>
      </c>
      <c r="D760" s="27" t="str">
        <f aca="false">IF(A760="","",IFERROR(buscarx(A760&amp;B760,DATA!$E$3:$E$10000&amp;DATA!$B$3:$B$10000,DATA!$W$3:$W$10000),"No encontrado"))</f>
        <v/>
      </c>
      <c r="E760" s="22"/>
      <c r="F760" s="26" t="str">
        <f aca="false">IF(A760="","",IFERROR(buscarx(A760&amp;E760,DATA!$E$3:$E$10000&amp;DATA!$B$3:$B$10000,DATA!$M$3:$M$10000),"Inactivo"))</f>
        <v/>
      </c>
      <c r="G760" s="28" t="str">
        <f aca="false">IF(A760="","",IF(AND(C760&lt;&gt;"No encontrado",F760&lt;&gt;"Inactivo"),C760&amp;" → "&amp;F760,"Sin transición"))</f>
        <v/>
      </c>
      <c r="H760" s="26" t="str">
        <f aca="false">IF(A760="","",IF(D760="GCIA LINEA SERVICIO DIGITALIDAD Y VENTAS","Chats",IF(OR(D760="GERENCIA INBOUND LÍNEAS SERVICIO Y VENTA",D760="GERENCIA INBOUND LINEAS ESPECIALIZADAS"),"Llamadas","Otro")))</f>
        <v/>
      </c>
      <c r="I760" s="26" t="str">
        <f aca="false">IF(A760="","",IF(C760="No encontrado","No","Sí"))</f>
        <v/>
      </c>
      <c r="J760" s="26" t="str">
        <f aca="false">IF(A760="","",IF(F760="Inactivo","No","Sí"))</f>
        <v/>
      </c>
      <c r="K760" s="26" t="str">
        <f aca="false">IF(A760="","",IF(AND(I760="Sí",J760="Sí"),"Sí","No"))</f>
        <v/>
      </c>
    </row>
    <row r="761" customFormat="false" ht="15" hidden="false" customHeight="false" outlineLevel="0" collapsed="false">
      <c r="A761" s="22"/>
      <c r="B761" s="22"/>
      <c r="C761" s="23" t="str">
        <f aca="false">IF(A761="","",IFERROR(buscarx(A761&amp;B761,DATA!$E$3:$E$10000&amp;DATA!$B$3:$B$10000,DATA!$M$3:$M$10000),"No encontrado"))</f>
        <v/>
      </c>
      <c r="D761" s="24" t="str">
        <f aca="false">IF(A761="","",IFERROR(buscarx(A761&amp;B761,DATA!$E$3:$E$10000&amp;DATA!$B$3:$B$10000,DATA!$W$3:$W$10000),"No encontrado"))</f>
        <v/>
      </c>
      <c r="E761" s="22"/>
      <c r="F761" s="23" t="str">
        <f aca="false">IF(A761="","",IFERROR(buscarx(A761&amp;E761,DATA!$E$3:$E$10000&amp;DATA!$B$3:$B$10000,DATA!$M$3:$M$10000),"Inactivo"))</f>
        <v/>
      </c>
      <c r="G761" s="25" t="str">
        <f aca="false">IF(A761="","",IF(AND(C761&lt;&gt;"No encontrado",F761&lt;&gt;"Inactivo"),C761&amp;" → "&amp;F761,"Sin transición"))</f>
        <v/>
      </c>
      <c r="H761" s="23" t="str">
        <f aca="false">IF(A761="","",IF(D761="GCIA LINEA SERVICIO DIGITALIDAD Y VENTAS","Chats",IF(OR(D761="GERENCIA INBOUND LÍNEAS SERVICIO Y VENTA",D761="GERENCIA INBOUND LINEAS ESPECIALIZADAS"),"Llamadas","Otro")))</f>
        <v/>
      </c>
      <c r="I761" s="23" t="str">
        <f aca="false">IF(A761="","",IF(C761="No encontrado","No","Sí"))</f>
        <v/>
      </c>
      <c r="J761" s="23" t="str">
        <f aca="false">IF(A761="","",IF(F761="Inactivo","No","Sí"))</f>
        <v/>
      </c>
      <c r="K761" s="23" t="str">
        <f aca="false">IF(A761="","",IF(AND(I761="Sí",J761="Sí"),"Sí","No"))</f>
        <v/>
      </c>
    </row>
    <row r="762" customFormat="false" ht="15" hidden="false" customHeight="false" outlineLevel="0" collapsed="false">
      <c r="A762" s="22"/>
      <c r="B762" s="22"/>
      <c r="C762" s="26" t="str">
        <f aca="false">IF(A762="","",IFERROR(buscarx(A762&amp;B762,DATA!$E$3:$E$10000&amp;DATA!$B$3:$B$10000,DATA!$M$3:$M$10000),"No encontrado"))</f>
        <v/>
      </c>
      <c r="D762" s="27" t="str">
        <f aca="false">IF(A762="","",IFERROR(buscarx(A762&amp;B762,DATA!$E$3:$E$10000&amp;DATA!$B$3:$B$10000,DATA!$W$3:$W$10000),"No encontrado"))</f>
        <v/>
      </c>
      <c r="E762" s="22"/>
      <c r="F762" s="26" t="str">
        <f aca="false">IF(A762="","",IFERROR(buscarx(A762&amp;E762,DATA!$E$3:$E$10000&amp;DATA!$B$3:$B$10000,DATA!$M$3:$M$10000),"Inactivo"))</f>
        <v/>
      </c>
      <c r="G762" s="28" t="str">
        <f aca="false">IF(A762="","",IF(AND(C762&lt;&gt;"No encontrado",F762&lt;&gt;"Inactivo"),C762&amp;" → "&amp;F762,"Sin transición"))</f>
        <v/>
      </c>
      <c r="H762" s="26" t="str">
        <f aca="false">IF(A762="","",IF(D762="GCIA LINEA SERVICIO DIGITALIDAD Y VENTAS","Chats",IF(OR(D762="GERENCIA INBOUND LÍNEAS SERVICIO Y VENTA",D762="GERENCIA INBOUND LINEAS ESPECIALIZADAS"),"Llamadas","Otro")))</f>
        <v/>
      </c>
      <c r="I762" s="26" t="str">
        <f aca="false">IF(A762="","",IF(C762="No encontrado","No","Sí"))</f>
        <v/>
      </c>
      <c r="J762" s="26" t="str">
        <f aca="false">IF(A762="","",IF(F762="Inactivo","No","Sí"))</f>
        <v/>
      </c>
      <c r="K762" s="26" t="str">
        <f aca="false">IF(A762="","",IF(AND(I762="Sí",J762="Sí"),"Sí","No"))</f>
        <v/>
      </c>
    </row>
    <row r="763" customFormat="false" ht="15" hidden="false" customHeight="false" outlineLevel="0" collapsed="false">
      <c r="A763" s="22"/>
      <c r="B763" s="22"/>
      <c r="C763" s="23" t="str">
        <f aca="false">IF(A763="","",IFERROR(buscarx(A763&amp;B763,DATA!$E$3:$E$10000&amp;DATA!$B$3:$B$10000,DATA!$M$3:$M$10000),"No encontrado"))</f>
        <v/>
      </c>
      <c r="D763" s="24" t="str">
        <f aca="false">IF(A763="","",IFERROR(buscarx(A763&amp;B763,DATA!$E$3:$E$10000&amp;DATA!$B$3:$B$10000,DATA!$W$3:$W$10000),"No encontrado"))</f>
        <v/>
      </c>
      <c r="E763" s="22"/>
      <c r="F763" s="23" t="str">
        <f aca="false">IF(A763="","",IFERROR(buscarx(A763&amp;E763,DATA!$E$3:$E$10000&amp;DATA!$B$3:$B$10000,DATA!$M$3:$M$10000),"Inactivo"))</f>
        <v/>
      </c>
      <c r="G763" s="25" t="str">
        <f aca="false">IF(A763="","",IF(AND(C763&lt;&gt;"No encontrado",F763&lt;&gt;"Inactivo"),C763&amp;" → "&amp;F763,"Sin transición"))</f>
        <v/>
      </c>
      <c r="H763" s="23" t="str">
        <f aca="false">IF(A763="","",IF(D763="GCIA LINEA SERVICIO DIGITALIDAD Y VENTAS","Chats",IF(OR(D763="GERENCIA INBOUND LÍNEAS SERVICIO Y VENTA",D763="GERENCIA INBOUND LINEAS ESPECIALIZADAS"),"Llamadas","Otro")))</f>
        <v/>
      </c>
      <c r="I763" s="23" t="str">
        <f aca="false">IF(A763="","",IF(C763="No encontrado","No","Sí"))</f>
        <v/>
      </c>
      <c r="J763" s="23" t="str">
        <f aca="false">IF(A763="","",IF(F763="Inactivo","No","Sí"))</f>
        <v/>
      </c>
      <c r="K763" s="23" t="str">
        <f aca="false">IF(A763="","",IF(AND(I763="Sí",J763="Sí"),"Sí","No"))</f>
        <v/>
      </c>
    </row>
    <row r="764" customFormat="false" ht="15" hidden="false" customHeight="false" outlineLevel="0" collapsed="false">
      <c r="A764" s="22"/>
      <c r="B764" s="22"/>
      <c r="C764" s="26" t="str">
        <f aca="false">IF(A764="","",IFERROR(buscarx(A764&amp;B764,DATA!$E$3:$E$10000&amp;DATA!$B$3:$B$10000,DATA!$M$3:$M$10000),"No encontrado"))</f>
        <v/>
      </c>
      <c r="D764" s="27" t="str">
        <f aca="false">IF(A764="","",IFERROR(buscarx(A764&amp;B764,DATA!$E$3:$E$10000&amp;DATA!$B$3:$B$10000,DATA!$W$3:$W$10000),"No encontrado"))</f>
        <v/>
      </c>
      <c r="E764" s="22"/>
      <c r="F764" s="26" t="str">
        <f aca="false">IF(A764="","",IFERROR(buscarx(A764&amp;E764,DATA!$E$3:$E$10000&amp;DATA!$B$3:$B$10000,DATA!$M$3:$M$10000),"Inactivo"))</f>
        <v/>
      </c>
      <c r="G764" s="28" t="str">
        <f aca="false">IF(A764="","",IF(AND(C764&lt;&gt;"No encontrado",F764&lt;&gt;"Inactivo"),C764&amp;" → "&amp;F764,"Sin transición"))</f>
        <v/>
      </c>
      <c r="H764" s="26" t="str">
        <f aca="false">IF(A764="","",IF(D764="GCIA LINEA SERVICIO DIGITALIDAD Y VENTAS","Chats",IF(OR(D764="GERENCIA INBOUND LÍNEAS SERVICIO Y VENTA",D764="GERENCIA INBOUND LINEAS ESPECIALIZADAS"),"Llamadas","Otro")))</f>
        <v/>
      </c>
      <c r="I764" s="26" t="str">
        <f aca="false">IF(A764="","",IF(C764="No encontrado","No","Sí"))</f>
        <v/>
      </c>
      <c r="J764" s="26" t="str">
        <f aca="false">IF(A764="","",IF(F764="Inactivo","No","Sí"))</f>
        <v/>
      </c>
      <c r="K764" s="26" t="str">
        <f aca="false">IF(A764="","",IF(AND(I764="Sí",J764="Sí"),"Sí","No"))</f>
        <v/>
      </c>
    </row>
    <row r="765" customFormat="false" ht="15" hidden="false" customHeight="false" outlineLevel="0" collapsed="false">
      <c r="A765" s="22"/>
      <c r="B765" s="22"/>
      <c r="C765" s="23" t="str">
        <f aca="false">IF(A765="","",IFERROR(buscarx(A765&amp;B765,DATA!$E$3:$E$10000&amp;DATA!$B$3:$B$10000,DATA!$M$3:$M$10000),"No encontrado"))</f>
        <v/>
      </c>
      <c r="D765" s="24" t="str">
        <f aca="false">IF(A765="","",IFERROR(buscarx(A765&amp;B765,DATA!$E$3:$E$10000&amp;DATA!$B$3:$B$10000,DATA!$W$3:$W$10000),"No encontrado"))</f>
        <v/>
      </c>
      <c r="E765" s="22"/>
      <c r="F765" s="23" t="str">
        <f aca="false">IF(A765="","",IFERROR(buscarx(A765&amp;E765,DATA!$E$3:$E$10000&amp;DATA!$B$3:$B$10000,DATA!$M$3:$M$10000),"Inactivo"))</f>
        <v/>
      </c>
      <c r="G765" s="25" t="str">
        <f aca="false">IF(A765="","",IF(AND(C765&lt;&gt;"No encontrado",F765&lt;&gt;"Inactivo"),C765&amp;" → "&amp;F765,"Sin transición"))</f>
        <v/>
      </c>
      <c r="H765" s="23" t="str">
        <f aca="false">IF(A765="","",IF(D765="GCIA LINEA SERVICIO DIGITALIDAD Y VENTAS","Chats",IF(OR(D765="GERENCIA INBOUND LÍNEAS SERVICIO Y VENTA",D765="GERENCIA INBOUND LINEAS ESPECIALIZADAS"),"Llamadas","Otro")))</f>
        <v/>
      </c>
      <c r="I765" s="23" t="str">
        <f aca="false">IF(A765="","",IF(C765="No encontrado","No","Sí"))</f>
        <v/>
      </c>
      <c r="J765" s="23" t="str">
        <f aca="false">IF(A765="","",IF(F765="Inactivo","No","Sí"))</f>
        <v/>
      </c>
      <c r="K765" s="23" t="str">
        <f aca="false">IF(A765="","",IF(AND(I765="Sí",J765="Sí"),"Sí","No"))</f>
        <v/>
      </c>
    </row>
    <row r="766" customFormat="false" ht="15" hidden="false" customHeight="false" outlineLevel="0" collapsed="false">
      <c r="A766" s="22"/>
      <c r="B766" s="22"/>
      <c r="C766" s="26" t="str">
        <f aca="false">IF(A766="","",IFERROR(buscarx(A766&amp;B766,DATA!$E$3:$E$10000&amp;DATA!$B$3:$B$10000,DATA!$M$3:$M$10000),"No encontrado"))</f>
        <v/>
      </c>
      <c r="D766" s="27" t="str">
        <f aca="false">IF(A766="","",IFERROR(buscarx(A766&amp;B766,DATA!$E$3:$E$10000&amp;DATA!$B$3:$B$10000,DATA!$W$3:$W$10000),"No encontrado"))</f>
        <v/>
      </c>
      <c r="E766" s="22"/>
      <c r="F766" s="26" t="str">
        <f aca="false">IF(A766="","",IFERROR(buscarx(A766&amp;E766,DATA!$E$3:$E$10000&amp;DATA!$B$3:$B$10000,DATA!$M$3:$M$10000),"Inactivo"))</f>
        <v/>
      </c>
      <c r="G766" s="28" t="str">
        <f aca="false">IF(A766="","",IF(AND(C766&lt;&gt;"No encontrado",F766&lt;&gt;"Inactivo"),C766&amp;" → "&amp;F766,"Sin transición"))</f>
        <v/>
      </c>
      <c r="H766" s="26" t="str">
        <f aca="false">IF(A766="","",IF(D766="GCIA LINEA SERVICIO DIGITALIDAD Y VENTAS","Chats",IF(OR(D766="GERENCIA INBOUND LÍNEAS SERVICIO Y VENTA",D766="GERENCIA INBOUND LINEAS ESPECIALIZADAS"),"Llamadas","Otro")))</f>
        <v/>
      </c>
      <c r="I766" s="26" t="str">
        <f aca="false">IF(A766="","",IF(C766="No encontrado","No","Sí"))</f>
        <v/>
      </c>
      <c r="J766" s="26" t="str">
        <f aca="false">IF(A766="","",IF(F766="Inactivo","No","Sí"))</f>
        <v/>
      </c>
      <c r="K766" s="26" t="str">
        <f aca="false">IF(A766="","",IF(AND(I766="Sí",J766="Sí"),"Sí","No"))</f>
        <v/>
      </c>
    </row>
    <row r="767" customFormat="false" ht="15" hidden="false" customHeight="false" outlineLevel="0" collapsed="false">
      <c r="A767" s="22"/>
      <c r="B767" s="22"/>
      <c r="C767" s="23" t="str">
        <f aca="false">IF(A767="","",IFERROR(buscarx(A767&amp;B767,DATA!$E$3:$E$10000&amp;DATA!$B$3:$B$10000,DATA!$M$3:$M$10000),"No encontrado"))</f>
        <v/>
      </c>
      <c r="D767" s="24" t="str">
        <f aca="false">IF(A767="","",IFERROR(buscarx(A767&amp;B767,DATA!$E$3:$E$10000&amp;DATA!$B$3:$B$10000,DATA!$W$3:$W$10000),"No encontrado"))</f>
        <v/>
      </c>
      <c r="E767" s="22"/>
      <c r="F767" s="23" t="str">
        <f aca="false">IF(A767="","",IFERROR(buscarx(A767&amp;E767,DATA!$E$3:$E$10000&amp;DATA!$B$3:$B$10000,DATA!$M$3:$M$10000),"Inactivo"))</f>
        <v/>
      </c>
      <c r="G767" s="25" t="str">
        <f aca="false">IF(A767="","",IF(AND(C767&lt;&gt;"No encontrado",F767&lt;&gt;"Inactivo"),C767&amp;" → "&amp;F767,"Sin transición"))</f>
        <v/>
      </c>
      <c r="H767" s="23" t="str">
        <f aca="false">IF(A767="","",IF(D767="GCIA LINEA SERVICIO DIGITALIDAD Y VENTAS","Chats",IF(OR(D767="GERENCIA INBOUND LÍNEAS SERVICIO Y VENTA",D767="GERENCIA INBOUND LINEAS ESPECIALIZADAS"),"Llamadas","Otro")))</f>
        <v/>
      </c>
      <c r="I767" s="23" t="str">
        <f aca="false">IF(A767="","",IF(C767="No encontrado","No","Sí"))</f>
        <v/>
      </c>
      <c r="J767" s="23" t="str">
        <f aca="false">IF(A767="","",IF(F767="Inactivo","No","Sí"))</f>
        <v/>
      </c>
      <c r="K767" s="23" t="str">
        <f aca="false">IF(A767="","",IF(AND(I767="Sí",J767="Sí"),"Sí","No"))</f>
        <v/>
      </c>
    </row>
    <row r="768" customFormat="false" ht="15" hidden="false" customHeight="false" outlineLevel="0" collapsed="false">
      <c r="A768" s="22"/>
      <c r="B768" s="22"/>
      <c r="C768" s="26" t="str">
        <f aca="false">IF(A768="","",IFERROR(buscarx(A768&amp;B768,DATA!$E$3:$E$10000&amp;DATA!$B$3:$B$10000,DATA!$M$3:$M$10000),"No encontrado"))</f>
        <v/>
      </c>
      <c r="D768" s="27" t="str">
        <f aca="false">IF(A768="","",IFERROR(buscarx(A768&amp;B768,DATA!$E$3:$E$10000&amp;DATA!$B$3:$B$10000,DATA!$W$3:$W$10000),"No encontrado"))</f>
        <v/>
      </c>
      <c r="E768" s="22"/>
      <c r="F768" s="26" t="str">
        <f aca="false">IF(A768="","",IFERROR(buscarx(A768&amp;E768,DATA!$E$3:$E$10000&amp;DATA!$B$3:$B$10000,DATA!$M$3:$M$10000),"Inactivo"))</f>
        <v/>
      </c>
      <c r="G768" s="28" t="str">
        <f aca="false">IF(A768="","",IF(AND(C768&lt;&gt;"No encontrado",F768&lt;&gt;"Inactivo"),C768&amp;" → "&amp;F768,"Sin transición"))</f>
        <v/>
      </c>
      <c r="H768" s="26" t="str">
        <f aca="false">IF(A768="","",IF(D768="GCIA LINEA SERVICIO DIGITALIDAD Y VENTAS","Chats",IF(OR(D768="GERENCIA INBOUND LÍNEAS SERVICIO Y VENTA",D768="GERENCIA INBOUND LINEAS ESPECIALIZADAS"),"Llamadas","Otro")))</f>
        <v/>
      </c>
      <c r="I768" s="26" t="str">
        <f aca="false">IF(A768="","",IF(C768="No encontrado","No","Sí"))</f>
        <v/>
      </c>
      <c r="J768" s="26" t="str">
        <f aca="false">IF(A768="","",IF(F768="Inactivo","No","Sí"))</f>
        <v/>
      </c>
      <c r="K768" s="26" t="str">
        <f aca="false">IF(A768="","",IF(AND(I768="Sí",J768="Sí"),"Sí","No"))</f>
        <v/>
      </c>
    </row>
    <row r="769" customFormat="false" ht="15" hidden="false" customHeight="false" outlineLevel="0" collapsed="false">
      <c r="A769" s="22"/>
      <c r="B769" s="22"/>
      <c r="C769" s="23" t="str">
        <f aca="false">IF(A769="","",IFERROR(buscarx(A769&amp;B769,DATA!$E$3:$E$10000&amp;DATA!$B$3:$B$10000,DATA!$M$3:$M$10000),"No encontrado"))</f>
        <v/>
      </c>
      <c r="D769" s="24" t="str">
        <f aca="false">IF(A769="","",IFERROR(buscarx(A769&amp;B769,DATA!$E$3:$E$10000&amp;DATA!$B$3:$B$10000,DATA!$W$3:$W$10000),"No encontrado"))</f>
        <v/>
      </c>
      <c r="E769" s="22"/>
      <c r="F769" s="23" t="str">
        <f aca="false">IF(A769="","",IFERROR(buscarx(A769&amp;E769,DATA!$E$3:$E$10000&amp;DATA!$B$3:$B$10000,DATA!$M$3:$M$10000),"Inactivo"))</f>
        <v/>
      </c>
      <c r="G769" s="25" t="str">
        <f aca="false">IF(A769="","",IF(AND(C769&lt;&gt;"No encontrado",F769&lt;&gt;"Inactivo"),C769&amp;" → "&amp;F769,"Sin transición"))</f>
        <v/>
      </c>
      <c r="H769" s="23" t="str">
        <f aca="false">IF(A769="","",IF(D769="GCIA LINEA SERVICIO DIGITALIDAD Y VENTAS","Chats",IF(OR(D769="GERENCIA INBOUND LÍNEAS SERVICIO Y VENTA",D769="GERENCIA INBOUND LINEAS ESPECIALIZADAS"),"Llamadas","Otro")))</f>
        <v/>
      </c>
      <c r="I769" s="23" t="str">
        <f aca="false">IF(A769="","",IF(C769="No encontrado","No","Sí"))</f>
        <v/>
      </c>
      <c r="J769" s="23" t="str">
        <f aca="false">IF(A769="","",IF(F769="Inactivo","No","Sí"))</f>
        <v/>
      </c>
      <c r="K769" s="23" t="str">
        <f aca="false">IF(A769="","",IF(AND(I769="Sí",J769="Sí"),"Sí","No"))</f>
        <v/>
      </c>
    </row>
    <row r="770" customFormat="false" ht="15" hidden="false" customHeight="false" outlineLevel="0" collapsed="false">
      <c r="A770" s="22"/>
      <c r="B770" s="22"/>
      <c r="C770" s="26" t="str">
        <f aca="false">IF(A770="","",IFERROR(buscarx(A770&amp;B770,DATA!$E$3:$E$10000&amp;DATA!$B$3:$B$10000,DATA!$M$3:$M$10000),"No encontrado"))</f>
        <v/>
      </c>
      <c r="D770" s="27" t="str">
        <f aca="false">IF(A770="","",IFERROR(buscarx(A770&amp;B770,DATA!$E$3:$E$10000&amp;DATA!$B$3:$B$10000,DATA!$W$3:$W$10000),"No encontrado"))</f>
        <v/>
      </c>
      <c r="E770" s="22"/>
      <c r="F770" s="26" t="str">
        <f aca="false">IF(A770="","",IFERROR(buscarx(A770&amp;E770,DATA!$E$3:$E$10000&amp;DATA!$B$3:$B$10000,DATA!$M$3:$M$10000),"Inactivo"))</f>
        <v/>
      </c>
      <c r="G770" s="28" t="str">
        <f aca="false">IF(A770="","",IF(AND(C770&lt;&gt;"No encontrado",F770&lt;&gt;"Inactivo"),C770&amp;" → "&amp;F770,"Sin transición"))</f>
        <v/>
      </c>
      <c r="H770" s="26" t="str">
        <f aca="false">IF(A770="","",IF(D770="GCIA LINEA SERVICIO DIGITALIDAD Y VENTAS","Chats",IF(OR(D770="GERENCIA INBOUND LÍNEAS SERVICIO Y VENTA",D770="GERENCIA INBOUND LINEAS ESPECIALIZADAS"),"Llamadas","Otro")))</f>
        <v/>
      </c>
      <c r="I770" s="26" t="str">
        <f aca="false">IF(A770="","",IF(C770="No encontrado","No","Sí"))</f>
        <v/>
      </c>
      <c r="J770" s="26" t="str">
        <f aca="false">IF(A770="","",IF(F770="Inactivo","No","Sí"))</f>
        <v/>
      </c>
      <c r="K770" s="26" t="str">
        <f aca="false">IF(A770="","",IF(AND(I770="Sí",J770="Sí"),"Sí","No"))</f>
        <v/>
      </c>
    </row>
    <row r="771" customFormat="false" ht="15" hidden="false" customHeight="false" outlineLevel="0" collapsed="false">
      <c r="A771" s="22"/>
      <c r="B771" s="22"/>
      <c r="C771" s="23" t="str">
        <f aca="false">IF(A771="","",IFERROR(buscarx(A771&amp;B771,DATA!$E$3:$E$10000&amp;DATA!$B$3:$B$10000,DATA!$M$3:$M$10000),"No encontrado"))</f>
        <v/>
      </c>
      <c r="D771" s="24" t="str">
        <f aca="false">IF(A771="","",IFERROR(buscarx(A771&amp;B771,DATA!$E$3:$E$10000&amp;DATA!$B$3:$B$10000,DATA!$W$3:$W$10000),"No encontrado"))</f>
        <v/>
      </c>
      <c r="E771" s="22"/>
      <c r="F771" s="23" t="str">
        <f aca="false">IF(A771="","",IFERROR(buscarx(A771&amp;E771,DATA!$E$3:$E$10000&amp;DATA!$B$3:$B$10000,DATA!$M$3:$M$10000),"Inactivo"))</f>
        <v/>
      </c>
      <c r="G771" s="25" t="str">
        <f aca="false">IF(A771="","",IF(AND(C771&lt;&gt;"No encontrado",F771&lt;&gt;"Inactivo"),C771&amp;" → "&amp;F771,"Sin transición"))</f>
        <v/>
      </c>
      <c r="H771" s="23" t="str">
        <f aca="false">IF(A771="","",IF(D771="GCIA LINEA SERVICIO DIGITALIDAD Y VENTAS","Chats",IF(OR(D771="GERENCIA INBOUND LÍNEAS SERVICIO Y VENTA",D771="GERENCIA INBOUND LINEAS ESPECIALIZADAS"),"Llamadas","Otro")))</f>
        <v/>
      </c>
      <c r="I771" s="23" t="str">
        <f aca="false">IF(A771="","",IF(C771="No encontrado","No","Sí"))</f>
        <v/>
      </c>
      <c r="J771" s="23" t="str">
        <f aca="false">IF(A771="","",IF(F771="Inactivo","No","Sí"))</f>
        <v/>
      </c>
      <c r="K771" s="23" t="str">
        <f aca="false">IF(A771="","",IF(AND(I771="Sí",J771="Sí"),"Sí","No"))</f>
        <v/>
      </c>
    </row>
    <row r="772" customFormat="false" ht="15" hidden="false" customHeight="false" outlineLevel="0" collapsed="false">
      <c r="A772" s="22"/>
      <c r="B772" s="22"/>
      <c r="C772" s="26" t="str">
        <f aca="false">IF(A772="","",IFERROR(buscarx(A772&amp;B772,DATA!$E$3:$E$10000&amp;DATA!$B$3:$B$10000,DATA!$M$3:$M$10000),"No encontrado"))</f>
        <v/>
      </c>
      <c r="D772" s="27" t="str">
        <f aca="false">IF(A772="","",IFERROR(buscarx(A772&amp;B772,DATA!$E$3:$E$10000&amp;DATA!$B$3:$B$10000,DATA!$W$3:$W$10000),"No encontrado"))</f>
        <v/>
      </c>
      <c r="E772" s="22"/>
      <c r="F772" s="26" t="str">
        <f aca="false">IF(A772="","",IFERROR(buscarx(A772&amp;E772,DATA!$E$3:$E$10000&amp;DATA!$B$3:$B$10000,DATA!$M$3:$M$10000),"Inactivo"))</f>
        <v/>
      </c>
      <c r="G772" s="28" t="str">
        <f aca="false">IF(A772="","",IF(AND(C772&lt;&gt;"No encontrado",F772&lt;&gt;"Inactivo"),C772&amp;" → "&amp;F772,"Sin transición"))</f>
        <v/>
      </c>
      <c r="H772" s="26" t="str">
        <f aca="false">IF(A772="","",IF(D772="GCIA LINEA SERVICIO DIGITALIDAD Y VENTAS","Chats",IF(OR(D772="GERENCIA INBOUND LÍNEAS SERVICIO Y VENTA",D772="GERENCIA INBOUND LINEAS ESPECIALIZADAS"),"Llamadas","Otro")))</f>
        <v/>
      </c>
      <c r="I772" s="26" t="str">
        <f aca="false">IF(A772="","",IF(C772="No encontrado","No","Sí"))</f>
        <v/>
      </c>
      <c r="J772" s="26" t="str">
        <f aca="false">IF(A772="","",IF(F772="Inactivo","No","Sí"))</f>
        <v/>
      </c>
      <c r="K772" s="26" t="str">
        <f aca="false">IF(A772="","",IF(AND(I772="Sí",J772="Sí"),"Sí","No"))</f>
        <v/>
      </c>
    </row>
    <row r="773" customFormat="false" ht="15" hidden="false" customHeight="false" outlineLevel="0" collapsed="false">
      <c r="A773" s="22"/>
      <c r="B773" s="22"/>
      <c r="C773" s="23" t="str">
        <f aca="false">IF(A773="","",IFERROR(buscarx(A773&amp;B773,DATA!$E$3:$E$10000&amp;DATA!$B$3:$B$10000,DATA!$M$3:$M$10000),"No encontrado"))</f>
        <v/>
      </c>
      <c r="D773" s="24" t="str">
        <f aca="false">IF(A773="","",IFERROR(buscarx(A773&amp;B773,DATA!$E$3:$E$10000&amp;DATA!$B$3:$B$10000,DATA!$W$3:$W$10000),"No encontrado"))</f>
        <v/>
      </c>
      <c r="E773" s="22"/>
      <c r="F773" s="23" t="str">
        <f aca="false">IF(A773="","",IFERROR(buscarx(A773&amp;E773,DATA!$E$3:$E$10000&amp;DATA!$B$3:$B$10000,DATA!$M$3:$M$10000),"Inactivo"))</f>
        <v/>
      </c>
      <c r="G773" s="25" t="str">
        <f aca="false">IF(A773="","",IF(AND(C773&lt;&gt;"No encontrado",F773&lt;&gt;"Inactivo"),C773&amp;" → "&amp;F773,"Sin transición"))</f>
        <v/>
      </c>
      <c r="H773" s="23" t="str">
        <f aca="false">IF(A773="","",IF(D773="GCIA LINEA SERVICIO DIGITALIDAD Y VENTAS","Chats",IF(OR(D773="GERENCIA INBOUND LÍNEAS SERVICIO Y VENTA",D773="GERENCIA INBOUND LINEAS ESPECIALIZADAS"),"Llamadas","Otro")))</f>
        <v/>
      </c>
      <c r="I773" s="23" t="str">
        <f aca="false">IF(A773="","",IF(C773="No encontrado","No","Sí"))</f>
        <v/>
      </c>
      <c r="J773" s="23" t="str">
        <f aca="false">IF(A773="","",IF(F773="Inactivo","No","Sí"))</f>
        <v/>
      </c>
      <c r="K773" s="23" t="str">
        <f aca="false">IF(A773="","",IF(AND(I773="Sí",J773="Sí"),"Sí","No"))</f>
        <v/>
      </c>
    </row>
    <row r="774" customFormat="false" ht="15" hidden="false" customHeight="false" outlineLevel="0" collapsed="false">
      <c r="A774" s="22"/>
      <c r="B774" s="22"/>
      <c r="C774" s="26" t="str">
        <f aca="false">IF(A774="","",IFERROR(buscarx(A774&amp;B774,DATA!$E$3:$E$10000&amp;DATA!$B$3:$B$10000,DATA!$M$3:$M$10000),"No encontrado"))</f>
        <v/>
      </c>
      <c r="D774" s="27" t="str">
        <f aca="false">IF(A774="","",IFERROR(buscarx(A774&amp;B774,DATA!$E$3:$E$10000&amp;DATA!$B$3:$B$10000,DATA!$W$3:$W$10000),"No encontrado"))</f>
        <v/>
      </c>
      <c r="E774" s="22"/>
      <c r="F774" s="26" t="str">
        <f aca="false">IF(A774="","",IFERROR(buscarx(A774&amp;E774,DATA!$E$3:$E$10000&amp;DATA!$B$3:$B$10000,DATA!$M$3:$M$10000),"Inactivo"))</f>
        <v/>
      </c>
      <c r="G774" s="28" t="str">
        <f aca="false">IF(A774="","",IF(AND(C774&lt;&gt;"No encontrado",F774&lt;&gt;"Inactivo"),C774&amp;" → "&amp;F774,"Sin transición"))</f>
        <v/>
      </c>
      <c r="H774" s="26" t="str">
        <f aca="false">IF(A774="","",IF(D774="GCIA LINEA SERVICIO DIGITALIDAD Y VENTAS","Chats",IF(OR(D774="GERENCIA INBOUND LÍNEAS SERVICIO Y VENTA",D774="GERENCIA INBOUND LINEAS ESPECIALIZADAS"),"Llamadas","Otro")))</f>
        <v/>
      </c>
      <c r="I774" s="26" t="str">
        <f aca="false">IF(A774="","",IF(C774="No encontrado","No","Sí"))</f>
        <v/>
      </c>
      <c r="J774" s="26" t="str">
        <f aca="false">IF(A774="","",IF(F774="Inactivo","No","Sí"))</f>
        <v/>
      </c>
      <c r="K774" s="26" t="str">
        <f aca="false">IF(A774="","",IF(AND(I774="Sí",J774="Sí"),"Sí","No"))</f>
        <v/>
      </c>
    </row>
    <row r="775" customFormat="false" ht="15" hidden="false" customHeight="false" outlineLevel="0" collapsed="false">
      <c r="A775" s="22"/>
      <c r="B775" s="22"/>
      <c r="C775" s="23" t="str">
        <f aca="false">IF(A775="","",IFERROR(buscarx(A775&amp;B775,DATA!$E$3:$E$10000&amp;DATA!$B$3:$B$10000,DATA!$M$3:$M$10000),"No encontrado"))</f>
        <v/>
      </c>
      <c r="D775" s="24" t="str">
        <f aca="false">IF(A775="","",IFERROR(buscarx(A775&amp;B775,DATA!$E$3:$E$10000&amp;DATA!$B$3:$B$10000,DATA!$W$3:$W$10000),"No encontrado"))</f>
        <v/>
      </c>
      <c r="E775" s="22"/>
      <c r="F775" s="23" t="str">
        <f aca="false">IF(A775="","",IFERROR(buscarx(A775&amp;E775,DATA!$E$3:$E$10000&amp;DATA!$B$3:$B$10000,DATA!$M$3:$M$10000),"Inactivo"))</f>
        <v/>
      </c>
      <c r="G775" s="25" t="str">
        <f aca="false">IF(A775="","",IF(AND(C775&lt;&gt;"No encontrado",F775&lt;&gt;"Inactivo"),C775&amp;" → "&amp;F775,"Sin transición"))</f>
        <v/>
      </c>
      <c r="H775" s="23" t="str">
        <f aca="false">IF(A775="","",IF(D775="GCIA LINEA SERVICIO DIGITALIDAD Y VENTAS","Chats",IF(OR(D775="GERENCIA INBOUND LÍNEAS SERVICIO Y VENTA",D775="GERENCIA INBOUND LINEAS ESPECIALIZADAS"),"Llamadas","Otro")))</f>
        <v/>
      </c>
      <c r="I775" s="23" t="str">
        <f aca="false">IF(A775="","",IF(C775="No encontrado","No","Sí"))</f>
        <v/>
      </c>
      <c r="J775" s="23" t="str">
        <f aca="false">IF(A775="","",IF(F775="Inactivo","No","Sí"))</f>
        <v/>
      </c>
      <c r="K775" s="23" t="str">
        <f aca="false">IF(A775="","",IF(AND(I775="Sí",J775="Sí"),"Sí","No"))</f>
        <v/>
      </c>
    </row>
    <row r="776" customFormat="false" ht="15" hidden="false" customHeight="false" outlineLevel="0" collapsed="false">
      <c r="A776" s="22"/>
      <c r="B776" s="22"/>
      <c r="C776" s="26" t="str">
        <f aca="false">IF(A776="","",IFERROR(buscarx(A776&amp;B776,DATA!$E$3:$E$10000&amp;DATA!$B$3:$B$10000,DATA!$M$3:$M$10000),"No encontrado"))</f>
        <v/>
      </c>
      <c r="D776" s="27" t="str">
        <f aca="false">IF(A776="","",IFERROR(buscarx(A776&amp;B776,DATA!$E$3:$E$10000&amp;DATA!$B$3:$B$10000,DATA!$W$3:$W$10000),"No encontrado"))</f>
        <v/>
      </c>
      <c r="E776" s="22"/>
      <c r="F776" s="26" t="str">
        <f aca="false">IF(A776="","",IFERROR(buscarx(A776&amp;E776,DATA!$E$3:$E$10000&amp;DATA!$B$3:$B$10000,DATA!$M$3:$M$10000),"Inactivo"))</f>
        <v/>
      </c>
      <c r="G776" s="28" t="str">
        <f aca="false">IF(A776="","",IF(AND(C776&lt;&gt;"No encontrado",F776&lt;&gt;"Inactivo"),C776&amp;" → "&amp;F776,"Sin transición"))</f>
        <v/>
      </c>
      <c r="H776" s="26" t="str">
        <f aca="false">IF(A776="","",IF(D776="GCIA LINEA SERVICIO DIGITALIDAD Y VENTAS","Chats",IF(OR(D776="GERENCIA INBOUND LÍNEAS SERVICIO Y VENTA",D776="GERENCIA INBOUND LINEAS ESPECIALIZADAS"),"Llamadas","Otro")))</f>
        <v/>
      </c>
      <c r="I776" s="26" t="str">
        <f aca="false">IF(A776="","",IF(C776="No encontrado","No","Sí"))</f>
        <v/>
      </c>
      <c r="J776" s="26" t="str">
        <f aca="false">IF(A776="","",IF(F776="Inactivo","No","Sí"))</f>
        <v/>
      </c>
      <c r="K776" s="26" t="str">
        <f aca="false">IF(A776="","",IF(AND(I776="Sí",J776="Sí"),"Sí","No"))</f>
        <v/>
      </c>
    </row>
    <row r="777" customFormat="false" ht="15" hidden="false" customHeight="false" outlineLevel="0" collapsed="false">
      <c r="A777" s="22"/>
      <c r="B777" s="22"/>
      <c r="C777" s="23" t="str">
        <f aca="false">IF(A777="","",IFERROR(buscarx(A777&amp;B777,DATA!$E$3:$E$10000&amp;DATA!$B$3:$B$10000,DATA!$M$3:$M$10000),"No encontrado"))</f>
        <v/>
      </c>
      <c r="D777" s="24" t="str">
        <f aca="false">IF(A777="","",IFERROR(buscarx(A777&amp;B777,DATA!$E$3:$E$10000&amp;DATA!$B$3:$B$10000,DATA!$W$3:$W$10000),"No encontrado"))</f>
        <v/>
      </c>
      <c r="E777" s="22"/>
      <c r="F777" s="23" t="str">
        <f aca="false">IF(A777="","",IFERROR(buscarx(A777&amp;E777,DATA!$E$3:$E$10000&amp;DATA!$B$3:$B$10000,DATA!$M$3:$M$10000),"Inactivo"))</f>
        <v/>
      </c>
      <c r="G777" s="25" t="str">
        <f aca="false">IF(A777="","",IF(AND(C777&lt;&gt;"No encontrado",F777&lt;&gt;"Inactivo"),C777&amp;" → "&amp;F777,"Sin transición"))</f>
        <v/>
      </c>
      <c r="H777" s="23" t="str">
        <f aca="false">IF(A777="","",IF(D777="GCIA LINEA SERVICIO DIGITALIDAD Y VENTAS","Chats",IF(OR(D777="GERENCIA INBOUND LÍNEAS SERVICIO Y VENTA",D777="GERENCIA INBOUND LINEAS ESPECIALIZADAS"),"Llamadas","Otro")))</f>
        <v/>
      </c>
      <c r="I777" s="23" t="str">
        <f aca="false">IF(A777="","",IF(C777="No encontrado","No","Sí"))</f>
        <v/>
      </c>
      <c r="J777" s="23" t="str">
        <f aca="false">IF(A777="","",IF(F777="Inactivo","No","Sí"))</f>
        <v/>
      </c>
      <c r="K777" s="23" t="str">
        <f aca="false">IF(A777="","",IF(AND(I777="Sí",J777="Sí"),"Sí","No"))</f>
        <v/>
      </c>
    </row>
    <row r="778" customFormat="false" ht="15" hidden="false" customHeight="false" outlineLevel="0" collapsed="false">
      <c r="A778" s="22"/>
      <c r="B778" s="22"/>
      <c r="C778" s="26" t="str">
        <f aca="false">IF(A778="","",IFERROR(buscarx(A778&amp;B778,DATA!$E$3:$E$10000&amp;DATA!$B$3:$B$10000,DATA!$M$3:$M$10000),"No encontrado"))</f>
        <v/>
      </c>
      <c r="D778" s="27" t="str">
        <f aca="false">IF(A778="","",IFERROR(buscarx(A778&amp;B778,DATA!$E$3:$E$10000&amp;DATA!$B$3:$B$10000,DATA!$W$3:$W$10000),"No encontrado"))</f>
        <v/>
      </c>
      <c r="E778" s="22"/>
      <c r="F778" s="26" t="str">
        <f aca="false">IF(A778="","",IFERROR(buscarx(A778&amp;E778,DATA!$E$3:$E$10000&amp;DATA!$B$3:$B$10000,DATA!$M$3:$M$10000),"Inactivo"))</f>
        <v/>
      </c>
      <c r="G778" s="28" t="str">
        <f aca="false">IF(A778="","",IF(AND(C778&lt;&gt;"No encontrado",F778&lt;&gt;"Inactivo"),C778&amp;" → "&amp;F778,"Sin transición"))</f>
        <v/>
      </c>
      <c r="H778" s="26" t="str">
        <f aca="false">IF(A778="","",IF(D778="GCIA LINEA SERVICIO DIGITALIDAD Y VENTAS","Chats",IF(OR(D778="GERENCIA INBOUND LÍNEAS SERVICIO Y VENTA",D778="GERENCIA INBOUND LINEAS ESPECIALIZADAS"),"Llamadas","Otro")))</f>
        <v/>
      </c>
      <c r="I778" s="26" t="str">
        <f aca="false">IF(A778="","",IF(C778="No encontrado","No","Sí"))</f>
        <v/>
      </c>
      <c r="J778" s="26" t="str">
        <f aca="false">IF(A778="","",IF(F778="Inactivo","No","Sí"))</f>
        <v/>
      </c>
      <c r="K778" s="26" t="str">
        <f aca="false">IF(A778="","",IF(AND(I778="Sí",J778="Sí"),"Sí","No"))</f>
        <v/>
      </c>
    </row>
    <row r="779" customFormat="false" ht="15" hidden="false" customHeight="false" outlineLevel="0" collapsed="false">
      <c r="A779" s="22"/>
      <c r="B779" s="22"/>
      <c r="C779" s="23" t="str">
        <f aca="false">IF(A779="","",IFERROR(buscarx(A779&amp;B779,DATA!$E$3:$E$10000&amp;DATA!$B$3:$B$10000,DATA!$M$3:$M$10000),"No encontrado"))</f>
        <v/>
      </c>
      <c r="D779" s="24" t="str">
        <f aca="false">IF(A779="","",IFERROR(buscarx(A779&amp;B779,DATA!$E$3:$E$10000&amp;DATA!$B$3:$B$10000,DATA!$W$3:$W$10000),"No encontrado"))</f>
        <v/>
      </c>
      <c r="E779" s="22"/>
      <c r="F779" s="23" t="str">
        <f aca="false">IF(A779="","",IFERROR(buscarx(A779&amp;E779,DATA!$E$3:$E$10000&amp;DATA!$B$3:$B$10000,DATA!$M$3:$M$10000),"Inactivo"))</f>
        <v/>
      </c>
      <c r="G779" s="25" t="str">
        <f aca="false">IF(A779="","",IF(AND(C779&lt;&gt;"No encontrado",F779&lt;&gt;"Inactivo"),C779&amp;" → "&amp;F779,"Sin transición"))</f>
        <v/>
      </c>
      <c r="H779" s="23" t="str">
        <f aca="false">IF(A779="","",IF(D779="GCIA LINEA SERVICIO DIGITALIDAD Y VENTAS","Chats",IF(OR(D779="GERENCIA INBOUND LÍNEAS SERVICIO Y VENTA",D779="GERENCIA INBOUND LINEAS ESPECIALIZADAS"),"Llamadas","Otro")))</f>
        <v/>
      </c>
      <c r="I779" s="23" t="str">
        <f aca="false">IF(A779="","",IF(C779="No encontrado","No","Sí"))</f>
        <v/>
      </c>
      <c r="J779" s="23" t="str">
        <f aca="false">IF(A779="","",IF(F779="Inactivo","No","Sí"))</f>
        <v/>
      </c>
      <c r="K779" s="23" t="str">
        <f aca="false">IF(A779="","",IF(AND(I779="Sí",J779="Sí"),"Sí","No"))</f>
        <v/>
      </c>
    </row>
    <row r="780" customFormat="false" ht="15" hidden="false" customHeight="false" outlineLevel="0" collapsed="false">
      <c r="A780" s="22"/>
      <c r="B780" s="22"/>
      <c r="C780" s="26" t="str">
        <f aca="false">IF(A780="","",IFERROR(buscarx(A780&amp;B780,DATA!$E$3:$E$10000&amp;DATA!$B$3:$B$10000,DATA!$M$3:$M$10000),"No encontrado"))</f>
        <v/>
      </c>
      <c r="D780" s="27" t="str">
        <f aca="false">IF(A780="","",IFERROR(buscarx(A780&amp;B780,DATA!$E$3:$E$10000&amp;DATA!$B$3:$B$10000,DATA!$W$3:$W$10000),"No encontrado"))</f>
        <v/>
      </c>
      <c r="E780" s="22"/>
      <c r="F780" s="26" t="str">
        <f aca="false">IF(A780="","",IFERROR(buscarx(A780&amp;E780,DATA!$E$3:$E$10000&amp;DATA!$B$3:$B$10000,DATA!$M$3:$M$10000),"Inactivo"))</f>
        <v/>
      </c>
      <c r="G780" s="28" t="str">
        <f aca="false">IF(A780="","",IF(AND(C780&lt;&gt;"No encontrado",F780&lt;&gt;"Inactivo"),C780&amp;" → "&amp;F780,"Sin transición"))</f>
        <v/>
      </c>
      <c r="H780" s="26" t="str">
        <f aca="false">IF(A780="","",IF(D780="GCIA LINEA SERVICIO DIGITALIDAD Y VENTAS","Chats",IF(OR(D780="GERENCIA INBOUND LÍNEAS SERVICIO Y VENTA",D780="GERENCIA INBOUND LINEAS ESPECIALIZADAS"),"Llamadas","Otro")))</f>
        <v/>
      </c>
      <c r="I780" s="26" t="str">
        <f aca="false">IF(A780="","",IF(C780="No encontrado","No","Sí"))</f>
        <v/>
      </c>
      <c r="J780" s="26" t="str">
        <f aca="false">IF(A780="","",IF(F780="Inactivo","No","Sí"))</f>
        <v/>
      </c>
      <c r="K780" s="26" t="str">
        <f aca="false">IF(A780="","",IF(AND(I780="Sí",J780="Sí"),"Sí","No"))</f>
        <v/>
      </c>
    </row>
    <row r="781" customFormat="false" ht="15" hidden="false" customHeight="false" outlineLevel="0" collapsed="false">
      <c r="A781" s="22"/>
      <c r="B781" s="22"/>
      <c r="C781" s="23" t="str">
        <f aca="false">IF(A781="","",IFERROR(buscarx(A781&amp;B781,DATA!$E$3:$E$10000&amp;DATA!$B$3:$B$10000,DATA!$M$3:$M$10000),"No encontrado"))</f>
        <v/>
      </c>
      <c r="D781" s="24" t="str">
        <f aca="false">IF(A781="","",IFERROR(buscarx(A781&amp;B781,DATA!$E$3:$E$10000&amp;DATA!$B$3:$B$10000,DATA!$W$3:$W$10000),"No encontrado"))</f>
        <v/>
      </c>
      <c r="E781" s="22"/>
      <c r="F781" s="23" t="str">
        <f aca="false">IF(A781="","",IFERROR(buscarx(A781&amp;E781,DATA!$E$3:$E$10000&amp;DATA!$B$3:$B$10000,DATA!$M$3:$M$10000),"Inactivo"))</f>
        <v/>
      </c>
      <c r="G781" s="25" t="str">
        <f aca="false">IF(A781="","",IF(AND(C781&lt;&gt;"No encontrado",F781&lt;&gt;"Inactivo"),C781&amp;" → "&amp;F781,"Sin transición"))</f>
        <v/>
      </c>
      <c r="H781" s="23" t="str">
        <f aca="false">IF(A781="","",IF(D781="GCIA LINEA SERVICIO DIGITALIDAD Y VENTAS","Chats",IF(OR(D781="GERENCIA INBOUND LÍNEAS SERVICIO Y VENTA",D781="GERENCIA INBOUND LINEAS ESPECIALIZADAS"),"Llamadas","Otro")))</f>
        <v/>
      </c>
      <c r="I781" s="23" t="str">
        <f aca="false">IF(A781="","",IF(C781="No encontrado","No","Sí"))</f>
        <v/>
      </c>
      <c r="J781" s="23" t="str">
        <f aca="false">IF(A781="","",IF(F781="Inactivo","No","Sí"))</f>
        <v/>
      </c>
      <c r="K781" s="23" t="str">
        <f aca="false">IF(A781="","",IF(AND(I781="Sí",J781="Sí"),"Sí","No"))</f>
        <v/>
      </c>
    </row>
    <row r="782" customFormat="false" ht="15" hidden="false" customHeight="false" outlineLevel="0" collapsed="false">
      <c r="A782" s="22"/>
      <c r="B782" s="22"/>
      <c r="C782" s="26" t="str">
        <f aca="false">IF(A782="","",IFERROR(buscarx(A782&amp;B782,DATA!$E$3:$E$10000&amp;DATA!$B$3:$B$10000,DATA!$M$3:$M$10000),"No encontrado"))</f>
        <v/>
      </c>
      <c r="D782" s="27" t="str">
        <f aca="false">IF(A782="","",IFERROR(buscarx(A782&amp;B782,DATA!$E$3:$E$10000&amp;DATA!$B$3:$B$10000,DATA!$W$3:$W$10000),"No encontrado"))</f>
        <v/>
      </c>
      <c r="E782" s="22"/>
      <c r="F782" s="26" t="str">
        <f aca="false">IF(A782="","",IFERROR(buscarx(A782&amp;E782,DATA!$E$3:$E$10000&amp;DATA!$B$3:$B$10000,DATA!$M$3:$M$10000),"Inactivo"))</f>
        <v/>
      </c>
      <c r="G782" s="28" t="str">
        <f aca="false">IF(A782="","",IF(AND(C782&lt;&gt;"No encontrado",F782&lt;&gt;"Inactivo"),C782&amp;" → "&amp;F782,"Sin transición"))</f>
        <v/>
      </c>
      <c r="H782" s="26" t="str">
        <f aca="false">IF(A782="","",IF(D782="GCIA LINEA SERVICIO DIGITALIDAD Y VENTAS","Chats",IF(OR(D782="GERENCIA INBOUND LÍNEAS SERVICIO Y VENTA",D782="GERENCIA INBOUND LINEAS ESPECIALIZADAS"),"Llamadas","Otro")))</f>
        <v/>
      </c>
      <c r="I782" s="26" t="str">
        <f aca="false">IF(A782="","",IF(C782="No encontrado","No","Sí"))</f>
        <v/>
      </c>
      <c r="J782" s="26" t="str">
        <f aca="false">IF(A782="","",IF(F782="Inactivo","No","Sí"))</f>
        <v/>
      </c>
      <c r="K782" s="26" t="str">
        <f aca="false">IF(A782="","",IF(AND(I782="Sí",J782="Sí"),"Sí","No"))</f>
        <v/>
      </c>
    </row>
    <row r="783" customFormat="false" ht="15" hidden="false" customHeight="false" outlineLevel="0" collapsed="false">
      <c r="A783" s="22"/>
      <c r="B783" s="22"/>
      <c r="C783" s="23" t="str">
        <f aca="false">IF(A783="","",IFERROR(buscarx(A783&amp;B783,DATA!$E$3:$E$10000&amp;DATA!$B$3:$B$10000,DATA!$M$3:$M$10000),"No encontrado"))</f>
        <v/>
      </c>
      <c r="D783" s="24" t="str">
        <f aca="false">IF(A783="","",IFERROR(buscarx(A783&amp;B783,DATA!$E$3:$E$10000&amp;DATA!$B$3:$B$10000,DATA!$W$3:$W$10000),"No encontrado"))</f>
        <v/>
      </c>
      <c r="E783" s="22"/>
      <c r="F783" s="23" t="str">
        <f aca="false">IF(A783="","",IFERROR(buscarx(A783&amp;E783,DATA!$E$3:$E$10000&amp;DATA!$B$3:$B$10000,DATA!$M$3:$M$10000),"Inactivo"))</f>
        <v/>
      </c>
      <c r="G783" s="25" t="str">
        <f aca="false">IF(A783="","",IF(AND(C783&lt;&gt;"No encontrado",F783&lt;&gt;"Inactivo"),C783&amp;" → "&amp;F783,"Sin transición"))</f>
        <v/>
      </c>
      <c r="H783" s="23" t="str">
        <f aca="false">IF(A783="","",IF(D783="GCIA LINEA SERVICIO DIGITALIDAD Y VENTAS","Chats",IF(OR(D783="GERENCIA INBOUND LÍNEAS SERVICIO Y VENTA",D783="GERENCIA INBOUND LINEAS ESPECIALIZADAS"),"Llamadas","Otro")))</f>
        <v/>
      </c>
      <c r="I783" s="23" t="str">
        <f aca="false">IF(A783="","",IF(C783="No encontrado","No","Sí"))</f>
        <v/>
      </c>
      <c r="J783" s="23" t="str">
        <f aca="false">IF(A783="","",IF(F783="Inactivo","No","Sí"))</f>
        <v/>
      </c>
      <c r="K783" s="23" t="str">
        <f aca="false">IF(A783="","",IF(AND(I783="Sí",J783="Sí"),"Sí","No"))</f>
        <v/>
      </c>
    </row>
    <row r="784" customFormat="false" ht="15" hidden="false" customHeight="false" outlineLevel="0" collapsed="false">
      <c r="A784" s="22"/>
      <c r="B784" s="22"/>
      <c r="C784" s="26" t="str">
        <f aca="false">IF(A784="","",IFERROR(buscarx(A784&amp;B784,DATA!$E$3:$E$10000&amp;DATA!$B$3:$B$10000,DATA!$M$3:$M$10000),"No encontrado"))</f>
        <v/>
      </c>
      <c r="D784" s="27" t="str">
        <f aca="false">IF(A784="","",IFERROR(buscarx(A784&amp;B784,DATA!$E$3:$E$10000&amp;DATA!$B$3:$B$10000,DATA!$W$3:$W$10000),"No encontrado"))</f>
        <v/>
      </c>
      <c r="E784" s="22"/>
      <c r="F784" s="26" t="str">
        <f aca="false">IF(A784="","",IFERROR(buscarx(A784&amp;E784,DATA!$E$3:$E$10000&amp;DATA!$B$3:$B$10000,DATA!$M$3:$M$10000),"Inactivo"))</f>
        <v/>
      </c>
      <c r="G784" s="28" t="str">
        <f aca="false">IF(A784="","",IF(AND(C784&lt;&gt;"No encontrado",F784&lt;&gt;"Inactivo"),C784&amp;" → "&amp;F784,"Sin transición"))</f>
        <v/>
      </c>
      <c r="H784" s="26" t="str">
        <f aca="false">IF(A784="","",IF(D784="GCIA LINEA SERVICIO DIGITALIDAD Y VENTAS","Chats",IF(OR(D784="GERENCIA INBOUND LÍNEAS SERVICIO Y VENTA",D784="GERENCIA INBOUND LINEAS ESPECIALIZADAS"),"Llamadas","Otro")))</f>
        <v/>
      </c>
      <c r="I784" s="26" t="str">
        <f aca="false">IF(A784="","",IF(C784="No encontrado","No","Sí"))</f>
        <v/>
      </c>
      <c r="J784" s="26" t="str">
        <f aca="false">IF(A784="","",IF(F784="Inactivo","No","Sí"))</f>
        <v/>
      </c>
      <c r="K784" s="26" t="str">
        <f aca="false">IF(A784="","",IF(AND(I784="Sí",J784="Sí"),"Sí","No"))</f>
        <v/>
      </c>
    </row>
    <row r="785" customFormat="false" ht="15" hidden="false" customHeight="false" outlineLevel="0" collapsed="false">
      <c r="A785" s="22"/>
      <c r="B785" s="22"/>
      <c r="C785" s="23" t="str">
        <f aca="false">IF(A785="","",IFERROR(buscarx(A785&amp;B785,DATA!$E$3:$E$10000&amp;DATA!$B$3:$B$10000,DATA!$M$3:$M$10000),"No encontrado"))</f>
        <v/>
      </c>
      <c r="D785" s="24" t="str">
        <f aca="false">IF(A785="","",IFERROR(buscarx(A785&amp;B785,DATA!$E$3:$E$10000&amp;DATA!$B$3:$B$10000,DATA!$W$3:$W$10000),"No encontrado"))</f>
        <v/>
      </c>
      <c r="E785" s="22"/>
      <c r="F785" s="23" t="str">
        <f aca="false">IF(A785="","",IFERROR(buscarx(A785&amp;E785,DATA!$E$3:$E$10000&amp;DATA!$B$3:$B$10000,DATA!$M$3:$M$10000),"Inactivo"))</f>
        <v/>
      </c>
      <c r="G785" s="25" t="str">
        <f aca="false">IF(A785="","",IF(AND(C785&lt;&gt;"No encontrado",F785&lt;&gt;"Inactivo"),C785&amp;" → "&amp;F785,"Sin transición"))</f>
        <v/>
      </c>
      <c r="H785" s="23" t="str">
        <f aca="false">IF(A785="","",IF(D785="GCIA LINEA SERVICIO DIGITALIDAD Y VENTAS","Chats",IF(OR(D785="GERENCIA INBOUND LÍNEAS SERVICIO Y VENTA",D785="GERENCIA INBOUND LINEAS ESPECIALIZADAS"),"Llamadas","Otro")))</f>
        <v/>
      </c>
      <c r="I785" s="23" t="str">
        <f aca="false">IF(A785="","",IF(C785="No encontrado","No","Sí"))</f>
        <v/>
      </c>
      <c r="J785" s="23" t="str">
        <f aca="false">IF(A785="","",IF(F785="Inactivo","No","Sí"))</f>
        <v/>
      </c>
      <c r="K785" s="23" t="str">
        <f aca="false">IF(A785="","",IF(AND(I785="Sí",J785="Sí"),"Sí","No"))</f>
        <v/>
      </c>
    </row>
    <row r="786" customFormat="false" ht="15" hidden="false" customHeight="false" outlineLevel="0" collapsed="false">
      <c r="A786" s="22"/>
      <c r="B786" s="22"/>
      <c r="C786" s="26" t="str">
        <f aca="false">IF(A786="","",IFERROR(buscarx(A786&amp;B786,DATA!$E$3:$E$10000&amp;DATA!$B$3:$B$10000,DATA!$M$3:$M$10000),"No encontrado"))</f>
        <v/>
      </c>
      <c r="D786" s="27" t="str">
        <f aca="false">IF(A786="","",IFERROR(buscarx(A786&amp;B786,DATA!$E$3:$E$10000&amp;DATA!$B$3:$B$10000,DATA!$W$3:$W$10000),"No encontrado"))</f>
        <v/>
      </c>
      <c r="E786" s="22"/>
      <c r="F786" s="26" t="str">
        <f aca="false">IF(A786="","",IFERROR(buscarx(A786&amp;E786,DATA!$E$3:$E$10000&amp;DATA!$B$3:$B$10000,DATA!$M$3:$M$10000),"Inactivo"))</f>
        <v/>
      </c>
      <c r="G786" s="28" t="str">
        <f aca="false">IF(A786="","",IF(AND(C786&lt;&gt;"No encontrado",F786&lt;&gt;"Inactivo"),C786&amp;" → "&amp;F786,"Sin transición"))</f>
        <v/>
      </c>
      <c r="H786" s="26" t="str">
        <f aca="false">IF(A786="","",IF(D786="GCIA LINEA SERVICIO DIGITALIDAD Y VENTAS","Chats",IF(OR(D786="GERENCIA INBOUND LÍNEAS SERVICIO Y VENTA",D786="GERENCIA INBOUND LINEAS ESPECIALIZADAS"),"Llamadas","Otro")))</f>
        <v/>
      </c>
      <c r="I786" s="26" t="str">
        <f aca="false">IF(A786="","",IF(C786="No encontrado","No","Sí"))</f>
        <v/>
      </c>
      <c r="J786" s="26" t="str">
        <f aca="false">IF(A786="","",IF(F786="Inactivo","No","Sí"))</f>
        <v/>
      </c>
      <c r="K786" s="26" t="str">
        <f aca="false">IF(A786="","",IF(AND(I786="Sí",J786="Sí"),"Sí","No"))</f>
        <v/>
      </c>
    </row>
    <row r="787" customFormat="false" ht="15" hidden="false" customHeight="false" outlineLevel="0" collapsed="false">
      <c r="A787" s="22"/>
      <c r="B787" s="22"/>
      <c r="C787" s="23" t="str">
        <f aca="false">IF(A787="","",IFERROR(buscarx(A787&amp;B787,DATA!$E$3:$E$10000&amp;DATA!$B$3:$B$10000,DATA!$M$3:$M$10000),"No encontrado"))</f>
        <v/>
      </c>
      <c r="D787" s="24" t="str">
        <f aca="false">IF(A787="","",IFERROR(buscarx(A787&amp;B787,DATA!$E$3:$E$10000&amp;DATA!$B$3:$B$10000,DATA!$W$3:$W$10000),"No encontrado"))</f>
        <v/>
      </c>
      <c r="E787" s="22"/>
      <c r="F787" s="23" t="str">
        <f aca="false">IF(A787="","",IFERROR(buscarx(A787&amp;E787,DATA!$E$3:$E$10000&amp;DATA!$B$3:$B$10000,DATA!$M$3:$M$10000),"Inactivo"))</f>
        <v/>
      </c>
      <c r="G787" s="25" t="str">
        <f aca="false">IF(A787="","",IF(AND(C787&lt;&gt;"No encontrado",F787&lt;&gt;"Inactivo"),C787&amp;" → "&amp;F787,"Sin transición"))</f>
        <v/>
      </c>
      <c r="H787" s="23" t="str">
        <f aca="false">IF(A787="","",IF(D787="GCIA LINEA SERVICIO DIGITALIDAD Y VENTAS","Chats",IF(OR(D787="GERENCIA INBOUND LÍNEAS SERVICIO Y VENTA",D787="GERENCIA INBOUND LINEAS ESPECIALIZADAS"),"Llamadas","Otro")))</f>
        <v/>
      </c>
      <c r="I787" s="23" t="str">
        <f aca="false">IF(A787="","",IF(C787="No encontrado","No","Sí"))</f>
        <v/>
      </c>
      <c r="J787" s="23" t="str">
        <f aca="false">IF(A787="","",IF(F787="Inactivo","No","Sí"))</f>
        <v/>
      </c>
      <c r="K787" s="23" t="str">
        <f aca="false">IF(A787="","",IF(AND(I787="Sí",J787="Sí"),"Sí","No"))</f>
        <v/>
      </c>
    </row>
    <row r="788" customFormat="false" ht="15" hidden="false" customHeight="false" outlineLevel="0" collapsed="false">
      <c r="A788" s="22"/>
      <c r="B788" s="22"/>
      <c r="C788" s="26" t="str">
        <f aca="false">IF(A788="","",IFERROR(buscarx(A788&amp;B788,DATA!$E$3:$E$10000&amp;DATA!$B$3:$B$10000,DATA!$M$3:$M$10000),"No encontrado"))</f>
        <v/>
      </c>
      <c r="D788" s="27" t="str">
        <f aca="false">IF(A788="","",IFERROR(buscarx(A788&amp;B788,DATA!$E$3:$E$10000&amp;DATA!$B$3:$B$10000,DATA!$W$3:$W$10000),"No encontrado"))</f>
        <v/>
      </c>
      <c r="E788" s="22"/>
      <c r="F788" s="26" t="str">
        <f aca="false">IF(A788="","",IFERROR(buscarx(A788&amp;E788,DATA!$E$3:$E$10000&amp;DATA!$B$3:$B$10000,DATA!$M$3:$M$10000),"Inactivo"))</f>
        <v/>
      </c>
      <c r="G788" s="28" t="str">
        <f aca="false">IF(A788="","",IF(AND(C788&lt;&gt;"No encontrado",F788&lt;&gt;"Inactivo"),C788&amp;" → "&amp;F788,"Sin transición"))</f>
        <v/>
      </c>
      <c r="H788" s="26" t="str">
        <f aca="false">IF(A788="","",IF(D788="GCIA LINEA SERVICIO DIGITALIDAD Y VENTAS","Chats",IF(OR(D788="GERENCIA INBOUND LÍNEAS SERVICIO Y VENTA",D788="GERENCIA INBOUND LINEAS ESPECIALIZADAS"),"Llamadas","Otro")))</f>
        <v/>
      </c>
      <c r="I788" s="26" t="str">
        <f aca="false">IF(A788="","",IF(C788="No encontrado","No","Sí"))</f>
        <v/>
      </c>
      <c r="J788" s="26" t="str">
        <f aca="false">IF(A788="","",IF(F788="Inactivo","No","Sí"))</f>
        <v/>
      </c>
      <c r="K788" s="26" t="str">
        <f aca="false">IF(A788="","",IF(AND(I788="Sí",J788="Sí"),"Sí","No"))</f>
        <v/>
      </c>
    </row>
    <row r="789" customFormat="false" ht="15" hidden="false" customHeight="false" outlineLevel="0" collapsed="false">
      <c r="A789" s="22"/>
      <c r="B789" s="22"/>
      <c r="C789" s="23" t="str">
        <f aca="false">IF(A789="","",IFERROR(buscarx(A789&amp;B789,DATA!$E$3:$E$10000&amp;DATA!$B$3:$B$10000,DATA!$M$3:$M$10000),"No encontrado"))</f>
        <v/>
      </c>
      <c r="D789" s="24" t="str">
        <f aca="false">IF(A789="","",IFERROR(buscarx(A789&amp;B789,DATA!$E$3:$E$10000&amp;DATA!$B$3:$B$10000,DATA!$W$3:$W$10000),"No encontrado"))</f>
        <v/>
      </c>
      <c r="E789" s="22"/>
      <c r="F789" s="23" t="str">
        <f aca="false">IF(A789="","",IFERROR(buscarx(A789&amp;E789,DATA!$E$3:$E$10000&amp;DATA!$B$3:$B$10000,DATA!$M$3:$M$10000),"Inactivo"))</f>
        <v/>
      </c>
      <c r="G789" s="25" t="str">
        <f aca="false">IF(A789="","",IF(AND(C789&lt;&gt;"No encontrado",F789&lt;&gt;"Inactivo"),C789&amp;" → "&amp;F789,"Sin transición"))</f>
        <v/>
      </c>
      <c r="H789" s="23" t="str">
        <f aca="false">IF(A789="","",IF(D789="GCIA LINEA SERVICIO DIGITALIDAD Y VENTAS","Chats",IF(OR(D789="GERENCIA INBOUND LÍNEAS SERVICIO Y VENTA",D789="GERENCIA INBOUND LINEAS ESPECIALIZADAS"),"Llamadas","Otro")))</f>
        <v/>
      </c>
      <c r="I789" s="23" t="str">
        <f aca="false">IF(A789="","",IF(C789="No encontrado","No","Sí"))</f>
        <v/>
      </c>
      <c r="J789" s="23" t="str">
        <f aca="false">IF(A789="","",IF(F789="Inactivo","No","Sí"))</f>
        <v/>
      </c>
      <c r="K789" s="23" t="str">
        <f aca="false">IF(A789="","",IF(AND(I789="Sí",J789="Sí"),"Sí","No"))</f>
        <v/>
      </c>
    </row>
    <row r="790" customFormat="false" ht="15" hidden="false" customHeight="false" outlineLevel="0" collapsed="false">
      <c r="A790" s="22"/>
      <c r="B790" s="22"/>
      <c r="C790" s="26" t="str">
        <f aca="false">IF(A790="","",IFERROR(buscarx(A790&amp;B790,DATA!$E$3:$E$10000&amp;DATA!$B$3:$B$10000,DATA!$M$3:$M$10000),"No encontrado"))</f>
        <v/>
      </c>
      <c r="D790" s="27" t="str">
        <f aca="false">IF(A790="","",IFERROR(buscarx(A790&amp;B790,DATA!$E$3:$E$10000&amp;DATA!$B$3:$B$10000,DATA!$W$3:$W$10000),"No encontrado"))</f>
        <v/>
      </c>
      <c r="E790" s="22"/>
      <c r="F790" s="26" t="str">
        <f aca="false">IF(A790="","",IFERROR(buscarx(A790&amp;E790,DATA!$E$3:$E$10000&amp;DATA!$B$3:$B$10000,DATA!$M$3:$M$10000),"Inactivo"))</f>
        <v/>
      </c>
      <c r="G790" s="28" t="str">
        <f aca="false">IF(A790="","",IF(AND(C790&lt;&gt;"No encontrado",F790&lt;&gt;"Inactivo"),C790&amp;" → "&amp;F790,"Sin transición"))</f>
        <v/>
      </c>
      <c r="H790" s="26" t="str">
        <f aca="false">IF(A790="","",IF(D790="GCIA LINEA SERVICIO DIGITALIDAD Y VENTAS","Chats",IF(OR(D790="GERENCIA INBOUND LÍNEAS SERVICIO Y VENTA",D790="GERENCIA INBOUND LINEAS ESPECIALIZADAS"),"Llamadas","Otro")))</f>
        <v/>
      </c>
      <c r="I790" s="26" t="str">
        <f aca="false">IF(A790="","",IF(C790="No encontrado","No","Sí"))</f>
        <v/>
      </c>
      <c r="J790" s="26" t="str">
        <f aca="false">IF(A790="","",IF(F790="Inactivo","No","Sí"))</f>
        <v/>
      </c>
      <c r="K790" s="26" t="str">
        <f aca="false">IF(A790="","",IF(AND(I790="Sí",J790="Sí"),"Sí","No"))</f>
        <v/>
      </c>
    </row>
    <row r="791" customFormat="false" ht="15" hidden="false" customHeight="false" outlineLevel="0" collapsed="false">
      <c r="A791" s="22"/>
      <c r="B791" s="22"/>
      <c r="C791" s="23" t="str">
        <f aca="false">IF(A791="","",IFERROR(buscarx(A791&amp;B791,DATA!$E$3:$E$10000&amp;DATA!$B$3:$B$10000,DATA!$M$3:$M$10000),"No encontrado"))</f>
        <v/>
      </c>
      <c r="D791" s="24" t="str">
        <f aca="false">IF(A791="","",IFERROR(buscarx(A791&amp;B791,DATA!$E$3:$E$10000&amp;DATA!$B$3:$B$10000,DATA!$W$3:$W$10000),"No encontrado"))</f>
        <v/>
      </c>
      <c r="E791" s="22"/>
      <c r="F791" s="23" t="str">
        <f aca="false">IF(A791="","",IFERROR(buscarx(A791&amp;E791,DATA!$E$3:$E$10000&amp;DATA!$B$3:$B$10000,DATA!$M$3:$M$10000),"Inactivo"))</f>
        <v/>
      </c>
      <c r="G791" s="25" t="str">
        <f aca="false">IF(A791="","",IF(AND(C791&lt;&gt;"No encontrado",F791&lt;&gt;"Inactivo"),C791&amp;" → "&amp;F791,"Sin transición"))</f>
        <v/>
      </c>
      <c r="H791" s="23" t="str">
        <f aca="false">IF(A791="","",IF(D791="GCIA LINEA SERVICIO DIGITALIDAD Y VENTAS","Chats",IF(OR(D791="GERENCIA INBOUND LÍNEAS SERVICIO Y VENTA",D791="GERENCIA INBOUND LINEAS ESPECIALIZADAS"),"Llamadas","Otro")))</f>
        <v/>
      </c>
      <c r="I791" s="23" t="str">
        <f aca="false">IF(A791="","",IF(C791="No encontrado","No","Sí"))</f>
        <v/>
      </c>
      <c r="J791" s="23" t="str">
        <f aca="false">IF(A791="","",IF(F791="Inactivo","No","Sí"))</f>
        <v/>
      </c>
      <c r="K791" s="23" t="str">
        <f aca="false">IF(A791="","",IF(AND(I791="Sí",J791="Sí"),"Sí","No"))</f>
        <v/>
      </c>
    </row>
    <row r="792" customFormat="false" ht="15" hidden="false" customHeight="false" outlineLevel="0" collapsed="false">
      <c r="A792" s="22"/>
      <c r="B792" s="22"/>
      <c r="C792" s="26" t="str">
        <f aca="false">IF(A792="","",IFERROR(buscarx(A792&amp;B792,DATA!$E$3:$E$10000&amp;DATA!$B$3:$B$10000,DATA!$M$3:$M$10000),"No encontrado"))</f>
        <v/>
      </c>
      <c r="D792" s="27" t="str">
        <f aca="false">IF(A792="","",IFERROR(buscarx(A792&amp;B792,DATA!$E$3:$E$10000&amp;DATA!$B$3:$B$10000,DATA!$W$3:$W$10000),"No encontrado"))</f>
        <v/>
      </c>
      <c r="E792" s="22"/>
      <c r="F792" s="26" t="str">
        <f aca="false">IF(A792="","",IFERROR(buscarx(A792&amp;E792,DATA!$E$3:$E$10000&amp;DATA!$B$3:$B$10000,DATA!$M$3:$M$10000),"Inactivo"))</f>
        <v/>
      </c>
      <c r="G792" s="28" t="str">
        <f aca="false">IF(A792="","",IF(AND(C792&lt;&gt;"No encontrado",F792&lt;&gt;"Inactivo"),C792&amp;" → "&amp;F792,"Sin transición"))</f>
        <v/>
      </c>
      <c r="H792" s="26" t="str">
        <f aca="false">IF(A792="","",IF(D792="GCIA LINEA SERVICIO DIGITALIDAD Y VENTAS","Chats",IF(OR(D792="GERENCIA INBOUND LÍNEAS SERVICIO Y VENTA",D792="GERENCIA INBOUND LINEAS ESPECIALIZADAS"),"Llamadas","Otro")))</f>
        <v/>
      </c>
      <c r="I792" s="26" t="str">
        <f aca="false">IF(A792="","",IF(C792="No encontrado","No","Sí"))</f>
        <v/>
      </c>
      <c r="J792" s="26" t="str">
        <f aca="false">IF(A792="","",IF(F792="Inactivo","No","Sí"))</f>
        <v/>
      </c>
      <c r="K792" s="26" t="str">
        <f aca="false">IF(A792="","",IF(AND(I792="Sí",J792="Sí"),"Sí","No"))</f>
        <v/>
      </c>
    </row>
    <row r="793" customFormat="false" ht="15" hidden="false" customHeight="false" outlineLevel="0" collapsed="false">
      <c r="A793" s="22"/>
      <c r="B793" s="22"/>
      <c r="C793" s="23" t="str">
        <f aca="false">IF(A793="","",IFERROR(buscarx(A793&amp;B793,DATA!$E$3:$E$10000&amp;DATA!$B$3:$B$10000,DATA!$M$3:$M$10000),"No encontrado"))</f>
        <v/>
      </c>
      <c r="D793" s="24" t="str">
        <f aca="false">IF(A793="","",IFERROR(buscarx(A793&amp;B793,DATA!$E$3:$E$10000&amp;DATA!$B$3:$B$10000,DATA!$W$3:$W$10000),"No encontrado"))</f>
        <v/>
      </c>
      <c r="E793" s="22"/>
      <c r="F793" s="23" t="str">
        <f aca="false">IF(A793="","",IFERROR(buscarx(A793&amp;E793,DATA!$E$3:$E$10000&amp;DATA!$B$3:$B$10000,DATA!$M$3:$M$10000),"Inactivo"))</f>
        <v/>
      </c>
      <c r="G793" s="25" t="str">
        <f aca="false">IF(A793="","",IF(AND(C793&lt;&gt;"No encontrado",F793&lt;&gt;"Inactivo"),C793&amp;" → "&amp;F793,"Sin transición"))</f>
        <v/>
      </c>
      <c r="H793" s="23" t="str">
        <f aca="false">IF(A793="","",IF(D793="GCIA LINEA SERVICIO DIGITALIDAD Y VENTAS","Chats",IF(OR(D793="GERENCIA INBOUND LÍNEAS SERVICIO Y VENTA",D793="GERENCIA INBOUND LINEAS ESPECIALIZADAS"),"Llamadas","Otro")))</f>
        <v/>
      </c>
      <c r="I793" s="23" t="str">
        <f aca="false">IF(A793="","",IF(C793="No encontrado","No","Sí"))</f>
        <v/>
      </c>
      <c r="J793" s="23" t="str">
        <f aca="false">IF(A793="","",IF(F793="Inactivo","No","Sí"))</f>
        <v/>
      </c>
      <c r="K793" s="23" t="str">
        <f aca="false">IF(A793="","",IF(AND(I793="Sí",J793="Sí"),"Sí","No"))</f>
        <v/>
      </c>
    </row>
    <row r="794" customFormat="false" ht="15" hidden="false" customHeight="false" outlineLevel="0" collapsed="false">
      <c r="A794" s="22"/>
      <c r="B794" s="22"/>
      <c r="C794" s="26" t="str">
        <f aca="false">IF(A794="","",IFERROR(buscarx(A794&amp;B794,DATA!$E$3:$E$10000&amp;DATA!$B$3:$B$10000,DATA!$M$3:$M$10000),"No encontrado"))</f>
        <v/>
      </c>
      <c r="D794" s="27" t="str">
        <f aca="false">IF(A794="","",IFERROR(buscarx(A794&amp;B794,DATA!$E$3:$E$10000&amp;DATA!$B$3:$B$10000,DATA!$W$3:$W$10000),"No encontrado"))</f>
        <v/>
      </c>
      <c r="E794" s="22"/>
      <c r="F794" s="26" t="str">
        <f aca="false">IF(A794="","",IFERROR(buscarx(A794&amp;E794,DATA!$E$3:$E$10000&amp;DATA!$B$3:$B$10000,DATA!$M$3:$M$10000),"Inactivo"))</f>
        <v/>
      </c>
      <c r="G794" s="28" t="str">
        <f aca="false">IF(A794="","",IF(AND(C794&lt;&gt;"No encontrado",F794&lt;&gt;"Inactivo"),C794&amp;" → "&amp;F794,"Sin transición"))</f>
        <v/>
      </c>
      <c r="H794" s="26" t="str">
        <f aca="false">IF(A794="","",IF(D794="GCIA LINEA SERVICIO DIGITALIDAD Y VENTAS","Chats",IF(OR(D794="GERENCIA INBOUND LÍNEAS SERVICIO Y VENTA",D794="GERENCIA INBOUND LINEAS ESPECIALIZADAS"),"Llamadas","Otro")))</f>
        <v/>
      </c>
      <c r="I794" s="26" t="str">
        <f aca="false">IF(A794="","",IF(C794="No encontrado","No","Sí"))</f>
        <v/>
      </c>
      <c r="J794" s="26" t="str">
        <f aca="false">IF(A794="","",IF(F794="Inactivo","No","Sí"))</f>
        <v/>
      </c>
      <c r="K794" s="26" t="str">
        <f aca="false">IF(A794="","",IF(AND(I794="Sí",J794="Sí"),"Sí","No"))</f>
        <v/>
      </c>
    </row>
    <row r="795" customFormat="false" ht="15" hidden="false" customHeight="false" outlineLevel="0" collapsed="false">
      <c r="A795" s="22"/>
      <c r="B795" s="22"/>
      <c r="C795" s="23" t="str">
        <f aca="false">IF(A795="","",IFERROR(buscarx(A795&amp;B795,DATA!$E$3:$E$10000&amp;DATA!$B$3:$B$10000,DATA!$M$3:$M$10000),"No encontrado"))</f>
        <v/>
      </c>
      <c r="D795" s="24" t="str">
        <f aca="false">IF(A795="","",IFERROR(buscarx(A795&amp;B795,DATA!$E$3:$E$10000&amp;DATA!$B$3:$B$10000,DATA!$W$3:$W$10000),"No encontrado"))</f>
        <v/>
      </c>
      <c r="E795" s="22"/>
      <c r="F795" s="23" t="str">
        <f aca="false">IF(A795="","",IFERROR(buscarx(A795&amp;E795,DATA!$E$3:$E$10000&amp;DATA!$B$3:$B$10000,DATA!$M$3:$M$10000),"Inactivo"))</f>
        <v/>
      </c>
      <c r="G795" s="25" t="str">
        <f aca="false">IF(A795="","",IF(AND(C795&lt;&gt;"No encontrado",F795&lt;&gt;"Inactivo"),C795&amp;" → "&amp;F795,"Sin transición"))</f>
        <v/>
      </c>
      <c r="H795" s="23" t="str">
        <f aca="false">IF(A795="","",IF(D795="GCIA LINEA SERVICIO DIGITALIDAD Y VENTAS","Chats",IF(OR(D795="GERENCIA INBOUND LÍNEAS SERVICIO Y VENTA",D795="GERENCIA INBOUND LINEAS ESPECIALIZADAS"),"Llamadas","Otro")))</f>
        <v/>
      </c>
      <c r="I795" s="23" t="str">
        <f aca="false">IF(A795="","",IF(C795="No encontrado","No","Sí"))</f>
        <v/>
      </c>
      <c r="J795" s="23" t="str">
        <f aca="false">IF(A795="","",IF(F795="Inactivo","No","Sí"))</f>
        <v/>
      </c>
      <c r="K795" s="23" t="str">
        <f aca="false">IF(A795="","",IF(AND(I795="Sí",J795="Sí"),"Sí","No"))</f>
        <v/>
      </c>
    </row>
    <row r="796" customFormat="false" ht="15" hidden="false" customHeight="false" outlineLevel="0" collapsed="false">
      <c r="A796" s="22"/>
      <c r="B796" s="22"/>
      <c r="C796" s="26" t="str">
        <f aca="false">IF(A796="","",IFERROR(buscarx(A796&amp;B796,DATA!$E$3:$E$10000&amp;DATA!$B$3:$B$10000,DATA!$M$3:$M$10000),"No encontrado"))</f>
        <v/>
      </c>
      <c r="D796" s="27" t="str">
        <f aca="false">IF(A796="","",IFERROR(buscarx(A796&amp;B796,DATA!$E$3:$E$10000&amp;DATA!$B$3:$B$10000,DATA!$W$3:$W$10000),"No encontrado"))</f>
        <v/>
      </c>
      <c r="E796" s="22"/>
      <c r="F796" s="26" t="str">
        <f aca="false">IF(A796="","",IFERROR(buscarx(A796&amp;E796,DATA!$E$3:$E$10000&amp;DATA!$B$3:$B$10000,DATA!$M$3:$M$10000),"Inactivo"))</f>
        <v/>
      </c>
      <c r="G796" s="28" t="str">
        <f aca="false">IF(A796="","",IF(AND(C796&lt;&gt;"No encontrado",F796&lt;&gt;"Inactivo"),C796&amp;" → "&amp;F796,"Sin transición"))</f>
        <v/>
      </c>
      <c r="H796" s="26" t="str">
        <f aca="false">IF(A796="","",IF(D796="GCIA LINEA SERVICIO DIGITALIDAD Y VENTAS","Chats",IF(OR(D796="GERENCIA INBOUND LÍNEAS SERVICIO Y VENTA",D796="GERENCIA INBOUND LINEAS ESPECIALIZADAS"),"Llamadas","Otro")))</f>
        <v/>
      </c>
      <c r="I796" s="26" t="str">
        <f aca="false">IF(A796="","",IF(C796="No encontrado","No","Sí"))</f>
        <v/>
      </c>
      <c r="J796" s="26" t="str">
        <f aca="false">IF(A796="","",IF(F796="Inactivo","No","Sí"))</f>
        <v/>
      </c>
      <c r="K796" s="26" t="str">
        <f aca="false">IF(A796="","",IF(AND(I796="Sí",J796="Sí"),"Sí","No"))</f>
        <v/>
      </c>
    </row>
    <row r="797" customFormat="false" ht="15" hidden="false" customHeight="false" outlineLevel="0" collapsed="false">
      <c r="A797" s="22"/>
      <c r="B797" s="22"/>
      <c r="C797" s="23" t="str">
        <f aca="false">IF(A797="","",IFERROR(buscarx(A797&amp;B797,DATA!$E$3:$E$10000&amp;DATA!$B$3:$B$10000,DATA!$M$3:$M$10000),"No encontrado"))</f>
        <v/>
      </c>
      <c r="D797" s="24" t="str">
        <f aca="false">IF(A797="","",IFERROR(buscarx(A797&amp;B797,DATA!$E$3:$E$10000&amp;DATA!$B$3:$B$10000,DATA!$W$3:$W$10000),"No encontrado"))</f>
        <v/>
      </c>
      <c r="E797" s="22"/>
      <c r="F797" s="23" t="str">
        <f aca="false">IF(A797="","",IFERROR(buscarx(A797&amp;E797,DATA!$E$3:$E$10000&amp;DATA!$B$3:$B$10000,DATA!$M$3:$M$10000),"Inactivo"))</f>
        <v/>
      </c>
      <c r="G797" s="25" t="str">
        <f aca="false">IF(A797="","",IF(AND(C797&lt;&gt;"No encontrado",F797&lt;&gt;"Inactivo"),C797&amp;" → "&amp;F797,"Sin transición"))</f>
        <v/>
      </c>
      <c r="H797" s="23" t="str">
        <f aca="false">IF(A797="","",IF(D797="GCIA LINEA SERVICIO DIGITALIDAD Y VENTAS","Chats",IF(OR(D797="GERENCIA INBOUND LÍNEAS SERVICIO Y VENTA",D797="GERENCIA INBOUND LINEAS ESPECIALIZADAS"),"Llamadas","Otro")))</f>
        <v/>
      </c>
      <c r="I797" s="23" t="str">
        <f aca="false">IF(A797="","",IF(C797="No encontrado","No","Sí"))</f>
        <v/>
      </c>
      <c r="J797" s="23" t="str">
        <f aca="false">IF(A797="","",IF(F797="Inactivo","No","Sí"))</f>
        <v/>
      </c>
      <c r="K797" s="23" t="str">
        <f aca="false">IF(A797="","",IF(AND(I797="Sí",J797="Sí"),"Sí","No"))</f>
        <v/>
      </c>
    </row>
    <row r="798" customFormat="false" ht="15" hidden="false" customHeight="false" outlineLevel="0" collapsed="false">
      <c r="A798" s="22"/>
      <c r="B798" s="22"/>
      <c r="C798" s="26" t="str">
        <f aca="false">IF(A798="","",IFERROR(buscarx(A798&amp;B798,DATA!$E$3:$E$10000&amp;DATA!$B$3:$B$10000,DATA!$M$3:$M$10000),"No encontrado"))</f>
        <v/>
      </c>
      <c r="D798" s="27" t="str">
        <f aca="false">IF(A798="","",IFERROR(buscarx(A798&amp;B798,DATA!$E$3:$E$10000&amp;DATA!$B$3:$B$10000,DATA!$W$3:$W$10000),"No encontrado"))</f>
        <v/>
      </c>
      <c r="E798" s="22"/>
      <c r="F798" s="26" t="str">
        <f aca="false">IF(A798="","",IFERROR(buscarx(A798&amp;E798,DATA!$E$3:$E$10000&amp;DATA!$B$3:$B$10000,DATA!$M$3:$M$10000),"Inactivo"))</f>
        <v/>
      </c>
      <c r="G798" s="28" t="str">
        <f aca="false">IF(A798="","",IF(AND(C798&lt;&gt;"No encontrado",F798&lt;&gt;"Inactivo"),C798&amp;" → "&amp;F798,"Sin transición"))</f>
        <v/>
      </c>
      <c r="H798" s="26" t="str">
        <f aca="false">IF(A798="","",IF(D798="GCIA LINEA SERVICIO DIGITALIDAD Y VENTAS","Chats",IF(OR(D798="GERENCIA INBOUND LÍNEAS SERVICIO Y VENTA",D798="GERENCIA INBOUND LINEAS ESPECIALIZADAS"),"Llamadas","Otro")))</f>
        <v/>
      </c>
      <c r="I798" s="26" t="str">
        <f aca="false">IF(A798="","",IF(C798="No encontrado","No","Sí"))</f>
        <v/>
      </c>
      <c r="J798" s="26" t="str">
        <f aca="false">IF(A798="","",IF(F798="Inactivo","No","Sí"))</f>
        <v/>
      </c>
      <c r="K798" s="26" t="str">
        <f aca="false">IF(A798="","",IF(AND(I798="Sí",J798="Sí"),"Sí","No"))</f>
        <v/>
      </c>
    </row>
    <row r="799" customFormat="false" ht="15" hidden="false" customHeight="false" outlineLevel="0" collapsed="false">
      <c r="A799" s="22"/>
      <c r="B799" s="22"/>
      <c r="C799" s="23" t="str">
        <f aca="false">IF(A799="","",IFERROR(buscarx(A799&amp;B799,DATA!$E$3:$E$10000&amp;DATA!$B$3:$B$10000,DATA!$M$3:$M$10000),"No encontrado"))</f>
        <v/>
      </c>
      <c r="D799" s="24" t="str">
        <f aca="false">IF(A799="","",IFERROR(buscarx(A799&amp;B799,DATA!$E$3:$E$10000&amp;DATA!$B$3:$B$10000,DATA!$W$3:$W$10000),"No encontrado"))</f>
        <v/>
      </c>
      <c r="E799" s="22"/>
      <c r="F799" s="23" t="str">
        <f aca="false">IF(A799="","",IFERROR(buscarx(A799&amp;E799,DATA!$E$3:$E$10000&amp;DATA!$B$3:$B$10000,DATA!$M$3:$M$10000),"Inactivo"))</f>
        <v/>
      </c>
      <c r="G799" s="25" t="str">
        <f aca="false">IF(A799="","",IF(AND(C799&lt;&gt;"No encontrado",F799&lt;&gt;"Inactivo"),C799&amp;" → "&amp;F799,"Sin transición"))</f>
        <v/>
      </c>
      <c r="H799" s="23" t="str">
        <f aca="false">IF(A799="","",IF(D799="GCIA LINEA SERVICIO DIGITALIDAD Y VENTAS","Chats",IF(OR(D799="GERENCIA INBOUND LÍNEAS SERVICIO Y VENTA",D799="GERENCIA INBOUND LINEAS ESPECIALIZADAS"),"Llamadas","Otro")))</f>
        <v/>
      </c>
      <c r="I799" s="23" t="str">
        <f aca="false">IF(A799="","",IF(C799="No encontrado","No","Sí"))</f>
        <v/>
      </c>
      <c r="J799" s="23" t="str">
        <f aca="false">IF(A799="","",IF(F799="Inactivo","No","Sí"))</f>
        <v/>
      </c>
      <c r="K799" s="23" t="str">
        <f aca="false">IF(A799="","",IF(AND(I799="Sí",J799="Sí"),"Sí","No"))</f>
        <v/>
      </c>
    </row>
    <row r="800" customFormat="false" ht="15" hidden="false" customHeight="false" outlineLevel="0" collapsed="false">
      <c r="A800" s="22"/>
      <c r="B800" s="22"/>
      <c r="C800" s="26" t="str">
        <f aca="false">IF(A800="","",IFERROR(buscarx(A800&amp;B800,DATA!$E$3:$E$10000&amp;DATA!$B$3:$B$10000,DATA!$M$3:$M$10000),"No encontrado"))</f>
        <v/>
      </c>
      <c r="D800" s="27" t="str">
        <f aca="false">IF(A800="","",IFERROR(buscarx(A800&amp;B800,DATA!$E$3:$E$10000&amp;DATA!$B$3:$B$10000,DATA!$W$3:$W$10000),"No encontrado"))</f>
        <v/>
      </c>
      <c r="E800" s="22"/>
      <c r="F800" s="26" t="str">
        <f aca="false">IF(A800="","",IFERROR(buscarx(A800&amp;E800,DATA!$E$3:$E$10000&amp;DATA!$B$3:$B$10000,DATA!$M$3:$M$10000),"Inactivo"))</f>
        <v/>
      </c>
      <c r="G800" s="28" t="str">
        <f aca="false">IF(A800="","",IF(AND(C800&lt;&gt;"No encontrado",F800&lt;&gt;"Inactivo"),C800&amp;" → "&amp;F800,"Sin transición"))</f>
        <v/>
      </c>
      <c r="H800" s="26" t="str">
        <f aca="false">IF(A800="","",IF(D800="GCIA LINEA SERVICIO DIGITALIDAD Y VENTAS","Chats",IF(OR(D800="GERENCIA INBOUND LÍNEAS SERVICIO Y VENTA",D800="GERENCIA INBOUND LINEAS ESPECIALIZADAS"),"Llamadas","Otro")))</f>
        <v/>
      </c>
      <c r="I800" s="26" t="str">
        <f aca="false">IF(A800="","",IF(C800="No encontrado","No","Sí"))</f>
        <v/>
      </c>
      <c r="J800" s="26" t="str">
        <f aca="false">IF(A800="","",IF(F800="Inactivo","No","Sí"))</f>
        <v/>
      </c>
      <c r="K800" s="26" t="str">
        <f aca="false">IF(A800="","",IF(AND(I800="Sí",J800="Sí"),"Sí","No"))</f>
        <v/>
      </c>
    </row>
    <row r="801" customFormat="false" ht="15" hidden="false" customHeight="false" outlineLevel="0" collapsed="false">
      <c r="A801" s="22"/>
      <c r="B801" s="22"/>
      <c r="C801" s="23" t="str">
        <f aca="false">IF(A801="","",IFERROR(buscarx(A801&amp;B801,DATA!$E$3:$E$10000&amp;DATA!$B$3:$B$10000,DATA!$M$3:$M$10000),"No encontrado"))</f>
        <v/>
      </c>
      <c r="D801" s="24" t="str">
        <f aca="false">IF(A801="","",IFERROR(buscarx(A801&amp;B801,DATA!$E$3:$E$10000&amp;DATA!$B$3:$B$10000,DATA!$W$3:$W$10000),"No encontrado"))</f>
        <v/>
      </c>
      <c r="E801" s="22"/>
      <c r="F801" s="23" t="str">
        <f aca="false">IF(A801="","",IFERROR(buscarx(A801&amp;E801,DATA!$E$3:$E$10000&amp;DATA!$B$3:$B$10000,DATA!$M$3:$M$10000),"Inactivo"))</f>
        <v/>
      </c>
      <c r="G801" s="25" t="str">
        <f aca="false">IF(A801="","",IF(AND(C801&lt;&gt;"No encontrado",F801&lt;&gt;"Inactivo"),C801&amp;" → "&amp;F801,"Sin transición"))</f>
        <v/>
      </c>
      <c r="H801" s="23" t="str">
        <f aca="false">IF(A801="","",IF(D801="GCIA LINEA SERVICIO DIGITALIDAD Y VENTAS","Chats",IF(OR(D801="GERENCIA INBOUND LÍNEAS SERVICIO Y VENTA",D801="GERENCIA INBOUND LINEAS ESPECIALIZADAS"),"Llamadas","Otro")))</f>
        <v/>
      </c>
      <c r="I801" s="23" t="str">
        <f aca="false">IF(A801="","",IF(C801="No encontrado","No","Sí"))</f>
        <v/>
      </c>
      <c r="J801" s="23" t="str">
        <f aca="false">IF(A801="","",IF(F801="Inactivo","No","Sí"))</f>
        <v/>
      </c>
      <c r="K801" s="23" t="str">
        <f aca="false">IF(A801="","",IF(AND(I801="Sí",J801="Sí"),"Sí","No"))</f>
        <v/>
      </c>
    </row>
    <row r="802" customFormat="false" ht="15" hidden="false" customHeight="false" outlineLevel="0" collapsed="false">
      <c r="A802" s="22"/>
      <c r="B802" s="22"/>
      <c r="C802" s="26" t="str">
        <f aca="false">IF(A802="","",IFERROR(buscarx(A802&amp;B802,DATA!$E$3:$E$10000&amp;DATA!$B$3:$B$10000,DATA!$M$3:$M$10000),"No encontrado"))</f>
        <v/>
      </c>
      <c r="D802" s="27" t="str">
        <f aca="false">IF(A802="","",IFERROR(buscarx(A802&amp;B802,DATA!$E$3:$E$10000&amp;DATA!$B$3:$B$10000,DATA!$W$3:$W$10000),"No encontrado"))</f>
        <v/>
      </c>
      <c r="E802" s="22"/>
      <c r="F802" s="26" t="str">
        <f aca="false">IF(A802="","",IFERROR(buscarx(A802&amp;E802,DATA!$E$3:$E$10000&amp;DATA!$B$3:$B$10000,DATA!$M$3:$M$10000),"Inactivo"))</f>
        <v/>
      </c>
      <c r="G802" s="28" t="str">
        <f aca="false">IF(A802="","",IF(AND(C802&lt;&gt;"No encontrado",F802&lt;&gt;"Inactivo"),C802&amp;" → "&amp;F802,"Sin transición"))</f>
        <v/>
      </c>
      <c r="H802" s="26" t="str">
        <f aca="false">IF(A802="","",IF(D802="GCIA LINEA SERVICIO DIGITALIDAD Y VENTAS","Chats",IF(OR(D802="GERENCIA INBOUND LÍNEAS SERVICIO Y VENTA",D802="GERENCIA INBOUND LINEAS ESPECIALIZADAS"),"Llamadas","Otro")))</f>
        <v/>
      </c>
      <c r="I802" s="26" t="str">
        <f aca="false">IF(A802="","",IF(C802="No encontrado","No","Sí"))</f>
        <v/>
      </c>
      <c r="J802" s="26" t="str">
        <f aca="false">IF(A802="","",IF(F802="Inactivo","No","Sí"))</f>
        <v/>
      </c>
      <c r="K802" s="26" t="str">
        <f aca="false">IF(A802="","",IF(AND(I802="Sí",J802="Sí"),"Sí","No"))</f>
        <v/>
      </c>
    </row>
    <row r="803" customFormat="false" ht="15" hidden="false" customHeight="false" outlineLevel="0" collapsed="false">
      <c r="A803" s="22"/>
      <c r="B803" s="22"/>
      <c r="C803" s="23" t="str">
        <f aca="false">IF(A803="","",IFERROR(buscarx(A803&amp;B803,DATA!$E$3:$E$10000&amp;DATA!$B$3:$B$10000,DATA!$M$3:$M$10000),"No encontrado"))</f>
        <v/>
      </c>
      <c r="D803" s="24" t="str">
        <f aca="false">IF(A803="","",IFERROR(buscarx(A803&amp;B803,DATA!$E$3:$E$10000&amp;DATA!$B$3:$B$10000,DATA!$W$3:$W$10000),"No encontrado"))</f>
        <v/>
      </c>
      <c r="E803" s="22"/>
      <c r="F803" s="23" t="str">
        <f aca="false">IF(A803="","",IFERROR(buscarx(A803&amp;E803,DATA!$E$3:$E$10000&amp;DATA!$B$3:$B$10000,DATA!$M$3:$M$10000),"Inactivo"))</f>
        <v/>
      </c>
      <c r="G803" s="25" t="str">
        <f aca="false">IF(A803="","",IF(AND(C803&lt;&gt;"No encontrado",F803&lt;&gt;"Inactivo"),C803&amp;" → "&amp;F803,"Sin transición"))</f>
        <v/>
      </c>
      <c r="H803" s="23" t="str">
        <f aca="false">IF(A803="","",IF(D803="GCIA LINEA SERVICIO DIGITALIDAD Y VENTAS","Chats",IF(OR(D803="GERENCIA INBOUND LÍNEAS SERVICIO Y VENTA",D803="GERENCIA INBOUND LINEAS ESPECIALIZADAS"),"Llamadas","Otro")))</f>
        <v/>
      </c>
      <c r="I803" s="23" t="str">
        <f aca="false">IF(A803="","",IF(C803="No encontrado","No","Sí"))</f>
        <v/>
      </c>
      <c r="J803" s="23" t="str">
        <f aca="false">IF(A803="","",IF(F803="Inactivo","No","Sí"))</f>
        <v/>
      </c>
      <c r="K803" s="23" t="str">
        <f aca="false">IF(A803="","",IF(AND(I803="Sí",J803="Sí"),"Sí","No"))</f>
        <v/>
      </c>
    </row>
    <row r="804" customFormat="false" ht="15" hidden="false" customHeight="false" outlineLevel="0" collapsed="false">
      <c r="A804" s="22"/>
      <c r="B804" s="22"/>
      <c r="C804" s="26" t="str">
        <f aca="false">IF(A804="","",IFERROR(buscarx(A804&amp;B804,DATA!$E$3:$E$10000&amp;DATA!$B$3:$B$10000,DATA!$M$3:$M$10000),"No encontrado"))</f>
        <v/>
      </c>
      <c r="D804" s="27" t="str">
        <f aca="false">IF(A804="","",IFERROR(buscarx(A804&amp;B804,DATA!$E$3:$E$10000&amp;DATA!$B$3:$B$10000,DATA!$W$3:$W$10000),"No encontrado"))</f>
        <v/>
      </c>
      <c r="E804" s="22"/>
      <c r="F804" s="26" t="str">
        <f aca="false">IF(A804="","",IFERROR(buscarx(A804&amp;E804,DATA!$E$3:$E$10000&amp;DATA!$B$3:$B$10000,DATA!$M$3:$M$10000),"Inactivo"))</f>
        <v/>
      </c>
      <c r="G804" s="28" t="str">
        <f aca="false">IF(A804="","",IF(AND(C804&lt;&gt;"No encontrado",F804&lt;&gt;"Inactivo"),C804&amp;" → "&amp;F804,"Sin transición"))</f>
        <v/>
      </c>
      <c r="H804" s="26" t="str">
        <f aca="false">IF(A804="","",IF(D804="GCIA LINEA SERVICIO DIGITALIDAD Y VENTAS","Chats",IF(OR(D804="GERENCIA INBOUND LÍNEAS SERVICIO Y VENTA",D804="GERENCIA INBOUND LINEAS ESPECIALIZADAS"),"Llamadas","Otro")))</f>
        <v/>
      </c>
      <c r="I804" s="26" t="str">
        <f aca="false">IF(A804="","",IF(C804="No encontrado","No","Sí"))</f>
        <v/>
      </c>
      <c r="J804" s="26" t="str">
        <f aca="false">IF(A804="","",IF(F804="Inactivo","No","Sí"))</f>
        <v/>
      </c>
      <c r="K804" s="26" t="str">
        <f aca="false">IF(A804="","",IF(AND(I804="Sí",J804="Sí"),"Sí","No"))</f>
        <v/>
      </c>
    </row>
    <row r="805" customFormat="false" ht="15" hidden="false" customHeight="false" outlineLevel="0" collapsed="false">
      <c r="A805" s="22"/>
      <c r="B805" s="22"/>
      <c r="C805" s="23" t="str">
        <f aca="false">IF(A805="","",IFERROR(buscarx(A805&amp;B805,DATA!$E$3:$E$10000&amp;DATA!$B$3:$B$10000,DATA!$M$3:$M$10000),"No encontrado"))</f>
        <v/>
      </c>
      <c r="D805" s="24" t="str">
        <f aca="false">IF(A805="","",IFERROR(buscarx(A805&amp;B805,DATA!$E$3:$E$10000&amp;DATA!$B$3:$B$10000,DATA!$W$3:$W$10000),"No encontrado"))</f>
        <v/>
      </c>
      <c r="E805" s="22"/>
      <c r="F805" s="23" t="str">
        <f aca="false">IF(A805="","",IFERROR(buscarx(A805&amp;E805,DATA!$E$3:$E$10000&amp;DATA!$B$3:$B$10000,DATA!$M$3:$M$10000),"Inactivo"))</f>
        <v/>
      </c>
      <c r="G805" s="25" t="str">
        <f aca="false">IF(A805="","",IF(AND(C805&lt;&gt;"No encontrado",F805&lt;&gt;"Inactivo"),C805&amp;" → "&amp;F805,"Sin transición"))</f>
        <v/>
      </c>
      <c r="H805" s="23" t="str">
        <f aca="false">IF(A805="","",IF(D805="GCIA LINEA SERVICIO DIGITALIDAD Y VENTAS","Chats",IF(OR(D805="GERENCIA INBOUND LÍNEAS SERVICIO Y VENTA",D805="GERENCIA INBOUND LINEAS ESPECIALIZADAS"),"Llamadas","Otro")))</f>
        <v/>
      </c>
      <c r="I805" s="23" t="str">
        <f aca="false">IF(A805="","",IF(C805="No encontrado","No","Sí"))</f>
        <v/>
      </c>
      <c r="J805" s="23" t="str">
        <f aca="false">IF(A805="","",IF(F805="Inactivo","No","Sí"))</f>
        <v/>
      </c>
      <c r="K805" s="23" t="str">
        <f aca="false">IF(A805="","",IF(AND(I805="Sí",J805="Sí"),"Sí","No"))</f>
        <v/>
      </c>
    </row>
    <row r="806" customFormat="false" ht="15" hidden="false" customHeight="false" outlineLevel="0" collapsed="false">
      <c r="A806" s="22"/>
      <c r="B806" s="22"/>
      <c r="C806" s="26" t="str">
        <f aca="false">IF(A806="","",IFERROR(buscarx(A806&amp;B806,DATA!$E$3:$E$10000&amp;DATA!$B$3:$B$10000,DATA!$M$3:$M$10000),"No encontrado"))</f>
        <v/>
      </c>
      <c r="D806" s="27" t="str">
        <f aca="false">IF(A806="","",IFERROR(buscarx(A806&amp;B806,DATA!$E$3:$E$10000&amp;DATA!$B$3:$B$10000,DATA!$W$3:$W$10000),"No encontrado"))</f>
        <v/>
      </c>
      <c r="E806" s="22"/>
      <c r="F806" s="26" t="str">
        <f aca="false">IF(A806="","",IFERROR(buscarx(A806&amp;E806,DATA!$E$3:$E$10000&amp;DATA!$B$3:$B$10000,DATA!$M$3:$M$10000),"Inactivo"))</f>
        <v/>
      </c>
      <c r="G806" s="28" t="str">
        <f aca="false">IF(A806="","",IF(AND(C806&lt;&gt;"No encontrado",F806&lt;&gt;"Inactivo"),C806&amp;" → "&amp;F806,"Sin transición"))</f>
        <v/>
      </c>
      <c r="H806" s="26" t="str">
        <f aca="false">IF(A806="","",IF(D806="GCIA LINEA SERVICIO DIGITALIDAD Y VENTAS","Chats",IF(OR(D806="GERENCIA INBOUND LÍNEAS SERVICIO Y VENTA",D806="GERENCIA INBOUND LINEAS ESPECIALIZADAS"),"Llamadas","Otro")))</f>
        <v/>
      </c>
      <c r="I806" s="26" t="str">
        <f aca="false">IF(A806="","",IF(C806="No encontrado","No","Sí"))</f>
        <v/>
      </c>
      <c r="J806" s="26" t="str">
        <f aca="false">IF(A806="","",IF(F806="Inactivo","No","Sí"))</f>
        <v/>
      </c>
      <c r="K806" s="26" t="str">
        <f aca="false">IF(A806="","",IF(AND(I806="Sí",J806="Sí"),"Sí","No"))</f>
        <v/>
      </c>
    </row>
    <row r="807" customFormat="false" ht="15" hidden="false" customHeight="false" outlineLevel="0" collapsed="false">
      <c r="A807" s="22"/>
      <c r="B807" s="22"/>
      <c r="C807" s="23" t="str">
        <f aca="false">IF(A807="","",IFERROR(buscarx(A807&amp;B807,DATA!$E$3:$E$10000&amp;DATA!$B$3:$B$10000,DATA!$M$3:$M$10000),"No encontrado"))</f>
        <v/>
      </c>
      <c r="D807" s="24" t="str">
        <f aca="false">IF(A807="","",IFERROR(buscarx(A807&amp;B807,DATA!$E$3:$E$10000&amp;DATA!$B$3:$B$10000,DATA!$W$3:$W$10000),"No encontrado"))</f>
        <v/>
      </c>
      <c r="E807" s="22"/>
      <c r="F807" s="23" t="str">
        <f aca="false">IF(A807="","",IFERROR(buscarx(A807&amp;E807,DATA!$E$3:$E$10000&amp;DATA!$B$3:$B$10000,DATA!$M$3:$M$10000),"Inactivo"))</f>
        <v/>
      </c>
      <c r="G807" s="25" t="str">
        <f aca="false">IF(A807="","",IF(AND(C807&lt;&gt;"No encontrado",F807&lt;&gt;"Inactivo"),C807&amp;" → "&amp;F807,"Sin transición"))</f>
        <v/>
      </c>
      <c r="H807" s="23" t="str">
        <f aca="false">IF(A807="","",IF(D807="GCIA LINEA SERVICIO DIGITALIDAD Y VENTAS","Chats",IF(OR(D807="GERENCIA INBOUND LÍNEAS SERVICIO Y VENTA",D807="GERENCIA INBOUND LINEAS ESPECIALIZADAS"),"Llamadas","Otro")))</f>
        <v/>
      </c>
      <c r="I807" s="23" t="str">
        <f aca="false">IF(A807="","",IF(C807="No encontrado","No","Sí"))</f>
        <v/>
      </c>
      <c r="J807" s="23" t="str">
        <f aca="false">IF(A807="","",IF(F807="Inactivo","No","Sí"))</f>
        <v/>
      </c>
      <c r="K807" s="23" t="str">
        <f aca="false">IF(A807="","",IF(AND(I807="Sí",J807="Sí"),"Sí","No"))</f>
        <v/>
      </c>
    </row>
    <row r="808" customFormat="false" ht="15" hidden="false" customHeight="false" outlineLevel="0" collapsed="false">
      <c r="A808" s="22"/>
      <c r="B808" s="22"/>
      <c r="C808" s="26" t="str">
        <f aca="false">IF(A808="","",IFERROR(buscarx(A808&amp;B808,DATA!$E$3:$E$10000&amp;DATA!$B$3:$B$10000,DATA!$M$3:$M$10000),"No encontrado"))</f>
        <v/>
      </c>
      <c r="D808" s="27" t="str">
        <f aca="false">IF(A808="","",IFERROR(buscarx(A808&amp;B808,DATA!$E$3:$E$10000&amp;DATA!$B$3:$B$10000,DATA!$W$3:$W$10000),"No encontrado"))</f>
        <v/>
      </c>
      <c r="E808" s="22"/>
      <c r="F808" s="26" t="str">
        <f aca="false">IF(A808="","",IFERROR(buscarx(A808&amp;E808,DATA!$E$3:$E$10000&amp;DATA!$B$3:$B$10000,DATA!$M$3:$M$10000),"Inactivo"))</f>
        <v/>
      </c>
      <c r="G808" s="28" t="str">
        <f aca="false">IF(A808="","",IF(AND(C808&lt;&gt;"No encontrado",F808&lt;&gt;"Inactivo"),C808&amp;" → "&amp;F808,"Sin transición"))</f>
        <v/>
      </c>
      <c r="H808" s="26" t="str">
        <f aca="false">IF(A808="","",IF(D808="GCIA LINEA SERVICIO DIGITALIDAD Y VENTAS","Chats",IF(OR(D808="GERENCIA INBOUND LÍNEAS SERVICIO Y VENTA",D808="GERENCIA INBOUND LINEAS ESPECIALIZADAS"),"Llamadas","Otro")))</f>
        <v/>
      </c>
      <c r="I808" s="26" t="str">
        <f aca="false">IF(A808="","",IF(C808="No encontrado","No","Sí"))</f>
        <v/>
      </c>
      <c r="J808" s="26" t="str">
        <f aca="false">IF(A808="","",IF(F808="Inactivo","No","Sí"))</f>
        <v/>
      </c>
      <c r="K808" s="26" t="str">
        <f aca="false">IF(A808="","",IF(AND(I808="Sí",J808="Sí"),"Sí","No"))</f>
        <v/>
      </c>
    </row>
    <row r="809" customFormat="false" ht="15" hidden="false" customHeight="false" outlineLevel="0" collapsed="false">
      <c r="A809" s="22"/>
      <c r="B809" s="22"/>
      <c r="C809" s="23" t="str">
        <f aca="false">IF(A809="","",IFERROR(buscarx(A809&amp;B809,DATA!$E$3:$E$10000&amp;DATA!$B$3:$B$10000,DATA!$M$3:$M$10000),"No encontrado"))</f>
        <v/>
      </c>
      <c r="D809" s="24" t="str">
        <f aca="false">IF(A809="","",IFERROR(buscarx(A809&amp;B809,DATA!$E$3:$E$10000&amp;DATA!$B$3:$B$10000,DATA!$W$3:$W$10000),"No encontrado"))</f>
        <v/>
      </c>
      <c r="E809" s="22"/>
      <c r="F809" s="23" t="str">
        <f aca="false">IF(A809="","",IFERROR(buscarx(A809&amp;E809,DATA!$E$3:$E$10000&amp;DATA!$B$3:$B$10000,DATA!$M$3:$M$10000),"Inactivo"))</f>
        <v/>
      </c>
      <c r="G809" s="25" t="str">
        <f aca="false">IF(A809="","",IF(AND(C809&lt;&gt;"No encontrado",F809&lt;&gt;"Inactivo"),C809&amp;" → "&amp;F809,"Sin transición"))</f>
        <v/>
      </c>
      <c r="H809" s="23" t="str">
        <f aca="false">IF(A809="","",IF(D809="GCIA LINEA SERVICIO DIGITALIDAD Y VENTAS","Chats",IF(OR(D809="GERENCIA INBOUND LÍNEAS SERVICIO Y VENTA",D809="GERENCIA INBOUND LINEAS ESPECIALIZADAS"),"Llamadas","Otro")))</f>
        <v/>
      </c>
      <c r="I809" s="23" t="str">
        <f aca="false">IF(A809="","",IF(C809="No encontrado","No","Sí"))</f>
        <v/>
      </c>
      <c r="J809" s="23" t="str">
        <f aca="false">IF(A809="","",IF(F809="Inactivo","No","Sí"))</f>
        <v/>
      </c>
      <c r="K809" s="23" t="str">
        <f aca="false">IF(A809="","",IF(AND(I809="Sí",J809="Sí"),"Sí","No"))</f>
        <v/>
      </c>
    </row>
    <row r="810" customFormat="false" ht="15" hidden="false" customHeight="false" outlineLevel="0" collapsed="false">
      <c r="A810" s="22"/>
      <c r="B810" s="22"/>
      <c r="C810" s="26" t="str">
        <f aca="false">IF(A810="","",IFERROR(buscarx(A810&amp;B810,DATA!$E$3:$E$10000&amp;DATA!$B$3:$B$10000,DATA!$M$3:$M$10000),"No encontrado"))</f>
        <v/>
      </c>
      <c r="D810" s="27" t="str">
        <f aca="false">IF(A810="","",IFERROR(buscarx(A810&amp;B810,DATA!$E$3:$E$10000&amp;DATA!$B$3:$B$10000,DATA!$W$3:$W$10000),"No encontrado"))</f>
        <v/>
      </c>
      <c r="E810" s="22"/>
      <c r="F810" s="26" t="str">
        <f aca="false">IF(A810="","",IFERROR(buscarx(A810&amp;E810,DATA!$E$3:$E$10000&amp;DATA!$B$3:$B$10000,DATA!$M$3:$M$10000),"Inactivo"))</f>
        <v/>
      </c>
      <c r="G810" s="28" t="str">
        <f aca="false">IF(A810="","",IF(AND(C810&lt;&gt;"No encontrado",F810&lt;&gt;"Inactivo"),C810&amp;" → "&amp;F810,"Sin transición"))</f>
        <v/>
      </c>
      <c r="H810" s="26" t="str">
        <f aca="false">IF(A810="","",IF(D810="GCIA LINEA SERVICIO DIGITALIDAD Y VENTAS","Chats",IF(OR(D810="GERENCIA INBOUND LÍNEAS SERVICIO Y VENTA",D810="GERENCIA INBOUND LINEAS ESPECIALIZADAS"),"Llamadas","Otro")))</f>
        <v/>
      </c>
      <c r="I810" s="26" t="str">
        <f aca="false">IF(A810="","",IF(C810="No encontrado","No","Sí"))</f>
        <v/>
      </c>
      <c r="J810" s="26" t="str">
        <f aca="false">IF(A810="","",IF(F810="Inactivo","No","Sí"))</f>
        <v/>
      </c>
      <c r="K810" s="26" t="str">
        <f aca="false">IF(A810="","",IF(AND(I810="Sí",J810="Sí"),"Sí","No"))</f>
        <v/>
      </c>
    </row>
    <row r="811" customFormat="false" ht="15" hidden="false" customHeight="false" outlineLevel="0" collapsed="false">
      <c r="A811" s="22"/>
      <c r="B811" s="22"/>
      <c r="C811" s="23" t="str">
        <f aca="false">IF(A811="","",IFERROR(buscarx(A811&amp;B811,DATA!$E$3:$E$10000&amp;DATA!$B$3:$B$10000,DATA!$M$3:$M$10000),"No encontrado"))</f>
        <v/>
      </c>
      <c r="D811" s="24" t="str">
        <f aca="false">IF(A811="","",IFERROR(buscarx(A811&amp;B811,DATA!$E$3:$E$10000&amp;DATA!$B$3:$B$10000,DATA!$W$3:$W$10000),"No encontrado"))</f>
        <v/>
      </c>
      <c r="E811" s="22"/>
      <c r="F811" s="23" t="str">
        <f aca="false">IF(A811="","",IFERROR(buscarx(A811&amp;E811,DATA!$E$3:$E$10000&amp;DATA!$B$3:$B$10000,DATA!$M$3:$M$10000),"Inactivo"))</f>
        <v/>
      </c>
      <c r="G811" s="25" t="str">
        <f aca="false">IF(A811="","",IF(AND(C811&lt;&gt;"No encontrado",F811&lt;&gt;"Inactivo"),C811&amp;" → "&amp;F811,"Sin transición"))</f>
        <v/>
      </c>
      <c r="H811" s="23" t="str">
        <f aca="false">IF(A811="","",IF(D811="GCIA LINEA SERVICIO DIGITALIDAD Y VENTAS","Chats",IF(OR(D811="GERENCIA INBOUND LÍNEAS SERVICIO Y VENTA",D811="GERENCIA INBOUND LINEAS ESPECIALIZADAS"),"Llamadas","Otro")))</f>
        <v/>
      </c>
      <c r="I811" s="23" t="str">
        <f aca="false">IF(A811="","",IF(C811="No encontrado","No","Sí"))</f>
        <v/>
      </c>
      <c r="J811" s="23" t="str">
        <f aca="false">IF(A811="","",IF(F811="Inactivo","No","Sí"))</f>
        <v/>
      </c>
      <c r="K811" s="23" t="str">
        <f aca="false">IF(A811="","",IF(AND(I811="Sí",J811="Sí"),"Sí","No"))</f>
        <v/>
      </c>
    </row>
    <row r="812" customFormat="false" ht="15" hidden="false" customHeight="false" outlineLevel="0" collapsed="false">
      <c r="A812" s="22"/>
      <c r="B812" s="22"/>
      <c r="C812" s="26" t="str">
        <f aca="false">IF(A812="","",IFERROR(buscarx(A812&amp;B812,DATA!$E$3:$E$10000&amp;DATA!$B$3:$B$10000,DATA!$M$3:$M$10000),"No encontrado"))</f>
        <v/>
      </c>
      <c r="D812" s="27" t="str">
        <f aca="false">IF(A812="","",IFERROR(buscarx(A812&amp;B812,DATA!$E$3:$E$10000&amp;DATA!$B$3:$B$10000,DATA!$W$3:$W$10000),"No encontrado"))</f>
        <v/>
      </c>
      <c r="E812" s="22"/>
      <c r="F812" s="26" t="str">
        <f aca="false">IF(A812="","",IFERROR(buscarx(A812&amp;E812,DATA!$E$3:$E$10000&amp;DATA!$B$3:$B$10000,DATA!$M$3:$M$10000),"Inactivo"))</f>
        <v/>
      </c>
      <c r="G812" s="28" t="str">
        <f aca="false">IF(A812="","",IF(AND(C812&lt;&gt;"No encontrado",F812&lt;&gt;"Inactivo"),C812&amp;" → "&amp;F812,"Sin transición"))</f>
        <v/>
      </c>
      <c r="H812" s="26" t="str">
        <f aca="false">IF(A812="","",IF(D812="GCIA LINEA SERVICIO DIGITALIDAD Y VENTAS","Chats",IF(OR(D812="GERENCIA INBOUND LÍNEAS SERVICIO Y VENTA",D812="GERENCIA INBOUND LINEAS ESPECIALIZADAS"),"Llamadas","Otro")))</f>
        <v/>
      </c>
      <c r="I812" s="26" t="str">
        <f aca="false">IF(A812="","",IF(C812="No encontrado","No","Sí"))</f>
        <v/>
      </c>
      <c r="J812" s="26" t="str">
        <f aca="false">IF(A812="","",IF(F812="Inactivo","No","Sí"))</f>
        <v/>
      </c>
      <c r="K812" s="26" t="str">
        <f aca="false">IF(A812="","",IF(AND(I812="Sí",J812="Sí"),"Sí","No"))</f>
        <v/>
      </c>
    </row>
    <row r="813" customFormat="false" ht="15" hidden="false" customHeight="false" outlineLevel="0" collapsed="false">
      <c r="A813" s="22"/>
      <c r="B813" s="22"/>
      <c r="C813" s="23" t="str">
        <f aca="false">IF(A813="","",IFERROR(buscarx(A813&amp;B813,DATA!$E$3:$E$10000&amp;DATA!$B$3:$B$10000,DATA!$M$3:$M$10000),"No encontrado"))</f>
        <v/>
      </c>
      <c r="D813" s="24" t="str">
        <f aca="false">IF(A813="","",IFERROR(buscarx(A813&amp;B813,DATA!$E$3:$E$10000&amp;DATA!$B$3:$B$10000,DATA!$W$3:$W$10000),"No encontrado"))</f>
        <v/>
      </c>
      <c r="E813" s="22"/>
      <c r="F813" s="23" t="str">
        <f aca="false">IF(A813="","",IFERROR(buscarx(A813&amp;E813,DATA!$E$3:$E$10000&amp;DATA!$B$3:$B$10000,DATA!$M$3:$M$10000),"Inactivo"))</f>
        <v/>
      </c>
      <c r="G813" s="25" t="str">
        <f aca="false">IF(A813="","",IF(AND(C813&lt;&gt;"No encontrado",F813&lt;&gt;"Inactivo"),C813&amp;" → "&amp;F813,"Sin transición"))</f>
        <v/>
      </c>
      <c r="H813" s="23" t="str">
        <f aca="false">IF(A813="","",IF(D813="GCIA LINEA SERVICIO DIGITALIDAD Y VENTAS","Chats",IF(OR(D813="GERENCIA INBOUND LÍNEAS SERVICIO Y VENTA",D813="GERENCIA INBOUND LINEAS ESPECIALIZADAS"),"Llamadas","Otro")))</f>
        <v/>
      </c>
      <c r="I813" s="23" t="str">
        <f aca="false">IF(A813="","",IF(C813="No encontrado","No","Sí"))</f>
        <v/>
      </c>
      <c r="J813" s="23" t="str">
        <f aca="false">IF(A813="","",IF(F813="Inactivo","No","Sí"))</f>
        <v/>
      </c>
      <c r="K813" s="23" t="str">
        <f aca="false">IF(A813="","",IF(AND(I813="Sí",J813="Sí"),"Sí","No"))</f>
        <v/>
      </c>
    </row>
    <row r="814" customFormat="false" ht="15" hidden="false" customHeight="false" outlineLevel="0" collapsed="false">
      <c r="A814" s="22"/>
      <c r="B814" s="22"/>
      <c r="C814" s="26" t="str">
        <f aca="false">IF(A814="","",IFERROR(buscarx(A814&amp;B814,DATA!$E$3:$E$10000&amp;DATA!$B$3:$B$10000,DATA!$M$3:$M$10000),"No encontrado"))</f>
        <v/>
      </c>
      <c r="D814" s="27" t="str">
        <f aca="false">IF(A814="","",IFERROR(buscarx(A814&amp;B814,DATA!$E$3:$E$10000&amp;DATA!$B$3:$B$10000,DATA!$W$3:$W$10000),"No encontrado"))</f>
        <v/>
      </c>
      <c r="E814" s="22"/>
      <c r="F814" s="26" t="str">
        <f aca="false">IF(A814="","",IFERROR(buscarx(A814&amp;E814,DATA!$E$3:$E$10000&amp;DATA!$B$3:$B$10000,DATA!$M$3:$M$10000),"Inactivo"))</f>
        <v/>
      </c>
      <c r="G814" s="28" t="str">
        <f aca="false">IF(A814="","",IF(AND(C814&lt;&gt;"No encontrado",F814&lt;&gt;"Inactivo"),C814&amp;" → "&amp;F814,"Sin transición"))</f>
        <v/>
      </c>
      <c r="H814" s="26" t="str">
        <f aca="false">IF(A814="","",IF(D814="GCIA LINEA SERVICIO DIGITALIDAD Y VENTAS","Chats",IF(OR(D814="GERENCIA INBOUND LÍNEAS SERVICIO Y VENTA",D814="GERENCIA INBOUND LINEAS ESPECIALIZADAS"),"Llamadas","Otro")))</f>
        <v/>
      </c>
      <c r="I814" s="26" t="str">
        <f aca="false">IF(A814="","",IF(C814="No encontrado","No","Sí"))</f>
        <v/>
      </c>
      <c r="J814" s="26" t="str">
        <f aca="false">IF(A814="","",IF(F814="Inactivo","No","Sí"))</f>
        <v/>
      </c>
      <c r="K814" s="26" t="str">
        <f aca="false">IF(A814="","",IF(AND(I814="Sí",J814="Sí"),"Sí","No"))</f>
        <v/>
      </c>
    </row>
    <row r="815" customFormat="false" ht="15" hidden="false" customHeight="false" outlineLevel="0" collapsed="false">
      <c r="A815" s="22"/>
      <c r="B815" s="22"/>
      <c r="C815" s="23" t="str">
        <f aca="false">IF(A815="","",IFERROR(buscarx(A815&amp;B815,DATA!$E$3:$E$10000&amp;DATA!$B$3:$B$10000,DATA!$M$3:$M$10000),"No encontrado"))</f>
        <v/>
      </c>
      <c r="D815" s="24" t="str">
        <f aca="false">IF(A815="","",IFERROR(buscarx(A815&amp;B815,DATA!$E$3:$E$10000&amp;DATA!$B$3:$B$10000,DATA!$W$3:$W$10000),"No encontrado"))</f>
        <v/>
      </c>
      <c r="E815" s="22"/>
      <c r="F815" s="23" t="str">
        <f aca="false">IF(A815="","",IFERROR(buscarx(A815&amp;E815,DATA!$E$3:$E$10000&amp;DATA!$B$3:$B$10000,DATA!$M$3:$M$10000),"Inactivo"))</f>
        <v/>
      </c>
      <c r="G815" s="25" t="str">
        <f aca="false">IF(A815="","",IF(AND(C815&lt;&gt;"No encontrado",F815&lt;&gt;"Inactivo"),C815&amp;" → "&amp;F815,"Sin transición"))</f>
        <v/>
      </c>
      <c r="H815" s="23" t="str">
        <f aca="false">IF(A815="","",IF(D815="GCIA LINEA SERVICIO DIGITALIDAD Y VENTAS","Chats",IF(OR(D815="GERENCIA INBOUND LÍNEAS SERVICIO Y VENTA",D815="GERENCIA INBOUND LINEAS ESPECIALIZADAS"),"Llamadas","Otro")))</f>
        <v/>
      </c>
      <c r="I815" s="23" t="str">
        <f aca="false">IF(A815="","",IF(C815="No encontrado","No","Sí"))</f>
        <v/>
      </c>
      <c r="J815" s="23" t="str">
        <f aca="false">IF(A815="","",IF(F815="Inactivo","No","Sí"))</f>
        <v/>
      </c>
      <c r="K815" s="23" t="str">
        <f aca="false">IF(A815="","",IF(AND(I815="Sí",J815="Sí"),"Sí","No"))</f>
        <v/>
      </c>
    </row>
    <row r="816" customFormat="false" ht="15" hidden="false" customHeight="false" outlineLevel="0" collapsed="false">
      <c r="A816" s="22"/>
      <c r="B816" s="22"/>
      <c r="C816" s="26" t="str">
        <f aca="false">IF(A816="","",IFERROR(buscarx(A816&amp;B816,DATA!$E$3:$E$10000&amp;DATA!$B$3:$B$10000,DATA!$M$3:$M$10000),"No encontrado"))</f>
        <v/>
      </c>
      <c r="D816" s="27" t="str">
        <f aca="false">IF(A816="","",IFERROR(buscarx(A816&amp;B816,DATA!$E$3:$E$10000&amp;DATA!$B$3:$B$10000,DATA!$W$3:$W$10000),"No encontrado"))</f>
        <v/>
      </c>
      <c r="E816" s="22"/>
      <c r="F816" s="26" t="str">
        <f aca="false">IF(A816="","",IFERROR(buscarx(A816&amp;E816,DATA!$E$3:$E$10000&amp;DATA!$B$3:$B$10000,DATA!$M$3:$M$10000),"Inactivo"))</f>
        <v/>
      </c>
      <c r="G816" s="28" t="str">
        <f aca="false">IF(A816="","",IF(AND(C816&lt;&gt;"No encontrado",F816&lt;&gt;"Inactivo"),C816&amp;" → "&amp;F816,"Sin transición"))</f>
        <v/>
      </c>
      <c r="H816" s="26" t="str">
        <f aca="false">IF(A816="","",IF(D816="GCIA LINEA SERVICIO DIGITALIDAD Y VENTAS","Chats",IF(OR(D816="GERENCIA INBOUND LÍNEAS SERVICIO Y VENTA",D816="GERENCIA INBOUND LINEAS ESPECIALIZADAS"),"Llamadas","Otro")))</f>
        <v/>
      </c>
      <c r="I816" s="26" t="str">
        <f aca="false">IF(A816="","",IF(C816="No encontrado","No","Sí"))</f>
        <v/>
      </c>
      <c r="J816" s="26" t="str">
        <f aca="false">IF(A816="","",IF(F816="Inactivo","No","Sí"))</f>
        <v/>
      </c>
      <c r="K816" s="26" t="str">
        <f aca="false">IF(A816="","",IF(AND(I816="Sí",J816="Sí"),"Sí","No"))</f>
        <v/>
      </c>
    </row>
    <row r="817" customFormat="false" ht="15" hidden="false" customHeight="false" outlineLevel="0" collapsed="false">
      <c r="A817" s="22"/>
      <c r="B817" s="22"/>
      <c r="C817" s="23" t="str">
        <f aca="false">IF(A817="","",IFERROR(buscarx(A817&amp;B817,DATA!$E$3:$E$10000&amp;DATA!$B$3:$B$10000,DATA!$M$3:$M$10000),"No encontrado"))</f>
        <v/>
      </c>
      <c r="D817" s="24" t="str">
        <f aca="false">IF(A817="","",IFERROR(buscarx(A817&amp;B817,DATA!$E$3:$E$10000&amp;DATA!$B$3:$B$10000,DATA!$W$3:$W$10000),"No encontrado"))</f>
        <v/>
      </c>
      <c r="E817" s="22"/>
      <c r="F817" s="23" t="str">
        <f aca="false">IF(A817="","",IFERROR(buscarx(A817&amp;E817,DATA!$E$3:$E$10000&amp;DATA!$B$3:$B$10000,DATA!$M$3:$M$10000),"Inactivo"))</f>
        <v/>
      </c>
      <c r="G817" s="25" t="str">
        <f aca="false">IF(A817="","",IF(AND(C817&lt;&gt;"No encontrado",F817&lt;&gt;"Inactivo"),C817&amp;" → "&amp;F817,"Sin transición"))</f>
        <v/>
      </c>
      <c r="H817" s="23" t="str">
        <f aca="false">IF(A817="","",IF(D817="GCIA LINEA SERVICIO DIGITALIDAD Y VENTAS","Chats",IF(OR(D817="GERENCIA INBOUND LÍNEAS SERVICIO Y VENTA",D817="GERENCIA INBOUND LINEAS ESPECIALIZADAS"),"Llamadas","Otro")))</f>
        <v/>
      </c>
      <c r="I817" s="23" t="str">
        <f aca="false">IF(A817="","",IF(C817="No encontrado","No","Sí"))</f>
        <v/>
      </c>
      <c r="J817" s="23" t="str">
        <f aca="false">IF(A817="","",IF(F817="Inactivo","No","Sí"))</f>
        <v/>
      </c>
      <c r="K817" s="23" t="str">
        <f aca="false">IF(A817="","",IF(AND(I817="Sí",J817="Sí"),"Sí","No"))</f>
        <v/>
      </c>
    </row>
    <row r="818" customFormat="false" ht="15" hidden="false" customHeight="false" outlineLevel="0" collapsed="false">
      <c r="A818" s="22"/>
      <c r="B818" s="22"/>
      <c r="C818" s="26" t="str">
        <f aca="false">IF(A818="","",IFERROR(buscarx(A818&amp;B818,DATA!$E$3:$E$10000&amp;DATA!$B$3:$B$10000,DATA!$M$3:$M$10000),"No encontrado"))</f>
        <v/>
      </c>
      <c r="D818" s="27" t="str">
        <f aca="false">IF(A818="","",IFERROR(buscarx(A818&amp;B818,DATA!$E$3:$E$10000&amp;DATA!$B$3:$B$10000,DATA!$W$3:$W$10000),"No encontrado"))</f>
        <v/>
      </c>
      <c r="E818" s="22"/>
      <c r="F818" s="26" t="str">
        <f aca="false">IF(A818="","",IFERROR(buscarx(A818&amp;E818,DATA!$E$3:$E$10000&amp;DATA!$B$3:$B$10000,DATA!$M$3:$M$10000),"Inactivo"))</f>
        <v/>
      </c>
      <c r="G818" s="28" t="str">
        <f aca="false">IF(A818="","",IF(AND(C818&lt;&gt;"No encontrado",F818&lt;&gt;"Inactivo"),C818&amp;" → "&amp;F818,"Sin transición"))</f>
        <v/>
      </c>
      <c r="H818" s="26" t="str">
        <f aca="false">IF(A818="","",IF(D818="GCIA LINEA SERVICIO DIGITALIDAD Y VENTAS","Chats",IF(OR(D818="GERENCIA INBOUND LÍNEAS SERVICIO Y VENTA",D818="GERENCIA INBOUND LINEAS ESPECIALIZADAS"),"Llamadas","Otro")))</f>
        <v/>
      </c>
      <c r="I818" s="26" t="str">
        <f aca="false">IF(A818="","",IF(C818="No encontrado","No","Sí"))</f>
        <v/>
      </c>
      <c r="J818" s="26" t="str">
        <f aca="false">IF(A818="","",IF(F818="Inactivo","No","Sí"))</f>
        <v/>
      </c>
      <c r="K818" s="26" t="str">
        <f aca="false">IF(A818="","",IF(AND(I818="Sí",J818="Sí"),"Sí","No"))</f>
        <v/>
      </c>
    </row>
    <row r="819" customFormat="false" ht="15" hidden="false" customHeight="false" outlineLevel="0" collapsed="false">
      <c r="A819" s="22"/>
      <c r="B819" s="22"/>
      <c r="C819" s="23" t="str">
        <f aca="false">IF(A819="","",IFERROR(buscarx(A819&amp;B819,DATA!$E$3:$E$10000&amp;DATA!$B$3:$B$10000,DATA!$M$3:$M$10000),"No encontrado"))</f>
        <v/>
      </c>
      <c r="D819" s="24" t="str">
        <f aca="false">IF(A819="","",IFERROR(buscarx(A819&amp;B819,DATA!$E$3:$E$10000&amp;DATA!$B$3:$B$10000,DATA!$W$3:$W$10000),"No encontrado"))</f>
        <v/>
      </c>
      <c r="E819" s="22"/>
      <c r="F819" s="23" t="str">
        <f aca="false">IF(A819="","",IFERROR(buscarx(A819&amp;E819,DATA!$E$3:$E$10000&amp;DATA!$B$3:$B$10000,DATA!$M$3:$M$10000),"Inactivo"))</f>
        <v/>
      </c>
      <c r="G819" s="25" t="str">
        <f aca="false">IF(A819="","",IF(AND(C819&lt;&gt;"No encontrado",F819&lt;&gt;"Inactivo"),C819&amp;" → "&amp;F819,"Sin transición"))</f>
        <v/>
      </c>
      <c r="H819" s="23" t="str">
        <f aca="false">IF(A819="","",IF(D819="GCIA LINEA SERVICIO DIGITALIDAD Y VENTAS","Chats",IF(OR(D819="GERENCIA INBOUND LÍNEAS SERVICIO Y VENTA",D819="GERENCIA INBOUND LINEAS ESPECIALIZADAS"),"Llamadas","Otro")))</f>
        <v/>
      </c>
      <c r="I819" s="23" t="str">
        <f aca="false">IF(A819="","",IF(C819="No encontrado","No","Sí"))</f>
        <v/>
      </c>
      <c r="J819" s="23" t="str">
        <f aca="false">IF(A819="","",IF(F819="Inactivo","No","Sí"))</f>
        <v/>
      </c>
      <c r="K819" s="23" t="str">
        <f aca="false">IF(A819="","",IF(AND(I819="Sí",J819="Sí"),"Sí","No"))</f>
        <v/>
      </c>
    </row>
    <row r="820" customFormat="false" ht="15" hidden="false" customHeight="false" outlineLevel="0" collapsed="false">
      <c r="A820" s="22"/>
      <c r="B820" s="22"/>
      <c r="C820" s="26" t="str">
        <f aca="false">IF(A820="","",IFERROR(buscarx(A820&amp;B820,DATA!$E$3:$E$10000&amp;DATA!$B$3:$B$10000,DATA!$M$3:$M$10000),"No encontrado"))</f>
        <v/>
      </c>
      <c r="D820" s="27" t="str">
        <f aca="false">IF(A820="","",IFERROR(buscarx(A820&amp;B820,DATA!$E$3:$E$10000&amp;DATA!$B$3:$B$10000,DATA!$W$3:$W$10000),"No encontrado"))</f>
        <v/>
      </c>
      <c r="E820" s="22"/>
      <c r="F820" s="26" t="str">
        <f aca="false">IF(A820="","",IFERROR(buscarx(A820&amp;E820,DATA!$E$3:$E$10000&amp;DATA!$B$3:$B$10000,DATA!$M$3:$M$10000),"Inactivo"))</f>
        <v/>
      </c>
      <c r="G820" s="28" t="str">
        <f aca="false">IF(A820="","",IF(AND(C820&lt;&gt;"No encontrado",F820&lt;&gt;"Inactivo"),C820&amp;" → "&amp;F820,"Sin transición"))</f>
        <v/>
      </c>
      <c r="H820" s="26" t="str">
        <f aca="false">IF(A820="","",IF(D820="GCIA LINEA SERVICIO DIGITALIDAD Y VENTAS","Chats",IF(OR(D820="GERENCIA INBOUND LÍNEAS SERVICIO Y VENTA",D820="GERENCIA INBOUND LINEAS ESPECIALIZADAS"),"Llamadas","Otro")))</f>
        <v/>
      </c>
      <c r="I820" s="26" t="str">
        <f aca="false">IF(A820="","",IF(C820="No encontrado","No","Sí"))</f>
        <v/>
      </c>
      <c r="J820" s="26" t="str">
        <f aca="false">IF(A820="","",IF(F820="Inactivo","No","Sí"))</f>
        <v/>
      </c>
      <c r="K820" s="26" t="str">
        <f aca="false">IF(A820="","",IF(AND(I820="Sí",J820="Sí"),"Sí","No"))</f>
        <v/>
      </c>
    </row>
    <row r="821" customFormat="false" ht="15" hidden="false" customHeight="false" outlineLevel="0" collapsed="false">
      <c r="A821" s="22"/>
      <c r="B821" s="22"/>
      <c r="C821" s="23" t="str">
        <f aca="false">IF(A821="","",IFERROR(buscarx(A821&amp;B821,DATA!$E$3:$E$10000&amp;DATA!$B$3:$B$10000,DATA!$M$3:$M$10000),"No encontrado"))</f>
        <v/>
      </c>
      <c r="D821" s="24" t="str">
        <f aca="false">IF(A821="","",IFERROR(buscarx(A821&amp;B821,DATA!$E$3:$E$10000&amp;DATA!$B$3:$B$10000,DATA!$W$3:$W$10000),"No encontrado"))</f>
        <v/>
      </c>
      <c r="E821" s="22"/>
      <c r="F821" s="23" t="str">
        <f aca="false">IF(A821="","",IFERROR(buscarx(A821&amp;E821,DATA!$E$3:$E$10000&amp;DATA!$B$3:$B$10000,DATA!$M$3:$M$10000),"Inactivo"))</f>
        <v/>
      </c>
      <c r="G821" s="25" t="str">
        <f aca="false">IF(A821="","",IF(AND(C821&lt;&gt;"No encontrado",F821&lt;&gt;"Inactivo"),C821&amp;" → "&amp;F821,"Sin transición"))</f>
        <v/>
      </c>
      <c r="H821" s="23" t="str">
        <f aca="false">IF(A821="","",IF(D821="GCIA LINEA SERVICIO DIGITALIDAD Y VENTAS","Chats",IF(OR(D821="GERENCIA INBOUND LÍNEAS SERVICIO Y VENTA",D821="GERENCIA INBOUND LINEAS ESPECIALIZADAS"),"Llamadas","Otro")))</f>
        <v/>
      </c>
      <c r="I821" s="23" t="str">
        <f aca="false">IF(A821="","",IF(C821="No encontrado","No","Sí"))</f>
        <v/>
      </c>
      <c r="J821" s="23" t="str">
        <f aca="false">IF(A821="","",IF(F821="Inactivo","No","Sí"))</f>
        <v/>
      </c>
      <c r="K821" s="23" t="str">
        <f aca="false">IF(A821="","",IF(AND(I821="Sí",J821="Sí"),"Sí","No"))</f>
        <v/>
      </c>
    </row>
    <row r="822" customFormat="false" ht="15" hidden="false" customHeight="false" outlineLevel="0" collapsed="false">
      <c r="A822" s="22"/>
      <c r="B822" s="22"/>
      <c r="C822" s="26" t="str">
        <f aca="false">IF(A822="","",IFERROR(buscarx(A822&amp;B822,DATA!$E$3:$E$10000&amp;DATA!$B$3:$B$10000,DATA!$M$3:$M$10000),"No encontrado"))</f>
        <v/>
      </c>
      <c r="D822" s="27" t="str">
        <f aca="false">IF(A822="","",IFERROR(buscarx(A822&amp;B822,DATA!$E$3:$E$10000&amp;DATA!$B$3:$B$10000,DATA!$W$3:$W$10000),"No encontrado"))</f>
        <v/>
      </c>
      <c r="E822" s="22"/>
      <c r="F822" s="26" t="str">
        <f aca="false">IF(A822="","",IFERROR(buscarx(A822&amp;E822,DATA!$E$3:$E$10000&amp;DATA!$B$3:$B$10000,DATA!$M$3:$M$10000),"Inactivo"))</f>
        <v/>
      </c>
      <c r="G822" s="28" t="str">
        <f aca="false">IF(A822="","",IF(AND(C822&lt;&gt;"No encontrado",F822&lt;&gt;"Inactivo"),C822&amp;" → "&amp;F822,"Sin transición"))</f>
        <v/>
      </c>
      <c r="H822" s="26" t="str">
        <f aca="false">IF(A822="","",IF(D822="GCIA LINEA SERVICIO DIGITALIDAD Y VENTAS","Chats",IF(OR(D822="GERENCIA INBOUND LÍNEAS SERVICIO Y VENTA",D822="GERENCIA INBOUND LINEAS ESPECIALIZADAS"),"Llamadas","Otro")))</f>
        <v/>
      </c>
      <c r="I822" s="26" t="str">
        <f aca="false">IF(A822="","",IF(C822="No encontrado","No","Sí"))</f>
        <v/>
      </c>
      <c r="J822" s="26" t="str">
        <f aca="false">IF(A822="","",IF(F822="Inactivo","No","Sí"))</f>
        <v/>
      </c>
      <c r="K822" s="26" t="str">
        <f aca="false">IF(A822="","",IF(AND(I822="Sí",J822="Sí"),"Sí","No"))</f>
        <v/>
      </c>
    </row>
    <row r="823" customFormat="false" ht="15" hidden="false" customHeight="false" outlineLevel="0" collapsed="false">
      <c r="A823" s="22"/>
      <c r="B823" s="22"/>
      <c r="C823" s="23" t="str">
        <f aca="false">IF(A823="","",IFERROR(buscarx(A823&amp;B823,DATA!$E$3:$E$10000&amp;DATA!$B$3:$B$10000,DATA!$M$3:$M$10000),"No encontrado"))</f>
        <v/>
      </c>
      <c r="D823" s="24" t="str">
        <f aca="false">IF(A823="","",IFERROR(buscarx(A823&amp;B823,DATA!$E$3:$E$10000&amp;DATA!$B$3:$B$10000,DATA!$W$3:$W$10000),"No encontrado"))</f>
        <v/>
      </c>
      <c r="E823" s="22"/>
      <c r="F823" s="23" t="str">
        <f aca="false">IF(A823="","",IFERROR(buscarx(A823&amp;E823,DATA!$E$3:$E$10000&amp;DATA!$B$3:$B$10000,DATA!$M$3:$M$10000),"Inactivo"))</f>
        <v/>
      </c>
      <c r="G823" s="25" t="str">
        <f aca="false">IF(A823="","",IF(AND(C823&lt;&gt;"No encontrado",F823&lt;&gt;"Inactivo"),C823&amp;" → "&amp;F823,"Sin transición"))</f>
        <v/>
      </c>
      <c r="H823" s="23" t="str">
        <f aca="false">IF(A823="","",IF(D823="GCIA LINEA SERVICIO DIGITALIDAD Y VENTAS","Chats",IF(OR(D823="GERENCIA INBOUND LÍNEAS SERVICIO Y VENTA",D823="GERENCIA INBOUND LINEAS ESPECIALIZADAS"),"Llamadas","Otro")))</f>
        <v/>
      </c>
      <c r="I823" s="23" t="str">
        <f aca="false">IF(A823="","",IF(C823="No encontrado","No","Sí"))</f>
        <v/>
      </c>
      <c r="J823" s="23" t="str">
        <f aca="false">IF(A823="","",IF(F823="Inactivo","No","Sí"))</f>
        <v/>
      </c>
      <c r="K823" s="23" t="str">
        <f aca="false">IF(A823="","",IF(AND(I823="Sí",J823="Sí"),"Sí","No"))</f>
        <v/>
      </c>
    </row>
    <row r="824" customFormat="false" ht="15" hidden="false" customHeight="false" outlineLevel="0" collapsed="false">
      <c r="A824" s="22"/>
      <c r="B824" s="22"/>
      <c r="C824" s="26" t="str">
        <f aca="false">IF(A824="","",IFERROR(buscarx(A824&amp;B824,DATA!$E$3:$E$10000&amp;DATA!$B$3:$B$10000,DATA!$M$3:$M$10000),"No encontrado"))</f>
        <v/>
      </c>
      <c r="D824" s="27" t="str">
        <f aca="false">IF(A824="","",IFERROR(buscarx(A824&amp;B824,DATA!$E$3:$E$10000&amp;DATA!$B$3:$B$10000,DATA!$W$3:$W$10000),"No encontrado"))</f>
        <v/>
      </c>
      <c r="E824" s="22"/>
      <c r="F824" s="26" t="str">
        <f aca="false">IF(A824="","",IFERROR(buscarx(A824&amp;E824,DATA!$E$3:$E$10000&amp;DATA!$B$3:$B$10000,DATA!$M$3:$M$10000),"Inactivo"))</f>
        <v/>
      </c>
      <c r="G824" s="28" t="str">
        <f aca="false">IF(A824="","",IF(AND(C824&lt;&gt;"No encontrado",F824&lt;&gt;"Inactivo"),C824&amp;" → "&amp;F824,"Sin transición"))</f>
        <v/>
      </c>
      <c r="H824" s="26" t="str">
        <f aca="false">IF(A824="","",IF(D824="GCIA LINEA SERVICIO DIGITALIDAD Y VENTAS","Chats",IF(OR(D824="GERENCIA INBOUND LÍNEAS SERVICIO Y VENTA",D824="GERENCIA INBOUND LINEAS ESPECIALIZADAS"),"Llamadas","Otro")))</f>
        <v/>
      </c>
      <c r="I824" s="26" t="str">
        <f aca="false">IF(A824="","",IF(C824="No encontrado","No","Sí"))</f>
        <v/>
      </c>
      <c r="J824" s="26" t="str">
        <f aca="false">IF(A824="","",IF(F824="Inactivo","No","Sí"))</f>
        <v/>
      </c>
      <c r="K824" s="26" t="str">
        <f aca="false">IF(A824="","",IF(AND(I824="Sí",J824="Sí"),"Sí","No"))</f>
        <v/>
      </c>
    </row>
    <row r="825" customFormat="false" ht="15" hidden="false" customHeight="false" outlineLevel="0" collapsed="false">
      <c r="A825" s="22"/>
      <c r="B825" s="22"/>
      <c r="C825" s="23" t="str">
        <f aca="false">IF(A825="","",IFERROR(buscarx(A825&amp;B825,DATA!$E$3:$E$10000&amp;DATA!$B$3:$B$10000,DATA!$M$3:$M$10000),"No encontrado"))</f>
        <v/>
      </c>
      <c r="D825" s="24" t="str">
        <f aca="false">IF(A825="","",IFERROR(buscarx(A825&amp;B825,DATA!$E$3:$E$10000&amp;DATA!$B$3:$B$10000,DATA!$W$3:$W$10000),"No encontrado"))</f>
        <v/>
      </c>
      <c r="E825" s="22"/>
      <c r="F825" s="23" t="str">
        <f aca="false">IF(A825="","",IFERROR(buscarx(A825&amp;E825,DATA!$E$3:$E$10000&amp;DATA!$B$3:$B$10000,DATA!$M$3:$M$10000),"Inactivo"))</f>
        <v/>
      </c>
      <c r="G825" s="25" t="str">
        <f aca="false">IF(A825="","",IF(AND(C825&lt;&gt;"No encontrado",F825&lt;&gt;"Inactivo"),C825&amp;" → "&amp;F825,"Sin transición"))</f>
        <v/>
      </c>
      <c r="H825" s="23" t="str">
        <f aca="false">IF(A825="","",IF(D825="GCIA LINEA SERVICIO DIGITALIDAD Y VENTAS","Chats",IF(OR(D825="GERENCIA INBOUND LÍNEAS SERVICIO Y VENTA",D825="GERENCIA INBOUND LINEAS ESPECIALIZADAS"),"Llamadas","Otro")))</f>
        <v/>
      </c>
      <c r="I825" s="23" t="str">
        <f aca="false">IF(A825="","",IF(C825="No encontrado","No","Sí"))</f>
        <v/>
      </c>
      <c r="J825" s="23" t="str">
        <f aca="false">IF(A825="","",IF(F825="Inactivo","No","Sí"))</f>
        <v/>
      </c>
      <c r="K825" s="23" t="str">
        <f aca="false">IF(A825="","",IF(AND(I825="Sí",J825="Sí"),"Sí","No"))</f>
        <v/>
      </c>
    </row>
    <row r="826" customFormat="false" ht="15" hidden="false" customHeight="false" outlineLevel="0" collapsed="false">
      <c r="A826" s="22"/>
      <c r="B826" s="22"/>
      <c r="C826" s="26" t="str">
        <f aca="false">IF(A826="","",IFERROR(buscarx(A826&amp;B826,DATA!$E$3:$E$10000&amp;DATA!$B$3:$B$10000,DATA!$M$3:$M$10000),"No encontrado"))</f>
        <v/>
      </c>
      <c r="D826" s="27" t="str">
        <f aca="false">IF(A826="","",IFERROR(buscarx(A826&amp;B826,DATA!$E$3:$E$10000&amp;DATA!$B$3:$B$10000,DATA!$W$3:$W$10000),"No encontrado"))</f>
        <v/>
      </c>
      <c r="E826" s="22"/>
      <c r="F826" s="26" t="str">
        <f aca="false">IF(A826="","",IFERROR(buscarx(A826&amp;E826,DATA!$E$3:$E$10000&amp;DATA!$B$3:$B$10000,DATA!$M$3:$M$10000),"Inactivo"))</f>
        <v/>
      </c>
      <c r="G826" s="28" t="str">
        <f aca="false">IF(A826="","",IF(AND(C826&lt;&gt;"No encontrado",F826&lt;&gt;"Inactivo"),C826&amp;" → "&amp;F826,"Sin transición"))</f>
        <v/>
      </c>
      <c r="H826" s="26" t="str">
        <f aca="false">IF(A826="","",IF(D826="GCIA LINEA SERVICIO DIGITALIDAD Y VENTAS","Chats",IF(OR(D826="GERENCIA INBOUND LÍNEAS SERVICIO Y VENTA",D826="GERENCIA INBOUND LINEAS ESPECIALIZADAS"),"Llamadas","Otro")))</f>
        <v/>
      </c>
      <c r="I826" s="26" t="str">
        <f aca="false">IF(A826="","",IF(C826="No encontrado","No","Sí"))</f>
        <v/>
      </c>
      <c r="J826" s="26" t="str">
        <f aca="false">IF(A826="","",IF(F826="Inactivo","No","Sí"))</f>
        <v/>
      </c>
      <c r="K826" s="26" t="str">
        <f aca="false">IF(A826="","",IF(AND(I826="Sí",J826="Sí"),"Sí","No"))</f>
        <v/>
      </c>
    </row>
    <row r="827" customFormat="false" ht="15" hidden="false" customHeight="false" outlineLevel="0" collapsed="false">
      <c r="A827" s="22"/>
      <c r="B827" s="22"/>
      <c r="C827" s="23" t="str">
        <f aca="false">IF(A827="","",IFERROR(buscarx(A827&amp;B827,DATA!$E$3:$E$10000&amp;DATA!$B$3:$B$10000,DATA!$M$3:$M$10000),"No encontrado"))</f>
        <v/>
      </c>
      <c r="D827" s="24" t="str">
        <f aca="false">IF(A827="","",IFERROR(buscarx(A827&amp;B827,DATA!$E$3:$E$10000&amp;DATA!$B$3:$B$10000,DATA!$W$3:$W$10000),"No encontrado"))</f>
        <v/>
      </c>
      <c r="E827" s="22"/>
      <c r="F827" s="23" t="str">
        <f aca="false">IF(A827="","",IFERROR(buscarx(A827&amp;E827,DATA!$E$3:$E$10000&amp;DATA!$B$3:$B$10000,DATA!$M$3:$M$10000),"Inactivo"))</f>
        <v/>
      </c>
      <c r="G827" s="25" t="str">
        <f aca="false">IF(A827="","",IF(AND(C827&lt;&gt;"No encontrado",F827&lt;&gt;"Inactivo"),C827&amp;" → "&amp;F827,"Sin transición"))</f>
        <v/>
      </c>
      <c r="H827" s="23" t="str">
        <f aca="false">IF(A827="","",IF(D827="GCIA LINEA SERVICIO DIGITALIDAD Y VENTAS","Chats",IF(OR(D827="GERENCIA INBOUND LÍNEAS SERVICIO Y VENTA",D827="GERENCIA INBOUND LINEAS ESPECIALIZADAS"),"Llamadas","Otro")))</f>
        <v/>
      </c>
      <c r="I827" s="23" t="str">
        <f aca="false">IF(A827="","",IF(C827="No encontrado","No","Sí"))</f>
        <v/>
      </c>
      <c r="J827" s="23" t="str">
        <f aca="false">IF(A827="","",IF(F827="Inactivo","No","Sí"))</f>
        <v/>
      </c>
      <c r="K827" s="23" t="str">
        <f aca="false">IF(A827="","",IF(AND(I827="Sí",J827="Sí"),"Sí","No"))</f>
        <v/>
      </c>
    </row>
    <row r="828" customFormat="false" ht="15" hidden="false" customHeight="false" outlineLevel="0" collapsed="false">
      <c r="A828" s="22"/>
      <c r="B828" s="22"/>
      <c r="C828" s="26" t="str">
        <f aca="false">IF(A828="","",IFERROR(buscarx(A828&amp;B828,DATA!$E$3:$E$10000&amp;DATA!$B$3:$B$10000,DATA!$M$3:$M$10000),"No encontrado"))</f>
        <v/>
      </c>
      <c r="D828" s="27" t="str">
        <f aca="false">IF(A828="","",IFERROR(buscarx(A828&amp;B828,DATA!$E$3:$E$10000&amp;DATA!$B$3:$B$10000,DATA!$W$3:$W$10000),"No encontrado"))</f>
        <v/>
      </c>
      <c r="E828" s="22"/>
      <c r="F828" s="26" t="str">
        <f aca="false">IF(A828="","",IFERROR(buscarx(A828&amp;E828,DATA!$E$3:$E$10000&amp;DATA!$B$3:$B$10000,DATA!$M$3:$M$10000),"Inactivo"))</f>
        <v/>
      </c>
      <c r="G828" s="28" t="str">
        <f aca="false">IF(A828="","",IF(AND(C828&lt;&gt;"No encontrado",F828&lt;&gt;"Inactivo"),C828&amp;" → "&amp;F828,"Sin transición"))</f>
        <v/>
      </c>
      <c r="H828" s="26" t="str">
        <f aca="false">IF(A828="","",IF(D828="GCIA LINEA SERVICIO DIGITALIDAD Y VENTAS","Chats",IF(OR(D828="GERENCIA INBOUND LÍNEAS SERVICIO Y VENTA",D828="GERENCIA INBOUND LINEAS ESPECIALIZADAS"),"Llamadas","Otro")))</f>
        <v/>
      </c>
      <c r="I828" s="26" t="str">
        <f aca="false">IF(A828="","",IF(C828="No encontrado","No","Sí"))</f>
        <v/>
      </c>
      <c r="J828" s="26" t="str">
        <f aca="false">IF(A828="","",IF(F828="Inactivo","No","Sí"))</f>
        <v/>
      </c>
      <c r="K828" s="26" t="str">
        <f aca="false">IF(A828="","",IF(AND(I828="Sí",J828="Sí"),"Sí","No"))</f>
        <v/>
      </c>
    </row>
    <row r="829" customFormat="false" ht="15" hidden="false" customHeight="false" outlineLevel="0" collapsed="false">
      <c r="A829" s="22"/>
      <c r="B829" s="22"/>
      <c r="C829" s="23" t="str">
        <f aca="false">IF(A829="","",IFERROR(buscarx(A829&amp;B829,DATA!$E$3:$E$10000&amp;DATA!$B$3:$B$10000,DATA!$M$3:$M$10000),"No encontrado"))</f>
        <v/>
      </c>
      <c r="D829" s="24" t="str">
        <f aca="false">IF(A829="","",IFERROR(buscarx(A829&amp;B829,DATA!$E$3:$E$10000&amp;DATA!$B$3:$B$10000,DATA!$W$3:$W$10000),"No encontrado"))</f>
        <v/>
      </c>
      <c r="E829" s="22"/>
      <c r="F829" s="23" t="str">
        <f aca="false">IF(A829="","",IFERROR(buscarx(A829&amp;E829,DATA!$E$3:$E$10000&amp;DATA!$B$3:$B$10000,DATA!$M$3:$M$10000),"Inactivo"))</f>
        <v/>
      </c>
      <c r="G829" s="25" t="str">
        <f aca="false">IF(A829="","",IF(AND(C829&lt;&gt;"No encontrado",F829&lt;&gt;"Inactivo"),C829&amp;" → "&amp;F829,"Sin transición"))</f>
        <v/>
      </c>
      <c r="H829" s="23" t="str">
        <f aca="false">IF(A829="","",IF(D829="GCIA LINEA SERVICIO DIGITALIDAD Y VENTAS","Chats",IF(OR(D829="GERENCIA INBOUND LÍNEAS SERVICIO Y VENTA",D829="GERENCIA INBOUND LINEAS ESPECIALIZADAS"),"Llamadas","Otro")))</f>
        <v/>
      </c>
      <c r="I829" s="23" t="str">
        <f aca="false">IF(A829="","",IF(C829="No encontrado","No","Sí"))</f>
        <v/>
      </c>
      <c r="J829" s="23" t="str">
        <f aca="false">IF(A829="","",IF(F829="Inactivo","No","Sí"))</f>
        <v/>
      </c>
      <c r="K829" s="23" t="str">
        <f aca="false">IF(A829="","",IF(AND(I829="Sí",J829="Sí"),"Sí","No"))</f>
        <v/>
      </c>
    </row>
    <row r="830" customFormat="false" ht="15" hidden="false" customHeight="false" outlineLevel="0" collapsed="false">
      <c r="A830" s="22"/>
      <c r="B830" s="22"/>
      <c r="C830" s="26" t="str">
        <f aca="false">IF(A830="","",IFERROR(buscarx(A830&amp;B830,DATA!$E$3:$E$10000&amp;DATA!$B$3:$B$10000,DATA!$M$3:$M$10000),"No encontrado"))</f>
        <v/>
      </c>
      <c r="D830" s="27" t="str">
        <f aca="false">IF(A830="","",IFERROR(buscarx(A830&amp;B830,DATA!$E$3:$E$10000&amp;DATA!$B$3:$B$10000,DATA!$W$3:$W$10000),"No encontrado"))</f>
        <v/>
      </c>
      <c r="E830" s="22"/>
      <c r="F830" s="26" t="str">
        <f aca="false">IF(A830="","",IFERROR(buscarx(A830&amp;E830,DATA!$E$3:$E$10000&amp;DATA!$B$3:$B$10000,DATA!$M$3:$M$10000),"Inactivo"))</f>
        <v/>
      </c>
      <c r="G830" s="28" t="str">
        <f aca="false">IF(A830="","",IF(AND(C830&lt;&gt;"No encontrado",F830&lt;&gt;"Inactivo"),C830&amp;" → "&amp;F830,"Sin transición"))</f>
        <v/>
      </c>
      <c r="H830" s="26" t="str">
        <f aca="false">IF(A830="","",IF(D830="GCIA LINEA SERVICIO DIGITALIDAD Y VENTAS","Chats",IF(OR(D830="GERENCIA INBOUND LÍNEAS SERVICIO Y VENTA",D830="GERENCIA INBOUND LINEAS ESPECIALIZADAS"),"Llamadas","Otro")))</f>
        <v/>
      </c>
      <c r="I830" s="26" t="str">
        <f aca="false">IF(A830="","",IF(C830="No encontrado","No","Sí"))</f>
        <v/>
      </c>
      <c r="J830" s="26" t="str">
        <f aca="false">IF(A830="","",IF(F830="Inactivo","No","Sí"))</f>
        <v/>
      </c>
      <c r="K830" s="26" t="str">
        <f aca="false">IF(A830="","",IF(AND(I830="Sí",J830="Sí"),"Sí","No"))</f>
        <v/>
      </c>
    </row>
    <row r="831" customFormat="false" ht="15" hidden="false" customHeight="false" outlineLevel="0" collapsed="false">
      <c r="A831" s="22"/>
      <c r="B831" s="22"/>
      <c r="C831" s="23" t="str">
        <f aca="false">IF(A831="","",IFERROR(buscarx(A831&amp;B831,DATA!$E$3:$E$10000&amp;DATA!$B$3:$B$10000,DATA!$M$3:$M$10000),"No encontrado"))</f>
        <v/>
      </c>
      <c r="D831" s="24" t="str">
        <f aca="false">IF(A831="","",IFERROR(buscarx(A831&amp;B831,DATA!$E$3:$E$10000&amp;DATA!$B$3:$B$10000,DATA!$W$3:$W$10000),"No encontrado"))</f>
        <v/>
      </c>
      <c r="E831" s="22"/>
      <c r="F831" s="23" t="str">
        <f aca="false">IF(A831="","",IFERROR(buscarx(A831&amp;E831,DATA!$E$3:$E$10000&amp;DATA!$B$3:$B$10000,DATA!$M$3:$M$10000),"Inactivo"))</f>
        <v/>
      </c>
      <c r="G831" s="25" t="str">
        <f aca="false">IF(A831="","",IF(AND(C831&lt;&gt;"No encontrado",F831&lt;&gt;"Inactivo"),C831&amp;" → "&amp;F831,"Sin transición"))</f>
        <v/>
      </c>
      <c r="H831" s="23" t="str">
        <f aca="false">IF(A831="","",IF(D831="GCIA LINEA SERVICIO DIGITALIDAD Y VENTAS","Chats",IF(OR(D831="GERENCIA INBOUND LÍNEAS SERVICIO Y VENTA",D831="GERENCIA INBOUND LINEAS ESPECIALIZADAS"),"Llamadas","Otro")))</f>
        <v/>
      </c>
      <c r="I831" s="23" t="str">
        <f aca="false">IF(A831="","",IF(C831="No encontrado","No","Sí"))</f>
        <v/>
      </c>
      <c r="J831" s="23" t="str">
        <f aca="false">IF(A831="","",IF(F831="Inactivo","No","Sí"))</f>
        <v/>
      </c>
      <c r="K831" s="23" t="str">
        <f aca="false">IF(A831="","",IF(AND(I831="Sí",J831="Sí"),"Sí","No"))</f>
        <v/>
      </c>
    </row>
    <row r="832" customFormat="false" ht="15" hidden="false" customHeight="false" outlineLevel="0" collapsed="false">
      <c r="A832" s="22"/>
      <c r="B832" s="22"/>
      <c r="C832" s="26" t="str">
        <f aca="false">IF(A832="","",IFERROR(buscarx(A832&amp;B832,DATA!$E$3:$E$10000&amp;DATA!$B$3:$B$10000,DATA!$M$3:$M$10000),"No encontrado"))</f>
        <v/>
      </c>
      <c r="D832" s="27" t="str">
        <f aca="false">IF(A832="","",IFERROR(buscarx(A832&amp;B832,DATA!$E$3:$E$10000&amp;DATA!$B$3:$B$10000,DATA!$W$3:$W$10000),"No encontrado"))</f>
        <v/>
      </c>
      <c r="E832" s="22"/>
      <c r="F832" s="26" t="str">
        <f aca="false">IF(A832="","",IFERROR(buscarx(A832&amp;E832,DATA!$E$3:$E$10000&amp;DATA!$B$3:$B$10000,DATA!$M$3:$M$10000),"Inactivo"))</f>
        <v/>
      </c>
      <c r="G832" s="28" t="str">
        <f aca="false">IF(A832="","",IF(AND(C832&lt;&gt;"No encontrado",F832&lt;&gt;"Inactivo"),C832&amp;" → "&amp;F832,"Sin transición"))</f>
        <v/>
      </c>
      <c r="H832" s="26" t="str">
        <f aca="false">IF(A832="","",IF(D832="GCIA LINEA SERVICIO DIGITALIDAD Y VENTAS","Chats",IF(OR(D832="GERENCIA INBOUND LÍNEAS SERVICIO Y VENTA",D832="GERENCIA INBOUND LINEAS ESPECIALIZADAS"),"Llamadas","Otro")))</f>
        <v/>
      </c>
      <c r="I832" s="26" t="str">
        <f aca="false">IF(A832="","",IF(C832="No encontrado","No","Sí"))</f>
        <v/>
      </c>
      <c r="J832" s="26" t="str">
        <f aca="false">IF(A832="","",IF(F832="Inactivo","No","Sí"))</f>
        <v/>
      </c>
      <c r="K832" s="26" t="str">
        <f aca="false">IF(A832="","",IF(AND(I832="Sí",J832="Sí"),"Sí","No"))</f>
        <v/>
      </c>
    </row>
    <row r="833" customFormat="false" ht="15" hidden="false" customHeight="false" outlineLevel="0" collapsed="false">
      <c r="A833" s="22"/>
      <c r="B833" s="22"/>
      <c r="C833" s="23" t="str">
        <f aca="false">IF(A833="","",IFERROR(buscarx(A833&amp;B833,DATA!$E$3:$E$10000&amp;DATA!$B$3:$B$10000,DATA!$M$3:$M$10000),"No encontrado"))</f>
        <v/>
      </c>
      <c r="D833" s="24" t="str">
        <f aca="false">IF(A833="","",IFERROR(buscarx(A833&amp;B833,DATA!$E$3:$E$10000&amp;DATA!$B$3:$B$10000,DATA!$W$3:$W$10000),"No encontrado"))</f>
        <v/>
      </c>
      <c r="E833" s="22"/>
      <c r="F833" s="23" t="str">
        <f aca="false">IF(A833="","",IFERROR(buscarx(A833&amp;E833,DATA!$E$3:$E$10000&amp;DATA!$B$3:$B$10000,DATA!$M$3:$M$10000),"Inactivo"))</f>
        <v/>
      </c>
      <c r="G833" s="25" t="str">
        <f aca="false">IF(A833="","",IF(AND(C833&lt;&gt;"No encontrado",F833&lt;&gt;"Inactivo"),C833&amp;" → "&amp;F833,"Sin transición"))</f>
        <v/>
      </c>
      <c r="H833" s="23" t="str">
        <f aca="false">IF(A833="","",IF(D833="GCIA LINEA SERVICIO DIGITALIDAD Y VENTAS","Chats",IF(OR(D833="GERENCIA INBOUND LÍNEAS SERVICIO Y VENTA",D833="GERENCIA INBOUND LINEAS ESPECIALIZADAS"),"Llamadas","Otro")))</f>
        <v/>
      </c>
      <c r="I833" s="23" t="str">
        <f aca="false">IF(A833="","",IF(C833="No encontrado","No","Sí"))</f>
        <v/>
      </c>
      <c r="J833" s="23" t="str">
        <f aca="false">IF(A833="","",IF(F833="Inactivo","No","Sí"))</f>
        <v/>
      </c>
      <c r="K833" s="23" t="str">
        <f aca="false">IF(A833="","",IF(AND(I833="Sí",J833="Sí"),"Sí","No"))</f>
        <v/>
      </c>
    </row>
    <row r="834" customFormat="false" ht="15" hidden="false" customHeight="false" outlineLevel="0" collapsed="false">
      <c r="A834" s="22"/>
      <c r="B834" s="22"/>
      <c r="C834" s="26" t="str">
        <f aca="false">IF(A834="","",IFERROR(buscarx(A834&amp;B834,DATA!$E$3:$E$10000&amp;DATA!$B$3:$B$10000,DATA!$M$3:$M$10000),"No encontrado"))</f>
        <v/>
      </c>
      <c r="D834" s="27" t="str">
        <f aca="false">IF(A834="","",IFERROR(buscarx(A834&amp;B834,DATA!$E$3:$E$10000&amp;DATA!$B$3:$B$10000,DATA!$W$3:$W$10000),"No encontrado"))</f>
        <v/>
      </c>
      <c r="E834" s="22"/>
      <c r="F834" s="26" t="str">
        <f aca="false">IF(A834="","",IFERROR(buscarx(A834&amp;E834,DATA!$E$3:$E$10000&amp;DATA!$B$3:$B$10000,DATA!$M$3:$M$10000),"Inactivo"))</f>
        <v/>
      </c>
      <c r="G834" s="28" t="str">
        <f aca="false">IF(A834="","",IF(AND(C834&lt;&gt;"No encontrado",F834&lt;&gt;"Inactivo"),C834&amp;" → "&amp;F834,"Sin transición"))</f>
        <v/>
      </c>
      <c r="H834" s="26" t="str">
        <f aca="false">IF(A834="","",IF(D834="GCIA LINEA SERVICIO DIGITALIDAD Y VENTAS","Chats",IF(OR(D834="GERENCIA INBOUND LÍNEAS SERVICIO Y VENTA",D834="GERENCIA INBOUND LINEAS ESPECIALIZADAS"),"Llamadas","Otro")))</f>
        <v/>
      </c>
      <c r="I834" s="26" t="str">
        <f aca="false">IF(A834="","",IF(C834="No encontrado","No","Sí"))</f>
        <v/>
      </c>
      <c r="J834" s="26" t="str">
        <f aca="false">IF(A834="","",IF(F834="Inactivo","No","Sí"))</f>
        <v/>
      </c>
      <c r="K834" s="26" t="str">
        <f aca="false">IF(A834="","",IF(AND(I834="Sí",J834="Sí"),"Sí","No"))</f>
        <v/>
      </c>
    </row>
    <row r="835" customFormat="false" ht="15" hidden="false" customHeight="false" outlineLevel="0" collapsed="false">
      <c r="A835" s="22"/>
      <c r="B835" s="22"/>
      <c r="C835" s="23" t="str">
        <f aca="false">IF(A835="","",IFERROR(buscarx(A835&amp;B835,DATA!$E$3:$E$10000&amp;DATA!$B$3:$B$10000,DATA!$M$3:$M$10000),"No encontrado"))</f>
        <v/>
      </c>
      <c r="D835" s="24" t="str">
        <f aca="false">IF(A835="","",IFERROR(buscarx(A835&amp;B835,DATA!$E$3:$E$10000&amp;DATA!$B$3:$B$10000,DATA!$W$3:$W$10000),"No encontrado"))</f>
        <v/>
      </c>
      <c r="E835" s="22"/>
      <c r="F835" s="23" t="str">
        <f aca="false">IF(A835="","",IFERROR(buscarx(A835&amp;E835,DATA!$E$3:$E$10000&amp;DATA!$B$3:$B$10000,DATA!$M$3:$M$10000),"Inactivo"))</f>
        <v/>
      </c>
      <c r="G835" s="25" t="str">
        <f aca="false">IF(A835="","",IF(AND(C835&lt;&gt;"No encontrado",F835&lt;&gt;"Inactivo"),C835&amp;" → "&amp;F835,"Sin transición"))</f>
        <v/>
      </c>
      <c r="H835" s="23" t="str">
        <f aca="false">IF(A835="","",IF(D835="GCIA LINEA SERVICIO DIGITALIDAD Y VENTAS","Chats",IF(OR(D835="GERENCIA INBOUND LÍNEAS SERVICIO Y VENTA",D835="GERENCIA INBOUND LINEAS ESPECIALIZADAS"),"Llamadas","Otro")))</f>
        <v/>
      </c>
      <c r="I835" s="23" t="str">
        <f aca="false">IF(A835="","",IF(C835="No encontrado","No","Sí"))</f>
        <v/>
      </c>
      <c r="J835" s="23" t="str">
        <f aca="false">IF(A835="","",IF(F835="Inactivo","No","Sí"))</f>
        <v/>
      </c>
      <c r="K835" s="23" t="str">
        <f aca="false">IF(A835="","",IF(AND(I835="Sí",J835="Sí"),"Sí","No"))</f>
        <v/>
      </c>
    </row>
    <row r="836" customFormat="false" ht="15" hidden="false" customHeight="false" outlineLevel="0" collapsed="false">
      <c r="A836" s="22"/>
      <c r="B836" s="22"/>
      <c r="C836" s="26" t="str">
        <f aca="false">IF(A836="","",IFERROR(buscarx(A836&amp;B836,DATA!$E$3:$E$10000&amp;DATA!$B$3:$B$10000,DATA!$M$3:$M$10000),"No encontrado"))</f>
        <v/>
      </c>
      <c r="D836" s="27" t="str">
        <f aca="false">IF(A836="","",IFERROR(buscarx(A836&amp;B836,DATA!$E$3:$E$10000&amp;DATA!$B$3:$B$10000,DATA!$W$3:$W$10000),"No encontrado"))</f>
        <v/>
      </c>
      <c r="E836" s="22"/>
      <c r="F836" s="26" t="str">
        <f aca="false">IF(A836="","",IFERROR(buscarx(A836&amp;E836,DATA!$E$3:$E$10000&amp;DATA!$B$3:$B$10000,DATA!$M$3:$M$10000),"Inactivo"))</f>
        <v/>
      </c>
      <c r="G836" s="28" t="str">
        <f aca="false">IF(A836="","",IF(AND(C836&lt;&gt;"No encontrado",F836&lt;&gt;"Inactivo"),C836&amp;" → "&amp;F836,"Sin transición"))</f>
        <v/>
      </c>
      <c r="H836" s="26" t="str">
        <f aca="false">IF(A836="","",IF(D836="GCIA LINEA SERVICIO DIGITALIDAD Y VENTAS","Chats",IF(OR(D836="GERENCIA INBOUND LÍNEAS SERVICIO Y VENTA",D836="GERENCIA INBOUND LINEAS ESPECIALIZADAS"),"Llamadas","Otro")))</f>
        <v/>
      </c>
      <c r="I836" s="26" t="str">
        <f aca="false">IF(A836="","",IF(C836="No encontrado","No","Sí"))</f>
        <v/>
      </c>
      <c r="J836" s="26" t="str">
        <f aca="false">IF(A836="","",IF(F836="Inactivo","No","Sí"))</f>
        <v/>
      </c>
      <c r="K836" s="26" t="str">
        <f aca="false">IF(A836="","",IF(AND(I836="Sí",J836="Sí"),"Sí","No"))</f>
        <v/>
      </c>
    </row>
    <row r="837" customFormat="false" ht="15" hidden="false" customHeight="false" outlineLevel="0" collapsed="false">
      <c r="A837" s="22"/>
      <c r="B837" s="22"/>
      <c r="C837" s="23" t="str">
        <f aca="false">IF(A837="","",IFERROR(buscarx(A837&amp;B837,DATA!$E$3:$E$10000&amp;DATA!$B$3:$B$10000,DATA!$M$3:$M$10000),"No encontrado"))</f>
        <v/>
      </c>
      <c r="D837" s="24" t="str">
        <f aca="false">IF(A837="","",IFERROR(buscarx(A837&amp;B837,DATA!$E$3:$E$10000&amp;DATA!$B$3:$B$10000,DATA!$W$3:$W$10000),"No encontrado"))</f>
        <v/>
      </c>
      <c r="E837" s="22"/>
      <c r="F837" s="23" t="str">
        <f aca="false">IF(A837="","",IFERROR(buscarx(A837&amp;E837,DATA!$E$3:$E$10000&amp;DATA!$B$3:$B$10000,DATA!$M$3:$M$10000),"Inactivo"))</f>
        <v/>
      </c>
      <c r="G837" s="25" t="str">
        <f aca="false">IF(A837="","",IF(AND(C837&lt;&gt;"No encontrado",F837&lt;&gt;"Inactivo"),C837&amp;" → "&amp;F837,"Sin transición"))</f>
        <v/>
      </c>
      <c r="H837" s="23" t="str">
        <f aca="false">IF(A837="","",IF(D837="GCIA LINEA SERVICIO DIGITALIDAD Y VENTAS","Chats",IF(OR(D837="GERENCIA INBOUND LÍNEAS SERVICIO Y VENTA",D837="GERENCIA INBOUND LINEAS ESPECIALIZADAS"),"Llamadas","Otro")))</f>
        <v/>
      </c>
      <c r="I837" s="23" t="str">
        <f aca="false">IF(A837="","",IF(C837="No encontrado","No","Sí"))</f>
        <v/>
      </c>
      <c r="J837" s="23" t="str">
        <f aca="false">IF(A837="","",IF(F837="Inactivo","No","Sí"))</f>
        <v/>
      </c>
      <c r="K837" s="23" t="str">
        <f aca="false">IF(A837="","",IF(AND(I837="Sí",J837="Sí"),"Sí","No"))</f>
        <v/>
      </c>
    </row>
    <row r="838" customFormat="false" ht="15" hidden="false" customHeight="false" outlineLevel="0" collapsed="false">
      <c r="A838" s="22"/>
      <c r="B838" s="22"/>
      <c r="C838" s="26" t="str">
        <f aca="false">IF(A838="","",IFERROR(buscarx(A838&amp;B838,DATA!$E$3:$E$10000&amp;DATA!$B$3:$B$10000,DATA!$M$3:$M$10000),"No encontrado"))</f>
        <v/>
      </c>
      <c r="D838" s="27" t="str">
        <f aca="false">IF(A838="","",IFERROR(buscarx(A838&amp;B838,DATA!$E$3:$E$10000&amp;DATA!$B$3:$B$10000,DATA!$W$3:$W$10000),"No encontrado"))</f>
        <v/>
      </c>
      <c r="E838" s="22"/>
      <c r="F838" s="26" t="str">
        <f aca="false">IF(A838="","",IFERROR(buscarx(A838&amp;E838,DATA!$E$3:$E$10000&amp;DATA!$B$3:$B$10000,DATA!$M$3:$M$10000),"Inactivo"))</f>
        <v/>
      </c>
      <c r="G838" s="28" t="str">
        <f aca="false">IF(A838="","",IF(AND(C838&lt;&gt;"No encontrado",F838&lt;&gt;"Inactivo"),C838&amp;" → "&amp;F838,"Sin transición"))</f>
        <v/>
      </c>
      <c r="H838" s="26" t="str">
        <f aca="false">IF(A838="","",IF(D838="GCIA LINEA SERVICIO DIGITALIDAD Y VENTAS","Chats",IF(OR(D838="GERENCIA INBOUND LÍNEAS SERVICIO Y VENTA",D838="GERENCIA INBOUND LINEAS ESPECIALIZADAS"),"Llamadas","Otro")))</f>
        <v/>
      </c>
      <c r="I838" s="26" t="str">
        <f aca="false">IF(A838="","",IF(C838="No encontrado","No","Sí"))</f>
        <v/>
      </c>
      <c r="J838" s="26" t="str">
        <f aca="false">IF(A838="","",IF(F838="Inactivo","No","Sí"))</f>
        <v/>
      </c>
      <c r="K838" s="26" t="str">
        <f aca="false">IF(A838="","",IF(AND(I838="Sí",J838="Sí"),"Sí","No"))</f>
        <v/>
      </c>
    </row>
    <row r="839" customFormat="false" ht="15" hidden="false" customHeight="false" outlineLevel="0" collapsed="false">
      <c r="A839" s="22"/>
      <c r="B839" s="22"/>
      <c r="C839" s="23" t="str">
        <f aca="false">IF(A839="","",IFERROR(buscarx(A839&amp;B839,DATA!$E$3:$E$10000&amp;DATA!$B$3:$B$10000,DATA!$M$3:$M$10000),"No encontrado"))</f>
        <v/>
      </c>
      <c r="D839" s="24" t="str">
        <f aca="false">IF(A839="","",IFERROR(buscarx(A839&amp;B839,DATA!$E$3:$E$10000&amp;DATA!$B$3:$B$10000,DATA!$W$3:$W$10000),"No encontrado"))</f>
        <v/>
      </c>
      <c r="E839" s="22"/>
      <c r="F839" s="23" t="str">
        <f aca="false">IF(A839="","",IFERROR(buscarx(A839&amp;E839,DATA!$E$3:$E$10000&amp;DATA!$B$3:$B$10000,DATA!$M$3:$M$10000),"Inactivo"))</f>
        <v/>
      </c>
      <c r="G839" s="25" t="str">
        <f aca="false">IF(A839="","",IF(AND(C839&lt;&gt;"No encontrado",F839&lt;&gt;"Inactivo"),C839&amp;" → "&amp;F839,"Sin transición"))</f>
        <v/>
      </c>
      <c r="H839" s="23" t="str">
        <f aca="false">IF(A839="","",IF(D839="GCIA LINEA SERVICIO DIGITALIDAD Y VENTAS","Chats",IF(OR(D839="GERENCIA INBOUND LÍNEAS SERVICIO Y VENTA",D839="GERENCIA INBOUND LINEAS ESPECIALIZADAS"),"Llamadas","Otro")))</f>
        <v/>
      </c>
      <c r="I839" s="23" t="str">
        <f aca="false">IF(A839="","",IF(C839="No encontrado","No","Sí"))</f>
        <v/>
      </c>
      <c r="J839" s="23" t="str">
        <f aca="false">IF(A839="","",IF(F839="Inactivo","No","Sí"))</f>
        <v/>
      </c>
      <c r="K839" s="23" t="str">
        <f aca="false">IF(A839="","",IF(AND(I839="Sí",J839="Sí"),"Sí","No"))</f>
        <v/>
      </c>
    </row>
    <row r="840" customFormat="false" ht="15" hidden="false" customHeight="false" outlineLevel="0" collapsed="false">
      <c r="A840" s="22"/>
      <c r="B840" s="22"/>
      <c r="C840" s="26" t="str">
        <f aca="false">IF(A840="","",IFERROR(buscarx(A840&amp;B840,DATA!$E$3:$E$10000&amp;DATA!$B$3:$B$10000,DATA!$M$3:$M$10000),"No encontrado"))</f>
        <v/>
      </c>
      <c r="D840" s="27" t="str">
        <f aca="false">IF(A840="","",IFERROR(buscarx(A840&amp;B840,DATA!$E$3:$E$10000&amp;DATA!$B$3:$B$10000,DATA!$W$3:$W$10000),"No encontrado"))</f>
        <v/>
      </c>
      <c r="E840" s="22"/>
      <c r="F840" s="26" t="str">
        <f aca="false">IF(A840="","",IFERROR(buscarx(A840&amp;E840,DATA!$E$3:$E$10000&amp;DATA!$B$3:$B$10000,DATA!$M$3:$M$10000),"Inactivo"))</f>
        <v/>
      </c>
      <c r="G840" s="28" t="str">
        <f aca="false">IF(A840="","",IF(AND(C840&lt;&gt;"No encontrado",F840&lt;&gt;"Inactivo"),C840&amp;" → "&amp;F840,"Sin transición"))</f>
        <v/>
      </c>
      <c r="H840" s="26" t="str">
        <f aca="false">IF(A840="","",IF(D840="GCIA LINEA SERVICIO DIGITALIDAD Y VENTAS","Chats",IF(OR(D840="GERENCIA INBOUND LÍNEAS SERVICIO Y VENTA",D840="GERENCIA INBOUND LINEAS ESPECIALIZADAS"),"Llamadas","Otro")))</f>
        <v/>
      </c>
      <c r="I840" s="26" t="str">
        <f aca="false">IF(A840="","",IF(C840="No encontrado","No","Sí"))</f>
        <v/>
      </c>
      <c r="J840" s="26" t="str">
        <f aca="false">IF(A840="","",IF(F840="Inactivo","No","Sí"))</f>
        <v/>
      </c>
      <c r="K840" s="26" t="str">
        <f aca="false">IF(A840="","",IF(AND(I840="Sí",J840="Sí"),"Sí","No"))</f>
        <v/>
      </c>
    </row>
    <row r="841" customFormat="false" ht="15" hidden="false" customHeight="false" outlineLevel="0" collapsed="false">
      <c r="A841" s="22"/>
      <c r="B841" s="22"/>
      <c r="C841" s="23" t="str">
        <f aca="false">IF(A841="","",IFERROR(buscarx(A841&amp;B841,DATA!$E$3:$E$10000&amp;DATA!$B$3:$B$10000,DATA!$M$3:$M$10000),"No encontrado"))</f>
        <v/>
      </c>
      <c r="D841" s="24" t="str">
        <f aca="false">IF(A841="","",IFERROR(buscarx(A841&amp;B841,DATA!$E$3:$E$10000&amp;DATA!$B$3:$B$10000,DATA!$W$3:$W$10000),"No encontrado"))</f>
        <v/>
      </c>
      <c r="E841" s="22"/>
      <c r="F841" s="23" t="str">
        <f aca="false">IF(A841="","",IFERROR(buscarx(A841&amp;E841,DATA!$E$3:$E$10000&amp;DATA!$B$3:$B$10000,DATA!$M$3:$M$10000),"Inactivo"))</f>
        <v/>
      </c>
      <c r="G841" s="25" t="str">
        <f aca="false">IF(A841="","",IF(AND(C841&lt;&gt;"No encontrado",F841&lt;&gt;"Inactivo"),C841&amp;" → "&amp;F841,"Sin transición"))</f>
        <v/>
      </c>
      <c r="H841" s="23" t="str">
        <f aca="false">IF(A841="","",IF(D841="GCIA LINEA SERVICIO DIGITALIDAD Y VENTAS","Chats",IF(OR(D841="GERENCIA INBOUND LÍNEAS SERVICIO Y VENTA",D841="GERENCIA INBOUND LINEAS ESPECIALIZADAS"),"Llamadas","Otro")))</f>
        <v/>
      </c>
      <c r="I841" s="23" t="str">
        <f aca="false">IF(A841="","",IF(C841="No encontrado","No","Sí"))</f>
        <v/>
      </c>
      <c r="J841" s="23" t="str">
        <f aca="false">IF(A841="","",IF(F841="Inactivo","No","Sí"))</f>
        <v/>
      </c>
      <c r="K841" s="23" t="str">
        <f aca="false">IF(A841="","",IF(AND(I841="Sí",J841="Sí"),"Sí","No"))</f>
        <v/>
      </c>
    </row>
    <row r="842" customFormat="false" ht="15" hidden="false" customHeight="false" outlineLevel="0" collapsed="false">
      <c r="A842" s="22"/>
      <c r="B842" s="22"/>
      <c r="C842" s="26" t="str">
        <f aca="false">IF(A842="","",IFERROR(buscarx(A842&amp;B842,DATA!$E$3:$E$10000&amp;DATA!$B$3:$B$10000,DATA!$M$3:$M$10000),"No encontrado"))</f>
        <v/>
      </c>
      <c r="D842" s="27" t="str">
        <f aca="false">IF(A842="","",IFERROR(buscarx(A842&amp;B842,DATA!$E$3:$E$10000&amp;DATA!$B$3:$B$10000,DATA!$W$3:$W$10000),"No encontrado"))</f>
        <v/>
      </c>
      <c r="E842" s="22"/>
      <c r="F842" s="26" t="str">
        <f aca="false">IF(A842="","",IFERROR(buscarx(A842&amp;E842,DATA!$E$3:$E$10000&amp;DATA!$B$3:$B$10000,DATA!$M$3:$M$10000),"Inactivo"))</f>
        <v/>
      </c>
      <c r="G842" s="28" t="str">
        <f aca="false">IF(A842="","",IF(AND(C842&lt;&gt;"No encontrado",F842&lt;&gt;"Inactivo"),C842&amp;" → "&amp;F842,"Sin transición"))</f>
        <v/>
      </c>
      <c r="H842" s="26" t="str">
        <f aca="false">IF(A842="","",IF(D842="GCIA LINEA SERVICIO DIGITALIDAD Y VENTAS","Chats",IF(OR(D842="GERENCIA INBOUND LÍNEAS SERVICIO Y VENTA",D842="GERENCIA INBOUND LINEAS ESPECIALIZADAS"),"Llamadas","Otro")))</f>
        <v/>
      </c>
      <c r="I842" s="26" t="str">
        <f aca="false">IF(A842="","",IF(C842="No encontrado","No","Sí"))</f>
        <v/>
      </c>
      <c r="J842" s="26" t="str">
        <f aca="false">IF(A842="","",IF(F842="Inactivo","No","Sí"))</f>
        <v/>
      </c>
      <c r="K842" s="26" t="str">
        <f aca="false">IF(A842="","",IF(AND(I842="Sí",J842="Sí"),"Sí","No"))</f>
        <v/>
      </c>
    </row>
    <row r="843" customFormat="false" ht="15" hidden="false" customHeight="false" outlineLevel="0" collapsed="false">
      <c r="A843" s="22"/>
      <c r="B843" s="22"/>
      <c r="C843" s="23" t="str">
        <f aca="false">IF(A843="","",IFERROR(buscarx(A843&amp;B843,DATA!$E$3:$E$10000&amp;DATA!$B$3:$B$10000,DATA!$M$3:$M$10000),"No encontrado"))</f>
        <v/>
      </c>
      <c r="D843" s="24" t="str">
        <f aca="false">IF(A843="","",IFERROR(buscarx(A843&amp;B843,DATA!$E$3:$E$10000&amp;DATA!$B$3:$B$10000,DATA!$W$3:$W$10000),"No encontrado"))</f>
        <v/>
      </c>
      <c r="E843" s="22"/>
      <c r="F843" s="23" t="str">
        <f aca="false">IF(A843="","",IFERROR(buscarx(A843&amp;E843,DATA!$E$3:$E$10000&amp;DATA!$B$3:$B$10000,DATA!$M$3:$M$10000),"Inactivo"))</f>
        <v/>
      </c>
      <c r="G843" s="25" t="str">
        <f aca="false">IF(A843="","",IF(AND(C843&lt;&gt;"No encontrado",F843&lt;&gt;"Inactivo"),C843&amp;" → "&amp;F843,"Sin transición"))</f>
        <v/>
      </c>
      <c r="H843" s="23" t="str">
        <f aca="false">IF(A843="","",IF(D843="GCIA LINEA SERVICIO DIGITALIDAD Y VENTAS","Chats",IF(OR(D843="GERENCIA INBOUND LÍNEAS SERVICIO Y VENTA",D843="GERENCIA INBOUND LINEAS ESPECIALIZADAS"),"Llamadas","Otro")))</f>
        <v/>
      </c>
      <c r="I843" s="23" t="str">
        <f aca="false">IF(A843="","",IF(C843="No encontrado","No","Sí"))</f>
        <v/>
      </c>
      <c r="J843" s="23" t="str">
        <f aca="false">IF(A843="","",IF(F843="Inactivo","No","Sí"))</f>
        <v/>
      </c>
      <c r="K843" s="23" t="str">
        <f aca="false">IF(A843="","",IF(AND(I843="Sí",J843="Sí"),"Sí","No"))</f>
        <v/>
      </c>
    </row>
    <row r="844" customFormat="false" ht="15" hidden="false" customHeight="false" outlineLevel="0" collapsed="false">
      <c r="A844" s="22"/>
      <c r="B844" s="22"/>
      <c r="C844" s="26" t="str">
        <f aca="false">IF(A844="","",IFERROR(buscarx(A844&amp;B844,DATA!$E$3:$E$10000&amp;DATA!$B$3:$B$10000,DATA!$M$3:$M$10000),"No encontrado"))</f>
        <v/>
      </c>
      <c r="D844" s="27" t="str">
        <f aca="false">IF(A844="","",IFERROR(buscarx(A844&amp;B844,DATA!$E$3:$E$10000&amp;DATA!$B$3:$B$10000,DATA!$W$3:$W$10000),"No encontrado"))</f>
        <v/>
      </c>
      <c r="E844" s="22"/>
      <c r="F844" s="26" t="str">
        <f aca="false">IF(A844="","",IFERROR(buscarx(A844&amp;E844,DATA!$E$3:$E$10000&amp;DATA!$B$3:$B$10000,DATA!$M$3:$M$10000),"Inactivo"))</f>
        <v/>
      </c>
      <c r="G844" s="28" t="str">
        <f aca="false">IF(A844="","",IF(AND(C844&lt;&gt;"No encontrado",F844&lt;&gt;"Inactivo"),C844&amp;" → "&amp;F844,"Sin transición"))</f>
        <v/>
      </c>
      <c r="H844" s="26" t="str">
        <f aca="false">IF(A844="","",IF(D844="GCIA LINEA SERVICIO DIGITALIDAD Y VENTAS","Chats",IF(OR(D844="GERENCIA INBOUND LÍNEAS SERVICIO Y VENTA",D844="GERENCIA INBOUND LINEAS ESPECIALIZADAS"),"Llamadas","Otro")))</f>
        <v/>
      </c>
      <c r="I844" s="26" t="str">
        <f aca="false">IF(A844="","",IF(C844="No encontrado","No","Sí"))</f>
        <v/>
      </c>
      <c r="J844" s="26" t="str">
        <f aca="false">IF(A844="","",IF(F844="Inactivo","No","Sí"))</f>
        <v/>
      </c>
      <c r="K844" s="26" t="str">
        <f aca="false">IF(A844="","",IF(AND(I844="Sí",J844="Sí"),"Sí","No"))</f>
        <v/>
      </c>
    </row>
    <row r="845" customFormat="false" ht="15" hidden="false" customHeight="false" outlineLevel="0" collapsed="false">
      <c r="A845" s="22"/>
      <c r="B845" s="22"/>
      <c r="C845" s="23" t="str">
        <f aca="false">IF(A845="","",IFERROR(buscarx(A845&amp;B845,DATA!$E$3:$E$10000&amp;DATA!$B$3:$B$10000,DATA!$M$3:$M$10000),"No encontrado"))</f>
        <v/>
      </c>
      <c r="D845" s="24" t="str">
        <f aca="false">IF(A845="","",IFERROR(buscarx(A845&amp;B845,DATA!$E$3:$E$10000&amp;DATA!$B$3:$B$10000,DATA!$W$3:$W$10000),"No encontrado"))</f>
        <v/>
      </c>
      <c r="E845" s="22"/>
      <c r="F845" s="23" t="str">
        <f aca="false">IF(A845="","",IFERROR(buscarx(A845&amp;E845,DATA!$E$3:$E$10000&amp;DATA!$B$3:$B$10000,DATA!$M$3:$M$10000),"Inactivo"))</f>
        <v/>
      </c>
      <c r="G845" s="25" t="str">
        <f aca="false">IF(A845="","",IF(AND(C845&lt;&gt;"No encontrado",F845&lt;&gt;"Inactivo"),C845&amp;" → "&amp;F845,"Sin transición"))</f>
        <v/>
      </c>
      <c r="H845" s="23" t="str">
        <f aca="false">IF(A845="","",IF(D845="GCIA LINEA SERVICIO DIGITALIDAD Y VENTAS","Chats",IF(OR(D845="GERENCIA INBOUND LÍNEAS SERVICIO Y VENTA",D845="GERENCIA INBOUND LINEAS ESPECIALIZADAS"),"Llamadas","Otro")))</f>
        <v/>
      </c>
      <c r="I845" s="23" t="str">
        <f aca="false">IF(A845="","",IF(C845="No encontrado","No","Sí"))</f>
        <v/>
      </c>
      <c r="J845" s="23" t="str">
        <f aca="false">IF(A845="","",IF(F845="Inactivo","No","Sí"))</f>
        <v/>
      </c>
      <c r="K845" s="23" t="str">
        <f aca="false">IF(A845="","",IF(AND(I845="Sí",J845="Sí"),"Sí","No"))</f>
        <v/>
      </c>
    </row>
    <row r="846" customFormat="false" ht="15" hidden="false" customHeight="false" outlineLevel="0" collapsed="false">
      <c r="A846" s="22"/>
      <c r="B846" s="22"/>
      <c r="C846" s="26" t="str">
        <f aca="false">IF(A846="","",IFERROR(buscarx(A846&amp;B846,DATA!$E$3:$E$10000&amp;DATA!$B$3:$B$10000,DATA!$M$3:$M$10000),"No encontrado"))</f>
        <v/>
      </c>
      <c r="D846" s="27" t="str">
        <f aca="false">IF(A846="","",IFERROR(buscarx(A846&amp;B846,DATA!$E$3:$E$10000&amp;DATA!$B$3:$B$10000,DATA!$W$3:$W$10000),"No encontrado"))</f>
        <v/>
      </c>
      <c r="E846" s="22"/>
      <c r="F846" s="26" t="str">
        <f aca="false">IF(A846="","",IFERROR(buscarx(A846&amp;E846,DATA!$E$3:$E$10000&amp;DATA!$B$3:$B$10000,DATA!$M$3:$M$10000),"Inactivo"))</f>
        <v/>
      </c>
      <c r="G846" s="28" t="str">
        <f aca="false">IF(A846="","",IF(AND(C846&lt;&gt;"No encontrado",F846&lt;&gt;"Inactivo"),C846&amp;" → "&amp;F846,"Sin transición"))</f>
        <v/>
      </c>
      <c r="H846" s="26" t="str">
        <f aca="false">IF(A846="","",IF(D846="GCIA LINEA SERVICIO DIGITALIDAD Y VENTAS","Chats",IF(OR(D846="GERENCIA INBOUND LÍNEAS SERVICIO Y VENTA",D846="GERENCIA INBOUND LINEAS ESPECIALIZADAS"),"Llamadas","Otro")))</f>
        <v/>
      </c>
      <c r="I846" s="26" t="str">
        <f aca="false">IF(A846="","",IF(C846="No encontrado","No","Sí"))</f>
        <v/>
      </c>
      <c r="J846" s="26" t="str">
        <f aca="false">IF(A846="","",IF(F846="Inactivo","No","Sí"))</f>
        <v/>
      </c>
      <c r="K846" s="26" t="str">
        <f aca="false">IF(A846="","",IF(AND(I846="Sí",J846="Sí"),"Sí","No"))</f>
        <v/>
      </c>
    </row>
    <row r="847" customFormat="false" ht="15" hidden="false" customHeight="false" outlineLevel="0" collapsed="false">
      <c r="A847" s="22"/>
      <c r="B847" s="22"/>
      <c r="C847" s="23" t="str">
        <f aca="false">IF(A847="","",IFERROR(buscarx(A847&amp;B847,DATA!$E$3:$E$10000&amp;DATA!$B$3:$B$10000,DATA!$M$3:$M$10000),"No encontrado"))</f>
        <v/>
      </c>
      <c r="D847" s="24" t="str">
        <f aca="false">IF(A847="","",IFERROR(buscarx(A847&amp;B847,DATA!$E$3:$E$10000&amp;DATA!$B$3:$B$10000,DATA!$W$3:$W$10000),"No encontrado"))</f>
        <v/>
      </c>
      <c r="E847" s="22"/>
      <c r="F847" s="23" t="str">
        <f aca="false">IF(A847="","",IFERROR(buscarx(A847&amp;E847,DATA!$E$3:$E$10000&amp;DATA!$B$3:$B$10000,DATA!$M$3:$M$10000),"Inactivo"))</f>
        <v/>
      </c>
      <c r="G847" s="25" t="str">
        <f aca="false">IF(A847="","",IF(AND(C847&lt;&gt;"No encontrado",F847&lt;&gt;"Inactivo"),C847&amp;" → "&amp;F847,"Sin transición"))</f>
        <v/>
      </c>
      <c r="H847" s="23" t="str">
        <f aca="false">IF(A847="","",IF(D847="GCIA LINEA SERVICIO DIGITALIDAD Y VENTAS","Chats",IF(OR(D847="GERENCIA INBOUND LÍNEAS SERVICIO Y VENTA",D847="GERENCIA INBOUND LINEAS ESPECIALIZADAS"),"Llamadas","Otro")))</f>
        <v/>
      </c>
      <c r="I847" s="23" t="str">
        <f aca="false">IF(A847="","",IF(C847="No encontrado","No","Sí"))</f>
        <v/>
      </c>
      <c r="J847" s="23" t="str">
        <f aca="false">IF(A847="","",IF(F847="Inactivo","No","Sí"))</f>
        <v/>
      </c>
      <c r="K847" s="23" t="str">
        <f aca="false">IF(A847="","",IF(AND(I847="Sí",J847="Sí"),"Sí","No"))</f>
        <v/>
      </c>
    </row>
    <row r="848" customFormat="false" ht="15" hidden="false" customHeight="false" outlineLevel="0" collapsed="false">
      <c r="A848" s="22"/>
      <c r="B848" s="22"/>
      <c r="C848" s="26" t="str">
        <f aca="false">IF(A848="","",IFERROR(buscarx(A848&amp;B848,DATA!$E$3:$E$10000&amp;DATA!$B$3:$B$10000,DATA!$M$3:$M$10000),"No encontrado"))</f>
        <v/>
      </c>
      <c r="D848" s="27" t="str">
        <f aca="false">IF(A848="","",IFERROR(buscarx(A848&amp;B848,DATA!$E$3:$E$10000&amp;DATA!$B$3:$B$10000,DATA!$W$3:$W$10000),"No encontrado"))</f>
        <v/>
      </c>
      <c r="E848" s="22"/>
      <c r="F848" s="26" t="str">
        <f aca="false">IF(A848="","",IFERROR(buscarx(A848&amp;E848,DATA!$E$3:$E$10000&amp;DATA!$B$3:$B$10000,DATA!$M$3:$M$10000),"Inactivo"))</f>
        <v/>
      </c>
      <c r="G848" s="28" t="str">
        <f aca="false">IF(A848="","",IF(AND(C848&lt;&gt;"No encontrado",F848&lt;&gt;"Inactivo"),C848&amp;" → "&amp;F848,"Sin transición"))</f>
        <v/>
      </c>
      <c r="H848" s="26" t="str">
        <f aca="false">IF(A848="","",IF(D848="GCIA LINEA SERVICIO DIGITALIDAD Y VENTAS","Chats",IF(OR(D848="GERENCIA INBOUND LÍNEAS SERVICIO Y VENTA",D848="GERENCIA INBOUND LINEAS ESPECIALIZADAS"),"Llamadas","Otro")))</f>
        <v/>
      </c>
      <c r="I848" s="26" t="str">
        <f aca="false">IF(A848="","",IF(C848="No encontrado","No","Sí"))</f>
        <v/>
      </c>
      <c r="J848" s="26" t="str">
        <f aca="false">IF(A848="","",IF(F848="Inactivo","No","Sí"))</f>
        <v/>
      </c>
      <c r="K848" s="26" t="str">
        <f aca="false">IF(A848="","",IF(AND(I848="Sí",J848="Sí"),"Sí","No"))</f>
        <v/>
      </c>
    </row>
    <row r="849" customFormat="false" ht="15" hidden="false" customHeight="false" outlineLevel="0" collapsed="false">
      <c r="A849" s="22"/>
      <c r="B849" s="22"/>
      <c r="C849" s="23" t="str">
        <f aca="false">IF(A849="","",IFERROR(buscarx(A849&amp;B849,DATA!$E$3:$E$10000&amp;DATA!$B$3:$B$10000,DATA!$M$3:$M$10000),"No encontrado"))</f>
        <v/>
      </c>
      <c r="D849" s="24" t="str">
        <f aca="false">IF(A849="","",IFERROR(buscarx(A849&amp;B849,DATA!$E$3:$E$10000&amp;DATA!$B$3:$B$10000,DATA!$W$3:$W$10000),"No encontrado"))</f>
        <v/>
      </c>
      <c r="E849" s="22"/>
      <c r="F849" s="23" t="str">
        <f aca="false">IF(A849="","",IFERROR(buscarx(A849&amp;E849,DATA!$E$3:$E$10000&amp;DATA!$B$3:$B$10000,DATA!$M$3:$M$10000),"Inactivo"))</f>
        <v/>
      </c>
      <c r="G849" s="25" t="str">
        <f aca="false">IF(A849="","",IF(AND(C849&lt;&gt;"No encontrado",F849&lt;&gt;"Inactivo"),C849&amp;" → "&amp;F849,"Sin transición"))</f>
        <v/>
      </c>
      <c r="H849" s="23" t="str">
        <f aca="false">IF(A849="","",IF(D849="GCIA LINEA SERVICIO DIGITALIDAD Y VENTAS","Chats",IF(OR(D849="GERENCIA INBOUND LÍNEAS SERVICIO Y VENTA",D849="GERENCIA INBOUND LINEAS ESPECIALIZADAS"),"Llamadas","Otro")))</f>
        <v/>
      </c>
      <c r="I849" s="23" t="str">
        <f aca="false">IF(A849="","",IF(C849="No encontrado","No","Sí"))</f>
        <v/>
      </c>
      <c r="J849" s="23" t="str">
        <f aca="false">IF(A849="","",IF(F849="Inactivo","No","Sí"))</f>
        <v/>
      </c>
      <c r="K849" s="23" t="str">
        <f aca="false">IF(A849="","",IF(AND(I849="Sí",J849="Sí"),"Sí","No"))</f>
        <v/>
      </c>
    </row>
    <row r="850" customFormat="false" ht="15" hidden="false" customHeight="false" outlineLevel="0" collapsed="false">
      <c r="A850" s="22"/>
      <c r="B850" s="22"/>
      <c r="C850" s="26" t="str">
        <f aca="false">IF(A850="","",IFERROR(buscarx(A850&amp;B850,DATA!$E$3:$E$10000&amp;DATA!$B$3:$B$10000,DATA!$M$3:$M$10000),"No encontrado"))</f>
        <v/>
      </c>
      <c r="D850" s="27" t="str">
        <f aca="false">IF(A850="","",IFERROR(buscarx(A850&amp;B850,DATA!$E$3:$E$10000&amp;DATA!$B$3:$B$10000,DATA!$W$3:$W$10000),"No encontrado"))</f>
        <v/>
      </c>
      <c r="E850" s="22"/>
      <c r="F850" s="26" t="str">
        <f aca="false">IF(A850="","",IFERROR(buscarx(A850&amp;E850,DATA!$E$3:$E$10000&amp;DATA!$B$3:$B$10000,DATA!$M$3:$M$10000),"Inactivo"))</f>
        <v/>
      </c>
      <c r="G850" s="28" t="str">
        <f aca="false">IF(A850="","",IF(AND(C850&lt;&gt;"No encontrado",F850&lt;&gt;"Inactivo"),C850&amp;" → "&amp;F850,"Sin transición"))</f>
        <v/>
      </c>
      <c r="H850" s="26" t="str">
        <f aca="false">IF(A850="","",IF(D850="GCIA LINEA SERVICIO DIGITALIDAD Y VENTAS","Chats",IF(OR(D850="GERENCIA INBOUND LÍNEAS SERVICIO Y VENTA",D850="GERENCIA INBOUND LINEAS ESPECIALIZADAS"),"Llamadas","Otro")))</f>
        <v/>
      </c>
      <c r="I850" s="26" t="str">
        <f aca="false">IF(A850="","",IF(C850="No encontrado","No","Sí"))</f>
        <v/>
      </c>
      <c r="J850" s="26" t="str">
        <f aca="false">IF(A850="","",IF(F850="Inactivo","No","Sí"))</f>
        <v/>
      </c>
      <c r="K850" s="26" t="str">
        <f aca="false">IF(A850="","",IF(AND(I850="Sí",J850="Sí"),"Sí","No"))</f>
        <v/>
      </c>
    </row>
    <row r="851" customFormat="false" ht="15" hidden="false" customHeight="false" outlineLevel="0" collapsed="false">
      <c r="A851" s="22"/>
      <c r="B851" s="22"/>
      <c r="C851" s="23" t="str">
        <f aca="false">IF(A851="","",IFERROR(buscarx(A851&amp;B851,DATA!$E$3:$E$10000&amp;DATA!$B$3:$B$10000,DATA!$M$3:$M$10000),"No encontrado"))</f>
        <v/>
      </c>
      <c r="D851" s="24" t="str">
        <f aca="false">IF(A851="","",IFERROR(buscarx(A851&amp;B851,DATA!$E$3:$E$10000&amp;DATA!$B$3:$B$10000,DATA!$W$3:$W$10000),"No encontrado"))</f>
        <v/>
      </c>
      <c r="E851" s="22"/>
      <c r="F851" s="23" t="str">
        <f aca="false">IF(A851="","",IFERROR(buscarx(A851&amp;E851,DATA!$E$3:$E$10000&amp;DATA!$B$3:$B$10000,DATA!$M$3:$M$10000),"Inactivo"))</f>
        <v/>
      </c>
      <c r="G851" s="25" t="str">
        <f aca="false">IF(A851="","",IF(AND(C851&lt;&gt;"No encontrado",F851&lt;&gt;"Inactivo"),C851&amp;" → "&amp;F851,"Sin transición"))</f>
        <v/>
      </c>
      <c r="H851" s="23" t="str">
        <f aca="false">IF(A851="","",IF(D851="GCIA LINEA SERVICIO DIGITALIDAD Y VENTAS","Chats",IF(OR(D851="GERENCIA INBOUND LÍNEAS SERVICIO Y VENTA",D851="GERENCIA INBOUND LINEAS ESPECIALIZADAS"),"Llamadas","Otro")))</f>
        <v/>
      </c>
      <c r="I851" s="23" t="str">
        <f aca="false">IF(A851="","",IF(C851="No encontrado","No","Sí"))</f>
        <v/>
      </c>
      <c r="J851" s="23" t="str">
        <f aca="false">IF(A851="","",IF(F851="Inactivo","No","Sí"))</f>
        <v/>
      </c>
      <c r="K851" s="23" t="str">
        <f aca="false">IF(A851="","",IF(AND(I851="Sí",J851="Sí"),"Sí","No"))</f>
        <v/>
      </c>
    </row>
    <row r="852" customFormat="false" ht="15" hidden="false" customHeight="false" outlineLevel="0" collapsed="false">
      <c r="A852" s="22"/>
      <c r="B852" s="22"/>
      <c r="C852" s="26" t="str">
        <f aca="false">IF(A852="","",IFERROR(buscarx(A852&amp;B852,DATA!$E$3:$E$10000&amp;DATA!$B$3:$B$10000,DATA!$M$3:$M$10000),"No encontrado"))</f>
        <v/>
      </c>
      <c r="D852" s="27" t="str">
        <f aca="false">IF(A852="","",IFERROR(buscarx(A852&amp;B852,DATA!$E$3:$E$10000&amp;DATA!$B$3:$B$10000,DATA!$W$3:$W$10000),"No encontrado"))</f>
        <v/>
      </c>
      <c r="E852" s="22"/>
      <c r="F852" s="26" t="str">
        <f aca="false">IF(A852="","",IFERROR(buscarx(A852&amp;E852,DATA!$E$3:$E$10000&amp;DATA!$B$3:$B$10000,DATA!$M$3:$M$10000),"Inactivo"))</f>
        <v/>
      </c>
      <c r="G852" s="28" t="str">
        <f aca="false">IF(A852="","",IF(AND(C852&lt;&gt;"No encontrado",F852&lt;&gt;"Inactivo"),C852&amp;" → "&amp;F852,"Sin transición"))</f>
        <v/>
      </c>
      <c r="H852" s="26" t="str">
        <f aca="false">IF(A852="","",IF(D852="GCIA LINEA SERVICIO DIGITALIDAD Y VENTAS","Chats",IF(OR(D852="GERENCIA INBOUND LÍNEAS SERVICIO Y VENTA",D852="GERENCIA INBOUND LINEAS ESPECIALIZADAS"),"Llamadas","Otro")))</f>
        <v/>
      </c>
      <c r="I852" s="26" t="str">
        <f aca="false">IF(A852="","",IF(C852="No encontrado","No","Sí"))</f>
        <v/>
      </c>
      <c r="J852" s="26" t="str">
        <f aca="false">IF(A852="","",IF(F852="Inactivo","No","Sí"))</f>
        <v/>
      </c>
      <c r="K852" s="26" t="str">
        <f aca="false">IF(A852="","",IF(AND(I852="Sí",J852="Sí"),"Sí","No"))</f>
        <v/>
      </c>
    </row>
    <row r="853" customFormat="false" ht="15" hidden="false" customHeight="false" outlineLevel="0" collapsed="false">
      <c r="A853" s="22"/>
      <c r="B853" s="22"/>
      <c r="C853" s="23" t="str">
        <f aca="false">IF(A853="","",IFERROR(buscarx(A853&amp;B853,DATA!$E$3:$E$10000&amp;DATA!$B$3:$B$10000,DATA!$M$3:$M$10000),"No encontrado"))</f>
        <v/>
      </c>
      <c r="D853" s="24" t="str">
        <f aca="false">IF(A853="","",IFERROR(buscarx(A853&amp;B853,DATA!$E$3:$E$10000&amp;DATA!$B$3:$B$10000,DATA!$W$3:$W$10000),"No encontrado"))</f>
        <v/>
      </c>
      <c r="E853" s="22"/>
      <c r="F853" s="23" t="str">
        <f aca="false">IF(A853="","",IFERROR(buscarx(A853&amp;E853,DATA!$E$3:$E$10000&amp;DATA!$B$3:$B$10000,DATA!$M$3:$M$10000),"Inactivo"))</f>
        <v/>
      </c>
      <c r="G853" s="25" t="str">
        <f aca="false">IF(A853="","",IF(AND(C853&lt;&gt;"No encontrado",F853&lt;&gt;"Inactivo"),C853&amp;" → "&amp;F853,"Sin transición"))</f>
        <v/>
      </c>
      <c r="H853" s="23" t="str">
        <f aca="false">IF(A853="","",IF(D853="GCIA LINEA SERVICIO DIGITALIDAD Y VENTAS","Chats",IF(OR(D853="GERENCIA INBOUND LÍNEAS SERVICIO Y VENTA",D853="GERENCIA INBOUND LINEAS ESPECIALIZADAS"),"Llamadas","Otro")))</f>
        <v/>
      </c>
      <c r="I853" s="23" t="str">
        <f aca="false">IF(A853="","",IF(C853="No encontrado","No","Sí"))</f>
        <v/>
      </c>
      <c r="J853" s="23" t="str">
        <f aca="false">IF(A853="","",IF(F853="Inactivo","No","Sí"))</f>
        <v/>
      </c>
      <c r="K853" s="23" t="str">
        <f aca="false">IF(A853="","",IF(AND(I853="Sí",J853="Sí"),"Sí","No"))</f>
        <v/>
      </c>
    </row>
    <row r="854" customFormat="false" ht="15" hidden="false" customHeight="false" outlineLevel="0" collapsed="false">
      <c r="A854" s="22"/>
      <c r="B854" s="22"/>
      <c r="C854" s="26" t="str">
        <f aca="false">IF(A854="","",IFERROR(buscarx(A854&amp;B854,DATA!$E$3:$E$10000&amp;DATA!$B$3:$B$10000,DATA!$M$3:$M$10000),"No encontrado"))</f>
        <v/>
      </c>
      <c r="D854" s="27" t="str">
        <f aca="false">IF(A854="","",IFERROR(buscarx(A854&amp;B854,DATA!$E$3:$E$10000&amp;DATA!$B$3:$B$10000,DATA!$W$3:$W$10000),"No encontrado"))</f>
        <v/>
      </c>
      <c r="E854" s="22"/>
      <c r="F854" s="26" t="str">
        <f aca="false">IF(A854="","",IFERROR(buscarx(A854&amp;E854,DATA!$E$3:$E$10000&amp;DATA!$B$3:$B$10000,DATA!$M$3:$M$10000),"Inactivo"))</f>
        <v/>
      </c>
      <c r="G854" s="28" t="str">
        <f aca="false">IF(A854="","",IF(AND(C854&lt;&gt;"No encontrado",F854&lt;&gt;"Inactivo"),C854&amp;" → "&amp;F854,"Sin transición"))</f>
        <v/>
      </c>
      <c r="H854" s="26" t="str">
        <f aca="false">IF(A854="","",IF(D854="GCIA LINEA SERVICIO DIGITALIDAD Y VENTAS","Chats",IF(OR(D854="GERENCIA INBOUND LÍNEAS SERVICIO Y VENTA",D854="GERENCIA INBOUND LINEAS ESPECIALIZADAS"),"Llamadas","Otro")))</f>
        <v/>
      </c>
      <c r="I854" s="26" t="str">
        <f aca="false">IF(A854="","",IF(C854="No encontrado","No","Sí"))</f>
        <v/>
      </c>
      <c r="J854" s="26" t="str">
        <f aca="false">IF(A854="","",IF(F854="Inactivo","No","Sí"))</f>
        <v/>
      </c>
      <c r="K854" s="26" t="str">
        <f aca="false">IF(A854="","",IF(AND(I854="Sí",J854="Sí"),"Sí","No"))</f>
        <v/>
      </c>
    </row>
    <row r="855" customFormat="false" ht="15" hidden="false" customHeight="false" outlineLevel="0" collapsed="false">
      <c r="A855" s="22"/>
      <c r="B855" s="22"/>
      <c r="C855" s="23" t="str">
        <f aca="false">IF(A855="","",IFERROR(buscarx(A855&amp;B855,DATA!$E$3:$E$10000&amp;DATA!$B$3:$B$10000,DATA!$M$3:$M$10000),"No encontrado"))</f>
        <v/>
      </c>
      <c r="D855" s="24" t="str">
        <f aca="false">IF(A855="","",IFERROR(buscarx(A855&amp;B855,DATA!$E$3:$E$10000&amp;DATA!$B$3:$B$10000,DATA!$W$3:$W$10000),"No encontrado"))</f>
        <v/>
      </c>
      <c r="E855" s="22"/>
      <c r="F855" s="23" t="str">
        <f aca="false">IF(A855="","",IFERROR(buscarx(A855&amp;E855,DATA!$E$3:$E$10000&amp;DATA!$B$3:$B$10000,DATA!$M$3:$M$10000),"Inactivo"))</f>
        <v/>
      </c>
      <c r="G855" s="25" t="str">
        <f aca="false">IF(A855="","",IF(AND(C855&lt;&gt;"No encontrado",F855&lt;&gt;"Inactivo"),C855&amp;" → "&amp;F855,"Sin transición"))</f>
        <v/>
      </c>
      <c r="H855" s="23" t="str">
        <f aca="false">IF(A855="","",IF(D855="GCIA LINEA SERVICIO DIGITALIDAD Y VENTAS","Chats",IF(OR(D855="GERENCIA INBOUND LÍNEAS SERVICIO Y VENTA",D855="GERENCIA INBOUND LINEAS ESPECIALIZADAS"),"Llamadas","Otro")))</f>
        <v/>
      </c>
      <c r="I855" s="23" t="str">
        <f aca="false">IF(A855="","",IF(C855="No encontrado","No","Sí"))</f>
        <v/>
      </c>
      <c r="J855" s="23" t="str">
        <f aca="false">IF(A855="","",IF(F855="Inactivo","No","Sí"))</f>
        <v/>
      </c>
      <c r="K855" s="23" t="str">
        <f aca="false">IF(A855="","",IF(AND(I855="Sí",J855="Sí"),"Sí","No"))</f>
        <v/>
      </c>
    </row>
    <row r="856" customFormat="false" ht="15" hidden="false" customHeight="false" outlineLevel="0" collapsed="false">
      <c r="A856" s="22"/>
      <c r="B856" s="22"/>
      <c r="C856" s="26" t="str">
        <f aca="false">IF(A856="","",IFERROR(buscarx(A856&amp;B856,DATA!$E$3:$E$10000&amp;DATA!$B$3:$B$10000,DATA!$M$3:$M$10000),"No encontrado"))</f>
        <v/>
      </c>
      <c r="D856" s="27" t="str">
        <f aca="false">IF(A856="","",IFERROR(buscarx(A856&amp;B856,DATA!$E$3:$E$10000&amp;DATA!$B$3:$B$10000,DATA!$W$3:$W$10000),"No encontrado"))</f>
        <v/>
      </c>
      <c r="E856" s="22"/>
      <c r="F856" s="26" t="str">
        <f aca="false">IF(A856="","",IFERROR(buscarx(A856&amp;E856,DATA!$E$3:$E$10000&amp;DATA!$B$3:$B$10000,DATA!$M$3:$M$10000),"Inactivo"))</f>
        <v/>
      </c>
      <c r="G856" s="28" t="str">
        <f aca="false">IF(A856="","",IF(AND(C856&lt;&gt;"No encontrado",F856&lt;&gt;"Inactivo"),C856&amp;" → "&amp;F856,"Sin transición"))</f>
        <v/>
      </c>
      <c r="H856" s="26" t="str">
        <f aca="false">IF(A856="","",IF(D856="GCIA LINEA SERVICIO DIGITALIDAD Y VENTAS","Chats",IF(OR(D856="GERENCIA INBOUND LÍNEAS SERVICIO Y VENTA",D856="GERENCIA INBOUND LINEAS ESPECIALIZADAS"),"Llamadas","Otro")))</f>
        <v/>
      </c>
      <c r="I856" s="26" t="str">
        <f aca="false">IF(A856="","",IF(C856="No encontrado","No","Sí"))</f>
        <v/>
      </c>
      <c r="J856" s="26" t="str">
        <f aca="false">IF(A856="","",IF(F856="Inactivo","No","Sí"))</f>
        <v/>
      </c>
      <c r="K856" s="26" t="str">
        <f aca="false">IF(A856="","",IF(AND(I856="Sí",J856="Sí"),"Sí","No"))</f>
        <v/>
      </c>
    </row>
    <row r="857" customFormat="false" ht="15" hidden="false" customHeight="false" outlineLevel="0" collapsed="false">
      <c r="A857" s="22"/>
      <c r="B857" s="22"/>
      <c r="C857" s="23" t="str">
        <f aca="false">IF(A857="","",IFERROR(buscarx(A857&amp;B857,DATA!$E$3:$E$10000&amp;DATA!$B$3:$B$10000,DATA!$M$3:$M$10000),"No encontrado"))</f>
        <v/>
      </c>
      <c r="D857" s="24" t="str">
        <f aca="false">IF(A857="","",IFERROR(buscarx(A857&amp;B857,DATA!$E$3:$E$10000&amp;DATA!$B$3:$B$10000,DATA!$W$3:$W$10000),"No encontrado"))</f>
        <v/>
      </c>
      <c r="E857" s="22"/>
      <c r="F857" s="23" t="str">
        <f aca="false">IF(A857="","",IFERROR(buscarx(A857&amp;E857,DATA!$E$3:$E$10000&amp;DATA!$B$3:$B$10000,DATA!$M$3:$M$10000),"Inactivo"))</f>
        <v/>
      </c>
      <c r="G857" s="25" t="str">
        <f aca="false">IF(A857="","",IF(AND(C857&lt;&gt;"No encontrado",F857&lt;&gt;"Inactivo"),C857&amp;" → "&amp;F857,"Sin transición"))</f>
        <v/>
      </c>
      <c r="H857" s="23" t="str">
        <f aca="false">IF(A857="","",IF(D857="GCIA LINEA SERVICIO DIGITALIDAD Y VENTAS","Chats",IF(OR(D857="GERENCIA INBOUND LÍNEAS SERVICIO Y VENTA",D857="GERENCIA INBOUND LINEAS ESPECIALIZADAS"),"Llamadas","Otro")))</f>
        <v/>
      </c>
      <c r="I857" s="23" t="str">
        <f aca="false">IF(A857="","",IF(C857="No encontrado","No","Sí"))</f>
        <v/>
      </c>
      <c r="J857" s="23" t="str">
        <f aca="false">IF(A857="","",IF(F857="Inactivo","No","Sí"))</f>
        <v/>
      </c>
      <c r="K857" s="23" t="str">
        <f aca="false">IF(A857="","",IF(AND(I857="Sí",J857="Sí"),"Sí","No"))</f>
        <v/>
      </c>
    </row>
    <row r="858" customFormat="false" ht="15" hidden="false" customHeight="false" outlineLevel="0" collapsed="false">
      <c r="A858" s="22"/>
      <c r="B858" s="22"/>
      <c r="C858" s="26" t="str">
        <f aca="false">IF(A858="","",IFERROR(buscarx(A858&amp;B858,DATA!$E$3:$E$10000&amp;DATA!$B$3:$B$10000,DATA!$M$3:$M$10000),"No encontrado"))</f>
        <v/>
      </c>
      <c r="D858" s="27" t="str">
        <f aca="false">IF(A858="","",IFERROR(buscarx(A858&amp;B858,DATA!$E$3:$E$10000&amp;DATA!$B$3:$B$10000,DATA!$W$3:$W$10000),"No encontrado"))</f>
        <v/>
      </c>
      <c r="E858" s="22"/>
      <c r="F858" s="26" t="str">
        <f aca="false">IF(A858="","",IFERROR(buscarx(A858&amp;E858,DATA!$E$3:$E$10000&amp;DATA!$B$3:$B$10000,DATA!$M$3:$M$10000),"Inactivo"))</f>
        <v/>
      </c>
      <c r="G858" s="28" t="str">
        <f aca="false">IF(A858="","",IF(AND(C858&lt;&gt;"No encontrado",F858&lt;&gt;"Inactivo"),C858&amp;" → "&amp;F858,"Sin transición"))</f>
        <v/>
      </c>
      <c r="H858" s="26" t="str">
        <f aca="false">IF(A858="","",IF(D858="GCIA LINEA SERVICIO DIGITALIDAD Y VENTAS","Chats",IF(OR(D858="GERENCIA INBOUND LÍNEAS SERVICIO Y VENTA",D858="GERENCIA INBOUND LINEAS ESPECIALIZADAS"),"Llamadas","Otro")))</f>
        <v/>
      </c>
      <c r="I858" s="26" t="str">
        <f aca="false">IF(A858="","",IF(C858="No encontrado","No","Sí"))</f>
        <v/>
      </c>
      <c r="J858" s="26" t="str">
        <f aca="false">IF(A858="","",IF(F858="Inactivo","No","Sí"))</f>
        <v/>
      </c>
      <c r="K858" s="26" t="str">
        <f aca="false">IF(A858="","",IF(AND(I858="Sí",J858="Sí"),"Sí","No"))</f>
        <v/>
      </c>
    </row>
    <row r="859" customFormat="false" ht="15" hidden="false" customHeight="false" outlineLevel="0" collapsed="false">
      <c r="A859" s="22"/>
      <c r="B859" s="22"/>
      <c r="C859" s="23" t="str">
        <f aca="false">IF(A859="","",IFERROR(buscarx(A859&amp;B859,DATA!$E$3:$E$10000&amp;DATA!$B$3:$B$10000,DATA!$M$3:$M$10000),"No encontrado"))</f>
        <v/>
      </c>
      <c r="D859" s="24" t="str">
        <f aca="false">IF(A859="","",IFERROR(buscarx(A859&amp;B859,DATA!$E$3:$E$10000&amp;DATA!$B$3:$B$10000,DATA!$W$3:$W$10000),"No encontrado"))</f>
        <v/>
      </c>
      <c r="E859" s="22"/>
      <c r="F859" s="23" t="str">
        <f aca="false">IF(A859="","",IFERROR(buscarx(A859&amp;E859,DATA!$E$3:$E$10000&amp;DATA!$B$3:$B$10000,DATA!$M$3:$M$10000),"Inactivo"))</f>
        <v/>
      </c>
      <c r="G859" s="25" t="str">
        <f aca="false">IF(A859="","",IF(AND(C859&lt;&gt;"No encontrado",F859&lt;&gt;"Inactivo"),C859&amp;" → "&amp;F859,"Sin transición"))</f>
        <v/>
      </c>
      <c r="H859" s="23" t="str">
        <f aca="false">IF(A859="","",IF(D859="GCIA LINEA SERVICIO DIGITALIDAD Y VENTAS","Chats",IF(OR(D859="GERENCIA INBOUND LÍNEAS SERVICIO Y VENTA",D859="GERENCIA INBOUND LINEAS ESPECIALIZADAS"),"Llamadas","Otro")))</f>
        <v/>
      </c>
      <c r="I859" s="23" t="str">
        <f aca="false">IF(A859="","",IF(C859="No encontrado","No","Sí"))</f>
        <v/>
      </c>
      <c r="J859" s="23" t="str">
        <f aca="false">IF(A859="","",IF(F859="Inactivo","No","Sí"))</f>
        <v/>
      </c>
      <c r="K859" s="23" t="str">
        <f aca="false">IF(A859="","",IF(AND(I859="Sí",J859="Sí"),"Sí","No"))</f>
        <v/>
      </c>
    </row>
    <row r="860" customFormat="false" ht="15" hidden="false" customHeight="false" outlineLevel="0" collapsed="false">
      <c r="A860" s="22"/>
      <c r="B860" s="22"/>
      <c r="C860" s="26" t="str">
        <f aca="false">IF(A860="","",IFERROR(buscarx(A860&amp;B860,DATA!$E$3:$E$10000&amp;DATA!$B$3:$B$10000,DATA!$M$3:$M$10000),"No encontrado"))</f>
        <v/>
      </c>
      <c r="D860" s="27" t="str">
        <f aca="false">IF(A860="","",IFERROR(buscarx(A860&amp;B860,DATA!$E$3:$E$10000&amp;DATA!$B$3:$B$10000,DATA!$W$3:$W$10000),"No encontrado"))</f>
        <v/>
      </c>
      <c r="E860" s="22"/>
      <c r="F860" s="26" t="str">
        <f aca="false">IF(A860="","",IFERROR(buscarx(A860&amp;E860,DATA!$E$3:$E$10000&amp;DATA!$B$3:$B$10000,DATA!$M$3:$M$10000),"Inactivo"))</f>
        <v/>
      </c>
      <c r="G860" s="28" t="str">
        <f aca="false">IF(A860="","",IF(AND(C860&lt;&gt;"No encontrado",F860&lt;&gt;"Inactivo"),C860&amp;" → "&amp;F860,"Sin transición"))</f>
        <v/>
      </c>
      <c r="H860" s="26" t="str">
        <f aca="false">IF(A860="","",IF(D860="GCIA LINEA SERVICIO DIGITALIDAD Y VENTAS","Chats",IF(OR(D860="GERENCIA INBOUND LÍNEAS SERVICIO Y VENTA",D860="GERENCIA INBOUND LINEAS ESPECIALIZADAS"),"Llamadas","Otro")))</f>
        <v/>
      </c>
      <c r="I860" s="26" t="str">
        <f aca="false">IF(A860="","",IF(C860="No encontrado","No","Sí"))</f>
        <v/>
      </c>
      <c r="J860" s="26" t="str">
        <f aca="false">IF(A860="","",IF(F860="Inactivo","No","Sí"))</f>
        <v/>
      </c>
      <c r="K860" s="26" t="str">
        <f aca="false">IF(A860="","",IF(AND(I860="Sí",J860="Sí"),"Sí","No"))</f>
        <v/>
      </c>
    </row>
    <row r="861" customFormat="false" ht="15" hidden="false" customHeight="false" outlineLevel="0" collapsed="false">
      <c r="A861" s="22"/>
      <c r="B861" s="22"/>
      <c r="C861" s="23" t="str">
        <f aca="false">IF(A861="","",IFERROR(buscarx(A861&amp;B861,DATA!$E$3:$E$10000&amp;DATA!$B$3:$B$10000,DATA!$M$3:$M$10000),"No encontrado"))</f>
        <v/>
      </c>
      <c r="D861" s="24" t="str">
        <f aca="false">IF(A861="","",IFERROR(buscarx(A861&amp;B861,DATA!$E$3:$E$10000&amp;DATA!$B$3:$B$10000,DATA!$W$3:$W$10000),"No encontrado"))</f>
        <v/>
      </c>
      <c r="E861" s="22"/>
      <c r="F861" s="23" t="str">
        <f aca="false">IF(A861="","",IFERROR(buscarx(A861&amp;E861,DATA!$E$3:$E$10000&amp;DATA!$B$3:$B$10000,DATA!$M$3:$M$10000),"Inactivo"))</f>
        <v/>
      </c>
      <c r="G861" s="25" t="str">
        <f aca="false">IF(A861="","",IF(AND(C861&lt;&gt;"No encontrado",F861&lt;&gt;"Inactivo"),C861&amp;" → "&amp;F861,"Sin transición"))</f>
        <v/>
      </c>
      <c r="H861" s="23" t="str">
        <f aca="false">IF(A861="","",IF(D861="GCIA LINEA SERVICIO DIGITALIDAD Y VENTAS","Chats",IF(OR(D861="GERENCIA INBOUND LÍNEAS SERVICIO Y VENTA",D861="GERENCIA INBOUND LINEAS ESPECIALIZADAS"),"Llamadas","Otro")))</f>
        <v/>
      </c>
      <c r="I861" s="23" t="str">
        <f aca="false">IF(A861="","",IF(C861="No encontrado","No","Sí"))</f>
        <v/>
      </c>
      <c r="J861" s="23" t="str">
        <f aca="false">IF(A861="","",IF(F861="Inactivo","No","Sí"))</f>
        <v/>
      </c>
      <c r="K861" s="23" t="str">
        <f aca="false">IF(A861="","",IF(AND(I861="Sí",J861="Sí"),"Sí","No"))</f>
        <v/>
      </c>
    </row>
    <row r="862" customFormat="false" ht="15" hidden="false" customHeight="false" outlineLevel="0" collapsed="false">
      <c r="A862" s="22"/>
      <c r="B862" s="22"/>
      <c r="C862" s="26" t="str">
        <f aca="false">IF(A862="","",IFERROR(buscarx(A862&amp;B862,DATA!$E$3:$E$10000&amp;DATA!$B$3:$B$10000,DATA!$M$3:$M$10000),"No encontrado"))</f>
        <v/>
      </c>
      <c r="D862" s="27" t="str">
        <f aca="false">IF(A862="","",IFERROR(buscarx(A862&amp;B862,DATA!$E$3:$E$10000&amp;DATA!$B$3:$B$10000,DATA!$W$3:$W$10000),"No encontrado"))</f>
        <v/>
      </c>
      <c r="E862" s="22"/>
      <c r="F862" s="26" t="str">
        <f aca="false">IF(A862="","",IFERROR(buscarx(A862&amp;E862,DATA!$E$3:$E$10000&amp;DATA!$B$3:$B$10000,DATA!$M$3:$M$10000),"Inactivo"))</f>
        <v/>
      </c>
      <c r="G862" s="28" t="str">
        <f aca="false">IF(A862="","",IF(AND(C862&lt;&gt;"No encontrado",F862&lt;&gt;"Inactivo"),C862&amp;" → "&amp;F862,"Sin transición"))</f>
        <v/>
      </c>
      <c r="H862" s="26" t="str">
        <f aca="false">IF(A862="","",IF(D862="GCIA LINEA SERVICIO DIGITALIDAD Y VENTAS","Chats",IF(OR(D862="GERENCIA INBOUND LÍNEAS SERVICIO Y VENTA",D862="GERENCIA INBOUND LINEAS ESPECIALIZADAS"),"Llamadas","Otro")))</f>
        <v/>
      </c>
      <c r="I862" s="26" t="str">
        <f aca="false">IF(A862="","",IF(C862="No encontrado","No","Sí"))</f>
        <v/>
      </c>
      <c r="J862" s="26" t="str">
        <f aca="false">IF(A862="","",IF(F862="Inactivo","No","Sí"))</f>
        <v/>
      </c>
      <c r="K862" s="26" t="str">
        <f aca="false">IF(A862="","",IF(AND(I862="Sí",J862="Sí"),"Sí","No"))</f>
        <v/>
      </c>
    </row>
    <row r="863" customFormat="false" ht="15" hidden="false" customHeight="false" outlineLevel="0" collapsed="false">
      <c r="A863" s="22"/>
      <c r="B863" s="22"/>
      <c r="C863" s="23" t="str">
        <f aca="false">IF(A863="","",IFERROR(buscarx(A863&amp;B863,DATA!$E$3:$E$10000&amp;DATA!$B$3:$B$10000,DATA!$M$3:$M$10000),"No encontrado"))</f>
        <v/>
      </c>
      <c r="D863" s="24" t="str">
        <f aca="false">IF(A863="","",IFERROR(buscarx(A863&amp;B863,DATA!$E$3:$E$10000&amp;DATA!$B$3:$B$10000,DATA!$W$3:$W$10000),"No encontrado"))</f>
        <v/>
      </c>
      <c r="E863" s="22"/>
      <c r="F863" s="23" t="str">
        <f aca="false">IF(A863="","",IFERROR(buscarx(A863&amp;E863,DATA!$E$3:$E$10000&amp;DATA!$B$3:$B$10000,DATA!$M$3:$M$10000),"Inactivo"))</f>
        <v/>
      </c>
      <c r="G863" s="25" t="str">
        <f aca="false">IF(A863="","",IF(AND(C863&lt;&gt;"No encontrado",F863&lt;&gt;"Inactivo"),C863&amp;" → "&amp;F863,"Sin transición"))</f>
        <v/>
      </c>
      <c r="H863" s="23" t="str">
        <f aca="false">IF(A863="","",IF(D863="GCIA LINEA SERVICIO DIGITALIDAD Y VENTAS","Chats",IF(OR(D863="GERENCIA INBOUND LÍNEAS SERVICIO Y VENTA",D863="GERENCIA INBOUND LINEAS ESPECIALIZADAS"),"Llamadas","Otro")))</f>
        <v/>
      </c>
      <c r="I863" s="23" t="str">
        <f aca="false">IF(A863="","",IF(C863="No encontrado","No","Sí"))</f>
        <v/>
      </c>
      <c r="J863" s="23" t="str">
        <f aca="false">IF(A863="","",IF(F863="Inactivo","No","Sí"))</f>
        <v/>
      </c>
      <c r="K863" s="23" t="str">
        <f aca="false">IF(A863="","",IF(AND(I863="Sí",J863="Sí"),"Sí","No"))</f>
        <v/>
      </c>
    </row>
    <row r="864" customFormat="false" ht="15" hidden="false" customHeight="false" outlineLevel="0" collapsed="false">
      <c r="A864" s="22"/>
      <c r="B864" s="22"/>
      <c r="C864" s="26" t="str">
        <f aca="false">IF(A864="","",IFERROR(buscarx(A864&amp;B864,DATA!$E$3:$E$10000&amp;DATA!$B$3:$B$10000,DATA!$M$3:$M$10000),"No encontrado"))</f>
        <v/>
      </c>
      <c r="D864" s="27" t="str">
        <f aca="false">IF(A864="","",IFERROR(buscarx(A864&amp;B864,DATA!$E$3:$E$10000&amp;DATA!$B$3:$B$10000,DATA!$W$3:$W$10000),"No encontrado"))</f>
        <v/>
      </c>
      <c r="E864" s="22"/>
      <c r="F864" s="26" t="str">
        <f aca="false">IF(A864="","",IFERROR(buscarx(A864&amp;E864,DATA!$E$3:$E$10000&amp;DATA!$B$3:$B$10000,DATA!$M$3:$M$10000),"Inactivo"))</f>
        <v/>
      </c>
      <c r="G864" s="28" t="str">
        <f aca="false">IF(A864="","",IF(AND(C864&lt;&gt;"No encontrado",F864&lt;&gt;"Inactivo"),C864&amp;" → "&amp;F864,"Sin transición"))</f>
        <v/>
      </c>
      <c r="H864" s="26" t="str">
        <f aca="false">IF(A864="","",IF(D864="GCIA LINEA SERVICIO DIGITALIDAD Y VENTAS","Chats",IF(OR(D864="GERENCIA INBOUND LÍNEAS SERVICIO Y VENTA",D864="GERENCIA INBOUND LINEAS ESPECIALIZADAS"),"Llamadas","Otro")))</f>
        <v/>
      </c>
      <c r="I864" s="26" t="str">
        <f aca="false">IF(A864="","",IF(C864="No encontrado","No","Sí"))</f>
        <v/>
      </c>
      <c r="J864" s="26" t="str">
        <f aca="false">IF(A864="","",IF(F864="Inactivo","No","Sí"))</f>
        <v/>
      </c>
      <c r="K864" s="26" t="str">
        <f aca="false">IF(A864="","",IF(AND(I864="Sí",J864="Sí"),"Sí","No"))</f>
        <v/>
      </c>
    </row>
    <row r="865" customFormat="false" ht="15" hidden="false" customHeight="false" outlineLevel="0" collapsed="false">
      <c r="A865" s="22"/>
      <c r="B865" s="22"/>
      <c r="C865" s="23" t="str">
        <f aca="false">IF(A865="","",IFERROR(buscarx(A865&amp;B865,DATA!$E$3:$E$10000&amp;DATA!$B$3:$B$10000,DATA!$M$3:$M$10000),"No encontrado"))</f>
        <v/>
      </c>
      <c r="D865" s="24" t="str">
        <f aca="false">IF(A865="","",IFERROR(buscarx(A865&amp;B865,DATA!$E$3:$E$10000&amp;DATA!$B$3:$B$10000,DATA!$W$3:$W$10000),"No encontrado"))</f>
        <v/>
      </c>
      <c r="E865" s="22"/>
      <c r="F865" s="23" t="str">
        <f aca="false">IF(A865="","",IFERROR(buscarx(A865&amp;E865,DATA!$E$3:$E$10000&amp;DATA!$B$3:$B$10000,DATA!$M$3:$M$10000),"Inactivo"))</f>
        <v/>
      </c>
      <c r="G865" s="25" t="str">
        <f aca="false">IF(A865="","",IF(AND(C865&lt;&gt;"No encontrado",F865&lt;&gt;"Inactivo"),C865&amp;" → "&amp;F865,"Sin transición"))</f>
        <v/>
      </c>
      <c r="H865" s="23" t="str">
        <f aca="false">IF(A865="","",IF(D865="GCIA LINEA SERVICIO DIGITALIDAD Y VENTAS","Chats",IF(OR(D865="GERENCIA INBOUND LÍNEAS SERVICIO Y VENTA",D865="GERENCIA INBOUND LINEAS ESPECIALIZADAS"),"Llamadas","Otro")))</f>
        <v/>
      </c>
      <c r="I865" s="23" t="str">
        <f aca="false">IF(A865="","",IF(C865="No encontrado","No","Sí"))</f>
        <v/>
      </c>
      <c r="J865" s="23" t="str">
        <f aca="false">IF(A865="","",IF(F865="Inactivo","No","Sí"))</f>
        <v/>
      </c>
      <c r="K865" s="23" t="str">
        <f aca="false">IF(A865="","",IF(AND(I865="Sí",J865="Sí"),"Sí","No"))</f>
        <v/>
      </c>
    </row>
    <row r="866" customFormat="false" ht="15" hidden="false" customHeight="false" outlineLevel="0" collapsed="false">
      <c r="A866" s="22"/>
      <c r="B866" s="22"/>
      <c r="C866" s="26" t="str">
        <f aca="false">IF(A866="","",IFERROR(buscarx(A866&amp;B866,DATA!$E$3:$E$10000&amp;DATA!$B$3:$B$10000,DATA!$M$3:$M$10000),"No encontrado"))</f>
        <v/>
      </c>
      <c r="D866" s="27" t="str">
        <f aca="false">IF(A866="","",IFERROR(buscarx(A866&amp;B866,DATA!$E$3:$E$10000&amp;DATA!$B$3:$B$10000,DATA!$W$3:$W$10000),"No encontrado"))</f>
        <v/>
      </c>
      <c r="E866" s="22"/>
      <c r="F866" s="26" t="str">
        <f aca="false">IF(A866="","",IFERROR(buscarx(A866&amp;E866,DATA!$E$3:$E$10000&amp;DATA!$B$3:$B$10000,DATA!$M$3:$M$10000),"Inactivo"))</f>
        <v/>
      </c>
      <c r="G866" s="28" t="str">
        <f aca="false">IF(A866="","",IF(AND(C866&lt;&gt;"No encontrado",F866&lt;&gt;"Inactivo"),C866&amp;" → "&amp;F866,"Sin transición"))</f>
        <v/>
      </c>
      <c r="H866" s="26" t="str">
        <f aca="false">IF(A866="","",IF(D866="GCIA LINEA SERVICIO DIGITALIDAD Y VENTAS","Chats",IF(OR(D866="GERENCIA INBOUND LÍNEAS SERVICIO Y VENTA",D866="GERENCIA INBOUND LINEAS ESPECIALIZADAS"),"Llamadas","Otro")))</f>
        <v/>
      </c>
      <c r="I866" s="26" t="str">
        <f aca="false">IF(A866="","",IF(C866="No encontrado","No","Sí"))</f>
        <v/>
      </c>
      <c r="J866" s="26" t="str">
        <f aca="false">IF(A866="","",IF(F866="Inactivo","No","Sí"))</f>
        <v/>
      </c>
      <c r="K866" s="26" t="str">
        <f aca="false">IF(A866="","",IF(AND(I866="Sí",J866="Sí"),"Sí","No"))</f>
        <v/>
      </c>
    </row>
    <row r="867" customFormat="false" ht="15" hidden="false" customHeight="false" outlineLevel="0" collapsed="false">
      <c r="A867" s="22"/>
      <c r="B867" s="22"/>
      <c r="C867" s="23" t="str">
        <f aca="false">IF(A867="","",IFERROR(buscarx(A867&amp;B867,DATA!$E$3:$E$10000&amp;DATA!$B$3:$B$10000,DATA!$M$3:$M$10000),"No encontrado"))</f>
        <v/>
      </c>
      <c r="D867" s="24" t="str">
        <f aca="false">IF(A867="","",IFERROR(buscarx(A867&amp;B867,DATA!$E$3:$E$10000&amp;DATA!$B$3:$B$10000,DATA!$W$3:$W$10000),"No encontrado"))</f>
        <v/>
      </c>
      <c r="E867" s="22"/>
      <c r="F867" s="23" t="str">
        <f aca="false">IF(A867="","",IFERROR(buscarx(A867&amp;E867,DATA!$E$3:$E$10000&amp;DATA!$B$3:$B$10000,DATA!$M$3:$M$10000),"Inactivo"))</f>
        <v/>
      </c>
      <c r="G867" s="25" t="str">
        <f aca="false">IF(A867="","",IF(AND(C867&lt;&gt;"No encontrado",F867&lt;&gt;"Inactivo"),C867&amp;" → "&amp;F867,"Sin transición"))</f>
        <v/>
      </c>
      <c r="H867" s="23" t="str">
        <f aca="false">IF(A867="","",IF(D867="GCIA LINEA SERVICIO DIGITALIDAD Y VENTAS","Chats",IF(OR(D867="GERENCIA INBOUND LÍNEAS SERVICIO Y VENTA",D867="GERENCIA INBOUND LINEAS ESPECIALIZADAS"),"Llamadas","Otro")))</f>
        <v/>
      </c>
      <c r="I867" s="23" t="str">
        <f aca="false">IF(A867="","",IF(C867="No encontrado","No","Sí"))</f>
        <v/>
      </c>
      <c r="J867" s="23" t="str">
        <f aca="false">IF(A867="","",IF(F867="Inactivo","No","Sí"))</f>
        <v/>
      </c>
      <c r="K867" s="23" t="str">
        <f aca="false">IF(A867="","",IF(AND(I867="Sí",J867="Sí"),"Sí","No"))</f>
        <v/>
      </c>
    </row>
    <row r="868" customFormat="false" ht="15" hidden="false" customHeight="false" outlineLevel="0" collapsed="false">
      <c r="A868" s="22"/>
      <c r="B868" s="22"/>
      <c r="C868" s="26" t="str">
        <f aca="false">IF(A868="","",IFERROR(buscarx(A868&amp;B868,DATA!$E$3:$E$10000&amp;DATA!$B$3:$B$10000,DATA!$M$3:$M$10000),"No encontrado"))</f>
        <v/>
      </c>
      <c r="D868" s="27" t="str">
        <f aca="false">IF(A868="","",IFERROR(buscarx(A868&amp;B868,DATA!$E$3:$E$10000&amp;DATA!$B$3:$B$10000,DATA!$W$3:$W$10000),"No encontrado"))</f>
        <v/>
      </c>
      <c r="E868" s="22"/>
      <c r="F868" s="26" t="str">
        <f aca="false">IF(A868="","",IFERROR(buscarx(A868&amp;E868,DATA!$E$3:$E$10000&amp;DATA!$B$3:$B$10000,DATA!$M$3:$M$10000),"Inactivo"))</f>
        <v/>
      </c>
      <c r="G868" s="28" t="str">
        <f aca="false">IF(A868="","",IF(AND(C868&lt;&gt;"No encontrado",F868&lt;&gt;"Inactivo"),C868&amp;" → "&amp;F868,"Sin transición"))</f>
        <v/>
      </c>
      <c r="H868" s="26" t="str">
        <f aca="false">IF(A868="","",IF(D868="GCIA LINEA SERVICIO DIGITALIDAD Y VENTAS","Chats",IF(OR(D868="GERENCIA INBOUND LÍNEAS SERVICIO Y VENTA",D868="GERENCIA INBOUND LINEAS ESPECIALIZADAS"),"Llamadas","Otro")))</f>
        <v/>
      </c>
      <c r="I868" s="26" t="str">
        <f aca="false">IF(A868="","",IF(C868="No encontrado","No","Sí"))</f>
        <v/>
      </c>
      <c r="J868" s="26" t="str">
        <f aca="false">IF(A868="","",IF(F868="Inactivo","No","Sí"))</f>
        <v/>
      </c>
      <c r="K868" s="26" t="str">
        <f aca="false">IF(A868="","",IF(AND(I868="Sí",J868="Sí"),"Sí","No"))</f>
        <v/>
      </c>
    </row>
    <row r="869" customFormat="false" ht="15" hidden="false" customHeight="false" outlineLevel="0" collapsed="false">
      <c r="A869" s="22"/>
      <c r="B869" s="22"/>
      <c r="C869" s="23" t="str">
        <f aca="false">IF(A869="","",IFERROR(buscarx(A869&amp;B869,DATA!$E$3:$E$10000&amp;DATA!$B$3:$B$10000,DATA!$M$3:$M$10000),"No encontrado"))</f>
        <v/>
      </c>
      <c r="D869" s="24" t="str">
        <f aca="false">IF(A869="","",IFERROR(buscarx(A869&amp;B869,DATA!$E$3:$E$10000&amp;DATA!$B$3:$B$10000,DATA!$W$3:$W$10000),"No encontrado"))</f>
        <v/>
      </c>
      <c r="E869" s="22"/>
      <c r="F869" s="23" t="str">
        <f aca="false">IF(A869="","",IFERROR(buscarx(A869&amp;E869,DATA!$E$3:$E$10000&amp;DATA!$B$3:$B$10000,DATA!$M$3:$M$10000),"Inactivo"))</f>
        <v/>
      </c>
      <c r="G869" s="25" t="str">
        <f aca="false">IF(A869="","",IF(AND(C869&lt;&gt;"No encontrado",F869&lt;&gt;"Inactivo"),C869&amp;" → "&amp;F869,"Sin transición"))</f>
        <v/>
      </c>
      <c r="H869" s="23" t="str">
        <f aca="false">IF(A869="","",IF(D869="GCIA LINEA SERVICIO DIGITALIDAD Y VENTAS","Chats",IF(OR(D869="GERENCIA INBOUND LÍNEAS SERVICIO Y VENTA",D869="GERENCIA INBOUND LINEAS ESPECIALIZADAS"),"Llamadas","Otro")))</f>
        <v/>
      </c>
      <c r="I869" s="23" t="str">
        <f aca="false">IF(A869="","",IF(C869="No encontrado","No","Sí"))</f>
        <v/>
      </c>
      <c r="J869" s="23" t="str">
        <f aca="false">IF(A869="","",IF(F869="Inactivo","No","Sí"))</f>
        <v/>
      </c>
      <c r="K869" s="23" t="str">
        <f aca="false">IF(A869="","",IF(AND(I869="Sí",J869="Sí"),"Sí","No"))</f>
        <v/>
      </c>
    </row>
    <row r="870" customFormat="false" ht="15" hidden="false" customHeight="false" outlineLevel="0" collapsed="false">
      <c r="A870" s="22"/>
      <c r="B870" s="22"/>
      <c r="C870" s="26" t="str">
        <f aca="false">IF(A870="","",IFERROR(buscarx(A870&amp;B870,DATA!$E$3:$E$10000&amp;DATA!$B$3:$B$10000,DATA!$M$3:$M$10000),"No encontrado"))</f>
        <v/>
      </c>
      <c r="D870" s="27" t="str">
        <f aca="false">IF(A870="","",IFERROR(buscarx(A870&amp;B870,DATA!$E$3:$E$10000&amp;DATA!$B$3:$B$10000,DATA!$W$3:$W$10000),"No encontrado"))</f>
        <v/>
      </c>
      <c r="E870" s="22"/>
      <c r="F870" s="26" t="str">
        <f aca="false">IF(A870="","",IFERROR(buscarx(A870&amp;E870,DATA!$E$3:$E$10000&amp;DATA!$B$3:$B$10000,DATA!$M$3:$M$10000),"Inactivo"))</f>
        <v/>
      </c>
      <c r="G870" s="28" t="str">
        <f aca="false">IF(A870="","",IF(AND(C870&lt;&gt;"No encontrado",F870&lt;&gt;"Inactivo"),C870&amp;" → "&amp;F870,"Sin transición"))</f>
        <v/>
      </c>
      <c r="H870" s="26" t="str">
        <f aca="false">IF(A870="","",IF(D870="GCIA LINEA SERVICIO DIGITALIDAD Y VENTAS","Chats",IF(OR(D870="GERENCIA INBOUND LÍNEAS SERVICIO Y VENTA",D870="GERENCIA INBOUND LINEAS ESPECIALIZADAS"),"Llamadas","Otro")))</f>
        <v/>
      </c>
      <c r="I870" s="26" t="str">
        <f aca="false">IF(A870="","",IF(C870="No encontrado","No","Sí"))</f>
        <v/>
      </c>
      <c r="J870" s="26" t="str">
        <f aca="false">IF(A870="","",IF(F870="Inactivo","No","Sí"))</f>
        <v/>
      </c>
      <c r="K870" s="26" t="str">
        <f aca="false">IF(A870="","",IF(AND(I870="Sí",J870="Sí"),"Sí","No"))</f>
        <v/>
      </c>
    </row>
    <row r="871" customFormat="false" ht="15" hidden="false" customHeight="false" outlineLevel="0" collapsed="false">
      <c r="A871" s="22"/>
      <c r="B871" s="22"/>
      <c r="C871" s="23" t="str">
        <f aca="false">IF(A871="","",IFERROR(buscarx(A871&amp;B871,DATA!$E$3:$E$10000&amp;DATA!$B$3:$B$10000,DATA!$M$3:$M$10000),"No encontrado"))</f>
        <v/>
      </c>
      <c r="D871" s="24" t="str">
        <f aca="false">IF(A871="","",IFERROR(buscarx(A871&amp;B871,DATA!$E$3:$E$10000&amp;DATA!$B$3:$B$10000,DATA!$W$3:$W$10000),"No encontrado"))</f>
        <v/>
      </c>
      <c r="E871" s="22"/>
      <c r="F871" s="23" t="str">
        <f aca="false">IF(A871="","",IFERROR(buscarx(A871&amp;E871,DATA!$E$3:$E$10000&amp;DATA!$B$3:$B$10000,DATA!$M$3:$M$10000),"Inactivo"))</f>
        <v/>
      </c>
      <c r="G871" s="25" t="str">
        <f aca="false">IF(A871="","",IF(AND(C871&lt;&gt;"No encontrado",F871&lt;&gt;"Inactivo"),C871&amp;" → "&amp;F871,"Sin transición"))</f>
        <v/>
      </c>
      <c r="H871" s="23" t="str">
        <f aca="false">IF(A871="","",IF(D871="GCIA LINEA SERVICIO DIGITALIDAD Y VENTAS","Chats",IF(OR(D871="GERENCIA INBOUND LÍNEAS SERVICIO Y VENTA",D871="GERENCIA INBOUND LINEAS ESPECIALIZADAS"),"Llamadas","Otro")))</f>
        <v/>
      </c>
      <c r="I871" s="23" t="str">
        <f aca="false">IF(A871="","",IF(C871="No encontrado","No","Sí"))</f>
        <v/>
      </c>
      <c r="J871" s="23" t="str">
        <f aca="false">IF(A871="","",IF(F871="Inactivo","No","Sí"))</f>
        <v/>
      </c>
      <c r="K871" s="23" t="str">
        <f aca="false">IF(A871="","",IF(AND(I871="Sí",J871="Sí"),"Sí","No"))</f>
        <v/>
      </c>
    </row>
    <row r="872" customFormat="false" ht="15" hidden="false" customHeight="false" outlineLevel="0" collapsed="false">
      <c r="A872" s="22"/>
      <c r="B872" s="22"/>
      <c r="C872" s="26" t="str">
        <f aca="false">IF(A872="","",IFERROR(buscarx(A872&amp;B872,DATA!$E$3:$E$10000&amp;DATA!$B$3:$B$10000,DATA!$M$3:$M$10000),"No encontrado"))</f>
        <v/>
      </c>
      <c r="D872" s="27" t="str">
        <f aca="false">IF(A872="","",IFERROR(buscarx(A872&amp;B872,DATA!$E$3:$E$10000&amp;DATA!$B$3:$B$10000,DATA!$W$3:$W$10000),"No encontrado"))</f>
        <v/>
      </c>
      <c r="E872" s="22"/>
      <c r="F872" s="26" t="str">
        <f aca="false">IF(A872="","",IFERROR(buscarx(A872&amp;E872,DATA!$E$3:$E$10000&amp;DATA!$B$3:$B$10000,DATA!$M$3:$M$10000),"Inactivo"))</f>
        <v/>
      </c>
      <c r="G872" s="28" t="str">
        <f aca="false">IF(A872="","",IF(AND(C872&lt;&gt;"No encontrado",F872&lt;&gt;"Inactivo"),C872&amp;" → "&amp;F872,"Sin transición"))</f>
        <v/>
      </c>
      <c r="H872" s="26" t="str">
        <f aca="false">IF(A872="","",IF(D872="GCIA LINEA SERVICIO DIGITALIDAD Y VENTAS","Chats",IF(OR(D872="GERENCIA INBOUND LÍNEAS SERVICIO Y VENTA",D872="GERENCIA INBOUND LINEAS ESPECIALIZADAS"),"Llamadas","Otro")))</f>
        <v/>
      </c>
      <c r="I872" s="26" t="str">
        <f aca="false">IF(A872="","",IF(C872="No encontrado","No","Sí"))</f>
        <v/>
      </c>
      <c r="J872" s="26" t="str">
        <f aca="false">IF(A872="","",IF(F872="Inactivo","No","Sí"))</f>
        <v/>
      </c>
      <c r="K872" s="26" t="str">
        <f aca="false">IF(A872="","",IF(AND(I872="Sí",J872="Sí"),"Sí","No"))</f>
        <v/>
      </c>
    </row>
    <row r="873" customFormat="false" ht="15" hidden="false" customHeight="false" outlineLevel="0" collapsed="false">
      <c r="A873" s="22"/>
      <c r="B873" s="22"/>
      <c r="C873" s="23" t="str">
        <f aca="false">IF(A873="","",IFERROR(buscarx(A873&amp;B873,DATA!$E$3:$E$10000&amp;DATA!$B$3:$B$10000,DATA!$M$3:$M$10000),"No encontrado"))</f>
        <v/>
      </c>
      <c r="D873" s="24" t="str">
        <f aca="false">IF(A873="","",IFERROR(buscarx(A873&amp;B873,DATA!$E$3:$E$10000&amp;DATA!$B$3:$B$10000,DATA!$W$3:$W$10000),"No encontrado"))</f>
        <v/>
      </c>
      <c r="E873" s="22"/>
      <c r="F873" s="23" t="str">
        <f aca="false">IF(A873="","",IFERROR(buscarx(A873&amp;E873,DATA!$E$3:$E$10000&amp;DATA!$B$3:$B$10000,DATA!$M$3:$M$10000),"Inactivo"))</f>
        <v/>
      </c>
      <c r="G873" s="25" t="str">
        <f aca="false">IF(A873="","",IF(AND(C873&lt;&gt;"No encontrado",F873&lt;&gt;"Inactivo"),C873&amp;" → "&amp;F873,"Sin transición"))</f>
        <v/>
      </c>
      <c r="H873" s="23" t="str">
        <f aca="false">IF(A873="","",IF(D873="GCIA LINEA SERVICIO DIGITALIDAD Y VENTAS","Chats",IF(OR(D873="GERENCIA INBOUND LÍNEAS SERVICIO Y VENTA",D873="GERENCIA INBOUND LINEAS ESPECIALIZADAS"),"Llamadas","Otro")))</f>
        <v/>
      </c>
      <c r="I873" s="23" t="str">
        <f aca="false">IF(A873="","",IF(C873="No encontrado","No","Sí"))</f>
        <v/>
      </c>
      <c r="J873" s="23" t="str">
        <f aca="false">IF(A873="","",IF(F873="Inactivo","No","Sí"))</f>
        <v/>
      </c>
      <c r="K873" s="23" t="str">
        <f aca="false">IF(A873="","",IF(AND(I873="Sí",J873="Sí"),"Sí","No"))</f>
        <v/>
      </c>
    </row>
    <row r="874" customFormat="false" ht="15" hidden="false" customHeight="false" outlineLevel="0" collapsed="false">
      <c r="A874" s="22"/>
      <c r="B874" s="22"/>
      <c r="C874" s="26" t="str">
        <f aca="false">IF(A874="","",IFERROR(buscarx(A874&amp;B874,DATA!$E$3:$E$10000&amp;DATA!$B$3:$B$10000,DATA!$M$3:$M$10000),"No encontrado"))</f>
        <v/>
      </c>
      <c r="D874" s="27" t="str">
        <f aca="false">IF(A874="","",IFERROR(buscarx(A874&amp;B874,DATA!$E$3:$E$10000&amp;DATA!$B$3:$B$10000,DATA!$W$3:$W$10000),"No encontrado"))</f>
        <v/>
      </c>
      <c r="E874" s="22"/>
      <c r="F874" s="26" t="str">
        <f aca="false">IF(A874="","",IFERROR(buscarx(A874&amp;E874,DATA!$E$3:$E$10000&amp;DATA!$B$3:$B$10000,DATA!$M$3:$M$10000),"Inactivo"))</f>
        <v/>
      </c>
      <c r="G874" s="28" t="str">
        <f aca="false">IF(A874="","",IF(AND(C874&lt;&gt;"No encontrado",F874&lt;&gt;"Inactivo"),C874&amp;" → "&amp;F874,"Sin transición"))</f>
        <v/>
      </c>
      <c r="H874" s="26" t="str">
        <f aca="false">IF(A874="","",IF(D874="GCIA LINEA SERVICIO DIGITALIDAD Y VENTAS","Chats",IF(OR(D874="GERENCIA INBOUND LÍNEAS SERVICIO Y VENTA",D874="GERENCIA INBOUND LINEAS ESPECIALIZADAS"),"Llamadas","Otro")))</f>
        <v/>
      </c>
      <c r="I874" s="26" t="str">
        <f aca="false">IF(A874="","",IF(C874="No encontrado","No","Sí"))</f>
        <v/>
      </c>
      <c r="J874" s="26" t="str">
        <f aca="false">IF(A874="","",IF(F874="Inactivo","No","Sí"))</f>
        <v/>
      </c>
      <c r="K874" s="26" t="str">
        <f aca="false">IF(A874="","",IF(AND(I874="Sí",J874="Sí"),"Sí","No"))</f>
        <v/>
      </c>
    </row>
    <row r="875" customFormat="false" ht="15" hidden="false" customHeight="false" outlineLevel="0" collapsed="false">
      <c r="A875" s="22"/>
      <c r="B875" s="22"/>
      <c r="C875" s="23" t="str">
        <f aca="false">IF(A875="","",IFERROR(buscarx(A875&amp;B875,DATA!$E$3:$E$10000&amp;DATA!$B$3:$B$10000,DATA!$M$3:$M$10000),"No encontrado"))</f>
        <v/>
      </c>
      <c r="D875" s="24" t="str">
        <f aca="false">IF(A875="","",IFERROR(buscarx(A875&amp;B875,DATA!$E$3:$E$10000&amp;DATA!$B$3:$B$10000,DATA!$W$3:$W$10000),"No encontrado"))</f>
        <v/>
      </c>
      <c r="E875" s="22"/>
      <c r="F875" s="23" t="str">
        <f aca="false">IF(A875="","",IFERROR(buscarx(A875&amp;E875,DATA!$E$3:$E$10000&amp;DATA!$B$3:$B$10000,DATA!$M$3:$M$10000),"Inactivo"))</f>
        <v/>
      </c>
      <c r="G875" s="25" t="str">
        <f aca="false">IF(A875="","",IF(AND(C875&lt;&gt;"No encontrado",F875&lt;&gt;"Inactivo"),C875&amp;" → "&amp;F875,"Sin transición"))</f>
        <v/>
      </c>
      <c r="H875" s="23" t="str">
        <f aca="false">IF(A875="","",IF(D875="GCIA LINEA SERVICIO DIGITALIDAD Y VENTAS","Chats",IF(OR(D875="GERENCIA INBOUND LÍNEAS SERVICIO Y VENTA",D875="GERENCIA INBOUND LINEAS ESPECIALIZADAS"),"Llamadas","Otro")))</f>
        <v/>
      </c>
      <c r="I875" s="23" t="str">
        <f aca="false">IF(A875="","",IF(C875="No encontrado","No","Sí"))</f>
        <v/>
      </c>
      <c r="J875" s="23" t="str">
        <f aca="false">IF(A875="","",IF(F875="Inactivo","No","Sí"))</f>
        <v/>
      </c>
      <c r="K875" s="23" t="str">
        <f aca="false">IF(A875="","",IF(AND(I875="Sí",J875="Sí"),"Sí","No"))</f>
        <v/>
      </c>
    </row>
    <row r="876" customFormat="false" ht="15" hidden="false" customHeight="false" outlineLevel="0" collapsed="false">
      <c r="A876" s="22"/>
      <c r="B876" s="22"/>
      <c r="C876" s="26" t="str">
        <f aca="false">IF(A876="","",IFERROR(buscarx(A876&amp;B876,DATA!$E$3:$E$10000&amp;DATA!$B$3:$B$10000,DATA!$M$3:$M$10000),"No encontrado"))</f>
        <v/>
      </c>
      <c r="D876" s="27" t="str">
        <f aca="false">IF(A876="","",IFERROR(buscarx(A876&amp;B876,DATA!$E$3:$E$10000&amp;DATA!$B$3:$B$10000,DATA!$W$3:$W$10000),"No encontrado"))</f>
        <v/>
      </c>
      <c r="E876" s="22"/>
      <c r="F876" s="26" t="str">
        <f aca="false">IF(A876="","",IFERROR(buscarx(A876&amp;E876,DATA!$E$3:$E$10000&amp;DATA!$B$3:$B$10000,DATA!$M$3:$M$10000),"Inactivo"))</f>
        <v/>
      </c>
      <c r="G876" s="28" t="str">
        <f aca="false">IF(A876="","",IF(AND(C876&lt;&gt;"No encontrado",F876&lt;&gt;"Inactivo"),C876&amp;" → "&amp;F876,"Sin transición"))</f>
        <v/>
      </c>
      <c r="H876" s="26" t="str">
        <f aca="false">IF(A876="","",IF(D876="GCIA LINEA SERVICIO DIGITALIDAD Y VENTAS","Chats",IF(OR(D876="GERENCIA INBOUND LÍNEAS SERVICIO Y VENTA",D876="GERENCIA INBOUND LINEAS ESPECIALIZADAS"),"Llamadas","Otro")))</f>
        <v/>
      </c>
      <c r="I876" s="26" t="str">
        <f aca="false">IF(A876="","",IF(C876="No encontrado","No","Sí"))</f>
        <v/>
      </c>
      <c r="J876" s="26" t="str">
        <f aca="false">IF(A876="","",IF(F876="Inactivo","No","Sí"))</f>
        <v/>
      </c>
      <c r="K876" s="26" t="str">
        <f aca="false">IF(A876="","",IF(AND(I876="Sí",J876="Sí"),"Sí","No"))</f>
        <v/>
      </c>
    </row>
    <row r="877" customFormat="false" ht="15" hidden="false" customHeight="false" outlineLevel="0" collapsed="false">
      <c r="A877" s="22"/>
      <c r="B877" s="22"/>
      <c r="C877" s="23" t="str">
        <f aca="false">IF(A877="","",IFERROR(buscarx(A877&amp;B877,DATA!$E$3:$E$10000&amp;DATA!$B$3:$B$10000,DATA!$M$3:$M$10000),"No encontrado"))</f>
        <v/>
      </c>
      <c r="D877" s="24" t="str">
        <f aca="false">IF(A877="","",IFERROR(buscarx(A877&amp;B877,DATA!$E$3:$E$10000&amp;DATA!$B$3:$B$10000,DATA!$W$3:$W$10000),"No encontrado"))</f>
        <v/>
      </c>
      <c r="E877" s="22"/>
      <c r="F877" s="23" t="str">
        <f aca="false">IF(A877="","",IFERROR(buscarx(A877&amp;E877,DATA!$E$3:$E$10000&amp;DATA!$B$3:$B$10000,DATA!$M$3:$M$10000),"Inactivo"))</f>
        <v/>
      </c>
      <c r="G877" s="25" t="str">
        <f aca="false">IF(A877="","",IF(AND(C877&lt;&gt;"No encontrado",F877&lt;&gt;"Inactivo"),C877&amp;" → "&amp;F877,"Sin transición"))</f>
        <v/>
      </c>
      <c r="H877" s="23" t="str">
        <f aca="false">IF(A877="","",IF(D877="GCIA LINEA SERVICIO DIGITALIDAD Y VENTAS","Chats",IF(OR(D877="GERENCIA INBOUND LÍNEAS SERVICIO Y VENTA",D877="GERENCIA INBOUND LINEAS ESPECIALIZADAS"),"Llamadas","Otro")))</f>
        <v/>
      </c>
      <c r="I877" s="23" t="str">
        <f aca="false">IF(A877="","",IF(C877="No encontrado","No","Sí"))</f>
        <v/>
      </c>
      <c r="J877" s="23" t="str">
        <f aca="false">IF(A877="","",IF(F877="Inactivo","No","Sí"))</f>
        <v/>
      </c>
      <c r="K877" s="23" t="str">
        <f aca="false">IF(A877="","",IF(AND(I877="Sí",J877="Sí"),"Sí","No"))</f>
        <v/>
      </c>
    </row>
    <row r="878" customFormat="false" ht="15" hidden="false" customHeight="false" outlineLevel="0" collapsed="false">
      <c r="A878" s="22"/>
      <c r="B878" s="22"/>
      <c r="C878" s="26" t="str">
        <f aca="false">IF(A878="","",IFERROR(buscarx(A878&amp;B878,DATA!$E$3:$E$10000&amp;DATA!$B$3:$B$10000,DATA!$M$3:$M$10000),"No encontrado"))</f>
        <v/>
      </c>
      <c r="D878" s="27" t="str">
        <f aca="false">IF(A878="","",IFERROR(buscarx(A878&amp;B878,DATA!$E$3:$E$10000&amp;DATA!$B$3:$B$10000,DATA!$W$3:$W$10000),"No encontrado"))</f>
        <v/>
      </c>
      <c r="E878" s="22"/>
      <c r="F878" s="26" t="str">
        <f aca="false">IF(A878="","",IFERROR(buscarx(A878&amp;E878,DATA!$E$3:$E$10000&amp;DATA!$B$3:$B$10000,DATA!$M$3:$M$10000),"Inactivo"))</f>
        <v/>
      </c>
      <c r="G878" s="28" t="str">
        <f aca="false">IF(A878="","",IF(AND(C878&lt;&gt;"No encontrado",F878&lt;&gt;"Inactivo"),C878&amp;" → "&amp;F878,"Sin transición"))</f>
        <v/>
      </c>
      <c r="H878" s="26" t="str">
        <f aca="false">IF(A878="","",IF(D878="GCIA LINEA SERVICIO DIGITALIDAD Y VENTAS","Chats",IF(OR(D878="GERENCIA INBOUND LÍNEAS SERVICIO Y VENTA",D878="GERENCIA INBOUND LINEAS ESPECIALIZADAS"),"Llamadas","Otro")))</f>
        <v/>
      </c>
      <c r="I878" s="26" t="str">
        <f aca="false">IF(A878="","",IF(C878="No encontrado","No","Sí"))</f>
        <v/>
      </c>
      <c r="J878" s="26" t="str">
        <f aca="false">IF(A878="","",IF(F878="Inactivo","No","Sí"))</f>
        <v/>
      </c>
      <c r="K878" s="26" t="str">
        <f aca="false">IF(A878="","",IF(AND(I878="Sí",J878="Sí"),"Sí","No"))</f>
        <v/>
      </c>
    </row>
    <row r="879" customFormat="false" ht="15" hidden="false" customHeight="false" outlineLevel="0" collapsed="false">
      <c r="A879" s="22"/>
      <c r="B879" s="22"/>
      <c r="C879" s="23" t="str">
        <f aca="false">IF(A879="","",IFERROR(buscarx(A879&amp;B879,DATA!$E$3:$E$10000&amp;DATA!$B$3:$B$10000,DATA!$M$3:$M$10000),"No encontrado"))</f>
        <v/>
      </c>
      <c r="D879" s="24" t="str">
        <f aca="false">IF(A879="","",IFERROR(buscarx(A879&amp;B879,DATA!$E$3:$E$10000&amp;DATA!$B$3:$B$10000,DATA!$W$3:$W$10000),"No encontrado"))</f>
        <v/>
      </c>
      <c r="E879" s="22"/>
      <c r="F879" s="23" t="str">
        <f aca="false">IF(A879="","",IFERROR(buscarx(A879&amp;E879,DATA!$E$3:$E$10000&amp;DATA!$B$3:$B$10000,DATA!$M$3:$M$10000),"Inactivo"))</f>
        <v/>
      </c>
      <c r="G879" s="25" t="str">
        <f aca="false">IF(A879="","",IF(AND(C879&lt;&gt;"No encontrado",F879&lt;&gt;"Inactivo"),C879&amp;" → "&amp;F879,"Sin transición"))</f>
        <v/>
      </c>
      <c r="H879" s="23" t="str">
        <f aca="false">IF(A879="","",IF(D879="GCIA LINEA SERVICIO DIGITALIDAD Y VENTAS","Chats",IF(OR(D879="GERENCIA INBOUND LÍNEAS SERVICIO Y VENTA",D879="GERENCIA INBOUND LINEAS ESPECIALIZADAS"),"Llamadas","Otro")))</f>
        <v/>
      </c>
      <c r="I879" s="23" t="str">
        <f aca="false">IF(A879="","",IF(C879="No encontrado","No","Sí"))</f>
        <v/>
      </c>
      <c r="J879" s="23" t="str">
        <f aca="false">IF(A879="","",IF(F879="Inactivo","No","Sí"))</f>
        <v/>
      </c>
      <c r="K879" s="23" t="str">
        <f aca="false">IF(A879="","",IF(AND(I879="Sí",J879="Sí"),"Sí","No"))</f>
        <v/>
      </c>
    </row>
    <row r="880" customFormat="false" ht="15" hidden="false" customHeight="false" outlineLevel="0" collapsed="false">
      <c r="A880" s="22"/>
      <c r="B880" s="22"/>
      <c r="C880" s="26" t="str">
        <f aca="false">IF(A880="","",IFERROR(buscarx(A880&amp;B880,DATA!$E$3:$E$10000&amp;DATA!$B$3:$B$10000,DATA!$M$3:$M$10000),"No encontrado"))</f>
        <v/>
      </c>
      <c r="D880" s="27" t="str">
        <f aca="false">IF(A880="","",IFERROR(buscarx(A880&amp;B880,DATA!$E$3:$E$10000&amp;DATA!$B$3:$B$10000,DATA!$W$3:$W$10000),"No encontrado"))</f>
        <v/>
      </c>
      <c r="E880" s="22"/>
      <c r="F880" s="26" t="str">
        <f aca="false">IF(A880="","",IFERROR(buscarx(A880&amp;E880,DATA!$E$3:$E$10000&amp;DATA!$B$3:$B$10000,DATA!$M$3:$M$10000),"Inactivo"))</f>
        <v/>
      </c>
      <c r="G880" s="28" t="str">
        <f aca="false">IF(A880="","",IF(AND(C880&lt;&gt;"No encontrado",F880&lt;&gt;"Inactivo"),C880&amp;" → "&amp;F880,"Sin transición"))</f>
        <v/>
      </c>
      <c r="H880" s="26" t="str">
        <f aca="false">IF(A880="","",IF(D880="GCIA LINEA SERVICIO DIGITALIDAD Y VENTAS","Chats",IF(OR(D880="GERENCIA INBOUND LÍNEAS SERVICIO Y VENTA",D880="GERENCIA INBOUND LINEAS ESPECIALIZADAS"),"Llamadas","Otro")))</f>
        <v/>
      </c>
      <c r="I880" s="26" t="str">
        <f aca="false">IF(A880="","",IF(C880="No encontrado","No","Sí"))</f>
        <v/>
      </c>
      <c r="J880" s="26" t="str">
        <f aca="false">IF(A880="","",IF(F880="Inactivo","No","Sí"))</f>
        <v/>
      </c>
      <c r="K880" s="26" t="str">
        <f aca="false">IF(A880="","",IF(AND(I880="Sí",J880="Sí"),"Sí","No"))</f>
        <v/>
      </c>
    </row>
    <row r="881" customFormat="false" ht="15" hidden="false" customHeight="false" outlineLevel="0" collapsed="false">
      <c r="A881" s="22"/>
      <c r="B881" s="22"/>
      <c r="C881" s="23" t="str">
        <f aca="false">IF(A881="","",IFERROR(buscarx(A881&amp;B881,DATA!$E$3:$E$10000&amp;DATA!$B$3:$B$10000,DATA!$M$3:$M$10000),"No encontrado"))</f>
        <v/>
      </c>
      <c r="D881" s="24" t="str">
        <f aca="false">IF(A881="","",IFERROR(buscarx(A881&amp;B881,DATA!$E$3:$E$10000&amp;DATA!$B$3:$B$10000,DATA!$W$3:$W$10000),"No encontrado"))</f>
        <v/>
      </c>
      <c r="E881" s="22"/>
      <c r="F881" s="23" t="str">
        <f aca="false">IF(A881="","",IFERROR(buscarx(A881&amp;E881,DATA!$E$3:$E$10000&amp;DATA!$B$3:$B$10000,DATA!$M$3:$M$10000),"Inactivo"))</f>
        <v/>
      </c>
      <c r="G881" s="25" t="str">
        <f aca="false">IF(A881="","",IF(AND(C881&lt;&gt;"No encontrado",F881&lt;&gt;"Inactivo"),C881&amp;" → "&amp;F881,"Sin transición"))</f>
        <v/>
      </c>
      <c r="H881" s="23" t="str">
        <f aca="false">IF(A881="","",IF(D881="GCIA LINEA SERVICIO DIGITALIDAD Y VENTAS","Chats",IF(OR(D881="GERENCIA INBOUND LÍNEAS SERVICIO Y VENTA",D881="GERENCIA INBOUND LINEAS ESPECIALIZADAS"),"Llamadas","Otro")))</f>
        <v/>
      </c>
      <c r="I881" s="23" t="str">
        <f aca="false">IF(A881="","",IF(C881="No encontrado","No","Sí"))</f>
        <v/>
      </c>
      <c r="J881" s="23" t="str">
        <f aca="false">IF(A881="","",IF(F881="Inactivo","No","Sí"))</f>
        <v/>
      </c>
      <c r="K881" s="23" t="str">
        <f aca="false">IF(A881="","",IF(AND(I881="Sí",J881="Sí"),"Sí","No"))</f>
        <v/>
      </c>
    </row>
    <row r="882" customFormat="false" ht="15" hidden="false" customHeight="false" outlineLevel="0" collapsed="false">
      <c r="A882" s="22"/>
      <c r="B882" s="22"/>
      <c r="C882" s="26" t="str">
        <f aca="false">IF(A882="","",IFERROR(buscarx(A882&amp;B882,DATA!$E$3:$E$10000&amp;DATA!$B$3:$B$10000,DATA!$M$3:$M$10000),"No encontrado"))</f>
        <v/>
      </c>
      <c r="D882" s="27" t="str">
        <f aca="false">IF(A882="","",IFERROR(buscarx(A882&amp;B882,DATA!$E$3:$E$10000&amp;DATA!$B$3:$B$10000,DATA!$W$3:$W$10000),"No encontrado"))</f>
        <v/>
      </c>
      <c r="E882" s="22"/>
      <c r="F882" s="26" t="str">
        <f aca="false">IF(A882="","",IFERROR(buscarx(A882&amp;E882,DATA!$E$3:$E$10000&amp;DATA!$B$3:$B$10000,DATA!$M$3:$M$10000),"Inactivo"))</f>
        <v/>
      </c>
      <c r="G882" s="28" t="str">
        <f aca="false">IF(A882="","",IF(AND(C882&lt;&gt;"No encontrado",F882&lt;&gt;"Inactivo"),C882&amp;" → "&amp;F882,"Sin transición"))</f>
        <v/>
      </c>
      <c r="H882" s="26" t="str">
        <f aca="false">IF(A882="","",IF(D882="GCIA LINEA SERVICIO DIGITALIDAD Y VENTAS","Chats",IF(OR(D882="GERENCIA INBOUND LÍNEAS SERVICIO Y VENTA",D882="GERENCIA INBOUND LINEAS ESPECIALIZADAS"),"Llamadas","Otro")))</f>
        <v/>
      </c>
      <c r="I882" s="26" t="str">
        <f aca="false">IF(A882="","",IF(C882="No encontrado","No","Sí"))</f>
        <v/>
      </c>
      <c r="J882" s="26" t="str">
        <f aca="false">IF(A882="","",IF(F882="Inactivo","No","Sí"))</f>
        <v/>
      </c>
      <c r="K882" s="26" t="str">
        <f aca="false">IF(A882="","",IF(AND(I882="Sí",J882="Sí"),"Sí","No"))</f>
        <v/>
      </c>
    </row>
    <row r="883" customFormat="false" ht="15" hidden="false" customHeight="false" outlineLevel="0" collapsed="false">
      <c r="A883" s="22"/>
      <c r="B883" s="22"/>
      <c r="C883" s="23" t="str">
        <f aca="false">IF(A883="","",IFERROR(buscarx(A883&amp;B883,DATA!$E$3:$E$10000&amp;DATA!$B$3:$B$10000,DATA!$M$3:$M$10000),"No encontrado"))</f>
        <v/>
      </c>
      <c r="D883" s="24" t="str">
        <f aca="false">IF(A883="","",IFERROR(buscarx(A883&amp;B883,DATA!$E$3:$E$10000&amp;DATA!$B$3:$B$10000,DATA!$W$3:$W$10000),"No encontrado"))</f>
        <v/>
      </c>
      <c r="E883" s="22"/>
      <c r="F883" s="23" t="str">
        <f aca="false">IF(A883="","",IFERROR(buscarx(A883&amp;E883,DATA!$E$3:$E$10000&amp;DATA!$B$3:$B$10000,DATA!$M$3:$M$10000),"Inactivo"))</f>
        <v/>
      </c>
      <c r="G883" s="25" t="str">
        <f aca="false">IF(A883="","",IF(AND(C883&lt;&gt;"No encontrado",F883&lt;&gt;"Inactivo"),C883&amp;" → "&amp;F883,"Sin transición"))</f>
        <v/>
      </c>
      <c r="H883" s="23" t="str">
        <f aca="false">IF(A883="","",IF(D883="GCIA LINEA SERVICIO DIGITALIDAD Y VENTAS","Chats",IF(OR(D883="GERENCIA INBOUND LÍNEAS SERVICIO Y VENTA",D883="GERENCIA INBOUND LINEAS ESPECIALIZADAS"),"Llamadas","Otro")))</f>
        <v/>
      </c>
      <c r="I883" s="23" t="str">
        <f aca="false">IF(A883="","",IF(C883="No encontrado","No","Sí"))</f>
        <v/>
      </c>
      <c r="J883" s="23" t="str">
        <f aca="false">IF(A883="","",IF(F883="Inactivo","No","Sí"))</f>
        <v/>
      </c>
      <c r="K883" s="23" t="str">
        <f aca="false">IF(A883="","",IF(AND(I883="Sí",J883="Sí"),"Sí","No"))</f>
        <v/>
      </c>
    </row>
    <row r="884" customFormat="false" ht="15" hidden="false" customHeight="false" outlineLevel="0" collapsed="false">
      <c r="A884" s="22"/>
      <c r="B884" s="22"/>
      <c r="C884" s="26" t="str">
        <f aca="false">IF(A884="","",IFERROR(buscarx(A884&amp;B884,DATA!$E$3:$E$10000&amp;DATA!$B$3:$B$10000,DATA!$M$3:$M$10000),"No encontrado"))</f>
        <v/>
      </c>
      <c r="D884" s="27" t="str">
        <f aca="false">IF(A884="","",IFERROR(buscarx(A884&amp;B884,DATA!$E$3:$E$10000&amp;DATA!$B$3:$B$10000,DATA!$W$3:$W$10000),"No encontrado"))</f>
        <v/>
      </c>
      <c r="E884" s="22"/>
      <c r="F884" s="26" t="str">
        <f aca="false">IF(A884="","",IFERROR(buscarx(A884&amp;E884,DATA!$E$3:$E$10000&amp;DATA!$B$3:$B$10000,DATA!$M$3:$M$10000),"Inactivo"))</f>
        <v/>
      </c>
      <c r="G884" s="28" t="str">
        <f aca="false">IF(A884="","",IF(AND(C884&lt;&gt;"No encontrado",F884&lt;&gt;"Inactivo"),C884&amp;" → "&amp;F884,"Sin transición"))</f>
        <v/>
      </c>
      <c r="H884" s="26" t="str">
        <f aca="false">IF(A884="","",IF(D884="GCIA LINEA SERVICIO DIGITALIDAD Y VENTAS","Chats",IF(OR(D884="GERENCIA INBOUND LÍNEAS SERVICIO Y VENTA",D884="GERENCIA INBOUND LINEAS ESPECIALIZADAS"),"Llamadas","Otro")))</f>
        <v/>
      </c>
      <c r="I884" s="26" t="str">
        <f aca="false">IF(A884="","",IF(C884="No encontrado","No","Sí"))</f>
        <v/>
      </c>
      <c r="J884" s="26" t="str">
        <f aca="false">IF(A884="","",IF(F884="Inactivo","No","Sí"))</f>
        <v/>
      </c>
      <c r="K884" s="26" t="str">
        <f aca="false">IF(A884="","",IF(AND(I884="Sí",J884="Sí"),"Sí","No"))</f>
        <v/>
      </c>
    </row>
    <row r="885" customFormat="false" ht="15" hidden="false" customHeight="false" outlineLevel="0" collapsed="false">
      <c r="A885" s="22"/>
      <c r="B885" s="22"/>
      <c r="C885" s="23" t="str">
        <f aca="false">IF(A885="","",IFERROR(buscarx(A885&amp;B885,DATA!$E$3:$E$10000&amp;DATA!$B$3:$B$10000,DATA!$M$3:$M$10000),"No encontrado"))</f>
        <v/>
      </c>
      <c r="D885" s="24" t="str">
        <f aca="false">IF(A885="","",IFERROR(buscarx(A885&amp;B885,DATA!$E$3:$E$10000&amp;DATA!$B$3:$B$10000,DATA!$W$3:$W$10000),"No encontrado"))</f>
        <v/>
      </c>
      <c r="E885" s="22"/>
      <c r="F885" s="23" t="str">
        <f aca="false">IF(A885="","",IFERROR(buscarx(A885&amp;E885,DATA!$E$3:$E$10000&amp;DATA!$B$3:$B$10000,DATA!$M$3:$M$10000),"Inactivo"))</f>
        <v/>
      </c>
      <c r="G885" s="25" t="str">
        <f aca="false">IF(A885="","",IF(AND(C885&lt;&gt;"No encontrado",F885&lt;&gt;"Inactivo"),C885&amp;" → "&amp;F885,"Sin transición"))</f>
        <v/>
      </c>
      <c r="H885" s="23" t="str">
        <f aca="false">IF(A885="","",IF(D885="GCIA LINEA SERVICIO DIGITALIDAD Y VENTAS","Chats",IF(OR(D885="GERENCIA INBOUND LÍNEAS SERVICIO Y VENTA",D885="GERENCIA INBOUND LINEAS ESPECIALIZADAS"),"Llamadas","Otro")))</f>
        <v/>
      </c>
      <c r="I885" s="23" t="str">
        <f aca="false">IF(A885="","",IF(C885="No encontrado","No","Sí"))</f>
        <v/>
      </c>
      <c r="J885" s="23" t="str">
        <f aca="false">IF(A885="","",IF(F885="Inactivo","No","Sí"))</f>
        <v/>
      </c>
      <c r="K885" s="23" t="str">
        <f aca="false">IF(A885="","",IF(AND(I885="Sí",J885="Sí"),"Sí","No"))</f>
        <v/>
      </c>
    </row>
    <row r="886" customFormat="false" ht="15" hidden="false" customHeight="false" outlineLevel="0" collapsed="false">
      <c r="A886" s="22"/>
      <c r="B886" s="22"/>
      <c r="C886" s="26" t="str">
        <f aca="false">IF(A886="","",IFERROR(buscarx(A886&amp;B886,DATA!$E$3:$E$10000&amp;DATA!$B$3:$B$10000,DATA!$M$3:$M$10000),"No encontrado"))</f>
        <v/>
      </c>
      <c r="D886" s="27" t="str">
        <f aca="false">IF(A886="","",IFERROR(buscarx(A886&amp;B886,DATA!$E$3:$E$10000&amp;DATA!$B$3:$B$10000,DATA!$W$3:$W$10000),"No encontrado"))</f>
        <v/>
      </c>
      <c r="E886" s="22"/>
      <c r="F886" s="26" t="str">
        <f aca="false">IF(A886="","",IFERROR(buscarx(A886&amp;E886,DATA!$E$3:$E$10000&amp;DATA!$B$3:$B$10000,DATA!$M$3:$M$10000),"Inactivo"))</f>
        <v/>
      </c>
      <c r="G886" s="28" t="str">
        <f aca="false">IF(A886="","",IF(AND(C886&lt;&gt;"No encontrado",F886&lt;&gt;"Inactivo"),C886&amp;" → "&amp;F886,"Sin transición"))</f>
        <v/>
      </c>
      <c r="H886" s="26" t="str">
        <f aca="false">IF(A886="","",IF(D886="GCIA LINEA SERVICIO DIGITALIDAD Y VENTAS","Chats",IF(OR(D886="GERENCIA INBOUND LÍNEAS SERVICIO Y VENTA",D886="GERENCIA INBOUND LINEAS ESPECIALIZADAS"),"Llamadas","Otro")))</f>
        <v/>
      </c>
      <c r="I886" s="26" t="str">
        <f aca="false">IF(A886="","",IF(C886="No encontrado","No","Sí"))</f>
        <v/>
      </c>
      <c r="J886" s="26" t="str">
        <f aca="false">IF(A886="","",IF(F886="Inactivo","No","Sí"))</f>
        <v/>
      </c>
      <c r="K886" s="26" t="str">
        <f aca="false">IF(A886="","",IF(AND(I886="Sí",J886="Sí"),"Sí","No"))</f>
        <v/>
      </c>
    </row>
    <row r="887" customFormat="false" ht="15" hidden="false" customHeight="false" outlineLevel="0" collapsed="false">
      <c r="A887" s="22"/>
      <c r="B887" s="22"/>
      <c r="C887" s="23" t="str">
        <f aca="false">IF(A887="","",IFERROR(buscarx(A887&amp;B887,DATA!$E$3:$E$10000&amp;DATA!$B$3:$B$10000,DATA!$M$3:$M$10000),"No encontrado"))</f>
        <v/>
      </c>
      <c r="D887" s="24" t="str">
        <f aca="false">IF(A887="","",IFERROR(buscarx(A887&amp;B887,DATA!$E$3:$E$10000&amp;DATA!$B$3:$B$10000,DATA!$W$3:$W$10000),"No encontrado"))</f>
        <v/>
      </c>
      <c r="E887" s="22"/>
      <c r="F887" s="23" t="str">
        <f aca="false">IF(A887="","",IFERROR(buscarx(A887&amp;E887,DATA!$E$3:$E$10000&amp;DATA!$B$3:$B$10000,DATA!$M$3:$M$10000),"Inactivo"))</f>
        <v/>
      </c>
      <c r="G887" s="25" t="str">
        <f aca="false">IF(A887="","",IF(AND(C887&lt;&gt;"No encontrado",F887&lt;&gt;"Inactivo"),C887&amp;" → "&amp;F887,"Sin transición"))</f>
        <v/>
      </c>
      <c r="H887" s="23" t="str">
        <f aca="false">IF(A887="","",IF(D887="GCIA LINEA SERVICIO DIGITALIDAD Y VENTAS","Chats",IF(OR(D887="GERENCIA INBOUND LÍNEAS SERVICIO Y VENTA",D887="GERENCIA INBOUND LINEAS ESPECIALIZADAS"),"Llamadas","Otro")))</f>
        <v/>
      </c>
      <c r="I887" s="23" t="str">
        <f aca="false">IF(A887="","",IF(C887="No encontrado","No","Sí"))</f>
        <v/>
      </c>
      <c r="J887" s="23" t="str">
        <f aca="false">IF(A887="","",IF(F887="Inactivo","No","Sí"))</f>
        <v/>
      </c>
      <c r="K887" s="23" t="str">
        <f aca="false">IF(A887="","",IF(AND(I887="Sí",J887="Sí"),"Sí","No"))</f>
        <v/>
      </c>
    </row>
    <row r="888" customFormat="false" ht="15" hidden="false" customHeight="false" outlineLevel="0" collapsed="false">
      <c r="A888" s="22"/>
      <c r="B888" s="22"/>
      <c r="C888" s="26" t="str">
        <f aca="false">IF(A888="","",IFERROR(buscarx(A888&amp;B888,DATA!$E$3:$E$10000&amp;DATA!$B$3:$B$10000,DATA!$M$3:$M$10000),"No encontrado"))</f>
        <v/>
      </c>
      <c r="D888" s="27" t="str">
        <f aca="false">IF(A888="","",IFERROR(buscarx(A888&amp;B888,DATA!$E$3:$E$10000&amp;DATA!$B$3:$B$10000,DATA!$W$3:$W$10000),"No encontrado"))</f>
        <v/>
      </c>
      <c r="E888" s="22"/>
      <c r="F888" s="26" t="str">
        <f aca="false">IF(A888="","",IFERROR(buscarx(A888&amp;E888,DATA!$E$3:$E$10000&amp;DATA!$B$3:$B$10000,DATA!$M$3:$M$10000),"Inactivo"))</f>
        <v/>
      </c>
      <c r="G888" s="28" t="str">
        <f aca="false">IF(A888="","",IF(AND(C888&lt;&gt;"No encontrado",F888&lt;&gt;"Inactivo"),C888&amp;" → "&amp;F888,"Sin transición"))</f>
        <v/>
      </c>
      <c r="H888" s="26" t="str">
        <f aca="false">IF(A888="","",IF(D888="GCIA LINEA SERVICIO DIGITALIDAD Y VENTAS","Chats",IF(OR(D888="GERENCIA INBOUND LÍNEAS SERVICIO Y VENTA",D888="GERENCIA INBOUND LINEAS ESPECIALIZADAS"),"Llamadas","Otro")))</f>
        <v/>
      </c>
      <c r="I888" s="26" t="str">
        <f aca="false">IF(A888="","",IF(C888="No encontrado","No","Sí"))</f>
        <v/>
      </c>
      <c r="J888" s="26" t="str">
        <f aca="false">IF(A888="","",IF(F888="Inactivo","No","Sí"))</f>
        <v/>
      </c>
      <c r="K888" s="26" t="str">
        <f aca="false">IF(A888="","",IF(AND(I888="Sí",J888="Sí"),"Sí","No"))</f>
        <v/>
      </c>
    </row>
    <row r="889" customFormat="false" ht="15" hidden="false" customHeight="false" outlineLevel="0" collapsed="false">
      <c r="A889" s="22"/>
      <c r="B889" s="22"/>
      <c r="C889" s="23" t="str">
        <f aca="false">IF(A889="","",IFERROR(buscarx(A889&amp;B889,DATA!$E$3:$E$10000&amp;DATA!$B$3:$B$10000,DATA!$M$3:$M$10000),"No encontrado"))</f>
        <v/>
      </c>
      <c r="D889" s="24" t="str">
        <f aca="false">IF(A889="","",IFERROR(buscarx(A889&amp;B889,DATA!$E$3:$E$10000&amp;DATA!$B$3:$B$10000,DATA!$W$3:$W$10000),"No encontrado"))</f>
        <v/>
      </c>
      <c r="E889" s="22"/>
      <c r="F889" s="23" t="str">
        <f aca="false">IF(A889="","",IFERROR(buscarx(A889&amp;E889,DATA!$E$3:$E$10000&amp;DATA!$B$3:$B$10000,DATA!$M$3:$M$10000),"Inactivo"))</f>
        <v/>
      </c>
      <c r="G889" s="25" t="str">
        <f aca="false">IF(A889="","",IF(AND(C889&lt;&gt;"No encontrado",F889&lt;&gt;"Inactivo"),C889&amp;" → "&amp;F889,"Sin transición"))</f>
        <v/>
      </c>
      <c r="H889" s="23" t="str">
        <f aca="false">IF(A889="","",IF(D889="GCIA LINEA SERVICIO DIGITALIDAD Y VENTAS","Chats",IF(OR(D889="GERENCIA INBOUND LÍNEAS SERVICIO Y VENTA",D889="GERENCIA INBOUND LINEAS ESPECIALIZADAS"),"Llamadas","Otro")))</f>
        <v/>
      </c>
      <c r="I889" s="23" t="str">
        <f aca="false">IF(A889="","",IF(C889="No encontrado","No","Sí"))</f>
        <v/>
      </c>
      <c r="J889" s="23" t="str">
        <f aca="false">IF(A889="","",IF(F889="Inactivo","No","Sí"))</f>
        <v/>
      </c>
      <c r="K889" s="23" t="str">
        <f aca="false">IF(A889="","",IF(AND(I889="Sí",J889="Sí"),"Sí","No"))</f>
        <v/>
      </c>
    </row>
    <row r="890" customFormat="false" ht="15" hidden="false" customHeight="false" outlineLevel="0" collapsed="false">
      <c r="A890" s="22"/>
      <c r="B890" s="22"/>
      <c r="C890" s="26" t="str">
        <f aca="false">IF(A890="","",IFERROR(buscarx(A890&amp;B890,DATA!$E$3:$E$10000&amp;DATA!$B$3:$B$10000,DATA!$M$3:$M$10000),"No encontrado"))</f>
        <v/>
      </c>
      <c r="D890" s="27" t="str">
        <f aca="false">IF(A890="","",IFERROR(buscarx(A890&amp;B890,DATA!$E$3:$E$10000&amp;DATA!$B$3:$B$10000,DATA!$W$3:$W$10000),"No encontrado"))</f>
        <v/>
      </c>
      <c r="E890" s="22"/>
      <c r="F890" s="26" t="str">
        <f aca="false">IF(A890="","",IFERROR(buscarx(A890&amp;E890,DATA!$E$3:$E$10000&amp;DATA!$B$3:$B$10000,DATA!$M$3:$M$10000),"Inactivo"))</f>
        <v/>
      </c>
      <c r="G890" s="28" t="str">
        <f aca="false">IF(A890="","",IF(AND(C890&lt;&gt;"No encontrado",F890&lt;&gt;"Inactivo"),C890&amp;" → "&amp;F890,"Sin transición"))</f>
        <v/>
      </c>
      <c r="H890" s="26" t="str">
        <f aca="false">IF(A890="","",IF(D890="GCIA LINEA SERVICIO DIGITALIDAD Y VENTAS","Chats",IF(OR(D890="GERENCIA INBOUND LÍNEAS SERVICIO Y VENTA",D890="GERENCIA INBOUND LINEAS ESPECIALIZADAS"),"Llamadas","Otro")))</f>
        <v/>
      </c>
      <c r="I890" s="26" t="str">
        <f aca="false">IF(A890="","",IF(C890="No encontrado","No","Sí"))</f>
        <v/>
      </c>
      <c r="J890" s="26" t="str">
        <f aca="false">IF(A890="","",IF(F890="Inactivo","No","Sí"))</f>
        <v/>
      </c>
      <c r="K890" s="26" t="str">
        <f aca="false">IF(A890="","",IF(AND(I890="Sí",J890="Sí"),"Sí","No"))</f>
        <v/>
      </c>
    </row>
    <row r="891" customFormat="false" ht="15" hidden="false" customHeight="false" outlineLevel="0" collapsed="false">
      <c r="A891" s="22"/>
      <c r="B891" s="22"/>
      <c r="C891" s="23" t="str">
        <f aca="false">IF(A891="","",IFERROR(buscarx(A891&amp;B891,DATA!$E$3:$E$10000&amp;DATA!$B$3:$B$10000,DATA!$M$3:$M$10000),"No encontrado"))</f>
        <v/>
      </c>
      <c r="D891" s="24" t="str">
        <f aca="false">IF(A891="","",IFERROR(buscarx(A891&amp;B891,DATA!$E$3:$E$10000&amp;DATA!$B$3:$B$10000,DATA!$W$3:$W$10000),"No encontrado"))</f>
        <v/>
      </c>
      <c r="E891" s="22"/>
      <c r="F891" s="23" t="str">
        <f aca="false">IF(A891="","",IFERROR(buscarx(A891&amp;E891,DATA!$E$3:$E$10000&amp;DATA!$B$3:$B$10000,DATA!$M$3:$M$10000),"Inactivo"))</f>
        <v/>
      </c>
      <c r="G891" s="25" t="str">
        <f aca="false">IF(A891="","",IF(AND(C891&lt;&gt;"No encontrado",F891&lt;&gt;"Inactivo"),C891&amp;" → "&amp;F891,"Sin transición"))</f>
        <v/>
      </c>
      <c r="H891" s="23" t="str">
        <f aca="false">IF(A891="","",IF(D891="GCIA LINEA SERVICIO DIGITALIDAD Y VENTAS","Chats",IF(OR(D891="GERENCIA INBOUND LÍNEAS SERVICIO Y VENTA",D891="GERENCIA INBOUND LINEAS ESPECIALIZADAS"),"Llamadas","Otro")))</f>
        <v/>
      </c>
      <c r="I891" s="23" t="str">
        <f aca="false">IF(A891="","",IF(C891="No encontrado","No","Sí"))</f>
        <v/>
      </c>
      <c r="J891" s="23" t="str">
        <f aca="false">IF(A891="","",IF(F891="Inactivo","No","Sí"))</f>
        <v/>
      </c>
      <c r="K891" s="23" t="str">
        <f aca="false">IF(A891="","",IF(AND(I891="Sí",J891="Sí"),"Sí","No"))</f>
        <v/>
      </c>
    </row>
    <row r="892" customFormat="false" ht="15" hidden="false" customHeight="false" outlineLevel="0" collapsed="false">
      <c r="A892" s="22"/>
      <c r="B892" s="22"/>
      <c r="C892" s="26" t="str">
        <f aca="false">IF(A892="","",IFERROR(buscarx(A892&amp;B892,DATA!$E$3:$E$10000&amp;DATA!$B$3:$B$10000,DATA!$M$3:$M$10000),"No encontrado"))</f>
        <v/>
      </c>
      <c r="D892" s="27" t="str">
        <f aca="false">IF(A892="","",IFERROR(buscarx(A892&amp;B892,DATA!$E$3:$E$10000&amp;DATA!$B$3:$B$10000,DATA!$W$3:$W$10000),"No encontrado"))</f>
        <v/>
      </c>
      <c r="E892" s="22"/>
      <c r="F892" s="26" t="str">
        <f aca="false">IF(A892="","",IFERROR(buscarx(A892&amp;E892,DATA!$E$3:$E$10000&amp;DATA!$B$3:$B$10000,DATA!$M$3:$M$10000),"Inactivo"))</f>
        <v/>
      </c>
      <c r="G892" s="28" t="str">
        <f aca="false">IF(A892="","",IF(AND(C892&lt;&gt;"No encontrado",F892&lt;&gt;"Inactivo"),C892&amp;" → "&amp;F892,"Sin transición"))</f>
        <v/>
      </c>
      <c r="H892" s="26" t="str">
        <f aca="false">IF(A892="","",IF(D892="GCIA LINEA SERVICIO DIGITALIDAD Y VENTAS","Chats",IF(OR(D892="GERENCIA INBOUND LÍNEAS SERVICIO Y VENTA",D892="GERENCIA INBOUND LINEAS ESPECIALIZADAS"),"Llamadas","Otro")))</f>
        <v/>
      </c>
      <c r="I892" s="26" t="str">
        <f aca="false">IF(A892="","",IF(C892="No encontrado","No","Sí"))</f>
        <v/>
      </c>
      <c r="J892" s="26" t="str">
        <f aca="false">IF(A892="","",IF(F892="Inactivo","No","Sí"))</f>
        <v/>
      </c>
      <c r="K892" s="26" t="str">
        <f aca="false">IF(A892="","",IF(AND(I892="Sí",J892="Sí"),"Sí","No"))</f>
        <v/>
      </c>
    </row>
    <row r="893" customFormat="false" ht="15" hidden="false" customHeight="false" outlineLevel="0" collapsed="false">
      <c r="A893" s="22"/>
      <c r="B893" s="22"/>
      <c r="C893" s="23" t="str">
        <f aca="false">IF(A893="","",IFERROR(buscarx(A893&amp;B893,DATA!$E$3:$E$10000&amp;DATA!$B$3:$B$10000,DATA!$M$3:$M$10000),"No encontrado"))</f>
        <v/>
      </c>
      <c r="D893" s="24" t="str">
        <f aca="false">IF(A893="","",IFERROR(buscarx(A893&amp;B893,DATA!$E$3:$E$10000&amp;DATA!$B$3:$B$10000,DATA!$W$3:$W$10000),"No encontrado"))</f>
        <v/>
      </c>
      <c r="E893" s="22"/>
      <c r="F893" s="23" t="str">
        <f aca="false">IF(A893="","",IFERROR(buscarx(A893&amp;E893,DATA!$E$3:$E$10000&amp;DATA!$B$3:$B$10000,DATA!$M$3:$M$10000),"Inactivo"))</f>
        <v/>
      </c>
      <c r="G893" s="25" t="str">
        <f aca="false">IF(A893="","",IF(AND(C893&lt;&gt;"No encontrado",F893&lt;&gt;"Inactivo"),C893&amp;" → "&amp;F893,"Sin transición"))</f>
        <v/>
      </c>
      <c r="H893" s="23" t="str">
        <f aca="false">IF(A893="","",IF(D893="GCIA LINEA SERVICIO DIGITALIDAD Y VENTAS","Chats",IF(OR(D893="GERENCIA INBOUND LÍNEAS SERVICIO Y VENTA",D893="GERENCIA INBOUND LINEAS ESPECIALIZADAS"),"Llamadas","Otro")))</f>
        <v/>
      </c>
      <c r="I893" s="23" t="str">
        <f aca="false">IF(A893="","",IF(C893="No encontrado","No","Sí"))</f>
        <v/>
      </c>
      <c r="J893" s="23" t="str">
        <f aca="false">IF(A893="","",IF(F893="Inactivo","No","Sí"))</f>
        <v/>
      </c>
      <c r="K893" s="23" t="str">
        <f aca="false">IF(A893="","",IF(AND(I893="Sí",J893="Sí"),"Sí","No"))</f>
        <v/>
      </c>
    </row>
    <row r="894" customFormat="false" ht="15" hidden="false" customHeight="false" outlineLevel="0" collapsed="false">
      <c r="A894" s="22"/>
      <c r="B894" s="22"/>
      <c r="C894" s="26" t="str">
        <f aca="false">IF(A894="","",IFERROR(buscarx(A894&amp;B894,DATA!$E$3:$E$10000&amp;DATA!$B$3:$B$10000,DATA!$M$3:$M$10000),"No encontrado"))</f>
        <v/>
      </c>
      <c r="D894" s="27" t="str">
        <f aca="false">IF(A894="","",IFERROR(buscarx(A894&amp;B894,DATA!$E$3:$E$10000&amp;DATA!$B$3:$B$10000,DATA!$W$3:$W$10000),"No encontrado"))</f>
        <v/>
      </c>
      <c r="E894" s="22"/>
      <c r="F894" s="26" t="str">
        <f aca="false">IF(A894="","",IFERROR(buscarx(A894&amp;E894,DATA!$E$3:$E$10000&amp;DATA!$B$3:$B$10000,DATA!$M$3:$M$10000),"Inactivo"))</f>
        <v/>
      </c>
      <c r="G894" s="28" t="str">
        <f aca="false">IF(A894="","",IF(AND(C894&lt;&gt;"No encontrado",F894&lt;&gt;"Inactivo"),C894&amp;" → "&amp;F894,"Sin transición"))</f>
        <v/>
      </c>
      <c r="H894" s="26" t="str">
        <f aca="false">IF(A894="","",IF(D894="GCIA LINEA SERVICIO DIGITALIDAD Y VENTAS","Chats",IF(OR(D894="GERENCIA INBOUND LÍNEAS SERVICIO Y VENTA",D894="GERENCIA INBOUND LINEAS ESPECIALIZADAS"),"Llamadas","Otro")))</f>
        <v/>
      </c>
      <c r="I894" s="26" t="str">
        <f aca="false">IF(A894="","",IF(C894="No encontrado","No","Sí"))</f>
        <v/>
      </c>
      <c r="J894" s="26" t="str">
        <f aca="false">IF(A894="","",IF(F894="Inactivo","No","Sí"))</f>
        <v/>
      </c>
      <c r="K894" s="26" t="str">
        <f aca="false">IF(A894="","",IF(AND(I894="Sí",J894="Sí"),"Sí","No"))</f>
        <v/>
      </c>
    </row>
    <row r="895" customFormat="false" ht="15" hidden="false" customHeight="false" outlineLevel="0" collapsed="false">
      <c r="A895" s="22"/>
      <c r="B895" s="22"/>
      <c r="C895" s="23" t="str">
        <f aca="false">IF(A895="","",IFERROR(buscarx(A895&amp;B895,DATA!$E$3:$E$10000&amp;DATA!$B$3:$B$10000,DATA!$M$3:$M$10000),"No encontrado"))</f>
        <v/>
      </c>
      <c r="D895" s="24" t="str">
        <f aca="false">IF(A895="","",IFERROR(buscarx(A895&amp;B895,DATA!$E$3:$E$10000&amp;DATA!$B$3:$B$10000,DATA!$W$3:$W$10000),"No encontrado"))</f>
        <v/>
      </c>
      <c r="E895" s="22"/>
      <c r="F895" s="23" t="str">
        <f aca="false">IF(A895="","",IFERROR(buscarx(A895&amp;E895,DATA!$E$3:$E$10000&amp;DATA!$B$3:$B$10000,DATA!$M$3:$M$10000),"Inactivo"))</f>
        <v/>
      </c>
      <c r="G895" s="25" t="str">
        <f aca="false">IF(A895="","",IF(AND(C895&lt;&gt;"No encontrado",F895&lt;&gt;"Inactivo"),C895&amp;" → "&amp;F895,"Sin transición"))</f>
        <v/>
      </c>
      <c r="H895" s="23" t="str">
        <f aca="false">IF(A895="","",IF(D895="GCIA LINEA SERVICIO DIGITALIDAD Y VENTAS","Chats",IF(OR(D895="GERENCIA INBOUND LÍNEAS SERVICIO Y VENTA",D895="GERENCIA INBOUND LINEAS ESPECIALIZADAS"),"Llamadas","Otro")))</f>
        <v/>
      </c>
      <c r="I895" s="23" t="str">
        <f aca="false">IF(A895="","",IF(C895="No encontrado","No","Sí"))</f>
        <v/>
      </c>
      <c r="J895" s="23" t="str">
        <f aca="false">IF(A895="","",IF(F895="Inactivo","No","Sí"))</f>
        <v/>
      </c>
      <c r="K895" s="23" t="str">
        <f aca="false">IF(A895="","",IF(AND(I895="Sí",J895="Sí"),"Sí","No"))</f>
        <v/>
      </c>
    </row>
    <row r="896" customFormat="false" ht="15" hidden="false" customHeight="false" outlineLevel="0" collapsed="false">
      <c r="A896" s="22"/>
      <c r="B896" s="22"/>
      <c r="C896" s="26" t="str">
        <f aca="false">IF(A896="","",IFERROR(buscarx(A896&amp;B896,DATA!$E$3:$E$10000&amp;DATA!$B$3:$B$10000,DATA!$M$3:$M$10000),"No encontrado"))</f>
        <v/>
      </c>
      <c r="D896" s="27" t="str">
        <f aca="false">IF(A896="","",IFERROR(buscarx(A896&amp;B896,DATA!$E$3:$E$10000&amp;DATA!$B$3:$B$10000,DATA!$W$3:$W$10000),"No encontrado"))</f>
        <v/>
      </c>
      <c r="E896" s="22"/>
      <c r="F896" s="26" t="str">
        <f aca="false">IF(A896="","",IFERROR(buscarx(A896&amp;E896,DATA!$E$3:$E$10000&amp;DATA!$B$3:$B$10000,DATA!$M$3:$M$10000),"Inactivo"))</f>
        <v/>
      </c>
      <c r="G896" s="28" t="str">
        <f aca="false">IF(A896="","",IF(AND(C896&lt;&gt;"No encontrado",F896&lt;&gt;"Inactivo"),C896&amp;" → "&amp;F896,"Sin transición"))</f>
        <v/>
      </c>
      <c r="H896" s="26" t="str">
        <f aca="false">IF(A896="","",IF(D896="GCIA LINEA SERVICIO DIGITALIDAD Y VENTAS","Chats",IF(OR(D896="GERENCIA INBOUND LÍNEAS SERVICIO Y VENTA",D896="GERENCIA INBOUND LINEAS ESPECIALIZADAS"),"Llamadas","Otro")))</f>
        <v/>
      </c>
      <c r="I896" s="26" t="str">
        <f aca="false">IF(A896="","",IF(C896="No encontrado","No","Sí"))</f>
        <v/>
      </c>
      <c r="J896" s="26" t="str">
        <f aca="false">IF(A896="","",IF(F896="Inactivo","No","Sí"))</f>
        <v/>
      </c>
      <c r="K896" s="26" t="str">
        <f aca="false">IF(A896="","",IF(AND(I896="Sí",J896="Sí"),"Sí","No"))</f>
        <v/>
      </c>
    </row>
    <row r="897" customFormat="false" ht="15" hidden="false" customHeight="false" outlineLevel="0" collapsed="false">
      <c r="A897" s="22"/>
      <c r="B897" s="22"/>
      <c r="C897" s="23" t="str">
        <f aca="false">IF(A897="","",IFERROR(buscarx(A897&amp;B897,DATA!$E$3:$E$10000&amp;DATA!$B$3:$B$10000,DATA!$M$3:$M$10000),"No encontrado"))</f>
        <v/>
      </c>
      <c r="D897" s="24" t="str">
        <f aca="false">IF(A897="","",IFERROR(buscarx(A897&amp;B897,DATA!$E$3:$E$10000&amp;DATA!$B$3:$B$10000,DATA!$W$3:$W$10000),"No encontrado"))</f>
        <v/>
      </c>
      <c r="E897" s="22"/>
      <c r="F897" s="23" t="str">
        <f aca="false">IF(A897="","",IFERROR(buscarx(A897&amp;E897,DATA!$E$3:$E$10000&amp;DATA!$B$3:$B$10000,DATA!$M$3:$M$10000),"Inactivo"))</f>
        <v/>
      </c>
      <c r="G897" s="25" t="str">
        <f aca="false">IF(A897="","",IF(AND(C897&lt;&gt;"No encontrado",F897&lt;&gt;"Inactivo"),C897&amp;" → "&amp;F897,"Sin transición"))</f>
        <v/>
      </c>
      <c r="H897" s="23" t="str">
        <f aca="false">IF(A897="","",IF(D897="GCIA LINEA SERVICIO DIGITALIDAD Y VENTAS","Chats",IF(OR(D897="GERENCIA INBOUND LÍNEAS SERVICIO Y VENTA",D897="GERENCIA INBOUND LINEAS ESPECIALIZADAS"),"Llamadas","Otro")))</f>
        <v/>
      </c>
      <c r="I897" s="23" t="str">
        <f aca="false">IF(A897="","",IF(C897="No encontrado","No","Sí"))</f>
        <v/>
      </c>
      <c r="J897" s="23" t="str">
        <f aca="false">IF(A897="","",IF(F897="Inactivo","No","Sí"))</f>
        <v/>
      </c>
      <c r="K897" s="23" t="str">
        <f aca="false">IF(A897="","",IF(AND(I897="Sí",J897="Sí"),"Sí","No"))</f>
        <v/>
      </c>
    </row>
    <row r="898" customFormat="false" ht="15" hidden="false" customHeight="false" outlineLevel="0" collapsed="false">
      <c r="A898" s="22"/>
      <c r="B898" s="22"/>
      <c r="C898" s="26" t="str">
        <f aca="false">IF(A898="","",IFERROR(buscarx(A898&amp;B898,DATA!$E$3:$E$10000&amp;DATA!$B$3:$B$10000,DATA!$M$3:$M$10000),"No encontrado"))</f>
        <v/>
      </c>
      <c r="D898" s="27" t="str">
        <f aca="false">IF(A898="","",IFERROR(buscarx(A898&amp;B898,DATA!$E$3:$E$10000&amp;DATA!$B$3:$B$10000,DATA!$W$3:$W$10000),"No encontrado"))</f>
        <v/>
      </c>
      <c r="E898" s="22"/>
      <c r="F898" s="26" t="str">
        <f aca="false">IF(A898="","",IFERROR(buscarx(A898&amp;E898,DATA!$E$3:$E$10000&amp;DATA!$B$3:$B$10000,DATA!$M$3:$M$10000),"Inactivo"))</f>
        <v/>
      </c>
      <c r="G898" s="28" t="str">
        <f aca="false">IF(A898="","",IF(AND(C898&lt;&gt;"No encontrado",F898&lt;&gt;"Inactivo"),C898&amp;" → "&amp;F898,"Sin transición"))</f>
        <v/>
      </c>
      <c r="H898" s="26" t="str">
        <f aca="false">IF(A898="","",IF(D898="GCIA LINEA SERVICIO DIGITALIDAD Y VENTAS","Chats",IF(OR(D898="GERENCIA INBOUND LÍNEAS SERVICIO Y VENTA",D898="GERENCIA INBOUND LINEAS ESPECIALIZADAS"),"Llamadas","Otro")))</f>
        <v/>
      </c>
      <c r="I898" s="26" t="str">
        <f aca="false">IF(A898="","",IF(C898="No encontrado","No","Sí"))</f>
        <v/>
      </c>
      <c r="J898" s="26" t="str">
        <f aca="false">IF(A898="","",IF(F898="Inactivo","No","Sí"))</f>
        <v/>
      </c>
      <c r="K898" s="26" t="str">
        <f aca="false">IF(A898="","",IF(AND(I898="Sí",J898="Sí"),"Sí","No"))</f>
        <v/>
      </c>
    </row>
    <row r="899" customFormat="false" ht="15" hidden="false" customHeight="false" outlineLevel="0" collapsed="false">
      <c r="A899" s="22"/>
      <c r="B899" s="22"/>
      <c r="C899" s="23" t="str">
        <f aca="false">IF(A899="","",IFERROR(buscarx(A899&amp;B899,DATA!$E$3:$E$10000&amp;DATA!$B$3:$B$10000,DATA!$M$3:$M$10000),"No encontrado"))</f>
        <v/>
      </c>
      <c r="D899" s="24" t="str">
        <f aca="false">IF(A899="","",IFERROR(buscarx(A899&amp;B899,DATA!$E$3:$E$10000&amp;DATA!$B$3:$B$10000,DATA!$W$3:$W$10000),"No encontrado"))</f>
        <v/>
      </c>
      <c r="E899" s="22"/>
      <c r="F899" s="23" t="str">
        <f aca="false">IF(A899="","",IFERROR(buscarx(A899&amp;E899,DATA!$E$3:$E$10000&amp;DATA!$B$3:$B$10000,DATA!$M$3:$M$10000),"Inactivo"))</f>
        <v/>
      </c>
      <c r="G899" s="25" t="str">
        <f aca="false">IF(A899="","",IF(AND(C899&lt;&gt;"No encontrado",F899&lt;&gt;"Inactivo"),C899&amp;" → "&amp;F899,"Sin transición"))</f>
        <v/>
      </c>
      <c r="H899" s="23" t="str">
        <f aca="false">IF(A899="","",IF(D899="GCIA LINEA SERVICIO DIGITALIDAD Y VENTAS","Chats",IF(OR(D899="GERENCIA INBOUND LÍNEAS SERVICIO Y VENTA",D899="GERENCIA INBOUND LINEAS ESPECIALIZADAS"),"Llamadas","Otro")))</f>
        <v/>
      </c>
      <c r="I899" s="23" t="str">
        <f aca="false">IF(A899="","",IF(C899="No encontrado","No","Sí"))</f>
        <v/>
      </c>
      <c r="J899" s="23" t="str">
        <f aca="false">IF(A899="","",IF(F899="Inactivo","No","Sí"))</f>
        <v/>
      </c>
      <c r="K899" s="23" t="str">
        <f aca="false">IF(A899="","",IF(AND(I899="Sí",J899="Sí"),"Sí","No"))</f>
        <v/>
      </c>
    </row>
    <row r="900" customFormat="false" ht="15" hidden="false" customHeight="false" outlineLevel="0" collapsed="false">
      <c r="A900" s="22"/>
      <c r="B900" s="22"/>
      <c r="C900" s="26" t="str">
        <f aca="false">IF(A900="","",IFERROR(buscarx(A900&amp;B900,DATA!$E$3:$E$10000&amp;DATA!$B$3:$B$10000,DATA!$M$3:$M$10000),"No encontrado"))</f>
        <v/>
      </c>
      <c r="D900" s="27" t="str">
        <f aca="false">IF(A900="","",IFERROR(buscarx(A900&amp;B900,DATA!$E$3:$E$10000&amp;DATA!$B$3:$B$10000,DATA!$W$3:$W$10000),"No encontrado"))</f>
        <v/>
      </c>
      <c r="E900" s="22"/>
      <c r="F900" s="26" t="str">
        <f aca="false">IF(A900="","",IFERROR(buscarx(A900&amp;E900,DATA!$E$3:$E$10000&amp;DATA!$B$3:$B$10000,DATA!$M$3:$M$10000),"Inactivo"))</f>
        <v/>
      </c>
      <c r="G900" s="28" t="str">
        <f aca="false">IF(A900="","",IF(AND(C900&lt;&gt;"No encontrado",F900&lt;&gt;"Inactivo"),C900&amp;" → "&amp;F900,"Sin transición"))</f>
        <v/>
      </c>
      <c r="H900" s="26" t="str">
        <f aca="false">IF(A900="","",IF(D900="GCIA LINEA SERVICIO DIGITALIDAD Y VENTAS","Chats",IF(OR(D900="GERENCIA INBOUND LÍNEAS SERVICIO Y VENTA",D900="GERENCIA INBOUND LINEAS ESPECIALIZADAS"),"Llamadas","Otro")))</f>
        <v/>
      </c>
      <c r="I900" s="26" t="str">
        <f aca="false">IF(A900="","",IF(C900="No encontrado","No","Sí"))</f>
        <v/>
      </c>
      <c r="J900" s="26" t="str">
        <f aca="false">IF(A900="","",IF(F900="Inactivo","No","Sí"))</f>
        <v/>
      </c>
      <c r="K900" s="26" t="str">
        <f aca="false">IF(A900="","",IF(AND(I900="Sí",J900="Sí"),"Sí","No"))</f>
        <v/>
      </c>
    </row>
    <row r="901" customFormat="false" ht="15" hidden="false" customHeight="false" outlineLevel="0" collapsed="false">
      <c r="A901" s="22"/>
      <c r="B901" s="22"/>
      <c r="C901" s="23" t="str">
        <f aca="false">IF(A901="","",IFERROR(buscarx(A901&amp;B901,DATA!$E$3:$E$10000&amp;DATA!$B$3:$B$10000,DATA!$M$3:$M$10000),"No encontrado"))</f>
        <v/>
      </c>
      <c r="D901" s="24" t="str">
        <f aca="false">IF(A901="","",IFERROR(buscarx(A901&amp;B901,DATA!$E$3:$E$10000&amp;DATA!$B$3:$B$10000,DATA!$W$3:$W$10000),"No encontrado"))</f>
        <v/>
      </c>
      <c r="E901" s="22"/>
      <c r="F901" s="23" t="str">
        <f aca="false">IF(A901="","",IFERROR(buscarx(A901&amp;E901,DATA!$E$3:$E$10000&amp;DATA!$B$3:$B$10000,DATA!$M$3:$M$10000),"Inactivo"))</f>
        <v/>
      </c>
      <c r="G901" s="25" t="str">
        <f aca="false">IF(A901="","",IF(AND(C901&lt;&gt;"No encontrado",F901&lt;&gt;"Inactivo"),C901&amp;" → "&amp;F901,"Sin transición"))</f>
        <v/>
      </c>
      <c r="H901" s="23" t="str">
        <f aca="false">IF(A901="","",IF(D901="GCIA LINEA SERVICIO DIGITALIDAD Y VENTAS","Chats",IF(OR(D901="GERENCIA INBOUND LÍNEAS SERVICIO Y VENTA",D901="GERENCIA INBOUND LINEAS ESPECIALIZADAS"),"Llamadas","Otro")))</f>
        <v/>
      </c>
      <c r="I901" s="23" t="str">
        <f aca="false">IF(A901="","",IF(C901="No encontrado","No","Sí"))</f>
        <v/>
      </c>
      <c r="J901" s="23" t="str">
        <f aca="false">IF(A901="","",IF(F901="Inactivo","No","Sí"))</f>
        <v/>
      </c>
      <c r="K901" s="23" t="str">
        <f aca="false">IF(A901="","",IF(AND(I901="Sí",J901="Sí"),"Sí","No"))</f>
        <v/>
      </c>
    </row>
    <row r="902" customFormat="false" ht="15" hidden="false" customHeight="false" outlineLevel="0" collapsed="false">
      <c r="A902" s="22"/>
      <c r="B902" s="22"/>
      <c r="C902" s="26" t="str">
        <f aca="false">IF(A902="","",IFERROR(buscarx(A902&amp;B902,DATA!$E$3:$E$10000&amp;DATA!$B$3:$B$10000,DATA!$M$3:$M$10000),"No encontrado"))</f>
        <v/>
      </c>
      <c r="D902" s="27" t="str">
        <f aca="false">IF(A902="","",IFERROR(buscarx(A902&amp;B902,DATA!$E$3:$E$10000&amp;DATA!$B$3:$B$10000,DATA!$W$3:$W$10000),"No encontrado"))</f>
        <v/>
      </c>
      <c r="E902" s="22"/>
      <c r="F902" s="26" t="str">
        <f aca="false">IF(A902="","",IFERROR(buscarx(A902&amp;E902,DATA!$E$3:$E$10000&amp;DATA!$B$3:$B$10000,DATA!$M$3:$M$10000),"Inactivo"))</f>
        <v/>
      </c>
      <c r="G902" s="28" t="str">
        <f aca="false">IF(A902="","",IF(AND(C902&lt;&gt;"No encontrado",F902&lt;&gt;"Inactivo"),C902&amp;" → "&amp;F902,"Sin transición"))</f>
        <v/>
      </c>
      <c r="H902" s="26" t="str">
        <f aca="false">IF(A902="","",IF(D902="GCIA LINEA SERVICIO DIGITALIDAD Y VENTAS","Chats",IF(OR(D902="GERENCIA INBOUND LÍNEAS SERVICIO Y VENTA",D902="GERENCIA INBOUND LINEAS ESPECIALIZADAS"),"Llamadas","Otro")))</f>
        <v/>
      </c>
      <c r="I902" s="26" t="str">
        <f aca="false">IF(A902="","",IF(C902="No encontrado","No","Sí"))</f>
        <v/>
      </c>
      <c r="J902" s="26" t="str">
        <f aca="false">IF(A902="","",IF(F902="Inactivo","No","Sí"))</f>
        <v/>
      </c>
      <c r="K902" s="26" t="str">
        <f aca="false">IF(A902="","",IF(AND(I902="Sí",J902="Sí"),"Sí","No"))</f>
        <v/>
      </c>
    </row>
    <row r="903" customFormat="false" ht="15" hidden="false" customHeight="false" outlineLevel="0" collapsed="false">
      <c r="A903" s="22"/>
      <c r="B903" s="22"/>
      <c r="C903" s="23" t="str">
        <f aca="false">IF(A903="","",IFERROR(buscarx(A903&amp;B903,DATA!$E$3:$E$10000&amp;DATA!$B$3:$B$10000,DATA!$M$3:$M$10000),"No encontrado"))</f>
        <v/>
      </c>
      <c r="D903" s="24" t="str">
        <f aca="false">IF(A903="","",IFERROR(buscarx(A903&amp;B903,DATA!$E$3:$E$10000&amp;DATA!$B$3:$B$10000,DATA!$W$3:$W$10000),"No encontrado"))</f>
        <v/>
      </c>
      <c r="E903" s="22"/>
      <c r="F903" s="23" t="str">
        <f aca="false">IF(A903="","",IFERROR(buscarx(A903&amp;E903,DATA!$E$3:$E$10000&amp;DATA!$B$3:$B$10000,DATA!$M$3:$M$10000),"Inactivo"))</f>
        <v/>
      </c>
      <c r="G903" s="25" t="str">
        <f aca="false">IF(A903="","",IF(AND(C903&lt;&gt;"No encontrado",F903&lt;&gt;"Inactivo"),C903&amp;" → "&amp;F903,"Sin transición"))</f>
        <v/>
      </c>
      <c r="H903" s="23" t="str">
        <f aca="false">IF(A903="","",IF(D903="GCIA LINEA SERVICIO DIGITALIDAD Y VENTAS","Chats",IF(OR(D903="GERENCIA INBOUND LÍNEAS SERVICIO Y VENTA",D903="GERENCIA INBOUND LINEAS ESPECIALIZADAS"),"Llamadas","Otro")))</f>
        <v/>
      </c>
      <c r="I903" s="23" t="str">
        <f aca="false">IF(A903="","",IF(C903="No encontrado","No","Sí"))</f>
        <v/>
      </c>
      <c r="J903" s="23" t="str">
        <f aca="false">IF(A903="","",IF(F903="Inactivo","No","Sí"))</f>
        <v/>
      </c>
      <c r="K903" s="23" t="str">
        <f aca="false">IF(A903="","",IF(AND(I903="Sí",J903="Sí"),"Sí","No"))</f>
        <v/>
      </c>
    </row>
    <row r="904" customFormat="false" ht="15" hidden="false" customHeight="false" outlineLevel="0" collapsed="false">
      <c r="A904" s="22"/>
      <c r="B904" s="22"/>
      <c r="C904" s="26" t="str">
        <f aca="false">IF(A904="","",IFERROR(buscarx(A904&amp;B904,DATA!$E$3:$E$10000&amp;DATA!$B$3:$B$10000,DATA!$M$3:$M$10000),"No encontrado"))</f>
        <v/>
      </c>
      <c r="D904" s="27" t="str">
        <f aca="false">IF(A904="","",IFERROR(buscarx(A904&amp;B904,DATA!$E$3:$E$10000&amp;DATA!$B$3:$B$10000,DATA!$W$3:$W$10000),"No encontrado"))</f>
        <v/>
      </c>
      <c r="E904" s="22"/>
      <c r="F904" s="26" t="str">
        <f aca="false">IF(A904="","",IFERROR(buscarx(A904&amp;E904,DATA!$E$3:$E$10000&amp;DATA!$B$3:$B$10000,DATA!$M$3:$M$10000),"Inactivo"))</f>
        <v/>
      </c>
      <c r="G904" s="28" t="str">
        <f aca="false">IF(A904="","",IF(AND(C904&lt;&gt;"No encontrado",F904&lt;&gt;"Inactivo"),C904&amp;" → "&amp;F904,"Sin transición"))</f>
        <v/>
      </c>
      <c r="H904" s="26" t="str">
        <f aca="false">IF(A904="","",IF(D904="GCIA LINEA SERVICIO DIGITALIDAD Y VENTAS","Chats",IF(OR(D904="GERENCIA INBOUND LÍNEAS SERVICIO Y VENTA",D904="GERENCIA INBOUND LINEAS ESPECIALIZADAS"),"Llamadas","Otro")))</f>
        <v/>
      </c>
      <c r="I904" s="26" t="str">
        <f aca="false">IF(A904="","",IF(C904="No encontrado","No","Sí"))</f>
        <v/>
      </c>
      <c r="J904" s="26" t="str">
        <f aca="false">IF(A904="","",IF(F904="Inactivo","No","Sí"))</f>
        <v/>
      </c>
      <c r="K904" s="26" t="str">
        <f aca="false">IF(A904="","",IF(AND(I904="Sí",J904="Sí"),"Sí","No"))</f>
        <v/>
      </c>
    </row>
    <row r="905" customFormat="false" ht="15" hidden="false" customHeight="false" outlineLevel="0" collapsed="false">
      <c r="A905" s="22"/>
      <c r="B905" s="22"/>
      <c r="C905" s="23" t="str">
        <f aca="false">IF(A905="","",IFERROR(buscarx(A905&amp;B905,DATA!$E$3:$E$10000&amp;DATA!$B$3:$B$10000,DATA!$M$3:$M$10000),"No encontrado"))</f>
        <v/>
      </c>
      <c r="D905" s="24" t="str">
        <f aca="false">IF(A905="","",IFERROR(buscarx(A905&amp;B905,DATA!$E$3:$E$10000&amp;DATA!$B$3:$B$10000,DATA!$W$3:$W$10000),"No encontrado"))</f>
        <v/>
      </c>
      <c r="E905" s="22"/>
      <c r="F905" s="23" t="str">
        <f aca="false">IF(A905="","",IFERROR(buscarx(A905&amp;E905,DATA!$E$3:$E$10000&amp;DATA!$B$3:$B$10000,DATA!$M$3:$M$10000),"Inactivo"))</f>
        <v/>
      </c>
      <c r="G905" s="25" t="str">
        <f aca="false">IF(A905="","",IF(AND(C905&lt;&gt;"No encontrado",F905&lt;&gt;"Inactivo"),C905&amp;" → "&amp;F905,"Sin transición"))</f>
        <v/>
      </c>
      <c r="H905" s="23" t="str">
        <f aca="false">IF(A905="","",IF(D905="GCIA LINEA SERVICIO DIGITALIDAD Y VENTAS","Chats",IF(OR(D905="GERENCIA INBOUND LÍNEAS SERVICIO Y VENTA",D905="GERENCIA INBOUND LINEAS ESPECIALIZADAS"),"Llamadas","Otro")))</f>
        <v/>
      </c>
      <c r="I905" s="23" t="str">
        <f aca="false">IF(A905="","",IF(C905="No encontrado","No","Sí"))</f>
        <v/>
      </c>
      <c r="J905" s="23" t="str">
        <f aca="false">IF(A905="","",IF(F905="Inactivo","No","Sí"))</f>
        <v/>
      </c>
      <c r="K905" s="23" t="str">
        <f aca="false">IF(A905="","",IF(AND(I905="Sí",J905="Sí"),"Sí","No"))</f>
        <v/>
      </c>
    </row>
    <row r="906" customFormat="false" ht="15" hidden="false" customHeight="false" outlineLevel="0" collapsed="false">
      <c r="A906" s="22"/>
      <c r="B906" s="22"/>
      <c r="C906" s="26" t="str">
        <f aca="false">IF(A906="","",IFERROR(buscarx(A906&amp;B906,DATA!$E$3:$E$10000&amp;DATA!$B$3:$B$10000,DATA!$M$3:$M$10000),"No encontrado"))</f>
        <v/>
      </c>
      <c r="D906" s="27" t="str">
        <f aca="false">IF(A906="","",IFERROR(buscarx(A906&amp;B906,DATA!$E$3:$E$10000&amp;DATA!$B$3:$B$10000,DATA!$W$3:$W$10000),"No encontrado"))</f>
        <v/>
      </c>
      <c r="E906" s="22"/>
      <c r="F906" s="26" t="str">
        <f aca="false">IF(A906="","",IFERROR(buscarx(A906&amp;E906,DATA!$E$3:$E$10000&amp;DATA!$B$3:$B$10000,DATA!$M$3:$M$10000),"Inactivo"))</f>
        <v/>
      </c>
      <c r="G906" s="28" t="str">
        <f aca="false">IF(A906="","",IF(AND(C906&lt;&gt;"No encontrado",F906&lt;&gt;"Inactivo"),C906&amp;" → "&amp;F906,"Sin transición"))</f>
        <v/>
      </c>
      <c r="H906" s="26" t="str">
        <f aca="false">IF(A906="","",IF(D906="GCIA LINEA SERVICIO DIGITALIDAD Y VENTAS","Chats",IF(OR(D906="GERENCIA INBOUND LÍNEAS SERVICIO Y VENTA",D906="GERENCIA INBOUND LINEAS ESPECIALIZADAS"),"Llamadas","Otro")))</f>
        <v/>
      </c>
      <c r="I906" s="26" t="str">
        <f aca="false">IF(A906="","",IF(C906="No encontrado","No","Sí"))</f>
        <v/>
      </c>
      <c r="J906" s="26" t="str">
        <f aca="false">IF(A906="","",IF(F906="Inactivo","No","Sí"))</f>
        <v/>
      </c>
      <c r="K906" s="26" t="str">
        <f aca="false">IF(A906="","",IF(AND(I906="Sí",J906="Sí"),"Sí","No"))</f>
        <v/>
      </c>
    </row>
    <row r="907" customFormat="false" ht="15" hidden="false" customHeight="false" outlineLevel="0" collapsed="false">
      <c r="A907" s="22"/>
      <c r="B907" s="22"/>
      <c r="C907" s="23" t="str">
        <f aca="false">IF(A907="","",IFERROR(buscarx(A907&amp;B907,DATA!$E$3:$E$10000&amp;DATA!$B$3:$B$10000,DATA!$M$3:$M$10000),"No encontrado"))</f>
        <v/>
      </c>
      <c r="D907" s="24" t="str">
        <f aca="false">IF(A907="","",IFERROR(buscarx(A907&amp;B907,DATA!$E$3:$E$10000&amp;DATA!$B$3:$B$10000,DATA!$W$3:$W$10000),"No encontrado"))</f>
        <v/>
      </c>
      <c r="E907" s="22"/>
      <c r="F907" s="23" t="str">
        <f aca="false">IF(A907="","",IFERROR(buscarx(A907&amp;E907,DATA!$E$3:$E$10000&amp;DATA!$B$3:$B$10000,DATA!$M$3:$M$10000),"Inactivo"))</f>
        <v/>
      </c>
      <c r="G907" s="25" t="str">
        <f aca="false">IF(A907="","",IF(AND(C907&lt;&gt;"No encontrado",F907&lt;&gt;"Inactivo"),C907&amp;" → "&amp;F907,"Sin transición"))</f>
        <v/>
      </c>
      <c r="H907" s="23" t="str">
        <f aca="false">IF(A907="","",IF(D907="GCIA LINEA SERVICIO DIGITALIDAD Y VENTAS","Chats",IF(OR(D907="GERENCIA INBOUND LÍNEAS SERVICIO Y VENTA",D907="GERENCIA INBOUND LINEAS ESPECIALIZADAS"),"Llamadas","Otro")))</f>
        <v/>
      </c>
      <c r="I907" s="23" t="str">
        <f aca="false">IF(A907="","",IF(C907="No encontrado","No","Sí"))</f>
        <v/>
      </c>
      <c r="J907" s="23" t="str">
        <f aca="false">IF(A907="","",IF(F907="Inactivo","No","Sí"))</f>
        <v/>
      </c>
      <c r="K907" s="23" t="str">
        <f aca="false">IF(A907="","",IF(AND(I907="Sí",J907="Sí"),"Sí","No"))</f>
        <v/>
      </c>
    </row>
    <row r="908" customFormat="false" ht="15" hidden="false" customHeight="false" outlineLevel="0" collapsed="false">
      <c r="A908" s="22"/>
      <c r="B908" s="22"/>
      <c r="C908" s="26" t="str">
        <f aca="false">IF(A908="","",IFERROR(buscarx(A908&amp;B908,DATA!$E$3:$E$10000&amp;DATA!$B$3:$B$10000,DATA!$M$3:$M$10000),"No encontrado"))</f>
        <v/>
      </c>
      <c r="D908" s="27" t="str">
        <f aca="false">IF(A908="","",IFERROR(buscarx(A908&amp;B908,DATA!$E$3:$E$10000&amp;DATA!$B$3:$B$10000,DATA!$W$3:$W$10000),"No encontrado"))</f>
        <v/>
      </c>
      <c r="E908" s="22"/>
      <c r="F908" s="26" t="str">
        <f aca="false">IF(A908="","",IFERROR(buscarx(A908&amp;E908,DATA!$E$3:$E$10000&amp;DATA!$B$3:$B$10000,DATA!$M$3:$M$10000),"Inactivo"))</f>
        <v/>
      </c>
      <c r="G908" s="28" t="str">
        <f aca="false">IF(A908="","",IF(AND(C908&lt;&gt;"No encontrado",F908&lt;&gt;"Inactivo"),C908&amp;" → "&amp;F908,"Sin transición"))</f>
        <v/>
      </c>
      <c r="H908" s="26" t="str">
        <f aca="false">IF(A908="","",IF(D908="GCIA LINEA SERVICIO DIGITALIDAD Y VENTAS","Chats",IF(OR(D908="GERENCIA INBOUND LÍNEAS SERVICIO Y VENTA",D908="GERENCIA INBOUND LINEAS ESPECIALIZADAS"),"Llamadas","Otro")))</f>
        <v/>
      </c>
      <c r="I908" s="26" t="str">
        <f aca="false">IF(A908="","",IF(C908="No encontrado","No","Sí"))</f>
        <v/>
      </c>
      <c r="J908" s="26" t="str">
        <f aca="false">IF(A908="","",IF(F908="Inactivo","No","Sí"))</f>
        <v/>
      </c>
      <c r="K908" s="26" t="str">
        <f aca="false">IF(A908="","",IF(AND(I908="Sí",J908="Sí"),"Sí","No"))</f>
        <v/>
      </c>
    </row>
    <row r="909" customFormat="false" ht="15" hidden="false" customHeight="false" outlineLevel="0" collapsed="false">
      <c r="A909" s="22"/>
      <c r="B909" s="22"/>
      <c r="C909" s="23" t="str">
        <f aca="false">IF(A909="","",IFERROR(buscarx(A909&amp;B909,DATA!$E$3:$E$10000&amp;DATA!$B$3:$B$10000,DATA!$M$3:$M$10000),"No encontrado"))</f>
        <v/>
      </c>
      <c r="D909" s="24" t="str">
        <f aca="false">IF(A909="","",IFERROR(buscarx(A909&amp;B909,DATA!$E$3:$E$10000&amp;DATA!$B$3:$B$10000,DATA!$W$3:$W$10000),"No encontrado"))</f>
        <v/>
      </c>
      <c r="E909" s="22"/>
      <c r="F909" s="23" t="str">
        <f aca="false">IF(A909="","",IFERROR(buscarx(A909&amp;E909,DATA!$E$3:$E$10000&amp;DATA!$B$3:$B$10000,DATA!$M$3:$M$10000),"Inactivo"))</f>
        <v/>
      </c>
      <c r="G909" s="25" t="str">
        <f aca="false">IF(A909="","",IF(AND(C909&lt;&gt;"No encontrado",F909&lt;&gt;"Inactivo"),C909&amp;" → "&amp;F909,"Sin transición"))</f>
        <v/>
      </c>
      <c r="H909" s="23" t="str">
        <f aca="false">IF(A909="","",IF(D909="GCIA LINEA SERVICIO DIGITALIDAD Y VENTAS","Chats",IF(OR(D909="GERENCIA INBOUND LÍNEAS SERVICIO Y VENTA",D909="GERENCIA INBOUND LINEAS ESPECIALIZADAS"),"Llamadas","Otro")))</f>
        <v/>
      </c>
      <c r="I909" s="23" t="str">
        <f aca="false">IF(A909="","",IF(C909="No encontrado","No","Sí"))</f>
        <v/>
      </c>
      <c r="J909" s="23" t="str">
        <f aca="false">IF(A909="","",IF(F909="Inactivo","No","Sí"))</f>
        <v/>
      </c>
      <c r="K909" s="23" t="str">
        <f aca="false">IF(A909="","",IF(AND(I909="Sí",J909="Sí"),"Sí","No"))</f>
        <v/>
      </c>
    </row>
    <row r="910" customFormat="false" ht="15" hidden="false" customHeight="false" outlineLevel="0" collapsed="false">
      <c r="A910" s="22"/>
      <c r="B910" s="22"/>
      <c r="C910" s="26" t="str">
        <f aca="false">IF(A910="","",IFERROR(buscarx(A910&amp;B910,DATA!$E$3:$E$10000&amp;DATA!$B$3:$B$10000,DATA!$M$3:$M$10000),"No encontrado"))</f>
        <v/>
      </c>
      <c r="D910" s="27" t="str">
        <f aca="false">IF(A910="","",IFERROR(buscarx(A910&amp;B910,DATA!$E$3:$E$10000&amp;DATA!$B$3:$B$10000,DATA!$W$3:$W$10000),"No encontrado"))</f>
        <v/>
      </c>
      <c r="E910" s="22"/>
      <c r="F910" s="26" t="str">
        <f aca="false">IF(A910="","",IFERROR(buscarx(A910&amp;E910,DATA!$E$3:$E$10000&amp;DATA!$B$3:$B$10000,DATA!$M$3:$M$10000),"Inactivo"))</f>
        <v/>
      </c>
      <c r="G910" s="28" t="str">
        <f aca="false">IF(A910="","",IF(AND(C910&lt;&gt;"No encontrado",F910&lt;&gt;"Inactivo"),C910&amp;" → "&amp;F910,"Sin transición"))</f>
        <v/>
      </c>
      <c r="H910" s="26" t="str">
        <f aca="false">IF(A910="","",IF(D910="GCIA LINEA SERVICIO DIGITALIDAD Y VENTAS","Chats",IF(OR(D910="GERENCIA INBOUND LÍNEAS SERVICIO Y VENTA",D910="GERENCIA INBOUND LINEAS ESPECIALIZADAS"),"Llamadas","Otro")))</f>
        <v/>
      </c>
      <c r="I910" s="26" t="str">
        <f aca="false">IF(A910="","",IF(C910="No encontrado","No","Sí"))</f>
        <v/>
      </c>
      <c r="J910" s="26" t="str">
        <f aca="false">IF(A910="","",IF(F910="Inactivo","No","Sí"))</f>
        <v/>
      </c>
      <c r="K910" s="26" t="str">
        <f aca="false">IF(A910="","",IF(AND(I910="Sí",J910="Sí"),"Sí","No"))</f>
        <v/>
      </c>
    </row>
    <row r="911" customFormat="false" ht="15" hidden="false" customHeight="false" outlineLevel="0" collapsed="false">
      <c r="A911" s="22"/>
      <c r="B911" s="22"/>
      <c r="C911" s="23" t="str">
        <f aca="false">IF(A911="","",IFERROR(buscarx(A911&amp;B911,DATA!$E$3:$E$10000&amp;DATA!$B$3:$B$10000,DATA!$M$3:$M$10000),"No encontrado"))</f>
        <v/>
      </c>
      <c r="D911" s="24" t="str">
        <f aca="false">IF(A911="","",IFERROR(buscarx(A911&amp;B911,DATA!$E$3:$E$10000&amp;DATA!$B$3:$B$10000,DATA!$W$3:$W$10000),"No encontrado"))</f>
        <v/>
      </c>
      <c r="E911" s="22"/>
      <c r="F911" s="23" t="str">
        <f aca="false">IF(A911="","",IFERROR(buscarx(A911&amp;E911,DATA!$E$3:$E$10000&amp;DATA!$B$3:$B$10000,DATA!$M$3:$M$10000),"Inactivo"))</f>
        <v/>
      </c>
      <c r="G911" s="25" t="str">
        <f aca="false">IF(A911="","",IF(AND(C911&lt;&gt;"No encontrado",F911&lt;&gt;"Inactivo"),C911&amp;" → "&amp;F911,"Sin transición"))</f>
        <v/>
      </c>
      <c r="H911" s="23" t="str">
        <f aca="false">IF(A911="","",IF(D911="GCIA LINEA SERVICIO DIGITALIDAD Y VENTAS","Chats",IF(OR(D911="GERENCIA INBOUND LÍNEAS SERVICIO Y VENTA",D911="GERENCIA INBOUND LINEAS ESPECIALIZADAS"),"Llamadas","Otro")))</f>
        <v/>
      </c>
      <c r="I911" s="23" t="str">
        <f aca="false">IF(A911="","",IF(C911="No encontrado","No","Sí"))</f>
        <v/>
      </c>
      <c r="J911" s="23" t="str">
        <f aca="false">IF(A911="","",IF(F911="Inactivo","No","Sí"))</f>
        <v/>
      </c>
      <c r="K911" s="23" t="str">
        <f aca="false">IF(A911="","",IF(AND(I911="Sí",J911="Sí"),"Sí","No"))</f>
        <v/>
      </c>
    </row>
    <row r="912" customFormat="false" ht="15" hidden="false" customHeight="false" outlineLevel="0" collapsed="false">
      <c r="A912" s="22"/>
      <c r="B912" s="22"/>
      <c r="C912" s="26" t="str">
        <f aca="false">IF(A912="","",IFERROR(buscarx(A912&amp;B912,DATA!$E$3:$E$10000&amp;DATA!$B$3:$B$10000,DATA!$M$3:$M$10000),"No encontrado"))</f>
        <v/>
      </c>
      <c r="D912" s="27" t="str">
        <f aca="false">IF(A912="","",IFERROR(buscarx(A912&amp;B912,DATA!$E$3:$E$10000&amp;DATA!$B$3:$B$10000,DATA!$W$3:$W$10000),"No encontrado"))</f>
        <v/>
      </c>
      <c r="E912" s="22"/>
      <c r="F912" s="26" t="str">
        <f aca="false">IF(A912="","",IFERROR(buscarx(A912&amp;E912,DATA!$E$3:$E$10000&amp;DATA!$B$3:$B$10000,DATA!$M$3:$M$10000),"Inactivo"))</f>
        <v/>
      </c>
      <c r="G912" s="28" t="str">
        <f aca="false">IF(A912="","",IF(AND(C912&lt;&gt;"No encontrado",F912&lt;&gt;"Inactivo"),C912&amp;" → "&amp;F912,"Sin transición"))</f>
        <v/>
      </c>
      <c r="H912" s="26" t="str">
        <f aca="false">IF(A912="","",IF(D912="GCIA LINEA SERVICIO DIGITALIDAD Y VENTAS","Chats",IF(OR(D912="GERENCIA INBOUND LÍNEAS SERVICIO Y VENTA",D912="GERENCIA INBOUND LINEAS ESPECIALIZADAS"),"Llamadas","Otro")))</f>
        <v/>
      </c>
      <c r="I912" s="26" t="str">
        <f aca="false">IF(A912="","",IF(C912="No encontrado","No","Sí"))</f>
        <v/>
      </c>
      <c r="J912" s="26" t="str">
        <f aca="false">IF(A912="","",IF(F912="Inactivo","No","Sí"))</f>
        <v/>
      </c>
      <c r="K912" s="26" t="str">
        <f aca="false">IF(A912="","",IF(AND(I912="Sí",J912="Sí"),"Sí","No"))</f>
        <v/>
      </c>
    </row>
    <row r="913" customFormat="false" ht="15" hidden="false" customHeight="false" outlineLevel="0" collapsed="false">
      <c r="A913" s="22"/>
      <c r="B913" s="22"/>
      <c r="C913" s="23" t="str">
        <f aca="false">IF(A913="","",IFERROR(buscarx(A913&amp;B913,DATA!$E$3:$E$10000&amp;DATA!$B$3:$B$10000,DATA!$M$3:$M$10000),"No encontrado"))</f>
        <v/>
      </c>
      <c r="D913" s="24" t="str">
        <f aca="false">IF(A913="","",IFERROR(buscarx(A913&amp;B913,DATA!$E$3:$E$10000&amp;DATA!$B$3:$B$10000,DATA!$W$3:$W$10000),"No encontrado"))</f>
        <v/>
      </c>
      <c r="E913" s="22"/>
      <c r="F913" s="23" t="str">
        <f aca="false">IF(A913="","",IFERROR(buscarx(A913&amp;E913,DATA!$E$3:$E$10000&amp;DATA!$B$3:$B$10000,DATA!$M$3:$M$10000),"Inactivo"))</f>
        <v/>
      </c>
      <c r="G913" s="25" t="str">
        <f aca="false">IF(A913="","",IF(AND(C913&lt;&gt;"No encontrado",F913&lt;&gt;"Inactivo"),C913&amp;" → "&amp;F913,"Sin transición"))</f>
        <v/>
      </c>
      <c r="H913" s="23" t="str">
        <f aca="false">IF(A913="","",IF(D913="GCIA LINEA SERVICIO DIGITALIDAD Y VENTAS","Chats",IF(OR(D913="GERENCIA INBOUND LÍNEAS SERVICIO Y VENTA",D913="GERENCIA INBOUND LINEAS ESPECIALIZADAS"),"Llamadas","Otro")))</f>
        <v/>
      </c>
      <c r="I913" s="23" t="str">
        <f aca="false">IF(A913="","",IF(C913="No encontrado","No","Sí"))</f>
        <v/>
      </c>
      <c r="J913" s="23" t="str">
        <f aca="false">IF(A913="","",IF(F913="Inactivo","No","Sí"))</f>
        <v/>
      </c>
      <c r="K913" s="23" t="str">
        <f aca="false">IF(A913="","",IF(AND(I913="Sí",J913="Sí"),"Sí","No"))</f>
        <v/>
      </c>
    </row>
    <row r="914" customFormat="false" ht="15" hidden="false" customHeight="false" outlineLevel="0" collapsed="false">
      <c r="A914" s="22"/>
      <c r="B914" s="22"/>
      <c r="C914" s="26" t="str">
        <f aca="false">IF(A914="","",IFERROR(buscarx(A914&amp;B914,DATA!$E$3:$E$10000&amp;DATA!$B$3:$B$10000,DATA!$M$3:$M$10000),"No encontrado"))</f>
        <v/>
      </c>
      <c r="D914" s="27" t="str">
        <f aca="false">IF(A914="","",IFERROR(buscarx(A914&amp;B914,DATA!$E$3:$E$10000&amp;DATA!$B$3:$B$10000,DATA!$W$3:$W$10000),"No encontrado"))</f>
        <v/>
      </c>
      <c r="E914" s="22"/>
      <c r="F914" s="26" t="str">
        <f aca="false">IF(A914="","",IFERROR(buscarx(A914&amp;E914,DATA!$E$3:$E$10000&amp;DATA!$B$3:$B$10000,DATA!$M$3:$M$10000),"Inactivo"))</f>
        <v/>
      </c>
      <c r="G914" s="28" t="str">
        <f aca="false">IF(A914="","",IF(AND(C914&lt;&gt;"No encontrado",F914&lt;&gt;"Inactivo"),C914&amp;" → "&amp;F914,"Sin transición"))</f>
        <v/>
      </c>
      <c r="H914" s="26" t="str">
        <f aca="false">IF(A914="","",IF(D914="GCIA LINEA SERVICIO DIGITALIDAD Y VENTAS","Chats",IF(OR(D914="GERENCIA INBOUND LÍNEAS SERVICIO Y VENTA",D914="GERENCIA INBOUND LINEAS ESPECIALIZADAS"),"Llamadas","Otro")))</f>
        <v/>
      </c>
      <c r="I914" s="26" t="str">
        <f aca="false">IF(A914="","",IF(C914="No encontrado","No","Sí"))</f>
        <v/>
      </c>
      <c r="J914" s="26" t="str">
        <f aca="false">IF(A914="","",IF(F914="Inactivo","No","Sí"))</f>
        <v/>
      </c>
      <c r="K914" s="26" t="str">
        <f aca="false">IF(A914="","",IF(AND(I914="Sí",J914="Sí"),"Sí","No"))</f>
        <v/>
      </c>
    </row>
    <row r="915" customFormat="false" ht="15" hidden="false" customHeight="false" outlineLevel="0" collapsed="false">
      <c r="A915" s="22"/>
      <c r="B915" s="22"/>
      <c r="C915" s="23" t="str">
        <f aca="false">IF(A915="","",IFERROR(buscarx(A915&amp;B915,DATA!$E$3:$E$10000&amp;DATA!$B$3:$B$10000,DATA!$M$3:$M$10000),"No encontrado"))</f>
        <v/>
      </c>
      <c r="D915" s="24" t="str">
        <f aca="false">IF(A915="","",IFERROR(buscarx(A915&amp;B915,DATA!$E$3:$E$10000&amp;DATA!$B$3:$B$10000,DATA!$W$3:$W$10000),"No encontrado"))</f>
        <v/>
      </c>
      <c r="E915" s="22"/>
      <c r="F915" s="23" t="str">
        <f aca="false">IF(A915="","",IFERROR(buscarx(A915&amp;E915,DATA!$E$3:$E$10000&amp;DATA!$B$3:$B$10000,DATA!$M$3:$M$10000),"Inactivo"))</f>
        <v/>
      </c>
      <c r="G915" s="25" t="str">
        <f aca="false">IF(A915="","",IF(AND(C915&lt;&gt;"No encontrado",F915&lt;&gt;"Inactivo"),C915&amp;" → "&amp;F915,"Sin transición"))</f>
        <v/>
      </c>
      <c r="H915" s="23" t="str">
        <f aca="false">IF(A915="","",IF(D915="GCIA LINEA SERVICIO DIGITALIDAD Y VENTAS","Chats",IF(OR(D915="GERENCIA INBOUND LÍNEAS SERVICIO Y VENTA",D915="GERENCIA INBOUND LINEAS ESPECIALIZADAS"),"Llamadas","Otro")))</f>
        <v/>
      </c>
      <c r="I915" s="23" t="str">
        <f aca="false">IF(A915="","",IF(C915="No encontrado","No","Sí"))</f>
        <v/>
      </c>
      <c r="J915" s="23" t="str">
        <f aca="false">IF(A915="","",IF(F915="Inactivo","No","Sí"))</f>
        <v/>
      </c>
      <c r="K915" s="23" t="str">
        <f aca="false">IF(A915="","",IF(AND(I915="Sí",J915="Sí"),"Sí","No"))</f>
        <v/>
      </c>
    </row>
    <row r="916" customFormat="false" ht="15" hidden="false" customHeight="false" outlineLevel="0" collapsed="false">
      <c r="A916" s="22"/>
      <c r="B916" s="22"/>
      <c r="C916" s="26" t="str">
        <f aca="false">IF(A916="","",IFERROR(buscarx(A916&amp;B916,DATA!$E$3:$E$10000&amp;DATA!$B$3:$B$10000,DATA!$M$3:$M$10000),"No encontrado"))</f>
        <v/>
      </c>
      <c r="D916" s="27" t="str">
        <f aca="false">IF(A916="","",IFERROR(buscarx(A916&amp;B916,DATA!$E$3:$E$10000&amp;DATA!$B$3:$B$10000,DATA!$W$3:$W$10000),"No encontrado"))</f>
        <v/>
      </c>
      <c r="E916" s="22"/>
      <c r="F916" s="26" t="str">
        <f aca="false">IF(A916="","",IFERROR(buscarx(A916&amp;E916,DATA!$E$3:$E$10000&amp;DATA!$B$3:$B$10000,DATA!$M$3:$M$10000),"Inactivo"))</f>
        <v/>
      </c>
      <c r="G916" s="28" t="str">
        <f aca="false">IF(A916="","",IF(AND(C916&lt;&gt;"No encontrado",F916&lt;&gt;"Inactivo"),C916&amp;" → "&amp;F916,"Sin transición"))</f>
        <v/>
      </c>
      <c r="H916" s="26" t="str">
        <f aca="false">IF(A916="","",IF(D916="GCIA LINEA SERVICIO DIGITALIDAD Y VENTAS","Chats",IF(OR(D916="GERENCIA INBOUND LÍNEAS SERVICIO Y VENTA",D916="GERENCIA INBOUND LINEAS ESPECIALIZADAS"),"Llamadas","Otro")))</f>
        <v/>
      </c>
      <c r="I916" s="26" t="str">
        <f aca="false">IF(A916="","",IF(C916="No encontrado","No","Sí"))</f>
        <v/>
      </c>
      <c r="J916" s="26" t="str">
        <f aca="false">IF(A916="","",IF(F916="Inactivo","No","Sí"))</f>
        <v/>
      </c>
      <c r="K916" s="26" t="str">
        <f aca="false">IF(A916="","",IF(AND(I916="Sí",J916="Sí"),"Sí","No"))</f>
        <v/>
      </c>
    </row>
    <row r="917" customFormat="false" ht="15" hidden="false" customHeight="false" outlineLevel="0" collapsed="false">
      <c r="A917" s="22"/>
      <c r="B917" s="22"/>
      <c r="C917" s="23" t="str">
        <f aca="false">IF(A917="","",IFERROR(buscarx(A917&amp;B917,DATA!$E$3:$E$10000&amp;DATA!$B$3:$B$10000,DATA!$M$3:$M$10000),"No encontrado"))</f>
        <v/>
      </c>
      <c r="D917" s="24" t="str">
        <f aca="false">IF(A917="","",IFERROR(buscarx(A917&amp;B917,DATA!$E$3:$E$10000&amp;DATA!$B$3:$B$10000,DATA!$W$3:$W$10000),"No encontrado"))</f>
        <v/>
      </c>
      <c r="E917" s="22"/>
      <c r="F917" s="23" t="str">
        <f aca="false">IF(A917="","",IFERROR(buscarx(A917&amp;E917,DATA!$E$3:$E$10000&amp;DATA!$B$3:$B$10000,DATA!$M$3:$M$10000),"Inactivo"))</f>
        <v/>
      </c>
      <c r="G917" s="25" t="str">
        <f aca="false">IF(A917="","",IF(AND(C917&lt;&gt;"No encontrado",F917&lt;&gt;"Inactivo"),C917&amp;" → "&amp;F917,"Sin transición"))</f>
        <v/>
      </c>
      <c r="H917" s="23" t="str">
        <f aca="false">IF(A917="","",IF(D917="GCIA LINEA SERVICIO DIGITALIDAD Y VENTAS","Chats",IF(OR(D917="GERENCIA INBOUND LÍNEAS SERVICIO Y VENTA",D917="GERENCIA INBOUND LINEAS ESPECIALIZADAS"),"Llamadas","Otro")))</f>
        <v/>
      </c>
      <c r="I917" s="23" t="str">
        <f aca="false">IF(A917="","",IF(C917="No encontrado","No","Sí"))</f>
        <v/>
      </c>
      <c r="J917" s="23" t="str">
        <f aca="false">IF(A917="","",IF(F917="Inactivo","No","Sí"))</f>
        <v/>
      </c>
      <c r="K917" s="23" t="str">
        <f aca="false">IF(A917="","",IF(AND(I917="Sí",J917="Sí"),"Sí","No"))</f>
        <v/>
      </c>
    </row>
    <row r="918" customFormat="false" ht="15" hidden="false" customHeight="false" outlineLevel="0" collapsed="false">
      <c r="A918" s="22"/>
      <c r="B918" s="22"/>
      <c r="C918" s="26" t="str">
        <f aca="false">IF(A918="","",IFERROR(buscarx(A918&amp;B918,DATA!$E$3:$E$10000&amp;DATA!$B$3:$B$10000,DATA!$M$3:$M$10000),"No encontrado"))</f>
        <v/>
      </c>
      <c r="D918" s="27" t="str">
        <f aca="false">IF(A918="","",IFERROR(buscarx(A918&amp;B918,DATA!$E$3:$E$10000&amp;DATA!$B$3:$B$10000,DATA!$W$3:$W$10000),"No encontrado"))</f>
        <v/>
      </c>
      <c r="E918" s="22"/>
      <c r="F918" s="26" t="str">
        <f aca="false">IF(A918="","",IFERROR(buscarx(A918&amp;E918,DATA!$E$3:$E$10000&amp;DATA!$B$3:$B$10000,DATA!$M$3:$M$10000),"Inactivo"))</f>
        <v/>
      </c>
      <c r="G918" s="28" t="str">
        <f aca="false">IF(A918="","",IF(AND(C918&lt;&gt;"No encontrado",F918&lt;&gt;"Inactivo"),C918&amp;" → "&amp;F918,"Sin transición"))</f>
        <v/>
      </c>
      <c r="H918" s="26" t="str">
        <f aca="false">IF(A918="","",IF(D918="GCIA LINEA SERVICIO DIGITALIDAD Y VENTAS","Chats",IF(OR(D918="GERENCIA INBOUND LÍNEAS SERVICIO Y VENTA",D918="GERENCIA INBOUND LINEAS ESPECIALIZADAS"),"Llamadas","Otro")))</f>
        <v/>
      </c>
      <c r="I918" s="26" t="str">
        <f aca="false">IF(A918="","",IF(C918="No encontrado","No","Sí"))</f>
        <v/>
      </c>
      <c r="J918" s="26" t="str">
        <f aca="false">IF(A918="","",IF(F918="Inactivo","No","Sí"))</f>
        <v/>
      </c>
      <c r="K918" s="26" t="str">
        <f aca="false">IF(A918="","",IF(AND(I918="Sí",J918="Sí"),"Sí","No"))</f>
        <v/>
      </c>
    </row>
    <row r="919" customFormat="false" ht="15" hidden="false" customHeight="false" outlineLevel="0" collapsed="false">
      <c r="A919" s="22"/>
      <c r="B919" s="22"/>
      <c r="C919" s="23" t="str">
        <f aca="false">IF(A919="","",IFERROR(buscarx(A919&amp;B919,DATA!$E$3:$E$10000&amp;DATA!$B$3:$B$10000,DATA!$M$3:$M$10000),"No encontrado"))</f>
        <v/>
      </c>
      <c r="D919" s="24" t="str">
        <f aca="false">IF(A919="","",IFERROR(buscarx(A919&amp;B919,DATA!$E$3:$E$10000&amp;DATA!$B$3:$B$10000,DATA!$W$3:$W$10000),"No encontrado"))</f>
        <v/>
      </c>
      <c r="E919" s="22"/>
      <c r="F919" s="23" t="str">
        <f aca="false">IF(A919="","",IFERROR(buscarx(A919&amp;E919,DATA!$E$3:$E$10000&amp;DATA!$B$3:$B$10000,DATA!$M$3:$M$10000),"Inactivo"))</f>
        <v/>
      </c>
      <c r="G919" s="25" t="str">
        <f aca="false">IF(A919="","",IF(AND(C919&lt;&gt;"No encontrado",F919&lt;&gt;"Inactivo"),C919&amp;" → "&amp;F919,"Sin transición"))</f>
        <v/>
      </c>
      <c r="H919" s="23" t="str">
        <f aca="false">IF(A919="","",IF(D919="GCIA LINEA SERVICIO DIGITALIDAD Y VENTAS","Chats",IF(OR(D919="GERENCIA INBOUND LÍNEAS SERVICIO Y VENTA",D919="GERENCIA INBOUND LINEAS ESPECIALIZADAS"),"Llamadas","Otro")))</f>
        <v/>
      </c>
      <c r="I919" s="23" t="str">
        <f aca="false">IF(A919="","",IF(C919="No encontrado","No","Sí"))</f>
        <v/>
      </c>
      <c r="J919" s="23" t="str">
        <f aca="false">IF(A919="","",IF(F919="Inactivo","No","Sí"))</f>
        <v/>
      </c>
      <c r="K919" s="23" t="str">
        <f aca="false">IF(A919="","",IF(AND(I919="Sí",J919="Sí"),"Sí","No"))</f>
        <v/>
      </c>
    </row>
    <row r="920" customFormat="false" ht="15" hidden="false" customHeight="false" outlineLevel="0" collapsed="false">
      <c r="A920" s="22"/>
      <c r="B920" s="22"/>
      <c r="C920" s="26" t="str">
        <f aca="false">IF(A920="","",IFERROR(buscarx(A920&amp;B920,DATA!$E$3:$E$10000&amp;DATA!$B$3:$B$10000,DATA!$M$3:$M$10000),"No encontrado"))</f>
        <v/>
      </c>
      <c r="D920" s="27" t="str">
        <f aca="false">IF(A920="","",IFERROR(buscarx(A920&amp;B920,DATA!$E$3:$E$10000&amp;DATA!$B$3:$B$10000,DATA!$W$3:$W$10000),"No encontrado"))</f>
        <v/>
      </c>
      <c r="E920" s="22"/>
      <c r="F920" s="26" t="str">
        <f aca="false">IF(A920="","",IFERROR(buscarx(A920&amp;E920,DATA!$E$3:$E$10000&amp;DATA!$B$3:$B$10000,DATA!$M$3:$M$10000),"Inactivo"))</f>
        <v/>
      </c>
      <c r="G920" s="28" t="str">
        <f aca="false">IF(A920="","",IF(AND(C920&lt;&gt;"No encontrado",F920&lt;&gt;"Inactivo"),C920&amp;" → "&amp;F920,"Sin transición"))</f>
        <v/>
      </c>
      <c r="H920" s="26" t="str">
        <f aca="false">IF(A920="","",IF(D920="GCIA LINEA SERVICIO DIGITALIDAD Y VENTAS","Chats",IF(OR(D920="GERENCIA INBOUND LÍNEAS SERVICIO Y VENTA",D920="GERENCIA INBOUND LINEAS ESPECIALIZADAS"),"Llamadas","Otro")))</f>
        <v/>
      </c>
      <c r="I920" s="26" t="str">
        <f aca="false">IF(A920="","",IF(C920="No encontrado","No","Sí"))</f>
        <v/>
      </c>
      <c r="J920" s="26" t="str">
        <f aca="false">IF(A920="","",IF(F920="Inactivo","No","Sí"))</f>
        <v/>
      </c>
      <c r="K920" s="26" t="str">
        <f aca="false">IF(A920="","",IF(AND(I920="Sí",J920="Sí"),"Sí","No"))</f>
        <v/>
      </c>
    </row>
    <row r="921" customFormat="false" ht="15" hidden="false" customHeight="false" outlineLevel="0" collapsed="false">
      <c r="A921" s="22"/>
      <c r="B921" s="22"/>
      <c r="C921" s="23" t="str">
        <f aca="false">IF(A921="","",IFERROR(buscarx(A921&amp;B921,DATA!$E$3:$E$10000&amp;DATA!$B$3:$B$10000,DATA!$M$3:$M$10000),"No encontrado"))</f>
        <v/>
      </c>
      <c r="D921" s="24" t="str">
        <f aca="false">IF(A921="","",IFERROR(buscarx(A921&amp;B921,DATA!$E$3:$E$10000&amp;DATA!$B$3:$B$10000,DATA!$W$3:$W$10000),"No encontrado"))</f>
        <v/>
      </c>
      <c r="E921" s="22"/>
      <c r="F921" s="23" t="str">
        <f aca="false">IF(A921="","",IFERROR(buscarx(A921&amp;E921,DATA!$E$3:$E$10000&amp;DATA!$B$3:$B$10000,DATA!$M$3:$M$10000),"Inactivo"))</f>
        <v/>
      </c>
      <c r="G921" s="25" t="str">
        <f aca="false">IF(A921="","",IF(AND(C921&lt;&gt;"No encontrado",F921&lt;&gt;"Inactivo"),C921&amp;" → "&amp;F921,"Sin transición"))</f>
        <v/>
      </c>
      <c r="H921" s="23" t="str">
        <f aca="false">IF(A921="","",IF(D921="GCIA LINEA SERVICIO DIGITALIDAD Y VENTAS","Chats",IF(OR(D921="GERENCIA INBOUND LÍNEAS SERVICIO Y VENTA",D921="GERENCIA INBOUND LINEAS ESPECIALIZADAS"),"Llamadas","Otro")))</f>
        <v/>
      </c>
      <c r="I921" s="23" t="str">
        <f aca="false">IF(A921="","",IF(C921="No encontrado","No","Sí"))</f>
        <v/>
      </c>
      <c r="J921" s="23" t="str">
        <f aca="false">IF(A921="","",IF(F921="Inactivo","No","Sí"))</f>
        <v/>
      </c>
      <c r="K921" s="23" t="str">
        <f aca="false">IF(A921="","",IF(AND(I921="Sí",J921="Sí"),"Sí","No"))</f>
        <v/>
      </c>
    </row>
    <row r="922" customFormat="false" ht="15" hidden="false" customHeight="false" outlineLevel="0" collapsed="false">
      <c r="A922" s="22"/>
      <c r="B922" s="22"/>
      <c r="C922" s="26" t="str">
        <f aca="false">IF(A922="","",IFERROR(buscarx(A922&amp;B922,DATA!$E$3:$E$10000&amp;DATA!$B$3:$B$10000,DATA!$M$3:$M$10000),"No encontrado"))</f>
        <v/>
      </c>
      <c r="D922" s="27" t="str">
        <f aca="false">IF(A922="","",IFERROR(buscarx(A922&amp;B922,DATA!$E$3:$E$10000&amp;DATA!$B$3:$B$10000,DATA!$W$3:$W$10000),"No encontrado"))</f>
        <v/>
      </c>
      <c r="E922" s="22"/>
      <c r="F922" s="26" t="str">
        <f aca="false">IF(A922="","",IFERROR(buscarx(A922&amp;E922,DATA!$E$3:$E$10000&amp;DATA!$B$3:$B$10000,DATA!$M$3:$M$10000),"Inactivo"))</f>
        <v/>
      </c>
      <c r="G922" s="28" t="str">
        <f aca="false">IF(A922="","",IF(AND(C922&lt;&gt;"No encontrado",F922&lt;&gt;"Inactivo"),C922&amp;" → "&amp;F922,"Sin transición"))</f>
        <v/>
      </c>
      <c r="H922" s="26" t="str">
        <f aca="false">IF(A922="","",IF(D922="GCIA LINEA SERVICIO DIGITALIDAD Y VENTAS","Chats",IF(OR(D922="GERENCIA INBOUND LÍNEAS SERVICIO Y VENTA",D922="GERENCIA INBOUND LINEAS ESPECIALIZADAS"),"Llamadas","Otro")))</f>
        <v/>
      </c>
      <c r="I922" s="26" t="str">
        <f aca="false">IF(A922="","",IF(C922="No encontrado","No","Sí"))</f>
        <v/>
      </c>
      <c r="J922" s="26" t="str">
        <f aca="false">IF(A922="","",IF(F922="Inactivo","No","Sí"))</f>
        <v/>
      </c>
      <c r="K922" s="26" t="str">
        <f aca="false">IF(A922="","",IF(AND(I922="Sí",J922="Sí"),"Sí","No"))</f>
        <v/>
      </c>
    </row>
    <row r="923" customFormat="false" ht="15" hidden="false" customHeight="false" outlineLevel="0" collapsed="false">
      <c r="A923" s="22"/>
      <c r="B923" s="22"/>
      <c r="C923" s="23" t="str">
        <f aca="false">IF(A923="","",IFERROR(buscarx(A923&amp;B923,DATA!$E$3:$E$10000&amp;DATA!$B$3:$B$10000,DATA!$M$3:$M$10000),"No encontrado"))</f>
        <v/>
      </c>
      <c r="D923" s="24" t="str">
        <f aca="false">IF(A923="","",IFERROR(buscarx(A923&amp;B923,DATA!$E$3:$E$10000&amp;DATA!$B$3:$B$10000,DATA!$W$3:$W$10000),"No encontrado"))</f>
        <v/>
      </c>
      <c r="E923" s="22"/>
      <c r="F923" s="23" t="str">
        <f aca="false">IF(A923="","",IFERROR(buscarx(A923&amp;E923,DATA!$E$3:$E$10000&amp;DATA!$B$3:$B$10000,DATA!$M$3:$M$10000),"Inactivo"))</f>
        <v/>
      </c>
      <c r="G923" s="25" t="str">
        <f aca="false">IF(A923="","",IF(AND(C923&lt;&gt;"No encontrado",F923&lt;&gt;"Inactivo"),C923&amp;" → "&amp;F923,"Sin transición"))</f>
        <v/>
      </c>
      <c r="H923" s="23" t="str">
        <f aca="false">IF(A923="","",IF(D923="GCIA LINEA SERVICIO DIGITALIDAD Y VENTAS","Chats",IF(OR(D923="GERENCIA INBOUND LÍNEAS SERVICIO Y VENTA",D923="GERENCIA INBOUND LINEAS ESPECIALIZADAS"),"Llamadas","Otro")))</f>
        <v/>
      </c>
      <c r="I923" s="23" t="str">
        <f aca="false">IF(A923="","",IF(C923="No encontrado","No","Sí"))</f>
        <v/>
      </c>
      <c r="J923" s="23" t="str">
        <f aca="false">IF(A923="","",IF(F923="Inactivo","No","Sí"))</f>
        <v/>
      </c>
      <c r="K923" s="23" t="str">
        <f aca="false">IF(A923="","",IF(AND(I923="Sí",J923="Sí"),"Sí","No"))</f>
        <v/>
      </c>
    </row>
    <row r="924" customFormat="false" ht="15" hidden="false" customHeight="false" outlineLevel="0" collapsed="false">
      <c r="A924" s="22"/>
      <c r="B924" s="22"/>
      <c r="C924" s="26" t="str">
        <f aca="false">IF(A924="","",IFERROR(buscarx(A924&amp;B924,DATA!$E$3:$E$10000&amp;DATA!$B$3:$B$10000,DATA!$M$3:$M$10000),"No encontrado"))</f>
        <v/>
      </c>
      <c r="D924" s="27" t="str">
        <f aca="false">IF(A924="","",IFERROR(buscarx(A924&amp;B924,DATA!$E$3:$E$10000&amp;DATA!$B$3:$B$10000,DATA!$W$3:$W$10000),"No encontrado"))</f>
        <v/>
      </c>
      <c r="E924" s="22"/>
      <c r="F924" s="26" t="str">
        <f aca="false">IF(A924="","",IFERROR(buscarx(A924&amp;E924,DATA!$E$3:$E$10000&amp;DATA!$B$3:$B$10000,DATA!$M$3:$M$10000),"Inactivo"))</f>
        <v/>
      </c>
      <c r="G924" s="28" t="str">
        <f aca="false">IF(A924="","",IF(AND(C924&lt;&gt;"No encontrado",F924&lt;&gt;"Inactivo"),C924&amp;" → "&amp;F924,"Sin transición"))</f>
        <v/>
      </c>
      <c r="H924" s="26" t="str">
        <f aca="false">IF(A924="","",IF(D924="GCIA LINEA SERVICIO DIGITALIDAD Y VENTAS","Chats",IF(OR(D924="GERENCIA INBOUND LÍNEAS SERVICIO Y VENTA",D924="GERENCIA INBOUND LINEAS ESPECIALIZADAS"),"Llamadas","Otro")))</f>
        <v/>
      </c>
      <c r="I924" s="26" t="str">
        <f aca="false">IF(A924="","",IF(C924="No encontrado","No","Sí"))</f>
        <v/>
      </c>
      <c r="J924" s="26" t="str">
        <f aca="false">IF(A924="","",IF(F924="Inactivo","No","Sí"))</f>
        <v/>
      </c>
      <c r="K924" s="26" t="str">
        <f aca="false">IF(A924="","",IF(AND(I924="Sí",J924="Sí"),"Sí","No"))</f>
        <v/>
      </c>
    </row>
    <row r="925" customFormat="false" ht="15" hidden="false" customHeight="false" outlineLevel="0" collapsed="false">
      <c r="A925" s="22"/>
      <c r="B925" s="22"/>
      <c r="C925" s="23" t="str">
        <f aca="false">IF(A925="","",IFERROR(buscarx(A925&amp;B925,DATA!$E$3:$E$10000&amp;DATA!$B$3:$B$10000,DATA!$M$3:$M$10000),"No encontrado"))</f>
        <v/>
      </c>
      <c r="D925" s="24" t="str">
        <f aca="false">IF(A925="","",IFERROR(buscarx(A925&amp;B925,DATA!$E$3:$E$10000&amp;DATA!$B$3:$B$10000,DATA!$W$3:$W$10000),"No encontrado"))</f>
        <v/>
      </c>
      <c r="E925" s="22"/>
      <c r="F925" s="23" t="str">
        <f aca="false">IF(A925="","",IFERROR(buscarx(A925&amp;E925,DATA!$E$3:$E$10000&amp;DATA!$B$3:$B$10000,DATA!$M$3:$M$10000),"Inactivo"))</f>
        <v/>
      </c>
      <c r="G925" s="25" t="str">
        <f aca="false">IF(A925="","",IF(AND(C925&lt;&gt;"No encontrado",F925&lt;&gt;"Inactivo"),C925&amp;" → "&amp;F925,"Sin transición"))</f>
        <v/>
      </c>
      <c r="H925" s="23" t="str">
        <f aca="false">IF(A925="","",IF(D925="GCIA LINEA SERVICIO DIGITALIDAD Y VENTAS","Chats",IF(OR(D925="GERENCIA INBOUND LÍNEAS SERVICIO Y VENTA",D925="GERENCIA INBOUND LINEAS ESPECIALIZADAS"),"Llamadas","Otro")))</f>
        <v/>
      </c>
      <c r="I925" s="23" t="str">
        <f aca="false">IF(A925="","",IF(C925="No encontrado","No","Sí"))</f>
        <v/>
      </c>
      <c r="J925" s="23" t="str">
        <f aca="false">IF(A925="","",IF(F925="Inactivo","No","Sí"))</f>
        <v/>
      </c>
      <c r="K925" s="23" t="str">
        <f aca="false">IF(A925="","",IF(AND(I925="Sí",J925="Sí"),"Sí","No"))</f>
        <v/>
      </c>
    </row>
    <row r="926" customFormat="false" ht="15" hidden="false" customHeight="false" outlineLevel="0" collapsed="false">
      <c r="A926" s="22"/>
      <c r="B926" s="22"/>
      <c r="C926" s="26" t="str">
        <f aca="false">IF(A926="","",IFERROR(buscarx(A926&amp;B926,DATA!$E$3:$E$10000&amp;DATA!$B$3:$B$10000,DATA!$M$3:$M$10000),"No encontrado"))</f>
        <v/>
      </c>
      <c r="D926" s="27" t="str">
        <f aca="false">IF(A926="","",IFERROR(buscarx(A926&amp;B926,DATA!$E$3:$E$10000&amp;DATA!$B$3:$B$10000,DATA!$W$3:$W$10000),"No encontrado"))</f>
        <v/>
      </c>
      <c r="E926" s="22"/>
      <c r="F926" s="26" t="str">
        <f aca="false">IF(A926="","",IFERROR(buscarx(A926&amp;E926,DATA!$E$3:$E$10000&amp;DATA!$B$3:$B$10000,DATA!$M$3:$M$10000),"Inactivo"))</f>
        <v/>
      </c>
      <c r="G926" s="28" t="str">
        <f aca="false">IF(A926="","",IF(AND(C926&lt;&gt;"No encontrado",F926&lt;&gt;"Inactivo"),C926&amp;" → "&amp;F926,"Sin transición"))</f>
        <v/>
      </c>
      <c r="H926" s="26" t="str">
        <f aca="false">IF(A926="","",IF(D926="GCIA LINEA SERVICIO DIGITALIDAD Y VENTAS","Chats",IF(OR(D926="GERENCIA INBOUND LÍNEAS SERVICIO Y VENTA",D926="GERENCIA INBOUND LINEAS ESPECIALIZADAS"),"Llamadas","Otro")))</f>
        <v/>
      </c>
      <c r="I926" s="26" t="str">
        <f aca="false">IF(A926="","",IF(C926="No encontrado","No","Sí"))</f>
        <v/>
      </c>
      <c r="J926" s="26" t="str">
        <f aca="false">IF(A926="","",IF(F926="Inactivo","No","Sí"))</f>
        <v/>
      </c>
      <c r="K926" s="26" t="str">
        <f aca="false">IF(A926="","",IF(AND(I926="Sí",J926="Sí"),"Sí","No"))</f>
        <v/>
      </c>
    </row>
    <row r="927" customFormat="false" ht="15" hidden="false" customHeight="false" outlineLevel="0" collapsed="false">
      <c r="A927" s="22"/>
      <c r="B927" s="22"/>
      <c r="C927" s="23" t="str">
        <f aca="false">IF(A927="","",IFERROR(buscarx(A927&amp;B927,DATA!$E$3:$E$10000&amp;DATA!$B$3:$B$10000,DATA!$M$3:$M$10000),"No encontrado"))</f>
        <v/>
      </c>
      <c r="D927" s="24" t="str">
        <f aca="false">IF(A927="","",IFERROR(buscarx(A927&amp;B927,DATA!$E$3:$E$10000&amp;DATA!$B$3:$B$10000,DATA!$W$3:$W$10000),"No encontrado"))</f>
        <v/>
      </c>
      <c r="E927" s="22"/>
      <c r="F927" s="23" t="str">
        <f aca="false">IF(A927="","",IFERROR(buscarx(A927&amp;E927,DATA!$E$3:$E$10000&amp;DATA!$B$3:$B$10000,DATA!$M$3:$M$10000),"Inactivo"))</f>
        <v/>
      </c>
      <c r="G927" s="25" t="str">
        <f aca="false">IF(A927="","",IF(AND(C927&lt;&gt;"No encontrado",F927&lt;&gt;"Inactivo"),C927&amp;" → "&amp;F927,"Sin transición"))</f>
        <v/>
      </c>
      <c r="H927" s="23" t="str">
        <f aca="false">IF(A927="","",IF(D927="GCIA LINEA SERVICIO DIGITALIDAD Y VENTAS","Chats",IF(OR(D927="GERENCIA INBOUND LÍNEAS SERVICIO Y VENTA",D927="GERENCIA INBOUND LINEAS ESPECIALIZADAS"),"Llamadas","Otro")))</f>
        <v/>
      </c>
      <c r="I927" s="23" t="str">
        <f aca="false">IF(A927="","",IF(C927="No encontrado","No","Sí"))</f>
        <v/>
      </c>
      <c r="J927" s="23" t="str">
        <f aca="false">IF(A927="","",IF(F927="Inactivo","No","Sí"))</f>
        <v/>
      </c>
      <c r="K927" s="23" t="str">
        <f aca="false">IF(A927="","",IF(AND(I927="Sí",J927="Sí"),"Sí","No"))</f>
        <v/>
      </c>
    </row>
    <row r="928" customFormat="false" ht="15" hidden="false" customHeight="false" outlineLevel="0" collapsed="false">
      <c r="A928" s="22"/>
      <c r="B928" s="22"/>
      <c r="C928" s="26" t="str">
        <f aca="false">IF(A928="","",IFERROR(buscarx(A928&amp;B928,DATA!$E$3:$E$10000&amp;DATA!$B$3:$B$10000,DATA!$M$3:$M$10000),"No encontrado"))</f>
        <v/>
      </c>
      <c r="D928" s="27" t="str">
        <f aca="false">IF(A928="","",IFERROR(buscarx(A928&amp;B928,DATA!$E$3:$E$10000&amp;DATA!$B$3:$B$10000,DATA!$W$3:$W$10000),"No encontrado"))</f>
        <v/>
      </c>
      <c r="E928" s="22"/>
      <c r="F928" s="26" t="str">
        <f aca="false">IF(A928="","",IFERROR(buscarx(A928&amp;E928,DATA!$E$3:$E$10000&amp;DATA!$B$3:$B$10000,DATA!$M$3:$M$10000),"Inactivo"))</f>
        <v/>
      </c>
      <c r="G928" s="28" t="str">
        <f aca="false">IF(A928="","",IF(AND(C928&lt;&gt;"No encontrado",F928&lt;&gt;"Inactivo"),C928&amp;" → "&amp;F928,"Sin transición"))</f>
        <v/>
      </c>
      <c r="H928" s="26" t="str">
        <f aca="false">IF(A928="","",IF(D928="GCIA LINEA SERVICIO DIGITALIDAD Y VENTAS","Chats",IF(OR(D928="GERENCIA INBOUND LÍNEAS SERVICIO Y VENTA",D928="GERENCIA INBOUND LINEAS ESPECIALIZADAS"),"Llamadas","Otro")))</f>
        <v/>
      </c>
      <c r="I928" s="26" t="str">
        <f aca="false">IF(A928="","",IF(C928="No encontrado","No","Sí"))</f>
        <v/>
      </c>
      <c r="J928" s="26" t="str">
        <f aca="false">IF(A928="","",IF(F928="Inactivo","No","Sí"))</f>
        <v/>
      </c>
      <c r="K928" s="26" t="str">
        <f aca="false">IF(A928="","",IF(AND(I928="Sí",J928="Sí"),"Sí","No"))</f>
        <v/>
      </c>
    </row>
    <row r="929" customFormat="false" ht="15" hidden="false" customHeight="false" outlineLevel="0" collapsed="false">
      <c r="A929" s="22"/>
      <c r="B929" s="22"/>
      <c r="C929" s="23" t="str">
        <f aca="false">IF(A929="","",IFERROR(buscarx(A929&amp;B929,DATA!$E$3:$E$10000&amp;DATA!$B$3:$B$10000,DATA!$M$3:$M$10000),"No encontrado"))</f>
        <v/>
      </c>
      <c r="D929" s="24" t="str">
        <f aca="false">IF(A929="","",IFERROR(buscarx(A929&amp;B929,DATA!$E$3:$E$10000&amp;DATA!$B$3:$B$10000,DATA!$W$3:$W$10000),"No encontrado"))</f>
        <v/>
      </c>
      <c r="E929" s="22"/>
      <c r="F929" s="23" t="str">
        <f aca="false">IF(A929="","",IFERROR(buscarx(A929&amp;E929,DATA!$E$3:$E$10000&amp;DATA!$B$3:$B$10000,DATA!$M$3:$M$10000),"Inactivo"))</f>
        <v/>
      </c>
      <c r="G929" s="25" t="str">
        <f aca="false">IF(A929="","",IF(AND(C929&lt;&gt;"No encontrado",F929&lt;&gt;"Inactivo"),C929&amp;" → "&amp;F929,"Sin transición"))</f>
        <v/>
      </c>
      <c r="H929" s="23" t="str">
        <f aca="false">IF(A929="","",IF(D929="GCIA LINEA SERVICIO DIGITALIDAD Y VENTAS","Chats",IF(OR(D929="GERENCIA INBOUND LÍNEAS SERVICIO Y VENTA",D929="GERENCIA INBOUND LINEAS ESPECIALIZADAS"),"Llamadas","Otro")))</f>
        <v/>
      </c>
      <c r="I929" s="23" t="str">
        <f aca="false">IF(A929="","",IF(C929="No encontrado","No","Sí"))</f>
        <v/>
      </c>
      <c r="J929" s="23" t="str">
        <f aca="false">IF(A929="","",IF(F929="Inactivo","No","Sí"))</f>
        <v/>
      </c>
      <c r="K929" s="23" t="str">
        <f aca="false">IF(A929="","",IF(AND(I929="Sí",J929="Sí"),"Sí","No"))</f>
        <v/>
      </c>
    </row>
    <row r="930" customFormat="false" ht="15" hidden="false" customHeight="false" outlineLevel="0" collapsed="false">
      <c r="A930" s="22"/>
      <c r="B930" s="22"/>
      <c r="C930" s="26" t="str">
        <f aca="false">IF(A930="","",IFERROR(buscarx(A930&amp;B930,DATA!$E$3:$E$10000&amp;DATA!$B$3:$B$10000,DATA!$M$3:$M$10000),"No encontrado"))</f>
        <v/>
      </c>
      <c r="D930" s="27" t="str">
        <f aca="false">IF(A930="","",IFERROR(buscarx(A930&amp;B930,DATA!$E$3:$E$10000&amp;DATA!$B$3:$B$10000,DATA!$W$3:$W$10000),"No encontrado"))</f>
        <v/>
      </c>
      <c r="E930" s="22"/>
      <c r="F930" s="26" t="str">
        <f aca="false">IF(A930="","",IFERROR(buscarx(A930&amp;E930,DATA!$E$3:$E$10000&amp;DATA!$B$3:$B$10000,DATA!$M$3:$M$10000),"Inactivo"))</f>
        <v/>
      </c>
      <c r="G930" s="28" t="str">
        <f aca="false">IF(A930="","",IF(AND(C930&lt;&gt;"No encontrado",F930&lt;&gt;"Inactivo"),C930&amp;" → "&amp;F930,"Sin transición"))</f>
        <v/>
      </c>
      <c r="H930" s="26" t="str">
        <f aca="false">IF(A930="","",IF(D930="GCIA LINEA SERVICIO DIGITALIDAD Y VENTAS","Chats",IF(OR(D930="GERENCIA INBOUND LÍNEAS SERVICIO Y VENTA",D930="GERENCIA INBOUND LINEAS ESPECIALIZADAS"),"Llamadas","Otro")))</f>
        <v/>
      </c>
      <c r="I930" s="26" t="str">
        <f aca="false">IF(A930="","",IF(C930="No encontrado","No","Sí"))</f>
        <v/>
      </c>
      <c r="J930" s="26" t="str">
        <f aca="false">IF(A930="","",IF(F930="Inactivo","No","Sí"))</f>
        <v/>
      </c>
      <c r="K930" s="26" t="str">
        <f aca="false">IF(A930="","",IF(AND(I930="Sí",J930="Sí"),"Sí","No"))</f>
        <v/>
      </c>
    </row>
    <row r="931" customFormat="false" ht="15" hidden="false" customHeight="false" outlineLevel="0" collapsed="false">
      <c r="A931" s="22"/>
      <c r="B931" s="22"/>
      <c r="C931" s="23" t="str">
        <f aca="false">IF(A931="","",IFERROR(buscarx(A931&amp;B931,DATA!$E$3:$E$10000&amp;DATA!$B$3:$B$10000,DATA!$M$3:$M$10000),"No encontrado"))</f>
        <v/>
      </c>
      <c r="D931" s="24" t="str">
        <f aca="false">IF(A931="","",IFERROR(buscarx(A931&amp;B931,DATA!$E$3:$E$10000&amp;DATA!$B$3:$B$10000,DATA!$W$3:$W$10000),"No encontrado"))</f>
        <v/>
      </c>
      <c r="E931" s="22"/>
      <c r="F931" s="23" t="str">
        <f aca="false">IF(A931="","",IFERROR(buscarx(A931&amp;E931,DATA!$E$3:$E$10000&amp;DATA!$B$3:$B$10000,DATA!$M$3:$M$10000),"Inactivo"))</f>
        <v/>
      </c>
      <c r="G931" s="25" t="str">
        <f aca="false">IF(A931="","",IF(AND(C931&lt;&gt;"No encontrado",F931&lt;&gt;"Inactivo"),C931&amp;" → "&amp;F931,"Sin transición"))</f>
        <v/>
      </c>
      <c r="H931" s="23" t="str">
        <f aca="false">IF(A931="","",IF(D931="GCIA LINEA SERVICIO DIGITALIDAD Y VENTAS","Chats",IF(OR(D931="GERENCIA INBOUND LÍNEAS SERVICIO Y VENTA",D931="GERENCIA INBOUND LINEAS ESPECIALIZADAS"),"Llamadas","Otro")))</f>
        <v/>
      </c>
      <c r="I931" s="23" t="str">
        <f aca="false">IF(A931="","",IF(C931="No encontrado","No","Sí"))</f>
        <v/>
      </c>
      <c r="J931" s="23" t="str">
        <f aca="false">IF(A931="","",IF(F931="Inactivo","No","Sí"))</f>
        <v/>
      </c>
      <c r="K931" s="23" t="str">
        <f aca="false">IF(A931="","",IF(AND(I931="Sí",J931="Sí"),"Sí","No"))</f>
        <v/>
      </c>
    </row>
    <row r="932" customFormat="false" ht="15" hidden="false" customHeight="false" outlineLevel="0" collapsed="false">
      <c r="A932" s="22"/>
      <c r="B932" s="22"/>
      <c r="C932" s="26" t="str">
        <f aca="false">IF(A932="","",IFERROR(buscarx(A932&amp;B932,DATA!$E$3:$E$10000&amp;DATA!$B$3:$B$10000,DATA!$M$3:$M$10000),"No encontrado"))</f>
        <v/>
      </c>
      <c r="D932" s="27" t="str">
        <f aca="false">IF(A932="","",IFERROR(buscarx(A932&amp;B932,DATA!$E$3:$E$10000&amp;DATA!$B$3:$B$10000,DATA!$W$3:$W$10000),"No encontrado"))</f>
        <v/>
      </c>
      <c r="E932" s="22"/>
      <c r="F932" s="26" t="str">
        <f aca="false">IF(A932="","",IFERROR(buscarx(A932&amp;E932,DATA!$E$3:$E$10000&amp;DATA!$B$3:$B$10000,DATA!$M$3:$M$10000),"Inactivo"))</f>
        <v/>
      </c>
      <c r="G932" s="28" t="str">
        <f aca="false">IF(A932="","",IF(AND(C932&lt;&gt;"No encontrado",F932&lt;&gt;"Inactivo"),C932&amp;" → "&amp;F932,"Sin transición"))</f>
        <v/>
      </c>
      <c r="H932" s="26" t="str">
        <f aca="false">IF(A932="","",IF(D932="GCIA LINEA SERVICIO DIGITALIDAD Y VENTAS","Chats",IF(OR(D932="GERENCIA INBOUND LÍNEAS SERVICIO Y VENTA",D932="GERENCIA INBOUND LINEAS ESPECIALIZADAS"),"Llamadas","Otro")))</f>
        <v/>
      </c>
      <c r="I932" s="26" t="str">
        <f aca="false">IF(A932="","",IF(C932="No encontrado","No","Sí"))</f>
        <v/>
      </c>
      <c r="J932" s="26" t="str">
        <f aca="false">IF(A932="","",IF(F932="Inactivo","No","Sí"))</f>
        <v/>
      </c>
      <c r="K932" s="26" t="str">
        <f aca="false">IF(A932="","",IF(AND(I932="Sí",J932="Sí"),"Sí","No"))</f>
        <v/>
      </c>
    </row>
    <row r="933" customFormat="false" ht="15" hidden="false" customHeight="false" outlineLevel="0" collapsed="false">
      <c r="A933" s="22"/>
      <c r="B933" s="22"/>
      <c r="C933" s="23" t="str">
        <f aca="false">IF(A933="","",IFERROR(buscarx(A933&amp;B933,DATA!$E$3:$E$10000&amp;DATA!$B$3:$B$10000,DATA!$M$3:$M$10000),"No encontrado"))</f>
        <v/>
      </c>
      <c r="D933" s="24" t="str">
        <f aca="false">IF(A933="","",IFERROR(buscarx(A933&amp;B933,DATA!$E$3:$E$10000&amp;DATA!$B$3:$B$10000,DATA!$W$3:$W$10000),"No encontrado"))</f>
        <v/>
      </c>
      <c r="E933" s="22"/>
      <c r="F933" s="23" t="str">
        <f aca="false">IF(A933="","",IFERROR(buscarx(A933&amp;E933,DATA!$E$3:$E$10000&amp;DATA!$B$3:$B$10000,DATA!$M$3:$M$10000),"Inactivo"))</f>
        <v/>
      </c>
      <c r="G933" s="25" t="str">
        <f aca="false">IF(A933="","",IF(AND(C933&lt;&gt;"No encontrado",F933&lt;&gt;"Inactivo"),C933&amp;" → "&amp;F933,"Sin transición"))</f>
        <v/>
      </c>
      <c r="H933" s="23" t="str">
        <f aca="false">IF(A933="","",IF(D933="GCIA LINEA SERVICIO DIGITALIDAD Y VENTAS","Chats",IF(OR(D933="GERENCIA INBOUND LÍNEAS SERVICIO Y VENTA",D933="GERENCIA INBOUND LINEAS ESPECIALIZADAS"),"Llamadas","Otro")))</f>
        <v/>
      </c>
      <c r="I933" s="23" t="str">
        <f aca="false">IF(A933="","",IF(C933="No encontrado","No","Sí"))</f>
        <v/>
      </c>
      <c r="J933" s="23" t="str">
        <f aca="false">IF(A933="","",IF(F933="Inactivo","No","Sí"))</f>
        <v/>
      </c>
      <c r="K933" s="23" t="str">
        <f aca="false">IF(A933="","",IF(AND(I933="Sí",J933="Sí"),"Sí","No"))</f>
        <v/>
      </c>
    </row>
    <row r="934" customFormat="false" ht="15" hidden="false" customHeight="false" outlineLevel="0" collapsed="false">
      <c r="A934" s="22"/>
      <c r="B934" s="22"/>
      <c r="C934" s="26" t="str">
        <f aca="false">IF(A934="","",IFERROR(buscarx(A934&amp;B934,DATA!$E$3:$E$10000&amp;DATA!$B$3:$B$10000,DATA!$M$3:$M$10000),"No encontrado"))</f>
        <v/>
      </c>
      <c r="D934" s="27" t="str">
        <f aca="false">IF(A934="","",IFERROR(buscarx(A934&amp;B934,DATA!$E$3:$E$10000&amp;DATA!$B$3:$B$10000,DATA!$W$3:$W$10000),"No encontrado"))</f>
        <v/>
      </c>
      <c r="E934" s="22"/>
      <c r="F934" s="26" t="str">
        <f aca="false">IF(A934="","",IFERROR(buscarx(A934&amp;E934,DATA!$E$3:$E$10000&amp;DATA!$B$3:$B$10000,DATA!$M$3:$M$10000),"Inactivo"))</f>
        <v/>
      </c>
      <c r="G934" s="28" t="str">
        <f aca="false">IF(A934="","",IF(AND(C934&lt;&gt;"No encontrado",F934&lt;&gt;"Inactivo"),C934&amp;" → "&amp;F934,"Sin transición"))</f>
        <v/>
      </c>
      <c r="H934" s="26" t="str">
        <f aca="false">IF(A934="","",IF(D934="GCIA LINEA SERVICIO DIGITALIDAD Y VENTAS","Chats",IF(OR(D934="GERENCIA INBOUND LÍNEAS SERVICIO Y VENTA",D934="GERENCIA INBOUND LINEAS ESPECIALIZADAS"),"Llamadas","Otro")))</f>
        <v/>
      </c>
      <c r="I934" s="26" t="str">
        <f aca="false">IF(A934="","",IF(C934="No encontrado","No","Sí"))</f>
        <v/>
      </c>
      <c r="J934" s="26" t="str">
        <f aca="false">IF(A934="","",IF(F934="Inactivo","No","Sí"))</f>
        <v/>
      </c>
      <c r="K934" s="26" t="str">
        <f aca="false">IF(A934="","",IF(AND(I934="Sí",J934="Sí"),"Sí","No"))</f>
        <v/>
      </c>
    </row>
    <row r="935" customFormat="false" ht="15" hidden="false" customHeight="false" outlineLevel="0" collapsed="false">
      <c r="A935" s="22"/>
      <c r="B935" s="22"/>
      <c r="C935" s="23" t="str">
        <f aca="false">IF(A935="","",IFERROR(buscarx(A935&amp;B935,DATA!$E$3:$E$10000&amp;DATA!$B$3:$B$10000,DATA!$M$3:$M$10000),"No encontrado"))</f>
        <v/>
      </c>
      <c r="D935" s="24" t="str">
        <f aca="false">IF(A935="","",IFERROR(buscarx(A935&amp;B935,DATA!$E$3:$E$10000&amp;DATA!$B$3:$B$10000,DATA!$W$3:$W$10000),"No encontrado"))</f>
        <v/>
      </c>
      <c r="E935" s="22"/>
      <c r="F935" s="23" t="str">
        <f aca="false">IF(A935="","",IFERROR(buscarx(A935&amp;E935,DATA!$E$3:$E$10000&amp;DATA!$B$3:$B$10000,DATA!$M$3:$M$10000),"Inactivo"))</f>
        <v/>
      </c>
      <c r="G935" s="25" t="str">
        <f aca="false">IF(A935="","",IF(AND(C935&lt;&gt;"No encontrado",F935&lt;&gt;"Inactivo"),C935&amp;" → "&amp;F935,"Sin transición"))</f>
        <v/>
      </c>
      <c r="H935" s="23" t="str">
        <f aca="false">IF(A935="","",IF(D935="GCIA LINEA SERVICIO DIGITALIDAD Y VENTAS","Chats",IF(OR(D935="GERENCIA INBOUND LÍNEAS SERVICIO Y VENTA",D935="GERENCIA INBOUND LINEAS ESPECIALIZADAS"),"Llamadas","Otro")))</f>
        <v/>
      </c>
      <c r="I935" s="23" t="str">
        <f aca="false">IF(A935="","",IF(C935="No encontrado","No","Sí"))</f>
        <v/>
      </c>
      <c r="J935" s="23" t="str">
        <f aca="false">IF(A935="","",IF(F935="Inactivo","No","Sí"))</f>
        <v/>
      </c>
      <c r="K935" s="23" t="str">
        <f aca="false">IF(A935="","",IF(AND(I935="Sí",J935="Sí"),"Sí","No"))</f>
        <v/>
      </c>
    </row>
    <row r="936" customFormat="false" ht="15" hidden="false" customHeight="false" outlineLevel="0" collapsed="false">
      <c r="A936" s="22"/>
      <c r="B936" s="22"/>
      <c r="C936" s="26" t="str">
        <f aca="false">IF(A936="","",IFERROR(buscarx(A936&amp;B936,DATA!$E$3:$E$10000&amp;DATA!$B$3:$B$10000,DATA!$M$3:$M$10000),"No encontrado"))</f>
        <v/>
      </c>
      <c r="D936" s="27" t="str">
        <f aca="false">IF(A936="","",IFERROR(buscarx(A936&amp;B936,DATA!$E$3:$E$10000&amp;DATA!$B$3:$B$10000,DATA!$W$3:$W$10000),"No encontrado"))</f>
        <v/>
      </c>
      <c r="E936" s="22"/>
      <c r="F936" s="26" t="str">
        <f aca="false">IF(A936="","",IFERROR(buscarx(A936&amp;E936,DATA!$E$3:$E$10000&amp;DATA!$B$3:$B$10000,DATA!$M$3:$M$10000),"Inactivo"))</f>
        <v/>
      </c>
      <c r="G936" s="28" t="str">
        <f aca="false">IF(A936="","",IF(AND(C936&lt;&gt;"No encontrado",F936&lt;&gt;"Inactivo"),C936&amp;" → "&amp;F936,"Sin transición"))</f>
        <v/>
      </c>
      <c r="H936" s="26" t="str">
        <f aca="false">IF(A936="","",IF(D936="GCIA LINEA SERVICIO DIGITALIDAD Y VENTAS","Chats",IF(OR(D936="GERENCIA INBOUND LÍNEAS SERVICIO Y VENTA",D936="GERENCIA INBOUND LINEAS ESPECIALIZADAS"),"Llamadas","Otro")))</f>
        <v/>
      </c>
      <c r="I936" s="26" t="str">
        <f aca="false">IF(A936="","",IF(C936="No encontrado","No","Sí"))</f>
        <v/>
      </c>
      <c r="J936" s="26" t="str">
        <f aca="false">IF(A936="","",IF(F936="Inactivo","No","Sí"))</f>
        <v/>
      </c>
      <c r="K936" s="26" t="str">
        <f aca="false">IF(A936="","",IF(AND(I936="Sí",J936="Sí"),"Sí","No"))</f>
        <v/>
      </c>
    </row>
    <row r="937" customFormat="false" ht="15" hidden="false" customHeight="false" outlineLevel="0" collapsed="false">
      <c r="A937" s="22"/>
      <c r="B937" s="22"/>
      <c r="C937" s="23" t="str">
        <f aca="false">IF(A937="","",IFERROR(buscarx(A937&amp;B937,DATA!$E$3:$E$10000&amp;DATA!$B$3:$B$10000,DATA!$M$3:$M$10000),"No encontrado"))</f>
        <v/>
      </c>
      <c r="D937" s="24" t="str">
        <f aca="false">IF(A937="","",IFERROR(buscarx(A937&amp;B937,DATA!$E$3:$E$10000&amp;DATA!$B$3:$B$10000,DATA!$W$3:$W$10000),"No encontrado"))</f>
        <v/>
      </c>
      <c r="E937" s="22"/>
      <c r="F937" s="23" t="str">
        <f aca="false">IF(A937="","",IFERROR(buscarx(A937&amp;E937,DATA!$E$3:$E$10000&amp;DATA!$B$3:$B$10000,DATA!$M$3:$M$10000),"Inactivo"))</f>
        <v/>
      </c>
      <c r="G937" s="25" t="str">
        <f aca="false">IF(A937="","",IF(AND(C937&lt;&gt;"No encontrado",F937&lt;&gt;"Inactivo"),C937&amp;" → "&amp;F937,"Sin transición"))</f>
        <v/>
      </c>
      <c r="H937" s="23" t="str">
        <f aca="false">IF(A937="","",IF(D937="GCIA LINEA SERVICIO DIGITALIDAD Y VENTAS","Chats",IF(OR(D937="GERENCIA INBOUND LÍNEAS SERVICIO Y VENTA",D937="GERENCIA INBOUND LINEAS ESPECIALIZADAS"),"Llamadas","Otro")))</f>
        <v/>
      </c>
      <c r="I937" s="23" t="str">
        <f aca="false">IF(A937="","",IF(C937="No encontrado","No","Sí"))</f>
        <v/>
      </c>
      <c r="J937" s="23" t="str">
        <f aca="false">IF(A937="","",IF(F937="Inactivo","No","Sí"))</f>
        <v/>
      </c>
      <c r="K937" s="23" t="str">
        <f aca="false">IF(A937="","",IF(AND(I937="Sí",J937="Sí"),"Sí","No"))</f>
        <v/>
      </c>
    </row>
    <row r="938" customFormat="false" ht="15" hidden="false" customHeight="false" outlineLevel="0" collapsed="false">
      <c r="A938" s="22"/>
      <c r="B938" s="22"/>
      <c r="C938" s="26" t="str">
        <f aca="false">IF(A938="","",IFERROR(buscarx(A938&amp;B938,DATA!$E$3:$E$10000&amp;DATA!$B$3:$B$10000,DATA!$M$3:$M$10000),"No encontrado"))</f>
        <v/>
      </c>
      <c r="D938" s="27" t="str">
        <f aca="false">IF(A938="","",IFERROR(buscarx(A938&amp;B938,DATA!$E$3:$E$10000&amp;DATA!$B$3:$B$10000,DATA!$W$3:$W$10000),"No encontrado"))</f>
        <v/>
      </c>
      <c r="E938" s="22"/>
      <c r="F938" s="26" t="str">
        <f aca="false">IF(A938="","",IFERROR(buscarx(A938&amp;E938,DATA!$E$3:$E$10000&amp;DATA!$B$3:$B$10000,DATA!$M$3:$M$10000),"Inactivo"))</f>
        <v/>
      </c>
      <c r="G938" s="28" t="str">
        <f aca="false">IF(A938="","",IF(AND(C938&lt;&gt;"No encontrado",F938&lt;&gt;"Inactivo"),C938&amp;" → "&amp;F938,"Sin transición"))</f>
        <v/>
      </c>
      <c r="H938" s="26" t="str">
        <f aca="false">IF(A938="","",IF(D938="GCIA LINEA SERVICIO DIGITALIDAD Y VENTAS","Chats",IF(OR(D938="GERENCIA INBOUND LÍNEAS SERVICIO Y VENTA",D938="GERENCIA INBOUND LINEAS ESPECIALIZADAS"),"Llamadas","Otro")))</f>
        <v/>
      </c>
      <c r="I938" s="26" t="str">
        <f aca="false">IF(A938="","",IF(C938="No encontrado","No","Sí"))</f>
        <v/>
      </c>
      <c r="J938" s="26" t="str">
        <f aca="false">IF(A938="","",IF(F938="Inactivo","No","Sí"))</f>
        <v/>
      </c>
      <c r="K938" s="26" t="str">
        <f aca="false">IF(A938="","",IF(AND(I938="Sí",J938="Sí"),"Sí","No"))</f>
        <v/>
      </c>
    </row>
    <row r="939" customFormat="false" ht="15" hidden="false" customHeight="false" outlineLevel="0" collapsed="false">
      <c r="A939" s="22"/>
      <c r="B939" s="22"/>
      <c r="C939" s="23" t="str">
        <f aca="false">IF(A939="","",IFERROR(buscarx(A939&amp;B939,DATA!$E$3:$E$10000&amp;DATA!$B$3:$B$10000,DATA!$M$3:$M$10000),"No encontrado"))</f>
        <v/>
      </c>
      <c r="D939" s="24" t="str">
        <f aca="false">IF(A939="","",IFERROR(buscarx(A939&amp;B939,DATA!$E$3:$E$10000&amp;DATA!$B$3:$B$10000,DATA!$W$3:$W$10000),"No encontrado"))</f>
        <v/>
      </c>
      <c r="E939" s="22"/>
      <c r="F939" s="23" t="str">
        <f aca="false">IF(A939="","",IFERROR(buscarx(A939&amp;E939,DATA!$E$3:$E$10000&amp;DATA!$B$3:$B$10000,DATA!$M$3:$M$10000),"Inactivo"))</f>
        <v/>
      </c>
      <c r="G939" s="25" t="str">
        <f aca="false">IF(A939="","",IF(AND(C939&lt;&gt;"No encontrado",F939&lt;&gt;"Inactivo"),C939&amp;" → "&amp;F939,"Sin transición"))</f>
        <v/>
      </c>
      <c r="H939" s="23" t="str">
        <f aca="false">IF(A939="","",IF(D939="GCIA LINEA SERVICIO DIGITALIDAD Y VENTAS","Chats",IF(OR(D939="GERENCIA INBOUND LÍNEAS SERVICIO Y VENTA",D939="GERENCIA INBOUND LINEAS ESPECIALIZADAS"),"Llamadas","Otro")))</f>
        <v/>
      </c>
      <c r="I939" s="23" t="str">
        <f aca="false">IF(A939="","",IF(C939="No encontrado","No","Sí"))</f>
        <v/>
      </c>
      <c r="J939" s="23" t="str">
        <f aca="false">IF(A939="","",IF(F939="Inactivo","No","Sí"))</f>
        <v/>
      </c>
      <c r="K939" s="23" t="str">
        <f aca="false">IF(A939="","",IF(AND(I939="Sí",J939="Sí"),"Sí","No"))</f>
        <v/>
      </c>
    </row>
    <row r="940" customFormat="false" ht="15" hidden="false" customHeight="false" outlineLevel="0" collapsed="false">
      <c r="A940" s="22"/>
      <c r="B940" s="22"/>
      <c r="C940" s="26" t="str">
        <f aca="false">IF(A940="","",IFERROR(buscarx(A940&amp;B940,DATA!$E$3:$E$10000&amp;DATA!$B$3:$B$10000,DATA!$M$3:$M$10000),"No encontrado"))</f>
        <v/>
      </c>
      <c r="D940" s="27" t="str">
        <f aca="false">IF(A940="","",IFERROR(buscarx(A940&amp;B940,DATA!$E$3:$E$10000&amp;DATA!$B$3:$B$10000,DATA!$W$3:$W$10000),"No encontrado"))</f>
        <v/>
      </c>
      <c r="E940" s="22"/>
      <c r="F940" s="26" t="str">
        <f aca="false">IF(A940="","",IFERROR(buscarx(A940&amp;E940,DATA!$E$3:$E$10000&amp;DATA!$B$3:$B$10000,DATA!$M$3:$M$10000),"Inactivo"))</f>
        <v/>
      </c>
      <c r="G940" s="28" t="str">
        <f aca="false">IF(A940="","",IF(AND(C940&lt;&gt;"No encontrado",F940&lt;&gt;"Inactivo"),C940&amp;" → "&amp;F940,"Sin transición"))</f>
        <v/>
      </c>
      <c r="H940" s="26" t="str">
        <f aca="false">IF(A940="","",IF(D940="GCIA LINEA SERVICIO DIGITALIDAD Y VENTAS","Chats",IF(OR(D940="GERENCIA INBOUND LÍNEAS SERVICIO Y VENTA",D940="GERENCIA INBOUND LINEAS ESPECIALIZADAS"),"Llamadas","Otro")))</f>
        <v/>
      </c>
      <c r="I940" s="26" t="str">
        <f aca="false">IF(A940="","",IF(C940="No encontrado","No","Sí"))</f>
        <v/>
      </c>
      <c r="J940" s="26" t="str">
        <f aca="false">IF(A940="","",IF(F940="Inactivo","No","Sí"))</f>
        <v/>
      </c>
      <c r="K940" s="26" t="str">
        <f aca="false">IF(A940="","",IF(AND(I940="Sí",J940="Sí"),"Sí","No"))</f>
        <v/>
      </c>
    </row>
    <row r="941" customFormat="false" ht="15" hidden="false" customHeight="false" outlineLevel="0" collapsed="false">
      <c r="A941" s="22"/>
      <c r="B941" s="22"/>
      <c r="C941" s="23" t="str">
        <f aca="false">IF(A941="","",IFERROR(buscarx(A941&amp;B941,DATA!$E$3:$E$10000&amp;DATA!$B$3:$B$10000,DATA!$M$3:$M$10000),"No encontrado"))</f>
        <v/>
      </c>
      <c r="D941" s="24" t="str">
        <f aca="false">IF(A941="","",IFERROR(buscarx(A941&amp;B941,DATA!$E$3:$E$10000&amp;DATA!$B$3:$B$10000,DATA!$W$3:$W$10000),"No encontrado"))</f>
        <v/>
      </c>
      <c r="E941" s="22"/>
      <c r="F941" s="23" t="str">
        <f aca="false">IF(A941="","",IFERROR(buscarx(A941&amp;E941,DATA!$E$3:$E$10000&amp;DATA!$B$3:$B$10000,DATA!$M$3:$M$10000),"Inactivo"))</f>
        <v/>
      </c>
      <c r="G941" s="25" t="str">
        <f aca="false">IF(A941="","",IF(AND(C941&lt;&gt;"No encontrado",F941&lt;&gt;"Inactivo"),C941&amp;" → "&amp;F941,"Sin transición"))</f>
        <v/>
      </c>
      <c r="H941" s="23" t="str">
        <f aca="false">IF(A941="","",IF(D941="GCIA LINEA SERVICIO DIGITALIDAD Y VENTAS","Chats",IF(OR(D941="GERENCIA INBOUND LÍNEAS SERVICIO Y VENTA",D941="GERENCIA INBOUND LINEAS ESPECIALIZADAS"),"Llamadas","Otro")))</f>
        <v/>
      </c>
      <c r="I941" s="23" t="str">
        <f aca="false">IF(A941="","",IF(C941="No encontrado","No","Sí"))</f>
        <v/>
      </c>
      <c r="J941" s="23" t="str">
        <f aca="false">IF(A941="","",IF(F941="Inactivo","No","Sí"))</f>
        <v/>
      </c>
      <c r="K941" s="23" t="str">
        <f aca="false">IF(A941="","",IF(AND(I941="Sí",J941="Sí"),"Sí","No"))</f>
        <v/>
      </c>
    </row>
    <row r="942" customFormat="false" ht="15" hidden="false" customHeight="false" outlineLevel="0" collapsed="false">
      <c r="A942" s="22"/>
      <c r="B942" s="22"/>
      <c r="C942" s="26" t="str">
        <f aca="false">IF(A942="","",IFERROR(buscarx(A942&amp;B942,DATA!$E$3:$E$10000&amp;DATA!$B$3:$B$10000,DATA!$M$3:$M$10000),"No encontrado"))</f>
        <v/>
      </c>
      <c r="D942" s="27" t="str">
        <f aca="false">IF(A942="","",IFERROR(buscarx(A942&amp;B942,DATA!$E$3:$E$10000&amp;DATA!$B$3:$B$10000,DATA!$W$3:$W$10000),"No encontrado"))</f>
        <v/>
      </c>
      <c r="E942" s="22"/>
      <c r="F942" s="26" t="str">
        <f aca="false">IF(A942="","",IFERROR(buscarx(A942&amp;E942,DATA!$E$3:$E$10000&amp;DATA!$B$3:$B$10000,DATA!$M$3:$M$10000),"Inactivo"))</f>
        <v/>
      </c>
      <c r="G942" s="28" t="str">
        <f aca="false">IF(A942="","",IF(AND(C942&lt;&gt;"No encontrado",F942&lt;&gt;"Inactivo"),C942&amp;" → "&amp;F942,"Sin transición"))</f>
        <v/>
      </c>
      <c r="H942" s="26" t="str">
        <f aca="false">IF(A942="","",IF(D942="GCIA LINEA SERVICIO DIGITALIDAD Y VENTAS","Chats",IF(OR(D942="GERENCIA INBOUND LÍNEAS SERVICIO Y VENTA",D942="GERENCIA INBOUND LINEAS ESPECIALIZADAS"),"Llamadas","Otro")))</f>
        <v/>
      </c>
      <c r="I942" s="26" t="str">
        <f aca="false">IF(A942="","",IF(C942="No encontrado","No","Sí"))</f>
        <v/>
      </c>
      <c r="J942" s="26" t="str">
        <f aca="false">IF(A942="","",IF(F942="Inactivo","No","Sí"))</f>
        <v/>
      </c>
      <c r="K942" s="26" t="str">
        <f aca="false">IF(A942="","",IF(AND(I942="Sí",J942="Sí"),"Sí","No"))</f>
        <v/>
      </c>
    </row>
    <row r="943" customFormat="false" ht="15" hidden="false" customHeight="false" outlineLevel="0" collapsed="false">
      <c r="A943" s="22"/>
      <c r="B943" s="22"/>
      <c r="C943" s="23" t="str">
        <f aca="false">IF(A943="","",IFERROR(buscarx(A943&amp;B943,DATA!$E$3:$E$10000&amp;DATA!$B$3:$B$10000,DATA!$M$3:$M$10000),"No encontrado"))</f>
        <v/>
      </c>
      <c r="D943" s="24" t="str">
        <f aca="false">IF(A943="","",IFERROR(buscarx(A943&amp;B943,DATA!$E$3:$E$10000&amp;DATA!$B$3:$B$10000,DATA!$W$3:$W$10000),"No encontrado"))</f>
        <v/>
      </c>
      <c r="E943" s="22"/>
      <c r="F943" s="23" t="str">
        <f aca="false">IF(A943="","",IFERROR(buscarx(A943&amp;E943,DATA!$E$3:$E$10000&amp;DATA!$B$3:$B$10000,DATA!$M$3:$M$10000),"Inactivo"))</f>
        <v/>
      </c>
      <c r="G943" s="25" t="str">
        <f aca="false">IF(A943="","",IF(AND(C943&lt;&gt;"No encontrado",F943&lt;&gt;"Inactivo"),C943&amp;" → "&amp;F943,"Sin transición"))</f>
        <v/>
      </c>
      <c r="H943" s="23" t="str">
        <f aca="false">IF(A943="","",IF(D943="GCIA LINEA SERVICIO DIGITALIDAD Y VENTAS","Chats",IF(OR(D943="GERENCIA INBOUND LÍNEAS SERVICIO Y VENTA",D943="GERENCIA INBOUND LINEAS ESPECIALIZADAS"),"Llamadas","Otro")))</f>
        <v/>
      </c>
      <c r="I943" s="23" t="str">
        <f aca="false">IF(A943="","",IF(C943="No encontrado","No","Sí"))</f>
        <v/>
      </c>
      <c r="J943" s="23" t="str">
        <f aca="false">IF(A943="","",IF(F943="Inactivo","No","Sí"))</f>
        <v/>
      </c>
      <c r="K943" s="23" t="str">
        <f aca="false">IF(A943="","",IF(AND(I943="Sí",J943="Sí"),"Sí","No"))</f>
        <v/>
      </c>
    </row>
    <row r="944" customFormat="false" ht="15" hidden="false" customHeight="false" outlineLevel="0" collapsed="false">
      <c r="A944" s="22"/>
      <c r="B944" s="22"/>
      <c r="C944" s="26" t="str">
        <f aca="false">IF(A944="","",IFERROR(buscarx(A944&amp;B944,DATA!$E$3:$E$10000&amp;DATA!$B$3:$B$10000,DATA!$M$3:$M$10000),"No encontrado"))</f>
        <v/>
      </c>
      <c r="D944" s="27" t="str">
        <f aca="false">IF(A944="","",IFERROR(buscarx(A944&amp;B944,DATA!$E$3:$E$10000&amp;DATA!$B$3:$B$10000,DATA!$W$3:$W$10000),"No encontrado"))</f>
        <v/>
      </c>
      <c r="E944" s="22"/>
      <c r="F944" s="26" t="str">
        <f aca="false">IF(A944="","",IFERROR(buscarx(A944&amp;E944,DATA!$E$3:$E$10000&amp;DATA!$B$3:$B$10000,DATA!$M$3:$M$10000),"Inactivo"))</f>
        <v/>
      </c>
      <c r="G944" s="28" t="str">
        <f aca="false">IF(A944="","",IF(AND(C944&lt;&gt;"No encontrado",F944&lt;&gt;"Inactivo"),C944&amp;" → "&amp;F944,"Sin transición"))</f>
        <v/>
      </c>
      <c r="H944" s="26" t="str">
        <f aca="false">IF(A944="","",IF(D944="GCIA LINEA SERVICIO DIGITALIDAD Y VENTAS","Chats",IF(OR(D944="GERENCIA INBOUND LÍNEAS SERVICIO Y VENTA",D944="GERENCIA INBOUND LINEAS ESPECIALIZADAS"),"Llamadas","Otro")))</f>
        <v/>
      </c>
      <c r="I944" s="26" t="str">
        <f aca="false">IF(A944="","",IF(C944="No encontrado","No","Sí"))</f>
        <v/>
      </c>
      <c r="J944" s="26" t="str">
        <f aca="false">IF(A944="","",IF(F944="Inactivo","No","Sí"))</f>
        <v/>
      </c>
      <c r="K944" s="26" t="str">
        <f aca="false">IF(A944="","",IF(AND(I944="Sí",J944="Sí"),"Sí","No"))</f>
        <v/>
      </c>
    </row>
    <row r="945" customFormat="false" ht="15" hidden="false" customHeight="false" outlineLevel="0" collapsed="false">
      <c r="A945" s="22"/>
      <c r="B945" s="22"/>
      <c r="C945" s="23" t="str">
        <f aca="false">IF(A945="","",IFERROR(buscarx(A945&amp;B945,DATA!$E$3:$E$10000&amp;DATA!$B$3:$B$10000,DATA!$M$3:$M$10000),"No encontrado"))</f>
        <v/>
      </c>
      <c r="D945" s="24" t="str">
        <f aca="false">IF(A945="","",IFERROR(buscarx(A945&amp;B945,DATA!$E$3:$E$10000&amp;DATA!$B$3:$B$10000,DATA!$W$3:$W$10000),"No encontrado"))</f>
        <v/>
      </c>
      <c r="E945" s="22"/>
      <c r="F945" s="23" t="str">
        <f aca="false">IF(A945="","",IFERROR(buscarx(A945&amp;E945,DATA!$E$3:$E$10000&amp;DATA!$B$3:$B$10000,DATA!$M$3:$M$10000),"Inactivo"))</f>
        <v/>
      </c>
      <c r="G945" s="25" t="str">
        <f aca="false">IF(A945="","",IF(AND(C945&lt;&gt;"No encontrado",F945&lt;&gt;"Inactivo"),C945&amp;" → "&amp;F945,"Sin transición"))</f>
        <v/>
      </c>
      <c r="H945" s="23" t="str">
        <f aca="false">IF(A945="","",IF(D945="GCIA LINEA SERVICIO DIGITALIDAD Y VENTAS","Chats",IF(OR(D945="GERENCIA INBOUND LÍNEAS SERVICIO Y VENTA",D945="GERENCIA INBOUND LINEAS ESPECIALIZADAS"),"Llamadas","Otro")))</f>
        <v/>
      </c>
      <c r="I945" s="23" t="str">
        <f aca="false">IF(A945="","",IF(C945="No encontrado","No","Sí"))</f>
        <v/>
      </c>
      <c r="J945" s="23" t="str">
        <f aca="false">IF(A945="","",IF(F945="Inactivo","No","Sí"))</f>
        <v/>
      </c>
      <c r="K945" s="23" t="str">
        <f aca="false">IF(A945="","",IF(AND(I945="Sí",J945="Sí"),"Sí","No"))</f>
        <v/>
      </c>
    </row>
    <row r="946" customFormat="false" ht="15" hidden="false" customHeight="false" outlineLevel="0" collapsed="false">
      <c r="A946" s="22"/>
      <c r="B946" s="22"/>
      <c r="C946" s="26" t="str">
        <f aca="false">IF(A946="","",IFERROR(buscarx(A946&amp;B946,DATA!$E$3:$E$10000&amp;DATA!$B$3:$B$10000,DATA!$M$3:$M$10000),"No encontrado"))</f>
        <v/>
      </c>
      <c r="D946" s="27" t="str">
        <f aca="false">IF(A946="","",IFERROR(buscarx(A946&amp;B946,DATA!$E$3:$E$10000&amp;DATA!$B$3:$B$10000,DATA!$W$3:$W$10000),"No encontrado"))</f>
        <v/>
      </c>
      <c r="E946" s="22"/>
      <c r="F946" s="26" t="str">
        <f aca="false">IF(A946="","",IFERROR(buscarx(A946&amp;E946,DATA!$E$3:$E$10000&amp;DATA!$B$3:$B$10000,DATA!$M$3:$M$10000),"Inactivo"))</f>
        <v/>
      </c>
      <c r="G946" s="28" t="str">
        <f aca="false">IF(A946="","",IF(AND(C946&lt;&gt;"No encontrado",F946&lt;&gt;"Inactivo"),C946&amp;" → "&amp;F946,"Sin transición"))</f>
        <v/>
      </c>
      <c r="H946" s="26" t="str">
        <f aca="false">IF(A946="","",IF(D946="GCIA LINEA SERVICIO DIGITALIDAD Y VENTAS","Chats",IF(OR(D946="GERENCIA INBOUND LÍNEAS SERVICIO Y VENTA",D946="GERENCIA INBOUND LINEAS ESPECIALIZADAS"),"Llamadas","Otro")))</f>
        <v/>
      </c>
      <c r="I946" s="26" t="str">
        <f aca="false">IF(A946="","",IF(C946="No encontrado","No","Sí"))</f>
        <v/>
      </c>
      <c r="J946" s="26" t="str">
        <f aca="false">IF(A946="","",IF(F946="Inactivo","No","Sí"))</f>
        <v/>
      </c>
      <c r="K946" s="26" t="str">
        <f aca="false">IF(A946="","",IF(AND(I946="Sí",J946="Sí"),"Sí","No"))</f>
        <v/>
      </c>
    </row>
    <row r="947" customFormat="false" ht="15" hidden="false" customHeight="false" outlineLevel="0" collapsed="false">
      <c r="A947" s="22"/>
      <c r="B947" s="22"/>
      <c r="C947" s="23" t="str">
        <f aca="false">IF(A947="","",IFERROR(buscarx(A947&amp;B947,DATA!$E$3:$E$10000&amp;DATA!$B$3:$B$10000,DATA!$M$3:$M$10000),"No encontrado"))</f>
        <v/>
      </c>
      <c r="D947" s="24" t="str">
        <f aca="false">IF(A947="","",IFERROR(buscarx(A947&amp;B947,DATA!$E$3:$E$10000&amp;DATA!$B$3:$B$10000,DATA!$W$3:$W$10000),"No encontrado"))</f>
        <v/>
      </c>
      <c r="E947" s="22"/>
      <c r="F947" s="23" t="str">
        <f aca="false">IF(A947="","",IFERROR(buscarx(A947&amp;E947,DATA!$E$3:$E$10000&amp;DATA!$B$3:$B$10000,DATA!$M$3:$M$10000),"Inactivo"))</f>
        <v/>
      </c>
      <c r="G947" s="25" t="str">
        <f aca="false">IF(A947="","",IF(AND(C947&lt;&gt;"No encontrado",F947&lt;&gt;"Inactivo"),C947&amp;" → "&amp;F947,"Sin transición"))</f>
        <v/>
      </c>
      <c r="H947" s="23" t="str">
        <f aca="false">IF(A947="","",IF(D947="GCIA LINEA SERVICIO DIGITALIDAD Y VENTAS","Chats",IF(OR(D947="GERENCIA INBOUND LÍNEAS SERVICIO Y VENTA",D947="GERENCIA INBOUND LINEAS ESPECIALIZADAS"),"Llamadas","Otro")))</f>
        <v/>
      </c>
      <c r="I947" s="23" t="str">
        <f aca="false">IF(A947="","",IF(C947="No encontrado","No","Sí"))</f>
        <v/>
      </c>
      <c r="J947" s="23" t="str">
        <f aca="false">IF(A947="","",IF(F947="Inactivo","No","Sí"))</f>
        <v/>
      </c>
      <c r="K947" s="23" t="str">
        <f aca="false">IF(A947="","",IF(AND(I947="Sí",J947="Sí"),"Sí","No"))</f>
        <v/>
      </c>
    </row>
    <row r="948" customFormat="false" ht="15" hidden="false" customHeight="false" outlineLevel="0" collapsed="false">
      <c r="A948" s="22"/>
      <c r="B948" s="22"/>
      <c r="C948" s="26" t="str">
        <f aca="false">IF(A948="","",IFERROR(buscarx(A948&amp;B948,DATA!$E$3:$E$10000&amp;DATA!$B$3:$B$10000,DATA!$M$3:$M$10000),"No encontrado"))</f>
        <v/>
      </c>
      <c r="D948" s="27" t="str">
        <f aca="false">IF(A948="","",IFERROR(buscarx(A948&amp;B948,DATA!$E$3:$E$10000&amp;DATA!$B$3:$B$10000,DATA!$W$3:$W$10000),"No encontrado"))</f>
        <v/>
      </c>
      <c r="E948" s="22"/>
      <c r="F948" s="26" t="str">
        <f aca="false">IF(A948="","",IFERROR(buscarx(A948&amp;E948,DATA!$E$3:$E$10000&amp;DATA!$B$3:$B$10000,DATA!$M$3:$M$10000),"Inactivo"))</f>
        <v/>
      </c>
      <c r="G948" s="28" t="str">
        <f aca="false">IF(A948="","",IF(AND(C948&lt;&gt;"No encontrado",F948&lt;&gt;"Inactivo"),C948&amp;" → "&amp;F948,"Sin transición"))</f>
        <v/>
      </c>
      <c r="H948" s="26" t="str">
        <f aca="false">IF(A948="","",IF(D948="GCIA LINEA SERVICIO DIGITALIDAD Y VENTAS","Chats",IF(OR(D948="GERENCIA INBOUND LÍNEAS SERVICIO Y VENTA",D948="GERENCIA INBOUND LINEAS ESPECIALIZADAS"),"Llamadas","Otro")))</f>
        <v/>
      </c>
      <c r="I948" s="26" t="str">
        <f aca="false">IF(A948="","",IF(C948="No encontrado","No","Sí"))</f>
        <v/>
      </c>
      <c r="J948" s="26" t="str">
        <f aca="false">IF(A948="","",IF(F948="Inactivo","No","Sí"))</f>
        <v/>
      </c>
      <c r="K948" s="26" t="str">
        <f aca="false">IF(A948="","",IF(AND(I948="Sí",J948="Sí"),"Sí","No"))</f>
        <v/>
      </c>
    </row>
    <row r="949" customFormat="false" ht="15" hidden="false" customHeight="false" outlineLevel="0" collapsed="false">
      <c r="A949" s="22"/>
      <c r="B949" s="22"/>
      <c r="C949" s="23" t="str">
        <f aca="false">IF(A949="","",IFERROR(buscarx(A949&amp;B949,DATA!$E$3:$E$10000&amp;DATA!$B$3:$B$10000,DATA!$M$3:$M$10000),"No encontrado"))</f>
        <v/>
      </c>
      <c r="D949" s="24" t="str">
        <f aca="false">IF(A949="","",IFERROR(buscarx(A949&amp;B949,DATA!$E$3:$E$10000&amp;DATA!$B$3:$B$10000,DATA!$W$3:$W$10000),"No encontrado"))</f>
        <v/>
      </c>
      <c r="E949" s="22"/>
      <c r="F949" s="23" t="str">
        <f aca="false">IF(A949="","",IFERROR(buscarx(A949&amp;E949,DATA!$E$3:$E$10000&amp;DATA!$B$3:$B$10000,DATA!$M$3:$M$10000),"Inactivo"))</f>
        <v/>
      </c>
      <c r="G949" s="25" t="str">
        <f aca="false">IF(A949="","",IF(AND(C949&lt;&gt;"No encontrado",F949&lt;&gt;"Inactivo"),C949&amp;" → "&amp;F949,"Sin transición"))</f>
        <v/>
      </c>
      <c r="H949" s="23" t="str">
        <f aca="false">IF(A949="","",IF(D949="GCIA LINEA SERVICIO DIGITALIDAD Y VENTAS","Chats",IF(OR(D949="GERENCIA INBOUND LÍNEAS SERVICIO Y VENTA",D949="GERENCIA INBOUND LINEAS ESPECIALIZADAS"),"Llamadas","Otro")))</f>
        <v/>
      </c>
      <c r="I949" s="23" t="str">
        <f aca="false">IF(A949="","",IF(C949="No encontrado","No","Sí"))</f>
        <v/>
      </c>
      <c r="J949" s="23" t="str">
        <f aca="false">IF(A949="","",IF(F949="Inactivo","No","Sí"))</f>
        <v/>
      </c>
      <c r="K949" s="23" t="str">
        <f aca="false">IF(A949="","",IF(AND(I949="Sí",J949="Sí"),"Sí","No"))</f>
        <v/>
      </c>
    </row>
    <row r="950" customFormat="false" ht="15" hidden="false" customHeight="false" outlineLevel="0" collapsed="false">
      <c r="A950" s="22"/>
      <c r="B950" s="22"/>
      <c r="C950" s="26" t="str">
        <f aca="false">IF(A950="","",IFERROR(buscarx(A950&amp;B950,DATA!$E$3:$E$10000&amp;DATA!$B$3:$B$10000,DATA!$M$3:$M$10000),"No encontrado"))</f>
        <v/>
      </c>
      <c r="D950" s="27" t="str">
        <f aca="false">IF(A950="","",IFERROR(buscarx(A950&amp;B950,DATA!$E$3:$E$10000&amp;DATA!$B$3:$B$10000,DATA!$W$3:$W$10000),"No encontrado"))</f>
        <v/>
      </c>
      <c r="E950" s="22"/>
      <c r="F950" s="26" t="str">
        <f aca="false">IF(A950="","",IFERROR(buscarx(A950&amp;E950,DATA!$E$3:$E$10000&amp;DATA!$B$3:$B$10000,DATA!$M$3:$M$10000),"Inactivo"))</f>
        <v/>
      </c>
      <c r="G950" s="28" t="str">
        <f aca="false">IF(A950="","",IF(AND(C950&lt;&gt;"No encontrado",F950&lt;&gt;"Inactivo"),C950&amp;" → "&amp;F950,"Sin transición"))</f>
        <v/>
      </c>
      <c r="H950" s="26" t="str">
        <f aca="false">IF(A950="","",IF(D950="GCIA LINEA SERVICIO DIGITALIDAD Y VENTAS","Chats",IF(OR(D950="GERENCIA INBOUND LÍNEAS SERVICIO Y VENTA",D950="GERENCIA INBOUND LINEAS ESPECIALIZADAS"),"Llamadas","Otro")))</f>
        <v/>
      </c>
      <c r="I950" s="26" t="str">
        <f aca="false">IF(A950="","",IF(C950="No encontrado","No","Sí"))</f>
        <v/>
      </c>
      <c r="J950" s="26" t="str">
        <f aca="false">IF(A950="","",IF(F950="Inactivo","No","Sí"))</f>
        <v/>
      </c>
      <c r="K950" s="26" t="str">
        <f aca="false">IF(A950="","",IF(AND(I950="Sí",J950="Sí"),"Sí","No"))</f>
        <v/>
      </c>
    </row>
    <row r="951" customFormat="false" ht="15" hidden="false" customHeight="false" outlineLevel="0" collapsed="false">
      <c r="A951" s="22"/>
      <c r="B951" s="22"/>
      <c r="C951" s="23" t="str">
        <f aca="false">IF(A951="","",IFERROR(buscarx(A951&amp;B951,DATA!$E$3:$E$10000&amp;DATA!$B$3:$B$10000,DATA!$M$3:$M$10000),"No encontrado"))</f>
        <v/>
      </c>
      <c r="D951" s="24" t="str">
        <f aca="false">IF(A951="","",IFERROR(buscarx(A951&amp;B951,DATA!$E$3:$E$10000&amp;DATA!$B$3:$B$10000,DATA!$W$3:$W$10000),"No encontrado"))</f>
        <v/>
      </c>
      <c r="E951" s="22"/>
      <c r="F951" s="23" t="str">
        <f aca="false">IF(A951="","",IFERROR(buscarx(A951&amp;E951,DATA!$E$3:$E$10000&amp;DATA!$B$3:$B$10000,DATA!$M$3:$M$10000),"Inactivo"))</f>
        <v/>
      </c>
      <c r="G951" s="25" t="str">
        <f aca="false">IF(A951="","",IF(AND(C951&lt;&gt;"No encontrado",F951&lt;&gt;"Inactivo"),C951&amp;" → "&amp;F951,"Sin transición"))</f>
        <v/>
      </c>
      <c r="H951" s="23" t="str">
        <f aca="false">IF(A951="","",IF(D951="GCIA LINEA SERVICIO DIGITALIDAD Y VENTAS","Chats",IF(OR(D951="GERENCIA INBOUND LÍNEAS SERVICIO Y VENTA",D951="GERENCIA INBOUND LINEAS ESPECIALIZADAS"),"Llamadas","Otro")))</f>
        <v/>
      </c>
      <c r="I951" s="23" t="str">
        <f aca="false">IF(A951="","",IF(C951="No encontrado","No","Sí"))</f>
        <v/>
      </c>
      <c r="J951" s="23" t="str">
        <f aca="false">IF(A951="","",IF(F951="Inactivo","No","Sí"))</f>
        <v/>
      </c>
      <c r="K951" s="23" t="str">
        <f aca="false">IF(A951="","",IF(AND(I951="Sí",J951="Sí"),"Sí","No"))</f>
        <v/>
      </c>
    </row>
    <row r="952" customFormat="false" ht="15" hidden="false" customHeight="false" outlineLevel="0" collapsed="false">
      <c r="A952" s="22"/>
      <c r="B952" s="22"/>
      <c r="C952" s="26" t="str">
        <f aca="false">IF(A952="","",IFERROR(buscarx(A952&amp;B952,DATA!$E$3:$E$10000&amp;DATA!$B$3:$B$10000,DATA!$M$3:$M$10000),"No encontrado"))</f>
        <v/>
      </c>
      <c r="D952" s="27" t="str">
        <f aca="false">IF(A952="","",IFERROR(buscarx(A952&amp;B952,DATA!$E$3:$E$10000&amp;DATA!$B$3:$B$10000,DATA!$W$3:$W$10000),"No encontrado"))</f>
        <v/>
      </c>
      <c r="E952" s="22"/>
      <c r="F952" s="26" t="str">
        <f aca="false">IF(A952="","",IFERROR(buscarx(A952&amp;E952,DATA!$E$3:$E$10000&amp;DATA!$B$3:$B$10000,DATA!$M$3:$M$10000),"Inactivo"))</f>
        <v/>
      </c>
      <c r="G952" s="28" t="str">
        <f aca="false">IF(A952="","",IF(AND(C952&lt;&gt;"No encontrado",F952&lt;&gt;"Inactivo"),C952&amp;" → "&amp;F952,"Sin transición"))</f>
        <v/>
      </c>
      <c r="H952" s="26" t="str">
        <f aca="false">IF(A952="","",IF(D952="GCIA LINEA SERVICIO DIGITALIDAD Y VENTAS","Chats",IF(OR(D952="GERENCIA INBOUND LÍNEAS SERVICIO Y VENTA",D952="GERENCIA INBOUND LINEAS ESPECIALIZADAS"),"Llamadas","Otro")))</f>
        <v/>
      </c>
      <c r="I952" s="26" t="str">
        <f aca="false">IF(A952="","",IF(C952="No encontrado","No","Sí"))</f>
        <v/>
      </c>
      <c r="J952" s="26" t="str">
        <f aca="false">IF(A952="","",IF(F952="Inactivo","No","Sí"))</f>
        <v/>
      </c>
      <c r="K952" s="26" t="str">
        <f aca="false">IF(A952="","",IF(AND(I952="Sí",J952="Sí"),"Sí","No"))</f>
        <v/>
      </c>
    </row>
    <row r="953" customFormat="false" ht="15" hidden="false" customHeight="false" outlineLevel="0" collapsed="false">
      <c r="A953" s="22"/>
      <c r="B953" s="22"/>
      <c r="C953" s="23" t="str">
        <f aca="false">IF(A953="","",IFERROR(buscarx(A953&amp;B953,DATA!$E$3:$E$10000&amp;DATA!$B$3:$B$10000,DATA!$M$3:$M$10000),"No encontrado"))</f>
        <v/>
      </c>
      <c r="D953" s="24" t="str">
        <f aca="false">IF(A953="","",IFERROR(buscarx(A953&amp;B953,DATA!$E$3:$E$10000&amp;DATA!$B$3:$B$10000,DATA!$W$3:$W$10000),"No encontrado"))</f>
        <v/>
      </c>
      <c r="E953" s="22"/>
      <c r="F953" s="23" t="str">
        <f aca="false">IF(A953="","",IFERROR(buscarx(A953&amp;E953,DATA!$E$3:$E$10000&amp;DATA!$B$3:$B$10000,DATA!$M$3:$M$10000),"Inactivo"))</f>
        <v/>
      </c>
      <c r="G953" s="25" t="str">
        <f aca="false">IF(A953="","",IF(AND(C953&lt;&gt;"No encontrado",F953&lt;&gt;"Inactivo"),C953&amp;" → "&amp;F953,"Sin transición"))</f>
        <v/>
      </c>
      <c r="H953" s="23" t="str">
        <f aca="false">IF(A953="","",IF(D953="GCIA LINEA SERVICIO DIGITALIDAD Y VENTAS","Chats",IF(OR(D953="GERENCIA INBOUND LÍNEAS SERVICIO Y VENTA",D953="GERENCIA INBOUND LINEAS ESPECIALIZADAS"),"Llamadas","Otro")))</f>
        <v/>
      </c>
      <c r="I953" s="23" t="str">
        <f aca="false">IF(A953="","",IF(C953="No encontrado","No","Sí"))</f>
        <v/>
      </c>
      <c r="J953" s="23" t="str">
        <f aca="false">IF(A953="","",IF(F953="Inactivo","No","Sí"))</f>
        <v/>
      </c>
      <c r="K953" s="23" t="str">
        <f aca="false">IF(A953="","",IF(AND(I953="Sí",J953="Sí"),"Sí","No"))</f>
        <v/>
      </c>
    </row>
    <row r="954" customFormat="false" ht="15" hidden="false" customHeight="false" outlineLevel="0" collapsed="false">
      <c r="A954" s="22"/>
      <c r="B954" s="22"/>
      <c r="C954" s="26" t="str">
        <f aca="false">IF(A954="","",IFERROR(buscarx(A954&amp;B954,DATA!$E$3:$E$10000&amp;DATA!$B$3:$B$10000,DATA!$M$3:$M$10000),"No encontrado"))</f>
        <v/>
      </c>
      <c r="D954" s="27" t="str">
        <f aca="false">IF(A954="","",IFERROR(buscarx(A954&amp;B954,DATA!$E$3:$E$10000&amp;DATA!$B$3:$B$10000,DATA!$W$3:$W$10000),"No encontrado"))</f>
        <v/>
      </c>
      <c r="E954" s="22"/>
      <c r="F954" s="26" t="str">
        <f aca="false">IF(A954="","",IFERROR(buscarx(A954&amp;E954,DATA!$E$3:$E$10000&amp;DATA!$B$3:$B$10000,DATA!$M$3:$M$10000),"Inactivo"))</f>
        <v/>
      </c>
      <c r="G954" s="28" t="str">
        <f aca="false">IF(A954="","",IF(AND(C954&lt;&gt;"No encontrado",F954&lt;&gt;"Inactivo"),C954&amp;" → "&amp;F954,"Sin transición"))</f>
        <v/>
      </c>
      <c r="H954" s="26" t="str">
        <f aca="false">IF(A954="","",IF(D954="GCIA LINEA SERVICIO DIGITALIDAD Y VENTAS","Chats",IF(OR(D954="GERENCIA INBOUND LÍNEAS SERVICIO Y VENTA",D954="GERENCIA INBOUND LINEAS ESPECIALIZADAS"),"Llamadas","Otro")))</f>
        <v/>
      </c>
      <c r="I954" s="26" t="str">
        <f aca="false">IF(A954="","",IF(C954="No encontrado","No","Sí"))</f>
        <v/>
      </c>
      <c r="J954" s="26" t="str">
        <f aca="false">IF(A954="","",IF(F954="Inactivo","No","Sí"))</f>
        <v/>
      </c>
      <c r="K954" s="26" t="str">
        <f aca="false">IF(A954="","",IF(AND(I954="Sí",J954="Sí"),"Sí","No"))</f>
        <v/>
      </c>
    </row>
    <row r="955" customFormat="false" ht="15" hidden="false" customHeight="false" outlineLevel="0" collapsed="false">
      <c r="A955" s="22"/>
      <c r="B955" s="22"/>
      <c r="C955" s="23" t="str">
        <f aca="false">IF(A955="","",IFERROR(buscarx(A955&amp;B955,DATA!$E$3:$E$10000&amp;DATA!$B$3:$B$10000,DATA!$M$3:$M$10000),"No encontrado"))</f>
        <v/>
      </c>
      <c r="D955" s="24" t="str">
        <f aca="false">IF(A955="","",IFERROR(buscarx(A955&amp;B955,DATA!$E$3:$E$10000&amp;DATA!$B$3:$B$10000,DATA!$W$3:$W$10000),"No encontrado"))</f>
        <v/>
      </c>
      <c r="E955" s="22"/>
      <c r="F955" s="23" t="str">
        <f aca="false">IF(A955="","",IFERROR(buscarx(A955&amp;E955,DATA!$E$3:$E$10000&amp;DATA!$B$3:$B$10000,DATA!$M$3:$M$10000),"Inactivo"))</f>
        <v/>
      </c>
      <c r="G955" s="25" t="str">
        <f aca="false">IF(A955="","",IF(AND(C955&lt;&gt;"No encontrado",F955&lt;&gt;"Inactivo"),C955&amp;" → "&amp;F955,"Sin transición"))</f>
        <v/>
      </c>
      <c r="H955" s="23" t="str">
        <f aca="false">IF(A955="","",IF(D955="GCIA LINEA SERVICIO DIGITALIDAD Y VENTAS","Chats",IF(OR(D955="GERENCIA INBOUND LÍNEAS SERVICIO Y VENTA",D955="GERENCIA INBOUND LINEAS ESPECIALIZADAS"),"Llamadas","Otro")))</f>
        <v/>
      </c>
      <c r="I955" s="23" t="str">
        <f aca="false">IF(A955="","",IF(C955="No encontrado","No","Sí"))</f>
        <v/>
      </c>
      <c r="J955" s="23" t="str">
        <f aca="false">IF(A955="","",IF(F955="Inactivo","No","Sí"))</f>
        <v/>
      </c>
      <c r="K955" s="23" t="str">
        <f aca="false">IF(A955="","",IF(AND(I955="Sí",J955="Sí"),"Sí","No"))</f>
        <v/>
      </c>
    </row>
    <row r="956" customFormat="false" ht="15" hidden="false" customHeight="false" outlineLevel="0" collapsed="false">
      <c r="A956" s="22"/>
      <c r="B956" s="22"/>
      <c r="C956" s="26" t="str">
        <f aca="false">IF(A956="","",IFERROR(buscarx(A956&amp;B956,DATA!$E$3:$E$10000&amp;DATA!$B$3:$B$10000,DATA!$M$3:$M$10000),"No encontrado"))</f>
        <v/>
      </c>
      <c r="D956" s="27" t="str">
        <f aca="false">IF(A956="","",IFERROR(buscarx(A956&amp;B956,DATA!$E$3:$E$10000&amp;DATA!$B$3:$B$10000,DATA!$W$3:$W$10000),"No encontrado"))</f>
        <v/>
      </c>
      <c r="E956" s="22"/>
      <c r="F956" s="26" t="str">
        <f aca="false">IF(A956="","",IFERROR(buscarx(A956&amp;E956,DATA!$E$3:$E$10000&amp;DATA!$B$3:$B$10000,DATA!$M$3:$M$10000),"Inactivo"))</f>
        <v/>
      </c>
      <c r="G956" s="28" t="str">
        <f aca="false">IF(A956="","",IF(AND(C956&lt;&gt;"No encontrado",F956&lt;&gt;"Inactivo"),C956&amp;" → "&amp;F956,"Sin transición"))</f>
        <v/>
      </c>
      <c r="H956" s="26" t="str">
        <f aca="false">IF(A956="","",IF(D956="GCIA LINEA SERVICIO DIGITALIDAD Y VENTAS","Chats",IF(OR(D956="GERENCIA INBOUND LÍNEAS SERVICIO Y VENTA",D956="GERENCIA INBOUND LINEAS ESPECIALIZADAS"),"Llamadas","Otro")))</f>
        <v/>
      </c>
      <c r="I956" s="26" t="str">
        <f aca="false">IF(A956="","",IF(C956="No encontrado","No","Sí"))</f>
        <v/>
      </c>
      <c r="J956" s="26" t="str">
        <f aca="false">IF(A956="","",IF(F956="Inactivo","No","Sí"))</f>
        <v/>
      </c>
      <c r="K956" s="26" t="str">
        <f aca="false">IF(A956="","",IF(AND(I956="Sí",J956="Sí"),"Sí","No"))</f>
        <v/>
      </c>
    </row>
    <row r="957" customFormat="false" ht="15" hidden="false" customHeight="false" outlineLevel="0" collapsed="false">
      <c r="A957" s="22"/>
      <c r="B957" s="22"/>
      <c r="C957" s="23" t="str">
        <f aca="false">IF(A957="","",IFERROR(buscarx(A957&amp;B957,DATA!$E$3:$E$10000&amp;DATA!$B$3:$B$10000,DATA!$M$3:$M$10000),"No encontrado"))</f>
        <v/>
      </c>
      <c r="D957" s="24" t="str">
        <f aca="false">IF(A957="","",IFERROR(buscarx(A957&amp;B957,DATA!$E$3:$E$10000&amp;DATA!$B$3:$B$10000,DATA!$W$3:$W$10000),"No encontrado"))</f>
        <v/>
      </c>
      <c r="E957" s="22"/>
      <c r="F957" s="23" t="str">
        <f aca="false">IF(A957="","",IFERROR(buscarx(A957&amp;E957,DATA!$E$3:$E$10000&amp;DATA!$B$3:$B$10000,DATA!$M$3:$M$10000),"Inactivo"))</f>
        <v/>
      </c>
      <c r="G957" s="25" t="str">
        <f aca="false">IF(A957="","",IF(AND(C957&lt;&gt;"No encontrado",F957&lt;&gt;"Inactivo"),C957&amp;" → "&amp;F957,"Sin transición"))</f>
        <v/>
      </c>
      <c r="H957" s="23" t="str">
        <f aca="false">IF(A957="","",IF(D957="GCIA LINEA SERVICIO DIGITALIDAD Y VENTAS","Chats",IF(OR(D957="GERENCIA INBOUND LÍNEAS SERVICIO Y VENTA",D957="GERENCIA INBOUND LINEAS ESPECIALIZADAS"),"Llamadas","Otro")))</f>
        <v/>
      </c>
      <c r="I957" s="23" t="str">
        <f aca="false">IF(A957="","",IF(C957="No encontrado","No","Sí"))</f>
        <v/>
      </c>
      <c r="J957" s="23" t="str">
        <f aca="false">IF(A957="","",IF(F957="Inactivo","No","Sí"))</f>
        <v/>
      </c>
      <c r="K957" s="23" t="str">
        <f aca="false">IF(A957="","",IF(AND(I957="Sí",J957="Sí"),"Sí","No"))</f>
        <v/>
      </c>
    </row>
    <row r="958" customFormat="false" ht="15" hidden="false" customHeight="false" outlineLevel="0" collapsed="false">
      <c r="A958" s="22"/>
      <c r="B958" s="22"/>
      <c r="C958" s="26" t="str">
        <f aca="false">IF(A958="","",IFERROR(buscarx(A958&amp;B958,DATA!$E$3:$E$10000&amp;DATA!$B$3:$B$10000,DATA!$M$3:$M$10000),"No encontrado"))</f>
        <v/>
      </c>
      <c r="D958" s="27" t="str">
        <f aca="false">IF(A958="","",IFERROR(buscarx(A958&amp;B958,DATA!$E$3:$E$10000&amp;DATA!$B$3:$B$10000,DATA!$W$3:$W$10000),"No encontrado"))</f>
        <v/>
      </c>
      <c r="E958" s="22"/>
      <c r="F958" s="26" t="str">
        <f aca="false">IF(A958="","",IFERROR(buscarx(A958&amp;E958,DATA!$E$3:$E$10000&amp;DATA!$B$3:$B$10000,DATA!$M$3:$M$10000),"Inactivo"))</f>
        <v/>
      </c>
      <c r="G958" s="28" t="str">
        <f aca="false">IF(A958="","",IF(AND(C958&lt;&gt;"No encontrado",F958&lt;&gt;"Inactivo"),C958&amp;" → "&amp;F958,"Sin transición"))</f>
        <v/>
      </c>
      <c r="H958" s="26" t="str">
        <f aca="false">IF(A958="","",IF(D958="GCIA LINEA SERVICIO DIGITALIDAD Y VENTAS","Chats",IF(OR(D958="GERENCIA INBOUND LÍNEAS SERVICIO Y VENTA",D958="GERENCIA INBOUND LINEAS ESPECIALIZADAS"),"Llamadas","Otro")))</f>
        <v/>
      </c>
      <c r="I958" s="26" t="str">
        <f aca="false">IF(A958="","",IF(C958="No encontrado","No","Sí"))</f>
        <v/>
      </c>
      <c r="J958" s="26" t="str">
        <f aca="false">IF(A958="","",IF(F958="Inactivo","No","Sí"))</f>
        <v/>
      </c>
      <c r="K958" s="26" t="str">
        <f aca="false">IF(A958="","",IF(AND(I958="Sí",J958="Sí"),"Sí","No"))</f>
        <v/>
      </c>
    </row>
    <row r="959" customFormat="false" ht="15" hidden="false" customHeight="false" outlineLevel="0" collapsed="false">
      <c r="A959" s="22"/>
      <c r="B959" s="22"/>
      <c r="C959" s="23" t="str">
        <f aca="false">IF(A959="","",IFERROR(buscarx(A959&amp;B959,DATA!$E$3:$E$10000&amp;DATA!$B$3:$B$10000,DATA!$M$3:$M$10000),"No encontrado"))</f>
        <v/>
      </c>
      <c r="D959" s="24" t="str">
        <f aca="false">IF(A959="","",IFERROR(buscarx(A959&amp;B959,DATA!$E$3:$E$10000&amp;DATA!$B$3:$B$10000,DATA!$W$3:$W$10000),"No encontrado"))</f>
        <v/>
      </c>
      <c r="E959" s="22"/>
      <c r="F959" s="23" t="str">
        <f aca="false">IF(A959="","",IFERROR(buscarx(A959&amp;E959,DATA!$E$3:$E$10000&amp;DATA!$B$3:$B$10000,DATA!$M$3:$M$10000),"Inactivo"))</f>
        <v/>
      </c>
      <c r="G959" s="25" t="str">
        <f aca="false">IF(A959="","",IF(AND(C959&lt;&gt;"No encontrado",F959&lt;&gt;"Inactivo"),C959&amp;" → "&amp;F959,"Sin transición"))</f>
        <v/>
      </c>
      <c r="H959" s="23" t="str">
        <f aca="false">IF(A959="","",IF(D959="GCIA LINEA SERVICIO DIGITALIDAD Y VENTAS","Chats",IF(OR(D959="GERENCIA INBOUND LÍNEAS SERVICIO Y VENTA",D959="GERENCIA INBOUND LINEAS ESPECIALIZADAS"),"Llamadas","Otro")))</f>
        <v/>
      </c>
      <c r="I959" s="23" t="str">
        <f aca="false">IF(A959="","",IF(C959="No encontrado","No","Sí"))</f>
        <v/>
      </c>
      <c r="J959" s="23" t="str">
        <f aca="false">IF(A959="","",IF(F959="Inactivo","No","Sí"))</f>
        <v/>
      </c>
      <c r="K959" s="23" t="str">
        <f aca="false">IF(A959="","",IF(AND(I959="Sí",J959="Sí"),"Sí","No"))</f>
        <v/>
      </c>
    </row>
    <row r="960" customFormat="false" ht="15" hidden="false" customHeight="false" outlineLevel="0" collapsed="false">
      <c r="A960" s="22"/>
      <c r="B960" s="22"/>
      <c r="C960" s="26" t="str">
        <f aca="false">IF(A960="","",IFERROR(buscarx(A960&amp;B960,DATA!$E$3:$E$10000&amp;DATA!$B$3:$B$10000,DATA!$M$3:$M$10000),"No encontrado"))</f>
        <v/>
      </c>
      <c r="D960" s="27" t="str">
        <f aca="false">IF(A960="","",IFERROR(buscarx(A960&amp;B960,DATA!$E$3:$E$10000&amp;DATA!$B$3:$B$10000,DATA!$W$3:$W$10000),"No encontrado"))</f>
        <v/>
      </c>
      <c r="E960" s="22"/>
      <c r="F960" s="26" t="str">
        <f aca="false">IF(A960="","",IFERROR(buscarx(A960&amp;E960,DATA!$E$3:$E$10000&amp;DATA!$B$3:$B$10000,DATA!$M$3:$M$10000),"Inactivo"))</f>
        <v/>
      </c>
      <c r="G960" s="28" t="str">
        <f aca="false">IF(A960="","",IF(AND(C960&lt;&gt;"No encontrado",F960&lt;&gt;"Inactivo"),C960&amp;" → "&amp;F960,"Sin transición"))</f>
        <v/>
      </c>
      <c r="H960" s="26" t="str">
        <f aca="false">IF(A960="","",IF(D960="GCIA LINEA SERVICIO DIGITALIDAD Y VENTAS","Chats",IF(OR(D960="GERENCIA INBOUND LÍNEAS SERVICIO Y VENTA",D960="GERENCIA INBOUND LINEAS ESPECIALIZADAS"),"Llamadas","Otro")))</f>
        <v/>
      </c>
      <c r="I960" s="26" t="str">
        <f aca="false">IF(A960="","",IF(C960="No encontrado","No","Sí"))</f>
        <v/>
      </c>
      <c r="J960" s="26" t="str">
        <f aca="false">IF(A960="","",IF(F960="Inactivo","No","Sí"))</f>
        <v/>
      </c>
      <c r="K960" s="26" t="str">
        <f aca="false">IF(A960="","",IF(AND(I960="Sí",J960="Sí"),"Sí","No"))</f>
        <v/>
      </c>
    </row>
    <row r="961" customFormat="false" ht="15" hidden="false" customHeight="false" outlineLevel="0" collapsed="false">
      <c r="A961" s="22"/>
      <c r="B961" s="22"/>
      <c r="C961" s="23" t="str">
        <f aca="false">IF(A961="","",IFERROR(buscarx(A961&amp;B961,DATA!$E$3:$E$10000&amp;DATA!$B$3:$B$10000,DATA!$M$3:$M$10000),"No encontrado"))</f>
        <v/>
      </c>
      <c r="D961" s="24" t="str">
        <f aca="false">IF(A961="","",IFERROR(buscarx(A961&amp;B961,DATA!$E$3:$E$10000&amp;DATA!$B$3:$B$10000,DATA!$W$3:$W$10000),"No encontrado"))</f>
        <v/>
      </c>
      <c r="E961" s="22"/>
      <c r="F961" s="23" t="str">
        <f aca="false">IF(A961="","",IFERROR(buscarx(A961&amp;E961,DATA!$E$3:$E$10000&amp;DATA!$B$3:$B$10000,DATA!$M$3:$M$10000),"Inactivo"))</f>
        <v/>
      </c>
      <c r="G961" s="25" t="str">
        <f aca="false">IF(A961="","",IF(AND(C961&lt;&gt;"No encontrado",F961&lt;&gt;"Inactivo"),C961&amp;" → "&amp;F961,"Sin transición"))</f>
        <v/>
      </c>
      <c r="H961" s="23" t="str">
        <f aca="false">IF(A961="","",IF(D961="GCIA LINEA SERVICIO DIGITALIDAD Y VENTAS","Chats",IF(OR(D961="GERENCIA INBOUND LÍNEAS SERVICIO Y VENTA",D961="GERENCIA INBOUND LINEAS ESPECIALIZADAS"),"Llamadas","Otro")))</f>
        <v/>
      </c>
      <c r="I961" s="23" t="str">
        <f aca="false">IF(A961="","",IF(C961="No encontrado","No","Sí"))</f>
        <v/>
      </c>
      <c r="J961" s="23" t="str">
        <f aca="false">IF(A961="","",IF(F961="Inactivo","No","Sí"))</f>
        <v/>
      </c>
      <c r="K961" s="23" t="str">
        <f aca="false">IF(A961="","",IF(AND(I961="Sí",J961="Sí"),"Sí","No"))</f>
        <v/>
      </c>
    </row>
    <row r="962" customFormat="false" ht="15" hidden="false" customHeight="false" outlineLevel="0" collapsed="false">
      <c r="A962" s="22"/>
      <c r="B962" s="22"/>
      <c r="C962" s="26" t="str">
        <f aca="false">IF(A962="","",IFERROR(buscarx(A962&amp;B962,DATA!$E$3:$E$10000&amp;DATA!$B$3:$B$10000,DATA!$M$3:$M$10000),"No encontrado"))</f>
        <v/>
      </c>
      <c r="D962" s="27" t="str">
        <f aca="false">IF(A962="","",IFERROR(buscarx(A962&amp;B962,DATA!$E$3:$E$10000&amp;DATA!$B$3:$B$10000,DATA!$W$3:$W$10000),"No encontrado"))</f>
        <v/>
      </c>
      <c r="E962" s="22"/>
      <c r="F962" s="26" t="str">
        <f aca="false">IF(A962="","",IFERROR(buscarx(A962&amp;E962,DATA!$E$3:$E$10000&amp;DATA!$B$3:$B$10000,DATA!$M$3:$M$10000),"Inactivo"))</f>
        <v/>
      </c>
      <c r="G962" s="28" t="str">
        <f aca="false">IF(A962="","",IF(AND(C962&lt;&gt;"No encontrado",F962&lt;&gt;"Inactivo"),C962&amp;" → "&amp;F962,"Sin transición"))</f>
        <v/>
      </c>
      <c r="H962" s="26" t="str">
        <f aca="false">IF(A962="","",IF(D962="GCIA LINEA SERVICIO DIGITALIDAD Y VENTAS","Chats",IF(OR(D962="GERENCIA INBOUND LÍNEAS SERVICIO Y VENTA",D962="GERENCIA INBOUND LINEAS ESPECIALIZADAS"),"Llamadas","Otro")))</f>
        <v/>
      </c>
      <c r="I962" s="26" t="str">
        <f aca="false">IF(A962="","",IF(C962="No encontrado","No","Sí"))</f>
        <v/>
      </c>
      <c r="J962" s="26" t="str">
        <f aca="false">IF(A962="","",IF(F962="Inactivo","No","Sí"))</f>
        <v/>
      </c>
      <c r="K962" s="26" t="str">
        <f aca="false">IF(A962="","",IF(AND(I962="Sí",J962="Sí"),"Sí","No"))</f>
        <v/>
      </c>
    </row>
    <row r="963" customFormat="false" ht="15" hidden="false" customHeight="false" outlineLevel="0" collapsed="false">
      <c r="A963" s="22"/>
      <c r="B963" s="22"/>
      <c r="C963" s="23" t="str">
        <f aca="false">IF(A963="","",IFERROR(buscarx(A963&amp;B963,DATA!$E$3:$E$10000&amp;DATA!$B$3:$B$10000,DATA!$M$3:$M$10000),"No encontrado"))</f>
        <v/>
      </c>
      <c r="D963" s="24" t="str">
        <f aca="false">IF(A963="","",IFERROR(buscarx(A963&amp;B963,DATA!$E$3:$E$10000&amp;DATA!$B$3:$B$10000,DATA!$W$3:$W$10000),"No encontrado"))</f>
        <v/>
      </c>
      <c r="E963" s="22"/>
      <c r="F963" s="23" t="str">
        <f aca="false">IF(A963="","",IFERROR(buscarx(A963&amp;E963,DATA!$E$3:$E$10000&amp;DATA!$B$3:$B$10000,DATA!$M$3:$M$10000),"Inactivo"))</f>
        <v/>
      </c>
      <c r="G963" s="25" t="str">
        <f aca="false">IF(A963="","",IF(AND(C963&lt;&gt;"No encontrado",F963&lt;&gt;"Inactivo"),C963&amp;" → "&amp;F963,"Sin transición"))</f>
        <v/>
      </c>
      <c r="H963" s="23" t="str">
        <f aca="false">IF(A963="","",IF(D963="GCIA LINEA SERVICIO DIGITALIDAD Y VENTAS","Chats",IF(OR(D963="GERENCIA INBOUND LÍNEAS SERVICIO Y VENTA",D963="GERENCIA INBOUND LINEAS ESPECIALIZADAS"),"Llamadas","Otro")))</f>
        <v/>
      </c>
      <c r="I963" s="23" t="str">
        <f aca="false">IF(A963="","",IF(C963="No encontrado","No","Sí"))</f>
        <v/>
      </c>
      <c r="J963" s="23" t="str">
        <f aca="false">IF(A963="","",IF(F963="Inactivo","No","Sí"))</f>
        <v/>
      </c>
      <c r="K963" s="23" t="str">
        <f aca="false">IF(A963="","",IF(AND(I963="Sí",J963="Sí"),"Sí","No"))</f>
        <v/>
      </c>
    </row>
    <row r="964" customFormat="false" ht="15" hidden="false" customHeight="false" outlineLevel="0" collapsed="false">
      <c r="A964" s="22"/>
      <c r="B964" s="22"/>
      <c r="C964" s="26" t="str">
        <f aca="false">IF(A964="","",IFERROR(buscarx(A964&amp;B964,DATA!$E$3:$E$10000&amp;DATA!$B$3:$B$10000,DATA!$M$3:$M$10000),"No encontrado"))</f>
        <v/>
      </c>
      <c r="D964" s="27" t="str">
        <f aca="false">IF(A964="","",IFERROR(buscarx(A964&amp;B964,DATA!$E$3:$E$10000&amp;DATA!$B$3:$B$10000,DATA!$W$3:$W$10000),"No encontrado"))</f>
        <v/>
      </c>
      <c r="E964" s="22"/>
      <c r="F964" s="26" t="str">
        <f aca="false">IF(A964="","",IFERROR(buscarx(A964&amp;E964,DATA!$E$3:$E$10000&amp;DATA!$B$3:$B$10000,DATA!$M$3:$M$10000),"Inactivo"))</f>
        <v/>
      </c>
      <c r="G964" s="28" t="str">
        <f aca="false">IF(A964="","",IF(AND(C964&lt;&gt;"No encontrado",F964&lt;&gt;"Inactivo"),C964&amp;" → "&amp;F964,"Sin transición"))</f>
        <v/>
      </c>
      <c r="H964" s="26" t="str">
        <f aca="false">IF(A964="","",IF(D964="GCIA LINEA SERVICIO DIGITALIDAD Y VENTAS","Chats",IF(OR(D964="GERENCIA INBOUND LÍNEAS SERVICIO Y VENTA",D964="GERENCIA INBOUND LINEAS ESPECIALIZADAS"),"Llamadas","Otro")))</f>
        <v/>
      </c>
      <c r="I964" s="26" t="str">
        <f aca="false">IF(A964="","",IF(C964="No encontrado","No","Sí"))</f>
        <v/>
      </c>
      <c r="J964" s="26" t="str">
        <f aca="false">IF(A964="","",IF(F964="Inactivo","No","Sí"))</f>
        <v/>
      </c>
      <c r="K964" s="26" t="str">
        <f aca="false">IF(A964="","",IF(AND(I964="Sí",J964="Sí"),"Sí","No"))</f>
        <v/>
      </c>
    </row>
    <row r="965" customFormat="false" ht="15" hidden="false" customHeight="false" outlineLevel="0" collapsed="false">
      <c r="A965" s="22"/>
      <c r="B965" s="22"/>
      <c r="C965" s="23" t="str">
        <f aca="false">IF(A965="","",IFERROR(buscarx(A965&amp;B965,DATA!$E$3:$E$10000&amp;DATA!$B$3:$B$10000,DATA!$M$3:$M$10000),"No encontrado"))</f>
        <v/>
      </c>
      <c r="D965" s="24" t="str">
        <f aca="false">IF(A965="","",IFERROR(buscarx(A965&amp;B965,DATA!$E$3:$E$10000&amp;DATA!$B$3:$B$10000,DATA!$W$3:$W$10000),"No encontrado"))</f>
        <v/>
      </c>
      <c r="E965" s="22"/>
      <c r="F965" s="23" t="str">
        <f aca="false">IF(A965="","",IFERROR(buscarx(A965&amp;E965,DATA!$E$3:$E$10000&amp;DATA!$B$3:$B$10000,DATA!$M$3:$M$10000),"Inactivo"))</f>
        <v/>
      </c>
      <c r="G965" s="25" t="str">
        <f aca="false">IF(A965="","",IF(AND(C965&lt;&gt;"No encontrado",F965&lt;&gt;"Inactivo"),C965&amp;" → "&amp;F965,"Sin transición"))</f>
        <v/>
      </c>
      <c r="H965" s="23" t="str">
        <f aca="false">IF(A965="","",IF(D965="GCIA LINEA SERVICIO DIGITALIDAD Y VENTAS","Chats",IF(OR(D965="GERENCIA INBOUND LÍNEAS SERVICIO Y VENTA",D965="GERENCIA INBOUND LINEAS ESPECIALIZADAS"),"Llamadas","Otro")))</f>
        <v/>
      </c>
      <c r="I965" s="23" t="str">
        <f aca="false">IF(A965="","",IF(C965="No encontrado","No","Sí"))</f>
        <v/>
      </c>
      <c r="J965" s="23" t="str">
        <f aca="false">IF(A965="","",IF(F965="Inactivo","No","Sí"))</f>
        <v/>
      </c>
      <c r="K965" s="23" t="str">
        <f aca="false">IF(A965="","",IF(AND(I965="Sí",J965="Sí"),"Sí","No"))</f>
        <v/>
      </c>
    </row>
    <row r="966" customFormat="false" ht="15" hidden="false" customHeight="false" outlineLevel="0" collapsed="false">
      <c r="A966" s="22"/>
      <c r="B966" s="22"/>
      <c r="C966" s="26" t="str">
        <f aca="false">IF(A966="","",IFERROR(buscarx(A966&amp;B966,DATA!$E$3:$E$10000&amp;DATA!$B$3:$B$10000,DATA!$M$3:$M$10000),"No encontrado"))</f>
        <v/>
      </c>
      <c r="D966" s="27" t="str">
        <f aca="false">IF(A966="","",IFERROR(buscarx(A966&amp;B966,DATA!$E$3:$E$10000&amp;DATA!$B$3:$B$10000,DATA!$W$3:$W$10000),"No encontrado"))</f>
        <v/>
      </c>
      <c r="E966" s="22"/>
      <c r="F966" s="26" t="str">
        <f aca="false">IF(A966="","",IFERROR(buscarx(A966&amp;E966,DATA!$E$3:$E$10000&amp;DATA!$B$3:$B$10000,DATA!$M$3:$M$10000),"Inactivo"))</f>
        <v/>
      </c>
      <c r="G966" s="28" t="str">
        <f aca="false">IF(A966="","",IF(AND(C966&lt;&gt;"No encontrado",F966&lt;&gt;"Inactivo"),C966&amp;" → "&amp;F966,"Sin transición"))</f>
        <v/>
      </c>
      <c r="H966" s="26" t="str">
        <f aca="false">IF(A966="","",IF(D966="GCIA LINEA SERVICIO DIGITALIDAD Y VENTAS","Chats",IF(OR(D966="GERENCIA INBOUND LÍNEAS SERVICIO Y VENTA",D966="GERENCIA INBOUND LINEAS ESPECIALIZADAS"),"Llamadas","Otro")))</f>
        <v/>
      </c>
      <c r="I966" s="26" t="str">
        <f aca="false">IF(A966="","",IF(C966="No encontrado","No","Sí"))</f>
        <v/>
      </c>
      <c r="J966" s="26" t="str">
        <f aca="false">IF(A966="","",IF(F966="Inactivo","No","Sí"))</f>
        <v/>
      </c>
      <c r="K966" s="26" t="str">
        <f aca="false">IF(A966="","",IF(AND(I966="Sí",J966="Sí"),"Sí","No"))</f>
        <v/>
      </c>
    </row>
    <row r="967" customFormat="false" ht="15" hidden="false" customHeight="false" outlineLevel="0" collapsed="false">
      <c r="A967" s="22"/>
      <c r="B967" s="22"/>
      <c r="C967" s="23" t="str">
        <f aca="false">IF(A967="","",IFERROR(buscarx(A967&amp;B967,DATA!$E$3:$E$10000&amp;DATA!$B$3:$B$10000,DATA!$M$3:$M$10000),"No encontrado"))</f>
        <v/>
      </c>
      <c r="D967" s="24" t="str">
        <f aca="false">IF(A967="","",IFERROR(buscarx(A967&amp;B967,DATA!$E$3:$E$10000&amp;DATA!$B$3:$B$10000,DATA!$W$3:$W$10000),"No encontrado"))</f>
        <v/>
      </c>
      <c r="E967" s="22"/>
      <c r="F967" s="23" t="str">
        <f aca="false">IF(A967="","",IFERROR(buscarx(A967&amp;E967,DATA!$E$3:$E$10000&amp;DATA!$B$3:$B$10000,DATA!$M$3:$M$10000),"Inactivo"))</f>
        <v/>
      </c>
      <c r="G967" s="25" t="str">
        <f aca="false">IF(A967="","",IF(AND(C967&lt;&gt;"No encontrado",F967&lt;&gt;"Inactivo"),C967&amp;" → "&amp;F967,"Sin transición"))</f>
        <v/>
      </c>
      <c r="H967" s="23" t="str">
        <f aca="false">IF(A967="","",IF(D967="GCIA LINEA SERVICIO DIGITALIDAD Y VENTAS","Chats",IF(OR(D967="GERENCIA INBOUND LÍNEAS SERVICIO Y VENTA",D967="GERENCIA INBOUND LINEAS ESPECIALIZADAS"),"Llamadas","Otro")))</f>
        <v/>
      </c>
      <c r="I967" s="23" t="str">
        <f aca="false">IF(A967="","",IF(C967="No encontrado","No","Sí"))</f>
        <v/>
      </c>
      <c r="J967" s="23" t="str">
        <f aca="false">IF(A967="","",IF(F967="Inactivo","No","Sí"))</f>
        <v/>
      </c>
      <c r="K967" s="23" t="str">
        <f aca="false">IF(A967="","",IF(AND(I967="Sí",J967="Sí"),"Sí","No"))</f>
        <v/>
      </c>
    </row>
    <row r="968" customFormat="false" ht="15" hidden="false" customHeight="false" outlineLevel="0" collapsed="false">
      <c r="A968" s="22"/>
      <c r="B968" s="22"/>
      <c r="C968" s="26" t="str">
        <f aca="false">IF(A968="","",IFERROR(buscarx(A968&amp;B968,DATA!$E$3:$E$10000&amp;DATA!$B$3:$B$10000,DATA!$M$3:$M$10000),"No encontrado"))</f>
        <v/>
      </c>
      <c r="D968" s="27" t="str">
        <f aca="false">IF(A968="","",IFERROR(buscarx(A968&amp;B968,DATA!$E$3:$E$10000&amp;DATA!$B$3:$B$10000,DATA!$W$3:$W$10000),"No encontrado"))</f>
        <v/>
      </c>
      <c r="E968" s="22"/>
      <c r="F968" s="26" t="str">
        <f aca="false">IF(A968="","",IFERROR(buscarx(A968&amp;E968,DATA!$E$3:$E$10000&amp;DATA!$B$3:$B$10000,DATA!$M$3:$M$10000),"Inactivo"))</f>
        <v/>
      </c>
      <c r="G968" s="28" t="str">
        <f aca="false">IF(A968="","",IF(AND(C968&lt;&gt;"No encontrado",F968&lt;&gt;"Inactivo"),C968&amp;" → "&amp;F968,"Sin transición"))</f>
        <v/>
      </c>
      <c r="H968" s="26" t="str">
        <f aca="false">IF(A968="","",IF(D968="GCIA LINEA SERVICIO DIGITALIDAD Y VENTAS","Chats",IF(OR(D968="GERENCIA INBOUND LÍNEAS SERVICIO Y VENTA",D968="GERENCIA INBOUND LINEAS ESPECIALIZADAS"),"Llamadas","Otro")))</f>
        <v/>
      </c>
      <c r="I968" s="26" t="str">
        <f aca="false">IF(A968="","",IF(C968="No encontrado","No","Sí"))</f>
        <v/>
      </c>
      <c r="J968" s="26" t="str">
        <f aca="false">IF(A968="","",IF(F968="Inactivo","No","Sí"))</f>
        <v/>
      </c>
      <c r="K968" s="26" t="str">
        <f aca="false">IF(A968="","",IF(AND(I968="Sí",J968="Sí"),"Sí","No"))</f>
        <v/>
      </c>
    </row>
    <row r="969" customFormat="false" ht="15" hidden="false" customHeight="false" outlineLevel="0" collapsed="false">
      <c r="A969" s="22"/>
      <c r="B969" s="22"/>
      <c r="C969" s="23" t="str">
        <f aca="false">IF(A969="","",IFERROR(buscarx(A969&amp;B969,DATA!$E$3:$E$10000&amp;DATA!$B$3:$B$10000,DATA!$M$3:$M$10000),"No encontrado"))</f>
        <v/>
      </c>
      <c r="D969" s="24" t="str">
        <f aca="false">IF(A969="","",IFERROR(buscarx(A969&amp;B969,DATA!$E$3:$E$10000&amp;DATA!$B$3:$B$10000,DATA!$W$3:$W$10000),"No encontrado"))</f>
        <v/>
      </c>
      <c r="E969" s="22"/>
      <c r="F969" s="23" t="str">
        <f aca="false">IF(A969="","",IFERROR(buscarx(A969&amp;E969,DATA!$E$3:$E$10000&amp;DATA!$B$3:$B$10000,DATA!$M$3:$M$10000),"Inactivo"))</f>
        <v/>
      </c>
      <c r="G969" s="25" t="str">
        <f aca="false">IF(A969="","",IF(AND(C969&lt;&gt;"No encontrado",F969&lt;&gt;"Inactivo"),C969&amp;" → "&amp;F969,"Sin transición"))</f>
        <v/>
      </c>
      <c r="H969" s="23" t="str">
        <f aca="false">IF(A969="","",IF(D969="GCIA LINEA SERVICIO DIGITALIDAD Y VENTAS","Chats",IF(OR(D969="GERENCIA INBOUND LÍNEAS SERVICIO Y VENTA",D969="GERENCIA INBOUND LINEAS ESPECIALIZADAS"),"Llamadas","Otro")))</f>
        <v/>
      </c>
      <c r="I969" s="23" t="str">
        <f aca="false">IF(A969="","",IF(C969="No encontrado","No","Sí"))</f>
        <v/>
      </c>
      <c r="J969" s="23" t="str">
        <f aca="false">IF(A969="","",IF(F969="Inactivo","No","Sí"))</f>
        <v/>
      </c>
      <c r="K969" s="23" t="str">
        <f aca="false">IF(A969="","",IF(AND(I969="Sí",J969="Sí"),"Sí","No"))</f>
        <v/>
      </c>
    </row>
    <row r="970" customFormat="false" ht="15" hidden="false" customHeight="false" outlineLevel="0" collapsed="false">
      <c r="A970" s="22"/>
      <c r="B970" s="22"/>
      <c r="C970" s="26" t="str">
        <f aca="false">IF(A970="","",IFERROR(buscarx(A970&amp;B970,DATA!$E$3:$E$10000&amp;DATA!$B$3:$B$10000,DATA!$M$3:$M$10000),"No encontrado"))</f>
        <v/>
      </c>
      <c r="D970" s="27" t="str">
        <f aca="false">IF(A970="","",IFERROR(buscarx(A970&amp;B970,DATA!$E$3:$E$10000&amp;DATA!$B$3:$B$10000,DATA!$W$3:$W$10000),"No encontrado"))</f>
        <v/>
      </c>
      <c r="E970" s="22"/>
      <c r="F970" s="26" t="str">
        <f aca="false">IF(A970="","",IFERROR(buscarx(A970&amp;E970,DATA!$E$3:$E$10000&amp;DATA!$B$3:$B$10000,DATA!$M$3:$M$10000),"Inactivo"))</f>
        <v/>
      </c>
      <c r="G970" s="28" t="str">
        <f aca="false">IF(A970="","",IF(AND(C970&lt;&gt;"No encontrado",F970&lt;&gt;"Inactivo"),C970&amp;" → "&amp;F970,"Sin transición"))</f>
        <v/>
      </c>
      <c r="H970" s="26" t="str">
        <f aca="false">IF(A970="","",IF(D970="GCIA LINEA SERVICIO DIGITALIDAD Y VENTAS","Chats",IF(OR(D970="GERENCIA INBOUND LÍNEAS SERVICIO Y VENTA",D970="GERENCIA INBOUND LINEAS ESPECIALIZADAS"),"Llamadas","Otro")))</f>
        <v/>
      </c>
      <c r="I970" s="26" t="str">
        <f aca="false">IF(A970="","",IF(C970="No encontrado","No","Sí"))</f>
        <v/>
      </c>
      <c r="J970" s="26" t="str">
        <f aca="false">IF(A970="","",IF(F970="Inactivo","No","Sí"))</f>
        <v/>
      </c>
      <c r="K970" s="26" t="str">
        <f aca="false">IF(A970="","",IF(AND(I970="Sí",J970="Sí"),"Sí","No"))</f>
        <v/>
      </c>
    </row>
    <row r="971" customFormat="false" ht="15" hidden="false" customHeight="false" outlineLevel="0" collapsed="false">
      <c r="A971" s="22"/>
      <c r="B971" s="22"/>
      <c r="C971" s="23" t="str">
        <f aca="false">IF(A971="","",IFERROR(buscarx(A971&amp;B971,DATA!$E$3:$E$10000&amp;DATA!$B$3:$B$10000,DATA!$M$3:$M$10000),"No encontrado"))</f>
        <v/>
      </c>
      <c r="D971" s="24" t="str">
        <f aca="false">IF(A971="","",IFERROR(buscarx(A971&amp;B971,DATA!$E$3:$E$10000&amp;DATA!$B$3:$B$10000,DATA!$W$3:$W$10000),"No encontrado"))</f>
        <v/>
      </c>
      <c r="E971" s="22"/>
      <c r="F971" s="23" t="str">
        <f aca="false">IF(A971="","",IFERROR(buscarx(A971&amp;E971,DATA!$E$3:$E$10000&amp;DATA!$B$3:$B$10000,DATA!$M$3:$M$10000),"Inactivo"))</f>
        <v/>
      </c>
      <c r="G971" s="25" t="str">
        <f aca="false">IF(A971="","",IF(AND(C971&lt;&gt;"No encontrado",F971&lt;&gt;"Inactivo"),C971&amp;" → "&amp;F971,"Sin transición"))</f>
        <v/>
      </c>
      <c r="H971" s="23" t="str">
        <f aca="false">IF(A971="","",IF(D971="GCIA LINEA SERVICIO DIGITALIDAD Y VENTAS","Chats",IF(OR(D971="GERENCIA INBOUND LÍNEAS SERVICIO Y VENTA",D971="GERENCIA INBOUND LINEAS ESPECIALIZADAS"),"Llamadas","Otro")))</f>
        <v/>
      </c>
      <c r="I971" s="23" t="str">
        <f aca="false">IF(A971="","",IF(C971="No encontrado","No","Sí"))</f>
        <v/>
      </c>
      <c r="J971" s="23" t="str">
        <f aca="false">IF(A971="","",IF(F971="Inactivo","No","Sí"))</f>
        <v/>
      </c>
      <c r="K971" s="23" t="str">
        <f aca="false">IF(A971="","",IF(AND(I971="Sí",J971="Sí"),"Sí","No"))</f>
        <v/>
      </c>
    </row>
    <row r="972" customFormat="false" ht="15" hidden="false" customHeight="false" outlineLevel="0" collapsed="false">
      <c r="A972" s="22"/>
      <c r="B972" s="22"/>
      <c r="C972" s="26" t="str">
        <f aca="false">IF(A972="","",IFERROR(buscarx(A972&amp;B972,DATA!$E$3:$E$10000&amp;DATA!$B$3:$B$10000,DATA!$M$3:$M$10000),"No encontrado"))</f>
        <v/>
      </c>
      <c r="D972" s="27" t="str">
        <f aca="false">IF(A972="","",IFERROR(buscarx(A972&amp;B972,DATA!$E$3:$E$10000&amp;DATA!$B$3:$B$10000,DATA!$W$3:$W$10000),"No encontrado"))</f>
        <v/>
      </c>
      <c r="E972" s="22"/>
      <c r="F972" s="26" t="str">
        <f aca="false">IF(A972="","",IFERROR(buscarx(A972&amp;E972,DATA!$E$3:$E$10000&amp;DATA!$B$3:$B$10000,DATA!$M$3:$M$10000),"Inactivo"))</f>
        <v/>
      </c>
      <c r="G972" s="28" t="str">
        <f aca="false">IF(A972="","",IF(AND(C972&lt;&gt;"No encontrado",F972&lt;&gt;"Inactivo"),C972&amp;" → "&amp;F972,"Sin transición"))</f>
        <v/>
      </c>
      <c r="H972" s="26" t="str">
        <f aca="false">IF(A972="","",IF(D972="GCIA LINEA SERVICIO DIGITALIDAD Y VENTAS","Chats",IF(OR(D972="GERENCIA INBOUND LÍNEAS SERVICIO Y VENTA",D972="GERENCIA INBOUND LINEAS ESPECIALIZADAS"),"Llamadas","Otro")))</f>
        <v/>
      </c>
      <c r="I972" s="26" t="str">
        <f aca="false">IF(A972="","",IF(C972="No encontrado","No","Sí"))</f>
        <v/>
      </c>
      <c r="J972" s="26" t="str">
        <f aca="false">IF(A972="","",IF(F972="Inactivo","No","Sí"))</f>
        <v/>
      </c>
      <c r="K972" s="26" t="str">
        <f aca="false">IF(A972="","",IF(AND(I972="Sí",J972="Sí"),"Sí","No"))</f>
        <v/>
      </c>
    </row>
    <row r="973" customFormat="false" ht="15" hidden="false" customHeight="false" outlineLevel="0" collapsed="false">
      <c r="A973" s="22"/>
      <c r="B973" s="22"/>
      <c r="C973" s="23" t="str">
        <f aca="false">IF(A973="","",IFERROR(buscarx(A973&amp;B973,DATA!$E$3:$E$10000&amp;DATA!$B$3:$B$10000,DATA!$M$3:$M$10000),"No encontrado"))</f>
        <v/>
      </c>
      <c r="D973" s="24" t="str">
        <f aca="false">IF(A973="","",IFERROR(buscarx(A973&amp;B973,DATA!$E$3:$E$10000&amp;DATA!$B$3:$B$10000,DATA!$W$3:$W$10000),"No encontrado"))</f>
        <v/>
      </c>
      <c r="E973" s="22"/>
      <c r="F973" s="23" t="str">
        <f aca="false">IF(A973="","",IFERROR(buscarx(A973&amp;E973,DATA!$E$3:$E$10000&amp;DATA!$B$3:$B$10000,DATA!$M$3:$M$10000),"Inactivo"))</f>
        <v/>
      </c>
      <c r="G973" s="25" t="str">
        <f aca="false">IF(A973="","",IF(AND(C973&lt;&gt;"No encontrado",F973&lt;&gt;"Inactivo"),C973&amp;" → "&amp;F973,"Sin transición"))</f>
        <v/>
      </c>
      <c r="H973" s="23" t="str">
        <f aca="false">IF(A973="","",IF(D973="GCIA LINEA SERVICIO DIGITALIDAD Y VENTAS","Chats",IF(OR(D973="GERENCIA INBOUND LÍNEAS SERVICIO Y VENTA",D973="GERENCIA INBOUND LINEAS ESPECIALIZADAS"),"Llamadas","Otro")))</f>
        <v/>
      </c>
      <c r="I973" s="23" t="str">
        <f aca="false">IF(A973="","",IF(C973="No encontrado","No","Sí"))</f>
        <v/>
      </c>
      <c r="J973" s="23" t="str">
        <f aca="false">IF(A973="","",IF(F973="Inactivo","No","Sí"))</f>
        <v/>
      </c>
      <c r="K973" s="23" t="str">
        <f aca="false">IF(A973="","",IF(AND(I973="Sí",J973="Sí"),"Sí","No"))</f>
        <v/>
      </c>
    </row>
    <row r="974" customFormat="false" ht="15" hidden="false" customHeight="false" outlineLevel="0" collapsed="false">
      <c r="A974" s="22"/>
      <c r="B974" s="22"/>
      <c r="C974" s="26" t="str">
        <f aca="false">IF(A974="","",IFERROR(buscarx(A974&amp;B974,DATA!$E$3:$E$10000&amp;DATA!$B$3:$B$10000,DATA!$M$3:$M$10000),"No encontrado"))</f>
        <v/>
      </c>
      <c r="D974" s="27" t="str">
        <f aca="false">IF(A974="","",IFERROR(buscarx(A974&amp;B974,DATA!$E$3:$E$10000&amp;DATA!$B$3:$B$10000,DATA!$W$3:$W$10000),"No encontrado"))</f>
        <v/>
      </c>
      <c r="E974" s="22"/>
      <c r="F974" s="26" t="str">
        <f aca="false">IF(A974="","",IFERROR(buscarx(A974&amp;E974,DATA!$E$3:$E$10000&amp;DATA!$B$3:$B$10000,DATA!$M$3:$M$10000),"Inactivo"))</f>
        <v/>
      </c>
      <c r="G974" s="28" t="str">
        <f aca="false">IF(A974="","",IF(AND(C974&lt;&gt;"No encontrado",F974&lt;&gt;"Inactivo"),C974&amp;" → "&amp;F974,"Sin transición"))</f>
        <v/>
      </c>
      <c r="H974" s="26" t="str">
        <f aca="false">IF(A974="","",IF(D974="GCIA LINEA SERVICIO DIGITALIDAD Y VENTAS","Chats",IF(OR(D974="GERENCIA INBOUND LÍNEAS SERVICIO Y VENTA",D974="GERENCIA INBOUND LINEAS ESPECIALIZADAS"),"Llamadas","Otro")))</f>
        <v/>
      </c>
      <c r="I974" s="26" t="str">
        <f aca="false">IF(A974="","",IF(C974="No encontrado","No","Sí"))</f>
        <v/>
      </c>
      <c r="J974" s="26" t="str">
        <f aca="false">IF(A974="","",IF(F974="Inactivo","No","Sí"))</f>
        <v/>
      </c>
      <c r="K974" s="26" t="str">
        <f aca="false">IF(A974="","",IF(AND(I974="Sí",J974="Sí"),"Sí","No"))</f>
        <v/>
      </c>
    </row>
    <row r="975" customFormat="false" ht="15" hidden="false" customHeight="false" outlineLevel="0" collapsed="false">
      <c r="A975" s="22"/>
      <c r="B975" s="22"/>
      <c r="C975" s="23" t="str">
        <f aca="false">IF(A975="","",IFERROR(buscarx(A975&amp;B975,DATA!$E$3:$E$10000&amp;DATA!$B$3:$B$10000,DATA!$M$3:$M$10000),"No encontrado"))</f>
        <v/>
      </c>
      <c r="D975" s="24" t="str">
        <f aca="false">IF(A975="","",IFERROR(buscarx(A975&amp;B975,DATA!$E$3:$E$10000&amp;DATA!$B$3:$B$10000,DATA!$W$3:$W$10000),"No encontrado"))</f>
        <v/>
      </c>
      <c r="E975" s="22"/>
      <c r="F975" s="23" t="str">
        <f aca="false">IF(A975="","",IFERROR(buscarx(A975&amp;E975,DATA!$E$3:$E$10000&amp;DATA!$B$3:$B$10000,DATA!$M$3:$M$10000),"Inactivo"))</f>
        <v/>
      </c>
      <c r="G975" s="25" t="str">
        <f aca="false">IF(A975="","",IF(AND(C975&lt;&gt;"No encontrado",F975&lt;&gt;"Inactivo"),C975&amp;" → "&amp;F975,"Sin transición"))</f>
        <v/>
      </c>
      <c r="H975" s="23" t="str">
        <f aca="false">IF(A975="","",IF(D975="GCIA LINEA SERVICIO DIGITALIDAD Y VENTAS","Chats",IF(OR(D975="GERENCIA INBOUND LÍNEAS SERVICIO Y VENTA",D975="GERENCIA INBOUND LINEAS ESPECIALIZADAS"),"Llamadas","Otro")))</f>
        <v/>
      </c>
      <c r="I975" s="23" t="str">
        <f aca="false">IF(A975="","",IF(C975="No encontrado","No","Sí"))</f>
        <v/>
      </c>
      <c r="J975" s="23" t="str">
        <f aca="false">IF(A975="","",IF(F975="Inactivo","No","Sí"))</f>
        <v/>
      </c>
      <c r="K975" s="23" t="str">
        <f aca="false">IF(A975="","",IF(AND(I975="Sí",J975="Sí"),"Sí","No"))</f>
        <v/>
      </c>
    </row>
    <row r="976" customFormat="false" ht="15" hidden="false" customHeight="false" outlineLevel="0" collapsed="false">
      <c r="A976" s="22"/>
      <c r="B976" s="22"/>
      <c r="C976" s="26" t="str">
        <f aca="false">IF(A976="","",IFERROR(buscarx(A976&amp;B976,DATA!$E$3:$E$10000&amp;DATA!$B$3:$B$10000,DATA!$M$3:$M$10000),"No encontrado"))</f>
        <v/>
      </c>
      <c r="D976" s="27" t="str">
        <f aca="false">IF(A976="","",IFERROR(buscarx(A976&amp;B976,DATA!$E$3:$E$10000&amp;DATA!$B$3:$B$10000,DATA!$W$3:$W$10000),"No encontrado"))</f>
        <v/>
      </c>
      <c r="E976" s="22"/>
      <c r="F976" s="26" t="str">
        <f aca="false">IF(A976="","",IFERROR(buscarx(A976&amp;E976,DATA!$E$3:$E$10000&amp;DATA!$B$3:$B$10000,DATA!$M$3:$M$10000),"Inactivo"))</f>
        <v/>
      </c>
      <c r="G976" s="28" t="str">
        <f aca="false">IF(A976="","",IF(AND(C976&lt;&gt;"No encontrado",F976&lt;&gt;"Inactivo"),C976&amp;" → "&amp;F976,"Sin transición"))</f>
        <v/>
      </c>
      <c r="H976" s="26" t="str">
        <f aca="false">IF(A976="","",IF(D976="GCIA LINEA SERVICIO DIGITALIDAD Y VENTAS","Chats",IF(OR(D976="GERENCIA INBOUND LÍNEAS SERVICIO Y VENTA",D976="GERENCIA INBOUND LINEAS ESPECIALIZADAS"),"Llamadas","Otro")))</f>
        <v/>
      </c>
      <c r="I976" s="26" t="str">
        <f aca="false">IF(A976="","",IF(C976="No encontrado","No","Sí"))</f>
        <v/>
      </c>
      <c r="J976" s="26" t="str">
        <f aca="false">IF(A976="","",IF(F976="Inactivo","No","Sí"))</f>
        <v/>
      </c>
      <c r="K976" s="26" t="str">
        <f aca="false">IF(A976="","",IF(AND(I976="Sí",J976="Sí"),"Sí","No"))</f>
        <v/>
      </c>
    </row>
    <row r="977" customFormat="false" ht="15" hidden="false" customHeight="false" outlineLevel="0" collapsed="false">
      <c r="A977" s="22"/>
      <c r="B977" s="22"/>
      <c r="C977" s="23" t="str">
        <f aca="false">IF(A977="","",IFERROR(buscarx(A977&amp;B977,DATA!$E$3:$E$10000&amp;DATA!$B$3:$B$10000,DATA!$M$3:$M$10000),"No encontrado"))</f>
        <v/>
      </c>
      <c r="D977" s="24" t="str">
        <f aca="false">IF(A977="","",IFERROR(buscarx(A977&amp;B977,DATA!$E$3:$E$10000&amp;DATA!$B$3:$B$10000,DATA!$W$3:$W$10000),"No encontrado"))</f>
        <v/>
      </c>
      <c r="E977" s="22"/>
      <c r="F977" s="23" t="str">
        <f aca="false">IF(A977="","",IFERROR(buscarx(A977&amp;E977,DATA!$E$3:$E$10000&amp;DATA!$B$3:$B$10000,DATA!$M$3:$M$10000),"Inactivo"))</f>
        <v/>
      </c>
      <c r="G977" s="25" t="str">
        <f aca="false">IF(A977="","",IF(AND(C977&lt;&gt;"No encontrado",F977&lt;&gt;"Inactivo"),C977&amp;" → "&amp;F977,"Sin transición"))</f>
        <v/>
      </c>
      <c r="H977" s="23" t="str">
        <f aca="false">IF(A977="","",IF(D977="GCIA LINEA SERVICIO DIGITALIDAD Y VENTAS","Chats",IF(OR(D977="GERENCIA INBOUND LÍNEAS SERVICIO Y VENTA",D977="GERENCIA INBOUND LINEAS ESPECIALIZADAS"),"Llamadas","Otro")))</f>
        <v/>
      </c>
      <c r="I977" s="23" t="str">
        <f aca="false">IF(A977="","",IF(C977="No encontrado","No","Sí"))</f>
        <v/>
      </c>
      <c r="J977" s="23" t="str">
        <f aca="false">IF(A977="","",IF(F977="Inactivo","No","Sí"))</f>
        <v/>
      </c>
      <c r="K977" s="23" t="str">
        <f aca="false">IF(A977="","",IF(AND(I977="Sí",J977="Sí"),"Sí","No"))</f>
        <v/>
      </c>
    </row>
    <row r="978" customFormat="false" ht="15" hidden="false" customHeight="false" outlineLevel="0" collapsed="false">
      <c r="A978" s="22"/>
      <c r="B978" s="22"/>
      <c r="C978" s="26" t="str">
        <f aca="false">IF(A978="","",IFERROR(buscarx(A978&amp;B978,DATA!$E$3:$E$10000&amp;DATA!$B$3:$B$10000,DATA!$M$3:$M$10000),"No encontrado"))</f>
        <v/>
      </c>
      <c r="D978" s="27" t="str">
        <f aca="false">IF(A978="","",IFERROR(buscarx(A978&amp;B978,DATA!$E$3:$E$10000&amp;DATA!$B$3:$B$10000,DATA!$W$3:$W$10000),"No encontrado"))</f>
        <v/>
      </c>
      <c r="E978" s="22"/>
      <c r="F978" s="26" t="str">
        <f aca="false">IF(A978="","",IFERROR(buscarx(A978&amp;E978,DATA!$E$3:$E$10000&amp;DATA!$B$3:$B$10000,DATA!$M$3:$M$10000),"Inactivo"))</f>
        <v/>
      </c>
      <c r="G978" s="28" t="str">
        <f aca="false">IF(A978="","",IF(AND(C978&lt;&gt;"No encontrado",F978&lt;&gt;"Inactivo"),C978&amp;" → "&amp;F978,"Sin transición"))</f>
        <v/>
      </c>
      <c r="H978" s="26" t="str">
        <f aca="false">IF(A978="","",IF(D978="GCIA LINEA SERVICIO DIGITALIDAD Y VENTAS","Chats",IF(OR(D978="GERENCIA INBOUND LÍNEAS SERVICIO Y VENTA",D978="GERENCIA INBOUND LINEAS ESPECIALIZADAS"),"Llamadas","Otro")))</f>
        <v/>
      </c>
      <c r="I978" s="26" t="str">
        <f aca="false">IF(A978="","",IF(C978="No encontrado","No","Sí"))</f>
        <v/>
      </c>
      <c r="J978" s="26" t="str">
        <f aca="false">IF(A978="","",IF(F978="Inactivo","No","Sí"))</f>
        <v/>
      </c>
      <c r="K978" s="26" t="str">
        <f aca="false">IF(A978="","",IF(AND(I978="Sí",J978="Sí"),"Sí","No"))</f>
        <v/>
      </c>
    </row>
    <row r="979" customFormat="false" ht="15" hidden="false" customHeight="false" outlineLevel="0" collapsed="false">
      <c r="A979" s="22"/>
      <c r="B979" s="22"/>
      <c r="C979" s="23" t="str">
        <f aca="false">IF(A979="","",IFERROR(buscarx(A979&amp;B979,DATA!$E$3:$E$10000&amp;DATA!$B$3:$B$10000,DATA!$M$3:$M$10000),"No encontrado"))</f>
        <v/>
      </c>
      <c r="D979" s="24" t="str">
        <f aca="false">IF(A979="","",IFERROR(buscarx(A979&amp;B979,DATA!$E$3:$E$10000&amp;DATA!$B$3:$B$10000,DATA!$W$3:$W$10000),"No encontrado"))</f>
        <v/>
      </c>
      <c r="E979" s="22"/>
      <c r="F979" s="23" t="str">
        <f aca="false">IF(A979="","",IFERROR(buscarx(A979&amp;E979,DATA!$E$3:$E$10000&amp;DATA!$B$3:$B$10000,DATA!$M$3:$M$10000),"Inactivo"))</f>
        <v/>
      </c>
      <c r="G979" s="25" t="str">
        <f aca="false">IF(A979="","",IF(AND(C979&lt;&gt;"No encontrado",F979&lt;&gt;"Inactivo"),C979&amp;" → "&amp;F979,"Sin transición"))</f>
        <v/>
      </c>
      <c r="H979" s="23" t="str">
        <f aca="false">IF(A979="","",IF(D979="GCIA LINEA SERVICIO DIGITALIDAD Y VENTAS","Chats",IF(OR(D979="GERENCIA INBOUND LÍNEAS SERVICIO Y VENTA",D979="GERENCIA INBOUND LINEAS ESPECIALIZADAS"),"Llamadas","Otro")))</f>
        <v/>
      </c>
      <c r="I979" s="23" t="str">
        <f aca="false">IF(A979="","",IF(C979="No encontrado","No","Sí"))</f>
        <v/>
      </c>
      <c r="J979" s="23" t="str">
        <f aca="false">IF(A979="","",IF(F979="Inactivo","No","Sí"))</f>
        <v/>
      </c>
      <c r="K979" s="23" t="str">
        <f aca="false">IF(A979="","",IF(AND(I979="Sí",J979="Sí"),"Sí","No"))</f>
        <v/>
      </c>
    </row>
    <row r="980" customFormat="false" ht="15" hidden="false" customHeight="false" outlineLevel="0" collapsed="false">
      <c r="A980" s="22"/>
      <c r="B980" s="22"/>
      <c r="C980" s="26" t="str">
        <f aca="false">IF(A980="","",IFERROR(buscarx(A980&amp;B980,DATA!$E$3:$E$10000&amp;DATA!$B$3:$B$10000,DATA!$M$3:$M$10000),"No encontrado"))</f>
        <v/>
      </c>
      <c r="D980" s="27" t="str">
        <f aca="false">IF(A980="","",IFERROR(buscarx(A980&amp;B980,DATA!$E$3:$E$10000&amp;DATA!$B$3:$B$10000,DATA!$W$3:$W$10000),"No encontrado"))</f>
        <v/>
      </c>
      <c r="E980" s="22"/>
      <c r="F980" s="26" t="str">
        <f aca="false">IF(A980="","",IFERROR(buscarx(A980&amp;E980,DATA!$E$3:$E$10000&amp;DATA!$B$3:$B$10000,DATA!$M$3:$M$10000),"Inactivo"))</f>
        <v/>
      </c>
      <c r="G980" s="28" t="str">
        <f aca="false">IF(A980="","",IF(AND(C980&lt;&gt;"No encontrado",F980&lt;&gt;"Inactivo"),C980&amp;" → "&amp;F980,"Sin transición"))</f>
        <v/>
      </c>
      <c r="H980" s="26" t="str">
        <f aca="false">IF(A980="","",IF(D980="GCIA LINEA SERVICIO DIGITALIDAD Y VENTAS","Chats",IF(OR(D980="GERENCIA INBOUND LÍNEAS SERVICIO Y VENTA",D980="GERENCIA INBOUND LINEAS ESPECIALIZADAS"),"Llamadas","Otro")))</f>
        <v/>
      </c>
      <c r="I980" s="26" t="str">
        <f aca="false">IF(A980="","",IF(C980="No encontrado","No","Sí"))</f>
        <v/>
      </c>
      <c r="J980" s="26" t="str">
        <f aca="false">IF(A980="","",IF(F980="Inactivo","No","Sí"))</f>
        <v/>
      </c>
      <c r="K980" s="26" t="str">
        <f aca="false">IF(A980="","",IF(AND(I980="Sí",J980="Sí"),"Sí","No"))</f>
        <v/>
      </c>
    </row>
    <row r="981" customFormat="false" ht="15" hidden="false" customHeight="false" outlineLevel="0" collapsed="false">
      <c r="A981" s="22"/>
      <c r="B981" s="22"/>
      <c r="C981" s="23" t="str">
        <f aca="false">IF(A981="","",IFERROR(buscarx(A981&amp;B981,DATA!$E$3:$E$10000&amp;DATA!$B$3:$B$10000,DATA!$M$3:$M$10000),"No encontrado"))</f>
        <v/>
      </c>
      <c r="D981" s="24" t="str">
        <f aca="false">IF(A981="","",IFERROR(buscarx(A981&amp;B981,DATA!$E$3:$E$10000&amp;DATA!$B$3:$B$10000,DATA!$W$3:$W$10000),"No encontrado"))</f>
        <v/>
      </c>
      <c r="E981" s="22"/>
      <c r="F981" s="23" t="str">
        <f aca="false">IF(A981="","",IFERROR(buscarx(A981&amp;E981,DATA!$E$3:$E$10000&amp;DATA!$B$3:$B$10000,DATA!$M$3:$M$10000),"Inactivo"))</f>
        <v/>
      </c>
      <c r="G981" s="25" t="str">
        <f aca="false">IF(A981="","",IF(AND(C981&lt;&gt;"No encontrado",F981&lt;&gt;"Inactivo"),C981&amp;" → "&amp;F981,"Sin transición"))</f>
        <v/>
      </c>
      <c r="H981" s="23" t="str">
        <f aca="false">IF(A981="","",IF(D981="GCIA LINEA SERVICIO DIGITALIDAD Y VENTAS","Chats",IF(OR(D981="GERENCIA INBOUND LÍNEAS SERVICIO Y VENTA",D981="GERENCIA INBOUND LINEAS ESPECIALIZADAS"),"Llamadas","Otro")))</f>
        <v/>
      </c>
      <c r="I981" s="23" t="str">
        <f aca="false">IF(A981="","",IF(C981="No encontrado","No","Sí"))</f>
        <v/>
      </c>
      <c r="J981" s="23" t="str">
        <f aca="false">IF(A981="","",IF(F981="Inactivo","No","Sí"))</f>
        <v/>
      </c>
      <c r="K981" s="23" t="str">
        <f aca="false">IF(A981="","",IF(AND(I981="Sí",J981="Sí"),"Sí","No"))</f>
        <v/>
      </c>
    </row>
    <row r="982" customFormat="false" ht="15" hidden="false" customHeight="false" outlineLevel="0" collapsed="false">
      <c r="A982" s="22"/>
      <c r="B982" s="22"/>
      <c r="C982" s="26" t="str">
        <f aca="false">IF(A982="","",IFERROR(buscarx(A982&amp;B982,DATA!$E$3:$E$10000&amp;DATA!$B$3:$B$10000,DATA!$M$3:$M$10000),"No encontrado"))</f>
        <v/>
      </c>
      <c r="D982" s="27" t="str">
        <f aca="false">IF(A982="","",IFERROR(buscarx(A982&amp;B982,DATA!$E$3:$E$10000&amp;DATA!$B$3:$B$10000,DATA!$W$3:$W$10000),"No encontrado"))</f>
        <v/>
      </c>
      <c r="E982" s="22"/>
      <c r="F982" s="26" t="str">
        <f aca="false">IF(A982="","",IFERROR(buscarx(A982&amp;E982,DATA!$E$3:$E$10000&amp;DATA!$B$3:$B$10000,DATA!$M$3:$M$10000),"Inactivo"))</f>
        <v/>
      </c>
      <c r="G982" s="28" t="str">
        <f aca="false">IF(A982="","",IF(AND(C982&lt;&gt;"No encontrado",F982&lt;&gt;"Inactivo"),C982&amp;" → "&amp;F982,"Sin transición"))</f>
        <v/>
      </c>
      <c r="H982" s="26" t="str">
        <f aca="false">IF(A982="","",IF(D982="GCIA LINEA SERVICIO DIGITALIDAD Y VENTAS","Chats",IF(OR(D982="GERENCIA INBOUND LÍNEAS SERVICIO Y VENTA",D982="GERENCIA INBOUND LINEAS ESPECIALIZADAS"),"Llamadas","Otro")))</f>
        <v/>
      </c>
      <c r="I982" s="26" t="str">
        <f aca="false">IF(A982="","",IF(C982="No encontrado","No","Sí"))</f>
        <v/>
      </c>
      <c r="J982" s="26" t="str">
        <f aca="false">IF(A982="","",IF(F982="Inactivo","No","Sí"))</f>
        <v/>
      </c>
      <c r="K982" s="26" t="str">
        <f aca="false">IF(A982="","",IF(AND(I982="Sí",J982="Sí"),"Sí","No"))</f>
        <v/>
      </c>
    </row>
    <row r="983" customFormat="false" ht="15" hidden="false" customHeight="false" outlineLevel="0" collapsed="false">
      <c r="A983" s="22"/>
      <c r="B983" s="22"/>
      <c r="C983" s="23" t="str">
        <f aca="false">IF(A983="","",IFERROR(buscarx(A983&amp;B983,DATA!$E$3:$E$10000&amp;DATA!$B$3:$B$10000,DATA!$M$3:$M$10000),"No encontrado"))</f>
        <v/>
      </c>
      <c r="D983" s="24" t="str">
        <f aca="false">IF(A983="","",IFERROR(buscarx(A983&amp;B983,DATA!$E$3:$E$10000&amp;DATA!$B$3:$B$10000,DATA!$W$3:$W$10000),"No encontrado"))</f>
        <v/>
      </c>
      <c r="E983" s="22"/>
      <c r="F983" s="23" t="str">
        <f aca="false">IF(A983="","",IFERROR(buscarx(A983&amp;E983,DATA!$E$3:$E$10000&amp;DATA!$B$3:$B$10000,DATA!$M$3:$M$10000),"Inactivo"))</f>
        <v/>
      </c>
      <c r="G983" s="25" t="str">
        <f aca="false">IF(A983="","",IF(AND(C983&lt;&gt;"No encontrado",F983&lt;&gt;"Inactivo"),C983&amp;" → "&amp;F983,"Sin transición"))</f>
        <v/>
      </c>
      <c r="H983" s="23" t="str">
        <f aca="false">IF(A983="","",IF(D983="GCIA LINEA SERVICIO DIGITALIDAD Y VENTAS","Chats",IF(OR(D983="GERENCIA INBOUND LÍNEAS SERVICIO Y VENTA",D983="GERENCIA INBOUND LINEAS ESPECIALIZADAS"),"Llamadas","Otro")))</f>
        <v/>
      </c>
      <c r="I983" s="23" t="str">
        <f aca="false">IF(A983="","",IF(C983="No encontrado","No","Sí"))</f>
        <v/>
      </c>
      <c r="J983" s="23" t="str">
        <f aca="false">IF(A983="","",IF(F983="Inactivo","No","Sí"))</f>
        <v/>
      </c>
      <c r="K983" s="23" t="str">
        <f aca="false">IF(A983="","",IF(AND(I983="Sí",J983="Sí"),"Sí","No"))</f>
        <v/>
      </c>
    </row>
    <row r="984" customFormat="false" ht="15" hidden="false" customHeight="false" outlineLevel="0" collapsed="false">
      <c r="A984" s="22"/>
      <c r="B984" s="22"/>
      <c r="C984" s="26" t="str">
        <f aca="false">IF(A984="","",IFERROR(buscarx(A984&amp;B984,DATA!$E$3:$E$10000&amp;DATA!$B$3:$B$10000,DATA!$M$3:$M$10000),"No encontrado"))</f>
        <v/>
      </c>
      <c r="D984" s="27" t="str">
        <f aca="false">IF(A984="","",IFERROR(buscarx(A984&amp;B984,DATA!$E$3:$E$10000&amp;DATA!$B$3:$B$10000,DATA!$W$3:$W$10000),"No encontrado"))</f>
        <v/>
      </c>
      <c r="E984" s="22"/>
      <c r="F984" s="26" t="str">
        <f aca="false">IF(A984="","",IFERROR(buscarx(A984&amp;E984,DATA!$E$3:$E$10000&amp;DATA!$B$3:$B$10000,DATA!$M$3:$M$10000),"Inactivo"))</f>
        <v/>
      </c>
      <c r="G984" s="28" t="str">
        <f aca="false">IF(A984="","",IF(AND(C984&lt;&gt;"No encontrado",F984&lt;&gt;"Inactivo"),C984&amp;" → "&amp;F984,"Sin transición"))</f>
        <v/>
      </c>
      <c r="H984" s="26" t="str">
        <f aca="false">IF(A984="","",IF(D984="GCIA LINEA SERVICIO DIGITALIDAD Y VENTAS","Chats",IF(OR(D984="GERENCIA INBOUND LÍNEAS SERVICIO Y VENTA",D984="GERENCIA INBOUND LINEAS ESPECIALIZADAS"),"Llamadas","Otro")))</f>
        <v/>
      </c>
      <c r="I984" s="26" t="str">
        <f aca="false">IF(A984="","",IF(C984="No encontrado","No","Sí"))</f>
        <v/>
      </c>
      <c r="J984" s="26" t="str">
        <f aca="false">IF(A984="","",IF(F984="Inactivo","No","Sí"))</f>
        <v/>
      </c>
      <c r="K984" s="26" t="str">
        <f aca="false">IF(A984="","",IF(AND(I984="Sí",J984="Sí"),"Sí","No"))</f>
        <v/>
      </c>
    </row>
    <row r="985" customFormat="false" ht="15" hidden="false" customHeight="false" outlineLevel="0" collapsed="false">
      <c r="A985" s="22"/>
      <c r="B985" s="22"/>
      <c r="C985" s="23" t="str">
        <f aca="false">IF(A985="","",IFERROR(buscarx(A985&amp;B985,DATA!$E$3:$E$10000&amp;DATA!$B$3:$B$10000,DATA!$M$3:$M$10000),"No encontrado"))</f>
        <v/>
      </c>
      <c r="D985" s="24" t="str">
        <f aca="false">IF(A985="","",IFERROR(buscarx(A985&amp;B985,DATA!$E$3:$E$10000&amp;DATA!$B$3:$B$10000,DATA!$W$3:$W$10000),"No encontrado"))</f>
        <v/>
      </c>
      <c r="E985" s="22"/>
      <c r="F985" s="23" t="str">
        <f aca="false">IF(A985="","",IFERROR(buscarx(A985&amp;E985,DATA!$E$3:$E$10000&amp;DATA!$B$3:$B$10000,DATA!$M$3:$M$10000),"Inactivo"))</f>
        <v/>
      </c>
      <c r="G985" s="25" t="str">
        <f aca="false">IF(A985="","",IF(AND(C985&lt;&gt;"No encontrado",F985&lt;&gt;"Inactivo"),C985&amp;" → "&amp;F985,"Sin transición"))</f>
        <v/>
      </c>
      <c r="H985" s="23" t="str">
        <f aca="false">IF(A985="","",IF(D985="GCIA LINEA SERVICIO DIGITALIDAD Y VENTAS","Chats",IF(OR(D985="GERENCIA INBOUND LÍNEAS SERVICIO Y VENTA",D985="GERENCIA INBOUND LINEAS ESPECIALIZADAS"),"Llamadas","Otro")))</f>
        <v/>
      </c>
      <c r="I985" s="23" t="str">
        <f aca="false">IF(A985="","",IF(C985="No encontrado","No","Sí"))</f>
        <v/>
      </c>
      <c r="J985" s="23" t="str">
        <f aca="false">IF(A985="","",IF(F985="Inactivo","No","Sí"))</f>
        <v/>
      </c>
      <c r="K985" s="23" t="str">
        <f aca="false">IF(A985="","",IF(AND(I985="Sí",J985="Sí"),"Sí","No"))</f>
        <v/>
      </c>
    </row>
    <row r="986" customFormat="false" ht="15" hidden="false" customHeight="false" outlineLevel="0" collapsed="false">
      <c r="A986" s="22"/>
      <c r="B986" s="22"/>
      <c r="C986" s="26" t="str">
        <f aca="false">IF(A986="","",IFERROR(buscarx(A986&amp;B986,DATA!$E$3:$E$10000&amp;DATA!$B$3:$B$10000,DATA!$M$3:$M$10000),"No encontrado"))</f>
        <v/>
      </c>
      <c r="D986" s="27" t="str">
        <f aca="false">IF(A986="","",IFERROR(buscarx(A986&amp;B986,DATA!$E$3:$E$10000&amp;DATA!$B$3:$B$10000,DATA!$W$3:$W$10000),"No encontrado"))</f>
        <v/>
      </c>
      <c r="E986" s="22"/>
      <c r="F986" s="26" t="str">
        <f aca="false">IF(A986="","",IFERROR(buscarx(A986&amp;E986,DATA!$E$3:$E$10000&amp;DATA!$B$3:$B$10000,DATA!$M$3:$M$10000),"Inactivo"))</f>
        <v/>
      </c>
      <c r="G986" s="28" t="str">
        <f aca="false">IF(A986="","",IF(AND(C986&lt;&gt;"No encontrado",F986&lt;&gt;"Inactivo"),C986&amp;" → "&amp;F986,"Sin transición"))</f>
        <v/>
      </c>
      <c r="H986" s="26" t="str">
        <f aca="false">IF(A986="","",IF(D986="GCIA LINEA SERVICIO DIGITALIDAD Y VENTAS","Chats",IF(OR(D986="GERENCIA INBOUND LÍNEAS SERVICIO Y VENTA",D986="GERENCIA INBOUND LINEAS ESPECIALIZADAS"),"Llamadas","Otro")))</f>
        <v/>
      </c>
      <c r="I986" s="26" t="str">
        <f aca="false">IF(A986="","",IF(C986="No encontrado","No","Sí"))</f>
        <v/>
      </c>
      <c r="J986" s="26" t="str">
        <f aca="false">IF(A986="","",IF(F986="Inactivo","No","Sí"))</f>
        <v/>
      </c>
      <c r="K986" s="26" t="str">
        <f aca="false">IF(A986="","",IF(AND(I986="Sí",J986="Sí"),"Sí","No"))</f>
        <v/>
      </c>
    </row>
    <row r="987" customFormat="false" ht="15" hidden="false" customHeight="false" outlineLevel="0" collapsed="false">
      <c r="A987" s="22"/>
      <c r="B987" s="22"/>
      <c r="C987" s="23" t="str">
        <f aca="false">IF(A987="","",IFERROR(buscarx(A987&amp;B987,DATA!$E$3:$E$10000&amp;DATA!$B$3:$B$10000,DATA!$M$3:$M$10000),"No encontrado"))</f>
        <v/>
      </c>
      <c r="D987" s="24" t="str">
        <f aca="false">IF(A987="","",IFERROR(buscarx(A987&amp;B987,DATA!$E$3:$E$10000&amp;DATA!$B$3:$B$10000,DATA!$W$3:$W$10000),"No encontrado"))</f>
        <v/>
      </c>
      <c r="E987" s="22"/>
      <c r="F987" s="23" t="str">
        <f aca="false">IF(A987="","",IFERROR(buscarx(A987&amp;E987,DATA!$E$3:$E$10000&amp;DATA!$B$3:$B$10000,DATA!$M$3:$M$10000),"Inactivo"))</f>
        <v/>
      </c>
      <c r="G987" s="25" t="str">
        <f aca="false">IF(A987="","",IF(AND(C987&lt;&gt;"No encontrado",F987&lt;&gt;"Inactivo"),C987&amp;" → "&amp;F987,"Sin transición"))</f>
        <v/>
      </c>
      <c r="H987" s="23" t="str">
        <f aca="false">IF(A987="","",IF(D987="GCIA LINEA SERVICIO DIGITALIDAD Y VENTAS","Chats",IF(OR(D987="GERENCIA INBOUND LÍNEAS SERVICIO Y VENTA",D987="GERENCIA INBOUND LINEAS ESPECIALIZADAS"),"Llamadas","Otro")))</f>
        <v/>
      </c>
      <c r="I987" s="23" t="str">
        <f aca="false">IF(A987="","",IF(C987="No encontrado","No","Sí"))</f>
        <v/>
      </c>
      <c r="J987" s="23" t="str">
        <f aca="false">IF(A987="","",IF(F987="Inactivo","No","Sí"))</f>
        <v/>
      </c>
      <c r="K987" s="23" t="str">
        <f aca="false">IF(A987="","",IF(AND(I987="Sí",J987="Sí"),"Sí","No"))</f>
        <v/>
      </c>
    </row>
    <row r="988" customFormat="false" ht="15" hidden="false" customHeight="false" outlineLevel="0" collapsed="false">
      <c r="A988" s="22"/>
      <c r="B988" s="22"/>
      <c r="C988" s="26" t="str">
        <f aca="false">IF(A988="","",IFERROR(buscarx(A988&amp;B988,DATA!$E$3:$E$10000&amp;DATA!$B$3:$B$10000,DATA!$M$3:$M$10000),"No encontrado"))</f>
        <v/>
      </c>
      <c r="D988" s="27" t="str">
        <f aca="false">IF(A988="","",IFERROR(buscarx(A988&amp;B988,DATA!$E$3:$E$10000&amp;DATA!$B$3:$B$10000,DATA!$W$3:$W$10000),"No encontrado"))</f>
        <v/>
      </c>
      <c r="E988" s="22"/>
      <c r="F988" s="26" t="str">
        <f aca="false">IF(A988="","",IFERROR(buscarx(A988&amp;E988,DATA!$E$3:$E$10000&amp;DATA!$B$3:$B$10000,DATA!$M$3:$M$10000),"Inactivo"))</f>
        <v/>
      </c>
      <c r="G988" s="28" t="str">
        <f aca="false">IF(A988="","",IF(AND(C988&lt;&gt;"No encontrado",F988&lt;&gt;"Inactivo"),C988&amp;" → "&amp;F988,"Sin transición"))</f>
        <v/>
      </c>
      <c r="H988" s="26" t="str">
        <f aca="false">IF(A988="","",IF(D988="GCIA LINEA SERVICIO DIGITALIDAD Y VENTAS","Chats",IF(OR(D988="GERENCIA INBOUND LÍNEAS SERVICIO Y VENTA",D988="GERENCIA INBOUND LINEAS ESPECIALIZADAS"),"Llamadas","Otro")))</f>
        <v/>
      </c>
      <c r="I988" s="26" t="str">
        <f aca="false">IF(A988="","",IF(C988="No encontrado","No","Sí"))</f>
        <v/>
      </c>
      <c r="J988" s="26" t="str">
        <f aca="false">IF(A988="","",IF(F988="Inactivo","No","Sí"))</f>
        <v/>
      </c>
      <c r="K988" s="26" t="str">
        <f aca="false">IF(A988="","",IF(AND(I988="Sí",J988="Sí"),"Sí","No"))</f>
        <v/>
      </c>
    </row>
    <row r="989" customFormat="false" ht="15" hidden="false" customHeight="false" outlineLevel="0" collapsed="false">
      <c r="A989" s="22"/>
      <c r="B989" s="22"/>
      <c r="C989" s="23" t="str">
        <f aca="false">IF(A989="","",IFERROR(buscarx(A989&amp;B989,DATA!$E$3:$E$10000&amp;DATA!$B$3:$B$10000,DATA!$M$3:$M$10000),"No encontrado"))</f>
        <v/>
      </c>
      <c r="D989" s="24" t="str">
        <f aca="false">IF(A989="","",IFERROR(buscarx(A989&amp;B989,DATA!$E$3:$E$10000&amp;DATA!$B$3:$B$10000,DATA!$W$3:$W$10000),"No encontrado"))</f>
        <v/>
      </c>
      <c r="E989" s="22"/>
      <c r="F989" s="23" t="str">
        <f aca="false">IF(A989="","",IFERROR(buscarx(A989&amp;E989,DATA!$E$3:$E$10000&amp;DATA!$B$3:$B$10000,DATA!$M$3:$M$10000),"Inactivo"))</f>
        <v/>
      </c>
      <c r="G989" s="25" t="str">
        <f aca="false">IF(A989="","",IF(AND(C989&lt;&gt;"No encontrado",F989&lt;&gt;"Inactivo"),C989&amp;" → "&amp;F989,"Sin transición"))</f>
        <v/>
      </c>
      <c r="H989" s="23" t="str">
        <f aca="false">IF(A989="","",IF(D989="GCIA LINEA SERVICIO DIGITALIDAD Y VENTAS","Chats",IF(OR(D989="GERENCIA INBOUND LÍNEAS SERVICIO Y VENTA",D989="GERENCIA INBOUND LINEAS ESPECIALIZADAS"),"Llamadas","Otro")))</f>
        <v/>
      </c>
      <c r="I989" s="23" t="str">
        <f aca="false">IF(A989="","",IF(C989="No encontrado","No","Sí"))</f>
        <v/>
      </c>
      <c r="J989" s="23" t="str">
        <f aca="false">IF(A989="","",IF(F989="Inactivo","No","Sí"))</f>
        <v/>
      </c>
      <c r="K989" s="23" t="str">
        <f aca="false">IF(A989="","",IF(AND(I989="Sí",J989="Sí"),"Sí","No"))</f>
        <v/>
      </c>
    </row>
    <row r="990" customFormat="false" ht="15" hidden="false" customHeight="false" outlineLevel="0" collapsed="false">
      <c r="A990" s="22"/>
      <c r="B990" s="22"/>
      <c r="C990" s="26" t="str">
        <f aca="false">IF(A990="","",IFERROR(buscarx(A990&amp;B990,DATA!$E$3:$E$10000&amp;DATA!$B$3:$B$10000,DATA!$M$3:$M$10000),"No encontrado"))</f>
        <v/>
      </c>
      <c r="D990" s="27" t="str">
        <f aca="false">IF(A990="","",IFERROR(buscarx(A990&amp;B990,DATA!$E$3:$E$10000&amp;DATA!$B$3:$B$10000,DATA!$W$3:$W$10000),"No encontrado"))</f>
        <v/>
      </c>
      <c r="E990" s="22"/>
      <c r="F990" s="26" t="str">
        <f aca="false">IF(A990="","",IFERROR(buscarx(A990&amp;E990,DATA!$E$3:$E$10000&amp;DATA!$B$3:$B$10000,DATA!$M$3:$M$10000),"Inactivo"))</f>
        <v/>
      </c>
      <c r="G990" s="28" t="str">
        <f aca="false">IF(A990="","",IF(AND(C990&lt;&gt;"No encontrado",F990&lt;&gt;"Inactivo"),C990&amp;" → "&amp;F990,"Sin transición"))</f>
        <v/>
      </c>
      <c r="H990" s="26" t="str">
        <f aca="false">IF(A990="","",IF(D990="GCIA LINEA SERVICIO DIGITALIDAD Y VENTAS","Chats",IF(OR(D990="GERENCIA INBOUND LÍNEAS SERVICIO Y VENTA",D990="GERENCIA INBOUND LINEAS ESPECIALIZADAS"),"Llamadas","Otro")))</f>
        <v/>
      </c>
      <c r="I990" s="26" t="str">
        <f aca="false">IF(A990="","",IF(C990="No encontrado","No","Sí"))</f>
        <v/>
      </c>
      <c r="J990" s="26" t="str">
        <f aca="false">IF(A990="","",IF(F990="Inactivo","No","Sí"))</f>
        <v/>
      </c>
      <c r="K990" s="26" t="str">
        <f aca="false">IF(A990="","",IF(AND(I990="Sí",J990="Sí"),"Sí","No"))</f>
        <v/>
      </c>
    </row>
    <row r="991" customFormat="false" ht="15" hidden="false" customHeight="false" outlineLevel="0" collapsed="false">
      <c r="A991" s="22"/>
      <c r="B991" s="22"/>
      <c r="C991" s="23" t="str">
        <f aca="false">IF(A991="","",IFERROR(buscarx(A991&amp;B991,DATA!$E$3:$E$10000&amp;DATA!$B$3:$B$10000,DATA!$M$3:$M$10000),"No encontrado"))</f>
        <v/>
      </c>
      <c r="D991" s="24" t="str">
        <f aca="false">IF(A991="","",IFERROR(buscarx(A991&amp;B991,DATA!$E$3:$E$10000&amp;DATA!$B$3:$B$10000,DATA!$W$3:$W$10000),"No encontrado"))</f>
        <v/>
      </c>
      <c r="E991" s="22"/>
      <c r="F991" s="23" t="str">
        <f aca="false">IF(A991="","",IFERROR(buscarx(A991&amp;E991,DATA!$E$3:$E$10000&amp;DATA!$B$3:$B$10000,DATA!$M$3:$M$10000),"Inactivo"))</f>
        <v/>
      </c>
      <c r="G991" s="25" t="str">
        <f aca="false">IF(A991="","",IF(AND(C991&lt;&gt;"No encontrado",F991&lt;&gt;"Inactivo"),C991&amp;" → "&amp;F991,"Sin transición"))</f>
        <v/>
      </c>
      <c r="H991" s="23" t="str">
        <f aca="false">IF(A991="","",IF(D991="GCIA LINEA SERVICIO DIGITALIDAD Y VENTAS","Chats",IF(OR(D991="GERENCIA INBOUND LÍNEAS SERVICIO Y VENTA",D991="GERENCIA INBOUND LINEAS ESPECIALIZADAS"),"Llamadas","Otro")))</f>
        <v/>
      </c>
      <c r="I991" s="23" t="str">
        <f aca="false">IF(A991="","",IF(C991="No encontrado","No","Sí"))</f>
        <v/>
      </c>
      <c r="J991" s="23" t="str">
        <f aca="false">IF(A991="","",IF(F991="Inactivo","No","Sí"))</f>
        <v/>
      </c>
      <c r="K991" s="23" t="str">
        <f aca="false">IF(A991="","",IF(AND(I991="Sí",J991="Sí"),"Sí","No"))</f>
        <v/>
      </c>
    </row>
    <row r="992" customFormat="false" ht="15" hidden="false" customHeight="false" outlineLevel="0" collapsed="false">
      <c r="A992" s="22"/>
      <c r="B992" s="22"/>
      <c r="C992" s="26" t="str">
        <f aca="false">IF(A992="","",IFERROR(buscarx(A992&amp;B992,DATA!$E$3:$E$10000&amp;DATA!$B$3:$B$10000,DATA!$M$3:$M$10000),"No encontrado"))</f>
        <v/>
      </c>
      <c r="D992" s="27" t="str">
        <f aca="false">IF(A992="","",IFERROR(buscarx(A992&amp;B992,DATA!$E$3:$E$10000&amp;DATA!$B$3:$B$10000,DATA!$W$3:$W$10000),"No encontrado"))</f>
        <v/>
      </c>
      <c r="E992" s="22"/>
      <c r="F992" s="26" t="str">
        <f aca="false">IF(A992="","",IFERROR(buscarx(A992&amp;E992,DATA!$E$3:$E$10000&amp;DATA!$B$3:$B$10000,DATA!$M$3:$M$10000),"Inactivo"))</f>
        <v/>
      </c>
      <c r="G992" s="28" t="str">
        <f aca="false">IF(A992="","",IF(AND(C992&lt;&gt;"No encontrado",F992&lt;&gt;"Inactivo"),C992&amp;" → "&amp;F992,"Sin transición"))</f>
        <v/>
      </c>
      <c r="H992" s="26" t="str">
        <f aca="false">IF(A992="","",IF(D992="GCIA LINEA SERVICIO DIGITALIDAD Y VENTAS","Chats",IF(OR(D992="GERENCIA INBOUND LÍNEAS SERVICIO Y VENTA",D992="GERENCIA INBOUND LINEAS ESPECIALIZADAS"),"Llamadas","Otro")))</f>
        <v/>
      </c>
      <c r="I992" s="26" t="str">
        <f aca="false">IF(A992="","",IF(C992="No encontrado","No","Sí"))</f>
        <v/>
      </c>
      <c r="J992" s="26" t="str">
        <f aca="false">IF(A992="","",IF(F992="Inactivo","No","Sí"))</f>
        <v/>
      </c>
      <c r="K992" s="26" t="str">
        <f aca="false">IF(A992="","",IF(AND(I992="Sí",J992="Sí"),"Sí","No"))</f>
        <v/>
      </c>
    </row>
    <row r="993" customFormat="false" ht="15" hidden="false" customHeight="false" outlineLevel="0" collapsed="false">
      <c r="A993" s="22"/>
      <c r="B993" s="22"/>
      <c r="C993" s="23" t="str">
        <f aca="false">IF(A993="","",IFERROR(buscarx(A993&amp;B993,DATA!$E$3:$E$10000&amp;DATA!$B$3:$B$10000,DATA!$M$3:$M$10000),"No encontrado"))</f>
        <v/>
      </c>
      <c r="D993" s="24" t="str">
        <f aca="false">IF(A993="","",IFERROR(buscarx(A993&amp;B993,DATA!$E$3:$E$10000&amp;DATA!$B$3:$B$10000,DATA!$W$3:$W$10000),"No encontrado"))</f>
        <v/>
      </c>
      <c r="E993" s="22"/>
      <c r="F993" s="23" t="str">
        <f aca="false">IF(A993="","",IFERROR(buscarx(A993&amp;E993,DATA!$E$3:$E$10000&amp;DATA!$B$3:$B$10000,DATA!$M$3:$M$10000),"Inactivo"))</f>
        <v/>
      </c>
      <c r="G993" s="25" t="str">
        <f aca="false">IF(A993="","",IF(AND(C993&lt;&gt;"No encontrado",F993&lt;&gt;"Inactivo"),C993&amp;" → "&amp;F993,"Sin transición"))</f>
        <v/>
      </c>
      <c r="H993" s="23" t="str">
        <f aca="false">IF(A993="","",IF(D993="GCIA LINEA SERVICIO DIGITALIDAD Y VENTAS","Chats",IF(OR(D993="GERENCIA INBOUND LÍNEAS SERVICIO Y VENTA",D993="GERENCIA INBOUND LINEAS ESPECIALIZADAS"),"Llamadas","Otro")))</f>
        <v/>
      </c>
      <c r="I993" s="23" t="str">
        <f aca="false">IF(A993="","",IF(C993="No encontrado","No","Sí"))</f>
        <v/>
      </c>
      <c r="J993" s="23" t="str">
        <f aca="false">IF(A993="","",IF(F993="Inactivo","No","Sí"))</f>
        <v/>
      </c>
      <c r="K993" s="23" t="str">
        <f aca="false">IF(A993="","",IF(AND(I993="Sí",J993="Sí"),"Sí","No"))</f>
        <v/>
      </c>
    </row>
    <row r="994" customFormat="false" ht="15" hidden="false" customHeight="false" outlineLevel="0" collapsed="false">
      <c r="A994" s="22"/>
      <c r="B994" s="22"/>
      <c r="C994" s="26" t="str">
        <f aca="false">IF(A994="","",IFERROR(buscarx(A994&amp;B994,DATA!$E$3:$E$10000&amp;DATA!$B$3:$B$10000,DATA!$M$3:$M$10000),"No encontrado"))</f>
        <v/>
      </c>
      <c r="D994" s="27" t="str">
        <f aca="false">IF(A994="","",IFERROR(buscarx(A994&amp;B994,DATA!$E$3:$E$10000&amp;DATA!$B$3:$B$10000,DATA!$W$3:$W$10000),"No encontrado"))</f>
        <v/>
      </c>
      <c r="E994" s="22"/>
      <c r="F994" s="26" t="str">
        <f aca="false">IF(A994="","",IFERROR(buscarx(A994&amp;E994,DATA!$E$3:$E$10000&amp;DATA!$B$3:$B$10000,DATA!$M$3:$M$10000),"Inactivo"))</f>
        <v/>
      </c>
      <c r="G994" s="28" t="str">
        <f aca="false">IF(A994="","",IF(AND(C994&lt;&gt;"No encontrado",F994&lt;&gt;"Inactivo"),C994&amp;" → "&amp;F994,"Sin transición"))</f>
        <v/>
      </c>
      <c r="H994" s="26" t="str">
        <f aca="false">IF(A994="","",IF(D994="GCIA LINEA SERVICIO DIGITALIDAD Y VENTAS","Chats",IF(OR(D994="GERENCIA INBOUND LÍNEAS SERVICIO Y VENTA",D994="GERENCIA INBOUND LINEAS ESPECIALIZADAS"),"Llamadas","Otro")))</f>
        <v/>
      </c>
      <c r="I994" s="26" t="str">
        <f aca="false">IF(A994="","",IF(C994="No encontrado","No","Sí"))</f>
        <v/>
      </c>
      <c r="J994" s="26" t="str">
        <f aca="false">IF(A994="","",IF(F994="Inactivo","No","Sí"))</f>
        <v/>
      </c>
      <c r="K994" s="26" t="str">
        <f aca="false">IF(A994="","",IF(AND(I994="Sí",J994="Sí"),"Sí","No"))</f>
        <v/>
      </c>
    </row>
    <row r="995" customFormat="false" ht="15" hidden="false" customHeight="false" outlineLevel="0" collapsed="false">
      <c r="A995" s="22"/>
      <c r="B995" s="22"/>
      <c r="C995" s="23" t="str">
        <f aca="false">IF(A995="","",IFERROR(buscarx(A995&amp;B995,DATA!$E$3:$E$10000&amp;DATA!$B$3:$B$10000,DATA!$M$3:$M$10000),"No encontrado"))</f>
        <v/>
      </c>
      <c r="D995" s="24" t="str">
        <f aca="false">IF(A995="","",IFERROR(buscarx(A995&amp;B995,DATA!$E$3:$E$10000&amp;DATA!$B$3:$B$10000,DATA!$W$3:$W$10000),"No encontrado"))</f>
        <v/>
      </c>
      <c r="E995" s="22"/>
      <c r="F995" s="23" t="str">
        <f aca="false">IF(A995="","",IFERROR(buscarx(A995&amp;E995,DATA!$E$3:$E$10000&amp;DATA!$B$3:$B$10000,DATA!$M$3:$M$10000),"Inactivo"))</f>
        <v/>
      </c>
      <c r="G995" s="25" t="str">
        <f aca="false">IF(A995="","",IF(AND(C995&lt;&gt;"No encontrado",F995&lt;&gt;"Inactivo"),C995&amp;" → "&amp;F995,"Sin transición"))</f>
        <v/>
      </c>
      <c r="H995" s="23" t="str">
        <f aca="false">IF(A995="","",IF(D995="GCIA LINEA SERVICIO DIGITALIDAD Y VENTAS","Chats",IF(OR(D995="GERENCIA INBOUND LÍNEAS SERVICIO Y VENTA",D995="GERENCIA INBOUND LINEAS ESPECIALIZADAS"),"Llamadas","Otro")))</f>
        <v/>
      </c>
      <c r="I995" s="23" t="str">
        <f aca="false">IF(A995="","",IF(C995="No encontrado","No","Sí"))</f>
        <v/>
      </c>
      <c r="J995" s="23" t="str">
        <f aca="false">IF(A995="","",IF(F995="Inactivo","No","Sí"))</f>
        <v/>
      </c>
      <c r="K995" s="23" t="str">
        <f aca="false">IF(A995="","",IF(AND(I995="Sí",J995="Sí"),"Sí","No"))</f>
        <v/>
      </c>
    </row>
    <row r="996" customFormat="false" ht="15" hidden="false" customHeight="false" outlineLevel="0" collapsed="false">
      <c r="A996" s="22"/>
      <c r="B996" s="22"/>
      <c r="C996" s="26" t="str">
        <f aca="false">IF(A996="","",IFERROR(buscarx(A996&amp;B996,DATA!$E$3:$E$10000&amp;DATA!$B$3:$B$10000,DATA!$M$3:$M$10000),"No encontrado"))</f>
        <v/>
      </c>
      <c r="D996" s="27" t="str">
        <f aca="false">IF(A996="","",IFERROR(buscarx(A996&amp;B996,DATA!$E$3:$E$10000&amp;DATA!$B$3:$B$10000,DATA!$W$3:$W$10000),"No encontrado"))</f>
        <v/>
      </c>
      <c r="E996" s="22"/>
      <c r="F996" s="26" t="str">
        <f aca="false">IF(A996="","",IFERROR(buscarx(A996&amp;E996,DATA!$E$3:$E$10000&amp;DATA!$B$3:$B$10000,DATA!$M$3:$M$10000),"Inactivo"))</f>
        <v/>
      </c>
      <c r="G996" s="28" t="str">
        <f aca="false">IF(A996="","",IF(AND(C996&lt;&gt;"No encontrado",F996&lt;&gt;"Inactivo"),C996&amp;" → "&amp;F996,"Sin transición"))</f>
        <v/>
      </c>
      <c r="H996" s="26" t="str">
        <f aca="false">IF(A996="","",IF(D996="GCIA LINEA SERVICIO DIGITALIDAD Y VENTAS","Chats",IF(OR(D996="GERENCIA INBOUND LÍNEAS SERVICIO Y VENTA",D996="GERENCIA INBOUND LINEAS ESPECIALIZADAS"),"Llamadas","Otro")))</f>
        <v/>
      </c>
      <c r="I996" s="26" t="str">
        <f aca="false">IF(A996="","",IF(C996="No encontrado","No","Sí"))</f>
        <v/>
      </c>
      <c r="J996" s="26" t="str">
        <f aca="false">IF(A996="","",IF(F996="Inactivo","No","Sí"))</f>
        <v/>
      </c>
      <c r="K996" s="26" t="str">
        <f aca="false">IF(A996="","",IF(AND(I996="Sí",J996="Sí"),"Sí","No"))</f>
        <v/>
      </c>
    </row>
    <row r="997" customFormat="false" ht="15" hidden="false" customHeight="false" outlineLevel="0" collapsed="false">
      <c r="A997" s="22"/>
      <c r="B997" s="22"/>
      <c r="C997" s="23" t="str">
        <f aca="false">IF(A997="","",IFERROR(buscarx(A997&amp;B997,DATA!$E$3:$E$10000&amp;DATA!$B$3:$B$10000,DATA!$M$3:$M$10000),"No encontrado"))</f>
        <v/>
      </c>
      <c r="D997" s="24" t="str">
        <f aca="false">IF(A997="","",IFERROR(buscarx(A997&amp;B997,DATA!$E$3:$E$10000&amp;DATA!$B$3:$B$10000,DATA!$W$3:$W$10000),"No encontrado"))</f>
        <v/>
      </c>
      <c r="E997" s="22"/>
      <c r="F997" s="23" t="str">
        <f aca="false">IF(A997="","",IFERROR(buscarx(A997&amp;E997,DATA!$E$3:$E$10000&amp;DATA!$B$3:$B$10000,DATA!$M$3:$M$10000),"Inactivo"))</f>
        <v/>
      </c>
      <c r="G997" s="25" t="str">
        <f aca="false">IF(A997="","",IF(AND(C997&lt;&gt;"No encontrado",F997&lt;&gt;"Inactivo"),C997&amp;" → "&amp;F997,"Sin transición"))</f>
        <v/>
      </c>
      <c r="H997" s="23" t="str">
        <f aca="false">IF(A997="","",IF(D997="GCIA LINEA SERVICIO DIGITALIDAD Y VENTAS","Chats",IF(OR(D997="GERENCIA INBOUND LÍNEAS SERVICIO Y VENTA",D997="GERENCIA INBOUND LINEAS ESPECIALIZADAS"),"Llamadas","Otro")))</f>
        <v/>
      </c>
      <c r="I997" s="23" t="str">
        <f aca="false">IF(A997="","",IF(C997="No encontrado","No","Sí"))</f>
        <v/>
      </c>
      <c r="J997" s="23" t="str">
        <f aca="false">IF(A997="","",IF(F997="Inactivo","No","Sí"))</f>
        <v/>
      </c>
      <c r="K997" s="23" t="str">
        <f aca="false">IF(A997="","",IF(AND(I997="Sí",J997="Sí"),"Sí","No"))</f>
        <v/>
      </c>
    </row>
    <row r="998" customFormat="false" ht="15" hidden="false" customHeight="false" outlineLevel="0" collapsed="false">
      <c r="A998" s="22"/>
      <c r="B998" s="22"/>
      <c r="C998" s="26" t="str">
        <f aca="false">IF(A998="","",IFERROR(buscarx(A998&amp;B998,DATA!$E$3:$E$10000&amp;DATA!$B$3:$B$10000,DATA!$M$3:$M$10000),"No encontrado"))</f>
        <v/>
      </c>
      <c r="D998" s="27" t="str">
        <f aca="false">IF(A998="","",IFERROR(buscarx(A998&amp;B998,DATA!$E$3:$E$10000&amp;DATA!$B$3:$B$10000,DATA!$W$3:$W$10000),"No encontrado"))</f>
        <v/>
      </c>
      <c r="E998" s="22"/>
      <c r="F998" s="26" t="str">
        <f aca="false">IF(A998="","",IFERROR(buscarx(A998&amp;E998,DATA!$E$3:$E$10000&amp;DATA!$B$3:$B$10000,DATA!$M$3:$M$10000),"Inactivo"))</f>
        <v/>
      </c>
      <c r="G998" s="28" t="str">
        <f aca="false">IF(A998="","",IF(AND(C998&lt;&gt;"No encontrado",F998&lt;&gt;"Inactivo"),C998&amp;" → "&amp;F998,"Sin transición"))</f>
        <v/>
      </c>
      <c r="H998" s="26" t="str">
        <f aca="false">IF(A998="","",IF(D998="GCIA LINEA SERVICIO DIGITALIDAD Y VENTAS","Chats",IF(OR(D998="GERENCIA INBOUND LÍNEAS SERVICIO Y VENTA",D998="GERENCIA INBOUND LINEAS ESPECIALIZADAS"),"Llamadas","Otro")))</f>
        <v/>
      </c>
      <c r="I998" s="26" t="str">
        <f aca="false">IF(A998="","",IF(C998="No encontrado","No","Sí"))</f>
        <v/>
      </c>
      <c r="J998" s="26" t="str">
        <f aca="false">IF(A998="","",IF(F998="Inactivo","No","Sí"))</f>
        <v/>
      </c>
      <c r="K998" s="26" t="str">
        <f aca="false">IF(A998="","",IF(AND(I998="Sí",J998="Sí"),"Sí","No"))</f>
        <v/>
      </c>
    </row>
    <row r="999" customFormat="false" ht="15" hidden="false" customHeight="false" outlineLevel="0" collapsed="false">
      <c r="A999" s="22"/>
      <c r="B999" s="22"/>
      <c r="C999" s="23" t="str">
        <f aca="false">IF(A999="","",IFERROR(buscarx(A999&amp;B999,DATA!$E$3:$E$10000&amp;DATA!$B$3:$B$10000,DATA!$M$3:$M$10000),"No encontrado"))</f>
        <v/>
      </c>
      <c r="D999" s="24" t="str">
        <f aca="false">IF(A999="","",IFERROR(buscarx(A999&amp;B999,DATA!$E$3:$E$10000&amp;DATA!$B$3:$B$10000,DATA!$W$3:$W$10000),"No encontrado"))</f>
        <v/>
      </c>
      <c r="E999" s="22"/>
      <c r="F999" s="23" t="str">
        <f aca="false">IF(A999="","",IFERROR(buscarx(A999&amp;E999,DATA!$E$3:$E$10000&amp;DATA!$B$3:$B$10000,DATA!$M$3:$M$10000),"Inactivo"))</f>
        <v/>
      </c>
      <c r="G999" s="25" t="str">
        <f aca="false">IF(A999="","",IF(AND(C999&lt;&gt;"No encontrado",F999&lt;&gt;"Inactivo"),C999&amp;" → "&amp;F999,"Sin transición"))</f>
        <v/>
      </c>
      <c r="H999" s="23" t="str">
        <f aca="false">IF(A999="","",IF(D999="GCIA LINEA SERVICIO DIGITALIDAD Y VENTAS","Chats",IF(OR(D999="GERENCIA INBOUND LÍNEAS SERVICIO Y VENTA",D999="GERENCIA INBOUND LINEAS ESPECIALIZADAS"),"Llamadas","Otro")))</f>
        <v/>
      </c>
      <c r="I999" s="23" t="str">
        <f aca="false">IF(A999="","",IF(C999="No encontrado","No","Sí"))</f>
        <v/>
      </c>
      <c r="J999" s="23" t="str">
        <f aca="false">IF(A999="","",IF(F999="Inactivo","No","Sí"))</f>
        <v/>
      </c>
      <c r="K999" s="23" t="str">
        <f aca="false">IF(A999="","",IF(AND(I999="Sí",J999="Sí"),"Sí","No"))</f>
        <v/>
      </c>
    </row>
    <row r="1000" customFormat="false" ht="15" hidden="false" customHeight="false" outlineLevel="0" collapsed="false">
      <c r="A1000" s="22"/>
      <c r="B1000" s="22"/>
      <c r="C1000" s="26" t="str">
        <f aca="false">IF(A1000="","",IFERROR(buscarx(A1000&amp;B1000,DATA!$E$3:$E$10000&amp;DATA!$B$3:$B$10000,DATA!$M$3:$M$10000),"No encontrado"))</f>
        <v/>
      </c>
      <c r="D1000" s="27" t="str">
        <f aca="false">IF(A1000="","",IFERROR(buscarx(A1000&amp;B1000,DATA!$E$3:$E$10000&amp;DATA!$B$3:$B$10000,DATA!$W$3:$W$10000),"No encontrado"))</f>
        <v/>
      </c>
      <c r="E1000" s="22"/>
      <c r="F1000" s="26" t="str">
        <f aca="false">IF(A1000="","",IFERROR(buscarx(A1000&amp;E1000,DATA!$E$3:$E$10000&amp;DATA!$B$3:$B$10000,DATA!$M$3:$M$10000),"Inactivo"))</f>
        <v/>
      </c>
      <c r="G1000" s="28" t="str">
        <f aca="false">IF(A1000="","",IF(AND(C1000&lt;&gt;"No encontrado",F1000&lt;&gt;"Inactivo"),C1000&amp;" → "&amp;F1000,"Sin transición"))</f>
        <v/>
      </c>
      <c r="H1000" s="26" t="str">
        <f aca="false">IF(A1000="","",IF(D1000="GCIA LINEA SERVICIO DIGITALIDAD Y VENTAS","Chats",IF(OR(D1000="GERENCIA INBOUND LÍNEAS SERVICIO Y VENTA",D1000="GERENCIA INBOUND LINEAS ESPECIALIZADAS"),"Llamadas","Otro")))</f>
        <v/>
      </c>
      <c r="I1000" s="26" t="str">
        <f aca="false">IF(A1000="","",IF(C1000="No encontrado","No","Sí"))</f>
        <v/>
      </c>
      <c r="J1000" s="26" t="str">
        <f aca="false">IF(A1000="","",IF(F1000="Inactivo","No","Sí"))</f>
        <v/>
      </c>
      <c r="K1000" s="26" t="str">
        <f aca="false">IF(A1000="","",IF(AND(I1000="Sí",J1000="Sí"),"Sí","No"))</f>
        <v/>
      </c>
    </row>
    <row r="1001" customFormat="false" ht="15" hidden="false" customHeight="false" outlineLevel="0" collapsed="false">
      <c r="A1001" s="22"/>
      <c r="B1001" s="22"/>
      <c r="C1001" s="23" t="str">
        <f aca="false">IF(A1001="","",IFERROR(buscarx(A1001&amp;B1001,DATA!$E$3:$E$10000&amp;DATA!$B$3:$B$10000,DATA!$M$3:$M$10000),"No encontrado"))</f>
        <v/>
      </c>
      <c r="D1001" s="24" t="str">
        <f aca="false">IF(A1001="","",IFERROR(buscarx(A1001&amp;B1001,DATA!$E$3:$E$10000&amp;DATA!$B$3:$B$10000,DATA!$W$3:$W$10000),"No encontrado"))</f>
        <v/>
      </c>
      <c r="E1001" s="22"/>
      <c r="F1001" s="23" t="str">
        <f aca="false">IF(A1001="","",IFERROR(buscarx(A1001&amp;E1001,DATA!$E$3:$E$10000&amp;DATA!$B$3:$B$10000,DATA!$M$3:$M$10000),"Inactivo"))</f>
        <v/>
      </c>
      <c r="G1001" s="25" t="str">
        <f aca="false">IF(A1001="","",IF(AND(C1001&lt;&gt;"No encontrado",F1001&lt;&gt;"Inactivo"),C1001&amp;" → "&amp;F1001,"Sin transición"))</f>
        <v/>
      </c>
      <c r="H1001" s="23" t="str">
        <f aca="false">IF(A1001="","",IF(D1001="GCIA LINEA SERVICIO DIGITALIDAD Y VENTAS","Chats",IF(OR(D1001="GERENCIA INBOUND LÍNEAS SERVICIO Y VENTA",D1001="GERENCIA INBOUND LINEAS ESPECIALIZADAS"),"Llamadas","Otro")))</f>
        <v/>
      </c>
      <c r="I1001" s="23" t="str">
        <f aca="false">IF(A1001="","",IF(C1001="No encontrado","No","Sí"))</f>
        <v/>
      </c>
      <c r="J1001" s="23" t="str">
        <f aca="false">IF(A1001="","",IF(F1001="Inactivo","No","Sí"))</f>
        <v/>
      </c>
      <c r="K1001" s="23" t="str">
        <f aca="false">IF(A1001="","",IF(AND(I1001="Sí",J1001="Sí"),"Sí","No"))</f>
        <v/>
      </c>
    </row>
    <row r="1002" customFormat="false" ht="15" hidden="false" customHeight="false" outlineLevel="0" collapsed="false">
      <c r="A1002" s="22"/>
      <c r="B1002" s="22"/>
      <c r="C1002" s="26" t="str">
        <f aca="false">IF(A1002="","",IFERROR(buscarx(A1002&amp;B1002,DATA!$E$3:$E$10000&amp;DATA!$B$3:$B$10000,DATA!$M$3:$M$10000),"No encontrado"))</f>
        <v/>
      </c>
      <c r="D1002" s="27" t="str">
        <f aca="false">IF(A1002="","",IFERROR(buscarx(A1002&amp;B1002,DATA!$E$3:$E$10000&amp;DATA!$B$3:$B$10000,DATA!$W$3:$W$10000),"No encontrado"))</f>
        <v/>
      </c>
      <c r="E1002" s="22"/>
      <c r="F1002" s="26" t="str">
        <f aca="false">IF(A1002="","",IFERROR(buscarx(A1002&amp;E1002,DATA!$E$3:$E$10000&amp;DATA!$B$3:$B$10000,DATA!$M$3:$M$10000),"Inactivo"))</f>
        <v/>
      </c>
      <c r="G1002" s="28" t="str">
        <f aca="false">IF(A1002="","",IF(AND(C1002&lt;&gt;"No encontrado",F1002&lt;&gt;"Inactivo"),C1002&amp;" → "&amp;F1002,"Sin transición"))</f>
        <v/>
      </c>
      <c r="H1002" s="26" t="str">
        <f aca="false">IF(A1002="","",IF(D1002="GCIA LINEA SERVICIO DIGITALIDAD Y VENTAS","Chats",IF(OR(D1002="GERENCIA INBOUND LÍNEAS SERVICIO Y VENTA",D1002="GERENCIA INBOUND LINEAS ESPECIALIZADAS"),"Llamadas","Otro")))</f>
        <v/>
      </c>
      <c r="I1002" s="26" t="str">
        <f aca="false">IF(A1002="","",IF(C1002="No encontrado","No","Sí"))</f>
        <v/>
      </c>
      <c r="J1002" s="26" t="str">
        <f aca="false">IF(A1002="","",IF(F1002="Inactivo","No","Sí"))</f>
        <v/>
      </c>
      <c r="K1002" s="26" t="str">
        <f aca="false">IF(A1002="","",IF(AND(I1002="Sí",J1002="Sí"),"Sí","No"))</f>
        <v/>
      </c>
    </row>
    <row r="1003" customFormat="false" ht="15" hidden="false" customHeight="false" outlineLevel="0" collapsed="false">
      <c r="A1003" s="22"/>
      <c r="B1003" s="22"/>
      <c r="C1003" s="23" t="str">
        <f aca="false">IF(A1003="","",IFERROR(buscarx(A1003&amp;B1003,DATA!$E$3:$E$10000&amp;DATA!$B$3:$B$10000,DATA!$M$3:$M$10000),"No encontrado"))</f>
        <v/>
      </c>
      <c r="D1003" s="24" t="str">
        <f aca="false">IF(A1003="","",IFERROR(buscarx(A1003&amp;B1003,DATA!$E$3:$E$10000&amp;DATA!$B$3:$B$10000,DATA!$W$3:$W$10000),"No encontrado"))</f>
        <v/>
      </c>
      <c r="E1003" s="22"/>
      <c r="F1003" s="23" t="str">
        <f aca="false">IF(A1003="","",IFERROR(buscarx(A1003&amp;E1003,DATA!$E$3:$E$10000&amp;DATA!$B$3:$B$10000,DATA!$M$3:$M$10000),"Inactivo"))</f>
        <v/>
      </c>
      <c r="G1003" s="25" t="str">
        <f aca="false">IF(A1003="","",IF(AND(C1003&lt;&gt;"No encontrado",F1003&lt;&gt;"Inactivo"),C1003&amp;" → "&amp;F1003,"Sin transición"))</f>
        <v/>
      </c>
      <c r="H1003" s="23" t="str">
        <f aca="false">IF(A1003="","",IF(D1003="GCIA LINEA SERVICIO DIGITALIDAD Y VENTAS","Chats",IF(OR(D1003="GERENCIA INBOUND LÍNEAS SERVICIO Y VENTA",D1003="GERENCIA INBOUND LINEAS ESPECIALIZADAS"),"Llamadas","Otro")))</f>
        <v/>
      </c>
      <c r="I1003" s="23" t="str">
        <f aca="false">IF(A1003="","",IF(C1003="No encontrado","No","Sí"))</f>
        <v/>
      </c>
      <c r="J1003" s="23" t="str">
        <f aca="false">IF(A1003="","",IF(F1003="Inactivo","No","Sí"))</f>
        <v/>
      </c>
      <c r="K1003" s="23" t="str">
        <f aca="false">IF(A1003="","",IF(AND(I1003="Sí",J1003="Sí"),"Sí","No"))</f>
        <v/>
      </c>
    </row>
    <row r="1004" customFormat="false" ht="15" hidden="false" customHeight="false" outlineLevel="0" collapsed="false">
      <c r="A1004" s="22"/>
      <c r="B1004" s="22"/>
      <c r="C1004" s="26" t="str">
        <f aca="false">IF(A1004="","",IFERROR(buscarx(A1004&amp;B1004,DATA!$E$3:$E$10000&amp;DATA!$B$3:$B$10000,DATA!$M$3:$M$10000),"No encontrado"))</f>
        <v/>
      </c>
      <c r="D1004" s="27" t="str">
        <f aca="false">IF(A1004="","",IFERROR(buscarx(A1004&amp;B1004,DATA!$E$3:$E$10000&amp;DATA!$B$3:$B$10000,DATA!$W$3:$W$10000),"No encontrado"))</f>
        <v/>
      </c>
      <c r="E1004" s="22"/>
      <c r="F1004" s="26" t="str">
        <f aca="false">IF(A1004="","",IFERROR(buscarx(A1004&amp;E1004,DATA!$E$3:$E$10000&amp;DATA!$B$3:$B$10000,DATA!$M$3:$M$10000),"Inactivo"))</f>
        <v/>
      </c>
      <c r="G1004" s="28" t="str">
        <f aca="false">IF(A1004="","",IF(AND(C1004&lt;&gt;"No encontrado",F1004&lt;&gt;"Inactivo"),C1004&amp;" → "&amp;F1004,"Sin transición"))</f>
        <v/>
      </c>
      <c r="H1004" s="26" t="str">
        <f aca="false">IF(A1004="","",IF(D1004="GCIA LINEA SERVICIO DIGITALIDAD Y VENTAS","Chats",IF(OR(D1004="GERENCIA INBOUND LÍNEAS SERVICIO Y VENTA",D1004="GERENCIA INBOUND LINEAS ESPECIALIZADAS"),"Llamadas","Otro")))</f>
        <v/>
      </c>
      <c r="I1004" s="26" t="str">
        <f aca="false">IF(A1004="","",IF(C1004="No encontrado","No","Sí"))</f>
        <v/>
      </c>
      <c r="J1004" s="26" t="str">
        <f aca="false">IF(A1004="","",IF(F1004="Inactivo","No","Sí"))</f>
        <v/>
      </c>
      <c r="K1004" s="26" t="str">
        <f aca="false">IF(A1004="","",IF(AND(I1004="Sí",J1004="Sí"),"Sí","No"))</f>
        <v/>
      </c>
    </row>
    <row r="1005" customFormat="false" ht="15" hidden="false" customHeight="false" outlineLevel="0" collapsed="false">
      <c r="A1005" s="22"/>
      <c r="B1005" s="22"/>
      <c r="C1005" s="23" t="str">
        <f aca="false">IF(A1005="","",IFERROR(buscarx(A1005&amp;B1005,DATA!$E$3:$E$10000&amp;DATA!$B$3:$B$10000,DATA!$M$3:$M$10000),"No encontrado"))</f>
        <v/>
      </c>
      <c r="D1005" s="24" t="str">
        <f aca="false">IF(A1005="","",IFERROR(buscarx(A1005&amp;B1005,DATA!$E$3:$E$10000&amp;DATA!$B$3:$B$10000,DATA!$W$3:$W$10000),"No encontrado"))</f>
        <v/>
      </c>
      <c r="E1005" s="22"/>
      <c r="F1005" s="23" t="str">
        <f aca="false">IF(A1005="","",IFERROR(buscarx(A1005&amp;E1005,DATA!$E$3:$E$10000&amp;DATA!$B$3:$B$10000,DATA!$M$3:$M$10000),"Inactivo"))</f>
        <v/>
      </c>
      <c r="G1005" s="25" t="str">
        <f aca="false">IF(A1005="","",IF(AND(C1005&lt;&gt;"No encontrado",F1005&lt;&gt;"Inactivo"),C1005&amp;" → "&amp;F1005,"Sin transición"))</f>
        <v/>
      </c>
      <c r="H1005" s="23" t="str">
        <f aca="false">IF(A1005="","",IF(D1005="GCIA LINEA SERVICIO DIGITALIDAD Y VENTAS","Chats",IF(OR(D1005="GERENCIA INBOUND LÍNEAS SERVICIO Y VENTA",D1005="GERENCIA INBOUND LINEAS ESPECIALIZADAS"),"Llamadas","Otro")))</f>
        <v/>
      </c>
      <c r="I1005" s="23" t="str">
        <f aca="false">IF(A1005="","",IF(C1005="No encontrado","No","Sí"))</f>
        <v/>
      </c>
      <c r="J1005" s="23" t="str">
        <f aca="false">IF(A1005="","",IF(F1005="Inactivo","No","Sí"))</f>
        <v/>
      </c>
      <c r="K1005" s="23" t="str">
        <f aca="false">IF(A1005="","",IF(AND(I1005="Sí",J1005="Sí"),"Sí","No"))</f>
        <v/>
      </c>
    </row>
    <row r="1006" customFormat="false" ht="15" hidden="false" customHeight="false" outlineLevel="0" collapsed="false">
      <c r="A1006" s="22"/>
      <c r="B1006" s="22"/>
      <c r="C1006" s="26" t="str">
        <f aca="false">IF(A1006="","",IFERROR(buscarx(A1006&amp;B1006,DATA!$E$3:$E$10000&amp;DATA!$B$3:$B$10000,DATA!$M$3:$M$10000),"No encontrado"))</f>
        <v/>
      </c>
      <c r="D1006" s="27" t="str">
        <f aca="false">IF(A1006="","",IFERROR(buscarx(A1006&amp;B1006,DATA!$E$3:$E$10000&amp;DATA!$B$3:$B$10000,DATA!$W$3:$W$10000),"No encontrado"))</f>
        <v/>
      </c>
      <c r="E1006" s="22"/>
      <c r="F1006" s="26" t="str">
        <f aca="false">IF(A1006="","",IFERROR(buscarx(A1006&amp;E1006,DATA!$E$3:$E$10000&amp;DATA!$B$3:$B$10000,DATA!$M$3:$M$10000),"Inactivo"))</f>
        <v/>
      </c>
      <c r="G1006" s="28" t="str">
        <f aca="false">IF(A1006="","",IF(AND(C1006&lt;&gt;"No encontrado",F1006&lt;&gt;"Inactivo"),C1006&amp;" → "&amp;F1006,"Sin transición"))</f>
        <v/>
      </c>
      <c r="H1006" s="26" t="str">
        <f aca="false">IF(A1006="","",IF(D1006="GCIA LINEA SERVICIO DIGITALIDAD Y VENTAS","Chats",IF(OR(D1006="GERENCIA INBOUND LÍNEAS SERVICIO Y VENTA",D1006="GERENCIA INBOUND LINEAS ESPECIALIZADAS"),"Llamadas","Otro")))</f>
        <v/>
      </c>
      <c r="I1006" s="26" t="str">
        <f aca="false">IF(A1006="","",IF(C1006="No encontrado","No","Sí"))</f>
        <v/>
      </c>
      <c r="J1006" s="26" t="str">
        <f aca="false">IF(A1006="","",IF(F1006="Inactivo","No","Sí"))</f>
        <v/>
      </c>
      <c r="K1006" s="26" t="str">
        <f aca="false">IF(A1006="","",IF(AND(I1006="Sí",J1006="Sí"),"Sí","No"))</f>
        <v/>
      </c>
    </row>
    <row r="1007" customFormat="false" ht="15" hidden="false" customHeight="false" outlineLevel="0" collapsed="false">
      <c r="A1007" s="22"/>
      <c r="B1007" s="22"/>
      <c r="C1007" s="23" t="str">
        <f aca="false">IF(A1007="","",IFERROR(buscarx(A1007&amp;B1007,DATA!$E$3:$E$10000&amp;DATA!$B$3:$B$10000,DATA!$M$3:$M$10000),"No encontrado"))</f>
        <v/>
      </c>
      <c r="D1007" s="24" t="str">
        <f aca="false">IF(A1007="","",IFERROR(buscarx(A1007&amp;B1007,DATA!$E$3:$E$10000&amp;DATA!$B$3:$B$10000,DATA!$W$3:$W$10000),"No encontrado"))</f>
        <v/>
      </c>
      <c r="E1007" s="22"/>
      <c r="F1007" s="23" t="str">
        <f aca="false">IF(A1007="","",IFERROR(buscarx(A1007&amp;E1007,DATA!$E$3:$E$10000&amp;DATA!$B$3:$B$10000,DATA!$M$3:$M$10000),"Inactivo"))</f>
        <v/>
      </c>
      <c r="G1007" s="25" t="str">
        <f aca="false">IF(A1007="","",IF(AND(C1007&lt;&gt;"No encontrado",F1007&lt;&gt;"Inactivo"),C1007&amp;" → "&amp;F1007,"Sin transición"))</f>
        <v/>
      </c>
      <c r="H1007" s="23" t="str">
        <f aca="false">IF(A1007="","",IF(D1007="GCIA LINEA SERVICIO DIGITALIDAD Y VENTAS","Chats",IF(OR(D1007="GERENCIA INBOUND LÍNEAS SERVICIO Y VENTA",D1007="GERENCIA INBOUND LINEAS ESPECIALIZADAS"),"Llamadas","Otro")))</f>
        <v/>
      </c>
      <c r="I1007" s="23" t="str">
        <f aca="false">IF(A1007="","",IF(C1007="No encontrado","No","Sí"))</f>
        <v/>
      </c>
      <c r="J1007" s="23" t="str">
        <f aca="false">IF(A1007="","",IF(F1007="Inactivo","No","Sí"))</f>
        <v/>
      </c>
      <c r="K1007" s="23" t="str">
        <f aca="false">IF(A1007="","",IF(AND(I1007="Sí",J1007="Sí"),"Sí","No"))</f>
        <v/>
      </c>
    </row>
    <row r="1008" customFormat="false" ht="15" hidden="false" customHeight="false" outlineLevel="0" collapsed="false">
      <c r="A1008" s="22"/>
      <c r="B1008" s="22"/>
      <c r="C1008" s="26" t="str">
        <f aca="false">IF(A1008="","",IFERROR(buscarx(A1008&amp;B1008,DATA!$E$3:$E$10000&amp;DATA!$B$3:$B$10000,DATA!$M$3:$M$10000),"No encontrado"))</f>
        <v/>
      </c>
      <c r="D1008" s="27" t="str">
        <f aca="false">IF(A1008="","",IFERROR(buscarx(A1008&amp;B1008,DATA!$E$3:$E$10000&amp;DATA!$B$3:$B$10000,DATA!$W$3:$W$10000),"No encontrado"))</f>
        <v/>
      </c>
      <c r="E1008" s="22"/>
      <c r="F1008" s="26" t="str">
        <f aca="false">IF(A1008="","",IFERROR(buscarx(A1008&amp;E1008,DATA!$E$3:$E$10000&amp;DATA!$B$3:$B$10000,DATA!$M$3:$M$10000),"Inactivo"))</f>
        <v/>
      </c>
      <c r="G1008" s="28" t="str">
        <f aca="false">IF(A1008="","",IF(AND(C1008&lt;&gt;"No encontrado",F1008&lt;&gt;"Inactivo"),C1008&amp;" → "&amp;F1008,"Sin transición"))</f>
        <v/>
      </c>
      <c r="H1008" s="26" t="str">
        <f aca="false">IF(A1008="","",IF(D1008="GCIA LINEA SERVICIO DIGITALIDAD Y VENTAS","Chats",IF(OR(D1008="GERENCIA INBOUND LÍNEAS SERVICIO Y VENTA",D1008="GERENCIA INBOUND LINEAS ESPECIALIZADAS"),"Llamadas","Otro")))</f>
        <v/>
      </c>
      <c r="I1008" s="26" t="str">
        <f aca="false">IF(A1008="","",IF(C1008="No encontrado","No","Sí"))</f>
        <v/>
      </c>
      <c r="J1008" s="26" t="str">
        <f aca="false">IF(A1008="","",IF(F1008="Inactivo","No","Sí"))</f>
        <v/>
      </c>
      <c r="K1008" s="26" t="str">
        <f aca="false">IF(A1008="","",IF(AND(I1008="Sí",J1008="Sí"),"Sí","No"))</f>
        <v/>
      </c>
    </row>
    <row r="1009" customFormat="false" ht="15" hidden="false" customHeight="false" outlineLevel="0" collapsed="false">
      <c r="A1009" s="22"/>
      <c r="B1009" s="22"/>
      <c r="C1009" s="23" t="str">
        <f aca="false">IF(A1009="","",IFERROR(buscarx(A1009&amp;B1009,DATA!$E$3:$E$10000&amp;DATA!$B$3:$B$10000,DATA!$M$3:$M$10000),"No encontrado"))</f>
        <v/>
      </c>
      <c r="D1009" s="24" t="str">
        <f aca="false">IF(A1009="","",IFERROR(buscarx(A1009&amp;B1009,DATA!$E$3:$E$10000&amp;DATA!$B$3:$B$10000,DATA!$W$3:$W$10000),"No encontrado"))</f>
        <v/>
      </c>
      <c r="E1009" s="22"/>
      <c r="F1009" s="23" t="str">
        <f aca="false">IF(A1009="","",IFERROR(buscarx(A1009&amp;E1009,DATA!$E$3:$E$10000&amp;DATA!$B$3:$B$10000,DATA!$M$3:$M$10000),"Inactivo"))</f>
        <v/>
      </c>
      <c r="G1009" s="25" t="str">
        <f aca="false">IF(A1009="","",IF(AND(C1009&lt;&gt;"No encontrado",F1009&lt;&gt;"Inactivo"),C1009&amp;" → "&amp;F1009,"Sin transición"))</f>
        <v/>
      </c>
      <c r="H1009" s="23" t="str">
        <f aca="false">IF(A1009="","",IF(D1009="GCIA LINEA SERVICIO DIGITALIDAD Y VENTAS","Chats",IF(OR(D1009="GERENCIA INBOUND LÍNEAS SERVICIO Y VENTA",D1009="GERENCIA INBOUND LINEAS ESPECIALIZADAS"),"Llamadas","Otro")))</f>
        <v/>
      </c>
      <c r="I1009" s="23" t="str">
        <f aca="false">IF(A1009="","",IF(C1009="No encontrado","No","Sí"))</f>
        <v/>
      </c>
      <c r="J1009" s="23" t="str">
        <f aca="false">IF(A1009="","",IF(F1009="Inactivo","No","Sí"))</f>
        <v/>
      </c>
      <c r="K1009" s="23" t="str">
        <f aca="false">IF(A1009="","",IF(AND(I1009="Sí",J1009="Sí"),"Sí","No"))</f>
        <v/>
      </c>
    </row>
    <row r="1010" customFormat="false" ht="15" hidden="false" customHeight="false" outlineLevel="0" collapsed="false">
      <c r="A1010" s="22"/>
      <c r="B1010" s="22"/>
      <c r="C1010" s="26" t="str">
        <f aca="false">IF(A1010="","",IFERROR(buscarx(A1010&amp;B1010,DATA!$E$3:$E$10000&amp;DATA!$B$3:$B$10000,DATA!$M$3:$M$10000),"No encontrado"))</f>
        <v/>
      </c>
      <c r="D1010" s="27" t="str">
        <f aca="false">IF(A1010="","",IFERROR(buscarx(A1010&amp;B1010,DATA!$E$3:$E$10000&amp;DATA!$B$3:$B$10000,DATA!$W$3:$W$10000),"No encontrado"))</f>
        <v/>
      </c>
      <c r="E1010" s="22"/>
      <c r="F1010" s="26" t="str">
        <f aca="false">IF(A1010="","",IFERROR(buscarx(A1010&amp;E1010,DATA!$E$3:$E$10000&amp;DATA!$B$3:$B$10000,DATA!$M$3:$M$10000),"Inactivo"))</f>
        <v/>
      </c>
      <c r="G1010" s="28" t="str">
        <f aca="false">IF(A1010="","",IF(AND(C1010&lt;&gt;"No encontrado",F1010&lt;&gt;"Inactivo"),C1010&amp;" → "&amp;F1010,"Sin transición"))</f>
        <v/>
      </c>
      <c r="H1010" s="26" t="str">
        <f aca="false">IF(A1010="","",IF(D1010="GCIA LINEA SERVICIO DIGITALIDAD Y VENTAS","Chats",IF(OR(D1010="GERENCIA INBOUND LÍNEAS SERVICIO Y VENTA",D1010="GERENCIA INBOUND LINEAS ESPECIALIZADAS"),"Llamadas","Otro")))</f>
        <v/>
      </c>
      <c r="I1010" s="26" t="str">
        <f aca="false">IF(A1010="","",IF(C1010="No encontrado","No","Sí"))</f>
        <v/>
      </c>
      <c r="J1010" s="26" t="str">
        <f aca="false">IF(A1010="","",IF(F1010="Inactivo","No","Sí"))</f>
        <v/>
      </c>
      <c r="K1010" s="26" t="str">
        <f aca="false">IF(A1010="","",IF(AND(I1010="Sí",J1010="Sí"),"Sí","No"))</f>
        <v/>
      </c>
    </row>
    <row r="1011" customFormat="false" ht="15" hidden="false" customHeight="false" outlineLevel="0" collapsed="false">
      <c r="A1011" s="22"/>
      <c r="B1011" s="22"/>
      <c r="C1011" s="23" t="str">
        <f aca="false">IF(A1011="","",IFERROR(buscarx(A1011&amp;B1011,DATA!$E$3:$E$10000&amp;DATA!$B$3:$B$10000,DATA!$M$3:$M$10000),"No encontrado"))</f>
        <v/>
      </c>
      <c r="D1011" s="24" t="str">
        <f aca="false">IF(A1011="","",IFERROR(buscarx(A1011&amp;B1011,DATA!$E$3:$E$10000&amp;DATA!$B$3:$B$10000,DATA!$W$3:$W$10000),"No encontrado"))</f>
        <v/>
      </c>
      <c r="E1011" s="22"/>
      <c r="F1011" s="23" t="str">
        <f aca="false">IF(A1011="","",IFERROR(buscarx(A1011&amp;E1011,DATA!$E$3:$E$10000&amp;DATA!$B$3:$B$10000,DATA!$M$3:$M$10000),"Inactivo"))</f>
        <v/>
      </c>
      <c r="G1011" s="25" t="str">
        <f aca="false">IF(A1011="","",IF(AND(C1011&lt;&gt;"No encontrado",F1011&lt;&gt;"Inactivo"),C1011&amp;" → "&amp;F1011,"Sin transición"))</f>
        <v/>
      </c>
      <c r="H1011" s="23" t="str">
        <f aca="false">IF(A1011="","",IF(D1011="GCIA LINEA SERVICIO DIGITALIDAD Y VENTAS","Chats",IF(OR(D1011="GERENCIA INBOUND LÍNEAS SERVICIO Y VENTA",D1011="GERENCIA INBOUND LINEAS ESPECIALIZADAS"),"Llamadas","Otro")))</f>
        <v/>
      </c>
      <c r="I1011" s="23" t="str">
        <f aca="false">IF(A1011="","",IF(C1011="No encontrado","No","Sí"))</f>
        <v/>
      </c>
      <c r="J1011" s="23" t="str">
        <f aca="false">IF(A1011="","",IF(F1011="Inactivo","No","Sí"))</f>
        <v/>
      </c>
      <c r="K1011" s="23" t="str">
        <f aca="false">IF(A1011="","",IF(AND(I1011="Sí",J1011="Sí"),"Sí","No"))</f>
        <v/>
      </c>
    </row>
    <row r="1012" customFormat="false" ht="15" hidden="false" customHeight="false" outlineLevel="0" collapsed="false">
      <c r="A1012" s="22"/>
      <c r="B1012" s="22"/>
      <c r="C1012" s="26" t="str">
        <f aca="false">IF(A1012="","",IFERROR(buscarx(A1012&amp;B1012,DATA!$E$3:$E$10000&amp;DATA!$B$3:$B$10000,DATA!$M$3:$M$10000),"No encontrado"))</f>
        <v/>
      </c>
      <c r="D1012" s="27" t="str">
        <f aca="false">IF(A1012="","",IFERROR(buscarx(A1012&amp;B1012,DATA!$E$3:$E$10000&amp;DATA!$B$3:$B$10000,DATA!$W$3:$W$10000),"No encontrado"))</f>
        <v/>
      </c>
      <c r="E1012" s="22"/>
      <c r="F1012" s="26" t="str">
        <f aca="false">IF(A1012="","",IFERROR(buscarx(A1012&amp;E1012,DATA!$E$3:$E$10000&amp;DATA!$B$3:$B$10000,DATA!$M$3:$M$10000),"Inactivo"))</f>
        <v/>
      </c>
      <c r="G1012" s="28" t="str">
        <f aca="false">IF(A1012="","",IF(AND(C1012&lt;&gt;"No encontrado",F1012&lt;&gt;"Inactivo"),C1012&amp;" → "&amp;F1012,"Sin transición"))</f>
        <v/>
      </c>
      <c r="H1012" s="26" t="str">
        <f aca="false">IF(A1012="","",IF(D1012="GCIA LINEA SERVICIO DIGITALIDAD Y VENTAS","Chats",IF(OR(D1012="GERENCIA INBOUND LÍNEAS SERVICIO Y VENTA",D1012="GERENCIA INBOUND LINEAS ESPECIALIZADAS"),"Llamadas","Otro")))</f>
        <v/>
      </c>
      <c r="I1012" s="26" t="str">
        <f aca="false">IF(A1012="","",IF(C1012="No encontrado","No","Sí"))</f>
        <v/>
      </c>
      <c r="J1012" s="26" t="str">
        <f aca="false">IF(A1012="","",IF(F1012="Inactivo","No","Sí"))</f>
        <v/>
      </c>
      <c r="K1012" s="26" t="str">
        <f aca="false">IF(A1012="","",IF(AND(I1012="Sí",J1012="Sí"),"Sí","No"))</f>
        <v/>
      </c>
    </row>
    <row r="1013" customFormat="false" ht="15" hidden="false" customHeight="false" outlineLevel="0" collapsed="false">
      <c r="A1013" s="22"/>
      <c r="B1013" s="22"/>
      <c r="C1013" s="23" t="str">
        <f aca="false">IF(A1013="","",IFERROR(buscarx(A1013&amp;B1013,DATA!$E$3:$E$10000&amp;DATA!$B$3:$B$10000,DATA!$M$3:$M$10000),"No encontrado"))</f>
        <v/>
      </c>
      <c r="D1013" s="24" t="str">
        <f aca="false">IF(A1013="","",IFERROR(buscarx(A1013&amp;B1013,DATA!$E$3:$E$10000&amp;DATA!$B$3:$B$10000,DATA!$W$3:$W$10000),"No encontrado"))</f>
        <v/>
      </c>
      <c r="E1013" s="22"/>
      <c r="F1013" s="23" t="str">
        <f aca="false">IF(A1013="","",IFERROR(buscarx(A1013&amp;E1013,DATA!$E$3:$E$10000&amp;DATA!$B$3:$B$10000,DATA!$M$3:$M$10000),"Inactivo"))</f>
        <v/>
      </c>
      <c r="G1013" s="25" t="str">
        <f aca="false">IF(A1013="","",IF(AND(C1013&lt;&gt;"No encontrado",F1013&lt;&gt;"Inactivo"),C1013&amp;" → "&amp;F1013,"Sin transición"))</f>
        <v/>
      </c>
      <c r="H1013" s="23" t="str">
        <f aca="false">IF(A1013="","",IF(D1013="GCIA LINEA SERVICIO DIGITALIDAD Y VENTAS","Chats",IF(OR(D1013="GERENCIA INBOUND LÍNEAS SERVICIO Y VENTA",D1013="GERENCIA INBOUND LINEAS ESPECIALIZADAS"),"Llamadas","Otro")))</f>
        <v/>
      </c>
      <c r="I1013" s="23" t="str">
        <f aca="false">IF(A1013="","",IF(C1013="No encontrado","No","Sí"))</f>
        <v/>
      </c>
      <c r="J1013" s="23" t="str">
        <f aca="false">IF(A1013="","",IF(F1013="Inactivo","No","Sí"))</f>
        <v/>
      </c>
      <c r="K1013" s="23" t="str">
        <f aca="false">IF(A1013="","",IF(AND(I1013="Sí",J1013="Sí"),"Sí","No"))</f>
        <v/>
      </c>
    </row>
    <row r="1014" customFormat="false" ht="15" hidden="false" customHeight="false" outlineLevel="0" collapsed="false">
      <c r="A1014" s="22"/>
      <c r="B1014" s="22"/>
      <c r="C1014" s="26" t="str">
        <f aca="false">IF(A1014="","",IFERROR(buscarx(A1014&amp;B1014,DATA!$E$3:$E$10000&amp;DATA!$B$3:$B$10000,DATA!$M$3:$M$10000),"No encontrado"))</f>
        <v/>
      </c>
      <c r="D1014" s="27" t="str">
        <f aca="false">IF(A1014="","",IFERROR(buscarx(A1014&amp;B1014,DATA!$E$3:$E$10000&amp;DATA!$B$3:$B$10000,DATA!$W$3:$W$10000),"No encontrado"))</f>
        <v/>
      </c>
      <c r="E1014" s="22"/>
      <c r="F1014" s="26" t="str">
        <f aca="false">IF(A1014="","",IFERROR(buscarx(A1014&amp;E1014,DATA!$E$3:$E$10000&amp;DATA!$B$3:$B$10000,DATA!$M$3:$M$10000),"Inactivo"))</f>
        <v/>
      </c>
      <c r="G1014" s="28" t="str">
        <f aca="false">IF(A1014="","",IF(AND(C1014&lt;&gt;"No encontrado",F1014&lt;&gt;"Inactivo"),C1014&amp;" → "&amp;F1014,"Sin transición"))</f>
        <v/>
      </c>
      <c r="H1014" s="26" t="str">
        <f aca="false">IF(A1014="","",IF(D1014="GCIA LINEA SERVICIO DIGITALIDAD Y VENTAS","Chats",IF(OR(D1014="GERENCIA INBOUND LÍNEAS SERVICIO Y VENTA",D1014="GERENCIA INBOUND LINEAS ESPECIALIZADAS"),"Llamadas","Otro")))</f>
        <v/>
      </c>
      <c r="I1014" s="26" t="str">
        <f aca="false">IF(A1014="","",IF(C1014="No encontrado","No","Sí"))</f>
        <v/>
      </c>
      <c r="J1014" s="26" t="str">
        <f aca="false">IF(A1014="","",IF(F1014="Inactivo","No","Sí"))</f>
        <v/>
      </c>
      <c r="K1014" s="26" t="str">
        <f aca="false">IF(A1014="","",IF(AND(I1014="Sí",J1014="Sí"),"Sí","No"))</f>
        <v/>
      </c>
    </row>
    <row r="1015" customFormat="false" ht="15" hidden="false" customHeight="false" outlineLevel="0" collapsed="false">
      <c r="A1015" s="22"/>
      <c r="B1015" s="22"/>
      <c r="C1015" s="23" t="str">
        <f aca="false">IF(A1015="","",IFERROR(buscarx(A1015&amp;B1015,DATA!$E$3:$E$10000&amp;DATA!$B$3:$B$10000,DATA!$M$3:$M$10000),"No encontrado"))</f>
        <v/>
      </c>
      <c r="D1015" s="24" t="str">
        <f aca="false">IF(A1015="","",IFERROR(buscarx(A1015&amp;B1015,DATA!$E$3:$E$10000&amp;DATA!$B$3:$B$10000,DATA!$W$3:$W$10000),"No encontrado"))</f>
        <v/>
      </c>
      <c r="E1015" s="22"/>
      <c r="F1015" s="23" t="str">
        <f aca="false">IF(A1015="","",IFERROR(buscarx(A1015&amp;E1015,DATA!$E$3:$E$10000&amp;DATA!$B$3:$B$10000,DATA!$M$3:$M$10000),"Inactivo"))</f>
        <v/>
      </c>
      <c r="G1015" s="25" t="str">
        <f aca="false">IF(A1015="","",IF(AND(C1015&lt;&gt;"No encontrado",F1015&lt;&gt;"Inactivo"),C1015&amp;" → "&amp;F1015,"Sin transición"))</f>
        <v/>
      </c>
      <c r="H1015" s="23" t="str">
        <f aca="false">IF(A1015="","",IF(D1015="GCIA LINEA SERVICIO DIGITALIDAD Y VENTAS","Chats",IF(OR(D1015="GERENCIA INBOUND LÍNEAS SERVICIO Y VENTA",D1015="GERENCIA INBOUND LINEAS ESPECIALIZADAS"),"Llamadas","Otro")))</f>
        <v/>
      </c>
      <c r="I1015" s="23" t="str">
        <f aca="false">IF(A1015="","",IF(C1015="No encontrado","No","Sí"))</f>
        <v/>
      </c>
      <c r="J1015" s="23" t="str">
        <f aca="false">IF(A1015="","",IF(F1015="Inactivo","No","Sí"))</f>
        <v/>
      </c>
      <c r="K1015" s="23" t="str">
        <f aca="false">IF(A1015="","",IF(AND(I1015="Sí",J1015="Sí"),"Sí","No"))</f>
        <v/>
      </c>
    </row>
    <row r="1016" customFormat="false" ht="15" hidden="false" customHeight="false" outlineLevel="0" collapsed="false">
      <c r="A1016" s="22"/>
      <c r="B1016" s="22"/>
      <c r="C1016" s="26" t="str">
        <f aca="false">IF(A1016="","",IFERROR(buscarx(A1016&amp;B1016,DATA!$E$3:$E$10000&amp;DATA!$B$3:$B$10000,DATA!$M$3:$M$10000),"No encontrado"))</f>
        <v/>
      </c>
      <c r="D1016" s="27" t="str">
        <f aca="false">IF(A1016="","",IFERROR(buscarx(A1016&amp;B1016,DATA!$E$3:$E$10000&amp;DATA!$B$3:$B$10000,DATA!$W$3:$W$10000),"No encontrado"))</f>
        <v/>
      </c>
      <c r="E1016" s="22"/>
      <c r="F1016" s="26" t="str">
        <f aca="false">IF(A1016="","",IFERROR(buscarx(A1016&amp;E1016,DATA!$E$3:$E$10000&amp;DATA!$B$3:$B$10000,DATA!$M$3:$M$10000),"Inactivo"))</f>
        <v/>
      </c>
      <c r="G1016" s="28" t="str">
        <f aca="false">IF(A1016="","",IF(AND(C1016&lt;&gt;"No encontrado",F1016&lt;&gt;"Inactivo"),C1016&amp;" → "&amp;F1016,"Sin transición"))</f>
        <v/>
      </c>
      <c r="H1016" s="26" t="str">
        <f aca="false">IF(A1016="","",IF(D1016="GCIA LINEA SERVICIO DIGITALIDAD Y VENTAS","Chats",IF(OR(D1016="GERENCIA INBOUND LÍNEAS SERVICIO Y VENTA",D1016="GERENCIA INBOUND LINEAS ESPECIALIZADAS"),"Llamadas","Otro")))</f>
        <v/>
      </c>
      <c r="I1016" s="26" t="str">
        <f aca="false">IF(A1016="","",IF(C1016="No encontrado","No","Sí"))</f>
        <v/>
      </c>
      <c r="J1016" s="26" t="str">
        <f aca="false">IF(A1016="","",IF(F1016="Inactivo","No","Sí"))</f>
        <v/>
      </c>
      <c r="K1016" s="26" t="str">
        <f aca="false">IF(A1016="","",IF(AND(I1016="Sí",J1016="Sí"),"Sí","No"))</f>
        <v/>
      </c>
    </row>
    <row r="1017" customFormat="false" ht="15" hidden="false" customHeight="false" outlineLevel="0" collapsed="false">
      <c r="A1017" s="22"/>
      <c r="B1017" s="22"/>
      <c r="C1017" s="23" t="str">
        <f aca="false">IF(A1017="","",IFERROR(buscarx(A1017&amp;B1017,DATA!$E$3:$E$10000&amp;DATA!$B$3:$B$10000,DATA!$M$3:$M$10000),"No encontrado"))</f>
        <v/>
      </c>
      <c r="D1017" s="24" t="str">
        <f aca="false">IF(A1017="","",IFERROR(buscarx(A1017&amp;B1017,DATA!$E$3:$E$10000&amp;DATA!$B$3:$B$10000,DATA!$W$3:$W$10000),"No encontrado"))</f>
        <v/>
      </c>
      <c r="E1017" s="22"/>
      <c r="F1017" s="23" t="str">
        <f aca="false">IF(A1017="","",IFERROR(buscarx(A1017&amp;E1017,DATA!$E$3:$E$10000&amp;DATA!$B$3:$B$10000,DATA!$M$3:$M$10000),"Inactivo"))</f>
        <v/>
      </c>
      <c r="G1017" s="25" t="str">
        <f aca="false">IF(A1017="","",IF(AND(C1017&lt;&gt;"No encontrado",F1017&lt;&gt;"Inactivo"),C1017&amp;" → "&amp;F1017,"Sin transición"))</f>
        <v/>
      </c>
      <c r="H1017" s="23" t="str">
        <f aca="false">IF(A1017="","",IF(D1017="GCIA LINEA SERVICIO DIGITALIDAD Y VENTAS","Chats",IF(OR(D1017="GERENCIA INBOUND LÍNEAS SERVICIO Y VENTA",D1017="GERENCIA INBOUND LINEAS ESPECIALIZADAS"),"Llamadas","Otro")))</f>
        <v/>
      </c>
      <c r="I1017" s="23" t="str">
        <f aca="false">IF(A1017="","",IF(C1017="No encontrado","No","Sí"))</f>
        <v/>
      </c>
      <c r="J1017" s="23" t="str">
        <f aca="false">IF(A1017="","",IF(F1017="Inactivo","No","Sí"))</f>
        <v/>
      </c>
      <c r="K1017" s="23" t="str">
        <f aca="false">IF(A1017="","",IF(AND(I1017="Sí",J1017="Sí"),"Sí","No"))</f>
        <v/>
      </c>
    </row>
    <row r="1018" customFormat="false" ht="15" hidden="false" customHeight="false" outlineLevel="0" collapsed="false">
      <c r="A1018" s="22"/>
      <c r="B1018" s="22"/>
      <c r="C1018" s="26" t="str">
        <f aca="false">IF(A1018="","",IFERROR(buscarx(A1018&amp;B1018,DATA!$E$3:$E$10000&amp;DATA!$B$3:$B$10000,DATA!$M$3:$M$10000),"No encontrado"))</f>
        <v/>
      </c>
      <c r="D1018" s="27" t="str">
        <f aca="false">IF(A1018="","",IFERROR(buscarx(A1018&amp;B1018,DATA!$E$3:$E$10000&amp;DATA!$B$3:$B$10000,DATA!$W$3:$W$10000),"No encontrado"))</f>
        <v/>
      </c>
      <c r="E1018" s="22"/>
      <c r="F1018" s="26" t="str">
        <f aca="false">IF(A1018="","",IFERROR(buscarx(A1018&amp;E1018,DATA!$E$3:$E$10000&amp;DATA!$B$3:$B$10000,DATA!$M$3:$M$10000),"Inactivo"))</f>
        <v/>
      </c>
      <c r="G1018" s="28" t="str">
        <f aca="false">IF(A1018="","",IF(AND(C1018&lt;&gt;"No encontrado",F1018&lt;&gt;"Inactivo"),C1018&amp;" → "&amp;F1018,"Sin transición"))</f>
        <v/>
      </c>
      <c r="H1018" s="26" t="str">
        <f aca="false">IF(A1018="","",IF(D1018="GCIA LINEA SERVICIO DIGITALIDAD Y VENTAS","Chats",IF(OR(D1018="GERENCIA INBOUND LÍNEAS SERVICIO Y VENTA",D1018="GERENCIA INBOUND LINEAS ESPECIALIZADAS"),"Llamadas","Otro")))</f>
        <v/>
      </c>
      <c r="I1018" s="26" t="str">
        <f aca="false">IF(A1018="","",IF(C1018="No encontrado","No","Sí"))</f>
        <v/>
      </c>
      <c r="J1018" s="26" t="str">
        <f aca="false">IF(A1018="","",IF(F1018="Inactivo","No","Sí"))</f>
        <v/>
      </c>
      <c r="K1018" s="26" t="str">
        <f aca="false">IF(A1018="","",IF(AND(I1018="Sí",J1018="Sí"),"Sí","No"))</f>
        <v/>
      </c>
    </row>
    <row r="1019" customFormat="false" ht="15" hidden="false" customHeight="false" outlineLevel="0" collapsed="false">
      <c r="A1019" s="22"/>
      <c r="B1019" s="22"/>
      <c r="C1019" s="23" t="str">
        <f aca="false">IF(A1019="","",IFERROR(buscarx(A1019&amp;B1019,DATA!$E$3:$E$10000&amp;DATA!$B$3:$B$10000,DATA!$M$3:$M$10000),"No encontrado"))</f>
        <v/>
      </c>
      <c r="D1019" s="24" t="str">
        <f aca="false">IF(A1019="","",IFERROR(buscarx(A1019&amp;B1019,DATA!$E$3:$E$10000&amp;DATA!$B$3:$B$10000,DATA!$W$3:$W$10000),"No encontrado"))</f>
        <v/>
      </c>
      <c r="E1019" s="22"/>
      <c r="F1019" s="23" t="str">
        <f aca="false">IF(A1019="","",IFERROR(buscarx(A1019&amp;E1019,DATA!$E$3:$E$10000&amp;DATA!$B$3:$B$10000,DATA!$M$3:$M$10000),"Inactivo"))</f>
        <v/>
      </c>
      <c r="G1019" s="25" t="str">
        <f aca="false">IF(A1019="","",IF(AND(C1019&lt;&gt;"No encontrado",F1019&lt;&gt;"Inactivo"),C1019&amp;" → "&amp;F1019,"Sin transición"))</f>
        <v/>
      </c>
      <c r="H1019" s="23" t="str">
        <f aca="false">IF(A1019="","",IF(D1019="GCIA LINEA SERVICIO DIGITALIDAD Y VENTAS","Chats",IF(OR(D1019="GERENCIA INBOUND LÍNEAS SERVICIO Y VENTA",D1019="GERENCIA INBOUND LINEAS ESPECIALIZADAS"),"Llamadas","Otro")))</f>
        <v/>
      </c>
      <c r="I1019" s="23" t="str">
        <f aca="false">IF(A1019="","",IF(C1019="No encontrado","No","Sí"))</f>
        <v/>
      </c>
      <c r="J1019" s="23" t="str">
        <f aca="false">IF(A1019="","",IF(F1019="Inactivo","No","Sí"))</f>
        <v/>
      </c>
      <c r="K1019" s="23" t="str">
        <f aca="false">IF(A1019="","",IF(AND(I1019="Sí",J1019="Sí"),"Sí","No"))</f>
        <v/>
      </c>
    </row>
    <row r="1020" customFormat="false" ht="15" hidden="false" customHeight="false" outlineLevel="0" collapsed="false">
      <c r="A1020" s="22"/>
      <c r="B1020" s="22"/>
      <c r="C1020" s="26" t="str">
        <f aca="false">IF(A1020="","",IFERROR(buscarx(A1020&amp;B1020,DATA!$E$3:$E$10000&amp;DATA!$B$3:$B$10000,DATA!$M$3:$M$10000),"No encontrado"))</f>
        <v/>
      </c>
      <c r="D1020" s="27" t="str">
        <f aca="false">IF(A1020="","",IFERROR(buscarx(A1020&amp;B1020,DATA!$E$3:$E$10000&amp;DATA!$B$3:$B$10000,DATA!$W$3:$W$10000),"No encontrado"))</f>
        <v/>
      </c>
      <c r="E1020" s="22"/>
      <c r="F1020" s="26" t="str">
        <f aca="false">IF(A1020="","",IFERROR(buscarx(A1020&amp;E1020,DATA!$E$3:$E$10000&amp;DATA!$B$3:$B$10000,DATA!$M$3:$M$10000),"Inactivo"))</f>
        <v/>
      </c>
      <c r="G1020" s="28" t="str">
        <f aca="false">IF(A1020="","",IF(AND(C1020&lt;&gt;"No encontrado",F1020&lt;&gt;"Inactivo"),C1020&amp;" → "&amp;F1020,"Sin transición"))</f>
        <v/>
      </c>
      <c r="H1020" s="26" t="str">
        <f aca="false">IF(A1020="","",IF(D1020="GCIA LINEA SERVICIO DIGITALIDAD Y VENTAS","Chats",IF(OR(D1020="GERENCIA INBOUND LÍNEAS SERVICIO Y VENTA",D1020="GERENCIA INBOUND LINEAS ESPECIALIZADAS"),"Llamadas","Otro")))</f>
        <v/>
      </c>
      <c r="I1020" s="26" t="str">
        <f aca="false">IF(A1020="","",IF(C1020="No encontrado","No","Sí"))</f>
        <v/>
      </c>
      <c r="J1020" s="26" t="str">
        <f aca="false">IF(A1020="","",IF(F1020="Inactivo","No","Sí"))</f>
        <v/>
      </c>
      <c r="K1020" s="26" t="str">
        <f aca="false">IF(A1020="","",IF(AND(I1020="Sí",J1020="Sí"),"Sí","No"))</f>
        <v/>
      </c>
    </row>
    <row r="1021" customFormat="false" ht="15" hidden="false" customHeight="false" outlineLevel="0" collapsed="false">
      <c r="A1021" s="22"/>
      <c r="B1021" s="22"/>
      <c r="C1021" s="23" t="str">
        <f aca="false">IF(A1021="","",IFERROR(buscarx(A1021&amp;B1021,DATA!$E$3:$E$10000&amp;DATA!$B$3:$B$10000,DATA!$M$3:$M$10000),"No encontrado"))</f>
        <v/>
      </c>
      <c r="D1021" s="24" t="str">
        <f aca="false">IF(A1021="","",IFERROR(buscarx(A1021&amp;B1021,DATA!$E$3:$E$10000&amp;DATA!$B$3:$B$10000,DATA!$W$3:$W$10000),"No encontrado"))</f>
        <v/>
      </c>
      <c r="E1021" s="22"/>
      <c r="F1021" s="23" t="str">
        <f aca="false">IF(A1021="","",IFERROR(buscarx(A1021&amp;E1021,DATA!$E$3:$E$10000&amp;DATA!$B$3:$B$10000,DATA!$M$3:$M$10000),"Inactivo"))</f>
        <v/>
      </c>
      <c r="G1021" s="25" t="str">
        <f aca="false">IF(A1021="","",IF(AND(C1021&lt;&gt;"No encontrado",F1021&lt;&gt;"Inactivo"),C1021&amp;" → "&amp;F1021,"Sin transición"))</f>
        <v/>
      </c>
      <c r="H1021" s="23" t="str">
        <f aca="false">IF(A1021="","",IF(D1021="GCIA LINEA SERVICIO DIGITALIDAD Y VENTAS","Chats",IF(OR(D1021="GERENCIA INBOUND LÍNEAS SERVICIO Y VENTA",D1021="GERENCIA INBOUND LINEAS ESPECIALIZADAS"),"Llamadas","Otro")))</f>
        <v/>
      </c>
      <c r="I1021" s="23" t="str">
        <f aca="false">IF(A1021="","",IF(C1021="No encontrado","No","Sí"))</f>
        <v/>
      </c>
      <c r="J1021" s="23" t="str">
        <f aca="false">IF(A1021="","",IF(F1021="Inactivo","No","Sí"))</f>
        <v/>
      </c>
      <c r="K1021" s="23" t="str">
        <f aca="false">IF(A1021="","",IF(AND(I1021="Sí",J1021="Sí"),"Sí","No"))</f>
        <v/>
      </c>
    </row>
    <row r="1022" customFormat="false" ht="15" hidden="false" customHeight="false" outlineLevel="0" collapsed="false">
      <c r="A1022" s="22"/>
      <c r="B1022" s="22"/>
      <c r="C1022" s="26" t="str">
        <f aca="false">IF(A1022="","",IFERROR(buscarx(A1022&amp;B1022,DATA!$E$3:$E$10000&amp;DATA!$B$3:$B$10000,DATA!$M$3:$M$10000),"No encontrado"))</f>
        <v/>
      </c>
      <c r="D1022" s="27" t="str">
        <f aca="false">IF(A1022="","",IFERROR(buscarx(A1022&amp;B1022,DATA!$E$3:$E$10000&amp;DATA!$B$3:$B$10000,DATA!$W$3:$W$10000),"No encontrado"))</f>
        <v/>
      </c>
      <c r="E1022" s="22"/>
      <c r="F1022" s="26" t="str">
        <f aca="false">IF(A1022="","",IFERROR(buscarx(A1022&amp;E1022,DATA!$E$3:$E$10000&amp;DATA!$B$3:$B$10000,DATA!$M$3:$M$10000),"Inactivo"))</f>
        <v/>
      </c>
      <c r="G1022" s="28" t="str">
        <f aca="false">IF(A1022="","",IF(AND(C1022&lt;&gt;"No encontrado",F1022&lt;&gt;"Inactivo"),C1022&amp;" → "&amp;F1022,"Sin transición"))</f>
        <v/>
      </c>
      <c r="H1022" s="26" t="str">
        <f aca="false">IF(A1022="","",IF(D1022="GCIA LINEA SERVICIO DIGITALIDAD Y VENTAS","Chats",IF(OR(D1022="GERENCIA INBOUND LÍNEAS SERVICIO Y VENTA",D1022="GERENCIA INBOUND LINEAS ESPECIALIZADAS"),"Llamadas","Otro")))</f>
        <v/>
      </c>
      <c r="I1022" s="26" t="str">
        <f aca="false">IF(A1022="","",IF(C1022="No encontrado","No","Sí"))</f>
        <v/>
      </c>
      <c r="J1022" s="26" t="str">
        <f aca="false">IF(A1022="","",IF(F1022="Inactivo","No","Sí"))</f>
        <v/>
      </c>
      <c r="K1022" s="26" t="str">
        <f aca="false">IF(A1022="","",IF(AND(I1022="Sí",J1022="Sí"),"Sí","No"))</f>
        <v/>
      </c>
    </row>
    <row r="1023" customFormat="false" ht="15" hidden="false" customHeight="false" outlineLevel="0" collapsed="false">
      <c r="A1023" s="22"/>
      <c r="B1023" s="22"/>
      <c r="C1023" s="23" t="str">
        <f aca="false">IF(A1023="","",IFERROR(buscarx(A1023&amp;B1023,DATA!$E$3:$E$10000&amp;DATA!$B$3:$B$10000,DATA!$M$3:$M$10000),"No encontrado"))</f>
        <v/>
      </c>
      <c r="D1023" s="24" t="str">
        <f aca="false">IF(A1023="","",IFERROR(buscarx(A1023&amp;B1023,DATA!$E$3:$E$10000&amp;DATA!$B$3:$B$10000,DATA!$W$3:$W$10000),"No encontrado"))</f>
        <v/>
      </c>
      <c r="E1023" s="22"/>
      <c r="F1023" s="23" t="str">
        <f aca="false">IF(A1023="","",IFERROR(buscarx(A1023&amp;E1023,DATA!$E$3:$E$10000&amp;DATA!$B$3:$B$10000,DATA!$M$3:$M$10000),"Inactivo"))</f>
        <v/>
      </c>
      <c r="G1023" s="25" t="str">
        <f aca="false">IF(A1023="","",IF(AND(C1023&lt;&gt;"No encontrado",F1023&lt;&gt;"Inactivo"),C1023&amp;" → "&amp;F1023,"Sin transición"))</f>
        <v/>
      </c>
      <c r="H1023" s="23" t="str">
        <f aca="false">IF(A1023="","",IF(D1023="GCIA LINEA SERVICIO DIGITALIDAD Y VENTAS","Chats",IF(OR(D1023="GERENCIA INBOUND LÍNEAS SERVICIO Y VENTA",D1023="GERENCIA INBOUND LINEAS ESPECIALIZADAS"),"Llamadas","Otro")))</f>
        <v/>
      </c>
      <c r="I1023" s="23" t="str">
        <f aca="false">IF(A1023="","",IF(C1023="No encontrado","No","Sí"))</f>
        <v/>
      </c>
      <c r="J1023" s="23" t="str">
        <f aca="false">IF(A1023="","",IF(F1023="Inactivo","No","Sí"))</f>
        <v/>
      </c>
      <c r="K1023" s="23" t="str">
        <f aca="false">IF(A1023="","",IF(AND(I1023="Sí",J1023="Sí"),"Sí","No"))</f>
        <v/>
      </c>
    </row>
    <row r="1024" customFormat="false" ht="15" hidden="false" customHeight="false" outlineLevel="0" collapsed="false">
      <c r="A1024" s="22"/>
      <c r="B1024" s="22"/>
      <c r="C1024" s="26" t="str">
        <f aca="false">IF(A1024="","",IFERROR(buscarx(A1024&amp;B1024,DATA!$E$3:$E$10000&amp;DATA!$B$3:$B$10000,DATA!$M$3:$M$10000),"No encontrado"))</f>
        <v/>
      </c>
      <c r="D1024" s="27" t="str">
        <f aca="false">IF(A1024="","",IFERROR(buscarx(A1024&amp;B1024,DATA!$E$3:$E$10000&amp;DATA!$B$3:$B$10000,DATA!$W$3:$W$10000),"No encontrado"))</f>
        <v/>
      </c>
      <c r="E1024" s="22"/>
      <c r="F1024" s="26" t="str">
        <f aca="false">IF(A1024="","",IFERROR(buscarx(A1024&amp;E1024,DATA!$E$3:$E$10000&amp;DATA!$B$3:$B$10000,DATA!$M$3:$M$10000),"Inactivo"))</f>
        <v/>
      </c>
      <c r="G1024" s="28" t="str">
        <f aca="false">IF(A1024="","",IF(AND(C1024&lt;&gt;"No encontrado",F1024&lt;&gt;"Inactivo"),C1024&amp;" → "&amp;F1024,"Sin transición"))</f>
        <v/>
      </c>
      <c r="H1024" s="26" t="str">
        <f aca="false">IF(A1024="","",IF(D1024="GCIA LINEA SERVICIO DIGITALIDAD Y VENTAS","Chats",IF(OR(D1024="GERENCIA INBOUND LÍNEAS SERVICIO Y VENTA",D1024="GERENCIA INBOUND LINEAS ESPECIALIZADAS"),"Llamadas","Otro")))</f>
        <v/>
      </c>
      <c r="I1024" s="26" t="str">
        <f aca="false">IF(A1024="","",IF(C1024="No encontrado","No","Sí"))</f>
        <v/>
      </c>
      <c r="J1024" s="26" t="str">
        <f aca="false">IF(A1024="","",IF(F1024="Inactivo","No","Sí"))</f>
        <v/>
      </c>
      <c r="K1024" s="26" t="str">
        <f aca="false">IF(A1024="","",IF(AND(I1024="Sí",J1024="Sí"),"Sí","No"))</f>
        <v/>
      </c>
    </row>
    <row r="1025" customFormat="false" ht="15" hidden="false" customHeight="false" outlineLevel="0" collapsed="false">
      <c r="A1025" s="22"/>
      <c r="B1025" s="22"/>
      <c r="C1025" s="23" t="str">
        <f aca="false">IF(A1025="","",IFERROR(buscarx(A1025&amp;B1025,DATA!$E$3:$E$10000&amp;DATA!$B$3:$B$10000,DATA!$M$3:$M$10000),"No encontrado"))</f>
        <v/>
      </c>
      <c r="D1025" s="24" t="str">
        <f aca="false">IF(A1025="","",IFERROR(buscarx(A1025&amp;B1025,DATA!$E$3:$E$10000&amp;DATA!$B$3:$B$10000,DATA!$W$3:$W$10000),"No encontrado"))</f>
        <v/>
      </c>
      <c r="E1025" s="22"/>
      <c r="F1025" s="23" t="str">
        <f aca="false">IF(A1025="","",IFERROR(buscarx(A1025&amp;E1025,DATA!$E$3:$E$10000&amp;DATA!$B$3:$B$10000,DATA!$M$3:$M$10000),"Inactivo"))</f>
        <v/>
      </c>
      <c r="G1025" s="25" t="str">
        <f aca="false">IF(A1025="","",IF(AND(C1025&lt;&gt;"No encontrado",F1025&lt;&gt;"Inactivo"),C1025&amp;" → "&amp;F1025,"Sin transición"))</f>
        <v/>
      </c>
      <c r="H1025" s="23" t="str">
        <f aca="false">IF(A1025="","",IF(D1025="GCIA LINEA SERVICIO DIGITALIDAD Y VENTAS","Chats",IF(OR(D1025="GERENCIA INBOUND LÍNEAS SERVICIO Y VENTA",D1025="GERENCIA INBOUND LINEAS ESPECIALIZADAS"),"Llamadas","Otro")))</f>
        <v/>
      </c>
      <c r="I1025" s="23" t="str">
        <f aca="false">IF(A1025="","",IF(C1025="No encontrado","No","Sí"))</f>
        <v/>
      </c>
      <c r="J1025" s="23" t="str">
        <f aca="false">IF(A1025="","",IF(F1025="Inactivo","No","Sí"))</f>
        <v/>
      </c>
      <c r="K1025" s="23" t="str">
        <f aca="false">IF(A1025="","",IF(AND(I1025="Sí",J1025="Sí"),"Sí","No"))</f>
        <v/>
      </c>
    </row>
    <row r="1026" customFormat="false" ht="15" hidden="false" customHeight="false" outlineLevel="0" collapsed="false">
      <c r="A1026" s="22"/>
      <c r="B1026" s="22"/>
      <c r="C1026" s="26" t="str">
        <f aca="false">IF(A1026="","",IFERROR(buscarx(A1026&amp;B1026,DATA!$E$3:$E$10000&amp;DATA!$B$3:$B$10000,DATA!$M$3:$M$10000),"No encontrado"))</f>
        <v/>
      </c>
      <c r="D1026" s="27" t="str">
        <f aca="false">IF(A1026="","",IFERROR(buscarx(A1026&amp;B1026,DATA!$E$3:$E$10000&amp;DATA!$B$3:$B$10000,DATA!$W$3:$W$10000),"No encontrado"))</f>
        <v/>
      </c>
      <c r="E1026" s="22"/>
      <c r="F1026" s="26" t="str">
        <f aca="false">IF(A1026="","",IFERROR(buscarx(A1026&amp;E1026,DATA!$E$3:$E$10000&amp;DATA!$B$3:$B$10000,DATA!$M$3:$M$10000),"Inactivo"))</f>
        <v/>
      </c>
      <c r="G1026" s="28" t="str">
        <f aca="false">IF(A1026="","",IF(AND(C1026&lt;&gt;"No encontrado",F1026&lt;&gt;"Inactivo"),C1026&amp;" → "&amp;F1026,"Sin transición"))</f>
        <v/>
      </c>
      <c r="H1026" s="26" t="str">
        <f aca="false">IF(A1026="","",IF(D1026="GCIA LINEA SERVICIO DIGITALIDAD Y VENTAS","Chats",IF(OR(D1026="GERENCIA INBOUND LÍNEAS SERVICIO Y VENTA",D1026="GERENCIA INBOUND LINEAS ESPECIALIZADAS"),"Llamadas","Otro")))</f>
        <v/>
      </c>
      <c r="I1026" s="26" t="str">
        <f aca="false">IF(A1026="","",IF(C1026="No encontrado","No","Sí"))</f>
        <v/>
      </c>
      <c r="J1026" s="26" t="str">
        <f aca="false">IF(A1026="","",IF(F1026="Inactivo","No","Sí"))</f>
        <v/>
      </c>
      <c r="K1026" s="26" t="str">
        <f aca="false">IF(A1026="","",IF(AND(I1026="Sí",J1026="Sí"),"Sí","No"))</f>
        <v/>
      </c>
    </row>
    <row r="1027" customFormat="false" ht="15" hidden="false" customHeight="false" outlineLevel="0" collapsed="false">
      <c r="A1027" s="22"/>
      <c r="B1027" s="22"/>
      <c r="C1027" s="23" t="str">
        <f aca="false">IF(A1027="","",IFERROR(buscarx(A1027&amp;B1027,DATA!$E$3:$E$10000&amp;DATA!$B$3:$B$10000,DATA!$M$3:$M$10000),"No encontrado"))</f>
        <v/>
      </c>
      <c r="D1027" s="24" t="str">
        <f aca="false">IF(A1027="","",IFERROR(buscarx(A1027&amp;B1027,DATA!$E$3:$E$10000&amp;DATA!$B$3:$B$10000,DATA!$W$3:$W$10000),"No encontrado"))</f>
        <v/>
      </c>
      <c r="E1027" s="22"/>
      <c r="F1027" s="23" t="str">
        <f aca="false">IF(A1027="","",IFERROR(buscarx(A1027&amp;E1027,DATA!$E$3:$E$10000&amp;DATA!$B$3:$B$10000,DATA!$M$3:$M$10000),"Inactivo"))</f>
        <v/>
      </c>
      <c r="G1027" s="25" t="str">
        <f aca="false">IF(A1027="","",IF(AND(C1027&lt;&gt;"No encontrado",F1027&lt;&gt;"Inactivo"),C1027&amp;" → "&amp;F1027,"Sin transición"))</f>
        <v/>
      </c>
      <c r="H1027" s="23" t="str">
        <f aca="false">IF(A1027="","",IF(D1027="GCIA LINEA SERVICIO DIGITALIDAD Y VENTAS","Chats",IF(OR(D1027="GERENCIA INBOUND LÍNEAS SERVICIO Y VENTA",D1027="GERENCIA INBOUND LINEAS ESPECIALIZADAS"),"Llamadas","Otro")))</f>
        <v/>
      </c>
      <c r="I1027" s="23" t="str">
        <f aca="false">IF(A1027="","",IF(C1027="No encontrado","No","Sí"))</f>
        <v/>
      </c>
      <c r="J1027" s="23" t="str">
        <f aca="false">IF(A1027="","",IF(F1027="Inactivo","No","Sí"))</f>
        <v/>
      </c>
      <c r="K1027" s="23" t="str">
        <f aca="false">IF(A1027="","",IF(AND(I1027="Sí",J1027="Sí"),"Sí","No"))</f>
        <v/>
      </c>
    </row>
    <row r="1028" customFormat="false" ht="15" hidden="false" customHeight="false" outlineLevel="0" collapsed="false">
      <c r="A1028" s="22"/>
      <c r="B1028" s="22"/>
      <c r="C1028" s="26" t="str">
        <f aca="false">IF(A1028="","",IFERROR(buscarx(A1028&amp;B1028,DATA!$E$3:$E$10000&amp;DATA!$B$3:$B$10000,DATA!$M$3:$M$10000),"No encontrado"))</f>
        <v/>
      </c>
      <c r="D1028" s="27" t="str">
        <f aca="false">IF(A1028="","",IFERROR(buscarx(A1028&amp;B1028,DATA!$E$3:$E$10000&amp;DATA!$B$3:$B$10000,DATA!$W$3:$W$10000),"No encontrado"))</f>
        <v/>
      </c>
      <c r="E1028" s="22"/>
      <c r="F1028" s="26" t="str">
        <f aca="false">IF(A1028="","",IFERROR(buscarx(A1028&amp;E1028,DATA!$E$3:$E$10000&amp;DATA!$B$3:$B$10000,DATA!$M$3:$M$10000),"Inactivo"))</f>
        <v/>
      </c>
      <c r="G1028" s="28" t="str">
        <f aca="false">IF(A1028="","",IF(AND(C1028&lt;&gt;"No encontrado",F1028&lt;&gt;"Inactivo"),C1028&amp;" → "&amp;F1028,"Sin transición"))</f>
        <v/>
      </c>
      <c r="H1028" s="26" t="str">
        <f aca="false">IF(A1028="","",IF(D1028="GCIA LINEA SERVICIO DIGITALIDAD Y VENTAS","Chats",IF(OR(D1028="GERENCIA INBOUND LÍNEAS SERVICIO Y VENTA",D1028="GERENCIA INBOUND LINEAS ESPECIALIZADAS"),"Llamadas","Otro")))</f>
        <v/>
      </c>
      <c r="I1028" s="26" t="str">
        <f aca="false">IF(A1028="","",IF(C1028="No encontrado","No","Sí"))</f>
        <v/>
      </c>
      <c r="J1028" s="26" t="str">
        <f aca="false">IF(A1028="","",IF(F1028="Inactivo","No","Sí"))</f>
        <v/>
      </c>
      <c r="K1028" s="26" t="str">
        <f aca="false">IF(A1028="","",IF(AND(I1028="Sí",J1028="Sí"),"Sí","No"))</f>
        <v/>
      </c>
    </row>
    <row r="1029" customFormat="false" ht="15" hidden="false" customHeight="false" outlineLevel="0" collapsed="false">
      <c r="A1029" s="22"/>
      <c r="B1029" s="22"/>
      <c r="C1029" s="23" t="str">
        <f aca="false">IF(A1029="","",IFERROR(buscarx(A1029&amp;B1029,DATA!$E$3:$E$10000&amp;DATA!$B$3:$B$10000,DATA!$M$3:$M$10000),"No encontrado"))</f>
        <v/>
      </c>
      <c r="D1029" s="24" t="str">
        <f aca="false">IF(A1029="","",IFERROR(buscarx(A1029&amp;B1029,DATA!$E$3:$E$10000&amp;DATA!$B$3:$B$10000,DATA!$W$3:$W$10000),"No encontrado"))</f>
        <v/>
      </c>
      <c r="E1029" s="22"/>
      <c r="F1029" s="23" t="str">
        <f aca="false">IF(A1029="","",IFERROR(buscarx(A1029&amp;E1029,DATA!$E$3:$E$10000&amp;DATA!$B$3:$B$10000,DATA!$M$3:$M$10000),"Inactivo"))</f>
        <v/>
      </c>
      <c r="G1029" s="25" t="str">
        <f aca="false">IF(A1029="","",IF(AND(C1029&lt;&gt;"No encontrado",F1029&lt;&gt;"Inactivo"),C1029&amp;" → "&amp;F1029,"Sin transición"))</f>
        <v/>
      </c>
      <c r="H1029" s="23" t="str">
        <f aca="false">IF(A1029="","",IF(D1029="GCIA LINEA SERVICIO DIGITALIDAD Y VENTAS","Chats",IF(OR(D1029="GERENCIA INBOUND LÍNEAS SERVICIO Y VENTA",D1029="GERENCIA INBOUND LINEAS ESPECIALIZADAS"),"Llamadas","Otro")))</f>
        <v/>
      </c>
      <c r="I1029" s="23" t="str">
        <f aca="false">IF(A1029="","",IF(C1029="No encontrado","No","Sí"))</f>
        <v/>
      </c>
      <c r="J1029" s="23" t="str">
        <f aca="false">IF(A1029="","",IF(F1029="Inactivo","No","Sí"))</f>
        <v/>
      </c>
      <c r="K1029" s="23" t="str">
        <f aca="false">IF(A1029="","",IF(AND(I1029="Sí",J1029="Sí"),"Sí","No"))</f>
        <v/>
      </c>
    </row>
    <row r="1030" customFormat="false" ht="15" hidden="false" customHeight="false" outlineLevel="0" collapsed="false">
      <c r="A1030" s="22"/>
      <c r="B1030" s="22"/>
      <c r="C1030" s="26" t="str">
        <f aca="false">IF(A1030="","",IFERROR(buscarx(A1030&amp;B1030,DATA!$E$3:$E$10000&amp;DATA!$B$3:$B$10000,DATA!$M$3:$M$10000),"No encontrado"))</f>
        <v/>
      </c>
      <c r="D1030" s="27" t="str">
        <f aca="false">IF(A1030="","",IFERROR(buscarx(A1030&amp;B1030,DATA!$E$3:$E$10000&amp;DATA!$B$3:$B$10000,DATA!$W$3:$W$10000),"No encontrado"))</f>
        <v/>
      </c>
      <c r="E1030" s="22"/>
      <c r="F1030" s="26" t="str">
        <f aca="false">IF(A1030="","",IFERROR(buscarx(A1030&amp;E1030,DATA!$E$3:$E$10000&amp;DATA!$B$3:$B$10000,DATA!$M$3:$M$10000),"Inactivo"))</f>
        <v/>
      </c>
      <c r="G1030" s="28" t="str">
        <f aca="false">IF(A1030="","",IF(AND(C1030&lt;&gt;"No encontrado",F1030&lt;&gt;"Inactivo"),C1030&amp;" → "&amp;F1030,"Sin transición"))</f>
        <v/>
      </c>
      <c r="H1030" s="26" t="str">
        <f aca="false">IF(A1030="","",IF(D1030="GCIA LINEA SERVICIO DIGITALIDAD Y VENTAS","Chats",IF(OR(D1030="GERENCIA INBOUND LÍNEAS SERVICIO Y VENTA",D1030="GERENCIA INBOUND LINEAS ESPECIALIZADAS"),"Llamadas","Otro")))</f>
        <v/>
      </c>
      <c r="I1030" s="26" t="str">
        <f aca="false">IF(A1030="","",IF(C1030="No encontrado","No","Sí"))</f>
        <v/>
      </c>
      <c r="J1030" s="26" t="str">
        <f aca="false">IF(A1030="","",IF(F1030="Inactivo","No","Sí"))</f>
        <v/>
      </c>
      <c r="K1030" s="26" t="str">
        <f aca="false">IF(A1030="","",IF(AND(I1030="Sí",J1030="Sí"),"Sí","No"))</f>
        <v/>
      </c>
    </row>
    <row r="1031" customFormat="false" ht="15" hidden="false" customHeight="false" outlineLevel="0" collapsed="false">
      <c r="A1031" s="22"/>
      <c r="B1031" s="22"/>
      <c r="C1031" s="23" t="str">
        <f aca="false">IF(A1031="","",IFERROR(buscarx(A1031&amp;B1031,DATA!$E$3:$E$10000&amp;DATA!$B$3:$B$10000,DATA!$M$3:$M$10000),"No encontrado"))</f>
        <v/>
      </c>
      <c r="D1031" s="24" t="str">
        <f aca="false">IF(A1031="","",IFERROR(buscarx(A1031&amp;B1031,DATA!$E$3:$E$10000&amp;DATA!$B$3:$B$10000,DATA!$W$3:$W$10000),"No encontrado"))</f>
        <v/>
      </c>
      <c r="E1031" s="22"/>
      <c r="F1031" s="23" t="str">
        <f aca="false">IF(A1031="","",IFERROR(buscarx(A1031&amp;E1031,DATA!$E$3:$E$10000&amp;DATA!$B$3:$B$10000,DATA!$M$3:$M$10000),"Inactivo"))</f>
        <v/>
      </c>
      <c r="G1031" s="25" t="str">
        <f aca="false">IF(A1031="","",IF(AND(C1031&lt;&gt;"No encontrado",F1031&lt;&gt;"Inactivo"),C1031&amp;" → "&amp;F1031,"Sin transición"))</f>
        <v/>
      </c>
      <c r="H1031" s="23" t="str">
        <f aca="false">IF(A1031="","",IF(D1031="GCIA LINEA SERVICIO DIGITALIDAD Y VENTAS","Chats",IF(OR(D1031="GERENCIA INBOUND LÍNEAS SERVICIO Y VENTA",D1031="GERENCIA INBOUND LINEAS ESPECIALIZADAS"),"Llamadas","Otro")))</f>
        <v/>
      </c>
      <c r="I1031" s="23" t="str">
        <f aca="false">IF(A1031="","",IF(C1031="No encontrado","No","Sí"))</f>
        <v/>
      </c>
      <c r="J1031" s="23" t="str">
        <f aca="false">IF(A1031="","",IF(F1031="Inactivo","No","Sí"))</f>
        <v/>
      </c>
      <c r="K1031" s="23" t="str">
        <f aca="false">IF(A1031="","",IF(AND(I1031="Sí",J1031="Sí"),"Sí","No"))</f>
        <v/>
      </c>
    </row>
    <row r="1032" customFormat="false" ht="15" hidden="false" customHeight="false" outlineLevel="0" collapsed="false">
      <c r="A1032" s="22"/>
      <c r="B1032" s="22"/>
      <c r="C1032" s="26" t="str">
        <f aca="false">IF(A1032="","",IFERROR(buscarx(A1032&amp;B1032,DATA!$E$3:$E$10000&amp;DATA!$B$3:$B$10000,DATA!$M$3:$M$10000),"No encontrado"))</f>
        <v/>
      </c>
      <c r="D1032" s="27" t="str">
        <f aca="false">IF(A1032="","",IFERROR(buscarx(A1032&amp;B1032,DATA!$E$3:$E$10000&amp;DATA!$B$3:$B$10000,DATA!$W$3:$W$10000),"No encontrado"))</f>
        <v/>
      </c>
      <c r="E1032" s="22"/>
      <c r="F1032" s="26" t="str">
        <f aca="false">IF(A1032="","",IFERROR(buscarx(A1032&amp;E1032,DATA!$E$3:$E$10000&amp;DATA!$B$3:$B$10000,DATA!$M$3:$M$10000),"Inactivo"))</f>
        <v/>
      </c>
      <c r="G1032" s="28" t="str">
        <f aca="false">IF(A1032="","",IF(AND(C1032&lt;&gt;"No encontrado",F1032&lt;&gt;"Inactivo"),C1032&amp;" → "&amp;F1032,"Sin transición"))</f>
        <v/>
      </c>
      <c r="H1032" s="26" t="str">
        <f aca="false">IF(A1032="","",IF(D1032="GCIA LINEA SERVICIO DIGITALIDAD Y VENTAS","Chats",IF(OR(D1032="GERENCIA INBOUND LÍNEAS SERVICIO Y VENTA",D1032="GERENCIA INBOUND LINEAS ESPECIALIZADAS"),"Llamadas","Otro")))</f>
        <v/>
      </c>
      <c r="I1032" s="26" t="str">
        <f aca="false">IF(A1032="","",IF(C1032="No encontrado","No","Sí"))</f>
        <v/>
      </c>
      <c r="J1032" s="26" t="str">
        <f aca="false">IF(A1032="","",IF(F1032="Inactivo","No","Sí"))</f>
        <v/>
      </c>
      <c r="K1032" s="26" t="str">
        <f aca="false">IF(A1032="","",IF(AND(I1032="Sí",J1032="Sí"),"Sí","No"))</f>
        <v/>
      </c>
    </row>
    <row r="1033" customFormat="false" ht="15" hidden="false" customHeight="false" outlineLevel="0" collapsed="false">
      <c r="A1033" s="22"/>
      <c r="B1033" s="22"/>
      <c r="C1033" s="23" t="str">
        <f aca="false">IF(A1033="","",IFERROR(buscarx(A1033&amp;B1033,DATA!$E$3:$E$10000&amp;DATA!$B$3:$B$10000,DATA!$M$3:$M$10000),"No encontrado"))</f>
        <v/>
      </c>
      <c r="D1033" s="24" t="str">
        <f aca="false">IF(A1033="","",IFERROR(buscarx(A1033&amp;B1033,DATA!$E$3:$E$10000&amp;DATA!$B$3:$B$10000,DATA!$W$3:$W$10000),"No encontrado"))</f>
        <v/>
      </c>
      <c r="E1033" s="22"/>
      <c r="F1033" s="23" t="str">
        <f aca="false">IF(A1033="","",IFERROR(buscarx(A1033&amp;E1033,DATA!$E$3:$E$10000&amp;DATA!$B$3:$B$10000,DATA!$M$3:$M$10000),"Inactivo"))</f>
        <v/>
      </c>
      <c r="G1033" s="25" t="str">
        <f aca="false">IF(A1033="","",IF(AND(C1033&lt;&gt;"No encontrado",F1033&lt;&gt;"Inactivo"),C1033&amp;" → "&amp;F1033,"Sin transición"))</f>
        <v/>
      </c>
      <c r="H1033" s="23" t="str">
        <f aca="false">IF(A1033="","",IF(D1033="GCIA LINEA SERVICIO DIGITALIDAD Y VENTAS","Chats",IF(OR(D1033="GERENCIA INBOUND LÍNEAS SERVICIO Y VENTA",D1033="GERENCIA INBOUND LINEAS ESPECIALIZADAS"),"Llamadas","Otro")))</f>
        <v/>
      </c>
      <c r="I1033" s="23" t="str">
        <f aca="false">IF(A1033="","",IF(C1033="No encontrado","No","Sí"))</f>
        <v/>
      </c>
      <c r="J1033" s="23" t="str">
        <f aca="false">IF(A1033="","",IF(F1033="Inactivo","No","Sí"))</f>
        <v/>
      </c>
      <c r="K1033" s="23" t="str">
        <f aca="false">IF(A1033="","",IF(AND(I1033="Sí",J1033="Sí"),"Sí","No"))</f>
        <v/>
      </c>
    </row>
    <row r="1034" customFormat="false" ht="15" hidden="false" customHeight="false" outlineLevel="0" collapsed="false">
      <c r="A1034" s="22"/>
      <c r="B1034" s="22"/>
      <c r="C1034" s="26" t="str">
        <f aca="false">IF(A1034="","",IFERROR(buscarx(A1034&amp;B1034,DATA!$E$3:$E$10000&amp;DATA!$B$3:$B$10000,DATA!$M$3:$M$10000),"No encontrado"))</f>
        <v/>
      </c>
      <c r="D1034" s="27" t="str">
        <f aca="false">IF(A1034="","",IFERROR(buscarx(A1034&amp;B1034,DATA!$E$3:$E$10000&amp;DATA!$B$3:$B$10000,DATA!$W$3:$W$10000),"No encontrado"))</f>
        <v/>
      </c>
      <c r="E1034" s="22"/>
      <c r="F1034" s="26" t="str">
        <f aca="false">IF(A1034="","",IFERROR(buscarx(A1034&amp;E1034,DATA!$E$3:$E$10000&amp;DATA!$B$3:$B$10000,DATA!$M$3:$M$10000),"Inactivo"))</f>
        <v/>
      </c>
      <c r="G1034" s="28" t="str">
        <f aca="false">IF(A1034="","",IF(AND(C1034&lt;&gt;"No encontrado",F1034&lt;&gt;"Inactivo"),C1034&amp;" → "&amp;F1034,"Sin transición"))</f>
        <v/>
      </c>
      <c r="H1034" s="26" t="str">
        <f aca="false">IF(A1034="","",IF(D1034="GCIA LINEA SERVICIO DIGITALIDAD Y VENTAS","Chats",IF(OR(D1034="GERENCIA INBOUND LÍNEAS SERVICIO Y VENTA",D1034="GERENCIA INBOUND LINEAS ESPECIALIZADAS"),"Llamadas","Otro")))</f>
        <v/>
      </c>
      <c r="I1034" s="26" t="str">
        <f aca="false">IF(A1034="","",IF(C1034="No encontrado","No","Sí"))</f>
        <v/>
      </c>
      <c r="J1034" s="26" t="str">
        <f aca="false">IF(A1034="","",IF(F1034="Inactivo","No","Sí"))</f>
        <v/>
      </c>
      <c r="K1034" s="26" t="str">
        <f aca="false">IF(A1034="","",IF(AND(I1034="Sí",J1034="Sí"),"Sí","No"))</f>
        <v/>
      </c>
    </row>
    <row r="1035" customFormat="false" ht="15" hidden="false" customHeight="false" outlineLevel="0" collapsed="false">
      <c r="A1035" s="22"/>
      <c r="B1035" s="22"/>
      <c r="C1035" s="23" t="str">
        <f aca="false">IF(A1035="","",IFERROR(buscarx(A1035&amp;B1035,DATA!$E$3:$E$10000&amp;DATA!$B$3:$B$10000,DATA!$M$3:$M$10000),"No encontrado"))</f>
        <v/>
      </c>
      <c r="D1035" s="24" t="str">
        <f aca="false">IF(A1035="","",IFERROR(buscarx(A1035&amp;B1035,DATA!$E$3:$E$10000&amp;DATA!$B$3:$B$10000,DATA!$W$3:$W$10000),"No encontrado"))</f>
        <v/>
      </c>
      <c r="E1035" s="22"/>
      <c r="F1035" s="23" t="str">
        <f aca="false">IF(A1035="","",IFERROR(buscarx(A1035&amp;E1035,DATA!$E$3:$E$10000&amp;DATA!$B$3:$B$10000,DATA!$M$3:$M$10000),"Inactivo"))</f>
        <v/>
      </c>
      <c r="G1035" s="25" t="str">
        <f aca="false">IF(A1035="","",IF(AND(C1035&lt;&gt;"No encontrado",F1035&lt;&gt;"Inactivo"),C1035&amp;" → "&amp;F1035,"Sin transición"))</f>
        <v/>
      </c>
      <c r="H1035" s="23" t="str">
        <f aca="false">IF(A1035="","",IF(D1035="GCIA LINEA SERVICIO DIGITALIDAD Y VENTAS","Chats",IF(OR(D1035="GERENCIA INBOUND LÍNEAS SERVICIO Y VENTA",D1035="GERENCIA INBOUND LINEAS ESPECIALIZADAS"),"Llamadas","Otro")))</f>
        <v/>
      </c>
      <c r="I1035" s="23" t="str">
        <f aca="false">IF(A1035="","",IF(C1035="No encontrado","No","Sí"))</f>
        <v/>
      </c>
      <c r="J1035" s="23" t="str">
        <f aca="false">IF(A1035="","",IF(F1035="Inactivo","No","Sí"))</f>
        <v/>
      </c>
      <c r="K1035" s="23" t="str">
        <f aca="false">IF(A1035="","",IF(AND(I1035="Sí",J1035="Sí"),"Sí","No"))</f>
        <v/>
      </c>
    </row>
    <row r="1036" customFormat="false" ht="15" hidden="false" customHeight="false" outlineLevel="0" collapsed="false">
      <c r="A1036" s="22"/>
      <c r="B1036" s="22"/>
      <c r="C1036" s="26" t="str">
        <f aca="false">IF(A1036="","",IFERROR(buscarx(A1036&amp;B1036,DATA!$E$3:$E$10000&amp;DATA!$B$3:$B$10000,DATA!$M$3:$M$10000),"No encontrado"))</f>
        <v/>
      </c>
      <c r="D1036" s="27" t="str">
        <f aca="false">IF(A1036="","",IFERROR(buscarx(A1036&amp;B1036,DATA!$E$3:$E$10000&amp;DATA!$B$3:$B$10000,DATA!$W$3:$W$10000),"No encontrado"))</f>
        <v/>
      </c>
      <c r="E1036" s="22"/>
      <c r="F1036" s="26" t="str">
        <f aca="false">IF(A1036="","",IFERROR(buscarx(A1036&amp;E1036,DATA!$E$3:$E$10000&amp;DATA!$B$3:$B$10000,DATA!$M$3:$M$10000),"Inactivo"))</f>
        <v/>
      </c>
      <c r="G1036" s="28" t="str">
        <f aca="false">IF(A1036="","",IF(AND(C1036&lt;&gt;"No encontrado",F1036&lt;&gt;"Inactivo"),C1036&amp;" → "&amp;F1036,"Sin transición"))</f>
        <v/>
      </c>
      <c r="H1036" s="26" t="str">
        <f aca="false">IF(A1036="","",IF(D1036="GCIA LINEA SERVICIO DIGITALIDAD Y VENTAS","Chats",IF(OR(D1036="GERENCIA INBOUND LÍNEAS SERVICIO Y VENTA",D1036="GERENCIA INBOUND LINEAS ESPECIALIZADAS"),"Llamadas","Otro")))</f>
        <v/>
      </c>
      <c r="I1036" s="26" t="str">
        <f aca="false">IF(A1036="","",IF(C1036="No encontrado","No","Sí"))</f>
        <v/>
      </c>
      <c r="J1036" s="26" t="str">
        <f aca="false">IF(A1036="","",IF(F1036="Inactivo","No","Sí"))</f>
        <v/>
      </c>
      <c r="K1036" s="26" t="str">
        <f aca="false">IF(A1036="","",IF(AND(I1036="Sí",J1036="Sí"),"Sí","No"))</f>
        <v/>
      </c>
    </row>
    <row r="1037" customFormat="false" ht="15" hidden="false" customHeight="false" outlineLevel="0" collapsed="false">
      <c r="A1037" s="22"/>
      <c r="B1037" s="22"/>
      <c r="C1037" s="23" t="str">
        <f aca="false">IF(A1037="","",IFERROR(buscarx(A1037&amp;B1037,DATA!$E$3:$E$10000&amp;DATA!$B$3:$B$10000,DATA!$M$3:$M$10000),"No encontrado"))</f>
        <v/>
      </c>
      <c r="D1037" s="24" t="str">
        <f aca="false">IF(A1037="","",IFERROR(buscarx(A1037&amp;B1037,DATA!$E$3:$E$10000&amp;DATA!$B$3:$B$10000,DATA!$W$3:$W$10000),"No encontrado"))</f>
        <v/>
      </c>
      <c r="E1037" s="22"/>
      <c r="F1037" s="23" t="str">
        <f aca="false">IF(A1037="","",IFERROR(buscarx(A1037&amp;E1037,DATA!$E$3:$E$10000&amp;DATA!$B$3:$B$10000,DATA!$M$3:$M$10000),"Inactivo"))</f>
        <v/>
      </c>
      <c r="G1037" s="25" t="str">
        <f aca="false">IF(A1037="","",IF(AND(C1037&lt;&gt;"No encontrado",F1037&lt;&gt;"Inactivo"),C1037&amp;" → "&amp;F1037,"Sin transición"))</f>
        <v/>
      </c>
      <c r="H1037" s="23" t="str">
        <f aca="false">IF(A1037="","",IF(D1037="GCIA LINEA SERVICIO DIGITALIDAD Y VENTAS","Chats",IF(OR(D1037="GERENCIA INBOUND LÍNEAS SERVICIO Y VENTA",D1037="GERENCIA INBOUND LINEAS ESPECIALIZADAS"),"Llamadas","Otro")))</f>
        <v/>
      </c>
      <c r="I1037" s="23" t="str">
        <f aca="false">IF(A1037="","",IF(C1037="No encontrado","No","Sí"))</f>
        <v/>
      </c>
      <c r="J1037" s="23" t="str">
        <f aca="false">IF(A1037="","",IF(F1037="Inactivo","No","Sí"))</f>
        <v/>
      </c>
      <c r="K1037" s="23" t="str">
        <f aca="false">IF(A1037="","",IF(AND(I1037="Sí",J1037="Sí"),"Sí","No"))</f>
        <v/>
      </c>
    </row>
    <row r="1038" customFormat="false" ht="15" hidden="false" customHeight="false" outlineLevel="0" collapsed="false">
      <c r="A1038" s="22"/>
      <c r="B1038" s="22"/>
      <c r="C1038" s="26" t="str">
        <f aca="false">IF(A1038="","",IFERROR(buscarx(A1038&amp;B1038,DATA!$E$3:$E$10000&amp;DATA!$B$3:$B$10000,DATA!$M$3:$M$10000),"No encontrado"))</f>
        <v/>
      </c>
      <c r="D1038" s="27" t="str">
        <f aca="false">IF(A1038="","",IFERROR(buscarx(A1038&amp;B1038,DATA!$E$3:$E$10000&amp;DATA!$B$3:$B$10000,DATA!$W$3:$W$10000),"No encontrado"))</f>
        <v/>
      </c>
      <c r="E1038" s="22"/>
      <c r="F1038" s="26" t="str">
        <f aca="false">IF(A1038="","",IFERROR(buscarx(A1038&amp;E1038,DATA!$E$3:$E$10000&amp;DATA!$B$3:$B$10000,DATA!$M$3:$M$10000),"Inactivo"))</f>
        <v/>
      </c>
      <c r="G1038" s="28" t="str">
        <f aca="false">IF(A1038="","",IF(AND(C1038&lt;&gt;"No encontrado",F1038&lt;&gt;"Inactivo"),C1038&amp;" → "&amp;F1038,"Sin transición"))</f>
        <v/>
      </c>
      <c r="H1038" s="26" t="str">
        <f aca="false">IF(A1038="","",IF(D1038="GCIA LINEA SERVICIO DIGITALIDAD Y VENTAS","Chats",IF(OR(D1038="GERENCIA INBOUND LÍNEAS SERVICIO Y VENTA",D1038="GERENCIA INBOUND LINEAS ESPECIALIZADAS"),"Llamadas","Otro")))</f>
        <v/>
      </c>
      <c r="I1038" s="26" t="str">
        <f aca="false">IF(A1038="","",IF(C1038="No encontrado","No","Sí"))</f>
        <v/>
      </c>
      <c r="J1038" s="26" t="str">
        <f aca="false">IF(A1038="","",IF(F1038="Inactivo","No","Sí"))</f>
        <v/>
      </c>
      <c r="K1038" s="26" t="str">
        <f aca="false">IF(A1038="","",IF(AND(I1038="Sí",J1038="Sí"),"Sí","No"))</f>
        <v/>
      </c>
    </row>
    <row r="1039" customFormat="false" ht="15" hidden="false" customHeight="false" outlineLevel="0" collapsed="false">
      <c r="A1039" s="22"/>
      <c r="B1039" s="22"/>
      <c r="C1039" s="23" t="str">
        <f aca="false">IF(A1039="","",IFERROR(buscarx(A1039&amp;B1039,DATA!$E$3:$E$10000&amp;DATA!$B$3:$B$10000,DATA!$M$3:$M$10000),"No encontrado"))</f>
        <v/>
      </c>
      <c r="D1039" s="24" t="str">
        <f aca="false">IF(A1039="","",IFERROR(buscarx(A1039&amp;B1039,DATA!$E$3:$E$10000&amp;DATA!$B$3:$B$10000,DATA!$W$3:$W$10000),"No encontrado"))</f>
        <v/>
      </c>
      <c r="E1039" s="22"/>
      <c r="F1039" s="23" t="str">
        <f aca="false">IF(A1039="","",IFERROR(buscarx(A1039&amp;E1039,DATA!$E$3:$E$10000&amp;DATA!$B$3:$B$10000,DATA!$M$3:$M$10000),"Inactivo"))</f>
        <v/>
      </c>
      <c r="G1039" s="25" t="str">
        <f aca="false">IF(A1039="","",IF(AND(C1039&lt;&gt;"No encontrado",F1039&lt;&gt;"Inactivo"),C1039&amp;" → "&amp;F1039,"Sin transición"))</f>
        <v/>
      </c>
      <c r="H1039" s="23" t="str">
        <f aca="false">IF(A1039="","",IF(D1039="GCIA LINEA SERVICIO DIGITALIDAD Y VENTAS","Chats",IF(OR(D1039="GERENCIA INBOUND LÍNEAS SERVICIO Y VENTA",D1039="GERENCIA INBOUND LINEAS ESPECIALIZADAS"),"Llamadas","Otro")))</f>
        <v/>
      </c>
      <c r="I1039" s="23" t="str">
        <f aca="false">IF(A1039="","",IF(C1039="No encontrado","No","Sí"))</f>
        <v/>
      </c>
      <c r="J1039" s="23" t="str">
        <f aca="false">IF(A1039="","",IF(F1039="Inactivo","No","Sí"))</f>
        <v/>
      </c>
      <c r="K1039" s="23" t="str">
        <f aca="false">IF(A1039="","",IF(AND(I1039="Sí",J1039="Sí"),"Sí","No"))</f>
        <v/>
      </c>
    </row>
    <row r="1040" customFormat="false" ht="15" hidden="false" customHeight="false" outlineLevel="0" collapsed="false">
      <c r="A1040" s="22"/>
      <c r="B1040" s="22"/>
      <c r="C1040" s="26" t="str">
        <f aca="false">IF(A1040="","",IFERROR(buscarx(A1040&amp;B1040,DATA!$E$3:$E$10000&amp;DATA!$B$3:$B$10000,DATA!$M$3:$M$10000),"No encontrado"))</f>
        <v/>
      </c>
      <c r="D1040" s="27" t="str">
        <f aca="false">IF(A1040="","",IFERROR(buscarx(A1040&amp;B1040,DATA!$E$3:$E$10000&amp;DATA!$B$3:$B$10000,DATA!$W$3:$W$10000),"No encontrado"))</f>
        <v/>
      </c>
      <c r="E1040" s="22"/>
      <c r="F1040" s="26" t="str">
        <f aca="false">IF(A1040="","",IFERROR(buscarx(A1040&amp;E1040,DATA!$E$3:$E$10000&amp;DATA!$B$3:$B$10000,DATA!$M$3:$M$10000),"Inactivo"))</f>
        <v/>
      </c>
      <c r="G1040" s="28" t="str">
        <f aca="false">IF(A1040="","",IF(AND(C1040&lt;&gt;"No encontrado",F1040&lt;&gt;"Inactivo"),C1040&amp;" → "&amp;F1040,"Sin transición"))</f>
        <v/>
      </c>
      <c r="H1040" s="26" t="str">
        <f aca="false">IF(A1040="","",IF(D1040="GCIA LINEA SERVICIO DIGITALIDAD Y VENTAS","Chats",IF(OR(D1040="GERENCIA INBOUND LÍNEAS SERVICIO Y VENTA",D1040="GERENCIA INBOUND LINEAS ESPECIALIZADAS"),"Llamadas","Otro")))</f>
        <v/>
      </c>
      <c r="I1040" s="26" t="str">
        <f aca="false">IF(A1040="","",IF(C1040="No encontrado","No","Sí"))</f>
        <v/>
      </c>
      <c r="J1040" s="26" t="str">
        <f aca="false">IF(A1040="","",IF(F1040="Inactivo","No","Sí"))</f>
        <v/>
      </c>
      <c r="K1040" s="26" t="str">
        <f aca="false">IF(A1040="","",IF(AND(I1040="Sí",J1040="Sí"),"Sí","No"))</f>
        <v/>
      </c>
    </row>
    <row r="1041" customFormat="false" ht="15" hidden="false" customHeight="false" outlineLevel="0" collapsed="false">
      <c r="A1041" s="22"/>
      <c r="B1041" s="22"/>
      <c r="C1041" s="23" t="str">
        <f aca="false">IF(A1041="","",IFERROR(buscarx(A1041&amp;B1041,DATA!$E$3:$E$10000&amp;DATA!$B$3:$B$10000,DATA!$M$3:$M$10000),"No encontrado"))</f>
        <v/>
      </c>
      <c r="D1041" s="24" t="str">
        <f aca="false">IF(A1041="","",IFERROR(buscarx(A1041&amp;B1041,DATA!$E$3:$E$10000&amp;DATA!$B$3:$B$10000,DATA!$W$3:$W$10000),"No encontrado"))</f>
        <v/>
      </c>
      <c r="E1041" s="22"/>
      <c r="F1041" s="23" t="str">
        <f aca="false">IF(A1041="","",IFERROR(buscarx(A1041&amp;E1041,DATA!$E$3:$E$10000&amp;DATA!$B$3:$B$10000,DATA!$M$3:$M$10000),"Inactivo"))</f>
        <v/>
      </c>
      <c r="G1041" s="25" t="str">
        <f aca="false">IF(A1041="","",IF(AND(C1041&lt;&gt;"No encontrado",F1041&lt;&gt;"Inactivo"),C1041&amp;" → "&amp;F1041,"Sin transición"))</f>
        <v/>
      </c>
      <c r="H1041" s="23" t="str">
        <f aca="false">IF(A1041="","",IF(D1041="GCIA LINEA SERVICIO DIGITALIDAD Y VENTAS","Chats",IF(OR(D1041="GERENCIA INBOUND LÍNEAS SERVICIO Y VENTA",D1041="GERENCIA INBOUND LINEAS ESPECIALIZADAS"),"Llamadas","Otro")))</f>
        <v/>
      </c>
      <c r="I1041" s="23" t="str">
        <f aca="false">IF(A1041="","",IF(C1041="No encontrado","No","Sí"))</f>
        <v/>
      </c>
      <c r="J1041" s="23" t="str">
        <f aca="false">IF(A1041="","",IF(F1041="Inactivo","No","Sí"))</f>
        <v/>
      </c>
      <c r="K1041" s="23" t="str">
        <f aca="false">IF(A1041="","",IF(AND(I1041="Sí",J1041="Sí"),"Sí","No"))</f>
        <v/>
      </c>
    </row>
    <row r="1042" customFormat="false" ht="15" hidden="false" customHeight="false" outlineLevel="0" collapsed="false">
      <c r="A1042" s="22"/>
      <c r="B1042" s="22"/>
      <c r="C1042" s="26" t="str">
        <f aca="false">IF(A1042="","",IFERROR(buscarx(A1042&amp;B1042,DATA!$E$3:$E$10000&amp;DATA!$B$3:$B$10000,DATA!$M$3:$M$10000),"No encontrado"))</f>
        <v/>
      </c>
      <c r="D1042" s="27" t="str">
        <f aca="false">IF(A1042="","",IFERROR(buscarx(A1042&amp;B1042,DATA!$E$3:$E$10000&amp;DATA!$B$3:$B$10000,DATA!$W$3:$W$10000),"No encontrado"))</f>
        <v/>
      </c>
      <c r="E1042" s="22"/>
      <c r="F1042" s="26" t="str">
        <f aca="false">IF(A1042="","",IFERROR(buscarx(A1042&amp;E1042,DATA!$E$3:$E$10000&amp;DATA!$B$3:$B$10000,DATA!$M$3:$M$10000),"Inactivo"))</f>
        <v/>
      </c>
      <c r="G1042" s="28" t="str">
        <f aca="false">IF(A1042="","",IF(AND(C1042&lt;&gt;"No encontrado",F1042&lt;&gt;"Inactivo"),C1042&amp;" → "&amp;F1042,"Sin transición"))</f>
        <v/>
      </c>
      <c r="H1042" s="26" t="str">
        <f aca="false">IF(A1042="","",IF(D1042="GCIA LINEA SERVICIO DIGITALIDAD Y VENTAS","Chats",IF(OR(D1042="GERENCIA INBOUND LÍNEAS SERVICIO Y VENTA",D1042="GERENCIA INBOUND LINEAS ESPECIALIZADAS"),"Llamadas","Otro")))</f>
        <v/>
      </c>
      <c r="I1042" s="26" t="str">
        <f aca="false">IF(A1042="","",IF(C1042="No encontrado","No","Sí"))</f>
        <v/>
      </c>
      <c r="J1042" s="26" t="str">
        <f aca="false">IF(A1042="","",IF(F1042="Inactivo","No","Sí"))</f>
        <v/>
      </c>
      <c r="K1042" s="26" t="str">
        <f aca="false">IF(A1042="","",IF(AND(I1042="Sí",J1042="Sí"),"Sí","No"))</f>
        <v/>
      </c>
    </row>
    <row r="1043" customFormat="false" ht="15" hidden="false" customHeight="false" outlineLevel="0" collapsed="false">
      <c r="A1043" s="22"/>
      <c r="B1043" s="22"/>
      <c r="C1043" s="23" t="str">
        <f aca="false">IF(A1043="","",IFERROR(buscarx(A1043&amp;B1043,DATA!$E$3:$E$10000&amp;DATA!$B$3:$B$10000,DATA!$M$3:$M$10000),"No encontrado"))</f>
        <v/>
      </c>
      <c r="D1043" s="24" t="str">
        <f aca="false">IF(A1043="","",IFERROR(buscarx(A1043&amp;B1043,DATA!$E$3:$E$10000&amp;DATA!$B$3:$B$10000,DATA!$W$3:$W$10000),"No encontrado"))</f>
        <v/>
      </c>
      <c r="E1043" s="22"/>
      <c r="F1043" s="23" t="str">
        <f aca="false">IF(A1043="","",IFERROR(buscarx(A1043&amp;E1043,DATA!$E$3:$E$10000&amp;DATA!$B$3:$B$10000,DATA!$M$3:$M$10000),"Inactivo"))</f>
        <v/>
      </c>
      <c r="G1043" s="25" t="str">
        <f aca="false">IF(A1043="","",IF(AND(C1043&lt;&gt;"No encontrado",F1043&lt;&gt;"Inactivo"),C1043&amp;" → "&amp;F1043,"Sin transición"))</f>
        <v/>
      </c>
      <c r="H1043" s="23" t="str">
        <f aca="false">IF(A1043="","",IF(D1043="GCIA LINEA SERVICIO DIGITALIDAD Y VENTAS","Chats",IF(OR(D1043="GERENCIA INBOUND LÍNEAS SERVICIO Y VENTA",D1043="GERENCIA INBOUND LINEAS ESPECIALIZADAS"),"Llamadas","Otro")))</f>
        <v/>
      </c>
      <c r="I1043" s="23" t="str">
        <f aca="false">IF(A1043="","",IF(C1043="No encontrado","No","Sí"))</f>
        <v/>
      </c>
      <c r="J1043" s="23" t="str">
        <f aca="false">IF(A1043="","",IF(F1043="Inactivo","No","Sí"))</f>
        <v/>
      </c>
      <c r="K1043" s="23" t="str">
        <f aca="false">IF(A1043="","",IF(AND(I1043="Sí",J1043="Sí"),"Sí","No"))</f>
        <v/>
      </c>
    </row>
    <row r="1044" customFormat="false" ht="15" hidden="false" customHeight="false" outlineLevel="0" collapsed="false">
      <c r="A1044" s="22"/>
      <c r="B1044" s="22"/>
      <c r="C1044" s="26" t="str">
        <f aca="false">IF(A1044="","",IFERROR(buscarx(A1044&amp;B1044,DATA!$E$3:$E$10000&amp;DATA!$B$3:$B$10000,DATA!$M$3:$M$10000),"No encontrado"))</f>
        <v/>
      </c>
      <c r="D1044" s="27" t="str">
        <f aca="false">IF(A1044="","",IFERROR(buscarx(A1044&amp;B1044,DATA!$E$3:$E$10000&amp;DATA!$B$3:$B$10000,DATA!$W$3:$W$10000),"No encontrado"))</f>
        <v/>
      </c>
      <c r="E1044" s="22"/>
      <c r="F1044" s="26" t="str">
        <f aca="false">IF(A1044="","",IFERROR(buscarx(A1044&amp;E1044,DATA!$E$3:$E$10000&amp;DATA!$B$3:$B$10000,DATA!$M$3:$M$10000),"Inactivo"))</f>
        <v/>
      </c>
      <c r="G1044" s="28" t="str">
        <f aca="false">IF(A1044="","",IF(AND(C1044&lt;&gt;"No encontrado",F1044&lt;&gt;"Inactivo"),C1044&amp;" → "&amp;F1044,"Sin transición"))</f>
        <v/>
      </c>
      <c r="H1044" s="26" t="str">
        <f aca="false">IF(A1044="","",IF(D1044="GCIA LINEA SERVICIO DIGITALIDAD Y VENTAS","Chats",IF(OR(D1044="GERENCIA INBOUND LÍNEAS SERVICIO Y VENTA",D1044="GERENCIA INBOUND LINEAS ESPECIALIZADAS"),"Llamadas","Otro")))</f>
        <v/>
      </c>
      <c r="I1044" s="26" t="str">
        <f aca="false">IF(A1044="","",IF(C1044="No encontrado","No","Sí"))</f>
        <v/>
      </c>
      <c r="J1044" s="26" t="str">
        <f aca="false">IF(A1044="","",IF(F1044="Inactivo","No","Sí"))</f>
        <v/>
      </c>
      <c r="K1044" s="26" t="str">
        <f aca="false">IF(A1044="","",IF(AND(I1044="Sí",J1044="Sí"),"Sí","No"))</f>
        <v/>
      </c>
    </row>
    <row r="1045" customFormat="false" ht="15" hidden="false" customHeight="false" outlineLevel="0" collapsed="false">
      <c r="A1045" s="22"/>
      <c r="B1045" s="22"/>
      <c r="C1045" s="23" t="str">
        <f aca="false">IF(A1045="","",IFERROR(buscarx(A1045&amp;B1045,DATA!$E$3:$E$10000&amp;DATA!$B$3:$B$10000,DATA!$M$3:$M$10000),"No encontrado"))</f>
        <v/>
      </c>
      <c r="D1045" s="24" t="str">
        <f aca="false">IF(A1045="","",IFERROR(buscarx(A1045&amp;B1045,DATA!$E$3:$E$10000&amp;DATA!$B$3:$B$10000,DATA!$W$3:$W$10000),"No encontrado"))</f>
        <v/>
      </c>
      <c r="E1045" s="22"/>
      <c r="F1045" s="23" t="str">
        <f aca="false">IF(A1045="","",IFERROR(buscarx(A1045&amp;E1045,DATA!$E$3:$E$10000&amp;DATA!$B$3:$B$10000,DATA!$M$3:$M$10000),"Inactivo"))</f>
        <v/>
      </c>
      <c r="G1045" s="25" t="str">
        <f aca="false">IF(A1045="","",IF(AND(C1045&lt;&gt;"No encontrado",F1045&lt;&gt;"Inactivo"),C1045&amp;" → "&amp;F1045,"Sin transición"))</f>
        <v/>
      </c>
      <c r="H1045" s="23" t="str">
        <f aca="false">IF(A1045="","",IF(D1045="GCIA LINEA SERVICIO DIGITALIDAD Y VENTAS","Chats",IF(OR(D1045="GERENCIA INBOUND LÍNEAS SERVICIO Y VENTA",D1045="GERENCIA INBOUND LINEAS ESPECIALIZADAS"),"Llamadas","Otro")))</f>
        <v/>
      </c>
      <c r="I1045" s="23" t="str">
        <f aca="false">IF(A1045="","",IF(C1045="No encontrado","No","Sí"))</f>
        <v/>
      </c>
      <c r="J1045" s="23" t="str">
        <f aca="false">IF(A1045="","",IF(F1045="Inactivo","No","Sí"))</f>
        <v/>
      </c>
      <c r="K1045" s="23" t="str">
        <f aca="false">IF(A1045="","",IF(AND(I1045="Sí",J1045="Sí"),"Sí","No"))</f>
        <v/>
      </c>
    </row>
    <row r="1046" customFormat="false" ht="15" hidden="false" customHeight="false" outlineLevel="0" collapsed="false">
      <c r="A1046" s="22"/>
      <c r="B1046" s="22"/>
      <c r="C1046" s="26" t="str">
        <f aca="false">IF(A1046="","",IFERROR(buscarx(A1046&amp;B1046,DATA!$E$3:$E$10000&amp;DATA!$B$3:$B$10000,DATA!$M$3:$M$10000),"No encontrado"))</f>
        <v/>
      </c>
      <c r="D1046" s="27" t="str">
        <f aca="false">IF(A1046="","",IFERROR(buscarx(A1046&amp;B1046,DATA!$E$3:$E$10000&amp;DATA!$B$3:$B$10000,DATA!$W$3:$W$10000),"No encontrado"))</f>
        <v/>
      </c>
      <c r="E1046" s="22"/>
      <c r="F1046" s="26" t="str">
        <f aca="false">IF(A1046="","",IFERROR(buscarx(A1046&amp;E1046,DATA!$E$3:$E$10000&amp;DATA!$B$3:$B$10000,DATA!$M$3:$M$10000),"Inactivo"))</f>
        <v/>
      </c>
      <c r="G1046" s="28" t="str">
        <f aca="false">IF(A1046="","",IF(AND(C1046&lt;&gt;"No encontrado",F1046&lt;&gt;"Inactivo"),C1046&amp;" → "&amp;F1046,"Sin transición"))</f>
        <v/>
      </c>
      <c r="H1046" s="26" t="str">
        <f aca="false">IF(A1046="","",IF(D1046="GCIA LINEA SERVICIO DIGITALIDAD Y VENTAS","Chats",IF(OR(D1046="GERENCIA INBOUND LÍNEAS SERVICIO Y VENTA",D1046="GERENCIA INBOUND LINEAS ESPECIALIZADAS"),"Llamadas","Otro")))</f>
        <v/>
      </c>
      <c r="I1046" s="26" t="str">
        <f aca="false">IF(A1046="","",IF(C1046="No encontrado","No","Sí"))</f>
        <v/>
      </c>
      <c r="J1046" s="26" t="str">
        <f aca="false">IF(A1046="","",IF(F1046="Inactivo","No","Sí"))</f>
        <v/>
      </c>
      <c r="K1046" s="26" t="str">
        <f aca="false">IF(A1046="","",IF(AND(I1046="Sí",J1046="Sí"),"Sí","No"))</f>
        <v/>
      </c>
    </row>
    <row r="1047" customFormat="false" ht="15" hidden="false" customHeight="false" outlineLevel="0" collapsed="false">
      <c r="A1047" s="22"/>
      <c r="B1047" s="22"/>
      <c r="C1047" s="23" t="str">
        <f aca="false">IF(A1047="","",IFERROR(buscarx(A1047&amp;B1047,DATA!$E$3:$E$10000&amp;DATA!$B$3:$B$10000,DATA!$M$3:$M$10000),"No encontrado"))</f>
        <v/>
      </c>
      <c r="D1047" s="24" t="str">
        <f aca="false">IF(A1047="","",IFERROR(buscarx(A1047&amp;B1047,DATA!$E$3:$E$10000&amp;DATA!$B$3:$B$10000,DATA!$W$3:$W$10000),"No encontrado"))</f>
        <v/>
      </c>
      <c r="E1047" s="22"/>
      <c r="F1047" s="23" t="str">
        <f aca="false">IF(A1047="","",IFERROR(buscarx(A1047&amp;E1047,DATA!$E$3:$E$10000&amp;DATA!$B$3:$B$10000,DATA!$M$3:$M$10000),"Inactivo"))</f>
        <v/>
      </c>
      <c r="G1047" s="25" t="str">
        <f aca="false">IF(A1047="","",IF(AND(C1047&lt;&gt;"No encontrado",F1047&lt;&gt;"Inactivo"),C1047&amp;" → "&amp;F1047,"Sin transición"))</f>
        <v/>
      </c>
      <c r="H1047" s="23" t="str">
        <f aca="false">IF(A1047="","",IF(D1047="GCIA LINEA SERVICIO DIGITALIDAD Y VENTAS","Chats",IF(OR(D1047="GERENCIA INBOUND LÍNEAS SERVICIO Y VENTA",D1047="GERENCIA INBOUND LINEAS ESPECIALIZADAS"),"Llamadas","Otro")))</f>
        <v/>
      </c>
      <c r="I1047" s="23" t="str">
        <f aca="false">IF(A1047="","",IF(C1047="No encontrado","No","Sí"))</f>
        <v/>
      </c>
      <c r="J1047" s="23" t="str">
        <f aca="false">IF(A1047="","",IF(F1047="Inactivo","No","Sí"))</f>
        <v/>
      </c>
      <c r="K1047" s="23" t="str">
        <f aca="false">IF(A1047="","",IF(AND(I1047="Sí",J1047="Sí"),"Sí","No"))</f>
        <v/>
      </c>
    </row>
    <row r="1048" customFormat="false" ht="15" hidden="false" customHeight="false" outlineLevel="0" collapsed="false">
      <c r="A1048" s="22"/>
      <c r="B1048" s="22"/>
      <c r="C1048" s="26" t="str">
        <f aca="false">IF(A1048="","",IFERROR(buscarx(A1048&amp;B1048,DATA!$E$3:$E$10000&amp;DATA!$B$3:$B$10000,DATA!$M$3:$M$10000),"No encontrado"))</f>
        <v/>
      </c>
      <c r="D1048" s="27" t="str">
        <f aca="false">IF(A1048="","",IFERROR(buscarx(A1048&amp;B1048,DATA!$E$3:$E$10000&amp;DATA!$B$3:$B$10000,DATA!$W$3:$W$10000),"No encontrado"))</f>
        <v/>
      </c>
      <c r="E1048" s="22"/>
      <c r="F1048" s="26" t="str">
        <f aca="false">IF(A1048="","",IFERROR(buscarx(A1048&amp;E1048,DATA!$E$3:$E$10000&amp;DATA!$B$3:$B$10000,DATA!$M$3:$M$10000),"Inactivo"))</f>
        <v/>
      </c>
      <c r="G1048" s="28" t="str">
        <f aca="false">IF(A1048="","",IF(AND(C1048&lt;&gt;"No encontrado",F1048&lt;&gt;"Inactivo"),C1048&amp;" → "&amp;F1048,"Sin transición"))</f>
        <v/>
      </c>
      <c r="H1048" s="26" t="str">
        <f aca="false">IF(A1048="","",IF(D1048="GCIA LINEA SERVICIO DIGITALIDAD Y VENTAS","Chats",IF(OR(D1048="GERENCIA INBOUND LÍNEAS SERVICIO Y VENTA",D1048="GERENCIA INBOUND LINEAS ESPECIALIZADAS"),"Llamadas","Otro")))</f>
        <v/>
      </c>
      <c r="I1048" s="26" t="str">
        <f aca="false">IF(A1048="","",IF(C1048="No encontrado","No","Sí"))</f>
        <v/>
      </c>
      <c r="J1048" s="26" t="str">
        <f aca="false">IF(A1048="","",IF(F1048="Inactivo","No","Sí"))</f>
        <v/>
      </c>
      <c r="K1048" s="26" t="str">
        <f aca="false">IF(A1048="","",IF(AND(I1048="Sí",J1048="Sí"),"Sí","No"))</f>
        <v/>
      </c>
    </row>
    <row r="1049" customFormat="false" ht="15" hidden="false" customHeight="false" outlineLevel="0" collapsed="false">
      <c r="A1049" s="22"/>
      <c r="B1049" s="22"/>
      <c r="C1049" s="23" t="str">
        <f aca="false">IF(A1049="","",IFERROR(buscarx(A1049&amp;B1049,DATA!$E$3:$E$10000&amp;DATA!$B$3:$B$10000,DATA!$M$3:$M$10000),"No encontrado"))</f>
        <v/>
      </c>
      <c r="D1049" s="24" t="str">
        <f aca="false">IF(A1049="","",IFERROR(buscarx(A1049&amp;B1049,DATA!$E$3:$E$10000&amp;DATA!$B$3:$B$10000,DATA!$W$3:$W$10000),"No encontrado"))</f>
        <v/>
      </c>
      <c r="E1049" s="22"/>
      <c r="F1049" s="23" t="str">
        <f aca="false">IF(A1049="","",IFERROR(buscarx(A1049&amp;E1049,DATA!$E$3:$E$10000&amp;DATA!$B$3:$B$10000,DATA!$M$3:$M$10000),"Inactivo"))</f>
        <v/>
      </c>
      <c r="G1049" s="25" t="str">
        <f aca="false">IF(A1049="","",IF(AND(C1049&lt;&gt;"No encontrado",F1049&lt;&gt;"Inactivo"),C1049&amp;" → "&amp;F1049,"Sin transición"))</f>
        <v/>
      </c>
      <c r="H1049" s="23" t="str">
        <f aca="false">IF(A1049="","",IF(D1049="GCIA LINEA SERVICIO DIGITALIDAD Y VENTAS","Chats",IF(OR(D1049="GERENCIA INBOUND LÍNEAS SERVICIO Y VENTA",D1049="GERENCIA INBOUND LINEAS ESPECIALIZADAS"),"Llamadas","Otro")))</f>
        <v/>
      </c>
      <c r="I1049" s="23" t="str">
        <f aca="false">IF(A1049="","",IF(C1049="No encontrado","No","Sí"))</f>
        <v/>
      </c>
      <c r="J1049" s="23" t="str">
        <f aca="false">IF(A1049="","",IF(F1049="Inactivo","No","Sí"))</f>
        <v/>
      </c>
      <c r="K1049" s="23" t="str">
        <f aca="false">IF(A1049="","",IF(AND(I1049="Sí",J1049="Sí"),"Sí","No"))</f>
        <v/>
      </c>
    </row>
    <row r="1050" customFormat="false" ht="15" hidden="false" customHeight="false" outlineLevel="0" collapsed="false">
      <c r="A1050" s="22"/>
      <c r="B1050" s="22"/>
      <c r="C1050" s="26" t="str">
        <f aca="false">IF(A1050="","",IFERROR(buscarx(A1050&amp;B1050,DATA!$E$3:$E$10000&amp;DATA!$B$3:$B$10000,DATA!$M$3:$M$10000),"No encontrado"))</f>
        <v/>
      </c>
      <c r="D1050" s="27" t="str">
        <f aca="false">IF(A1050="","",IFERROR(buscarx(A1050&amp;B1050,DATA!$E$3:$E$10000&amp;DATA!$B$3:$B$10000,DATA!$W$3:$W$10000),"No encontrado"))</f>
        <v/>
      </c>
      <c r="E1050" s="22"/>
      <c r="F1050" s="26" t="str">
        <f aca="false">IF(A1050="","",IFERROR(buscarx(A1050&amp;E1050,DATA!$E$3:$E$10000&amp;DATA!$B$3:$B$10000,DATA!$M$3:$M$10000),"Inactivo"))</f>
        <v/>
      </c>
      <c r="G1050" s="28" t="str">
        <f aca="false">IF(A1050="","",IF(AND(C1050&lt;&gt;"No encontrado",F1050&lt;&gt;"Inactivo"),C1050&amp;" → "&amp;F1050,"Sin transición"))</f>
        <v/>
      </c>
      <c r="H1050" s="26" t="str">
        <f aca="false">IF(A1050="","",IF(D1050="GCIA LINEA SERVICIO DIGITALIDAD Y VENTAS","Chats",IF(OR(D1050="GERENCIA INBOUND LÍNEAS SERVICIO Y VENTA",D1050="GERENCIA INBOUND LINEAS ESPECIALIZADAS"),"Llamadas","Otro")))</f>
        <v/>
      </c>
      <c r="I1050" s="26" t="str">
        <f aca="false">IF(A1050="","",IF(C1050="No encontrado","No","Sí"))</f>
        <v/>
      </c>
      <c r="J1050" s="26" t="str">
        <f aca="false">IF(A1050="","",IF(F1050="Inactivo","No","Sí"))</f>
        <v/>
      </c>
      <c r="K1050" s="26" t="str">
        <f aca="false">IF(A1050="","",IF(AND(I1050="Sí",J1050="Sí"),"Sí","No"))</f>
        <v/>
      </c>
    </row>
    <row r="1051" customFormat="false" ht="15" hidden="false" customHeight="false" outlineLevel="0" collapsed="false">
      <c r="A1051" s="22"/>
      <c r="B1051" s="22"/>
      <c r="C1051" s="23" t="str">
        <f aca="false">IF(A1051="","",IFERROR(buscarx(A1051&amp;B1051,DATA!$E$3:$E$10000&amp;DATA!$B$3:$B$10000,DATA!$M$3:$M$10000),"No encontrado"))</f>
        <v/>
      </c>
      <c r="D1051" s="24" t="str">
        <f aca="false">IF(A1051="","",IFERROR(buscarx(A1051&amp;B1051,DATA!$E$3:$E$10000&amp;DATA!$B$3:$B$10000,DATA!$W$3:$W$10000),"No encontrado"))</f>
        <v/>
      </c>
      <c r="E1051" s="22"/>
      <c r="F1051" s="23" t="str">
        <f aca="false">IF(A1051="","",IFERROR(buscarx(A1051&amp;E1051,DATA!$E$3:$E$10000&amp;DATA!$B$3:$B$10000,DATA!$M$3:$M$10000),"Inactivo"))</f>
        <v/>
      </c>
      <c r="G1051" s="25" t="str">
        <f aca="false">IF(A1051="","",IF(AND(C1051&lt;&gt;"No encontrado",F1051&lt;&gt;"Inactivo"),C1051&amp;" → "&amp;F1051,"Sin transición"))</f>
        <v/>
      </c>
      <c r="H1051" s="23" t="str">
        <f aca="false">IF(A1051="","",IF(D1051="GCIA LINEA SERVICIO DIGITALIDAD Y VENTAS","Chats",IF(OR(D1051="GERENCIA INBOUND LÍNEAS SERVICIO Y VENTA",D1051="GERENCIA INBOUND LINEAS ESPECIALIZADAS"),"Llamadas","Otro")))</f>
        <v/>
      </c>
      <c r="I1051" s="23" t="str">
        <f aca="false">IF(A1051="","",IF(C1051="No encontrado","No","Sí"))</f>
        <v/>
      </c>
      <c r="J1051" s="23" t="str">
        <f aca="false">IF(A1051="","",IF(F1051="Inactivo","No","Sí"))</f>
        <v/>
      </c>
      <c r="K1051" s="23" t="str">
        <f aca="false">IF(A1051="","",IF(AND(I1051="Sí",J1051="Sí"),"Sí","No"))</f>
        <v/>
      </c>
    </row>
    <row r="1052" customFormat="false" ht="15" hidden="false" customHeight="false" outlineLevel="0" collapsed="false">
      <c r="A1052" s="22"/>
      <c r="B1052" s="22"/>
      <c r="C1052" s="26" t="str">
        <f aca="false">IF(A1052="","",IFERROR(buscarx(A1052&amp;B1052,DATA!$E$3:$E$10000&amp;DATA!$B$3:$B$10000,DATA!$M$3:$M$10000),"No encontrado"))</f>
        <v/>
      </c>
      <c r="D1052" s="27" t="str">
        <f aca="false">IF(A1052="","",IFERROR(buscarx(A1052&amp;B1052,DATA!$E$3:$E$10000&amp;DATA!$B$3:$B$10000,DATA!$W$3:$W$10000),"No encontrado"))</f>
        <v/>
      </c>
      <c r="E1052" s="22"/>
      <c r="F1052" s="26" t="str">
        <f aca="false">IF(A1052="","",IFERROR(buscarx(A1052&amp;E1052,DATA!$E$3:$E$10000&amp;DATA!$B$3:$B$10000,DATA!$M$3:$M$10000),"Inactivo"))</f>
        <v/>
      </c>
      <c r="G1052" s="28" t="str">
        <f aca="false">IF(A1052="","",IF(AND(C1052&lt;&gt;"No encontrado",F1052&lt;&gt;"Inactivo"),C1052&amp;" → "&amp;F1052,"Sin transición"))</f>
        <v/>
      </c>
      <c r="H1052" s="26" t="str">
        <f aca="false">IF(A1052="","",IF(D1052="GCIA LINEA SERVICIO DIGITALIDAD Y VENTAS","Chats",IF(OR(D1052="GERENCIA INBOUND LÍNEAS SERVICIO Y VENTA",D1052="GERENCIA INBOUND LINEAS ESPECIALIZADAS"),"Llamadas","Otro")))</f>
        <v/>
      </c>
      <c r="I1052" s="26" t="str">
        <f aca="false">IF(A1052="","",IF(C1052="No encontrado","No","Sí"))</f>
        <v/>
      </c>
      <c r="J1052" s="26" t="str">
        <f aca="false">IF(A1052="","",IF(F1052="Inactivo","No","Sí"))</f>
        <v/>
      </c>
      <c r="K1052" s="26" t="str">
        <f aca="false">IF(A1052="","",IF(AND(I1052="Sí",J1052="Sí"),"Sí","No"))</f>
        <v/>
      </c>
    </row>
    <row r="1053" customFormat="false" ht="15" hidden="false" customHeight="false" outlineLevel="0" collapsed="false">
      <c r="A1053" s="22"/>
      <c r="B1053" s="22"/>
      <c r="C1053" s="23" t="str">
        <f aca="false">IF(A1053="","",IFERROR(buscarx(A1053&amp;B1053,DATA!$E$3:$E$10000&amp;DATA!$B$3:$B$10000,DATA!$M$3:$M$10000),"No encontrado"))</f>
        <v/>
      </c>
      <c r="D1053" s="24" t="str">
        <f aca="false">IF(A1053="","",IFERROR(buscarx(A1053&amp;B1053,DATA!$E$3:$E$10000&amp;DATA!$B$3:$B$10000,DATA!$W$3:$W$10000),"No encontrado"))</f>
        <v/>
      </c>
      <c r="E1053" s="22"/>
      <c r="F1053" s="23" t="str">
        <f aca="false">IF(A1053="","",IFERROR(buscarx(A1053&amp;E1053,DATA!$E$3:$E$10000&amp;DATA!$B$3:$B$10000,DATA!$M$3:$M$10000),"Inactivo"))</f>
        <v/>
      </c>
      <c r="G1053" s="25" t="str">
        <f aca="false">IF(A1053="","",IF(AND(C1053&lt;&gt;"No encontrado",F1053&lt;&gt;"Inactivo"),C1053&amp;" → "&amp;F1053,"Sin transición"))</f>
        <v/>
      </c>
      <c r="H1053" s="23" t="str">
        <f aca="false">IF(A1053="","",IF(D1053="GCIA LINEA SERVICIO DIGITALIDAD Y VENTAS","Chats",IF(OR(D1053="GERENCIA INBOUND LÍNEAS SERVICIO Y VENTA",D1053="GERENCIA INBOUND LINEAS ESPECIALIZADAS"),"Llamadas","Otro")))</f>
        <v/>
      </c>
      <c r="I1053" s="23" t="str">
        <f aca="false">IF(A1053="","",IF(C1053="No encontrado","No","Sí"))</f>
        <v/>
      </c>
      <c r="J1053" s="23" t="str">
        <f aca="false">IF(A1053="","",IF(F1053="Inactivo","No","Sí"))</f>
        <v/>
      </c>
      <c r="K1053" s="23" t="str">
        <f aca="false">IF(A1053="","",IF(AND(I1053="Sí",J1053="Sí"),"Sí","No"))</f>
        <v/>
      </c>
    </row>
    <row r="1054" customFormat="false" ht="15" hidden="false" customHeight="false" outlineLevel="0" collapsed="false">
      <c r="A1054" s="22"/>
      <c r="B1054" s="22"/>
      <c r="C1054" s="26" t="str">
        <f aca="false">IF(A1054="","",IFERROR(buscarx(A1054&amp;B1054,DATA!$E$3:$E$10000&amp;DATA!$B$3:$B$10000,DATA!$M$3:$M$10000),"No encontrado"))</f>
        <v/>
      </c>
      <c r="D1054" s="27" t="str">
        <f aca="false">IF(A1054="","",IFERROR(buscarx(A1054&amp;B1054,DATA!$E$3:$E$10000&amp;DATA!$B$3:$B$10000,DATA!$W$3:$W$10000),"No encontrado"))</f>
        <v/>
      </c>
      <c r="E1054" s="22"/>
      <c r="F1054" s="26" t="str">
        <f aca="false">IF(A1054="","",IFERROR(buscarx(A1054&amp;E1054,DATA!$E$3:$E$10000&amp;DATA!$B$3:$B$10000,DATA!$M$3:$M$10000),"Inactivo"))</f>
        <v/>
      </c>
      <c r="G1054" s="28" t="str">
        <f aca="false">IF(A1054="","",IF(AND(C1054&lt;&gt;"No encontrado",F1054&lt;&gt;"Inactivo"),C1054&amp;" → "&amp;F1054,"Sin transición"))</f>
        <v/>
      </c>
      <c r="H1054" s="26" t="str">
        <f aca="false">IF(A1054="","",IF(D1054="GCIA LINEA SERVICIO DIGITALIDAD Y VENTAS","Chats",IF(OR(D1054="GERENCIA INBOUND LÍNEAS SERVICIO Y VENTA",D1054="GERENCIA INBOUND LINEAS ESPECIALIZADAS"),"Llamadas","Otro")))</f>
        <v/>
      </c>
      <c r="I1054" s="26" t="str">
        <f aca="false">IF(A1054="","",IF(C1054="No encontrado","No","Sí"))</f>
        <v/>
      </c>
      <c r="J1054" s="26" t="str">
        <f aca="false">IF(A1054="","",IF(F1054="Inactivo","No","Sí"))</f>
        <v/>
      </c>
      <c r="K1054" s="26" t="str">
        <f aca="false">IF(A1054="","",IF(AND(I1054="Sí",J1054="Sí"),"Sí","No"))</f>
        <v/>
      </c>
    </row>
    <row r="1055" customFormat="false" ht="15" hidden="false" customHeight="false" outlineLevel="0" collapsed="false">
      <c r="A1055" s="22"/>
      <c r="B1055" s="22"/>
      <c r="C1055" s="23" t="str">
        <f aca="false">IF(A1055="","",IFERROR(buscarx(A1055&amp;B1055,DATA!$E$3:$E$10000&amp;DATA!$B$3:$B$10000,DATA!$M$3:$M$10000),"No encontrado"))</f>
        <v/>
      </c>
      <c r="D1055" s="24" t="str">
        <f aca="false">IF(A1055="","",IFERROR(buscarx(A1055&amp;B1055,DATA!$E$3:$E$10000&amp;DATA!$B$3:$B$10000,DATA!$W$3:$W$10000),"No encontrado"))</f>
        <v/>
      </c>
      <c r="E1055" s="22"/>
      <c r="F1055" s="23" t="str">
        <f aca="false">IF(A1055="","",IFERROR(buscarx(A1055&amp;E1055,DATA!$E$3:$E$10000&amp;DATA!$B$3:$B$10000,DATA!$M$3:$M$10000),"Inactivo"))</f>
        <v/>
      </c>
      <c r="G1055" s="25" t="str">
        <f aca="false">IF(A1055="","",IF(AND(C1055&lt;&gt;"No encontrado",F1055&lt;&gt;"Inactivo"),C1055&amp;" → "&amp;F1055,"Sin transición"))</f>
        <v/>
      </c>
      <c r="H1055" s="23" t="str">
        <f aca="false">IF(A1055="","",IF(D1055="GCIA LINEA SERVICIO DIGITALIDAD Y VENTAS","Chats",IF(OR(D1055="GERENCIA INBOUND LÍNEAS SERVICIO Y VENTA",D1055="GERENCIA INBOUND LINEAS ESPECIALIZADAS"),"Llamadas","Otro")))</f>
        <v/>
      </c>
      <c r="I1055" s="23" t="str">
        <f aca="false">IF(A1055="","",IF(C1055="No encontrado","No","Sí"))</f>
        <v/>
      </c>
      <c r="J1055" s="23" t="str">
        <f aca="false">IF(A1055="","",IF(F1055="Inactivo","No","Sí"))</f>
        <v/>
      </c>
      <c r="K1055" s="23" t="str">
        <f aca="false">IF(A1055="","",IF(AND(I1055="Sí",J1055="Sí"),"Sí","No"))</f>
        <v/>
      </c>
    </row>
    <row r="1056" customFormat="false" ht="15" hidden="false" customHeight="false" outlineLevel="0" collapsed="false">
      <c r="A1056" s="22"/>
      <c r="B1056" s="22"/>
      <c r="C1056" s="26" t="str">
        <f aca="false">IF(A1056="","",IFERROR(buscarx(A1056&amp;B1056,DATA!$E$3:$E$10000&amp;DATA!$B$3:$B$10000,DATA!$M$3:$M$10000),"No encontrado"))</f>
        <v/>
      </c>
      <c r="D1056" s="27" t="str">
        <f aca="false">IF(A1056="","",IFERROR(buscarx(A1056&amp;B1056,DATA!$E$3:$E$10000&amp;DATA!$B$3:$B$10000,DATA!$W$3:$W$10000),"No encontrado"))</f>
        <v/>
      </c>
      <c r="E1056" s="22"/>
      <c r="F1056" s="26" t="str">
        <f aca="false">IF(A1056="","",IFERROR(buscarx(A1056&amp;E1056,DATA!$E$3:$E$10000&amp;DATA!$B$3:$B$10000,DATA!$M$3:$M$10000),"Inactivo"))</f>
        <v/>
      </c>
      <c r="G1056" s="28" t="str">
        <f aca="false">IF(A1056="","",IF(AND(C1056&lt;&gt;"No encontrado",F1056&lt;&gt;"Inactivo"),C1056&amp;" → "&amp;F1056,"Sin transición"))</f>
        <v/>
      </c>
      <c r="H1056" s="26" t="str">
        <f aca="false">IF(A1056="","",IF(D1056="GCIA LINEA SERVICIO DIGITALIDAD Y VENTAS","Chats",IF(OR(D1056="GERENCIA INBOUND LÍNEAS SERVICIO Y VENTA",D1056="GERENCIA INBOUND LINEAS ESPECIALIZADAS"),"Llamadas","Otro")))</f>
        <v/>
      </c>
      <c r="I1056" s="26" t="str">
        <f aca="false">IF(A1056="","",IF(C1056="No encontrado","No","Sí"))</f>
        <v/>
      </c>
      <c r="J1056" s="26" t="str">
        <f aca="false">IF(A1056="","",IF(F1056="Inactivo","No","Sí"))</f>
        <v/>
      </c>
      <c r="K1056" s="26" t="str">
        <f aca="false">IF(A1056="","",IF(AND(I1056="Sí",J1056="Sí"),"Sí","No"))</f>
        <v/>
      </c>
    </row>
    <row r="1057" customFormat="false" ht="15" hidden="false" customHeight="false" outlineLevel="0" collapsed="false">
      <c r="A1057" s="22"/>
      <c r="B1057" s="22"/>
      <c r="C1057" s="23" t="str">
        <f aca="false">IF(A1057="","",IFERROR(buscarx(A1057&amp;B1057,DATA!$E$3:$E$10000&amp;DATA!$B$3:$B$10000,DATA!$M$3:$M$10000),"No encontrado"))</f>
        <v/>
      </c>
      <c r="D1057" s="24" t="str">
        <f aca="false">IF(A1057="","",IFERROR(buscarx(A1057&amp;B1057,DATA!$E$3:$E$10000&amp;DATA!$B$3:$B$10000,DATA!$W$3:$W$10000),"No encontrado"))</f>
        <v/>
      </c>
      <c r="E1057" s="22"/>
      <c r="F1057" s="23" t="str">
        <f aca="false">IF(A1057="","",IFERROR(buscarx(A1057&amp;E1057,DATA!$E$3:$E$10000&amp;DATA!$B$3:$B$10000,DATA!$M$3:$M$10000),"Inactivo"))</f>
        <v/>
      </c>
      <c r="G1057" s="25" t="str">
        <f aca="false">IF(A1057="","",IF(AND(C1057&lt;&gt;"No encontrado",F1057&lt;&gt;"Inactivo"),C1057&amp;" → "&amp;F1057,"Sin transición"))</f>
        <v/>
      </c>
      <c r="H1057" s="23" t="str">
        <f aca="false">IF(A1057="","",IF(D1057="GCIA LINEA SERVICIO DIGITALIDAD Y VENTAS","Chats",IF(OR(D1057="GERENCIA INBOUND LÍNEAS SERVICIO Y VENTA",D1057="GERENCIA INBOUND LINEAS ESPECIALIZADAS"),"Llamadas","Otro")))</f>
        <v/>
      </c>
      <c r="I1057" s="23" t="str">
        <f aca="false">IF(A1057="","",IF(C1057="No encontrado","No","Sí"))</f>
        <v/>
      </c>
      <c r="J1057" s="23" t="str">
        <f aca="false">IF(A1057="","",IF(F1057="Inactivo","No","Sí"))</f>
        <v/>
      </c>
      <c r="K1057" s="23" t="str">
        <f aca="false">IF(A1057="","",IF(AND(I1057="Sí",J1057="Sí"),"Sí","No"))</f>
        <v/>
      </c>
    </row>
    <row r="1058" customFormat="false" ht="15" hidden="false" customHeight="false" outlineLevel="0" collapsed="false">
      <c r="A1058" s="22"/>
      <c r="B1058" s="22"/>
      <c r="C1058" s="26" t="str">
        <f aca="false">IF(A1058="","",IFERROR(buscarx(A1058&amp;B1058,DATA!$E$3:$E$10000&amp;DATA!$B$3:$B$10000,DATA!$M$3:$M$10000),"No encontrado"))</f>
        <v/>
      </c>
      <c r="D1058" s="27" t="str">
        <f aca="false">IF(A1058="","",IFERROR(buscarx(A1058&amp;B1058,DATA!$E$3:$E$10000&amp;DATA!$B$3:$B$10000,DATA!$W$3:$W$10000),"No encontrado"))</f>
        <v/>
      </c>
      <c r="E1058" s="22"/>
      <c r="F1058" s="26" t="str">
        <f aca="false">IF(A1058="","",IFERROR(buscarx(A1058&amp;E1058,DATA!$E$3:$E$10000&amp;DATA!$B$3:$B$10000,DATA!$M$3:$M$10000),"Inactivo"))</f>
        <v/>
      </c>
      <c r="G1058" s="28" t="str">
        <f aca="false">IF(A1058="","",IF(AND(C1058&lt;&gt;"No encontrado",F1058&lt;&gt;"Inactivo"),C1058&amp;" → "&amp;F1058,"Sin transición"))</f>
        <v/>
      </c>
      <c r="H1058" s="26" t="str">
        <f aca="false">IF(A1058="","",IF(D1058="GCIA LINEA SERVICIO DIGITALIDAD Y VENTAS","Chats",IF(OR(D1058="GERENCIA INBOUND LÍNEAS SERVICIO Y VENTA",D1058="GERENCIA INBOUND LINEAS ESPECIALIZADAS"),"Llamadas","Otro")))</f>
        <v/>
      </c>
      <c r="I1058" s="26" t="str">
        <f aca="false">IF(A1058="","",IF(C1058="No encontrado","No","Sí"))</f>
        <v/>
      </c>
      <c r="J1058" s="26" t="str">
        <f aca="false">IF(A1058="","",IF(F1058="Inactivo","No","Sí"))</f>
        <v/>
      </c>
      <c r="K1058" s="26" t="str">
        <f aca="false">IF(A1058="","",IF(AND(I1058="Sí",J1058="Sí"),"Sí","No"))</f>
        <v/>
      </c>
    </row>
    <row r="1059" customFormat="false" ht="15" hidden="false" customHeight="false" outlineLevel="0" collapsed="false">
      <c r="A1059" s="22"/>
      <c r="B1059" s="22"/>
      <c r="C1059" s="23" t="str">
        <f aca="false">IF(A1059="","",IFERROR(buscarx(A1059&amp;B1059,DATA!$E$3:$E$10000&amp;DATA!$B$3:$B$10000,DATA!$M$3:$M$10000),"No encontrado"))</f>
        <v/>
      </c>
      <c r="D1059" s="24" t="str">
        <f aca="false">IF(A1059="","",IFERROR(buscarx(A1059&amp;B1059,DATA!$E$3:$E$10000&amp;DATA!$B$3:$B$10000,DATA!$W$3:$W$10000),"No encontrado"))</f>
        <v/>
      </c>
      <c r="E1059" s="22"/>
      <c r="F1059" s="23" t="str">
        <f aca="false">IF(A1059="","",IFERROR(buscarx(A1059&amp;E1059,DATA!$E$3:$E$10000&amp;DATA!$B$3:$B$10000,DATA!$M$3:$M$10000),"Inactivo"))</f>
        <v/>
      </c>
      <c r="G1059" s="25" t="str">
        <f aca="false">IF(A1059="","",IF(AND(C1059&lt;&gt;"No encontrado",F1059&lt;&gt;"Inactivo"),C1059&amp;" → "&amp;F1059,"Sin transición"))</f>
        <v/>
      </c>
      <c r="H1059" s="23" t="str">
        <f aca="false">IF(A1059="","",IF(D1059="GCIA LINEA SERVICIO DIGITALIDAD Y VENTAS","Chats",IF(OR(D1059="GERENCIA INBOUND LÍNEAS SERVICIO Y VENTA",D1059="GERENCIA INBOUND LINEAS ESPECIALIZADAS"),"Llamadas","Otro")))</f>
        <v/>
      </c>
      <c r="I1059" s="23" t="str">
        <f aca="false">IF(A1059="","",IF(C1059="No encontrado","No","Sí"))</f>
        <v/>
      </c>
      <c r="J1059" s="23" t="str">
        <f aca="false">IF(A1059="","",IF(F1059="Inactivo","No","Sí"))</f>
        <v/>
      </c>
      <c r="K1059" s="23" t="str">
        <f aca="false">IF(A1059="","",IF(AND(I1059="Sí",J1059="Sí"),"Sí","No"))</f>
        <v/>
      </c>
    </row>
    <row r="1060" customFormat="false" ht="15" hidden="false" customHeight="false" outlineLevel="0" collapsed="false">
      <c r="A1060" s="22"/>
      <c r="B1060" s="22"/>
      <c r="C1060" s="26" t="str">
        <f aca="false">IF(A1060="","",IFERROR(buscarx(A1060&amp;B1060,DATA!$E$3:$E$10000&amp;DATA!$B$3:$B$10000,DATA!$M$3:$M$10000),"No encontrado"))</f>
        <v/>
      </c>
      <c r="D1060" s="27" t="str">
        <f aca="false">IF(A1060="","",IFERROR(buscarx(A1060&amp;B1060,DATA!$E$3:$E$10000&amp;DATA!$B$3:$B$10000,DATA!$W$3:$W$10000),"No encontrado"))</f>
        <v/>
      </c>
      <c r="E1060" s="22"/>
      <c r="F1060" s="26" t="str">
        <f aca="false">IF(A1060="","",IFERROR(buscarx(A1060&amp;E1060,DATA!$E$3:$E$10000&amp;DATA!$B$3:$B$10000,DATA!$M$3:$M$10000),"Inactivo"))</f>
        <v/>
      </c>
      <c r="G1060" s="28" t="str">
        <f aca="false">IF(A1060="","",IF(AND(C1060&lt;&gt;"No encontrado",F1060&lt;&gt;"Inactivo"),C1060&amp;" → "&amp;F1060,"Sin transición"))</f>
        <v/>
      </c>
      <c r="H1060" s="26" t="str">
        <f aca="false">IF(A1060="","",IF(D1060="GCIA LINEA SERVICIO DIGITALIDAD Y VENTAS","Chats",IF(OR(D1060="GERENCIA INBOUND LÍNEAS SERVICIO Y VENTA",D1060="GERENCIA INBOUND LINEAS ESPECIALIZADAS"),"Llamadas","Otro")))</f>
        <v/>
      </c>
      <c r="I1060" s="26" t="str">
        <f aca="false">IF(A1060="","",IF(C1060="No encontrado","No","Sí"))</f>
        <v/>
      </c>
      <c r="J1060" s="26" t="str">
        <f aca="false">IF(A1060="","",IF(F1060="Inactivo","No","Sí"))</f>
        <v/>
      </c>
      <c r="K1060" s="26" t="str">
        <f aca="false">IF(A1060="","",IF(AND(I1060="Sí",J1060="Sí"),"Sí","No"))</f>
        <v/>
      </c>
    </row>
    <row r="1061" customFormat="false" ht="15" hidden="false" customHeight="false" outlineLevel="0" collapsed="false">
      <c r="A1061" s="22"/>
      <c r="B1061" s="22"/>
      <c r="C1061" s="23" t="str">
        <f aca="false">IF(A1061="","",IFERROR(buscarx(A1061&amp;B1061,DATA!$E$3:$E$10000&amp;DATA!$B$3:$B$10000,DATA!$M$3:$M$10000),"No encontrado"))</f>
        <v/>
      </c>
      <c r="D1061" s="24" t="str">
        <f aca="false">IF(A1061="","",IFERROR(buscarx(A1061&amp;B1061,DATA!$E$3:$E$10000&amp;DATA!$B$3:$B$10000,DATA!$W$3:$W$10000),"No encontrado"))</f>
        <v/>
      </c>
      <c r="E1061" s="22"/>
      <c r="F1061" s="23" t="str">
        <f aca="false">IF(A1061="","",IFERROR(buscarx(A1061&amp;E1061,DATA!$E$3:$E$10000&amp;DATA!$B$3:$B$10000,DATA!$M$3:$M$10000),"Inactivo"))</f>
        <v/>
      </c>
      <c r="G1061" s="25" t="str">
        <f aca="false">IF(A1061="","",IF(AND(C1061&lt;&gt;"No encontrado",F1061&lt;&gt;"Inactivo"),C1061&amp;" → "&amp;F1061,"Sin transición"))</f>
        <v/>
      </c>
      <c r="H1061" s="23" t="str">
        <f aca="false">IF(A1061="","",IF(D1061="GCIA LINEA SERVICIO DIGITALIDAD Y VENTAS","Chats",IF(OR(D1061="GERENCIA INBOUND LÍNEAS SERVICIO Y VENTA",D1061="GERENCIA INBOUND LINEAS ESPECIALIZADAS"),"Llamadas","Otro")))</f>
        <v/>
      </c>
      <c r="I1061" s="23" t="str">
        <f aca="false">IF(A1061="","",IF(C1061="No encontrado","No","Sí"))</f>
        <v/>
      </c>
      <c r="J1061" s="23" t="str">
        <f aca="false">IF(A1061="","",IF(F1061="Inactivo","No","Sí"))</f>
        <v/>
      </c>
      <c r="K1061" s="23" t="str">
        <f aca="false">IF(A1061="","",IF(AND(I1061="Sí",J1061="Sí"),"Sí","No"))</f>
        <v/>
      </c>
    </row>
    <row r="1062" customFormat="false" ht="15" hidden="false" customHeight="false" outlineLevel="0" collapsed="false">
      <c r="A1062" s="22"/>
      <c r="B1062" s="22"/>
      <c r="C1062" s="26" t="str">
        <f aca="false">IF(A1062="","",IFERROR(buscarx(A1062&amp;B1062,DATA!$E$3:$E$10000&amp;DATA!$B$3:$B$10000,DATA!$M$3:$M$10000),"No encontrado"))</f>
        <v/>
      </c>
      <c r="D1062" s="27" t="str">
        <f aca="false">IF(A1062="","",IFERROR(buscarx(A1062&amp;B1062,DATA!$E$3:$E$10000&amp;DATA!$B$3:$B$10000,DATA!$W$3:$W$10000),"No encontrado"))</f>
        <v/>
      </c>
      <c r="E1062" s="22"/>
      <c r="F1062" s="26" t="str">
        <f aca="false">IF(A1062="","",IFERROR(buscarx(A1062&amp;E1062,DATA!$E$3:$E$10000&amp;DATA!$B$3:$B$10000,DATA!$M$3:$M$10000),"Inactivo"))</f>
        <v/>
      </c>
      <c r="G1062" s="28" t="str">
        <f aca="false">IF(A1062="","",IF(AND(C1062&lt;&gt;"No encontrado",F1062&lt;&gt;"Inactivo"),C1062&amp;" → "&amp;F1062,"Sin transición"))</f>
        <v/>
      </c>
      <c r="H1062" s="26" t="str">
        <f aca="false">IF(A1062="","",IF(D1062="GCIA LINEA SERVICIO DIGITALIDAD Y VENTAS","Chats",IF(OR(D1062="GERENCIA INBOUND LÍNEAS SERVICIO Y VENTA",D1062="GERENCIA INBOUND LINEAS ESPECIALIZADAS"),"Llamadas","Otro")))</f>
        <v/>
      </c>
      <c r="I1062" s="26" t="str">
        <f aca="false">IF(A1062="","",IF(C1062="No encontrado","No","Sí"))</f>
        <v/>
      </c>
      <c r="J1062" s="26" t="str">
        <f aca="false">IF(A1062="","",IF(F1062="Inactivo","No","Sí"))</f>
        <v/>
      </c>
      <c r="K1062" s="26" t="str">
        <f aca="false">IF(A1062="","",IF(AND(I1062="Sí",J1062="Sí"),"Sí","No"))</f>
        <v/>
      </c>
    </row>
    <row r="1063" customFormat="false" ht="15" hidden="false" customHeight="false" outlineLevel="0" collapsed="false">
      <c r="A1063" s="22"/>
      <c r="B1063" s="22"/>
      <c r="C1063" s="23" t="str">
        <f aca="false">IF(A1063="","",IFERROR(buscarx(A1063&amp;B1063,DATA!$E$3:$E$10000&amp;DATA!$B$3:$B$10000,DATA!$M$3:$M$10000),"No encontrado"))</f>
        <v/>
      </c>
      <c r="D1063" s="24" t="str">
        <f aca="false">IF(A1063="","",IFERROR(buscarx(A1063&amp;B1063,DATA!$E$3:$E$10000&amp;DATA!$B$3:$B$10000,DATA!$W$3:$W$10000),"No encontrado"))</f>
        <v/>
      </c>
      <c r="E1063" s="22"/>
      <c r="F1063" s="23" t="str">
        <f aca="false">IF(A1063="","",IFERROR(buscarx(A1063&amp;E1063,DATA!$E$3:$E$10000&amp;DATA!$B$3:$B$10000,DATA!$M$3:$M$10000),"Inactivo"))</f>
        <v/>
      </c>
      <c r="G1063" s="25" t="str">
        <f aca="false">IF(A1063="","",IF(AND(C1063&lt;&gt;"No encontrado",F1063&lt;&gt;"Inactivo"),C1063&amp;" → "&amp;F1063,"Sin transición"))</f>
        <v/>
      </c>
      <c r="H1063" s="23" t="str">
        <f aca="false">IF(A1063="","",IF(D1063="GCIA LINEA SERVICIO DIGITALIDAD Y VENTAS","Chats",IF(OR(D1063="GERENCIA INBOUND LÍNEAS SERVICIO Y VENTA",D1063="GERENCIA INBOUND LINEAS ESPECIALIZADAS"),"Llamadas","Otro")))</f>
        <v/>
      </c>
      <c r="I1063" s="23" t="str">
        <f aca="false">IF(A1063="","",IF(C1063="No encontrado","No","Sí"))</f>
        <v/>
      </c>
      <c r="J1063" s="23" t="str">
        <f aca="false">IF(A1063="","",IF(F1063="Inactivo","No","Sí"))</f>
        <v/>
      </c>
      <c r="K1063" s="23" t="str">
        <f aca="false">IF(A1063="","",IF(AND(I1063="Sí",J1063="Sí"),"Sí","No"))</f>
        <v/>
      </c>
    </row>
    <row r="1064" customFormat="false" ht="15" hidden="false" customHeight="false" outlineLevel="0" collapsed="false">
      <c r="A1064" s="22"/>
      <c r="B1064" s="22"/>
      <c r="C1064" s="26" t="str">
        <f aca="false">IF(A1064="","",IFERROR(buscarx(A1064&amp;B1064,DATA!$E$3:$E$10000&amp;DATA!$B$3:$B$10000,DATA!$M$3:$M$10000),"No encontrado"))</f>
        <v/>
      </c>
      <c r="D1064" s="27" t="str">
        <f aca="false">IF(A1064="","",IFERROR(buscarx(A1064&amp;B1064,DATA!$E$3:$E$10000&amp;DATA!$B$3:$B$10000,DATA!$W$3:$W$10000),"No encontrado"))</f>
        <v/>
      </c>
      <c r="E1064" s="22"/>
      <c r="F1064" s="26" t="str">
        <f aca="false">IF(A1064="","",IFERROR(buscarx(A1064&amp;E1064,DATA!$E$3:$E$10000&amp;DATA!$B$3:$B$10000,DATA!$M$3:$M$10000),"Inactivo"))</f>
        <v/>
      </c>
      <c r="G1064" s="28" t="str">
        <f aca="false">IF(A1064="","",IF(AND(C1064&lt;&gt;"No encontrado",F1064&lt;&gt;"Inactivo"),C1064&amp;" → "&amp;F1064,"Sin transición"))</f>
        <v/>
      </c>
      <c r="H1064" s="26" t="str">
        <f aca="false">IF(A1064="","",IF(D1064="GCIA LINEA SERVICIO DIGITALIDAD Y VENTAS","Chats",IF(OR(D1064="GERENCIA INBOUND LÍNEAS SERVICIO Y VENTA",D1064="GERENCIA INBOUND LINEAS ESPECIALIZADAS"),"Llamadas","Otro")))</f>
        <v/>
      </c>
      <c r="I1064" s="26" t="str">
        <f aca="false">IF(A1064="","",IF(C1064="No encontrado","No","Sí"))</f>
        <v/>
      </c>
      <c r="J1064" s="26" t="str">
        <f aca="false">IF(A1064="","",IF(F1064="Inactivo","No","Sí"))</f>
        <v/>
      </c>
      <c r="K1064" s="26" t="str">
        <f aca="false">IF(A1064="","",IF(AND(I1064="Sí",J1064="Sí"),"Sí","No"))</f>
        <v/>
      </c>
    </row>
    <row r="1065" customFormat="false" ht="15" hidden="false" customHeight="false" outlineLevel="0" collapsed="false">
      <c r="A1065" s="22"/>
      <c r="B1065" s="22"/>
      <c r="C1065" s="23" t="str">
        <f aca="false">IF(A1065="","",IFERROR(buscarx(A1065&amp;B1065,DATA!$E$3:$E$10000&amp;DATA!$B$3:$B$10000,DATA!$M$3:$M$10000),"No encontrado"))</f>
        <v/>
      </c>
      <c r="D1065" s="24" t="str">
        <f aca="false">IF(A1065="","",IFERROR(buscarx(A1065&amp;B1065,DATA!$E$3:$E$10000&amp;DATA!$B$3:$B$10000,DATA!$W$3:$W$10000),"No encontrado"))</f>
        <v/>
      </c>
      <c r="E1065" s="22"/>
      <c r="F1065" s="23" t="str">
        <f aca="false">IF(A1065="","",IFERROR(buscarx(A1065&amp;E1065,DATA!$E$3:$E$10000&amp;DATA!$B$3:$B$10000,DATA!$M$3:$M$10000),"Inactivo"))</f>
        <v/>
      </c>
      <c r="G1065" s="25" t="str">
        <f aca="false">IF(A1065="","",IF(AND(C1065&lt;&gt;"No encontrado",F1065&lt;&gt;"Inactivo"),C1065&amp;" → "&amp;F1065,"Sin transición"))</f>
        <v/>
      </c>
      <c r="H1065" s="23" t="str">
        <f aca="false">IF(A1065="","",IF(D1065="GCIA LINEA SERVICIO DIGITALIDAD Y VENTAS","Chats",IF(OR(D1065="GERENCIA INBOUND LÍNEAS SERVICIO Y VENTA",D1065="GERENCIA INBOUND LINEAS ESPECIALIZADAS"),"Llamadas","Otro")))</f>
        <v/>
      </c>
      <c r="I1065" s="23" t="str">
        <f aca="false">IF(A1065="","",IF(C1065="No encontrado","No","Sí"))</f>
        <v/>
      </c>
      <c r="J1065" s="23" t="str">
        <f aca="false">IF(A1065="","",IF(F1065="Inactivo","No","Sí"))</f>
        <v/>
      </c>
      <c r="K1065" s="23" t="str">
        <f aca="false">IF(A1065="","",IF(AND(I1065="Sí",J1065="Sí"),"Sí","No"))</f>
        <v/>
      </c>
    </row>
    <row r="1066" customFormat="false" ht="15" hidden="false" customHeight="false" outlineLevel="0" collapsed="false">
      <c r="A1066" s="22"/>
      <c r="B1066" s="22"/>
      <c r="C1066" s="26" t="str">
        <f aca="false">IF(A1066="","",IFERROR(buscarx(A1066&amp;B1066,DATA!$E$3:$E$10000&amp;DATA!$B$3:$B$10000,DATA!$M$3:$M$10000),"No encontrado"))</f>
        <v/>
      </c>
      <c r="D1066" s="27" t="str">
        <f aca="false">IF(A1066="","",IFERROR(buscarx(A1066&amp;B1066,DATA!$E$3:$E$10000&amp;DATA!$B$3:$B$10000,DATA!$W$3:$W$10000),"No encontrado"))</f>
        <v/>
      </c>
      <c r="E1066" s="22"/>
      <c r="F1066" s="26" t="str">
        <f aca="false">IF(A1066="","",IFERROR(buscarx(A1066&amp;E1066,DATA!$E$3:$E$10000&amp;DATA!$B$3:$B$10000,DATA!$M$3:$M$10000),"Inactivo"))</f>
        <v/>
      </c>
      <c r="G1066" s="28" t="str">
        <f aca="false">IF(A1066="","",IF(AND(C1066&lt;&gt;"No encontrado",F1066&lt;&gt;"Inactivo"),C1066&amp;" → "&amp;F1066,"Sin transición"))</f>
        <v/>
      </c>
      <c r="H1066" s="26" t="str">
        <f aca="false">IF(A1066="","",IF(D1066="GCIA LINEA SERVICIO DIGITALIDAD Y VENTAS","Chats",IF(OR(D1066="GERENCIA INBOUND LÍNEAS SERVICIO Y VENTA",D1066="GERENCIA INBOUND LINEAS ESPECIALIZADAS"),"Llamadas","Otro")))</f>
        <v/>
      </c>
      <c r="I1066" s="26" t="str">
        <f aca="false">IF(A1066="","",IF(C1066="No encontrado","No","Sí"))</f>
        <v/>
      </c>
      <c r="J1066" s="26" t="str">
        <f aca="false">IF(A1066="","",IF(F1066="Inactivo","No","Sí"))</f>
        <v/>
      </c>
      <c r="K1066" s="26" t="str">
        <f aca="false">IF(A1066="","",IF(AND(I1066="Sí",J1066="Sí"),"Sí","No"))</f>
        <v/>
      </c>
    </row>
    <row r="1067" customFormat="false" ht="15" hidden="false" customHeight="false" outlineLevel="0" collapsed="false">
      <c r="A1067" s="22"/>
      <c r="B1067" s="22"/>
      <c r="C1067" s="23" t="str">
        <f aca="false">IF(A1067="","",IFERROR(buscarx(A1067&amp;B1067,DATA!$E$3:$E$10000&amp;DATA!$B$3:$B$10000,DATA!$M$3:$M$10000),"No encontrado"))</f>
        <v/>
      </c>
      <c r="D1067" s="24" t="str">
        <f aca="false">IF(A1067="","",IFERROR(buscarx(A1067&amp;B1067,DATA!$E$3:$E$10000&amp;DATA!$B$3:$B$10000,DATA!$W$3:$W$10000),"No encontrado"))</f>
        <v/>
      </c>
      <c r="E1067" s="22"/>
      <c r="F1067" s="23" t="str">
        <f aca="false">IF(A1067="","",IFERROR(buscarx(A1067&amp;E1067,DATA!$E$3:$E$10000&amp;DATA!$B$3:$B$10000,DATA!$M$3:$M$10000),"Inactivo"))</f>
        <v/>
      </c>
      <c r="G1067" s="25" t="str">
        <f aca="false">IF(A1067="","",IF(AND(C1067&lt;&gt;"No encontrado",F1067&lt;&gt;"Inactivo"),C1067&amp;" → "&amp;F1067,"Sin transición"))</f>
        <v/>
      </c>
      <c r="H1067" s="23" t="str">
        <f aca="false">IF(A1067="","",IF(D1067="GCIA LINEA SERVICIO DIGITALIDAD Y VENTAS","Chats",IF(OR(D1067="GERENCIA INBOUND LÍNEAS SERVICIO Y VENTA",D1067="GERENCIA INBOUND LINEAS ESPECIALIZADAS"),"Llamadas","Otro")))</f>
        <v/>
      </c>
      <c r="I1067" s="23" t="str">
        <f aca="false">IF(A1067="","",IF(C1067="No encontrado","No","Sí"))</f>
        <v/>
      </c>
      <c r="J1067" s="23" t="str">
        <f aca="false">IF(A1067="","",IF(F1067="Inactivo","No","Sí"))</f>
        <v/>
      </c>
      <c r="K1067" s="23" t="str">
        <f aca="false">IF(A1067="","",IF(AND(I1067="Sí",J1067="Sí"),"Sí","No"))</f>
        <v/>
      </c>
    </row>
    <row r="1068" customFormat="false" ht="15" hidden="false" customHeight="false" outlineLevel="0" collapsed="false">
      <c r="A1068" s="22"/>
      <c r="B1068" s="22"/>
      <c r="C1068" s="26" t="str">
        <f aca="false">IF(A1068="","",IFERROR(buscarx(A1068&amp;B1068,DATA!$E$3:$E$10000&amp;DATA!$B$3:$B$10000,DATA!$M$3:$M$10000),"No encontrado"))</f>
        <v/>
      </c>
      <c r="D1068" s="27" t="str">
        <f aca="false">IF(A1068="","",IFERROR(buscarx(A1068&amp;B1068,DATA!$E$3:$E$10000&amp;DATA!$B$3:$B$10000,DATA!$W$3:$W$10000),"No encontrado"))</f>
        <v/>
      </c>
      <c r="E1068" s="22"/>
      <c r="F1068" s="26" t="str">
        <f aca="false">IF(A1068="","",IFERROR(buscarx(A1068&amp;E1068,DATA!$E$3:$E$10000&amp;DATA!$B$3:$B$10000,DATA!$M$3:$M$10000),"Inactivo"))</f>
        <v/>
      </c>
      <c r="G1068" s="28" t="str">
        <f aca="false">IF(A1068="","",IF(AND(C1068&lt;&gt;"No encontrado",F1068&lt;&gt;"Inactivo"),C1068&amp;" → "&amp;F1068,"Sin transición"))</f>
        <v/>
      </c>
      <c r="H1068" s="26" t="str">
        <f aca="false">IF(A1068="","",IF(D1068="GCIA LINEA SERVICIO DIGITALIDAD Y VENTAS","Chats",IF(OR(D1068="GERENCIA INBOUND LÍNEAS SERVICIO Y VENTA",D1068="GERENCIA INBOUND LINEAS ESPECIALIZADAS"),"Llamadas","Otro")))</f>
        <v/>
      </c>
      <c r="I1068" s="26" t="str">
        <f aca="false">IF(A1068="","",IF(C1068="No encontrado","No","Sí"))</f>
        <v/>
      </c>
      <c r="J1068" s="26" t="str">
        <f aca="false">IF(A1068="","",IF(F1068="Inactivo","No","Sí"))</f>
        <v/>
      </c>
      <c r="K1068" s="26" t="str">
        <f aca="false">IF(A1068="","",IF(AND(I1068="Sí",J1068="Sí"),"Sí","No"))</f>
        <v/>
      </c>
    </row>
    <row r="1069" customFormat="false" ht="15" hidden="false" customHeight="false" outlineLevel="0" collapsed="false">
      <c r="A1069" s="22"/>
      <c r="B1069" s="22"/>
      <c r="C1069" s="23" t="str">
        <f aca="false">IF(A1069="","",IFERROR(buscarx(A1069&amp;B1069,DATA!$E$3:$E$10000&amp;DATA!$B$3:$B$10000,DATA!$M$3:$M$10000),"No encontrado"))</f>
        <v/>
      </c>
      <c r="D1069" s="24" t="str">
        <f aca="false">IF(A1069="","",IFERROR(buscarx(A1069&amp;B1069,DATA!$E$3:$E$10000&amp;DATA!$B$3:$B$10000,DATA!$W$3:$W$10000),"No encontrado"))</f>
        <v/>
      </c>
      <c r="E1069" s="22"/>
      <c r="F1069" s="23" t="str">
        <f aca="false">IF(A1069="","",IFERROR(buscarx(A1069&amp;E1069,DATA!$E$3:$E$10000&amp;DATA!$B$3:$B$10000,DATA!$M$3:$M$10000),"Inactivo"))</f>
        <v/>
      </c>
      <c r="G1069" s="25" t="str">
        <f aca="false">IF(A1069="","",IF(AND(C1069&lt;&gt;"No encontrado",F1069&lt;&gt;"Inactivo"),C1069&amp;" → "&amp;F1069,"Sin transición"))</f>
        <v/>
      </c>
      <c r="H1069" s="23" t="str">
        <f aca="false">IF(A1069="","",IF(D1069="GCIA LINEA SERVICIO DIGITALIDAD Y VENTAS","Chats",IF(OR(D1069="GERENCIA INBOUND LÍNEAS SERVICIO Y VENTA",D1069="GERENCIA INBOUND LINEAS ESPECIALIZADAS"),"Llamadas","Otro")))</f>
        <v/>
      </c>
      <c r="I1069" s="23" t="str">
        <f aca="false">IF(A1069="","",IF(C1069="No encontrado","No","Sí"))</f>
        <v/>
      </c>
      <c r="J1069" s="23" t="str">
        <f aca="false">IF(A1069="","",IF(F1069="Inactivo","No","Sí"))</f>
        <v/>
      </c>
      <c r="K1069" s="23" t="str">
        <f aca="false">IF(A1069="","",IF(AND(I1069="Sí",J1069="Sí"),"Sí","No"))</f>
        <v/>
      </c>
    </row>
    <row r="1070" customFormat="false" ht="15" hidden="false" customHeight="false" outlineLevel="0" collapsed="false">
      <c r="A1070" s="22"/>
      <c r="B1070" s="22"/>
      <c r="C1070" s="26" t="str">
        <f aca="false">IF(A1070="","",IFERROR(buscarx(A1070&amp;B1070,DATA!$E$3:$E$10000&amp;DATA!$B$3:$B$10000,DATA!$M$3:$M$10000),"No encontrado"))</f>
        <v/>
      </c>
      <c r="D1070" s="27" t="str">
        <f aca="false">IF(A1070="","",IFERROR(buscarx(A1070&amp;B1070,DATA!$E$3:$E$10000&amp;DATA!$B$3:$B$10000,DATA!$W$3:$W$10000),"No encontrado"))</f>
        <v/>
      </c>
      <c r="E1070" s="22"/>
      <c r="F1070" s="26" t="str">
        <f aca="false">IF(A1070="","",IFERROR(buscarx(A1070&amp;E1070,DATA!$E$3:$E$10000&amp;DATA!$B$3:$B$10000,DATA!$M$3:$M$10000),"Inactivo"))</f>
        <v/>
      </c>
      <c r="G1070" s="28" t="str">
        <f aca="false">IF(A1070="","",IF(AND(C1070&lt;&gt;"No encontrado",F1070&lt;&gt;"Inactivo"),C1070&amp;" → "&amp;F1070,"Sin transición"))</f>
        <v/>
      </c>
      <c r="H1070" s="26" t="str">
        <f aca="false">IF(A1070="","",IF(D1070="GCIA LINEA SERVICIO DIGITALIDAD Y VENTAS","Chats",IF(OR(D1070="GERENCIA INBOUND LÍNEAS SERVICIO Y VENTA",D1070="GERENCIA INBOUND LINEAS ESPECIALIZADAS"),"Llamadas","Otro")))</f>
        <v/>
      </c>
      <c r="I1070" s="26" t="str">
        <f aca="false">IF(A1070="","",IF(C1070="No encontrado","No","Sí"))</f>
        <v/>
      </c>
      <c r="J1070" s="26" t="str">
        <f aca="false">IF(A1070="","",IF(F1070="Inactivo","No","Sí"))</f>
        <v/>
      </c>
      <c r="K1070" s="26" t="str">
        <f aca="false">IF(A1070="","",IF(AND(I1070="Sí",J1070="Sí"),"Sí","No"))</f>
        <v/>
      </c>
    </row>
    <row r="1071" customFormat="false" ht="15" hidden="false" customHeight="false" outlineLevel="0" collapsed="false">
      <c r="A1071" s="22"/>
      <c r="B1071" s="22"/>
      <c r="C1071" s="23" t="str">
        <f aca="false">IF(A1071="","",IFERROR(buscarx(A1071&amp;B1071,DATA!$E$3:$E$10000&amp;DATA!$B$3:$B$10000,DATA!$M$3:$M$10000),"No encontrado"))</f>
        <v/>
      </c>
      <c r="D1071" s="24" t="str">
        <f aca="false">IF(A1071="","",IFERROR(buscarx(A1071&amp;B1071,DATA!$E$3:$E$10000&amp;DATA!$B$3:$B$10000,DATA!$W$3:$W$10000),"No encontrado"))</f>
        <v/>
      </c>
      <c r="E1071" s="22"/>
      <c r="F1071" s="23" t="str">
        <f aca="false">IF(A1071="","",IFERROR(buscarx(A1071&amp;E1071,DATA!$E$3:$E$10000&amp;DATA!$B$3:$B$10000,DATA!$M$3:$M$10000),"Inactivo"))</f>
        <v/>
      </c>
      <c r="G1071" s="25" t="str">
        <f aca="false">IF(A1071="","",IF(AND(C1071&lt;&gt;"No encontrado",F1071&lt;&gt;"Inactivo"),C1071&amp;" → "&amp;F1071,"Sin transición"))</f>
        <v/>
      </c>
      <c r="H1071" s="23" t="str">
        <f aca="false">IF(A1071="","",IF(D1071="GCIA LINEA SERVICIO DIGITALIDAD Y VENTAS","Chats",IF(OR(D1071="GERENCIA INBOUND LÍNEAS SERVICIO Y VENTA",D1071="GERENCIA INBOUND LINEAS ESPECIALIZADAS"),"Llamadas","Otro")))</f>
        <v/>
      </c>
      <c r="I1071" s="23" t="str">
        <f aca="false">IF(A1071="","",IF(C1071="No encontrado","No","Sí"))</f>
        <v/>
      </c>
      <c r="J1071" s="23" t="str">
        <f aca="false">IF(A1071="","",IF(F1071="Inactivo","No","Sí"))</f>
        <v/>
      </c>
      <c r="K1071" s="23" t="str">
        <f aca="false">IF(A1071="","",IF(AND(I1071="Sí",J1071="Sí"),"Sí","No"))</f>
        <v/>
      </c>
    </row>
    <row r="1072" customFormat="false" ht="15" hidden="false" customHeight="false" outlineLevel="0" collapsed="false">
      <c r="A1072" s="22"/>
      <c r="B1072" s="22"/>
      <c r="C1072" s="26" t="str">
        <f aca="false">IF(A1072="","",IFERROR(buscarx(A1072&amp;B1072,DATA!$E$3:$E$10000&amp;DATA!$B$3:$B$10000,DATA!$M$3:$M$10000),"No encontrado"))</f>
        <v/>
      </c>
      <c r="D1072" s="27" t="str">
        <f aca="false">IF(A1072="","",IFERROR(buscarx(A1072&amp;B1072,DATA!$E$3:$E$10000&amp;DATA!$B$3:$B$10000,DATA!$W$3:$W$10000),"No encontrado"))</f>
        <v/>
      </c>
      <c r="E1072" s="22"/>
      <c r="F1072" s="26" t="str">
        <f aca="false">IF(A1072="","",IFERROR(buscarx(A1072&amp;E1072,DATA!$E$3:$E$10000&amp;DATA!$B$3:$B$10000,DATA!$M$3:$M$10000),"Inactivo"))</f>
        <v/>
      </c>
      <c r="G1072" s="28" t="str">
        <f aca="false">IF(A1072="","",IF(AND(C1072&lt;&gt;"No encontrado",F1072&lt;&gt;"Inactivo"),C1072&amp;" → "&amp;F1072,"Sin transición"))</f>
        <v/>
      </c>
      <c r="H1072" s="26" t="str">
        <f aca="false">IF(A1072="","",IF(D1072="GCIA LINEA SERVICIO DIGITALIDAD Y VENTAS","Chats",IF(OR(D1072="GERENCIA INBOUND LÍNEAS SERVICIO Y VENTA",D1072="GERENCIA INBOUND LINEAS ESPECIALIZADAS"),"Llamadas","Otro")))</f>
        <v/>
      </c>
      <c r="I1072" s="26" t="str">
        <f aca="false">IF(A1072="","",IF(C1072="No encontrado","No","Sí"))</f>
        <v/>
      </c>
      <c r="J1072" s="26" t="str">
        <f aca="false">IF(A1072="","",IF(F1072="Inactivo","No","Sí"))</f>
        <v/>
      </c>
      <c r="K1072" s="26" t="str">
        <f aca="false">IF(A1072="","",IF(AND(I1072="Sí",J1072="Sí"),"Sí","No"))</f>
        <v/>
      </c>
    </row>
    <row r="1073" customFormat="false" ht="15" hidden="false" customHeight="false" outlineLevel="0" collapsed="false">
      <c r="A1073" s="22"/>
      <c r="B1073" s="22"/>
      <c r="C1073" s="23" t="str">
        <f aca="false">IF(A1073="","",IFERROR(buscarx(A1073&amp;B1073,DATA!$E$3:$E$10000&amp;DATA!$B$3:$B$10000,DATA!$M$3:$M$10000),"No encontrado"))</f>
        <v/>
      </c>
      <c r="D1073" s="24" t="str">
        <f aca="false">IF(A1073="","",IFERROR(buscarx(A1073&amp;B1073,DATA!$E$3:$E$10000&amp;DATA!$B$3:$B$10000,DATA!$W$3:$W$10000),"No encontrado"))</f>
        <v/>
      </c>
      <c r="E1073" s="22"/>
      <c r="F1073" s="23" t="str">
        <f aca="false">IF(A1073="","",IFERROR(buscarx(A1073&amp;E1073,DATA!$E$3:$E$10000&amp;DATA!$B$3:$B$10000,DATA!$M$3:$M$10000),"Inactivo"))</f>
        <v/>
      </c>
      <c r="G1073" s="25" t="str">
        <f aca="false">IF(A1073="","",IF(AND(C1073&lt;&gt;"No encontrado",F1073&lt;&gt;"Inactivo"),C1073&amp;" → "&amp;F1073,"Sin transición"))</f>
        <v/>
      </c>
      <c r="H1073" s="23" t="str">
        <f aca="false">IF(A1073="","",IF(D1073="GCIA LINEA SERVICIO DIGITALIDAD Y VENTAS","Chats",IF(OR(D1073="GERENCIA INBOUND LÍNEAS SERVICIO Y VENTA",D1073="GERENCIA INBOUND LINEAS ESPECIALIZADAS"),"Llamadas","Otro")))</f>
        <v/>
      </c>
      <c r="I1073" s="23" t="str">
        <f aca="false">IF(A1073="","",IF(C1073="No encontrado","No","Sí"))</f>
        <v/>
      </c>
      <c r="J1073" s="23" t="str">
        <f aca="false">IF(A1073="","",IF(F1073="Inactivo","No","Sí"))</f>
        <v/>
      </c>
      <c r="K1073" s="23" t="str">
        <f aca="false">IF(A1073="","",IF(AND(I1073="Sí",J1073="Sí"),"Sí","No"))</f>
        <v/>
      </c>
    </row>
    <row r="1074" customFormat="false" ht="15" hidden="false" customHeight="false" outlineLevel="0" collapsed="false">
      <c r="A1074" s="22"/>
      <c r="B1074" s="22"/>
      <c r="C1074" s="26" t="str">
        <f aca="false">IF(A1074="","",IFERROR(buscarx(A1074&amp;B1074,DATA!$E$3:$E$10000&amp;DATA!$B$3:$B$10000,DATA!$M$3:$M$10000),"No encontrado"))</f>
        <v/>
      </c>
      <c r="D1074" s="27" t="str">
        <f aca="false">IF(A1074="","",IFERROR(buscarx(A1074&amp;B1074,DATA!$E$3:$E$10000&amp;DATA!$B$3:$B$10000,DATA!$W$3:$W$10000),"No encontrado"))</f>
        <v/>
      </c>
      <c r="E1074" s="22"/>
      <c r="F1074" s="26" t="str">
        <f aca="false">IF(A1074="","",IFERROR(buscarx(A1074&amp;E1074,DATA!$E$3:$E$10000&amp;DATA!$B$3:$B$10000,DATA!$M$3:$M$10000),"Inactivo"))</f>
        <v/>
      </c>
      <c r="G1074" s="28" t="str">
        <f aca="false">IF(A1074="","",IF(AND(C1074&lt;&gt;"No encontrado",F1074&lt;&gt;"Inactivo"),C1074&amp;" → "&amp;F1074,"Sin transición"))</f>
        <v/>
      </c>
      <c r="H1074" s="26" t="str">
        <f aca="false">IF(A1074="","",IF(D1074="GCIA LINEA SERVICIO DIGITALIDAD Y VENTAS","Chats",IF(OR(D1074="GERENCIA INBOUND LÍNEAS SERVICIO Y VENTA",D1074="GERENCIA INBOUND LINEAS ESPECIALIZADAS"),"Llamadas","Otro")))</f>
        <v/>
      </c>
      <c r="I1074" s="26" t="str">
        <f aca="false">IF(A1074="","",IF(C1074="No encontrado","No","Sí"))</f>
        <v/>
      </c>
      <c r="J1074" s="26" t="str">
        <f aca="false">IF(A1074="","",IF(F1074="Inactivo","No","Sí"))</f>
        <v/>
      </c>
      <c r="K1074" s="26" t="str">
        <f aca="false">IF(A1074="","",IF(AND(I1074="Sí",J1074="Sí"),"Sí","No"))</f>
        <v/>
      </c>
    </row>
    <row r="1075" customFormat="false" ht="15" hidden="false" customHeight="false" outlineLevel="0" collapsed="false">
      <c r="A1075" s="22"/>
      <c r="B1075" s="22"/>
      <c r="C1075" s="23" t="str">
        <f aca="false">IF(A1075="","",IFERROR(buscarx(A1075&amp;B1075,DATA!$E$3:$E$10000&amp;DATA!$B$3:$B$10000,DATA!$M$3:$M$10000),"No encontrado"))</f>
        <v/>
      </c>
      <c r="D1075" s="24" t="str">
        <f aca="false">IF(A1075="","",IFERROR(buscarx(A1075&amp;B1075,DATA!$E$3:$E$10000&amp;DATA!$B$3:$B$10000,DATA!$W$3:$W$10000),"No encontrado"))</f>
        <v/>
      </c>
      <c r="E1075" s="22"/>
      <c r="F1075" s="23" t="str">
        <f aca="false">IF(A1075="","",IFERROR(buscarx(A1075&amp;E1075,DATA!$E$3:$E$10000&amp;DATA!$B$3:$B$10000,DATA!$M$3:$M$10000),"Inactivo"))</f>
        <v/>
      </c>
      <c r="G1075" s="25" t="str">
        <f aca="false">IF(A1075="","",IF(AND(C1075&lt;&gt;"No encontrado",F1075&lt;&gt;"Inactivo"),C1075&amp;" → "&amp;F1075,"Sin transición"))</f>
        <v/>
      </c>
      <c r="H1075" s="23" t="str">
        <f aca="false">IF(A1075="","",IF(D1075="GCIA LINEA SERVICIO DIGITALIDAD Y VENTAS","Chats",IF(OR(D1075="GERENCIA INBOUND LÍNEAS SERVICIO Y VENTA",D1075="GERENCIA INBOUND LINEAS ESPECIALIZADAS"),"Llamadas","Otro")))</f>
        <v/>
      </c>
      <c r="I1075" s="23" t="str">
        <f aca="false">IF(A1075="","",IF(C1075="No encontrado","No","Sí"))</f>
        <v/>
      </c>
      <c r="J1075" s="23" t="str">
        <f aca="false">IF(A1075="","",IF(F1075="Inactivo","No","Sí"))</f>
        <v/>
      </c>
      <c r="K1075" s="23" t="str">
        <f aca="false">IF(A1075="","",IF(AND(I1075="Sí",J1075="Sí"),"Sí","No"))</f>
        <v/>
      </c>
    </row>
    <row r="1076" customFormat="false" ht="15" hidden="false" customHeight="false" outlineLevel="0" collapsed="false">
      <c r="A1076" s="22"/>
      <c r="B1076" s="22"/>
      <c r="C1076" s="26" t="str">
        <f aca="false">IF(A1076="","",IFERROR(buscarx(A1076&amp;B1076,DATA!$E$3:$E$10000&amp;DATA!$B$3:$B$10000,DATA!$M$3:$M$10000),"No encontrado"))</f>
        <v/>
      </c>
      <c r="D1076" s="27" t="str">
        <f aca="false">IF(A1076="","",IFERROR(buscarx(A1076&amp;B1076,DATA!$E$3:$E$10000&amp;DATA!$B$3:$B$10000,DATA!$W$3:$W$10000),"No encontrado"))</f>
        <v/>
      </c>
      <c r="E1076" s="22"/>
      <c r="F1076" s="26" t="str">
        <f aca="false">IF(A1076="","",IFERROR(buscarx(A1076&amp;E1076,DATA!$E$3:$E$10000&amp;DATA!$B$3:$B$10000,DATA!$M$3:$M$10000),"Inactivo"))</f>
        <v/>
      </c>
      <c r="G1076" s="28" t="str">
        <f aca="false">IF(A1076="","",IF(AND(C1076&lt;&gt;"No encontrado",F1076&lt;&gt;"Inactivo"),C1076&amp;" → "&amp;F1076,"Sin transición"))</f>
        <v/>
      </c>
      <c r="H1076" s="26" t="str">
        <f aca="false">IF(A1076="","",IF(D1076="GCIA LINEA SERVICIO DIGITALIDAD Y VENTAS","Chats",IF(OR(D1076="GERENCIA INBOUND LÍNEAS SERVICIO Y VENTA",D1076="GERENCIA INBOUND LINEAS ESPECIALIZADAS"),"Llamadas","Otro")))</f>
        <v/>
      </c>
      <c r="I1076" s="26" t="str">
        <f aca="false">IF(A1076="","",IF(C1076="No encontrado","No","Sí"))</f>
        <v/>
      </c>
      <c r="J1076" s="26" t="str">
        <f aca="false">IF(A1076="","",IF(F1076="Inactivo","No","Sí"))</f>
        <v/>
      </c>
      <c r="K1076" s="26" t="str">
        <f aca="false">IF(A1076="","",IF(AND(I1076="Sí",J1076="Sí"),"Sí","No"))</f>
        <v/>
      </c>
    </row>
    <row r="1077" customFormat="false" ht="15" hidden="false" customHeight="false" outlineLevel="0" collapsed="false">
      <c r="A1077" s="22"/>
      <c r="B1077" s="22"/>
      <c r="C1077" s="23" t="str">
        <f aca="false">IF(A1077="","",IFERROR(buscarx(A1077&amp;B1077,DATA!$E$3:$E$10000&amp;DATA!$B$3:$B$10000,DATA!$M$3:$M$10000),"No encontrado"))</f>
        <v/>
      </c>
      <c r="D1077" s="24" t="str">
        <f aca="false">IF(A1077="","",IFERROR(buscarx(A1077&amp;B1077,DATA!$E$3:$E$10000&amp;DATA!$B$3:$B$10000,DATA!$W$3:$W$10000),"No encontrado"))</f>
        <v/>
      </c>
      <c r="E1077" s="22"/>
      <c r="F1077" s="23" t="str">
        <f aca="false">IF(A1077="","",IFERROR(buscarx(A1077&amp;E1077,DATA!$E$3:$E$10000&amp;DATA!$B$3:$B$10000,DATA!$M$3:$M$10000),"Inactivo"))</f>
        <v/>
      </c>
      <c r="G1077" s="25" t="str">
        <f aca="false">IF(A1077="","",IF(AND(C1077&lt;&gt;"No encontrado",F1077&lt;&gt;"Inactivo"),C1077&amp;" → "&amp;F1077,"Sin transición"))</f>
        <v/>
      </c>
      <c r="H1077" s="23" t="str">
        <f aca="false">IF(A1077="","",IF(D1077="GCIA LINEA SERVICIO DIGITALIDAD Y VENTAS","Chats",IF(OR(D1077="GERENCIA INBOUND LÍNEAS SERVICIO Y VENTA",D1077="GERENCIA INBOUND LINEAS ESPECIALIZADAS"),"Llamadas","Otro")))</f>
        <v/>
      </c>
      <c r="I1077" s="23" t="str">
        <f aca="false">IF(A1077="","",IF(C1077="No encontrado","No","Sí"))</f>
        <v/>
      </c>
      <c r="J1077" s="23" t="str">
        <f aca="false">IF(A1077="","",IF(F1077="Inactivo","No","Sí"))</f>
        <v/>
      </c>
      <c r="K1077" s="23" t="str">
        <f aca="false">IF(A1077="","",IF(AND(I1077="Sí",J1077="Sí"),"Sí","No"))</f>
        <v/>
      </c>
    </row>
    <row r="1078" customFormat="false" ht="15" hidden="false" customHeight="false" outlineLevel="0" collapsed="false">
      <c r="A1078" s="22"/>
      <c r="B1078" s="22"/>
      <c r="C1078" s="26" t="str">
        <f aca="false">IF(A1078="","",IFERROR(buscarx(A1078&amp;B1078,DATA!$E$3:$E$10000&amp;DATA!$B$3:$B$10000,DATA!$M$3:$M$10000),"No encontrado"))</f>
        <v/>
      </c>
      <c r="D1078" s="27" t="str">
        <f aca="false">IF(A1078="","",IFERROR(buscarx(A1078&amp;B1078,DATA!$E$3:$E$10000&amp;DATA!$B$3:$B$10000,DATA!$W$3:$W$10000),"No encontrado"))</f>
        <v/>
      </c>
      <c r="E1078" s="22"/>
      <c r="F1078" s="26" t="str">
        <f aca="false">IF(A1078="","",IFERROR(buscarx(A1078&amp;E1078,DATA!$E$3:$E$10000&amp;DATA!$B$3:$B$10000,DATA!$M$3:$M$10000),"Inactivo"))</f>
        <v/>
      </c>
      <c r="G1078" s="28" t="str">
        <f aca="false">IF(A1078="","",IF(AND(C1078&lt;&gt;"No encontrado",F1078&lt;&gt;"Inactivo"),C1078&amp;" → "&amp;F1078,"Sin transición"))</f>
        <v/>
      </c>
      <c r="H1078" s="26" t="str">
        <f aca="false">IF(A1078="","",IF(D1078="GCIA LINEA SERVICIO DIGITALIDAD Y VENTAS","Chats",IF(OR(D1078="GERENCIA INBOUND LÍNEAS SERVICIO Y VENTA",D1078="GERENCIA INBOUND LINEAS ESPECIALIZADAS"),"Llamadas","Otro")))</f>
        <v/>
      </c>
      <c r="I1078" s="26" t="str">
        <f aca="false">IF(A1078="","",IF(C1078="No encontrado","No","Sí"))</f>
        <v/>
      </c>
      <c r="J1078" s="26" t="str">
        <f aca="false">IF(A1078="","",IF(F1078="Inactivo","No","Sí"))</f>
        <v/>
      </c>
      <c r="K1078" s="26" t="str">
        <f aca="false">IF(A1078="","",IF(AND(I1078="Sí",J1078="Sí"),"Sí","No"))</f>
        <v/>
      </c>
    </row>
    <row r="1079" customFormat="false" ht="15" hidden="false" customHeight="false" outlineLevel="0" collapsed="false">
      <c r="A1079" s="22"/>
      <c r="B1079" s="22"/>
      <c r="C1079" s="23" t="str">
        <f aca="false">IF(A1079="","",IFERROR(buscarx(A1079&amp;B1079,DATA!$E$3:$E$10000&amp;DATA!$B$3:$B$10000,DATA!$M$3:$M$10000),"No encontrado"))</f>
        <v/>
      </c>
      <c r="D1079" s="24" t="str">
        <f aca="false">IF(A1079="","",IFERROR(buscarx(A1079&amp;B1079,DATA!$E$3:$E$10000&amp;DATA!$B$3:$B$10000,DATA!$W$3:$W$10000),"No encontrado"))</f>
        <v/>
      </c>
      <c r="E1079" s="22"/>
      <c r="F1079" s="23" t="str">
        <f aca="false">IF(A1079="","",IFERROR(buscarx(A1079&amp;E1079,DATA!$E$3:$E$10000&amp;DATA!$B$3:$B$10000,DATA!$M$3:$M$10000),"Inactivo"))</f>
        <v/>
      </c>
      <c r="G1079" s="25" t="str">
        <f aca="false">IF(A1079="","",IF(AND(C1079&lt;&gt;"No encontrado",F1079&lt;&gt;"Inactivo"),C1079&amp;" → "&amp;F1079,"Sin transición"))</f>
        <v/>
      </c>
      <c r="H1079" s="23" t="str">
        <f aca="false">IF(A1079="","",IF(D1079="GCIA LINEA SERVICIO DIGITALIDAD Y VENTAS","Chats",IF(OR(D1079="GERENCIA INBOUND LÍNEAS SERVICIO Y VENTA",D1079="GERENCIA INBOUND LINEAS ESPECIALIZADAS"),"Llamadas","Otro")))</f>
        <v/>
      </c>
      <c r="I1079" s="23" t="str">
        <f aca="false">IF(A1079="","",IF(C1079="No encontrado","No","Sí"))</f>
        <v/>
      </c>
      <c r="J1079" s="23" t="str">
        <f aca="false">IF(A1079="","",IF(F1079="Inactivo","No","Sí"))</f>
        <v/>
      </c>
      <c r="K1079" s="23" t="str">
        <f aca="false">IF(A1079="","",IF(AND(I1079="Sí",J1079="Sí"),"Sí","No"))</f>
        <v/>
      </c>
    </row>
    <row r="1080" customFormat="false" ht="15" hidden="false" customHeight="false" outlineLevel="0" collapsed="false">
      <c r="A1080" s="22"/>
      <c r="B1080" s="22"/>
      <c r="C1080" s="26" t="str">
        <f aca="false">IF(A1080="","",IFERROR(buscarx(A1080&amp;B1080,DATA!$E$3:$E$10000&amp;DATA!$B$3:$B$10000,DATA!$M$3:$M$10000),"No encontrado"))</f>
        <v/>
      </c>
      <c r="D1080" s="27" t="str">
        <f aca="false">IF(A1080="","",IFERROR(buscarx(A1080&amp;B1080,DATA!$E$3:$E$10000&amp;DATA!$B$3:$B$10000,DATA!$W$3:$W$10000),"No encontrado"))</f>
        <v/>
      </c>
      <c r="E1080" s="22"/>
      <c r="F1080" s="26" t="str">
        <f aca="false">IF(A1080="","",IFERROR(buscarx(A1080&amp;E1080,DATA!$E$3:$E$10000&amp;DATA!$B$3:$B$10000,DATA!$M$3:$M$10000),"Inactivo"))</f>
        <v/>
      </c>
      <c r="G1080" s="28" t="str">
        <f aca="false">IF(A1080="","",IF(AND(C1080&lt;&gt;"No encontrado",F1080&lt;&gt;"Inactivo"),C1080&amp;" → "&amp;F1080,"Sin transición"))</f>
        <v/>
      </c>
      <c r="H1080" s="26" t="str">
        <f aca="false">IF(A1080="","",IF(D1080="GCIA LINEA SERVICIO DIGITALIDAD Y VENTAS","Chats",IF(OR(D1080="GERENCIA INBOUND LÍNEAS SERVICIO Y VENTA",D1080="GERENCIA INBOUND LINEAS ESPECIALIZADAS"),"Llamadas","Otro")))</f>
        <v/>
      </c>
      <c r="I1080" s="26" t="str">
        <f aca="false">IF(A1080="","",IF(C1080="No encontrado","No","Sí"))</f>
        <v/>
      </c>
      <c r="J1080" s="26" t="str">
        <f aca="false">IF(A1080="","",IF(F1080="Inactivo","No","Sí"))</f>
        <v/>
      </c>
      <c r="K1080" s="26" t="str">
        <f aca="false">IF(A1080="","",IF(AND(I1080="Sí",J1080="Sí"),"Sí","No"))</f>
        <v/>
      </c>
    </row>
    <row r="1081" customFormat="false" ht="15" hidden="false" customHeight="false" outlineLevel="0" collapsed="false">
      <c r="A1081" s="22"/>
      <c r="B1081" s="22"/>
      <c r="C1081" s="23" t="str">
        <f aca="false">IF(A1081="","",IFERROR(buscarx(A1081&amp;B1081,DATA!$E$3:$E$10000&amp;DATA!$B$3:$B$10000,DATA!$M$3:$M$10000),"No encontrado"))</f>
        <v/>
      </c>
      <c r="D1081" s="24" t="str">
        <f aca="false">IF(A1081="","",IFERROR(buscarx(A1081&amp;B1081,DATA!$E$3:$E$10000&amp;DATA!$B$3:$B$10000,DATA!$W$3:$W$10000),"No encontrado"))</f>
        <v/>
      </c>
      <c r="E1081" s="22"/>
      <c r="F1081" s="23" t="str">
        <f aca="false">IF(A1081="","",IFERROR(buscarx(A1081&amp;E1081,DATA!$E$3:$E$10000&amp;DATA!$B$3:$B$10000,DATA!$M$3:$M$10000),"Inactivo"))</f>
        <v/>
      </c>
      <c r="G1081" s="25" t="str">
        <f aca="false">IF(A1081="","",IF(AND(C1081&lt;&gt;"No encontrado",F1081&lt;&gt;"Inactivo"),C1081&amp;" → "&amp;F1081,"Sin transición"))</f>
        <v/>
      </c>
      <c r="H1081" s="23" t="str">
        <f aca="false">IF(A1081="","",IF(D1081="GCIA LINEA SERVICIO DIGITALIDAD Y VENTAS","Chats",IF(OR(D1081="GERENCIA INBOUND LÍNEAS SERVICIO Y VENTA",D1081="GERENCIA INBOUND LINEAS ESPECIALIZADAS"),"Llamadas","Otro")))</f>
        <v/>
      </c>
      <c r="I1081" s="23" t="str">
        <f aca="false">IF(A1081="","",IF(C1081="No encontrado","No","Sí"))</f>
        <v/>
      </c>
      <c r="J1081" s="23" t="str">
        <f aca="false">IF(A1081="","",IF(F1081="Inactivo","No","Sí"))</f>
        <v/>
      </c>
      <c r="K1081" s="23" t="str">
        <f aca="false">IF(A1081="","",IF(AND(I1081="Sí",J1081="Sí"),"Sí","No"))</f>
        <v/>
      </c>
    </row>
    <row r="1082" customFormat="false" ht="15" hidden="false" customHeight="false" outlineLevel="0" collapsed="false">
      <c r="A1082" s="22"/>
      <c r="B1082" s="22"/>
      <c r="C1082" s="26" t="str">
        <f aca="false">IF(A1082="","",IFERROR(buscarx(A1082&amp;B1082,DATA!$E$3:$E$10000&amp;DATA!$B$3:$B$10000,DATA!$M$3:$M$10000),"No encontrado"))</f>
        <v/>
      </c>
      <c r="D1082" s="27" t="str">
        <f aca="false">IF(A1082="","",IFERROR(buscarx(A1082&amp;B1082,DATA!$E$3:$E$10000&amp;DATA!$B$3:$B$10000,DATA!$W$3:$W$10000),"No encontrado"))</f>
        <v/>
      </c>
      <c r="E1082" s="22"/>
      <c r="F1082" s="26" t="str">
        <f aca="false">IF(A1082="","",IFERROR(buscarx(A1082&amp;E1082,DATA!$E$3:$E$10000&amp;DATA!$B$3:$B$10000,DATA!$M$3:$M$10000),"Inactivo"))</f>
        <v/>
      </c>
      <c r="G1082" s="28" t="str">
        <f aca="false">IF(A1082="","",IF(AND(C1082&lt;&gt;"No encontrado",F1082&lt;&gt;"Inactivo"),C1082&amp;" → "&amp;F1082,"Sin transición"))</f>
        <v/>
      </c>
      <c r="H1082" s="26" t="str">
        <f aca="false">IF(A1082="","",IF(D1082="GCIA LINEA SERVICIO DIGITALIDAD Y VENTAS","Chats",IF(OR(D1082="GERENCIA INBOUND LÍNEAS SERVICIO Y VENTA",D1082="GERENCIA INBOUND LINEAS ESPECIALIZADAS"),"Llamadas","Otro")))</f>
        <v/>
      </c>
      <c r="I1082" s="26" t="str">
        <f aca="false">IF(A1082="","",IF(C1082="No encontrado","No","Sí"))</f>
        <v/>
      </c>
      <c r="J1082" s="26" t="str">
        <f aca="false">IF(A1082="","",IF(F1082="Inactivo","No","Sí"))</f>
        <v/>
      </c>
      <c r="K1082" s="26" t="str">
        <f aca="false">IF(A1082="","",IF(AND(I1082="Sí",J1082="Sí"),"Sí","No"))</f>
        <v/>
      </c>
    </row>
    <row r="1083" customFormat="false" ht="15" hidden="false" customHeight="false" outlineLevel="0" collapsed="false">
      <c r="A1083" s="22"/>
      <c r="B1083" s="22"/>
      <c r="C1083" s="23" t="str">
        <f aca="false">IF(A1083="","",IFERROR(buscarx(A1083&amp;B1083,DATA!$E$3:$E$10000&amp;DATA!$B$3:$B$10000,DATA!$M$3:$M$10000),"No encontrado"))</f>
        <v/>
      </c>
      <c r="D1083" s="24" t="str">
        <f aca="false">IF(A1083="","",IFERROR(buscarx(A1083&amp;B1083,DATA!$E$3:$E$10000&amp;DATA!$B$3:$B$10000,DATA!$W$3:$W$10000),"No encontrado"))</f>
        <v/>
      </c>
      <c r="E1083" s="22"/>
      <c r="F1083" s="23" t="str">
        <f aca="false">IF(A1083="","",IFERROR(buscarx(A1083&amp;E1083,DATA!$E$3:$E$10000&amp;DATA!$B$3:$B$10000,DATA!$M$3:$M$10000),"Inactivo"))</f>
        <v/>
      </c>
      <c r="G1083" s="25" t="str">
        <f aca="false">IF(A1083="","",IF(AND(C1083&lt;&gt;"No encontrado",F1083&lt;&gt;"Inactivo"),C1083&amp;" → "&amp;F1083,"Sin transición"))</f>
        <v/>
      </c>
      <c r="H1083" s="23" t="str">
        <f aca="false">IF(A1083="","",IF(D1083="GCIA LINEA SERVICIO DIGITALIDAD Y VENTAS","Chats",IF(OR(D1083="GERENCIA INBOUND LÍNEAS SERVICIO Y VENTA",D1083="GERENCIA INBOUND LINEAS ESPECIALIZADAS"),"Llamadas","Otro")))</f>
        <v/>
      </c>
      <c r="I1083" s="23" t="str">
        <f aca="false">IF(A1083="","",IF(C1083="No encontrado","No","Sí"))</f>
        <v/>
      </c>
      <c r="J1083" s="23" t="str">
        <f aca="false">IF(A1083="","",IF(F1083="Inactivo","No","Sí"))</f>
        <v/>
      </c>
      <c r="K1083" s="23" t="str">
        <f aca="false">IF(A1083="","",IF(AND(I1083="Sí",J1083="Sí"),"Sí","No"))</f>
        <v/>
      </c>
    </row>
    <row r="1084" customFormat="false" ht="15" hidden="false" customHeight="false" outlineLevel="0" collapsed="false">
      <c r="A1084" s="22"/>
      <c r="B1084" s="22"/>
      <c r="C1084" s="26" t="str">
        <f aca="false">IF(A1084="","",IFERROR(buscarx(A1084&amp;B1084,DATA!$E$3:$E$10000&amp;DATA!$B$3:$B$10000,DATA!$M$3:$M$10000),"No encontrado"))</f>
        <v/>
      </c>
      <c r="D1084" s="27" t="str">
        <f aca="false">IF(A1084="","",IFERROR(buscarx(A1084&amp;B1084,DATA!$E$3:$E$10000&amp;DATA!$B$3:$B$10000,DATA!$W$3:$W$10000),"No encontrado"))</f>
        <v/>
      </c>
      <c r="E1084" s="22"/>
      <c r="F1084" s="26" t="str">
        <f aca="false">IF(A1084="","",IFERROR(buscarx(A1084&amp;E1084,DATA!$E$3:$E$10000&amp;DATA!$B$3:$B$10000,DATA!$M$3:$M$10000),"Inactivo"))</f>
        <v/>
      </c>
      <c r="G1084" s="28" t="str">
        <f aca="false">IF(A1084="","",IF(AND(C1084&lt;&gt;"No encontrado",F1084&lt;&gt;"Inactivo"),C1084&amp;" → "&amp;F1084,"Sin transición"))</f>
        <v/>
      </c>
      <c r="H1084" s="26" t="str">
        <f aca="false">IF(A1084="","",IF(D1084="GCIA LINEA SERVICIO DIGITALIDAD Y VENTAS","Chats",IF(OR(D1084="GERENCIA INBOUND LÍNEAS SERVICIO Y VENTA",D1084="GERENCIA INBOUND LINEAS ESPECIALIZADAS"),"Llamadas","Otro")))</f>
        <v/>
      </c>
      <c r="I1084" s="26" t="str">
        <f aca="false">IF(A1084="","",IF(C1084="No encontrado","No","Sí"))</f>
        <v/>
      </c>
      <c r="J1084" s="26" t="str">
        <f aca="false">IF(A1084="","",IF(F1084="Inactivo","No","Sí"))</f>
        <v/>
      </c>
      <c r="K1084" s="26" t="str">
        <f aca="false">IF(A1084="","",IF(AND(I1084="Sí",J1084="Sí"),"Sí","No"))</f>
        <v/>
      </c>
    </row>
    <row r="1085" customFormat="false" ht="15" hidden="false" customHeight="false" outlineLevel="0" collapsed="false">
      <c r="A1085" s="22"/>
      <c r="B1085" s="22"/>
      <c r="C1085" s="23" t="str">
        <f aca="false">IF(A1085="","",IFERROR(buscarx(A1085&amp;B1085,DATA!$E$3:$E$10000&amp;DATA!$B$3:$B$10000,DATA!$M$3:$M$10000),"No encontrado"))</f>
        <v/>
      </c>
      <c r="D1085" s="24" t="str">
        <f aca="false">IF(A1085="","",IFERROR(buscarx(A1085&amp;B1085,DATA!$E$3:$E$10000&amp;DATA!$B$3:$B$10000,DATA!$W$3:$W$10000),"No encontrado"))</f>
        <v/>
      </c>
      <c r="E1085" s="22"/>
      <c r="F1085" s="23" t="str">
        <f aca="false">IF(A1085="","",IFERROR(buscarx(A1085&amp;E1085,DATA!$E$3:$E$10000&amp;DATA!$B$3:$B$10000,DATA!$M$3:$M$10000),"Inactivo"))</f>
        <v/>
      </c>
      <c r="G1085" s="25" t="str">
        <f aca="false">IF(A1085="","",IF(AND(C1085&lt;&gt;"No encontrado",F1085&lt;&gt;"Inactivo"),C1085&amp;" → "&amp;F1085,"Sin transición"))</f>
        <v/>
      </c>
      <c r="H1085" s="23" t="str">
        <f aca="false">IF(A1085="","",IF(D1085="GCIA LINEA SERVICIO DIGITALIDAD Y VENTAS","Chats",IF(OR(D1085="GERENCIA INBOUND LÍNEAS SERVICIO Y VENTA",D1085="GERENCIA INBOUND LINEAS ESPECIALIZADAS"),"Llamadas","Otro")))</f>
        <v/>
      </c>
      <c r="I1085" s="23" t="str">
        <f aca="false">IF(A1085="","",IF(C1085="No encontrado","No","Sí"))</f>
        <v/>
      </c>
      <c r="J1085" s="23" t="str">
        <f aca="false">IF(A1085="","",IF(F1085="Inactivo","No","Sí"))</f>
        <v/>
      </c>
      <c r="K1085" s="23" t="str">
        <f aca="false">IF(A1085="","",IF(AND(I1085="Sí",J1085="Sí"),"Sí","No"))</f>
        <v/>
      </c>
    </row>
    <row r="1086" customFormat="false" ht="15" hidden="false" customHeight="false" outlineLevel="0" collapsed="false">
      <c r="A1086" s="22"/>
      <c r="B1086" s="22"/>
      <c r="C1086" s="26" t="str">
        <f aca="false">IF(A1086="","",IFERROR(buscarx(A1086&amp;B1086,DATA!$E$3:$E$10000&amp;DATA!$B$3:$B$10000,DATA!$M$3:$M$10000),"No encontrado"))</f>
        <v/>
      </c>
      <c r="D1086" s="27" t="str">
        <f aca="false">IF(A1086="","",IFERROR(buscarx(A1086&amp;B1086,DATA!$E$3:$E$10000&amp;DATA!$B$3:$B$10000,DATA!$W$3:$W$10000),"No encontrado"))</f>
        <v/>
      </c>
      <c r="E1086" s="22"/>
      <c r="F1086" s="26" t="str">
        <f aca="false">IF(A1086="","",IFERROR(buscarx(A1086&amp;E1086,DATA!$E$3:$E$10000&amp;DATA!$B$3:$B$10000,DATA!$M$3:$M$10000),"Inactivo"))</f>
        <v/>
      </c>
      <c r="G1086" s="28" t="str">
        <f aca="false">IF(A1086="","",IF(AND(C1086&lt;&gt;"No encontrado",F1086&lt;&gt;"Inactivo"),C1086&amp;" → "&amp;F1086,"Sin transición"))</f>
        <v/>
      </c>
      <c r="H1086" s="26" t="str">
        <f aca="false">IF(A1086="","",IF(D1086="GCIA LINEA SERVICIO DIGITALIDAD Y VENTAS","Chats",IF(OR(D1086="GERENCIA INBOUND LÍNEAS SERVICIO Y VENTA",D1086="GERENCIA INBOUND LINEAS ESPECIALIZADAS"),"Llamadas","Otro")))</f>
        <v/>
      </c>
      <c r="I1086" s="26" t="str">
        <f aca="false">IF(A1086="","",IF(C1086="No encontrado","No","Sí"))</f>
        <v/>
      </c>
      <c r="J1086" s="26" t="str">
        <f aca="false">IF(A1086="","",IF(F1086="Inactivo","No","Sí"))</f>
        <v/>
      </c>
      <c r="K1086" s="26" t="str">
        <f aca="false">IF(A1086="","",IF(AND(I1086="Sí",J1086="Sí"),"Sí","No"))</f>
        <v/>
      </c>
    </row>
    <row r="1087" customFormat="false" ht="15" hidden="false" customHeight="false" outlineLevel="0" collapsed="false">
      <c r="A1087" s="22"/>
      <c r="B1087" s="22"/>
      <c r="C1087" s="23" t="str">
        <f aca="false">IF(A1087="","",IFERROR(buscarx(A1087&amp;B1087,DATA!$E$3:$E$10000&amp;DATA!$B$3:$B$10000,DATA!$M$3:$M$10000),"No encontrado"))</f>
        <v/>
      </c>
      <c r="D1087" s="24" t="str">
        <f aca="false">IF(A1087="","",IFERROR(buscarx(A1087&amp;B1087,DATA!$E$3:$E$10000&amp;DATA!$B$3:$B$10000,DATA!$W$3:$W$10000),"No encontrado"))</f>
        <v/>
      </c>
      <c r="E1087" s="22"/>
      <c r="F1087" s="23" t="str">
        <f aca="false">IF(A1087="","",IFERROR(buscarx(A1087&amp;E1087,DATA!$E$3:$E$10000&amp;DATA!$B$3:$B$10000,DATA!$M$3:$M$10000),"Inactivo"))</f>
        <v/>
      </c>
      <c r="G1087" s="25" t="str">
        <f aca="false">IF(A1087="","",IF(AND(C1087&lt;&gt;"No encontrado",F1087&lt;&gt;"Inactivo"),C1087&amp;" → "&amp;F1087,"Sin transición"))</f>
        <v/>
      </c>
      <c r="H1087" s="23" t="str">
        <f aca="false">IF(A1087="","",IF(D1087="GCIA LINEA SERVICIO DIGITALIDAD Y VENTAS","Chats",IF(OR(D1087="GERENCIA INBOUND LÍNEAS SERVICIO Y VENTA",D1087="GERENCIA INBOUND LINEAS ESPECIALIZADAS"),"Llamadas","Otro")))</f>
        <v/>
      </c>
      <c r="I1087" s="23" t="str">
        <f aca="false">IF(A1087="","",IF(C1087="No encontrado","No","Sí"))</f>
        <v/>
      </c>
      <c r="J1087" s="23" t="str">
        <f aca="false">IF(A1087="","",IF(F1087="Inactivo","No","Sí"))</f>
        <v/>
      </c>
      <c r="K1087" s="23" t="str">
        <f aca="false">IF(A1087="","",IF(AND(I1087="Sí",J1087="Sí"),"Sí","No"))</f>
        <v/>
      </c>
    </row>
    <row r="1088" customFormat="false" ht="15" hidden="false" customHeight="false" outlineLevel="0" collapsed="false">
      <c r="A1088" s="22"/>
      <c r="B1088" s="22"/>
      <c r="C1088" s="26" t="str">
        <f aca="false">IF(A1088="","",IFERROR(buscarx(A1088&amp;B1088,DATA!$E$3:$E$10000&amp;DATA!$B$3:$B$10000,DATA!$M$3:$M$10000),"No encontrado"))</f>
        <v/>
      </c>
      <c r="D1088" s="27" t="str">
        <f aca="false">IF(A1088="","",IFERROR(buscarx(A1088&amp;B1088,DATA!$E$3:$E$10000&amp;DATA!$B$3:$B$10000,DATA!$W$3:$W$10000),"No encontrado"))</f>
        <v/>
      </c>
      <c r="E1088" s="22"/>
      <c r="F1088" s="26" t="str">
        <f aca="false">IF(A1088="","",IFERROR(buscarx(A1088&amp;E1088,DATA!$E$3:$E$10000&amp;DATA!$B$3:$B$10000,DATA!$M$3:$M$10000),"Inactivo"))</f>
        <v/>
      </c>
      <c r="G1088" s="28" t="str">
        <f aca="false">IF(A1088="","",IF(AND(C1088&lt;&gt;"No encontrado",F1088&lt;&gt;"Inactivo"),C1088&amp;" → "&amp;F1088,"Sin transición"))</f>
        <v/>
      </c>
      <c r="H1088" s="26" t="str">
        <f aca="false">IF(A1088="","",IF(D1088="GCIA LINEA SERVICIO DIGITALIDAD Y VENTAS","Chats",IF(OR(D1088="GERENCIA INBOUND LÍNEAS SERVICIO Y VENTA",D1088="GERENCIA INBOUND LINEAS ESPECIALIZADAS"),"Llamadas","Otro")))</f>
        <v/>
      </c>
      <c r="I1088" s="26" t="str">
        <f aca="false">IF(A1088="","",IF(C1088="No encontrado","No","Sí"))</f>
        <v/>
      </c>
      <c r="J1088" s="26" t="str">
        <f aca="false">IF(A1088="","",IF(F1088="Inactivo","No","Sí"))</f>
        <v/>
      </c>
      <c r="K1088" s="26" t="str">
        <f aca="false">IF(A1088="","",IF(AND(I1088="Sí",J1088="Sí"),"Sí","No"))</f>
        <v/>
      </c>
    </row>
    <row r="1089" customFormat="false" ht="15" hidden="false" customHeight="false" outlineLevel="0" collapsed="false">
      <c r="A1089" s="22"/>
      <c r="B1089" s="22"/>
      <c r="C1089" s="23" t="str">
        <f aca="false">IF(A1089="","",IFERROR(buscarx(A1089&amp;B1089,DATA!$E$3:$E$10000&amp;DATA!$B$3:$B$10000,DATA!$M$3:$M$10000),"No encontrado"))</f>
        <v/>
      </c>
      <c r="D1089" s="24" t="str">
        <f aca="false">IF(A1089="","",IFERROR(buscarx(A1089&amp;B1089,DATA!$E$3:$E$10000&amp;DATA!$B$3:$B$10000,DATA!$W$3:$W$10000),"No encontrado"))</f>
        <v/>
      </c>
      <c r="E1089" s="22"/>
      <c r="F1089" s="23" t="str">
        <f aca="false">IF(A1089="","",IFERROR(buscarx(A1089&amp;E1089,DATA!$E$3:$E$10000&amp;DATA!$B$3:$B$10000,DATA!$M$3:$M$10000),"Inactivo"))</f>
        <v/>
      </c>
      <c r="G1089" s="25" t="str">
        <f aca="false">IF(A1089="","",IF(AND(C1089&lt;&gt;"No encontrado",F1089&lt;&gt;"Inactivo"),C1089&amp;" → "&amp;F1089,"Sin transición"))</f>
        <v/>
      </c>
      <c r="H1089" s="23" t="str">
        <f aca="false">IF(A1089="","",IF(D1089="GCIA LINEA SERVICIO DIGITALIDAD Y VENTAS","Chats",IF(OR(D1089="GERENCIA INBOUND LÍNEAS SERVICIO Y VENTA",D1089="GERENCIA INBOUND LINEAS ESPECIALIZADAS"),"Llamadas","Otro")))</f>
        <v/>
      </c>
      <c r="I1089" s="23" t="str">
        <f aca="false">IF(A1089="","",IF(C1089="No encontrado","No","Sí"))</f>
        <v/>
      </c>
      <c r="J1089" s="23" t="str">
        <f aca="false">IF(A1089="","",IF(F1089="Inactivo","No","Sí"))</f>
        <v/>
      </c>
      <c r="K1089" s="23" t="str">
        <f aca="false">IF(A1089="","",IF(AND(I1089="Sí",J1089="Sí"),"Sí","No"))</f>
        <v/>
      </c>
    </row>
    <row r="1090" customFormat="false" ht="15" hidden="false" customHeight="false" outlineLevel="0" collapsed="false">
      <c r="A1090" s="22"/>
      <c r="B1090" s="22"/>
      <c r="C1090" s="26" t="str">
        <f aca="false">IF(A1090="","",IFERROR(buscarx(A1090&amp;B1090,DATA!$E$3:$E$10000&amp;DATA!$B$3:$B$10000,DATA!$M$3:$M$10000),"No encontrado"))</f>
        <v/>
      </c>
      <c r="D1090" s="27" t="str">
        <f aca="false">IF(A1090="","",IFERROR(buscarx(A1090&amp;B1090,DATA!$E$3:$E$10000&amp;DATA!$B$3:$B$10000,DATA!$W$3:$W$10000),"No encontrado"))</f>
        <v/>
      </c>
      <c r="E1090" s="22"/>
      <c r="F1090" s="26" t="str">
        <f aca="false">IF(A1090="","",IFERROR(buscarx(A1090&amp;E1090,DATA!$E$3:$E$10000&amp;DATA!$B$3:$B$10000,DATA!$M$3:$M$10000),"Inactivo"))</f>
        <v/>
      </c>
      <c r="G1090" s="28" t="str">
        <f aca="false">IF(A1090="","",IF(AND(C1090&lt;&gt;"No encontrado",F1090&lt;&gt;"Inactivo"),C1090&amp;" → "&amp;F1090,"Sin transición"))</f>
        <v/>
      </c>
      <c r="H1090" s="26" t="str">
        <f aca="false">IF(A1090="","",IF(D1090="GCIA LINEA SERVICIO DIGITALIDAD Y VENTAS","Chats",IF(OR(D1090="GERENCIA INBOUND LÍNEAS SERVICIO Y VENTA",D1090="GERENCIA INBOUND LINEAS ESPECIALIZADAS"),"Llamadas","Otro")))</f>
        <v/>
      </c>
      <c r="I1090" s="26" t="str">
        <f aca="false">IF(A1090="","",IF(C1090="No encontrado","No","Sí"))</f>
        <v/>
      </c>
      <c r="J1090" s="26" t="str">
        <f aca="false">IF(A1090="","",IF(F1090="Inactivo","No","Sí"))</f>
        <v/>
      </c>
      <c r="K1090" s="26" t="str">
        <f aca="false">IF(A1090="","",IF(AND(I1090="Sí",J1090="Sí"),"Sí","No"))</f>
        <v/>
      </c>
    </row>
    <row r="1091" customFormat="false" ht="15" hidden="false" customHeight="false" outlineLevel="0" collapsed="false">
      <c r="A1091" s="22"/>
      <c r="B1091" s="22"/>
      <c r="C1091" s="23" t="str">
        <f aca="false">IF(A1091="","",IFERROR(buscarx(A1091&amp;B1091,DATA!$E$3:$E$10000&amp;DATA!$B$3:$B$10000,DATA!$M$3:$M$10000),"No encontrado"))</f>
        <v/>
      </c>
      <c r="D1091" s="24" t="str">
        <f aca="false">IF(A1091="","",IFERROR(buscarx(A1091&amp;B1091,DATA!$E$3:$E$10000&amp;DATA!$B$3:$B$10000,DATA!$W$3:$W$10000),"No encontrado"))</f>
        <v/>
      </c>
      <c r="E1091" s="22"/>
      <c r="F1091" s="23" t="str">
        <f aca="false">IF(A1091="","",IFERROR(buscarx(A1091&amp;E1091,DATA!$E$3:$E$10000&amp;DATA!$B$3:$B$10000,DATA!$M$3:$M$10000),"Inactivo"))</f>
        <v/>
      </c>
      <c r="G1091" s="25" t="str">
        <f aca="false">IF(A1091="","",IF(AND(C1091&lt;&gt;"No encontrado",F1091&lt;&gt;"Inactivo"),C1091&amp;" → "&amp;F1091,"Sin transición"))</f>
        <v/>
      </c>
      <c r="H1091" s="23" t="str">
        <f aca="false">IF(A1091="","",IF(D1091="GCIA LINEA SERVICIO DIGITALIDAD Y VENTAS","Chats",IF(OR(D1091="GERENCIA INBOUND LÍNEAS SERVICIO Y VENTA",D1091="GERENCIA INBOUND LINEAS ESPECIALIZADAS"),"Llamadas","Otro")))</f>
        <v/>
      </c>
      <c r="I1091" s="23" t="str">
        <f aca="false">IF(A1091="","",IF(C1091="No encontrado","No","Sí"))</f>
        <v/>
      </c>
      <c r="J1091" s="23" t="str">
        <f aca="false">IF(A1091="","",IF(F1091="Inactivo","No","Sí"))</f>
        <v/>
      </c>
      <c r="K1091" s="23" t="str">
        <f aca="false">IF(A1091="","",IF(AND(I1091="Sí",J1091="Sí"),"Sí","No"))</f>
        <v/>
      </c>
    </row>
    <row r="1092" customFormat="false" ht="15" hidden="false" customHeight="false" outlineLevel="0" collapsed="false">
      <c r="A1092" s="22"/>
      <c r="B1092" s="22"/>
      <c r="C1092" s="26" t="str">
        <f aca="false">IF(A1092="","",IFERROR(buscarx(A1092&amp;B1092,DATA!$E$3:$E$10000&amp;DATA!$B$3:$B$10000,DATA!$M$3:$M$10000),"No encontrado"))</f>
        <v/>
      </c>
      <c r="D1092" s="27" t="str">
        <f aca="false">IF(A1092="","",IFERROR(buscarx(A1092&amp;B1092,DATA!$E$3:$E$10000&amp;DATA!$B$3:$B$10000,DATA!$W$3:$W$10000),"No encontrado"))</f>
        <v/>
      </c>
      <c r="E1092" s="22"/>
      <c r="F1092" s="26" t="str">
        <f aca="false">IF(A1092="","",IFERROR(buscarx(A1092&amp;E1092,DATA!$E$3:$E$10000&amp;DATA!$B$3:$B$10000,DATA!$M$3:$M$10000),"Inactivo"))</f>
        <v/>
      </c>
      <c r="G1092" s="28" t="str">
        <f aca="false">IF(A1092="","",IF(AND(C1092&lt;&gt;"No encontrado",F1092&lt;&gt;"Inactivo"),C1092&amp;" → "&amp;F1092,"Sin transición"))</f>
        <v/>
      </c>
      <c r="H1092" s="26" t="str">
        <f aca="false">IF(A1092="","",IF(D1092="GCIA LINEA SERVICIO DIGITALIDAD Y VENTAS","Chats",IF(OR(D1092="GERENCIA INBOUND LÍNEAS SERVICIO Y VENTA",D1092="GERENCIA INBOUND LINEAS ESPECIALIZADAS"),"Llamadas","Otro")))</f>
        <v/>
      </c>
      <c r="I1092" s="26" t="str">
        <f aca="false">IF(A1092="","",IF(C1092="No encontrado","No","Sí"))</f>
        <v/>
      </c>
      <c r="J1092" s="26" t="str">
        <f aca="false">IF(A1092="","",IF(F1092="Inactivo","No","Sí"))</f>
        <v/>
      </c>
      <c r="K1092" s="26" t="str">
        <f aca="false">IF(A1092="","",IF(AND(I1092="Sí",J1092="Sí"),"Sí","No"))</f>
        <v/>
      </c>
    </row>
    <row r="1093" customFormat="false" ht="15" hidden="false" customHeight="false" outlineLevel="0" collapsed="false">
      <c r="A1093" s="22"/>
      <c r="B1093" s="22"/>
      <c r="C1093" s="23" t="str">
        <f aca="false">IF(A1093="","",IFERROR(buscarx(A1093&amp;B1093,DATA!$E$3:$E$10000&amp;DATA!$B$3:$B$10000,DATA!$M$3:$M$10000),"No encontrado"))</f>
        <v/>
      </c>
      <c r="D1093" s="24" t="str">
        <f aca="false">IF(A1093="","",IFERROR(buscarx(A1093&amp;B1093,DATA!$E$3:$E$10000&amp;DATA!$B$3:$B$10000,DATA!$W$3:$W$10000),"No encontrado"))</f>
        <v/>
      </c>
      <c r="E1093" s="22"/>
      <c r="F1093" s="23" t="str">
        <f aca="false">IF(A1093="","",IFERROR(buscarx(A1093&amp;E1093,DATA!$E$3:$E$10000&amp;DATA!$B$3:$B$10000,DATA!$M$3:$M$10000),"Inactivo"))</f>
        <v/>
      </c>
      <c r="G1093" s="25" t="str">
        <f aca="false">IF(A1093="","",IF(AND(C1093&lt;&gt;"No encontrado",F1093&lt;&gt;"Inactivo"),C1093&amp;" → "&amp;F1093,"Sin transición"))</f>
        <v/>
      </c>
      <c r="H1093" s="23" t="str">
        <f aca="false">IF(A1093="","",IF(D1093="GCIA LINEA SERVICIO DIGITALIDAD Y VENTAS","Chats",IF(OR(D1093="GERENCIA INBOUND LÍNEAS SERVICIO Y VENTA",D1093="GERENCIA INBOUND LINEAS ESPECIALIZADAS"),"Llamadas","Otro")))</f>
        <v/>
      </c>
      <c r="I1093" s="23" t="str">
        <f aca="false">IF(A1093="","",IF(C1093="No encontrado","No","Sí"))</f>
        <v/>
      </c>
      <c r="J1093" s="23" t="str">
        <f aca="false">IF(A1093="","",IF(F1093="Inactivo","No","Sí"))</f>
        <v/>
      </c>
      <c r="K1093" s="23" t="str">
        <f aca="false">IF(A1093="","",IF(AND(I1093="Sí",J1093="Sí"),"Sí","No"))</f>
        <v/>
      </c>
    </row>
    <row r="1094" customFormat="false" ht="15" hidden="false" customHeight="false" outlineLevel="0" collapsed="false">
      <c r="A1094" s="22"/>
      <c r="B1094" s="22"/>
      <c r="C1094" s="26" t="str">
        <f aca="false">IF(A1094="","",IFERROR(buscarx(A1094&amp;B1094,DATA!$E$3:$E$10000&amp;DATA!$B$3:$B$10000,DATA!$M$3:$M$10000),"No encontrado"))</f>
        <v/>
      </c>
      <c r="D1094" s="27" t="str">
        <f aca="false">IF(A1094="","",IFERROR(buscarx(A1094&amp;B1094,DATA!$E$3:$E$10000&amp;DATA!$B$3:$B$10000,DATA!$W$3:$W$10000),"No encontrado"))</f>
        <v/>
      </c>
      <c r="E1094" s="22"/>
      <c r="F1094" s="26" t="str">
        <f aca="false">IF(A1094="","",IFERROR(buscarx(A1094&amp;E1094,DATA!$E$3:$E$10000&amp;DATA!$B$3:$B$10000,DATA!$M$3:$M$10000),"Inactivo"))</f>
        <v/>
      </c>
      <c r="G1094" s="28" t="str">
        <f aca="false">IF(A1094="","",IF(AND(C1094&lt;&gt;"No encontrado",F1094&lt;&gt;"Inactivo"),C1094&amp;" → "&amp;F1094,"Sin transición"))</f>
        <v/>
      </c>
      <c r="H1094" s="26" t="str">
        <f aca="false">IF(A1094="","",IF(D1094="GCIA LINEA SERVICIO DIGITALIDAD Y VENTAS","Chats",IF(OR(D1094="GERENCIA INBOUND LÍNEAS SERVICIO Y VENTA",D1094="GERENCIA INBOUND LINEAS ESPECIALIZADAS"),"Llamadas","Otro")))</f>
        <v/>
      </c>
      <c r="I1094" s="26" t="str">
        <f aca="false">IF(A1094="","",IF(C1094="No encontrado","No","Sí"))</f>
        <v/>
      </c>
      <c r="J1094" s="26" t="str">
        <f aca="false">IF(A1094="","",IF(F1094="Inactivo","No","Sí"))</f>
        <v/>
      </c>
      <c r="K1094" s="26" t="str">
        <f aca="false">IF(A1094="","",IF(AND(I1094="Sí",J1094="Sí"),"Sí","No"))</f>
        <v/>
      </c>
    </row>
    <row r="1095" customFormat="false" ht="15" hidden="false" customHeight="false" outlineLevel="0" collapsed="false">
      <c r="A1095" s="22"/>
      <c r="B1095" s="22"/>
      <c r="C1095" s="23" t="str">
        <f aca="false">IF(A1095="","",IFERROR(buscarx(A1095&amp;B1095,DATA!$E$3:$E$10000&amp;DATA!$B$3:$B$10000,DATA!$M$3:$M$10000),"No encontrado"))</f>
        <v/>
      </c>
      <c r="D1095" s="24" t="str">
        <f aca="false">IF(A1095="","",IFERROR(buscarx(A1095&amp;B1095,DATA!$E$3:$E$10000&amp;DATA!$B$3:$B$10000,DATA!$W$3:$W$10000),"No encontrado"))</f>
        <v/>
      </c>
      <c r="E1095" s="22"/>
      <c r="F1095" s="23" t="str">
        <f aca="false">IF(A1095="","",IFERROR(buscarx(A1095&amp;E1095,DATA!$E$3:$E$10000&amp;DATA!$B$3:$B$10000,DATA!$M$3:$M$10000),"Inactivo"))</f>
        <v/>
      </c>
      <c r="G1095" s="25" t="str">
        <f aca="false">IF(A1095="","",IF(AND(C1095&lt;&gt;"No encontrado",F1095&lt;&gt;"Inactivo"),C1095&amp;" → "&amp;F1095,"Sin transición"))</f>
        <v/>
      </c>
      <c r="H1095" s="23" t="str">
        <f aca="false">IF(A1095="","",IF(D1095="GCIA LINEA SERVICIO DIGITALIDAD Y VENTAS","Chats",IF(OR(D1095="GERENCIA INBOUND LÍNEAS SERVICIO Y VENTA",D1095="GERENCIA INBOUND LINEAS ESPECIALIZADAS"),"Llamadas","Otro")))</f>
        <v/>
      </c>
      <c r="I1095" s="23" t="str">
        <f aca="false">IF(A1095="","",IF(C1095="No encontrado","No","Sí"))</f>
        <v/>
      </c>
      <c r="J1095" s="23" t="str">
        <f aca="false">IF(A1095="","",IF(F1095="Inactivo","No","Sí"))</f>
        <v/>
      </c>
      <c r="K1095" s="23" t="str">
        <f aca="false">IF(A1095="","",IF(AND(I1095="Sí",J1095="Sí"),"Sí","No"))</f>
        <v/>
      </c>
    </row>
    <row r="1096" customFormat="false" ht="15" hidden="false" customHeight="false" outlineLevel="0" collapsed="false">
      <c r="A1096" s="22"/>
      <c r="B1096" s="22"/>
      <c r="C1096" s="26" t="str">
        <f aca="false">IF(A1096="","",IFERROR(buscarx(A1096&amp;B1096,DATA!$E$3:$E$10000&amp;DATA!$B$3:$B$10000,DATA!$M$3:$M$10000),"No encontrado"))</f>
        <v/>
      </c>
      <c r="D1096" s="27" t="str">
        <f aca="false">IF(A1096="","",IFERROR(buscarx(A1096&amp;B1096,DATA!$E$3:$E$10000&amp;DATA!$B$3:$B$10000,DATA!$W$3:$W$10000),"No encontrado"))</f>
        <v/>
      </c>
      <c r="E1096" s="22"/>
      <c r="F1096" s="26" t="str">
        <f aca="false">IF(A1096="","",IFERROR(buscarx(A1096&amp;E1096,DATA!$E$3:$E$10000&amp;DATA!$B$3:$B$10000,DATA!$M$3:$M$10000),"Inactivo"))</f>
        <v/>
      </c>
      <c r="G1096" s="28" t="str">
        <f aca="false">IF(A1096="","",IF(AND(C1096&lt;&gt;"No encontrado",F1096&lt;&gt;"Inactivo"),C1096&amp;" → "&amp;F1096,"Sin transición"))</f>
        <v/>
      </c>
      <c r="H1096" s="26" t="str">
        <f aca="false">IF(A1096="","",IF(D1096="GCIA LINEA SERVICIO DIGITALIDAD Y VENTAS","Chats",IF(OR(D1096="GERENCIA INBOUND LÍNEAS SERVICIO Y VENTA",D1096="GERENCIA INBOUND LINEAS ESPECIALIZADAS"),"Llamadas","Otro")))</f>
        <v/>
      </c>
      <c r="I1096" s="26" t="str">
        <f aca="false">IF(A1096="","",IF(C1096="No encontrado","No","Sí"))</f>
        <v/>
      </c>
      <c r="J1096" s="26" t="str">
        <f aca="false">IF(A1096="","",IF(F1096="Inactivo","No","Sí"))</f>
        <v/>
      </c>
      <c r="K1096" s="26" t="str">
        <f aca="false">IF(A1096="","",IF(AND(I1096="Sí",J1096="Sí"),"Sí","No"))</f>
        <v/>
      </c>
    </row>
    <row r="1097" customFormat="false" ht="15" hidden="false" customHeight="false" outlineLevel="0" collapsed="false">
      <c r="A1097" s="22"/>
      <c r="B1097" s="22"/>
      <c r="C1097" s="23" t="str">
        <f aca="false">IF(A1097="","",IFERROR(buscarx(A1097&amp;B1097,DATA!$E$3:$E$10000&amp;DATA!$B$3:$B$10000,DATA!$M$3:$M$10000),"No encontrado"))</f>
        <v/>
      </c>
      <c r="D1097" s="24" t="str">
        <f aca="false">IF(A1097="","",IFERROR(buscarx(A1097&amp;B1097,DATA!$E$3:$E$10000&amp;DATA!$B$3:$B$10000,DATA!$W$3:$W$10000),"No encontrado"))</f>
        <v/>
      </c>
      <c r="E1097" s="22"/>
      <c r="F1097" s="23" t="str">
        <f aca="false">IF(A1097="","",IFERROR(buscarx(A1097&amp;E1097,DATA!$E$3:$E$10000&amp;DATA!$B$3:$B$10000,DATA!$M$3:$M$10000),"Inactivo"))</f>
        <v/>
      </c>
      <c r="G1097" s="25" t="str">
        <f aca="false">IF(A1097="","",IF(AND(C1097&lt;&gt;"No encontrado",F1097&lt;&gt;"Inactivo"),C1097&amp;" → "&amp;F1097,"Sin transición"))</f>
        <v/>
      </c>
      <c r="H1097" s="23" t="str">
        <f aca="false">IF(A1097="","",IF(D1097="GCIA LINEA SERVICIO DIGITALIDAD Y VENTAS","Chats",IF(OR(D1097="GERENCIA INBOUND LÍNEAS SERVICIO Y VENTA",D1097="GERENCIA INBOUND LINEAS ESPECIALIZADAS"),"Llamadas","Otro")))</f>
        <v/>
      </c>
      <c r="I1097" s="23" t="str">
        <f aca="false">IF(A1097="","",IF(C1097="No encontrado","No","Sí"))</f>
        <v/>
      </c>
      <c r="J1097" s="23" t="str">
        <f aca="false">IF(A1097="","",IF(F1097="Inactivo","No","Sí"))</f>
        <v/>
      </c>
      <c r="K1097" s="23" t="str">
        <f aca="false">IF(A1097="","",IF(AND(I1097="Sí",J1097="Sí"),"Sí","No"))</f>
        <v/>
      </c>
    </row>
    <row r="1098" customFormat="false" ht="15" hidden="false" customHeight="false" outlineLevel="0" collapsed="false">
      <c r="A1098" s="22"/>
      <c r="B1098" s="22"/>
      <c r="C1098" s="26" t="str">
        <f aca="false">IF(A1098="","",IFERROR(buscarx(A1098&amp;B1098,DATA!$E$3:$E$10000&amp;DATA!$B$3:$B$10000,DATA!$M$3:$M$10000),"No encontrado"))</f>
        <v/>
      </c>
      <c r="D1098" s="27" t="str">
        <f aca="false">IF(A1098="","",IFERROR(buscarx(A1098&amp;B1098,DATA!$E$3:$E$10000&amp;DATA!$B$3:$B$10000,DATA!$W$3:$W$10000),"No encontrado"))</f>
        <v/>
      </c>
      <c r="E1098" s="22"/>
      <c r="F1098" s="26" t="str">
        <f aca="false">IF(A1098="","",IFERROR(buscarx(A1098&amp;E1098,DATA!$E$3:$E$10000&amp;DATA!$B$3:$B$10000,DATA!$M$3:$M$10000),"Inactivo"))</f>
        <v/>
      </c>
      <c r="G1098" s="28" t="str">
        <f aca="false">IF(A1098="","",IF(AND(C1098&lt;&gt;"No encontrado",F1098&lt;&gt;"Inactivo"),C1098&amp;" → "&amp;F1098,"Sin transición"))</f>
        <v/>
      </c>
      <c r="H1098" s="26" t="str">
        <f aca="false">IF(A1098="","",IF(D1098="GCIA LINEA SERVICIO DIGITALIDAD Y VENTAS","Chats",IF(OR(D1098="GERENCIA INBOUND LÍNEAS SERVICIO Y VENTA",D1098="GERENCIA INBOUND LINEAS ESPECIALIZADAS"),"Llamadas","Otro")))</f>
        <v/>
      </c>
      <c r="I1098" s="26" t="str">
        <f aca="false">IF(A1098="","",IF(C1098="No encontrado","No","Sí"))</f>
        <v/>
      </c>
      <c r="J1098" s="26" t="str">
        <f aca="false">IF(A1098="","",IF(F1098="Inactivo","No","Sí"))</f>
        <v/>
      </c>
      <c r="K1098" s="26" t="str">
        <f aca="false">IF(A1098="","",IF(AND(I1098="Sí",J1098="Sí"),"Sí","No"))</f>
        <v/>
      </c>
    </row>
    <row r="1099" customFormat="false" ht="15" hidden="false" customHeight="false" outlineLevel="0" collapsed="false">
      <c r="A1099" s="22"/>
      <c r="B1099" s="22"/>
      <c r="C1099" s="23" t="str">
        <f aca="false">IF(A1099="","",IFERROR(buscarx(A1099&amp;B1099,DATA!$E$3:$E$10000&amp;DATA!$B$3:$B$10000,DATA!$M$3:$M$10000),"No encontrado"))</f>
        <v/>
      </c>
      <c r="D1099" s="24" t="str">
        <f aca="false">IF(A1099="","",IFERROR(buscarx(A1099&amp;B1099,DATA!$E$3:$E$10000&amp;DATA!$B$3:$B$10000,DATA!$W$3:$W$10000),"No encontrado"))</f>
        <v/>
      </c>
      <c r="E1099" s="22"/>
      <c r="F1099" s="23" t="str">
        <f aca="false">IF(A1099="","",IFERROR(buscarx(A1099&amp;E1099,DATA!$E$3:$E$10000&amp;DATA!$B$3:$B$10000,DATA!$M$3:$M$10000),"Inactivo"))</f>
        <v/>
      </c>
      <c r="G1099" s="25" t="str">
        <f aca="false">IF(A1099="","",IF(AND(C1099&lt;&gt;"No encontrado",F1099&lt;&gt;"Inactivo"),C1099&amp;" → "&amp;F1099,"Sin transición"))</f>
        <v/>
      </c>
      <c r="H1099" s="23" t="str">
        <f aca="false">IF(A1099="","",IF(D1099="GCIA LINEA SERVICIO DIGITALIDAD Y VENTAS","Chats",IF(OR(D1099="GERENCIA INBOUND LÍNEAS SERVICIO Y VENTA",D1099="GERENCIA INBOUND LINEAS ESPECIALIZADAS"),"Llamadas","Otro")))</f>
        <v/>
      </c>
      <c r="I1099" s="23" t="str">
        <f aca="false">IF(A1099="","",IF(C1099="No encontrado","No","Sí"))</f>
        <v/>
      </c>
      <c r="J1099" s="23" t="str">
        <f aca="false">IF(A1099="","",IF(F1099="Inactivo","No","Sí"))</f>
        <v/>
      </c>
      <c r="K1099" s="23" t="str">
        <f aca="false">IF(A1099="","",IF(AND(I1099="Sí",J1099="Sí"),"Sí","No"))</f>
        <v/>
      </c>
    </row>
    <row r="1100" customFormat="false" ht="15" hidden="false" customHeight="false" outlineLevel="0" collapsed="false">
      <c r="A1100" s="22"/>
      <c r="B1100" s="22"/>
      <c r="C1100" s="26" t="str">
        <f aca="false">IF(A1100="","",IFERROR(buscarx(A1100&amp;B1100,DATA!$E$3:$E$10000&amp;DATA!$B$3:$B$10000,DATA!$M$3:$M$10000),"No encontrado"))</f>
        <v/>
      </c>
      <c r="D1100" s="27" t="str">
        <f aca="false">IF(A1100="","",IFERROR(buscarx(A1100&amp;B1100,DATA!$E$3:$E$10000&amp;DATA!$B$3:$B$10000,DATA!$W$3:$W$10000),"No encontrado"))</f>
        <v/>
      </c>
      <c r="E1100" s="22"/>
      <c r="F1100" s="26" t="str">
        <f aca="false">IF(A1100="","",IFERROR(buscarx(A1100&amp;E1100,DATA!$E$3:$E$10000&amp;DATA!$B$3:$B$10000,DATA!$M$3:$M$10000),"Inactivo"))</f>
        <v/>
      </c>
      <c r="G1100" s="28" t="str">
        <f aca="false">IF(A1100="","",IF(AND(C1100&lt;&gt;"No encontrado",F1100&lt;&gt;"Inactivo"),C1100&amp;" → "&amp;F1100,"Sin transición"))</f>
        <v/>
      </c>
      <c r="H1100" s="26" t="str">
        <f aca="false">IF(A1100="","",IF(D1100="GCIA LINEA SERVICIO DIGITALIDAD Y VENTAS","Chats",IF(OR(D1100="GERENCIA INBOUND LÍNEAS SERVICIO Y VENTA",D1100="GERENCIA INBOUND LINEAS ESPECIALIZADAS"),"Llamadas","Otro")))</f>
        <v/>
      </c>
      <c r="I1100" s="26" t="str">
        <f aca="false">IF(A1100="","",IF(C1100="No encontrado","No","Sí"))</f>
        <v/>
      </c>
      <c r="J1100" s="26" t="str">
        <f aca="false">IF(A1100="","",IF(F1100="Inactivo","No","Sí"))</f>
        <v/>
      </c>
      <c r="K1100" s="26" t="str">
        <f aca="false">IF(A1100="","",IF(AND(I1100="Sí",J1100="Sí"),"Sí","No"))</f>
        <v/>
      </c>
    </row>
    <row r="1101" customFormat="false" ht="15" hidden="false" customHeight="false" outlineLevel="0" collapsed="false">
      <c r="A1101" s="22"/>
      <c r="B1101" s="22"/>
      <c r="C1101" s="23" t="str">
        <f aca="false">IF(A1101="","",IFERROR(buscarx(A1101&amp;B1101,DATA!$E$3:$E$10000&amp;DATA!$B$3:$B$10000,DATA!$M$3:$M$10000),"No encontrado"))</f>
        <v/>
      </c>
      <c r="D1101" s="24" t="str">
        <f aca="false">IF(A1101="","",IFERROR(buscarx(A1101&amp;B1101,DATA!$E$3:$E$10000&amp;DATA!$B$3:$B$10000,DATA!$W$3:$W$10000),"No encontrado"))</f>
        <v/>
      </c>
      <c r="E1101" s="22"/>
      <c r="F1101" s="23" t="str">
        <f aca="false">IF(A1101="","",IFERROR(buscarx(A1101&amp;E1101,DATA!$E$3:$E$10000&amp;DATA!$B$3:$B$10000,DATA!$M$3:$M$10000),"Inactivo"))</f>
        <v/>
      </c>
      <c r="G1101" s="25" t="str">
        <f aca="false">IF(A1101="","",IF(AND(C1101&lt;&gt;"No encontrado",F1101&lt;&gt;"Inactivo"),C1101&amp;" → "&amp;F1101,"Sin transición"))</f>
        <v/>
      </c>
      <c r="H1101" s="23" t="str">
        <f aca="false">IF(A1101="","",IF(D1101="GCIA LINEA SERVICIO DIGITALIDAD Y VENTAS","Chats",IF(OR(D1101="GERENCIA INBOUND LÍNEAS SERVICIO Y VENTA",D1101="GERENCIA INBOUND LINEAS ESPECIALIZADAS"),"Llamadas","Otro")))</f>
        <v/>
      </c>
      <c r="I1101" s="23" t="str">
        <f aca="false">IF(A1101="","",IF(C1101="No encontrado","No","Sí"))</f>
        <v/>
      </c>
      <c r="J1101" s="23" t="str">
        <f aca="false">IF(A1101="","",IF(F1101="Inactivo","No","Sí"))</f>
        <v/>
      </c>
      <c r="K1101" s="23" t="str">
        <f aca="false">IF(A1101="","",IF(AND(I1101="Sí",J1101="Sí"),"Sí","No"))</f>
        <v/>
      </c>
    </row>
    <row r="1102" customFormat="false" ht="15" hidden="false" customHeight="false" outlineLevel="0" collapsed="false">
      <c r="A1102" s="22"/>
      <c r="B1102" s="22"/>
      <c r="C1102" s="26" t="str">
        <f aca="false">IF(A1102="","",IFERROR(buscarx(A1102&amp;B1102,DATA!$E$3:$E$10000&amp;DATA!$B$3:$B$10000,DATA!$M$3:$M$10000),"No encontrado"))</f>
        <v/>
      </c>
      <c r="D1102" s="27" t="str">
        <f aca="false">IF(A1102="","",IFERROR(buscarx(A1102&amp;B1102,DATA!$E$3:$E$10000&amp;DATA!$B$3:$B$10000,DATA!$W$3:$W$10000),"No encontrado"))</f>
        <v/>
      </c>
      <c r="E1102" s="22"/>
      <c r="F1102" s="26" t="str">
        <f aca="false">IF(A1102="","",IFERROR(buscarx(A1102&amp;E1102,DATA!$E$3:$E$10000&amp;DATA!$B$3:$B$10000,DATA!$M$3:$M$10000),"Inactivo"))</f>
        <v/>
      </c>
      <c r="G1102" s="28" t="str">
        <f aca="false">IF(A1102="","",IF(AND(C1102&lt;&gt;"No encontrado",F1102&lt;&gt;"Inactivo"),C1102&amp;" → "&amp;F1102,"Sin transición"))</f>
        <v/>
      </c>
      <c r="H1102" s="26" t="str">
        <f aca="false">IF(A1102="","",IF(D1102="GCIA LINEA SERVICIO DIGITALIDAD Y VENTAS","Chats",IF(OR(D1102="GERENCIA INBOUND LÍNEAS SERVICIO Y VENTA",D1102="GERENCIA INBOUND LINEAS ESPECIALIZADAS"),"Llamadas","Otro")))</f>
        <v/>
      </c>
      <c r="I1102" s="26" t="str">
        <f aca="false">IF(A1102="","",IF(C1102="No encontrado","No","Sí"))</f>
        <v/>
      </c>
      <c r="J1102" s="26" t="str">
        <f aca="false">IF(A1102="","",IF(F1102="Inactivo","No","Sí"))</f>
        <v/>
      </c>
      <c r="K1102" s="26" t="str">
        <f aca="false">IF(A1102="","",IF(AND(I1102="Sí",J1102="Sí"),"Sí","No"))</f>
        <v/>
      </c>
    </row>
    <row r="1103" customFormat="false" ht="15" hidden="false" customHeight="false" outlineLevel="0" collapsed="false">
      <c r="A1103" s="22"/>
      <c r="B1103" s="22"/>
      <c r="C1103" s="23" t="str">
        <f aca="false">IF(A1103="","",IFERROR(buscarx(A1103&amp;B1103,DATA!$E$3:$E$10000&amp;DATA!$B$3:$B$10000,DATA!$M$3:$M$10000),"No encontrado"))</f>
        <v/>
      </c>
      <c r="D1103" s="24" t="str">
        <f aca="false">IF(A1103="","",IFERROR(buscarx(A1103&amp;B1103,DATA!$E$3:$E$10000&amp;DATA!$B$3:$B$10000,DATA!$W$3:$W$10000),"No encontrado"))</f>
        <v/>
      </c>
      <c r="E1103" s="22"/>
      <c r="F1103" s="23" t="str">
        <f aca="false">IF(A1103="","",IFERROR(buscarx(A1103&amp;E1103,DATA!$E$3:$E$10000&amp;DATA!$B$3:$B$10000,DATA!$M$3:$M$10000),"Inactivo"))</f>
        <v/>
      </c>
      <c r="G1103" s="25" t="str">
        <f aca="false">IF(A1103="","",IF(AND(C1103&lt;&gt;"No encontrado",F1103&lt;&gt;"Inactivo"),C1103&amp;" → "&amp;F1103,"Sin transición"))</f>
        <v/>
      </c>
      <c r="H1103" s="23" t="str">
        <f aca="false">IF(A1103="","",IF(D1103="GCIA LINEA SERVICIO DIGITALIDAD Y VENTAS","Chats",IF(OR(D1103="GERENCIA INBOUND LÍNEAS SERVICIO Y VENTA",D1103="GERENCIA INBOUND LINEAS ESPECIALIZADAS"),"Llamadas","Otro")))</f>
        <v/>
      </c>
      <c r="I1103" s="23" t="str">
        <f aca="false">IF(A1103="","",IF(C1103="No encontrado","No","Sí"))</f>
        <v/>
      </c>
      <c r="J1103" s="23" t="str">
        <f aca="false">IF(A1103="","",IF(F1103="Inactivo","No","Sí"))</f>
        <v/>
      </c>
      <c r="K1103" s="23" t="str">
        <f aca="false">IF(A1103="","",IF(AND(I1103="Sí",J1103="Sí"),"Sí","No"))</f>
        <v/>
      </c>
    </row>
    <row r="1104" customFormat="false" ht="15" hidden="false" customHeight="false" outlineLevel="0" collapsed="false">
      <c r="A1104" s="22"/>
      <c r="B1104" s="22"/>
      <c r="C1104" s="26" t="str">
        <f aca="false">IF(A1104="","",IFERROR(buscarx(A1104&amp;B1104,DATA!$E$3:$E$10000&amp;DATA!$B$3:$B$10000,DATA!$M$3:$M$10000),"No encontrado"))</f>
        <v/>
      </c>
      <c r="D1104" s="27" t="str">
        <f aca="false">IF(A1104="","",IFERROR(buscarx(A1104&amp;B1104,DATA!$E$3:$E$10000&amp;DATA!$B$3:$B$10000,DATA!$W$3:$W$10000),"No encontrado"))</f>
        <v/>
      </c>
      <c r="E1104" s="22"/>
      <c r="F1104" s="26" t="str">
        <f aca="false">IF(A1104="","",IFERROR(buscarx(A1104&amp;E1104,DATA!$E$3:$E$10000&amp;DATA!$B$3:$B$10000,DATA!$M$3:$M$10000),"Inactivo"))</f>
        <v/>
      </c>
      <c r="G1104" s="28" t="str">
        <f aca="false">IF(A1104="","",IF(AND(C1104&lt;&gt;"No encontrado",F1104&lt;&gt;"Inactivo"),C1104&amp;" → "&amp;F1104,"Sin transición"))</f>
        <v/>
      </c>
      <c r="H1104" s="26" t="str">
        <f aca="false">IF(A1104="","",IF(D1104="GCIA LINEA SERVICIO DIGITALIDAD Y VENTAS","Chats",IF(OR(D1104="GERENCIA INBOUND LÍNEAS SERVICIO Y VENTA",D1104="GERENCIA INBOUND LINEAS ESPECIALIZADAS"),"Llamadas","Otro")))</f>
        <v/>
      </c>
      <c r="I1104" s="26" t="str">
        <f aca="false">IF(A1104="","",IF(C1104="No encontrado","No","Sí"))</f>
        <v/>
      </c>
      <c r="J1104" s="26" t="str">
        <f aca="false">IF(A1104="","",IF(F1104="Inactivo","No","Sí"))</f>
        <v/>
      </c>
      <c r="K1104" s="26" t="str">
        <f aca="false">IF(A1104="","",IF(AND(I1104="Sí",J1104="Sí"),"Sí","No"))</f>
        <v/>
      </c>
    </row>
    <row r="1105" customFormat="false" ht="15" hidden="false" customHeight="false" outlineLevel="0" collapsed="false">
      <c r="A1105" s="22"/>
      <c r="B1105" s="22"/>
      <c r="C1105" s="23" t="str">
        <f aca="false">IF(A1105="","",IFERROR(buscarx(A1105&amp;B1105,DATA!$E$3:$E$10000&amp;DATA!$B$3:$B$10000,DATA!$M$3:$M$10000),"No encontrado"))</f>
        <v/>
      </c>
      <c r="D1105" s="24" t="str">
        <f aca="false">IF(A1105="","",IFERROR(buscarx(A1105&amp;B1105,DATA!$E$3:$E$10000&amp;DATA!$B$3:$B$10000,DATA!$W$3:$W$10000),"No encontrado"))</f>
        <v/>
      </c>
      <c r="E1105" s="22"/>
      <c r="F1105" s="23" t="str">
        <f aca="false">IF(A1105="","",IFERROR(buscarx(A1105&amp;E1105,DATA!$E$3:$E$10000&amp;DATA!$B$3:$B$10000,DATA!$M$3:$M$10000),"Inactivo"))</f>
        <v/>
      </c>
      <c r="G1105" s="25" t="str">
        <f aca="false">IF(A1105="","",IF(AND(C1105&lt;&gt;"No encontrado",F1105&lt;&gt;"Inactivo"),C1105&amp;" → "&amp;F1105,"Sin transición"))</f>
        <v/>
      </c>
      <c r="H1105" s="23" t="str">
        <f aca="false">IF(A1105="","",IF(D1105="GCIA LINEA SERVICIO DIGITALIDAD Y VENTAS","Chats",IF(OR(D1105="GERENCIA INBOUND LÍNEAS SERVICIO Y VENTA",D1105="GERENCIA INBOUND LINEAS ESPECIALIZADAS"),"Llamadas","Otro")))</f>
        <v/>
      </c>
      <c r="I1105" s="23" t="str">
        <f aca="false">IF(A1105="","",IF(C1105="No encontrado","No","Sí"))</f>
        <v/>
      </c>
      <c r="J1105" s="23" t="str">
        <f aca="false">IF(A1105="","",IF(F1105="Inactivo","No","Sí"))</f>
        <v/>
      </c>
      <c r="K1105" s="23" t="str">
        <f aca="false">IF(A1105="","",IF(AND(I1105="Sí",J1105="Sí"),"Sí","No"))</f>
        <v/>
      </c>
    </row>
    <row r="1106" customFormat="false" ht="15" hidden="false" customHeight="false" outlineLevel="0" collapsed="false">
      <c r="A1106" s="22"/>
      <c r="B1106" s="22"/>
      <c r="C1106" s="26" t="str">
        <f aca="false">IF(A1106="","",IFERROR(buscarx(A1106&amp;B1106,DATA!$E$3:$E$10000&amp;DATA!$B$3:$B$10000,DATA!$M$3:$M$10000),"No encontrado"))</f>
        <v/>
      </c>
      <c r="D1106" s="27" t="str">
        <f aca="false">IF(A1106="","",IFERROR(buscarx(A1106&amp;B1106,DATA!$E$3:$E$10000&amp;DATA!$B$3:$B$10000,DATA!$W$3:$W$10000),"No encontrado"))</f>
        <v/>
      </c>
      <c r="E1106" s="22"/>
      <c r="F1106" s="26" t="str">
        <f aca="false">IF(A1106="","",IFERROR(buscarx(A1106&amp;E1106,DATA!$E$3:$E$10000&amp;DATA!$B$3:$B$10000,DATA!$M$3:$M$10000),"Inactivo"))</f>
        <v/>
      </c>
      <c r="G1106" s="28" t="str">
        <f aca="false">IF(A1106="","",IF(AND(C1106&lt;&gt;"No encontrado",F1106&lt;&gt;"Inactivo"),C1106&amp;" → "&amp;F1106,"Sin transición"))</f>
        <v/>
      </c>
      <c r="H1106" s="26" t="str">
        <f aca="false">IF(A1106="","",IF(D1106="GCIA LINEA SERVICIO DIGITALIDAD Y VENTAS","Chats",IF(OR(D1106="GERENCIA INBOUND LÍNEAS SERVICIO Y VENTA",D1106="GERENCIA INBOUND LINEAS ESPECIALIZADAS"),"Llamadas","Otro")))</f>
        <v/>
      </c>
      <c r="I1106" s="26" t="str">
        <f aca="false">IF(A1106="","",IF(C1106="No encontrado","No","Sí"))</f>
        <v/>
      </c>
      <c r="J1106" s="26" t="str">
        <f aca="false">IF(A1106="","",IF(F1106="Inactivo","No","Sí"))</f>
        <v/>
      </c>
      <c r="K1106" s="26" t="str">
        <f aca="false">IF(A1106="","",IF(AND(I1106="Sí",J1106="Sí"),"Sí","No"))</f>
        <v/>
      </c>
    </row>
    <row r="1107" customFormat="false" ht="15" hidden="false" customHeight="false" outlineLevel="0" collapsed="false">
      <c r="A1107" s="22"/>
      <c r="B1107" s="22"/>
      <c r="C1107" s="23" t="str">
        <f aca="false">IF(A1107="","",IFERROR(buscarx(A1107&amp;B1107,DATA!$E$3:$E$10000&amp;DATA!$B$3:$B$10000,DATA!$M$3:$M$10000),"No encontrado"))</f>
        <v/>
      </c>
      <c r="D1107" s="24" t="str">
        <f aca="false">IF(A1107="","",IFERROR(buscarx(A1107&amp;B1107,DATA!$E$3:$E$10000&amp;DATA!$B$3:$B$10000,DATA!$W$3:$W$10000),"No encontrado"))</f>
        <v/>
      </c>
      <c r="E1107" s="22"/>
      <c r="F1107" s="23" t="str">
        <f aca="false">IF(A1107="","",IFERROR(buscarx(A1107&amp;E1107,DATA!$E$3:$E$10000&amp;DATA!$B$3:$B$10000,DATA!$M$3:$M$10000),"Inactivo"))</f>
        <v/>
      </c>
      <c r="G1107" s="25" t="str">
        <f aca="false">IF(A1107="","",IF(AND(C1107&lt;&gt;"No encontrado",F1107&lt;&gt;"Inactivo"),C1107&amp;" → "&amp;F1107,"Sin transición"))</f>
        <v/>
      </c>
      <c r="H1107" s="23" t="str">
        <f aca="false">IF(A1107="","",IF(D1107="GCIA LINEA SERVICIO DIGITALIDAD Y VENTAS","Chats",IF(OR(D1107="GERENCIA INBOUND LÍNEAS SERVICIO Y VENTA",D1107="GERENCIA INBOUND LINEAS ESPECIALIZADAS"),"Llamadas","Otro")))</f>
        <v/>
      </c>
      <c r="I1107" s="23" t="str">
        <f aca="false">IF(A1107="","",IF(C1107="No encontrado","No","Sí"))</f>
        <v/>
      </c>
      <c r="J1107" s="23" t="str">
        <f aca="false">IF(A1107="","",IF(F1107="Inactivo","No","Sí"))</f>
        <v/>
      </c>
      <c r="K1107" s="23" t="str">
        <f aca="false">IF(A1107="","",IF(AND(I1107="Sí",J1107="Sí"),"Sí","No"))</f>
        <v/>
      </c>
    </row>
    <row r="1108" customFormat="false" ht="15" hidden="false" customHeight="false" outlineLevel="0" collapsed="false">
      <c r="A1108" s="22"/>
      <c r="B1108" s="22"/>
      <c r="C1108" s="26" t="str">
        <f aca="false">IF(A1108="","",IFERROR(buscarx(A1108&amp;B1108,DATA!$E$3:$E$10000&amp;DATA!$B$3:$B$10000,DATA!$M$3:$M$10000),"No encontrado"))</f>
        <v/>
      </c>
      <c r="D1108" s="27" t="str">
        <f aca="false">IF(A1108="","",IFERROR(buscarx(A1108&amp;B1108,DATA!$E$3:$E$10000&amp;DATA!$B$3:$B$10000,DATA!$W$3:$W$10000),"No encontrado"))</f>
        <v/>
      </c>
      <c r="E1108" s="22"/>
      <c r="F1108" s="26" t="str">
        <f aca="false">IF(A1108="","",IFERROR(buscarx(A1108&amp;E1108,DATA!$E$3:$E$10000&amp;DATA!$B$3:$B$10000,DATA!$M$3:$M$10000),"Inactivo"))</f>
        <v/>
      </c>
      <c r="G1108" s="28" t="str">
        <f aca="false">IF(A1108="","",IF(AND(C1108&lt;&gt;"No encontrado",F1108&lt;&gt;"Inactivo"),C1108&amp;" → "&amp;F1108,"Sin transición"))</f>
        <v/>
      </c>
      <c r="H1108" s="26" t="str">
        <f aca="false">IF(A1108="","",IF(D1108="GCIA LINEA SERVICIO DIGITALIDAD Y VENTAS","Chats",IF(OR(D1108="GERENCIA INBOUND LÍNEAS SERVICIO Y VENTA",D1108="GERENCIA INBOUND LINEAS ESPECIALIZADAS"),"Llamadas","Otro")))</f>
        <v/>
      </c>
      <c r="I1108" s="26" t="str">
        <f aca="false">IF(A1108="","",IF(C1108="No encontrado","No","Sí"))</f>
        <v/>
      </c>
      <c r="J1108" s="26" t="str">
        <f aca="false">IF(A1108="","",IF(F1108="Inactivo","No","Sí"))</f>
        <v/>
      </c>
      <c r="K1108" s="26" t="str">
        <f aca="false">IF(A1108="","",IF(AND(I1108="Sí",J1108="Sí"),"Sí","No"))</f>
        <v/>
      </c>
    </row>
    <row r="1109" customFormat="false" ht="15" hidden="false" customHeight="false" outlineLevel="0" collapsed="false">
      <c r="A1109" s="22"/>
      <c r="B1109" s="22"/>
      <c r="C1109" s="23" t="str">
        <f aca="false">IF(A1109="","",IFERROR(buscarx(A1109&amp;B1109,DATA!$E$3:$E$10000&amp;DATA!$B$3:$B$10000,DATA!$M$3:$M$10000),"No encontrado"))</f>
        <v/>
      </c>
      <c r="D1109" s="24" t="str">
        <f aca="false">IF(A1109="","",IFERROR(buscarx(A1109&amp;B1109,DATA!$E$3:$E$10000&amp;DATA!$B$3:$B$10000,DATA!$W$3:$W$10000),"No encontrado"))</f>
        <v/>
      </c>
      <c r="E1109" s="22"/>
      <c r="F1109" s="23" t="str">
        <f aca="false">IF(A1109="","",IFERROR(buscarx(A1109&amp;E1109,DATA!$E$3:$E$10000&amp;DATA!$B$3:$B$10000,DATA!$M$3:$M$10000),"Inactivo"))</f>
        <v/>
      </c>
      <c r="G1109" s="25" t="str">
        <f aca="false">IF(A1109="","",IF(AND(C1109&lt;&gt;"No encontrado",F1109&lt;&gt;"Inactivo"),C1109&amp;" → "&amp;F1109,"Sin transición"))</f>
        <v/>
      </c>
      <c r="H1109" s="23" t="str">
        <f aca="false">IF(A1109="","",IF(D1109="GCIA LINEA SERVICIO DIGITALIDAD Y VENTAS","Chats",IF(OR(D1109="GERENCIA INBOUND LÍNEAS SERVICIO Y VENTA",D1109="GERENCIA INBOUND LINEAS ESPECIALIZADAS"),"Llamadas","Otro")))</f>
        <v/>
      </c>
      <c r="I1109" s="23" t="str">
        <f aca="false">IF(A1109="","",IF(C1109="No encontrado","No","Sí"))</f>
        <v/>
      </c>
      <c r="J1109" s="23" t="str">
        <f aca="false">IF(A1109="","",IF(F1109="Inactivo","No","Sí"))</f>
        <v/>
      </c>
      <c r="K1109" s="23" t="str">
        <f aca="false">IF(A1109="","",IF(AND(I1109="Sí",J1109="Sí"),"Sí","No"))</f>
        <v/>
      </c>
    </row>
    <row r="1110" customFormat="false" ht="15" hidden="false" customHeight="false" outlineLevel="0" collapsed="false">
      <c r="A1110" s="22"/>
      <c r="B1110" s="22"/>
      <c r="C1110" s="26" t="str">
        <f aca="false">IF(A1110="","",IFERROR(buscarx(A1110&amp;B1110,DATA!$E$3:$E$10000&amp;DATA!$B$3:$B$10000,DATA!$M$3:$M$10000),"No encontrado"))</f>
        <v/>
      </c>
      <c r="D1110" s="27" t="str">
        <f aca="false">IF(A1110="","",IFERROR(buscarx(A1110&amp;B1110,DATA!$E$3:$E$10000&amp;DATA!$B$3:$B$10000,DATA!$W$3:$W$10000),"No encontrado"))</f>
        <v/>
      </c>
      <c r="E1110" s="22"/>
      <c r="F1110" s="26" t="str">
        <f aca="false">IF(A1110="","",IFERROR(buscarx(A1110&amp;E1110,DATA!$E$3:$E$10000&amp;DATA!$B$3:$B$10000,DATA!$M$3:$M$10000),"Inactivo"))</f>
        <v/>
      </c>
      <c r="G1110" s="28" t="str">
        <f aca="false">IF(A1110="","",IF(AND(C1110&lt;&gt;"No encontrado",F1110&lt;&gt;"Inactivo"),C1110&amp;" → "&amp;F1110,"Sin transición"))</f>
        <v/>
      </c>
      <c r="H1110" s="26" t="str">
        <f aca="false">IF(A1110="","",IF(D1110="GCIA LINEA SERVICIO DIGITALIDAD Y VENTAS","Chats",IF(OR(D1110="GERENCIA INBOUND LÍNEAS SERVICIO Y VENTA",D1110="GERENCIA INBOUND LINEAS ESPECIALIZADAS"),"Llamadas","Otro")))</f>
        <v/>
      </c>
      <c r="I1110" s="26" t="str">
        <f aca="false">IF(A1110="","",IF(C1110="No encontrado","No","Sí"))</f>
        <v/>
      </c>
      <c r="J1110" s="26" t="str">
        <f aca="false">IF(A1110="","",IF(F1110="Inactivo","No","Sí"))</f>
        <v/>
      </c>
      <c r="K1110" s="26" t="str">
        <f aca="false">IF(A1110="","",IF(AND(I1110="Sí",J1110="Sí"),"Sí","No"))</f>
        <v/>
      </c>
    </row>
    <row r="1111" customFormat="false" ht="15" hidden="false" customHeight="false" outlineLevel="0" collapsed="false">
      <c r="A1111" s="22"/>
      <c r="B1111" s="22"/>
      <c r="C1111" s="23" t="str">
        <f aca="false">IF(A1111="","",IFERROR(buscarx(A1111&amp;B1111,DATA!$E$3:$E$10000&amp;DATA!$B$3:$B$10000,DATA!$M$3:$M$10000),"No encontrado"))</f>
        <v/>
      </c>
      <c r="D1111" s="24" t="str">
        <f aca="false">IF(A1111="","",IFERROR(buscarx(A1111&amp;B1111,DATA!$E$3:$E$10000&amp;DATA!$B$3:$B$10000,DATA!$W$3:$W$10000),"No encontrado"))</f>
        <v/>
      </c>
      <c r="E1111" s="22"/>
      <c r="F1111" s="23" t="str">
        <f aca="false">IF(A1111="","",IFERROR(buscarx(A1111&amp;E1111,DATA!$E$3:$E$10000&amp;DATA!$B$3:$B$10000,DATA!$M$3:$M$10000),"Inactivo"))</f>
        <v/>
      </c>
      <c r="G1111" s="25" t="str">
        <f aca="false">IF(A1111="","",IF(AND(C1111&lt;&gt;"No encontrado",F1111&lt;&gt;"Inactivo"),C1111&amp;" → "&amp;F1111,"Sin transición"))</f>
        <v/>
      </c>
      <c r="H1111" s="23" t="str">
        <f aca="false">IF(A1111="","",IF(D1111="GCIA LINEA SERVICIO DIGITALIDAD Y VENTAS","Chats",IF(OR(D1111="GERENCIA INBOUND LÍNEAS SERVICIO Y VENTA",D1111="GERENCIA INBOUND LINEAS ESPECIALIZADAS"),"Llamadas","Otro")))</f>
        <v/>
      </c>
      <c r="I1111" s="23" t="str">
        <f aca="false">IF(A1111="","",IF(C1111="No encontrado","No","Sí"))</f>
        <v/>
      </c>
      <c r="J1111" s="23" t="str">
        <f aca="false">IF(A1111="","",IF(F1111="Inactivo","No","Sí"))</f>
        <v/>
      </c>
      <c r="K1111" s="23" t="str">
        <f aca="false">IF(A1111="","",IF(AND(I1111="Sí",J1111="Sí"),"Sí","No"))</f>
        <v/>
      </c>
    </row>
    <row r="1112" customFormat="false" ht="15" hidden="false" customHeight="false" outlineLevel="0" collapsed="false">
      <c r="A1112" s="22"/>
      <c r="B1112" s="22"/>
      <c r="C1112" s="26" t="str">
        <f aca="false">IF(A1112="","",IFERROR(buscarx(A1112&amp;B1112,DATA!$E$3:$E$10000&amp;DATA!$B$3:$B$10000,DATA!$M$3:$M$10000),"No encontrado"))</f>
        <v/>
      </c>
      <c r="D1112" s="27" t="str">
        <f aca="false">IF(A1112="","",IFERROR(buscarx(A1112&amp;B1112,DATA!$E$3:$E$10000&amp;DATA!$B$3:$B$10000,DATA!$W$3:$W$10000),"No encontrado"))</f>
        <v/>
      </c>
      <c r="E1112" s="22"/>
      <c r="F1112" s="26" t="str">
        <f aca="false">IF(A1112="","",IFERROR(buscarx(A1112&amp;E1112,DATA!$E$3:$E$10000&amp;DATA!$B$3:$B$10000,DATA!$M$3:$M$10000),"Inactivo"))</f>
        <v/>
      </c>
      <c r="G1112" s="28" t="str">
        <f aca="false">IF(A1112="","",IF(AND(C1112&lt;&gt;"No encontrado",F1112&lt;&gt;"Inactivo"),C1112&amp;" → "&amp;F1112,"Sin transición"))</f>
        <v/>
      </c>
      <c r="H1112" s="26" t="str">
        <f aca="false">IF(A1112="","",IF(D1112="GCIA LINEA SERVICIO DIGITALIDAD Y VENTAS","Chats",IF(OR(D1112="GERENCIA INBOUND LÍNEAS SERVICIO Y VENTA",D1112="GERENCIA INBOUND LINEAS ESPECIALIZADAS"),"Llamadas","Otro")))</f>
        <v/>
      </c>
      <c r="I1112" s="26" t="str">
        <f aca="false">IF(A1112="","",IF(C1112="No encontrado","No","Sí"))</f>
        <v/>
      </c>
      <c r="J1112" s="26" t="str">
        <f aca="false">IF(A1112="","",IF(F1112="Inactivo","No","Sí"))</f>
        <v/>
      </c>
      <c r="K1112" s="26" t="str">
        <f aca="false">IF(A1112="","",IF(AND(I1112="Sí",J1112="Sí"),"Sí","No"))</f>
        <v/>
      </c>
    </row>
    <row r="1113" customFormat="false" ht="15" hidden="false" customHeight="false" outlineLevel="0" collapsed="false">
      <c r="A1113" s="22"/>
      <c r="B1113" s="22"/>
      <c r="C1113" s="23" t="str">
        <f aca="false">IF(A1113="","",IFERROR(buscarx(A1113&amp;B1113,DATA!$E$3:$E$10000&amp;DATA!$B$3:$B$10000,DATA!$M$3:$M$10000),"No encontrado"))</f>
        <v/>
      </c>
      <c r="D1113" s="24" t="str">
        <f aca="false">IF(A1113="","",IFERROR(buscarx(A1113&amp;B1113,DATA!$E$3:$E$10000&amp;DATA!$B$3:$B$10000,DATA!$W$3:$W$10000),"No encontrado"))</f>
        <v/>
      </c>
      <c r="E1113" s="22"/>
      <c r="F1113" s="23" t="str">
        <f aca="false">IF(A1113="","",IFERROR(buscarx(A1113&amp;E1113,DATA!$E$3:$E$10000&amp;DATA!$B$3:$B$10000,DATA!$M$3:$M$10000),"Inactivo"))</f>
        <v/>
      </c>
      <c r="G1113" s="25" t="str">
        <f aca="false">IF(A1113="","",IF(AND(C1113&lt;&gt;"No encontrado",F1113&lt;&gt;"Inactivo"),C1113&amp;" → "&amp;F1113,"Sin transición"))</f>
        <v/>
      </c>
      <c r="H1113" s="23" t="str">
        <f aca="false">IF(A1113="","",IF(D1113="GCIA LINEA SERVICIO DIGITALIDAD Y VENTAS","Chats",IF(OR(D1113="GERENCIA INBOUND LÍNEAS SERVICIO Y VENTA",D1113="GERENCIA INBOUND LINEAS ESPECIALIZADAS"),"Llamadas","Otro")))</f>
        <v/>
      </c>
      <c r="I1113" s="23" t="str">
        <f aca="false">IF(A1113="","",IF(C1113="No encontrado","No","Sí"))</f>
        <v/>
      </c>
      <c r="J1113" s="23" t="str">
        <f aca="false">IF(A1113="","",IF(F1113="Inactivo","No","Sí"))</f>
        <v/>
      </c>
      <c r="K1113" s="23" t="str">
        <f aca="false">IF(A1113="","",IF(AND(I1113="Sí",J1113="Sí"),"Sí","No"))</f>
        <v/>
      </c>
    </row>
    <row r="1114" customFormat="false" ht="15" hidden="false" customHeight="false" outlineLevel="0" collapsed="false">
      <c r="A1114" s="22"/>
      <c r="B1114" s="22"/>
      <c r="C1114" s="26" t="str">
        <f aca="false">IF(A1114="","",IFERROR(buscarx(A1114&amp;B1114,DATA!$E$3:$E$10000&amp;DATA!$B$3:$B$10000,DATA!$M$3:$M$10000),"No encontrado"))</f>
        <v/>
      </c>
      <c r="D1114" s="27" t="str">
        <f aca="false">IF(A1114="","",IFERROR(buscarx(A1114&amp;B1114,DATA!$E$3:$E$10000&amp;DATA!$B$3:$B$10000,DATA!$W$3:$W$10000),"No encontrado"))</f>
        <v/>
      </c>
      <c r="E1114" s="22"/>
      <c r="F1114" s="26" t="str">
        <f aca="false">IF(A1114="","",IFERROR(buscarx(A1114&amp;E1114,DATA!$E$3:$E$10000&amp;DATA!$B$3:$B$10000,DATA!$M$3:$M$10000),"Inactivo"))</f>
        <v/>
      </c>
      <c r="G1114" s="28" t="str">
        <f aca="false">IF(A1114="","",IF(AND(C1114&lt;&gt;"No encontrado",F1114&lt;&gt;"Inactivo"),C1114&amp;" → "&amp;F1114,"Sin transición"))</f>
        <v/>
      </c>
      <c r="H1114" s="26" t="str">
        <f aca="false">IF(A1114="","",IF(D1114="GCIA LINEA SERVICIO DIGITALIDAD Y VENTAS","Chats",IF(OR(D1114="GERENCIA INBOUND LÍNEAS SERVICIO Y VENTA",D1114="GERENCIA INBOUND LINEAS ESPECIALIZADAS"),"Llamadas","Otro")))</f>
        <v/>
      </c>
      <c r="I1114" s="26" t="str">
        <f aca="false">IF(A1114="","",IF(C1114="No encontrado","No","Sí"))</f>
        <v/>
      </c>
      <c r="J1114" s="26" t="str">
        <f aca="false">IF(A1114="","",IF(F1114="Inactivo","No","Sí"))</f>
        <v/>
      </c>
      <c r="K1114" s="26" t="str">
        <f aca="false">IF(A1114="","",IF(AND(I1114="Sí",J1114="Sí"),"Sí","No"))</f>
        <v/>
      </c>
    </row>
    <row r="1115" customFormat="false" ht="15" hidden="false" customHeight="false" outlineLevel="0" collapsed="false">
      <c r="A1115" s="22"/>
      <c r="B1115" s="22"/>
      <c r="C1115" s="23" t="str">
        <f aca="false">IF(A1115="","",IFERROR(buscarx(A1115&amp;B1115,DATA!$E$3:$E$10000&amp;DATA!$B$3:$B$10000,DATA!$M$3:$M$10000),"No encontrado"))</f>
        <v/>
      </c>
      <c r="D1115" s="24" t="str">
        <f aca="false">IF(A1115="","",IFERROR(buscarx(A1115&amp;B1115,DATA!$E$3:$E$10000&amp;DATA!$B$3:$B$10000,DATA!$W$3:$W$10000),"No encontrado"))</f>
        <v/>
      </c>
      <c r="E1115" s="22"/>
      <c r="F1115" s="23" t="str">
        <f aca="false">IF(A1115="","",IFERROR(buscarx(A1115&amp;E1115,DATA!$E$3:$E$10000&amp;DATA!$B$3:$B$10000,DATA!$M$3:$M$10000),"Inactivo"))</f>
        <v/>
      </c>
      <c r="G1115" s="25" t="str">
        <f aca="false">IF(A1115="","",IF(AND(C1115&lt;&gt;"No encontrado",F1115&lt;&gt;"Inactivo"),C1115&amp;" → "&amp;F1115,"Sin transición"))</f>
        <v/>
      </c>
      <c r="H1115" s="23" t="str">
        <f aca="false">IF(A1115="","",IF(D1115="GCIA LINEA SERVICIO DIGITALIDAD Y VENTAS","Chats",IF(OR(D1115="GERENCIA INBOUND LÍNEAS SERVICIO Y VENTA",D1115="GERENCIA INBOUND LINEAS ESPECIALIZADAS"),"Llamadas","Otro")))</f>
        <v/>
      </c>
      <c r="I1115" s="23" t="str">
        <f aca="false">IF(A1115="","",IF(C1115="No encontrado","No","Sí"))</f>
        <v/>
      </c>
      <c r="J1115" s="23" t="str">
        <f aca="false">IF(A1115="","",IF(F1115="Inactivo","No","Sí"))</f>
        <v/>
      </c>
      <c r="K1115" s="23" t="str">
        <f aca="false">IF(A1115="","",IF(AND(I1115="Sí",J1115="Sí"),"Sí","No"))</f>
        <v/>
      </c>
    </row>
    <row r="1116" customFormat="false" ht="15" hidden="false" customHeight="false" outlineLevel="0" collapsed="false">
      <c r="A1116" s="22"/>
      <c r="B1116" s="22"/>
      <c r="C1116" s="26" t="str">
        <f aca="false">IF(A1116="","",IFERROR(buscarx(A1116&amp;B1116,DATA!$E$3:$E$10000&amp;DATA!$B$3:$B$10000,DATA!$M$3:$M$10000),"No encontrado"))</f>
        <v/>
      </c>
      <c r="D1116" s="27" t="str">
        <f aca="false">IF(A1116="","",IFERROR(buscarx(A1116&amp;B1116,DATA!$E$3:$E$10000&amp;DATA!$B$3:$B$10000,DATA!$W$3:$W$10000),"No encontrado"))</f>
        <v/>
      </c>
      <c r="E1116" s="22"/>
      <c r="F1116" s="26" t="str">
        <f aca="false">IF(A1116="","",IFERROR(buscarx(A1116&amp;E1116,DATA!$E$3:$E$10000&amp;DATA!$B$3:$B$10000,DATA!$M$3:$M$10000),"Inactivo"))</f>
        <v/>
      </c>
      <c r="G1116" s="28" t="str">
        <f aca="false">IF(A1116="","",IF(AND(C1116&lt;&gt;"No encontrado",F1116&lt;&gt;"Inactivo"),C1116&amp;" → "&amp;F1116,"Sin transición"))</f>
        <v/>
      </c>
      <c r="H1116" s="26" t="str">
        <f aca="false">IF(A1116="","",IF(D1116="GCIA LINEA SERVICIO DIGITALIDAD Y VENTAS","Chats",IF(OR(D1116="GERENCIA INBOUND LÍNEAS SERVICIO Y VENTA",D1116="GERENCIA INBOUND LINEAS ESPECIALIZADAS"),"Llamadas","Otro")))</f>
        <v/>
      </c>
      <c r="I1116" s="26" t="str">
        <f aca="false">IF(A1116="","",IF(C1116="No encontrado","No","Sí"))</f>
        <v/>
      </c>
      <c r="J1116" s="26" t="str">
        <f aca="false">IF(A1116="","",IF(F1116="Inactivo","No","Sí"))</f>
        <v/>
      </c>
      <c r="K1116" s="26" t="str">
        <f aca="false">IF(A1116="","",IF(AND(I1116="Sí",J1116="Sí"),"Sí","No"))</f>
        <v/>
      </c>
    </row>
    <row r="1117" customFormat="false" ht="15" hidden="false" customHeight="false" outlineLevel="0" collapsed="false">
      <c r="A1117" s="22"/>
      <c r="B1117" s="22"/>
      <c r="C1117" s="23" t="str">
        <f aca="false">IF(A1117="","",IFERROR(buscarx(A1117&amp;B1117,DATA!$E$3:$E$10000&amp;DATA!$B$3:$B$10000,DATA!$M$3:$M$10000),"No encontrado"))</f>
        <v/>
      </c>
      <c r="D1117" s="24" t="str">
        <f aca="false">IF(A1117="","",IFERROR(buscarx(A1117&amp;B1117,DATA!$E$3:$E$10000&amp;DATA!$B$3:$B$10000,DATA!$W$3:$W$10000),"No encontrado"))</f>
        <v/>
      </c>
      <c r="E1117" s="22"/>
      <c r="F1117" s="23" t="str">
        <f aca="false">IF(A1117="","",IFERROR(buscarx(A1117&amp;E1117,DATA!$E$3:$E$10000&amp;DATA!$B$3:$B$10000,DATA!$M$3:$M$10000),"Inactivo"))</f>
        <v/>
      </c>
      <c r="G1117" s="25" t="str">
        <f aca="false">IF(A1117="","",IF(AND(C1117&lt;&gt;"No encontrado",F1117&lt;&gt;"Inactivo"),C1117&amp;" → "&amp;F1117,"Sin transición"))</f>
        <v/>
      </c>
      <c r="H1117" s="23" t="str">
        <f aca="false">IF(A1117="","",IF(D1117="GCIA LINEA SERVICIO DIGITALIDAD Y VENTAS","Chats",IF(OR(D1117="GERENCIA INBOUND LÍNEAS SERVICIO Y VENTA",D1117="GERENCIA INBOUND LINEAS ESPECIALIZADAS"),"Llamadas","Otro")))</f>
        <v/>
      </c>
      <c r="I1117" s="23" t="str">
        <f aca="false">IF(A1117="","",IF(C1117="No encontrado","No","Sí"))</f>
        <v/>
      </c>
      <c r="J1117" s="23" t="str">
        <f aca="false">IF(A1117="","",IF(F1117="Inactivo","No","Sí"))</f>
        <v/>
      </c>
      <c r="K1117" s="23" t="str">
        <f aca="false">IF(A1117="","",IF(AND(I1117="Sí",J1117="Sí"),"Sí","No"))</f>
        <v/>
      </c>
    </row>
    <row r="1118" customFormat="false" ht="15" hidden="false" customHeight="false" outlineLevel="0" collapsed="false">
      <c r="A1118" s="22"/>
      <c r="B1118" s="22"/>
      <c r="C1118" s="26" t="str">
        <f aca="false">IF(A1118="","",IFERROR(buscarx(A1118&amp;B1118,DATA!$E$3:$E$10000&amp;DATA!$B$3:$B$10000,DATA!$M$3:$M$10000),"No encontrado"))</f>
        <v/>
      </c>
      <c r="D1118" s="27" t="str">
        <f aca="false">IF(A1118="","",IFERROR(buscarx(A1118&amp;B1118,DATA!$E$3:$E$10000&amp;DATA!$B$3:$B$10000,DATA!$W$3:$W$10000),"No encontrado"))</f>
        <v/>
      </c>
      <c r="E1118" s="22"/>
      <c r="F1118" s="26" t="str">
        <f aca="false">IF(A1118="","",IFERROR(buscarx(A1118&amp;E1118,DATA!$E$3:$E$10000&amp;DATA!$B$3:$B$10000,DATA!$M$3:$M$10000),"Inactivo"))</f>
        <v/>
      </c>
      <c r="G1118" s="28" t="str">
        <f aca="false">IF(A1118="","",IF(AND(C1118&lt;&gt;"No encontrado",F1118&lt;&gt;"Inactivo"),C1118&amp;" → "&amp;F1118,"Sin transición"))</f>
        <v/>
      </c>
      <c r="H1118" s="26" t="str">
        <f aca="false">IF(A1118="","",IF(D1118="GCIA LINEA SERVICIO DIGITALIDAD Y VENTAS","Chats",IF(OR(D1118="GERENCIA INBOUND LÍNEAS SERVICIO Y VENTA",D1118="GERENCIA INBOUND LINEAS ESPECIALIZADAS"),"Llamadas","Otro")))</f>
        <v/>
      </c>
      <c r="I1118" s="26" t="str">
        <f aca="false">IF(A1118="","",IF(C1118="No encontrado","No","Sí"))</f>
        <v/>
      </c>
      <c r="J1118" s="26" t="str">
        <f aca="false">IF(A1118="","",IF(F1118="Inactivo","No","Sí"))</f>
        <v/>
      </c>
      <c r="K1118" s="26" t="str">
        <f aca="false">IF(A1118="","",IF(AND(I1118="Sí",J1118="Sí"),"Sí","No"))</f>
        <v/>
      </c>
    </row>
    <row r="1119" customFormat="false" ht="15" hidden="false" customHeight="false" outlineLevel="0" collapsed="false">
      <c r="A1119" s="22"/>
      <c r="B1119" s="22"/>
      <c r="C1119" s="23" t="str">
        <f aca="false">IF(A1119="","",IFERROR(buscarx(A1119&amp;B1119,DATA!$E$3:$E$10000&amp;DATA!$B$3:$B$10000,DATA!$M$3:$M$10000),"No encontrado"))</f>
        <v/>
      </c>
      <c r="D1119" s="24" t="str">
        <f aca="false">IF(A1119="","",IFERROR(buscarx(A1119&amp;B1119,DATA!$E$3:$E$10000&amp;DATA!$B$3:$B$10000,DATA!$W$3:$W$10000),"No encontrado"))</f>
        <v/>
      </c>
      <c r="E1119" s="22"/>
      <c r="F1119" s="23" t="str">
        <f aca="false">IF(A1119="","",IFERROR(buscarx(A1119&amp;E1119,DATA!$E$3:$E$10000&amp;DATA!$B$3:$B$10000,DATA!$M$3:$M$10000),"Inactivo"))</f>
        <v/>
      </c>
      <c r="G1119" s="25" t="str">
        <f aca="false">IF(A1119="","",IF(AND(C1119&lt;&gt;"No encontrado",F1119&lt;&gt;"Inactivo"),C1119&amp;" → "&amp;F1119,"Sin transición"))</f>
        <v/>
      </c>
      <c r="H1119" s="23" t="str">
        <f aca="false">IF(A1119="","",IF(D1119="GCIA LINEA SERVICIO DIGITALIDAD Y VENTAS","Chats",IF(OR(D1119="GERENCIA INBOUND LÍNEAS SERVICIO Y VENTA",D1119="GERENCIA INBOUND LINEAS ESPECIALIZADAS"),"Llamadas","Otro")))</f>
        <v/>
      </c>
      <c r="I1119" s="23" t="str">
        <f aca="false">IF(A1119="","",IF(C1119="No encontrado","No","Sí"))</f>
        <v/>
      </c>
      <c r="J1119" s="23" t="str">
        <f aca="false">IF(A1119="","",IF(F1119="Inactivo","No","Sí"))</f>
        <v/>
      </c>
      <c r="K1119" s="23" t="str">
        <f aca="false">IF(A1119="","",IF(AND(I1119="Sí",J1119="Sí"),"Sí","No"))</f>
        <v/>
      </c>
    </row>
    <row r="1120" customFormat="false" ht="15" hidden="false" customHeight="false" outlineLevel="0" collapsed="false">
      <c r="A1120" s="22"/>
      <c r="B1120" s="22"/>
      <c r="C1120" s="26" t="str">
        <f aca="false">IF(A1120="","",IFERROR(buscarx(A1120&amp;B1120,DATA!$E$3:$E$10000&amp;DATA!$B$3:$B$10000,DATA!$M$3:$M$10000),"No encontrado"))</f>
        <v/>
      </c>
      <c r="D1120" s="27" t="str">
        <f aca="false">IF(A1120="","",IFERROR(buscarx(A1120&amp;B1120,DATA!$E$3:$E$10000&amp;DATA!$B$3:$B$10000,DATA!$W$3:$W$10000),"No encontrado"))</f>
        <v/>
      </c>
      <c r="E1120" s="22"/>
      <c r="F1120" s="26" t="str">
        <f aca="false">IF(A1120="","",IFERROR(buscarx(A1120&amp;E1120,DATA!$E$3:$E$10000&amp;DATA!$B$3:$B$10000,DATA!$M$3:$M$10000),"Inactivo"))</f>
        <v/>
      </c>
      <c r="G1120" s="28" t="str">
        <f aca="false">IF(A1120="","",IF(AND(C1120&lt;&gt;"No encontrado",F1120&lt;&gt;"Inactivo"),C1120&amp;" → "&amp;F1120,"Sin transición"))</f>
        <v/>
      </c>
      <c r="H1120" s="26" t="str">
        <f aca="false">IF(A1120="","",IF(D1120="GCIA LINEA SERVICIO DIGITALIDAD Y VENTAS","Chats",IF(OR(D1120="GERENCIA INBOUND LÍNEAS SERVICIO Y VENTA",D1120="GERENCIA INBOUND LINEAS ESPECIALIZADAS"),"Llamadas","Otro")))</f>
        <v/>
      </c>
      <c r="I1120" s="26" t="str">
        <f aca="false">IF(A1120="","",IF(C1120="No encontrado","No","Sí"))</f>
        <v/>
      </c>
      <c r="J1120" s="26" t="str">
        <f aca="false">IF(A1120="","",IF(F1120="Inactivo","No","Sí"))</f>
        <v/>
      </c>
      <c r="K1120" s="26" t="str">
        <f aca="false">IF(A1120="","",IF(AND(I1120="Sí",J1120="Sí"),"Sí","No"))</f>
        <v/>
      </c>
    </row>
    <row r="1121" customFormat="false" ht="15" hidden="false" customHeight="false" outlineLevel="0" collapsed="false">
      <c r="A1121" s="22"/>
      <c r="B1121" s="22"/>
      <c r="C1121" s="23" t="str">
        <f aca="false">IF(A1121="","",IFERROR(buscarx(A1121&amp;B1121,DATA!$E$3:$E$10000&amp;DATA!$B$3:$B$10000,DATA!$M$3:$M$10000),"No encontrado"))</f>
        <v/>
      </c>
      <c r="D1121" s="24" t="str">
        <f aca="false">IF(A1121="","",IFERROR(buscarx(A1121&amp;B1121,DATA!$E$3:$E$10000&amp;DATA!$B$3:$B$10000,DATA!$W$3:$W$10000),"No encontrado"))</f>
        <v/>
      </c>
      <c r="E1121" s="22"/>
      <c r="F1121" s="23" t="str">
        <f aca="false">IF(A1121="","",IFERROR(buscarx(A1121&amp;E1121,DATA!$E$3:$E$10000&amp;DATA!$B$3:$B$10000,DATA!$M$3:$M$10000),"Inactivo"))</f>
        <v/>
      </c>
      <c r="G1121" s="25" t="str">
        <f aca="false">IF(A1121="","",IF(AND(C1121&lt;&gt;"No encontrado",F1121&lt;&gt;"Inactivo"),C1121&amp;" → "&amp;F1121,"Sin transición"))</f>
        <v/>
      </c>
      <c r="H1121" s="23" t="str">
        <f aca="false">IF(A1121="","",IF(D1121="GCIA LINEA SERVICIO DIGITALIDAD Y VENTAS","Chats",IF(OR(D1121="GERENCIA INBOUND LÍNEAS SERVICIO Y VENTA",D1121="GERENCIA INBOUND LINEAS ESPECIALIZADAS"),"Llamadas","Otro")))</f>
        <v/>
      </c>
      <c r="I1121" s="23" t="str">
        <f aca="false">IF(A1121="","",IF(C1121="No encontrado","No","Sí"))</f>
        <v/>
      </c>
      <c r="J1121" s="23" t="str">
        <f aca="false">IF(A1121="","",IF(F1121="Inactivo","No","Sí"))</f>
        <v/>
      </c>
      <c r="K1121" s="23" t="str">
        <f aca="false">IF(A1121="","",IF(AND(I1121="Sí",J1121="Sí"),"Sí","No"))</f>
        <v/>
      </c>
    </row>
    <row r="1122" customFormat="false" ht="15" hidden="false" customHeight="false" outlineLevel="0" collapsed="false">
      <c r="A1122" s="22"/>
      <c r="B1122" s="22"/>
      <c r="C1122" s="26" t="str">
        <f aca="false">IF(A1122="","",IFERROR(buscarx(A1122&amp;B1122,DATA!$E$3:$E$10000&amp;DATA!$B$3:$B$10000,DATA!$M$3:$M$10000),"No encontrado"))</f>
        <v/>
      </c>
      <c r="D1122" s="27" t="str">
        <f aca="false">IF(A1122="","",IFERROR(buscarx(A1122&amp;B1122,DATA!$E$3:$E$10000&amp;DATA!$B$3:$B$10000,DATA!$W$3:$W$10000),"No encontrado"))</f>
        <v/>
      </c>
      <c r="E1122" s="22"/>
      <c r="F1122" s="26" t="str">
        <f aca="false">IF(A1122="","",IFERROR(buscarx(A1122&amp;E1122,DATA!$E$3:$E$10000&amp;DATA!$B$3:$B$10000,DATA!$M$3:$M$10000),"Inactivo"))</f>
        <v/>
      </c>
      <c r="G1122" s="28" t="str">
        <f aca="false">IF(A1122="","",IF(AND(C1122&lt;&gt;"No encontrado",F1122&lt;&gt;"Inactivo"),C1122&amp;" → "&amp;F1122,"Sin transición"))</f>
        <v/>
      </c>
      <c r="H1122" s="26" t="str">
        <f aca="false">IF(A1122="","",IF(D1122="GCIA LINEA SERVICIO DIGITALIDAD Y VENTAS","Chats",IF(OR(D1122="GERENCIA INBOUND LÍNEAS SERVICIO Y VENTA",D1122="GERENCIA INBOUND LINEAS ESPECIALIZADAS"),"Llamadas","Otro")))</f>
        <v/>
      </c>
      <c r="I1122" s="26" t="str">
        <f aca="false">IF(A1122="","",IF(C1122="No encontrado","No","Sí"))</f>
        <v/>
      </c>
      <c r="J1122" s="26" t="str">
        <f aca="false">IF(A1122="","",IF(F1122="Inactivo","No","Sí"))</f>
        <v/>
      </c>
      <c r="K1122" s="26" t="str">
        <f aca="false">IF(A1122="","",IF(AND(I1122="Sí",J1122="Sí"),"Sí","No"))</f>
        <v/>
      </c>
    </row>
    <row r="1123" customFormat="false" ht="15" hidden="false" customHeight="false" outlineLevel="0" collapsed="false">
      <c r="A1123" s="22"/>
      <c r="B1123" s="22"/>
      <c r="C1123" s="23" t="str">
        <f aca="false">IF(A1123="","",IFERROR(buscarx(A1123&amp;B1123,DATA!$E$3:$E$10000&amp;DATA!$B$3:$B$10000,DATA!$M$3:$M$10000),"No encontrado"))</f>
        <v/>
      </c>
      <c r="D1123" s="24" t="str">
        <f aca="false">IF(A1123="","",IFERROR(buscarx(A1123&amp;B1123,DATA!$E$3:$E$10000&amp;DATA!$B$3:$B$10000,DATA!$W$3:$W$10000),"No encontrado"))</f>
        <v/>
      </c>
      <c r="E1123" s="22"/>
      <c r="F1123" s="23" t="str">
        <f aca="false">IF(A1123="","",IFERROR(buscarx(A1123&amp;E1123,DATA!$E$3:$E$10000&amp;DATA!$B$3:$B$10000,DATA!$M$3:$M$10000),"Inactivo"))</f>
        <v/>
      </c>
      <c r="G1123" s="25" t="str">
        <f aca="false">IF(A1123="","",IF(AND(C1123&lt;&gt;"No encontrado",F1123&lt;&gt;"Inactivo"),C1123&amp;" → "&amp;F1123,"Sin transición"))</f>
        <v/>
      </c>
      <c r="H1123" s="23" t="str">
        <f aca="false">IF(A1123="","",IF(D1123="GCIA LINEA SERVICIO DIGITALIDAD Y VENTAS","Chats",IF(OR(D1123="GERENCIA INBOUND LÍNEAS SERVICIO Y VENTA",D1123="GERENCIA INBOUND LINEAS ESPECIALIZADAS"),"Llamadas","Otro")))</f>
        <v/>
      </c>
      <c r="I1123" s="23" t="str">
        <f aca="false">IF(A1123="","",IF(C1123="No encontrado","No","Sí"))</f>
        <v/>
      </c>
      <c r="J1123" s="23" t="str">
        <f aca="false">IF(A1123="","",IF(F1123="Inactivo","No","Sí"))</f>
        <v/>
      </c>
      <c r="K1123" s="23" t="str">
        <f aca="false">IF(A1123="","",IF(AND(I1123="Sí",J1123="Sí"),"Sí","No"))</f>
        <v/>
      </c>
    </row>
    <row r="1124" customFormat="false" ht="15" hidden="false" customHeight="false" outlineLevel="0" collapsed="false">
      <c r="A1124" s="22"/>
      <c r="B1124" s="22"/>
      <c r="C1124" s="26" t="str">
        <f aca="false">IF(A1124="","",IFERROR(buscarx(A1124&amp;B1124,DATA!$E$3:$E$10000&amp;DATA!$B$3:$B$10000,DATA!$M$3:$M$10000),"No encontrado"))</f>
        <v/>
      </c>
      <c r="D1124" s="27" t="str">
        <f aca="false">IF(A1124="","",IFERROR(buscarx(A1124&amp;B1124,DATA!$E$3:$E$10000&amp;DATA!$B$3:$B$10000,DATA!$W$3:$W$10000),"No encontrado"))</f>
        <v/>
      </c>
      <c r="E1124" s="22"/>
      <c r="F1124" s="26" t="str">
        <f aca="false">IF(A1124="","",IFERROR(buscarx(A1124&amp;E1124,DATA!$E$3:$E$10000&amp;DATA!$B$3:$B$10000,DATA!$M$3:$M$10000),"Inactivo"))</f>
        <v/>
      </c>
      <c r="G1124" s="28" t="str">
        <f aca="false">IF(A1124="","",IF(AND(C1124&lt;&gt;"No encontrado",F1124&lt;&gt;"Inactivo"),C1124&amp;" → "&amp;F1124,"Sin transición"))</f>
        <v/>
      </c>
      <c r="H1124" s="26" t="str">
        <f aca="false">IF(A1124="","",IF(D1124="GCIA LINEA SERVICIO DIGITALIDAD Y VENTAS","Chats",IF(OR(D1124="GERENCIA INBOUND LÍNEAS SERVICIO Y VENTA",D1124="GERENCIA INBOUND LINEAS ESPECIALIZADAS"),"Llamadas","Otro")))</f>
        <v/>
      </c>
      <c r="I1124" s="26" t="str">
        <f aca="false">IF(A1124="","",IF(C1124="No encontrado","No","Sí"))</f>
        <v/>
      </c>
      <c r="J1124" s="26" t="str">
        <f aca="false">IF(A1124="","",IF(F1124="Inactivo","No","Sí"))</f>
        <v/>
      </c>
      <c r="K1124" s="26" t="str">
        <f aca="false">IF(A1124="","",IF(AND(I1124="Sí",J1124="Sí"),"Sí","No"))</f>
        <v/>
      </c>
    </row>
    <row r="1125" customFormat="false" ht="15" hidden="false" customHeight="false" outlineLevel="0" collapsed="false">
      <c r="A1125" s="22"/>
      <c r="B1125" s="22"/>
      <c r="C1125" s="23" t="str">
        <f aca="false">IF(A1125="","",IFERROR(buscarx(A1125&amp;B1125,DATA!$E$3:$E$10000&amp;DATA!$B$3:$B$10000,DATA!$M$3:$M$10000),"No encontrado"))</f>
        <v/>
      </c>
      <c r="D1125" s="24" t="str">
        <f aca="false">IF(A1125="","",IFERROR(buscarx(A1125&amp;B1125,DATA!$E$3:$E$10000&amp;DATA!$B$3:$B$10000,DATA!$W$3:$W$10000),"No encontrado"))</f>
        <v/>
      </c>
      <c r="E1125" s="22"/>
      <c r="F1125" s="23" t="str">
        <f aca="false">IF(A1125="","",IFERROR(buscarx(A1125&amp;E1125,DATA!$E$3:$E$10000&amp;DATA!$B$3:$B$10000,DATA!$M$3:$M$10000),"Inactivo"))</f>
        <v/>
      </c>
      <c r="G1125" s="25" t="str">
        <f aca="false">IF(A1125="","",IF(AND(C1125&lt;&gt;"No encontrado",F1125&lt;&gt;"Inactivo"),C1125&amp;" → "&amp;F1125,"Sin transición"))</f>
        <v/>
      </c>
      <c r="H1125" s="23" t="str">
        <f aca="false">IF(A1125="","",IF(D1125="GCIA LINEA SERVICIO DIGITALIDAD Y VENTAS","Chats",IF(OR(D1125="GERENCIA INBOUND LÍNEAS SERVICIO Y VENTA",D1125="GERENCIA INBOUND LINEAS ESPECIALIZADAS"),"Llamadas","Otro")))</f>
        <v/>
      </c>
      <c r="I1125" s="23" t="str">
        <f aca="false">IF(A1125="","",IF(C1125="No encontrado","No","Sí"))</f>
        <v/>
      </c>
      <c r="J1125" s="23" t="str">
        <f aca="false">IF(A1125="","",IF(F1125="Inactivo","No","Sí"))</f>
        <v/>
      </c>
      <c r="K1125" s="23" t="str">
        <f aca="false">IF(A1125="","",IF(AND(I1125="Sí",J1125="Sí"),"Sí","No"))</f>
        <v/>
      </c>
    </row>
    <row r="1126" customFormat="false" ht="15" hidden="false" customHeight="false" outlineLevel="0" collapsed="false">
      <c r="A1126" s="22"/>
      <c r="B1126" s="22"/>
      <c r="C1126" s="26" t="str">
        <f aca="false">IF(A1126="","",IFERROR(buscarx(A1126&amp;B1126,DATA!$E$3:$E$10000&amp;DATA!$B$3:$B$10000,DATA!$M$3:$M$10000),"No encontrado"))</f>
        <v/>
      </c>
      <c r="D1126" s="27" t="str">
        <f aca="false">IF(A1126="","",IFERROR(buscarx(A1126&amp;B1126,DATA!$E$3:$E$10000&amp;DATA!$B$3:$B$10000,DATA!$W$3:$W$10000),"No encontrado"))</f>
        <v/>
      </c>
      <c r="E1126" s="22"/>
      <c r="F1126" s="26" t="str">
        <f aca="false">IF(A1126="","",IFERROR(buscarx(A1126&amp;E1126,DATA!$E$3:$E$10000&amp;DATA!$B$3:$B$10000,DATA!$M$3:$M$10000),"Inactivo"))</f>
        <v/>
      </c>
      <c r="G1126" s="28" t="str">
        <f aca="false">IF(A1126="","",IF(AND(C1126&lt;&gt;"No encontrado",F1126&lt;&gt;"Inactivo"),C1126&amp;" → "&amp;F1126,"Sin transición"))</f>
        <v/>
      </c>
      <c r="H1126" s="26" t="str">
        <f aca="false">IF(A1126="","",IF(D1126="GCIA LINEA SERVICIO DIGITALIDAD Y VENTAS","Chats",IF(OR(D1126="GERENCIA INBOUND LÍNEAS SERVICIO Y VENTA",D1126="GERENCIA INBOUND LINEAS ESPECIALIZADAS"),"Llamadas","Otro")))</f>
        <v/>
      </c>
      <c r="I1126" s="26" t="str">
        <f aca="false">IF(A1126="","",IF(C1126="No encontrado","No","Sí"))</f>
        <v/>
      </c>
      <c r="J1126" s="26" t="str">
        <f aca="false">IF(A1126="","",IF(F1126="Inactivo","No","Sí"))</f>
        <v/>
      </c>
      <c r="K1126" s="26" t="str">
        <f aca="false">IF(A1126="","",IF(AND(I1126="Sí",J1126="Sí"),"Sí","No"))</f>
        <v/>
      </c>
    </row>
    <row r="1127" customFormat="false" ht="15" hidden="false" customHeight="false" outlineLevel="0" collapsed="false">
      <c r="A1127" s="22"/>
      <c r="B1127" s="22"/>
      <c r="C1127" s="23" t="str">
        <f aca="false">IF(A1127="","",IFERROR(buscarx(A1127&amp;B1127,DATA!$E$3:$E$10000&amp;DATA!$B$3:$B$10000,DATA!$M$3:$M$10000),"No encontrado"))</f>
        <v/>
      </c>
      <c r="D1127" s="24" t="str">
        <f aca="false">IF(A1127="","",IFERROR(buscarx(A1127&amp;B1127,DATA!$E$3:$E$10000&amp;DATA!$B$3:$B$10000,DATA!$W$3:$W$10000),"No encontrado"))</f>
        <v/>
      </c>
      <c r="E1127" s="22"/>
      <c r="F1127" s="23" t="str">
        <f aca="false">IF(A1127="","",IFERROR(buscarx(A1127&amp;E1127,DATA!$E$3:$E$10000&amp;DATA!$B$3:$B$10000,DATA!$M$3:$M$10000),"Inactivo"))</f>
        <v/>
      </c>
      <c r="G1127" s="25" t="str">
        <f aca="false">IF(A1127="","",IF(AND(C1127&lt;&gt;"No encontrado",F1127&lt;&gt;"Inactivo"),C1127&amp;" → "&amp;F1127,"Sin transición"))</f>
        <v/>
      </c>
      <c r="H1127" s="23" t="str">
        <f aca="false">IF(A1127="","",IF(D1127="GCIA LINEA SERVICIO DIGITALIDAD Y VENTAS","Chats",IF(OR(D1127="GERENCIA INBOUND LÍNEAS SERVICIO Y VENTA",D1127="GERENCIA INBOUND LINEAS ESPECIALIZADAS"),"Llamadas","Otro")))</f>
        <v/>
      </c>
      <c r="I1127" s="23" t="str">
        <f aca="false">IF(A1127="","",IF(C1127="No encontrado","No","Sí"))</f>
        <v/>
      </c>
      <c r="J1127" s="23" t="str">
        <f aca="false">IF(A1127="","",IF(F1127="Inactivo","No","Sí"))</f>
        <v/>
      </c>
      <c r="K1127" s="23" t="str">
        <f aca="false">IF(A1127="","",IF(AND(I1127="Sí",J1127="Sí"),"Sí","No"))</f>
        <v/>
      </c>
    </row>
    <row r="1128" customFormat="false" ht="15" hidden="false" customHeight="false" outlineLevel="0" collapsed="false">
      <c r="A1128" s="22"/>
      <c r="B1128" s="22"/>
      <c r="C1128" s="26" t="str">
        <f aca="false">IF(A1128="","",IFERROR(buscarx(A1128&amp;B1128,DATA!$E$3:$E$10000&amp;DATA!$B$3:$B$10000,DATA!$M$3:$M$10000),"No encontrado"))</f>
        <v/>
      </c>
      <c r="D1128" s="27" t="str">
        <f aca="false">IF(A1128="","",IFERROR(buscarx(A1128&amp;B1128,DATA!$E$3:$E$10000&amp;DATA!$B$3:$B$10000,DATA!$W$3:$W$10000),"No encontrado"))</f>
        <v/>
      </c>
      <c r="E1128" s="22"/>
      <c r="F1128" s="26" t="str">
        <f aca="false">IF(A1128="","",IFERROR(buscarx(A1128&amp;E1128,DATA!$E$3:$E$10000&amp;DATA!$B$3:$B$10000,DATA!$M$3:$M$10000),"Inactivo"))</f>
        <v/>
      </c>
      <c r="G1128" s="28" t="str">
        <f aca="false">IF(A1128="","",IF(AND(C1128&lt;&gt;"No encontrado",F1128&lt;&gt;"Inactivo"),C1128&amp;" → "&amp;F1128,"Sin transición"))</f>
        <v/>
      </c>
      <c r="H1128" s="26" t="str">
        <f aca="false">IF(A1128="","",IF(D1128="GCIA LINEA SERVICIO DIGITALIDAD Y VENTAS","Chats",IF(OR(D1128="GERENCIA INBOUND LÍNEAS SERVICIO Y VENTA",D1128="GERENCIA INBOUND LINEAS ESPECIALIZADAS"),"Llamadas","Otro")))</f>
        <v/>
      </c>
      <c r="I1128" s="26" t="str">
        <f aca="false">IF(A1128="","",IF(C1128="No encontrado","No","Sí"))</f>
        <v/>
      </c>
      <c r="J1128" s="26" t="str">
        <f aca="false">IF(A1128="","",IF(F1128="Inactivo","No","Sí"))</f>
        <v/>
      </c>
      <c r="K1128" s="26" t="str">
        <f aca="false">IF(A1128="","",IF(AND(I1128="Sí",J1128="Sí"),"Sí","No"))</f>
        <v/>
      </c>
    </row>
    <row r="1129" customFormat="false" ht="15" hidden="false" customHeight="false" outlineLevel="0" collapsed="false">
      <c r="A1129" s="22"/>
      <c r="B1129" s="22"/>
      <c r="C1129" s="23" t="str">
        <f aca="false">IF(A1129="","",IFERROR(buscarx(A1129&amp;B1129,DATA!$E$3:$E$10000&amp;DATA!$B$3:$B$10000,DATA!$M$3:$M$10000),"No encontrado"))</f>
        <v/>
      </c>
      <c r="D1129" s="24" t="str">
        <f aca="false">IF(A1129="","",IFERROR(buscarx(A1129&amp;B1129,DATA!$E$3:$E$10000&amp;DATA!$B$3:$B$10000,DATA!$W$3:$W$10000),"No encontrado"))</f>
        <v/>
      </c>
      <c r="E1129" s="22"/>
      <c r="F1129" s="23" t="str">
        <f aca="false">IF(A1129="","",IFERROR(buscarx(A1129&amp;E1129,DATA!$E$3:$E$10000&amp;DATA!$B$3:$B$10000,DATA!$M$3:$M$10000),"Inactivo"))</f>
        <v/>
      </c>
      <c r="G1129" s="25" t="str">
        <f aca="false">IF(A1129="","",IF(AND(C1129&lt;&gt;"No encontrado",F1129&lt;&gt;"Inactivo"),C1129&amp;" → "&amp;F1129,"Sin transición"))</f>
        <v/>
      </c>
      <c r="H1129" s="23" t="str">
        <f aca="false">IF(A1129="","",IF(D1129="GCIA LINEA SERVICIO DIGITALIDAD Y VENTAS","Chats",IF(OR(D1129="GERENCIA INBOUND LÍNEAS SERVICIO Y VENTA",D1129="GERENCIA INBOUND LINEAS ESPECIALIZADAS"),"Llamadas","Otro")))</f>
        <v/>
      </c>
      <c r="I1129" s="23" t="str">
        <f aca="false">IF(A1129="","",IF(C1129="No encontrado","No","Sí"))</f>
        <v/>
      </c>
      <c r="J1129" s="23" t="str">
        <f aca="false">IF(A1129="","",IF(F1129="Inactivo","No","Sí"))</f>
        <v/>
      </c>
      <c r="K1129" s="23" t="str">
        <f aca="false">IF(A1129="","",IF(AND(I1129="Sí",J1129="Sí"),"Sí","No"))</f>
        <v/>
      </c>
    </row>
    <row r="1130" customFormat="false" ht="15" hidden="false" customHeight="false" outlineLevel="0" collapsed="false">
      <c r="A1130" s="22"/>
      <c r="B1130" s="22"/>
      <c r="C1130" s="26" t="str">
        <f aca="false">IF(A1130="","",IFERROR(buscarx(A1130&amp;B1130,DATA!$E$3:$E$10000&amp;DATA!$B$3:$B$10000,DATA!$M$3:$M$10000),"No encontrado"))</f>
        <v/>
      </c>
      <c r="D1130" s="27" t="str">
        <f aca="false">IF(A1130="","",IFERROR(buscarx(A1130&amp;B1130,DATA!$E$3:$E$10000&amp;DATA!$B$3:$B$10000,DATA!$W$3:$W$10000),"No encontrado"))</f>
        <v/>
      </c>
      <c r="E1130" s="22"/>
      <c r="F1130" s="26" t="str">
        <f aca="false">IF(A1130="","",IFERROR(buscarx(A1130&amp;E1130,DATA!$E$3:$E$10000&amp;DATA!$B$3:$B$10000,DATA!$M$3:$M$10000),"Inactivo"))</f>
        <v/>
      </c>
      <c r="G1130" s="28" t="str">
        <f aca="false">IF(A1130="","",IF(AND(C1130&lt;&gt;"No encontrado",F1130&lt;&gt;"Inactivo"),C1130&amp;" → "&amp;F1130,"Sin transición"))</f>
        <v/>
      </c>
      <c r="H1130" s="26" t="str">
        <f aca="false">IF(A1130="","",IF(D1130="GCIA LINEA SERVICIO DIGITALIDAD Y VENTAS","Chats",IF(OR(D1130="GERENCIA INBOUND LÍNEAS SERVICIO Y VENTA",D1130="GERENCIA INBOUND LINEAS ESPECIALIZADAS"),"Llamadas","Otro")))</f>
        <v/>
      </c>
      <c r="I1130" s="26" t="str">
        <f aca="false">IF(A1130="","",IF(C1130="No encontrado","No","Sí"))</f>
        <v/>
      </c>
      <c r="J1130" s="26" t="str">
        <f aca="false">IF(A1130="","",IF(F1130="Inactivo","No","Sí"))</f>
        <v/>
      </c>
      <c r="K1130" s="26" t="str">
        <f aca="false">IF(A1130="","",IF(AND(I1130="Sí",J1130="Sí"),"Sí","No"))</f>
        <v/>
      </c>
    </row>
    <row r="1131" customFormat="false" ht="15" hidden="false" customHeight="false" outlineLevel="0" collapsed="false">
      <c r="A1131" s="22"/>
      <c r="B1131" s="22"/>
      <c r="C1131" s="23" t="str">
        <f aca="false">IF(A1131="","",IFERROR(buscarx(A1131&amp;B1131,DATA!$E$3:$E$10000&amp;DATA!$B$3:$B$10000,DATA!$M$3:$M$10000),"No encontrado"))</f>
        <v/>
      </c>
      <c r="D1131" s="24" t="str">
        <f aca="false">IF(A1131="","",IFERROR(buscarx(A1131&amp;B1131,DATA!$E$3:$E$10000&amp;DATA!$B$3:$B$10000,DATA!$W$3:$W$10000),"No encontrado"))</f>
        <v/>
      </c>
      <c r="E1131" s="22"/>
      <c r="F1131" s="23" t="str">
        <f aca="false">IF(A1131="","",IFERROR(buscarx(A1131&amp;E1131,DATA!$E$3:$E$10000&amp;DATA!$B$3:$B$10000,DATA!$M$3:$M$10000),"Inactivo"))</f>
        <v/>
      </c>
      <c r="G1131" s="25" t="str">
        <f aca="false">IF(A1131="","",IF(AND(C1131&lt;&gt;"No encontrado",F1131&lt;&gt;"Inactivo"),C1131&amp;" → "&amp;F1131,"Sin transición"))</f>
        <v/>
      </c>
      <c r="H1131" s="23" t="str">
        <f aca="false">IF(A1131="","",IF(D1131="GCIA LINEA SERVICIO DIGITALIDAD Y VENTAS","Chats",IF(OR(D1131="GERENCIA INBOUND LÍNEAS SERVICIO Y VENTA",D1131="GERENCIA INBOUND LINEAS ESPECIALIZADAS"),"Llamadas","Otro")))</f>
        <v/>
      </c>
      <c r="I1131" s="23" t="str">
        <f aca="false">IF(A1131="","",IF(C1131="No encontrado","No","Sí"))</f>
        <v/>
      </c>
      <c r="J1131" s="23" t="str">
        <f aca="false">IF(A1131="","",IF(F1131="Inactivo","No","Sí"))</f>
        <v/>
      </c>
      <c r="K1131" s="23" t="str">
        <f aca="false">IF(A1131="","",IF(AND(I1131="Sí",J1131="Sí"),"Sí","No"))</f>
        <v/>
      </c>
    </row>
    <row r="1132" customFormat="false" ht="15" hidden="false" customHeight="false" outlineLevel="0" collapsed="false">
      <c r="A1132" s="22"/>
      <c r="B1132" s="22"/>
      <c r="C1132" s="26" t="str">
        <f aca="false">IF(A1132="","",IFERROR(buscarx(A1132&amp;B1132,DATA!$E$3:$E$10000&amp;DATA!$B$3:$B$10000,DATA!$M$3:$M$10000),"No encontrado"))</f>
        <v/>
      </c>
      <c r="D1132" s="27" t="str">
        <f aca="false">IF(A1132="","",IFERROR(buscarx(A1132&amp;B1132,DATA!$E$3:$E$10000&amp;DATA!$B$3:$B$10000,DATA!$W$3:$W$10000),"No encontrado"))</f>
        <v/>
      </c>
      <c r="E1132" s="22"/>
      <c r="F1132" s="26" t="str">
        <f aca="false">IF(A1132="","",IFERROR(buscarx(A1132&amp;E1132,DATA!$E$3:$E$10000&amp;DATA!$B$3:$B$10000,DATA!$M$3:$M$10000),"Inactivo"))</f>
        <v/>
      </c>
      <c r="G1132" s="28" t="str">
        <f aca="false">IF(A1132="","",IF(AND(C1132&lt;&gt;"No encontrado",F1132&lt;&gt;"Inactivo"),C1132&amp;" → "&amp;F1132,"Sin transición"))</f>
        <v/>
      </c>
      <c r="H1132" s="26" t="str">
        <f aca="false">IF(A1132="","",IF(D1132="GCIA LINEA SERVICIO DIGITALIDAD Y VENTAS","Chats",IF(OR(D1132="GERENCIA INBOUND LÍNEAS SERVICIO Y VENTA",D1132="GERENCIA INBOUND LINEAS ESPECIALIZADAS"),"Llamadas","Otro")))</f>
        <v/>
      </c>
      <c r="I1132" s="26" t="str">
        <f aca="false">IF(A1132="","",IF(C1132="No encontrado","No","Sí"))</f>
        <v/>
      </c>
      <c r="J1132" s="26" t="str">
        <f aca="false">IF(A1132="","",IF(F1132="Inactivo","No","Sí"))</f>
        <v/>
      </c>
      <c r="K1132" s="26" t="str">
        <f aca="false">IF(A1132="","",IF(AND(I1132="Sí",J1132="Sí"),"Sí","No"))</f>
        <v/>
      </c>
    </row>
    <row r="1133" customFormat="false" ht="15" hidden="false" customHeight="false" outlineLevel="0" collapsed="false">
      <c r="A1133" s="22"/>
      <c r="B1133" s="22"/>
      <c r="C1133" s="23" t="str">
        <f aca="false">IF(A1133="","",IFERROR(buscarx(A1133&amp;B1133,DATA!$E$3:$E$10000&amp;DATA!$B$3:$B$10000,DATA!$M$3:$M$10000),"No encontrado"))</f>
        <v/>
      </c>
      <c r="D1133" s="24" t="str">
        <f aca="false">IF(A1133="","",IFERROR(buscarx(A1133&amp;B1133,DATA!$E$3:$E$10000&amp;DATA!$B$3:$B$10000,DATA!$W$3:$W$10000),"No encontrado"))</f>
        <v/>
      </c>
      <c r="E1133" s="22"/>
      <c r="F1133" s="23" t="str">
        <f aca="false">IF(A1133="","",IFERROR(buscarx(A1133&amp;E1133,DATA!$E$3:$E$10000&amp;DATA!$B$3:$B$10000,DATA!$M$3:$M$10000),"Inactivo"))</f>
        <v/>
      </c>
      <c r="G1133" s="25" t="str">
        <f aca="false">IF(A1133="","",IF(AND(C1133&lt;&gt;"No encontrado",F1133&lt;&gt;"Inactivo"),C1133&amp;" → "&amp;F1133,"Sin transición"))</f>
        <v/>
      </c>
      <c r="H1133" s="23" t="str">
        <f aca="false">IF(A1133="","",IF(D1133="GCIA LINEA SERVICIO DIGITALIDAD Y VENTAS","Chats",IF(OR(D1133="GERENCIA INBOUND LÍNEAS SERVICIO Y VENTA",D1133="GERENCIA INBOUND LINEAS ESPECIALIZADAS"),"Llamadas","Otro")))</f>
        <v/>
      </c>
      <c r="I1133" s="23" t="str">
        <f aca="false">IF(A1133="","",IF(C1133="No encontrado","No","Sí"))</f>
        <v/>
      </c>
      <c r="J1133" s="23" t="str">
        <f aca="false">IF(A1133="","",IF(F1133="Inactivo","No","Sí"))</f>
        <v/>
      </c>
      <c r="K1133" s="23" t="str">
        <f aca="false">IF(A1133="","",IF(AND(I1133="Sí",J1133="Sí"),"Sí","No"))</f>
        <v/>
      </c>
    </row>
    <row r="1134" customFormat="false" ht="15" hidden="false" customHeight="false" outlineLevel="0" collapsed="false">
      <c r="A1134" s="22"/>
      <c r="B1134" s="22"/>
      <c r="C1134" s="26" t="str">
        <f aca="false">IF(A1134="","",IFERROR(buscarx(A1134&amp;B1134,DATA!$E$3:$E$10000&amp;DATA!$B$3:$B$10000,DATA!$M$3:$M$10000),"No encontrado"))</f>
        <v/>
      </c>
      <c r="D1134" s="27" t="str">
        <f aca="false">IF(A1134="","",IFERROR(buscarx(A1134&amp;B1134,DATA!$E$3:$E$10000&amp;DATA!$B$3:$B$10000,DATA!$W$3:$W$10000),"No encontrado"))</f>
        <v/>
      </c>
      <c r="E1134" s="22"/>
      <c r="F1134" s="26" t="str">
        <f aca="false">IF(A1134="","",IFERROR(buscarx(A1134&amp;E1134,DATA!$E$3:$E$10000&amp;DATA!$B$3:$B$10000,DATA!$M$3:$M$10000),"Inactivo"))</f>
        <v/>
      </c>
      <c r="G1134" s="28" t="str">
        <f aca="false">IF(A1134="","",IF(AND(C1134&lt;&gt;"No encontrado",F1134&lt;&gt;"Inactivo"),C1134&amp;" → "&amp;F1134,"Sin transición"))</f>
        <v/>
      </c>
      <c r="H1134" s="26" t="str">
        <f aca="false">IF(A1134="","",IF(D1134="GCIA LINEA SERVICIO DIGITALIDAD Y VENTAS","Chats",IF(OR(D1134="GERENCIA INBOUND LÍNEAS SERVICIO Y VENTA",D1134="GERENCIA INBOUND LINEAS ESPECIALIZADAS"),"Llamadas","Otro")))</f>
        <v/>
      </c>
      <c r="I1134" s="26" t="str">
        <f aca="false">IF(A1134="","",IF(C1134="No encontrado","No","Sí"))</f>
        <v/>
      </c>
      <c r="J1134" s="26" t="str">
        <f aca="false">IF(A1134="","",IF(F1134="Inactivo","No","Sí"))</f>
        <v/>
      </c>
      <c r="K1134" s="26" t="str">
        <f aca="false">IF(A1134="","",IF(AND(I1134="Sí",J1134="Sí"),"Sí","No"))</f>
        <v/>
      </c>
    </row>
    <row r="1135" customFormat="false" ht="15" hidden="false" customHeight="false" outlineLevel="0" collapsed="false">
      <c r="A1135" s="22"/>
      <c r="B1135" s="22"/>
      <c r="C1135" s="23" t="str">
        <f aca="false">IF(A1135="","",IFERROR(buscarx(A1135&amp;B1135,DATA!$E$3:$E$10000&amp;DATA!$B$3:$B$10000,DATA!$M$3:$M$10000),"No encontrado"))</f>
        <v/>
      </c>
      <c r="D1135" s="24" t="str">
        <f aca="false">IF(A1135="","",IFERROR(buscarx(A1135&amp;B1135,DATA!$E$3:$E$10000&amp;DATA!$B$3:$B$10000,DATA!$W$3:$W$10000),"No encontrado"))</f>
        <v/>
      </c>
      <c r="E1135" s="22"/>
      <c r="F1135" s="23" t="str">
        <f aca="false">IF(A1135="","",IFERROR(buscarx(A1135&amp;E1135,DATA!$E$3:$E$10000&amp;DATA!$B$3:$B$10000,DATA!$M$3:$M$10000),"Inactivo"))</f>
        <v/>
      </c>
      <c r="G1135" s="25" t="str">
        <f aca="false">IF(A1135="","",IF(AND(C1135&lt;&gt;"No encontrado",F1135&lt;&gt;"Inactivo"),C1135&amp;" → "&amp;F1135,"Sin transición"))</f>
        <v/>
      </c>
      <c r="H1135" s="23" t="str">
        <f aca="false">IF(A1135="","",IF(D1135="GCIA LINEA SERVICIO DIGITALIDAD Y VENTAS","Chats",IF(OR(D1135="GERENCIA INBOUND LÍNEAS SERVICIO Y VENTA",D1135="GERENCIA INBOUND LINEAS ESPECIALIZADAS"),"Llamadas","Otro")))</f>
        <v/>
      </c>
      <c r="I1135" s="23" t="str">
        <f aca="false">IF(A1135="","",IF(C1135="No encontrado","No","Sí"))</f>
        <v/>
      </c>
      <c r="J1135" s="23" t="str">
        <f aca="false">IF(A1135="","",IF(F1135="Inactivo","No","Sí"))</f>
        <v/>
      </c>
      <c r="K1135" s="23" t="str">
        <f aca="false">IF(A1135="","",IF(AND(I1135="Sí",J1135="Sí"),"Sí","No"))</f>
        <v/>
      </c>
    </row>
    <row r="1136" customFormat="false" ht="15" hidden="false" customHeight="false" outlineLevel="0" collapsed="false">
      <c r="A1136" s="22"/>
      <c r="B1136" s="22"/>
      <c r="C1136" s="26" t="str">
        <f aca="false">IF(A1136="","",IFERROR(buscarx(A1136&amp;B1136,DATA!$E$3:$E$10000&amp;DATA!$B$3:$B$10000,DATA!$M$3:$M$10000),"No encontrado"))</f>
        <v/>
      </c>
      <c r="D1136" s="27" t="str">
        <f aca="false">IF(A1136="","",IFERROR(buscarx(A1136&amp;B1136,DATA!$E$3:$E$10000&amp;DATA!$B$3:$B$10000,DATA!$W$3:$W$10000),"No encontrado"))</f>
        <v/>
      </c>
      <c r="E1136" s="22"/>
      <c r="F1136" s="26" t="str">
        <f aca="false">IF(A1136="","",IFERROR(buscarx(A1136&amp;E1136,DATA!$E$3:$E$10000&amp;DATA!$B$3:$B$10000,DATA!$M$3:$M$10000),"Inactivo"))</f>
        <v/>
      </c>
      <c r="G1136" s="28" t="str">
        <f aca="false">IF(A1136="","",IF(AND(C1136&lt;&gt;"No encontrado",F1136&lt;&gt;"Inactivo"),C1136&amp;" → "&amp;F1136,"Sin transición"))</f>
        <v/>
      </c>
      <c r="H1136" s="26" t="str">
        <f aca="false">IF(A1136="","",IF(D1136="GCIA LINEA SERVICIO DIGITALIDAD Y VENTAS","Chats",IF(OR(D1136="GERENCIA INBOUND LÍNEAS SERVICIO Y VENTA",D1136="GERENCIA INBOUND LINEAS ESPECIALIZADAS"),"Llamadas","Otro")))</f>
        <v/>
      </c>
      <c r="I1136" s="26" t="str">
        <f aca="false">IF(A1136="","",IF(C1136="No encontrado","No","Sí"))</f>
        <v/>
      </c>
      <c r="J1136" s="26" t="str">
        <f aca="false">IF(A1136="","",IF(F1136="Inactivo","No","Sí"))</f>
        <v/>
      </c>
      <c r="K1136" s="26" t="str">
        <f aca="false">IF(A1136="","",IF(AND(I1136="Sí",J1136="Sí"),"Sí","No"))</f>
        <v/>
      </c>
    </row>
    <row r="1137" customFormat="false" ht="15" hidden="false" customHeight="false" outlineLevel="0" collapsed="false">
      <c r="A1137" s="22"/>
      <c r="B1137" s="22"/>
      <c r="C1137" s="23" t="str">
        <f aca="false">IF(A1137="","",IFERROR(buscarx(A1137&amp;B1137,DATA!$E$3:$E$10000&amp;DATA!$B$3:$B$10000,DATA!$M$3:$M$10000),"No encontrado"))</f>
        <v/>
      </c>
      <c r="D1137" s="24" t="str">
        <f aca="false">IF(A1137="","",IFERROR(buscarx(A1137&amp;B1137,DATA!$E$3:$E$10000&amp;DATA!$B$3:$B$10000,DATA!$W$3:$W$10000),"No encontrado"))</f>
        <v/>
      </c>
      <c r="E1137" s="22"/>
      <c r="F1137" s="23" t="str">
        <f aca="false">IF(A1137="","",IFERROR(buscarx(A1137&amp;E1137,DATA!$E$3:$E$10000&amp;DATA!$B$3:$B$10000,DATA!$M$3:$M$10000),"Inactivo"))</f>
        <v/>
      </c>
      <c r="G1137" s="25" t="str">
        <f aca="false">IF(A1137="","",IF(AND(C1137&lt;&gt;"No encontrado",F1137&lt;&gt;"Inactivo"),C1137&amp;" → "&amp;F1137,"Sin transición"))</f>
        <v/>
      </c>
      <c r="H1137" s="23" t="str">
        <f aca="false">IF(A1137="","",IF(D1137="GCIA LINEA SERVICIO DIGITALIDAD Y VENTAS","Chats",IF(OR(D1137="GERENCIA INBOUND LÍNEAS SERVICIO Y VENTA",D1137="GERENCIA INBOUND LINEAS ESPECIALIZADAS"),"Llamadas","Otro")))</f>
        <v/>
      </c>
      <c r="I1137" s="23" t="str">
        <f aca="false">IF(A1137="","",IF(C1137="No encontrado","No","Sí"))</f>
        <v/>
      </c>
      <c r="J1137" s="23" t="str">
        <f aca="false">IF(A1137="","",IF(F1137="Inactivo","No","Sí"))</f>
        <v/>
      </c>
      <c r="K1137" s="23" t="str">
        <f aca="false">IF(A1137="","",IF(AND(I1137="Sí",J1137="Sí"),"Sí","No"))</f>
        <v/>
      </c>
    </row>
    <row r="1138" customFormat="false" ht="15" hidden="false" customHeight="false" outlineLevel="0" collapsed="false">
      <c r="A1138" s="22"/>
      <c r="B1138" s="22"/>
      <c r="C1138" s="26" t="str">
        <f aca="false">IF(A1138="","",IFERROR(buscarx(A1138&amp;B1138,DATA!$E$3:$E$10000&amp;DATA!$B$3:$B$10000,DATA!$M$3:$M$10000),"No encontrado"))</f>
        <v/>
      </c>
      <c r="D1138" s="27" t="str">
        <f aca="false">IF(A1138="","",IFERROR(buscarx(A1138&amp;B1138,DATA!$E$3:$E$10000&amp;DATA!$B$3:$B$10000,DATA!$W$3:$W$10000),"No encontrado"))</f>
        <v/>
      </c>
      <c r="E1138" s="22"/>
      <c r="F1138" s="26" t="str">
        <f aca="false">IF(A1138="","",IFERROR(buscarx(A1138&amp;E1138,DATA!$E$3:$E$10000&amp;DATA!$B$3:$B$10000,DATA!$M$3:$M$10000),"Inactivo"))</f>
        <v/>
      </c>
      <c r="G1138" s="28" t="str">
        <f aca="false">IF(A1138="","",IF(AND(C1138&lt;&gt;"No encontrado",F1138&lt;&gt;"Inactivo"),C1138&amp;" → "&amp;F1138,"Sin transición"))</f>
        <v/>
      </c>
      <c r="H1138" s="26" t="str">
        <f aca="false">IF(A1138="","",IF(D1138="GCIA LINEA SERVICIO DIGITALIDAD Y VENTAS","Chats",IF(OR(D1138="GERENCIA INBOUND LÍNEAS SERVICIO Y VENTA",D1138="GERENCIA INBOUND LINEAS ESPECIALIZADAS"),"Llamadas","Otro")))</f>
        <v/>
      </c>
      <c r="I1138" s="26" t="str">
        <f aca="false">IF(A1138="","",IF(C1138="No encontrado","No","Sí"))</f>
        <v/>
      </c>
      <c r="J1138" s="26" t="str">
        <f aca="false">IF(A1138="","",IF(F1138="Inactivo","No","Sí"))</f>
        <v/>
      </c>
      <c r="K1138" s="26" t="str">
        <f aca="false">IF(A1138="","",IF(AND(I1138="Sí",J1138="Sí"),"Sí","No"))</f>
        <v/>
      </c>
    </row>
    <row r="1139" customFormat="false" ht="15" hidden="false" customHeight="false" outlineLevel="0" collapsed="false">
      <c r="A1139" s="22"/>
      <c r="B1139" s="22"/>
      <c r="C1139" s="23" t="str">
        <f aca="false">IF(A1139="","",IFERROR(buscarx(A1139&amp;B1139,DATA!$E$3:$E$10000&amp;DATA!$B$3:$B$10000,DATA!$M$3:$M$10000),"No encontrado"))</f>
        <v/>
      </c>
      <c r="D1139" s="24" t="str">
        <f aca="false">IF(A1139="","",IFERROR(buscarx(A1139&amp;B1139,DATA!$E$3:$E$10000&amp;DATA!$B$3:$B$10000,DATA!$W$3:$W$10000),"No encontrado"))</f>
        <v/>
      </c>
      <c r="E1139" s="22"/>
      <c r="F1139" s="23" t="str">
        <f aca="false">IF(A1139="","",IFERROR(buscarx(A1139&amp;E1139,DATA!$E$3:$E$10000&amp;DATA!$B$3:$B$10000,DATA!$M$3:$M$10000),"Inactivo"))</f>
        <v/>
      </c>
      <c r="G1139" s="25" t="str">
        <f aca="false">IF(A1139="","",IF(AND(C1139&lt;&gt;"No encontrado",F1139&lt;&gt;"Inactivo"),C1139&amp;" → "&amp;F1139,"Sin transición"))</f>
        <v/>
      </c>
      <c r="H1139" s="23" t="str">
        <f aca="false">IF(A1139="","",IF(D1139="GCIA LINEA SERVICIO DIGITALIDAD Y VENTAS","Chats",IF(OR(D1139="GERENCIA INBOUND LÍNEAS SERVICIO Y VENTA",D1139="GERENCIA INBOUND LINEAS ESPECIALIZADAS"),"Llamadas","Otro")))</f>
        <v/>
      </c>
      <c r="I1139" s="23" t="str">
        <f aca="false">IF(A1139="","",IF(C1139="No encontrado","No","Sí"))</f>
        <v/>
      </c>
      <c r="J1139" s="23" t="str">
        <f aca="false">IF(A1139="","",IF(F1139="Inactivo","No","Sí"))</f>
        <v/>
      </c>
      <c r="K1139" s="23" t="str">
        <f aca="false">IF(A1139="","",IF(AND(I1139="Sí",J1139="Sí"),"Sí","No"))</f>
        <v/>
      </c>
    </row>
    <row r="1140" customFormat="false" ht="15" hidden="false" customHeight="false" outlineLevel="0" collapsed="false">
      <c r="A1140" s="22"/>
      <c r="B1140" s="22"/>
      <c r="C1140" s="26" t="str">
        <f aca="false">IF(A1140="","",IFERROR(buscarx(A1140&amp;B1140,DATA!$E$3:$E$10000&amp;DATA!$B$3:$B$10000,DATA!$M$3:$M$10000),"No encontrado"))</f>
        <v/>
      </c>
      <c r="D1140" s="27" t="str">
        <f aca="false">IF(A1140="","",IFERROR(buscarx(A1140&amp;B1140,DATA!$E$3:$E$10000&amp;DATA!$B$3:$B$10000,DATA!$W$3:$W$10000),"No encontrado"))</f>
        <v/>
      </c>
      <c r="E1140" s="22"/>
      <c r="F1140" s="26" t="str">
        <f aca="false">IF(A1140="","",IFERROR(buscarx(A1140&amp;E1140,DATA!$E$3:$E$10000&amp;DATA!$B$3:$B$10000,DATA!$M$3:$M$10000),"Inactivo"))</f>
        <v/>
      </c>
      <c r="G1140" s="28" t="str">
        <f aca="false">IF(A1140="","",IF(AND(C1140&lt;&gt;"No encontrado",F1140&lt;&gt;"Inactivo"),C1140&amp;" → "&amp;F1140,"Sin transición"))</f>
        <v/>
      </c>
      <c r="H1140" s="26" t="str">
        <f aca="false">IF(A1140="","",IF(D1140="GCIA LINEA SERVICIO DIGITALIDAD Y VENTAS","Chats",IF(OR(D1140="GERENCIA INBOUND LÍNEAS SERVICIO Y VENTA",D1140="GERENCIA INBOUND LINEAS ESPECIALIZADAS"),"Llamadas","Otro")))</f>
        <v/>
      </c>
      <c r="I1140" s="26" t="str">
        <f aca="false">IF(A1140="","",IF(C1140="No encontrado","No","Sí"))</f>
        <v/>
      </c>
      <c r="J1140" s="26" t="str">
        <f aca="false">IF(A1140="","",IF(F1140="Inactivo","No","Sí"))</f>
        <v/>
      </c>
      <c r="K1140" s="26" t="str">
        <f aca="false">IF(A1140="","",IF(AND(I1140="Sí",J1140="Sí"),"Sí","No"))</f>
        <v/>
      </c>
    </row>
    <row r="1141" customFormat="false" ht="15" hidden="false" customHeight="false" outlineLevel="0" collapsed="false">
      <c r="A1141" s="22"/>
      <c r="B1141" s="22"/>
      <c r="C1141" s="23" t="str">
        <f aca="false">IF(A1141="","",IFERROR(buscarx(A1141&amp;B1141,DATA!$E$3:$E$10000&amp;DATA!$B$3:$B$10000,DATA!$M$3:$M$10000),"No encontrado"))</f>
        <v/>
      </c>
      <c r="D1141" s="24" t="str">
        <f aca="false">IF(A1141="","",IFERROR(buscarx(A1141&amp;B1141,DATA!$E$3:$E$10000&amp;DATA!$B$3:$B$10000,DATA!$W$3:$W$10000),"No encontrado"))</f>
        <v/>
      </c>
      <c r="E1141" s="22"/>
      <c r="F1141" s="23" t="str">
        <f aca="false">IF(A1141="","",IFERROR(buscarx(A1141&amp;E1141,DATA!$E$3:$E$10000&amp;DATA!$B$3:$B$10000,DATA!$M$3:$M$10000),"Inactivo"))</f>
        <v/>
      </c>
      <c r="G1141" s="25" t="str">
        <f aca="false">IF(A1141="","",IF(AND(C1141&lt;&gt;"No encontrado",F1141&lt;&gt;"Inactivo"),C1141&amp;" → "&amp;F1141,"Sin transición"))</f>
        <v/>
      </c>
      <c r="H1141" s="23" t="str">
        <f aca="false">IF(A1141="","",IF(D1141="GCIA LINEA SERVICIO DIGITALIDAD Y VENTAS","Chats",IF(OR(D1141="GERENCIA INBOUND LÍNEAS SERVICIO Y VENTA",D1141="GERENCIA INBOUND LINEAS ESPECIALIZADAS"),"Llamadas","Otro")))</f>
        <v/>
      </c>
      <c r="I1141" s="23" t="str">
        <f aca="false">IF(A1141="","",IF(C1141="No encontrado","No","Sí"))</f>
        <v/>
      </c>
      <c r="J1141" s="23" t="str">
        <f aca="false">IF(A1141="","",IF(F1141="Inactivo","No","Sí"))</f>
        <v/>
      </c>
      <c r="K1141" s="23" t="str">
        <f aca="false">IF(A1141="","",IF(AND(I1141="Sí",J1141="Sí"),"Sí","No"))</f>
        <v/>
      </c>
    </row>
    <row r="1142" customFormat="false" ht="15" hidden="false" customHeight="false" outlineLevel="0" collapsed="false">
      <c r="A1142" s="22"/>
      <c r="B1142" s="22"/>
      <c r="C1142" s="26" t="str">
        <f aca="false">IF(A1142="","",IFERROR(buscarx(A1142&amp;B1142,DATA!$E$3:$E$10000&amp;DATA!$B$3:$B$10000,DATA!$M$3:$M$10000),"No encontrado"))</f>
        <v/>
      </c>
      <c r="D1142" s="27" t="str">
        <f aca="false">IF(A1142="","",IFERROR(buscarx(A1142&amp;B1142,DATA!$E$3:$E$10000&amp;DATA!$B$3:$B$10000,DATA!$W$3:$W$10000),"No encontrado"))</f>
        <v/>
      </c>
      <c r="E1142" s="22"/>
      <c r="F1142" s="26" t="str">
        <f aca="false">IF(A1142="","",IFERROR(buscarx(A1142&amp;E1142,DATA!$E$3:$E$10000&amp;DATA!$B$3:$B$10000,DATA!$M$3:$M$10000),"Inactivo"))</f>
        <v/>
      </c>
      <c r="G1142" s="28" t="str">
        <f aca="false">IF(A1142="","",IF(AND(C1142&lt;&gt;"No encontrado",F1142&lt;&gt;"Inactivo"),C1142&amp;" → "&amp;F1142,"Sin transición"))</f>
        <v/>
      </c>
      <c r="H1142" s="26" t="str">
        <f aca="false">IF(A1142="","",IF(D1142="GCIA LINEA SERVICIO DIGITALIDAD Y VENTAS","Chats",IF(OR(D1142="GERENCIA INBOUND LÍNEAS SERVICIO Y VENTA",D1142="GERENCIA INBOUND LINEAS ESPECIALIZADAS"),"Llamadas","Otro")))</f>
        <v/>
      </c>
      <c r="I1142" s="26" t="str">
        <f aca="false">IF(A1142="","",IF(C1142="No encontrado","No","Sí"))</f>
        <v/>
      </c>
      <c r="J1142" s="26" t="str">
        <f aca="false">IF(A1142="","",IF(F1142="Inactivo","No","Sí"))</f>
        <v/>
      </c>
      <c r="K1142" s="26" t="str">
        <f aca="false">IF(A1142="","",IF(AND(I1142="Sí",J1142="Sí"),"Sí","No"))</f>
        <v/>
      </c>
    </row>
    <row r="1143" customFormat="false" ht="15" hidden="false" customHeight="false" outlineLevel="0" collapsed="false">
      <c r="A1143" s="22"/>
      <c r="B1143" s="22"/>
      <c r="C1143" s="23" t="str">
        <f aca="false">IF(A1143="","",IFERROR(buscarx(A1143&amp;B1143,DATA!$E$3:$E$10000&amp;DATA!$B$3:$B$10000,DATA!$M$3:$M$10000),"No encontrado"))</f>
        <v/>
      </c>
      <c r="D1143" s="24" t="str">
        <f aca="false">IF(A1143="","",IFERROR(buscarx(A1143&amp;B1143,DATA!$E$3:$E$10000&amp;DATA!$B$3:$B$10000,DATA!$W$3:$W$10000),"No encontrado"))</f>
        <v/>
      </c>
      <c r="E1143" s="22"/>
      <c r="F1143" s="23" t="str">
        <f aca="false">IF(A1143="","",IFERROR(buscarx(A1143&amp;E1143,DATA!$E$3:$E$10000&amp;DATA!$B$3:$B$10000,DATA!$M$3:$M$10000),"Inactivo"))</f>
        <v/>
      </c>
      <c r="G1143" s="25" t="str">
        <f aca="false">IF(A1143="","",IF(AND(C1143&lt;&gt;"No encontrado",F1143&lt;&gt;"Inactivo"),C1143&amp;" → "&amp;F1143,"Sin transición"))</f>
        <v/>
      </c>
      <c r="H1143" s="23" t="str">
        <f aca="false">IF(A1143="","",IF(D1143="GCIA LINEA SERVICIO DIGITALIDAD Y VENTAS","Chats",IF(OR(D1143="GERENCIA INBOUND LÍNEAS SERVICIO Y VENTA",D1143="GERENCIA INBOUND LINEAS ESPECIALIZADAS"),"Llamadas","Otro")))</f>
        <v/>
      </c>
      <c r="I1143" s="23" t="str">
        <f aca="false">IF(A1143="","",IF(C1143="No encontrado","No","Sí"))</f>
        <v/>
      </c>
      <c r="J1143" s="23" t="str">
        <f aca="false">IF(A1143="","",IF(F1143="Inactivo","No","Sí"))</f>
        <v/>
      </c>
      <c r="K1143" s="23" t="str">
        <f aca="false">IF(A1143="","",IF(AND(I1143="Sí",J1143="Sí"),"Sí","No"))</f>
        <v/>
      </c>
    </row>
    <row r="1144" customFormat="false" ht="15" hidden="false" customHeight="false" outlineLevel="0" collapsed="false">
      <c r="A1144" s="22"/>
      <c r="B1144" s="22"/>
      <c r="C1144" s="26" t="str">
        <f aca="false">IF(A1144="","",IFERROR(buscarx(A1144&amp;B1144,DATA!$E$3:$E$10000&amp;DATA!$B$3:$B$10000,DATA!$M$3:$M$10000),"No encontrado"))</f>
        <v/>
      </c>
      <c r="D1144" s="27" t="str">
        <f aca="false">IF(A1144="","",IFERROR(buscarx(A1144&amp;B1144,DATA!$E$3:$E$10000&amp;DATA!$B$3:$B$10000,DATA!$W$3:$W$10000),"No encontrado"))</f>
        <v/>
      </c>
      <c r="E1144" s="22"/>
      <c r="F1144" s="26" t="str">
        <f aca="false">IF(A1144="","",IFERROR(buscarx(A1144&amp;E1144,DATA!$E$3:$E$10000&amp;DATA!$B$3:$B$10000,DATA!$M$3:$M$10000),"Inactivo"))</f>
        <v/>
      </c>
      <c r="G1144" s="28" t="str">
        <f aca="false">IF(A1144="","",IF(AND(C1144&lt;&gt;"No encontrado",F1144&lt;&gt;"Inactivo"),C1144&amp;" → "&amp;F1144,"Sin transición"))</f>
        <v/>
      </c>
      <c r="H1144" s="26" t="str">
        <f aca="false">IF(A1144="","",IF(D1144="GCIA LINEA SERVICIO DIGITALIDAD Y VENTAS","Chats",IF(OR(D1144="GERENCIA INBOUND LÍNEAS SERVICIO Y VENTA",D1144="GERENCIA INBOUND LINEAS ESPECIALIZADAS"),"Llamadas","Otro")))</f>
        <v/>
      </c>
      <c r="I1144" s="26" t="str">
        <f aca="false">IF(A1144="","",IF(C1144="No encontrado","No","Sí"))</f>
        <v/>
      </c>
      <c r="J1144" s="26" t="str">
        <f aca="false">IF(A1144="","",IF(F1144="Inactivo","No","Sí"))</f>
        <v/>
      </c>
      <c r="K1144" s="26" t="str">
        <f aca="false">IF(A1144="","",IF(AND(I1144="Sí",J1144="Sí"),"Sí","No"))</f>
        <v/>
      </c>
    </row>
    <row r="1145" customFormat="false" ht="15" hidden="false" customHeight="false" outlineLevel="0" collapsed="false">
      <c r="A1145" s="22"/>
      <c r="B1145" s="22"/>
      <c r="C1145" s="23" t="str">
        <f aca="false">IF(A1145="","",IFERROR(buscarx(A1145&amp;B1145,DATA!$E$3:$E$10000&amp;DATA!$B$3:$B$10000,DATA!$M$3:$M$10000),"No encontrado"))</f>
        <v/>
      </c>
      <c r="D1145" s="24" t="str">
        <f aca="false">IF(A1145="","",IFERROR(buscarx(A1145&amp;B1145,DATA!$E$3:$E$10000&amp;DATA!$B$3:$B$10000,DATA!$W$3:$W$10000),"No encontrado"))</f>
        <v/>
      </c>
      <c r="E1145" s="22"/>
      <c r="F1145" s="23" t="str">
        <f aca="false">IF(A1145="","",IFERROR(buscarx(A1145&amp;E1145,DATA!$E$3:$E$10000&amp;DATA!$B$3:$B$10000,DATA!$M$3:$M$10000),"Inactivo"))</f>
        <v/>
      </c>
      <c r="G1145" s="25" t="str">
        <f aca="false">IF(A1145="","",IF(AND(C1145&lt;&gt;"No encontrado",F1145&lt;&gt;"Inactivo"),C1145&amp;" → "&amp;F1145,"Sin transición"))</f>
        <v/>
      </c>
      <c r="H1145" s="23" t="str">
        <f aca="false">IF(A1145="","",IF(D1145="GCIA LINEA SERVICIO DIGITALIDAD Y VENTAS","Chats",IF(OR(D1145="GERENCIA INBOUND LÍNEAS SERVICIO Y VENTA",D1145="GERENCIA INBOUND LINEAS ESPECIALIZADAS"),"Llamadas","Otro")))</f>
        <v/>
      </c>
      <c r="I1145" s="23" t="str">
        <f aca="false">IF(A1145="","",IF(C1145="No encontrado","No","Sí"))</f>
        <v/>
      </c>
      <c r="J1145" s="23" t="str">
        <f aca="false">IF(A1145="","",IF(F1145="Inactivo","No","Sí"))</f>
        <v/>
      </c>
      <c r="K1145" s="23" t="str">
        <f aca="false">IF(A1145="","",IF(AND(I1145="Sí",J1145="Sí"),"Sí","No"))</f>
        <v/>
      </c>
    </row>
    <row r="1146" customFormat="false" ht="15" hidden="false" customHeight="false" outlineLevel="0" collapsed="false">
      <c r="A1146" s="22"/>
      <c r="B1146" s="22"/>
      <c r="C1146" s="26" t="str">
        <f aca="false">IF(A1146="","",IFERROR(buscarx(A1146&amp;B1146,DATA!$E$3:$E$10000&amp;DATA!$B$3:$B$10000,DATA!$M$3:$M$10000),"No encontrado"))</f>
        <v/>
      </c>
      <c r="D1146" s="27" t="str">
        <f aca="false">IF(A1146="","",IFERROR(buscarx(A1146&amp;B1146,DATA!$E$3:$E$10000&amp;DATA!$B$3:$B$10000,DATA!$W$3:$W$10000),"No encontrado"))</f>
        <v/>
      </c>
      <c r="E1146" s="22"/>
      <c r="F1146" s="26" t="str">
        <f aca="false">IF(A1146="","",IFERROR(buscarx(A1146&amp;E1146,DATA!$E$3:$E$10000&amp;DATA!$B$3:$B$10000,DATA!$M$3:$M$10000),"Inactivo"))</f>
        <v/>
      </c>
      <c r="G1146" s="28" t="str">
        <f aca="false">IF(A1146="","",IF(AND(C1146&lt;&gt;"No encontrado",F1146&lt;&gt;"Inactivo"),C1146&amp;" → "&amp;F1146,"Sin transición"))</f>
        <v/>
      </c>
      <c r="H1146" s="26" t="str">
        <f aca="false">IF(A1146="","",IF(D1146="GCIA LINEA SERVICIO DIGITALIDAD Y VENTAS","Chats",IF(OR(D1146="GERENCIA INBOUND LÍNEAS SERVICIO Y VENTA",D1146="GERENCIA INBOUND LINEAS ESPECIALIZADAS"),"Llamadas","Otro")))</f>
        <v/>
      </c>
      <c r="I1146" s="26" t="str">
        <f aca="false">IF(A1146="","",IF(C1146="No encontrado","No","Sí"))</f>
        <v/>
      </c>
      <c r="J1146" s="26" t="str">
        <f aca="false">IF(A1146="","",IF(F1146="Inactivo","No","Sí"))</f>
        <v/>
      </c>
      <c r="K1146" s="26" t="str">
        <f aca="false">IF(A1146="","",IF(AND(I1146="Sí",J1146="Sí"),"Sí","No"))</f>
        <v/>
      </c>
    </row>
    <row r="1147" customFormat="false" ht="15" hidden="false" customHeight="false" outlineLevel="0" collapsed="false">
      <c r="A1147" s="22"/>
      <c r="B1147" s="22"/>
      <c r="C1147" s="23" t="str">
        <f aca="false">IF(A1147="","",IFERROR(buscarx(A1147&amp;B1147,DATA!$E$3:$E$10000&amp;DATA!$B$3:$B$10000,DATA!$M$3:$M$10000),"No encontrado"))</f>
        <v/>
      </c>
      <c r="D1147" s="24" t="str">
        <f aca="false">IF(A1147="","",IFERROR(buscarx(A1147&amp;B1147,DATA!$E$3:$E$10000&amp;DATA!$B$3:$B$10000,DATA!$W$3:$W$10000),"No encontrado"))</f>
        <v/>
      </c>
      <c r="E1147" s="22"/>
      <c r="F1147" s="23" t="str">
        <f aca="false">IF(A1147="","",IFERROR(buscarx(A1147&amp;E1147,DATA!$E$3:$E$10000&amp;DATA!$B$3:$B$10000,DATA!$M$3:$M$10000),"Inactivo"))</f>
        <v/>
      </c>
      <c r="G1147" s="25" t="str">
        <f aca="false">IF(A1147="","",IF(AND(C1147&lt;&gt;"No encontrado",F1147&lt;&gt;"Inactivo"),C1147&amp;" → "&amp;F1147,"Sin transición"))</f>
        <v/>
      </c>
      <c r="H1147" s="23" t="str">
        <f aca="false">IF(A1147="","",IF(D1147="GCIA LINEA SERVICIO DIGITALIDAD Y VENTAS","Chats",IF(OR(D1147="GERENCIA INBOUND LÍNEAS SERVICIO Y VENTA",D1147="GERENCIA INBOUND LINEAS ESPECIALIZADAS"),"Llamadas","Otro")))</f>
        <v/>
      </c>
      <c r="I1147" s="23" t="str">
        <f aca="false">IF(A1147="","",IF(C1147="No encontrado","No","Sí"))</f>
        <v/>
      </c>
      <c r="J1147" s="23" t="str">
        <f aca="false">IF(A1147="","",IF(F1147="Inactivo","No","Sí"))</f>
        <v/>
      </c>
      <c r="K1147" s="23" t="str">
        <f aca="false">IF(A1147="","",IF(AND(I1147="Sí",J1147="Sí"),"Sí","No"))</f>
        <v/>
      </c>
    </row>
    <row r="1148" customFormat="false" ht="15" hidden="false" customHeight="false" outlineLevel="0" collapsed="false">
      <c r="A1148" s="22"/>
      <c r="B1148" s="22"/>
      <c r="C1148" s="26" t="str">
        <f aca="false">IF(A1148="","",IFERROR(buscarx(A1148&amp;B1148,DATA!$E$3:$E$10000&amp;DATA!$B$3:$B$10000,DATA!$M$3:$M$10000),"No encontrado"))</f>
        <v/>
      </c>
      <c r="D1148" s="27" t="str">
        <f aca="false">IF(A1148="","",IFERROR(buscarx(A1148&amp;B1148,DATA!$E$3:$E$10000&amp;DATA!$B$3:$B$10000,DATA!$W$3:$W$10000),"No encontrado"))</f>
        <v/>
      </c>
      <c r="E1148" s="22"/>
      <c r="F1148" s="26" t="str">
        <f aca="false">IF(A1148="","",IFERROR(buscarx(A1148&amp;E1148,DATA!$E$3:$E$10000&amp;DATA!$B$3:$B$10000,DATA!$M$3:$M$10000),"Inactivo"))</f>
        <v/>
      </c>
      <c r="G1148" s="28" t="str">
        <f aca="false">IF(A1148="","",IF(AND(C1148&lt;&gt;"No encontrado",F1148&lt;&gt;"Inactivo"),C1148&amp;" → "&amp;F1148,"Sin transición"))</f>
        <v/>
      </c>
      <c r="H1148" s="26" t="str">
        <f aca="false">IF(A1148="","",IF(D1148="GCIA LINEA SERVICIO DIGITALIDAD Y VENTAS","Chats",IF(OR(D1148="GERENCIA INBOUND LÍNEAS SERVICIO Y VENTA",D1148="GERENCIA INBOUND LINEAS ESPECIALIZADAS"),"Llamadas","Otro")))</f>
        <v/>
      </c>
      <c r="I1148" s="26" t="str">
        <f aca="false">IF(A1148="","",IF(C1148="No encontrado","No","Sí"))</f>
        <v/>
      </c>
      <c r="J1148" s="26" t="str">
        <f aca="false">IF(A1148="","",IF(F1148="Inactivo","No","Sí"))</f>
        <v/>
      </c>
      <c r="K1148" s="26" t="str">
        <f aca="false">IF(A1148="","",IF(AND(I1148="Sí",J1148="Sí"),"Sí","No"))</f>
        <v/>
      </c>
    </row>
    <row r="1149" customFormat="false" ht="15" hidden="false" customHeight="false" outlineLevel="0" collapsed="false">
      <c r="A1149" s="22"/>
      <c r="B1149" s="22"/>
      <c r="C1149" s="23" t="str">
        <f aca="false">IF(A1149="","",IFERROR(buscarx(A1149&amp;B1149,DATA!$E$3:$E$10000&amp;DATA!$B$3:$B$10000,DATA!$M$3:$M$10000),"No encontrado"))</f>
        <v/>
      </c>
      <c r="D1149" s="24" t="str">
        <f aca="false">IF(A1149="","",IFERROR(buscarx(A1149&amp;B1149,DATA!$E$3:$E$10000&amp;DATA!$B$3:$B$10000,DATA!$W$3:$W$10000),"No encontrado"))</f>
        <v/>
      </c>
      <c r="E1149" s="22"/>
      <c r="F1149" s="23" t="str">
        <f aca="false">IF(A1149="","",IFERROR(buscarx(A1149&amp;E1149,DATA!$E$3:$E$10000&amp;DATA!$B$3:$B$10000,DATA!$M$3:$M$10000),"Inactivo"))</f>
        <v/>
      </c>
      <c r="G1149" s="25" t="str">
        <f aca="false">IF(A1149="","",IF(AND(C1149&lt;&gt;"No encontrado",F1149&lt;&gt;"Inactivo"),C1149&amp;" → "&amp;F1149,"Sin transición"))</f>
        <v/>
      </c>
      <c r="H1149" s="23" t="str">
        <f aca="false">IF(A1149="","",IF(D1149="GCIA LINEA SERVICIO DIGITALIDAD Y VENTAS","Chats",IF(OR(D1149="GERENCIA INBOUND LÍNEAS SERVICIO Y VENTA",D1149="GERENCIA INBOUND LINEAS ESPECIALIZADAS"),"Llamadas","Otro")))</f>
        <v/>
      </c>
      <c r="I1149" s="23" t="str">
        <f aca="false">IF(A1149="","",IF(C1149="No encontrado","No","Sí"))</f>
        <v/>
      </c>
      <c r="J1149" s="23" t="str">
        <f aca="false">IF(A1149="","",IF(F1149="Inactivo","No","Sí"))</f>
        <v/>
      </c>
      <c r="K1149" s="23" t="str">
        <f aca="false">IF(A1149="","",IF(AND(I1149="Sí",J1149="Sí"),"Sí","No"))</f>
        <v/>
      </c>
    </row>
    <row r="1150" customFormat="false" ht="15" hidden="false" customHeight="false" outlineLevel="0" collapsed="false">
      <c r="A1150" s="22"/>
      <c r="B1150" s="22"/>
      <c r="C1150" s="26" t="str">
        <f aca="false">IF(A1150="","",IFERROR(buscarx(A1150&amp;B1150,DATA!$E$3:$E$10000&amp;DATA!$B$3:$B$10000,DATA!$M$3:$M$10000),"No encontrado"))</f>
        <v/>
      </c>
      <c r="D1150" s="27" t="str">
        <f aca="false">IF(A1150="","",IFERROR(buscarx(A1150&amp;B1150,DATA!$E$3:$E$10000&amp;DATA!$B$3:$B$10000,DATA!$W$3:$W$10000),"No encontrado"))</f>
        <v/>
      </c>
      <c r="E1150" s="22"/>
      <c r="F1150" s="26" t="str">
        <f aca="false">IF(A1150="","",IFERROR(buscarx(A1150&amp;E1150,DATA!$E$3:$E$10000&amp;DATA!$B$3:$B$10000,DATA!$M$3:$M$10000),"Inactivo"))</f>
        <v/>
      </c>
      <c r="G1150" s="28" t="str">
        <f aca="false">IF(A1150="","",IF(AND(C1150&lt;&gt;"No encontrado",F1150&lt;&gt;"Inactivo"),C1150&amp;" → "&amp;F1150,"Sin transición"))</f>
        <v/>
      </c>
      <c r="H1150" s="26" t="str">
        <f aca="false">IF(A1150="","",IF(D1150="GCIA LINEA SERVICIO DIGITALIDAD Y VENTAS","Chats",IF(OR(D1150="GERENCIA INBOUND LÍNEAS SERVICIO Y VENTA",D1150="GERENCIA INBOUND LINEAS ESPECIALIZADAS"),"Llamadas","Otro")))</f>
        <v/>
      </c>
      <c r="I1150" s="26" t="str">
        <f aca="false">IF(A1150="","",IF(C1150="No encontrado","No","Sí"))</f>
        <v/>
      </c>
      <c r="J1150" s="26" t="str">
        <f aca="false">IF(A1150="","",IF(F1150="Inactivo","No","Sí"))</f>
        <v/>
      </c>
      <c r="K1150" s="26" t="str">
        <f aca="false">IF(A1150="","",IF(AND(I1150="Sí",J1150="Sí"),"Sí","No"))</f>
        <v/>
      </c>
    </row>
    <row r="1151" customFormat="false" ht="15" hidden="false" customHeight="false" outlineLevel="0" collapsed="false">
      <c r="A1151" s="22"/>
      <c r="B1151" s="22"/>
      <c r="C1151" s="23" t="str">
        <f aca="false">IF(A1151="","",IFERROR(buscarx(A1151&amp;B1151,DATA!$E$3:$E$10000&amp;DATA!$B$3:$B$10000,DATA!$M$3:$M$10000),"No encontrado"))</f>
        <v/>
      </c>
      <c r="D1151" s="24" t="str">
        <f aca="false">IF(A1151="","",IFERROR(buscarx(A1151&amp;B1151,DATA!$E$3:$E$10000&amp;DATA!$B$3:$B$10000,DATA!$W$3:$W$10000),"No encontrado"))</f>
        <v/>
      </c>
      <c r="E1151" s="22"/>
      <c r="F1151" s="23" t="str">
        <f aca="false">IF(A1151="","",IFERROR(buscarx(A1151&amp;E1151,DATA!$E$3:$E$10000&amp;DATA!$B$3:$B$10000,DATA!$M$3:$M$10000),"Inactivo"))</f>
        <v/>
      </c>
      <c r="G1151" s="25" t="str">
        <f aca="false">IF(A1151="","",IF(AND(C1151&lt;&gt;"No encontrado",F1151&lt;&gt;"Inactivo"),C1151&amp;" → "&amp;F1151,"Sin transición"))</f>
        <v/>
      </c>
      <c r="H1151" s="23" t="str">
        <f aca="false">IF(A1151="","",IF(D1151="GCIA LINEA SERVICIO DIGITALIDAD Y VENTAS","Chats",IF(OR(D1151="GERENCIA INBOUND LÍNEAS SERVICIO Y VENTA",D1151="GERENCIA INBOUND LINEAS ESPECIALIZADAS"),"Llamadas","Otro")))</f>
        <v/>
      </c>
      <c r="I1151" s="23" t="str">
        <f aca="false">IF(A1151="","",IF(C1151="No encontrado","No","Sí"))</f>
        <v/>
      </c>
      <c r="J1151" s="23" t="str">
        <f aca="false">IF(A1151="","",IF(F1151="Inactivo","No","Sí"))</f>
        <v/>
      </c>
      <c r="K1151" s="23" t="str">
        <f aca="false">IF(A1151="","",IF(AND(I1151="Sí",J1151="Sí"),"Sí","No"))</f>
        <v/>
      </c>
    </row>
    <row r="1152" customFormat="false" ht="15" hidden="false" customHeight="false" outlineLevel="0" collapsed="false">
      <c r="A1152" s="22"/>
      <c r="B1152" s="22"/>
      <c r="C1152" s="26" t="str">
        <f aca="false">IF(A1152="","",IFERROR(buscarx(A1152&amp;B1152,DATA!$E$3:$E$10000&amp;DATA!$B$3:$B$10000,DATA!$M$3:$M$10000),"No encontrado"))</f>
        <v/>
      </c>
      <c r="D1152" s="27" t="str">
        <f aca="false">IF(A1152="","",IFERROR(buscarx(A1152&amp;B1152,DATA!$E$3:$E$10000&amp;DATA!$B$3:$B$10000,DATA!$W$3:$W$10000),"No encontrado"))</f>
        <v/>
      </c>
      <c r="E1152" s="22"/>
      <c r="F1152" s="26" t="str">
        <f aca="false">IF(A1152="","",IFERROR(buscarx(A1152&amp;E1152,DATA!$E$3:$E$10000&amp;DATA!$B$3:$B$10000,DATA!$M$3:$M$10000),"Inactivo"))</f>
        <v/>
      </c>
      <c r="G1152" s="28" t="str">
        <f aca="false">IF(A1152="","",IF(AND(C1152&lt;&gt;"No encontrado",F1152&lt;&gt;"Inactivo"),C1152&amp;" → "&amp;F1152,"Sin transición"))</f>
        <v/>
      </c>
      <c r="H1152" s="26" t="str">
        <f aca="false">IF(A1152="","",IF(D1152="GCIA LINEA SERVICIO DIGITALIDAD Y VENTAS","Chats",IF(OR(D1152="GERENCIA INBOUND LÍNEAS SERVICIO Y VENTA",D1152="GERENCIA INBOUND LINEAS ESPECIALIZADAS"),"Llamadas","Otro")))</f>
        <v/>
      </c>
      <c r="I1152" s="26" t="str">
        <f aca="false">IF(A1152="","",IF(C1152="No encontrado","No","Sí"))</f>
        <v/>
      </c>
      <c r="J1152" s="26" t="str">
        <f aca="false">IF(A1152="","",IF(F1152="Inactivo","No","Sí"))</f>
        <v/>
      </c>
      <c r="K1152" s="26" t="str">
        <f aca="false">IF(A1152="","",IF(AND(I1152="Sí",J1152="Sí"),"Sí","No"))</f>
        <v/>
      </c>
    </row>
    <row r="1153" customFormat="false" ht="15" hidden="false" customHeight="false" outlineLevel="0" collapsed="false">
      <c r="A1153" s="22"/>
      <c r="B1153" s="22"/>
      <c r="C1153" s="23" t="str">
        <f aca="false">IF(A1153="","",IFERROR(buscarx(A1153&amp;B1153,DATA!$E$3:$E$10000&amp;DATA!$B$3:$B$10000,DATA!$M$3:$M$10000),"No encontrado"))</f>
        <v/>
      </c>
      <c r="D1153" s="24" t="str">
        <f aca="false">IF(A1153="","",IFERROR(buscarx(A1153&amp;B1153,DATA!$E$3:$E$10000&amp;DATA!$B$3:$B$10000,DATA!$W$3:$W$10000),"No encontrado"))</f>
        <v/>
      </c>
      <c r="E1153" s="22"/>
      <c r="F1153" s="23" t="str">
        <f aca="false">IF(A1153="","",IFERROR(buscarx(A1153&amp;E1153,DATA!$E$3:$E$10000&amp;DATA!$B$3:$B$10000,DATA!$M$3:$M$10000),"Inactivo"))</f>
        <v/>
      </c>
      <c r="G1153" s="25" t="str">
        <f aca="false">IF(A1153="","",IF(AND(C1153&lt;&gt;"No encontrado",F1153&lt;&gt;"Inactivo"),C1153&amp;" → "&amp;F1153,"Sin transición"))</f>
        <v/>
      </c>
      <c r="H1153" s="23" t="str">
        <f aca="false">IF(A1153="","",IF(D1153="GCIA LINEA SERVICIO DIGITALIDAD Y VENTAS","Chats",IF(OR(D1153="GERENCIA INBOUND LÍNEAS SERVICIO Y VENTA",D1153="GERENCIA INBOUND LINEAS ESPECIALIZADAS"),"Llamadas","Otro")))</f>
        <v/>
      </c>
      <c r="I1153" s="23" t="str">
        <f aca="false">IF(A1153="","",IF(C1153="No encontrado","No","Sí"))</f>
        <v/>
      </c>
      <c r="J1153" s="23" t="str">
        <f aca="false">IF(A1153="","",IF(F1153="Inactivo","No","Sí"))</f>
        <v/>
      </c>
      <c r="K1153" s="23" t="str">
        <f aca="false">IF(A1153="","",IF(AND(I1153="Sí",J1153="Sí"),"Sí","No"))</f>
        <v/>
      </c>
    </row>
    <row r="1154" customFormat="false" ht="15" hidden="false" customHeight="false" outlineLevel="0" collapsed="false">
      <c r="A1154" s="22"/>
      <c r="B1154" s="22"/>
      <c r="C1154" s="26" t="str">
        <f aca="false">IF(A1154="","",IFERROR(buscarx(A1154&amp;B1154,DATA!$E$3:$E$10000&amp;DATA!$B$3:$B$10000,DATA!$M$3:$M$10000),"No encontrado"))</f>
        <v/>
      </c>
      <c r="D1154" s="27" t="str">
        <f aca="false">IF(A1154="","",IFERROR(buscarx(A1154&amp;B1154,DATA!$E$3:$E$10000&amp;DATA!$B$3:$B$10000,DATA!$W$3:$W$10000),"No encontrado"))</f>
        <v/>
      </c>
      <c r="E1154" s="22"/>
      <c r="F1154" s="26" t="str">
        <f aca="false">IF(A1154="","",IFERROR(buscarx(A1154&amp;E1154,DATA!$E$3:$E$10000&amp;DATA!$B$3:$B$10000,DATA!$M$3:$M$10000),"Inactivo"))</f>
        <v/>
      </c>
      <c r="G1154" s="28" t="str">
        <f aca="false">IF(A1154="","",IF(AND(C1154&lt;&gt;"No encontrado",F1154&lt;&gt;"Inactivo"),C1154&amp;" → "&amp;F1154,"Sin transición"))</f>
        <v/>
      </c>
      <c r="H1154" s="26" t="str">
        <f aca="false">IF(A1154="","",IF(D1154="GCIA LINEA SERVICIO DIGITALIDAD Y VENTAS","Chats",IF(OR(D1154="GERENCIA INBOUND LÍNEAS SERVICIO Y VENTA",D1154="GERENCIA INBOUND LINEAS ESPECIALIZADAS"),"Llamadas","Otro")))</f>
        <v/>
      </c>
      <c r="I1154" s="26" t="str">
        <f aca="false">IF(A1154="","",IF(C1154="No encontrado","No","Sí"))</f>
        <v/>
      </c>
      <c r="J1154" s="26" t="str">
        <f aca="false">IF(A1154="","",IF(F1154="Inactivo","No","Sí"))</f>
        <v/>
      </c>
      <c r="K1154" s="26" t="str">
        <f aca="false">IF(A1154="","",IF(AND(I1154="Sí",J1154="Sí"),"Sí","No"))</f>
        <v/>
      </c>
    </row>
    <row r="1155" customFormat="false" ht="15" hidden="false" customHeight="false" outlineLevel="0" collapsed="false">
      <c r="A1155" s="22"/>
      <c r="B1155" s="22"/>
      <c r="C1155" s="23" t="str">
        <f aca="false">IF(A1155="","",IFERROR(buscarx(A1155&amp;B1155,DATA!$E$3:$E$10000&amp;DATA!$B$3:$B$10000,DATA!$M$3:$M$10000),"No encontrado"))</f>
        <v/>
      </c>
      <c r="D1155" s="24" t="str">
        <f aca="false">IF(A1155="","",IFERROR(buscarx(A1155&amp;B1155,DATA!$E$3:$E$10000&amp;DATA!$B$3:$B$10000,DATA!$W$3:$W$10000),"No encontrado"))</f>
        <v/>
      </c>
      <c r="E1155" s="22"/>
      <c r="F1155" s="23" t="str">
        <f aca="false">IF(A1155="","",IFERROR(buscarx(A1155&amp;E1155,DATA!$E$3:$E$10000&amp;DATA!$B$3:$B$10000,DATA!$M$3:$M$10000),"Inactivo"))</f>
        <v/>
      </c>
      <c r="G1155" s="25" t="str">
        <f aca="false">IF(A1155="","",IF(AND(C1155&lt;&gt;"No encontrado",F1155&lt;&gt;"Inactivo"),C1155&amp;" → "&amp;F1155,"Sin transición"))</f>
        <v/>
      </c>
      <c r="H1155" s="23" t="str">
        <f aca="false">IF(A1155="","",IF(D1155="GCIA LINEA SERVICIO DIGITALIDAD Y VENTAS","Chats",IF(OR(D1155="GERENCIA INBOUND LÍNEAS SERVICIO Y VENTA",D1155="GERENCIA INBOUND LINEAS ESPECIALIZADAS"),"Llamadas","Otro")))</f>
        <v/>
      </c>
      <c r="I1155" s="23" t="str">
        <f aca="false">IF(A1155="","",IF(C1155="No encontrado","No","Sí"))</f>
        <v/>
      </c>
      <c r="J1155" s="23" t="str">
        <f aca="false">IF(A1155="","",IF(F1155="Inactivo","No","Sí"))</f>
        <v/>
      </c>
      <c r="K1155" s="23" t="str">
        <f aca="false">IF(A1155="","",IF(AND(I1155="Sí",J1155="Sí"),"Sí","No"))</f>
        <v/>
      </c>
    </row>
    <row r="1156" customFormat="false" ht="15" hidden="false" customHeight="false" outlineLevel="0" collapsed="false">
      <c r="A1156" s="22"/>
      <c r="B1156" s="22"/>
      <c r="C1156" s="26" t="str">
        <f aca="false">IF(A1156="","",IFERROR(buscarx(A1156&amp;B1156,DATA!$E$3:$E$10000&amp;DATA!$B$3:$B$10000,DATA!$M$3:$M$10000),"No encontrado"))</f>
        <v/>
      </c>
      <c r="D1156" s="27" t="str">
        <f aca="false">IF(A1156="","",IFERROR(buscarx(A1156&amp;B1156,DATA!$E$3:$E$10000&amp;DATA!$B$3:$B$10000,DATA!$W$3:$W$10000),"No encontrado"))</f>
        <v/>
      </c>
      <c r="E1156" s="22"/>
      <c r="F1156" s="26" t="str">
        <f aca="false">IF(A1156="","",IFERROR(buscarx(A1156&amp;E1156,DATA!$E$3:$E$10000&amp;DATA!$B$3:$B$10000,DATA!$M$3:$M$10000),"Inactivo"))</f>
        <v/>
      </c>
      <c r="G1156" s="28" t="str">
        <f aca="false">IF(A1156="","",IF(AND(C1156&lt;&gt;"No encontrado",F1156&lt;&gt;"Inactivo"),C1156&amp;" → "&amp;F1156,"Sin transición"))</f>
        <v/>
      </c>
      <c r="H1156" s="26" t="str">
        <f aca="false">IF(A1156="","",IF(D1156="GCIA LINEA SERVICIO DIGITALIDAD Y VENTAS","Chats",IF(OR(D1156="GERENCIA INBOUND LÍNEAS SERVICIO Y VENTA",D1156="GERENCIA INBOUND LINEAS ESPECIALIZADAS"),"Llamadas","Otro")))</f>
        <v/>
      </c>
      <c r="I1156" s="26" t="str">
        <f aca="false">IF(A1156="","",IF(C1156="No encontrado","No","Sí"))</f>
        <v/>
      </c>
      <c r="J1156" s="26" t="str">
        <f aca="false">IF(A1156="","",IF(F1156="Inactivo","No","Sí"))</f>
        <v/>
      </c>
      <c r="K1156" s="26" t="str">
        <f aca="false">IF(A1156="","",IF(AND(I1156="Sí",J1156="Sí"),"Sí","No"))</f>
        <v/>
      </c>
    </row>
    <row r="1157" customFormat="false" ht="15" hidden="false" customHeight="false" outlineLevel="0" collapsed="false">
      <c r="A1157" s="22"/>
      <c r="B1157" s="22"/>
      <c r="C1157" s="23" t="str">
        <f aca="false">IF(A1157="","",IFERROR(buscarx(A1157&amp;B1157,DATA!$E$3:$E$10000&amp;DATA!$B$3:$B$10000,DATA!$M$3:$M$10000),"No encontrado"))</f>
        <v/>
      </c>
      <c r="D1157" s="24" t="str">
        <f aca="false">IF(A1157="","",IFERROR(buscarx(A1157&amp;B1157,DATA!$E$3:$E$10000&amp;DATA!$B$3:$B$10000,DATA!$W$3:$W$10000),"No encontrado"))</f>
        <v/>
      </c>
      <c r="E1157" s="22"/>
      <c r="F1157" s="23" t="str">
        <f aca="false">IF(A1157="","",IFERROR(buscarx(A1157&amp;E1157,DATA!$E$3:$E$10000&amp;DATA!$B$3:$B$10000,DATA!$M$3:$M$10000),"Inactivo"))</f>
        <v/>
      </c>
      <c r="G1157" s="25" t="str">
        <f aca="false">IF(A1157="","",IF(AND(C1157&lt;&gt;"No encontrado",F1157&lt;&gt;"Inactivo"),C1157&amp;" → "&amp;F1157,"Sin transición"))</f>
        <v/>
      </c>
      <c r="H1157" s="23" t="str">
        <f aca="false">IF(A1157="","",IF(D1157="GCIA LINEA SERVICIO DIGITALIDAD Y VENTAS","Chats",IF(OR(D1157="GERENCIA INBOUND LÍNEAS SERVICIO Y VENTA",D1157="GERENCIA INBOUND LINEAS ESPECIALIZADAS"),"Llamadas","Otro")))</f>
        <v/>
      </c>
      <c r="I1157" s="23" t="str">
        <f aca="false">IF(A1157="","",IF(C1157="No encontrado","No","Sí"))</f>
        <v/>
      </c>
      <c r="J1157" s="23" t="str">
        <f aca="false">IF(A1157="","",IF(F1157="Inactivo","No","Sí"))</f>
        <v/>
      </c>
      <c r="K1157" s="23" t="str">
        <f aca="false">IF(A1157="","",IF(AND(I1157="Sí",J1157="Sí"),"Sí","No"))</f>
        <v/>
      </c>
    </row>
    <row r="1158" customFormat="false" ht="15" hidden="false" customHeight="false" outlineLevel="0" collapsed="false">
      <c r="A1158" s="22"/>
      <c r="B1158" s="22"/>
      <c r="C1158" s="26" t="str">
        <f aca="false">IF(A1158="","",IFERROR(buscarx(A1158&amp;B1158,DATA!$E$3:$E$10000&amp;DATA!$B$3:$B$10000,DATA!$M$3:$M$10000),"No encontrado"))</f>
        <v/>
      </c>
      <c r="D1158" s="27" t="str">
        <f aca="false">IF(A1158="","",IFERROR(buscarx(A1158&amp;B1158,DATA!$E$3:$E$10000&amp;DATA!$B$3:$B$10000,DATA!$W$3:$W$10000),"No encontrado"))</f>
        <v/>
      </c>
      <c r="E1158" s="22"/>
      <c r="F1158" s="26" t="str">
        <f aca="false">IF(A1158="","",IFERROR(buscarx(A1158&amp;E1158,DATA!$E$3:$E$10000&amp;DATA!$B$3:$B$10000,DATA!$M$3:$M$10000),"Inactivo"))</f>
        <v/>
      </c>
      <c r="G1158" s="28" t="str">
        <f aca="false">IF(A1158="","",IF(AND(C1158&lt;&gt;"No encontrado",F1158&lt;&gt;"Inactivo"),C1158&amp;" → "&amp;F1158,"Sin transición"))</f>
        <v/>
      </c>
      <c r="H1158" s="26" t="str">
        <f aca="false">IF(A1158="","",IF(D1158="GCIA LINEA SERVICIO DIGITALIDAD Y VENTAS","Chats",IF(OR(D1158="GERENCIA INBOUND LÍNEAS SERVICIO Y VENTA",D1158="GERENCIA INBOUND LINEAS ESPECIALIZADAS"),"Llamadas","Otro")))</f>
        <v/>
      </c>
      <c r="I1158" s="26" t="str">
        <f aca="false">IF(A1158="","",IF(C1158="No encontrado","No","Sí"))</f>
        <v/>
      </c>
      <c r="J1158" s="26" t="str">
        <f aca="false">IF(A1158="","",IF(F1158="Inactivo","No","Sí"))</f>
        <v/>
      </c>
      <c r="K1158" s="26" t="str">
        <f aca="false">IF(A1158="","",IF(AND(I1158="Sí",J1158="Sí"),"Sí","No"))</f>
        <v/>
      </c>
    </row>
    <row r="1159" customFormat="false" ht="15" hidden="false" customHeight="false" outlineLevel="0" collapsed="false">
      <c r="A1159" s="22"/>
      <c r="B1159" s="22"/>
      <c r="C1159" s="23" t="str">
        <f aca="false">IF(A1159="","",IFERROR(buscarx(A1159&amp;B1159,DATA!$E$3:$E$10000&amp;DATA!$B$3:$B$10000,DATA!$M$3:$M$10000),"No encontrado"))</f>
        <v/>
      </c>
      <c r="D1159" s="24" t="str">
        <f aca="false">IF(A1159="","",IFERROR(buscarx(A1159&amp;B1159,DATA!$E$3:$E$10000&amp;DATA!$B$3:$B$10000,DATA!$W$3:$W$10000),"No encontrado"))</f>
        <v/>
      </c>
      <c r="E1159" s="22"/>
      <c r="F1159" s="23" t="str">
        <f aca="false">IF(A1159="","",IFERROR(buscarx(A1159&amp;E1159,DATA!$E$3:$E$10000&amp;DATA!$B$3:$B$10000,DATA!$M$3:$M$10000),"Inactivo"))</f>
        <v/>
      </c>
      <c r="G1159" s="25" t="str">
        <f aca="false">IF(A1159="","",IF(AND(C1159&lt;&gt;"No encontrado",F1159&lt;&gt;"Inactivo"),C1159&amp;" → "&amp;F1159,"Sin transición"))</f>
        <v/>
      </c>
      <c r="H1159" s="23" t="str">
        <f aca="false">IF(A1159="","",IF(D1159="GCIA LINEA SERVICIO DIGITALIDAD Y VENTAS","Chats",IF(OR(D1159="GERENCIA INBOUND LÍNEAS SERVICIO Y VENTA",D1159="GERENCIA INBOUND LINEAS ESPECIALIZADAS"),"Llamadas","Otro")))</f>
        <v/>
      </c>
      <c r="I1159" s="23" t="str">
        <f aca="false">IF(A1159="","",IF(C1159="No encontrado","No","Sí"))</f>
        <v/>
      </c>
      <c r="J1159" s="23" t="str">
        <f aca="false">IF(A1159="","",IF(F1159="Inactivo","No","Sí"))</f>
        <v/>
      </c>
      <c r="K1159" s="23" t="str">
        <f aca="false">IF(A1159="","",IF(AND(I1159="Sí",J1159="Sí"),"Sí","No"))</f>
        <v/>
      </c>
    </row>
    <row r="1160" customFormat="false" ht="15" hidden="false" customHeight="false" outlineLevel="0" collapsed="false">
      <c r="A1160" s="22"/>
      <c r="B1160" s="22"/>
      <c r="C1160" s="26" t="str">
        <f aca="false">IF(A1160="","",IFERROR(buscarx(A1160&amp;B1160,DATA!$E$3:$E$10000&amp;DATA!$B$3:$B$10000,DATA!$M$3:$M$10000),"No encontrado"))</f>
        <v/>
      </c>
      <c r="D1160" s="27" t="str">
        <f aca="false">IF(A1160="","",IFERROR(buscarx(A1160&amp;B1160,DATA!$E$3:$E$10000&amp;DATA!$B$3:$B$10000,DATA!$W$3:$W$10000),"No encontrado"))</f>
        <v/>
      </c>
      <c r="E1160" s="22"/>
      <c r="F1160" s="26" t="str">
        <f aca="false">IF(A1160="","",IFERROR(buscarx(A1160&amp;E1160,DATA!$E$3:$E$10000&amp;DATA!$B$3:$B$10000,DATA!$M$3:$M$10000),"Inactivo"))</f>
        <v/>
      </c>
      <c r="G1160" s="28" t="str">
        <f aca="false">IF(A1160="","",IF(AND(C1160&lt;&gt;"No encontrado",F1160&lt;&gt;"Inactivo"),C1160&amp;" → "&amp;F1160,"Sin transición"))</f>
        <v/>
      </c>
      <c r="H1160" s="26" t="str">
        <f aca="false">IF(A1160="","",IF(D1160="GCIA LINEA SERVICIO DIGITALIDAD Y VENTAS","Chats",IF(OR(D1160="GERENCIA INBOUND LÍNEAS SERVICIO Y VENTA",D1160="GERENCIA INBOUND LINEAS ESPECIALIZADAS"),"Llamadas","Otro")))</f>
        <v/>
      </c>
      <c r="I1160" s="26" t="str">
        <f aca="false">IF(A1160="","",IF(C1160="No encontrado","No","Sí"))</f>
        <v/>
      </c>
      <c r="J1160" s="26" t="str">
        <f aca="false">IF(A1160="","",IF(F1160="Inactivo","No","Sí"))</f>
        <v/>
      </c>
      <c r="K1160" s="26" t="str">
        <f aca="false">IF(A1160="","",IF(AND(I1160="Sí",J1160="Sí"),"Sí","No"))</f>
        <v/>
      </c>
    </row>
    <row r="1161" customFormat="false" ht="15" hidden="false" customHeight="false" outlineLevel="0" collapsed="false">
      <c r="A1161" s="22"/>
      <c r="B1161" s="22"/>
      <c r="C1161" s="23" t="str">
        <f aca="false">IF(A1161="","",IFERROR(buscarx(A1161&amp;B1161,DATA!$E$3:$E$10000&amp;DATA!$B$3:$B$10000,DATA!$M$3:$M$10000),"No encontrado"))</f>
        <v/>
      </c>
      <c r="D1161" s="24" t="str">
        <f aca="false">IF(A1161="","",IFERROR(buscarx(A1161&amp;B1161,DATA!$E$3:$E$10000&amp;DATA!$B$3:$B$10000,DATA!$W$3:$W$10000),"No encontrado"))</f>
        <v/>
      </c>
      <c r="E1161" s="22"/>
      <c r="F1161" s="23" t="str">
        <f aca="false">IF(A1161="","",IFERROR(buscarx(A1161&amp;E1161,DATA!$E$3:$E$10000&amp;DATA!$B$3:$B$10000,DATA!$M$3:$M$10000),"Inactivo"))</f>
        <v/>
      </c>
      <c r="G1161" s="25" t="str">
        <f aca="false">IF(A1161="","",IF(AND(C1161&lt;&gt;"No encontrado",F1161&lt;&gt;"Inactivo"),C1161&amp;" → "&amp;F1161,"Sin transición"))</f>
        <v/>
      </c>
      <c r="H1161" s="23" t="str">
        <f aca="false">IF(A1161="","",IF(D1161="GCIA LINEA SERVICIO DIGITALIDAD Y VENTAS","Chats",IF(OR(D1161="GERENCIA INBOUND LÍNEAS SERVICIO Y VENTA",D1161="GERENCIA INBOUND LINEAS ESPECIALIZADAS"),"Llamadas","Otro")))</f>
        <v/>
      </c>
      <c r="I1161" s="23" t="str">
        <f aca="false">IF(A1161="","",IF(C1161="No encontrado","No","Sí"))</f>
        <v/>
      </c>
      <c r="J1161" s="23" t="str">
        <f aca="false">IF(A1161="","",IF(F1161="Inactivo","No","Sí"))</f>
        <v/>
      </c>
      <c r="K1161" s="23" t="str">
        <f aca="false">IF(A1161="","",IF(AND(I1161="Sí",J1161="Sí"),"Sí","No"))</f>
        <v/>
      </c>
    </row>
    <row r="1162" customFormat="false" ht="15" hidden="false" customHeight="false" outlineLevel="0" collapsed="false">
      <c r="A1162" s="22"/>
      <c r="B1162" s="22"/>
      <c r="C1162" s="26" t="str">
        <f aca="false">IF(A1162="","",IFERROR(buscarx(A1162&amp;B1162,DATA!$E$3:$E$10000&amp;DATA!$B$3:$B$10000,DATA!$M$3:$M$10000),"No encontrado"))</f>
        <v/>
      </c>
      <c r="D1162" s="27" t="str">
        <f aca="false">IF(A1162="","",IFERROR(buscarx(A1162&amp;B1162,DATA!$E$3:$E$10000&amp;DATA!$B$3:$B$10000,DATA!$W$3:$W$10000),"No encontrado"))</f>
        <v/>
      </c>
      <c r="E1162" s="22"/>
      <c r="F1162" s="26" t="str">
        <f aca="false">IF(A1162="","",IFERROR(buscarx(A1162&amp;E1162,DATA!$E$3:$E$10000&amp;DATA!$B$3:$B$10000,DATA!$M$3:$M$10000),"Inactivo"))</f>
        <v/>
      </c>
      <c r="G1162" s="28" t="str">
        <f aca="false">IF(A1162="","",IF(AND(C1162&lt;&gt;"No encontrado",F1162&lt;&gt;"Inactivo"),C1162&amp;" → "&amp;F1162,"Sin transición"))</f>
        <v/>
      </c>
      <c r="H1162" s="26" t="str">
        <f aca="false">IF(A1162="","",IF(D1162="GCIA LINEA SERVICIO DIGITALIDAD Y VENTAS","Chats",IF(OR(D1162="GERENCIA INBOUND LÍNEAS SERVICIO Y VENTA",D1162="GERENCIA INBOUND LINEAS ESPECIALIZADAS"),"Llamadas","Otro")))</f>
        <v/>
      </c>
      <c r="I1162" s="26" t="str">
        <f aca="false">IF(A1162="","",IF(C1162="No encontrado","No","Sí"))</f>
        <v/>
      </c>
      <c r="J1162" s="26" t="str">
        <f aca="false">IF(A1162="","",IF(F1162="Inactivo","No","Sí"))</f>
        <v/>
      </c>
      <c r="K1162" s="26" t="str">
        <f aca="false">IF(A1162="","",IF(AND(I1162="Sí",J1162="Sí"),"Sí","No"))</f>
        <v/>
      </c>
    </row>
    <row r="1163" customFormat="false" ht="15" hidden="false" customHeight="false" outlineLevel="0" collapsed="false">
      <c r="A1163" s="22"/>
      <c r="B1163" s="22"/>
      <c r="C1163" s="23" t="str">
        <f aca="false">IF(A1163="","",IFERROR(buscarx(A1163&amp;B1163,DATA!$E$3:$E$10000&amp;DATA!$B$3:$B$10000,DATA!$M$3:$M$10000),"No encontrado"))</f>
        <v/>
      </c>
      <c r="D1163" s="24" t="str">
        <f aca="false">IF(A1163="","",IFERROR(buscarx(A1163&amp;B1163,DATA!$E$3:$E$10000&amp;DATA!$B$3:$B$10000,DATA!$W$3:$W$10000),"No encontrado"))</f>
        <v/>
      </c>
      <c r="E1163" s="22"/>
      <c r="F1163" s="23" t="str">
        <f aca="false">IF(A1163="","",IFERROR(buscarx(A1163&amp;E1163,DATA!$E$3:$E$10000&amp;DATA!$B$3:$B$10000,DATA!$M$3:$M$10000),"Inactivo"))</f>
        <v/>
      </c>
      <c r="G1163" s="25" t="str">
        <f aca="false">IF(A1163="","",IF(AND(C1163&lt;&gt;"No encontrado",F1163&lt;&gt;"Inactivo"),C1163&amp;" → "&amp;F1163,"Sin transición"))</f>
        <v/>
      </c>
      <c r="H1163" s="23" t="str">
        <f aca="false">IF(A1163="","",IF(D1163="GCIA LINEA SERVICIO DIGITALIDAD Y VENTAS","Chats",IF(OR(D1163="GERENCIA INBOUND LÍNEAS SERVICIO Y VENTA",D1163="GERENCIA INBOUND LINEAS ESPECIALIZADAS"),"Llamadas","Otro")))</f>
        <v/>
      </c>
      <c r="I1163" s="23" t="str">
        <f aca="false">IF(A1163="","",IF(C1163="No encontrado","No","Sí"))</f>
        <v/>
      </c>
      <c r="J1163" s="23" t="str">
        <f aca="false">IF(A1163="","",IF(F1163="Inactivo","No","Sí"))</f>
        <v/>
      </c>
      <c r="K1163" s="23" t="str">
        <f aca="false">IF(A1163="","",IF(AND(I1163="Sí",J1163="Sí"),"Sí","No"))</f>
        <v/>
      </c>
    </row>
    <row r="1164" customFormat="false" ht="15" hidden="false" customHeight="false" outlineLevel="0" collapsed="false">
      <c r="A1164" s="22"/>
      <c r="B1164" s="22"/>
      <c r="C1164" s="26" t="str">
        <f aca="false">IF(A1164="","",IFERROR(buscarx(A1164&amp;B1164,DATA!$E$3:$E$10000&amp;DATA!$B$3:$B$10000,DATA!$M$3:$M$10000),"No encontrado"))</f>
        <v/>
      </c>
      <c r="D1164" s="27" t="str">
        <f aca="false">IF(A1164="","",IFERROR(buscarx(A1164&amp;B1164,DATA!$E$3:$E$10000&amp;DATA!$B$3:$B$10000,DATA!$W$3:$W$10000),"No encontrado"))</f>
        <v/>
      </c>
      <c r="E1164" s="22"/>
      <c r="F1164" s="26" t="str">
        <f aca="false">IF(A1164="","",IFERROR(buscarx(A1164&amp;E1164,DATA!$E$3:$E$10000&amp;DATA!$B$3:$B$10000,DATA!$M$3:$M$10000),"Inactivo"))</f>
        <v/>
      </c>
      <c r="G1164" s="28" t="str">
        <f aca="false">IF(A1164="","",IF(AND(C1164&lt;&gt;"No encontrado",F1164&lt;&gt;"Inactivo"),C1164&amp;" → "&amp;F1164,"Sin transición"))</f>
        <v/>
      </c>
      <c r="H1164" s="26" t="str">
        <f aca="false">IF(A1164="","",IF(D1164="GCIA LINEA SERVICIO DIGITALIDAD Y VENTAS","Chats",IF(OR(D1164="GERENCIA INBOUND LÍNEAS SERVICIO Y VENTA",D1164="GERENCIA INBOUND LINEAS ESPECIALIZADAS"),"Llamadas","Otro")))</f>
        <v/>
      </c>
      <c r="I1164" s="26" t="str">
        <f aca="false">IF(A1164="","",IF(C1164="No encontrado","No","Sí"))</f>
        <v/>
      </c>
      <c r="J1164" s="26" t="str">
        <f aca="false">IF(A1164="","",IF(F1164="Inactivo","No","Sí"))</f>
        <v/>
      </c>
      <c r="K1164" s="26" t="str">
        <f aca="false">IF(A1164="","",IF(AND(I1164="Sí",J1164="Sí"),"Sí","No"))</f>
        <v/>
      </c>
    </row>
    <row r="1165" customFormat="false" ht="15" hidden="false" customHeight="false" outlineLevel="0" collapsed="false">
      <c r="A1165" s="22"/>
      <c r="B1165" s="22"/>
      <c r="C1165" s="23" t="str">
        <f aca="false">IF(A1165="","",IFERROR(buscarx(A1165&amp;B1165,DATA!$E$3:$E$10000&amp;DATA!$B$3:$B$10000,DATA!$M$3:$M$10000),"No encontrado"))</f>
        <v/>
      </c>
      <c r="D1165" s="24" t="str">
        <f aca="false">IF(A1165="","",IFERROR(buscarx(A1165&amp;B1165,DATA!$E$3:$E$10000&amp;DATA!$B$3:$B$10000,DATA!$W$3:$W$10000),"No encontrado"))</f>
        <v/>
      </c>
      <c r="E1165" s="22"/>
      <c r="F1165" s="23" t="str">
        <f aca="false">IF(A1165="","",IFERROR(buscarx(A1165&amp;E1165,DATA!$E$3:$E$10000&amp;DATA!$B$3:$B$10000,DATA!$M$3:$M$10000),"Inactivo"))</f>
        <v/>
      </c>
      <c r="G1165" s="25" t="str">
        <f aca="false">IF(A1165="","",IF(AND(C1165&lt;&gt;"No encontrado",F1165&lt;&gt;"Inactivo"),C1165&amp;" → "&amp;F1165,"Sin transición"))</f>
        <v/>
      </c>
      <c r="H1165" s="23" t="str">
        <f aca="false">IF(A1165="","",IF(D1165="GCIA LINEA SERVICIO DIGITALIDAD Y VENTAS","Chats",IF(OR(D1165="GERENCIA INBOUND LÍNEAS SERVICIO Y VENTA",D1165="GERENCIA INBOUND LINEAS ESPECIALIZADAS"),"Llamadas","Otro")))</f>
        <v/>
      </c>
      <c r="I1165" s="23" t="str">
        <f aca="false">IF(A1165="","",IF(C1165="No encontrado","No","Sí"))</f>
        <v/>
      </c>
      <c r="J1165" s="23" t="str">
        <f aca="false">IF(A1165="","",IF(F1165="Inactivo","No","Sí"))</f>
        <v/>
      </c>
      <c r="K1165" s="23" t="str">
        <f aca="false">IF(A1165="","",IF(AND(I1165="Sí",J1165="Sí"),"Sí","No"))</f>
        <v/>
      </c>
    </row>
    <row r="1166" customFormat="false" ht="15" hidden="false" customHeight="false" outlineLevel="0" collapsed="false">
      <c r="A1166" s="22"/>
      <c r="B1166" s="22"/>
      <c r="C1166" s="26" t="str">
        <f aca="false">IF(A1166="","",IFERROR(buscarx(A1166&amp;B1166,DATA!$E$3:$E$10000&amp;DATA!$B$3:$B$10000,DATA!$M$3:$M$10000),"No encontrado"))</f>
        <v/>
      </c>
      <c r="D1166" s="27" t="str">
        <f aca="false">IF(A1166="","",IFERROR(buscarx(A1166&amp;B1166,DATA!$E$3:$E$10000&amp;DATA!$B$3:$B$10000,DATA!$W$3:$W$10000),"No encontrado"))</f>
        <v/>
      </c>
      <c r="E1166" s="22"/>
      <c r="F1166" s="26" t="str">
        <f aca="false">IF(A1166="","",IFERROR(buscarx(A1166&amp;E1166,DATA!$E$3:$E$10000&amp;DATA!$B$3:$B$10000,DATA!$M$3:$M$10000),"Inactivo"))</f>
        <v/>
      </c>
      <c r="G1166" s="28" t="str">
        <f aca="false">IF(A1166="","",IF(AND(C1166&lt;&gt;"No encontrado",F1166&lt;&gt;"Inactivo"),C1166&amp;" → "&amp;F1166,"Sin transición"))</f>
        <v/>
      </c>
      <c r="H1166" s="26" t="str">
        <f aca="false">IF(A1166="","",IF(D1166="GCIA LINEA SERVICIO DIGITALIDAD Y VENTAS","Chats",IF(OR(D1166="GERENCIA INBOUND LÍNEAS SERVICIO Y VENTA",D1166="GERENCIA INBOUND LINEAS ESPECIALIZADAS"),"Llamadas","Otro")))</f>
        <v/>
      </c>
      <c r="I1166" s="26" t="str">
        <f aca="false">IF(A1166="","",IF(C1166="No encontrado","No","Sí"))</f>
        <v/>
      </c>
      <c r="J1166" s="26" t="str">
        <f aca="false">IF(A1166="","",IF(F1166="Inactivo","No","Sí"))</f>
        <v/>
      </c>
      <c r="K1166" s="26" t="str">
        <f aca="false">IF(A1166="","",IF(AND(I1166="Sí",J1166="Sí"),"Sí","No"))</f>
        <v/>
      </c>
    </row>
    <row r="1167" customFormat="false" ht="15" hidden="false" customHeight="false" outlineLevel="0" collapsed="false">
      <c r="A1167" s="22"/>
      <c r="B1167" s="22"/>
      <c r="C1167" s="23" t="str">
        <f aca="false">IF(A1167="","",IFERROR(buscarx(A1167&amp;B1167,DATA!$E$3:$E$10000&amp;DATA!$B$3:$B$10000,DATA!$M$3:$M$10000),"No encontrado"))</f>
        <v/>
      </c>
      <c r="D1167" s="24" t="str">
        <f aca="false">IF(A1167="","",IFERROR(buscarx(A1167&amp;B1167,DATA!$E$3:$E$10000&amp;DATA!$B$3:$B$10000,DATA!$W$3:$W$10000),"No encontrado"))</f>
        <v/>
      </c>
      <c r="E1167" s="22"/>
      <c r="F1167" s="23" t="str">
        <f aca="false">IF(A1167="","",IFERROR(buscarx(A1167&amp;E1167,DATA!$E$3:$E$10000&amp;DATA!$B$3:$B$10000,DATA!$M$3:$M$10000),"Inactivo"))</f>
        <v/>
      </c>
      <c r="G1167" s="25" t="str">
        <f aca="false">IF(A1167="","",IF(AND(C1167&lt;&gt;"No encontrado",F1167&lt;&gt;"Inactivo"),C1167&amp;" → "&amp;F1167,"Sin transición"))</f>
        <v/>
      </c>
      <c r="H1167" s="23" t="str">
        <f aca="false">IF(A1167="","",IF(D1167="GCIA LINEA SERVICIO DIGITALIDAD Y VENTAS","Chats",IF(OR(D1167="GERENCIA INBOUND LÍNEAS SERVICIO Y VENTA",D1167="GERENCIA INBOUND LINEAS ESPECIALIZADAS"),"Llamadas","Otro")))</f>
        <v/>
      </c>
      <c r="I1167" s="23" t="str">
        <f aca="false">IF(A1167="","",IF(C1167="No encontrado","No","Sí"))</f>
        <v/>
      </c>
      <c r="J1167" s="23" t="str">
        <f aca="false">IF(A1167="","",IF(F1167="Inactivo","No","Sí"))</f>
        <v/>
      </c>
      <c r="K1167" s="23" t="str">
        <f aca="false">IF(A1167="","",IF(AND(I1167="Sí",J1167="Sí"),"Sí","No"))</f>
        <v/>
      </c>
    </row>
    <row r="1168" customFormat="false" ht="15" hidden="false" customHeight="false" outlineLevel="0" collapsed="false">
      <c r="A1168" s="22"/>
      <c r="B1168" s="22"/>
      <c r="C1168" s="26" t="str">
        <f aca="false">IF(A1168="","",IFERROR(buscarx(A1168&amp;B1168,DATA!$E$3:$E$10000&amp;DATA!$B$3:$B$10000,DATA!$M$3:$M$10000),"No encontrado"))</f>
        <v/>
      </c>
      <c r="D1168" s="27" t="str">
        <f aca="false">IF(A1168="","",IFERROR(buscarx(A1168&amp;B1168,DATA!$E$3:$E$10000&amp;DATA!$B$3:$B$10000,DATA!$W$3:$W$10000),"No encontrado"))</f>
        <v/>
      </c>
      <c r="E1168" s="22"/>
      <c r="F1168" s="26" t="str">
        <f aca="false">IF(A1168="","",IFERROR(buscarx(A1168&amp;E1168,DATA!$E$3:$E$10000&amp;DATA!$B$3:$B$10000,DATA!$M$3:$M$10000),"Inactivo"))</f>
        <v/>
      </c>
      <c r="G1168" s="28" t="str">
        <f aca="false">IF(A1168="","",IF(AND(C1168&lt;&gt;"No encontrado",F1168&lt;&gt;"Inactivo"),C1168&amp;" → "&amp;F1168,"Sin transición"))</f>
        <v/>
      </c>
      <c r="H1168" s="26" t="str">
        <f aca="false">IF(A1168="","",IF(D1168="GCIA LINEA SERVICIO DIGITALIDAD Y VENTAS","Chats",IF(OR(D1168="GERENCIA INBOUND LÍNEAS SERVICIO Y VENTA",D1168="GERENCIA INBOUND LINEAS ESPECIALIZADAS"),"Llamadas","Otro")))</f>
        <v/>
      </c>
      <c r="I1168" s="26" t="str">
        <f aca="false">IF(A1168="","",IF(C1168="No encontrado","No","Sí"))</f>
        <v/>
      </c>
      <c r="J1168" s="26" t="str">
        <f aca="false">IF(A1168="","",IF(F1168="Inactivo","No","Sí"))</f>
        <v/>
      </c>
      <c r="K1168" s="26" t="str">
        <f aca="false">IF(A1168="","",IF(AND(I1168="Sí",J1168="Sí"),"Sí","No"))</f>
        <v/>
      </c>
    </row>
    <row r="1169" customFormat="false" ht="15" hidden="false" customHeight="false" outlineLevel="0" collapsed="false">
      <c r="A1169" s="22"/>
      <c r="B1169" s="22"/>
      <c r="C1169" s="23" t="str">
        <f aca="false">IF(A1169="","",IFERROR(buscarx(A1169&amp;B1169,DATA!$E$3:$E$10000&amp;DATA!$B$3:$B$10000,DATA!$M$3:$M$10000),"No encontrado"))</f>
        <v/>
      </c>
      <c r="D1169" s="24" t="str">
        <f aca="false">IF(A1169="","",IFERROR(buscarx(A1169&amp;B1169,DATA!$E$3:$E$10000&amp;DATA!$B$3:$B$10000,DATA!$W$3:$W$10000),"No encontrado"))</f>
        <v/>
      </c>
      <c r="E1169" s="22"/>
      <c r="F1169" s="23" t="str">
        <f aca="false">IF(A1169="","",IFERROR(buscarx(A1169&amp;E1169,DATA!$E$3:$E$10000&amp;DATA!$B$3:$B$10000,DATA!$M$3:$M$10000),"Inactivo"))</f>
        <v/>
      </c>
      <c r="G1169" s="25" t="str">
        <f aca="false">IF(A1169="","",IF(AND(C1169&lt;&gt;"No encontrado",F1169&lt;&gt;"Inactivo"),C1169&amp;" → "&amp;F1169,"Sin transición"))</f>
        <v/>
      </c>
      <c r="H1169" s="23" t="str">
        <f aca="false">IF(A1169="","",IF(D1169="GCIA LINEA SERVICIO DIGITALIDAD Y VENTAS","Chats",IF(OR(D1169="GERENCIA INBOUND LÍNEAS SERVICIO Y VENTA",D1169="GERENCIA INBOUND LINEAS ESPECIALIZADAS"),"Llamadas","Otro")))</f>
        <v/>
      </c>
      <c r="I1169" s="23" t="str">
        <f aca="false">IF(A1169="","",IF(C1169="No encontrado","No","Sí"))</f>
        <v/>
      </c>
      <c r="J1169" s="23" t="str">
        <f aca="false">IF(A1169="","",IF(F1169="Inactivo","No","Sí"))</f>
        <v/>
      </c>
      <c r="K1169" s="23" t="str">
        <f aca="false">IF(A1169="","",IF(AND(I1169="Sí",J1169="Sí"),"Sí","No"))</f>
        <v/>
      </c>
    </row>
    <row r="1170" customFormat="false" ht="15" hidden="false" customHeight="false" outlineLevel="0" collapsed="false">
      <c r="A1170" s="22"/>
      <c r="B1170" s="22"/>
      <c r="C1170" s="26" t="str">
        <f aca="false">IF(A1170="","",IFERROR(buscarx(A1170&amp;B1170,DATA!$E$3:$E$10000&amp;DATA!$B$3:$B$10000,DATA!$M$3:$M$10000),"No encontrado"))</f>
        <v/>
      </c>
      <c r="D1170" s="27" t="str">
        <f aca="false">IF(A1170="","",IFERROR(buscarx(A1170&amp;B1170,DATA!$E$3:$E$10000&amp;DATA!$B$3:$B$10000,DATA!$W$3:$W$10000),"No encontrado"))</f>
        <v/>
      </c>
      <c r="E1170" s="22"/>
      <c r="F1170" s="26" t="str">
        <f aca="false">IF(A1170="","",IFERROR(buscarx(A1170&amp;E1170,DATA!$E$3:$E$10000&amp;DATA!$B$3:$B$10000,DATA!$M$3:$M$10000),"Inactivo"))</f>
        <v/>
      </c>
      <c r="G1170" s="28" t="str">
        <f aca="false">IF(A1170="","",IF(AND(C1170&lt;&gt;"No encontrado",F1170&lt;&gt;"Inactivo"),C1170&amp;" → "&amp;F1170,"Sin transición"))</f>
        <v/>
      </c>
      <c r="H1170" s="26" t="str">
        <f aca="false">IF(A1170="","",IF(D1170="GCIA LINEA SERVICIO DIGITALIDAD Y VENTAS","Chats",IF(OR(D1170="GERENCIA INBOUND LÍNEAS SERVICIO Y VENTA",D1170="GERENCIA INBOUND LINEAS ESPECIALIZADAS"),"Llamadas","Otro")))</f>
        <v/>
      </c>
      <c r="I1170" s="26" t="str">
        <f aca="false">IF(A1170="","",IF(C1170="No encontrado","No","Sí"))</f>
        <v/>
      </c>
      <c r="J1170" s="26" t="str">
        <f aca="false">IF(A1170="","",IF(F1170="Inactivo","No","Sí"))</f>
        <v/>
      </c>
      <c r="K1170" s="26" t="str">
        <f aca="false">IF(A1170="","",IF(AND(I1170="Sí",J1170="Sí"),"Sí","No"))</f>
        <v/>
      </c>
    </row>
    <row r="1171" customFormat="false" ht="15" hidden="false" customHeight="false" outlineLevel="0" collapsed="false">
      <c r="A1171" s="22"/>
      <c r="B1171" s="22"/>
      <c r="C1171" s="23" t="str">
        <f aca="false">IF(A1171="","",IFERROR(buscarx(A1171&amp;B1171,DATA!$E$3:$E$10000&amp;DATA!$B$3:$B$10000,DATA!$M$3:$M$10000),"No encontrado"))</f>
        <v/>
      </c>
      <c r="D1171" s="24" t="str">
        <f aca="false">IF(A1171="","",IFERROR(buscarx(A1171&amp;B1171,DATA!$E$3:$E$10000&amp;DATA!$B$3:$B$10000,DATA!$W$3:$W$10000),"No encontrado"))</f>
        <v/>
      </c>
      <c r="E1171" s="22"/>
      <c r="F1171" s="23" t="str">
        <f aca="false">IF(A1171="","",IFERROR(buscarx(A1171&amp;E1171,DATA!$E$3:$E$10000&amp;DATA!$B$3:$B$10000,DATA!$M$3:$M$10000),"Inactivo"))</f>
        <v/>
      </c>
      <c r="G1171" s="25" t="str">
        <f aca="false">IF(A1171="","",IF(AND(C1171&lt;&gt;"No encontrado",F1171&lt;&gt;"Inactivo"),C1171&amp;" → "&amp;F1171,"Sin transición"))</f>
        <v/>
      </c>
      <c r="H1171" s="23" t="str">
        <f aca="false">IF(A1171="","",IF(D1171="GCIA LINEA SERVICIO DIGITALIDAD Y VENTAS","Chats",IF(OR(D1171="GERENCIA INBOUND LÍNEAS SERVICIO Y VENTA",D1171="GERENCIA INBOUND LINEAS ESPECIALIZADAS"),"Llamadas","Otro")))</f>
        <v/>
      </c>
      <c r="I1171" s="23" t="str">
        <f aca="false">IF(A1171="","",IF(C1171="No encontrado","No","Sí"))</f>
        <v/>
      </c>
      <c r="J1171" s="23" t="str">
        <f aca="false">IF(A1171="","",IF(F1171="Inactivo","No","Sí"))</f>
        <v/>
      </c>
      <c r="K1171" s="23" t="str">
        <f aca="false">IF(A1171="","",IF(AND(I1171="Sí",J1171="Sí"),"Sí","No"))</f>
        <v/>
      </c>
    </row>
    <row r="1172" customFormat="false" ht="15" hidden="false" customHeight="false" outlineLevel="0" collapsed="false">
      <c r="A1172" s="22"/>
      <c r="B1172" s="22"/>
      <c r="C1172" s="26" t="str">
        <f aca="false">IF(A1172="","",IFERROR(buscarx(A1172&amp;B1172,DATA!$E$3:$E$10000&amp;DATA!$B$3:$B$10000,DATA!$M$3:$M$10000),"No encontrado"))</f>
        <v/>
      </c>
      <c r="D1172" s="27" t="str">
        <f aca="false">IF(A1172="","",IFERROR(buscarx(A1172&amp;B1172,DATA!$E$3:$E$10000&amp;DATA!$B$3:$B$10000,DATA!$W$3:$W$10000),"No encontrado"))</f>
        <v/>
      </c>
      <c r="E1172" s="22"/>
      <c r="F1172" s="26" t="str">
        <f aca="false">IF(A1172="","",IFERROR(buscarx(A1172&amp;E1172,DATA!$E$3:$E$10000&amp;DATA!$B$3:$B$10000,DATA!$M$3:$M$10000),"Inactivo"))</f>
        <v/>
      </c>
      <c r="G1172" s="28" t="str">
        <f aca="false">IF(A1172="","",IF(AND(C1172&lt;&gt;"No encontrado",F1172&lt;&gt;"Inactivo"),C1172&amp;" → "&amp;F1172,"Sin transición"))</f>
        <v/>
      </c>
      <c r="H1172" s="26" t="str">
        <f aca="false">IF(A1172="","",IF(D1172="GCIA LINEA SERVICIO DIGITALIDAD Y VENTAS","Chats",IF(OR(D1172="GERENCIA INBOUND LÍNEAS SERVICIO Y VENTA",D1172="GERENCIA INBOUND LINEAS ESPECIALIZADAS"),"Llamadas","Otro")))</f>
        <v/>
      </c>
      <c r="I1172" s="26" t="str">
        <f aca="false">IF(A1172="","",IF(C1172="No encontrado","No","Sí"))</f>
        <v/>
      </c>
      <c r="J1172" s="26" t="str">
        <f aca="false">IF(A1172="","",IF(F1172="Inactivo","No","Sí"))</f>
        <v/>
      </c>
      <c r="K1172" s="26" t="str">
        <f aca="false">IF(A1172="","",IF(AND(I1172="Sí",J1172="Sí"),"Sí","No"))</f>
        <v/>
      </c>
    </row>
    <row r="1173" customFormat="false" ht="15" hidden="false" customHeight="false" outlineLevel="0" collapsed="false">
      <c r="A1173" s="22"/>
      <c r="B1173" s="22"/>
      <c r="C1173" s="23" t="str">
        <f aca="false">IF(A1173="","",IFERROR(buscarx(A1173&amp;B1173,DATA!$E$3:$E$10000&amp;DATA!$B$3:$B$10000,DATA!$M$3:$M$10000),"No encontrado"))</f>
        <v/>
      </c>
      <c r="D1173" s="24" t="str">
        <f aca="false">IF(A1173="","",IFERROR(buscarx(A1173&amp;B1173,DATA!$E$3:$E$10000&amp;DATA!$B$3:$B$10000,DATA!$W$3:$W$10000),"No encontrado"))</f>
        <v/>
      </c>
      <c r="E1173" s="22"/>
      <c r="F1173" s="23" t="str">
        <f aca="false">IF(A1173="","",IFERROR(buscarx(A1173&amp;E1173,DATA!$E$3:$E$10000&amp;DATA!$B$3:$B$10000,DATA!$M$3:$M$10000),"Inactivo"))</f>
        <v/>
      </c>
      <c r="G1173" s="25" t="str">
        <f aca="false">IF(A1173="","",IF(AND(C1173&lt;&gt;"No encontrado",F1173&lt;&gt;"Inactivo"),C1173&amp;" → "&amp;F1173,"Sin transición"))</f>
        <v/>
      </c>
      <c r="H1173" s="23" t="str">
        <f aca="false">IF(A1173="","",IF(D1173="GCIA LINEA SERVICIO DIGITALIDAD Y VENTAS","Chats",IF(OR(D1173="GERENCIA INBOUND LÍNEAS SERVICIO Y VENTA",D1173="GERENCIA INBOUND LINEAS ESPECIALIZADAS"),"Llamadas","Otro")))</f>
        <v/>
      </c>
      <c r="I1173" s="23" t="str">
        <f aca="false">IF(A1173="","",IF(C1173="No encontrado","No","Sí"))</f>
        <v/>
      </c>
      <c r="J1173" s="23" t="str">
        <f aca="false">IF(A1173="","",IF(F1173="Inactivo","No","Sí"))</f>
        <v/>
      </c>
      <c r="K1173" s="23" t="str">
        <f aca="false">IF(A1173="","",IF(AND(I1173="Sí",J1173="Sí"),"Sí","No"))</f>
        <v/>
      </c>
    </row>
    <row r="1174" customFormat="false" ht="15" hidden="false" customHeight="false" outlineLevel="0" collapsed="false">
      <c r="A1174" s="22"/>
      <c r="B1174" s="22"/>
      <c r="C1174" s="26" t="str">
        <f aca="false">IF(A1174="","",IFERROR(buscarx(A1174&amp;B1174,DATA!$E$3:$E$10000&amp;DATA!$B$3:$B$10000,DATA!$M$3:$M$10000),"No encontrado"))</f>
        <v/>
      </c>
      <c r="D1174" s="27" t="str">
        <f aca="false">IF(A1174="","",IFERROR(buscarx(A1174&amp;B1174,DATA!$E$3:$E$10000&amp;DATA!$B$3:$B$10000,DATA!$W$3:$W$10000),"No encontrado"))</f>
        <v/>
      </c>
      <c r="E1174" s="22"/>
      <c r="F1174" s="26" t="str">
        <f aca="false">IF(A1174="","",IFERROR(buscarx(A1174&amp;E1174,DATA!$E$3:$E$10000&amp;DATA!$B$3:$B$10000,DATA!$M$3:$M$10000),"Inactivo"))</f>
        <v/>
      </c>
      <c r="G1174" s="28" t="str">
        <f aca="false">IF(A1174="","",IF(AND(C1174&lt;&gt;"No encontrado",F1174&lt;&gt;"Inactivo"),C1174&amp;" → "&amp;F1174,"Sin transición"))</f>
        <v/>
      </c>
      <c r="H1174" s="26" t="str">
        <f aca="false">IF(A1174="","",IF(D1174="GCIA LINEA SERVICIO DIGITALIDAD Y VENTAS","Chats",IF(OR(D1174="GERENCIA INBOUND LÍNEAS SERVICIO Y VENTA",D1174="GERENCIA INBOUND LINEAS ESPECIALIZADAS"),"Llamadas","Otro")))</f>
        <v/>
      </c>
      <c r="I1174" s="26" t="str">
        <f aca="false">IF(A1174="","",IF(C1174="No encontrado","No","Sí"))</f>
        <v/>
      </c>
      <c r="J1174" s="26" t="str">
        <f aca="false">IF(A1174="","",IF(F1174="Inactivo","No","Sí"))</f>
        <v/>
      </c>
      <c r="K1174" s="26" t="str">
        <f aca="false">IF(A1174="","",IF(AND(I1174="Sí",J1174="Sí"),"Sí","No"))</f>
        <v/>
      </c>
    </row>
    <row r="1175" customFormat="false" ht="15" hidden="false" customHeight="false" outlineLevel="0" collapsed="false">
      <c r="A1175" s="22"/>
      <c r="B1175" s="22"/>
      <c r="C1175" s="23" t="str">
        <f aca="false">IF(A1175="","",IFERROR(buscarx(A1175&amp;B1175,DATA!$E$3:$E$10000&amp;DATA!$B$3:$B$10000,DATA!$M$3:$M$10000),"No encontrado"))</f>
        <v/>
      </c>
      <c r="D1175" s="24" t="str">
        <f aca="false">IF(A1175="","",IFERROR(buscarx(A1175&amp;B1175,DATA!$E$3:$E$10000&amp;DATA!$B$3:$B$10000,DATA!$W$3:$W$10000),"No encontrado"))</f>
        <v/>
      </c>
      <c r="E1175" s="22"/>
      <c r="F1175" s="23" t="str">
        <f aca="false">IF(A1175="","",IFERROR(buscarx(A1175&amp;E1175,DATA!$E$3:$E$10000&amp;DATA!$B$3:$B$10000,DATA!$M$3:$M$10000),"Inactivo"))</f>
        <v/>
      </c>
      <c r="G1175" s="25" t="str">
        <f aca="false">IF(A1175="","",IF(AND(C1175&lt;&gt;"No encontrado",F1175&lt;&gt;"Inactivo"),C1175&amp;" → "&amp;F1175,"Sin transición"))</f>
        <v/>
      </c>
      <c r="H1175" s="23" t="str">
        <f aca="false">IF(A1175="","",IF(D1175="GCIA LINEA SERVICIO DIGITALIDAD Y VENTAS","Chats",IF(OR(D1175="GERENCIA INBOUND LÍNEAS SERVICIO Y VENTA",D1175="GERENCIA INBOUND LINEAS ESPECIALIZADAS"),"Llamadas","Otro")))</f>
        <v/>
      </c>
      <c r="I1175" s="23" t="str">
        <f aca="false">IF(A1175="","",IF(C1175="No encontrado","No","Sí"))</f>
        <v/>
      </c>
      <c r="J1175" s="23" t="str">
        <f aca="false">IF(A1175="","",IF(F1175="Inactivo","No","Sí"))</f>
        <v/>
      </c>
      <c r="K1175" s="23" t="str">
        <f aca="false">IF(A1175="","",IF(AND(I1175="Sí",J1175="Sí"),"Sí","No"))</f>
        <v/>
      </c>
    </row>
    <row r="1176" customFormat="false" ht="15" hidden="false" customHeight="false" outlineLevel="0" collapsed="false">
      <c r="A1176" s="22"/>
      <c r="B1176" s="22"/>
      <c r="C1176" s="26" t="str">
        <f aca="false">IF(A1176="","",IFERROR(buscarx(A1176&amp;B1176,DATA!$E$3:$E$10000&amp;DATA!$B$3:$B$10000,DATA!$M$3:$M$10000),"No encontrado"))</f>
        <v/>
      </c>
      <c r="D1176" s="27" t="str">
        <f aca="false">IF(A1176="","",IFERROR(buscarx(A1176&amp;B1176,DATA!$E$3:$E$10000&amp;DATA!$B$3:$B$10000,DATA!$W$3:$W$10000),"No encontrado"))</f>
        <v/>
      </c>
      <c r="E1176" s="22"/>
      <c r="F1176" s="26" t="str">
        <f aca="false">IF(A1176="","",IFERROR(buscarx(A1176&amp;E1176,DATA!$E$3:$E$10000&amp;DATA!$B$3:$B$10000,DATA!$M$3:$M$10000),"Inactivo"))</f>
        <v/>
      </c>
      <c r="G1176" s="28" t="str">
        <f aca="false">IF(A1176="","",IF(AND(C1176&lt;&gt;"No encontrado",F1176&lt;&gt;"Inactivo"),C1176&amp;" → "&amp;F1176,"Sin transición"))</f>
        <v/>
      </c>
      <c r="H1176" s="26" t="str">
        <f aca="false">IF(A1176="","",IF(D1176="GCIA LINEA SERVICIO DIGITALIDAD Y VENTAS","Chats",IF(OR(D1176="GERENCIA INBOUND LÍNEAS SERVICIO Y VENTA",D1176="GERENCIA INBOUND LINEAS ESPECIALIZADAS"),"Llamadas","Otro")))</f>
        <v/>
      </c>
      <c r="I1176" s="26" t="str">
        <f aca="false">IF(A1176="","",IF(C1176="No encontrado","No","Sí"))</f>
        <v/>
      </c>
      <c r="J1176" s="26" t="str">
        <f aca="false">IF(A1176="","",IF(F1176="Inactivo","No","Sí"))</f>
        <v/>
      </c>
      <c r="K1176" s="26" t="str">
        <f aca="false">IF(A1176="","",IF(AND(I1176="Sí",J1176="Sí"),"Sí","No"))</f>
        <v/>
      </c>
    </row>
    <row r="1177" customFormat="false" ht="15" hidden="false" customHeight="false" outlineLevel="0" collapsed="false">
      <c r="A1177" s="22"/>
      <c r="B1177" s="22"/>
      <c r="C1177" s="23" t="str">
        <f aca="false">IF(A1177="","",IFERROR(buscarx(A1177&amp;B1177,DATA!$E$3:$E$10000&amp;DATA!$B$3:$B$10000,DATA!$M$3:$M$10000),"No encontrado"))</f>
        <v/>
      </c>
      <c r="D1177" s="24" t="str">
        <f aca="false">IF(A1177="","",IFERROR(buscarx(A1177&amp;B1177,DATA!$E$3:$E$10000&amp;DATA!$B$3:$B$10000,DATA!$W$3:$W$10000),"No encontrado"))</f>
        <v/>
      </c>
      <c r="E1177" s="22"/>
      <c r="F1177" s="23" t="str">
        <f aca="false">IF(A1177="","",IFERROR(buscarx(A1177&amp;E1177,DATA!$E$3:$E$10000&amp;DATA!$B$3:$B$10000,DATA!$M$3:$M$10000),"Inactivo"))</f>
        <v/>
      </c>
      <c r="G1177" s="25" t="str">
        <f aca="false">IF(A1177="","",IF(AND(C1177&lt;&gt;"No encontrado",F1177&lt;&gt;"Inactivo"),C1177&amp;" → "&amp;F1177,"Sin transición"))</f>
        <v/>
      </c>
      <c r="H1177" s="23" t="str">
        <f aca="false">IF(A1177="","",IF(D1177="GCIA LINEA SERVICIO DIGITALIDAD Y VENTAS","Chats",IF(OR(D1177="GERENCIA INBOUND LÍNEAS SERVICIO Y VENTA",D1177="GERENCIA INBOUND LINEAS ESPECIALIZADAS"),"Llamadas","Otro")))</f>
        <v/>
      </c>
      <c r="I1177" s="23" t="str">
        <f aca="false">IF(A1177="","",IF(C1177="No encontrado","No","Sí"))</f>
        <v/>
      </c>
      <c r="J1177" s="23" t="str">
        <f aca="false">IF(A1177="","",IF(F1177="Inactivo","No","Sí"))</f>
        <v/>
      </c>
      <c r="K1177" s="23" t="str">
        <f aca="false">IF(A1177="","",IF(AND(I1177="Sí",J1177="Sí"),"Sí","No"))</f>
        <v/>
      </c>
    </row>
    <row r="1178" customFormat="false" ht="15" hidden="false" customHeight="false" outlineLevel="0" collapsed="false">
      <c r="A1178" s="22"/>
      <c r="B1178" s="22"/>
      <c r="C1178" s="26" t="str">
        <f aca="false">IF(A1178="","",IFERROR(buscarx(A1178&amp;B1178,DATA!$E$3:$E$10000&amp;DATA!$B$3:$B$10000,DATA!$M$3:$M$10000),"No encontrado"))</f>
        <v/>
      </c>
      <c r="D1178" s="27" t="str">
        <f aca="false">IF(A1178="","",IFERROR(buscarx(A1178&amp;B1178,DATA!$E$3:$E$10000&amp;DATA!$B$3:$B$10000,DATA!$W$3:$W$10000),"No encontrado"))</f>
        <v/>
      </c>
      <c r="E1178" s="22"/>
      <c r="F1178" s="26" t="str">
        <f aca="false">IF(A1178="","",IFERROR(buscarx(A1178&amp;E1178,DATA!$E$3:$E$10000&amp;DATA!$B$3:$B$10000,DATA!$M$3:$M$10000),"Inactivo"))</f>
        <v/>
      </c>
      <c r="G1178" s="28" t="str">
        <f aca="false">IF(A1178="","",IF(AND(C1178&lt;&gt;"No encontrado",F1178&lt;&gt;"Inactivo"),C1178&amp;" → "&amp;F1178,"Sin transición"))</f>
        <v/>
      </c>
      <c r="H1178" s="26" t="str">
        <f aca="false">IF(A1178="","",IF(D1178="GCIA LINEA SERVICIO DIGITALIDAD Y VENTAS","Chats",IF(OR(D1178="GERENCIA INBOUND LÍNEAS SERVICIO Y VENTA",D1178="GERENCIA INBOUND LINEAS ESPECIALIZADAS"),"Llamadas","Otro")))</f>
        <v/>
      </c>
      <c r="I1178" s="26" t="str">
        <f aca="false">IF(A1178="","",IF(C1178="No encontrado","No","Sí"))</f>
        <v/>
      </c>
      <c r="J1178" s="26" t="str">
        <f aca="false">IF(A1178="","",IF(F1178="Inactivo","No","Sí"))</f>
        <v/>
      </c>
      <c r="K1178" s="26" t="str">
        <f aca="false">IF(A1178="","",IF(AND(I1178="Sí",J1178="Sí"),"Sí","No"))</f>
        <v/>
      </c>
    </row>
    <row r="1179" customFormat="false" ht="15" hidden="false" customHeight="false" outlineLevel="0" collapsed="false">
      <c r="A1179" s="22"/>
      <c r="B1179" s="22"/>
      <c r="C1179" s="23" t="str">
        <f aca="false">IF(A1179="","",IFERROR(buscarx(A1179&amp;B1179,DATA!$E$3:$E$10000&amp;DATA!$B$3:$B$10000,DATA!$M$3:$M$10000),"No encontrado"))</f>
        <v/>
      </c>
      <c r="D1179" s="24" t="str">
        <f aca="false">IF(A1179="","",IFERROR(buscarx(A1179&amp;B1179,DATA!$E$3:$E$10000&amp;DATA!$B$3:$B$10000,DATA!$W$3:$W$10000),"No encontrado"))</f>
        <v/>
      </c>
      <c r="E1179" s="22"/>
      <c r="F1179" s="23" t="str">
        <f aca="false">IF(A1179="","",IFERROR(buscarx(A1179&amp;E1179,DATA!$E$3:$E$10000&amp;DATA!$B$3:$B$10000,DATA!$M$3:$M$10000),"Inactivo"))</f>
        <v/>
      </c>
      <c r="G1179" s="25" t="str">
        <f aca="false">IF(A1179="","",IF(AND(C1179&lt;&gt;"No encontrado",F1179&lt;&gt;"Inactivo"),C1179&amp;" → "&amp;F1179,"Sin transición"))</f>
        <v/>
      </c>
      <c r="H1179" s="23" t="str">
        <f aca="false">IF(A1179="","",IF(D1179="GCIA LINEA SERVICIO DIGITALIDAD Y VENTAS","Chats",IF(OR(D1179="GERENCIA INBOUND LÍNEAS SERVICIO Y VENTA",D1179="GERENCIA INBOUND LINEAS ESPECIALIZADAS"),"Llamadas","Otro")))</f>
        <v/>
      </c>
      <c r="I1179" s="23" t="str">
        <f aca="false">IF(A1179="","",IF(C1179="No encontrado","No","Sí"))</f>
        <v/>
      </c>
      <c r="J1179" s="23" t="str">
        <f aca="false">IF(A1179="","",IF(F1179="Inactivo","No","Sí"))</f>
        <v/>
      </c>
      <c r="K1179" s="23" t="str">
        <f aca="false">IF(A1179="","",IF(AND(I1179="Sí",J1179="Sí"),"Sí","No"))</f>
        <v/>
      </c>
    </row>
    <row r="1180" customFormat="false" ht="15" hidden="false" customHeight="false" outlineLevel="0" collapsed="false">
      <c r="A1180" s="22"/>
      <c r="B1180" s="22"/>
      <c r="C1180" s="26" t="str">
        <f aca="false">IF(A1180="","",IFERROR(buscarx(A1180&amp;B1180,DATA!$E$3:$E$10000&amp;DATA!$B$3:$B$10000,DATA!$M$3:$M$10000),"No encontrado"))</f>
        <v/>
      </c>
      <c r="D1180" s="27" t="str">
        <f aca="false">IF(A1180="","",IFERROR(buscarx(A1180&amp;B1180,DATA!$E$3:$E$10000&amp;DATA!$B$3:$B$10000,DATA!$W$3:$W$10000),"No encontrado"))</f>
        <v/>
      </c>
      <c r="E1180" s="22"/>
      <c r="F1180" s="26" t="str">
        <f aca="false">IF(A1180="","",IFERROR(buscarx(A1180&amp;E1180,DATA!$E$3:$E$10000&amp;DATA!$B$3:$B$10000,DATA!$M$3:$M$10000),"Inactivo"))</f>
        <v/>
      </c>
      <c r="G1180" s="28" t="str">
        <f aca="false">IF(A1180="","",IF(AND(C1180&lt;&gt;"No encontrado",F1180&lt;&gt;"Inactivo"),C1180&amp;" → "&amp;F1180,"Sin transición"))</f>
        <v/>
      </c>
      <c r="H1180" s="26" t="str">
        <f aca="false">IF(A1180="","",IF(D1180="GCIA LINEA SERVICIO DIGITALIDAD Y VENTAS","Chats",IF(OR(D1180="GERENCIA INBOUND LÍNEAS SERVICIO Y VENTA",D1180="GERENCIA INBOUND LINEAS ESPECIALIZADAS"),"Llamadas","Otro")))</f>
        <v/>
      </c>
      <c r="I1180" s="26" t="str">
        <f aca="false">IF(A1180="","",IF(C1180="No encontrado","No","Sí"))</f>
        <v/>
      </c>
      <c r="J1180" s="26" t="str">
        <f aca="false">IF(A1180="","",IF(F1180="Inactivo","No","Sí"))</f>
        <v/>
      </c>
      <c r="K1180" s="26" t="str">
        <f aca="false">IF(A1180="","",IF(AND(I1180="Sí",J1180="Sí"),"Sí","No"))</f>
        <v/>
      </c>
    </row>
    <row r="1181" customFormat="false" ht="15" hidden="false" customHeight="false" outlineLevel="0" collapsed="false">
      <c r="A1181" s="22"/>
      <c r="B1181" s="22"/>
      <c r="C1181" s="23" t="str">
        <f aca="false">IF(A1181="","",IFERROR(buscarx(A1181&amp;B1181,DATA!$E$3:$E$10000&amp;DATA!$B$3:$B$10000,DATA!$M$3:$M$10000),"No encontrado"))</f>
        <v/>
      </c>
      <c r="D1181" s="24" t="str">
        <f aca="false">IF(A1181="","",IFERROR(buscarx(A1181&amp;B1181,DATA!$E$3:$E$10000&amp;DATA!$B$3:$B$10000,DATA!$W$3:$W$10000),"No encontrado"))</f>
        <v/>
      </c>
      <c r="E1181" s="22"/>
      <c r="F1181" s="23" t="str">
        <f aca="false">IF(A1181="","",IFERROR(buscarx(A1181&amp;E1181,DATA!$E$3:$E$10000&amp;DATA!$B$3:$B$10000,DATA!$M$3:$M$10000),"Inactivo"))</f>
        <v/>
      </c>
      <c r="G1181" s="25" t="str">
        <f aca="false">IF(A1181="","",IF(AND(C1181&lt;&gt;"No encontrado",F1181&lt;&gt;"Inactivo"),C1181&amp;" → "&amp;F1181,"Sin transición"))</f>
        <v/>
      </c>
      <c r="H1181" s="23" t="str">
        <f aca="false">IF(A1181="","",IF(D1181="GCIA LINEA SERVICIO DIGITALIDAD Y VENTAS","Chats",IF(OR(D1181="GERENCIA INBOUND LÍNEAS SERVICIO Y VENTA",D1181="GERENCIA INBOUND LINEAS ESPECIALIZADAS"),"Llamadas","Otro")))</f>
        <v/>
      </c>
      <c r="I1181" s="23" t="str">
        <f aca="false">IF(A1181="","",IF(C1181="No encontrado","No","Sí"))</f>
        <v/>
      </c>
      <c r="J1181" s="23" t="str">
        <f aca="false">IF(A1181="","",IF(F1181="Inactivo","No","Sí"))</f>
        <v/>
      </c>
      <c r="K1181" s="23" t="str">
        <f aca="false">IF(A1181="","",IF(AND(I1181="Sí",J1181="Sí"),"Sí","No"))</f>
        <v/>
      </c>
    </row>
    <row r="1182" customFormat="false" ht="15" hidden="false" customHeight="false" outlineLevel="0" collapsed="false">
      <c r="A1182" s="22"/>
      <c r="B1182" s="22"/>
      <c r="C1182" s="26" t="str">
        <f aca="false">IF(A1182="","",IFERROR(buscarx(A1182&amp;B1182,DATA!$E$3:$E$10000&amp;DATA!$B$3:$B$10000,DATA!$M$3:$M$10000),"No encontrado"))</f>
        <v/>
      </c>
      <c r="D1182" s="27" t="str">
        <f aca="false">IF(A1182="","",IFERROR(buscarx(A1182&amp;B1182,DATA!$E$3:$E$10000&amp;DATA!$B$3:$B$10000,DATA!$W$3:$W$10000),"No encontrado"))</f>
        <v/>
      </c>
      <c r="E1182" s="22"/>
      <c r="F1182" s="26" t="str">
        <f aca="false">IF(A1182="","",IFERROR(buscarx(A1182&amp;E1182,DATA!$E$3:$E$10000&amp;DATA!$B$3:$B$10000,DATA!$M$3:$M$10000),"Inactivo"))</f>
        <v/>
      </c>
      <c r="G1182" s="28" t="str">
        <f aca="false">IF(A1182="","",IF(AND(C1182&lt;&gt;"No encontrado",F1182&lt;&gt;"Inactivo"),C1182&amp;" → "&amp;F1182,"Sin transición"))</f>
        <v/>
      </c>
      <c r="H1182" s="26" t="str">
        <f aca="false">IF(A1182="","",IF(D1182="GCIA LINEA SERVICIO DIGITALIDAD Y VENTAS","Chats",IF(OR(D1182="GERENCIA INBOUND LÍNEAS SERVICIO Y VENTA",D1182="GERENCIA INBOUND LINEAS ESPECIALIZADAS"),"Llamadas","Otro")))</f>
        <v/>
      </c>
      <c r="I1182" s="26" t="str">
        <f aca="false">IF(A1182="","",IF(C1182="No encontrado","No","Sí"))</f>
        <v/>
      </c>
      <c r="J1182" s="26" t="str">
        <f aca="false">IF(A1182="","",IF(F1182="Inactivo","No","Sí"))</f>
        <v/>
      </c>
      <c r="K1182" s="26" t="str">
        <f aca="false">IF(A1182="","",IF(AND(I1182="Sí",J1182="Sí"),"Sí","No"))</f>
        <v/>
      </c>
    </row>
    <row r="1183" customFormat="false" ht="15" hidden="false" customHeight="false" outlineLevel="0" collapsed="false">
      <c r="A1183" s="22"/>
      <c r="B1183" s="22"/>
      <c r="C1183" s="23" t="str">
        <f aca="false">IF(A1183="","",IFERROR(buscarx(A1183&amp;B1183,DATA!$E$3:$E$10000&amp;DATA!$B$3:$B$10000,DATA!$M$3:$M$10000),"No encontrado"))</f>
        <v/>
      </c>
      <c r="D1183" s="24" t="str">
        <f aca="false">IF(A1183="","",IFERROR(buscarx(A1183&amp;B1183,DATA!$E$3:$E$10000&amp;DATA!$B$3:$B$10000,DATA!$W$3:$W$10000),"No encontrado"))</f>
        <v/>
      </c>
      <c r="E1183" s="22"/>
      <c r="F1183" s="23" t="str">
        <f aca="false">IF(A1183="","",IFERROR(buscarx(A1183&amp;E1183,DATA!$E$3:$E$10000&amp;DATA!$B$3:$B$10000,DATA!$M$3:$M$10000),"Inactivo"))</f>
        <v/>
      </c>
      <c r="G1183" s="25" t="str">
        <f aca="false">IF(A1183="","",IF(AND(C1183&lt;&gt;"No encontrado",F1183&lt;&gt;"Inactivo"),C1183&amp;" → "&amp;F1183,"Sin transición"))</f>
        <v/>
      </c>
      <c r="H1183" s="23" t="str">
        <f aca="false">IF(A1183="","",IF(D1183="GCIA LINEA SERVICIO DIGITALIDAD Y VENTAS","Chats",IF(OR(D1183="GERENCIA INBOUND LÍNEAS SERVICIO Y VENTA",D1183="GERENCIA INBOUND LINEAS ESPECIALIZADAS"),"Llamadas","Otro")))</f>
        <v/>
      </c>
      <c r="I1183" s="23" t="str">
        <f aca="false">IF(A1183="","",IF(C1183="No encontrado","No","Sí"))</f>
        <v/>
      </c>
      <c r="J1183" s="23" t="str">
        <f aca="false">IF(A1183="","",IF(F1183="Inactivo","No","Sí"))</f>
        <v/>
      </c>
      <c r="K1183" s="23" t="str">
        <f aca="false">IF(A1183="","",IF(AND(I1183="Sí",J1183="Sí"),"Sí","No"))</f>
        <v/>
      </c>
    </row>
    <row r="1184" customFormat="false" ht="15" hidden="false" customHeight="false" outlineLevel="0" collapsed="false">
      <c r="A1184" s="22"/>
      <c r="B1184" s="22"/>
      <c r="C1184" s="26" t="str">
        <f aca="false">IF(A1184="","",IFERROR(buscarx(A1184&amp;B1184,DATA!$E$3:$E$10000&amp;DATA!$B$3:$B$10000,DATA!$M$3:$M$10000),"No encontrado"))</f>
        <v/>
      </c>
      <c r="D1184" s="27" t="str">
        <f aca="false">IF(A1184="","",IFERROR(buscarx(A1184&amp;B1184,DATA!$E$3:$E$10000&amp;DATA!$B$3:$B$10000,DATA!$W$3:$W$10000),"No encontrado"))</f>
        <v/>
      </c>
      <c r="E1184" s="22"/>
      <c r="F1184" s="26" t="str">
        <f aca="false">IF(A1184="","",IFERROR(buscarx(A1184&amp;E1184,DATA!$E$3:$E$10000&amp;DATA!$B$3:$B$10000,DATA!$M$3:$M$10000),"Inactivo"))</f>
        <v/>
      </c>
      <c r="G1184" s="28" t="str">
        <f aca="false">IF(A1184="","",IF(AND(C1184&lt;&gt;"No encontrado",F1184&lt;&gt;"Inactivo"),C1184&amp;" → "&amp;F1184,"Sin transición"))</f>
        <v/>
      </c>
      <c r="H1184" s="26" t="str">
        <f aca="false">IF(A1184="","",IF(D1184="GCIA LINEA SERVICIO DIGITALIDAD Y VENTAS","Chats",IF(OR(D1184="GERENCIA INBOUND LÍNEAS SERVICIO Y VENTA",D1184="GERENCIA INBOUND LINEAS ESPECIALIZADAS"),"Llamadas","Otro")))</f>
        <v/>
      </c>
      <c r="I1184" s="26" t="str">
        <f aca="false">IF(A1184="","",IF(C1184="No encontrado","No","Sí"))</f>
        <v/>
      </c>
      <c r="J1184" s="26" t="str">
        <f aca="false">IF(A1184="","",IF(F1184="Inactivo","No","Sí"))</f>
        <v/>
      </c>
      <c r="K1184" s="26" t="str">
        <f aca="false">IF(A1184="","",IF(AND(I1184="Sí",J1184="Sí"),"Sí","No"))</f>
        <v/>
      </c>
    </row>
    <row r="1185" customFormat="false" ht="15" hidden="false" customHeight="false" outlineLevel="0" collapsed="false">
      <c r="A1185" s="22"/>
      <c r="B1185" s="22"/>
      <c r="C1185" s="23" t="str">
        <f aca="false">IF(A1185="","",IFERROR(buscarx(A1185&amp;B1185,DATA!$E$3:$E$10000&amp;DATA!$B$3:$B$10000,DATA!$M$3:$M$10000),"No encontrado"))</f>
        <v/>
      </c>
      <c r="D1185" s="24" t="str">
        <f aca="false">IF(A1185="","",IFERROR(buscarx(A1185&amp;B1185,DATA!$E$3:$E$10000&amp;DATA!$B$3:$B$10000,DATA!$W$3:$W$10000),"No encontrado"))</f>
        <v/>
      </c>
      <c r="E1185" s="22"/>
      <c r="F1185" s="23" t="str">
        <f aca="false">IF(A1185="","",IFERROR(buscarx(A1185&amp;E1185,DATA!$E$3:$E$10000&amp;DATA!$B$3:$B$10000,DATA!$M$3:$M$10000),"Inactivo"))</f>
        <v/>
      </c>
      <c r="G1185" s="25" t="str">
        <f aca="false">IF(A1185="","",IF(AND(C1185&lt;&gt;"No encontrado",F1185&lt;&gt;"Inactivo"),C1185&amp;" → "&amp;F1185,"Sin transición"))</f>
        <v/>
      </c>
      <c r="H1185" s="23" t="str">
        <f aca="false">IF(A1185="","",IF(D1185="GCIA LINEA SERVICIO DIGITALIDAD Y VENTAS","Chats",IF(OR(D1185="GERENCIA INBOUND LÍNEAS SERVICIO Y VENTA",D1185="GERENCIA INBOUND LINEAS ESPECIALIZADAS"),"Llamadas","Otro")))</f>
        <v/>
      </c>
      <c r="I1185" s="23" t="str">
        <f aca="false">IF(A1185="","",IF(C1185="No encontrado","No","Sí"))</f>
        <v/>
      </c>
      <c r="J1185" s="23" t="str">
        <f aca="false">IF(A1185="","",IF(F1185="Inactivo","No","Sí"))</f>
        <v/>
      </c>
      <c r="K1185" s="23" t="str">
        <f aca="false">IF(A1185="","",IF(AND(I1185="Sí",J1185="Sí"),"Sí","No"))</f>
        <v/>
      </c>
    </row>
    <row r="1186" customFormat="false" ht="15" hidden="false" customHeight="false" outlineLevel="0" collapsed="false">
      <c r="A1186" s="22"/>
      <c r="B1186" s="22"/>
      <c r="C1186" s="26" t="str">
        <f aca="false">IF(A1186="","",IFERROR(buscarx(A1186&amp;B1186,DATA!$E$3:$E$10000&amp;DATA!$B$3:$B$10000,DATA!$M$3:$M$10000),"No encontrado"))</f>
        <v/>
      </c>
      <c r="D1186" s="27" t="str">
        <f aca="false">IF(A1186="","",IFERROR(buscarx(A1186&amp;B1186,DATA!$E$3:$E$10000&amp;DATA!$B$3:$B$10000,DATA!$W$3:$W$10000),"No encontrado"))</f>
        <v/>
      </c>
      <c r="E1186" s="22"/>
      <c r="F1186" s="26" t="str">
        <f aca="false">IF(A1186="","",IFERROR(buscarx(A1186&amp;E1186,DATA!$E$3:$E$10000&amp;DATA!$B$3:$B$10000,DATA!$M$3:$M$10000),"Inactivo"))</f>
        <v/>
      </c>
      <c r="G1186" s="28" t="str">
        <f aca="false">IF(A1186="","",IF(AND(C1186&lt;&gt;"No encontrado",F1186&lt;&gt;"Inactivo"),C1186&amp;" → "&amp;F1186,"Sin transición"))</f>
        <v/>
      </c>
      <c r="H1186" s="26" t="str">
        <f aca="false">IF(A1186="","",IF(D1186="GCIA LINEA SERVICIO DIGITALIDAD Y VENTAS","Chats",IF(OR(D1186="GERENCIA INBOUND LÍNEAS SERVICIO Y VENTA",D1186="GERENCIA INBOUND LINEAS ESPECIALIZADAS"),"Llamadas","Otro")))</f>
        <v/>
      </c>
      <c r="I1186" s="26" t="str">
        <f aca="false">IF(A1186="","",IF(C1186="No encontrado","No","Sí"))</f>
        <v/>
      </c>
      <c r="J1186" s="26" t="str">
        <f aca="false">IF(A1186="","",IF(F1186="Inactivo","No","Sí"))</f>
        <v/>
      </c>
      <c r="K1186" s="26" t="str">
        <f aca="false">IF(A1186="","",IF(AND(I1186="Sí",J1186="Sí"),"Sí","No"))</f>
        <v/>
      </c>
    </row>
    <row r="1187" customFormat="false" ht="15" hidden="false" customHeight="false" outlineLevel="0" collapsed="false">
      <c r="A1187" s="22"/>
      <c r="B1187" s="22"/>
      <c r="C1187" s="23" t="str">
        <f aca="false">IF(A1187="","",IFERROR(buscarx(A1187&amp;B1187,DATA!$E$3:$E$10000&amp;DATA!$B$3:$B$10000,DATA!$M$3:$M$10000),"No encontrado"))</f>
        <v/>
      </c>
      <c r="D1187" s="24" t="str">
        <f aca="false">IF(A1187="","",IFERROR(buscarx(A1187&amp;B1187,DATA!$E$3:$E$10000&amp;DATA!$B$3:$B$10000,DATA!$W$3:$W$10000),"No encontrado"))</f>
        <v/>
      </c>
      <c r="E1187" s="22"/>
      <c r="F1187" s="23" t="str">
        <f aca="false">IF(A1187="","",IFERROR(buscarx(A1187&amp;E1187,DATA!$E$3:$E$10000&amp;DATA!$B$3:$B$10000,DATA!$M$3:$M$10000),"Inactivo"))</f>
        <v/>
      </c>
      <c r="G1187" s="25" t="str">
        <f aca="false">IF(A1187="","",IF(AND(C1187&lt;&gt;"No encontrado",F1187&lt;&gt;"Inactivo"),C1187&amp;" → "&amp;F1187,"Sin transición"))</f>
        <v/>
      </c>
      <c r="H1187" s="23" t="str">
        <f aca="false">IF(A1187="","",IF(D1187="GCIA LINEA SERVICIO DIGITALIDAD Y VENTAS","Chats",IF(OR(D1187="GERENCIA INBOUND LÍNEAS SERVICIO Y VENTA",D1187="GERENCIA INBOUND LINEAS ESPECIALIZADAS"),"Llamadas","Otro")))</f>
        <v/>
      </c>
      <c r="I1187" s="23" t="str">
        <f aca="false">IF(A1187="","",IF(C1187="No encontrado","No","Sí"))</f>
        <v/>
      </c>
      <c r="J1187" s="23" t="str">
        <f aca="false">IF(A1187="","",IF(F1187="Inactivo","No","Sí"))</f>
        <v/>
      </c>
      <c r="K1187" s="23" t="str">
        <f aca="false">IF(A1187="","",IF(AND(I1187="Sí",J1187="Sí"),"Sí","No"))</f>
        <v/>
      </c>
    </row>
    <row r="1188" customFormat="false" ht="15" hidden="false" customHeight="false" outlineLevel="0" collapsed="false">
      <c r="A1188" s="22"/>
      <c r="B1188" s="22"/>
      <c r="C1188" s="26" t="str">
        <f aca="false">IF(A1188="","",IFERROR(buscarx(A1188&amp;B1188,DATA!$E$3:$E$10000&amp;DATA!$B$3:$B$10000,DATA!$M$3:$M$10000),"No encontrado"))</f>
        <v/>
      </c>
      <c r="D1188" s="27" t="str">
        <f aca="false">IF(A1188="","",IFERROR(buscarx(A1188&amp;B1188,DATA!$E$3:$E$10000&amp;DATA!$B$3:$B$10000,DATA!$W$3:$W$10000),"No encontrado"))</f>
        <v/>
      </c>
      <c r="E1188" s="22"/>
      <c r="F1188" s="26" t="str">
        <f aca="false">IF(A1188="","",IFERROR(buscarx(A1188&amp;E1188,DATA!$E$3:$E$10000&amp;DATA!$B$3:$B$10000,DATA!$M$3:$M$10000),"Inactivo"))</f>
        <v/>
      </c>
      <c r="G1188" s="28" t="str">
        <f aca="false">IF(A1188="","",IF(AND(C1188&lt;&gt;"No encontrado",F1188&lt;&gt;"Inactivo"),C1188&amp;" → "&amp;F1188,"Sin transición"))</f>
        <v/>
      </c>
      <c r="H1188" s="26" t="str">
        <f aca="false">IF(A1188="","",IF(D1188="GCIA LINEA SERVICIO DIGITALIDAD Y VENTAS","Chats",IF(OR(D1188="GERENCIA INBOUND LÍNEAS SERVICIO Y VENTA",D1188="GERENCIA INBOUND LINEAS ESPECIALIZADAS"),"Llamadas","Otro")))</f>
        <v/>
      </c>
      <c r="I1188" s="26" t="str">
        <f aca="false">IF(A1188="","",IF(C1188="No encontrado","No","Sí"))</f>
        <v/>
      </c>
      <c r="J1188" s="26" t="str">
        <f aca="false">IF(A1188="","",IF(F1188="Inactivo","No","Sí"))</f>
        <v/>
      </c>
      <c r="K1188" s="26" t="str">
        <f aca="false">IF(A1188="","",IF(AND(I1188="Sí",J1188="Sí"),"Sí","No"))</f>
        <v/>
      </c>
    </row>
    <row r="1189" customFormat="false" ht="15" hidden="false" customHeight="false" outlineLevel="0" collapsed="false">
      <c r="A1189" s="22"/>
      <c r="B1189" s="22"/>
      <c r="C1189" s="23" t="str">
        <f aca="false">IF(A1189="","",IFERROR(buscarx(A1189&amp;B1189,DATA!$E$3:$E$10000&amp;DATA!$B$3:$B$10000,DATA!$M$3:$M$10000),"No encontrado"))</f>
        <v/>
      </c>
      <c r="D1189" s="24" t="str">
        <f aca="false">IF(A1189="","",IFERROR(buscarx(A1189&amp;B1189,DATA!$E$3:$E$10000&amp;DATA!$B$3:$B$10000,DATA!$W$3:$W$10000),"No encontrado"))</f>
        <v/>
      </c>
      <c r="E1189" s="22"/>
      <c r="F1189" s="23" t="str">
        <f aca="false">IF(A1189="","",IFERROR(buscarx(A1189&amp;E1189,DATA!$E$3:$E$10000&amp;DATA!$B$3:$B$10000,DATA!$M$3:$M$10000),"Inactivo"))</f>
        <v/>
      </c>
      <c r="G1189" s="25" t="str">
        <f aca="false">IF(A1189="","",IF(AND(C1189&lt;&gt;"No encontrado",F1189&lt;&gt;"Inactivo"),C1189&amp;" → "&amp;F1189,"Sin transición"))</f>
        <v/>
      </c>
      <c r="H1189" s="23" t="str">
        <f aca="false">IF(A1189="","",IF(D1189="GCIA LINEA SERVICIO DIGITALIDAD Y VENTAS","Chats",IF(OR(D1189="GERENCIA INBOUND LÍNEAS SERVICIO Y VENTA",D1189="GERENCIA INBOUND LINEAS ESPECIALIZADAS"),"Llamadas","Otro")))</f>
        <v/>
      </c>
      <c r="I1189" s="23" t="str">
        <f aca="false">IF(A1189="","",IF(C1189="No encontrado","No","Sí"))</f>
        <v/>
      </c>
      <c r="J1189" s="23" t="str">
        <f aca="false">IF(A1189="","",IF(F1189="Inactivo","No","Sí"))</f>
        <v/>
      </c>
      <c r="K1189" s="23" t="str">
        <f aca="false">IF(A1189="","",IF(AND(I1189="Sí",J1189="Sí"),"Sí","No"))</f>
        <v/>
      </c>
    </row>
    <row r="1190" customFormat="false" ht="15" hidden="false" customHeight="false" outlineLevel="0" collapsed="false">
      <c r="A1190" s="22"/>
      <c r="B1190" s="22"/>
      <c r="C1190" s="26" t="str">
        <f aca="false">IF(A1190="","",IFERROR(buscarx(A1190&amp;B1190,DATA!$E$3:$E$10000&amp;DATA!$B$3:$B$10000,DATA!$M$3:$M$10000),"No encontrado"))</f>
        <v/>
      </c>
      <c r="D1190" s="27" t="str">
        <f aca="false">IF(A1190="","",IFERROR(buscarx(A1190&amp;B1190,DATA!$E$3:$E$10000&amp;DATA!$B$3:$B$10000,DATA!$W$3:$W$10000),"No encontrado"))</f>
        <v/>
      </c>
      <c r="E1190" s="22"/>
      <c r="F1190" s="26" t="str">
        <f aca="false">IF(A1190="","",IFERROR(buscarx(A1190&amp;E1190,DATA!$E$3:$E$10000&amp;DATA!$B$3:$B$10000,DATA!$M$3:$M$10000),"Inactivo"))</f>
        <v/>
      </c>
      <c r="G1190" s="28" t="str">
        <f aca="false">IF(A1190="","",IF(AND(C1190&lt;&gt;"No encontrado",F1190&lt;&gt;"Inactivo"),C1190&amp;" → "&amp;F1190,"Sin transición"))</f>
        <v/>
      </c>
      <c r="H1190" s="26" t="str">
        <f aca="false">IF(A1190="","",IF(D1190="GCIA LINEA SERVICIO DIGITALIDAD Y VENTAS","Chats",IF(OR(D1190="GERENCIA INBOUND LÍNEAS SERVICIO Y VENTA",D1190="GERENCIA INBOUND LINEAS ESPECIALIZADAS"),"Llamadas","Otro")))</f>
        <v/>
      </c>
      <c r="I1190" s="26" t="str">
        <f aca="false">IF(A1190="","",IF(C1190="No encontrado","No","Sí"))</f>
        <v/>
      </c>
      <c r="J1190" s="26" t="str">
        <f aca="false">IF(A1190="","",IF(F1190="Inactivo","No","Sí"))</f>
        <v/>
      </c>
      <c r="K1190" s="26" t="str">
        <f aca="false">IF(A1190="","",IF(AND(I1190="Sí",J1190="Sí"),"Sí","No"))</f>
        <v/>
      </c>
    </row>
    <row r="1191" customFormat="false" ht="15" hidden="false" customHeight="false" outlineLevel="0" collapsed="false">
      <c r="A1191" s="22"/>
      <c r="B1191" s="22"/>
      <c r="C1191" s="23" t="str">
        <f aca="false">IF(A1191="","",IFERROR(buscarx(A1191&amp;B1191,DATA!$E$3:$E$10000&amp;DATA!$B$3:$B$10000,DATA!$M$3:$M$10000),"No encontrado"))</f>
        <v/>
      </c>
      <c r="D1191" s="24" t="str">
        <f aca="false">IF(A1191="","",IFERROR(buscarx(A1191&amp;B1191,DATA!$E$3:$E$10000&amp;DATA!$B$3:$B$10000,DATA!$W$3:$W$10000),"No encontrado"))</f>
        <v/>
      </c>
      <c r="E1191" s="22"/>
      <c r="F1191" s="23" t="str">
        <f aca="false">IF(A1191="","",IFERROR(buscarx(A1191&amp;E1191,DATA!$E$3:$E$10000&amp;DATA!$B$3:$B$10000,DATA!$M$3:$M$10000),"Inactivo"))</f>
        <v/>
      </c>
      <c r="G1191" s="25" t="str">
        <f aca="false">IF(A1191="","",IF(AND(C1191&lt;&gt;"No encontrado",F1191&lt;&gt;"Inactivo"),C1191&amp;" → "&amp;F1191,"Sin transición"))</f>
        <v/>
      </c>
      <c r="H1191" s="23" t="str">
        <f aca="false">IF(A1191="","",IF(D1191="GCIA LINEA SERVICIO DIGITALIDAD Y VENTAS","Chats",IF(OR(D1191="GERENCIA INBOUND LÍNEAS SERVICIO Y VENTA",D1191="GERENCIA INBOUND LINEAS ESPECIALIZADAS"),"Llamadas","Otro")))</f>
        <v/>
      </c>
      <c r="I1191" s="23" t="str">
        <f aca="false">IF(A1191="","",IF(C1191="No encontrado","No","Sí"))</f>
        <v/>
      </c>
      <c r="J1191" s="23" t="str">
        <f aca="false">IF(A1191="","",IF(F1191="Inactivo","No","Sí"))</f>
        <v/>
      </c>
      <c r="K1191" s="23" t="str">
        <f aca="false">IF(A1191="","",IF(AND(I1191="Sí",J1191="Sí"),"Sí","No"))</f>
        <v/>
      </c>
    </row>
    <row r="1192" customFormat="false" ht="15" hidden="false" customHeight="false" outlineLevel="0" collapsed="false">
      <c r="A1192" s="22"/>
      <c r="B1192" s="22"/>
      <c r="C1192" s="26" t="str">
        <f aca="false">IF(A1192="","",IFERROR(buscarx(A1192&amp;B1192,DATA!$E$3:$E$10000&amp;DATA!$B$3:$B$10000,DATA!$M$3:$M$10000),"No encontrado"))</f>
        <v/>
      </c>
      <c r="D1192" s="27" t="str">
        <f aca="false">IF(A1192="","",IFERROR(buscarx(A1192&amp;B1192,DATA!$E$3:$E$10000&amp;DATA!$B$3:$B$10000,DATA!$W$3:$W$10000),"No encontrado"))</f>
        <v/>
      </c>
      <c r="E1192" s="22"/>
      <c r="F1192" s="26" t="str">
        <f aca="false">IF(A1192="","",IFERROR(buscarx(A1192&amp;E1192,DATA!$E$3:$E$10000&amp;DATA!$B$3:$B$10000,DATA!$M$3:$M$10000),"Inactivo"))</f>
        <v/>
      </c>
      <c r="G1192" s="28" t="str">
        <f aca="false">IF(A1192="","",IF(AND(C1192&lt;&gt;"No encontrado",F1192&lt;&gt;"Inactivo"),C1192&amp;" → "&amp;F1192,"Sin transición"))</f>
        <v/>
      </c>
      <c r="H1192" s="26" t="str">
        <f aca="false">IF(A1192="","",IF(D1192="GCIA LINEA SERVICIO DIGITALIDAD Y VENTAS","Chats",IF(OR(D1192="GERENCIA INBOUND LÍNEAS SERVICIO Y VENTA",D1192="GERENCIA INBOUND LINEAS ESPECIALIZADAS"),"Llamadas","Otro")))</f>
        <v/>
      </c>
      <c r="I1192" s="26" t="str">
        <f aca="false">IF(A1192="","",IF(C1192="No encontrado","No","Sí"))</f>
        <v/>
      </c>
      <c r="J1192" s="26" t="str">
        <f aca="false">IF(A1192="","",IF(F1192="Inactivo","No","Sí"))</f>
        <v/>
      </c>
      <c r="K1192" s="26" t="str">
        <f aca="false">IF(A1192="","",IF(AND(I1192="Sí",J1192="Sí"),"Sí","No"))</f>
        <v/>
      </c>
    </row>
    <row r="1193" customFormat="false" ht="15" hidden="false" customHeight="false" outlineLevel="0" collapsed="false">
      <c r="A1193" s="22"/>
      <c r="B1193" s="22"/>
      <c r="C1193" s="23" t="str">
        <f aca="false">IF(A1193="","",IFERROR(buscarx(A1193&amp;B1193,DATA!$E$3:$E$10000&amp;DATA!$B$3:$B$10000,DATA!$M$3:$M$10000),"No encontrado"))</f>
        <v/>
      </c>
      <c r="D1193" s="24" t="str">
        <f aca="false">IF(A1193="","",IFERROR(buscarx(A1193&amp;B1193,DATA!$E$3:$E$10000&amp;DATA!$B$3:$B$10000,DATA!$W$3:$W$10000),"No encontrado"))</f>
        <v/>
      </c>
      <c r="E1193" s="22"/>
      <c r="F1193" s="23" t="str">
        <f aca="false">IF(A1193="","",IFERROR(buscarx(A1193&amp;E1193,DATA!$E$3:$E$10000&amp;DATA!$B$3:$B$10000,DATA!$M$3:$M$10000),"Inactivo"))</f>
        <v/>
      </c>
      <c r="G1193" s="25" t="str">
        <f aca="false">IF(A1193="","",IF(AND(C1193&lt;&gt;"No encontrado",F1193&lt;&gt;"Inactivo"),C1193&amp;" → "&amp;F1193,"Sin transición"))</f>
        <v/>
      </c>
      <c r="H1193" s="23" t="str">
        <f aca="false">IF(A1193="","",IF(D1193="GCIA LINEA SERVICIO DIGITALIDAD Y VENTAS","Chats",IF(OR(D1193="GERENCIA INBOUND LÍNEAS SERVICIO Y VENTA",D1193="GERENCIA INBOUND LINEAS ESPECIALIZADAS"),"Llamadas","Otro")))</f>
        <v/>
      </c>
      <c r="I1193" s="23" t="str">
        <f aca="false">IF(A1193="","",IF(C1193="No encontrado","No","Sí"))</f>
        <v/>
      </c>
      <c r="J1193" s="23" t="str">
        <f aca="false">IF(A1193="","",IF(F1193="Inactivo","No","Sí"))</f>
        <v/>
      </c>
      <c r="K1193" s="23" t="str">
        <f aca="false">IF(A1193="","",IF(AND(I1193="Sí",J1193="Sí"),"Sí","No"))</f>
        <v/>
      </c>
    </row>
    <row r="1194" customFormat="false" ht="15" hidden="false" customHeight="false" outlineLevel="0" collapsed="false">
      <c r="A1194" s="22"/>
      <c r="B1194" s="22"/>
      <c r="C1194" s="26" t="str">
        <f aca="false">IF(A1194="","",IFERROR(buscarx(A1194&amp;B1194,DATA!$E$3:$E$10000&amp;DATA!$B$3:$B$10000,DATA!$M$3:$M$10000),"No encontrado"))</f>
        <v/>
      </c>
      <c r="D1194" s="27" t="str">
        <f aca="false">IF(A1194="","",IFERROR(buscarx(A1194&amp;B1194,DATA!$E$3:$E$10000&amp;DATA!$B$3:$B$10000,DATA!$W$3:$W$10000),"No encontrado"))</f>
        <v/>
      </c>
      <c r="E1194" s="22"/>
      <c r="F1194" s="26" t="str">
        <f aca="false">IF(A1194="","",IFERROR(buscarx(A1194&amp;E1194,DATA!$E$3:$E$10000&amp;DATA!$B$3:$B$10000,DATA!$M$3:$M$10000),"Inactivo"))</f>
        <v/>
      </c>
      <c r="G1194" s="28" t="str">
        <f aca="false">IF(A1194="","",IF(AND(C1194&lt;&gt;"No encontrado",F1194&lt;&gt;"Inactivo"),C1194&amp;" → "&amp;F1194,"Sin transición"))</f>
        <v/>
      </c>
      <c r="H1194" s="26" t="str">
        <f aca="false">IF(A1194="","",IF(D1194="GCIA LINEA SERVICIO DIGITALIDAD Y VENTAS","Chats",IF(OR(D1194="GERENCIA INBOUND LÍNEAS SERVICIO Y VENTA",D1194="GERENCIA INBOUND LINEAS ESPECIALIZADAS"),"Llamadas","Otro")))</f>
        <v/>
      </c>
      <c r="I1194" s="26" t="str">
        <f aca="false">IF(A1194="","",IF(C1194="No encontrado","No","Sí"))</f>
        <v/>
      </c>
      <c r="J1194" s="26" t="str">
        <f aca="false">IF(A1194="","",IF(F1194="Inactivo","No","Sí"))</f>
        <v/>
      </c>
      <c r="K1194" s="26" t="str">
        <f aca="false">IF(A1194="","",IF(AND(I1194="Sí",J1194="Sí"),"Sí","No"))</f>
        <v/>
      </c>
    </row>
    <row r="1195" customFormat="false" ht="15" hidden="false" customHeight="false" outlineLevel="0" collapsed="false">
      <c r="A1195" s="22"/>
      <c r="B1195" s="22"/>
      <c r="C1195" s="23" t="str">
        <f aca="false">IF(A1195="","",IFERROR(buscarx(A1195&amp;B1195,DATA!$E$3:$E$10000&amp;DATA!$B$3:$B$10000,DATA!$M$3:$M$10000),"No encontrado"))</f>
        <v/>
      </c>
      <c r="D1195" s="24" t="str">
        <f aca="false">IF(A1195="","",IFERROR(buscarx(A1195&amp;B1195,DATA!$E$3:$E$10000&amp;DATA!$B$3:$B$10000,DATA!$W$3:$W$10000),"No encontrado"))</f>
        <v/>
      </c>
      <c r="E1195" s="22"/>
      <c r="F1195" s="23" t="str">
        <f aca="false">IF(A1195="","",IFERROR(buscarx(A1195&amp;E1195,DATA!$E$3:$E$10000&amp;DATA!$B$3:$B$10000,DATA!$M$3:$M$10000),"Inactivo"))</f>
        <v/>
      </c>
      <c r="G1195" s="25" t="str">
        <f aca="false">IF(A1195="","",IF(AND(C1195&lt;&gt;"No encontrado",F1195&lt;&gt;"Inactivo"),C1195&amp;" → "&amp;F1195,"Sin transición"))</f>
        <v/>
      </c>
      <c r="H1195" s="23" t="str">
        <f aca="false">IF(A1195="","",IF(D1195="GCIA LINEA SERVICIO DIGITALIDAD Y VENTAS","Chats",IF(OR(D1195="GERENCIA INBOUND LÍNEAS SERVICIO Y VENTA",D1195="GERENCIA INBOUND LINEAS ESPECIALIZADAS"),"Llamadas","Otro")))</f>
        <v/>
      </c>
      <c r="I1195" s="23" t="str">
        <f aca="false">IF(A1195="","",IF(C1195="No encontrado","No","Sí"))</f>
        <v/>
      </c>
      <c r="J1195" s="23" t="str">
        <f aca="false">IF(A1195="","",IF(F1195="Inactivo","No","Sí"))</f>
        <v/>
      </c>
      <c r="K1195" s="23" t="str">
        <f aca="false">IF(A1195="","",IF(AND(I1195="Sí",J1195="Sí"),"Sí","No"))</f>
        <v/>
      </c>
    </row>
    <row r="1196" customFormat="false" ht="15" hidden="false" customHeight="false" outlineLevel="0" collapsed="false">
      <c r="A1196" s="22"/>
      <c r="B1196" s="22"/>
      <c r="C1196" s="26" t="str">
        <f aca="false">IF(A1196="","",IFERROR(buscarx(A1196&amp;B1196,DATA!$E$3:$E$10000&amp;DATA!$B$3:$B$10000,DATA!$M$3:$M$10000),"No encontrado"))</f>
        <v/>
      </c>
      <c r="D1196" s="27" t="str">
        <f aca="false">IF(A1196="","",IFERROR(buscarx(A1196&amp;B1196,DATA!$E$3:$E$10000&amp;DATA!$B$3:$B$10000,DATA!$W$3:$W$10000),"No encontrado"))</f>
        <v/>
      </c>
      <c r="E1196" s="22"/>
      <c r="F1196" s="26" t="str">
        <f aca="false">IF(A1196="","",IFERROR(buscarx(A1196&amp;E1196,DATA!$E$3:$E$10000&amp;DATA!$B$3:$B$10000,DATA!$M$3:$M$10000),"Inactivo"))</f>
        <v/>
      </c>
      <c r="G1196" s="28" t="str">
        <f aca="false">IF(A1196="","",IF(AND(C1196&lt;&gt;"No encontrado",F1196&lt;&gt;"Inactivo"),C1196&amp;" → "&amp;F1196,"Sin transición"))</f>
        <v/>
      </c>
      <c r="H1196" s="26" t="str">
        <f aca="false">IF(A1196="","",IF(D1196="GCIA LINEA SERVICIO DIGITALIDAD Y VENTAS","Chats",IF(OR(D1196="GERENCIA INBOUND LÍNEAS SERVICIO Y VENTA",D1196="GERENCIA INBOUND LINEAS ESPECIALIZADAS"),"Llamadas","Otro")))</f>
        <v/>
      </c>
      <c r="I1196" s="26" t="str">
        <f aca="false">IF(A1196="","",IF(C1196="No encontrado","No","Sí"))</f>
        <v/>
      </c>
      <c r="J1196" s="26" t="str">
        <f aca="false">IF(A1196="","",IF(F1196="Inactivo","No","Sí"))</f>
        <v/>
      </c>
      <c r="K1196" s="26" t="str">
        <f aca="false">IF(A1196="","",IF(AND(I1196="Sí",J1196="Sí"),"Sí","No"))</f>
        <v/>
      </c>
    </row>
    <row r="1197" customFormat="false" ht="15" hidden="false" customHeight="false" outlineLevel="0" collapsed="false">
      <c r="A1197" s="22"/>
      <c r="B1197" s="22"/>
      <c r="C1197" s="23" t="str">
        <f aca="false">IF(A1197="","",IFERROR(buscarx(A1197&amp;B1197,DATA!$E$3:$E$10000&amp;DATA!$B$3:$B$10000,DATA!$M$3:$M$10000),"No encontrado"))</f>
        <v/>
      </c>
      <c r="D1197" s="24" t="str">
        <f aca="false">IF(A1197="","",IFERROR(buscarx(A1197&amp;B1197,DATA!$E$3:$E$10000&amp;DATA!$B$3:$B$10000,DATA!$W$3:$W$10000),"No encontrado"))</f>
        <v/>
      </c>
      <c r="E1197" s="22"/>
      <c r="F1197" s="23" t="str">
        <f aca="false">IF(A1197="","",IFERROR(buscarx(A1197&amp;E1197,DATA!$E$3:$E$10000&amp;DATA!$B$3:$B$10000,DATA!$M$3:$M$10000),"Inactivo"))</f>
        <v/>
      </c>
      <c r="G1197" s="25" t="str">
        <f aca="false">IF(A1197="","",IF(AND(C1197&lt;&gt;"No encontrado",F1197&lt;&gt;"Inactivo"),C1197&amp;" → "&amp;F1197,"Sin transición"))</f>
        <v/>
      </c>
      <c r="H1197" s="23" t="str">
        <f aca="false">IF(A1197="","",IF(D1197="GCIA LINEA SERVICIO DIGITALIDAD Y VENTAS","Chats",IF(OR(D1197="GERENCIA INBOUND LÍNEAS SERVICIO Y VENTA",D1197="GERENCIA INBOUND LINEAS ESPECIALIZADAS"),"Llamadas","Otro")))</f>
        <v/>
      </c>
      <c r="I1197" s="23" t="str">
        <f aca="false">IF(A1197="","",IF(C1197="No encontrado","No","Sí"))</f>
        <v/>
      </c>
      <c r="J1197" s="23" t="str">
        <f aca="false">IF(A1197="","",IF(F1197="Inactivo","No","Sí"))</f>
        <v/>
      </c>
      <c r="K1197" s="23" t="str">
        <f aca="false">IF(A1197="","",IF(AND(I1197="Sí",J1197="Sí"),"Sí","No"))</f>
        <v/>
      </c>
    </row>
    <row r="1198" customFormat="false" ht="15" hidden="false" customHeight="false" outlineLevel="0" collapsed="false">
      <c r="A1198" s="22"/>
      <c r="B1198" s="22"/>
      <c r="C1198" s="26" t="str">
        <f aca="false">IF(A1198="","",IFERROR(buscarx(A1198&amp;B1198,DATA!$E$3:$E$10000&amp;DATA!$B$3:$B$10000,DATA!$M$3:$M$10000),"No encontrado"))</f>
        <v/>
      </c>
      <c r="D1198" s="27" t="str">
        <f aca="false">IF(A1198="","",IFERROR(buscarx(A1198&amp;B1198,DATA!$E$3:$E$10000&amp;DATA!$B$3:$B$10000,DATA!$W$3:$W$10000),"No encontrado"))</f>
        <v/>
      </c>
      <c r="E1198" s="22"/>
      <c r="F1198" s="26" t="str">
        <f aca="false">IF(A1198="","",IFERROR(buscarx(A1198&amp;E1198,DATA!$E$3:$E$10000&amp;DATA!$B$3:$B$10000,DATA!$M$3:$M$10000),"Inactivo"))</f>
        <v/>
      </c>
      <c r="G1198" s="28" t="str">
        <f aca="false">IF(A1198="","",IF(AND(C1198&lt;&gt;"No encontrado",F1198&lt;&gt;"Inactivo"),C1198&amp;" → "&amp;F1198,"Sin transición"))</f>
        <v/>
      </c>
      <c r="H1198" s="26" t="str">
        <f aca="false">IF(A1198="","",IF(D1198="GCIA LINEA SERVICIO DIGITALIDAD Y VENTAS","Chats",IF(OR(D1198="GERENCIA INBOUND LÍNEAS SERVICIO Y VENTA",D1198="GERENCIA INBOUND LINEAS ESPECIALIZADAS"),"Llamadas","Otro")))</f>
        <v/>
      </c>
      <c r="I1198" s="26" t="str">
        <f aca="false">IF(A1198="","",IF(C1198="No encontrado","No","Sí"))</f>
        <v/>
      </c>
      <c r="J1198" s="26" t="str">
        <f aca="false">IF(A1198="","",IF(F1198="Inactivo","No","Sí"))</f>
        <v/>
      </c>
      <c r="K1198" s="26" t="str">
        <f aca="false">IF(A1198="","",IF(AND(I1198="Sí",J1198="Sí"),"Sí","No"))</f>
        <v/>
      </c>
    </row>
    <row r="1199" customFormat="false" ht="15" hidden="false" customHeight="false" outlineLevel="0" collapsed="false">
      <c r="A1199" s="22"/>
      <c r="B1199" s="22"/>
      <c r="C1199" s="23" t="str">
        <f aca="false">IF(A1199="","",IFERROR(buscarx(A1199&amp;B1199,DATA!$E$3:$E$10000&amp;DATA!$B$3:$B$10000,DATA!$M$3:$M$10000),"No encontrado"))</f>
        <v/>
      </c>
      <c r="D1199" s="24" t="str">
        <f aca="false">IF(A1199="","",IFERROR(buscarx(A1199&amp;B1199,DATA!$E$3:$E$10000&amp;DATA!$B$3:$B$10000,DATA!$W$3:$W$10000),"No encontrado"))</f>
        <v/>
      </c>
      <c r="E1199" s="22"/>
      <c r="F1199" s="23" t="str">
        <f aca="false">IF(A1199="","",IFERROR(buscarx(A1199&amp;E1199,DATA!$E$3:$E$10000&amp;DATA!$B$3:$B$10000,DATA!$M$3:$M$10000),"Inactivo"))</f>
        <v/>
      </c>
      <c r="G1199" s="25" t="str">
        <f aca="false">IF(A1199="","",IF(AND(C1199&lt;&gt;"No encontrado",F1199&lt;&gt;"Inactivo"),C1199&amp;" → "&amp;F1199,"Sin transición"))</f>
        <v/>
      </c>
      <c r="H1199" s="23" t="str">
        <f aca="false">IF(A1199="","",IF(D1199="GCIA LINEA SERVICIO DIGITALIDAD Y VENTAS","Chats",IF(OR(D1199="GERENCIA INBOUND LÍNEAS SERVICIO Y VENTA",D1199="GERENCIA INBOUND LINEAS ESPECIALIZADAS"),"Llamadas","Otro")))</f>
        <v/>
      </c>
      <c r="I1199" s="23" t="str">
        <f aca="false">IF(A1199="","",IF(C1199="No encontrado","No","Sí"))</f>
        <v/>
      </c>
      <c r="J1199" s="23" t="str">
        <f aca="false">IF(A1199="","",IF(F1199="Inactivo","No","Sí"))</f>
        <v/>
      </c>
      <c r="K1199" s="23" t="str">
        <f aca="false">IF(A1199="","",IF(AND(I1199="Sí",J1199="Sí"),"Sí","No"))</f>
        <v/>
      </c>
    </row>
    <row r="1200" customFormat="false" ht="15" hidden="false" customHeight="false" outlineLevel="0" collapsed="false">
      <c r="A1200" s="22"/>
      <c r="B1200" s="22"/>
      <c r="C1200" s="26" t="str">
        <f aca="false">IF(A1200="","",IFERROR(buscarx(A1200&amp;B1200,DATA!$E$3:$E$10000&amp;DATA!$B$3:$B$10000,DATA!$M$3:$M$10000),"No encontrado"))</f>
        <v/>
      </c>
      <c r="D1200" s="27" t="str">
        <f aca="false">IF(A1200="","",IFERROR(buscarx(A1200&amp;B1200,DATA!$E$3:$E$10000&amp;DATA!$B$3:$B$10000,DATA!$W$3:$W$10000),"No encontrado"))</f>
        <v/>
      </c>
      <c r="E1200" s="22"/>
      <c r="F1200" s="26" t="str">
        <f aca="false">IF(A1200="","",IFERROR(buscarx(A1200&amp;E1200,DATA!$E$3:$E$10000&amp;DATA!$B$3:$B$10000,DATA!$M$3:$M$10000),"Inactivo"))</f>
        <v/>
      </c>
      <c r="G1200" s="28" t="str">
        <f aca="false">IF(A1200="","",IF(AND(C1200&lt;&gt;"No encontrado",F1200&lt;&gt;"Inactivo"),C1200&amp;" → "&amp;F1200,"Sin transición"))</f>
        <v/>
      </c>
      <c r="H1200" s="26" t="str">
        <f aca="false">IF(A1200="","",IF(D1200="GCIA LINEA SERVICIO DIGITALIDAD Y VENTAS","Chats",IF(OR(D1200="GERENCIA INBOUND LÍNEAS SERVICIO Y VENTA",D1200="GERENCIA INBOUND LINEAS ESPECIALIZADAS"),"Llamadas","Otro")))</f>
        <v/>
      </c>
      <c r="I1200" s="26" t="str">
        <f aca="false">IF(A1200="","",IF(C1200="No encontrado","No","Sí"))</f>
        <v/>
      </c>
      <c r="J1200" s="26" t="str">
        <f aca="false">IF(A1200="","",IF(F1200="Inactivo","No","Sí"))</f>
        <v/>
      </c>
      <c r="K1200" s="26" t="str">
        <f aca="false">IF(A1200="","",IF(AND(I1200="Sí",J1200="Sí"),"Sí","No"))</f>
        <v/>
      </c>
    </row>
    <row r="1201" customFormat="false" ht="15" hidden="false" customHeight="false" outlineLevel="0" collapsed="false">
      <c r="A1201" s="22"/>
      <c r="B1201" s="22"/>
      <c r="C1201" s="23" t="str">
        <f aca="false">IF(A1201="","",IFERROR(buscarx(A1201&amp;B1201,DATA!$E$3:$E$10000&amp;DATA!$B$3:$B$10000,DATA!$M$3:$M$10000),"No encontrado"))</f>
        <v/>
      </c>
      <c r="D1201" s="24" t="str">
        <f aca="false">IF(A1201="","",IFERROR(buscarx(A1201&amp;B1201,DATA!$E$3:$E$10000&amp;DATA!$B$3:$B$10000,DATA!$W$3:$W$10000),"No encontrado"))</f>
        <v/>
      </c>
      <c r="E1201" s="22"/>
      <c r="F1201" s="23" t="str">
        <f aca="false">IF(A1201="","",IFERROR(buscarx(A1201&amp;E1201,DATA!$E$3:$E$10000&amp;DATA!$B$3:$B$10000,DATA!$M$3:$M$10000),"Inactivo"))</f>
        <v/>
      </c>
      <c r="G1201" s="25" t="str">
        <f aca="false">IF(A1201="","",IF(AND(C1201&lt;&gt;"No encontrado",F1201&lt;&gt;"Inactivo"),C1201&amp;" → "&amp;F1201,"Sin transición"))</f>
        <v/>
      </c>
      <c r="H1201" s="23" t="str">
        <f aca="false">IF(A1201="","",IF(D1201="GCIA LINEA SERVICIO DIGITALIDAD Y VENTAS","Chats",IF(OR(D1201="GERENCIA INBOUND LÍNEAS SERVICIO Y VENTA",D1201="GERENCIA INBOUND LINEAS ESPECIALIZADAS"),"Llamadas","Otro")))</f>
        <v/>
      </c>
      <c r="I1201" s="23" t="str">
        <f aca="false">IF(A1201="","",IF(C1201="No encontrado","No","Sí"))</f>
        <v/>
      </c>
      <c r="J1201" s="23" t="str">
        <f aca="false">IF(A1201="","",IF(F1201="Inactivo","No","Sí"))</f>
        <v/>
      </c>
      <c r="K1201" s="23" t="str">
        <f aca="false">IF(A1201="","",IF(AND(I1201="Sí",J1201="Sí"),"Sí","No"))</f>
        <v/>
      </c>
    </row>
    <row r="1202" customFormat="false" ht="15" hidden="false" customHeight="false" outlineLevel="0" collapsed="false">
      <c r="A1202" s="22"/>
      <c r="B1202" s="22"/>
      <c r="C1202" s="26" t="str">
        <f aca="false">IF(A1202="","",IFERROR(buscarx(A1202&amp;B1202,DATA!$E$3:$E$10000&amp;DATA!$B$3:$B$10000,DATA!$M$3:$M$10000),"No encontrado"))</f>
        <v/>
      </c>
      <c r="D1202" s="27" t="str">
        <f aca="false">IF(A1202="","",IFERROR(buscarx(A1202&amp;B1202,DATA!$E$3:$E$10000&amp;DATA!$B$3:$B$10000,DATA!$W$3:$W$10000),"No encontrado"))</f>
        <v/>
      </c>
      <c r="E1202" s="22"/>
      <c r="F1202" s="26" t="str">
        <f aca="false">IF(A1202="","",IFERROR(buscarx(A1202&amp;E1202,DATA!$E$3:$E$10000&amp;DATA!$B$3:$B$10000,DATA!$M$3:$M$10000),"Inactivo"))</f>
        <v/>
      </c>
      <c r="G1202" s="28" t="str">
        <f aca="false">IF(A1202="","",IF(AND(C1202&lt;&gt;"No encontrado",F1202&lt;&gt;"Inactivo"),C1202&amp;" → "&amp;F1202,"Sin transición"))</f>
        <v/>
      </c>
      <c r="H1202" s="26" t="str">
        <f aca="false">IF(A1202="","",IF(D1202="GCIA LINEA SERVICIO DIGITALIDAD Y VENTAS","Chats",IF(OR(D1202="GERENCIA INBOUND LÍNEAS SERVICIO Y VENTA",D1202="GERENCIA INBOUND LINEAS ESPECIALIZADAS"),"Llamadas","Otro")))</f>
        <v/>
      </c>
      <c r="I1202" s="26" t="str">
        <f aca="false">IF(A1202="","",IF(C1202="No encontrado","No","Sí"))</f>
        <v/>
      </c>
      <c r="J1202" s="26" t="str">
        <f aca="false">IF(A1202="","",IF(F1202="Inactivo","No","Sí"))</f>
        <v/>
      </c>
      <c r="K1202" s="26" t="str">
        <f aca="false">IF(A1202="","",IF(AND(I1202="Sí",J1202="Sí"),"Sí","No"))</f>
        <v/>
      </c>
    </row>
    <row r="1203" customFormat="false" ht="15" hidden="false" customHeight="false" outlineLevel="0" collapsed="false">
      <c r="A1203" s="22"/>
      <c r="B1203" s="22"/>
      <c r="C1203" s="23" t="str">
        <f aca="false">IF(A1203="","",IFERROR(buscarx(A1203&amp;B1203,DATA!$E$3:$E$10000&amp;DATA!$B$3:$B$10000,DATA!$M$3:$M$10000),"No encontrado"))</f>
        <v/>
      </c>
      <c r="D1203" s="24" t="str">
        <f aca="false">IF(A1203="","",IFERROR(buscarx(A1203&amp;B1203,DATA!$E$3:$E$10000&amp;DATA!$B$3:$B$10000,DATA!$W$3:$W$10000),"No encontrado"))</f>
        <v/>
      </c>
      <c r="E1203" s="22"/>
      <c r="F1203" s="23" t="str">
        <f aca="false">IF(A1203="","",IFERROR(buscarx(A1203&amp;E1203,DATA!$E$3:$E$10000&amp;DATA!$B$3:$B$10000,DATA!$M$3:$M$10000),"Inactivo"))</f>
        <v/>
      </c>
      <c r="G1203" s="25" t="str">
        <f aca="false">IF(A1203="","",IF(AND(C1203&lt;&gt;"No encontrado",F1203&lt;&gt;"Inactivo"),C1203&amp;" → "&amp;F1203,"Sin transición"))</f>
        <v/>
      </c>
      <c r="H1203" s="23" t="str">
        <f aca="false">IF(A1203="","",IF(D1203="GCIA LINEA SERVICIO DIGITALIDAD Y VENTAS","Chats",IF(OR(D1203="GERENCIA INBOUND LÍNEAS SERVICIO Y VENTA",D1203="GERENCIA INBOUND LINEAS ESPECIALIZADAS"),"Llamadas","Otro")))</f>
        <v/>
      </c>
      <c r="I1203" s="23" t="str">
        <f aca="false">IF(A1203="","",IF(C1203="No encontrado","No","Sí"))</f>
        <v/>
      </c>
      <c r="J1203" s="23" t="str">
        <f aca="false">IF(A1203="","",IF(F1203="Inactivo","No","Sí"))</f>
        <v/>
      </c>
      <c r="K1203" s="23" t="str">
        <f aca="false">IF(A1203="","",IF(AND(I1203="Sí",J1203="Sí"),"Sí","No"))</f>
        <v/>
      </c>
    </row>
    <row r="1204" customFormat="false" ht="15" hidden="false" customHeight="false" outlineLevel="0" collapsed="false">
      <c r="A1204" s="22"/>
      <c r="B1204" s="22"/>
      <c r="C1204" s="26" t="str">
        <f aca="false">IF(A1204="","",IFERROR(buscarx(A1204&amp;B1204,DATA!$E$3:$E$10000&amp;DATA!$B$3:$B$10000,DATA!$M$3:$M$10000),"No encontrado"))</f>
        <v/>
      </c>
      <c r="D1204" s="27" t="str">
        <f aca="false">IF(A1204="","",IFERROR(buscarx(A1204&amp;B1204,DATA!$E$3:$E$10000&amp;DATA!$B$3:$B$10000,DATA!$W$3:$W$10000),"No encontrado"))</f>
        <v/>
      </c>
      <c r="E1204" s="22"/>
      <c r="F1204" s="26" t="str">
        <f aca="false">IF(A1204="","",IFERROR(buscarx(A1204&amp;E1204,DATA!$E$3:$E$10000&amp;DATA!$B$3:$B$10000,DATA!$M$3:$M$10000),"Inactivo"))</f>
        <v/>
      </c>
      <c r="G1204" s="28" t="str">
        <f aca="false">IF(A1204="","",IF(AND(C1204&lt;&gt;"No encontrado",F1204&lt;&gt;"Inactivo"),C1204&amp;" → "&amp;F1204,"Sin transición"))</f>
        <v/>
      </c>
      <c r="H1204" s="26" t="str">
        <f aca="false">IF(A1204="","",IF(D1204="GCIA LINEA SERVICIO DIGITALIDAD Y VENTAS","Chats",IF(OR(D1204="GERENCIA INBOUND LÍNEAS SERVICIO Y VENTA",D1204="GERENCIA INBOUND LINEAS ESPECIALIZADAS"),"Llamadas","Otro")))</f>
        <v/>
      </c>
      <c r="I1204" s="26" t="str">
        <f aca="false">IF(A1204="","",IF(C1204="No encontrado","No","Sí"))</f>
        <v/>
      </c>
      <c r="J1204" s="26" t="str">
        <f aca="false">IF(A1204="","",IF(F1204="Inactivo","No","Sí"))</f>
        <v/>
      </c>
      <c r="K1204" s="26" t="str">
        <f aca="false">IF(A1204="","",IF(AND(I1204="Sí",J1204="Sí"),"Sí","No"))</f>
        <v/>
      </c>
    </row>
    <row r="1205" customFormat="false" ht="15" hidden="false" customHeight="false" outlineLevel="0" collapsed="false">
      <c r="A1205" s="22"/>
      <c r="B1205" s="22"/>
      <c r="C1205" s="23" t="str">
        <f aca="false">IF(A1205="","",IFERROR(buscarx(A1205&amp;B1205,DATA!$E$3:$E$10000&amp;DATA!$B$3:$B$10000,DATA!$M$3:$M$10000),"No encontrado"))</f>
        <v/>
      </c>
      <c r="D1205" s="24" t="str">
        <f aca="false">IF(A1205="","",IFERROR(buscarx(A1205&amp;B1205,DATA!$E$3:$E$10000&amp;DATA!$B$3:$B$10000,DATA!$W$3:$W$10000),"No encontrado"))</f>
        <v/>
      </c>
      <c r="E1205" s="22"/>
      <c r="F1205" s="23" t="str">
        <f aca="false">IF(A1205="","",IFERROR(buscarx(A1205&amp;E1205,DATA!$E$3:$E$10000&amp;DATA!$B$3:$B$10000,DATA!$M$3:$M$10000),"Inactivo"))</f>
        <v/>
      </c>
      <c r="G1205" s="25" t="str">
        <f aca="false">IF(A1205="","",IF(AND(C1205&lt;&gt;"No encontrado",F1205&lt;&gt;"Inactivo"),C1205&amp;" → "&amp;F1205,"Sin transición"))</f>
        <v/>
      </c>
      <c r="H1205" s="23" t="str">
        <f aca="false">IF(A1205="","",IF(D1205="GCIA LINEA SERVICIO DIGITALIDAD Y VENTAS","Chats",IF(OR(D1205="GERENCIA INBOUND LÍNEAS SERVICIO Y VENTA",D1205="GERENCIA INBOUND LINEAS ESPECIALIZADAS"),"Llamadas","Otro")))</f>
        <v/>
      </c>
      <c r="I1205" s="23" t="str">
        <f aca="false">IF(A1205="","",IF(C1205="No encontrado","No","Sí"))</f>
        <v/>
      </c>
      <c r="J1205" s="23" t="str">
        <f aca="false">IF(A1205="","",IF(F1205="Inactivo","No","Sí"))</f>
        <v/>
      </c>
      <c r="K1205" s="23" t="str">
        <f aca="false">IF(A1205="","",IF(AND(I1205="Sí",J1205="Sí"),"Sí","No"))</f>
        <v/>
      </c>
    </row>
    <row r="1206" customFormat="false" ht="15" hidden="false" customHeight="false" outlineLevel="0" collapsed="false">
      <c r="A1206" s="22"/>
      <c r="B1206" s="22"/>
      <c r="C1206" s="26" t="str">
        <f aca="false">IF(A1206="","",IFERROR(buscarx(A1206&amp;B1206,DATA!$E$3:$E$10000&amp;DATA!$B$3:$B$10000,DATA!$M$3:$M$10000),"No encontrado"))</f>
        <v/>
      </c>
      <c r="D1206" s="27" t="str">
        <f aca="false">IF(A1206="","",IFERROR(buscarx(A1206&amp;B1206,DATA!$E$3:$E$10000&amp;DATA!$B$3:$B$10000,DATA!$W$3:$W$10000),"No encontrado"))</f>
        <v/>
      </c>
      <c r="E1206" s="22"/>
      <c r="F1206" s="26" t="str">
        <f aca="false">IF(A1206="","",IFERROR(buscarx(A1206&amp;E1206,DATA!$E$3:$E$10000&amp;DATA!$B$3:$B$10000,DATA!$M$3:$M$10000),"Inactivo"))</f>
        <v/>
      </c>
      <c r="G1206" s="28" t="str">
        <f aca="false">IF(A1206="","",IF(AND(C1206&lt;&gt;"No encontrado",F1206&lt;&gt;"Inactivo"),C1206&amp;" → "&amp;F1206,"Sin transición"))</f>
        <v/>
      </c>
      <c r="H1206" s="26" t="str">
        <f aca="false">IF(A1206="","",IF(D1206="GCIA LINEA SERVICIO DIGITALIDAD Y VENTAS","Chats",IF(OR(D1206="GERENCIA INBOUND LÍNEAS SERVICIO Y VENTA",D1206="GERENCIA INBOUND LINEAS ESPECIALIZADAS"),"Llamadas","Otro")))</f>
        <v/>
      </c>
      <c r="I1206" s="26" t="str">
        <f aca="false">IF(A1206="","",IF(C1206="No encontrado","No","Sí"))</f>
        <v/>
      </c>
      <c r="J1206" s="26" t="str">
        <f aca="false">IF(A1206="","",IF(F1206="Inactivo","No","Sí"))</f>
        <v/>
      </c>
      <c r="K1206" s="26" t="str">
        <f aca="false">IF(A1206="","",IF(AND(I1206="Sí",J1206="Sí"),"Sí","No"))</f>
        <v/>
      </c>
    </row>
    <row r="1207" customFormat="false" ht="15" hidden="false" customHeight="false" outlineLevel="0" collapsed="false">
      <c r="A1207" s="22"/>
      <c r="B1207" s="22"/>
      <c r="C1207" s="23" t="str">
        <f aca="false">IF(A1207="","",IFERROR(buscarx(A1207&amp;B1207,DATA!$E$3:$E$10000&amp;DATA!$B$3:$B$10000,DATA!$M$3:$M$10000),"No encontrado"))</f>
        <v/>
      </c>
      <c r="D1207" s="24" t="str">
        <f aca="false">IF(A1207="","",IFERROR(buscarx(A1207&amp;B1207,DATA!$E$3:$E$10000&amp;DATA!$B$3:$B$10000,DATA!$W$3:$W$10000),"No encontrado"))</f>
        <v/>
      </c>
      <c r="E1207" s="22"/>
      <c r="F1207" s="23" t="str">
        <f aca="false">IF(A1207="","",IFERROR(buscarx(A1207&amp;E1207,DATA!$E$3:$E$10000&amp;DATA!$B$3:$B$10000,DATA!$M$3:$M$10000),"Inactivo"))</f>
        <v/>
      </c>
      <c r="G1207" s="25" t="str">
        <f aca="false">IF(A1207="","",IF(AND(C1207&lt;&gt;"No encontrado",F1207&lt;&gt;"Inactivo"),C1207&amp;" → "&amp;F1207,"Sin transición"))</f>
        <v/>
      </c>
      <c r="H1207" s="23" t="str">
        <f aca="false">IF(A1207="","",IF(D1207="GCIA LINEA SERVICIO DIGITALIDAD Y VENTAS","Chats",IF(OR(D1207="GERENCIA INBOUND LÍNEAS SERVICIO Y VENTA",D1207="GERENCIA INBOUND LINEAS ESPECIALIZADAS"),"Llamadas","Otro")))</f>
        <v/>
      </c>
      <c r="I1207" s="23" t="str">
        <f aca="false">IF(A1207="","",IF(C1207="No encontrado","No","Sí"))</f>
        <v/>
      </c>
      <c r="J1207" s="23" t="str">
        <f aca="false">IF(A1207="","",IF(F1207="Inactivo","No","Sí"))</f>
        <v/>
      </c>
      <c r="K1207" s="23" t="str">
        <f aca="false">IF(A1207="","",IF(AND(I1207="Sí",J1207="Sí"),"Sí","No"))</f>
        <v/>
      </c>
    </row>
    <row r="1208" customFormat="false" ht="15" hidden="false" customHeight="false" outlineLevel="0" collapsed="false">
      <c r="A1208" s="22"/>
      <c r="B1208" s="22"/>
      <c r="C1208" s="26" t="str">
        <f aca="false">IF(A1208="","",IFERROR(buscarx(A1208&amp;B1208,DATA!$E$3:$E$10000&amp;DATA!$B$3:$B$10000,DATA!$M$3:$M$10000),"No encontrado"))</f>
        <v/>
      </c>
      <c r="D1208" s="27" t="str">
        <f aca="false">IF(A1208="","",IFERROR(buscarx(A1208&amp;B1208,DATA!$E$3:$E$10000&amp;DATA!$B$3:$B$10000,DATA!$W$3:$W$10000),"No encontrado"))</f>
        <v/>
      </c>
      <c r="E1208" s="22"/>
      <c r="F1208" s="26" t="str">
        <f aca="false">IF(A1208="","",IFERROR(buscarx(A1208&amp;E1208,DATA!$E$3:$E$10000&amp;DATA!$B$3:$B$10000,DATA!$M$3:$M$10000),"Inactivo"))</f>
        <v/>
      </c>
      <c r="G1208" s="28" t="str">
        <f aca="false">IF(A1208="","",IF(AND(C1208&lt;&gt;"No encontrado",F1208&lt;&gt;"Inactivo"),C1208&amp;" → "&amp;F1208,"Sin transición"))</f>
        <v/>
      </c>
      <c r="H1208" s="26" t="str">
        <f aca="false">IF(A1208="","",IF(D1208="GCIA LINEA SERVICIO DIGITALIDAD Y VENTAS","Chats",IF(OR(D1208="GERENCIA INBOUND LÍNEAS SERVICIO Y VENTA",D1208="GERENCIA INBOUND LINEAS ESPECIALIZADAS"),"Llamadas","Otro")))</f>
        <v/>
      </c>
      <c r="I1208" s="26" t="str">
        <f aca="false">IF(A1208="","",IF(C1208="No encontrado","No","Sí"))</f>
        <v/>
      </c>
      <c r="J1208" s="26" t="str">
        <f aca="false">IF(A1208="","",IF(F1208="Inactivo","No","Sí"))</f>
        <v/>
      </c>
      <c r="K1208" s="26" t="str">
        <f aca="false">IF(A1208="","",IF(AND(I1208="Sí",J1208="Sí"),"Sí","No"))</f>
        <v/>
      </c>
    </row>
    <row r="1209" customFormat="false" ht="15" hidden="false" customHeight="false" outlineLevel="0" collapsed="false">
      <c r="A1209" s="22"/>
      <c r="B1209" s="22"/>
      <c r="C1209" s="23" t="str">
        <f aca="false">IF(A1209="","",IFERROR(buscarx(A1209&amp;B1209,DATA!$E$3:$E$10000&amp;DATA!$B$3:$B$10000,DATA!$M$3:$M$10000),"No encontrado"))</f>
        <v/>
      </c>
      <c r="D1209" s="24" t="str">
        <f aca="false">IF(A1209="","",IFERROR(buscarx(A1209&amp;B1209,DATA!$E$3:$E$10000&amp;DATA!$B$3:$B$10000,DATA!$W$3:$W$10000),"No encontrado"))</f>
        <v/>
      </c>
      <c r="E1209" s="22"/>
      <c r="F1209" s="23" t="str">
        <f aca="false">IF(A1209="","",IFERROR(buscarx(A1209&amp;E1209,DATA!$E$3:$E$10000&amp;DATA!$B$3:$B$10000,DATA!$M$3:$M$10000),"Inactivo"))</f>
        <v/>
      </c>
      <c r="G1209" s="25" t="str">
        <f aca="false">IF(A1209="","",IF(AND(C1209&lt;&gt;"No encontrado",F1209&lt;&gt;"Inactivo"),C1209&amp;" → "&amp;F1209,"Sin transición"))</f>
        <v/>
      </c>
      <c r="H1209" s="23" t="str">
        <f aca="false">IF(A1209="","",IF(D1209="GCIA LINEA SERVICIO DIGITALIDAD Y VENTAS","Chats",IF(OR(D1209="GERENCIA INBOUND LÍNEAS SERVICIO Y VENTA",D1209="GERENCIA INBOUND LINEAS ESPECIALIZADAS"),"Llamadas","Otro")))</f>
        <v/>
      </c>
      <c r="I1209" s="23" t="str">
        <f aca="false">IF(A1209="","",IF(C1209="No encontrado","No","Sí"))</f>
        <v/>
      </c>
      <c r="J1209" s="23" t="str">
        <f aca="false">IF(A1209="","",IF(F1209="Inactivo","No","Sí"))</f>
        <v/>
      </c>
      <c r="K1209" s="23" t="str">
        <f aca="false">IF(A1209="","",IF(AND(I1209="Sí",J1209="Sí"),"Sí","No"))</f>
        <v/>
      </c>
    </row>
    <row r="1210" customFormat="false" ht="15" hidden="false" customHeight="false" outlineLevel="0" collapsed="false">
      <c r="A1210" s="22"/>
      <c r="B1210" s="22"/>
      <c r="C1210" s="26" t="str">
        <f aca="false">IF(A1210="","",IFERROR(buscarx(A1210&amp;B1210,DATA!$E$3:$E$10000&amp;DATA!$B$3:$B$10000,DATA!$M$3:$M$10000),"No encontrado"))</f>
        <v/>
      </c>
      <c r="D1210" s="27" t="str">
        <f aca="false">IF(A1210="","",IFERROR(buscarx(A1210&amp;B1210,DATA!$E$3:$E$10000&amp;DATA!$B$3:$B$10000,DATA!$W$3:$W$10000),"No encontrado"))</f>
        <v/>
      </c>
      <c r="E1210" s="22"/>
      <c r="F1210" s="26" t="str">
        <f aca="false">IF(A1210="","",IFERROR(buscarx(A1210&amp;E1210,DATA!$E$3:$E$10000&amp;DATA!$B$3:$B$10000,DATA!$M$3:$M$10000),"Inactivo"))</f>
        <v/>
      </c>
      <c r="G1210" s="28" t="str">
        <f aca="false">IF(A1210="","",IF(AND(C1210&lt;&gt;"No encontrado",F1210&lt;&gt;"Inactivo"),C1210&amp;" → "&amp;F1210,"Sin transición"))</f>
        <v/>
      </c>
      <c r="H1210" s="26" t="str">
        <f aca="false">IF(A1210="","",IF(D1210="GCIA LINEA SERVICIO DIGITALIDAD Y VENTAS","Chats",IF(OR(D1210="GERENCIA INBOUND LÍNEAS SERVICIO Y VENTA",D1210="GERENCIA INBOUND LINEAS ESPECIALIZADAS"),"Llamadas","Otro")))</f>
        <v/>
      </c>
      <c r="I1210" s="26" t="str">
        <f aca="false">IF(A1210="","",IF(C1210="No encontrado","No","Sí"))</f>
        <v/>
      </c>
      <c r="J1210" s="26" t="str">
        <f aca="false">IF(A1210="","",IF(F1210="Inactivo","No","Sí"))</f>
        <v/>
      </c>
      <c r="K1210" s="26" t="str">
        <f aca="false">IF(A1210="","",IF(AND(I1210="Sí",J1210="Sí"),"Sí","No"))</f>
        <v/>
      </c>
    </row>
    <row r="1211" customFormat="false" ht="15" hidden="false" customHeight="false" outlineLevel="0" collapsed="false">
      <c r="A1211" s="22"/>
      <c r="B1211" s="22"/>
      <c r="C1211" s="23" t="str">
        <f aca="false">IF(A1211="","",IFERROR(buscarx(A1211&amp;B1211,DATA!$E$3:$E$10000&amp;DATA!$B$3:$B$10000,DATA!$M$3:$M$10000),"No encontrado"))</f>
        <v/>
      </c>
      <c r="D1211" s="24" t="str">
        <f aca="false">IF(A1211="","",IFERROR(buscarx(A1211&amp;B1211,DATA!$E$3:$E$10000&amp;DATA!$B$3:$B$10000,DATA!$W$3:$W$10000),"No encontrado"))</f>
        <v/>
      </c>
      <c r="E1211" s="22"/>
      <c r="F1211" s="23" t="str">
        <f aca="false">IF(A1211="","",IFERROR(buscarx(A1211&amp;E1211,DATA!$E$3:$E$10000&amp;DATA!$B$3:$B$10000,DATA!$M$3:$M$10000),"Inactivo"))</f>
        <v/>
      </c>
      <c r="G1211" s="25" t="str">
        <f aca="false">IF(A1211="","",IF(AND(C1211&lt;&gt;"No encontrado",F1211&lt;&gt;"Inactivo"),C1211&amp;" → "&amp;F1211,"Sin transición"))</f>
        <v/>
      </c>
      <c r="H1211" s="23" t="str">
        <f aca="false">IF(A1211="","",IF(D1211="GCIA LINEA SERVICIO DIGITALIDAD Y VENTAS","Chats",IF(OR(D1211="GERENCIA INBOUND LÍNEAS SERVICIO Y VENTA",D1211="GERENCIA INBOUND LINEAS ESPECIALIZADAS"),"Llamadas","Otro")))</f>
        <v/>
      </c>
      <c r="I1211" s="23" t="str">
        <f aca="false">IF(A1211="","",IF(C1211="No encontrado","No","Sí"))</f>
        <v/>
      </c>
      <c r="J1211" s="23" t="str">
        <f aca="false">IF(A1211="","",IF(F1211="Inactivo","No","Sí"))</f>
        <v/>
      </c>
      <c r="K1211" s="23" t="str">
        <f aca="false">IF(A1211="","",IF(AND(I1211="Sí",J1211="Sí"),"Sí","No"))</f>
        <v/>
      </c>
    </row>
    <row r="1212" customFormat="false" ht="15" hidden="false" customHeight="false" outlineLevel="0" collapsed="false">
      <c r="A1212" s="22"/>
      <c r="B1212" s="22"/>
      <c r="C1212" s="26" t="str">
        <f aca="false">IF(A1212="","",IFERROR(buscarx(A1212&amp;B1212,DATA!$E$3:$E$10000&amp;DATA!$B$3:$B$10000,DATA!$M$3:$M$10000),"No encontrado"))</f>
        <v/>
      </c>
      <c r="D1212" s="27" t="str">
        <f aca="false">IF(A1212="","",IFERROR(buscarx(A1212&amp;B1212,DATA!$E$3:$E$10000&amp;DATA!$B$3:$B$10000,DATA!$W$3:$W$10000),"No encontrado"))</f>
        <v/>
      </c>
      <c r="E1212" s="22"/>
      <c r="F1212" s="26" t="str">
        <f aca="false">IF(A1212="","",IFERROR(buscarx(A1212&amp;E1212,DATA!$E$3:$E$10000&amp;DATA!$B$3:$B$10000,DATA!$M$3:$M$10000),"Inactivo"))</f>
        <v/>
      </c>
      <c r="G1212" s="28" t="str">
        <f aca="false">IF(A1212="","",IF(AND(C1212&lt;&gt;"No encontrado",F1212&lt;&gt;"Inactivo"),C1212&amp;" → "&amp;F1212,"Sin transición"))</f>
        <v/>
      </c>
      <c r="H1212" s="26" t="str">
        <f aca="false">IF(A1212="","",IF(D1212="GCIA LINEA SERVICIO DIGITALIDAD Y VENTAS","Chats",IF(OR(D1212="GERENCIA INBOUND LÍNEAS SERVICIO Y VENTA",D1212="GERENCIA INBOUND LINEAS ESPECIALIZADAS"),"Llamadas","Otro")))</f>
        <v/>
      </c>
      <c r="I1212" s="26" t="str">
        <f aca="false">IF(A1212="","",IF(C1212="No encontrado","No","Sí"))</f>
        <v/>
      </c>
      <c r="J1212" s="26" t="str">
        <f aca="false">IF(A1212="","",IF(F1212="Inactivo","No","Sí"))</f>
        <v/>
      </c>
      <c r="K1212" s="26" t="str">
        <f aca="false">IF(A1212="","",IF(AND(I1212="Sí",J1212="Sí"),"Sí","No"))</f>
        <v/>
      </c>
    </row>
    <row r="1213" customFormat="false" ht="15" hidden="false" customHeight="false" outlineLevel="0" collapsed="false">
      <c r="A1213" s="22"/>
      <c r="B1213" s="22"/>
      <c r="C1213" s="23" t="str">
        <f aca="false">IF(A1213="","",IFERROR(buscarx(A1213&amp;B1213,DATA!$E$3:$E$10000&amp;DATA!$B$3:$B$10000,DATA!$M$3:$M$10000),"No encontrado"))</f>
        <v/>
      </c>
      <c r="D1213" s="24" t="str">
        <f aca="false">IF(A1213="","",IFERROR(buscarx(A1213&amp;B1213,DATA!$E$3:$E$10000&amp;DATA!$B$3:$B$10000,DATA!$W$3:$W$10000),"No encontrado"))</f>
        <v/>
      </c>
      <c r="E1213" s="22"/>
      <c r="F1213" s="23" t="str">
        <f aca="false">IF(A1213="","",IFERROR(buscarx(A1213&amp;E1213,DATA!$E$3:$E$10000&amp;DATA!$B$3:$B$10000,DATA!$M$3:$M$10000),"Inactivo"))</f>
        <v/>
      </c>
      <c r="G1213" s="25" t="str">
        <f aca="false">IF(A1213="","",IF(AND(C1213&lt;&gt;"No encontrado",F1213&lt;&gt;"Inactivo"),C1213&amp;" → "&amp;F1213,"Sin transición"))</f>
        <v/>
      </c>
      <c r="H1213" s="23" t="str">
        <f aca="false">IF(A1213="","",IF(D1213="GCIA LINEA SERVICIO DIGITALIDAD Y VENTAS","Chats",IF(OR(D1213="GERENCIA INBOUND LÍNEAS SERVICIO Y VENTA",D1213="GERENCIA INBOUND LINEAS ESPECIALIZADAS"),"Llamadas","Otro")))</f>
        <v/>
      </c>
      <c r="I1213" s="23" t="str">
        <f aca="false">IF(A1213="","",IF(C1213="No encontrado","No","Sí"))</f>
        <v/>
      </c>
      <c r="J1213" s="23" t="str">
        <f aca="false">IF(A1213="","",IF(F1213="Inactivo","No","Sí"))</f>
        <v/>
      </c>
      <c r="K1213" s="23" t="str">
        <f aca="false">IF(A1213="","",IF(AND(I1213="Sí",J1213="Sí"),"Sí","No"))</f>
        <v/>
      </c>
    </row>
    <row r="1214" customFormat="false" ht="15" hidden="false" customHeight="false" outlineLevel="0" collapsed="false">
      <c r="A1214" s="22"/>
      <c r="B1214" s="22"/>
      <c r="C1214" s="26" t="str">
        <f aca="false">IF(A1214="","",IFERROR(buscarx(A1214&amp;B1214,DATA!$E$3:$E$10000&amp;DATA!$B$3:$B$10000,DATA!$M$3:$M$10000),"No encontrado"))</f>
        <v/>
      </c>
      <c r="D1214" s="27" t="str">
        <f aca="false">IF(A1214="","",IFERROR(buscarx(A1214&amp;B1214,DATA!$E$3:$E$10000&amp;DATA!$B$3:$B$10000,DATA!$W$3:$W$10000),"No encontrado"))</f>
        <v/>
      </c>
      <c r="E1214" s="22"/>
      <c r="F1214" s="26" t="str">
        <f aca="false">IF(A1214="","",IFERROR(buscarx(A1214&amp;E1214,DATA!$E$3:$E$10000&amp;DATA!$B$3:$B$10000,DATA!$M$3:$M$10000),"Inactivo"))</f>
        <v/>
      </c>
      <c r="G1214" s="28" t="str">
        <f aca="false">IF(A1214="","",IF(AND(C1214&lt;&gt;"No encontrado",F1214&lt;&gt;"Inactivo"),C1214&amp;" → "&amp;F1214,"Sin transición"))</f>
        <v/>
      </c>
      <c r="H1214" s="26" t="str">
        <f aca="false">IF(A1214="","",IF(D1214="GCIA LINEA SERVICIO DIGITALIDAD Y VENTAS","Chats",IF(OR(D1214="GERENCIA INBOUND LÍNEAS SERVICIO Y VENTA",D1214="GERENCIA INBOUND LINEAS ESPECIALIZADAS"),"Llamadas","Otro")))</f>
        <v/>
      </c>
      <c r="I1214" s="26" t="str">
        <f aca="false">IF(A1214="","",IF(C1214="No encontrado","No","Sí"))</f>
        <v/>
      </c>
      <c r="J1214" s="26" t="str">
        <f aca="false">IF(A1214="","",IF(F1214="Inactivo","No","Sí"))</f>
        <v/>
      </c>
      <c r="K1214" s="26" t="str">
        <f aca="false">IF(A1214="","",IF(AND(I1214="Sí",J1214="Sí"),"Sí","No"))</f>
        <v/>
      </c>
    </row>
    <row r="1215" customFormat="false" ht="15" hidden="false" customHeight="false" outlineLevel="0" collapsed="false">
      <c r="A1215" s="22"/>
      <c r="B1215" s="22"/>
      <c r="C1215" s="23" t="str">
        <f aca="false">IF(A1215="","",IFERROR(buscarx(A1215&amp;B1215,DATA!$E$3:$E$10000&amp;DATA!$B$3:$B$10000,DATA!$M$3:$M$10000),"No encontrado"))</f>
        <v/>
      </c>
      <c r="D1215" s="24" t="str">
        <f aca="false">IF(A1215="","",IFERROR(buscarx(A1215&amp;B1215,DATA!$E$3:$E$10000&amp;DATA!$B$3:$B$10000,DATA!$W$3:$W$10000),"No encontrado"))</f>
        <v/>
      </c>
      <c r="E1215" s="22"/>
      <c r="F1215" s="23" t="str">
        <f aca="false">IF(A1215="","",IFERROR(buscarx(A1215&amp;E1215,DATA!$E$3:$E$10000&amp;DATA!$B$3:$B$10000,DATA!$M$3:$M$10000),"Inactivo"))</f>
        <v/>
      </c>
      <c r="G1215" s="25" t="str">
        <f aca="false">IF(A1215="","",IF(AND(C1215&lt;&gt;"No encontrado",F1215&lt;&gt;"Inactivo"),C1215&amp;" → "&amp;F1215,"Sin transición"))</f>
        <v/>
      </c>
      <c r="H1215" s="23" t="str">
        <f aca="false">IF(A1215="","",IF(D1215="GCIA LINEA SERVICIO DIGITALIDAD Y VENTAS","Chats",IF(OR(D1215="GERENCIA INBOUND LÍNEAS SERVICIO Y VENTA",D1215="GERENCIA INBOUND LINEAS ESPECIALIZADAS"),"Llamadas","Otro")))</f>
        <v/>
      </c>
      <c r="I1215" s="23" t="str">
        <f aca="false">IF(A1215="","",IF(C1215="No encontrado","No","Sí"))</f>
        <v/>
      </c>
      <c r="J1215" s="23" t="str">
        <f aca="false">IF(A1215="","",IF(F1215="Inactivo","No","Sí"))</f>
        <v/>
      </c>
      <c r="K1215" s="23" t="str">
        <f aca="false">IF(A1215="","",IF(AND(I1215="Sí",J1215="Sí"),"Sí","No"))</f>
        <v/>
      </c>
    </row>
    <row r="1216" customFormat="false" ht="15" hidden="false" customHeight="false" outlineLevel="0" collapsed="false">
      <c r="A1216" s="22"/>
      <c r="B1216" s="22"/>
      <c r="C1216" s="26" t="str">
        <f aca="false">IF(A1216="","",IFERROR(buscarx(A1216&amp;B1216,DATA!$E$3:$E$10000&amp;DATA!$B$3:$B$10000,DATA!$M$3:$M$10000),"No encontrado"))</f>
        <v/>
      </c>
      <c r="D1216" s="27" t="str">
        <f aca="false">IF(A1216="","",IFERROR(buscarx(A1216&amp;B1216,DATA!$E$3:$E$10000&amp;DATA!$B$3:$B$10000,DATA!$W$3:$W$10000),"No encontrado"))</f>
        <v/>
      </c>
      <c r="E1216" s="22"/>
      <c r="F1216" s="26" t="str">
        <f aca="false">IF(A1216="","",IFERROR(buscarx(A1216&amp;E1216,DATA!$E$3:$E$10000&amp;DATA!$B$3:$B$10000,DATA!$M$3:$M$10000),"Inactivo"))</f>
        <v/>
      </c>
      <c r="G1216" s="28" t="str">
        <f aca="false">IF(A1216="","",IF(AND(C1216&lt;&gt;"No encontrado",F1216&lt;&gt;"Inactivo"),C1216&amp;" → "&amp;F1216,"Sin transición"))</f>
        <v/>
      </c>
      <c r="H1216" s="26" t="str">
        <f aca="false">IF(A1216="","",IF(D1216="GCIA LINEA SERVICIO DIGITALIDAD Y VENTAS","Chats",IF(OR(D1216="GERENCIA INBOUND LÍNEAS SERVICIO Y VENTA",D1216="GERENCIA INBOUND LINEAS ESPECIALIZADAS"),"Llamadas","Otro")))</f>
        <v/>
      </c>
      <c r="I1216" s="26" t="str">
        <f aca="false">IF(A1216="","",IF(C1216="No encontrado","No","Sí"))</f>
        <v/>
      </c>
      <c r="J1216" s="26" t="str">
        <f aca="false">IF(A1216="","",IF(F1216="Inactivo","No","Sí"))</f>
        <v/>
      </c>
      <c r="K1216" s="26" t="str">
        <f aca="false">IF(A1216="","",IF(AND(I1216="Sí",J1216="Sí"),"Sí","No"))</f>
        <v/>
      </c>
    </row>
    <row r="1217" customFormat="false" ht="15" hidden="false" customHeight="false" outlineLevel="0" collapsed="false">
      <c r="A1217" s="22"/>
      <c r="B1217" s="22"/>
      <c r="C1217" s="23" t="str">
        <f aca="false">IF(A1217="","",IFERROR(buscarx(A1217&amp;B1217,DATA!$E$3:$E$10000&amp;DATA!$B$3:$B$10000,DATA!$M$3:$M$10000),"No encontrado"))</f>
        <v/>
      </c>
      <c r="D1217" s="24" t="str">
        <f aca="false">IF(A1217="","",IFERROR(buscarx(A1217&amp;B1217,DATA!$E$3:$E$10000&amp;DATA!$B$3:$B$10000,DATA!$W$3:$W$10000),"No encontrado"))</f>
        <v/>
      </c>
      <c r="E1217" s="22"/>
      <c r="F1217" s="23" t="str">
        <f aca="false">IF(A1217="","",IFERROR(buscarx(A1217&amp;E1217,DATA!$E$3:$E$10000&amp;DATA!$B$3:$B$10000,DATA!$M$3:$M$10000),"Inactivo"))</f>
        <v/>
      </c>
      <c r="G1217" s="25" t="str">
        <f aca="false">IF(A1217="","",IF(AND(C1217&lt;&gt;"No encontrado",F1217&lt;&gt;"Inactivo"),C1217&amp;" → "&amp;F1217,"Sin transición"))</f>
        <v/>
      </c>
      <c r="H1217" s="23" t="str">
        <f aca="false">IF(A1217="","",IF(D1217="GCIA LINEA SERVICIO DIGITALIDAD Y VENTAS","Chats",IF(OR(D1217="GERENCIA INBOUND LÍNEAS SERVICIO Y VENTA",D1217="GERENCIA INBOUND LINEAS ESPECIALIZADAS"),"Llamadas","Otro")))</f>
        <v/>
      </c>
      <c r="I1217" s="23" t="str">
        <f aca="false">IF(A1217="","",IF(C1217="No encontrado","No","Sí"))</f>
        <v/>
      </c>
      <c r="J1217" s="23" t="str">
        <f aca="false">IF(A1217="","",IF(F1217="Inactivo","No","Sí"))</f>
        <v/>
      </c>
      <c r="K1217" s="23" t="str">
        <f aca="false">IF(A1217="","",IF(AND(I1217="Sí",J1217="Sí"),"Sí","No"))</f>
        <v/>
      </c>
    </row>
    <row r="1218" customFormat="false" ht="15" hidden="false" customHeight="false" outlineLevel="0" collapsed="false">
      <c r="A1218" s="22"/>
      <c r="B1218" s="22"/>
      <c r="C1218" s="26" t="str">
        <f aca="false">IF(A1218="","",IFERROR(buscarx(A1218&amp;B1218,DATA!$E$3:$E$10000&amp;DATA!$B$3:$B$10000,DATA!$M$3:$M$10000),"No encontrado"))</f>
        <v/>
      </c>
      <c r="D1218" s="27" t="str">
        <f aca="false">IF(A1218="","",IFERROR(buscarx(A1218&amp;B1218,DATA!$E$3:$E$10000&amp;DATA!$B$3:$B$10000,DATA!$W$3:$W$10000),"No encontrado"))</f>
        <v/>
      </c>
      <c r="E1218" s="22"/>
      <c r="F1218" s="26" t="str">
        <f aca="false">IF(A1218="","",IFERROR(buscarx(A1218&amp;E1218,DATA!$E$3:$E$10000&amp;DATA!$B$3:$B$10000,DATA!$M$3:$M$10000),"Inactivo"))</f>
        <v/>
      </c>
      <c r="G1218" s="28" t="str">
        <f aca="false">IF(A1218="","",IF(AND(C1218&lt;&gt;"No encontrado",F1218&lt;&gt;"Inactivo"),C1218&amp;" → "&amp;F1218,"Sin transición"))</f>
        <v/>
      </c>
      <c r="H1218" s="26" t="str">
        <f aca="false">IF(A1218="","",IF(D1218="GCIA LINEA SERVICIO DIGITALIDAD Y VENTAS","Chats",IF(OR(D1218="GERENCIA INBOUND LÍNEAS SERVICIO Y VENTA",D1218="GERENCIA INBOUND LINEAS ESPECIALIZADAS"),"Llamadas","Otro")))</f>
        <v/>
      </c>
      <c r="I1218" s="26" t="str">
        <f aca="false">IF(A1218="","",IF(C1218="No encontrado","No","Sí"))</f>
        <v/>
      </c>
      <c r="J1218" s="26" t="str">
        <f aca="false">IF(A1218="","",IF(F1218="Inactivo","No","Sí"))</f>
        <v/>
      </c>
      <c r="K1218" s="26" t="str">
        <f aca="false">IF(A1218="","",IF(AND(I1218="Sí",J1218="Sí"),"Sí","No"))</f>
        <v/>
      </c>
    </row>
    <row r="1219" customFormat="false" ht="15" hidden="false" customHeight="false" outlineLevel="0" collapsed="false">
      <c r="A1219" s="22"/>
      <c r="B1219" s="22"/>
      <c r="C1219" s="23" t="str">
        <f aca="false">IF(A1219="","",IFERROR(buscarx(A1219&amp;B1219,DATA!$E$3:$E$10000&amp;DATA!$B$3:$B$10000,DATA!$M$3:$M$10000),"No encontrado"))</f>
        <v/>
      </c>
      <c r="D1219" s="24" t="str">
        <f aca="false">IF(A1219="","",IFERROR(buscarx(A1219&amp;B1219,DATA!$E$3:$E$10000&amp;DATA!$B$3:$B$10000,DATA!$W$3:$W$10000),"No encontrado"))</f>
        <v/>
      </c>
      <c r="E1219" s="22"/>
      <c r="F1219" s="23" t="str">
        <f aca="false">IF(A1219="","",IFERROR(buscarx(A1219&amp;E1219,DATA!$E$3:$E$10000&amp;DATA!$B$3:$B$10000,DATA!$M$3:$M$10000),"Inactivo"))</f>
        <v/>
      </c>
      <c r="G1219" s="25" t="str">
        <f aca="false">IF(A1219="","",IF(AND(C1219&lt;&gt;"No encontrado",F1219&lt;&gt;"Inactivo"),C1219&amp;" → "&amp;F1219,"Sin transición"))</f>
        <v/>
      </c>
      <c r="H1219" s="23" t="str">
        <f aca="false">IF(A1219="","",IF(D1219="GCIA LINEA SERVICIO DIGITALIDAD Y VENTAS","Chats",IF(OR(D1219="GERENCIA INBOUND LÍNEAS SERVICIO Y VENTA",D1219="GERENCIA INBOUND LINEAS ESPECIALIZADAS"),"Llamadas","Otro")))</f>
        <v/>
      </c>
      <c r="I1219" s="23" t="str">
        <f aca="false">IF(A1219="","",IF(C1219="No encontrado","No","Sí"))</f>
        <v/>
      </c>
      <c r="J1219" s="23" t="str">
        <f aca="false">IF(A1219="","",IF(F1219="Inactivo","No","Sí"))</f>
        <v/>
      </c>
      <c r="K1219" s="23" t="str">
        <f aca="false">IF(A1219="","",IF(AND(I1219="Sí",J1219="Sí"),"Sí","No"))</f>
        <v/>
      </c>
    </row>
    <row r="1220" customFormat="false" ht="15" hidden="false" customHeight="false" outlineLevel="0" collapsed="false">
      <c r="A1220" s="22"/>
      <c r="B1220" s="22"/>
      <c r="C1220" s="26" t="str">
        <f aca="false">IF(A1220="","",IFERROR(buscarx(A1220&amp;B1220,DATA!$E$3:$E$10000&amp;DATA!$B$3:$B$10000,DATA!$M$3:$M$10000),"No encontrado"))</f>
        <v/>
      </c>
      <c r="D1220" s="27" t="str">
        <f aca="false">IF(A1220="","",IFERROR(buscarx(A1220&amp;B1220,DATA!$E$3:$E$10000&amp;DATA!$B$3:$B$10000,DATA!$W$3:$W$10000),"No encontrado"))</f>
        <v/>
      </c>
      <c r="E1220" s="22"/>
      <c r="F1220" s="26" t="str">
        <f aca="false">IF(A1220="","",IFERROR(buscarx(A1220&amp;E1220,DATA!$E$3:$E$10000&amp;DATA!$B$3:$B$10000,DATA!$M$3:$M$10000),"Inactivo"))</f>
        <v/>
      </c>
      <c r="G1220" s="28" t="str">
        <f aca="false">IF(A1220="","",IF(AND(C1220&lt;&gt;"No encontrado",F1220&lt;&gt;"Inactivo"),C1220&amp;" → "&amp;F1220,"Sin transición"))</f>
        <v/>
      </c>
      <c r="H1220" s="26" t="str">
        <f aca="false">IF(A1220="","",IF(D1220="GCIA LINEA SERVICIO DIGITALIDAD Y VENTAS","Chats",IF(OR(D1220="GERENCIA INBOUND LÍNEAS SERVICIO Y VENTA",D1220="GERENCIA INBOUND LINEAS ESPECIALIZADAS"),"Llamadas","Otro")))</f>
        <v/>
      </c>
      <c r="I1220" s="26" t="str">
        <f aca="false">IF(A1220="","",IF(C1220="No encontrado","No","Sí"))</f>
        <v/>
      </c>
      <c r="J1220" s="26" t="str">
        <f aca="false">IF(A1220="","",IF(F1220="Inactivo","No","Sí"))</f>
        <v/>
      </c>
      <c r="K1220" s="26" t="str">
        <f aca="false">IF(A1220="","",IF(AND(I1220="Sí",J1220="Sí"),"Sí","No"))</f>
        <v/>
      </c>
    </row>
    <row r="1221" customFormat="false" ht="15" hidden="false" customHeight="false" outlineLevel="0" collapsed="false">
      <c r="A1221" s="22"/>
      <c r="B1221" s="22"/>
      <c r="C1221" s="23" t="str">
        <f aca="false">IF(A1221="","",IFERROR(buscarx(A1221&amp;B1221,DATA!$E$3:$E$10000&amp;DATA!$B$3:$B$10000,DATA!$M$3:$M$10000),"No encontrado"))</f>
        <v/>
      </c>
      <c r="D1221" s="24" t="str">
        <f aca="false">IF(A1221="","",IFERROR(buscarx(A1221&amp;B1221,DATA!$E$3:$E$10000&amp;DATA!$B$3:$B$10000,DATA!$W$3:$W$10000),"No encontrado"))</f>
        <v/>
      </c>
      <c r="E1221" s="22"/>
      <c r="F1221" s="23" t="str">
        <f aca="false">IF(A1221="","",IFERROR(buscarx(A1221&amp;E1221,DATA!$E$3:$E$10000&amp;DATA!$B$3:$B$10000,DATA!$M$3:$M$10000),"Inactivo"))</f>
        <v/>
      </c>
      <c r="G1221" s="25" t="str">
        <f aca="false">IF(A1221="","",IF(AND(C1221&lt;&gt;"No encontrado",F1221&lt;&gt;"Inactivo"),C1221&amp;" → "&amp;F1221,"Sin transición"))</f>
        <v/>
      </c>
      <c r="H1221" s="23" t="str">
        <f aca="false">IF(A1221="","",IF(D1221="GCIA LINEA SERVICIO DIGITALIDAD Y VENTAS","Chats",IF(OR(D1221="GERENCIA INBOUND LÍNEAS SERVICIO Y VENTA",D1221="GERENCIA INBOUND LINEAS ESPECIALIZADAS"),"Llamadas","Otro")))</f>
        <v/>
      </c>
      <c r="I1221" s="23" t="str">
        <f aca="false">IF(A1221="","",IF(C1221="No encontrado","No","Sí"))</f>
        <v/>
      </c>
      <c r="J1221" s="23" t="str">
        <f aca="false">IF(A1221="","",IF(F1221="Inactivo","No","Sí"))</f>
        <v/>
      </c>
      <c r="K1221" s="23" t="str">
        <f aca="false">IF(A1221="","",IF(AND(I1221="Sí",J1221="Sí"),"Sí","No"))</f>
        <v/>
      </c>
    </row>
    <row r="1222" customFormat="false" ht="15" hidden="false" customHeight="false" outlineLevel="0" collapsed="false">
      <c r="A1222" s="22"/>
      <c r="B1222" s="22"/>
      <c r="C1222" s="26" t="str">
        <f aca="false">IF(A1222="","",IFERROR(buscarx(A1222&amp;B1222,DATA!$E$3:$E$10000&amp;DATA!$B$3:$B$10000,DATA!$M$3:$M$10000),"No encontrado"))</f>
        <v/>
      </c>
      <c r="D1222" s="27" t="str">
        <f aca="false">IF(A1222="","",IFERROR(buscarx(A1222&amp;B1222,DATA!$E$3:$E$10000&amp;DATA!$B$3:$B$10000,DATA!$W$3:$W$10000),"No encontrado"))</f>
        <v/>
      </c>
      <c r="E1222" s="22"/>
      <c r="F1222" s="26" t="str">
        <f aca="false">IF(A1222="","",IFERROR(buscarx(A1222&amp;E1222,DATA!$E$3:$E$10000&amp;DATA!$B$3:$B$10000,DATA!$M$3:$M$10000),"Inactivo"))</f>
        <v/>
      </c>
      <c r="G1222" s="28" t="str">
        <f aca="false">IF(A1222="","",IF(AND(C1222&lt;&gt;"No encontrado",F1222&lt;&gt;"Inactivo"),C1222&amp;" → "&amp;F1222,"Sin transición"))</f>
        <v/>
      </c>
      <c r="H1222" s="26" t="str">
        <f aca="false">IF(A1222="","",IF(D1222="GCIA LINEA SERVICIO DIGITALIDAD Y VENTAS","Chats",IF(OR(D1222="GERENCIA INBOUND LÍNEAS SERVICIO Y VENTA",D1222="GERENCIA INBOUND LINEAS ESPECIALIZADAS"),"Llamadas","Otro")))</f>
        <v/>
      </c>
      <c r="I1222" s="26" t="str">
        <f aca="false">IF(A1222="","",IF(C1222="No encontrado","No","Sí"))</f>
        <v/>
      </c>
      <c r="J1222" s="26" t="str">
        <f aca="false">IF(A1222="","",IF(F1222="Inactivo","No","Sí"))</f>
        <v/>
      </c>
      <c r="K1222" s="26" t="str">
        <f aca="false">IF(A1222="","",IF(AND(I1222="Sí",J1222="Sí"),"Sí","No"))</f>
        <v/>
      </c>
    </row>
    <row r="1223" customFormat="false" ht="15" hidden="false" customHeight="false" outlineLevel="0" collapsed="false">
      <c r="A1223" s="22"/>
      <c r="B1223" s="22"/>
      <c r="C1223" s="23" t="str">
        <f aca="false">IF(A1223="","",IFERROR(buscarx(A1223&amp;B1223,DATA!$E$3:$E$10000&amp;DATA!$B$3:$B$10000,DATA!$M$3:$M$10000),"No encontrado"))</f>
        <v/>
      </c>
      <c r="D1223" s="24" t="str">
        <f aca="false">IF(A1223="","",IFERROR(buscarx(A1223&amp;B1223,DATA!$E$3:$E$10000&amp;DATA!$B$3:$B$10000,DATA!$W$3:$W$10000),"No encontrado"))</f>
        <v/>
      </c>
      <c r="E1223" s="22"/>
      <c r="F1223" s="23" t="str">
        <f aca="false">IF(A1223="","",IFERROR(buscarx(A1223&amp;E1223,DATA!$E$3:$E$10000&amp;DATA!$B$3:$B$10000,DATA!$M$3:$M$10000),"Inactivo"))</f>
        <v/>
      </c>
      <c r="G1223" s="25" t="str">
        <f aca="false">IF(A1223="","",IF(AND(C1223&lt;&gt;"No encontrado",F1223&lt;&gt;"Inactivo"),C1223&amp;" → "&amp;F1223,"Sin transición"))</f>
        <v/>
      </c>
      <c r="H1223" s="23" t="str">
        <f aca="false">IF(A1223="","",IF(D1223="GCIA LINEA SERVICIO DIGITALIDAD Y VENTAS","Chats",IF(OR(D1223="GERENCIA INBOUND LÍNEAS SERVICIO Y VENTA",D1223="GERENCIA INBOUND LINEAS ESPECIALIZADAS"),"Llamadas","Otro")))</f>
        <v/>
      </c>
      <c r="I1223" s="23" t="str">
        <f aca="false">IF(A1223="","",IF(C1223="No encontrado","No","Sí"))</f>
        <v/>
      </c>
      <c r="J1223" s="23" t="str">
        <f aca="false">IF(A1223="","",IF(F1223="Inactivo","No","Sí"))</f>
        <v/>
      </c>
      <c r="K1223" s="23" t="str">
        <f aca="false">IF(A1223="","",IF(AND(I1223="Sí",J1223="Sí"),"Sí","No"))</f>
        <v/>
      </c>
    </row>
    <row r="1224" customFormat="false" ht="15" hidden="false" customHeight="false" outlineLevel="0" collapsed="false">
      <c r="A1224" s="22"/>
      <c r="B1224" s="22"/>
      <c r="C1224" s="26" t="str">
        <f aca="false">IF(A1224="","",IFERROR(buscarx(A1224&amp;B1224,DATA!$E$3:$E$10000&amp;DATA!$B$3:$B$10000,DATA!$M$3:$M$10000),"No encontrado"))</f>
        <v/>
      </c>
      <c r="D1224" s="27" t="str">
        <f aca="false">IF(A1224="","",IFERROR(buscarx(A1224&amp;B1224,DATA!$E$3:$E$10000&amp;DATA!$B$3:$B$10000,DATA!$W$3:$W$10000),"No encontrado"))</f>
        <v/>
      </c>
      <c r="E1224" s="22"/>
      <c r="F1224" s="26" t="str">
        <f aca="false">IF(A1224="","",IFERROR(buscarx(A1224&amp;E1224,DATA!$E$3:$E$10000&amp;DATA!$B$3:$B$10000,DATA!$M$3:$M$10000),"Inactivo"))</f>
        <v/>
      </c>
      <c r="G1224" s="28" t="str">
        <f aca="false">IF(A1224="","",IF(AND(C1224&lt;&gt;"No encontrado",F1224&lt;&gt;"Inactivo"),C1224&amp;" → "&amp;F1224,"Sin transición"))</f>
        <v/>
      </c>
      <c r="H1224" s="26" t="str">
        <f aca="false">IF(A1224="","",IF(D1224="GCIA LINEA SERVICIO DIGITALIDAD Y VENTAS","Chats",IF(OR(D1224="GERENCIA INBOUND LÍNEAS SERVICIO Y VENTA",D1224="GERENCIA INBOUND LINEAS ESPECIALIZADAS"),"Llamadas","Otro")))</f>
        <v/>
      </c>
      <c r="I1224" s="26" t="str">
        <f aca="false">IF(A1224="","",IF(C1224="No encontrado","No","Sí"))</f>
        <v/>
      </c>
      <c r="J1224" s="26" t="str">
        <f aca="false">IF(A1224="","",IF(F1224="Inactivo","No","Sí"))</f>
        <v/>
      </c>
      <c r="K1224" s="26" t="str">
        <f aca="false">IF(A1224="","",IF(AND(I1224="Sí",J1224="Sí"),"Sí","No"))</f>
        <v/>
      </c>
    </row>
    <row r="1225" customFormat="false" ht="15" hidden="false" customHeight="false" outlineLevel="0" collapsed="false">
      <c r="A1225" s="22"/>
      <c r="B1225" s="22"/>
      <c r="C1225" s="23" t="str">
        <f aca="false">IF(A1225="","",IFERROR(buscarx(A1225&amp;B1225,DATA!$E$3:$E$10000&amp;DATA!$B$3:$B$10000,DATA!$M$3:$M$10000),"No encontrado"))</f>
        <v/>
      </c>
      <c r="D1225" s="24" t="str">
        <f aca="false">IF(A1225="","",IFERROR(buscarx(A1225&amp;B1225,DATA!$E$3:$E$10000&amp;DATA!$B$3:$B$10000,DATA!$W$3:$W$10000),"No encontrado"))</f>
        <v/>
      </c>
      <c r="E1225" s="22"/>
      <c r="F1225" s="23" t="str">
        <f aca="false">IF(A1225="","",IFERROR(buscarx(A1225&amp;E1225,DATA!$E$3:$E$10000&amp;DATA!$B$3:$B$10000,DATA!$M$3:$M$10000),"Inactivo"))</f>
        <v/>
      </c>
      <c r="G1225" s="25" t="str">
        <f aca="false">IF(A1225="","",IF(AND(C1225&lt;&gt;"No encontrado",F1225&lt;&gt;"Inactivo"),C1225&amp;" → "&amp;F1225,"Sin transición"))</f>
        <v/>
      </c>
      <c r="H1225" s="23" t="str">
        <f aca="false">IF(A1225="","",IF(D1225="GCIA LINEA SERVICIO DIGITALIDAD Y VENTAS","Chats",IF(OR(D1225="GERENCIA INBOUND LÍNEAS SERVICIO Y VENTA",D1225="GERENCIA INBOUND LINEAS ESPECIALIZADAS"),"Llamadas","Otro")))</f>
        <v/>
      </c>
      <c r="I1225" s="23" t="str">
        <f aca="false">IF(A1225="","",IF(C1225="No encontrado","No","Sí"))</f>
        <v/>
      </c>
      <c r="J1225" s="23" t="str">
        <f aca="false">IF(A1225="","",IF(F1225="Inactivo","No","Sí"))</f>
        <v/>
      </c>
      <c r="K1225" s="23" t="str">
        <f aca="false">IF(A1225="","",IF(AND(I1225="Sí",J1225="Sí"),"Sí","No"))</f>
        <v/>
      </c>
    </row>
    <row r="1226" customFormat="false" ht="15" hidden="false" customHeight="false" outlineLevel="0" collapsed="false">
      <c r="A1226" s="22"/>
      <c r="B1226" s="22"/>
      <c r="C1226" s="26" t="str">
        <f aca="false">IF(A1226="","",IFERROR(buscarx(A1226&amp;B1226,DATA!$E$3:$E$10000&amp;DATA!$B$3:$B$10000,DATA!$M$3:$M$10000),"No encontrado"))</f>
        <v/>
      </c>
      <c r="D1226" s="27" t="str">
        <f aca="false">IF(A1226="","",IFERROR(buscarx(A1226&amp;B1226,DATA!$E$3:$E$10000&amp;DATA!$B$3:$B$10000,DATA!$W$3:$W$10000),"No encontrado"))</f>
        <v/>
      </c>
      <c r="E1226" s="22"/>
      <c r="F1226" s="26" t="str">
        <f aca="false">IF(A1226="","",IFERROR(buscarx(A1226&amp;E1226,DATA!$E$3:$E$10000&amp;DATA!$B$3:$B$10000,DATA!$M$3:$M$10000),"Inactivo"))</f>
        <v/>
      </c>
      <c r="G1226" s="28" t="str">
        <f aca="false">IF(A1226="","",IF(AND(C1226&lt;&gt;"No encontrado",F1226&lt;&gt;"Inactivo"),C1226&amp;" → "&amp;F1226,"Sin transición"))</f>
        <v/>
      </c>
      <c r="H1226" s="26" t="str">
        <f aca="false">IF(A1226="","",IF(D1226="GCIA LINEA SERVICIO DIGITALIDAD Y VENTAS","Chats",IF(OR(D1226="GERENCIA INBOUND LÍNEAS SERVICIO Y VENTA",D1226="GERENCIA INBOUND LINEAS ESPECIALIZADAS"),"Llamadas","Otro")))</f>
        <v/>
      </c>
      <c r="I1226" s="26" t="str">
        <f aca="false">IF(A1226="","",IF(C1226="No encontrado","No","Sí"))</f>
        <v/>
      </c>
      <c r="J1226" s="26" t="str">
        <f aca="false">IF(A1226="","",IF(F1226="Inactivo","No","Sí"))</f>
        <v/>
      </c>
      <c r="K1226" s="26" t="str">
        <f aca="false">IF(A1226="","",IF(AND(I1226="Sí",J1226="Sí"),"Sí","No"))</f>
        <v/>
      </c>
    </row>
    <row r="1227" customFormat="false" ht="15" hidden="false" customHeight="false" outlineLevel="0" collapsed="false">
      <c r="A1227" s="22"/>
      <c r="B1227" s="22"/>
      <c r="C1227" s="23" t="str">
        <f aca="false">IF(A1227="","",IFERROR(buscarx(A1227&amp;B1227,DATA!$E$3:$E$10000&amp;DATA!$B$3:$B$10000,DATA!$M$3:$M$10000),"No encontrado"))</f>
        <v/>
      </c>
      <c r="D1227" s="24" t="str">
        <f aca="false">IF(A1227="","",IFERROR(buscarx(A1227&amp;B1227,DATA!$E$3:$E$10000&amp;DATA!$B$3:$B$10000,DATA!$W$3:$W$10000),"No encontrado"))</f>
        <v/>
      </c>
      <c r="E1227" s="22"/>
      <c r="F1227" s="23" t="str">
        <f aca="false">IF(A1227="","",IFERROR(buscarx(A1227&amp;E1227,DATA!$E$3:$E$10000&amp;DATA!$B$3:$B$10000,DATA!$M$3:$M$10000),"Inactivo"))</f>
        <v/>
      </c>
      <c r="G1227" s="25" t="str">
        <f aca="false">IF(A1227="","",IF(AND(C1227&lt;&gt;"No encontrado",F1227&lt;&gt;"Inactivo"),C1227&amp;" → "&amp;F1227,"Sin transición"))</f>
        <v/>
      </c>
      <c r="H1227" s="23" t="str">
        <f aca="false">IF(A1227="","",IF(D1227="GCIA LINEA SERVICIO DIGITALIDAD Y VENTAS","Chats",IF(OR(D1227="GERENCIA INBOUND LÍNEAS SERVICIO Y VENTA",D1227="GERENCIA INBOUND LINEAS ESPECIALIZADAS"),"Llamadas","Otro")))</f>
        <v/>
      </c>
      <c r="I1227" s="23" t="str">
        <f aca="false">IF(A1227="","",IF(C1227="No encontrado","No","Sí"))</f>
        <v/>
      </c>
      <c r="J1227" s="23" t="str">
        <f aca="false">IF(A1227="","",IF(F1227="Inactivo","No","Sí"))</f>
        <v/>
      </c>
      <c r="K1227" s="23" t="str">
        <f aca="false">IF(A1227="","",IF(AND(I1227="Sí",J1227="Sí"),"Sí","No"))</f>
        <v/>
      </c>
    </row>
    <row r="1228" customFormat="false" ht="15" hidden="false" customHeight="false" outlineLevel="0" collapsed="false">
      <c r="A1228" s="22"/>
      <c r="B1228" s="22"/>
      <c r="C1228" s="26" t="str">
        <f aca="false">IF(A1228="","",IFERROR(buscarx(A1228&amp;B1228,DATA!$E$3:$E$10000&amp;DATA!$B$3:$B$10000,DATA!$M$3:$M$10000),"No encontrado"))</f>
        <v/>
      </c>
      <c r="D1228" s="27" t="str">
        <f aca="false">IF(A1228="","",IFERROR(buscarx(A1228&amp;B1228,DATA!$E$3:$E$10000&amp;DATA!$B$3:$B$10000,DATA!$W$3:$W$10000),"No encontrado"))</f>
        <v/>
      </c>
      <c r="E1228" s="22"/>
      <c r="F1228" s="26" t="str">
        <f aca="false">IF(A1228="","",IFERROR(buscarx(A1228&amp;E1228,DATA!$E$3:$E$10000&amp;DATA!$B$3:$B$10000,DATA!$M$3:$M$10000),"Inactivo"))</f>
        <v/>
      </c>
      <c r="G1228" s="28" t="str">
        <f aca="false">IF(A1228="","",IF(AND(C1228&lt;&gt;"No encontrado",F1228&lt;&gt;"Inactivo"),C1228&amp;" → "&amp;F1228,"Sin transición"))</f>
        <v/>
      </c>
      <c r="H1228" s="26" t="str">
        <f aca="false">IF(A1228="","",IF(D1228="GCIA LINEA SERVICIO DIGITALIDAD Y VENTAS","Chats",IF(OR(D1228="GERENCIA INBOUND LÍNEAS SERVICIO Y VENTA",D1228="GERENCIA INBOUND LINEAS ESPECIALIZADAS"),"Llamadas","Otro")))</f>
        <v/>
      </c>
      <c r="I1228" s="26" t="str">
        <f aca="false">IF(A1228="","",IF(C1228="No encontrado","No","Sí"))</f>
        <v/>
      </c>
      <c r="J1228" s="26" t="str">
        <f aca="false">IF(A1228="","",IF(F1228="Inactivo","No","Sí"))</f>
        <v/>
      </c>
      <c r="K1228" s="26" t="str">
        <f aca="false">IF(A1228="","",IF(AND(I1228="Sí",J1228="Sí"),"Sí","No"))</f>
        <v/>
      </c>
    </row>
    <row r="1229" customFormat="false" ht="15" hidden="false" customHeight="false" outlineLevel="0" collapsed="false">
      <c r="A1229" s="22"/>
      <c r="B1229" s="22"/>
      <c r="C1229" s="23" t="str">
        <f aca="false">IF(A1229="","",IFERROR(buscarx(A1229&amp;B1229,DATA!$E$3:$E$10000&amp;DATA!$B$3:$B$10000,DATA!$M$3:$M$10000),"No encontrado"))</f>
        <v/>
      </c>
      <c r="D1229" s="24" t="str">
        <f aca="false">IF(A1229="","",IFERROR(buscarx(A1229&amp;B1229,DATA!$E$3:$E$10000&amp;DATA!$B$3:$B$10000,DATA!$W$3:$W$10000),"No encontrado"))</f>
        <v/>
      </c>
      <c r="E1229" s="22"/>
      <c r="F1229" s="23" t="str">
        <f aca="false">IF(A1229="","",IFERROR(buscarx(A1229&amp;E1229,DATA!$E$3:$E$10000&amp;DATA!$B$3:$B$10000,DATA!$M$3:$M$10000),"Inactivo"))</f>
        <v/>
      </c>
      <c r="G1229" s="25" t="str">
        <f aca="false">IF(A1229="","",IF(AND(C1229&lt;&gt;"No encontrado",F1229&lt;&gt;"Inactivo"),C1229&amp;" → "&amp;F1229,"Sin transición"))</f>
        <v/>
      </c>
      <c r="H1229" s="23" t="str">
        <f aca="false">IF(A1229="","",IF(D1229="GCIA LINEA SERVICIO DIGITALIDAD Y VENTAS","Chats",IF(OR(D1229="GERENCIA INBOUND LÍNEAS SERVICIO Y VENTA",D1229="GERENCIA INBOUND LINEAS ESPECIALIZADAS"),"Llamadas","Otro")))</f>
        <v/>
      </c>
      <c r="I1229" s="23" t="str">
        <f aca="false">IF(A1229="","",IF(C1229="No encontrado","No","Sí"))</f>
        <v/>
      </c>
      <c r="J1229" s="23" t="str">
        <f aca="false">IF(A1229="","",IF(F1229="Inactivo","No","Sí"))</f>
        <v/>
      </c>
      <c r="K1229" s="23" t="str">
        <f aca="false">IF(A1229="","",IF(AND(I1229="Sí",J1229="Sí"),"Sí","No"))</f>
        <v/>
      </c>
    </row>
    <row r="1230" customFormat="false" ht="15" hidden="false" customHeight="false" outlineLevel="0" collapsed="false">
      <c r="A1230" s="22"/>
      <c r="B1230" s="22"/>
      <c r="C1230" s="26" t="str">
        <f aca="false">IF(A1230="","",IFERROR(buscarx(A1230&amp;B1230,DATA!$E$3:$E$10000&amp;DATA!$B$3:$B$10000,DATA!$M$3:$M$10000),"No encontrado"))</f>
        <v/>
      </c>
      <c r="D1230" s="27" t="str">
        <f aca="false">IF(A1230="","",IFERROR(buscarx(A1230&amp;B1230,DATA!$E$3:$E$10000&amp;DATA!$B$3:$B$10000,DATA!$W$3:$W$10000),"No encontrado"))</f>
        <v/>
      </c>
      <c r="E1230" s="22"/>
      <c r="F1230" s="26" t="str">
        <f aca="false">IF(A1230="","",IFERROR(buscarx(A1230&amp;E1230,DATA!$E$3:$E$10000&amp;DATA!$B$3:$B$10000,DATA!$M$3:$M$10000),"Inactivo"))</f>
        <v/>
      </c>
      <c r="G1230" s="28" t="str">
        <f aca="false">IF(A1230="","",IF(AND(C1230&lt;&gt;"No encontrado",F1230&lt;&gt;"Inactivo"),C1230&amp;" → "&amp;F1230,"Sin transición"))</f>
        <v/>
      </c>
      <c r="H1230" s="26" t="str">
        <f aca="false">IF(A1230="","",IF(D1230="GCIA LINEA SERVICIO DIGITALIDAD Y VENTAS","Chats",IF(OR(D1230="GERENCIA INBOUND LÍNEAS SERVICIO Y VENTA",D1230="GERENCIA INBOUND LINEAS ESPECIALIZADAS"),"Llamadas","Otro")))</f>
        <v/>
      </c>
      <c r="I1230" s="26" t="str">
        <f aca="false">IF(A1230="","",IF(C1230="No encontrado","No","Sí"))</f>
        <v/>
      </c>
      <c r="J1230" s="26" t="str">
        <f aca="false">IF(A1230="","",IF(F1230="Inactivo","No","Sí"))</f>
        <v/>
      </c>
      <c r="K1230" s="26" t="str">
        <f aca="false">IF(A1230="","",IF(AND(I1230="Sí",J1230="Sí"),"Sí","No"))</f>
        <v/>
      </c>
    </row>
    <row r="1231" customFormat="false" ht="15" hidden="false" customHeight="false" outlineLevel="0" collapsed="false">
      <c r="A1231" s="22"/>
      <c r="B1231" s="22"/>
      <c r="C1231" s="23" t="str">
        <f aca="false">IF(A1231="","",IFERROR(buscarx(A1231&amp;B1231,DATA!$E$3:$E$10000&amp;DATA!$B$3:$B$10000,DATA!$M$3:$M$10000),"No encontrado"))</f>
        <v/>
      </c>
      <c r="D1231" s="24" t="str">
        <f aca="false">IF(A1231="","",IFERROR(buscarx(A1231&amp;B1231,DATA!$E$3:$E$10000&amp;DATA!$B$3:$B$10000,DATA!$W$3:$W$10000),"No encontrado"))</f>
        <v/>
      </c>
      <c r="E1231" s="22"/>
      <c r="F1231" s="23" t="str">
        <f aca="false">IF(A1231="","",IFERROR(buscarx(A1231&amp;E1231,DATA!$E$3:$E$10000&amp;DATA!$B$3:$B$10000,DATA!$M$3:$M$10000),"Inactivo"))</f>
        <v/>
      </c>
      <c r="G1231" s="25" t="str">
        <f aca="false">IF(A1231="","",IF(AND(C1231&lt;&gt;"No encontrado",F1231&lt;&gt;"Inactivo"),C1231&amp;" → "&amp;F1231,"Sin transición"))</f>
        <v/>
      </c>
      <c r="H1231" s="23" t="str">
        <f aca="false">IF(A1231="","",IF(D1231="GCIA LINEA SERVICIO DIGITALIDAD Y VENTAS","Chats",IF(OR(D1231="GERENCIA INBOUND LÍNEAS SERVICIO Y VENTA",D1231="GERENCIA INBOUND LINEAS ESPECIALIZADAS"),"Llamadas","Otro")))</f>
        <v/>
      </c>
      <c r="I1231" s="23" t="str">
        <f aca="false">IF(A1231="","",IF(C1231="No encontrado","No","Sí"))</f>
        <v/>
      </c>
      <c r="J1231" s="23" t="str">
        <f aca="false">IF(A1231="","",IF(F1231="Inactivo","No","Sí"))</f>
        <v/>
      </c>
      <c r="K1231" s="23" t="str">
        <f aca="false">IF(A1231="","",IF(AND(I1231="Sí",J1231="Sí"),"Sí","No"))</f>
        <v/>
      </c>
    </row>
    <row r="1232" customFormat="false" ht="15" hidden="false" customHeight="false" outlineLevel="0" collapsed="false">
      <c r="A1232" s="22"/>
      <c r="B1232" s="22"/>
      <c r="C1232" s="26" t="str">
        <f aca="false">IF(A1232="","",IFERROR(buscarx(A1232&amp;B1232,DATA!$E$3:$E$10000&amp;DATA!$B$3:$B$10000,DATA!$M$3:$M$10000),"No encontrado"))</f>
        <v/>
      </c>
      <c r="D1232" s="27" t="str">
        <f aca="false">IF(A1232="","",IFERROR(buscarx(A1232&amp;B1232,DATA!$E$3:$E$10000&amp;DATA!$B$3:$B$10000,DATA!$W$3:$W$10000),"No encontrado"))</f>
        <v/>
      </c>
      <c r="E1232" s="22"/>
      <c r="F1232" s="26" t="str">
        <f aca="false">IF(A1232="","",IFERROR(buscarx(A1232&amp;E1232,DATA!$E$3:$E$10000&amp;DATA!$B$3:$B$10000,DATA!$M$3:$M$10000),"Inactivo"))</f>
        <v/>
      </c>
      <c r="G1232" s="28" t="str">
        <f aca="false">IF(A1232="","",IF(AND(C1232&lt;&gt;"No encontrado",F1232&lt;&gt;"Inactivo"),C1232&amp;" → "&amp;F1232,"Sin transición"))</f>
        <v/>
      </c>
      <c r="H1232" s="26" t="str">
        <f aca="false">IF(A1232="","",IF(D1232="GCIA LINEA SERVICIO DIGITALIDAD Y VENTAS","Chats",IF(OR(D1232="GERENCIA INBOUND LÍNEAS SERVICIO Y VENTA",D1232="GERENCIA INBOUND LINEAS ESPECIALIZADAS"),"Llamadas","Otro")))</f>
        <v/>
      </c>
      <c r="I1232" s="26" t="str">
        <f aca="false">IF(A1232="","",IF(C1232="No encontrado","No","Sí"))</f>
        <v/>
      </c>
      <c r="J1232" s="26" t="str">
        <f aca="false">IF(A1232="","",IF(F1232="Inactivo","No","Sí"))</f>
        <v/>
      </c>
      <c r="K1232" s="26" t="str">
        <f aca="false">IF(A1232="","",IF(AND(I1232="Sí",J1232="Sí"),"Sí","No"))</f>
        <v/>
      </c>
    </row>
    <row r="1233" customFormat="false" ht="15" hidden="false" customHeight="false" outlineLevel="0" collapsed="false">
      <c r="A1233" s="22"/>
      <c r="B1233" s="22"/>
      <c r="C1233" s="23" t="str">
        <f aca="false">IF(A1233="","",IFERROR(buscarx(A1233&amp;B1233,DATA!$E$3:$E$10000&amp;DATA!$B$3:$B$10000,DATA!$M$3:$M$10000),"No encontrado"))</f>
        <v/>
      </c>
      <c r="D1233" s="24" t="str">
        <f aca="false">IF(A1233="","",IFERROR(buscarx(A1233&amp;B1233,DATA!$E$3:$E$10000&amp;DATA!$B$3:$B$10000,DATA!$W$3:$W$10000),"No encontrado"))</f>
        <v/>
      </c>
      <c r="E1233" s="22"/>
      <c r="F1233" s="23" t="str">
        <f aca="false">IF(A1233="","",IFERROR(buscarx(A1233&amp;E1233,DATA!$E$3:$E$10000&amp;DATA!$B$3:$B$10000,DATA!$M$3:$M$10000),"Inactivo"))</f>
        <v/>
      </c>
      <c r="G1233" s="25" t="str">
        <f aca="false">IF(A1233="","",IF(AND(C1233&lt;&gt;"No encontrado",F1233&lt;&gt;"Inactivo"),C1233&amp;" → "&amp;F1233,"Sin transición"))</f>
        <v/>
      </c>
      <c r="H1233" s="23" t="str">
        <f aca="false">IF(A1233="","",IF(D1233="GCIA LINEA SERVICIO DIGITALIDAD Y VENTAS","Chats",IF(OR(D1233="GERENCIA INBOUND LÍNEAS SERVICIO Y VENTA",D1233="GERENCIA INBOUND LINEAS ESPECIALIZADAS"),"Llamadas","Otro")))</f>
        <v/>
      </c>
      <c r="I1233" s="23" t="str">
        <f aca="false">IF(A1233="","",IF(C1233="No encontrado","No","Sí"))</f>
        <v/>
      </c>
      <c r="J1233" s="23" t="str">
        <f aca="false">IF(A1233="","",IF(F1233="Inactivo","No","Sí"))</f>
        <v/>
      </c>
      <c r="K1233" s="23" t="str">
        <f aca="false">IF(A1233="","",IF(AND(I1233="Sí",J1233="Sí"),"Sí","No"))</f>
        <v/>
      </c>
    </row>
    <row r="1234" customFormat="false" ht="15" hidden="false" customHeight="false" outlineLevel="0" collapsed="false">
      <c r="A1234" s="22"/>
      <c r="B1234" s="22"/>
      <c r="C1234" s="26" t="str">
        <f aca="false">IF(A1234="","",IFERROR(buscarx(A1234&amp;B1234,DATA!$E$3:$E$10000&amp;DATA!$B$3:$B$10000,DATA!$M$3:$M$10000),"No encontrado"))</f>
        <v/>
      </c>
      <c r="D1234" s="27" t="str">
        <f aca="false">IF(A1234="","",IFERROR(buscarx(A1234&amp;B1234,DATA!$E$3:$E$10000&amp;DATA!$B$3:$B$10000,DATA!$W$3:$W$10000),"No encontrado"))</f>
        <v/>
      </c>
      <c r="E1234" s="22"/>
      <c r="F1234" s="26" t="str">
        <f aca="false">IF(A1234="","",IFERROR(buscarx(A1234&amp;E1234,DATA!$E$3:$E$10000&amp;DATA!$B$3:$B$10000,DATA!$M$3:$M$10000),"Inactivo"))</f>
        <v/>
      </c>
      <c r="G1234" s="28" t="str">
        <f aca="false">IF(A1234="","",IF(AND(C1234&lt;&gt;"No encontrado",F1234&lt;&gt;"Inactivo"),C1234&amp;" → "&amp;F1234,"Sin transición"))</f>
        <v/>
      </c>
      <c r="H1234" s="26" t="str">
        <f aca="false">IF(A1234="","",IF(D1234="GCIA LINEA SERVICIO DIGITALIDAD Y VENTAS","Chats",IF(OR(D1234="GERENCIA INBOUND LÍNEAS SERVICIO Y VENTA",D1234="GERENCIA INBOUND LINEAS ESPECIALIZADAS"),"Llamadas","Otro")))</f>
        <v/>
      </c>
      <c r="I1234" s="26" t="str">
        <f aca="false">IF(A1234="","",IF(C1234="No encontrado","No","Sí"))</f>
        <v/>
      </c>
      <c r="J1234" s="26" t="str">
        <f aca="false">IF(A1234="","",IF(F1234="Inactivo","No","Sí"))</f>
        <v/>
      </c>
      <c r="K1234" s="26" t="str">
        <f aca="false">IF(A1234="","",IF(AND(I1234="Sí",J1234="Sí"),"Sí","No"))</f>
        <v/>
      </c>
    </row>
    <row r="1235" customFormat="false" ht="15" hidden="false" customHeight="false" outlineLevel="0" collapsed="false">
      <c r="A1235" s="22"/>
      <c r="B1235" s="22"/>
      <c r="C1235" s="23" t="str">
        <f aca="false">IF(A1235="","",IFERROR(buscarx(A1235&amp;B1235,DATA!$E$3:$E$10000&amp;DATA!$B$3:$B$10000,DATA!$M$3:$M$10000),"No encontrado"))</f>
        <v/>
      </c>
      <c r="D1235" s="24" t="str">
        <f aca="false">IF(A1235="","",IFERROR(buscarx(A1235&amp;B1235,DATA!$E$3:$E$10000&amp;DATA!$B$3:$B$10000,DATA!$W$3:$W$10000),"No encontrado"))</f>
        <v/>
      </c>
      <c r="E1235" s="22"/>
      <c r="F1235" s="23" t="str">
        <f aca="false">IF(A1235="","",IFERROR(buscarx(A1235&amp;E1235,DATA!$E$3:$E$10000&amp;DATA!$B$3:$B$10000,DATA!$M$3:$M$10000),"Inactivo"))</f>
        <v/>
      </c>
      <c r="G1235" s="25" t="str">
        <f aca="false">IF(A1235="","",IF(AND(C1235&lt;&gt;"No encontrado",F1235&lt;&gt;"Inactivo"),C1235&amp;" → "&amp;F1235,"Sin transición"))</f>
        <v/>
      </c>
      <c r="H1235" s="23" t="str">
        <f aca="false">IF(A1235="","",IF(D1235="GCIA LINEA SERVICIO DIGITALIDAD Y VENTAS","Chats",IF(OR(D1235="GERENCIA INBOUND LÍNEAS SERVICIO Y VENTA",D1235="GERENCIA INBOUND LINEAS ESPECIALIZADAS"),"Llamadas","Otro")))</f>
        <v/>
      </c>
      <c r="I1235" s="23" t="str">
        <f aca="false">IF(A1235="","",IF(C1235="No encontrado","No","Sí"))</f>
        <v/>
      </c>
      <c r="J1235" s="23" t="str">
        <f aca="false">IF(A1235="","",IF(F1235="Inactivo","No","Sí"))</f>
        <v/>
      </c>
      <c r="K1235" s="23" t="str">
        <f aca="false">IF(A1235="","",IF(AND(I1235="Sí",J1235="Sí"),"Sí","No"))</f>
        <v/>
      </c>
    </row>
    <row r="1236" customFormat="false" ht="15" hidden="false" customHeight="false" outlineLevel="0" collapsed="false">
      <c r="A1236" s="22"/>
      <c r="B1236" s="22"/>
      <c r="C1236" s="26" t="str">
        <f aca="false">IF(A1236="","",IFERROR(buscarx(A1236&amp;B1236,DATA!$E$3:$E$10000&amp;DATA!$B$3:$B$10000,DATA!$M$3:$M$10000),"No encontrado"))</f>
        <v/>
      </c>
      <c r="D1236" s="27" t="str">
        <f aca="false">IF(A1236="","",IFERROR(buscarx(A1236&amp;B1236,DATA!$E$3:$E$10000&amp;DATA!$B$3:$B$10000,DATA!$W$3:$W$10000),"No encontrado"))</f>
        <v/>
      </c>
      <c r="E1236" s="22"/>
      <c r="F1236" s="26" t="str">
        <f aca="false">IF(A1236="","",IFERROR(buscarx(A1236&amp;E1236,DATA!$E$3:$E$10000&amp;DATA!$B$3:$B$10000,DATA!$M$3:$M$10000),"Inactivo"))</f>
        <v/>
      </c>
      <c r="G1236" s="28" t="str">
        <f aca="false">IF(A1236="","",IF(AND(C1236&lt;&gt;"No encontrado",F1236&lt;&gt;"Inactivo"),C1236&amp;" → "&amp;F1236,"Sin transición"))</f>
        <v/>
      </c>
      <c r="H1236" s="26" t="str">
        <f aca="false">IF(A1236="","",IF(D1236="GCIA LINEA SERVICIO DIGITALIDAD Y VENTAS","Chats",IF(OR(D1236="GERENCIA INBOUND LÍNEAS SERVICIO Y VENTA",D1236="GERENCIA INBOUND LINEAS ESPECIALIZADAS"),"Llamadas","Otro")))</f>
        <v/>
      </c>
      <c r="I1236" s="26" t="str">
        <f aca="false">IF(A1236="","",IF(C1236="No encontrado","No","Sí"))</f>
        <v/>
      </c>
      <c r="J1236" s="26" t="str">
        <f aca="false">IF(A1236="","",IF(F1236="Inactivo","No","Sí"))</f>
        <v/>
      </c>
      <c r="K1236" s="26" t="str">
        <f aca="false">IF(A1236="","",IF(AND(I1236="Sí",J1236="Sí"),"Sí","No"))</f>
        <v/>
      </c>
    </row>
    <row r="1237" customFormat="false" ht="15" hidden="false" customHeight="false" outlineLevel="0" collapsed="false">
      <c r="A1237" s="22"/>
      <c r="B1237" s="22"/>
      <c r="C1237" s="23" t="str">
        <f aca="false">IF(A1237="","",IFERROR(buscarx(A1237&amp;B1237,DATA!$E$3:$E$10000&amp;DATA!$B$3:$B$10000,DATA!$M$3:$M$10000),"No encontrado"))</f>
        <v/>
      </c>
      <c r="D1237" s="24" t="str">
        <f aca="false">IF(A1237="","",IFERROR(buscarx(A1237&amp;B1237,DATA!$E$3:$E$10000&amp;DATA!$B$3:$B$10000,DATA!$W$3:$W$10000),"No encontrado"))</f>
        <v/>
      </c>
      <c r="E1237" s="22"/>
      <c r="F1237" s="23" t="str">
        <f aca="false">IF(A1237="","",IFERROR(buscarx(A1237&amp;E1237,DATA!$E$3:$E$10000&amp;DATA!$B$3:$B$10000,DATA!$M$3:$M$10000),"Inactivo"))</f>
        <v/>
      </c>
      <c r="G1237" s="25" t="str">
        <f aca="false">IF(A1237="","",IF(AND(C1237&lt;&gt;"No encontrado",F1237&lt;&gt;"Inactivo"),C1237&amp;" → "&amp;F1237,"Sin transición"))</f>
        <v/>
      </c>
      <c r="H1237" s="23" t="str">
        <f aca="false">IF(A1237="","",IF(D1237="GCIA LINEA SERVICIO DIGITALIDAD Y VENTAS","Chats",IF(OR(D1237="GERENCIA INBOUND LÍNEAS SERVICIO Y VENTA",D1237="GERENCIA INBOUND LINEAS ESPECIALIZADAS"),"Llamadas","Otro")))</f>
        <v/>
      </c>
      <c r="I1237" s="23" t="str">
        <f aca="false">IF(A1237="","",IF(C1237="No encontrado","No","Sí"))</f>
        <v/>
      </c>
      <c r="J1237" s="23" t="str">
        <f aca="false">IF(A1237="","",IF(F1237="Inactivo","No","Sí"))</f>
        <v/>
      </c>
      <c r="K1237" s="23" t="str">
        <f aca="false">IF(A1237="","",IF(AND(I1237="Sí",J1237="Sí"),"Sí","No"))</f>
        <v/>
      </c>
    </row>
    <row r="1238" customFormat="false" ht="15" hidden="false" customHeight="false" outlineLevel="0" collapsed="false">
      <c r="A1238" s="22"/>
      <c r="B1238" s="22"/>
      <c r="C1238" s="26" t="str">
        <f aca="false">IF(A1238="","",IFERROR(buscarx(A1238&amp;B1238,DATA!$E$3:$E$10000&amp;DATA!$B$3:$B$10000,DATA!$M$3:$M$10000),"No encontrado"))</f>
        <v/>
      </c>
      <c r="D1238" s="27" t="str">
        <f aca="false">IF(A1238="","",IFERROR(buscarx(A1238&amp;B1238,DATA!$E$3:$E$10000&amp;DATA!$B$3:$B$10000,DATA!$W$3:$W$10000),"No encontrado"))</f>
        <v/>
      </c>
      <c r="E1238" s="22"/>
      <c r="F1238" s="26" t="str">
        <f aca="false">IF(A1238="","",IFERROR(buscarx(A1238&amp;E1238,DATA!$E$3:$E$10000&amp;DATA!$B$3:$B$10000,DATA!$M$3:$M$10000),"Inactivo"))</f>
        <v/>
      </c>
      <c r="G1238" s="28" t="str">
        <f aca="false">IF(A1238="","",IF(AND(C1238&lt;&gt;"No encontrado",F1238&lt;&gt;"Inactivo"),C1238&amp;" → "&amp;F1238,"Sin transición"))</f>
        <v/>
      </c>
      <c r="H1238" s="26" t="str">
        <f aca="false">IF(A1238="","",IF(D1238="GCIA LINEA SERVICIO DIGITALIDAD Y VENTAS","Chats",IF(OR(D1238="GERENCIA INBOUND LÍNEAS SERVICIO Y VENTA",D1238="GERENCIA INBOUND LINEAS ESPECIALIZADAS"),"Llamadas","Otro")))</f>
        <v/>
      </c>
      <c r="I1238" s="26" t="str">
        <f aca="false">IF(A1238="","",IF(C1238="No encontrado","No","Sí"))</f>
        <v/>
      </c>
      <c r="J1238" s="26" t="str">
        <f aca="false">IF(A1238="","",IF(F1238="Inactivo","No","Sí"))</f>
        <v/>
      </c>
      <c r="K1238" s="26" t="str">
        <f aca="false">IF(A1238="","",IF(AND(I1238="Sí",J1238="Sí"),"Sí","No"))</f>
        <v/>
      </c>
    </row>
    <row r="1239" customFormat="false" ht="15" hidden="false" customHeight="false" outlineLevel="0" collapsed="false">
      <c r="A1239" s="22"/>
      <c r="B1239" s="22"/>
      <c r="C1239" s="23" t="str">
        <f aca="false">IF(A1239="","",IFERROR(buscarx(A1239&amp;B1239,DATA!$E$3:$E$10000&amp;DATA!$B$3:$B$10000,DATA!$M$3:$M$10000),"No encontrado"))</f>
        <v/>
      </c>
      <c r="D1239" s="24" t="str">
        <f aca="false">IF(A1239="","",IFERROR(buscarx(A1239&amp;B1239,DATA!$E$3:$E$10000&amp;DATA!$B$3:$B$10000,DATA!$W$3:$W$10000),"No encontrado"))</f>
        <v/>
      </c>
      <c r="E1239" s="22"/>
      <c r="F1239" s="23" t="str">
        <f aca="false">IF(A1239="","",IFERROR(buscarx(A1239&amp;E1239,DATA!$E$3:$E$10000&amp;DATA!$B$3:$B$10000,DATA!$M$3:$M$10000),"Inactivo"))</f>
        <v/>
      </c>
      <c r="G1239" s="25" t="str">
        <f aca="false">IF(A1239="","",IF(AND(C1239&lt;&gt;"No encontrado",F1239&lt;&gt;"Inactivo"),C1239&amp;" → "&amp;F1239,"Sin transición"))</f>
        <v/>
      </c>
      <c r="H1239" s="23" t="str">
        <f aca="false">IF(A1239="","",IF(D1239="GCIA LINEA SERVICIO DIGITALIDAD Y VENTAS","Chats",IF(OR(D1239="GERENCIA INBOUND LÍNEAS SERVICIO Y VENTA",D1239="GERENCIA INBOUND LINEAS ESPECIALIZADAS"),"Llamadas","Otro")))</f>
        <v/>
      </c>
      <c r="I1239" s="23" t="str">
        <f aca="false">IF(A1239="","",IF(C1239="No encontrado","No","Sí"))</f>
        <v/>
      </c>
      <c r="J1239" s="23" t="str">
        <f aca="false">IF(A1239="","",IF(F1239="Inactivo","No","Sí"))</f>
        <v/>
      </c>
      <c r="K1239" s="23" t="str">
        <f aca="false">IF(A1239="","",IF(AND(I1239="Sí",J1239="Sí"),"Sí","No"))</f>
        <v/>
      </c>
    </row>
    <row r="1240" customFormat="false" ht="15" hidden="false" customHeight="false" outlineLevel="0" collapsed="false">
      <c r="A1240" s="22"/>
      <c r="B1240" s="22"/>
      <c r="C1240" s="26" t="str">
        <f aca="false">IF(A1240="","",IFERROR(buscarx(A1240&amp;B1240,DATA!$E$3:$E$10000&amp;DATA!$B$3:$B$10000,DATA!$M$3:$M$10000),"No encontrado"))</f>
        <v/>
      </c>
      <c r="D1240" s="27" t="str">
        <f aca="false">IF(A1240="","",IFERROR(buscarx(A1240&amp;B1240,DATA!$E$3:$E$10000&amp;DATA!$B$3:$B$10000,DATA!$W$3:$W$10000),"No encontrado"))</f>
        <v/>
      </c>
      <c r="E1240" s="22"/>
      <c r="F1240" s="26" t="str">
        <f aca="false">IF(A1240="","",IFERROR(buscarx(A1240&amp;E1240,DATA!$E$3:$E$10000&amp;DATA!$B$3:$B$10000,DATA!$M$3:$M$10000),"Inactivo"))</f>
        <v/>
      </c>
      <c r="G1240" s="28" t="str">
        <f aca="false">IF(A1240="","",IF(AND(C1240&lt;&gt;"No encontrado",F1240&lt;&gt;"Inactivo"),C1240&amp;" → "&amp;F1240,"Sin transición"))</f>
        <v/>
      </c>
      <c r="H1240" s="26" t="str">
        <f aca="false">IF(A1240="","",IF(D1240="GCIA LINEA SERVICIO DIGITALIDAD Y VENTAS","Chats",IF(OR(D1240="GERENCIA INBOUND LÍNEAS SERVICIO Y VENTA",D1240="GERENCIA INBOUND LINEAS ESPECIALIZADAS"),"Llamadas","Otro")))</f>
        <v/>
      </c>
      <c r="I1240" s="26" t="str">
        <f aca="false">IF(A1240="","",IF(C1240="No encontrado","No","Sí"))</f>
        <v/>
      </c>
      <c r="J1240" s="26" t="str">
        <f aca="false">IF(A1240="","",IF(F1240="Inactivo","No","Sí"))</f>
        <v/>
      </c>
      <c r="K1240" s="26" t="str">
        <f aca="false">IF(A1240="","",IF(AND(I1240="Sí",J1240="Sí"),"Sí","No"))</f>
        <v/>
      </c>
    </row>
    <row r="1241" customFormat="false" ht="15" hidden="false" customHeight="false" outlineLevel="0" collapsed="false">
      <c r="A1241" s="22"/>
      <c r="B1241" s="22"/>
      <c r="C1241" s="23" t="str">
        <f aca="false">IF(A1241="","",IFERROR(buscarx(A1241&amp;B1241,DATA!$E$3:$E$10000&amp;DATA!$B$3:$B$10000,DATA!$M$3:$M$10000),"No encontrado"))</f>
        <v/>
      </c>
      <c r="D1241" s="24" t="str">
        <f aca="false">IF(A1241="","",IFERROR(buscarx(A1241&amp;B1241,DATA!$E$3:$E$10000&amp;DATA!$B$3:$B$10000,DATA!$W$3:$W$10000),"No encontrado"))</f>
        <v/>
      </c>
      <c r="E1241" s="22"/>
      <c r="F1241" s="23" t="str">
        <f aca="false">IF(A1241="","",IFERROR(buscarx(A1241&amp;E1241,DATA!$E$3:$E$10000&amp;DATA!$B$3:$B$10000,DATA!$M$3:$M$10000),"Inactivo"))</f>
        <v/>
      </c>
      <c r="G1241" s="25" t="str">
        <f aca="false">IF(A1241="","",IF(AND(C1241&lt;&gt;"No encontrado",F1241&lt;&gt;"Inactivo"),C1241&amp;" → "&amp;F1241,"Sin transición"))</f>
        <v/>
      </c>
      <c r="H1241" s="23" t="str">
        <f aca="false">IF(A1241="","",IF(D1241="GCIA LINEA SERVICIO DIGITALIDAD Y VENTAS","Chats",IF(OR(D1241="GERENCIA INBOUND LÍNEAS SERVICIO Y VENTA",D1241="GERENCIA INBOUND LINEAS ESPECIALIZADAS"),"Llamadas","Otro")))</f>
        <v/>
      </c>
      <c r="I1241" s="23" t="str">
        <f aca="false">IF(A1241="","",IF(C1241="No encontrado","No","Sí"))</f>
        <v/>
      </c>
      <c r="J1241" s="23" t="str">
        <f aca="false">IF(A1241="","",IF(F1241="Inactivo","No","Sí"))</f>
        <v/>
      </c>
      <c r="K1241" s="23" t="str">
        <f aca="false">IF(A1241="","",IF(AND(I1241="Sí",J1241="Sí"),"Sí","No"))</f>
        <v/>
      </c>
    </row>
    <row r="1242" customFormat="false" ht="15" hidden="false" customHeight="false" outlineLevel="0" collapsed="false">
      <c r="A1242" s="22"/>
      <c r="B1242" s="22"/>
      <c r="C1242" s="26" t="str">
        <f aca="false">IF(A1242="","",IFERROR(buscarx(A1242&amp;B1242,DATA!$E$3:$E$10000&amp;DATA!$B$3:$B$10000,DATA!$M$3:$M$10000),"No encontrado"))</f>
        <v/>
      </c>
      <c r="D1242" s="27" t="str">
        <f aca="false">IF(A1242="","",IFERROR(buscarx(A1242&amp;B1242,DATA!$E$3:$E$10000&amp;DATA!$B$3:$B$10000,DATA!$W$3:$W$10000),"No encontrado"))</f>
        <v/>
      </c>
      <c r="E1242" s="22"/>
      <c r="F1242" s="26" t="str">
        <f aca="false">IF(A1242="","",IFERROR(buscarx(A1242&amp;E1242,DATA!$E$3:$E$10000&amp;DATA!$B$3:$B$10000,DATA!$M$3:$M$10000),"Inactivo"))</f>
        <v/>
      </c>
      <c r="G1242" s="28" t="str">
        <f aca="false">IF(A1242="","",IF(AND(C1242&lt;&gt;"No encontrado",F1242&lt;&gt;"Inactivo"),C1242&amp;" → "&amp;F1242,"Sin transición"))</f>
        <v/>
      </c>
      <c r="H1242" s="26" t="str">
        <f aca="false">IF(A1242="","",IF(D1242="GCIA LINEA SERVICIO DIGITALIDAD Y VENTAS","Chats",IF(OR(D1242="GERENCIA INBOUND LÍNEAS SERVICIO Y VENTA",D1242="GERENCIA INBOUND LINEAS ESPECIALIZADAS"),"Llamadas","Otro")))</f>
        <v/>
      </c>
      <c r="I1242" s="26" t="str">
        <f aca="false">IF(A1242="","",IF(C1242="No encontrado","No","Sí"))</f>
        <v/>
      </c>
      <c r="J1242" s="26" t="str">
        <f aca="false">IF(A1242="","",IF(F1242="Inactivo","No","Sí"))</f>
        <v/>
      </c>
      <c r="K1242" s="26" t="str">
        <f aca="false">IF(A1242="","",IF(AND(I1242="Sí",J1242="Sí"),"Sí","No"))</f>
        <v/>
      </c>
    </row>
    <row r="1243" customFormat="false" ht="15" hidden="false" customHeight="false" outlineLevel="0" collapsed="false">
      <c r="A1243" s="22"/>
      <c r="B1243" s="22"/>
      <c r="C1243" s="23" t="str">
        <f aca="false">IF(A1243="","",IFERROR(buscarx(A1243&amp;B1243,DATA!$E$3:$E$10000&amp;DATA!$B$3:$B$10000,DATA!$M$3:$M$10000),"No encontrado"))</f>
        <v/>
      </c>
      <c r="D1243" s="24" t="str">
        <f aca="false">IF(A1243="","",IFERROR(buscarx(A1243&amp;B1243,DATA!$E$3:$E$10000&amp;DATA!$B$3:$B$10000,DATA!$W$3:$W$10000),"No encontrado"))</f>
        <v/>
      </c>
      <c r="E1243" s="22"/>
      <c r="F1243" s="23" t="str">
        <f aca="false">IF(A1243="","",IFERROR(buscarx(A1243&amp;E1243,DATA!$E$3:$E$10000&amp;DATA!$B$3:$B$10000,DATA!$M$3:$M$10000),"Inactivo"))</f>
        <v/>
      </c>
      <c r="G1243" s="25" t="str">
        <f aca="false">IF(A1243="","",IF(AND(C1243&lt;&gt;"No encontrado",F1243&lt;&gt;"Inactivo"),C1243&amp;" → "&amp;F1243,"Sin transición"))</f>
        <v/>
      </c>
      <c r="H1243" s="23" t="str">
        <f aca="false">IF(A1243="","",IF(D1243="GCIA LINEA SERVICIO DIGITALIDAD Y VENTAS","Chats",IF(OR(D1243="GERENCIA INBOUND LÍNEAS SERVICIO Y VENTA",D1243="GERENCIA INBOUND LINEAS ESPECIALIZADAS"),"Llamadas","Otro")))</f>
        <v/>
      </c>
      <c r="I1243" s="23" t="str">
        <f aca="false">IF(A1243="","",IF(C1243="No encontrado","No","Sí"))</f>
        <v/>
      </c>
      <c r="J1243" s="23" t="str">
        <f aca="false">IF(A1243="","",IF(F1243="Inactivo","No","Sí"))</f>
        <v/>
      </c>
      <c r="K1243" s="23" t="str">
        <f aca="false">IF(A1243="","",IF(AND(I1243="Sí",J1243="Sí"),"Sí","No"))</f>
        <v/>
      </c>
    </row>
    <row r="1244" customFormat="false" ht="15" hidden="false" customHeight="false" outlineLevel="0" collapsed="false">
      <c r="A1244" s="22"/>
      <c r="B1244" s="22"/>
      <c r="C1244" s="26" t="str">
        <f aca="false">IF(A1244="","",IFERROR(buscarx(A1244&amp;B1244,DATA!$E$3:$E$10000&amp;DATA!$B$3:$B$10000,DATA!$M$3:$M$10000),"No encontrado"))</f>
        <v/>
      </c>
      <c r="D1244" s="27" t="str">
        <f aca="false">IF(A1244="","",IFERROR(buscarx(A1244&amp;B1244,DATA!$E$3:$E$10000&amp;DATA!$B$3:$B$10000,DATA!$W$3:$W$10000),"No encontrado"))</f>
        <v/>
      </c>
      <c r="E1244" s="22"/>
      <c r="F1244" s="26" t="str">
        <f aca="false">IF(A1244="","",IFERROR(buscarx(A1244&amp;E1244,DATA!$E$3:$E$10000&amp;DATA!$B$3:$B$10000,DATA!$M$3:$M$10000),"Inactivo"))</f>
        <v/>
      </c>
      <c r="G1244" s="28" t="str">
        <f aca="false">IF(A1244="","",IF(AND(C1244&lt;&gt;"No encontrado",F1244&lt;&gt;"Inactivo"),C1244&amp;" → "&amp;F1244,"Sin transición"))</f>
        <v/>
      </c>
      <c r="H1244" s="26" t="str">
        <f aca="false">IF(A1244="","",IF(D1244="GCIA LINEA SERVICIO DIGITALIDAD Y VENTAS","Chats",IF(OR(D1244="GERENCIA INBOUND LÍNEAS SERVICIO Y VENTA",D1244="GERENCIA INBOUND LINEAS ESPECIALIZADAS"),"Llamadas","Otro")))</f>
        <v/>
      </c>
      <c r="I1244" s="26" t="str">
        <f aca="false">IF(A1244="","",IF(C1244="No encontrado","No","Sí"))</f>
        <v/>
      </c>
      <c r="J1244" s="26" t="str">
        <f aca="false">IF(A1244="","",IF(F1244="Inactivo","No","Sí"))</f>
        <v/>
      </c>
      <c r="K1244" s="26" t="str">
        <f aca="false">IF(A1244="","",IF(AND(I1244="Sí",J1244="Sí"),"Sí","No"))</f>
        <v/>
      </c>
    </row>
    <row r="1245" customFormat="false" ht="15" hidden="false" customHeight="false" outlineLevel="0" collapsed="false">
      <c r="A1245" s="22"/>
      <c r="B1245" s="22"/>
      <c r="C1245" s="23" t="str">
        <f aca="false">IF(A1245="","",IFERROR(buscarx(A1245&amp;B1245,DATA!$E$3:$E$10000&amp;DATA!$B$3:$B$10000,DATA!$M$3:$M$10000),"No encontrado"))</f>
        <v/>
      </c>
      <c r="D1245" s="24" t="str">
        <f aca="false">IF(A1245="","",IFERROR(buscarx(A1245&amp;B1245,DATA!$E$3:$E$10000&amp;DATA!$B$3:$B$10000,DATA!$W$3:$W$10000),"No encontrado"))</f>
        <v/>
      </c>
      <c r="E1245" s="22"/>
      <c r="F1245" s="23" t="str">
        <f aca="false">IF(A1245="","",IFERROR(buscarx(A1245&amp;E1245,DATA!$E$3:$E$10000&amp;DATA!$B$3:$B$10000,DATA!$M$3:$M$10000),"Inactivo"))</f>
        <v/>
      </c>
      <c r="G1245" s="25" t="str">
        <f aca="false">IF(A1245="","",IF(AND(C1245&lt;&gt;"No encontrado",F1245&lt;&gt;"Inactivo"),C1245&amp;" → "&amp;F1245,"Sin transición"))</f>
        <v/>
      </c>
      <c r="H1245" s="23" t="str">
        <f aca="false">IF(A1245="","",IF(D1245="GCIA LINEA SERVICIO DIGITALIDAD Y VENTAS","Chats",IF(OR(D1245="GERENCIA INBOUND LÍNEAS SERVICIO Y VENTA",D1245="GERENCIA INBOUND LINEAS ESPECIALIZADAS"),"Llamadas","Otro")))</f>
        <v/>
      </c>
      <c r="I1245" s="23" t="str">
        <f aca="false">IF(A1245="","",IF(C1245="No encontrado","No","Sí"))</f>
        <v/>
      </c>
      <c r="J1245" s="23" t="str">
        <f aca="false">IF(A1245="","",IF(F1245="Inactivo","No","Sí"))</f>
        <v/>
      </c>
      <c r="K1245" s="23" t="str">
        <f aca="false">IF(A1245="","",IF(AND(I1245="Sí",J1245="Sí"),"Sí","No"))</f>
        <v/>
      </c>
    </row>
    <row r="1246" customFormat="false" ht="15" hidden="false" customHeight="false" outlineLevel="0" collapsed="false">
      <c r="A1246" s="22"/>
      <c r="B1246" s="22"/>
      <c r="C1246" s="26" t="str">
        <f aca="false">IF(A1246="","",IFERROR(buscarx(A1246&amp;B1246,DATA!$E$3:$E$10000&amp;DATA!$B$3:$B$10000,DATA!$M$3:$M$10000),"No encontrado"))</f>
        <v/>
      </c>
      <c r="D1246" s="27" t="str">
        <f aca="false">IF(A1246="","",IFERROR(buscarx(A1246&amp;B1246,DATA!$E$3:$E$10000&amp;DATA!$B$3:$B$10000,DATA!$W$3:$W$10000),"No encontrado"))</f>
        <v/>
      </c>
      <c r="E1246" s="22"/>
      <c r="F1246" s="26" t="str">
        <f aca="false">IF(A1246="","",IFERROR(buscarx(A1246&amp;E1246,DATA!$E$3:$E$10000&amp;DATA!$B$3:$B$10000,DATA!$M$3:$M$10000),"Inactivo"))</f>
        <v/>
      </c>
      <c r="G1246" s="28" t="str">
        <f aca="false">IF(A1246="","",IF(AND(C1246&lt;&gt;"No encontrado",F1246&lt;&gt;"Inactivo"),C1246&amp;" → "&amp;F1246,"Sin transición"))</f>
        <v/>
      </c>
      <c r="H1246" s="26" t="str">
        <f aca="false">IF(A1246="","",IF(D1246="GCIA LINEA SERVICIO DIGITALIDAD Y VENTAS","Chats",IF(OR(D1246="GERENCIA INBOUND LÍNEAS SERVICIO Y VENTA",D1246="GERENCIA INBOUND LINEAS ESPECIALIZADAS"),"Llamadas","Otro")))</f>
        <v/>
      </c>
      <c r="I1246" s="26" t="str">
        <f aca="false">IF(A1246="","",IF(C1246="No encontrado","No","Sí"))</f>
        <v/>
      </c>
      <c r="J1246" s="26" t="str">
        <f aca="false">IF(A1246="","",IF(F1246="Inactivo","No","Sí"))</f>
        <v/>
      </c>
      <c r="K1246" s="26" t="str">
        <f aca="false">IF(A1246="","",IF(AND(I1246="Sí",J1246="Sí"),"Sí","No"))</f>
        <v/>
      </c>
    </row>
    <row r="1247" customFormat="false" ht="15" hidden="false" customHeight="false" outlineLevel="0" collapsed="false">
      <c r="A1247" s="22"/>
      <c r="B1247" s="22"/>
      <c r="C1247" s="23" t="str">
        <f aca="false">IF(A1247="","",IFERROR(buscarx(A1247&amp;B1247,DATA!$E$3:$E$10000&amp;DATA!$B$3:$B$10000,DATA!$M$3:$M$10000),"No encontrado"))</f>
        <v/>
      </c>
      <c r="D1247" s="24" t="str">
        <f aca="false">IF(A1247="","",IFERROR(buscarx(A1247&amp;B1247,DATA!$E$3:$E$10000&amp;DATA!$B$3:$B$10000,DATA!$W$3:$W$10000),"No encontrado"))</f>
        <v/>
      </c>
      <c r="E1247" s="22"/>
      <c r="F1247" s="23" t="str">
        <f aca="false">IF(A1247="","",IFERROR(buscarx(A1247&amp;E1247,DATA!$E$3:$E$10000&amp;DATA!$B$3:$B$10000,DATA!$M$3:$M$10000),"Inactivo"))</f>
        <v/>
      </c>
      <c r="G1247" s="25" t="str">
        <f aca="false">IF(A1247="","",IF(AND(C1247&lt;&gt;"No encontrado",F1247&lt;&gt;"Inactivo"),C1247&amp;" → "&amp;F1247,"Sin transición"))</f>
        <v/>
      </c>
      <c r="H1247" s="23" t="str">
        <f aca="false">IF(A1247="","",IF(D1247="GCIA LINEA SERVICIO DIGITALIDAD Y VENTAS","Chats",IF(OR(D1247="GERENCIA INBOUND LÍNEAS SERVICIO Y VENTA",D1247="GERENCIA INBOUND LINEAS ESPECIALIZADAS"),"Llamadas","Otro")))</f>
        <v/>
      </c>
      <c r="I1247" s="23" t="str">
        <f aca="false">IF(A1247="","",IF(C1247="No encontrado","No","Sí"))</f>
        <v/>
      </c>
      <c r="J1247" s="23" t="str">
        <f aca="false">IF(A1247="","",IF(F1247="Inactivo","No","Sí"))</f>
        <v/>
      </c>
      <c r="K1247" s="23" t="str">
        <f aca="false">IF(A1247="","",IF(AND(I1247="Sí",J1247="Sí"),"Sí","No"))</f>
        <v/>
      </c>
    </row>
    <row r="1248" customFormat="false" ht="15" hidden="false" customHeight="false" outlineLevel="0" collapsed="false">
      <c r="A1248" s="22"/>
      <c r="B1248" s="22"/>
      <c r="C1248" s="26" t="str">
        <f aca="false">IF(A1248="","",IFERROR(buscarx(A1248&amp;B1248,DATA!$E$3:$E$10000&amp;DATA!$B$3:$B$10000,DATA!$M$3:$M$10000),"No encontrado"))</f>
        <v/>
      </c>
      <c r="D1248" s="27" t="str">
        <f aca="false">IF(A1248="","",IFERROR(buscarx(A1248&amp;B1248,DATA!$E$3:$E$10000&amp;DATA!$B$3:$B$10000,DATA!$W$3:$W$10000),"No encontrado"))</f>
        <v/>
      </c>
      <c r="E1248" s="22"/>
      <c r="F1248" s="26" t="str">
        <f aca="false">IF(A1248="","",IFERROR(buscarx(A1248&amp;E1248,DATA!$E$3:$E$10000&amp;DATA!$B$3:$B$10000,DATA!$M$3:$M$10000),"Inactivo"))</f>
        <v/>
      </c>
      <c r="G1248" s="28" t="str">
        <f aca="false">IF(A1248="","",IF(AND(C1248&lt;&gt;"No encontrado",F1248&lt;&gt;"Inactivo"),C1248&amp;" → "&amp;F1248,"Sin transición"))</f>
        <v/>
      </c>
      <c r="H1248" s="26" t="str">
        <f aca="false">IF(A1248="","",IF(D1248="GCIA LINEA SERVICIO DIGITALIDAD Y VENTAS","Chats",IF(OR(D1248="GERENCIA INBOUND LÍNEAS SERVICIO Y VENTA",D1248="GERENCIA INBOUND LINEAS ESPECIALIZADAS"),"Llamadas","Otro")))</f>
        <v/>
      </c>
      <c r="I1248" s="26" t="str">
        <f aca="false">IF(A1248="","",IF(C1248="No encontrado","No","Sí"))</f>
        <v/>
      </c>
      <c r="J1248" s="26" t="str">
        <f aca="false">IF(A1248="","",IF(F1248="Inactivo","No","Sí"))</f>
        <v/>
      </c>
      <c r="K1248" s="26" t="str">
        <f aca="false">IF(A1248="","",IF(AND(I1248="Sí",J1248="Sí"),"Sí","No"))</f>
        <v/>
      </c>
    </row>
    <row r="1249" customFormat="false" ht="15" hidden="false" customHeight="false" outlineLevel="0" collapsed="false">
      <c r="A1249" s="22"/>
      <c r="B1249" s="22"/>
      <c r="C1249" s="23" t="str">
        <f aca="false">IF(A1249="","",IFERROR(buscarx(A1249&amp;B1249,DATA!$E$3:$E$10000&amp;DATA!$B$3:$B$10000,DATA!$M$3:$M$10000),"No encontrado"))</f>
        <v/>
      </c>
      <c r="D1249" s="24" t="str">
        <f aca="false">IF(A1249="","",IFERROR(buscarx(A1249&amp;B1249,DATA!$E$3:$E$10000&amp;DATA!$B$3:$B$10000,DATA!$W$3:$W$10000),"No encontrado"))</f>
        <v/>
      </c>
      <c r="E1249" s="22"/>
      <c r="F1249" s="23" t="str">
        <f aca="false">IF(A1249="","",IFERROR(buscarx(A1249&amp;E1249,DATA!$E$3:$E$10000&amp;DATA!$B$3:$B$10000,DATA!$M$3:$M$10000),"Inactivo"))</f>
        <v/>
      </c>
      <c r="G1249" s="25" t="str">
        <f aca="false">IF(A1249="","",IF(AND(C1249&lt;&gt;"No encontrado",F1249&lt;&gt;"Inactivo"),C1249&amp;" → "&amp;F1249,"Sin transición"))</f>
        <v/>
      </c>
      <c r="H1249" s="23" t="str">
        <f aca="false">IF(A1249="","",IF(D1249="GCIA LINEA SERVICIO DIGITALIDAD Y VENTAS","Chats",IF(OR(D1249="GERENCIA INBOUND LÍNEAS SERVICIO Y VENTA",D1249="GERENCIA INBOUND LINEAS ESPECIALIZADAS"),"Llamadas","Otro")))</f>
        <v/>
      </c>
      <c r="I1249" s="23" t="str">
        <f aca="false">IF(A1249="","",IF(C1249="No encontrado","No","Sí"))</f>
        <v/>
      </c>
      <c r="J1249" s="23" t="str">
        <f aca="false">IF(A1249="","",IF(F1249="Inactivo","No","Sí"))</f>
        <v/>
      </c>
      <c r="K1249" s="23" t="str">
        <f aca="false">IF(A1249="","",IF(AND(I1249="Sí",J1249="Sí"),"Sí","No"))</f>
        <v/>
      </c>
    </row>
    <row r="1250" customFormat="false" ht="15" hidden="false" customHeight="false" outlineLevel="0" collapsed="false">
      <c r="A1250" s="22"/>
      <c r="B1250" s="22"/>
      <c r="C1250" s="26" t="str">
        <f aca="false">IF(A1250="","",IFERROR(buscarx(A1250&amp;B1250,DATA!$E$3:$E$10000&amp;DATA!$B$3:$B$10000,DATA!$M$3:$M$10000),"No encontrado"))</f>
        <v/>
      </c>
      <c r="D1250" s="27" t="str">
        <f aca="false">IF(A1250="","",IFERROR(buscarx(A1250&amp;B1250,DATA!$E$3:$E$10000&amp;DATA!$B$3:$B$10000,DATA!$W$3:$W$10000),"No encontrado"))</f>
        <v/>
      </c>
      <c r="E1250" s="22"/>
      <c r="F1250" s="26" t="str">
        <f aca="false">IF(A1250="","",IFERROR(buscarx(A1250&amp;E1250,DATA!$E$3:$E$10000&amp;DATA!$B$3:$B$10000,DATA!$M$3:$M$10000),"Inactivo"))</f>
        <v/>
      </c>
      <c r="G1250" s="28" t="str">
        <f aca="false">IF(A1250="","",IF(AND(C1250&lt;&gt;"No encontrado",F1250&lt;&gt;"Inactivo"),C1250&amp;" → "&amp;F1250,"Sin transición"))</f>
        <v/>
      </c>
      <c r="H1250" s="26" t="str">
        <f aca="false">IF(A1250="","",IF(D1250="GCIA LINEA SERVICIO DIGITALIDAD Y VENTAS","Chats",IF(OR(D1250="GERENCIA INBOUND LÍNEAS SERVICIO Y VENTA",D1250="GERENCIA INBOUND LINEAS ESPECIALIZADAS"),"Llamadas","Otro")))</f>
        <v/>
      </c>
      <c r="I1250" s="26" t="str">
        <f aca="false">IF(A1250="","",IF(C1250="No encontrado","No","Sí"))</f>
        <v/>
      </c>
      <c r="J1250" s="26" t="str">
        <f aca="false">IF(A1250="","",IF(F1250="Inactivo","No","Sí"))</f>
        <v/>
      </c>
      <c r="K1250" s="26" t="str">
        <f aca="false">IF(A1250="","",IF(AND(I1250="Sí",J1250="Sí"),"Sí","No"))</f>
        <v/>
      </c>
    </row>
    <row r="1251" customFormat="false" ht="15" hidden="false" customHeight="false" outlineLevel="0" collapsed="false">
      <c r="A1251" s="22"/>
      <c r="B1251" s="22"/>
      <c r="C1251" s="23" t="str">
        <f aca="false">IF(A1251="","",IFERROR(buscarx(A1251&amp;B1251,DATA!$E$3:$E$10000&amp;DATA!$B$3:$B$10000,DATA!$M$3:$M$10000),"No encontrado"))</f>
        <v/>
      </c>
      <c r="D1251" s="24" t="str">
        <f aca="false">IF(A1251="","",IFERROR(buscarx(A1251&amp;B1251,DATA!$E$3:$E$10000&amp;DATA!$B$3:$B$10000,DATA!$W$3:$W$10000),"No encontrado"))</f>
        <v/>
      </c>
      <c r="E1251" s="22"/>
      <c r="F1251" s="23" t="str">
        <f aca="false">IF(A1251="","",IFERROR(buscarx(A1251&amp;E1251,DATA!$E$3:$E$10000&amp;DATA!$B$3:$B$10000,DATA!$M$3:$M$10000),"Inactivo"))</f>
        <v/>
      </c>
      <c r="G1251" s="25" t="str">
        <f aca="false">IF(A1251="","",IF(AND(C1251&lt;&gt;"No encontrado",F1251&lt;&gt;"Inactivo"),C1251&amp;" → "&amp;F1251,"Sin transición"))</f>
        <v/>
      </c>
      <c r="H1251" s="23" t="str">
        <f aca="false">IF(A1251="","",IF(D1251="GCIA LINEA SERVICIO DIGITALIDAD Y VENTAS","Chats",IF(OR(D1251="GERENCIA INBOUND LÍNEAS SERVICIO Y VENTA",D1251="GERENCIA INBOUND LINEAS ESPECIALIZADAS"),"Llamadas","Otro")))</f>
        <v/>
      </c>
      <c r="I1251" s="23" t="str">
        <f aca="false">IF(A1251="","",IF(C1251="No encontrado","No","Sí"))</f>
        <v/>
      </c>
      <c r="J1251" s="23" t="str">
        <f aca="false">IF(A1251="","",IF(F1251="Inactivo","No","Sí"))</f>
        <v/>
      </c>
      <c r="K1251" s="23" t="str">
        <f aca="false">IF(A1251="","",IF(AND(I1251="Sí",J1251="Sí"),"Sí","No"))</f>
        <v/>
      </c>
    </row>
    <row r="1252" customFormat="false" ht="15" hidden="false" customHeight="false" outlineLevel="0" collapsed="false">
      <c r="A1252" s="22"/>
      <c r="B1252" s="22"/>
      <c r="C1252" s="26" t="str">
        <f aca="false">IF(A1252="","",IFERROR(buscarx(A1252&amp;B1252,DATA!$E$3:$E$10000&amp;DATA!$B$3:$B$10000,DATA!$M$3:$M$10000),"No encontrado"))</f>
        <v/>
      </c>
      <c r="D1252" s="27" t="str">
        <f aca="false">IF(A1252="","",IFERROR(buscarx(A1252&amp;B1252,DATA!$E$3:$E$10000&amp;DATA!$B$3:$B$10000,DATA!$W$3:$W$10000),"No encontrado"))</f>
        <v/>
      </c>
      <c r="E1252" s="22"/>
      <c r="F1252" s="26" t="str">
        <f aca="false">IF(A1252="","",IFERROR(buscarx(A1252&amp;E1252,DATA!$E$3:$E$10000&amp;DATA!$B$3:$B$10000,DATA!$M$3:$M$10000),"Inactivo"))</f>
        <v/>
      </c>
      <c r="G1252" s="28" t="str">
        <f aca="false">IF(A1252="","",IF(AND(C1252&lt;&gt;"No encontrado",F1252&lt;&gt;"Inactivo"),C1252&amp;" → "&amp;F1252,"Sin transición"))</f>
        <v/>
      </c>
      <c r="H1252" s="26" t="str">
        <f aca="false">IF(A1252="","",IF(D1252="GCIA LINEA SERVICIO DIGITALIDAD Y VENTAS","Chats",IF(OR(D1252="GERENCIA INBOUND LÍNEAS SERVICIO Y VENTA",D1252="GERENCIA INBOUND LINEAS ESPECIALIZADAS"),"Llamadas","Otro")))</f>
        <v/>
      </c>
      <c r="I1252" s="26" t="str">
        <f aca="false">IF(A1252="","",IF(C1252="No encontrado","No","Sí"))</f>
        <v/>
      </c>
      <c r="J1252" s="26" t="str">
        <f aca="false">IF(A1252="","",IF(F1252="Inactivo","No","Sí"))</f>
        <v/>
      </c>
      <c r="K1252" s="26" t="str">
        <f aca="false">IF(A1252="","",IF(AND(I1252="Sí",J1252="Sí"),"Sí","No"))</f>
        <v/>
      </c>
    </row>
    <row r="1253" customFormat="false" ht="15" hidden="false" customHeight="false" outlineLevel="0" collapsed="false">
      <c r="A1253" s="22"/>
      <c r="B1253" s="22"/>
      <c r="C1253" s="23" t="str">
        <f aca="false">IF(A1253="","",IFERROR(buscarx(A1253&amp;B1253,DATA!$E$3:$E$10000&amp;DATA!$B$3:$B$10000,DATA!$M$3:$M$10000),"No encontrado"))</f>
        <v/>
      </c>
      <c r="D1253" s="24" t="str">
        <f aca="false">IF(A1253="","",IFERROR(buscarx(A1253&amp;B1253,DATA!$E$3:$E$10000&amp;DATA!$B$3:$B$10000,DATA!$W$3:$W$10000),"No encontrado"))</f>
        <v/>
      </c>
      <c r="E1253" s="22"/>
      <c r="F1253" s="23" t="str">
        <f aca="false">IF(A1253="","",IFERROR(buscarx(A1253&amp;E1253,DATA!$E$3:$E$10000&amp;DATA!$B$3:$B$10000,DATA!$M$3:$M$10000),"Inactivo"))</f>
        <v/>
      </c>
      <c r="G1253" s="25" t="str">
        <f aca="false">IF(A1253="","",IF(AND(C1253&lt;&gt;"No encontrado",F1253&lt;&gt;"Inactivo"),C1253&amp;" → "&amp;F1253,"Sin transición"))</f>
        <v/>
      </c>
      <c r="H1253" s="23" t="str">
        <f aca="false">IF(A1253="","",IF(D1253="GCIA LINEA SERVICIO DIGITALIDAD Y VENTAS","Chats",IF(OR(D1253="GERENCIA INBOUND LÍNEAS SERVICIO Y VENTA",D1253="GERENCIA INBOUND LINEAS ESPECIALIZADAS"),"Llamadas","Otro")))</f>
        <v/>
      </c>
      <c r="I1253" s="23" t="str">
        <f aca="false">IF(A1253="","",IF(C1253="No encontrado","No","Sí"))</f>
        <v/>
      </c>
      <c r="J1253" s="23" t="str">
        <f aca="false">IF(A1253="","",IF(F1253="Inactivo","No","Sí"))</f>
        <v/>
      </c>
      <c r="K1253" s="23" t="str">
        <f aca="false">IF(A1253="","",IF(AND(I1253="Sí",J1253="Sí"),"Sí","No"))</f>
        <v/>
      </c>
    </row>
    <row r="1254" customFormat="false" ht="15" hidden="false" customHeight="false" outlineLevel="0" collapsed="false">
      <c r="A1254" s="22"/>
      <c r="B1254" s="22"/>
      <c r="C1254" s="26" t="str">
        <f aca="false">IF(A1254="","",IFERROR(buscarx(A1254&amp;B1254,DATA!$E$3:$E$10000&amp;DATA!$B$3:$B$10000,DATA!$M$3:$M$10000),"No encontrado"))</f>
        <v/>
      </c>
      <c r="D1254" s="27" t="str">
        <f aca="false">IF(A1254="","",IFERROR(buscarx(A1254&amp;B1254,DATA!$E$3:$E$10000&amp;DATA!$B$3:$B$10000,DATA!$W$3:$W$10000),"No encontrado"))</f>
        <v/>
      </c>
      <c r="E1254" s="22"/>
      <c r="F1254" s="26" t="str">
        <f aca="false">IF(A1254="","",IFERROR(buscarx(A1254&amp;E1254,DATA!$E$3:$E$10000&amp;DATA!$B$3:$B$10000,DATA!$M$3:$M$10000),"Inactivo"))</f>
        <v/>
      </c>
      <c r="G1254" s="28" t="str">
        <f aca="false">IF(A1254="","",IF(AND(C1254&lt;&gt;"No encontrado",F1254&lt;&gt;"Inactivo"),C1254&amp;" → "&amp;F1254,"Sin transición"))</f>
        <v/>
      </c>
      <c r="H1254" s="26" t="str">
        <f aca="false">IF(A1254="","",IF(D1254="GCIA LINEA SERVICIO DIGITALIDAD Y VENTAS","Chats",IF(OR(D1254="GERENCIA INBOUND LÍNEAS SERVICIO Y VENTA",D1254="GERENCIA INBOUND LINEAS ESPECIALIZADAS"),"Llamadas","Otro")))</f>
        <v/>
      </c>
      <c r="I1254" s="26" t="str">
        <f aca="false">IF(A1254="","",IF(C1254="No encontrado","No","Sí"))</f>
        <v/>
      </c>
      <c r="J1254" s="26" t="str">
        <f aca="false">IF(A1254="","",IF(F1254="Inactivo","No","Sí"))</f>
        <v/>
      </c>
      <c r="K1254" s="26" t="str">
        <f aca="false">IF(A1254="","",IF(AND(I1254="Sí",J1254="Sí"),"Sí","No"))</f>
        <v/>
      </c>
    </row>
    <row r="1255" customFormat="false" ht="15" hidden="false" customHeight="false" outlineLevel="0" collapsed="false">
      <c r="A1255" s="22"/>
      <c r="B1255" s="22"/>
      <c r="C1255" s="23" t="str">
        <f aca="false">IF(A1255="","",IFERROR(buscarx(A1255&amp;B1255,DATA!$E$3:$E$10000&amp;DATA!$B$3:$B$10000,DATA!$M$3:$M$10000),"No encontrado"))</f>
        <v/>
      </c>
      <c r="D1255" s="24" t="str">
        <f aca="false">IF(A1255="","",IFERROR(buscarx(A1255&amp;B1255,DATA!$E$3:$E$10000&amp;DATA!$B$3:$B$10000,DATA!$W$3:$W$10000),"No encontrado"))</f>
        <v/>
      </c>
      <c r="E1255" s="22"/>
      <c r="F1255" s="23" t="str">
        <f aca="false">IF(A1255="","",IFERROR(buscarx(A1255&amp;E1255,DATA!$E$3:$E$10000&amp;DATA!$B$3:$B$10000,DATA!$M$3:$M$10000),"Inactivo"))</f>
        <v/>
      </c>
      <c r="G1255" s="25" t="str">
        <f aca="false">IF(A1255="","",IF(AND(C1255&lt;&gt;"No encontrado",F1255&lt;&gt;"Inactivo"),C1255&amp;" → "&amp;F1255,"Sin transición"))</f>
        <v/>
      </c>
      <c r="H1255" s="23" t="str">
        <f aca="false">IF(A1255="","",IF(D1255="GCIA LINEA SERVICIO DIGITALIDAD Y VENTAS","Chats",IF(OR(D1255="GERENCIA INBOUND LÍNEAS SERVICIO Y VENTA",D1255="GERENCIA INBOUND LINEAS ESPECIALIZADAS"),"Llamadas","Otro")))</f>
        <v/>
      </c>
      <c r="I1255" s="23" t="str">
        <f aca="false">IF(A1255="","",IF(C1255="No encontrado","No","Sí"))</f>
        <v/>
      </c>
      <c r="J1255" s="23" t="str">
        <f aca="false">IF(A1255="","",IF(F1255="Inactivo","No","Sí"))</f>
        <v/>
      </c>
      <c r="K1255" s="23" t="str">
        <f aca="false">IF(A1255="","",IF(AND(I1255="Sí",J1255="Sí"),"Sí","No"))</f>
        <v/>
      </c>
    </row>
    <row r="1256" customFormat="false" ht="15" hidden="false" customHeight="false" outlineLevel="0" collapsed="false">
      <c r="A1256" s="22"/>
      <c r="B1256" s="22"/>
      <c r="C1256" s="26" t="str">
        <f aca="false">IF(A1256="","",IFERROR(buscarx(A1256&amp;B1256,DATA!$E$3:$E$10000&amp;DATA!$B$3:$B$10000,DATA!$M$3:$M$10000),"No encontrado"))</f>
        <v/>
      </c>
      <c r="D1256" s="27" t="str">
        <f aca="false">IF(A1256="","",IFERROR(buscarx(A1256&amp;B1256,DATA!$E$3:$E$10000&amp;DATA!$B$3:$B$10000,DATA!$W$3:$W$10000),"No encontrado"))</f>
        <v/>
      </c>
      <c r="E1256" s="22"/>
      <c r="F1256" s="26" t="str">
        <f aca="false">IF(A1256="","",IFERROR(buscarx(A1256&amp;E1256,DATA!$E$3:$E$10000&amp;DATA!$B$3:$B$10000,DATA!$M$3:$M$10000),"Inactivo"))</f>
        <v/>
      </c>
      <c r="G1256" s="28" t="str">
        <f aca="false">IF(A1256="","",IF(AND(C1256&lt;&gt;"No encontrado",F1256&lt;&gt;"Inactivo"),C1256&amp;" → "&amp;F1256,"Sin transición"))</f>
        <v/>
      </c>
      <c r="H1256" s="26" t="str">
        <f aca="false">IF(A1256="","",IF(D1256="GCIA LINEA SERVICIO DIGITALIDAD Y VENTAS","Chats",IF(OR(D1256="GERENCIA INBOUND LÍNEAS SERVICIO Y VENTA",D1256="GERENCIA INBOUND LINEAS ESPECIALIZADAS"),"Llamadas","Otro")))</f>
        <v/>
      </c>
      <c r="I1256" s="26" t="str">
        <f aca="false">IF(A1256="","",IF(C1256="No encontrado","No","Sí"))</f>
        <v/>
      </c>
      <c r="J1256" s="26" t="str">
        <f aca="false">IF(A1256="","",IF(F1256="Inactivo","No","Sí"))</f>
        <v/>
      </c>
      <c r="K1256" s="26" t="str">
        <f aca="false">IF(A1256="","",IF(AND(I1256="Sí",J1256="Sí"),"Sí","No"))</f>
        <v/>
      </c>
    </row>
    <row r="1257" customFormat="false" ht="15" hidden="false" customHeight="false" outlineLevel="0" collapsed="false">
      <c r="A1257" s="22"/>
      <c r="B1257" s="22"/>
      <c r="C1257" s="23" t="str">
        <f aca="false">IF(A1257="","",IFERROR(buscarx(A1257&amp;B1257,DATA!$E$3:$E$10000&amp;DATA!$B$3:$B$10000,DATA!$M$3:$M$10000),"No encontrado"))</f>
        <v/>
      </c>
      <c r="D1257" s="24" t="str">
        <f aca="false">IF(A1257="","",IFERROR(buscarx(A1257&amp;B1257,DATA!$E$3:$E$10000&amp;DATA!$B$3:$B$10000,DATA!$W$3:$W$10000),"No encontrado"))</f>
        <v/>
      </c>
      <c r="E1257" s="22"/>
      <c r="F1257" s="23" t="str">
        <f aca="false">IF(A1257="","",IFERROR(buscarx(A1257&amp;E1257,DATA!$E$3:$E$10000&amp;DATA!$B$3:$B$10000,DATA!$M$3:$M$10000),"Inactivo"))</f>
        <v/>
      </c>
      <c r="G1257" s="25" t="str">
        <f aca="false">IF(A1257="","",IF(AND(C1257&lt;&gt;"No encontrado",F1257&lt;&gt;"Inactivo"),C1257&amp;" → "&amp;F1257,"Sin transición"))</f>
        <v/>
      </c>
      <c r="H1257" s="23" t="str">
        <f aca="false">IF(A1257="","",IF(D1257="GCIA LINEA SERVICIO DIGITALIDAD Y VENTAS","Chats",IF(OR(D1257="GERENCIA INBOUND LÍNEAS SERVICIO Y VENTA",D1257="GERENCIA INBOUND LINEAS ESPECIALIZADAS"),"Llamadas","Otro")))</f>
        <v/>
      </c>
      <c r="I1257" s="23" t="str">
        <f aca="false">IF(A1257="","",IF(C1257="No encontrado","No","Sí"))</f>
        <v/>
      </c>
      <c r="J1257" s="23" t="str">
        <f aca="false">IF(A1257="","",IF(F1257="Inactivo","No","Sí"))</f>
        <v/>
      </c>
      <c r="K1257" s="23" t="str">
        <f aca="false">IF(A1257="","",IF(AND(I1257="Sí",J1257="Sí"),"Sí","No"))</f>
        <v/>
      </c>
    </row>
    <row r="1258" customFormat="false" ht="15" hidden="false" customHeight="false" outlineLevel="0" collapsed="false">
      <c r="A1258" s="22"/>
      <c r="B1258" s="22"/>
      <c r="C1258" s="26" t="str">
        <f aca="false">IF(A1258="","",IFERROR(buscarx(A1258&amp;B1258,DATA!$E$3:$E$10000&amp;DATA!$B$3:$B$10000,DATA!$M$3:$M$10000),"No encontrado"))</f>
        <v/>
      </c>
      <c r="D1258" s="27" t="str">
        <f aca="false">IF(A1258="","",IFERROR(buscarx(A1258&amp;B1258,DATA!$E$3:$E$10000&amp;DATA!$B$3:$B$10000,DATA!$W$3:$W$10000),"No encontrado"))</f>
        <v/>
      </c>
      <c r="E1258" s="22"/>
      <c r="F1258" s="26" t="str">
        <f aca="false">IF(A1258="","",IFERROR(buscarx(A1258&amp;E1258,DATA!$E$3:$E$10000&amp;DATA!$B$3:$B$10000,DATA!$M$3:$M$10000),"Inactivo"))</f>
        <v/>
      </c>
      <c r="G1258" s="28" t="str">
        <f aca="false">IF(A1258="","",IF(AND(C1258&lt;&gt;"No encontrado",F1258&lt;&gt;"Inactivo"),C1258&amp;" → "&amp;F1258,"Sin transición"))</f>
        <v/>
      </c>
      <c r="H1258" s="26" t="str">
        <f aca="false">IF(A1258="","",IF(D1258="GCIA LINEA SERVICIO DIGITALIDAD Y VENTAS","Chats",IF(OR(D1258="GERENCIA INBOUND LÍNEAS SERVICIO Y VENTA",D1258="GERENCIA INBOUND LINEAS ESPECIALIZADAS"),"Llamadas","Otro")))</f>
        <v/>
      </c>
      <c r="I1258" s="26" t="str">
        <f aca="false">IF(A1258="","",IF(C1258="No encontrado","No","Sí"))</f>
        <v/>
      </c>
      <c r="J1258" s="26" t="str">
        <f aca="false">IF(A1258="","",IF(F1258="Inactivo","No","Sí"))</f>
        <v/>
      </c>
      <c r="K1258" s="26" t="str">
        <f aca="false">IF(A1258="","",IF(AND(I1258="Sí",J1258="Sí"),"Sí","No"))</f>
        <v/>
      </c>
    </row>
    <row r="1259" customFormat="false" ht="15" hidden="false" customHeight="false" outlineLevel="0" collapsed="false">
      <c r="A1259" s="22"/>
      <c r="B1259" s="22"/>
      <c r="C1259" s="23" t="str">
        <f aca="false">IF(A1259="","",IFERROR(buscarx(A1259&amp;B1259,DATA!$E$3:$E$10000&amp;DATA!$B$3:$B$10000,DATA!$M$3:$M$10000),"No encontrado"))</f>
        <v/>
      </c>
      <c r="D1259" s="24" t="str">
        <f aca="false">IF(A1259="","",IFERROR(buscarx(A1259&amp;B1259,DATA!$E$3:$E$10000&amp;DATA!$B$3:$B$10000,DATA!$W$3:$W$10000),"No encontrado"))</f>
        <v/>
      </c>
      <c r="E1259" s="22"/>
      <c r="F1259" s="23" t="str">
        <f aca="false">IF(A1259="","",IFERROR(buscarx(A1259&amp;E1259,DATA!$E$3:$E$10000&amp;DATA!$B$3:$B$10000,DATA!$M$3:$M$10000),"Inactivo"))</f>
        <v/>
      </c>
      <c r="G1259" s="25" t="str">
        <f aca="false">IF(A1259="","",IF(AND(C1259&lt;&gt;"No encontrado",F1259&lt;&gt;"Inactivo"),C1259&amp;" → "&amp;F1259,"Sin transición"))</f>
        <v/>
      </c>
      <c r="H1259" s="23" t="str">
        <f aca="false">IF(A1259="","",IF(D1259="GCIA LINEA SERVICIO DIGITALIDAD Y VENTAS","Chats",IF(OR(D1259="GERENCIA INBOUND LÍNEAS SERVICIO Y VENTA",D1259="GERENCIA INBOUND LINEAS ESPECIALIZADAS"),"Llamadas","Otro")))</f>
        <v/>
      </c>
      <c r="I1259" s="23" t="str">
        <f aca="false">IF(A1259="","",IF(C1259="No encontrado","No","Sí"))</f>
        <v/>
      </c>
      <c r="J1259" s="23" t="str">
        <f aca="false">IF(A1259="","",IF(F1259="Inactivo","No","Sí"))</f>
        <v/>
      </c>
      <c r="K1259" s="23" t="str">
        <f aca="false">IF(A1259="","",IF(AND(I1259="Sí",J1259="Sí"),"Sí","No"))</f>
        <v/>
      </c>
    </row>
    <row r="1260" customFormat="false" ht="15" hidden="false" customHeight="false" outlineLevel="0" collapsed="false">
      <c r="A1260" s="22"/>
      <c r="B1260" s="22"/>
      <c r="C1260" s="26" t="str">
        <f aca="false">IF(A1260="","",IFERROR(buscarx(A1260&amp;B1260,DATA!$E$3:$E$10000&amp;DATA!$B$3:$B$10000,DATA!$M$3:$M$10000),"No encontrado"))</f>
        <v/>
      </c>
      <c r="D1260" s="27" t="str">
        <f aca="false">IF(A1260="","",IFERROR(buscarx(A1260&amp;B1260,DATA!$E$3:$E$10000&amp;DATA!$B$3:$B$10000,DATA!$W$3:$W$10000),"No encontrado"))</f>
        <v/>
      </c>
      <c r="E1260" s="22"/>
      <c r="F1260" s="26" t="str">
        <f aca="false">IF(A1260="","",IFERROR(buscarx(A1260&amp;E1260,DATA!$E$3:$E$10000&amp;DATA!$B$3:$B$10000,DATA!$M$3:$M$10000),"Inactivo"))</f>
        <v/>
      </c>
      <c r="G1260" s="28" t="str">
        <f aca="false">IF(A1260="","",IF(AND(C1260&lt;&gt;"No encontrado",F1260&lt;&gt;"Inactivo"),C1260&amp;" → "&amp;F1260,"Sin transición"))</f>
        <v/>
      </c>
      <c r="H1260" s="26" t="str">
        <f aca="false">IF(A1260="","",IF(D1260="GCIA LINEA SERVICIO DIGITALIDAD Y VENTAS","Chats",IF(OR(D1260="GERENCIA INBOUND LÍNEAS SERVICIO Y VENTA",D1260="GERENCIA INBOUND LINEAS ESPECIALIZADAS"),"Llamadas","Otro")))</f>
        <v/>
      </c>
      <c r="I1260" s="26" t="str">
        <f aca="false">IF(A1260="","",IF(C1260="No encontrado","No","Sí"))</f>
        <v/>
      </c>
      <c r="J1260" s="26" t="str">
        <f aca="false">IF(A1260="","",IF(F1260="Inactivo","No","Sí"))</f>
        <v/>
      </c>
      <c r="K1260" s="26" t="str">
        <f aca="false">IF(A1260="","",IF(AND(I1260="Sí",J1260="Sí"),"Sí","No"))</f>
        <v/>
      </c>
    </row>
    <row r="1261" customFormat="false" ht="15" hidden="false" customHeight="false" outlineLevel="0" collapsed="false">
      <c r="A1261" s="22"/>
      <c r="B1261" s="22"/>
      <c r="C1261" s="23" t="str">
        <f aca="false">IF(A1261="","",IFERROR(buscarx(A1261&amp;B1261,DATA!$E$3:$E$10000&amp;DATA!$B$3:$B$10000,DATA!$M$3:$M$10000),"No encontrado"))</f>
        <v/>
      </c>
      <c r="D1261" s="24" t="str">
        <f aca="false">IF(A1261="","",IFERROR(buscarx(A1261&amp;B1261,DATA!$E$3:$E$10000&amp;DATA!$B$3:$B$10000,DATA!$W$3:$W$10000),"No encontrado"))</f>
        <v/>
      </c>
      <c r="E1261" s="22"/>
      <c r="F1261" s="23" t="str">
        <f aca="false">IF(A1261="","",IFERROR(buscarx(A1261&amp;E1261,DATA!$E$3:$E$10000&amp;DATA!$B$3:$B$10000,DATA!$M$3:$M$10000),"Inactivo"))</f>
        <v/>
      </c>
      <c r="G1261" s="25" t="str">
        <f aca="false">IF(A1261="","",IF(AND(C1261&lt;&gt;"No encontrado",F1261&lt;&gt;"Inactivo"),C1261&amp;" → "&amp;F1261,"Sin transición"))</f>
        <v/>
      </c>
      <c r="H1261" s="23" t="str">
        <f aca="false">IF(A1261="","",IF(D1261="GCIA LINEA SERVICIO DIGITALIDAD Y VENTAS","Chats",IF(OR(D1261="GERENCIA INBOUND LÍNEAS SERVICIO Y VENTA",D1261="GERENCIA INBOUND LINEAS ESPECIALIZADAS"),"Llamadas","Otro")))</f>
        <v/>
      </c>
      <c r="I1261" s="23" t="str">
        <f aca="false">IF(A1261="","",IF(C1261="No encontrado","No","Sí"))</f>
        <v/>
      </c>
      <c r="J1261" s="23" t="str">
        <f aca="false">IF(A1261="","",IF(F1261="Inactivo","No","Sí"))</f>
        <v/>
      </c>
      <c r="K1261" s="23" t="str">
        <f aca="false">IF(A1261="","",IF(AND(I1261="Sí",J1261="Sí"),"Sí","No"))</f>
        <v/>
      </c>
    </row>
    <row r="1262" customFormat="false" ht="15" hidden="false" customHeight="false" outlineLevel="0" collapsed="false">
      <c r="A1262" s="22"/>
      <c r="B1262" s="22"/>
      <c r="C1262" s="26" t="str">
        <f aca="false">IF(A1262="","",IFERROR(buscarx(A1262&amp;B1262,DATA!$E$3:$E$10000&amp;DATA!$B$3:$B$10000,DATA!$M$3:$M$10000),"No encontrado"))</f>
        <v/>
      </c>
      <c r="D1262" s="27" t="str">
        <f aca="false">IF(A1262="","",IFERROR(buscarx(A1262&amp;B1262,DATA!$E$3:$E$10000&amp;DATA!$B$3:$B$10000,DATA!$W$3:$W$10000),"No encontrado"))</f>
        <v/>
      </c>
      <c r="E1262" s="22"/>
      <c r="F1262" s="26" t="str">
        <f aca="false">IF(A1262="","",IFERROR(buscarx(A1262&amp;E1262,DATA!$E$3:$E$10000&amp;DATA!$B$3:$B$10000,DATA!$M$3:$M$10000),"Inactivo"))</f>
        <v/>
      </c>
      <c r="G1262" s="28" t="str">
        <f aca="false">IF(A1262="","",IF(AND(C1262&lt;&gt;"No encontrado",F1262&lt;&gt;"Inactivo"),C1262&amp;" → "&amp;F1262,"Sin transición"))</f>
        <v/>
      </c>
      <c r="H1262" s="26" t="str">
        <f aca="false">IF(A1262="","",IF(D1262="GCIA LINEA SERVICIO DIGITALIDAD Y VENTAS","Chats",IF(OR(D1262="GERENCIA INBOUND LÍNEAS SERVICIO Y VENTA",D1262="GERENCIA INBOUND LINEAS ESPECIALIZADAS"),"Llamadas","Otro")))</f>
        <v/>
      </c>
      <c r="I1262" s="26" t="str">
        <f aca="false">IF(A1262="","",IF(C1262="No encontrado","No","Sí"))</f>
        <v/>
      </c>
      <c r="J1262" s="26" t="str">
        <f aca="false">IF(A1262="","",IF(F1262="Inactivo","No","Sí"))</f>
        <v/>
      </c>
      <c r="K1262" s="26" t="str">
        <f aca="false">IF(A1262="","",IF(AND(I1262="Sí",J1262="Sí"),"Sí","No"))</f>
        <v/>
      </c>
    </row>
    <row r="1263" customFormat="false" ht="15" hidden="false" customHeight="false" outlineLevel="0" collapsed="false">
      <c r="A1263" s="22"/>
      <c r="B1263" s="22"/>
      <c r="C1263" s="23" t="str">
        <f aca="false">IF(A1263="","",IFERROR(buscarx(A1263&amp;B1263,DATA!$E$3:$E$10000&amp;DATA!$B$3:$B$10000,DATA!$M$3:$M$10000),"No encontrado"))</f>
        <v/>
      </c>
      <c r="D1263" s="24" t="str">
        <f aca="false">IF(A1263="","",IFERROR(buscarx(A1263&amp;B1263,DATA!$E$3:$E$10000&amp;DATA!$B$3:$B$10000,DATA!$W$3:$W$10000),"No encontrado"))</f>
        <v/>
      </c>
      <c r="E1263" s="22"/>
      <c r="F1263" s="23" t="str">
        <f aca="false">IF(A1263="","",IFERROR(buscarx(A1263&amp;E1263,DATA!$E$3:$E$10000&amp;DATA!$B$3:$B$10000,DATA!$M$3:$M$10000),"Inactivo"))</f>
        <v/>
      </c>
      <c r="G1263" s="25" t="str">
        <f aca="false">IF(A1263="","",IF(AND(C1263&lt;&gt;"No encontrado",F1263&lt;&gt;"Inactivo"),C1263&amp;" → "&amp;F1263,"Sin transición"))</f>
        <v/>
      </c>
      <c r="H1263" s="23" t="str">
        <f aca="false">IF(A1263="","",IF(D1263="GCIA LINEA SERVICIO DIGITALIDAD Y VENTAS","Chats",IF(OR(D1263="GERENCIA INBOUND LÍNEAS SERVICIO Y VENTA",D1263="GERENCIA INBOUND LINEAS ESPECIALIZADAS"),"Llamadas","Otro")))</f>
        <v/>
      </c>
      <c r="I1263" s="23" t="str">
        <f aca="false">IF(A1263="","",IF(C1263="No encontrado","No","Sí"))</f>
        <v/>
      </c>
      <c r="J1263" s="23" t="str">
        <f aca="false">IF(A1263="","",IF(F1263="Inactivo","No","Sí"))</f>
        <v/>
      </c>
      <c r="K1263" s="23" t="str">
        <f aca="false">IF(A1263="","",IF(AND(I1263="Sí",J1263="Sí"),"Sí","No"))</f>
        <v/>
      </c>
    </row>
    <row r="1264" customFormat="false" ht="15" hidden="false" customHeight="false" outlineLevel="0" collapsed="false">
      <c r="A1264" s="22"/>
      <c r="B1264" s="22"/>
      <c r="C1264" s="26" t="str">
        <f aca="false">IF(A1264="","",IFERROR(buscarx(A1264&amp;B1264,DATA!$E$3:$E$10000&amp;DATA!$B$3:$B$10000,DATA!$M$3:$M$10000),"No encontrado"))</f>
        <v/>
      </c>
      <c r="D1264" s="27" t="str">
        <f aca="false">IF(A1264="","",IFERROR(buscarx(A1264&amp;B1264,DATA!$E$3:$E$10000&amp;DATA!$B$3:$B$10000,DATA!$W$3:$W$10000),"No encontrado"))</f>
        <v/>
      </c>
      <c r="E1264" s="22"/>
      <c r="F1264" s="26" t="str">
        <f aca="false">IF(A1264="","",IFERROR(buscarx(A1264&amp;E1264,DATA!$E$3:$E$10000&amp;DATA!$B$3:$B$10000,DATA!$M$3:$M$10000),"Inactivo"))</f>
        <v/>
      </c>
      <c r="G1264" s="28" t="str">
        <f aca="false">IF(A1264="","",IF(AND(C1264&lt;&gt;"No encontrado",F1264&lt;&gt;"Inactivo"),C1264&amp;" → "&amp;F1264,"Sin transición"))</f>
        <v/>
      </c>
      <c r="H1264" s="26" t="str">
        <f aca="false">IF(A1264="","",IF(D1264="GCIA LINEA SERVICIO DIGITALIDAD Y VENTAS","Chats",IF(OR(D1264="GERENCIA INBOUND LÍNEAS SERVICIO Y VENTA",D1264="GERENCIA INBOUND LINEAS ESPECIALIZADAS"),"Llamadas","Otro")))</f>
        <v/>
      </c>
      <c r="I1264" s="26" t="str">
        <f aca="false">IF(A1264="","",IF(C1264="No encontrado","No","Sí"))</f>
        <v/>
      </c>
      <c r="J1264" s="26" t="str">
        <f aca="false">IF(A1264="","",IF(F1264="Inactivo","No","Sí"))</f>
        <v/>
      </c>
      <c r="K1264" s="26" t="str">
        <f aca="false">IF(A1264="","",IF(AND(I1264="Sí",J1264="Sí"),"Sí","No"))</f>
        <v/>
      </c>
    </row>
    <row r="1265" customFormat="false" ht="15" hidden="false" customHeight="false" outlineLevel="0" collapsed="false">
      <c r="A1265" s="22"/>
      <c r="B1265" s="22"/>
      <c r="C1265" s="23" t="str">
        <f aca="false">IF(A1265="","",IFERROR(buscarx(A1265&amp;B1265,DATA!$E$3:$E$10000&amp;DATA!$B$3:$B$10000,DATA!$M$3:$M$10000),"No encontrado"))</f>
        <v/>
      </c>
      <c r="D1265" s="24" t="str">
        <f aca="false">IF(A1265="","",IFERROR(buscarx(A1265&amp;B1265,DATA!$E$3:$E$10000&amp;DATA!$B$3:$B$10000,DATA!$W$3:$W$10000),"No encontrado"))</f>
        <v/>
      </c>
      <c r="E1265" s="22"/>
      <c r="F1265" s="23" t="str">
        <f aca="false">IF(A1265="","",IFERROR(buscarx(A1265&amp;E1265,DATA!$E$3:$E$10000&amp;DATA!$B$3:$B$10000,DATA!$M$3:$M$10000),"Inactivo"))</f>
        <v/>
      </c>
      <c r="G1265" s="25" t="str">
        <f aca="false">IF(A1265="","",IF(AND(C1265&lt;&gt;"No encontrado",F1265&lt;&gt;"Inactivo"),C1265&amp;" → "&amp;F1265,"Sin transición"))</f>
        <v/>
      </c>
      <c r="H1265" s="23" t="str">
        <f aca="false">IF(A1265="","",IF(D1265="GCIA LINEA SERVICIO DIGITALIDAD Y VENTAS","Chats",IF(OR(D1265="GERENCIA INBOUND LÍNEAS SERVICIO Y VENTA",D1265="GERENCIA INBOUND LINEAS ESPECIALIZADAS"),"Llamadas","Otro")))</f>
        <v/>
      </c>
      <c r="I1265" s="23" t="str">
        <f aca="false">IF(A1265="","",IF(C1265="No encontrado","No","Sí"))</f>
        <v/>
      </c>
      <c r="J1265" s="23" t="str">
        <f aca="false">IF(A1265="","",IF(F1265="Inactivo","No","Sí"))</f>
        <v/>
      </c>
      <c r="K1265" s="23" t="str">
        <f aca="false">IF(A1265="","",IF(AND(I1265="Sí",J1265="Sí"),"Sí","No"))</f>
        <v/>
      </c>
    </row>
    <row r="1266" customFormat="false" ht="15" hidden="false" customHeight="false" outlineLevel="0" collapsed="false">
      <c r="A1266" s="22"/>
      <c r="B1266" s="22"/>
      <c r="C1266" s="26" t="str">
        <f aca="false">IF(A1266="","",IFERROR(buscarx(A1266&amp;B1266,DATA!$E$3:$E$10000&amp;DATA!$B$3:$B$10000,DATA!$M$3:$M$10000),"No encontrado"))</f>
        <v/>
      </c>
      <c r="D1266" s="27" t="str">
        <f aca="false">IF(A1266="","",IFERROR(buscarx(A1266&amp;B1266,DATA!$E$3:$E$10000&amp;DATA!$B$3:$B$10000,DATA!$W$3:$W$10000),"No encontrado"))</f>
        <v/>
      </c>
      <c r="E1266" s="22"/>
      <c r="F1266" s="26" t="str">
        <f aca="false">IF(A1266="","",IFERROR(buscarx(A1266&amp;E1266,DATA!$E$3:$E$10000&amp;DATA!$B$3:$B$10000,DATA!$M$3:$M$10000),"Inactivo"))</f>
        <v/>
      </c>
      <c r="G1266" s="28" t="str">
        <f aca="false">IF(A1266="","",IF(AND(C1266&lt;&gt;"No encontrado",F1266&lt;&gt;"Inactivo"),C1266&amp;" → "&amp;F1266,"Sin transición"))</f>
        <v/>
      </c>
      <c r="H1266" s="26" t="str">
        <f aca="false">IF(A1266="","",IF(D1266="GCIA LINEA SERVICIO DIGITALIDAD Y VENTAS","Chats",IF(OR(D1266="GERENCIA INBOUND LÍNEAS SERVICIO Y VENTA",D1266="GERENCIA INBOUND LINEAS ESPECIALIZADAS"),"Llamadas","Otro")))</f>
        <v/>
      </c>
      <c r="I1266" s="26" t="str">
        <f aca="false">IF(A1266="","",IF(C1266="No encontrado","No","Sí"))</f>
        <v/>
      </c>
      <c r="J1266" s="26" t="str">
        <f aca="false">IF(A1266="","",IF(F1266="Inactivo","No","Sí"))</f>
        <v/>
      </c>
      <c r="K1266" s="26" t="str">
        <f aca="false">IF(A1266="","",IF(AND(I1266="Sí",J1266="Sí"),"Sí","No"))</f>
        <v/>
      </c>
    </row>
    <row r="1267" customFormat="false" ht="15" hidden="false" customHeight="false" outlineLevel="0" collapsed="false">
      <c r="A1267" s="22"/>
      <c r="B1267" s="22"/>
      <c r="C1267" s="23" t="str">
        <f aca="false">IF(A1267="","",IFERROR(buscarx(A1267&amp;B1267,DATA!$E$3:$E$10000&amp;DATA!$B$3:$B$10000,DATA!$M$3:$M$10000),"No encontrado"))</f>
        <v/>
      </c>
      <c r="D1267" s="24" t="str">
        <f aca="false">IF(A1267="","",IFERROR(buscarx(A1267&amp;B1267,DATA!$E$3:$E$10000&amp;DATA!$B$3:$B$10000,DATA!$W$3:$W$10000),"No encontrado"))</f>
        <v/>
      </c>
      <c r="E1267" s="22"/>
      <c r="F1267" s="23" t="str">
        <f aca="false">IF(A1267="","",IFERROR(buscarx(A1267&amp;E1267,DATA!$E$3:$E$10000&amp;DATA!$B$3:$B$10000,DATA!$M$3:$M$10000),"Inactivo"))</f>
        <v/>
      </c>
      <c r="G1267" s="25" t="str">
        <f aca="false">IF(A1267="","",IF(AND(C1267&lt;&gt;"No encontrado",F1267&lt;&gt;"Inactivo"),C1267&amp;" → "&amp;F1267,"Sin transición"))</f>
        <v/>
      </c>
      <c r="H1267" s="23" t="str">
        <f aca="false">IF(A1267="","",IF(D1267="GCIA LINEA SERVICIO DIGITALIDAD Y VENTAS","Chats",IF(OR(D1267="GERENCIA INBOUND LÍNEAS SERVICIO Y VENTA",D1267="GERENCIA INBOUND LINEAS ESPECIALIZADAS"),"Llamadas","Otro")))</f>
        <v/>
      </c>
      <c r="I1267" s="23" t="str">
        <f aca="false">IF(A1267="","",IF(C1267="No encontrado","No","Sí"))</f>
        <v/>
      </c>
      <c r="J1267" s="23" t="str">
        <f aca="false">IF(A1267="","",IF(F1267="Inactivo","No","Sí"))</f>
        <v/>
      </c>
      <c r="K1267" s="23" t="str">
        <f aca="false">IF(A1267="","",IF(AND(I1267="Sí",J1267="Sí"),"Sí","No"))</f>
        <v/>
      </c>
    </row>
    <row r="1268" customFormat="false" ht="15" hidden="false" customHeight="false" outlineLevel="0" collapsed="false">
      <c r="A1268" s="22"/>
      <c r="B1268" s="22"/>
      <c r="C1268" s="26" t="str">
        <f aca="false">IF(A1268="","",IFERROR(buscarx(A1268&amp;B1268,DATA!$E$3:$E$10000&amp;DATA!$B$3:$B$10000,DATA!$M$3:$M$10000),"No encontrado"))</f>
        <v/>
      </c>
      <c r="D1268" s="27" t="str">
        <f aca="false">IF(A1268="","",IFERROR(buscarx(A1268&amp;B1268,DATA!$E$3:$E$10000&amp;DATA!$B$3:$B$10000,DATA!$W$3:$W$10000),"No encontrado"))</f>
        <v/>
      </c>
      <c r="E1268" s="22"/>
      <c r="F1268" s="26" t="str">
        <f aca="false">IF(A1268="","",IFERROR(buscarx(A1268&amp;E1268,DATA!$E$3:$E$10000&amp;DATA!$B$3:$B$10000,DATA!$M$3:$M$10000),"Inactivo"))</f>
        <v/>
      </c>
      <c r="G1268" s="28" t="str">
        <f aca="false">IF(A1268="","",IF(AND(C1268&lt;&gt;"No encontrado",F1268&lt;&gt;"Inactivo"),C1268&amp;" → "&amp;F1268,"Sin transición"))</f>
        <v/>
      </c>
      <c r="H1268" s="26" t="str">
        <f aca="false">IF(A1268="","",IF(D1268="GCIA LINEA SERVICIO DIGITALIDAD Y VENTAS","Chats",IF(OR(D1268="GERENCIA INBOUND LÍNEAS SERVICIO Y VENTA",D1268="GERENCIA INBOUND LINEAS ESPECIALIZADAS"),"Llamadas","Otro")))</f>
        <v/>
      </c>
      <c r="I1268" s="26" t="str">
        <f aca="false">IF(A1268="","",IF(C1268="No encontrado","No","Sí"))</f>
        <v/>
      </c>
      <c r="J1268" s="26" t="str">
        <f aca="false">IF(A1268="","",IF(F1268="Inactivo","No","Sí"))</f>
        <v/>
      </c>
      <c r="K1268" s="26" t="str">
        <f aca="false">IF(A1268="","",IF(AND(I1268="Sí",J1268="Sí"),"Sí","No"))</f>
        <v/>
      </c>
    </row>
    <row r="1269" customFormat="false" ht="15" hidden="false" customHeight="false" outlineLevel="0" collapsed="false">
      <c r="A1269" s="22"/>
      <c r="B1269" s="22"/>
      <c r="C1269" s="23" t="str">
        <f aca="false">IF(A1269="","",IFERROR(buscarx(A1269&amp;B1269,DATA!$E$3:$E$10000&amp;DATA!$B$3:$B$10000,DATA!$M$3:$M$10000),"No encontrado"))</f>
        <v/>
      </c>
      <c r="D1269" s="24" t="str">
        <f aca="false">IF(A1269="","",IFERROR(buscarx(A1269&amp;B1269,DATA!$E$3:$E$10000&amp;DATA!$B$3:$B$10000,DATA!$W$3:$W$10000),"No encontrado"))</f>
        <v/>
      </c>
      <c r="E1269" s="22"/>
      <c r="F1269" s="23" t="str">
        <f aca="false">IF(A1269="","",IFERROR(buscarx(A1269&amp;E1269,DATA!$E$3:$E$10000&amp;DATA!$B$3:$B$10000,DATA!$M$3:$M$10000),"Inactivo"))</f>
        <v/>
      </c>
      <c r="G1269" s="25" t="str">
        <f aca="false">IF(A1269="","",IF(AND(C1269&lt;&gt;"No encontrado",F1269&lt;&gt;"Inactivo"),C1269&amp;" → "&amp;F1269,"Sin transición"))</f>
        <v/>
      </c>
      <c r="H1269" s="23" t="str">
        <f aca="false">IF(A1269="","",IF(D1269="GCIA LINEA SERVICIO DIGITALIDAD Y VENTAS","Chats",IF(OR(D1269="GERENCIA INBOUND LÍNEAS SERVICIO Y VENTA",D1269="GERENCIA INBOUND LINEAS ESPECIALIZADAS"),"Llamadas","Otro")))</f>
        <v/>
      </c>
      <c r="I1269" s="23" t="str">
        <f aca="false">IF(A1269="","",IF(C1269="No encontrado","No","Sí"))</f>
        <v/>
      </c>
      <c r="J1269" s="23" t="str">
        <f aca="false">IF(A1269="","",IF(F1269="Inactivo","No","Sí"))</f>
        <v/>
      </c>
      <c r="K1269" s="23" t="str">
        <f aca="false">IF(A1269="","",IF(AND(I1269="Sí",J1269="Sí"),"Sí","No"))</f>
        <v/>
      </c>
    </row>
    <row r="1270" customFormat="false" ht="15" hidden="false" customHeight="false" outlineLevel="0" collapsed="false">
      <c r="A1270" s="22"/>
      <c r="B1270" s="22"/>
      <c r="C1270" s="26" t="str">
        <f aca="false">IF(A1270="","",IFERROR(buscarx(A1270&amp;B1270,DATA!$E$3:$E$10000&amp;DATA!$B$3:$B$10000,DATA!$M$3:$M$10000),"No encontrado"))</f>
        <v/>
      </c>
      <c r="D1270" s="27" t="str">
        <f aca="false">IF(A1270="","",IFERROR(buscarx(A1270&amp;B1270,DATA!$E$3:$E$10000&amp;DATA!$B$3:$B$10000,DATA!$W$3:$W$10000),"No encontrado"))</f>
        <v/>
      </c>
      <c r="E1270" s="22"/>
      <c r="F1270" s="26" t="str">
        <f aca="false">IF(A1270="","",IFERROR(buscarx(A1270&amp;E1270,DATA!$E$3:$E$10000&amp;DATA!$B$3:$B$10000,DATA!$M$3:$M$10000),"Inactivo"))</f>
        <v/>
      </c>
      <c r="G1270" s="28" t="str">
        <f aca="false">IF(A1270="","",IF(AND(C1270&lt;&gt;"No encontrado",F1270&lt;&gt;"Inactivo"),C1270&amp;" → "&amp;F1270,"Sin transición"))</f>
        <v/>
      </c>
      <c r="H1270" s="26" t="str">
        <f aca="false">IF(A1270="","",IF(D1270="GCIA LINEA SERVICIO DIGITALIDAD Y VENTAS","Chats",IF(OR(D1270="GERENCIA INBOUND LÍNEAS SERVICIO Y VENTA",D1270="GERENCIA INBOUND LINEAS ESPECIALIZADAS"),"Llamadas","Otro")))</f>
        <v/>
      </c>
      <c r="I1270" s="26" t="str">
        <f aca="false">IF(A1270="","",IF(C1270="No encontrado","No","Sí"))</f>
        <v/>
      </c>
      <c r="J1270" s="26" t="str">
        <f aca="false">IF(A1270="","",IF(F1270="Inactivo","No","Sí"))</f>
        <v/>
      </c>
      <c r="K1270" s="26" t="str">
        <f aca="false">IF(A1270="","",IF(AND(I1270="Sí",J1270="Sí"),"Sí","No"))</f>
        <v/>
      </c>
    </row>
    <row r="1271" customFormat="false" ht="15" hidden="false" customHeight="false" outlineLevel="0" collapsed="false">
      <c r="A1271" s="22"/>
      <c r="B1271" s="22"/>
      <c r="C1271" s="23" t="str">
        <f aca="false">IF(A1271="","",IFERROR(buscarx(A1271&amp;B1271,DATA!$E$3:$E$10000&amp;DATA!$B$3:$B$10000,DATA!$M$3:$M$10000),"No encontrado"))</f>
        <v/>
      </c>
      <c r="D1271" s="24" t="str">
        <f aca="false">IF(A1271="","",IFERROR(buscarx(A1271&amp;B1271,DATA!$E$3:$E$10000&amp;DATA!$B$3:$B$10000,DATA!$W$3:$W$10000),"No encontrado"))</f>
        <v/>
      </c>
      <c r="E1271" s="22"/>
      <c r="F1271" s="23" t="str">
        <f aca="false">IF(A1271="","",IFERROR(buscarx(A1271&amp;E1271,DATA!$E$3:$E$10000&amp;DATA!$B$3:$B$10000,DATA!$M$3:$M$10000),"Inactivo"))</f>
        <v/>
      </c>
      <c r="G1271" s="25" t="str">
        <f aca="false">IF(A1271="","",IF(AND(C1271&lt;&gt;"No encontrado",F1271&lt;&gt;"Inactivo"),C1271&amp;" → "&amp;F1271,"Sin transición"))</f>
        <v/>
      </c>
      <c r="H1271" s="23" t="str">
        <f aca="false">IF(A1271="","",IF(D1271="GCIA LINEA SERVICIO DIGITALIDAD Y VENTAS","Chats",IF(OR(D1271="GERENCIA INBOUND LÍNEAS SERVICIO Y VENTA",D1271="GERENCIA INBOUND LINEAS ESPECIALIZADAS"),"Llamadas","Otro")))</f>
        <v/>
      </c>
      <c r="I1271" s="23" t="str">
        <f aca="false">IF(A1271="","",IF(C1271="No encontrado","No","Sí"))</f>
        <v/>
      </c>
      <c r="J1271" s="23" t="str">
        <f aca="false">IF(A1271="","",IF(F1271="Inactivo","No","Sí"))</f>
        <v/>
      </c>
      <c r="K1271" s="23" t="str">
        <f aca="false">IF(A1271="","",IF(AND(I1271="Sí",J1271="Sí"),"Sí","No"))</f>
        <v/>
      </c>
    </row>
    <row r="1272" customFormat="false" ht="15" hidden="false" customHeight="false" outlineLevel="0" collapsed="false">
      <c r="A1272" s="22"/>
      <c r="B1272" s="22"/>
      <c r="C1272" s="26" t="str">
        <f aca="false">IF(A1272="","",IFERROR(buscarx(A1272&amp;B1272,DATA!$E$3:$E$10000&amp;DATA!$B$3:$B$10000,DATA!$M$3:$M$10000),"No encontrado"))</f>
        <v/>
      </c>
      <c r="D1272" s="27" t="str">
        <f aca="false">IF(A1272="","",IFERROR(buscarx(A1272&amp;B1272,DATA!$E$3:$E$10000&amp;DATA!$B$3:$B$10000,DATA!$W$3:$W$10000),"No encontrado"))</f>
        <v/>
      </c>
      <c r="E1272" s="22"/>
      <c r="F1272" s="26" t="str">
        <f aca="false">IF(A1272="","",IFERROR(buscarx(A1272&amp;E1272,DATA!$E$3:$E$10000&amp;DATA!$B$3:$B$10000,DATA!$M$3:$M$10000),"Inactivo"))</f>
        <v/>
      </c>
      <c r="G1272" s="28" t="str">
        <f aca="false">IF(A1272="","",IF(AND(C1272&lt;&gt;"No encontrado",F1272&lt;&gt;"Inactivo"),C1272&amp;" → "&amp;F1272,"Sin transición"))</f>
        <v/>
      </c>
      <c r="H1272" s="26" t="str">
        <f aca="false">IF(A1272="","",IF(D1272="GCIA LINEA SERVICIO DIGITALIDAD Y VENTAS","Chats",IF(OR(D1272="GERENCIA INBOUND LÍNEAS SERVICIO Y VENTA",D1272="GERENCIA INBOUND LINEAS ESPECIALIZADAS"),"Llamadas","Otro")))</f>
        <v/>
      </c>
      <c r="I1272" s="26" t="str">
        <f aca="false">IF(A1272="","",IF(C1272="No encontrado","No","Sí"))</f>
        <v/>
      </c>
      <c r="J1272" s="26" t="str">
        <f aca="false">IF(A1272="","",IF(F1272="Inactivo","No","Sí"))</f>
        <v/>
      </c>
      <c r="K1272" s="26" t="str">
        <f aca="false">IF(A1272="","",IF(AND(I1272="Sí",J1272="Sí"),"Sí","No"))</f>
        <v/>
      </c>
    </row>
    <row r="1273" customFormat="false" ht="15" hidden="false" customHeight="false" outlineLevel="0" collapsed="false">
      <c r="A1273" s="22"/>
      <c r="B1273" s="22"/>
      <c r="C1273" s="23" t="str">
        <f aca="false">IF(A1273="","",IFERROR(buscarx(A1273&amp;B1273,DATA!$E$3:$E$10000&amp;DATA!$B$3:$B$10000,DATA!$M$3:$M$10000),"No encontrado"))</f>
        <v/>
      </c>
      <c r="D1273" s="24" t="str">
        <f aca="false">IF(A1273="","",IFERROR(buscarx(A1273&amp;B1273,DATA!$E$3:$E$10000&amp;DATA!$B$3:$B$10000,DATA!$W$3:$W$10000),"No encontrado"))</f>
        <v/>
      </c>
      <c r="E1273" s="22"/>
      <c r="F1273" s="23" t="str">
        <f aca="false">IF(A1273="","",IFERROR(buscarx(A1273&amp;E1273,DATA!$E$3:$E$10000&amp;DATA!$B$3:$B$10000,DATA!$M$3:$M$10000),"Inactivo"))</f>
        <v/>
      </c>
      <c r="G1273" s="25" t="str">
        <f aca="false">IF(A1273="","",IF(AND(C1273&lt;&gt;"No encontrado",F1273&lt;&gt;"Inactivo"),C1273&amp;" → "&amp;F1273,"Sin transición"))</f>
        <v/>
      </c>
      <c r="H1273" s="23" t="str">
        <f aca="false">IF(A1273="","",IF(D1273="GCIA LINEA SERVICIO DIGITALIDAD Y VENTAS","Chats",IF(OR(D1273="GERENCIA INBOUND LÍNEAS SERVICIO Y VENTA",D1273="GERENCIA INBOUND LINEAS ESPECIALIZADAS"),"Llamadas","Otro")))</f>
        <v/>
      </c>
      <c r="I1273" s="23" t="str">
        <f aca="false">IF(A1273="","",IF(C1273="No encontrado","No","Sí"))</f>
        <v/>
      </c>
      <c r="J1273" s="23" t="str">
        <f aca="false">IF(A1273="","",IF(F1273="Inactivo","No","Sí"))</f>
        <v/>
      </c>
      <c r="K1273" s="23" t="str">
        <f aca="false">IF(A1273="","",IF(AND(I1273="Sí",J1273="Sí"),"Sí","No"))</f>
        <v/>
      </c>
    </row>
    <row r="1274" customFormat="false" ht="15" hidden="false" customHeight="false" outlineLevel="0" collapsed="false">
      <c r="A1274" s="22"/>
      <c r="B1274" s="22"/>
      <c r="C1274" s="26" t="str">
        <f aca="false">IF(A1274="","",IFERROR(buscarx(A1274&amp;B1274,DATA!$E$3:$E$10000&amp;DATA!$B$3:$B$10000,DATA!$M$3:$M$10000),"No encontrado"))</f>
        <v/>
      </c>
      <c r="D1274" s="27" t="str">
        <f aca="false">IF(A1274="","",IFERROR(buscarx(A1274&amp;B1274,DATA!$E$3:$E$10000&amp;DATA!$B$3:$B$10000,DATA!$W$3:$W$10000),"No encontrado"))</f>
        <v/>
      </c>
      <c r="E1274" s="22"/>
      <c r="F1274" s="26" t="str">
        <f aca="false">IF(A1274="","",IFERROR(buscarx(A1274&amp;E1274,DATA!$E$3:$E$10000&amp;DATA!$B$3:$B$10000,DATA!$M$3:$M$10000),"Inactivo"))</f>
        <v/>
      </c>
      <c r="G1274" s="28" t="str">
        <f aca="false">IF(A1274="","",IF(AND(C1274&lt;&gt;"No encontrado",F1274&lt;&gt;"Inactivo"),C1274&amp;" → "&amp;F1274,"Sin transición"))</f>
        <v/>
      </c>
      <c r="H1274" s="26" t="str">
        <f aca="false">IF(A1274="","",IF(D1274="GCIA LINEA SERVICIO DIGITALIDAD Y VENTAS","Chats",IF(OR(D1274="GERENCIA INBOUND LÍNEAS SERVICIO Y VENTA",D1274="GERENCIA INBOUND LINEAS ESPECIALIZADAS"),"Llamadas","Otro")))</f>
        <v/>
      </c>
      <c r="I1274" s="26" t="str">
        <f aca="false">IF(A1274="","",IF(C1274="No encontrado","No","Sí"))</f>
        <v/>
      </c>
      <c r="J1274" s="26" t="str">
        <f aca="false">IF(A1274="","",IF(F1274="Inactivo","No","Sí"))</f>
        <v/>
      </c>
      <c r="K1274" s="26" t="str">
        <f aca="false">IF(A1274="","",IF(AND(I1274="Sí",J1274="Sí"),"Sí","No"))</f>
        <v/>
      </c>
    </row>
    <row r="1275" customFormat="false" ht="15" hidden="false" customHeight="false" outlineLevel="0" collapsed="false">
      <c r="A1275" s="22"/>
      <c r="B1275" s="22"/>
      <c r="C1275" s="23" t="str">
        <f aca="false">IF(A1275="","",IFERROR(buscarx(A1275&amp;B1275,DATA!$E$3:$E$10000&amp;DATA!$B$3:$B$10000,DATA!$M$3:$M$10000),"No encontrado"))</f>
        <v/>
      </c>
      <c r="D1275" s="24" t="str">
        <f aca="false">IF(A1275="","",IFERROR(buscarx(A1275&amp;B1275,DATA!$E$3:$E$10000&amp;DATA!$B$3:$B$10000,DATA!$W$3:$W$10000),"No encontrado"))</f>
        <v/>
      </c>
      <c r="E1275" s="22"/>
      <c r="F1275" s="23" t="str">
        <f aca="false">IF(A1275="","",IFERROR(buscarx(A1275&amp;E1275,DATA!$E$3:$E$10000&amp;DATA!$B$3:$B$10000,DATA!$M$3:$M$10000),"Inactivo"))</f>
        <v/>
      </c>
      <c r="G1275" s="25" t="str">
        <f aca="false">IF(A1275="","",IF(AND(C1275&lt;&gt;"No encontrado",F1275&lt;&gt;"Inactivo"),C1275&amp;" → "&amp;F1275,"Sin transición"))</f>
        <v/>
      </c>
      <c r="H1275" s="23" t="str">
        <f aca="false">IF(A1275="","",IF(D1275="GCIA LINEA SERVICIO DIGITALIDAD Y VENTAS","Chats",IF(OR(D1275="GERENCIA INBOUND LÍNEAS SERVICIO Y VENTA",D1275="GERENCIA INBOUND LINEAS ESPECIALIZADAS"),"Llamadas","Otro")))</f>
        <v/>
      </c>
      <c r="I1275" s="23" t="str">
        <f aca="false">IF(A1275="","",IF(C1275="No encontrado","No","Sí"))</f>
        <v/>
      </c>
      <c r="J1275" s="23" t="str">
        <f aca="false">IF(A1275="","",IF(F1275="Inactivo","No","Sí"))</f>
        <v/>
      </c>
      <c r="K1275" s="23" t="str">
        <f aca="false">IF(A1275="","",IF(AND(I1275="Sí",J1275="Sí"),"Sí","No"))</f>
        <v/>
      </c>
    </row>
    <row r="1276" customFormat="false" ht="15" hidden="false" customHeight="false" outlineLevel="0" collapsed="false">
      <c r="A1276" s="22"/>
      <c r="B1276" s="22"/>
      <c r="C1276" s="26" t="str">
        <f aca="false">IF(A1276="","",IFERROR(buscarx(A1276&amp;B1276,DATA!$E$3:$E$10000&amp;DATA!$B$3:$B$10000,DATA!$M$3:$M$10000),"No encontrado"))</f>
        <v/>
      </c>
      <c r="D1276" s="27" t="str">
        <f aca="false">IF(A1276="","",IFERROR(buscarx(A1276&amp;B1276,DATA!$E$3:$E$10000&amp;DATA!$B$3:$B$10000,DATA!$W$3:$W$10000),"No encontrado"))</f>
        <v/>
      </c>
      <c r="E1276" s="22"/>
      <c r="F1276" s="26" t="str">
        <f aca="false">IF(A1276="","",IFERROR(buscarx(A1276&amp;E1276,DATA!$E$3:$E$10000&amp;DATA!$B$3:$B$10000,DATA!$M$3:$M$10000),"Inactivo"))</f>
        <v/>
      </c>
      <c r="G1276" s="28" t="str">
        <f aca="false">IF(A1276="","",IF(AND(C1276&lt;&gt;"No encontrado",F1276&lt;&gt;"Inactivo"),C1276&amp;" → "&amp;F1276,"Sin transición"))</f>
        <v/>
      </c>
      <c r="H1276" s="26" t="str">
        <f aca="false">IF(A1276="","",IF(D1276="GCIA LINEA SERVICIO DIGITALIDAD Y VENTAS","Chats",IF(OR(D1276="GERENCIA INBOUND LÍNEAS SERVICIO Y VENTA",D1276="GERENCIA INBOUND LINEAS ESPECIALIZADAS"),"Llamadas","Otro")))</f>
        <v/>
      </c>
      <c r="I1276" s="26" t="str">
        <f aca="false">IF(A1276="","",IF(C1276="No encontrado","No","Sí"))</f>
        <v/>
      </c>
      <c r="J1276" s="26" t="str">
        <f aca="false">IF(A1276="","",IF(F1276="Inactivo","No","Sí"))</f>
        <v/>
      </c>
      <c r="K1276" s="26" t="str">
        <f aca="false">IF(A1276="","",IF(AND(I1276="Sí",J1276="Sí"),"Sí","No"))</f>
        <v/>
      </c>
    </row>
    <row r="1277" customFormat="false" ht="15" hidden="false" customHeight="false" outlineLevel="0" collapsed="false">
      <c r="A1277" s="22"/>
      <c r="B1277" s="22"/>
      <c r="C1277" s="23" t="str">
        <f aca="false">IF(A1277="","",IFERROR(buscarx(A1277&amp;B1277,DATA!$E$3:$E$10000&amp;DATA!$B$3:$B$10000,DATA!$M$3:$M$10000),"No encontrado"))</f>
        <v/>
      </c>
      <c r="D1277" s="24" t="str">
        <f aca="false">IF(A1277="","",IFERROR(buscarx(A1277&amp;B1277,DATA!$E$3:$E$10000&amp;DATA!$B$3:$B$10000,DATA!$W$3:$W$10000),"No encontrado"))</f>
        <v/>
      </c>
      <c r="E1277" s="22"/>
      <c r="F1277" s="23" t="str">
        <f aca="false">IF(A1277="","",IFERROR(buscarx(A1277&amp;E1277,DATA!$E$3:$E$10000&amp;DATA!$B$3:$B$10000,DATA!$M$3:$M$10000),"Inactivo"))</f>
        <v/>
      </c>
      <c r="G1277" s="25" t="str">
        <f aca="false">IF(A1277="","",IF(AND(C1277&lt;&gt;"No encontrado",F1277&lt;&gt;"Inactivo"),C1277&amp;" → "&amp;F1277,"Sin transición"))</f>
        <v/>
      </c>
      <c r="H1277" s="23" t="str">
        <f aca="false">IF(A1277="","",IF(D1277="GCIA LINEA SERVICIO DIGITALIDAD Y VENTAS","Chats",IF(OR(D1277="GERENCIA INBOUND LÍNEAS SERVICIO Y VENTA",D1277="GERENCIA INBOUND LINEAS ESPECIALIZADAS"),"Llamadas","Otro")))</f>
        <v/>
      </c>
      <c r="I1277" s="23" t="str">
        <f aca="false">IF(A1277="","",IF(C1277="No encontrado","No","Sí"))</f>
        <v/>
      </c>
      <c r="J1277" s="23" t="str">
        <f aca="false">IF(A1277="","",IF(F1277="Inactivo","No","Sí"))</f>
        <v/>
      </c>
      <c r="K1277" s="23" t="str">
        <f aca="false">IF(A1277="","",IF(AND(I1277="Sí",J1277="Sí"),"Sí","No"))</f>
        <v/>
      </c>
    </row>
    <row r="1278" customFormat="false" ht="15" hidden="false" customHeight="false" outlineLevel="0" collapsed="false">
      <c r="A1278" s="22"/>
      <c r="B1278" s="22"/>
      <c r="C1278" s="26" t="str">
        <f aca="false">IF(A1278="","",IFERROR(buscarx(A1278&amp;B1278,DATA!$E$3:$E$10000&amp;DATA!$B$3:$B$10000,DATA!$M$3:$M$10000),"No encontrado"))</f>
        <v/>
      </c>
      <c r="D1278" s="27" t="str">
        <f aca="false">IF(A1278="","",IFERROR(buscarx(A1278&amp;B1278,DATA!$E$3:$E$10000&amp;DATA!$B$3:$B$10000,DATA!$W$3:$W$10000),"No encontrado"))</f>
        <v/>
      </c>
      <c r="E1278" s="22"/>
      <c r="F1278" s="26" t="str">
        <f aca="false">IF(A1278="","",IFERROR(buscarx(A1278&amp;E1278,DATA!$E$3:$E$10000&amp;DATA!$B$3:$B$10000,DATA!$M$3:$M$10000),"Inactivo"))</f>
        <v/>
      </c>
      <c r="G1278" s="28" t="str">
        <f aca="false">IF(A1278="","",IF(AND(C1278&lt;&gt;"No encontrado",F1278&lt;&gt;"Inactivo"),C1278&amp;" → "&amp;F1278,"Sin transición"))</f>
        <v/>
      </c>
      <c r="H1278" s="26" t="str">
        <f aca="false">IF(A1278="","",IF(D1278="GCIA LINEA SERVICIO DIGITALIDAD Y VENTAS","Chats",IF(OR(D1278="GERENCIA INBOUND LÍNEAS SERVICIO Y VENTA",D1278="GERENCIA INBOUND LINEAS ESPECIALIZADAS"),"Llamadas","Otro")))</f>
        <v/>
      </c>
      <c r="I1278" s="26" t="str">
        <f aca="false">IF(A1278="","",IF(C1278="No encontrado","No","Sí"))</f>
        <v/>
      </c>
      <c r="J1278" s="26" t="str">
        <f aca="false">IF(A1278="","",IF(F1278="Inactivo","No","Sí"))</f>
        <v/>
      </c>
      <c r="K1278" s="26" t="str">
        <f aca="false">IF(A1278="","",IF(AND(I1278="Sí",J1278="Sí"),"Sí","No"))</f>
        <v/>
      </c>
    </row>
    <row r="1279" customFormat="false" ht="15" hidden="false" customHeight="false" outlineLevel="0" collapsed="false">
      <c r="A1279" s="22"/>
      <c r="B1279" s="22"/>
      <c r="C1279" s="23" t="str">
        <f aca="false">IF(A1279="","",IFERROR(buscarx(A1279&amp;B1279,DATA!$E$3:$E$10000&amp;DATA!$B$3:$B$10000,DATA!$M$3:$M$10000),"No encontrado"))</f>
        <v/>
      </c>
      <c r="D1279" s="24" t="str">
        <f aca="false">IF(A1279="","",IFERROR(buscarx(A1279&amp;B1279,DATA!$E$3:$E$10000&amp;DATA!$B$3:$B$10000,DATA!$W$3:$W$10000),"No encontrado"))</f>
        <v/>
      </c>
      <c r="E1279" s="22"/>
      <c r="F1279" s="23" t="str">
        <f aca="false">IF(A1279="","",IFERROR(buscarx(A1279&amp;E1279,DATA!$E$3:$E$10000&amp;DATA!$B$3:$B$10000,DATA!$M$3:$M$10000),"Inactivo"))</f>
        <v/>
      </c>
      <c r="G1279" s="25" t="str">
        <f aca="false">IF(A1279="","",IF(AND(C1279&lt;&gt;"No encontrado",F1279&lt;&gt;"Inactivo"),C1279&amp;" → "&amp;F1279,"Sin transición"))</f>
        <v/>
      </c>
      <c r="H1279" s="23" t="str">
        <f aca="false">IF(A1279="","",IF(D1279="GCIA LINEA SERVICIO DIGITALIDAD Y VENTAS","Chats",IF(OR(D1279="GERENCIA INBOUND LÍNEAS SERVICIO Y VENTA",D1279="GERENCIA INBOUND LINEAS ESPECIALIZADAS"),"Llamadas","Otro")))</f>
        <v/>
      </c>
      <c r="I1279" s="23" t="str">
        <f aca="false">IF(A1279="","",IF(C1279="No encontrado","No","Sí"))</f>
        <v/>
      </c>
      <c r="J1279" s="23" t="str">
        <f aca="false">IF(A1279="","",IF(F1279="Inactivo","No","Sí"))</f>
        <v/>
      </c>
      <c r="K1279" s="23" t="str">
        <f aca="false">IF(A1279="","",IF(AND(I1279="Sí",J1279="Sí"),"Sí","No"))</f>
        <v/>
      </c>
    </row>
    <row r="1280" customFormat="false" ht="15" hidden="false" customHeight="false" outlineLevel="0" collapsed="false">
      <c r="A1280" s="22"/>
      <c r="B1280" s="22"/>
      <c r="C1280" s="26" t="str">
        <f aca="false">IF(A1280="","",IFERROR(buscarx(A1280&amp;B1280,DATA!$E$3:$E$10000&amp;DATA!$B$3:$B$10000,DATA!$M$3:$M$10000),"No encontrado"))</f>
        <v/>
      </c>
      <c r="D1280" s="27" t="str">
        <f aca="false">IF(A1280="","",IFERROR(buscarx(A1280&amp;B1280,DATA!$E$3:$E$10000&amp;DATA!$B$3:$B$10000,DATA!$W$3:$W$10000),"No encontrado"))</f>
        <v/>
      </c>
      <c r="E1280" s="22"/>
      <c r="F1280" s="26" t="str">
        <f aca="false">IF(A1280="","",IFERROR(buscarx(A1280&amp;E1280,DATA!$E$3:$E$10000&amp;DATA!$B$3:$B$10000,DATA!$M$3:$M$10000),"Inactivo"))</f>
        <v/>
      </c>
      <c r="G1280" s="28" t="str">
        <f aca="false">IF(A1280="","",IF(AND(C1280&lt;&gt;"No encontrado",F1280&lt;&gt;"Inactivo"),C1280&amp;" → "&amp;F1280,"Sin transición"))</f>
        <v/>
      </c>
      <c r="H1280" s="26" t="str">
        <f aca="false">IF(A1280="","",IF(D1280="GCIA LINEA SERVICIO DIGITALIDAD Y VENTAS","Chats",IF(OR(D1280="GERENCIA INBOUND LÍNEAS SERVICIO Y VENTA",D1280="GERENCIA INBOUND LINEAS ESPECIALIZADAS"),"Llamadas","Otro")))</f>
        <v/>
      </c>
      <c r="I1280" s="26" t="str">
        <f aca="false">IF(A1280="","",IF(C1280="No encontrado","No","Sí"))</f>
        <v/>
      </c>
      <c r="J1280" s="26" t="str">
        <f aca="false">IF(A1280="","",IF(F1280="Inactivo","No","Sí"))</f>
        <v/>
      </c>
      <c r="K1280" s="26" t="str">
        <f aca="false">IF(A1280="","",IF(AND(I1280="Sí",J1280="Sí"),"Sí","No"))</f>
        <v/>
      </c>
    </row>
    <row r="1281" customFormat="false" ht="15" hidden="false" customHeight="false" outlineLevel="0" collapsed="false">
      <c r="A1281" s="22"/>
      <c r="B1281" s="22"/>
      <c r="C1281" s="23" t="str">
        <f aca="false">IF(A1281="","",IFERROR(buscarx(A1281&amp;B1281,DATA!$E$3:$E$10000&amp;DATA!$B$3:$B$10000,DATA!$M$3:$M$10000),"No encontrado"))</f>
        <v/>
      </c>
      <c r="D1281" s="24" t="str">
        <f aca="false">IF(A1281="","",IFERROR(buscarx(A1281&amp;B1281,DATA!$E$3:$E$10000&amp;DATA!$B$3:$B$10000,DATA!$W$3:$W$10000),"No encontrado"))</f>
        <v/>
      </c>
      <c r="E1281" s="22"/>
      <c r="F1281" s="23" t="str">
        <f aca="false">IF(A1281="","",IFERROR(buscarx(A1281&amp;E1281,DATA!$E$3:$E$10000&amp;DATA!$B$3:$B$10000,DATA!$M$3:$M$10000),"Inactivo"))</f>
        <v/>
      </c>
      <c r="G1281" s="25" t="str">
        <f aca="false">IF(A1281="","",IF(AND(C1281&lt;&gt;"No encontrado",F1281&lt;&gt;"Inactivo"),C1281&amp;" → "&amp;F1281,"Sin transición"))</f>
        <v/>
      </c>
      <c r="H1281" s="23" t="str">
        <f aca="false">IF(A1281="","",IF(D1281="GCIA LINEA SERVICIO DIGITALIDAD Y VENTAS","Chats",IF(OR(D1281="GERENCIA INBOUND LÍNEAS SERVICIO Y VENTA",D1281="GERENCIA INBOUND LINEAS ESPECIALIZADAS"),"Llamadas","Otro")))</f>
        <v/>
      </c>
      <c r="I1281" s="23" t="str">
        <f aca="false">IF(A1281="","",IF(C1281="No encontrado","No","Sí"))</f>
        <v/>
      </c>
      <c r="J1281" s="23" t="str">
        <f aca="false">IF(A1281="","",IF(F1281="Inactivo","No","Sí"))</f>
        <v/>
      </c>
      <c r="K1281" s="23" t="str">
        <f aca="false">IF(A1281="","",IF(AND(I1281="Sí",J1281="Sí"),"Sí","No"))</f>
        <v/>
      </c>
    </row>
    <row r="1282" customFormat="false" ht="15" hidden="false" customHeight="false" outlineLevel="0" collapsed="false">
      <c r="A1282" s="22"/>
      <c r="B1282" s="22"/>
      <c r="C1282" s="26" t="str">
        <f aca="false">IF(A1282="","",IFERROR(buscarx(A1282&amp;B1282,DATA!$E$3:$E$10000&amp;DATA!$B$3:$B$10000,DATA!$M$3:$M$10000),"No encontrado"))</f>
        <v/>
      </c>
      <c r="D1282" s="27" t="str">
        <f aca="false">IF(A1282="","",IFERROR(buscarx(A1282&amp;B1282,DATA!$E$3:$E$10000&amp;DATA!$B$3:$B$10000,DATA!$W$3:$W$10000),"No encontrado"))</f>
        <v/>
      </c>
      <c r="E1282" s="22"/>
      <c r="F1282" s="26" t="str">
        <f aca="false">IF(A1282="","",IFERROR(buscarx(A1282&amp;E1282,DATA!$E$3:$E$10000&amp;DATA!$B$3:$B$10000,DATA!$M$3:$M$10000),"Inactivo"))</f>
        <v/>
      </c>
      <c r="G1282" s="28" t="str">
        <f aca="false">IF(A1282="","",IF(AND(C1282&lt;&gt;"No encontrado",F1282&lt;&gt;"Inactivo"),C1282&amp;" → "&amp;F1282,"Sin transición"))</f>
        <v/>
      </c>
      <c r="H1282" s="26" t="str">
        <f aca="false">IF(A1282="","",IF(D1282="GCIA LINEA SERVICIO DIGITALIDAD Y VENTAS","Chats",IF(OR(D1282="GERENCIA INBOUND LÍNEAS SERVICIO Y VENTA",D1282="GERENCIA INBOUND LINEAS ESPECIALIZADAS"),"Llamadas","Otro")))</f>
        <v/>
      </c>
      <c r="I1282" s="26" t="str">
        <f aca="false">IF(A1282="","",IF(C1282="No encontrado","No","Sí"))</f>
        <v/>
      </c>
      <c r="J1282" s="26" t="str">
        <f aca="false">IF(A1282="","",IF(F1282="Inactivo","No","Sí"))</f>
        <v/>
      </c>
      <c r="K1282" s="26" t="str">
        <f aca="false">IF(A1282="","",IF(AND(I1282="Sí",J1282="Sí"),"Sí","No"))</f>
        <v/>
      </c>
    </row>
    <row r="1283" customFormat="false" ht="15" hidden="false" customHeight="false" outlineLevel="0" collapsed="false">
      <c r="A1283" s="22"/>
      <c r="B1283" s="22"/>
      <c r="C1283" s="23" t="str">
        <f aca="false">IF(A1283="","",IFERROR(buscarx(A1283&amp;B1283,DATA!$E$3:$E$10000&amp;DATA!$B$3:$B$10000,DATA!$M$3:$M$10000),"No encontrado"))</f>
        <v/>
      </c>
      <c r="D1283" s="24" t="str">
        <f aca="false">IF(A1283="","",IFERROR(buscarx(A1283&amp;B1283,DATA!$E$3:$E$10000&amp;DATA!$B$3:$B$10000,DATA!$W$3:$W$10000),"No encontrado"))</f>
        <v/>
      </c>
      <c r="E1283" s="22"/>
      <c r="F1283" s="23" t="str">
        <f aca="false">IF(A1283="","",IFERROR(buscarx(A1283&amp;E1283,DATA!$E$3:$E$10000&amp;DATA!$B$3:$B$10000,DATA!$M$3:$M$10000),"Inactivo"))</f>
        <v/>
      </c>
      <c r="G1283" s="25" t="str">
        <f aca="false">IF(A1283="","",IF(AND(C1283&lt;&gt;"No encontrado",F1283&lt;&gt;"Inactivo"),C1283&amp;" → "&amp;F1283,"Sin transición"))</f>
        <v/>
      </c>
      <c r="H1283" s="23" t="str">
        <f aca="false">IF(A1283="","",IF(D1283="GCIA LINEA SERVICIO DIGITALIDAD Y VENTAS","Chats",IF(OR(D1283="GERENCIA INBOUND LÍNEAS SERVICIO Y VENTA",D1283="GERENCIA INBOUND LINEAS ESPECIALIZADAS"),"Llamadas","Otro")))</f>
        <v/>
      </c>
      <c r="I1283" s="23" t="str">
        <f aca="false">IF(A1283="","",IF(C1283="No encontrado","No","Sí"))</f>
        <v/>
      </c>
      <c r="J1283" s="23" t="str">
        <f aca="false">IF(A1283="","",IF(F1283="Inactivo","No","Sí"))</f>
        <v/>
      </c>
      <c r="K1283" s="23" t="str">
        <f aca="false">IF(A1283="","",IF(AND(I1283="Sí",J1283="Sí"),"Sí","No"))</f>
        <v/>
      </c>
    </row>
    <row r="1284" customFormat="false" ht="15" hidden="false" customHeight="false" outlineLevel="0" collapsed="false">
      <c r="A1284" s="22"/>
      <c r="B1284" s="22"/>
      <c r="C1284" s="26" t="str">
        <f aca="false">IF(A1284="","",IFERROR(buscarx(A1284&amp;B1284,DATA!$E$3:$E$10000&amp;DATA!$B$3:$B$10000,DATA!$M$3:$M$10000),"No encontrado"))</f>
        <v/>
      </c>
      <c r="D1284" s="27" t="str">
        <f aca="false">IF(A1284="","",IFERROR(buscarx(A1284&amp;B1284,DATA!$E$3:$E$10000&amp;DATA!$B$3:$B$10000,DATA!$W$3:$W$10000),"No encontrado"))</f>
        <v/>
      </c>
      <c r="E1284" s="22"/>
      <c r="F1284" s="26" t="str">
        <f aca="false">IF(A1284="","",IFERROR(buscarx(A1284&amp;E1284,DATA!$E$3:$E$10000&amp;DATA!$B$3:$B$10000,DATA!$M$3:$M$10000),"Inactivo"))</f>
        <v/>
      </c>
      <c r="G1284" s="28" t="str">
        <f aca="false">IF(A1284="","",IF(AND(C1284&lt;&gt;"No encontrado",F1284&lt;&gt;"Inactivo"),C1284&amp;" → "&amp;F1284,"Sin transición"))</f>
        <v/>
      </c>
      <c r="H1284" s="26" t="str">
        <f aca="false">IF(A1284="","",IF(D1284="GCIA LINEA SERVICIO DIGITALIDAD Y VENTAS","Chats",IF(OR(D1284="GERENCIA INBOUND LÍNEAS SERVICIO Y VENTA",D1284="GERENCIA INBOUND LINEAS ESPECIALIZADAS"),"Llamadas","Otro")))</f>
        <v/>
      </c>
      <c r="I1284" s="26" t="str">
        <f aca="false">IF(A1284="","",IF(C1284="No encontrado","No","Sí"))</f>
        <v/>
      </c>
      <c r="J1284" s="26" t="str">
        <f aca="false">IF(A1284="","",IF(F1284="Inactivo","No","Sí"))</f>
        <v/>
      </c>
      <c r="K1284" s="26" t="str">
        <f aca="false">IF(A1284="","",IF(AND(I1284="Sí",J1284="Sí"),"Sí","No"))</f>
        <v/>
      </c>
    </row>
    <row r="1285" customFormat="false" ht="15" hidden="false" customHeight="false" outlineLevel="0" collapsed="false">
      <c r="A1285" s="22"/>
      <c r="B1285" s="22"/>
      <c r="C1285" s="23" t="str">
        <f aca="false">IF(A1285="","",IFERROR(buscarx(A1285&amp;B1285,DATA!$E$3:$E$10000&amp;DATA!$B$3:$B$10000,DATA!$M$3:$M$10000),"No encontrado"))</f>
        <v/>
      </c>
      <c r="D1285" s="24" t="str">
        <f aca="false">IF(A1285="","",IFERROR(buscarx(A1285&amp;B1285,DATA!$E$3:$E$10000&amp;DATA!$B$3:$B$10000,DATA!$W$3:$W$10000),"No encontrado"))</f>
        <v/>
      </c>
      <c r="E1285" s="22"/>
      <c r="F1285" s="23" t="str">
        <f aca="false">IF(A1285="","",IFERROR(buscarx(A1285&amp;E1285,DATA!$E$3:$E$10000&amp;DATA!$B$3:$B$10000,DATA!$M$3:$M$10000),"Inactivo"))</f>
        <v/>
      </c>
      <c r="G1285" s="25" t="str">
        <f aca="false">IF(A1285="","",IF(AND(C1285&lt;&gt;"No encontrado",F1285&lt;&gt;"Inactivo"),C1285&amp;" → "&amp;F1285,"Sin transición"))</f>
        <v/>
      </c>
      <c r="H1285" s="23" t="str">
        <f aca="false">IF(A1285="","",IF(D1285="GCIA LINEA SERVICIO DIGITALIDAD Y VENTAS","Chats",IF(OR(D1285="GERENCIA INBOUND LÍNEAS SERVICIO Y VENTA",D1285="GERENCIA INBOUND LINEAS ESPECIALIZADAS"),"Llamadas","Otro")))</f>
        <v/>
      </c>
      <c r="I1285" s="23" t="str">
        <f aca="false">IF(A1285="","",IF(C1285="No encontrado","No","Sí"))</f>
        <v/>
      </c>
      <c r="J1285" s="23" t="str">
        <f aca="false">IF(A1285="","",IF(F1285="Inactivo","No","Sí"))</f>
        <v/>
      </c>
      <c r="K1285" s="23" t="str">
        <f aca="false">IF(A1285="","",IF(AND(I1285="Sí",J1285="Sí"),"Sí","No"))</f>
        <v/>
      </c>
    </row>
    <row r="1286" customFormat="false" ht="15" hidden="false" customHeight="false" outlineLevel="0" collapsed="false">
      <c r="A1286" s="22"/>
      <c r="B1286" s="22"/>
      <c r="C1286" s="26" t="str">
        <f aca="false">IF(A1286="","",IFERROR(buscarx(A1286&amp;B1286,DATA!$E$3:$E$10000&amp;DATA!$B$3:$B$10000,DATA!$M$3:$M$10000),"No encontrado"))</f>
        <v/>
      </c>
      <c r="D1286" s="27" t="str">
        <f aca="false">IF(A1286="","",IFERROR(buscarx(A1286&amp;B1286,DATA!$E$3:$E$10000&amp;DATA!$B$3:$B$10000,DATA!$W$3:$W$10000),"No encontrado"))</f>
        <v/>
      </c>
      <c r="E1286" s="22"/>
      <c r="F1286" s="26" t="str">
        <f aca="false">IF(A1286="","",IFERROR(buscarx(A1286&amp;E1286,DATA!$E$3:$E$10000&amp;DATA!$B$3:$B$10000,DATA!$M$3:$M$10000),"Inactivo"))</f>
        <v/>
      </c>
      <c r="G1286" s="28" t="str">
        <f aca="false">IF(A1286="","",IF(AND(C1286&lt;&gt;"No encontrado",F1286&lt;&gt;"Inactivo"),C1286&amp;" → "&amp;F1286,"Sin transición"))</f>
        <v/>
      </c>
      <c r="H1286" s="26" t="str">
        <f aca="false">IF(A1286="","",IF(D1286="GCIA LINEA SERVICIO DIGITALIDAD Y VENTAS","Chats",IF(OR(D1286="GERENCIA INBOUND LÍNEAS SERVICIO Y VENTA",D1286="GERENCIA INBOUND LINEAS ESPECIALIZADAS"),"Llamadas","Otro")))</f>
        <v/>
      </c>
      <c r="I1286" s="26" t="str">
        <f aca="false">IF(A1286="","",IF(C1286="No encontrado","No","Sí"))</f>
        <v/>
      </c>
      <c r="J1286" s="26" t="str">
        <f aca="false">IF(A1286="","",IF(F1286="Inactivo","No","Sí"))</f>
        <v/>
      </c>
      <c r="K1286" s="26" t="str">
        <f aca="false">IF(A1286="","",IF(AND(I1286="Sí",J1286="Sí"),"Sí","No"))</f>
        <v/>
      </c>
    </row>
    <row r="1287" customFormat="false" ht="15" hidden="false" customHeight="false" outlineLevel="0" collapsed="false">
      <c r="A1287" s="22"/>
      <c r="B1287" s="22"/>
      <c r="C1287" s="23" t="str">
        <f aca="false">IF(A1287="","",IFERROR(buscarx(A1287&amp;B1287,DATA!$E$3:$E$10000&amp;DATA!$B$3:$B$10000,DATA!$M$3:$M$10000),"No encontrado"))</f>
        <v/>
      </c>
      <c r="D1287" s="24" t="str">
        <f aca="false">IF(A1287="","",IFERROR(buscarx(A1287&amp;B1287,DATA!$E$3:$E$10000&amp;DATA!$B$3:$B$10000,DATA!$W$3:$W$10000),"No encontrado"))</f>
        <v/>
      </c>
      <c r="E1287" s="22"/>
      <c r="F1287" s="23" t="str">
        <f aca="false">IF(A1287="","",IFERROR(buscarx(A1287&amp;E1287,DATA!$E$3:$E$10000&amp;DATA!$B$3:$B$10000,DATA!$M$3:$M$10000),"Inactivo"))</f>
        <v/>
      </c>
      <c r="G1287" s="25" t="str">
        <f aca="false">IF(A1287="","",IF(AND(C1287&lt;&gt;"No encontrado",F1287&lt;&gt;"Inactivo"),C1287&amp;" → "&amp;F1287,"Sin transición"))</f>
        <v/>
      </c>
      <c r="H1287" s="23" t="str">
        <f aca="false">IF(A1287="","",IF(D1287="GCIA LINEA SERVICIO DIGITALIDAD Y VENTAS","Chats",IF(OR(D1287="GERENCIA INBOUND LÍNEAS SERVICIO Y VENTA",D1287="GERENCIA INBOUND LINEAS ESPECIALIZADAS"),"Llamadas","Otro")))</f>
        <v/>
      </c>
      <c r="I1287" s="23" t="str">
        <f aca="false">IF(A1287="","",IF(C1287="No encontrado","No","Sí"))</f>
        <v/>
      </c>
      <c r="J1287" s="23" t="str">
        <f aca="false">IF(A1287="","",IF(F1287="Inactivo","No","Sí"))</f>
        <v/>
      </c>
      <c r="K1287" s="23" t="str">
        <f aca="false">IF(A1287="","",IF(AND(I1287="Sí",J1287="Sí"),"Sí","No"))</f>
        <v/>
      </c>
    </row>
    <row r="1288" customFormat="false" ht="15" hidden="false" customHeight="false" outlineLevel="0" collapsed="false">
      <c r="A1288" s="22"/>
      <c r="B1288" s="22"/>
      <c r="C1288" s="26" t="str">
        <f aca="false">IF(A1288="","",IFERROR(buscarx(A1288&amp;B1288,DATA!$E$3:$E$10000&amp;DATA!$B$3:$B$10000,DATA!$M$3:$M$10000),"No encontrado"))</f>
        <v/>
      </c>
      <c r="D1288" s="27" t="str">
        <f aca="false">IF(A1288="","",IFERROR(buscarx(A1288&amp;B1288,DATA!$E$3:$E$10000&amp;DATA!$B$3:$B$10000,DATA!$W$3:$W$10000),"No encontrado"))</f>
        <v/>
      </c>
      <c r="E1288" s="22"/>
      <c r="F1288" s="26" t="str">
        <f aca="false">IF(A1288="","",IFERROR(buscarx(A1288&amp;E1288,DATA!$E$3:$E$10000&amp;DATA!$B$3:$B$10000,DATA!$M$3:$M$10000),"Inactivo"))</f>
        <v/>
      </c>
      <c r="G1288" s="28" t="str">
        <f aca="false">IF(A1288="","",IF(AND(C1288&lt;&gt;"No encontrado",F1288&lt;&gt;"Inactivo"),C1288&amp;" → "&amp;F1288,"Sin transición"))</f>
        <v/>
      </c>
      <c r="H1288" s="26" t="str">
        <f aca="false">IF(A1288="","",IF(D1288="GCIA LINEA SERVICIO DIGITALIDAD Y VENTAS","Chats",IF(OR(D1288="GERENCIA INBOUND LÍNEAS SERVICIO Y VENTA",D1288="GERENCIA INBOUND LINEAS ESPECIALIZADAS"),"Llamadas","Otro")))</f>
        <v/>
      </c>
      <c r="I1288" s="26" t="str">
        <f aca="false">IF(A1288="","",IF(C1288="No encontrado","No","Sí"))</f>
        <v/>
      </c>
      <c r="J1288" s="26" t="str">
        <f aca="false">IF(A1288="","",IF(F1288="Inactivo","No","Sí"))</f>
        <v/>
      </c>
      <c r="K1288" s="26" t="str">
        <f aca="false">IF(A1288="","",IF(AND(I1288="Sí",J1288="Sí"),"Sí","No"))</f>
        <v/>
      </c>
    </row>
    <row r="1289" customFormat="false" ht="15" hidden="false" customHeight="false" outlineLevel="0" collapsed="false">
      <c r="A1289" s="22"/>
      <c r="B1289" s="22"/>
      <c r="C1289" s="23" t="str">
        <f aca="false">IF(A1289="","",IFERROR(buscarx(A1289&amp;B1289,DATA!$E$3:$E$10000&amp;DATA!$B$3:$B$10000,DATA!$M$3:$M$10000),"No encontrado"))</f>
        <v/>
      </c>
      <c r="D1289" s="24" t="str">
        <f aca="false">IF(A1289="","",IFERROR(buscarx(A1289&amp;B1289,DATA!$E$3:$E$10000&amp;DATA!$B$3:$B$10000,DATA!$W$3:$W$10000),"No encontrado"))</f>
        <v/>
      </c>
      <c r="E1289" s="22"/>
      <c r="F1289" s="23" t="str">
        <f aca="false">IF(A1289="","",IFERROR(buscarx(A1289&amp;E1289,DATA!$E$3:$E$10000&amp;DATA!$B$3:$B$10000,DATA!$M$3:$M$10000),"Inactivo"))</f>
        <v/>
      </c>
      <c r="G1289" s="25" t="str">
        <f aca="false">IF(A1289="","",IF(AND(C1289&lt;&gt;"No encontrado",F1289&lt;&gt;"Inactivo"),C1289&amp;" → "&amp;F1289,"Sin transición"))</f>
        <v/>
      </c>
      <c r="H1289" s="23" t="str">
        <f aca="false">IF(A1289="","",IF(D1289="GCIA LINEA SERVICIO DIGITALIDAD Y VENTAS","Chats",IF(OR(D1289="GERENCIA INBOUND LÍNEAS SERVICIO Y VENTA",D1289="GERENCIA INBOUND LINEAS ESPECIALIZADAS"),"Llamadas","Otro")))</f>
        <v/>
      </c>
      <c r="I1289" s="23" t="str">
        <f aca="false">IF(A1289="","",IF(C1289="No encontrado","No","Sí"))</f>
        <v/>
      </c>
      <c r="J1289" s="23" t="str">
        <f aca="false">IF(A1289="","",IF(F1289="Inactivo","No","Sí"))</f>
        <v/>
      </c>
      <c r="K1289" s="23" t="str">
        <f aca="false">IF(A1289="","",IF(AND(I1289="Sí",J1289="Sí"),"Sí","No"))</f>
        <v/>
      </c>
    </row>
    <row r="1290" customFormat="false" ht="15" hidden="false" customHeight="false" outlineLevel="0" collapsed="false">
      <c r="A1290" s="22"/>
      <c r="B1290" s="22"/>
      <c r="C1290" s="26" t="str">
        <f aca="false">IF(A1290="","",IFERROR(buscarx(A1290&amp;B1290,DATA!$E$3:$E$10000&amp;DATA!$B$3:$B$10000,DATA!$M$3:$M$10000),"No encontrado"))</f>
        <v/>
      </c>
      <c r="D1290" s="27" t="str">
        <f aca="false">IF(A1290="","",IFERROR(buscarx(A1290&amp;B1290,DATA!$E$3:$E$10000&amp;DATA!$B$3:$B$10000,DATA!$W$3:$W$10000),"No encontrado"))</f>
        <v/>
      </c>
      <c r="E1290" s="22"/>
      <c r="F1290" s="26" t="str">
        <f aca="false">IF(A1290="","",IFERROR(buscarx(A1290&amp;E1290,DATA!$E$3:$E$10000&amp;DATA!$B$3:$B$10000,DATA!$M$3:$M$10000),"Inactivo"))</f>
        <v/>
      </c>
      <c r="G1290" s="28" t="str">
        <f aca="false">IF(A1290="","",IF(AND(C1290&lt;&gt;"No encontrado",F1290&lt;&gt;"Inactivo"),C1290&amp;" → "&amp;F1290,"Sin transición"))</f>
        <v/>
      </c>
      <c r="H1290" s="26" t="str">
        <f aca="false">IF(A1290="","",IF(D1290="GCIA LINEA SERVICIO DIGITALIDAD Y VENTAS","Chats",IF(OR(D1290="GERENCIA INBOUND LÍNEAS SERVICIO Y VENTA",D1290="GERENCIA INBOUND LINEAS ESPECIALIZADAS"),"Llamadas","Otro")))</f>
        <v/>
      </c>
      <c r="I1290" s="26" t="str">
        <f aca="false">IF(A1290="","",IF(C1290="No encontrado","No","Sí"))</f>
        <v/>
      </c>
      <c r="J1290" s="26" t="str">
        <f aca="false">IF(A1290="","",IF(F1290="Inactivo","No","Sí"))</f>
        <v/>
      </c>
      <c r="K1290" s="26" t="str">
        <f aca="false">IF(A1290="","",IF(AND(I1290="Sí",J1290="Sí"),"Sí","No"))</f>
        <v/>
      </c>
    </row>
    <row r="1291" customFormat="false" ht="15" hidden="false" customHeight="false" outlineLevel="0" collapsed="false">
      <c r="A1291" s="22"/>
      <c r="B1291" s="22"/>
      <c r="C1291" s="23" t="str">
        <f aca="false">IF(A1291="","",IFERROR(buscarx(A1291&amp;B1291,DATA!$E$3:$E$10000&amp;DATA!$B$3:$B$10000,DATA!$M$3:$M$10000),"No encontrado"))</f>
        <v/>
      </c>
      <c r="D1291" s="24" t="str">
        <f aca="false">IF(A1291="","",IFERROR(buscarx(A1291&amp;B1291,DATA!$E$3:$E$10000&amp;DATA!$B$3:$B$10000,DATA!$W$3:$W$10000),"No encontrado"))</f>
        <v/>
      </c>
      <c r="E1291" s="22"/>
      <c r="F1291" s="23" t="str">
        <f aca="false">IF(A1291="","",IFERROR(buscarx(A1291&amp;E1291,DATA!$E$3:$E$10000&amp;DATA!$B$3:$B$10000,DATA!$M$3:$M$10000),"Inactivo"))</f>
        <v/>
      </c>
      <c r="G1291" s="25" t="str">
        <f aca="false">IF(A1291="","",IF(AND(C1291&lt;&gt;"No encontrado",F1291&lt;&gt;"Inactivo"),C1291&amp;" → "&amp;F1291,"Sin transición"))</f>
        <v/>
      </c>
      <c r="H1291" s="23" t="str">
        <f aca="false">IF(A1291="","",IF(D1291="GCIA LINEA SERVICIO DIGITALIDAD Y VENTAS","Chats",IF(OR(D1291="GERENCIA INBOUND LÍNEAS SERVICIO Y VENTA",D1291="GERENCIA INBOUND LINEAS ESPECIALIZADAS"),"Llamadas","Otro")))</f>
        <v/>
      </c>
      <c r="I1291" s="23" t="str">
        <f aca="false">IF(A1291="","",IF(C1291="No encontrado","No","Sí"))</f>
        <v/>
      </c>
      <c r="J1291" s="23" t="str">
        <f aca="false">IF(A1291="","",IF(F1291="Inactivo","No","Sí"))</f>
        <v/>
      </c>
      <c r="K1291" s="23" t="str">
        <f aca="false">IF(A1291="","",IF(AND(I1291="Sí",J1291="Sí"),"Sí","No"))</f>
        <v/>
      </c>
    </row>
    <row r="1292" customFormat="false" ht="15" hidden="false" customHeight="false" outlineLevel="0" collapsed="false">
      <c r="A1292" s="22"/>
      <c r="B1292" s="22"/>
      <c r="C1292" s="26" t="str">
        <f aca="false">IF(A1292="","",IFERROR(buscarx(A1292&amp;B1292,DATA!$E$3:$E$10000&amp;DATA!$B$3:$B$10000,DATA!$M$3:$M$10000),"No encontrado"))</f>
        <v/>
      </c>
      <c r="D1292" s="27" t="str">
        <f aca="false">IF(A1292="","",IFERROR(buscarx(A1292&amp;B1292,DATA!$E$3:$E$10000&amp;DATA!$B$3:$B$10000,DATA!$W$3:$W$10000),"No encontrado"))</f>
        <v/>
      </c>
      <c r="E1292" s="22"/>
      <c r="F1292" s="26" t="str">
        <f aca="false">IF(A1292="","",IFERROR(buscarx(A1292&amp;E1292,DATA!$E$3:$E$10000&amp;DATA!$B$3:$B$10000,DATA!$M$3:$M$10000),"Inactivo"))</f>
        <v/>
      </c>
      <c r="G1292" s="28" t="str">
        <f aca="false">IF(A1292="","",IF(AND(C1292&lt;&gt;"No encontrado",F1292&lt;&gt;"Inactivo"),C1292&amp;" → "&amp;F1292,"Sin transición"))</f>
        <v/>
      </c>
      <c r="H1292" s="26" t="str">
        <f aca="false">IF(A1292="","",IF(D1292="GCIA LINEA SERVICIO DIGITALIDAD Y VENTAS","Chats",IF(OR(D1292="GERENCIA INBOUND LÍNEAS SERVICIO Y VENTA",D1292="GERENCIA INBOUND LINEAS ESPECIALIZADAS"),"Llamadas","Otro")))</f>
        <v/>
      </c>
      <c r="I1292" s="26" t="str">
        <f aca="false">IF(A1292="","",IF(C1292="No encontrado","No","Sí"))</f>
        <v/>
      </c>
      <c r="J1292" s="26" t="str">
        <f aca="false">IF(A1292="","",IF(F1292="Inactivo","No","Sí"))</f>
        <v/>
      </c>
      <c r="K1292" s="26" t="str">
        <f aca="false">IF(A1292="","",IF(AND(I1292="Sí",J1292="Sí"),"Sí","No"))</f>
        <v/>
      </c>
    </row>
    <row r="1293" customFormat="false" ht="15" hidden="false" customHeight="false" outlineLevel="0" collapsed="false">
      <c r="A1293" s="22"/>
      <c r="B1293" s="22"/>
      <c r="C1293" s="23" t="str">
        <f aca="false">IF(A1293="","",IFERROR(buscarx(A1293&amp;B1293,DATA!$E$3:$E$10000&amp;DATA!$B$3:$B$10000,DATA!$M$3:$M$10000),"No encontrado"))</f>
        <v/>
      </c>
      <c r="D1293" s="24" t="str">
        <f aca="false">IF(A1293="","",IFERROR(buscarx(A1293&amp;B1293,DATA!$E$3:$E$10000&amp;DATA!$B$3:$B$10000,DATA!$W$3:$W$10000),"No encontrado"))</f>
        <v/>
      </c>
      <c r="E1293" s="22"/>
      <c r="F1293" s="23" t="str">
        <f aca="false">IF(A1293="","",IFERROR(buscarx(A1293&amp;E1293,DATA!$E$3:$E$10000&amp;DATA!$B$3:$B$10000,DATA!$M$3:$M$10000),"Inactivo"))</f>
        <v/>
      </c>
      <c r="G1293" s="25" t="str">
        <f aca="false">IF(A1293="","",IF(AND(C1293&lt;&gt;"No encontrado",F1293&lt;&gt;"Inactivo"),C1293&amp;" → "&amp;F1293,"Sin transición"))</f>
        <v/>
      </c>
      <c r="H1293" s="23" t="str">
        <f aca="false">IF(A1293="","",IF(D1293="GCIA LINEA SERVICIO DIGITALIDAD Y VENTAS","Chats",IF(OR(D1293="GERENCIA INBOUND LÍNEAS SERVICIO Y VENTA",D1293="GERENCIA INBOUND LINEAS ESPECIALIZADAS"),"Llamadas","Otro")))</f>
        <v/>
      </c>
      <c r="I1293" s="23" t="str">
        <f aca="false">IF(A1293="","",IF(C1293="No encontrado","No","Sí"))</f>
        <v/>
      </c>
      <c r="J1293" s="23" t="str">
        <f aca="false">IF(A1293="","",IF(F1293="Inactivo","No","Sí"))</f>
        <v/>
      </c>
      <c r="K1293" s="23" t="str">
        <f aca="false">IF(A1293="","",IF(AND(I1293="Sí",J1293="Sí"),"Sí","No"))</f>
        <v/>
      </c>
    </row>
    <row r="1294" customFormat="false" ht="15" hidden="false" customHeight="false" outlineLevel="0" collapsed="false">
      <c r="A1294" s="22"/>
      <c r="B1294" s="22"/>
      <c r="C1294" s="26" t="str">
        <f aca="false">IF(A1294="","",IFERROR(buscarx(A1294&amp;B1294,DATA!$E$3:$E$10000&amp;DATA!$B$3:$B$10000,DATA!$M$3:$M$10000),"No encontrado"))</f>
        <v/>
      </c>
      <c r="D1294" s="27" t="str">
        <f aca="false">IF(A1294="","",IFERROR(buscarx(A1294&amp;B1294,DATA!$E$3:$E$10000&amp;DATA!$B$3:$B$10000,DATA!$W$3:$W$10000),"No encontrado"))</f>
        <v/>
      </c>
      <c r="E1294" s="22"/>
      <c r="F1294" s="26" t="str">
        <f aca="false">IF(A1294="","",IFERROR(buscarx(A1294&amp;E1294,DATA!$E$3:$E$10000&amp;DATA!$B$3:$B$10000,DATA!$M$3:$M$10000),"Inactivo"))</f>
        <v/>
      </c>
      <c r="G1294" s="28" t="str">
        <f aca="false">IF(A1294="","",IF(AND(C1294&lt;&gt;"No encontrado",F1294&lt;&gt;"Inactivo"),C1294&amp;" → "&amp;F1294,"Sin transición"))</f>
        <v/>
      </c>
      <c r="H1294" s="26" t="str">
        <f aca="false">IF(A1294="","",IF(D1294="GCIA LINEA SERVICIO DIGITALIDAD Y VENTAS","Chats",IF(OR(D1294="GERENCIA INBOUND LÍNEAS SERVICIO Y VENTA",D1294="GERENCIA INBOUND LINEAS ESPECIALIZADAS"),"Llamadas","Otro")))</f>
        <v/>
      </c>
      <c r="I1294" s="26" t="str">
        <f aca="false">IF(A1294="","",IF(C1294="No encontrado","No","Sí"))</f>
        <v/>
      </c>
      <c r="J1294" s="26" t="str">
        <f aca="false">IF(A1294="","",IF(F1294="Inactivo","No","Sí"))</f>
        <v/>
      </c>
      <c r="K1294" s="26" t="str">
        <f aca="false">IF(A1294="","",IF(AND(I1294="Sí",J1294="Sí"),"Sí","No"))</f>
        <v/>
      </c>
    </row>
    <row r="1295" customFormat="false" ht="15" hidden="false" customHeight="false" outlineLevel="0" collapsed="false">
      <c r="A1295" s="22"/>
      <c r="B1295" s="22"/>
      <c r="C1295" s="23" t="str">
        <f aca="false">IF(A1295="","",IFERROR(buscarx(A1295&amp;B1295,DATA!$E$3:$E$10000&amp;DATA!$B$3:$B$10000,DATA!$M$3:$M$10000),"No encontrado"))</f>
        <v/>
      </c>
      <c r="D1295" s="24" t="str">
        <f aca="false">IF(A1295="","",IFERROR(buscarx(A1295&amp;B1295,DATA!$E$3:$E$10000&amp;DATA!$B$3:$B$10000,DATA!$W$3:$W$10000),"No encontrado"))</f>
        <v/>
      </c>
      <c r="E1295" s="22"/>
      <c r="F1295" s="23" t="str">
        <f aca="false">IF(A1295="","",IFERROR(buscarx(A1295&amp;E1295,DATA!$E$3:$E$10000&amp;DATA!$B$3:$B$10000,DATA!$M$3:$M$10000),"Inactivo"))</f>
        <v/>
      </c>
      <c r="G1295" s="25" t="str">
        <f aca="false">IF(A1295="","",IF(AND(C1295&lt;&gt;"No encontrado",F1295&lt;&gt;"Inactivo"),C1295&amp;" → "&amp;F1295,"Sin transición"))</f>
        <v/>
      </c>
      <c r="H1295" s="23" t="str">
        <f aca="false">IF(A1295="","",IF(D1295="GCIA LINEA SERVICIO DIGITALIDAD Y VENTAS","Chats",IF(OR(D1295="GERENCIA INBOUND LÍNEAS SERVICIO Y VENTA",D1295="GERENCIA INBOUND LINEAS ESPECIALIZADAS"),"Llamadas","Otro")))</f>
        <v/>
      </c>
      <c r="I1295" s="23" t="str">
        <f aca="false">IF(A1295="","",IF(C1295="No encontrado","No","Sí"))</f>
        <v/>
      </c>
      <c r="J1295" s="23" t="str">
        <f aca="false">IF(A1295="","",IF(F1295="Inactivo","No","Sí"))</f>
        <v/>
      </c>
      <c r="K1295" s="23" t="str">
        <f aca="false">IF(A1295="","",IF(AND(I1295="Sí",J1295="Sí"),"Sí","No"))</f>
        <v/>
      </c>
    </row>
    <row r="1296" customFormat="false" ht="15" hidden="false" customHeight="false" outlineLevel="0" collapsed="false">
      <c r="A1296" s="22"/>
      <c r="B1296" s="22"/>
      <c r="C1296" s="26" t="str">
        <f aca="false">IF(A1296="","",IFERROR(buscarx(A1296&amp;B1296,DATA!$E$3:$E$10000&amp;DATA!$B$3:$B$10000,DATA!$M$3:$M$10000),"No encontrado"))</f>
        <v/>
      </c>
      <c r="D1296" s="27" t="str">
        <f aca="false">IF(A1296="","",IFERROR(buscarx(A1296&amp;B1296,DATA!$E$3:$E$10000&amp;DATA!$B$3:$B$10000,DATA!$W$3:$W$10000),"No encontrado"))</f>
        <v/>
      </c>
      <c r="E1296" s="22"/>
      <c r="F1296" s="26" t="str">
        <f aca="false">IF(A1296="","",IFERROR(buscarx(A1296&amp;E1296,DATA!$E$3:$E$10000&amp;DATA!$B$3:$B$10000,DATA!$M$3:$M$10000),"Inactivo"))</f>
        <v/>
      </c>
      <c r="G1296" s="28" t="str">
        <f aca="false">IF(A1296="","",IF(AND(C1296&lt;&gt;"No encontrado",F1296&lt;&gt;"Inactivo"),C1296&amp;" → "&amp;F1296,"Sin transición"))</f>
        <v/>
      </c>
      <c r="H1296" s="26" t="str">
        <f aca="false">IF(A1296="","",IF(D1296="GCIA LINEA SERVICIO DIGITALIDAD Y VENTAS","Chats",IF(OR(D1296="GERENCIA INBOUND LÍNEAS SERVICIO Y VENTA",D1296="GERENCIA INBOUND LINEAS ESPECIALIZADAS"),"Llamadas","Otro")))</f>
        <v/>
      </c>
      <c r="I1296" s="26" t="str">
        <f aca="false">IF(A1296="","",IF(C1296="No encontrado","No","Sí"))</f>
        <v/>
      </c>
      <c r="J1296" s="26" t="str">
        <f aca="false">IF(A1296="","",IF(F1296="Inactivo","No","Sí"))</f>
        <v/>
      </c>
      <c r="K1296" s="26" t="str">
        <f aca="false">IF(A1296="","",IF(AND(I1296="Sí",J1296="Sí"),"Sí","No"))</f>
        <v/>
      </c>
    </row>
    <row r="1297" customFormat="false" ht="15" hidden="false" customHeight="false" outlineLevel="0" collapsed="false">
      <c r="A1297" s="22"/>
      <c r="B1297" s="22"/>
      <c r="C1297" s="23" t="str">
        <f aca="false">IF(A1297="","",IFERROR(buscarx(A1297&amp;B1297,DATA!$E$3:$E$10000&amp;DATA!$B$3:$B$10000,DATA!$M$3:$M$10000),"No encontrado"))</f>
        <v/>
      </c>
      <c r="D1297" s="24" t="str">
        <f aca="false">IF(A1297="","",IFERROR(buscarx(A1297&amp;B1297,DATA!$E$3:$E$10000&amp;DATA!$B$3:$B$10000,DATA!$W$3:$W$10000),"No encontrado"))</f>
        <v/>
      </c>
      <c r="E1297" s="22"/>
      <c r="F1297" s="23" t="str">
        <f aca="false">IF(A1297="","",IFERROR(buscarx(A1297&amp;E1297,DATA!$E$3:$E$10000&amp;DATA!$B$3:$B$10000,DATA!$M$3:$M$10000),"Inactivo"))</f>
        <v/>
      </c>
      <c r="G1297" s="25" t="str">
        <f aca="false">IF(A1297="","",IF(AND(C1297&lt;&gt;"No encontrado",F1297&lt;&gt;"Inactivo"),C1297&amp;" → "&amp;F1297,"Sin transición"))</f>
        <v/>
      </c>
      <c r="H1297" s="23" t="str">
        <f aca="false">IF(A1297="","",IF(D1297="GCIA LINEA SERVICIO DIGITALIDAD Y VENTAS","Chats",IF(OR(D1297="GERENCIA INBOUND LÍNEAS SERVICIO Y VENTA",D1297="GERENCIA INBOUND LINEAS ESPECIALIZADAS"),"Llamadas","Otro")))</f>
        <v/>
      </c>
      <c r="I1297" s="23" t="str">
        <f aca="false">IF(A1297="","",IF(C1297="No encontrado","No","Sí"))</f>
        <v/>
      </c>
      <c r="J1297" s="23" t="str">
        <f aca="false">IF(A1297="","",IF(F1297="Inactivo","No","Sí"))</f>
        <v/>
      </c>
      <c r="K1297" s="23" t="str">
        <f aca="false">IF(A1297="","",IF(AND(I1297="Sí",J1297="Sí"),"Sí","No"))</f>
        <v/>
      </c>
    </row>
    <row r="1298" customFormat="false" ht="15" hidden="false" customHeight="false" outlineLevel="0" collapsed="false">
      <c r="A1298" s="22"/>
      <c r="B1298" s="22"/>
      <c r="C1298" s="26" t="str">
        <f aca="false">IF(A1298="","",IFERROR(buscarx(A1298&amp;B1298,DATA!$E$3:$E$10000&amp;DATA!$B$3:$B$10000,DATA!$M$3:$M$10000),"No encontrado"))</f>
        <v/>
      </c>
      <c r="D1298" s="27" t="str">
        <f aca="false">IF(A1298="","",IFERROR(buscarx(A1298&amp;B1298,DATA!$E$3:$E$10000&amp;DATA!$B$3:$B$10000,DATA!$W$3:$W$10000),"No encontrado"))</f>
        <v/>
      </c>
      <c r="E1298" s="22"/>
      <c r="F1298" s="26" t="str">
        <f aca="false">IF(A1298="","",IFERROR(buscarx(A1298&amp;E1298,DATA!$E$3:$E$10000&amp;DATA!$B$3:$B$10000,DATA!$M$3:$M$10000),"Inactivo"))</f>
        <v/>
      </c>
      <c r="G1298" s="28" t="str">
        <f aca="false">IF(A1298="","",IF(AND(C1298&lt;&gt;"No encontrado",F1298&lt;&gt;"Inactivo"),C1298&amp;" → "&amp;F1298,"Sin transición"))</f>
        <v/>
      </c>
      <c r="H1298" s="26" t="str">
        <f aca="false">IF(A1298="","",IF(D1298="GCIA LINEA SERVICIO DIGITALIDAD Y VENTAS","Chats",IF(OR(D1298="GERENCIA INBOUND LÍNEAS SERVICIO Y VENTA",D1298="GERENCIA INBOUND LINEAS ESPECIALIZADAS"),"Llamadas","Otro")))</f>
        <v/>
      </c>
      <c r="I1298" s="26" t="str">
        <f aca="false">IF(A1298="","",IF(C1298="No encontrado","No","Sí"))</f>
        <v/>
      </c>
      <c r="J1298" s="26" t="str">
        <f aca="false">IF(A1298="","",IF(F1298="Inactivo","No","Sí"))</f>
        <v/>
      </c>
      <c r="K1298" s="26" t="str">
        <f aca="false">IF(A1298="","",IF(AND(I1298="Sí",J1298="Sí"),"Sí","No"))</f>
        <v/>
      </c>
    </row>
    <row r="1299" customFormat="false" ht="15" hidden="false" customHeight="false" outlineLevel="0" collapsed="false">
      <c r="A1299" s="22"/>
      <c r="B1299" s="22"/>
      <c r="C1299" s="23" t="str">
        <f aca="false">IF(A1299="","",IFERROR(buscarx(A1299&amp;B1299,DATA!$E$3:$E$10000&amp;DATA!$B$3:$B$10000,DATA!$M$3:$M$10000),"No encontrado"))</f>
        <v/>
      </c>
      <c r="D1299" s="24" t="str">
        <f aca="false">IF(A1299="","",IFERROR(buscarx(A1299&amp;B1299,DATA!$E$3:$E$10000&amp;DATA!$B$3:$B$10000,DATA!$W$3:$W$10000),"No encontrado"))</f>
        <v/>
      </c>
      <c r="E1299" s="22"/>
      <c r="F1299" s="23" t="str">
        <f aca="false">IF(A1299="","",IFERROR(buscarx(A1299&amp;E1299,DATA!$E$3:$E$10000&amp;DATA!$B$3:$B$10000,DATA!$M$3:$M$10000),"Inactivo"))</f>
        <v/>
      </c>
      <c r="G1299" s="25" t="str">
        <f aca="false">IF(A1299="","",IF(AND(C1299&lt;&gt;"No encontrado",F1299&lt;&gt;"Inactivo"),C1299&amp;" → "&amp;F1299,"Sin transición"))</f>
        <v/>
      </c>
      <c r="H1299" s="23" t="str">
        <f aca="false">IF(A1299="","",IF(D1299="GCIA LINEA SERVICIO DIGITALIDAD Y VENTAS","Chats",IF(OR(D1299="GERENCIA INBOUND LÍNEAS SERVICIO Y VENTA",D1299="GERENCIA INBOUND LINEAS ESPECIALIZADAS"),"Llamadas","Otro")))</f>
        <v/>
      </c>
      <c r="I1299" s="23" t="str">
        <f aca="false">IF(A1299="","",IF(C1299="No encontrado","No","Sí"))</f>
        <v/>
      </c>
      <c r="J1299" s="23" t="str">
        <f aca="false">IF(A1299="","",IF(F1299="Inactivo","No","Sí"))</f>
        <v/>
      </c>
      <c r="K1299" s="23" t="str">
        <f aca="false">IF(A1299="","",IF(AND(I1299="Sí",J1299="Sí"),"Sí","No"))</f>
        <v/>
      </c>
    </row>
    <row r="1300" customFormat="false" ht="15" hidden="false" customHeight="false" outlineLevel="0" collapsed="false">
      <c r="A1300" s="22"/>
      <c r="B1300" s="22"/>
      <c r="C1300" s="26" t="str">
        <f aca="false">IF(A1300="","",IFERROR(buscarx(A1300&amp;B1300,DATA!$E$3:$E$10000&amp;DATA!$B$3:$B$10000,DATA!$M$3:$M$10000),"No encontrado"))</f>
        <v/>
      </c>
      <c r="D1300" s="27" t="str">
        <f aca="false">IF(A1300="","",IFERROR(buscarx(A1300&amp;B1300,DATA!$E$3:$E$10000&amp;DATA!$B$3:$B$10000,DATA!$W$3:$W$10000),"No encontrado"))</f>
        <v/>
      </c>
      <c r="E1300" s="22"/>
      <c r="F1300" s="26" t="str">
        <f aca="false">IF(A1300="","",IFERROR(buscarx(A1300&amp;E1300,DATA!$E$3:$E$10000&amp;DATA!$B$3:$B$10000,DATA!$M$3:$M$10000),"Inactivo"))</f>
        <v/>
      </c>
      <c r="G1300" s="28" t="str">
        <f aca="false">IF(A1300="","",IF(AND(C1300&lt;&gt;"No encontrado",F1300&lt;&gt;"Inactivo"),C1300&amp;" → "&amp;F1300,"Sin transición"))</f>
        <v/>
      </c>
      <c r="H1300" s="26" t="str">
        <f aca="false">IF(A1300="","",IF(D1300="GCIA LINEA SERVICIO DIGITALIDAD Y VENTAS","Chats",IF(OR(D1300="GERENCIA INBOUND LÍNEAS SERVICIO Y VENTA",D1300="GERENCIA INBOUND LINEAS ESPECIALIZADAS"),"Llamadas","Otro")))</f>
        <v/>
      </c>
      <c r="I1300" s="26" t="str">
        <f aca="false">IF(A1300="","",IF(C1300="No encontrado","No","Sí"))</f>
        <v/>
      </c>
      <c r="J1300" s="26" t="str">
        <f aca="false">IF(A1300="","",IF(F1300="Inactivo","No","Sí"))</f>
        <v/>
      </c>
      <c r="K1300" s="26" t="str">
        <f aca="false">IF(A1300="","",IF(AND(I1300="Sí",J1300="Sí"),"Sí","No"))</f>
        <v/>
      </c>
    </row>
    <row r="1301" customFormat="false" ht="15" hidden="false" customHeight="false" outlineLevel="0" collapsed="false">
      <c r="A1301" s="22"/>
      <c r="B1301" s="22"/>
      <c r="C1301" s="23" t="str">
        <f aca="false">IF(A1301="","",IFERROR(buscarx(A1301&amp;B1301,DATA!$E$3:$E$10000&amp;DATA!$B$3:$B$10000,DATA!$M$3:$M$10000),"No encontrado"))</f>
        <v/>
      </c>
      <c r="D1301" s="24" t="str">
        <f aca="false">IF(A1301="","",IFERROR(buscarx(A1301&amp;B1301,DATA!$E$3:$E$10000&amp;DATA!$B$3:$B$10000,DATA!$W$3:$W$10000),"No encontrado"))</f>
        <v/>
      </c>
      <c r="E1301" s="22"/>
      <c r="F1301" s="23" t="str">
        <f aca="false">IF(A1301="","",IFERROR(buscarx(A1301&amp;E1301,DATA!$E$3:$E$10000&amp;DATA!$B$3:$B$10000,DATA!$M$3:$M$10000),"Inactivo"))</f>
        <v/>
      </c>
      <c r="G1301" s="25" t="str">
        <f aca="false">IF(A1301="","",IF(AND(C1301&lt;&gt;"No encontrado",F1301&lt;&gt;"Inactivo"),C1301&amp;" → "&amp;F1301,"Sin transición"))</f>
        <v/>
      </c>
      <c r="H1301" s="23" t="str">
        <f aca="false">IF(A1301="","",IF(D1301="GCIA LINEA SERVICIO DIGITALIDAD Y VENTAS","Chats",IF(OR(D1301="GERENCIA INBOUND LÍNEAS SERVICIO Y VENTA",D1301="GERENCIA INBOUND LINEAS ESPECIALIZADAS"),"Llamadas","Otro")))</f>
        <v/>
      </c>
      <c r="I1301" s="23" t="str">
        <f aca="false">IF(A1301="","",IF(C1301="No encontrado","No","Sí"))</f>
        <v/>
      </c>
      <c r="J1301" s="23" t="str">
        <f aca="false">IF(A1301="","",IF(F1301="Inactivo","No","Sí"))</f>
        <v/>
      </c>
      <c r="K1301" s="23" t="str">
        <f aca="false">IF(A1301="","",IF(AND(I1301="Sí",J1301="Sí"),"Sí","No"))</f>
        <v/>
      </c>
    </row>
    <row r="1302" customFormat="false" ht="15" hidden="false" customHeight="false" outlineLevel="0" collapsed="false">
      <c r="A1302" s="22"/>
      <c r="B1302" s="22"/>
      <c r="C1302" s="26" t="str">
        <f aca="false">IF(A1302="","",IFERROR(buscarx(A1302&amp;B1302,DATA!$E$3:$E$10000&amp;DATA!$B$3:$B$10000,DATA!$M$3:$M$10000),"No encontrado"))</f>
        <v/>
      </c>
      <c r="D1302" s="27" t="str">
        <f aca="false">IF(A1302="","",IFERROR(buscarx(A1302&amp;B1302,DATA!$E$3:$E$10000&amp;DATA!$B$3:$B$10000,DATA!$W$3:$W$10000),"No encontrado"))</f>
        <v/>
      </c>
      <c r="E1302" s="22"/>
      <c r="F1302" s="26" t="str">
        <f aca="false">IF(A1302="","",IFERROR(buscarx(A1302&amp;E1302,DATA!$E$3:$E$10000&amp;DATA!$B$3:$B$10000,DATA!$M$3:$M$10000),"Inactivo"))</f>
        <v/>
      </c>
      <c r="G1302" s="28" t="str">
        <f aca="false">IF(A1302="","",IF(AND(C1302&lt;&gt;"No encontrado",F1302&lt;&gt;"Inactivo"),C1302&amp;" → "&amp;F1302,"Sin transición"))</f>
        <v/>
      </c>
      <c r="H1302" s="26" t="str">
        <f aca="false">IF(A1302="","",IF(D1302="GCIA LINEA SERVICIO DIGITALIDAD Y VENTAS","Chats",IF(OR(D1302="GERENCIA INBOUND LÍNEAS SERVICIO Y VENTA",D1302="GERENCIA INBOUND LINEAS ESPECIALIZADAS"),"Llamadas","Otro")))</f>
        <v/>
      </c>
      <c r="I1302" s="26" t="str">
        <f aca="false">IF(A1302="","",IF(C1302="No encontrado","No","Sí"))</f>
        <v/>
      </c>
      <c r="J1302" s="26" t="str">
        <f aca="false">IF(A1302="","",IF(F1302="Inactivo","No","Sí"))</f>
        <v/>
      </c>
      <c r="K1302" s="26" t="str">
        <f aca="false">IF(A1302="","",IF(AND(I1302="Sí",J1302="Sí"),"Sí","No"))</f>
        <v/>
      </c>
    </row>
    <row r="1303" customFormat="false" ht="15" hidden="false" customHeight="false" outlineLevel="0" collapsed="false">
      <c r="A1303" s="22"/>
      <c r="B1303" s="22"/>
      <c r="C1303" s="23" t="str">
        <f aca="false">IF(A1303="","",IFERROR(buscarx(A1303&amp;B1303,DATA!$E$3:$E$10000&amp;DATA!$B$3:$B$10000,DATA!$M$3:$M$10000),"No encontrado"))</f>
        <v/>
      </c>
      <c r="D1303" s="24" t="str">
        <f aca="false">IF(A1303="","",IFERROR(buscarx(A1303&amp;B1303,DATA!$E$3:$E$10000&amp;DATA!$B$3:$B$10000,DATA!$W$3:$W$10000),"No encontrado"))</f>
        <v/>
      </c>
      <c r="E1303" s="22"/>
      <c r="F1303" s="23" t="str">
        <f aca="false">IF(A1303="","",IFERROR(buscarx(A1303&amp;E1303,DATA!$E$3:$E$10000&amp;DATA!$B$3:$B$10000,DATA!$M$3:$M$10000),"Inactivo"))</f>
        <v/>
      </c>
      <c r="G1303" s="25" t="str">
        <f aca="false">IF(A1303="","",IF(AND(C1303&lt;&gt;"No encontrado",F1303&lt;&gt;"Inactivo"),C1303&amp;" → "&amp;F1303,"Sin transición"))</f>
        <v/>
      </c>
      <c r="H1303" s="23" t="str">
        <f aca="false">IF(A1303="","",IF(D1303="GCIA LINEA SERVICIO DIGITALIDAD Y VENTAS","Chats",IF(OR(D1303="GERENCIA INBOUND LÍNEAS SERVICIO Y VENTA",D1303="GERENCIA INBOUND LINEAS ESPECIALIZADAS"),"Llamadas","Otro")))</f>
        <v/>
      </c>
      <c r="I1303" s="23" t="str">
        <f aca="false">IF(A1303="","",IF(C1303="No encontrado","No","Sí"))</f>
        <v/>
      </c>
      <c r="J1303" s="23" t="str">
        <f aca="false">IF(A1303="","",IF(F1303="Inactivo","No","Sí"))</f>
        <v/>
      </c>
      <c r="K1303" s="23" t="str">
        <f aca="false">IF(A1303="","",IF(AND(I1303="Sí",J1303="Sí"),"Sí","No"))</f>
        <v/>
      </c>
    </row>
    <row r="1304" customFormat="false" ht="15" hidden="false" customHeight="false" outlineLevel="0" collapsed="false">
      <c r="A1304" s="22"/>
      <c r="B1304" s="22"/>
      <c r="C1304" s="26" t="str">
        <f aca="false">IF(A1304="","",IFERROR(buscarx(A1304&amp;B1304,DATA!$E$3:$E$10000&amp;DATA!$B$3:$B$10000,DATA!$M$3:$M$10000),"No encontrado"))</f>
        <v/>
      </c>
      <c r="D1304" s="27" t="str">
        <f aca="false">IF(A1304="","",IFERROR(buscarx(A1304&amp;B1304,DATA!$E$3:$E$10000&amp;DATA!$B$3:$B$10000,DATA!$W$3:$W$10000),"No encontrado"))</f>
        <v/>
      </c>
      <c r="E1304" s="22"/>
      <c r="F1304" s="26" t="str">
        <f aca="false">IF(A1304="","",IFERROR(buscarx(A1304&amp;E1304,DATA!$E$3:$E$10000&amp;DATA!$B$3:$B$10000,DATA!$M$3:$M$10000),"Inactivo"))</f>
        <v/>
      </c>
      <c r="G1304" s="28" t="str">
        <f aca="false">IF(A1304="","",IF(AND(C1304&lt;&gt;"No encontrado",F1304&lt;&gt;"Inactivo"),C1304&amp;" → "&amp;F1304,"Sin transición"))</f>
        <v/>
      </c>
      <c r="H1304" s="26" t="str">
        <f aca="false">IF(A1304="","",IF(D1304="GCIA LINEA SERVICIO DIGITALIDAD Y VENTAS","Chats",IF(OR(D1304="GERENCIA INBOUND LÍNEAS SERVICIO Y VENTA",D1304="GERENCIA INBOUND LINEAS ESPECIALIZADAS"),"Llamadas","Otro")))</f>
        <v/>
      </c>
      <c r="I1304" s="26" t="str">
        <f aca="false">IF(A1304="","",IF(C1304="No encontrado","No","Sí"))</f>
        <v/>
      </c>
      <c r="J1304" s="26" t="str">
        <f aca="false">IF(A1304="","",IF(F1304="Inactivo","No","Sí"))</f>
        <v/>
      </c>
      <c r="K1304" s="26" t="str">
        <f aca="false">IF(A1304="","",IF(AND(I1304="Sí",J1304="Sí"),"Sí","No"))</f>
        <v/>
      </c>
    </row>
    <row r="1305" customFormat="false" ht="15" hidden="false" customHeight="false" outlineLevel="0" collapsed="false">
      <c r="A1305" s="22"/>
      <c r="B1305" s="22"/>
      <c r="C1305" s="23" t="str">
        <f aca="false">IF(A1305="","",IFERROR(buscarx(A1305&amp;B1305,DATA!$E$3:$E$10000&amp;DATA!$B$3:$B$10000,DATA!$M$3:$M$10000),"No encontrado"))</f>
        <v/>
      </c>
      <c r="D1305" s="24" t="str">
        <f aca="false">IF(A1305="","",IFERROR(buscarx(A1305&amp;B1305,DATA!$E$3:$E$10000&amp;DATA!$B$3:$B$10000,DATA!$W$3:$W$10000),"No encontrado"))</f>
        <v/>
      </c>
      <c r="E1305" s="22"/>
      <c r="F1305" s="23" t="str">
        <f aca="false">IF(A1305="","",IFERROR(buscarx(A1305&amp;E1305,DATA!$E$3:$E$10000&amp;DATA!$B$3:$B$10000,DATA!$M$3:$M$10000),"Inactivo"))</f>
        <v/>
      </c>
      <c r="G1305" s="25" t="str">
        <f aca="false">IF(A1305="","",IF(AND(C1305&lt;&gt;"No encontrado",F1305&lt;&gt;"Inactivo"),C1305&amp;" → "&amp;F1305,"Sin transición"))</f>
        <v/>
      </c>
      <c r="H1305" s="23" t="str">
        <f aca="false">IF(A1305="","",IF(D1305="GCIA LINEA SERVICIO DIGITALIDAD Y VENTAS","Chats",IF(OR(D1305="GERENCIA INBOUND LÍNEAS SERVICIO Y VENTA",D1305="GERENCIA INBOUND LINEAS ESPECIALIZADAS"),"Llamadas","Otro")))</f>
        <v/>
      </c>
      <c r="I1305" s="23" t="str">
        <f aca="false">IF(A1305="","",IF(C1305="No encontrado","No","Sí"))</f>
        <v/>
      </c>
      <c r="J1305" s="23" t="str">
        <f aca="false">IF(A1305="","",IF(F1305="Inactivo","No","Sí"))</f>
        <v/>
      </c>
      <c r="K1305" s="23" t="str">
        <f aca="false">IF(A1305="","",IF(AND(I1305="Sí",J1305="Sí"),"Sí","No"))</f>
        <v/>
      </c>
    </row>
    <row r="1306" customFormat="false" ht="15" hidden="false" customHeight="false" outlineLevel="0" collapsed="false">
      <c r="A1306" s="22"/>
      <c r="B1306" s="22"/>
      <c r="C1306" s="26" t="str">
        <f aca="false">IF(A1306="","",IFERROR(buscarx(A1306&amp;B1306,DATA!$E$3:$E$10000&amp;DATA!$B$3:$B$10000,DATA!$M$3:$M$10000),"No encontrado"))</f>
        <v/>
      </c>
      <c r="D1306" s="27" t="str">
        <f aca="false">IF(A1306="","",IFERROR(buscarx(A1306&amp;B1306,DATA!$E$3:$E$10000&amp;DATA!$B$3:$B$10000,DATA!$W$3:$W$10000),"No encontrado"))</f>
        <v/>
      </c>
      <c r="E1306" s="22"/>
      <c r="F1306" s="26" t="str">
        <f aca="false">IF(A1306="","",IFERROR(buscarx(A1306&amp;E1306,DATA!$E$3:$E$10000&amp;DATA!$B$3:$B$10000,DATA!$M$3:$M$10000),"Inactivo"))</f>
        <v/>
      </c>
      <c r="G1306" s="28" t="str">
        <f aca="false">IF(A1306="","",IF(AND(C1306&lt;&gt;"No encontrado",F1306&lt;&gt;"Inactivo"),C1306&amp;" → "&amp;F1306,"Sin transición"))</f>
        <v/>
      </c>
      <c r="H1306" s="26" t="str">
        <f aca="false">IF(A1306="","",IF(D1306="GCIA LINEA SERVICIO DIGITALIDAD Y VENTAS","Chats",IF(OR(D1306="GERENCIA INBOUND LÍNEAS SERVICIO Y VENTA",D1306="GERENCIA INBOUND LINEAS ESPECIALIZADAS"),"Llamadas","Otro")))</f>
        <v/>
      </c>
      <c r="I1306" s="26" t="str">
        <f aca="false">IF(A1306="","",IF(C1306="No encontrado","No","Sí"))</f>
        <v/>
      </c>
      <c r="J1306" s="26" t="str">
        <f aca="false">IF(A1306="","",IF(F1306="Inactivo","No","Sí"))</f>
        <v/>
      </c>
      <c r="K1306" s="26" t="str">
        <f aca="false">IF(A1306="","",IF(AND(I1306="Sí",J1306="Sí"),"Sí","No"))</f>
        <v/>
      </c>
    </row>
    <row r="1307" customFormat="false" ht="15" hidden="false" customHeight="false" outlineLevel="0" collapsed="false">
      <c r="A1307" s="22"/>
      <c r="B1307" s="22"/>
      <c r="C1307" s="23" t="str">
        <f aca="false">IF(A1307="","",IFERROR(buscarx(A1307&amp;B1307,DATA!$E$3:$E$10000&amp;DATA!$B$3:$B$10000,DATA!$M$3:$M$10000),"No encontrado"))</f>
        <v/>
      </c>
      <c r="D1307" s="24" t="str">
        <f aca="false">IF(A1307="","",IFERROR(buscarx(A1307&amp;B1307,DATA!$E$3:$E$10000&amp;DATA!$B$3:$B$10000,DATA!$W$3:$W$10000),"No encontrado"))</f>
        <v/>
      </c>
      <c r="E1307" s="22"/>
      <c r="F1307" s="23" t="str">
        <f aca="false">IF(A1307="","",IFERROR(buscarx(A1307&amp;E1307,DATA!$E$3:$E$10000&amp;DATA!$B$3:$B$10000,DATA!$M$3:$M$10000),"Inactivo"))</f>
        <v/>
      </c>
      <c r="G1307" s="25" t="str">
        <f aca="false">IF(A1307="","",IF(AND(C1307&lt;&gt;"No encontrado",F1307&lt;&gt;"Inactivo"),C1307&amp;" → "&amp;F1307,"Sin transición"))</f>
        <v/>
      </c>
      <c r="H1307" s="23" t="str">
        <f aca="false">IF(A1307="","",IF(D1307="GCIA LINEA SERVICIO DIGITALIDAD Y VENTAS","Chats",IF(OR(D1307="GERENCIA INBOUND LÍNEAS SERVICIO Y VENTA",D1307="GERENCIA INBOUND LINEAS ESPECIALIZADAS"),"Llamadas","Otro")))</f>
        <v/>
      </c>
      <c r="I1307" s="23" t="str">
        <f aca="false">IF(A1307="","",IF(C1307="No encontrado","No","Sí"))</f>
        <v/>
      </c>
      <c r="J1307" s="23" t="str">
        <f aca="false">IF(A1307="","",IF(F1307="Inactivo","No","Sí"))</f>
        <v/>
      </c>
      <c r="K1307" s="23" t="str">
        <f aca="false">IF(A1307="","",IF(AND(I1307="Sí",J1307="Sí"),"Sí","No"))</f>
        <v/>
      </c>
    </row>
    <row r="1308" customFormat="false" ht="15" hidden="false" customHeight="false" outlineLevel="0" collapsed="false">
      <c r="A1308" s="22"/>
      <c r="B1308" s="22"/>
      <c r="C1308" s="26" t="str">
        <f aca="false">IF(A1308="","",IFERROR(buscarx(A1308&amp;B1308,DATA!$E$3:$E$10000&amp;DATA!$B$3:$B$10000,DATA!$M$3:$M$10000),"No encontrado"))</f>
        <v/>
      </c>
      <c r="D1308" s="27" t="str">
        <f aca="false">IF(A1308="","",IFERROR(buscarx(A1308&amp;B1308,DATA!$E$3:$E$10000&amp;DATA!$B$3:$B$10000,DATA!$W$3:$W$10000),"No encontrado"))</f>
        <v/>
      </c>
      <c r="E1308" s="22"/>
      <c r="F1308" s="26" t="str">
        <f aca="false">IF(A1308="","",IFERROR(buscarx(A1308&amp;E1308,DATA!$E$3:$E$10000&amp;DATA!$B$3:$B$10000,DATA!$M$3:$M$10000),"Inactivo"))</f>
        <v/>
      </c>
      <c r="G1308" s="28" t="str">
        <f aca="false">IF(A1308="","",IF(AND(C1308&lt;&gt;"No encontrado",F1308&lt;&gt;"Inactivo"),C1308&amp;" → "&amp;F1308,"Sin transición"))</f>
        <v/>
      </c>
      <c r="H1308" s="26" t="str">
        <f aca="false">IF(A1308="","",IF(D1308="GCIA LINEA SERVICIO DIGITALIDAD Y VENTAS","Chats",IF(OR(D1308="GERENCIA INBOUND LÍNEAS SERVICIO Y VENTA",D1308="GERENCIA INBOUND LINEAS ESPECIALIZADAS"),"Llamadas","Otro")))</f>
        <v/>
      </c>
      <c r="I1308" s="26" t="str">
        <f aca="false">IF(A1308="","",IF(C1308="No encontrado","No","Sí"))</f>
        <v/>
      </c>
      <c r="J1308" s="26" t="str">
        <f aca="false">IF(A1308="","",IF(F1308="Inactivo","No","Sí"))</f>
        <v/>
      </c>
      <c r="K1308" s="26" t="str">
        <f aca="false">IF(A1308="","",IF(AND(I1308="Sí",J1308="Sí"),"Sí","No"))</f>
        <v/>
      </c>
    </row>
    <row r="1309" customFormat="false" ht="15" hidden="false" customHeight="false" outlineLevel="0" collapsed="false">
      <c r="A1309" s="22"/>
      <c r="B1309" s="22"/>
      <c r="C1309" s="23" t="str">
        <f aca="false">IF(A1309="","",IFERROR(buscarx(A1309&amp;B1309,DATA!$E$3:$E$10000&amp;DATA!$B$3:$B$10000,DATA!$M$3:$M$10000),"No encontrado"))</f>
        <v/>
      </c>
      <c r="D1309" s="24" t="str">
        <f aca="false">IF(A1309="","",IFERROR(buscarx(A1309&amp;B1309,DATA!$E$3:$E$10000&amp;DATA!$B$3:$B$10000,DATA!$W$3:$W$10000),"No encontrado"))</f>
        <v/>
      </c>
      <c r="E1309" s="22"/>
      <c r="F1309" s="23" t="str">
        <f aca="false">IF(A1309="","",IFERROR(buscarx(A1309&amp;E1309,DATA!$E$3:$E$10000&amp;DATA!$B$3:$B$10000,DATA!$M$3:$M$10000),"Inactivo"))</f>
        <v/>
      </c>
      <c r="G1309" s="25" t="str">
        <f aca="false">IF(A1309="","",IF(AND(C1309&lt;&gt;"No encontrado",F1309&lt;&gt;"Inactivo"),C1309&amp;" → "&amp;F1309,"Sin transición"))</f>
        <v/>
      </c>
      <c r="H1309" s="23" t="str">
        <f aca="false">IF(A1309="","",IF(D1309="GCIA LINEA SERVICIO DIGITALIDAD Y VENTAS","Chats",IF(OR(D1309="GERENCIA INBOUND LÍNEAS SERVICIO Y VENTA",D1309="GERENCIA INBOUND LINEAS ESPECIALIZADAS"),"Llamadas","Otro")))</f>
        <v/>
      </c>
      <c r="I1309" s="23" t="str">
        <f aca="false">IF(A1309="","",IF(C1309="No encontrado","No","Sí"))</f>
        <v/>
      </c>
      <c r="J1309" s="23" t="str">
        <f aca="false">IF(A1309="","",IF(F1309="Inactivo","No","Sí"))</f>
        <v/>
      </c>
      <c r="K1309" s="23" t="str">
        <f aca="false">IF(A1309="","",IF(AND(I1309="Sí",J1309="Sí"),"Sí","No"))</f>
        <v/>
      </c>
    </row>
    <row r="1310" customFormat="false" ht="15" hidden="false" customHeight="false" outlineLevel="0" collapsed="false">
      <c r="A1310" s="22"/>
      <c r="B1310" s="22"/>
      <c r="C1310" s="26" t="str">
        <f aca="false">IF(A1310="","",IFERROR(buscarx(A1310&amp;B1310,DATA!$E$3:$E$10000&amp;DATA!$B$3:$B$10000,DATA!$M$3:$M$10000),"No encontrado"))</f>
        <v/>
      </c>
      <c r="D1310" s="27" t="str">
        <f aca="false">IF(A1310="","",IFERROR(buscarx(A1310&amp;B1310,DATA!$E$3:$E$10000&amp;DATA!$B$3:$B$10000,DATA!$W$3:$W$10000),"No encontrado"))</f>
        <v/>
      </c>
      <c r="E1310" s="22"/>
      <c r="F1310" s="26" t="str">
        <f aca="false">IF(A1310="","",IFERROR(buscarx(A1310&amp;E1310,DATA!$E$3:$E$10000&amp;DATA!$B$3:$B$10000,DATA!$M$3:$M$10000),"Inactivo"))</f>
        <v/>
      </c>
      <c r="G1310" s="28" t="str">
        <f aca="false">IF(A1310="","",IF(AND(C1310&lt;&gt;"No encontrado",F1310&lt;&gt;"Inactivo"),C1310&amp;" → "&amp;F1310,"Sin transición"))</f>
        <v/>
      </c>
      <c r="H1310" s="26" t="str">
        <f aca="false">IF(A1310="","",IF(D1310="GCIA LINEA SERVICIO DIGITALIDAD Y VENTAS","Chats",IF(OR(D1310="GERENCIA INBOUND LÍNEAS SERVICIO Y VENTA",D1310="GERENCIA INBOUND LINEAS ESPECIALIZADAS"),"Llamadas","Otro")))</f>
        <v/>
      </c>
      <c r="I1310" s="26" t="str">
        <f aca="false">IF(A1310="","",IF(C1310="No encontrado","No","Sí"))</f>
        <v/>
      </c>
      <c r="J1310" s="26" t="str">
        <f aca="false">IF(A1310="","",IF(F1310="Inactivo","No","Sí"))</f>
        <v/>
      </c>
      <c r="K1310" s="26" t="str">
        <f aca="false">IF(A1310="","",IF(AND(I1310="Sí",J1310="Sí"),"Sí","No"))</f>
        <v/>
      </c>
    </row>
    <row r="1311" customFormat="false" ht="15" hidden="false" customHeight="false" outlineLevel="0" collapsed="false">
      <c r="A1311" s="22"/>
      <c r="B1311" s="22"/>
      <c r="C1311" s="23" t="str">
        <f aca="false">IF(A1311="","",IFERROR(buscarx(A1311&amp;B1311,DATA!$E$3:$E$10000&amp;DATA!$B$3:$B$10000,DATA!$M$3:$M$10000),"No encontrado"))</f>
        <v/>
      </c>
      <c r="D1311" s="24" t="str">
        <f aca="false">IF(A1311="","",IFERROR(buscarx(A1311&amp;B1311,DATA!$E$3:$E$10000&amp;DATA!$B$3:$B$10000,DATA!$W$3:$W$10000),"No encontrado"))</f>
        <v/>
      </c>
      <c r="E1311" s="22"/>
      <c r="F1311" s="23" t="str">
        <f aca="false">IF(A1311="","",IFERROR(buscarx(A1311&amp;E1311,DATA!$E$3:$E$10000&amp;DATA!$B$3:$B$10000,DATA!$M$3:$M$10000),"Inactivo"))</f>
        <v/>
      </c>
      <c r="G1311" s="25" t="str">
        <f aca="false">IF(A1311="","",IF(AND(C1311&lt;&gt;"No encontrado",F1311&lt;&gt;"Inactivo"),C1311&amp;" → "&amp;F1311,"Sin transición"))</f>
        <v/>
      </c>
      <c r="H1311" s="23" t="str">
        <f aca="false">IF(A1311="","",IF(D1311="GCIA LINEA SERVICIO DIGITALIDAD Y VENTAS","Chats",IF(OR(D1311="GERENCIA INBOUND LÍNEAS SERVICIO Y VENTA",D1311="GERENCIA INBOUND LINEAS ESPECIALIZADAS"),"Llamadas","Otro")))</f>
        <v/>
      </c>
      <c r="I1311" s="23" t="str">
        <f aca="false">IF(A1311="","",IF(C1311="No encontrado","No","Sí"))</f>
        <v/>
      </c>
      <c r="J1311" s="23" t="str">
        <f aca="false">IF(A1311="","",IF(F1311="Inactivo","No","Sí"))</f>
        <v/>
      </c>
      <c r="K1311" s="23" t="str">
        <f aca="false">IF(A1311="","",IF(AND(I1311="Sí",J1311="Sí"),"Sí","No"))</f>
        <v/>
      </c>
    </row>
    <row r="1312" customFormat="false" ht="15" hidden="false" customHeight="false" outlineLevel="0" collapsed="false">
      <c r="A1312" s="22"/>
      <c r="B1312" s="22"/>
      <c r="C1312" s="26" t="str">
        <f aca="false">IF(A1312="","",IFERROR(buscarx(A1312&amp;B1312,DATA!$E$3:$E$10000&amp;DATA!$B$3:$B$10000,DATA!$M$3:$M$10000),"No encontrado"))</f>
        <v/>
      </c>
      <c r="D1312" s="27" t="str">
        <f aca="false">IF(A1312="","",IFERROR(buscarx(A1312&amp;B1312,DATA!$E$3:$E$10000&amp;DATA!$B$3:$B$10000,DATA!$W$3:$W$10000),"No encontrado"))</f>
        <v/>
      </c>
      <c r="E1312" s="22"/>
      <c r="F1312" s="26" t="str">
        <f aca="false">IF(A1312="","",IFERROR(buscarx(A1312&amp;E1312,DATA!$E$3:$E$10000&amp;DATA!$B$3:$B$10000,DATA!$M$3:$M$10000),"Inactivo"))</f>
        <v/>
      </c>
      <c r="G1312" s="28" t="str">
        <f aca="false">IF(A1312="","",IF(AND(C1312&lt;&gt;"No encontrado",F1312&lt;&gt;"Inactivo"),C1312&amp;" → "&amp;F1312,"Sin transición"))</f>
        <v/>
      </c>
      <c r="H1312" s="26" t="str">
        <f aca="false">IF(A1312="","",IF(D1312="GCIA LINEA SERVICIO DIGITALIDAD Y VENTAS","Chats",IF(OR(D1312="GERENCIA INBOUND LÍNEAS SERVICIO Y VENTA",D1312="GERENCIA INBOUND LINEAS ESPECIALIZADAS"),"Llamadas","Otro")))</f>
        <v/>
      </c>
      <c r="I1312" s="26" t="str">
        <f aca="false">IF(A1312="","",IF(C1312="No encontrado","No","Sí"))</f>
        <v/>
      </c>
      <c r="J1312" s="26" t="str">
        <f aca="false">IF(A1312="","",IF(F1312="Inactivo","No","Sí"))</f>
        <v/>
      </c>
      <c r="K1312" s="26" t="str">
        <f aca="false">IF(A1312="","",IF(AND(I1312="Sí",J1312="Sí"),"Sí","No"))</f>
        <v/>
      </c>
    </row>
    <row r="1313" customFormat="false" ht="15" hidden="false" customHeight="false" outlineLevel="0" collapsed="false">
      <c r="A1313" s="22"/>
      <c r="B1313" s="22"/>
      <c r="C1313" s="23" t="str">
        <f aca="false">IF(A1313="","",IFERROR(buscarx(A1313&amp;B1313,DATA!$E$3:$E$10000&amp;DATA!$B$3:$B$10000,DATA!$M$3:$M$10000),"No encontrado"))</f>
        <v/>
      </c>
      <c r="D1313" s="24" t="str">
        <f aca="false">IF(A1313="","",IFERROR(buscarx(A1313&amp;B1313,DATA!$E$3:$E$10000&amp;DATA!$B$3:$B$10000,DATA!$W$3:$W$10000),"No encontrado"))</f>
        <v/>
      </c>
      <c r="E1313" s="22"/>
      <c r="F1313" s="23" t="str">
        <f aca="false">IF(A1313="","",IFERROR(buscarx(A1313&amp;E1313,DATA!$E$3:$E$10000&amp;DATA!$B$3:$B$10000,DATA!$M$3:$M$10000),"Inactivo"))</f>
        <v/>
      </c>
      <c r="G1313" s="25" t="str">
        <f aca="false">IF(A1313="","",IF(AND(C1313&lt;&gt;"No encontrado",F1313&lt;&gt;"Inactivo"),C1313&amp;" → "&amp;F1313,"Sin transición"))</f>
        <v/>
      </c>
      <c r="H1313" s="23" t="str">
        <f aca="false">IF(A1313="","",IF(D1313="GCIA LINEA SERVICIO DIGITALIDAD Y VENTAS","Chats",IF(OR(D1313="GERENCIA INBOUND LÍNEAS SERVICIO Y VENTA",D1313="GERENCIA INBOUND LINEAS ESPECIALIZADAS"),"Llamadas","Otro")))</f>
        <v/>
      </c>
      <c r="I1313" s="23" t="str">
        <f aca="false">IF(A1313="","",IF(C1313="No encontrado","No","Sí"))</f>
        <v/>
      </c>
      <c r="J1313" s="23" t="str">
        <f aca="false">IF(A1313="","",IF(F1313="Inactivo","No","Sí"))</f>
        <v/>
      </c>
      <c r="K1313" s="23" t="str">
        <f aca="false">IF(A1313="","",IF(AND(I1313="Sí",J1313="Sí"),"Sí","No"))</f>
        <v/>
      </c>
    </row>
    <row r="1314" customFormat="false" ht="15" hidden="false" customHeight="false" outlineLevel="0" collapsed="false">
      <c r="A1314" s="22"/>
      <c r="B1314" s="22"/>
      <c r="C1314" s="26" t="str">
        <f aca="false">IF(A1314="","",IFERROR(buscarx(A1314&amp;B1314,DATA!$E$3:$E$10000&amp;DATA!$B$3:$B$10000,DATA!$M$3:$M$10000),"No encontrado"))</f>
        <v/>
      </c>
      <c r="D1314" s="27" t="str">
        <f aca="false">IF(A1314="","",IFERROR(buscarx(A1314&amp;B1314,DATA!$E$3:$E$10000&amp;DATA!$B$3:$B$10000,DATA!$W$3:$W$10000),"No encontrado"))</f>
        <v/>
      </c>
      <c r="E1314" s="22"/>
      <c r="F1314" s="26" t="str">
        <f aca="false">IF(A1314="","",IFERROR(buscarx(A1314&amp;E1314,DATA!$E$3:$E$10000&amp;DATA!$B$3:$B$10000,DATA!$M$3:$M$10000),"Inactivo"))</f>
        <v/>
      </c>
      <c r="G1314" s="28" t="str">
        <f aca="false">IF(A1314="","",IF(AND(C1314&lt;&gt;"No encontrado",F1314&lt;&gt;"Inactivo"),C1314&amp;" → "&amp;F1314,"Sin transición"))</f>
        <v/>
      </c>
      <c r="H1314" s="26" t="str">
        <f aca="false">IF(A1314="","",IF(D1314="GCIA LINEA SERVICIO DIGITALIDAD Y VENTAS","Chats",IF(OR(D1314="GERENCIA INBOUND LÍNEAS SERVICIO Y VENTA",D1314="GERENCIA INBOUND LINEAS ESPECIALIZADAS"),"Llamadas","Otro")))</f>
        <v/>
      </c>
      <c r="I1314" s="26" t="str">
        <f aca="false">IF(A1314="","",IF(C1314="No encontrado","No","Sí"))</f>
        <v/>
      </c>
      <c r="J1314" s="26" t="str">
        <f aca="false">IF(A1314="","",IF(F1314="Inactivo","No","Sí"))</f>
        <v/>
      </c>
      <c r="K1314" s="26" t="str">
        <f aca="false">IF(A1314="","",IF(AND(I1314="Sí",J1314="Sí"),"Sí","No"))</f>
        <v/>
      </c>
    </row>
    <row r="1315" customFormat="false" ht="15" hidden="false" customHeight="false" outlineLevel="0" collapsed="false">
      <c r="A1315" s="22"/>
      <c r="B1315" s="22"/>
      <c r="C1315" s="23" t="str">
        <f aca="false">IF(A1315="","",IFERROR(buscarx(A1315&amp;B1315,DATA!$E$3:$E$10000&amp;DATA!$B$3:$B$10000,DATA!$M$3:$M$10000),"No encontrado"))</f>
        <v/>
      </c>
      <c r="D1315" s="24" t="str">
        <f aca="false">IF(A1315="","",IFERROR(buscarx(A1315&amp;B1315,DATA!$E$3:$E$10000&amp;DATA!$B$3:$B$10000,DATA!$W$3:$W$10000),"No encontrado"))</f>
        <v/>
      </c>
      <c r="E1315" s="22"/>
      <c r="F1315" s="23" t="str">
        <f aca="false">IF(A1315="","",IFERROR(buscarx(A1315&amp;E1315,DATA!$E$3:$E$10000&amp;DATA!$B$3:$B$10000,DATA!$M$3:$M$10000),"Inactivo"))</f>
        <v/>
      </c>
      <c r="G1315" s="25" t="str">
        <f aca="false">IF(A1315="","",IF(AND(C1315&lt;&gt;"No encontrado",F1315&lt;&gt;"Inactivo"),C1315&amp;" → "&amp;F1315,"Sin transición"))</f>
        <v/>
      </c>
      <c r="H1315" s="23" t="str">
        <f aca="false">IF(A1315="","",IF(D1315="GCIA LINEA SERVICIO DIGITALIDAD Y VENTAS","Chats",IF(OR(D1315="GERENCIA INBOUND LÍNEAS SERVICIO Y VENTA",D1315="GERENCIA INBOUND LINEAS ESPECIALIZADAS"),"Llamadas","Otro")))</f>
        <v/>
      </c>
      <c r="I1315" s="23" t="str">
        <f aca="false">IF(A1315="","",IF(C1315="No encontrado","No","Sí"))</f>
        <v/>
      </c>
      <c r="J1315" s="23" t="str">
        <f aca="false">IF(A1315="","",IF(F1315="Inactivo","No","Sí"))</f>
        <v/>
      </c>
      <c r="K1315" s="23" t="str">
        <f aca="false">IF(A1315="","",IF(AND(I1315="Sí",J1315="Sí"),"Sí","No"))</f>
        <v/>
      </c>
    </row>
    <row r="1316" customFormat="false" ht="15" hidden="false" customHeight="false" outlineLevel="0" collapsed="false">
      <c r="A1316" s="22"/>
      <c r="B1316" s="22"/>
      <c r="C1316" s="26" t="str">
        <f aca="false">IF(A1316="","",IFERROR(buscarx(A1316&amp;B1316,DATA!$E$3:$E$10000&amp;DATA!$B$3:$B$10000,DATA!$M$3:$M$10000),"No encontrado"))</f>
        <v/>
      </c>
      <c r="D1316" s="27" t="str">
        <f aca="false">IF(A1316="","",IFERROR(buscarx(A1316&amp;B1316,DATA!$E$3:$E$10000&amp;DATA!$B$3:$B$10000,DATA!$W$3:$W$10000),"No encontrado"))</f>
        <v/>
      </c>
      <c r="E1316" s="22"/>
      <c r="F1316" s="26" t="str">
        <f aca="false">IF(A1316="","",IFERROR(buscarx(A1316&amp;E1316,DATA!$E$3:$E$10000&amp;DATA!$B$3:$B$10000,DATA!$M$3:$M$10000),"Inactivo"))</f>
        <v/>
      </c>
      <c r="G1316" s="28" t="str">
        <f aca="false">IF(A1316="","",IF(AND(C1316&lt;&gt;"No encontrado",F1316&lt;&gt;"Inactivo"),C1316&amp;" → "&amp;F1316,"Sin transición"))</f>
        <v/>
      </c>
      <c r="H1316" s="26" t="str">
        <f aca="false">IF(A1316="","",IF(D1316="GCIA LINEA SERVICIO DIGITALIDAD Y VENTAS","Chats",IF(OR(D1316="GERENCIA INBOUND LÍNEAS SERVICIO Y VENTA",D1316="GERENCIA INBOUND LINEAS ESPECIALIZADAS"),"Llamadas","Otro")))</f>
        <v/>
      </c>
      <c r="I1316" s="26" t="str">
        <f aca="false">IF(A1316="","",IF(C1316="No encontrado","No","Sí"))</f>
        <v/>
      </c>
      <c r="J1316" s="26" t="str">
        <f aca="false">IF(A1316="","",IF(F1316="Inactivo","No","Sí"))</f>
        <v/>
      </c>
      <c r="K1316" s="26" t="str">
        <f aca="false">IF(A1316="","",IF(AND(I1316="Sí",J1316="Sí"),"Sí","No"))</f>
        <v/>
      </c>
    </row>
    <row r="1317" customFormat="false" ht="15" hidden="false" customHeight="false" outlineLevel="0" collapsed="false">
      <c r="A1317" s="22"/>
      <c r="B1317" s="22"/>
      <c r="C1317" s="23" t="str">
        <f aca="false">IF(A1317="","",IFERROR(buscarx(A1317&amp;B1317,DATA!$E$3:$E$10000&amp;DATA!$B$3:$B$10000,DATA!$M$3:$M$10000),"No encontrado"))</f>
        <v/>
      </c>
      <c r="D1317" s="24" t="str">
        <f aca="false">IF(A1317="","",IFERROR(buscarx(A1317&amp;B1317,DATA!$E$3:$E$10000&amp;DATA!$B$3:$B$10000,DATA!$W$3:$W$10000),"No encontrado"))</f>
        <v/>
      </c>
      <c r="E1317" s="22"/>
      <c r="F1317" s="23" t="str">
        <f aca="false">IF(A1317="","",IFERROR(buscarx(A1317&amp;E1317,DATA!$E$3:$E$10000&amp;DATA!$B$3:$B$10000,DATA!$M$3:$M$10000),"Inactivo"))</f>
        <v/>
      </c>
      <c r="G1317" s="25" t="str">
        <f aca="false">IF(A1317="","",IF(AND(C1317&lt;&gt;"No encontrado",F1317&lt;&gt;"Inactivo"),C1317&amp;" → "&amp;F1317,"Sin transición"))</f>
        <v/>
      </c>
      <c r="H1317" s="23" t="str">
        <f aca="false">IF(A1317="","",IF(D1317="GCIA LINEA SERVICIO DIGITALIDAD Y VENTAS","Chats",IF(OR(D1317="GERENCIA INBOUND LÍNEAS SERVICIO Y VENTA",D1317="GERENCIA INBOUND LINEAS ESPECIALIZADAS"),"Llamadas","Otro")))</f>
        <v/>
      </c>
      <c r="I1317" s="23" t="str">
        <f aca="false">IF(A1317="","",IF(C1317="No encontrado","No","Sí"))</f>
        <v/>
      </c>
      <c r="J1317" s="23" t="str">
        <f aca="false">IF(A1317="","",IF(F1317="Inactivo","No","Sí"))</f>
        <v/>
      </c>
      <c r="K1317" s="23" t="str">
        <f aca="false">IF(A1317="","",IF(AND(I1317="Sí",J1317="Sí"),"Sí","No"))</f>
        <v/>
      </c>
    </row>
    <row r="1318" customFormat="false" ht="15" hidden="false" customHeight="false" outlineLevel="0" collapsed="false">
      <c r="A1318" s="22"/>
      <c r="B1318" s="22"/>
      <c r="C1318" s="26" t="str">
        <f aca="false">IF(A1318="","",IFERROR(buscarx(A1318&amp;B1318,DATA!$E$3:$E$10000&amp;DATA!$B$3:$B$10000,DATA!$M$3:$M$10000),"No encontrado"))</f>
        <v/>
      </c>
      <c r="D1318" s="27" t="str">
        <f aca="false">IF(A1318="","",IFERROR(buscarx(A1318&amp;B1318,DATA!$E$3:$E$10000&amp;DATA!$B$3:$B$10000,DATA!$W$3:$W$10000),"No encontrado"))</f>
        <v/>
      </c>
      <c r="E1318" s="22"/>
      <c r="F1318" s="26" t="str">
        <f aca="false">IF(A1318="","",IFERROR(buscarx(A1318&amp;E1318,DATA!$E$3:$E$10000&amp;DATA!$B$3:$B$10000,DATA!$M$3:$M$10000),"Inactivo"))</f>
        <v/>
      </c>
      <c r="G1318" s="28" t="str">
        <f aca="false">IF(A1318="","",IF(AND(C1318&lt;&gt;"No encontrado",F1318&lt;&gt;"Inactivo"),C1318&amp;" → "&amp;F1318,"Sin transición"))</f>
        <v/>
      </c>
      <c r="H1318" s="26" t="str">
        <f aca="false">IF(A1318="","",IF(D1318="GCIA LINEA SERVICIO DIGITALIDAD Y VENTAS","Chats",IF(OR(D1318="GERENCIA INBOUND LÍNEAS SERVICIO Y VENTA",D1318="GERENCIA INBOUND LINEAS ESPECIALIZADAS"),"Llamadas","Otro")))</f>
        <v/>
      </c>
      <c r="I1318" s="26" t="str">
        <f aca="false">IF(A1318="","",IF(C1318="No encontrado","No","Sí"))</f>
        <v/>
      </c>
      <c r="J1318" s="26" t="str">
        <f aca="false">IF(A1318="","",IF(F1318="Inactivo","No","Sí"))</f>
        <v/>
      </c>
      <c r="K1318" s="26" t="str">
        <f aca="false">IF(A1318="","",IF(AND(I1318="Sí",J1318="Sí"),"Sí","No"))</f>
        <v/>
      </c>
    </row>
    <row r="1319" customFormat="false" ht="15" hidden="false" customHeight="false" outlineLevel="0" collapsed="false">
      <c r="A1319" s="22"/>
      <c r="B1319" s="22"/>
      <c r="C1319" s="23" t="str">
        <f aca="false">IF(A1319="","",IFERROR(buscarx(A1319&amp;B1319,DATA!$E$3:$E$10000&amp;DATA!$B$3:$B$10000,DATA!$M$3:$M$10000),"No encontrado"))</f>
        <v/>
      </c>
      <c r="D1319" s="24" t="str">
        <f aca="false">IF(A1319="","",IFERROR(buscarx(A1319&amp;B1319,DATA!$E$3:$E$10000&amp;DATA!$B$3:$B$10000,DATA!$W$3:$W$10000),"No encontrado"))</f>
        <v/>
      </c>
      <c r="E1319" s="22"/>
      <c r="F1319" s="23" t="str">
        <f aca="false">IF(A1319="","",IFERROR(buscarx(A1319&amp;E1319,DATA!$E$3:$E$10000&amp;DATA!$B$3:$B$10000,DATA!$M$3:$M$10000),"Inactivo"))</f>
        <v/>
      </c>
      <c r="G1319" s="25" t="str">
        <f aca="false">IF(A1319="","",IF(AND(C1319&lt;&gt;"No encontrado",F1319&lt;&gt;"Inactivo"),C1319&amp;" → "&amp;F1319,"Sin transición"))</f>
        <v/>
      </c>
      <c r="H1319" s="23" t="str">
        <f aca="false">IF(A1319="","",IF(D1319="GCIA LINEA SERVICIO DIGITALIDAD Y VENTAS","Chats",IF(OR(D1319="GERENCIA INBOUND LÍNEAS SERVICIO Y VENTA",D1319="GERENCIA INBOUND LINEAS ESPECIALIZADAS"),"Llamadas","Otro")))</f>
        <v/>
      </c>
      <c r="I1319" s="23" t="str">
        <f aca="false">IF(A1319="","",IF(C1319="No encontrado","No","Sí"))</f>
        <v/>
      </c>
      <c r="J1319" s="23" t="str">
        <f aca="false">IF(A1319="","",IF(F1319="Inactivo","No","Sí"))</f>
        <v/>
      </c>
      <c r="K1319" s="23" t="str">
        <f aca="false">IF(A1319="","",IF(AND(I1319="Sí",J1319="Sí"),"Sí","No"))</f>
        <v/>
      </c>
    </row>
    <row r="1320" customFormat="false" ht="15" hidden="false" customHeight="false" outlineLevel="0" collapsed="false">
      <c r="A1320" s="22"/>
      <c r="B1320" s="22"/>
      <c r="C1320" s="26" t="str">
        <f aca="false">IF(A1320="","",IFERROR(buscarx(A1320&amp;B1320,DATA!$E$3:$E$10000&amp;DATA!$B$3:$B$10000,DATA!$M$3:$M$10000),"No encontrado"))</f>
        <v/>
      </c>
      <c r="D1320" s="27" t="str">
        <f aca="false">IF(A1320="","",IFERROR(buscarx(A1320&amp;B1320,DATA!$E$3:$E$10000&amp;DATA!$B$3:$B$10000,DATA!$W$3:$W$10000),"No encontrado"))</f>
        <v/>
      </c>
      <c r="E1320" s="22"/>
      <c r="F1320" s="26" t="str">
        <f aca="false">IF(A1320="","",IFERROR(buscarx(A1320&amp;E1320,DATA!$E$3:$E$10000&amp;DATA!$B$3:$B$10000,DATA!$M$3:$M$10000),"Inactivo"))</f>
        <v/>
      </c>
      <c r="G1320" s="28" t="str">
        <f aca="false">IF(A1320="","",IF(AND(C1320&lt;&gt;"No encontrado",F1320&lt;&gt;"Inactivo"),C1320&amp;" → "&amp;F1320,"Sin transición"))</f>
        <v/>
      </c>
      <c r="H1320" s="26" t="str">
        <f aca="false">IF(A1320="","",IF(D1320="GCIA LINEA SERVICIO DIGITALIDAD Y VENTAS","Chats",IF(OR(D1320="GERENCIA INBOUND LÍNEAS SERVICIO Y VENTA",D1320="GERENCIA INBOUND LINEAS ESPECIALIZADAS"),"Llamadas","Otro")))</f>
        <v/>
      </c>
      <c r="I1320" s="26" t="str">
        <f aca="false">IF(A1320="","",IF(C1320="No encontrado","No","Sí"))</f>
        <v/>
      </c>
      <c r="J1320" s="26" t="str">
        <f aca="false">IF(A1320="","",IF(F1320="Inactivo","No","Sí"))</f>
        <v/>
      </c>
      <c r="K1320" s="26" t="str">
        <f aca="false">IF(A1320="","",IF(AND(I1320="Sí",J1320="Sí"),"Sí","No"))</f>
        <v/>
      </c>
    </row>
    <row r="1321" customFormat="false" ht="15" hidden="false" customHeight="false" outlineLevel="0" collapsed="false">
      <c r="A1321" s="22"/>
      <c r="B1321" s="22"/>
      <c r="C1321" s="23" t="str">
        <f aca="false">IF(A1321="","",IFERROR(buscarx(A1321&amp;B1321,DATA!$E$3:$E$10000&amp;DATA!$B$3:$B$10000,DATA!$M$3:$M$10000),"No encontrado"))</f>
        <v/>
      </c>
      <c r="D1321" s="24" t="str">
        <f aca="false">IF(A1321="","",IFERROR(buscarx(A1321&amp;B1321,DATA!$E$3:$E$10000&amp;DATA!$B$3:$B$10000,DATA!$W$3:$W$10000),"No encontrado"))</f>
        <v/>
      </c>
      <c r="E1321" s="22"/>
      <c r="F1321" s="23" t="str">
        <f aca="false">IF(A1321="","",IFERROR(buscarx(A1321&amp;E1321,DATA!$E$3:$E$10000&amp;DATA!$B$3:$B$10000,DATA!$M$3:$M$10000),"Inactivo"))</f>
        <v/>
      </c>
      <c r="G1321" s="25" t="str">
        <f aca="false">IF(A1321="","",IF(AND(C1321&lt;&gt;"No encontrado",F1321&lt;&gt;"Inactivo"),C1321&amp;" → "&amp;F1321,"Sin transición"))</f>
        <v/>
      </c>
      <c r="H1321" s="23" t="str">
        <f aca="false">IF(A1321="","",IF(D1321="GCIA LINEA SERVICIO DIGITALIDAD Y VENTAS","Chats",IF(OR(D1321="GERENCIA INBOUND LÍNEAS SERVICIO Y VENTA",D1321="GERENCIA INBOUND LINEAS ESPECIALIZADAS"),"Llamadas","Otro")))</f>
        <v/>
      </c>
      <c r="I1321" s="23" t="str">
        <f aca="false">IF(A1321="","",IF(C1321="No encontrado","No","Sí"))</f>
        <v/>
      </c>
      <c r="J1321" s="23" t="str">
        <f aca="false">IF(A1321="","",IF(F1321="Inactivo","No","Sí"))</f>
        <v/>
      </c>
      <c r="K1321" s="23" t="str">
        <f aca="false">IF(A1321="","",IF(AND(I1321="Sí",J1321="Sí"),"Sí","No"))</f>
        <v/>
      </c>
    </row>
    <row r="1322" customFormat="false" ht="15" hidden="false" customHeight="false" outlineLevel="0" collapsed="false">
      <c r="A1322" s="22"/>
      <c r="B1322" s="22"/>
      <c r="C1322" s="26" t="str">
        <f aca="false">IF(A1322="","",IFERROR(buscarx(A1322&amp;B1322,DATA!$E$3:$E$10000&amp;DATA!$B$3:$B$10000,DATA!$M$3:$M$10000),"No encontrado"))</f>
        <v/>
      </c>
      <c r="D1322" s="27" t="str">
        <f aca="false">IF(A1322="","",IFERROR(buscarx(A1322&amp;B1322,DATA!$E$3:$E$10000&amp;DATA!$B$3:$B$10000,DATA!$W$3:$W$10000),"No encontrado"))</f>
        <v/>
      </c>
      <c r="E1322" s="22"/>
      <c r="F1322" s="26" t="str">
        <f aca="false">IF(A1322="","",IFERROR(buscarx(A1322&amp;E1322,DATA!$E$3:$E$10000&amp;DATA!$B$3:$B$10000,DATA!$M$3:$M$10000),"Inactivo"))</f>
        <v/>
      </c>
      <c r="G1322" s="28" t="str">
        <f aca="false">IF(A1322="","",IF(AND(C1322&lt;&gt;"No encontrado",F1322&lt;&gt;"Inactivo"),C1322&amp;" → "&amp;F1322,"Sin transición"))</f>
        <v/>
      </c>
      <c r="H1322" s="26" t="str">
        <f aca="false">IF(A1322="","",IF(D1322="GCIA LINEA SERVICIO DIGITALIDAD Y VENTAS","Chats",IF(OR(D1322="GERENCIA INBOUND LÍNEAS SERVICIO Y VENTA",D1322="GERENCIA INBOUND LINEAS ESPECIALIZADAS"),"Llamadas","Otro")))</f>
        <v/>
      </c>
      <c r="I1322" s="26" t="str">
        <f aca="false">IF(A1322="","",IF(C1322="No encontrado","No","Sí"))</f>
        <v/>
      </c>
      <c r="J1322" s="26" t="str">
        <f aca="false">IF(A1322="","",IF(F1322="Inactivo","No","Sí"))</f>
        <v/>
      </c>
      <c r="K1322" s="26" t="str">
        <f aca="false">IF(A1322="","",IF(AND(I1322="Sí",J1322="Sí"),"Sí","No"))</f>
        <v/>
      </c>
    </row>
    <row r="1323" customFormat="false" ht="15" hidden="false" customHeight="false" outlineLevel="0" collapsed="false">
      <c r="A1323" s="22"/>
      <c r="B1323" s="22"/>
      <c r="C1323" s="23" t="str">
        <f aca="false">IF(A1323="","",IFERROR(buscarx(A1323&amp;B1323,DATA!$E$3:$E$10000&amp;DATA!$B$3:$B$10000,DATA!$M$3:$M$10000),"No encontrado"))</f>
        <v/>
      </c>
      <c r="D1323" s="24" t="str">
        <f aca="false">IF(A1323="","",IFERROR(buscarx(A1323&amp;B1323,DATA!$E$3:$E$10000&amp;DATA!$B$3:$B$10000,DATA!$W$3:$W$10000),"No encontrado"))</f>
        <v/>
      </c>
      <c r="E1323" s="22"/>
      <c r="F1323" s="23" t="str">
        <f aca="false">IF(A1323="","",IFERROR(buscarx(A1323&amp;E1323,DATA!$E$3:$E$10000&amp;DATA!$B$3:$B$10000,DATA!$M$3:$M$10000),"Inactivo"))</f>
        <v/>
      </c>
      <c r="G1323" s="25" t="str">
        <f aca="false">IF(A1323="","",IF(AND(C1323&lt;&gt;"No encontrado",F1323&lt;&gt;"Inactivo"),C1323&amp;" → "&amp;F1323,"Sin transición"))</f>
        <v/>
      </c>
      <c r="H1323" s="23" t="str">
        <f aca="false">IF(A1323="","",IF(D1323="GCIA LINEA SERVICIO DIGITALIDAD Y VENTAS","Chats",IF(OR(D1323="GERENCIA INBOUND LÍNEAS SERVICIO Y VENTA",D1323="GERENCIA INBOUND LINEAS ESPECIALIZADAS"),"Llamadas","Otro")))</f>
        <v/>
      </c>
      <c r="I1323" s="23" t="str">
        <f aca="false">IF(A1323="","",IF(C1323="No encontrado","No","Sí"))</f>
        <v/>
      </c>
      <c r="J1323" s="23" t="str">
        <f aca="false">IF(A1323="","",IF(F1323="Inactivo","No","Sí"))</f>
        <v/>
      </c>
      <c r="K1323" s="23" t="str">
        <f aca="false">IF(A1323="","",IF(AND(I1323="Sí",J1323="Sí"),"Sí","No"))</f>
        <v/>
      </c>
    </row>
    <row r="1324" customFormat="false" ht="15" hidden="false" customHeight="false" outlineLevel="0" collapsed="false">
      <c r="A1324" s="22"/>
      <c r="B1324" s="22"/>
      <c r="C1324" s="26" t="str">
        <f aca="false">IF(A1324="","",IFERROR(buscarx(A1324&amp;B1324,DATA!$E$3:$E$10000&amp;DATA!$B$3:$B$10000,DATA!$M$3:$M$10000),"No encontrado"))</f>
        <v/>
      </c>
      <c r="D1324" s="27" t="str">
        <f aca="false">IF(A1324="","",IFERROR(buscarx(A1324&amp;B1324,DATA!$E$3:$E$10000&amp;DATA!$B$3:$B$10000,DATA!$W$3:$W$10000),"No encontrado"))</f>
        <v/>
      </c>
      <c r="E1324" s="22"/>
      <c r="F1324" s="26" t="str">
        <f aca="false">IF(A1324="","",IFERROR(buscarx(A1324&amp;E1324,DATA!$E$3:$E$10000&amp;DATA!$B$3:$B$10000,DATA!$M$3:$M$10000),"Inactivo"))</f>
        <v/>
      </c>
      <c r="G1324" s="28" t="str">
        <f aca="false">IF(A1324="","",IF(AND(C1324&lt;&gt;"No encontrado",F1324&lt;&gt;"Inactivo"),C1324&amp;" → "&amp;F1324,"Sin transición"))</f>
        <v/>
      </c>
      <c r="H1324" s="26" t="str">
        <f aca="false">IF(A1324="","",IF(D1324="GCIA LINEA SERVICIO DIGITALIDAD Y VENTAS","Chats",IF(OR(D1324="GERENCIA INBOUND LÍNEAS SERVICIO Y VENTA",D1324="GERENCIA INBOUND LINEAS ESPECIALIZADAS"),"Llamadas","Otro")))</f>
        <v/>
      </c>
      <c r="I1324" s="26" t="str">
        <f aca="false">IF(A1324="","",IF(C1324="No encontrado","No","Sí"))</f>
        <v/>
      </c>
      <c r="J1324" s="26" t="str">
        <f aca="false">IF(A1324="","",IF(F1324="Inactivo","No","Sí"))</f>
        <v/>
      </c>
      <c r="K1324" s="26" t="str">
        <f aca="false">IF(A1324="","",IF(AND(I1324="Sí",J1324="Sí"),"Sí","No"))</f>
        <v/>
      </c>
    </row>
    <row r="1325" customFormat="false" ht="15" hidden="false" customHeight="false" outlineLevel="0" collapsed="false">
      <c r="A1325" s="22"/>
      <c r="B1325" s="22"/>
      <c r="C1325" s="23" t="str">
        <f aca="false">IF(A1325="","",IFERROR(buscarx(A1325&amp;B1325,DATA!$E$3:$E$10000&amp;DATA!$B$3:$B$10000,DATA!$M$3:$M$10000),"No encontrado"))</f>
        <v/>
      </c>
      <c r="D1325" s="24" t="str">
        <f aca="false">IF(A1325="","",IFERROR(buscarx(A1325&amp;B1325,DATA!$E$3:$E$10000&amp;DATA!$B$3:$B$10000,DATA!$W$3:$W$10000),"No encontrado"))</f>
        <v/>
      </c>
      <c r="E1325" s="22"/>
      <c r="F1325" s="23" t="str">
        <f aca="false">IF(A1325="","",IFERROR(buscarx(A1325&amp;E1325,DATA!$E$3:$E$10000&amp;DATA!$B$3:$B$10000,DATA!$M$3:$M$10000),"Inactivo"))</f>
        <v/>
      </c>
      <c r="G1325" s="25" t="str">
        <f aca="false">IF(A1325="","",IF(AND(C1325&lt;&gt;"No encontrado",F1325&lt;&gt;"Inactivo"),C1325&amp;" → "&amp;F1325,"Sin transición"))</f>
        <v/>
      </c>
      <c r="H1325" s="23" t="str">
        <f aca="false">IF(A1325="","",IF(D1325="GCIA LINEA SERVICIO DIGITALIDAD Y VENTAS","Chats",IF(OR(D1325="GERENCIA INBOUND LÍNEAS SERVICIO Y VENTA",D1325="GERENCIA INBOUND LINEAS ESPECIALIZADAS"),"Llamadas","Otro")))</f>
        <v/>
      </c>
      <c r="I1325" s="23" t="str">
        <f aca="false">IF(A1325="","",IF(C1325="No encontrado","No","Sí"))</f>
        <v/>
      </c>
      <c r="J1325" s="23" t="str">
        <f aca="false">IF(A1325="","",IF(F1325="Inactivo","No","Sí"))</f>
        <v/>
      </c>
      <c r="K1325" s="23" t="str">
        <f aca="false">IF(A1325="","",IF(AND(I1325="Sí",J1325="Sí"),"Sí","No"))</f>
        <v/>
      </c>
    </row>
    <row r="1326" customFormat="false" ht="15" hidden="false" customHeight="false" outlineLevel="0" collapsed="false">
      <c r="A1326" s="22"/>
      <c r="B1326" s="22"/>
      <c r="C1326" s="26" t="str">
        <f aca="false">IF(A1326="","",IFERROR(buscarx(A1326&amp;B1326,DATA!$E$3:$E$10000&amp;DATA!$B$3:$B$10000,DATA!$M$3:$M$10000),"No encontrado"))</f>
        <v/>
      </c>
      <c r="D1326" s="27" t="str">
        <f aca="false">IF(A1326="","",IFERROR(buscarx(A1326&amp;B1326,DATA!$E$3:$E$10000&amp;DATA!$B$3:$B$10000,DATA!$W$3:$W$10000),"No encontrado"))</f>
        <v/>
      </c>
      <c r="E1326" s="22"/>
      <c r="F1326" s="26" t="str">
        <f aca="false">IF(A1326="","",IFERROR(buscarx(A1326&amp;E1326,DATA!$E$3:$E$10000&amp;DATA!$B$3:$B$10000,DATA!$M$3:$M$10000),"Inactivo"))</f>
        <v/>
      </c>
      <c r="G1326" s="28" t="str">
        <f aca="false">IF(A1326="","",IF(AND(C1326&lt;&gt;"No encontrado",F1326&lt;&gt;"Inactivo"),C1326&amp;" → "&amp;F1326,"Sin transición"))</f>
        <v/>
      </c>
      <c r="H1326" s="26" t="str">
        <f aca="false">IF(A1326="","",IF(D1326="GCIA LINEA SERVICIO DIGITALIDAD Y VENTAS","Chats",IF(OR(D1326="GERENCIA INBOUND LÍNEAS SERVICIO Y VENTA",D1326="GERENCIA INBOUND LINEAS ESPECIALIZADAS"),"Llamadas","Otro")))</f>
        <v/>
      </c>
      <c r="I1326" s="26" t="str">
        <f aca="false">IF(A1326="","",IF(C1326="No encontrado","No","Sí"))</f>
        <v/>
      </c>
      <c r="J1326" s="26" t="str">
        <f aca="false">IF(A1326="","",IF(F1326="Inactivo","No","Sí"))</f>
        <v/>
      </c>
      <c r="K1326" s="26" t="str">
        <f aca="false">IF(A1326="","",IF(AND(I1326="Sí",J1326="Sí"),"Sí","No"))</f>
        <v/>
      </c>
    </row>
    <row r="1327" customFormat="false" ht="15" hidden="false" customHeight="false" outlineLevel="0" collapsed="false">
      <c r="A1327" s="22"/>
      <c r="B1327" s="22"/>
      <c r="C1327" s="23" t="str">
        <f aca="false">IF(A1327="","",IFERROR(buscarx(A1327&amp;B1327,DATA!$E$3:$E$10000&amp;DATA!$B$3:$B$10000,DATA!$M$3:$M$10000),"No encontrado"))</f>
        <v/>
      </c>
      <c r="D1327" s="24" t="str">
        <f aca="false">IF(A1327="","",IFERROR(buscarx(A1327&amp;B1327,DATA!$E$3:$E$10000&amp;DATA!$B$3:$B$10000,DATA!$W$3:$W$10000),"No encontrado"))</f>
        <v/>
      </c>
      <c r="E1327" s="22"/>
      <c r="F1327" s="23" t="str">
        <f aca="false">IF(A1327="","",IFERROR(buscarx(A1327&amp;E1327,DATA!$E$3:$E$10000&amp;DATA!$B$3:$B$10000,DATA!$M$3:$M$10000),"Inactivo"))</f>
        <v/>
      </c>
      <c r="G1327" s="25" t="str">
        <f aca="false">IF(A1327="","",IF(AND(C1327&lt;&gt;"No encontrado",F1327&lt;&gt;"Inactivo"),C1327&amp;" → "&amp;F1327,"Sin transición"))</f>
        <v/>
      </c>
      <c r="H1327" s="23" t="str">
        <f aca="false">IF(A1327="","",IF(D1327="GCIA LINEA SERVICIO DIGITALIDAD Y VENTAS","Chats",IF(OR(D1327="GERENCIA INBOUND LÍNEAS SERVICIO Y VENTA",D1327="GERENCIA INBOUND LINEAS ESPECIALIZADAS"),"Llamadas","Otro")))</f>
        <v/>
      </c>
      <c r="I1327" s="23" t="str">
        <f aca="false">IF(A1327="","",IF(C1327="No encontrado","No","Sí"))</f>
        <v/>
      </c>
      <c r="J1327" s="23" t="str">
        <f aca="false">IF(A1327="","",IF(F1327="Inactivo","No","Sí"))</f>
        <v/>
      </c>
      <c r="K1327" s="23" t="str">
        <f aca="false">IF(A1327="","",IF(AND(I1327="Sí",J1327="Sí"),"Sí","No"))</f>
        <v/>
      </c>
    </row>
    <row r="1328" customFormat="false" ht="15" hidden="false" customHeight="false" outlineLevel="0" collapsed="false">
      <c r="A1328" s="22"/>
      <c r="B1328" s="22"/>
      <c r="C1328" s="26" t="str">
        <f aca="false">IF(A1328="","",IFERROR(buscarx(A1328&amp;B1328,DATA!$E$3:$E$10000&amp;DATA!$B$3:$B$10000,DATA!$M$3:$M$10000),"No encontrado"))</f>
        <v/>
      </c>
      <c r="D1328" s="27" t="str">
        <f aca="false">IF(A1328="","",IFERROR(buscarx(A1328&amp;B1328,DATA!$E$3:$E$10000&amp;DATA!$B$3:$B$10000,DATA!$W$3:$W$10000),"No encontrado"))</f>
        <v/>
      </c>
      <c r="E1328" s="22"/>
      <c r="F1328" s="26" t="str">
        <f aca="false">IF(A1328="","",IFERROR(buscarx(A1328&amp;E1328,DATA!$E$3:$E$10000&amp;DATA!$B$3:$B$10000,DATA!$M$3:$M$10000),"Inactivo"))</f>
        <v/>
      </c>
      <c r="G1328" s="28" t="str">
        <f aca="false">IF(A1328="","",IF(AND(C1328&lt;&gt;"No encontrado",F1328&lt;&gt;"Inactivo"),C1328&amp;" → "&amp;F1328,"Sin transición"))</f>
        <v/>
      </c>
      <c r="H1328" s="26" t="str">
        <f aca="false">IF(A1328="","",IF(D1328="GCIA LINEA SERVICIO DIGITALIDAD Y VENTAS","Chats",IF(OR(D1328="GERENCIA INBOUND LÍNEAS SERVICIO Y VENTA",D1328="GERENCIA INBOUND LINEAS ESPECIALIZADAS"),"Llamadas","Otro")))</f>
        <v/>
      </c>
      <c r="I1328" s="26" t="str">
        <f aca="false">IF(A1328="","",IF(C1328="No encontrado","No","Sí"))</f>
        <v/>
      </c>
      <c r="J1328" s="26" t="str">
        <f aca="false">IF(A1328="","",IF(F1328="Inactivo","No","Sí"))</f>
        <v/>
      </c>
      <c r="K1328" s="26" t="str">
        <f aca="false">IF(A1328="","",IF(AND(I1328="Sí",J1328="Sí"),"Sí","No"))</f>
        <v/>
      </c>
    </row>
    <row r="1329" customFormat="false" ht="15" hidden="false" customHeight="false" outlineLevel="0" collapsed="false">
      <c r="A1329" s="22"/>
      <c r="B1329" s="22"/>
      <c r="C1329" s="23" t="str">
        <f aca="false">IF(A1329="","",IFERROR(buscarx(A1329&amp;B1329,DATA!$E$3:$E$10000&amp;DATA!$B$3:$B$10000,DATA!$M$3:$M$10000),"No encontrado"))</f>
        <v/>
      </c>
      <c r="D1329" s="24" t="str">
        <f aca="false">IF(A1329="","",IFERROR(buscarx(A1329&amp;B1329,DATA!$E$3:$E$10000&amp;DATA!$B$3:$B$10000,DATA!$W$3:$W$10000),"No encontrado"))</f>
        <v/>
      </c>
      <c r="E1329" s="22"/>
      <c r="F1329" s="23" t="str">
        <f aca="false">IF(A1329="","",IFERROR(buscarx(A1329&amp;E1329,DATA!$E$3:$E$10000&amp;DATA!$B$3:$B$10000,DATA!$M$3:$M$10000),"Inactivo"))</f>
        <v/>
      </c>
      <c r="G1329" s="25" t="str">
        <f aca="false">IF(A1329="","",IF(AND(C1329&lt;&gt;"No encontrado",F1329&lt;&gt;"Inactivo"),C1329&amp;" → "&amp;F1329,"Sin transición"))</f>
        <v/>
      </c>
      <c r="H1329" s="23" t="str">
        <f aca="false">IF(A1329="","",IF(D1329="GCIA LINEA SERVICIO DIGITALIDAD Y VENTAS","Chats",IF(OR(D1329="GERENCIA INBOUND LÍNEAS SERVICIO Y VENTA",D1329="GERENCIA INBOUND LINEAS ESPECIALIZADAS"),"Llamadas","Otro")))</f>
        <v/>
      </c>
      <c r="I1329" s="23" t="str">
        <f aca="false">IF(A1329="","",IF(C1329="No encontrado","No","Sí"))</f>
        <v/>
      </c>
      <c r="J1329" s="23" t="str">
        <f aca="false">IF(A1329="","",IF(F1329="Inactivo","No","Sí"))</f>
        <v/>
      </c>
      <c r="K1329" s="23" t="str">
        <f aca="false">IF(A1329="","",IF(AND(I1329="Sí",J1329="Sí"),"Sí","No"))</f>
        <v/>
      </c>
    </row>
    <row r="1330" customFormat="false" ht="15" hidden="false" customHeight="false" outlineLevel="0" collapsed="false">
      <c r="A1330" s="22"/>
      <c r="B1330" s="22"/>
      <c r="C1330" s="26" t="str">
        <f aca="false">IF(A1330="","",IFERROR(buscarx(A1330&amp;B1330,DATA!$E$3:$E$10000&amp;DATA!$B$3:$B$10000,DATA!$M$3:$M$10000),"No encontrado"))</f>
        <v/>
      </c>
      <c r="D1330" s="27" t="str">
        <f aca="false">IF(A1330="","",IFERROR(buscarx(A1330&amp;B1330,DATA!$E$3:$E$10000&amp;DATA!$B$3:$B$10000,DATA!$W$3:$W$10000),"No encontrado"))</f>
        <v/>
      </c>
      <c r="E1330" s="22"/>
      <c r="F1330" s="26" t="str">
        <f aca="false">IF(A1330="","",IFERROR(buscarx(A1330&amp;E1330,DATA!$E$3:$E$10000&amp;DATA!$B$3:$B$10000,DATA!$M$3:$M$10000),"Inactivo"))</f>
        <v/>
      </c>
      <c r="G1330" s="28" t="str">
        <f aca="false">IF(A1330="","",IF(AND(C1330&lt;&gt;"No encontrado",F1330&lt;&gt;"Inactivo"),C1330&amp;" → "&amp;F1330,"Sin transición"))</f>
        <v/>
      </c>
      <c r="H1330" s="26" t="str">
        <f aca="false">IF(A1330="","",IF(D1330="GCIA LINEA SERVICIO DIGITALIDAD Y VENTAS","Chats",IF(OR(D1330="GERENCIA INBOUND LÍNEAS SERVICIO Y VENTA",D1330="GERENCIA INBOUND LINEAS ESPECIALIZADAS"),"Llamadas","Otro")))</f>
        <v/>
      </c>
      <c r="I1330" s="26" t="str">
        <f aca="false">IF(A1330="","",IF(C1330="No encontrado","No","Sí"))</f>
        <v/>
      </c>
      <c r="J1330" s="26" t="str">
        <f aca="false">IF(A1330="","",IF(F1330="Inactivo","No","Sí"))</f>
        <v/>
      </c>
      <c r="K1330" s="26" t="str">
        <f aca="false">IF(A1330="","",IF(AND(I1330="Sí",J1330="Sí"),"Sí","No"))</f>
        <v/>
      </c>
    </row>
    <row r="1331" customFormat="false" ht="15" hidden="false" customHeight="false" outlineLevel="0" collapsed="false">
      <c r="A1331" s="22"/>
      <c r="B1331" s="22"/>
      <c r="C1331" s="23" t="str">
        <f aca="false">IF(A1331="","",IFERROR(buscarx(A1331&amp;B1331,DATA!$E$3:$E$10000&amp;DATA!$B$3:$B$10000,DATA!$M$3:$M$10000),"No encontrado"))</f>
        <v/>
      </c>
      <c r="D1331" s="24" t="str">
        <f aca="false">IF(A1331="","",IFERROR(buscarx(A1331&amp;B1331,DATA!$E$3:$E$10000&amp;DATA!$B$3:$B$10000,DATA!$W$3:$W$10000),"No encontrado"))</f>
        <v/>
      </c>
      <c r="E1331" s="22"/>
      <c r="F1331" s="23" t="str">
        <f aca="false">IF(A1331="","",IFERROR(buscarx(A1331&amp;E1331,DATA!$E$3:$E$10000&amp;DATA!$B$3:$B$10000,DATA!$M$3:$M$10000),"Inactivo"))</f>
        <v/>
      </c>
      <c r="G1331" s="25" t="str">
        <f aca="false">IF(A1331="","",IF(AND(C1331&lt;&gt;"No encontrado",F1331&lt;&gt;"Inactivo"),C1331&amp;" → "&amp;F1331,"Sin transición"))</f>
        <v/>
      </c>
      <c r="H1331" s="23" t="str">
        <f aca="false">IF(A1331="","",IF(D1331="GCIA LINEA SERVICIO DIGITALIDAD Y VENTAS","Chats",IF(OR(D1331="GERENCIA INBOUND LÍNEAS SERVICIO Y VENTA",D1331="GERENCIA INBOUND LINEAS ESPECIALIZADAS"),"Llamadas","Otro")))</f>
        <v/>
      </c>
      <c r="I1331" s="23" t="str">
        <f aca="false">IF(A1331="","",IF(C1331="No encontrado","No","Sí"))</f>
        <v/>
      </c>
      <c r="J1331" s="23" t="str">
        <f aca="false">IF(A1331="","",IF(F1331="Inactivo","No","Sí"))</f>
        <v/>
      </c>
      <c r="K1331" s="23" t="str">
        <f aca="false">IF(A1331="","",IF(AND(I1331="Sí",J1331="Sí"),"Sí","No"))</f>
        <v/>
      </c>
    </row>
    <row r="1332" customFormat="false" ht="15" hidden="false" customHeight="false" outlineLevel="0" collapsed="false">
      <c r="A1332" s="22"/>
      <c r="B1332" s="22"/>
      <c r="C1332" s="26" t="str">
        <f aca="false">IF(A1332="","",IFERROR(buscarx(A1332&amp;B1332,DATA!$E$3:$E$10000&amp;DATA!$B$3:$B$10000,DATA!$M$3:$M$10000),"No encontrado"))</f>
        <v/>
      </c>
      <c r="D1332" s="27" t="str">
        <f aca="false">IF(A1332="","",IFERROR(buscarx(A1332&amp;B1332,DATA!$E$3:$E$10000&amp;DATA!$B$3:$B$10000,DATA!$W$3:$W$10000),"No encontrado"))</f>
        <v/>
      </c>
      <c r="E1332" s="22"/>
      <c r="F1332" s="26" t="str">
        <f aca="false">IF(A1332="","",IFERROR(buscarx(A1332&amp;E1332,DATA!$E$3:$E$10000&amp;DATA!$B$3:$B$10000,DATA!$M$3:$M$10000),"Inactivo"))</f>
        <v/>
      </c>
      <c r="G1332" s="28" t="str">
        <f aca="false">IF(A1332="","",IF(AND(C1332&lt;&gt;"No encontrado",F1332&lt;&gt;"Inactivo"),C1332&amp;" → "&amp;F1332,"Sin transición"))</f>
        <v/>
      </c>
      <c r="H1332" s="26" t="str">
        <f aca="false">IF(A1332="","",IF(D1332="GCIA LINEA SERVICIO DIGITALIDAD Y VENTAS","Chats",IF(OR(D1332="GERENCIA INBOUND LÍNEAS SERVICIO Y VENTA",D1332="GERENCIA INBOUND LINEAS ESPECIALIZADAS"),"Llamadas","Otro")))</f>
        <v/>
      </c>
      <c r="I1332" s="26" t="str">
        <f aca="false">IF(A1332="","",IF(C1332="No encontrado","No","Sí"))</f>
        <v/>
      </c>
      <c r="J1332" s="26" t="str">
        <f aca="false">IF(A1332="","",IF(F1332="Inactivo","No","Sí"))</f>
        <v/>
      </c>
      <c r="K1332" s="26" t="str">
        <f aca="false">IF(A1332="","",IF(AND(I1332="Sí",J1332="Sí"),"Sí","No"))</f>
        <v/>
      </c>
    </row>
    <row r="1333" customFormat="false" ht="15" hidden="false" customHeight="false" outlineLevel="0" collapsed="false">
      <c r="A1333" s="22"/>
      <c r="B1333" s="22"/>
      <c r="C1333" s="23" t="str">
        <f aca="false">IF(A1333="","",IFERROR(buscarx(A1333&amp;B1333,DATA!$E$3:$E$10000&amp;DATA!$B$3:$B$10000,DATA!$M$3:$M$10000),"No encontrado"))</f>
        <v/>
      </c>
      <c r="D1333" s="24" t="str">
        <f aca="false">IF(A1333="","",IFERROR(buscarx(A1333&amp;B1333,DATA!$E$3:$E$10000&amp;DATA!$B$3:$B$10000,DATA!$W$3:$W$10000),"No encontrado"))</f>
        <v/>
      </c>
      <c r="E1333" s="22"/>
      <c r="F1333" s="23" t="str">
        <f aca="false">IF(A1333="","",IFERROR(buscarx(A1333&amp;E1333,DATA!$E$3:$E$10000&amp;DATA!$B$3:$B$10000,DATA!$M$3:$M$10000),"Inactivo"))</f>
        <v/>
      </c>
      <c r="G1333" s="25" t="str">
        <f aca="false">IF(A1333="","",IF(AND(C1333&lt;&gt;"No encontrado",F1333&lt;&gt;"Inactivo"),C1333&amp;" → "&amp;F1333,"Sin transición"))</f>
        <v/>
      </c>
      <c r="H1333" s="23" t="str">
        <f aca="false">IF(A1333="","",IF(D1333="GCIA LINEA SERVICIO DIGITALIDAD Y VENTAS","Chats",IF(OR(D1333="GERENCIA INBOUND LÍNEAS SERVICIO Y VENTA",D1333="GERENCIA INBOUND LINEAS ESPECIALIZADAS"),"Llamadas","Otro")))</f>
        <v/>
      </c>
      <c r="I1333" s="23" t="str">
        <f aca="false">IF(A1333="","",IF(C1333="No encontrado","No","Sí"))</f>
        <v/>
      </c>
      <c r="J1333" s="23" t="str">
        <f aca="false">IF(A1333="","",IF(F1333="Inactivo","No","Sí"))</f>
        <v/>
      </c>
      <c r="K1333" s="23" t="str">
        <f aca="false">IF(A1333="","",IF(AND(I1333="Sí",J1333="Sí"),"Sí","No"))</f>
        <v/>
      </c>
    </row>
    <row r="1334" customFormat="false" ht="15" hidden="false" customHeight="false" outlineLevel="0" collapsed="false">
      <c r="A1334" s="22"/>
      <c r="B1334" s="22"/>
      <c r="C1334" s="26" t="str">
        <f aca="false">IF(A1334="","",IFERROR(buscarx(A1334&amp;B1334,DATA!$E$3:$E$10000&amp;DATA!$B$3:$B$10000,DATA!$M$3:$M$10000),"No encontrado"))</f>
        <v/>
      </c>
      <c r="D1334" s="27" t="str">
        <f aca="false">IF(A1334="","",IFERROR(buscarx(A1334&amp;B1334,DATA!$E$3:$E$10000&amp;DATA!$B$3:$B$10000,DATA!$W$3:$W$10000),"No encontrado"))</f>
        <v/>
      </c>
      <c r="E1334" s="22"/>
      <c r="F1334" s="26" t="str">
        <f aca="false">IF(A1334="","",IFERROR(buscarx(A1334&amp;E1334,DATA!$E$3:$E$10000&amp;DATA!$B$3:$B$10000,DATA!$M$3:$M$10000),"Inactivo"))</f>
        <v/>
      </c>
      <c r="G1334" s="28" t="str">
        <f aca="false">IF(A1334="","",IF(AND(C1334&lt;&gt;"No encontrado",F1334&lt;&gt;"Inactivo"),C1334&amp;" → "&amp;F1334,"Sin transición"))</f>
        <v/>
      </c>
      <c r="H1334" s="26" t="str">
        <f aca="false">IF(A1334="","",IF(D1334="GCIA LINEA SERVICIO DIGITALIDAD Y VENTAS","Chats",IF(OR(D1334="GERENCIA INBOUND LÍNEAS SERVICIO Y VENTA",D1334="GERENCIA INBOUND LINEAS ESPECIALIZADAS"),"Llamadas","Otro")))</f>
        <v/>
      </c>
      <c r="I1334" s="26" t="str">
        <f aca="false">IF(A1334="","",IF(C1334="No encontrado","No","Sí"))</f>
        <v/>
      </c>
      <c r="J1334" s="26" t="str">
        <f aca="false">IF(A1334="","",IF(F1334="Inactivo","No","Sí"))</f>
        <v/>
      </c>
      <c r="K1334" s="26" t="str">
        <f aca="false">IF(A1334="","",IF(AND(I1334="Sí",J1334="Sí"),"Sí","No"))</f>
        <v/>
      </c>
    </row>
    <row r="1335" customFormat="false" ht="15" hidden="false" customHeight="false" outlineLevel="0" collapsed="false">
      <c r="A1335" s="22"/>
      <c r="B1335" s="22"/>
      <c r="C1335" s="23" t="str">
        <f aca="false">IF(A1335="","",IFERROR(buscarx(A1335&amp;B1335,DATA!$E$3:$E$10000&amp;DATA!$B$3:$B$10000,DATA!$M$3:$M$10000),"No encontrado"))</f>
        <v/>
      </c>
      <c r="D1335" s="24" t="str">
        <f aca="false">IF(A1335="","",IFERROR(buscarx(A1335&amp;B1335,DATA!$E$3:$E$10000&amp;DATA!$B$3:$B$10000,DATA!$W$3:$W$10000),"No encontrado"))</f>
        <v/>
      </c>
      <c r="E1335" s="22"/>
      <c r="F1335" s="23" t="str">
        <f aca="false">IF(A1335="","",IFERROR(buscarx(A1335&amp;E1335,DATA!$E$3:$E$10000&amp;DATA!$B$3:$B$10000,DATA!$M$3:$M$10000),"Inactivo"))</f>
        <v/>
      </c>
      <c r="G1335" s="25" t="str">
        <f aca="false">IF(A1335="","",IF(AND(C1335&lt;&gt;"No encontrado",F1335&lt;&gt;"Inactivo"),C1335&amp;" → "&amp;F1335,"Sin transición"))</f>
        <v/>
      </c>
      <c r="H1335" s="23" t="str">
        <f aca="false">IF(A1335="","",IF(D1335="GCIA LINEA SERVICIO DIGITALIDAD Y VENTAS","Chats",IF(OR(D1335="GERENCIA INBOUND LÍNEAS SERVICIO Y VENTA",D1335="GERENCIA INBOUND LINEAS ESPECIALIZADAS"),"Llamadas","Otro")))</f>
        <v/>
      </c>
      <c r="I1335" s="23" t="str">
        <f aca="false">IF(A1335="","",IF(C1335="No encontrado","No","Sí"))</f>
        <v/>
      </c>
      <c r="J1335" s="23" t="str">
        <f aca="false">IF(A1335="","",IF(F1335="Inactivo","No","Sí"))</f>
        <v/>
      </c>
      <c r="K1335" s="23" t="str">
        <f aca="false">IF(A1335="","",IF(AND(I1335="Sí",J1335="Sí"),"Sí","No"))</f>
        <v/>
      </c>
    </row>
    <row r="1336" customFormat="false" ht="15" hidden="false" customHeight="false" outlineLevel="0" collapsed="false">
      <c r="A1336" s="22"/>
      <c r="B1336" s="22"/>
      <c r="C1336" s="26" t="str">
        <f aca="false">IF(A1336="","",IFERROR(buscarx(A1336&amp;B1336,DATA!$E$3:$E$10000&amp;DATA!$B$3:$B$10000,DATA!$M$3:$M$10000),"No encontrado"))</f>
        <v/>
      </c>
      <c r="D1336" s="27" t="str">
        <f aca="false">IF(A1336="","",IFERROR(buscarx(A1336&amp;B1336,DATA!$E$3:$E$10000&amp;DATA!$B$3:$B$10000,DATA!$W$3:$W$10000),"No encontrado"))</f>
        <v/>
      </c>
      <c r="E1336" s="22"/>
      <c r="F1336" s="26" t="str">
        <f aca="false">IF(A1336="","",IFERROR(buscarx(A1336&amp;E1336,DATA!$E$3:$E$10000&amp;DATA!$B$3:$B$10000,DATA!$M$3:$M$10000),"Inactivo"))</f>
        <v/>
      </c>
      <c r="G1336" s="28" t="str">
        <f aca="false">IF(A1336="","",IF(AND(C1336&lt;&gt;"No encontrado",F1336&lt;&gt;"Inactivo"),C1336&amp;" → "&amp;F1336,"Sin transición"))</f>
        <v/>
      </c>
      <c r="H1336" s="26" t="str">
        <f aca="false">IF(A1336="","",IF(D1336="GCIA LINEA SERVICIO DIGITALIDAD Y VENTAS","Chats",IF(OR(D1336="GERENCIA INBOUND LÍNEAS SERVICIO Y VENTA",D1336="GERENCIA INBOUND LINEAS ESPECIALIZADAS"),"Llamadas","Otro")))</f>
        <v/>
      </c>
      <c r="I1336" s="26" t="str">
        <f aca="false">IF(A1336="","",IF(C1336="No encontrado","No","Sí"))</f>
        <v/>
      </c>
      <c r="J1336" s="26" t="str">
        <f aca="false">IF(A1336="","",IF(F1336="Inactivo","No","Sí"))</f>
        <v/>
      </c>
      <c r="K1336" s="26" t="str">
        <f aca="false">IF(A1336="","",IF(AND(I1336="Sí",J1336="Sí"),"Sí","No"))</f>
        <v/>
      </c>
    </row>
    <row r="1337" customFormat="false" ht="15" hidden="false" customHeight="false" outlineLevel="0" collapsed="false">
      <c r="A1337" s="22"/>
      <c r="B1337" s="22"/>
      <c r="C1337" s="23" t="str">
        <f aca="false">IF(A1337="","",IFERROR(buscarx(A1337&amp;B1337,DATA!$E$3:$E$10000&amp;DATA!$B$3:$B$10000,DATA!$M$3:$M$10000),"No encontrado"))</f>
        <v/>
      </c>
      <c r="D1337" s="24" t="str">
        <f aca="false">IF(A1337="","",IFERROR(buscarx(A1337&amp;B1337,DATA!$E$3:$E$10000&amp;DATA!$B$3:$B$10000,DATA!$W$3:$W$10000),"No encontrado"))</f>
        <v/>
      </c>
      <c r="E1337" s="22"/>
      <c r="F1337" s="23" t="str">
        <f aca="false">IF(A1337="","",IFERROR(buscarx(A1337&amp;E1337,DATA!$E$3:$E$10000&amp;DATA!$B$3:$B$10000,DATA!$M$3:$M$10000),"Inactivo"))</f>
        <v/>
      </c>
      <c r="G1337" s="25" t="str">
        <f aca="false">IF(A1337="","",IF(AND(C1337&lt;&gt;"No encontrado",F1337&lt;&gt;"Inactivo"),C1337&amp;" → "&amp;F1337,"Sin transición"))</f>
        <v/>
      </c>
      <c r="H1337" s="23" t="str">
        <f aca="false">IF(A1337="","",IF(D1337="GCIA LINEA SERVICIO DIGITALIDAD Y VENTAS","Chats",IF(OR(D1337="GERENCIA INBOUND LÍNEAS SERVICIO Y VENTA",D1337="GERENCIA INBOUND LINEAS ESPECIALIZADAS"),"Llamadas","Otro")))</f>
        <v/>
      </c>
      <c r="I1337" s="23" t="str">
        <f aca="false">IF(A1337="","",IF(C1337="No encontrado","No","Sí"))</f>
        <v/>
      </c>
      <c r="J1337" s="23" t="str">
        <f aca="false">IF(A1337="","",IF(F1337="Inactivo","No","Sí"))</f>
        <v/>
      </c>
      <c r="K1337" s="23" t="str">
        <f aca="false">IF(A1337="","",IF(AND(I1337="Sí",J1337="Sí"),"Sí","No"))</f>
        <v/>
      </c>
    </row>
    <row r="1338" customFormat="false" ht="15" hidden="false" customHeight="false" outlineLevel="0" collapsed="false">
      <c r="A1338" s="22"/>
      <c r="B1338" s="22"/>
      <c r="C1338" s="26" t="str">
        <f aca="false">IF(A1338="","",IFERROR(buscarx(A1338&amp;B1338,DATA!$E$3:$E$10000&amp;DATA!$B$3:$B$10000,DATA!$M$3:$M$10000),"No encontrado"))</f>
        <v/>
      </c>
      <c r="D1338" s="27" t="str">
        <f aca="false">IF(A1338="","",IFERROR(buscarx(A1338&amp;B1338,DATA!$E$3:$E$10000&amp;DATA!$B$3:$B$10000,DATA!$W$3:$W$10000),"No encontrado"))</f>
        <v/>
      </c>
      <c r="E1338" s="22"/>
      <c r="F1338" s="26" t="str">
        <f aca="false">IF(A1338="","",IFERROR(buscarx(A1338&amp;E1338,DATA!$E$3:$E$10000&amp;DATA!$B$3:$B$10000,DATA!$M$3:$M$10000),"Inactivo"))</f>
        <v/>
      </c>
      <c r="G1338" s="28" t="str">
        <f aca="false">IF(A1338="","",IF(AND(C1338&lt;&gt;"No encontrado",F1338&lt;&gt;"Inactivo"),C1338&amp;" → "&amp;F1338,"Sin transición"))</f>
        <v/>
      </c>
      <c r="H1338" s="26" t="str">
        <f aca="false">IF(A1338="","",IF(D1338="GCIA LINEA SERVICIO DIGITALIDAD Y VENTAS","Chats",IF(OR(D1338="GERENCIA INBOUND LÍNEAS SERVICIO Y VENTA",D1338="GERENCIA INBOUND LINEAS ESPECIALIZADAS"),"Llamadas","Otro")))</f>
        <v/>
      </c>
      <c r="I1338" s="26" t="str">
        <f aca="false">IF(A1338="","",IF(C1338="No encontrado","No","Sí"))</f>
        <v/>
      </c>
      <c r="J1338" s="26" t="str">
        <f aca="false">IF(A1338="","",IF(F1338="Inactivo","No","Sí"))</f>
        <v/>
      </c>
      <c r="K1338" s="26" t="str">
        <f aca="false">IF(A1338="","",IF(AND(I1338="Sí",J1338="Sí"),"Sí","No"))</f>
        <v/>
      </c>
    </row>
    <row r="1339" customFormat="false" ht="15" hidden="false" customHeight="false" outlineLevel="0" collapsed="false">
      <c r="A1339" s="22"/>
      <c r="B1339" s="22"/>
      <c r="C1339" s="23" t="str">
        <f aca="false">IF(A1339="","",IFERROR(buscarx(A1339&amp;B1339,DATA!$E$3:$E$10000&amp;DATA!$B$3:$B$10000,DATA!$M$3:$M$10000),"No encontrado"))</f>
        <v/>
      </c>
      <c r="D1339" s="24" t="str">
        <f aca="false">IF(A1339="","",IFERROR(buscarx(A1339&amp;B1339,DATA!$E$3:$E$10000&amp;DATA!$B$3:$B$10000,DATA!$W$3:$W$10000),"No encontrado"))</f>
        <v/>
      </c>
      <c r="E1339" s="22"/>
      <c r="F1339" s="23" t="str">
        <f aca="false">IF(A1339="","",IFERROR(buscarx(A1339&amp;E1339,DATA!$E$3:$E$10000&amp;DATA!$B$3:$B$10000,DATA!$M$3:$M$10000),"Inactivo"))</f>
        <v/>
      </c>
      <c r="G1339" s="25" t="str">
        <f aca="false">IF(A1339="","",IF(AND(C1339&lt;&gt;"No encontrado",F1339&lt;&gt;"Inactivo"),C1339&amp;" → "&amp;F1339,"Sin transición"))</f>
        <v/>
      </c>
      <c r="H1339" s="23" t="str">
        <f aca="false">IF(A1339="","",IF(D1339="GCIA LINEA SERVICIO DIGITALIDAD Y VENTAS","Chats",IF(OR(D1339="GERENCIA INBOUND LÍNEAS SERVICIO Y VENTA",D1339="GERENCIA INBOUND LINEAS ESPECIALIZADAS"),"Llamadas","Otro")))</f>
        <v/>
      </c>
      <c r="I1339" s="23" t="str">
        <f aca="false">IF(A1339="","",IF(C1339="No encontrado","No","Sí"))</f>
        <v/>
      </c>
      <c r="J1339" s="23" t="str">
        <f aca="false">IF(A1339="","",IF(F1339="Inactivo","No","Sí"))</f>
        <v/>
      </c>
      <c r="K1339" s="23" t="str">
        <f aca="false">IF(A1339="","",IF(AND(I1339="Sí",J1339="Sí"),"Sí","No"))</f>
        <v/>
      </c>
    </row>
    <row r="1340" customFormat="false" ht="15" hidden="false" customHeight="false" outlineLevel="0" collapsed="false">
      <c r="A1340" s="22"/>
      <c r="B1340" s="22"/>
      <c r="C1340" s="26" t="str">
        <f aca="false">IF(A1340="","",IFERROR(buscarx(A1340&amp;B1340,DATA!$E$3:$E$10000&amp;DATA!$B$3:$B$10000,DATA!$M$3:$M$10000),"No encontrado"))</f>
        <v/>
      </c>
      <c r="D1340" s="27" t="str">
        <f aca="false">IF(A1340="","",IFERROR(buscarx(A1340&amp;B1340,DATA!$E$3:$E$10000&amp;DATA!$B$3:$B$10000,DATA!$W$3:$W$10000),"No encontrado"))</f>
        <v/>
      </c>
      <c r="E1340" s="22"/>
      <c r="F1340" s="26" t="str">
        <f aca="false">IF(A1340="","",IFERROR(buscarx(A1340&amp;E1340,DATA!$E$3:$E$10000&amp;DATA!$B$3:$B$10000,DATA!$M$3:$M$10000),"Inactivo"))</f>
        <v/>
      </c>
      <c r="G1340" s="28" t="str">
        <f aca="false">IF(A1340="","",IF(AND(C1340&lt;&gt;"No encontrado",F1340&lt;&gt;"Inactivo"),C1340&amp;" → "&amp;F1340,"Sin transición"))</f>
        <v/>
      </c>
      <c r="H1340" s="26" t="str">
        <f aca="false">IF(A1340="","",IF(D1340="GCIA LINEA SERVICIO DIGITALIDAD Y VENTAS","Chats",IF(OR(D1340="GERENCIA INBOUND LÍNEAS SERVICIO Y VENTA",D1340="GERENCIA INBOUND LINEAS ESPECIALIZADAS"),"Llamadas","Otro")))</f>
        <v/>
      </c>
      <c r="I1340" s="26" t="str">
        <f aca="false">IF(A1340="","",IF(C1340="No encontrado","No","Sí"))</f>
        <v/>
      </c>
      <c r="J1340" s="26" t="str">
        <f aca="false">IF(A1340="","",IF(F1340="Inactivo","No","Sí"))</f>
        <v/>
      </c>
      <c r="K1340" s="26" t="str">
        <f aca="false">IF(A1340="","",IF(AND(I1340="Sí",J1340="Sí"),"Sí","No"))</f>
        <v/>
      </c>
    </row>
    <row r="1341" customFormat="false" ht="15" hidden="false" customHeight="false" outlineLevel="0" collapsed="false">
      <c r="A1341" s="22"/>
      <c r="B1341" s="22"/>
      <c r="C1341" s="23" t="str">
        <f aca="false">IF(A1341="","",IFERROR(buscarx(A1341&amp;B1341,DATA!$E$3:$E$10000&amp;DATA!$B$3:$B$10000,DATA!$M$3:$M$10000),"No encontrado"))</f>
        <v/>
      </c>
      <c r="D1341" s="24" t="str">
        <f aca="false">IF(A1341="","",IFERROR(buscarx(A1341&amp;B1341,DATA!$E$3:$E$10000&amp;DATA!$B$3:$B$10000,DATA!$W$3:$W$10000),"No encontrado"))</f>
        <v/>
      </c>
      <c r="E1341" s="22"/>
      <c r="F1341" s="23" t="str">
        <f aca="false">IF(A1341="","",IFERROR(buscarx(A1341&amp;E1341,DATA!$E$3:$E$10000&amp;DATA!$B$3:$B$10000,DATA!$M$3:$M$10000),"Inactivo"))</f>
        <v/>
      </c>
      <c r="G1341" s="25" t="str">
        <f aca="false">IF(A1341="","",IF(AND(C1341&lt;&gt;"No encontrado",F1341&lt;&gt;"Inactivo"),C1341&amp;" → "&amp;F1341,"Sin transición"))</f>
        <v/>
      </c>
      <c r="H1341" s="23" t="str">
        <f aca="false">IF(A1341="","",IF(D1341="GCIA LINEA SERVICIO DIGITALIDAD Y VENTAS","Chats",IF(OR(D1341="GERENCIA INBOUND LÍNEAS SERVICIO Y VENTA",D1341="GERENCIA INBOUND LINEAS ESPECIALIZADAS"),"Llamadas","Otro")))</f>
        <v/>
      </c>
      <c r="I1341" s="23" t="str">
        <f aca="false">IF(A1341="","",IF(C1341="No encontrado","No","Sí"))</f>
        <v/>
      </c>
      <c r="J1341" s="23" t="str">
        <f aca="false">IF(A1341="","",IF(F1341="Inactivo","No","Sí"))</f>
        <v/>
      </c>
      <c r="K1341" s="23" t="str">
        <f aca="false">IF(A1341="","",IF(AND(I1341="Sí",J1341="Sí"),"Sí","No"))</f>
        <v/>
      </c>
    </row>
    <row r="1342" customFormat="false" ht="15" hidden="false" customHeight="false" outlineLevel="0" collapsed="false">
      <c r="A1342" s="22"/>
      <c r="B1342" s="22"/>
      <c r="C1342" s="26" t="str">
        <f aca="false">IF(A1342="","",IFERROR(buscarx(A1342&amp;B1342,DATA!$E$3:$E$10000&amp;DATA!$B$3:$B$10000,DATA!$M$3:$M$10000),"No encontrado"))</f>
        <v/>
      </c>
      <c r="D1342" s="27" t="str">
        <f aca="false">IF(A1342="","",IFERROR(buscarx(A1342&amp;B1342,DATA!$E$3:$E$10000&amp;DATA!$B$3:$B$10000,DATA!$W$3:$W$10000),"No encontrado"))</f>
        <v/>
      </c>
      <c r="E1342" s="22"/>
      <c r="F1342" s="26" t="str">
        <f aca="false">IF(A1342="","",IFERROR(buscarx(A1342&amp;E1342,DATA!$E$3:$E$10000&amp;DATA!$B$3:$B$10000,DATA!$M$3:$M$10000),"Inactivo"))</f>
        <v/>
      </c>
      <c r="G1342" s="28" t="str">
        <f aca="false">IF(A1342="","",IF(AND(C1342&lt;&gt;"No encontrado",F1342&lt;&gt;"Inactivo"),C1342&amp;" → "&amp;F1342,"Sin transición"))</f>
        <v/>
      </c>
      <c r="H1342" s="26" t="str">
        <f aca="false">IF(A1342="","",IF(D1342="GCIA LINEA SERVICIO DIGITALIDAD Y VENTAS","Chats",IF(OR(D1342="GERENCIA INBOUND LÍNEAS SERVICIO Y VENTA",D1342="GERENCIA INBOUND LINEAS ESPECIALIZADAS"),"Llamadas","Otro")))</f>
        <v/>
      </c>
      <c r="I1342" s="26" t="str">
        <f aca="false">IF(A1342="","",IF(C1342="No encontrado","No","Sí"))</f>
        <v/>
      </c>
      <c r="J1342" s="26" t="str">
        <f aca="false">IF(A1342="","",IF(F1342="Inactivo","No","Sí"))</f>
        <v/>
      </c>
      <c r="K1342" s="26" t="str">
        <f aca="false">IF(A1342="","",IF(AND(I1342="Sí",J1342="Sí"),"Sí","No"))</f>
        <v/>
      </c>
    </row>
    <row r="1343" customFormat="false" ht="15" hidden="false" customHeight="false" outlineLevel="0" collapsed="false">
      <c r="A1343" s="22"/>
      <c r="B1343" s="22"/>
      <c r="C1343" s="23" t="str">
        <f aca="false">IF(A1343="","",IFERROR(buscarx(A1343&amp;B1343,DATA!$E$3:$E$10000&amp;DATA!$B$3:$B$10000,DATA!$M$3:$M$10000),"No encontrado"))</f>
        <v/>
      </c>
      <c r="D1343" s="24" t="str">
        <f aca="false">IF(A1343="","",IFERROR(buscarx(A1343&amp;B1343,DATA!$E$3:$E$10000&amp;DATA!$B$3:$B$10000,DATA!$W$3:$W$10000),"No encontrado"))</f>
        <v/>
      </c>
      <c r="E1343" s="22"/>
      <c r="F1343" s="23" t="str">
        <f aca="false">IF(A1343="","",IFERROR(buscarx(A1343&amp;E1343,DATA!$E$3:$E$10000&amp;DATA!$B$3:$B$10000,DATA!$M$3:$M$10000),"Inactivo"))</f>
        <v/>
      </c>
      <c r="G1343" s="25" t="str">
        <f aca="false">IF(A1343="","",IF(AND(C1343&lt;&gt;"No encontrado",F1343&lt;&gt;"Inactivo"),C1343&amp;" → "&amp;F1343,"Sin transición"))</f>
        <v/>
      </c>
      <c r="H1343" s="23" t="str">
        <f aca="false">IF(A1343="","",IF(D1343="GCIA LINEA SERVICIO DIGITALIDAD Y VENTAS","Chats",IF(OR(D1343="GERENCIA INBOUND LÍNEAS SERVICIO Y VENTA",D1343="GERENCIA INBOUND LINEAS ESPECIALIZADAS"),"Llamadas","Otro")))</f>
        <v/>
      </c>
      <c r="I1343" s="23" t="str">
        <f aca="false">IF(A1343="","",IF(C1343="No encontrado","No","Sí"))</f>
        <v/>
      </c>
      <c r="J1343" s="23" t="str">
        <f aca="false">IF(A1343="","",IF(F1343="Inactivo","No","Sí"))</f>
        <v/>
      </c>
      <c r="K1343" s="23" t="str">
        <f aca="false">IF(A1343="","",IF(AND(I1343="Sí",J1343="Sí"),"Sí","No"))</f>
        <v/>
      </c>
    </row>
    <row r="1344" customFormat="false" ht="15" hidden="false" customHeight="false" outlineLevel="0" collapsed="false">
      <c r="A1344" s="22"/>
      <c r="B1344" s="22"/>
      <c r="C1344" s="26" t="str">
        <f aca="false">IF(A1344="","",IFERROR(buscarx(A1344&amp;B1344,DATA!$E$3:$E$10000&amp;DATA!$B$3:$B$10000,DATA!$M$3:$M$10000),"No encontrado"))</f>
        <v/>
      </c>
      <c r="D1344" s="27" t="str">
        <f aca="false">IF(A1344="","",IFERROR(buscarx(A1344&amp;B1344,DATA!$E$3:$E$10000&amp;DATA!$B$3:$B$10000,DATA!$W$3:$W$10000),"No encontrado"))</f>
        <v/>
      </c>
      <c r="E1344" s="22"/>
      <c r="F1344" s="26" t="str">
        <f aca="false">IF(A1344="","",IFERROR(buscarx(A1344&amp;E1344,DATA!$E$3:$E$10000&amp;DATA!$B$3:$B$10000,DATA!$M$3:$M$10000),"Inactivo"))</f>
        <v/>
      </c>
      <c r="G1344" s="28" t="str">
        <f aca="false">IF(A1344="","",IF(AND(C1344&lt;&gt;"No encontrado",F1344&lt;&gt;"Inactivo"),C1344&amp;" → "&amp;F1344,"Sin transición"))</f>
        <v/>
      </c>
      <c r="H1344" s="26" t="str">
        <f aca="false">IF(A1344="","",IF(D1344="GCIA LINEA SERVICIO DIGITALIDAD Y VENTAS","Chats",IF(OR(D1344="GERENCIA INBOUND LÍNEAS SERVICIO Y VENTA",D1344="GERENCIA INBOUND LINEAS ESPECIALIZADAS"),"Llamadas","Otro")))</f>
        <v/>
      </c>
      <c r="I1344" s="26" t="str">
        <f aca="false">IF(A1344="","",IF(C1344="No encontrado","No","Sí"))</f>
        <v/>
      </c>
      <c r="J1344" s="26" t="str">
        <f aca="false">IF(A1344="","",IF(F1344="Inactivo","No","Sí"))</f>
        <v/>
      </c>
      <c r="K1344" s="26" t="str">
        <f aca="false">IF(A1344="","",IF(AND(I1344="Sí",J1344="Sí"),"Sí","No"))</f>
        <v/>
      </c>
    </row>
    <row r="1345" customFormat="false" ht="15" hidden="false" customHeight="false" outlineLevel="0" collapsed="false">
      <c r="A1345" s="22"/>
      <c r="B1345" s="22"/>
      <c r="C1345" s="23" t="str">
        <f aca="false">IF(A1345="","",IFERROR(buscarx(A1345&amp;B1345,DATA!$E$3:$E$10000&amp;DATA!$B$3:$B$10000,DATA!$M$3:$M$10000),"No encontrado"))</f>
        <v/>
      </c>
      <c r="D1345" s="24" t="str">
        <f aca="false">IF(A1345="","",IFERROR(buscarx(A1345&amp;B1345,DATA!$E$3:$E$10000&amp;DATA!$B$3:$B$10000,DATA!$W$3:$W$10000),"No encontrado"))</f>
        <v/>
      </c>
      <c r="E1345" s="22"/>
      <c r="F1345" s="23" t="str">
        <f aca="false">IF(A1345="","",IFERROR(buscarx(A1345&amp;E1345,DATA!$E$3:$E$10000&amp;DATA!$B$3:$B$10000,DATA!$M$3:$M$10000),"Inactivo"))</f>
        <v/>
      </c>
      <c r="G1345" s="25" t="str">
        <f aca="false">IF(A1345="","",IF(AND(C1345&lt;&gt;"No encontrado",F1345&lt;&gt;"Inactivo"),C1345&amp;" → "&amp;F1345,"Sin transición"))</f>
        <v/>
      </c>
      <c r="H1345" s="23" t="str">
        <f aca="false">IF(A1345="","",IF(D1345="GCIA LINEA SERVICIO DIGITALIDAD Y VENTAS","Chats",IF(OR(D1345="GERENCIA INBOUND LÍNEAS SERVICIO Y VENTA",D1345="GERENCIA INBOUND LINEAS ESPECIALIZADAS"),"Llamadas","Otro")))</f>
        <v/>
      </c>
      <c r="I1345" s="23" t="str">
        <f aca="false">IF(A1345="","",IF(C1345="No encontrado","No","Sí"))</f>
        <v/>
      </c>
      <c r="J1345" s="23" t="str">
        <f aca="false">IF(A1345="","",IF(F1345="Inactivo","No","Sí"))</f>
        <v/>
      </c>
      <c r="K1345" s="23" t="str">
        <f aca="false">IF(A1345="","",IF(AND(I1345="Sí",J1345="Sí"),"Sí","No"))</f>
        <v/>
      </c>
    </row>
    <row r="1346" customFormat="false" ht="15" hidden="false" customHeight="false" outlineLevel="0" collapsed="false">
      <c r="A1346" s="22"/>
      <c r="B1346" s="22"/>
      <c r="C1346" s="26" t="str">
        <f aca="false">IF(A1346="","",IFERROR(buscarx(A1346&amp;B1346,DATA!$E$3:$E$10000&amp;DATA!$B$3:$B$10000,DATA!$M$3:$M$10000),"No encontrado"))</f>
        <v/>
      </c>
      <c r="D1346" s="27" t="str">
        <f aca="false">IF(A1346="","",IFERROR(buscarx(A1346&amp;B1346,DATA!$E$3:$E$10000&amp;DATA!$B$3:$B$10000,DATA!$W$3:$W$10000),"No encontrado"))</f>
        <v/>
      </c>
      <c r="E1346" s="22"/>
      <c r="F1346" s="26" t="str">
        <f aca="false">IF(A1346="","",IFERROR(buscarx(A1346&amp;E1346,DATA!$E$3:$E$10000&amp;DATA!$B$3:$B$10000,DATA!$M$3:$M$10000),"Inactivo"))</f>
        <v/>
      </c>
      <c r="G1346" s="28" t="str">
        <f aca="false">IF(A1346="","",IF(AND(C1346&lt;&gt;"No encontrado",F1346&lt;&gt;"Inactivo"),C1346&amp;" → "&amp;F1346,"Sin transición"))</f>
        <v/>
      </c>
      <c r="H1346" s="26" t="str">
        <f aca="false">IF(A1346="","",IF(D1346="GCIA LINEA SERVICIO DIGITALIDAD Y VENTAS","Chats",IF(OR(D1346="GERENCIA INBOUND LÍNEAS SERVICIO Y VENTA",D1346="GERENCIA INBOUND LINEAS ESPECIALIZADAS"),"Llamadas","Otro")))</f>
        <v/>
      </c>
      <c r="I1346" s="26" t="str">
        <f aca="false">IF(A1346="","",IF(C1346="No encontrado","No","Sí"))</f>
        <v/>
      </c>
      <c r="J1346" s="26" t="str">
        <f aca="false">IF(A1346="","",IF(F1346="Inactivo","No","Sí"))</f>
        <v/>
      </c>
      <c r="K1346" s="26" t="str">
        <f aca="false">IF(A1346="","",IF(AND(I1346="Sí",J1346="Sí"),"Sí","No"))</f>
        <v/>
      </c>
    </row>
    <row r="1347" customFormat="false" ht="15" hidden="false" customHeight="false" outlineLevel="0" collapsed="false">
      <c r="A1347" s="22"/>
      <c r="B1347" s="22"/>
      <c r="C1347" s="23" t="str">
        <f aca="false">IF(A1347="","",IFERROR(buscarx(A1347&amp;B1347,DATA!$E$3:$E$10000&amp;DATA!$B$3:$B$10000,DATA!$M$3:$M$10000),"No encontrado"))</f>
        <v/>
      </c>
      <c r="D1347" s="24" t="str">
        <f aca="false">IF(A1347="","",IFERROR(buscarx(A1347&amp;B1347,DATA!$E$3:$E$10000&amp;DATA!$B$3:$B$10000,DATA!$W$3:$W$10000),"No encontrado"))</f>
        <v/>
      </c>
      <c r="E1347" s="22"/>
      <c r="F1347" s="23" t="str">
        <f aca="false">IF(A1347="","",IFERROR(buscarx(A1347&amp;E1347,DATA!$E$3:$E$10000&amp;DATA!$B$3:$B$10000,DATA!$M$3:$M$10000),"Inactivo"))</f>
        <v/>
      </c>
      <c r="G1347" s="25" t="str">
        <f aca="false">IF(A1347="","",IF(AND(C1347&lt;&gt;"No encontrado",F1347&lt;&gt;"Inactivo"),C1347&amp;" → "&amp;F1347,"Sin transición"))</f>
        <v/>
      </c>
      <c r="H1347" s="23" t="str">
        <f aca="false">IF(A1347="","",IF(D1347="GCIA LINEA SERVICIO DIGITALIDAD Y VENTAS","Chats",IF(OR(D1347="GERENCIA INBOUND LÍNEAS SERVICIO Y VENTA",D1347="GERENCIA INBOUND LINEAS ESPECIALIZADAS"),"Llamadas","Otro")))</f>
        <v/>
      </c>
      <c r="I1347" s="23" t="str">
        <f aca="false">IF(A1347="","",IF(C1347="No encontrado","No","Sí"))</f>
        <v/>
      </c>
      <c r="J1347" s="23" t="str">
        <f aca="false">IF(A1347="","",IF(F1347="Inactivo","No","Sí"))</f>
        <v/>
      </c>
      <c r="K1347" s="23" t="str">
        <f aca="false">IF(A1347="","",IF(AND(I1347="Sí",J1347="Sí"),"Sí","No"))</f>
        <v/>
      </c>
    </row>
    <row r="1348" customFormat="false" ht="15" hidden="false" customHeight="false" outlineLevel="0" collapsed="false">
      <c r="A1348" s="22"/>
      <c r="B1348" s="22"/>
      <c r="C1348" s="26" t="str">
        <f aca="false">IF(A1348="","",IFERROR(buscarx(A1348&amp;B1348,DATA!$E$3:$E$10000&amp;DATA!$B$3:$B$10000,DATA!$M$3:$M$10000),"No encontrado"))</f>
        <v/>
      </c>
      <c r="D1348" s="27" t="str">
        <f aca="false">IF(A1348="","",IFERROR(buscarx(A1348&amp;B1348,DATA!$E$3:$E$10000&amp;DATA!$B$3:$B$10000,DATA!$W$3:$W$10000),"No encontrado"))</f>
        <v/>
      </c>
      <c r="E1348" s="22"/>
      <c r="F1348" s="26" t="str">
        <f aca="false">IF(A1348="","",IFERROR(buscarx(A1348&amp;E1348,DATA!$E$3:$E$10000&amp;DATA!$B$3:$B$10000,DATA!$M$3:$M$10000),"Inactivo"))</f>
        <v/>
      </c>
      <c r="G1348" s="28" t="str">
        <f aca="false">IF(A1348="","",IF(AND(C1348&lt;&gt;"No encontrado",F1348&lt;&gt;"Inactivo"),C1348&amp;" → "&amp;F1348,"Sin transición"))</f>
        <v/>
      </c>
      <c r="H1348" s="26" t="str">
        <f aca="false">IF(A1348="","",IF(D1348="GCIA LINEA SERVICIO DIGITALIDAD Y VENTAS","Chats",IF(OR(D1348="GERENCIA INBOUND LÍNEAS SERVICIO Y VENTA",D1348="GERENCIA INBOUND LINEAS ESPECIALIZADAS"),"Llamadas","Otro")))</f>
        <v/>
      </c>
      <c r="I1348" s="26" t="str">
        <f aca="false">IF(A1348="","",IF(C1348="No encontrado","No","Sí"))</f>
        <v/>
      </c>
      <c r="J1348" s="26" t="str">
        <f aca="false">IF(A1348="","",IF(F1348="Inactivo","No","Sí"))</f>
        <v/>
      </c>
      <c r="K1348" s="26" t="str">
        <f aca="false">IF(A1348="","",IF(AND(I1348="Sí",J1348="Sí"),"Sí","No"))</f>
        <v/>
      </c>
    </row>
    <row r="1349" customFormat="false" ht="15" hidden="false" customHeight="false" outlineLevel="0" collapsed="false">
      <c r="A1349" s="22"/>
      <c r="B1349" s="22"/>
      <c r="C1349" s="23" t="str">
        <f aca="false">IF(A1349="","",IFERROR(buscarx(A1349&amp;B1349,DATA!$E$3:$E$10000&amp;DATA!$B$3:$B$10000,DATA!$M$3:$M$10000),"No encontrado"))</f>
        <v/>
      </c>
      <c r="D1349" s="24" t="str">
        <f aca="false">IF(A1349="","",IFERROR(buscarx(A1349&amp;B1349,DATA!$E$3:$E$10000&amp;DATA!$B$3:$B$10000,DATA!$W$3:$W$10000),"No encontrado"))</f>
        <v/>
      </c>
      <c r="E1349" s="22"/>
      <c r="F1349" s="23" t="str">
        <f aca="false">IF(A1349="","",IFERROR(buscarx(A1349&amp;E1349,DATA!$E$3:$E$10000&amp;DATA!$B$3:$B$10000,DATA!$M$3:$M$10000),"Inactivo"))</f>
        <v/>
      </c>
      <c r="G1349" s="25" t="str">
        <f aca="false">IF(A1349="","",IF(AND(C1349&lt;&gt;"No encontrado",F1349&lt;&gt;"Inactivo"),C1349&amp;" → "&amp;F1349,"Sin transición"))</f>
        <v/>
      </c>
      <c r="H1349" s="23" t="str">
        <f aca="false">IF(A1349="","",IF(D1349="GCIA LINEA SERVICIO DIGITALIDAD Y VENTAS","Chats",IF(OR(D1349="GERENCIA INBOUND LÍNEAS SERVICIO Y VENTA",D1349="GERENCIA INBOUND LINEAS ESPECIALIZADAS"),"Llamadas","Otro")))</f>
        <v/>
      </c>
      <c r="I1349" s="23" t="str">
        <f aca="false">IF(A1349="","",IF(C1349="No encontrado","No","Sí"))</f>
        <v/>
      </c>
      <c r="J1349" s="23" t="str">
        <f aca="false">IF(A1349="","",IF(F1349="Inactivo","No","Sí"))</f>
        <v/>
      </c>
      <c r="K1349" s="23" t="str">
        <f aca="false">IF(A1349="","",IF(AND(I1349="Sí",J1349="Sí"),"Sí","No"))</f>
        <v/>
      </c>
    </row>
    <row r="1350" customFormat="false" ht="15" hidden="false" customHeight="false" outlineLevel="0" collapsed="false">
      <c r="A1350" s="22"/>
      <c r="B1350" s="22"/>
      <c r="C1350" s="26" t="str">
        <f aca="false">IF(A1350="","",IFERROR(buscarx(A1350&amp;B1350,DATA!$E$3:$E$10000&amp;DATA!$B$3:$B$10000,DATA!$M$3:$M$10000),"No encontrado"))</f>
        <v/>
      </c>
      <c r="D1350" s="27" t="str">
        <f aca="false">IF(A1350="","",IFERROR(buscarx(A1350&amp;B1350,DATA!$E$3:$E$10000&amp;DATA!$B$3:$B$10000,DATA!$W$3:$W$10000),"No encontrado"))</f>
        <v/>
      </c>
      <c r="E1350" s="22"/>
      <c r="F1350" s="26" t="str">
        <f aca="false">IF(A1350="","",IFERROR(buscarx(A1350&amp;E1350,DATA!$E$3:$E$10000&amp;DATA!$B$3:$B$10000,DATA!$M$3:$M$10000),"Inactivo"))</f>
        <v/>
      </c>
      <c r="G1350" s="28" t="str">
        <f aca="false">IF(A1350="","",IF(AND(C1350&lt;&gt;"No encontrado",F1350&lt;&gt;"Inactivo"),C1350&amp;" → "&amp;F1350,"Sin transición"))</f>
        <v/>
      </c>
      <c r="H1350" s="26" t="str">
        <f aca="false">IF(A1350="","",IF(D1350="GCIA LINEA SERVICIO DIGITALIDAD Y VENTAS","Chats",IF(OR(D1350="GERENCIA INBOUND LÍNEAS SERVICIO Y VENTA",D1350="GERENCIA INBOUND LINEAS ESPECIALIZADAS"),"Llamadas","Otro")))</f>
        <v/>
      </c>
      <c r="I1350" s="26" t="str">
        <f aca="false">IF(A1350="","",IF(C1350="No encontrado","No","Sí"))</f>
        <v/>
      </c>
      <c r="J1350" s="26" t="str">
        <f aca="false">IF(A1350="","",IF(F1350="Inactivo","No","Sí"))</f>
        <v/>
      </c>
      <c r="K1350" s="26" t="str">
        <f aca="false">IF(A1350="","",IF(AND(I1350="Sí",J1350="Sí"),"Sí","No"))</f>
        <v/>
      </c>
    </row>
    <row r="1351" customFormat="false" ht="15" hidden="false" customHeight="false" outlineLevel="0" collapsed="false">
      <c r="A1351" s="22"/>
      <c r="B1351" s="22"/>
      <c r="C1351" s="23" t="str">
        <f aca="false">IF(A1351="","",IFERROR(buscarx(A1351&amp;B1351,DATA!$E$3:$E$10000&amp;DATA!$B$3:$B$10000,DATA!$M$3:$M$10000),"No encontrado"))</f>
        <v/>
      </c>
      <c r="D1351" s="24" t="str">
        <f aca="false">IF(A1351="","",IFERROR(buscarx(A1351&amp;B1351,DATA!$E$3:$E$10000&amp;DATA!$B$3:$B$10000,DATA!$W$3:$W$10000),"No encontrado"))</f>
        <v/>
      </c>
      <c r="E1351" s="22"/>
      <c r="F1351" s="23" t="str">
        <f aca="false">IF(A1351="","",IFERROR(buscarx(A1351&amp;E1351,DATA!$E$3:$E$10000&amp;DATA!$B$3:$B$10000,DATA!$M$3:$M$10000),"Inactivo"))</f>
        <v/>
      </c>
      <c r="G1351" s="25" t="str">
        <f aca="false">IF(A1351="","",IF(AND(C1351&lt;&gt;"No encontrado",F1351&lt;&gt;"Inactivo"),C1351&amp;" → "&amp;F1351,"Sin transición"))</f>
        <v/>
      </c>
      <c r="H1351" s="23" t="str">
        <f aca="false">IF(A1351="","",IF(D1351="GCIA LINEA SERVICIO DIGITALIDAD Y VENTAS","Chats",IF(OR(D1351="GERENCIA INBOUND LÍNEAS SERVICIO Y VENTA",D1351="GERENCIA INBOUND LINEAS ESPECIALIZADAS"),"Llamadas","Otro")))</f>
        <v/>
      </c>
      <c r="I1351" s="23" t="str">
        <f aca="false">IF(A1351="","",IF(C1351="No encontrado","No","Sí"))</f>
        <v/>
      </c>
      <c r="J1351" s="23" t="str">
        <f aca="false">IF(A1351="","",IF(F1351="Inactivo","No","Sí"))</f>
        <v/>
      </c>
      <c r="K1351" s="23" t="str">
        <f aca="false">IF(A1351="","",IF(AND(I1351="Sí",J1351="Sí"),"Sí","No"))</f>
        <v/>
      </c>
    </row>
    <row r="1352" customFormat="false" ht="15" hidden="false" customHeight="false" outlineLevel="0" collapsed="false">
      <c r="A1352" s="22"/>
      <c r="B1352" s="22"/>
      <c r="C1352" s="26" t="str">
        <f aca="false">IF(A1352="","",IFERROR(buscarx(A1352&amp;B1352,DATA!$E$3:$E$10000&amp;DATA!$B$3:$B$10000,DATA!$M$3:$M$10000),"No encontrado"))</f>
        <v/>
      </c>
      <c r="D1352" s="27" t="str">
        <f aca="false">IF(A1352="","",IFERROR(buscarx(A1352&amp;B1352,DATA!$E$3:$E$10000&amp;DATA!$B$3:$B$10000,DATA!$W$3:$W$10000),"No encontrado"))</f>
        <v/>
      </c>
      <c r="E1352" s="22"/>
      <c r="F1352" s="26" t="str">
        <f aca="false">IF(A1352="","",IFERROR(buscarx(A1352&amp;E1352,DATA!$E$3:$E$10000&amp;DATA!$B$3:$B$10000,DATA!$M$3:$M$10000),"Inactivo"))</f>
        <v/>
      </c>
      <c r="G1352" s="28" t="str">
        <f aca="false">IF(A1352="","",IF(AND(C1352&lt;&gt;"No encontrado",F1352&lt;&gt;"Inactivo"),C1352&amp;" → "&amp;F1352,"Sin transición"))</f>
        <v/>
      </c>
      <c r="H1352" s="26" t="str">
        <f aca="false">IF(A1352="","",IF(D1352="GCIA LINEA SERVICIO DIGITALIDAD Y VENTAS","Chats",IF(OR(D1352="GERENCIA INBOUND LÍNEAS SERVICIO Y VENTA",D1352="GERENCIA INBOUND LINEAS ESPECIALIZADAS"),"Llamadas","Otro")))</f>
        <v/>
      </c>
      <c r="I1352" s="26" t="str">
        <f aca="false">IF(A1352="","",IF(C1352="No encontrado","No","Sí"))</f>
        <v/>
      </c>
      <c r="J1352" s="26" t="str">
        <f aca="false">IF(A1352="","",IF(F1352="Inactivo","No","Sí"))</f>
        <v/>
      </c>
      <c r="K1352" s="26" t="str">
        <f aca="false">IF(A1352="","",IF(AND(I1352="Sí",J1352="Sí"),"Sí","No"))</f>
        <v/>
      </c>
    </row>
    <row r="1353" customFormat="false" ht="15" hidden="false" customHeight="false" outlineLevel="0" collapsed="false">
      <c r="A1353" s="22"/>
      <c r="B1353" s="22"/>
      <c r="C1353" s="23" t="str">
        <f aca="false">IF(A1353="","",IFERROR(buscarx(A1353&amp;B1353,DATA!$E$3:$E$10000&amp;DATA!$B$3:$B$10000,DATA!$M$3:$M$10000),"No encontrado"))</f>
        <v/>
      </c>
      <c r="D1353" s="24" t="str">
        <f aca="false">IF(A1353="","",IFERROR(buscarx(A1353&amp;B1353,DATA!$E$3:$E$10000&amp;DATA!$B$3:$B$10000,DATA!$W$3:$W$10000),"No encontrado"))</f>
        <v/>
      </c>
      <c r="E1353" s="22"/>
      <c r="F1353" s="23" t="str">
        <f aca="false">IF(A1353="","",IFERROR(buscarx(A1353&amp;E1353,DATA!$E$3:$E$10000&amp;DATA!$B$3:$B$10000,DATA!$M$3:$M$10000),"Inactivo"))</f>
        <v/>
      </c>
      <c r="G1353" s="25" t="str">
        <f aca="false">IF(A1353="","",IF(AND(C1353&lt;&gt;"No encontrado",F1353&lt;&gt;"Inactivo"),C1353&amp;" → "&amp;F1353,"Sin transición"))</f>
        <v/>
      </c>
      <c r="H1353" s="23" t="str">
        <f aca="false">IF(A1353="","",IF(D1353="GCIA LINEA SERVICIO DIGITALIDAD Y VENTAS","Chats",IF(OR(D1353="GERENCIA INBOUND LÍNEAS SERVICIO Y VENTA",D1353="GERENCIA INBOUND LINEAS ESPECIALIZADAS"),"Llamadas","Otro")))</f>
        <v/>
      </c>
      <c r="I1353" s="23" t="str">
        <f aca="false">IF(A1353="","",IF(C1353="No encontrado","No","Sí"))</f>
        <v/>
      </c>
      <c r="J1353" s="23" t="str">
        <f aca="false">IF(A1353="","",IF(F1353="Inactivo","No","Sí"))</f>
        <v/>
      </c>
      <c r="K1353" s="23" t="str">
        <f aca="false">IF(A1353="","",IF(AND(I1353="Sí",J1353="Sí"),"Sí","No"))</f>
        <v/>
      </c>
    </row>
    <row r="1354" customFormat="false" ht="15" hidden="false" customHeight="false" outlineLevel="0" collapsed="false">
      <c r="A1354" s="22"/>
      <c r="B1354" s="22"/>
      <c r="C1354" s="26" t="str">
        <f aca="false">IF(A1354="","",IFERROR(buscarx(A1354&amp;B1354,DATA!$E$3:$E$10000&amp;DATA!$B$3:$B$10000,DATA!$M$3:$M$10000),"No encontrado"))</f>
        <v/>
      </c>
      <c r="D1354" s="27" t="str">
        <f aca="false">IF(A1354="","",IFERROR(buscarx(A1354&amp;B1354,DATA!$E$3:$E$10000&amp;DATA!$B$3:$B$10000,DATA!$W$3:$W$10000),"No encontrado"))</f>
        <v/>
      </c>
      <c r="E1354" s="22"/>
      <c r="F1354" s="26" t="str">
        <f aca="false">IF(A1354="","",IFERROR(buscarx(A1354&amp;E1354,DATA!$E$3:$E$10000&amp;DATA!$B$3:$B$10000,DATA!$M$3:$M$10000),"Inactivo"))</f>
        <v/>
      </c>
      <c r="G1354" s="28" t="str">
        <f aca="false">IF(A1354="","",IF(AND(C1354&lt;&gt;"No encontrado",F1354&lt;&gt;"Inactivo"),C1354&amp;" → "&amp;F1354,"Sin transición"))</f>
        <v/>
      </c>
      <c r="H1354" s="26" t="str">
        <f aca="false">IF(A1354="","",IF(D1354="GCIA LINEA SERVICIO DIGITALIDAD Y VENTAS","Chats",IF(OR(D1354="GERENCIA INBOUND LÍNEAS SERVICIO Y VENTA",D1354="GERENCIA INBOUND LINEAS ESPECIALIZADAS"),"Llamadas","Otro")))</f>
        <v/>
      </c>
      <c r="I1354" s="26" t="str">
        <f aca="false">IF(A1354="","",IF(C1354="No encontrado","No","Sí"))</f>
        <v/>
      </c>
      <c r="J1354" s="26" t="str">
        <f aca="false">IF(A1354="","",IF(F1354="Inactivo","No","Sí"))</f>
        <v/>
      </c>
      <c r="K1354" s="26" t="str">
        <f aca="false">IF(A1354="","",IF(AND(I1354="Sí",J1354="Sí"),"Sí","No"))</f>
        <v/>
      </c>
    </row>
    <row r="1355" customFormat="false" ht="15" hidden="false" customHeight="false" outlineLevel="0" collapsed="false">
      <c r="A1355" s="22"/>
      <c r="B1355" s="22"/>
      <c r="C1355" s="23" t="str">
        <f aca="false">IF(A1355="","",IFERROR(buscarx(A1355&amp;B1355,DATA!$E$3:$E$10000&amp;DATA!$B$3:$B$10000,DATA!$M$3:$M$10000),"No encontrado"))</f>
        <v/>
      </c>
      <c r="D1355" s="24" t="str">
        <f aca="false">IF(A1355="","",IFERROR(buscarx(A1355&amp;B1355,DATA!$E$3:$E$10000&amp;DATA!$B$3:$B$10000,DATA!$W$3:$W$10000),"No encontrado"))</f>
        <v/>
      </c>
      <c r="E1355" s="22"/>
      <c r="F1355" s="23" t="str">
        <f aca="false">IF(A1355="","",IFERROR(buscarx(A1355&amp;E1355,DATA!$E$3:$E$10000&amp;DATA!$B$3:$B$10000,DATA!$M$3:$M$10000),"Inactivo"))</f>
        <v/>
      </c>
      <c r="G1355" s="25" t="str">
        <f aca="false">IF(A1355="","",IF(AND(C1355&lt;&gt;"No encontrado",F1355&lt;&gt;"Inactivo"),C1355&amp;" → "&amp;F1355,"Sin transición"))</f>
        <v/>
      </c>
      <c r="H1355" s="23" t="str">
        <f aca="false">IF(A1355="","",IF(D1355="GCIA LINEA SERVICIO DIGITALIDAD Y VENTAS","Chats",IF(OR(D1355="GERENCIA INBOUND LÍNEAS SERVICIO Y VENTA",D1355="GERENCIA INBOUND LINEAS ESPECIALIZADAS"),"Llamadas","Otro")))</f>
        <v/>
      </c>
      <c r="I1355" s="23" t="str">
        <f aca="false">IF(A1355="","",IF(C1355="No encontrado","No","Sí"))</f>
        <v/>
      </c>
      <c r="J1355" s="23" t="str">
        <f aca="false">IF(A1355="","",IF(F1355="Inactivo","No","Sí"))</f>
        <v/>
      </c>
      <c r="K1355" s="23" t="str">
        <f aca="false">IF(A1355="","",IF(AND(I1355="Sí",J1355="Sí"),"Sí","No"))</f>
        <v/>
      </c>
    </row>
    <row r="1356" customFormat="false" ht="15" hidden="false" customHeight="false" outlineLevel="0" collapsed="false">
      <c r="A1356" s="22"/>
      <c r="B1356" s="22"/>
      <c r="C1356" s="26" t="str">
        <f aca="false">IF(A1356="","",IFERROR(buscarx(A1356&amp;B1356,DATA!$E$3:$E$10000&amp;DATA!$B$3:$B$10000,DATA!$M$3:$M$10000),"No encontrado"))</f>
        <v/>
      </c>
      <c r="D1356" s="27" t="str">
        <f aca="false">IF(A1356="","",IFERROR(buscarx(A1356&amp;B1356,DATA!$E$3:$E$10000&amp;DATA!$B$3:$B$10000,DATA!$W$3:$W$10000),"No encontrado"))</f>
        <v/>
      </c>
      <c r="E1356" s="22"/>
      <c r="F1356" s="26" t="str">
        <f aca="false">IF(A1356="","",IFERROR(buscarx(A1356&amp;E1356,DATA!$E$3:$E$10000&amp;DATA!$B$3:$B$10000,DATA!$M$3:$M$10000),"Inactivo"))</f>
        <v/>
      </c>
      <c r="G1356" s="28" t="str">
        <f aca="false">IF(A1356="","",IF(AND(C1356&lt;&gt;"No encontrado",F1356&lt;&gt;"Inactivo"),C1356&amp;" → "&amp;F1356,"Sin transición"))</f>
        <v/>
      </c>
      <c r="H1356" s="26" t="str">
        <f aca="false">IF(A1356="","",IF(D1356="GCIA LINEA SERVICIO DIGITALIDAD Y VENTAS","Chats",IF(OR(D1356="GERENCIA INBOUND LÍNEAS SERVICIO Y VENTA",D1356="GERENCIA INBOUND LINEAS ESPECIALIZADAS"),"Llamadas","Otro")))</f>
        <v/>
      </c>
      <c r="I1356" s="26" t="str">
        <f aca="false">IF(A1356="","",IF(C1356="No encontrado","No","Sí"))</f>
        <v/>
      </c>
      <c r="J1356" s="26" t="str">
        <f aca="false">IF(A1356="","",IF(F1356="Inactivo","No","Sí"))</f>
        <v/>
      </c>
      <c r="K1356" s="26" t="str">
        <f aca="false">IF(A1356="","",IF(AND(I1356="Sí",J1356="Sí"),"Sí","No"))</f>
        <v/>
      </c>
    </row>
    <row r="1357" customFormat="false" ht="15" hidden="false" customHeight="false" outlineLevel="0" collapsed="false">
      <c r="A1357" s="22"/>
      <c r="B1357" s="22"/>
      <c r="C1357" s="23" t="str">
        <f aca="false">IF(A1357="","",IFERROR(buscarx(A1357&amp;B1357,DATA!$E$3:$E$10000&amp;DATA!$B$3:$B$10000,DATA!$M$3:$M$10000),"No encontrado"))</f>
        <v/>
      </c>
      <c r="D1357" s="24" t="str">
        <f aca="false">IF(A1357="","",IFERROR(buscarx(A1357&amp;B1357,DATA!$E$3:$E$10000&amp;DATA!$B$3:$B$10000,DATA!$W$3:$W$10000),"No encontrado"))</f>
        <v/>
      </c>
      <c r="E1357" s="22"/>
      <c r="F1357" s="23" t="str">
        <f aca="false">IF(A1357="","",IFERROR(buscarx(A1357&amp;E1357,DATA!$E$3:$E$10000&amp;DATA!$B$3:$B$10000,DATA!$M$3:$M$10000),"Inactivo"))</f>
        <v/>
      </c>
      <c r="G1357" s="25" t="str">
        <f aca="false">IF(A1357="","",IF(AND(C1357&lt;&gt;"No encontrado",F1357&lt;&gt;"Inactivo"),C1357&amp;" → "&amp;F1357,"Sin transición"))</f>
        <v/>
      </c>
      <c r="H1357" s="23" t="str">
        <f aca="false">IF(A1357="","",IF(D1357="GCIA LINEA SERVICIO DIGITALIDAD Y VENTAS","Chats",IF(OR(D1357="GERENCIA INBOUND LÍNEAS SERVICIO Y VENTA",D1357="GERENCIA INBOUND LINEAS ESPECIALIZADAS"),"Llamadas","Otro")))</f>
        <v/>
      </c>
      <c r="I1357" s="23" t="str">
        <f aca="false">IF(A1357="","",IF(C1357="No encontrado","No","Sí"))</f>
        <v/>
      </c>
      <c r="J1357" s="23" t="str">
        <f aca="false">IF(A1357="","",IF(F1357="Inactivo","No","Sí"))</f>
        <v/>
      </c>
      <c r="K1357" s="23" t="str">
        <f aca="false">IF(A1357="","",IF(AND(I1357="Sí",J1357="Sí"),"Sí","No"))</f>
        <v/>
      </c>
    </row>
    <row r="1358" customFormat="false" ht="15" hidden="false" customHeight="false" outlineLevel="0" collapsed="false">
      <c r="A1358" s="22"/>
      <c r="B1358" s="22"/>
      <c r="C1358" s="26" t="str">
        <f aca="false">IF(A1358="","",IFERROR(buscarx(A1358&amp;B1358,DATA!$E$3:$E$10000&amp;DATA!$B$3:$B$10000,DATA!$M$3:$M$10000),"No encontrado"))</f>
        <v/>
      </c>
      <c r="D1358" s="27" t="str">
        <f aca="false">IF(A1358="","",IFERROR(buscarx(A1358&amp;B1358,DATA!$E$3:$E$10000&amp;DATA!$B$3:$B$10000,DATA!$W$3:$W$10000),"No encontrado"))</f>
        <v/>
      </c>
      <c r="E1358" s="22"/>
      <c r="F1358" s="26" t="str">
        <f aca="false">IF(A1358="","",IFERROR(buscarx(A1358&amp;E1358,DATA!$E$3:$E$10000&amp;DATA!$B$3:$B$10000,DATA!$M$3:$M$10000),"Inactivo"))</f>
        <v/>
      </c>
      <c r="G1358" s="28" t="str">
        <f aca="false">IF(A1358="","",IF(AND(C1358&lt;&gt;"No encontrado",F1358&lt;&gt;"Inactivo"),C1358&amp;" → "&amp;F1358,"Sin transición"))</f>
        <v/>
      </c>
      <c r="H1358" s="26" t="str">
        <f aca="false">IF(A1358="","",IF(D1358="GCIA LINEA SERVICIO DIGITALIDAD Y VENTAS","Chats",IF(OR(D1358="GERENCIA INBOUND LÍNEAS SERVICIO Y VENTA",D1358="GERENCIA INBOUND LINEAS ESPECIALIZADAS"),"Llamadas","Otro")))</f>
        <v/>
      </c>
      <c r="I1358" s="26" t="str">
        <f aca="false">IF(A1358="","",IF(C1358="No encontrado","No","Sí"))</f>
        <v/>
      </c>
      <c r="J1358" s="26" t="str">
        <f aca="false">IF(A1358="","",IF(F1358="Inactivo","No","Sí"))</f>
        <v/>
      </c>
      <c r="K1358" s="26" t="str">
        <f aca="false">IF(A1358="","",IF(AND(I1358="Sí",J1358="Sí"),"Sí","No"))</f>
        <v/>
      </c>
    </row>
    <row r="1359" customFormat="false" ht="15" hidden="false" customHeight="false" outlineLevel="0" collapsed="false">
      <c r="A1359" s="22"/>
      <c r="B1359" s="22"/>
      <c r="C1359" s="23" t="str">
        <f aca="false">IF(A1359="","",IFERROR(buscarx(A1359&amp;B1359,DATA!$E$3:$E$10000&amp;DATA!$B$3:$B$10000,DATA!$M$3:$M$10000),"No encontrado"))</f>
        <v/>
      </c>
      <c r="D1359" s="24" t="str">
        <f aca="false">IF(A1359="","",IFERROR(buscarx(A1359&amp;B1359,DATA!$E$3:$E$10000&amp;DATA!$B$3:$B$10000,DATA!$W$3:$W$10000),"No encontrado"))</f>
        <v/>
      </c>
      <c r="E1359" s="22"/>
      <c r="F1359" s="23" t="str">
        <f aca="false">IF(A1359="","",IFERROR(buscarx(A1359&amp;E1359,DATA!$E$3:$E$10000&amp;DATA!$B$3:$B$10000,DATA!$M$3:$M$10000),"Inactivo"))</f>
        <v/>
      </c>
      <c r="G1359" s="25" t="str">
        <f aca="false">IF(A1359="","",IF(AND(C1359&lt;&gt;"No encontrado",F1359&lt;&gt;"Inactivo"),C1359&amp;" → "&amp;F1359,"Sin transición"))</f>
        <v/>
      </c>
      <c r="H1359" s="23" t="str">
        <f aca="false">IF(A1359="","",IF(D1359="GCIA LINEA SERVICIO DIGITALIDAD Y VENTAS","Chats",IF(OR(D1359="GERENCIA INBOUND LÍNEAS SERVICIO Y VENTA",D1359="GERENCIA INBOUND LINEAS ESPECIALIZADAS"),"Llamadas","Otro")))</f>
        <v/>
      </c>
      <c r="I1359" s="23" t="str">
        <f aca="false">IF(A1359="","",IF(C1359="No encontrado","No","Sí"))</f>
        <v/>
      </c>
      <c r="J1359" s="23" t="str">
        <f aca="false">IF(A1359="","",IF(F1359="Inactivo","No","Sí"))</f>
        <v/>
      </c>
      <c r="K1359" s="23" t="str">
        <f aca="false">IF(A1359="","",IF(AND(I1359="Sí",J1359="Sí"),"Sí","No"))</f>
        <v/>
      </c>
    </row>
    <row r="1360" customFormat="false" ht="15" hidden="false" customHeight="false" outlineLevel="0" collapsed="false">
      <c r="A1360" s="22"/>
      <c r="B1360" s="22"/>
      <c r="C1360" s="26" t="str">
        <f aca="false">IF(A1360="","",IFERROR(buscarx(A1360&amp;B1360,DATA!$E$3:$E$10000&amp;DATA!$B$3:$B$10000,DATA!$M$3:$M$10000),"No encontrado"))</f>
        <v/>
      </c>
      <c r="D1360" s="27" t="str">
        <f aca="false">IF(A1360="","",IFERROR(buscarx(A1360&amp;B1360,DATA!$E$3:$E$10000&amp;DATA!$B$3:$B$10000,DATA!$W$3:$W$10000),"No encontrado"))</f>
        <v/>
      </c>
      <c r="E1360" s="22"/>
      <c r="F1360" s="26" t="str">
        <f aca="false">IF(A1360="","",IFERROR(buscarx(A1360&amp;E1360,DATA!$E$3:$E$10000&amp;DATA!$B$3:$B$10000,DATA!$M$3:$M$10000),"Inactivo"))</f>
        <v/>
      </c>
      <c r="G1360" s="28" t="str">
        <f aca="false">IF(A1360="","",IF(AND(C1360&lt;&gt;"No encontrado",F1360&lt;&gt;"Inactivo"),C1360&amp;" → "&amp;F1360,"Sin transición"))</f>
        <v/>
      </c>
      <c r="H1360" s="26" t="str">
        <f aca="false">IF(A1360="","",IF(D1360="GCIA LINEA SERVICIO DIGITALIDAD Y VENTAS","Chats",IF(OR(D1360="GERENCIA INBOUND LÍNEAS SERVICIO Y VENTA",D1360="GERENCIA INBOUND LINEAS ESPECIALIZADAS"),"Llamadas","Otro")))</f>
        <v/>
      </c>
      <c r="I1360" s="26" t="str">
        <f aca="false">IF(A1360="","",IF(C1360="No encontrado","No","Sí"))</f>
        <v/>
      </c>
      <c r="J1360" s="26" t="str">
        <f aca="false">IF(A1360="","",IF(F1360="Inactivo","No","Sí"))</f>
        <v/>
      </c>
      <c r="K1360" s="26" t="str">
        <f aca="false">IF(A1360="","",IF(AND(I1360="Sí",J1360="Sí"),"Sí","No"))</f>
        <v/>
      </c>
    </row>
    <row r="1361" customFormat="false" ht="15" hidden="false" customHeight="false" outlineLevel="0" collapsed="false">
      <c r="A1361" s="22"/>
      <c r="B1361" s="22"/>
      <c r="C1361" s="23" t="str">
        <f aca="false">IF(A1361="","",IFERROR(buscarx(A1361&amp;B1361,DATA!$E$3:$E$10000&amp;DATA!$B$3:$B$10000,DATA!$M$3:$M$10000),"No encontrado"))</f>
        <v/>
      </c>
      <c r="D1361" s="24" t="str">
        <f aca="false">IF(A1361="","",IFERROR(buscarx(A1361&amp;B1361,DATA!$E$3:$E$10000&amp;DATA!$B$3:$B$10000,DATA!$W$3:$W$10000),"No encontrado"))</f>
        <v/>
      </c>
      <c r="E1361" s="22"/>
      <c r="F1361" s="23" t="str">
        <f aca="false">IF(A1361="","",IFERROR(buscarx(A1361&amp;E1361,DATA!$E$3:$E$10000&amp;DATA!$B$3:$B$10000,DATA!$M$3:$M$10000),"Inactivo"))</f>
        <v/>
      </c>
      <c r="G1361" s="25" t="str">
        <f aca="false">IF(A1361="","",IF(AND(C1361&lt;&gt;"No encontrado",F1361&lt;&gt;"Inactivo"),C1361&amp;" → "&amp;F1361,"Sin transición"))</f>
        <v/>
      </c>
      <c r="H1361" s="23" t="str">
        <f aca="false">IF(A1361="","",IF(D1361="GCIA LINEA SERVICIO DIGITALIDAD Y VENTAS","Chats",IF(OR(D1361="GERENCIA INBOUND LÍNEAS SERVICIO Y VENTA",D1361="GERENCIA INBOUND LINEAS ESPECIALIZADAS"),"Llamadas","Otro")))</f>
        <v/>
      </c>
      <c r="I1361" s="23" t="str">
        <f aca="false">IF(A1361="","",IF(C1361="No encontrado","No","Sí"))</f>
        <v/>
      </c>
      <c r="J1361" s="23" t="str">
        <f aca="false">IF(A1361="","",IF(F1361="Inactivo","No","Sí"))</f>
        <v/>
      </c>
      <c r="K1361" s="23" t="str">
        <f aca="false">IF(A1361="","",IF(AND(I1361="Sí",J1361="Sí"),"Sí","No"))</f>
        <v/>
      </c>
    </row>
    <row r="1362" customFormat="false" ht="15" hidden="false" customHeight="false" outlineLevel="0" collapsed="false">
      <c r="A1362" s="22"/>
      <c r="B1362" s="22"/>
      <c r="C1362" s="26" t="str">
        <f aca="false">IF(A1362="","",IFERROR(buscarx(A1362&amp;B1362,DATA!$E$3:$E$10000&amp;DATA!$B$3:$B$10000,DATA!$M$3:$M$10000),"No encontrado"))</f>
        <v/>
      </c>
      <c r="D1362" s="27" t="str">
        <f aca="false">IF(A1362="","",IFERROR(buscarx(A1362&amp;B1362,DATA!$E$3:$E$10000&amp;DATA!$B$3:$B$10000,DATA!$W$3:$W$10000),"No encontrado"))</f>
        <v/>
      </c>
      <c r="E1362" s="22"/>
      <c r="F1362" s="26" t="str">
        <f aca="false">IF(A1362="","",IFERROR(buscarx(A1362&amp;E1362,DATA!$E$3:$E$10000&amp;DATA!$B$3:$B$10000,DATA!$M$3:$M$10000),"Inactivo"))</f>
        <v/>
      </c>
      <c r="G1362" s="28" t="str">
        <f aca="false">IF(A1362="","",IF(AND(C1362&lt;&gt;"No encontrado",F1362&lt;&gt;"Inactivo"),C1362&amp;" → "&amp;F1362,"Sin transición"))</f>
        <v/>
      </c>
      <c r="H1362" s="26" t="str">
        <f aca="false">IF(A1362="","",IF(D1362="GCIA LINEA SERVICIO DIGITALIDAD Y VENTAS","Chats",IF(OR(D1362="GERENCIA INBOUND LÍNEAS SERVICIO Y VENTA",D1362="GERENCIA INBOUND LINEAS ESPECIALIZADAS"),"Llamadas","Otro")))</f>
        <v/>
      </c>
      <c r="I1362" s="26" t="str">
        <f aca="false">IF(A1362="","",IF(C1362="No encontrado","No","Sí"))</f>
        <v/>
      </c>
      <c r="J1362" s="26" t="str">
        <f aca="false">IF(A1362="","",IF(F1362="Inactivo","No","Sí"))</f>
        <v/>
      </c>
      <c r="K1362" s="26" t="str">
        <f aca="false">IF(A1362="","",IF(AND(I1362="Sí",J1362="Sí"),"Sí","No"))</f>
        <v/>
      </c>
    </row>
    <row r="1363" customFormat="false" ht="15" hidden="false" customHeight="false" outlineLevel="0" collapsed="false">
      <c r="A1363" s="22"/>
      <c r="B1363" s="22"/>
      <c r="C1363" s="23" t="str">
        <f aca="false">IF(A1363="","",IFERROR(buscarx(A1363&amp;B1363,DATA!$E$3:$E$10000&amp;DATA!$B$3:$B$10000,DATA!$M$3:$M$10000),"No encontrado"))</f>
        <v/>
      </c>
      <c r="D1363" s="24" t="str">
        <f aca="false">IF(A1363="","",IFERROR(buscarx(A1363&amp;B1363,DATA!$E$3:$E$10000&amp;DATA!$B$3:$B$10000,DATA!$W$3:$W$10000),"No encontrado"))</f>
        <v/>
      </c>
      <c r="E1363" s="22"/>
      <c r="F1363" s="23" t="str">
        <f aca="false">IF(A1363="","",IFERROR(buscarx(A1363&amp;E1363,DATA!$E$3:$E$10000&amp;DATA!$B$3:$B$10000,DATA!$M$3:$M$10000),"Inactivo"))</f>
        <v/>
      </c>
      <c r="G1363" s="25" t="str">
        <f aca="false">IF(A1363="","",IF(AND(C1363&lt;&gt;"No encontrado",F1363&lt;&gt;"Inactivo"),C1363&amp;" → "&amp;F1363,"Sin transición"))</f>
        <v/>
      </c>
      <c r="H1363" s="23" t="str">
        <f aca="false">IF(A1363="","",IF(D1363="GCIA LINEA SERVICIO DIGITALIDAD Y VENTAS","Chats",IF(OR(D1363="GERENCIA INBOUND LÍNEAS SERVICIO Y VENTA",D1363="GERENCIA INBOUND LINEAS ESPECIALIZADAS"),"Llamadas","Otro")))</f>
        <v/>
      </c>
      <c r="I1363" s="23" t="str">
        <f aca="false">IF(A1363="","",IF(C1363="No encontrado","No","Sí"))</f>
        <v/>
      </c>
      <c r="J1363" s="23" t="str">
        <f aca="false">IF(A1363="","",IF(F1363="Inactivo","No","Sí"))</f>
        <v/>
      </c>
      <c r="K1363" s="23" t="str">
        <f aca="false">IF(A1363="","",IF(AND(I1363="Sí",J1363="Sí"),"Sí","No"))</f>
        <v/>
      </c>
    </row>
    <row r="1364" customFormat="false" ht="15" hidden="false" customHeight="false" outlineLevel="0" collapsed="false">
      <c r="A1364" s="22"/>
      <c r="B1364" s="22"/>
      <c r="C1364" s="26" t="str">
        <f aca="false">IF(A1364="","",IFERROR(buscarx(A1364&amp;B1364,DATA!$E$3:$E$10000&amp;DATA!$B$3:$B$10000,DATA!$M$3:$M$10000),"No encontrado"))</f>
        <v/>
      </c>
      <c r="D1364" s="27" t="str">
        <f aca="false">IF(A1364="","",IFERROR(buscarx(A1364&amp;B1364,DATA!$E$3:$E$10000&amp;DATA!$B$3:$B$10000,DATA!$W$3:$W$10000),"No encontrado"))</f>
        <v/>
      </c>
      <c r="E1364" s="22"/>
      <c r="F1364" s="26" t="str">
        <f aca="false">IF(A1364="","",IFERROR(buscarx(A1364&amp;E1364,DATA!$E$3:$E$10000&amp;DATA!$B$3:$B$10000,DATA!$M$3:$M$10000),"Inactivo"))</f>
        <v/>
      </c>
      <c r="G1364" s="28" t="str">
        <f aca="false">IF(A1364="","",IF(AND(C1364&lt;&gt;"No encontrado",F1364&lt;&gt;"Inactivo"),C1364&amp;" → "&amp;F1364,"Sin transición"))</f>
        <v/>
      </c>
      <c r="H1364" s="26" t="str">
        <f aca="false">IF(A1364="","",IF(D1364="GCIA LINEA SERVICIO DIGITALIDAD Y VENTAS","Chats",IF(OR(D1364="GERENCIA INBOUND LÍNEAS SERVICIO Y VENTA",D1364="GERENCIA INBOUND LINEAS ESPECIALIZADAS"),"Llamadas","Otro")))</f>
        <v/>
      </c>
      <c r="I1364" s="26" t="str">
        <f aca="false">IF(A1364="","",IF(C1364="No encontrado","No","Sí"))</f>
        <v/>
      </c>
      <c r="J1364" s="26" t="str">
        <f aca="false">IF(A1364="","",IF(F1364="Inactivo","No","Sí"))</f>
        <v/>
      </c>
      <c r="K1364" s="26" t="str">
        <f aca="false">IF(A1364="","",IF(AND(I1364="Sí",J1364="Sí"),"Sí","No"))</f>
        <v/>
      </c>
    </row>
    <row r="1365" customFormat="false" ht="15" hidden="false" customHeight="false" outlineLevel="0" collapsed="false">
      <c r="A1365" s="22"/>
      <c r="B1365" s="22"/>
      <c r="C1365" s="23" t="str">
        <f aca="false">IF(A1365="","",IFERROR(buscarx(A1365&amp;B1365,DATA!$E$3:$E$10000&amp;DATA!$B$3:$B$10000,DATA!$M$3:$M$10000),"No encontrado"))</f>
        <v/>
      </c>
      <c r="D1365" s="24" t="str">
        <f aca="false">IF(A1365="","",IFERROR(buscarx(A1365&amp;B1365,DATA!$E$3:$E$10000&amp;DATA!$B$3:$B$10000,DATA!$W$3:$W$10000),"No encontrado"))</f>
        <v/>
      </c>
      <c r="E1365" s="22"/>
      <c r="F1365" s="23" t="str">
        <f aca="false">IF(A1365="","",IFERROR(buscarx(A1365&amp;E1365,DATA!$E$3:$E$10000&amp;DATA!$B$3:$B$10000,DATA!$M$3:$M$10000),"Inactivo"))</f>
        <v/>
      </c>
      <c r="G1365" s="25" t="str">
        <f aca="false">IF(A1365="","",IF(AND(C1365&lt;&gt;"No encontrado",F1365&lt;&gt;"Inactivo"),C1365&amp;" → "&amp;F1365,"Sin transición"))</f>
        <v/>
      </c>
      <c r="H1365" s="23" t="str">
        <f aca="false">IF(A1365="","",IF(D1365="GCIA LINEA SERVICIO DIGITALIDAD Y VENTAS","Chats",IF(OR(D1365="GERENCIA INBOUND LÍNEAS SERVICIO Y VENTA",D1365="GERENCIA INBOUND LINEAS ESPECIALIZADAS"),"Llamadas","Otro")))</f>
        <v/>
      </c>
      <c r="I1365" s="23" t="str">
        <f aca="false">IF(A1365="","",IF(C1365="No encontrado","No","Sí"))</f>
        <v/>
      </c>
      <c r="J1365" s="23" t="str">
        <f aca="false">IF(A1365="","",IF(F1365="Inactivo","No","Sí"))</f>
        <v/>
      </c>
      <c r="K1365" s="23" t="str">
        <f aca="false">IF(A1365="","",IF(AND(I1365="Sí",J1365="Sí"),"Sí","No"))</f>
        <v/>
      </c>
    </row>
    <row r="1366" customFormat="false" ht="15" hidden="false" customHeight="false" outlineLevel="0" collapsed="false">
      <c r="A1366" s="22"/>
      <c r="B1366" s="22"/>
      <c r="C1366" s="26" t="str">
        <f aca="false">IF(A1366="","",IFERROR(buscarx(A1366&amp;B1366,DATA!$E$3:$E$10000&amp;DATA!$B$3:$B$10000,DATA!$M$3:$M$10000),"No encontrado"))</f>
        <v/>
      </c>
      <c r="D1366" s="27" t="str">
        <f aca="false">IF(A1366="","",IFERROR(buscarx(A1366&amp;B1366,DATA!$E$3:$E$10000&amp;DATA!$B$3:$B$10000,DATA!$W$3:$W$10000),"No encontrado"))</f>
        <v/>
      </c>
      <c r="E1366" s="22"/>
      <c r="F1366" s="26" t="str">
        <f aca="false">IF(A1366="","",IFERROR(buscarx(A1366&amp;E1366,DATA!$E$3:$E$10000&amp;DATA!$B$3:$B$10000,DATA!$M$3:$M$10000),"Inactivo"))</f>
        <v/>
      </c>
      <c r="G1366" s="28" t="str">
        <f aca="false">IF(A1366="","",IF(AND(C1366&lt;&gt;"No encontrado",F1366&lt;&gt;"Inactivo"),C1366&amp;" → "&amp;F1366,"Sin transición"))</f>
        <v/>
      </c>
      <c r="H1366" s="26" t="str">
        <f aca="false">IF(A1366="","",IF(D1366="GCIA LINEA SERVICIO DIGITALIDAD Y VENTAS","Chats",IF(OR(D1366="GERENCIA INBOUND LÍNEAS SERVICIO Y VENTA",D1366="GERENCIA INBOUND LINEAS ESPECIALIZADAS"),"Llamadas","Otro")))</f>
        <v/>
      </c>
      <c r="I1366" s="26" t="str">
        <f aca="false">IF(A1366="","",IF(C1366="No encontrado","No","Sí"))</f>
        <v/>
      </c>
      <c r="J1366" s="26" t="str">
        <f aca="false">IF(A1366="","",IF(F1366="Inactivo","No","Sí"))</f>
        <v/>
      </c>
      <c r="K1366" s="26" t="str">
        <f aca="false">IF(A1366="","",IF(AND(I1366="Sí",J1366="Sí"),"Sí","No"))</f>
        <v/>
      </c>
    </row>
    <row r="1367" customFormat="false" ht="15" hidden="false" customHeight="false" outlineLevel="0" collapsed="false">
      <c r="A1367" s="22"/>
      <c r="B1367" s="22"/>
      <c r="C1367" s="23" t="str">
        <f aca="false">IF(A1367="","",IFERROR(buscarx(A1367&amp;B1367,DATA!$E$3:$E$10000&amp;DATA!$B$3:$B$10000,DATA!$M$3:$M$10000),"No encontrado"))</f>
        <v/>
      </c>
      <c r="D1367" s="24" t="str">
        <f aca="false">IF(A1367="","",IFERROR(buscarx(A1367&amp;B1367,DATA!$E$3:$E$10000&amp;DATA!$B$3:$B$10000,DATA!$W$3:$W$10000),"No encontrado"))</f>
        <v/>
      </c>
      <c r="E1367" s="22"/>
      <c r="F1367" s="23" t="str">
        <f aca="false">IF(A1367="","",IFERROR(buscarx(A1367&amp;E1367,DATA!$E$3:$E$10000&amp;DATA!$B$3:$B$10000,DATA!$M$3:$M$10000),"Inactivo"))</f>
        <v/>
      </c>
      <c r="G1367" s="25" t="str">
        <f aca="false">IF(A1367="","",IF(AND(C1367&lt;&gt;"No encontrado",F1367&lt;&gt;"Inactivo"),C1367&amp;" → "&amp;F1367,"Sin transición"))</f>
        <v/>
      </c>
      <c r="H1367" s="23" t="str">
        <f aca="false">IF(A1367="","",IF(D1367="GCIA LINEA SERVICIO DIGITALIDAD Y VENTAS","Chats",IF(OR(D1367="GERENCIA INBOUND LÍNEAS SERVICIO Y VENTA",D1367="GERENCIA INBOUND LINEAS ESPECIALIZADAS"),"Llamadas","Otro")))</f>
        <v/>
      </c>
      <c r="I1367" s="23" t="str">
        <f aca="false">IF(A1367="","",IF(C1367="No encontrado","No","Sí"))</f>
        <v/>
      </c>
      <c r="J1367" s="23" t="str">
        <f aca="false">IF(A1367="","",IF(F1367="Inactivo","No","Sí"))</f>
        <v/>
      </c>
      <c r="K1367" s="23" t="str">
        <f aca="false">IF(A1367="","",IF(AND(I1367="Sí",J1367="Sí"),"Sí","No"))</f>
        <v/>
      </c>
    </row>
    <row r="1368" customFormat="false" ht="15" hidden="false" customHeight="false" outlineLevel="0" collapsed="false">
      <c r="A1368" s="22"/>
      <c r="B1368" s="22"/>
      <c r="C1368" s="26" t="str">
        <f aca="false">IF(A1368="","",IFERROR(buscarx(A1368&amp;B1368,DATA!$E$3:$E$10000&amp;DATA!$B$3:$B$10000,DATA!$M$3:$M$10000),"No encontrado"))</f>
        <v/>
      </c>
      <c r="D1368" s="27" t="str">
        <f aca="false">IF(A1368="","",IFERROR(buscarx(A1368&amp;B1368,DATA!$E$3:$E$10000&amp;DATA!$B$3:$B$10000,DATA!$W$3:$W$10000),"No encontrado"))</f>
        <v/>
      </c>
      <c r="E1368" s="22"/>
      <c r="F1368" s="26" t="str">
        <f aca="false">IF(A1368="","",IFERROR(buscarx(A1368&amp;E1368,DATA!$E$3:$E$10000&amp;DATA!$B$3:$B$10000,DATA!$M$3:$M$10000),"Inactivo"))</f>
        <v/>
      </c>
      <c r="G1368" s="28" t="str">
        <f aca="false">IF(A1368="","",IF(AND(C1368&lt;&gt;"No encontrado",F1368&lt;&gt;"Inactivo"),C1368&amp;" → "&amp;F1368,"Sin transición"))</f>
        <v/>
      </c>
      <c r="H1368" s="26" t="str">
        <f aca="false">IF(A1368="","",IF(D1368="GCIA LINEA SERVICIO DIGITALIDAD Y VENTAS","Chats",IF(OR(D1368="GERENCIA INBOUND LÍNEAS SERVICIO Y VENTA",D1368="GERENCIA INBOUND LINEAS ESPECIALIZADAS"),"Llamadas","Otro")))</f>
        <v/>
      </c>
      <c r="I1368" s="26" t="str">
        <f aca="false">IF(A1368="","",IF(C1368="No encontrado","No","Sí"))</f>
        <v/>
      </c>
      <c r="J1368" s="26" t="str">
        <f aca="false">IF(A1368="","",IF(F1368="Inactivo","No","Sí"))</f>
        <v/>
      </c>
      <c r="K1368" s="26" t="str">
        <f aca="false">IF(A1368="","",IF(AND(I1368="Sí",J1368="Sí"),"Sí","No"))</f>
        <v/>
      </c>
    </row>
    <row r="1369" customFormat="false" ht="15" hidden="false" customHeight="false" outlineLevel="0" collapsed="false">
      <c r="A1369" s="22"/>
      <c r="B1369" s="22"/>
      <c r="C1369" s="23" t="str">
        <f aca="false">IF(A1369="","",IFERROR(buscarx(A1369&amp;B1369,DATA!$E$3:$E$10000&amp;DATA!$B$3:$B$10000,DATA!$M$3:$M$10000),"No encontrado"))</f>
        <v/>
      </c>
      <c r="D1369" s="24" t="str">
        <f aca="false">IF(A1369="","",IFERROR(buscarx(A1369&amp;B1369,DATA!$E$3:$E$10000&amp;DATA!$B$3:$B$10000,DATA!$W$3:$W$10000),"No encontrado"))</f>
        <v/>
      </c>
      <c r="E1369" s="22"/>
      <c r="F1369" s="23" t="str">
        <f aca="false">IF(A1369="","",IFERROR(buscarx(A1369&amp;E1369,DATA!$E$3:$E$10000&amp;DATA!$B$3:$B$10000,DATA!$M$3:$M$10000),"Inactivo"))</f>
        <v/>
      </c>
      <c r="G1369" s="25" t="str">
        <f aca="false">IF(A1369="","",IF(AND(C1369&lt;&gt;"No encontrado",F1369&lt;&gt;"Inactivo"),C1369&amp;" → "&amp;F1369,"Sin transición"))</f>
        <v/>
      </c>
      <c r="H1369" s="23" t="str">
        <f aca="false">IF(A1369="","",IF(D1369="GCIA LINEA SERVICIO DIGITALIDAD Y VENTAS","Chats",IF(OR(D1369="GERENCIA INBOUND LÍNEAS SERVICIO Y VENTA",D1369="GERENCIA INBOUND LINEAS ESPECIALIZADAS"),"Llamadas","Otro")))</f>
        <v/>
      </c>
      <c r="I1369" s="23" t="str">
        <f aca="false">IF(A1369="","",IF(C1369="No encontrado","No","Sí"))</f>
        <v/>
      </c>
      <c r="J1369" s="23" t="str">
        <f aca="false">IF(A1369="","",IF(F1369="Inactivo","No","Sí"))</f>
        <v/>
      </c>
      <c r="K1369" s="23" t="str">
        <f aca="false">IF(A1369="","",IF(AND(I1369="Sí",J1369="Sí"),"Sí","No"))</f>
        <v/>
      </c>
    </row>
    <row r="1370" customFormat="false" ht="15" hidden="false" customHeight="false" outlineLevel="0" collapsed="false">
      <c r="A1370" s="22"/>
      <c r="B1370" s="22"/>
      <c r="C1370" s="26" t="str">
        <f aca="false">IF(A1370="","",IFERROR(buscarx(A1370&amp;B1370,DATA!$E$3:$E$10000&amp;DATA!$B$3:$B$10000,DATA!$M$3:$M$10000),"No encontrado"))</f>
        <v/>
      </c>
      <c r="D1370" s="27" t="str">
        <f aca="false">IF(A1370="","",IFERROR(buscarx(A1370&amp;B1370,DATA!$E$3:$E$10000&amp;DATA!$B$3:$B$10000,DATA!$W$3:$W$10000),"No encontrado"))</f>
        <v/>
      </c>
      <c r="E1370" s="22"/>
      <c r="F1370" s="26" t="str">
        <f aca="false">IF(A1370="","",IFERROR(buscarx(A1370&amp;E1370,DATA!$E$3:$E$10000&amp;DATA!$B$3:$B$10000,DATA!$M$3:$M$10000),"Inactivo"))</f>
        <v/>
      </c>
      <c r="G1370" s="28" t="str">
        <f aca="false">IF(A1370="","",IF(AND(C1370&lt;&gt;"No encontrado",F1370&lt;&gt;"Inactivo"),C1370&amp;" → "&amp;F1370,"Sin transición"))</f>
        <v/>
      </c>
      <c r="H1370" s="26" t="str">
        <f aca="false">IF(A1370="","",IF(D1370="GCIA LINEA SERVICIO DIGITALIDAD Y VENTAS","Chats",IF(OR(D1370="GERENCIA INBOUND LÍNEAS SERVICIO Y VENTA",D1370="GERENCIA INBOUND LINEAS ESPECIALIZADAS"),"Llamadas","Otro")))</f>
        <v/>
      </c>
      <c r="I1370" s="26" t="str">
        <f aca="false">IF(A1370="","",IF(C1370="No encontrado","No","Sí"))</f>
        <v/>
      </c>
      <c r="J1370" s="26" t="str">
        <f aca="false">IF(A1370="","",IF(F1370="Inactivo","No","Sí"))</f>
        <v/>
      </c>
      <c r="K1370" s="26" t="str">
        <f aca="false">IF(A1370="","",IF(AND(I1370="Sí",J1370="Sí"),"Sí","No"))</f>
        <v/>
      </c>
    </row>
    <row r="1371" customFormat="false" ht="15" hidden="false" customHeight="false" outlineLevel="0" collapsed="false">
      <c r="A1371" s="22"/>
      <c r="B1371" s="22"/>
      <c r="C1371" s="23" t="str">
        <f aca="false">IF(A1371="","",IFERROR(buscarx(A1371&amp;B1371,DATA!$E$3:$E$10000&amp;DATA!$B$3:$B$10000,DATA!$M$3:$M$10000),"No encontrado"))</f>
        <v/>
      </c>
      <c r="D1371" s="24" t="str">
        <f aca="false">IF(A1371="","",IFERROR(buscarx(A1371&amp;B1371,DATA!$E$3:$E$10000&amp;DATA!$B$3:$B$10000,DATA!$W$3:$W$10000),"No encontrado"))</f>
        <v/>
      </c>
      <c r="E1371" s="22"/>
      <c r="F1371" s="23" t="str">
        <f aca="false">IF(A1371="","",IFERROR(buscarx(A1371&amp;E1371,DATA!$E$3:$E$10000&amp;DATA!$B$3:$B$10000,DATA!$M$3:$M$10000),"Inactivo"))</f>
        <v/>
      </c>
      <c r="G1371" s="25" t="str">
        <f aca="false">IF(A1371="","",IF(AND(C1371&lt;&gt;"No encontrado",F1371&lt;&gt;"Inactivo"),C1371&amp;" → "&amp;F1371,"Sin transición"))</f>
        <v/>
      </c>
      <c r="H1371" s="23" t="str">
        <f aca="false">IF(A1371="","",IF(D1371="GCIA LINEA SERVICIO DIGITALIDAD Y VENTAS","Chats",IF(OR(D1371="GERENCIA INBOUND LÍNEAS SERVICIO Y VENTA",D1371="GERENCIA INBOUND LINEAS ESPECIALIZADAS"),"Llamadas","Otro")))</f>
        <v/>
      </c>
      <c r="I1371" s="23" t="str">
        <f aca="false">IF(A1371="","",IF(C1371="No encontrado","No","Sí"))</f>
        <v/>
      </c>
      <c r="J1371" s="23" t="str">
        <f aca="false">IF(A1371="","",IF(F1371="Inactivo","No","Sí"))</f>
        <v/>
      </c>
      <c r="K1371" s="23" t="str">
        <f aca="false">IF(A1371="","",IF(AND(I1371="Sí",J1371="Sí"),"Sí","No"))</f>
        <v/>
      </c>
    </row>
    <row r="1372" customFormat="false" ht="15" hidden="false" customHeight="false" outlineLevel="0" collapsed="false">
      <c r="A1372" s="22"/>
      <c r="B1372" s="22"/>
      <c r="C1372" s="26" t="str">
        <f aca="false">IF(A1372="","",IFERROR(buscarx(A1372&amp;B1372,DATA!$E$3:$E$10000&amp;DATA!$B$3:$B$10000,DATA!$M$3:$M$10000),"No encontrado"))</f>
        <v/>
      </c>
      <c r="D1372" s="27" t="str">
        <f aca="false">IF(A1372="","",IFERROR(buscarx(A1372&amp;B1372,DATA!$E$3:$E$10000&amp;DATA!$B$3:$B$10000,DATA!$W$3:$W$10000),"No encontrado"))</f>
        <v/>
      </c>
      <c r="E1372" s="22"/>
      <c r="F1372" s="26" t="str">
        <f aca="false">IF(A1372="","",IFERROR(buscarx(A1372&amp;E1372,DATA!$E$3:$E$10000&amp;DATA!$B$3:$B$10000,DATA!$M$3:$M$10000),"Inactivo"))</f>
        <v/>
      </c>
      <c r="G1372" s="28" t="str">
        <f aca="false">IF(A1372="","",IF(AND(C1372&lt;&gt;"No encontrado",F1372&lt;&gt;"Inactivo"),C1372&amp;" → "&amp;F1372,"Sin transición"))</f>
        <v/>
      </c>
      <c r="H1372" s="26" t="str">
        <f aca="false">IF(A1372="","",IF(D1372="GCIA LINEA SERVICIO DIGITALIDAD Y VENTAS","Chats",IF(OR(D1372="GERENCIA INBOUND LÍNEAS SERVICIO Y VENTA",D1372="GERENCIA INBOUND LINEAS ESPECIALIZADAS"),"Llamadas","Otro")))</f>
        <v/>
      </c>
      <c r="I1372" s="26" t="str">
        <f aca="false">IF(A1372="","",IF(C1372="No encontrado","No","Sí"))</f>
        <v/>
      </c>
      <c r="J1372" s="26" t="str">
        <f aca="false">IF(A1372="","",IF(F1372="Inactivo","No","Sí"))</f>
        <v/>
      </c>
      <c r="K1372" s="26" t="str">
        <f aca="false">IF(A1372="","",IF(AND(I1372="Sí",J1372="Sí"),"Sí","No"))</f>
        <v/>
      </c>
    </row>
    <row r="1373" customFormat="false" ht="15" hidden="false" customHeight="false" outlineLevel="0" collapsed="false">
      <c r="A1373" s="22"/>
      <c r="B1373" s="22"/>
      <c r="C1373" s="23" t="str">
        <f aca="false">IF(A1373="","",IFERROR(buscarx(A1373&amp;B1373,DATA!$E$3:$E$10000&amp;DATA!$B$3:$B$10000,DATA!$M$3:$M$10000),"No encontrado"))</f>
        <v/>
      </c>
      <c r="D1373" s="24" t="str">
        <f aca="false">IF(A1373="","",IFERROR(buscarx(A1373&amp;B1373,DATA!$E$3:$E$10000&amp;DATA!$B$3:$B$10000,DATA!$W$3:$W$10000),"No encontrado"))</f>
        <v/>
      </c>
      <c r="E1373" s="22"/>
      <c r="F1373" s="23" t="str">
        <f aca="false">IF(A1373="","",IFERROR(buscarx(A1373&amp;E1373,DATA!$E$3:$E$10000&amp;DATA!$B$3:$B$10000,DATA!$M$3:$M$10000),"Inactivo"))</f>
        <v/>
      </c>
      <c r="G1373" s="25" t="str">
        <f aca="false">IF(A1373="","",IF(AND(C1373&lt;&gt;"No encontrado",F1373&lt;&gt;"Inactivo"),C1373&amp;" → "&amp;F1373,"Sin transición"))</f>
        <v/>
      </c>
      <c r="H1373" s="23" t="str">
        <f aca="false">IF(A1373="","",IF(D1373="GCIA LINEA SERVICIO DIGITALIDAD Y VENTAS","Chats",IF(OR(D1373="GERENCIA INBOUND LÍNEAS SERVICIO Y VENTA",D1373="GERENCIA INBOUND LINEAS ESPECIALIZADAS"),"Llamadas","Otro")))</f>
        <v/>
      </c>
      <c r="I1373" s="23" t="str">
        <f aca="false">IF(A1373="","",IF(C1373="No encontrado","No","Sí"))</f>
        <v/>
      </c>
      <c r="J1373" s="23" t="str">
        <f aca="false">IF(A1373="","",IF(F1373="Inactivo","No","Sí"))</f>
        <v/>
      </c>
      <c r="K1373" s="23" t="str">
        <f aca="false">IF(A1373="","",IF(AND(I1373="Sí",J1373="Sí"),"Sí","No"))</f>
        <v/>
      </c>
    </row>
    <row r="1374" customFormat="false" ht="15" hidden="false" customHeight="false" outlineLevel="0" collapsed="false">
      <c r="A1374" s="22"/>
      <c r="B1374" s="22"/>
      <c r="C1374" s="26" t="str">
        <f aca="false">IF(A1374="","",IFERROR(buscarx(A1374&amp;B1374,DATA!$E$3:$E$10000&amp;DATA!$B$3:$B$10000,DATA!$M$3:$M$10000),"No encontrado"))</f>
        <v/>
      </c>
      <c r="D1374" s="27" t="str">
        <f aca="false">IF(A1374="","",IFERROR(buscarx(A1374&amp;B1374,DATA!$E$3:$E$10000&amp;DATA!$B$3:$B$10000,DATA!$W$3:$W$10000),"No encontrado"))</f>
        <v/>
      </c>
      <c r="E1374" s="22"/>
      <c r="F1374" s="26" t="str">
        <f aca="false">IF(A1374="","",IFERROR(buscarx(A1374&amp;E1374,DATA!$E$3:$E$10000&amp;DATA!$B$3:$B$10000,DATA!$M$3:$M$10000),"Inactivo"))</f>
        <v/>
      </c>
      <c r="G1374" s="28" t="str">
        <f aca="false">IF(A1374="","",IF(AND(C1374&lt;&gt;"No encontrado",F1374&lt;&gt;"Inactivo"),C1374&amp;" → "&amp;F1374,"Sin transición"))</f>
        <v/>
      </c>
      <c r="H1374" s="26" t="str">
        <f aca="false">IF(A1374="","",IF(D1374="GCIA LINEA SERVICIO DIGITALIDAD Y VENTAS","Chats",IF(OR(D1374="GERENCIA INBOUND LÍNEAS SERVICIO Y VENTA",D1374="GERENCIA INBOUND LINEAS ESPECIALIZADAS"),"Llamadas","Otro")))</f>
        <v/>
      </c>
      <c r="I1374" s="26" t="str">
        <f aca="false">IF(A1374="","",IF(C1374="No encontrado","No","Sí"))</f>
        <v/>
      </c>
      <c r="J1374" s="26" t="str">
        <f aca="false">IF(A1374="","",IF(F1374="Inactivo","No","Sí"))</f>
        <v/>
      </c>
      <c r="K1374" s="26" t="str">
        <f aca="false">IF(A1374="","",IF(AND(I1374="Sí",J1374="Sí"),"Sí","No"))</f>
        <v/>
      </c>
    </row>
    <row r="1375" customFormat="false" ht="15" hidden="false" customHeight="false" outlineLevel="0" collapsed="false">
      <c r="A1375" s="22"/>
      <c r="B1375" s="22"/>
      <c r="C1375" s="23" t="str">
        <f aca="false">IF(A1375="","",IFERROR(buscarx(A1375&amp;B1375,DATA!$E$3:$E$10000&amp;DATA!$B$3:$B$10000,DATA!$M$3:$M$10000),"No encontrado"))</f>
        <v/>
      </c>
      <c r="D1375" s="24" t="str">
        <f aca="false">IF(A1375="","",IFERROR(buscarx(A1375&amp;B1375,DATA!$E$3:$E$10000&amp;DATA!$B$3:$B$10000,DATA!$W$3:$W$10000),"No encontrado"))</f>
        <v/>
      </c>
      <c r="E1375" s="22"/>
      <c r="F1375" s="23" t="str">
        <f aca="false">IF(A1375="","",IFERROR(buscarx(A1375&amp;E1375,DATA!$E$3:$E$10000&amp;DATA!$B$3:$B$10000,DATA!$M$3:$M$10000),"Inactivo"))</f>
        <v/>
      </c>
      <c r="G1375" s="25" t="str">
        <f aca="false">IF(A1375="","",IF(AND(C1375&lt;&gt;"No encontrado",F1375&lt;&gt;"Inactivo"),C1375&amp;" → "&amp;F1375,"Sin transición"))</f>
        <v/>
      </c>
      <c r="H1375" s="23" t="str">
        <f aca="false">IF(A1375="","",IF(D1375="GCIA LINEA SERVICIO DIGITALIDAD Y VENTAS","Chats",IF(OR(D1375="GERENCIA INBOUND LÍNEAS SERVICIO Y VENTA",D1375="GERENCIA INBOUND LINEAS ESPECIALIZADAS"),"Llamadas","Otro")))</f>
        <v/>
      </c>
      <c r="I1375" s="23" t="str">
        <f aca="false">IF(A1375="","",IF(C1375="No encontrado","No","Sí"))</f>
        <v/>
      </c>
      <c r="J1375" s="23" t="str">
        <f aca="false">IF(A1375="","",IF(F1375="Inactivo","No","Sí"))</f>
        <v/>
      </c>
      <c r="K1375" s="23" t="str">
        <f aca="false">IF(A1375="","",IF(AND(I1375="Sí",J1375="Sí"),"Sí","No"))</f>
        <v/>
      </c>
    </row>
    <row r="1376" customFormat="false" ht="15" hidden="false" customHeight="false" outlineLevel="0" collapsed="false">
      <c r="A1376" s="22"/>
      <c r="B1376" s="22"/>
      <c r="C1376" s="26" t="str">
        <f aca="false">IF(A1376="","",IFERROR(buscarx(A1376&amp;B1376,DATA!$E$3:$E$10000&amp;DATA!$B$3:$B$10000,DATA!$M$3:$M$10000),"No encontrado"))</f>
        <v/>
      </c>
      <c r="D1376" s="27" t="str">
        <f aca="false">IF(A1376="","",IFERROR(buscarx(A1376&amp;B1376,DATA!$E$3:$E$10000&amp;DATA!$B$3:$B$10000,DATA!$W$3:$W$10000),"No encontrado"))</f>
        <v/>
      </c>
      <c r="E1376" s="22"/>
      <c r="F1376" s="26" t="str">
        <f aca="false">IF(A1376="","",IFERROR(buscarx(A1376&amp;E1376,DATA!$E$3:$E$10000&amp;DATA!$B$3:$B$10000,DATA!$M$3:$M$10000),"Inactivo"))</f>
        <v/>
      </c>
      <c r="G1376" s="28" t="str">
        <f aca="false">IF(A1376="","",IF(AND(C1376&lt;&gt;"No encontrado",F1376&lt;&gt;"Inactivo"),C1376&amp;" → "&amp;F1376,"Sin transición"))</f>
        <v/>
      </c>
      <c r="H1376" s="26" t="str">
        <f aca="false">IF(A1376="","",IF(D1376="GCIA LINEA SERVICIO DIGITALIDAD Y VENTAS","Chats",IF(OR(D1376="GERENCIA INBOUND LÍNEAS SERVICIO Y VENTA",D1376="GERENCIA INBOUND LINEAS ESPECIALIZADAS"),"Llamadas","Otro")))</f>
        <v/>
      </c>
      <c r="I1376" s="26" t="str">
        <f aca="false">IF(A1376="","",IF(C1376="No encontrado","No","Sí"))</f>
        <v/>
      </c>
      <c r="J1376" s="26" t="str">
        <f aca="false">IF(A1376="","",IF(F1376="Inactivo","No","Sí"))</f>
        <v/>
      </c>
      <c r="K1376" s="26" t="str">
        <f aca="false">IF(A1376="","",IF(AND(I1376="Sí",J1376="Sí"),"Sí","No"))</f>
        <v/>
      </c>
    </row>
    <row r="1377" customFormat="false" ht="15" hidden="false" customHeight="false" outlineLevel="0" collapsed="false">
      <c r="A1377" s="22"/>
      <c r="B1377" s="22"/>
      <c r="C1377" s="23" t="str">
        <f aca="false">IF(A1377="","",IFERROR(buscarx(A1377&amp;B1377,DATA!$E$3:$E$10000&amp;DATA!$B$3:$B$10000,DATA!$M$3:$M$10000),"No encontrado"))</f>
        <v/>
      </c>
      <c r="D1377" s="24" t="str">
        <f aca="false">IF(A1377="","",IFERROR(buscarx(A1377&amp;B1377,DATA!$E$3:$E$10000&amp;DATA!$B$3:$B$10000,DATA!$W$3:$W$10000),"No encontrado"))</f>
        <v/>
      </c>
      <c r="E1377" s="22"/>
      <c r="F1377" s="23" t="str">
        <f aca="false">IF(A1377="","",IFERROR(buscarx(A1377&amp;E1377,DATA!$E$3:$E$10000&amp;DATA!$B$3:$B$10000,DATA!$M$3:$M$10000),"Inactivo"))</f>
        <v/>
      </c>
      <c r="G1377" s="25" t="str">
        <f aca="false">IF(A1377="","",IF(AND(C1377&lt;&gt;"No encontrado",F1377&lt;&gt;"Inactivo"),C1377&amp;" → "&amp;F1377,"Sin transición"))</f>
        <v/>
      </c>
      <c r="H1377" s="23" t="str">
        <f aca="false">IF(A1377="","",IF(D1377="GCIA LINEA SERVICIO DIGITALIDAD Y VENTAS","Chats",IF(OR(D1377="GERENCIA INBOUND LÍNEAS SERVICIO Y VENTA",D1377="GERENCIA INBOUND LINEAS ESPECIALIZADAS"),"Llamadas","Otro")))</f>
        <v/>
      </c>
      <c r="I1377" s="23" t="str">
        <f aca="false">IF(A1377="","",IF(C1377="No encontrado","No","Sí"))</f>
        <v/>
      </c>
      <c r="J1377" s="23" t="str">
        <f aca="false">IF(A1377="","",IF(F1377="Inactivo","No","Sí"))</f>
        <v/>
      </c>
      <c r="K1377" s="23" t="str">
        <f aca="false">IF(A1377="","",IF(AND(I1377="Sí",J1377="Sí"),"Sí","No"))</f>
        <v/>
      </c>
    </row>
    <row r="1378" customFormat="false" ht="15" hidden="false" customHeight="false" outlineLevel="0" collapsed="false">
      <c r="A1378" s="22"/>
      <c r="B1378" s="22"/>
      <c r="C1378" s="26" t="str">
        <f aca="false">IF(A1378="","",IFERROR(buscarx(A1378&amp;B1378,DATA!$E$3:$E$10000&amp;DATA!$B$3:$B$10000,DATA!$M$3:$M$10000),"No encontrado"))</f>
        <v/>
      </c>
      <c r="D1378" s="27" t="str">
        <f aca="false">IF(A1378="","",IFERROR(buscarx(A1378&amp;B1378,DATA!$E$3:$E$10000&amp;DATA!$B$3:$B$10000,DATA!$W$3:$W$10000),"No encontrado"))</f>
        <v/>
      </c>
      <c r="E1378" s="22"/>
      <c r="F1378" s="26" t="str">
        <f aca="false">IF(A1378="","",IFERROR(buscarx(A1378&amp;E1378,DATA!$E$3:$E$10000&amp;DATA!$B$3:$B$10000,DATA!$M$3:$M$10000),"Inactivo"))</f>
        <v/>
      </c>
      <c r="G1378" s="28" t="str">
        <f aca="false">IF(A1378="","",IF(AND(C1378&lt;&gt;"No encontrado",F1378&lt;&gt;"Inactivo"),C1378&amp;" → "&amp;F1378,"Sin transición"))</f>
        <v/>
      </c>
      <c r="H1378" s="26" t="str">
        <f aca="false">IF(A1378="","",IF(D1378="GCIA LINEA SERVICIO DIGITALIDAD Y VENTAS","Chats",IF(OR(D1378="GERENCIA INBOUND LÍNEAS SERVICIO Y VENTA",D1378="GERENCIA INBOUND LINEAS ESPECIALIZADAS"),"Llamadas","Otro")))</f>
        <v/>
      </c>
      <c r="I1378" s="26" t="str">
        <f aca="false">IF(A1378="","",IF(C1378="No encontrado","No","Sí"))</f>
        <v/>
      </c>
      <c r="J1378" s="26" t="str">
        <f aca="false">IF(A1378="","",IF(F1378="Inactivo","No","Sí"))</f>
        <v/>
      </c>
      <c r="K1378" s="26" t="str">
        <f aca="false">IF(A1378="","",IF(AND(I1378="Sí",J1378="Sí"),"Sí","No"))</f>
        <v/>
      </c>
    </row>
    <row r="1379" customFormat="false" ht="15" hidden="false" customHeight="false" outlineLevel="0" collapsed="false">
      <c r="A1379" s="22"/>
      <c r="B1379" s="22"/>
      <c r="C1379" s="23" t="str">
        <f aca="false">IF(A1379="","",IFERROR(buscarx(A1379&amp;B1379,DATA!$E$3:$E$10000&amp;DATA!$B$3:$B$10000,DATA!$M$3:$M$10000),"No encontrado"))</f>
        <v/>
      </c>
      <c r="D1379" s="24" t="str">
        <f aca="false">IF(A1379="","",IFERROR(buscarx(A1379&amp;B1379,DATA!$E$3:$E$10000&amp;DATA!$B$3:$B$10000,DATA!$W$3:$W$10000),"No encontrado"))</f>
        <v/>
      </c>
      <c r="E1379" s="22"/>
      <c r="F1379" s="23" t="str">
        <f aca="false">IF(A1379="","",IFERROR(buscarx(A1379&amp;E1379,DATA!$E$3:$E$10000&amp;DATA!$B$3:$B$10000,DATA!$M$3:$M$10000),"Inactivo"))</f>
        <v/>
      </c>
      <c r="G1379" s="25" t="str">
        <f aca="false">IF(A1379="","",IF(AND(C1379&lt;&gt;"No encontrado",F1379&lt;&gt;"Inactivo"),C1379&amp;" → "&amp;F1379,"Sin transición"))</f>
        <v/>
      </c>
      <c r="H1379" s="23" t="str">
        <f aca="false">IF(A1379="","",IF(D1379="GCIA LINEA SERVICIO DIGITALIDAD Y VENTAS","Chats",IF(OR(D1379="GERENCIA INBOUND LÍNEAS SERVICIO Y VENTA",D1379="GERENCIA INBOUND LINEAS ESPECIALIZADAS"),"Llamadas","Otro")))</f>
        <v/>
      </c>
      <c r="I1379" s="23" t="str">
        <f aca="false">IF(A1379="","",IF(C1379="No encontrado","No","Sí"))</f>
        <v/>
      </c>
      <c r="J1379" s="23" t="str">
        <f aca="false">IF(A1379="","",IF(F1379="Inactivo","No","Sí"))</f>
        <v/>
      </c>
      <c r="K1379" s="23" t="str">
        <f aca="false">IF(A1379="","",IF(AND(I1379="Sí",J1379="Sí"),"Sí","No"))</f>
        <v/>
      </c>
    </row>
    <row r="1380" customFormat="false" ht="15" hidden="false" customHeight="false" outlineLevel="0" collapsed="false">
      <c r="A1380" s="22"/>
      <c r="B1380" s="22"/>
      <c r="C1380" s="26" t="str">
        <f aca="false">IF(A1380="","",IFERROR(buscarx(A1380&amp;B1380,DATA!$E$3:$E$10000&amp;DATA!$B$3:$B$10000,DATA!$M$3:$M$10000),"No encontrado"))</f>
        <v/>
      </c>
      <c r="D1380" s="27" t="str">
        <f aca="false">IF(A1380="","",IFERROR(buscarx(A1380&amp;B1380,DATA!$E$3:$E$10000&amp;DATA!$B$3:$B$10000,DATA!$W$3:$W$10000),"No encontrado"))</f>
        <v/>
      </c>
      <c r="E1380" s="22"/>
      <c r="F1380" s="26" t="str">
        <f aca="false">IF(A1380="","",IFERROR(buscarx(A1380&amp;E1380,DATA!$E$3:$E$10000&amp;DATA!$B$3:$B$10000,DATA!$M$3:$M$10000),"Inactivo"))</f>
        <v/>
      </c>
      <c r="G1380" s="28" t="str">
        <f aca="false">IF(A1380="","",IF(AND(C1380&lt;&gt;"No encontrado",F1380&lt;&gt;"Inactivo"),C1380&amp;" → "&amp;F1380,"Sin transición"))</f>
        <v/>
      </c>
      <c r="H1380" s="26" t="str">
        <f aca="false">IF(A1380="","",IF(D1380="GCIA LINEA SERVICIO DIGITALIDAD Y VENTAS","Chats",IF(OR(D1380="GERENCIA INBOUND LÍNEAS SERVICIO Y VENTA",D1380="GERENCIA INBOUND LINEAS ESPECIALIZADAS"),"Llamadas","Otro")))</f>
        <v/>
      </c>
      <c r="I1380" s="26" t="str">
        <f aca="false">IF(A1380="","",IF(C1380="No encontrado","No","Sí"))</f>
        <v/>
      </c>
      <c r="J1380" s="26" t="str">
        <f aca="false">IF(A1380="","",IF(F1380="Inactivo","No","Sí"))</f>
        <v/>
      </c>
      <c r="K1380" s="26" t="str">
        <f aca="false">IF(A1380="","",IF(AND(I1380="Sí",J1380="Sí"),"Sí","No"))</f>
        <v/>
      </c>
    </row>
    <row r="1381" customFormat="false" ht="15" hidden="false" customHeight="false" outlineLevel="0" collapsed="false">
      <c r="A1381" s="22"/>
      <c r="B1381" s="22"/>
      <c r="C1381" s="23" t="str">
        <f aca="false">IF(A1381="","",IFERROR(buscarx(A1381&amp;B1381,DATA!$E$3:$E$10000&amp;DATA!$B$3:$B$10000,DATA!$M$3:$M$10000),"No encontrado"))</f>
        <v/>
      </c>
      <c r="D1381" s="24" t="str">
        <f aca="false">IF(A1381="","",IFERROR(buscarx(A1381&amp;B1381,DATA!$E$3:$E$10000&amp;DATA!$B$3:$B$10000,DATA!$W$3:$W$10000),"No encontrado"))</f>
        <v/>
      </c>
      <c r="E1381" s="22"/>
      <c r="F1381" s="23" t="str">
        <f aca="false">IF(A1381="","",IFERROR(buscarx(A1381&amp;E1381,DATA!$E$3:$E$10000&amp;DATA!$B$3:$B$10000,DATA!$M$3:$M$10000),"Inactivo"))</f>
        <v/>
      </c>
      <c r="G1381" s="25" t="str">
        <f aca="false">IF(A1381="","",IF(AND(C1381&lt;&gt;"No encontrado",F1381&lt;&gt;"Inactivo"),C1381&amp;" → "&amp;F1381,"Sin transición"))</f>
        <v/>
      </c>
      <c r="H1381" s="23" t="str">
        <f aca="false">IF(A1381="","",IF(D1381="GCIA LINEA SERVICIO DIGITALIDAD Y VENTAS","Chats",IF(OR(D1381="GERENCIA INBOUND LÍNEAS SERVICIO Y VENTA",D1381="GERENCIA INBOUND LINEAS ESPECIALIZADAS"),"Llamadas","Otro")))</f>
        <v/>
      </c>
      <c r="I1381" s="23" t="str">
        <f aca="false">IF(A1381="","",IF(C1381="No encontrado","No","Sí"))</f>
        <v/>
      </c>
      <c r="J1381" s="23" t="str">
        <f aca="false">IF(A1381="","",IF(F1381="Inactivo","No","Sí"))</f>
        <v/>
      </c>
      <c r="K1381" s="23" t="str">
        <f aca="false">IF(A1381="","",IF(AND(I1381="Sí",J1381="Sí"),"Sí","No"))</f>
        <v/>
      </c>
    </row>
    <row r="1382" customFormat="false" ht="15" hidden="false" customHeight="false" outlineLevel="0" collapsed="false">
      <c r="A1382" s="22"/>
      <c r="B1382" s="22"/>
      <c r="C1382" s="26" t="str">
        <f aca="false">IF(A1382="","",IFERROR(buscarx(A1382&amp;B1382,DATA!$E$3:$E$10000&amp;DATA!$B$3:$B$10000,DATA!$M$3:$M$10000),"No encontrado"))</f>
        <v/>
      </c>
      <c r="D1382" s="27" t="str">
        <f aca="false">IF(A1382="","",IFERROR(buscarx(A1382&amp;B1382,DATA!$E$3:$E$10000&amp;DATA!$B$3:$B$10000,DATA!$W$3:$W$10000),"No encontrado"))</f>
        <v/>
      </c>
      <c r="E1382" s="22"/>
      <c r="F1382" s="26" t="str">
        <f aca="false">IF(A1382="","",IFERROR(buscarx(A1382&amp;E1382,DATA!$E$3:$E$10000&amp;DATA!$B$3:$B$10000,DATA!$M$3:$M$10000),"Inactivo"))</f>
        <v/>
      </c>
      <c r="G1382" s="28" t="str">
        <f aca="false">IF(A1382="","",IF(AND(C1382&lt;&gt;"No encontrado",F1382&lt;&gt;"Inactivo"),C1382&amp;" → "&amp;F1382,"Sin transición"))</f>
        <v/>
      </c>
      <c r="H1382" s="26" t="str">
        <f aca="false">IF(A1382="","",IF(D1382="GCIA LINEA SERVICIO DIGITALIDAD Y VENTAS","Chats",IF(OR(D1382="GERENCIA INBOUND LÍNEAS SERVICIO Y VENTA",D1382="GERENCIA INBOUND LINEAS ESPECIALIZADAS"),"Llamadas","Otro")))</f>
        <v/>
      </c>
      <c r="I1382" s="26" t="str">
        <f aca="false">IF(A1382="","",IF(C1382="No encontrado","No","Sí"))</f>
        <v/>
      </c>
      <c r="J1382" s="26" t="str">
        <f aca="false">IF(A1382="","",IF(F1382="Inactivo","No","Sí"))</f>
        <v/>
      </c>
      <c r="K1382" s="26" t="str">
        <f aca="false">IF(A1382="","",IF(AND(I1382="Sí",J1382="Sí"),"Sí","No"))</f>
        <v/>
      </c>
    </row>
    <row r="1383" customFormat="false" ht="15" hidden="false" customHeight="false" outlineLevel="0" collapsed="false">
      <c r="A1383" s="22"/>
      <c r="B1383" s="22"/>
      <c r="C1383" s="23" t="str">
        <f aca="false">IF(A1383="","",IFERROR(buscarx(A1383&amp;B1383,DATA!$E$3:$E$10000&amp;DATA!$B$3:$B$10000,DATA!$M$3:$M$10000),"No encontrado"))</f>
        <v/>
      </c>
      <c r="D1383" s="24" t="str">
        <f aca="false">IF(A1383="","",IFERROR(buscarx(A1383&amp;B1383,DATA!$E$3:$E$10000&amp;DATA!$B$3:$B$10000,DATA!$W$3:$W$10000),"No encontrado"))</f>
        <v/>
      </c>
      <c r="E1383" s="22"/>
      <c r="F1383" s="23" t="str">
        <f aca="false">IF(A1383="","",IFERROR(buscarx(A1383&amp;E1383,DATA!$E$3:$E$10000&amp;DATA!$B$3:$B$10000,DATA!$M$3:$M$10000),"Inactivo"))</f>
        <v/>
      </c>
      <c r="G1383" s="25" t="str">
        <f aca="false">IF(A1383="","",IF(AND(C1383&lt;&gt;"No encontrado",F1383&lt;&gt;"Inactivo"),C1383&amp;" → "&amp;F1383,"Sin transición"))</f>
        <v/>
      </c>
      <c r="H1383" s="23" t="str">
        <f aca="false">IF(A1383="","",IF(D1383="GCIA LINEA SERVICIO DIGITALIDAD Y VENTAS","Chats",IF(OR(D1383="GERENCIA INBOUND LÍNEAS SERVICIO Y VENTA",D1383="GERENCIA INBOUND LINEAS ESPECIALIZADAS"),"Llamadas","Otro")))</f>
        <v/>
      </c>
      <c r="I1383" s="23" t="str">
        <f aca="false">IF(A1383="","",IF(C1383="No encontrado","No","Sí"))</f>
        <v/>
      </c>
      <c r="J1383" s="23" t="str">
        <f aca="false">IF(A1383="","",IF(F1383="Inactivo","No","Sí"))</f>
        <v/>
      </c>
      <c r="K1383" s="23" t="str">
        <f aca="false">IF(A1383="","",IF(AND(I1383="Sí",J1383="Sí"),"Sí","No"))</f>
        <v/>
      </c>
    </row>
    <row r="1384" customFormat="false" ht="15" hidden="false" customHeight="false" outlineLevel="0" collapsed="false">
      <c r="A1384" s="22"/>
      <c r="B1384" s="22"/>
      <c r="C1384" s="26" t="str">
        <f aca="false">IF(A1384="","",IFERROR(buscarx(A1384&amp;B1384,DATA!$E$3:$E$10000&amp;DATA!$B$3:$B$10000,DATA!$M$3:$M$10000),"No encontrado"))</f>
        <v/>
      </c>
      <c r="D1384" s="27" t="str">
        <f aca="false">IF(A1384="","",IFERROR(buscarx(A1384&amp;B1384,DATA!$E$3:$E$10000&amp;DATA!$B$3:$B$10000,DATA!$W$3:$W$10000),"No encontrado"))</f>
        <v/>
      </c>
      <c r="E1384" s="22"/>
      <c r="F1384" s="26" t="str">
        <f aca="false">IF(A1384="","",IFERROR(buscarx(A1384&amp;E1384,DATA!$E$3:$E$10000&amp;DATA!$B$3:$B$10000,DATA!$M$3:$M$10000),"Inactivo"))</f>
        <v/>
      </c>
      <c r="G1384" s="28" t="str">
        <f aca="false">IF(A1384="","",IF(AND(C1384&lt;&gt;"No encontrado",F1384&lt;&gt;"Inactivo"),C1384&amp;" → "&amp;F1384,"Sin transición"))</f>
        <v/>
      </c>
      <c r="H1384" s="26" t="str">
        <f aca="false">IF(A1384="","",IF(D1384="GCIA LINEA SERVICIO DIGITALIDAD Y VENTAS","Chats",IF(OR(D1384="GERENCIA INBOUND LÍNEAS SERVICIO Y VENTA",D1384="GERENCIA INBOUND LINEAS ESPECIALIZADAS"),"Llamadas","Otro")))</f>
        <v/>
      </c>
      <c r="I1384" s="26" t="str">
        <f aca="false">IF(A1384="","",IF(C1384="No encontrado","No","Sí"))</f>
        <v/>
      </c>
      <c r="J1384" s="26" t="str">
        <f aca="false">IF(A1384="","",IF(F1384="Inactivo","No","Sí"))</f>
        <v/>
      </c>
      <c r="K1384" s="26" t="str">
        <f aca="false">IF(A1384="","",IF(AND(I1384="Sí",J1384="Sí"),"Sí","No"))</f>
        <v/>
      </c>
    </row>
    <row r="1385" customFormat="false" ht="15" hidden="false" customHeight="false" outlineLevel="0" collapsed="false">
      <c r="A1385" s="22"/>
      <c r="B1385" s="22"/>
      <c r="C1385" s="23" t="str">
        <f aca="false">IF(A1385="","",IFERROR(buscarx(A1385&amp;B1385,DATA!$E$3:$E$10000&amp;DATA!$B$3:$B$10000,DATA!$M$3:$M$10000),"No encontrado"))</f>
        <v/>
      </c>
      <c r="D1385" s="24" t="str">
        <f aca="false">IF(A1385="","",IFERROR(buscarx(A1385&amp;B1385,DATA!$E$3:$E$10000&amp;DATA!$B$3:$B$10000,DATA!$W$3:$W$10000),"No encontrado"))</f>
        <v/>
      </c>
      <c r="E1385" s="22"/>
      <c r="F1385" s="23" t="str">
        <f aca="false">IF(A1385="","",IFERROR(buscarx(A1385&amp;E1385,DATA!$E$3:$E$10000&amp;DATA!$B$3:$B$10000,DATA!$M$3:$M$10000),"Inactivo"))</f>
        <v/>
      </c>
      <c r="G1385" s="25" t="str">
        <f aca="false">IF(A1385="","",IF(AND(C1385&lt;&gt;"No encontrado",F1385&lt;&gt;"Inactivo"),C1385&amp;" → "&amp;F1385,"Sin transición"))</f>
        <v/>
      </c>
      <c r="H1385" s="23" t="str">
        <f aca="false">IF(A1385="","",IF(D1385="GCIA LINEA SERVICIO DIGITALIDAD Y VENTAS","Chats",IF(OR(D1385="GERENCIA INBOUND LÍNEAS SERVICIO Y VENTA",D1385="GERENCIA INBOUND LINEAS ESPECIALIZADAS"),"Llamadas","Otro")))</f>
        <v/>
      </c>
      <c r="I1385" s="23" t="str">
        <f aca="false">IF(A1385="","",IF(C1385="No encontrado","No","Sí"))</f>
        <v/>
      </c>
      <c r="J1385" s="23" t="str">
        <f aca="false">IF(A1385="","",IF(F1385="Inactivo","No","Sí"))</f>
        <v/>
      </c>
      <c r="K1385" s="23" t="str">
        <f aca="false">IF(A1385="","",IF(AND(I1385="Sí",J1385="Sí"),"Sí","No"))</f>
        <v/>
      </c>
    </row>
    <row r="1386" customFormat="false" ht="15" hidden="false" customHeight="false" outlineLevel="0" collapsed="false">
      <c r="A1386" s="22"/>
      <c r="B1386" s="22"/>
      <c r="C1386" s="26" t="str">
        <f aca="false">IF(A1386="","",IFERROR(buscarx(A1386&amp;B1386,DATA!$E$3:$E$10000&amp;DATA!$B$3:$B$10000,DATA!$M$3:$M$10000),"No encontrado"))</f>
        <v/>
      </c>
      <c r="D1386" s="27" t="str">
        <f aca="false">IF(A1386="","",IFERROR(buscarx(A1386&amp;B1386,DATA!$E$3:$E$10000&amp;DATA!$B$3:$B$10000,DATA!$W$3:$W$10000),"No encontrado"))</f>
        <v/>
      </c>
      <c r="E1386" s="22"/>
      <c r="F1386" s="26" t="str">
        <f aca="false">IF(A1386="","",IFERROR(buscarx(A1386&amp;E1386,DATA!$E$3:$E$10000&amp;DATA!$B$3:$B$10000,DATA!$M$3:$M$10000),"Inactivo"))</f>
        <v/>
      </c>
      <c r="G1386" s="28" t="str">
        <f aca="false">IF(A1386="","",IF(AND(C1386&lt;&gt;"No encontrado",F1386&lt;&gt;"Inactivo"),C1386&amp;" → "&amp;F1386,"Sin transición"))</f>
        <v/>
      </c>
      <c r="H1386" s="26" t="str">
        <f aca="false">IF(A1386="","",IF(D1386="GCIA LINEA SERVICIO DIGITALIDAD Y VENTAS","Chats",IF(OR(D1386="GERENCIA INBOUND LÍNEAS SERVICIO Y VENTA",D1386="GERENCIA INBOUND LINEAS ESPECIALIZADAS"),"Llamadas","Otro")))</f>
        <v/>
      </c>
      <c r="I1386" s="26" t="str">
        <f aca="false">IF(A1386="","",IF(C1386="No encontrado","No","Sí"))</f>
        <v/>
      </c>
      <c r="J1386" s="26" t="str">
        <f aca="false">IF(A1386="","",IF(F1386="Inactivo","No","Sí"))</f>
        <v/>
      </c>
      <c r="K1386" s="26" t="str">
        <f aca="false">IF(A1386="","",IF(AND(I1386="Sí",J1386="Sí"),"Sí","No"))</f>
        <v/>
      </c>
    </row>
    <row r="1387" customFormat="false" ht="15" hidden="false" customHeight="false" outlineLevel="0" collapsed="false">
      <c r="A1387" s="22"/>
      <c r="B1387" s="22"/>
      <c r="C1387" s="23" t="str">
        <f aca="false">IF(A1387="","",IFERROR(buscarx(A1387&amp;B1387,DATA!$E$3:$E$10000&amp;DATA!$B$3:$B$10000,DATA!$M$3:$M$10000),"No encontrado"))</f>
        <v/>
      </c>
      <c r="D1387" s="24" t="str">
        <f aca="false">IF(A1387="","",IFERROR(buscarx(A1387&amp;B1387,DATA!$E$3:$E$10000&amp;DATA!$B$3:$B$10000,DATA!$W$3:$W$10000),"No encontrado"))</f>
        <v/>
      </c>
      <c r="E1387" s="22"/>
      <c r="F1387" s="23" t="str">
        <f aca="false">IF(A1387="","",IFERROR(buscarx(A1387&amp;E1387,DATA!$E$3:$E$10000&amp;DATA!$B$3:$B$10000,DATA!$M$3:$M$10000),"Inactivo"))</f>
        <v/>
      </c>
      <c r="G1387" s="25" t="str">
        <f aca="false">IF(A1387="","",IF(AND(C1387&lt;&gt;"No encontrado",F1387&lt;&gt;"Inactivo"),C1387&amp;" → "&amp;F1387,"Sin transición"))</f>
        <v/>
      </c>
      <c r="H1387" s="23" t="str">
        <f aca="false">IF(A1387="","",IF(D1387="GCIA LINEA SERVICIO DIGITALIDAD Y VENTAS","Chats",IF(OR(D1387="GERENCIA INBOUND LÍNEAS SERVICIO Y VENTA",D1387="GERENCIA INBOUND LINEAS ESPECIALIZADAS"),"Llamadas","Otro")))</f>
        <v/>
      </c>
      <c r="I1387" s="23" t="str">
        <f aca="false">IF(A1387="","",IF(C1387="No encontrado","No","Sí"))</f>
        <v/>
      </c>
      <c r="J1387" s="23" t="str">
        <f aca="false">IF(A1387="","",IF(F1387="Inactivo","No","Sí"))</f>
        <v/>
      </c>
      <c r="K1387" s="23" t="str">
        <f aca="false">IF(A1387="","",IF(AND(I1387="Sí",J1387="Sí"),"Sí","No"))</f>
        <v/>
      </c>
    </row>
    <row r="1388" customFormat="false" ht="15" hidden="false" customHeight="false" outlineLevel="0" collapsed="false">
      <c r="A1388" s="22"/>
      <c r="B1388" s="22"/>
      <c r="C1388" s="26" t="str">
        <f aca="false">IF(A1388="","",IFERROR(buscarx(A1388&amp;B1388,DATA!$E$3:$E$10000&amp;DATA!$B$3:$B$10000,DATA!$M$3:$M$10000),"No encontrado"))</f>
        <v/>
      </c>
      <c r="D1388" s="27" t="str">
        <f aca="false">IF(A1388="","",IFERROR(buscarx(A1388&amp;B1388,DATA!$E$3:$E$10000&amp;DATA!$B$3:$B$10000,DATA!$W$3:$W$10000),"No encontrado"))</f>
        <v/>
      </c>
      <c r="E1388" s="22"/>
      <c r="F1388" s="26" t="str">
        <f aca="false">IF(A1388="","",IFERROR(buscarx(A1388&amp;E1388,DATA!$E$3:$E$10000&amp;DATA!$B$3:$B$10000,DATA!$M$3:$M$10000),"Inactivo"))</f>
        <v/>
      </c>
      <c r="G1388" s="28" t="str">
        <f aca="false">IF(A1388="","",IF(AND(C1388&lt;&gt;"No encontrado",F1388&lt;&gt;"Inactivo"),C1388&amp;" → "&amp;F1388,"Sin transición"))</f>
        <v/>
      </c>
      <c r="H1388" s="26" t="str">
        <f aca="false">IF(A1388="","",IF(D1388="GCIA LINEA SERVICIO DIGITALIDAD Y VENTAS","Chats",IF(OR(D1388="GERENCIA INBOUND LÍNEAS SERVICIO Y VENTA",D1388="GERENCIA INBOUND LINEAS ESPECIALIZADAS"),"Llamadas","Otro")))</f>
        <v/>
      </c>
      <c r="I1388" s="26" t="str">
        <f aca="false">IF(A1388="","",IF(C1388="No encontrado","No","Sí"))</f>
        <v/>
      </c>
      <c r="J1388" s="26" t="str">
        <f aca="false">IF(A1388="","",IF(F1388="Inactivo","No","Sí"))</f>
        <v/>
      </c>
      <c r="K1388" s="26" t="str">
        <f aca="false">IF(A1388="","",IF(AND(I1388="Sí",J1388="Sí"),"Sí","No"))</f>
        <v/>
      </c>
    </row>
    <row r="1389" customFormat="false" ht="15" hidden="false" customHeight="false" outlineLevel="0" collapsed="false">
      <c r="A1389" s="22"/>
      <c r="B1389" s="22"/>
      <c r="C1389" s="23" t="str">
        <f aca="false">IF(A1389="","",IFERROR(buscarx(A1389&amp;B1389,DATA!$E$3:$E$10000&amp;DATA!$B$3:$B$10000,DATA!$M$3:$M$10000),"No encontrado"))</f>
        <v/>
      </c>
      <c r="D1389" s="24" t="str">
        <f aca="false">IF(A1389="","",IFERROR(buscarx(A1389&amp;B1389,DATA!$E$3:$E$10000&amp;DATA!$B$3:$B$10000,DATA!$W$3:$W$10000),"No encontrado"))</f>
        <v/>
      </c>
      <c r="E1389" s="22"/>
      <c r="F1389" s="23" t="str">
        <f aca="false">IF(A1389="","",IFERROR(buscarx(A1389&amp;E1389,DATA!$E$3:$E$10000&amp;DATA!$B$3:$B$10000,DATA!$M$3:$M$10000),"Inactivo"))</f>
        <v/>
      </c>
      <c r="G1389" s="25" t="str">
        <f aca="false">IF(A1389="","",IF(AND(C1389&lt;&gt;"No encontrado",F1389&lt;&gt;"Inactivo"),C1389&amp;" → "&amp;F1389,"Sin transición"))</f>
        <v/>
      </c>
      <c r="H1389" s="23" t="str">
        <f aca="false">IF(A1389="","",IF(D1389="GCIA LINEA SERVICIO DIGITALIDAD Y VENTAS","Chats",IF(OR(D1389="GERENCIA INBOUND LÍNEAS SERVICIO Y VENTA",D1389="GERENCIA INBOUND LINEAS ESPECIALIZADAS"),"Llamadas","Otro")))</f>
        <v/>
      </c>
      <c r="I1389" s="23" t="str">
        <f aca="false">IF(A1389="","",IF(C1389="No encontrado","No","Sí"))</f>
        <v/>
      </c>
      <c r="J1389" s="23" t="str">
        <f aca="false">IF(A1389="","",IF(F1389="Inactivo","No","Sí"))</f>
        <v/>
      </c>
      <c r="K1389" s="23" t="str">
        <f aca="false">IF(A1389="","",IF(AND(I1389="Sí",J1389="Sí"),"Sí","No"))</f>
        <v/>
      </c>
    </row>
    <row r="1390" customFormat="false" ht="15" hidden="false" customHeight="false" outlineLevel="0" collapsed="false">
      <c r="A1390" s="22"/>
      <c r="B1390" s="22"/>
      <c r="C1390" s="26" t="str">
        <f aca="false">IF(A1390="","",IFERROR(buscarx(A1390&amp;B1390,DATA!$E$3:$E$10000&amp;DATA!$B$3:$B$10000,DATA!$M$3:$M$10000),"No encontrado"))</f>
        <v/>
      </c>
      <c r="D1390" s="27" t="str">
        <f aca="false">IF(A1390="","",IFERROR(buscarx(A1390&amp;B1390,DATA!$E$3:$E$10000&amp;DATA!$B$3:$B$10000,DATA!$W$3:$W$10000),"No encontrado"))</f>
        <v/>
      </c>
      <c r="E1390" s="22"/>
      <c r="F1390" s="26" t="str">
        <f aca="false">IF(A1390="","",IFERROR(buscarx(A1390&amp;E1390,DATA!$E$3:$E$10000&amp;DATA!$B$3:$B$10000,DATA!$M$3:$M$10000),"Inactivo"))</f>
        <v/>
      </c>
      <c r="G1390" s="28" t="str">
        <f aca="false">IF(A1390="","",IF(AND(C1390&lt;&gt;"No encontrado",F1390&lt;&gt;"Inactivo"),C1390&amp;" → "&amp;F1390,"Sin transición"))</f>
        <v/>
      </c>
      <c r="H1390" s="26" t="str">
        <f aca="false">IF(A1390="","",IF(D1390="GCIA LINEA SERVICIO DIGITALIDAD Y VENTAS","Chats",IF(OR(D1390="GERENCIA INBOUND LÍNEAS SERVICIO Y VENTA",D1390="GERENCIA INBOUND LINEAS ESPECIALIZADAS"),"Llamadas","Otro")))</f>
        <v/>
      </c>
      <c r="I1390" s="26" t="str">
        <f aca="false">IF(A1390="","",IF(C1390="No encontrado","No","Sí"))</f>
        <v/>
      </c>
      <c r="J1390" s="26" t="str">
        <f aca="false">IF(A1390="","",IF(F1390="Inactivo","No","Sí"))</f>
        <v/>
      </c>
      <c r="K1390" s="26" t="str">
        <f aca="false">IF(A1390="","",IF(AND(I1390="Sí",J1390="Sí"),"Sí","No"))</f>
        <v/>
      </c>
    </row>
    <row r="1391" customFormat="false" ht="15" hidden="false" customHeight="false" outlineLevel="0" collapsed="false">
      <c r="A1391" s="22"/>
      <c r="B1391" s="22"/>
      <c r="C1391" s="23" t="str">
        <f aca="false">IF(A1391="","",IFERROR(buscarx(A1391&amp;B1391,DATA!$E$3:$E$10000&amp;DATA!$B$3:$B$10000,DATA!$M$3:$M$10000),"No encontrado"))</f>
        <v/>
      </c>
      <c r="D1391" s="24" t="str">
        <f aca="false">IF(A1391="","",IFERROR(buscarx(A1391&amp;B1391,DATA!$E$3:$E$10000&amp;DATA!$B$3:$B$10000,DATA!$W$3:$W$10000),"No encontrado"))</f>
        <v/>
      </c>
      <c r="E1391" s="22"/>
      <c r="F1391" s="23" t="str">
        <f aca="false">IF(A1391="","",IFERROR(buscarx(A1391&amp;E1391,DATA!$E$3:$E$10000&amp;DATA!$B$3:$B$10000,DATA!$M$3:$M$10000),"Inactivo"))</f>
        <v/>
      </c>
      <c r="G1391" s="25" t="str">
        <f aca="false">IF(A1391="","",IF(AND(C1391&lt;&gt;"No encontrado",F1391&lt;&gt;"Inactivo"),C1391&amp;" → "&amp;F1391,"Sin transición"))</f>
        <v/>
      </c>
      <c r="H1391" s="23" t="str">
        <f aca="false">IF(A1391="","",IF(D1391="GCIA LINEA SERVICIO DIGITALIDAD Y VENTAS","Chats",IF(OR(D1391="GERENCIA INBOUND LÍNEAS SERVICIO Y VENTA",D1391="GERENCIA INBOUND LINEAS ESPECIALIZADAS"),"Llamadas","Otro")))</f>
        <v/>
      </c>
      <c r="I1391" s="23" t="str">
        <f aca="false">IF(A1391="","",IF(C1391="No encontrado","No","Sí"))</f>
        <v/>
      </c>
      <c r="J1391" s="23" t="str">
        <f aca="false">IF(A1391="","",IF(F1391="Inactivo","No","Sí"))</f>
        <v/>
      </c>
      <c r="K1391" s="23" t="str">
        <f aca="false">IF(A1391="","",IF(AND(I1391="Sí",J1391="Sí"),"Sí","No"))</f>
        <v/>
      </c>
    </row>
    <row r="1392" customFormat="false" ht="15" hidden="false" customHeight="false" outlineLevel="0" collapsed="false">
      <c r="A1392" s="22"/>
      <c r="B1392" s="22"/>
      <c r="C1392" s="26" t="str">
        <f aca="false">IF(A1392="","",IFERROR(buscarx(A1392&amp;B1392,DATA!$E$3:$E$10000&amp;DATA!$B$3:$B$10000,DATA!$M$3:$M$10000),"No encontrado"))</f>
        <v/>
      </c>
      <c r="D1392" s="27" t="str">
        <f aca="false">IF(A1392="","",IFERROR(buscarx(A1392&amp;B1392,DATA!$E$3:$E$10000&amp;DATA!$B$3:$B$10000,DATA!$W$3:$W$10000),"No encontrado"))</f>
        <v/>
      </c>
      <c r="E1392" s="22"/>
      <c r="F1392" s="26" t="str">
        <f aca="false">IF(A1392="","",IFERROR(buscarx(A1392&amp;E1392,DATA!$E$3:$E$10000&amp;DATA!$B$3:$B$10000,DATA!$M$3:$M$10000),"Inactivo"))</f>
        <v/>
      </c>
      <c r="G1392" s="28" t="str">
        <f aca="false">IF(A1392="","",IF(AND(C1392&lt;&gt;"No encontrado",F1392&lt;&gt;"Inactivo"),C1392&amp;" → "&amp;F1392,"Sin transición"))</f>
        <v/>
      </c>
      <c r="H1392" s="26" t="str">
        <f aca="false">IF(A1392="","",IF(D1392="GCIA LINEA SERVICIO DIGITALIDAD Y VENTAS","Chats",IF(OR(D1392="GERENCIA INBOUND LÍNEAS SERVICIO Y VENTA",D1392="GERENCIA INBOUND LINEAS ESPECIALIZADAS"),"Llamadas","Otro")))</f>
        <v/>
      </c>
      <c r="I1392" s="26" t="str">
        <f aca="false">IF(A1392="","",IF(C1392="No encontrado","No","Sí"))</f>
        <v/>
      </c>
      <c r="J1392" s="26" t="str">
        <f aca="false">IF(A1392="","",IF(F1392="Inactivo","No","Sí"))</f>
        <v/>
      </c>
      <c r="K1392" s="26" t="str">
        <f aca="false">IF(A1392="","",IF(AND(I1392="Sí",J1392="Sí"),"Sí","No"))</f>
        <v/>
      </c>
    </row>
    <row r="1393" customFormat="false" ht="15" hidden="false" customHeight="false" outlineLevel="0" collapsed="false">
      <c r="A1393" s="22"/>
      <c r="B1393" s="22"/>
      <c r="C1393" s="23" t="str">
        <f aca="false">IF(A1393="","",IFERROR(buscarx(A1393&amp;B1393,DATA!$E$3:$E$10000&amp;DATA!$B$3:$B$10000,DATA!$M$3:$M$10000),"No encontrado"))</f>
        <v/>
      </c>
      <c r="D1393" s="24" t="str">
        <f aca="false">IF(A1393="","",IFERROR(buscarx(A1393&amp;B1393,DATA!$E$3:$E$10000&amp;DATA!$B$3:$B$10000,DATA!$W$3:$W$10000),"No encontrado"))</f>
        <v/>
      </c>
      <c r="E1393" s="22"/>
      <c r="F1393" s="23" t="str">
        <f aca="false">IF(A1393="","",IFERROR(buscarx(A1393&amp;E1393,DATA!$E$3:$E$10000&amp;DATA!$B$3:$B$10000,DATA!$M$3:$M$10000),"Inactivo"))</f>
        <v/>
      </c>
      <c r="G1393" s="25" t="str">
        <f aca="false">IF(A1393="","",IF(AND(C1393&lt;&gt;"No encontrado",F1393&lt;&gt;"Inactivo"),C1393&amp;" → "&amp;F1393,"Sin transición"))</f>
        <v/>
      </c>
      <c r="H1393" s="23" t="str">
        <f aca="false">IF(A1393="","",IF(D1393="GCIA LINEA SERVICIO DIGITALIDAD Y VENTAS","Chats",IF(OR(D1393="GERENCIA INBOUND LÍNEAS SERVICIO Y VENTA",D1393="GERENCIA INBOUND LINEAS ESPECIALIZADAS"),"Llamadas","Otro")))</f>
        <v/>
      </c>
      <c r="I1393" s="23" t="str">
        <f aca="false">IF(A1393="","",IF(C1393="No encontrado","No","Sí"))</f>
        <v/>
      </c>
      <c r="J1393" s="23" t="str">
        <f aca="false">IF(A1393="","",IF(F1393="Inactivo","No","Sí"))</f>
        <v/>
      </c>
      <c r="K1393" s="23" t="str">
        <f aca="false">IF(A1393="","",IF(AND(I1393="Sí",J1393="Sí"),"Sí","No"))</f>
        <v/>
      </c>
    </row>
    <row r="1394" customFormat="false" ht="15" hidden="false" customHeight="false" outlineLevel="0" collapsed="false">
      <c r="A1394" s="22"/>
      <c r="B1394" s="22"/>
      <c r="C1394" s="26" t="str">
        <f aca="false">IF(A1394="","",IFERROR(buscarx(A1394&amp;B1394,DATA!$E$3:$E$10000&amp;DATA!$B$3:$B$10000,DATA!$M$3:$M$10000),"No encontrado"))</f>
        <v/>
      </c>
      <c r="D1394" s="27" t="str">
        <f aca="false">IF(A1394="","",IFERROR(buscarx(A1394&amp;B1394,DATA!$E$3:$E$10000&amp;DATA!$B$3:$B$10000,DATA!$W$3:$W$10000),"No encontrado"))</f>
        <v/>
      </c>
      <c r="E1394" s="22"/>
      <c r="F1394" s="26" t="str">
        <f aca="false">IF(A1394="","",IFERROR(buscarx(A1394&amp;E1394,DATA!$E$3:$E$10000&amp;DATA!$B$3:$B$10000,DATA!$M$3:$M$10000),"Inactivo"))</f>
        <v/>
      </c>
      <c r="G1394" s="28" t="str">
        <f aca="false">IF(A1394="","",IF(AND(C1394&lt;&gt;"No encontrado",F1394&lt;&gt;"Inactivo"),C1394&amp;" → "&amp;F1394,"Sin transición"))</f>
        <v/>
      </c>
      <c r="H1394" s="26" t="str">
        <f aca="false">IF(A1394="","",IF(D1394="GCIA LINEA SERVICIO DIGITALIDAD Y VENTAS","Chats",IF(OR(D1394="GERENCIA INBOUND LÍNEAS SERVICIO Y VENTA",D1394="GERENCIA INBOUND LINEAS ESPECIALIZADAS"),"Llamadas","Otro")))</f>
        <v/>
      </c>
      <c r="I1394" s="26" t="str">
        <f aca="false">IF(A1394="","",IF(C1394="No encontrado","No","Sí"))</f>
        <v/>
      </c>
      <c r="J1394" s="26" t="str">
        <f aca="false">IF(A1394="","",IF(F1394="Inactivo","No","Sí"))</f>
        <v/>
      </c>
      <c r="K1394" s="26" t="str">
        <f aca="false">IF(A1394="","",IF(AND(I1394="Sí",J1394="Sí"),"Sí","No"))</f>
        <v/>
      </c>
    </row>
    <row r="1395" customFormat="false" ht="15" hidden="false" customHeight="false" outlineLevel="0" collapsed="false">
      <c r="A1395" s="22"/>
      <c r="B1395" s="22"/>
      <c r="C1395" s="23" t="str">
        <f aca="false">IF(A1395="","",IFERROR(buscarx(A1395&amp;B1395,DATA!$E$3:$E$10000&amp;DATA!$B$3:$B$10000,DATA!$M$3:$M$10000),"No encontrado"))</f>
        <v/>
      </c>
      <c r="D1395" s="24" t="str">
        <f aca="false">IF(A1395="","",IFERROR(buscarx(A1395&amp;B1395,DATA!$E$3:$E$10000&amp;DATA!$B$3:$B$10000,DATA!$W$3:$W$10000),"No encontrado"))</f>
        <v/>
      </c>
      <c r="E1395" s="22"/>
      <c r="F1395" s="23" t="str">
        <f aca="false">IF(A1395="","",IFERROR(buscarx(A1395&amp;E1395,DATA!$E$3:$E$10000&amp;DATA!$B$3:$B$10000,DATA!$M$3:$M$10000),"Inactivo"))</f>
        <v/>
      </c>
      <c r="G1395" s="25" t="str">
        <f aca="false">IF(A1395="","",IF(AND(C1395&lt;&gt;"No encontrado",F1395&lt;&gt;"Inactivo"),C1395&amp;" → "&amp;F1395,"Sin transición"))</f>
        <v/>
      </c>
      <c r="H1395" s="23" t="str">
        <f aca="false">IF(A1395="","",IF(D1395="GCIA LINEA SERVICIO DIGITALIDAD Y VENTAS","Chats",IF(OR(D1395="GERENCIA INBOUND LÍNEAS SERVICIO Y VENTA",D1395="GERENCIA INBOUND LINEAS ESPECIALIZADAS"),"Llamadas","Otro")))</f>
        <v/>
      </c>
      <c r="I1395" s="23" t="str">
        <f aca="false">IF(A1395="","",IF(C1395="No encontrado","No","Sí"))</f>
        <v/>
      </c>
      <c r="J1395" s="23" t="str">
        <f aca="false">IF(A1395="","",IF(F1395="Inactivo","No","Sí"))</f>
        <v/>
      </c>
      <c r="K1395" s="23" t="str">
        <f aca="false">IF(A1395="","",IF(AND(I1395="Sí",J1395="Sí"),"Sí","No"))</f>
        <v/>
      </c>
    </row>
    <row r="1396" customFormat="false" ht="15" hidden="false" customHeight="false" outlineLevel="0" collapsed="false">
      <c r="A1396" s="22"/>
      <c r="B1396" s="22"/>
      <c r="C1396" s="26" t="str">
        <f aca="false">IF(A1396="","",IFERROR(buscarx(A1396&amp;B1396,DATA!$E$3:$E$10000&amp;DATA!$B$3:$B$10000,DATA!$M$3:$M$10000),"No encontrado"))</f>
        <v/>
      </c>
      <c r="D1396" s="27" t="str">
        <f aca="false">IF(A1396="","",IFERROR(buscarx(A1396&amp;B1396,DATA!$E$3:$E$10000&amp;DATA!$B$3:$B$10000,DATA!$W$3:$W$10000),"No encontrado"))</f>
        <v/>
      </c>
      <c r="E1396" s="22"/>
      <c r="F1396" s="26" t="str">
        <f aca="false">IF(A1396="","",IFERROR(buscarx(A1396&amp;E1396,DATA!$E$3:$E$10000&amp;DATA!$B$3:$B$10000,DATA!$M$3:$M$10000),"Inactivo"))</f>
        <v/>
      </c>
      <c r="G1396" s="28" t="str">
        <f aca="false">IF(A1396="","",IF(AND(C1396&lt;&gt;"No encontrado",F1396&lt;&gt;"Inactivo"),C1396&amp;" → "&amp;F1396,"Sin transición"))</f>
        <v/>
      </c>
      <c r="H1396" s="26" t="str">
        <f aca="false">IF(A1396="","",IF(D1396="GCIA LINEA SERVICIO DIGITALIDAD Y VENTAS","Chats",IF(OR(D1396="GERENCIA INBOUND LÍNEAS SERVICIO Y VENTA",D1396="GERENCIA INBOUND LINEAS ESPECIALIZADAS"),"Llamadas","Otro")))</f>
        <v/>
      </c>
      <c r="I1396" s="26" t="str">
        <f aca="false">IF(A1396="","",IF(C1396="No encontrado","No","Sí"))</f>
        <v/>
      </c>
      <c r="J1396" s="26" t="str">
        <f aca="false">IF(A1396="","",IF(F1396="Inactivo","No","Sí"))</f>
        <v/>
      </c>
      <c r="K1396" s="26" t="str">
        <f aca="false">IF(A1396="","",IF(AND(I1396="Sí",J1396="Sí"),"Sí","No"))</f>
        <v/>
      </c>
    </row>
    <row r="1397" customFormat="false" ht="15" hidden="false" customHeight="false" outlineLevel="0" collapsed="false">
      <c r="A1397" s="22"/>
      <c r="B1397" s="22"/>
      <c r="C1397" s="23" t="str">
        <f aca="false">IF(A1397="","",IFERROR(buscarx(A1397&amp;B1397,DATA!$E$3:$E$10000&amp;DATA!$B$3:$B$10000,DATA!$M$3:$M$10000),"No encontrado"))</f>
        <v/>
      </c>
      <c r="D1397" s="24" t="str">
        <f aca="false">IF(A1397="","",IFERROR(buscarx(A1397&amp;B1397,DATA!$E$3:$E$10000&amp;DATA!$B$3:$B$10000,DATA!$W$3:$W$10000),"No encontrado"))</f>
        <v/>
      </c>
      <c r="E1397" s="22"/>
      <c r="F1397" s="23" t="str">
        <f aca="false">IF(A1397="","",IFERROR(buscarx(A1397&amp;E1397,DATA!$E$3:$E$10000&amp;DATA!$B$3:$B$10000,DATA!$M$3:$M$10000),"Inactivo"))</f>
        <v/>
      </c>
      <c r="G1397" s="25" t="str">
        <f aca="false">IF(A1397="","",IF(AND(C1397&lt;&gt;"No encontrado",F1397&lt;&gt;"Inactivo"),C1397&amp;" → "&amp;F1397,"Sin transición"))</f>
        <v/>
      </c>
      <c r="H1397" s="23" t="str">
        <f aca="false">IF(A1397="","",IF(D1397="GCIA LINEA SERVICIO DIGITALIDAD Y VENTAS","Chats",IF(OR(D1397="GERENCIA INBOUND LÍNEAS SERVICIO Y VENTA",D1397="GERENCIA INBOUND LINEAS ESPECIALIZADAS"),"Llamadas","Otro")))</f>
        <v/>
      </c>
      <c r="I1397" s="23" t="str">
        <f aca="false">IF(A1397="","",IF(C1397="No encontrado","No","Sí"))</f>
        <v/>
      </c>
      <c r="J1397" s="23" t="str">
        <f aca="false">IF(A1397="","",IF(F1397="Inactivo","No","Sí"))</f>
        <v/>
      </c>
      <c r="K1397" s="23" t="str">
        <f aca="false">IF(A1397="","",IF(AND(I1397="Sí",J1397="Sí"),"Sí","No"))</f>
        <v/>
      </c>
    </row>
    <row r="1398" customFormat="false" ht="15" hidden="false" customHeight="false" outlineLevel="0" collapsed="false">
      <c r="A1398" s="22"/>
      <c r="B1398" s="22"/>
      <c r="C1398" s="26" t="str">
        <f aca="false">IF(A1398="","",IFERROR(buscarx(A1398&amp;B1398,DATA!$E$3:$E$10000&amp;DATA!$B$3:$B$10000,DATA!$M$3:$M$10000),"No encontrado"))</f>
        <v/>
      </c>
      <c r="D1398" s="27" t="str">
        <f aca="false">IF(A1398="","",IFERROR(buscarx(A1398&amp;B1398,DATA!$E$3:$E$10000&amp;DATA!$B$3:$B$10000,DATA!$W$3:$W$10000),"No encontrado"))</f>
        <v/>
      </c>
      <c r="E1398" s="22"/>
      <c r="F1398" s="26" t="str">
        <f aca="false">IF(A1398="","",IFERROR(buscarx(A1398&amp;E1398,DATA!$E$3:$E$10000&amp;DATA!$B$3:$B$10000,DATA!$M$3:$M$10000),"Inactivo"))</f>
        <v/>
      </c>
      <c r="G1398" s="28" t="str">
        <f aca="false">IF(A1398="","",IF(AND(C1398&lt;&gt;"No encontrado",F1398&lt;&gt;"Inactivo"),C1398&amp;" → "&amp;F1398,"Sin transición"))</f>
        <v/>
      </c>
      <c r="H1398" s="26" t="str">
        <f aca="false">IF(A1398="","",IF(D1398="GCIA LINEA SERVICIO DIGITALIDAD Y VENTAS","Chats",IF(OR(D1398="GERENCIA INBOUND LÍNEAS SERVICIO Y VENTA",D1398="GERENCIA INBOUND LINEAS ESPECIALIZADAS"),"Llamadas","Otro")))</f>
        <v/>
      </c>
      <c r="I1398" s="26" t="str">
        <f aca="false">IF(A1398="","",IF(C1398="No encontrado","No","Sí"))</f>
        <v/>
      </c>
      <c r="J1398" s="26" t="str">
        <f aca="false">IF(A1398="","",IF(F1398="Inactivo","No","Sí"))</f>
        <v/>
      </c>
      <c r="K1398" s="26" t="str">
        <f aca="false">IF(A1398="","",IF(AND(I1398="Sí",J1398="Sí"),"Sí","No"))</f>
        <v/>
      </c>
    </row>
    <row r="1399" customFormat="false" ht="15" hidden="false" customHeight="false" outlineLevel="0" collapsed="false">
      <c r="A1399" s="22"/>
      <c r="B1399" s="22"/>
      <c r="C1399" s="23" t="str">
        <f aca="false">IF(A1399="","",IFERROR(buscarx(A1399&amp;B1399,DATA!$E$3:$E$10000&amp;DATA!$B$3:$B$10000,DATA!$M$3:$M$10000),"No encontrado"))</f>
        <v/>
      </c>
      <c r="D1399" s="24" t="str">
        <f aca="false">IF(A1399="","",IFERROR(buscarx(A1399&amp;B1399,DATA!$E$3:$E$10000&amp;DATA!$B$3:$B$10000,DATA!$W$3:$W$10000),"No encontrado"))</f>
        <v/>
      </c>
      <c r="E1399" s="22"/>
      <c r="F1399" s="23" t="str">
        <f aca="false">IF(A1399="","",IFERROR(buscarx(A1399&amp;E1399,DATA!$E$3:$E$10000&amp;DATA!$B$3:$B$10000,DATA!$M$3:$M$10000),"Inactivo"))</f>
        <v/>
      </c>
      <c r="G1399" s="25" t="str">
        <f aca="false">IF(A1399="","",IF(AND(C1399&lt;&gt;"No encontrado",F1399&lt;&gt;"Inactivo"),C1399&amp;" → "&amp;F1399,"Sin transición"))</f>
        <v/>
      </c>
      <c r="H1399" s="23" t="str">
        <f aca="false">IF(A1399="","",IF(D1399="GCIA LINEA SERVICIO DIGITALIDAD Y VENTAS","Chats",IF(OR(D1399="GERENCIA INBOUND LÍNEAS SERVICIO Y VENTA",D1399="GERENCIA INBOUND LINEAS ESPECIALIZADAS"),"Llamadas","Otro")))</f>
        <v/>
      </c>
      <c r="I1399" s="23" t="str">
        <f aca="false">IF(A1399="","",IF(C1399="No encontrado","No","Sí"))</f>
        <v/>
      </c>
      <c r="J1399" s="23" t="str">
        <f aca="false">IF(A1399="","",IF(F1399="Inactivo","No","Sí"))</f>
        <v/>
      </c>
      <c r="K1399" s="23" t="str">
        <f aca="false">IF(A1399="","",IF(AND(I1399="Sí",J1399="Sí"),"Sí","No"))</f>
        <v/>
      </c>
    </row>
    <row r="1400" customFormat="false" ht="15" hidden="false" customHeight="false" outlineLevel="0" collapsed="false">
      <c r="A1400" s="22"/>
      <c r="B1400" s="22"/>
      <c r="C1400" s="26" t="str">
        <f aca="false">IF(A1400="","",IFERROR(buscarx(A1400&amp;B1400,DATA!$E$3:$E$10000&amp;DATA!$B$3:$B$10000,DATA!$M$3:$M$10000),"No encontrado"))</f>
        <v/>
      </c>
      <c r="D1400" s="27" t="str">
        <f aca="false">IF(A1400="","",IFERROR(buscarx(A1400&amp;B1400,DATA!$E$3:$E$10000&amp;DATA!$B$3:$B$10000,DATA!$W$3:$W$10000),"No encontrado"))</f>
        <v/>
      </c>
      <c r="E1400" s="22"/>
      <c r="F1400" s="26" t="str">
        <f aca="false">IF(A1400="","",IFERROR(buscarx(A1400&amp;E1400,DATA!$E$3:$E$10000&amp;DATA!$B$3:$B$10000,DATA!$M$3:$M$10000),"Inactivo"))</f>
        <v/>
      </c>
      <c r="G1400" s="28" t="str">
        <f aca="false">IF(A1400="","",IF(AND(C1400&lt;&gt;"No encontrado",F1400&lt;&gt;"Inactivo"),C1400&amp;" → "&amp;F1400,"Sin transición"))</f>
        <v/>
      </c>
      <c r="H1400" s="26" t="str">
        <f aca="false">IF(A1400="","",IF(D1400="GCIA LINEA SERVICIO DIGITALIDAD Y VENTAS","Chats",IF(OR(D1400="GERENCIA INBOUND LÍNEAS SERVICIO Y VENTA",D1400="GERENCIA INBOUND LINEAS ESPECIALIZADAS"),"Llamadas","Otro")))</f>
        <v/>
      </c>
      <c r="I1400" s="26" t="str">
        <f aca="false">IF(A1400="","",IF(C1400="No encontrado","No","Sí"))</f>
        <v/>
      </c>
      <c r="J1400" s="26" t="str">
        <f aca="false">IF(A1400="","",IF(F1400="Inactivo","No","Sí"))</f>
        <v/>
      </c>
      <c r="K1400" s="26" t="str">
        <f aca="false">IF(A1400="","",IF(AND(I1400="Sí",J1400="Sí"),"Sí","No"))</f>
        <v/>
      </c>
    </row>
    <row r="1401" customFormat="false" ht="15" hidden="false" customHeight="false" outlineLevel="0" collapsed="false">
      <c r="A1401" s="22"/>
      <c r="B1401" s="22"/>
      <c r="C1401" s="23" t="str">
        <f aca="false">IF(A1401="","",IFERROR(buscarx(A1401&amp;B1401,DATA!$E$3:$E$10000&amp;DATA!$B$3:$B$10000,DATA!$M$3:$M$10000),"No encontrado"))</f>
        <v/>
      </c>
      <c r="D1401" s="24" t="str">
        <f aca="false">IF(A1401="","",IFERROR(buscarx(A1401&amp;B1401,DATA!$E$3:$E$10000&amp;DATA!$B$3:$B$10000,DATA!$W$3:$W$10000),"No encontrado"))</f>
        <v/>
      </c>
      <c r="E1401" s="22"/>
      <c r="F1401" s="23" t="str">
        <f aca="false">IF(A1401="","",IFERROR(buscarx(A1401&amp;E1401,DATA!$E$3:$E$10000&amp;DATA!$B$3:$B$10000,DATA!$M$3:$M$10000),"Inactivo"))</f>
        <v/>
      </c>
      <c r="G1401" s="25" t="str">
        <f aca="false">IF(A1401="","",IF(AND(C1401&lt;&gt;"No encontrado",F1401&lt;&gt;"Inactivo"),C1401&amp;" → "&amp;F1401,"Sin transición"))</f>
        <v/>
      </c>
      <c r="H1401" s="23" t="str">
        <f aca="false">IF(A1401="","",IF(D1401="GCIA LINEA SERVICIO DIGITALIDAD Y VENTAS","Chats",IF(OR(D1401="GERENCIA INBOUND LÍNEAS SERVICIO Y VENTA",D1401="GERENCIA INBOUND LINEAS ESPECIALIZADAS"),"Llamadas","Otro")))</f>
        <v/>
      </c>
      <c r="I1401" s="23" t="str">
        <f aca="false">IF(A1401="","",IF(C1401="No encontrado","No","Sí"))</f>
        <v/>
      </c>
      <c r="J1401" s="23" t="str">
        <f aca="false">IF(A1401="","",IF(F1401="Inactivo","No","Sí"))</f>
        <v/>
      </c>
      <c r="K1401" s="23" t="str">
        <f aca="false">IF(A1401="","",IF(AND(I1401="Sí",J1401="Sí"),"Sí","No"))</f>
        <v/>
      </c>
    </row>
    <row r="1402" customFormat="false" ht="15" hidden="false" customHeight="false" outlineLevel="0" collapsed="false">
      <c r="A1402" s="22"/>
      <c r="B1402" s="22"/>
      <c r="C1402" s="26" t="str">
        <f aca="false">IF(A1402="","",IFERROR(buscarx(A1402&amp;B1402,DATA!$E$3:$E$10000&amp;DATA!$B$3:$B$10000,DATA!$M$3:$M$10000),"No encontrado"))</f>
        <v/>
      </c>
      <c r="D1402" s="27" t="str">
        <f aca="false">IF(A1402="","",IFERROR(buscarx(A1402&amp;B1402,DATA!$E$3:$E$10000&amp;DATA!$B$3:$B$10000,DATA!$W$3:$W$10000),"No encontrado"))</f>
        <v/>
      </c>
      <c r="E1402" s="22"/>
      <c r="F1402" s="26" t="str">
        <f aca="false">IF(A1402="","",IFERROR(buscarx(A1402&amp;E1402,DATA!$E$3:$E$10000&amp;DATA!$B$3:$B$10000,DATA!$M$3:$M$10000),"Inactivo"))</f>
        <v/>
      </c>
      <c r="G1402" s="28" t="str">
        <f aca="false">IF(A1402="","",IF(AND(C1402&lt;&gt;"No encontrado",F1402&lt;&gt;"Inactivo"),C1402&amp;" → "&amp;F1402,"Sin transición"))</f>
        <v/>
      </c>
      <c r="H1402" s="26" t="str">
        <f aca="false">IF(A1402="","",IF(D1402="GCIA LINEA SERVICIO DIGITALIDAD Y VENTAS","Chats",IF(OR(D1402="GERENCIA INBOUND LÍNEAS SERVICIO Y VENTA",D1402="GERENCIA INBOUND LINEAS ESPECIALIZADAS"),"Llamadas","Otro")))</f>
        <v/>
      </c>
      <c r="I1402" s="26" t="str">
        <f aca="false">IF(A1402="","",IF(C1402="No encontrado","No","Sí"))</f>
        <v/>
      </c>
      <c r="J1402" s="26" t="str">
        <f aca="false">IF(A1402="","",IF(F1402="Inactivo","No","Sí"))</f>
        <v/>
      </c>
      <c r="K1402" s="26" t="str">
        <f aca="false">IF(A1402="","",IF(AND(I1402="Sí",J1402="Sí"),"Sí","No"))</f>
        <v/>
      </c>
    </row>
    <row r="1403" customFormat="false" ht="15" hidden="false" customHeight="false" outlineLevel="0" collapsed="false">
      <c r="A1403" s="22"/>
      <c r="B1403" s="22"/>
      <c r="C1403" s="23" t="str">
        <f aca="false">IF(A1403="","",IFERROR(buscarx(A1403&amp;B1403,DATA!$E$3:$E$10000&amp;DATA!$B$3:$B$10000,DATA!$M$3:$M$10000),"No encontrado"))</f>
        <v/>
      </c>
      <c r="D1403" s="24" t="str">
        <f aca="false">IF(A1403="","",IFERROR(buscarx(A1403&amp;B1403,DATA!$E$3:$E$10000&amp;DATA!$B$3:$B$10000,DATA!$W$3:$W$10000),"No encontrado"))</f>
        <v/>
      </c>
      <c r="E1403" s="22"/>
      <c r="F1403" s="23" t="str">
        <f aca="false">IF(A1403="","",IFERROR(buscarx(A1403&amp;E1403,DATA!$E$3:$E$10000&amp;DATA!$B$3:$B$10000,DATA!$M$3:$M$10000),"Inactivo"))</f>
        <v/>
      </c>
      <c r="G1403" s="25" t="str">
        <f aca="false">IF(A1403="","",IF(AND(C1403&lt;&gt;"No encontrado",F1403&lt;&gt;"Inactivo"),C1403&amp;" → "&amp;F1403,"Sin transición"))</f>
        <v/>
      </c>
      <c r="H1403" s="23" t="str">
        <f aca="false">IF(A1403="","",IF(D1403="GCIA LINEA SERVICIO DIGITALIDAD Y VENTAS","Chats",IF(OR(D1403="GERENCIA INBOUND LÍNEAS SERVICIO Y VENTA",D1403="GERENCIA INBOUND LINEAS ESPECIALIZADAS"),"Llamadas","Otro")))</f>
        <v/>
      </c>
      <c r="I1403" s="23" t="str">
        <f aca="false">IF(A1403="","",IF(C1403="No encontrado","No","Sí"))</f>
        <v/>
      </c>
      <c r="J1403" s="23" t="str">
        <f aca="false">IF(A1403="","",IF(F1403="Inactivo","No","Sí"))</f>
        <v/>
      </c>
      <c r="K1403" s="23" t="str">
        <f aca="false">IF(A1403="","",IF(AND(I1403="Sí",J1403="Sí"),"Sí","No"))</f>
        <v/>
      </c>
    </row>
    <row r="1404" customFormat="false" ht="15" hidden="false" customHeight="false" outlineLevel="0" collapsed="false">
      <c r="A1404" s="22"/>
      <c r="B1404" s="22"/>
      <c r="C1404" s="26" t="str">
        <f aca="false">IF(A1404="","",IFERROR(buscarx(A1404&amp;B1404,DATA!$E$3:$E$10000&amp;DATA!$B$3:$B$10000,DATA!$M$3:$M$10000),"No encontrado"))</f>
        <v/>
      </c>
      <c r="D1404" s="27" t="str">
        <f aca="false">IF(A1404="","",IFERROR(buscarx(A1404&amp;B1404,DATA!$E$3:$E$10000&amp;DATA!$B$3:$B$10000,DATA!$W$3:$W$10000),"No encontrado"))</f>
        <v/>
      </c>
      <c r="E1404" s="22"/>
      <c r="F1404" s="26" t="str">
        <f aca="false">IF(A1404="","",IFERROR(buscarx(A1404&amp;E1404,DATA!$E$3:$E$10000&amp;DATA!$B$3:$B$10000,DATA!$M$3:$M$10000),"Inactivo"))</f>
        <v/>
      </c>
      <c r="G1404" s="28" t="str">
        <f aca="false">IF(A1404="","",IF(AND(C1404&lt;&gt;"No encontrado",F1404&lt;&gt;"Inactivo"),C1404&amp;" → "&amp;F1404,"Sin transición"))</f>
        <v/>
      </c>
      <c r="H1404" s="26" t="str">
        <f aca="false">IF(A1404="","",IF(D1404="GCIA LINEA SERVICIO DIGITALIDAD Y VENTAS","Chats",IF(OR(D1404="GERENCIA INBOUND LÍNEAS SERVICIO Y VENTA",D1404="GERENCIA INBOUND LINEAS ESPECIALIZADAS"),"Llamadas","Otro")))</f>
        <v/>
      </c>
      <c r="I1404" s="26" t="str">
        <f aca="false">IF(A1404="","",IF(C1404="No encontrado","No","Sí"))</f>
        <v/>
      </c>
      <c r="J1404" s="26" t="str">
        <f aca="false">IF(A1404="","",IF(F1404="Inactivo","No","Sí"))</f>
        <v/>
      </c>
      <c r="K1404" s="26" t="str">
        <f aca="false">IF(A1404="","",IF(AND(I1404="Sí",J1404="Sí"),"Sí","No"))</f>
        <v/>
      </c>
    </row>
    <row r="1405" customFormat="false" ht="15" hidden="false" customHeight="false" outlineLevel="0" collapsed="false">
      <c r="A1405" s="22"/>
      <c r="B1405" s="22"/>
      <c r="C1405" s="23" t="str">
        <f aca="false">IF(A1405="","",IFERROR(buscarx(A1405&amp;B1405,DATA!$E$3:$E$10000&amp;DATA!$B$3:$B$10000,DATA!$M$3:$M$10000),"No encontrado"))</f>
        <v/>
      </c>
      <c r="D1405" s="24" t="str">
        <f aca="false">IF(A1405="","",IFERROR(buscarx(A1405&amp;B1405,DATA!$E$3:$E$10000&amp;DATA!$B$3:$B$10000,DATA!$W$3:$W$10000),"No encontrado"))</f>
        <v/>
      </c>
      <c r="E1405" s="22"/>
      <c r="F1405" s="23" t="str">
        <f aca="false">IF(A1405="","",IFERROR(buscarx(A1405&amp;E1405,DATA!$E$3:$E$10000&amp;DATA!$B$3:$B$10000,DATA!$M$3:$M$10000),"Inactivo"))</f>
        <v/>
      </c>
      <c r="G1405" s="25" t="str">
        <f aca="false">IF(A1405="","",IF(AND(C1405&lt;&gt;"No encontrado",F1405&lt;&gt;"Inactivo"),C1405&amp;" → "&amp;F1405,"Sin transición"))</f>
        <v/>
      </c>
      <c r="H1405" s="23" t="str">
        <f aca="false">IF(A1405="","",IF(D1405="GCIA LINEA SERVICIO DIGITALIDAD Y VENTAS","Chats",IF(OR(D1405="GERENCIA INBOUND LÍNEAS SERVICIO Y VENTA",D1405="GERENCIA INBOUND LINEAS ESPECIALIZADAS"),"Llamadas","Otro")))</f>
        <v/>
      </c>
      <c r="I1405" s="23" t="str">
        <f aca="false">IF(A1405="","",IF(C1405="No encontrado","No","Sí"))</f>
        <v/>
      </c>
      <c r="J1405" s="23" t="str">
        <f aca="false">IF(A1405="","",IF(F1405="Inactivo","No","Sí"))</f>
        <v/>
      </c>
      <c r="K1405" s="23" t="str">
        <f aca="false">IF(A1405="","",IF(AND(I1405="Sí",J1405="Sí"),"Sí","No"))</f>
        <v/>
      </c>
    </row>
    <row r="1406" customFormat="false" ht="15" hidden="false" customHeight="false" outlineLevel="0" collapsed="false">
      <c r="A1406" s="22"/>
      <c r="B1406" s="22"/>
      <c r="C1406" s="26" t="str">
        <f aca="false">IF(A1406="","",IFERROR(buscarx(A1406&amp;B1406,DATA!$E$3:$E$10000&amp;DATA!$B$3:$B$10000,DATA!$M$3:$M$10000),"No encontrado"))</f>
        <v/>
      </c>
      <c r="D1406" s="27" t="str">
        <f aca="false">IF(A1406="","",IFERROR(buscarx(A1406&amp;B1406,DATA!$E$3:$E$10000&amp;DATA!$B$3:$B$10000,DATA!$W$3:$W$10000),"No encontrado"))</f>
        <v/>
      </c>
      <c r="E1406" s="22"/>
      <c r="F1406" s="26" t="str">
        <f aca="false">IF(A1406="","",IFERROR(buscarx(A1406&amp;E1406,DATA!$E$3:$E$10000&amp;DATA!$B$3:$B$10000,DATA!$M$3:$M$10000),"Inactivo"))</f>
        <v/>
      </c>
      <c r="G1406" s="28" t="str">
        <f aca="false">IF(A1406="","",IF(AND(C1406&lt;&gt;"No encontrado",F1406&lt;&gt;"Inactivo"),C1406&amp;" → "&amp;F1406,"Sin transición"))</f>
        <v/>
      </c>
      <c r="H1406" s="26" t="str">
        <f aca="false">IF(A1406="","",IF(D1406="GCIA LINEA SERVICIO DIGITALIDAD Y VENTAS","Chats",IF(OR(D1406="GERENCIA INBOUND LÍNEAS SERVICIO Y VENTA",D1406="GERENCIA INBOUND LINEAS ESPECIALIZADAS"),"Llamadas","Otro")))</f>
        <v/>
      </c>
      <c r="I1406" s="26" t="str">
        <f aca="false">IF(A1406="","",IF(C1406="No encontrado","No","Sí"))</f>
        <v/>
      </c>
      <c r="J1406" s="26" t="str">
        <f aca="false">IF(A1406="","",IF(F1406="Inactivo","No","Sí"))</f>
        <v/>
      </c>
      <c r="K1406" s="26" t="str">
        <f aca="false">IF(A1406="","",IF(AND(I1406="Sí",J1406="Sí"),"Sí","No"))</f>
        <v/>
      </c>
    </row>
    <row r="1407" customFormat="false" ht="15" hidden="false" customHeight="false" outlineLevel="0" collapsed="false">
      <c r="A1407" s="22"/>
      <c r="B1407" s="22"/>
      <c r="C1407" s="23" t="str">
        <f aca="false">IF(A1407="","",IFERROR(buscarx(A1407&amp;B1407,DATA!$E$3:$E$10000&amp;DATA!$B$3:$B$10000,DATA!$M$3:$M$10000),"No encontrado"))</f>
        <v/>
      </c>
      <c r="D1407" s="24" t="str">
        <f aca="false">IF(A1407="","",IFERROR(buscarx(A1407&amp;B1407,DATA!$E$3:$E$10000&amp;DATA!$B$3:$B$10000,DATA!$W$3:$W$10000),"No encontrado"))</f>
        <v/>
      </c>
      <c r="E1407" s="22"/>
      <c r="F1407" s="23" t="str">
        <f aca="false">IF(A1407="","",IFERROR(buscarx(A1407&amp;E1407,DATA!$E$3:$E$10000&amp;DATA!$B$3:$B$10000,DATA!$M$3:$M$10000),"Inactivo"))</f>
        <v/>
      </c>
      <c r="G1407" s="25" t="str">
        <f aca="false">IF(A1407="","",IF(AND(C1407&lt;&gt;"No encontrado",F1407&lt;&gt;"Inactivo"),C1407&amp;" → "&amp;F1407,"Sin transición"))</f>
        <v/>
      </c>
      <c r="H1407" s="23" t="str">
        <f aca="false">IF(A1407="","",IF(D1407="GCIA LINEA SERVICIO DIGITALIDAD Y VENTAS","Chats",IF(OR(D1407="GERENCIA INBOUND LÍNEAS SERVICIO Y VENTA",D1407="GERENCIA INBOUND LINEAS ESPECIALIZADAS"),"Llamadas","Otro")))</f>
        <v/>
      </c>
      <c r="I1407" s="23" t="str">
        <f aca="false">IF(A1407="","",IF(C1407="No encontrado","No","Sí"))</f>
        <v/>
      </c>
      <c r="J1407" s="23" t="str">
        <f aca="false">IF(A1407="","",IF(F1407="Inactivo","No","Sí"))</f>
        <v/>
      </c>
      <c r="K1407" s="23" t="str">
        <f aca="false">IF(A1407="","",IF(AND(I1407="Sí",J1407="Sí"),"Sí","No"))</f>
        <v/>
      </c>
    </row>
    <row r="1408" customFormat="false" ht="15" hidden="false" customHeight="false" outlineLevel="0" collapsed="false">
      <c r="A1408" s="22"/>
      <c r="B1408" s="22"/>
      <c r="C1408" s="26" t="str">
        <f aca="false">IF(A1408="","",IFERROR(buscarx(A1408&amp;B1408,DATA!$E$3:$E$10000&amp;DATA!$B$3:$B$10000,DATA!$M$3:$M$10000),"No encontrado"))</f>
        <v/>
      </c>
      <c r="D1408" s="27" t="str">
        <f aca="false">IF(A1408="","",IFERROR(buscarx(A1408&amp;B1408,DATA!$E$3:$E$10000&amp;DATA!$B$3:$B$10000,DATA!$W$3:$W$10000),"No encontrado"))</f>
        <v/>
      </c>
      <c r="E1408" s="22"/>
      <c r="F1408" s="26" t="str">
        <f aca="false">IF(A1408="","",IFERROR(buscarx(A1408&amp;E1408,DATA!$E$3:$E$10000&amp;DATA!$B$3:$B$10000,DATA!$M$3:$M$10000),"Inactivo"))</f>
        <v/>
      </c>
      <c r="G1408" s="28" t="str">
        <f aca="false">IF(A1408="","",IF(AND(C1408&lt;&gt;"No encontrado",F1408&lt;&gt;"Inactivo"),C1408&amp;" → "&amp;F1408,"Sin transición"))</f>
        <v/>
      </c>
      <c r="H1408" s="26" t="str">
        <f aca="false">IF(A1408="","",IF(D1408="GCIA LINEA SERVICIO DIGITALIDAD Y VENTAS","Chats",IF(OR(D1408="GERENCIA INBOUND LÍNEAS SERVICIO Y VENTA",D1408="GERENCIA INBOUND LINEAS ESPECIALIZADAS"),"Llamadas","Otro")))</f>
        <v/>
      </c>
      <c r="I1408" s="26" t="str">
        <f aca="false">IF(A1408="","",IF(C1408="No encontrado","No","Sí"))</f>
        <v/>
      </c>
      <c r="J1408" s="26" t="str">
        <f aca="false">IF(A1408="","",IF(F1408="Inactivo","No","Sí"))</f>
        <v/>
      </c>
      <c r="K1408" s="26" t="str">
        <f aca="false">IF(A1408="","",IF(AND(I1408="Sí",J1408="Sí"),"Sí","No"))</f>
        <v/>
      </c>
    </row>
    <row r="1409" customFormat="false" ht="15" hidden="false" customHeight="false" outlineLevel="0" collapsed="false">
      <c r="A1409" s="22"/>
      <c r="B1409" s="22"/>
      <c r="C1409" s="23" t="str">
        <f aca="false">IF(A1409="","",IFERROR(buscarx(A1409&amp;B1409,DATA!$E$3:$E$10000&amp;DATA!$B$3:$B$10000,DATA!$M$3:$M$10000),"No encontrado"))</f>
        <v/>
      </c>
      <c r="D1409" s="24" t="str">
        <f aca="false">IF(A1409="","",IFERROR(buscarx(A1409&amp;B1409,DATA!$E$3:$E$10000&amp;DATA!$B$3:$B$10000,DATA!$W$3:$W$10000),"No encontrado"))</f>
        <v/>
      </c>
      <c r="E1409" s="22"/>
      <c r="F1409" s="23" t="str">
        <f aca="false">IF(A1409="","",IFERROR(buscarx(A1409&amp;E1409,DATA!$E$3:$E$10000&amp;DATA!$B$3:$B$10000,DATA!$M$3:$M$10000),"Inactivo"))</f>
        <v/>
      </c>
      <c r="G1409" s="25" t="str">
        <f aca="false">IF(A1409="","",IF(AND(C1409&lt;&gt;"No encontrado",F1409&lt;&gt;"Inactivo"),C1409&amp;" → "&amp;F1409,"Sin transición"))</f>
        <v/>
      </c>
      <c r="H1409" s="23" t="str">
        <f aca="false">IF(A1409="","",IF(D1409="GCIA LINEA SERVICIO DIGITALIDAD Y VENTAS","Chats",IF(OR(D1409="GERENCIA INBOUND LÍNEAS SERVICIO Y VENTA",D1409="GERENCIA INBOUND LINEAS ESPECIALIZADAS"),"Llamadas","Otro")))</f>
        <v/>
      </c>
      <c r="I1409" s="23" t="str">
        <f aca="false">IF(A1409="","",IF(C1409="No encontrado","No","Sí"))</f>
        <v/>
      </c>
      <c r="J1409" s="23" t="str">
        <f aca="false">IF(A1409="","",IF(F1409="Inactivo","No","Sí"))</f>
        <v/>
      </c>
      <c r="K1409" s="23" t="str">
        <f aca="false">IF(A1409="","",IF(AND(I1409="Sí",J1409="Sí"),"Sí","No"))</f>
        <v/>
      </c>
    </row>
    <row r="1410" customFormat="false" ht="15" hidden="false" customHeight="false" outlineLevel="0" collapsed="false">
      <c r="A1410" s="22"/>
      <c r="B1410" s="22"/>
      <c r="C1410" s="26" t="str">
        <f aca="false">IF(A1410="","",IFERROR(buscarx(A1410&amp;B1410,DATA!$E$3:$E$10000&amp;DATA!$B$3:$B$10000,DATA!$M$3:$M$10000),"No encontrado"))</f>
        <v/>
      </c>
      <c r="D1410" s="27" t="str">
        <f aca="false">IF(A1410="","",IFERROR(buscarx(A1410&amp;B1410,DATA!$E$3:$E$10000&amp;DATA!$B$3:$B$10000,DATA!$W$3:$W$10000),"No encontrado"))</f>
        <v/>
      </c>
      <c r="E1410" s="22"/>
      <c r="F1410" s="26" t="str">
        <f aca="false">IF(A1410="","",IFERROR(buscarx(A1410&amp;E1410,DATA!$E$3:$E$10000&amp;DATA!$B$3:$B$10000,DATA!$M$3:$M$10000),"Inactivo"))</f>
        <v/>
      </c>
      <c r="G1410" s="28" t="str">
        <f aca="false">IF(A1410="","",IF(AND(C1410&lt;&gt;"No encontrado",F1410&lt;&gt;"Inactivo"),C1410&amp;" → "&amp;F1410,"Sin transición"))</f>
        <v/>
      </c>
      <c r="H1410" s="26" t="str">
        <f aca="false">IF(A1410="","",IF(D1410="GCIA LINEA SERVICIO DIGITALIDAD Y VENTAS","Chats",IF(OR(D1410="GERENCIA INBOUND LÍNEAS SERVICIO Y VENTA",D1410="GERENCIA INBOUND LINEAS ESPECIALIZADAS"),"Llamadas","Otro")))</f>
        <v/>
      </c>
      <c r="I1410" s="26" t="str">
        <f aca="false">IF(A1410="","",IF(C1410="No encontrado","No","Sí"))</f>
        <v/>
      </c>
      <c r="J1410" s="26" t="str">
        <f aca="false">IF(A1410="","",IF(F1410="Inactivo","No","Sí"))</f>
        <v/>
      </c>
      <c r="K1410" s="26" t="str">
        <f aca="false">IF(A1410="","",IF(AND(I1410="Sí",J1410="Sí"),"Sí","No"))</f>
        <v/>
      </c>
    </row>
    <row r="1411" customFormat="false" ht="15" hidden="false" customHeight="false" outlineLevel="0" collapsed="false">
      <c r="A1411" s="22"/>
      <c r="B1411" s="22"/>
      <c r="C1411" s="23" t="str">
        <f aca="false">IF(A1411="","",IFERROR(buscarx(A1411&amp;B1411,DATA!$E$3:$E$10000&amp;DATA!$B$3:$B$10000,DATA!$M$3:$M$10000),"No encontrado"))</f>
        <v/>
      </c>
      <c r="D1411" s="24" t="str">
        <f aca="false">IF(A1411="","",IFERROR(buscarx(A1411&amp;B1411,DATA!$E$3:$E$10000&amp;DATA!$B$3:$B$10000,DATA!$W$3:$W$10000),"No encontrado"))</f>
        <v/>
      </c>
      <c r="E1411" s="22"/>
      <c r="F1411" s="23" t="str">
        <f aca="false">IF(A1411="","",IFERROR(buscarx(A1411&amp;E1411,DATA!$E$3:$E$10000&amp;DATA!$B$3:$B$10000,DATA!$M$3:$M$10000),"Inactivo"))</f>
        <v/>
      </c>
      <c r="G1411" s="25" t="str">
        <f aca="false">IF(A1411="","",IF(AND(C1411&lt;&gt;"No encontrado",F1411&lt;&gt;"Inactivo"),C1411&amp;" → "&amp;F1411,"Sin transición"))</f>
        <v/>
      </c>
      <c r="H1411" s="23" t="str">
        <f aca="false">IF(A1411="","",IF(D1411="GCIA LINEA SERVICIO DIGITALIDAD Y VENTAS","Chats",IF(OR(D1411="GERENCIA INBOUND LÍNEAS SERVICIO Y VENTA",D1411="GERENCIA INBOUND LINEAS ESPECIALIZADAS"),"Llamadas","Otro")))</f>
        <v/>
      </c>
      <c r="I1411" s="23" t="str">
        <f aca="false">IF(A1411="","",IF(C1411="No encontrado","No","Sí"))</f>
        <v/>
      </c>
      <c r="J1411" s="23" t="str">
        <f aca="false">IF(A1411="","",IF(F1411="Inactivo","No","Sí"))</f>
        <v/>
      </c>
      <c r="K1411" s="23" t="str">
        <f aca="false">IF(A1411="","",IF(AND(I1411="Sí",J1411="Sí"),"Sí","No"))</f>
        <v/>
      </c>
    </row>
    <row r="1412" customFormat="false" ht="15" hidden="false" customHeight="false" outlineLevel="0" collapsed="false">
      <c r="A1412" s="22"/>
      <c r="B1412" s="22"/>
      <c r="C1412" s="26" t="str">
        <f aca="false">IF(A1412="","",IFERROR(buscarx(A1412&amp;B1412,DATA!$E$3:$E$10000&amp;DATA!$B$3:$B$10000,DATA!$M$3:$M$10000),"No encontrado"))</f>
        <v/>
      </c>
      <c r="D1412" s="27" t="str">
        <f aca="false">IF(A1412="","",IFERROR(buscarx(A1412&amp;B1412,DATA!$E$3:$E$10000&amp;DATA!$B$3:$B$10000,DATA!$W$3:$W$10000),"No encontrado"))</f>
        <v/>
      </c>
      <c r="E1412" s="22"/>
      <c r="F1412" s="26" t="str">
        <f aca="false">IF(A1412="","",IFERROR(buscarx(A1412&amp;E1412,DATA!$E$3:$E$10000&amp;DATA!$B$3:$B$10000,DATA!$M$3:$M$10000),"Inactivo"))</f>
        <v/>
      </c>
      <c r="G1412" s="28" t="str">
        <f aca="false">IF(A1412="","",IF(AND(C1412&lt;&gt;"No encontrado",F1412&lt;&gt;"Inactivo"),C1412&amp;" → "&amp;F1412,"Sin transición"))</f>
        <v/>
      </c>
      <c r="H1412" s="26" t="str">
        <f aca="false">IF(A1412="","",IF(D1412="GCIA LINEA SERVICIO DIGITALIDAD Y VENTAS","Chats",IF(OR(D1412="GERENCIA INBOUND LÍNEAS SERVICIO Y VENTA",D1412="GERENCIA INBOUND LINEAS ESPECIALIZADAS"),"Llamadas","Otro")))</f>
        <v/>
      </c>
      <c r="I1412" s="26" t="str">
        <f aca="false">IF(A1412="","",IF(C1412="No encontrado","No","Sí"))</f>
        <v/>
      </c>
      <c r="J1412" s="26" t="str">
        <f aca="false">IF(A1412="","",IF(F1412="Inactivo","No","Sí"))</f>
        <v/>
      </c>
      <c r="K1412" s="26" t="str">
        <f aca="false">IF(A1412="","",IF(AND(I1412="Sí",J1412="Sí"),"Sí","No"))</f>
        <v/>
      </c>
    </row>
    <row r="1413" customFormat="false" ht="15" hidden="false" customHeight="false" outlineLevel="0" collapsed="false">
      <c r="A1413" s="22"/>
      <c r="B1413" s="22"/>
      <c r="C1413" s="23" t="str">
        <f aca="false">IF(A1413="","",IFERROR(buscarx(A1413&amp;B1413,DATA!$E$3:$E$10000&amp;DATA!$B$3:$B$10000,DATA!$M$3:$M$10000),"No encontrado"))</f>
        <v/>
      </c>
      <c r="D1413" s="24" t="str">
        <f aca="false">IF(A1413="","",IFERROR(buscarx(A1413&amp;B1413,DATA!$E$3:$E$10000&amp;DATA!$B$3:$B$10000,DATA!$W$3:$W$10000),"No encontrado"))</f>
        <v/>
      </c>
      <c r="E1413" s="22"/>
      <c r="F1413" s="23" t="str">
        <f aca="false">IF(A1413="","",IFERROR(buscarx(A1413&amp;E1413,DATA!$E$3:$E$10000&amp;DATA!$B$3:$B$10000,DATA!$M$3:$M$10000),"Inactivo"))</f>
        <v/>
      </c>
      <c r="G1413" s="25" t="str">
        <f aca="false">IF(A1413="","",IF(AND(C1413&lt;&gt;"No encontrado",F1413&lt;&gt;"Inactivo"),C1413&amp;" → "&amp;F1413,"Sin transición"))</f>
        <v/>
      </c>
      <c r="H1413" s="23" t="str">
        <f aca="false">IF(A1413="","",IF(D1413="GCIA LINEA SERVICIO DIGITALIDAD Y VENTAS","Chats",IF(OR(D1413="GERENCIA INBOUND LÍNEAS SERVICIO Y VENTA",D1413="GERENCIA INBOUND LINEAS ESPECIALIZADAS"),"Llamadas","Otro")))</f>
        <v/>
      </c>
      <c r="I1413" s="23" t="str">
        <f aca="false">IF(A1413="","",IF(C1413="No encontrado","No","Sí"))</f>
        <v/>
      </c>
      <c r="J1413" s="23" t="str">
        <f aca="false">IF(A1413="","",IF(F1413="Inactivo","No","Sí"))</f>
        <v/>
      </c>
      <c r="K1413" s="23" t="str">
        <f aca="false">IF(A1413="","",IF(AND(I1413="Sí",J1413="Sí"),"Sí","No"))</f>
        <v/>
      </c>
    </row>
    <row r="1414" customFormat="false" ht="15" hidden="false" customHeight="false" outlineLevel="0" collapsed="false">
      <c r="A1414" s="22"/>
      <c r="B1414" s="22"/>
      <c r="C1414" s="26" t="str">
        <f aca="false">IF(A1414="","",IFERROR(buscarx(A1414&amp;B1414,DATA!$E$3:$E$10000&amp;DATA!$B$3:$B$10000,DATA!$M$3:$M$10000),"No encontrado"))</f>
        <v/>
      </c>
      <c r="D1414" s="27" t="str">
        <f aca="false">IF(A1414="","",IFERROR(buscarx(A1414&amp;B1414,DATA!$E$3:$E$10000&amp;DATA!$B$3:$B$10000,DATA!$W$3:$W$10000),"No encontrado"))</f>
        <v/>
      </c>
      <c r="E1414" s="22"/>
      <c r="F1414" s="26" t="str">
        <f aca="false">IF(A1414="","",IFERROR(buscarx(A1414&amp;E1414,DATA!$E$3:$E$10000&amp;DATA!$B$3:$B$10000,DATA!$M$3:$M$10000),"Inactivo"))</f>
        <v/>
      </c>
      <c r="G1414" s="28" t="str">
        <f aca="false">IF(A1414="","",IF(AND(C1414&lt;&gt;"No encontrado",F1414&lt;&gt;"Inactivo"),C1414&amp;" → "&amp;F1414,"Sin transición"))</f>
        <v/>
      </c>
      <c r="H1414" s="26" t="str">
        <f aca="false">IF(A1414="","",IF(D1414="GCIA LINEA SERVICIO DIGITALIDAD Y VENTAS","Chats",IF(OR(D1414="GERENCIA INBOUND LÍNEAS SERVICIO Y VENTA",D1414="GERENCIA INBOUND LINEAS ESPECIALIZADAS"),"Llamadas","Otro")))</f>
        <v/>
      </c>
      <c r="I1414" s="26" t="str">
        <f aca="false">IF(A1414="","",IF(C1414="No encontrado","No","Sí"))</f>
        <v/>
      </c>
      <c r="J1414" s="26" t="str">
        <f aca="false">IF(A1414="","",IF(F1414="Inactivo","No","Sí"))</f>
        <v/>
      </c>
      <c r="K1414" s="26" t="str">
        <f aca="false">IF(A1414="","",IF(AND(I1414="Sí",J1414="Sí"),"Sí","No"))</f>
        <v/>
      </c>
    </row>
    <row r="1415" customFormat="false" ht="15" hidden="false" customHeight="false" outlineLevel="0" collapsed="false">
      <c r="A1415" s="22"/>
      <c r="B1415" s="22"/>
      <c r="C1415" s="23" t="str">
        <f aca="false">IF(A1415="","",IFERROR(buscarx(A1415&amp;B1415,DATA!$E$3:$E$10000&amp;DATA!$B$3:$B$10000,DATA!$M$3:$M$10000),"No encontrado"))</f>
        <v/>
      </c>
      <c r="D1415" s="24" t="str">
        <f aca="false">IF(A1415="","",IFERROR(buscarx(A1415&amp;B1415,DATA!$E$3:$E$10000&amp;DATA!$B$3:$B$10000,DATA!$W$3:$W$10000),"No encontrado"))</f>
        <v/>
      </c>
      <c r="E1415" s="22"/>
      <c r="F1415" s="23" t="str">
        <f aca="false">IF(A1415="","",IFERROR(buscarx(A1415&amp;E1415,DATA!$E$3:$E$10000&amp;DATA!$B$3:$B$10000,DATA!$M$3:$M$10000),"Inactivo"))</f>
        <v/>
      </c>
      <c r="G1415" s="25" t="str">
        <f aca="false">IF(A1415="","",IF(AND(C1415&lt;&gt;"No encontrado",F1415&lt;&gt;"Inactivo"),C1415&amp;" → "&amp;F1415,"Sin transición"))</f>
        <v/>
      </c>
      <c r="H1415" s="23" t="str">
        <f aca="false">IF(A1415="","",IF(D1415="GCIA LINEA SERVICIO DIGITALIDAD Y VENTAS","Chats",IF(OR(D1415="GERENCIA INBOUND LÍNEAS SERVICIO Y VENTA",D1415="GERENCIA INBOUND LINEAS ESPECIALIZADAS"),"Llamadas","Otro")))</f>
        <v/>
      </c>
      <c r="I1415" s="23" t="str">
        <f aca="false">IF(A1415="","",IF(C1415="No encontrado","No","Sí"))</f>
        <v/>
      </c>
      <c r="J1415" s="23" t="str">
        <f aca="false">IF(A1415="","",IF(F1415="Inactivo","No","Sí"))</f>
        <v/>
      </c>
      <c r="K1415" s="23" t="str">
        <f aca="false">IF(A1415="","",IF(AND(I1415="Sí",J1415="Sí"),"Sí","No"))</f>
        <v/>
      </c>
    </row>
    <row r="1416" customFormat="false" ht="15" hidden="false" customHeight="false" outlineLevel="0" collapsed="false">
      <c r="A1416" s="22"/>
      <c r="B1416" s="22"/>
      <c r="C1416" s="26" t="str">
        <f aca="false">IF(A1416="","",IFERROR(buscarx(A1416&amp;B1416,DATA!$E$3:$E$10000&amp;DATA!$B$3:$B$10000,DATA!$M$3:$M$10000),"No encontrado"))</f>
        <v/>
      </c>
      <c r="D1416" s="27" t="str">
        <f aca="false">IF(A1416="","",IFERROR(buscarx(A1416&amp;B1416,DATA!$E$3:$E$10000&amp;DATA!$B$3:$B$10000,DATA!$W$3:$W$10000),"No encontrado"))</f>
        <v/>
      </c>
      <c r="E1416" s="22"/>
      <c r="F1416" s="26" t="str">
        <f aca="false">IF(A1416="","",IFERROR(buscarx(A1416&amp;E1416,DATA!$E$3:$E$10000&amp;DATA!$B$3:$B$10000,DATA!$M$3:$M$10000),"Inactivo"))</f>
        <v/>
      </c>
      <c r="G1416" s="28" t="str">
        <f aca="false">IF(A1416="","",IF(AND(C1416&lt;&gt;"No encontrado",F1416&lt;&gt;"Inactivo"),C1416&amp;" → "&amp;F1416,"Sin transición"))</f>
        <v/>
      </c>
      <c r="H1416" s="26" t="str">
        <f aca="false">IF(A1416="","",IF(D1416="GCIA LINEA SERVICIO DIGITALIDAD Y VENTAS","Chats",IF(OR(D1416="GERENCIA INBOUND LÍNEAS SERVICIO Y VENTA",D1416="GERENCIA INBOUND LINEAS ESPECIALIZADAS"),"Llamadas","Otro")))</f>
        <v/>
      </c>
      <c r="I1416" s="26" t="str">
        <f aca="false">IF(A1416="","",IF(C1416="No encontrado","No","Sí"))</f>
        <v/>
      </c>
      <c r="J1416" s="26" t="str">
        <f aca="false">IF(A1416="","",IF(F1416="Inactivo","No","Sí"))</f>
        <v/>
      </c>
      <c r="K1416" s="26" t="str">
        <f aca="false">IF(A1416="","",IF(AND(I1416="Sí",J1416="Sí"),"Sí","No"))</f>
        <v/>
      </c>
    </row>
    <row r="1417" customFormat="false" ht="15" hidden="false" customHeight="false" outlineLevel="0" collapsed="false">
      <c r="A1417" s="22"/>
      <c r="B1417" s="22"/>
      <c r="C1417" s="23" t="str">
        <f aca="false">IF(A1417="","",IFERROR(buscarx(A1417&amp;B1417,DATA!$E$3:$E$10000&amp;DATA!$B$3:$B$10000,DATA!$M$3:$M$10000),"No encontrado"))</f>
        <v/>
      </c>
      <c r="D1417" s="24" t="str">
        <f aca="false">IF(A1417="","",IFERROR(buscarx(A1417&amp;B1417,DATA!$E$3:$E$10000&amp;DATA!$B$3:$B$10000,DATA!$W$3:$W$10000),"No encontrado"))</f>
        <v/>
      </c>
      <c r="E1417" s="22"/>
      <c r="F1417" s="23" t="str">
        <f aca="false">IF(A1417="","",IFERROR(buscarx(A1417&amp;E1417,DATA!$E$3:$E$10000&amp;DATA!$B$3:$B$10000,DATA!$M$3:$M$10000),"Inactivo"))</f>
        <v/>
      </c>
      <c r="G1417" s="25" t="str">
        <f aca="false">IF(A1417="","",IF(AND(C1417&lt;&gt;"No encontrado",F1417&lt;&gt;"Inactivo"),C1417&amp;" → "&amp;F1417,"Sin transición"))</f>
        <v/>
      </c>
      <c r="H1417" s="23" t="str">
        <f aca="false">IF(A1417="","",IF(D1417="GCIA LINEA SERVICIO DIGITALIDAD Y VENTAS","Chats",IF(OR(D1417="GERENCIA INBOUND LÍNEAS SERVICIO Y VENTA",D1417="GERENCIA INBOUND LINEAS ESPECIALIZADAS"),"Llamadas","Otro")))</f>
        <v/>
      </c>
      <c r="I1417" s="23" t="str">
        <f aca="false">IF(A1417="","",IF(C1417="No encontrado","No","Sí"))</f>
        <v/>
      </c>
      <c r="J1417" s="23" t="str">
        <f aca="false">IF(A1417="","",IF(F1417="Inactivo","No","Sí"))</f>
        <v/>
      </c>
      <c r="K1417" s="23" t="str">
        <f aca="false">IF(A1417="","",IF(AND(I1417="Sí",J1417="Sí"),"Sí","No"))</f>
        <v/>
      </c>
    </row>
    <row r="1418" customFormat="false" ht="15" hidden="false" customHeight="false" outlineLevel="0" collapsed="false">
      <c r="A1418" s="22"/>
      <c r="B1418" s="22"/>
      <c r="C1418" s="26" t="str">
        <f aca="false">IF(A1418="","",IFERROR(buscarx(A1418&amp;B1418,DATA!$E$3:$E$10000&amp;DATA!$B$3:$B$10000,DATA!$M$3:$M$10000),"No encontrado"))</f>
        <v/>
      </c>
      <c r="D1418" s="27" t="str">
        <f aca="false">IF(A1418="","",IFERROR(buscarx(A1418&amp;B1418,DATA!$E$3:$E$10000&amp;DATA!$B$3:$B$10000,DATA!$W$3:$W$10000),"No encontrado"))</f>
        <v/>
      </c>
      <c r="E1418" s="22"/>
      <c r="F1418" s="26" t="str">
        <f aca="false">IF(A1418="","",IFERROR(buscarx(A1418&amp;E1418,DATA!$E$3:$E$10000&amp;DATA!$B$3:$B$10000,DATA!$M$3:$M$10000),"Inactivo"))</f>
        <v/>
      </c>
      <c r="G1418" s="28" t="str">
        <f aca="false">IF(A1418="","",IF(AND(C1418&lt;&gt;"No encontrado",F1418&lt;&gt;"Inactivo"),C1418&amp;" → "&amp;F1418,"Sin transición"))</f>
        <v/>
      </c>
      <c r="H1418" s="26" t="str">
        <f aca="false">IF(A1418="","",IF(D1418="GCIA LINEA SERVICIO DIGITALIDAD Y VENTAS","Chats",IF(OR(D1418="GERENCIA INBOUND LÍNEAS SERVICIO Y VENTA",D1418="GERENCIA INBOUND LINEAS ESPECIALIZADAS"),"Llamadas","Otro")))</f>
        <v/>
      </c>
      <c r="I1418" s="26" t="str">
        <f aca="false">IF(A1418="","",IF(C1418="No encontrado","No","Sí"))</f>
        <v/>
      </c>
      <c r="J1418" s="26" t="str">
        <f aca="false">IF(A1418="","",IF(F1418="Inactivo","No","Sí"))</f>
        <v/>
      </c>
      <c r="K1418" s="26" t="str">
        <f aca="false">IF(A1418="","",IF(AND(I1418="Sí",J1418="Sí"),"Sí","No"))</f>
        <v/>
      </c>
    </row>
    <row r="1419" customFormat="false" ht="15" hidden="false" customHeight="false" outlineLevel="0" collapsed="false">
      <c r="A1419" s="22"/>
      <c r="B1419" s="22"/>
      <c r="C1419" s="23" t="str">
        <f aca="false">IF(A1419="","",IFERROR(buscarx(A1419&amp;B1419,DATA!$E$3:$E$10000&amp;DATA!$B$3:$B$10000,DATA!$M$3:$M$10000),"No encontrado"))</f>
        <v/>
      </c>
      <c r="D1419" s="24" t="str">
        <f aca="false">IF(A1419="","",IFERROR(buscarx(A1419&amp;B1419,DATA!$E$3:$E$10000&amp;DATA!$B$3:$B$10000,DATA!$W$3:$W$10000),"No encontrado"))</f>
        <v/>
      </c>
      <c r="E1419" s="22"/>
      <c r="F1419" s="23" t="str">
        <f aca="false">IF(A1419="","",IFERROR(buscarx(A1419&amp;E1419,DATA!$E$3:$E$10000&amp;DATA!$B$3:$B$10000,DATA!$M$3:$M$10000),"Inactivo"))</f>
        <v/>
      </c>
      <c r="G1419" s="25" t="str">
        <f aca="false">IF(A1419="","",IF(AND(C1419&lt;&gt;"No encontrado",F1419&lt;&gt;"Inactivo"),C1419&amp;" → "&amp;F1419,"Sin transición"))</f>
        <v/>
      </c>
      <c r="H1419" s="23" t="str">
        <f aca="false">IF(A1419="","",IF(D1419="GCIA LINEA SERVICIO DIGITALIDAD Y VENTAS","Chats",IF(OR(D1419="GERENCIA INBOUND LÍNEAS SERVICIO Y VENTA",D1419="GERENCIA INBOUND LINEAS ESPECIALIZADAS"),"Llamadas","Otro")))</f>
        <v/>
      </c>
      <c r="I1419" s="23" t="str">
        <f aca="false">IF(A1419="","",IF(C1419="No encontrado","No","Sí"))</f>
        <v/>
      </c>
      <c r="J1419" s="23" t="str">
        <f aca="false">IF(A1419="","",IF(F1419="Inactivo","No","Sí"))</f>
        <v/>
      </c>
      <c r="K1419" s="23" t="str">
        <f aca="false">IF(A1419="","",IF(AND(I1419="Sí",J1419="Sí"),"Sí","No"))</f>
        <v/>
      </c>
    </row>
    <row r="1420" customFormat="false" ht="15" hidden="false" customHeight="false" outlineLevel="0" collapsed="false">
      <c r="A1420" s="22"/>
      <c r="B1420" s="22"/>
      <c r="C1420" s="26" t="str">
        <f aca="false">IF(A1420="","",IFERROR(buscarx(A1420&amp;B1420,DATA!$E$3:$E$10000&amp;DATA!$B$3:$B$10000,DATA!$M$3:$M$10000),"No encontrado"))</f>
        <v/>
      </c>
      <c r="D1420" s="27" t="str">
        <f aca="false">IF(A1420="","",IFERROR(buscarx(A1420&amp;B1420,DATA!$E$3:$E$10000&amp;DATA!$B$3:$B$10000,DATA!$W$3:$W$10000),"No encontrado"))</f>
        <v/>
      </c>
      <c r="E1420" s="22"/>
      <c r="F1420" s="26" t="str">
        <f aca="false">IF(A1420="","",IFERROR(buscarx(A1420&amp;E1420,DATA!$E$3:$E$10000&amp;DATA!$B$3:$B$10000,DATA!$M$3:$M$10000),"Inactivo"))</f>
        <v/>
      </c>
      <c r="G1420" s="28" t="str">
        <f aca="false">IF(A1420="","",IF(AND(C1420&lt;&gt;"No encontrado",F1420&lt;&gt;"Inactivo"),C1420&amp;" → "&amp;F1420,"Sin transición"))</f>
        <v/>
      </c>
      <c r="H1420" s="26" t="str">
        <f aca="false">IF(A1420="","",IF(D1420="GCIA LINEA SERVICIO DIGITALIDAD Y VENTAS","Chats",IF(OR(D1420="GERENCIA INBOUND LÍNEAS SERVICIO Y VENTA",D1420="GERENCIA INBOUND LINEAS ESPECIALIZADAS"),"Llamadas","Otro")))</f>
        <v/>
      </c>
      <c r="I1420" s="26" t="str">
        <f aca="false">IF(A1420="","",IF(C1420="No encontrado","No","Sí"))</f>
        <v/>
      </c>
      <c r="J1420" s="26" t="str">
        <f aca="false">IF(A1420="","",IF(F1420="Inactivo","No","Sí"))</f>
        <v/>
      </c>
      <c r="K1420" s="26" t="str">
        <f aca="false">IF(A1420="","",IF(AND(I1420="Sí",J1420="Sí"),"Sí","No"))</f>
        <v/>
      </c>
    </row>
    <row r="1421" customFormat="false" ht="15" hidden="false" customHeight="false" outlineLevel="0" collapsed="false">
      <c r="A1421" s="22"/>
      <c r="B1421" s="22"/>
      <c r="C1421" s="23" t="str">
        <f aca="false">IF(A1421="","",IFERROR(buscarx(A1421&amp;B1421,DATA!$E$3:$E$10000&amp;DATA!$B$3:$B$10000,DATA!$M$3:$M$10000),"No encontrado"))</f>
        <v/>
      </c>
      <c r="D1421" s="24" t="str">
        <f aca="false">IF(A1421="","",IFERROR(buscarx(A1421&amp;B1421,DATA!$E$3:$E$10000&amp;DATA!$B$3:$B$10000,DATA!$W$3:$W$10000),"No encontrado"))</f>
        <v/>
      </c>
      <c r="E1421" s="22"/>
      <c r="F1421" s="23" t="str">
        <f aca="false">IF(A1421="","",IFERROR(buscarx(A1421&amp;E1421,DATA!$E$3:$E$10000&amp;DATA!$B$3:$B$10000,DATA!$M$3:$M$10000),"Inactivo"))</f>
        <v/>
      </c>
      <c r="G1421" s="25" t="str">
        <f aca="false">IF(A1421="","",IF(AND(C1421&lt;&gt;"No encontrado",F1421&lt;&gt;"Inactivo"),C1421&amp;" → "&amp;F1421,"Sin transición"))</f>
        <v/>
      </c>
      <c r="H1421" s="23" t="str">
        <f aca="false">IF(A1421="","",IF(D1421="GCIA LINEA SERVICIO DIGITALIDAD Y VENTAS","Chats",IF(OR(D1421="GERENCIA INBOUND LÍNEAS SERVICIO Y VENTA",D1421="GERENCIA INBOUND LINEAS ESPECIALIZADAS"),"Llamadas","Otro")))</f>
        <v/>
      </c>
      <c r="I1421" s="23" t="str">
        <f aca="false">IF(A1421="","",IF(C1421="No encontrado","No","Sí"))</f>
        <v/>
      </c>
      <c r="J1421" s="23" t="str">
        <f aca="false">IF(A1421="","",IF(F1421="Inactivo","No","Sí"))</f>
        <v/>
      </c>
      <c r="K1421" s="23" t="str">
        <f aca="false">IF(A1421="","",IF(AND(I1421="Sí",J1421="Sí"),"Sí","No"))</f>
        <v/>
      </c>
    </row>
    <row r="1422" customFormat="false" ht="15" hidden="false" customHeight="false" outlineLevel="0" collapsed="false">
      <c r="A1422" s="22"/>
      <c r="B1422" s="22"/>
      <c r="C1422" s="26" t="str">
        <f aca="false">IF(A1422="","",IFERROR(buscarx(A1422&amp;B1422,DATA!$E$3:$E$10000&amp;DATA!$B$3:$B$10000,DATA!$M$3:$M$10000),"No encontrado"))</f>
        <v/>
      </c>
      <c r="D1422" s="27" t="str">
        <f aca="false">IF(A1422="","",IFERROR(buscarx(A1422&amp;B1422,DATA!$E$3:$E$10000&amp;DATA!$B$3:$B$10000,DATA!$W$3:$W$10000),"No encontrado"))</f>
        <v/>
      </c>
      <c r="E1422" s="22"/>
      <c r="F1422" s="26" t="str">
        <f aca="false">IF(A1422="","",IFERROR(buscarx(A1422&amp;E1422,DATA!$E$3:$E$10000&amp;DATA!$B$3:$B$10000,DATA!$M$3:$M$10000),"Inactivo"))</f>
        <v/>
      </c>
      <c r="G1422" s="28" t="str">
        <f aca="false">IF(A1422="","",IF(AND(C1422&lt;&gt;"No encontrado",F1422&lt;&gt;"Inactivo"),C1422&amp;" → "&amp;F1422,"Sin transición"))</f>
        <v/>
      </c>
      <c r="H1422" s="26" t="str">
        <f aca="false">IF(A1422="","",IF(D1422="GCIA LINEA SERVICIO DIGITALIDAD Y VENTAS","Chats",IF(OR(D1422="GERENCIA INBOUND LÍNEAS SERVICIO Y VENTA",D1422="GERENCIA INBOUND LINEAS ESPECIALIZADAS"),"Llamadas","Otro")))</f>
        <v/>
      </c>
      <c r="I1422" s="26" t="str">
        <f aca="false">IF(A1422="","",IF(C1422="No encontrado","No","Sí"))</f>
        <v/>
      </c>
      <c r="J1422" s="26" t="str">
        <f aca="false">IF(A1422="","",IF(F1422="Inactivo","No","Sí"))</f>
        <v/>
      </c>
      <c r="K1422" s="26" t="str">
        <f aca="false">IF(A1422="","",IF(AND(I1422="Sí",J1422="Sí"),"Sí","No"))</f>
        <v/>
      </c>
    </row>
    <row r="1423" customFormat="false" ht="15" hidden="false" customHeight="false" outlineLevel="0" collapsed="false">
      <c r="A1423" s="22"/>
      <c r="B1423" s="22"/>
      <c r="C1423" s="23" t="str">
        <f aca="false">IF(A1423="","",IFERROR(buscarx(A1423&amp;B1423,DATA!$E$3:$E$10000&amp;DATA!$B$3:$B$10000,DATA!$M$3:$M$10000),"No encontrado"))</f>
        <v/>
      </c>
      <c r="D1423" s="24" t="str">
        <f aca="false">IF(A1423="","",IFERROR(buscarx(A1423&amp;B1423,DATA!$E$3:$E$10000&amp;DATA!$B$3:$B$10000,DATA!$W$3:$W$10000),"No encontrado"))</f>
        <v/>
      </c>
      <c r="E1423" s="22"/>
      <c r="F1423" s="23" t="str">
        <f aca="false">IF(A1423="","",IFERROR(buscarx(A1423&amp;E1423,DATA!$E$3:$E$10000&amp;DATA!$B$3:$B$10000,DATA!$M$3:$M$10000),"Inactivo"))</f>
        <v/>
      </c>
      <c r="G1423" s="25" t="str">
        <f aca="false">IF(A1423="","",IF(AND(C1423&lt;&gt;"No encontrado",F1423&lt;&gt;"Inactivo"),C1423&amp;" → "&amp;F1423,"Sin transición"))</f>
        <v/>
      </c>
      <c r="H1423" s="23" t="str">
        <f aca="false">IF(A1423="","",IF(D1423="GCIA LINEA SERVICIO DIGITALIDAD Y VENTAS","Chats",IF(OR(D1423="GERENCIA INBOUND LÍNEAS SERVICIO Y VENTA",D1423="GERENCIA INBOUND LINEAS ESPECIALIZADAS"),"Llamadas","Otro")))</f>
        <v/>
      </c>
      <c r="I1423" s="23" t="str">
        <f aca="false">IF(A1423="","",IF(C1423="No encontrado","No","Sí"))</f>
        <v/>
      </c>
      <c r="J1423" s="23" t="str">
        <f aca="false">IF(A1423="","",IF(F1423="Inactivo","No","Sí"))</f>
        <v/>
      </c>
      <c r="K1423" s="23" t="str">
        <f aca="false">IF(A1423="","",IF(AND(I1423="Sí",J1423="Sí"),"Sí","No"))</f>
        <v/>
      </c>
    </row>
    <row r="1424" customFormat="false" ht="15" hidden="false" customHeight="false" outlineLevel="0" collapsed="false">
      <c r="A1424" s="22"/>
      <c r="B1424" s="22"/>
      <c r="C1424" s="26" t="str">
        <f aca="false">IF(A1424="","",IFERROR(buscarx(A1424&amp;B1424,DATA!$E$3:$E$10000&amp;DATA!$B$3:$B$10000,DATA!$M$3:$M$10000),"No encontrado"))</f>
        <v/>
      </c>
      <c r="D1424" s="27" t="str">
        <f aca="false">IF(A1424="","",IFERROR(buscarx(A1424&amp;B1424,DATA!$E$3:$E$10000&amp;DATA!$B$3:$B$10000,DATA!$W$3:$W$10000),"No encontrado"))</f>
        <v/>
      </c>
      <c r="E1424" s="22"/>
      <c r="F1424" s="26" t="str">
        <f aca="false">IF(A1424="","",IFERROR(buscarx(A1424&amp;E1424,DATA!$E$3:$E$10000&amp;DATA!$B$3:$B$10000,DATA!$M$3:$M$10000),"Inactivo"))</f>
        <v/>
      </c>
      <c r="G1424" s="28" t="str">
        <f aca="false">IF(A1424="","",IF(AND(C1424&lt;&gt;"No encontrado",F1424&lt;&gt;"Inactivo"),C1424&amp;" → "&amp;F1424,"Sin transición"))</f>
        <v/>
      </c>
      <c r="H1424" s="26" t="str">
        <f aca="false">IF(A1424="","",IF(D1424="GCIA LINEA SERVICIO DIGITALIDAD Y VENTAS","Chats",IF(OR(D1424="GERENCIA INBOUND LÍNEAS SERVICIO Y VENTA",D1424="GERENCIA INBOUND LINEAS ESPECIALIZADAS"),"Llamadas","Otro")))</f>
        <v/>
      </c>
      <c r="I1424" s="26" t="str">
        <f aca="false">IF(A1424="","",IF(C1424="No encontrado","No","Sí"))</f>
        <v/>
      </c>
      <c r="J1424" s="26" t="str">
        <f aca="false">IF(A1424="","",IF(F1424="Inactivo","No","Sí"))</f>
        <v/>
      </c>
      <c r="K1424" s="26" t="str">
        <f aca="false">IF(A1424="","",IF(AND(I1424="Sí",J1424="Sí"),"Sí","No"))</f>
        <v/>
      </c>
    </row>
    <row r="1425" customFormat="false" ht="15" hidden="false" customHeight="false" outlineLevel="0" collapsed="false">
      <c r="A1425" s="22"/>
      <c r="B1425" s="22"/>
      <c r="C1425" s="23" t="str">
        <f aca="false">IF(A1425="","",IFERROR(buscarx(A1425&amp;B1425,DATA!$E$3:$E$10000&amp;DATA!$B$3:$B$10000,DATA!$M$3:$M$10000),"No encontrado"))</f>
        <v/>
      </c>
      <c r="D1425" s="24" t="str">
        <f aca="false">IF(A1425="","",IFERROR(buscarx(A1425&amp;B1425,DATA!$E$3:$E$10000&amp;DATA!$B$3:$B$10000,DATA!$W$3:$W$10000),"No encontrado"))</f>
        <v/>
      </c>
      <c r="E1425" s="22"/>
      <c r="F1425" s="23" t="str">
        <f aca="false">IF(A1425="","",IFERROR(buscarx(A1425&amp;E1425,DATA!$E$3:$E$10000&amp;DATA!$B$3:$B$10000,DATA!$M$3:$M$10000),"Inactivo"))</f>
        <v/>
      </c>
      <c r="G1425" s="25" t="str">
        <f aca="false">IF(A1425="","",IF(AND(C1425&lt;&gt;"No encontrado",F1425&lt;&gt;"Inactivo"),C1425&amp;" → "&amp;F1425,"Sin transición"))</f>
        <v/>
      </c>
      <c r="H1425" s="23" t="str">
        <f aca="false">IF(A1425="","",IF(D1425="GCIA LINEA SERVICIO DIGITALIDAD Y VENTAS","Chats",IF(OR(D1425="GERENCIA INBOUND LÍNEAS SERVICIO Y VENTA",D1425="GERENCIA INBOUND LINEAS ESPECIALIZADAS"),"Llamadas","Otro")))</f>
        <v/>
      </c>
      <c r="I1425" s="23" t="str">
        <f aca="false">IF(A1425="","",IF(C1425="No encontrado","No","Sí"))</f>
        <v/>
      </c>
      <c r="J1425" s="23" t="str">
        <f aca="false">IF(A1425="","",IF(F1425="Inactivo","No","Sí"))</f>
        <v/>
      </c>
      <c r="K1425" s="23" t="str">
        <f aca="false">IF(A1425="","",IF(AND(I1425="Sí",J1425="Sí"),"Sí","No"))</f>
        <v/>
      </c>
    </row>
    <row r="1426" customFormat="false" ht="15" hidden="false" customHeight="false" outlineLevel="0" collapsed="false">
      <c r="A1426" s="22"/>
      <c r="B1426" s="22"/>
      <c r="C1426" s="26" t="str">
        <f aca="false">IF(A1426="","",IFERROR(buscarx(A1426&amp;B1426,DATA!$E$3:$E$10000&amp;DATA!$B$3:$B$10000,DATA!$M$3:$M$10000),"No encontrado"))</f>
        <v/>
      </c>
      <c r="D1426" s="27" t="str">
        <f aca="false">IF(A1426="","",IFERROR(buscarx(A1426&amp;B1426,DATA!$E$3:$E$10000&amp;DATA!$B$3:$B$10000,DATA!$W$3:$W$10000),"No encontrado"))</f>
        <v/>
      </c>
      <c r="E1426" s="22"/>
      <c r="F1426" s="26" t="str">
        <f aca="false">IF(A1426="","",IFERROR(buscarx(A1426&amp;E1426,DATA!$E$3:$E$10000&amp;DATA!$B$3:$B$10000,DATA!$M$3:$M$10000),"Inactivo"))</f>
        <v/>
      </c>
      <c r="G1426" s="28" t="str">
        <f aca="false">IF(A1426="","",IF(AND(C1426&lt;&gt;"No encontrado",F1426&lt;&gt;"Inactivo"),C1426&amp;" → "&amp;F1426,"Sin transición"))</f>
        <v/>
      </c>
      <c r="H1426" s="26" t="str">
        <f aca="false">IF(A1426="","",IF(D1426="GCIA LINEA SERVICIO DIGITALIDAD Y VENTAS","Chats",IF(OR(D1426="GERENCIA INBOUND LÍNEAS SERVICIO Y VENTA",D1426="GERENCIA INBOUND LINEAS ESPECIALIZADAS"),"Llamadas","Otro")))</f>
        <v/>
      </c>
      <c r="I1426" s="26" t="str">
        <f aca="false">IF(A1426="","",IF(C1426="No encontrado","No","Sí"))</f>
        <v/>
      </c>
      <c r="J1426" s="26" t="str">
        <f aca="false">IF(A1426="","",IF(F1426="Inactivo","No","Sí"))</f>
        <v/>
      </c>
      <c r="K1426" s="26" t="str">
        <f aca="false">IF(A1426="","",IF(AND(I1426="Sí",J1426="Sí"),"Sí","No"))</f>
        <v/>
      </c>
    </row>
    <row r="1427" customFormat="false" ht="15" hidden="false" customHeight="false" outlineLevel="0" collapsed="false">
      <c r="A1427" s="22"/>
      <c r="B1427" s="22"/>
      <c r="C1427" s="23" t="str">
        <f aca="false">IF(A1427="","",IFERROR(buscarx(A1427&amp;B1427,DATA!$E$3:$E$10000&amp;DATA!$B$3:$B$10000,DATA!$M$3:$M$10000),"No encontrado"))</f>
        <v/>
      </c>
      <c r="D1427" s="24" t="str">
        <f aca="false">IF(A1427="","",IFERROR(buscarx(A1427&amp;B1427,DATA!$E$3:$E$10000&amp;DATA!$B$3:$B$10000,DATA!$W$3:$W$10000),"No encontrado"))</f>
        <v/>
      </c>
      <c r="E1427" s="22"/>
      <c r="F1427" s="23" t="str">
        <f aca="false">IF(A1427="","",IFERROR(buscarx(A1427&amp;E1427,DATA!$E$3:$E$10000&amp;DATA!$B$3:$B$10000,DATA!$M$3:$M$10000),"Inactivo"))</f>
        <v/>
      </c>
      <c r="G1427" s="25" t="str">
        <f aca="false">IF(A1427="","",IF(AND(C1427&lt;&gt;"No encontrado",F1427&lt;&gt;"Inactivo"),C1427&amp;" → "&amp;F1427,"Sin transición"))</f>
        <v/>
      </c>
      <c r="H1427" s="23" t="str">
        <f aca="false">IF(A1427="","",IF(D1427="GCIA LINEA SERVICIO DIGITALIDAD Y VENTAS","Chats",IF(OR(D1427="GERENCIA INBOUND LÍNEAS SERVICIO Y VENTA",D1427="GERENCIA INBOUND LINEAS ESPECIALIZADAS"),"Llamadas","Otro")))</f>
        <v/>
      </c>
      <c r="I1427" s="23" t="str">
        <f aca="false">IF(A1427="","",IF(C1427="No encontrado","No","Sí"))</f>
        <v/>
      </c>
      <c r="J1427" s="23" t="str">
        <f aca="false">IF(A1427="","",IF(F1427="Inactivo","No","Sí"))</f>
        <v/>
      </c>
      <c r="K1427" s="23" t="str">
        <f aca="false">IF(A1427="","",IF(AND(I1427="Sí",J1427="Sí"),"Sí","No"))</f>
        <v/>
      </c>
    </row>
    <row r="1428" customFormat="false" ht="15" hidden="false" customHeight="false" outlineLevel="0" collapsed="false">
      <c r="A1428" s="22"/>
      <c r="B1428" s="22"/>
      <c r="C1428" s="26" t="str">
        <f aca="false">IF(A1428="","",IFERROR(buscarx(A1428&amp;B1428,DATA!$E$3:$E$10000&amp;DATA!$B$3:$B$10000,DATA!$M$3:$M$10000),"No encontrado"))</f>
        <v/>
      </c>
      <c r="D1428" s="27" t="str">
        <f aca="false">IF(A1428="","",IFERROR(buscarx(A1428&amp;B1428,DATA!$E$3:$E$10000&amp;DATA!$B$3:$B$10000,DATA!$W$3:$W$10000),"No encontrado"))</f>
        <v/>
      </c>
      <c r="E1428" s="22"/>
      <c r="F1428" s="26" t="str">
        <f aca="false">IF(A1428="","",IFERROR(buscarx(A1428&amp;E1428,DATA!$E$3:$E$10000&amp;DATA!$B$3:$B$10000,DATA!$M$3:$M$10000),"Inactivo"))</f>
        <v/>
      </c>
      <c r="G1428" s="28" t="str">
        <f aca="false">IF(A1428="","",IF(AND(C1428&lt;&gt;"No encontrado",F1428&lt;&gt;"Inactivo"),C1428&amp;" → "&amp;F1428,"Sin transición"))</f>
        <v/>
      </c>
      <c r="H1428" s="26" t="str">
        <f aca="false">IF(A1428="","",IF(D1428="GCIA LINEA SERVICIO DIGITALIDAD Y VENTAS","Chats",IF(OR(D1428="GERENCIA INBOUND LÍNEAS SERVICIO Y VENTA",D1428="GERENCIA INBOUND LINEAS ESPECIALIZADAS"),"Llamadas","Otro")))</f>
        <v/>
      </c>
      <c r="I1428" s="26" t="str">
        <f aca="false">IF(A1428="","",IF(C1428="No encontrado","No","Sí"))</f>
        <v/>
      </c>
      <c r="J1428" s="26" t="str">
        <f aca="false">IF(A1428="","",IF(F1428="Inactivo","No","Sí"))</f>
        <v/>
      </c>
      <c r="K1428" s="26" t="str">
        <f aca="false">IF(A1428="","",IF(AND(I1428="Sí",J1428="Sí"),"Sí","No"))</f>
        <v/>
      </c>
    </row>
    <row r="1429" customFormat="false" ht="15" hidden="false" customHeight="false" outlineLevel="0" collapsed="false">
      <c r="A1429" s="22"/>
      <c r="B1429" s="22"/>
      <c r="C1429" s="23" t="str">
        <f aca="false">IF(A1429="","",IFERROR(buscarx(A1429&amp;B1429,DATA!$E$3:$E$10000&amp;DATA!$B$3:$B$10000,DATA!$M$3:$M$10000),"No encontrado"))</f>
        <v/>
      </c>
      <c r="D1429" s="24" t="str">
        <f aca="false">IF(A1429="","",IFERROR(buscarx(A1429&amp;B1429,DATA!$E$3:$E$10000&amp;DATA!$B$3:$B$10000,DATA!$W$3:$W$10000),"No encontrado"))</f>
        <v/>
      </c>
      <c r="E1429" s="22"/>
      <c r="F1429" s="23" t="str">
        <f aca="false">IF(A1429="","",IFERROR(buscarx(A1429&amp;E1429,DATA!$E$3:$E$10000&amp;DATA!$B$3:$B$10000,DATA!$M$3:$M$10000),"Inactivo"))</f>
        <v/>
      </c>
      <c r="G1429" s="25" t="str">
        <f aca="false">IF(A1429="","",IF(AND(C1429&lt;&gt;"No encontrado",F1429&lt;&gt;"Inactivo"),C1429&amp;" → "&amp;F1429,"Sin transición"))</f>
        <v/>
      </c>
      <c r="H1429" s="23" t="str">
        <f aca="false">IF(A1429="","",IF(D1429="GCIA LINEA SERVICIO DIGITALIDAD Y VENTAS","Chats",IF(OR(D1429="GERENCIA INBOUND LÍNEAS SERVICIO Y VENTA",D1429="GERENCIA INBOUND LINEAS ESPECIALIZADAS"),"Llamadas","Otro")))</f>
        <v/>
      </c>
      <c r="I1429" s="23" t="str">
        <f aca="false">IF(A1429="","",IF(C1429="No encontrado","No","Sí"))</f>
        <v/>
      </c>
      <c r="J1429" s="23" t="str">
        <f aca="false">IF(A1429="","",IF(F1429="Inactivo","No","Sí"))</f>
        <v/>
      </c>
      <c r="K1429" s="23" t="str">
        <f aca="false">IF(A1429="","",IF(AND(I1429="Sí",J1429="Sí"),"Sí","No"))</f>
        <v/>
      </c>
    </row>
    <row r="1430" customFormat="false" ht="15" hidden="false" customHeight="false" outlineLevel="0" collapsed="false">
      <c r="A1430" s="22"/>
      <c r="B1430" s="22"/>
      <c r="C1430" s="26" t="str">
        <f aca="false">IF(A1430="","",IFERROR(buscarx(A1430&amp;B1430,DATA!$E$3:$E$10000&amp;DATA!$B$3:$B$10000,DATA!$M$3:$M$10000),"No encontrado"))</f>
        <v/>
      </c>
      <c r="D1430" s="27" t="str">
        <f aca="false">IF(A1430="","",IFERROR(buscarx(A1430&amp;B1430,DATA!$E$3:$E$10000&amp;DATA!$B$3:$B$10000,DATA!$W$3:$W$10000),"No encontrado"))</f>
        <v/>
      </c>
      <c r="E1430" s="22"/>
      <c r="F1430" s="26" t="str">
        <f aca="false">IF(A1430="","",IFERROR(buscarx(A1430&amp;E1430,DATA!$E$3:$E$10000&amp;DATA!$B$3:$B$10000,DATA!$M$3:$M$10000),"Inactivo"))</f>
        <v/>
      </c>
      <c r="G1430" s="28" t="str">
        <f aca="false">IF(A1430="","",IF(AND(C1430&lt;&gt;"No encontrado",F1430&lt;&gt;"Inactivo"),C1430&amp;" → "&amp;F1430,"Sin transición"))</f>
        <v/>
      </c>
      <c r="H1430" s="26" t="str">
        <f aca="false">IF(A1430="","",IF(D1430="GCIA LINEA SERVICIO DIGITALIDAD Y VENTAS","Chats",IF(OR(D1430="GERENCIA INBOUND LÍNEAS SERVICIO Y VENTA",D1430="GERENCIA INBOUND LINEAS ESPECIALIZADAS"),"Llamadas","Otro")))</f>
        <v/>
      </c>
      <c r="I1430" s="26" t="str">
        <f aca="false">IF(A1430="","",IF(C1430="No encontrado","No","Sí"))</f>
        <v/>
      </c>
      <c r="J1430" s="26" t="str">
        <f aca="false">IF(A1430="","",IF(F1430="Inactivo","No","Sí"))</f>
        <v/>
      </c>
      <c r="K1430" s="26" t="str">
        <f aca="false">IF(A1430="","",IF(AND(I1430="Sí",J1430="Sí"),"Sí","No"))</f>
        <v/>
      </c>
    </row>
    <row r="1431" customFormat="false" ht="15" hidden="false" customHeight="false" outlineLevel="0" collapsed="false">
      <c r="A1431" s="22"/>
      <c r="B1431" s="22"/>
      <c r="C1431" s="23" t="str">
        <f aca="false">IF(A1431="","",IFERROR(buscarx(A1431&amp;B1431,DATA!$E$3:$E$10000&amp;DATA!$B$3:$B$10000,DATA!$M$3:$M$10000),"No encontrado"))</f>
        <v/>
      </c>
      <c r="D1431" s="24" t="str">
        <f aca="false">IF(A1431="","",IFERROR(buscarx(A1431&amp;B1431,DATA!$E$3:$E$10000&amp;DATA!$B$3:$B$10000,DATA!$W$3:$W$10000),"No encontrado"))</f>
        <v/>
      </c>
      <c r="E1431" s="22"/>
      <c r="F1431" s="23" t="str">
        <f aca="false">IF(A1431="","",IFERROR(buscarx(A1431&amp;E1431,DATA!$E$3:$E$10000&amp;DATA!$B$3:$B$10000,DATA!$M$3:$M$10000),"Inactivo"))</f>
        <v/>
      </c>
      <c r="G1431" s="25" t="str">
        <f aca="false">IF(A1431="","",IF(AND(C1431&lt;&gt;"No encontrado",F1431&lt;&gt;"Inactivo"),C1431&amp;" → "&amp;F1431,"Sin transición"))</f>
        <v/>
      </c>
      <c r="H1431" s="23" t="str">
        <f aca="false">IF(A1431="","",IF(D1431="GCIA LINEA SERVICIO DIGITALIDAD Y VENTAS","Chats",IF(OR(D1431="GERENCIA INBOUND LÍNEAS SERVICIO Y VENTA",D1431="GERENCIA INBOUND LINEAS ESPECIALIZADAS"),"Llamadas","Otro")))</f>
        <v/>
      </c>
      <c r="I1431" s="23" t="str">
        <f aca="false">IF(A1431="","",IF(C1431="No encontrado","No","Sí"))</f>
        <v/>
      </c>
      <c r="J1431" s="23" t="str">
        <f aca="false">IF(A1431="","",IF(F1431="Inactivo","No","Sí"))</f>
        <v/>
      </c>
      <c r="K1431" s="23" t="str">
        <f aca="false">IF(A1431="","",IF(AND(I1431="Sí",J1431="Sí"),"Sí","No"))</f>
        <v/>
      </c>
    </row>
    <row r="1432" customFormat="false" ht="15" hidden="false" customHeight="false" outlineLevel="0" collapsed="false">
      <c r="A1432" s="22"/>
      <c r="B1432" s="22"/>
      <c r="C1432" s="26" t="str">
        <f aca="false">IF(A1432="","",IFERROR(buscarx(A1432&amp;B1432,DATA!$E$3:$E$10000&amp;DATA!$B$3:$B$10000,DATA!$M$3:$M$10000),"No encontrado"))</f>
        <v/>
      </c>
      <c r="D1432" s="27" t="str">
        <f aca="false">IF(A1432="","",IFERROR(buscarx(A1432&amp;B1432,DATA!$E$3:$E$10000&amp;DATA!$B$3:$B$10000,DATA!$W$3:$W$10000),"No encontrado"))</f>
        <v/>
      </c>
      <c r="E1432" s="22"/>
      <c r="F1432" s="26" t="str">
        <f aca="false">IF(A1432="","",IFERROR(buscarx(A1432&amp;E1432,DATA!$E$3:$E$10000&amp;DATA!$B$3:$B$10000,DATA!$M$3:$M$10000),"Inactivo"))</f>
        <v/>
      </c>
      <c r="G1432" s="28" t="str">
        <f aca="false">IF(A1432="","",IF(AND(C1432&lt;&gt;"No encontrado",F1432&lt;&gt;"Inactivo"),C1432&amp;" → "&amp;F1432,"Sin transición"))</f>
        <v/>
      </c>
      <c r="H1432" s="26" t="str">
        <f aca="false">IF(A1432="","",IF(D1432="GCIA LINEA SERVICIO DIGITALIDAD Y VENTAS","Chats",IF(OR(D1432="GERENCIA INBOUND LÍNEAS SERVICIO Y VENTA",D1432="GERENCIA INBOUND LINEAS ESPECIALIZADAS"),"Llamadas","Otro")))</f>
        <v/>
      </c>
      <c r="I1432" s="26" t="str">
        <f aca="false">IF(A1432="","",IF(C1432="No encontrado","No","Sí"))</f>
        <v/>
      </c>
      <c r="J1432" s="26" t="str">
        <f aca="false">IF(A1432="","",IF(F1432="Inactivo","No","Sí"))</f>
        <v/>
      </c>
      <c r="K1432" s="26" t="str">
        <f aca="false">IF(A1432="","",IF(AND(I1432="Sí",J1432="Sí"),"Sí","No"))</f>
        <v/>
      </c>
    </row>
    <row r="1433" customFormat="false" ht="15" hidden="false" customHeight="false" outlineLevel="0" collapsed="false">
      <c r="A1433" s="22"/>
      <c r="B1433" s="22"/>
      <c r="C1433" s="23" t="str">
        <f aca="false">IF(A1433="","",IFERROR(buscarx(A1433&amp;B1433,DATA!$E$3:$E$10000&amp;DATA!$B$3:$B$10000,DATA!$M$3:$M$10000),"No encontrado"))</f>
        <v/>
      </c>
      <c r="D1433" s="24" t="str">
        <f aca="false">IF(A1433="","",IFERROR(buscarx(A1433&amp;B1433,DATA!$E$3:$E$10000&amp;DATA!$B$3:$B$10000,DATA!$W$3:$W$10000),"No encontrado"))</f>
        <v/>
      </c>
      <c r="E1433" s="22"/>
      <c r="F1433" s="23" t="str">
        <f aca="false">IF(A1433="","",IFERROR(buscarx(A1433&amp;E1433,DATA!$E$3:$E$10000&amp;DATA!$B$3:$B$10000,DATA!$M$3:$M$10000),"Inactivo"))</f>
        <v/>
      </c>
      <c r="G1433" s="25" t="str">
        <f aca="false">IF(A1433="","",IF(AND(C1433&lt;&gt;"No encontrado",F1433&lt;&gt;"Inactivo"),C1433&amp;" → "&amp;F1433,"Sin transición"))</f>
        <v/>
      </c>
      <c r="H1433" s="23" t="str">
        <f aca="false">IF(A1433="","",IF(D1433="GCIA LINEA SERVICIO DIGITALIDAD Y VENTAS","Chats",IF(OR(D1433="GERENCIA INBOUND LÍNEAS SERVICIO Y VENTA",D1433="GERENCIA INBOUND LINEAS ESPECIALIZADAS"),"Llamadas","Otro")))</f>
        <v/>
      </c>
      <c r="I1433" s="23" t="str">
        <f aca="false">IF(A1433="","",IF(C1433="No encontrado","No","Sí"))</f>
        <v/>
      </c>
      <c r="J1433" s="23" t="str">
        <f aca="false">IF(A1433="","",IF(F1433="Inactivo","No","Sí"))</f>
        <v/>
      </c>
      <c r="K1433" s="23" t="str">
        <f aca="false">IF(A1433="","",IF(AND(I1433="Sí",J1433="Sí"),"Sí","No"))</f>
        <v/>
      </c>
    </row>
    <row r="1434" customFormat="false" ht="15" hidden="false" customHeight="false" outlineLevel="0" collapsed="false">
      <c r="A1434" s="22"/>
      <c r="B1434" s="22"/>
      <c r="C1434" s="26" t="str">
        <f aca="false">IF(A1434="","",IFERROR(buscarx(A1434&amp;B1434,DATA!$E$3:$E$10000&amp;DATA!$B$3:$B$10000,DATA!$M$3:$M$10000),"No encontrado"))</f>
        <v/>
      </c>
      <c r="D1434" s="27" t="str">
        <f aca="false">IF(A1434="","",IFERROR(buscarx(A1434&amp;B1434,DATA!$E$3:$E$10000&amp;DATA!$B$3:$B$10000,DATA!$W$3:$W$10000),"No encontrado"))</f>
        <v/>
      </c>
      <c r="E1434" s="22"/>
      <c r="F1434" s="26" t="str">
        <f aca="false">IF(A1434="","",IFERROR(buscarx(A1434&amp;E1434,DATA!$E$3:$E$10000&amp;DATA!$B$3:$B$10000,DATA!$M$3:$M$10000),"Inactivo"))</f>
        <v/>
      </c>
      <c r="G1434" s="28" t="str">
        <f aca="false">IF(A1434="","",IF(AND(C1434&lt;&gt;"No encontrado",F1434&lt;&gt;"Inactivo"),C1434&amp;" → "&amp;F1434,"Sin transición"))</f>
        <v/>
      </c>
      <c r="H1434" s="26" t="str">
        <f aca="false">IF(A1434="","",IF(D1434="GCIA LINEA SERVICIO DIGITALIDAD Y VENTAS","Chats",IF(OR(D1434="GERENCIA INBOUND LÍNEAS SERVICIO Y VENTA",D1434="GERENCIA INBOUND LINEAS ESPECIALIZADAS"),"Llamadas","Otro")))</f>
        <v/>
      </c>
      <c r="I1434" s="26" t="str">
        <f aca="false">IF(A1434="","",IF(C1434="No encontrado","No","Sí"))</f>
        <v/>
      </c>
      <c r="J1434" s="26" t="str">
        <f aca="false">IF(A1434="","",IF(F1434="Inactivo","No","Sí"))</f>
        <v/>
      </c>
      <c r="K1434" s="26" t="str">
        <f aca="false">IF(A1434="","",IF(AND(I1434="Sí",J1434="Sí"),"Sí","No"))</f>
        <v/>
      </c>
    </row>
    <row r="1435" customFormat="false" ht="15" hidden="false" customHeight="false" outlineLevel="0" collapsed="false">
      <c r="A1435" s="22"/>
      <c r="B1435" s="22"/>
      <c r="C1435" s="23" t="str">
        <f aca="false">IF(A1435="","",IFERROR(buscarx(A1435&amp;B1435,DATA!$E$3:$E$10000&amp;DATA!$B$3:$B$10000,DATA!$M$3:$M$10000),"No encontrado"))</f>
        <v/>
      </c>
      <c r="D1435" s="24" t="str">
        <f aca="false">IF(A1435="","",IFERROR(buscarx(A1435&amp;B1435,DATA!$E$3:$E$10000&amp;DATA!$B$3:$B$10000,DATA!$W$3:$W$10000),"No encontrado"))</f>
        <v/>
      </c>
      <c r="E1435" s="22"/>
      <c r="F1435" s="23" t="str">
        <f aca="false">IF(A1435="","",IFERROR(buscarx(A1435&amp;E1435,DATA!$E$3:$E$10000&amp;DATA!$B$3:$B$10000,DATA!$M$3:$M$10000),"Inactivo"))</f>
        <v/>
      </c>
      <c r="G1435" s="25" t="str">
        <f aca="false">IF(A1435="","",IF(AND(C1435&lt;&gt;"No encontrado",F1435&lt;&gt;"Inactivo"),C1435&amp;" → "&amp;F1435,"Sin transición"))</f>
        <v/>
      </c>
      <c r="H1435" s="23" t="str">
        <f aca="false">IF(A1435="","",IF(D1435="GCIA LINEA SERVICIO DIGITALIDAD Y VENTAS","Chats",IF(OR(D1435="GERENCIA INBOUND LÍNEAS SERVICIO Y VENTA",D1435="GERENCIA INBOUND LINEAS ESPECIALIZADAS"),"Llamadas","Otro")))</f>
        <v/>
      </c>
      <c r="I1435" s="23" t="str">
        <f aca="false">IF(A1435="","",IF(C1435="No encontrado","No","Sí"))</f>
        <v/>
      </c>
      <c r="J1435" s="23" t="str">
        <f aca="false">IF(A1435="","",IF(F1435="Inactivo","No","Sí"))</f>
        <v/>
      </c>
      <c r="K1435" s="23" t="str">
        <f aca="false">IF(A1435="","",IF(AND(I1435="Sí",J1435="Sí"),"Sí","No"))</f>
        <v/>
      </c>
    </row>
    <row r="1436" customFormat="false" ht="15" hidden="false" customHeight="false" outlineLevel="0" collapsed="false">
      <c r="A1436" s="22"/>
      <c r="B1436" s="22"/>
      <c r="C1436" s="26" t="str">
        <f aca="false">IF(A1436="","",IFERROR(buscarx(A1436&amp;B1436,DATA!$E$3:$E$10000&amp;DATA!$B$3:$B$10000,DATA!$M$3:$M$10000),"No encontrado"))</f>
        <v/>
      </c>
      <c r="D1436" s="27" t="str">
        <f aca="false">IF(A1436="","",IFERROR(buscarx(A1436&amp;B1436,DATA!$E$3:$E$10000&amp;DATA!$B$3:$B$10000,DATA!$W$3:$W$10000),"No encontrado"))</f>
        <v/>
      </c>
      <c r="E1436" s="22"/>
      <c r="F1436" s="26" t="str">
        <f aca="false">IF(A1436="","",IFERROR(buscarx(A1436&amp;E1436,DATA!$E$3:$E$10000&amp;DATA!$B$3:$B$10000,DATA!$M$3:$M$10000),"Inactivo"))</f>
        <v/>
      </c>
      <c r="G1436" s="28" t="str">
        <f aca="false">IF(A1436="","",IF(AND(C1436&lt;&gt;"No encontrado",F1436&lt;&gt;"Inactivo"),C1436&amp;" → "&amp;F1436,"Sin transición"))</f>
        <v/>
      </c>
      <c r="H1436" s="26" t="str">
        <f aca="false">IF(A1436="","",IF(D1436="GCIA LINEA SERVICIO DIGITALIDAD Y VENTAS","Chats",IF(OR(D1436="GERENCIA INBOUND LÍNEAS SERVICIO Y VENTA",D1436="GERENCIA INBOUND LINEAS ESPECIALIZADAS"),"Llamadas","Otro")))</f>
        <v/>
      </c>
      <c r="I1436" s="26" t="str">
        <f aca="false">IF(A1436="","",IF(C1436="No encontrado","No","Sí"))</f>
        <v/>
      </c>
      <c r="J1436" s="26" t="str">
        <f aca="false">IF(A1436="","",IF(F1436="Inactivo","No","Sí"))</f>
        <v/>
      </c>
      <c r="K1436" s="26" t="str">
        <f aca="false">IF(A1436="","",IF(AND(I1436="Sí",J1436="Sí"),"Sí","No"))</f>
        <v/>
      </c>
    </row>
    <row r="1437" customFormat="false" ht="15" hidden="false" customHeight="false" outlineLevel="0" collapsed="false">
      <c r="A1437" s="22"/>
      <c r="B1437" s="22"/>
      <c r="C1437" s="23" t="str">
        <f aca="false">IF(A1437="","",IFERROR(buscarx(A1437&amp;B1437,DATA!$E$3:$E$10000&amp;DATA!$B$3:$B$10000,DATA!$M$3:$M$10000),"No encontrado"))</f>
        <v/>
      </c>
      <c r="D1437" s="24" t="str">
        <f aca="false">IF(A1437="","",IFERROR(buscarx(A1437&amp;B1437,DATA!$E$3:$E$10000&amp;DATA!$B$3:$B$10000,DATA!$W$3:$W$10000),"No encontrado"))</f>
        <v/>
      </c>
      <c r="E1437" s="22"/>
      <c r="F1437" s="23" t="str">
        <f aca="false">IF(A1437="","",IFERROR(buscarx(A1437&amp;E1437,DATA!$E$3:$E$10000&amp;DATA!$B$3:$B$10000,DATA!$M$3:$M$10000),"Inactivo"))</f>
        <v/>
      </c>
      <c r="G1437" s="25" t="str">
        <f aca="false">IF(A1437="","",IF(AND(C1437&lt;&gt;"No encontrado",F1437&lt;&gt;"Inactivo"),C1437&amp;" → "&amp;F1437,"Sin transición"))</f>
        <v/>
      </c>
      <c r="H1437" s="23" t="str">
        <f aca="false">IF(A1437="","",IF(D1437="GCIA LINEA SERVICIO DIGITALIDAD Y VENTAS","Chats",IF(OR(D1437="GERENCIA INBOUND LÍNEAS SERVICIO Y VENTA",D1437="GERENCIA INBOUND LINEAS ESPECIALIZADAS"),"Llamadas","Otro")))</f>
        <v/>
      </c>
      <c r="I1437" s="23" t="str">
        <f aca="false">IF(A1437="","",IF(C1437="No encontrado","No","Sí"))</f>
        <v/>
      </c>
      <c r="J1437" s="23" t="str">
        <f aca="false">IF(A1437="","",IF(F1437="Inactivo","No","Sí"))</f>
        <v/>
      </c>
      <c r="K1437" s="23" t="str">
        <f aca="false">IF(A1437="","",IF(AND(I1437="Sí",J1437="Sí"),"Sí","No"))</f>
        <v/>
      </c>
    </row>
    <row r="1438" customFormat="false" ht="15" hidden="false" customHeight="false" outlineLevel="0" collapsed="false">
      <c r="A1438" s="22"/>
      <c r="B1438" s="22"/>
      <c r="C1438" s="26" t="str">
        <f aca="false">IF(A1438="","",IFERROR(buscarx(A1438&amp;B1438,DATA!$E$3:$E$10000&amp;DATA!$B$3:$B$10000,DATA!$M$3:$M$10000),"No encontrado"))</f>
        <v/>
      </c>
      <c r="D1438" s="27" t="str">
        <f aca="false">IF(A1438="","",IFERROR(buscarx(A1438&amp;B1438,DATA!$E$3:$E$10000&amp;DATA!$B$3:$B$10000,DATA!$W$3:$W$10000),"No encontrado"))</f>
        <v/>
      </c>
      <c r="E1438" s="22"/>
      <c r="F1438" s="26" t="str">
        <f aca="false">IF(A1438="","",IFERROR(buscarx(A1438&amp;E1438,DATA!$E$3:$E$10000&amp;DATA!$B$3:$B$10000,DATA!$M$3:$M$10000),"Inactivo"))</f>
        <v/>
      </c>
      <c r="G1438" s="28" t="str">
        <f aca="false">IF(A1438="","",IF(AND(C1438&lt;&gt;"No encontrado",F1438&lt;&gt;"Inactivo"),C1438&amp;" → "&amp;F1438,"Sin transición"))</f>
        <v/>
      </c>
      <c r="H1438" s="26" t="str">
        <f aca="false">IF(A1438="","",IF(D1438="GCIA LINEA SERVICIO DIGITALIDAD Y VENTAS","Chats",IF(OR(D1438="GERENCIA INBOUND LÍNEAS SERVICIO Y VENTA",D1438="GERENCIA INBOUND LINEAS ESPECIALIZADAS"),"Llamadas","Otro")))</f>
        <v/>
      </c>
      <c r="I1438" s="26" t="str">
        <f aca="false">IF(A1438="","",IF(C1438="No encontrado","No","Sí"))</f>
        <v/>
      </c>
      <c r="J1438" s="26" t="str">
        <f aca="false">IF(A1438="","",IF(F1438="Inactivo","No","Sí"))</f>
        <v/>
      </c>
      <c r="K1438" s="26" t="str">
        <f aca="false">IF(A1438="","",IF(AND(I1438="Sí",J1438="Sí"),"Sí","No"))</f>
        <v/>
      </c>
    </row>
    <row r="1439" customFormat="false" ht="15" hidden="false" customHeight="false" outlineLevel="0" collapsed="false">
      <c r="A1439" s="22"/>
      <c r="B1439" s="22"/>
      <c r="C1439" s="23" t="str">
        <f aca="false">IF(A1439="","",IFERROR(buscarx(A1439&amp;B1439,DATA!$E$3:$E$10000&amp;DATA!$B$3:$B$10000,DATA!$M$3:$M$10000),"No encontrado"))</f>
        <v/>
      </c>
      <c r="D1439" s="24" t="str">
        <f aca="false">IF(A1439="","",IFERROR(buscarx(A1439&amp;B1439,DATA!$E$3:$E$10000&amp;DATA!$B$3:$B$10000,DATA!$W$3:$W$10000),"No encontrado"))</f>
        <v/>
      </c>
      <c r="E1439" s="22"/>
      <c r="F1439" s="23" t="str">
        <f aca="false">IF(A1439="","",IFERROR(buscarx(A1439&amp;E1439,DATA!$E$3:$E$10000&amp;DATA!$B$3:$B$10000,DATA!$M$3:$M$10000),"Inactivo"))</f>
        <v/>
      </c>
      <c r="G1439" s="25" t="str">
        <f aca="false">IF(A1439="","",IF(AND(C1439&lt;&gt;"No encontrado",F1439&lt;&gt;"Inactivo"),C1439&amp;" → "&amp;F1439,"Sin transición"))</f>
        <v/>
      </c>
      <c r="H1439" s="23" t="str">
        <f aca="false">IF(A1439="","",IF(D1439="GCIA LINEA SERVICIO DIGITALIDAD Y VENTAS","Chats",IF(OR(D1439="GERENCIA INBOUND LÍNEAS SERVICIO Y VENTA",D1439="GERENCIA INBOUND LINEAS ESPECIALIZADAS"),"Llamadas","Otro")))</f>
        <v/>
      </c>
      <c r="I1439" s="23" t="str">
        <f aca="false">IF(A1439="","",IF(C1439="No encontrado","No","Sí"))</f>
        <v/>
      </c>
      <c r="J1439" s="23" t="str">
        <f aca="false">IF(A1439="","",IF(F1439="Inactivo","No","Sí"))</f>
        <v/>
      </c>
      <c r="K1439" s="23" t="str">
        <f aca="false">IF(A1439="","",IF(AND(I1439="Sí",J1439="Sí"),"Sí","No"))</f>
        <v/>
      </c>
    </row>
    <row r="1440" customFormat="false" ht="15" hidden="false" customHeight="false" outlineLevel="0" collapsed="false">
      <c r="A1440" s="22"/>
      <c r="B1440" s="22"/>
      <c r="C1440" s="26" t="str">
        <f aca="false">IF(A1440="","",IFERROR(buscarx(A1440&amp;B1440,DATA!$E$3:$E$10000&amp;DATA!$B$3:$B$10000,DATA!$M$3:$M$10000),"No encontrado"))</f>
        <v/>
      </c>
      <c r="D1440" s="27" t="str">
        <f aca="false">IF(A1440="","",IFERROR(buscarx(A1440&amp;B1440,DATA!$E$3:$E$10000&amp;DATA!$B$3:$B$10000,DATA!$W$3:$W$10000),"No encontrado"))</f>
        <v/>
      </c>
      <c r="E1440" s="22"/>
      <c r="F1440" s="26" t="str">
        <f aca="false">IF(A1440="","",IFERROR(buscarx(A1440&amp;E1440,DATA!$E$3:$E$10000&amp;DATA!$B$3:$B$10000,DATA!$M$3:$M$10000),"Inactivo"))</f>
        <v/>
      </c>
      <c r="G1440" s="28" t="str">
        <f aca="false">IF(A1440="","",IF(AND(C1440&lt;&gt;"No encontrado",F1440&lt;&gt;"Inactivo"),C1440&amp;" → "&amp;F1440,"Sin transición"))</f>
        <v/>
      </c>
      <c r="H1440" s="26" t="str">
        <f aca="false">IF(A1440="","",IF(D1440="GCIA LINEA SERVICIO DIGITALIDAD Y VENTAS","Chats",IF(OR(D1440="GERENCIA INBOUND LÍNEAS SERVICIO Y VENTA",D1440="GERENCIA INBOUND LINEAS ESPECIALIZADAS"),"Llamadas","Otro")))</f>
        <v/>
      </c>
      <c r="I1440" s="26" t="str">
        <f aca="false">IF(A1440="","",IF(C1440="No encontrado","No","Sí"))</f>
        <v/>
      </c>
      <c r="J1440" s="26" t="str">
        <f aca="false">IF(A1440="","",IF(F1440="Inactivo","No","Sí"))</f>
        <v/>
      </c>
      <c r="K1440" s="26" t="str">
        <f aca="false">IF(A1440="","",IF(AND(I1440="Sí",J1440="Sí"),"Sí","No"))</f>
        <v/>
      </c>
    </row>
    <row r="1441" customFormat="false" ht="15" hidden="false" customHeight="false" outlineLevel="0" collapsed="false">
      <c r="A1441" s="22"/>
      <c r="B1441" s="22"/>
      <c r="C1441" s="23" t="str">
        <f aca="false">IF(A1441="","",IFERROR(buscarx(A1441&amp;B1441,DATA!$E$3:$E$10000&amp;DATA!$B$3:$B$10000,DATA!$M$3:$M$10000),"No encontrado"))</f>
        <v/>
      </c>
      <c r="D1441" s="24" t="str">
        <f aca="false">IF(A1441="","",IFERROR(buscarx(A1441&amp;B1441,DATA!$E$3:$E$10000&amp;DATA!$B$3:$B$10000,DATA!$W$3:$W$10000),"No encontrado"))</f>
        <v/>
      </c>
      <c r="E1441" s="22"/>
      <c r="F1441" s="23" t="str">
        <f aca="false">IF(A1441="","",IFERROR(buscarx(A1441&amp;E1441,DATA!$E$3:$E$10000&amp;DATA!$B$3:$B$10000,DATA!$M$3:$M$10000),"Inactivo"))</f>
        <v/>
      </c>
      <c r="G1441" s="25" t="str">
        <f aca="false">IF(A1441="","",IF(AND(C1441&lt;&gt;"No encontrado",F1441&lt;&gt;"Inactivo"),C1441&amp;" → "&amp;F1441,"Sin transición"))</f>
        <v/>
      </c>
      <c r="H1441" s="23" t="str">
        <f aca="false">IF(A1441="","",IF(D1441="GCIA LINEA SERVICIO DIGITALIDAD Y VENTAS","Chats",IF(OR(D1441="GERENCIA INBOUND LÍNEAS SERVICIO Y VENTA",D1441="GERENCIA INBOUND LINEAS ESPECIALIZADAS"),"Llamadas","Otro")))</f>
        <v/>
      </c>
      <c r="I1441" s="23" t="str">
        <f aca="false">IF(A1441="","",IF(C1441="No encontrado","No","Sí"))</f>
        <v/>
      </c>
      <c r="J1441" s="23" t="str">
        <f aca="false">IF(A1441="","",IF(F1441="Inactivo","No","Sí"))</f>
        <v/>
      </c>
      <c r="K1441" s="23" t="str">
        <f aca="false">IF(A1441="","",IF(AND(I1441="Sí",J1441="Sí"),"Sí","No"))</f>
        <v/>
      </c>
    </row>
    <row r="1442" customFormat="false" ht="15" hidden="false" customHeight="false" outlineLevel="0" collapsed="false">
      <c r="A1442" s="22"/>
      <c r="B1442" s="22"/>
      <c r="C1442" s="26" t="str">
        <f aca="false">IF(A1442="","",IFERROR(buscarx(A1442&amp;B1442,DATA!$E$3:$E$10000&amp;DATA!$B$3:$B$10000,DATA!$M$3:$M$10000),"No encontrado"))</f>
        <v/>
      </c>
      <c r="D1442" s="27" t="str">
        <f aca="false">IF(A1442="","",IFERROR(buscarx(A1442&amp;B1442,DATA!$E$3:$E$10000&amp;DATA!$B$3:$B$10000,DATA!$W$3:$W$10000),"No encontrado"))</f>
        <v/>
      </c>
      <c r="E1442" s="22"/>
      <c r="F1442" s="26" t="str">
        <f aca="false">IF(A1442="","",IFERROR(buscarx(A1442&amp;E1442,DATA!$E$3:$E$10000&amp;DATA!$B$3:$B$10000,DATA!$M$3:$M$10000),"Inactivo"))</f>
        <v/>
      </c>
      <c r="G1442" s="28" t="str">
        <f aca="false">IF(A1442="","",IF(AND(C1442&lt;&gt;"No encontrado",F1442&lt;&gt;"Inactivo"),C1442&amp;" → "&amp;F1442,"Sin transición"))</f>
        <v/>
      </c>
      <c r="H1442" s="26" t="str">
        <f aca="false">IF(A1442="","",IF(D1442="GCIA LINEA SERVICIO DIGITALIDAD Y VENTAS","Chats",IF(OR(D1442="GERENCIA INBOUND LÍNEAS SERVICIO Y VENTA",D1442="GERENCIA INBOUND LINEAS ESPECIALIZADAS"),"Llamadas","Otro")))</f>
        <v/>
      </c>
      <c r="I1442" s="26" t="str">
        <f aca="false">IF(A1442="","",IF(C1442="No encontrado","No","Sí"))</f>
        <v/>
      </c>
      <c r="J1442" s="26" t="str">
        <f aca="false">IF(A1442="","",IF(F1442="Inactivo","No","Sí"))</f>
        <v/>
      </c>
      <c r="K1442" s="26" t="str">
        <f aca="false">IF(A1442="","",IF(AND(I1442="Sí",J1442="Sí"),"Sí","No"))</f>
        <v/>
      </c>
    </row>
    <row r="1443" customFormat="false" ht="15" hidden="false" customHeight="false" outlineLevel="0" collapsed="false">
      <c r="A1443" s="22"/>
      <c r="B1443" s="22"/>
      <c r="C1443" s="23" t="str">
        <f aca="false">IF(A1443="","",IFERROR(buscarx(A1443&amp;B1443,DATA!$E$3:$E$10000&amp;DATA!$B$3:$B$10000,DATA!$M$3:$M$10000),"No encontrado"))</f>
        <v/>
      </c>
      <c r="D1443" s="24" t="str">
        <f aca="false">IF(A1443="","",IFERROR(buscarx(A1443&amp;B1443,DATA!$E$3:$E$10000&amp;DATA!$B$3:$B$10000,DATA!$W$3:$W$10000),"No encontrado"))</f>
        <v/>
      </c>
      <c r="E1443" s="22"/>
      <c r="F1443" s="23" t="str">
        <f aca="false">IF(A1443="","",IFERROR(buscarx(A1443&amp;E1443,DATA!$E$3:$E$10000&amp;DATA!$B$3:$B$10000,DATA!$M$3:$M$10000),"Inactivo"))</f>
        <v/>
      </c>
      <c r="G1443" s="25" t="str">
        <f aca="false">IF(A1443="","",IF(AND(C1443&lt;&gt;"No encontrado",F1443&lt;&gt;"Inactivo"),C1443&amp;" → "&amp;F1443,"Sin transición"))</f>
        <v/>
      </c>
      <c r="H1443" s="23" t="str">
        <f aca="false">IF(A1443="","",IF(D1443="GCIA LINEA SERVICIO DIGITALIDAD Y VENTAS","Chats",IF(OR(D1443="GERENCIA INBOUND LÍNEAS SERVICIO Y VENTA",D1443="GERENCIA INBOUND LINEAS ESPECIALIZADAS"),"Llamadas","Otro")))</f>
        <v/>
      </c>
      <c r="I1443" s="23" t="str">
        <f aca="false">IF(A1443="","",IF(C1443="No encontrado","No","Sí"))</f>
        <v/>
      </c>
      <c r="J1443" s="23" t="str">
        <f aca="false">IF(A1443="","",IF(F1443="Inactivo","No","Sí"))</f>
        <v/>
      </c>
      <c r="K1443" s="23" t="str">
        <f aca="false">IF(A1443="","",IF(AND(I1443="Sí",J1443="Sí"),"Sí","No"))</f>
        <v/>
      </c>
    </row>
    <row r="1444" customFormat="false" ht="15" hidden="false" customHeight="false" outlineLevel="0" collapsed="false">
      <c r="A1444" s="22"/>
      <c r="B1444" s="22"/>
      <c r="C1444" s="26" t="str">
        <f aca="false">IF(A1444="","",IFERROR(buscarx(A1444&amp;B1444,DATA!$E$3:$E$10000&amp;DATA!$B$3:$B$10000,DATA!$M$3:$M$10000),"No encontrado"))</f>
        <v/>
      </c>
      <c r="D1444" s="27" t="str">
        <f aca="false">IF(A1444="","",IFERROR(buscarx(A1444&amp;B1444,DATA!$E$3:$E$10000&amp;DATA!$B$3:$B$10000,DATA!$W$3:$W$10000),"No encontrado"))</f>
        <v/>
      </c>
      <c r="E1444" s="22"/>
      <c r="F1444" s="26" t="str">
        <f aca="false">IF(A1444="","",IFERROR(buscarx(A1444&amp;E1444,DATA!$E$3:$E$10000&amp;DATA!$B$3:$B$10000,DATA!$M$3:$M$10000),"Inactivo"))</f>
        <v/>
      </c>
      <c r="G1444" s="28" t="str">
        <f aca="false">IF(A1444="","",IF(AND(C1444&lt;&gt;"No encontrado",F1444&lt;&gt;"Inactivo"),C1444&amp;" → "&amp;F1444,"Sin transición"))</f>
        <v/>
      </c>
      <c r="H1444" s="26" t="str">
        <f aca="false">IF(A1444="","",IF(D1444="GCIA LINEA SERVICIO DIGITALIDAD Y VENTAS","Chats",IF(OR(D1444="GERENCIA INBOUND LÍNEAS SERVICIO Y VENTA",D1444="GERENCIA INBOUND LINEAS ESPECIALIZADAS"),"Llamadas","Otro")))</f>
        <v/>
      </c>
      <c r="I1444" s="26" t="str">
        <f aca="false">IF(A1444="","",IF(C1444="No encontrado","No","Sí"))</f>
        <v/>
      </c>
      <c r="J1444" s="26" t="str">
        <f aca="false">IF(A1444="","",IF(F1444="Inactivo","No","Sí"))</f>
        <v/>
      </c>
      <c r="K1444" s="26" t="str">
        <f aca="false">IF(A1444="","",IF(AND(I1444="Sí",J1444="Sí"),"Sí","No"))</f>
        <v/>
      </c>
    </row>
    <row r="1445" customFormat="false" ht="15" hidden="false" customHeight="false" outlineLevel="0" collapsed="false">
      <c r="A1445" s="22"/>
      <c r="B1445" s="22"/>
      <c r="C1445" s="23" t="str">
        <f aca="false">IF(A1445="","",IFERROR(buscarx(A1445&amp;B1445,DATA!$E$3:$E$10000&amp;DATA!$B$3:$B$10000,DATA!$M$3:$M$10000),"No encontrado"))</f>
        <v/>
      </c>
      <c r="D1445" s="24" t="str">
        <f aca="false">IF(A1445="","",IFERROR(buscarx(A1445&amp;B1445,DATA!$E$3:$E$10000&amp;DATA!$B$3:$B$10000,DATA!$W$3:$W$10000),"No encontrado"))</f>
        <v/>
      </c>
      <c r="E1445" s="22"/>
      <c r="F1445" s="23" t="str">
        <f aca="false">IF(A1445="","",IFERROR(buscarx(A1445&amp;E1445,DATA!$E$3:$E$10000&amp;DATA!$B$3:$B$10000,DATA!$M$3:$M$10000),"Inactivo"))</f>
        <v/>
      </c>
      <c r="G1445" s="25" t="str">
        <f aca="false">IF(A1445="","",IF(AND(C1445&lt;&gt;"No encontrado",F1445&lt;&gt;"Inactivo"),C1445&amp;" → "&amp;F1445,"Sin transición"))</f>
        <v/>
      </c>
      <c r="H1445" s="23" t="str">
        <f aca="false">IF(A1445="","",IF(D1445="GCIA LINEA SERVICIO DIGITALIDAD Y VENTAS","Chats",IF(OR(D1445="GERENCIA INBOUND LÍNEAS SERVICIO Y VENTA",D1445="GERENCIA INBOUND LINEAS ESPECIALIZADAS"),"Llamadas","Otro")))</f>
        <v/>
      </c>
      <c r="I1445" s="23" t="str">
        <f aca="false">IF(A1445="","",IF(C1445="No encontrado","No","Sí"))</f>
        <v/>
      </c>
      <c r="J1445" s="23" t="str">
        <f aca="false">IF(A1445="","",IF(F1445="Inactivo","No","Sí"))</f>
        <v/>
      </c>
      <c r="K1445" s="23" t="str">
        <f aca="false">IF(A1445="","",IF(AND(I1445="Sí",J1445="Sí"),"Sí","No"))</f>
        <v/>
      </c>
    </row>
    <row r="1446" customFormat="false" ht="15" hidden="false" customHeight="false" outlineLevel="0" collapsed="false">
      <c r="A1446" s="22"/>
      <c r="B1446" s="22"/>
      <c r="C1446" s="26" t="str">
        <f aca="false">IF(A1446="","",IFERROR(buscarx(A1446&amp;B1446,DATA!$E$3:$E$10000&amp;DATA!$B$3:$B$10000,DATA!$M$3:$M$10000),"No encontrado"))</f>
        <v/>
      </c>
      <c r="D1446" s="27" t="str">
        <f aca="false">IF(A1446="","",IFERROR(buscarx(A1446&amp;B1446,DATA!$E$3:$E$10000&amp;DATA!$B$3:$B$10000,DATA!$W$3:$W$10000),"No encontrado"))</f>
        <v/>
      </c>
      <c r="E1446" s="22"/>
      <c r="F1446" s="26" t="str">
        <f aca="false">IF(A1446="","",IFERROR(buscarx(A1446&amp;E1446,DATA!$E$3:$E$10000&amp;DATA!$B$3:$B$10000,DATA!$M$3:$M$10000),"Inactivo"))</f>
        <v/>
      </c>
      <c r="G1446" s="28" t="str">
        <f aca="false">IF(A1446="","",IF(AND(C1446&lt;&gt;"No encontrado",F1446&lt;&gt;"Inactivo"),C1446&amp;" → "&amp;F1446,"Sin transición"))</f>
        <v/>
      </c>
      <c r="H1446" s="26" t="str">
        <f aca="false">IF(A1446="","",IF(D1446="GCIA LINEA SERVICIO DIGITALIDAD Y VENTAS","Chats",IF(OR(D1446="GERENCIA INBOUND LÍNEAS SERVICIO Y VENTA",D1446="GERENCIA INBOUND LINEAS ESPECIALIZADAS"),"Llamadas","Otro")))</f>
        <v/>
      </c>
      <c r="I1446" s="26" t="str">
        <f aca="false">IF(A1446="","",IF(C1446="No encontrado","No","Sí"))</f>
        <v/>
      </c>
      <c r="J1446" s="26" t="str">
        <f aca="false">IF(A1446="","",IF(F1446="Inactivo","No","Sí"))</f>
        <v/>
      </c>
      <c r="K1446" s="26" t="str">
        <f aca="false">IF(A1446="","",IF(AND(I1446="Sí",J1446="Sí"),"Sí","No"))</f>
        <v/>
      </c>
    </row>
    <row r="1447" customFormat="false" ht="15" hidden="false" customHeight="false" outlineLevel="0" collapsed="false">
      <c r="A1447" s="22"/>
      <c r="B1447" s="22"/>
      <c r="C1447" s="23" t="str">
        <f aca="false">IF(A1447="","",IFERROR(buscarx(A1447&amp;B1447,DATA!$E$3:$E$10000&amp;DATA!$B$3:$B$10000,DATA!$M$3:$M$10000),"No encontrado"))</f>
        <v/>
      </c>
      <c r="D1447" s="24" t="str">
        <f aca="false">IF(A1447="","",IFERROR(buscarx(A1447&amp;B1447,DATA!$E$3:$E$10000&amp;DATA!$B$3:$B$10000,DATA!$W$3:$W$10000),"No encontrado"))</f>
        <v/>
      </c>
      <c r="E1447" s="22"/>
      <c r="F1447" s="23" t="str">
        <f aca="false">IF(A1447="","",IFERROR(buscarx(A1447&amp;E1447,DATA!$E$3:$E$10000&amp;DATA!$B$3:$B$10000,DATA!$M$3:$M$10000),"Inactivo"))</f>
        <v/>
      </c>
      <c r="G1447" s="25" t="str">
        <f aca="false">IF(A1447="","",IF(AND(C1447&lt;&gt;"No encontrado",F1447&lt;&gt;"Inactivo"),C1447&amp;" → "&amp;F1447,"Sin transición"))</f>
        <v/>
      </c>
      <c r="H1447" s="23" t="str">
        <f aca="false">IF(A1447="","",IF(D1447="GCIA LINEA SERVICIO DIGITALIDAD Y VENTAS","Chats",IF(OR(D1447="GERENCIA INBOUND LÍNEAS SERVICIO Y VENTA",D1447="GERENCIA INBOUND LINEAS ESPECIALIZADAS"),"Llamadas","Otro")))</f>
        <v/>
      </c>
      <c r="I1447" s="23" t="str">
        <f aca="false">IF(A1447="","",IF(C1447="No encontrado","No","Sí"))</f>
        <v/>
      </c>
      <c r="J1447" s="23" t="str">
        <f aca="false">IF(A1447="","",IF(F1447="Inactivo","No","Sí"))</f>
        <v/>
      </c>
      <c r="K1447" s="23" t="str">
        <f aca="false">IF(A1447="","",IF(AND(I1447="Sí",J1447="Sí"),"Sí","No"))</f>
        <v/>
      </c>
    </row>
    <row r="1448" customFormat="false" ht="15" hidden="false" customHeight="false" outlineLevel="0" collapsed="false">
      <c r="A1448" s="22"/>
      <c r="B1448" s="22"/>
      <c r="C1448" s="26" t="str">
        <f aca="false">IF(A1448="","",IFERROR(buscarx(A1448&amp;B1448,DATA!$E$3:$E$10000&amp;DATA!$B$3:$B$10000,DATA!$M$3:$M$10000),"No encontrado"))</f>
        <v/>
      </c>
      <c r="D1448" s="27" t="str">
        <f aca="false">IF(A1448="","",IFERROR(buscarx(A1448&amp;B1448,DATA!$E$3:$E$10000&amp;DATA!$B$3:$B$10000,DATA!$W$3:$W$10000),"No encontrado"))</f>
        <v/>
      </c>
      <c r="E1448" s="22"/>
      <c r="F1448" s="26" t="str">
        <f aca="false">IF(A1448="","",IFERROR(buscarx(A1448&amp;E1448,DATA!$E$3:$E$10000&amp;DATA!$B$3:$B$10000,DATA!$M$3:$M$10000),"Inactivo"))</f>
        <v/>
      </c>
      <c r="G1448" s="28" t="str">
        <f aca="false">IF(A1448="","",IF(AND(C1448&lt;&gt;"No encontrado",F1448&lt;&gt;"Inactivo"),C1448&amp;" → "&amp;F1448,"Sin transición"))</f>
        <v/>
      </c>
      <c r="H1448" s="26" t="str">
        <f aca="false">IF(A1448="","",IF(D1448="GCIA LINEA SERVICIO DIGITALIDAD Y VENTAS","Chats",IF(OR(D1448="GERENCIA INBOUND LÍNEAS SERVICIO Y VENTA",D1448="GERENCIA INBOUND LINEAS ESPECIALIZADAS"),"Llamadas","Otro")))</f>
        <v/>
      </c>
      <c r="I1448" s="26" t="str">
        <f aca="false">IF(A1448="","",IF(C1448="No encontrado","No","Sí"))</f>
        <v/>
      </c>
      <c r="J1448" s="26" t="str">
        <f aca="false">IF(A1448="","",IF(F1448="Inactivo","No","Sí"))</f>
        <v/>
      </c>
      <c r="K1448" s="26" t="str">
        <f aca="false">IF(A1448="","",IF(AND(I1448="Sí",J1448="Sí"),"Sí","No"))</f>
        <v/>
      </c>
    </row>
    <row r="1449" customFormat="false" ht="15" hidden="false" customHeight="false" outlineLevel="0" collapsed="false">
      <c r="A1449" s="22"/>
      <c r="B1449" s="22"/>
      <c r="C1449" s="23" t="str">
        <f aca="false">IF(A1449="","",IFERROR(buscarx(A1449&amp;B1449,DATA!$E$3:$E$10000&amp;DATA!$B$3:$B$10000,DATA!$M$3:$M$10000),"No encontrado"))</f>
        <v/>
      </c>
      <c r="D1449" s="24" t="str">
        <f aca="false">IF(A1449="","",IFERROR(buscarx(A1449&amp;B1449,DATA!$E$3:$E$10000&amp;DATA!$B$3:$B$10000,DATA!$W$3:$W$10000),"No encontrado"))</f>
        <v/>
      </c>
      <c r="E1449" s="22"/>
      <c r="F1449" s="23" t="str">
        <f aca="false">IF(A1449="","",IFERROR(buscarx(A1449&amp;E1449,DATA!$E$3:$E$10000&amp;DATA!$B$3:$B$10000,DATA!$M$3:$M$10000),"Inactivo"))</f>
        <v/>
      </c>
      <c r="G1449" s="25" t="str">
        <f aca="false">IF(A1449="","",IF(AND(C1449&lt;&gt;"No encontrado",F1449&lt;&gt;"Inactivo"),C1449&amp;" → "&amp;F1449,"Sin transición"))</f>
        <v/>
      </c>
      <c r="H1449" s="23" t="str">
        <f aca="false">IF(A1449="","",IF(D1449="GCIA LINEA SERVICIO DIGITALIDAD Y VENTAS","Chats",IF(OR(D1449="GERENCIA INBOUND LÍNEAS SERVICIO Y VENTA",D1449="GERENCIA INBOUND LINEAS ESPECIALIZADAS"),"Llamadas","Otro")))</f>
        <v/>
      </c>
      <c r="I1449" s="23" t="str">
        <f aca="false">IF(A1449="","",IF(C1449="No encontrado","No","Sí"))</f>
        <v/>
      </c>
      <c r="J1449" s="23" t="str">
        <f aca="false">IF(A1449="","",IF(F1449="Inactivo","No","Sí"))</f>
        <v/>
      </c>
      <c r="K1449" s="23" t="str">
        <f aca="false">IF(A1449="","",IF(AND(I1449="Sí",J1449="Sí"),"Sí","No"))</f>
        <v/>
      </c>
    </row>
    <row r="1450" customFormat="false" ht="15" hidden="false" customHeight="false" outlineLevel="0" collapsed="false">
      <c r="A1450" s="22"/>
      <c r="B1450" s="22"/>
      <c r="C1450" s="26" t="str">
        <f aca="false">IF(A1450="","",IFERROR(buscarx(A1450&amp;B1450,DATA!$E$3:$E$10000&amp;DATA!$B$3:$B$10000,DATA!$M$3:$M$10000),"No encontrado"))</f>
        <v/>
      </c>
      <c r="D1450" s="27" t="str">
        <f aca="false">IF(A1450="","",IFERROR(buscarx(A1450&amp;B1450,DATA!$E$3:$E$10000&amp;DATA!$B$3:$B$10000,DATA!$W$3:$W$10000),"No encontrado"))</f>
        <v/>
      </c>
      <c r="E1450" s="22"/>
      <c r="F1450" s="26" t="str">
        <f aca="false">IF(A1450="","",IFERROR(buscarx(A1450&amp;E1450,DATA!$E$3:$E$10000&amp;DATA!$B$3:$B$10000,DATA!$M$3:$M$10000),"Inactivo"))</f>
        <v/>
      </c>
      <c r="G1450" s="28" t="str">
        <f aca="false">IF(A1450="","",IF(AND(C1450&lt;&gt;"No encontrado",F1450&lt;&gt;"Inactivo"),C1450&amp;" → "&amp;F1450,"Sin transición"))</f>
        <v/>
      </c>
      <c r="H1450" s="26" t="str">
        <f aca="false">IF(A1450="","",IF(D1450="GCIA LINEA SERVICIO DIGITALIDAD Y VENTAS","Chats",IF(OR(D1450="GERENCIA INBOUND LÍNEAS SERVICIO Y VENTA",D1450="GERENCIA INBOUND LINEAS ESPECIALIZADAS"),"Llamadas","Otro")))</f>
        <v/>
      </c>
      <c r="I1450" s="26" t="str">
        <f aca="false">IF(A1450="","",IF(C1450="No encontrado","No","Sí"))</f>
        <v/>
      </c>
      <c r="J1450" s="26" t="str">
        <f aca="false">IF(A1450="","",IF(F1450="Inactivo","No","Sí"))</f>
        <v/>
      </c>
      <c r="K1450" s="26" t="str">
        <f aca="false">IF(A1450="","",IF(AND(I1450="Sí",J1450="Sí"),"Sí","No"))</f>
        <v/>
      </c>
    </row>
    <row r="1451" customFormat="false" ht="15" hidden="false" customHeight="false" outlineLevel="0" collapsed="false">
      <c r="A1451" s="22"/>
      <c r="B1451" s="22"/>
      <c r="C1451" s="23" t="str">
        <f aca="false">IF(A1451="","",IFERROR(buscarx(A1451&amp;B1451,DATA!$E$3:$E$10000&amp;DATA!$B$3:$B$10000,DATA!$M$3:$M$10000),"No encontrado"))</f>
        <v/>
      </c>
      <c r="D1451" s="24" t="str">
        <f aca="false">IF(A1451="","",IFERROR(buscarx(A1451&amp;B1451,DATA!$E$3:$E$10000&amp;DATA!$B$3:$B$10000,DATA!$W$3:$W$10000),"No encontrado"))</f>
        <v/>
      </c>
      <c r="E1451" s="22"/>
      <c r="F1451" s="23" t="str">
        <f aca="false">IF(A1451="","",IFERROR(buscarx(A1451&amp;E1451,DATA!$E$3:$E$10000&amp;DATA!$B$3:$B$10000,DATA!$M$3:$M$10000),"Inactivo"))</f>
        <v/>
      </c>
      <c r="G1451" s="25" t="str">
        <f aca="false">IF(A1451="","",IF(AND(C1451&lt;&gt;"No encontrado",F1451&lt;&gt;"Inactivo"),C1451&amp;" → "&amp;F1451,"Sin transición"))</f>
        <v/>
      </c>
      <c r="H1451" s="23" t="str">
        <f aca="false">IF(A1451="","",IF(D1451="GCIA LINEA SERVICIO DIGITALIDAD Y VENTAS","Chats",IF(OR(D1451="GERENCIA INBOUND LÍNEAS SERVICIO Y VENTA",D1451="GERENCIA INBOUND LINEAS ESPECIALIZADAS"),"Llamadas","Otro")))</f>
        <v/>
      </c>
      <c r="I1451" s="23" t="str">
        <f aca="false">IF(A1451="","",IF(C1451="No encontrado","No","Sí"))</f>
        <v/>
      </c>
      <c r="J1451" s="23" t="str">
        <f aca="false">IF(A1451="","",IF(F1451="Inactivo","No","Sí"))</f>
        <v/>
      </c>
      <c r="K1451" s="23" t="str">
        <f aca="false">IF(A1451="","",IF(AND(I1451="Sí",J1451="Sí"),"Sí","No"))</f>
        <v/>
      </c>
    </row>
    <row r="1452" customFormat="false" ht="15" hidden="false" customHeight="false" outlineLevel="0" collapsed="false">
      <c r="A1452" s="22"/>
      <c r="B1452" s="22"/>
      <c r="C1452" s="26" t="str">
        <f aca="false">IF(A1452="","",IFERROR(buscarx(A1452&amp;B1452,DATA!$E$3:$E$10000&amp;DATA!$B$3:$B$10000,DATA!$M$3:$M$10000),"No encontrado"))</f>
        <v/>
      </c>
      <c r="D1452" s="27" t="str">
        <f aca="false">IF(A1452="","",IFERROR(buscarx(A1452&amp;B1452,DATA!$E$3:$E$10000&amp;DATA!$B$3:$B$10000,DATA!$W$3:$W$10000),"No encontrado"))</f>
        <v/>
      </c>
      <c r="E1452" s="22"/>
      <c r="F1452" s="26" t="str">
        <f aca="false">IF(A1452="","",IFERROR(buscarx(A1452&amp;E1452,DATA!$E$3:$E$10000&amp;DATA!$B$3:$B$10000,DATA!$M$3:$M$10000),"Inactivo"))</f>
        <v/>
      </c>
      <c r="G1452" s="28" t="str">
        <f aca="false">IF(A1452="","",IF(AND(C1452&lt;&gt;"No encontrado",F1452&lt;&gt;"Inactivo"),C1452&amp;" → "&amp;F1452,"Sin transición"))</f>
        <v/>
      </c>
      <c r="H1452" s="26" t="str">
        <f aca="false">IF(A1452="","",IF(D1452="GCIA LINEA SERVICIO DIGITALIDAD Y VENTAS","Chats",IF(OR(D1452="GERENCIA INBOUND LÍNEAS SERVICIO Y VENTA",D1452="GERENCIA INBOUND LINEAS ESPECIALIZADAS"),"Llamadas","Otro")))</f>
        <v/>
      </c>
      <c r="I1452" s="26" t="str">
        <f aca="false">IF(A1452="","",IF(C1452="No encontrado","No","Sí"))</f>
        <v/>
      </c>
      <c r="J1452" s="26" t="str">
        <f aca="false">IF(A1452="","",IF(F1452="Inactivo","No","Sí"))</f>
        <v/>
      </c>
      <c r="K1452" s="26" t="str">
        <f aca="false">IF(A1452="","",IF(AND(I1452="Sí",J1452="Sí"),"Sí","No"))</f>
        <v/>
      </c>
    </row>
    <row r="1453" customFormat="false" ht="15" hidden="false" customHeight="false" outlineLevel="0" collapsed="false">
      <c r="A1453" s="22"/>
      <c r="B1453" s="22"/>
      <c r="C1453" s="23" t="str">
        <f aca="false">IF(A1453="","",IFERROR(buscarx(A1453&amp;B1453,DATA!$E$3:$E$10000&amp;DATA!$B$3:$B$10000,DATA!$M$3:$M$10000),"No encontrado"))</f>
        <v/>
      </c>
      <c r="D1453" s="24" t="str">
        <f aca="false">IF(A1453="","",IFERROR(buscarx(A1453&amp;B1453,DATA!$E$3:$E$10000&amp;DATA!$B$3:$B$10000,DATA!$W$3:$W$10000),"No encontrado"))</f>
        <v/>
      </c>
      <c r="E1453" s="22"/>
      <c r="F1453" s="23" t="str">
        <f aca="false">IF(A1453="","",IFERROR(buscarx(A1453&amp;E1453,DATA!$E$3:$E$10000&amp;DATA!$B$3:$B$10000,DATA!$M$3:$M$10000),"Inactivo"))</f>
        <v/>
      </c>
      <c r="G1453" s="25" t="str">
        <f aca="false">IF(A1453="","",IF(AND(C1453&lt;&gt;"No encontrado",F1453&lt;&gt;"Inactivo"),C1453&amp;" → "&amp;F1453,"Sin transición"))</f>
        <v/>
      </c>
      <c r="H1453" s="23" t="str">
        <f aca="false">IF(A1453="","",IF(D1453="GCIA LINEA SERVICIO DIGITALIDAD Y VENTAS","Chats",IF(OR(D1453="GERENCIA INBOUND LÍNEAS SERVICIO Y VENTA",D1453="GERENCIA INBOUND LINEAS ESPECIALIZADAS"),"Llamadas","Otro")))</f>
        <v/>
      </c>
      <c r="I1453" s="23" t="str">
        <f aca="false">IF(A1453="","",IF(C1453="No encontrado","No","Sí"))</f>
        <v/>
      </c>
      <c r="J1453" s="23" t="str">
        <f aca="false">IF(A1453="","",IF(F1453="Inactivo","No","Sí"))</f>
        <v/>
      </c>
      <c r="K1453" s="23" t="str">
        <f aca="false">IF(A1453="","",IF(AND(I1453="Sí",J1453="Sí"),"Sí","No"))</f>
        <v/>
      </c>
    </row>
    <row r="1454" customFormat="false" ht="15" hidden="false" customHeight="false" outlineLevel="0" collapsed="false">
      <c r="A1454" s="22"/>
      <c r="B1454" s="22"/>
      <c r="C1454" s="26" t="str">
        <f aca="false">IF(A1454="","",IFERROR(buscarx(A1454&amp;B1454,DATA!$E$3:$E$10000&amp;DATA!$B$3:$B$10000,DATA!$M$3:$M$10000),"No encontrado"))</f>
        <v/>
      </c>
      <c r="D1454" s="27" t="str">
        <f aca="false">IF(A1454="","",IFERROR(buscarx(A1454&amp;B1454,DATA!$E$3:$E$10000&amp;DATA!$B$3:$B$10000,DATA!$W$3:$W$10000),"No encontrado"))</f>
        <v/>
      </c>
      <c r="E1454" s="22"/>
      <c r="F1454" s="26" t="str">
        <f aca="false">IF(A1454="","",IFERROR(buscarx(A1454&amp;E1454,DATA!$E$3:$E$10000&amp;DATA!$B$3:$B$10000,DATA!$M$3:$M$10000),"Inactivo"))</f>
        <v/>
      </c>
      <c r="G1454" s="28" t="str">
        <f aca="false">IF(A1454="","",IF(AND(C1454&lt;&gt;"No encontrado",F1454&lt;&gt;"Inactivo"),C1454&amp;" → "&amp;F1454,"Sin transición"))</f>
        <v/>
      </c>
      <c r="H1454" s="26" t="str">
        <f aca="false">IF(A1454="","",IF(D1454="GCIA LINEA SERVICIO DIGITALIDAD Y VENTAS","Chats",IF(OR(D1454="GERENCIA INBOUND LÍNEAS SERVICIO Y VENTA",D1454="GERENCIA INBOUND LINEAS ESPECIALIZADAS"),"Llamadas","Otro")))</f>
        <v/>
      </c>
      <c r="I1454" s="26" t="str">
        <f aca="false">IF(A1454="","",IF(C1454="No encontrado","No","Sí"))</f>
        <v/>
      </c>
      <c r="J1454" s="26" t="str">
        <f aca="false">IF(A1454="","",IF(F1454="Inactivo","No","Sí"))</f>
        <v/>
      </c>
      <c r="K1454" s="26" t="str">
        <f aca="false">IF(A1454="","",IF(AND(I1454="Sí",J1454="Sí"),"Sí","No"))</f>
        <v/>
      </c>
    </row>
    <row r="1455" customFormat="false" ht="15" hidden="false" customHeight="false" outlineLevel="0" collapsed="false">
      <c r="A1455" s="22"/>
      <c r="B1455" s="22"/>
      <c r="C1455" s="23" t="str">
        <f aca="false">IF(A1455="","",IFERROR(buscarx(A1455&amp;B1455,DATA!$E$3:$E$10000&amp;DATA!$B$3:$B$10000,DATA!$M$3:$M$10000),"No encontrado"))</f>
        <v/>
      </c>
      <c r="D1455" s="24" t="str">
        <f aca="false">IF(A1455="","",IFERROR(buscarx(A1455&amp;B1455,DATA!$E$3:$E$10000&amp;DATA!$B$3:$B$10000,DATA!$W$3:$W$10000),"No encontrado"))</f>
        <v/>
      </c>
      <c r="E1455" s="22"/>
      <c r="F1455" s="23" t="str">
        <f aca="false">IF(A1455="","",IFERROR(buscarx(A1455&amp;E1455,DATA!$E$3:$E$10000&amp;DATA!$B$3:$B$10000,DATA!$M$3:$M$10000),"Inactivo"))</f>
        <v/>
      </c>
      <c r="G1455" s="25" t="str">
        <f aca="false">IF(A1455="","",IF(AND(C1455&lt;&gt;"No encontrado",F1455&lt;&gt;"Inactivo"),C1455&amp;" → "&amp;F1455,"Sin transición"))</f>
        <v/>
      </c>
      <c r="H1455" s="23" t="str">
        <f aca="false">IF(A1455="","",IF(D1455="GCIA LINEA SERVICIO DIGITALIDAD Y VENTAS","Chats",IF(OR(D1455="GERENCIA INBOUND LÍNEAS SERVICIO Y VENTA",D1455="GERENCIA INBOUND LINEAS ESPECIALIZADAS"),"Llamadas","Otro")))</f>
        <v/>
      </c>
      <c r="I1455" s="23" t="str">
        <f aca="false">IF(A1455="","",IF(C1455="No encontrado","No","Sí"))</f>
        <v/>
      </c>
      <c r="J1455" s="23" t="str">
        <f aca="false">IF(A1455="","",IF(F1455="Inactivo","No","Sí"))</f>
        <v/>
      </c>
      <c r="K1455" s="23" t="str">
        <f aca="false">IF(A1455="","",IF(AND(I1455="Sí",J1455="Sí"),"Sí","No"))</f>
        <v/>
      </c>
    </row>
    <row r="1456" customFormat="false" ht="15" hidden="false" customHeight="false" outlineLevel="0" collapsed="false">
      <c r="A1456" s="22"/>
      <c r="B1456" s="22"/>
      <c r="C1456" s="26" t="str">
        <f aca="false">IF(A1456="","",IFERROR(buscarx(A1456&amp;B1456,DATA!$E$3:$E$10000&amp;DATA!$B$3:$B$10000,DATA!$M$3:$M$10000),"No encontrado"))</f>
        <v/>
      </c>
      <c r="D1456" s="27" t="str">
        <f aca="false">IF(A1456="","",IFERROR(buscarx(A1456&amp;B1456,DATA!$E$3:$E$10000&amp;DATA!$B$3:$B$10000,DATA!$W$3:$W$10000),"No encontrado"))</f>
        <v/>
      </c>
      <c r="E1456" s="22"/>
      <c r="F1456" s="26" t="str">
        <f aca="false">IF(A1456="","",IFERROR(buscarx(A1456&amp;E1456,DATA!$E$3:$E$10000&amp;DATA!$B$3:$B$10000,DATA!$M$3:$M$10000),"Inactivo"))</f>
        <v/>
      </c>
      <c r="G1456" s="28" t="str">
        <f aca="false">IF(A1456="","",IF(AND(C1456&lt;&gt;"No encontrado",F1456&lt;&gt;"Inactivo"),C1456&amp;" → "&amp;F1456,"Sin transición"))</f>
        <v/>
      </c>
      <c r="H1456" s="26" t="str">
        <f aca="false">IF(A1456="","",IF(D1456="GCIA LINEA SERVICIO DIGITALIDAD Y VENTAS","Chats",IF(OR(D1456="GERENCIA INBOUND LÍNEAS SERVICIO Y VENTA",D1456="GERENCIA INBOUND LINEAS ESPECIALIZADAS"),"Llamadas","Otro")))</f>
        <v/>
      </c>
      <c r="I1456" s="26" t="str">
        <f aca="false">IF(A1456="","",IF(C1456="No encontrado","No","Sí"))</f>
        <v/>
      </c>
      <c r="J1456" s="26" t="str">
        <f aca="false">IF(A1456="","",IF(F1456="Inactivo","No","Sí"))</f>
        <v/>
      </c>
      <c r="K1456" s="26" t="str">
        <f aca="false">IF(A1456="","",IF(AND(I1456="Sí",J1456="Sí"),"Sí","No"))</f>
        <v/>
      </c>
    </row>
    <row r="1457" customFormat="false" ht="15" hidden="false" customHeight="false" outlineLevel="0" collapsed="false">
      <c r="A1457" s="22"/>
      <c r="B1457" s="22"/>
      <c r="C1457" s="23" t="str">
        <f aca="false">IF(A1457="","",IFERROR(buscarx(A1457&amp;B1457,DATA!$E$3:$E$10000&amp;DATA!$B$3:$B$10000,DATA!$M$3:$M$10000),"No encontrado"))</f>
        <v/>
      </c>
      <c r="D1457" s="24" t="str">
        <f aca="false">IF(A1457="","",IFERROR(buscarx(A1457&amp;B1457,DATA!$E$3:$E$10000&amp;DATA!$B$3:$B$10000,DATA!$W$3:$W$10000),"No encontrado"))</f>
        <v/>
      </c>
      <c r="E1457" s="22"/>
      <c r="F1457" s="23" t="str">
        <f aca="false">IF(A1457="","",IFERROR(buscarx(A1457&amp;E1457,DATA!$E$3:$E$10000&amp;DATA!$B$3:$B$10000,DATA!$M$3:$M$10000),"Inactivo"))</f>
        <v/>
      </c>
      <c r="G1457" s="25" t="str">
        <f aca="false">IF(A1457="","",IF(AND(C1457&lt;&gt;"No encontrado",F1457&lt;&gt;"Inactivo"),C1457&amp;" → "&amp;F1457,"Sin transición"))</f>
        <v/>
      </c>
      <c r="H1457" s="23" t="str">
        <f aca="false">IF(A1457="","",IF(D1457="GCIA LINEA SERVICIO DIGITALIDAD Y VENTAS","Chats",IF(OR(D1457="GERENCIA INBOUND LÍNEAS SERVICIO Y VENTA",D1457="GERENCIA INBOUND LINEAS ESPECIALIZADAS"),"Llamadas","Otro")))</f>
        <v/>
      </c>
      <c r="I1457" s="23" t="str">
        <f aca="false">IF(A1457="","",IF(C1457="No encontrado","No","Sí"))</f>
        <v/>
      </c>
      <c r="J1457" s="23" t="str">
        <f aca="false">IF(A1457="","",IF(F1457="Inactivo","No","Sí"))</f>
        <v/>
      </c>
      <c r="K1457" s="23" t="str">
        <f aca="false">IF(A1457="","",IF(AND(I1457="Sí",J1457="Sí"),"Sí","No"))</f>
        <v/>
      </c>
    </row>
    <row r="1458" customFormat="false" ht="15" hidden="false" customHeight="false" outlineLevel="0" collapsed="false">
      <c r="A1458" s="22"/>
      <c r="B1458" s="22"/>
      <c r="C1458" s="26" t="str">
        <f aca="false">IF(A1458="","",IFERROR(buscarx(A1458&amp;B1458,DATA!$E$3:$E$10000&amp;DATA!$B$3:$B$10000,DATA!$M$3:$M$10000),"No encontrado"))</f>
        <v/>
      </c>
      <c r="D1458" s="27" t="str">
        <f aca="false">IF(A1458="","",IFERROR(buscarx(A1458&amp;B1458,DATA!$E$3:$E$10000&amp;DATA!$B$3:$B$10000,DATA!$W$3:$W$10000),"No encontrado"))</f>
        <v/>
      </c>
      <c r="E1458" s="22"/>
      <c r="F1458" s="26" t="str">
        <f aca="false">IF(A1458="","",IFERROR(buscarx(A1458&amp;E1458,DATA!$E$3:$E$10000&amp;DATA!$B$3:$B$10000,DATA!$M$3:$M$10000),"Inactivo"))</f>
        <v/>
      </c>
      <c r="G1458" s="28" t="str">
        <f aca="false">IF(A1458="","",IF(AND(C1458&lt;&gt;"No encontrado",F1458&lt;&gt;"Inactivo"),C1458&amp;" → "&amp;F1458,"Sin transición"))</f>
        <v/>
      </c>
      <c r="H1458" s="26" t="str">
        <f aca="false">IF(A1458="","",IF(D1458="GCIA LINEA SERVICIO DIGITALIDAD Y VENTAS","Chats",IF(OR(D1458="GERENCIA INBOUND LÍNEAS SERVICIO Y VENTA",D1458="GERENCIA INBOUND LINEAS ESPECIALIZADAS"),"Llamadas","Otro")))</f>
        <v/>
      </c>
      <c r="I1458" s="26" t="str">
        <f aca="false">IF(A1458="","",IF(C1458="No encontrado","No","Sí"))</f>
        <v/>
      </c>
      <c r="J1458" s="26" t="str">
        <f aca="false">IF(A1458="","",IF(F1458="Inactivo","No","Sí"))</f>
        <v/>
      </c>
      <c r="K1458" s="26" t="str">
        <f aca="false">IF(A1458="","",IF(AND(I1458="Sí",J1458="Sí"),"Sí","No"))</f>
        <v/>
      </c>
    </row>
    <row r="1459" customFormat="false" ht="15" hidden="false" customHeight="false" outlineLevel="0" collapsed="false">
      <c r="A1459" s="22"/>
      <c r="B1459" s="22"/>
      <c r="C1459" s="23" t="str">
        <f aca="false">IF(A1459="","",IFERROR(buscarx(A1459&amp;B1459,DATA!$E$3:$E$10000&amp;DATA!$B$3:$B$10000,DATA!$M$3:$M$10000),"No encontrado"))</f>
        <v/>
      </c>
      <c r="D1459" s="24" t="str">
        <f aca="false">IF(A1459="","",IFERROR(buscarx(A1459&amp;B1459,DATA!$E$3:$E$10000&amp;DATA!$B$3:$B$10000,DATA!$W$3:$W$10000),"No encontrado"))</f>
        <v/>
      </c>
      <c r="E1459" s="22"/>
      <c r="F1459" s="23" t="str">
        <f aca="false">IF(A1459="","",IFERROR(buscarx(A1459&amp;E1459,DATA!$E$3:$E$10000&amp;DATA!$B$3:$B$10000,DATA!$M$3:$M$10000),"Inactivo"))</f>
        <v/>
      </c>
      <c r="G1459" s="25" t="str">
        <f aca="false">IF(A1459="","",IF(AND(C1459&lt;&gt;"No encontrado",F1459&lt;&gt;"Inactivo"),C1459&amp;" → "&amp;F1459,"Sin transición"))</f>
        <v/>
      </c>
      <c r="H1459" s="23" t="str">
        <f aca="false">IF(A1459="","",IF(D1459="GCIA LINEA SERVICIO DIGITALIDAD Y VENTAS","Chats",IF(OR(D1459="GERENCIA INBOUND LÍNEAS SERVICIO Y VENTA",D1459="GERENCIA INBOUND LINEAS ESPECIALIZADAS"),"Llamadas","Otro")))</f>
        <v/>
      </c>
      <c r="I1459" s="23" t="str">
        <f aca="false">IF(A1459="","",IF(C1459="No encontrado","No","Sí"))</f>
        <v/>
      </c>
      <c r="J1459" s="23" t="str">
        <f aca="false">IF(A1459="","",IF(F1459="Inactivo","No","Sí"))</f>
        <v/>
      </c>
      <c r="K1459" s="23" t="str">
        <f aca="false">IF(A1459="","",IF(AND(I1459="Sí",J1459="Sí"),"Sí","No"))</f>
        <v/>
      </c>
    </row>
    <row r="1460" customFormat="false" ht="15" hidden="false" customHeight="false" outlineLevel="0" collapsed="false">
      <c r="A1460" s="22"/>
      <c r="B1460" s="22"/>
      <c r="C1460" s="26" t="str">
        <f aca="false">IF(A1460="","",IFERROR(buscarx(A1460&amp;B1460,DATA!$E$3:$E$10000&amp;DATA!$B$3:$B$10000,DATA!$M$3:$M$10000),"No encontrado"))</f>
        <v/>
      </c>
      <c r="D1460" s="27" t="str">
        <f aca="false">IF(A1460="","",IFERROR(buscarx(A1460&amp;B1460,DATA!$E$3:$E$10000&amp;DATA!$B$3:$B$10000,DATA!$W$3:$W$10000),"No encontrado"))</f>
        <v/>
      </c>
      <c r="E1460" s="22"/>
      <c r="F1460" s="26" t="str">
        <f aca="false">IF(A1460="","",IFERROR(buscarx(A1460&amp;E1460,DATA!$E$3:$E$10000&amp;DATA!$B$3:$B$10000,DATA!$M$3:$M$10000),"Inactivo"))</f>
        <v/>
      </c>
      <c r="G1460" s="28" t="str">
        <f aca="false">IF(A1460="","",IF(AND(C1460&lt;&gt;"No encontrado",F1460&lt;&gt;"Inactivo"),C1460&amp;" → "&amp;F1460,"Sin transición"))</f>
        <v/>
      </c>
      <c r="H1460" s="26" t="str">
        <f aca="false">IF(A1460="","",IF(D1460="GCIA LINEA SERVICIO DIGITALIDAD Y VENTAS","Chats",IF(OR(D1460="GERENCIA INBOUND LÍNEAS SERVICIO Y VENTA",D1460="GERENCIA INBOUND LINEAS ESPECIALIZADAS"),"Llamadas","Otro")))</f>
        <v/>
      </c>
      <c r="I1460" s="26" t="str">
        <f aca="false">IF(A1460="","",IF(C1460="No encontrado","No","Sí"))</f>
        <v/>
      </c>
      <c r="J1460" s="26" t="str">
        <f aca="false">IF(A1460="","",IF(F1460="Inactivo","No","Sí"))</f>
        <v/>
      </c>
      <c r="K1460" s="26" t="str">
        <f aca="false">IF(A1460="","",IF(AND(I1460="Sí",J1460="Sí"),"Sí","No"))</f>
        <v/>
      </c>
    </row>
    <row r="1461" customFormat="false" ht="15" hidden="false" customHeight="false" outlineLevel="0" collapsed="false">
      <c r="A1461" s="22"/>
      <c r="B1461" s="22"/>
      <c r="C1461" s="23" t="str">
        <f aca="false">IF(A1461="","",IFERROR(buscarx(A1461&amp;B1461,DATA!$E$3:$E$10000&amp;DATA!$B$3:$B$10000,DATA!$M$3:$M$10000),"No encontrado"))</f>
        <v/>
      </c>
      <c r="D1461" s="24" t="str">
        <f aca="false">IF(A1461="","",IFERROR(buscarx(A1461&amp;B1461,DATA!$E$3:$E$10000&amp;DATA!$B$3:$B$10000,DATA!$W$3:$W$10000),"No encontrado"))</f>
        <v/>
      </c>
      <c r="E1461" s="22"/>
      <c r="F1461" s="23" t="str">
        <f aca="false">IF(A1461="","",IFERROR(buscarx(A1461&amp;E1461,DATA!$E$3:$E$10000&amp;DATA!$B$3:$B$10000,DATA!$M$3:$M$10000),"Inactivo"))</f>
        <v/>
      </c>
      <c r="G1461" s="25" t="str">
        <f aca="false">IF(A1461="","",IF(AND(C1461&lt;&gt;"No encontrado",F1461&lt;&gt;"Inactivo"),C1461&amp;" → "&amp;F1461,"Sin transición"))</f>
        <v/>
      </c>
      <c r="H1461" s="23" t="str">
        <f aca="false">IF(A1461="","",IF(D1461="GCIA LINEA SERVICIO DIGITALIDAD Y VENTAS","Chats",IF(OR(D1461="GERENCIA INBOUND LÍNEAS SERVICIO Y VENTA",D1461="GERENCIA INBOUND LINEAS ESPECIALIZADAS"),"Llamadas","Otro")))</f>
        <v/>
      </c>
      <c r="I1461" s="23" t="str">
        <f aca="false">IF(A1461="","",IF(C1461="No encontrado","No","Sí"))</f>
        <v/>
      </c>
      <c r="J1461" s="23" t="str">
        <f aca="false">IF(A1461="","",IF(F1461="Inactivo","No","Sí"))</f>
        <v/>
      </c>
      <c r="K1461" s="23" t="str">
        <f aca="false">IF(A1461="","",IF(AND(I1461="Sí",J1461="Sí"),"Sí","No"))</f>
        <v/>
      </c>
    </row>
    <row r="1462" customFormat="false" ht="15" hidden="false" customHeight="false" outlineLevel="0" collapsed="false">
      <c r="A1462" s="22"/>
      <c r="B1462" s="22"/>
      <c r="C1462" s="26" t="str">
        <f aca="false">IF(A1462="","",IFERROR(buscarx(A1462&amp;B1462,DATA!$E$3:$E$10000&amp;DATA!$B$3:$B$10000,DATA!$M$3:$M$10000),"No encontrado"))</f>
        <v/>
      </c>
      <c r="D1462" s="27" t="str">
        <f aca="false">IF(A1462="","",IFERROR(buscarx(A1462&amp;B1462,DATA!$E$3:$E$10000&amp;DATA!$B$3:$B$10000,DATA!$W$3:$W$10000),"No encontrado"))</f>
        <v/>
      </c>
      <c r="E1462" s="22"/>
      <c r="F1462" s="26" t="str">
        <f aca="false">IF(A1462="","",IFERROR(buscarx(A1462&amp;E1462,DATA!$E$3:$E$10000&amp;DATA!$B$3:$B$10000,DATA!$M$3:$M$10000),"Inactivo"))</f>
        <v/>
      </c>
      <c r="G1462" s="28" t="str">
        <f aca="false">IF(A1462="","",IF(AND(C1462&lt;&gt;"No encontrado",F1462&lt;&gt;"Inactivo"),C1462&amp;" → "&amp;F1462,"Sin transición"))</f>
        <v/>
      </c>
      <c r="H1462" s="26" t="str">
        <f aca="false">IF(A1462="","",IF(D1462="GCIA LINEA SERVICIO DIGITALIDAD Y VENTAS","Chats",IF(OR(D1462="GERENCIA INBOUND LÍNEAS SERVICIO Y VENTA",D1462="GERENCIA INBOUND LINEAS ESPECIALIZADAS"),"Llamadas","Otro")))</f>
        <v/>
      </c>
      <c r="I1462" s="26" t="str">
        <f aca="false">IF(A1462="","",IF(C1462="No encontrado","No","Sí"))</f>
        <v/>
      </c>
      <c r="J1462" s="26" t="str">
        <f aca="false">IF(A1462="","",IF(F1462="Inactivo","No","Sí"))</f>
        <v/>
      </c>
      <c r="K1462" s="26" t="str">
        <f aca="false">IF(A1462="","",IF(AND(I1462="Sí",J1462="Sí"),"Sí","No"))</f>
        <v/>
      </c>
    </row>
    <row r="1463" customFormat="false" ht="15" hidden="false" customHeight="false" outlineLevel="0" collapsed="false">
      <c r="A1463" s="22"/>
      <c r="B1463" s="22"/>
      <c r="C1463" s="23" t="str">
        <f aca="false">IF(A1463="","",IFERROR(buscarx(A1463&amp;B1463,DATA!$E$3:$E$10000&amp;DATA!$B$3:$B$10000,DATA!$M$3:$M$10000),"No encontrado"))</f>
        <v/>
      </c>
      <c r="D1463" s="24" t="str">
        <f aca="false">IF(A1463="","",IFERROR(buscarx(A1463&amp;B1463,DATA!$E$3:$E$10000&amp;DATA!$B$3:$B$10000,DATA!$W$3:$W$10000),"No encontrado"))</f>
        <v/>
      </c>
      <c r="E1463" s="22"/>
      <c r="F1463" s="23" t="str">
        <f aca="false">IF(A1463="","",IFERROR(buscarx(A1463&amp;E1463,DATA!$E$3:$E$10000&amp;DATA!$B$3:$B$10000,DATA!$M$3:$M$10000),"Inactivo"))</f>
        <v/>
      </c>
      <c r="G1463" s="25" t="str">
        <f aca="false">IF(A1463="","",IF(AND(C1463&lt;&gt;"No encontrado",F1463&lt;&gt;"Inactivo"),C1463&amp;" → "&amp;F1463,"Sin transición"))</f>
        <v/>
      </c>
      <c r="H1463" s="23" t="str">
        <f aca="false">IF(A1463="","",IF(D1463="GCIA LINEA SERVICIO DIGITALIDAD Y VENTAS","Chats",IF(OR(D1463="GERENCIA INBOUND LÍNEAS SERVICIO Y VENTA",D1463="GERENCIA INBOUND LINEAS ESPECIALIZADAS"),"Llamadas","Otro")))</f>
        <v/>
      </c>
      <c r="I1463" s="23" t="str">
        <f aca="false">IF(A1463="","",IF(C1463="No encontrado","No","Sí"))</f>
        <v/>
      </c>
      <c r="J1463" s="23" t="str">
        <f aca="false">IF(A1463="","",IF(F1463="Inactivo","No","Sí"))</f>
        <v/>
      </c>
      <c r="K1463" s="23" t="str">
        <f aca="false">IF(A1463="","",IF(AND(I1463="Sí",J1463="Sí"),"Sí","No"))</f>
        <v/>
      </c>
    </row>
    <row r="1464" customFormat="false" ht="15" hidden="false" customHeight="false" outlineLevel="0" collapsed="false">
      <c r="A1464" s="22"/>
      <c r="B1464" s="22"/>
      <c r="C1464" s="26" t="str">
        <f aca="false">IF(A1464="","",IFERROR(buscarx(A1464&amp;B1464,DATA!$E$3:$E$10000&amp;DATA!$B$3:$B$10000,DATA!$M$3:$M$10000),"No encontrado"))</f>
        <v/>
      </c>
      <c r="D1464" s="27" t="str">
        <f aca="false">IF(A1464="","",IFERROR(buscarx(A1464&amp;B1464,DATA!$E$3:$E$10000&amp;DATA!$B$3:$B$10000,DATA!$W$3:$W$10000),"No encontrado"))</f>
        <v/>
      </c>
      <c r="E1464" s="22"/>
      <c r="F1464" s="26" t="str">
        <f aca="false">IF(A1464="","",IFERROR(buscarx(A1464&amp;E1464,DATA!$E$3:$E$10000&amp;DATA!$B$3:$B$10000,DATA!$M$3:$M$10000),"Inactivo"))</f>
        <v/>
      </c>
      <c r="G1464" s="28" t="str">
        <f aca="false">IF(A1464="","",IF(AND(C1464&lt;&gt;"No encontrado",F1464&lt;&gt;"Inactivo"),C1464&amp;" → "&amp;F1464,"Sin transición"))</f>
        <v/>
      </c>
      <c r="H1464" s="26" t="str">
        <f aca="false">IF(A1464="","",IF(D1464="GCIA LINEA SERVICIO DIGITALIDAD Y VENTAS","Chats",IF(OR(D1464="GERENCIA INBOUND LÍNEAS SERVICIO Y VENTA",D1464="GERENCIA INBOUND LINEAS ESPECIALIZADAS"),"Llamadas","Otro")))</f>
        <v/>
      </c>
      <c r="I1464" s="26" t="str">
        <f aca="false">IF(A1464="","",IF(C1464="No encontrado","No","Sí"))</f>
        <v/>
      </c>
      <c r="J1464" s="26" t="str">
        <f aca="false">IF(A1464="","",IF(F1464="Inactivo","No","Sí"))</f>
        <v/>
      </c>
      <c r="K1464" s="26" t="str">
        <f aca="false">IF(A1464="","",IF(AND(I1464="Sí",J1464="Sí"),"Sí","No"))</f>
        <v/>
      </c>
    </row>
    <row r="1465" customFormat="false" ht="15" hidden="false" customHeight="false" outlineLevel="0" collapsed="false">
      <c r="A1465" s="22"/>
      <c r="B1465" s="22"/>
      <c r="C1465" s="23" t="str">
        <f aca="false">IF(A1465="","",IFERROR(buscarx(A1465&amp;B1465,DATA!$E$3:$E$10000&amp;DATA!$B$3:$B$10000,DATA!$M$3:$M$10000),"No encontrado"))</f>
        <v/>
      </c>
      <c r="D1465" s="24" t="str">
        <f aca="false">IF(A1465="","",IFERROR(buscarx(A1465&amp;B1465,DATA!$E$3:$E$10000&amp;DATA!$B$3:$B$10000,DATA!$W$3:$W$10000),"No encontrado"))</f>
        <v/>
      </c>
      <c r="E1465" s="22"/>
      <c r="F1465" s="23" t="str">
        <f aca="false">IF(A1465="","",IFERROR(buscarx(A1465&amp;E1465,DATA!$E$3:$E$10000&amp;DATA!$B$3:$B$10000,DATA!$M$3:$M$10000),"Inactivo"))</f>
        <v/>
      </c>
      <c r="G1465" s="25" t="str">
        <f aca="false">IF(A1465="","",IF(AND(C1465&lt;&gt;"No encontrado",F1465&lt;&gt;"Inactivo"),C1465&amp;" → "&amp;F1465,"Sin transición"))</f>
        <v/>
      </c>
      <c r="H1465" s="23" t="str">
        <f aca="false">IF(A1465="","",IF(D1465="GCIA LINEA SERVICIO DIGITALIDAD Y VENTAS","Chats",IF(OR(D1465="GERENCIA INBOUND LÍNEAS SERVICIO Y VENTA",D1465="GERENCIA INBOUND LINEAS ESPECIALIZADAS"),"Llamadas","Otro")))</f>
        <v/>
      </c>
      <c r="I1465" s="23" t="str">
        <f aca="false">IF(A1465="","",IF(C1465="No encontrado","No","Sí"))</f>
        <v/>
      </c>
      <c r="J1465" s="23" t="str">
        <f aca="false">IF(A1465="","",IF(F1465="Inactivo","No","Sí"))</f>
        <v/>
      </c>
      <c r="K1465" s="23" t="str">
        <f aca="false">IF(A1465="","",IF(AND(I1465="Sí",J1465="Sí"),"Sí","No"))</f>
        <v/>
      </c>
    </row>
    <row r="1466" customFormat="false" ht="15" hidden="false" customHeight="false" outlineLevel="0" collapsed="false">
      <c r="A1466" s="22"/>
      <c r="B1466" s="22"/>
      <c r="C1466" s="26" t="str">
        <f aca="false">IF(A1466="","",IFERROR(buscarx(A1466&amp;B1466,DATA!$E$3:$E$10000&amp;DATA!$B$3:$B$10000,DATA!$M$3:$M$10000),"No encontrado"))</f>
        <v/>
      </c>
      <c r="D1466" s="27" t="str">
        <f aca="false">IF(A1466="","",IFERROR(buscarx(A1466&amp;B1466,DATA!$E$3:$E$10000&amp;DATA!$B$3:$B$10000,DATA!$W$3:$W$10000),"No encontrado"))</f>
        <v/>
      </c>
      <c r="E1466" s="22"/>
      <c r="F1466" s="26" t="str">
        <f aca="false">IF(A1466="","",IFERROR(buscarx(A1466&amp;E1466,DATA!$E$3:$E$10000&amp;DATA!$B$3:$B$10000,DATA!$M$3:$M$10000),"Inactivo"))</f>
        <v/>
      </c>
      <c r="G1466" s="28" t="str">
        <f aca="false">IF(A1466="","",IF(AND(C1466&lt;&gt;"No encontrado",F1466&lt;&gt;"Inactivo"),C1466&amp;" → "&amp;F1466,"Sin transición"))</f>
        <v/>
      </c>
      <c r="H1466" s="26" t="str">
        <f aca="false">IF(A1466="","",IF(D1466="GCIA LINEA SERVICIO DIGITALIDAD Y VENTAS","Chats",IF(OR(D1466="GERENCIA INBOUND LÍNEAS SERVICIO Y VENTA",D1466="GERENCIA INBOUND LINEAS ESPECIALIZADAS"),"Llamadas","Otro")))</f>
        <v/>
      </c>
      <c r="I1466" s="26" t="str">
        <f aca="false">IF(A1466="","",IF(C1466="No encontrado","No","Sí"))</f>
        <v/>
      </c>
      <c r="J1466" s="26" t="str">
        <f aca="false">IF(A1466="","",IF(F1466="Inactivo","No","Sí"))</f>
        <v/>
      </c>
      <c r="K1466" s="26" t="str">
        <f aca="false">IF(A1466="","",IF(AND(I1466="Sí",J1466="Sí"),"Sí","No"))</f>
        <v/>
      </c>
    </row>
    <row r="1467" customFormat="false" ht="15" hidden="false" customHeight="false" outlineLevel="0" collapsed="false">
      <c r="A1467" s="22"/>
      <c r="B1467" s="22"/>
      <c r="C1467" s="23" t="str">
        <f aca="false">IF(A1467="","",IFERROR(buscarx(A1467&amp;B1467,DATA!$E$3:$E$10000&amp;DATA!$B$3:$B$10000,DATA!$M$3:$M$10000),"No encontrado"))</f>
        <v/>
      </c>
      <c r="D1467" s="24" t="str">
        <f aca="false">IF(A1467="","",IFERROR(buscarx(A1467&amp;B1467,DATA!$E$3:$E$10000&amp;DATA!$B$3:$B$10000,DATA!$W$3:$W$10000),"No encontrado"))</f>
        <v/>
      </c>
      <c r="E1467" s="22"/>
      <c r="F1467" s="23" t="str">
        <f aca="false">IF(A1467="","",IFERROR(buscarx(A1467&amp;E1467,DATA!$E$3:$E$10000&amp;DATA!$B$3:$B$10000,DATA!$M$3:$M$10000),"Inactivo"))</f>
        <v/>
      </c>
      <c r="G1467" s="25" t="str">
        <f aca="false">IF(A1467="","",IF(AND(C1467&lt;&gt;"No encontrado",F1467&lt;&gt;"Inactivo"),C1467&amp;" → "&amp;F1467,"Sin transición"))</f>
        <v/>
      </c>
      <c r="H1467" s="23" t="str">
        <f aca="false">IF(A1467="","",IF(D1467="GCIA LINEA SERVICIO DIGITALIDAD Y VENTAS","Chats",IF(OR(D1467="GERENCIA INBOUND LÍNEAS SERVICIO Y VENTA",D1467="GERENCIA INBOUND LINEAS ESPECIALIZADAS"),"Llamadas","Otro")))</f>
        <v/>
      </c>
      <c r="I1467" s="23" t="str">
        <f aca="false">IF(A1467="","",IF(C1467="No encontrado","No","Sí"))</f>
        <v/>
      </c>
      <c r="J1467" s="23" t="str">
        <f aca="false">IF(A1467="","",IF(F1467="Inactivo","No","Sí"))</f>
        <v/>
      </c>
      <c r="K1467" s="23" t="str">
        <f aca="false">IF(A1467="","",IF(AND(I1467="Sí",J1467="Sí"),"Sí","No"))</f>
        <v/>
      </c>
    </row>
    <row r="1468" customFormat="false" ht="15" hidden="false" customHeight="false" outlineLevel="0" collapsed="false">
      <c r="A1468" s="22"/>
      <c r="B1468" s="22"/>
      <c r="C1468" s="26" t="str">
        <f aca="false">IF(A1468="","",IFERROR(buscarx(A1468&amp;B1468,DATA!$E$3:$E$10000&amp;DATA!$B$3:$B$10000,DATA!$M$3:$M$10000),"No encontrado"))</f>
        <v/>
      </c>
      <c r="D1468" s="27" t="str">
        <f aca="false">IF(A1468="","",IFERROR(buscarx(A1468&amp;B1468,DATA!$E$3:$E$10000&amp;DATA!$B$3:$B$10000,DATA!$W$3:$W$10000),"No encontrado"))</f>
        <v/>
      </c>
      <c r="E1468" s="22"/>
      <c r="F1468" s="26" t="str">
        <f aca="false">IF(A1468="","",IFERROR(buscarx(A1468&amp;E1468,DATA!$E$3:$E$10000&amp;DATA!$B$3:$B$10000,DATA!$M$3:$M$10000),"Inactivo"))</f>
        <v/>
      </c>
      <c r="G1468" s="28" t="str">
        <f aca="false">IF(A1468="","",IF(AND(C1468&lt;&gt;"No encontrado",F1468&lt;&gt;"Inactivo"),C1468&amp;" → "&amp;F1468,"Sin transición"))</f>
        <v/>
      </c>
      <c r="H1468" s="26" t="str">
        <f aca="false">IF(A1468="","",IF(D1468="GCIA LINEA SERVICIO DIGITALIDAD Y VENTAS","Chats",IF(OR(D1468="GERENCIA INBOUND LÍNEAS SERVICIO Y VENTA",D1468="GERENCIA INBOUND LINEAS ESPECIALIZADAS"),"Llamadas","Otro")))</f>
        <v/>
      </c>
      <c r="I1468" s="26" t="str">
        <f aca="false">IF(A1468="","",IF(C1468="No encontrado","No","Sí"))</f>
        <v/>
      </c>
      <c r="J1468" s="26" t="str">
        <f aca="false">IF(A1468="","",IF(F1468="Inactivo","No","Sí"))</f>
        <v/>
      </c>
      <c r="K1468" s="26" t="str">
        <f aca="false">IF(A1468="","",IF(AND(I1468="Sí",J1468="Sí"),"Sí","No"))</f>
        <v/>
      </c>
    </row>
    <row r="1469" customFormat="false" ht="15" hidden="false" customHeight="false" outlineLevel="0" collapsed="false">
      <c r="A1469" s="22"/>
      <c r="B1469" s="22"/>
      <c r="C1469" s="23" t="str">
        <f aca="false">IF(A1469="","",IFERROR(buscarx(A1469&amp;B1469,DATA!$E$3:$E$10000&amp;DATA!$B$3:$B$10000,DATA!$M$3:$M$10000),"No encontrado"))</f>
        <v/>
      </c>
      <c r="D1469" s="24" t="str">
        <f aca="false">IF(A1469="","",IFERROR(buscarx(A1469&amp;B1469,DATA!$E$3:$E$10000&amp;DATA!$B$3:$B$10000,DATA!$W$3:$W$10000),"No encontrado"))</f>
        <v/>
      </c>
      <c r="E1469" s="22"/>
      <c r="F1469" s="23" t="str">
        <f aca="false">IF(A1469="","",IFERROR(buscarx(A1469&amp;E1469,DATA!$E$3:$E$10000&amp;DATA!$B$3:$B$10000,DATA!$M$3:$M$10000),"Inactivo"))</f>
        <v/>
      </c>
      <c r="G1469" s="25" t="str">
        <f aca="false">IF(A1469="","",IF(AND(C1469&lt;&gt;"No encontrado",F1469&lt;&gt;"Inactivo"),C1469&amp;" → "&amp;F1469,"Sin transición"))</f>
        <v/>
      </c>
      <c r="H1469" s="23" t="str">
        <f aca="false">IF(A1469="","",IF(D1469="GCIA LINEA SERVICIO DIGITALIDAD Y VENTAS","Chats",IF(OR(D1469="GERENCIA INBOUND LÍNEAS SERVICIO Y VENTA",D1469="GERENCIA INBOUND LINEAS ESPECIALIZADAS"),"Llamadas","Otro")))</f>
        <v/>
      </c>
      <c r="I1469" s="23" t="str">
        <f aca="false">IF(A1469="","",IF(C1469="No encontrado","No","Sí"))</f>
        <v/>
      </c>
      <c r="J1469" s="23" t="str">
        <f aca="false">IF(A1469="","",IF(F1469="Inactivo","No","Sí"))</f>
        <v/>
      </c>
      <c r="K1469" s="23" t="str">
        <f aca="false">IF(A1469="","",IF(AND(I1469="Sí",J1469="Sí"),"Sí","No"))</f>
        <v/>
      </c>
    </row>
    <row r="1470" customFormat="false" ht="15" hidden="false" customHeight="false" outlineLevel="0" collapsed="false">
      <c r="A1470" s="22"/>
      <c r="B1470" s="22"/>
      <c r="C1470" s="26" t="str">
        <f aca="false">IF(A1470="","",IFERROR(buscarx(A1470&amp;B1470,DATA!$E$3:$E$10000&amp;DATA!$B$3:$B$10000,DATA!$M$3:$M$10000),"No encontrado"))</f>
        <v/>
      </c>
      <c r="D1470" s="27" t="str">
        <f aca="false">IF(A1470="","",IFERROR(buscarx(A1470&amp;B1470,DATA!$E$3:$E$10000&amp;DATA!$B$3:$B$10000,DATA!$W$3:$W$10000),"No encontrado"))</f>
        <v/>
      </c>
      <c r="E1470" s="22"/>
      <c r="F1470" s="26" t="str">
        <f aca="false">IF(A1470="","",IFERROR(buscarx(A1470&amp;E1470,DATA!$E$3:$E$10000&amp;DATA!$B$3:$B$10000,DATA!$M$3:$M$10000),"Inactivo"))</f>
        <v/>
      </c>
      <c r="G1470" s="28" t="str">
        <f aca="false">IF(A1470="","",IF(AND(C1470&lt;&gt;"No encontrado",F1470&lt;&gt;"Inactivo"),C1470&amp;" → "&amp;F1470,"Sin transición"))</f>
        <v/>
      </c>
      <c r="H1470" s="26" t="str">
        <f aca="false">IF(A1470="","",IF(D1470="GCIA LINEA SERVICIO DIGITALIDAD Y VENTAS","Chats",IF(OR(D1470="GERENCIA INBOUND LÍNEAS SERVICIO Y VENTA",D1470="GERENCIA INBOUND LINEAS ESPECIALIZADAS"),"Llamadas","Otro")))</f>
        <v/>
      </c>
      <c r="I1470" s="26" t="str">
        <f aca="false">IF(A1470="","",IF(C1470="No encontrado","No","Sí"))</f>
        <v/>
      </c>
      <c r="J1470" s="26" t="str">
        <f aca="false">IF(A1470="","",IF(F1470="Inactivo","No","Sí"))</f>
        <v/>
      </c>
      <c r="K1470" s="26" t="str">
        <f aca="false">IF(A1470="","",IF(AND(I1470="Sí",J1470="Sí"),"Sí","No"))</f>
        <v/>
      </c>
    </row>
    <row r="1471" customFormat="false" ht="15" hidden="false" customHeight="false" outlineLevel="0" collapsed="false">
      <c r="A1471" s="22"/>
      <c r="B1471" s="22"/>
      <c r="C1471" s="23" t="str">
        <f aca="false">IF(A1471="","",IFERROR(buscarx(A1471&amp;B1471,DATA!$E$3:$E$10000&amp;DATA!$B$3:$B$10000,DATA!$M$3:$M$10000),"No encontrado"))</f>
        <v/>
      </c>
      <c r="D1471" s="24" t="str">
        <f aca="false">IF(A1471="","",IFERROR(buscarx(A1471&amp;B1471,DATA!$E$3:$E$10000&amp;DATA!$B$3:$B$10000,DATA!$W$3:$W$10000),"No encontrado"))</f>
        <v/>
      </c>
      <c r="E1471" s="22"/>
      <c r="F1471" s="23" t="str">
        <f aca="false">IF(A1471="","",IFERROR(buscarx(A1471&amp;E1471,DATA!$E$3:$E$10000&amp;DATA!$B$3:$B$10000,DATA!$M$3:$M$10000),"Inactivo"))</f>
        <v/>
      </c>
      <c r="G1471" s="25" t="str">
        <f aca="false">IF(A1471="","",IF(AND(C1471&lt;&gt;"No encontrado",F1471&lt;&gt;"Inactivo"),C1471&amp;" → "&amp;F1471,"Sin transición"))</f>
        <v/>
      </c>
      <c r="H1471" s="23" t="str">
        <f aca="false">IF(A1471="","",IF(D1471="GCIA LINEA SERVICIO DIGITALIDAD Y VENTAS","Chats",IF(OR(D1471="GERENCIA INBOUND LÍNEAS SERVICIO Y VENTA",D1471="GERENCIA INBOUND LINEAS ESPECIALIZADAS"),"Llamadas","Otro")))</f>
        <v/>
      </c>
      <c r="I1471" s="23" t="str">
        <f aca="false">IF(A1471="","",IF(C1471="No encontrado","No","Sí"))</f>
        <v/>
      </c>
      <c r="J1471" s="23" t="str">
        <f aca="false">IF(A1471="","",IF(F1471="Inactivo","No","Sí"))</f>
        <v/>
      </c>
      <c r="K1471" s="23" t="str">
        <f aca="false">IF(A1471="","",IF(AND(I1471="Sí",J1471="Sí"),"Sí","No"))</f>
        <v/>
      </c>
    </row>
    <row r="1472" customFormat="false" ht="15" hidden="false" customHeight="false" outlineLevel="0" collapsed="false">
      <c r="A1472" s="22"/>
      <c r="B1472" s="22"/>
      <c r="C1472" s="26" t="str">
        <f aca="false">IF(A1472="","",IFERROR(buscarx(A1472&amp;B1472,DATA!$E$3:$E$10000&amp;DATA!$B$3:$B$10000,DATA!$M$3:$M$10000),"No encontrado"))</f>
        <v/>
      </c>
      <c r="D1472" s="27" t="str">
        <f aca="false">IF(A1472="","",IFERROR(buscarx(A1472&amp;B1472,DATA!$E$3:$E$10000&amp;DATA!$B$3:$B$10000,DATA!$W$3:$W$10000),"No encontrado"))</f>
        <v/>
      </c>
      <c r="E1472" s="22"/>
      <c r="F1472" s="26" t="str">
        <f aca="false">IF(A1472="","",IFERROR(buscarx(A1472&amp;E1472,DATA!$E$3:$E$10000&amp;DATA!$B$3:$B$10000,DATA!$M$3:$M$10000),"Inactivo"))</f>
        <v/>
      </c>
      <c r="G1472" s="28" t="str">
        <f aca="false">IF(A1472="","",IF(AND(C1472&lt;&gt;"No encontrado",F1472&lt;&gt;"Inactivo"),C1472&amp;" → "&amp;F1472,"Sin transición"))</f>
        <v/>
      </c>
      <c r="H1472" s="26" t="str">
        <f aca="false">IF(A1472="","",IF(D1472="GCIA LINEA SERVICIO DIGITALIDAD Y VENTAS","Chats",IF(OR(D1472="GERENCIA INBOUND LÍNEAS SERVICIO Y VENTA",D1472="GERENCIA INBOUND LINEAS ESPECIALIZADAS"),"Llamadas","Otro")))</f>
        <v/>
      </c>
      <c r="I1472" s="26" t="str">
        <f aca="false">IF(A1472="","",IF(C1472="No encontrado","No","Sí"))</f>
        <v/>
      </c>
      <c r="J1472" s="26" t="str">
        <f aca="false">IF(A1472="","",IF(F1472="Inactivo","No","Sí"))</f>
        <v/>
      </c>
      <c r="K1472" s="26" t="str">
        <f aca="false">IF(A1472="","",IF(AND(I1472="Sí",J1472="Sí"),"Sí","No"))</f>
        <v/>
      </c>
    </row>
    <row r="1473" customFormat="false" ht="15" hidden="false" customHeight="false" outlineLevel="0" collapsed="false">
      <c r="A1473" s="22"/>
      <c r="B1473" s="22"/>
      <c r="C1473" s="23" t="str">
        <f aca="false">IF(A1473="","",IFERROR(buscarx(A1473&amp;B1473,DATA!$E$3:$E$10000&amp;DATA!$B$3:$B$10000,DATA!$M$3:$M$10000),"No encontrado"))</f>
        <v/>
      </c>
      <c r="D1473" s="24" t="str">
        <f aca="false">IF(A1473="","",IFERROR(buscarx(A1473&amp;B1473,DATA!$E$3:$E$10000&amp;DATA!$B$3:$B$10000,DATA!$W$3:$W$10000),"No encontrado"))</f>
        <v/>
      </c>
      <c r="E1473" s="22"/>
      <c r="F1473" s="23" t="str">
        <f aca="false">IF(A1473="","",IFERROR(buscarx(A1473&amp;E1473,DATA!$E$3:$E$10000&amp;DATA!$B$3:$B$10000,DATA!$M$3:$M$10000),"Inactivo"))</f>
        <v/>
      </c>
      <c r="G1473" s="25" t="str">
        <f aca="false">IF(A1473="","",IF(AND(C1473&lt;&gt;"No encontrado",F1473&lt;&gt;"Inactivo"),C1473&amp;" → "&amp;F1473,"Sin transición"))</f>
        <v/>
      </c>
      <c r="H1473" s="23" t="str">
        <f aca="false">IF(A1473="","",IF(D1473="GCIA LINEA SERVICIO DIGITALIDAD Y VENTAS","Chats",IF(OR(D1473="GERENCIA INBOUND LÍNEAS SERVICIO Y VENTA",D1473="GERENCIA INBOUND LINEAS ESPECIALIZADAS"),"Llamadas","Otro")))</f>
        <v/>
      </c>
      <c r="I1473" s="23" t="str">
        <f aca="false">IF(A1473="","",IF(C1473="No encontrado","No","Sí"))</f>
        <v/>
      </c>
      <c r="J1473" s="23" t="str">
        <f aca="false">IF(A1473="","",IF(F1473="Inactivo","No","Sí"))</f>
        <v/>
      </c>
      <c r="K1473" s="23" t="str">
        <f aca="false">IF(A1473="","",IF(AND(I1473="Sí",J1473="Sí"),"Sí","No"))</f>
        <v/>
      </c>
    </row>
    <row r="1474" customFormat="false" ht="15" hidden="false" customHeight="false" outlineLevel="0" collapsed="false">
      <c r="A1474" s="22"/>
      <c r="B1474" s="22"/>
      <c r="C1474" s="26" t="str">
        <f aca="false">IF(A1474="","",IFERROR(buscarx(A1474&amp;B1474,DATA!$E$3:$E$10000&amp;DATA!$B$3:$B$10000,DATA!$M$3:$M$10000),"No encontrado"))</f>
        <v/>
      </c>
      <c r="D1474" s="27" t="str">
        <f aca="false">IF(A1474="","",IFERROR(buscarx(A1474&amp;B1474,DATA!$E$3:$E$10000&amp;DATA!$B$3:$B$10000,DATA!$W$3:$W$10000),"No encontrado"))</f>
        <v/>
      </c>
      <c r="E1474" s="22"/>
      <c r="F1474" s="26" t="str">
        <f aca="false">IF(A1474="","",IFERROR(buscarx(A1474&amp;E1474,DATA!$E$3:$E$10000&amp;DATA!$B$3:$B$10000,DATA!$M$3:$M$10000),"Inactivo"))</f>
        <v/>
      </c>
      <c r="G1474" s="28" t="str">
        <f aca="false">IF(A1474="","",IF(AND(C1474&lt;&gt;"No encontrado",F1474&lt;&gt;"Inactivo"),C1474&amp;" → "&amp;F1474,"Sin transición"))</f>
        <v/>
      </c>
      <c r="H1474" s="26" t="str">
        <f aca="false">IF(A1474="","",IF(D1474="GCIA LINEA SERVICIO DIGITALIDAD Y VENTAS","Chats",IF(OR(D1474="GERENCIA INBOUND LÍNEAS SERVICIO Y VENTA",D1474="GERENCIA INBOUND LINEAS ESPECIALIZADAS"),"Llamadas","Otro")))</f>
        <v/>
      </c>
      <c r="I1474" s="26" t="str">
        <f aca="false">IF(A1474="","",IF(C1474="No encontrado","No","Sí"))</f>
        <v/>
      </c>
      <c r="J1474" s="26" t="str">
        <f aca="false">IF(A1474="","",IF(F1474="Inactivo","No","Sí"))</f>
        <v/>
      </c>
      <c r="K1474" s="26" t="str">
        <f aca="false">IF(A1474="","",IF(AND(I1474="Sí",J1474="Sí"),"Sí","No"))</f>
        <v/>
      </c>
    </row>
    <row r="1475" customFormat="false" ht="15" hidden="false" customHeight="false" outlineLevel="0" collapsed="false">
      <c r="A1475" s="22"/>
      <c r="B1475" s="22"/>
      <c r="C1475" s="23" t="str">
        <f aca="false">IF(A1475="","",IFERROR(buscarx(A1475&amp;B1475,DATA!$E$3:$E$10000&amp;DATA!$B$3:$B$10000,DATA!$M$3:$M$10000),"No encontrado"))</f>
        <v/>
      </c>
      <c r="D1475" s="24" t="str">
        <f aca="false">IF(A1475="","",IFERROR(buscarx(A1475&amp;B1475,DATA!$E$3:$E$10000&amp;DATA!$B$3:$B$10000,DATA!$W$3:$W$10000),"No encontrado"))</f>
        <v/>
      </c>
      <c r="E1475" s="22"/>
      <c r="F1475" s="23" t="str">
        <f aca="false">IF(A1475="","",IFERROR(buscarx(A1475&amp;E1475,DATA!$E$3:$E$10000&amp;DATA!$B$3:$B$10000,DATA!$M$3:$M$10000),"Inactivo"))</f>
        <v/>
      </c>
      <c r="G1475" s="25" t="str">
        <f aca="false">IF(A1475="","",IF(AND(C1475&lt;&gt;"No encontrado",F1475&lt;&gt;"Inactivo"),C1475&amp;" → "&amp;F1475,"Sin transición"))</f>
        <v/>
      </c>
      <c r="H1475" s="23" t="str">
        <f aca="false">IF(A1475="","",IF(D1475="GCIA LINEA SERVICIO DIGITALIDAD Y VENTAS","Chats",IF(OR(D1475="GERENCIA INBOUND LÍNEAS SERVICIO Y VENTA",D1475="GERENCIA INBOUND LINEAS ESPECIALIZADAS"),"Llamadas","Otro")))</f>
        <v/>
      </c>
      <c r="I1475" s="23" t="str">
        <f aca="false">IF(A1475="","",IF(C1475="No encontrado","No","Sí"))</f>
        <v/>
      </c>
      <c r="J1475" s="23" t="str">
        <f aca="false">IF(A1475="","",IF(F1475="Inactivo","No","Sí"))</f>
        <v/>
      </c>
      <c r="K1475" s="23" t="str">
        <f aca="false">IF(A1475="","",IF(AND(I1475="Sí",J1475="Sí"),"Sí","No"))</f>
        <v/>
      </c>
    </row>
    <row r="1476" customFormat="false" ht="15" hidden="false" customHeight="false" outlineLevel="0" collapsed="false">
      <c r="A1476" s="22"/>
      <c r="B1476" s="22"/>
      <c r="C1476" s="26" t="str">
        <f aca="false">IF(A1476="","",IFERROR(buscarx(A1476&amp;B1476,DATA!$E$3:$E$10000&amp;DATA!$B$3:$B$10000,DATA!$M$3:$M$10000),"No encontrado"))</f>
        <v/>
      </c>
      <c r="D1476" s="27" t="str">
        <f aca="false">IF(A1476="","",IFERROR(buscarx(A1476&amp;B1476,DATA!$E$3:$E$10000&amp;DATA!$B$3:$B$10000,DATA!$W$3:$W$10000),"No encontrado"))</f>
        <v/>
      </c>
      <c r="E1476" s="22"/>
      <c r="F1476" s="26" t="str">
        <f aca="false">IF(A1476="","",IFERROR(buscarx(A1476&amp;E1476,DATA!$E$3:$E$10000&amp;DATA!$B$3:$B$10000,DATA!$M$3:$M$10000),"Inactivo"))</f>
        <v/>
      </c>
      <c r="G1476" s="28" t="str">
        <f aca="false">IF(A1476="","",IF(AND(C1476&lt;&gt;"No encontrado",F1476&lt;&gt;"Inactivo"),C1476&amp;" → "&amp;F1476,"Sin transición"))</f>
        <v/>
      </c>
      <c r="H1476" s="26" t="str">
        <f aca="false">IF(A1476="","",IF(D1476="GCIA LINEA SERVICIO DIGITALIDAD Y VENTAS","Chats",IF(OR(D1476="GERENCIA INBOUND LÍNEAS SERVICIO Y VENTA",D1476="GERENCIA INBOUND LINEAS ESPECIALIZADAS"),"Llamadas","Otro")))</f>
        <v/>
      </c>
      <c r="I1476" s="26" t="str">
        <f aca="false">IF(A1476="","",IF(C1476="No encontrado","No","Sí"))</f>
        <v/>
      </c>
      <c r="J1476" s="26" t="str">
        <f aca="false">IF(A1476="","",IF(F1476="Inactivo","No","Sí"))</f>
        <v/>
      </c>
      <c r="K1476" s="26" t="str">
        <f aca="false">IF(A1476="","",IF(AND(I1476="Sí",J1476="Sí"),"Sí","No"))</f>
        <v/>
      </c>
    </row>
    <row r="1477" customFormat="false" ht="15" hidden="false" customHeight="false" outlineLevel="0" collapsed="false">
      <c r="A1477" s="22"/>
      <c r="B1477" s="22"/>
      <c r="C1477" s="23" t="str">
        <f aca="false">IF(A1477="","",IFERROR(buscarx(A1477&amp;B1477,DATA!$E$3:$E$10000&amp;DATA!$B$3:$B$10000,DATA!$M$3:$M$10000),"No encontrado"))</f>
        <v/>
      </c>
      <c r="D1477" s="24" t="str">
        <f aca="false">IF(A1477="","",IFERROR(buscarx(A1477&amp;B1477,DATA!$E$3:$E$10000&amp;DATA!$B$3:$B$10000,DATA!$W$3:$W$10000),"No encontrado"))</f>
        <v/>
      </c>
      <c r="E1477" s="22"/>
      <c r="F1477" s="23" t="str">
        <f aca="false">IF(A1477="","",IFERROR(buscarx(A1477&amp;E1477,DATA!$E$3:$E$10000&amp;DATA!$B$3:$B$10000,DATA!$M$3:$M$10000),"Inactivo"))</f>
        <v/>
      </c>
      <c r="G1477" s="25" t="str">
        <f aca="false">IF(A1477="","",IF(AND(C1477&lt;&gt;"No encontrado",F1477&lt;&gt;"Inactivo"),C1477&amp;" → "&amp;F1477,"Sin transición"))</f>
        <v/>
      </c>
      <c r="H1477" s="23" t="str">
        <f aca="false">IF(A1477="","",IF(D1477="GCIA LINEA SERVICIO DIGITALIDAD Y VENTAS","Chats",IF(OR(D1477="GERENCIA INBOUND LÍNEAS SERVICIO Y VENTA",D1477="GERENCIA INBOUND LINEAS ESPECIALIZADAS"),"Llamadas","Otro")))</f>
        <v/>
      </c>
      <c r="I1477" s="23" t="str">
        <f aca="false">IF(A1477="","",IF(C1477="No encontrado","No","Sí"))</f>
        <v/>
      </c>
      <c r="J1477" s="23" t="str">
        <f aca="false">IF(A1477="","",IF(F1477="Inactivo","No","Sí"))</f>
        <v/>
      </c>
      <c r="K1477" s="23" t="str">
        <f aca="false">IF(A1477="","",IF(AND(I1477="Sí",J1477="Sí"),"Sí","No"))</f>
        <v/>
      </c>
    </row>
    <row r="1478" customFormat="false" ht="15" hidden="false" customHeight="false" outlineLevel="0" collapsed="false">
      <c r="A1478" s="22"/>
      <c r="B1478" s="22"/>
      <c r="C1478" s="26" t="str">
        <f aca="false">IF(A1478="","",IFERROR(buscarx(A1478&amp;B1478,DATA!$E$3:$E$10000&amp;DATA!$B$3:$B$10000,DATA!$M$3:$M$10000),"No encontrado"))</f>
        <v/>
      </c>
      <c r="D1478" s="27" t="str">
        <f aca="false">IF(A1478="","",IFERROR(buscarx(A1478&amp;B1478,DATA!$E$3:$E$10000&amp;DATA!$B$3:$B$10000,DATA!$W$3:$W$10000),"No encontrado"))</f>
        <v/>
      </c>
      <c r="E1478" s="22"/>
      <c r="F1478" s="26" t="str">
        <f aca="false">IF(A1478="","",IFERROR(buscarx(A1478&amp;E1478,DATA!$E$3:$E$10000&amp;DATA!$B$3:$B$10000,DATA!$M$3:$M$10000),"Inactivo"))</f>
        <v/>
      </c>
      <c r="G1478" s="28" t="str">
        <f aca="false">IF(A1478="","",IF(AND(C1478&lt;&gt;"No encontrado",F1478&lt;&gt;"Inactivo"),C1478&amp;" → "&amp;F1478,"Sin transición"))</f>
        <v/>
      </c>
      <c r="H1478" s="26" t="str">
        <f aca="false">IF(A1478="","",IF(D1478="GCIA LINEA SERVICIO DIGITALIDAD Y VENTAS","Chats",IF(OR(D1478="GERENCIA INBOUND LÍNEAS SERVICIO Y VENTA",D1478="GERENCIA INBOUND LINEAS ESPECIALIZADAS"),"Llamadas","Otro")))</f>
        <v/>
      </c>
      <c r="I1478" s="26" t="str">
        <f aca="false">IF(A1478="","",IF(C1478="No encontrado","No","Sí"))</f>
        <v/>
      </c>
      <c r="J1478" s="26" t="str">
        <f aca="false">IF(A1478="","",IF(F1478="Inactivo","No","Sí"))</f>
        <v/>
      </c>
      <c r="K1478" s="26" t="str">
        <f aca="false">IF(A1478="","",IF(AND(I1478="Sí",J1478="Sí"),"Sí","No"))</f>
        <v/>
      </c>
    </row>
    <row r="1479" customFormat="false" ht="15" hidden="false" customHeight="false" outlineLevel="0" collapsed="false">
      <c r="A1479" s="22"/>
      <c r="B1479" s="22"/>
      <c r="C1479" s="23" t="str">
        <f aca="false">IF(A1479="","",IFERROR(buscarx(A1479&amp;B1479,DATA!$E$3:$E$10000&amp;DATA!$B$3:$B$10000,DATA!$M$3:$M$10000),"No encontrado"))</f>
        <v/>
      </c>
      <c r="D1479" s="24" t="str">
        <f aca="false">IF(A1479="","",IFERROR(buscarx(A1479&amp;B1479,DATA!$E$3:$E$10000&amp;DATA!$B$3:$B$10000,DATA!$W$3:$W$10000),"No encontrado"))</f>
        <v/>
      </c>
      <c r="E1479" s="22"/>
      <c r="F1479" s="23" t="str">
        <f aca="false">IF(A1479="","",IFERROR(buscarx(A1479&amp;E1479,DATA!$E$3:$E$10000&amp;DATA!$B$3:$B$10000,DATA!$M$3:$M$10000),"Inactivo"))</f>
        <v/>
      </c>
      <c r="G1479" s="25" t="str">
        <f aca="false">IF(A1479="","",IF(AND(C1479&lt;&gt;"No encontrado",F1479&lt;&gt;"Inactivo"),C1479&amp;" → "&amp;F1479,"Sin transición"))</f>
        <v/>
      </c>
      <c r="H1479" s="23" t="str">
        <f aca="false">IF(A1479="","",IF(D1479="GCIA LINEA SERVICIO DIGITALIDAD Y VENTAS","Chats",IF(OR(D1479="GERENCIA INBOUND LÍNEAS SERVICIO Y VENTA",D1479="GERENCIA INBOUND LINEAS ESPECIALIZADAS"),"Llamadas","Otro")))</f>
        <v/>
      </c>
      <c r="I1479" s="23" t="str">
        <f aca="false">IF(A1479="","",IF(C1479="No encontrado","No","Sí"))</f>
        <v/>
      </c>
      <c r="J1479" s="23" t="str">
        <f aca="false">IF(A1479="","",IF(F1479="Inactivo","No","Sí"))</f>
        <v/>
      </c>
      <c r="K1479" s="23" t="str">
        <f aca="false">IF(A1479="","",IF(AND(I1479="Sí",J1479="Sí"),"Sí","No"))</f>
        <v/>
      </c>
    </row>
    <row r="1480" customFormat="false" ht="15" hidden="false" customHeight="false" outlineLevel="0" collapsed="false">
      <c r="A1480" s="22"/>
      <c r="B1480" s="22"/>
      <c r="C1480" s="26" t="str">
        <f aca="false">IF(A1480="","",IFERROR(buscarx(A1480&amp;B1480,DATA!$E$3:$E$10000&amp;DATA!$B$3:$B$10000,DATA!$M$3:$M$10000),"No encontrado"))</f>
        <v/>
      </c>
      <c r="D1480" s="27" t="str">
        <f aca="false">IF(A1480="","",IFERROR(buscarx(A1480&amp;B1480,DATA!$E$3:$E$10000&amp;DATA!$B$3:$B$10000,DATA!$W$3:$W$10000),"No encontrado"))</f>
        <v/>
      </c>
      <c r="E1480" s="22"/>
      <c r="F1480" s="26" t="str">
        <f aca="false">IF(A1480="","",IFERROR(buscarx(A1480&amp;E1480,DATA!$E$3:$E$10000&amp;DATA!$B$3:$B$10000,DATA!$M$3:$M$10000),"Inactivo"))</f>
        <v/>
      </c>
      <c r="G1480" s="28" t="str">
        <f aca="false">IF(A1480="","",IF(AND(C1480&lt;&gt;"No encontrado",F1480&lt;&gt;"Inactivo"),C1480&amp;" → "&amp;F1480,"Sin transición"))</f>
        <v/>
      </c>
      <c r="H1480" s="26" t="str">
        <f aca="false">IF(A1480="","",IF(D1480="GCIA LINEA SERVICIO DIGITALIDAD Y VENTAS","Chats",IF(OR(D1480="GERENCIA INBOUND LÍNEAS SERVICIO Y VENTA",D1480="GERENCIA INBOUND LINEAS ESPECIALIZADAS"),"Llamadas","Otro")))</f>
        <v/>
      </c>
      <c r="I1480" s="26" t="str">
        <f aca="false">IF(A1480="","",IF(C1480="No encontrado","No","Sí"))</f>
        <v/>
      </c>
      <c r="J1480" s="26" t="str">
        <f aca="false">IF(A1480="","",IF(F1480="Inactivo","No","Sí"))</f>
        <v/>
      </c>
      <c r="K1480" s="26" t="str">
        <f aca="false">IF(A1480="","",IF(AND(I1480="Sí",J1480="Sí"),"Sí","No"))</f>
        <v/>
      </c>
    </row>
    <row r="1481" customFormat="false" ht="15" hidden="false" customHeight="false" outlineLevel="0" collapsed="false">
      <c r="A1481" s="22"/>
      <c r="B1481" s="22"/>
      <c r="C1481" s="23" t="str">
        <f aca="false">IF(A1481="","",IFERROR(buscarx(A1481&amp;B1481,DATA!$E$3:$E$10000&amp;DATA!$B$3:$B$10000,DATA!$M$3:$M$10000),"No encontrado"))</f>
        <v/>
      </c>
      <c r="D1481" s="24" t="str">
        <f aca="false">IF(A1481="","",IFERROR(buscarx(A1481&amp;B1481,DATA!$E$3:$E$10000&amp;DATA!$B$3:$B$10000,DATA!$W$3:$W$10000),"No encontrado"))</f>
        <v/>
      </c>
      <c r="E1481" s="22"/>
      <c r="F1481" s="23" t="str">
        <f aca="false">IF(A1481="","",IFERROR(buscarx(A1481&amp;E1481,DATA!$E$3:$E$10000&amp;DATA!$B$3:$B$10000,DATA!$M$3:$M$10000),"Inactivo"))</f>
        <v/>
      </c>
      <c r="G1481" s="25" t="str">
        <f aca="false">IF(A1481="","",IF(AND(C1481&lt;&gt;"No encontrado",F1481&lt;&gt;"Inactivo"),C1481&amp;" → "&amp;F1481,"Sin transición"))</f>
        <v/>
      </c>
      <c r="H1481" s="23" t="str">
        <f aca="false">IF(A1481="","",IF(D1481="GCIA LINEA SERVICIO DIGITALIDAD Y VENTAS","Chats",IF(OR(D1481="GERENCIA INBOUND LÍNEAS SERVICIO Y VENTA",D1481="GERENCIA INBOUND LINEAS ESPECIALIZADAS"),"Llamadas","Otro")))</f>
        <v/>
      </c>
      <c r="I1481" s="23" t="str">
        <f aca="false">IF(A1481="","",IF(C1481="No encontrado","No","Sí"))</f>
        <v/>
      </c>
      <c r="J1481" s="23" t="str">
        <f aca="false">IF(A1481="","",IF(F1481="Inactivo","No","Sí"))</f>
        <v/>
      </c>
      <c r="K1481" s="23" t="str">
        <f aca="false">IF(A1481="","",IF(AND(I1481="Sí",J1481="Sí"),"Sí","No"))</f>
        <v/>
      </c>
    </row>
    <row r="1482" customFormat="false" ht="15" hidden="false" customHeight="false" outlineLevel="0" collapsed="false">
      <c r="A1482" s="22"/>
      <c r="B1482" s="22"/>
      <c r="C1482" s="26" t="str">
        <f aca="false">IF(A1482="","",IFERROR(buscarx(A1482&amp;B1482,DATA!$E$3:$E$10000&amp;DATA!$B$3:$B$10000,DATA!$M$3:$M$10000),"No encontrado"))</f>
        <v/>
      </c>
      <c r="D1482" s="27" t="str">
        <f aca="false">IF(A1482="","",IFERROR(buscarx(A1482&amp;B1482,DATA!$E$3:$E$10000&amp;DATA!$B$3:$B$10000,DATA!$W$3:$W$10000),"No encontrado"))</f>
        <v/>
      </c>
      <c r="E1482" s="22"/>
      <c r="F1482" s="26" t="str">
        <f aca="false">IF(A1482="","",IFERROR(buscarx(A1482&amp;E1482,DATA!$E$3:$E$10000&amp;DATA!$B$3:$B$10000,DATA!$M$3:$M$10000),"Inactivo"))</f>
        <v/>
      </c>
      <c r="G1482" s="28" t="str">
        <f aca="false">IF(A1482="","",IF(AND(C1482&lt;&gt;"No encontrado",F1482&lt;&gt;"Inactivo"),C1482&amp;" → "&amp;F1482,"Sin transición"))</f>
        <v/>
      </c>
      <c r="H1482" s="26" t="str">
        <f aca="false">IF(A1482="","",IF(D1482="GCIA LINEA SERVICIO DIGITALIDAD Y VENTAS","Chats",IF(OR(D1482="GERENCIA INBOUND LÍNEAS SERVICIO Y VENTA",D1482="GERENCIA INBOUND LINEAS ESPECIALIZADAS"),"Llamadas","Otro")))</f>
        <v/>
      </c>
      <c r="I1482" s="26" t="str">
        <f aca="false">IF(A1482="","",IF(C1482="No encontrado","No","Sí"))</f>
        <v/>
      </c>
      <c r="J1482" s="26" t="str">
        <f aca="false">IF(A1482="","",IF(F1482="Inactivo","No","Sí"))</f>
        <v/>
      </c>
      <c r="K1482" s="26" t="str">
        <f aca="false">IF(A1482="","",IF(AND(I1482="Sí",J1482="Sí"),"Sí","No"))</f>
        <v/>
      </c>
    </row>
    <row r="1483" customFormat="false" ht="15" hidden="false" customHeight="false" outlineLevel="0" collapsed="false">
      <c r="A1483" s="22"/>
      <c r="B1483" s="22"/>
      <c r="C1483" s="23" t="str">
        <f aca="false">IF(A1483="","",IFERROR(buscarx(A1483&amp;B1483,DATA!$E$3:$E$10000&amp;DATA!$B$3:$B$10000,DATA!$M$3:$M$10000),"No encontrado"))</f>
        <v/>
      </c>
      <c r="D1483" s="24" t="str">
        <f aca="false">IF(A1483="","",IFERROR(buscarx(A1483&amp;B1483,DATA!$E$3:$E$10000&amp;DATA!$B$3:$B$10000,DATA!$W$3:$W$10000),"No encontrado"))</f>
        <v/>
      </c>
      <c r="E1483" s="22"/>
      <c r="F1483" s="23" t="str">
        <f aca="false">IF(A1483="","",IFERROR(buscarx(A1483&amp;E1483,DATA!$E$3:$E$10000&amp;DATA!$B$3:$B$10000,DATA!$M$3:$M$10000),"Inactivo"))</f>
        <v/>
      </c>
      <c r="G1483" s="25" t="str">
        <f aca="false">IF(A1483="","",IF(AND(C1483&lt;&gt;"No encontrado",F1483&lt;&gt;"Inactivo"),C1483&amp;" → "&amp;F1483,"Sin transición"))</f>
        <v/>
      </c>
      <c r="H1483" s="23" t="str">
        <f aca="false">IF(A1483="","",IF(D1483="GCIA LINEA SERVICIO DIGITALIDAD Y VENTAS","Chats",IF(OR(D1483="GERENCIA INBOUND LÍNEAS SERVICIO Y VENTA",D1483="GERENCIA INBOUND LINEAS ESPECIALIZADAS"),"Llamadas","Otro")))</f>
        <v/>
      </c>
      <c r="I1483" s="23" t="str">
        <f aca="false">IF(A1483="","",IF(C1483="No encontrado","No","Sí"))</f>
        <v/>
      </c>
      <c r="J1483" s="23" t="str">
        <f aca="false">IF(A1483="","",IF(F1483="Inactivo","No","Sí"))</f>
        <v/>
      </c>
      <c r="K1483" s="23" t="str">
        <f aca="false">IF(A1483="","",IF(AND(I1483="Sí",J1483="Sí"),"Sí","No"))</f>
        <v/>
      </c>
    </row>
    <row r="1484" customFormat="false" ht="15" hidden="false" customHeight="false" outlineLevel="0" collapsed="false">
      <c r="A1484" s="22"/>
      <c r="B1484" s="22"/>
      <c r="C1484" s="26" t="str">
        <f aca="false">IF(A1484="","",IFERROR(buscarx(A1484&amp;B1484,DATA!$E$3:$E$10000&amp;DATA!$B$3:$B$10000,DATA!$M$3:$M$10000),"No encontrado"))</f>
        <v/>
      </c>
      <c r="D1484" s="27" t="str">
        <f aca="false">IF(A1484="","",IFERROR(buscarx(A1484&amp;B1484,DATA!$E$3:$E$10000&amp;DATA!$B$3:$B$10000,DATA!$W$3:$W$10000),"No encontrado"))</f>
        <v/>
      </c>
      <c r="E1484" s="22"/>
      <c r="F1484" s="26" t="str">
        <f aca="false">IF(A1484="","",IFERROR(buscarx(A1484&amp;E1484,DATA!$E$3:$E$10000&amp;DATA!$B$3:$B$10000,DATA!$M$3:$M$10000),"Inactivo"))</f>
        <v/>
      </c>
      <c r="G1484" s="28" t="str">
        <f aca="false">IF(A1484="","",IF(AND(C1484&lt;&gt;"No encontrado",F1484&lt;&gt;"Inactivo"),C1484&amp;" → "&amp;F1484,"Sin transición"))</f>
        <v/>
      </c>
      <c r="H1484" s="26" t="str">
        <f aca="false">IF(A1484="","",IF(D1484="GCIA LINEA SERVICIO DIGITALIDAD Y VENTAS","Chats",IF(OR(D1484="GERENCIA INBOUND LÍNEAS SERVICIO Y VENTA",D1484="GERENCIA INBOUND LINEAS ESPECIALIZADAS"),"Llamadas","Otro")))</f>
        <v/>
      </c>
      <c r="I1484" s="26" t="str">
        <f aca="false">IF(A1484="","",IF(C1484="No encontrado","No","Sí"))</f>
        <v/>
      </c>
      <c r="J1484" s="26" t="str">
        <f aca="false">IF(A1484="","",IF(F1484="Inactivo","No","Sí"))</f>
        <v/>
      </c>
      <c r="K1484" s="26" t="str">
        <f aca="false">IF(A1484="","",IF(AND(I1484="Sí",J1484="Sí"),"Sí","No"))</f>
        <v/>
      </c>
    </row>
    <row r="1485" customFormat="false" ht="15" hidden="false" customHeight="false" outlineLevel="0" collapsed="false">
      <c r="A1485" s="22"/>
      <c r="B1485" s="22"/>
      <c r="C1485" s="23" t="str">
        <f aca="false">IF(A1485="","",IFERROR(buscarx(A1485&amp;B1485,DATA!$E$3:$E$10000&amp;DATA!$B$3:$B$10000,DATA!$M$3:$M$10000),"No encontrado"))</f>
        <v/>
      </c>
      <c r="D1485" s="24" t="str">
        <f aca="false">IF(A1485="","",IFERROR(buscarx(A1485&amp;B1485,DATA!$E$3:$E$10000&amp;DATA!$B$3:$B$10000,DATA!$W$3:$W$10000),"No encontrado"))</f>
        <v/>
      </c>
      <c r="E1485" s="22"/>
      <c r="F1485" s="23" t="str">
        <f aca="false">IF(A1485="","",IFERROR(buscarx(A1485&amp;E1485,DATA!$E$3:$E$10000&amp;DATA!$B$3:$B$10000,DATA!$M$3:$M$10000),"Inactivo"))</f>
        <v/>
      </c>
      <c r="G1485" s="25" t="str">
        <f aca="false">IF(A1485="","",IF(AND(C1485&lt;&gt;"No encontrado",F1485&lt;&gt;"Inactivo"),C1485&amp;" → "&amp;F1485,"Sin transición"))</f>
        <v/>
      </c>
      <c r="H1485" s="23" t="str">
        <f aca="false">IF(A1485="","",IF(D1485="GCIA LINEA SERVICIO DIGITALIDAD Y VENTAS","Chats",IF(OR(D1485="GERENCIA INBOUND LÍNEAS SERVICIO Y VENTA",D1485="GERENCIA INBOUND LINEAS ESPECIALIZADAS"),"Llamadas","Otro")))</f>
        <v/>
      </c>
      <c r="I1485" s="23" t="str">
        <f aca="false">IF(A1485="","",IF(C1485="No encontrado","No","Sí"))</f>
        <v/>
      </c>
      <c r="J1485" s="23" t="str">
        <f aca="false">IF(A1485="","",IF(F1485="Inactivo","No","Sí"))</f>
        <v/>
      </c>
      <c r="K1485" s="23" t="str">
        <f aca="false">IF(A1485="","",IF(AND(I1485="Sí",J1485="Sí"),"Sí","No"))</f>
        <v/>
      </c>
    </row>
    <row r="1486" customFormat="false" ht="15" hidden="false" customHeight="false" outlineLevel="0" collapsed="false">
      <c r="A1486" s="22"/>
      <c r="B1486" s="22"/>
      <c r="C1486" s="26" t="str">
        <f aca="false">IF(A1486="","",IFERROR(buscarx(A1486&amp;B1486,DATA!$E$3:$E$10000&amp;DATA!$B$3:$B$10000,DATA!$M$3:$M$10000),"No encontrado"))</f>
        <v/>
      </c>
      <c r="D1486" s="27" t="str">
        <f aca="false">IF(A1486="","",IFERROR(buscarx(A1486&amp;B1486,DATA!$E$3:$E$10000&amp;DATA!$B$3:$B$10000,DATA!$W$3:$W$10000),"No encontrado"))</f>
        <v/>
      </c>
      <c r="E1486" s="22"/>
      <c r="F1486" s="26" t="str">
        <f aca="false">IF(A1486="","",IFERROR(buscarx(A1486&amp;E1486,DATA!$E$3:$E$10000&amp;DATA!$B$3:$B$10000,DATA!$M$3:$M$10000),"Inactivo"))</f>
        <v/>
      </c>
      <c r="G1486" s="28" t="str">
        <f aca="false">IF(A1486="","",IF(AND(C1486&lt;&gt;"No encontrado",F1486&lt;&gt;"Inactivo"),C1486&amp;" → "&amp;F1486,"Sin transición"))</f>
        <v/>
      </c>
      <c r="H1486" s="26" t="str">
        <f aca="false">IF(A1486="","",IF(D1486="GCIA LINEA SERVICIO DIGITALIDAD Y VENTAS","Chats",IF(OR(D1486="GERENCIA INBOUND LÍNEAS SERVICIO Y VENTA",D1486="GERENCIA INBOUND LINEAS ESPECIALIZADAS"),"Llamadas","Otro")))</f>
        <v/>
      </c>
      <c r="I1486" s="26" t="str">
        <f aca="false">IF(A1486="","",IF(C1486="No encontrado","No","Sí"))</f>
        <v/>
      </c>
      <c r="J1486" s="26" t="str">
        <f aca="false">IF(A1486="","",IF(F1486="Inactivo","No","Sí"))</f>
        <v/>
      </c>
      <c r="K1486" s="26" t="str">
        <f aca="false">IF(A1486="","",IF(AND(I1486="Sí",J1486="Sí"),"Sí","No"))</f>
        <v/>
      </c>
    </row>
    <row r="1487" customFormat="false" ht="15" hidden="false" customHeight="false" outlineLevel="0" collapsed="false">
      <c r="A1487" s="22"/>
      <c r="B1487" s="22"/>
      <c r="C1487" s="23" t="str">
        <f aca="false">IF(A1487="","",IFERROR(buscarx(A1487&amp;B1487,DATA!$E$3:$E$10000&amp;DATA!$B$3:$B$10000,DATA!$M$3:$M$10000),"No encontrado"))</f>
        <v/>
      </c>
      <c r="D1487" s="24" t="str">
        <f aca="false">IF(A1487="","",IFERROR(buscarx(A1487&amp;B1487,DATA!$E$3:$E$10000&amp;DATA!$B$3:$B$10000,DATA!$W$3:$W$10000),"No encontrado"))</f>
        <v/>
      </c>
      <c r="E1487" s="22"/>
      <c r="F1487" s="23" t="str">
        <f aca="false">IF(A1487="","",IFERROR(buscarx(A1487&amp;E1487,DATA!$E$3:$E$10000&amp;DATA!$B$3:$B$10000,DATA!$M$3:$M$10000),"Inactivo"))</f>
        <v/>
      </c>
      <c r="G1487" s="25" t="str">
        <f aca="false">IF(A1487="","",IF(AND(C1487&lt;&gt;"No encontrado",F1487&lt;&gt;"Inactivo"),C1487&amp;" → "&amp;F1487,"Sin transición"))</f>
        <v/>
      </c>
      <c r="H1487" s="23" t="str">
        <f aca="false">IF(A1487="","",IF(D1487="GCIA LINEA SERVICIO DIGITALIDAD Y VENTAS","Chats",IF(OR(D1487="GERENCIA INBOUND LÍNEAS SERVICIO Y VENTA",D1487="GERENCIA INBOUND LINEAS ESPECIALIZADAS"),"Llamadas","Otro")))</f>
        <v/>
      </c>
      <c r="I1487" s="23" t="str">
        <f aca="false">IF(A1487="","",IF(C1487="No encontrado","No","Sí"))</f>
        <v/>
      </c>
      <c r="J1487" s="23" t="str">
        <f aca="false">IF(A1487="","",IF(F1487="Inactivo","No","Sí"))</f>
        <v/>
      </c>
      <c r="K1487" s="23" t="str">
        <f aca="false">IF(A1487="","",IF(AND(I1487="Sí",J1487="Sí"),"Sí","No"))</f>
        <v/>
      </c>
    </row>
    <row r="1488" customFormat="false" ht="15" hidden="false" customHeight="false" outlineLevel="0" collapsed="false">
      <c r="A1488" s="22"/>
      <c r="B1488" s="22"/>
      <c r="C1488" s="26" t="str">
        <f aca="false">IF(A1488="","",IFERROR(buscarx(A1488&amp;B1488,DATA!$E$3:$E$10000&amp;DATA!$B$3:$B$10000,DATA!$M$3:$M$10000),"No encontrado"))</f>
        <v/>
      </c>
      <c r="D1488" s="27" t="str">
        <f aca="false">IF(A1488="","",IFERROR(buscarx(A1488&amp;B1488,DATA!$E$3:$E$10000&amp;DATA!$B$3:$B$10000,DATA!$W$3:$W$10000),"No encontrado"))</f>
        <v/>
      </c>
      <c r="E1488" s="22"/>
      <c r="F1488" s="26" t="str">
        <f aca="false">IF(A1488="","",IFERROR(buscarx(A1488&amp;E1488,DATA!$E$3:$E$10000&amp;DATA!$B$3:$B$10000,DATA!$M$3:$M$10000),"Inactivo"))</f>
        <v/>
      </c>
      <c r="G1488" s="28" t="str">
        <f aca="false">IF(A1488="","",IF(AND(C1488&lt;&gt;"No encontrado",F1488&lt;&gt;"Inactivo"),C1488&amp;" → "&amp;F1488,"Sin transición"))</f>
        <v/>
      </c>
      <c r="H1488" s="26" t="str">
        <f aca="false">IF(A1488="","",IF(D1488="GCIA LINEA SERVICIO DIGITALIDAD Y VENTAS","Chats",IF(OR(D1488="GERENCIA INBOUND LÍNEAS SERVICIO Y VENTA",D1488="GERENCIA INBOUND LINEAS ESPECIALIZADAS"),"Llamadas","Otro")))</f>
        <v/>
      </c>
      <c r="I1488" s="26" t="str">
        <f aca="false">IF(A1488="","",IF(C1488="No encontrado","No","Sí"))</f>
        <v/>
      </c>
      <c r="J1488" s="26" t="str">
        <f aca="false">IF(A1488="","",IF(F1488="Inactivo","No","Sí"))</f>
        <v/>
      </c>
      <c r="K1488" s="26" t="str">
        <f aca="false">IF(A1488="","",IF(AND(I1488="Sí",J1488="Sí"),"Sí","No"))</f>
        <v/>
      </c>
    </row>
    <row r="1489" customFormat="false" ht="15" hidden="false" customHeight="false" outlineLevel="0" collapsed="false">
      <c r="A1489" s="22"/>
      <c r="B1489" s="22"/>
      <c r="C1489" s="23" t="str">
        <f aca="false">IF(A1489="","",IFERROR(buscarx(A1489&amp;B1489,DATA!$E$3:$E$10000&amp;DATA!$B$3:$B$10000,DATA!$M$3:$M$10000),"No encontrado"))</f>
        <v/>
      </c>
      <c r="D1489" s="24" t="str">
        <f aca="false">IF(A1489="","",IFERROR(buscarx(A1489&amp;B1489,DATA!$E$3:$E$10000&amp;DATA!$B$3:$B$10000,DATA!$W$3:$W$10000),"No encontrado"))</f>
        <v/>
      </c>
      <c r="E1489" s="22"/>
      <c r="F1489" s="23" t="str">
        <f aca="false">IF(A1489="","",IFERROR(buscarx(A1489&amp;E1489,DATA!$E$3:$E$10000&amp;DATA!$B$3:$B$10000,DATA!$M$3:$M$10000),"Inactivo"))</f>
        <v/>
      </c>
      <c r="G1489" s="25" t="str">
        <f aca="false">IF(A1489="","",IF(AND(C1489&lt;&gt;"No encontrado",F1489&lt;&gt;"Inactivo"),C1489&amp;" → "&amp;F1489,"Sin transición"))</f>
        <v/>
      </c>
      <c r="H1489" s="23" t="str">
        <f aca="false">IF(A1489="","",IF(D1489="GCIA LINEA SERVICIO DIGITALIDAD Y VENTAS","Chats",IF(OR(D1489="GERENCIA INBOUND LÍNEAS SERVICIO Y VENTA",D1489="GERENCIA INBOUND LINEAS ESPECIALIZADAS"),"Llamadas","Otro")))</f>
        <v/>
      </c>
      <c r="I1489" s="23" t="str">
        <f aca="false">IF(A1489="","",IF(C1489="No encontrado","No","Sí"))</f>
        <v/>
      </c>
      <c r="J1489" s="23" t="str">
        <f aca="false">IF(A1489="","",IF(F1489="Inactivo","No","Sí"))</f>
        <v/>
      </c>
      <c r="K1489" s="23" t="str">
        <f aca="false">IF(A1489="","",IF(AND(I1489="Sí",J1489="Sí"),"Sí","No"))</f>
        <v/>
      </c>
    </row>
    <row r="1490" customFormat="false" ht="15" hidden="false" customHeight="false" outlineLevel="0" collapsed="false">
      <c r="A1490" s="22"/>
      <c r="B1490" s="22"/>
      <c r="C1490" s="26" t="str">
        <f aca="false">IF(A1490="","",IFERROR(buscarx(A1490&amp;B1490,DATA!$E$3:$E$10000&amp;DATA!$B$3:$B$10000,DATA!$M$3:$M$10000),"No encontrado"))</f>
        <v/>
      </c>
      <c r="D1490" s="27" t="str">
        <f aca="false">IF(A1490="","",IFERROR(buscarx(A1490&amp;B1490,DATA!$E$3:$E$10000&amp;DATA!$B$3:$B$10000,DATA!$W$3:$W$10000),"No encontrado"))</f>
        <v/>
      </c>
      <c r="E1490" s="22"/>
      <c r="F1490" s="26" t="str">
        <f aca="false">IF(A1490="","",IFERROR(buscarx(A1490&amp;E1490,DATA!$E$3:$E$10000&amp;DATA!$B$3:$B$10000,DATA!$M$3:$M$10000),"Inactivo"))</f>
        <v/>
      </c>
      <c r="G1490" s="28" t="str">
        <f aca="false">IF(A1490="","",IF(AND(C1490&lt;&gt;"No encontrado",F1490&lt;&gt;"Inactivo"),C1490&amp;" → "&amp;F1490,"Sin transición"))</f>
        <v/>
      </c>
      <c r="H1490" s="26" t="str">
        <f aca="false">IF(A1490="","",IF(D1490="GCIA LINEA SERVICIO DIGITALIDAD Y VENTAS","Chats",IF(OR(D1490="GERENCIA INBOUND LÍNEAS SERVICIO Y VENTA",D1490="GERENCIA INBOUND LINEAS ESPECIALIZADAS"),"Llamadas","Otro")))</f>
        <v/>
      </c>
      <c r="I1490" s="26" t="str">
        <f aca="false">IF(A1490="","",IF(C1490="No encontrado","No","Sí"))</f>
        <v/>
      </c>
      <c r="J1490" s="26" t="str">
        <f aca="false">IF(A1490="","",IF(F1490="Inactivo","No","Sí"))</f>
        <v/>
      </c>
      <c r="K1490" s="26" t="str">
        <f aca="false">IF(A1490="","",IF(AND(I1490="Sí",J1490="Sí"),"Sí","No"))</f>
        <v/>
      </c>
    </row>
    <row r="1491" customFormat="false" ht="15" hidden="false" customHeight="false" outlineLevel="0" collapsed="false">
      <c r="A1491" s="22"/>
      <c r="B1491" s="22"/>
      <c r="C1491" s="23" t="str">
        <f aca="false">IF(A1491="","",IFERROR(buscarx(A1491&amp;B1491,DATA!$E$3:$E$10000&amp;DATA!$B$3:$B$10000,DATA!$M$3:$M$10000),"No encontrado"))</f>
        <v/>
      </c>
      <c r="D1491" s="24" t="str">
        <f aca="false">IF(A1491="","",IFERROR(buscarx(A1491&amp;B1491,DATA!$E$3:$E$10000&amp;DATA!$B$3:$B$10000,DATA!$W$3:$W$10000),"No encontrado"))</f>
        <v/>
      </c>
      <c r="E1491" s="22"/>
      <c r="F1491" s="23" t="str">
        <f aca="false">IF(A1491="","",IFERROR(buscarx(A1491&amp;E1491,DATA!$E$3:$E$10000&amp;DATA!$B$3:$B$10000,DATA!$M$3:$M$10000),"Inactivo"))</f>
        <v/>
      </c>
      <c r="G1491" s="25" t="str">
        <f aca="false">IF(A1491="","",IF(AND(C1491&lt;&gt;"No encontrado",F1491&lt;&gt;"Inactivo"),C1491&amp;" → "&amp;F1491,"Sin transición"))</f>
        <v/>
      </c>
      <c r="H1491" s="23" t="str">
        <f aca="false">IF(A1491="","",IF(D1491="GCIA LINEA SERVICIO DIGITALIDAD Y VENTAS","Chats",IF(OR(D1491="GERENCIA INBOUND LÍNEAS SERVICIO Y VENTA",D1491="GERENCIA INBOUND LINEAS ESPECIALIZADAS"),"Llamadas","Otro")))</f>
        <v/>
      </c>
      <c r="I1491" s="23" t="str">
        <f aca="false">IF(A1491="","",IF(C1491="No encontrado","No","Sí"))</f>
        <v/>
      </c>
      <c r="J1491" s="23" t="str">
        <f aca="false">IF(A1491="","",IF(F1491="Inactivo","No","Sí"))</f>
        <v/>
      </c>
      <c r="K1491" s="23" t="str">
        <f aca="false">IF(A1491="","",IF(AND(I1491="Sí",J1491="Sí"),"Sí","No"))</f>
        <v/>
      </c>
    </row>
    <row r="1492" customFormat="false" ht="15" hidden="false" customHeight="false" outlineLevel="0" collapsed="false">
      <c r="A1492" s="22"/>
      <c r="B1492" s="22"/>
      <c r="C1492" s="26" t="str">
        <f aca="false">IF(A1492="","",IFERROR(buscarx(A1492&amp;B1492,DATA!$E$3:$E$10000&amp;DATA!$B$3:$B$10000,DATA!$M$3:$M$10000),"No encontrado"))</f>
        <v/>
      </c>
      <c r="D1492" s="27" t="str">
        <f aca="false">IF(A1492="","",IFERROR(buscarx(A1492&amp;B1492,DATA!$E$3:$E$10000&amp;DATA!$B$3:$B$10000,DATA!$W$3:$W$10000),"No encontrado"))</f>
        <v/>
      </c>
      <c r="E1492" s="22"/>
      <c r="F1492" s="26" t="str">
        <f aca="false">IF(A1492="","",IFERROR(buscarx(A1492&amp;E1492,DATA!$E$3:$E$10000&amp;DATA!$B$3:$B$10000,DATA!$M$3:$M$10000),"Inactivo"))</f>
        <v/>
      </c>
      <c r="G1492" s="28" t="str">
        <f aca="false">IF(A1492="","",IF(AND(C1492&lt;&gt;"No encontrado",F1492&lt;&gt;"Inactivo"),C1492&amp;" → "&amp;F1492,"Sin transición"))</f>
        <v/>
      </c>
      <c r="H1492" s="26" t="str">
        <f aca="false">IF(A1492="","",IF(D1492="GCIA LINEA SERVICIO DIGITALIDAD Y VENTAS","Chats",IF(OR(D1492="GERENCIA INBOUND LÍNEAS SERVICIO Y VENTA",D1492="GERENCIA INBOUND LINEAS ESPECIALIZADAS"),"Llamadas","Otro")))</f>
        <v/>
      </c>
      <c r="I1492" s="26" t="str">
        <f aca="false">IF(A1492="","",IF(C1492="No encontrado","No","Sí"))</f>
        <v/>
      </c>
      <c r="J1492" s="26" t="str">
        <f aca="false">IF(A1492="","",IF(F1492="Inactivo","No","Sí"))</f>
        <v/>
      </c>
      <c r="K1492" s="26" t="str">
        <f aca="false">IF(A1492="","",IF(AND(I1492="Sí",J1492="Sí"),"Sí","No"))</f>
        <v/>
      </c>
    </row>
    <row r="1493" customFormat="false" ht="15" hidden="false" customHeight="false" outlineLevel="0" collapsed="false">
      <c r="A1493" s="22"/>
      <c r="B1493" s="22"/>
      <c r="C1493" s="23" t="str">
        <f aca="false">IF(A1493="","",IFERROR(buscarx(A1493&amp;B1493,DATA!$E$3:$E$10000&amp;DATA!$B$3:$B$10000,DATA!$M$3:$M$10000),"No encontrado"))</f>
        <v/>
      </c>
      <c r="D1493" s="24" t="str">
        <f aca="false">IF(A1493="","",IFERROR(buscarx(A1493&amp;B1493,DATA!$E$3:$E$10000&amp;DATA!$B$3:$B$10000,DATA!$W$3:$W$10000),"No encontrado"))</f>
        <v/>
      </c>
      <c r="E1493" s="22"/>
      <c r="F1493" s="23" t="str">
        <f aca="false">IF(A1493="","",IFERROR(buscarx(A1493&amp;E1493,DATA!$E$3:$E$10000&amp;DATA!$B$3:$B$10000,DATA!$M$3:$M$10000),"Inactivo"))</f>
        <v/>
      </c>
      <c r="G1493" s="25" t="str">
        <f aca="false">IF(A1493="","",IF(AND(C1493&lt;&gt;"No encontrado",F1493&lt;&gt;"Inactivo"),C1493&amp;" → "&amp;F1493,"Sin transición"))</f>
        <v/>
      </c>
      <c r="H1493" s="23" t="str">
        <f aca="false">IF(A1493="","",IF(D1493="GCIA LINEA SERVICIO DIGITALIDAD Y VENTAS","Chats",IF(OR(D1493="GERENCIA INBOUND LÍNEAS SERVICIO Y VENTA",D1493="GERENCIA INBOUND LINEAS ESPECIALIZADAS"),"Llamadas","Otro")))</f>
        <v/>
      </c>
      <c r="I1493" s="23" t="str">
        <f aca="false">IF(A1493="","",IF(C1493="No encontrado","No","Sí"))</f>
        <v/>
      </c>
      <c r="J1493" s="23" t="str">
        <f aca="false">IF(A1493="","",IF(F1493="Inactivo","No","Sí"))</f>
        <v/>
      </c>
      <c r="K1493" s="23" t="str">
        <f aca="false">IF(A1493="","",IF(AND(I1493="Sí",J1493="Sí"),"Sí","No"))</f>
        <v/>
      </c>
    </row>
    <row r="1494" customFormat="false" ht="15" hidden="false" customHeight="false" outlineLevel="0" collapsed="false">
      <c r="A1494" s="22"/>
      <c r="B1494" s="22"/>
      <c r="C1494" s="26" t="str">
        <f aca="false">IF(A1494="","",IFERROR(buscarx(A1494&amp;B1494,DATA!$E$3:$E$10000&amp;DATA!$B$3:$B$10000,DATA!$M$3:$M$10000),"No encontrado"))</f>
        <v/>
      </c>
      <c r="D1494" s="27" t="str">
        <f aca="false">IF(A1494="","",IFERROR(buscarx(A1494&amp;B1494,DATA!$E$3:$E$10000&amp;DATA!$B$3:$B$10000,DATA!$W$3:$W$10000),"No encontrado"))</f>
        <v/>
      </c>
      <c r="E1494" s="22"/>
      <c r="F1494" s="26" t="str">
        <f aca="false">IF(A1494="","",IFERROR(buscarx(A1494&amp;E1494,DATA!$E$3:$E$10000&amp;DATA!$B$3:$B$10000,DATA!$M$3:$M$10000),"Inactivo"))</f>
        <v/>
      </c>
      <c r="G1494" s="28" t="str">
        <f aca="false">IF(A1494="","",IF(AND(C1494&lt;&gt;"No encontrado",F1494&lt;&gt;"Inactivo"),C1494&amp;" → "&amp;F1494,"Sin transición"))</f>
        <v/>
      </c>
      <c r="H1494" s="26" t="str">
        <f aca="false">IF(A1494="","",IF(D1494="GCIA LINEA SERVICIO DIGITALIDAD Y VENTAS","Chats",IF(OR(D1494="GERENCIA INBOUND LÍNEAS SERVICIO Y VENTA",D1494="GERENCIA INBOUND LINEAS ESPECIALIZADAS"),"Llamadas","Otro")))</f>
        <v/>
      </c>
      <c r="I1494" s="26" t="str">
        <f aca="false">IF(A1494="","",IF(C1494="No encontrado","No","Sí"))</f>
        <v/>
      </c>
      <c r="J1494" s="26" t="str">
        <f aca="false">IF(A1494="","",IF(F1494="Inactivo","No","Sí"))</f>
        <v/>
      </c>
      <c r="K1494" s="26" t="str">
        <f aca="false">IF(A1494="","",IF(AND(I1494="Sí",J1494="Sí"),"Sí","No"))</f>
        <v/>
      </c>
    </row>
    <row r="1495" customFormat="false" ht="15" hidden="false" customHeight="false" outlineLevel="0" collapsed="false">
      <c r="A1495" s="22"/>
      <c r="B1495" s="22"/>
      <c r="C1495" s="23" t="str">
        <f aca="false">IF(A1495="","",IFERROR(buscarx(A1495&amp;B1495,DATA!$E$3:$E$10000&amp;DATA!$B$3:$B$10000,DATA!$M$3:$M$10000),"No encontrado"))</f>
        <v/>
      </c>
      <c r="D1495" s="24" t="str">
        <f aca="false">IF(A1495="","",IFERROR(buscarx(A1495&amp;B1495,DATA!$E$3:$E$10000&amp;DATA!$B$3:$B$10000,DATA!$W$3:$W$10000),"No encontrado"))</f>
        <v/>
      </c>
      <c r="E1495" s="22"/>
      <c r="F1495" s="23" t="str">
        <f aca="false">IF(A1495="","",IFERROR(buscarx(A1495&amp;E1495,DATA!$E$3:$E$10000&amp;DATA!$B$3:$B$10000,DATA!$M$3:$M$10000),"Inactivo"))</f>
        <v/>
      </c>
      <c r="G1495" s="25" t="str">
        <f aca="false">IF(A1495="","",IF(AND(C1495&lt;&gt;"No encontrado",F1495&lt;&gt;"Inactivo"),C1495&amp;" → "&amp;F1495,"Sin transición"))</f>
        <v/>
      </c>
      <c r="H1495" s="23" t="str">
        <f aca="false">IF(A1495="","",IF(D1495="GCIA LINEA SERVICIO DIGITALIDAD Y VENTAS","Chats",IF(OR(D1495="GERENCIA INBOUND LÍNEAS SERVICIO Y VENTA",D1495="GERENCIA INBOUND LINEAS ESPECIALIZADAS"),"Llamadas","Otro")))</f>
        <v/>
      </c>
      <c r="I1495" s="23" t="str">
        <f aca="false">IF(A1495="","",IF(C1495="No encontrado","No","Sí"))</f>
        <v/>
      </c>
      <c r="J1495" s="23" t="str">
        <f aca="false">IF(A1495="","",IF(F1495="Inactivo","No","Sí"))</f>
        <v/>
      </c>
      <c r="K1495" s="23" t="str">
        <f aca="false">IF(A1495="","",IF(AND(I1495="Sí",J1495="Sí"),"Sí","No"))</f>
        <v/>
      </c>
    </row>
    <row r="1496" customFormat="false" ht="15" hidden="false" customHeight="false" outlineLevel="0" collapsed="false">
      <c r="A1496" s="22"/>
      <c r="B1496" s="22"/>
      <c r="C1496" s="26" t="str">
        <f aca="false">IF(A1496="","",IFERROR(buscarx(A1496&amp;B1496,DATA!$E$3:$E$10000&amp;DATA!$B$3:$B$10000,DATA!$M$3:$M$10000),"No encontrado"))</f>
        <v/>
      </c>
      <c r="D1496" s="27" t="str">
        <f aca="false">IF(A1496="","",IFERROR(buscarx(A1496&amp;B1496,DATA!$E$3:$E$10000&amp;DATA!$B$3:$B$10000,DATA!$W$3:$W$10000),"No encontrado"))</f>
        <v/>
      </c>
      <c r="E1496" s="22"/>
      <c r="F1496" s="26" t="str">
        <f aca="false">IF(A1496="","",IFERROR(buscarx(A1496&amp;E1496,DATA!$E$3:$E$10000&amp;DATA!$B$3:$B$10000,DATA!$M$3:$M$10000),"Inactivo"))</f>
        <v/>
      </c>
      <c r="G1496" s="28" t="str">
        <f aca="false">IF(A1496="","",IF(AND(C1496&lt;&gt;"No encontrado",F1496&lt;&gt;"Inactivo"),C1496&amp;" → "&amp;F1496,"Sin transición"))</f>
        <v/>
      </c>
      <c r="H1496" s="26" t="str">
        <f aca="false">IF(A1496="","",IF(D1496="GCIA LINEA SERVICIO DIGITALIDAD Y VENTAS","Chats",IF(OR(D1496="GERENCIA INBOUND LÍNEAS SERVICIO Y VENTA",D1496="GERENCIA INBOUND LINEAS ESPECIALIZADAS"),"Llamadas","Otro")))</f>
        <v/>
      </c>
      <c r="I1496" s="26" t="str">
        <f aca="false">IF(A1496="","",IF(C1496="No encontrado","No","Sí"))</f>
        <v/>
      </c>
      <c r="J1496" s="26" t="str">
        <f aca="false">IF(A1496="","",IF(F1496="Inactivo","No","Sí"))</f>
        <v/>
      </c>
      <c r="K1496" s="26" t="str">
        <f aca="false">IF(A1496="","",IF(AND(I1496="Sí",J1496="Sí"),"Sí","No"))</f>
        <v/>
      </c>
    </row>
    <row r="1497" customFormat="false" ht="15" hidden="false" customHeight="false" outlineLevel="0" collapsed="false">
      <c r="A1497" s="22"/>
      <c r="B1497" s="22"/>
      <c r="C1497" s="23" t="str">
        <f aca="false">IF(A1497="","",IFERROR(buscarx(A1497&amp;B1497,DATA!$E$3:$E$10000&amp;DATA!$B$3:$B$10000,DATA!$M$3:$M$10000),"No encontrado"))</f>
        <v/>
      </c>
      <c r="D1497" s="24" t="str">
        <f aca="false">IF(A1497="","",IFERROR(buscarx(A1497&amp;B1497,DATA!$E$3:$E$10000&amp;DATA!$B$3:$B$10000,DATA!$W$3:$W$10000),"No encontrado"))</f>
        <v/>
      </c>
      <c r="E1497" s="22"/>
      <c r="F1497" s="23" t="str">
        <f aca="false">IF(A1497="","",IFERROR(buscarx(A1497&amp;E1497,DATA!$E$3:$E$10000&amp;DATA!$B$3:$B$10000,DATA!$M$3:$M$10000),"Inactivo"))</f>
        <v/>
      </c>
      <c r="G1497" s="25" t="str">
        <f aca="false">IF(A1497="","",IF(AND(C1497&lt;&gt;"No encontrado",F1497&lt;&gt;"Inactivo"),C1497&amp;" → "&amp;F1497,"Sin transición"))</f>
        <v/>
      </c>
      <c r="H1497" s="23" t="str">
        <f aca="false">IF(A1497="","",IF(D1497="GCIA LINEA SERVICIO DIGITALIDAD Y VENTAS","Chats",IF(OR(D1497="GERENCIA INBOUND LÍNEAS SERVICIO Y VENTA",D1497="GERENCIA INBOUND LINEAS ESPECIALIZADAS"),"Llamadas","Otro")))</f>
        <v/>
      </c>
      <c r="I1497" s="23" t="str">
        <f aca="false">IF(A1497="","",IF(C1497="No encontrado","No","Sí"))</f>
        <v/>
      </c>
      <c r="J1497" s="23" t="str">
        <f aca="false">IF(A1497="","",IF(F1497="Inactivo","No","Sí"))</f>
        <v/>
      </c>
      <c r="K1497" s="23" t="str">
        <f aca="false">IF(A1497="","",IF(AND(I1497="Sí",J1497="Sí"),"Sí","No"))</f>
        <v/>
      </c>
    </row>
    <row r="1498" customFormat="false" ht="15" hidden="false" customHeight="false" outlineLevel="0" collapsed="false">
      <c r="A1498" s="22"/>
      <c r="B1498" s="22"/>
      <c r="C1498" s="26" t="str">
        <f aca="false">IF(A1498="","",IFERROR(buscarx(A1498&amp;B1498,DATA!$E$3:$E$10000&amp;DATA!$B$3:$B$10000,DATA!$M$3:$M$10000),"No encontrado"))</f>
        <v/>
      </c>
      <c r="D1498" s="27" t="str">
        <f aca="false">IF(A1498="","",IFERROR(buscarx(A1498&amp;B1498,DATA!$E$3:$E$10000&amp;DATA!$B$3:$B$10000,DATA!$W$3:$W$10000),"No encontrado"))</f>
        <v/>
      </c>
      <c r="E1498" s="22"/>
      <c r="F1498" s="26" t="str">
        <f aca="false">IF(A1498="","",IFERROR(buscarx(A1498&amp;E1498,DATA!$E$3:$E$10000&amp;DATA!$B$3:$B$10000,DATA!$M$3:$M$10000),"Inactivo"))</f>
        <v/>
      </c>
      <c r="G1498" s="28" t="str">
        <f aca="false">IF(A1498="","",IF(AND(C1498&lt;&gt;"No encontrado",F1498&lt;&gt;"Inactivo"),C1498&amp;" → "&amp;F1498,"Sin transición"))</f>
        <v/>
      </c>
      <c r="H1498" s="26" t="str">
        <f aca="false">IF(A1498="","",IF(D1498="GCIA LINEA SERVICIO DIGITALIDAD Y VENTAS","Chats",IF(OR(D1498="GERENCIA INBOUND LÍNEAS SERVICIO Y VENTA",D1498="GERENCIA INBOUND LINEAS ESPECIALIZADAS"),"Llamadas","Otro")))</f>
        <v/>
      </c>
      <c r="I1498" s="26" t="str">
        <f aca="false">IF(A1498="","",IF(C1498="No encontrado","No","Sí"))</f>
        <v/>
      </c>
      <c r="J1498" s="26" t="str">
        <f aca="false">IF(A1498="","",IF(F1498="Inactivo","No","Sí"))</f>
        <v/>
      </c>
      <c r="K1498" s="26" t="str">
        <f aca="false">IF(A1498="","",IF(AND(I1498="Sí",J1498="Sí"),"Sí","No"))</f>
        <v/>
      </c>
    </row>
    <row r="1499" customFormat="false" ht="15" hidden="false" customHeight="false" outlineLevel="0" collapsed="false">
      <c r="A1499" s="22"/>
      <c r="B1499" s="22"/>
      <c r="C1499" s="23" t="str">
        <f aca="false">IF(A1499="","",IFERROR(buscarx(A1499&amp;B1499,DATA!$E$3:$E$10000&amp;DATA!$B$3:$B$10000,DATA!$M$3:$M$10000),"No encontrado"))</f>
        <v/>
      </c>
      <c r="D1499" s="24" t="str">
        <f aca="false">IF(A1499="","",IFERROR(buscarx(A1499&amp;B1499,DATA!$E$3:$E$10000&amp;DATA!$B$3:$B$10000,DATA!$W$3:$W$10000),"No encontrado"))</f>
        <v/>
      </c>
      <c r="E1499" s="22"/>
      <c r="F1499" s="23" t="str">
        <f aca="false">IF(A1499="","",IFERROR(buscarx(A1499&amp;E1499,DATA!$E$3:$E$10000&amp;DATA!$B$3:$B$10000,DATA!$M$3:$M$10000),"Inactivo"))</f>
        <v/>
      </c>
      <c r="G1499" s="25" t="str">
        <f aca="false">IF(A1499="","",IF(AND(C1499&lt;&gt;"No encontrado",F1499&lt;&gt;"Inactivo"),C1499&amp;" → "&amp;F1499,"Sin transición"))</f>
        <v/>
      </c>
      <c r="H1499" s="23" t="str">
        <f aca="false">IF(A1499="","",IF(D1499="GCIA LINEA SERVICIO DIGITALIDAD Y VENTAS","Chats",IF(OR(D1499="GERENCIA INBOUND LÍNEAS SERVICIO Y VENTA",D1499="GERENCIA INBOUND LINEAS ESPECIALIZADAS"),"Llamadas","Otro")))</f>
        <v/>
      </c>
      <c r="I1499" s="23" t="str">
        <f aca="false">IF(A1499="","",IF(C1499="No encontrado","No","Sí"))</f>
        <v/>
      </c>
      <c r="J1499" s="23" t="str">
        <f aca="false">IF(A1499="","",IF(F1499="Inactivo","No","Sí"))</f>
        <v/>
      </c>
      <c r="K1499" s="23" t="str">
        <f aca="false">IF(A1499="","",IF(AND(I1499="Sí",J1499="Sí"),"Sí","No"))</f>
        <v/>
      </c>
    </row>
    <row r="1500" customFormat="false" ht="15" hidden="false" customHeight="false" outlineLevel="0" collapsed="false">
      <c r="A1500" s="22"/>
      <c r="B1500" s="22"/>
      <c r="C1500" s="26" t="str">
        <f aca="false">IF(A1500="","",IFERROR(buscarx(A1500&amp;B1500,DATA!$E$3:$E$10000&amp;DATA!$B$3:$B$10000,DATA!$M$3:$M$10000),"No encontrado"))</f>
        <v/>
      </c>
      <c r="D1500" s="27" t="str">
        <f aca="false">IF(A1500="","",IFERROR(buscarx(A1500&amp;B1500,DATA!$E$3:$E$10000&amp;DATA!$B$3:$B$10000,DATA!$W$3:$W$10000),"No encontrado"))</f>
        <v/>
      </c>
      <c r="E1500" s="22"/>
      <c r="F1500" s="26" t="str">
        <f aca="false">IF(A1500="","",IFERROR(buscarx(A1500&amp;E1500,DATA!$E$3:$E$10000&amp;DATA!$B$3:$B$10000,DATA!$M$3:$M$10000),"Inactivo"))</f>
        <v/>
      </c>
      <c r="G1500" s="28" t="str">
        <f aca="false">IF(A1500="","",IF(AND(C1500&lt;&gt;"No encontrado",F1500&lt;&gt;"Inactivo"),C1500&amp;" → "&amp;F1500,"Sin transición"))</f>
        <v/>
      </c>
      <c r="H1500" s="26" t="str">
        <f aca="false">IF(A1500="","",IF(D1500="GCIA LINEA SERVICIO DIGITALIDAD Y VENTAS","Chats",IF(OR(D1500="GERENCIA INBOUND LÍNEAS SERVICIO Y VENTA",D1500="GERENCIA INBOUND LINEAS ESPECIALIZADAS"),"Llamadas","Otro")))</f>
        <v/>
      </c>
      <c r="I1500" s="26" t="str">
        <f aca="false">IF(A1500="","",IF(C1500="No encontrado","No","Sí"))</f>
        <v/>
      </c>
      <c r="J1500" s="26" t="str">
        <f aca="false">IF(A1500="","",IF(F1500="Inactivo","No","Sí"))</f>
        <v/>
      </c>
      <c r="K1500" s="26" t="str">
        <f aca="false">IF(A1500="","",IF(AND(I1500="Sí",J1500="Sí"),"Sí","No"))</f>
        <v/>
      </c>
    </row>
    <row r="1501" customFormat="false" ht="15" hidden="false" customHeight="false" outlineLevel="0" collapsed="false">
      <c r="A1501" s="22"/>
      <c r="B1501" s="22"/>
      <c r="C1501" s="23" t="str">
        <f aca="false">IF(A1501="","",IFERROR(buscarx(A1501&amp;B1501,DATA!$E$3:$E$10000&amp;DATA!$B$3:$B$10000,DATA!$M$3:$M$10000),"No encontrado"))</f>
        <v/>
      </c>
      <c r="D1501" s="24" t="str">
        <f aca="false">IF(A1501="","",IFERROR(buscarx(A1501&amp;B1501,DATA!$E$3:$E$10000&amp;DATA!$B$3:$B$10000,DATA!$W$3:$W$10000),"No encontrado"))</f>
        <v/>
      </c>
      <c r="E1501" s="22"/>
      <c r="F1501" s="23" t="str">
        <f aca="false">IF(A1501="","",IFERROR(buscarx(A1501&amp;E1501,DATA!$E$3:$E$10000&amp;DATA!$B$3:$B$10000,DATA!$M$3:$M$10000),"Inactivo"))</f>
        <v/>
      </c>
      <c r="G1501" s="25" t="str">
        <f aca="false">IF(A1501="","",IF(AND(C1501&lt;&gt;"No encontrado",F1501&lt;&gt;"Inactivo"),C1501&amp;" → "&amp;F1501,"Sin transición"))</f>
        <v/>
      </c>
      <c r="H1501" s="23" t="str">
        <f aca="false">IF(A1501="","",IF(D1501="GCIA LINEA SERVICIO DIGITALIDAD Y VENTAS","Chats",IF(OR(D1501="GERENCIA INBOUND LÍNEAS SERVICIO Y VENTA",D1501="GERENCIA INBOUND LINEAS ESPECIALIZADAS"),"Llamadas","Otro")))</f>
        <v/>
      </c>
      <c r="I1501" s="23" t="str">
        <f aca="false">IF(A1501="","",IF(C1501="No encontrado","No","Sí"))</f>
        <v/>
      </c>
      <c r="J1501" s="23" t="str">
        <f aca="false">IF(A1501="","",IF(F1501="Inactivo","No","Sí"))</f>
        <v/>
      </c>
      <c r="K1501" s="23" t="str">
        <f aca="false">IF(A1501="","",IF(AND(I1501="Sí",J1501="Sí"),"Sí","No"))</f>
        <v/>
      </c>
    </row>
    <row r="1502" customFormat="false" ht="15" hidden="false" customHeight="false" outlineLevel="0" collapsed="false">
      <c r="A1502" s="22"/>
      <c r="B1502" s="22"/>
      <c r="C1502" s="26" t="str">
        <f aca="false">IF(A1502="","",IFERROR(buscarx(A1502&amp;B1502,DATA!$E$3:$E$10000&amp;DATA!$B$3:$B$10000,DATA!$M$3:$M$10000),"No encontrado"))</f>
        <v/>
      </c>
      <c r="D1502" s="27" t="str">
        <f aca="false">IF(A1502="","",IFERROR(buscarx(A1502&amp;B1502,DATA!$E$3:$E$10000&amp;DATA!$B$3:$B$10000,DATA!$W$3:$W$10000),"No encontrado"))</f>
        <v/>
      </c>
      <c r="E1502" s="22"/>
      <c r="F1502" s="26" t="str">
        <f aca="false">IF(A1502="","",IFERROR(buscarx(A1502&amp;E1502,DATA!$E$3:$E$10000&amp;DATA!$B$3:$B$10000,DATA!$M$3:$M$10000),"Inactivo"))</f>
        <v/>
      </c>
      <c r="G1502" s="28" t="str">
        <f aca="false">IF(A1502="","",IF(AND(C1502&lt;&gt;"No encontrado",F1502&lt;&gt;"Inactivo"),C1502&amp;" → "&amp;F1502,"Sin transición"))</f>
        <v/>
      </c>
      <c r="H1502" s="26" t="str">
        <f aca="false">IF(A1502="","",IF(D1502="GCIA LINEA SERVICIO DIGITALIDAD Y VENTAS","Chats",IF(OR(D1502="GERENCIA INBOUND LÍNEAS SERVICIO Y VENTA",D1502="GERENCIA INBOUND LINEAS ESPECIALIZADAS"),"Llamadas","Otro")))</f>
        <v/>
      </c>
      <c r="I1502" s="26" t="str">
        <f aca="false">IF(A1502="","",IF(C1502="No encontrado","No","Sí"))</f>
        <v/>
      </c>
      <c r="J1502" s="26" t="str">
        <f aca="false">IF(A1502="","",IF(F1502="Inactivo","No","Sí"))</f>
        <v/>
      </c>
      <c r="K1502" s="26" t="str">
        <f aca="false">IF(A1502="","",IF(AND(I1502="Sí",J1502="Sí"),"Sí","No"))</f>
        <v/>
      </c>
    </row>
    <row r="1503" customFormat="false" ht="15" hidden="false" customHeight="false" outlineLevel="0" collapsed="false">
      <c r="A1503" s="22"/>
      <c r="B1503" s="22"/>
      <c r="C1503" s="23" t="str">
        <f aca="false">IF(A1503="","",IFERROR(buscarx(A1503&amp;B1503,DATA!$E$3:$E$10000&amp;DATA!$B$3:$B$10000,DATA!$M$3:$M$10000),"No encontrado"))</f>
        <v/>
      </c>
      <c r="D1503" s="24" t="str">
        <f aca="false">IF(A1503="","",IFERROR(buscarx(A1503&amp;B1503,DATA!$E$3:$E$10000&amp;DATA!$B$3:$B$10000,DATA!$W$3:$W$10000),"No encontrado"))</f>
        <v/>
      </c>
      <c r="E1503" s="22"/>
      <c r="F1503" s="23" t="str">
        <f aca="false">IF(A1503="","",IFERROR(buscarx(A1503&amp;E1503,DATA!$E$3:$E$10000&amp;DATA!$B$3:$B$10000,DATA!$M$3:$M$10000),"Inactivo"))</f>
        <v/>
      </c>
      <c r="G1503" s="25" t="str">
        <f aca="false">IF(A1503="","",IF(AND(C1503&lt;&gt;"No encontrado",F1503&lt;&gt;"Inactivo"),C1503&amp;" → "&amp;F1503,"Sin transición"))</f>
        <v/>
      </c>
      <c r="H1503" s="23" t="str">
        <f aca="false">IF(A1503="","",IF(D1503="GCIA LINEA SERVICIO DIGITALIDAD Y VENTAS","Chats",IF(OR(D1503="GERENCIA INBOUND LÍNEAS SERVICIO Y VENTA",D1503="GERENCIA INBOUND LINEAS ESPECIALIZADAS"),"Llamadas","Otro")))</f>
        <v/>
      </c>
      <c r="I1503" s="23" t="str">
        <f aca="false">IF(A1503="","",IF(C1503="No encontrado","No","Sí"))</f>
        <v/>
      </c>
      <c r="J1503" s="23" t="str">
        <f aca="false">IF(A1503="","",IF(F1503="Inactivo","No","Sí"))</f>
        <v/>
      </c>
      <c r="K1503" s="23" t="str">
        <f aca="false">IF(A1503="","",IF(AND(I1503="Sí",J1503="Sí"),"Sí","No"))</f>
        <v/>
      </c>
    </row>
    <row r="1504" customFormat="false" ht="15" hidden="false" customHeight="false" outlineLevel="0" collapsed="false">
      <c r="A1504" s="22"/>
      <c r="B1504" s="22"/>
      <c r="C1504" s="26" t="str">
        <f aca="false">IF(A1504="","",IFERROR(buscarx(A1504&amp;B1504,DATA!$E$3:$E$10000&amp;DATA!$B$3:$B$10000,DATA!$M$3:$M$10000),"No encontrado"))</f>
        <v/>
      </c>
      <c r="D1504" s="27" t="str">
        <f aca="false">IF(A1504="","",IFERROR(buscarx(A1504&amp;B1504,DATA!$E$3:$E$10000&amp;DATA!$B$3:$B$10000,DATA!$W$3:$W$10000),"No encontrado"))</f>
        <v/>
      </c>
      <c r="E1504" s="22"/>
      <c r="F1504" s="26" t="str">
        <f aca="false">IF(A1504="","",IFERROR(buscarx(A1504&amp;E1504,DATA!$E$3:$E$10000&amp;DATA!$B$3:$B$10000,DATA!$M$3:$M$10000),"Inactivo"))</f>
        <v/>
      </c>
      <c r="G1504" s="28" t="str">
        <f aca="false">IF(A1504="","",IF(AND(C1504&lt;&gt;"No encontrado",F1504&lt;&gt;"Inactivo"),C1504&amp;" → "&amp;F1504,"Sin transición"))</f>
        <v/>
      </c>
      <c r="H1504" s="26" t="str">
        <f aca="false">IF(A1504="","",IF(D1504="GCIA LINEA SERVICIO DIGITALIDAD Y VENTAS","Chats",IF(OR(D1504="GERENCIA INBOUND LÍNEAS SERVICIO Y VENTA",D1504="GERENCIA INBOUND LINEAS ESPECIALIZADAS"),"Llamadas","Otro")))</f>
        <v/>
      </c>
      <c r="I1504" s="26" t="str">
        <f aca="false">IF(A1504="","",IF(C1504="No encontrado","No","Sí"))</f>
        <v/>
      </c>
      <c r="J1504" s="26" t="str">
        <f aca="false">IF(A1504="","",IF(F1504="Inactivo","No","Sí"))</f>
        <v/>
      </c>
      <c r="K1504" s="26" t="str">
        <f aca="false">IF(A1504="","",IF(AND(I1504="Sí",J1504="Sí"),"Sí","No"))</f>
        <v/>
      </c>
    </row>
    <row r="1505" customFormat="false" ht="15" hidden="false" customHeight="false" outlineLevel="0" collapsed="false">
      <c r="A1505" s="22"/>
      <c r="B1505" s="22"/>
      <c r="C1505" s="23" t="str">
        <f aca="false">IF(A1505="","",IFERROR(buscarx(A1505&amp;B1505,DATA!$E$3:$E$10000&amp;DATA!$B$3:$B$10000,DATA!$M$3:$M$10000),"No encontrado"))</f>
        <v/>
      </c>
      <c r="D1505" s="24" t="str">
        <f aca="false">IF(A1505="","",IFERROR(buscarx(A1505&amp;B1505,DATA!$E$3:$E$10000&amp;DATA!$B$3:$B$10000,DATA!$W$3:$W$10000),"No encontrado"))</f>
        <v/>
      </c>
      <c r="E1505" s="22"/>
      <c r="F1505" s="23" t="str">
        <f aca="false">IF(A1505="","",IFERROR(buscarx(A1505&amp;E1505,DATA!$E$3:$E$10000&amp;DATA!$B$3:$B$10000,DATA!$M$3:$M$10000),"Inactivo"))</f>
        <v/>
      </c>
      <c r="G1505" s="25" t="str">
        <f aca="false">IF(A1505="","",IF(AND(C1505&lt;&gt;"No encontrado",F1505&lt;&gt;"Inactivo"),C1505&amp;" → "&amp;F1505,"Sin transición"))</f>
        <v/>
      </c>
      <c r="H1505" s="23" t="str">
        <f aca="false">IF(A1505="","",IF(D1505="GCIA LINEA SERVICIO DIGITALIDAD Y VENTAS","Chats",IF(OR(D1505="GERENCIA INBOUND LÍNEAS SERVICIO Y VENTA",D1505="GERENCIA INBOUND LINEAS ESPECIALIZADAS"),"Llamadas","Otro")))</f>
        <v/>
      </c>
      <c r="I1505" s="23" t="str">
        <f aca="false">IF(A1505="","",IF(C1505="No encontrado","No","Sí"))</f>
        <v/>
      </c>
      <c r="J1505" s="23" t="str">
        <f aca="false">IF(A1505="","",IF(F1505="Inactivo","No","Sí"))</f>
        <v/>
      </c>
      <c r="K1505" s="23" t="str">
        <f aca="false">IF(A1505="","",IF(AND(I1505="Sí",J1505="Sí"),"Sí","No"))</f>
        <v/>
      </c>
    </row>
    <row r="1506" customFormat="false" ht="15" hidden="false" customHeight="false" outlineLevel="0" collapsed="false">
      <c r="A1506" s="22"/>
      <c r="B1506" s="22"/>
      <c r="C1506" s="26" t="str">
        <f aca="false">IF(A1506="","",IFERROR(buscarx(A1506&amp;B1506,DATA!$E$3:$E$10000&amp;DATA!$B$3:$B$10000,DATA!$M$3:$M$10000),"No encontrado"))</f>
        <v/>
      </c>
      <c r="D1506" s="27" t="str">
        <f aca="false">IF(A1506="","",IFERROR(buscarx(A1506&amp;B1506,DATA!$E$3:$E$10000&amp;DATA!$B$3:$B$10000,DATA!$W$3:$W$10000),"No encontrado"))</f>
        <v/>
      </c>
      <c r="E1506" s="22"/>
      <c r="F1506" s="26" t="str">
        <f aca="false">IF(A1506="","",IFERROR(buscarx(A1506&amp;E1506,DATA!$E$3:$E$10000&amp;DATA!$B$3:$B$10000,DATA!$M$3:$M$10000),"Inactivo"))</f>
        <v/>
      </c>
      <c r="G1506" s="28" t="str">
        <f aca="false">IF(A1506="","",IF(AND(C1506&lt;&gt;"No encontrado",F1506&lt;&gt;"Inactivo"),C1506&amp;" → "&amp;F1506,"Sin transición"))</f>
        <v/>
      </c>
      <c r="H1506" s="26" t="str">
        <f aca="false">IF(A1506="","",IF(D1506="GCIA LINEA SERVICIO DIGITALIDAD Y VENTAS","Chats",IF(OR(D1506="GERENCIA INBOUND LÍNEAS SERVICIO Y VENTA",D1506="GERENCIA INBOUND LINEAS ESPECIALIZADAS"),"Llamadas","Otro")))</f>
        <v/>
      </c>
      <c r="I1506" s="26" t="str">
        <f aca="false">IF(A1506="","",IF(C1506="No encontrado","No","Sí"))</f>
        <v/>
      </c>
      <c r="J1506" s="26" t="str">
        <f aca="false">IF(A1506="","",IF(F1506="Inactivo","No","Sí"))</f>
        <v/>
      </c>
      <c r="K1506" s="26" t="str">
        <f aca="false">IF(A1506="","",IF(AND(I1506="Sí",J1506="Sí"),"Sí","No"))</f>
        <v/>
      </c>
    </row>
    <row r="1507" customFormat="false" ht="15" hidden="false" customHeight="false" outlineLevel="0" collapsed="false">
      <c r="A1507" s="22"/>
      <c r="B1507" s="22"/>
      <c r="C1507" s="23" t="str">
        <f aca="false">IF(A1507="","",IFERROR(buscarx(A1507&amp;B1507,DATA!$E$3:$E$10000&amp;DATA!$B$3:$B$10000,DATA!$M$3:$M$10000),"No encontrado"))</f>
        <v/>
      </c>
      <c r="D1507" s="24" t="str">
        <f aca="false">IF(A1507="","",IFERROR(buscarx(A1507&amp;B1507,DATA!$E$3:$E$10000&amp;DATA!$B$3:$B$10000,DATA!$W$3:$W$10000),"No encontrado"))</f>
        <v/>
      </c>
      <c r="E1507" s="22"/>
      <c r="F1507" s="23" t="str">
        <f aca="false">IF(A1507="","",IFERROR(buscarx(A1507&amp;E1507,DATA!$E$3:$E$10000&amp;DATA!$B$3:$B$10000,DATA!$M$3:$M$10000),"Inactivo"))</f>
        <v/>
      </c>
      <c r="G1507" s="25" t="str">
        <f aca="false">IF(A1507="","",IF(AND(C1507&lt;&gt;"No encontrado",F1507&lt;&gt;"Inactivo"),C1507&amp;" → "&amp;F1507,"Sin transición"))</f>
        <v/>
      </c>
      <c r="H1507" s="23" t="str">
        <f aca="false">IF(A1507="","",IF(D1507="GCIA LINEA SERVICIO DIGITALIDAD Y VENTAS","Chats",IF(OR(D1507="GERENCIA INBOUND LÍNEAS SERVICIO Y VENTA",D1507="GERENCIA INBOUND LINEAS ESPECIALIZADAS"),"Llamadas","Otro")))</f>
        <v/>
      </c>
      <c r="I1507" s="23" t="str">
        <f aca="false">IF(A1507="","",IF(C1507="No encontrado","No","Sí"))</f>
        <v/>
      </c>
      <c r="J1507" s="23" t="str">
        <f aca="false">IF(A1507="","",IF(F1507="Inactivo","No","Sí"))</f>
        <v/>
      </c>
      <c r="K1507" s="23" t="str">
        <f aca="false">IF(A1507="","",IF(AND(I1507="Sí",J1507="Sí"),"Sí","No"))</f>
        <v/>
      </c>
    </row>
    <row r="1508" customFormat="false" ht="15" hidden="false" customHeight="false" outlineLevel="0" collapsed="false">
      <c r="A1508" s="22"/>
      <c r="B1508" s="22"/>
      <c r="C1508" s="26" t="str">
        <f aca="false">IF(A1508="","",IFERROR(buscarx(A1508&amp;B1508,DATA!$E$3:$E$10000&amp;DATA!$B$3:$B$10000,DATA!$M$3:$M$10000),"No encontrado"))</f>
        <v/>
      </c>
      <c r="D1508" s="27" t="str">
        <f aca="false">IF(A1508="","",IFERROR(buscarx(A1508&amp;B1508,DATA!$E$3:$E$10000&amp;DATA!$B$3:$B$10000,DATA!$W$3:$W$10000),"No encontrado"))</f>
        <v/>
      </c>
      <c r="E1508" s="22"/>
      <c r="F1508" s="26" t="str">
        <f aca="false">IF(A1508="","",IFERROR(buscarx(A1508&amp;E1508,DATA!$E$3:$E$10000&amp;DATA!$B$3:$B$10000,DATA!$M$3:$M$10000),"Inactivo"))</f>
        <v/>
      </c>
      <c r="G1508" s="28" t="str">
        <f aca="false">IF(A1508="","",IF(AND(C1508&lt;&gt;"No encontrado",F1508&lt;&gt;"Inactivo"),C1508&amp;" → "&amp;F1508,"Sin transición"))</f>
        <v/>
      </c>
      <c r="H1508" s="26" t="str">
        <f aca="false">IF(A1508="","",IF(D1508="GCIA LINEA SERVICIO DIGITALIDAD Y VENTAS","Chats",IF(OR(D1508="GERENCIA INBOUND LÍNEAS SERVICIO Y VENTA",D1508="GERENCIA INBOUND LINEAS ESPECIALIZADAS"),"Llamadas","Otro")))</f>
        <v/>
      </c>
      <c r="I1508" s="26" t="str">
        <f aca="false">IF(A1508="","",IF(C1508="No encontrado","No","Sí"))</f>
        <v/>
      </c>
      <c r="J1508" s="26" t="str">
        <f aca="false">IF(A1508="","",IF(F1508="Inactivo","No","Sí"))</f>
        <v/>
      </c>
      <c r="K1508" s="26" t="str">
        <f aca="false">IF(A1508="","",IF(AND(I1508="Sí",J1508="Sí"),"Sí","No"))</f>
        <v/>
      </c>
    </row>
    <row r="1509" customFormat="false" ht="15" hidden="false" customHeight="false" outlineLevel="0" collapsed="false">
      <c r="A1509" s="22"/>
      <c r="B1509" s="22"/>
      <c r="C1509" s="23" t="str">
        <f aca="false">IF(A1509="","",IFERROR(buscarx(A1509&amp;B1509,DATA!$E$3:$E$10000&amp;DATA!$B$3:$B$10000,DATA!$M$3:$M$10000),"No encontrado"))</f>
        <v/>
      </c>
      <c r="D1509" s="24" t="str">
        <f aca="false">IF(A1509="","",IFERROR(buscarx(A1509&amp;B1509,DATA!$E$3:$E$10000&amp;DATA!$B$3:$B$10000,DATA!$W$3:$W$10000),"No encontrado"))</f>
        <v/>
      </c>
      <c r="E1509" s="22"/>
      <c r="F1509" s="23" t="str">
        <f aca="false">IF(A1509="","",IFERROR(buscarx(A1509&amp;E1509,DATA!$E$3:$E$10000&amp;DATA!$B$3:$B$10000,DATA!$M$3:$M$10000),"Inactivo"))</f>
        <v/>
      </c>
      <c r="G1509" s="25" t="str">
        <f aca="false">IF(A1509="","",IF(AND(C1509&lt;&gt;"No encontrado",F1509&lt;&gt;"Inactivo"),C1509&amp;" → "&amp;F1509,"Sin transición"))</f>
        <v/>
      </c>
      <c r="H1509" s="23" t="str">
        <f aca="false">IF(A1509="","",IF(D1509="GCIA LINEA SERVICIO DIGITALIDAD Y VENTAS","Chats",IF(OR(D1509="GERENCIA INBOUND LÍNEAS SERVICIO Y VENTA",D1509="GERENCIA INBOUND LINEAS ESPECIALIZADAS"),"Llamadas","Otro")))</f>
        <v/>
      </c>
      <c r="I1509" s="23" t="str">
        <f aca="false">IF(A1509="","",IF(C1509="No encontrado","No","Sí"))</f>
        <v/>
      </c>
      <c r="J1509" s="23" t="str">
        <f aca="false">IF(A1509="","",IF(F1509="Inactivo","No","Sí"))</f>
        <v/>
      </c>
      <c r="K1509" s="23" t="str">
        <f aca="false">IF(A1509="","",IF(AND(I1509="Sí",J1509="Sí"),"Sí","No"))</f>
        <v/>
      </c>
    </row>
    <row r="1510" customFormat="false" ht="15" hidden="false" customHeight="false" outlineLevel="0" collapsed="false">
      <c r="A1510" s="22"/>
      <c r="B1510" s="22"/>
      <c r="C1510" s="26" t="str">
        <f aca="false">IF(A1510="","",IFERROR(buscarx(A1510&amp;B1510,DATA!$E$3:$E$10000&amp;DATA!$B$3:$B$10000,DATA!$M$3:$M$10000),"No encontrado"))</f>
        <v/>
      </c>
      <c r="D1510" s="27" t="str">
        <f aca="false">IF(A1510="","",IFERROR(buscarx(A1510&amp;B1510,DATA!$E$3:$E$10000&amp;DATA!$B$3:$B$10000,DATA!$W$3:$W$10000),"No encontrado"))</f>
        <v/>
      </c>
      <c r="E1510" s="22"/>
      <c r="F1510" s="26" t="str">
        <f aca="false">IF(A1510="","",IFERROR(buscarx(A1510&amp;E1510,DATA!$E$3:$E$10000&amp;DATA!$B$3:$B$10000,DATA!$M$3:$M$10000),"Inactivo"))</f>
        <v/>
      </c>
      <c r="G1510" s="28" t="str">
        <f aca="false">IF(A1510="","",IF(AND(C1510&lt;&gt;"No encontrado",F1510&lt;&gt;"Inactivo"),C1510&amp;" → "&amp;F1510,"Sin transición"))</f>
        <v/>
      </c>
      <c r="H1510" s="26" t="str">
        <f aca="false">IF(A1510="","",IF(D1510="GCIA LINEA SERVICIO DIGITALIDAD Y VENTAS","Chats",IF(OR(D1510="GERENCIA INBOUND LÍNEAS SERVICIO Y VENTA",D1510="GERENCIA INBOUND LINEAS ESPECIALIZADAS"),"Llamadas","Otro")))</f>
        <v/>
      </c>
      <c r="I1510" s="26" t="str">
        <f aca="false">IF(A1510="","",IF(C1510="No encontrado","No","Sí"))</f>
        <v/>
      </c>
      <c r="J1510" s="26" t="str">
        <f aca="false">IF(A1510="","",IF(F1510="Inactivo","No","Sí"))</f>
        <v/>
      </c>
      <c r="K1510" s="26" t="str">
        <f aca="false">IF(A1510="","",IF(AND(I1510="Sí",J1510="Sí"),"Sí","No"))</f>
        <v/>
      </c>
    </row>
    <row r="1511" customFormat="false" ht="15" hidden="false" customHeight="false" outlineLevel="0" collapsed="false">
      <c r="A1511" s="22"/>
      <c r="B1511" s="22"/>
      <c r="C1511" s="23" t="str">
        <f aca="false">IF(A1511="","",IFERROR(buscarx(A1511&amp;B1511,DATA!$E$3:$E$10000&amp;DATA!$B$3:$B$10000,DATA!$M$3:$M$10000),"No encontrado"))</f>
        <v/>
      </c>
      <c r="D1511" s="24" t="str">
        <f aca="false">IF(A1511="","",IFERROR(buscarx(A1511&amp;B1511,DATA!$E$3:$E$10000&amp;DATA!$B$3:$B$10000,DATA!$W$3:$W$10000),"No encontrado"))</f>
        <v/>
      </c>
      <c r="E1511" s="22"/>
      <c r="F1511" s="23" t="str">
        <f aca="false">IF(A1511="","",IFERROR(buscarx(A1511&amp;E1511,DATA!$E$3:$E$10000&amp;DATA!$B$3:$B$10000,DATA!$M$3:$M$10000),"Inactivo"))</f>
        <v/>
      </c>
      <c r="G1511" s="25" t="str">
        <f aca="false">IF(A1511="","",IF(AND(C1511&lt;&gt;"No encontrado",F1511&lt;&gt;"Inactivo"),C1511&amp;" → "&amp;F1511,"Sin transición"))</f>
        <v/>
      </c>
      <c r="H1511" s="23" t="str">
        <f aca="false">IF(A1511="","",IF(D1511="GCIA LINEA SERVICIO DIGITALIDAD Y VENTAS","Chats",IF(OR(D1511="GERENCIA INBOUND LÍNEAS SERVICIO Y VENTA",D1511="GERENCIA INBOUND LINEAS ESPECIALIZADAS"),"Llamadas","Otro")))</f>
        <v/>
      </c>
      <c r="I1511" s="23" t="str">
        <f aca="false">IF(A1511="","",IF(C1511="No encontrado","No","Sí"))</f>
        <v/>
      </c>
      <c r="J1511" s="23" t="str">
        <f aca="false">IF(A1511="","",IF(F1511="Inactivo","No","Sí"))</f>
        <v/>
      </c>
      <c r="K1511" s="23" t="str">
        <f aca="false">IF(A1511="","",IF(AND(I1511="Sí",J1511="Sí"),"Sí","No"))</f>
        <v/>
      </c>
    </row>
    <row r="1512" customFormat="false" ht="15" hidden="false" customHeight="false" outlineLevel="0" collapsed="false">
      <c r="A1512" s="22"/>
      <c r="B1512" s="22"/>
      <c r="C1512" s="26" t="str">
        <f aca="false">IF(A1512="","",IFERROR(buscarx(A1512&amp;B1512,DATA!$E$3:$E$10000&amp;DATA!$B$3:$B$10000,DATA!$M$3:$M$10000),"No encontrado"))</f>
        <v/>
      </c>
      <c r="D1512" s="27" t="str">
        <f aca="false">IF(A1512="","",IFERROR(buscarx(A1512&amp;B1512,DATA!$E$3:$E$10000&amp;DATA!$B$3:$B$10000,DATA!$W$3:$W$10000),"No encontrado"))</f>
        <v/>
      </c>
      <c r="E1512" s="22"/>
      <c r="F1512" s="26" t="str">
        <f aca="false">IF(A1512="","",IFERROR(buscarx(A1512&amp;E1512,DATA!$E$3:$E$10000&amp;DATA!$B$3:$B$10000,DATA!$M$3:$M$10000),"Inactivo"))</f>
        <v/>
      </c>
      <c r="G1512" s="28" t="str">
        <f aca="false">IF(A1512="","",IF(AND(C1512&lt;&gt;"No encontrado",F1512&lt;&gt;"Inactivo"),C1512&amp;" → "&amp;F1512,"Sin transición"))</f>
        <v/>
      </c>
      <c r="H1512" s="26" t="str">
        <f aca="false">IF(A1512="","",IF(D1512="GCIA LINEA SERVICIO DIGITALIDAD Y VENTAS","Chats",IF(OR(D1512="GERENCIA INBOUND LÍNEAS SERVICIO Y VENTA",D1512="GERENCIA INBOUND LINEAS ESPECIALIZADAS"),"Llamadas","Otro")))</f>
        <v/>
      </c>
      <c r="I1512" s="26" t="str">
        <f aca="false">IF(A1512="","",IF(C1512="No encontrado","No","Sí"))</f>
        <v/>
      </c>
      <c r="J1512" s="26" t="str">
        <f aca="false">IF(A1512="","",IF(F1512="Inactivo","No","Sí"))</f>
        <v/>
      </c>
      <c r="K1512" s="26" t="str">
        <f aca="false">IF(A1512="","",IF(AND(I1512="Sí",J1512="Sí"),"Sí","No"))</f>
        <v/>
      </c>
    </row>
    <row r="1513" customFormat="false" ht="15" hidden="false" customHeight="false" outlineLevel="0" collapsed="false">
      <c r="A1513" s="22"/>
      <c r="B1513" s="22"/>
      <c r="C1513" s="23" t="str">
        <f aca="false">IF(A1513="","",IFERROR(buscarx(A1513&amp;B1513,DATA!$E$3:$E$10000&amp;DATA!$B$3:$B$10000,DATA!$M$3:$M$10000),"No encontrado"))</f>
        <v/>
      </c>
      <c r="D1513" s="24" t="str">
        <f aca="false">IF(A1513="","",IFERROR(buscarx(A1513&amp;B1513,DATA!$E$3:$E$10000&amp;DATA!$B$3:$B$10000,DATA!$W$3:$W$10000),"No encontrado"))</f>
        <v/>
      </c>
      <c r="E1513" s="22"/>
      <c r="F1513" s="23" t="str">
        <f aca="false">IF(A1513="","",IFERROR(buscarx(A1513&amp;E1513,DATA!$E$3:$E$10000&amp;DATA!$B$3:$B$10000,DATA!$M$3:$M$10000),"Inactivo"))</f>
        <v/>
      </c>
      <c r="G1513" s="25" t="str">
        <f aca="false">IF(A1513="","",IF(AND(C1513&lt;&gt;"No encontrado",F1513&lt;&gt;"Inactivo"),C1513&amp;" → "&amp;F1513,"Sin transición"))</f>
        <v/>
      </c>
      <c r="H1513" s="23" t="str">
        <f aca="false">IF(A1513="","",IF(D1513="GCIA LINEA SERVICIO DIGITALIDAD Y VENTAS","Chats",IF(OR(D1513="GERENCIA INBOUND LÍNEAS SERVICIO Y VENTA",D1513="GERENCIA INBOUND LINEAS ESPECIALIZADAS"),"Llamadas","Otro")))</f>
        <v/>
      </c>
      <c r="I1513" s="23" t="str">
        <f aca="false">IF(A1513="","",IF(C1513="No encontrado","No","Sí"))</f>
        <v/>
      </c>
      <c r="J1513" s="23" t="str">
        <f aca="false">IF(A1513="","",IF(F1513="Inactivo","No","Sí"))</f>
        <v/>
      </c>
      <c r="K1513" s="23" t="str">
        <f aca="false">IF(A1513="","",IF(AND(I1513="Sí",J1513="Sí"),"Sí","No"))</f>
        <v/>
      </c>
    </row>
    <row r="1514" customFormat="false" ht="15" hidden="false" customHeight="false" outlineLevel="0" collapsed="false">
      <c r="A1514" s="22"/>
      <c r="B1514" s="22"/>
      <c r="C1514" s="26" t="str">
        <f aca="false">IF(A1514="","",IFERROR(buscarx(A1514&amp;B1514,DATA!$E$3:$E$10000&amp;DATA!$B$3:$B$10000,DATA!$M$3:$M$10000),"No encontrado"))</f>
        <v/>
      </c>
      <c r="D1514" s="27" t="str">
        <f aca="false">IF(A1514="","",IFERROR(buscarx(A1514&amp;B1514,DATA!$E$3:$E$10000&amp;DATA!$B$3:$B$10000,DATA!$W$3:$W$10000),"No encontrado"))</f>
        <v/>
      </c>
      <c r="E1514" s="22"/>
      <c r="F1514" s="26" t="str">
        <f aca="false">IF(A1514="","",IFERROR(buscarx(A1514&amp;E1514,DATA!$E$3:$E$10000&amp;DATA!$B$3:$B$10000,DATA!$M$3:$M$10000),"Inactivo"))</f>
        <v/>
      </c>
      <c r="G1514" s="28" t="str">
        <f aca="false">IF(A1514="","",IF(AND(C1514&lt;&gt;"No encontrado",F1514&lt;&gt;"Inactivo"),C1514&amp;" → "&amp;F1514,"Sin transición"))</f>
        <v/>
      </c>
      <c r="H1514" s="26" t="str">
        <f aca="false">IF(A1514="","",IF(D1514="GCIA LINEA SERVICIO DIGITALIDAD Y VENTAS","Chats",IF(OR(D1514="GERENCIA INBOUND LÍNEAS SERVICIO Y VENTA",D1514="GERENCIA INBOUND LINEAS ESPECIALIZADAS"),"Llamadas","Otro")))</f>
        <v/>
      </c>
      <c r="I1514" s="26" t="str">
        <f aca="false">IF(A1514="","",IF(C1514="No encontrado","No","Sí"))</f>
        <v/>
      </c>
      <c r="J1514" s="26" t="str">
        <f aca="false">IF(A1514="","",IF(F1514="Inactivo","No","Sí"))</f>
        <v/>
      </c>
      <c r="K1514" s="26" t="str">
        <f aca="false">IF(A1514="","",IF(AND(I1514="Sí",J1514="Sí"),"Sí","No"))</f>
        <v/>
      </c>
    </row>
    <row r="1515" customFormat="false" ht="15" hidden="false" customHeight="false" outlineLevel="0" collapsed="false">
      <c r="A1515" s="22"/>
      <c r="B1515" s="22"/>
      <c r="C1515" s="23" t="str">
        <f aca="false">IF(A1515="","",IFERROR(buscarx(A1515&amp;B1515,DATA!$E$3:$E$10000&amp;DATA!$B$3:$B$10000,DATA!$M$3:$M$10000),"No encontrado"))</f>
        <v/>
      </c>
      <c r="D1515" s="24" t="str">
        <f aca="false">IF(A1515="","",IFERROR(buscarx(A1515&amp;B1515,DATA!$E$3:$E$10000&amp;DATA!$B$3:$B$10000,DATA!$W$3:$W$10000),"No encontrado"))</f>
        <v/>
      </c>
      <c r="E1515" s="22"/>
      <c r="F1515" s="23" t="str">
        <f aca="false">IF(A1515="","",IFERROR(buscarx(A1515&amp;E1515,DATA!$E$3:$E$10000&amp;DATA!$B$3:$B$10000,DATA!$M$3:$M$10000),"Inactivo"))</f>
        <v/>
      </c>
      <c r="G1515" s="25" t="str">
        <f aca="false">IF(A1515="","",IF(AND(C1515&lt;&gt;"No encontrado",F1515&lt;&gt;"Inactivo"),C1515&amp;" → "&amp;F1515,"Sin transición"))</f>
        <v/>
      </c>
      <c r="H1515" s="23" t="str">
        <f aca="false">IF(A1515="","",IF(D1515="GCIA LINEA SERVICIO DIGITALIDAD Y VENTAS","Chats",IF(OR(D1515="GERENCIA INBOUND LÍNEAS SERVICIO Y VENTA",D1515="GERENCIA INBOUND LINEAS ESPECIALIZADAS"),"Llamadas","Otro")))</f>
        <v/>
      </c>
      <c r="I1515" s="23" t="str">
        <f aca="false">IF(A1515="","",IF(C1515="No encontrado","No","Sí"))</f>
        <v/>
      </c>
      <c r="J1515" s="23" t="str">
        <f aca="false">IF(A1515="","",IF(F1515="Inactivo","No","Sí"))</f>
        <v/>
      </c>
      <c r="K1515" s="23" t="str">
        <f aca="false">IF(A1515="","",IF(AND(I1515="Sí",J1515="Sí"),"Sí","No"))</f>
        <v/>
      </c>
    </row>
    <row r="1516" customFormat="false" ht="15" hidden="false" customHeight="false" outlineLevel="0" collapsed="false">
      <c r="A1516" s="22"/>
      <c r="B1516" s="22"/>
      <c r="C1516" s="26" t="str">
        <f aca="false">IF(A1516="","",IFERROR(buscarx(A1516&amp;B1516,DATA!$E$3:$E$10000&amp;DATA!$B$3:$B$10000,DATA!$M$3:$M$10000),"No encontrado"))</f>
        <v/>
      </c>
      <c r="D1516" s="27" t="str">
        <f aca="false">IF(A1516="","",IFERROR(buscarx(A1516&amp;B1516,DATA!$E$3:$E$10000&amp;DATA!$B$3:$B$10000,DATA!$W$3:$W$10000),"No encontrado"))</f>
        <v/>
      </c>
      <c r="E1516" s="22"/>
      <c r="F1516" s="26" t="str">
        <f aca="false">IF(A1516="","",IFERROR(buscarx(A1516&amp;E1516,DATA!$E$3:$E$10000&amp;DATA!$B$3:$B$10000,DATA!$M$3:$M$10000),"Inactivo"))</f>
        <v/>
      </c>
      <c r="G1516" s="28" t="str">
        <f aca="false">IF(A1516="","",IF(AND(C1516&lt;&gt;"No encontrado",F1516&lt;&gt;"Inactivo"),C1516&amp;" → "&amp;F1516,"Sin transición"))</f>
        <v/>
      </c>
      <c r="H1516" s="26" t="str">
        <f aca="false">IF(A1516="","",IF(D1516="GCIA LINEA SERVICIO DIGITALIDAD Y VENTAS","Chats",IF(OR(D1516="GERENCIA INBOUND LÍNEAS SERVICIO Y VENTA",D1516="GERENCIA INBOUND LINEAS ESPECIALIZADAS"),"Llamadas","Otro")))</f>
        <v/>
      </c>
      <c r="I1516" s="26" t="str">
        <f aca="false">IF(A1516="","",IF(C1516="No encontrado","No","Sí"))</f>
        <v/>
      </c>
      <c r="J1516" s="26" t="str">
        <f aca="false">IF(A1516="","",IF(F1516="Inactivo","No","Sí"))</f>
        <v/>
      </c>
      <c r="K1516" s="26" t="str">
        <f aca="false">IF(A1516="","",IF(AND(I1516="Sí",J1516="Sí"),"Sí","No"))</f>
        <v/>
      </c>
    </row>
    <row r="1517" customFormat="false" ht="15" hidden="false" customHeight="false" outlineLevel="0" collapsed="false">
      <c r="A1517" s="22"/>
      <c r="B1517" s="22"/>
      <c r="C1517" s="23" t="str">
        <f aca="false">IF(A1517="","",IFERROR(buscarx(A1517&amp;B1517,DATA!$E$3:$E$10000&amp;DATA!$B$3:$B$10000,DATA!$M$3:$M$10000),"No encontrado"))</f>
        <v/>
      </c>
      <c r="D1517" s="24" t="str">
        <f aca="false">IF(A1517="","",IFERROR(buscarx(A1517&amp;B1517,DATA!$E$3:$E$10000&amp;DATA!$B$3:$B$10000,DATA!$W$3:$W$10000),"No encontrado"))</f>
        <v/>
      </c>
      <c r="E1517" s="22"/>
      <c r="F1517" s="23" t="str">
        <f aca="false">IF(A1517="","",IFERROR(buscarx(A1517&amp;E1517,DATA!$E$3:$E$10000&amp;DATA!$B$3:$B$10000,DATA!$M$3:$M$10000),"Inactivo"))</f>
        <v/>
      </c>
      <c r="G1517" s="25" t="str">
        <f aca="false">IF(A1517="","",IF(AND(C1517&lt;&gt;"No encontrado",F1517&lt;&gt;"Inactivo"),C1517&amp;" → "&amp;F1517,"Sin transición"))</f>
        <v/>
      </c>
      <c r="H1517" s="23" t="str">
        <f aca="false">IF(A1517="","",IF(D1517="GCIA LINEA SERVICIO DIGITALIDAD Y VENTAS","Chats",IF(OR(D1517="GERENCIA INBOUND LÍNEAS SERVICIO Y VENTA",D1517="GERENCIA INBOUND LINEAS ESPECIALIZADAS"),"Llamadas","Otro")))</f>
        <v/>
      </c>
      <c r="I1517" s="23" t="str">
        <f aca="false">IF(A1517="","",IF(C1517="No encontrado","No","Sí"))</f>
        <v/>
      </c>
      <c r="J1517" s="23" t="str">
        <f aca="false">IF(A1517="","",IF(F1517="Inactivo","No","Sí"))</f>
        <v/>
      </c>
      <c r="K1517" s="23" t="str">
        <f aca="false">IF(A1517="","",IF(AND(I1517="Sí",J1517="Sí"),"Sí","No"))</f>
        <v/>
      </c>
    </row>
    <row r="1518" customFormat="false" ht="15" hidden="false" customHeight="false" outlineLevel="0" collapsed="false">
      <c r="A1518" s="22"/>
      <c r="B1518" s="22"/>
      <c r="C1518" s="26" t="str">
        <f aca="false">IF(A1518="","",IFERROR(buscarx(A1518&amp;B1518,DATA!$E$3:$E$10000&amp;DATA!$B$3:$B$10000,DATA!$M$3:$M$10000),"No encontrado"))</f>
        <v/>
      </c>
      <c r="D1518" s="27" t="str">
        <f aca="false">IF(A1518="","",IFERROR(buscarx(A1518&amp;B1518,DATA!$E$3:$E$10000&amp;DATA!$B$3:$B$10000,DATA!$W$3:$W$10000),"No encontrado"))</f>
        <v/>
      </c>
      <c r="E1518" s="22"/>
      <c r="F1518" s="26" t="str">
        <f aca="false">IF(A1518="","",IFERROR(buscarx(A1518&amp;E1518,DATA!$E$3:$E$10000&amp;DATA!$B$3:$B$10000,DATA!$M$3:$M$10000),"Inactivo"))</f>
        <v/>
      </c>
      <c r="G1518" s="28" t="str">
        <f aca="false">IF(A1518="","",IF(AND(C1518&lt;&gt;"No encontrado",F1518&lt;&gt;"Inactivo"),C1518&amp;" → "&amp;F1518,"Sin transición"))</f>
        <v/>
      </c>
      <c r="H1518" s="26" t="str">
        <f aca="false">IF(A1518="","",IF(D1518="GCIA LINEA SERVICIO DIGITALIDAD Y VENTAS","Chats",IF(OR(D1518="GERENCIA INBOUND LÍNEAS SERVICIO Y VENTA",D1518="GERENCIA INBOUND LINEAS ESPECIALIZADAS"),"Llamadas","Otro")))</f>
        <v/>
      </c>
      <c r="I1518" s="26" t="str">
        <f aca="false">IF(A1518="","",IF(C1518="No encontrado","No","Sí"))</f>
        <v/>
      </c>
      <c r="J1518" s="26" t="str">
        <f aca="false">IF(A1518="","",IF(F1518="Inactivo","No","Sí"))</f>
        <v/>
      </c>
      <c r="K1518" s="26" t="str">
        <f aca="false">IF(A1518="","",IF(AND(I1518="Sí",J1518="Sí"),"Sí","No"))</f>
        <v/>
      </c>
    </row>
    <row r="1519" customFormat="false" ht="15" hidden="false" customHeight="false" outlineLevel="0" collapsed="false">
      <c r="A1519" s="22"/>
      <c r="B1519" s="22"/>
      <c r="C1519" s="23" t="str">
        <f aca="false">IF(A1519="","",IFERROR(buscarx(A1519&amp;B1519,DATA!$E$3:$E$10000&amp;DATA!$B$3:$B$10000,DATA!$M$3:$M$10000),"No encontrado"))</f>
        <v/>
      </c>
      <c r="D1519" s="24" t="str">
        <f aca="false">IF(A1519="","",IFERROR(buscarx(A1519&amp;B1519,DATA!$E$3:$E$10000&amp;DATA!$B$3:$B$10000,DATA!$W$3:$W$10000),"No encontrado"))</f>
        <v/>
      </c>
      <c r="E1519" s="22"/>
      <c r="F1519" s="23" t="str">
        <f aca="false">IF(A1519="","",IFERROR(buscarx(A1519&amp;E1519,DATA!$E$3:$E$10000&amp;DATA!$B$3:$B$10000,DATA!$M$3:$M$10000),"Inactivo"))</f>
        <v/>
      </c>
      <c r="G1519" s="25" t="str">
        <f aca="false">IF(A1519="","",IF(AND(C1519&lt;&gt;"No encontrado",F1519&lt;&gt;"Inactivo"),C1519&amp;" → "&amp;F1519,"Sin transición"))</f>
        <v/>
      </c>
      <c r="H1519" s="23" t="str">
        <f aca="false">IF(A1519="","",IF(D1519="GCIA LINEA SERVICIO DIGITALIDAD Y VENTAS","Chats",IF(OR(D1519="GERENCIA INBOUND LÍNEAS SERVICIO Y VENTA",D1519="GERENCIA INBOUND LINEAS ESPECIALIZADAS"),"Llamadas","Otro")))</f>
        <v/>
      </c>
      <c r="I1519" s="23" t="str">
        <f aca="false">IF(A1519="","",IF(C1519="No encontrado","No","Sí"))</f>
        <v/>
      </c>
      <c r="J1519" s="23" t="str">
        <f aca="false">IF(A1519="","",IF(F1519="Inactivo","No","Sí"))</f>
        <v/>
      </c>
      <c r="K1519" s="23" t="str">
        <f aca="false">IF(A1519="","",IF(AND(I1519="Sí",J1519="Sí"),"Sí","No"))</f>
        <v/>
      </c>
    </row>
    <row r="1520" customFormat="false" ht="15" hidden="false" customHeight="false" outlineLevel="0" collapsed="false">
      <c r="A1520" s="22"/>
      <c r="B1520" s="22"/>
      <c r="C1520" s="26" t="str">
        <f aca="false">IF(A1520="","",IFERROR(buscarx(A1520&amp;B1520,DATA!$E$3:$E$10000&amp;DATA!$B$3:$B$10000,DATA!$M$3:$M$10000),"No encontrado"))</f>
        <v/>
      </c>
      <c r="D1520" s="27" t="str">
        <f aca="false">IF(A1520="","",IFERROR(buscarx(A1520&amp;B1520,DATA!$E$3:$E$10000&amp;DATA!$B$3:$B$10000,DATA!$W$3:$W$10000),"No encontrado"))</f>
        <v/>
      </c>
      <c r="E1520" s="22"/>
      <c r="F1520" s="26" t="str">
        <f aca="false">IF(A1520="","",IFERROR(buscarx(A1520&amp;E1520,DATA!$E$3:$E$10000&amp;DATA!$B$3:$B$10000,DATA!$M$3:$M$10000),"Inactivo"))</f>
        <v/>
      </c>
      <c r="G1520" s="28" t="str">
        <f aca="false">IF(A1520="","",IF(AND(C1520&lt;&gt;"No encontrado",F1520&lt;&gt;"Inactivo"),C1520&amp;" → "&amp;F1520,"Sin transición"))</f>
        <v/>
      </c>
      <c r="H1520" s="26" t="str">
        <f aca="false">IF(A1520="","",IF(D1520="GCIA LINEA SERVICIO DIGITALIDAD Y VENTAS","Chats",IF(OR(D1520="GERENCIA INBOUND LÍNEAS SERVICIO Y VENTA",D1520="GERENCIA INBOUND LINEAS ESPECIALIZADAS"),"Llamadas","Otro")))</f>
        <v/>
      </c>
      <c r="I1520" s="26" t="str">
        <f aca="false">IF(A1520="","",IF(C1520="No encontrado","No","Sí"))</f>
        <v/>
      </c>
      <c r="J1520" s="26" t="str">
        <f aca="false">IF(A1520="","",IF(F1520="Inactivo","No","Sí"))</f>
        <v/>
      </c>
      <c r="K1520" s="26" t="str">
        <f aca="false">IF(A1520="","",IF(AND(I1520="Sí",J1520="Sí"),"Sí","No"))</f>
        <v/>
      </c>
    </row>
    <row r="1521" customFormat="false" ht="15" hidden="false" customHeight="false" outlineLevel="0" collapsed="false">
      <c r="A1521" s="22"/>
      <c r="B1521" s="22"/>
      <c r="C1521" s="23" t="str">
        <f aca="false">IF(A1521="","",IFERROR(buscarx(A1521&amp;B1521,DATA!$E$3:$E$10000&amp;DATA!$B$3:$B$10000,DATA!$M$3:$M$10000),"No encontrado"))</f>
        <v/>
      </c>
      <c r="D1521" s="24" t="str">
        <f aca="false">IF(A1521="","",IFERROR(buscarx(A1521&amp;B1521,DATA!$E$3:$E$10000&amp;DATA!$B$3:$B$10000,DATA!$W$3:$W$10000),"No encontrado"))</f>
        <v/>
      </c>
      <c r="E1521" s="22"/>
      <c r="F1521" s="23" t="str">
        <f aca="false">IF(A1521="","",IFERROR(buscarx(A1521&amp;E1521,DATA!$E$3:$E$10000&amp;DATA!$B$3:$B$10000,DATA!$M$3:$M$10000),"Inactivo"))</f>
        <v/>
      </c>
      <c r="G1521" s="25" t="str">
        <f aca="false">IF(A1521="","",IF(AND(C1521&lt;&gt;"No encontrado",F1521&lt;&gt;"Inactivo"),C1521&amp;" → "&amp;F1521,"Sin transición"))</f>
        <v/>
      </c>
      <c r="H1521" s="23" t="str">
        <f aca="false">IF(A1521="","",IF(D1521="GCIA LINEA SERVICIO DIGITALIDAD Y VENTAS","Chats",IF(OR(D1521="GERENCIA INBOUND LÍNEAS SERVICIO Y VENTA",D1521="GERENCIA INBOUND LINEAS ESPECIALIZADAS"),"Llamadas","Otro")))</f>
        <v/>
      </c>
      <c r="I1521" s="23" t="str">
        <f aca="false">IF(A1521="","",IF(C1521="No encontrado","No","Sí"))</f>
        <v/>
      </c>
      <c r="J1521" s="23" t="str">
        <f aca="false">IF(A1521="","",IF(F1521="Inactivo","No","Sí"))</f>
        <v/>
      </c>
      <c r="K1521" s="23" t="str">
        <f aca="false">IF(A1521="","",IF(AND(I1521="Sí",J1521="Sí"),"Sí","No"))</f>
        <v/>
      </c>
    </row>
    <row r="1522" customFormat="false" ht="15" hidden="false" customHeight="false" outlineLevel="0" collapsed="false">
      <c r="A1522" s="22"/>
      <c r="B1522" s="22"/>
      <c r="C1522" s="26" t="str">
        <f aca="false">IF(A1522="","",IFERROR(buscarx(A1522&amp;B1522,DATA!$E$3:$E$10000&amp;DATA!$B$3:$B$10000,DATA!$M$3:$M$10000),"No encontrado"))</f>
        <v/>
      </c>
      <c r="D1522" s="27" t="str">
        <f aca="false">IF(A1522="","",IFERROR(buscarx(A1522&amp;B1522,DATA!$E$3:$E$10000&amp;DATA!$B$3:$B$10000,DATA!$W$3:$W$10000),"No encontrado"))</f>
        <v/>
      </c>
      <c r="E1522" s="22"/>
      <c r="F1522" s="26" t="str">
        <f aca="false">IF(A1522="","",IFERROR(buscarx(A1522&amp;E1522,DATA!$E$3:$E$10000&amp;DATA!$B$3:$B$10000,DATA!$M$3:$M$10000),"Inactivo"))</f>
        <v/>
      </c>
      <c r="G1522" s="28" t="str">
        <f aca="false">IF(A1522="","",IF(AND(C1522&lt;&gt;"No encontrado",F1522&lt;&gt;"Inactivo"),C1522&amp;" → "&amp;F1522,"Sin transición"))</f>
        <v/>
      </c>
      <c r="H1522" s="26" t="str">
        <f aca="false">IF(A1522="","",IF(D1522="GCIA LINEA SERVICIO DIGITALIDAD Y VENTAS","Chats",IF(OR(D1522="GERENCIA INBOUND LÍNEAS SERVICIO Y VENTA",D1522="GERENCIA INBOUND LINEAS ESPECIALIZADAS"),"Llamadas","Otro")))</f>
        <v/>
      </c>
      <c r="I1522" s="26" t="str">
        <f aca="false">IF(A1522="","",IF(C1522="No encontrado","No","Sí"))</f>
        <v/>
      </c>
      <c r="J1522" s="26" t="str">
        <f aca="false">IF(A1522="","",IF(F1522="Inactivo","No","Sí"))</f>
        <v/>
      </c>
      <c r="K1522" s="26" t="str">
        <f aca="false">IF(A1522="","",IF(AND(I1522="Sí",J1522="Sí"),"Sí","No"))</f>
        <v/>
      </c>
    </row>
    <row r="1523" customFormat="false" ht="15" hidden="false" customHeight="false" outlineLevel="0" collapsed="false">
      <c r="A1523" s="22"/>
      <c r="B1523" s="22"/>
      <c r="C1523" s="23" t="str">
        <f aca="false">IF(A1523="","",IFERROR(buscarx(A1523&amp;B1523,DATA!$E$3:$E$10000&amp;DATA!$B$3:$B$10000,DATA!$M$3:$M$10000),"No encontrado"))</f>
        <v/>
      </c>
      <c r="D1523" s="24" t="str">
        <f aca="false">IF(A1523="","",IFERROR(buscarx(A1523&amp;B1523,DATA!$E$3:$E$10000&amp;DATA!$B$3:$B$10000,DATA!$W$3:$W$10000),"No encontrado"))</f>
        <v/>
      </c>
      <c r="E1523" s="22"/>
      <c r="F1523" s="23" t="str">
        <f aca="false">IF(A1523="","",IFERROR(buscarx(A1523&amp;E1523,DATA!$E$3:$E$10000&amp;DATA!$B$3:$B$10000,DATA!$M$3:$M$10000),"Inactivo"))</f>
        <v/>
      </c>
      <c r="G1523" s="25" t="str">
        <f aca="false">IF(A1523="","",IF(AND(C1523&lt;&gt;"No encontrado",F1523&lt;&gt;"Inactivo"),C1523&amp;" → "&amp;F1523,"Sin transición"))</f>
        <v/>
      </c>
      <c r="H1523" s="23" t="str">
        <f aca="false">IF(A1523="","",IF(D1523="GCIA LINEA SERVICIO DIGITALIDAD Y VENTAS","Chats",IF(OR(D1523="GERENCIA INBOUND LÍNEAS SERVICIO Y VENTA",D1523="GERENCIA INBOUND LINEAS ESPECIALIZADAS"),"Llamadas","Otro")))</f>
        <v/>
      </c>
      <c r="I1523" s="23" t="str">
        <f aca="false">IF(A1523="","",IF(C1523="No encontrado","No","Sí"))</f>
        <v/>
      </c>
      <c r="J1523" s="23" t="str">
        <f aca="false">IF(A1523="","",IF(F1523="Inactivo","No","Sí"))</f>
        <v/>
      </c>
      <c r="K1523" s="23" t="str">
        <f aca="false">IF(A1523="","",IF(AND(I1523="Sí",J1523="Sí"),"Sí","No"))</f>
        <v/>
      </c>
    </row>
    <row r="1524" customFormat="false" ht="15" hidden="false" customHeight="false" outlineLevel="0" collapsed="false">
      <c r="A1524" s="22"/>
      <c r="B1524" s="22"/>
      <c r="C1524" s="26" t="str">
        <f aca="false">IF(A1524="","",IFERROR(buscarx(A1524&amp;B1524,DATA!$E$3:$E$10000&amp;DATA!$B$3:$B$10000,DATA!$M$3:$M$10000),"No encontrado"))</f>
        <v/>
      </c>
      <c r="D1524" s="27" t="str">
        <f aca="false">IF(A1524="","",IFERROR(buscarx(A1524&amp;B1524,DATA!$E$3:$E$10000&amp;DATA!$B$3:$B$10000,DATA!$W$3:$W$10000),"No encontrado"))</f>
        <v/>
      </c>
      <c r="E1524" s="22"/>
      <c r="F1524" s="26" t="str">
        <f aca="false">IF(A1524="","",IFERROR(buscarx(A1524&amp;E1524,DATA!$E$3:$E$10000&amp;DATA!$B$3:$B$10000,DATA!$M$3:$M$10000),"Inactivo"))</f>
        <v/>
      </c>
      <c r="G1524" s="28" t="str">
        <f aca="false">IF(A1524="","",IF(AND(C1524&lt;&gt;"No encontrado",F1524&lt;&gt;"Inactivo"),C1524&amp;" → "&amp;F1524,"Sin transición"))</f>
        <v/>
      </c>
      <c r="H1524" s="26" t="str">
        <f aca="false">IF(A1524="","",IF(D1524="GCIA LINEA SERVICIO DIGITALIDAD Y VENTAS","Chats",IF(OR(D1524="GERENCIA INBOUND LÍNEAS SERVICIO Y VENTA",D1524="GERENCIA INBOUND LINEAS ESPECIALIZADAS"),"Llamadas","Otro")))</f>
        <v/>
      </c>
      <c r="I1524" s="26" t="str">
        <f aca="false">IF(A1524="","",IF(C1524="No encontrado","No","Sí"))</f>
        <v/>
      </c>
      <c r="J1524" s="26" t="str">
        <f aca="false">IF(A1524="","",IF(F1524="Inactivo","No","Sí"))</f>
        <v/>
      </c>
      <c r="K1524" s="26" t="str">
        <f aca="false">IF(A1524="","",IF(AND(I1524="Sí",J1524="Sí"),"Sí","No"))</f>
        <v/>
      </c>
    </row>
    <row r="1525" customFormat="false" ht="15" hidden="false" customHeight="false" outlineLevel="0" collapsed="false">
      <c r="A1525" s="22"/>
      <c r="B1525" s="22"/>
      <c r="C1525" s="23" t="str">
        <f aca="false">IF(A1525="","",IFERROR(buscarx(A1525&amp;B1525,DATA!$E$3:$E$10000&amp;DATA!$B$3:$B$10000,DATA!$M$3:$M$10000),"No encontrado"))</f>
        <v/>
      </c>
      <c r="D1525" s="24" t="str">
        <f aca="false">IF(A1525="","",IFERROR(buscarx(A1525&amp;B1525,DATA!$E$3:$E$10000&amp;DATA!$B$3:$B$10000,DATA!$W$3:$W$10000),"No encontrado"))</f>
        <v/>
      </c>
      <c r="E1525" s="22"/>
      <c r="F1525" s="23" t="str">
        <f aca="false">IF(A1525="","",IFERROR(buscarx(A1525&amp;E1525,DATA!$E$3:$E$10000&amp;DATA!$B$3:$B$10000,DATA!$M$3:$M$10000),"Inactivo"))</f>
        <v/>
      </c>
      <c r="G1525" s="25" t="str">
        <f aca="false">IF(A1525="","",IF(AND(C1525&lt;&gt;"No encontrado",F1525&lt;&gt;"Inactivo"),C1525&amp;" → "&amp;F1525,"Sin transición"))</f>
        <v/>
      </c>
      <c r="H1525" s="23" t="str">
        <f aca="false">IF(A1525="","",IF(D1525="GCIA LINEA SERVICIO DIGITALIDAD Y VENTAS","Chats",IF(OR(D1525="GERENCIA INBOUND LÍNEAS SERVICIO Y VENTA",D1525="GERENCIA INBOUND LINEAS ESPECIALIZADAS"),"Llamadas","Otro")))</f>
        <v/>
      </c>
      <c r="I1525" s="23" t="str">
        <f aca="false">IF(A1525="","",IF(C1525="No encontrado","No","Sí"))</f>
        <v/>
      </c>
      <c r="J1525" s="23" t="str">
        <f aca="false">IF(A1525="","",IF(F1525="Inactivo","No","Sí"))</f>
        <v/>
      </c>
      <c r="K1525" s="23" t="str">
        <f aca="false">IF(A1525="","",IF(AND(I1525="Sí",J1525="Sí"),"Sí","No"))</f>
        <v/>
      </c>
    </row>
    <row r="1526" customFormat="false" ht="15" hidden="false" customHeight="false" outlineLevel="0" collapsed="false">
      <c r="A1526" s="22"/>
      <c r="B1526" s="22"/>
      <c r="C1526" s="26" t="str">
        <f aca="false">IF(A1526="","",IFERROR(buscarx(A1526&amp;B1526,DATA!$E$3:$E$10000&amp;DATA!$B$3:$B$10000,DATA!$M$3:$M$10000),"No encontrado"))</f>
        <v/>
      </c>
      <c r="D1526" s="27" t="str">
        <f aca="false">IF(A1526="","",IFERROR(buscarx(A1526&amp;B1526,DATA!$E$3:$E$10000&amp;DATA!$B$3:$B$10000,DATA!$W$3:$W$10000),"No encontrado"))</f>
        <v/>
      </c>
      <c r="E1526" s="22"/>
      <c r="F1526" s="26" t="str">
        <f aca="false">IF(A1526="","",IFERROR(buscarx(A1526&amp;E1526,DATA!$E$3:$E$10000&amp;DATA!$B$3:$B$10000,DATA!$M$3:$M$10000),"Inactivo"))</f>
        <v/>
      </c>
      <c r="G1526" s="28" t="str">
        <f aca="false">IF(A1526="","",IF(AND(C1526&lt;&gt;"No encontrado",F1526&lt;&gt;"Inactivo"),C1526&amp;" → "&amp;F1526,"Sin transición"))</f>
        <v/>
      </c>
      <c r="H1526" s="26" t="str">
        <f aca="false">IF(A1526="","",IF(D1526="GCIA LINEA SERVICIO DIGITALIDAD Y VENTAS","Chats",IF(OR(D1526="GERENCIA INBOUND LÍNEAS SERVICIO Y VENTA",D1526="GERENCIA INBOUND LINEAS ESPECIALIZADAS"),"Llamadas","Otro")))</f>
        <v/>
      </c>
      <c r="I1526" s="26" t="str">
        <f aca="false">IF(A1526="","",IF(C1526="No encontrado","No","Sí"))</f>
        <v/>
      </c>
      <c r="J1526" s="26" t="str">
        <f aca="false">IF(A1526="","",IF(F1526="Inactivo","No","Sí"))</f>
        <v/>
      </c>
      <c r="K1526" s="26" t="str">
        <f aca="false">IF(A1526="","",IF(AND(I1526="Sí",J1526="Sí"),"Sí","No"))</f>
        <v/>
      </c>
    </row>
    <row r="1527" customFormat="false" ht="15" hidden="false" customHeight="false" outlineLevel="0" collapsed="false">
      <c r="A1527" s="22"/>
      <c r="B1527" s="22"/>
      <c r="C1527" s="23" t="str">
        <f aca="false">IF(A1527="","",IFERROR(buscarx(A1527&amp;B1527,DATA!$E$3:$E$10000&amp;DATA!$B$3:$B$10000,DATA!$M$3:$M$10000),"No encontrado"))</f>
        <v/>
      </c>
      <c r="D1527" s="24" t="str">
        <f aca="false">IF(A1527="","",IFERROR(buscarx(A1527&amp;B1527,DATA!$E$3:$E$10000&amp;DATA!$B$3:$B$10000,DATA!$W$3:$W$10000),"No encontrado"))</f>
        <v/>
      </c>
      <c r="E1527" s="22"/>
      <c r="F1527" s="23" t="str">
        <f aca="false">IF(A1527="","",IFERROR(buscarx(A1527&amp;E1527,DATA!$E$3:$E$10000&amp;DATA!$B$3:$B$10000,DATA!$M$3:$M$10000),"Inactivo"))</f>
        <v/>
      </c>
      <c r="G1527" s="25" t="str">
        <f aca="false">IF(A1527="","",IF(AND(C1527&lt;&gt;"No encontrado",F1527&lt;&gt;"Inactivo"),C1527&amp;" → "&amp;F1527,"Sin transición"))</f>
        <v/>
      </c>
      <c r="H1527" s="23" t="str">
        <f aca="false">IF(A1527="","",IF(D1527="GCIA LINEA SERVICIO DIGITALIDAD Y VENTAS","Chats",IF(OR(D1527="GERENCIA INBOUND LÍNEAS SERVICIO Y VENTA",D1527="GERENCIA INBOUND LINEAS ESPECIALIZADAS"),"Llamadas","Otro")))</f>
        <v/>
      </c>
      <c r="I1527" s="23" t="str">
        <f aca="false">IF(A1527="","",IF(C1527="No encontrado","No","Sí"))</f>
        <v/>
      </c>
      <c r="J1527" s="23" t="str">
        <f aca="false">IF(A1527="","",IF(F1527="Inactivo","No","Sí"))</f>
        <v/>
      </c>
      <c r="K1527" s="23" t="str">
        <f aca="false">IF(A1527="","",IF(AND(I1527="Sí",J1527="Sí"),"Sí","No"))</f>
        <v/>
      </c>
    </row>
    <row r="1528" customFormat="false" ht="15" hidden="false" customHeight="false" outlineLevel="0" collapsed="false">
      <c r="A1528" s="22"/>
      <c r="B1528" s="22"/>
      <c r="C1528" s="26" t="str">
        <f aca="false">IF(A1528="","",IFERROR(buscarx(A1528&amp;B1528,DATA!$E$3:$E$10000&amp;DATA!$B$3:$B$10000,DATA!$M$3:$M$10000),"No encontrado"))</f>
        <v/>
      </c>
      <c r="D1528" s="27" t="str">
        <f aca="false">IF(A1528="","",IFERROR(buscarx(A1528&amp;B1528,DATA!$E$3:$E$10000&amp;DATA!$B$3:$B$10000,DATA!$W$3:$W$10000),"No encontrado"))</f>
        <v/>
      </c>
      <c r="E1528" s="22"/>
      <c r="F1528" s="26" t="str">
        <f aca="false">IF(A1528="","",IFERROR(buscarx(A1528&amp;E1528,DATA!$E$3:$E$10000&amp;DATA!$B$3:$B$10000,DATA!$M$3:$M$10000),"Inactivo"))</f>
        <v/>
      </c>
      <c r="G1528" s="28" t="str">
        <f aca="false">IF(A1528="","",IF(AND(C1528&lt;&gt;"No encontrado",F1528&lt;&gt;"Inactivo"),C1528&amp;" → "&amp;F1528,"Sin transición"))</f>
        <v/>
      </c>
      <c r="H1528" s="26" t="str">
        <f aca="false">IF(A1528="","",IF(D1528="GCIA LINEA SERVICIO DIGITALIDAD Y VENTAS","Chats",IF(OR(D1528="GERENCIA INBOUND LÍNEAS SERVICIO Y VENTA",D1528="GERENCIA INBOUND LINEAS ESPECIALIZADAS"),"Llamadas","Otro")))</f>
        <v/>
      </c>
      <c r="I1528" s="26" t="str">
        <f aca="false">IF(A1528="","",IF(C1528="No encontrado","No","Sí"))</f>
        <v/>
      </c>
      <c r="J1528" s="26" t="str">
        <f aca="false">IF(A1528="","",IF(F1528="Inactivo","No","Sí"))</f>
        <v/>
      </c>
      <c r="K1528" s="26" t="str">
        <f aca="false">IF(A1528="","",IF(AND(I1528="Sí",J1528="Sí"),"Sí","No"))</f>
        <v/>
      </c>
    </row>
    <row r="1529" customFormat="false" ht="15" hidden="false" customHeight="false" outlineLevel="0" collapsed="false">
      <c r="A1529" s="22"/>
      <c r="B1529" s="22"/>
      <c r="C1529" s="23" t="str">
        <f aca="false">IF(A1529="","",IFERROR(buscarx(A1529&amp;B1529,DATA!$E$3:$E$10000&amp;DATA!$B$3:$B$10000,DATA!$M$3:$M$10000),"No encontrado"))</f>
        <v/>
      </c>
      <c r="D1529" s="24" t="str">
        <f aca="false">IF(A1529="","",IFERROR(buscarx(A1529&amp;B1529,DATA!$E$3:$E$10000&amp;DATA!$B$3:$B$10000,DATA!$W$3:$W$10000),"No encontrado"))</f>
        <v/>
      </c>
      <c r="E1529" s="22"/>
      <c r="F1529" s="23" t="str">
        <f aca="false">IF(A1529="","",IFERROR(buscarx(A1529&amp;E1529,DATA!$E$3:$E$10000&amp;DATA!$B$3:$B$10000,DATA!$M$3:$M$10000),"Inactivo"))</f>
        <v/>
      </c>
      <c r="G1529" s="25" t="str">
        <f aca="false">IF(A1529="","",IF(AND(C1529&lt;&gt;"No encontrado",F1529&lt;&gt;"Inactivo"),C1529&amp;" → "&amp;F1529,"Sin transición"))</f>
        <v/>
      </c>
      <c r="H1529" s="23" t="str">
        <f aca="false">IF(A1529="","",IF(D1529="GCIA LINEA SERVICIO DIGITALIDAD Y VENTAS","Chats",IF(OR(D1529="GERENCIA INBOUND LÍNEAS SERVICIO Y VENTA",D1529="GERENCIA INBOUND LINEAS ESPECIALIZADAS"),"Llamadas","Otro")))</f>
        <v/>
      </c>
      <c r="I1529" s="23" t="str">
        <f aca="false">IF(A1529="","",IF(C1529="No encontrado","No","Sí"))</f>
        <v/>
      </c>
      <c r="J1529" s="23" t="str">
        <f aca="false">IF(A1529="","",IF(F1529="Inactivo","No","Sí"))</f>
        <v/>
      </c>
      <c r="K1529" s="23" t="str">
        <f aca="false">IF(A1529="","",IF(AND(I1529="Sí",J1529="Sí"),"Sí","No"))</f>
        <v/>
      </c>
    </row>
    <row r="1530" customFormat="false" ht="15" hidden="false" customHeight="false" outlineLevel="0" collapsed="false">
      <c r="A1530" s="22"/>
      <c r="B1530" s="22"/>
      <c r="C1530" s="26" t="str">
        <f aca="false">IF(A1530="","",IFERROR(buscarx(A1530&amp;B1530,DATA!$E$3:$E$10000&amp;DATA!$B$3:$B$10000,DATA!$M$3:$M$10000),"No encontrado"))</f>
        <v/>
      </c>
      <c r="D1530" s="27" t="str">
        <f aca="false">IF(A1530="","",IFERROR(buscarx(A1530&amp;B1530,DATA!$E$3:$E$10000&amp;DATA!$B$3:$B$10000,DATA!$W$3:$W$10000),"No encontrado"))</f>
        <v/>
      </c>
      <c r="E1530" s="22"/>
      <c r="F1530" s="26" t="str">
        <f aca="false">IF(A1530="","",IFERROR(buscarx(A1530&amp;E1530,DATA!$E$3:$E$10000&amp;DATA!$B$3:$B$10000,DATA!$M$3:$M$10000),"Inactivo"))</f>
        <v/>
      </c>
      <c r="G1530" s="28" t="str">
        <f aca="false">IF(A1530="","",IF(AND(C1530&lt;&gt;"No encontrado",F1530&lt;&gt;"Inactivo"),C1530&amp;" → "&amp;F1530,"Sin transición"))</f>
        <v/>
      </c>
      <c r="H1530" s="26" t="str">
        <f aca="false">IF(A1530="","",IF(D1530="GCIA LINEA SERVICIO DIGITALIDAD Y VENTAS","Chats",IF(OR(D1530="GERENCIA INBOUND LÍNEAS SERVICIO Y VENTA",D1530="GERENCIA INBOUND LINEAS ESPECIALIZADAS"),"Llamadas","Otro")))</f>
        <v/>
      </c>
      <c r="I1530" s="26" t="str">
        <f aca="false">IF(A1530="","",IF(C1530="No encontrado","No","Sí"))</f>
        <v/>
      </c>
      <c r="J1530" s="26" t="str">
        <f aca="false">IF(A1530="","",IF(F1530="Inactivo","No","Sí"))</f>
        <v/>
      </c>
      <c r="K1530" s="26" t="str">
        <f aca="false">IF(A1530="","",IF(AND(I1530="Sí",J1530="Sí"),"Sí","No"))</f>
        <v/>
      </c>
    </row>
    <row r="1531" customFormat="false" ht="15" hidden="false" customHeight="false" outlineLevel="0" collapsed="false">
      <c r="A1531" s="22"/>
      <c r="B1531" s="22"/>
      <c r="C1531" s="23" t="str">
        <f aca="false">IF(A1531="","",IFERROR(buscarx(A1531&amp;B1531,DATA!$E$3:$E$10000&amp;DATA!$B$3:$B$10000,DATA!$M$3:$M$10000),"No encontrado"))</f>
        <v/>
      </c>
      <c r="D1531" s="24" t="str">
        <f aca="false">IF(A1531="","",IFERROR(buscarx(A1531&amp;B1531,DATA!$E$3:$E$10000&amp;DATA!$B$3:$B$10000,DATA!$W$3:$W$10000),"No encontrado"))</f>
        <v/>
      </c>
      <c r="E1531" s="22"/>
      <c r="F1531" s="23" t="str">
        <f aca="false">IF(A1531="","",IFERROR(buscarx(A1531&amp;E1531,DATA!$E$3:$E$10000&amp;DATA!$B$3:$B$10000,DATA!$M$3:$M$10000),"Inactivo"))</f>
        <v/>
      </c>
      <c r="G1531" s="25" t="str">
        <f aca="false">IF(A1531="","",IF(AND(C1531&lt;&gt;"No encontrado",F1531&lt;&gt;"Inactivo"),C1531&amp;" → "&amp;F1531,"Sin transición"))</f>
        <v/>
      </c>
      <c r="H1531" s="23" t="str">
        <f aca="false">IF(A1531="","",IF(D1531="GCIA LINEA SERVICIO DIGITALIDAD Y VENTAS","Chats",IF(OR(D1531="GERENCIA INBOUND LÍNEAS SERVICIO Y VENTA",D1531="GERENCIA INBOUND LINEAS ESPECIALIZADAS"),"Llamadas","Otro")))</f>
        <v/>
      </c>
      <c r="I1531" s="23" t="str">
        <f aca="false">IF(A1531="","",IF(C1531="No encontrado","No","Sí"))</f>
        <v/>
      </c>
      <c r="J1531" s="23" t="str">
        <f aca="false">IF(A1531="","",IF(F1531="Inactivo","No","Sí"))</f>
        <v/>
      </c>
      <c r="K1531" s="23" t="str">
        <f aca="false">IF(A1531="","",IF(AND(I1531="Sí",J1531="Sí"),"Sí","No"))</f>
        <v/>
      </c>
    </row>
    <row r="1532" customFormat="false" ht="15" hidden="false" customHeight="false" outlineLevel="0" collapsed="false">
      <c r="A1532" s="22"/>
      <c r="B1532" s="22"/>
      <c r="C1532" s="26" t="str">
        <f aca="false">IF(A1532="","",IFERROR(buscarx(A1532&amp;B1532,DATA!$E$3:$E$10000&amp;DATA!$B$3:$B$10000,DATA!$M$3:$M$10000),"No encontrado"))</f>
        <v/>
      </c>
      <c r="D1532" s="27" t="str">
        <f aca="false">IF(A1532="","",IFERROR(buscarx(A1532&amp;B1532,DATA!$E$3:$E$10000&amp;DATA!$B$3:$B$10000,DATA!$W$3:$W$10000),"No encontrado"))</f>
        <v/>
      </c>
      <c r="E1532" s="22"/>
      <c r="F1532" s="26" t="str">
        <f aca="false">IF(A1532="","",IFERROR(buscarx(A1532&amp;E1532,DATA!$E$3:$E$10000&amp;DATA!$B$3:$B$10000,DATA!$M$3:$M$10000),"Inactivo"))</f>
        <v/>
      </c>
      <c r="G1532" s="28" t="str">
        <f aca="false">IF(A1532="","",IF(AND(C1532&lt;&gt;"No encontrado",F1532&lt;&gt;"Inactivo"),C1532&amp;" → "&amp;F1532,"Sin transición"))</f>
        <v/>
      </c>
      <c r="H1532" s="26" t="str">
        <f aca="false">IF(A1532="","",IF(D1532="GCIA LINEA SERVICIO DIGITALIDAD Y VENTAS","Chats",IF(OR(D1532="GERENCIA INBOUND LÍNEAS SERVICIO Y VENTA",D1532="GERENCIA INBOUND LINEAS ESPECIALIZADAS"),"Llamadas","Otro")))</f>
        <v/>
      </c>
      <c r="I1532" s="26" t="str">
        <f aca="false">IF(A1532="","",IF(C1532="No encontrado","No","Sí"))</f>
        <v/>
      </c>
      <c r="J1532" s="26" t="str">
        <f aca="false">IF(A1532="","",IF(F1532="Inactivo","No","Sí"))</f>
        <v/>
      </c>
      <c r="K1532" s="26" t="str">
        <f aca="false">IF(A1532="","",IF(AND(I1532="Sí",J1532="Sí"),"Sí","No"))</f>
        <v/>
      </c>
    </row>
    <row r="1533" customFormat="false" ht="15" hidden="false" customHeight="false" outlineLevel="0" collapsed="false">
      <c r="A1533" s="22"/>
      <c r="B1533" s="22"/>
      <c r="C1533" s="23" t="str">
        <f aca="false">IF(A1533="","",IFERROR(buscarx(A1533&amp;B1533,DATA!$E$3:$E$10000&amp;DATA!$B$3:$B$10000,DATA!$M$3:$M$10000),"No encontrado"))</f>
        <v/>
      </c>
      <c r="D1533" s="24" t="str">
        <f aca="false">IF(A1533="","",IFERROR(buscarx(A1533&amp;B1533,DATA!$E$3:$E$10000&amp;DATA!$B$3:$B$10000,DATA!$W$3:$W$10000),"No encontrado"))</f>
        <v/>
      </c>
      <c r="E1533" s="22"/>
      <c r="F1533" s="23" t="str">
        <f aca="false">IF(A1533="","",IFERROR(buscarx(A1533&amp;E1533,DATA!$E$3:$E$10000&amp;DATA!$B$3:$B$10000,DATA!$M$3:$M$10000),"Inactivo"))</f>
        <v/>
      </c>
      <c r="G1533" s="25" t="str">
        <f aca="false">IF(A1533="","",IF(AND(C1533&lt;&gt;"No encontrado",F1533&lt;&gt;"Inactivo"),C1533&amp;" → "&amp;F1533,"Sin transición"))</f>
        <v/>
      </c>
      <c r="H1533" s="23" t="str">
        <f aca="false">IF(A1533="","",IF(D1533="GCIA LINEA SERVICIO DIGITALIDAD Y VENTAS","Chats",IF(OR(D1533="GERENCIA INBOUND LÍNEAS SERVICIO Y VENTA",D1533="GERENCIA INBOUND LINEAS ESPECIALIZADAS"),"Llamadas","Otro")))</f>
        <v/>
      </c>
      <c r="I1533" s="23" t="str">
        <f aca="false">IF(A1533="","",IF(C1533="No encontrado","No","Sí"))</f>
        <v/>
      </c>
      <c r="J1533" s="23" t="str">
        <f aca="false">IF(A1533="","",IF(F1533="Inactivo","No","Sí"))</f>
        <v/>
      </c>
      <c r="K1533" s="23" t="str">
        <f aca="false">IF(A1533="","",IF(AND(I1533="Sí",J1533="Sí"),"Sí","No"))</f>
        <v/>
      </c>
    </row>
    <row r="1534" customFormat="false" ht="15" hidden="false" customHeight="false" outlineLevel="0" collapsed="false">
      <c r="A1534" s="22"/>
      <c r="B1534" s="22"/>
      <c r="C1534" s="26" t="str">
        <f aca="false">IF(A1534="","",IFERROR(buscarx(A1534&amp;B1534,DATA!$E$3:$E$10000&amp;DATA!$B$3:$B$10000,DATA!$M$3:$M$10000),"No encontrado"))</f>
        <v/>
      </c>
      <c r="D1534" s="27" t="str">
        <f aca="false">IF(A1534="","",IFERROR(buscarx(A1534&amp;B1534,DATA!$E$3:$E$10000&amp;DATA!$B$3:$B$10000,DATA!$W$3:$W$10000),"No encontrado"))</f>
        <v/>
      </c>
      <c r="E1534" s="22"/>
      <c r="F1534" s="26" t="str">
        <f aca="false">IF(A1534="","",IFERROR(buscarx(A1534&amp;E1534,DATA!$E$3:$E$10000&amp;DATA!$B$3:$B$10000,DATA!$M$3:$M$10000),"Inactivo"))</f>
        <v/>
      </c>
      <c r="G1534" s="28" t="str">
        <f aca="false">IF(A1534="","",IF(AND(C1534&lt;&gt;"No encontrado",F1534&lt;&gt;"Inactivo"),C1534&amp;" → "&amp;F1534,"Sin transición"))</f>
        <v/>
      </c>
      <c r="H1534" s="26" t="str">
        <f aca="false">IF(A1534="","",IF(D1534="GCIA LINEA SERVICIO DIGITALIDAD Y VENTAS","Chats",IF(OR(D1534="GERENCIA INBOUND LÍNEAS SERVICIO Y VENTA",D1534="GERENCIA INBOUND LINEAS ESPECIALIZADAS"),"Llamadas","Otro")))</f>
        <v/>
      </c>
      <c r="I1534" s="26" t="str">
        <f aca="false">IF(A1534="","",IF(C1534="No encontrado","No","Sí"))</f>
        <v/>
      </c>
      <c r="J1534" s="26" t="str">
        <f aca="false">IF(A1534="","",IF(F1534="Inactivo","No","Sí"))</f>
        <v/>
      </c>
      <c r="K1534" s="26" t="str">
        <f aca="false">IF(A1534="","",IF(AND(I1534="Sí",J1534="Sí"),"Sí","No"))</f>
        <v/>
      </c>
    </row>
    <row r="1535" customFormat="false" ht="15" hidden="false" customHeight="false" outlineLevel="0" collapsed="false">
      <c r="A1535" s="22"/>
      <c r="B1535" s="22"/>
      <c r="C1535" s="23" t="str">
        <f aca="false">IF(A1535="","",IFERROR(buscarx(A1535&amp;B1535,DATA!$E$3:$E$10000&amp;DATA!$B$3:$B$10000,DATA!$M$3:$M$10000),"No encontrado"))</f>
        <v/>
      </c>
      <c r="D1535" s="24" t="str">
        <f aca="false">IF(A1535="","",IFERROR(buscarx(A1535&amp;B1535,DATA!$E$3:$E$10000&amp;DATA!$B$3:$B$10000,DATA!$W$3:$W$10000),"No encontrado"))</f>
        <v/>
      </c>
      <c r="E1535" s="22"/>
      <c r="F1535" s="23" t="str">
        <f aca="false">IF(A1535="","",IFERROR(buscarx(A1535&amp;E1535,DATA!$E$3:$E$10000&amp;DATA!$B$3:$B$10000,DATA!$M$3:$M$10000),"Inactivo"))</f>
        <v/>
      </c>
      <c r="G1535" s="25" t="str">
        <f aca="false">IF(A1535="","",IF(AND(C1535&lt;&gt;"No encontrado",F1535&lt;&gt;"Inactivo"),C1535&amp;" → "&amp;F1535,"Sin transición"))</f>
        <v/>
      </c>
      <c r="H1535" s="23" t="str">
        <f aca="false">IF(A1535="","",IF(D1535="GCIA LINEA SERVICIO DIGITALIDAD Y VENTAS","Chats",IF(OR(D1535="GERENCIA INBOUND LÍNEAS SERVICIO Y VENTA",D1535="GERENCIA INBOUND LINEAS ESPECIALIZADAS"),"Llamadas","Otro")))</f>
        <v/>
      </c>
      <c r="I1535" s="23" t="str">
        <f aca="false">IF(A1535="","",IF(C1535="No encontrado","No","Sí"))</f>
        <v/>
      </c>
      <c r="J1535" s="23" t="str">
        <f aca="false">IF(A1535="","",IF(F1535="Inactivo","No","Sí"))</f>
        <v/>
      </c>
      <c r="K1535" s="23" t="str">
        <f aca="false">IF(A1535="","",IF(AND(I1535="Sí",J1535="Sí"),"Sí","No"))</f>
        <v/>
      </c>
    </row>
    <row r="1536" customFormat="false" ht="15" hidden="false" customHeight="false" outlineLevel="0" collapsed="false">
      <c r="A1536" s="22"/>
      <c r="B1536" s="22"/>
      <c r="C1536" s="26" t="str">
        <f aca="false">IF(A1536="","",IFERROR(buscarx(A1536&amp;B1536,DATA!$E$3:$E$10000&amp;DATA!$B$3:$B$10000,DATA!$M$3:$M$10000),"No encontrado"))</f>
        <v/>
      </c>
      <c r="D1536" s="27" t="str">
        <f aca="false">IF(A1536="","",IFERROR(buscarx(A1536&amp;B1536,DATA!$E$3:$E$10000&amp;DATA!$B$3:$B$10000,DATA!$W$3:$W$10000),"No encontrado"))</f>
        <v/>
      </c>
      <c r="E1536" s="22"/>
      <c r="F1536" s="26" t="str">
        <f aca="false">IF(A1536="","",IFERROR(buscarx(A1536&amp;E1536,DATA!$E$3:$E$10000&amp;DATA!$B$3:$B$10000,DATA!$M$3:$M$10000),"Inactivo"))</f>
        <v/>
      </c>
      <c r="G1536" s="28" t="str">
        <f aca="false">IF(A1536="","",IF(AND(C1536&lt;&gt;"No encontrado",F1536&lt;&gt;"Inactivo"),C1536&amp;" → "&amp;F1536,"Sin transición"))</f>
        <v/>
      </c>
      <c r="H1536" s="26" t="str">
        <f aca="false">IF(A1536="","",IF(D1536="GCIA LINEA SERVICIO DIGITALIDAD Y VENTAS","Chats",IF(OR(D1536="GERENCIA INBOUND LÍNEAS SERVICIO Y VENTA",D1536="GERENCIA INBOUND LINEAS ESPECIALIZADAS"),"Llamadas","Otro")))</f>
        <v/>
      </c>
      <c r="I1536" s="26" t="str">
        <f aca="false">IF(A1536="","",IF(C1536="No encontrado","No","Sí"))</f>
        <v/>
      </c>
      <c r="J1536" s="26" t="str">
        <f aca="false">IF(A1536="","",IF(F1536="Inactivo","No","Sí"))</f>
        <v/>
      </c>
      <c r="K1536" s="26" t="str">
        <f aca="false">IF(A1536="","",IF(AND(I1536="Sí",J1536="Sí"),"Sí","No"))</f>
        <v/>
      </c>
    </row>
    <row r="1537" customFormat="false" ht="15" hidden="false" customHeight="false" outlineLevel="0" collapsed="false">
      <c r="A1537" s="22"/>
      <c r="B1537" s="22"/>
      <c r="C1537" s="23" t="str">
        <f aca="false">IF(A1537="","",IFERROR(buscarx(A1537&amp;B1537,DATA!$E$3:$E$10000&amp;DATA!$B$3:$B$10000,DATA!$M$3:$M$10000),"No encontrado"))</f>
        <v/>
      </c>
      <c r="D1537" s="24" t="str">
        <f aca="false">IF(A1537="","",IFERROR(buscarx(A1537&amp;B1537,DATA!$E$3:$E$10000&amp;DATA!$B$3:$B$10000,DATA!$W$3:$W$10000),"No encontrado"))</f>
        <v/>
      </c>
      <c r="E1537" s="22"/>
      <c r="F1537" s="23" t="str">
        <f aca="false">IF(A1537="","",IFERROR(buscarx(A1537&amp;E1537,DATA!$E$3:$E$10000&amp;DATA!$B$3:$B$10000,DATA!$M$3:$M$10000),"Inactivo"))</f>
        <v/>
      </c>
      <c r="G1537" s="25" t="str">
        <f aca="false">IF(A1537="","",IF(AND(C1537&lt;&gt;"No encontrado",F1537&lt;&gt;"Inactivo"),C1537&amp;" → "&amp;F1537,"Sin transición"))</f>
        <v/>
      </c>
      <c r="H1537" s="23" t="str">
        <f aca="false">IF(A1537="","",IF(D1537="GCIA LINEA SERVICIO DIGITALIDAD Y VENTAS","Chats",IF(OR(D1537="GERENCIA INBOUND LÍNEAS SERVICIO Y VENTA",D1537="GERENCIA INBOUND LINEAS ESPECIALIZADAS"),"Llamadas","Otro")))</f>
        <v/>
      </c>
      <c r="I1537" s="23" t="str">
        <f aca="false">IF(A1537="","",IF(C1537="No encontrado","No","Sí"))</f>
        <v/>
      </c>
      <c r="J1537" s="23" t="str">
        <f aca="false">IF(A1537="","",IF(F1537="Inactivo","No","Sí"))</f>
        <v/>
      </c>
      <c r="K1537" s="23" t="str">
        <f aca="false">IF(A1537="","",IF(AND(I1537="Sí",J1537="Sí"),"Sí","No"))</f>
        <v/>
      </c>
    </row>
    <row r="1538" customFormat="false" ht="15" hidden="false" customHeight="false" outlineLevel="0" collapsed="false">
      <c r="A1538" s="22"/>
      <c r="B1538" s="22"/>
      <c r="C1538" s="26" t="str">
        <f aca="false">IF(A1538="","",IFERROR(buscarx(A1538&amp;B1538,DATA!$E$3:$E$10000&amp;DATA!$B$3:$B$10000,DATA!$M$3:$M$10000),"No encontrado"))</f>
        <v/>
      </c>
      <c r="D1538" s="27" t="str">
        <f aca="false">IF(A1538="","",IFERROR(buscarx(A1538&amp;B1538,DATA!$E$3:$E$10000&amp;DATA!$B$3:$B$10000,DATA!$W$3:$W$10000),"No encontrado"))</f>
        <v/>
      </c>
      <c r="E1538" s="22"/>
      <c r="F1538" s="26" t="str">
        <f aca="false">IF(A1538="","",IFERROR(buscarx(A1538&amp;E1538,DATA!$E$3:$E$10000&amp;DATA!$B$3:$B$10000,DATA!$M$3:$M$10000),"Inactivo"))</f>
        <v/>
      </c>
      <c r="G1538" s="28" t="str">
        <f aca="false">IF(A1538="","",IF(AND(C1538&lt;&gt;"No encontrado",F1538&lt;&gt;"Inactivo"),C1538&amp;" → "&amp;F1538,"Sin transición"))</f>
        <v/>
      </c>
      <c r="H1538" s="26" t="str">
        <f aca="false">IF(A1538="","",IF(D1538="GCIA LINEA SERVICIO DIGITALIDAD Y VENTAS","Chats",IF(OR(D1538="GERENCIA INBOUND LÍNEAS SERVICIO Y VENTA",D1538="GERENCIA INBOUND LINEAS ESPECIALIZADAS"),"Llamadas","Otro")))</f>
        <v/>
      </c>
      <c r="I1538" s="26" t="str">
        <f aca="false">IF(A1538="","",IF(C1538="No encontrado","No","Sí"))</f>
        <v/>
      </c>
      <c r="J1538" s="26" t="str">
        <f aca="false">IF(A1538="","",IF(F1538="Inactivo","No","Sí"))</f>
        <v/>
      </c>
      <c r="K1538" s="26" t="str">
        <f aca="false">IF(A1538="","",IF(AND(I1538="Sí",J1538="Sí"),"Sí","No"))</f>
        <v/>
      </c>
    </row>
    <row r="1539" customFormat="false" ht="15" hidden="false" customHeight="false" outlineLevel="0" collapsed="false">
      <c r="A1539" s="22"/>
      <c r="B1539" s="22"/>
      <c r="C1539" s="23" t="str">
        <f aca="false">IF(A1539="","",IFERROR(buscarx(A1539&amp;B1539,DATA!$E$3:$E$10000&amp;DATA!$B$3:$B$10000,DATA!$M$3:$M$10000),"No encontrado"))</f>
        <v/>
      </c>
      <c r="D1539" s="24" t="str">
        <f aca="false">IF(A1539="","",IFERROR(buscarx(A1539&amp;B1539,DATA!$E$3:$E$10000&amp;DATA!$B$3:$B$10000,DATA!$W$3:$W$10000),"No encontrado"))</f>
        <v/>
      </c>
      <c r="E1539" s="22"/>
      <c r="F1539" s="23" t="str">
        <f aca="false">IF(A1539="","",IFERROR(buscarx(A1539&amp;E1539,DATA!$E$3:$E$10000&amp;DATA!$B$3:$B$10000,DATA!$M$3:$M$10000),"Inactivo"))</f>
        <v/>
      </c>
      <c r="G1539" s="25" t="str">
        <f aca="false">IF(A1539="","",IF(AND(C1539&lt;&gt;"No encontrado",F1539&lt;&gt;"Inactivo"),C1539&amp;" → "&amp;F1539,"Sin transición"))</f>
        <v/>
      </c>
      <c r="H1539" s="23" t="str">
        <f aca="false">IF(A1539="","",IF(D1539="GCIA LINEA SERVICIO DIGITALIDAD Y VENTAS","Chats",IF(OR(D1539="GERENCIA INBOUND LÍNEAS SERVICIO Y VENTA",D1539="GERENCIA INBOUND LINEAS ESPECIALIZADAS"),"Llamadas","Otro")))</f>
        <v/>
      </c>
      <c r="I1539" s="23" t="str">
        <f aca="false">IF(A1539="","",IF(C1539="No encontrado","No","Sí"))</f>
        <v/>
      </c>
      <c r="J1539" s="23" t="str">
        <f aca="false">IF(A1539="","",IF(F1539="Inactivo","No","Sí"))</f>
        <v/>
      </c>
      <c r="K1539" s="23" t="str">
        <f aca="false">IF(A1539="","",IF(AND(I1539="Sí",J1539="Sí"),"Sí","No"))</f>
        <v/>
      </c>
    </row>
    <row r="1540" customFormat="false" ht="15" hidden="false" customHeight="false" outlineLevel="0" collapsed="false">
      <c r="A1540" s="22"/>
      <c r="B1540" s="22"/>
      <c r="C1540" s="26" t="str">
        <f aca="false">IF(A1540="","",IFERROR(buscarx(A1540&amp;B1540,DATA!$E$3:$E$10000&amp;DATA!$B$3:$B$10000,DATA!$M$3:$M$10000),"No encontrado"))</f>
        <v/>
      </c>
      <c r="D1540" s="27" t="str">
        <f aca="false">IF(A1540="","",IFERROR(buscarx(A1540&amp;B1540,DATA!$E$3:$E$10000&amp;DATA!$B$3:$B$10000,DATA!$W$3:$W$10000),"No encontrado"))</f>
        <v/>
      </c>
      <c r="E1540" s="22"/>
      <c r="F1540" s="26" t="str">
        <f aca="false">IF(A1540="","",IFERROR(buscarx(A1540&amp;E1540,DATA!$E$3:$E$10000&amp;DATA!$B$3:$B$10000,DATA!$M$3:$M$10000),"Inactivo"))</f>
        <v/>
      </c>
      <c r="G1540" s="28" t="str">
        <f aca="false">IF(A1540="","",IF(AND(C1540&lt;&gt;"No encontrado",F1540&lt;&gt;"Inactivo"),C1540&amp;" → "&amp;F1540,"Sin transición"))</f>
        <v/>
      </c>
      <c r="H1540" s="26" t="str">
        <f aca="false">IF(A1540="","",IF(D1540="GCIA LINEA SERVICIO DIGITALIDAD Y VENTAS","Chats",IF(OR(D1540="GERENCIA INBOUND LÍNEAS SERVICIO Y VENTA",D1540="GERENCIA INBOUND LINEAS ESPECIALIZADAS"),"Llamadas","Otro")))</f>
        <v/>
      </c>
      <c r="I1540" s="26" t="str">
        <f aca="false">IF(A1540="","",IF(C1540="No encontrado","No","Sí"))</f>
        <v/>
      </c>
      <c r="J1540" s="26" t="str">
        <f aca="false">IF(A1540="","",IF(F1540="Inactivo","No","Sí"))</f>
        <v/>
      </c>
      <c r="K1540" s="26" t="str">
        <f aca="false">IF(A1540="","",IF(AND(I1540="Sí",J1540="Sí"),"Sí","No"))</f>
        <v/>
      </c>
    </row>
    <row r="1541" customFormat="false" ht="15" hidden="false" customHeight="false" outlineLevel="0" collapsed="false">
      <c r="A1541" s="22"/>
      <c r="B1541" s="22"/>
      <c r="C1541" s="23" t="str">
        <f aca="false">IF(A1541="","",IFERROR(buscarx(A1541&amp;B1541,DATA!$E$3:$E$10000&amp;DATA!$B$3:$B$10000,DATA!$M$3:$M$10000),"No encontrado"))</f>
        <v/>
      </c>
      <c r="D1541" s="24" t="str">
        <f aca="false">IF(A1541="","",IFERROR(buscarx(A1541&amp;B1541,DATA!$E$3:$E$10000&amp;DATA!$B$3:$B$10000,DATA!$W$3:$W$10000),"No encontrado"))</f>
        <v/>
      </c>
      <c r="E1541" s="22"/>
      <c r="F1541" s="23" t="str">
        <f aca="false">IF(A1541="","",IFERROR(buscarx(A1541&amp;E1541,DATA!$E$3:$E$10000&amp;DATA!$B$3:$B$10000,DATA!$M$3:$M$10000),"Inactivo"))</f>
        <v/>
      </c>
      <c r="G1541" s="25" t="str">
        <f aca="false">IF(A1541="","",IF(AND(C1541&lt;&gt;"No encontrado",F1541&lt;&gt;"Inactivo"),C1541&amp;" → "&amp;F1541,"Sin transición"))</f>
        <v/>
      </c>
      <c r="H1541" s="23" t="str">
        <f aca="false">IF(A1541="","",IF(D1541="GCIA LINEA SERVICIO DIGITALIDAD Y VENTAS","Chats",IF(OR(D1541="GERENCIA INBOUND LÍNEAS SERVICIO Y VENTA",D1541="GERENCIA INBOUND LINEAS ESPECIALIZADAS"),"Llamadas","Otro")))</f>
        <v/>
      </c>
      <c r="I1541" s="23" t="str">
        <f aca="false">IF(A1541="","",IF(C1541="No encontrado","No","Sí"))</f>
        <v/>
      </c>
      <c r="J1541" s="23" t="str">
        <f aca="false">IF(A1541="","",IF(F1541="Inactivo","No","Sí"))</f>
        <v/>
      </c>
      <c r="K1541" s="23" t="str">
        <f aca="false">IF(A1541="","",IF(AND(I1541="Sí",J1541="Sí"),"Sí","No"))</f>
        <v/>
      </c>
    </row>
    <row r="1542" customFormat="false" ht="15" hidden="false" customHeight="false" outlineLevel="0" collapsed="false">
      <c r="A1542" s="22"/>
      <c r="B1542" s="22"/>
      <c r="C1542" s="26" t="str">
        <f aca="false">IF(A1542="","",IFERROR(buscarx(A1542&amp;B1542,DATA!$E$3:$E$10000&amp;DATA!$B$3:$B$10000,DATA!$M$3:$M$10000),"No encontrado"))</f>
        <v/>
      </c>
      <c r="D1542" s="27" t="str">
        <f aca="false">IF(A1542="","",IFERROR(buscarx(A1542&amp;B1542,DATA!$E$3:$E$10000&amp;DATA!$B$3:$B$10000,DATA!$W$3:$W$10000),"No encontrado"))</f>
        <v/>
      </c>
      <c r="E1542" s="22"/>
      <c r="F1542" s="26" t="str">
        <f aca="false">IF(A1542="","",IFERROR(buscarx(A1542&amp;E1542,DATA!$E$3:$E$10000&amp;DATA!$B$3:$B$10000,DATA!$M$3:$M$10000),"Inactivo"))</f>
        <v/>
      </c>
      <c r="G1542" s="28" t="str">
        <f aca="false">IF(A1542="","",IF(AND(C1542&lt;&gt;"No encontrado",F1542&lt;&gt;"Inactivo"),C1542&amp;" → "&amp;F1542,"Sin transición"))</f>
        <v/>
      </c>
      <c r="H1542" s="26" t="str">
        <f aca="false">IF(A1542="","",IF(D1542="GCIA LINEA SERVICIO DIGITALIDAD Y VENTAS","Chats",IF(OR(D1542="GERENCIA INBOUND LÍNEAS SERVICIO Y VENTA",D1542="GERENCIA INBOUND LINEAS ESPECIALIZADAS"),"Llamadas","Otro")))</f>
        <v/>
      </c>
      <c r="I1542" s="26" t="str">
        <f aca="false">IF(A1542="","",IF(C1542="No encontrado","No","Sí"))</f>
        <v/>
      </c>
      <c r="J1542" s="26" t="str">
        <f aca="false">IF(A1542="","",IF(F1542="Inactivo","No","Sí"))</f>
        <v/>
      </c>
      <c r="K1542" s="26" t="str">
        <f aca="false">IF(A1542="","",IF(AND(I1542="Sí",J1542="Sí"),"Sí","No"))</f>
        <v/>
      </c>
    </row>
    <row r="1543" customFormat="false" ht="15" hidden="false" customHeight="false" outlineLevel="0" collapsed="false">
      <c r="A1543" s="22"/>
      <c r="B1543" s="22"/>
      <c r="C1543" s="23" t="str">
        <f aca="false">IF(A1543="","",IFERROR(buscarx(A1543&amp;B1543,DATA!$E$3:$E$10000&amp;DATA!$B$3:$B$10000,DATA!$M$3:$M$10000),"No encontrado"))</f>
        <v/>
      </c>
      <c r="D1543" s="24" t="str">
        <f aca="false">IF(A1543="","",IFERROR(buscarx(A1543&amp;B1543,DATA!$E$3:$E$10000&amp;DATA!$B$3:$B$10000,DATA!$W$3:$W$10000),"No encontrado"))</f>
        <v/>
      </c>
      <c r="E1543" s="22"/>
      <c r="F1543" s="23" t="str">
        <f aca="false">IF(A1543="","",IFERROR(buscarx(A1543&amp;E1543,DATA!$E$3:$E$10000&amp;DATA!$B$3:$B$10000,DATA!$M$3:$M$10000),"Inactivo"))</f>
        <v/>
      </c>
      <c r="G1543" s="25" t="str">
        <f aca="false">IF(A1543="","",IF(AND(C1543&lt;&gt;"No encontrado",F1543&lt;&gt;"Inactivo"),C1543&amp;" → "&amp;F1543,"Sin transición"))</f>
        <v/>
      </c>
      <c r="H1543" s="23" t="str">
        <f aca="false">IF(A1543="","",IF(D1543="GCIA LINEA SERVICIO DIGITALIDAD Y VENTAS","Chats",IF(OR(D1543="GERENCIA INBOUND LÍNEAS SERVICIO Y VENTA",D1543="GERENCIA INBOUND LINEAS ESPECIALIZADAS"),"Llamadas","Otro")))</f>
        <v/>
      </c>
      <c r="I1543" s="23" t="str">
        <f aca="false">IF(A1543="","",IF(C1543="No encontrado","No","Sí"))</f>
        <v/>
      </c>
      <c r="J1543" s="23" t="str">
        <f aca="false">IF(A1543="","",IF(F1543="Inactivo","No","Sí"))</f>
        <v/>
      </c>
      <c r="K1543" s="23" t="str">
        <f aca="false">IF(A1543="","",IF(AND(I1543="Sí",J1543="Sí"),"Sí","No"))</f>
        <v/>
      </c>
    </row>
    <row r="1544" customFormat="false" ht="15" hidden="false" customHeight="false" outlineLevel="0" collapsed="false">
      <c r="A1544" s="22"/>
      <c r="B1544" s="22"/>
      <c r="C1544" s="26" t="str">
        <f aca="false">IF(A1544="","",IFERROR(buscarx(A1544&amp;B1544,DATA!$E$3:$E$10000&amp;DATA!$B$3:$B$10000,DATA!$M$3:$M$10000),"No encontrado"))</f>
        <v/>
      </c>
      <c r="D1544" s="27" t="str">
        <f aca="false">IF(A1544="","",IFERROR(buscarx(A1544&amp;B1544,DATA!$E$3:$E$10000&amp;DATA!$B$3:$B$10000,DATA!$W$3:$W$10000),"No encontrado"))</f>
        <v/>
      </c>
      <c r="E1544" s="22"/>
      <c r="F1544" s="26" t="str">
        <f aca="false">IF(A1544="","",IFERROR(buscarx(A1544&amp;E1544,DATA!$E$3:$E$10000&amp;DATA!$B$3:$B$10000,DATA!$M$3:$M$10000),"Inactivo"))</f>
        <v/>
      </c>
      <c r="G1544" s="28" t="str">
        <f aca="false">IF(A1544="","",IF(AND(C1544&lt;&gt;"No encontrado",F1544&lt;&gt;"Inactivo"),C1544&amp;" → "&amp;F1544,"Sin transición"))</f>
        <v/>
      </c>
      <c r="H1544" s="26" t="str">
        <f aca="false">IF(A1544="","",IF(D1544="GCIA LINEA SERVICIO DIGITALIDAD Y VENTAS","Chats",IF(OR(D1544="GERENCIA INBOUND LÍNEAS SERVICIO Y VENTA",D1544="GERENCIA INBOUND LINEAS ESPECIALIZADAS"),"Llamadas","Otro")))</f>
        <v/>
      </c>
      <c r="I1544" s="26" t="str">
        <f aca="false">IF(A1544="","",IF(C1544="No encontrado","No","Sí"))</f>
        <v/>
      </c>
      <c r="J1544" s="26" t="str">
        <f aca="false">IF(A1544="","",IF(F1544="Inactivo","No","Sí"))</f>
        <v/>
      </c>
      <c r="K1544" s="26" t="str">
        <f aca="false">IF(A1544="","",IF(AND(I1544="Sí",J1544="Sí"),"Sí","No"))</f>
        <v/>
      </c>
    </row>
    <row r="1545" customFormat="false" ht="15" hidden="false" customHeight="false" outlineLevel="0" collapsed="false">
      <c r="A1545" s="22"/>
      <c r="B1545" s="22"/>
      <c r="C1545" s="23" t="str">
        <f aca="false">IF(A1545="","",IFERROR(buscarx(A1545&amp;B1545,DATA!$E$3:$E$10000&amp;DATA!$B$3:$B$10000,DATA!$M$3:$M$10000),"No encontrado"))</f>
        <v/>
      </c>
      <c r="D1545" s="24" t="str">
        <f aca="false">IF(A1545="","",IFERROR(buscarx(A1545&amp;B1545,DATA!$E$3:$E$10000&amp;DATA!$B$3:$B$10000,DATA!$W$3:$W$10000),"No encontrado"))</f>
        <v/>
      </c>
      <c r="E1545" s="22"/>
      <c r="F1545" s="23" t="str">
        <f aca="false">IF(A1545="","",IFERROR(buscarx(A1545&amp;E1545,DATA!$E$3:$E$10000&amp;DATA!$B$3:$B$10000,DATA!$M$3:$M$10000),"Inactivo"))</f>
        <v/>
      </c>
      <c r="G1545" s="25" t="str">
        <f aca="false">IF(A1545="","",IF(AND(C1545&lt;&gt;"No encontrado",F1545&lt;&gt;"Inactivo"),C1545&amp;" → "&amp;F1545,"Sin transición"))</f>
        <v/>
      </c>
      <c r="H1545" s="23" t="str">
        <f aca="false">IF(A1545="","",IF(D1545="GCIA LINEA SERVICIO DIGITALIDAD Y VENTAS","Chats",IF(OR(D1545="GERENCIA INBOUND LÍNEAS SERVICIO Y VENTA",D1545="GERENCIA INBOUND LINEAS ESPECIALIZADAS"),"Llamadas","Otro")))</f>
        <v/>
      </c>
      <c r="I1545" s="23" t="str">
        <f aca="false">IF(A1545="","",IF(C1545="No encontrado","No","Sí"))</f>
        <v/>
      </c>
      <c r="J1545" s="23" t="str">
        <f aca="false">IF(A1545="","",IF(F1545="Inactivo","No","Sí"))</f>
        <v/>
      </c>
      <c r="K1545" s="23" t="str">
        <f aca="false">IF(A1545="","",IF(AND(I1545="Sí",J1545="Sí"),"Sí","No"))</f>
        <v/>
      </c>
    </row>
    <row r="1546" customFormat="false" ht="15" hidden="false" customHeight="false" outlineLevel="0" collapsed="false">
      <c r="A1546" s="22"/>
      <c r="B1546" s="22"/>
      <c r="C1546" s="26" t="str">
        <f aca="false">IF(A1546="","",IFERROR(buscarx(A1546&amp;B1546,DATA!$E$3:$E$10000&amp;DATA!$B$3:$B$10000,DATA!$M$3:$M$10000),"No encontrado"))</f>
        <v/>
      </c>
      <c r="D1546" s="27" t="str">
        <f aca="false">IF(A1546="","",IFERROR(buscarx(A1546&amp;B1546,DATA!$E$3:$E$10000&amp;DATA!$B$3:$B$10000,DATA!$W$3:$W$10000),"No encontrado"))</f>
        <v/>
      </c>
      <c r="E1546" s="22"/>
      <c r="F1546" s="26" t="str">
        <f aca="false">IF(A1546="","",IFERROR(buscarx(A1546&amp;E1546,DATA!$E$3:$E$10000&amp;DATA!$B$3:$B$10000,DATA!$M$3:$M$10000),"Inactivo"))</f>
        <v/>
      </c>
      <c r="G1546" s="28" t="str">
        <f aca="false">IF(A1546="","",IF(AND(C1546&lt;&gt;"No encontrado",F1546&lt;&gt;"Inactivo"),C1546&amp;" → "&amp;F1546,"Sin transición"))</f>
        <v/>
      </c>
      <c r="H1546" s="26" t="str">
        <f aca="false">IF(A1546="","",IF(D1546="GCIA LINEA SERVICIO DIGITALIDAD Y VENTAS","Chats",IF(OR(D1546="GERENCIA INBOUND LÍNEAS SERVICIO Y VENTA",D1546="GERENCIA INBOUND LINEAS ESPECIALIZADAS"),"Llamadas","Otro")))</f>
        <v/>
      </c>
      <c r="I1546" s="26" t="str">
        <f aca="false">IF(A1546="","",IF(C1546="No encontrado","No","Sí"))</f>
        <v/>
      </c>
      <c r="J1546" s="26" t="str">
        <f aca="false">IF(A1546="","",IF(F1546="Inactivo","No","Sí"))</f>
        <v/>
      </c>
      <c r="K1546" s="26" t="str">
        <f aca="false">IF(A1546="","",IF(AND(I1546="Sí",J1546="Sí"),"Sí","No"))</f>
        <v/>
      </c>
    </row>
    <row r="1547" customFormat="false" ht="15" hidden="false" customHeight="false" outlineLevel="0" collapsed="false">
      <c r="A1547" s="22"/>
      <c r="B1547" s="22"/>
      <c r="C1547" s="23" t="str">
        <f aca="false">IF(A1547="","",IFERROR(buscarx(A1547&amp;B1547,DATA!$E$3:$E$10000&amp;DATA!$B$3:$B$10000,DATA!$M$3:$M$10000),"No encontrado"))</f>
        <v/>
      </c>
      <c r="D1547" s="24" t="str">
        <f aca="false">IF(A1547="","",IFERROR(buscarx(A1547&amp;B1547,DATA!$E$3:$E$10000&amp;DATA!$B$3:$B$10000,DATA!$W$3:$W$10000),"No encontrado"))</f>
        <v/>
      </c>
      <c r="E1547" s="22"/>
      <c r="F1547" s="23" t="str">
        <f aca="false">IF(A1547="","",IFERROR(buscarx(A1547&amp;E1547,DATA!$E$3:$E$10000&amp;DATA!$B$3:$B$10000,DATA!$M$3:$M$10000),"Inactivo"))</f>
        <v/>
      </c>
      <c r="G1547" s="25" t="str">
        <f aca="false">IF(A1547="","",IF(AND(C1547&lt;&gt;"No encontrado",F1547&lt;&gt;"Inactivo"),C1547&amp;" → "&amp;F1547,"Sin transición"))</f>
        <v/>
      </c>
      <c r="H1547" s="23" t="str">
        <f aca="false">IF(A1547="","",IF(D1547="GCIA LINEA SERVICIO DIGITALIDAD Y VENTAS","Chats",IF(OR(D1547="GERENCIA INBOUND LÍNEAS SERVICIO Y VENTA",D1547="GERENCIA INBOUND LINEAS ESPECIALIZADAS"),"Llamadas","Otro")))</f>
        <v/>
      </c>
      <c r="I1547" s="23" t="str">
        <f aca="false">IF(A1547="","",IF(C1547="No encontrado","No","Sí"))</f>
        <v/>
      </c>
      <c r="J1547" s="23" t="str">
        <f aca="false">IF(A1547="","",IF(F1547="Inactivo","No","Sí"))</f>
        <v/>
      </c>
      <c r="K1547" s="23" t="str">
        <f aca="false">IF(A1547="","",IF(AND(I1547="Sí",J1547="Sí"),"Sí","No"))</f>
        <v/>
      </c>
    </row>
    <row r="1548" customFormat="false" ht="15" hidden="false" customHeight="false" outlineLevel="0" collapsed="false">
      <c r="A1548" s="22"/>
      <c r="B1548" s="22"/>
      <c r="C1548" s="26" t="str">
        <f aca="false">IF(A1548="","",IFERROR(buscarx(A1548&amp;B1548,DATA!$E$3:$E$10000&amp;DATA!$B$3:$B$10000,DATA!$M$3:$M$10000),"No encontrado"))</f>
        <v/>
      </c>
      <c r="D1548" s="27" t="str">
        <f aca="false">IF(A1548="","",IFERROR(buscarx(A1548&amp;B1548,DATA!$E$3:$E$10000&amp;DATA!$B$3:$B$10000,DATA!$W$3:$W$10000),"No encontrado"))</f>
        <v/>
      </c>
      <c r="E1548" s="22"/>
      <c r="F1548" s="26" t="str">
        <f aca="false">IF(A1548="","",IFERROR(buscarx(A1548&amp;E1548,DATA!$E$3:$E$10000&amp;DATA!$B$3:$B$10000,DATA!$M$3:$M$10000),"Inactivo"))</f>
        <v/>
      </c>
      <c r="G1548" s="28" t="str">
        <f aca="false">IF(A1548="","",IF(AND(C1548&lt;&gt;"No encontrado",F1548&lt;&gt;"Inactivo"),C1548&amp;" → "&amp;F1548,"Sin transición"))</f>
        <v/>
      </c>
      <c r="H1548" s="26" t="str">
        <f aca="false">IF(A1548="","",IF(D1548="GCIA LINEA SERVICIO DIGITALIDAD Y VENTAS","Chats",IF(OR(D1548="GERENCIA INBOUND LÍNEAS SERVICIO Y VENTA",D1548="GERENCIA INBOUND LINEAS ESPECIALIZADAS"),"Llamadas","Otro")))</f>
        <v/>
      </c>
      <c r="I1548" s="26" t="str">
        <f aca="false">IF(A1548="","",IF(C1548="No encontrado","No","Sí"))</f>
        <v/>
      </c>
      <c r="J1548" s="26" t="str">
        <f aca="false">IF(A1548="","",IF(F1548="Inactivo","No","Sí"))</f>
        <v/>
      </c>
      <c r="K1548" s="26" t="str">
        <f aca="false">IF(A1548="","",IF(AND(I1548="Sí",J1548="Sí"),"Sí","No"))</f>
        <v/>
      </c>
    </row>
    <row r="1549" customFormat="false" ht="15" hidden="false" customHeight="false" outlineLevel="0" collapsed="false">
      <c r="A1549" s="22"/>
      <c r="B1549" s="22"/>
      <c r="C1549" s="23" t="str">
        <f aca="false">IF(A1549="","",IFERROR(buscarx(A1549&amp;B1549,DATA!$E$3:$E$10000&amp;DATA!$B$3:$B$10000,DATA!$M$3:$M$10000),"No encontrado"))</f>
        <v/>
      </c>
      <c r="D1549" s="24" t="str">
        <f aca="false">IF(A1549="","",IFERROR(buscarx(A1549&amp;B1549,DATA!$E$3:$E$10000&amp;DATA!$B$3:$B$10000,DATA!$W$3:$W$10000),"No encontrado"))</f>
        <v/>
      </c>
      <c r="E1549" s="22"/>
      <c r="F1549" s="23" t="str">
        <f aca="false">IF(A1549="","",IFERROR(buscarx(A1549&amp;E1549,DATA!$E$3:$E$10000&amp;DATA!$B$3:$B$10000,DATA!$M$3:$M$10000),"Inactivo"))</f>
        <v/>
      </c>
      <c r="G1549" s="25" t="str">
        <f aca="false">IF(A1549="","",IF(AND(C1549&lt;&gt;"No encontrado",F1549&lt;&gt;"Inactivo"),C1549&amp;" → "&amp;F1549,"Sin transición"))</f>
        <v/>
      </c>
      <c r="H1549" s="23" t="str">
        <f aca="false">IF(A1549="","",IF(D1549="GCIA LINEA SERVICIO DIGITALIDAD Y VENTAS","Chats",IF(OR(D1549="GERENCIA INBOUND LÍNEAS SERVICIO Y VENTA",D1549="GERENCIA INBOUND LINEAS ESPECIALIZADAS"),"Llamadas","Otro")))</f>
        <v/>
      </c>
      <c r="I1549" s="23" t="str">
        <f aca="false">IF(A1549="","",IF(C1549="No encontrado","No","Sí"))</f>
        <v/>
      </c>
      <c r="J1549" s="23" t="str">
        <f aca="false">IF(A1549="","",IF(F1549="Inactivo","No","Sí"))</f>
        <v/>
      </c>
      <c r="K1549" s="23" t="str">
        <f aca="false">IF(A1549="","",IF(AND(I1549="Sí",J1549="Sí"),"Sí","No"))</f>
        <v/>
      </c>
    </row>
    <row r="1550" customFormat="false" ht="15" hidden="false" customHeight="false" outlineLevel="0" collapsed="false">
      <c r="A1550" s="22"/>
      <c r="B1550" s="22"/>
      <c r="C1550" s="26" t="str">
        <f aca="false">IF(A1550="","",IFERROR(buscarx(A1550&amp;B1550,DATA!$E$3:$E$10000&amp;DATA!$B$3:$B$10000,DATA!$M$3:$M$10000),"No encontrado"))</f>
        <v/>
      </c>
      <c r="D1550" s="27" t="str">
        <f aca="false">IF(A1550="","",IFERROR(buscarx(A1550&amp;B1550,DATA!$E$3:$E$10000&amp;DATA!$B$3:$B$10000,DATA!$W$3:$W$10000),"No encontrado"))</f>
        <v/>
      </c>
      <c r="E1550" s="22"/>
      <c r="F1550" s="26" t="str">
        <f aca="false">IF(A1550="","",IFERROR(buscarx(A1550&amp;E1550,DATA!$E$3:$E$10000&amp;DATA!$B$3:$B$10000,DATA!$M$3:$M$10000),"Inactivo"))</f>
        <v/>
      </c>
      <c r="G1550" s="28" t="str">
        <f aca="false">IF(A1550="","",IF(AND(C1550&lt;&gt;"No encontrado",F1550&lt;&gt;"Inactivo"),C1550&amp;" → "&amp;F1550,"Sin transición"))</f>
        <v/>
      </c>
      <c r="H1550" s="26" t="str">
        <f aca="false">IF(A1550="","",IF(D1550="GCIA LINEA SERVICIO DIGITALIDAD Y VENTAS","Chats",IF(OR(D1550="GERENCIA INBOUND LÍNEAS SERVICIO Y VENTA",D1550="GERENCIA INBOUND LINEAS ESPECIALIZADAS"),"Llamadas","Otro")))</f>
        <v/>
      </c>
      <c r="I1550" s="26" t="str">
        <f aca="false">IF(A1550="","",IF(C1550="No encontrado","No","Sí"))</f>
        <v/>
      </c>
      <c r="J1550" s="26" t="str">
        <f aca="false">IF(A1550="","",IF(F1550="Inactivo","No","Sí"))</f>
        <v/>
      </c>
      <c r="K1550" s="26" t="str">
        <f aca="false">IF(A1550="","",IF(AND(I1550="Sí",J1550="Sí"),"Sí","No"))</f>
        <v/>
      </c>
    </row>
    <row r="1551" customFormat="false" ht="15" hidden="false" customHeight="false" outlineLevel="0" collapsed="false">
      <c r="A1551" s="22"/>
      <c r="B1551" s="22"/>
      <c r="C1551" s="23" t="str">
        <f aca="false">IF(A1551="","",IFERROR(buscarx(A1551&amp;B1551,DATA!$E$3:$E$10000&amp;DATA!$B$3:$B$10000,DATA!$M$3:$M$10000),"No encontrado"))</f>
        <v/>
      </c>
      <c r="D1551" s="24" t="str">
        <f aca="false">IF(A1551="","",IFERROR(buscarx(A1551&amp;B1551,DATA!$E$3:$E$10000&amp;DATA!$B$3:$B$10000,DATA!$W$3:$W$10000),"No encontrado"))</f>
        <v/>
      </c>
      <c r="E1551" s="22"/>
      <c r="F1551" s="23" t="str">
        <f aca="false">IF(A1551="","",IFERROR(buscarx(A1551&amp;E1551,DATA!$E$3:$E$10000&amp;DATA!$B$3:$B$10000,DATA!$M$3:$M$10000),"Inactivo"))</f>
        <v/>
      </c>
      <c r="G1551" s="25" t="str">
        <f aca="false">IF(A1551="","",IF(AND(C1551&lt;&gt;"No encontrado",F1551&lt;&gt;"Inactivo"),C1551&amp;" → "&amp;F1551,"Sin transición"))</f>
        <v/>
      </c>
      <c r="H1551" s="23" t="str">
        <f aca="false">IF(A1551="","",IF(D1551="GCIA LINEA SERVICIO DIGITALIDAD Y VENTAS","Chats",IF(OR(D1551="GERENCIA INBOUND LÍNEAS SERVICIO Y VENTA",D1551="GERENCIA INBOUND LINEAS ESPECIALIZADAS"),"Llamadas","Otro")))</f>
        <v/>
      </c>
      <c r="I1551" s="23" t="str">
        <f aca="false">IF(A1551="","",IF(C1551="No encontrado","No","Sí"))</f>
        <v/>
      </c>
      <c r="J1551" s="23" t="str">
        <f aca="false">IF(A1551="","",IF(F1551="Inactivo","No","Sí"))</f>
        <v/>
      </c>
      <c r="K1551" s="23" t="str">
        <f aca="false">IF(A1551="","",IF(AND(I1551="Sí",J1551="Sí"),"Sí","No"))</f>
        <v/>
      </c>
    </row>
    <row r="1552" customFormat="false" ht="15" hidden="false" customHeight="false" outlineLevel="0" collapsed="false">
      <c r="A1552" s="22"/>
      <c r="B1552" s="22"/>
      <c r="C1552" s="26" t="str">
        <f aca="false">IF(A1552="","",IFERROR(buscarx(A1552&amp;B1552,DATA!$E$3:$E$10000&amp;DATA!$B$3:$B$10000,DATA!$M$3:$M$10000),"No encontrado"))</f>
        <v/>
      </c>
      <c r="D1552" s="27" t="str">
        <f aca="false">IF(A1552="","",IFERROR(buscarx(A1552&amp;B1552,DATA!$E$3:$E$10000&amp;DATA!$B$3:$B$10000,DATA!$W$3:$W$10000),"No encontrado"))</f>
        <v/>
      </c>
      <c r="E1552" s="22"/>
      <c r="F1552" s="26" t="str">
        <f aca="false">IF(A1552="","",IFERROR(buscarx(A1552&amp;E1552,DATA!$E$3:$E$10000&amp;DATA!$B$3:$B$10000,DATA!$M$3:$M$10000),"Inactivo"))</f>
        <v/>
      </c>
      <c r="G1552" s="28" t="str">
        <f aca="false">IF(A1552="","",IF(AND(C1552&lt;&gt;"No encontrado",F1552&lt;&gt;"Inactivo"),C1552&amp;" → "&amp;F1552,"Sin transición"))</f>
        <v/>
      </c>
      <c r="H1552" s="26" t="str">
        <f aca="false">IF(A1552="","",IF(D1552="GCIA LINEA SERVICIO DIGITALIDAD Y VENTAS","Chats",IF(OR(D1552="GERENCIA INBOUND LÍNEAS SERVICIO Y VENTA",D1552="GERENCIA INBOUND LINEAS ESPECIALIZADAS"),"Llamadas","Otro")))</f>
        <v/>
      </c>
      <c r="I1552" s="26" t="str">
        <f aca="false">IF(A1552="","",IF(C1552="No encontrado","No","Sí"))</f>
        <v/>
      </c>
      <c r="J1552" s="26" t="str">
        <f aca="false">IF(A1552="","",IF(F1552="Inactivo","No","Sí"))</f>
        <v/>
      </c>
      <c r="K1552" s="26" t="str">
        <f aca="false">IF(A1552="","",IF(AND(I1552="Sí",J1552="Sí"),"Sí","No"))</f>
        <v/>
      </c>
    </row>
    <row r="1553" customFormat="false" ht="15" hidden="false" customHeight="false" outlineLevel="0" collapsed="false">
      <c r="A1553" s="22"/>
      <c r="B1553" s="22"/>
      <c r="C1553" s="23" t="str">
        <f aca="false">IF(A1553="","",IFERROR(buscarx(A1553&amp;B1553,DATA!$E$3:$E$10000&amp;DATA!$B$3:$B$10000,DATA!$M$3:$M$10000),"No encontrado"))</f>
        <v/>
      </c>
      <c r="D1553" s="24" t="str">
        <f aca="false">IF(A1553="","",IFERROR(buscarx(A1553&amp;B1553,DATA!$E$3:$E$10000&amp;DATA!$B$3:$B$10000,DATA!$W$3:$W$10000),"No encontrado"))</f>
        <v/>
      </c>
      <c r="E1553" s="22"/>
      <c r="F1553" s="23" t="str">
        <f aca="false">IF(A1553="","",IFERROR(buscarx(A1553&amp;E1553,DATA!$E$3:$E$10000&amp;DATA!$B$3:$B$10000,DATA!$M$3:$M$10000),"Inactivo"))</f>
        <v/>
      </c>
      <c r="G1553" s="25" t="str">
        <f aca="false">IF(A1553="","",IF(AND(C1553&lt;&gt;"No encontrado",F1553&lt;&gt;"Inactivo"),C1553&amp;" → "&amp;F1553,"Sin transición"))</f>
        <v/>
      </c>
      <c r="H1553" s="23" t="str">
        <f aca="false">IF(A1553="","",IF(D1553="GCIA LINEA SERVICIO DIGITALIDAD Y VENTAS","Chats",IF(OR(D1553="GERENCIA INBOUND LÍNEAS SERVICIO Y VENTA",D1553="GERENCIA INBOUND LINEAS ESPECIALIZADAS"),"Llamadas","Otro")))</f>
        <v/>
      </c>
      <c r="I1553" s="23" t="str">
        <f aca="false">IF(A1553="","",IF(C1553="No encontrado","No","Sí"))</f>
        <v/>
      </c>
      <c r="J1553" s="23" t="str">
        <f aca="false">IF(A1553="","",IF(F1553="Inactivo","No","Sí"))</f>
        <v/>
      </c>
      <c r="K1553" s="23" t="str">
        <f aca="false">IF(A1553="","",IF(AND(I1553="Sí",J1553="Sí"),"Sí","No"))</f>
        <v/>
      </c>
    </row>
    <row r="1554" customFormat="false" ht="15" hidden="false" customHeight="false" outlineLevel="0" collapsed="false">
      <c r="A1554" s="22"/>
      <c r="B1554" s="22"/>
      <c r="C1554" s="26" t="str">
        <f aca="false">IF(A1554="","",IFERROR(buscarx(A1554&amp;B1554,DATA!$E$3:$E$10000&amp;DATA!$B$3:$B$10000,DATA!$M$3:$M$10000),"No encontrado"))</f>
        <v/>
      </c>
      <c r="D1554" s="27" t="str">
        <f aca="false">IF(A1554="","",IFERROR(buscarx(A1554&amp;B1554,DATA!$E$3:$E$10000&amp;DATA!$B$3:$B$10000,DATA!$W$3:$W$10000),"No encontrado"))</f>
        <v/>
      </c>
      <c r="E1554" s="22"/>
      <c r="F1554" s="26" t="str">
        <f aca="false">IF(A1554="","",IFERROR(buscarx(A1554&amp;E1554,DATA!$E$3:$E$10000&amp;DATA!$B$3:$B$10000,DATA!$M$3:$M$10000),"Inactivo"))</f>
        <v/>
      </c>
      <c r="G1554" s="28" t="str">
        <f aca="false">IF(A1554="","",IF(AND(C1554&lt;&gt;"No encontrado",F1554&lt;&gt;"Inactivo"),C1554&amp;" → "&amp;F1554,"Sin transición"))</f>
        <v/>
      </c>
      <c r="H1554" s="26" t="str">
        <f aca="false">IF(A1554="","",IF(D1554="GCIA LINEA SERVICIO DIGITALIDAD Y VENTAS","Chats",IF(OR(D1554="GERENCIA INBOUND LÍNEAS SERVICIO Y VENTA",D1554="GERENCIA INBOUND LINEAS ESPECIALIZADAS"),"Llamadas","Otro")))</f>
        <v/>
      </c>
      <c r="I1554" s="26" t="str">
        <f aca="false">IF(A1554="","",IF(C1554="No encontrado","No","Sí"))</f>
        <v/>
      </c>
      <c r="J1554" s="26" t="str">
        <f aca="false">IF(A1554="","",IF(F1554="Inactivo","No","Sí"))</f>
        <v/>
      </c>
      <c r="K1554" s="26" t="str">
        <f aca="false">IF(A1554="","",IF(AND(I1554="Sí",J1554="Sí"),"Sí","No"))</f>
        <v/>
      </c>
    </row>
    <row r="1555" customFormat="false" ht="15" hidden="false" customHeight="false" outlineLevel="0" collapsed="false">
      <c r="A1555" s="22"/>
      <c r="B1555" s="22"/>
      <c r="C1555" s="23" t="str">
        <f aca="false">IF(A1555="","",IFERROR(buscarx(A1555&amp;B1555,DATA!$E$3:$E$10000&amp;DATA!$B$3:$B$10000,DATA!$M$3:$M$10000),"No encontrado"))</f>
        <v/>
      </c>
      <c r="D1555" s="24" t="str">
        <f aca="false">IF(A1555="","",IFERROR(buscarx(A1555&amp;B1555,DATA!$E$3:$E$10000&amp;DATA!$B$3:$B$10000,DATA!$W$3:$W$10000),"No encontrado"))</f>
        <v/>
      </c>
      <c r="E1555" s="22"/>
      <c r="F1555" s="23" t="str">
        <f aca="false">IF(A1555="","",IFERROR(buscarx(A1555&amp;E1555,DATA!$E$3:$E$10000&amp;DATA!$B$3:$B$10000,DATA!$M$3:$M$10000),"Inactivo"))</f>
        <v/>
      </c>
      <c r="G1555" s="25" t="str">
        <f aca="false">IF(A1555="","",IF(AND(C1555&lt;&gt;"No encontrado",F1555&lt;&gt;"Inactivo"),C1555&amp;" → "&amp;F1555,"Sin transición"))</f>
        <v/>
      </c>
      <c r="H1555" s="23" t="str">
        <f aca="false">IF(A1555="","",IF(D1555="GCIA LINEA SERVICIO DIGITALIDAD Y VENTAS","Chats",IF(OR(D1555="GERENCIA INBOUND LÍNEAS SERVICIO Y VENTA",D1555="GERENCIA INBOUND LINEAS ESPECIALIZADAS"),"Llamadas","Otro")))</f>
        <v/>
      </c>
      <c r="I1555" s="23" t="str">
        <f aca="false">IF(A1555="","",IF(C1555="No encontrado","No","Sí"))</f>
        <v/>
      </c>
      <c r="J1555" s="23" t="str">
        <f aca="false">IF(A1555="","",IF(F1555="Inactivo","No","Sí"))</f>
        <v/>
      </c>
      <c r="K1555" s="23" t="str">
        <f aca="false">IF(A1555="","",IF(AND(I1555="Sí",J1555="Sí"),"Sí","No"))</f>
        <v/>
      </c>
    </row>
    <row r="1556" customFormat="false" ht="15" hidden="false" customHeight="false" outlineLevel="0" collapsed="false">
      <c r="A1556" s="22"/>
      <c r="B1556" s="22"/>
      <c r="C1556" s="26" t="str">
        <f aca="false">IF(A1556="","",IFERROR(buscarx(A1556&amp;B1556,DATA!$E$3:$E$10000&amp;DATA!$B$3:$B$10000,DATA!$M$3:$M$10000),"No encontrado"))</f>
        <v/>
      </c>
      <c r="D1556" s="27" t="str">
        <f aca="false">IF(A1556="","",IFERROR(buscarx(A1556&amp;B1556,DATA!$E$3:$E$10000&amp;DATA!$B$3:$B$10000,DATA!$W$3:$W$10000),"No encontrado"))</f>
        <v/>
      </c>
      <c r="E1556" s="22"/>
      <c r="F1556" s="26" t="str">
        <f aca="false">IF(A1556="","",IFERROR(buscarx(A1556&amp;E1556,DATA!$E$3:$E$10000&amp;DATA!$B$3:$B$10000,DATA!$M$3:$M$10000),"Inactivo"))</f>
        <v/>
      </c>
      <c r="G1556" s="28" t="str">
        <f aca="false">IF(A1556="","",IF(AND(C1556&lt;&gt;"No encontrado",F1556&lt;&gt;"Inactivo"),C1556&amp;" → "&amp;F1556,"Sin transición"))</f>
        <v/>
      </c>
      <c r="H1556" s="26" t="str">
        <f aca="false">IF(A1556="","",IF(D1556="GCIA LINEA SERVICIO DIGITALIDAD Y VENTAS","Chats",IF(OR(D1556="GERENCIA INBOUND LÍNEAS SERVICIO Y VENTA",D1556="GERENCIA INBOUND LINEAS ESPECIALIZADAS"),"Llamadas","Otro")))</f>
        <v/>
      </c>
      <c r="I1556" s="26" t="str">
        <f aca="false">IF(A1556="","",IF(C1556="No encontrado","No","Sí"))</f>
        <v/>
      </c>
      <c r="J1556" s="26" t="str">
        <f aca="false">IF(A1556="","",IF(F1556="Inactivo","No","Sí"))</f>
        <v/>
      </c>
      <c r="K1556" s="26" t="str">
        <f aca="false">IF(A1556="","",IF(AND(I1556="Sí",J1556="Sí"),"Sí","No"))</f>
        <v/>
      </c>
    </row>
    <row r="1557" customFormat="false" ht="15" hidden="false" customHeight="false" outlineLevel="0" collapsed="false">
      <c r="A1557" s="22"/>
      <c r="B1557" s="22"/>
      <c r="C1557" s="23" t="str">
        <f aca="false">IF(A1557="","",IFERROR(buscarx(A1557&amp;B1557,DATA!$E$3:$E$10000&amp;DATA!$B$3:$B$10000,DATA!$M$3:$M$10000),"No encontrado"))</f>
        <v/>
      </c>
      <c r="D1557" s="24" t="str">
        <f aca="false">IF(A1557="","",IFERROR(buscarx(A1557&amp;B1557,DATA!$E$3:$E$10000&amp;DATA!$B$3:$B$10000,DATA!$W$3:$W$10000),"No encontrado"))</f>
        <v/>
      </c>
      <c r="E1557" s="22"/>
      <c r="F1557" s="23" t="str">
        <f aca="false">IF(A1557="","",IFERROR(buscarx(A1557&amp;E1557,DATA!$E$3:$E$10000&amp;DATA!$B$3:$B$10000,DATA!$M$3:$M$10000),"Inactivo"))</f>
        <v/>
      </c>
      <c r="G1557" s="25" t="str">
        <f aca="false">IF(A1557="","",IF(AND(C1557&lt;&gt;"No encontrado",F1557&lt;&gt;"Inactivo"),C1557&amp;" → "&amp;F1557,"Sin transición"))</f>
        <v/>
      </c>
      <c r="H1557" s="23" t="str">
        <f aca="false">IF(A1557="","",IF(D1557="GCIA LINEA SERVICIO DIGITALIDAD Y VENTAS","Chats",IF(OR(D1557="GERENCIA INBOUND LÍNEAS SERVICIO Y VENTA",D1557="GERENCIA INBOUND LINEAS ESPECIALIZADAS"),"Llamadas","Otro")))</f>
        <v/>
      </c>
      <c r="I1557" s="23" t="str">
        <f aca="false">IF(A1557="","",IF(C1557="No encontrado","No","Sí"))</f>
        <v/>
      </c>
      <c r="J1557" s="23" t="str">
        <f aca="false">IF(A1557="","",IF(F1557="Inactivo","No","Sí"))</f>
        <v/>
      </c>
      <c r="K1557" s="23" t="str">
        <f aca="false">IF(A1557="","",IF(AND(I1557="Sí",J1557="Sí"),"Sí","No"))</f>
        <v/>
      </c>
    </row>
    <row r="1558" customFormat="false" ht="15" hidden="false" customHeight="false" outlineLevel="0" collapsed="false">
      <c r="A1558" s="22"/>
      <c r="B1558" s="22"/>
      <c r="C1558" s="26" t="str">
        <f aca="false">IF(A1558="","",IFERROR(buscarx(A1558&amp;B1558,DATA!$E$3:$E$10000&amp;DATA!$B$3:$B$10000,DATA!$M$3:$M$10000),"No encontrado"))</f>
        <v/>
      </c>
      <c r="D1558" s="27" t="str">
        <f aca="false">IF(A1558="","",IFERROR(buscarx(A1558&amp;B1558,DATA!$E$3:$E$10000&amp;DATA!$B$3:$B$10000,DATA!$W$3:$W$10000),"No encontrado"))</f>
        <v/>
      </c>
      <c r="E1558" s="22"/>
      <c r="F1558" s="26" t="str">
        <f aca="false">IF(A1558="","",IFERROR(buscarx(A1558&amp;E1558,DATA!$E$3:$E$10000&amp;DATA!$B$3:$B$10000,DATA!$M$3:$M$10000),"Inactivo"))</f>
        <v/>
      </c>
      <c r="G1558" s="28" t="str">
        <f aca="false">IF(A1558="","",IF(AND(C1558&lt;&gt;"No encontrado",F1558&lt;&gt;"Inactivo"),C1558&amp;" → "&amp;F1558,"Sin transición"))</f>
        <v/>
      </c>
      <c r="H1558" s="26" t="str">
        <f aca="false">IF(A1558="","",IF(D1558="GCIA LINEA SERVICIO DIGITALIDAD Y VENTAS","Chats",IF(OR(D1558="GERENCIA INBOUND LÍNEAS SERVICIO Y VENTA",D1558="GERENCIA INBOUND LINEAS ESPECIALIZADAS"),"Llamadas","Otro")))</f>
        <v/>
      </c>
      <c r="I1558" s="26" t="str">
        <f aca="false">IF(A1558="","",IF(C1558="No encontrado","No","Sí"))</f>
        <v/>
      </c>
      <c r="J1558" s="26" t="str">
        <f aca="false">IF(A1558="","",IF(F1558="Inactivo","No","Sí"))</f>
        <v/>
      </c>
      <c r="K1558" s="26" t="str">
        <f aca="false">IF(A1558="","",IF(AND(I1558="Sí",J1558="Sí"),"Sí","No"))</f>
        <v/>
      </c>
    </row>
    <row r="1559" customFormat="false" ht="15" hidden="false" customHeight="false" outlineLevel="0" collapsed="false">
      <c r="A1559" s="22"/>
      <c r="B1559" s="22"/>
      <c r="C1559" s="23" t="str">
        <f aca="false">IF(A1559="","",IFERROR(buscarx(A1559&amp;B1559,DATA!$E$3:$E$10000&amp;DATA!$B$3:$B$10000,DATA!$M$3:$M$10000),"No encontrado"))</f>
        <v/>
      </c>
      <c r="D1559" s="24" t="str">
        <f aca="false">IF(A1559="","",IFERROR(buscarx(A1559&amp;B1559,DATA!$E$3:$E$10000&amp;DATA!$B$3:$B$10000,DATA!$W$3:$W$10000),"No encontrado"))</f>
        <v/>
      </c>
      <c r="E1559" s="22"/>
      <c r="F1559" s="23" t="str">
        <f aca="false">IF(A1559="","",IFERROR(buscarx(A1559&amp;E1559,DATA!$E$3:$E$10000&amp;DATA!$B$3:$B$10000,DATA!$M$3:$M$10000),"Inactivo"))</f>
        <v/>
      </c>
      <c r="G1559" s="25" t="str">
        <f aca="false">IF(A1559="","",IF(AND(C1559&lt;&gt;"No encontrado",F1559&lt;&gt;"Inactivo"),C1559&amp;" → "&amp;F1559,"Sin transición"))</f>
        <v/>
      </c>
      <c r="H1559" s="23" t="str">
        <f aca="false">IF(A1559="","",IF(D1559="GCIA LINEA SERVICIO DIGITALIDAD Y VENTAS","Chats",IF(OR(D1559="GERENCIA INBOUND LÍNEAS SERVICIO Y VENTA",D1559="GERENCIA INBOUND LINEAS ESPECIALIZADAS"),"Llamadas","Otro")))</f>
        <v/>
      </c>
      <c r="I1559" s="23" t="str">
        <f aca="false">IF(A1559="","",IF(C1559="No encontrado","No","Sí"))</f>
        <v/>
      </c>
      <c r="J1559" s="23" t="str">
        <f aca="false">IF(A1559="","",IF(F1559="Inactivo","No","Sí"))</f>
        <v/>
      </c>
      <c r="K1559" s="23" t="str">
        <f aca="false">IF(A1559="","",IF(AND(I1559="Sí",J1559="Sí"),"Sí","No"))</f>
        <v/>
      </c>
    </row>
    <row r="1560" customFormat="false" ht="15" hidden="false" customHeight="false" outlineLevel="0" collapsed="false">
      <c r="A1560" s="22"/>
      <c r="B1560" s="22"/>
      <c r="C1560" s="26" t="str">
        <f aca="false">IF(A1560="","",IFERROR(buscarx(A1560&amp;B1560,DATA!$E$3:$E$10000&amp;DATA!$B$3:$B$10000,DATA!$M$3:$M$10000),"No encontrado"))</f>
        <v/>
      </c>
      <c r="D1560" s="27" t="str">
        <f aca="false">IF(A1560="","",IFERROR(buscarx(A1560&amp;B1560,DATA!$E$3:$E$10000&amp;DATA!$B$3:$B$10000,DATA!$W$3:$W$10000),"No encontrado"))</f>
        <v/>
      </c>
      <c r="E1560" s="22"/>
      <c r="F1560" s="26" t="str">
        <f aca="false">IF(A1560="","",IFERROR(buscarx(A1560&amp;E1560,DATA!$E$3:$E$10000&amp;DATA!$B$3:$B$10000,DATA!$M$3:$M$10000),"Inactivo"))</f>
        <v/>
      </c>
      <c r="G1560" s="28" t="str">
        <f aca="false">IF(A1560="","",IF(AND(C1560&lt;&gt;"No encontrado",F1560&lt;&gt;"Inactivo"),C1560&amp;" → "&amp;F1560,"Sin transición"))</f>
        <v/>
      </c>
      <c r="H1560" s="26" t="str">
        <f aca="false">IF(A1560="","",IF(D1560="GCIA LINEA SERVICIO DIGITALIDAD Y VENTAS","Chats",IF(OR(D1560="GERENCIA INBOUND LÍNEAS SERVICIO Y VENTA",D1560="GERENCIA INBOUND LINEAS ESPECIALIZADAS"),"Llamadas","Otro")))</f>
        <v/>
      </c>
      <c r="I1560" s="26" t="str">
        <f aca="false">IF(A1560="","",IF(C1560="No encontrado","No","Sí"))</f>
        <v/>
      </c>
      <c r="J1560" s="26" t="str">
        <f aca="false">IF(A1560="","",IF(F1560="Inactivo","No","Sí"))</f>
        <v/>
      </c>
      <c r="K1560" s="26" t="str">
        <f aca="false">IF(A1560="","",IF(AND(I1560="Sí",J1560="Sí"),"Sí","No"))</f>
        <v/>
      </c>
    </row>
    <row r="1561" customFormat="false" ht="15" hidden="false" customHeight="false" outlineLevel="0" collapsed="false">
      <c r="A1561" s="22"/>
      <c r="B1561" s="22"/>
      <c r="C1561" s="23" t="str">
        <f aca="false">IF(A1561="","",IFERROR(buscarx(A1561&amp;B1561,DATA!$E$3:$E$10000&amp;DATA!$B$3:$B$10000,DATA!$M$3:$M$10000),"No encontrado"))</f>
        <v/>
      </c>
      <c r="D1561" s="24" t="str">
        <f aca="false">IF(A1561="","",IFERROR(buscarx(A1561&amp;B1561,DATA!$E$3:$E$10000&amp;DATA!$B$3:$B$10000,DATA!$W$3:$W$10000),"No encontrado"))</f>
        <v/>
      </c>
      <c r="E1561" s="22"/>
      <c r="F1561" s="23" t="str">
        <f aca="false">IF(A1561="","",IFERROR(buscarx(A1561&amp;E1561,DATA!$E$3:$E$10000&amp;DATA!$B$3:$B$10000,DATA!$M$3:$M$10000),"Inactivo"))</f>
        <v/>
      </c>
      <c r="G1561" s="25" t="str">
        <f aca="false">IF(A1561="","",IF(AND(C1561&lt;&gt;"No encontrado",F1561&lt;&gt;"Inactivo"),C1561&amp;" → "&amp;F1561,"Sin transición"))</f>
        <v/>
      </c>
      <c r="H1561" s="23" t="str">
        <f aca="false">IF(A1561="","",IF(D1561="GCIA LINEA SERVICIO DIGITALIDAD Y VENTAS","Chats",IF(OR(D1561="GERENCIA INBOUND LÍNEAS SERVICIO Y VENTA",D1561="GERENCIA INBOUND LINEAS ESPECIALIZADAS"),"Llamadas","Otro")))</f>
        <v/>
      </c>
      <c r="I1561" s="23" t="str">
        <f aca="false">IF(A1561="","",IF(C1561="No encontrado","No","Sí"))</f>
        <v/>
      </c>
      <c r="J1561" s="23" t="str">
        <f aca="false">IF(A1561="","",IF(F1561="Inactivo","No","Sí"))</f>
        <v/>
      </c>
      <c r="K1561" s="23" t="str">
        <f aca="false">IF(A1561="","",IF(AND(I1561="Sí",J1561="Sí"),"Sí","No"))</f>
        <v/>
      </c>
    </row>
    <row r="1562" customFormat="false" ht="15" hidden="false" customHeight="false" outlineLevel="0" collapsed="false">
      <c r="A1562" s="22"/>
      <c r="B1562" s="22"/>
      <c r="C1562" s="26" t="str">
        <f aca="false">IF(A1562="","",IFERROR(buscarx(A1562&amp;B1562,DATA!$E$3:$E$10000&amp;DATA!$B$3:$B$10000,DATA!$M$3:$M$10000),"No encontrado"))</f>
        <v/>
      </c>
      <c r="D1562" s="27" t="str">
        <f aca="false">IF(A1562="","",IFERROR(buscarx(A1562&amp;B1562,DATA!$E$3:$E$10000&amp;DATA!$B$3:$B$10000,DATA!$W$3:$W$10000),"No encontrado"))</f>
        <v/>
      </c>
      <c r="E1562" s="22"/>
      <c r="F1562" s="26" t="str">
        <f aca="false">IF(A1562="","",IFERROR(buscarx(A1562&amp;E1562,DATA!$E$3:$E$10000&amp;DATA!$B$3:$B$10000,DATA!$M$3:$M$10000),"Inactivo"))</f>
        <v/>
      </c>
      <c r="G1562" s="28" t="str">
        <f aca="false">IF(A1562="","",IF(AND(C1562&lt;&gt;"No encontrado",F1562&lt;&gt;"Inactivo"),C1562&amp;" → "&amp;F1562,"Sin transición"))</f>
        <v/>
      </c>
      <c r="H1562" s="26" t="str">
        <f aca="false">IF(A1562="","",IF(D1562="GCIA LINEA SERVICIO DIGITALIDAD Y VENTAS","Chats",IF(OR(D1562="GERENCIA INBOUND LÍNEAS SERVICIO Y VENTA",D1562="GERENCIA INBOUND LINEAS ESPECIALIZADAS"),"Llamadas","Otro")))</f>
        <v/>
      </c>
      <c r="I1562" s="26" t="str">
        <f aca="false">IF(A1562="","",IF(C1562="No encontrado","No","Sí"))</f>
        <v/>
      </c>
      <c r="J1562" s="26" t="str">
        <f aca="false">IF(A1562="","",IF(F1562="Inactivo","No","Sí"))</f>
        <v/>
      </c>
      <c r="K1562" s="26" t="str">
        <f aca="false">IF(A1562="","",IF(AND(I1562="Sí",J1562="Sí"),"Sí","No"))</f>
        <v/>
      </c>
    </row>
    <row r="1563" customFormat="false" ht="15" hidden="false" customHeight="false" outlineLevel="0" collapsed="false">
      <c r="A1563" s="22"/>
      <c r="B1563" s="22"/>
      <c r="C1563" s="23" t="str">
        <f aca="false">IF(A1563="","",IFERROR(buscarx(A1563&amp;B1563,DATA!$E$3:$E$10000&amp;DATA!$B$3:$B$10000,DATA!$M$3:$M$10000),"No encontrado"))</f>
        <v/>
      </c>
      <c r="D1563" s="24" t="str">
        <f aca="false">IF(A1563="","",IFERROR(buscarx(A1563&amp;B1563,DATA!$E$3:$E$10000&amp;DATA!$B$3:$B$10000,DATA!$W$3:$W$10000),"No encontrado"))</f>
        <v/>
      </c>
      <c r="E1563" s="22"/>
      <c r="F1563" s="23" t="str">
        <f aca="false">IF(A1563="","",IFERROR(buscarx(A1563&amp;E1563,DATA!$E$3:$E$10000&amp;DATA!$B$3:$B$10000,DATA!$M$3:$M$10000),"Inactivo"))</f>
        <v/>
      </c>
      <c r="G1563" s="25" t="str">
        <f aca="false">IF(A1563="","",IF(AND(C1563&lt;&gt;"No encontrado",F1563&lt;&gt;"Inactivo"),C1563&amp;" → "&amp;F1563,"Sin transición"))</f>
        <v/>
      </c>
      <c r="H1563" s="23" t="str">
        <f aca="false">IF(A1563="","",IF(D1563="GCIA LINEA SERVICIO DIGITALIDAD Y VENTAS","Chats",IF(OR(D1563="GERENCIA INBOUND LÍNEAS SERVICIO Y VENTA",D1563="GERENCIA INBOUND LINEAS ESPECIALIZADAS"),"Llamadas","Otro")))</f>
        <v/>
      </c>
      <c r="I1563" s="23" t="str">
        <f aca="false">IF(A1563="","",IF(C1563="No encontrado","No","Sí"))</f>
        <v/>
      </c>
      <c r="J1563" s="23" t="str">
        <f aca="false">IF(A1563="","",IF(F1563="Inactivo","No","Sí"))</f>
        <v/>
      </c>
      <c r="K1563" s="23" t="str">
        <f aca="false">IF(A1563="","",IF(AND(I1563="Sí",J1563="Sí"),"Sí","No"))</f>
        <v/>
      </c>
    </row>
    <row r="1564" customFormat="false" ht="15" hidden="false" customHeight="false" outlineLevel="0" collapsed="false">
      <c r="A1564" s="22"/>
      <c r="B1564" s="22"/>
      <c r="C1564" s="26" t="str">
        <f aca="false">IF(A1564="","",IFERROR(buscarx(A1564&amp;B1564,DATA!$E$3:$E$10000&amp;DATA!$B$3:$B$10000,DATA!$M$3:$M$10000),"No encontrado"))</f>
        <v/>
      </c>
      <c r="D1564" s="27" t="str">
        <f aca="false">IF(A1564="","",IFERROR(buscarx(A1564&amp;B1564,DATA!$E$3:$E$10000&amp;DATA!$B$3:$B$10000,DATA!$W$3:$W$10000),"No encontrado"))</f>
        <v/>
      </c>
      <c r="E1564" s="22"/>
      <c r="F1564" s="26" t="str">
        <f aca="false">IF(A1564="","",IFERROR(buscarx(A1564&amp;E1564,DATA!$E$3:$E$10000&amp;DATA!$B$3:$B$10000,DATA!$M$3:$M$10000),"Inactivo"))</f>
        <v/>
      </c>
      <c r="G1564" s="28" t="str">
        <f aca="false">IF(A1564="","",IF(AND(C1564&lt;&gt;"No encontrado",F1564&lt;&gt;"Inactivo"),C1564&amp;" → "&amp;F1564,"Sin transición"))</f>
        <v/>
      </c>
      <c r="H1564" s="26" t="str">
        <f aca="false">IF(A1564="","",IF(D1564="GCIA LINEA SERVICIO DIGITALIDAD Y VENTAS","Chats",IF(OR(D1564="GERENCIA INBOUND LÍNEAS SERVICIO Y VENTA",D1564="GERENCIA INBOUND LINEAS ESPECIALIZADAS"),"Llamadas","Otro")))</f>
        <v/>
      </c>
      <c r="I1564" s="26" t="str">
        <f aca="false">IF(A1564="","",IF(C1564="No encontrado","No","Sí"))</f>
        <v/>
      </c>
      <c r="J1564" s="26" t="str">
        <f aca="false">IF(A1564="","",IF(F1564="Inactivo","No","Sí"))</f>
        <v/>
      </c>
      <c r="K1564" s="26" t="str">
        <f aca="false">IF(A1564="","",IF(AND(I1564="Sí",J1564="Sí"),"Sí","No"))</f>
        <v/>
      </c>
    </row>
    <row r="1565" customFormat="false" ht="15" hidden="false" customHeight="false" outlineLevel="0" collapsed="false">
      <c r="A1565" s="22"/>
      <c r="B1565" s="22"/>
      <c r="C1565" s="23" t="str">
        <f aca="false">IF(A1565="","",IFERROR(buscarx(A1565&amp;B1565,DATA!$E$3:$E$10000&amp;DATA!$B$3:$B$10000,DATA!$M$3:$M$10000),"No encontrado"))</f>
        <v/>
      </c>
      <c r="D1565" s="24" t="str">
        <f aca="false">IF(A1565="","",IFERROR(buscarx(A1565&amp;B1565,DATA!$E$3:$E$10000&amp;DATA!$B$3:$B$10000,DATA!$W$3:$W$10000),"No encontrado"))</f>
        <v/>
      </c>
      <c r="E1565" s="22"/>
      <c r="F1565" s="23" t="str">
        <f aca="false">IF(A1565="","",IFERROR(buscarx(A1565&amp;E1565,DATA!$E$3:$E$10000&amp;DATA!$B$3:$B$10000,DATA!$M$3:$M$10000),"Inactivo"))</f>
        <v/>
      </c>
      <c r="G1565" s="25" t="str">
        <f aca="false">IF(A1565="","",IF(AND(C1565&lt;&gt;"No encontrado",F1565&lt;&gt;"Inactivo"),C1565&amp;" → "&amp;F1565,"Sin transición"))</f>
        <v/>
      </c>
      <c r="H1565" s="23" t="str">
        <f aca="false">IF(A1565="","",IF(D1565="GCIA LINEA SERVICIO DIGITALIDAD Y VENTAS","Chats",IF(OR(D1565="GERENCIA INBOUND LÍNEAS SERVICIO Y VENTA",D1565="GERENCIA INBOUND LINEAS ESPECIALIZADAS"),"Llamadas","Otro")))</f>
        <v/>
      </c>
      <c r="I1565" s="23" t="str">
        <f aca="false">IF(A1565="","",IF(C1565="No encontrado","No","Sí"))</f>
        <v/>
      </c>
      <c r="J1565" s="23" t="str">
        <f aca="false">IF(A1565="","",IF(F1565="Inactivo","No","Sí"))</f>
        <v/>
      </c>
      <c r="K1565" s="23" t="str">
        <f aca="false">IF(A1565="","",IF(AND(I1565="Sí",J1565="Sí"),"Sí","No"))</f>
        <v/>
      </c>
    </row>
    <row r="1566" customFormat="false" ht="15" hidden="false" customHeight="false" outlineLevel="0" collapsed="false">
      <c r="A1566" s="22"/>
      <c r="B1566" s="22"/>
      <c r="C1566" s="26" t="str">
        <f aca="false">IF(A1566="","",IFERROR(buscarx(A1566&amp;B1566,DATA!$E$3:$E$10000&amp;DATA!$B$3:$B$10000,DATA!$M$3:$M$10000),"No encontrado"))</f>
        <v/>
      </c>
      <c r="D1566" s="27" t="str">
        <f aca="false">IF(A1566="","",IFERROR(buscarx(A1566&amp;B1566,DATA!$E$3:$E$10000&amp;DATA!$B$3:$B$10000,DATA!$W$3:$W$10000),"No encontrado"))</f>
        <v/>
      </c>
      <c r="E1566" s="22"/>
      <c r="F1566" s="26" t="str">
        <f aca="false">IF(A1566="","",IFERROR(buscarx(A1566&amp;E1566,DATA!$E$3:$E$10000&amp;DATA!$B$3:$B$10000,DATA!$M$3:$M$10000),"Inactivo"))</f>
        <v/>
      </c>
      <c r="G1566" s="28" t="str">
        <f aca="false">IF(A1566="","",IF(AND(C1566&lt;&gt;"No encontrado",F1566&lt;&gt;"Inactivo"),C1566&amp;" → "&amp;F1566,"Sin transición"))</f>
        <v/>
      </c>
      <c r="H1566" s="26" t="str">
        <f aca="false">IF(A1566="","",IF(D1566="GCIA LINEA SERVICIO DIGITALIDAD Y VENTAS","Chats",IF(OR(D1566="GERENCIA INBOUND LÍNEAS SERVICIO Y VENTA",D1566="GERENCIA INBOUND LINEAS ESPECIALIZADAS"),"Llamadas","Otro")))</f>
        <v/>
      </c>
      <c r="I1566" s="26" t="str">
        <f aca="false">IF(A1566="","",IF(C1566="No encontrado","No","Sí"))</f>
        <v/>
      </c>
      <c r="J1566" s="26" t="str">
        <f aca="false">IF(A1566="","",IF(F1566="Inactivo","No","Sí"))</f>
        <v/>
      </c>
      <c r="K1566" s="26" t="str">
        <f aca="false">IF(A1566="","",IF(AND(I1566="Sí",J1566="Sí"),"Sí","No"))</f>
        <v/>
      </c>
    </row>
    <row r="1567" customFormat="false" ht="15" hidden="false" customHeight="false" outlineLevel="0" collapsed="false">
      <c r="A1567" s="22"/>
      <c r="B1567" s="22"/>
      <c r="C1567" s="23" t="str">
        <f aca="false">IF(A1567="","",IFERROR(buscarx(A1567&amp;B1567,DATA!$E$3:$E$10000&amp;DATA!$B$3:$B$10000,DATA!$M$3:$M$10000),"No encontrado"))</f>
        <v/>
      </c>
      <c r="D1567" s="24" t="str">
        <f aca="false">IF(A1567="","",IFERROR(buscarx(A1567&amp;B1567,DATA!$E$3:$E$10000&amp;DATA!$B$3:$B$10000,DATA!$W$3:$W$10000),"No encontrado"))</f>
        <v/>
      </c>
      <c r="E1567" s="22"/>
      <c r="F1567" s="23" t="str">
        <f aca="false">IF(A1567="","",IFERROR(buscarx(A1567&amp;E1567,DATA!$E$3:$E$10000&amp;DATA!$B$3:$B$10000,DATA!$M$3:$M$10000),"Inactivo"))</f>
        <v/>
      </c>
      <c r="G1567" s="25" t="str">
        <f aca="false">IF(A1567="","",IF(AND(C1567&lt;&gt;"No encontrado",F1567&lt;&gt;"Inactivo"),C1567&amp;" → "&amp;F1567,"Sin transición"))</f>
        <v/>
      </c>
      <c r="H1567" s="23" t="str">
        <f aca="false">IF(A1567="","",IF(D1567="GCIA LINEA SERVICIO DIGITALIDAD Y VENTAS","Chats",IF(OR(D1567="GERENCIA INBOUND LÍNEAS SERVICIO Y VENTA",D1567="GERENCIA INBOUND LINEAS ESPECIALIZADAS"),"Llamadas","Otro")))</f>
        <v/>
      </c>
      <c r="I1567" s="23" t="str">
        <f aca="false">IF(A1567="","",IF(C1567="No encontrado","No","Sí"))</f>
        <v/>
      </c>
      <c r="J1567" s="23" t="str">
        <f aca="false">IF(A1567="","",IF(F1567="Inactivo","No","Sí"))</f>
        <v/>
      </c>
      <c r="K1567" s="23" t="str">
        <f aca="false">IF(A1567="","",IF(AND(I1567="Sí",J1567="Sí"),"Sí","No"))</f>
        <v/>
      </c>
    </row>
    <row r="1568" customFormat="false" ht="15" hidden="false" customHeight="false" outlineLevel="0" collapsed="false">
      <c r="A1568" s="22"/>
      <c r="B1568" s="22"/>
      <c r="C1568" s="26" t="str">
        <f aca="false">IF(A1568="","",IFERROR(buscarx(A1568&amp;B1568,DATA!$E$3:$E$10000&amp;DATA!$B$3:$B$10000,DATA!$M$3:$M$10000),"No encontrado"))</f>
        <v/>
      </c>
      <c r="D1568" s="27" t="str">
        <f aca="false">IF(A1568="","",IFERROR(buscarx(A1568&amp;B1568,DATA!$E$3:$E$10000&amp;DATA!$B$3:$B$10000,DATA!$W$3:$W$10000),"No encontrado"))</f>
        <v/>
      </c>
      <c r="E1568" s="22"/>
      <c r="F1568" s="26" t="str">
        <f aca="false">IF(A1568="","",IFERROR(buscarx(A1568&amp;E1568,DATA!$E$3:$E$10000&amp;DATA!$B$3:$B$10000,DATA!$M$3:$M$10000),"Inactivo"))</f>
        <v/>
      </c>
      <c r="G1568" s="28" t="str">
        <f aca="false">IF(A1568="","",IF(AND(C1568&lt;&gt;"No encontrado",F1568&lt;&gt;"Inactivo"),C1568&amp;" → "&amp;F1568,"Sin transición"))</f>
        <v/>
      </c>
      <c r="H1568" s="26" t="str">
        <f aca="false">IF(A1568="","",IF(D1568="GCIA LINEA SERVICIO DIGITALIDAD Y VENTAS","Chats",IF(OR(D1568="GERENCIA INBOUND LÍNEAS SERVICIO Y VENTA",D1568="GERENCIA INBOUND LINEAS ESPECIALIZADAS"),"Llamadas","Otro")))</f>
        <v/>
      </c>
      <c r="I1568" s="26" t="str">
        <f aca="false">IF(A1568="","",IF(C1568="No encontrado","No","Sí"))</f>
        <v/>
      </c>
      <c r="J1568" s="26" t="str">
        <f aca="false">IF(A1568="","",IF(F1568="Inactivo","No","Sí"))</f>
        <v/>
      </c>
      <c r="K1568" s="26" t="str">
        <f aca="false">IF(A1568="","",IF(AND(I1568="Sí",J1568="Sí"),"Sí","No"))</f>
        <v/>
      </c>
    </row>
    <row r="1569" customFormat="false" ht="15" hidden="false" customHeight="false" outlineLevel="0" collapsed="false">
      <c r="A1569" s="22"/>
      <c r="B1569" s="22"/>
      <c r="C1569" s="23" t="str">
        <f aca="false">IF(A1569="","",IFERROR(buscarx(A1569&amp;B1569,DATA!$E$3:$E$10000&amp;DATA!$B$3:$B$10000,DATA!$M$3:$M$10000),"No encontrado"))</f>
        <v/>
      </c>
      <c r="D1569" s="24" t="str">
        <f aca="false">IF(A1569="","",IFERROR(buscarx(A1569&amp;B1569,DATA!$E$3:$E$10000&amp;DATA!$B$3:$B$10000,DATA!$W$3:$W$10000),"No encontrado"))</f>
        <v/>
      </c>
      <c r="E1569" s="22"/>
      <c r="F1569" s="23" t="str">
        <f aca="false">IF(A1569="","",IFERROR(buscarx(A1569&amp;E1569,DATA!$E$3:$E$10000&amp;DATA!$B$3:$B$10000,DATA!$M$3:$M$10000),"Inactivo"))</f>
        <v/>
      </c>
      <c r="G1569" s="25" t="str">
        <f aca="false">IF(A1569="","",IF(AND(C1569&lt;&gt;"No encontrado",F1569&lt;&gt;"Inactivo"),C1569&amp;" → "&amp;F1569,"Sin transición"))</f>
        <v/>
      </c>
      <c r="H1569" s="23" t="str">
        <f aca="false">IF(A1569="","",IF(D1569="GCIA LINEA SERVICIO DIGITALIDAD Y VENTAS","Chats",IF(OR(D1569="GERENCIA INBOUND LÍNEAS SERVICIO Y VENTA",D1569="GERENCIA INBOUND LINEAS ESPECIALIZADAS"),"Llamadas","Otro")))</f>
        <v/>
      </c>
      <c r="I1569" s="23" t="str">
        <f aca="false">IF(A1569="","",IF(C1569="No encontrado","No","Sí"))</f>
        <v/>
      </c>
      <c r="J1569" s="23" t="str">
        <f aca="false">IF(A1569="","",IF(F1569="Inactivo","No","Sí"))</f>
        <v/>
      </c>
      <c r="K1569" s="23" t="str">
        <f aca="false">IF(A1569="","",IF(AND(I1569="Sí",J1569="Sí"),"Sí","No"))</f>
        <v/>
      </c>
    </row>
    <row r="1570" customFormat="false" ht="15" hidden="false" customHeight="false" outlineLevel="0" collapsed="false">
      <c r="A1570" s="22"/>
      <c r="B1570" s="22"/>
      <c r="C1570" s="26" t="str">
        <f aca="false">IF(A1570="","",IFERROR(buscarx(A1570&amp;B1570,DATA!$E$3:$E$10000&amp;DATA!$B$3:$B$10000,DATA!$M$3:$M$10000),"No encontrado"))</f>
        <v/>
      </c>
      <c r="D1570" s="27" t="str">
        <f aca="false">IF(A1570="","",IFERROR(buscarx(A1570&amp;B1570,DATA!$E$3:$E$10000&amp;DATA!$B$3:$B$10000,DATA!$W$3:$W$10000),"No encontrado"))</f>
        <v/>
      </c>
      <c r="E1570" s="22"/>
      <c r="F1570" s="26" t="str">
        <f aca="false">IF(A1570="","",IFERROR(buscarx(A1570&amp;E1570,DATA!$E$3:$E$10000&amp;DATA!$B$3:$B$10000,DATA!$M$3:$M$10000),"Inactivo"))</f>
        <v/>
      </c>
      <c r="G1570" s="28" t="str">
        <f aca="false">IF(A1570="","",IF(AND(C1570&lt;&gt;"No encontrado",F1570&lt;&gt;"Inactivo"),C1570&amp;" → "&amp;F1570,"Sin transición"))</f>
        <v/>
      </c>
      <c r="H1570" s="26" t="str">
        <f aca="false">IF(A1570="","",IF(D1570="GCIA LINEA SERVICIO DIGITALIDAD Y VENTAS","Chats",IF(OR(D1570="GERENCIA INBOUND LÍNEAS SERVICIO Y VENTA",D1570="GERENCIA INBOUND LINEAS ESPECIALIZADAS"),"Llamadas","Otro")))</f>
        <v/>
      </c>
      <c r="I1570" s="26" t="str">
        <f aca="false">IF(A1570="","",IF(C1570="No encontrado","No","Sí"))</f>
        <v/>
      </c>
      <c r="J1570" s="26" t="str">
        <f aca="false">IF(A1570="","",IF(F1570="Inactivo","No","Sí"))</f>
        <v/>
      </c>
      <c r="K1570" s="26" t="str">
        <f aca="false">IF(A1570="","",IF(AND(I1570="Sí",J1570="Sí"),"Sí","No"))</f>
        <v/>
      </c>
    </row>
    <row r="1571" customFormat="false" ht="15" hidden="false" customHeight="false" outlineLevel="0" collapsed="false">
      <c r="A1571" s="22"/>
      <c r="B1571" s="22"/>
      <c r="C1571" s="23" t="str">
        <f aca="false">IF(A1571="","",IFERROR(buscarx(A1571&amp;B1571,DATA!$E$3:$E$10000&amp;DATA!$B$3:$B$10000,DATA!$M$3:$M$10000),"No encontrado"))</f>
        <v/>
      </c>
      <c r="D1571" s="24" t="str">
        <f aca="false">IF(A1571="","",IFERROR(buscarx(A1571&amp;B1571,DATA!$E$3:$E$10000&amp;DATA!$B$3:$B$10000,DATA!$W$3:$W$10000),"No encontrado"))</f>
        <v/>
      </c>
      <c r="E1571" s="22"/>
      <c r="F1571" s="23" t="str">
        <f aca="false">IF(A1571="","",IFERROR(buscarx(A1571&amp;E1571,DATA!$E$3:$E$10000&amp;DATA!$B$3:$B$10000,DATA!$M$3:$M$10000),"Inactivo"))</f>
        <v/>
      </c>
      <c r="G1571" s="25" t="str">
        <f aca="false">IF(A1571="","",IF(AND(C1571&lt;&gt;"No encontrado",F1571&lt;&gt;"Inactivo"),C1571&amp;" → "&amp;F1571,"Sin transición"))</f>
        <v/>
      </c>
      <c r="H1571" s="23" t="str">
        <f aca="false">IF(A1571="","",IF(D1571="GCIA LINEA SERVICIO DIGITALIDAD Y VENTAS","Chats",IF(OR(D1571="GERENCIA INBOUND LÍNEAS SERVICIO Y VENTA",D1571="GERENCIA INBOUND LINEAS ESPECIALIZADAS"),"Llamadas","Otro")))</f>
        <v/>
      </c>
      <c r="I1571" s="23" t="str">
        <f aca="false">IF(A1571="","",IF(C1571="No encontrado","No","Sí"))</f>
        <v/>
      </c>
      <c r="J1571" s="23" t="str">
        <f aca="false">IF(A1571="","",IF(F1571="Inactivo","No","Sí"))</f>
        <v/>
      </c>
      <c r="K1571" s="23" t="str">
        <f aca="false">IF(A1571="","",IF(AND(I1571="Sí",J1571="Sí"),"Sí","No"))</f>
        <v/>
      </c>
    </row>
    <row r="1572" customFormat="false" ht="15" hidden="false" customHeight="false" outlineLevel="0" collapsed="false">
      <c r="A1572" s="22"/>
      <c r="B1572" s="22"/>
      <c r="C1572" s="26" t="str">
        <f aca="false">IF(A1572="","",IFERROR(buscarx(A1572&amp;B1572,DATA!$E$3:$E$10000&amp;DATA!$B$3:$B$10000,DATA!$M$3:$M$10000),"No encontrado"))</f>
        <v/>
      </c>
      <c r="D1572" s="27" t="str">
        <f aca="false">IF(A1572="","",IFERROR(buscarx(A1572&amp;B1572,DATA!$E$3:$E$10000&amp;DATA!$B$3:$B$10000,DATA!$W$3:$W$10000),"No encontrado"))</f>
        <v/>
      </c>
      <c r="E1572" s="22"/>
      <c r="F1572" s="26" t="str">
        <f aca="false">IF(A1572="","",IFERROR(buscarx(A1572&amp;E1572,DATA!$E$3:$E$10000&amp;DATA!$B$3:$B$10000,DATA!$M$3:$M$10000),"Inactivo"))</f>
        <v/>
      </c>
      <c r="G1572" s="28" t="str">
        <f aca="false">IF(A1572="","",IF(AND(C1572&lt;&gt;"No encontrado",F1572&lt;&gt;"Inactivo"),C1572&amp;" → "&amp;F1572,"Sin transición"))</f>
        <v/>
      </c>
      <c r="H1572" s="26" t="str">
        <f aca="false">IF(A1572="","",IF(D1572="GCIA LINEA SERVICIO DIGITALIDAD Y VENTAS","Chats",IF(OR(D1572="GERENCIA INBOUND LÍNEAS SERVICIO Y VENTA",D1572="GERENCIA INBOUND LINEAS ESPECIALIZADAS"),"Llamadas","Otro")))</f>
        <v/>
      </c>
      <c r="I1572" s="26" t="str">
        <f aca="false">IF(A1572="","",IF(C1572="No encontrado","No","Sí"))</f>
        <v/>
      </c>
      <c r="J1572" s="26" t="str">
        <f aca="false">IF(A1572="","",IF(F1572="Inactivo","No","Sí"))</f>
        <v/>
      </c>
      <c r="K1572" s="26" t="str">
        <f aca="false">IF(A1572="","",IF(AND(I1572="Sí",J1572="Sí"),"Sí","No"))</f>
        <v/>
      </c>
    </row>
    <row r="1573" customFormat="false" ht="15" hidden="false" customHeight="false" outlineLevel="0" collapsed="false">
      <c r="A1573" s="22"/>
      <c r="B1573" s="22"/>
      <c r="C1573" s="23" t="str">
        <f aca="false">IF(A1573="","",IFERROR(buscarx(A1573&amp;B1573,DATA!$E$3:$E$10000&amp;DATA!$B$3:$B$10000,DATA!$M$3:$M$10000),"No encontrado"))</f>
        <v/>
      </c>
      <c r="D1573" s="24" t="str">
        <f aca="false">IF(A1573="","",IFERROR(buscarx(A1573&amp;B1573,DATA!$E$3:$E$10000&amp;DATA!$B$3:$B$10000,DATA!$W$3:$W$10000),"No encontrado"))</f>
        <v/>
      </c>
      <c r="E1573" s="22"/>
      <c r="F1573" s="23" t="str">
        <f aca="false">IF(A1573="","",IFERROR(buscarx(A1573&amp;E1573,DATA!$E$3:$E$10000&amp;DATA!$B$3:$B$10000,DATA!$M$3:$M$10000),"Inactivo"))</f>
        <v/>
      </c>
      <c r="G1573" s="25" t="str">
        <f aca="false">IF(A1573="","",IF(AND(C1573&lt;&gt;"No encontrado",F1573&lt;&gt;"Inactivo"),C1573&amp;" → "&amp;F1573,"Sin transición"))</f>
        <v/>
      </c>
      <c r="H1573" s="23" t="str">
        <f aca="false">IF(A1573="","",IF(D1573="GCIA LINEA SERVICIO DIGITALIDAD Y VENTAS","Chats",IF(OR(D1573="GERENCIA INBOUND LÍNEAS SERVICIO Y VENTA",D1573="GERENCIA INBOUND LINEAS ESPECIALIZADAS"),"Llamadas","Otro")))</f>
        <v/>
      </c>
      <c r="I1573" s="23" t="str">
        <f aca="false">IF(A1573="","",IF(C1573="No encontrado","No","Sí"))</f>
        <v/>
      </c>
      <c r="J1573" s="23" t="str">
        <f aca="false">IF(A1573="","",IF(F1573="Inactivo","No","Sí"))</f>
        <v/>
      </c>
      <c r="K1573" s="23" t="str">
        <f aca="false">IF(A1573="","",IF(AND(I1573="Sí",J1573="Sí"),"Sí","No"))</f>
        <v/>
      </c>
    </row>
    <row r="1574" customFormat="false" ht="15" hidden="false" customHeight="false" outlineLevel="0" collapsed="false">
      <c r="A1574" s="22"/>
      <c r="B1574" s="22"/>
      <c r="C1574" s="26" t="str">
        <f aca="false">IF(A1574="","",IFERROR(buscarx(A1574&amp;B1574,DATA!$E$3:$E$10000&amp;DATA!$B$3:$B$10000,DATA!$M$3:$M$10000),"No encontrado"))</f>
        <v/>
      </c>
      <c r="D1574" s="27" t="str">
        <f aca="false">IF(A1574="","",IFERROR(buscarx(A1574&amp;B1574,DATA!$E$3:$E$10000&amp;DATA!$B$3:$B$10000,DATA!$W$3:$W$10000),"No encontrado"))</f>
        <v/>
      </c>
      <c r="E1574" s="22"/>
      <c r="F1574" s="26" t="str">
        <f aca="false">IF(A1574="","",IFERROR(buscarx(A1574&amp;E1574,DATA!$E$3:$E$10000&amp;DATA!$B$3:$B$10000,DATA!$M$3:$M$10000),"Inactivo"))</f>
        <v/>
      </c>
      <c r="G1574" s="28" t="str">
        <f aca="false">IF(A1574="","",IF(AND(C1574&lt;&gt;"No encontrado",F1574&lt;&gt;"Inactivo"),C1574&amp;" → "&amp;F1574,"Sin transición"))</f>
        <v/>
      </c>
      <c r="H1574" s="26" t="str">
        <f aca="false">IF(A1574="","",IF(D1574="GCIA LINEA SERVICIO DIGITALIDAD Y VENTAS","Chats",IF(OR(D1574="GERENCIA INBOUND LÍNEAS SERVICIO Y VENTA",D1574="GERENCIA INBOUND LINEAS ESPECIALIZADAS"),"Llamadas","Otro")))</f>
        <v/>
      </c>
      <c r="I1574" s="26" t="str">
        <f aca="false">IF(A1574="","",IF(C1574="No encontrado","No","Sí"))</f>
        <v/>
      </c>
      <c r="J1574" s="26" t="str">
        <f aca="false">IF(A1574="","",IF(F1574="Inactivo","No","Sí"))</f>
        <v/>
      </c>
      <c r="K1574" s="26" t="str">
        <f aca="false">IF(A1574="","",IF(AND(I1574="Sí",J1574="Sí"),"Sí","No"))</f>
        <v/>
      </c>
    </row>
    <row r="1575" customFormat="false" ht="15" hidden="false" customHeight="false" outlineLevel="0" collapsed="false">
      <c r="A1575" s="22"/>
      <c r="B1575" s="22"/>
      <c r="C1575" s="23" t="str">
        <f aca="false">IF(A1575="","",IFERROR(buscarx(A1575&amp;B1575,DATA!$E$3:$E$10000&amp;DATA!$B$3:$B$10000,DATA!$M$3:$M$10000),"No encontrado"))</f>
        <v/>
      </c>
      <c r="D1575" s="24" t="str">
        <f aca="false">IF(A1575="","",IFERROR(buscarx(A1575&amp;B1575,DATA!$E$3:$E$10000&amp;DATA!$B$3:$B$10000,DATA!$W$3:$W$10000),"No encontrado"))</f>
        <v/>
      </c>
      <c r="E1575" s="22"/>
      <c r="F1575" s="23" t="str">
        <f aca="false">IF(A1575="","",IFERROR(buscarx(A1575&amp;E1575,DATA!$E$3:$E$10000&amp;DATA!$B$3:$B$10000,DATA!$M$3:$M$10000),"Inactivo"))</f>
        <v/>
      </c>
      <c r="G1575" s="25" t="str">
        <f aca="false">IF(A1575="","",IF(AND(C1575&lt;&gt;"No encontrado",F1575&lt;&gt;"Inactivo"),C1575&amp;" → "&amp;F1575,"Sin transición"))</f>
        <v/>
      </c>
      <c r="H1575" s="23" t="str">
        <f aca="false">IF(A1575="","",IF(D1575="GCIA LINEA SERVICIO DIGITALIDAD Y VENTAS","Chats",IF(OR(D1575="GERENCIA INBOUND LÍNEAS SERVICIO Y VENTA",D1575="GERENCIA INBOUND LINEAS ESPECIALIZADAS"),"Llamadas","Otro")))</f>
        <v/>
      </c>
      <c r="I1575" s="23" t="str">
        <f aca="false">IF(A1575="","",IF(C1575="No encontrado","No","Sí"))</f>
        <v/>
      </c>
      <c r="J1575" s="23" t="str">
        <f aca="false">IF(A1575="","",IF(F1575="Inactivo","No","Sí"))</f>
        <v/>
      </c>
      <c r="K1575" s="23" t="str">
        <f aca="false">IF(A1575="","",IF(AND(I1575="Sí",J1575="Sí"),"Sí","No"))</f>
        <v/>
      </c>
    </row>
    <row r="1576" customFormat="false" ht="15" hidden="false" customHeight="false" outlineLevel="0" collapsed="false">
      <c r="A1576" s="22"/>
      <c r="B1576" s="22"/>
      <c r="C1576" s="26" t="str">
        <f aca="false">IF(A1576="","",IFERROR(buscarx(A1576&amp;B1576,DATA!$E$3:$E$10000&amp;DATA!$B$3:$B$10000,DATA!$M$3:$M$10000),"No encontrado"))</f>
        <v/>
      </c>
      <c r="D1576" s="27" t="str">
        <f aca="false">IF(A1576="","",IFERROR(buscarx(A1576&amp;B1576,DATA!$E$3:$E$10000&amp;DATA!$B$3:$B$10000,DATA!$W$3:$W$10000),"No encontrado"))</f>
        <v/>
      </c>
      <c r="E1576" s="22"/>
      <c r="F1576" s="26" t="str">
        <f aca="false">IF(A1576="","",IFERROR(buscarx(A1576&amp;E1576,DATA!$E$3:$E$10000&amp;DATA!$B$3:$B$10000,DATA!$M$3:$M$10000),"Inactivo"))</f>
        <v/>
      </c>
      <c r="G1576" s="28" t="str">
        <f aca="false">IF(A1576="","",IF(AND(C1576&lt;&gt;"No encontrado",F1576&lt;&gt;"Inactivo"),C1576&amp;" → "&amp;F1576,"Sin transición"))</f>
        <v/>
      </c>
      <c r="H1576" s="26" t="str">
        <f aca="false">IF(A1576="","",IF(D1576="GCIA LINEA SERVICIO DIGITALIDAD Y VENTAS","Chats",IF(OR(D1576="GERENCIA INBOUND LÍNEAS SERVICIO Y VENTA",D1576="GERENCIA INBOUND LINEAS ESPECIALIZADAS"),"Llamadas","Otro")))</f>
        <v/>
      </c>
      <c r="I1576" s="26" t="str">
        <f aca="false">IF(A1576="","",IF(C1576="No encontrado","No","Sí"))</f>
        <v/>
      </c>
      <c r="J1576" s="26" t="str">
        <f aca="false">IF(A1576="","",IF(F1576="Inactivo","No","Sí"))</f>
        <v/>
      </c>
      <c r="K1576" s="26" t="str">
        <f aca="false">IF(A1576="","",IF(AND(I1576="Sí",J1576="Sí"),"Sí","No"))</f>
        <v/>
      </c>
    </row>
    <row r="1577" customFormat="false" ht="15" hidden="false" customHeight="false" outlineLevel="0" collapsed="false">
      <c r="A1577" s="22"/>
      <c r="B1577" s="22"/>
      <c r="C1577" s="23" t="str">
        <f aca="false">IF(A1577="","",IFERROR(buscarx(A1577&amp;B1577,DATA!$E$3:$E$10000&amp;DATA!$B$3:$B$10000,DATA!$M$3:$M$10000),"No encontrado"))</f>
        <v/>
      </c>
      <c r="D1577" s="24" t="str">
        <f aca="false">IF(A1577="","",IFERROR(buscarx(A1577&amp;B1577,DATA!$E$3:$E$10000&amp;DATA!$B$3:$B$10000,DATA!$W$3:$W$10000),"No encontrado"))</f>
        <v/>
      </c>
      <c r="E1577" s="22"/>
      <c r="F1577" s="23" t="str">
        <f aca="false">IF(A1577="","",IFERROR(buscarx(A1577&amp;E1577,DATA!$E$3:$E$10000&amp;DATA!$B$3:$B$10000,DATA!$M$3:$M$10000),"Inactivo"))</f>
        <v/>
      </c>
      <c r="G1577" s="25" t="str">
        <f aca="false">IF(A1577="","",IF(AND(C1577&lt;&gt;"No encontrado",F1577&lt;&gt;"Inactivo"),C1577&amp;" → "&amp;F1577,"Sin transición"))</f>
        <v/>
      </c>
      <c r="H1577" s="23" t="str">
        <f aca="false">IF(A1577="","",IF(D1577="GCIA LINEA SERVICIO DIGITALIDAD Y VENTAS","Chats",IF(OR(D1577="GERENCIA INBOUND LÍNEAS SERVICIO Y VENTA",D1577="GERENCIA INBOUND LINEAS ESPECIALIZADAS"),"Llamadas","Otro")))</f>
        <v/>
      </c>
      <c r="I1577" s="23" t="str">
        <f aca="false">IF(A1577="","",IF(C1577="No encontrado","No","Sí"))</f>
        <v/>
      </c>
      <c r="J1577" s="23" t="str">
        <f aca="false">IF(A1577="","",IF(F1577="Inactivo","No","Sí"))</f>
        <v/>
      </c>
      <c r="K1577" s="23" t="str">
        <f aca="false">IF(A1577="","",IF(AND(I1577="Sí",J1577="Sí"),"Sí","No"))</f>
        <v/>
      </c>
    </row>
    <row r="1578" customFormat="false" ht="15" hidden="false" customHeight="false" outlineLevel="0" collapsed="false">
      <c r="A1578" s="22"/>
      <c r="B1578" s="22"/>
      <c r="C1578" s="26" t="str">
        <f aca="false">IF(A1578="","",IFERROR(buscarx(A1578&amp;B1578,DATA!$E$3:$E$10000&amp;DATA!$B$3:$B$10000,DATA!$M$3:$M$10000),"No encontrado"))</f>
        <v/>
      </c>
      <c r="D1578" s="27" t="str">
        <f aca="false">IF(A1578="","",IFERROR(buscarx(A1578&amp;B1578,DATA!$E$3:$E$10000&amp;DATA!$B$3:$B$10000,DATA!$W$3:$W$10000),"No encontrado"))</f>
        <v/>
      </c>
      <c r="E1578" s="22"/>
      <c r="F1578" s="26" t="str">
        <f aca="false">IF(A1578="","",IFERROR(buscarx(A1578&amp;E1578,DATA!$E$3:$E$10000&amp;DATA!$B$3:$B$10000,DATA!$M$3:$M$10000),"Inactivo"))</f>
        <v/>
      </c>
      <c r="G1578" s="28" t="str">
        <f aca="false">IF(A1578="","",IF(AND(C1578&lt;&gt;"No encontrado",F1578&lt;&gt;"Inactivo"),C1578&amp;" → "&amp;F1578,"Sin transición"))</f>
        <v/>
      </c>
      <c r="H1578" s="26" t="str">
        <f aca="false">IF(A1578="","",IF(D1578="GCIA LINEA SERVICIO DIGITALIDAD Y VENTAS","Chats",IF(OR(D1578="GERENCIA INBOUND LÍNEAS SERVICIO Y VENTA",D1578="GERENCIA INBOUND LINEAS ESPECIALIZADAS"),"Llamadas","Otro")))</f>
        <v/>
      </c>
      <c r="I1578" s="26" t="str">
        <f aca="false">IF(A1578="","",IF(C1578="No encontrado","No","Sí"))</f>
        <v/>
      </c>
      <c r="J1578" s="26" t="str">
        <f aca="false">IF(A1578="","",IF(F1578="Inactivo","No","Sí"))</f>
        <v/>
      </c>
      <c r="K1578" s="26" t="str">
        <f aca="false">IF(A1578="","",IF(AND(I1578="Sí",J1578="Sí"),"Sí","No"))</f>
        <v/>
      </c>
    </row>
    <row r="1579" customFormat="false" ht="15" hidden="false" customHeight="false" outlineLevel="0" collapsed="false">
      <c r="A1579" s="22"/>
      <c r="B1579" s="22"/>
      <c r="C1579" s="23" t="str">
        <f aca="false">IF(A1579="","",IFERROR(buscarx(A1579&amp;B1579,DATA!$E$3:$E$10000&amp;DATA!$B$3:$B$10000,DATA!$M$3:$M$10000),"No encontrado"))</f>
        <v/>
      </c>
      <c r="D1579" s="24" t="str">
        <f aca="false">IF(A1579="","",IFERROR(buscarx(A1579&amp;B1579,DATA!$E$3:$E$10000&amp;DATA!$B$3:$B$10000,DATA!$W$3:$W$10000),"No encontrado"))</f>
        <v/>
      </c>
      <c r="E1579" s="22"/>
      <c r="F1579" s="23" t="str">
        <f aca="false">IF(A1579="","",IFERROR(buscarx(A1579&amp;E1579,DATA!$E$3:$E$10000&amp;DATA!$B$3:$B$10000,DATA!$M$3:$M$10000),"Inactivo"))</f>
        <v/>
      </c>
      <c r="G1579" s="25" t="str">
        <f aca="false">IF(A1579="","",IF(AND(C1579&lt;&gt;"No encontrado",F1579&lt;&gt;"Inactivo"),C1579&amp;" → "&amp;F1579,"Sin transición"))</f>
        <v/>
      </c>
      <c r="H1579" s="23" t="str">
        <f aca="false">IF(A1579="","",IF(D1579="GCIA LINEA SERVICIO DIGITALIDAD Y VENTAS","Chats",IF(OR(D1579="GERENCIA INBOUND LÍNEAS SERVICIO Y VENTA",D1579="GERENCIA INBOUND LINEAS ESPECIALIZADAS"),"Llamadas","Otro")))</f>
        <v/>
      </c>
      <c r="I1579" s="23" t="str">
        <f aca="false">IF(A1579="","",IF(C1579="No encontrado","No","Sí"))</f>
        <v/>
      </c>
      <c r="J1579" s="23" t="str">
        <f aca="false">IF(A1579="","",IF(F1579="Inactivo","No","Sí"))</f>
        <v/>
      </c>
      <c r="K1579" s="23" t="str">
        <f aca="false">IF(A1579="","",IF(AND(I1579="Sí",J1579="Sí"),"Sí","No"))</f>
        <v/>
      </c>
    </row>
    <row r="1580" customFormat="false" ht="15" hidden="false" customHeight="false" outlineLevel="0" collapsed="false">
      <c r="A1580" s="22"/>
      <c r="B1580" s="22"/>
      <c r="C1580" s="26" t="str">
        <f aca="false">IF(A1580="","",IFERROR(buscarx(A1580&amp;B1580,DATA!$E$3:$E$10000&amp;DATA!$B$3:$B$10000,DATA!$M$3:$M$10000),"No encontrado"))</f>
        <v/>
      </c>
      <c r="D1580" s="27" t="str">
        <f aca="false">IF(A1580="","",IFERROR(buscarx(A1580&amp;B1580,DATA!$E$3:$E$10000&amp;DATA!$B$3:$B$10000,DATA!$W$3:$W$10000),"No encontrado"))</f>
        <v/>
      </c>
      <c r="E1580" s="22"/>
      <c r="F1580" s="26" t="str">
        <f aca="false">IF(A1580="","",IFERROR(buscarx(A1580&amp;E1580,DATA!$E$3:$E$10000&amp;DATA!$B$3:$B$10000,DATA!$M$3:$M$10000),"Inactivo"))</f>
        <v/>
      </c>
      <c r="G1580" s="28" t="str">
        <f aca="false">IF(A1580="","",IF(AND(C1580&lt;&gt;"No encontrado",F1580&lt;&gt;"Inactivo"),C1580&amp;" → "&amp;F1580,"Sin transición"))</f>
        <v/>
      </c>
      <c r="H1580" s="26" t="str">
        <f aca="false">IF(A1580="","",IF(D1580="GCIA LINEA SERVICIO DIGITALIDAD Y VENTAS","Chats",IF(OR(D1580="GERENCIA INBOUND LÍNEAS SERVICIO Y VENTA",D1580="GERENCIA INBOUND LINEAS ESPECIALIZADAS"),"Llamadas","Otro")))</f>
        <v/>
      </c>
      <c r="I1580" s="26" t="str">
        <f aca="false">IF(A1580="","",IF(C1580="No encontrado","No","Sí"))</f>
        <v/>
      </c>
      <c r="J1580" s="26" t="str">
        <f aca="false">IF(A1580="","",IF(F1580="Inactivo","No","Sí"))</f>
        <v/>
      </c>
      <c r="K1580" s="26" t="str">
        <f aca="false">IF(A1580="","",IF(AND(I1580="Sí",J1580="Sí"),"Sí","No"))</f>
        <v/>
      </c>
    </row>
    <row r="1581" customFormat="false" ht="15" hidden="false" customHeight="false" outlineLevel="0" collapsed="false">
      <c r="A1581" s="22"/>
      <c r="B1581" s="22"/>
      <c r="C1581" s="23" t="str">
        <f aca="false">IF(A1581="","",IFERROR(buscarx(A1581&amp;B1581,DATA!$E$3:$E$10000&amp;DATA!$B$3:$B$10000,DATA!$M$3:$M$10000),"No encontrado"))</f>
        <v/>
      </c>
      <c r="D1581" s="24" t="str">
        <f aca="false">IF(A1581="","",IFERROR(buscarx(A1581&amp;B1581,DATA!$E$3:$E$10000&amp;DATA!$B$3:$B$10000,DATA!$W$3:$W$10000),"No encontrado"))</f>
        <v/>
      </c>
      <c r="E1581" s="22"/>
      <c r="F1581" s="23" t="str">
        <f aca="false">IF(A1581="","",IFERROR(buscarx(A1581&amp;E1581,DATA!$E$3:$E$10000&amp;DATA!$B$3:$B$10000,DATA!$M$3:$M$10000),"Inactivo"))</f>
        <v/>
      </c>
      <c r="G1581" s="25" t="str">
        <f aca="false">IF(A1581="","",IF(AND(C1581&lt;&gt;"No encontrado",F1581&lt;&gt;"Inactivo"),C1581&amp;" → "&amp;F1581,"Sin transición"))</f>
        <v/>
      </c>
      <c r="H1581" s="23" t="str">
        <f aca="false">IF(A1581="","",IF(D1581="GCIA LINEA SERVICIO DIGITALIDAD Y VENTAS","Chats",IF(OR(D1581="GERENCIA INBOUND LÍNEAS SERVICIO Y VENTA",D1581="GERENCIA INBOUND LINEAS ESPECIALIZADAS"),"Llamadas","Otro")))</f>
        <v/>
      </c>
      <c r="I1581" s="23" t="str">
        <f aca="false">IF(A1581="","",IF(C1581="No encontrado","No","Sí"))</f>
        <v/>
      </c>
      <c r="J1581" s="23" t="str">
        <f aca="false">IF(A1581="","",IF(F1581="Inactivo","No","Sí"))</f>
        <v/>
      </c>
      <c r="K1581" s="23" t="str">
        <f aca="false">IF(A1581="","",IF(AND(I1581="Sí",J1581="Sí"),"Sí","No"))</f>
        <v/>
      </c>
    </row>
    <row r="1582" customFormat="false" ht="15" hidden="false" customHeight="false" outlineLevel="0" collapsed="false">
      <c r="A1582" s="22"/>
      <c r="B1582" s="22"/>
      <c r="C1582" s="26" t="str">
        <f aca="false">IF(A1582="","",IFERROR(buscarx(A1582&amp;B1582,DATA!$E$3:$E$10000&amp;DATA!$B$3:$B$10000,DATA!$M$3:$M$10000),"No encontrado"))</f>
        <v/>
      </c>
      <c r="D1582" s="27" t="str">
        <f aca="false">IF(A1582="","",IFERROR(buscarx(A1582&amp;B1582,DATA!$E$3:$E$10000&amp;DATA!$B$3:$B$10000,DATA!$W$3:$W$10000),"No encontrado"))</f>
        <v/>
      </c>
      <c r="E1582" s="22"/>
      <c r="F1582" s="26" t="str">
        <f aca="false">IF(A1582="","",IFERROR(buscarx(A1582&amp;E1582,DATA!$E$3:$E$10000&amp;DATA!$B$3:$B$10000,DATA!$M$3:$M$10000),"Inactivo"))</f>
        <v/>
      </c>
      <c r="G1582" s="28" t="str">
        <f aca="false">IF(A1582="","",IF(AND(C1582&lt;&gt;"No encontrado",F1582&lt;&gt;"Inactivo"),C1582&amp;" → "&amp;F1582,"Sin transición"))</f>
        <v/>
      </c>
      <c r="H1582" s="26" t="str">
        <f aca="false">IF(A1582="","",IF(D1582="GCIA LINEA SERVICIO DIGITALIDAD Y VENTAS","Chats",IF(OR(D1582="GERENCIA INBOUND LÍNEAS SERVICIO Y VENTA",D1582="GERENCIA INBOUND LINEAS ESPECIALIZADAS"),"Llamadas","Otro")))</f>
        <v/>
      </c>
      <c r="I1582" s="26" t="str">
        <f aca="false">IF(A1582="","",IF(C1582="No encontrado","No","Sí"))</f>
        <v/>
      </c>
      <c r="J1582" s="26" t="str">
        <f aca="false">IF(A1582="","",IF(F1582="Inactivo","No","Sí"))</f>
        <v/>
      </c>
      <c r="K1582" s="26" t="str">
        <f aca="false">IF(A1582="","",IF(AND(I1582="Sí",J1582="Sí"),"Sí","No"))</f>
        <v/>
      </c>
    </row>
    <row r="1583" customFormat="false" ht="15" hidden="false" customHeight="false" outlineLevel="0" collapsed="false">
      <c r="A1583" s="22"/>
      <c r="B1583" s="22"/>
      <c r="C1583" s="23" t="str">
        <f aca="false">IF(A1583="","",IFERROR(buscarx(A1583&amp;B1583,DATA!$E$3:$E$10000&amp;DATA!$B$3:$B$10000,DATA!$M$3:$M$10000),"No encontrado"))</f>
        <v/>
      </c>
      <c r="D1583" s="24" t="str">
        <f aca="false">IF(A1583="","",IFERROR(buscarx(A1583&amp;B1583,DATA!$E$3:$E$10000&amp;DATA!$B$3:$B$10000,DATA!$W$3:$W$10000),"No encontrado"))</f>
        <v/>
      </c>
      <c r="E1583" s="22"/>
      <c r="F1583" s="23" t="str">
        <f aca="false">IF(A1583="","",IFERROR(buscarx(A1583&amp;E1583,DATA!$E$3:$E$10000&amp;DATA!$B$3:$B$10000,DATA!$M$3:$M$10000),"Inactivo"))</f>
        <v/>
      </c>
      <c r="G1583" s="25" t="str">
        <f aca="false">IF(A1583="","",IF(AND(C1583&lt;&gt;"No encontrado",F1583&lt;&gt;"Inactivo"),C1583&amp;" → "&amp;F1583,"Sin transición"))</f>
        <v/>
      </c>
      <c r="H1583" s="23" t="str">
        <f aca="false">IF(A1583="","",IF(D1583="GCIA LINEA SERVICIO DIGITALIDAD Y VENTAS","Chats",IF(OR(D1583="GERENCIA INBOUND LÍNEAS SERVICIO Y VENTA",D1583="GERENCIA INBOUND LINEAS ESPECIALIZADAS"),"Llamadas","Otro")))</f>
        <v/>
      </c>
      <c r="I1583" s="23" t="str">
        <f aca="false">IF(A1583="","",IF(C1583="No encontrado","No","Sí"))</f>
        <v/>
      </c>
      <c r="J1583" s="23" t="str">
        <f aca="false">IF(A1583="","",IF(F1583="Inactivo","No","Sí"))</f>
        <v/>
      </c>
      <c r="K1583" s="23" t="str">
        <f aca="false">IF(A1583="","",IF(AND(I1583="Sí",J1583="Sí"),"Sí","No"))</f>
        <v/>
      </c>
    </row>
    <row r="1584" customFormat="false" ht="15" hidden="false" customHeight="false" outlineLevel="0" collapsed="false">
      <c r="A1584" s="22"/>
      <c r="B1584" s="22"/>
      <c r="C1584" s="26" t="str">
        <f aca="false">IF(A1584="","",IFERROR(buscarx(A1584&amp;B1584,DATA!$E$3:$E$10000&amp;DATA!$B$3:$B$10000,DATA!$M$3:$M$10000),"No encontrado"))</f>
        <v/>
      </c>
      <c r="D1584" s="27" t="str">
        <f aca="false">IF(A1584="","",IFERROR(buscarx(A1584&amp;B1584,DATA!$E$3:$E$10000&amp;DATA!$B$3:$B$10000,DATA!$W$3:$W$10000),"No encontrado"))</f>
        <v/>
      </c>
      <c r="E1584" s="22"/>
      <c r="F1584" s="26" t="str">
        <f aca="false">IF(A1584="","",IFERROR(buscarx(A1584&amp;E1584,DATA!$E$3:$E$10000&amp;DATA!$B$3:$B$10000,DATA!$M$3:$M$10000),"Inactivo"))</f>
        <v/>
      </c>
      <c r="G1584" s="28" t="str">
        <f aca="false">IF(A1584="","",IF(AND(C1584&lt;&gt;"No encontrado",F1584&lt;&gt;"Inactivo"),C1584&amp;" → "&amp;F1584,"Sin transición"))</f>
        <v/>
      </c>
      <c r="H1584" s="26" t="str">
        <f aca="false">IF(A1584="","",IF(D1584="GCIA LINEA SERVICIO DIGITALIDAD Y VENTAS","Chats",IF(OR(D1584="GERENCIA INBOUND LÍNEAS SERVICIO Y VENTA",D1584="GERENCIA INBOUND LINEAS ESPECIALIZADAS"),"Llamadas","Otro")))</f>
        <v/>
      </c>
      <c r="I1584" s="26" t="str">
        <f aca="false">IF(A1584="","",IF(C1584="No encontrado","No","Sí"))</f>
        <v/>
      </c>
      <c r="J1584" s="26" t="str">
        <f aca="false">IF(A1584="","",IF(F1584="Inactivo","No","Sí"))</f>
        <v/>
      </c>
      <c r="K1584" s="26" t="str">
        <f aca="false">IF(A1584="","",IF(AND(I1584="Sí",J1584="Sí"),"Sí","No"))</f>
        <v/>
      </c>
    </row>
    <row r="1585" customFormat="false" ht="15" hidden="false" customHeight="false" outlineLevel="0" collapsed="false">
      <c r="A1585" s="22"/>
      <c r="B1585" s="22"/>
      <c r="C1585" s="23" t="str">
        <f aca="false">IF(A1585="","",IFERROR(buscarx(A1585&amp;B1585,DATA!$E$3:$E$10000&amp;DATA!$B$3:$B$10000,DATA!$M$3:$M$10000),"No encontrado"))</f>
        <v/>
      </c>
      <c r="D1585" s="24" t="str">
        <f aca="false">IF(A1585="","",IFERROR(buscarx(A1585&amp;B1585,DATA!$E$3:$E$10000&amp;DATA!$B$3:$B$10000,DATA!$W$3:$W$10000),"No encontrado"))</f>
        <v/>
      </c>
      <c r="E1585" s="22"/>
      <c r="F1585" s="23" t="str">
        <f aca="false">IF(A1585="","",IFERROR(buscarx(A1585&amp;E1585,DATA!$E$3:$E$10000&amp;DATA!$B$3:$B$10000,DATA!$M$3:$M$10000),"Inactivo"))</f>
        <v/>
      </c>
      <c r="G1585" s="25" t="str">
        <f aca="false">IF(A1585="","",IF(AND(C1585&lt;&gt;"No encontrado",F1585&lt;&gt;"Inactivo"),C1585&amp;" → "&amp;F1585,"Sin transición"))</f>
        <v/>
      </c>
      <c r="H1585" s="23" t="str">
        <f aca="false">IF(A1585="","",IF(D1585="GCIA LINEA SERVICIO DIGITALIDAD Y VENTAS","Chats",IF(OR(D1585="GERENCIA INBOUND LÍNEAS SERVICIO Y VENTA",D1585="GERENCIA INBOUND LINEAS ESPECIALIZADAS"),"Llamadas","Otro")))</f>
        <v/>
      </c>
      <c r="I1585" s="23" t="str">
        <f aca="false">IF(A1585="","",IF(C1585="No encontrado","No","Sí"))</f>
        <v/>
      </c>
      <c r="J1585" s="23" t="str">
        <f aca="false">IF(A1585="","",IF(F1585="Inactivo","No","Sí"))</f>
        <v/>
      </c>
      <c r="K1585" s="23" t="str">
        <f aca="false">IF(A1585="","",IF(AND(I1585="Sí",J1585="Sí"),"Sí","No"))</f>
        <v/>
      </c>
    </row>
    <row r="1586" customFormat="false" ht="15" hidden="false" customHeight="false" outlineLevel="0" collapsed="false">
      <c r="A1586" s="22"/>
      <c r="B1586" s="22"/>
      <c r="C1586" s="26" t="str">
        <f aca="false">IF(A1586="","",IFERROR(buscarx(A1586&amp;B1586,DATA!$E$3:$E$10000&amp;DATA!$B$3:$B$10000,DATA!$M$3:$M$10000),"No encontrado"))</f>
        <v/>
      </c>
      <c r="D1586" s="27" t="str">
        <f aca="false">IF(A1586="","",IFERROR(buscarx(A1586&amp;B1586,DATA!$E$3:$E$10000&amp;DATA!$B$3:$B$10000,DATA!$W$3:$W$10000),"No encontrado"))</f>
        <v/>
      </c>
      <c r="E1586" s="22"/>
      <c r="F1586" s="26" t="str">
        <f aca="false">IF(A1586="","",IFERROR(buscarx(A1586&amp;E1586,DATA!$E$3:$E$10000&amp;DATA!$B$3:$B$10000,DATA!$M$3:$M$10000),"Inactivo"))</f>
        <v/>
      </c>
      <c r="G1586" s="28" t="str">
        <f aca="false">IF(A1586="","",IF(AND(C1586&lt;&gt;"No encontrado",F1586&lt;&gt;"Inactivo"),C1586&amp;" → "&amp;F1586,"Sin transición"))</f>
        <v/>
      </c>
      <c r="H1586" s="26" t="str">
        <f aca="false">IF(A1586="","",IF(D1586="GCIA LINEA SERVICIO DIGITALIDAD Y VENTAS","Chats",IF(OR(D1586="GERENCIA INBOUND LÍNEAS SERVICIO Y VENTA",D1586="GERENCIA INBOUND LINEAS ESPECIALIZADAS"),"Llamadas","Otro")))</f>
        <v/>
      </c>
      <c r="I1586" s="26" t="str">
        <f aca="false">IF(A1586="","",IF(C1586="No encontrado","No","Sí"))</f>
        <v/>
      </c>
      <c r="J1586" s="26" t="str">
        <f aca="false">IF(A1586="","",IF(F1586="Inactivo","No","Sí"))</f>
        <v/>
      </c>
      <c r="K1586" s="26" t="str">
        <f aca="false">IF(A1586="","",IF(AND(I1586="Sí",J1586="Sí"),"Sí","No"))</f>
        <v/>
      </c>
    </row>
    <row r="1587" customFormat="false" ht="15" hidden="false" customHeight="false" outlineLevel="0" collapsed="false">
      <c r="A1587" s="22"/>
      <c r="B1587" s="22"/>
      <c r="C1587" s="23" t="str">
        <f aca="false">IF(A1587="","",IFERROR(buscarx(A1587&amp;B1587,DATA!$E$3:$E$10000&amp;DATA!$B$3:$B$10000,DATA!$M$3:$M$10000),"No encontrado"))</f>
        <v/>
      </c>
      <c r="D1587" s="24" t="str">
        <f aca="false">IF(A1587="","",IFERROR(buscarx(A1587&amp;B1587,DATA!$E$3:$E$10000&amp;DATA!$B$3:$B$10000,DATA!$W$3:$W$10000),"No encontrado"))</f>
        <v/>
      </c>
      <c r="E1587" s="22"/>
      <c r="F1587" s="23" t="str">
        <f aca="false">IF(A1587="","",IFERROR(buscarx(A1587&amp;E1587,DATA!$E$3:$E$10000&amp;DATA!$B$3:$B$10000,DATA!$M$3:$M$10000),"Inactivo"))</f>
        <v/>
      </c>
      <c r="G1587" s="25" t="str">
        <f aca="false">IF(A1587="","",IF(AND(C1587&lt;&gt;"No encontrado",F1587&lt;&gt;"Inactivo"),C1587&amp;" → "&amp;F1587,"Sin transición"))</f>
        <v/>
      </c>
      <c r="H1587" s="23" t="str">
        <f aca="false">IF(A1587="","",IF(D1587="GCIA LINEA SERVICIO DIGITALIDAD Y VENTAS","Chats",IF(OR(D1587="GERENCIA INBOUND LÍNEAS SERVICIO Y VENTA",D1587="GERENCIA INBOUND LINEAS ESPECIALIZADAS"),"Llamadas","Otro")))</f>
        <v/>
      </c>
      <c r="I1587" s="23" t="str">
        <f aca="false">IF(A1587="","",IF(C1587="No encontrado","No","Sí"))</f>
        <v/>
      </c>
      <c r="J1587" s="23" t="str">
        <f aca="false">IF(A1587="","",IF(F1587="Inactivo","No","Sí"))</f>
        <v/>
      </c>
      <c r="K1587" s="23" t="str">
        <f aca="false">IF(A1587="","",IF(AND(I1587="Sí",J1587="Sí"),"Sí","No"))</f>
        <v/>
      </c>
    </row>
    <row r="1588" customFormat="false" ht="15" hidden="false" customHeight="false" outlineLevel="0" collapsed="false">
      <c r="A1588" s="22"/>
      <c r="B1588" s="22"/>
      <c r="C1588" s="26" t="str">
        <f aca="false">IF(A1588="","",IFERROR(buscarx(A1588&amp;B1588,DATA!$E$3:$E$10000&amp;DATA!$B$3:$B$10000,DATA!$M$3:$M$10000),"No encontrado"))</f>
        <v/>
      </c>
      <c r="D1588" s="27" t="str">
        <f aca="false">IF(A1588="","",IFERROR(buscarx(A1588&amp;B1588,DATA!$E$3:$E$10000&amp;DATA!$B$3:$B$10000,DATA!$W$3:$W$10000),"No encontrado"))</f>
        <v/>
      </c>
      <c r="E1588" s="22"/>
      <c r="F1588" s="26" t="str">
        <f aca="false">IF(A1588="","",IFERROR(buscarx(A1588&amp;E1588,DATA!$E$3:$E$10000&amp;DATA!$B$3:$B$10000,DATA!$M$3:$M$10000),"Inactivo"))</f>
        <v/>
      </c>
      <c r="G1588" s="28" t="str">
        <f aca="false">IF(A1588="","",IF(AND(C1588&lt;&gt;"No encontrado",F1588&lt;&gt;"Inactivo"),C1588&amp;" → "&amp;F1588,"Sin transición"))</f>
        <v/>
      </c>
      <c r="H1588" s="26" t="str">
        <f aca="false">IF(A1588="","",IF(D1588="GCIA LINEA SERVICIO DIGITALIDAD Y VENTAS","Chats",IF(OR(D1588="GERENCIA INBOUND LÍNEAS SERVICIO Y VENTA",D1588="GERENCIA INBOUND LINEAS ESPECIALIZADAS"),"Llamadas","Otro")))</f>
        <v/>
      </c>
      <c r="I1588" s="26" t="str">
        <f aca="false">IF(A1588="","",IF(C1588="No encontrado","No","Sí"))</f>
        <v/>
      </c>
      <c r="J1588" s="26" t="str">
        <f aca="false">IF(A1588="","",IF(F1588="Inactivo","No","Sí"))</f>
        <v/>
      </c>
      <c r="K1588" s="26" t="str">
        <f aca="false">IF(A1588="","",IF(AND(I1588="Sí",J1588="Sí"),"Sí","No"))</f>
        <v/>
      </c>
    </row>
    <row r="1589" customFormat="false" ht="15" hidden="false" customHeight="false" outlineLevel="0" collapsed="false">
      <c r="A1589" s="22"/>
      <c r="B1589" s="22"/>
      <c r="C1589" s="23" t="str">
        <f aca="false">IF(A1589="","",IFERROR(buscarx(A1589&amp;B1589,DATA!$E$3:$E$10000&amp;DATA!$B$3:$B$10000,DATA!$M$3:$M$10000),"No encontrado"))</f>
        <v/>
      </c>
      <c r="D1589" s="24" t="str">
        <f aca="false">IF(A1589="","",IFERROR(buscarx(A1589&amp;B1589,DATA!$E$3:$E$10000&amp;DATA!$B$3:$B$10000,DATA!$W$3:$W$10000),"No encontrado"))</f>
        <v/>
      </c>
      <c r="E1589" s="22"/>
      <c r="F1589" s="23" t="str">
        <f aca="false">IF(A1589="","",IFERROR(buscarx(A1589&amp;E1589,DATA!$E$3:$E$10000&amp;DATA!$B$3:$B$10000,DATA!$M$3:$M$10000),"Inactivo"))</f>
        <v/>
      </c>
      <c r="G1589" s="25" t="str">
        <f aca="false">IF(A1589="","",IF(AND(C1589&lt;&gt;"No encontrado",F1589&lt;&gt;"Inactivo"),C1589&amp;" → "&amp;F1589,"Sin transición"))</f>
        <v/>
      </c>
      <c r="H1589" s="23" t="str">
        <f aca="false">IF(A1589="","",IF(D1589="GCIA LINEA SERVICIO DIGITALIDAD Y VENTAS","Chats",IF(OR(D1589="GERENCIA INBOUND LÍNEAS SERVICIO Y VENTA",D1589="GERENCIA INBOUND LINEAS ESPECIALIZADAS"),"Llamadas","Otro")))</f>
        <v/>
      </c>
      <c r="I1589" s="23" t="str">
        <f aca="false">IF(A1589="","",IF(C1589="No encontrado","No","Sí"))</f>
        <v/>
      </c>
      <c r="J1589" s="23" t="str">
        <f aca="false">IF(A1589="","",IF(F1589="Inactivo","No","Sí"))</f>
        <v/>
      </c>
      <c r="K1589" s="23" t="str">
        <f aca="false">IF(A1589="","",IF(AND(I1589="Sí",J1589="Sí"),"Sí","No"))</f>
        <v/>
      </c>
    </row>
    <row r="1590" customFormat="false" ht="15" hidden="false" customHeight="false" outlineLevel="0" collapsed="false">
      <c r="A1590" s="22"/>
      <c r="B1590" s="22"/>
      <c r="C1590" s="26" t="str">
        <f aca="false">IF(A1590="","",IFERROR(buscarx(A1590&amp;B1590,DATA!$E$3:$E$10000&amp;DATA!$B$3:$B$10000,DATA!$M$3:$M$10000),"No encontrado"))</f>
        <v/>
      </c>
      <c r="D1590" s="27" t="str">
        <f aca="false">IF(A1590="","",IFERROR(buscarx(A1590&amp;B1590,DATA!$E$3:$E$10000&amp;DATA!$B$3:$B$10000,DATA!$W$3:$W$10000),"No encontrado"))</f>
        <v/>
      </c>
      <c r="E1590" s="22"/>
      <c r="F1590" s="26" t="str">
        <f aca="false">IF(A1590="","",IFERROR(buscarx(A1590&amp;E1590,DATA!$E$3:$E$10000&amp;DATA!$B$3:$B$10000,DATA!$M$3:$M$10000),"Inactivo"))</f>
        <v/>
      </c>
      <c r="G1590" s="28" t="str">
        <f aca="false">IF(A1590="","",IF(AND(C1590&lt;&gt;"No encontrado",F1590&lt;&gt;"Inactivo"),C1590&amp;" → "&amp;F1590,"Sin transición"))</f>
        <v/>
      </c>
      <c r="H1590" s="26" t="str">
        <f aca="false">IF(A1590="","",IF(D1590="GCIA LINEA SERVICIO DIGITALIDAD Y VENTAS","Chats",IF(OR(D1590="GERENCIA INBOUND LÍNEAS SERVICIO Y VENTA",D1590="GERENCIA INBOUND LINEAS ESPECIALIZADAS"),"Llamadas","Otro")))</f>
        <v/>
      </c>
      <c r="I1590" s="26" t="str">
        <f aca="false">IF(A1590="","",IF(C1590="No encontrado","No","Sí"))</f>
        <v/>
      </c>
      <c r="J1590" s="26" t="str">
        <f aca="false">IF(A1590="","",IF(F1590="Inactivo","No","Sí"))</f>
        <v/>
      </c>
      <c r="K1590" s="26" t="str">
        <f aca="false">IF(A1590="","",IF(AND(I1590="Sí",J1590="Sí"),"Sí","No"))</f>
        <v/>
      </c>
    </row>
    <row r="1591" customFormat="false" ht="15" hidden="false" customHeight="false" outlineLevel="0" collapsed="false">
      <c r="A1591" s="22"/>
      <c r="B1591" s="22"/>
      <c r="C1591" s="23" t="str">
        <f aca="false">IF(A1591="","",IFERROR(buscarx(A1591&amp;B1591,DATA!$E$3:$E$10000&amp;DATA!$B$3:$B$10000,DATA!$M$3:$M$10000),"No encontrado"))</f>
        <v/>
      </c>
      <c r="D1591" s="24" t="str">
        <f aca="false">IF(A1591="","",IFERROR(buscarx(A1591&amp;B1591,DATA!$E$3:$E$10000&amp;DATA!$B$3:$B$10000,DATA!$W$3:$W$10000),"No encontrado"))</f>
        <v/>
      </c>
      <c r="E1591" s="22"/>
      <c r="F1591" s="23" t="str">
        <f aca="false">IF(A1591="","",IFERROR(buscarx(A1591&amp;E1591,DATA!$E$3:$E$10000&amp;DATA!$B$3:$B$10000,DATA!$M$3:$M$10000),"Inactivo"))</f>
        <v/>
      </c>
      <c r="G1591" s="25" t="str">
        <f aca="false">IF(A1591="","",IF(AND(C1591&lt;&gt;"No encontrado",F1591&lt;&gt;"Inactivo"),C1591&amp;" → "&amp;F1591,"Sin transición"))</f>
        <v/>
      </c>
      <c r="H1591" s="23" t="str">
        <f aca="false">IF(A1591="","",IF(D1591="GCIA LINEA SERVICIO DIGITALIDAD Y VENTAS","Chats",IF(OR(D1591="GERENCIA INBOUND LÍNEAS SERVICIO Y VENTA",D1591="GERENCIA INBOUND LINEAS ESPECIALIZADAS"),"Llamadas","Otro")))</f>
        <v/>
      </c>
      <c r="I1591" s="23" t="str">
        <f aca="false">IF(A1591="","",IF(C1591="No encontrado","No","Sí"))</f>
        <v/>
      </c>
      <c r="J1591" s="23" t="str">
        <f aca="false">IF(A1591="","",IF(F1591="Inactivo","No","Sí"))</f>
        <v/>
      </c>
      <c r="K1591" s="23" t="str">
        <f aca="false">IF(A1591="","",IF(AND(I1591="Sí",J1591="Sí"),"Sí","No"))</f>
        <v/>
      </c>
    </row>
    <row r="1592" customFormat="false" ht="15" hidden="false" customHeight="false" outlineLevel="0" collapsed="false">
      <c r="A1592" s="22"/>
      <c r="B1592" s="22"/>
      <c r="C1592" s="26" t="str">
        <f aca="false">IF(A1592="","",IFERROR(buscarx(A1592&amp;B1592,DATA!$E$3:$E$10000&amp;DATA!$B$3:$B$10000,DATA!$M$3:$M$10000),"No encontrado"))</f>
        <v/>
      </c>
      <c r="D1592" s="27" t="str">
        <f aca="false">IF(A1592="","",IFERROR(buscarx(A1592&amp;B1592,DATA!$E$3:$E$10000&amp;DATA!$B$3:$B$10000,DATA!$W$3:$W$10000),"No encontrado"))</f>
        <v/>
      </c>
      <c r="E1592" s="22"/>
      <c r="F1592" s="26" t="str">
        <f aca="false">IF(A1592="","",IFERROR(buscarx(A1592&amp;E1592,DATA!$E$3:$E$10000&amp;DATA!$B$3:$B$10000,DATA!$M$3:$M$10000),"Inactivo"))</f>
        <v/>
      </c>
      <c r="G1592" s="28" t="str">
        <f aca="false">IF(A1592="","",IF(AND(C1592&lt;&gt;"No encontrado",F1592&lt;&gt;"Inactivo"),C1592&amp;" → "&amp;F1592,"Sin transición"))</f>
        <v/>
      </c>
      <c r="H1592" s="26" t="str">
        <f aca="false">IF(A1592="","",IF(D1592="GCIA LINEA SERVICIO DIGITALIDAD Y VENTAS","Chats",IF(OR(D1592="GERENCIA INBOUND LÍNEAS SERVICIO Y VENTA",D1592="GERENCIA INBOUND LINEAS ESPECIALIZADAS"),"Llamadas","Otro")))</f>
        <v/>
      </c>
      <c r="I1592" s="26" t="str">
        <f aca="false">IF(A1592="","",IF(C1592="No encontrado","No","Sí"))</f>
        <v/>
      </c>
      <c r="J1592" s="26" t="str">
        <f aca="false">IF(A1592="","",IF(F1592="Inactivo","No","Sí"))</f>
        <v/>
      </c>
      <c r="K1592" s="26" t="str">
        <f aca="false">IF(A1592="","",IF(AND(I1592="Sí",J1592="Sí"),"Sí","No"))</f>
        <v/>
      </c>
    </row>
    <row r="1593" customFormat="false" ht="15" hidden="false" customHeight="false" outlineLevel="0" collapsed="false">
      <c r="A1593" s="22"/>
      <c r="B1593" s="22"/>
      <c r="C1593" s="23" t="str">
        <f aca="false">IF(A1593="","",IFERROR(buscarx(A1593&amp;B1593,DATA!$E$3:$E$10000&amp;DATA!$B$3:$B$10000,DATA!$M$3:$M$10000),"No encontrado"))</f>
        <v/>
      </c>
      <c r="D1593" s="24" t="str">
        <f aca="false">IF(A1593="","",IFERROR(buscarx(A1593&amp;B1593,DATA!$E$3:$E$10000&amp;DATA!$B$3:$B$10000,DATA!$W$3:$W$10000),"No encontrado"))</f>
        <v/>
      </c>
      <c r="E1593" s="22"/>
      <c r="F1593" s="23" t="str">
        <f aca="false">IF(A1593="","",IFERROR(buscarx(A1593&amp;E1593,DATA!$E$3:$E$10000&amp;DATA!$B$3:$B$10000,DATA!$M$3:$M$10000),"Inactivo"))</f>
        <v/>
      </c>
      <c r="G1593" s="25" t="str">
        <f aca="false">IF(A1593="","",IF(AND(C1593&lt;&gt;"No encontrado",F1593&lt;&gt;"Inactivo"),C1593&amp;" → "&amp;F1593,"Sin transición"))</f>
        <v/>
      </c>
      <c r="H1593" s="23" t="str">
        <f aca="false">IF(A1593="","",IF(D1593="GCIA LINEA SERVICIO DIGITALIDAD Y VENTAS","Chats",IF(OR(D1593="GERENCIA INBOUND LÍNEAS SERVICIO Y VENTA",D1593="GERENCIA INBOUND LINEAS ESPECIALIZADAS"),"Llamadas","Otro")))</f>
        <v/>
      </c>
      <c r="I1593" s="23" t="str">
        <f aca="false">IF(A1593="","",IF(C1593="No encontrado","No","Sí"))</f>
        <v/>
      </c>
      <c r="J1593" s="23" t="str">
        <f aca="false">IF(A1593="","",IF(F1593="Inactivo","No","Sí"))</f>
        <v/>
      </c>
      <c r="K1593" s="23" t="str">
        <f aca="false">IF(A1593="","",IF(AND(I1593="Sí",J1593="Sí"),"Sí","No"))</f>
        <v/>
      </c>
    </row>
    <row r="1594" customFormat="false" ht="15" hidden="false" customHeight="false" outlineLevel="0" collapsed="false">
      <c r="A1594" s="22"/>
      <c r="B1594" s="22"/>
      <c r="C1594" s="26" t="str">
        <f aca="false">IF(A1594="","",IFERROR(buscarx(A1594&amp;B1594,DATA!$E$3:$E$10000&amp;DATA!$B$3:$B$10000,DATA!$M$3:$M$10000),"No encontrado"))</f>
        <v/>
      </c>
      <c r="D1594" s="27" t="str">
        <f aca="false">IF(A1594="","",IFERROR(buscarx(A1594&amp;B1594,DATA!$E$3:$E$10000&amp;DATA!$B$3:$B$10000,DATA!$W$3:$W$10000),"No encontrado"))</f>
        <v/>
      </c>
      <c r="E1594" s="22"/>
      <c r="F1594" s="26" t="str">
        <f aca="false">IF(A1594="","",IFERROR(buscarx(A1594&amp;E1594,DATA!$E$3:$E$10000&amp;DATA!$B$3:$B$10000,DATA!$M$3:$M$10000),"Inactivo"))</f>
        <v/>
      </c>
      <c r="G1594" s="28" t="str">
        <f aca="false">IF(A1594="","",IF(AND(C1594&lt;&gt;"No encontrado",F1594&lt;&gt;"Inactivo"),C1594&amp;" → "&amp;F1594,"Sin transición"))</f>
        <v/>
      </c>
      <c r="H1594" s="26" t="str">
        <f aca="false">IF(A1594="","",IF(D1594="GCIA LINEA SERVICIO DIGITALIDAD Y VENTAS","Chats",IF(OR(D1594="GERENCIA INBOUND LÍNEAS SERVICIO Y VENTA",D1594="GERENCIA INBOUND LINEAS ESPECIALIZADAS"),"Llamadas","Otro")))</f>
        <v/>
      </c>
      <c r="I1594" s="26" t="str">
        <f aca="false">IF(A1594="","",IF(C1594="No encontrado","No","Sí"))</f>
        <v/>
      </c>
      <c r="J1594" s="26" t="str">
        <f aca="false">IF(A1594="","",IF(F1594="Inactivo","No","Sí"))</f>
        <v/>
      </c>
      <c r="K1594" s="26" t="str">
        <f aca="false">IF(A1594="","",IF(AND(I1594="Sí",J1594="Sí"),"Sí","No"))</f>
        <v/>
      </c>
    </row>
    <row r="1595" customFormat="false" ht="15" hidden="false" customHeight="false" outlineLevel="0" collapsed="false">
      <c r="A1595" s="22"/>
      <c r="B1595" s="22"/>
      <c r="C1595" s="23" t="str">
        <f aca="false">IF(A1595="","",IFERROR(buscarx(A1595&amp;B1595,DATA!$E$3:$E$10000&amp;DATA!$B$3:$B$10000,DATA!$M$3:$M$10000),"No encontrado"))</f>
        <v/>
      </c>
      <c r="D1595" s="24" t="str">
        <f aca="false">IF(A1595="","",IFERROR(buscarx(A1595&amp;B1595,DATA!$E$3:$E$10000&amp;DATA!$B$3:$B$10000,DATA!$W$3:$W$10000),"No encontrado"))</f>
        <v/>
      </c>
      <c r="E1595" s="22"/>
      <c r="F1595" s="23" t="str">
        <f aca="false">IF(A1595="","",IFERROR(buscarx(A1595&amp;E1595,DATA!$E$3:$E$10000&amp;DATA!$B$3:$B$10000,DATA!$M$3:$M$10000),"Inactivo"))</f>
        <v/>
      </c>
      <c r="G1595" s="25" t="str">
        <f aca="false">IF(A1595="","",IF(AND(C1595&lt;&gt;"No encontrado",F1595&lt;&gt;"Inactivo"),C1595&amp;" → "&amp;F1595,"Sin transición"))</f>
        <v/>
      </c>
      <c r="H1595" s="23" t="str">
        <f aca="false">IF(A1595="","",IF(D1595="GCIA LINEA SERVICIO DIGITALIDAD Y VENTAS","Chats",IF(OR(D1595="GERENCIA INBOUND LÍNEAS SERVICIO Y VENTA",D1595="GERENCIA INBOUND LINEAS ESPECIALIZADAS"),"Llamadas","Otro")))</f>
        <v/>
      </c>
      <c r="I1595" s="23" t="str">
        <f aca="false">IF(A1595="","",IF(C1595="No encontrado","No","Sí"))</f>
        <v/>
      </c>
      <c r="J1595" s="23" t="str">
        <f aca="false">IF(A1595="","",IF(F1595="Inactivo","No","Sí"))</f>
        <v/>
      </c>
      <c r="K1595" s="23" t="str">
        <f aca="false">IF(A1595="","",IF(AND(I1595="Sí",J1595="Sí"),"Sí","No"))</f>
        <v/>
      </c>
    </row>
    <row r="1596" customFormat="false" ht="15" hidden="false" customHeight="false" outlineLevel="0" collapsed="false">
      <c r="A1596" s="22"/>
      <c r="B1596" s="22"/>
      <c r="C1596" s="26" t="str">
        <f aca="false">IF(A1596="","",IFERROR(buscarx(A1596&amp;B1596,DATA!$E$3:$E$10000&amp;DATA!$B$3:$B$10000,DATA!$M$3:$M$10000),"No encontrado"))</f>
        <v/>
      </c>
      <c r="D1596" s="27" t="str">
        <f aca="false">IF(A1596="","",IFERROR(buscarx(A1596&amp;B1596,DATA!$E$3:$E$10000&amp;DATA!$B$3:$B$10000,DATA!$W$3:$W$10000),"No encontrado"))</f>
        <v/>
      </c>
      <c r="E1596" s="22"/>
      <c r="F1596" s="26" t="str">
        <f aca="false">IF(A1596="","",IFERROR(buscarx(A1596&amp;E1596,DATA!$E$3:$E$10000&amp;DATA!$B$3:$B$10000,DATA!$M$3:$M$10000),"Inactivo"))</f>
        <v/>
      </c>
      <c r="G1596" s="28" t="str">
        <f aca="false">IF(A1596="","",IF(AND(C1596&lt;&gt;"No encontrado",F1596&lt;&gt;"Inactivo"),C1596&amp;" → "&amp;F1596,"Sin transición"))</f>
        <v/>
      </c>
      <c r="H1596" s="26" t="str">
        <f aca="false">IF(A1596="","",IF(D1596="GCIA LINEA SERVICIO DIGITALIDAD Y VENTAS","Chats",IF(OR(D1596="GERENCIA INBOUND LÍNEAS SERVICIO Y VENTA",D1596="GERENCIA INBOUND LINEAS ESPECIALIZADAS"),"Llamadas","Otro")))</f>
        <v/>
      </c>
      <c r="I1596" s="26" t="str">
        <f aca="false">IF(A1596="","",IF(C1596="No encontrado","No","Sí"))</f>
        <v/>
      </c>
      <c r="J1596" s="26" t="str">
        <f aca="false">IF(A1596="","",IF(F1596="Inactivo","No","Sí"))</f>
        <v/>
      </c>
      <c r="K1596" s="26" t="str">
        <f aca="false">IF(A1596="","",IF(AND(I1596="Sí",J1596="Sí"),"Sí","No"))</f>
        <v/>
      </c>
    </row>
    <row r="1597" customFormat="false" ht="15" hidden="false" customHeight="false" outlineLevel="0" collapsed="false">
      <c r="A1597" s="22"/>
      <c r="B1597" s="22"/>
      <c r="C1597" s="23" t="str">
        <f aca="false">IF(A1597="","",IFERROR(buscarx(A1597&amp;B1597,DATA!$E$3:$E$10000&amp;DATA!$B$3:$B$10000,DATA!$M$3:$M$10000),"No encontrado"))</f>
        <v/>
      </c>
      <c r="D1597" s="24" t="str">
        <f aca="false">IF(A1597="","",IFERROR(buscarx(A1597&amp;B1597,DATA!$E$3:$E$10000&amp;DATA!$B$3:$B$10000,DATA!$W$3:$W$10000),"No encontrado"))</f>
        <v/>
      </c>
      <c r="E1597" s="22"/>
      <c r="F1597" s="23" t="str">
        <f aca="false">IF(A1597="","",IFERROR(buscarx(A1597&amp;E1597,DATA!$E$3:$E$10000&amp;DATA!$B$3:$B$10000,DATA!$M$3:$M$10000),"Inactivo"))</f>
        <v/>
      </c>
      <c r="G1597" s="25" t="str">
        <f aca="false">IF(A1597="","",IF(AND(C1597&lt;&gt;"No encontrado",F1597&lt;&gt;"Inactivo"),C1597&amp;" → "&amp;F1597,"Sin transición"))</f>
        <v/>
      </c>
      <c r="H1597" s="23" t="str">
        <f aca="false">IF(A1597="","",IF(D1597="GCIA LINEA SERVICIO DIGITALIDAD Y VENTAS","Chats",IF(OR(D1597="GERENCIA INBOUND LÍNEAS SERVICIO Y VENTA",D1597="GERENCIA INBOUND LINEAS ESPECIALIZADAS"),"Llamadas","Otro")))</f>
        <v/>
      </c>
      <c r="I1597" s="23" t="str">
        <f aca="false">IF(A1597="","",IF(C1597="No encontrado","No","Sí"))</f>
        <v/>
      </c>
      <c r="J1597" s="23" t="str">
        <f aca="false">IF(A1597="","",IF(F1597="Inactivo","No","Sí"))</f>
        <v/>
      </c>
      <c r="K1597" s="23" t="str">
        <f aca="false">IF(A1597="","",IF(AND(I1597="Sí",J1597="Sí"),"Sí","No"))</f>
        <v/>
      </c>
    </row>
    <row r="1598" customFormat="false" ht="15" hidden="false" customHeight="false" outlineLevel="0" collapsed="false">
      <c r="A1598" s="22"/>
      <c r="B1598" s="22"/>
      <c r="C1598" s="26" t="str">
        <f aca="false">IF(A1598="","",IFERROR(buscarx(A1598&amp;B1598,DATA!$E$3:$E$10000&amp;DATA!$B$3:$B$10000,DATA!$M$3:$M$10000),"No encontrado"))</f>
        <v/>
      </c>
      <c r="D1598" s="27" t="str">
        <f aca="false">IF(A1598="","",IFERROR(buscarx(A1598&amp;B1598,DATA!$E$3:$E$10000&amp;DATA!$B$3:$B$10000,DATA!$W$3:$W$10000),"No encontrado"))</f>
        <v/>
      </c>
      <c r="E1598" s="22"/>
      <c r="F1598" s="26" t="str">
        <f aca="false">IF(A1598="","",IFERROR(buscarx(A1598&amp;E1598,DATA!$E$3:$E$10000&amp;DATA!$B$3:$B$10000,DATA!$M$3:$M$10000),"Inactivo"))</f>
        <v/>
      </c>
      <c r="G1598" s="28" t="str">
        <f aca="false">IF(A1598="","",IF(AND(C1598&lt;&gt;"No encontrado",F1598&lt;&gt;"Inactivo"),C1598&amp;" → "&amp;F1598,"Sin transición"))</f>
        <v/>
      </c>
      <c r="H1598" s="26" t="str">
        <f aca="false">IF(A1598="","",IF(D1598="GCIA LINEA SERVICIO DIGITALIDAD Y VENTAS","Chats",IF(OR(D1598="GERENCIA INBOUND LÍNEAS SERVICIO Y VENTA",D1598="GERENCIA INBOUND LINEAS ESPECIALIZADAS"),"Llamadas","Otro")))</f>
        <v/>
      </c>
      <c r="I1598" s="26" t="str">
        <f aca="false">IF(A1598="","",IF(C1598="No encontrado","No","Sí"))</f>
        <v/>
      </c>
      <c r="J1598" s="26" t="str">
        <f aca="false">IF(A1598="","",IF(F1598="Inactivo","No","Sí"))</f>
        <v/>
      </c>
      <c r="K1598" s="26" t="str">
        <f aca="false">IF(A1598="","",IF(AND(I1598="Sí",J1598="Sí"),"Sí","No"))</f>
        <v/>
      </c>
    </row>
    <row r="1599" customFormat="false" ht="15" hidden="false" customHeight="false" outlineLevel="0" collapsed="false">
      <c r="A1599" s="22"/>
      <c r="B1599" s="22"/>
      <c r="C1599" s="23" t="str">
        <f aca="false">IF(A1599="","",IFERROR(buscarx(A1599&amp;B1599,DATA!$E$3:$E$10000&amp;DATA!$B$3:$B$10000,DATA!$M$3:$M$10000),"No encontrado"))</f>
        <v/>
      </c>
      <c r="D1599" s="24" t="str">
        <f aca="false">IF(A1599="","",IFERROR(buscarx(A1599&amp;B1599,DATA!$E$3:$E$10000&amp;DATA!$B$3:$B$10000,DATA!$W$3:$W$10000),"No encontrado"))</f>
        <v/>
      </c>
      <c r="E1599" s="22"/>
      <c r="F1599" s="23" t="str">
        <f aca="false">IF(A1599="","",IFERROR(buscarx(A1599&amp;E1599,DATA!$E$3:$E$10000&amp;DATA!$B$3:$B$10000,DATA!$M$3:$M$10000),"Inactivo"))</f>
        <v/>
      </c>
      <c r="G1599" s="25" t="str">
        <f aca="false">IF(A1599="","",IF(AND(C1599&lt;&gt;"No encontrado",F1599&lt;&gt;"Inactivo"),C1599&amp;" → "&amp;F1599,"Sin transición"))</f>
        <v/>
      </c>
      <c r="H1599" s="23" t="str">
        <f aca="false">IF(A1599="","",IF(D1599="GCIA LINEA SERVICIO DIGITALIDAD Y VENTAS","Chats",IF(OR(D1599="GERENCIA INBOUND LÍNEAS SERVICIO Y VENTA",D1599="GERENCIA INBOUND LINEAS ESPECIALIZADAS"),"Llamadas","Otro")))</f>
        <v/>
      </c>
      <c r="I1599" s="23" t="str">
        <f aca="false">IF(A1599="","",IF(C1599="No encontrado","No","Sí"))</f>
        <v/>
      </c>
      <c r="J1599" s="23" t="str">
        <f aca="false">IF(A1599="","",IF(F1599="Inactivo","No","Sí"))</f>
        <v/>
      </c>
      <c r="K1599" s="23" t="str">
        <f aca="false">IF(A1599="","",IF(AND(I1599="Sí",J1599="Sí"),"Sí","No"))</f>
        <v/>
      </c>
    </row>
    <row r="1600" customFormat="false" ht="15" hidden="false" customHeight="false" outlineLevel="0" collapsed="false">
      <c r="A1600" s="22"/>
      <c r="B1600" s="22"/>
      <c r="C1600" s="26" t="str">
        <f aca="false">IF(A1600="","",IFERROR(buscarx(A1600&amp;B1600,DATA!$E$3:$E$10000&amp;DATA!$B$3:$B$10000,DATA!$M$3:$M$10000),"No encontrado"))</f>
        <v/>
      </c>
      <c r="D1600" s="27" t="str">
        <f aca="false">IF(A1600="","",IFERROR(buscarx(A1600&amp;B1600,DATA!$E$3:$E$10000&amp;DATA!$B$3:$B$10000,DATA!$W$3:$W$10000),"No encontrado"))</f>
        <v/>
      </c>
      <c r="E1600" s="22"/>
      <c r="F1600" s="26" t="str">
        <f aca="false">IF(A1600="","",IFERROR(buscarx(A1600&amp;E1600,DATA!$E$3:$E$10000&amp;DATA!$B$3:$B$10000,DATA!$M$3:$M$10000),"Inactivo"))</f>
        <v/>
      </c>
      <c r="G1600" s="28" t="str">
        <f aca="false">IF(A1600="","",IF(AND(C1600&lt;&gt;"No encontrado",F1600&lt;&gt;"Inactivo"),C1600&amp;" → "&amp;F1600,"Sin transición"))</f>
        <v/>
      </c>
      <c r="H1600" s="26" t="str">
        <f aca="false">IF(A1600="","",IF(D1600="GCIA LINEA SERVICIO DIGITALIDAD Y VENTAS","Chats",IF(OR(D1600="GERENCIA INBOUND LÍNEAS SERVICIO Y VENTA",D1600="GERENCIA INBOUND LINEAS ESPECIALIZADAS"),"Llamadas","Otro")))</f>
        <v/>
      </c>
      <c r="I1600" s="26" t="str">
        <f aca="false">IF(A1600="","",IF(C1600="No encontrado","No","Sí"))</f>
        <v/>
      </c>
      <c r="J1600" s="26" t="str">
        <f aca="false">IF(A1600="","",IF(F1600="Inactivo","No","Sí"))</f>
        <v/>
      </c>
      <c r="K1600" s="26" t="str">
        <f aca="false">IF(A1600="","",IF(AND(I1600="Sí",J1600="Sí"),"Sí","No"))</f>
        <v/>
      </c>
    </row>
    <row r="1601" customFormat="false" ht="15" hidden="false" customHeight="false" outlineLevel="0" collapsed="false">
      <c r="A1601" s="22"/>
      <c r="B1601" s="22"/>
      <c r="C1601" s="23" t="str">
        <f aca="false">IF(A1601="","",IFERROR(buscarx(A1601&amp;B1601,DATA!$E$3:$E$10000&amp;DATA!$B$3:$B$10000,DATA!$M$3:$M$10000),"No encontrado"))</f>
        <v/>
      </c>
      <c r="D1601" s="24" t="str">
        <f aca="false">IF(A1601="","",IFERROR(buscarx(A1601&amp;B1601,DATA!$E$3:$E$10000&amp;DATA!$B$3:$B$10000,DATA!$W$3:$W$10000),"No encontrado"))</f>
        <v/>
      </c>
      <c r="E1601" s="22"/>
      <c r="F1601" s="23" t="str">
        <f aca="false">IF(A1601="","",IFERROR(buscarx(A1601&amp;E1601,DATA!$E$3:$E$10000&amp;DATA!$B$3:$B$10000,DATA!$M$3:$M$10000),"Inactivo"))</f>
        <v/>
      </c>
      <c r="G1601" s="25" t="str">
        <f aca="false">IF(A1601="","",IF(AND(C1601&lt;&gt;"No encontrado",F1601&lt;&gt;"Inactivo"),C1601&amp;" → "&amp;F1601,"Sin transición"))</f>
        <v/>
      </c>
      <c r="H1601" s="23" t="str">
        <f aca="false">IF(A1601="","",IF(D1601="GCIA LINEA SERVICIO DIGITALIDAD Y VENTAS","Chats",IF(OR(D1601="GERENCIA INBOUND LÍNEAS SERVICIO Y VENTA",D1601="GERENCIA INBOUND LINEAS ESPECIALIZADAS"),"Llamadas","Otro")))</f>
        <v/>
      </c>
      <c r="I1601" s="23" t="str">
        <f aca="false">IF(A1601="","",IF(C1601="No encontrado","No","Sí"))</f>
        <v/>
      </c>
      <c r="J1601" s="23" t="str">
        <f aca="false">IF(A1601="","",IF(F1601="Inactivo","No","Sí"))</f>
        <v/>
      </c>
      <c r="K1601" s="23" t="str">
        <f aca="false">IF(A1601="","",IF(AND(I1601="Sí",J1601="Sí"),"Sí","No"))</f>
        <v/>
      </c>
    </row>
    <row r="1602" customFormat="false" ht="15" hidden="false" customHeight="false" outlineLevel="0" collapsed="false">
      <c r="A1602" s="22"/>
      <c r="B1602" s="22"/>
      <c r="C1602" s="26" t="str">
        <f aca="false">IF(A1602="","",IFERROR(buscarx(A1602&amp;B1602,DATA!$E$3:$E$10000&amp;DATA!$B$3:$B$10000,DATA!$M$3:$M$10000),"No encontrado"))</f>
        <v/>
      </c>
      <c r="D1602" s="27" t="str">
        <f aca="false">IF(A1602="","",IFERROR(buscarx(A1602&amp;B1602,DATA!$E$3:$E$10000&amp;DATA!$B$3:$B$10000,DATA!$W$3:$W$10000),"No encontrado"))</f>
        <v/>
      </c>
      <c r="E1602" s="22"/>
      <c r="F1602" s="26" t="str">
        <f aca="false">IF(A1602="","",IFERROR(buscarx(A1602&amp;E1602,DATA!$E$3:$E$10000&amp;DATA!$B$3:$B$10000,DATA!$M$3:$M$10000),"Inactivo"))</f>
        <v/>
      </c>
      <c r="G1602" s="28" t="str">
        <f aca="false">IF(A1602="","",IF(AND(C1602&lt;&gt;"No encontrado",F1602&lt;&gt;"Inactivo"),C1602&amp;" → "&amp;F1602,"Sin transición"))</f>
        <v/>
      </c>
      <c r="H1602" s="26" t="str">
        <f aca="false">IF(A1602="","",IF(D1602="GCIA LINEA SERVICIO DIGITALIDAD Y VENTAS","Chats",IF(OR(D1602="GERENCIA INBOUND LÍNEAS SERVICIO Y VENTA",D1602="GERENCIA INBOUND LINEAS ESPECIALIZADAS"),"Llamadas","Otro")))</f>
        <v/>
      </c>
      <c r="I1602" s="26" t="str">
        <f aca="false">IF(A1602="","",IF(C1602="No encontrado","No","Sí"))</f>
        <v/>
      </c>
      <c r="J1602" s="26" t="str">
        <f aca="false">IF(A1602="","",IF(F1602="Inactivo","No","Sí"))</f>
        <v/>
      </c>
      <c r="K1602" s="26" t="str">
        <f aca="false">IF(A1602="","",IF(AND(I1602="Sí",J1602="Sí"),"Sí","No"))</f>
        <v/>
      </c>
    </row>
    <row r="1603" customFormat="false" ht="15" hidden="false" customHeight="false" outlineLevel="0" collapsed="false">
      <c r="A1603" s="22"/>
      <c r="B1603" s="22"/>
      <c r="C1603" s="23" t="str">
        <f aca="false">IF(A1603="","",IFERROR(buscarx(A1603&amp;B1603,DATA!$E$3:$E$10000&amp;DATA!$B$3:$B$10000,DATA!$M$3:$M$10000),"No encontrado"))</f>
        <v/>
      </c>
      <c r="D1603" s="24" t="str">
        <f aca="false">IF(A1603="","",IFERROR(buscarx(A1603&amp;B1603,DATA!$E$3:$E$10000&amp;DATA!$B$3:$B$10000,DATA!$W$3:$W$10000),"No encontrado"))</f>
        <v/>
      </c>
      <c r="E1603" s="22"/>
      <c r="F1603" s="23" t="str">
        <f aca="false">IF(A1603="","",IFERROR(buscarx(A1603&amp;E1603,DATA!$E$3:$E$10000&amp;DATA!$B$3:$B$10000,DATA!$M$3:$M$10000),"Inactivo"))</f>
        <v/>
      </c>
      <c r="G1603" s="25" t="str">
        <f aca="false">IF(A1603="","",IF(AND(C1603&lt;&gt;"No encontrado",F1603&lt;&gt;"Inactivo"),C1603&amp;" → "&amp;F1603,"Sin transición"))</f>
        <v/>
      </c>
      <c r="H1603" s="23" t="str">
        <f aca="false">IF(A1603="","",IF(D1603="GCIA LINEA SERVICIO DIGITALIDAD Y VENTAS","Chats",IF(OR(D1603="GERENCIA INBOUND LÍNEAS SERVICIO Y VENTA",D1603="GERENCIA INBOUND LINEAS ESPECIALIZADAS"),"Llamadas","Otro")))</f>
        <v/>
      </c>
      <c r="I1603" s="23" t="str">
        <f aca="false">IF(A1603="","",IF(C1603="No encontrado","No","Sí"))</f>
        <v/>
      </c>
      <c r="J1603" s="23" t="str">
        <f aca="false">IF(A1603="","",IF(F1603="Inactivo","No","Sí"))</f>
        <v/>
      </c>
      <c r="K1603" s="23" t="str">
        <f aca="false">IF(A1603="","",IF(AND(I1603="Sí",J1603="Sí"),"Sí","No"))</f>
        <v/>
      </c>
    </row>
    <row r="1604" customFormat="false" ht="15" hidden="false" customHeight="false" outlineLevel="0" collapsed="false">
      <c r="A1604" s="22"/>
      <c r="B1604" s="22"/>
      <c r="C1604" s="26" t="str">
        <f aca="false">IF(A1604="","",IFERROR(buscarx(A1604&amp;B1604,DATA!$E$3:$E$10000&amp;DATA!$B$3:$B$10000,DATA!$M$3:$M$10000),"No encontrado"))</f>
        <v/>
      </c>
      <c r="D1604" s="27" t="str">
        <f aca="false">IF(A1604="","",IFERROR(buscarx(A1604&amp;B1604,DATA!$E$3:$E$10000&amp;DATA!$B$3:$B$10000,DATA!$W$3:$W$10000),"No encontrado"))</f>
        <v/>
      </c>
      <c r="E1604" s="22"/>
      <c r="F1604" s="26" t="str">
        <f aca="false">IF(A1604="","",IFERROR(buscarx(A1604&amp;E1604,DATA!$E$3:$E$10000&amp;DATA!$B$3:$B$10000,DATA!$M$3:$M$10000),"Inactivo"))</f>
        <v/>
      </c>
      <c r="G1604" s="28" t="str">
        <f aca="false">IF(A1604="","",IF(AND(C1604&lt;&gt;"No encontrado",F1604&lt;&gt;"Inactivo"),C1604&amp;" → "&amp;F1604,"Sin transición"))</f>
        <v/>
      </c>
      <c r="H1604" s="26" t="str">
        <f aca="false">IF(A1604="","",IF(D1604="GCIA LINEA SERVICIO DIGITALIDAD Y VENTAS","Chats",IF(OR(D1604="GERENCIA INBOUND LÍNEAS SERVICIO Y VENTA",D1604="GERENCIA INBOUND LINEAS ESPECIALIZADAS"),"Llamadas","Otro")))</f>
        <v/>
      </c>
      <c r="I1604" s="26" t="str">
        <f aca="false">IF(A1604="","",IF(C1604="No encontrado","No","Sí"))</f>
        <v/>
      </c>
      <c r="J1604" s="26" t="str">
        <f aca="false">IF(A1604="","",IF(F1604="Inactivo","No","Sí"))</f>
        <v/>
      </c>
      <c r="K1604" s="26" t="str">
        <f aca="false">IF(A1604="","",IF(AND(I1604="Sí",J1604="Sí"),"Sí","No"))</f>
        <v/>
      </c>
    </row>
    <row r="1605" customFormat="false" ht="15" hidden="false" customHeight="false" outlineLevel="0" collapsed="false">
      <c r="A1605" s="22"/>
      <c r="B1605" s="22"/>
      <c r="C1605" s="23" t="str">
        <f aca="false">IF(A1605="","",IFERROR(buscarx(A1605&amp;B1605,DATA!$E$3:$E$10000&amp;DATA!$B$3:$B$10000,DATA!$M$3:$M$10000),"No encontrado"))</f>
        <v/>
      </c>
      <c r="D1605" s="24" t="str">
        <f aca="false">IF(A1605="","",IFERROR(buscarx(A1605&amp;B1605,DATA!$E$3:$E$10000&amp;DATA!$B$3:$B$10000,DATA!$W$3:$W$10000),"No encontrado"))</f>
        <v/>
      </c>
      <c r="E1605" s="22"/>
      <c r="F1605" s="23" t="str">
        <f aca="false">IF(A1605="","",IFERROR(buscarx(A1605&amp;E1605,DATA!$E$3:$E$10000&amp;DATA!$B$3:$B$10000,DATA!$M$3:$M$10000),"Inactivo"))</f>
        <v/>
      </c>
      <c r="G1605" s="25" t="str">
        <f aca="false">IF(A1605="","",IF(AND(C1605&lt;&gt;"No encontrado",F1605&lt;&gt;"Inactivo"),C1605&amp;" → "&amp;F1605,"Sin transición"))</f>
        <v/>
      </c>
      <c r="H1605" s="23" t="str">
        <f aca="false">IF(A1605="","",IF(D1605="GCIA LINEA SERVICIO DIGITALIDAD Y VENTAS","Chats",IF(OR(D1605="GERENCIA INBOUND LÍNEAS SERVICIO Y VENTA",D1605="GERENCIA INBOUND LINEAS ESPECIALIZADAS"),"Llamadas","Otro")))</f>
        <v/>
      </c>
      <c r="I1605" s="23" t="str">
        <f aca="false">IF(A1605="","",IF(C1605="No encontrado","No","Sí"))</f>
        <v/>
      </c>
      <c r="J1605" s="23" t="str">
        <f aca="false">IF(A1605="","",IF(F1605="Inactivo","No","Sí"))</f>
        <v/>
      </c>
      <c r="K1605" s="23" t="str">
        <f aca="false">IF(A1605="","",IF(AND(I1605="Sí",J1605="Sí"),"Sí","No"))</f>
        <v/>
      </c>
    </row>
    <row r="1606" customFormat="false" ht="15" hidden="false" customHeight="false" outlineLevel="0" collapsed="false">
      <c r="A1606" s="22"/>
      <c r="B1606" s="22"/>
      <c r="C1606" s="26" t="str">
        <f aca="false">IF(A1606="","",IFERROR(buscarx(A1606&amp;B1606,DATA!$E$3:$E$10000&amp;DATA!$B$3:$B$10000,DATA!$M$3:$M$10000),"No encontrado"))</f>
        <v/>
      </c>
      <c r="D1606" s="27" t="str">
        <f aca="false">IF(A1606="","",IFERROR(buscarx(A1606&amp;B1606,DATA!$E$3:$E$10000&amp;DATA!$B$3:$B$10000,DATA!$W$3:$W$10000),"No encontrado"))</f>
        <v/>
      </c>
      <c r="E1606" s="22"/>
      <c r="F1606" s="26" t="str">
        <f aca="false">IF(A1606="","",IFERROR(buscarx(A1606&amp;E1606,DATA!$E$3:$E$10000&amp;DATA!$B$3:$B$10000,DATA!$M$3:$M$10000),"Inactivo"))</f>
        <v/>
      </c>
      <c r="G1606" s="28" t="str">
        <f aca="false">IF(A1606="","",IF(AND(C1606&lt;&gt;"No encontrado",F1606&lt;&gt;"Inactivo"),C1606&amp;" → "&amp;F1606,"Sin transición"))</f>
        <v/>
      </c>
      <c r="H1606" s="26" t="str">
        <f aca="false">IF(A1606="","",IF(D1606="GCIA LINEA SERVICIO DIGITALIDAD Y VENTAS","Chats",IF(OR(D1606="GERENCIA INBOUND LÍNEAS SERVICIO Y VENTA",D1606="GERENCIA INBOUND LINEAS ESPECIALIZADAS"),"Llamadas","Otro")))</f>
        <v/>
      </c>
      <c r="I1606" s="26" t="str">
        <f aca="false">IF(A1606="","",IF(C1606="No encontrado","No","Sí"))</f>
        <v/>
      </c>
      <c r="J1606" s="26" t="str">
        <f aca="false">IF(A1606="","",IF(F1606="Inactivo","No","Sí"))</f>
        <v/>
      </c>
      <c r="K1606" s="26" t="str">
        <f aca="false">IF(A1606="","",IF(AND(I1606="Sí",J1606="Sí"),"Sí","No"))</f>
        <v/>
      </c>
    </row>
    <row r="1607" customFormat="false" ht="15" hidden="false" customHeight="false" outlineLevel="0" collapsed="false">
      <c r="A1607" s="22"/>
      <c r="B1607" s="22"/>
      <c r="C1607" s="23" t="str">
        <f aca="false">IF(A1607="","",IFERROR(buscarx(A1607&amp;B1607,DATA!$E$3:$E$10000&amp;DATA!$B$3:$B$10000,DATA!$M$3:$M$10000),"No encontrado"))</f>
        <v/>
      </c>
      <c r="D1607" s="24" t="str">
        <f aca="false">IF(A1607="","",IFERROR(buscarx(A1607&amp;B1607,DATA!$E$3:$E$10000&amp;DATA!$B$3:$B$10000,DATA!$W$3:$W$10000),"No encontrado"))</f>
        <v/>
      </c>
      <c r="E1607" s="22"/>
      <c r="F1607" s="23" t="str">
        <f aca="false">IF(A1607="","",IFERROR(buscarx(A1607&amp;E1607,DATA!$E$3:$E$10000&amp;DATA!$B$3:$B$10000,DATA!$M$3:$M$10000),"Inactivo"))</f>
        <v/>
      </c>
      <c r="G1607" s="25" t="str">
        <f aca="false">IF(A1607="","",IF(AND(C1607&lt;&gt;"No encontrado",F1607&lt;&gt;"Inactivo"),C1607&amp;" → "&amp;F1607,"Sin transición"))</f>
        <v/>
      </c>
      <c r="H1607" s="23" t="str">
        <f aca="false">IF(A1607="","",IF(D1607="GCIA LINEA SERVICIO DIGITALIDAD Y VENTAS","Chats",IF(OR(D1607="GERENCIA INBOUND LÍNEAS SERVICIO Y VENTA",D1607="GERENCIA INBOUND LINEAS ESPECIALIZADAS"),"Llamadas","Otro")))</f>
        <v/>
      </c>
      <c r="I1607" s="23" t="str">
        <f aca="false">IF(A1607="","",IF(C1607="No encontrado","No","Sí"))</f>
        <v/>
      </c>
      <c r="J1607" s="23" t="str">
        <f aca="false">IF(A1607="","",IF(F1607="Inactivo","No","Sí"))</f>
        <v/>
      </c>
      <c r="K1607" s="23" t="str">
        <f aca="false">IF(A1607="","",IF(AND(I1607="Sí",J1607="Sí"),"Sí","No"))</f>
        <v/>
      </c>
    </row>
    <row r="1608" customFormat="false" ht="15" hidden="false" customHeight="false" outlineLevel="0" collapsed="false">
      <c r="A1608" s="22"/>
      <c r="B1608" s="22"/>
      <c r="C1608" s="26" t="str">
        <f aca="false">IF(A1608="","",IFERROR(buscarx(A1608&amp;B1608,DATA!$E$3:$E$10000&amp;DATA!$B$3:$B$10000,DATA!$M$3:$M$10000),"No encontrado"))</f>
        <v/>
      </c>
      <c r="D1608" s="27" t="str">
        <f aca="false">IF(A1608="","",IFERROR(buscarx(A1608&amp;B1608,DATA!$E$3:$E$10000&amp;DATA!$B$3:$B$10000,DATA!$W$3:$W$10000),"No encontrado"))</f>
        <v/>
      </c>
      <c r="E1608" s="22"/>
      <c r="F1608" s="26" t="str">
        <f aca="false">IF(A1608="","",IFERROR(buscarx(A1608&amp;E1608,DATA!$E$3:$E$10000&amp;DATA!$B$3:$B$10000,DATA!$M$3:$M$10000),"Inactivo"))</f>
        <v/>
      </c>
      <c r="G1608" s="28" t="str">
        <f aca="false">IF(A1608="","",IF(AND(C1608&lt;&gt;"No encontrado",F1608&lt;&gt;"Inactivo"),C1608&amp;" → "&amp;F1608,"Sin transición"))</f>
        <v/>
      </c>
      <c r="H1608" s="26" t="str">
        <f aca="false">IF(A1608="","",IF(D1608="GCIA LINEA SERVICIO DIGITALIDAD Y VENTAS","Chats",IF(OR(D1608="GERENCIA INBOUND LÍNEAS SERVICIO Y VENTA",D1608="GERENCIA INBOUND LINEAS ESPECIALIZADAS"),"Llamadas","Otro")))</f>
        <v/>
      </c>
      <c r="I1608" s="26" t="str">
        <f aca="false">IF(A1608="","",IF(C1608="No encontrado","No","Sí"))</f>
        <v/>
      </c>
      <c r="J1608" s="26" t="str">
        <f aca="false">IF(A1608="","",IF(F1608="Inactivo","No","Sí"))</f>
        <v/>
      </c>
      <c r="K1608" s="26" t="str">
        <f aca="false">IF(A1608="","",IF(AND(I1608="Sí",J1608="Sí"),"Sí","No"))</f>
        <v/>
      </c>
    </row>
    <row r="1609" customFormat="false" ht="15" hidden="false" customHeight="false" outlineLevel="0" collapsed="false">
      <c r="A1609" s="22"/>
      <c r="B1609" s="22"/>
      <c r="C1609" s="23" t="str">
        <f aca="false">IF(A1609="","",IFERROR(buscarx(A1609&amp;B1609,DATA!$E$3:$E$10000&amp;DATA!$B$3:$B$10000,DATA!$M$3:$M$10000),"No encontrado"))</f>
        <v/>
      </c>
      <c r="D1609" s="24" t="str">
        <f aca="false">IF(A1609="","",IFERROR(buscarx(A1609&amp;B1609,DATA!$E$3:$E$10000&amp;DATA!$B$3:$B$10000,DATA!$W$3:$W$10000),"No encontrado"))</f>
        <v/>
      </c>
      <c r="E1609" s="22"/>
      <c r="F1609" s="23" t="str">
        <f aca="false">IF(A1609="","",IFERROR(buscarx(A1609&amp;E1609,DATA!$E$3:$E$10000&amp;DATA!$B$3:$B$10000,DATA!$M$3:$M$10000),"Inactivo"))</f>
        <v/>
      </c>
      <c r="G1609" s="25" t="str">
        <f aca="false">IF(A1609="","",IF(AND(C1609&lt;&gt;"No encontrado",F1609&lt;&gt;"Inactivo"),C1609&amp;" → "&amp;F1609,"Sin transición"))</f>
        <v/>
      </c>
      <c r="H1609" s="23" t="str">
        <f aca="false">IF(A1609="","",IF(D1609="GCIA LINEA SERVICIO DIGITALIDAD Y VENTAS","Chats",IF(OR(D1609="GERENCIA INBOUND LÍNEAS SERVICIO Y VENTA",D1609="GERENCIA INBOUND LINEAS ESPECIALIZADAS"),"Llamadas","Otro")))</f>
        <v/>
      </c>
      <c r="I1609" s="23" t="str">
        <f aca="false">IF(A1609="","",IF(C1609="No encontrado","No","Sí"))</f>
        <v/>
      </c>
      <c r="J1609" s="23" t="str">
        <f aca="false">IF(A1609="","",IF(F1609="Inactivo","No","Sí"))</f>
        <v/>
      </c>
      <c r="K1609" s="23" t="str">
        <f aca="false">IF(A1609="","",IF(AND(I1609="Sí",J1609="Sí"),"Sí","No"))</f>
        <v/>
      </c>
    </row>
    <row r="1610" customFormat="false" ht="15" hidden="false" customHeight="false" outlineLevel="0" collapsed="false">
      <c r="A1610" s="22"/>
      <c r="B1610" s="22"/>
      <c r="C1610" s="26" t="str">
        <f aca="false">IF(A1610="","",IFERROR(buscarx(A1610&amp;B1610,DATA!$E$3:$E$10000&amp;DATA!$B$3:$B$10000,DATA!$M$3:$M$10000),"No encontrado"))</f>
        <v/>
      </c>
      <c r="D1610" s="27" t="str">
        <f aca="false">IF(A1610="","",IFERROR(buscarx(A1610&amp;B1610,DATA!$E$3:$E$10000&amp;DATA!$B$3:$B$10000,DATA!$W$3:$W$10000),"No encontrado"))</f>
        <v/>
      </c>
      <c r="E1610" s="22"/>
      <c r="F1610" s="26" t="str">
        <f aca="false">IF(A1610="","",IFERROR(buscarx(A1610&amp;E1610,DATA!$E$3:$E$10000&amp;DATA!$B$3:$B$10000,DATA!$M$3:$M$10000),"Inactivo"))</f>
        <v/>
      </c>
      <c r="G1610" s="28" t="str">
        <f aca="false">IF(A1610="","",IF(AND(C1610&lt;&gt;"No encontrado",F1610&lt;&gt;"Inactivo"),C1610&amp;" → "&amp;F1610,"Sin transición"))</f>
        <v/>
      </c>
      <c r="H1610" s="26" t="str">
        <f aca="false">IF(A1610="","",IF(D1610="GCIA LINEA SERVICIO DIGITALIDAD Y VENTAS","Chats",IF(OR(D1610="GERENCIA INBOUND LÍNEAS SERVICIO Y VENTA",D1610="GERENCIA INBOUND LINEAS ESPECIALIZADAS"),"Llamadas","Otro")))</f>
        <v/>
      </c>
      <c r="I1610" s="26" t="str">
        <f aca="false">IF(A1610="","",IF(C1610="No encontrado","No","Sí"))</f>
        <v/>
      </c>
      <c r="J1610" s="26" t="str">
        <f aca="false">IF(A1610="","",IF(F1610="Inactivo","No","Sí"))</f>
        <v/>
      </c>
      <c r="K1610" s="26" t="str">
        <f aca="false">IF(A1610="","",IF(AND(I1610="Sí",J1610="Sí"),"Sí","No"))</f>
        <v/>
      </c>
    </row>
    <row r="1611" customFormat="false" ht="15" hidden="false" customHeight="false" outlineLevel="0" collapsed="false">
      <c r="A1611" s="22"/>
      <c r="B1611" s="22"/>
      <c r="C1611" s="23" t="str">
        <f aca="false">IF(A1611="","",IFERROR(buscarx(A1611&amp;B1611,DATA!$E$3:$E$10000&amp;DATA!$B$3:$B$10000,DATA!$M$3:$M$10000),"No encontrado"))</f>
        <v/>
      </c>
      <c r="D1611" s="24" t="str">
        <f aca="false">IF(A1611="","",IFERROR(buscarx(A1611&amp;B1611,DATA!$E$3:$E$10000&amp;DATA!$B$3:$B$10000,DATA!$W$3:$W$10000),"No encontrado"))</f>
        <v/>
      </c>
      <c r="E1611" s="22"/>
      <c r="F1611" s="23" t="str">
        <f aca="false">IF(A1611="","",IFERROR(buscarx(A1611&amp;E1611,DATA!$E$3:$E$10000&amp;DATA!$B$3:$B$10000,DATA!$M$3:$M$10000),"Inactivo"))</f>
        <v/>
      </c>
      <c r="G1611" s="25" t="str">
        <f aca="false">IF(A1611="","",IF(AND(C1611&lt;&gt;"No encontrado",F1611&lt;&gt;"Inactivo"),C1611&amp;" → "&amp;F1611,"Sin transición"))</f>
        <v/>
      </c>
      <c r="H1611" s="23" t="str">
        <f aca="false">IF(A1611="","",IF(D1611="GCIA LINEA SERVICIO DIGITALIDAD Y VENTAS","Chats",IF(OR(D1611="GERENCIA INBOUND LÍNEAS SERVICIO Y VENTA",D1611="GERENCIA INBOUND LINEAS ESPECIALIZADAS"),"Llamadas","Otro")))</f>
        <v/>
      </c>
      <c r="I1611" s="23" t="str">
        <f aca="false">IF(A1611="","",IF(C1611="No encontrado","No","Sí"))</f>
        <v/>
      </c>
      <c r="J1611" s="23" t="str">
        <f aca="false">IF(A1611="","",IF(F1611="Inactivo","No","Sí"))</f>
        <v/>
      </c>
      <c r="K1611" s="23" t="str">
        <f aca="false">IF(A1611="","",IF(AND(I1611="Sí",J1611="Sí"),"Sí","No"))</f>
        <v/>
      </c>
    </row>
    <row r="1612" customFormat="false" ht="15" hidden="false" customHeight="false" outlineLevel="0" collapsed="false">
      <c r="A1612" s="22"/>
      <c r="B1612" s="22"/>
      <c r="C1612" s="26" t="str">
        <f aca="false">IF(A1612="","",IFERROR(buscarx(A1612&amp;B1612,DATA!$E$3:$E$10000&amp;DATA!$B$3:$B$10000,DATA!$M$3:$M$10000),"No encontrado"))</f>
        <v/>
      </c>
      <c r="D1612" s="27" t="str">
        <f aca="false">IF(A1612="","",IFERROR(buscarx(A1612&amp;B1612,DATA!$E$3:$E$10000&amp;DATA!$B$3:$B$10000,DATA!$W$3:$W$10000),"No encontrado"))</f>
        <v/>
      </c>
      <c r="E1612" s="22"/>
      <c r="F1612" s="26" t="str">
        <f aca="false">IF(A1612="","",IFERROR(buscarx(A1612&amp;E1612,DATA!$E$3:$E$10000&amp;DATA!$B$3:$B$10000,DATA!$M$3:$M$10000),"Inactivo"))</f>
        <v/>
      </c>
      <c r="G1612" s="28" t="str">
        <f aca="false">IF(A1612="","",IF(AND(C1612&lt;&gt;"No encontrado",F1612&lt;&gt;"Inactivo"),C1612&amp;" → "&amp;F1612,"Sin transición"))</f>
        <v/>
      </c>
      <c r="H1612" s="26" t="str">
        <f aca="false">IF(A1612="","",IF(D1612="GCIA LINEA SERVICIO DIGITALIDAD Y VENTAS","Chats",IF(OR(D1612="GERENCIA INBOUND LÍNEAS SERVICIO Y VENTA",D1612="GERENCIA INBOUND LINEAS ESPECIALIZADAS"),"Llamadas","Otro")))</f>
        <v/>
      </c>
      <c r="I1612" s="26" t="str">
        <f aca="false">IF(A1612="","",IF(C1612="No encontrado","No","Sí"))</f>
        <v/>
      </c>
      <c r="J1612" s="26" t="str">
        <f aca="false">IF(A1612="","",IF(F1612="Inactivo","No","Sí"))</f>
        <v/>
      </c>
      <c r="K1612" s="26" t="str">
        <f aca="false">IF(A1612="","",IF(AND(I1612="Sí",J1612="Sí"),"Sí","No"))</f>
        <v/>
      </c>
    </row>
    <row r="1613" customFormat="false" ht="15" hidden="false" customHeight="false" outlineLevel="0" collapsed="false">
      <c r="A1613" s="22"/>
      <c r="B1613" s="22"/>
      <c r="C1613" s="23" t="str">
        <f aca="false">IF(A1613="","",IFERROR(buscarx(A1613&amp;B1613,DATA!$E$3:$E$10000&amp;DATA!$B$3:$B$10000,DATA!$M$3:$M$10000),"No encontrado"))</f>
        <v/>
      </c>
      <c r="D1613" s="24" t="str">
        <f aca="false">IF(A1613="","",IFERROR(buscarx(A1613&amp;B1613,DATA!$E$3:$E$10000&amp;DATA!$B$3:$B$10000,DATA!$W$3:$W$10000),"No encontrado"))</f>
        <v/>
      </c>
      <c r="E1613" s="22"/>
      <c r="F1613" s="23" t="str">
        <f aca="false">IF(A1613="","",IFERROR(buscarx(A1613&amp;E1613,DATA!$E$3:$E$10000&amp;DATA!$B$3:$B$10000,DATA!$M$3:$M$10000),"Inactivo"))</f>
        <v/>
      </c>
      <c r="G1613" s="25" t="str">
        <f aca="false">IF(A1613="","",IF(AND(C1613&lt;&gt;"No encontrado",F1613&lt;&gt;"Inactivo"),C1613&amp;" → "&amp;F1613,"Sin transición"))</f>
        <v/>
      </c>
      <c r="H1613" s="23" t="str">
        <f aca="false">IF(A1613="","",IF(D1613="GCIA LINEA SERVICIO DIGITALIDAD Y VENTAS","Chats",IF(OR(D1613="GERENCIA INBOUND LÍNEAS SERVICIO Y VENTA",D1613="GERENCIA INBOUND LINEAS ESPECIALIZADAS"),"Llamadas","Otro")))</f>
        <v/>
      </c>
      <c r="I1613" s="23" t="str">
        <f aca="false">IF(A1613="","",IF(C1613="No encontrado","No","Sí"))</f>
        <v/>
      </c>
      <c r="J1613" s="23" t="str">
        <f aca="false">IF(A1613="","",IF(F1613="Inactivo","No","Sí"))</f>
        <v/>
      </c>
      <c r="K1613" s="23" t="str">
        <f aca="false">IF(A1613="","",IF(AND(I1613="Sí",J1613="Sí"),"Sí","No"))</f>
        <v/>
      </c>
    </row>
    <row r="1614" customFormat="false" ht="15" hidden="false" customHeight="false" outlineLevel="0" collapsed="false">
      <c r="A1614" s="22"/>
      <c r="B1614" s="22"/>
      <c r="C1614" s="26" t="str">
        <f aca="false">IF(A1614="","",IFERROR(buscarx(A1614&amp;B1614,DATA!$E$3:$E$10000&amp;DATA!$B$3:$B$10000,DATA!$M$3:$M$10000),"No encontrado"))</f>
        <v/>
      </c>
      <c r="D1614" s="27" t="str">
        <f aca="false">IF(A1614="","",IFERROR(buscarx(A1614&amp;B1614,DATA!$E$3:$E$10000&amp;DATA!$B$3:$B$10000,DATA!$W$3:$W$10000),"No encontrado"))</f>
        <v/>
      </c>
      <c r="E1614" s="22"/>
      <c r="F1614" s="26" t="str">
        <f aca="false">IF(A1614="","",IFERROR(buscarx(A1614&amp;E1614,DATA!$E$3:$E$10000&amp;DATA!$B$3:$B$10000,DATA!$M$3:$M$10000),"Inactivo"))</f>
        <v/>
      </c>
      <c r="G1614" s="28" t="str">
        <f aca="false">IF(A1614="","",IF(AND(C1614&lt;&gt;"No encontrado",F1614&lt;&gt;"Inactivo"),C1614&amp;" → "&amp;F1614,"Sin transición"))</f>
        <v/>
      </c>
      <c r="H1614" s="26" t="str">
        <f aca="false">IF(A1614="","",IF(D1614="GCIA LINEA SERVICIO DIGITALIDAD Y VENTAS","Chats",IF(OR(D1614="GERENCIA INBOUND LÍNEAS SERVICIO Y VENTA",D1614="GERENCIA INBOUND LINEAS ESPECIALIZADAS"),"Llamadas","Otro")))</f>
        <v/>
      </c>
      <c r="I1614" s="26" t="str">
        <f aca="false">IF(A1614="","",IF(C1614="No encontrado","No","Sí"))</f>
        <v/>
      </c>
      <c r="J1614" s="26" t="str">
        <f aca="false">IF(A1614="","",IF(F1614="Inactivo","No","Sí"))</f>
        <v/>
      </c>
      <c r="K1614" s="26" t="str">
        <f aca="false">IF(A1614="","",IF(AND(I1614="Sí",J1614="Sí"),"Sí","No"))</f>
        <v/>
      </c>
    </row>
    <row r="1615" customFormat="false" ht="15" hidden="false" customHeight="false" outlineLevel="0" collapsed="false">
      <c r="A1615" s="22"/>
      <c r="B1615" s="22"/>
      <c r="C1615" s="23" t="str">
        <f aca="false">IF(A1615="","",IFERROR(buscarx(A1615&amp;B1615,DATA!$E$3:$E$10000&amp;DATA!$B$3:$B$10000,DATA!$M$3:$M$10000),"No encontrado"))</f>
        <v/>
      </c>
      <c r="D1615" s="24" t="str">
        <f aca="false">IF(A1615="","",IFERROR(buscarx(A1615&amp;B1615,DATA!$E$3:$E$10000&amp;DATA!$B$3:$B$10000,DATA!$W$3:$W$10000),"No encontrado"))</f>
        <v/>
      </c>
      <c r="E1615" s="22"/>
      <c r="F1615" s="23" t="str">
        <f aca="false">IF(A1615="","",IFERROR(buscarx(A1615&amp;E1615,DATA!$E$3:$E$10000&amp;DATA!$B$3:$B$10000,DATA!$M$3:$M$10000),"Inactivo"))</f>
        <v/>
      </c>
      <c r="G1615" s="25" t="str">
        <f aca="false">IF(A1615="","",IF(AND(C1615&lt;&gt;"No encontrado",F1615&lt;&gt;"Inactivo"),C1615&amp;" → "&amp;F1615,"Sin transición"))</f>
        <v/>
      </c>
      <c r="H1615" s="23" t="str">
        <f aca="false">IF(A1615="","",IF(D1615="GCIA LINEA SERVICIO DIGITALIDAD Y VENTAS","Chats",IF(OR(D1615="GERENCIA INBOUND LÍNEAS SERVICIO Y VENTA",D1615="GERENCIA INBOUND LINEAS ESPECIALIZADAS"),"Llamadas","Otro")))</f>
        <v/>
      </c>
      <c r="I1615" s="23" t="str">
        <f aca="false">IF(A1615="","",IF(C1615="No encontrado","No","Sí"))</f>
        <v/>
      </c>
      <c r="J1615" s="23" t="str">
        <f aca="false">IF(A1615="","",IF(F1615="Inactivo","No","Sí"))</f>
        <v/>
      </c>
      <c r="K1615" s="23" t="str">
        <f aca="false">IF(A1615="","",IF(AND(I1615="Sí",J1615="Sí"),"Sí","No"))</f>
        <v/>
      </c>
    </row>
    <row r="1616" customFormat="false" ht="15" hidden="false" customHeight="false" outlineLevel="0" collapsed="false">
      <c r="A1616" s="22"/>
      <c r="B1616" s="22"/>
      <c r="C1616" s="26" t="str">
        <f aca="false">IF(A1616="","",IFERROR(buscarx(A1616&amp;B1616,DATA!$E$3:$E$10000&amp;DATA!$B$3:$B$10000,DATA!$M$3:$M$10000),"No encontrado"))</f>
        <v/>
      </c>
      <c r="D1616" s="27" t="str">
        <f aca="false">IF(A1616="","",IFERROR(buscarx(A1616&amp;B1616,DATA!$E$3:$E$10000&amp;DATA!$B$3:$B$10000,DATA!$W$3:$W$10000),"No encontrado"))</f>
        <v/>
      </c>
      <c r="E1616" s="22"/>
      <c r="F1616" s="26" t="str">
        <f aca="false">IF(A1616="","",IFERROR(buscarx(A1616&amp;E1616,DATA!$E$3:$E$10000&amp;DATA!$B$3:$B$10000,DATA!$M$3:$M$10000),"Inactivo"))</f>
        <v/>
      </c>
      <c r="G1616" s="28" t="str">
        <f aca="false">IF(A1616="","",IF(AND(C1616&lt;&gt;"No encontrado",F1616&lt;&gt;"Inactivo"),C1616&amp;" → "&amp;F1616,"Sin transición"))</f>
        <v/>
      </c>
      <c r="H1616" s="26" t="str">
        <f aca="false">IF(A1616="","",IF(D1616="GCIA LINEA SERVICIO DIGITALIDAD Y VENTAS","Chats",IF(OR(D1616="GERENCIA INBOUND LÍNEAS SERVICIO Y VENTA",D1616="GERENCIA INBOUND LINEAS ESPECIALIZADAS"),"Llamadas","Otro")))</f>
        <v/>
      </c>
      <c r="I1616" s="26" t="str">
        <f aca="false">IF(A1616="","",IF(C1616="No encontrado","No","Sí"))</f>
        <v/>
      </c>
      <c r="J1616" s="26" t="str">
        <f aca="false">IF(A1616="","",IF(F1616="Inactivo","No","Sí"))</f>
        <v/>
      </c>
      <c r="K1616" s="26" t="str">
        <f aca="false">IF(A1616="","",IF(AND(I1616="Sí",J1616="Sí"),"Sí","No"))</f>
        <v/>
      </c>
    </row>
    <row r="1617" customFormat="false" ht="15" hidden="false" customHeight="false" outlineLevel="0" collapsed="false">
      <c r="A1617" s="22"/>
      <c r="B1617" s="22"/>
      <c r="C1617" s="23" t="str">
        <f aca="false">IF(A1617="","",IFERROR(buscarx(A1617&amp;B1617,DATA!$E$3:$E$10000&amp;DATA!$B$3:$B$10000,DATA!$M$3:$M$10000),"No encontrado"))</f>
        <v/>
      </c>
      <c r="D1617" s="24" t="str">
        <f aca="false">IF(A1617="","",IFERROR(buscarx(A1617&amp;B1617,DATA!$E$3:$E$10000&amp;DATA!$B$3:$B$10000,DATA!$W$3:$W$10000),"No encontrado"))</f>
        <v/>
      </c>
      <c r="E1617" s="22"/>
      <c r="F1617" s="23" t="str">
        <f aca="false">IF(A1617="","",IFERROR(buscarx(A1617&amp;E1617,DATA!$E$3:$E$10000&amp;DATA!$B$3:$B$10000,DATA!$M$3:$M$10000),"Inactivo"))</f>
        <v/>
      </c>
      <c r="G1617" s="25" t="str">
        <f aca="false">IF(A1617="","",IF(AND(C1617&lt;&gt;"No encontrado",F1617&lt;&gt;"Inactivo"),C1617&amp;" → "&amp;F1617,"Sin transición"))</f>
        <v/>
      </c>
      <c r="H1617" s="23" t="str">
        <f aca="false">IF(A1617="","",IF(D1617="GCIA LINEA SERVICIO DIGITALIDAD Y VENTAS","Chats",IF(OR(D1617="GERENCIA INBOUND LÍNEAS SERVICIO Y VENTA",D1617="GERENCIA INBOUND LINEAS ESPECIALIZADAS"),"Llamadas","Otro")))</f>
        <v/>
      </c>
      <c r="I1617" s="23" t="str">
        <f aca="false">IF(A1617="","",IF(C1617="No encontrado","No","Sí"))</f>
        <v/>
      </c>
      <c r="J1617" s="23" t="str">
        <f aca="false">IF(A1617="","",IF(F1617="Inactivo","No","Sí"))</f>
        <v/>
      </c>
      <c r="K1617" s="23" t="str">
        <f aca="false">IF(A1617="","",IF(AND(I1617="Sí",J1617="Sí"),"Sí","No"))</f>
        <v/>
      </c>
    </row>
    <row r="1618" customFormat="false" ht="15" hidden="false" customHeight="false" outlineLevel="0" collapsed="false">
      <c r="A1618" s="22"/>
      <c r="B1618" s="22"/>
      <c r="C1618" s="26" t="str">
        <f aca="false">IF(A1618="","",IFERROR(buscarx(A1618&amp;B1618,DATA!$E$3:$E$10000&amp;DATA!$B$3:$B$10000,DATA!$M$3:$M$10000),"No encontrado"))</f>
        <v/>
      </c>
      <c r="D1618" s="27" t="str">
        <f aca="false">IF(A1618="","",IFERROR(buscarx(A1618&amp;B1618,DATA!$E$3:$E$10000&amp;DATA!$B$3:$B$10000,DATA!$W$3:$W$10000),"No encontrado"))</f>
        <v/>
      </c>
      <c r="E1618" s="22"/>
      <c r="F1618" s="26" t="str">
        <f aca="false">IF(A1618="","",IFERROR(buscarx(A1618&amp;E1618,DATA!$E$3:$E$10000&amp;DATA!$B$3:$B$10000,DATA!$M$3:$M$10000),"Inactivo"))</f>
        <v/>
      </c>
      <c r="G1618" s="28" t="str">
        <f aca="false">IF(A1618="","",IF(AND(C1618&lt;&gt;"No encontrado",F1618&lt;&gt;"Inactivo"),C1618&amp;" → "&amp;F1618,"Sin transición"))</f>
        <v/>
      </c>
      <c r="H1618" s="26" t="str">
        <f aca="false">IF(A1618="","",IF(D1618="GCIA LINEA SERVICIO DIGITALIDAD Y VENTAS","Chats",IF(OR(D1618="GERENCIA INBOUND LÍNEAS SERVICIO Y VENTA",D1618="GERENCIA INBOUND LINEAS ESPECIALIZADAS"),"Llamadas","Otro")))</f>
        <v/>
      </c>
      <c r="I1618" s="26" t="str">
        <f aca="false">IF(A1618="","",IF(C1618="No encontrado","No","Sí"))</f>
        <v/>
      </c>
      <c r="J1618" s="26" t="str">
        <f aca="false">IF(A1618="","",IF(F1618="Inactivo","No","Sí"))</f>
        <v/>
      </c>
      <c r="K1618" s="26" t="str">
        <f aca="false">IF(A1618="","",IF(AND(I1618="Sí",J1618="Sí"),"Sí","No"))</f>
        <v/>
      </c>
    </row>
    <row r="1619" customFormat="false" ht="15" hidden="false" customHeight="false" outlineLevel="0" collapsed="false">
      <c r="A1619" s="22"/>
      <c r="B1619" s="22"/>
      <c r="C1619" s="23" t="str">
        <f aca="false">IF(A1619="","",IFERROR(buscarx(A1619&amp;B1619,DATA!$E$3:$E$10000&amp;DATA!$B$3:$B$10000,DATA!$M$3:$M$10000),"No encontrado"))</f>
        <v/>
      </c>
      <c r="D1619" s="24" t="str">
        <f aca="false">IF(A1619="","",IFERROR(buscarx(A1619&amp;B1619,DATA!$E$3:$E$10000&amp;DATA!$B$3:$B$10000,DATA!$W$3:$W$10000),"No encontrado"))</f>
        <v/>
      </c>
      <c r="E1619" s="22"/>
      <c r="F1619" s="23" t="str">
        <f aca="false">IF(A1619="","",IFERROR(buscarx(A1619&amp;E1619,DATA!$E$3:$E$10000&amp;DATA!$B$3:$B$10000,DATA!$M$3:$M$10000),"Inactivo"))</f>
        <v/>
      </c>
      <c r="G1619" s="25" t="str">
        <f aca="false">IF(A1619="","",IF(AND(C1619&lt;&gt;"No encontrado",F1619&lt;&gt;"Inactivo"),C1619&amp;" → "&amp;F1619,"Sin transición"))</f>
        <v/>
      </c>
      <c r="H1619" s="23" t="str">
        <f aca="false">IF(A1619="","",IF(D1619="GCIA LINEA SERVICIO DIGITALIDAD Y VENTAS","Chats",IF(OR(D1619="GERENCIA INBOUND LÍNEAS SERVICIO Y VENTA",D1619="GERENCIA INBOUND LINEAS ESPECIALIZADAS"),"Llamadas","Otro")))</f>
        <v/>
      </c>
      <c r="I1619" s="23" t="str">
        <f aca="false">IF(A1619="","",IF(C1619="No encontrado","No","Sí"))</f>
        <v/>
      </c>
      <c r="J1619" s="23" t="str">
        <f aca="false">IF(A1619="","",IF(F1619="Inactivo","No","Sí"))</f>
        <v/>
      </c>
      <c r="K1619" s="23" t="str">
        <f aca="false">IF(A1619="","",IF(AND(I1619="Sí",J1619="Sí"),"Sí","No"))</f>
        <v/>
      </c>
    </row>
    <row r="1620" customFormat="false" ht="15" hidden="false" customHeight="false" outlineLevel="0" collapsed="false">
      <c r="A1620" s="22"/>
      <c r="B1620" s="22"/>
      <c r="C1620" s="26" t="str">
        <f aca="false">IF(A1620="","",IFERROR(buscarx(A1620&amp;B1620,DATA!$E$3:$E$10000&amp;DATA!$B$3:$B$10000,DATA!$M$3:$M$10000),"No encontrado"))</f>
        <v/>
      </c>
      <c r="D1620" s="27" t="str">
        <f aca="false">IF(A1620="","",IFERROR(buscarx(A1620&amp;B1620,DATA!$E$3:$E$10000&amp;DATA!$B$3:$B$10000,DATA!$W$3:$W$10000),"No encontrado"))</f>
        <v/>
      </c>
      <c r="E1620" s="22"/>
      <c r="F1620" s="26" t="str">
        <f aca="false">IF(A1620="","",IFERROR(buscarx(A1620&amp;E1620,DATA!$E$3:$E$10000&amp;DATA!$B$3:$B$10000,DATA!$M$3:$M$10000),"Inactivo"))</f>
        <v/>
      </c>
      <c r="G1620" s="28" t="str">
        <f aca="false">IF(A1620="","",IF(AND(C1620&lt;&gt;"No encontrado",F1620&lt;&gt;"Inactivo"),C1620&amp;" → "&amp;F1620,"Sin transición"))</f>
        <v/>
      </c>
      <c r="H1620" s="26" t="str">
        <f aca="false">IF(A1620="","",IF(D1620="GCIA LINEA SERVICIO DIGITALIDAD Y VENTAS","Chats",IF(OR(D1620="GERENCIA INBOUND LÍNEAS SERVICIO Y VENTA",D1620="GERENCIA INBOUND LINEAS ESPECIALIZADAS"),"Llamadas","Otro")))</f>
        <v/>
      </c>
      <c r="I1620" s="26" t="str">
        <f aca="false">IF(A1620="","",IF(C1620="No encontrado","No","Sí"))</f>
        <v/>
      </c>
      <c r="J1620" s="26" t="str">
        <f aca="false">IF(A1620="","",IF(F1620="Inactivo","No","Sí"))</f>
        <v/>
      </c>
      <c r="K1620" s="26" t="str">
        <f aca="false">IF(A1620="","",IF(AND(I1620="Sí",J1620="Sí"),"Sí","No"))</f>
        <v/>
      </c>
    </row>
    <row r="1621" customFormat="false" ht="15" hidden="false" customHeight="false" outlineLevel="0" collapsed="false">
      <c r="A1621" s="22"/>
      <c r="B1621" s="22"/>
      <c r="C1621" s="23" t="str">
        <f aca="false">IF(A1621="","",IFERROR(buscarx(A1621&amp;B1621,DATA!$E$3:$E$10000&amp;DATA!$B$3:$B$10000,DATA!$M$3:$M$10000),"No encontrado"))</f>
        <v/>
      </c>
      <c r="D1621" s="24" t="str">
        <f aca="false">IF(A1621="","",IFERROR(buscarx(A1621&amp;B1621,DATA!$E$3:$E$10000&amp;DATA!$B$3:$B$10000,DATA!$W$3:$W$10000),"No encontrado"))</f>
        <v/>
      </c>
      <c r="E1621" s="22"/>
      <c r="F1621" s="23" t="str">
        <f aca="false">IF(A1621="","",IFERROR(buscarx(A1621&amp;E1621,DATA!$E$3:$E$10000&amp;DATA!$B$3:$B$10000,DATA!$M$3:$M$10000),"Inactivo"))</f>
        <v/>
      </c>
      <c r="G1621" s="25" t="str">
        <f aca="false">IF(A1621="","",IF(AND(C1621&lt;&gt;"No encontrado",F1621&lt;&gt;"Inactivo"),C1621&amp;" → "&amp;F1621,"Sin transición"))</f>
        <v/>
      </c>
      <c r="H1621" s="23" t="str">
        <f aca="false">IF(A1621="","",IF(D1621="GCIA LINEA SERVICIO DIGITALIDAD Y VENTAS","Chats",IF(OR(D1621="GERENCIA INBOUND LÍNEAS SERVICIO Y VENTA",D1621="GERENCIA INBOUND LINEAS ESPECIALIZADAS"),"Llamadas","Otro")))</f>
        <v/>
      </c>
      <c r="I1621" s="23" t="str">
        <f aca="false">IF(A1621="","",IF(C1621="No encontrado","No","Sí"))</f>
        <v/>
      </c>
      <c r="J1621" s="23" t="str">
        <f aca="false">IF(A1621="","",IF(F1621="Inactivo","No","Sí"))</f>
        <v/>
      </c>
      <c r="K1621" s="23" t="str">
        <f aca="false">IF(A1621="","",IF(AND(I1621="Sí",J1621="Sí"),"Sí","No"))</f>
        <v/>
      </c>
    </row>
    <row r="1622" customFormat="false" ht="15" hidden="false" customHeight="false" outlineLevel="0" collapsed="false">
      <c r="A1622" s="22"/>
      <c r="B1622" s="22"/>
      <c r="C1622" s="26" t="str">
        <f aca="false">IF(A1622="","",IFERROR(buscarx(A1622&amp;B1622,DATA!$E$3:$E$10000&amp;DATA!$B$3:$B$10000,DATA!$M$3:$M$10000),"No encontrado"))</f>
        <v/>
      </c>
      <c r="D1622" s="27" t="str">
        <f aca="false">IF(A1622="","",IFERROR(buscarx(A1622&amp;B1622,DATA!$E$3:$E$10000&amp;DATA!$B$3:$B$10000,DATA!$W$3:$W$10000),"No encontrado"))</f>
        <v/>
      </c>
      <c r="E1622" s="22"/>
      <c r="F1622" s="26" t="str">
        <f aca="false">IF(A1622="","",IFERROR(buscarx(A1622&amp;E1622,DATA!$E$3:$E$10000&amp;DATA!$B$3:$B$10000,DATA!$M$3:$M$10000),"Inactivo"))</f>
        <v/>
      </c>
      <c r="G1622" s="28" t="str">
        <f aca="false">IF(A1622="","",IF(AND(C1622&lt;&gt;"No encontrado",F1622&lt;&gt;"Inactivo"),C1622&amp;" → "&amp;F1622,"Sin transición"))</f>
        <v/>
      </c>
      <c r="H1622" s="26" t="str">
        <f aca="false">IF(A1622="","",IF(D1622="GCIA LINEA SERVICIO DIGITALIDAD Y VENTAS","Chats",IF(OR(D1622="GERENCIA INBOUND LÍNEAS SERVICIO Y VENTA",D1622="GERENCIA INBOUND LINEAS ESPECIALIZADAS"),"Llamadas","Otro")))</f>
        <v/>
      </c>
      <c r="I1622" s="26" t="str">
        <f aca="false">IF(A1622="","",IF(C1622="No encontrado","No","Sí"))</f>
        <v/>
      </c>
      <c r="J1622" s="26" t="str">
        <f aca="false">IF(A1622="","",IF(F1622="Inactivo","No","Sí"))</f>
        <v/>
      </c>
      <c r="K1622" s="26" t="str">
        <f aca="false">IF(A1622="","",IF(AND(I1622="Sí",J1622="Sí"),"Sí","No"))</f>
        <v/>
      </c>
    </row>
    <row r="1623" customFormat="false" ht="15" hidden="false" customHeight="false" outlineLevel="0" collapsed="false">
      <c r="A1623" s="22"/>
      <c r="B1623" s="22"/>
      <c r="C1623" s="23" t="str">
        <f aca="false">IF(A1623="","",IFERROR(buscarx(A1623&amp;B1623,DATA!$E$3:$E$10000&amp;DATA!$B$3:$B$10000,DATA!$M$3:$M$10000),"No encontrado"))</f>
        <v/>
      </c>
      <c r="D1623" s="24" t="str">
        <f aca="false">IF(A1623="","",IFERROR(buscarx(A1623&amp;B1623,DATA!$E$3:$E$10000&amp;DATA!$B$3:$B$10000,DATA!$W$3:$W$10000),"No encontrado"))</f>
        <v/>
      </c>
      <c r="E1623" s="22"/>
      <c r="F1623" s="23" t="str">
        <f aca="false">IF(A1623="","",IFERROR(buscarx(A1623&amp;E1623,DATA!$E$3:$E$10000&amp;DATA!$B$3:$B$10000,DATA!$M$3:$M$10000),"Inactivo"))</f>
        <v/>
      </c>
      <c r="G1623" s="25" t="str">
        <f aca="false">IF(A1623="","",IF(AND(C1623&lt;&gt;"No encontrado",F1623&lt;&gt;"Inactivo"),C1623&amp;" → "&amp;F1623,"Sin transición"))</f>
        <v/>
      </c>
      <c r="H1623" s="23" t="str">
        <f aca="false">IF(A1623="","",IF(D1623="GCIA LINEA SERVICIO DIGITALIDAD Y VENTAS","Chats",IF(OR(D1623="GERENCIA INBOUND LÍNEAS SERVICIO Y VENTA",D1623="GERENCIA INBOUND LINEAS ESPECIALIZADAS"),"Llamadas","Otro")))</f>
        <v/>
      </c>
      <c r="I1623" s="23" t="str">
        <f aca="false">IF(A1623="","",IF(C1623="No encontrado","No","Sí"))</f>
        <v/>
      </c>
      <c r="J1623" s="23" t="str">
        <f aca="false">IF(A1623="","",IF(F1623="Inactivo","No","Sí"))</f>
        <v/>
      </c>
      <c r="K1623" s="23" t="str">
        <f aca="false">IF(A1623="","",IF(AND(I1623="Sí",J1623="Sí"),"Sí","No"))</f>
        <v/>
      </c>
    </row>
    <row r="1624" customFormat="false" ht="15" hidden="false" customHeight="false" outlineLevel="0" collapsed="false">
      <c r="A1624" s="22"/>
      <c r="B1624" s="22"/>
      <c r="C1624" s="26" t="str">
        <f aca="false">IF(A1624="","",IFERROR(buscarx(A1624&amp;B1624,DATA!$E$3:$E$10000&amp;DATA!$B$3:$B$10000,DATA!$M$3:$M$10000),"No encontrado"))</f>
        <v/>
      </c>
      <c r="D1624" s="27" t="str">
        <f aca="false">IF(A1624="","",IFERROR(buscarx(A1624&amp;B1624,DATA!$E$3:$E$10000&amp;DATA!$B$3:$B$10000,DATA!$W$3:$W$10000),"No encontrado"))</f>
        <v/>
      </c>
      <c r="E1624" s="22"/>
      <c r="F1624" s="26" t="str">
        <f aca="false">IF(A1624="","",IFERROR(buscarx(A1624&amp;E1624,DATA!$E$3:$E$10000&amp;DATA!$B$3:$B$10000,DATA!$M$3:$M$10000),"Inactivo"))</f>
        <v/>
      </c>
      <c r="G1624" s="28" t="str">
        <f aca="false">IF(A1624="","",IF(AND(C1624&lt;&gt;"No encontrado",F1624&lt;&gt;"Inactivo"),C1624&amp;" → "&amp;F1624,"Sin transición"))</f>
        <v/>
      </c>
      <c r="H1624" s="26" t="str">
        <f aca="false">IF(A1624="","",IF(D1624="GCIA LINEA SERVICIO DIGITALIDAD Y VENTAS","Chats",IF(OR(D1624="GERENCIA INBOUND LÍNEAS SERVICIO Y VENTA",D1624="GERENCIA INBOUND LINEAS ESPECIALIZADAS"),"Llamadas","Otro")))</f>
        <v/>
      </c>
      <c r="I1624" s="26" t="str">
        <f aca="false">IF(A1624="","",IF(C1624="No encontrado","No","Sí"))</f>
        <v/>
      </c>
      <c r="J1624" s="26" t="str">
        <f aca="false">IF(A1624="","",IF(F1624="Inactivo","No","Sí"))</f>
        <v/>
      </c>
      <c r="K1624" s="26" t="str">
        <f aca="false">IF(A1624="","",IF(AND(I1624="Sí",J1624="Sí"),"Sí","No"))</f>
        <v/>
      </c>
    </row>
    <row r="1625" customFormat="false" ht="15" hidden="false" customHeight="false" outlineLevel="0" collapsed="false">
      <c r="A1625" s="22"/>
      <c r="B1625" s="22"/>
      <c r="C1625" s="23" t="str">
        <f aca="false">IF(A1625="","",IFERROR(buscarx(A1625&amp;B1625,DATA!$E$3:$E$10000&amp;DATA!$B$3:$B$10000,DATA!$M$3:$M$10000),"No encontrado"))</f>
        <v/>
      </c>
      <c r="D1625" s="24" t="str">
        <f aca="false">IF(A1625="","",IFERROR(buscarx(A1625&amp;B1625,DATA!$E$3:$E$10000&amp;DATA!$B$3:$B$10000,DATA!$W$3:$W$10000),"No encontrado"))</f>
        <v/>
      </c>
      <c r="E1625" s="22"/>
      <c r="F1625" s="23" t="str">
        <f aca="false">IF(A1625="","",IFERROR(buscarx(A1625&amp;E1625,DATA!$E$3:$E$10000&amp;DATA!$B$3:$B$10000,DATA!$M$3:$M$10000),"Inactivo"))</f>
        <v/>
      </c>
      <c r="G1625" s="25" t="str">
        <f aca="false">IF(A1625="","",IF(AND(C1625&lt;&gt;"No encontrado",F1625&lt;&gt;"Inactivo"),C1625&amp;" → "&amp;F1625,"Sin transición"))</f>
        <v/>
      </c>
      <c r="H1625" s="23" t="str">
        <f aca="false">IF(A1625="","",IF(D1625="GCIA LINEA SERVICIO DIGITALIDAD Y VENTAS","Chats",IF(OR(D1625="GERENCIA INBOUND LÍNEAS SERVICIO Y VENTA",D1625="GERENCIA INBOUND LINEAS ESPECIALIZADAS"),"Llamadas","Otro")))</f>
        <v/>
      </c>
      <c r="I1625" s="23" t="str">
        <f aca="false">IF(A1625="","",IF(C1625="No encontrado","No","Sí"))</f>
        <v/>
      </c>
      <c r="J1625" s="23" t="str">
        <f aca="false">IF(A1625="","",IF(F1625="Inactivo","No","Sí"))</f>
        <v/>
      </c>
      <c r="K1625" s="23" t="str">
        <f aca="false">IF(A1625="","",IF(AND(I1625="Sí",J1625="Sí"),"Sí","No"))</f>
        <v/>
      </c>
    </row>
    <row r="1626" customFormat="false" ht="15" hidden="false" customHeight="false" outlineLevel="0" collapsed="false">
      <c r="A1626" s="22"/>
      <c r="B1626" s="22"/>
      <c r="C1626" s="26" t="str">
        <f aca="false">IF(A1626="","",IFERROR(buscarx(A1626&amp;B1626,DATA!$E$3:$E$10000&amp;DATA!$B$3:$B$10000,DATA!$M$3:$M$10000),"No encontrado"))</f>
        <v/>
      </c>
      <c r="D1626" s="27" t="str">
        <f aca="false">IF(A1626="","",IFERROR(buscarx(A1626&amp;B1626,DATA!$E$3:$E$10000&amp;DATA!$B$3:$B$10000,DATA!$W$3:$W$10000),"No encontrado"))</f>
        <v/>
      </c>
      <c r="E1626" s="22"/>
      <c r="F1626" s="26" t="str">
        <f aca="false">IF(A1626="","",IFERROR(buscarx(A1626&amp;E1626,DATA!$E$3:$E$10000&amp;DATA!$B$3:$B$10000,DATA!$M$3:$M$10000),"Inactivo"))</f>
        <v/>
      </c>
      <c r="G1626" s="28" t="str">
        <f aca="false">IF(A1626="","",IF(AND(C1626&lt;&gt;"No encontrado",F1626&lt;&gt;"Inactivo"),C1626&amp;" → "&amp;F1626,"Sin transición"))</f>
        <v/>
      </c>
      <c r="H1626" s="26" t="str">
        <f aca="false">IF(A1626="","",IF(D1626="GCIA LINEA SERVICIO DIGITALIDAD Y VENTAS","Chats",IF(OR(D1626="GERENCIA INBOUND LÍNEAS SERVICIO Y VENTA",D1626="GERENCIA INBOUND LINEAS ESPECIALIZADAS"),"Llamadas","Otro")))</f>
        <v/>
      </c>
      <c r="I1626" s="26" t="str">
        <f aca="false">IF(A1626="","",IF(C1626="No encontrado","No","Sí"))</f>
        <v/>
      </c>
      <c r="J1626" s="26" t="str">
        <f aca="false">IF(A1626="","",IF(F1626="Inactivo","No","Sí"))</f>
        <v/>
      </c>
      <c r="K1626" s="26" t="str">
        <f aca="false">IF(A1626="","",IF(AND(I1626="Sí",J1626="Sí"),"Sí","No"))</f>
        <v/>
      </c>
    </row>
    <row r="1627" customFormat="false" ht="15" hidden="false" customHeight="false" outlineLevel="0" collapsed="false">
      <c r="A1627" s="22"/>
      <c r="B1627" s="22"/>
      <c r="C1627" s="23" t="str">
        <f aca="false">IF(A1627="","",IFERROR(buscarx(A1627&amp;B1627,DATA!$E$3:$E$10000&amp;DATA!$B$3:$B$10000,DATA!$M$3:$M$10000),"No encontrado"))</f>
        <v/>
      </c>
      <c r="D1627" s="24" t="str">
        <f aca="false">IF(A1627="","",IFERROR(buscarx(A1627&amp;B1627,DATA!$E$3:$E$10000&amp;DATA!$B$3:$B$10000,DATA!$W$3:$W$10000),"No encontrado"))</f>
        <v/>
      </c>
      <c r="E1627" s="22"/>
      <c r="F1627" s="23" t="str">
        <f aca="false">IF(A1627="","",IFERROR(buscarx(A1627&amp;E1627,DATA!$E$3:$E$10000&amp;DATA!$B$3:$B$10000,DATA!$M$3:$M$10000),"Inactivo"))</f>
        <v/>
      </c>
      <c r="G1627" s="25" t="str">
        <f aca="false">IF(A1627="","",IF(AND(C1627&lt;&gt;"No encontrado",F1627&lt;&gt;"Inactivo"),C1627&amp;" → "&amp;F1627,"Sin transición"))</f>
        <v/>
      </c>
      <c r="H1627" s="23" t="str">
        <f aca="false">IF(A1627="","",IF(D1627="GCIA LINEA SERVICIO DIGITALIDAD Y VENTAS","Chats",IF(OR(D1627="GERENCIA INBOUND LÍNEAS SERVICIO Y VENTA",D1627="GERENCIA INBOUND LINEAS ESPECIALIZADAS"),"Llamadas","Otro")))</f>
        <v/>
      </c>
      <c r="I1627" s="23" t="str">
        <f aca="false">IF(A1627="","",IF(C1627="No encontrado","No","Sí"))</f>
        <v/>
      </c>
      <c r="J1627" s="23" t="str">
        <f aca="false">IF(A1627="","",IF(F1627="Inactivo","No","Sí"))</f>
        <v/>
      </c>
      <c r="K1627" s="23" t="str">
        <f aca="false">IF(A1627="","",IF(AND(I1627="Sí",J1627="Sí"),"Sí","No"))</f>
        <v/>
      </c>
    </row>
    <row r="1628" customFormat="false" ht="15" hidden="false" customHeight="false" outlineLevel="0" collapsed="false">
      <c r="A1628" s="22"/>
      <c r="B1628" s="22"/>
      <c r="C1628" s="26" t="str">
        <f aca="false">IF(A1628="","",IFERROR(buscarx(A1628&amp;B1628,DATA!$E$3:$E$10000&amp;DATA!$B$3:$B$10000,DATA!$M$3:$M$10000),"No encontrado"))</f>
        <v/>
      </c>
      <c r="D1628" s="27" t="str">
        <f aca="false">IF(A1628="","",IFERROR(buscarx(A1628&amp;B1628,DATA!$E$3:$E$10000&amp;DATA!$B$3:$B$10000,DATA!$W$3:$W$10000),"No encontrado"))</f>
        <v/>
      </c>
      <c r="E1628" s="22"/>
      <c r="F1628" s="26" t="str">
        <f aca="false">IF(A1628="","",IFERROR(buscarx(A1628&amp;E1628,DATA!$E$3:$E$10000&amp;DATA!$B$3:$B$10000,DATA!$M$3:$M$10000),"Inactivo"))</f>
        <v/>
      </c>
      <c r="G1628" s="28" t="str">
        <f aca="false">IF(A1628="","",IF(AND(C1628&lt;&gt;"No encontrado",F1628&lt;&gt;"Inactivo"),C1628&amp;" → "&amp;F1628,"Sin transición"))</f>
        <v/>
      </c>
      <c r="H1628" s="26" t="str">
        <f aca="false">IF(A1628="","",IF(D1628="GCIA LINEA SERVICIO DIGITALIDAD Y VENTAS","Chats",IF(OR(D1628="GERENCIA INBOUND LÍNEAS SERVICIO Y VENTA",D1628="GERENCIA INBOUND LINEAS ESPECIALIZADAS"),"Llamadas","Otro")))</f>
        <v/>
      </c>
      <c r="I1628" s="26" t="str">
        <f aca="false">IF(A1628="","",IF(C1628="No encontrado","No","Sí"))</f>
        <v/>
      </c>
      <c r="J1628" s="26" t="str">
        <f aca="false">IF(A1628="","",IF(F1628="Inactivo","No","Sí"))</f>
        <v/>
      </c>
      <c r="K1628" s="26" t="str">
        <f aca="false">IF(A1628="","",IF(AND(I1628="Sí",J1628="Sí"),"Sí","No"))</f>
        <v/>
      </c>
    </row>
    <row r="1629" customFormat="false" ht="15" hidden="false" customHeight="false" outlineLevel="0" collapsed="false">
      <c r="A1629" s="22"/>
      <c r="B1629" s="22"/>
      <c r="C1629" s="23" t="str">
        <f aca="false">IF(A1629="","",IFERROR(buscarx(A1629&amp;B1629,DATA!$E$3:$E$10000&amp;DATA!$B$3:$B$10000,DATA!$M$3:$M$10000),"No encontrado"))</f>
        <v/>
      </c>
      <c r="D1629" s="24" t="str">
        <f aca="false">IF(A1629="","",IFERROR(buscarx(A1629&amp;B1629,DATA!$E$3:$E$10000&amp;DATA!$B$3:$B$10000,DATA!$W$3:$W$10000),"No encontrado"))</f>
        <v/>
      </c>
      <c r="E1629" s="22"/>
      <c r="F1629" s="23" t="str">
        <f aca="false">IF(A1629="","",IFERROR(buscarx(A1629&amp;E1629,DATA!$E$3:$E$10000&amp;DATA!$B$3:$B$10000,DATA!$M$3:$M$10000),"Inactivo"))</f>
        <v/>
      </c>
      <c r="G1629" s="25" t="str">
        <f aca="false">IF(A1629="","",IF(AND(C1629&lt;&gt;"No encontrado",F1629&lt;&gt;"Inactivo"),C1629&amp;" → "&amp;F1629,"Sin transición"))</f>
        <v/>
      </c>
      <c r="H1629" s="23" t="str">
        <f aca="false">IF(A1629="","",IF(D1629="GCIA LINEA SERVICIO DIGITALIDAD Y VENTAS","Chats",IF(OR(D1629="GERENCIA INBOUND LÍNEAS SERVICIO Y VENTA",D1629="GERENCIA INBOUND LINEAS ESPECIALIZADAS"),"Llamadas","Otro")))</f>
        <v/>
      </c>
      <c r="I1629" s="23" t="str">
        <f aca="false">IF(A1629="","",IF(C1629="No encontrado","No","Sí"))</f>
        <v/>
      </c>
      <c r="J1629" s="23" t="str">
        <f aca="false">IF(A1629="","",IF(F1629="Inactivo","No","Sí"))</f>
        <v/>
      </c>
      <c r="K1629" s="23" t="str">
        <f aca="false">IF(A1629="","",IF(AND(I1629="Sí",J1629="Sí"),"Sí","No"))</f>
        <v/>
      </c>
    </row>
    <row r="1630" customFormat="false" ht="15" hidden="false" customHeight="false" outlineLevel="0" collapsed="false">
      <c r="A1630" s="22"/>
      <c r="B1630" s="22"/>
      <c r="C1630" s="26" t="str">
        <f aca="false">IF(A1630="","",IFERROR(buscarx(A1630&amp;B1630,DATA!$E$3:$E$10000&amp;DATA!$B$3:$B$10000,DATA!$M$3:$M$10000),"No encontrado"))</f>
        <v/>
      </c>
      <c r="D1630" s="27" t="str">
        <f aca="false">IF(A1630="","",IFERROR(buscarx(A1630&amp;B1630,DATA!$E$3:$E$10000&amp;DATA!$B$3:$B$10000,DATA!$W$3:$W$10000),"No encontrado"))</f>
        <v/>
      </c>
      <c r="E1630" s="22"/>
      <c r="F1630" s="26" t="str">
        <f aca="false">IF(A1630="","",IFERROR(buscarx(A1630&amp;E1630,DATA!$E$3:$E$10000&amp;DATA!$B$3:$B$10000,DATA!$M$3:$M$10000),"Inactivo"))</f>
        <v/>
      </c>
      <c r="G1630" s="28" t="str">
        <f aca="false">IF(A1630="","",IF(AND(C1630&lt;&gt;"No encontrado",F1630&lt;&gt;"Inactivo"),C1630&amp;" → "&amp;F1630,"Sin transición"))</f>
        <v/>
      </c>
      <c r="H1630" s="26" t="str">
        <f aca="false">IF(A1630="","",IF(D1630="GCIA LINEA SERVICIO DIGITALIDAD Y VENTAS","Chats",IF(OR(D1630="GERENCIA INBOUND LÍNEAS SERVICIO Y VENTA",D1630="GERENCIA INBOUND LINEAS ESPECIALIZADAS"),"Llamadas","Otro")))</f>
        <v/>
      </c>
      <c r="I1630" s="26" t="str">
        <f aca="false">IF(A1630="","",IF(C1630="No encontrado","No","Sí"))</f>
        <v/>
      </c>
      <c r="J1630" s="26" t="str">
        <f aca="false">IF(A1630="","",IF(F1630="Inactivo","No","Sí"))</f>
        <v/>
      </c>
      <c r="K1630" s="26" t="str">
        <f aca="false">IF(A1630="","",IF(AND(I1630="Sí",J1630="Sí"),"Sí","No"))</f>
        <v/>
      </c>
    </row>
    <row r="1631" customFormat="false" ht="15" hidden="false" customHeight="false" outlineLevel="0" collapsed="false">
      <c r="A1631" s="22"/>
      <c r="B1631" s="22"/>
      <c r="C1631" s="23" t="str">
        <f aca="false">IF(A1631="","",IFERROR(buscarx(A1631&amp;B1631,DATA!$E$3:$E$10000&amp;DATA!$B$3:$B$10000,DATA!$M$3:$M$10000),"No encontrado"))</f>
        <v/>
      </c>
      <c r="D1631" s="24" t="str">
        <f aca="false">IF(A1631="","",IFERROR(buscarx(A1631&amp;B1631,DATA!$E$3:$E$10000&amp;DATA!$B$3:$B$10000,DATA!$W$3:$W$10000),"No encontrado"))</f>
        <v/>
      </c>
      <c r="E1631" s="22"/>
      <c r="F1631" s="23" t="str">
        <f aca="false">IF(A1631="","",IFERROR(buscarx(A1631&amp;E1631,DATA!$E$3:$E$10000&amp;DATA!$B$3:$B$10000,DATA!$M$3:$M$10000),"Inactivo"))</f>
        <v/>
      </c>
      <c r="G1631" s="25" t="str">
        <f aca="false">IF(A1631="","",IF(AND(C1631&lt;&gt;"No encontrado",F1631&lt;&gt;"Inactivo"),C1631&amp;" → "&amp;F1631,"Sin transición"))</f>
        <v/>
      </c>
      <c r="H1631" s="23" t="str">
        <f aca="false">IF(A1631="","",IF(D1631="GCIA LINEA SERVICIO DIGITALIDAD Y VENTAS","Chats",IF(OR(D1631="GERENCIA INBOUND LÍNEAS SERVICIO Y VENTA",D1631="GERENCIA INBOUND LINEAS ESPECIALIZADAS"),"Llamadas","Otro")))</f>
        <v/>
      </c>
      <c r="I1631" s="23" t="str">
        <f aca="false">IF(A1631="","",IF(C1631="No encontrado","No","Sí"))</f>
        <v/>
      </c>
      <c r="J1631" s="23" t="str">
        <f aca="false">IF(A1631="","",IF(F1631="Inactivo","No","Sí"))</f>
        <v/>
      </c>
      <c r="K1631" s="23" t="str">
        <f aca="false">IF(A1631="","",IF(AND(I1631="Sí",J1631="Sí"),"Sí","No"))</f>
        <v/>
      </c>
    </row>
    <row r="1632" customFormat="false" ht="15" hidden="false" customHeight="false" outlineLevel="0" collapsed="false">
      <c r="A1632" s="22"/>
      <c r="B1632" s="22"/>
      <c r="C1632" s="26" t="str">
        <f aca="false">IF(A1632="","",IFERROR(buscarx(A1632&amp;B1632,DATA!$E$3:$E$10000&amp;DATA!$B$3:$B$10000,DATA!$M$3:$M$10000),"No encontrado"))</f>
        <v/>
      </c>
      <c r="D1632" s="27" t="str">
        <f aca="false">IF(A1632="","",IFERROR(buscarx(A1632&amp;B1632,DATA!$E$3:$E$10000&amp;DATA!$B$3:$B$10000,DATA!$W$3:$W$10000),"No encontrado"))</f>
        <v/>
      </c>
      <c r="E1632" s="22"/>
      <c r="F1632" s="26" t="str">
        <f aca="false">IF(A1632="","",IFERROR(buscarx(A1632&amp;E1632,DATA!$E$3:$E$10000&amp;DATA!$B$3:$B$10000,DATA!$M$3:$M$10000),"Inactivo"))</f>
        <v/>
      </c>
      <c r="G1632" s="28" t="str">
        <f aca="false">IF(A1632="","",IF(AND(C1632&lt;&gt;"No encontrado",F1632&lt;&gt;"Inactivo"),C1632&amp;" → "&amp;F1632,"Sin transición"))</f>
        <v/>
      </c>
      <c r="H1632" s="26" t="str">
        <f aca="false">IF(A1632="","",IF(D1632="GCIA LINEA SERVICIO DIGITALIDAD Y VENTAS","Chats",IF(OR(D1632="GERENCIA INBOUND LÍNEAS SERVICIO Y VENTA",D1632="GERENCIA INBOUND LINEAS ESPECIALIZADAS"),"Llamadas","Otro")))</f>
        <v/>
      </c>
      <c r="I1632" s="26" t="str">
        <f aca="false">IF(A1632="","",IF(C1632="No encontrado","No","Sí"))</f>
        <v/>
      </c>
      <c r="J1632" s="26" t="str">
        <f aca="false">IF(A1632="","",IF(F1632="Inactivo","No","Sí"))</f>
        <v/>
      </c>
      <c r="K1632" s="26" t="str">
        <f aca="false">IF(A1632="","",IF(AND(I1632="Sí",J1632="Sí"),"Sí","No"))</f>
        <v/>
      </c>
    </row>
    <row r="1633" customFormat="false" ht="15" hidden="false" customHeight="false" outlineLevel="0" collapsed="false">
      <c r="A1633" s="22"/>
      <c r="B1633" s="22"/>
      <c r="C1633" s="23" t="str">
        <f aca="false">IF(A1633="","",IFERROR(buscarx(A1633&amp;B1633,DATA!$E$3:$E$10000&amp;DATA!$B$3:$B$10000,DATA!$M$3:$M$10000),"No encontrado"))</f>
        <v/>
      </c>
      <c r="D1633" s="24" t="str">
        <f aca="false">IF(A1633="","",IFERROR(buscarx(A1633&amp;B1633,DATA!$E$3:$E$10000&amp;DATA!$B$3:$B$10000,DATA!$W$3:$W$10000),"No encontrado"))</f>
        <v/>
      </c>
      <c r="E1633" s="22"/>
      <c r="F1633" s="23" t="str">
        <f aca="false">IF(A1633="","",IFERROR(buscarx(A1633&amp;E1633,DATA!$E$3:$E$10000&amp;DATA!$B$3:$B$10000,DATA!$M$3:$M$10000),"Inactivo"))</f>
        <v/>
      </c>
      <c r="G1633" s="25" t="str">
        <f aca="false">IF(A1633="","",IF(AND(C1633&lt;&gt;"No encontrado",F1633&lt;&gt;"Inactivo"),C1633&amp;" → "&amp;F1633,"Sin transición"))</f>
        <v/>
      </c>
      <c r="H1633" s="23" t="str">
        <f aca="false">IF(A1633="","",IF(D1633="GCIA LINEA SERVICIO DIGITALIDAD Y VENTAS","Chats",IF(OR(D1633="GERENCIA INBOUND LÍNEAS SERVICIO Y VENTA",D1633="GERENCIA INBOUND LINEAS ESPECIALIZADAS"),"Llamadas","Otro")))</f>
        <v/>
      </c>
      <c r="I1633" s="23" t="str">
        <f aca="false">IF(A1633="","",IF(C1633="No encontrado","No","Sí"))</f>
        <v/>
      </c>
      <c r="J1633" s="23" t="str">
        <f aca="false">IF(A1633="","",IF(F1633="Inactivo","No","Sí"))</f>
        <v/>
      </c>
      <c r="K1633" s="23" t="str">
        <f aca="false">IF(A1633="","",IF(AND(I1633="Sí",J1633="Sí"),"Sí","No"))</f>
        <v/>
      </c>
    </row>
    <row r="1634" customFormat="false" ht="15" hidden="false" customHeight="false" outlineLevel="0" collapsed="false">
      <c r="A1634" s="22"/>
      <c r="B1634" s="22"/>
      <c r="C1634" s="26" t="str">
        <f aca="false">IF(A1634="","",IFERROR(buscarx(A1634&amp;B1634,DATA!$E$3:$E$10000&amp;DATA!$B$3:$B$10000,DATA!$M$3:$M$10000),"No encontrado"))</f>
        <v/>
      </c>
      <c r="D1634" s="27" t="str">
        <f aca="false">IF(A1634="","",IFERROR(buscarx(A1634&amp;B1634,DATA!$E$3:$E$10000&amp;DATA!$B$3:$B$10000,DATA!$W$3:$W$10000),"No encontrado"))</f>
        <v/>
      </c>
      <c r="E1634" s="22"/>
      <c r="F1634" s="26" t="str">
        <f aca="false">IF(A1634="","",IFERROR(buscarx(A1634&amp;E1634,DATA!$E$3:$E$10000&amp;DATA!$B$3:$B$10000,DATA!$M$3:$M$10000),"Inactivo"))</f>
        <v/>
      </c>
      <c r="G1634" s="28" t="str">
        <f aca="false">IF(A1634="","",IF(AND(C1634&lt;&gt;"No encontrado",F1634&lt;&gt;"Inactivo"),C1634&amp;" → "&amp;F1634,"Sin transición"))</f>
        <v/>
      </c>
      <c r="H1634" s="26" t="str">
        <f aca="false">IF(A1634="","",IF(D1634="GCIA LINEA SERVICIO DIGITALIDAD Y VENTAS","Chats",IF(OR(D1634="GERENCIA INBOUND LÍNEAS SERVICIO Y VENTA",D1634="GERENCIA INBOUND LINEAS ESPECIALIZADAS"),"Llamadas","Otro")))</f>
        <v/>
      </c>
      <c r="I1634" s="26" t="str">
        <f aca="false">IF(A1634="","",IF(C1634="No encontrado","No","Sí"))</f>
        <v/>
      </c>
      <c r="J1634" s="26" t="str">
        <f aca="false">IF(A1634="","",IF(F1634="Inactivo","No","Sí"))</f>
        <v/>
      </c>
      <c r="K1634" s="26" t="str">
        <f aca="false">IF(A1634="","",IF(AND(I1634="Sí",J1634="Sí"),"Sí","No"))</f>
        <v/>
      </c>
    </row>
    <row r="1635" customFormat="false" ht="15" hidden="false" customHeight="false" outlineLevel="0" collapsed="false">
      <c r="A1635" s="22"/>
      <c r="B1635" s="22"/>
      <c r="C1635" s="23" t="str">
        <f aca="false">IF(A1635="","",IFERROR(buscarx(A1635&amp;B1635,DATA!$E$3:$E$10000&amp;DATA!$B$3:$B$10000,DATA!$M$3:$M$10000),"No encontrado"))</f>
        <v/>
      </c>
      <c r="D1635" s="24" t="str">
        <f aca="false">IF(A1635="","",IFERROR(buscarx(A1635&amp;B1635,DATA!$E$3:$E$10000&amp;DATA!$B$3:$B$10000,DATA!$W$3:$W$10000),"No encontrado"))</f>
        <v/>
      </c>
      <c r="E1635" s="22"/>
      <c r="F1635" s="23" t="str">
        <f aca="false">IF(A1635="","",IFERROR(buscarx(A1635&amp;E1635,DATA!$E$3:$E$10000&amp;DATA!$B$3:$B$10000,DATA!$M$3:$M$10000),"Inactivo"))</f>
        <v/>
      </c>
      <c r="G1635" s="25" t="str">
        <f aca="false">IF(A1635="","",IF(AND(C1635&lt;&gt;"No encontrado",F1635&lt;&gt;"Inactivo"),C1635&amp;" → "&amp;F1635,"Sin transición"))</f>
        <v/>
      </c>
      <c r="H1635" s="23" t="str">
        <f aca="false">IF(A1635="","",IF(D1635="GCIA LINEA SERVICIO DIGITALIDAD Y VENTAS","Chats",IF(OR(D1635="GERENCIA INBOUND LÍNEAS SERVICIO Y VENTA",D1635="GERENCIA INBOUND LINEAS ESPECIALIZADAS"),"Llamadas","Otro")))</f>
        <v/>
      </c>
      <c r="I1635" s="23" t="str">
        <f aca="false">IF(A1635="","",IF(C1635="No encontrado","No","Sí"))</f>
        <v/>
      </c>
      <c r="J1635" s="23" t="str">
        <f aca="false">IF(A1635="","",IF(F1635="Inactivo","No","Sí"))</f>
        <v/>
      </c>
      <c r="K1635" s="23" t="str">
        <f aca="false">IF(A1635="","",IF(AND(I1635="Sí",J1635="Sí"),"Sí","No"))</f>
        <v/>
      </c>
    </row>
    <row r="1636" customFormat="false" ht="15" hidden="false" customHeight="false" outlineLevel="0" collapsed="false">
      <c r="A1636" s="22"/>
      <c r="B1636" s="22"/>
      <c r="C1636" s="26" t="str">
        <f aca="false">IF(A1636="","",IFERROR(buscarx(A1636&amp;B1636,DATA!$E$3:$E$10000&amp;DATA!$B$3:$B$10000,DATA!$M$3:$M$10000),"No encontrado"))</f>
        <v/>
      </c>
      <c r="D1636" s="27" t="str">
        <f aca="false">IF(A1636="","",IFERROR(buscarx(A1636&amp;B1636,DATA!$E$3:$E$10000&amp;DATA!$B$3:$B$10000,DATA!$W$3:$W$10000),"No encontrado"))</f>
        <v/>
      </c>
      <c r="E1636" s="22"/>
      <c r="F1636" s="26" t="str">
        <f aca="false">IF(A1636="","",IFERROR(buscarx(A1636&amp;E1636,DATA!$E$3:$E$10000&amp;DATA!$B$3:$B$10000,DATA!$M$3:$M$10000),"Inactivo"))</f>
        <v/>
      </c>
      <c r="G1636" s="28" t="str">
        <f aca="false">IF(A1636="","",IF(AND(C1636&lt;&gt;"No encontrado",F1636&lt;&gt;"Inactivo"),C1636&amp;" → "&amp;F1636,"Sin transición"))</f>
        <v/>
      </c>
      <c r="H1636" s="26" t="str">
        <f aca="false">IF(A1636="","",IF(D1636="GCIA LINEA SERVICIO DIGITALIDAD Y VENTAS","Chats",IF(OR(D1636="GERENCIA INBOUND LÍNEAS SERVICIO Y VENTA",D1636="GERENCIA INBOUND LINEAS ESPECIALIZADAS"),"Llamadas","Otro")))</f>
        <v/>
      </c>
      <c r="I1636" s="26" t="str">
        <f aca="false">IF(A1636="","",IF(C1636="No encontrado","No","Sí"))</f>
        <v/>
      </c>
      <c r="J1636" s="26" t="str">
        <f aca="false">IF(A1636="","",IF(F1636="Inactivo","No","Sí"))</f>
        <v/>
      </c>
      <c r="K1636" s="26" t="str">
        <f aca="false">IF(A1636="","",IF(AND(I1636="Sí",J1636="Sí"),"Sí","No"))</f>
        <v/>
      </c>
    </row>
    <row r="1637" customFormat="false" ht="15" hidden="false" customHeight="false" outlineLevel="0" collapsed="false">
      <c r="A1637" s="22"/>
      <c r="B1637" s="22"/>
      <c r="C1637" s="23" t="str">
        <f aca="false">IF(A1637="","",IFERROR(buscarx(A1637&amp;B1637,DATA!$E$3:$E$10000&amp;DATA!$B$3:$B$10000,DATA!$M$3:$M$10000),"No encontrado"))</f>
        <v/>
      </c>
      <c r="D1637" s="24" t="str">
        <f aca="false">IF(A1637="","",IFERROR(buscarx(A1637&amp;B1637,DATA!$E$3:$E$10000&amp;DATA!$B$3:$B$10000,DATA!$W$3:$W$10000),"No encontrado"))</f>
        <v/>
      </c>
      <c r="E1637" s="22"/>
      <c r="F1637" s="23" t="str">
        <f aca="false">IF(A1637="","",IFERROR(buscarx(A1637&amp;E1637,DATA!$E$3:$E$10000&amp;DATA!$B$3:$B$10000,DATA!$M$3:$M$10000),"Inactivo"))</f>
        <v/>
      </c>
      <c r="G1637" s="25" t="str">
        <f aca="false">IF(A1637="","",IF(AND(C1637&lt;&gt;"No encontrado",F1637&lt;&gt;"Inactivo"),C1637&amp;" → "&amp;F1637,"Sin transición"))</f>
        <v/>
      </c>
      <c r="H1637" s="23" t="str">
        <f aca="false">IF(A1637="","",IF(D1637="GCIA LINEA SERVICIO DIGITALIDAD Y VENTAS","Chats",IF(OR(D1637="GERENCIA INBOUND LÍNEAS SERVICIO Y VENTA",D1637="GERENCIA INBOUND LINEAS ESPECIALIZADAS"),"Llamadas","Otro")))</f>
        <v/>
      </c>
      <c r="I1637" s="23" t="str">
        <f aca="false">IF(A1637="","",IF(C1637="No encontrado","No","Sí"))</f>
        <v/>
      </c>
      <c r="J1637" s="23" t="str">
        <f aca="false">IF(A1637="","",IF(F1637="Inactivo","No","Sí"))</f>
        <v/>
      </c>
      <c r="K1637" s="23" t="str">
        <f aca="false">IF(A1637="","",IF(AND(I1637="Sí",J1637="Sí"),"Sí","No"))</f>
        <v/>
      </c>
    </row>
    <row r="1638" customFormat="false" ht="15" hidden="false" customHeight="false" outlineLevel="0" collapsed="false">
      <c r="A1638" s="22"/>
      <c r="B1638" s="22"/>
      <c r="C1638" s="26" t="str">
        <f aca="false">IF(A1638="","",IFERROR(buscarx(A1638&amp;B1638,DATA!$E$3:$E$10000&amp;DATA!$B$3:$B$10000,DATA!$M$3:$M$10000),"No encontrado"))</f>
        <v/>
      </c>
      <c r="D1638" s="27" t="str">
        <f aca="false">IF(A1638="","",IFERROR(buscarx(A1638&amp;B1638,DATA!$E$3:$E$10000&amp;DATA!$B$3:$B$10000,DATA!$W$3:$W$10000),"No encontrado"))</f>
        <v/>
      </c>
      <c r="E1638" s="22"/>
      <c r="F1638" s="26" t="str">
        <f aca="false">IF(A1638="","",IFERROR(buscarx(A1638&amp;E1638,DATA!$E$3:$E$10000&amp;DATA!$B$3:$B$10000,DATA!$M$3:$M$10000),"Inactivo"))</f>
        <v/>
      </c>
      <c r="G1638" s="28" t="str">
        <f aca="false">IF(A1638="","",IF(AND(C1638&lt;&gt;"No encontrado",F1638&lt;&gt;"Inactivo"),C1638&amp;" → "&amp;F1638,"Sin transición"))</f>
        <v/>
      </c>
      <c r="H1638" s="26" t="str">
        <f aca="false">IF(A1638="","",IF(D1638="GCIA LINEA SERVICIO DIGITALIDAD Y VENTAS","Chats",IF(OR(D1638="GERENCIA INBOUND LÍNEAS SERVICIO Y VENTA",D1638="GERENCIA INBOUND LINEAS ESPECIALIZADAS"),"Llamadas","Otro")))</f>
        <v/>
      </c>
      <c r="I1638" s="26" t="str">
        <f aca="false">IF(A1638="","",IF(C1638="No encontrado","No","Sí"))</f>
        <v/>
      </c>
      <c r="J1638" s="26" t="str">
        <f aca="false">IF(A1638="","",IF(F1638="Inactivo","No","Sí"))</f>
        <v/>
      </c>
      <c r="K1638" s="26" t="str">
        <f aca="false">IF(A1638="","",IF(AND(I1638="Sí",J1638="Sí"),"Sí","No"))</f>
        <v/>
      </c>
    </row>
    <row r="1639" customFormat="false" ht="15" hidden="false" customHeight="false" outlineLevel="0" collapsed="false">
      <c r="A1639" s="22"/>
      <c r="B1639" s="22"/>
      <c r="C1639" s="23" t="str">
        <f aca="false">IF(A1639="","",IFERROR(buscarx(A1639&amp;B1639,DATA!$E$3:$E$10000&amp;DATA!$B$3:$B$10000,DATA!$M$3:$M$10000),"No encontrado"))</f>
        <v/>
      </c>
      <c r="D1639" s="24" t="str">
        <f aca="false">IF(A1639="","",IFERROR(buscarx(A1639&amp;B1639,DATA!$E$3:$E$10000&amp;DATA!$B$3:$B$10000,DATA!$W$3:$W$10000),"No encontrado"))</f>
        <v/>
      </c>
      <c r="E1639" s="22"/>
      <c r="F1639" s="23" t="str">
        <f aca="false">IF(A1639="","",IFERROR(buscarx(A1639&amp;E1639,DATA!$E$3:$E$10000&amp;DATA!$B$3:$B$10000,DATA!$M$3:$M$10000),"Inactivo"))</f>
        <v/>
      </c>
      <c r="G1639" s="25" t="str">
        <f aca="false">IF(A1639="","",IF(AND(C1639&lt;&gt;"No encontrado",F1639&lt;&gt;"Inactivo"),C1639&amp;" → "&amp;F1639,"Sin transición"))</f>
        <v/>
      </c>
      <c r="H1639" s="23" t="str">
        <f aca="false">IF(A1639="","",IF(D1639="GCIA LINEA SERVICIO DIGITALIDAD Y VENTAS","Chats",IF(OR(D1639="GERENCIA INBOUND LÍNEAS SERVICIO Y VENTA",D1639="GERENCIA INBOUND LINEAS ESPECIALIZADAS"),"Llamadas","Otro")))</f>
        <v/>
      </c>
      <c r="I1639" s="23" t="str">
        <f aca="false">IF(A1639="","",IF(C1639="No encontrado","No","Sí"))</f>
        <v/>
      </c>
      <c r="J1639" s="23" t="str">
        <f aca="false">IF(A1639="","",IF(F1639="Inactivo","No","Sí"))</f>
        <v/>
      </c>
      <c r="K1639" s="23" t="str">
        <f aca="false">IF(A1639="","",IF(AND(I1639="Sí",J1639="Sí"),"Sí","No"))</f>
        <v/>
      </c>
    </row>
    <row r="1640" customFormat="false" ht="15" hidden="false" customHeight="false" outlineLevel="0" collapsed="false">
      <c r="A1640" s="22"/>
      <c r="B1640" s="22"/>
      <c r="C1640" s="26" t="str">
        <f aca="false">IF(A1640="","",IFERROR(buscarx(A1640&amp;B1640,DATA!$E$3:$E$10000&amp;DATA!$B$3:$B$10000,DATA!$M$3:$M$10000),"No encontrado"))</f>
        <v/>
      </c>
      <c r="D1640" s="27" t="str">
        <f aca="false">IF(A1640="","",IFERROR(buscarx(A1640&amp;B1640,DATA!$E$3:$E$10000&amp;DATA!$B$3:$B$10000,DATA!$W$3:$W$10000),"No encontrado"))</f>
        <v/>
      </c>
      <c r="E1640" s="22"/>
      <c r="F1640" s="26" t="str">
        <f aca="false">IF(A1640="","",IFERROR(buscarx(A1640&amp;E1640,DATA!$E$3:$E$10000&amp;DATA!$B$3:$B$10000,DATA!$M$3:$M$10000),"Inactivo"))</f>
        <v/>
      </c>
      <c r="G1640" s="28" t="str">
        <f aca="false">IF(A1640="","",IF(AND(C1640&lt;&gt;"No encontrado",F1640&lt;&gt;"Inactivo"),C1640&amp;" → "&amp;F1640,"Sin transición"))</f>
        <v/>
      </c>
      <c r="H1640" s="26" t="str">
        <f aca="false">IF(A1640="","",IF(D1640="GCIA LINEA SERVICIO DIGITALIDAD Y VENTAS","Chats",IF(OR(D1640="GERENCIA INBOUND LÍNEAS SERVICIO Y VENTA",D1640="GERENCIA INBOUND LINEAS ESPECIALIZADAS"),"Llamadas","Otro")))</f>
        <v/>
      </c>
      <c r="I1640" s="26" t="str">
        <f aca="false">IF(A1640="","",IF(C1640="No encontrado","No","Sí"))</f>
        <v/>
      </c>
      <c r="J1640" s="26" t="str">
        <f aca="false">IF(A1640="","",IF(F1640="Inactivo","No","Sí"))</f>
        <v/>
      </c>
      <c r="K1640" s="26" t="str">
        <f aca="false">IF(A1640="","",IF(AND(I1640="Sí",J1640="Sí"),"Sí","No"))</f>
        <v/>
      </c>
    </row>
    <row r="1641" customFormat="false" ht="15" hidden="false" customHeight="false" outlineLevel="0" collapsed="false">
      <c r="A1641" s="22"/>
      <c r="B1641" s="22"/>
      <c r="C1641" s="23" t="str">
        <f aca="false">IF(A1641="","",IFERROR(buscarx(A1641&amp;B1641,DATA!$E$3:$E$10000&amp;DATA!$B$3:$B$10000,DATA!$M$3:$M$10000),"No encontrado"))</f>
        <v/>
      </c>
      <c r="D1641" s="24" t="str">
        <f aca="false">IF(A1641="","",IFERROR(buscarx(A1641&amp;B1641,DATA!$E$3:$E$10000&amp;DATA!$B$3:$B$10000,DATA!$W$3:$W$10000),"No encontrado"))</f>
        <v/>
      </c>
      <c r="E1641" s="22"/>
      <c r="F1641" s="23" t="str">
        <f aca="false">IF(A1641="","",IFERROR(buscarx(A1641&amp;E1641,DATA!$E$3:$E$10000&amp;DATA!$B$3:$B$10000,DATA!$M$3:$M$10000),"Inactivo"))</f>
        <v/>
      </c>
      <c r="G1641" s="25" t="str">
        <f aca="false">IF(A1641="","",IF(AND(C1641&lt;&gt;"No encontrado",F1641&lt;&gt;"Inactivo"),C1641&amp;" → "&amp;F1641,"Sin transición"))</f>
        <v/>
      </c>
      <c r="H1641" s="23" t="str">
        <f aca="false">IF(A1641="","",IF(D1641="GCIA LINEA SERVICIO DIGITALIDAD Y VENTAS","Chats",IF(OR(D1641="GERENCIA INBOUND LÍNEAS SERVICIO Y VENTA",D1641="GERENCIA INBOUND LINEAS ESPECIALIZADAS"),"Llamadas","Otro")))</f>
        <v/>
      </c>
      <c r="I1641" s="23" t="str">
        <f aca="false">IF(A1641="","",IF(C1641="No encontrado","No","Sí"))</f>
        <v/>
      </c>
      <c r="J1641" s="23" t="str">
        <f aca="false">IF(A1641="","",IF(F1641="Inactivo","No","Sí"))</f>
        <v/>
      </c>
      <c r="K1641" s="23" t="str">
        <f aca="false">IF(A1641="","",IF(AND(I1641="Sí",J1641="Sí"),"Sí","No"))</f>
        <v/>
      </c>
    </row>
    <row r="1642" customFormat="false" ht="15" hidden="false" customHeight="false" outlineLevel="0" collapsed="false">
      <c r="A1642" s="22"/>
      <c r="B1642" s="22"/>
      <c r="C1642" s="26" t="str">
        <f aca="false">IF(A1642="","",IFERROR(buscarx(A1642&amp;B1642,DATA!$E$3:$E$10000&amp;DATA!$B$3:$B$10000,DATA!$M$3:$M$10000),"No encontrado"))</f>
        <v/>
      </c>
      <c r="D1642" s="27" t="str">
        <f aca="false">IF(A1642="","",IFERROR(buscarx(A1642&amp;B1642,DATA!$E$3:$E$10000&amp;DATA!$B$3:$B$10000,DATA!$W$3:$W$10000),"No encontrado"))</f>
        <v/>
      </c>
      <c r="E1642" s="22"/>
      <c r="F1642" s="26" t="str">
        <f aca="false">IF(A1642="","",IFERROR(buscarx(A1642&amp;E1642,DATA!$E$3:$E$10000&amp;DATA!$B$3:$B$10000,DATA!$M$3:$M$10000),"Inactivo"))</f>
        <v/>
      </c>
      <c r="G1642" s="28" t="str">
        <f aca="false">IF(A1642="","",IF(AND(C1642&lt;&gt;"No encontrado",F1642&lt;&gt;"Inactivo"),C1642&amp;" → "&amp;F1642,"Sin transición"))</f>
        <v/>
      </c>
      <c r="H1642" s="26" t="str">
        <f aca="false">IF(A1642="","",IF(D1642="GCIA LINEA SERVICIO DIGITALIDAD Y VENTAS","Chats",IF(OR(D1642="GERENCIA INBOUND LÍNEAS SERVICIO Y VENTA",D1642="GERENCIA INBOUND LINEAS ESPECIALIZADAS"),"Llamadas","Otro")))</f>
        <v/>
      </c>
      <c r="I1642" s="26" t="str">
        <f aca="false">IF(A1642="","",IF(C1642="No encontrado","No","Sí"))</f>
        <v/>
      </c>
      <c r="J1642" s="26" t="str">
        <f aca="false">IF(A1642="","",IF(F1642="Inactivo","No","Sí"))</f>
        <v/>
      </c>
      <c r="K1642" s="26" t="str">
        <f aca="false">IF(A1642="","",IF(AND(I1642="Sí",J1642="Sí"),"Sí","No"))</f>
        <v/>
      </c>
    </row>
    <row r="1643" customFormat="false" ht="15" hidden="false" customHeight="false" outlineLevel="0" collapsed="false">
      <c r="A1643" s="22"/>
      <c r="B1643" s="22"/>
      <c r="C1643" s="23" t="str">
        <f aca="false">IF(A1643="","",IFERROR(buscarx(A1643&amp;B1643,DATA!$E$3:$E$10000&amp;DATA!$B$3:$B$10000,DATA!$M$3:$M$10000),"No encontrado"))</f>
        <v/>
      </c>
      <c r="D1643" s="24" t="str">
        <f aca="false">IF(A1643="","",IFERROR(buscarx(A1643&amp;B1643,DATA!$E$3:$E$10000&amp;DATA!$B$3:$B$10000,DATA!$W$3:$W$10000),"No encontrado"))</f>
        <v/>
      </c>
      <c r="E1643" s="22"/>
      <c r="F1643" s="23" t="str">
        <f aca="false">IF(A1643="","",IFERROR(buscarx(A1643&amp;E1643,DATA!$E$3:$E$10000&amp;DATA!$B$3:$B$10000,DATA!$M$3:$M$10000),"Inactivo"))</f>
        <v/>
      </c>
      <c r="G1643" s="25" t="str">
        <f aca="false">IF(A1643="","",IF(AND(C1643&lt;&gt;"No encontrado",F1643&lt;&gt;"Inactivo"),C1643&amp;" → "&amp;F1643,"Sin transición"))</f>
        <v/>
      </c>
      <c r="H1643" s="23" t="str">
        <f aca="false">IF(A1643="","",IF(D1643="GCIA LINEA SERVICIO DIGITALIDAD Y VENTAS","Chats",IF(OR(D1643="GERENCIA INBOUND LÍNEAS SERVICIO Y VENTA",D1643="GERENCIA INBOUND LINEAS ESPECIALIZADAS"),"Llamadas","Otro")))</f>
        <v/>
      </c>
      <c r="I1643" s="23" t="str">
        <f aca="false">IF(A1643="","",IF(C1643="No encontrado","No","Sí"))</f>
        <v/>
      </c>
      <c r="J1643" s="23" t="str">
        <f aca="false">IF(A1643="","",IF(F1643="Inactivo","No","Sí"))</f>
        <v/>
      </c>
      <c r="K1643" s="23" t="str">
        <f aca="false">IF(A1643="","",IF(AND(I1643="Sí",J1643="Sí"),"Sí","No"))</f>
        <v/>
      </c>
    </row>
    <row r="1644" customFormat="false" ht="15" hidden="false" customHeight="false" outlineLevel="0" collapsed="false">
      <c r="A1644" s="22"/>
      <c r="B1644" s="22"/>
      <c r="C1644" s="26" t="str">
        <f aca="false">IF(A1644="","",IFERROR(buscarx(A1644&amp;B1644,DATA!$E$3:$E$10000&amp;DATA!$B$3:$B$10000,DATA!$M$3:$M$10000),"No encontrado"))</f>
        <v/>
      </c>
      <c r="D1644" s="27" t="str">
        <f aca="false">IF(A1644="","",IFERROR(buscarx(A1644&amp;B1644,DATA!$E$3:$E$10000&amp;DATA!$B$3:$B$10000,DATA!$W$3:$W$10000),"No encontrado"))</f>
        <v/>
      </c>
      <c r="E1644" s="22"/>
      <c r="F1644" s="26" t="str">
        <f aca="false">IF(A1644="","",IFERROR(buscarx(A1644&amp;E1644,DATA!$E$3:$E$10000&amp;DATA!$B$3:$B$10000,DATA!$M$3:$M$10000),"Inactivo"))</f>
        <v/>
      </c>
      <c r="G1644" s="28" t="str">
        <f aca="false">IF(A1644="","",IF(AND(C1644&lt;&gt;"No encontrado",F1644&lt;&gt;"Inactivo"),C1644&amp;" → "&amp;F1644,"Sin transición"))</f>
        <v/>
      </c>
      <c r="H1644" s="26" t="str">
        <f aca="false">IF(A1644="","",IF(D1644="GCIA LINEA SERVICIO DIGITALIDAD Y VENTAS","Chats",IF(OR(D1644="GERENCIA INBOUND LÍNEAS SERVICIO Y VENTA",D1644="GERENCIA INBOUND LINEAS ESPECIALIZADAS"),"Llamadas","Otro")))</f>
        <v/>
      </c>
      <c r="I1644" s="26" t="str">
        <f aca="false">IF(A1644="","",IF(C1644="No encontrado","No","Sí"))</f>
        <v/>
      </c>
      <c r="J1644" s="26" t="str">
        <f aca="false">IF(A1644="","",IF(F1644="Inactivo","No","Sí"))</f>
        <v/>
      </c>
      <c r="K1644" s="26" t="str">
        <f aca="false">IF(A1644="","",IF(AND(I1644="Sí",J1644="Sí"),"Sí","No"))</f>
        <v/>
      </c>
    </row>
    <row r="1645" customFormat="false" ht="15" hidden="false" customHeight="false" outlineLevel="0" collapsed="false">
      <c r="A1645" s="22"/>
      <c r="B1645" s="22"/>
      <c r="C1645" s="23" t="str">
        <f aca="false">IF(A1645="","",IFERROR(buscarx(A1645&amp;B1645,DATA!$E$3:$E$10000&amp;DATA!$B$3:$B$10000,DATA!$M$3:$M$10000),"No encontrado"))</f>
        <v/>
      </c>
      <c r="D1645" s="24" t="str">
        <f aca="false">IF(A1645="","",IFERROR(buscarx(A1645&amp;B1645,DATA!$E$3:$E$10000&amp;DATA!$B$3:$B$10000,DATA!$W$3:$W$10000),"No encontrado"))</f>
        <v/>
      </c>
      <c r="E1645" s="22"/>
      <c r="F1645" s="23" t="str">
        <f aca="false">IF(A1645="","",IFERROR(buscarx(A1645&amp;E1645,DATA!$E$3:$E$10000&amp;DATA!$B$3:$B$10000,DATA!$M$3:$M$10000),"Inactivo"))</f>
        <v/>
      </c>
      <c r="G1645" s="25" t="str">
        <f aca="false">IF(A1645="","",IF(AND(C1645&lt;&gt;"No encontrado",F1645&lt;&gt;"Inactivo"),C1645&amp;" → "&amp;F1645,"Sin transición"))</f>
        <v/>
      </c>
      <c r="H1645" s="23" t="str">
        <f aca="false">IF(A1645="","",IF(D1645="GCIA LINEA SERVICIO DIGITALIDAD Y VENTAS","Chats",IF(OR(D1645="GERENCIA INBOUND LÍNEAS SERVICIO Y VENTA",D1645="GERENCIA INBOUND LINEAS ESPECIALIZADAS"),"Llamadas","Otro")))</f>
        <v/>
      </c>
      <c r="I1645" s="23" t="str">
        <f aca="false">IF(A1645="","",IF(C1645="No encontrado","No","Sí"))</f>
        <v/>
      </c>
      <c r="J1645" s="23" t="str">
        <f aca="false">IF(A1645="","",IF(F1645="Inactivo","No","Sí"))</f>
        <v/>
      </c>
      <c r="K1645" s="23" t="str">
        <f aca="false">IF(A1645="","",IF(AND(I1645="Sí",J1645="Sí"),"Sí","No"))</f>
        <v/>
      </c>
    </row>
    <row r="1646" customFormat="false" ht="15" hidden="false" customHeight="false" outlineLevel="0" collapsed="false">
      <c r="A1646" s="22"/>
      <c r="B1646" s="22"/>
      <c r="C1646" s="26" t="str">
        <f aca="false">IF(A1646="","",IFERROR(buscarx(A1646&amp;B1646,DATA!$E$3:$E$10000&amp;DATA!$B$3:$B$10000,DATA!$M$3:$M$10000),"No encontrado"))</f>
        <v/>
      </c>
      <c r="D1646" s="27" t="str">
        <f aca="false">IF(A1646="","",IFERROR(buscarx(A1646&amp;B1646,DATA!$E$3:$E$10000&amp;DATA!$B$3:$B$10000,DATA!$W$3:$W$10000),"No encontrado"))</f>
        <v/>
      </c>
      <c r="E1646" s="22"/>
      <c r="F1646" s="26" t="str">
        <f aca="false">IF(A1646="","",IFERROR(buscarx(A1646&amp;E1646,DATA!$E$3:$E$10000&amp;DATA!$B$3:$B$10000,DATA!$M$3:$M$10000),"Inactivo"))</f>
        <v/>
      </c>
      <c r="G1646" s="28" t="str">
        <f aca="false">IF(A1646="","",IF(AND(C1646&lt;&gt;"No encontrado",F1646&lt;&gt;"Inactivo"),C1646&amp;" → "&amp;F1646,"Sin transición"))</f>
        <v/>
      </c>
      <c r="H1646" s="26" t="str">
        <f aca="false">IF(A1646="","",IF(D1646="GCIA LINEA SERVICIO DIGITALIDAD Y VENTAS","Chats",IF(OR(D1646="GERENCIA INBOUND LÍNEAS SERVICIO Y VENTA",D1646="GERENCIA INBOUND LINEAS ESPECIALIZADAS"),"Llamadas","Otro")))</f>
        <v/>
      </c>
      <c r="I1646" s="26" t="str">
        <f aca="false">IF(A1646="","",IF(C1646="No encontrado","No","Sí"))</f>
        <v/>
      </c>
      <c r="J1646" s="26" t="str">
        <f aca="false">IF(A1646="","",IF(F1646="Inactivo","No","Sí"))</f>
        <v/>
      </c>
      <c r="K1646" s="26" t="str">
        <f aca="false">IF(A1646="","",IF(AND(I1646="Sí",J1646="Sí"),"Sí","No"))</f>
        <v/>
      </c>
    </row>
    <row r="1647" customFormat="false" ht="15" hidden="false" customHeight="false" outlineLevel="0" collapsed="false">
      <c r="A1647" s="22"/>
      <c r="B1647" s="22"/>
      <c r="C1647" s="23" t="str">
        <f aca="false">IF(A1647="","",IFERROR(buscarx(A1647&amp;B1647,DATA!$E$3:$E$10000&amp;DATA!$B$3:$B$10000,DATA!$M$3:$M$10000),"No encontrado"))</f>
        <v/>
      </c>
      <c r="D1647" s="24" t="str">
        <f aca="false">IF(A1647="","",IFERROR(buscarx(A1647&amp;B1647,DATA!$E$3:$E$10000&amp;DATA!$B$3:$B$10000,DATA!$W$3:$W$10000),"No encontrado"))</f>
        <v/>
      </c>
      <c r="E1647" s="22"/>
      <c r="F1647" s="23" t="str">
        <f aca="false">IF(A1647="","",IFERROR(buscarx(A1647&amp;E1647,DATA!$E$3:$E$10000&amp;DATA!$B$3:$B$10000,DATA!$M$3:$M$10000),"Inactivo"))</f>
        <v/>
      </c>
      <c r="G1647" s="25" t="str">
        <f aca="false">IF(A1647="","",IF(AND(C1647&lt;&gt;"No encontrado",F1647&lt;&gt;"Inactivo"),C1647&amp;" → "&amp;F1647,"Sin transición"))</f>
        <v/>
      </c>
      <c r="H1647" s="23" t="str">
        <f aca="false">IF(A1647="","",IF(D1647="GCIA LINEA SERVICIO DIGITALIDAD Y VENTAS","Chats",IF(OR(D1647="GERENCIA INBOUND LÍNEAS SERVICIO Y VENTA",D1647="GERENCIA INBOUND LINEAS ESPECIALIZADAS"),"Llamadas","Otro")))</f>
        <v/>
      </c>
      <c r="I1647" s="23" t="str">
        <f aca="false">IF(A1647="","",IF(C1647="No encontrado","No","Sí"))</f>
        <v/>
      </c>
      <c r="J1647" s="23" t="str">
        <f aca="false">IF(A1647="","",IF(F1647="Inactivo","No","Sí"))</f>
        <v/>
      </c>
      <c r="K1647" s="23" t="str">
        <f aca="false">IF(A1647="","",IF(AND(I1647="Sí",J1647="Sí"),"Sí","No"))</f>
        <v/>
      </c>
    </row>
    <row r="1648" customFormat="false" ht="15" hidden="false" customHeight="false" outlineLevel="0" collapsed="false">
      <c r="A1648" s="22"/>
      <c r="B1648" s="22"/>
      <c r="C1648" s="26" t="str">
        <f aca="false">IF(A1648="","",IFERROR(buscarx(A1648&amp;B1648,DATA!$E$3:$E$10000&amp;DATA!$B$3:$B$10000,DATA!$M$3:$M$10000),"No encontrado"))</f>
        <v/>
      </c>
      <c r="D1648" s="27" t="str">
        <f aca="false">IF(A1648="","",IFERROR(buscarx(A1648&amp;B1648,DATA!$E$3:$E$10000&amp;DATA!$B$3:$B$10000,DATA!$W$3:$W$10000),"No encontrado"))</f>
        <v/>
      </c>
      <c r="E1648" s="22"/>
      <c r="F1648" s="26" t="str">
        <f aca="false">IF(A1648="","",IFERROR(buscarx(A1648&amp;E1648,DATA!$E$3:$E$10000&amp;DATA!$B$3:$B$10000,DATA!$M$3:$M$10000),"Inactivo"))</f>
        <v/>
      </c>
      <c r="G1648" s="28" t="str">
        <f aca="false">IF(A1648="","",IF(AND(C1648&lt;&gt;"No encontrado",F1648&lt;&gt;"Inactivo"),C1648&amp;" → "&amp;F1648,"Sin transición"))</f>
        <v/>
      </c>
      <c r="H1648" s="26" t="str">
        <f aca="false">IF(A1648="","",IF(D1648="GCIA LINEA SERVICIO DIGITALIDAD Y VENTAS","Chats",IF(OR(D1648="GERENCIA INBOUND LÍNEAS SERVICIO Y VENTA",D1648="GERENCIA INBOUND LINEAS ESPECIALIZADAS"),"Llamadas","Otro")))</f>
        <v/>
      </c>
      <c r="I1648" s="26" t="str">
        <f aca="false">IF(A1648="","",IF(C1648="No encontrado","No","Sí"))</f>
        <v/>
      </c>
      <c r="J1648" s="26" t="str">
        <f aca="false">IF(A1648="","",IF(F1648="Inactivo","No","Sí"))</f>
        <v/>
      </c>
      <c r="K1648" s="26" t="str">
        <f aca="false">IF(A1648="","",IF(AND(I1648="Sí",J1648="Sí"),"Sí","No"))</f>
        <v/>
      </c>
    </row>
    <row r="1649" customFormat="false" ht="15" hidden="false" customHeight="false" outlineLevel="0" collapsed="false">
      <c r="A1649" s="22"/>
      <c r="B1649" s="22"/>
      <c r="C1649" s="23" t="str">
        <f aca="false">IF(A1649="","",IFERROR(buscarx(A1649&amp;B1649,DATA!$E$3:$E$10000&amp;DATA!$B$3:$B$10000,DATA!$M$3:$M$10000),"No encontrado"))</f>
        <v/>
      </c>
      <c r="D1649" s="24" t="str">
        <f aca="false">IF(A1649="","",IFERROR(buscarx(A1649&amp;B1649,DATA!$E$3:$E$10000&amp;DATA!$B$3:$B$10000,DATA!$W$3:$W$10000),"No encontrado"))</f>
        <v/>
      </c>
      <c r="E1649" s="22"/>
      <c r="F1649" s="23" t="str">
        <f aca="false">IF(A1649="","",IFERROR(buscarx(A1649&amp;E1649,DATA!$E$3:$E$10000&amp;DATA!$B$3:$B$10000,DATA!$M$3:$M$10000),"Inactivo"))</f>
        <v/>
      </c>
      <c r="G1649" s="25" t="str">
        <f aca="false">IF(A1649="","",IF(AND(C1649&lt;&gt;"No encontrado",F1649&lt;&gt;"Inactivo"),C1649&amp;" → "&amp;F1649,"Sin transición"))</f>
        <v/>
      </c>
      <c r="H1649" s="23" t="str">
        <f aca="false">IF(A1649="","",IF(D1649="GCIA LINEA SERVICIO DIGITALIDAD Y VENTAS","Chats",IF(OR(D1649="GERENCIA INBOUND LÍNEAS SERVICIO Y VENTA",D1649="GERENCIA INBOUND LINEAS ESPECIALIZADAS"),"Llamadas","Otro")))</f>
        <v/>
      </c>
      <c r="I1649" s="23" t="str">
        <f aca="false">IF(A1649="","",IF(C1649="No encontrado","No","Sí"))</f>
        <v/>
      </c>
      <c r="J1649" s="23" t="str">
        <f aca="false">IF(A1649="","",IF(F1649="Inactivo","No","Sí"))</f>
        <v/>
      </c>
      <c r="K1649" s="23" t="str">
        <f aca="false">IF(A1649="","",IF(AND(I1649="Sí",J1649="Sí"),"Sí","No"))</f>
        <v/>
      </c>
    </row>
    <row r="1650" customFormat="false" ht="15" hidden="false" customHeight="false" outlineLevel="0" collapsed="false">
      <c r="A1650" s="22"/>
      <c r="B1650" s="22"/>
      <c r="C1650" s="26" t="str">
        <f aca="false">IF(A1650="","",IFERROR(buscarx(A1650&amp;B1650,DATA!$E$3:$E$10000&amp;DATA!$B$3:$B$10000,DATA!$M$3:$M$10000),"No encontrado"))</f>
        <v/>
      </c>
      <c r="D1650" s="27" t="str">
        <f aca="false">IF(A1650="","",IFERROR(buscarx(A1650&amp;B1650,DATA!$E$3:$E$10000&amp;DATA!$B$3:$B$10000,DATA!$W$3:$W$10000),"No encontrado"))</f>
        <v/>
      </c>
      <c r="E1650" s="22"/>
      <c r="F1650" s="26" t="str">
        <f aca="false">IF(A1650="","",IFERROR(buscarx(A1650&amp;E1650,DATA!$E$3:$E$10000&amp;DATA!$B$3:$B$10000,DATA!$M$3:$M$10000),"Inactivo"))</f>
        <v/>
      </c>
      <c r="G1650" s="28" t="str">
        <f aca="false">IF(A1650="","",IF(AND(C1650&lt;&gt;"No encontrado",F1650&lt;&gt;"Inactivo"),C1650&amp;" → "&amp;F1650,"Sin transición"))</f>
        <v/>
      </c>
      <c r="H1650" s="26" t="str">
        <f aca="false">IF(A1650="","",IF(D1650="GCIA LINEA SERVICIO DIGITALIDAD Y VENTAS","Chats",IF(OR(D1650="GERENCIA INBOUND LÍNEAS SERVICIO Y VENTA",D1650="GERENCIA INBOUND LINEAS ESPECIALIZADAS"),"Llamadas","Otro")))</f>
        <v/>
      </c>
      <c r="I1650" s="26" t="str">
        <f aca="false">IF(A1650="","",IF(C1650="No encontrado","No","Sí"))</f>
        <v/>
      </c>
      <c r="J1650" s="26" t="str">
        <f aca="false">IF(A1650="","",IF(F1650="Inactivo","No","Sí"))</f>
        <v/>
      </c>
      <c r="K1650" s="26" t="str">
        <f aca="false">IF(A1650="","",IF(AND(I1650="Sí",J1650="Sí"),"Sí","No"))</f>
        <v/>
      </c>
    </row>
    <row r="1651" customFormat="false" ht="15" hidden="false" customHeight="false" outlineLevel="0" collapsed="false">
      <c r="A1651" s="22"/>
      <c r="B1651" s="22"/>
      <c r="C1651" s="23" t="str">
        <f aca="false">IF(A1651="","",IFERROR(buscarx(A1651&amp;B1651,DATA!$E$3:$E$10000&amp;DATA!$B$3:$B$10000,DATA!$M$3:$M$10000),"No encontrado"))</f>
        <v/>
      </c>
      <c r="D1651" s="24" t="str">
        <f aca="false">IF(A1651="","",IFERROR(buscarx(A1651&amp;B1651,DATA!$E$3:$E$10000&amp;DATA!$B$3:$B$10000,DATA!$W$3:$W$10000),"No encontrado"))</f>
        <v/>
      </c>
      <c r="E1651" s="22"/>
      <c r="F1651" s="23" t="str">
        <f aca="false">IF(A1651="","",IFERROR(buscarx(A1651&amp;E1651,DATA!$E$3:$E$10000&amp;DATA!$B$3:$B$10000,DATA!$M$3:$M$10000),"Inactivo"))</f>
        <v/>
      </c>
      <c r="G1651" s="25" t="str">
        <f aca="false">IF(A1651="","",IF(AND(C1651&lt;&gt;"No encontrado",F1651&lt;&gt;"Inactivo"),C1651&amp;" → "&amp;F1651,"Sin transición"))</f>
        <v/>
      </c>
      <c r="H1651" s="23" t="str">
        <f aca="false">IF(A1651="","",IF(D1651="GCIA LINEA SERVICIO DIGITALIDAD Y VENTAS","Chats",IF(OR(D1651="GERENCIA INBOUND LÍNEAS SERVICIO Y VENTA",D1651="GERENCIA INBOUND LINEAS ESPECIALIZADAS"),"Llamadas","Otro")))</f>
        <v/>
      </c>
      <c r="I1651" s="23" t="str">
        <f aca="false">IF(A1651="","",IF(C1651="No encontrado","No","Sí"))</f>
        <v/>
      </c>
      <c r="J1651" s="23" t="str">
        <f aca="false">IF(A1651="","",IF(F1651="Inactivo","No","Sí"))</f>
        <v/>
      </c>
      <c r="K1651" s="23" t="str">
        <f aca="false">IF(A1651="","",IF(AND(I1651="Sí",J1651="Sí"),"Sí","No"))</f>
        <v/>
      </c>
    </row>
    <row r="1652" customFormat="false" ht="15" hidden="false" customHeight="false" outlineLevel="0" collapsed="false">
      <c r="A1652" s="22"/>
      <c r="B1652" s="22"/>
      <c r="C1652" s="26" t="str">
        <f aca="false">IF(A1652="","",IFERROR(buscarx(A1652&amp;B1652,DATA!$E$3:$E$10000&amp;DATA!$B$3:$B$10000,DATA!$M$3:$M$10000),"No encontrado"))</f>
        <v/>
      </c>
      <c r="D1652" s="27" t="str">
        <f aca="false">IF(A1652="","",IFERROR(buscarx(A1652&amp;B1652,DATA!$E$3:$E$10000&amp;DATA!$B$3:$B$10000,DATA!$W$3:$W$10000),"No encontrado"))</f>
        <v/>
      </c>
      <c r="E1652" s="22"/>
      <c r="F1652" s="26" t="str">
        <f aca="false">IF(A1652="","",IFERROR(buscarx(A1652&amp;E1652,DATA!$E$3:$E$10000&amp;DATA!$B$3:$B$10000,DATA!$M$3:$M$10000),"Inactivo"))</f>
        <v/>
      </c>
      <c r="G1652" s="28" t="str">
        <f aca="false">IF(A1652="","",IF(AND(C1652&lt;&gt;"No encontrado",F1652&lt;&gt;"Inactivo"),C1652&amp;" → "&amp;F1652,"Sin transición"))</f>
        <v/>
      </c>
      <c r="H1652" s="26" t="str">
        <f aca="false">IF(A1652="","",IF(D1652="GCIA LINEA SERVICIO DIGITALIDAD Y VENTAS","Chats",IF(OR(D1652="GERENCIA INBOUND LÍNEAS SERVICIO Y VENTA",D1652="GERENCIA INBOUND LINEAS ESPECIALIZADAS"),"Llamadas","Otro")))</f>
        <v/>
      </c>
      <c r="I1652" s="26" t="str">
        <f aca="false">IF(A1652="","",IF(C1652="No encontrado","No","Sí"))</f>
        <v/>
      </c>
      <c r="J1652" s="26" t="str">
        <f aca="false">IF(A1652="","",IF(F1652="Inactivo","No","Sí"))</f>
        <v/>
      </c>
      <c r="K1652" s="26" t="str">
        <f aca="false">IF(A1652="","",IF(AND(I1652="Sí",J1652="Sí"),"Sí","No"))</f>
        <v/>
      </c>
    </row>
    <row r="1653" customFormat="false" ht="15" hidden="false" customHeight="false" outlineLevel="0" collapsed="false">
      <c r="A1653" s="22"/>
      <c r="B1653" s="22"/>
      <c r="C1653" s="23" t="str">
        <f aca="false">IF(A1653="","",IFERROR(buscarx(A1653&amp;B1653,DATA!$E$3:$E$10000&amp;DATA!$B$3:$B$10000,DATA!$M$3:$M$10000),"No encontrado"))</f>
        <v/>
      </c>
      <c r="D1653" s="24" t="str">
        <f aca="false">IF(A1653="","",IFERROR(buscarx(A1653&amp;B1653,DATA!$E$3:$E$10000&amp;DATA!$B$3:$B$10000,DATA!$W$3:$W$10000),"No encontrado"))</f>
        <v/>
      </c>
      <c r="E1653" s="22"/>
      <c r="F1653" s="23" t="str">
        <f aca="false">IF(A1653="","",IFERROR(buscarx(A1653&amp;E1653,DATA!$E$3:$E$10000&amp;DATA!$B$3:$B$10000,DATA!$M$3:$M$10000),"Inactivo"))</f>
        <v/>
      </c>
      <c r="G1653" s="25" t="str">
        <f aca="false">IF(A1653="","",IF(AND(C1653&lt;&gt;"No encontrado",F1653&lt;&gt;"Inactivo"),C1653&amp;" → "&amp;F1653,"Sin transición"))</f>
        <v/>
      </c>
      <c r="H1653" s="23" t="str">
        <f aca="false">IF(A1653="","",IF(D1653="GCIA LINEA SERVICIO DIGITALIDAD Y VENTAS","Chats",IF(OR(D1653="GERENCIA INBOUND LÍNEAS SERVICIO Y VENTA",D1653="GERENCIA INBOUND LINEAS ESPECIALIZADAS"),"Llamadas","Otro")))</f>
        <v/>
      </c>
      <c r="I1653" s="23" t="str">
        <f aca="false">IF(A1653="","",IF(C1653="No encontrado","No","Sí"))</f>
        <v/>
      </c>
      <c r="J1653" s="23" t="str">
        <f aca="false">IF(A1653="","",IF(F1653="Inactivo","No","Sí"))</f>
        <v/>
      </c>
      <c r="K1653" s="23" t="str">
        <f aca="false">IF(A1653="","",IF(AND(I1653="Sí",J1653="Sí"),"Sí","No"))</f>
        <v/>
      </c>
    </row>
    <row r="1654" customFormat="false" ht="15" hidden="false" customHeight="false" outlineLevel="0" collapsed="false">
      <c r="A1654" s="22"/>
      <c r="B1654" s="22"/>
      <c r="C1654" s="26" t="str">
        <f aca="false">IF(A1654="","",IFERROR(buscarx(A1654&amp;B1654,DATA!$E$3:$E$10000&amp;DATA!$B$3:$B$10000,DATA!$M$3:$M$10000),"No encontrado"))</f>
        <v/>
      </c>
      <c r="D1654" s="27" t="str">
        <f aca="false">IF(A1654="","",IFERROR(buscarx(A1654&amp;B1654,DATA!$E$3:$E$10000&amp;DATA!$B$3:$B$10000,DATA!$W$3:$W$10000),"No encontrado"))</f>
        <v/>
      </c>
      <c r="E1654" s="22"/>
      <c r="F1654" s="26" t="str">
        <f aca="false">IF(A1654="","",IFERROR(buscarx(A1654&amp;E1654,DATA!$E$3:$E$10000&amp;DATA!$B$3:$B$10000,DATA!$M$3:$M$10000),"Inactivo"))</f>
        <v/>
      </c>
      <c r="G1654" s="28" t="str">
        <f aca="false">IF(A1654="","",IF(AND(C1654&lt;&gt;"No encontrado",F1654&lt;&gt;"Inactivo"),C1654&amp;" → "&amp;F1654,"Sin transición"))</f>
        <v/>
      </c>
      <c r="H1654" s="26" t="str">
        <f aca="false">IF(A1654="","",IF(D1654="GCIA LINEA SERVICIO DIGITALIDAD Y VENTAS","Chats",IF(OR(D1654="GERENCIA INBOUND LÍNEAS SERVICIO Y VENTA",D1654="GERENCIA INBOUND LINEAS ESPECIALIZADAS"),"Llamadas","Otro")))</f>
        <v/>
      </c>
      <c r="I1654" s="26" t="str">
        <f aca="false">IF(A1654="","",IF(C1654="No encontrado","No","Sí"))</f>
        <v/>
      </c>
      <c r="J1654" s="26" t="str">
        <f aca="false">IF(A1654="","",IF(F1654="Inactivo","No","Sí"))</f>
        <v/>
      </c>
      <c r="K1654" s="26" t="str">
        <f aca="false">IF(A1654="","",IF(AND(I1654="Sí",J1654="Sí"),"Sí","No"))</f>
        <v/>
      </c>
    </row>
    <row r="1655" customFormat="false" ht="15" hidden="false" customHeight="false" outlineLevel="0" collapsed="false">
      <c r="A1655" s="22"/>
      <c r="B1655" s="22"/>
      <c r="C1655" s="23" t="str">
        <f aca="false">IF(A1655="","",IFERROR(buscarx(A1655&amp;B1655,DATA!$E$3:$E$10000&amp;DATA!$B$3:$B$10000,DATA!$M$3:$M$10000),"No encontrado"))</f>
        <v/>
      </c>
      <c r="D1655" s="24" t="str">
        <f aca="false">IF(A1655="","",IFERROR(buscarx(A1655&amp;B1655,DATA!$E$3:$E$10000&amp;DATA!$B$3:$B$10000,DATA!$W$3:$W$10000),"No encontrado"))</f>
        <v/>
      </c>
      <c r="E1655" s="22"/>
      <c r="F1655" s="23" t="str">
        <f aca="false">IF(A1655="","",IFERROR(buscarx(A1655&amp;E1655,DATA!$E$3:$E$10000&amp;DATA!$B$3:$B$10000,DATA!$M$3:$M$10000),"Inactivo"))</f>
        <v/>
      </c>
      <c r="G1655" s="25" t="str">
        <f aca="false">IF(A1655="","",IF(AND(C1655&lt;&gt;"No encontrado",F1655&lt;&gt;"Inactivo"),C1655&amp;" → "&amp;F1655,"Sin transición"))</f>
        <v/>
      </c>
      <c r="H1655" s="23" t="str">
        <f aca="false">IF(A1655="","",IF(D1655="GCIA LINEA SERVICIO DIGITALIDAD Y VENTAS","Chats",IF(OR(D1655="GERENCIA INBOUND LÍNEAS SERVICIO Y VENTA",D1655="GERENCIA INBOUND LINEAS ESPECIALIZADAS"),"Llamadas","Otro")))</f>
        <v/>
      </c>
      <c r="I1655" s="23" t="str">
        <f aca="false">IF(A1655="","",IF(C1655="No encontrado","No","Sí"))</f>
        <v/>
      </c>
      <c r="J1655" s="23" t="str">
        <f aca="false">IF(A1655="","",IF(F1655="Inactivo","No","Sí"))</f>
        <v/>
      </c>
      <c r="K1655" s="23" t="str">
        <f aca="false">IF(A1655="","",IF(AND(I1655="Sí",J1655="Sí"),"Sí","No"))</f>
        <v/>
      </c>
    </row>
    <row r="1656" customFormat="false" ht="15" hidden="false" customHeight="false" outlineLevel="0" collapsed="false">
      <c r="A1656" s="22"/>
      <c r="B1656" s="22"/>
      <c r="C1656" s="26" t="str">
        <f aca="false">IF(A1656="","",IFERROR(buscarx(A1656&amp;B1656,DATA!$E$3:$E$10000&amp;DATA!$B$3:$B$10000,DATA!$M$3:$M$10000),"No encontrado"))</f>
        <v/>
      </c>
      <c r="D1656" s="27" t="str">
        <f aca="false">IF(A1656="","",IFERROR(buscarx(A1656&amp;B1656,DATA!$E$3:$E$10000&amp;DATA!$B$3:$B$10000,DATA!$W$3:$W$10000),"No encontrado"))</f>
        <v/>
      </c>
      <c r="E1656" s="22"/>
      <c r="F1656" s="26" t="str">
        <f aca="false">IF(A1656="","",IFERROR(buscarx(A1656&amp;E1656,DATA!$E$3:$E$10000&amp;DATA!$B$3:$B$10000,DATA!$M$3:$M$10000),"Inactivo"))</f>
        <v/>
      </c>
      <c r="G1656" s="28" t="str">
        <f aca="false">IF(A1656="","",IF(AND(C1656&lt;&gt;"No encontrado",F1656&lt;&gt;"Inactivo"),C1656&amp;" → "&amp;F1656,"Sin transición"))</f>
        <v/>
      </c>
      <c r="H1656" s="26" t="str">
        <f aca="false">IF(A1656="","",IF(D1656="GCIA LINEA SERVICIO DIGITALIDAD Y VENTAS","Chats",IF(OR(D1656="GERENCIA INBOUND LÍNEAS SERVICIO Y VENTA",D1656="GERENCIA INBOUND LINEAS ESPECIALIZADAS"),"Llamadas","Otro")))</f>
        <v/>
      </c>
      <c r="I1656" s="26" t="str">
        <f aca="false">IF(A1656="","",IF(C1656="No encontrado","No","Sí"))</f>
        <v/>
      </c>
      <c r="J1656" s="26" t="str">
        <f aca="false">IF(A1656="","",IF(F1656="Inactivo","No","Sí"))</f>
        <v/>
      </c>
      <c r="K1656" s="26" t="str">
        <f aca="false">IF(A1656="","",IF(AND(I1656="Sí",J1656="Sí"),"Sí","No"))</f>
        <v/>
      </c>
    </row>
    <row r="1657" customFormat="false" ht="15" hidden="false" customHeight="false" outlineLevel="0" collapsed="false">
      <c r="A1657" s="22"/>
      <c r="B1657" s="22"/>
      <c r="C1657" s="23" t="str">
        <f aca="false">IF(A1657="","",IFERROR(buscarx(A1657&amp;B1657,DATA!$E$3:$E$10000&amp;DATA!$B$3:$B$10000,DATA!$M$3:$M$10000),"No encontrado"))</f>
        <v/>
      </c>
      <c r="D1657" s="24" t="str">
        <f aca="false">IF(A1657="","",IFERROR(buscarx(A1657&amp;B1657,DATA!$E$3:$E$10000&amp;DATA!$B$3:$B$10000,DATA!$W$3:$W$10000),"No encontrado"))</f>
        <v/>
      </c>
      <c r="E1657" s="22"/>
      <c r="F1657" s="23" t="str">
        <f aca="false">IF(A1657="","",IFERROR(buscarx(A1657&amp;E1657,DATA!$E$3:$E$10000&amp;DATA!$B$3:$B$10000,DATA!$M$3:$M$10000),"Inactivo"))</f>
        <v/>
      </c>
      <c r="G1657" s="25" t="str">
        <f aca="false">IF(A1657="","",IF(AND(C1657&lt;&gt;"No encontrado",F1657&lt;&gt;"Inactivo"),C1657&amp;" → "&amp;F1657,"Sin transición"))</f>
        <v/>
      </c>
      <c r="H1657" s="23" t="str">
        <f aca="false">IF(A1657="","",IF(D1657="GCIA LINEA SERVICIO DIGITALIDAD Y VENTAS","Chats",IF(OR(D1657="GERENCIA INBOUND LÍNEAS SERVICIO Y VENTA",D1657="GERENCIA INBOUND LINEAS ESPECIALIZADAS"),"Llamadas","Otro")))</f>
        <v/>
      </c>
      <c r="I1657" s="23" t="str">
        <f aca="false">IF(A1657="","",IF(C1657="No encontrado","No","Sí"))</f>
        <v/>
      </c>
      <c r="J1657" s="23" t="str">
        <f aca="false">IF(A1657="","",IF(F1657="Inactivo","No","Sí"))</f>
        <v/>
      </c>
      <c r="K1657" s="23" t="str">
        <f aca="false">IF(A1657="","",IF(AND(I1657="Sí",J1657="Sí"),"Sí","No"))</f>
        <v/>
      </c>
    </row>
    <row r="1658" customFormat="false" ht="15" hidden="false" customHeight="false" outlineLevel="0" collapsed="false">
      <c r="A1658" s="22"/>
      <c r="B1658" s="22"/>
      <c r="C1658" s="26" t="str">
        <f aca="false">IF(A1658="","",IFERROR(buscarx(A1658&amp;B1658,DATA!$E$3:$E$10000&amp;DATA!$B$3:$B$10000,DATA!$M$3:$M$10000),"No encontrado"))</f>
        <v/>
      </c>
      <c r="D1658" s="27" t="str">
        <f aca="false">IF(A1658="","",IFERROR(buscarx(A1658&amp;B1658,DATA!$E$3:$E$10000&amp;DATA!$B$3:$B$10000,DATA!$W$3:$W$10000),"No encontrado"))</f>
        <v/>
      </c>
      <c r="E1658" s="22"/>
      <c r="F1658" s="26" t="str">
        <f aca="false">IF(A1658="","",IFERROR(buscarx(A1658&amp;E1658,DATA!$E$3:$E$10000&amp;DATA!$B$3:$B$10000,DATA!$M$3:$M$10000),"Inactivo"))</f>
        <v/>
      </c>
      <c r="G1658" s="28" t="str">
        <f aca="false">IF(A1658="","",IF(AND(C1658&lt;&gt;"No encontrado",F1658&lt;&gt;"Inactivo"),C1658&amp;" → "&amp;F1658,"Sin transición"))</f>
        <v/>
      </c>
      <c r="H1658" s="26" t="str">
        <f aca="false">IF(A1658="","",IF(D1658="GCIA LINEA SERVICIO DIGITALIDAD Y VENTAS","Chats",IF(OR(D1658="GERENCIA INBOUND LÍNEAS SERVICIO Y VENTA",D1658="GERENCIA INBOUND LINEAS ESPECIALIZADAS"),"Llamadas","Otro")))</f>
        <v/>
      </c>
      <c r="I1658" s="26" t="str">
        <f aca="false">IF(A1658="","",IF(C1658="No encontrado","No","Sí"))</f>
        <v/>
      </c>
      <c r="J1658" s="26" t="str">
        <f aca="false">IF(A1658="","",IF(F1658="Inactivo","No","Sí"))</f>
        <v/>
      </c>
      <c r="K1658" s="26" t="str">
        <f aca="false">IF(A1658="","",IF(AND(I1658="Sí",J1658="Sí"),"Sí","No"))</f>
        <v/>
      </c>
    </row>
    <row r="1659" customFormat="false" ht="15" hidden="false" customHeight="false" outlineLevel="0" collapsed="false">
      <c r="A1659" s="22"/>
      <c r="B1659" s="22"/>
      <c r="C1659" s="23" t="str">
        <f aca="false">IF(A1659="","",IFERROR(buscarx(A1659&amp;B1659,DATA!$E$3:$E$10000&amp;DATA!$B$3:$B$10000,DATA!$M$3:$M$10000),"No encontrado"))</f>
        <v/>
      </c>
      <c r="D1659" s="24" t="str">
        <f aca="false">IF(A1659="","",IFERROR(buscarx(A1659&amp;B1659,DATA!$E$3:$E$10000&amp;DATA!$B$3:$B$10000,DATA!$W$3:$W$10000),"No encontrado"))</f>
        <v/>
      </c>
      <c r="E1659" s="22"/>
      <c r="F1659" s="23" t="str">
        <f aca="false">IF(A1659="","",IFERROR(buscarx(A1659&amp;E1659,DATA!$E$3:$E$10000&amp;DATA!$B$3:$B$10000,DATA!$M$3:$M$10000),"Inactivo"))</f>
        <v/>
      </c>
      <c r="G1659" s="25" t="str">
        <f aca="false">IF(A1659="","",IF(AND(C1659&lt;&gt;"No encontrado",F1659&lt;&gt;"Inactivo"),C1659&amp;" → "&amp;F1659,"Sin transición"))</f>
        <v/>
      </c>
      <c r="H1659" s="23" t="str">
        <f aca="false">IF(A1659="","",IF(D1659="GCIA LINEA SERVICIO DIGITALIDAD Y VENTAS","Chats",IF(OR(D1659="GERENCIA INBOUND LÍNEAS SERVICIO Y VENTA",D1659="GERENCIA INBOUND LINEAS ESPECIALIZADAS"),"Llamadas","Otro")))</f>
        <v/>
      </c>
      <c r="I1659" s="23" t="str">
        <f aca="false">IF(A1659="","",IF(C1659="No encontrado","No","Sí"))</f>
        <v/>
      </c>
      <c r="J1659" s="23" t="str">
        <f aca="false">IF(A1659="","",IF(F1659="Inactivo","No","Sí"))</f>
        <v/>
      </c>
      <c r="K1659" s="23" t="str">
        <f aca="false">IF(A1659="","",IF(AND(I1659="Sí",J1659="Sí"),"Sí","No"))</f>
        <v/>
      </c>
    </row>
    <row r="1660" customFormat="false" ht="15" hidden="false" customHeight="false" outlineLevel="0" collapsed="false">
      <c r="A1660" s="22"/>
      <c r="B1660" s="22"/>
      <c r="C1660" s="26" t="str">
        <f aca="false">IF(A1660="","",IFERROR(buscarx(A1660&amp;B1660,DATA!$E$3:$E$10000&amp;DATA!$B$3:$B$10000,DATA!$M$3:$M$10000),"No encontrado"))</f>
        <v/>
      </c>
      <c r="D1660" s="27" t="str">
        <f aca="false">IF(A1660="","",IFERROR(buscarx(A1660&amp;B1660,DATA!$E$3:$E$10000&amp;DATA!$B$3:$B$10000,DATA!$W$3:$W$10000),"No encontrado"))</f>
        <v/>
      </c>
      <c r="E1660" s="22"/>
      <c r="F1660" s="26" t="str">
        <f aca="false">IF(A1660="","",IFERROR(buscarx(A1660&amp;E1660,DATA!$E$3:$E$10000&amp;DATA!$B$3:$B$10000,DATA!$M$3:$M$10000),"Inactivo"))</f>
        <v/>
      </c>
      <c r="G1660" s="28" t="str">
        <f aca="false">IF(A1660="","",IF(AND(C1660&lt;&gt;"No encontrado",F1660&lt;&gt;"Inactivo"),C1660&amp;" → "&amp;F1660,"Sin transición"))</f>
        <v/>
      </c>
      <c r="H1660" s="26" t="str">
        <f aca="false">IF(A1660="","",IF(D1660="GCIA LINEA SERVICIO DIGITALIDAD Y VENTAS","Chats",IF(OR(D1660="GERENCIA INBOUND LÍNEAS SERVICIO Y VENTA",D1660="GERENCIA INBOUND LINEAS ESPECIALIZADAS"),"Llamadas","Otro")))</f>
        <v/>
      </c>
      <c r="I1660" s="26" t="str">
        <f aca="false">IF(A1660="","",IF(C1660="No encontrado","No","Sí"))</f>
        <v/>
      </c>
      <c r="J1660" s="26" t="str">
        <f aca="false">IF(A1660="","",IF(F1660="Inactivo","No","Sí"))</f>
        <v/>
      </c>
      <c r="K1660" s="26" t="str">
        <f aca="false">IF(A1660="","",IF(AND(I1660="Sí",J1660="Sí"),"Sí","No"))</f>
        <v/>
      </c>
    </row>
    <row r="1661" customFormat="false" ht="15" hidden="false" customHeight="false" outlineLevel="0" collapsed="false">
      <c r="A1661" s="22"/>
      <c r="B1661" s="22"/>
      <c r="C1661" s="23" t="str">
        <f aca="false">IF(A1661="","",IFERROR(buscarx(A1661&amp;B1661,DATA!$E$3:$E$10000&amp;DATA!$B$3:$B$10000,DATA!$M$3:$M$10000),"No encontrado"))</f>
        <v/>
      </c>
      <c r="D1661" s="24" t="str">
        <f aca="false">IF(A1661="","",IFERROR(buscarx(A1661&amp;B1661,DATA!$E$3:$E$10000&amp;DATA!$B$3:$B$10000,DATA!$W$3:$W$10000),"No encontrado"))</f>
        <v/>
      </c>
      <c r="E1661" s="22"/>
      <c r="F1661" s="23" t="str">
        <f aca="false">IF(A1661="","",IFERROR(buscarx(A1661&amp;E1661,DATA!$E$3:$E$10000&amp;DATA!$B$3:$B$10000,DATA!$M$3:$M$10000),"Inactivo"))</f>
        <v/>
      </c>
      <c r="G1661" s="25" t="str">
        <f aca="false">IF(A1661="","",IF(AND(C1661&lt;&gt;"No encontrado",F1661&lt;&gt;"Inactivo"),C1661&amp;" → "&amp;F1661,"Sin transición"))</f>
        <v/>
      </c>
      <c r="H1661" s="23" t="str">
        <f aca="false">IF(A1661="","",IF(D1661="GCIA LINEA SERVICIO DIGITALIDAD Y VENTAS","Chats",IF(OR(D1661="GERENCIA INBOUND LÍNEAS SERVICIO Y VENTA",D1661="GERENCIA INBOUND LINEAS ESPECIALIZADAS"),"Llamadas","Otro")))</f>
        <v/>
      </c>
      <c r="I1661" s="23" t="str">
        <f aca="false">IF(A1661="","",IF(C1661="No encontrado","No","Sí"))</f>
        <v/>
      </c>
      <c r="J1661" s="23" t="str">
        <f aca="false">IF(A1661="","",IF(F1661="Inactivo","No","Sí"))</f>
        <v/>
      </c>
      <c r="K1661" s="23" t="str">
        <f aca="false">IF(A1661="","",IF(AND(I1661="Sí",J1661="Sí"),"Sí","No"))</f>
        <v/>
      </c>
    </row>
    <row r="1662" customFormat="false" ht="15" hidden="false" customHeight="false" outlineLevel="0" collapsed="false">
      <c r="A1662" s="22"/>
      <c r="B1662" s="22"/>
      <c r="C1662" s="26" t="str">
        <f aca="false">IF(A1662="","",IFERROR(buscarx(A1662&amp;B1662,DATA!$E$3:$E$10000&amp;DATA!$B$3:$B$10000,DATA!$M$3:$M$10000),"No encontrado"))</f>
        <v/>
      </c>
      <c r="D1662" s="27" t="str">
        <f aca="false">IF(A1662="","",IFERROR(buscarx(A1662&amp;B1662,DATA!$E$3:$E$10000&amp;DATA!$B$3:$B$10000,DATA!$W$3:$W$10000),"No encontrado"))</f>
        <v/>
      </c>
      <c r="E1662" s="22"/>
      <c r="F1662" s="26" t="str">
        <f aca="false">IF(A1662="","",IFERROR(buscarx(A1662&amp;E1662,DATA!$E$3:$E$10000&amp;DATA!$B$3:$B$10000,DATA!$M$3:$M$10000),"Inactivo"))</f>
        <v/>
      </c>
      <c r="G1662" s="28" t="str">
        <f aca="false">IF(A1662="","",IF(AND(C1662&lt;&gt;"No encontrado",F1662&lt;&gt;"Inactivo"),C1662&amp;" → "&amp;F1662,"Sin transición"))</f>
        <v/>
      </c>
      <c r="H1662" s="26" t="str">
        <f aca="false">IF(A1662="","",IF(D1662="GCIA LINEA SERVICIO DIGITALIDAD Y VENTAS","Chats",IF(OR(D1662="GERENCIA INBOUND LÍNEAS SERVICIO Y VENTA",D1662="GERENCIA INBOUND LINEAS ESPECIALIZADAS"),"Llamadas","Otro")))</f>
        <v/>
      </c>
      <c r="I1662" s="26" t="str">
        <f aca="false">IF(A1662="","",IF(C1662="No encontrado","No","Sí"))</f>
        <v/>
      </c>
      <c r="J1662" s="26" t="str">
        <f aca="false">IF(A1662="","",IF(F1662="Inactivo","No","Sí"))</f>
        <v/>
      </c>
      <c r="K1662" s="26" t="str">
        <f aca="false">IF(A1662="","",IF(AND(I1662="Sí",J1662="Sí"),"Sí","No"))</f>
        <v/>
      </c>
    </row>
    <row r="1663" customFormat="false" ht="15" hidden="false" customHeight="false" outlineLevel="0" collapsed="false">
      <c r="A1663" s="22"/>
      <c r="B1663" s="22"/>
      <c r="C1663" s="23" t="str">
        <f aca="false">IF(A1663="","",IFERROR(buscarx(A1663&amp;B1663,DATA!$E$3:$E$10000&amp;DATA!$B$3:$B$10000,DATA!$M$3:$M$10000),"No encontrado"))</f>
        <v/>
      </c>
      <c r="D1663" s="24" t="str">
        <f aca="false">IF(A1663="","",IFERROR(buscarx(A1663&amp;B1663,DATA!$E$3:$E$10000&amp;DATA!$B$3:$B$10000,DATA!$W$3:$W$10000),"No encontrado"))</f>
        <v/>
      </c>
      <c r="E1663" s="22"/>
      <c r="F1663" s="23" t="str">
        <f aca="false">IF(A1663="","",IFERROR(buscarx(A1663&amp;E1663,DATA!$E$3:$E$10000&amp;DATA!$B$3:$B$10000,DATA!$M$3:$M$10000),"Inactivo"))</f>
        <v/>
      </c>
      <c r="G1663" s="25" t="str">
        <f aca="false">IF(A1663="","",IF(AND(C1663&lt;&gt;"No encontrado",F1663&lt;&gt;"Inactivo"),C1663&amp;" → "&amp;F1663,"Sin transición"))</f>
        <v/>
      </c>
      <c r="H1663" s="23" t="str">
        <f aca="false">IF(A1663="","",IF(D1663="GCIA LINEA SERVICIO DIGITALIDAD Y VENTAS","Chats",IF(OR(D1663="GERENCIA INBOUND LÍNEAS SERVICIO Y VENTA",D1663="GERENCIA INBOUND LINEAS ESPECIALIZADAS"),"Llamadas","Otro")))</f>
        <v/>
      </c>
      <c r="I1663" s="23" t="str">
        <f aca="false">IF(A1663="","",IF(C1663="No encontrado","No","Sí"))</f>
        <v/>
      </c>
      <c r="J1663" s="23" t="str">
        <f aca="false">IF(A1663="","",IF(F1663="Inactivo","No","Sí"))</f>
        <v/>
      </c>
      <c r="K1663" s="23" t="str">
        <f aca="false">IF(A1663="","",IF(AND(I1663="Sí",J1663="Sí"),"Sí","No"))</f>
        <v/>
      </c>
    </row>
    <row r="1664" customFormat="false" ht="15" hidden="false" customHeight="false" outlineLevel="0" collapsed="false">
      <c r="A1664" s="22"/>
      <c r="B1664" s="22"/>
      <c r="C1664" s="26" t="str">
        <f aca="false">IF(A1664="","",IFERROR(buscarx(A1664&amp;B1664,DATA!$E$3:$E$10000&amp;DATA!$B$3:$B$10000,DATA!$M$3:$M$10000),"No encontrado"))</f>
        <v/>
      </c>
      <c r="D1664" s="27" t="str">
        <f aca="false">IF(A1664="","",IFERROR(buscarx(A1664&amp;B1664,DATA!$E$3:$E$10000&amp;DATA!$B$3:$B$10000,DATA!$W$3:$W$10000),"No encontrado"))</f>
        <v/>
      </c>
      <c r="E1664" s="22"/>
      <c r="F1664" s="26" t="str">
        <f aca="false">IF(A1664="","",IFERROR(buscarx(A1664&amp;E1664,DATA!$E$3:$E$10000&amp;DATA!$B$3:$B$10000,DATA!$M$3:$M$10000),"Inactivo"))</f>
        <v/>
      </c>
      <c r="G1664" s="28" t="str">
        <f aca="false">IF(A1664="","",IF(AND(C1664&lt;&gt;"No encontrado",F1664&lt;&gt;"Inactivo"),C1664&amp;" → "&amp;F1664,"Sin transición"))</f>
        <v/>
      </c>
      <c r="H1664" s="26" t="str">
        <f aca="false">IF(A1664="","",IF(D1664="GCIA LINEA SERVICIO DIGITALIDAD Y VENTAS","Chats",IF(OR(D1664="GERENCIA INBOUND LÍNEAS SERVICIO Y VENTA",D1664="GERENCIA INBOUND LINEAS ESPECIALIZADAS"),"Llamadas","Otro")))</f>
        <v/>
      </c>
      <c r="I1664" s="26" t="str">
        <f aca="false">IF(A1664="","",IF(C1664="No encontrado","No","Sí"))</f>
        <v/>
      </c>
      <c r="J1664" s="26" t="str">
        <f aca="false">IF(A1664="","",IF(F1664="Inactivo","No","Sí"))</f>
        <v/>
      </c>
      <c r="K1664" s="26" t="str">
        <f aca="false">IF(A1664="","",IF(AND(I1664="Sí",J1664="Sí"),"Sí","No"))</f>
        <v/>
      </c>
    </row>
    <row r="1665" customFormat="false" ht="15" hidden="false" customHeight="false" outlineLevel="0" collapsed="false">
      <c r="A1665" s="22"/>
      <c r="B1665" s="22"/>
      <c r="C1665" s="23" t="str">
        <f aca="false">IF(A1665="","",IFERROR(buscarx(A1665&amp;B1665,DATA!$E$3:$E$10000&amp;DATA!$B$3:$B$10000,DATA!$M$3:$M$10000),"No encontrado"))</f>
        <v/>
      </c>
      <c r="D1665" s="24" t="str">
        <f aca="false">IF(A1665="","",IFERROR(buscarx(A1665&amp;B1665,DATA!$E$3:$E$10000&amp;DATA!$B$3:$B$10000,DATA!$W$3:$W$10000),"No encontrado"))</f>
        <v/>
      </c>
      <c r="E1665" s="22"/>
      <c r="F1665" s="23" t="str">
        <f aca="false">IF(A1665="","",IFERROR(buscarx(A1665&amp;E1665,DATA!$E$3:$E$10000&amp;DATA!$B$3:$B$10000,DATA!$M$3:$M$10000),"Inactivo"))</f>
        <v/>
      </c>
      <c r="G1665" s="25" t="str">
        <f aca="false">IF(A1665="","",IF(AND(C1665&lt;&gt;"No encontrado",F1665&lt;&gt;"Inactivo"),C1665&amp;" → "&amp;F1665,"Sin transición"))</f>
        <v/>
      </c>
      <c r="H1665" s="23" t="str">
        <f aca="false">IF(A1665="","",IF(D1665="GCIA LINEA SERVICIO DIGITALIDAD Y VENTAS","Chats",IF(OR(D1665="GERENCIA INBOUND LÍNEAS SERVICIO Y VENTA",D1665="GERENCIA INBOUND LINEAS ESPECIALIZADAS"),"Llamadas","Otro")))</f>
        <v/>
      </c>
      <c r="I1665" s="23" t="str">
        <f aca="false">IF(A1665="","",IF(C1665="No encontrado","No","Sí"))</f>
        <v/>
      </c>
      <c r="J1665" s="23" t="str">
        <f aca="false">IF(A1665="","",IF(F1665="Inactivo","No","Sí"))</f>
        <v/>
      </c>
      <c r="K1665" s="23" t="str">
        <f aca="false">IF(A1665="","",IF(AND(I1665="Sí",J1665="Sí"),"Sí","No"))</f>
        <v/>
      </c>
    </row>
    <row r="1666" customFormat="false" ht="15" hidden="false" customHeight="false" outlineLevel="0" collapsed="false">
      <c r="A1666" s="22"/>
      <c r="B1666" s="22"/>
      <c r="C1666" s="26" t="str">
        <f aca="false">IF(A1666="","",IFERROR(buscarx(A1666&amp;B1666,DATA!$E$3:$E$10000&amp;DATA!$B$3:$B$10000,DATA!$M$3:$M$10000),"No encontrado"))</f>
        <v/>
      </c>
      <c r="D1666" s="27" t="str">
        <f aca="false">IF(A1666="","",IFERROR(buscarx(A1666&amp;B1666,DATA!$E$3:$E$10000&amp;DATA!$B$3:$B$10000,DATA!$W$3:$W$10000),"No encontrado"))</f>
        <v/>
      </c>
      <c r="E1666" s="22"/>
      <c r="F1666" s="26" t="str">
        <f aca="false">IF(A1666="","",IFERROR(buscarx(A1666&amp;E1666,DATA!$E$3:$E$10000&amp;DATA!$B$3:$B$10000,DATA!$M$3:$M$10000),"Inactivo"))</f>
        <v/>
      </c>
      <c r="G1666" s="28" t="str">
        <f aca="false">IF(A1666="","",IF(AND(C1666&lt;&gt;"No encontrado",F1666&lt;&gt;"Inactivo"),C1666&amp;" → "&amp;F1666,"Sin transición"))</f>
        <v/>
      </c>
      <c r="H1666" s="26" t="str">
        <f aca="false">IF(A1666="","",IF(D1666="GCIA LINEA SERVICIO DIGITALIDAD Y VENTAS","Chats",IF(OR(D1666="GERENCIA INBOUND LÍNEAS SERVICIO Y VENTA",D1666="GERENCIA INBOUND LINEAS ESPECIALIZADAS"),"Llamadas","Otro")))</f>
        <v/>
      </c>
      <c r="I1666" s="26" t="str">
        <f aca="false">IF(A1666="","",IF(C1666="No encontrado","No","Sí"))</f>
        <v/>
      </c>
      <c r="J1666" s="26" t="str">
        <f aca="false">IF(A1666="","",IF(F1666="Inactivo","No","Sí"))</f>
        <v/>
      </c>
      <c r="K1666" s="26" t="str">
        <f aca="false">IF(A1666="","",IF(AND(I1666="Sí",J1666="Sí"),"Sí","No"))</f>
        <v/>
      </c>
    </row>
    <row r="1667" customFormat="false" ht="15" hidden="false" customHeight="false" outlineLevel="0" collapsed="false">
      <c r="A1667" s="22"/>
      <c r="B1667" s="22"/>
      <c r="C1667" s="23" t="str">
        <f aca="false">IF(A1667="","",IFERROR(buscarx(A1667&amp;B1667,DATA!$E$3:$E$10000&amp;DATA!$B$3:$B$10000,DATA!$M$3:$M$10000),"No encontrado"))</f>
        <v/>
      </c>
      <c r="D1667" s="24" t="str">
        <f aca="false">IF(A1667="","",IFERROR(buscarx(A1667&amp;B1667,DATA!$E$3:$E$10000&amp;DATA!$B$3:$B$10000,DATA!$W$3:$W$10000),"No encontrado"))</f>
        <v/>
      </c>
      <c r="E1667" s="22"/>
      <c r="F1667" s="23" t="str">
        <f aca="false">IF(A1667="","",IFERROR(buscarx(A1667&amp;E1667,DATA!$E$3:$E$10000&amp;DATA!$B$3:$B$10000,DATA!$M$3:$M$10000),"Inactivo"))</f>
        <v/>
      </c>
      <c r="G1667" s="25" t="str">
        <f aca="false">IF(A1667="","",IF(AND(C1667&lt;&gt;"No encontrado",F1667&lt;&gt;"Inactivo"),C1667&amp;" → "&amp;F1667,"Sin transición"))</f>
        <v/>
      </c>
      <c r="H1667" s="23" t="str">
        <f aca="false">IF(A1667="","",IF(D1667="GCIA LINEA SERVICIO DIGITALIDAD Y VENTAS","Chats",IF(OR(D1667="GERENCIA INBOUND LÍNEAS SERVICIO Y VENTA",D1667="GERENCIA INBOUND LINEAS ESPECIALIZADAS"),"Llamadas","Otro")))</f>
        <v/>
      </c>
      <c r="I1667" s="23" t="str">
        <f aca="false">IF(A1667="","",IF(C1667="No encontrado","No","Sí"))</f>
        <v/>
      </c>
      <c r="J1667" s="23" t="str">
        <f aca="false">IF(A1667="","",IF(F1667="Inactivo","No","Sí"))</f>
        <v/>
      </c>
      <c r="K1667" s="23" t="str">
        <f aca="false">IF(A1667="","",IF(AND(I1667="Sí",J1667="Sí"),"Sí","No"))</f>
        <v/>
      </c>
    </row>
    <row r="1668" customFormat="false" ht="15" hidden="false" customHeight="false" outlineLevel="0" collapsed="false">
      <c r="A1668" s="22"/>
      <c r="B1668" s="22"/>
      <c r="C1668" s="26" t="str">
        <f aca="false">IF(A1668="","",IFERROR(buscarx(A1668&amp;B1668,DATA!$E$3:$E$10000&amp;DATA!$B$3:$B$10000,DATA!$M$3:$M$10000),"No encontrado"))</f>
        <v/>
      </c>
      <c r="D1668" s="27" t="str">
        <f aca="false">IF(A1668="","",IFERROR(buscarx(A1668&amp;B1668,DATA!$E$3:$E$10000&amp;DATA!$B$3:$B$10000,DATA!$W$3:$W$10000),"No encontrado"))</f>
        <v/>
      </c>
      <c r="E1668" s="22"/>
      <c r="F1668" s="26" t="str">
        <f aca="false">IF(A1668="","",IFERROR(buscarx(A1668&amp;E1668,DATA!$E$3:$E$10000&amp;DATA!$B$3:$B$10000,DATA!$M$3:$M$10000),"Inactivo"))</f>
        <v/>
      </c>
      <c r="G1668" s="28" t="str">
        <f aca="false">IF(A1668="","",IF(AND(C1668&lt;&gt;"No encontrado",F1668&lt;&gt;"Inactivo"),C1668&amp;" → "&amp;F1668,"Sin transición"))</f>
        <v/>
      </c>
      <c r="H1668" s="26" t="str">
        <f aca="false">IF(A1668="","",IF(D1668="GCIA LINEA SERVICIO DIGITALIDAD Y VENTAS","Chats",IF(OR(D1668="GERENCIA INBOUND LÍNEAS SERVICIO Y VENTA",D1668="GERENCIA INBOUND LINEAS ESPECIALIZADAS"),"Llamadas","Otro")))</f>
        <v/>
      </c>
      <c r="I1668" s="26" t="str">
        <f aca="false">IF(A1668="","",IF(C1668="No encontrado","No","Sí"))</f>
        <v/>
      </c>
      <c r="J1668" s="26" t="str">
        <f aca="false">IF(A1668="","",IF(F1668="Inactivo","No","Sí"))</f>
        <v/>
      </c>
      <c r="K1668" s="26" t="str">
        <f aca="false">IF(A1668="","",IF(AND(I1668="Sí",J1668="Sí"),"Sí","No"))</f>
        <v/>
      </c>
    </row>
    <row r="1669" customFormat="false" ht="15" hidden="false" customHeight="false" outlineLevel="0" collapsed="false">
      <c r="A1669" s="22"/>
      <c r="B1669" s="22"/>
      <c r="C1669" s="23" t="str">
        <f aca="false">IF(A1669="","",IFERROR(buscarx(A1669&amp;B1669,DATA!$E$3:$E$10000&amp;DATA!$B$3:$B$10000,DATA!$M$3:$M$10000),"No encontrado"))</f>
        <v/>
      </c>
      <c r="D1669" s="24" t="str">
        <f aca="false">IF(A1669="","",IFERROR(buscarx(A1669&amp;B1669,DATA!$E$3:$E$10000&amp;DATA!$B$3:$B$10000,DATA!$W$3:$W$10000),"No encontrado"))</f>
        <v/>
      </c>
      <c r="E1669" s="22"/>
      <c r="F1669" s="23" t="str">
        <f aca="false">IF(A1669="","",IFERROR(buscarx(A1669&amp;E1669,DATA!$E$3:$E$10000&amp;DATA!$B$3:$B$10000,DATA!$M$3:$M$10000),"Inactivo"))</f>
        <v/>
      </c>
      <c r="G1669" s="25" t="str">
        <f aca="false">IF(A1669="","",IF(AND(C1669&lt;&gt;"No encontrado",F1669&lt;&gt;"Inactivo"),C1669&amp;" → "&amp;F1669,"Sin transición"))</f>
        <v/>
      </c>
      <c r="H1669" s="23" t="str">
        <f aca="false">IF(A1669="","",IF(D1669="GCIA LINEA SERVICIO DIGITALIDAD Y VENTAS","Chats",IF(OR(D1669="GERENCIA INBOUND LÍNEAS SERVICIO Y VENTA",D1669="GERENCIA INBOUND LINEAS ESPECIALIZADAS"),"Llamadas","Otro")))</f>
        <v/>
      </c>
      <c r="I1669" s="23" t="str">
        <f aca="false">IF(A1669="","",IF(C1669="No encontrado","No","Sí"))</f>
        <v/>
      </c>
      <c r="J1669" s="23" t="str">
        <f aca="false">IF(A1669="","",IF(F1669="Inactivo","No","Sí"))</f>
        <v/>
      </c>
      <c r="K1669" s="23" t="str">
        <f aca="false">IF(A1669="","",IF(AND(I1669="Sí",J1669="Sí"),"Sí","No"))</f>
        <v/>
      </c>
    </row>
    <row r="1670" customFormat="false" ht="15" hidden="false" customHeight="false" outlineLevel="0" collapsed="false">
      <c r="A1670" s="22"/>
      <c r="B1670" s="22"/>
      <c r="C1670" s="26" t="str">
        <f aca="false">IF(A1670="","",IFERROR(buscarx(A1670&amp;B1670,DATA!$E$3:$E$10000&amp;DATA!$B$3:$B$10000,DATA!$M$3:$M$10000),"No encontrado"))</f>
        <v/>
      </c>
      <c r="D1670" s="27" t="str">
        <f aca="false">IF(A1670="","",IFERROR(buscarx(A1670&amp;B1670,DATA!$E$3:$E$10000&amp;DATA!$B$3:$B$10000,DATA!$W$3:$W$10000),"No encontrado"))</f>
        <v/>
      </c>
      <c r="E1670" s="22"/>
      <c r="F1670" s="26" t="str">
        <f aca="false">IF(A1670="","",IFERROR(buscarx(A1670&amp;E1670,DATA!$E$3:$E$10000&amp;DATA!$B$3:$B$10000,DATA!$M$3:$M$10000),"Inactivo"))</f>
        <v/>
      </c>
      <c r="G1670" s="28" t="str">
        <f aca="false">IF(A1670="","",IF(AND(C1670&lt;&gt;"No encontrado",F1670&lt;&gt;"Inactivo"),C1670&amp;" → "&amp;F1670,"Sin transición"))</f>
        <v/>
      </c>
      <c r="H1670" s="26" t="str">
        <f aca="false">IF(A1670="","",IF(D1670="GCIA LINEA SERVICIO DIGITALIDAD Y VENTAS","Chats",IF(OR(D1670="GERENCIA INBOUND LÍNEAS SERVICIO Y VENTA",D1670="GERENCIA INBOUND LINEAS ESPECIALIZADAS"),"Llamadas","Otro")))</f>
        <v/>
      </c>
      <c r="I1670" s="26" t="str">
        <f aca="false">IF(A1670="","",IF(C1670="No encontrado","No","Sí"))</f>
        <v/>
      </c>
      <c r="J1670" s="26" t="str">
        <f aca="false">IF(A1670="","",IF(F1670="Inactivo","No","Sí"))</f>
        <v/>
      </c>
      <c r="K1670" s="26" t="str">
        <f aca="false">IF(A1670="","",IF(AND(I1670="Sí",J1670="Sí"),"Sí","No"))</f>
        <v/>
      </c>
    </row>
    <row r="1671" customFormat="false" ht="15" hidden="false" customHeight="false" outlineLevel="0" collapsed="false">
      <c r="A1671" s="22"/>
      <c r="B1671" s="22"/>
      <c r="C1671" s="23" t="str">
        <f aca="false">IF(A1671="","",IFERROR(buscarx(A1671&amp;B1671,DATA!$E$3:$E$10000&amp;DATA!$B$3:$B$10000,DATA!$M$3:$M$10000),"No encontrado"))</f>
        <v/>
      </c>
      <c r="D1671" s="24" t="str">
        <f aca="false">IF(A1671="","",IFERROR(buscarx(A1671&amp;B1671,DATA!$E$3:$E$10000&amp;DATA!$B$3:$B$10000,DATA!$W$3:$W$10000),"No encontrado"))</f>
        <v/>
      </c>
      <c r="E1671" s="22"/>
      <c r="F1671" s="23" t="str">
        <f aca="false">IF(A1671="","",IFERROR(buscarx(A1671&amp;E1671,DATA!$E$3:$E$10000&amp;DATA!$B$3:$B$10000,DATA!$M$3:$M$10000),"Inactivo"))</f>
        <v/>
      </c>
      <c r="G1671" s="25" t="str">
        <f aca="false">IF(A1671="","",IF(AND(C1671&lt;&gt;"No encontrado",F1671&lt;&gt;"Inactivo"),C1671&amp;" → "&amp;F1671,"Sin transición"))</f>
        <v/>
      </c>
      <c r="H1671" s="23" t="str">
        <f aca="false">IF(A1671="","",IF(D1671="GCIA LINEA SERVICIO DIGITALIDAD Y VENTAS","Chats",IF(OR(D1671="GERENCIA INBOUND LÍNEAS SERVICIO Y VENTA",D1671="GERENCIA INBOUND LINEAS ESPECIALIZADAS"),"Llamadas","Otro")))</f>
        <v/>
      </c>
      <c r="I1671" s="23" t="str">
        <f aca="false">IF(A1671="","",IF(C1671="No encontrado","No","Sí"))</f>
        <v/>
      </c>
      <c r="J1671" s="23" t="str">
        <f aca="false">IF(A1671="","",IF(F1671="Inactivo","No","Sí"))</f>
        <v/>
      </c>
      <c r="K1671" s="23" t="str">
        <f aca="false">IF(A1671="","",IF(AND(I1671="Sí",J1671="Sí"),"Sí","No"))</f>
        <v/>
      </c>
    </row>
    <row r="1672" customFormat="false" ht="15" hidden="false" customHeight="false" outlineLevel="0" collapsed="false">
      <c r="A1672" s="22"/>
      <c r="B1672" s="22"/>
      <c r="C1672" s="26" t="str">
        <f aca="false">IF(A1672="","",IFERROR(buscarx(A1672&amp;B1672,DATA!$E$3:$E$10000&amp;DATA!$B$3:$B$10000,DATA!$M$3:$M$10000),"No encontrado"))</f>
        <v/>
      </c>
      <c r="D1672" s="27" t="str">
        <f aca="false">IF(A1672="","",IFERROR(buscarx(A1672&amp;B1672,DATA!$E$3:$E$10000&amp;DATA!$B$3:$B$10000,DATA!$W$3:$W$10000),"No encontrado"))</f>
        <v/>
      </c>
      <c r="E1672" s="22"/>
      <c r="F1672" s="26" t="str">
        <f aca="false">IF(A1672="","",IFERROR(buscarx(A1672&amp;E1672,DATA!$E$3:$E$10000&amp;DATA!$B$3:$B$10000,DATA!$M$3:$M$10000),"Inactivo"))</f>
        <v/>
      </c>
      <c r="G1672" s="28" t="str">
        <f aca="false">IF(A1672="","",IF(AND(C1672&lt;&gt;"No encontrado",F1672&lt;&gt;"Inactivo"),C1672&amp;" → "&amp;F1672,"Sin transición"))</f>
        <v/>
      </c>
      <c r="H1672" s="26" t="str">
        <f aca="false">IF(A1672="","",IF(D1672="GCIA LINEA SERVICIO DIGITALIDAD Y VENTAS","Chats",IF(OR(D1672="GERENCIA INBOUND LÍNEAS SERVICIO Y VENTA",D1672="GERENCIA INBOUND LINEAS ESPECIALIZADAS"),"Llamadas","Otro")))</f>
        <v/>
      </c>
      <c r="I1672" s="26" t="str">
        <f aca="false">IF(A1672="","",IF(C1672="No encontrado","No","Sí"))</f>
        <v/>
      </c>
      <c r="J1672" s="26" t="str">
        <f aca="false">IF(A1672="","",IF(F1672="Inactivo","No","Sí"))</f>
        <v/>
      </c>
      <c r="K1672" s="26" t="str">
        <f aca="false">IF(A1672="","",IF(AND(I1672="Sí",J1672="Sí"),"Sí","No"))</f>
        <v/>
      </c>
    </row>
    <row r="1673" customFormat="false" ht="15" hidden="false" customHeight="false" outlineLevel="0" collapsed="false">
      <c r="A1673" s="22"/>
      <c r="B1673" s="22"/>
      <c r="C1673" s="23" t="str">
        <f aca="false">IF(A1673="","",IFERROR(buscarx(A1673&amp;B1673,DATA!$E$3:$E$10000&amp;DATA!$B$3:$B$10000,DATA!$M$3:$M$10000),"No encontrado"))</f>
        <v/>
      </c>
      <c r="D1673" s="24" t="str">
        <f aca="false">IF(A1673="","",IFERROR(buscarx(A1673&amp;B1673,DATA!$E$3:$E$10000&amp;DATA!$B$3:$B$10000,DATA!$W$3:$W$10000),"No encontrado"))</f>
        <v/>
      </c>
      <c r="E1673" s="22"/>
      <c r="F1673" s="23" t="str">
        <f aca="false">IF(A1673="","",IFERROR(buscarx(A1673&amp;E1673,DATA!$E$3:$E$10000&amp;DATA!$B$3:$B$10000,DATA!$M$3:$M$10000),"Inactivo"))</f>
        <v/>
      </c>
      <c r="G1673" s="25" t="str">
        <f aca="false">IF(A1673="","",IF(AND(C1673&lt;&gt;"No encontrado",F1673&lt;&gt;"Inactivo"),C1673&amp;" → "&amp;F1673,"Sin transición"))</f>
        <v/>
      </c>
      <c r="H1673" s="23" t="str">
        <f aca="false">IF(A1673="","",IF(D1673="GCIA LINEA SERVICIO DIGITALIDAD Y VENTAS","Chats",IF(OR(D1673="GERENCIA INBOUND LÍNEAS SERVICIO Y VENTA",D1673="GERENCIA INBOUND LINEAS ESPECIALIZADAS"),"Llamadas","Otro")))</f>
        <v/>
      </c>
      <c r="I1673" s="23" t="str">
        <f aca="false">IF(A1673="","",IF(C1673="No encontrado","No","Sí"))</f>
        <v/>
      </c>
      <c r="J1673" s="23" t="str">
        <f aca="false">IF(A1673="","",IF(F1673="Inactivo","No","Sí"))</f>
        <v/>
      </c>
      <c r="K1673" s="23" t="str">
        <f aca="false">IF(A1673="","",IF(AND(I1673="Sí",J1673="Sí"),"Sí","No"))</f>
        <v/>
      </c>
    </row>
    <row r="1674" customFormat="false" ht="15" hidden="false" customHeight="false" outlineLevel="0" collapsed="false">
      <c r="A1674" s="22"/>
      <c r="B1674" s="22"/>
      <c r="C1674" s="26" t="str">
        <f aca="false">IF(A1674="","",IFERROR(buscarx(A1674&amp;B1674,DATA!$E$3:$E$10000&amp;DATA!$B$3:$B$10000,DATA!$M$3:$M$10000),"No encontrado"))</f>
        <v/>
      </c>
      <c r="D1674" s="27" t="str">
        <f aca="false">IF(A1674="","",IFERROR(buscarx(A1674&amp;B1674,DATA!$E$3:$E$10000&amp;DATA!$B$3:$B$10000,DATA!$W$3:$W$10000),"No encontrado"))</f>
        <v/>
      </c>
      <c r="E1674" s="22"/>
      <c r="F1674" s="26" t="str">
        <f aca="false">IF(A1674="","",IFERROR(buscarx(A1674&amp;E1674,DATA!$E$3:$E$10000&amp;DATA!$B$3:$B$10000,DATA!$M$3:$M$10000),"Inactivo"))</f>
        <v/>
      </c>
      <c r="G1674" s="28" t="str">
        <f aca="false">IF(A1674="","",IF(AND(C1674&lt;&gt;"No encontrado",F1674&lt;&gt;"Inactivo"),C1674&amp;" → "&amp;F1674,"Sin transición"))</f>
        <v/>
      </c>
      <c r="H1674" s="26" t="str">
        <f aca="false">IF(A1674="","",IF(D1674="GCIA LINEA SERVICIO DIGITALIDAD Y VENTAS","Chats",IF(OR(D1674="GERENCIA INBOUND LÍNEAS SERVICIO Y VENTA",D1674="GERENCIA INBOUND LINEAS ESPECIALIZADAS"),"Llamadas","Otro")))</f>
        <v/>
      </c>
      <c r="I1674" s="26" t="str">
        <f aca="false">IF(A1674="","",IF(C1674="No encontrado","No","Sí"))</f>
        <v/>
      </c>
      <c r="J1674" s="26" t="str">
        <f aca="false">IF(A1674="","",IF(F1674="Inactivo","No","Sí"))</f>
        <v/>
      </c>
      <c r="K1674" s="26" t="str">
        <f aca="false">IF(A1674="","",IF(AND(I1674="Sí",J1674="Sí"),"Sí","No"))</f>
        <v/>
      </c>
    </row>
    <row r="1675" customFormat="false" ht="15" hidden="false" customHeight="false" outlineLevel="0" collapsed="false">
      <c r="A1675" s="22"/>
      <c r="B1675" s="22"/>
      <c r="C1675" s="23" t="str">
        <f aca="false">IF(A1675="","",IFERROR(buscarx(A1675&amp;B1675,DATA!$E$3:$E$10000&amp;DATA!$B$3:$B$10000,DATA!$M$3:$M$10000),"No encontrado"))</f>
        <v/>
      </c>
      <c r="D1675" s="24" t="str">
        <f aca="false">IF(A1675="","",IFERROR(buscarx(A1675&amp;B1675,DATA!$E$3:$E$10000&amp;DATA!$B$3:$B$10000,DATA!$W$3:$W$10000),"No encontrado"))</f>
        <v/>
      </c>
      <c r="E1675" s="22"/>
      <c r="F1675" s="23" t="str">
        <f aca="false">IF(A1675="","",IFERROR(buscarx(A1675&amp;E1675,DATA!$E$3:$E$10000&amp;DATA!$B$3:$B$10000,DATA!$M$3:$M$10000),"Inactivo"))</f>
        <v/>
      </c>
      <c r="G1675" s="25" t="str">
        <f aca="false">IF(A1675="","",IF(AND(C1675&lt;&gt;"No encontrado",F1675&lt;&gt;"Inactivo"),C1675&amp;" → "&amp;F1675,"Sin transición"))</f>
        <v/>
      </c>
      <c r="H1675" s="23" t="str">
        <f aca="false">IF(A1675="","",IF(D1675="GCIA LINEA SERVICIO DIGITALIDAD Y VENTAS","Chats",IF(OR(D1675="GERENCIA INBOUND LÍNEAS SERVICIO Y VENTA",D1675="GERENCIA INBOUND LINEAS ESPECIALIZADAS"),"Llamadas","Otro")))</f>
        <v/>
      </c>
      <c r="I1675" s="23" t="str">
        <f aca="false">IF(A1675="","",IF(C1675="No encontrado","No","Sí"))</f>
        <v/>
      </c>
      <c r="J1675" s="23" t="str">
        <f aca="false">IF(A1675="","",IF(F1675="Inactivo","No","Sí"))</f>
        <v/>
      </c>
      <c r="K1675" s="23" t="str">
        <f aca="false">IF(A1675="","",IF(AND(I1675="Sí",J1675="Sí"),"Sí","No"))</f>
        <v/>
      </c>
    </row>
    <row r="1676" customFormat="false" ht="15" hidden="false" customHeight="false" outlineLevel="0" collapsed="false">
      <c r="A1676" s="22"/>
      <c r="B1676" s="22"/>
      <c r="C1676" s="26" t="str">
        <f aca="false">IF(A1676="","",IFERROR(buscarx(A1676&amp;B1676,DATA!$E$3:$E$10000&amp;DATA!$B$3:$B$10000,DATA!$M$3:$M$10000),"No encontrado"))</f>
        <v/>
      </c>
      <c r="D1676" s="27" t="str">
        <f aca="false">IF(A1676="","",IFERROR(buscarx(A1676&amp;B1676,DATA!$E$3:$E$10000&amp;DATA!$B$3:$B$10000,DATA!$W$3:$W$10000),"No encontrado"))</f>
        <v/>
      </c>
      <c r="E1676" s="22"/>
      <c r="F1676" s="26" t="str">
        <f aca="false">IF(A1676="","",IFERROR(buscarx(A1676&amp;E1676,DATA!$E$3:$E$10000&amp;DATA!$B$3:$B$10000,DATA!$M$3:$M$10000),"Inactivo"))</f>
        <v/>
      </c>
      <c r="G1676" s="28" t="str">
        <f aca="false">IF(A1676="","",IF(AND(C1676&lt;&gt;"No encontrado",F1676&lt;&gt;"Inactivo"),C1676&amp;" → "&amp;F1676,"Sin transición"))</f>
        <v/>
      </c>
      <c r="H1676" s="26" t="str">
        <f aca="false">IF(A1676="","",IF(D1676="GCIA LINEA SERVICIO DIGITALIDAD Y VENTAS","Chats",IF(OR(D1676="GERENCIA INBOUND LÍNEAS SERVICIO Y VENTA",D1676="GERENCIA INBOUND LINEAS ESPECIALIZADAS"),"Llamadas","Otro")))</f>
        <v/>
      </c>
      <c r="I1676" s="26" t="str">
        <f aca="false">IF(A1676="","",IF(C1676="No encontrado","No","Sí"))</f>
        <v/>
      </c>
      <c r="J1676" s="26" t="str">
        <f aca="false">IF(A1676="","",IF(F1676="Inactivo","No","Sí"))</f>
        <v/>
      </c>
      <c r="K1676" s="26" t="str">
        <f aca="false">IF(A1676="","",IF(AND(I1676="Sí",J1676="Sí"),"Sí","No"))</f>
        <v/>
      </c>
    </row>
    <row r="1677" customFormat="false" ht="15" hidden="false" customHeight="false" outlineLevel="0" collapsed="false">
      <c r="A1677" s="22"/>
      <c r="B1677" s="22"/>
      <c r="C1677" s="23" t="str">
        <f aca="false">IF(A1677="","",IFERROR(buscarx(A1677&amp;B1677,DATA!$E$3:$E$10000&amp;DATA!$B$3:$B$10000,DATA!$M$3:$M$10000),"No encontrado"))</f>
        <v/>
      </c>
      <c r="D1677" s="24" t="str">
        <f aca="false">IF(A1677="","",IFERROR(buscarx(A1677&amp;B1677,DATA!$E$3:$E$10000&amp;DATA!$B$3:$B$10000,DATA!$W$3:$W$10000),"No encontrado"))</f>
        <v/>
      </c>
      <c r="E1677" s="22"/>
      <c r="F1677" s="23" t="str">
        <f aca="false">IF(A1677="","",IFERROR(buscarx(A1677&amp;E1677,DATA!$E$3:$E$10000&amp;DATA!$B$3:$B$10000,DATA!$M$3:$M$10000),"Inactivo"))</f>
        <v/>
      </c>
      <c r="G1677" s="25" t="str">
        <f aca="false">IF(A1677="","",IF(AND(C1677&lt;&gt;"No encontrado",F1677&lt;&gt;"Inactivo"),C1677&amp;" → "&amp;F1677,"Sin transición"))</f>
        <v/>
      </c>
      <c r="H1677" s="23" t="str">
        <f aca="false">IF(A1677="","",IF(D1677="GCIA LINEA SERVICIO DIGITALIDAD Y VENTAS","Chats",IF(OR(D1677="GERENCIA INBOUND LÍNEAS SERVICIO Y VENTA",D1677="GERENCIA INBOUND LINEAS ESPECIALIZADAS"),"Llamadas","Otro")))</f>
        <v/>
      </c>
      <c r="I1677" s="23" t="str">
        <f aca="false">IF(A1677="","",IF(C1677="No encontrado","No","Sí"))</f>
        <v/>
      </c>
      <c r="J1677" s="23" t="str">
        <f aca="false">IF(A1677="","",IF(F1677="Inactivo","No","Sí"))</f>
        <v/>
      </c>
      <c r="K1677" s="23" t="str">
        <f aca="false">IF(A1677="","",IF(AND(I1677="Sí",J1677="Sí"),"Sí","No"))</f>
        <v/>
      </c>
    </row>
    <row r="1678" customFormat="false" ht="15" hidden="false" customHeight="false" outlineLevel="0" collapsed="false">
      <c r="A1678" s="22"/>
      <c r="B1678" s="22"/>
      <c r="C1678" s="26" t="str">
        <f aca="false">IF(A1678="","",IFERROR(buscarx(A1678&amp;B1678,DATA!$E$3:$E$10000&amp;DATA!$B$3:$B$10000,DATA!$M$3:$M$10000),"No encontrado"))</f>
        <v/>
      </c>
      <c r="D1678" s="27" t="str">
        <f aca="false">IF(A1678="","",IFERROR(buscarx(A1678&amp;B1678,DATA!$E$3:$E$10000&amp;DATA!$B$3:$B$10000,DATA!$W$3:$W$10000),"No encontrado"))</f>
        <v/>
      </c>
      <c r="E1678" s="22"/>
      <c r="F1678" s="26" t="str">
        <f aca="false">IF(A1678="","",IFERROR(buscarx(A1678&amp;E1678,DATA!$E$3:$E$10000&amp;DATA!$B$3:$B$10000,DATA!$M$3:$M$10000),"Inactivo"))</f>
        <v/>
      </c>
      <c r="G1678" s="28" t="str">
        <f aca="false">IF(A1678="","",IF(AND(C1678&lt;&gt;"No encontrado",F1678&lt;&gt;"Inactivo"),C1678&amp;" → "&amp;F1678,"Sin transición"))</f>
        <v/>
      </c>
      <c r="H1678" s="26" t="str">
        <f aca="false">IF(A1678="","",IF(D1678="GCIA LINEA SERVICIO DIGITALIDAD Y VENTAS","Chats",IF(OR(D1678="GERENCIA INBOUND LÍNEAS SERVICIO Y VENTA",D1678="GERENCIA INBOUND LINEAS ESPECIALIZADAS"),"Llamadas","Otro")))</f>
        <v/>
      </c>
      <c r="I1678" s="26" t="str">
        <f aca="false">IF(A1678="","",IF(C1678="No encontrado","No","Sí"))</f>
        <v/>
      </c>
      <c r="J1678" s="26" t="str">
        <f aca="false">IF(A1678="","",IF(F1678="Inactivo","No","Sí"))</f>
        <v/>
      </c>
      <c r="K1678" s="26" t="str">
        <f aca="false">IF(A1678="","",IF(AND(I1678="Sí",J1678="Sí"),"Sí","No"))</f>
        <v/>
      </c>
    </row>
    <row r="1679" customFormat="false" ht="15" hidden="false" customHeight="false" outlineLevel="0" collapsed="false">
      <c r="A1679" s="22"/>
      <c r="B1679" s="22"/>
      <c r="C1679" s="23" t="str">
        <f aca="false">IF(A1679="","",IFERROR(buscarx(A1679&amp;B1679,DATA!$E$3:$E$10000&amp;DATA!$B$3:$B$10000,DATA!$M$3:$M$10000),"No encontrado"))</f>
        <v/>
      </c>
      <c r="D1679" s="24" t="str">
        <f aca="false">IF(A1679="","",IFERROR(buscarx(A1679&amp;B1679,DATA!$E$3:$E$10000&amp;DATA!$B$3:$B$10000,DATA!$W$3:$W$10000),"No encontrado"))</f>
        <v/>
      </c>
      <c r="E1679" s="22"/>
      <c r="F1679" s="23" t="str">
        <f aca="false">IF(A1679="","",IFERROR(buscarx(A1679&amp;E1679,DATA!$E$3:$E$10000&amp;DATA!$B$3:$B$10000,DATA!$M$3:$M$10000),"Inactivo"))</f>
        <v/>
      </c>
      <c r="G1679" s="25" t="str">
        <f aca="false">IF(A1679="","",IF(AND(C1679&lt;&gt;"No encontrado",F1679&lt;&gt;"Inactivo"),C1679&amp;" → "&amp;F1679,"Sin transición"))</f>
        <v/>
      </c>
      <c r="H1679" s="23" t="str">
        <f aca="false">IF(A1679="","",IF(D1679="GCIA LINEA SERVICIO DIGITALIDAD Y VENTAS","Chats",IF(OR(D1679="GERENCIA INBOUND LÍNEAS SERVICIO Y VENTA",D1679="GERENCIA INBOUND LINEAS ESPECIALIZADAS"),"Llamadas","Otro")))</f>
        <v/>
      </c>
      <c r="I1679" s="23" t="str">
        <f aca="false">IF(A1679="","",IF(C1679="No encontrado","No","Sí"))</f>
        <v/>
      </c>
      <c r="J1679" s="23" t="str">
        <f aca="false">IF(A1679="","",IF(F1679="Inactivo","No","Sí"))</f>
        <v/>
      </c>
      <c r="K1679" s="23" t="str">
        <f aca="false">IF(A1679="","",IF(AND(I1679="Sí",J1679="Sí"),"Sí","No"))</f>
        <v/>
      </c>
    </row>
    <row r="1680" customFormat="false" ht="15" hidden="false" customHeight="false" outlineLevel="0" collapsed="false">
      <c r="A1680" s="22"/>
      <c r="B1680" s="22"/>
      <c r="C1680" s="26" t="str">
        <f aca="false">IF(A1680="","",IFERROR(buscarx(A1680&amp;B1680,DATA!$E$3:$E$10000&amp;DATA!$B$3:$B$10000,DATA!$M$3:$M$10000),"No encontrado"))</f>
        <v/>
      </c>
      <c r="D1680" s="27" t="str">
        <f aca="false">IF(A1680="","",IFERROR(buscarx(A1680&amp;B1680,DATA!$E$3:$E$10000&amp;DATA!$B$3:$B$10000,DATA!$W$3:$W$10000),"No encontrado"))</f>
        <v/>
      </c>
      <c r="E1680" s="22"/>
      <c r="F1680" s="26" t="str">
        <f aca="false">IF(A1680="","",IFERROR(buscarx(A1680&amp;E1680,DATA!$E$3:$E$10000&amp;DATA!$B$3:$B$10000,DATA!$M$3:$M$10000),"Inactivo"))</f>
        <v/>
      </c>
      <c r="G1680" s="28" t="str">
        <f aca="false">IF(A1680="","",IF(AND(C1680&lt;&gt;"No encontrado",F1680&lt;&gt;"Inactivo"),C1680&amp;" → "&amp;F1680,"Sin transición"))</f>
        <v/>
      </c>
      <c r="H1680" s="26" t="str">
        <f aca="false">IF(A1680="","",IF(D1680="GCIA LINEA SERVICIO DIGITALIDAD Y VENTAS","Chats",IF(OR(D1680="GERENCIA INBOUND LÍNEAS SERVICIO Y VENTA",D1680="GERENCIA INBOUND LINEAS ESPECIALIZADAS"),"Llamadas","Otro")))</f>
        <v/>
      </c>
      <c r="I1680" s="26" t="str">
        <f aca="false">IF(A1680="","",IF(C1680="No encontrado","No","Sí"))</f>
        <v/>
      </c>
      <c r="J1680" s="26" t="str">
        <f aca="false">IF(A1680="","",IF(F1680="Inactivo","No","Sí"))</f>
        <v/>
      </c>
      <c r="K1680" s="26" t="str">
        <f aca="false">IF(A1680="","",IF(AND(I1680="Sí",J1680="Sí"),"Sí","No"))</f>
        <v/>
      </c>
    </row>
    <row r="1681" customFormat="false" ht="15" hidden="false" customHeight="false" outlineLevel="0" collapsed="false">
      <c r="A1681" s="22"/>
      <c r="B1681" s="22"/>
      <c r="C1681" s="23" t="str">
        <f aca="false">IF(A1681="","",IFERROR(buscarx(A1681&amp;B1681,DATA!$E$3:$E$10000&amp;DATA!$B$3:$B$10000,DATA!$M$3:$M$10000),"No encontrado"))</f>
        <v/>
      </c>
      <c r="D1681" s="24" t="str">
        <f aca="false">IF(A1681="","",IFERROR(buscarx(A1681&amp;B1681,DATA!$E$3:$E$10000&amp;DATA!$B$3:$B$10000,DATA!$W$3:$W$10000),"No encontrado"))</f>
        <v/>
      </c>
      <c r="E1681" s="22"/>
      <c r="F1681" s="23" t="str">
        <f aca="false">IF(A1681="","",IFERROR(buscarx(A1681&amp;E1681,DATA!$E$3:$E$10000&amp;DATA!$B$3:$B$10000,DATA!$M$3:$M$10000),"Inactivo"))</f>
        <v/>
      </c>
      <c r="G1681" s="25" t="str">
        <f aca="false">IF(A1681="","",IF(AND(C1681&lt;&gt;"No encontrado",F1681&lt;&gt;"Inactivo"),C1681&amp;" → "&amp;F1681,"Sin transición"))</f>
        <v/>
      </c>
      <c r="H1681" s="23" t="str">
        <f aca="false">IF(A1681="","",IF(D1681="GCIA LINEA SERVICIO DIGITALIDAD Y VENTAS","Chats",IF(OR(D1681="GERENCIA INBOUND LÍNEAS SERVICIO Y VENTA",D1681="GERENCIA INBOUND LINEAS ESPECIALIZADAS"),"Llamadas","Otro")))</f>
        <v/>
      </c>
      <c r="I1681" s="23" t="str">
        <f aca="false">IF(A1681="","",IF(C1681="No encontrado","No","Sí"))</f>
        <v/>
      </c>
      <c r="J1681" s="23" t="str">
        <f aca="false">IF(A1681="","",IF(F1681="Inactivo","No","Sí"))</f>
        <v/>
      </c>
      <c r="K1681" s="23" t="str">
        <f aca="false">IF(A1681="","",IF(AND(I1681="Sí",J1681="Sí"),"Sí","No"))</f>
        <v/>
      </c>
    </row>
    <row r="1682" customFormat="false" ht="15" hidden="false" customHeight="false" outlineLevel="0" collapsed="false">
      <c r="A1682" s="22"/>
      <c r="B1682" s="22"/>
      <c r="C1682" s="26" t="str">
        <f aca="false">IF(A1682="","",IFERROR(buscarx(A1682&amp;B1682,DATA!$E$3:$E$10000&amp;DATA!$B$3:$B$10000,DATA!$M$3:$M$10000),"No encontrado"))</f>
        <v/>
      </c>
      <c r="D1682" s="27" t="str">
        <f aca="false">IF(A1682="","",IFERROR(buscarx(A1682&amp;B1682,DATA!$E$3:$E$10000&amp;DATA!$B$3:$B$10000,DATA!$W$3:$W$10000),"No encontrado"))</f>
        <v/>
      </c>
      <c r="E1682" s="22"/>
      <c r="F1682" s="26" t="str">
        <f aca="false">IF(A1682="","",IFERROR(buscarx(A1682&amp;E1682,DATA!$E$3:$E$10000&amp;DATA!$B$3:$B$10000,DATA!$M$3:$M$10000),"Inactivo"))</f>
        <v/>
      </c>
      <c r="G1682" s="28" t="str">
        <f aca="false">IF(A1682="","",IF(AND(C1682&lt;&gt;"No encontrado",F1682&lt;&gt;"Inactivo"),C1682&amp;" → "&amp;F1682,"Sin transición"))</f>
        <v/>
      </c>
      <c r="H1682" s="26" t="str">
        <f aca="false">IF(A1682="","",IF(D1682="GCIA LINEA SERVICIO DIGITALIDAD Y VENTAS","Chats",IF(OR(D1682="GERENCIA INBOUND LÍNEAS SERVICIO Y VENTA",D1682="GERENCIA INBOUND LINEAS ESPECIALIZADAS"),"Llamadas","Otro")))</f>
        <v/>
      </c>
      <c r="I1682" s="26" t="str">
        <f aca="false">IF(A1682="","",IF(C1682="No encontrado","No","Sí"))</f>
        <v/>
      </c>
      <c r="J1682" s="26" t="str">
        <f aca="false">IF(A1682="","",IF(F1682="Inactivo","No","Sí"))</f>
        <v/>
      </c>
      <c r="K1682" s="26" t="str">
        <f aca="false">IF(A1682="","",IF(AND(I1682="Sí",J1682="Sí"),"Sí","No"))</f>
        <v/>
      </c>
    </row>
    <row r="1683" customFormat="false" ht="15" hidden="false" customHeight="false" outlineLevel="0" collapsed="false">
      <c r="A1683" s="22"/>
      <c r="B1683" s="22"/>
      <c r="C1683" s="23" t="str">
        <f aca="false">IF(A1683="","",IFERROR(buscarx(A1683&amp;B1683,DATA!$E$3:$E$10000&amp;DATA!$B$3:$B$10000,DATA!$M$3:$M$10000),"No encontrado"))</f>
        <v/>
      </c>
      <c r="D1683" s="24" t="str">
        <f aca="false">IF(A1683="","",IFERROR(buscarx(A1683&amp;B1683,DATA!$E$3:$E$10000&amp;DATA!$B$3:$B$10000,DATA!$W$3:$W$10000),"No encontrado"))</f>
        <v/>
      </c>
      <c r="E1683" s="22"/>
      <c r="F1683" s="23" t="str">
        <f aca="false">IF(A1683="","",IFERROR(buscarx(A1683&amp;E1683,DATA!$E$3:$E$10000&amp;DATA!$B$3:$B$10000,DATA!$M$3:$M$10000),"Inactivo"))</f>
        <v/>
      </c>
      <c r="G1683" s="25" t="str">
        <f aca="false">IF(A1683="","",IF(AND(C1683&lt;&gt;"No encontrado",F1683&lt;&gt;"Inactivo"),C1683&amp;" → "&amp;F1683,"Sin transición"))</f>
        <v/>
      </c>
      <c r="H1683" s="23" t="str">
        <f aca="false">IF(A1683="","",IF(D1683="GCIA LINEA SERVICIO DIGITALIDAD Y VENTAS","Chats",IF(OR(D1683="GERENCIA INBOUND LÍNEAS SERVICIO Y VENTA",D1683="GERENCIA INBOUND LINEAS ESPECIALIZADAS"),"Llamadas","Otro")))</f>
        <v/>
      </c>
      <c r="I1683" s="23" t="str">
        <f aca="false">IF(A1683="","",IF(C1683="No encontrado","No","Sí"))</f>
        <v/>
      </c>
      <c r="J1683" s="23" t="str">
        <f aca="false">IF(A1683="","",IF(F1683="Inactivo","No","Sí"))</f>
        <v/>
      </c>
      <c r="K1683" s="23" t="str">
        <f aca="false">IF(A1683="","",IF(AND(I1683="Sí",J1683="Sí"),"Sí","No"))</f>
        <v/>
      </c>
    </row>
    <row r="1684" customFormat="false" ht="15" hidden="false" customHeight="false" outlineLevel="0" collapsed="false">
      <c r="A1684" s="22"/>
      <c r="B1684" s="22"/>
      <c r="C1684" s="26" t="str">
        <f aca="false">IF(A1684="","",IFERROR(buscarx(A1684&amp;B1684,DATA!$E$3:$E$10000&amp;DATA!$B$3:$B$10000,DATA!$M$3:$M$10000),"No encontrado"))</f>
        <v/>
      </c>
      <c r="D1684" s="27" t="str">
        <f aca="false">IF(A1684="","",IFERROR(buscarx(A1684&amp;B1684,DATA!$E$3:$E$10000&amp;DATA!$B$3:$B$10000,DATA!$W$3:$W$10000),"No encontrado"))</f>
        <v/>
      </c>
      <c r="E1684" s="22"/>
      <c r="F1684" s="26" t="str">
        <f aca="false">IF(A1684="","",IFERROR(buscarx(A1684&amp;E1684,DATA!$E$3:$E$10000&amp;DATA!$B$3:$B$10000,DATA!$M$3:$M$10000),"Inactivo"))</f>
        <v/>
      </c>
      <c r="G1684" s="28" t="str">
        <f aca="false">IF(A1684="","",IF(AND(C1684&lt;&gt;"No encontrado",F1684&lt;&gt;"Inactivo"),C1684&amp;" → "&amp;F1684,"Sin transición"))</f>
        <v/>
      </c>
      <c r="H1684" s="26" t="str">
        <f aca="false">IF(A1684="","",IF(D1684="GCIA LINEA SERVICIO DIGITALIDAD Y VENTAS","Chats",IF(OR(D1684="GERENCIA INBOUND LÍNEAS SERVICIO Y VENTA",D1684="GERENCIA INBOUND LINEAS ESPECIALIZADAS"),"Llamadas","Otro")))</f>
        <v/>
      </c>
      <c r="I1684" s="26" t="str">
        <f aca="false">IF(A1684="","",IF(C1684="No encontrado","No","Sí"))</f>
        <v/>
      </c>
      <c r="J1684" s="26" t="str">
        <f aca="false">IF(A1684="","",IF(F1684="Inactivo","No","Sí"))</f>
        <v/>
      </c>
      <c r="K1684" s="26" t="str">
        <f aca="false">IF(A1684="","",IF(AND(I1684="Sí",J1684="Sí"),"Sí","No"))</f>
        <v/>
      </c>
    </row>
    <row r="1685" customFormat="false" ht="15" hidden="false" customHeight="false" outlineLevel="0" collapsed="false">
      <c r="A1685" s="22"/>
      <c r="B1685" s="22"/>
      <c r="C1685" s="23" t="str">
        <f aca="false">IF(A1685="","",IFERROR(buscarx(A1685&amp;B1685,DATA!$E$3:$E$10000&amp;DATA!$B$3:$B$10000,DATA!$M$3:$M$10000),"No encontrado"))</f>
        <v/>
      </c>
      <c r="D1685" s="24" t="str">
        <f aca="false">IF(A1685="","",IFERROR(buscarx(A1685&amp;B1685,DATA!$E$3:$E$10000&amp;DATA!$B$3:$B$10000,DATA!$W$3:$W$10000),"No encontrado"))</f>
        <v/>
      </c>
      <c r="E1685" s="22"/>
      <c r="F1685" s="23" t="str">
        <f aca="false">IF(A1685="","",IFERROR(buscarx(A1685&amp;E1685,DATA!$E$3:$E$10000&amp;DATA!$B$3:$B$10000,DATA!$M$3:$M$10000),"Inactivo"))</f>
        <v/>
      </c>
      <c r="G1685" s="25" t="str">
        <f aca="false">IF(A1685="","",IF(AND(C1685&lt;&gt;"No encontrado",F1685&lt;&gt;"Inactivo"),C1685&amp;" → "&amp;F1685,"Sin transición"))</f>
        <v/>
      </c>
      <c r="H1685" s="23" t="str">
        <f aca="false">IF(A1685="","",IF(D1685="GCIA LINEA SERVICIO DIGITALIDAD Y VENTAS","Chats",IF(OR(D1685="GERENCIA INBOUND LÍNEAS SERVICIO Y VENTA",D1685="GERENCIA INBOUND LINEAS ESPECIALIZADAS"),"Llamadas","Otro")))</f>
        <v/>
      </c>
      <c r="I1685" s="23" t="str">
        <f aca="false">IF(A1685="","",IF(C1685="No encontrado","No","Sí"))</f>
        <v/>
      </c>
      <c r="J1685" s="23" t="str">
        <f aca="false">IF(A1685="","",IF(F1685="Inactivo","No","Sí"))</f>
        <v/>
      </c>
      <c r="K1685" s="23" t="str">
        <f aca="false">IF(A1685="","",IF(AND(I1685="Sí",J1685="Sí"),"Sí","No"))</f>
        <v/>
      </c>
    </row>
    <row r="1686" customFormat="false" ht="15" hidden="false" customHeight="false" outlineLevel="0" collapsed="false">
      <c r="A1686" s="22"/>
      <c r="B1686" s="22"/>
      <c r="C1686" s="26" t="str">
        <f aca="false">IF(A1686="","",IFERROR(buscarx(A1686&amp;B1686,DATA!$E$3:$E$10000&amp;DATA!$B$3:$B$10000,DATA!$M$3:$M$10000),"No encontrado"))</f>
        <v/>
      </c>
      <c r="D1686" s="27" t="str">
        <f aca="false">IF(A1686="","",IFERROR(buscarx(A1686&amp;B1686,DATA!$E$3:$E$10000&amp;DATA!$B$3:$B$10000,DATA!$W$3:$W$10000),"No encontrado"))</f>
        <v/>
      </c>
      <c r="E1686" s="22"/>
      <c r="F1686" s="26" t="str">
        <f aca="false">IF(A1686="","",IFERROR(buscarx(A1686&amp;E1686,DATA!$E$3:$E$10000&amp;DATA!$B$3:$B$10000,DATA!$M$3:$M$10000),"Inactivo"))</f>
        <v/>
      </c>
      <c r="G1686" s="28" t="str">
        <f aca="false">IF(A1686="","",IF(AND(C1686&lt;&gt;"No encontrado",F1686&lt;&gt;"Inactivo"),C1686&amp;" → "&amp;F1686,"Sin transición"))</f>
        <v/>
      </c>
      <c r="H1686" s="26" t="str">
        <f aca="false">IF(A1686="","",IF(D1686="GCIA LINEA SERVICIO DIGITALIDAD Y VENTAS","Chats",IF(OR(D1686="GERENCIA INBOUND LÍNEAS SERVICIO Y VENTA",D1686="GERENCIA INBOUND LINEAS ESPECIALIZADAS"),"Llamadas","Otro")))</f>
        <v/>
      </c>
      <c r="I1686" s="26" t="str">
        <f aca="false">IF(A1686="","",IF(C1686="No encontrado","No","Sí"))</f>
        <v/>
      </c>
      <c r="J1686" s="26" t="str">
        <f aca="false">IF(A1686="","",IF(F1686="Inactivo","No","Sí"))</f>
        <v/>
      </c>
      <c r="K1686" s="26" t="str">
        <f aca="false">IF(A1686="","",IF(AND(I1686="Sí",J1686="Sí"),"Sí","No"))</f>
        <v/>
      </c>
    </row>
    <row r="1687" customFormat="false" ht="15" hidden="false" customHeight="false" outlineLevel="0" collapsed="false">
      <c r="A1687" s="22"/>
      <c r="B1687" s="22"/>
      <c r="C1687" s="23" t="str">
        <f aca="false">IF(A1687="","",IFERROR(buscarx(A1687&amp;B1687,DATA!$E$3:$E$10000&amp;DATA!$B$3:$B$10000,DATA!$M$3:$M$10000),"No encontrado"))</f>
        <v/>
      </c>
      <c r="D1687" s="24" t="str">
        <f aca="false">IF(A1687="","",IFERROR(buscarx(A1687&amp;B1687,DATA!$E$3:$E$10000&amp;DATA!$B$3:$B$10000,DATA!$W$3:$W$10000),"No encontrado"))</f>
        <v/>
      </c>
      <c r="E1687" s="22"/>
      <c r="F1687" s="23" t="str">
        <f aca="false">IF(A1687="","",IFERROR(buscarx(A1687&amp;E1687,DATA!$E$3:$E$10000&amp;DATA!$B$3:$B$10000,DATA!$M$3:$M$10000),"Inactivo"))</f>
        <v/>
      </c>
      <c r="G1687" s="25" t="str">
        <f aca="false">IF(A1687="","",IF(AND(C1687&lt;&gt;"No encontrado",F1687&lt;&gt;"Inactivo"),C1687&amp;" → "&amp;F1687,"Sin transición"))</f>
        <v/>
      </c>
      <c r="H1687" s="23" t="str">
        <f aca="false">IF(A1687="","",IF(D1687="GCIA LINEA SERVICIO DIGITALIDAD Y VENTAS","Chats",IF(OR(D1687="GERENCIA INBOUND LÍNEAS SERVICIO Y VENTA",D1687="GERENCIA INBOUND LINEAS ESPECIALIZADAS"),"Llamadas","Otro")))</f>
        <v/>
      </c>
      <c r="I1687" s="23" t="str">
        <f aca="false">IF(A1687="","",IF(C1687="No encontrado","No","Sí"))</f>
        <v/>
      </c>
      <c r="J1687" s="23" t="str">
        <f aca="false">IF(A1687="","",IF(F1687="Inactivo","No","Sí"))</f>
        <v/>
      </c>
      <c r="K1687" s="23" t="str">
        <f aca="false">IF(A1687="","",IF(AND(I1687="Sí",J1687="Sí"),"Sí","No"))</f>
        <v/>
      </c>
    </row>
    <row r="1688" customFormat="false" ht="15" hidden="false" customHeight="false" outlineLevel="0" collapsed="false">
      <c r="A1688" s="22"/>
      <c r="B1688" s="22"/>
      <c r="C1688" s="26" t="str">
        <f aca="false">IF(A1688="","",IFERROR(buscarx(A1688&amp;B1688,DATA!$E$3:$E$10000&amp;DATA!$B$3:$B$10000,DATA!$M$3:$M$10000),"No encontrado"))</f>
        <v/>
      </c>
      <c r="D1688" s="27" t="str">
        <f aca="false">IF(A1688="","",IFERROR(buscarx(A1688&amp;B1688,DATA!$E$3:$E$10000&amp;DATA!$B$3:$B$10000,DATA!$W$3:$W$10000),"No encontrado"))</f>
        <v/>
      </c>
      <c r="E1688" s="22"/>
      <c r="F1688" s="26" t="str">
        <f aca="false">IF(A1688="","",IFERROR(buscarx(A1688&amp;E1688,DATA!$E$3:$E$10000&amp;DATA!$B$3:$B$10000,DATA!$M$3:$M$10000),"Inactivo"))</f>
        <v/>
      </c>
      <c r="G1688" s="28" t="str">
        <f aca="false">IF(A1688="","",IF(AND(C1688&lt;&gt;"No encontrado",F1688&lt;&gt;"Inactivo"),C1688&amp;" → "&amp;F1688,"Sin transición"))</f>
        <v/>
      </c>
      <c r="H1688" s="26" t="str">
        <f aca="false">IF(A1688="","",IF(D1688="GCIA LINEA SERVICIO DIGITALIDAD Y VENTAS","Chats",IF(OR(D1688="GERENCIA INBOUND LÍNEAS SERVICIO Y VENTA",D1688="GERENCIA INBOUND LINEAS ESPECIALIZADAS"),"Llamadas","Otro")))</f>
        <v/>
      </c>
      <c r="I1688" s="26" t="str">
        <f aca="false">IF(A1688="","",IF(C1688="No encontrado","No","Sí"))</f>
        <v/>
      </c>
      <c r="J1688" s="26" t="str">
        <f aca="false">IF(A1688="","",IF(F1688="Inactivo","No","Sí"))</f>
        <v/>
      </c>
      <c r="K1688" s="26" t="str">
        <f aca="false">IF(A1688="","",IF(AND(I1688="Sí",J1688="Sí"),"Sí","No"))</f>
        <v/>
      </c>
    </row>
    <row r="1689" customFormat="false" ht="15" hidden="false" customHeight="false" outlineLevel="0" collapsed="false">
      <c r="A1689" s="22"/>
      <c r="B1689" s="22"/>
      <c r="C1689" s="23" t="str">
        <f aca="false">IF(A1689="","",IFERROR(buscarx(A1689&amp;B1689,DATA!$E$3:$E$10000&amp;DATA!$B$3:$B$10000,DATA!$M$3:$M$10000),"No encontrado"))</f>
        <v/>
      </c>
      <c r="D1689" s="24" t="str">
        <f aca="false">IF(A1689="","",IFERROR(buscarx(A1689&amp;B1689,DATA!$E$3:$E$10000&amp;DATA!$B$3:$B$10000,DATA!$W$3:$W$10000),"No encontrado"))</f>
        <v/>
      </c>
      <c r="E1689" s="22"/>
      <c r="F1689" s="23" t="str">
        <f aca="false">IF(A1689="","",IFERROR(buscarx(A1689&amp;E1689,DATA!$E$3:$E$10000&amp;DATA!$B$3:$B$10000,DATA!$M$3:$M$10000),"Inactivo"))</f>
        <v/>
      </c>
      <c r="G1689" s="25" t="str">
        <f aca="false">IF(A1689="","",IF(AND(C1689&lt;&gt;"No encontrado",F1689&lt;&gt;"Inactivo"),C1689&amp;" → "&amp;F1689,"Sin transición"))</f>
        <v/>
      </c>
      <c r="H1689" s="23" t="str">
        <f aca="false">IF(A1689="","",IF(D1689="GCIA LINEA SERVICIO DIGITALIDAD Y VENTAS","Chats",IF(OR(D1689="GERENCIA INBOUND LÍNEAS SERVICIO Y VENTA",D1689="GERENCIA INBOUND LINEAS ESPECIALIZADAS"),"Llamadas","Otro")))</f>
        <v/>
      </c>
      <c r="I1689" s="23" t="str">
        <f aca="false">IF(A1689="","",IF(C1689="No encontrado","No","Sí"))</f>
        <v/>
      </c>
      <c r="J1689" s="23" t="str">
        <f aca="false">IF(A1689="","",IF(F1689="Inactivo","No","Sí"))</f>
        <v/>
      </c>
      <c r="K1689" s="23" t="str">
        <f aca="false">IF(A1689="","",IF(AND(I1689="Sí",J1689="Sí"),"Sí","No"))</f>
        <v/>
      </c>
    </row>
    <row r="1690" customFormat="false" ht="15" hidden="false" customHeight="false" outlineLevel="0" collapsed="false">
      <c r="A1690" s="22"/>
      <c r="B1690" s="22"/>
      <c r="C1690" s="26" t="str">
        <f aca="false">IF(A1690="","",IFERROR(buscarx(A1690&amp;B1690,DATA!$E$3:$E$10000&amp;DATA!$B$3:$B$10000,DATA!$M$3:$M$10000),"No encontrado"))</f>
        <v/>
      </c>
      <c r="D1690" s="27" t="str">
        <f aca="false">IF(A1690="","",IFERROR(buscarx(A1690&amp;B1690,DATA!$E$3:$E$10000&amp;DATA!$B$3:$B$10000,DATA!$W$3:$W$10000),"No encontrado"))</f>
        <v/>
      </c>
      <c r="E1690" s="22"/>
      <c r="F1690" s="26" t="str">
        <f aca="false">IF(A1690="","",IFERROR(buscarx(A1690&amp;E1690,DATA!$E$3:$E$10000&amp;DATA!$B$3:$B$10000,DATA!$M$3:$M$10000),"Inactivo"))</f>
        <v/>
      </c>
      <c r="G1690" s="28" t="str">
        <f aca="false">IF(A1690="","",IF(AND(C1690&lt;&gt;"No encontrado",F1690&lt;&gt;"Inactivo"),C1690&amp;" → "&amp;F1690,"Sin transición"))</f>
        <v/>
      </c>
      <c r="H1690" s="26" t="str">
        <f aca="false">IF(A1690="","",IF(D1690="GCIA LINEA SERVICIO DIGITALIDAD Y VENTAS","Chats",IF(OR(D1690="GERENCIA INBOUND LÍNEAS SERVICIO Y VENTA",D1690="GERENCIA INBOUND LINEAS ESPECIALIZADAS"),"Llamadas","Otro")))</f>
        <v/>
      </c>
      <c r="I1690" s="26" t="str">
        <f aca="false">IF(A1690="","",IF(C1690="No encontrado","No","Sí"))</f>
        <v/>
      </c>
      <c r="J1690" s="26" t="str">
        <f aca="false">IF(A1690="","",IF(F1690="Inactivo","No","Sí"))</f>
        <v/>
      </c>
      <c r="K1690" s="26" t="str">
        <f aca="false">IF(A1690="","",IF(AND(I1690="Sí",J1690="Sí"),"Sí","No"))</f>
        <v/>
      </c>
    </row>
    <row r="1691" customFormat="false" ht="15" hidden="false" customHeight="false" outlineLevel="0" collapsed="false">
      <c r="A1691" s="22"/>
      <c r="B1691" s="22"/>
      <c r="C1691" s="23" t="str">
        <f aca="false">IF(A1691="","",IFERROR(buscarx(A1691&amp;B1691,DATA!$E$3:$E$10000&amp;DATA!$B$3:$B$10000,DATA!$M$3:$M$10000),"No encontrado"))</f>
        <v/>
      </c>
      <c r="D1691" s="24" t="str">
        <f aca="false">IF(A1691="","",IFERROR(buscarx(A1691&amp;B1691,DATA!$E$3:$E$10000&amp;DATA!$B$3:$B$10000,DATA!$W$3:$W$10000),"No encontrado"))</f>
        <v/>
      </c>
      <c r="E1691" s="22"/>
      <c r="F1691" s="23" t="str">
        <f aca="false">IF(A1691="","",IFERROR(buscarx(A1691&amp;E1691,DATA!$E$3:$E$10000&amp;DATA!$B$3:$B$10000,DATA!$M$3:$M$10000),"Inactivo"))</f>
        <v/>
      </c>
      <c r="G1691" s="25" t="str">
        <f aca="false">IF(A1691="","",IF(AND(C1691&lt;&gt;"No encontrado",F1691&lt;&gt;"Inactivo"),C1691&amp;" → "&amp;F1691,"Sin transición"))</f>
        <v/>
      </c>
      <c r="H1691" s="23" t="str">
        <f aca="false">IF(A1691="","",IF(D1691="GCIA LINEA SERVICIO DIGITALIDAD Y VENTAS","Chats",IF(OR(D1691="GERENCIA INBOUND LÍNEAS SERVICIO Y VENTA",D1691="GERENCIA INBOUND LINEAS ESPECIALIZADAS"),"Llamadas","Otro")))</f>
        <v/>
      </c>
      <c r="I1691" s="23" t="str">
        <f aca="false">IF(A1691="","",IF(C1691="No encontrado","No","Sí"))</f>
        <v/>
      </c>
      <c r="J1691" s="23" t="str">
        <f aca="false">IF(A1691="","",IF(F1691="Inactivo","No","Sí"))</f>
        <v/>
      </c>
      <c r="K1691" s="23" t="str">
        <f aca="false">IF(A1691="","",IF(AND(I1691="Sí",J1691="Sí"),"Sí","No"))</f>
        <v/>
      </c>
    </row>
    <row r="1692" customFormat="false" ht="15" hidden="false" customHeight="false" outlineLevel="0" collapsed="false">
      <c r="A1692" s="22"/>
      <c r="B1692" s="22"/>
      <c r="C1692" s="26" t="str">
        <f aca="false">IF(A1692="","",IFERROR(buscarx(A1692&amp;B1692,DATA!$E$3:$E$10000&amp;DATA!$B$3:$B$10000,DATA!$M$3:$M$10000),"No encontrado"))</f>
        <v/>
      </c>
      <c r="D1692" s="27" t="str">
        <f aca="false">IF(A1692="","",IFERROR(buscarx(A1692&amp;B1692,DATA!$E$3:$E$10000&amp;DATA!$B$3:$B$10000,DATA!$W$3:$W$10000),"No encontrado"))</f>
        <v/>
      </c>
      <c r="E1692" s="22"/>
      <c r="F1692" s="26" t="str">
        <f aca="false">IF(A1692="","",IFERROR(buscarx(A1692&amp;E1692,DATA!$E$3:$E$10000&amp;DATA!$B$3:$B$10000,DATA!$M$3:$M$10000),"Inactivo"))</f>
        <v/>
      </c>
      <c r="G1692" s="28" t="str">
        <f aca="false">IF(A1692="","",IF(AND(C1692&lt;&gt;"No encontrado",F1692&lt;&gt;"Inactivo"),C1692&amp;" → "&amp;F1692,"Sin transición"))</f>
        <v/>
      </c>
      <c r="H1692" s="26" t="str">
        <f aca="false">IF(A1692="","",IF(D1692="GCIA LINEA SERVICIO DIGITALIDAD Y VENTAS","Chats",IF(OR(D1692="GERENCIA INBOUND LÍNEAS SERVICIO Y VENTA",D1692="GERENCIA INBOUND LINEAS ESPECIALIZADAS"),"Llamadas","Otro")))</f>
        <v/>
      </c>
      <c r="I1692" s="26" t="str">
        <f aca="false">IF(A1692="","",IF(C1692="No encontrado","No","Sí"))</f>
        <v/>
      </c>
      <c r="J1692" s="26" t="str">
        <f aca="false">IF(A1692="","",IF(F1692="Inactivo","No","Sí"))</f>
        <v/>
      </c>
      <c r="K1692" s="26" t="str">
        <f aca="false">IF(A1692="","",IF(AND(I1692="Sí",J1692="Sí"),"Sí","No"))</f>
        <v/>
      </c>
    </row>
    <row r="1693" customFormat="false" ht="15" hidden="false" customHeight="false" outlineLevel="0" collapsed="false">
      <c r="A1693" s="22"/>
      <c r="B1693" s="22"/>
      <c r="C1693" s="23" t="str">
        <f aca="false">IF(A1693="","",IFERROR(buscarx(A1693&amp;B1693,DATA!$E$3:$E$10000&amp;DATA!$B$3:$B$10000,DATA!$M$3:$M$10000),"No encontrado"))</f>
        <v/>
      </c>
      <c r="D1693" s="24" t="str">
        <f aca="false">IF(A1693="","",IFERROR(buscarx(A1693&amp;B1693,DATA!$E$3:$E$10000&amp;DATA!$B$3:$B$10000,DATA!$W$3:$W$10000),"No encontrado"))</f>
        <v/>
      </c>
      <c r="E1693" s="22"/>
      <c r="F1693" s="23" t="str">
        <f aca="false">IF(A1693="","",IFERROR(buscarx(A1693&amp;E1693,DATA!$E$3:$E$10000&amp;DATA!$B$3:$B$10000,DATA!$M$3:$M$10000),"Inactivo"))</f>
        <v/>
      </c>
      <c r="G1693" s="25" t="str">
        <f aca="false">IF(A1693="","",IF(AND(C1693&lt;&gt;"No encontrado",F1693&lt;&gt;"Inactivo"),C1693&amp;" → "&amp;F1693,"Sin transición"))</f>
        <v/>
      </c>
      <c r="H1693" s="23" t="str">
        <f aca="false">IF(A1693="","",IF(D1693="GCIA LINEA SERVICIO DIGITALIDAD Y VENTAS","Chats",IF(OR(D1693="GERENCIA INBOUND LÍNEAS SERVICIO Y VENTA",D1693="GERENCIA INBOUND LINEAS ESPECIALIZADAS"),"Llamadas","Otro")))</f>
        <v/>
      </c>
      <c r="I1693" s="23" t="str">
        <f aca="false">IF(A1693="","",IF(C1693="No encontrado","No","Sí"))</f>
        <v/>
      </c>
      <c r="J1693" s="23" t="str">
        <f aca="false">IF(A1693="","",IF(F1693="Inactivo","No","Sí"))</f>
        <v/>
      </c>
      <c r="K1693" s="23" t="str">
        <f aca="false">IF(A1693="","",IF(AND(I1693="Sí",J1693="Sí"),"Sí","No"))</f>
        <v/>
      </c>
    </row>
    <row r="1694" customFormat="false" ht="15" hidden="false" customHeight="false" outlineLevel="0" collapsed="false">
      <c r="A1694" s="22"/>
      <c r="B1694" s="22"/>
      <c r="C1694" s="26" t="str">
        <f aca="false">IF(A1694="","",IFERROR(buscarx(A1694&amp;B1694,DATA!$E$3:$E$10000&amp;DATA!$B$3:$B$10000,DATA!$M$3:$M$10000),"No encontrado"))</f>
        <v/>
      </c>
      <c r="D1694" s="27" t="str">
        <f aca="false">IF(A1694="","",IFERROR(buscarx(A1694&amp;B1694,DATA!$E$3:$E$10000&amp;DATA!$B$3:$B$10000,DATA!$W$3:$W$10000),"No encontrado"))</f>
        <v/>
      </c>
      <c r="E1694" s="22"/>
      <c r="F1694" s="26" t="str">
        <f aca="false">IF(A1694="","",IFERROR(buscarx(A1694&amp;E1694,DATA!$E$3:$E$10000&amp;DATA!$B$3:$B$10000,DATA!$M$3:$M$10000),"Inactivo"))</f>
        <v/>
      </c>
      <c r="G1694" s="28" t="str">
        <f aca="false">IF(A1694="","",IF(AND(C1694&lt;&gt;"No encontrado",F1694&lt;&gt;"Inactivo"),C1694&amp;" → "&amp;F1694,"Sin transición"))</f>
        <v/>
      </c>
      <c r="H1694" s="26" t="str">
        <f aca="false">IF(A1694="","",IF(D1694="GCIA LINEA SERVICIO DIGITALIDAD Y VENTAS","Chats",IF(OR(D1694="GERENCIA INBOUND LÍNEAS SERVICIO Y VENTA",D1694="GERENCIA INBOUND LINEAS ESPECIALIZADAS"),"Llamadas","Otro")))</f>
        <v/>
      </c>
      <c r="I1694" s="26" t="str">
        <f aca="false">IF(A1694="","",IF(C1694="No encontrado","No","Sí"))</f>
        <v/>
      </c>
      <c r="J1694" s="26" t="str">
        <f aca="false">IF(A1694="","",IF(F1694="Inactivo","No","Sí"))</f>
        <v/>
      </c>
      <c r="K1694" s="26" t="str">
        <f aca="false">IF(A1694="","",IF(AND(I1694="Sí",J1694="Sí"),"Sí","No"))</f>
        <v/>
      </c>
    </row>
    <row r="1695" customFormat="false" ht="15" hidden="false" customHeight="false" outlineLevel="0" collapsed="false">
      <c r="A1695" s="22"/>
      <c r="B1695" s="22"/>
      <c r="C1695" s="23" t="str">
        <f aca="false">IF(A1695="","",IFERROR(buscarx(A1695&amp;B1695,DATA!$E$3:$E$10000&amp;DATA!$B$3:$B$10000,DATA!$M$3:$M$10000),"No encontrado"))</f>
        <v/>
      </c>
      <c r="D1695" s="24" t="str">
        <f aca="false">IF(A1695="","",IFERROR(buscarx(A1695&amp;B1695,DATA!$E$3:$E$10000&amp;DATA!$B$3:$B$10000,DATA!$W$3:$W$10000),"No encontrado"))</f>
        <v/>
      </c>
      <c r="E1695" s="22"/>
      <c r="F1695" s="23" t="str">
        <f aca="false">IF(A1695="","",IFERROR(buscarx(A1695&amp;E1695,DATA!$E$3:$E$10000&amp;DATA!$B$3:$B$10000,DATA!$M$3:$M$10000),"Inactivo"))</f>
        <v/>
      </c>
      <c r="G1695" s="25" t="str">
        <f aca="false">IF(A1695="","",IF(AND(C1695&lt;&gt;"No encontrado",F1695&lt;&gt;"Inactivo"),C1695&amp;" → "&amp;F1695,"Sin transición"))</f>
        <v/>
      </c>
      <c r="H1695" s="23" t="str">
        <f aca="false">IF(A1695="","",IF(D1695="GCIA LINEA SERVICIO DIGITALIDAD Y VENTAS","Chats",IF(OR(D1695="GERENCIA INBOUND LÍNEAS SERVICIO Y VENTA",D1695="GERENCIA INBOUND LINEAS ESPECIALIZADAS"),"Llamadas","Otro")))</f>
        <v/>
      </c>
      <c r="I1695" s="23" t="str">
        <f aca="false">IF(A1695="","",IF(C1695="No encontrado","No","Sí"))</f>
        <v/>
      </c>
      <c r="J1695" s="23" t="str">
        <f aca="false">IF(A1695="","",IF(F1695="Inactivo","No","Sí"))</f>
        <v/>
      </c>
      <c r="K1695" s="23" t="str">
        <f aca="false">IF(A1695="","",IF(AND(I1695="Sí",J1695="Sí"),"Sí","No"))</f>
        <v/>
      </c>
    </row>
    <row r="1696" customFormat="false" ht="15" hidden="false" customHeight="false" outlineLevel="0" collapsed="false">
      <c r="A1696" s="22"/>
      <c r="B1696" s="22"/>
      <c r="C1696" s="26" t="str">
        <f aca="false">IF(A1696="","",IFERROR(buscarx(A1696&amp;B1696,DATA!$E$3:$E$10000&amp;DATA!$B$3:$B$10000,DATA!$M$3:$M$10000),"No encontrado"))</f>
        <v/>
      </c>
      <c r="D1696" s="27" t="str">
        <f aca="false">IF(A1696="","",IFERROR(buscarx(A1696&amp;B1696,DATA!$E$3:$E$10000&amp;DATA!$B$3:$B$10000,DATA!$W$3:$W$10000),"No encontrado"))</f>
        <v/>
      </c>
      <c r="E1696" s="22"/>
      <c r="F1696" s="26" t="str">
        <f aca="false">IF(A1696="","",IFERROR(buscarx(A1696&amp;E1696,DATA!$E$3:$E$10000&amp;DATA!$B$3:$B$10000,DATA!$M$3:$M$10000),"Inactivo"))</f>
        <v/>
      </c>
      <c r="G1696" s="28" t="str">
        <f aca="false">IF(A1696="","",IF(AND(C1696&lt;&gt;"No encontrado",F1696&lt;&gt;"Inactivo"),C1696&amp;" → "&amp;F1696,"Sin transición"))</f>
        <v/>
      </c>
      <c r="H1696" s="26" t="str">
        <f aca="false">IF(A1696="","",IF(D1696="GCIA LINEA SERVICIO DIGITALIDAD Y VENTAS","Chats",IF(OR(D1696="GERENCIA INBOUND LÍNEAS SERVICIO Y VENTA",D1696="GERENCIA INBOUND LINEAS ESPECIALIZADAS"),"Llamadas","Otro")))</f>
        <v/>
      </c>
      <c r="I1696" s="26" t="str">
        <f aca="false">IF(A1696="","",IF(C1696="No encontrado","No","Sí"))</f>
        <v/>
      </c>
      <c r="J1696" s="26" t="str">
        <f aca="false">IF(A1696="","",IF(F1696="Inactivo","No","Sí"))</f>
        <v/>
      </c>
      <c r="K1696" s="26" t="str">
        <f aca="false">IF(A1696="","",IF(AND(I1696="Sí",J1696="Sí"),"Sí","No"))</f>
        <v/>
      </c>
    </row>
    <row r="1697" customFormat="false" ht="15" hidden="false" customHeight="false" outlineLevel="0" collapsed="false">
      <c r="A1697" s="22"/>
      <c r="B1697" s="22"/>
      <c r="C1697" s="23" t="str">
        <f aca="false">IF(A1697="","",IFERROR(buscarx(A1697&amp;B1697,DATA!$E$3:$E$10000&amp;DATA!$B$3:$B$10000,DATA!$M$3:$M$10000),"No encontrado"))</f>
        <v/>
      </c>
      <c r="D1697" s="24" t="str">
        <f aca="false">IF(A1697="","",IFERROR(buscarx(A1697&amp;B1697,DATA!$E$3:$E$10000&amp;DATA!$B$3:$B$10000,DATA!$W$3:$W$10000),"No encontrado"))</f>
        <v/>
      </c>
      <c r="E1697" s="22"/>
      <c r="F1697" s="23" t="str">
        <f aca="false">IF(A1697="","",IFERROR(buscarx(A1697&amp;E1697,DATA!$E$3:$E$10000&amp;DATA!$B$3:$B$10000,DATA!$M$3:$M$10000),"Inactivo"))</f>
        <v/>
      </c>
      <c r="G1697" s="25" t="str">
        <f aca="false">IF(A1697="","",IF(AND(C1697&lt;&gt;"No encontrado",F1697&lt;&gt;"Inactivo"),C1697&amp;" → "&amp;F1697,"Sin transición"))</f>
        <v/>
      </c>
      <c r="H1697" s="23" t="str">
        <f aca="false">IF(A1697="","",IF(D1697="GCIA LINEA SERVICIO DIGITALIDAD Y VENTAS","Chats",IF(OR(D1697="GERENCIA INBOUND LÍNEAS SERVICIO Y VENTA",D1697="GERENCIA INBOUND LINEAS ESPECIALIZADAS"),"Llamadas","Otro")))</f>
        <v/>
      </c>
      <c r="I1697" s="23" t="str">
        <f aca="false">IF(A1697="","",IF(C1697="No encontrado","No","Sí"))</f>
        <v/>
      </c>
      <c r="J1697" s="23" t="str">
        <f aca="false">IF(A1697="","",IF(F1697="Inactivo","No","Sí"))</f>
        <v/>
      </c>
      <c r="K1697" s="23" t="str">
        <f aca="false">IF(A1697="","",IF(AND(I1697="Sí",J1697="Sí"),"Sí","No"))</f>
        <v/>
      </c>
    </row>
    <row r="1698" customFormat="false" ht="15" hidden="false" customHeight="false" outlineLevel="0" collapsed="false">
      <c r="A1698" s="22"/>
      <c r="B1698" s="22"/>
      <c r="C1698" s="26" t="str">
        <f aca="false">IF(A1698="","",IFERROR(buscarx(A1698&amp;B1698,DATA!$E$3:$E$10000&amp;DATA!$B$3:$B$10000,DATA!$M$3:$M$10000),"No encontrado"))</f>
        <v/>
      </c>
      <c r="D1698" s="27" t="str">
        <f aca="false">IF(A1698="","",IFERROR(buscarx(A1698&amp;B1698,DATA!$E$3:$E$10000&amp;DATA!$B$3:$B$10000,DATA!$W$3:$W$10000),"No encontrado"))</f>
        <v/>
      </c>
      <c r="E1698" s="22"/>
      <c r="F1698" s="26" t="str">
        <f aca="false">IF(A1698="","",IFERROR(buscarx(A1698&amp;E1698,DATA!$E$3:$E$10000&amp;DATA!$B$3:$B$10000,DATA!$M$3:$M$10000),"Inactivo"))</f>
        <v/>
      </c>
      <c r="G1698" s="28" t="str">
        <f aca="false">IF(A1698="","",IF(AND(C1698&lt;&gt;"No encontrado",F1698&lt;&gt;"Inactivo"),C1698&amp;" → "&amp;F1698,"Sin transición"))</f>
        <v/>
      </c>
      <c r="H1698" s="26" t="str">
        <f aca="false">IF(A1698="","",IF(D1698="GCIA LINEA SERVICIO DIGITALIDAD Y VENTAS","Chats",IF(OR(D1698="GERENCIA INBOUND LÍNEAS SERVICIO Y VENTA",D1698="GERENCIA INBOUND LINEAS ESPECIALIZADAS"),"Llamadas","Otro")))</f>
        <v/>
      </c>
      <c r="I1698" s="26" t="str">
        <f aca="false">IF(A1698="","",IF(C1698="No encontrado","No","Sí"))</f>
        <v/>
      </c>
      <c r="J1698" s="26" t="str">
        <f aca="false">IF(A1698="","",IF(F1698="Inactivo","No","Sí"))</f>
        <v/>
      </c>
      <c r="K1698" s="26" t="str">
        <f aca="false">IF(A1698="","",IF(AND(I1698="Sí",J1698="Sí"),"Sí","No"))</f>
        <v/>
      </c>
    </row>
    <row r="1699" customFormat="false" ht="15" hidden="false" customHeight="false" outlineLevel="0" collapsed="false">
      <c r="A1699" s="22"/>
      <c r="B1699" s="22"/>
      <c r="C1699" s="23" t="str">
        <f aca="false">IF(A1699="","",IFERROR(buscarx(A1699&amp;B1699,DATA!$E$3:$E$10000&amp;DATA!$B$3:$B$10000,DATA!$M$3:$M$10000),"No encontrado"))</f>
        <v/>
      </c>
      <c r="D1699" s="24" t="str">
        <f aca="false">IF(A1699="","",IFERROR(buscarx(A1699&amp;B1699,DATA!$E$3:$E$10000&amp;DATA!$B$3:$B$10000,DATA!$W$3:$W$10000),"No encontrado"))</f>
        <v/>
      </c>
      <c r="E1699" s="22"/>
      <c r="F1699" s="23" t="str">
        <f aca="false">IF(A1699="","",IFERROR(buscarx(A1699&amp;E1699,DATA!$E$3:$E$10000&amp;DATA!$B$3:$B$10000,DATA!$M$3:$M$10000),"Inactivo"))</f>
        <v/>
      </c>
      <c r="G1699" s="25" t="str">
        <f aca="false">IF(A1699="","",IF(AND(C1699&lt;&gt;"No encontrado",F1699&lt;&gt;"Inactivo"),C1699&amp;" → "&amp;F1699,"Sin transición"))</f>
        <v/>
      </c>
      <c r="H1699" s="23" t="str">
        <f aca="false">IF(A1699="","",IF(D1699="GCIA LINEA SERVICIO DIGITALIDAD Y VENTAS","Chats",IF(OR(D1699="GERENCIA INBOUND LÍNEAS SERVICIO Y VENTA",D1699="GERENCIA INBOUND LINEAS ESPECIALIZADAS"),"Llamadas","Otro")))</f>
        <v/>
      </c>
      <c r="I1699" s="23" t="str">
        <f aca="false">IF(A1699="","",IF(C1699="No encontrado","No","Sí"))</f>
        <v/>
      </c>
      <c r="J1699" s="23" t="str">
        <f aca="false">IF(A1699="","",IF(F1699="Inactivo","No","Sí"))</f>
        <v/>
      </c>
      <c r="K1699" s="23" t="str">
        <f aca="false">IF(A1699="","",IF(AND(I1699="Sí",J1699="Sí"),"Sí","No"))</f>
        <v/>
      </c>
    </row>
    <row r="1700" customFormat="false" ht="15" hidden="false" customHeight="false" outlineLevel="0" collapsed="false">
      <c r="A1700" s="22"/>
      <c r="B1700" s="22"/>
      <c r="C1700" s="26" t="str">
        <f aca="false">IF(A1700="","",IFERROR(buscarx(A1700&amp;B1700,DATA!$E$3:$E$10000&amp;DATA!$B$3:$B$10000,DATA!$M$3:$M$10000),"No encontrado"))</f>
        <v/>
      </c>
      <c r="D1700" s="27" t="str">
        <f aca="false">IF(A1700="","",IFERROR(buscarx(A1700&amp;B1700,DATA!$E$3:$E$10000&amp;DATA!$B$3:$B$10000,DATA!$W$3:$W$10000),"No encontrado"))</f>
        <v/>
      </c>
      <c r="E1700" s="22"/>
      <c r="F1700" s="26" t="str">
        <f aca="false">IF(A1700="","",IFERROR(buscarx(A1700&amp;E1700,DATA!$E$3:$E$10000&amp;DATA!$B$3:$B$10000,DATA!$M$3:$M$10000),"Inactivo"))</f>
        <v/>
      </c>
      <c r="G1700" s="28" t="str">
        <f aca="false">IF(A1700="","",IF(AND(C1700&lt;&gt;"No encontrado",F1700&lt;&gt;"Inactivo"),C1700&amp;" → "&amp;F1700,"Sin transición"))</f>
        <v/>
      </c>
      <c r="H1700" s="26" t="str">
        <f aca="false">IF(A1700="","",IF(D1700="GCIA LINEA SERVICIO DIGITALIDAD Y VENTAS","Chats",IF(OR(D1700="GERENCIA INBOUND LÍNEAS SERVICIO Y VENTA",D1700="GERENCIA INBOUND LINEAS ESPECIALIZADAS"),"Llamadas","Otro")))</f>
        <v/>
      </c>
      <c r="I1700" s="26" t="str">
        <f aca="false">IF(A1700="","",IF(C1700="No encontrado","No","Sí"))</f>
        <v/>
      </c>
      <c r="J1700" s="26" t="str">
        <f aca="false">IF(A1700="","",IF(F1700="Inactivo","No","Sí"))</f>
        <v/>
      </c>
      <c r="K1700" s="26" t="str">
        <f aca="false">IF(A1700="","",IF(AND(I1700="Sí",J1700="Sí"),"Sí","No"))</f>
        <v/>
      </c>
    </row>
    <row r="1701" customFormat="false" ht="15" hidden="false" customHeight="false" outlineLevel="0" collapsed="false">
      <c r="A1701" s="22"/>
      <c r="B1701" s="22"/>
      <c r="C1701" s="23" t="str">
        <f aca="false">IF(A1701="","",IFERROR(buscarx(A1701&amp;B1701,DATA!$E$3:$E$10000&amp;DATA!$B$3:$B$10000,DATA!$M$3:$M$10000),"No encontrado"))</f>
        <v/>
      </c>
      <c r="D1701" s="24" t="str">
        <f aca="false">IF(A1701="","",IFERROR(buscarx(A1701&amp;B1701,DATA!$E$3:$E$10000&amp;DATA!$B$3:$B$10000,DATA!$W$3:$W$10000),"No encontrado"))</f>
        <v/>
      </c>
      <c r="E1701" s="22"/>
      <c r="F1701" s="23" t="str">
        <f aca="false">IF(A1701="","",IFERROR(buscarx(A1701&amp;E1701,DATA!$E$3:$E$10000&amp;DATA!$B$3:$B$10000,DATA!$M$3:$M$10000),"Inactivo"))</f>
        <v/>
      </c>
      <c r="G1701" s="25" t="str">
        <f aca="false">IF(A1701="","",IF(AND(C1701&lt;&gt;"No encontrado",F1701&lt;&gt;"Inactivo"),C1701&amp;" → "&amp;F1701,"Sin transición"))</f>
        <v/>
      </c>
      <c r="H1701" s="23" t="str">
        <f aca="false">IF(A1701="","",IF(D1701="GCIA LINEA SERVICIO DIGITALIDAD Y VENTAS","Chats",IF(OR(D1701="GERENCIA INBOUND LÍNEAS SERVICIO Y VENTA",D1701="GERENCIA INBOUND LINEAS ESPECIALIZADAS"),"Llamadas","Otro")))</f>
        <v/>
      </c>
      <c r="I1701" s="23" t="str">
        <f aca="false">IF(A1701="","",IF(C1701="No encontrado","No","Sí"))</f>
        <v/>
      </c>
      <c r="J1701" s="23" t="str">
        <f aca="false">IF(A1701="","",IF(F1701="Inactivo","No","Sí"))</f>
        <v/>
      </c>
      <c r="K1701" s="23" t="str">
        <f aca="false">IF(A1701="","",IF(AND(I1701="Sí",J1701="Sí"),"Sí","No"))</f>
        <v/>
      </c>
    </row>
    <row r="1702" customFormat="false" ht="15" hidden="false" customHeight="false" outlineLevel="0" collapsed="false">
      <c r="A1702" s="22"/>
      <c r="B1702" s="22"/>
      <c r="C1702" s="26" t="str">
        <f aca="false">IF(A1702="","",IFERROR(buscarx(A1702&amp;B1702,DATA!$E$3:$E$10000&amp;DATA!$B$3:$B$10000,DATA!$M$3:$M$10000),"No encontrado"))</f>
        <v/>
      </c>
      <c r="D1702" s="27" t="str">
        <f aca="false">IF(A1702="","",IFERROR(buscarx(A1702&amp;B1702,DATA!$E$3:$E$10000&amp;DATA!$B$3:$B$10000,DATA!$W$3:$W$10000),"No encontrado"))</f>
        <v/>
      </c>
      <c r="E1702" s="22"/>
      <c r="F1702" s="26" t="str">
        <f aca="false">IF(A1702="","",IFERROR(buscarx(A1702&amp;E1702,DATA!$E$3:$E$10000&amp;DATA!$B$3:$B$10000,DATA!$M$3:$M$10000),"Inactivo"))</f>
        <v/>
      </c>
      <c r="G1702" s="28" t="str">
        <f aca="false">IF(A1702="","",IF(AND(C1702&lt;&gt;"No encontrado",F1702&lt;&gt;"Inactivo"),C1702&amp;" → "&amp;F1702,"Sin transición"))</f>
        <v/>
      </c>
      <c r="H1702" s="26" t="str">
        <f aca="false">IF(A1702="","",IF(D1702="GCIA LINEA SERVICIO DIGITALIDAD Y VENTAS","Chats",IF(OR(D1702="GERENCIA INBOUND LÍNEAS SERVICIO Y VENTA",D1702="GERENCIA INBOUND LINEAS ESPECIALIZADAS"),"Llamadas","Otro")))</f>
        <v/>
      </c>
      <c r="I1702" s="26" t="str">
        <f aca="false">IF(A1702="","",IF(C1702="No encontrado","No","Sí"))</f>
        <v/>
      </c>
      <c r="J1702" s="26" t="str">
        <f aca="false">IF(A1702="","",IF(F1702="Inactivo","No","Sí"))</f>
        <v/>
      </c>
      <c r="K1702" s="26" t="str">
        <f aca="false">IF(A1702="","",IF(AND(I1702="Sí",J1702="Sí"),"Sí","No"))</f>
        <v/>
      </c>
    </row>
    <row r="1703" customFormat="false" ht="15" hidden="false" customHeight="false" outlineLevel="0" collapsed="false">
      <c r="A1703" s="22"/>
      <c r="B1703" s="22"/>
      <c r="C1703" s="23" t="str">
        <f aca="false">IF(A1703="","",IFERROR(buscarx(A1703&amp;B1703,DATA!$E$3:$E$10000&amp;DATA!$B$3:$B$10000,DATA!$M$3:$M$10000),"No encontrado"))</f>
        <v/>
      </c>
      <c r="D1703" s="24" t="str">
        <f aca="false">IF(A1703="","",IFERROR(buscarx(A1703&amp;B1703,DATA!$E$3:$E$10000&amp;DATA!$B$3:$B$10000,DATA!$W$3:$W$10000),"No encontrado"))</f>
        <v/>
      </c>
      <c r="E1703" s="22"/>
      <c r="F1703" s="23" t="str">
        <f aca="false">IF(A1703="","",IFERROR(buscarx(A1703&amp;E1703,DATA!$E$3:$E$10000&amp;DATA!$B$3:$B$10000,DATA!$M$3:$M$10000),"Inactivo"))</f>
        <v/>
      </c>
      <c r="G1703" s="25" t="str">
        <f aca="false">IF(A1703="","",IF(AND(C1703&lt;&gt;"No encontrado",F1703&lt;&gt;"Inactivo"),C1703&amp;" → "&amp;F1703,"Sin transición"))</f>
        <v/>
      </c>
      <c r="H1703" s="23" t="str">
        <f aca="false">IF(A1703="","",IF(D1703="GCIA LINEA SERVICIO DIGITALIDAD Y VENTAS","Chats",IF(OR(D1703="GERENCIA INBOUND LÍNEAS SERVICIO Y VENTA",D1703="GERENCIA INBOUND LINEAS ESPECIALIZADAS"),"Llamadas","Otro")))</f>
        <v/>
      </c>
      <c r="I1703" s="23" t="str">
        <f aca="false">IF(A1703="","",IF(C1703="No encontrado","No","Sí"))</f>
        <v/>
      </c>
      <c r="J1703" s="23" t="str">
        <f aca="false">IF(A1703="","",IF(F1703="Inactivo","No","Sí"))</f>
        <v/>
      </c>
      <c r="K1703" s="23" t="str">
        <f aca="false">IF(A1703="","",IF(AND(I1703="Sí",J1703="Sí"),"Sí","No"))</f>
        <v/>
      </c>
    </row>
    <row r="1704" customFormat="false" ht="15" hidden="false" customHeight="false" outlineLevel="0" collapsed="false">
      <c r="A1704" s="22"/>
      <c r="B1704" s="22"/>
      <c r="C1704" s="26" t="str">
        <f aca="false">IF(A1704="","",IFERROR(buscarx(A1704&amp;B1704,DATA!$E$3:$E$10000&amp;DATA!$B$3:$B$10000,DATA!$M$3:$M$10000),"No encontrado"))</f>
        <v/>
      </c>
      <c r="D1704" s="27" t="str">
        <f aca="false">IF(A1704="","",IFERROR(buscarx(A1704&amp;B1704,DATA!$E$3:$E$10000&amp;DATA!$B$3:$B$10000,DATA!$W$3:$W$10000),"No encontrado"))</f>
        <v/>
      </c>
      <c r="E1704" s="22"/>
      <c r="F1704" s="26" t="str">
        <f aca="false">IF(A1704="","",IFERROR(buscarx(A1704&amp;E1704,DATA!$E$3:$E$10000&amp;DATA!$B$3:$B$10000,DATA!$M$3:$M$10000),"Inactivo"))</f>
        <v/>
      </c>
      <c r="G1704" s="28" t="str">
        <f aca="false">IF(A1704="","",IF(AND(C1704&lt;&gt;"No encontrado",F1704&lt;&gt;"Inactivo"),C1704&amp;" → "&amp;F1704,"Sin transición"))</f>
        <v/>
      </c>
      <c r="H1704" s="26" t="str">
        <f aca="false">IF(A1704="","",IF(D1704="GCIA LINEA SERVICIO DIGITALIDAD Y VENTAS","Chats",IF(OR(D1704="GERENCIA INBOUND LÍNEAS SERVICIO Y VENTA",D1704="GERENCIA INBOUND LINEAS ESPECIALIZADAS"),"Llamadas","Otro")))</f>
        <v/>
      </c>
      <c r="I1704" s="26" t="str">
        <f aca="false">IF(A1704="","",IF(C1704="No encontrado","No","Sí"))</f>
        <v/>
      </c>
      <c r="J1704" s="26" t="str">
        <f aca="false">IF(A1704="","",IF(F1704="Inactivo","No","Sí"))</f>
        <v/>
      </c>
      <c r="K1704" s="26" t="str">
        <f aca="false">IF(A1704="","",IF(AND(I1704="Sí",J1704="Sí"),"Sí","No"))</f>
        <v/>
      </c>
    </row>
    <row r="1705" customFormat="false" ht="15" hidden="false" customHeight="false" outlineLevel="0" collapsed="false">
      <c r="A1705" s="22"/>
      <c r="B1705" s="22"/>
      <c r="C1705" s="23" t="str">
        <f aca="false">IF(A1705="","",IFERROR(buscarx(A1705&amp;B1705,DATA!$E$3:$E$10000&amp;DATA!$B$3:$B$10000,DATA!$M$3:$M$10000),"No encontrado"))</f>
        <v/>
      </c>
      <c r="D1705" s="24" t="str">
        <f aca="false">IF(A1705="","",IFERROR(buscarx(A1705&amp;B1705,DATA!$E$3:$E$10000&amp;DATA!$B$3:$B$10000,DATA!$W$3:$W$10000),"No encontrado"))</f>
        <v/>
      </c>
      <c r="E1705" s="22"/>
      <c r="F1705" s="23" t="str">
        <f aca="false">IF(A1705="","",IFERROR(buscarx(A1705&amp;E1705,DATA!$E$3:$E$10000&amp;DATA!$B$3:$B$10000,DATA!$M$3:$M$10000),"Inactivo"))</f>
        <v/>
      </c>
      <c r="G1705" s="25" t="str">
        <f aca="false">IF(A1705="","",IF(AND(C1705&lt;&gt;"No encontrado",F1705&lt;&gt;"Inactivo"),C1705&amp;" → "&amp;F1705,"Sin transición"))</f>
        <v/>
      </c>
      <c r="H1705" s="23" t="str">
        <f aca="false">IF(A1705="","",IF(D1705="GCIA LINEA SERVICIO DIGITALIDAD Y VENTAS","Chats",IF(OR(D1705="GERENCIA INBOUND LÍNEAS SERVICIO Y VENTA",D1705="GERENCIA INBOUND LINEAS ESPECIALIZADAS"),"Llamadas","Otro")))</f>
        <v/>
      </c>
      <c r="I1705" s="23" t="str">
        <f aca="false">IF(A1705="","",IF(C1705="No encontrado","No","Sí"))</f>
        <v/>
      </c>
      <c r="J1705" s="23" t="str">
        <f aca="false">IF(A1705="","",IF(F1705="Inactivo","No","Sí"))</f>
        <v/>
      </c>
      <c r="K1705" s="23" t="str">
        <f aca="false">IF(A1705="","",IF(AND(I1705="Sí",J1705="Sí"),"Sí","No"))</f>
        <v/>
      </c>
    </row>
    <row r="1706" customFormat="false" ht="15" hidden="false" customHeight="false" outlineLevel="0" collapsed="false">
      <c r="A1706" s="22"/>
      <c r="B1706" s="22"/>
      <c r="C1706" s="26" t="str">
        <f aca="false">IF(A1706="","",IFERROR(buscarx(A1706&amp;B1706,DATA!$E$3:$E$10000&amp;DATA!$B$3:$B$10000,DATA!$M$3:$M$10000),"No encontrado"))</f>
        <v/>
      </c>
      <c r="D1706" s="27" t="str">
        <f aca="false">IF(A1706="","",IFERROR(buscarx(A1706&amp;B1706,DATA!$E$3:$E$10000&amp;DATA!$B$3:$B$10000,DATA!$W$3:$W$10000),"No encontrado"))</f>
        <v/>
      </c>
      <c r="E1706" s="22"/>
      <c r="F1706" s="26" t="str">
        <f aca="false">IF(A1706="","",IFERROR(buscarx(A1706&amp;E1706,DATA!$E$3:$E$10000&amp;DATA!$B$3:$B$10000,DATA!$M$3:$M$10000),"Inactivo"))</f>
        <v/>
      </c>
      <c r="G1706" s="28" t="str">
        <f aca="false">IF(A1706="","",IF(AND(C1706&lt;&gt;"No encontrado",F1706&lt;&gt;"Inactivo"),C1706&amp;" → "&amp;F1706,"Sin transición"))</f>
        <v/>
      </c>
      <c r="H1706" s="26" t="str">
        <f aca="false">IF(A1706="","",IF(D1706="GCIA LINEA SERVICIO DIGITALIDAD Y VENTAS","Chats",IF(OR(D1706="GERENCIA INBOUND LÍNEAS SERVICIO Y VENTA",D1706="GERENCIA INBOUND LINEAS ESPECIALIZADAS"),"Llamadas","Otro")))</f>
        <v/>
      </c>
      <c r="I1706" s="26" t="str">
        <f aca="false">IF(A1706="","",IF(C1706="No encontrado","No","Sí"))</f>
        <v/>
      </c>
      <c r="J1706" s="26" t="str">
        <f aca="false">IF(A1706="","",IF(F1706="Inactivo","No","Sí"))</f>
        <v/>
      </c>
      <c r="K1706" s="26" t="str">
        <f aca="false">IF(A1706="","",IF(AND(I1706="Sí",J1706="Sí"),"Sí","No"))</f>
        <v/>
      </c>
    </row>
    <row r="1707" customFormat="false" ht="15" hidden="false" customHeight="false" outlineLevel="0" collapsed="false">
      <c r="A1707" s="22"/>
      <c r="B1707" s="22"/>
      <c r="C1707" s="23" t="str">
        <f aca="false">IF(A1707="","",IFERROR(buscarx(A1707&amp;B1707,DATA!$E$3:$E$10000&amp;DATA!$B$3:$B$10000,DATA!$M$3:$M$10000),"No encontrado"))</f>
        <v/>
      </c>
      <c r="D1707" s="24" t="str">
        <f aca="false">IF(A1707="","",IFERROR(buscarx(A1707&amp;B1707,DATA!$E$3:$E$10000&amp;DATA!$B$3:$B$10000,DATA!$W$3:$W$10000),"No encontrado"))</f>
        <v/>
      </c>
      <c r="E1707" s="22"/>
      <c r="F1707" s="23" t="str">
        <f aca="false">IF(A1707="","",IFERROR(buscarx(A1707&amp;E1707,DATA!$E$3:$E$10000&amp;DATA!$B$3:$B$10000,DATA!$M$3:$M$10000),"Inactivo"))</f>
        <v/>
      </c>
      <c r="G1707" s="25" t="str">
        <f aca="false">IF(A1707="","",IF(AND(C1707&lt;&gt;"No encontrado",F1707&lt;&gt;"Inactivo"),C1707&amp;" → "&amp;F1707,"Sin transición"))</f>
        <v/>
      </c>
      <c r="H1707" s="23" t="str">
        <f aca="false">IF(A1707="","",IF(D1707="GCIA LINEA SERVICIO DIGITALIDAD Y VENTAS","Chats",IF(OR(D1707="GERENCIA INBOUND LÍNEAS SERVICIO Y VENTA",D1707="GERENCIA INBOUND LINEAS ESPECIALIZADAS"),"Llamadas","Otro")))</f>
        <v/>
      </c>
      <c r="I1707" s="23" t="str">
        <f aca="false">IF(A1707="","",IF(C1707="No encontrado","No","Sí"))</f>
        <v/>
      </c>
      <c r="J1707" s="23" t="str">
        <f aca="false">IF(A1707="","",IF(F1707="Inactivo","No","Sí"))</f>
        <v/>
      </c>
      <c r="K1707" s="23" t="str">
        <f aca="false">IF(A1707="","",IF(AND(I1707="Sí",J1707="Sí"),"Sí","No"))</f>
        <v/>
      </c>
    </row>
    <row r="1708" customFormat="false" ht="15" hidden="false" customHeight="false" outlineLevel="0" collapsed="false">
      <c r="A1708" s="22"/>
      <c r="B1708" s="22"/>
      <c r="C1708" s="26" t="str">
        <f aca="false">IF(A1708="","",IFERROR(buscarx(A1708&amp;B1708,DATA!$E$3:$E$10000&amp;DATA!$B$3:$B$10000,DATA!$M$3:$M$10000),"No encontrado"))</f>
        <v/>
      </c>
      <c r="D1708" s="27" t="str">
        <f aca="false">IF(A1708="","",IFERROR(buscarx(A1708&amp;B1708,DATA!$E$3:$E$10000&amp;DATA!$B$3:$B$10000,DATA!$W$3:$W$10000),"No encontrado"))</f>
        <v/>
      </c>
      <c r="E1708" s="22"/>
      <c r="F1708" s="26" t="str">
        <f aca="false">IF(A1708="","",IFERROR(buscarx(A1708&amp;E1708,DATA!$E$3:$E$10000&amp;DATA!$B$3:$B$10000,DATA!$M$3:$M$10000),"Inactivo"))</f>
        <v/>
      </c>
      <c r="G1708" s="28" t="str">
        <f aca="false">IF(A1708="","",IF(AND(C1708&lt;&gt;"No encontrado",F1708&lt;&gt;"Inactivo"),C1708&amp;" → "&amp;F1708,"Sin transición"))</f>
        <v/>
      </c>
      <c r="H1708" s="26" t="str">
        <f aca="false">IF(A1708="","",IF(D1708="GCIA LINEA SERVICIO DIGITALIDAD Y VENTAS","Chats",IF(OR(D1708="GERENCIA INBOUND LÍNEAS SERVICIO Y VENTA",D1708="GERENCIA INBOUND LINEAS ESPECIALIZADAS"),"Llamadas","Otro")))</f>
        <v/>
      </c>
      <c r="I1708" s="26" t="str">
        <f aca="false">IF(A1708="","",IF(C1708="No encontrado","No","Sí"))</f>
        <v/>
      </c>
      <c r="J1708" s="26" t="str">
        <f aca="false">IF(A1708="","",IF(F1708="Inactivo","No","Sí"))</f>
        <v/>
      </c>
      <c r="K1708" s="26" t="str">
        <f aca="false">IF(A1708="","",IF(AND(I1708="Sí",J1708="Sí"),"Sí","No"))</f>
        <v/>
      </c>
    </row>
    <row r="1709" customFormat="false" ht="15" hidden="false" customHeight="false" outlineLevel="0" collapsed="false">
      <c r="A1709" s="22"/>
      <c r="B1709" s="22"/>
      <c r="C1709" s="23" t="str">
        <f aca="false">IF(A1709="","",IFERROR(buscarx(A1709&amp;B1709,DATA!$E$3:$E$10000&amp;DATA!$B$3:$B$10000,DATA!$M$3:$M$10000),"No encontrado"))</f>
        <v/>
      </c>
      <c r="D1709" s="24" t="str">
        <f aca="false">IF(A1709="","",IFERROR(buscarx(A1709&amp;B1709,DATA!$E$3:$E$10000&amp;DATA!$B$3:$B$10000,DATA!$W$3:$W$10000),"No encontrado"))</f>
        <v/>
      </c>
      <c r="E1709" s="22"/>
      <c r="F1709" s="23" t="str">
        <f aca="false">IF(A1709="","",IFERROR(buscarx(A1709&amp;E1709,DATA!$E$3:$E$10000&amp;DATA!$B$3:$B$10000,DATA!$M$3:$M$10000),"Inactivo"))</f>
        <v/>
      </c>
      <c r="G1709" s="25" t="str">
        <f aca="false">IF(A1709="","",IF(AND(C1709&lt;&gt;"No encontrado",F1709&lt;&gt;"Inactivo"),C1709&amp;" → "&amp;F1709,"Sin transición"))</f>
        <v/>
      </c>
      <c r="H1709" s="23" t="str">
        <f aca="false">IF(A1709="","",IF(D1709="GCIA LINEA SERVICIO DIGITALIDAD Y VENTAS","Chats",IF(OR(D1709="GERENCIA INBOUND LÍNEAS SERVICIO Y VENTA",D1709="GERENCIA INBOUND LINEAS ESPECIALIZADAS"),"Llamadas","Otro")))</f>
        <v/>
      </c>
      <c r="I1709" s="23" t="str">
        <f aca="false">IF(A1709="","",IF(C1709="No encontrado","No","Sí"))</f>
        <v/>
      </c>
      <c r="J1709" s="23" t="str">
        <f aca="false">IF(A1709="","",IF(F1709="Inactivo","No","Sí"))</f>
        <v/>
      </c>
      <c r="K1709" s="23" t="str">
        <f aca="false">IF(A1709="","",IF(AND(I1709="Sí",J1709="Sí"),"Sí","No"))</f>
        <v/>
      </c>
    </row>
    <row r="1710" customFormat="false" ht="15" hidden="false" customHeight="false" outlineLevel="0" collapsed="false">
      <c r="A1710" s="22"/>
      <c r="B1710" s="22"/>
      <c r="C1710" s="26" t="str">
        <f aca="false">IF(A1710="","",IFERROR(buscarx(A1710&amp;B1710,DATA!$E$3:$E$10000&amp;DATA!$B$3:$B$10000,DATA!$M$3:$M$10000),"No encontrado"))</f>
        <v/>
      </c>
      <c r="D1710" s="27" t="str">
        <f aca="false">IF(A1710="","",IFERROR(buscarx(A1710&amp;B1710,DATA!$E$3:$E$10000&amp;DATA!$B$3:$B$10000,DATA!$W$3:$W$10000),"No encontrado"))</f>
        <v/>
      </c>
      <c r="E1710" s="22"/>
      <c r="F1710" s="26" t="str">
        <f aca="false">IF(A1710="","",IFERROR(buscarx(A1710&amp;E1710,DATA!$E$3:$E$10000&amp;DATA!$B$3:$B$10000,DATA!$M$3:$M$10000),"Inactivo"))</f>
        <v/>
      </c>
      <c r="G1710" s="28" t="str">
        <f aca="false">IF(A1710="","",IF(AND(C1710&lt;&gt;"No encontrado",F1710&lt;&gt;"Inactivo"),C1710&amp;" → "&amp;F1710,"Sin transición"))</f>
        <v/>
      </c>
      <c r="H1710" s="26" t="str">
        <f aca="false">IF(A1710="","",IF(D1710="GCIA LINEA SERVICIO DIGITALIDAD Y VENTAS","Chats",IF(OR(D1710="GERENCIA INBOUND LÍNEAS SERVICIO Y VENTA",D1710="GERENCIA INBOUND LINEAS ESPECIALIZADAS"),"Llamadas","Otro")))</f>
        <v/>
      </c>
      <c r="I1710" s="26" t="str">
        <f aca="false">IF(A1710="","",IF(C1710="No encontrado","No","Sí"))</f>
        <v/>
      </c>
      <c r="J1710" s="26" t="str">
        <f aca="false">IF(A1710="","",IF(F1710="Inactivo","No","Sí"))</f>
        <v/>
      </c>
      <c r="K1710" s="26" t="str">
        <f aca="false">IF(A1710="","",IF(AND(I1710="Sí",J1710="Sí"),"Sí","No"))</f>
        <v/>
      </c>
    </row>
    <row r="1711" customFormat="false" ht="15" hidden="false" customHeight="false" outlineLevel="0" collapsed="false">
      <c r="A1711" s="22"/>
      <c r="B1711" s="22"/>
      <c r="C1711" s="23" t="str">
        <f aca="false">IF(A1711="","",IFERROR(buscarx(A1711&amp;B1711,DATA!$E$3:$E$10000&amp;DATA!$B$3:$B$10000,DATA!$M$3:$M$10000),"No encontrado"))</f>
        <v/>
      </c>
      <c r="D1711" s="24" t="str">
        <f aca="false">IF(A1711="","",IFERROR(buscarx(A1711&amp;B1711,DATA!$E$3:$E$10000&amp;DATA!$B$3:$B$10000,DATA!$W$3:$W$10000),"No encontrado"))</f>
        <v/>
      </c>
      <c r="E1711" s="22"/>
      <c r="F1711" s="23" t="str">
        <f aca="false">IF(A1711="","",IFERROR(buscarx(A1711&amp;E1711,DATA!$E$3:$E$10000&amp;DATA!$B$3:$B$10000,DATA!$M$3:$M$10000),"Inactivo"))</f>
        <v/>
      </c>
      <c r="G1711" s="25" t="str">
        <f aca="false">IF(A1711="","",IF(AND(C1711&lt;&gt;"No encontrado",F1711&lt;&gt;"Inactivo"),C1711&amp;" → "&amp;F1711,"Sin transición"))</f>
        <v/>
      </c>
      <c r="H1711" s="23" t="str">
        <f aca="false">IF(A1711="","",IF(D1711="GCIA LINEA SERVICIO DIGITALIDAD Y VENTAS","Chats",IF(OR(D1711="GERENCIA INBOUND LÍNEAS SERVICIO Y VENTA",D1711="GERENCIA INBOUND LINEAS ESPECIALIZADAS"),"Llamadas","Otro")))</f>
        <v/>
      </c>
      <c r="I1711" s="23" t="str">
        <f aca="false">IF(A1711="","",IF(C1711="No encontrado","No","Sí"))</f>
        <v/>
      </c>
      <c r="J1711" s="23" t="str">
        <f aca="false">IF(A1711="","",IF(F1711="Inactivo","No","Sí"))</f>
        <v/>
      </c>
      <c r="K1711" s="23" t="str">
        <f aca="false">IF(A1711="","",IF(AND(I1711="Sí",J1711="Sí"),"Sí","No"))</f>
        <v/>
      </c>
    </row>
    <row r="1712" customFormat="false" ht="15" hidden="false" customHeight="false" outlineLevel="0" collapsed="false">
      <c r="A1712" s="22"/>
      <c r="B1712" s="22"/>
      <c r="C1712" s="26" t="str">
        <f aca="false">IF(A1712="","",IFERROR(buscarx(A1712&amp;B1712,DATA!$E$3:$E$10000&amp;DATA!$B$3:$B$10000,DATA!$M$3:$M$10000),"No encontrado"))</f>
        <v/>
      </c>
      <c r="D1712" s="27" t="str">
        <f aca="false">IF(A1712="","",IFERROR(buscarx(A1712&amp;B1712,DATA!$E$3:$E$10000&amp;DATA!$B$3:$B$10000,DATA!$W$3:$W$10000),"No encontrado"))</f>
        <v/>
      </c>
      <c r="E1712" s="22"/>
      <c r="F1712" s="26" t="str">
        <f aca="false">IF(A1712="","",IFERROR(buscarx(A1712&amp;E1712,DATA!$E$3:$E$10000&amp;DATA!$B$3:$B$10000,DATA!$M$3:$M$10000),"Inactivo"))</f>
        <v/>
      </c>
      <c r="G1712" s="28" t="str">
        <f aca="false">IF(A1712="","",IF(AND(C1712&lt;&gt;"No encontrado",F1712&lt;&gt;"Inactivo"),C1712&amp;" → "&amp;F1712,"Sin transición"))</f>
        <v/>
      </c>
      <c r="H1712" s="26" t="str">
        <f aca="false">IF(A1712="","",IF(D1712="GCIA LINEA SERVICIO DIGITALIDAD Y VENTAS","Chats",IF(OR(D1712="GERENCIA INBOUND LÍNEAS SERVICIO Y VENTA",D1712="GERENCIA INBOUND LINEAS ESPECIALIZADAS"),"Llamadas","Otro")))</f>
        <v/>
      </c>
      <c r="I1712" s="26" t="str">
        <f aca="false">IF(A1712="","",IF(C1712="No encontrado","No","Sí"))</f>
        <v/>
      </c>
      <c r="J1712" s="26" t="str">
        <f aca="false">IF(A1712="","",IF(F1712="Inactivo","No","Sí"))</f>
        <v/>
      </c>
      <c r="K1712" s="26" t="str">
        <f aca="false">IF(A1712="","",IF(AND(I1712="Sí",J1712="Sí"),"Sí","No"))</f>
        <v/>
      </c>
    </row>
    <row r="1713" customFormat="false" ht="15" hidden="false" customHeight="false" outlineLevel="0" collapsed="false">
      <c r="A1713" s="22"/>
      <c r="B1713" s="22"/>
      <c r="C1713" s="23" t="str">
        <f aca="false">IF(A1713="","",IFERROR(buscarx(A1713&amp;B1713,DATA!$E$3:$E$10000&amp;DATA!$B$3:$B$10000,DATA!$M$3:$M$10000),"No encontrado"))</f>
        <v/>
      </c>
      <c r="D1713" s="24" t="str">
        <f aca="false">IF(A1713="","",IFERROR(buscarx(A1713&amp;B1713,DATA!$E$3:$E$10000&amp;DATA!$B$3:$B$10000,DATA!$W$3:$W$10000),"No encontrado"))</f>
        <v/>
      </c>
      <c r="E1713" s="22"/>
      <c r="F1713" s="23" t="str">
        <f aca="false">IF(A1713="","",IFERROR(buscarx(A1713&amp;E1713,DATA!$E$3:$E$10000&amp;DATA!$B$3:$B$10000,DATA!$M$3:$M$10000),"Inactivo"))</f>
        <v/>
      </c>
      <c r="G1713" s="25" t="str">
        <f aca="false">IF(A1713="","",IF(AND(C1713&lt;&gt;"No encontrado",F1713&lt;&gt;"Inactivo"),C1713&amp;" → "&amp;F1713,"Sin transición"))</f>
        <v/>
      </c>
      <c r="H1713" s="23" t="str">
        <f aca="false">IF(A1713="","",IF(D1713="GCIA LINEA SERVICIO DIGITALIDAD Y VENTAS","Chats",IF(OR(D1713="GERENCIA INBOUND LÍNEAS SERVICIO Y VENTA",D1713="GERENCIA INBOUND LINEAS ESPECIALIZADAS"),"Llamadas","Otro")))</f>
        <v/>
      </c>
      <c r="I1713" s="23" t="str">
        <f aca="false">IF(A1713="","",IF(C1713="No encontrado","No","Sí"))</f>
        <v/>
      </c>
      <c r="J1713" s="23" t="str">
        <f aca="false">IF(A1713="","",IF(F1713="Inactivo","No","Sí"))</f>
        <v/>
      </c>
      <c r="K1713" s="23" t="str">
        <f aca="false">IF(A1713="","",IF(AND(I1713="Sí",J1713="Sí"),"Sí","No"))</f>
        <v/>
      </c>
    </row>
    <row r="1714" customFormat="false" ht="15" hidden="false" customHeight="false" outlineLevel="0" collapsed="false">
      <c r="A1714" s="22"/>
      <c r="B1714" s="22"/>
      <c r="C1714" s="26" t="str">
        <f aca="false">IF(A1714="","",IFERROR(buscarx(A1714&amp;B1714,DATA!$E$3:$E$10000&amp;DATA!$B$3:$B$10000,DATA!$M$3:$M$10000),"No encontrado"))</f>
        <v/>
      </c>
      <c r="D1714" s="27" t="str">
        <f aca="false">IF(A1714="","",IFERROR(buscarx(A1714&amp;B1714,DATA!$E$3:$E$10000&amp;DATA!$B$3:$B$10000,DATA!$W$3:$W$10000),"No encontrado"))</f>
        <v/>
      </c>
      <c r="E1714" s="22"/>
      <c r="F1714" s="26" t="str">
        <f aca="false">IF(A1714="","",IFERROR(buscarx(A1714&amp;E1714,DATA!$E$3:$E$10000&amp;DATA!$B$3:$B$10000,DATA!$M$3:$M$10000),"Inactivo"))</f>
        <v/>
      </c>
      <c r="G1714" s="28" t="str">
        <f aca="false">IF(A1714="","",IF(AND(C1714&lt;&gt;"No encontrado",F1714&lt;&gt;"Inactivo"),C1714&amp;" → "&amp;F1714,"Sin transición"))</f>
        <v/>
      </c>
      <c r="H1714" s="26" t="str">
        <f aca="false">IF(A1714="","",IF(D1714="GCIA LINEA SERVICIO DIGITALIDAD Y VENTAS","Chats",IF(OR(D1714="GERENCIA INBOUND LÍNEAS SERVICIO Y VENTA",D1714="GERENCIA INBOUND LINEAS ESPECIALIZADAS"),"Llamadas","Otro")))</f>
        <v/>
      </c>
      <c r="I1714" s="26" t="str">
        <f aca="false">IF(A1714="","",IF(C1714="No encontrado","No","Sí"))</f>
        <v/>
      </c>
      <c r="J1714" s="26" t="str">
        <f aca="false">IF(A1714="","",IF(F1714="Inactivo","No","Sí"))</f>
        <v/>
      </c>
      <c r="K1714" s="26" t="str">
        <f aca="false">IF(A1714="","",IF(AND(I1714="Sí",J1714="Sí"),"Sí","No"))</f>
        <v/>
      </c>
    </row>
    <row r="1715" customFormat="false" ht="15" hidden="false" customHeight="false" outlineLevel="0" collapsed="false">
      <c r="A1715" s="22"/>
      <c r="B1715" s="22"/>
      <c r="C1715" s="23" t="str">
        <f aca="false">IF(A1715="","",IFERROR(buscarx(A1715&amp;B1715,DATA!$E$3:$E$10000&amp;DATA!$B$3:$B$10000,DATA!$M$3:$M$10000),"No encontrado"))</f>
        <v/>
      </c>
      <c r="D1715" s="24" t="str">
        <f aca="false">IF(A1715="","",IFERROR(buscarx(A1715&amp;B1715,DATA!$E$3:$E$10000&amp;DATA!$B$3:$B$10000,DATA!$W$3:$W$10000),"No encontrado"))</f>
        <v/>
      </c>
      <c r="E1715" s="22"/>
      <c r="F1715" s="23" t="str">
        <f aca="false">IF(A1715="","",IFERROR(buscarx(A1715&amp;E1715,DATA!$E$3:$E$10000&amp;DATA!$B$3:$B$10000,DATA!$M$3:$M$10000),"Inactivo"))</f>
        <v/>
      </c>
      <c r="G1715" s="25" t="str">
        <f aca="false">IF(A1715="","",IF(AND(C1715&lt;&gt;"No encontrado",F1715&lt;&gt;"Inactivo"),C1715&amp;" → "&amp;F1715,"Sin transición"))</f>
        <v/>
      </c>
      <c r="H1715" s="23" t="str">
        <f aca="false">IF(A1715="","",IF(D1715="GCIA LINEA SERVICIO DIGITALIDAD Y VENTAS","Chats",IF(OR(D1715="GERENCIA INBOUND LÍNEAS SERVICIO Y VENTA",D1715="GERENCIA INBOUND LINEAS ESPECIALIZADAS"),"Llamadas","Otro")))</f>
        <v/>
      </c>
      <c r="I1715" s="23" t="str">
        <f aca="false">IF(A1715="","",IF(C1715="No encontrado","No","Sí"))</f>
        <v/>
      </c>
      <c r="J1715" s="23" t="str">
        <f aca="false">IF(A1715="","",IF(F1715="Inactivo","No","Sí"))</f>
        <v/>
      </c>
      <c r="K1715" s="23" t="str">
        <f aca="false">IF(A1715="","",IF(AND(I1715="Sí",J1715="Sí"),"Sí","No"))</f>
        <v/>
      </c>
    </row>
    <row r="1716" customFormat="false" ht="15" hidden="false" customHeight="false" outlineLevel="0" collapsed="false">
      <c r="A1716" s="22"/>
      <c r="B1716" s="22"/>
      <c r="C1716" s="26" t="str">
        <f aca="false">IF(A1716="","",IFERROR(buscarx(A1716&amp;B1716,DATA!$E$3:$E$10000&amp;DATA!$B$3:$B$10000,DATA!$M$3:$M$10000),"No encontrado"))</f>
        <v/>
      </c>
      <c r="D1716" s="27" t="str">
        <f aca="false">IF(A1716="","",IFERROR(buscarx(A1716&amp;B1716,DATA!$E$3:$E$10000&amp;DATA!$B$3:$B$10000,DATA!$W$3:$W$10000),"No encontrado"))</f>
        <v/>
      </c>
      <c r="E1716" s="22"/>
      <c r="F1716" s="26" t="str">
        <f aca="false">IF(A1716="","",IFERROR(buscarx(A1716&amp;E1716,DATA!$E$3:$E$10000&amp;DATA!$B$3:$B$10000,DATA!$M$3:$M$10000),"Inactivo"))</f>
        <v/>
      </c>
      <c r="G1716" s="28" t="str">
        <f aca="false">IF(A1716="","",IF(AND(C1716&lt;&gt;"No encontrado",F1716&lt;&gt;"Inactivo"),C1716&amp;" → "&amp;F1716,"Sin transición"))</f>
        <v/>
      </c>
      <c r="H1716" s="26" t="str">
        <f aca="false">IF(A1716="","",IF(D1716="GCIA LINEA SERVICIO DIGITALIDAD Y VENTAS","Chats",IF(OR(D1716="GERENCIA INBOUND LÍNEAS SERVICIO Y VENTA",D1716="GERENCIA INBOUND LINEAS ESPECIALIZADAS"),"Llamadas","Otro")))</f>
        <v/>
      </c>
      <c r="I1716" s="26" t="str">
        <f aca="false">IF(A1716="","",IF(C1716="No encontrado","No","Sí"))</f>
        <v/>
      </c>
      <c r="J1716" s="26" t="str">
        <f aca="false">IF(A1716="","",IF(F1716="Inactivo","No","Sí"))</f>
        <v/>
      </c>
      <c r="K1716" s="26" t="str">
        <f aca="false">IF(A1716="","",IF(AND(I1716="Sí",J1716="Sí"),"Sí","No"))</f>
        <v/>
      </c>
    </row>
    <row r="1717" customFormat="false" ht="15" hidden="false" customHeight="false" outlineLevel="0" collapsed="false">
      <c r="A1717" s="22"/>
      <c r="B1717" s="22"/>
      <c r="C1717" s="23" t="str">
        <f aca="false">IF(A1717="","",IFERROR(buscarx(A1717&amp;B1717,DATA!$E$3:$E$10000&amp;DATA!$B$3:$B$10000,DATA!$M$3:$M$10000),"No encontrado"))</f>
        <v/>
      </c>
      <c r="D1717" s="24" t="str">
        <f aca="false">IF(A1717="","",IFERROR(buscarx(A1717&amp;B1717,DATA!$E$3:$E$10000&amp;DATA!$B$3:$B$10000,DATA!$W$3:$W$10000),"No encontrado"))</f>
        <v/>
      </c>
      <c r="E1717" s="22"/>
      <c r="F1717" s="23" t="str">
        <f aca="false">IF(A1717="","",IFERROR(buscarx(A1717&amp;E1717,DATA!$E$3:$E$10000&amp;DATA!$B$3:$B$10000,DATA!$M$3:$M$10000),"Inactivo"))</f>
        <v/>
      </c>
      <c r="G1717" s="25" t="str">
        <f aca="false">IF(A1717="","",IF(AND(C1717&lt;&gt;"No encontrado",F1717&lt;&gt;"Inactivo"),C1717&amp;" → "&amp;F1717,"Sin transición"))</f>
        <v/>
      </c>
      <c r="H1717" s="23" t="str">
        <f aca="false">IF(A1717="","",IF(D1717="GCIA LINEA SERVICIO DIGITALIDAD Y VENTAS","Chats",IF(OR(D1717="GERENCIA INBOUND LÍNEAS SERVICIO Y VENTA",D1717="GERENCIA INBOUND LINEAS ESPECIALIZADAS"),"Llamadas","Otro")))</f>
        <v/>
      </c>
      <c r="I1717" s="23" t="str">
        <f aca="false">IF(A1717="","",IF(C1717="No encontrado","No","Sí"))</f>
        <v/>
      </c>
      <c r="J1717" s="23" t="str">
        <f aca="false">IF(A1717="","",IF(F1717="Inactivo","No","Sí"))</f>
        <v/>
      </c>
      <c r="K1717" s="23" t="str">
        <f aca="false">IF(A1717="","",IF(AND(I1717="Sí",J1717="Sí"),"Sí","No"))</f>
        <v/>
      </c>
    </row>
    <row r="1718" customFormat="false" ht="15" hidden="false" customHeight="false" outlineLevel="0" collapsed="false">
      <c r="A1718" s="22"/>
      <c r="B1718" s="22"/>
      <c r="C1718" s="26" t="str">
        <f aca="false">IF(A1718="","",IFERROR(buscarx(A1718&amp;B1718,DATA!$E$3:$E$10000&amp;DATA!$B$3:$B$10000,DATA!$M$3:$M$10000),"No encontrado"))</f>
        <v/>
      </c>
      <c r="D1718" s="27" t="str">
        <f aca="false">IF(A1718="","",IFERROR(buscarx(A1718&amp;B1718,DATA!$E$3:$E$10000&amp;DATA!$B$3:$B$10000,DATA!$W$3:$W$10000),"No encontrado"))</f>
        <v/>
      </c>
      <c r="E1718" s="22"/>
      <c r="F1718" s="26" t="str">
        <f aca="false">IF(A1718="","",IFERROR(buscarx(A1718&amp;E1718,DATA!$E$3:$E$10000&amp;DATA!$B$3:$B$10000,DATA!$M$3:$M$10000),"Inactivo"))</f>
        <v/>
      </c>
      <c r="G1718" s="28" t="str">
        <f aca="false">IF(A1718="","",IF(AND(C1718&lt;&gt;"No encontrado",F1718&lt;&gt;"Inactivo"),C1718&amp;" → "&amp;F1718,"Sin transición"))</f>
        <v/>
      </c>
      <c r="H1718" s="26" t="str">
        <f aca="false">IF(A1718="","",IF(D1718="GCIA LINEA SERVICIO DIGITALIDAD Y VENTAS","Chats",IF(OR(D1718="GERENCIA INBOUND LÍNEAS SERVICIO Y VENTA",D1718="GERENCIA INBOUND LINEAS ESPECIALIZADAS"),"Llamadas","Otro")))</f>
        <v/>
      </c>
      <c r="I1718" s="26" t="str">
        <f aca="false">IF(A1718="","",IF(C1718="No encontrado","No","Sí"))</f>
        <v/>
      </c>
      <c r="J1718" s="26" t="str">
        <f aca="false">IF(A1718="","",IF(F1718="Inactivo","No","Sí"))</f>
        <v/>
      </c>
      <c r="K1718" s="26" t="str">
        <f aca="false">IF(A1718="","",IF(AND(I1718="Sí",J1718="Sí"),"Sí","No"))</f>
        <v/>
      </c>
    </row>
    <row r="1719" customFormat="false" ht="15" hidden="false" customHeight="false" outlineLevel="0" collapsed="false">
      <c r="A1719" s="22"/>
      <c r="B1719" s="22"/>
      <c r="C1719" s="23" t="str">
        <f aca="false">IF(A1719="","",IFERROR(buscarx(A1719&amp;B1719,DATA!$E$3:$E$10000&amp;DATA!$B$3:$B$10000,DATA!$M$3:$M$10000),"No encontrado"))</f>
        <v/>
      </c>
      <c r="D1719" s="24" t="str">
        <f aca="false">IF(A1719="","",IFERROR(buscarx(A1719&amp;B1719,DATA!$E$3:$E$10000&amp;DATA!$B$3:$B$10000,DATA!$W$3:$W$10000),"No encontrado"))</f>
        <v/>
      </c>
      <c r="E1719" s="22"/>
      <c r="F1719" s="23" t="str">
        <f aca="false">IF(A1719="","",IFERROR(buscarx(A1719&amp;E1719,DATA!$E$3:$E$10000&amp;DATA!$B$3:$B$10000,DATA!$M$3:$M$10000),"Inactivo"))</f>
        <v/>
      </c>
      <c r="G1719" s="25" t="str">
        <f aca="false">IF(A1719="","",IF(AND(C1719&lt;&gt;"No encontrado",F1719&lt;&gt;"Inactivo"),C1719&amp;" → "&amp;F1719,"Sin transición"))</f>
        <v/>
      </c>
      <c r="H1719" s="23" t="str">
        <f aca="false">IF(A1719="","",IF(D1719="GCIA LINEA SERVICIO DIGITALIDAD Y VENTAS","Chats",IF(OR(D1719="GERENCIA INBOUND LÍNEAS SERVICIO Y VENTA",D1719="GERENCIA INBOUND LINEAS ESPECIALIZADAS"),"Llamadas","Otro")))</f>
        <v/>
      </c>
      <c r="I1719" s="23" t="str">
        <f aca="false">IF(A1719="","",IF(C1719="No encontrado","No","Sí"))</f>
        <v/>
      </c>
      <c r="J1719" s="23" t="str">
        <f aca="false">IF(A1719="","",IF(F1719="Inactivo","No","Sí"))</f>
        <v/>
      </c>
      <c r="K1719" s="23" t="str">
        <f aca="false">IF(A1719="","",IF(AND(I1719="Sí",J1719="Sí"),"Sí","No"))</f>
        <v/>
      </c>
    </row>
    <row r="1720" customFormat="false" ht="15" hidden="false" customHeight="false" outlineLevel="0" collapsed="false">
      <c r="A1720" s="22"/>
      <c r="B1720" s="22"/>
      <c r="C1720" s="26" t="str">
        <f aca="false">IF(A1720="","",IFERROR(buscarx(A1720&amp;B1720,DATA!$E$3:$E$10000&amp;DATA!$B$3:$B$10000,DATA!$M$3:$M$10000),"No encontrado"))</f>
        <v/>
      </c>
      <c r="D1720" s="27" t="str">
        <f aca="false">IF(A1720="","",IFERROR(buscarx(A1720&amp;B1720,DATA!$E$3:$E$10000&amp;DATA!$B$3:$B$10000,DATA!$W$3:$W$10000),"No encontrado"))</f>
        <v/>
      </c>
      <c r="E1720" s="22"/>
      <c r="F1720" s="26" t="str">
        <f aca="false">IF(A1720="","",IFERROR(buscarx(A1720&amp;E1720,DATA!$E$3:$E$10000&amp;DATA!$B$3:$B$10000,DATA!$M$3:$M$10000),"Inactivo"))</f>
        <v/>
      </c>
      <c r="G1720" s="28" t="str">
        <f aca="false">IF(A1720="","",IF(AND(C1720&lt;&gt;"No encontrado",F1720&lt;&gt;"Inactivo"),C1720&amp;" → "&amp;F1720,"Sin transición"))</f>
        <v/>
      </c>
      <c r="H1720" s="26" t="str">
        <f aca="false">IF(A1720="","",IF(D1720="GCIA LINEA SERVICIO DIGITALIDAD Y VENTAS","Chats",IF(OR(D1720="GERENCIA INBOUND LÍNEAS SERVICIO Y VENTA",D1720="GERENCIA INBOUND LINEAS ESPECIALIZADAS"),"Llamadas","Otro")))</f>
        <v/>
      </c>
      <c r="I1720" s="26" t="str">
        <f aca="false">IF(A1720="","",IF(C1720="No encontrado","No","Sí"))</f>
        <v/>
      </c>
      <c r="J1720" s="26" t="str">
        <f aca="false">IF(A1720="","",IF(F1720="Inactivo","No","Sí"))</f>
        <v/>
      </c>
      <c r="K1720" s="26" t="str">
        <f aca="false">IF(A1720="","",IF(AND(I1720="Sí",J1720="Sí"),"Sí","No"))</f>
        <v/>
      </c>
    </row>
    <row r="1721" customFormat="false" ht="15" hidden="false" customHeight="false" outlineLevel="0" collapsed="false">
      <c r="A1721" s="22"/>
      <c r="B1721" s="22"/>
      <c r="C1721" s="23" t="str">
        <f aca="false">IF(A1721="","",IFERROR(buscarx(A1721&amp;B1721,DATA!$E$3:$E$10000&amp;DATA!$B$3:$B$10000,DATA!$M$3:$M$10000),"No encontrado"))</f>
        <v/>
      </c>
      <c r="D1721" s="24" t="str">
        <f aca="false">IF(A1721="","",IFERROR(buscarx(A1721&amp;B1721,DATA!$E$3:$E$10000&amp;DATA!$B$3:$B$10000,DATA!$W$3:$W$10000),"No encontrado"))</f>
        <v/>
      </c>
      <c r="E1721" s="22"/>
      <c r="F1721" s="23" t="str">
        <f aca="false">IF(A1721="","",IFERROR(buscarx(A1721&amp;E1721,DATA!$E$3:$E$10000&amp;DATA!$B$3:$B$10000,DATA!$M$3:$M$10000),"Inactivo"))</f>
        <v/>
      </c>
      <c r="G1721" s="25" t="str">
        <f aca="false">IF(A1721="","",IF(AND(C1721&lt;&gt;"No encontrado",F1721&lt;&gt;"Inactivo"),C1721&amp;" → "&amp;F1721,"Sin transición"))</f>
        <v/>
      </c>
      <c r="H1721" s="23" t="str">
        <f aca="false">IF(A1721="","",IF(D1721="GCIA LINEA SERVICIO DIGITALIDAD Y VENTAS","Chats",IF(OR(D1721="GERENCIA INBOUND LÍNEAS SERVICIO Y VENTA",D1721="GERENCIA INBOUND LINEAS ESPECIALIZADAS"),"Llamadas","Otro")))</f>
        <v/>
      </c>
      <c r="I1721" s="23" t="str">
        <f aca="false">IF(A1721="","",IF(C1721="No encontrado","No","Sí"))</f>
        <v/>
      </c>
      <c r="J1721" s="23" t="str">
        <f aca="false">IF(A1721="","",IF(F1721="Inactivo","No","Sí"))</f>
        <v/>
      </c>
      <c r="K1721" s="23" t="str">
        <f aca="false">IF(A1721="","",IF(AND(I1721="Sí",J1721="Sí"),"Sí","No"))</f>
        <v/>
      </c>
    </row>
    <row r="1722" customFormat="false" ht="15" hidden="false" customHeight="false" outlineLevel="0" collapsed="false">
      <c r="A1722" s="22"/>
      <c r="B1722" s="22"/>
      <c r="C1722" s="26" t="str">
        <f aca="false">IF(A1722="","",IFERROR(buscarx(A1722&amp;B1722,DATA!$E$3:$E$10000&amp;DATA!$B$3:$B$10000,DATA!$M$3:$M$10000),"No encontrado"))</f>
        <v/>
      </c>
      <c r="D1722" s="27" t="str">
        <f aca="false">IF(A1722="","",IFERROR(buscarx(A1722&amp;B1722,DATA!$E$3:$E$10000&amp;DATA!$B$3:$B$10000,DATA!$W$3:$W$10000),"No encontrado"))</f>
        <v/>
      </c>
      <c r="E1722" s="22"/>
      <c r="F1722" s="26" t="str">
        <f aca="false">IF(A1722="","",IFERROR(buscarx(A1722&amp;E1722,DATA!$E$3:$E$10000&amp;DATA!$B$3:$B$10000,DATA!$M$3:$M$10000),"Inactivo"))</f>
        <v/>
      </c>
      <c r="G1722" s="28" t="str">
        <f aca="false">IF(A1722="","",IF(AND(C1722&lt;&gt;"No encontrado",F1722&lt;&gt;"Inactivo"),C1722&amp;" → "&amp;F1722,"Sin transición"))</f>
        <v/>
      </c>
      <c r="H1722" s="26" t="str">
        <f aca="false">IF(A1722="","",IF(D1722="GCIA LINEA SERVICIO DIGITALIDAD Y VENTAS","Chats",IF(OR(D1722="GERENCIA INBOUND LÍNEAS SERVICIO Y VENTA",D1722="GERENCIA INBOUND LINEAS ESPECIALIZADAS"),"Llamadas","Otro")))</f>
        <v/>
      </c>
      <c r="I1722" s="26" t="str">
        <f aca="false">IF(A1722="","",IF(C1722="No encontrado","No","Sí"))</f>
        <v/>
      </c>
      <c r="J1722" s="26" t="str">
        <f aca="false">IF(A1722="","",IF(F1722="Inactivo","No","Sí"))</f>
        <v/>
      </c>
      <c r="K1722" s="26" t="str">
        <f aca="false">IF(A1722="","",IF(AND(I1722="Sí",J1722="Sí"),"Sí","No"))</f>
        <v/>
      </c>
    </row>
    <row r="1723" customFormat="false" ht="15" hidden="false" customHeight="false" outlineLevel="0" collapsed="false">
      <c r="A1723" s="22"/>
      <c r="B1723" s="22"/>
      <c r="C1723" s="23" t="str">
        <f aca="false">IF(A1723="","",IFERROR(buscarx(A1723&amp;B1723,DATA!$E$3:$E$10000&amp;DATA!$B$3:$B$10000,DATA!$M$3:$M$10000),"No encontrado"))</f>
        <v/>
      </c>
      <c r="D1723" s="24" t="str">
        <f aca="false">IF(A1723="","",IFERROR(buscarx(A1723&amp;B1723,DATA!$E$3:$E$10000&amp;DATA!$B$3:$B$10000,DATA!$W$3:$W$10000),"No encontrado"))</f>
        <v/>
      </c>
      <c r="E1723" s="22"/>
      <c r="F1723" s="23" t="str">
        <f aca="false">IF(A1723="","",IFERROR(buscarx(A1723&amp;E1723,DATA!$E$3:$E$10000&amp;DATA!$B$3:$B$10000,DATA!$M$3:$M$10000),"Inactivo"))</f>
        <v/>
      </c>
      <c r="G1723" s="25" t="str">
        <f aca="false">IF(A1723="","",IF(AND(C1723&lt;&gt;"No encontrado",F1723&lt;&gt;"Inactivo"),C1723&amp;" → "&amp;F1723,"Sin transición"))</f>
        <v/>
      </c>
      <c r="H1723" s="23" t="str">
        <f aca="false">IF(A1723="","",IF(D1723="GCIA LINEA SERVICIO DIGITALIDAD Y VENTAS","Chats",IF(OR(D1723="GERENCIA INBOUND LÍNEAS SERVICIO Y VENTA",D1723="GERENCIA INBOUND LINEAS ESPECIALIZADAS"),"Llamadas","Otro")))</f>
        <v/>
      </c>
      <c r="I1723" s="23" t="str">
        <f aca="false">IF(A1723="","",IF(C1723="No encontrado","No","Sí"))</f>
        <v/>
      </c>
      <c r="J1723" s="23" t="str">
        <f aca="false">IF(A1723="","",IF(F1723="Inactivo","No","Sí"))</f>
        <v/>
      </c>
      <c r="K1723" s="23" t="str">
        <f aca="false">IF(A1723="","",IF(AND(I1723="Sí",J1723="Sí"),"Sí","No"))</f>
        <v/>
      </c>
    </row>
    <row r="1724" customFormat="false" ht="15" hidden="false" customHeight="false" outlineLevel="0" collapsed="false">
      <c r="A1724" s="22"/>
      <c r="B1724" s="22"/>
      <c r="C1724" s="26" t="str">
        <f aca="false">IF(A1724="","",IFERROR(buscarx(A1724&amp;B1724,DATA!$E$3:$E$10000&amp;DATA!$B$3:$B$10000,DATA!$M$3:$M$10000),"No encontrado"))</f>
        <v/>
      </c>
      <c r="D1724" s="27" t="str">
        <f aca="false">IF(A1724="","",IFERROR(buscarx(A1724&amp;B1724,DATA!$E$3:$E$10000&amp;DATA!$B$3:$B$10000,DATA!$W$3:$W$10000),"No encontrado"))</f>
        <v/>
      </c>
      <c r="E1724" s="22"/>
      <c r="F1724" s="26" t="str">
        <f aca="false">IF(A1724="","",IFERROR(buscarx(A1724&amp;E1724,DATA!$E$3:$E$10000&amp;DATA!$B$3:$B$10000,DATA!$M$3:$M$10000),"Inactivo"))</f>
        <v/>
      </c>
      <c r="G1724" s="28" t="str">
        <f aca="false">IF(A1724="","",IF(AND(C1724&lt;&gt;"No encontrado",F1724&lt;&gt;"Inactivo"),C1724&amp;" → "&amp;F1724,"Sin transición"))</f>
        <v/>
      </c>
      <c r="H1724" s="26" t="str">
        <f aca="false">IF(A1724="","",IF(D1724="GCIA LINEA SERVICIO DIGITALIDAD Y VENTAS","Chats",IF(OR(D1724="GERENCIA INBOUND LÍNEAS SERVICIO Y VENTA",D1724="GERENCIA INBOUND LINEAS ESPECIALIZADAS"),"Llamadas","Otro")))</f>
        <v/>
      </c>
      <c r="I1724" s="26" t="str">
        <f aca="false">IF(A1724="","",IF(C1724="No encontrado","No","Sí"))</f>
        <v/>
      </c>
      <c r="J1724" s="26" t="str">
        <f aca="false">IF(A1724="","",IF(F1724="Inactivo","No","Sí"))</f>
        <v/>
      </c>
      <c r="K1724" s="26" t="str">
        <f aca="false">IF(A1724="","",IF(AND(I1724="Sí",J1724="Sí"),"Sí","No"))</f>
        <v/>
      </c>
    </row>
    <row r="1725" customFormat="false" ht="15" hidden="false" customHeight="false" outlineLevel="0" collapsed="false">
      <c r="A1725" s="22"/>
      <c r="B1725" s="22"/>
      <c r="C1725" s="23" t="str">
        <f aca="false">IF(A1725="","",IFERROR(buscarx(A1725&amp;B1725,DATA!$E$3:$E$10000&amp;DATA!$B$3:$B$10000,DATA!$M$3:$M$10000),"No encontrado"))</f>
        <v/>
      </c>
      <c r="D1725" s="24" t="str">
        <f aca="false">IF(A1725="","",IFERROR(buscarx(A1725&amp;B1725,DATA!$E$3:$E$10000&amp;DATA!$B$3:$B$10000,DATA!$W$3:$W$10000),"No encontrado"))</f>
        <v/>
      </c>
      <c r="E1725" s="22"/>
      <c r="F1725" s="23" t="str">
        <f aca="false">IF(A1725="","",IFERROR(buscarx(A1725&amp;E1725,DATA!$E$3:$E$10000&amp;DATA!$B$3:$B$10000,DATA!$M$3:$M$10000),"Inactivo"))</f>
        <v/>
      </c>
      <c r="G1725" s="25" t="str">
        <f aca="false">IF(A1725="","",IF(AND(C1725&lt;&gt;"No encontrado",F1725&lt;&gt;"Inactivo"),C1725&amp;" → "&amp;F1725,"Sin transición"))</f>
        <v/>
      </c>
      <c r="H1725" s="23" t="str">
        <f aca="false">IF(A1725="","",IF(D1725="GCIA LINEA SERVICIO DIGITALIDAD Y VENTAS","Chats",IF(OR(D1725="GERENCIA INBOUND LÍNEAS SERVICIO Y VENTA",D1725="GERENCIA INBOUND LINEAS ESPECIALIZADAS"),"Llamadas","Otro")))</f>
        <v/>
      </c>
      <c r="I1725" s="23" t="str">
        <f aca="false">IF(A1725="","",IF(C1725="No encontrado","No","Sí"))</f>
        <v/>
      </c>
      <c r="J1725" s="23" t="str">
        <f aca="false">IF(A1725="","",IF(F1725="Inactivo","No","Sí"))</f>
        <v/>
      </c>
      <c r="K1725" s="23" t="str">
        <f aca="false">IF(A1725="","",IF(AND(I1725="Sí",J1725="Sí"),"Sí","No"))</f>
        <v/>
      </c>
    </row>
    <row r="1726" customFormat="false" ht="15" hidden="false" customHeight="false" outlineLevel="0" collapsed="false">
      <c r="A1726" s="22"/>
      <c r="B1726" s="22"/>
      <c r="C1726" s="26" t="str">
        <f aca="false">IF(A1726="","",IFERROR(buscarx(A1726&amp;B1726,DATA!$E$3:$E$10000&amp;DATA!$B$3:$B$10000,DATA!$M$3:$M$10000),"No encontrado"))</f>
        <v/>
      </c>
      <c r="D1726" s="27" t="str">
        <f aca="false">IF(A1726="","",IFERROR(buscarx(A1726&amp;B1726,DATA!$E$3:$E$10000&amp;DATA!$B$3:$B$10000,DATA!$W$3:$W$10000),"No encontrado"))</f>
        <v/>
      </c>
      <c r="E1726" s="22"/>
      <c r="F1726" s="26" t="str">
        <f aca="false">IF(A1726="","",IFERROR(buscarx(A1726&amp;E1726,DATA!$E$3:$E$10000&amp;DATA!$B$3:$B$10000,DATA!$M$3:$M$10000),"Inactivo"))</f>
        <v/>
      </c>
      <c r="G1726" s="28" t="str">
        <f aca="false">IF(A1726="","",IF(AND(C1726&lt;&gt;"No encontrado",F1726&lt;&gt;"Inactivo"),C1726&amp;" → "&amp;F1726,"Sin transición"))</f>
        <v/>
      </c>
      <c r="H1726" s="26" t="str">
        <f aca="false">IF(A1726="","",IF(D1726="GCIA LINEA SERVICIO DIGITALIDAD Y VENTAS","Chats",IF(OR(D1726="GERENCIA INBOUND LÍNEAS SERVICIO Y VENTA",D1726="GERENCIA INBOUND LINEAS ESPECIALIZADAS"),"Llamadas","Otro")))</f>
        <v/>
      </c>
      <c r="I1726" s="26" t="str">
        <f aca="false">IF(A1726="","",IF(C1726="No encontrado","No","Sí"))</f>
        <v/>
      </c>
      <c r="J1726" s="26" t="str">
        <f aca="false">IF(A1726="","",IF(F1726="Inactivo","No","Sí"))</f>
        <v/>
      </c>
      <c r="K1726" s="26" t="str">
        <f aca="false">IF(A1726="","",IF(AND(I1726="Sí",J1726="Sí"),"Sí","No"))</f>
        <v/>
      </c>
    </row>
    <row r="1727" customFormat="false" ht="15" hidden="false" customHeight="false" outlineLevel="0" collapsed="false">
      <c r="A1727" s="22"/>
      <c r="B1727" s="22"/>
      <c r="C1727" s="23" t="str">
        <f aca="false">IF(A1727="","",IFERROR(buscarx(A1727&amp;B1727,DATA!$E$3:$E$10000&amp;DATA!$B$3:$B$10000,DATA!$M$3:$M$10000),"No encontrado"))</f>
        <v/>
      </c>
      <c r="D1727" s="24" t="str">
        <f aca="false">IF(A1727="","",IFERROR(buscarx(A1727&amp;B1727,DATA!$E$3:$E$10000&amp;DATA!$B$3:$B$10000,DATA!$W$3:$W$10000),"No encontrado"))</f>
        <v/>
      </c>
      <c r="E1727" s="22"/>
      <c r="F1727" s="23" t="str">
        <f aca="false">IF(A1727="","",IFERROR(buscarx(A1727&amp;E1727,DATA!$E$3:$E$10000&amp;DATA!$B$3:$B$10000,DATA!$M$3:$M$10000),"Inactivo"))</f>
        <v/>
      </c>
      <c r="G1727" s="25" t="str">
        <f aca="false">IF(A1727="","",IF(AND(C1727&lt;&gt;"No encontrado",F1727&lt;&gt;"Inactivo"),C1727&amp;" → "&amp;F1727,"Sin transición"))</f>
        <v/>
      </c>
      <c r="H1727" s="23" t="str">
        <f aca="false">IF(A1727="","",IF(D1727="GCIA LINEA SERVICIO DIGITALIDAD Y VENTAS","Chats",IF(OR(D1727="GERENCIA INBOUND LÍNEAS SERVICIO Y VENTA",D1727="GERENCIA INBOUND LINEAS ESPECIALIZADAS"),"Llamadas","Otro")))</f>
        <v/>
      </c>
      <c r="I1727" s="23" t="str">
        <f aca="false">IF(A1727="","",IF(C1727="No encontrado","No","Sí"))</f>
        <v/>
      </c>
      <c r="J1727" s="23" t="str">
        <f aca="false">IF(A1727="","",IF(F1727="Inactivo","No","Sí"))</f>
        <v/>
      </c>
      <c r="K1727" s="23" t="str">
        <f aca="false">IF(A1727="","",IF(AND(I1727="Sí",J1727="Sí"),"Sí","No"))</f>
        <v/>
      </c>
    </row>
    <row r="1728" customFormat="false" ht="15" hidden="false" customHeight="false" outlineLevel="0" collapsed="false">
      <c r="A1728" s="22"/>
      <c r="B1728" s="22"/>
      <c r="C1728" s="26" t="str">
        <f aca="false">IF(A1728="","",IFERROR(buscarx(A1728&amp;B1728,DATA!$E$3:$E$10000&amp;DATA!$B$3:$B$10000,DATA!$M$3:$M$10000),"No encontrado"))</f>
        <v/>
      </c>
      <c r="D1728" s="27" t="str">
        <f aca="false">IF(A1728="","",IFERROR(buscarx(A1728&amp;B1728,DATA!$E$3:$E$10000&amp;DATA!$B$3:$B$10000,DATA!$W$3:$W$10000),"No encontrado"))</f>
        <v/>
      </c>
      <c r="E1728" s="22"/>
      <c r="F1728" s="26" t="str">
        <f aca="false">IF(A1728="","",IFERROR(buscarx(A1728&amp;E1728,DATA!$E$3:$E$10000&amp;DATA!$B$3:$B$10000,DATA!$M$3:$M$10000),"Inactivo"))</f>
        <v/>
      </c>
      <c r="G1728" s="28" t="str">
        <f aca="false">IF(A1728="","",IF(AND(C1728&lt;&gt;"No encontrado",F1728&lt;&gt;"Inactivo"),C1728&amp;" → "&amp;F1728,"Sin transición"))</f>
        <v/>
      </c>
      <c r="H1728" s="26" t="str">
        <f aca="false">IF(A1728="","",IF(D1728="GCIA LINEA SERVICIO DIGITALIDAD Y VENTAS","Chats",IF(OR(D1728="GERENCIA INBOUND LÍNEAS SERVICIO Y VENTA",D1728="GERENCIA INBOUND LINEAS ESPECIALIZADAS"),"Llamadas","Otro")))</f>
        <v/>
      </c>
      <c r="I1728" s="26" t="str">
        <f aca="false">IF(A1728="","",IF(C1728="No encontrado","No","Sí"))</f>
        <v/>
      </c>
      <c r="J1728" s="26" t="str">
        <f aca="false">IF(A1728="","",IF(F1728="Inactivo","No","Sí"))</f>
        <v/>
      </c>
      <c r="K1728" s="26" t="str">
        <f aca="false">IF(A1728="","",IF(AND(I1728="Sí",J1728="Sí"),"Sí","No"))</f>
        <v/>
      </c>
    </row>
    <row r="1729" customFormat="false" ht="15" hidden="false" customHeight="false" outlineLevel="0" collapsed="false">
      <c r="A1729" s="22"/>
      <c r="B1729" s="22"/>
      <c r="C1729" s="23" t="str">
        <f aca="false">IF(A1729="","",IFERROR(buscarx(A1729&amp;B1729,DATA!$E$3:$E$10000&amp;DATA!$B$3:$B$10000,DATA!$M$3:$M$10000),"No encontrado"))</f>
        <v/>
      </c>
      <c r="D1729" s="24" t="str">
        <f aca="false">IF(A1729="","",IFERROR(buscarx(A1729&amp;B1729,DATA!$E$3:$E$10000&amp;DATA!$B$3:$B$10000,DATA!$W$3:$W$10000),"No encontrado"))</f>
        <v/>
      </c>
      <c r="E1729" s="22"/>
      <c r="F1729" s="23" t="str">
        <f aca="false">IF(A1729="","",IFERROR(buscarx(A1729&amp;E1729,DATA!$E$3:$E$10000&amp;DATA!$B$3:$B$10000,DATA!$M$3:$M$10000),"Inactivo"))</f>
        <v/>
      </c>
      <c r="G1729" s="25" t="str">
        <f aca="false">IF(A1729="","",IF(AND(C1729&lt;&gt;"No encontrado",F1729&lt;&gt;"Inactivo"),C1729&amp;" → "&amp;F1729,"Sin transición"))</f>
        <v/>
      </c>
      <c r="H1729" s="23" t="str">
        <f aca="false">IF(A1729="","",IF(D1729="GCIA LINEA SERVICIO DIGITALIDAD Y VENTAS","Chats",IF(OR(D1729="GERENCIA INBOUND LÍNEAS SERVICIO Y VENTA",D1729="GERENCIA INBOUND LINEAS ESPECIALIZADAS"),"Llamadas","Otro")))</f>
        <v/>
      </c>
      <c r="I1729" s="23" t="str">
        <f aca="false">IF(A1729="","",IF(C1729="No encontrado","No","Sí"))</f>
        <v/>
      </c>
      <c r="J1729" s="23" t="str">
        <f aca="false">IF(A1729="","",IF(F1729="Inactivo","No","Sí"))</f>
        <v/>
      </c>
      <c r="K1729" s="23" t="str">
        <f aca="false">IF(A1729="","",IF(AND(I1729="Sí",J1729="Sí"),"Sí","No"))</f>
        <v/>
      </c>
    </row>
    <row r="1730" customFormat="false" ht="15" hidden="false" customHeight="false" outlineLevel="0" collapsed="false">
      <c r="A1730" s="22"/>
      <c r="B1730" s="22"/>
      <c r="C1730" s="26" t="str">
        <f aca="false">IF(A1730="","",IFERROR(buscarx(A1730&amp;B1730,DATA!$E$3:$E$10000&amp;DATA!$B$3:$B$10000,DATA!$M$3:$M$10000),"No encontrado"))</f>
        <v/>
      </c>
      <c r="D1730" s="27" t="str">
        <f aca="false">IF(A1730="","",IFERROR(buscarx(A1730&amp;B1730,DATA!$E$3:$E$10000&amp;DATA!$B$3:$B$10000,DATA!$W$3:$W$10000),"No encontrado"))</f>
        <v/>
      </c>
      <c r="E1730" s="22"/>
      <c r="F1730" s="26" t="str">
        <f aca="false">IF(A1730="","",IFERROR(buscarx(A1730&amp;E1730,DATA!$E$3:$E$10000&amp;DATA!$B$3:$B$10000,DATA!$M$3:$M$10000),"Inactivo"))</f>
        <v/>
      </c>
      <c r="G1730" s="28" t="str">
        <f aca="false">IF(A1730="","",IF(AND(C1730&lt;&gt;"No encontrado",F1730&lt;&gt;"Inactivo"),C1730&amp;" → "&amp;F1730,"Sin transición"))</f>
        <v/>
      </c>
      <c r="H1730" s="26" t="str">
        <f aca="false">IF(A1730="","",IF(D1730="GCIA LINEA SERVICIO DIGITALIDAD Y VENTAS","Chats",IF(OR(D1730="GERENCIA INBOUND LÍNEAS SERVICIO Y VENTA",D1730="GERENCIA INBOUND LINEAS ESPECIALIZADAS"),"Llamadas","Otro")))</f>
        <v/>
      </c>
      <c r="I1730" s="26" t="str">
        <f aca="false">IF(A1730="","",IF(C1730="No encontrado","No","Sí"))</f>
        <v/>
      </c>
      <c r="J1730" s="26" t="str">
        <f aca="false">IF(A1730="","",IF(F1730="Inactivo","No","Sí"))</f>
        <v/>
      </c>
      <c r="K1730" s="26" t="str">
        <f aca="false">IF(A1730="","",IF(AND(I1730="Sí",J1730="Sí"),"Sí","No"))</f>
        <v/>
      </c>
    </row>
    <row r="1731" customFormat="false" ht="15" hidden="false" customHeight="false" outlineLevel="0" collapsed="false">
      <c r="A1731" s="22"/>
      <c r="B1731" s="22"/>
      <c r="C1731" s="23" t="str">
        <f aca="false">IF(A1731="","",IFERROR(buscarx(A1731&amp;B1731,DATA!$E$3:$E$10000&amp;DATA!$B$3:$B$10000,DATA!$M$3:$M$10000),"No encontrado"))</f>
        <v/>
      </c>
      <c r="D1731" s="24" t="str">
        <f aca="false">IF(A1731="","",IFERROR(buscarx(A1731&amp;B1731,DATA!$E$3:$E$10000&amp;DATA!$B$3:$B$10000,DATA!$W$3:$W$10000),"No encontrado"))</f>
        <v/>
      </c>
      <c r="E1731" s="22"/>
      <c r="F1731" s="23" t="str">
        <f aca="false">IF(A1731="","",IFERROR(buscarx(A1731&amp;E1731,DATA!$E$3:$E$10000&amp;DATA!$B$3:$B$10000,DATA!$M$3:$M$10000),"Inactivo"))</f>
        <v/>
      </c>
      <c r="G1731" s="25" t="str">
        <f aca="false">IF(A1731="","",IF(AND(C1731&lt;&gt;"No encontrado",F1731&lt;&gt;"Inactivo"),C1731&amp;" → "&amp;F1731,"Sin transición"))</f>
        <v/>
      </c>
      <c r="H1731" s="23" t="str">
        <f aca="false">IF(A1731="","",IF(D1731="GCIA LINEA SERVICIO DIGITALIDAD Y VENTAS","Chats",IF(OR(D1731="GERENCIA INBOUND LÍNEAS SERVICIO Y VENTA",D1731="GERENCIA INBOUND LINEAS ESPECIALIZADAS"),"Llamadas","Otro")))</f>
        <v/>
      </c>
      <c r="I1731" s="23" t="str">
        <f aca="false">IF(A1731="","",IF(C1731="No encontrado","No","Sí"))</f>
        <v/>
      </c>
      <c r="J1731" s="23" t="str">
        <f aca="false">IF(A1731="","",IF(F1731="Inactivo","No","Sí"))</f>
        <v/>
      </c>
      <c r="K1731" s="23" t="str">
        <f aca="false">IF(A1731="","",IF(AND(I1731="Sí",J1731="Sí"),"Sí","No"))</f>
        <v/>
      </c>
    </row>
    <row r="1732" customFormat="false" ht="15" hidden="false" customHeight="false" outlineLevel="0" collapsed="false">
      <c r="A1732" s="22"/>
      <c r="B1732" s="22"/>
      <c r="C1732" s="26" t="str">
        <f aca="false">IF(A1732="","",IFERROR(buscarx(A1732&amp;B1732,DATA!$E$3:$E$10000&amp;DATA!$B$3:$B$10000,DATA!$M$3:$M$10000),"No encontrado"))</f>
        <v/>
      </c>
      <c r="D1732" s="27" t="str">
        <f aca="false">IF(A1732="","",IFERROR(buscarx(A1732&amp;B1732,DATA!$E$3:$E$10000&amp;DATA!$B$3:$B$10000,DATA!$W$3:$W$10000),"No encontrado"))</f>
        <v/>
      </c>
      <c r="E1732" s="22"/>
      <c r="F1732" s="26" t="str">
        <f aca="false">IF(A1732="","",IFERROR(buscarx(A1732&amp;E1732,DATA!$E$3:$E$10000&amp;DATA!$B$3:$B$10000,DATA!$M$3:$M$10000),"Inactivo"))</f>
        <v/>
      </c>
      <c r="G1732" s="28" t="str">
        <f aca="false">IF(A1732="","",IF(AND(C1732&lt;&gt;"No encontrado",F1732&lt;&gt;"Inactivo"),C1732&amp;" → "&amp;F1732,"Sin transición"))</f>
        <v/>
      </c>
      <c r="H1732" s="26" t="str">
        <f aca="false">IF(A1732="","",IF(D1732="GCIA LINEA SERVICIO DIGITALIDAD Y VENTAS","Chats",IF(OR(D1732="GERENCIA INBOUND LÍNEAS SERVICIO Y VENTA",D1732="GERENCIA INBOUND LINEAS ESPECIALIZADAS"),"Llamadas","Otro")))</f>
        <v/>
      </c>
      <c r="I1732" s="26" t="str">
        <f aca="false">IF(A1732="","",IF(C1732="No encontrado","No","Sí"))</f>
        <v/>
      </c>
      <c r="J1732" s="26" t="str">
        <f aca="false">IF(A1732="","",IF(F1732="Inactivo","No","Sí"))</f>
        <v/>
      </c>
      <c r="K1732" s="26" t="str">
        <f aca="false">IF(A1732="","",IF(AND(I1732="Sí",J1732="Sí"),"Sí","No"))</f>
        <v/>
      </c>
    </row>
    <row r="1733" customFormat="false" ht="15" hidden="false" customHeight="false" outlineLevel="0" collapsed="false">
      <c r="A1733" s="22"/>
      <c r="B1733" s="22"/>
      <c r="C1733" s="23" t="str">
        <f aca="false">IF(A1733="","",IFERROR(buscarx(A1733&amp;B1733,DATA!$E$3:$E$10000&amp;DATA!$B$3:$B$10000,DATA!$M$3:$M$10000),"No encontrado"))</f>
        <v/>
      </c>
      <c r="D1733" s="24" t="str">
        <f aca="false">IF(A1733="","",IFERROR(buscarx(A1733&amp;B1733,DATA!$E$3:$E$10000&amp;DATA!$B$3:$B$10000,DATA!$W$3:$W$10000),"No encontrado"))</f>
        <v/>
      </c>
      <c r="E1733" s="22"/>
      <c r="F1733" s="23" t="str">
        <f aca="false">IF(A1733="","",IFERROR(buscarx(A1733&amp;E1733,DATA!$E$3:$E$10000&amp;DATA!$B$3:$B$10000,DATA!$M$3:$M$10000),"Inactivo"))</f>
        <v/>
      </c>
      <c r="G1733" s="25" t="str">
        <f aca="false">IF(A1733="","",IF(AND(C1733&lt;&gt;"No encontrado",F1733&lt;&gt;"Inactivo"),C1733&amp;" → "&amp;F1733,"Sin transición"))</f>
        <v/>
      </c>
      <c r="H1733" s="23" t="str">
        <f aca="false">IF(A1733="","",IF(D1733="GCIA LINEA SERVICIO DIGITALIDAD Y VENTAS","Chats",IF(OR(D1733="GERENCIA INBOUND LÍNEAS SERVICIO Y VENTA",D1733="GERENCIA INBOUND LINEAS ESPECIALIZADAS"),"Llamadas","Otro")))</f>
        <v/>
      </c>
      <c r="I1733" s="23" t="str">
        <f aca="false">IF(A1733="","",IF(C1733="No encontrado","No","Sí"))</f>
        <v/>
      </c>
      <c r="J1733" s="23" t="str">
        <f aca="false">IF(A1733="","",IF(F1733="Inactivo","No","Sí"))</f>
        <v/>
      </c>
      <c r="K1733" s="23" t="str">
        <f aca="false">IF(A1733="","",IF(AND(I1733="Sí",J1733="Sí"),"Sí","No"))</f>
        <v/>
      </c>
    </row>
    <row r="1734" customFormat="false" ht="15" hidden="false" customHeight="false" outlineLevel="0" collapsed="false">
      <c r="A1734" s="22"/>
      <c r="B1734" s="22"/>
      <c r="C1734" s="26" t="str">
        <f aca="false">IF(A1734="","",IFERROR(buscarx(A1734&amp;B1734,DATA!$E$3:$E$10000&amp;DATA!$B$3:$B$10000,DATA!$M$3:$M$10000),"No encontrado"))</f>
        <v/>
      </c>
      <c r="D1734" s="27" t="str">
        <f aca="false">IF(A1734="","",IFERROR(buscarx(A1734&amp;B1734,DATA!$E$3:$E$10000&amp;DATA!$B$3:$B$10000,DATA!$W$3:$W$10000),"No encontrado"))</f>
        <v/>
      </c>
      <c r="E1734" s="22"/>
      <c r="F1734" s="26" t="str">
        <f aca="false">IF(A1734="","",IFERROR(buscarx(A1734&amp;E1734,DATA!$E$3:$E$10000&amp;DATA!$B$3:$B$10000,DATA!$M$3:$M$10000),"Inactivo"))</f>
        <v/>
      </c>
      <c r="G1734" s="28" t="str">
        <f aca="false">IF(A1734="","",IF(AND(C1734&lt;&gt;"No encontrado",F1734&lt;&gt;"Inactivo"),C1734&amp;" → "&amp;F1734,"Sin transición"))</f>
        <v/>
      </c>
      <c r="H1734" s="26" t="str">
        <f aca="false">IF(A1734="","",IF(D1734="GCIA LINEA SERVICIO DIGITALIDAD Y VENTAS","Chats",IF(OR(D1734="GERENCIA INBOUND LÍNEAS SERVICIO Y VENTA",D1734="GERENCIA INBOUND LINEAS ESPECIALIZADAS"),"Llamadas","Otro")))</f>
        <v/>
      </c>
      <c r="I1734" s="26" t="str">
        <f aca="false">IF(A1734="","",IF(C1734="No encontrado","No","Sí"))</f>
        <v/>
      </c>
      <c r="J1734" s="26" t="str">
        <f aca="false">IF(A1734="","",IF(F1734="Inactivo","No","Sí"))</f>
        <v/>
      </c>
      <c r="K1734" s="26" t="str">
        <f aca="false">IF(A1734="","",IF(AND(I1734="Sí",J1734="Sí"),"Sí","No"))</f>
        <v/>
      </c>
    </row>
    <row r="1735" customFormat="false" ht="15" hidden="false" customHeight="false" outlineLevel="0" collapsed="false">
      <c r="A1735" s="22"/>
      <c r="B1735" s="22"/>
      <c r="C1735" s="23" t="str">
        <f aca="false">IF(A1735="","",IFERROR(buscarx(A1735&amp;B1735,DATA!$E$3:$E$10000&amp;DATA!$B$3:$B$10000,DATA!$M$3:$M$10000),"No encontrado"))</f>
        <v/>
      </c>
      <c r="D1735" s="24" t="str">
        <f aca="false">IF(A1735="","",IFERROR(buscarx(A1735&amp;B1735,DATA!$E$3:$E$10000&amp;DATA!$B$3:$B$10000,DATA!$W$3:$W$10000),"No encontrado"))</f>
        <v/>
      </c>
      <c r="E1735" s="22"/>
      <c r="F1735" s="23" t="str">
        <f aca="false">IF(A1735="","",IFERROR(buscarx(A1735&amp;E1735,DATA!$E$3:$E$10000&amp;DATA!$B$3:$B$10000,DATA!$M$3:$M$10000),"Inactivo"))</f>
        <v/>
      </c>
      <c r="G1735" s="25" t="str">
        <f aca="false">IF(A1735="","",IF(AND(C1735&lt;&gt;"No encontrado",F1735&lt;&gt;"Inactivo"),C1735&amp;" → "&amp;F1735,"Sin transición"))</f>
        <v/>
      </c>
      <c r="H1735" s="23" t="str">
        <f aca="false">IF(A1735="","",IF(D1735="GCIA LINEA SERVICIO DIGITALIDAD Y VENTAS","Chats",IF(OR(D1735="GERENCIA INBOUND LÍNEAS SERVICIO Y VENTA",D1735="GERENCIA INBOUND LINEAS ESPECIALIZADAS"),"Llamadas","Otro")))</f>
        <v/>
      </c>
      <c r="I1735" s="23" t="str">
        <f aca="false">IF(A1735="","",IF(C1735="No encontrado","No","Sí"))</f>
        <v/>
      </c>
      <c r="J1735" s="23" t="str">
        <f aca="false">IF(A1735="","",IF(F1735="Inactivo","No","Sí"))</f>
        <v/>
      </c>
      <c r="K1735" s="23" t="str">
        <f aca="false">IF(A1735="","",IF(AND(I1735="Sí",J1735="Sí"),"Sí","No"))</f>
        <v/>
      </c>
    </row>
    <row r="1736" customFormat="false" ht="15" hidden="false" customHeight="false" outlineLevel="0" collapsed="false">
      <c r="A1736" s="22"/>
      <c r="B1736" s="22"/>
      <c r="C1736" s="26" t="str">
        <f aca="false">IF(A1736="","",IFERROR(buscarx(A1736&amp;B1736,DATA!$E$3:$E$10000&amp;DATA!$B$3:$B$10000,DATA!$M$3:$M$10000),"No encontrado"))</f>
        <v/>
      </c>
      <c r="D1736" s="27" t="str">
        <f aca="false">IF(A1736="","",IFERROR(buscarx(A1736&amp;B1736,DATA!$E$3:$E$10000&amp;DATA!$B$3:$B$10000,DATA!$W$3:$W$10000),"No encontrado"))</f>
        <v/>
      </c>
      <c r="E1736" s="22"/>
      <c r="F1736" s="26" t="str">
        <f aca="false">IF(A1736="","",IFERROR(buscarx(A1736&amp;E1736,DATA!$E$3:$E$10000&amp;DATA!$B$3:$B$10000,DATA!$M$3:$M$10000),"Inactivo"))</f>
        <v/>
      </c>
      <c r="G1736" s="28" t="str">
        <f aca="false">IF(A1736="","",IF(AND(C1736&lt;&gt;"No encontrado",F1736&lt;&gt;"Inactivo"),C1736&amp;" → "&amp;F1736,"Sin transición"))</f>
        <v/>
      </c>
      <c r="H1736" s="26" t="str">
        <f aca="false">IF(A1736="","",IF(D1736="GCIA LINEA SERVICIO DIGITALIDAD Y VENTAS","Chats",IF(OR(D1736="GERENCIA INBOUND LÍNEAS SERVICIO Y VENTA",D1736="GERENCIA INBOUND LINEAS ESPECIALIZADAS"),"Llamadas","Otro")))</f>
        <v/>
      </c>
      <c r="I1736" s="26" t="str">
        <f aca="false">IF(A1736="","",IF(C1736="No encontrado","No","Sí"))</f>
        <v/>
      </c>
      <c r="J1736" s="26" t="str">
        <f aca="false">IF(A1736="","",IF(F1736="Inactivo","No","Sí"))</f>
        <v/>
      </c>
      <c r="K1736" s="26" t="str">
        <f aca="false">IF(A1736="","",IF(AND(I1736="Sí",J1736="Sí"),"Sí","No"))</f>
        <v/>
      </c>
    </row>
    <row r="1737" customFormat="false" ht="15" hidden="false" customHeight="false" outlineLevel="0" collapsed="false">
      <c r="A1737" s="22"/>
      <c r="B1737" s="22"/>
      <c r="C1737" s="23" t="str">
        <f aca="false">IF(A1737="","",IFERROR(buscarx(A1737&amp;B1737,DATA!$E$3:$E$10000&amp;DATA!$B$3:$B$10000,DATA!$M$3:$M$10000),"No encontrado"))</f>
        <v/>
      </c>
      <c r="D1737" s="24" t="str">
        <f aca="false">IF(A1737="","",IFERROR(buscarx(A1737&amp;B1737,DATA!$E$3:$E$10000&amp;DATA!$B$3:$B$10000,DATA!$W$3:$W$10000),"No encontrado"))</f>
        <v/>
      </c>
      <c r="E1737" s="22"/>
      <c r="F1737" s="23" t="str">
        <f aca="false">IF(A1737="","",IFERROR(buscarx(A1737&amp;E1737,DATA!$E$3:$E$10000&amp;DATA!$B$3:$B$10000,DATA!$M$3:$M$10000),"Inactivo"))</f>
        <v/>
      </c>
      <c r="G1737" s="25" t="str">
        <f aca="false">IF(A1737="","",IF(AND(C1737&lt;&gt;"No encontrado",F1737&lt;&gt;"Inactivo"),C1737&amp;" → "&amp;F1737,"Sin transición"))</f>
        <v/>
      </c>
      <c r="H1737" s="23" t="str">
        <f aca="false">IF(A1737="","",IF(D1737="GCIA LINEA SERVICIO DIGITALIDAD Y VENTAS","Chats",IF(OR(D1737="GERENCIA INBOUND LÍNEAS SERVICIO Y VENTA",D1737="GERENCIA INBOUND LINEAS ESPECIALIZADAS"),"Llamadas","Otro")))</f>
        <v/>
      </c>
      <c r="I1737" s="23" t="str">
        <f aca="false">IF(A1737="","",IF(C1737="No encontrado","No","Sí"))</f>
        <v/>
      </c>
      <c r="J1737" s="23" t="str">
        <f aca="false">IF(A1737="","",IF(F1737="Inactivo","No","Sí"))</f>
        <v/>
      </c>
      <c r="K1737" s="23" t="str">
        <f aca="false">IF(A1737="","",IF(AND(I1737="Sí",J1737="Sí"),"Sí","No"))</f>
        <v/>
      </c>
    </row>
    <row r="1738" customFormat="false" ht="15" hidden="false" customHeight="false" outlineLevel="0" collapsed="false">
      <c r="A1738" s="22"/>
      <c r="B1738" s="22"/>
      <c r="C1738" s="26" t="str">
        <f aca="false">IF(A1738="","",IFERROR(buscarx(A1738&amp;B1738,DATA!$E$3:$E$10000&amp;DATA!$B$3:$B$10000,DATA!$M$3:$M$10000),"No encontrado"))</f>
        <v/>
      </c>
      <c r="D1738" s="27" t="str">
        <f aca="false">IF(A1738="","",IFERROR(buscarx(A1738&amp;B1738,DATA!$E$3:$E$10000&amp;DATA!$B$3:$B$10000,DATA!$W$3:$W$10000),"No encontrado"))</f>
        <v/>
      </c>
      <c r="E1738" s="22"/>
      <c r="F1738" s="26" t="str">
        <f aca="false">IF(A1738="","",IFERROR(buscarx(A1738&amp;E1738,DATA!$E$3:$E$10000&amp;DATA!$B$3:$B$10000,DATA!$M$3:$M$10000),"Inactivo"))</f>
        <v/>
      </c>
      <c r="G1738" s="28" t="str">
        <f aca="false">IF(A1738="","",IF(AND(C1738&lt;&gt;"No encontrado",F1738&lt;&gt;"Inactivo"),C1738&amp;" → "&amp;F1738,"Sin transición"))</f>
        <v/>
      </c>
      <c r="H1738" s="26" t="str">
        <f aca="false">IF(A1738="","",IF(D1738="GCIA LINEA SERVICIO DIGITALIDAD Y VENTAS","Chats",IF(OR(D1738="GERENCIA INBOUND LÍNEAS SERVICIO Y VENTA",D1738="GERENCIA INBOUND LINEAS ESPECIALIZADAS"),"Llamadas","Otro")))</f>
        <v/>
      </c>
      <c r="I1738" s="26" t="str">
        <f aca="false">IF(A1738="","",IF(C1738="No encontrado","No","Sí"))</f>
        <v/>
      </c>
      <c r="J1738" s="26" t="str">
        <f aca="false">IF(A1738="","",IF(F1738="Inactivo","No","Sí"))</f>
        <v/>
      </c>
      <c r="K1738" s="26" t="str">
        <f aca="false">IF(A1738="","",IF(AND(I1738="Sí",J1738="Sí"),"Sí","No"))</f>
        <v/>
      </c>
    </row>
    <row r="1739" customFormat="false" ht="15" hidden="false" customHeight="false" outlineLevel="0" collapsed="false">
      <c r="A1739" s="22"/>
      <c r="B1739" s="22"/>
      <c r="C1739" s="23" t="str">
        <f aca="false">IF(A1739="","",IFERROR(buscarx(A1739&amp;B1739,DATA!$E$3:$E$10000&amp;DATA!$B$3:$B$10000,DATA!$M$3:$M$10000),"No encontrado"))</f>
        <v/>
      </c>
      <c r="D1739" s="24" t="str">
        <f aca="false">IF(A1739="","",IFERROR(buscarx(A1739&amp;B1739,DATA!$E$3:$E$10000&amp;DATA!$B$3:$B$10000,DATA!$W$3:$W$10000),"No encontrado"))</f>
        <v/>
      </c>
      <c r="E1739" s="22"/>
      <c r="F1739" s="23" t="str">
        <f aca="false">IF(A1739="","",IFERROR(buscarx(A1739&amp;E1739,DATA!$E$3:$E$10000&amp;DATA!$B$3:$B$10000,DATA!$M$3:$M$10000),"Inactivo"))</f>
        <v/>
      </c>
      <c r="G1739" s="25" t="str">
        <f aca="false">IF(A1739="","",IF(AND(C1739&lt;&gt;"No encontrado",F1739&lt;&gt;"Inactivo"),C1739&amp;" → "&amp;F1739,"Sin transición"))</f>
        <v/>
      </c>
      <c r="H1739" s="23" t="str">
        <f aca="false">IF(A1739="","",IF(D1739="GCIA LINEA SERVICIO DIGITALIDAD Y VENTAS","Chats",IF(OR(D1739="GERENCIA INBOUND LÍNEAS SERVICIO Y VENTA",D1739="GERENCIA INBOUND LINEAS ESPECIALIZADAS"),"Llamadas","Otro")))</f>
        <v/>
      </c>
      <c r="I1739" s="23" t="str">
        <f aca="false">IF(A1739="","",IF(C1739="No encontrado","No","Sí"))</f>
        <v/>
      </c>
      <c r="J1739" s="23" t="str">
        <f aca="false">IF(A1739="","",IF(F1739="Inactivo","No","Sí"))</f>
        <v/>
      </c>
      <c r="K1739" s="23" t="str">
        <f aca="false">IF(A1739="","",IF(AND(I1739="Sí",J1739="Sí"),"Sí","No"))</f>
        <v/>
      </c>
    </row>
    <row r="1740" customFormat="false" ht="15" hidden="false" customHeight="false" outlineLevel="0" collapsed="false">
      <c r="A1740" s="22"/>
      <c r="B1740" s="22"/>
      <c r="C1740" s="26" t="str">
        <f aca="false">IF(A1740="","",IFERROR(buscarx(A1740&amp;B1740,DATA!$E$3:$E$10000&amp;DATA!$B$3:$B$10000,DATA!$M$3:$M$10000),"No encontrado"))</f>
        <v/>
      </c>
      <c r="D1740" s="27" t="str">
        <f aca="false">IF(A1740="","",IFERROR(buscarx(A1740&amp;B1740,DATA!$E$3:$E$10000&amp;DATA!$B$3:$B$10000,DATA!$W$3:$W$10000),"No encontrado"))</f>
        <v/>
      </c>
      <c r="E1740" s="22"/>
      <c r="F1740" s="26" t="str">
        <f aca="false">IF(A1740="","",IFERROR(buscarx(A1740&amp;E1740,DATA!$E$3:$E$10000&amp;DATA!$B$3:$B$10000,DATA!$M$3:$M$10000),"Inactivo"))</f>
        <v/>
      </c>
      <c r="G1740" s="28" t="str">
        <f aca="false">IF(A1740="","",IF(AND(C1740&lt;&gt;"No encontrado",F1740&lt;&gt;"Inactivo"),C1740&amp;" → "&amp;F1740,"Sin transición"))</f>
        <v/>
      </c>
      <c r="H1740" s="26" t="str">
        <f aca="false">IF(A1740="","",IF(D1740="GCIA LINEA SERVICIO DIGITALIDAD Y VENTAS","Chats",IF(OR(D1740="GERENCIA INBOUND LÍNEAS SERVICIO Y VENTA",D1740="GERENCIA INBOUND LINEAS ESPECIALIZADAS"),"Llamadas","Otro")))</f>
        <v/>
      </c>
      <c r="I1740" s="26" t="str">
        <f aca="false">IF(A1740="","",IF(C1740="No encontrado","No","Sí"))</f>
        <v/>
      </c>
      <c r="J1740" s="26" t="str">
        <f aca="false">IF(A1740="","",IF(F1740="Inactivo","No","Sí"))</f>
        <v/>
      </c>
      <c r="K1740" s="26" t="str">
        <f aca="false">IF(A1740="","",IF(AND(I1740="Sí",J1740="Sí"),"Sí","No"))</f>
        <v/>
      </c>
    </row>
    <row r="1741" customFormat="false" ht="15" hidden="false" customHeight="false" outlineLevel="0" collapsed="false">
      <c r="A1741" s="22"/>
      <c r="B1741" s="22"/>
      <c r="C1741" s="23" t="str">
        <f aca="false">IF(A1741="","",IFERROR(buscarx(A1741&amp;B1741,DATA!$E$3:$E$10000&amp;DATA!$B$3:$B$10000,DATA!$M$3:$M$10000),"No encontrado"))</f>
        <v/>
      </c>
      <c r="D1741" s="24" t="str">
        <f aca="false">IF(A1741="","",IFERROR(buscarx(A1741&amp;B1741,DATA!$E$3:$E$10000&amp;DATA!$B$3:$B$10000,DATA!$W$3:$W$10000),"No encontrado"))</f>
        <v/>
      </c>
      <c r="E1741" s="22"/>
      <c r="F1741" s="23" t="str">
        <f aca="false">IF(A1741="","",IFERROR(buscarx(A1741&amp;E1741,DATA!$E$3:$E$10000&amp;DATA!$B$3:$B$10000,DATA!$M$3:$M$10000),"Inactivo"))</f>
        <v/>
      </c>
      <c r="G1741" s="25" t="str">
        <f aca="false">IF(A1741="","",IF(AND(C1741&lt;&gt;"No encontrado",F1741&lt;&gt;"Inactivo"),C1741&amp;" → "&amp;F1741,"Sin transición"))</f>
        <v/>
      </c>
      <c r="H1741" s="23" t="str">
        <f aca="false">IF(A1741="","",IF(D1741="GCIA LINEA SERVICIO DIGITALIDAD Y VENTAS","Chats",IF(OR(D1741="GERENCIA INBOUND LÍNEAS SERVICIO Y VENTA",D1741="GERENCIA INBOUND LINEAS ESPECIALIZADAS"),"Llamadas","Otro")))</f>
        <v/>
      </c>
      <c r="I1741" s="23" t="str">
        <f aca="false">IF(A1741="","",IF(C1741="No encontrado","No","Sí"))</f>
        <v/>
      </c>
      <c r="J1741" s="23" t="str">
        <f aca="false">IF(A1741="","",IF(F1741="Inactivo","No","Sí"))</f>
        <v/>
      </c>
      <c r="K1741" s="23" t="str">
        <f aca="false">IF(A1741="","",IF(AND(I1741="Sí",J1741="Sí"),"Sí","No"))</f>
        <v/>
      </c>
    </row>
    <row r="1742" customFormat="false" ht="15" hidden="false" customHeight="false" outlineLevel="0" collapsed="false">
      <c r="A1742" s="22"/>
      <c r="B1742" s="22"/>
      <c r="C1742" s="26" t="str">
        <f aca="false">IF(A1742="","",IFERROR(buscarx(A1742&amp;B1742,DATA!$E$3:$E$10000&amp;DATA!$B$3:$B$10000,DATA!$M$3:$M$10000),"No encontrado"))</f>
        <v/>
      </c>
      <c r="D1742" s="27" t="str">
        <f aca="false">IF(A1742="","",IFERROR(buscarx(A1742&amp;B1742,DATA!$E$3:$E$10000&amp;DATA!$B$3:$B$10000,DATA!$W$3:$W$10000),"No encontrado"))</f>
        <v/>
      </c>
      <c r="E1742" s="22"/>
      <c r="F1742" s="26" t="str">
        <f aca="false">IF(A1742="","",IFERROR(buscarx(A1742&amp;E1742,DATA!$E$3:$E$10000&amp;DATA!$B$3:$B$10000,DATA!$M$3:$M$10000),"Inactivo"))</f>
        <v/>
      </c>
      <c r="G1742" s="28" t="str">
        <f aca="false">IF(A1742="","",IF(AND(C1742&lt;&gt;"No encontrado",F1742&lt;&gt;"Inactivo"),C1742&amp;" → "&amp;F1742,"Sin transición"))</f>
        <v/>
      </c>
      <c r="H1742" s="26" t="str">
        <f aca="false">IF(A1742="","",IF(D1742="GCIA LINEA SERVICIO DIGITALIDAD Y VENTAS","Chats",IF(OR(D1742="GERENCIA INBOUND LÍNEAS SERVICIO Y VENTA",D1742="GERENCIA INBOUND LINEAS ESPECIALIZADAS"),"Llamadas","Otro")))</f>
        <v/>
      </c>
      <c r="I1742" s="26" t="str">
        <f aca="false">IF(A1742="","",IF(C1742="No encontrado","No","Sí"))</f>
        <v/>
      </c>
      <c r="J1742" s="26" t="str">
        <f aca="false">IF(A1742="","",IF(F1742="Inactivo","No","Sí"))</f>
        <v/>
      </c>
      <c r="K1742" s="26" t="str">
        <f aca="false">IF(A1742="","",IF(AND(I1742="Sí",J1742="Sí"),"Sí","No"))</f>
        <v/>
      </c>
    </row>
    <row r="1743" customFormat="false" ht="15" hidden="false" customHeight="false" outlineLevel="0" collapsed="false">
      <c r="A1743" s="22"/>
      <c r="B1743" s="22"/>
      <c r="C1743" s="23" t="str">
        <f aca="false">IF(A1743="","",IFERROR(buscarx(A1743&amp;B1743,DATA!$E$3:$E$10000&amp;DATA!$B$3:$B$10000,DATA!$M$3:$M$10000),"No encontrado"))</f>
        <v/>
      </c>
      <c r="D1743" s="24" t="str">
        <f aca="false">IF(A1743="","",IFERROR(buscarx(A1743&amp;B1743,DATA!$E$3:$E$10000&amp;DATA!$B$3:$B$10000,DATA!$W$3:$W$10000),"No encontrado"))</f>
        <v/>
      </c>
      <c r="E1743" s="22"/>
      <c r="F1743" s="23" t="str">
        <f aca="false">IF(A1743="","",IFERROR(buscarx(A1743&amp;E1743,DATA!$E$3:$E$10000&amp;DATA!$B$3:$B$10000,DATA!$M$3:$M$10000),"Inactivo"))</f>
        <v/>
      </c>
      <c r="G1743" s="25" t="str">
        <f aca="false">IF(A1743="","",IF(AND(C1743&lt;&gt;"No encontrado",F1743&lt;&gt;"Inactivo"),C1743&amp;" → "&amp;F1743,"Sin transición"))</f>
        <v/>
      </c>
      <c r="H1743" s="23" t="str">
        <f aca="false">IF(A1743="","",IF(D1743="GCIA LINEA SERVICIO DIGITALIDAD Y VENTAS","Chats",IF(OR(D1743="GERENCIA INBOUND LÍNEAS SERVICIO Y VENTA",D1743="GERENCIA INBOUND LINEAS ESPECIALIZADAS"),"Llamadas","Otro")))</f>
        <v/>
      </c>
      <c r="I1743" s="23" t="str">
        <f aca="false">IF(A1743="","",IF(C1743="No encontrado","No","Sí"))</f>
        <v/>
      </c>
      <c r="J1743" s="23" t="str">
        <f aca="false">IF(A1743="","",IF(F1743="Inactivo","No","Sí"))</f>
        <v/>
      </c>
      <c r="K1743" s="23" t="str">
        <f aca="false">IF(A1743="","",IF(AND(I1743="Sí",J1743="Sí"),"Sí","No"))</f>
        <v/>
      </c>
    </row>
    <row r="1744" customFormat="false" ht="15" hidden="false" customHeight="false" outlineLevel="0" collapsed="false">
      <c r="A1744" s="22"/>
      <c r="B1744" s="22"/>
      <c r="C1744" s="26" t="str">
        <f aca="false">IF(A1744="","",IFERROR(buscarx(A1744&amp;B1744,DATA!$E$3:$E$10000&amp;DATA!$B$3:$B$10000,DATA!$M$3:$M$10000),"No encontrado"))</f>
        <v/>
      </c>
      <c r="D1744" s="27" t="str">
        <f aca="false">IF(A1744="","",IFERROR(buscarx(A1744&amp;B1744,DATA!$E$3:$E$10000&amp;DATA!$B$3:$B$10000,DATA!$W$3:$W$10000),"No encontrado"))</f>
        <v/>
      </c>
      <c r="E1744" s="22"/>
      <c r="F1744" s="26" t="str">
        <f aca="false">IF(A1744="","",IFERROR(buscarx(A1744&amp;E1744,DATA!$E$3:$E$10000&amp;DATA!$B$3:$B$10000,DATA!$M$3:$M$10000),"Inactivo"))</f>
        <v/>
      </c>
      <c r="G1744" s="28" t="str">
        <f aca="false">IF(A1744="","",IF(AND(C1744&lt;&gt;"No encontrado",F1744&lt;&gt;"Inactivo"),C1744&amp;" → "&amp;F1744,"Sin transición"))</f>
        <v/>
      </c>
      <c r="H1744" s="26" t="str">
        <f aca="false">IF(A1744="","",IF(D1744="GCIA LINEA SERVICIO DIGITALIDAD Y VENTAS","Chats",IF(OR(D1744="GERENCIA INBOUND LÍNEAS SERVICIO Y VENTA",D1744="GERENCIA INBOUND LINEAS ESPECIALIZADAS"),"Llamadas","Otro")))</f>
        <v/>
      </c>
      <c r="I1744" s="26" t="str">
        <f aca="false">IF(A1744="","",IF(C1744="No encontrado","No","Sí"))</f>
        <v/>
      </c>
      <c r="J1744" s="26" t="str">
        <f aca="false">IF(A1744="","",IF(F1744="Inactivo","No","Sí"))</f>
        <v/>
      </c>
      <c r="K1744" s="26" t="str">
        <f aca="false">IF(A1744="","",IF(AND(I1744="Sí",J1744="Sí"),"Sí","No"))</f>
        <v/>
      </c>
    </row>
    <row r="1745" customFormat="false" ht="15" hidden="false" customHeight="false" outlineLevel="0" collapsed="false">
      <c r="A1745" s="22"/>
      <c r="B1745" s="22"/>
      <c r="C1745" s="23" t="str">
        <f aca="false">IF(A1745="","",IFERROR(buscarx(A1745&amp;B1745,DATA!$E$3:$E$10000&amp;DATA!$B$3:$B$10000,DATA!$M$3:$M$10000),"No encontrado"))</f>
        <v/>
      </c>
      <c r="D1745" s="24" t="str">
        <f aca="false">IF(A1745="","",IFERROR(buscarx(A1745&amp;B1745,DATA!$E$3:$E$10000&amp;DATA!$B$3:$B$10000,DATA!$W$3:$W$10000),"No encontrado"))</f>
        <v/>
      </c>
      <c r="E1745" s="22"/>
      <c r="F1745" s="23" t="str">
        <f aca="false">IF(A1745="","",IFERROR(buscarx(A1745&amp;E1745,DATA!$E$3:$E$10000&amp;DATA!$B$3:$B$10000,DATA!$M$3:$M$10000),"Inactivo"))</f>
        <v/>
      </c>
      <c r="G1745" s="25" t="str">
        <f aca="false">IF(A1745="","",IF(AND(C1745&lt;&gt;"No encontrado",F1745&lt;&gt;"Inactivo"),C1745&amp;" → "&amp;F1745,"Sin transición"))</f>
        <v/>
      </c>
      <c r="H1745" s="23" t="str">
        <f aca="false">IF(A1745="","",IF(D1745="GCIA LINEA SERVICIO DIGITALIDAD Y VENTAS","Chats",IF(OR(D1745="GERENCIA INBOUND LÍNEAS SERVICIO Y VENTA",D1745="GERENCIA INBOUND LINEAS ESPECIALIZADAS"),"Llamadas","Otro")))</f>
        <v/>
      </c>
      <c r="I1745" s="23" t="str">
        <f aca="false">IF(A1745="","",IF(C1745="No encontrado","No","Sí"))</f>
        <v/>
      </c>
      <c r="J1745" s="23" t="str">
        <f aca="false">IF(A1745="","",IF(F1745="Inactivo","No","Sí"))</f>
        <v/>
      </c>
      <c r="K1745" s="23" t="str">
        <f aca="false">IF(A1745="","",IF(AND(I1745="Sí",J1745="Sí"),"Sí","No"))</f>
        <v/>
      </c>
    </row>
    <row r="1746" customFormat="false" ht="15" hidden="false" customHeight="false" outlineLevel="0" collapsed="false">
      <c r="A1746" s="22"/>
      <c r="B1746" s="22"/>
      <c r="C1746" s="26" t="str">
        <f aca="false">IF(A1746="","",IFERROR(buscarx(A1746&amp;B1746,DATA!$E$3:$E$10000&amp;DATA!$B$3:$B$10000,DATA!$M$3:$M$10000),"No encontrado"))</f>
        <v/>
      </c>
      <c r="D1746" s="27" t="str">
        <f aca="false">IF(A1746="","",IFERROR(buscarx(A1746&amp;B1746,DATA!$E$3:$E$10000&amp;DATA!$B$3:$B$10000,DATA!$W$3:$W$10000),"No encontrado"))</f>
        <v/>
      </c>
      <c r="E1746" s="22"/>
      <c r="F1746" s="26" t="str">
        <f aca="false">IF(A1746="","",IFERROR(buscarx(A1746&amp;E1746,DATA!$E$3:$E$10000&amp;DATA!$B$3:$B$10000,DATA!$M$3:$M$10000),"Inactivo"))</f>
        <v/>
      </c>
      <c r="G1746" s="28" t="str">
        <f aca="false">IF(A1746="","",IF(AND(C1746&lt;&gt;"No encontrado",F1746&lt;&gt;"Inactivo"),C1746&amp;" → "&amp;F1746,"Sin transición"))</f>
        <v/>
      </c>
      <c r="H1746" s="26" t="str">
        <f aca="false">IF(A1746="","",IF(D1746="GCIA LINEA SERVICIO DIGITALIDAD Y VENTAS","Chats",IF(OR(D1746="GERENCIA INBOUND LÍNEAS SERVICIO Y VENTA",D1746="GERENCIA INBOUND LINEAS ESPECIALIZADAS"),"Llamadas","Otro")))</f>
        <v/>
      </c>
      <c r="I1746" s="26" t="str">
        <f aca="false">IF(A1746="","",IF(C1746="No encontrado","No","Sí"))</f>
        <v/>
      </c>
      <c r="J1746" s="26" t="str">
        <f aca="false">IF(A1746="","",IF(F1746="Inactivo","No","Sí"))</f>
        <v/>
      </c>
      <c r="K1746" s="26" t="str">
        <f aca="false">IF(A1746="","",IF(AND(I1746="Sí",J1746="Sí"),"Sí","No"))</f>
        <v/>
      </c>
    </row>
    <row r="1747" customFormat="false" ht="15" hidden="false" customHeight="false" outlineLevel="0" collapsed="false">
      <c r="A1747" s="22"/>
      <c r="B1747" s="22"/>
      <c r="C1747" s="23" t="str">
        <f aca="false">IF(A1747="","",IFERROR(buscarx(A1747&amp;B1747,DATA!$E$3:$E$10000&amp;DATA!$B$3:$B$10000,DATA!$M$3:$M$10000),"No encontrado"))</f>
        <v/>
      </c>
      <c r="D1747" s="24" t="str">
        <f aca="false">IF(A1747="","",IFERROR(buscarx(A1747&amp;B1747,DATA!$E$3:$E$10000&amp;DATA!$B$3:$B$10000,DATA!$W$3:$W$10000),"No encontrado"))</f>
        <v/>
      </c>
      <c r="E1747" s="22"/>
      <c r="F1747" s="23" t="str">
        <f aca="false">IF(A1747="","",IFERROR(buscarx(A1747&amp;E1747,DATA!$E$3:$E$10000&amp;DATA!$B$3:$B$10000,DATA!$M$3:$M$10000),"Inactivo"))</f>
        <v/>
      </c>
      <c r="G1747" s="25" t="str">
        <f aca="false">IF(A1747="","",IF(AND(C1747&lt;&gt;"No encontrado",F1747&lt;&gt;"Inactivo"),C1747&amp;" → "&amp;F1747,"Sin transición"))</f>
        <v/>
      </c>
      <c r="H1747" s="23" t="str">
        <f aca="false">IF(A1747="","",IF(D1747="GCIA LINEA SERVICIO DIGITALIDAD Y VENTAS","Chats",IF(OR(D1747="GERENCIA INBOUND LÍNEAS SERVICIO Y VENTA",D1747="GERENCIA INBOUND LINEAS ESPECIALIZADAS"),"Llamadas","Otro")))</f>
        <v/>
      </c>
      <c r="I1747" s="23" t="str">
        <f aca="false">IF(A1747="","",IF(C1747="No encontrado","No","Sí"))</f>
        <v/>
      </c>
      <c r="J1747" s="23" t="str">
        <f aca="false">IF(A1747="","",IF(F1747="Inactivo","No","Sí"))</f>
        <v/>
      </c>
      <c r="K1747" s="23" t="str">
        <f aca="false">IF(A1747="","",IF(AND(I1747="Sí",J1747="Sí"),"Sí","No"))</f>
        <v/>
      </c>
    </row>
    <row r="1748" customFormat="false" ht="15" hidden="false" customHeight="false" outlineLevel="0" collapsed="false">
      <c r="A1748" s="22"/>
      <c r="B1748" s="22"/>
      <c r="C1748" s="26" t="str">
        <f aca="false">IF(A1748="","",IFERROR(buscarx(A1748&amp;B1748,DATA!$E$3:$E$10000&amp;DATA!$B$3:$B$10000,DATA!$M$3:$M$10000),"No encontrado"))</f>
        <v/>
      </c>
      <c r="D1748" s="27" t="str">
        <f aca="false">IF(A1748="","",IFERROR(buscarx(A1748&amp;B1748,DATA!$E$3:$E$10000&amp;DATA!$B$3:$B$10000,DATA!$W$3:$W$10000),"No encontrado"))</f>
        <v/>
      </c>
      <c r="E1748" s="22"/>
      <c r="F1748" s="26" t="str">
        <f aca="false">IF(A1748="","",IFERROR(buscarx(A1748&amp;E1748,DATA!$E$3:$E$10000&amp;DATA!$B$3:$B$10000,DATA!$M$3:$M$10000),"Inactivo"))</f>
        <v/>
      </c>
      <c r="G1748" s="28" t="str">
        <f aca="false">IF(A1748="","",IF(AND(C1748&lt;&gt;"No encontrado",F1748&lt;&gt;"Inactivo"),C1748&amp;" → "&amp;F1748,"Sin transición"))</f>
        <v/>
      </c>
      <c r="H1748" s="26" t="str">
        <f aca="false">IF(A1748="","",IF(D1748="GCIA LINEA SERVICIO DIGITALIDAD Y VENTAS","Chats",IF(OR(D1748="GERENCIA INBOUND LÍNEAS SERVICIO Y VENTA",D1748="GERENCIA INBOUND LINEAS ESPECIALIZADAS"),"Llamadas","Otro")))</f>
        <v/>
      </c>
      <c r="I1748" s="26" t="str">
        <f aca="false">IF(A1748="","",IF(C1748="No encontrado","No","Sí"))</f>
        <v/>
      </c>
      <c r="J1748" s="26" t="str">
        <f aca="false">IF(A1748="","",IF(F1748="Inactivo","No","Sí"))</f>
        <v/>
      </c>
      <c r="K1748" s="26" t="str">
        <f aca="false">IF(A1748="","",IF(AND(I1748="Sí",J1748="Sí"),"Sí","No"))</f>
        <v/>
      </c>
    </row>
    <row r="1749" customFormat="false" ht="15" hidden="false" customHeight="false" outlineLevel="0" collapsed="false">
      <c r="A1749" s="22"/>
      <c r="B1749" s="22"/>
      <c r="C1749" s="23" t="str">
        <f aca="false">IF(A1749="","",IFERROR(buscarx(A1749&amp;B1749,DATA!$E$3:$E$10000&amp;DATA!$B$3:$B$10000,DATA!$M$3:$M$10000),"No encontrado"))</f>
        <v/>
      </c>
      <c r="D1749" s="24" t="str">
        <f aca="false">IF(A1749="","",IFERROR(buscarx(A1749&amp;B1749,DATA!$E$3:$E$10000&amp;DATA!$B$3:$B$10000,DATA!$W$3:$W$10000),"No encontrado"))</f>
        <v/>
      </c>
      <c r="E1749" s="22"/>
      <c r="F1749" s="23" t="str">
        <f aca="false">IF(A1749="","",IFERROR(buscarx(A1749&amp;E1749,DATA!$E$3:$E$10000&amp;DATA!$B$3:$B$10000,DATA!$M$3:$M$10000),"Inactivo"))</f>
        <v/>
      </c>
      <c r="G1749" s="25" t="str">
        <f aca="false">IF(A1749="","",IF(AND(C1749&lt;&gt;"No encontrado",F1749&lt;&gt;"Inactivo"),C1749&amp;" → "&amp;F1749,"Sin transición"))</f>
        <v/>
      </c>
      <c r="H1749" s="23" t="str">
        <f aca="false">IF(A1749="","",IF(D1749="GCIA LINEA SERVICIO DIGITALIDAD Y VENTAS","Chats",IF(OR(D1749="GERENCIA INBOUND LÍNEAS SERVICIO Y VENTA",D1749="GERENCIA INBOUND LINEAS ESPECIALIZADAS"),"Llamadas","Otro")))</f>
        <v/>
      </c>
      <c r="I1749" s="23" t="str">
        <f aca="false">IF(A1749="","",IF(C1749="No encontrado","No","Sí"))</f>
        <v/>
      </c>
      <c r="J1749" s="23" t="str">
        <f aca="false">IF(A1749="","",IF(F1749="Inactivo","No","Sí"))</f>
        <v/>
      </c>
      <c r="K1749" s="23" t="str">
        <f aca="false">IF(A1749="","",IF(AND(I1749="Sí",J1749="Sí"),"Sí","No"))</f>
        <v/>
      </c>
    </row>
    <row r="1750" customFormat="false" ht="15" hidden="false" customHeight="false" outlineLevel="0" collapsed="false">
      <c r="A1750" s="22"/>
      <c r="B1750" s="22"/>
      <c r="C1750" s="26" t="str">
        <f aca="false">IF(A1750="","",IFERROR(buscarx(A1750&amp;B1750,DATA!$E$3:$E$10000&amp;DATA!$B$3:$B$10000,DATA!$M$3:$M$10000),"No encontrado"))</f>
        <v/>
      </c>
      <c r="D1750" s="27" t="str">
        <f aca="false">IF(A1750="","",IFERROR(buscarx(A1750&amp;B1750,DATA!$E$3:$E$10000&amp;DATA!$B$3:$B$10000,DATA!$W$3:$W$10000),"No encontrado"))</f>
        <v/>
      </c>
      <c r="E1750" s="22"/>
      <c r="F1750" s="26" t="str">
        <f aca="false">IF(A1750="","",IFERROR(buscarx(A1750&amp;E1750,DATA!$E$3:$E$10000&amp;DATA!$B$3:$B$10000,DATA!$M$3:$M$10000),"Inactivo"))</f>
        <v/>
      </c>
      <c r="G1750" s="28" t="str">
        <f aca="false">IF(A1750="","",IF(AND(C1750&lt;&gt;"No encontrado",F1750&lt;&gt;"Inactivo"),C1750&amp;" → "&amp;F1750,"Sin transición"))</f>
        <v/>
      </c>
      <c r="H1750" s="26" t="str">
        <f aca="false">IF(A1750="","",IF(D1750="GCIA LINEA SERVICIO DIGITALIDAD Y VENTAS","Chats",IF(OR(D1750="GERENCIA INBOUND LÍNEAS SERVICIO Y VENTA",D1750="GERENCIA INBOUND LINEAS ESPECIALIZADAS"),"Llamadas","Otro")))</f>
        <v/>
      </c>
      <c r="I1750" s="26" t="str">
        <f aca="false">IF(A1750="","",IF(C1750="No encontrado","No","Sí"))</f>
        <v/>
      </c>
      <c r="J1750" s="26" t="str">
        <f aca="false">IF(A1750="","",IF(F1750="Inactivo","No","Sí"))</f>
        <v/>
      </c>
      <c r="K1750" s="26" t="str">
        <f aca="false">IF(A1750="","",IF(AND(I1750="Sí",J1750="Sí"),"Sí","No"))</f>
        <v/>
      </c>
    </row>
    <row r="1751" customFormat="false" ht="15" hidden="false" customHeight="false" outlineLevel="0" collapsed="false">
      <c r="A1751" s="22"/>
      <c r="B1751" s="22"/>
      <c r="C1751" s="23" t="str">
        <f aca="false">IF(A1751="","",IFERROR(buscarx(A1751&amp;B1751,DATA!$E$3:$E$10000&amp;DATA!$B$3:$B$10000,DATA!$M$3:$M$10000),"No encontrado"))</f>
        <v/>
      </c>
      <c r="D1751" s="24" t="str">
        <f aca="false">IF(A1751="","",IFERROR(buscarx(A1751&amp;B1751,DATA!$E$3:$E$10000&amp;DATA!$B$3:$B$10000,DATA!$W$3:$W$10000),"No encontrado"))</f>
        <v/>
      </c>
      <c r="E1751" s="22"/>
      <c r="F1751" s="23" t="str">
        <f aca="false">IF(A1751="","",IFERROR(buscarx(A1751&amp;E1751,DATA!$E$3:$E$10000&amp;DATA!$B$3:$B$10000,DATA!$M$3:$M$10000),"Inactivo"))</f>
        <v/>
      </c>
      <c r="G1751" s="25" t="str">
        <f aca="false">IF(A1751="","",IF(AND(C1751&lt;&gt;"No encontrado",F1751&lt;&gt;"Inactivo"),C1751&amp;" → "&amp;F1751,"Sin transición"))</f>
        <v/>
      </c>
      <c r="H1751" s="23" t="str">
        <f aca="false">IF(A1751="","",IF(D1751="GCIA LINEA SERVICIO DIGITALIDAD Y VENTAS","Chats",IF(OR(D1751="GERENCIA INBOUND LÍNEAS SERVICIO Y VENTA",D1751="GERENCIA INBOUND LINEAS ESPECIALIZADAS"),"Llamadas","Otro")))</f>
        <v/>
      </c>
      <c r="I1751" s="23" t="str">
        <f aca="false">IF(A1751="","",IF(C1751="No encontrado","No","Sí"))</f>
        <v/>
      </c>
      <c r="J1751" s="23" t="str">
        <f aca="false">IF(A1751="","",IF(F1751="Inactivo","No","Sí"))</f>
        <v/>
      </c>
      <c r="K1751" s="23" t="str">
        <f aca="false">IF(A1751="","",IF(AND(I1751="Sí",J1751="Sí"),"Sí","No"))</f>
        <v/>
      </c>
    </row>
    <row r="1752" customFormat="false" ht="15" hidden="false" customHeight="false" outlineLevel="0" collapsed="false">
      <c r="A1752" s="22"/>
      <c r="B1752" s="22"/>
      <c r="C1752" s="26" t="str">
        <f aca="false">IF(A1752="","",IFERROR(buscarx(A1752&amp;B1752,DATA!$E$3:$E$10000&amp;DATA!$B$3:$B$10000,DATA!$M$3:$M$10000),"No encontrado"))</f>
        <v/>
      </c>
      <c r="D1752" s="27" t="str">
        <f aca="false">IF(A1752="","",IFERROR(buscarx(A1752&amp;B1752,DATA!$E$3:$E$10000&amp;DATA!$B$3:$B$10000,DATA!$W$3:$W$10000),"No encontrado"))</f>
        <v/>
      </c>
      <c r="E1752" s="22"/>
      <c r="F1752" s="26" t="str">
        <f aca="false">IF(A1752="","",IFERROR(buscarx(A1752&amp;E1752,DATA!$E$3:$E$10000&amp;DATA!$B$3:$B$10000,DATA!$M$3:$M$10000),"Inactivo"))</f>
        <v/>
      </c>
      <c r="G1752" s="28" t="str">
        <f aca="false">IF(A1752="","",IF(AND(C1752&lt;&gt;"No encontrado",F1752&lt;&gt;"Inactivo"),C1752&amp;" → "&amp;F1752,"Sin transición"))</f>
        <v/>
      </c>
      <c r="H1752" s="26" t="str">
        <f aca="false">IF(A1752="","",IF(D1752="GCIA LINEA SERVICIO DIGITALIDAD Y VENTAS","Chats",IF(OR(D1752="GERENCIA INBOUND LÍNEAS SERVICIO Y VENTA",D1752="GERENCIA INBOUND LINEAS ESPECIALIZADAS"),"Llamadas","Otro")))</f>
        <v/>
      </c>
      <c r="I1752" s="26" t="str">
        <f aca="false">IF(A1752="","",IF(C1752="No encontrado","No","Sí"))</f>
        <v/>
      </c>
      <c r="J1752" s="26" t="str">
        <f aca="false">IF(A1752="","",IF(F1752="Inactivo","No","Sí"))</f>
        <v/>
      </c>
      <c r="K1752" s="26" t="str">
        <f aca="false">IF(A1752="","",IF(AND(I1752="Sí",J1752="Sí"),"Sí","No"))</f>
        <v/>
      </c>
    </row>
    <row r="1753" customFormat="false" ht="15" hidden="false" customHeight="false" outlineLevel="0" collapsed="false">
      <c r="A1753" s="22"/>
      <c r="B1753" s="22"/>
      <c r="C1753" s="23" t="str">
        <f aca="false">IF(A1753="","",IFERROR(buscarx(A1753&amp;B1753,DATA!$E$3:$E$10000&amp;DATA!$B$3:$B$10000,DATA!$M$3:$M$10000),"No encontrado"))</f>
        <v/>
      </c>
      <c r="D1753" s="24" t="str">
        <f aca="false">IF(A1753="","",IFERROR(buscarx(A1753&amp;B1753,DATA!$E$3:$E$10000&amp;DATA!$B$3:$B$10000,DATA!$W$3:$W$10000),"No encontrado"))</f>
        <v/>
      </c>
      <c r="E1753" s="22"/>
      <c r="F1753" s="23" t="str">
        <f aca="false">IF(A1753="","",IFERROR(buscarx(A1753&amp;E1753,DATA!$E$3:$E$10000&amp;DATA!$B$3:$B$10000,DATA!$M$3:$M$10000),"Inactivo"))</f>
        <v/>
      </c>
      <c r="G1753" s="25" t="str">
        <f aca="false">IF(A1753="","",IF(AND(C1753&lt;&gt;"No encontrado",F1753&lt;&gt;"Inactivo"),C1753&amp;" → "&amp;F1753,"Sin transición"))</f>
        <v/>
      </c>
      <c r="H1753" s="23" t="str">
        <f aca="false">IF(A1753="","",IF(D1753="GCIA LINEA SERVICIO DIGITALIDAD Y VENTAS","Chats",IF(OR(D1753="GERENCIA INBOUND LÍNEAS SERVICIO Y VENTA",D1753="GERENCIA INBOUND LINEAS ESPECIALIZADAS"),"Llamadas","Otro")))</f>
        <v/>
      </c>
      <c r="I1753" s="23" t="str">
        <f aca="false">IF(A1753="","",IF(C1753="No encontrado","No","Sí"))</f>
        <v/>
      </c>
      <c r="J1753" s="23" t="str">
        <f aca="false">IF(A1753="","",IF(F1753="Inactivo","No","Sí"))</f>
        <v/>
      </c>
      <c r="K1753" s="23" t="str">
        <f aca="false">IF(A1753="","",IF(AND(I1753="Sí",J1753="Sí"),"Sí","No"))</f>
        <v/>
      </c>
    </row>
    <row r="1754" customFormat="false" ht="15" hidden="false" customHeight="false" outlineLevel="0" collapsed="false">
      <c r="A1754" s="22"/>
      <c r="B1754" s="22"/>
      <c r="C1754" s="26" t="str">
        <f aca="false">IF(A1754="","",IFERROR(buscarx(A1754&amp;B1754,DATA!$E$3:$E$10000&amp;DATA!$B$3:$B$10000,DATA!$M$3:$M$10000),"No encontrado"))</f>
        <v/>
      </c>
      <c r="D1754" s="27" t="str">
        <f aca="false">IF(A1754="","",IFERROR(buscarx(A1754&amp;B1754,DATA!$E$3:$E$10000&amp;DATA!$B$3:$B$10000,DATA!$W$3:$W$10000),"No encontrado"))</f>
        <v/>
      </c>
      <c r="E1754" s="22"/>
      <c r="F1754" s="26" t="str">
        <f aca="false">IF(A1754="","",IFERROR(buscarx(A1754&amp;E1754,DATA!$E$3:$E$10000&amp;DATA!$B$3:$B$10000,DATA!$M$3:$M$10000),"Inactivo"))</f>
        <v/>
      </c>
      <c r="G1754" s="28" t="str">
        <f aca="false">IF(A1754="","",IF(AND(C1754&lt;&gt;"No encontrado",F1754&lt;&gt;"Inactivo"),C1754&amp;" → "&amp;F1754,"Sin transición"))</f>
        <v/>
      </c>
      <c r="H1754" s="26" t="str">
        <f aca="false">IF(A1754="","",IF(D1754="GCIA LINEA SERVICIO DIGITALIDAD Y VENTAS","Chats",IF(OR(D1754="GERENCIA INBOUND LÍNEAS SERVICIO Y VENTA",D1754="GERENCIA INBOUND LINEAS ESPECIALIZADAS"),"Llamadas","Otro")))</f>
        <v/>
      </c>
      <c r="I1754" s="26" t="str">
        <f aca="false">IF(A1754="","",IF(C1754="No encontrado","No","Sí"))</f>
        <v/>
      </c>
      <c r="J1754" s="26" t="str">
        <f aca="false">IF(A1754="","",IF(F1754="Inactivo","No","Sí"))</f>
        <v/>
      </c>
      <c r="K1754" s="26" t="str">
        <f aca="false">IF(A1754="","",IF(AND(I1754="Sí",J1754="Sí"),"Sí","No"))</f>
        <v/>
      </c>
    </row>
    <row r="1755" customFormat="false" ht="15" hidden="false" customHeight="false" outlineLevel="0" collapsed="false">
      <c r="A1755" s="22"/>
      <c r="B1755" s="22"/>
      <c r="C1755" s="23" t="str">
        <f aca="false">IF(A1755="","",IFERROR(buscarx(A1755&amp;B1755,DATA!$E$3:$E$10000&amp;DATA!$B$3:$B$10000,DATA!$M$3:$M$10000),"No encontrado"))</f>
        <v/>
      </c>
      <c r="D1755" s="24" t="str">
        <f aca="false">IF(A1755="","",IFERROR(buscarx(A1755&amp;B1755,DATA!$E$3:$E$10000&amp;DATA!$B$3:$B$10000,DATA!$W$3:$W$10000),"No encontrado"))</f>
        <v/>
      </c>
      <c r="E1755" s="22"/>
      <c r="F1755" s="23" t="str">
        <f aca="false">IF(A1755="","",IFERROR(buscarx(A1755&amp;E1755,DATA!$E$3:$E$10000&amp;DATA!$B$3:$B$10000,DATA!$M$3:$M$10000),"Inactivo"))</f>
        <v/>
      </c>
      <c r="G1755" s="25" t="str">
        <f aca="false">IF(A1755="","",IF(AND(C1755&lt;&gt;"No encontrado",F1755&lt;&gt;"Inactivo"),C1755&amp;" → "&amp;F1755,"Sin transición"))</f>
        <v/>
      </c>
      <c r="H1755" s="23" t="str">
        <f aca="false">IF(A1755="","",IF(D1755="GCIA LINEA SERVICIO DIGITALIDAD Y VENTAS","Chats",IF(OR(D1755="GERENCIA INBOUND LÍNEAS SERVICIO Y VENTA",D1755="GERENCIA INBOUND LINEAS ESPECIALIZADAS"),"Llamadas","Otro")))</f>
        <v/>
      </c>
      <c r="I1755" s="23" t="str">
        <f aca="false">IF(A1755="","",IF(C1755="No encontrado","No","Sí"))</f>
        <v/>
      </c>
      <c r="J1755" s="23" t="str">
        <f aca="false">IF(A1755="","",IF(F1755="Inactivo","No","Sí"))</f>
        <v/>
      </c>
      <c r="K1755" s="23" t="str">
        <f aca="false">IF(A1755="","",IF(AND(I1755="Sí",J1755="Sí"),"Sí","No"))</f>
        <v/>
      </c>
    </row>
    <row r="1756" customFormat="false" ht="15" hidden="false" customHeight="false" outlineLevel="0" collapsed="false">
      <c r="A1756" s="22"/>
      <c r="B1756" s="22"/>
      <c r="C1756" s="26" t="str">
        <f aca="false">IF(A1756="","",IFERROR(buscarx(A1756&amp;B1756,DATA!$E$3:$E$10000&amp;DATA!$B$3:$B$10000,DATA!$M$3:$M$10000),"No encontrado"))</f>
        <v/>
      </c>
      <c r="D1756" s="27" t="str">
        <f aca="false">IF(A1756="","",IFERROR(buscarx(A1756&amp;B1756,DATA!$E$3:$E$10000&amp;DATA!$B$3:$B$10000,DATA!$W$3:$W$10000),"No encontrado"))</f>
        <v/>
      </c>
      <c r="E1756" s="22"/>
      <c r="F1756" s="26" t="str">
        <f aca="false">IF(A1756="","",IFERROR(buscarx(A1756&amp;E1756,DATA!$E$3:$E$10000&amp;DATA!$B$3:$B$10000,DATA!$M$3:$M$10000),"Inactivo"))</f>
        <v/>
      </c>
      <c r="G1756" s="28" t="str">
        <f aca="false">IF(A1756="","",IF(AND(C1756&lt;&gt;"No encontrado",F1756&lt;&gt;"Inactivo"),C1756&amp;" → "&amp;F1756,"Sin transición"))</f>
        <v/>
      </c>
      <c r="H1756" s="26" t="str">
        <f aca="false">IF(A1756="","",IF(D1756="GCIA LINEA SERVICIO DIGITALIDAD Y VENTAS","Chats",IF(OR(D1756="GERENCIA INBOUND LÍNEAS SERVICIO Y VENTA",D1756="GERENCIA INBOUND LINEAS ESPECIALIZADAS"),"Llamadas","Otro")))</f>
        <v/>
      </c>
      <c r="I1756" s="26" t="str">
        <f aca="false">IF(A1756="","",IF(C1756="No encontrado","No","Sí"))</f>
        <v/>
      </c>
      <c r="J1756" s="26" t="str">
        <f aca="false">IF(A1756="","",IF(F1756="Inactivo","No","Sí"))</f>
        <v/>
      </c>
      <c r="K1756" s="26" t="str">
        <f aca="false">IF(A1756="","",IF(AND(I1756="Sí",J1756="Sí"),"Sí","No"))</f>
        <v/>
      </c>
    </row>
    <row r="1757" customFormat="false" ht="15" hidden="false" customHeight="false" outlineLevel="0" collapsed="false">
      <c r="A1757" s="22"/>
      <c r="B1757" s="22"/>
      <c r="C1757" s="23" t="str">
        <f aca="false">IF(A1757="","",IFERROR(buscarx(A1757&amp;B1757,DATA!$E$3:$E$10000&amp;DATA!$B$3:$B$10000,DATA!$M$3:$M$10000),"No encontrado"))</f>
        <v/>
      </c>
      <c r="D1757" s="24" t="str">
        <f aca="false">IF(A1757="","",IFERROR(buscarx(A1757&amp;B1757,DATA!$E$3:$E$10000&amp;DATA!$B$3:$B$10000,DATA!$W$3:$W$10000),"No encontrado"))</f>
        <v/>
      </c>
      <c r="E1757" s="22"/>
      <c r="F1757" s="23" t="str">
        <f aca="false">IF(A1757="","",IFERROR(buscarx(A1757&amp;E1757,DATA!$E$3:$E$10000&amp;DATA!$B$3:$B$10000,DATA!$M$3:$M$10000),"Inactivo"))</f>
        <v/>
      </c>
      <c r="G1757" s="25" t="str">
        <f aca="false">IF(A1757="","",IF(AND(C1757&lt;&gt;"No encontrado",F1757&lt;&gt;"Inactivo"),C1757&amp;" → "&amp;F1757,"Sin transición"))</f>
        <v/>
      </c>
      <c r="H1757" s="23" t="str">
        <f aca="false">IF(A1757="","",IF(D1757="GCIA LINEA SERVICIO DIGITALIDAD Y VENTAS","Chats",IF(OR(D1757="GERENCIA INBOUND LÍNEAS SERVICIO Y VENTA",D1757="GERENCIA INBOUND LINEAS ESPECIALIZADAS"),"Llamadas","Otro")))</f>
        <v/>
      </c>
      <c r="I1757" s="23" t="str">
        <f aca="false">IF(A1757="","",IF(C1757="No encontrado","No","Sí"))</f>
        <v/>
      </c>
      <c r="J1757" s="23" t="str">
        <f aca="false">IF(A1757="","",IF(F1757="Inactivo","No","Sí"))</f>
        <v/>
      </c>
      <c r="K1757" s="23" t="str">
        <f aca="false">IF(A1757="","",IF(AND(I1757="Sí",J1757="Sí"),"Sí","No"))</f>
        <v/>
      </c>
    </row>
    <row r="1758" customFormat="false" ht="15" hidden="false" customHeight="false" outlineLevel="0" collapsed="false">
      <c r="A1758" s="22"/>
      <c r="B1758" s="22"/>
      <c r="C1758" s="26" t="str">
        <f aca="false">IF(A1758="","",IFERROR(buscarx(A1758&amp;B1758,DATA!$E$3:$E$10000&amp;DATA!$B$3:$B$10000,DATA!$M$3:$M$10000),"No encontrado"))</f>
        <v/>
      </c>
      <c r="D1758" s="27" t="str">
        <f aca="false">IF(A1758="","",IFERROR(buscarx(A1758&amp;B1758,DATA!$E$3:$E$10000&amp;DATA!$B$3:$B$10000,DATA!$W$3:$W$10000),"No encontrado"))</f>
        <v/>
      </c>
      <c r="E1758" s="22"/>
      <c r="F1758" s="26" t="str">
        <f aca="false">IF(A1758="","",IFERROR(buscarx(A1758&amp;E1758,DATA!$E$3:$E$10000&amp;DATA!$B$3:$B$10000,DATA!$M$3:$M$10000),"Inactivo"))</f>
        <v/>
      </c>
      <c r="G1758" s="28" t="str">
        <f aca="false">IF(A1758="","",IF(AND(C1758&lt;&gt;"No encontrado",F1758&lt;&gt;"Inactivo"),C1758&amp;" → "&amp;F1758,"Sin transición"))</f>
        <v/>
      </c>
      <c r="H1758" s="26" t="str">
        <f aca="false">IF(A1758="","",IF(D1758="GCIA LINEA SERVICIO DIGITALIDAD Y VENTAS","Chats",IF(OR(D1758="GERENCIA INBOUND LÍNEAS SERVICIO Y VENTA",D1758="GERENCIA INBOUND LINEAS ESPECIALIZADAS"),"Llamadas","Otro")))</f>
        <v/>
      </c>
      <c r="I1758" s="26" t="str">
        <f aca="false">IF(A1758="","",IF(C1758="No encontrado","No","Sí"))</f>
        <v/>
      </c>
      <c r="J1758" s="26" t="str">
        <f aca="false">IF(A1758="","",IF(F1758="Inactivo","No","Sí"))</f>
        <v/>
      </c>
      <c r="K1758" s="26" t="str">
        <f aca="false">IF(A1758="","",IF(AND(I1758="Sí",J1758="Sí"),"Sí","No"))</f>
        <v/>
      </c>
    </row>
    <row r="1759" customFormat="false" ht="15" hidden="false" customHeight="false" outlineLevel="0" collapsed="false">
      <c r="A1759" s="22"/>
      <c r="B1759" s="22"/>
      <c r="C1759" s="23" t="str">
        <f aca="false">IF(A1759="","",IFERROR(buscarx(A1759&amp;B1759,DATA!$E$3:$E$10000&amp;DATA!$B$3:$B$10000,DATA!$M$3:$M$10000),"No encontrado"))</f>
        <v/>
      </c>
      <c r="D1759" s="24" t="str">
        <f aca="false">IF(A1759="","",IFERROR(buscarx(A1759&amp;B1759,DATA!$E$3:$E$10000&amp;DATA!$B$3:$B$10000,DATA!$W$3:$W$10000),"No encontrado"))</f>
        <v/>
      </c>
      <c r="E1759" s="22"/>
      <c r="F1759" s="23" t="str">
        <f aca="false">IF(A1759="","",IFERROR(buscarx(A1759&amp;E1759,DATA!$E$3:$E$10000&amp;DATA!$B$3:$B$10000,DATA!$M$3:$M$10000),"Inactivo"))</f>
        <v/>
      </c>
      <c r="G1759" s="25" t="str">
        <f aca="false">IF(A1759="","",IF(AND(C1759&lt;&gt;"No encontrado",F1759&lt;&gt;"Inactivo"),C1759&amp;" → "&amp;F1759,"Sin transición"))</f>
        <v/>
      </c>
      <c r="H1759" s="23" t="str">
        <f aca="false">IF(A1759="","",IF(D1759="GCIA LINEA SERVICIO DIGITALIDAD Y VENTAS","Chats",IF(OR(D1759="GERENCIA INBOUND LÍNEAS SERVICIO Y VENTA",D1759="GERENCIA INBOUND LINEAS ESPECIALIZADAS"),"Llamadas","Otro")))</f>
        <v/>
      </c>
      <c r="I1759" s="23" t="str">
        <f aca="false">IF(A1759="","",IF(C1759="No encontrado","No","Sí"))</f>
        <v/>
      </c>
      <c r="J1759" s="23" t="str">
        <f aca="false">IF(A1759="","",IF(F1759="Inactivo","No","Sí"))</f>
        <v/>
      </c>
      <c r="K1759" s="23" t="str">
        <f aca="false">IF(A1759="","",IF(AND(I1759="Sí",J1759="Sí"),"Sí","No"))</f>
        <v/>
      </c>
    </row>
    <row r="1760" customFormat="false" ht="15" hidden="false" customHeight="false" outlineLevel="0" collapsed="false">
      <c r="A1760" s="22"/>
      <c r="B1760" s="22"/>
      <c r="C1760" s="26" t="str">
        <f aca="false">IF(A1760="","",IFERROR(buscarx(A1760&amp;B1760,DATA!$E$3:$E$10000&amp;DATA!$B$3:$B$10000,DATA!$M$3:$M$10000),"No encontrado"))</f>
        <v/>
      </c>
      <c r="D1760" s="27" t="str">
        <f aca="false">IF(A1760="","",IFERROR(buscarx(A1760&amp;B1760,DATA!$E$3:$E$10000&amp;DATA!$B$3:$B$10000,DATA!$W$3:$W$10000),"No encontrado"))</f>
        <v/>
      </c>
      <c r="E1760" s="22"/>
      <c r="F1760" s="26" t="str">
        <f aca="false">IF(A1760="","",IFERROR(buscarx(A1760&amp;E1760,DATA!$E$3:$E$10000&amp;DATA!$B$3:$B$10000,DATA!$M$3:$M$10000),"Inactivo"))</f>
        <v/>
      </c>
      <c r="G1760" s="28" t="str">
        <f aca="false">IF(A1760="","",IF(AND(C1760&lt;&gt;"No encontrado",F1760&lt;&gt;"Inactivo"),C1760&amp;" → "&amp;F1760,"Sin transición"))</f>
        <v/>
      </c>
      <c r="H1760" s="26" t="str">
        <f aca="false">IF(A1760="","",IF(D1760="GCIA LINEA SERVICIO DIGITALIDAD Y VENTAS","Chats",IF(OR(D1760="GERENCIA INBOUND LÍNEAS SERVICIO Y VENTA",D1760="GERENCIA INBOUND LINEAS ESPECIALIZADAS"),"Llamadas","Otro")))</f>
        <v/>
      </c>
      <c r="I1760" s="26" t="str">
        <f aca="false">IF(A1760="","",IF(C1760="No encontrado","No","Sí"))</f>
        <v/>
      </c>
      <c r="J1760" s="26" t="str">
        <f aca="false">IF(A1760="","",IF(F1760="Inactivo","No","Sí"))</f>
        <v/>
      </c>
      <c r="K1760" s="26" t="str">
        <f aca="false">IF(A1760="","",IF(AND(I1760="Sí",J1760="Sí"),"Sí","No"))</f>
        <v/>
      </c>
    </row>
    <row r="1761" customFormat="false" ht="15" hidden="false" customHeight="false" outlineLevel="0" collapsed="false">
      <c r="A1761" s="22"/>
      <c r="B1761" s="22"/>
      <c r="C1761" s="23" t="str">
        <f aca="false">IF(A1761="","",IFERROR(buscarx(A1761&amp;B1761,DATA!$E$3:$E$10000&amp;DATA!$B$3:$B$10000,DATA!$M$3:$M$10000),"No encontrado"))</f>
        <v/>
      </c>
      <c r="D1761" s="24" t="str">
        <f aca="false">IF(A1761="","",IFERROR(buscarx(A1761&amp;B1761,DATA!$E$3:$E$10000&amp;DATA!$B$3:$B$10000,DATA!$W$3:$W$10000),"No encontrado"))</f>
        <v/>
      </c>
      <c r="E1761" s="22"/>
      <c r="F1761" s="23" t="str">
        <f aca="false">IF(A1761="","",IFERROR(buscarx(A1761&amp;E1761,DATA!$E$3:$E$10000&amp;DATA!$B$3:$B$10000,DATA!$M$3:$M$10000),"Inactivo"))</f>
        <v/>
      </c>
      <c r="G1761" s="25" t="str">
        <f aca="false">IF(A1761="","",IF(AND(C1761&lt;&gt;"No encontrado",F1761&lt;&gt;"Inactivo"),C1761&amp;" → "&amp;F1761,"Sin transición"))</f>
        <v/>
      </c>
      <c r="H1761" s="23" t="str">
        <f aca="false">IF(A1761="","",IF(D1761="GCIA LINEA SERVICIO DIGITALIDAD Y VENTAS","Chats",IF(OR(D1761="GERENCIA INBOUND LÍNEAS SERVICIO Y VENTA",D1761="GERENCIA INBOUND LINEAS ESPECIALIZADAS"),"Llamadas","Otro")))</f>
        <v/>
      </c>
      <c r="I1761" s="23" t="str">
        <f aca="false">IF(A1761="","",IF(C1761="No encontrado","No","Sí"))</f>
        <v/>
      </c>
      <c r="J1761" s="23" t="str">
        <f aca="false">IF(A1761="","",IF(F1761="Inactivo","No","Sí"))</f>
        <v/>
      </c>
      <c r="K1761" s="23" t="str">
        <f aca="false">IF(A1761="","",IF(AND(I1761="Sí",J1761="Sí"),"Sí","No"))</f>
        <v/>
      </c>
    </row>
    <row r="1762" customFormat="false" ht="15" hidden="false" customHeight="false" outlineLevel="0" collapsed="false">
      <c r="A1762" s="22"/>
      <c r="B1762" s="22"/>
      <c r="C1762" s="26" t="str">
        <f aca="false">IF(A1762="","",IFERROR(buscarx(A1762&amp;B1762,DATA!$E$3:$E$10000&amp;DATA!$B$3:$B$10000,DATA!$M$3:$M$10000),"No encontrado"))</f>
        <v/>
      </c>
      <c r="D1762" s="27" t="str">
        <f aca="false">IF(A1762="","",IFERROR(buscarx(A1762&amp;B1762,DATA!$E$3:$E$10000&amp;DATA!$B$3:$B$10000,DATA!$W$3:$W$10000),"No encontrado"))</f>
        <v/>
      </c>
      <c r="E1762" s="22"/>
      <c r="F1762" s="26" t="str">
        <f aca="false">IF(A1762="","",IFERROR(buscarx(A1762&amp;E1762,DATA!$E$3:$E$10000&amp;DATA!$B$3:$B$10000,DATA!$M$3:$M$10000),"Inactivo"))</f>
        <v/>
      </c>
      <c r="G1762" s="28" t="str">
        <f aca="false">IF(A1762="","",IF(AND(C1762&lt;&gt;"No encontrado",F1762&lt;&gt;"Inactivo"),C1762&amp;" → "&amp;F1762,"Sin transición"))</f>
        <v/>
      </c>
      <c r="H1762" s="26" t="str">
        <f aca="false">IF(A1762="","",IF(D1762="GCIA LINEA SERVICIO DIGITALIDAD Y VENTAS","Chats",IF(OR(D1762="GERENCIA INBOUND LÍNEAS SERVICIO Y VENTA",D1762="GERENCIA INBOUND LINEAS ESPECIALIZADAS"),"Llamadas","Otro")))</f>
        <v/>
      </c>
      <c r="I1762" s="26" t="str">
        <f aca="false">IF(A1762="","",IF(C1762="No encontrado","No","Sí"))</f>
        <v/>
      </c>
      <c r="J1762" s="26" t="str">
        <f aca="false">IF(A1762="","",IF(F1762="Inactivo","No","Sí"))</f>
        <v/>
      </c>
      <c r="K1762" s="26" t="str">
        <f aca="false">IF(A1762="","",IF(AND(I1762="Sí",J1762="Sí"),"Sí","No"))</f>
        <v/>
      </c>
    </row>
    <row r="1763" customFormat="false" ht="15" hidden="false" customHeight="false" outlineLevel="0" collapsed="false">
      <c r="A1763" s="22"/>
      <c r="B1763" s="22"/>
      <c r="C1763" s="23" t="str">
        <f aca="false">IF(A1763="","",IFERROR(buscarx(A1763&amp;B1763,DATA!$E$3:$E$10000&amp;DATA!$B$3:$B$10000,DATA!$M$3:$M$10000),"No encontrado"))</f>
        <v/>
      </c>
      <c r="D1763" s="24" t="str">
        <f aca="false">IF(A1763="","",IFERROR(buscarx(A1763&amp;B1763,DATA!$E$3:$E$10000&amp;DATA!$B$3:$B$10000,DATA!$W$3:$W$10000),"No encontrado"))</f>
        <v/>
      </c>
      <c r="E1763" s="22"/>
      <c r="F1763" s="23" t="str">
        <f aca="false">IF(A1763="","",IFERROR(buscarx(A1763&amp;E1763,DATA!$E$3:$E$10000&amp;DATA!$B$3:$B$10000,DATA!$M$3:$M$10000),"Inactivo"))</f>
        <v/>
      </c>
      <c r="G1763" s="25" t="str">
        <f aca="false">IF(A1763="","",IF(AND(C1763&lt;&gt;"No encontrado",F1763&lt;&gt;"Inactivo"),C1763&amp;" → "&amp;F1763,"Sin transición"))</f>
        <v/>
      </c>
      <c r="H1763" s="23" t="str">
        <f aca="false">IF(A1763="","",IF(D1763="GCIA LINEA SERVICIO DIGITALIDAD Y VENTAS","Chats",IF(OR(D1763="GERENCIA INBOUND LÍNEAS SERVICIO Y VENTA",D1763="GERENCIA INBOUND LINEAS ESPECIALIZADAS"),"Llamadas","Otro")))</f>
        <v/>
      </c>
      <c r="I1763" s="23" t="str">
        <f aca="false">IF(A1763="","",IF(C1763="No encontrado","No","Sí"))</f>
        <v/>
      </c>
      <c r="J1763" s="23" t="str">
        <f aca="false">IF(A1763="","",IF(F1763="Inactivo","No","Sí"))</f>
        <v/>
      </c>
      <c r="K1763" s="23" t="str">
        <f aca="false">IF(A1763="","",IF(AND(I1763="Sí",J1763="Sí"),"Sí","No"))</f>
        <v/>
      </c>
    </row>
    <row r="1764" customFormat="false" ht="15" hidden="false" customHeight="false" outlineLevel="0" collapsed="false">
      <c r="A1764" s="22"/>
      <c r="B1764" s="22"/>
      <c r="C1764" s="26" t="str">
        <f aca="false">IF(A1764="","",IFERROR(buscarx(A1764&amp;B1764,DATA!$E$3:$E$10000&amp;DATA!$B$3:$B$10000,DATA!$M$3:$M$10000),"No encontrado"))</f>
        <v/>
      </c>
      <c r="D1764" s="27" t="str">
        <f aca="false">IF(A1764="","",IFERROR(buscarx(A1764&amp;B1764,DATA!$E$3:$E$10000&amp;DATA!$B$3:$B$10000,DATA!$W$3:$W$10000),"No encontrado"))</f>
        <v/>
      </c>
      <c r="E1764" s="22"/>
      <c r="F1764" s="26" t="str">
        <f aca="false">IF(A1764="","",IFERROR(buscarx(A1764&amp;E1764,DATA!$E$3:$E$10000&amp;DATA!$B$3:$B$10000,DATA!$M$3:$M$10000),"Inactivo"))</f>
        <v/>
      </c>
      <c r="G1764" s="28" t="str">
        <f aca="false">IF(A1764="","",IF(AND(C1764&lt;&gt;"No encontrado",F1764&lt;&gt;"Inactivo"),C1764&amp;" → "&amp;F1764,"Sin transición"))</f>
        <v/>
      </c>
      <c r="H1764" s="26" t="str">
        <f aca="false">IF(A1764="","",IF(D1764="GCIA LINEA SERVICIO DIGITALIDAD Y VENTAS","Chats",IF(OR(D1764="GERENCIA INBOUND LÍNEAS SERVICIO Y VENTA",D1764="GERENCIA INBOUND LINEAS ESPECIALIZADAS"),"Llamadas","Otro")))</f>
        <v/>
      </c>
      <c r="I1764" s="26" t="str">
        <f aca="false">IF(A1764="","",IF(C1764="No encontrado","No","Sí"))</f>
        <v/>
      </c>
      <c r="J1764" s="26" t="str">
        <f aca="false">IF(A1764="","",IF(F1764="Inactivo","No","Sí"))</f>
        <v/>
      </c>
      <c r="K1764" s="26" t="str">
        <f aca="false">IF(A1764="","",IF(AND(I1764="Sí",J1764="Sí"),"Sí","No"))</f>
        <v/>
      </c>
    </row>
    <row r="1765" customFormat="false" ht="15" hidden="false" customHeight="false" outlineLevel="0" collapsed="false">
      <c r="A1765" s="22"/>
      <c r="B1765" s="22"/>
      <c r="C1765" s="23" t="str">
        <f aca="false">IF(A1765="","",IFERROR(buscarx(A1765&amp;B1765,DATA!$E$3:$E$10000&amp;DATA!$B$3:$B$10000,DATA!$M$3:$M$10000),"No encontrado"))</f>
        <v/>
      </c>
      <c r="D1765" s="24" t="str">
        <f aca="false">IF(A1765="","",IFERROR(buscarx(A1765&amp;B1765,DATA!$E$3:$E$10000&amp;DATA!$B$3:$B$10000,DATA!$W$3:$W$10000),"No encontrado"))</f>
        <v/>
      </c>
      <c r="E1765" s="22"/>
      <c r="F1765" s="23" t="str">
        <f aca="false">IF(A1765="","",IFERROR(buscarx(A1765&amp;E1765,DATA!$E$3:$E$10000&amp;DATA!$B$3:$B$10000,DATA!$M$3:$M$10000),"Inactivo"))</f>
        <v/>
      </c>
      <c r="G1765" s="25" t="str">
        <f aca="false">IF(A1765="","",IF(AND(C1765&lt;&gt;"No encontrado",F1765&lt;&gt;"Inactivo"),C1765&amp;" → "&amp;F1765,"Sin transición"))</f>
        <v/>
      </c>
      <c r="H1765" s="23" t="str">
        <f aca="false">IF(A1765="","",IF(D1765="GCIA LINEA SERVICIO DIGITALIDAD Y VENTAS","Chats",IF(OR(D1765="GERENCIA INBOUND LÍNEAS SERVICIO Y VENTA",D1765="GERENCIA INBOUND LINEAS ESPECIALIZADAS"),"Llamadas","Otro")))</f>
        <v/>
      </c>
      <c r="I1765" s="23" t="str">
        <f aca="false">IF(A1765="","",IF(C1765="No encontrado","No","Sí"))</f>
        <v/>
      </c>
      <c r="J1765" s="23" t="str">
        <f aca="false">IF(A1765="","",IF(F1765="Inactivo","No","Sí"))</f>
        <v/>
      </c>
      <c r="K1765" s="23" t="str">
        <f aca="false">IF(A1765="","",IF(AND(I1765="Sí",J1765="Sí"),"Sí","No"))</f>
        <v/>
      </c>
    </row>
    <row r="1766" customFormat="false" ht="15" hidden="false" customHeight="false" outlineLevel="0" collapsed="false">
      <c r="A1766" s="22"/>
      <c r="B1766" s="22"/>
      <c r="C1766" s="26" t="str">
        <f aca="false">IF(A1766="","",IFERROR(buscarx(A1766&amp;B1766,DATA!$E$3:$E$10000&amp;DATA!$B$3:$B$10000,DATA!$M$3:$M$10000),"No encontrado"))</f>
        <v/>
      </c>
      <c r="D1766" s="27" t="str">
        <f aca="false">IF(A1766="","",IFERROR(buscarx(A1766&amp;B1766,DATA!$E$3:$E$10000&amp;DATA!$B$3:$B$10000,DATA!$W$3:$W$10000),"No encontrado"))</f>
        <v/>
      </c>
      <c r="E1766" s="22"/>
      <c r="F1766" s="26" t="str">
        <f aca="false">IF(A1766="","",IFERROR(buscarx(A1766&amp;E1766,DATA!$E$3:$E$10000&amp;DATA!$B$3:$B$10000,DATA!$M$3:$M$10000),"Inactivo"))</f>
        <v/>
      </c>
      <c r="G1766" s="28" t="str">
        <f aca="false">IF(A1766="","",IF(AND(C1766&lt;&gt;"No encontrado",F1766&lt;&gt;"Inactivo"),C1766&amp;" → "&amp;F1766,"Sin transición"))</f>
        <v/>
      </c>
      <c r="H1766" s="26" t="str">
        <f aca="false">IF(A1766="","",IF(D1766="GCIA LINEA SERVICIO DIGITALIDAD Y VENTAS","Chats",IF(OR(D1766="GERENCIA INBOUND LÍNEAS SERVICIO Y VENTA",D1766="GERENCIA INBOUND LINEAS ESPECIALIZADAS"),"Llamadas","Otro")))</f>
        <v/>
      </c>
      <c r="I1766" s="26" t="str">
        <f aca="false">IF(A1766="","",IF(C1766="No encontrado","No","Sí"))</f>
        <v/>
      </c>
      <c r="J1766" s="26" t="str">
        <f aca="false">IF(A1766="","",IF(F1766="Inactivo","No","Sí"))</f>
        <v/>
      </c>
      <c r="K1766" s="26" t="str">
        <f aca="false">IF(A1766="","",IF(AND(I1766="Sí",J1766="Sí"),"Sí","No"))</f>
        <v/>
      </c>
    </row>
    <row r="1767" customFormat="false" ht="15" hidden="false" customHeight="false" outlineLevel="0" collapsed="false">
      <c r="A1767" s="22"/>
      <c r="B1767" s="22"/>
      <c r="C1767" s="23" t="str">
        <f aca="false">IF(A1767="","",IFERROR(buscarx(A1767&amp;B1767,DATA!$E$3:$E$10000&amp;DATA!$B$3:$B$10000,DATA!$M$3:$M$10000),"No encontrado"))</f>
        <v/>
      </c>
      <c r="D1767" s="24" t="str">
        <f aca="false">IF(A1767="","",IFERROR(buscarx(A1767&amp;B1767,DATA!$E$3:$E$10000&amp;DATA!$B$3:$B$10000,DATA!$W$3:$W$10000),"No encontrado"))</f>
        <v/>
      </c>
      <c r="E1767" s="22"/>
      <c r="F1767" s="23" t="str">
        <f aca="false">IF(A1767="","",IFERROR(buscarx(A1767&amp;E1767,DATA!$E$3:$E$10000&amp;DATA!$B$3:$B$10000,DATA!$M$3:$M$10000),"Inactivo"))</f>
        <v/>
      </c>
      <c r="G1767" s="25" t="str">
        <f aca="false">IF(A1767="","",IF(AND(C1767&lt;&gt;"No encontrado",F1767&lt;&gt;"Inactivo"),C1767&amp;" → "&amp;F1767,"Sin transición"))</f>
        <v/>
      </c>
      <c r="H1767" s="23" t="str">
        <f aca="false">IF(A1767="","",IF(D1767="GCIA LINEA SERVICIO DIGITALIDAD Y VENTAS","Chats",IF(OR(D1767="GERENCIA INBOUND LÍNEAS SERVICIO Y VENTA",D1767="GERENCIA INBOUND LINEAS ESPECIALIZADAS"),"Llamadas","Otro")))</f>
        <v/>
      </c>
      <c r="I1767" s="23" t="str">
        <f aca="false">IF(A1767="","",IF(C1767="No encontrado","No","Sí"))</f>
        <v/>
      </c>
      <c r="J1767" s="23" t="str">
        <f aca="false">IF(A1767="","",IF(F1767="Inactivo","No","Sí"))</f>
        <v/>
      </c>
      <c r="K1767" s="23" t="str">
        <f aca="false">IF(A1767="","",IF(AND(I1767="Sí",J1767="Sí"),"Sí","No"))</f>
        <v/>
      </c>
    </row>
    <row r="1768" customFormat="false" ht="15" hidden="false" customHeight="false" outlineLevel="0" collapsed="false">
      <c r="A1768" s="22"/>
      <c r="B1768" s="22"/>
      <c r="C1768" s="26" t="str">
        <f aca="false">IF(A1768="","",IFERROR(buscarx(A1768&amp;B1768,DATA!$E$3:$E$10000&amp;DATA!$B$3:$B$10000,DATA!$M$3:$M$10000),"No encontrado"))</f>
        <v/>
      </c>
      <c r="D1768" s="27" t="str">
        <f aca="false">IF(A1768="","",IFERROR(buscarx(A1768&amp;B1768,DATA!$E$3:$E$10000&amp;DATA!$B$3:$B$10000,DATA!$W$3:$W$10000),"No encontrado"))</f>
        <v/>
      </c>
      <c r="E1768" s="22"/>
      <c r="F1768" s="26" t="str">
        <f aca="false">IF(A1768="","",IFERROR(buscarx(A1768&amp;E1768,DATA!$E$3:$E$10000&amp;DATA!$B$3:$B$10000,DATA!$M$3:$M$10000),"Inactivo"))</f>
        <v/>
      </c>
      <c r="G1768" s="28" t="str">
        <f aca="false">IF(A1768="","",IF(AND(C1768&lt;&gt;"No encontrado",F1768&lt;&gt;"Inactivo"),C1768&amp;" → "&amp;F1768,"Sin transición"))</f>
        <v/>
      </c>
      <c r="H1768" s="26" t="str">
        <f aca="false">IF(A1768="","",IF(D1768="GCIA LINEA SERVICIO DIGITALIDAD Y VENTAS","Chats",IF(OR(D1768="GERENCIA INBOUND LÍNEAS SERVICIO Y VENTA",D1768="GERENCIA INBOUND LINEAS ESPECIALIZADAS"),"Llamadas","Otro")))</f>
        <v/>
      </c>
      <c r="I1768" s="26" t="str">
        <f aca="false">IF(A1768="","",IF(C1768="No encontrado","No","Sí"))</f>
        <v/>
      </c>
      <c r="J1768" s="26" t="str">
        <f aca="false">IF(A1768="","",IF(F1768="Inactivo","No","Sí"))</f>
        <v/>
      </c>
      <c r="K1768" s="26" t="str">
        <f aca="false">IF(A1768="","",IF(AND(I1768="Sí",J1768="Sí"),"Sí","No"))</f>
        <v/>
      </c>
    </row>
    <row r="1769" customFormat="false" ht="15" hidden="false" customHeight="false" outlineLevel="0" collapsed="false">
      <c r="A1769" s="22"/>
      <c r="B1769" s="22"/>
      <c r="C1769" s="23" t="str">
        <f aca="false">IF(A1769="","",IFERROR(buscarx(A1769&amp;B1769,DATA!$E$3:$E$10000&amp;DATA!$B$3:$B$10000,DATA!$M$3:$M$10000),"No encontrado"))</f>
        <v/>
      </c>
      <c r="D1769" s="24" t="str">
        <f aca="false">IF(A1769="","",IFERROR(buscarx(A1769&amp;B1769,DATA!$E$3:$E$10000&amp;DATA!$B$3:$B$10000,DATA!$W$3:$W$10000),"No encontrado"))</f>
        <v/>
      </c>
      <c r="E1769" s="22"/>
      <c r="F1769" s="23" t="str">
        <f aca="false">IF(A1769="","",IFERROR(buscarx(A1769&amp;E1769,DATA!$E$3:$E$10000&amp;DATA!$B$3:$B$10000,DATA!$M$3:$M$10000),"Inactivo"))</f>
        <v/>
      </c>
      <c r="G1769" s="25" t="str">
        <f aca="false">IF(A1769="","",IF(AND(C1769&lt;&gt;"No encontrado",F1769&lt;&gt;"Inactivo"),C1769&amp;" → "&amp;F1769,"Sin transición"))</f>
        <v/>
      </c>
      <c r="H1769" s="23" t="str">
        <f aca="false">IF(A1769="","",IF(D1769="GCIA LINEA SERVICIO DIGITALIDAD Y VENTAS","Chats",IF(OR(D1769="GERENCIA INBOUND LÍNEAS SERVICIO Y VENTA",D1769="GERENCIA INBOUND LINEAS ESPECIALIZADAS"),"Llamadas","Otro")))</f>
        <v/>
      </c>
      <c r="I1769" s="23" t="str">
        <f aca="false">IF(A1769="","",IF(C1769="No encontrado","No","Sí"))</f>
        <v/>
      </c>
      <c r="J1769" s="23" t="str">
        <f aca="false">IF(A1769="","",IF(F1769="Inactivo","No","Sí"))</f>
        <v/>
      </c>
      <c r="K1769" s="23" t="str">
        <f aca="false">IF(A1769="","",IF(AND(I1769="Sí",J1769="Sí"),"Sí","No"))</f>
        <v/>
      </c>
    </row>
    <row r="1770" customFormat="false" ht="15" hidden="false" customHeight="false" outlineLevel="0" collapsed="false">
      <c r="A1770" s="22"/>
      <c r="B1770" s="22"/>
      <c r="C1770" s="26" t="str">
        <f aca="false">IF(A1770="","",IFERROR(buscarx(A1770&amp;B1770,DATA!$E$3:$E$10000&amp;DATA!$B$3:$B$10000,DATA!$M$3:$M$10000),"No encontrado"))</f>
        <v/>
      </c>
      <c r="D1770" s="27" t="str">
        <f aca="false">IF(A1770="","",IFERROR(buscarx(A1770&amp;B1770,DATA!$E$3:$E$10000&amp;DATA!$B$3:$B$10000,DATA!$W$3:$W$10000),"No encontrado"))</f>
        <v/>
      </c>
      <c r="E1770" s="22"/>
      <c r="F1770" s="26" t="str">
        <f aca="false">IF(A1770="","",IFERROR(buscarx(A1770&amp;E1770,DATA!$E$3:$E$10000&amp;DATA!$B$3:$B$10000,DATA!$M$3:$M$10000),"Inactivo"))</f>
        <v/>
      </c>
      <c r="G1770" s="28" t="str">
        <f aca="false">IF(A1770="","",IF(AND(C1770&lt;&gt;"No encontrado",F1770&lt;&gt;"Inactivo"),C1770&amp;" → "&amp;F1770,"Sin transición"))</f>
        <v/>
      </c>
      <c r="H1770" s="26" t="str">
        <f aca="false">IF(A1770="","",IF(D1770="GCIA LINEA SERVICIO DIGITALIDAD Y VENTAS","Chats",IF(OR(D1770="GERENCIA INBOUND LÍNEAS SERVICIO Y VENTA",D1770="GERENCIA INBOUND LINEAS ESPECIALIZADAS"),"Llamadas","Otro")))</f>
        <v/>
      </c>
      <c r="I1770" s="26" t="str">
        <f aca="false">IF(A1770="","",IF(C1770="No encontrado","No","Sí"))</f>
        <v/>
      </c>
      <c r="J1770" s="26" t="str">
        <f aca="false">IF(A1770="","",IF(F1770="Inactivo","No","Sí"))</f>
        <v/>
      </c>
      <c r="K1770" s="26" t="str">
        <f aca="false">IF(A1770="","",IF(AND(I1770="Sí",J1770="Sí"),"Sí","No"))</f>
        <v/>
      </c>
    </row>
    <row r="1771" customFormat="false" ht="15" hidden="false" customHeight="false" outlineLevel="0" collapsed="false">
      <c r="A1771" s="22"/>
      <c r="B1771" s="22"/>
      <c r="C1771" s="23" t="str">
        <f aca="false">IF(A1771="","",IFERROR(buscarx(A1771&amp;B1771,DATA!$E$3:$E$10000&amp;DATA!$B$3:$B$10000,DATA!$M$3:$M$10000),"No encontrado"))</f>
        <v/>
      </c>
      <c r="D1771" s="24" t="str">
        <f aca="false">IF(A1771="","",IFERROR(buscarx(A1771&amp;B1771,DATA!$E$3:$E$10000&amp;DATA!$B$3:$B$10000,DATA!$W$3:$W$10000),"No encontrado"))</f>
        <v/>
      </c>
      <c r="E1771" s="22"/>
      <c r="F1771" s="23" t="str">
        <f aca="false">IF(A1771="","",IFERROR(buscarx(A1771&amp;E1771,DATA!$E$3:$E$10000&amp;DATA!$B$3:$B$10000,DATA!$M$3:$M$10000),"Inactivo"))</f>
        <v/>
      </c>
      <c r="G1771" s="25" t="str">
        <f aca="false">IF(A1771="","",IF(AND(C1771&lt;&gt;"No encontrado",F1771&lt;&gt;"Inactivo"),C1771&amp;" → "&amp;F1771,"Sin transición"))</f>
        <v/>
      </c>
      <c r="H1771" s="23" t="str">
        <f aca="false">IF(A1771="","",IF(D1771="GCIA LINEA SERVICIO DIGITALIDAD Y VENTAS","Chats",IF(OR(D1771="GERENCIA INBOUND LÍNEAS SERVICIO Y VENTA",D1771="GERENCIA INBOUND LINEAS ESPECIALIZADAS"),"Llamadas","Otro")))</f>
        <v/>
      </c>
      <c r="I1771" s="23" t="str">
        <f aca="false">IF(A1771="","",IF(C1771="No encontrado","No","Sí"))</f>
        <v/>
      </c>
      <c r="J1771" s="23" t="str">
        <f aca="false">IF(A1771="","",IF(F1771="Inactivo","No","Sí"))</f>
        <v/>
      </c>
      <c r="K1771" s="23" t="str">
        <f aca="false">IF(A1771="","",IF(AND(I1771="Sí",J1771="Sí"),"Sí","No"))</f>
        <v/>
      </c>
    </row>
    <row r="1772" customFormat="false" ht="15" hidden="false" customHeight="false" outlineLevel="0" collapsed="false">
      <c r="A1772" s="22"/>
      <c r="B1772" s="22"/>
      <c r="C1772" s="26" t="str">
        <f aca="false">IF(A1772="","",IFERROR(buscarx(A1772&amp;B1772,DATA!$E$3:$E$10000&amp;DATA!$B$3:$B$10000,DATA!$M$3:$M$10000),"No encontrado"))</f>
        <v/>
      </c>
      <c r="D1772" s="27" t="str">
        <f aca="false">IF(A1772="","",IFERROR(buscarx(A1772&amp;B1772,DATA!$E$3:$E$10000&amp;DATA!$B$3:$B$10000,DATA!$W$3:$W$10000),"No encontrado"))</f>
        <v/>
      </c>
      <c r="E1772" s="22"/>
      <c r="F1772" s="26" t="str">
        <f aca="false">IF(A1772="","",IFERROR(buscarx(A1772&amp;E1772,DATA!$E$3:$E$10000&amp;DATA!$B$3:$B$10000,DATA!$M$3:$M$10000),"Inactivo"))</f>
        <v/>
      </c>
      <c r="G1772" s="28" t="str">
        <f aca="false">IF(A1772="","",IF(AND(C1772&lt;&gt;"No encontrado",F1772&lt;&gt;"Inactivo"),C1772&amp;" → "&amp;F1772,"Sin transición"))</f>
        <v/>
      </c>
      <c r="H1772" s="26" t="str">
        <f aca="false">IF(A1772="","",IF(D1772="GCIA LINEA SERVICIO DIGITALIDAD Y VENTAS","Chats",IF(OR(D1772="GERENCIA INBOUND LÍNEAS SERVICIO Y VENTA",D1772="GERENCIA INBOUND LINEAS ESPECIALIZADAS"),"Llamadas","Otro")))</f>
        <v/>
      </c>
      <c r="I1772" s="26" t="str">
        <f aca="false">IF(A1772="","",IF(C1772="No encontrado","No","Sí"))</f>
        <v/>
      </c>
      <c r="J1772" s="26" t="str">
        <f aca="false">IF(A1772="","",IF(F1772="Inactivo","No","Sí"))</f>
        <v/>
      </c>
      <c r="K1772" s="26" t="str">
        <f aca="false">IF(A1772="","",IF(AND(I1772="Sí",J1772="Sí"),"Sí","No"))</f>
        <v/>
      </c>
    </row>
    <row r="1773" customFormat="false" ht="15" hidden="false" customHeight="false" outlineLevel="0" collapsed="false">
      <c r="A1773" s="22"/>
      <c r="B1773" s="22"/>
      <c r="C1773" s="23" t="str">
        <f aca="false">IF(A1773="","",IFERROR(buscarx(A1773&amp;B1773,DATA!$E$3:$E$10000&amp;DATA!$B$3:$B$10000,DATA!$M$3:$M$10000),"No encontrado"))</f>
        <v/>
      </c>
      <c r="D1773" s="24" t="str">
        <f aca="false">IF(A1773="","",IFERROR(buscarx(A1773&amp;B1773,DATA!$E$3:$E$10000&amp;DATA!$B$3:$B$10000,DATA!$W$3:$W$10000),"No encontrado"))</f>
        <v/>
      </c>
      <c r="E1773" s="22"/>
      <c r="F1773" s="23" t="str">
        <f aca="false">IF(A1773="","",IFERROR(buscarx(A1773&amp;E1773,DATA!$E$3:$E$10000&amp;DATA!$B$3:$B$10000,DATA!$M$3:$M$10000),"Inactivo"))</f>
        <v/>
      </c>
      <c r="G1773" s="25" t="str">
        <f aca="false">IF(A1773="","",IF(AND(C1773&lt;&gt;"No encontrado",F1773&lt;&gt;"Inactivo"),C1773&amp;" → "&amp;F1773,"Sin transición"))</f>
        <v/>
      </c>
      <c r="H1773" s="23" t="str">
        <f aca="false">IF(A1773="","",IF(D1773="GCIA LINEA SERVICIO DIGITALIDAD Y VENTAS","Chats",IF(OR(D1773="GERENCIA INBOUND LÍNEAS SERVICIO Y VENTA",D1773="GERENCIA INBOUND LINEAS ESPECIALIZADAS"),"Llamadas","Otro")))</f>
        <v/>
      </c>
      <c r="I1773" s="23" t="str">
        <f aca="false">IF(A1773="","",IF(C1773="No encontrado","No","Sí"))</f>
        <v/>
      </c>
      <c r="J1773" s="23" t="str">
        <f aca="false">IF(A1773="","",IF(F1773="Inactivo","No","Sí"))</f>
        <v/>
      </c>
      <c r="K1773" s="23" t="str">
        <f aca="false">IF(A1773="","",IF(AND(I1773="Sí",J1773="Sí"),"Sí","No"))</f>
        <v/>
      </c>
    </row>
    <row r="1774" customFormat="false" ht="15" hidden="false" customHeight="false" outlineLevel="0" collapsed="false">
      <c r="A1774" s="22"/>
      <c r="B1774" s="22"/>
      <c r="C1774" s="26" t="str">
        <f aca="false">IF(A1774="","",IFERROR(buscarx(A1774&amp;B1774,DATA!$E$3:$E$10000&amp;DATA!$B$3:$B$10000,DATA!$M$3:$M$10000),"No encontrado"))</f>
        <v/>
      </c>
      <c r="D1774" s="27" t="str">
        <f aca="false">IF(A1774="","",IFERROR(buscarx(A1774&amp;B1774,DATA!$E$3:$E$10000&amp;DATA!$B$3:$B$10000,DATA!$W$3:$W$10000),"No encontrado"))</f>
        <v/>
      </c>
      <c r="E1774" s="22"/>
      <c r="F1774" s="26" t="str">
        <f aca="false">IF(A1774="","",IFERROR(buscarx(A1774&amp;E1774,DATA!$E$3:$E$10000&amp;DATA!$B$3:$B$10000,DATA!$M$3:$M$10000),"Inactivo"))</f>
        <v/>
      </c>
      <c r="G1774" s="28" t="str">
        <f aca="false">IF(A1774="","",IF(AND(C1774&lt;&gt;"No encontrado",F1774&lt;&gt;"Inactivo"),C1774&amp;" → "&amp;F1774,"Sin transición"))</f>
        <v/>
      </c>
      <c r="H1774" s="26" t="str">
        <f aca="false">IF(A1774="","",IF(D1774="GCIA LINEA SERVICIO DIGITALIDAD Y VENTAS","Chats",IF(OR(D1774="GERENCIA INBOUND LÍNEAS SERVICIO Y VENTA",D1774="GERENCIA INBOUND LINEAS ESPECIALIZADAS"),"Llamadas","Otro")))</f>
        <v/>
      </c>
      <c r="I1774" s="26" t="str">
        <f aca="false">IF(A1774="","",IF(C1774="No encontrado","No","Sí"))</f>
        <v/>
      </c>
      <c r="J1774" s="26" t="str">
        <f aca="false">IF(A1774="","",IF(F1774="Inactivo","No","Sí"))</f>
        <v/>
      </c>
      <c r="K1774" s="26" t="str">
        <f aca="false">IF(A1774="","",IF(AND(I1774="Sí",J1774="Sí"),"Sí","No"))</f>
        <v/>
      </c>
    </row>
    <row r="1775" customFormat="false" ht="15" hidden="false" customHeight="false" outlineLevel="0" collapsed="false">
      <c r="A1775" s="22"/>
      <c r="B1775" s="22"/>
      <c r="C1775" s="23" t="str">
        <f aca="false">IF(A1775="","",IFERROR(buscarx(A1775&amp;B1775,DATA!$E$3:$E$10000&amp;DATA!$B$3:$B$10000,DATA!$M$3:$M$10000),"No encontrado"))</f>
        <v/>
      </c>
      <c r="D1775" s="24" t="str">
        <f aca="false">IF(A1775="","",IFERROR(buscarx(A1775&amp;B1775,DATA!$E$3:$E$10000&amp;DATA!$B$3:$B$10000,DATA!$W$3:$W$10000),"No encontrado"))</f>
        <v/>
      </c>
      <c r="E1775" s="22"/>
      <c r="F1775" s="23" t="str">
        <f aca="false">IF(A1775="","",IFERROR(buscarx(A1775&amp;E1775,DATA!$E$3:$E$10000&amp;DATA!$B$3:$B$10000,DATA!$M$3:$M$10000),"Inactivo"))</f>
        <v/>
      </c>
      <c r="G1775" s="25" t="str">
        <f aca="false">IF(A1775="","",IF(AND(C1775&lt;&gt;"No encontrado",F1775&lt;&gt;"Inactivo"),C1775&amp;" → "&amp;F1775,"Sin transición"))</f>
        <v/>
      </c>
      <c r="H1775" s="23" t="str">
        <f aca="false">IF(A1775="","",IF(D1775="GCIA LINEA SERVICIO DIGITALIDAD Y VENTAS","Chats",IF(OR(D1775="GERENCIA INBOUND LÍNEAS SERVICIO Y VENTA",D1775="GERENCIA INBOUND LINEAS ESPECIALIZADAS"),"Llamadas","Otro")))</f>
        <v/>
      </c>
      <c r="I1775" s="23" t="str">
        <f aca="false">IF(A1775="","",IF(C1775="No encontrado","No","Sí"))</f>
        <v/>
      </c>
      <c r="J1775" s="23" t="str">
        <f aca="false">IF(A1775="","",IF(F1775="Inactivo","No","Sí"))</f>
        <v/>
      </c>
      <c r="K1775" s="23" t="str">
        <f aca="false">IF(A1775="","",IF(AND(I1775="Sí",J1775="Sí"),"Sí","No"))</f>
        <v/>
      </c>
    </row>
    <row r="1776" customFormat="false" ht="15" hidden="false" customHeight="false" outlineLevel="0" collapsed="false">
      <c r="A1776" s="22"/>
      <c r="B1776" s="22"/>
      <c r="C1776" s="26" t="str">
        <f aca="false">IF(A1776="","",IFERROR(buscarx(A1776&amp;B1776,DATA!$E$3:$E$10000&amp;DATA!$B$3:$B$10000,DATA!$M$3:$M$10000),"No encontrado"))</f>
        <v/>
      </c>
      <c r="D1776" s="27" t="str">
        <f aca="false">IF(A1776="","",IFERROR(buscarx(A1776&amp;B1776,DATA!$E$3:$E$10000&amp;DATA!$B$3:$B$10000,DATA!$W$3:$W$10000),"No encontrado"))</f>
        <v/>
      </c>
      <c r="E1776" s="22"/>
      <c r="F1776" s="26" t="str">
        <f aca="false">IF(A1776="","",IFERROR(buscarx(A1776&amp;E1776,DATA!$E$3:$E$10000&amp;DATA!$B$3:$B$10000,DATA!$M$3:$M$10000),"Inactivo"))</f>
        <v/>
      </c>
      <c r="G1776" s="28" t="str">
        <f aca="false">IF(A1776="","",IF(AND(C1776&lt;&gt;"No encontrado",F1776&lt;&gt;"Inactivo"),C1776&amp;" → "&amp;F1776,"Sin transición"))</f>
        <v/>
      </c>
      <c r="H1776" s="26" t="str">
        <f aca="false">IF(A1776="","",IF(D1776="GCIA LINEA SERVICIO DIGITALIDAD Y VENTAS","Chats",IF(OR(D1776="GERENCIA INBOUND LÍNEAS SERVICIO Y VENTA",D1776="GERENCIA INBOUND LINEAS ESPECIALIZADAS"),"Llamadas","Otro")))</f>
        <v/>
      </c>
      <c r="I1776" s="26" t="str">
        <f aca="false">IF(A1776="","",IF(C1776="No encontrado","No","Sí"))</f>
        <v/>
      </c>
      <c r="J1776" s="26" t="str">
        <f aca="false">IF(A1776="","",IF(F1776="Inactivo","No","Sí"))</f>
        <v/>
      </c>
      <c r="K1776" s="26" t="str">
        <f aca="false">IF(A1776="","",IF(AND(I1776="Sí",J1776="Sí"),"Sí","No"))</f>
        <v/>
      </c>
    </row>
    <row r="1777" customFormat="false" ht="15" hidden="false" customHeight="false" outlineLevel="0" collapsed="false">
      <c r="A1777" s="22"/>
      <c r="B1777" s="22"/>
      <c r="C1777" s="23" t="str">
        <f aca="false">IF(A1777="","",IFERROR(buscarx(A1777&amp;B1777,DATA!$E$3:$E$10000&amp;DATA!$B$3:$B$10000,DATA!$M$3:$M$10000),"No encontrado"))</f>
        <v/>
      </c>
      <c r="D1777" s="24" t="str">
        <f aca="false">IF(A1777="","",IFERROR(buscarx(A1777&amp;B1777,DATA!$E$3:$E$10000&amp;DATA!$B$3:$B$10000,DATA!$W$3:$W$10000),"No encontrado"))</f>
        <v/>
      </c>
      <c r="E1777" s="22"/>
      <c r="F1777" s="23" t="str">
        <f aca="false">IF(A1777="","",IFERROR(buscarx(A1777&amp;E1777,DATA!$E$3:$E$10000&amp;DATA!$B$3:$B$10000,DATA!$M$3:$M$10000),"Inactivo"))</f>
        <v/>
      </c>
      <c r="G1777" s="25" t="str">
        <f aca="false">IF(A1777="","",IF(AND(C1777&lt;&gt;"No encontrado",F1777&lt;&gt;"Inactivo"),C1777&amp;" → "&amp;F1777,"Sin transición"))</f>
        <v/>
      </c>
      <c r="H1777" s="23" t="str">
        <f aca="false">IF(A1777="","",IF(D1777="GCIA LINEA SERVICIO DIGITALIDAD Y VENTAS","Chats",IF(OR(D1777="GERENCIA INBOUND LÍNEAS SERVICIO Y VENTA",D1777="GERENCIA INBOUND LINEAS ESPECIALIZADAS"),"Llamadas","Otro")))</f>
        <v/>
      </c>
      <c r="I1777" s="23" t="str">
        <f aca="false">IF(A1777="","",IF(C1777="No encontrado","No","Sí"))</f>
        <v/>
      </c>
      <c r="J1777" s="23" t="str">
        <f aca="false">IF(A1777="","",IF(F1777="Inactivo","No","Sí"))</f>
        <v/>
      </c>
      <c r="K1777" s="23" t="str">
        <f aca="false">IF(A1777="","",IF(AND(I1777="Sí",J1777="Sí"),"Sí","No"))</f>
        <v/>
      </c>
    </row>
    <row r="1778" customFormat="false" ht="15" hidden="false" customHeight="false" outlineLevel="0" collapsed="false">
      <c r="A1778" s="22"/>
      <c r="B1778" s="22"/>
      <c r="C1778" s="26" t="str">
        <f aca="false">IF(A1778="","",IFERROR(buscarx(A1778&amp;B1778,DATA!$E$3:$E$10000&amp;DATA!$B$3:$B$10000,DATA!$M$3:$M$10000),"No encontrado"))</f>
        <v/>
      </c>
      <c r="D1778" s="27" t="str">
        <f aca="false">IF(A1778="","",IFERROR(buscarx(A1778&amp;B1778,DATA!$E$3:$E$10000&amp;DATA!$B$3:$B$10000,DATA!$W$3:$W$10000),"No encontrado"))</f>
        <v/>
      </c>
      <c r="E1778" s="22"/>
      <c r="F1778" s="26" t="str">
        <f aca="false">IF(A1778="","",IFERROR(buscarx(A1778&amp;E1778,DATA!$E$3:$E$10000&amp;DATA!$B$3:$B$10000,DATA!$M$3:$M$10000),"Inactivo"))</f>
        <v/>
      </c>
      <c r="G1778" s="28" t="str">
        <f aca="false">IF(A1778="","",IF(AND(C1778&lt;&gt;"No encontrado",F1778&lt;&gt;"Inactivo"),C1778&amp;" → "&amp;F1778,"Sin transición"))</f>
        <v/>
      </c>
      <c r="H1778" s="26" t="str">
        <f aca="false">IF(A1778="","",IF(D1778="GCIA LINEA SERVICIO DIGITALIDAD Y VENTAS","Chats",IF(OR(D1778="GERENCIA INBOUND LÍNEAS SERVICIO Y VENTA",D1778="GERENCIA INBOUND LINEAS ESPECIALIZADAS"),"Llamadas","Otro")))</f>
        <v/>
      </c>
      <c r="I1778" s="26" t="str">
        <f aca="false">IF(A1778="","",IF(C1778="No encontrado","No","Sí"))</f>
        <v/>
      </c>
      <c r="J1778" s="26" t="str">
        <f aca="false">IF(A1778="","",IF(F1778="Inactivo","No","Sí"))</f>
        <v/>
      </c>
      <c r="K1778" s="26" t="str">
        <f aca="false">IF(A1778="","",IF(AND(I1778="Sí",J1778="Sí"),"Sí","No"))</f>
        <v/>
      </c>
    </row>
    <row r="1779" customFormat="false" ht="15" hidden="false" customHeight="false" outlineLevel="0" collapsed="false">
      <c r="A1779" s="22"/>
      <c r="B1779" s="22"/>
      <c r="C1779" s="23" t="str">
        <f aca="false">IF(A1779="","",IFERROR(buscarx(A1779&amp;B1779,DATA!$E$3:$E$10000&amp;DATA!$B$3:$B$10000,DATA!$M$3:$M$10000),"No encontrado"))</f>
        <v/>
      </c>
      <c r="D1779" s="24" t="str">
        <f aca="false">IF(A1779="","",IFERROR(buscarx(A1779&amp;B1779,DATA!$E$3:$E$10000&amp;DATA!$B$3:$B$10000,DATA!$W$3:$W$10000),"No encontrado"))</f>
        <v/>
      </c>
      <c r="E1779" s="22"/>
      <c r="F1779" s="23" t="str">
        <f aca="false">IF(A1779="","",IFERROR(buscarx(A1779&amp;E1779,DATA!$E$3:$E$10000&amp;DATA!$B$3:$B$10000,DATA!$M$3:$M$10000),"Inactivo"))</f>
        <v/>
      </c>
      <c r="G1779" s="25" t="str">
        <f aca="false">IF(A1779="","",IF(AND(C1779&lt;&gt;"No encontrado",F1779&lt;&gt;"Inactivo"),C1779&amp;" → "&amp;F1779,"Sin transición"))</f>
        <v/>
      </c>
      <c r="H1779" s="23" t="str">
        <f aca="false">IF(A1779="","",IF(D1779="GCIA LINEA SERVICIO DIGITALIDAD Y VENTAS","Chats",IF(OR(D1779="GERENCIA INBOUND LÍNEAS SERVICIO Y VENTA",D1779="GERENCIA INBOUND LINEAS ESPECIALIZADAS"),"Llamadas","Otro")))</f>
        <v/>
      </c>
      <c r="I1779" s="23" t="str">
        <f aca="false">IF(A1779="","",IF(C1779="No encontrado","No","Sí"))</f>
        <v/>
      </c>
      <c r="J1779" s="23" t="str">
        <f aca="false">IF(A1779="","",IF(F1779="Inactivo","No","Sí"))</f>
        <v/>
      </c>
      <c r="K1779" s="23" t="str">
        <f aca="false">IF(A1779="","",IF(AND(I1779="Sí",J1779="Sí"),"Sí","No"))</f>
        <v/>
      </c>
    </row>
    <row r="1780" customFormat="false" ht="15" hidden="false" customHeight="false" outlineLevel="0" collapsed="false">
      <c r="A1780" s="22"/>
      <c r="B1780" s="22"/>
      <c r="C1780" s="26" t="str">
        <f aca="false">IF(A1780="","",IFERROR(buscarx(A1780&amp;B1780,DATA!$E$3:$E$10000&amp;DATA!$B$3:$B$10000,DATA!$M$3:$M$10000),"No encontrado"))</f>
        <v/>
      </c>
      <c r="D1780" s="27" t="str">
        <f aca="false">IF(A1780="","",IFERROR(buscarx(A1780&amp;B1780,DATA!$E$3:$E$10000&amp;DATA!$B$3:$B$10000,DATA!$W$3:$W$10000),"No encontrado"))</f>
        <v/>
      </c>
      <c r="E1780" s="22"/>
      <c r="F1780" s="26" t="str">
        <f aca="false">IF(A1780="","",IFERROR(buscarx(A1780&amp;E1780,DATA!$E$3:$E$10000&amp;DATA!$B$3:$B$10000,DATA!$M$3:$M$10000),"Inactivo"))</f>
        <v/>
      </c>
      <c r="G1780" s="28" t="str">
        <f aca="false">IF(A1780="","",IF(AND(C1780&lt;&gt;"No encontrado",F1780&lt;&gt;"Inactivo"),C1780&amp;" → "&amp;F1780,"Sin transición"))</f>
        <v/>
      </c>
      <c r="H1780" s="26" t="str">
        <f aca="false">IF(A1780="","",IF(D1780="GCIA LINEA SERVICIO DIGITALIDAD Y VENTAS","Chats",IF(OR(D1780="GERENCIA INBOUND LÍNEAS SERVICIO Y VENTA",D1780="GERENCIA INBOUND LINEAS ESPECIALIZADAS"),"Llamadas","Otro")))</f>
        <v/>
      </c>
      <c r="I1780" s="26" t="str">
        <f aca="false">IF(A1780="","",IF(C1780="No encontrado","No","Sí"))</f>
        <v/>
      </c>
      <c r="J1780" s="26" t="str">
        <f aca="false">IF(A1780="","",IF(F1780="Inactivo","No","Sí"))</f>
        <v/>
      </c>
      <c r="K1780" s="26" t="str">
        <f aca="false">IF(A1780="","",IF(AND(I1780="Sí",J1780="Sí"),"Sí","No"))</f>
        <v/>
      </c>
    </row>
    <row r="1781" customFormat="false" ht="15" hidden="false" customHeight="false" outlineLevel="0" collapsed="false">
      <c r="A1781" s="22"/>
      <c r="B1781" s="22"/>
      <c r="C1781" s="23" t="str">
        <f aca="false">IF(A1781="","",IFERROR(buscarx(A1781&amp;B1781,DATA!$E$3:$E$10000&amp;DATA!$B$3:$B$10000,DATA!$M$3:$M$10000),"No encontrado"))</f>
        <v/>
      </c>
      <c r="D1781" s="24" t="str">
        <f aca="false">IF(A1781="","",IFERROR(buscarx(A1781&amp;B1781,DATA!$E$3:$E$10000&amp;DATA!$B$3:$B$10000,DATA!$W$3:$W$10000),"No encontrado"))</f>
        <v/>
      </c>
      <c r="E1781" s="22"/>
      <c r="F1781" s="23" t="str">
        <f aca="false">IF(A1781="","",IFERROR(buscarx(A1781&amp;E1781,DATA!$E$3:$E$10000&amp;DATA!$B$3:$B$10000,DATA!$M$3:$M$10000),"Inactivo"))</f>
        <v/>
      </c>
      <c r="G1781" s="25" t="str">
        <f aca="false">IF(A1781="","",IF(AND(C1781&lt;&gt;"No encontrado",F1781&lt;&gt;"Inactivo"),C1781&amp;" → "&amp;F1781,"Sin transición"))</f>
        <v/>
      </c>
      <c r="H1781" s="23" t="str">
        <f aca="false">IF(A1781="","",IF(D1781="GCIA LINEA SERVICIO DIGITALIDAD Y VENTAS","Chats",IF(OR(D1781="GERENCIA INBOUND LÍNEAS SERVICIO Y VENTA",D1781="GERENCIA INBOUND LINEAS ESPECIALIZADAS"),"Llamadas","Otro")))</f>
        <v/>
      </c>
      <c r="I1781" s="23" t="str">
        <f aca="false">IF(A1781="","",IF(C1781="No encontrado","No","Sí"))</f>
        <v/>
      </c>
      <c r="J1781" s="23" t="str">
        <f aca="false">IF(A1781="","",IF(F1781="Inactivo","No","Sí"))</f>
        <v/>
      </c>
      <c r="K1781" s="23" t="str">
        <f aca="false">IF(A1781="","",IF(AND(I1781="Sí",J1781="Sí"),"Sí","No"))</f>
        <v/>
      </c>
    </row>
    <row r="1782" customFormat="false" ht="15" hidden="false" customHeight="false" outlineLevel="0" collapsed="false">
      <c r="A1782" s="22"/>
      <c r="B1782" s="22"/>
      <c r="C1782" s="26" t="str">
        <f aca="false">IF(A1782="","",IFERROR(buscarx(A1782&amp;B1782,DATA!$E$3:$E$10000&amp;DATA!$B$3:$B$10000,DATA!$M$3:$M$10000),"No encontrado"))</f>
        <v/>
      </c>
      <c r="D1782" s="27" t="str">
        <f aca="false">IF(A1782="","",IFERROR(buscarx(A1782&amp;B1782,DATA!$E$3:$E$10000&amp;DATA!$B$3:$B$10000,DATA!$W$3:$W$10000),"No encontrado"))</f>
        <v/>
      </c>
      <c r="E1782" s="22"/>
      <c r="F1782" s="26" t="str">
        <f aca="false">IF(A1782="","",IFERROR(buscarx(A1782&amp;E1782,DATA!$E$3:$E$10000&amp;DATA!$B$3:$B$10000,DATA!$M$3:$M$10000),"Inactivo"))</f>
        <v/>
      </c>
      <c r="G1782" s="28" t="str">
        <f aca="false">IF(A1782="","",IF(AND(C1782&lt;&gt;"No encontrado",F1782&lt;&gt;"Inactivo"),C1782&amp;" → "&amp;F1782,"Sin transición"))</f>
        <v/>
      </c>
      <c r="H1782" s="26" t="str">
        <f aca="false">IF(A1782="","",IF(D1782="GCIA LINEA SERVICIO DIGITALIDAD Y VENTAS","Chats",IF(OR(D1782="GERENCIA INBOUND LÍNEAS SERVICIO Y VENTA",D1782="GERENCIA INBOUND LINEAS ESPECIALIZADAS"),"Llamadas","Otro")))</f>
        <v/>
      </c>
      <c r="I1782" s="26" t="str">
        <f aca="false">IF(A1782="","",IF(C1782="No encontrado","No","Sí"))</f>
        <v/>
      </c>
      <c r="J1782" s="26" t="str">
        <f aca="false">IF(A1782="","",IF(F1782="Inactivo","No","Sí"))</f>
        <v/>
      </c>
      <c r="K1782" s="26" t="str">
        <f aca="false">IF(A1782="","",IF(AND(I1782="Sí",J1782="Sí"),"Sí","No"))</f>
        <v/>
      </c>
    </row>
    <row r="1783" customFormat="false" ht="15" hidden="false" customHeight="false" outlineLevel="0" collapsed="false">
      <c r="A1783" s="22"/>
      <c r="B1783" s="22"/>
      <c r="C1783" s="23" t="str">
        <f aca="false">IF(A1783="","",IFERROR(buscarx(A1783&amp;B1783,DATA!$E$3:$E$10000&amp;DATA!$B$3:$B$10000,DATA!$M$3:$M$10000),"No encontrado"))</f>
        <v/>
      </c>
      <c r="D1783" s="24" t="str">
        <f aca="false">IF(A1783="","",IFERROR(buscarx(A1783&amp;B1783,DATA!$E$3:$E$10000&amp;DATA!$B$3:$B$10000,DATA!$W$3:$W$10000),"No encontrado"))</f>
        <v/>
      </c>
      <c r="E1783" s="22"/>
      <c r="F1783" s="23" t="str">
        <f aca="false">IF(A1783="","",IFERROR(buscarx(A1783&amp;E1783,DATA!$E$3:$E$10000&amp;DATA!$B$3:$B$10000,DATA!$M$3:$M$10000),"Inactivo"))</f>
        <v/>
      </c>
      <c r="G1783" s="25" t="str">
        <f aca="false">IF(A1783="","",IF(AND(C1783&lt;&gt;"No encontrado",F1783&lt;&gt;"Inactivo"),C1783&amp;" → "&amp;F1783,"Sin transición"))</f>
        <v/>
      </c>
      <c r="H1783" s="23" t="str">
        <f aca="false">IF(A1783="","",IF(D1783="GCIA LINEA SERVICIO DIGITALIDAD Y VENTAS","Chats",IF(OR(D1783="GERENCIA INBOUND LÍNEAS SERVICIO Y VENTA",D1783="GERENCIA INBOUND LINEAS ESPECIALIZADAS"),"Llamadas","Otro")))</f>
        <v/>
      </c>
      <c r="I1783" s="23" t="str">
        <f aca="false">IF(A1783="","",IF(C1783="No encontrado","No","Sí"))</f>
        <v/>
      </c>
      <c r="J1783" s="23" t="str">
        <f aca="false">IF(A1783="","",IF(F1783="Inactivo","No","Sí"))</f>
        <v/>
      </c>
      <c r="K1783" s="23" t="str">
        <f aca="false">IF(A1783="","",IF(AND(I1783="Sí",J1783="Sí"),"Sí","No"))</f>
        <v/>
      </c>
    </row>
    <row r="1784" customFormat="false" ht="15" hidden="false" customHeight="false" outlineLevel="0" collapsed="false">
      <c r="A1784" s="22"/>
      <c r="B1784" s="22"/>
      <c r="C1784" s="26" t="str">
        <f aca="false">IF(A1784="","",IFERROR(buscarx(A1784&amp;B1784,DATA!$E$3:$E$10000&amp;DATA!$B$3:$B$10000,DATA!$M$3:$M$10000),"No encontrado"))</f>
        <v/>
      </c>
      <c r="D1784" s="27" t="str">
        <f aca="false">IF(A1784="","",IFERROR(buscarx(A1784&amp;B1784,DATA!$E$3:$E$10000&amp;DATA!$B$3:$B$10000,DATA!$W$3:$W$10000),"No encontrado"))</f>
        <v/>
      </c>
      <c r="E1784" s="22"/>
      <c r="F1784" s="26" t="str">
        <f aca="false">IF(A1784="","",IFERROR(buscarx(A1784&amp;E1784,DATA!$E$3:$E$10000&amp;DATA!$B$3:$B$10000,DATA!$M$3:$M$10000),"Inactivo"))</f>
        <v/>
      </c>
      <c r="G1784" s="28" t="str">
        <f aca="false">IF(A1784="","",IF(AND(C1784&lt;&gt;"No encontrado",F1784&lt;&gt;"Inactivo"),C1784&amp;" → "&amp;F1784,"Sin transición"))</f>
        <v/>
      </c>
      <c r="H1784" s="26" t="str">
        <f aca="false">IF(A1784="","",IF(D1784="GCIA LINEA SERVICIO DIGITALIDAD Y VENTAS","Chats",IF(OR(D1784="GERENCIA INBOUND LÍNEAS SERVICIO Y VENTA",D1784="GERENCIA INBOUND LINEAS ESPECIALIZADAS"),"Llamadas","Otro")))</f>
        <v/>
      </c>
      <c r="I1784" s="26" t="str">
        <f aca="false">IF(A1784="","",IF(C1784="No encontrado","No","Sí"))</f>
        <v/>
      </c>
      <c r="J1784" s="26" t="str">
        <f aca="false">IF(A1784="","",IF(F1784="Inactivo","No","Sí"))</f>
        <v/>
      </c>
      <c r="K1784" s="26" t="str">
        <f aca="false">IF(A1784="","",IF(AND(I1784="Sí",J1784="Sí"),"Sí","No"))</f>
        <v/>
      </c>
    </row>
    <row r="1785" customFormat="false" ht="15" hidden="false" customHeight="false" outlineLevel="0" collapsed="false">
      <c r="A1785" s="22"/>
      <c r="B1785" s="22"/>
      <c r="C1785" s="23" t="str">
        <f aca="false">IF(A1785="","",IFERROR(buscarx(A1785&amp;B1785,DATA!$E$3:$E$10000&amp;DATA!$B$3:$B$10000,DATA!$M$3:$M$10000),"No encontrado"))</f>
        <v/>
      </c>
      <c r="D1785" s="24" t="str">
        <f aca="false">IF(A1785="","",IFERROR(buscarx(A1785&amp;B1785,DATA!$E$3:$E$10000&amp;DATA!$B$3:$B$10000,DATA!$W$3:$W$10000),"No encontrado"))</f>
        <v/>
      </c>
      <c r="E1785" s="22"/>
      <c r="F1785" s="23" t="str">
        <f aca="false">IF(A1785="","",IFERROR(buscarx(A1785&amp;E1785,DATA!$E$3:$E$10000&amp;DATA!$B$3:$B$10000,DATA!$M$3:$M$10000),"Inactivo"))</f>
        <v/>
      </c>
      <c r="G1785" s="25" t="str">
        <f aca="false">IF(A1785="","",IF(AND(C1785&lt;&gt;"No encontrado",F1785&lt;&gt;"Inactivo"),C1785&amp;" → "&amp;F1785,"Sin transición"))</f>
        <v/>
      </c>
      <c r="H1785" s="23" t="str">
        <f aca="false">IF(A1785="","",IF(D1785="GCIA LINEA SERVICIO DIGITALIDAD Y VENTAS","Chats",IF(OR(D1785="GERENCIA INBOUND LÍNEAS SERVICIO Y VENTA",D1785="GERENCIA INBOUND LINEAS ESPECIALIZADAS"),"Llamadas","Otro")))</f>
        <v/>
      </c>
      <c r="I1785" s="23" t="str">
        <f aca="false">IF(A1785="","",IF(C1785="No encontrado","No","Sí"))</f>
        <v/>
      </c>
      <c r="J1785" s="23" t="str">
        <f aca="false">IF(A1785="","",IF(F1785="Inactivo","No","Sí"))</f>
        <v/>
      </c>
      <c r="K1785" s="23" t="str">
        <f aca="false">IF(A1785="","",IF(AND(I1785="Sí",J1785="Sí"),"Sí","No"))</f>
        <v/>
      </c>
    </row>
    <row r="1786" customFormat="false" ht="15" hidden="false" customHeight="false" outlineLevel="0" collapsed="false">
      <c r="A1786" s="22"/>
      <c r="B1786" s="22"/>
      <c r="C1786" s="26" t="str">
        <f aca="false">IF(A1786="","",IFERROR(buscarx(A1786&amp;B1786,DATA!$E$3:$E$10000&amp;DATA!$B$3:$B$10000,DATA!$M$3:$M$10000),"No encontrado"))</f>
        <v/>
      </c>
      <c r="D1786" s="27" t="str">
        <f aca="false">IF(A1786="","",IFERROR(buscarx(A1786&amp;B1786,DATA!$E$3:$E$10000&amp;DATA!$B$3:$B$10000,DATA!$W$3:$W$10000),"No encontrado"))</f>
        <v/>
      </c>
      <c r="E1786" s="22"/>
      <c r="F1786" s="26" t="str">
        <f aca="false">IF(A1786="","",IFERROR(buscarx(A1786&amp;E1786,DATA!$E$3:$E$10000&amp;DATA!$B$3:$B$10000,DATA!$M$3:$M$10000),"Inactivo"))</f>
        <v/>
      </c>
      <c r="G1786" s="28" t="str">
        <f aca="false">IF(A1786="","",IF(AND(C1786&lt;&gt;"No encontrado",F1786&lt;&gt;"Inactivo"),C1786&amp;" → "&amp;F1786,"Sin transición"))</f>
        <v/>
      </c>
      <c r="H1786" s="26" t="str">
        <f aca="false">IF(A1786="","",IF(D1786="GCIA LINEA SERVICIO DIGITALIDAD Y VENTAS","Chats",IF(OR(D1786="GERENCIA INBOUND LÍNEAS SERVICIO Y VENTA",D1786="GERENCIA INBOUND LINEAS ESPECIALIZADAS"),"Llamadas","Otro")))</f>
        <v/>
      </c>
      <c r="I1786" s="26" t="str">
        <f aca="false">IF(A1786="","",IF(C1786="No encontrado","No","Sí"))</f>
        <v/>
      </c>
      <c r="J1786" s="26" t="str">
        <f aca="false">IF(A1786="","",IF(F1786="Inactivo","No","Sí"))</f>
        <v/>
      </c>
      <c r="K1786" s="26" t="str">
        <f aca="false">IF(A1786="","",IF(AND(I1786="Sí",J1786="Sí"),"Sí","No"))</f>
        <v/>
      </c>
    </row>
    <row r="1787" customFormat="false" ht="15" hidden="false" customHeight="false" outlineLevel="0" collapsed="false">
      <c r="A1787" s="22"/>
      <c r="B1787" s="22"/>
      <c r="C1787" s="23" t="str">
        <f aca="false">IF(A1787="","",IFERROR(buscarx(A1787&amp;B1787,DATA!$E$3:$E$10000&amp;DATA!$B$3:$B$10000,DATA!$M$3:$M$10000),"No encontrado"))</f>
        <v/>
      </c>
      <c r="D1787" s="24" t="str">
        <f aca="false">IF(A1787="","",IFERROR(buscarx(A1787&amp;B1787,DATA!$E$3:$E$10000&amp;DATA!$B$3:$B$10000,DATA!$W$3:$W$10000),"No encontrado"))</f>
        <v/>
      </c>
      <c r="E1787" s="22"/>
      <c r="F1787" s="23" t="str">
        <f aca="false">IF(A1787="","",IFERROR(buscarx(A1787&amp;E1787,DATA!$E$3:$E$10000&amp;DATA!$B$3:$B$10000,DATA!$M$3:$M$10000),"Inactivo"))</f>
        <v/>
      </c>
      <c r="G1787" s="25" t="str">
        <f aca="false">IF(A1787="","",IF(AND(C1787&lt;&gt;"No encontrado",F1787&lt;&gt;"Inactivo"),C1787&amp;" → "&amp;F1787,"Sin transición"))</f>
        <v/>
      </c>
      <c r="H1787" s="23" t="str">
        <f aca="false">IF(A1787="","",IF(D1787="GCIA LINEA SERVICIO DIGITALIDAD Y VENTAS","Chats",IF(OR(D1787="GERENCIA INBOUND LÍNEAS SERVICIO Y VENTA",D1787="GERENCIA INBOUND LINEAS ESPECIALIZADAS"),"Llamadas","Otro")))</f>
        <v/>
      </c>
      <c r="I1787" s="23" t="str">
        <f aca="false">IF(A1787="","",IF(C1787="No encontrado","No","Sí"))</f>
        <v/>
      </c>
      <c r="J1787" s="23" t="str">
        <f aca="false">IF(A1787="","",IF(F1787="Inactivo","No","Sí"))</f>
        <v/>
      </c>
      <c r="K1787" s="23" t="str">
        <f aca="false">IF(A1787="","",IF(AND(I1787="Sí",J1787="Sí"),"Sí","No"))</f>
        <v/>
      </c>
    </row>
    <row r="1788" customFormat="false" ht="15" hidden="false" customHeight="false" outlineLevel="0" collapsed="false">
      <c r="A1788" s="22"/>
      <c r="B1788" s="22"/>
      <c r="C1788" s="26" t="str">
        <f aca="false">IF(A1788="","",IFERROR(buscarx(A1788&amp;B1788,DATA!$E$3:$E$10000&amp;DATA!$B$3:$B$10000,DATA!$M$3:$M$10000),"No encontrado"))</f>
        <v/>
      </c>
      <c r="D1788" s="27" t="str">
        <f aca="false">IF(A1788="","",IFERROR(buscarx(A1788&amp;B1788,DATA!$E$3:$E$10000&amp;DATA!$B$3:$B$10000,DATA!$W$3:$W$10000),"No encontrado"))</f>
        <v/>
      </c>
      <c r="E1788" s="22"/>
      <c r="F1788" s="26" t="str">
        <f aca="false">IF(A1788="","",IFERROR(buscarx(A1788&amp;E1788,DATA!$E$3:$E$10000&amp;DATA!$B$3:$B$10000,DATA!$M$3:$M$10000),"Inactivo"))</f>
        <v/>
      </c>
      <c r="G1788" s="28" t="str">
        <f aca="false">IF(A1788="","",IF(AND(C1788&lt;&gt;"No encontrado",F1788&lt;&gt;"Inactivo"),C1788&amp;" → "&amp;F1788,"Sin transición"))</f>
        <v/>
      </c>
      <c r="H1788" s="26" t="str">
        <f aca="false">IF(A1788="","",IF(D1788="GCIA LINEA SERVICIO DIGITALIDAD Y VENTAS","Chats",IF(OR(D1788="GERENCIA INBOUND LÍNEAS SERVICIO Y VENTA",D1788="GERENCIA INBOUND LINEAS ESPECIALIZADAS"),"Llamadas","Otro")))</f>
        <v/>
      </c>
      <c r="I1788" s="26" t="str">
        <f aca="false">IF(A1788="","",IF(C1788="No encontrado","No","Sí"))</f>
        <v/>
      </c>
      <c r="J1788" s="26" t="str">
        <f aca="false">IF(A1788="","",IF(F1788="Inactivo","No","Sí"))</f>
        <v/>
      </c>
      <c r="K1788" s="26" t="str">
        <f aca="false">IF(A1788="","",IF(AND(I1788="Sí",J1788="Sí"),"Sí","No"))</f>
        <v/>
      </c>
    </row>
    <row r="1789" customFormat="false" ht="15" hidden="false" customHeight="false" outlineLevel="0" collapsed="false">
      <c r="A1789" s="22"/>
      <c r="B1789" s="22"/>
      <c r="C1789" s="23" t="str">
        <f aca="false">IF(A1789="","",IFERROR(buscarx(A1789&amp;B1789,DATA!$E$3:$E$10000&amp;DATA!$B$3:$B$10000,DATA!$M$3:$M$10000),"No encontrado"))</f>
        <v/>
      </c>
      <c r="D1789" s="24" t="str">
        <f aca="false">IF(A1789="","",IFERROR(buscarx(A1789&amp;B1789,DATA!$E$3:$E$10000&amp;DATA!$B$3:$B$10000,DATA!$W$3:$W$10000),"No encontrado"))</f>
        <v/>
      </c>
      <c r="E1789" s="22"/>
      <c r="F1789" s="23" t="str">
        <f aca="false">IF(A1789="","",IFERROR(buscarx(A1789&amp;E1789,DATA!$E$3:$E$10000&amp;DATA!$B$3:$B$10000,DATA!$M$3:$M$10000),"Inactivo"))</f>
        <v/>
      </c>
      <c r="G1789" s="25" t="str">
        <f aca="false">IF(A1789="","",IF(AND(C1789&lt;&gt;"No encontrado",F1789&lt;&gt;"Inactivo"),C1789&amp;" → "&amp;F1789,"Sin transición"))</f>
        <v/>
      </c>
      <c r="H1789" s="23" t="str">
        <f aca="false">IF(A1789="","",IF(D1789="GCIA LINEA SERVICIO DIGITALIDAD Y VENTAS","Chats",IF(OR(D1789="GERENCIA INBOUND LÍNEAS SERVICIO Y VENTA",D1789="GERENCIA INBOUND LINEAS ESPECIALIZADAS"),"Llamadas","Otro")))</f>
        <v/>
      </c>
      <c r="I1789" s="23" t="str">
        <f aca="false">IF(A1789="","",IF(C1789="No encontrado","No","Sí"))</f>
        <v/>
      </c>
      <c r="J1789" s="23" t="str">
        <f aca="false">IF(A1789="","",IF(F1789="Inactivo","No","Sí"))</f>
        <v/>
      </c>
      <c r="K1789" s="23" t="str">
        <f aca="false">IF(A1789="","",IF(AND(I1789="Sí",J1789="Sí"),"Sí","No"))</f>
        <v/>
      </c>
    </row>
    <row r="1790" customFormat="false" ht="15" hidden="false" customHeight="false" outlineLevel="0" collapsed="false">
      <c r="A1790" s="22"/>
      <c r="B1790" s="22"/>
      <c r="C1790" s="26" t="str">
        <f aca="false">IF(A1790="","",IFERROR(buscarx(A1790&amp;B1790,DATA!$E$3:$E$10000&amp;DATA!$B$3:$B$10000,DATA!$M$3:$M$10000),"No encontrado"))</f>
        <v/>
      </c>
      <c r="D1790" s="27" t="str">
        <f aca="false">IF(A1790="","",IFERROR(buscarx(A1790&amp;B1790,DATA!$E$3:$E$10000&amp;DATA!$B$3:$B$10000,DATA!$W$3:$W$10000),"No encontrado"))</f>
        <v/>
      </c>
      <c r="E1790" s="22"/>
      <c r="F1790" s="26" t="str">
        <f aca="false">IF(A1790="","",IFERROR(buscarx(A1790&amp;E1790,DATA!$E$3:$E$10000&amp;DATA!$B$3:$B$10000,DATA!$M$3:$M$10000),"Inactivo"))</f>
        <v/>
      </c>
      <c r="G1790" s="28" t="str">
        <f aca="false">IF(A1790="","",IF(AND(C1790&lt;&gt;"No encontrado",F1790&lt;&gt;"Inactivo"),C1790&amp;" → "&amp;F1790,"Sin transición"))</f>
        <v/>
      </c>
      <c r="H1790" s="26" t="str">
        <f aca="false">IF(A1790="","",IF(D1790="GCIA LINEA SERVICIO DIGITALIDAD Y VENTAS","Chats",IF(OR(D1790="GERENCIA INBOUND LÍNEAS SERVICIO Y VENTA",D1790="GERENCIA INBOUND LINEAS ESPECIALIZADAS"),"Llamadas","Otro")))</f>
        <v/>
      </c>
      <c r="I1790" s="26" t="str">
        <f aca="false">IF(A1790="","",IF(C1790="No encontrado","No","Sí"))</f>
        <v/>
      </c>
      <c r="J1790" s="26" t="str">
        <f aca="false">IF(A1790="","",IF(F1790="Inactivo","No","Sí"))</f>
        <v/>
      </c>
      <c r="K1790" s="26" t="str">
        <f aca="false">IF(A1790="","",IF(AND(I1790="Sí",J1790="Sí"),"Sí","No"))</f>
        <v/>
      </c>
    </row>
    <row r="1791" customFormat="false" ht="15" hidden="false" customHeight="false" outlineLevel="0" collapsed="false">
      <c r="A1791" s="22"/>
      <c r="B1791" s="22"/>
      <c r="C1791" s="23" t="str">
        <f aca="false">IF(A1791="","",IFERROR(buscarx(A1791&amp;B1791,DATA!$E$3:$E$10000&amp;DATA!$B$3:$B$10000,DATA!$M$3:$M$10000),"No encontrado"))</f>
        <v/>
      </c>
      <c r="D1791" s="24" t="str">
        <f aca="false">IF(A1791="","",IFERROR(buscarx(A1791&amp;B1791,DATA!$E$3:$E$10000&amp;DATA!$B$3:$B$10000,DATA!$W$3:$W$10000),"No encontrado"))</f>
        <v/>
      </c>
      <c r="E1791" s="22"/>
      <c r="F1791" s="23" t="str">
        <f aca="false">IF(A1791="","",IFERROR(buscarx(A1791&amp;E1791,DATA!$E$3:$E$10000&amp;DATA!$B$3:$B$10000,DATA!$M$3:$M$10000),"Inactivo"))</f>
        <v/>
      </c>
      <c r="G1791" s="25" t="str">
        <f aca="false">IF(A1791="","",IF(AND(C1791&lt;&gt;"No encontrado",F1791&lt;&gt;"Inactivo"),C1791&amp;" → "&amp;F1791,"Sin transición"))</f>
        <v/>
      </c>
      <c r="H1791" s="23" t="str">
        <f aca="false">IF(A1791="","",IF(D1791="GCIA LINEA SERVICIO DIGITALIDAD Y VENTAS","Chats",IF(OR(D1791="GERENCIA INBOUND LÍNEAS SERVICIO Y VENTA",D1791="GERENCIA INBOUND LINEAS ESPECIALIZADAS"),"Llamadas","Otro")))</f>
        <v/>
      </c>
      <c r="I1791" s="23" t="str">
        <f aca="false">IF(A1791="","",IF(C1791="No encontrado","No","Sí"))</f>
        <v/>
      </c>
      <c r="J1791" s="23" t="str">
        <f aca="false">IF(A1791="","",IF(F1791="Inactivo","No","Sí"))</f>
        <v/>
      </c>
      <c r="K1791" s="23" t="str">
        <f aca="false">IF(A1791="","",IF(AND(I1791="Sí",J1791="Sí"),"Sí","No"))</f>
        <v/>
      </c>
    </row>
    <row r="1792" customFormat="false" ht="15" hidden="false" customHeight="false" outlineLevel="0" collapsed="false">
      <c r="A1792" s="22"/>
      <c r="B1792" s="22"/>
      <c r="C1792" s="26" t="str">
        <f aca="false">IF(A1792="","",IFERROR(buscarx(A1792&amp;B1792,DATA!$E$3:$E$10000&amp;DATA!$B$3:$B$10000,DATA!$M$3:$M$10000),"No encontrado"))</f>
        <v/>
      </c>
      <c r="D1792" s="27" t="str">
        <f aca="false">IF(A1792="","",IFERROR(buscarx(A1792&amp;B1792,DATA!$E$3:$E$10000&amp;DATA!$B$3:$B$10000,DATA!$W$3:$W$10000),"No encontrado"))</f>
        <v/>
      </c>
      <c r="E1792" s="22"/>
      <c r="F1792" s="26" t="str">
        <f aca="false">IF(A1792="","",IFERROR(buscarx(A1792&amp;E1792,DATA!$E$3:$E$10000&amp;DATA!$B$3:$B$10000,DATA!$M$3:$M$10000),"Inactivo"))</f>
        <v/>
      </c>
      <c r="G1792" s="28" t="str">
        <f aca="false">IF(A1792="","",IF(AND(C1792&lt;&gt;"No encontrado",F1792&lt;&gt;"Inactivo"),C1792&amp;" → "&amp;F1792,"Sin transición"))</f>
        <v/>
      </c>
      <c r="H1792" s="26" t="str">
        <f aca="false">IF(A1792="","",IF(D1792="GCIA LINEA SERVICIO DIGITALIDAD Y VENTAS","Chats",IF(OR(D1792="GERENCIA INBOUND LÍNEAS SERVICIO Y VENTA",D1792="GERENCIA INBOUND LINEAS ESPECIALIZADAS"),"Llamadas","Otro")))</f>
        <v/>
      </c>
      <c r="I1792" s="26" t="str">
        <f aca="false">IF(A1792="","",IF(C1792="No encontrado","No","Sí"))</f>
        <v/>
      </c>
      <c r="J1792" s="26" t="str">
        <f aca="false">IF(A1792="","",IF(F1792="Inactivo","No","Sí"))</f>
        <v/>
      </c>
      <c r="K1792" s="26" t="str">
        <f aca="false">IF(A1792="","",IF(AND(I1792="Sí",J1792="Sí"),"Sí","No"))</f>
        <v/>
      </c>
    </row>
    <row r="1793" customFormat="false" ht="15" hidden="false" customHeight="false" outlineLevel="0" collapsed="false">
      <c r="A1793" s="22"/>
      <c r="B1793" s="22"/>
      <c r="C1793" s="23" t="str">
        <f aca="false">IF(A1793="","",IFERROR(buscarx(A1793&amp;B1793,DATA!$E$3:$E$10000&amp;DATA!$B$3:$B$10000,DATA!$M$3:$M$10000),"No encontrado"))</f>
        <v/>
      </c>
      <c r="D1793" s="24" t="str">
        <f aca="false">IF(A1793="","",IFERROR(buscarx(A1793&amp;B1793,DATA!$E$3:$E$10000&amp;DATA!$B$3:$B$10000,DATA!$W$3:$W$10000),"No encontrado"))</f>
        <v/>
      </c>
      <c r="E1793" s="22"/>
      <c r="F1793" s="23" t="str">
        <f aca="false">IF(A1793="","",IFERROR(buscarx(A1793&amp;E1793,DATA!$E$3:$E$10000&amp;DATA!$B$3:$B$10000,DATA!$M$3:$M$10000),"Inactivo"))</f>
        <v/>
      </c>
      <c r="G1793" s="25" t="str">
        <f aca="false">IF(A1793="","",IF(AND(C1793&lt;&gt;"No encontrado",F1793&lt;&gt;"Inactivo"),C1793&amp;" → "&amp;F1793,"Sin transición"))</f>
        <v/>
      </c>
      <c r="H1793" s="23" t="str">
        <f aca="false">IF(A1793="","",IF(D1793="GCIA LINEA SERVICIO DIGITALIDAD Y VENTAS","Chats",IF(OR(D1793="GERENCIA INBOUND LÍNEAS SERVICIO Y VENTA",D1793="GERENCIA INBOUND LINEAS ESPECIALIZADAS"),"Llamadas","Otro")))</f>
        <v/>
      </c>
      <c r="I1793" s="23" t="str">
        <f aca="false">IF(A1793="","",IF(C1793="No encontrado","No","Sí"))</f>
        <v/>
      </c>
      <c r="J1793" s="23" t="str">
        <f aca="false">IF(A1793="","",IF(F1793="Inactivo","No","Sí"))</f>
        <v/>
      </c>
      <c r="K1793" s="23" t="str">
        <f aca="false">IF(A1793="","",IF(AND(I1793="Sí",J1793="Sí"),"Sí","No"))</f>
        <v/>
      </c>
    </row>
    <row r="1794" customFormat="false" ht="15" hidden="false" customHeight="false" outlineLevel="0" collapsed="false">
      <c r="A1794" s="22"/>
      <c r="B1794" s="22"/>
      <c r="C1794" s="26" t="str">
        <f aca="false">IF(A1794="","",IFERROR(buscarx(A1794&amp;B1794,DATA!$E$3:$E$10000&amp;DATA!$B$3:$B$10000,DATA!$M$3:$M$10000),"No encontrado"))</f>
        <v/>
      </c>
      <c r="D1794" s="27" t="str">
        <f aca="false">IF(A1794="","",IFERROR(buscarx(A1794&amp;B1794,DATA!$E$3:$E$10000&amp;DATA!$B$3:$B$10000,DATA!$W$3:$W$10000),"No encontrado"))</f>
        <v/>
      </c>
      <c r="E1794" s="22"/>
      <c r="F1794" s="26" t="str">
        <f aca="false">IF(A1794="","",IFERROR(buscarx(A1794&amp;E1794,DATA!$E$3:$E$10000&amp;DATA!$B$3:$B$10000,DATA!$M$3:$M$10000),"Inactivo"))</f>
        <v/>
      </c>
      <c r="G1794" s="28" t="str">
        <f aca="false">IF(A1794="","",IF(AND(C1794&lt;&gt;"No encontrado",F1794&lt;&gt;"Inactivo"),C1794&amp;" → "&amp;F1794,"Sin transición"))</f>
        <v/>
      </c>
      <c r="H1794" s="26" t="str">
        <f aca="false">IF(A1794="","",IF(D1794="GCIA LINEA SERVICIO DIGITALIDAD Y VENTAS","Chats",IF(OR(D1794="GERENCIA INBOUND LÍNEAS SERVICIO Y VENTA",D1794="GERENCIA INBOUND LINEAS ESPECIALIZADAS"),"Llamadas","Otro")))</f>
        <v/>
      </c>
      <c r="I1794" s="26" t="str">
        <f aca="false">IF(A1794="","",IF(C1794="No encontrado","No","Sí"))</f>
        <v/>
      </c>
      <c r="J1794" s="26" t="str">
        <f aca="false">IF(A1794="","",IF(F1794="Inactivo","No","Sí"))</f>
        <v/>
      </c>
      <c r="K1794" s="26" t="str">
        <f aca="false">IF(A1794="","",IF(AND(I1794="Sí",J1794="Sí"),"Sí","No"))</f>
        <v/>
      </c>
    </row>
    <row r="1795" customFormat="false" ht="15" hidden="false" customHeight="false" outlineLevel="0" collapsed="false">
      <c r="A1795" s="22"/>
      <c r="B1795" s="22"/>
      <c r="C1795" s="23" t="str">
        <f aca="false">IF(A1795="","",IFERROR(buscarx(A1795&amp;B1795,DATA!$E$3:$E$10000&amp;DATA!$B$3:$B$10000,DATA!$M$3:$M$10000),"No encontrado"))</f>
        <v/>
      </c>
      <c r="D1795" s="24" t="str">
        <f aca="false">IF(A1795="","",IFERROR(buscarx(A1795&amp;B1795,DATA!$E$3:$E$10000&amp;DATA!$B$3:$B$10000,DATA!$W$3:$W$10000),"No encontrado"))</f>
        <v/>
      </c>
      <c r="E1795" s="22"/>
      <c r="F1795" s="23" t="str">
        <f aca="false">IF(A1795="","",IFERROR(buscarx(A1795&amp;E1795,DATA!$E$3:$E$10000&amp;DATA!$B$3:$B$10000,DATA!$M$3:$M$10000),"Inactivo"))</f>
        <v/>
      </c>
      <c r="G1795" s="25" t="str">
        <f aca="false">IF(A1795="","",IF(AND(C1795&lt;&gt;"No encontrado",F1795&lt;&gt;"Inactivo"),C1795&amp;" → "&amp;F1795,"Sin transición"))</f>
        <v/>
      </c>
      <c r="H1795" s="23" t="str">
        <f aca="false">IF(A1795="","",IF(D1795="GCIA LINEA SERVICIO DIGITALIDAD Y VENTAS","Chats",IF(OR(D1795="GERENCIA INBOUND LÍNEAS SERVICIO Y VENTA",D1795="GERENCIA INBOUND LINEAS ESPECIALIZADAS"),"Llamadas","Otro")))</f>
        <v/>
      </c>
      <c r="I1795" s="23" t="str">
        <f aca="false">IF(A1795="","",IF(C1795="No encontrado","No","Sí"))</f>
        <v/>
      </c>
      <c r="J1795" s="23" t="str">
        <f aca="false">IF(A1795="","",IF(F1795="Inactivo","No","Sí"))</f>
        <v/>
      </c>
      <c r="K1795" s="23" t="str">
        <f aca="false">IF(A1795="","",IF(AND(I1795="Sí",J1795="Sí"),"Sí","No"))</f>
        <v/>
      </c>
    </row>
    <row r="1796" customFormat="false" ht="15" hidden="false" customHeight="false" outlineLevel="0" collapsed="false">
      <c r="A1796" s="22"/>
      <c r="B1796" s="22"/>
      <c r="C1796" s="26" t="str">
        <f aca="false">IF(A1796="","",IFERROR(buscarx(A1796&amp;B1796,DATA!$E$3:$E$10000&amp;DATA!$B$3:$B$10000,DATA!$M$3:$M$10000),"No encontrado"))</f>
        <v/>
      </c>
      <c r="D1796" s="27" t="str">
        <f aca="false">IF(A1796="","",IFERROR(buscarx(A1796&amp;B1796,DATA!$E$3:$E$10000&amp;DATA!$B$3:$B$10000,DATA!$W$3:$W$10000),"No encontrado"))</f>
        <v/>
      </c>
      <c r="E1796" s="22"/>
      <c r="F1796" s="26" t="str">
        <f aca="false">IF(A1796="","",IFERROR(buscarx(A1796&amp;E1796,DATA!$E$3:$E$10000&amp;DATA!$B$3:$B$10000,DATA!$M$3:$M$10000),"Inactivo"))</f>
        <v/>
      </c>
      <c r="G1796" s="28" t="str">
        <f aca="false">IF(A1796="","",IF(AND(C1796&lt;&gt;"No encontrado",F1796&lt;&gt;"Inactivo"),C1796&amp;" → "&amp;F1796,"Sin transición"))</f>
        <v/>
      </c>
      <c r="H1796" s="26" t="str">
        <f aca="false">IF(A1796="","",IF(D1796="GCIA LINEA SERVICIO DIGITALIDAD Y VENTAS","Chats",IF(OR(D1796="GERENCIA INBOUND LÍNEAS SERVICIO Y VENTA",D1796="GERENCIA INBOUND LINEAS ESPECIALIZADAS"),"Llamadas","Otro")))</f>
        <v/>
      </c>
      <c r="I1796" s="26" t="str">
        <f aca="false">IF(A1796="","",IF(C1796="No encontrado","No","Sí"))</f>
        <v/>
      </c>
      <c r="J1796" s="26" t="str">
        <f aca="false">IF(A1796="","",IF(F1796="Inactivo","No","Sí"))</f>
        <v/>
      </c>
      <c r="K1796" s="26" t="str">
        <f aca="false">IF(A1796="","",IF(AND(I1796="Sí",J1796="Sí"),"Sí","No"))</f>
        <v/>
      </c>
    </row>
    <row r="1797" customFormat="false" ht="15" hidden="false" customHeight="false" outlineLevel="0" collapsed="false">
      <c r="A1797" s="22"/>
      <c r="B1797" s="22"/>
      <c r="C1797" s="23" t="str">
        <f aca="false">IF(A1797="","",IFERROR(buscarx(A1797&amp;B1797,DATA!$E$3:$E$10000&amp;DATA!$B$3:$B$10000,DATA!$M$3:$M$10000),"No encontrado"))</f>
        <v/>
      </c>
      <c r="D1797" s="24" t="str">
        <f aca="false">IF(A1797="","",IFERROR(buscarx(A1797&amp;B1797,DATA!$E$3:$E$10000&amp;DATA!$B$3:$B$10000,DATA!$W$3:$W$10000),"No encontrado"))</f>
        <v/>
      </c>
      <c r="E1797" s="22"/>
      <c r="F1797" s="23" t="str">
        <f aca="false">IF(A1797="","",IFERROR(buscarx(A1797&amp;E1797,DATA!$E$3:$E$10000&amp;DATA!$B$3:$B$10000,DATA!$M$3:$M$10000),"Inactivo"))</f>
        <v/>
      </c>
      <c r="G1797" s="25" t="str">
        <f aca="false">IF(A1797="","",IF(AND(C1797&lt;&gt;"No encontrado",F1797&lt;&gt;"Inactivo"),C1797&amp;" → "&amp;F1797,"Sin transición"))</f>
        <v/>
      </c>
      <c r="H1797" s="23" t="str">
        <f aca="false">IF(A1797="","",IF(D1797="GCIA LINEA SERVICIO DIGITALIDAD Y VENTAS","Chats",IF(OR(D1797="GERENCIA INBOUND LÍNEAS SERVICIO Y VENTA",D1797="GERENCIA INBOUND LINEAS ESPECIALIZADAS"),"Llamadas","Otro")))</f>
        <v/>
      </c>
      <c r="I1797" s="23" t="str">
        <f aca="false">IF(A1797="","",IF(C1797="No encontrado","No","Sí"))</f>
        <v/>
      </c>
      <c r="J1797" s="23" t="str">
        <f aca="false">IF(A1797="","",IF(F1797="Inactivo","No","Sí"))</f>
        <v/>
      </c>
      <c r="K1797" s="23" t="str">
        <f aca="false">IF(A1797="","",IF(AND(I1797="Sí",J1797="Sí"),"Sí","No"))</f>
        <v/>
      </c>
    </row>
    <row r="1798" customFormat="false" ht="15" hidden="false" customHeight="false" outlineLevel="0" collapsed="false">
      <c r="A1798" s="22"/>
      <c r="B1798" s="22"/>
      <c r="C1798" s="26" t="str">
        <f aca="false">IF(A1798="","",IFERROR(buscarx(A1798&amp;B1798,DATA!$E$3:$E$10000&amp;DATA!$B$3:$B$10000,DATA!$M$3:$M$10000),"No encontrado"))</f>
        <v/>
      </c>
      <c r="D1798" s="27" t="str">
        <f aca="false">IF(A1798="","",IFERROR(buscarx(A1798&amp;B1798,DATA!$E$3:$E$10000&amp;DATA!$B$3:$B$10000,DATA!$W$3:$W$10000),"No encontrado"))</f>
        <v/>
      </c>
      <c r="E1798" s="22"/>
      <c r="F1798" s="26" t="str">
        <f aca="false">IF(A1798="","",IFERROR(buscarx(A1798&amp;E1798,DATA!$E$3:$E$10000&amp;DATA!$B$3:$B$10000,DATA!$M$3:$M$10000),"Inactivo"))</f>
        <v/>
      </c>
      <c r="G1798" s="28" t="str">
        <f aca="false">IF(A1798="","",IF(AND(C1798&lt;&gt;"No encontrado",F1798&lt;&gt;"Inactivo"),C1798&amp;" → "&amp;F1798,"Sin transición"))</f>
        <v/>
      </c>
      <c r="H1798" s="26" t="str">
        <f aca="false">IF(A1798="","",IF(D1798="GCIA LINEA SERVICIO DIGITALIDAD Y VENTAS","Chats",IF(OR(D1798="GERENCIA INBOUND LÍNEAS SERVICIO Y VENTA",D1798="GERENCIA INBOUND LINEAS ESPECIALIZADAS"),"Llamadas","Otro")))</f>
        <v/>
      </c>
      <c r="I1798" s="26" t="str">
        <f aca="false">IF(A1798="","",IF(C1798="No encontrado","No","Sí"))</f>
        <v/>
      </c>
      <c r="J1798" s="26" t="str">
        <f aca="false">IF(A1798="","",IF(F1798="Inactivo","No","Sí"))</f>
        <v/>
      </c>
      <c r="K1798" s="26" t="str">
        <f aca="false">IF(A1798="","",IF(AND(I1798="Sí",J1798="Sí"),"Sí","No"))</f>
        <v/>
      </c>
    </row>
    <row r="1799" customFormat="false" ht="15" hidden="false" customHeight="false" outlineLevel="0" collapsed="false">
      <c r="A1799" s="22"/>
      <c r="B1799" s="22"/>
      <c r="C1799" s="23" t="str">
        <f aca="false">IF(A1799="","",IFERROR(buscarx(A1799&amp;B1799,DATA!$E$3:$E$10000&amp;DATA!$B$3:$B$10000,DATA!$M$3:$M$10000),"No encontrado"))</f>
        <v/>
      </c>
      <c r="D1799" s="24" t="str">
        <f aca="false">IF(A1799="","",IFERROR(buscarx(A1799&amp;B1799,DATA!$E$3:$E$10000&amp;DATA!$B$3:$B$10000,DATA!$W$3:$W$10000),"No encontrado"))</f>
        <v/>
      </c>
      <c r="E1799" s="22"/>
      <c r="F1799" s="23" t="str">
        <f aca="false">IF(A1799="","",IFERROR(buscarx(A1799&amp;E1799,DATA!$E$3:$E$10000&amp;DATA!$B$3:$B$10000,DATA!$M$3:$M$10000),"Inactivo"))</f>
        <v/>
      </c>
      <c r="G1799" s="25" t="str">
        <f aca="false">IF(A1799="","",IF(AND(C1799&lt;&gt;"No encontrado",F1799&lt;&gt;"Inactivo"),C1799&amp;" → "&amp;F1799,"Sin transición"))</f>
        <v/>
      </c>
      <c r="H1799" s="23" t="str">
        <f aca="false">IF(A1799="","",IF(D1799="GCIA LINEA SERVICIO DIGITALIDAD Y VENTAS","Chats",IF(OR(D1799="GERENCIA INBOUND LÍNEAS SERVICIO Y VENTA",D1799="GERENCIA INBOUND LINEAS ESPECIALIZADAS"),"Llamadas","Otro")))</f>
        <v/>
      </c>
      <c r="I1799" s="23" t="str">
        <f aca="false">IF(A1799="","",IF(C1799="No encontrado","No","Sí"))</f>
        <v/>
      </c>
      <c r="J1799" s="23" t="str">
        <f aca="false">IF(A1799="","",IF(F1799="Inactivo","No","Sí"))</f>
        <v/>
      </c>
      <c r="K1799" s="23" t="str">
        <f aca="false">IF(A1799="","",IF(AND(I1799="Sí",J1799="Sí"),"Sí","No"))</f>
        <v/>
      </c>
    </row>
    <row r="1800" customFormat="false" ht="15" hidden="false" customHeight="false" outlineLevel="0" collapsed="false">
      <c r="A1800" s="22"/>
      <c r="B1800" s="22"/>
      <c r="C1800" s="26" t="str">
        <f aca="false">IF(A1800="","",IFERROR(buscarx(A1800&amp;B1800,DATA!$E$3:$E$10000&amp;DATA!$B$3:$B$10000,DATA!$M$3:$M$10000),"No encontrado"))</f>
        <v/>
      </c>
      <c r="D1800" s="27" t="str">
        <f aca="false">IF(A1800="","",IFERROR(buscarx(A1800&amp;B1800,DATA!$E$3:$E$10000&amp;DATA!$B$3:$B$10000,DATA!$W$3:$W$10000),"No encontrado"))</f>
        <v/>
      </c>
      <c r="E1800" s="22"/>
      <c r="F1800" s="26" t="str">
        <f aca="false">IF(A1800="","",IFERROR(buscarx(A1800&amp;E1800,DATA!$E$3:$E$10000&amp;DATA!$B$3:$B$10000,DATA!$M$3:$M$10000),"Inactivo"))</f>
        <v/>
      </c>
      <c r="G1800" s="28" t="str">
        <f aca="false">IF(A1800="","",IF(AND(C1800&lt;&gt;"No encontrado",F1800&lt;&gt;"Inactivo"),C1800&amp;" → "&amp;F1800,"Sin transición"))</f>
        <v/>
      </c>
      <c r="H1800" s="26" t="str">
        <f aca="false">IF(A1800="","",IF(D1800="GCIA LINEA SERVICIO DIGITALIDAD Y VENTAS","Chats",IF(OR(D1800="GERENCIA INBOUND LÍNEAS SERVICIO Y VENTA",D1800="GERENCIA INBOUND LINEAS ESPECIALIZADAS"),"Llamadas","Otro")))</f>
        <v/>
      </c>
      <c r="I1800" s="26" t="str">
        <f aca="false">IF(A1800="","",IF(C1800="No encontrado","No","Sí"))</f>
        <v/>
      </c>
      <c r="J1800" s="26" t="str">
        <f aca="false">IF(A1800="","",IF(F1800="Inactivo","No","Sí"))</f>
        <v/>
      </c>
      <c r="K1800" s="26" t="str">
        <f aca="false">IF(A1800="","",IF(AND(I1800="Sí",J1800="Sí"),"Sí","No"))</f>
        <v/>
      </c>
    </row>
    <row r="1801" customFormat="false" ht="15" hidden="false" customHeight="false" outlineLevel="0" collapsed="false">
      <c r="A1801" s="22"/>
      <c r="B1801" s="22"/>
      <c r="C1801" s="23" t="str">
        <f aca="false">IF(A1801="","",IFERROR(buscarx(A1801&amp;B1801,DATA!$E$3:$E$10000&amp;DATA!$B$3:$B$10000,DATA!$M$3:$M$10000),"No encontrado"))</f>
        <v/>
      </c>
      <c r="D1801" s="24" t="str">
        <f aca="false">IF(A1801="","",IFERROR(buscarx(A1801&amp;B1801,DATA!$E$3:$E$10000&amp;DATA!$B$3:$B$10000,DATA!$W$3:$W$10000),"No encontrado"))</f>
        <v/>
      </c>
      <c r="E1801" s="22"/>
      <c r="F1801" s="23" t="str">
        <f aca="false">IF(A1801="","",IFERROR(buscarx(A1801&amp;E1801,DATA!$E$3:$E$10000&amp;DATA!$B$3:$B$10000,DATA!$M$3:$M$10000),"Inactivo"))</f>
        <v/>
      </c>
      <c r="G1801" s="25" t="str">
        <f aca="false">IF(A1801="","",IF(AND(C1801&lt;&gt;"No encontrado",F1801&lt;&gt;"Inactivo"),C1801&amp;" → "&amp;F1801,"Sin transición"))</f>
        <v/>
      </c>
      <c r="H1801" s="23" t="str">
        <f aca="false">IF(A1801="","",IF(D1801="GCIA LINEA SERVICIO DIGITALIDAD Y VENTAS","Chats",IF(OR(D1801="GERENCIA INBOUND LÍNEAS SERVICIO Y VENTA",D1801="GERENCIA INBOUND LINEAS ESPECIALIZADAS"),"Llamadas","Otro")))</f>
        <v/>
      </c>
      <c r="I1801" s="23" t="str">
        <f aca="false">IF(A1801="","",IF(C1801="No encontrado","No","Sí"))</f>
        <v/>
      </c>
      <c r="J1801" s="23" t="str">
        <f aca="false">IF(A1801="","",IF(F1801="Inactivo","No","Sí"))</f>
        <v/>
      </c>
      <c r="K1801" s="23" t="str">
        <f aca="false">IF(A1801="","",IF(AND(I1801="Sí",J1801="Sí"),"Sí","No"))</f>
        <v/>
      </c>
    </row>
    <row r="1802" customFormat="false" ht="15" hidden="false" customHeight="false" outlineLevel="0" collapsed="false">
      <c r="A1802" s="22"/>
      <c r="B1802" s="22"/>
      <c r="C1802" s="26" t="str">
        <f aca="false">IF(A1802="","",IFERROR(buscarx(A1802&amp;B1802,DATA!$E$3:$E$10000&amp;DATA!$B$3:$B$10000,DATA!$M$3:$M$10000),"No encontrado"))</f>
        <v/>
      </c>
      <c r="D1802" s="27" t="str">
        <f aca="false">IF(A1802="","",IFERROR(buscarx(A1802&amp;B1802,DATA!$E$3:$E$10000&amp;DATA!$B$3:$B$10000,DATA!$W$3:$W$10000),"No encontrado"))</f>
        <v/>
      </c>
      <c r="E1802" s="22"/>
      <c r="F1802" s="26" t="str">
        <f aca="false">IF(A1802="","",IFERROR(buscarx(A1802&amp;E1802,DATA!$E$3:$E$10000&amp;DATA!$B$3:$B$10000,DATA!$M$3:$M$10000),"Inactivo"))</f>
        <v/>
      </c>
      <c r="G1802" s="28" t="str">
        <f aca="false">IF(A1802="","",IF(AND(C1802&lt;&gt;"No encontrado",F1802&lt;&gt;"Inactivo"),C1802&amp;" → "&amp;F1802,"Sin transición"))</f>
        <v/>
      </c>
      <c r="H1802" s="26" t="str">
        <f aca="false">IF(A1802="","",IF(D1802="GCIA LINEA SERVICIO DIGITALIDAD Y VENTAS","Chats",IF(OR(D1802="GERENCIA INBOUND LÍNEAS SERVICIO Y VENTA",D1802="GERENCIA INBOUND LINEAS ESPECIALIZADAS"),"Llamadas","Otro")))</f>
        <v/>
      </c>
      <c r="I1802" s="26" t="str">
        <f aca="false">IF(A1802="","",IF(C1802="No encontrado","No","Sí"))</f>
        <v/>
      </c>
      <c r="J1802" s="26" t="str">
        <f aca="false">IF(A1802="","",IF(F1802="Inactivo","No","Sí"))</f>
        <v/>
      </c>
      <c r="K1802" s="26" t="str">
        <f aca="false">IF(A1802="","",IF(AND(I1802="Sí",J1802="Sí"),"Sí","No"))</f>
        <v/>
      </c>
    </row>
    <row r="1803" customFormat="false" ht="15" hidden="false" customHeight="false" outlineLevel="0" collapsed="false">
      <c r="A1803" s="22"/>
      <c r="B1803" s="22"/>
      <c r="C1803" s="23" t="str">
        <f aca="false">IF(A1803="","",IFERROR(buscarx(A1803&amp;B1803,DATA!$E$3:$E$10000&amp;DATA!$B$3:$B$10000,DATA!$M$3:$M$10000),"No encontrado"))</f>
        <v/>
      </c>
      <c r="D1803" s="24" t="str">
        <f aca="false">IF(A1803="","",IFERROR(buscarx(A1803&amp;B1803,DATA!$E$3:$E$10000&amp;DATA!$B$3:$B$10000,DATA!$W$3:$W$10000),"No encontrado"))</f>
        <v/>
      </c>
      <c r="E1803" s="22"/>
      <c r="F1803" s="23" t="str">
        <f aca="false">IF(A1803="","",IFERROR(buscarx(A1803&amp;E1803,DATA!$E$3:$E$10000&amp;DATA!$B$3:$B$10000,DATA!$M$3:$M$10000),"Inactivo"))</f>
        <v/>
      </c>
      <c r="G1803" s="25" t="str">
        <f aca="false">IF(A1803="","",IF(AND(C1803&lt;&gt;"No encontrado",F1803&lt;&gt;"Inactivo"),C1803&amp;" → "&amp;F1803,"Sin transición"))</f>
        <v/>
      </c>
      <c r="H1803" s="23" t="str">
        <f aca="false">IF(A1803="","",IF(D1803="GCIA LINEA SERVICIO DIGITALIDAD Y VENTAS","Chats",IF(OR(D1803="GERENCIA INBOUND LÍNEAS SERVICIO Y VENTA",D1803="GERENCIA INBOUND LINEAS ESPECIALIZADAS"),"Llamadas","Otro")))</f>
        <v/>
      </c>
      <c r="I1803" s="23" t="str">
        <f aca="false">IF(A1803="","",IF(C1803="No encontrado","No","Sí"))</f>
        <v/>
      </c>
      <c r="J1803" s="23" t="str">
        <f aca="false">IF(A1803="","",IF(F1803="Inactivo","No","Sí"))</f>
        <v/>
      </c>
      <c r="K1803" s="23" t="str">
        <f aca="false">IF(A1803="","",IF(AND(I1803="Sí",J1803="Sí"),"Sí","No"))</f>
        <v/>
      </c>
    </row>
    <row r="1804" customFormat="false" ht="15" hidden="false" customHeight="false" outlineLevel="0" collapsed="false">
      <c r="A1804" s="22"/>
      <c r="B1804" s="22"/>
      <c r="C1804" s="26" t="str">
        <f aca="false">IF(A1804="","",IFERROR(buscarx(A1804&amp;B1804,DATA!$E$3:$E$10000&amp;DATA!$B$3:$B$10000,DATA!$M$3:$M$10000),"No encontrado"))</f>
        <v/>
      </c>
      <c r="D1804" s="27" t="str">
        <f aca="false">IF(A1804="","",IFERROR(buscarx(A1804&amp;B1804,DATA!$E$3:$E$10000&amp;DATA!$B$3:$B$10000,DATA!$W$3:$W$10000),"No encontrado"))</f>
        <v/>
      </c>
      <c r="E1804" s="22"/>
      <c r="F1804" s="26" t="str">
        <f aca="false">IF(A1804="","",IFERROR(buscarx(A1804&amp;E1804,DATA!$E$3:$E$10000&amp;DATA!$B$3:$B$10000,DATA!$M$3:$M$10000),"Inactivo"))</f>
        <v/>
      </c>
      <c r="G1804" s="28" t="str">
        <f aca="false">IF(A1804="","",IF(AND(C1804&lt;&gt;"No encontrado",F1804&lt;&gt;"Inactivo"),C1804&amp;" → "&amp;F1804,"Sin transición"))</f>
        <v/>
      </c>
      <c r="H1804" s="26" t="str">
        <f aca="false">IF(A1804="","",IF(D1804="GCIA LINEA SERVICIO DIGITALIDAD Y VENTAS","Chats",IF(OR(D1804="GERENCIA INBOUND LÍNEAS SERVICIO Y VENTA",D1804="GERENCIA INBOUND LINEAS ESPECIALIZADAS"),"Llamadas","Otro")))</f>
        <v/>
      </c>
      <c r="I1804" s="26" t="str">
        <f aca="false">IF(A1804="","",IF(C1804="No encontrado","No","Sí"))</f>
        <v/>
      </c>
      <c r="J1804" s="26" t="str">
        <f aca="false">IF(A1804="","",IF(F1804="Inactivo","No","Sí"))</f>
        <v/>
      </c>
      <c r="K1804" s="26" t="str">
        <f aca="false">IF(A1804="","",IF(AND(I1804="Sí",J1804="Sí"),"Sí","No"))</f>
        <v/>
      </c>
    </row>
    <row r="1805" customFormat="false" ht="15" hidden="false" customHeight="false" outlineLevel="0" collapsed="false">
      <c r="A1805" s="22"/>
      <c r="B1805" s="22"/>
      <c r="C1805" s="23" t="str">
        <f aca="false">IF(A1805="","",IFERROR(buscarx(A1805&amp;B1805,DATA!$E$3:$E$10000&amp;DATA!$B$3:$B$10000,DATA!$M$3:$M$10000),"No encontrado"))</f>
        <v/>
      </c>
      <c r="D1805" s="24" t="str">
        <f aca="false">IF(A1805="","",IFERROR(buscarx(A1805&amp;B1805,DATA!$E$3:$E$10000&amp;DATA!$B$3:$B$10000,DATA!$W$3:$W$10000),"No encontrado"))</f>
        <v/>
      </c>
      <c r="E1805" s="22"/>
      <c r="F1805" s="23" t="str">
        <f aca="false">IF(A1805="","",IFERROR(buscarx(A1805&amp;E1805,DATA!$E$3:$E$10000&amp;DATA!$B$3:$B$10000,DATA!$M$3:$M$10000),"Inactivo"))</f>
        <v/>
      </c>
      <c r="G1805" s="25" t="str">
        <f aca="false">IF(A1805="","",IF(AND(C1805&lt;&gt;"No encontrado",F1805&lt;&gt;"Inactivo"),C1805&amp;" → "&amp;F1805,"Sin transición"))</f>
        <v/>
      </c>
      <c r="H1805" s="23" t="str">
        <f aca="false">IF(A1805="","",IF(D1805="GCIA LINEA SERVICIO DIGITALIDAD Y VENTAS","Chats",IF(OR(D1805="GERENCIA INBOUND LÍNEAS SERVICIO Y VENTA",D1805="GERENCIA INBOUND LINEAS ESPECIALIZADAS"),"Llamadas","Otro")))</f>
        <v/>
      </c>
      <c r="I1805" s="23" t="str">
        <f aca="false">IF(A1805="","",IF(C1805="No encontrado","No","Sí"))</f>
        <v/>
      </c>
      <c r="J1805" s="23" t="str">
        <f aca="false">IF(A1805="","",IF(F1805="Inactivo","No","Sí"))</f>
        <v/>
      </c>
      <c r="K1805" s="23" t="str">
        <f aca="false">IF(A1805="","",IF(AND(I1805="Sí",J1805="Sí"),"Sí","No"))</f>
        <v/>
      </c>
    </row>
    <row r="1806" customFormat="false" ht="15" hidden="false" customHeight="false" outlineLevel="0" collapsed="false">
      <c r="A1806" s="22"/>
      <c r="B1806" s="22"/>
      <c r="C1806" s="26" t="str">
        <f aca="false">IF(A1806="","",IFERROR(buscarx(A1806&amp;B1806,DATA!$E$3:$E$10000&amp;DATA!$B$3:$B$10000,DATA!$M$3:$M$10000),"No encontrado"))</f>
        <v/>
      </c>
      <c r="D1806" s="27" t="str">
        <f aca="false">IF(A1806="","",IFERROR(buscarx(A1806&amp;B1806,DATA!$E$3:$E$10000&amp;DATA!$B$3:$B$10000,DATA!$W$3:$W$10000),"No encontrado"))</f>
        <v/>
      </c>
      <c r="E1806" s="22"/>
      <c r="F1806" s="26" t="str">
        <f aca="false">IF(A1806="","",IFERROR(buscarx(A1806&amp;E1806,DATA!$E$3:$E$10000&amp;DATA!$B$3:$B$10000,DATA!$M$3:$M$10000),"Inactivo"))</f>
        <v/>
      </c>
      <c r="G1806" s="28" t="str">
        <f aca="false">IF(A1806="","",IF(AND(C1806&lt;&gt;"No encontrado",F1806&lt;&gt;"Inactivo"),C1806&amp;" → "&amp;F1806,"Sin transición"))</f>
        <v/>
      </c>
      <c r="H1806" s="26" t="str">
        <f aca="false">IF(A1806="","",IF(D1806="GCIA LINEA SERVICIO DIGITALIDAD Y VENTAS","Chats",IF(OR(D1806="GERENCIA INBOUND LÍNEAS SERVICIO Y VENTA",D1806="GERENCIA INBOUND LINEAS ESPECIALIZADAS"),"Llamadas","Otro")))</f>
        <v/>
      </c>
      <c r="I1806" s="26" t="str">
        <f aca="false">IF(A1806="","",IF(C1806="No encontrado","No","Sí"))</f>
        <v/>
      </c>
      <c r="J1806" s="26" t="str">
        <f aca="false">IF(A1806="","",IF(F1806="Inactivo","No","Sí"))</f>
        <v/>
      </c>
      <c r="K1806" s="26" t="str">
        <f aca="false">IF(A1806="","",IF(AND(I1806="Sí",J1806="Sí"),"Sí","No"))</f>
        <v/>
      </c>
    </row>
    <row r="1807" customFormat="false" ht="15" hidden="false" customHeight="false" outlineLevel="0" collapsed="false">
      <c r="A1807" s="22"/>
      <c r="B1807" s="22"/>
      <c r="C1807" s="23" t="str">
        <f aca="false">IF(A1807="","",IFERROR(buscarx(A1807&amp;B1807,DATA!$E$3:$E$10000&amp;DATA!$B$3:$B$10000,DATA!$M$3:$M$10000),"No encontrado"))</f>
        <v/>
      </c>
      <c r="D1807" s="24" t="str">
        <f aca="false">IF(A1807="","",IFERROR(buscarx(A1807&amp;B1807,DATA!$E$3:$E$10000&amp;DATA!$B$3:$B$10000,DATA!$W$3:$W$10000),"No encontrado"))</f>
        <v/>
      </c>
      <c r="E1807" s="22"/>
      <c r="F1807" s="23" t="str">
        <f aca="false">IF(A1807="","",IFERROR(buscarx(A1807&amp;E1807,DATA!$E$3:$E$10000&amp;DATA!$B$3:$B$10000,DATA!$M$3:$M$10000),"Inactivo"))</f>
        <v/>
      </c>
      <c r="G1807" s="25" t="str">
        <f aca="false">IF(A1807="","",IF(AND(C1807&lt;&gt;"No encontrado",F1807&lt;&gt;"Inactivo"),C1807&amp;" → "&amp;F1807,"Sin transición"))</f>
        <v/>
      </c>
      <c r="H1807" s="23" t="str">
        <f aca="false">IF(A1807="","",IF(D1807="GCIA LINEA SERVICIO DIGITALIDAD Y VENTAS","Chats",IF(OR(D1807="GERENCIA INBOUND LÍNEAS SERVICIO Y VENTA",D1807="GERENCIA INBOUND LINEAS ESPECIALIZADAS"),"Llamadas","Otro")))</f>
        <v/>
      </c>
      <c r="I1807" s="23" t="str">
        <f aca="false">IF(A1807="","",IF(C1807="No encontrado","No","Sí"))</f>
        <v/>
      </c>
      <c r="J1807" s="23" t="str">
        <f aca="false">IF(A1807="","",IF(F1807="Inactivo","No","Sí"))</f>
        <v/>
      </c>
      <c r="K1807" s="23" t="str">
        <f aca="false">IF(A1807="","",IF(AND(I1807="Sí",J1807="Sí"),"Sí","No"))</f>
        <v/>
      </c>
    </row>
    <row r="1808" customFormat="false" ht="15" hidden="false" customHeight="false" outlineLevel="0" collapsed="false">
      <c r="A1808" s="22"/>
      <c r="B1808" s="22"/>
      <c r="C1808" s="26" t="str">
        <f aca="false">IF(A1808="","",IFERROR(buscarx(A1808&amp;B1808,DATA!$E$3:$E$10000&amp;DATA!$B$3:$B$10000,DATA!$M$3:$M$10000),"No encontrado"))</f>
        <v/>
      </c>
      <c r="D1808" s="27" t="str">
        <f aca="false">IF(A1808="","",IFERROR(buscarx(A1808&amp;B1808,DATA!$E$3:$E$10000&amp;DATA!$B$3:$B$10000,DATA!$W$3:$W$10000),"No encontrado"))</f>
        <v/>
      </c>
      <c r="E1808" s="22"/>
      <c r="F1808" s="26" t="str">
        <f aca="false">IF(A1808="","",IFERROR(buscarx(A1808&amp;E1808,DATA!$E$3:$E$10000&amp;DATA!$B$3:$B$10000,DATA!$M$3:$M$10000),"Inactivo"))</f>
        <v/>
      </c>
      <c r="G1808" s="28" t="str">
        <f aca="false">IF(A1808="","",IF(AND(C1808&lt;&gt;"No encontrado",F1808&lt;&gt;"Inactivo"),C1808&amp;" → "&amp;F1808,"Sin transición"))</f>
        <v/>
      </c>
      <c r="H1808" s="26" t="str">
        <f aca="false">IF(A1808="","",IF(D1808="GCIA LINEA SERVICIO DIGITALIDAD Y VENTAS","Chats",IF(OR(D1808="GERENCIA INBOUND LÍNEAS SERVICIO Y VENTA",D1808="GERENCIA INBOUND LINEAS ESPECIALIZADAS"),"Llamadas","Otro")))</f>
        <v/>
      </c>
      <c r="I1808" s="26" t="str">
        <f aca="false">IF(A1808="","",IF(C1808="No encontrado","No","Sí"))</f>
        <v/>
      </c>
      <c r="J1808" s="26" t="str">
        <f aca="false">IF(A1808="","",IF(F1808="Inactivo","No","Sí"))</f>
        <v/>
      </c>
      <c r="K1808" s="26" t="str">
        <f aca="false">IF(A1808="","",IF(AND(I1808="Sí",J1808="Sí"),"Sí","No"))</f>
        <v/>
      </c>
    </row>
    <row r="1809" customFormat="false" ht="15" hidden="false" customHeight="false" outlineLevel="0" collapsed="false">
      <c r="A1809" s="22"/>
      <c r="B1809" s="22"/>
      <c r="C1809" s="23" t="str">
        <f aca="false">IF(A1809="","",IFERROR(buscarx(A1809&amp;B1809,DATA!$E$3:$E$10000&amp;DATA!$B$3:$B$10000,DATA!$M$3:$M$10000),"No encontrado"))</f>
        <v/>
      </c>
      <c r="D1809" s="24" t="str">
        <f aca="false">IF(A1809="","",IFERROR(buscarx(A1809&amp;B1809,DATA!$E$3:$E$10000&amp;DATA!$B$3:$B$10000,DATA!$W$3:$W$10000),"No encontrado"))</f>
        <v/>
      </c>
      <c r="E1809" s="22"/>
      <c r="F1809" s="23" t="str">
        <f aca="false">IF(A1809="","",IFERROR(buscarx(A1809&amp;E1809,DATA!$E$3:$E$10000&amp;DATA!$B$3:$B$10000,DATA!$M$3:$M$10000),"Inactivo"))</f>
        <v/>
      </c>
      <c r="G1809" s="25" t="str">
        <f aca="false">IF(A1809="","",IF(AND(C1809&lt;&gt;"No encontrado",F1809&lt;&gt;"Inactivo"),C1809&amp;" → "&amp;F1809,"Sin transición"))</f>
        <v/>
      </c>
      <c r="H1809" s="23" t="str">
        <f aca="false">IF(A1809="","",IF(D1809="GCIA LINEA SERVICIO DIGITALIDAD Y VENTAS","Chats",IF(OR(D1809="GERENCIA INBOUND LÍNEAS SERVICIO Y VENTA",D1809="GERENCIA INBOUND LINEAS ESPECIALIZADAS"),"Llamadas","Otro")))</f>
        <v/>
      </c>
      <c r="I1809" s="23" t="str">
        <f aca="false">IF(A1809="","",IF(C1809="No encontrado","No","Sí"))</f>
        <v/>
      </c>
      <c r="J1809" s="23" t="str">
        <f aca="false">IF(A1809="","",IF(F1809="Inactivo","No","Sí"))</f>
        <v/>
      </c>
      <c r="K1809" s="23" t="str">
        <f aca="false">IF(A1809="","",IF(AND(I1809="Sí",J1809="Sí"),"Sí","No"))</f>
        <v/>
      </c>
    </row>
    <row r="1810" customFormat="false" ht="15" hidden="false" customHeight="false" outlineLevel="0" collapsed="false">
      <c r="A1810" s="22"/>
      <c r="B1810" s="22"/>
      <c r="C1810" s="26" t="str">
        <f aca="false">IF(A1810="","",IFERROR(buscarx(A1810&amp;B1810,DATA!$E$3:$E$10000&amp;DATA!$B$3:$B$10000,DATA!$M$3:$M$10000),"No encontrado"))</f>
        <v/>
      </c>
      <c r="D1810" s="27" t="str">
        <f aca="false">IF(A1810="","",IFERROR(buscarx(A1810&amp;B1810,DATA!$E$3:$E$10000&amp;DATA!$B$3:$B$10000,DATA!$W$3:$W$10000),"No encontrado"))</f>
        <v/>
      </c>
      <c r="E1810" s="22"/>
      <c r="F1810" s="26" t="str">
        <f aca="false">IF(A1810="","",IFERROR(buscarx(A1810&amp;E1810,DATA!$E$3:$E$10000&amp;DATA!$B$3:$B$10000,DATA!$M$3:$M$10000),"Inactivo"))</f>
        <v/>
      </c>
      <c r="G1810" s="28" t="str">
        <f aca="false">IF(A1810="","",IF(AND(C1810&lt;&gt;"No encontrado",F1810&lt;&gt;"Inactivo"),C1810&amp;" → "&amp;F1810,"Sin transición"))</f>
        <v/>
      </c>
      <c r="H1810" s="26" t="str">
        <f aca="false">IF(A1810="","",IF(D1810="GCIA LINEA SERVICIO DIGITALIDAD Y VENTAS","Chats",IF(OR(D1810="GERENCIA INBOUND LÍNEAS SERVICIO Y VENTA",D1810="GERENCIA INBOUND LINEAS ESPECIALIZADAS"),"Llamadas","Otro")))</f>
        <v/>
      </c>
      <c r="I1810" s="26" t="str">
        <f aca="false">IF(A1810="","",IF(C1810="No encontrado","No","Sí"))</f>
        <v/>
      </c>
      <c r="J1810" s="26" t="str">
        <f aca="false">IF(A1810="","",IF(F1810="Inactivo","No","Sí"))</f>
        <v/>
      </c>
      <c r="K1810" s="26" t="str">
        <f aca="false">IF(A1810="","",IF(AND(I1810="Sí",J1810="Sí"),"Sí","No"))</f>
        <v/>
      </c>
    </row>
    <row r="1811" customFormat="false" ht="15" hidden="false" customHeight="false" outlineLevel="0" collapsed="false">
      <c r="A1811" s="22"/>
      <c r="B1811" s="22"/>
      <c r="C1811" s="23" t="str">
        <f aca="false">IF(A1811="","",IFERROR(buscarx(A1811&amp;B1811,DATA!$E$3:$E$10000&amp;DATA!$B$3:$B$10000,DATA!$M$3:$M$10000),"No encontrado"))</f>
        <v/>
      </c>
      <c r="D1811" s="24" t="str">
        <f aca="false">IF(A1811="","",IFERROR(buscarx(A1811&amp;B1811,DATA!$E$3:$E$10000&amp;DATA!$B$3:$B$10000,DATA!$W$3:$W$10000),"No encontrado"))</f>
        <v/>
      </c>
      <c r="E1811" s="22"/>
      <c r="F1811" s="23" t="str">
        <f aca="false">IF(A1811="","",IFERROR(buscarx(A1811&amp;E1811,DATA!$E$3:$E$10000&amp;DATA!$B$3:$B$10000,DATA!$M$3:$M$10000),"Inactivo"))</f>
        <v/>
      </c>
      <c r="G1811" s="25" t="str">
        <f aca="false">IF(A1811="","",IF(AND(C1811&lt;&gt;"No encontrado",F1811&lt;&gt;"Inactivo"),C1811&amp;" → "&amp;F1811,"Sin transición"))</f>
        <v/>
      </c>
      <c r="H1811" s="23" t="str">
        <f aca="false">IF(A1811="","",IF(D1811="GCIA LINEA SERVICIO DIGITALIDAD Y VENTAS","Chats",IF(OR(D1811="GERENCIA INBOUND LÍNEAS SERVICIO Y VENTA",D1811="GERENCIA INBOUND LINEAS ESPECIALIZADAS"),"Llamadas","Otro")))</f>
        <v/>
      </c>
      <c r="I1811" s="23" t="str">
        <f aca="false">IF(A1811="","",IF(C1811="No encontrado","No","Sí"))</f>
        <v/>
      </c>
      <c r="J1811" s="23" t="str">
        <f aca="false">IF(A1811="","",IF(F1811="Inactivo","No","Sí"))</f>
        <v/>
      </c>
      <c r="K1811" s="23" t="str">
        <f aca="false">IF(A1811="","",IF(AND(I1811="Sí",J1811="Sí"),"Sí","No"))</f>
        <v/>
      </c>
    </row>
    <row r="1812" customFormat="false" ht="15" hidden="false" customHeight="false" outlineLevel="0" collapsed="false">
      <c r="A1812" s="22"/>
      <c r="B1812" s="22"/>
      <c r="C1812" s="26" t="str">
        <f aca="false">IF(A1812="","",IFERROR(buscarx(A1812&amp;B1812,DATA!$E$3:$E$10000&amp;DATA!$B$3:$B$10000,DATA!$M$3:$M$10000),"No encontrado"))</f>
        <v/>
      </c>
      <c r="D1812" s="27" t="str">
        <f aca="false">IF(A1812="","",IFERROR(buscarx(A1812&amp;B1812,DATA!$E$3:$E$10000&amp;DATA!$B$3:$B$10000,DATA!$W$3:$W$10000),"No encontrado"))</f>
        <v/>
      </c>
      <c r="E1812" s="22"/>
      <c r="F1812" s="26" t="str">
        <f aca="false">IF(A1812="","",IFERROR(buscarx(A1812&amp;E1812,DATA!$E$3:$E$10000&amp;DATA!$B$3:$B$10000,DATA!$M$3:$M$10000),"Inactivo"))</f>
        <v/>
      </c>
      <c r="G1812" s="28" t="str">
        <f aca="false">IF(A1812="","",IF(AND(C1812&lt;&gt;"No encontrado",F1812&lt;&gt;"Inactivo"),C1812&amp;" → "&amp;F1812,"Sin transición"))</f>
        <v/>
      </c>
      <c r="H1812" s="26" t="str">
        <f aca="false">IF(A1812="","",IF(D1812="GCIA LINEA SERVICIO DIGITALIDAD Y VENTAS","Chats",IF(OR(D1812="GERENCIA INBOUND LÍNEAS SERVICIO Y VENTA",D1812="GERENCIA INBOUND LINEAS ESPECIALIZADAS"),"Llamadas","Otro")))</f>
        <v/>
      </c>
      <c r="I1812" s="26" t="str">
        <f aca="false">IF(A1812="","",IF(C1812="No encontrado","No","Sí"))</f>
        <v/>
      </c>
      <c r="J1812" s="26" t="str">
        <f aca="false">IF(A1812="","",IF(F1812="Inactivo","No","Sí"))</f>
        <v/>
      </c>
      <c r="K1812" s="26" t="str">
        <f aca="false">IF(A1812="","",IF(AND(I1812="Sí",J1812="Sí"),"Sí","No"))</f>
        <v/>
      </c>
    </row>
    <row r="1813" customFormat="false" ht="15" hidden="false" customHeight="false" outlineLevel="0" collapsed="false">
      <c r="A1813" s="22"/>
      <c r="B1813" s="22"/>
      <c r="C1813" s="23" t="str">
        <f aca="false">IF(A1813="","",IFERROR(buscarx(A1813&amp;B1813,DATA!$E$3:$E$10000&amp;DATA!$B$3:$B$10000,DATA!$M$3:$M$10000),"No encontrado"))</f>
        <v/>
      </c>
      <c r="D1813" s="24" t="str">
        <f aca="false">IF(A1813="","",IFERROR(buscarx(A1813&amp;B1813,DATA!$E$3:$E$10000&amp;DATA!$B$3:$B$10000,DATA!$W$3:$W$10000),"No encontrado"))</f>
        <v/>
      </c>
      <c r="E1813" s="22"/>
      <c r="F1813" s="23" t="str">
        <f aca="false">IF(A1813="","",IFERROR(buscarx(A1813&amp;E1813,DATA!$E$3:$E$10000&amp;DATA!$B$3:$B$10000,DATA!$M$3:$M$10000),"Inactivo"))</f>
        <v/>
      </c>
      <c r="G1813" s="25" t="str">
        <f aca="false">IF(A1813="","",IF(AND(C1813&lt;&gt;"No encontrado",F1813&lt;&gt;"Inactivo"),C1813&amp;" → "&amp;F1813,"Sin transición"))</f>
        <v/>
      </c>
      <c r="H1813" s="23" t="str">
        <f aca="false">IF(A1813="","",IF(D1813="GCIA LINEA SERVICIO DIGITALIDAD Y VENTAS","Chats",IF(OR(D1813="GERENCIA INBOUND LÍNEAS SERVICIO Y VENTA",D1813="GERENCIA INBOUND LINEAS ESPECIALIZADAS"),"Llamadas","Otro")))</f>
        <v/>
      </c>
      <c r="I1813" s="23" t="str">
        <f aca="false">IF(A1813="","",IF(C1813="No encontrado","No","Sí"))</f>
        <v/>
      </c>
      <c r="J1813" s="23" t="str">
        <f aca="false">IF(A1813="","",IF(F1813="Inactivo","No","Sí"))</f>
        <v/>
      </c>
      <c r="K1813" s="23" t="str">
        <f aca="false">IF(A1813="","",IF(AND(I1813="Sí",J1813="Sí"),"Sí","No"))</f>
        <v/>
      </c>
    </row>
    <row r="1814" customFormat="false" ht="15" hidden="false" customHeight="false" outlineLevel="0" collapsed="false">
      <c r="A1814" s="22"/>
      <c r="B1814" s="22"/>
      <c r="C1814" s="26" t="str">
        <f aca="false">IF(A1814="","",IFERROR(buscarx(A1814&amp;B1814,DATA!$E$3:$E$10000&amp;DATA!$B$3:$B$10000,DATA!$M$3:$M$10000),"No encontrado"))</f>
        <v/>
      </c>
      <c r="D1814" s="27" t="str">
        <f aca="false">IF(A1814="","",IFERROR(buscarx(A1814&amp;B1814,DATA!$E$3:$E$10000&amp;DATA!$B$3:$B$10000,DATA!$W$3:$W$10000),"No encontrado"))</f>
        <v/>
      </c>
      <c r="E1814" s="22"/>
      <c r="F1814" s="26" t="str">
        <f aca="false">IF(A1814="","",IFERROR(buscarx(A1814&amp;E1814,DATA!$E$3:$E$10000&amp;DATA!$B$3:$B$10000,DATA!$M$3:$M$10000),"Inactivo"))</f>
        <v/>
      </c>
      <c r="G1814" s="28" t="str">
        <f aca="false">IF(A1814="","",IF(AND(C1814&lt;&gt;"No encontrado",F1814&lt;&gt;"Inactivo"),C1814&amp;" → "&amp;F1814,"Sin transición"))</f>
        <v/>
      </c>
      <c r="H1814" s="26" t="str">
        <f aca="false">IF(A1814="","",IF(D1814="GCIA LINEA SERVICIO DIGITALIDAD Y VENTAS","Chats",IF(OR(D1814="GERENCIA INBOUND LÍNEAS SERVICIO Y VENTA",D1814="GERENCIA INBOUND LINEAS ESPECIALIZADAS"),"Llamadas","Otro")))</f>
        <v/>
      </c>
      <c r="I1814" s="26" t="str">
        <f aca="false">IF(A1814="","",IF(C1814="No encontrado","No","Sí"))</f>
        <v/>
      </c>
      <c r="J1814" s="26" t="str">
        <f aca="false">IF(A1814="","",IF(F1814="Inactivo","No","Sí"))</f>
        <v/>
      </c>
      <c r="K1814" s="26" t="str">
        <f aca="false">IF(A1814="","",IF(AND(I1814="Sí",J1814="Sí"),"Sí","No"))</f>
        <v/>
      </c>
    </row>
    <row r="1815" customFormat="false" ht="15" hidden="false" customHeight="false" outlineLevel="0" collapsed="false">
      <c r="A1815" s="22"/>
      <c r="B1815" s="22"/>
      <c r="C1815" s="23" t="str">
        <f aca="false">IF(A1815="","",IFERROR(buscarx(A1815&amp;B1815,DATA!$E$3:$E$10000&amp;DATA!$B$3:$B$10000,DATA!$M$3:$M$10000),"No encontrado"))</f>
        <v/>
      </c>
      <c r="D1815" s="24" t="str">
        <f aca="false">IF(A1815="","",IFERROR(buscarx(A1815&amp;B1815,DATA!$E$3:$E$10000&amp;DATA!$B$3:$B$10000,DATA!$W$3:$W$10000),"No encontrado"))</f>
        <v/>
      </c>
      <c r="E1815" s="22"/>
      <c r="F1815" s="23" t="str">
        <f aca="false">IF(A1815="","",IFERROR(buscarx(A1815&amp;E1815,DATA!$E$3:$E$10000&amp;DATA!$B$3:$B$10000,DATA!$M$3:$M$10000),"Inactivo"))</f>
        <v/>
      </c>
      <c r="G1815" s="25" t="str">
        <f aca="false">IF(A1815="","",IF(AND(C1815&lt;&gt;"No encontrado",F1815&lt;&gt;"Inactivo"),C1815&amp;" → "&amp;F1815,"Sin transición"))</f>
        <v/>
      </c>
      <c r="H1815" s="23" t="str">
        <f aca="false">IF(A1815="","",IF(D1815="GCIA LINEA SERVICIO DIGITALIDAD Y VENTAS","Chats",IF(OR(D1815="GERENCIA INBOUND LÍNEAS SERVICIO Y VENTA",D1815="GERENCIA INBOUND LINEAS ESPECIALIZADAS"),"Llamadas","Otro")))</f>
        <v/>
      </c>
      <c r="I1815" s="23" t="str">
        <f aca="false">IF(A1815="","",IF(C1815="No encontrado","No","Sí"))</f>
        <v/>
      </c>
      <c r="J1815" s="23" t="str">
        <f aca="false">IF(A1815="","",IF(F1815="Inactivo","No","Sí"))</f>
        <v/>
      </c>
      <c r="K1815" s="23" t="str">
        <f aca="false">IF(A1815="","",IF(AND(I1815="Sí",J1815="Sí"),"Sí","No"))</f>
        <v/>
      </c>
    </row>
    <row r="1816" customFormat="false" ht="15" hidden="false" customHeight="false" outlineLevel="0" collapsed="false">
      <c r="A1816" s="22"/>
      <c r="B1816" s="22"/>
      <c r="C1816" s="26" t="str">
        <f aca="false">IF(A1816="","",IFERROR(buscarx(A1816&amp;B1816,DATA!$E$3:$E$10000&amp;DATA!$B$3:$B$10000,DATA!$M$3:$M$10000),"No encontrado"))</f>
        <v/>
      </c>
      <c r="D1816" s="27" t="str">
        <f aca="false">IF(A1816="","",IFERROR(buscarx(A1816&amp;B1816,DATA!$E$3:$E$10000&amp;DATA!$B$3:$B$10000,DATA!$W$3:$W$10000),"No encontrado"))</f>
        <v/>
      </c>
      <c r="E1816" s="22"/>
      <c r="F1816" s="26" t="str">
        <f aca="false">IF(A1816="","",IFERROR(buscarx(A1816&amp;E1816,DATA!$E$3:$E$10000&amp;DATA!$B$3:$B$10000,DATA!$M$3:$M$10000),"Inactivo"))</f>
        <v/>
      </c>
      <c r="G1816" s="28" t="str">
        <f aca="false">IF(A1816="","",IF(AND(C1816&lt;&gt;"No encontrado",F1816&lt;&gt;"Inactivo"),C1816&amp;" → "&amp;F1816,"Sin transición"))</f>
        <v/>
      </c>
      <c r="H1816" s="26" t="str">
        <f aca="false">IF(A1816="","",IF(D1816="GCIA LINEA SERVICIO DIGITALIDAD Y VENTAS","Chats",IF(OR(D1816="GERENCIA INBOUND LÍNEAS SERVICIO Y VENTA",D1816="GERENCIA INBOUND LINEAS ESPECIALIZADAS"),"Llamadas","Otro")))</f>
        <v/>
      </c>
      <c r="I1816" s="26" t="str">
        <f aca="false">IF(A1816="","",IF(C1816="No encontrado","No","Sí"))</f>
        <v/>
      </c>
      <c r="J1816" s="26" t="str">
        <f aca="false">IF(A1816="","",IF(F1816="Inactivo","No","Sí"))</f>
        <v/>
      </c>
      <c r="K1816" s="26" t="str">
        <f aca="false">IF(A1816="","",IF(AND(I1816="Sí",J1816="Sí"),"Sí","No"))</f>
        <v/>
      </c>
    </row>
    <row r="1817" customFormat="false" ht="15" hidden="false" customHeight="false" outlineLevel="0" collapsed="false">
      <c r="A1817" s="22"/>
      <c r="B1817" s="22"/>
      <c r="C1817" s="23" t="str">
        <f aca="false">IF(A1817="","",IFERROR(buscarx(A1817&amp;B1817,DATA!$E$3:$E$10000&amp;DATA!$B$3:$B$10000,DATA!$M$3:$M$10000),"No encontrado"))</f>
        <v/>
      </c>
      <c r="D1817" s="24" t="str">
        <f aca="false">IF(A1817="","",IFERROR(buscarx(A1817&amp;B1817,DATA!$E$3:$E$10000&amp;DATA!$B$3:$B$10000,DATA!$W$3:$W$10000),"No encontrado"))</f>
        <v/>
      </c>
      <c r="E1817" s="22"/>
      <c r="F1817" s="23" t="str">
        <f aca="false">IF(A1817="","",IFERROR(buscarx(A1817&amp;E1817,DATA!$E$3:$E$10000&amp;DATA!$B$3:$B$10000,DATA!$M$3:$M$10000),"Inactivo"))</f>
        <v/>
      </c>
      <c r="G1817" s="25" t="str">
        <f aca="false">IF(A1817="","",IF(AND(C1817&lt;&gt;"No encontrado",F1817&lt;&gt;"Inactivo"),C1817&amp;" → "&amp;F1817,"Sin transición"))</f>
        <v/>
      </c>
      <c r="H1817" s="23" t="str">
        <f aca="false">IF(A1817="","",IF(D1817="GCIA LINEA SERVICIO DIGITALIDAD Y VENTAS","Chats",IF(OR(D1817="GERENCIA INBOUND LÍNEAS SERVICIO Y VENTA",D1817="GERENCIA INBOUND LINEAS ESPECIALIZADAS"),"Llamadas","Otro")))</f>
        <v/>
      </c>
      <c r="I1817" s="23" t="str">
        <f aca="false">IF(A1817="","",IF(C1817="No encontrado","No","Sí"))</f>
        <v/>
      </c>
      <c r="J1817" s="23" t="str">
        <f aca="false">IF(A1817="","",IF(F1817="Inactivo","No","Sí"))</f>
        <v/>
      </c>
      <c r="K1817" s="23" t="str">
        <f aca="false">IF(A1817="","",IF(AND(I1817="Sí",J1817="Sí"),"Sí","No"))</f>
        <v/>
      </c>
    </row>
    <row r="1818" customFormat="false" ht="15" hidden="false" customHeight="false" outlineLevel="0" collapsed="false">
      <c r="A1818" s="22"/>
      <c r="B1818" s="22"/>
      <c r="C1818" s="26" t="str">
        <f aca="false">IF(A1818="","",IFERROR(buscarx(A1818&amp;B1818,DATA!$E$3:$E$10000&amp;DATA!$B$3:$B$10000,DATA!$M$3:$M$10000),"No encontrado"))</f>
        <v/>
      </c>
      <c r="D1818" s="27" t="str">
        <f aca="false">IF(A1818="","",IFERROR(buscarx(A1818&amp;B1818,DATA!$E$3:$E$10000&amp;DATA!$B$3:$B$10000,DATA!$W$3:$W$10000),"No encontrado"))</f>
        <v/>
      </c>
      <c r="E1818" s="22"/>
      <c r="F1818" s="26" t="str">
        <f aca="false">IF(A1818="","",IFERROR(buscarx(A1818&amp;E1818,DATA!$E$3:$E$10000&amp;DATA!$B$3:$B$10000,DATA!$M$3:$M$10000),"Inactivo"))</f>
        <v/>
      </c>
      <c r="G1818" s="28" t="str">
        <f aca="false">IF(A1818="","",IF(AND(C1818&lt;&gt;"No encontrado",F1818&lt;&gt;"Inactivo"),C1818&amp;" → "&amp;F1818,"Sin transición"))</f>
        <v/>
      </c>
      <c r="H1818" s="26" t="str">
        <f aca="false">IF(A1818="","",IF(D1818="GCIA LINEA SERVICIO DIGITALIDAD Y VENTAS","Chats",IF(OR(D1818="GERENCIA INBOUND LÍNEAS SERVICIO Y VENTA",D1818="GERENCIA INBOUND LINEAS ESPECIALIZADAS"),"Llamadas","Otro")))</f>
        <v/>
      </c>
      <c r="I1818" s="26" t="str">
        <f aca="false">IF(A1818="","",IF(C1818="No encontrado","No","Sí"))</f>
        <v/>
      </c>
      <c r="J1818" s="26" t="str">
        <f aca="false">IF(A1818="","",IF(F1818="Inactivo","No","Sí"))</f>
        <v/>
      </c>
      <c r="K1818" s="26" t="str">
        <f aca="false">IF(A1818="","",IF(AND(I1818="Sí",J1818="Sí"),"Sí","No"))</f>
        <v/>
      </c>
    </row>
    <row r="1819" customFormat="false" ht="15" hidden="false" customHeight="false" outlineLevel="0" collapsed="false">
      <c r="A1819" s="22"/>
      <c r="B1819" s="22"/>
      <c r="C1819" s="23" t="str">
        <f aca="false">IF(A1819="","",IFERROR(buscarx(A1819&amp;B1819,DATA!$E$3:$E$10000&amp;DATA!$B$3:$B$10000,DATA!$M$3:$M$10000),"No encontrado"))</f>
        <v/>
      </c>
      <c r="D1819" s="24" t="str">
        <f aca="false">IF(A1819="","",IFERROR(buscarx(A1819&amp;B1819,DATA!$E$3:$E$10000&amp;DATA!$B$3:$B$10000,DATA!$W$3:$W$10000),"No encontrado"))</f>
        <v/>
      </c>
      <c r="E1819" s="22"/>
      <c r="F1819" s="23" t="str">
        <f aca="false">IF(A1819="","",IFERROR(buscarx(A1819&amp;E1819,DATA!$E$3:$E$10000&amp;DATA!$B$3:$B$10000,DATA!$M$3:$M$10000),"Inactivo"))</f>
        <v/>
      </c>
      <c r="G1819" s="25" t="str">
        <f aca="false">IF(A1819="","",IF(AND(C1819&lt;&gt;"No encontrado",F1819&lt;&gt;"Inactivo"),C1819&amp;" → "&amp;F1819,"Sin transición"))</f>
        <v/>
      </c>
      <c r="H1819" s="23" t="str">
        <f aca="false">IF(A1819="","",IF(D1819="GCIA LINEA SERVICIO DIGITALIDAD Y VENTAS","Chats",IF(OR(D1819="GERENCIA INBOUND LÍNEAS SERVICIO Y VENTA",D1819="GERENCIA INBOUND LINEAS ESPECIALIZADAS"),"Llamadas","Otro")))</f>
        <v/>
      </c>
      <c r="I1819" s="23" t="str">
        <f aca="false">IF(A1819="","",IF(C1819="No encontrado","No","Sí"))</f>
        <v/>
      </c>
      <c r="J1819" s="23" t="str">
        <f aca="false">IF(A1819="","",IF(F1819="Inactivo","No","Sí"))</f>
        <v/>
      </c>
      <c r="K1819" s="23" t="str">
        <f aca="false">IF(A1819="","",IF(AND(I1819="Sí",J1819="Sí"),"Sí","No"))</f>
        <v/>
      </c>
    </row>
    <row r="1820" customFormat="false" ht="15" hidden="false" customHeight="false" outlineLevel="0" collapsed="false">
      <c r="A1820" s="22"/>
      <c r="B1820" s="22"/>
      <c r="C1820" s="26" t="str">
        <f aca="false">IF(A1820="","",IFERROR(buscarx(A1820&amp;B1820,DATA!$E$3:$E$10000&amp;DATA!$B$3:$B$10000,DATA!$M$3:$M$10000),"No encontrado"))</f>
        <v/>
      </c>
      <c r="D1820" s="27" t="str">
        <f aca="false">IF(A1820="","",IFERROR(buscarx(A1820&amp;B1820,DATA!$E$3:$E$10000&amp;DATA!$B$3:$B$10000,DATA!$W$3:$W$10000),"No encontrado"))</f>
        <v/>
      </c>
      <c r="E1820" s="22"/>
      <c r="F1820" s="26" t="str">
        <f aca="false">IF(A1820="","",IFERROR(buscarx(A1820&amp;E1820,DATA!$E$3:$E$10000&amp;DATA!$B$3:$B$10000,DATA!$M$3:$M$10000),"Inactivo"))</f>
        <v/>
      </c>
      <c r="G1820" s="28" t="str">
        <f aca="false">IF(A1820="","",IF(AND(C1820&lt;&gt;"No encontrado",F1820&lt;&gt;"Inactivo"),C1820&amp;" → "&amp;F1820,"Sin transición"))</f>
        <v/>
      </c>
      <c r="H1820" s="26" t="str">
        <f aca="false">IF(A1820="","",IF(D1820="GCIA LINEA SERVICIO DIGITALIDAD Y VENTAS","Chats",IF(OR(D1820="GERENCIA INBOUND LÍNEAS SERVICIO Y VENTA",D1820="GERENCIA INBOUND LINEAS ESPECIALIZADAS"),"Llamadas","Otro")))</f>
        <v/>
      </c>
      <c r="I1820" s="26" t="str">
        <f aca="false">IF(A1820="","",IF(C1820="No encontrado","No","Sí"))</f>
        <v/>
      </c>
      <c r="J1820" s="26" t="str">
        <f aca="false">IF(A1820="","",IF(F1820="Inactivo","No","Sí"))</f>
        <v/>
      </c>
      <c r="K1820" s="26" t="str">
        <f aca="false">IF(A1820="","",IF(AND(I1820="Sí",J1820="Sí"),"Sí","No"))</f>
        <v/>
      </c>
    </row>
    <row r="1821" customFormat="false" ht="15" hidden="false" customHeight="false" outlineLevel="0" collapsed="false">
      <c r="A1821" s="22"/>
      <c r="B1821" s="22"/>
      <c r="C1821" s="23" t="str">
        <f aca="false">IF(A1821="","",IFERROR(buscarx(A1821&amp;B1821,DATA!$E$3:$E$10000&amp;DATA!$B$3:$B$10000,DATA!$M$3:$M$10000),"No encontrado"))</f>
        <v/>
      </c>
      <c r="D1821" s="24" t="str">
        <f aca="false">IF(A1821="","",IFERROR(buscarx(A1821&amp;B1821,DATA!$E$3:$E$10000&amp;DATA!$B$3:$B$10000,DATA!$W$3:$W$10000),"No encontrado"))</f>
        <v/>
      </c>
      <c r="E1821" s="22"/>
      <c r="F1821" s="23" t="str">
        <f aca="false">IF(A1821="","",IFERROR(buscarx(A1821&amp;E1821,DATA!$E$3:$E$10000&amp;DATA!$B$3:$B$10000,DATA!$M$3:$M$10000),"Inactivo"))</f>
        <v/>
      </c>
      <c r="G1821" s="25" t="str">
        <f aca="false">IF(A1821="","",IF(AND(C1821&lt;&gt;"No encontrado",F1821&lt;&gt;"Inactivo"),C1821&amp;" → "&amp;F1821,"Sin transición"))</f>
        <v/>
      </c>
      <c r="H1821" s="23" t="str">
        <f aca="false">IF(A1821="","",IF(D1821="GCIA LINEA SERVICIO DIGITALIDAD Y VENTAS","Chats",IF(OR(D1821="GERENCIA INBOUND LÍNEAS SERVICIO Y VENTA",D1821="GERENCIA INBOUND LINEAS ESPECIALIZADAS"),"Llamadas","Otro")))</f>
        <v/>
      </c>
      <c r="I1821" s="23" t="str">
        <f aca="false">IF(A1821="","",IF(C1821="No encontrado","No","Sí"))</f>
        <v/>
      </c>
      <c r="J1821" s="23" t="str">
        <f aca="false">IF(A1821="","",IF(F1821="Inactivo","No","Sí"))</f>
        <v/>
      </c>
      <c r="K1821" s="23" t="str">
        <f aca="false">IF(A1821="","",IF(AND(I1821="Sí",J1821="Sí"),"Sí","No"))</f>
        <v/>
      </c>
    </row>
    <row r="1822" customFormat="false" ht="15" hidden="false" customHeight="false" outlineLevel="0" collapsed="false">
      <c r="A1822" s="22"/>
      <c r="B1822" s="22"/>
      <c r="C1822" s="26" t="str">
        <f aca="false">IF(A1822="","",IFERROR(buscarx(A1822&amp;B1822,DATA!$E$3:$E$10000&amp;DATA!$B$3:$B$10000,DATA!$M$3:$M$10000),"No encontrado"))</f>
        <v/>
      </c>
      <c r="D1822" s="27" t="str">
        <f aca="false">IF(A1822="","",IFERROR(buscarx(A1822&amp;B1822,DATA!$E$3:$E$10000&amp;DATA!$B$3:$B$10000,DATA!$W$3:$W$10000),"No encontrado"))</f>
        <v/>
      </c>
      <c r="E1822" s="22"/>
      <c r="F1822" s="26" t="str">
        <f aca="false">IF(A1822="","",IFERROR(buscarx(A1822&amp;E1822,DATA!$E$3:$E$10000&amp;DATA!$B$3:$B$10000,DATA!$M$3:$M$10000),"Inactivo"))</f>
        <v/>
      </c>
      <c r="G1822" s="28" t="str">
        <f aca="false">IF(A1822="","",IF(AND(C1822&lt;&gt;"No encontrado",F1822&lt;&gt;"Inactivo"),C1822&amp;" → "&amp;F1822,"Sin transición"))</f>
        <v/>
      </c>
      <c r="H1822" s="26" t="str">
        <f aca="false">IF(A1822="","",IF(D1822="GCIA LINEA SERVICIO DIGITALIDAD Y VENTAS","Chats",IF(OR(D1822="GERENCIA INBOUND LÍNEAS SERVICIO Y VENTA",D1822="GERENCIA INBOUND LINEAS ESPECIALIZADAS"),"Llamadas","Otro")))</f>
        <v/>
      </c>
      <c r="I1822" s="26" t="str">
        <f aca="false">IF(A1822="","",IF(C1822="No encontrado","No","Sí"))</f>
        <v/>
      </c>
      <c r="J1822" s="26" t="str">
        <f aca="false">IF(A1822="","",IF(F1822="Inactivo","No","Sí"))</f>
        <v/>
      </c>
      <c r="K1822" s="26" t="str">
        <f aca="false">IF(A1822="","",IF(AND(I1822="Sí",J1822="Sí"),"Sí","No"))</f>
        <v/>
      </c>
    </row>
    <row r="1823" customFormat="false" ht="15" hidden="false" customHeight="false" outlineLevel="0" collapsed="false">
      <c r="A1823" s="22"/>
      <c r="B1823" s="22"/>
      <c r="C1823" s="23" t="str">
        <f aca="false">IF(A1823="","",IFERROR(buscarx(A1823&amp;B1823,DATA!$E$3:$E$10000&amp;DATA!$B$3:$B$10000,DATA!$M$3:$M$10000),"No encontrado"))</f>
        <v/>
      </c>
      <c r="D1823" s="24" t="str">
        <f aca="false">IF(A1823="","",IFERROR(buscarx(A1823&amp;B1823,DATA!$E$3:$E$10000&amp;DATA!$B$3:$B$10000,DATA!$W$3:$W$10000),"No encontrado"))</f>
        <v/>
      </c>
      <c r="E1823" s="22"/>
      <c r="F1823" s="23" t="str">
        <f aca="false">IF(A1823="","",IFERROR(buscarx(A1823&amp;E1823,DATA!$E$3:$E$10000&amp;DATA!$B$3:$B$10000,DATA!$M$3:$M$10000),"Inactivo"))</f>
        <v/>
      </c>
      <c r="G1823" s="25" t="str">
        <f aca="false">IF(A1823="","",IF(AND(C1823&lt;&gt;"No encontrado",F1823&lt;&gt;"Inactivo"),C1823&amp;" → "&amp;F1823,"Sin transición"))</f>
        <v/>
      </c>
      <c r="H1823" s="23" t="str">
        <f aca="false">IF(A1823="","",IF(D1823="GCIA LINEA SERVICIO DIGITALIDAD Y VENTAS","Chats",IF(OR(D1823="GERENCIA INBOUND LÍNEAS SERVICIO Y VENTA",D1823="GERENCIA INBOUND LINEAS ESPECIALIZADAS"),"Llamadas","Otro")))</f>
        <v/>
      </c>
      <c r="I1823" s="23" t="str">
        <f aca="false">IF(A1823="","",IF(C1823="No encontrado","No","Sí"))</f>
        <v/>
      </c>
      <c r="J1823" s="23" t="str">
        <f aca="false">IF(A1823="","",IF(F1823="Inactivo","No","Sí"))</f>
        <v/>
      </c>
      <c r="K1823" s="23" t="str">
        <f aca="false">IF(A1823="","",IF(AND(I1823="Sí",J1823="Sí"),"Sí","No"))</f>
        <v/>
      </c>
    </row>
    <row r="1824" customFormat="false" ht="15" hidden="false" customHeight="false" outlineLevel="0" collapsed="false">
      <c r="A1824" s="22"/>
      <c r="B1824" s="22"/>
      <c r="C1824" s="26" t="str">
        <f aca="false">IF(A1824="","",IFERROR(buscarx(A1824&amp;B1824,DATA!$E$3:$E$10000&amp;DATA!$B$3:$B$10000,DATA!$M$3:$M$10000),"No encontrado"))</f>
        <v/>
      </c>
      <c r="D1824" s="27" t="str">
        <f aca="false">IF(A1824="","",IFERROR(buscarx(A1824&amp;B1824,DATA!$E$3:$E$10000&amp;DATA!$B$3:$B$10000,DATA!$W$3:$W$10000),"No encontrado"))</f>
        <v/>
      </c>
      <c r="E1824" s="22"/>
      <c r="F1824" s="26" t="str">
        <f aca="false">IF(A1824="","",IFERROR(buscarx(A1824&amp;E1824,DATA!$E$3:$E$10000&amp;DATA!$B$3:$B$10000,DATA!$M$3:$M$10000),"Inactivo"))</f>
        <v/>
      </c>
      <c r="G1824" s="28" t="str">
        <f aca="false">IF(A1824="","",IF(AND(C1824&lt;&gt;"No encontrado",F1824&lt;&gt;"Inactivo"),C1824&amp;" → "&amp;F1824,"Sin transición"))</f>
        <v/>
      </c>
      <c r="H1824" s="26" t="str">
        <f aca="false">IF(A1824="","",IF(D1824="GCIA LINEA SERVICIO DIGITALIDAD Y VENTAS","Chats",IF(OR(D1824="GERENCIA INBOUND LÍNEAS SERVICIO Y VENTA",D1824="GERENCIA INBOUND LINEAS ESPECIALIZADAS"),"Llamadas","Otro")))</f>
        <v/>
      </c>
      <c r="I1824" s="26" t="str">
        <f aca="false">IF(A1824="","",IF(C1824="No encontrado","No","Sí"))</f>
        <v/>
      </c>
      <c r="J1824" s="26" t="str">
        <f aca="false">IF(A1824="","",IF(F1824="Inactivo","No","Sí"))</f>
        <v/>
      </c>
      <c r="K1824" s="26" t="str">
        <f aca="false">IF(A1824="","",IF(AND(I1824="Sí",J1824="Sí"),"Sí","No"))</f>
        <v/>
      </c>
    </row>
    <row r="1825" customFormat="false" ht="15" hidden="false" customHeight="false" outlineLevel="0" collapsed="false">
      <c r="A1825" s="22"/>
      <c r="B1825" s="22"/>
      <c r="C1825" s="23" t="str">
        <f aca="false">IF(A1825="","",IFERROR(buscarx(A1825&amp;B1825,DATA!$E$3:$E$10000&amp;DATA!$B$3:$B$10000,DATA!$M$3:$M$10000),"No encontrado"))</f>
        <v/>
      </c>
      <c r="D1825" s="24" t="str">
        <f aca="false">IF(A1825="","",IFERROR(buscarx(A1825&amp;B1825,DATA!$E$3:$E$10000&amp;DATA!$B$3:$B$10000,DATA!$W$3:$W$10000),"No encontrado"))</f>
        <v/>
      </c>
      <c r="E1825" s="22"/>
      <c r="F1825" s="23" t="str">
        <f aca="false">IF(A1825="","",IFERROR(buscarx(A1825&amp;E1825,DATA!$E$3:$E$10000&amp;DATA!$B$3:$B$10000,DATA!$M$3:$M$10000),"Inactivo"))</f>
        <v/>
      </c>
      <c r="G1825" s="25" t="str">
        <f aca="false">IF(A1825="","",IF(AND(C1825&lt;&gt;"No encontrado",F1825&lt;&gt;"Inactivo"),C1825&amp;" → "&amp;F1825,"Sin transición"))</f>
        <v/>
      </c>
      <c r="H1825" s="23" t="str">
        <f aca="false">IF(A1825="","",IF(D1825="GCIA LINEA SERVICIO DIGITALIDAD Y VENTAS","Chats",IF(OR(D1825="GERENCIA INBOUND LÍNEAS SERVICIO Y VENTA",D1825="GERENCIA INBOUND LINEAS ESPECIALIZADAS"),"Llamadas","Otro")))</f>
        <v/>
      </c>
      <c r="I1825" s="23" t="str">
        <f aca="false">IF(A1825="","",IF(C1825="No encontrado","No","Sí"))</f>
        <v/>
      </c>
      <c r="J1825" s="23" t="str">
        <f aca="false">IF(A1825="","",IF(F1825="Inactivo","No","Sí"))</f>
        <v/>
      </c>
      <c r="K1825" s="23" t="str">
        <f aca="false">IF(A1825="","",IF(AND(I1825="Sí",J1825="Sí"),"Sí","No"))</f>
        <v/>
      </c>
    </row>
    <row r="1826" customFormat="false" ht="15" hidden="false" customHeight="false" outlineLevel="0" collapsed="false">
      <c r="A1826" s="22"/>
      <c r="B1826" s="22"/>
      <c r="C1826" s="26" t="str">
        <f aca="false">IF(A1826="","",IFERROR(buscarx(A1826&amp;B1826,DATA!$E$3:$E$10000&amp;DATA!$B$3:$B$10000,DATA!$M$3:$M$10000),"No encontrado"))</f>
        <v/>
      </c>
      <c r="D1826" s="27" t="str">
        <f aca="false">IF(A1826="","",IFERROR(buscarx(A1826&amp;B1826,DATA!$E$3:$E$10000&amp;DATA!$B$3:$B$10000,DATA!$W$3:$W$10000),"No encontrado"))</f>
        <v/>
      </c>
      <c r="E1826" s="22"/>
      <c r="F1826" s="26" t="str">
        <f aca="false">IF(A1826="","",IFERROR(buscarx(A1826&amp;E1826,DATA!$E$3:$E$10000&amp;DATA!$B$3:$B$10000,DATA!$M$3:$M$10000),"Inactivo"))</f>
        <v/>
      </c>
      <c r="G1826" s="28" t="str">
        <f aca="false">IF(A1826="","",IF(AND(C1826&lt;&gt;"No encontrado",F1826&lt;&gt;"Inactivo"),C1826&amp;" → "&amp;F1826,"Sin transición"))</f>
        <v/>
      </c>
      <c r="H1826" s="26" t="str">
        <f aca="false">IF(A1826="","",IF(D1826="GCIA LINEA SERVICIO DIGITALIDAD Y VENTAS","Chats",IF(OR(D1826="GERENCIA INBOUND LÍNEAS SERVICIO Y VENTA",D1826="GERENCIA INBOUND LINEAS ESPECIALIZADAS"),"Llamadas","Otro")))</f>
        <v/>
      </c>
      <c r="I1826" s="26" t="str">
        <f aca="false">IF(A1826="","",IF(C1826="No encontrado","No","Sí"))</f>
        <v/>
      </c>
      <c r="J1826" s="26" t="str">
        <f aca="false">IF(A1826="","",IF(F1826="Inactivo","No","Sí"))</f>
        <v/>
      </c>
      <c r="K1826" s="26" t="str">
        <f aca="false">IF(A1826="","",IF(AND(I1826="Sí",J1826="Sí"),"Sí","No"))</f>
        <v/>
      </c>
    </row>
    <row r="1827" customFormat="false" ht="15" hidden="false" customHeight="false" outlineLevel="0" collapsed="false">
      <c r="A1827" s="22"/>
      <c r="B1827" s="22"/>
      <c r="C1827" s="23" t="str">
        <f aca="false">IF(A1827="","",IFERROR(buscarx(A1827&amp;B1827,DATA!$E$3:$E$10000&amp;DATA!$B$3:$B$10000,DATA!$M$3:$M$10000),"No encontrado"))</f>
        <v/>
      </c>
      <c r="D1827" s="24" t="str">
        <f aca="false">IF(A1827="","",IFERROR(buscarx(A1827&amp;B1827,DATA!$E$3:$E$10000&amp;DATA!$B$3:$B$10000,DATA!$W$3:$W$10000),"No encontrado"))</f>
        <v/>
      </c>
      <c r="E1827" s="22"/>
      <c r="F1827" s="23" t="str">
        <f aca="false">IF(A1827="","",IFERROR(buscarx(A1827&amp;E1827,DATA!$E$3:$E$10000&amp;DATA!$B$3:$B$10000,DATA!$M$3:$M$10000),"Inactivo"))</f>
        <v/>
      </c>
      <c r="G1827" s="25" t="str">
        <f aca="false">IF(A1827="","",IF(AND(C1827&lt;&gt;"No encontrado",F1827&lt;&gt;"Inactivo"),C1827&amp;" → "&amp;F1827,"Sin transición"))</f>
        <v/>
      </c>
      <c r="H1827" s="23" t="str">
        <f aca="false">IF(A1827="","",IF(D1827="GCIA LINEA SERVICIO DIGITALIDAD Y VENTAS","Chats",IF(OR(D1827="GERENCIA INBOUND LÍNEAS SERVICIO Y VENTA",D1827="GERENCIA INBOUND LINEAS ESPECIALIZADAS"),"Llamadas","Otro")))</f>
        <v/>
      </c>
      <c r="I1827" s="23" t="str">
        <f aca="false">IF(A1827="","",IF(C1827="No encontrado","No","Sí"))</f>
        <v/>
      </c>
      <c r="J1827" s="23" t="str">
        <f aca="false">IF(A1827="","",IF(F1827="Inactivo","No","Sí"))</f>
        <v/>
      </c>
      <c r="K1827" s="23" t="str">
        <f aca="false">IF(A1827="","",IF(AND(I1827="Sí",J1827="Sí"),"Sí","No"))</f>
        <v/>
      </c>
    </row>
    <row r="1828" customFormat="false" ht="15" hidden="false" customHeight="false" outlineLevel="0" collapsed="false">
      <c r="A1828" s="22"/>
      <c r="B1828" s="22"/>
      <c r="C1828" s="26" t="str">
        <f aca="false">IF(A1828="","",IFERROR(buscarx(A1828&amp;B1828,DATA!$E$3:$E$10000&amp;DATA!$B$3:$B$10000,DATA!$M$3:$M$10000),"No encontrado"))</f>
        <v/>
      </c>
      <c r="D1828" s="27" t="str">
        <f aca="false">IF(A1828="","",IFERROR(buscarx(A1828&amp;B1828,DATA!$E$3:$E$10000&amp;DATA!$B$3:$B$10000,DATA!$W$3:$W$10000),"No encontrado"))</f>
        <v/>
      </c>
      <c r="E1828" s="22"/>
      <c r="F1828" s="26" t="str">
        <f aca="false">IF(A1828="","",IFERROR(buscarx(A1828&amp;E1828,DATA!$E$3:$E$10000&amp;DATA!$B$3:$B$10000,DATA!$M$3:$M$10000),"Inactivo"))</f>
        <v/>
      </c>
      <c r="G1828" s="28" t="str">
        <f aca="false">IF(A1828="","",IF(AND(C1828&lt;&gt;"No encontrado",F1828&lt;&gt;"Inactivo"),C1828&amp;" → "&amp;F1828,"Sin transición"))</f>
        <v/>
      </c>
      <c r="H1828" s="26" t="str">
        <f aca="false">IF(A1828="","",IF(D1828="GCIA LINEA SERVICIO DIGITALIDAD Y VENTAS","Chats",IF(OR(D1828="GERENCIA INBOUND LÍNEAS SERVICIO Y VENTA",D1828="GERENCIA INBOUND LINEAS ESPECIALIZADAS"),"Llamadas","Otro")))</f>
        <v/>
      </c>
      <c r="I1828" s="26" t="str">
        <f aca="false">IF(A1828="","",IF(C1828="No encontrado","No","Sí"))</f>
        <v/>
      </c>
      <c r="J1828" s="26" t="str">
        <f aca="false">IF(A1828="","",IF(F1828="Inactivo","No","Sí"))</f>
        <v/>
      </c>
      <c r="K1828" s="26" t="str">
        <f aca="false">IF(A1828="","",IF(AND(I1828="Sí",J1828="Sí"),"Sí","No"))</f>
        <v/>
      </c>
    </row>
    <row r="1829" customFormat="false" ht="15" hidden="false" customHeight="false" outlineLevel="0" collapsed="false">
      <c r="A1829" s="22"/>
      <c r="B1829" s="22"/>
      <c r="C1829" s="23" t="str">
        <f aca="false">IF(A1829="","",IFERROR(buscarx(A1829&amp;B1829,DATA!$E$3:$E$10000&amp;DATA!$B$3:$B$10000,DATA!$M$3:$M$10000),"No encontrado"))</f>
        <v/>
      </c>
      <c r="D1829" s="24" t="str">
        <f aca="false">IF(A1829="","",IFERROR(buscarx(A1829&amp;B1829,DATA!$E$3:$E$10000&amp;DATA!$B$3:$B$10000,DATA!$W$3:$W$10000),"No encontrado"))</f>
        <v/>
      </c>
      <c r="E1829" s="22"/>
      <c r="F1829" s="23" t="str">
        <f aca="false">IF(A1829="","",IFERROR(buscarx(A1829&amp;E1829,DATA!$E$3:$E$10000&amp;DATA!$B$3:$B$10000,DATA!$M$3:$M$10000),"Inactivo"))</f>
        <v/>
      </c>
      <c r="G1829" s="25" t="str">
        <f aca="false">IF(A1829="","",IF(AND(C1829&lt;&gt;"No encontrado",F1829&lt;&gt;"Inactivo"),C1829&amp;" → "&amp;F1829,"Sin transición"))</f>
        <v/>
      </c>
      <c r="H1829" s="23" t="str">
        <f aca="false">IF(A1829="","",IF(D1829="GCIA LINEA SERVICIO DIGITALIDAD Y VENTAS","Chats",IF(OR(D1829="GERENCIA INBOUND LÍNEAS SERVICIO Y VENTA",D1829="GERENCIA INBOUND LINEAS ESPECIALIZADAS"),"Llamadas","Otro")))</f>
        <v/>
      </c>
      <c r="I1829" s="23" t="str">
        <f aca="false">IF(A1829="","",IF(C1829="No encontrado","No","Sí"))</f>
        <v/>
      </c>
      <c r="J1829" s="23" t="str">
        <f aca="false">IF(A1829="","",IF(F1829="Inactivo","No","Sí"))</f>
        <v/>
      </c>
      <c r="K1829" s="23" t="str">
        <f aca="false">IF(A1829="","",IF(AND(I1829="Sí",J1829="Sí"),"Sí","No"))</f>
        <v/>
      </c>
    </row>
    <row r="1830" customFormat="false" ht="15" hidden="false" customHeight="false" outlineLevel="0" collapsed="false">
      <c r="A1830" s="22"/>
      <c r="B1830" s="22"/>
      <c r="C1830" s="26" t="str">
        <f aca="false">IF(A1830="","",IFERROR(buscarx(A1830&amp;B1830,DATA!$E$3:$E$10000&amp;DATA!$B$3:$B$10000,DATA!$M$3:$M$10000),"No encontrado"))</f>
        <v/>
      </c>
      <c r="D1830" s="27" t="str">
        <f aca="false">IF(A1830="","",IFERROR(buscarx(A1830&amp;B1830,DATA!$E$3:$E$10000&amp;DATA!$B$3:$B$10000,DATA!$W$3:$W$10000),"No encontrado"))</f>
        <v/>
      </c>
      <c r="E1830" s="22"/>
      <c r="F1830" s="26" t="str">
        <f aca="false">IF(A1830="","",IFERROR(buscarx(A1830&amp;E1830,DATA!$E$3:$E$10000&amp;DATA!$B$3:$B$10000,DATA!$M$3:$M$10000),"Inactivo"))</f>
        <v/>
      </c>
      <c r="G1830" s="28" t="str">
        <f aca="false">IF(A1830="","",IF(AND(C1830&lt;&gt;"No encontrado",F1830&lt;&gt;"Inactivo"),C1830&amp;" → "&amp;F1830,"Sin transición"))</f>
        <v/>
      </c>
      <c r="H1830" s="26" t="str">
        <f aca="false">IF(A1830="","",IF(D1830="GCIA LINEA SERVICIO DIGITALIDAD Y VENTAS","Chats",IF(OR(D1830="GERENCIA INBOUND LÍNEAS SERVICIO Y VENTA",D1830="GERENCIA INBOUND LINEAS ESPECIALIZADAS"),"Llamadas","Otro")))</f>
        <v/>
      </c>
      <c r="I1830" s="26" t="str">
        <f aca="false">IF(A1830="","",IF(C1830="No encontrado","No","Sí"))</f>
        <v/>
      </c>
      <c r="J1830" s="26" t="str">
        <f aca="false">IF(A1830="","",IF(F1830="Inactivo","No","Sí"))</f>
        <v/>
      </c>
      <c r="K1830" s="26" t="str">
        <f aca="false">IF(A1830="","",IF(AND(I1830="Sí",J1830="Sí"),"Sí","No"))</f>
        <v/>
      </c>
    </row>
    <row r="1831" customFormat="false" ht="15" hidden="false" customHeight="false" outlineLevel="0" collapsed="false">
      <c r="A1831" s="22"/>
      <c r="B1831" s="22"/>
      <c r="C1831" s="23" t="str">
        <f aca="false">IF(A1831="","",IFERROR(buscarx(A1831&amp;B1831,DATA!$E$3:$E$10000&amp;DATA!$B$3:$B$10000,DATA!$M$3:$M$10000),"No encontrado"))</f>
        <v/>
      </c>
      <c r="D1831" s="24" t="str">
        <f aca="false">IF(A1831="","",IFERROR(buscarx(A1831&amp;B1831,DATA!$E$3:$E$10000&amp;DATA!$B$3:$B$10000,DATA!$W$3:$W$10000),"No encontrado"))</f>
        <v/>
      </c>
      <c r="E1831" s="22"/>
      <c r="F1831" s="23" t="str">
        <f aca="false">IF(A1831="","",IFERROR(buscarx(A1831&amp;E1831,DATA!$E$3:$E$10000&amp;DATA!$B$3:$B$10000,DATA!$M$3:$M$10000),"Inactivo"))</f>
        <v/>
      </c>
      <c r="G1831" s="25" t="str">
        <f aca="false">IF(A1831="","",IF(AND(C1831&lt;&gt;"No encontrado",F1831&lt;&gt;"Inactivo"),C1831&amp;" → "&amp;F1831,"Sin transición"))</f>
        <v/>
      </c>
      <c r="H1831" s="23" t="str">
        <f aca="false">IF(A1831="","",IF(D1831="GCIA LINEA SERVICIO DIGITALIDAD Y VENTAS","Chats",IF(OR(D1831="GERENCIA INBOUND LÍNEAS SERVICIO Y VENTA",D1831="GERENCIA INBOUND LINEAS ESPECIALIZADAS"),"Llamadas","Otro")))</f>
        <v/>
      </c>
      <c r="I1831" s="23" t="str">
        <f aca="false">IF(A1831="","",IF(C1831="No encontrado","No","Sí"))</f>
        <v/>
      </c>
      <c r="J1831" s="23" t="str">
        <f aca="false">IF(A1831="","",IF(F1831="Inactivo","No","Sí"))</f>
        <v/>
      </c>
      <c r="K1831" s="23" t="str">
        <f aca="false">IF(A1831="","",IF(AND(I1831="Sí",J1831="Sí"),"Sí","No"))</f>
        <v/>
      </c>
    </row>
    <row r="1832" customFormat="false" ht="15" hidden="false" customHeight="false" outlineLevel="0" collapsed="false">
      <c r="A1832" s="22"/>
      <c r="B1832" s="22"/>
      <c r="C1832" s="26" t="str">
        <f aca="false">IF(A1832="","",IFERROR(buscarx(A1832&amp;B1832,DATA!$E$3:$E$10000&amp;DATA!$B$3:$B$10000,DATA!$M$3:$M$10000),"No encontrado"))</f>
        <v/>
      </c>
      <c r="D1832" s="27" t="str">
        <f aca="false">IF(A1832="","",IFERROR(buscarx(A1832&amp;B1832,DATA!$E$3:$E$10000&amp;DATA!$B$3:$B$10000,DATA!$W$3:$W$10000),"No encontrado"))</f>
        <v/>
      </c>
      <c r="E1832" s="22"/>
      <c r="F1832" s="26" t="str">
        <f aca="false">IF(A1832="","",IFERROR(buscarx(A1832&amp;E1832,DATA!$E$3:$E$10000&amp;DATA!$B$3:$B$10000,DATA!$M$3:$M$10000),"Inactivo"))</f>
        <v/>
      </c>
      <c r="G1832" s="28" t="str">
        <f aca="false">IF(A1832="","",IF(AND(C1832&lt;&gt;"No encontrado",F1832&lt;&gt;"Inactivo"),C1832&amp;" → "&amp;F1832,"Sin transición"))</f>
        <v/>
      </c>
      <c r="H1832" s="26" t="str">
        <f aca="false">IF(A1832="","",IF(D1832="GCIA LINEA SERVICIO DIGITALIDAD Y VENTAS","Chats",IF(OR(D1832="GERENCIA INBOUND LÍNEAS SERVICIO Y VENTA",D1832="GERENCIA INBOUND LINEAS ESPECIALIZADAS"),"Llamadas","Otro")))</f>
        <v/>
      </c>
      <c r="I1832" s="26" t="str">
        <f aca="false">IF(A1832="","",IF(C1832="No encontrado","No","Sí"))</f>
        <v/>
      </c>
      <c r="J1832" s="26" t="str">
        <f aca="false">IF(A1832="","",IF(F1832="Inactivo","No","Sí"))</f>
        <v/>
      </c>
      <c r="K1832" s="26" t="str">
        <f aca="false">IF(A1832="","",IF(AND(I1832="Sí",J1832="Sí"),"Sí","No"))</f>
        <v/>
      </c>
    </row>
    <row r="1833" customFormat="false" ht="15" hidden="false" customHeight="false" outlineLevel="0" collapsed="false">
      <c r="A1833" s="22"/>
      <c r="B1833" s="22"/>
      <c r="C1833" s="23" t="str">
        <f aca="false">IF(A1833="","",IFERROR(buscarx(A1833&amp;B1833,DATA!$E$3:$E$10000&amp;DATA!$B$3:$B$10000,DATA!$M$3:$M$10000),"No encontrado"))</f>
        <v/>
      </c>
      <c r="D1833" s="24" t="str">
        <f aca="false">IF(A1833="","",IFERROR(buscarx(A1833&amp;B1833,DATA!$E$3:$E$10000&amp;DATA!$B$3:$B$10000,DATA!$W$3:$W$10000),"No encontrado"))</f>
        <v/>
      </c>
      <c r="E1833" s="22"/>
      <c r="F1833" s="23" t="str">
        <f aca="false">IF(A1833="","",IFERROR(buscarx(A1833&amp;E1833,DATA!$E$3:$E$10000&amp;DATA!$B$3:$B$10000,DATA!$M$3:$M$10000),"Inactivo"))</f>
        <v/>
      </c>
      <c r="G1833" s="25" t="str">
        <f aca="false">IF(A1833="","",IF(AND(C1833&lt;&gt;"No encontrado",F1833&lt;&gt;"Inactivo"),C1833&amp;" → "&amp;F1833,"Sin transición"))</f>
        <v/>
      </c>
      <c r="H1833" s="23" t="str">
        <f aca="false">IF(A1833="","",IF(D1833="GCIA LINEA SERVICIO DIGITALIDAD Y VENTAS","Chats",IF(OR(D1833="GERENCIA INBOUND LÍNEAS SERVICIO Y VENTA",D1833="GERENCIA INBOUND LINEAS ESPECIALIZADAS"),"Llamadas","Otro")))</f>
        <v/>
      </c>
      <c r="I1833" s="23" t="str">
        <f aca="false">IF(A1833="","",IF(C1833="No encontrado","No","Sí"))</f>
        <v/>
      </c>
      <c r="J1833" s="23" t="str">
        <f aca="false">IF(A1833="","",IF(F1833="Inactivo","No","Sí"))</f>
        <v/>
      </c>
      <c r="K1833" s="23" t="str">
        <f aca="false">IF(A1833="","",IF(AND(I1833="Sí",J1833="Sí"),"Sí","No"))</f>
        <v/>
      </c>
    </row>
    <row r="1834" customFormat="false" ht="15" hidden="false" customHeight="false" outlineLevel="0" collapsed="false">
      <c r="A1834" s="22"/>
      <c r="B1834" s="22"/>
      <c r="C1834" s="26" t="str">
        <f aca="false">IF(A1834="","",IFERROR(buscarx(A1834&amp;B1834,DATA!$E$3:$E$10000&amp;DATA!$B$3:$B$10000,DATA!$M$3:$M$10000),"No encontrado"))</f>
        <v/>
      </c>
      <c r="D1834" s="27" t="str">
        <f aca="false">IF(A1834="","",IFERROR(buscarx(A1834&amp;B1834,DATA!$E$3:$E$10000&amp;DATA!$B$3:$B$10000,DATA!$W$3:$W$10000),"No encontrado"))</f>
        <v/>
      </c>
      <c r="E1834" s="22"/>
      <c r="F1834" s="26" t="str">
        <f aca="false">IF(A1834="","",IFERROR(buscarx(A1834&amp;E1834,DATA!$E$3:$E$10000&amp;DATA!$B$3:$B$10000,DATA!$M$3:$M$10000),"Inactivo"))</f>
        <v/>
      </c>
      <c r="G1834" s="28" t="str">
        <f aca="false">IF(A1834="","",IF(AND(C1834&lt;&gt;"No encontrado",F1834&lt;&gt;"Inactivo"),C1834&amp;" → "&amp;F1834,"Sin transición"))</f>
        <v/>
      </c>
      <c r="H1834" s="26" t="str">
        <f aca="false">IF(A1834="","",IF(D1834="GCIA LINEA SERVICIO DIGITALIDAD Y VENTAS","Chats",IF(OR(D1834="GERENCIA INBOUND LÍNEAS SERVICIO Y VENTA",D1834="GERENCIA INBOUND LINEAS ESPECIALIZADAS"),"Llamadas","Otro")))</f>
        <v/>
      </c>
      <c r="I1834" s="26" t="str">
        <f aca="false">IF(A1834="","",IF(C1834="No encontrado","No","Sí"))</f>
        <v/>
      </c>
      <c r="J1834" s="26" t="str">
        <f aca="false">IF(A1834="","",IF(F1834="Inactivo","No","Sí"))</f>
        <v/>
      </c>
      <c r="K1834" s="26" t="str">
        <f aca="false">IF(A1834="","",IF(AND(I1834="Sí",J1834="Sí"),"Sí","No"))</f>
        <v/>
      </c>
    </row>
    <row r="1835" customFormat="false" ht="15" hidden="false" customHeight="false" outlineLevel="0" collapsed="false">
      <c r="A1835" s="22"/>
      <c r="B1835" s="22"/>
      <c r="C1835" s="23" t="str">
        <f aca="false">IF(A1835="","",IFERROR(buscarx(A1835&amp;B1835,DATA!$E$3:$E$10000&amp;DATA!$B$3:$B$10000,DATA!$M$3:$M$10000),"No encontrado"))</f>
        <v/>
      </c>
      <c r="D1835" s="24" t="str">
        <f aca="false">IF(A1835="","",IFERROR(buscarx(A1835&amp;B1835,DATA!$E$3:$E$10000&amp;DATA!$B$3:$B$10000,DATA!$W$3:$W$10000),"No encontrado"))</f>
        <v/>
      </c>
      <c r="E1835" s="22"/>
      <c r="F1835" s="23" t="str">
        <f aca="false">IF(A1835="","",IFERROR(buscarx(A1835&amp;E1835,DATA!$E$3:$E$10000&amp;DATA!$B$3:$B$10000,DATA!$M$3:$M$10000),"Inactivo"))</f>
        <v/>
      </c>
      <c r="G1835" s="25" t="str">
        <f aca="false">IF(A1835="","",IF(AND(C1835&lt;&gt;"No encontrado",F1835&lt;&gt;"Inactivo"),C1835&amp;" → "&amp;F1835,"Sin transición"))</f>
        <v/>
      </c>
      <c r="H1835" s="23" t="str">
        <f aca="false">IF(A1835="","",IF(D1835="GCIA LINEA SERVICIO DIGITALIDAD Y VENTAS","Chats",IF(OR(D1835="GERENCIA INBOUND LÍNEAS SERVICIO Y VENTA",D1835="GERENCIA INBOUND LINEAS ESPECIALIZADAS"),"Llamadas","Otro")))</f>
        <v/>
      </c>
      <c r="I1835" s="23" t="str">
        <f aca="false">IF(A1835="","",IF(C1835="No encontrado","No","Sí"))</f>
        <v/>
      </c>
      <c r="J1835" s="23" t="str">
        <f aca="false">IF(A1835="","",IF(F1835="Inactivo","No","Sí"))</f>
        <v/>
      </c>
      <c r="K1835" s="23" t="str">
        <f aca="false">IF(A1835="","",IF(AND(I1835="Sí",J1835="Sí"),"Sí","No"))</f>
        <v/>
      </c>
    </row>
    <row r="1836" customFormat="false" ht="15" hidden="false" customHeight="false" outlineLevel="0" collapsed="false">
      <c r="A1836" s="22"/>
      <c r="B1836" s="22"/>
      <c r="C1836" s="26" t="str">
        <f aca="false">IF(A1836="","",IFERROR(buscarx(A1836&amp;B1836,DATA!$E$3:$E$10000&amp;DATA!$B$3:$B$10000,DATA!$M$3:$M$10000),"No encontrado"))</f>
        <v/>
      </c>
      <c r="D1836" s="27" t="str">
        <f aca="false">IF(A1836="","",IFERROR(buscarx(A1836&amp;B1836,DATA!$E$3:$E$10000&amp;DATA!$B$3:$B$10000,DATA!$W$3:$W$10000),"No encontrado"))</f>
        <v/>
      </c>
      <c r="E1836" s="22"/>
      <c r="F1836" s="26" t="str">
        <f aca="false">IF(A1836="","",IFERROR(buscarx(A1836&amp;E1836,DATA!$E$3:$E$10000&amp;DATA!$B$3:$B$10000,DATA!$M$3:$M$10000),"Inactivo"))</f>
        <v/>
      </c>
      <c r="G1836" s="28" t="str">
        <f aca="false">IF(A1836="","",IF(AND(C1836&lt;&gt;"No encontrado",F1836&lt;&gt;"Inactivo"),C1836&amp;" → "&amp;F1836,"Sin transición"))</f>
        <v/>
      </c>
      <c r="H1836" s="26" t="str">
        <f aca="false">IF(A1836="","",IF(D1836="GCIA LINEA SERVICIO DIGITALIDAD Y VENTAS","Chats",IF(OR(D1836="GERENCIA INBOUND LÍNEAS SERVICIO Y VENTA",D1836="GERENCIA INBOUND LINEAS ESPECIALIZADAS"),"Llamadas","Otro")))</f>
        <v/>
      </c>
      <c r="I1836" s="26" t="str">
        <f aca="false">IF(A1836="","",IF(C1836="No encontrado","No","Sí"))</f>
        <v/>
      </c>
      <c r="J1836" s="26" t="str">
        <f aca="false">IF(A1836="","",IF(F1836="Inactivo","No","Sí"))</f>
        <v/>
      </c>
      <c r="K1836" s="26" t="str">
        <f aca="false">IF(A1836="","",IF(AND(I1836="Sí",J1836="Sí"),"Sí","No"))</f>
        <v/>
      </c>
    </row>
    <row r="1837" customFormat="false" ht="15" hidden="false" customHeight="false" outlineLevel="0" collapsed="false">
      <c r="A1837" s="22"/>
      <c r="B1837" s="22"/>
      <c r="C1837" s="23" t="str">
        <f aca="false">IF(A1837="","",IFERROR(buscarx(A1837&amp;B1837,DATA!$E$3:$E$10000&amp;DATA!$B$3:$B$10000,DATA!$M$3:$M$10000),"No encontrado"))</f>
        <v/>
      </c>
      <c r="D1837" s="24" t="str">
        <f aca="false">IF(A1837="","",IFERROR(buscarx(A1837&amp;B1837,DATA!$E$3:$E$10000&amp;DATA!$B$3:$B$10000,DATA!$W$3:$W$10000),"No encontrado"))</f>
        <v/>
      </c>
      <c r="E1837" s="22"/>
      <c r="F1837" s="23" t="str">
        <f aca="false">IF(A1837="","",IFERROR(buscarx(A1837&amp;E1837,DATA!$E$3:$E$10000&amp;DATA!$B$3:$B$10000,DATA!$M$3:$M$10000),"Inactivo"))</f>
        <v/>
      </c>
      <c r="G1837" s="25" t="str">
        <f aca="false">IF(A1837="","",IF(AND(C1837&lt;&gt;"No encontrado",F1837&lt;&gt;"Inactivo"),C1837&amp;" → "&amp;F1837,"Sin transición"))</f>
        <v/>
      </c>
      <c r="H1837" s="23" t="str">
        <f aca="false">IF(A1837="","",IF(D1837="GCIA LINEA SERVICIO DIGITALIDAD Y VENTAS","Chats",IF(OR(D1837="GERENCIA INBOUND LÍNEAS SERVICIO Y VENTA",D1837="GERENCIA INBOUND LINEAS ESPECIALIZADAS"),"Llamadas","Otro")))</f>
        <v/>
      </c>
      <c r="I1837" s="23" t="str">
        <f aca="false">IF(A1837="","",IF(C1837="No encontrado","No","Sí"))</f>
        <v/>
      </c>
      <c r="J1837" s="23" t="str">
        <f aca="false">IF(A1837="","",IF(F1837="Inactivo","No","Sí"))</f>
        <v/>
      </c>
      <c r="K1837" s="23" t="str">
        <f aca="false">IF(A1837="","",IF(AND(I1837="Sí",J1837="Sí"),"Sí","No"))</f>
        <v/>
      </c>
    </row>
    <row r="1838" customFormat="false" ht="15" hidden="false" customHeight="false" outlineLevel="0" collapsed="false">
      <c r="A1838" s="22"/>
      <c r="B1838" s="22"/>
      <c r="C1838" s="26" t="str">
        <f aca="false">IF(A1838="","",IFERROR(buscarx(A1838&amp;B1838,DATA!$E$3:$E$10000&amp;DATA!$B$3:$B$10000,DATA!$M$3:$M$10000),"No encontrado"))</f>
        <v/>
      </c>
      <c r="D1838" s="27" t="str">
        <f aca="false">IF(A1838="","",IFERROR(buscarx(A1838&amp;B1838,DATA!$E$3:$E$10000&amp;DATA!$B$3:$B$10000,DATA!$W$3:$W$10000),"No encontrado"))</f>
        <v/>
      </c>
      <c r="E1838" s="22"/>
      <c r="F1838" s="26" t="str">
        <f aca="false">IF(A1838="","",IFERROR(buscarx(A1838&amp;E1838,DATA!$E$3:$E$10000&amp;DATA!$B$3:$B$10000,DATA!$M$3:$M$10000),"Inactivo"))</f>
        <v/>
      </c>
      <c r="G1838" s="28" t="str">
        <f aca="false">IF(A1838="","",IF(AND(C1838&lt;&gt;"No encontrado",F1838&lt;&gt;"Inactivo"),C1838&amp;" → "&amp;F1838,"Sin transición"))</f>
        <v/>
      </c>
      <c r="H1838" s="26" t="str">
        <f aca="false">IF(A1838="","",IF(D1838="GCIA LINEA SERVICIO DIGITALIDAD Y VENTAS","Chats",IF(OR(D1838="GERENCIA INBOUND LÍNEAS SERVICIO Y VENTA",D1838="GERENCIA INBOUND LINEAS ESPECIALIZADAS"),"Llamadas","Otro")))</f>
        <v/>
      </c>
      <c r="I1838" s="26" t="str">
        <f aca="false">IF(A1838="","",IF(C1838="No encontrado","No","Sí"))</f>
        <v/>
      </c>
      <c r="J1838" s="26" t="str">
        <f aca="false">IF(A1838="","",IF(F1838="Inactivo","No","Sí"))</f>
        <v/>
      </c>
      <c r="K1838" s="26" t="str">
        <f aca="false">IF(A1838="","",IF(AND(I1838="Sí",J1838="Sí"),"Sí","No"))</f>
        <v/>
      </c>
    </row>
    <row r="1839" customFormat="false" ht="15" hidden="false" customHeight="false" outlineLevel="0" collapsed="false">
      <c r="A1839" s="22"/>
      <c r="B1839" s="22"/>
      <c r="C1839" s="23" t="str">
        <f aca="false">IF(A1839="","",IFERROR(buscarx(A1839&amp;B1839,DATA!$E$3:$E$10000&amp;DATA!$B$3:$B$10000,DATA!$M$3:$M$10000),"No encontrado"))</f>
        <v/>
      </c>
      <c r="D1839" s="24" t="str">
        <f aca="false">IF(A1839="","",IFERROR(buscarx(A1839&amp;B1839,DATA!$E$3:$E$10000&amp;DATA!$B$3:$B$10000,DATA!$W$3:$W$10000),"No encontrado"))</f>
        <v/>
      </c>
      <c r="E1839" s="22"/>
      <c r="F1839" s="23" t="str">
        <f aca="false">IF(A1839="","",IFERROR(buscarx(A1839&amp;E1839,DATA!$E$3:$E$10000&amp;DATA!$B$3:$B$10000,DATA!$M$3:$M$10000),"Inactivo"))</f>
        <v/>
      </c>
      <c r="G1839" s="25" t="str">
        <f aca="false">IF(A1839="","",IF(AND(C1839&lt;&gt;"No encontrado",F1839&lt;&gt;"Inactivo"),C1839&amp;" → "&amp;F1839,"Sin transición"))</f>
        <v/>
      </c>
      <c r="H1839" s="23" t="str">
        <f aca="false">IF(A1839="","",IF(D1839="GCIA LINEA SERVICIO DIGITALIDAD Y VENTAS","Chats",IF(OR(D1839="GERENCIA INBOUND LÍNEAS SERVICIO Y VENTA",D1839="GERENCIA INBOUND LINEAS ESPECIALIZADAS"),"Llamadas","Otro")))</f>
        <v/>
      </c>
      <c r="I1839" s="23" t="str">
        <f aca="false">IF(A1839="","",IF(C1839="No encontrado","No","Sí"))</f>
        <v/>
      </c>
      <c r="J1839" s="23" t="str">
        <f aca="false">IF(A1839="","",IF(F1839="Inactivo","No","Sí"))</f>
        <v/>
      </c>
      <c r="K1839" s="23" t="str">
        <f aca="false">IF(A1839="","",IF(AND(I1839="Sí",J1839="Sí"),"Sí","No"))</f>
        <v/>
      </c>
    </row>
    <row r="1840" customFormat="false" ht="15" hidden="false" customHeight="false" outlineLevel="0" collapsed="false">
      <c r="A1840" s="22"/>
      <c r="B1840" s="22"/>
      <c r="C1840" s="26" t="str">
        <f aca="false">IF(A1840="","",IFERROR(buscarx(A1840&amp;B1840,DATA!$E$3:$E$10000&amp;DATA!$B$3:$B$10000,DATA!$M$3:$M$10000),"No encontrado"))</f>
        <v/>
      </c>
      <c r="D1840" s="27" t="str">
        <f aca="false">IF(A1840="","",IFERROR(buscarx(A1840&amp;B1840,DATA!$E$3:$E$10000&amp;DATA!$B$3:$B$10000,DATA!$W$3:$W$10000),"No encontrado"))</f>
        <v/>
      </c>
      <c r="E1840" s="22"/>
      <c r="F1840" s="26" t="str">
        <f aca="false">IF(A1840="","",IFERROR(buscarx(A1840&amp;E1840,DATA!$E$3:$E$10000&amp;DATA!$B$3:$B$10000,DATA!$M$3:$M$10000),"Inactivo"))</f>
        <v/>
      </c>
      <c r="G1840" s="28" t="str">
        <f aca="false">IF(A1840="","",IF(AND(C1840&lt;&gt;"No encontrado",F1840&lt;&gt;"Inactivo"),C1840&amp;" → "&amp;F1840,"Sin transición"))</f>
        <v/>
      </c>
      <c r="H1840" s="26" t="str">
        <f aca="false">IF(A1840="","",IF(D1840="GCIA LINEA SERVICIO DIGITALIDAD Y VENTAS","Chats",IF(OR(D1840="GERENCIA INBOUND LÍNEAS SERVICIO Y VENTA",D1840="GERENCIA INBOUND LINEAS ESPECIALIZADAS"),"Llamadas","Otro")))</f>
        <v/>
      </c>
      <c r="I1840" s="26" t="str">
        <f aca="false">IF(A1840="","",IF(C1840="No encontrado","No","Sí"))</f>
        <v/>
      </c>
      <c r="J1840" s="26" t="str">
        <f aca="false">IF(A1840="","",IF(F1840="Inactivo","No","Sí"))</f>
        <v/>
      </c>
      <c r="K1840" s="26" t="str">
        <f aca="false">IF(A1840="","",IF(AND(I1840="Sí",J1840="Sí"),"Sí","No"))</f>
        <v/>
      </c>
    </row>
    <row r="1841" customFormat="false" ht="15" hidden="false" customHeight="false" outlineLevel="0" collapsed="false">
      <c r="A1841" s="22"/>
      <c r="B1841" s="22"/>
      <c r="C1841" s="23" t="str">
        <f aca="false">IF(A1841="","",IFERROR(buscarx(A1841&amp;B1841,DATA!$E$3:$E$10000&amp;DATA!$B$3:$B$10000,DATA!$M$3:$M$10000),"No encontrado"))</f>
        <v/>
      </c>
      <c r="D1841" s="24" t="str">
        <f aca="false">IF(A1841="","",IFERROR(buscarx(A1841&amp;B1841,DATA!$E$3:$E$10000&amp;DATA!$B$3:$B$10000,DATA!$W$3:$W$10000),"No encontrado"))</f>
        <v/>
      </c>
      <c r="E1841" s="22"/>
      <c r="F1841" s="23" t="str">
        <f aca="false">IF(A1841="","",IFERROR(buscarx(A1841&amp;E1841,DATA!$E$3:$E$10000&amp;DATA!$B$3:$B$10000,DATA!$M$3:$M$10000),"Inactivo"))</f>
        <v/>
      </c>
      <c r="G1841" s="25" t="str">
        <f aca="false">IF(A1841="","",IF(AND(C1841&lt;&gt;"No encontrado",F1841&lt;&gt;"Inactivo"),C1841&amp;" → "&amp;F1841,"Sin transición"))</f>
        <v/>
      </c>
      <c r="H1841" s="23" t="str">
        <f aca="false">IF(A1841="","",IF(D1841="GCIA LINEA SERVICIO DIGITALIDAD Y VENTAS","Chats",IF(OR(D1841="GERENCIA INBOUND LÍNEAS SERVICIO Y VENTA",D1841="GERENCIA INBOUND LINEAS ESPECIALIZADAS"),"Llamadas","Otro")))</f>
        <v/>
      </c>
      <c r="I1841" s="23" t="str">
        <f aca="false">IF(A1841="","",IF(C1841="No encontrado","No","Sí"))</f>
        <v/>
      </c>
      <c r="J1841" s="23" t="str">
        <f aca="false">IF(A1841="","",IF(F1841="Inactivo","No","Sí"))</f>
        <v/>
      </c>
      <c r="K1841" s="23" t="str">
        <f aca="false">IF(A1841="","",IF(AND(I1841="Sí",J1841="Sí"),"Sí","No"))</f>
        <v/>
      </c>
    </row>
    <row r="1842" customFormat="false" ht="15" hidden="false" customHeight="false" outlineLevel="0" collapsed="false">
      <c r="A1842" s="22"/>
      <c r="B1842" s="22"/>
      <c r="C1842" s="26" t="str">
        <f aca="false">IF(A1842="","",IFERROR(buscarx(A1842&amp;B1842,DATA!$E$3:$E$10000&amp;DATA!$B$3:$B$10000,DATA!$M$3:$M$10000),"No encontrado"))</f>
        <v/>
      </c>
      <c r="D1842" s="27" t="str">
        <f aca="false">IF(A1842="","",IFERROR(buscarx(A1842&amp;B1842,DATA!$E$3:$E$10000&amp;DATA!$B$3:$B$10000,DATA!$W$3:$W$10000),"No encontrado"))</f>
        <v/>
      </c>
      <c r="E1842" s="22"/>
      <c r="F1842" s="26" t="str">
        <f aca="false">IF(A1842="","",IFERROR(buscarx(A1842&amp;E1842,DATA!$E$3:$E$10000&amp;DATA!$B$3:$B$10000,DATA!$M$3:$M$10000),"Inactivo"))</f>
        <v/>
      </c>
      <c r="G1842" s="28" t="str">
        <f aca="false">IF(A1842="","",IF(AND(C1842&lt;&gt;"No encontrado",F1842&lt;&gt;"Inactivo"),C1842&amp;" → "&amp;F1842,"Sin transición"))</f>
        <v/>
      </c>
      <c r="H1842" s="26" t="str">
        <f aca="false">IF(A1842="","",IF(D1842="GCIA LINEA SERVICIO DIGITALIDAD Y VENTAS","Chats",IF(OR(D1842="GERENCIA INBOUND LÍNEAS SERVICIO Y VENTA",D1842="GERENCIA INBOUND LINEAS ESPECIALIZADAS"),"Llamadas","Otro")))</f>
        <v/>
      </c>
      <c r="I1842" s="26" t="str">
        <f aca="false">IF(A1842="","",IF(C1842="No encontrado","No","Sí"))</f>
        <v/>
      </c>
      <c r="J1842" s="26" t="str">
        <f aca="false">IF(A1842="","",IF(F1842="Inactivo","No","Sí"))</f>
        <v/>
      </c>
      <c r="K1842" s="26" t="str">
        <f aca="false">IF(A1842="","",IF(AND(I1842="Sí",J1842="Sí"),"Sí","No"))</f>
        <v/>
      </c>
    </row>
    <row r="1843" customFormat="false" ht="15" hidden="false" customHeight="false" outlineLevel="0" collapsed="false">
      <c r="A1843" s="22"/>
      <c r="B1843" s="22"/>
      <c r="C1843" s="23" t="str">
        <f aca="false">IF(A1843="","",IFERROR(buscarx(A1843&amp;B1843,DATA!$E$3:$E$10000&amp;DATA!$B$3:$B$10000,DATA!$M$3:$M$10000),"No encontrado"))</f>
        <v/>
      </c>
      <c r="D1843" s="24" t="str">
        <f aca="false">IF(A1843="","",IFERROR(buscarx(A1843&amp;B1843,DATA!$E$3:$E$10000&amp;DATA!$B$3:$B$10000,DATA!$W$3:$W$10000),"No encontrado"))</f>
        <v/>
      </c>
      <c r="E1843" s="22"/>
      <c r="F1843" s="23" t="str">
        <f aca="false">IF(A1843="","",IFERROR(buscarx(A1843&amp;E1843,DATA!$E$3:$E$10000&amp;DATA!$B$3:$B$10000,DATA!$M$3:$M$10000),"Inactivo"))</f>
        <v/>
      </c>
      <c r="G1843" s="25" t="str">
        <f aca="false">IF(A1843="","",IF(AND(C1843&lt;&gt;"No encontrado",F1843&lt;&gt;"Inactivo"),C1843&amp;" → "&amp;F1843,"Sin transición"))</f>
        <v/>
      </c>
      <c r="H1843" s="23" t="str">
        <f aca="false">IF(A1843="","",IF(D1843="GCIA LINEA SERVICIO DIGITALIDAD Y VENTAS","Chats",IF(OR(D1843="GERENCIA INBOUND LÍNEAS SERVICIO Y VENTA",D1843="GERENCIA INBOUND LINEAS ESPECIALIZADAS"),"Llamadas","Otro")))</f>
        <v/>
      </c>
      <c r="I1843" s="23" t="str">
        <f aca="false">IF(A1843="","",IF(C1843="No encontrado","No","Sí"))</f>
        <v/>
      </c>
      <c r="J1843" s="23" t="str">
        <f aca="false">IF(A1843="","",IF(F1843="Inactivo","No","Sí"))</f>
        <v/>
      </c>
      <c r="K1843" s="23" t="str">
        <f aca="false">IF(A1843="","",IF(AND(I1843="Sí",J1843="Sí"),"Sí","No"))</f>
        <v/>
      </c>
    </row>
    <row r="1844" customFormat="false" ht="15" hidden="false" customHeight="false" outlineLevel="0" collapsed="false">
      <c r="A1844" s="22"/>
      <c r="B1844" s="22"/>
      <c r="C1844" s="26" t="str">
        <f aca="false">IF(A1844="","",IFERROR(buscarx(A1844&amp;B1844,DATA!$E$3:$E$10000&amp;DATA!$B$3:$B$10000,DATA!$M$3:$M$10000),"No encontrado"))</f>
        <v/>
      </c>
      <c r="D1844" s="27" t="str">
        <f aca="false">IF(A1844="","",IFERROR(buscarx(A1844&amp;B1844,DATA!$E$3:$E$10000&amp;DATA!$B$3:$B$10000,DATA!$W$3:$W$10000),"No encontrado"))</f>
        <v/>
      </c>
      <c r="E1844" s="22"/>
      <c r="F1844" s="26" t="str">
        <f aca="false">IF(A1844="","",IFERROR(buscarx(A1844&amp;E1844,DATA!$E$3:$E$10000&amp;DATA!$B$3:$B$10000,DATA!$M$3:$M$10000),"Inactivo"))</f>
        <v/>
      </c>
      <c r="G1844" s="28" t="str">
        <f aca="false">IF(A1844="","",IF(AND(C1844&lt;&gt;"No encontrado",F1844&lt;&gt;"Inactivo"),C1844&amp;" → "&amp;F1844,"Sin transición"))</f>
        <v/>
      </c>
      <c r="H1844" s="26" t="str">
        <f aca="false">IF(A1844="","",IF(D1844="GCIA LINEA SERVICIO DIGITALIDAD Y VENTAS","Chats",IF(OR(D1844="GERENCIA INBOUND LÍNEAS SERVICIO Y VENTA",D1844="GERENCIA INBOUND LINEAS ESPECIALIZADAS"),"Llamadas","Otro")))</f>
        <v/>
      </c>
      <c r="I1844" s="26" t="str">
        <f aca="false">IF(A1844="","",IF(C1844="No encontrado","No","Sí"))</f>
        <v/>
      </c>
      <c r="J1844" s="26" t="str">
        <f aca="false">IF(A1844="","",IF(F1844="Inactivo","No","Sí"))</f>
        <v/>
      </c>
      <c r="K1844" s="26" t="str">
        <f aca="false">IF(A1844="","",IF(AND(I1844="Sí",J1844="Sí"),"Sí","No"))</f>
        <v/>
      </c>
    </row>
    <row r="1845" customFormat="false" ht="15" hidden="false" customHeight="false" outlineLevel="0" collapsed="false">
      <c r="A1845" s="22"/>
      <c r="B1845" s="22"/>
      <c r="C1845" s="23" t="str">
        <f aca="false">IF(A1845="","",IFERROR(buscarx(A1845&amp;B1845,DATA!$E$3:$E$10000&amp;DATA!$B$3:$B$10000,DATA!$M$3:$M$10000),"No encontrado"))</f>
        <v/>
      </c>
      <c r="D1845" s="24" t="str">
        <f aca="false">IF(A1845="","",IFERROR(buscarx(A1845&amp;B1845,DATA!$E$3:$E$10000&amp;DATA!$B$3:$B$10000,DATA!$W$3:$W$10000),"No encontrado"))</f>
        <v/>
      </c>
      <c r="E1845" s="22"/>
      <c r="F1845" s="23" t="str">
        <f aca="false">IF(A1845="","",IFERROR(buscarx(A1845&amp;E1845,DATA!$E$3:$E$10000&amp;DATA!$B$3:$B$10000,DATA!$M$3:$M$10000),"Inactivo"))</f>
        <v/>
      </c>
      <c r="G1845" s="25" t="str">
        <f aca="false">IF(A1845="","",IF(AND(C1845&lt;&gt;"No encontrado",F1845&lt;&gt;"Inactivo"),C1845&amp;" → "&amp;F1845,"Sin transición"))</f>
        <v/>
      </c>
      <c r="H1845" s="23" t="str">
        <f aca="false">IF(A1845="","",IF(D1845="GCIA LINEA SERVICIO DIGITALIDAD Y VENTAS","Chats",IF(OR(D1845="GERENCIA INBOUND LÍNEAS SERVICIO Y VENTA",D1845="GERENCIA INBOUND LINEAS ESPECIALIZADAS"),"Llamadas","Otro")))</f>
        <v/>
      </c>
      <c r="I1845" s="23" t="str">
        <f aca="false">IF(A1845="","",IF(C1845="No encontrado","No","Sí"))</f>
        <v/>
      </c>
      <c r="J1845" s="23" t="str">
        <f aca="false">IF(A1845="","",IF(F1845="Inactivo","No","Sí"))</f>
        <v/>
      </c>
      <c r="K1845" s="23" t="str">
        <f aca="false">IF(A1845="","",IF(AND(I1845="Sí",J1845="Sí"),"Sí","No"))</f>
        <v/>
      </c>
    </row>
    <row r="1846" customFormat="false" ht="15" hidden="false" customHeight="false" outlineLevel="0" collapsed="false">
      <c r="A1846" s="22"/>
      <c r="B1846" s="22"/>
      <c r="C1846" s="26" t="str">
        <f aca="false">IF(A1846="","",IFERROR(buscarx(A1846&amp;B1846,DATA!$E$3:$E$10000&amp;DATA!$B$3:$B$10000,DATA!$M$3:$M$10000),"No encontrado"))</f>
        <v/>
      </c>
      <c r="D1846" s="27" t="str">
        <f aca="false">IF(A1846="","",IFERROR(buscarx(A1846&amp;B1846,DATA!$E$3:$E$10000&amp;DATA!$B$3:$B$10000,DATA!$W$3:$W$10000),"No encontrado"))</f>
        <v/>
      </c>
      <c r="E1846" s="22"/>
      <c r="F1846" s="26" t="str">
        <f aca="false">IF(A1846="","",IFERROR(buscarx(A1846&amp;E1846,DATA!$E$3:$E$10000&amp;DATA!$B$3:$B$10000,DATA!$M$3:$M$10000),"Inactivo"))</f>
        <v/>
      </c>
      <c r="G1846" s="28" t="str">
        <f aca="false">IF(A1846="","",IF(AND(C1846&lt;&gt;"No encontrado",F1846&lt;&gt;"Inactivo"),C1846&amp;" → "&amp;F1846,"Sin transición"))</f>
        <v/>
      </c>
      <c r="H1846" s="26" t="str">
        <f aca="false">IF(A1846="","",IF(D1846="GCIA LINEA SERVICIO DIGITALIDAD Y VENTAS","Chats",IF(OR(D1846="GERENCIA INBOUND LÍNEAS SERVICIO Y VENTA",D1846="GERENCIA INBOUND LINEAS ESPECIALIZADAS"),"Llamadas","Otro")))</f>
        <v/>
      </c>
      <c r="I1846" s="26" t="str">
        <f aca="false">IF(A1846="","",IF(C1846="No encontrado","No","Sí"))</f>
        <v/>
      </c>
      <c r="J1846" s="26" t="str">
        <f aca="false">IF(A1846="","",IF(F1846="Inactivo","No","Sí"))</f>
        <v/>
      </c>
      <c r="K1846" s="26" t="str">
        <f aca="false">IF(A1846="","",IF(AND(I1846="Sí",J1846="Sí"),"Sí","No"))</f>
        <v/>
      </c>
    </row>
    <row r="1847" customFormat="false" ht="15" hidden="false" customHeight="false" outlineLevel="0" collapsed="false">
      <c r="A1847" s="22"/>
      <c r="B1847" s="22"/>
      <c r="C1847" s="23" t="str">
        <f aca="false">IF(A1847="","",IFERROR(buscarx(A1847&amp;B1847,DATA!$E$3:$E$10000&amp;DATA!$B$3:$B$10000,DATA!$M$3:$M$10000),"No encontrado"))</f>
        <v/>
      </c>
      <c r="D1847" s="24" t="str">
        <f aca="false">IF(A1847="","",IFERROR(buscarx(A1847&amp;B1847,DATA!$E$3:$E$10000&amp;DATA!$B$3:$B$10000,DATA!$W$3:$W$10000),"No encontrado"))</f>
        <v/>
      </c>
      <c r="E1847" s="22"/>
      <c r="F1847" s="23" t="str">
        <f aca="false">IF(A1847="","",IFERROR(buscarx(A1847&amp;E1847,DATA!$E$3:$E$10000&amp;DATA!$B$3:$B$10000,DATA!$M$3:$M$10000),"Inactivo"))</f>
        <v/>
      </c>
      <c r="G1847" s="25" t="str">
        <f aca="false">IF(A1847="","",IF(AND(C1847&lt;&gt;"No encontrado",F1847&lt;&gt;"Inactivo"),C1847&amp;" → "&amp;F1847,"Sin transición"))</f>
        <v/>
      </c>
      <c r="H1847" s="23" t="str">
        <f aca="false">IF(A1847="","",IF(D1847="GCIA LINEA SERVICIO DIGITALIDAD Y VENTAS","Chats",IF(OR(D1847="GERENCIA INBOUND LÍNEAS SERVICIO Y VENTA",D1847="GERENCIA INBOUND LINEAS ESPECIALIZADAS"),"Llamadas","Otro")))</f>
        <v/>
      </c>
      <c r="I1847" s="23" t="str">
        <f aca="false">IF(A1847="","",IF(C1847="No encontrado","No","Sí"))</f>
        <v/>
      </c>
      <c r="J1847" s="23" t="str">
        <f aca="false">IF(A1847="","",IF(F1847="Inactivo","No","Sí"))</f>
        <v/>
      </c>
      <c r="K1847" s="23" t="str">
        <f aca="false">IF(A1847="","",IF(AND(I1847="Sí",J1847="Sí"),"Sí","No"))</f>
        <v/>
      </c>
    </row>
    <row r="1848" customFormat="false" ht="15" hidden="false" customHeight="false" outlineLevel="0" collapsed="false">
      <c r="A1848" s="22"/>
      <c r="B1848" s="22"/>
      <c r="C1848" s="26" t="str">
        <f aca="false">IF(A1848="","",IFERROR(buscarx(A1848&amp;B1848,DATA!$E$3:$E$10000&amp;DATA!$B$3:$B$10000,DATA!$M$3:$M$10000),"No encontrado"))</f>
        <v/>
      </c>
      <c r="D1848" s="27" t="str">
        <f aca="false">IF(A1848="","",IFERROR(buscarx(A1848&amp;B1848,DATA!$E$3:$E$10000&amp;DATA!$B$3:$B$10000,DATA!$W$3:$W$10000),"No encontrado"))</f>
        <v/>
      </c>
      <c r="E1848" s="22"/>
      <c r="F1848" s="26" t="str">
        <f aca="false">IF(A1848="","",IFERROR(buscarx(A1848&amp;E1848,DATA!$E$3:$E$10000&amp;DATA!$B$3:$B$10000,DATA!$M$3:$M$10000),"Inactivo"))</f>
        <v/>
      </c>
      <c r="G1848" s="28" t="str">
        <f aca="false">IF(A1848="","",IF(AND(C1848&lt;&gt;"No encontrado",F1848&lt;&gt;"Inactivo"),C1848&amp;" → "&amp;F1848,"Sin transición"))</f>
        <v/>
      </c>
      <c r="H1848" s="26" t="str">
        <f aca="false">IF(A1848="","",IF(D1848="GCIA LINEA SERVICIO DIGITALIDAD Y VENTAS","Chats",IF(OR(D1848="GERENCIA INBOUND LÍNEAS SERVICIO Y VENTA",D1848="GERENCIA INBOUND LINEAS ESPECIALIZADAS"),"Llamadas","Otro")))</f>
        <v/>
      </c>
      <c r="I1848" s="26" t="str">
        <f aca="false">IF(A1848="","",IF(C1848="No encontrado","No","Sí"))</f>
        <v/>
      </c>
      <c r="J1848" s="26" t="str">
        <f aca="false">IF(A1848="","",IF(F1848="Inactivo","No","Sí"))</f>
        <v/>
      </c>
      <c r="K1848" s="26" t="str">
        <f aca="false">IF(A1848="","",IF(AND(I1848="Sí",J1848="Sí"),"Sí","No"))</f>
        <v/>
      </c>
    </row>
    <row r="1849" customFormat="false" ht="15" hidden="false" customHeight="false" outlineLevel="0" collapsed="false">
      <c r="A1849" s="22"/>
      <c r="B1849" s="22"/>
      <c r="C1849" s="23" t="str">
        <f aca="false">IF(A1849="","",IFERROR(buscarx(A1849&amp;B1849,DATA!$E$3:$E$10000&amp;DATA!$B$3:$B$10000,DATA!$M$3:$M$10000),"No encontrado"))</f>
        <v/>
      </c>
      <c r="D1849" s="24" t="str">
        <f aca="false">IF(A1849="","",IFERROR(buscarx(A1849&amp;B1849,DATA!$E$3:$E$10000&amp;DATA!$B$3:$B$10000,DATA!$W$3:$W$10000),"No encontrado"))</f>
        <v/>
      </c>
      <c r="E1849" s="22"/>
      <c r="F1849" s="23" t="str">
        <f aca="false">IF(A1849="","",IFERROR(buscarx(A1849&amp;E1849,DATA!$E$3:$E$10000&amp;DATA!$B$3:$B$10000,DATA!$M$3:$M$10000),"Inactivo"))</f>
        <v/>
      </c>
      <c r="G1849" s="25" t="str">
        <f aca="false">IF(A1849="","",IF(AND(C1849&lt;&gt;"No encontrado",F1849&lt;&gt;"Inactivo"),C1849&amp;" → "&amp;F1849,"Sin transición"))</f>
        <v/>
      </c>
      <c r="H1849" s="23" t="str">
        <f aca="false">IF(A1849="","",IF(D1849="GCIA LINEA SERVICIO DIGITALIDAD Y VENTAS","Chats",IF(OR(D1849="GERENCIA INBOUND LÍNEAS SERVICIO Y VENTA",D1849="GERENCIA INBOUND LINEAS ESPECIALIZADAS"),"Llamadas","Otro")))</f>
        <v/>
      </c>
      <c r="I1849" s="23" t="str">
        <f aca="false">IF(A1849="","",IF(C1849="No encontrado","No","Sí"))</f>
        <v/>
      </c>
      <c r="J1849" s="23" t="str">
        <f aca="false">IF(A1849="","",IF(F1849="Inactivo","No","Sí"))</f>
        <v/>
      </c>
      <c r="K1849" s="23" t="str">
        <f aca="false">IF(A1849="","",IF(AND(I1849="Sí",J1849="Sí"),"Sí","No"))</f>
        <v/>
      </c>
    </row>
    <row r="1850" customFormat="false" ht="15" hidden="false" customHeight="false" outlineLevel="0" collapsed="false">
      <c r="A1850" s="22"/>
      <c r="B1850" s="22"/>
      <c r="C1850" s="26" t="str">
        <f aca="false">IF(A1850="","",IFERROR(buscarx(A1850&amp;B1850,DATA!$E$3:$E$10000&amp;DATA!$B$3:$B$10000,DATA!$M$3:$M$10000),"No encontrado"))</f>
        <v/>
      </c>
      <c r="D1850" s="27" t="str">
        <f aca="false">IF(A1850="","",IFERROR(buscarx(A1850&amp;B1850,DATA!$E$3:$E$10000&amp;DATA!$B$3:$B$10000,DATA!$W$3:$W$10000),"No encontrado"))</f>
        <v/>
      </c>
      <c r="E1850" s="22"/>
      <c r="F1850" s="26" t="str">
        <f aca="false">IF(A1850="","",IFERROR(buscarx(A1850&amp;E1850,DATA!$E$3:$E$10000&amp;DATA!$B$3:$B$10000,DATA!$M$3:$M$10000),"Inactivo"))</f>
        <v/>
      </c>
      <c r="G1850" s="28" t="str">
        <f aca="false">IF(A1850="","",IF(AND(C1850&lt;&gt;"No encontrado",F1850&lt;&gt;"Inactivo"),C1850&amp;" → "&amp;F1850,"Sin transición"))</f>
        <v/>
      </c>
      <c r="H1850" s="26" t="str">
        <f aca="false">IF(A1850="","",IF(D1850="GCIA LINEA SERVICIO DIGITALIDAD Y VENTAS","Chats",IF(OR(D1850="GERENCIA INBOUND LÍNEAS SERVICIO Y VENTA",D1850="GERENCIA INBOUND LINEAS ESPECIALIZADAS"),"Llamadas","Otro")))</f>
        <v/>
      </c>
      <c r="I1850" s="26" t="str">
        <f aca="false">IF(A1850="","",IF(C1850="No encontrado","No","Sí"))</f>
        <v/>
      </c>
      <c r="J1850" s="26" t="str">
        <f aca="false">IF(A1850="","",IF(F1850="Inactivo","No","Sí"))</f>
        <v/>
      </c>
      <c r="K1850" s="26" t="str">
        <f aca="false">IF(A1850="","",IF(AND(I1850="Sí",J1850="Sí"),"Sí","No"))</f>
        <v/>
      </c>
    </row>
    <row r="1851" customFormat="false" ht="15" hidden="false" customHeight="false" outlineLevel="0" collapsed="false">
      <c r="A1851" s="22"/>
      <c r="B1851" s="22"/>
      <c r="C1851" s="23" t="str">
        <f aca="false">IF(A1851="","",IFERROR(buscarx(A1851&amp;B1851,DATA!$E$3:$E$10000&amp;DATA!$B$3:$B$10000,DATA!$M$3:$M$10000),"No encontrado"))</f>
        <v/>
      </c>
      <c r="D1851" s="24" t="str">
        <f aca="false">IF(A1851="","",IFERROR(buscarx(A1851&amp;B1851,DATA!$E$3:$E$10000&amp;DATA!$B$3:$B$10000,DATA!$W$3:$W$10000),"No encontrado"))</f>
        <v/>
      </c>
      <c r="E1851" s="22"/>
      <c r="F1851" s="23" t="str">
        <f aca="false">IF(A1851="","",IFERROR(buscarx(A1851&amp;E1851,DATA!$E$3:$E$10000&amp;DATA!$B$3:$B$10000,DATA!$M$3:$M$10000),"Inactivo"))</f>
        <v/>
      </c>
      <c r="G1851" s="25" t="str">
        <f aca="false">IF(A1851="","",IF(AND(C1851&lt;&gt;"No encontrado",F1851&lt;&gt;"Inactivo"),C1851&amp;" → "&amp;F1851,"Sin transición"))</f>
        <v/>
      </c>
      <c r="H1851" s="23" t="str">
        <f aca="false">IF(A1851="","",IF(D1851="GCIA LINEA SERVICIO DIGITALIDAD Y VENTAS","Chats",IF(OR(D1851="GERENCIA INBOUND LÍNEAS SERVICIO Y VENTA",D1851="GERENCIA INBOUND LINEAS ESPECIALIZADAS"),"Llamadas","Otro")))</f>
        <v/>
      </c>
      <c r="I1851" s="23" t="str">
        <f aca="false">IF(A1851="","",IF(C1851="No encontrado","No","Sí"))</f>
        <v/>
      </c>
      <c r="J1851" s="23" t="str">
        <f aca="false">IF(A1851="","",IF(F1851="Inactivo","No","Sí"))</f>
        <v/>
      </c>
      <c r="K1851" s="23" t="str">
        <f aca="false">IF(A1851="","",IF(AND(I1851="Sí",J1851="Sí"),"Sí","No"))</f>
        <v/>
      </c>
    </row>
    <row r="1852" customFormat="false" ht="15" hidden="false" customHeight="false" outlineLevel="0" collapsed="false">
      <c r="A1852" s="22"/>
      <c r="B1852" s="22"/>
      <c r="C1852" s="26" t="str">
        <f aca="false">IF(A1852="","",IFERROR(buscarx(A1852&amp;B1852,DATA!$E$3:$E$10000&amp;DATA!$B$3:$B$10000,DATA!$M$3:$M$10000),"No encontrado"))</f>
        <v/>
      </c>
      <c r="D1852" s="27" t="str">
        <f aca="false">IF(A1852="","",IFERROR(buscarx(A1852&amp;B1852,DATA!$E$3:$E$10000&amp;DATA!$B$3:$B$10000,DATA!$W$3:$W$10000),"No encontrado"))</f>
        <v/>
      </c>
      <c r="E1852" s="22"/>
      <c r="F1852" s="26" t="str">
        <f aca="false">IF(A1852="","",IFERROR(buscarx(A1852&amp;E1852,DATA!$E$3:$E$10000&amp;DATA!$B$3:$B$10000,DATA!$M$3:$M$10000),"Inactivo"))</f>
        <v/>
      </c>
      <c r="G1852" s="28" t="str">
        <f aca="false">IF(A1852="","",IF(AND(C1852&lt;&gt;"No encontrado",F1852&lt;&gt;"Inactivo"),C1852&amp;" → "&amp;F1852,"Sin transición"))</f>
        <v/>
      </c>
      <c r="H1852" s="26" t="str">
        <f aca="false">IF(A1852="","",IF(D1852="GCIA LINEA SERVICIO DIGITALIDAD Y VENTAS","Chats",IF(OR(D1852="GERENCIA INBOUND LÍNEAS SERVICIO Y VENTA",D1852="GERENCIA INBOUND LINEAS ESPECIALIZADAS"),"Llamadas","Otro")))</f>
        <v/>
      </c>
      <c r="I1852" s="26" t="str">
        <f aca="false">IF(A1852="","",IF(C1852="No encontrado","No","Sí"))</f>
        <v/>
      </c>
      <c r="J1852" s="26" t="str">
        <f aca="false">IF(A1852="","",IF(F1852="Inactivo","No","Sí"))</f>
        <v/>
      </c>
      <c r="K1852" s="26" t="str">
        <f aca="false">IF(A1852="","",IF(AND(I1852="Sí",J1852="Sí"),"Sí","No"))</f>
        <v/>
      </c>
    </row>
    <row r="1853" customFormat="false" ht="15" hidden="false" customHeight="false" outlineLevel="0" collapsed="false">
      <c r="A1853" s="22"/>
      <c r="B1853" s="22"/>
      <c r="C1853" s="23" t="str">
        <f aca="false">IF(A1853="","",IFERROR(buscarx(A1853&amp;B1853,DATA!$E$3:$E$10000&amp;DATA!$B$3:$B$10000,DATA!$M$3:$M$10000),"No encontrado"))</f>
        <v/>
      </c>
      <c r="D1853" s="24" t="str">
        <f aca="false">IF(A1853="","",IFERROR(buscarx(A1853&amp;B1853,DATA!$E$3:$E$10000&amp;DATA!$B$3:$B$10000,DATA!$W$3:$W$10000),"No encontrado"))</f>
        <v/>
      </c>
      <c r="E1853" s="22"/>
      <c r="F1853" s="23" t="str">
        <f aca="false">IF(A1853="","",IFERROR(buscarx(A1853&amp;E1853,DATA!$E$3:$E$10000&amp;DATA!$B$3:$B$10000,DATA!$M$3:$M$10000),"Inactivo"))</f>
        <v/>
      </c>
      <c r="G1853" s="25" t="str">
        <f aca="false">IF(A1853="","",IF(AND(C1853&lt;&gt;"No encontrado",F1853&lt;&gt;"Inactivo"),C1853&amp;" → "&amp;F1853,"Sin transición"))</f>
        <v/>
      </c>
      <c r="H1853" s="23" t="str">
        <f aca="false">IF(A1853="","",IF(D1853="GCIA LINEA SERVICIO DIGITALIDAD Y VENTAS","Chats",IF(OR(D1853="GERENCIA INBOUND LÍNEAS SERVICIO Y VENTA",D1853="GERENCIA INBOUND LINEAS ESPECIALIZADAS"),"Llamadas","Otro")))</f>
        <v/>
      </c>
      <c r="I1853" s="23" t="str">
        <f aca="false">IF(A1853="","",IF(C1853="No encontrado","No","Sí"))</f>
        <v/>
      </c>
      <c r="J1853" s="23" t="str">
        <f aca="false">IF(A1853="","",IF(F1853="Inactivo","No","Sí"))</f>
        <v/>
      </c>
      <c r="K1853" s="23" t="str">
        <f aca="false">IF(A1853="","",IF(AND(I1853="Sí",J1853="Sí"),"Sí","No"))</f>
        <v/>
      </c>
    </row>
    <row r="1854" customFormat="false" ht="15" hidden="false" customHeight="false" outlineLevel="0" collapsed="false">
      <c r="A1854" s="22"/>
      <c r="B1854" s="22"/>
      <c r="C1854" s="26" t="str">
        <f aca="false">IF(A1854="","",IFERROR(buscarx(A1854&amp;B1854,DATA!$E$3:$E$10000&amp;DATA!$B$3:$B$10000,DATA!$M$3:$M$10000),"No encontrado"))</f>
        <v/>
      </c>
      <c r="D1854" s="27" t="str">
        <f aca="false">IF(A1854="","",IFERROR(buscarx(A1854&amp;B1854,DATA!$E$3:$E$10000&amp;DATA!$B$3:$B$10000,DATA!$W$3:$W$10000),"No encontrado"))</f>
        <v/>
      </c>
      <c r="E1854" s="22"/>
      <c r="F1854" s="26" t="str">
        <f aca="false">IF(A1854="","",IFERROR(buscarx(A1854&amp;E1854,DATA!$E$3:$E$10000&amp;DATA!$B$3:$B$10000,DATA!$M$3:$M$10000),"Inactivo"))</f>
        <v/>
      </c>
      <c r="G1854" s="28" t="str">
        <f aca="false">IF(A1854="","",IF(AND(C1854&lt;&gt;"No encontrado",F1854&lt;&gt;"Inactivo"),C1854&amp;" → "&amp;F1854,"Sin transición"))</f>
        <v/>
      </c>
      <c r="H1854" s="26" t="str">
        <f aca="false">IF(A1854="","",IF(D1854="GCIA LINEA SERVICIO DIGITALIDAD Y VENTAS","Chats",IF(OR(D1854="GERENCIA INBOUND LÍNEAS SERVICIO Y VENTA",D1854="GERENCIA INBOUND LINEAS ESPECIALIZADAS"),"Llamadas","Otro")))</f>
        <v/>
      </c>
      <c r="I1854" s="26" t="str">
        <f aca="false">IF(A1854="","",IF(C1854="No encontrado","No","Sí"))</f>
        <v/>
      </c>
      <c r="J1854" s="26" t="str">
        <f aca="false">IF(A1854="","",IF(F1854="Inactivo","No","Sí"))</f>
        <v/>
      </c>
      <c r="K1854" s="26" t="str">
        <f aca="false">IF(A1854="","",IF(AND(I1854="Sí",J1854="Sí"),"Sí","No"))</f>
        <v/>
      </c>
    </row>
    <row r="1855" customFormat="false" ht="15" hidden="false" customHeight="false" outlineLevel="0" collapsed="false">
      <c r="A1855" s="22"/>
      <c r="B1855" s="22"/>
      <c r="C1855" s="23" t="str">
        <f aca="false">IF(A1855="","",IFERROR(buscarx(A1855&amp;B1855,DATA!$E$3:$E$10000&amp;DATA!$B$3:$B$10000,DATA!$M$3:$M$10000),"No encontrado"))</f>
        <v/>
      </c>
      <c r="D1855" s="24" t="str">
        <f aca="false">IF(A1855="","",IFERROR(buscarx(A1855&amp;B1855,DATA!$E$3:$E$10000&amp;DATA!$B$3:$B$10000,DATA!$W$3:$W$10000),"No encontrado"))</f>
        <v/>
      </c>
      <c r="E1855" s="22"/>
      <c r="F1855" s="23" t="str">
        <f aca="false">IF(A1855="","",IFERROR(buscarx(A1855&amp;E1855,DATA!$E$3:$E$10000&amp;DATA!$B$3:$B$10000,DATA!$M$3:$M$10000),"Inactivo"))</f>
        <v/>
      </c>
      <c r="G1855" s="25" t="str">
        <f aca="false">IF(A1855="","",IF(AND(C1855&lt;&gt;"No encontrado",F1855&lt;&gt;"Inactivo"),C1855&amp;" → "&amp;F1855,"Sin transición"))</f>
        <v/>
      </c>
      <c r="H1855" s="23" t="str">
        <f aca="false">IF(A1855="","",IF(D1855="GCIA LINEA SERVICIO DIGITALIDAD Y VENTAS","Chats",IF(OR(D1855="GERENCIA INBOUND LÍNEAS SERVICIO Y VENTA",D1855="GERENCIA INBOUND LINEAS ESPECIALIZADAS"),"Llamadas","Otro")))</f>
        <v/>
      </c>
      <c r="I1855" s="23" t="str">
        <f aca="false">IF(A1855="","",IF(C1855="No encontrado","No","Sí"))</f>
        <v/>
      </c>
      <c r="J1855" s="23" t="str">
        <f aca="false">IF(A1855="","",IF(F1855="Inactivo","No","Sí"))</f>
        <v/>
      </c>
      <c r="K1855" s="23" t="str">
        <f aca="false">IF(A1855="","",IF(AND(I1855="Sí",J1855="Sí"),"Sí","No"))</f>
        <v/>
      </c>
    </row>
    <row r="1856" customFormat="false" ht="15" hidden="false" customHeight="false" outlineLevel="0" collapsed="false">
      <c r="A1856" s="22"/>
      <c r="B1856" s="22"/>
      <c r="C1856" s="26" t="str">
        <f aca="false">IF(A1856="","",IFERROR(buscarx(A1856&amp;B1856,DATA!$E$3:$E$10000&amp;DATA!$B$3:$B$10000,DATA!$M$3:$M$10000),"No encontrado"))</f>
        <v/>
      </c>
      <c r="D1856" s="27" t="str">
        <f aca="false">IF(A1856="","",IFERROR(buscarx(A1856&amp;B1856,DATA!$E$3:$E$10000&amp;DATA!$B$3:$B$10000,DATA!$W$3:$W$10000),"No encontrado"))</f>
        <v/>
      </c>
      <c r="E1856" s="22"/>
      <c r="F1856" s="26" t="str">
        <f aca="false">IF(A1856="","",IFERROR(buscarx(A1856&amp;E1856,DATA!$E$3:$E$10000&amp;DATA!$B$3:$B$10000,DATA!$M$3:$M$10000),"Inactivo"))</f>
        <v/>
      </c>
      <c r="G1856" s="28" t="str">
        <f aca="false">IF(A1856="","",IF(AND(C1856&lt;&gt;"No encontrado",F1856&lt;&gt;"Inactivo"),C1856&amp;" → "&amp;F1856,"Sin transición"))</f>
        <v/>
      </c>
      <c r="H1856" s="26" t="str">
        <f aca="false">IF(A1856="","",IF(D1856="GCIA LINEA SERVICIO DIGITALIDAD Y VENTAS","Chats",IF(OR(D1856="GERENCIA INBOUND LÍNEAS SERVICIO Y VENTA",D1856="GERENCIA INBOUND LINEAS ESPECIALIZADAS"),"Llamadas","Otro")))</f>
        <v/>
      </c>
      <c r="I1856" s="26" t="str">
        <f aca="false">IF(A1856="","",IF(C1856="No encontrado","No","Sí"))</f>
        <v/>
      </c>
      <c r="J1856" s="26" t="str">
        <f aca="false">IF(A1856="","",IF(F1856="Inactivo","No","Sí"))</f>
        <v/>
      </c>
      <c r="K1856" s="26" t="str">
        <f aca="false">IF(A1856="","",IF(AND(I1856="Sí",J1856="Sí"),"Sí","No"))</f>
        <v/>
      </c>
    </row>
    <row r="1857" customFormat="false" ht="15" hidden="false" customHeight="false" outlineLevel="0" collapsed="false">
      <c r="A1857" s="22"/>
      <c r="B1857" s="22"/>
      <c r="C1857" s="23" t="str">
        <f aca="false">IF(A1857="","",IFERROR(buscarx(A1857&amp;B1857,DATA!$E$3:$E$10000&amp;DATA!$B$3:$B$10000,DATA!$M$3:$M$10000),"No encontrado"))</f>
        <v/>
      </c>
      <c r="D1857" s="24" t="str">
        <f aca="false">IF(A1857="","",IFERROR(buscarx(A1857&amp;B1857,DATA!$E$3:$E$10000&amp;DATA!$B$3:$B$10000,DATA!$W$3:$W$10000),"No encontrado"))</f>
        <v/>
      </c>
      <c r="E1857" s="22"/>
      <c r="F1857" s="23" t="str">
        <f aca="false">IF(A1857="","",IFERROR(buscarx(A1857&amp;E1857,DATA!$E$3:$E$10000&amp;DATA!$B$3:$B$10000,DATA!$M$3:$M$10000),"Inactivo"))</f>
        <v/>
      </c>
      <c r="G1857" s="25" t="str">
        <f aca="false">IF(A1857="","",IF(AND(C1857&lt;&gt;"No encontrado",F1857&lt;&gt;"Inactivo"),C1857&amp;" → "&amp;F1857,"Sin transición"))</f>
        <v/>
      </c>
      <c r="H1857" s="23" t="str">
        <f aca="false">IF(A1857="","",IF(D1857="GCIA LINEA SERVICIO DIGITALIDAD Y VENTAS","Chats",IF(OR(D1857="GERENCIA INBOUND LÍNEAS SERVICIO Y VENTA",D1857="GERENCIA INBOUND LINEAS ESPECIALIZADAS"),"Llamadas","Otro")))</f>
        <v/>
      </c>
      <c r="I1857" s="23" t="str">
        <f aca="false">IF(A1857="","",IF(C1857="No encontrado","No","Sí"))</f>
        <v/>
      </c>
      <c r="J1857" s="23" t="str">
        <f aca="false">IF(A1857="","",IF(F1857="Inactivo","No","Sí"))</f>
        <v/>
      </c>
      <c r="K1857" s="23" t="str">
        <f aca="false">IF(A1857="","",IF(AND(I1857="Sí",J1857="Sí"),"Sí","No"))</f>
        <v/>
      </c>
    </row>
    <row r="1858" customFormat="false" ht="15" hidden="false" customHeight="false" outlineLevel="0" collapsed="false">
      <c r="A1858" s="22"/>
      <c r="B1858" s="22"/>
      <c r="C1858" s="26" t="str">
        <f aca="false">IF(A1858="","",IFERROR(buscarx(A1858&amp;B1858,DATA!$E$3:$E$10000&amp;DATA!$B$3:$B$10000,DATA!$M$3:$M$10000),"No encontrado"))</f>
        <v/>
      </c>
      <c r="D1858" s="27" t="str">
        <f aca="false">IF(A1858="","",IFERROR(buscarx(A1858&amp;B1858,DATA!$E$3:$E$10000&amp;DATA!$B$3:$B$10000,DATA!$W$3:$W$10000),"No encontrado"))</f>
        <v/>
      </c>
      <c r="E1858" s="22"/>
      <c r="F1858" s="26" t="str">
        <f aca="false">IF(A1858="","",IFERROR(buscarx(A1858&amp;E1858,DATA!$E$3:$E$10000&amp;DATA!$B$3:$B$10000,DATA!$M$3:$M$10000),"Inactivo"))</f>
        <v/>
      </c>
      <c r="G1858" s="28" t="str">
        <f aca="false">IF(A1858="","",IF(AND(C1858&lt;&gt;"No encontrado",F1858&lt;&gt;"Inactivo"),C1858&amp;" → "&amp;F1858,"Sin transición"))</f>
        <v/>
      </c>
      <c r="H1858" s="26" t="str">
        <f aca="false">IF(A1858="","",IF(D1858="GCIA LINEA SERVICIO DIGITALIDAD Y VENTAS","Chats",IF(OR(D1858="GERENCIA INBOUND LÍNEAS SERVICIO Y VENTA",D1858="GERENCIA INBOUND LINEAS ESPECIALIZADAS"),"Llamadas","Otro")))</f>
        <v/>
      </c>
      <c r="I1858" s="26" t="str">
        <f aca="false">IF(A1858="","",IF(C1858="No encontrado","No","Sí"))</f>
        <v/>
      </c>
      <c r="J1858" s="26" t="str">
        <f aca="false">IF(A1858="","",IF(F1858="Inactivo","No","Sí"))</f>
        <v/>
      </c>
      <c r="K1858" s="26" t="str">
        <f aca="false">IF(A1858="","",IF(AND(I1858="Sí",J1858="Sí"),"Sí","No"))</f>
        <v/>
      </c>
    </row>
    <row r="1859" customFormat="false" ht="15" hidden="false" customHeight="false" outlineLevel="0" collapsed="false">
      <c r="A1859" s="22"/>
      <c r="B1859" s="22"/>
      <c r="C1859" s="23" t="str">
        <f aca="false">IF(A1859="","",IFERROR(buscarx(A1859&amp;B1859,DATA!$E$3:$E$10000&amp;DATA!$B$3:$B$10000,DATA!$M$3:$M$10000),"No encontrado"))</f>
        <v/>
      </c>
      <c r="D1859" s="24" t="str">
        <f aca="false">IF(A1859="","",IFERROR(buscarx(A1859&amp;B1859,DATA!$E$3:$E$10000&amp;DATA!$B$3:$B$10000,DATA!$W$3:$W$10000),"No encontrado"))</f>
        <v/>
      </c>
      <c r="E1859" s="22"/>
      <c r="F1859" s="23" t="str">
        <f aca="false">IF(A1859="","",IFERROR(buscarx(A1859&amp;E1859,DATA!$E$3:$E$10000&amp;DATA!$B$3:$B$10000,DATA!$M$3:$M$10000),"Inactivo"))</f>
        <v/>
      </c>
      <c r="G1859" s="25" t="str">
        <f aca="false">IF(A1859="","",IF(AND(C1859&lt;&gt;"No encontrado",F1859&lt;&gt;"Inactivo"),C1859&amp;" → "&amp;F1859,"Sin transición"))</f>
        <v/>
      </c>
      <c r="H1859" s="23" t="str">
        <f aca="false">IF(A1859="","",IF(D1859="GCIA LINEA SERVICIO DIGITALIDAD Y VENTAS","Chats",IF(OR(D1859="GERENCIA INBOUND LÍNEAS SERVICIO Y VENTA",D1859="GERENCIA INBOUND LINEAS ESPECIALIZADAS"),"Llamadas","Otro")))</f>
        <v/>
      </c>
      <c r="I1859" s="23" t="str">
        <f aca="false">IF(A1859="","",IF(C1859="No encontrado","No","Sí"))</f>
        <v/>
      </c>
      <c r="J1859" s="23" t="str">
        <f aca="false">IF(A1859="","",IF(F1859="Inactivo","No","Sí"))</f>
        <v/>
      </c>
      <c r="K1859" s="23" t="str">
        <f aca="false">IF(A1859="","",IF(AND(I1859="Sí",J1859="Sí"),"Sí","No"))</f>
        <v/>
      </c>
    </row>
    <row r="1860" customFormat="false" ht="15" hidden="false" customHeight="false" outlineLevel="0" collapsed="false">
      <c r="A1860" s="22"/>
      <c r="B1860" s="22"/>
      <c r="C1860" s="26" t="str">
        <f aca="false">IF(A1860="","",IFERROR(buscarx(A1860&amp;B1860,DATA!$E$3:$E$10000&amp;DATA!$B$3:$B$10000,DATA!$M$3:$M$10000),"No encontrado"))</f>
        <v/>
      </c>
      <c r="D1860" s="27" t="str">
        <f aca="false">IF(A1860="","",IFERROR(buscarx(A1860&amp;B1860,DATA!$E$3:$E$10000&amp;DATA!$B$3:$B$10000,DATA!$W$3:$W$10000),"No encontrado"))</f>
        <v/>
      </c>
      <c r="E1860" s="22"/>
      <c r="F1860" s="26" t="str">
        <f aca="false">IF(A1860="","",IFERROR(buscarx(A1860&amp;E1860,DATA!$E$3:$E$10000&amp;DATA!$B$3:$B$10000,DATA!$M$3:$M$10000),"Inactivo"))</f>
        <v/>
      </c>
      <c r="G1860" s="28" t="str">
        <f aca="false">IF(A1860="","",IF(AND(C1860&lt;&gt;"No encontrado",F1860&lt;&gt;"Inactivo"),C1860&amp;" → "&amp;F1860,"Sin transición"))</f>
        <v/>
      </c>
      <c r="H1860" s="26" t="str">
        <f aca="false">IF(A1860="","",IF(D1860="GCIA LINEA SERVICIO DIGITALIDAD Y VENTAS","Chats",IF(OR(D1860="GERENCIA INBOUND LÍNEAS SERVICIO Y VENTA",D1860="GERENCIA INBOUND LINEAS ESPECIALIZADAS"),"Llamadas","Otro")))</f>
        <v/>
      </c>
      <c r="I1860" s="26" t="str">
        <f aca="false">IF(A1860="","",IF(C1860="No encontrado","No","Sí"))</f>
        <v/>
      </c>
      <c r="J1860" s="26" t="str">
        <f aca="false">IF(A1860="","",IF(F1860="Inactivo","No","Sí"))</f>
        <v/>
      </c>
      <c r="K1860" s="26" t="str">
        <f aca="false">IF(A1860="","",IF(AND(I1860="Sí",J1860="Sí"),"Sí","No"))</f>
        <v/>
      </c>
    </row>
    <row r="1861" customFormat="false" ht="15" hidden="false" customHeight="false" outlineLevel="0" collapsed="false">
      <c r="A1861" s="22"/>
      <c r="B1861" s="22"/>
      <c r="C1861" s="23" t="str">
        <f aca="false">IF(A1861="","",IFERROR(buscarx(A1861&amp;B1861,DATA!$E$3:$E$10000&amp;DATA!$B$3:$B$10000,DATA!$M$3:$M$10000),"No encontrado"))</f>
        <v/>
      </c>
      <c r="D1861" s="24" t="str">
        <f aca="false">IF(A1861="","",IFERROR(buscarx(A1861&amp;B1861,DATA!$E$3:$E$10000&amp;DATA!$B$3:$B$10000,DATA!$W$3:$W$10000),"No encontrado"))</f>
        <v/>
      </c>
      <c r="E1861" s="22"/>
      <c r="F1861" s="23" t="str">
        <f aca="false">IF(A1861="","",IFERROR(buscarx(A1861&amp;E1861,DATA!$E$3:$E$10000&amp;DATA!$B$3:$B$10000,DATA!$M$3:$M$10000),"Inactivo"))</f>
        <v/>
      </c>
      <c r="G1861" s="25" t="str">
        <f aca="false">IF(A1861="","",IF(AND(C1861&lt;&gt;"No encontrado",F1861&lt;&gt;"Inactivo"),C1861&amp;" → "&amp;F1861,"Sin transición"))</f>
        <v/>
      </c>
      <c r="H1861" s="23" t="str">
        <f aca="false">IF(A1861="","",IF(D1861="GCIA LINEA SERVICIO DIGITALIDAD Y VENTAS","Chats",IF(OR(D1861="GERENCIA INBOUND LÍNEAS SERVICIO Y VENTA",D1861="GERENCIA INBOUND LINEAS ESPECIALIZADAS"),"Llamadas","Otro")))</f>
        <v/>
      </c>
      <c r="I1861" s="23" t="str">
        <f aca="false">IF(A1861="","",IF(C1861="No encontrado","No","Sí"))</f>
        <v/>
      </c>
      <c r="J1861" s="23" t="str">
        <f aca="false">IF(A1861="","",IF(F1861="Inactivo","No","Sí"))</f>
        <v/>
      </c>
      <c r="K1861" s="23" t="str">
        <f aca="false">IF(A1861="","",IF(AND(I1861="Sí",J1861="Sí"),"Sí","No"))</f>
        <v/>
      </c>
    </row>
    <row r="1862" customFormat="false" ht="15" hidden="false" customHeight="false" outlineLevel="0" collapsed="false">
      <c r="A1862" s="22"/>
      <c r="B1862" s="22"/>
      <c r="C1862" s="26" t="str">
        <f aca="false">IF(A1862="","",IFERROR(buscarx(A1862&amp;B1862,DATA!$E$3:$E$10000&amp;DATA!$B$3:$B$10000,DATA!$M$3:$M$10000),"No encontrado"))</f>
        <v/>
      </c>
      <c r="D1862" s="27" t="str">
        <f aca="false">IF(A1862="","",IFERROR(buscarx(A1862&amp;B1862,DATA!$E$3:$E$10000&amp;DATA!$B$3:$B$10000,DATA!$W$3:$W$10000),"No encontrado"))</f>
        <v/>
      </c>
      <c r="E1862" s="22"/>
      <c r="F1862" s="26" t="str">
        <f aca="false">IF(A1862="","",IFERROR(buscarx(A1862&amp;E1862,DATA!$E$3:$E$10000&amp;DATA!$B$3:$B$10000,DATA!$M$3:$M$10000),"Inactivo"))</f>
        <v/>
      </c>
      <c r="G1862" s="28" t="str">
        <f aca="false">IF(A1862="","",IF(AND(C1862&lt;&gt;"No encontrado",F1862&lt;&gt;"Inactivo"),C1862&amp;" → "&amp;F1862,"Sin transición"))</f>
        <v/>
      </c>
      <c r="H1862" s="26" t="str">
        <f aca="false">IF(A1862="","",IF(D1862="GCIA LINEA SERVICIO DIGITALIDAD Y VENTAS","Chats",IF(OR(D1862="GERENCIA INBOUND LÍNEAS SERVICIO Y VENTA",D1862="GERENCIA INBOUND LINEAS ESPECIALIZADAS"),"Llamadas","Otro")))</f>
        <v/>
      </c>
      <c r="I1862" s="26" t="str">
        <f aca="false">IF(A1862="","",IF(C1862="No encontrado","No","Sí"))</f>
        <v/>
      </c>
      <c r="J1862" s="26" t="str">
        <f aca="false">IF(A1862="","",IF(F1862="Inactivo","No","Sí"))</f>
        <v/>
      </c>
      <c r="K1862" s="26" t="str">
        <f aca="false">IF(A1862="","",IF(AND(I1862="Sí",J1862="Sí"),"Sí","No"))</f>
        <v/>
      </c>
    </row>
    <row r="1863" customFormat="false" ht="15" hidden="false" customHeight="false" outlineLevel="0" collapsed="false">
      <c r="A1863" s="22"/>
      <c r="B1863" s="22"/>
      <c r="C1863" s="23" t="str">
        <f aca="false">IF(A1863="","",IFERROR(buscarx(A1863&amp;B1863,DATA!$E$3:$E$10000&amp;DATA!$B$3:$B$10000,DATA!$M$3:$M$10000),"No encontrado"))</f>
        <v/>
      </c>
      <c r="D1863" s="24" t="str">
        <f aca="false">IF(A1863="","",IFERROR(buscarx(A1863&amp;B1863,DATA!$E$3:$E$10000&amp;DATA!$B$3:$B$10000,DATA!$W$3:$W$10000),"No encontrado"))</f>
        <v/>
      </c>
      <c r="E1863" s="22"/>
      <c r="F1863" s="23" t="str">
        <f aca="false">IF(A1863="","",IFERROR(buscarx(A1863&amp;E1863,DATA!$E$3:$E$10000&amp;DATA!$B$3:$B$10000,DATA!$M$3:$M$10000),"Inactivo"))</f>
        <v/>
      </c>
      <c r="G1863" s="25" t="str">
        <f aca="false">IF(A1863="","",IF(AND(C1863&lt;&gt;"No encontrado",F1863&lt;&gt;"Inactivo"),C1863&amp;" → "&amp;F1863,"Sin transición"))</f>
        <v/>
      </c>
      <c r="H1863" s="23" t="str">
        <f aca="false">IF(A1863="","",IF(D1863="GCIA LINEA SERVICIO DIGITALIDAD Y VENTAS","Chats",IF(OR(D1863="GERENCIA INBOUND LÍNEAS SERVICIO Y VENTA",D1863="GERENCIA INBOUND LINEAS ESPECIALIZADAS"),"Llamadas","Otro")))</f>
        <v/>
      </c>
      <c r="I1863" s="23" t="str">
        <f aca="false">IF(A1863="","",IF(C1863="No encontrado","No","Sí"))</f>
        <v/>
      </c>
      <c r="J1863" s="23" t="str">
        <f aca="false">IF(A1863="","",IF(F1863="Inactivo","No","Sí"))</f>
        <v/>
      </c>
      <c r="K1863" s="23" t="str">
        <f aca="false">IF(A1863="","",IF(AND(I1863="Sí",J1863="Sí"),"Sí","No"))</f>
        <v/>
      </c>
    </row>
    <row r="1864" customFormat="false" ht="15" hidden="false" customHeight="false" outlineLevel="0" collapsed="false">
      <c r="A1864" s="22"/>
      <c r="B1864" s="22"/>
      <c r="C1864" s="26" t="str">
        <f aca="false">IF(A1864="","",IFERROR(buscarx(A1864&amp;B1864,DATA!$E$3:$E$10000&amp;DATA!$B$3:$B$10000,DATA!$M$3:$M$10000),"No encontrado"))</f>
        <v/>
      </c>
      <c r="D1864" s="27" t="str">
        <f aca="false">IF(A1864="","",IFERROR(buscarx(A1864&amp;B1864,DATA!$E$3:$E$10000&amp;DATA!$B$3:$B$10000,DATA!$W$3:$W$10000),"No encontrado"))</f>
        <v/>
      </c>
      <c r="E1864" s="22"/>
      <c r="F1864" s="26" t="str">
        <f aca="false">IF(A1864="","",IFERROR(buscarx(A1864&amp;E1864,DATA!$E$3:$E$10000&amp;DATA!$B$3:$B$10000,DATA!$M$3:$M$10000),"Inactivo"))</f>
        <v/>
      </c>
      <c r="G1864" s="28" t="str">
        <f aca="false">IF(A1864="","",IF(AND(C1864&lt;&gt;"No encontrado",F1864&lt;&gt;"Inactivo"),C1864&amp;" → "&amp;F1864,"Sin transición"))</f>
        <v/>
      </c>
      <c r="H1864" s="26" t="str">
        <f aca="false">IF(A1864="","",IF(D1864="GCIA LINEA SERVICIO DIGITALIDAD Y VENTAS","Chats",IF(OR(D1864="GERENCIA INBOUND LÍNEAS SERVICIO Y VENTA",D1864="GERENCIA INBOUND LINEAS ESPECIALIZADAS"),"Llamadas","Otro")))</f>
        <v/>
      </c>
      <c r="I1864" s="26" t="str">
        <f aca="false">IF(A1864="","",IF(C1864="No encontrado","No","Sí"))</f>
        <v/>
      </c>
      <c r="J1864" s="26" t="str">
        <f aca="false">IF(A1864="","",IF(F1864="Inactivo","No","Sí"))</f>
        <v/>
      </c>
      <c r="K1864" s="26" t="str">
        <f aca="false">IF(A1864="","",IF(AND(I1864="Sí",J1864="Sí"),"Sí","No"))</f>
        <v/>
      </c>
    </row>
    <row r="1865" customFormat="false" ht="15" hidden="false" customHeight="false" outlineLevel="0" collapsed="false">
      <c r="A1865" s="22"/>
      <c r="B1865" s="22"/>
      <c r="C1865" s="23" t="str">
        <f aca="false">IF(A1865="","",IFERROR(buscarx(A1865&amp;B1865,DATA!$E$3:$E$10000&amp;DATA!$B$3:$B$10000,DATA!$M$3:$M$10000),"No encontrado"))</f>
        <v/>
      </c>
      <c r="D1865" s="24" t="str">
        <f aca="false">IF(A1865="","",IFERROR(buscarx(A1865&amp;B1865,DATA!$E$3:$E$10000&amp;DATA!$B$3:$B$10000,DATA!$W$3:$W$10000),"No encontrado"))</f>
        <v/>
      </c>
      <c r="E1865" s="22"/>
      <c r="F1865" s="23" t="str">
        <f aca="false">IF(A1865="","",IFERROR(buscarx(A1865&amp;E1865,DATA!$E$3:$E$10000&amp;DATA!$B$3:$B$10000,DATA!$M$3:$M$10000),"Inactivo"))</f>
        <v/>
      </c>
      <c r="G1865" s="25" t="str">
        <f aca="false">IF(A1865="","",IF(AND(C1865&lt;&gt;"No encontrado",F1865&lt;&gt;"Inactivo"),C1865&amp;" → "&amp;F1865,"Sin transición"))</f>
        <v/>
      </c>
      <c r="H1865" s="23" t="str">
        <f aca="false">IF(A1865="","",IF(D1865="GCIA LINEA SERVICIO DIGITALIDAD Y VENTAS","Chats",IF(OR(D1865="GERENCIA INBOUND LÍNEAS SERVICIO Y VENTA",D1865="GERENCIA INBOUND LINEAS ESPECIALIZADAS"),"Llamadas","Otro")))</f>
        <v/>
      </c>
      <c r="I1865" s="23" t="str">
        <f aca="false">IF(A1865="","",IF(C1865="No encontrado","No","Sí"))</f>
        <v/>
      </c>
      <c r="J1865" s="23" t="str">
        <f aca="false">IF(A1865="","",IF(F1865="Inactivo","No","Sí"))</f>
        <v/>
      </c>
      <c r="K1865" s="23" t="str">
        <f aca="false">IF(A1865="","",IF(AND(I1865="Sí",J1865="Sí"),"Sí","No"))</f>
        <v/>
      </c>
    </row>
    <row r="1866" customFormat="false" ht="15" hidden="false" customHeight="false" outlineLevel="0" collapsed="false">
      <c r="A1866" s="22"/>
      <c r="B1866" s="22"/>
      <c r="C1866" s="26" t="str">
        <f aca="false">IF(A1866="","",IFERROR(buscarx(A1866&amp;B1866,DATA!$E$3:$E$10000&amp;DATA!$B$3:$B$10000,DATA!$M$3:$M$10000),"No encontrado"))</f>
        <v/>
      </c>
      <c r="D1866" s="27" t="str">
        <f aca="false">IF(A1866="","",IFERROR(buscarx(A1866&amp;B1866,DATA!$E$3:$E$10000&amp;DATA!$B$3:$B$10000,DATA!$W$3:$W$10000),"No encontrado"))</f>
        <v/>
      </c>
      <c r="E1866" s="22"/>
      <c r="F1866" s="26" t="str">
        <f aca="false">IF(A1866="","",IFERROR(buscarx(A1866&amp;E1866,DATA!$E$3:$E$10000&amp;DATA!$B$3:$B$10000,DATA!$M$3:$M$10000),"Inactivo"))</f>
        <v/>
      </c>
      <c r="G1866" s="28" t="str">
        <f aca="false">IF(A1866="","",IF(AND(C1866&lt;&gt;"No encontrado",F1866&lt;&gt;"Inactivo"),C1866&amp;" → "&amp;F1866,"Sin transición"))</f>
        <v/>
      </c>
      <c r="H1866" s="26" t="str">
        <f aca="false">IF(A1866="","",IF(D1866="GCIA LINEA SERVICIO DIGITALIDAD Y VENTAS","Chats",IF(OR(D1866="GERENCIA INBOUND LÍNEAS SERVICIO Y VENTA",D1866="GERENCIA INBOUND LINEAS ESPECIALIZADAS"),"Llamadas","Otro")))</f>
        <v/>
      </c>
      <c r="I1866" s="26" t="str">
        <f aca="false">IF(A1866="","",IF(C1866="No encontrado","No","Sí"))</f>
        <v/>
      </c>
      <c r="J1866" s="26" t="str">
        <f aca="false">IF(A1866="","",IF(F1866="Inactivo","No","Sí"))</f>
        <v/>
      </c>
      <c r="K1866" s="26" t="str">
        <f aca="false">IF(A1866="","",IF(AND(I1866="Sí",J1866="Sí"),"Sí","No"))</f>
        <v/>
      </c>
    </row>
    <row r="1867" customFormat="false" ht="15" hidden="false" customHeight="false" outlineLevel="0" collapsed="false">
      <c r="A1867" s="22"/>
      <c r="B1867" s="22"/>
      <c r="C1867" s="23" t="str">
        <f aca="false">IF(A1867="","",IFERROR(buscarx(A1867&amp;B1867,DATA!$E$3:$E$10000&amp;DATA!$B$3:$B$10000,DATA!$M$3:$M$10000),"No encontrado"))</f>
        <v/>
      </c>
      <c r="D1867" s="24" t="str">
        <f aca="false">IF(A1867="","",IFERROR(buscarx(A1867&amp;B1867,DATA!$E$3:$E$10000&amp;DATA!$B$3:$B$10000,DATA!$W$3:$W$10000),"No encontrado"))</f>
        <v/>
      </c>
      <c r="E1867" s="22"/>
      <c r="F1867" s="23" t="str">
        <f aca="false">IF(A1867="","",IFERROR(buscarx(A1867&amp;E1867,DATA!$E$3:$E$10000&amp;DATA!$B$3:$B$10000,DATA!$M$3:$M$10000),"Inactivo"))</f>
        <v/>
      </c>
      <c r="G1867" s="25" t="str">
        <f aca="false">IF(A1867="","",IF(AND(C1867&lt;&gt;"No encontrado",F1867&lt;&gt;"Inactivo"),C1867&amp;" → "&amp;F1867,"Sin transición"))</f>
        <v/>
      </c>
      <c r="H1867" s="23" t="str">
        <f aca="false">IF(A1867="","",IF(D1867="GCIA LINEA SERVICIO DIGITALIDAD Y VENTAS","Chats",IF(OR(D1867="GERENCIA INBOUND LÍNEAS SERVICIO Y VENTA",D1867="GERENCIA INBOUND LINEAS ESPECIALIZADAS"),"Llamadas","Otro")))</f>
        <v/>
      </c>
      <c r="I1867" s="23" t="str">
        <f aca="false">IF(A1867="","",IF(C1867="No encontrado","No","Sí"))</f>
        <v/>
      </c>
      <c r="J1867" s="23" t="str">
        <f aca="false">IF(A1867="","",IF(F1867="Inactivo","No","Sí"))</f>
        <v/>
      </c>
      <c r="K1867" s="23" t="str">
        <f aca="false">IF(A1867="","",IF(AND(I1867="Sí",J1867="Sí"),"Sí","No"))</f>
        <v/>
      </c>
    </row>
    <row r="1868" customFormat="false" ht="15" hidden="false" customHeight="false" outlineLevel="0" collapsed="false">
      <c r="A1868" s="22"/>
      <c r="B1868" s="22"/>
      <c r="C1868" s="26" t="str">
        <f aca="false">IF(A1868="","",IFERROR(buscarx(A1868&amp;B1868,DATA!$E$3:$E$10000&amp;DATA!$B$3:$B$10000,DATA!$M$3:$M$10000),"No encontrado"))</f>
        <v/>
      </c>
      <c r="D1868" s="27" t="str">
        <f aca="false">IF(A1868="","",IFERROR(buscarx(A1868&amp;B1868,DATA!$E$3:$E$10000&amp;DATA!$B$3:$B$10000,DATA!$W$3:$W$10000),"No encontrado"))</f>
        <v/>
      </c>
      <c r="E1868" s="22"/>
      <c r="F1868" s="26" t="str">
        <f aca="false">IF(A1868="","",IFERROR(buscarx(A1868&amp;E1868,DATA!$E$3:$E$10000&amp;DATA!$B$3:$B$10000,DATA!$M$3:$M$10000),"Inactivo"))</f>
        <v/>
      </c>
      <c r="G1868" s="28" t="str">
        <f aca="false">IF(A1868="","",IF(AND(C1868&lt;&gt;"No encontrado",F1868&lt;&gt;"Inactivo"),C1868&amp;" → "&amp;F1868,"Sin transición"))</f>
        <v/>
      </c>
      <c r="H1868" s="26" t="str">
        <f aca="false">IF(A1868="","",IF(D1868="GCIA LINEA SERVICIO DIGITALIDAD Y VENTAS","Chats",IF(OR(D1868="GERENCIA INBOUND LÍNEAS SERVICIO Y VENTA",D1868="GERENCIA INBOUND LINEAS ESPECIALIZADAS"),"Llamadas","Otro")))</f>
        <v/>
      </c>
      <c r="I1868" s="26" t="str">
        <f aca="false">IF(A1868="","",IF(C1868="No encontrado","No","Sí"))</f>
        <v/>
      </c>
      <c r="J1868" s="26" t="str">
        <f aca="false">IF(A1868="","",IF(F1868="Inactivo","No","Sí"))</f>
        <v/>
      </c>
      <c r="K1868" s="26" t="str">
        <f aca="false">IF(A1868="","",IF(AND(I1868="Sí",J1868="Sí"),"Sí","No"))</f>
        <v/>
      </c>
    </row>
    <row r="1869" customFormat="false" ht="15" hidden="false" customHeight="false" outlineLevel="0" collapsed="false">
      <c r="A1869" s="22"/>
      <c r="B1869" s="22"/>
      <c r="C1869" s="23" t="str">
        <f aca="false">IF(A1869="","",IFERROR(buscarx(A1869&amp;B1869,DATA!$E$3:$E$10000&amp;DATA!$B$3:$B$10000,DATA!$M$3:$M$10000),"No encontrado"))</f>
        <v/>
      </c>
      <c r="D1869" s="24" t="str">
        <f aca="false">IF(A1869="","",IFERROR(buscarx(A1869&amp;B1869,DATA!$E$3:$E$10000&amp;DATA!$B$3:$B$10000,DATA!$W$3:$W$10000),"No encontrado"))</f>
        <v/>
      </c>
      <c r="E1869" s="22"/>
      <c r="F1869" s="23" t="str">
        <f aca="false">IF(A1869="","",IFERROR(buscarx(A1869&amp;E1869,DATA!$E$3:$E$10000&amp;DATA!$B$3:$B$10000,DATA!$M$3:$M$10000),"Inactivo"))</f>
        <v/>
      </c>
      <c r="G1869" s="25" t="str">
        <f aca="false">IF(A1869="","",IF(AND(C1869&lt;&gt;"No encontrado",F1869&lt;&gt;"Inactivo"),C1869&amp;" → "&amp;F1869,"Sin transición"))</f>
        <v/>
      </c>
      <c r="H1869" s="23" t="str">
        <f aca="false">IF(A1869="","",IF(D1869="GCIA LINEA SERVICIO DIGITALIDAD Y VENTAS","Chats",IF(OR(D1869="GERENCIA INBOUND LÍNEAS SERVICIO Y VENTA",D1869="GERENCIA INBOUND LINEAS ESPECIALIZADAS"),"Llamadas","Otro")))</f>
        <v/>
      </c>
      <c r="I1869" s="23" t="str">
        <f aca="false">IF(A1869="","",IF(C1869="No encontrado","No","Sí"))</f>
        <v/>
      </c>
      <c r="J1869" s="23" t="str">
        <f aca="false">IF(A1869="","",IF(F1869="Inactivo","No","Sí"))</f>
        <v/>
      </c>
      <c r="K1869" s="23" t="str">
        <f aca="false">IF(A1869="","",IF(AND(I1869="Sí",J1869="Sí"),"Sí","No"))</f>
        <v/>
      </c>
    </row>
    <row r="1870" customFormat="false" ht="15" hidden="false" customHeight="false" outlineLevel="0" collapsed="false">
      <c r="A1870" s="22"/>
      <c r="B1870" s="22"/>
      <c r="C1870" s="26" t="str">
        <f aca="false">IF(A1870="","",IFERROR(buscarx(A1870&amp;B1870,DATA!$E$3:$E$10000&amp;DATA!$B$3:$B$10000,DATA!$M$3:$M$10000),"No encontrado"))</f>
        <v/>
      </c>
      <c r="D1870" s="27" t="str">
        <f aca="false">IF(A1870="","",IFERROR(buscarx(A1870&amp;B1870,DATA!$E$3:$E$10000&amp;DATA!$B$3:$B$10000,DATA!$W$3:$W$10000),"No encontrado"))</f>
        <v/>
      </c>
      <c r="E1870" s="22"/>
      <c r="F1870" s="26" t="str">
        <f aca="false">IF(A1870="","",IFERROR(buscarx(A1870&amp;E1870,DATA!$E$3:$E$10000&amp;DATA!$B$3:$B$10000,DATA!$M$3:$M$10000),"Inactivo"))</f>
        <v/>
      </c>
      <c r="G1870" s="28" t="str">
        <f aca="false">IF(A1870="","",IF(AND(C1870&lt;&gt;"No encontrado",F1870&lt;&gt;"Inactivo"),C1870&amp;" → "&amp;F1870,"Sin transición"))</f>
        <v/>
      </c>
      <c r="H1870" s="26" t="str">
        <f aca="false">IF(A1870="","",IF(D1870="GCIA LINEA SERVICIO DIGITALIDAD Y VENTAS","Chats",IF(OR(D1870="GERENCIA INBOUND LÍNEAS SERVICIO Y VENTA",D1870="GERENCIA INBOUND LINEAS ESPECIALIZADAS"),"Llamadas","Otro")))</f>
        <v/>
      </c>
      <c r="I1870" s="26" t="str">
        <f aca="false">IF(A1870="","",IF(C1870="No encontrado","No","Sí"))</f>
        <v/>
      </c>
      <c r="J1870" s="26" t="str">
        <f aca="false">IF(A1870="","",IF(F1870="Inactivo","No","Sí"))</f>
        <v/>
      </c>
      <c r="K1870" s="26" t="str">
        <f aca="false">IF(A1870="","",IF(AND(I1870="Sí",J1870="Sí"),"Sí","No"))</f>
        <v/>
      </c>
    </row>
    <row r="1871" customFormat="false" ht="15" hidden="false" customHeight="false" outlineLevel="0" collapsed="false">
      <c r="A1871" s="22"/>
      <c r="B1871" s="22"/>
      <c r="C1871" s="23" t="str">
        <f aca="false">IF(A1871="","",IFERROR(buscarx(A1871&amp;B1871,DATA!$E$3:$E$10000&amp;DATA!$B$3:$B$10000,DATA!$M$3:$M$10000),"No encontrado"))</f>
        <v/>
      </c>
      <c r="D1871" s="24" t="str">
        <f aca="false">IF(A1871="","",IFERROR(buscarx(A1871&amp;B1871,DATA!$E$3:$E$10000&amp;DATA!$B$3:$B$10000,DATA!$W$3:$W$10000),"No encontrado"))</f>
        <v/>
      </c>
      <c r="E1871" s="22"/>
      <c r="F1871" s="23" t="str">
        <f aca="false">IF(A1871="","",IFERROR(buscarx(A1871&amp;E1871,DATA!$E$3:$E$10000&amp;DATA!$B$3:$B$10000,DATA!$M$3:$M$10000),"Inactivo"))</f>
        <v/>
      </c>
      <c r="G1871" s="25" t="str">
        <f aca="false">IF(A1871="","",IF(AND(C1871&lt;&gt;"No encontrado",F1871&lt;&gt;"Inactivo"),C1871&amp;" → "&amp;F1871,"Sin transición"))</f>
        <v/>
      </c>
      <c r="H1871" s="23" t="str">
        <f aca="false">IF(A1871="","",IF(D1871="GCIA LINEA SERVICIO DIGITALIDAD Y VENTAS","Chats",IF(OR(D1871="GERENCIA INBOUND LÍNEAS SERVICIO Y VENTA",D1871="GERENCIA INBOUND LINEAS ESPECIALIZADAS"),"Llamadas","Otro")))</f>
        <v/>
      </c>
      <c r="I1871" s="23" t="str">
        <f aca="false">IF(A1871="","",IF(C1871="No encontrado","No","Sí"))</f>
        <v/>
      </c>
      <c r="J1871" s="23" t="str">
        <f aca="false">IF(A1871="","",IF(F1871="Inactivo","No","Sí"))</f>
        <v/>
      </c>
      <c r="K1871" s="23" t="str">
        <f aca="false">IF(A1871="","",IF(AND(I1871="Sí",J1871="Sí"),"Sí","No"))</f>
        <v/>
      </c>
    </row>
    <row r="1872" customFormat="false" ht="15" hidden="false" customHeight="false" outlineLevel="0" collapsed="false">
      <c r="A1872" s="22"/>
      <c r="B1872" s="22"/>
      <c r="C1872" s="26" t="str">
        <f aca="false">IF(A1872="","",IFERROR(buscarx(A1872&amp;B1872,DATA!$E$3:$E$10000&amp;DATA!$B$3:$B$10000,DATA!$M$3:$M$10000),"No encontrado"))</f>
        <v/>
      </c>
      <c r="D1872" s="27" t="str">
        <f aca="false">IF(A1872="","",IFERROR(buscarx(A1872&amp;B1872,DATA!$E$3:$E$10000&amp;DATA!$B$3:$B$10000,DATA!$W$3:$W$10000),"No encontrado"))</f>
        <v/>
      </c>
      <c r="E1872" s="22"/>
      <c r="F1872" s="26" t="str">
        <f aca="false">IF(A1872="","",IFERROR(buscarx(A1872&amp;E1872,DATA!$E$3:$E$10000&amp;DATA!$B$3:$B$10000,DATA!$M$3:$M$10000),"Inactivo"))</f>
        <v/>
      </c>
      <c r="G1872" s="28" t="str">
        <f aca="false">IF(A1872="","",IF(AND(C1872&lt;&gt;"No encontrado",F1872&lt;&gt;"Inactivo"),C1872&amp;" → "&amp;F1872,"Sin transición"))</f>
        <v/>
      </c>
      <c r="H1872" s="26" t="str">
        <f aca="false">IF(A1872="","",IF(D1872="GCIA LINEA SERVICIO DIGITALIDAD Y VENTAS","Chats",IF(OR(D1872="GERENCIA INBOUND LÍNEAS SERVICIO Y VENTA",D1872="GERENCIA INBOUND LINEAS ESPECIALIZADAS"),"Llamadas","Otro")))</f>
        <v/>
      </c>
      <c r="I1872" s="26" t="str">
        <f aca="false">IF(A1872="","",IF(C1872="No encontrado","No","Sí"))</f>
        <v/>
      </c>
      <c r="J1872" s="26" t="str">
        <f aca="false">IF(A1872="","",IF(F1872="Inactivo","No","Sí"))</f>
        <v/>
      </c>
      <c r="K1872" s="26" t="str">
        <f aca="false">IF(A1872="","",IF(AND(I1872="Sí",J1872="Sí"),"Sí","No"))</f>
        <v/>
      </c>
    </row>
    <row r="1873" customFormat="false" ht="15" hidden="false" customHeight="false" outlineLevel="0" collapsed="false">
      <c r="A1873" s="22"/>
      <c r="B1873" s="22"/>
      <c r="C1873" s="23" t="str">
        <f aca="false">IF(A1873="","",IFERROR(buscarx(A1873&amp;B1873,DATA!$E$3:$E$10000&amp;DATA!$B$3:$B$10000,DATA!$M$3:$M$10000),"No encontrado"))</f>
        <v/>
      </c>
      <c r="D1873" s="24" t="str">
        <f aca="false">IF(A1873="","",IFERROR(buscarx(A1873&amp;B1873,DATA!$E$3:$E$10000&amp;DATA!$B$3:$B$10000,DATA!$W$3:$W$10000),"No encontrado"))</f>
        <v/>
      </c>
      <c r="E1873" s="22"/>
      <c r="F1873" s="23" t="str">
        <f aca="false">IF(A1873="","",IFERROR(buscarx(A1873&amp;E1873,DATA!$E$3:$E$10000&amp;DATA!$B$3:$B$10000,DATA!$M$3:$M$10000),"Inactivo"))</f>
        <v/>
      </c>
      <c r="G1873" s="25" t="str">
        <f aca="false">IF(A1873="","",IF(AND(C1873&lt;&gt;"No encontrado",F1873&lt;&gt;"Inactivo"),C1873&amp;" → "&amp;F1873,"Sin transición"))</f>
        <v/>
      </c>
      <c r="H1873" s="23" t="str">
        <f aca="false">IF(A1873="","",IF(D1873="GCIA LINEA SERVICIO DIGITALIDAD Y VENTAS","Chats",IF(OR(D1873="GERENCIA INBOUND LÍNEAS SERVICIO Y VENTA",D1873="GERENCIA INBOUND LINEAS ESPECIALIZADAS"),"Llamadas","Otro")))</f>
        <v/>
      </c>
      <c r="I1873" s="23" t="str">
        <f aca="false">IF(A1873="","",IF(C1873="No encontrado","No","Sí"))</f>
        <v/>
      </c>
      <c r="J1873" s="23" t="str">
        <f aca="false">IF(A1873="","",IF(F1873="Inactivo","No","Sí"))</f>
        <v/>
      </c>
      <c r="K1873" s="23" t="str">
        <f aca="false">IF(A1873="","",IF(AND(I1873="Sí",J1873="Sí"),"Sí","No"))</f>
        <v/>
      </c>
    </row>
    <row r="1874" customFormat="false" ht="15" hidden="false" customHeight="false" outlineLevel="0" collapsed="false">
      <c r="A1874" s="22"/>
      <c r="B1874" s="22"/>
      <c r="C1874" s="26" t="str">
        <f aca="false">IF(A1874="","",IFERROR(buscarx(A1874&amp;B1874,DATA!$E$3:$E$10000&amp;DATA!$B$3:$B$10000,DATA!$M$3:$M$10000),"No encontrado"))</f>
        <v/>
      </c>
      <c r="D1874" s="27" t="str">
        <f aca="false">IF(A1874="","",IFERROR(buscarx(A1874&amp;B1874,DATA!$E$3:$E$10000&amp;DATA!$B$3:$B$10000,DATA!$W$3:$W$10000),"No encontrado"))</f>
        <v/>
      </c>
      <c r="E1874" s="22"/>
      <c r="F1874" s="26" t="str">
        <f aca="false">IF(A1874="","",IFERROR(buscarx(A1874&amp;E1874,DATA!$E$3:$E$10000&amp;DATA!$B$3:$B$10000,DATA!$M$3:$M$10000),"Inactivo"))</f>
        <v/>
      </c>
      <c r="G1874" s="28" t="str">
        <f aca="false">IF(A1874="","",IF(AND(C1874&lt;&gt;"No encontrado",F1874&lt;&gt;"Inactivo"),C1874&amp;" → "&amp;F1874,"Sin transición"))</f>
        <v/>
      </c>
      <c r="H1874" s="26" t="str">
        <f aca="false">IF(A1874="","",IF(D1874="GCIA LINEA SERVICIO DIGITALIDAD Y VENTAS","Chats",IF(OR(D1874="GERENCIA INBOUND LÍNEAS SERVICIO Y VENTA",D1874="GERENCIA INBOUND LINEAS ESPECIALIZADAS"),"Llamadas","Otro")))</f>
        <v/>
      </c>
      <c r="I1874" s="26" t="str">
        <f aca="false">IF(A1874="","",IF(C1874="No encontrado","No","Sí"))</f>
        <v/>
      </c>
      <c r="J1874" s="26" t="str">
        <f aca="false">IF(A1874="","",IF(F1874="Inactivo","No","Sí"))</f>
        <v/>
      </c>
      <c r="K1874" s="26" t="str">
        <f aca="false">IF(A1874="","",IF(AND(I1874="Sí",J1874="Sí"),"Sí","No"))</f>
        <v/>
      </c>
    </row>
    <row r="1875" customFormat="false" ht="15" hidden="false" customHeight="false" outlineLevel="0" collapsed="false">
      <c r="A1875" s="22"/>
      <c r="B1875" s="22"/>
      <c r="C1875" s="23" t="str">
        <f aca="false">IF(A1875="","",IFERROR(buscarx(A1875&amp;B1875,DATA!$E$3:$E$10000&amp;DATA!$B$3:$B$10000,DATA!$M$3:$M$10000),"No encontrado"))</f>
        <v/>
      </c>
      <c r="D1875" s="24" t="str">
        <f aca="false">IF(A1875="","",IFERROR(buscarx(A1875&amp;B1875,DATA!$E$3:$E$10000&amp;DATA!$B$3:$B$10000,DATA!$W$3:$W$10000),"No encontrado"))</f>
        <v/>
      </c>
      <c r="E1875" s="22"/>
      <c r="F1875" s="23" t="str">
        <f aca="false">IF(A1875="","",IFERROR(buscarx(A1875&amp;E1875,DATA!$E$3:$E$10000&amp;DATA!$B$3:$B$10000,DATA!$M$3:$M$10000),"Inactivo"))</f>
        <v/>
      </c>
      <c r="G1875" s="25" t="str">
        <f aca="false">IF(A1875="","",IF(AND(C1875&lt;&gt;"No encontrado",F1875&lt;&gt;"Inactivo"),C1875&amp;" → "&amp;F1875,"Sin transición"))</f>
        <v/>
      </c>
      <c r="H1875" s="23" t="str">
        <f aca="false">IF(A1875="","",IF(D1875="GCIA LINEA SERVICIO DIGITALIDAD Y VENTAS","Chats",IF(OR(D1875="GERENCIA INBOUND LÍNEAS SERVICIO Y VENTA",D1875="GERENCIA INBOUND LINEAS ESPECIALIZADAS"),"Llamadas","Otro")))</f>
        <v/>
      </c>
      <c r="I1875" s="23" t="str">
        <f aca="false">IF(A1875="","",IF(C1875="No encontrado","No","Sí"))</f>
        <v/>
      </c>
      <c r="J1875" s="23" t="str">
        <f aca="false">IF(A1875="","",IF(F1875="Inactivo","No","Sí"))</f>
        <v/>
      </c>
      <c r="K1875" s="23" t="str">
        <f aca="false">IF(A1875="","",IF(AND(I1875="Sí",J1875="Sí"),"Sí","No"))</f>
        <v/>
      </c>
    </row>
    <row r="1876" customFormat="false" ht="15" hidden="false" customHeight="false" outlineLevel="0" collapsed="false">
      <c r="A1876" s="22"/>
      <c r="B1876" s="22"/>
      <c r="C1876" s="26" t="str">
        <f aca="false">IF(A1876="","",IFERROR(buscarx(A1876&amp;B1876,DATA!$E$3:$E$10000&amp;DATA!$B$3:$B$10000,DATA!$M$3:$M$10000),"No encontrado"))</f>
        <v/>
      </c>
      <c r="D1876" s="27" t="str">
        <f aca="false">IF(A1876="","",IFERROR(buscarx(A1876&amp;B1876,DATA!$E$3:$E$10000&amp;DATA!$B$3:$B$10000,DATA!$W$3:$W$10000),"No encontrado"))</f>
        <v/>
      </c>
      <c r="E1876" s="22"/>
      <c r="F1876" s="26" t="str">
        <f aca="false">IF(A1876="","",IFERROR(buscarx(A1876&amp;E1876,DATA!$E$3:$E$10000&amp;DATA!$B$3:$B$10000,DATA!$M$3:$M$10000),"Inactivo"))</f>
        <v/>
      </c>
      <c r="G1876" s="28" t="str">
        <f aca="false">IF(A1876="","",IF(AND(C1876&lt;&gt;"No encontrado",F1876&lt;&gt;"Inactivo"),C1876&amp;" → "&amp;F1876,"Sin transición"))</f>
        <v/>
      </c>
      <c r="H1876" s="26" t="str">
        <f aca="false">IF(A1876="","",IF(D1876="GCIA LINEA SERVICIO DIGITALIDAD Y VENTAS","Chats",IF(OR(D1876="GERENCIA INBOUND LÍNEAS SERVICIO Y VENTA",D1876="GERENCIA INBOUND LINEAS ESPECIALIZADAS"),"Llamadas","Otro")))</f>
        <v/>
      </c>
      <c r="I1876" s="26" t="str">
        <f aca="false">IF(A1876="","",IF(C1876="No encontrado","No","Sí"))</f>
        <v/>
      </c>
      <c r="J1876" s="26" t="str">
        <f aca="false">IF(A1876="","",IF(F1876="Inactivo","No","Sí"))</f>
        <v/>
      </c>
      <c r="K1876" s="26" t="str">
        <f aca="false">IF(A1876="","",IF(AND(I1876="Sí",J1876="Sí"),"Sí","No"))</f>
        <v/>
      </c>
    </row>
    <row r="1877" customFormat="false" ht="15" hidden="false" customHeight="false" outlineLevel="0" collapsed="false">
      <c r="A1877" s="22"/>
      <c r="B1877" s="22"/>
      <c r="C1877" s="23" t="str">
        <f aca="false">IF(A1877="","",IFERROR(buscarx(A1877&amp;B1877,DATA!$E$3:$E$10000&amp;DATA!$B$3:$B$10000,DATA!$M$3:$M$10000),"No encontrado"))</f>
        <v/>
      </c>
      <c r="D1877" s="24" t="str">
        <f aca="false">IF(A1877="","",IFERROR(buscarx(A1877&amp;B1877,DATA!$E$3:$E$10000&amp;DATA!$B$3:$B$10000,DATA!$W$3:$W$10000),"No encontrado"))</f>
        <v/>
      </c>
      <c r="E1877" s="22"/>
      <c r="F1877" s="23" t="str">
        <f aca="false">IF(A1877="","",IFERROR(buscarx(A1877&amp;E1877,DATA!$E$3:$E$10000&amp;DATA!$B$3:$B$10000,DATA!$M$3:$M$10000),"Inactivo"))</f>
        <v/>
      </c>
      <c r="G1877" s="25" t="str">
        <f aca="false">IF(A1877="","",IF(AND(C1877&lt;&gt;"No encontrado",F1877&lt;&gt;"Inactivo"),C1877&amp;" → "&amp;F1877,"Sin transición"))</f>
        <v/>
      </c>
      <c r="H1877" s="23" t="str">
        <f aca="false">IF(A1877="","",IF(D1877="GCIA LINEA SERVICIO DIGITALIDAD Y VENTAS","Chats",IF(OR(D1877="GERENCIA INBOUND LÍNEAS SERVICIO Y VENTA",D1877="GERENCIA INBOUND LINEAS ESPECIALIZADAS"),"Llamadas","Otro")))</f>
        <v/>
      </c>
      <c r="I1877" s="23" t="str">
        <f aca="false">IF(A1877="","",IF(C1877="No encontrado","No","Sí"))</f>
        <v/>
      </c>
      <c r="J1877" s="23" t="str">
        <f aca="false">IF(A1877="","",IF(F1877="Inactivo","No","Sí"))</f>
        <v/>
      </c>
      <c r="K1877" s="23" t="str">
        <f aca="false">IF(A1877="","",IF(AND(I1877="Sí",J1877="Sí"),"Sí","No"))</f>
        <v/>
      </c>
    </row>
    <row r="1878" customFormat="false" ht="15" hidden="false" customHeight="false" outlineLevel="0" collapsed="false">
      <c r="A1878" s="22"/>
      <c r="B1878" s="22"/>
      <c r="C1878" s="26" t="str">
        <f aca="false">IF(A1878="","",IFERROR(buscarx(A1878&amp;B1878,DATA!$E$3:$E$10000&amp;DATA!$B$3:$B$10000,DATA!$M$3:$M$10000),"No encontrado"))</f>
        <v/>
      </c>
      <c r="D1878" s="27" t="str">
        <f aca="false">IF(A1878="","",IFERROR(buscarx(A1878&amp;B1878,DATA!$E$3:$E$10000&amp;DATA!$B$3:$B$10000,DATA!$W$3:$W$10000),"No encontrado"))</f>
        <v/>
      </c>
      <c r="E1878" s="22"/>
      <c r="F1878" s="26" t="str">
        <f aca="false">IF(A1878="","",IFERROR(buscarx(A1878&amp;E1878,DATA!$E$3:$E$10000&amp;DATA!$B$3:$B$10000,DATA!$M$3:$M$10000),"Inactivo"))</f>
        <v/>
      </c>
      <c r="G1878" s="28" t="str">
        <f aca="false">IF(A1878="","",IF(AND(C1878&lt;&gt;"No encontrado",F1878&lt;&gt;"Inactivo"),C1878&amp;" → "&amp;F1878,"Sin transición"))</f>
        <v/>
      </c>
      <c r="H1878" s="26" t="str">
        <f aca="false">IF(A1878="","",IF(D1878="GCIA LINEA SERVICIO DIGITALIDAD Y VENTAS","Chats",IF(OR(D1878="GERENCIA INBOUND LÍNEAS SERVICIO Y VENTA",D1878="GERENCIA INBOUND LINEAS ESPECIALIZADAS"),"Llamadas","Otro")))</f>
        <v/>
      </c>
      <c r="I1878" s="26" t="str">
        <f aca="false">IF(A1878="","",IF(C1878="No encontrado","No","Sí"))</f>
        <v/>
      </c>
      <c r="J1878" s="26" t="str">
        <f aca="false">IF(A1878="","",IF(F1878="Inactivo","No","Sí"))</f>
        <v/>
      </c>
      <c r="K1878" s="26" t="str">
        <f aca="false">IF(A1878="","",IF(AND(I1878="Sí",J1878="Sí"),"Sí","No"))</f>
        <v/>
      </c>
    </row>
    <row r="1879" customFormat="false" ht="15" hidden="false" customHeight="false" outlineLevel="0" collapsed="false">
      <c r="A1879" s="22"/>
      <c r="B1879" s="22"/>
      <c r="C1879" s="23" t="str">
        <f aca="false">IF(A1879="","",IFERROR(buscarx(A1879&amp;B1879,DATA!$E$3:$E$10000&amp;DATA!$B$3:$B$10000,DATA!$M$3:$M$10000),"No encontrado"))</f>
        <v/>
      </c>
      <c r="D1879" s="24" t="str">
        <f aca="false">IF(A1879="","",IFERROR(buscarx(A1879&amp;B1879,DATA!$E$3:$E$10000&amp;DATA!$B$3:$B$10000,DATA!$W$3:$W$10000),"No encontrado"))</f>
        <v/>
      </c>
      <c r="E1879" s="22"/>
      <c r="F1879" s="23" t="str">
        <f aca="false">IF(A1879="","",IFERROR(buscarx(A1879&amp;E1879,DATA!$E$3:$E$10000&amp;DATA!$B$3:$B$10000,DATA!$M$3:$M$10000),"Inactivo"))</f>
        <v/>
      </c>
      <c r="G1879" s="25" t="str">
        <f aca="false">IF(A1879="","",IF(AND(C1879&lt;&gt;"No encontrado",F1879&lt;&gt;"Inactivo"),C1879&amp;" → "&amp;F1879,"Sin transición"))</f>
        <v/>
      </c>
      <c r="H1879" s="23" t="str">
        <f aca="false">IF(A1879="","",IF(D1879="GCIA LINEA SERVICIO DIGITALIDAD Y VENTAS","Chats",IF(OR(D1879="GERENCIA INBOUND LÍNEAS SERVICIO Y VENTA",D1879="GERENCIA INBOUND LINEAS ESPECIALIZADAS"),"Llamadas","Otro")))</f>
        <v/>
      </c>
      <c r="I1879" s="23" t="str">
        <f aca="false">IF(A1879="","",IF(C1879="No encontrado","No","Sí"))</f>
        <v/>
      </c>
      <c r="J1879" s="23" t="str">
        <f aca="false">IF(A1879="","",IF(F1879="Inactivo","No","Sí"))</f>
        <v/>
      </c>
      <c r="K1879" s="23" t="str">
        <f aca="false">IF(A1879="","",IF(AND(I1879="Sí",J1879="Sí"),"Sí","No"))</f>
        <v/>
      </c>
    </row>
    <row r="1880" customFormat="false" ht="15" hidden="false" customHeight="false" outlineLevel="0" collapsed="false">
      <c r="A1880" s="22"/>
      <c r="B1880" s="22"/>
      <c r="C1880" s="26" t="str">
        <f aca="false">IF(A1880="","",IFERROR(buscarx(A1880&amp;B1880,DATA!$E$3:$E$10000&amp;DATA!$B$3:$B$10000,DATA!$M$3:$M$10000),"No encontrado"))</f>
        <v/>
      </c>
      <c r="D1880" s="27" t="str">
        <f aca="false">IF(A1880="","",IFERROR(buscarx(A1880&amp;B1880,DATA!$E$3:$E$10000&amp;DATA!$B$3:$B$10000,DATA!$W$3:$W$10000),"No encontrado"))</f>
        <v/>
      </c>
      <c r="E1880" s="22"/>
      <c r="F1880" s="26" t="str">
        <f aca="false">IF(A1880="","",IFERROR(buscarx(A1880&amp;E1880,DATA!$E$3:$E$10000&amp;DATA!$B$3:$B$10000,DATA!$M$3:$M$10000),"Inactivo"))</f>
        <v/>
      </c>
      <c r="G1880" s="28" t="str">
        <f aca="false">IF(A1880="","",IF(AND(C1880&lt;&gt;"No encontrado",F1880&lt;&gt;"Inactivo"),C1880&amp;" → "&amp;F1880,"Sin transición"))</f>
        <v/>
      </c>
      <c r="H1880" s="26" t="str">
        <f aca="false">IF(A1880="","",IF(D1880="GCIA LINEA SERVICIO DIGITALIDAD Y VENTAS","Chats",IF(OR(D1880="GERENCIA INBOUND LÍNEAS SERVICIO Y VENTA",D1880="GERENCIA INBOUND LINEAS ESPECIALIZADAS"),"Llamadas","Otro")))</f>
        <v/>
      </c>
      <c r="I1880" s="26" t="str">
        <f aca="false">IF(A1880="","",IF(C1880="No encontrado","No","Sí"))</f>
        <v/>
      </c>
      <c r="J1880" s="26" t="str">
        <f aca="false">IF(A1880="","",IF(F1880="Inactivo","No","Sí"))</f>
        <v/>
      </c>
      <c r="K1880" s="26" t="str">
        <f aca="false">IF(A1880="","",IF(AND(I1880="Sí",J1880="Sí"),"Sí","No"))</f>
        <v/>
      </c>
    </row>
    <row r="1881" customFormat="false" ht="15" hidden="false" customHeight="false" outlineLevel="0" collapsed="false">
      <c r="A1881" s="22"/>
      <c r="B1881" s="22"/>
      <c r="C1881" s="23" t="str">
        <f aca="false">IF(A1881="","",IFERROR(buscarx(A1881&amp;B1881,DATA!$E$3:$E$10000&amp;DATA!$B$3:$B$10000,DATA!$M$3:$M$10000),"No encontrado"))</f>
        <v/>
      </c>
      <c r="D1881" s="24" t="str">
        <f aca="false">IF(A1881="","",IFERROR(buscarx(A1881&amp;B1881,DATA!$E$3:$E$10000&amp;DATA!$B$3:$B$10000,DATA!$W$3:$W$10000),"No encontrado"))</f>
        <v/>
      </c>
      <c r="E1881" s="22"/>
      <c r="F1881" s="23" t="str">
        <f aca="false">IF(A1881="","",IFERROR(buscarx(A1881&amp;E1881,DATA!$E$3:$E$10000&amp;DATA!$B$3:$B$10000,DATA!$M$3:$M$10000),"Inactivo"))</f>
        <v/>
      </c>
      <c r="G1881" s="25" t="str">
        <f aca="false">IF(A1881="","",IF(AND(C1881&lt;&gt;"No encontrado",F1881&lt;&gt;"Inactivo"),C1881&amp;" → "&amp;F1881,"Sin transición"))</f>
        <v/>
      </c>
      <c r="H1881" s="23" t="str">
        <f aca="false">IF(A1881="","",IF(D1881="GCIA LINEA SERVICIO DIGITALIDAD Y VENTAS","Chats",IF(OR(D1881="GERENCIA INBOUND LÍNEAS SERVICIO Y VENTA",D1881="GERENCIA INBOUND LINEAS ESPECIALIZADAS"),"Llamadas","Otro")))</f>
        <v/>
      </c>
      <c r="I1881" s="23" t="str">
        <f aca="false">IF(A1881="","",IF(C1881="No encontrado","No","Sí"))</f>
        <v/>
      </c>
      <c r="J1881" s="23" t="str">
        <f aca="false">IF(A1881="","",IF(F1881="Inactivo","No","Sí"))</f>
        <v/>
      </c>
      <c r="K1881" s="23" t="str">
        <f aca="false">IF(A1881="","",IF(AND(I1881="Sí",J1881="Sí"),"Sí","No"))</f>
        <v/>
      </c>
    </row>
    <row r="1882" customFormat="false" ht="15" hidden="false" customHeight="false" outlineLevel="0" collapsed="false">
      <c r="A1882" s="22"/>
      <c r="B1882" s="22"/>
      <c r="C1882" s="26" t="str">
        <f aca="false">IF(A1882="","",IFERROR(buscarx(A1882&amp;B1882,DATA!$E$3:$E$10000&amp;DATA!$B$3:$B$10000,DATA!$M$3:$M$10000),"No encontrado"))</f>
        <v/>
      </c>
      <c r="D1882" s="27" t="str">
        <f aca="false">IF(A1882="","",IFERROR(buscarx(A1882&amp;B1882,DATA!$E$3:$E$10000&amp;DATA!$B$3:$B$10000,DATA!$W$3:$W$10000),"No encontrado"))</f>
        <v/>
      </c>
      <c r="E1882" s="22"/>
      <c r="F1882" s="26" t="str">
        <f aca="false">IF(A1882="","",IFERROR(buscarx(A1882&amp;E1882,DATA!$E$3:$E$10000&amp;DATA!$B$3:$B$10000,DATA!$M$3:$M$10000),"Inactivo"))</f>
        <v/>
      </c>
      <c r="G1882" s="28" t="str">
        <f aca="false">IF(A1882="","",IF(AND(C1882&lt;&gt;"No encontrado",F1882&lt;&gt;"Inactivo"),C1882&amp;" → "&amp;F1882,"Sin transición"))</f>
        <v/>
      </c>
      <c r="H1882" s="26" t="str">
        <f aca="false">IF(A1882="","",IF(D1882="GCIA LINEA SERVICIO DIGITALIDAD Y VENTAS","Chats",IF(OR(D1882="GERENCIA INBOUND LÍNEAS SERVICIO Y VENTA",D1882="GERENCIA INBOUND LINEAS ESPECIALIZADAS"),"Llamadas","Otro")))</f>
        <v/>
      </c>
      <c r="I1882" s="26" t="str">
        <f aca="false">IF(A1882="","",IF(C1882="No encontrado","No","Sí"))</f>
        <v/>
      </c>
      <c r="J1882" s="26" t="str">
        <f aca="false">IF(A1882="","",IF(F1882="Inactivo","No","Sí"))</f>
        <v/>
      </c>
      <c r="K1882" s="26" t="str">
        <f aca="false">IF(A1882="","",IF(AND(I1882="Sí",J1882="Sí"),"Sí","No"))</f>
        <v/>
      </c>
    </row>
    <row r="1883" customFormat="false" ht="15" hidden="false" customHeight="false" outlineLevel="0" collapsed="false">
      <c r="A1883" s="22"/>
      <c r="B1883" s="22"/>
      <c r="C1883" s="23" t="str">
        <f aca="false">IF(A1883="","",IFERROR(buscarx(A1883&amp;B1883,DATA!$E$3:$E$10000&amp;DATA!$B$3:$B$10000,DATA!$M$3:$M$10000),"No encontrado"))</f>
        <v/>
      </c>
      <c r="D1883" s="24" t="str">
        <f aca="false">IF(A1883="","",IFERROR(buscarx(A1883&amp;B1883,DATA!$E$3:$E$10000&amp;DATA!$B$3:$B$10000,DATA!$W$3:$W$10000),"No encontrado"))</f>
        <v/>
      </c>
      <c r="E1883" s="22"/>
      <c r="F1883" s="23" t="str">
        <f aca="false">IF(A1883="","",IFERROR(buscarx(A1883&amp;E1883,DATA!$E$3:$E$10000&amp;DATA!$B$3:$B$10000,DATA!$M$3:$M$10000),"Inactivo"))</f>
        <v/>
      </c>
      <c r="G1883" s="25" t="str">
        <f aca="false">IF(A1883="","",IF(AND(C1883&lt;&gt;"No encontrado",F1883&lt;&gt;"Inactivo"),C1883&amp;" → "&amp;F1883,"Sin transición"))</f>
        <v/>
      </c>
      <c r="H1883" s="23" t="str">
        <f aca="false">IF(A1883="","",IF(D1883="GCIA LINEA SERVICIO DIGITALIDAD Y VENTAS","Chats",IF(OR(D1883="GERENCIA INBOUND LÍNEAS SERVICIO Y VENTA",D1883="GERENCIA INBOUND LINEAS ESPECIALIZADAS"),"Llamadas","Otro")))</f>
        <v/>
      </c>
      <c r="I1883" s="23" t="str">
        <f aca="false">IF(A1883="","",IF(C1883="No encontrado","No","Sí"))</f>
        <v/>
      </c>
      <c r="J1883" s="23" t="str">
        <f aca="false">IF(A1883="","",IF(F1883="Inactivo","No","Sí"))</f>
        <v/>
      </c>
      <c r="K1883" s="23" t="str">
        <f aca="false">IF(A1883="","",IF(AND(I1883="Sí",J1883="Sí"),"Sí","No"))</f>
        <v/>
      </c>
    </row>
    <row r="1884" customFormat="false" ht="15" hidden="false" customHeight="false" outlineLevel="0" collapsed="false">
      <c r="A1884" s="22"/>
      <c r="B1884" s="22"/>
      <c r="C1884" s="26" t="str">
        <f aca="false">IF(A1884="","",IFERROR(buscarx(A1884&amp;B1884,DATA!$E$3:$E$10000&amp;DATA!$B$3:$B$10000,DATA!$M$3:$M$10000),"No encontrado"))</f>
        <v/>
      </c>
      <c r="D1884" s="27" t="str">
        <f aca="false">IF(A1884="","",IFERROR(buscarx(A1884&amp;B1884,DATA!$E$3:$E$10000&amp;DATA!$B$3:$B$10000,DATA!$W$3:$W$10000),"No encontrado"))</f>
        <v/>
      </c>
      <c r="E1884" s="22"/>
      <c r="F1884" s="26" t="str">
        <f aca="false">IF(A1884="","",IFERROR(buscarx(A1884&amp;E1884,DATA!$E$3:$E$10000&amp;DATA!$B$3:$B$10000,DATA!$M$3:$M$10000),"Inactivo"))</f>
        <v/>
      </c>
      <c r="G1884" s="28" t="str">
        <f aca="false">IF(A1884="","",IF(AND(C1884&lt;&gt;"No encontrado",F1884&lt;&gt;"Inactivo"),C1884&amp;" → "&amp;F1884,"Sin transición"))</f>
        <v/>
      </c>
      <c r="H1884" s="26" t="str">
        <f aca="false">IF(A1884="","",IF(D1884="GCIA LINEA SERVICIO DIGITALIDAD Y VENTAS","Chats",IF(OR(D1884="GERENCIA INBOUND LÍNEAS SERVICIO Y VENTA",D1884="GERENCIA INBOUND LINEAS ESPECIALIZADAS"),"Llamadas","Otro")))</f>
        <v/>
      </c>
      <c r="I1884" s="26" t="str">
        <f aca="false">IF(A1884="","",IF(C1884="No encontrado","No","Sí"))</f>
        <v/>
      </c>
      <c r="J1884" s="26" t="str">
        <f aca="false">IF(A1884="","",IF(F1884="Inactivo","No","Sí"))</f>
        <v/>
      </c>
      <c r="K1884" s="26" t="str">
        <f aca="false">IF(A1884="","",IF(AND(I1884="Sí",J1884="Sí"),"Sí","No"))</f>
        <v/>
      </c>
    </row>
    <row r="1885" customFormat="false" ht="15" hidden="false" customHeight="false" outlineLevel="0" collapsed="false">
      <c r="A1885" s="22"/>
      <c r="B1885" s="22"/>
      <c r="C1885" s="23" t="str">
        <f aca="false">IF(A1885="","",IFERROR(buscarx(A1885&amp;B1885,DATA!$E$3:$E$10000&amp;DATA!$B$3:$B$10000,DATA!$M$3:$M$10000),"No encontrado"))</f>
        <v/>
      </c>
      <c r="D1885" s="24" t="str">
        <f aca="false">IF(A1885="","",IFERROR(buscarx(A1885&amp;B1885,DATA!$E$3:$E$10000&amp;DATA!$B$3:$B$10000,DATA!$W$3:$W$10000),"No encontrado"))</f>
        <v/>
      </c>
      <c r="E1885" s="22"/>
      <c r="F1885" s="23" t="str">
        <f aca="false">IF(A1885="","",IFERROR(buscarx(A1885&amp;E1885,DATA!$E$3:$E$10000&amp;DATA!$B$3:$B$10000,DATA!$M$3:$M$10000),"Inactivo"))</f>
        <v/>
      </c>
      <c r="G1885" s="25" t="str">
        <f aca="false">IF(A1885="","",IF(AND(C1885&lt;&gt;"No encontrado",F1885&lt;&gt;"Inactivo"),C1885&amp;" → "&amp;F1885,"Sin transición"))</f>
        <v/>
      </c>
      <c r="H1885" s="23" t="str">
        <f aca="false">IF(A1885="","",IF(D1885="GCIA LINEA SERVICIO DIGITALIDAD Y VENTAS","Chats",IF(OR(D1885="GERENCIA INBOUND LÍNEAS SERVICIO Y VENTA",D1885="GERENCIA INBOUND LINEAS ESPECIALIZADAS"),"Llamadas","Otro")))</f>
        <v/>
      </c>
      <c r="I1885" s="23" t="str">
        <f aca="false">IF(A1885="","",IF(C1885="No encontrado","No","Sí"))</f>
        <v/>
      </c>
      <c r="J1885" s="23" t="str">
        <f aca="false">IF(A1885="","",IF(F1885="Inactivo","No","Sí"))</f>
        <v/>
      </c>
      <c r="K1885" s="23" t="str">
        <f aca="false">IF(A1885="","",IF(AND(I1885="Sí",J1885="Sí"),"Sí","No"))</f>
        <v/>
      </c>
    </row>
    <row r="1886" customFormat="false" ht="15" hidden="false" customHeight="false" outlineLevel="0" collapsed="false">
      <c r="A1886" s="22"/>
      <c r="B1886" s="22"/>
      <c r="C1886" s="26" t="str">
        <f aca="false">IF(A1886="","",IFERROR(buscarx(A1886&amp;B1886,DATA!$E$3:$E$10000&amp;DATA!$B$3:$B$10000,DATA!$M$3:$M$10000),"No encontrado"))</f>
        <v/>
      </c>
      <c r="D1886" s="27" t="str">
        <f aca="false">IF(A1886="","",IFERROR(buscarx(A1886&amp;B1886,DATA!$E$3:$E$10000&amp;DATA!$B$3:$B$10000,DATA!$W$3:$W$10000),"No encontrado"))</f>
        <v/>
      </c>
      <c r="E1886" s="22"/>
      <c r="F1886" s="26" t="str">
        <f aca="false">IF(A1886="","",IFERROR(buscarx(A1886&amp;E1886,DATA!$E$3:$E$10000&amp;DATA!$B$3:$B$10000,DATA!$M$3:$M$10000),"Inactivo"))</f>
        <v/>
      </c>
      <c r="G1886" s="28" t="str">
        <f aca="false">IF(A1886="","",IF(AND(C1886&lt;&gt;"No encontrado",F1886&lt;&gt;"Inactivo"),C1886&amp;" → "&amp;F1886,"Sin transición"))</f>
        <v/>
      </c>
      <c r="H1886" s="26" t="str">
        <f aca="false">IF(A1886="","",IF(D1886="GCIA LINEA SERVICIO DIGITALIDAD Y VENTAS","Chats",IF(OR(D1886="GERENCIA INBOUND LÍNEAS SERVICIO Y VENTA",D1886="GERENCIA INBOUND LINEAS ESPECIALIZADAS"),"Llamadas","Otro")))</f>
        <v/>
      </c>
      <c r="I1886" s="26" t="str">
        <f aca="false">IF(A1886="","",IF(C1886="No encontrado","No","Sí"))</f>
        <v/>
      </c>
      <c r="J1886" s="26" t="str">
        <f aca="false">IF(A1886="","",IF(F1886="Inactivo","No","Sí"))</f>
        <v/>
      </c>
      <c r="K1886" s="26" t="str">
        <f aca="false">IF(A1886="","",IF(AND(I1886="Sí",J1886="Sí"),"Sí","No"))</f>
        <v/>
      </c>
    </row>
    <row r="1887" customFormat="false" ht="15" hidden="false" customHeight="false" outlineLevel="0" collapsed="false">
      <c r="A1887" s="22"/>
      <c r="B1887" s="22"/>
      <c r="C1887" s="23" t="str">
        <f aca="false">IF(A1887="","",IFERROR(buscarx(A1887&amp;B1887,DATA!$E$3:$E$10000&amp;DATA!$B$3:$B$10000,DATA!$M$3:$M$10000),"No encontrado"))</f>
        <v/>
      </c>
      <c r="D1887" s="24" t="str">
        <f aca="false">IF(A1887="","",IFERROR(buscarx(A1887&amp;B1887,DATA!$E$3:$E$10000&amp;DATA!$B$3:$B$10000,DATA!$W$3:$W$10000),"No encontrado"))</f>
        <v/>
      </c>
      <c r="E1887" s="22"/>
      <c r="F1887" s="23" t="str">
        <f aca="false">IF(A1887="","",IFERROR(buscarx(A1887&amp;E1887,DATA!$E$3:$E$10000&amp;DATA!$B$3:$B$10000,DATA!$M$3:$M$10000),"Inactivo"))</f>
        <v/>
      </c>
      <c r="G1887" s="25" t="str">
        <f aca="false">IF(A1887="","",IF(AND(C1887&lt;&gt;"No encontrado",F1887&lt;&gt;"Inactivo"),C1887&amp;" → "&amp;F1887,"Sin transición"))</f>
        <v/>
      </c>
      <c r="H1887" s="23" t="str">
        <f aca="false">IF(A1887="","",IF(D1887="GCIA LINEA SERVICIO DIGITALIDAD Y VENTAS","Chats",IF(OR(D1887="GERENCIA INBOUND LÍNEAS SERVICIO Y VENTA",D1887="GERENCIA INBOUND LINEAS ESPECIALIZADAS"),"Llamadas","Otro")))</f>
        <v/>
      </c>
      <c r="I1887" s="23" t="str">
        <f aca="false">IF(A1887="","",IF(C1887="No encontrado","No","Sí"))</f>
        <v/>
      </c>
      <c r="J1887" s="23" t="str">
        <f aca="false">IF(A1887="","",IF(F1887="Inactivo","No","Sí"))</f>
        <v/>
      </c>
      <c r="K1887" s="23" t="str">
        <f aca="false">IF(A1887="","",IF(AND(I1887="Sí",J1887="Sí"),"Sí","No"))</f>
        <v/>
      </c>
    </row>
    <row r="1888" customFormat="false" ht="15" hidden="false" customHeight="false" outlineLevel="0" collapsed="false">
      <c r="A1888" s="22"/>
      <c r="B1888" s="22"/>
      <c r="C1888" s="26" t="str">
        <f aca="false">IF(A1888="","",IFERROR(buscarx(A1888&amp;B1888,DATA!$E$3:$E$10000&amp;DATA!$B$3:$B$10000,DATA!$M$3:$M$10000),"No encontrado"))</f>
        <v/>
      </c>
      <c r="D1888" s="27" t="str">
        <f aca="false">IF(A1888="","",IFERROR(buscarx(A1888&amp;B1888,DATA!$E$3:$E$10000&amp;DATA!$B$3:$B$10000,DATA!$W$3:$W$10000),"No encontrado"))</f>
        <v/>
      </c>
      <c r="E1888" s="22"/>
      <c r="F1888" s="26" t="str">
        <f aca="false">IF(A1888="","",IFERROR(buscarx(A1888&amp;E1888,DATA!$E$3:$E$10000&amp;DATA!$B$3:$B$10000,DATA!$M$3:$M$10000),"Inactivo"))</f>
        <v/>
      </c>
      <c r="G1888" s="28" t="str">
        <f aca="false">IF(A1888="","",IF(AND(C1888&lt;&gt;"No encontrado",F1888&lt;&gt;"Inactivo"),C1888&amp;" → "&amp;F1888,"Sin transición"))</f>
        <v/>
      </c>
      <c r="H1888" s="26" t="str">
        <f aca="false">IF(A1888="","",IF(D1888="GCIA LINEA SERVICIO DIGITALIDAD Y VENTAS","Chats",IF(OR(D1888="GERENCIA INBOUND LÍNEAS SERVICIO Y VENTA",D1888="GERENCIA INBOUND LINEAS ESPECIALIZADAS"),"Llamadas","Otro")))</f>
        <v/>
      </c>
      <c r="I1888" s="26" t="str">
        <f aca="false">IF(A1888="","",IF(C1888="No encontrado","No","Sí"))</f>
        <v/>
      </c>
      <c r="J1888" s="26" t="str">
        <f aca="false">IF(A1888="","",IF(F1888="Inactivo","No","Sí"))</f>
        <v/>
      </c>
      <c r="K1888" s="26" t="str">
        <f aca="false">IF(A1888="","",IF(AND(I1888="Sí",J1888="Sí"),"Sí","No"))</f>
        <v/>
      </c>
    </row>
    <row r="1889" customFormat="false" ht="15" hidden="false" customHeight="false" outlineLevel="0" collapsed="false">
      <c r="A1889" s="22"/>
      <c r="B1889" s="22"/>
      <c r="C1889" s="23" t="str">
        <f aca="false">IF(A1889="","",IFERROR(buscarx(A1889&amp;B1889,DATA!$E$3:$E$10000&amp;DATA!$B$3:$B$10000,DATA!$M$3:$M$10000),"No encontrado"))</f>
        <v/>
      </c>
      <c r="D1889" s="24" t="str">
        <f aca="false">IF(A1889="","",IFERROR(buscarx(A1889&amp;B1889,DATA!$E$3:$E$10000&amp;DATA!$B$3:$B$10000,DATA!$W$3:$W$10000),"No encontrado"))</f>
        <v/>
      </c>
      <c r="E1889" s="22"/>
      <c r="F1889" s="23" t="str">
        <f aca="false">IF(A1889="","",IFERROR(buscarx(A1889&amp;E1889,DATA!$E$3:$E$10000&amp;DATA!$B$3:$B$10000,DATA!$M$3:$M$10000),"Inactivo"))</f>
        <v/>
      </c>
      <c r="G1889" s="25" t="str">
        <f aca="false">IF(A1889="","",IF(AND(C1889&lt;&gt;"No encontrado",F1889&lt;&gt;"Inactivo"),C1889&amp;" → "&amp;F1889,"Sin transición"))</f>
        <v/>
      </c>
      <c r="H1889" s="23" t="str">
        <f aca="false">IF(A1889="","",IF(D1889="GCIA LINEA SERVICIO DIGITALIDAD Y VENTAS","Chats",IF(OR(D1889="GERENCIA INBOUND LÍNEAS SERVICIO Y VENTA",D1889="GERENCIA INBOUND LINEAS ESPECIALIZADAS"),"Llamadas","Otro")))</f>
        <v/>
      </c>
      <c r="I1889" s="23" t="str">
        <f aca="false">IF(A1889="","",IF(C1889="No encontrado","No","Sí"))</f>
        <v/>
      </c>
      <c r="J1889" s="23" t="str">
        <f aca="false">IF(A1889="","",IF(F1889="Inactivo","No","Sí"))</f>
        <v/>
      </c>
      <c r="K1889" s="23" t="str">
        <f aca="false">IF(A1889="","",IF(AND(I1889="Sí",J1889="Sí"),"Sí","No"))</f>
        <v/>
      </c>
    </row>
    <row r="1890" customFormat="false" ht="15" hidden="false" customHeight="false" outlineLevel="0" collapsed="false">
      <c r="A1890" s="22"/>
      <c r="B1890" s="22"/>
      <c r="C1890" s="26" t="str">
        <f aca="false">IF(A1890="","",IFERROR(buscarx(A1890&amp;B1890,DATA!$E$3:$E$10000&amp;DATA!$B$3:$B$10000,DATA!$M$3:$M$10000),"No encontrado"))</f>
        <v/>
      </c>
      <c r="D1890" s="27" t="str">
        <f aca="false">IF(A1890="","",IFERROR(buscarx(A1890&amp;B1890,DATA!$E$3:$E$10000&amp;DATA!$B$3:$B$10000,DATA!$W$3:$W$10000),"No encontrado"))</f>
        <v/>
      </c>
      <c r="E1890" s="22"/>
      <c r="F1890" s="26" t="str">
        <f aca="false">IF(A1890="","",IFERROR(buscarx(A1890&amp;E1890,DATA!$E$3:$E$10000&amp;DATA!$B$3:$B$10000,DATA!$M$3:$M$10000),"Inactivo"))</f>
        <v/>
      </c>
      <c r="G1890" s="28" t="str">
        <f aca="false">IF(A1890="","",IF(AND(C1890&lt;&gt;"No encontrado",F1890&lt;&gt;"Inactivo"),C1890&amp;" → "&amp;F1890,"Sin transición"))</f>
        <v/>
      </c>
      <c r="H1890" s="26" t="str">
        <f aca="false">IF(A1890="","",IF(D1890="GCIA LINEA SERVICIO DIGITALIDAD Y VENTAS","Chats",IF(OR(D1890="GERENCIA INBOUND LÍNEAS SERVICIO Y VENTA",D1890="GERENCIA INBOUND LINEAS ESPECIALIZADAS"),"Llamadas","Otro")))</f>
        <v/>
      </c>
      <c r="I1890" s="26" t="str">
        <f aca="false">IF(A1890="","",IF(C1890="No encontrado","No","Sí"))</f>
        <v/>
      </c>
      <c r="J1890" s="26" t="str">
        <f aca="false">IF(A1890="","",IF(F1890="Inactivo","No","Sí"))</f>
        <v/>
      </c>
      <c r="K1890" s="26" t="str">
        <f aca="false">IF(A1890="","",IF(AND(I1890="Sí",J1890="Sí"),"Sí","No"))</f>
        <v/>
      </c>
    </row>
    <row r="1891" customFormat="false" ht="15" hidden="false" customHeight="false" outlineLevel="0" collapsed="false">
      <c r="A1891" s="22"/>
      <c r="B1891" s="22"/>
      <c r="C1891" s="23" t="str">
        <f aca="false">IF(A1891="","",IFERROR(buscarx(A1891&amp;B1891,DATA!$E$3:$E$10000&amp;DATA!$B$3:$B$10000,DATA!$M$3:$M$10000),"No encontrado"))</f>
        <v/>
      </c>
      <c r="D1891" s="24" t="str">
        <f aca="false">IF(A1891="","",IFERROR(buscarx(A1891&amp;B1891,DATA!$E$3:$E$10000&amp;DATA!$B$3:$B$10000,DATA!$W$3:$W$10000),"No encontrado"))</f>
        <v/>
      </c>
      <c r="E1891" s="22"/>
      <c r="F1891" s="23" t="str">
        <f aca="false">IF(A1891="","",IFERROR(buscarx(A1891&amp;E1891,DATA!$E$3:$E$10000&amp;DATA!$B$3:$B$10000,DATA!$M$3:$M$10000),"Inactivo"))</f>
        <v/>
      </c>
      <c r="G1891" s="25" t="str">
        <f aca="false">IF(A1891="","",IF(AND(C1891&lt;&gt;"No encontrado",F1891&lt;&gt;"Inactivo"),C1891&amp;" → "&amp;F1891,"Sin transición"))</f>
        <v/>
      </c>
      <c r="H1891" s="23" t="str">
        <f aca="false">IF(A1891="","",IF(D1891="GCIA LINEA SERVICIO DIGITALIDAD Y VENTAS","Chats",IF(OR(D1891="GERENCIA INBOUND LÍNEAS SERVICIO Y VENTA",D1891="GERENCIA INBOUND LINEAS ESPECIALIZADAS"),"Llamadas","Otro")))</f>
        <v/>
      </c>
      <c r="I1891" s="23" t="str">
        <f aca="false">IF(A1891="","",IF(C1891="No encontrado","No","Sí"))</f>
        <v/>
      </c>
      <c r="J1891" s="23" t="str">
        <f aca="false">IF(A1891="","",IF(F1891="Inactivo","No","Sí"))</f>
        <v/>
      </c>
      <c r="K1891" s="23" t="str">
        <f aca="false">IF(A1891="","",IF(AND(I1891="Sí",J1891="Sí"),"Sí","No"))</f>
        <v/>
      </c>
    </row>
    <row r="1892" customFormat="false" ht="15" hidden="false" customHeight="false" outlineLevel="0" collapsed="false">
      <c r="A1892" s="22"/>
      <c r="B1892" s="22"/>
      <c r="C1892" s="26" t="str">
        <f aca="false">IF(A1892="","",IFERROR(buscarx(A1892&amp;B1892,DATA!$E$3:$E$10000&amp;DATA!$B$3:$B$10000,DATA!$M$3:$M$10000),"No encontrado"))</f>
        <v/>
      </c>
      <c r="D1892" s="27" t="str">
        <f aca="false">IF(A1892="","",IFERROR(buscarx(A1892&amp;B1892,DATA!$E$3:$E$10000&amp;DATA!$B$3:$B$10000,DATA!$W$3:$W$10000),"No encontrado"))</f>
        <v/>
      </c>
      <c r="E1892" s="22"/>
      <c r="F1892" s="26" t="str">
        <f aca="false">IF(A1892="","",IFERROR(buscarx(A1892&amp;E1892,DATA!$E$3:$E$10000&amp;DATA!$B$3:$B$10000,DATA!$M$3:$M$10000),"Inactivo"))</f>
        <v/>
      </c>
      <c r="G1892" s="28" t="str">
        <f aca="false">IF(A1892="","",IF(AND(C1892&lt;&gt;"No encontrado",F1892&lt;&gt;"Inactivo"),C1892&amp;" → "&amp;F1892,"Sin transición"))</f>
        <v/>
      </c>
      <c r="H1892" s="26" t="str">
        <f aca="false">IF(A1892="","",IF(D1892="GCIA LINEA SERVICIO DIGITALIDAD Y VENTAS","Chats",IF(OR(D1892="GERENCIA INBOUND LÍNEAS SERVICIO Y VENTA",D1892="GERENCIA INBOUND LINEAS ESPECIALIZADAS"),"Llamadas","Otro")))</f>
        <v/>
      </c>
      <c r="I1892" s="26" t="str">
        <f aca="false">IF(A1892="","",IF(C1892="No encontrado","No","Sí"))</f>
        <v/>
      </c>
      <c r="J1892" s="26" t="str">
        <f aca="false">IF(A1892="","",IF(F1892="Inactivo","No","Sí"))</f>
        <v/>
      </c>
      <c r="K1892" s="26" t="str">
        <f aca="false">IF(A1892="","",IF(AND(I1892="Sí",J1892="Sí"),"Sí","No"))</f>
        <v/>
      </c>
    </row>
    <row r="1893" customFormat="false" ht="15" hidden="false" customHeight="false" outlineLevel="0" collapsed="false">
      <c r="A1893" s="22"/>
      <c r="B1893" s="22"/>
      <c r="C1893" s="23" t="str">
        <f aca="false">IF(A1893="","",IFERROR(buscarx(A1893&amp;B1893,DATA!$E$3:$E$10000&amp;DATA!$B$3:$B$10000,DATA!$M$3:$M$10000),"No encontrado"))</f>
        <v/>
      </c>
      <c r="D1893" s="24" t="str">
        <f aca="false">IF(A1893="","",IFERROR(buscarx(A1893&amp;B1893,DATA!$E$3:$E$10000&amp;DATA!$B$3:$B$10000,DATA!$W$3:$W$10000),"No encontrado"))</f>
        <v/>
      </c>
      <c r="E1893" s="22"/>
      <c r="F1893" s="23" t="str">
        <f aca="false">IF(A1893="","",IFERROR(buscarx(A1893&amp;E1893,DATA!$E$3:$E$10000&amp;DATA!$B$3:$B$10000,DATA!$M$3:$M$10000),"Inactivo"))</f>
        <v/>
      </c>
      <c r="G1893" s="25" t="str">
        <f aca="false">IF(A1893="","",IF(AND(C1893&lt;&gt;"No encontrado",F1893&lt;&gt;"Inactivo"),C1893&amp;" → "&amp;F1893,"Sin transición"))</f>
        <v/>
      </c>
      <c r="H1893" s="23" t="str">
        <f aca="false">IF(A1893="","",IF(D1893="GCIA LINEA SERVICIO DIGITALIDAD Y VENTAS","Chats",IF(OR(D1893="GERENCIA INBOUND LÍNEAS SERVICIO Y VENTA",D1893="GERENCIA INBOUND LINEAS ESPECIALIZADAS"),"Llamadas","Otro")))</f>
        <v/>
      </c>
      <c r="I1893" s="23" t="str">
        <f aca="false">IF(A1893="","",IF(C1893="No encontrado","No","Sí"))</f>
        <v/>
      </c>
      <c r="J1893" s="23" t="str">
        <f aca="false">IF(A1893="","",IF(F1893="Inactivo","No","Sí"))</f>
        <v/>
      </c>
      <c r="K1893" s="23" t="str">
        <f aca="false">IF(A1893="","",IF(AND(I1893="Sí",J1893="Sí"),"Sí","No"))</f>
        <v/>
      </c>
    </row>
    <row r="1894" customFormat="false" ht="15" hidden="false" customHeight="false" outlineLevel="0" collapsed="false">
      <c r="A1894" s="22"/>
      <c r="B1894" s="22"/>
      <c r="C1894" s="26" t="str">
        <f aca="false">IF(A1894="","",IFERROR(buscarx(A1894&amp;B1894,DATA!$E$3:$E$10000&amp;DATA!$B$3:$B$10000,DATA!$M$3:$M$10000),"No encontrado"))</f>
        <v/>
      </c>
      <c r="D1894" s="27" t="str">
        <f aca="false">IF(A1894="","",IFERROR(buscarx(A1894&amp;B1894,DATA!$E$3:$E$10000&amp;DATA!$B$3:$B$10000,DATA!$W$3:$W$10000),"No encontrado"))</f>
        <v/>
      </c>
      <c r="E1894" s="22"/>
      <c r="F1894" s="26" t="str">
        <f aca="false">IF(A1894="","",IFERROR(buscarx(A1894&amp;E1894,DATA!$E$3:$E$10000&amp;DATA!$B$3:$B$10000,DATA!$M$3:$M$10000),"Inactivo"))</f>
        <v/>
      </c>
      <c r="G1894" s="28" t="str">
        <f aca="false">IF(A1894="","",IF(AND(C1894&lt;&gt;"No encontrado",F1894&lt;&gt;"Inactivo"),C1894&amp;" → "&amp;F1894,"Sin transición"))</f>
        <v/>
      </c>
      <c r="H1894" s="26" t="str">
        <f aca="false">IF(A1894="","",IF(D1894="GCIA LINEA SERVICIO DIGITALIDAD Y VENTAS","Chats",IF(OR(D1894="GERENCIA INBOUND LÍNEAS SERVICIO Y VENTA",D1894="GERENCIA INBOUND LINEAS ESPECIALIZADAS"),"Llamadas","Otro")))</f>
        <v/>
      </c>
      <c r="I1894" s="26" t="str">
        <f aca="false">IF(A1894="","",IF(C1894="No encontrado","No","Sí"))</f>
        <v/>
      </c>
      <c r="J1894" s="26" t="str">
        <f aca="false">IF(A1894="","",IF(F1894="Inactivo","No","Sí"))</f>
        <v/>
      </c>
      <c r="K1894" s="26" t="str">
        <f aca="false">IF(A1894="","",IF(AND(I1894="Sí",J1894="Sí"),"Sí","No"))</f>
        <v/>
      </c>
    </row>
    <row r="1895" customFormat="false" ht="15" hidden="false" customHeight="false" outlineLevel="0" collapsed="false">
      <c r="A1895" s="22"/>
      <c r="B1895" s="22"/>
      <c r="C1895" s="23" t="str">
        <f aca="false">IF(A1895="","",IFERROR(buscarx(A1895&amp;B1895,DATA!$E$3:$E$10000&amp;DATA!$B$3:$B$10000,DATA!$M$3:$M$10000),"No encontrado"))</f>
        <v/>
      </c>
      <c r="D1895" s="24" t="str">
        <f aca="false">IF(A1895="","",IFERROR(buscarx(A1895&amp;B1895,DATA!$E$3:$E$10000&amp;DATA!$B$3:$B$10000,DATA!$W$3:$W$10000),"No encontrado"))</f>
        <v/>
      </c>
      <c r="E1895" s="22"/>
      <c r="F1895" s="23" t="str">
        <f aca="false">IF(A1895="","",IFERROR(buscarx(A1895&amp;E1895,DATA!$E$3:$E$10000&amp;DATA!$B$3:$B$10000,DATA!$M$3:$M$10000),"Inactivo"))</f>
        <v/>
      </c>
      <c r="G1895" s="25" t="str">
        <f aca="false">IF(A1895="","",IF(AND(C1895&lt;&gt;"No encontrado",F1895&lt;&gt;"Inactivo"),C1895&amp;" → "&amp;F1895,"Sin transición"))</f>
        <v/>
      </c>
      <c r="H1895" s="23" t="str">
        <f aca="false">IF(A1895="","",IF(D1895="GCIA LINEA SERVICIO DIGITALIDAD Y VENTAS","Chats",IF(OR(D1895="GERENCIA INBOUND LÍNEAS SERVICIO Y VENTA",D1895="GERENCIA INBOUND LINEAS ESPECIALIZADAS"),"Llamadas","Otro")))</f>
        <v/>
      </c>
      <c r="I1895" s="23" t="str">
        <f aca="false">IF(A1895="","",IF(C1895="No encontrado","No","Sí"))</f>
        <v/>
      </c>
      <c r="J1895" s="23" t="str">
        <f aca="false">IF(A1895="","",IF(F1895="Inactivo","No","Sí"))</f>
        <v/>
      </c>
      <c r="K1895" s="23" t="str">
        <f aca="false">IF(A1895="","",IF(AND(I1895="Sí",J1895="Sí"),"Sí","No"))</f>
        <v/>
      </c>
    </row>
    <row r="1896" customFormat="false" ht="15" hidden="false" customHeight="false" outlineLevel="0" collapsed="false">
      <c r="A1896" s="22"/>
      <c r="B1896" s="22"/>
      <c r="C1896" s="26" t="str">
        <f aca="false">IF(A1896="","",IFERROR(buscarx(A1896&amp;B1896,DATA!$E$3:$E$10000&amp;DATA!$B$3:$B$10000,DATA!$M$3:$M$10000),"No encontrado"))</f>
        <v/>
      </c>
      <c r="D1896" s="27" t="str">
        <f aca="false">IF(A1896="","",IFERROR(buscarx(A1896&amp;B1896,DATA!$E$3:$E$10000&amp;DATA!$B$3:$B$10000,DATA!$W$3:$W$10000),"No encontrado"))</f>
        <v/>
      </c>
      <c r="E1896" s="22"/>
      <c r="F1896" s="26" t="str">
        <f aca="false">IF(A1896="","",IFERROR(buscarx(A1896&amp;E1896,DATA!$E$3:$E$10000&amp;DATA!$B$3:$B$10000,DATA!$M$3:$M$10000),"Inactivo"))</f>
        <v/>
      </c>
      <c r="G1896" s="28" t="str">
        <f aca="false">IF(A1896="","",IF(AND(C1896&lt;&gt;"No encontrado",F1896&lt;&gt;"Inactivo"),C1896&amp;" → "&amp;F1896,"Sin transición"))</f>
        <v/>
      </c>
      <c r="H1896" s="26" t="str">
        <f aca="false">IF(A1896="","",IF(D1896="GCIA LINEA SERVICIO DIGITALIDAD Y VENTAS","Chats",IF(OR(D1896="GERENCIA INBOUND LÍNEAS SERVICIO Y VENTA",D1896="GERENCIA INBOUND LINEAS ESPECIALIZADAS"),"Llamadas","Otro")))</f>
        <v/>
      </c>
      <c r="I1896" s="26" t="str">
        <f aca="false">IF(A1896="","",IF(C1896="No encontrado","No","Sí"))</f>
        <v/>
      </c>
      <c r="J1896" s="26" t="str">
        <f aca="false">IF(A1896="","",IF(F1896="Inactivo","No","Sí"))</f>
        <v/>
      </c>
      <c r="K1896" s="26" t="str">
        <f aca="false">IF(A1896="","",IF(AND(I1896="Sí",J1896="Sí"),"Sí","No"))</f>
        <v/>
      </c>
    </row>
    <row r="1897" customFormat="false" ht="15" hidden="false" customHeight="false" outlineLevel="0" collapsed="false">
      <c r="A1897" s="22"/>
      <c r="B1897" s="22"/>
      <c r="C1897" s="23" t="str">
        <f aca="false">IF(A1897="","",IFERROR(buscarx(A1897&amp;B1897,DATA!$E$3:$E$10000&amp;DATA!$B$3:$B$10000,DATA!$M$3:$M$10000),"No encontrado"))</f>
        <v/>
      </c>
      <c r="D1897" s="24" t="str">
        <f aca="false">IF(A1897="","",IFERROR(buscarx(A1897&amp;B1897,DATA!$E$3:$E$10000&amp;DATA!$B$3:$B$10000,DATA!$W$3:$W$10000),"No encontrado"))</f>
        <v/>
      </c>
      <c r="E1897" s="22"/>
      <c r="F1897" s="23" t="str">
        <f aca="false">IF(A1897="","",IFERROR(buscarx(A1897&amp;E1897,DATA!$E$3:$E$10000&amp;DATA!$B$3:$B$10000,DATA!$M$3:$M$10000),"Inactivo"))</f>
        <v/>
      </c>
      <c r="G1897" s="25" t="str">
        <f aca="false">IF(A1897="","",IF(AND(C1897&lt;&gt;"No encontrado",F1897&lt;&gt;"Inactivo"),C1897&amp;" → "&amp;F1897,"Sin transición"))</f>
        <v/>
      </c>
      <c r="H1897" s="23" t="str">
        <f aca="false">IF(A1897="","",IF(D1897="GCIA LINEA SERVICIO DIGITALIDAD Y VENTAS","Chats",IF(OR(D1897="GERENCIA INBOUND LÍNEAS SERVICIO Y VENTA",D1897="GERENCIA INBOUND LINEAS ESPECIALIZADAS"),"Llamadas","Otro")))</f>
        <v/>
      </c>
      <c r="I1897" s="23" t="str">
        <f aca="false">IF(A1897="","",IF(C1897="No encontrado","No","Sí"))</f>
        <v/>
      </c>
      <c r="J1897" s="23" t="str">
        <f aca="false">IF(A1897="","",IF(F1897="Inactivo","No","Sí"))</f>
        <v/>
      </c>
      <c r="K1897" s="23" t="str">
        <f aca="false">IF(A1897="","",IF(AND(I1897="Sí",J1897="Sí"),"Sí","No"))</f>
        <v/>
      </c>
    </row>
    <row r="1898" customFormat="false" ht="15" hidden="false" customHeight="false" outlineLevel="0" collapsed="false">
      <c r="A1898" s="22"/>
      <c r="B1898" s="22"/>
      <c r="C1898" s="26" t="str">
        <f aca="false">IF(A1898="","",IFERROR(buscarx(A1898&amp;B1898,DATA!$E$3:$E$10000&amp;DATA!$B$3:$B$10000,DATA!$M$3:$M$10000),"No encontrado"))</f>
        <v/>
      </c>
      <c r="D1898" s="27" t="str">
        <f aca="false">IF(A1898="","",IFERROR(buscarx(A1898&amp;B1898,DATA!$E$3:$E$10000&amp;DATA!$B$3:$B$10000,DATA!$W$3:$W$10000),"No encontrado"))</f>
        <v/>
      </c>
      <c r="E1898" s="22"/>
      <c r="F1898" s="26" t="str">
        <f aca="false">IF(A1898="","",IFERROR(buscarx(A1898&amp;E1898,DATA!$E$3:$E$10000&amp;DATA!$B$3:$B$10000,DATA!$M$3:$M$10000),"Inactivo"))</f>
        <v/>
      </c>
      <c r="G1898" s="28" t="str">
        <f aca="false">IF(A1898="","",IF(AND(C1898&lt;&gt;"No encontrado",F1898&lt;&gt;"Inactivo"),C1898&amp;" → "&amp;F1898,"Sin transición"))</f>
        <v/>
      </c>
      <c r="H1898" s="26" t="str">
        <f aca="false">IF(A1898="","",IF(D1898="GCIA LINEA SERVICIO DIGITALIDAD Y VENTAS","Chats",IF(OR(D1898="GERENCIA INBOUND LÍNEAS SERVICIO Y VENTA",D1898="GERENCIA INBOUND LINEAS ESPECIALIZADAS"),"Llamadas","Otro")))</f>
        <v/>
      </c>
      <c r="I1898" s="26" t="str">
        <f aca="false">IF(A1898="","",IF(C1898="No encontrado","No","Sí"))</f>
        <v/>
      </c>
      <c r="J1898" s="26" t="str">
        <f aca="false">IF(A1898="","",IF(F1898="Inactivo","No","Sí"))</f>
        <v/>
      </c>
      <c r="K1898" s="26" t="str">
        <f aca="false">IF(A1898="","",IF(AND(I1898="Sí",J1898="Sí"),"Sí","No"))</f>
        <v/>
      </c>
    </row>
    <row r="1899" customFormat="false" ht="15" hidden="false" customHeight="false" outlineLevel="0" collapsed="false">
      <c r="A1899" s="22"/>
      <c r="B1899" s="22"/>
      <c r="C1899" s="23" t="str">
        <f aca="false">IF(A1899="","",IFERROR(buscarx(A1899&amp;B1899,DATA!$E$3:$E$10000&amp;DATA!$B$3:$B$10000,DATA!$M$3:$M$10000),"No encontrado"))</f>
        <v/>
      </c>
      <c r="D1899" s="24" t="str">
        <f aca="false">IF(A1899="","",IFERROR(buscarx(A1899&amp;B1899,DATA!$E$3:$E$10000&amp;DATA!$B$3:$B$10000,DATA!$W$3:$W$10000),"No encontrado"))</f>
        <v/>
      </c>
      <c r="E1899" s="22"/>
      <c r="F1899" s="23" t="str">
        <f aca="false">IF(A1899="","",IFERROR(buscarx(A1899&amp;E1899,DATA!$E$3:$E$10000&amp;DATA!$B$3:$B$10000,DATA!$M$3:$M$10000),"Inactivo"))</f>
        <v/>
      </c>
      <c r="G1899" s="25" t="str">
        <f aca="false">IF(A1899="","",IF(AND(C1899&lt;&gt;"No encontrado",F1899&lt;&gt;"Inactivo"),C1899&amp;" → "&amp;F1899,"Sin transición"))</f>
        <v/>
      </c>
      <c r="H1899" s="23" t="str">
        <f aca="false">IF(A1899="","",IF(D1899="GCIA LINEA SERVICIO DIGITALIDAD Y VENTAS","Chats",IF(OR(D1899="GERENCIA INBOUND LÍNEAS SERVICIO Y VENTA",D1899="GERENCIA INBOUND LINEAS ESPECIALIZADAS"),"Llamadas","Otro")))</f>
        <v/>
      </c>
      <c r="I1899" s="23" t="str">
        <f aca="false">IF(A1899="","",IF(C1899="No encontrado","No","Sí"))</f>
        <v/>
      </c>
      <c r="J1899" s="23" t="str">
        <f aca="false">IF(A1899="","",IF(F1899="Inactivo","No","Sí"))</f>
        <v/>
      </c>
      <c r="K1899" s="23" t="str">
        <f aca="false">IF(A1899="","",IF(AND(I1899="Sí",J1899="Sí"),"Sí","No"))</f>
        <v/>
      </c>
    </row>
    <row r="1900" customFormat="false" ht="15" hidden="false" customHeight="false" outlineLevel="0" collapsed="false">
      <c r="A1900" s="22"/>
      <c r="B1900" s="22"/>
      <c r="C1900" s="26" t="str">
        <f aca="false">IF(A1900="","",IFERROR(buscarx(A1900&amp;B1900,DATA!$E$3:$E$10000&amp;DATA!$B$3:$B$10000,DATA!$M$3:$M$10000),"No encontrado"))</f>
        <v/>
      </c>
      <c r="D1900" s="27" t="str">
        <f aca="false">IF(A1900="","",IFERROR(buscarx(A1900&amp;B1900,DATA!$E$3:$E$10000&amp;DATA!$B$3:$B$10000,DATA!$W$3:$W$10000),"No encontrado"))</f>
        <v/>
      </c>
      <c r="E1900" s="22"/>
      <c r="F1900" s="26" t="str">
        <f aca="false">IF(A1900="","",IFERROR(buscarx(A1900&amp;E1900,DATA!$E$3:$E$10000&amp;DATA!$B$3:$B$10000,DATA!$M$3:$M$10000),"Inactivo"))</f>
        <v/>
      </c>
      <c r="G1900" s="28" t="str">
        <f aca="false">IF(A1900="","",IF(AND(C1900&lt;&gt;"No encontrado",F1900&lt;&gt;"Inactivo"),C1900&amp;" → "&amp;F1900,"Sin transición"))</f>
        <v/>
      </c>
      <c r="H1900" s="26" t="str">
        <f aca="false">IF(A1900="","",IF(D1900="GCIA LINEA SERVICIO DIGITALIDAD Y VENTAS","Chats",IF(OR(D1900="GERENCIA INBOUND LÍNEAS SERVICIO Y VENTA",D1900="GERENCIA INBOUND LINEAS ESPECIALIZADAS"),"Llamadas","Otro")))</f>
        <v/>
      </c>
      <c r="I1900" s="26" t="str">
        <f aca="false">IF(A1900="","",IF(C1900="No encontrado","No","Sí"))</f>
        <v/>
      </c>
      <c r="J1900" s="26" t="str">
        <f aca="false">IF(A1900="","",IF(F1900="Inactivo","No","Sí"))</f>
        <v/>
      </c>
      <c r="K1900" s="26" t="str">
        <f aca="false">IF(A1900="","",IF(AND(I1900="Sí",J1900="Sí"),"Sí","No"))</f>
        <v/>
      </c>
    </row>
    <row r="1901" customFormat="false" ht="15" hidden="false" customHeight="false" outlineLevel="0" collapsed="false">
      <c r="A1901" s="22"/>
      <c r="B1901" s="22"/>
      <c r="C1901" s="23" t="str">
        <f aca="false">IF(A1901="","",IFERROR(buscarx(A1901&amp;B1901,DATA!$E$3:$E$10000&amp;DATA!$B$3:$B$10000,DATA!$M$3:$M$10000),"No encontrado"))</f>
        <v/>
      </c>
      <c r="D1901" s="24" t="str">
        <f aca="false">IF(A1901="","",IFERROR(buscarx(A1901&amp;B1901,DATA!$E$3:$E$10000&amp;DATA!$B$3:$B$10000,DATA!$W$3:$W$10000),"No encontrado"))</f>
        <v/>
      </c>
      <c r="E1901" s="22"/>
      <c r="F1901" s="23" t="str">
        <f aca="false">IF(A1901="","",IFERROR(buscarx(A1901&amp;E1901,DATA!$E$3:$E$10000&amp;DATA!$B$3:$B$10000,DATA!$M$3:$M$10000),"Inactivo"))</f>
        <v/>
      </c>
      <c r="G1901" s="25" t="str">
        <f aca="false">IF(A1901="","",IF(AND(C1901&lt;&gt;"No encontrado",F1901&lt;&gt;"Inactivo"),C1901&amp;" → "&amp;F1901,"Sin transición"))</f>
        <v/>
      </c>
      <c r="H1901" s="23" t="str">
        <f aca="false">IF(A1901="","",IF(D1901="GCIA LINEA SERVICIO DIGITALIDAD Y VENTAS","Chats",IF(OR(D1901="GERENCIA INBOUND LÍNEAS SERVICIO Y VENTA",D1901="GERENCIA INBOUND LINEAS ESPECIALIZADAS"),"Llamadas","Otro")))</f>
        <v/>
      </c>
      <c r="I1901" s="23" t="str">
        <f aca="false">IF(A1901="","",IF(C1901="No encontrado","No","Sí"))</f>
        <v/>
      </c>
      <c r="J1901" s="23" t="str">
        <f aca="false">IF(A1901="","",IF(F1901="Inactivo","No","Sí"))</f>
        <v/>
      </c>
      <c r="K1901" s="23" t="str">
        <f aca="false">IF(A1901="","",IF(AND(I1901="Sí",J1901="Sí"),"Sí","No"))</f>
        <v/>
      </c>
    </row>
    <row r="1902" customFormat="false" ht="15" hidden="false" customHeight="false" outlineLevel="0" collapsed="false">
      <c r="A1902" s="22"/>
      <c r="B1902" s="22"/>
      <c r="C1902" s="26" t="str">
        <f aca="false">IF(A1902="","",IFERROR(buscarx(A1902&amp;B1902,DATA!$E$3:$E$10000&amp;DATA!$B$3:$B$10000,DATA!$M$3:$M$10000),"No encontrado"))</f>
        <v/>
      </c>
      <c r="D1902" s="27" t="str">
        <f aca="false">IF(A1902="","",IFERROR(buscarx(A1902&amp;B1902,DATA!$E$3:$E$10000&amp;DATA!$B$3:$B$10000,DATA!$W$3:$W$10000),"No encontrado"))</f>
        <v/>
      </c>
      <c r="E1902" s="22"/>
      <c r="F1902" s="26" t="str">
        <f aca="false">IF(A1902="","",IFERROR(buscarx(A1902&amp;E1902,DATA!$E$3:$E$10000&amp;DATA!$B$3:$B$10000,DATA!$M$3:$M$10000),"Inactivo"))</f>
        <v/>
      </c>
      <c r="G1902" s="28" t="str">
        <f aca="false">IF(A1902="","",IF(AND(C1902&lt;&gt;"No encontrado",F1902&lt;&gt;"Inactivo"),C1902&amp;" → "&amp;F1902,"Sin transición"))</f>
        <v/>
      </c>
      <c r="H1902" s="26" t="str">
        <f aca="false">IF(A1902="","",IF(D1902="GCIA LINEA SERVICIO DIGITALIDAD Y VENTAS","Chats",IF(OR(D1902="GERENCIA INBOUND LÍNEAS SERVICIO Y VENTA",D1902="GERENCIA INBOUND LINEAS ESPECIALIZADAS"),"Llamadas","Otro")))</f>
        <v/>
      </c>
      <c r="I1902" s="26" t="str">
        <f aca="false">IF(A1902="","",IF(C1902="No encontrado","No","Sí"))</f>
        <v/>
      </c>
      <c r="J1902" s="26" t="str">
        <f aca="false">IF(A1902="","",IF(F1902="Inactivo","No","Sí"))</f>
        <v/>
      </c>
      <c r="K1902" s="26" t="str">
        <f aca="false">IF(A1902="","",IF(AND(I1902="Sí",J1902="Sí"),"Sí","No"))</f>
        <v/>
      </c>
    </row>
    <row r="1903" customFormat="false" ht="15" hidden="false" customHeight="false" outlineLevel="0" collapsed="false">
      <c r="A1903" s="22"/>
      <c r="B1903" s="22"/>
      <c r="C1903" s="23" t="str">
        <f aca="false">IF(A1903="","",IFERROR(buscarx(A1903&amp;B1903,DATA!$E$3:$E$10000&amp;DATA!$B$3:$B$10000,DATA!$M$3:$M$10000),"No encontrado"))</f>
        <v/>
      </c>
      <c r="D1903" s="24" t="str">
        <f aca="false">IF(A1903="","",IFERROR(buscarx(A1903&amp;B1903,DATA!$E$3:$E$10000&amp;DATA!$B$3:$B$10000,DATA!$W$3:$W$10000),"No encontrado"))</f>
        <v/>
      </c>
      <c r="E1903" s="22"/>
      <c r="F1903" s="23" t="str">
        <f aca="false">IF(A1903="","",IFERROR(buscarx(A1903&amp;E1903,DATA!$E$3:$E$10000&amp;DATA!$B$3:$B$10000,DATA!$M$3:$M$10000),"Inactivo"))</f>
        <v/>
      </c>
      <c r="G1903" s="25" t="str">
        <f aca="false">IF(A1903="","",IF(AND(C1903&lt;&gt;"No encontrado",F1903&lt;&gt;"Inactivo"),C1903&amp;" → "&amp;F1903,"Sin transición"))</f>
        <v/>
      </c>
      <c r="H1903" s="23" t="str">
        <f aca="false">IF(A1903="","",IF(D1903="GCIA LINEA SERVICIO DIGITALIDAD Y VENTAS","Chats",IF(OR(D1903="GERENCIA INBOUND LÍNEAS SERVICIO Y VENTA",D1903="GERENCIA INBOUND LINEAS ESPECIALIZADAS"),"Llamadas","Otro")))</f>
        <v/>
      </c>
      <c r="I1903" s="23" t="str">
        <f aca="false">IF(A1903="","",IF(C1903="No encontrado","No","Sí"))</f>
        <v/>
      </c>
      <c r="J1903" s="23" t="str">
        <f aca="false">IF(A1903="","",IF(F1903="Inactivo","No","Sí"))</f>
        <v/>
      </c>
      <c r="K1903" s="23" t="str">
        <f aca="false">IF(A1903="","",IF(AND(I1903="Sí",J1903="Sí"),"Sí","No"))</f>
        <v/>
      </c>
    </row>
    <row r="1904" customFormat="false" ht="15" hidden="false" customHeight="false" outlineLevel="0" collapsed="false">
      <c r="A1904" s="22"/>
      <c r="B1904" s="22"/>
      <c r="C1904" s="26" t="str">
        <f aca="false">IF(A1904="","",IFERROR(buscarx(A1904&amp;B1904,DATA!$E$3:$E$10000&amp;DATA!$B$3:$B$10000,DATA!$M$3:$M$10000),"No encontrado"))</f>
        <v/>
      </c>
      <c r="D1904" s="27" t="str">
        <f aca="false">IF(A1904="","",IFERROR(buscarx(A1904&amp;B1904,DATA!$E$3:$E$10000&amp;DATA!$B$3:$B$10000,DATA!$W$3:$W$10000),"No encontrado"))</f>
        <v/>
      </c>
      <c r="E1904" s="22"/>
      <c r="F1904" s="26" t="str">
        <f aca="false">IF(A1904="","",IFERROR(buscarx(A1904&amp;E1904,DATA!$E$3:$E$10000&amp;DATA!$B$3:$B$10000,DATA!$M$3:$M$10000),"Inactivo"))</f>
        <v/>
      </c>
      <c r="G1904" s="28" t="str">
        <f aca="false">IF(A1904="","",IF(AND(C1904&lt;&gt;"No encontrado",F1904&lt;&gt;"Inactivo"),C1904&amp;" → "&amp;F1904,"Sin transición"))</f>
        <v/>
      </c>
      <c r="H1904" s="26" t="str">
        <f aca="false">IF(A1904="","",IF(D1904="GCIA LINEA SERVICIO DIGITALIDAD Y VENTAS","Chats",IF(OR(D1904="GERENCIA INBOUND LÍNEAS SERVICIO Y VENTA",D1904="GERENCIA INBOUND LINEAS ESPECIALIZADAS"),"Llamadas","Otro")))</f>
        <v/>
      </c>
      <c r="I1904" s="26" t="str">
        <f aca="false">IF(A1904="","",IF(C1904="No encontrado","No","Sí"))</f>
        <v/>
      </c>
      <c r="J1904" s="26" t="str">
        <f aca="false">IF(A1904="","",IF(F1904="Inactivo","No","Sí"))</f>
        <v/>
      </c>
      <c r="K1904" s="26" t="str">
        <f aca="false">IF(A1904="","",IF(AND(I1904="Sí",J1904="Sí"),"Sí","No"))</f>
        <v/>
      </c>
    </row>
    <row r="1905" customFormat="false" ht="15" hidden="false" customHeight="false" outlineLevel="0" collapsed="false">
      <c r="A1905" s="22"/>
      <c r="B1905" s="22"/>
      <c r="C1905" s="23" t="str">
        <f aca="false">IF(A1905="","",IFERROR(buscarx(A1905&amp;B1905,DATA!$E$3:$E$10000&amp;DATA!$B$3:$B$10000,DATA!$M$3:$M$10000),"No encontrado"))</f>
        <v/>
      </c>
      <c r="D1905" s="24" t="str">
        <f aca="false">IF(A1905="","",IFERROR(buscarx(A1905&amp;B1905,DATA!$E$3:$E$10000&amp;DATA!$B$3:$B$10000,DATA!$W$3:$W$10000),"No encontrado"))</f>
        <v/>
      </c>
      <c r="E1905" s="22"/>
      <c r="F1905" s="23" t="str">
        <f aca="false">IF(A1905="","",IFERROR(buscarx(A1905&amp;E1905,DATA!$E$3:$E$10000&amp;DATA!$B$3:$B$10000,DATA!$M$3:$M$10000),"Inactivo"))</f>
        <v/>
      </c>
      <c r="G1905" s="25" t="str">
        <f aca="false">IF(A1905="","",IF(AND(C1905&lt;&gt;"No encontrado",F1905&lt;&gt;"Inactivo"),C1905&amp;" → "&amp;F1905,"Sin transición"))</f>
        <v/>
      </c>
      <c r="H1905" s="23" t="str">
        <f aca="false">IF(A1905="","",IF(D1905="GCIA LINEA SERVICIO DIGITALIDAD Y VENTAS","Chats",IF(OR(D1905="GERENCIA INBOUND LÍNEAS SERVICIO Y VENTA",D1905="GERENCIA INBOUND LINEAS ESPECIALIZADAS"),"Llamadas","Otro")))</f>
        <v/>
      </c>
      <c r="I1905" s="23" t="str">
        <f aca="false">IF(A1905="","",IF(C1905="No encontrado","No","Sí"))</f>
        <v/>
      </c>
      <c r="J1905" s="23" t="str">
        <f aca="false">IF(A1905="","",IF(F1905="Inactivo","No","Sí"))</f>
        <v/>
      </c>
      <c r="K1905" s="23" t="str">
        <f aca="false">IF(A1905="","",IF(AND(I1905="Sí",J1905="Sí"),"Sí","No"))</f>
        <v/>
      </c>
    </row>
    <row r="1906" customFormat="false" ht="15" hidden="false" customHeight="false" outlineLevel="0" collapsed="false">
      <c r="A1906" s="22"/>
      <c r="B1906" s="22"/>
      <c r="C1906" s="26" t="str">
        <f aca="false">IF(A1906="","",IFERROR(buscarx(A1906&amp;B1906,DATA!$E$3:$E$10000&amp;DATA!$B$3:$B$10000,DATA!$M$3:$M$10000),"No encontrado"))</f>
        <v/>
      </c>
      <c r="D1906" s="27" t="str">
        <f aca="false">IF(A1906="","",IFERROR(buscarx(A1906&amp;B1906,DATA!$E$3:$E$10000&amp;DATA!$B$3:$B$10000,DATA!$W$3:$W$10000),"No encontrado"))</f>
        <v/>
      </c>
      <c r="E1906" s="22"/>
      <c r="F1906" s="26" t="str">
        <f aca="false">IF(A1906="","",IFERROR(buscarx(A1906&amp;E1906,DATA!$E$3:$E$10000&amp;DATA!$B$3:$B$10000,DATA!$M$3:$M$10000),"Inactivo"))</f>
        <v/>
      </c>
      <c r="G1906" s="28" t="str">
        <f aca="false">IF(A1906="","",IF(AND(C1906&lt;&gt;"No encontrado",F1906&lt;&gt;"Inactivo"),C1906&amp;" → "&amp;F1906,"Sin transición"))</f>
        <v/>
      </c>
      <c r="H1906" s="26" t="str">
        <f aca="false">IF(A1906="","",IF(D1906="GCIA LINEA SERVICIO DIGITALIDAD Y VENTAS","Chats",IF(OR(D1906="GERENCIA INBOUND LÍNEAS SERVICIO Y VENTA",D1906="GERENCIA INBOUND LINEAS ESPECIALIZADAS"),"Llamadas","Otro")))</f>
        <v/>
      </c>
      <c r="I1906" s="26" t="str">
        <f aca="false">IF(A1906="","",IF(C1906="No encontrado","No","Sí"))</f>
        <v/>
      </c>
      <c r="J1906" s="26" t="str">
        <f aca="false">IF(A1906="","",IF(F1906="Inactivo","No","Sí"))</f>
        <v/>
      </c>
      <c r="K1906" s="26" t="str">
        <f aca="false">IF(A1906="","",IF(AND(I1906="Sí",J1906="Sí"),"Sí","No"))</f>
        <v/>
      </c>
    </row>
    <row r="1907" customFormat="false" ht="15" hidden="false" customHeight="false" outlineLevel="0" collapsed="false">
      <c r="A1907" s="22"/>
      <c r="B1907" s="22"/>
      <c r="C1907" s="23" t="str">
        <f aca="false">IF(A1907="","",IFERROR(buscarx(A1907&amp;B1907,DATA!$E$3:$E$10000&amp;DATA!$B$3:$B$10000,DATA!$M$3:$M$10000),"No encontrado"))</f>
        <v/>
      </c>
      <c r="D1907" s="24" t="str">
        <f aca="false">IF(A1907="","",IFERROR(buscarx(A1907&amp;B1907,DATA!$E$3:$E$10000&amp;DATA!$B$3:$B$10000,DATA!$W$3:$W$10000),"No encontrado"))</f>
        <v/>
      </c>
      <c r="E1907" s="22"/>
      <c r="F1907" s="23" t="str">
        <f aca="false">IF(A1907="","",IFERROR(buscarx(A1907&amp;E1907,DATA!$E$3:$E$10000&amp;DATA!$B$3:$B$10000,DATA!$M$3:$M$10000),"Inactivo"))</f>
        <v/>
      </c>
      <c r="G1907" s="25" t="str">
        <f aca="false">IF(A1907="","",IF(AND(C1907&lt;&gt;"No encontrado",F1907&lt;&gt;"Inactivo"),C1907&amp;" → "&amp;F1907,"Sin transición"))</f>
        <v/>
      </c>
      <c r="H1907" s="23" t="str">
        <f aca="false">IF(A1907="","",IF(D1907="GCIA LINEA SERVICIO DIGITALIDAD Y VENTAS","Chats",IF(OR(D1907="GERENCIA INBOUND LÍNEAS SERVICIO Y VENTA",D1907="GERENCIA INBOUND LINEAS ESPECIALIZADAS"),"Llamadas","Otro")))</f>
        <v/>
      </c>
      <c r="I1907" s="23" t="str">
        <f aca="false">IF(A1907="","",IF(C1907="No encontrado","No","Sí"))</f>
        <v/>
      </c>
      <c r="J1907" s="23" t="str">
        <f aca="false">IF(A1907="","",IF(F1907="Inactivo","No","Sí"))</f>
        <v/>
      </c>
      <c r="K1907" s="23" t="str">
        <f aca="false">IF(A1907="","",IF(AND(I1907="Sí",J1907="Sí"),"Sí","No"))</f>
        <v/>
      </c>
    </row>
    <row r="1908" customFormat="false" ht="15" hidden="false" customHeight="false" outlineLevel="0" collapsed="false">
      <c r="A1908" s="22"/>
      <c r="B1908" s="22"/>
      <c r="C1908" s="26" t="str">
        <f aca="false">IF(A1908="","",IFERROR(buscarx(A1908&amp;B1908,DATA!$E$3:$E$10000&amp;DATA!$B$3:$B$10000,DATA!$M$3:$M$10000),"No encontrado"))</f>
        <v/>
      </c>
      <c r="D1908" s="27" t="str">
        <f aca="false">IF(A1908="","",IFERROR(buscarx(A1908&amp;B1908,DATA!$E$3:$E$10000&amp;DATA!$B$3:$B$10000,DATA!$W$3:$W$10000),"No encontrado"))</f>
        <v/>
      </c>
      <c r="E1908" s="22"/>
      <c r="F1908" s="26" t="str">
        <f aca="false">IF(A1908="","",IFERROR(buscarx(A1908&amp;E1908,DATA!$E$3:$E$10000&amp;DATA!$B$3:$B$10000,DATA!$M$3:$M$10000),"Inactivo"))</f>
        <v/>
      </c>
      <c r="G1908" s="28" t="str">
        <f aca="false">IF(A1908="","",IF(AND(C1908&lt;&gt;"No encontrado",F1908&lt;&gt;"Inactivo"),C1908&amp;" → "&amp;F1908,"Sin transición"))</f>
        <v/>
      </c>
      <c r="H1908" s="26" t="str">
        <f aca="false">IF(A1908="","",IF(D1908="GCIA LINEA SERVICIO DIGITALIDAD Y VENTAS","Chats",IF(OR(D1908="GERENCIA INBOUND LÍNEAS SERVICIO Y VENTA",D1908="GERENCIA INBOUND LINEAS ESPECIALIZADAS"),"Llamadas","Otro")))</f>
        <v/>
      </c>
      <c r="I1908" s="26" t="str">
        <f aca="false">IF(A1908="","",IF(C1908="No encontrado","No","Sí"))</f>
        <v/>
      </c>
      <c r="J1908" s="26" t="str">
        <f aca="false">IF(A1908="","",IF(F1908="Inactivo","No","Sí"))</f>
        <v/>
      </c>
      <c r="K1908" s="26" t="str">
        <f aca="false">IF(A1908="","",IF(AND(I1908="Sí",J1908="Sí"),"Sí","No"))</f>
        <v/>
      </c>
    </row>
    <row r="1909" customFormat="false" ht="15" hidden="false" customHeight="false" outlineLevel="0" collapsed="false">
      <c r="A1909" s="22"/>
      <c r="B1909" s="22"/>
      <c r="C1909" s="23" t="str">
        <f aca="false">IF(A1909="","",IFERROR(buscarx(A1909&amp;B1909,DATA!$E$3:$E$10000&amp;DATA!$B$3:$B$10000,DATA!$M$3:$M$10000),"No encontrado"))</f>
        <v/>
      </c>
      <c r="D1909" s="24" t="str">
        <f aca="false">IF(A1909="","",IFERROR(buscarx(A1909&amp;B1909,DATA!$E$3:$E$10000&amp;DATA!$B$3:$B$10000,DATA!$W$3:$W$10000),"No encontrado"))</f>
        <v/>
      </c>
      <c r="E1909" s="22"/>
      <c r="F1909" s="23" t="str">
        <f aca="false">IF(A1909="","",IFERROR(buscarx(A1909&amp;E1909,DATA!$E$3:$E$10000&amp;DATA!$B$3:$B$10000,DATA!$M$3:$M$10000),"Inactivo"))</f>
        <v/>
      </c>
      <c r="G1909" s="25" t="str">
        <f aca="false">IF(A1909="","",IF(AND(C1909&lt;&gt;"No encontrado",F1909&lt;&gt;"Inactivo"),C1909&amp;" → "&amp;F1909,"Sin transición"))</f>
        <v/>
      </c>
      <c r="H1909" s="23" t="str">
        <f aca="false">IF(A1909="","",IF(D1909="GCIA LINEA SERVICIO DIGITALIDAD Y VENTAS","Chats",IF(OR(D1909="GERENCIA INBOUND LÍNEAS SERVICIO Y VENTA",D1909="GERENCIA INBOUND LINEAS ESPECIALIZADAS"),"Llamadas","Otro")))</f>
        <v/>
      </c>
      <c r="I1909" s="23" t="str">
        <f aca="false">IF(A1909="","",IF(C1909="No encontrado","No","Sí"))</f>
        <v/>
      </c>
      <c r="J1909" s="23" t="str">
        <f aca="false">IF(A1909="","",IF(F1909="Inactivo","No","Sí"))</f>
        <v/>
      </c>
      <c r="K1909" s="23" t="str">
        <f aca="false">IF(A1909="","",IF(AND(I1909="Sí",J1909="Sí"),"Sí","No"))</f>
        <v/>
      </c>
    </row>
    <row r="1910" customFormat="false" ht="15" hidden="false" customHeight="false" outlineLevel="0" collapsed="false">
      <c r="A1910" s="22"/>
      <c r="B1910" s="22"/>
      <c r="C1910" s="26" t="str">
        <f aca="false">IF(A1910="","",IFERROR(buscarx(A1910&amp;B1910,DATA!$E$3:$E$10000&amp;DATA!$B$3:$B$10000,DATA!$M$3:$M$10000),"No encontrado"))</f>
        <v/>
      </c>
      <c r="D1910" s="27" t="str">
        <f aca="false">IF(A1910="","",IFERROR(buscarx(A1910&amp;B1910,DATA!$E$3:$E$10000&amp;DATA!$B$3:$B$10000,DATA!$W$3:$W$10000),"No encontrado"))</f>
        <v/>
      </c>
      <c r="E1910" s="22"/>
      <c r="F1910" s="26" t="str">
        <f aca="false">IF(A1910="","",IFERROR(buscarx(A1910&amp;E1910,DATA!$E$3:$E$10000&amp;DATA!$B$3:$B$10000,DATA!$M$3:$M$10000),"Inactivo"))</f>
        <v/>
      </c>
      <c r="G1910" s="28" t="str">
        <f aca="false">IF(A1910="","",IF(AND(C1910&lt;&gt;"No encontrado",F1910&lt;&gt;"Inactivo"),C1910&amp;" → "&amp;F1910,"Sin transición"))</f>
        <v/>
      </c>
      <c r="H1910" s="26" t="str">
        <f aca="false">IF(A1910="","",IF(D1910="GCIA LINEA SERVICIO DIGITALIDAD Y VENTAS","Chats",IF(OR(D1910="GERENCIA INBOUND LÍNEAS SERVICIO Y VENTA",D1910="GERENCIA INBOUND LINEAS ESPECIALIZADAS"),"Llamadas","Otro")))</f>
        <v/>
      </c>
      <c r="I1910" s="26" t="str">
        <f aca="false">IF(A1910="","",IF(C1910="No encontrado","No","Sí"))</f>
        <v/>
      </c>
      <c r="J1910" s="26" t="str">
        <f aca="false">IF(A1910="","",IF(F1910="Inactivo","No","Sí"))</f>
        <v/>
      </c>
      <c r="K1910" s="26" t="str">
        <f aca="false">IF(A1910="","",IF(AND(I1910="Sí",J1910="Sí"),"Sí","No"))</f>
        <v/>
      </c>
    </row>
    <row r="1911" customFormat="false" ht="15" hidden="false" customHeight="false" outlineLevel="0" collapsed="false">
      <c r="A1911" s="22"/>
      <c r="B1911" s="22"/>
      <c r="C1911" s="23" t="str">
        <f aca="false">IF(A1911="","",IFERROR(buscarx(A1911&amp;B1911,DATA!$E$3:$E$10000&amp;DATA!$B$3:$B$10000,DATA!$M$3:$M$10000),"No encontrado"))</f>
        <v/>
      </c>
      <c r="D1911" s="24" t="str">
        <f aca="false">IF(A1911="","",IFERROR(buscarx(A1911&amp;B1911,DATA!$E$3:$E$10000&amp;DATA!$B$3:$B$10000,DATA!$W$3:$W$10000),"No encontrado"))</f>
        <v/>
      </c>
      <c r="E1911" s="22"/>
      <c r="F1911" s="23" t="str">
        <f aca="false">IF(A1911="","",IFERROR(buscarx(A1911&amp;E1911,DATA!$E$3:$E$10000&amp;DATA!$B$3:$B$10000,DATA!$M$3:$M$10000),"Inactivo"))</f>
        <v/>
      </c>
      <c r="G1911" s="25" t="str">
        <f aca="false">IF(A1911="","",IF(AND(C1911&lt;&gt;"No encontrado",F1911&lt;&gt;"Inactivo"),C1911&amp;" → "&amp;F1911,"Sin transición"))</f>
        <v/>
      </c>
      <c r="H1911" s="23" t="str">
        <f aca="false">IF(A1911="","",IF(D1911="GCIA LINEA SERVICIO DIGITALIDAD Y VENTAS","Chats",IF(OR(D1911="GERENCIA INBOUND LÍNEAS SERVICIO Y VENTA",D1911="GERENCIA INBOUND LINEAS ESPECIALIZADAS"),"Llamadas","Otro")))</f>
        <v/>
      </c>
      <c r="I1911" s="23" t="str">
        <f aca="false">IF(A1911="","",IF(C1911="No encontrado","No","Sí"))</f>
        <v/>
      </c>
      <c r="J1911" s="23" t="str">
        <f aca="false">IF(A1911="","",IF(F1911="Inactivo","No","Sí"))</f>
        <v/>
      </c>
      <c r="K1911" s="23" t="str">
        <f aca="false">IF(A1911="","",IF(AND(I1911="Sí",J1911="Sí"),"Sí","No"))</f>
        <v/>
      </c>
    </row>
    <row r="1912" customFormat="false" ht="15" hidden="false" customHeight="false" outlineLevel="0" collapsed="false">
      <c r="A1912" s="22"/>
      <c r="B1912" s="22"/>
      <c r="C1912" s="26" t="str">
        <f aca="false">IF(A1912="","",IFERROR(buscarx(A1912&amp;B1912,DATA!$E$3:$E$10000&amp;DATA!$B$3:$B$10000,DATA!$M$3:$M$10000),"No encontrado"))</f>
        <v/>
      </c>
      <c r="D1912" s="27" t="str">
        <f aca="false">IF(A1912="","",IFERROR(buscarx(A1912&amp;B1912,DATA!$E$3:$E$10000&amp;DATA!$B$3:$B$10000,DATA!$W$3:$W$10000),"No encontrado"))</f>
        <v/>
      </c>
      <c r="E1912" s="22"/>
      <c r="F1912" s="26" t="str">
        <f aca="false">IF(A1912="","",IFERROR(buscarx(A1912&amp;E1912,DATA!$E$3:$E$10000&amp;DATA!$B$3:$B$10000,DATA!$M$3:$M$10000),"Inactivo"))</f>
        <v/>
      </c>
      <c r="G1912" s="28" t="str">
        <f aca="false">IF(A1912="","",IF(AND(C1912&lt;&gt;"No encontrado",F1912&lt;&gt;"Inactivo"),C1912&amp;" → "&amp;F1912,"Sin transición"))</f>
        <v/>
      </c>
      <c r="H1912" s="26" t="str">
        <f aca="false">IF(A1912="","",IF(D1912="GCIA LINEA SERVICIO DIGITALIDAD Y VENTAS","Chats",IF(OR(D1912="GERENCIA INBOUND LÍNEAS SERVICIO Y VENTA",D1912="GERENCIA INBOUND LINEAS ESPECIALIZADAS"),"Llamadas","Otro")))</f>
        <v/>
      </c>
      <c r="I1912" s="26" t="str">
        <f aca="false">IF(A1912="","",IF(C1912="No encontrado","No","Sí"))</f>
        <v/>
      </c>
      <c r="J1912" s="26" t="str">
        <f aca="false">IF(A1912="","",IF(F1912="Inactivo","No","Sí"))</f>
        <v/>
      </c>
      <c r="K1912" s="26" t="str">
        <f aca="false">IF(A1912="","",IF(AND(I1912="Sí",J1912="Sí"),"Sí","No"))</f>
        <v/>
      </c>
    </row>
    <row r="1913" customFormat="false" ht="15" hidden="false" customHeight="false" outlineLevel="0" collapsed="false">
      <c r="A1913" s="22"/>
      <c r="B1913" s="22"/>
      <c r="C1913" s="23" t="str">
        <f aca="false">IF(A1913="","",IFERROR(buscarx(A1913&amp;B1913,DATA!$E$3:$E$10000&amp;DATA!$B$3:$B$10000,DATA!$M$3:$M$10000),"No encontrado"))</f>
        <v/>
      </c>
      <c r="D1913" s="24" t="str">
        <f aca="false">IF(A1913="","",IFERROR(buscarx(A1913&amp;B1913,DATA!$E$3:$E$10000&amp;DATA!$B$3:$B$10000,DATA!$W$3:$W$10000),"No encontrado"))</f>
        <v/>
      </c>
      <c r="E1913" s="22"/>
      <c r="F1913" s="23" t="str">
        <f aca="false">IF(A1913="","",IFERROR(buscarx(A1913&amp;E1913,DATA!$E$3:$E$10000&amp;DATA!$B$3:$B$10000,DATA!$M$3:$M$10000),"Inactivo"))</f>
        <v/>
      </c>
      <c r="G1913" s="25" t="str">
        <f aca="false">IF(A1913="","",IF(AND(C1913&lt;&gt;"No encontrado",F1913&lt;&gt;"Inactivo"),C1913&amp;" → "&amp;F1913,"Sin transición"))</f>
        <v/>
      </c>
      <c r="H1913" s="23" t="str">
        <f aca="false">IF(A1913="","",IF(D1913="GCIA LINEA SERVICIO DIGITALIDAD Y VENTAS","Chats",IF(OR(D1913="GERENCIA INBOUND LÍNEAS SERVICIO Y VENTA",D1913="GERENCIA INBOUND LINEAS ESPECIALIZADAS"),"Llamadas","Otro")))</f>
        <v/>
      </c>
      <c r="I1913" s="23" t="str">
        <f aca="false">IF(A1913="","",IF(C1913="No encontrado","No","Sí"))</f>
        <v/>
      </c>
      <c r="J1913" s="23" t="str">
        <f aca="false">IF(A1913="","",IF(F1913="Inactivo","No","Sí"))</f>
        <v/>
      </c>
      <c r="K1913" s="23" t="str">
        <f aca="false">IF(A1913="","",IF(AND(I1913="Sí",J1913="Sí"),"Sí","No"))</f>
        <v/>
      </c>
    </row>
    <row r="1914" customFormat="false" ht="15" hidden="false" customHeight="false" outlineLevel="0" collapsed="false">
      <c r="A1914" s="22"/>
      <c r="B1914" s="22"/>
      <c r="C1914" s="26" t="str">
        <f aca="false">IF(A1914="","",IFERROR(buscarx(A1914&amp;B1914,DATA!$E$3:$E$10000&amp;DATA!$B$3:$B$10000,DATA!$M$3:$M$10000),"No encontrado"))</f>
        <v/>
      </c>
      <c r="D1914" s="27" t="str">
        <f aca="false">IF(A1914="","",IFERROR(buscarx(A1914&amp;B1914,DATA!$E$3:$E$10000&amp;DATA!$B$3:$B$10000,DATA!$W$3:$W$10000),"No encontrado"))</f>
        <v/>
      </c>
      <c r="E1914" s="22"/>
      <c r="F1914" s="26" t="str">
        <f aca="false">IF(A1914="","",IFERROR(buscarx(A1914&amp;E1914,DATA!$E$3:$E$10000&amp;DATA!$B$3:$B$10000,DATA!$M$3:$M$10000),"Inactivo"))</f>
        <v/>
      </c>
      <c r="G1914" s="28" t="str">
        <f aca="false">IF(A1914="","",IF(AND(C1914&lt;&gt;"No encontrado",F1914&lt;&gt;"Inactivo"),C1914&amp;" → "&amp;F1914,"Sin transición"))</f>
        <v/>
      </c>
      <c r="H1914" s="26" t="str">
        <f aca="false">IF(A1914="","",IF(D1914="GCIA LINEA SERVICIO DIGITALIDAD Y VENTAS","Chats",IF(OR(D1914="GERENCIA INBOUND LÍNEAS SERVICIO Y VENTA",D1914="GERENCIA INBOUND LINEAS ESPECIALIZADAS"),"Llamadas","Otro")))</f>
        <v/>
      </c>
      <c r="I1914" s="26" t="str">
        <f aca="false">IF(A1914="","",IF(C1914="No encontrado","No","Sí"))</f>
        <v/>
      </c>
      <c r="J1914" s="26" t="str">
        <f aca="false">IF(A1914="","",IF(F1914="Inactivo","No","Sí"))</f>
        <v/>
      </c>
      <c r="K1914" s="26" t="str">
        <f aca="false">IF(A1914="","",IF(AND(I1914="Sí",J1914="Sí"),"Sí","No"))</f>
        <v/>
      </c>
    </row>
    <row r="1915" customFormat="false" ht="15" hidden="false" customHeight="false" outlineLevel="0" collapsed="false">
      <c r="A1915" s="22"/>
      <c r="B1915" s="22"/>
      <c r="C1915" s="23" t="str">
        <f aca="false">IF(A1915="","",IFERROR(buscarx(A1915&amp;B1915,DATA!$E$3:$E$10000&amp;DATA!$B$3:$B$10000,DATA!$M$3:$M$10000),"No encontrado"))</f>
        <v/>
      </c>
      <c r="D1915" s="24" t="str">
        <f aca="false">IF(A1915="","",IFERROR(buscarx(A1915&amp;B1915,DATA!$E$3:$E$10000&amp;DATA!$B$3:$B$10000,DATA!$W$3:$W$10000),"No encontrado"))</f>
        <v/>
      </c>
      <c r="E1915" s="22"/>
      <c r="F1915" s="23" t="str">
        <f aca="false">IF(A1915="","",IFERROR(buscarx(A1915&amp;E1915,DATA!$E$3:$E$10000&amp;DATA!$B$3:$B$10000,DATA!$M$3:$M$10000),"Inactivo"))</f>
        <v/>
      </c>
      <c r="G1915" s="25" t="str">
        <f aca="false">IF(A1915="","",IF(AND(C1915&lt;&gt;"No encontrado",F1915&lt;&gt;"Inactivo"),C1915&amp;" → "&amp;F1915,"Sin transición"))</f>
        <v/>
      </c>
      <c r="H1915" s="23" t="str">
        <f aca="false">IF(A1915="","",IF(D1915="GCIA LINEA SERVICIO DIGITALIDAD Y VENTAS","Chats",IF(OR(D1915="GERENCIA INBOUND LÍNEAS SERVICIO Y VENTA",D1915="GERENCIA INBOUND LINEAS ESPECIALIZADAS"),"Llamadas","Otro")))</f>
        <v/>
      </c>
      <c r="I1915" s="23" t="str">
        <f aca="false">IF(A1915="","",IF(C1915="No encontrado","No","Sí"))</f>
        <v/>
      </c>
      <c r="J1915" s="23" t="str">
        <f aca="false">IF(A1915="","",IF(F1915="Inactivo","No","Sí"))</f>
        <v/>
      </c>
      <c r="K1915" s="23" t="str">
        <f aca="false">IF(A1915="","",IF(AND(I1915="Sí",J1915="Sí"),"Sí","No"))</f>
        <v/>
      </c>
    </row>
    <row r="1916" customFormat="false" ht="15" hidden="false" customHeight="false" outlineLevel="0" collapsed="false">
      <c r="A1916" s="22"/>
      <c r="B1916" s="22"/>
      <c r="C1916" s="26" t="str">
        <f aca="false">IF(A1916="","",IFERROR(buscarx(A1916&amp;B1916,DATA!$E$3:$E$10000&amp;DATA!$B$3:$B$10000,DATA!$M$3:$M$10000),"No encontrado"))</f>
        <v/>
      </c>
      <c r="D1916" s="27" t="str">
        <f aca="false">IF(A1916="","",IFERROR(buscarx(A1916&amp;B1916,DATA!$E$3:$E$10000&amp;DATA!$B$3:$B$10000,DATA!$W$3:$W$10000),"No encontrado"))</f>
        <v/>
      </c>
      <c r="E1916" s="22"/>
      <c r="F1916" s="26" t="str">
        <f aca="false">IF(A1916="","",IFERROR(buscarx(A1916&amp;E1916,DATA!$E$3:$E$10000&amp;DATA!$B$3:$B$10000,DATA!$M$3:$M$10000),"Inactivo"))</f>
        <v/>
      </c>
      <c r="G1916" s="28" t="str">
        <f aca="false">IF(A1916="","",IF(AND(C1916&lt;&gt;"No encontrado",F1916&lt;&gt;"Inactivo"),C1916&amp;" → "&amp;F1916,"Sin transición"))</f>
        <v/>
      </c>
      <c r="H1916" s="26" t="str">
        <f aca="false">IF(A1916="","",IF(D1916="GCIA LINEA SERVICIO DIGITALIDAD Y VENTAS","Chats",IF(OR(D1916="GERENCIA INBOUND LÍNEAS SERVICIO Y VENTA",D1916="GERENCIA INBOUND LINEAS ESPECIALIZADAS"),"Llamadas","Otro")))</f>
        <v/>
      </c>
      <c r="I1916" s="26" t="str">
        <f aca="false">IF(A1916="","",IF(C1916="No encontrado","No","Sí"))</f>
        <v/>
      </c>
      <c r="J1916" s="26" t="str">
        <f aca="false">IF(A1916="","",IF(F1916="Inactivo","No","Sí"))</f>
        <v/>
      </c>
      <c r="K1916" s="26" t="str">
        <f aca="false">IF(A1916="","",IF(AND(I1916="Sí",J1916="Sí"),"Sí","No"))</f>
        <v/>
      </c>
    </row>
    <row r="1917" customFormat="false" ht="15" hidden="false" customHeight="false" outlineLevel="0" collapsed="false">
      <c r="A1917" s="22"/>
      <c r="B1917" s="22"/>
      <c r="C1917" s="23" t="str">
        <f aca="false">IF(A1917="","",IFERROR(buscarx(A1917&amp;B1917,DATA!$E$3:$E$10000&amp;DATA!$B$3:$B$10000,DATA!$M$3:$M$10000),"No encontrado"))</f>
        <v/>
      </c>
      <c r="D1917" s="24" t="str">
        <f aca="false">IF(A1917="","",IFERROR(buscarx(A1917&amp;B1917,DATA!$E$3:$E$10000&amp;DATA!$B$3:$B$10000,DATA!$W$3:$W$10000),"No encontrado"))</f>
        <v/>
      </c>
      <c r="E1917" s="22"/>
      <c r="F1917" s="23" t="str">
        <f aca="false">IF(A1917="","",IFERROR(buscarx(A1917&amp;E1917,DATA!$E$3:$E$10000&amp;DATA!$B$3:$B$10000,DATA!$M$3:$M$10000),"Inactivo"))</f>
        <v/>
      </c>
      <c r="G1917" s="25" t="str">
        <f aca="false">IF(A1917="","",IF(AND(C1917&lt;&gt;"No encontrado",F1917&lt;&gt;"Inactivo"),C1917&amp;" → "&amp;F1917,"Sin transición"))</f>
        <v/>
      </c>
      <c r="H1917" s="23" t="str">
        <f aca="false">IF(A1917="","",IF(D1917="GCIA LINEA SERVICIO DIGITALIDAD Y VENTAS","Chats",IF(OR(D1917="GERENCIA INBOUND LÍNEAS SERVICIO Y VENTA",D1917="GERENCIA INBOUND LINEAS ESPECIALIZADAS"),"Llamadas","Otro")))</f>
        <v/>
      </c>
      <c r="I1917" s="23" t="str">
        <f aca="false">IF(A1917="","",IF(C1917="No encontrado","No","Sí"))</f>
        <v/>
      </c>
      <c r="J1917" s="23" t="str">
        <f aca="false">IF(A1917="","",IF(F1917="Inactivo","No","Sí"))</f>
        <v/>
      </c>
      <c r="K1917" s="23" t="str">
        <f aca="false">IF(A1917="","",IF(AND(I1917="Sí",J1917="Sí"),"Sí","No"))</f>
        <v/>
      </c>
    </row>
    <row r="1918" customFormat="false" ht="15" hidden="false" customHeight="false" outlineLevel="0" collapsed="false">
      <c r="A1918" s="22"/>
      <c r="B1918" s="22"/>
      <c r="C1918" s="26" t="str">
        <f aca="false">IF(A1918="","",IFERROR(buscarx(A1918&amp;B1918,DATA!$E$3:$E$10000&amp;DATA!$B$3:$B$10000,DATA!$M$3:$M$10000),"No encontrado"))</f>
        <v/>
      </c>
      <c r="D1918" s="27" t="str">
        <f aca="false">IF(A1918="","",IFERROR(buscarx(A1918&amp;B1918,DATA!$E$3:$E$10000&amp;DATA!$B$3:$B$10000,DATA!$W$3:$W$10000),"No encontrado"))</f>
        <v/>
      </c>
      <c r="E1918" s="22"/>
      <c r="F1918" s="26" t="str">
        <f aca="false">IF(A1918="","",IFERROR(buscarx(A1918&amp;E1918,DATA!$E$3:$E$10000&amp;DATA!$B$3:$B$10000,DATA!$M$3:$M$10000),"Inactivo"))</f>
        <v/>
      </c>
      <c r="G1918" s="28" t="str">
        <f aca="false">IF(A1918="","",IF(AND(C1918&lt;&gt;"No encontrado",F1918&lt;&gt;"Inactivo"),C1918&amp;" → "&amp;F1918,"Sin transición"))</f>
        <v/>
      </c>
      <c r="H1918" s="26" t="str">
        <f aca="false">IF(A1918="","",IF(D1918="GCIA LINEA SERVICIO DIGITALIDAD Y VENTAS","Chats",IF(OR(D1918="GERENCIA INBOUND LÍNEAS SERVICIO Y VENTA",D1918="GERENCIA INBOUND LINEAS ESPECIALIZADAS"),"Llamadas","Otro")))</f>
        <v/>
      </c>
      <c r="I1918" s="26" t="str">
        <f aca="false">IF(A1918="","",IF(C1918="No encontrado","No","Sí"))</f>
        <v/>
      </c>
      <c r="J1918" s="26" t="str">
        <f aca="false">IF(A1918="","",IF(F1918="Inactivo","No","Sí"))</f>
        <v/>
      </c>
      <c r="K1918" s="26" t="str">
        <f aca="false">IF(A1918="","",IF(AND(I1918="Sí",J1918="Sí"),"Sí","No"))</f>
        <v/>
      </c>
    </row>
    <row r="1919" customFormat="false" ht="15" hidden="false" customHeight="false" outlineLevel="0" collapsed="false">
      <c r="A1919" s="22"/>
      <c r="B1919" s="22"/>
      <c r="C1919" s="23" t="str">
        <f aca="false">IF(A1919="","",IFERROR(buscarx(A1919&amp;B1919,DATA!$E$3:$E$10000&amp;DATA!$B$3:$B$10000,DATA!$M$3:$M$10000),"No encontrado"))</f>
        <v/>
      </c>
      <c r="D1919" s="24" t="str">
        <f aca="false">IF(A1919="","",IFERROR(buscarx(A1919&amp;B1919,DATA!$E$3:$E$10000&amp;DATA!$B$3:$B$10000,DATA!$W$3:$W$10000),"No encontrado"))</f>
        <v/>
      </c>
      <c r="E1919" s="22"/>
      <c r="F1919" s="23" t="str">
        <f aca="false">IF(A1919="","",IFERROR(buscarx(A1919&amp;E1919,DATA!$E$3:$E$10000&amp;DATA!$B$3:$B$10000,DATA!$M$3:$M$10000),"Inactivo"))</f>
        <v/>
      </c>
      <c r="G1919" s="25" t="str">
        <f aca="false">IF(A1919="","",IF(AND(C1919&lt;&gt;"No encontrado",F1919&lt;&gt;"Inactivo"),C1919&amp;" → "&amp;F1919,"Sin transición"))</f>
        <v/>
      </c>
      <c r="H1919" s="23" t="str">
        <f aca="false">IF(A1919="","",IF(D1919="GCIA LINEA SERVICIO DIGITALIDAD Y VENTAS","Chats",IF(OR(D1919="GERENCIA INBOUND LÍNEAS SERVICIO Y VENTA",D1919="GERENCIA INBOUND LINEAS ESPECIALIZADAS"),"Llamadas","Otro")))</f>
        <v/>
      </c>
      <c r="I1919" s="23" t="str">
        <f aca="false">IF(A1919="","",IF(C1919="No encontrado","No","Sí"))</f>
        <v/>
      </c>
      <c r="J1919" s="23" t="str">
        <f aca="false">IF(A1919="","",IF(F1919="Inactivo","No","Sí"))</f>
        <v/>
      </c>
      <c r="K1919" s="23" t="str">
        <f aca="false">IF(A1919="","",IF(AND(I1919="Sí",J1919="Sí"),"Sí","No"))</f>
        <v/>
      </c>
    </row>
    <row r="1920" customFormat="false" ht="15" hidden="false" customHeight="false" outlineLevel="0" collapsed="false">
      <c r="A1920" s="22"/>
      <c r="B1920" s="22"/>
      <c r="C1920" s="26" t="str">
        <f aca="false">IF(A1920="","",IFERROR(buscarx(A1920&amp;B1920,DATA!$E$3:$E$10000&amp;DATA!$B$3:$B$10000,DATA!$M$3:$M$10000),"No encontrado"))</f>
        <v/>
      </c>
      <c r="D1920" s="27" t="str">
        <f aca="false">IF(A1920="","",IFERROR(buscarx(A1920&amp;B1920,DATA!$E$3:$E$10000&amp;DATA!$B$3:$B$10000,DATA!$W$3:$W$10000),"No encontrado"))</f>
        <v/>
      </c>
      <c r="E1920" s="22"/>
      <c r="F1920" s="26" t="str">
        <f aca="false">IF(A1920="","",IFERROR(buscarx(A1920&amp;E1920,DATA!$E$3:$E$10000&amp;DATA!$B$3:$B$10000,DATA!$M$3:$M$10000),"Inactivo"))</f>
        <v/>
      </c>
      <c r="G1920" s="28" t="str">
        <f aca="false">IF(A1920="","",IF(AND(C1920&lt;&gt;"No encontrado",F1920&lt;&gt;"Inactivo"),C1920&amp;" → "&amp;F1920,"Sin transición"))</f>
        <v/>
      </c>
      <c r="H1920" s="26" t="str">
        <f aca="false">IF(A1920="","",IF(D1920="GCIA LINEA SERVICIO DIGITALIDAD Y VENTAS","Chats",IF(OR(D1920="GERENCIA INBOUND LÍNEAS SERVICIO Y VENTA",D1920="GERENCIA INBOUND LINEAS ESPECIALIZADAS"),"Llamadas","Otro")))</f>
        <v/>
      </c>
      <c r="I1920" s="26" t="str">
        <f aca="false">IF(A1920="","",IF(C1920="No encontrado","No","Sí"))</f>
        <v/>
      </c>
      <c r="J1920" s="26" t="str">
        <f aca="false">IF(A1920="","",IF(F1920="Inactivo","No","Sí"))</f>
        <v/>
      </c>
      <c r="K1920" s="26" t="str">
        <f aca="false">IF(A1920="","",IF(AND(I1920="Sí",J1920="Sí"),"Sí","No"))</f>
        <v/>
      </c>
    </row>
    <row r="1921" customFormat="false" ht="15" hidden="false" customHeight="false" outlineLevel="0" collapsed="false">
      <c r="A1921" s="22"/>
      <c r="B1921" s="22"/>
      <c r="C1921" s="23" t="str">
        <f aca="false">IF(A1921="","",IFERROR(buscarx(A1921&amp;B1921,DATA!$E$3:$E$10000&amp;DATA!$B$3:$B$10000,DATA!$M$3:$M$10000),"No encontrado"))</f>
        <v/>
      </c>
      <c r="D1921" s="24" t="str">
        <f aca="false">IF(A1921="","",IFERROR(buscarx(A1921&amp;B1921,DATA!$E$3:$E$10000&amp;DATA!$B$3:$B$10000,DATA!$W$3:$W$10000),"No encontrado"))</f>
        <v/>
      </c>
      <c r="E1921" s="22"/>
      <c r="F1921" s="23" t="str">
        <f aca="false">IF(A1921="","",IFERROR(buscarx(A1921&amp;E1921,DATA!$E$3:$E$10000&amp;DATA!$B$3:$B$10000,DATA!$M$3:$M$10000),"Inactivo"))</f>
        <v/>
      </c>
      <c r="G1921" s="25" t="str">
        <f aca="false">IF(A1921="","",IF(AND(C1921&lt;&gt;"No encontrado",F1921&lt;&gt;"Inactivo"),C1921&amp;" → "&amp;F1921,"Sin transición"))</f>
        <v/>
      </c>
      <c r="H1921" s="23" t="str">
        <f aca="false">IF(A1921="","",IF(D1921="GCIA LINEA SERVICIO DIGITALIDAD Y VENTAS","Chats",IF(OR(D1921="GERENCIA INBOUND LÍNEAS SERVICIO Y VENTA",D1921="GERENCIA INBOUND LINEAS ESPECIALIZADAS"),"Llamadas","Otro")))</f>
        <v/>
      </c>
      <c r="I1921" s="23" t="str">
        <f aca="false">IF(A1921="","",IF(C1921="No encontrado","No","Sí"))</f>
        <v/>
      </c>
      <c r="J1921" s="23" t="str">
        <f aca="false">IF(A1921="","",IF(F1921="Inactivo","No","Sí"))</f>
        <v/>
      </c>
      <c r="K1921" s="23" t="str">
        <f aca="false">IF(A1921="","",IF(AND(I1921="Sí",J1921="Sí"),"Sí","No"))</f>
        <v/>
      </c>
    </row>
    <row r="1922" customFormat="false" ht="15" hidden="false" customHeight="false" outlineLevel="0" collapsed="false">
      <c r="A1922" s="22"/>
      <c r="B1922" s="22"/>
      <c r="C1922" s="26" t="str">
        <f aca="false">IF(A1922="","",IFERROR(buscarx(A1922&amp;B1922,DATA!$E$3:$E$10000&amp;DATA!$B$3:$B$10000,DATA!$M$3:$M$10000),"No encontrado"))</f>
        <v/>
      </c>
      <c r="D1922" s="27" t="str">
        <f aca="false">IF(A1922="","",IFERROR(buscarx(A1922&amp;B1922,DATA!$E$3:$E$10000&amp;DATA!$B$3:$B$10000,DATA!$W$3:$W$10000),"No encontrado"))</f>
        <v/>
      </c>
      <c r="E1922" s="22"/>
      <c r="F1922" s="26" t="str">
        <f aca="false">IF(A1922="","",IFERROR(buscarx(A1922&amp;E1922,DATA!$E$3:$E$10000&amp;DATA!$B$3:$B$10000,DATA!$M$3:$M$10000),"Inactivo"))</f>
        <v/>
      </c>
      <c r="G1922" s="28" t="str">
        <f aca="false">IF(A1922="","",IF(AND(C1922&lt;&gt;"No encontrado",F1922&lt;&gt;"Inactivo"),C1922&amp;" → "&amp;F1922,"Sin transición"))</f>
        <v/>
      </c>
      <c r="H1922" s="26" t="str">
        <f aca="false">IF(A1922="","",IF(D1922="GCIA LINEA SERVICIO DIGITALIDAD Y VENTAS","Chats",IF(OR(D1922="GERENCIA INBOUND LÍNEAS SERVICIO Y VENTA",D1922="GERENCIA INBOUND LINEAS ESPECIALIZADAS"),"Llamadas","Otro")))</f>
        <v/>
      </c>
      <c r="I1922" s="26" t="str">
        <f aca="false">IF(A1922="","",IF(C1922="No encontrado","No","Sí"))</f>
        <v/>
      </c>
      <c r="J1922" s="26" t="str">
        <f aca="false">IF(A1922="","",IF(F1922="Inactivo","No","Sí"))</f>
        <v/>
      </c>
      <c r="K1922" s="26" t="str">
        <f aca="false">IF(A1922="","",IF(AND(I1922="Sí",J1922="Sí"),"Sí","No"))</f>
        <v/>
      </c>
    </row>
    <row r="1923" customFormat="false" ht="15" hidden="false" customHeight="false" outlineLevel="0" collapsed="false">
      <c r="A1923" s="22"/>
      <c r="B1923" s="22"/>
      <c r="C1923" s="23" t="str">
        <f aca="false">IF(A1923="","",IFERROR(buscarx(A1923&amp;B1923,DATA!$E$3:$E$10000&amp;DATA!$B$3:$B$10000,DATA!$M$3:$M$10000),"No encontrado"))</f>
        <v/>
      </c>
      <c r="D1923" s="24" t="str">
        <f aca="false">IF(A1923="","",IFERROR(buscarx(A1923&amp;B1923,DATA!$E$3:$E$10000&amp;DATA!$B$3:$B$10000,DATA!$W$3:$W$10000),"No encontrado"))</f>
        <v/>
      </c>
      <c r="E1923" s="22"/>
      <c r="F1923" s="23" t="str">
        <f aca="false">IF(A1923="","",IFERROR(buscarx(A1923&amp;E1923,DATA!$E$3:$E$10000&amp;DATA!$B$3:$B$10000,DATA!$M$3:$M$10000),"Inactivo"))</f>
        <v/>
      </c>
      <c r="G1923" s="25" t="str">
        <f aca="false">IF(A1923="","",IF(AND(C1923&lt;&gt;"No encontrado",F1923&lt;&gt;"Inactivo"),C1923&amp;" → "&amp;F1923,"Sin transición"))</f>
        <v/>
      </c>
      <c r="H1923" s="23" t="str">
        <f aca="false">IF(A1923="","",IF(D1923="GCIA LINEA SERVICIO DIGITALIDAD Y VENTAS","Chats",IF(OR(D1923="GERENCIA INBOUND LÍNEAS SERVICIO Y VENTA",D1923="GERENCIA INBOUND LINEAS ESPECIALIZADAS"),"Llamadas","Otro")))</f>
        <v/>
      </c>
      <c r="I1923" s="23" t="str">
        <f aca="false">IF(A1923="","",IF(C1923="No encontrado","No","Sí"))</f>
        <v/>
      </c>
      <c r="J1923" s="23" t="str">
        <f aca="false">IF(A1923="","",IF(F1923="Inactivo","No","Sí"))</f>
        <v/>
      </c>
      <c r="K1923" s="23" t="str">
        <f aca="false">IF(A1923="","",IF(AND(I1923="Sí",J1923="Sí"),"Sí","No"))</f>
        <v/>
      </c>
    </row>
    <row r="1924" customFormat="false" ht="15" hidden="false" customHeight="false" outlineLevel="0" collapsed="false">
      <c r="A1924" s="22"/>
      <c r="B1924" s="22"/>
      <c r="C1924" s="26" t="str">
        <f aca="false">IF(A1924="","",IFERROR(buscarx(A1924&amp;B1924,DATA!$E$3:$E$10000&amp;DATA!$B$3:$B$10000,DATA!$M$3:$M$10000),"No encontrado"))</f>
        <v/>
      </c>
      <c r="D1924" s="27" t="str">
        <f aca="false">IF(A1924="","",IFERROR(buscarx(A1924&amp;B1924,DATA!$E$3:$E$10000&amp;DATA!$B$3:$B$10000,DATA!$W$3:$W$10000),"No encontrado"))</f>
        <v/>
      </c>
      <c r="E1924" s="22"/>
      <c r="F1924" s="26" t="str">
        <f aca="false">IF(A1924="","",IFERROR(buscarx(A1924&amp;E1924,DATA!$E$3:$E$10000&amp;DATA!$B$3:$B$10000,DATA!$M$3:$M$10000),"Inactivo"))</f>
        <v/>
      </c>
      <c r="G1924" s="28" t="str">
        <f aca="false">IF(A1924="","",IF(AND(C1924&lt;&gt;"No encontrado",F1924&lt;&gt;"Inactivo"),C1924&amp;" → "&amp;F1924,"Sin transición"))</f>
        <v/>
      </c>
      <c r="H1924" s="26" t="str">
        <f aca="false">IF(A1924="","",IF(D1924="GCIA LINEA SERVICIO DIGITALIDAD Y VENTAS","Chats",IF(OR(D1924="GERENCIA INBOUND LÍNEAS SERVICIO Y VENTA",D1924="GERENCIA INBOUND LINEAS ESPECIALIZADAS"),"Llamadas","Otro")))</f>
        <v/>
      </c>
      <c r="I1924" s="26" t="str">
        <f aca="false">IF(A1924="","",IF(C1924="No encontrado","No","Sí"))</f>
        <v/>
      </c>
      <c r="J1924" s="26" t="str">
        <f aca="false">IF(A1924="","",IF(F1924="Inactivo","No","Sí"))</f>
        <v/>
      </c>
      <c r="K1924" s="26" t="str">
        <f aca="false">IF(A1924="","",IF(AND(I1924="Sí",J1924="Sí"),"Sí","No"))</f>
        <v/>
      </c>
    </row>
    <row r="1925" customFormat="false" ht="15" hidden="false" customHeight="false" outlineLevel="0" collapsed="false">
      <c r="A1925" s="22"/>
      <c r="B1925" s="22"/>
      <c r="C1925" s="23" t="str">
        <f aca="false">IF(A1925="","",IFERROR(buscarx(A1925&amp;B1925,DATA!$E$3:$E$10000&amp;DATA!$B$3:$B$10000,DATA!$M$3:$M$10000),"No encontrado"))</f>
        <v/>
      </c>
      <c r="D1925" s="24" t="str">
        <f aca="false">IF(A1925="","",IFERROR(buscarx(A1925&amp;B1925,DATA!$E$3:$E$10000&amp;DATA!$B$3:$B$10000,DATA!$W$3:$W$10000),"No encontrado"))</f>
        <v/>
      </c>
      <c r="E1925" s="22"/>
      <c r="F1925" s="23" t="str">
        <f aca="false">IF(A1925="","",IFERROR(buscarx(A1925&amp;E1925,DATA!$E$3:$E$10000&amp;DATA!$B$3:$B$10000,DATA!$M$3:$M$10000),"Inactivo"))</f>
        <v/>
      </c>
      <c r="G1925" s="25" t="str">
        <f aca="false">IF(A1925="","",IF(AND(C1925&lt;&gt;"No encontrado",F1925&lt;&gt;"Inactivo"),C1925&amp;" → "&amp;F1925,"Sin transición"))</f>
        <v/>
      </c>
      <c r="H1925" s="23" t="str">
        <f aca="false">IF(A1925="","",IF(D1925="GCIA LINEA SERVICIO DIGITALIDAD Y VENTAS","Chats",IF(OR(D1925="GERENCIA INBOUND LÍNEAS SERVICIO Y VENTA",D1925="GERENCIA INBOUND LINEAS ESPECIALIZADAS"),"Llamadas","Otro")))</f>
        <v/>
      </c>
      <c r="I1925" s="23" t="str">
        <f aca="false">IF(A1925="","",IF(C1925="No encontrado","No","Sí"))</f>
        <v/>
      </c>
      <c r="J1925" s="23" t="str">
        <f aca="false">IF(A1925="","",IF(F1925="Inactivo","No","Sí"))</f>
        <v/>
      </c>
      <c r="K1925" s="23" t="str">
        <f aca="false">IF(A1925="","",IF(AND(I1925="Sí",J1925="Sí"),"Sí","No"))</f>
        <v/>
      </c>
    </row>
    <row r="1926" customFormat="false" ht="15" hidden="false" customHeight="false" outlineLevel="0" collapsed="false">
      <c r="A1926" s="22"/>
      <c r="B1926" s="22"/>
      <c r="C1926" s="26" t="str">
        <f aca="false">IF(A1926="","",IFERROR(buscarx(A1926&amp;B1926,DATA!$E$3:$E$10000&amp;DATA!$B$3:$B$10000,DATA!$M$3:$M$10000),"No encontrado"))</f>
        <v/>
      </c>
      <c r="D1926" s="27" t="str">
        <f aca="false">IF(A1926="","",IFERROR(buscarx(A1926&amp;B1926,DATA!$E$3:$E$10000&amp;DATA!$B$3:$B$10000,DATA!$W$3:$W$10000),"No encontrado"))</f>
        <v/>
      </c>
      <c r="E1926" s="22"/>
      <c r="F1926" s="26" t="str">
        <f aca="false">IF(A1926="","",IFERROR(buscarx(A1926&amp;E1926,DATA!$E$3:$E$10000&amp;DATA!$B$3:$B$10000,DATA!$M$3:$M$10000),"Inactivo"))</f>
        <v/>
      </c>
      <c r="G1926" s="28" t="str">
        <f aca="false">IF(A1926="","",IF(AND(C1926&lt;&gt;"No encontrado",F1926&lt;&gt;"Inactivo"),C1926&amp;" → "&amp;F1926,"Sin transición"))</f>
        <v/>
      </c>
      <c r="H1926" s="26" t="str">
        <f aca="false">IF(A1926="","",IF(D1926="GCIA LINEA SERVICIO DIGITALIDAD Y VENTAS","Chats",IF(OR(D1926="GERENCIA INBOUND LÍNEAS SERVICIO Y VENTA",D1926="GERENCIA INBOUND LINEAS ESPECIALIZADAS"),"Llamadas","Otro")))</f>
        <v/>
      </c>
      <c r="I1926" s="26" t="str">
        <f aca="false">IF(A1926="","",IF(C1926="No encontrado","No","Sí"))</f>
        <v/>
      </c>
      <c r="J1926" s="26" t="str">
        <f aca="false">IF(A1926="","",IF(F1926="Inactivo","No","Sí"))</f>
        <v/>
      </c>
      <c r="K1926" s="26" t="str">
        <f aca="false">IF(A1926="","",IF(AND(I1926="Sí",J1926="Sí"),"Sí","No"))</f>
        <v/>
      </c>
    </row>
    <row r="1927" customFormat="false" ht="15" hidden="false" customHeight="false" outlineLevel="0" collapsed="false">
      <c r="A1927" s="22"/>
      <c r="B1927" s="22"/>
      <c r="C1927" s="23" t="str">
        <f aca="false">IF(A1927="","",IFERROR(buscarx(A1927&amp;B1927,DATA!$E$3:$E$10000&amp;DATA!$B$3:$B$10000,DATA!$M$3:$M$10000),"No encontrado"))</f>
        <v/>
      </c>
      <c r="D1927" s="24" t="str">
        <f aca="false">IF(A1927="","",IFERROR(buscarx(A1927&amp;B1927,DATA!$E$3:$E$10000&amp;DATA!$B$3:$B$10000,DATA!$W$3:$W$10000),"No encontrado"))</f>
        <v/>
      </c>
      <c r="E1927" s="22"/>
      <c r="F1927" s="23" t="str">
        <f aca="false">IF(A1927="","",IFERROR(buscarx(A1927&amp;E1927,DATA!$E$3:$E$10000&amp;DATA!$B$3:$B$10000,DATA!$M$3:$M$10000),"Inactivo"))</f>
        <v/>
      </c>
      <c r="G1927" s="25" t="str">
        <f aca="false">IF(A1927="","",IF(AND(C1927&lt;&gt;"No encontrado",F1927&lt;&gt;"Inactivo"),C1927&amp;" → "&amp;F1927,"Sin transición"))</f>
        <v/>
      </c>
      <c r="H1927" s="23" t="str">
        <f aca="false">IF(A1927="","",IF(D1927="GCIA LINEA SERVICIO DIGITALIDAD Y VENTAS","Chats",IF(OR(D1927="GERENCIA INBOUND LÍNEAS SERVICIO Y VENTA",D1927="GERENCIA INBOUND LINEAS ESPECIALIZADAS"),"Llamadas","Otro")))</f>
        <v/>
      </c>
      <c r="I1927" s="23" t="str">
        <f aca="false">IF(A1927="","",IF(C1927="No encontrado","No","Sí"))</f>
        <v/>
      </c>
      <c r="J1927" s="23" t="str">
        <f aca="false">IF(A1927="","",IF(F1927="Inactivo","No","Sí"))</f>
        <v/>
      </c>
      <c r="K1927" s="23" t="str">
        <f aca="false">IF(A1927="","",IF(AND(I1927="Sí",J1927="Sí"),"Sí","No"))</f>
        <v/>
      </c>
    </row>
    <row r="1928" customFormat="false" ht="15" hidden="false" customHeight="false" outlineLevel="0" collapsed="false">
      <c r="A1928" s="22"/>
      <c r="B1928" s="22"/>
      <c r="C1928" s="26" t="str">
        <f aca="false">IF(A1928="","",IFERROR(buscarx(A1928&amp;B1928,DATA!$E$3:$E$10000&amp;DATA!$B$3:$B$10000,DATA!$M$3:$M$10000),"No encontrado"))</f>
        <v/>
      </c>
      <c r="D1928" s="27" t="str">
        <f aca="false">IF(A1928="","",IFERROR(buscarx(A1928&amp;B1928,DATA!$E$3:$E$10000&amp;DATA!$B$3:$B$10000,DATA!$W$3:$W$10000),"No encontrado"))</f>
        <v/>
      </c>
      <c r="E1928" s="22"/>
      <c r="F1928" s="26" t="str">
        <f aca="false">IF(A1928="","",IFERROR(buscarx(A1928&amp;E1928,DATA!$E$3:$E$10000&amp;DATA!$B$3:$B$10000,DATA!$M$3:$M$10000),"Inactivo"))</f>
        <v/>
      </c>
      <c r="G1928" s="28" t="str">
        <f aca="false">IF(A1928="","",IF(AND(C1928&lt;&gt;"No encontrado",F1928&lt;&gt;"Inactivo"),C1928&amp;" → "&amp;F1928,"Sin transición"))</f>
        <v/>
      </c>
      <c r="H1928" s="26" t="str">
        <f aca="false">IF(A1928="","",IF(D1928="GCIA LINEA SERVICIO DIGITALIDAD Y VENTAS","Chats",IF(OR(D1928="GERENCIA INBOUND LÍNEAS SERVICIO Y VENTA",D1928="GERENCIA INBOUND LINEAS ESPECIALIZADAS"),"Llamadas","Otro")))</f>
        <v/>
      </c>
      <c r="I1928" s="26" t="str">
        <f aca="false">IF(A1928="","",IF(C1928="No encontrado","No","Sí"))</f>
        <v/>
      </c>
      <c r="J1928" s="26" t="str">
        <f aca="false">IF(A1928="","",IF(F1928="Inactivo","No","Sí"))</f>
        <v/>
      </c>
      <c r="K1928" s="26" t="str">
        <f aca="false">IF(A1928="","",IF(AND(I1928="Sí",J1928="Sí"),"Sí","No"))</f>
        <v/>
      </c>
    </row>
    <row r="1929" customFormat="false" ht="15" hidden="false" customHeight="false" outlineLevel="0" collapsed="false">
      <c r="A1929" s="22"/>
      <c r="B1929" s="22"/>
      <c r="C1929" s="23" t="str">
        <f aca="false">IF(A1929="","",IFERROR(buscarx(A1929&amp;B1929,DATA!$E$3:$E$10000&amp;DATA!$B$3:$B$10000,DATA!$M$3:$M$10000),"No encontrado"))</f>
        <v/>
      </c>
      <c r="D1929" s="24" t="str">
        <f aca="false">IF(A1929="","",IFERROR(buscarx(A1929&amp;B1929,DATA!$E$3:$E$10000&amp;DATA!$B$3:$B$10000,DATA!$W$3:$W$10000),"No encontrado"))</f>
        <v/>
      </c>
      <c r="E1929" s="22"/>
      <c r="F1929" s="23" t="str">
        <f aca="false">IF(A1929="","",IFERROR(buscarx(A1929&amp;E1929,DATA!$E$3:$E$10000&amp;DATA!$B$3:$B$10000,DATA!$M$3:$M$10000),"Inactivo"))</f>
        <v/>
      </c>
      <c r="G1929" s="25" t="str">
        <f aca="false">IF(A1929="","",IF(AND(C1929&lt;&gt;"No encontrado",F1929&lt;&gt;"Inactivo"),C1929&amp;" → "&amp;F1929,"Sin transición"))</f>
        <v/>
      </c>
      <c r="H1929" s="23" t="str">
        <f aca="false">IF(A1929="","",IF(D1929="GCIA LINEA SERVICIO DIGITALIDAD Y VENTAS","Chats",IF(OR(D1929="GERENCIA INBOUND LÍNEAS SERVICIO Y VENTA",D1929="GERENCIA INBOUND LINEAS ESPECIALIZADAS"),"Llamadas","Otro")))</f>
        <v/>
      </c>
      <c r="I1929" s="23" t="str">
        <f aca="false">IF(A1929="","",IF(C1929="No encontrado","No","Sí"))</f>
        <v/>
      </c>
      <c r="J1929" s="23" t="str">
        <f aca="false">IF(A1929="","",IF(F1929="Inactivo","No","Sí"))</f>
        <v/>
      </c>
      <c r="K1929" s="23" t="str">
        <f aca="false">IF(A1929="","",IF(AND(I1929="Sí",J1929="Sí"),"Sí","No"))</f>
        <v/>
      </c>
    </row>
    <row r="1930" customFormat="false" ht="15" hidden="false" customHeight="false" outlineLevel="0" collapsed="false">
      <c r="A1930" s="22"/>
      <c r="B1930" s="22"/>
      <c r="C1930" s="26" t="str">
        <f aca="false">IF(A1930="","",IFERROR(buscarx(A1930&amp;B1930,DATA!$E$3:$E$10000&amp;DATA!$B$3:$B$10000,DATA!$M$3:$M$10000),"No encontrado"))</f>
        <v/>
      </c>
      <c r="D1930" s="27" t="str">
        <f aca="false">IF(A1930="","",IFERROR(buscarx(A1930&amp;B1930,DATA!$E$3:$E$10000&amp;DATA!$B$3:$B$10000,DATA!$W$3:$W$10000),"No encontrado"))</f>
        <v/>
      </c>
      <c r="E1930" s="22"/>
      <c r="F1930" s="26" t="str">
        <f aca="false">IF(A1930="","",IFERROR(buscarx(A1930&amp;E1930,DATA!$E$3:$E$10000&amp;DATA!$B$3:$B$10000,DATA!$M$3:$M$10000),"Inactivo"))</f>
        <v/>
      </c>
      <c r="G1930" s="28" t="str">
        <f aca="false">IF(A1930="","",IF(AND(C1930&lt;&gt;"No encontrado",F1930&lt;&gt;"Inactivo"),C1930&amp;" → "&amp;F1930,"Sin transición"))</f>
        <v/>
      </c>
      <c r="H1930" s="26" t="str">
        <f aca="false">IF(A1930="","",IF(D1930="GCIA LINEA SERVICIO DIGITALIDAD Y VENTAS","Chats",IF(OR(D1930="GERENCIA INBOUND LÍNEAS SERVICIO Y VENTA",D1930="GERENCIA INBOUND LINEAS ESPECIALIZADAS"),"Llamadas","Otro")))</f>
        <v/>
      </c>
      <c r="I1930" s="26" t="str">
        <f aca="false">IF(A1930="","",IF(C1930="No encontrado","No","Sí"))</f>
        <v/>
      </c>
      <c r="J1930" s="26" t="str">
        <f aca="false">IF(A1930="","",IF(F1930="Inactivo","No","Sí"))</f>
        <v/>
      </c>
      <c r="K1930" s="26" t="str">
        <f aca="false">IF(A1930="","",IF(AND(I1930="Sí",J1930="Sí"),"Sí","No"))</f>
        <v/>
      </c>
    </row>
    <row r="1931" customFormat="false" ht="15" hidden="false" customHeight="false" outlineLevel="0" collapsed="false">
      <c r="A1931" s="22"/>
      <c r="B1931" s="22"/>
      <c r="C1931" s="23" t="str">
        <f aca="false">IF(A1931="","",IFERROR(buscarx(A1931&amp;B1931,DATA!$E$3:$E$10000&amp;DATA!$B$3:$B$10000,DATA!$M$3:$M$10000),"No encontrado"))</f>
        <v/>
      </c>
      <c r="D1931" s="24" t="str">
        <f aca="false">IF(A1931="","",IFERROR(buscarx(A1931&amp;B1931,DATA!$E$3:$E$10000&amp;DATA!$B$3:$B$10000,DATA!$W$3:$W$10000),"No encontrado"))</f>
        <v/>
      </c>
      <c r="E1931" s="22"/>
      <c r="F1931" s="23" t="str">
        <f aca="false">IF(A1931="","",IFERROR(buscarx(A1931&amp;E1931,DATA!$E$3:$E$10000&amp;DATA!$B$3:$B$10000,DATA!$M$3:$M$10000),"Inactivo"))</f>
        <v/>
      </c>
      <c r="G1931" s="25" t="str">
        <f aca="false">IF(A1931="","",IF(AND(C1931&lt;&gt;"No encontrado",F1931&lt;&gt;"Inactivo"),C1931&amp;" → "&amp;F1931,"Sin transición"))</f>
        <v/>
      </c>
      <c r="H1931" s="23" t="str">
        <f aca="false">IF(A1931="","",IF(D1931="GCIA LINEA SERVICIO DIGITALIDAD Y VENTAS","Chats",IF(OR(D1931="GERENCIA INBOUND LÍNEAS SERVICIO Y VENTA",D1931="GERENCIA INBOUND LINEAS ESPECIALIZADAS"),"Llamadas","Otro")))</f>
        <v/>
      </c>
      <c r="I1931" s="23" t="str">
        <f aca="false">IF(A1931="","",IF(C1931="No encontrado","No","Sí"))</f>
        <v/>
      </c>
      <c r="J1931" s="23" t="str">
        <f aca="false">IF(A1931="","",IF(F1931="Inactivo","No","Sí"))</f>
        <v/>
      </c>
      <c r="K1931" s="23" t="str">
        <f aca="false">IF(A1931="","",IF(AND(I1931="Sí",J1931="Sí"),"Sí","No"))</f>
        <v/>
      </c>
    </row>
    <row r="1932" customFormat="false" ht="15" hidden="false" customHeight="false" outlineLevel="0" collapsed="false">
      <c r="A1932" s="22"/>
      <c r="B1932" s="22"/>
      <c r="C1932" s="26" t="str">
        <f aca="false">IF(A1932="","",IFERROR(buscarx(A1932&amp;B1932,DATA!$E$3:$E$10000&amp;DATA!$B$3:$B$10000,DATA!$M$3:$M$10000),"No encontrado"))</f>
        <v/>
      </c>
      <c r="D1932" s="27" t="str">
        <f aca="false">IF(A1932="","",IFERROR(buscarx(A1932&amp;B1932,DATA!$E$3:$E$10000&amp;DATA!$B$3:$B$10000,DATA!$W$3:$W$10000),"No encontrado"))</f>
        <v/>
      </c>
      <c r="E1932" s="22"/>
      <c r="F1932" s="26" t="str">
        <f aca="false">IF(A1932="","",IFERROR(buscarx(A1932&amp;E1932,DATA!$E$3:$E$10000&amp;DATA!$B$3:$B$10000,DATA!$M$3:$M$10000),"Inactivo"))</f>
        <v/>
      </c>
      <c r="G1932" s="28" t="str">
        <f aca="false">IF(A1932="","",IF(AND(C1932&lt;&gt;"No encontrado",F1932&lt;&gt;"Inactivo"),C1932&amp;" → "&amp;F1932,"Sin transición"))</f>
        <v/>
      </c>
      <c r="H1932" s="26" t="str">
        <f aca="false">IF(A1932="","",IF(D1932="GCIA LINEA SERVICIO DIGITALIDAD Y VENTAS","Chats",IF(OR(D1932="GERENCIA INBOUND LÍNEAS SERVICIO Y VENTA",D1932="GERENCIA INBOUND LINEAS ESPECIALIZADAS"),"Llamadas","Otro")))</f>
        <v/>
      </c>
      <c r="I1932" s="26" t="str">
        <f aca="false">IF(A1932="","",IF(C1932="No encontrado","No","Sí"))</f>
        <v/>
      </c>
      <c r="J1932" s="26" t="str">
        <f aca="false">IF(A1932="","",IF(F1932="Inactivo","No","Sí"))</f>
        <v/>
      </c>
      <c r="K1932" s="26" t="str">
        <f aca="false">IF(A1932="","",IF(AND(I1932="Sí",J1932="Sí"),"Sí","No"))</f>
        <v/>
      </c>
    </row>
    <row r="1933" customFormat="false" ht="15" hidden="false" customHeight="false" outlineLevel="0" collapsed="false">
      <c r="A1933" s="22"/>
      <c r="B1933" s="22"/>
      <c r="C1933" s="23" t="str">
        <f aca="false">IF(A1933="","",IFERROR(buscarx(A1933&amp;B1933,DATA!$E$3:$E$10000&amp;DATA!$B$3:$B$10000,DATA!$M$3:$M$10000),"No encontrado"))</f>
        <v/>
      </c>
      <c r="D1933" s="24" t="str">
        <f aca="false">IF(A1933="","",IFERROR(buscarx(A1933&amp;B1933,DATA!$E$3:$E$10000&amp;DATA!$B$3:$B$10000,DATA!$W$3:$W$10000),"No encontrado"))</f>
        <v/>
      </c>
      <c r="E1933" s="22"/>
      <c r="F1933" s="23" t="str">
        <f aca="false">IF(A1933="","",IFERROR(buscarx(A1933&amp;E1933,DATA!$E$3:$E$10000&amp;DATA!$B$3:$B$10000,DATA!$M$3:$M$10000),"Inactivo"))</f>
        <v/>
      </c>
      <c r="G1933" s="25" t="str">
        <f aca="false">IF(A1933="","",IF(AND(C1933&lt;&gt;"No encontrado",F1933&lt;&gt;"Inactivo"),C1933&amp;" → "&amp;F1933,"Sin transición"))</f>
        <v/>
      </c>
      <c r="H1933" s="23" t="str">
        <f aca="false">IF(A1933="","",IF(D1933="GCIA LINEA SERVICIO DIGITALIDAD Y VENTAS","Chats",IF(OR(D1933="GERENCIA INBOUND LÍNEAS SERVICIO Y VENTA",D1933="GERENCIA INBOUND LINEAS ESPECIALIZADAS"),"Llamadas","Otro")))</f>
        <v/>
      </c>
      <c r="I1933" s="23" t="str">
        <f aca="false">IF(A1933="","",IF(C1933="No encontrado","No","Sí"))</f>
        <v/>
      </c>
      <c r="J1933" s="23" t="str">
        <f aca="false">IF(A1933="","",IF(F1933="Inactivo","No","Sí"))</f>
        <v/>
      </c>
      <c r="K1933" s="23" t="str">
        <f aca="false">IF(A1933="","",IF(AND(I1933="Sí",J1933="Sí"),"Sí","No"))</f>
        <v/>
      </c>
    </row>
    <row r="1934" customFormat="false" ht="15" hidden="false" customHeight="false" outlineLevel="0" collapsed="false">
      <c r="A1934" s="22"/>
      <c r="B1934" s="22"/>
      <c r="C1934" s="26" t="str">
        <f aca="false">IF(A1934="","",IFERROR(buscarx(A1934&amp;B1934,DATA!$E$3:$E$10000&amp;DATA!$B$3:$B$10000,DATA!$M$3:$M$10000),"No encontrado"))</f>
        <v/>
      </c>
      <c r="D1934" s="27" t="str">
        <f aca="false">IF(A1934="","",IFERROR(buscarx(A1934&amp;B1934,DATA!$E$3:$E$10000&amp;DATA!$B$3:$B$10000,DATA!$W$3:$W$10000),"No encontrado"))</f>
        <v/>
      </c>
      <c r="E1934" s="22"/>
      <c r="F1934" s="26" t="str">
        <f aca="false">IF(A1934="","",IFERROR(buscarx(A1934&amp;E1934,DATA!$E$3:$E$10000&amp;DATA!$B$3:$B$10000,DATA!$M$3:$M$10000),"Inactivo"))</f>
        <v/>
      </c>
      <c r="G1934" s="28" t="str">
        <f aca="false">IF(A1934="","",IF(AND(C1934&lt;&gt;"No encontrado",F1934&lt;&gt;"Inactivo"),C1934&amp;" → "&amp;F1934,"Sin transición"))</f>
        <v/>
      </c>
      <c r="H1934" s="26" t="str">
        <f aca="false">IF(A1934="","",IF(D1934="GCIA LINEA SERVICIO DIGITALIDAD Y VENTAS","Chats",IF(OR(D1934="GERENCIA INBOUND LÍNEAS SERVICIO Y VENTA",D1934="GERENCIA INBOUND LINEAS ESPECIALIZADAS"),"Llamadas","Otro")))</f>
        <v/>
      </c>
      <c r="I1934" s="26" t="str">
        <f aca="false">IF(A1934="","",IF(C1934="No encontrado","No","Sí"))</f>
        <v/>
      </c>
      <c r="J1934" s="26" t="str">
        <f aca="false">IF(A1934="","",IF(F1934="Inactivo","No","Sí"))</f>
        <v/>
      </c>
      <c r="K1934" s="26" t="str">
        <f aca="false">IF(A1934="","",IF(AND(I1934="Sí",J1934="Sí"),"Sí","No"))</f>
        <v/>
      </c>
    </row>
    <row r="1935" customFormat="false" ht="15" hidden="false" customHeight="false" outlineLevel="0" collapsed="false">
      <c r="A1935" s="22"/>
      <c r="B1935" s="22"/>
      <c r="C1935" s="23" t="str">
        <f aca="false">IF(A1935="","",IFERROR(buscarx(A1935&amp;B1935,DATA!$E$3:$E$10000&amp;DATA!$B$3:$B$10000,DATA!$M$3:$M$10000),"No encontrado"))</f>
        <v/>
      </c>
      <c r="D1935" s="24" t="str">
        <f aca="false">IF(A1935="","",IFERROR(buscarx(A1935&amp;B1935,DATA!$E$3:$E$10000&amp;DATA!$B$3:$B$10000,DATA!$W$3:$W$10000),"No encontrado"))</f>
        <v/>
      </c>
      <c r="E1935" s="22"/>
      <c r="F1935" s="23" t="str">
        <f aca="false">IF(A1935="","",IFERROR(buscarx(A1935&amp;E1935,DATA!$E$3:$E$10000&amp;DATA!$B$3:$B$10000,DATA!$M$3:$M$10000),"Inactivo"))</f>
        <v/>
      </c>
      <c r="G1935" s="25" t="str">
        <f aca="false">IF(A1935="","",IF(AND(C1935&lt;&gt;"No encontrado",F1935&lt;&gt;"Inactivo"),C1935&amp;" → "&amp;F1935,"Sin transición"))</f>
        <v/>
      </c>
      <c r="H1935" s="23" t="str">
        <f aca="false">IF(A1935="","",IF(D1935="GCIA LINEA SERVICIO DIGITALIDAD Y VENTAS","Chats",IF(OR(D1935="GERENCIA INBOUND LÍNEAS SERVICIO Y VENTA",D1935="GERENCIA INBOUND LINEAS ESPECIALIZADAS"),"Llamadas","Otro")))</f>
        <v/>
      </c>
      <c r="I1935" s="23" t="str">
        <f aca="false">IF(A1935="","",IF(C1935="No encontrado","No","Sí"))</f>
        <v/>
      </c>
      <c r="J1935" s="23" t="str">
        <f aca="false">IF(A1935="","",IF(F1935="Inactivo","No","Sí"))</f>
        <v/>
      </c>
      <c r="K1935" s="23" t="str">
        <f aca="false">IF(A1935="","",IF(AND(I1935="Sí",J1935="Sí"),"Sí","No"))</f>
        <v/>
      </c>
    </row>
    <row r="1936" customFormat="false" ht="15" hidden="false" customHeight="false" outlineLevel="0" collapsed="false">
      <c r="A1936" s="22"/>
      <c r="B1936" s="22"/>
      <c r="C1936" s="26" t="str">
        <f aca="false">IF(A1936="","",IFERROR(buscarx(A1936&amp;B1936,DATA!$E$3:$E$10000&amp;DATA!$B$3:$B$10000,DATA!$M$3:$M$10000),"No encontrado"))</f>
        <v/>
      </c>
      <c r="D1936" s="27" t="str">
        <f aca="false">IF(A1936="","",IFERROR(buscarx(A1936&amp;B1936,DATA!$E$3:$E$10000&amp;DATA!$B$3:$B$10000,DATA!$W$3:$W$10000),"No encontrado"))</f>
        <v/>
      </c>
      <c r="E1936" s="22"/>
      <c r="F1936" s="26" t="str">
        <f aca="false">IF(A1936="","",IFERROR(buscarx(A1936&amp;E1936,DATA!$E$3:$E$10000&amp;DATA!$B$3:$B$10000,DATA!$M$3:$M$10000),"Inactivo"))</f>
        <v/>
      </c>
      <c r="G1936" s="28" t="str">
        <f aca="false">IF(A1936="","",IF(AND(C1936&lt;&gt;"No encontrado",F1936&lt;&gt;"Inactivo"),C1936&amp;" → "&amp;F1936,"Sin transición"))</f>
        <v/>
      </c>
      <c r="H1936" s="26" t="str">
        <f aca="false">IF(A1936="","",IF(D1936="GCIA LINEA SERVICIO DIGITALIDAD Y VENTAS","Chats",IF(OR(D1936="GERENCIA INBOUND LÍNEAS SERVICIO Y VENTA",D1936="GERENCIA INBOUND LINEAS ESPECIALIZADAS"),"Llamadas","Otro")))</f>
        <v/>
      </c>
      <c r="I1936" s="26" t="str">
        <f aca="false">IF(A1936="","",IF(C1936="No encontrado","No","Sí"))</f>
        <v/>
      </c>
      <c r="J1936" s="26" t="str">
        <f aca="false">IF(A1936="","",IF(F1936="Inactivo","No","Sí"))</f>
        <v/>
      </c>
      <c r="K1936" s="26" t="str">
        <f aca="false">IF(A1936="","",IF(AND(I1936="Sí",J1936="Sí"),"Sí","No"))</f>
        <v/>
      </c>
    </row>
    <row r="1937" customFormat="false" ht="15" hidden="false" customHeight="false" outlineLevel="0" collapsed="false">
      <c r="A1937" s="22"/>
      <c r="B1937" s="22"/>
      <c r="C1937" s="23" t="str">
        <f aca="false">IF(A1937="","",IFERROR(buscarx(A1937&amp;B1937,DATA!$E$3:$E$10000&amp;DATA!$B$3:$B$10000,DATA!$M$3:$M$10000),"No encontrado"))</f>
        <v/>
      </c>
      <c r="D1937" s="24" t="str">
        <f aca="false">IF(A1937="","",IFERROR(buscarx(A1937&amp;B1937,DATA!$E$3:$E$10000&amp;DATA!$B$3:$B$10000,DATA!$W$3:$W$10000),"No encontrado"))</f>
        <v/>
      </c>
      <c r="E1937" s="22"/>
      <c r="F1937" s="23" t="str">
        <f aca="false">IF(A1937="","",IFERROR(buscarx(A1937&amp;E1937,DATA!$E$3:$E$10000&amp;DATA!$B$3:$B$10000,DATA!$M$3:$M$10000),"Inactivo"))</f>
        <v/>
      </c>
      <c r="G1937" s="25" t="str">
        <f aca="false">IF(A1937="","",IF(AND(C1937&lt;&gt;"No encontrado",F1937&lt;&gt;"Inactivo"),C1937&amp;" → "&amp;F1937,"Sin transición"))</f>
        <v/>
      </c>
      <c r="H1937" s="23" t="str">
        <f aca="false">IF(A1937="","",IF(D1937="GCIA LINEA SERVICIO DIGITALIDAD Y VENTAS","Chats",IF(OR(D1937="GERENCIA INBOUND LÍNEAS SERVICIO Y VENTA",D1937="GERENCIA INBOUND LINEAS ESPECIALIZADAS"),"Llamadas","Otro")))</f>
        <v/>
      </c>
      <c r="I1937" s="23" t="str">
        <f aca="false">IF(A1937="","",IF(C1937="No encontrado","No","Sí"))</f>
        <v/>
      </c>
      <c r="J1937" s="23" t="str">
        <f aca="false">IF(A1937="","",IF(F1937="Inactivo","No","Sí"))</f>
        <v/>
      </c>
      <c r="K1937" s="23" t="str">
        <f aca="false">IF(A1937="","",IF(AND(I1937="Sí",J1937="Sí"),"Sí","No"))</f>
        <v/>
      </c>
    </row>
    <row r="1938" customFormat="false" ht="15" hidden="false" customHeight="false" outlineLevel="0" collapsed="false">
      <c r="A1938" s="22"/>
      <c r="B1938" s="22"/>
      <c r="C1938" s="26" t="str">
        <f aca="false">IF(A1938="","",IFERROR(buscarx(A1938&amp;B1938,DATA!$E$3:$E$10000&amp;DATA!$B$3:$B$10000,DATA!$M$3:$M$10000),"No encontrado"))</f>
        <v/>
      </c>
      <c r="D1938" s="27" t="str">
        <f aca="false">IF(A1938="","",IFERROR(buscarx(A1938&amp;B1938,DATA!$E$3:$E$10000&amp;DATA!$B$3:$B$10000,DATA!$W$3:$W$10000),"No encontrado"))</f>
        <v/>
      </c>
      <c r="E1938" s="22"/>
      <c r="F1938" s="26" t="str">
        <f aca="false">IF(A1938="","",IFERROR(buscarx(A1938&amp;E1938,DATA!$E$3:$E$10000&amp;DATA!$B$3:$B$10000,DATA!$M$3:$M$10000),"Inactivo"))</f>
        <v/>
      </c>
      <c r="G1938" s="28" t="str">
        <f aca="false">IF(A1938="","",IF(AND(C1938&lt;&gt;"No encontrado",F1938&lt;&gt;"Inactivo"),C1938&amp;" → "&amp;F1938,"Sin transición"))</f>
        <v/>
      </c>
      <c r="H1938" s="26" t="str">
        <f aca="false">IF(A1938="","",IF(D1938="GCIA LINEA SERVICIO DIGITALIDAD Y VENTAS","Chats",IF(OR(D1938="GERENCIA INBOUND LÍNEAS SERVICIO Y VENTA",D1938="GERENCIA INBOUND LINEAS ESPECIALIZADAS"),"Llamadas","Otro")))</f>
        <v/>
      </c>
      <c r="I1938" s="26" t="str">
        <f aca="false">IF(A1938="","",IF(C1938="No encontrado","No","Sí"))</f>
        <v/>
      </c>
      <c r="J1938" s="26" t="str">
        <f aca="false">IF(A1938="","",IF(F1938="Inactivo","No","Sí"))</f>
        <v/>
      </c>
      <c r="K1938" s="26" t="str">
        <f aca="false">IF(A1938="","",IF(AND(I1938="Sí",J1938="Sí"),"Sí","No"))</f>
        <v/>
      </c>
    </row>
    <row r="1939" customFormat="false" ht="15" hidden="false" customHeight="false" outlineLevel="0" collapsed="false">
      <c r="A1939" s="22"/>
      <c r="B1939" s="22"/>
      <c r="C1939" s="23" t="str">
        <f aca="false">IF(A1939="","",IFERROR(buscarx(A1939&amp;B1939,DATA!$E$3:$E$10000&amp;DATA!$B$3:$B$10000,DATA!$M$3:$M$10000),"No encontrado"))</f>
        <v/>
      </c>
      <c r="D1939" s="24" t="str">
        <f aca="false">IF(A1939="","",IFERROR(buscarx(A1939&amp;B1939,DATA!$E$3:$E$10000&amp;DATA!$B$3:$B$10000,DATA!$W$3:$W$10000),"No encontrado"))</f>
        <v/>
      </c>
      <c r="E1939" s="22"/>
      <c r="F1939" s="23" t="str">
        <f aca="false">IF(A1939="","",IFERROR(buscarx(A1939&amp;E1939,DATA!$E$3:$E$10000&amp;DATA!$B$3:$B$10000,DATA!$M$3:$M$10000),"Inactivo"))</f>
        <v/>
      </c>
      <c r="G1939" s="25" t="str">
        <f aca="false">IF(A1939="","",IF(AND(C1939&lt;&gt;"No encontrado",F1939&lt;&gt;"Inactivo"),C1939&amp;" → "&amp;F1939,"Sin transición"))</f>
        <v/>
      </c>
      <c r="H1939" s="23" t="str">
        <f aca="false">IF(A1939="","",IF(D1939="GCIA LINEA SERVICIO DIGITALIDAD Y VENTAS","Chats",IF(OR(D1939="GERENCIA INBOUND LÍNEAS SERVICIO Y VENTA",D1939="GERENCIA INBOUND LINEAS ESPECIALIZADAS"),"Llamadas","Otro")))</f>
        <v/>
      </c>
      <c r="I1939" s="23" t="str">
        <f aca="false">IF(A1939="","",IF(C1939="No encontrado","No","Sí"))</f>
        <v/>
      </c>
      <c r="J1939" s="23" t="str">
        <f aca="false">IF(A1939="","",IF(F1939="Inactivo","No","Sí"))</f>
        <v/>
      </c>
      <c r="K1939" s="23" t="str">
        <f aca="false">IF(A1939="","",IF(AND(I1939="Sí",J1939="Sí"),"Sí","No"))</f>
        <v/>
      </c>
    </row>
    <row r="1940" customFormat="false" ht="15" hidden="false" customHeight="false" outlineLevel="0" collapsed="false">
      <c r="A1940" s="22"/>
      <c r="B1940" s="22"/>
      <c r="C1940" s="26" t="str">
        <f aca="false">IF(A1940="","",IFERROR(buscarx(A1940&amp;B1940,DATA!$E$3:$E$10000&amp;DATA!$B$3:$B$10000,DATA!$M$3:$M$10000),"No encontrado"))</f>
        <v/>
      </c>
      <c r="D1940" s="27" t="str">
        <f aca="false">IF(A1940="","",IFERROR(buscarx(A1940&amp;B1940,DATA!$E$3:$E$10000&amp;DATA!$B$3:$B$10000,DATA!$W$3:$W$10000),"No encontrado"))</f>
        <v/>
      </c>
      <c r="E1940" s="22"/>
      <c r="F1940" s="26" t="str">
        <f aca="false">IF(A1940="","",IFERROR(buscarx(A1940&amp;E1940,DATA!$E$3:$E$10000&amp;DATA!$B$3:$B$10000,DATA!$M$3:$M$10000),"Inactivo"))</f>
        <v/>
      </c>
      <c r="G1940" s="28" t="str">
        <f aca="false">IF(A1940="","",IF(AND(C1940&lt;&gt;"No encontrado",F1940&lt;&gt;"Inactivo"),C1940&amp;" → "&amp;F1940,"Sin transición"))</f>
        <v/>
      </c>
      <c r="H1940" s="26" t="str">
        <f aca="false">IF(A1940="","",IF(D1940="GCIA LINEA SERVICIO DIGITALIDAD Y VENTAS","Chats",IF(OR(D1940="GERENCIA INBOUND LÍNEAS SERVICIO Y VENTA",D1940="GERENCIA INBOUND LINEAS ESPECIALIZADAS"),"Llamadas","Otro")))</f>
        <v/>
      </c>
      <c r="I1940" s="26" t="str">
        <f aca="false">IF(A1940="","",IF(C1940="No encontrado","No","Sí"))</f>
        <v/>
      </c>
      <c r="J1940" s="26" t="str">
        <f aca="false">IF(A1940="","",IF(F1940="Inactivo","No","Sí"))</f>
        <v/>
      </c>
      <c r="K1940" s="26" t="str">
        <f aca="false">IF(A1940="","",IF(AND(I1940="Sí",J1940="Sí"),"Sí","No"))</f>
        <v/>
      </c>
    </row>
    <row r="1941" customFormat="false" ht="15" hidden="false" customHeight="false" outlineLevel="0" collapsed="false">
      <c r="A1941" s="22"/>
      <c r="B1941" s="22"/>
      <c r="C1941" s="23" t="str">
        <f aca="false">IF(A1941="","",IFERROR(buscarx(A1941&amp;B1941,DATA!$E$3:$E$10000&amp;DATA!$B$3:$B$10000,DATA!$M$3:$M$10000),"No encontrado"))</f>
        <v/>
      </c>
      <c r="D1941" s="24" t="str">
        <f aca="false">IF(A1941="","",IFERROR(buscarx(A1941&amp;B1941,DATA!$E$3:$E$10000&amp;DATA!$B$3:$B$10000,DATA!$W$3:$W$10000),"No encontrado"))</f>
        <v/>
      </c>
      <c r="E1941" s="22"/>
      <c r="F1941" s="23" t="str">
        <f aca="false">IF(A1941="","",IFERROR(buscarx(A1941&amp;E1941,DATA!$E$3:$E$10000&amp;DATA!$B$3:$B$10000,DATA!$M$3:$M$10000),"Inactivo"))</f>
        <v/>
      </c>
      <c r="G1941" s="25" t="str">
        <f aca="false">IF(A1941="","",IF(AND(C1941&lt;&gt;"No encontrado",F1941&lt;&gt;"Inactivo"),C1941&amp;" → "&amp;F1941,"Sin transición"))</f>
        <v/>
      </c>
      <c r="H1941" s="23" t="str">
        <f aca="false">IF(A1941="","",IF(D1941="GCIA LINEA SERVICIO DIGITALIDAD Y VENTAS","Chats",IF(OR(D1941="GERENCIA INBOUND LÍNEAS SERVICIO Y VENTA",D1941="GERENCIA INBOUND LINEAS ESPECIALIZADAS"),"Llamadas","Otro")))</f>
        <v/>
      </c>
      <c r="I1941" s="23" t="str">
        <f aca="false">IF(A1941="","",IF(C1941="No encontrado","No","Sí"))</f>
        <v/>
      </c>
      <c r="J1941" s="23" t="str">
        <f aca="false">IF(A1941="","",IF(F1941="Inactivo","No","Sí"))</f>
        <v/>
      </c>
      <c r="K1941" s="23" t="str">
        <f aca="false">IF(A1941="","",IF(AND(I1941="Sí",J1941="Sí"),"Sí","No"))</f>
        <v/>
      </c>
    </row>
    <row r="1942" customFormat="false" ht="15" hidden="false" customHeight="false" outlineLevel="0" collapsed="false">
      <c r="A1942" s="22"/>
      <c r="B1942" s="22"/>
      <c r="C1942" s="26" t="str">
        <f aca="false">IF(A1942="","",IFERROR(buscarx(A1942&amp;B1942,DATA!$E$3:$E$10000&amp;DATA!$B$3:$B$10000,DATA!$M$3:$M$10000),"No encontrado"))</f>
        <v/>
      </c>
      <c r="D1942" s="27" t="str">
        <f aca="false">IF(A1942="","",IFERROR(buscarx(A1942&amp;B1942,DATA!$E$3:$E$10000&amp;DATA!$B$3:$B$10000,DATA!$W$3:$W$10000),"No encontrado"))</f>
        <v/>
      </c>
      <c r="E1942" s="22"/>
      <c r="F1942" s="26" t="str">
        <f aca="false">IF(A1942="","",IFERROR(buscarx(A1942&amp;E1942,DATA!$E$3:$E$10000&amp;DATA!$B$3:$B$10000,DATA!$M$3:$M$10000),"Inactivo"))</f>
        <v/>
      </c>
      <c r="G1942" s="28" t="str">
        <f aca="false">IF(A1942="","",IF(AND(C1942&lt;&gt;"No encontrado",F1942&lt;&gt;"Inactivo"),C1942&amp;" → "&amp;F1942,"Sin transición"))</f>
        <v/>
      </c>
      <c r="H1942" s="26" t="str">
        <f aca="false">IF(A1942="","",IF(D1942="GCIA LINEA SERVICIO DIGITALIDAD Y VENTAS","Chats",IF(OR(D1942="GERENCIA INBOUND LÍNEAS SERVICIO Y VENTA",D1942="GERENCIA INBOUND LINEAS ESPECIALIZADAS"),"Llamadas","Otro")))</f>
        <v/>
      </c>
      <c r="I1942" s="26" t="str">
        <f aca="false">IF(A1942="","",IF(C1942="No encontrado","No","Sí"))</f>
        <v/>
      </c>
      <c r="J1942" s="26" t="str">
        <f aca="false">IF(A1942="","",IF(F1942="Inactivo","No","Sí"))</f>
        <v/>
      </c>
      <c r="K1942" s="26" t="str">
        <f aca="false">IF(A1942="","",IF(AND(I1942="Sí",J1942="Sí"),"Sí","No"))</f>
        <v/>
      </c>
    </row>
    <row r="1943" customFormat="false" ht="15" hidden="false" customHeight="false" outlineLevel="0" collapsed="false">
      <c r="A1943" s="22"/>
      <c r="B1943" s="22"/>
      <c r="C1943" s="23" t="str">
        <f aca="false">IF(A1943="","",IFERROR(buscarx(A1943&amp;B1943,DATA!$E$3:$E$10000&amp;DATA!$B$3:$B$10000,DATA!$M$3:$M$10000),"No encontrado"))</f>
        <v/>
      </c>
      <c r="D1943" s="24" t="str">
        <f aca="false">IF(A1943="","",IFERROR(buscarx(A1943&amp;B1943,DATA!$E$3:$E$10000&amp;DATA!$B$3:$B$10000,DATA!$W$3:$W$10000),"No encontrado"))</f>
        <v/>
      </c>
      <c r="E1943" s="22"/>
      <c r="F1943" s="23" t="str">
        <f aca="false">IF(A1943="","",IFERROR(buscarx(A1943&amp;E1943,DATA!$E$3:$E$10000&amp;DATA!$B$3:$B$10000,DATA!$M$3:$M$10000),"Inactivo"))</f>
        <v/>
      </c>
      <c r="G1943" s="25" t="str">
        <f aca="false">IF(A1943="","",IF(AND(C1943&lt;&gt;"No encontrado",F1943&lt;&gt;"Inactivo"),C1943&amp;" → "&amp;F1943,"Sin transición"))</f>
        <v/>
      </c>
      <c r="H1943" s="23" t="str">
        <f aca="false">IF(A1943="","",IF(D1943="GCIA LINEA SERVICIO DIGITALIDAD Y VENTAS","Chats",IF(OR(D1943="GERENCIA INBOUND LÍNEAS SERVICIO Y VENTA",D1943="GERENCIA INBOUND LINEAS ESPECIALIZADAS"),"Llamadas","Otro")))</f>
        <v/>
      </c>
      <c r="I1943" s="23" t="str">
        <f aca="false">IF(A1943="","",IF(C1943="No encontrado","No","Sí"))</f>
        <v/>
      </c>
      <c r="J1943" s="23" t="str">
        <f aca="false">IF(A1943="","",IF(F1943="Inactivo","No","Sí"))</f>
        <v/>
      </c>
      <c r="K1943" s="23" t="str">
        <f aca="false">IF(A1943="","",IF(AND(I1943="Sí",J1943="Sí"),"Sí","No"))</f>
        <v/>
      </c>
    </row>
    <row r="1944" customFormat="false" ht="15" hidden="false" customHeight="false" outlineLevel="0" collapsed="false">
      <c r="A1944" s="22"/>
      <c r="B1944" s="22"/>
      <c r="C1944" s="26" t="str">
        <f aca="false">IF(A1944="","",IFERROR(buscarx(A1944&amp;B1944,DATA!$E$3:$E$10000&amp;DATA!$B$3:$B$10000,DATA!$M$3:$M$10000),"No encontrado"))</f>
        <v/>
      </c>
      <c r="D1944" s="27" t="str">
        <f aca="false">IF(A1944="","",IFERROR(buscarx(A1944&amp;B1944,DATA!$E$3:$E$10000&amp;DATA!$B$3:$B$10000,DATA!$W$3:$W$10000),"No encontrado"))</f>
        <v/>
      </c>
      <c r="E1944" s="22"/>
      <c r="F1944" s="26" t="str">
        <f aca="false">IF(A1944="","",IFERROR(buscarx(A1944&amp;E1944,DATA!$E$3:$E$10000&amp;DATA!$B$3:$B$10000,DATA!$M$3:$M$10000),"Inactivo"))</f>
        <v/>
      </c>
      <c r="G1944" s="28" t="str">
        <f aca="false">IF(A1944="","",IF(AND(C1944&lt;&gt;"No encontrado",F1944&lt;&gt;"Inactivo"),C1944&amp;" → "&amp;F1944,"Sin transición"))</f>
        <v/>
      </c>
      <c r="H1944" s="26" t="str">
        <f aca="false">IF(A1944="","",IF(D1944="GCIA LINEA SERVICIO DIGITALIDAD Y VENTAS","Chats",IF(OR(D1944="GERENCIA INBOUND LÍNEAS SERVICIO Y VENTA",D1944="GERENCIA INBOUND LINEAS ESPECIALIZADAS"),"Llamadas","Otro")))</f>
        <v/>
      </c>
      <c r="I1944" s="26" t="str">
        <f aca="false">IF(A1944="","",IF(C1944="No encontrado","No","Sí"))</f>
        <v/>
      </c>
      <c r="J1944" s="26" t="str">
        <f aca="false">IF(A1944="","",IF(F1944="Inactivo","No","Sí"))</f>
        <v/>
      </c>
      <c r="K1944" s="26" t="str">
        <f aca="false">IF(A1944="","",IF(AND(I1944="Sí",J1944="Sí"),"Sí","No"))</f>
        <v/>
      </c>
    </row>
    <row r="1945" customFormat="false" ht="15" hidden="false" customHeight="false" outlineLevel="0" collapsed="false">
      <c r="A1945" s="22"/>
      <c r="B1945" s="22"/>
      <c r="C1945" s="23" t="str">
        <f aca="false">IF(A1945="","",IFERROR(buscarx(A1945&amp;B1945,DATA!$E$3:$E$10000&amp;DATA!$B$3:$B$10000,DATA!$M$3:$M$10000),"No encontrado"))</f>
        <v/>
      </c>
      <c r="D1945" s="24" t="str">
        <f aca="false">IF(A1945="","",IFERROR(buscarx(A1945&amp;B1945,DATA!$E$3:$E$10000&amp;DATA!$B$3:$B$10000,DATA!$W$3:$W$10000),"No encontrado"))</f>
        <v/>
      </c>
      <c r="E1945" s="22"/>
      <c r="F1945" s="23" t="str">
        <f aca="false">IF(A1945="","",IFERROR(buscarx(A1945&amp;E1945,DATA!$E$3:$E$10000&amp;DATA!$B$3:$B$10000,DATA!$M$3:$M$10000),"Inactivo"))</f>
        <v/>
      </c>
      <c r="G1945" s="25" t="str">
        <f aca="false">IF(A1945="","",IF(AND(C1945&lt;&gt;"No encontrado",F1945&lt;&gt;"Inactivo"),C1945&amp;" → "&amp;F1945,"Sin transición"))</f>
        <v/>
      </c>
      <c r="H1945" s="23" t="str">
        <f aca="false">IF(A1945="","",IF(D1945="GCIA LINEA SERVICIO DIGITALIDAD Y VENTAS","Chats",IF(OR(D1945="GERENCIA INBOUND LÍNEAS SERVICIO Y VENTA",D1945="GERENCIA INBOUND LINEAS ESPECIALIZADAS"),"Llamadas","Otro")))</f>
        <v/>
      </c>
      <c r="I1945" s="23" t="str">
        <f aca="false">IF(A1945="","",IF(C1945="No encontrado","No","Sí"))</f>
        <v/>
      </c>
      <c r="J1945" s="23" t="str">
        <f aca="false">IF(A1945="","",IF(F1945="Inactivo","No","Sí"))</f>
        <v/>
      </c>
      <c r="K1945" s="23" t="str">
        <f aca="false">IF(A1945="","",IF(AND(I1945="Sí",J1945="Sí"),"Sí","No"))</f>
        <v/>
      </c>
    </row>
    <row r="1946" customFormat="false" ht="15" hidden="false" customHeight="false" outlineLevel="0" collapsed="false">
      <c r="A1946" s="22"/>
      <c r="B1946" s="22"/>
      <c r="C1946" s="26" t="str">
        <f aca="false">IF(A1946="","",IFERROR(buscarx(A1946&amp;B1946,DATA!$E$3:$E$10000&amp;DATA!$B$3:$B$10000,DATA!$M$3:$M$10000),"No encontrado"))</f>
        <v/>
      </c>
      <c r="D1946" s="27" t="str">
        <f aca="false">IF(A1946="","",IFERROR(buscarx(A1946&amp;B1946,DATA!$E$3:$E$10000&amp;DATA!$B$3:$B$10000,DATA!$W$3:$W$10000),"No encontrado"))</f>
        <v/>
      </c>
      <c r="E1946" s="22"/>
      <c r="F1946" s="26" t="str">
        <f aca="false">IF(A1946="","",IFERROR(buscarx(A1946&amp;E1946,DATA!$E$3:$E$10000&amp;DATA!$B$3:$B$10000,DATA!$M$3:$M$10000),"Inactivo"))</f>
        <v/>
      </c>
      <c r="G1946" s="28" t="str">
        <f aca="false">IF(A1946="","",IF(AND(C1946&lt;&gt;"No encontrado",F1946&lt;&gt;"Inactivo"),C1946&amp;" → "&amp;F1946,"Sin transición"))</f>
        <v/>
      </c>
      <c r="H1946" s="26" t="str">
        <f aca="false">IF(A1946="","",IF(D1946="GCIA LINEA SERVICIO DIGITALIDAD Y VENTAS","Chats",IF(OR(D1946="GERENCIA INBOUND LÍNEAS SERVICIO Y VENTA",D1946="GERENCIA INBOUND LINEAS ESPECIALIZADAS"),"Llamadas","Otro")))</f>
        <v/>
      </c>
      <c r="I1946" s="26" t="str">
        <f aca="false">IF(A1946="","",IF(C1946="No encontrado","No","Sí"))</f>
        <v/>
      </c>
      <c r="J1946" s="26" t="str">
        <f aca="false">IF(A1946="","",IF(F1946="Inactivo","No","Sí"))</f>
        <v/>
      </c>
      <c r="K1946" s="26" t="str">
        <f aca="false">IF(A1946="","",IF(AND(I1946="Sí",J1946="Sí"),"Sí","No"))</f>
        <v/>
      </c>
    </row>
    <row r="1947" customFormat="false" ht="15" hidden="false" customHeight="false" outlineLevel="0" collapsed="false">
      <c r="A1947" s="22"/>
      <c r="B1947" s="22"/>
      <c r="C1947" s="23" t="str">
        <f aca="false">IF(A1947="","",IFERROR(buscarx(A1947&amp;B1947,DATA!$E$3:$E$10000&amp;DATA!$B$3:$B$10000,DATA!$M$3:$M$10000),"No encontrado"))</f>
        <v/>
      </c>
      <c r="D1947" s="24" t="str">
        <f aca="false">IF(A1947="","",IFERROR(buscarx(A1947&amp;B1947,DATA!$E$3:$E$10000&amp;DATA!$B$3:$B$10000,DATA!$W$3:$W$10000),"No encontrado"))</f>
        <v/>
      </c>
      <c r="E1947" s="22"/>
      <c r="F1947" s="23" t="str">
        <f aca="false">IF(A1947="","",IFERROR(buscarx(A1947&amp;E1947,DATA!$E$3:$E$10000&amp;DATA!$B$3:$B$10000,DATA!$M$3:$M$10000),"Inactivo"))</f>
        <v/>
      </c>
      <c r="G1947" s="25" t="str">
        <f aca="false">IF(A1947="","",IF(AND(C1947&lt;&gt;"No encontrado",F1947&lt;&gt;"Inactivo"),C1947&amp;" → "&amp;F1947,"Sin transición"))</f>
        <v/>
      </c>
      <c r="H1947" s="23" t="str">
        <f aca="false">IF(A1947="","",IF(D1947="GCIA LINEA SERVICIO DIGITALIDAD Y VENTAS","Chats",IF(OR(D1947="GERENCIA INBOUND LÍNEAS SERVICIO Y VENTA",D1947="GERENCIA INBOUND LINEAS ESPECIALIZADAS"),"Llamadas","Otro")))</f>
        <v/>
      </c>
      <c r="I1947" s="23" t="str">
        <f aca="false">IF(A1947="","",IF(C1947="No encontrado","No","Sí"))</f>
        <v/>
      </c>
      <c r="J1947" s="23" t="str">
        <f aca="false">IF(A1947="","",IF(F1947="Inactivo","No","Sí"))</f>
        <v/>
      </c>
      <c r="K1947" s="23" t="str">
        <f aca="false">IF(A1947="","",IF(AND(I1947="Sí",J1947="Sí"),"Sí","No"))</f>
        <v/>
      </c>
    </row>
    <row r="1948" customFormat="false" ht="15" hidden="false" customHeight="false" outlineLevel="0" collapsed="false">
      <c r="A1948" s="22"/>
      <c r="B1948" s="22"/>
      <c r="C1948" s="26" t="str">
        <f aca="false">IF(A1948="","",IFERROR(buscarx(A1948&amp;B1948,DATA!$E$3:$E$10000&amp;DATA!$B$3:$B$10000,DATA!$M$3:$M$10000),"No encontrado"))</f>
        <v/>
      </c>
      <c r="D1948" s="27" t="str">
        <f aca="false">IF(A1948="","",IFERROR(buscarx(A1948&amp;B1948,DATA!$E$3:$E$10000&amp;DATA!$B$3:$B$10000,DATA!$W$3:$W$10000),"No encontrado"))</f>
        <v/>
      </c>
      <c r="E1948" s="22"/>
      <c r="F1948" s="26" t="str">
        <f aca="false">IF(A1948="","",IFERROR(buscarx(A1948&amp;E1948,DATA!$E$3:$E$10000&amp;DATA!$B$3:$B$10000,DATA!$M$3:$M$10000),"Inactivo"))</f>
        <v/>
      </c>
      <c r="G1948" s="28" t="str">
        <f aca="false">IF(A1948="","",IF(AND(C1948&lt;&gt;"No encontrado",F1948&lt;&gt;"Inactivo"),C1948&amp;" → "&amp;F1948,"Sin transición"))</f>
        <v/>
      </c>
      <c r="H1948" s="26" t="str">
        <f aca="false">IF(A1948="","",IF(D1948="GCIA LINEA SERVICIO DIGITALIDAD Y VENTAS","Chats",IF(OR(D1948="GERENCIA INBOUND LÍNEAS SERVICIO Y VENTA",D1948="GERENCIA INBOUND LINEAS ESPECIALIZADAS"),"Llamadas","Otro")))</f>
        <v/>
      </c>
      <c r="I1948" s="26" t="str">
        <f aca="false">IF(A1948="","",IF(C1948="No encontrado","No","Sí"))</f>
        <v/>
      </c>
      <c r="J1948" s="26" t="str">
        <f aca="false">IF(A1948="","",IF(F1948="Inactivo","No","Sí"))</f>
        <v/>
      </c>
      <c r="K1948" s="26" t="str">
        <f aca="false">IF(A1948="","",IF(AND(I1948="Sí",J1948="Sí"),"Sí","No"))</f>
        <v/>
      </c>
    </row>
    <row r="1949" customFormat="false" ht="15" hidden="false" customHeight="false" outlineLevel="0" collapsed="false">
      <c r="A1949" s="22"/>
      <c r="B1949" s="22"/>
      <c r="C1949" s="23" t="str">
        <f aca="false">IF(A1949="","",IFERROR(buscarx(A1949&amp;B1949,DATA!$E$3:$E$10000&amp;DATA!$B$3:$B$10000,DATA!$M$3:$M$10000),"No encontrado"))</f>
        <v/>
      </c>
      <c r="D1949" s="24" t="str">
        <f aca="false">IF(A1949="","",IFERROR(buscarx(A1949&amp;B1949,DATA!$E$3:$E$10000&amp;DATA!$B$3:$B$10000,DATA!$W$3:$W$10000),"No encontrado"))</f>
        <v/>
      </c>
      <c r="E1949" s="22"/>
      <c r="F1949" s="23" t="str">
        <f aca="false">IF(A1949="","",IFERROR(buscarx(A1949&amp;E1949,DATA!$E$3:$E$10000&amp;DATA!$B$3:$B$10000,DATA!$M$3:$M$10000),"Inactivo"))</f>
        <v/>
      </c>
      <c r="G1949" s="25" t="str">
        <f aca="false">IF(A1949="","",IF(AND(C1949&lt;&gt;"No encontrado",F1949&lt;&gt;"Inactivo"),C1949&amp;" → "&amp;F1949,"Sin transición"))</f>
        <v/>
      </c>
      <c r="H1949" s="23" t="str">
        <f aca="false">IF(A1949="","",IF(D1949="GCIA LINEA SERVICIO DIGITALIDAD Y VENTAS","Chats",IF(OR(D1949="GERENCIA INBOUND LÍNEAS SERVICIO Y VENTA",D1949="GERENCIA INBOUND LINEAS ESPECIALIZADAS"),"Llamadas","Otro")))</f>
        <v/>
      </c>
      <c r="I1949" s="23" t="str">
        <f aca="false">IF(A1949="","",IF(C1949="No encontrado","No","Sí"))</f>
        <v/>
      </c>
      <c r="J1949" s="23" t="str">
        <f aca="false">IF(A1949="","",IF(F1949="Inactivo","No","Sí"))</f>
        <v/>
      </c>
      <c r="K1949" s="23" t="str">
        <f aca="false">IF(A1949="","",IF(AND(I1949="Sí",J1949="Sí"),"Sí","No"))</f>
        <v/>
      </c>
    </row>
    <row r="1950" customFormat="false" ht="15" hidden="false" customHeight="false" outlineLevel="0" collapsed="false">
      <c r="A1950" s="22"/>
      <c r="B1950" s="22"/>
      <c r="C1950" s="26" t="str">
        <f aca="false">IF(A1950="","",IFERROR(buscarx(A1950&amp;B1950,DATA!$E$3:$E$10000&amp;DATA!$B$3:$B$10000,DATA!$M$3:$M$10000),"No encontrado"))</f>
        <v/>
      </c>
      <c r="D1950" s="27" t="str">
        <f aca="false">IF(A1950="","",IFERROR(buscarx(A1950&amp;B1950,DATA!$E$3:$E$10000&amp;DATA!$B$3:$B$10000,DATA!$W$3:$W$10000),"No encontrado"))</f>
        <v/>
      </c>
      <c r="E1950" s="22"/>
      <c r="F1950" s="26" t="str">
        <f aca="false">IF(A1950="","",IFERROR(buscarx(A1950&amp;E1950,DATA!$E$3:$E$10000&amp;DATA!$B$3:$B$10000,DATA!$M$3:$M$10000),"Inactivo"))</f>
        <v/>
      </c>
      <c r="G1950" s="28" t="str">
        <f aca="false">IF(A1950="","",IF(AND(C1950&lt;&gt;"No encontrado",F1950&lt;&gt;"Inactivo"),C1950&amp;" → "&amp;F1950,"Sin transición"))</f>
        <v/>
      </c>
      <c r="H1950" s="26" t="str">
        <f aca="false">IF(A1950="","",IF(D1950="GCIA LINEA SERVICIO DIGITALIDAD Y VENTAS","Chats",IF(OR(D1950="GERENCIA INBOUND LÍNEAS SERVICIO Y VENTA",D1950="GERENCIA INBOUND LINEAS ESPECIALIZADAS"),"Llamadas","Otro")))</f>
        <v/>
      </c>
      <c r="I1950" s="26" t="str">
        <f aca="false">IF(A1950="","",IF(C1950="No encontrado","No","Sí"))</f>
        <v/>
      </c>
      <c r="J1950" s="26" t="str">
        <f aca="false">IF(A1950="","",IF(F1950="Inactivo","No","Sí"))</f>
        <v/>
      </c>
      <c r="K1950" s="26" t="str">
        <f aca="false">IF(A1950="","",IF(AND(I1950="Sí",J1950="Sí"),"Sí","No"))</f>
        <v/>
      </c>
    </row>
    <row r="1951" customFormat="false" ht="15" hidden="false" customHeight="false" outlineLevel="0" collapsed="false">
      <c r="A1951" s="22"/>
      <c r="B1951" s="22"/>
      <c r="C1951" s="23" t="str">
        <f aca="false">IF(A1951="","",IFERROR(buscarx(A1951&amp;B1951,DATA!$E$3:$E$10000&amp;DATA!$B$3:$B$10000,DATA!$M$3:$M$10000),"No encontrado"))</f>
        <v/>
      </c>
      <c r="D1951" s="24" t="str">
        <f aca="false">IF(A1951="","",IFERROR(buscarx(A1951&amp;B1951,DATA!$E$3:$E$10000&amp;DATA!$B$3:$B$10000,DATA!$W$3:$W$10000),"No encontrado"))</f>
        <v/>
      </c>
      <c r="E1951" s="22"/>
      <c r="F1951" s="23" t="str">
        <f aca="false">IF(A1951="","",IFERROR(buscarx(A1951&amp;E1951,DATA!$E$3:$E$10000&amp;DATA!$B$3:$B$10000,DATA!$M$3:$M$10000),"Inactivo"))</f>
        <v/>
      </c>
      <c r="G1951" s="25" t="str">
        <f aca="false">IF(A1951="","",IF(AND(C1951&lt;&gt;"No encontrado",F1951&lt;&gt;"Inactivo"),C1951&amp;" → "&amp;F1951,"Sin transición"))</f>
        <v/>
      </c>
      <c r="H1951" s="23" t="str">
        <f aca="false">IF(A1951="","",IF(D1951="GCIA LINEA SERVICIO DIGITALIDAD Y VENTAS","Chats",IF(OR(D1951="GERENCIA INBOUND LÍNEAS SERVICIO Y VENTA",D1951="GERENCIA INBOUND LINEAS ESPECIALIZADAS"),"Llamadas","Otro")))</f>
        <v/>
      </c>
      <c r="I1951" s="23" t="str">
        <f aca="false">IF(A1951="","",IF(C1951="No encontrado","No","Sí"))</f>
        <v/>
      </c>
      <c r="J1951" s="23" t="str">
        <f aca="false">IF(A1951="","",IF(F1951="Inactivo","No","Sí"))</f>
        <v/>
      </c>
      <c r="K1951" s="23" t="str">
        <f aca="false">IF(A1951="","",IF(AND(I1951="Sí",J1951="Sí"),"Sí","No"))</f>
        <v/>
      </c>
    </row>
    <row r="1952" customFormat="false" ht="15" hidden="false" customHeight="false" outlineLevel="0" collapsed="false">
      <c r="A1952" s="22"/>
      <c r="B1952" s="22"/>
      <c r="C1952" s="26" t="str">
        <f aca="false">IF(A1952="","",IFERROR(buscarx(A1952&amp;B1952,DATA!$E$3:$E$10000&amp;DATA!$B$3:$B$10000,DATA!$M$3:$M$10000),"No encontrado"))</f>
        <v/>
      </c>
      <c r="D1952" s="27" t="str">
        <f aca="false">IF(A1952="","",IFERROR(buscarx(A1952&amp;B1952,DATA!$E$3:$E$10000&amp;DATA!$B$3:$B$10000,DATA!$W$3:$W$10000),"No encontrado"))</f>
        <v/>
      </c>
      <c r="E1952" s="22"/>
      <c r="F1952" s="26" t="str">
        <f aca="false">IF(A1952="","",IFERROR(buscarx(A1952&amp;E1952,DATA!$E$3:$E$10000&amp;DATA!$B$3:$B$10000,DATA!$M$3:$M$10000),"Inactivo"))</f>
        <v/>
      </c>
      <c r="G1952" s="28" t="str">
        <f aca="false">IF(A1952="","",IF(AND(C1952&lt;&gt;"No encontrado",F1952&lt;&gt;"Inactivo"),C1952&amp;" → "&amp;F1952,"Sin transición"))</f>
        <v/>
      </c>
      <c r="H1952" s="26" t="str">
        <f aca="false">IF(A1952="","",IF(D1952="GCIA LINEA SERVICIO DIGITALIDAD Y VENTAS","Chats",IF(OR(D1952="GERENCIA INBOUND LÍNEAS SERVICIO Y VENTA",D1952="GERENCIA INBOUND LINEAS ESPECIALIZADAS"),"Llamadas","Otro")))</f>
        <v/>
      </c>
      <c r="I1952" s="26" t="str">
        <f aca="false">IF(A1952="","",IF(C1952="No encontrado","No","Sí"))</f>
        <v/>
      </c>
      <c r="J1952" s="26" t="str">
        <f aca="false">IF(A1952="","",IF(F1952="Inactivo","No","Sí"))</f>
        <v/>
      </c>
      <c r="K1952" s="26" t="str">
        <f aca="false">IF(A1952="","",IF(AND(I1952="Sí",J1952="Sí"),"Sí","No"))</f>
        <v/>
      </c>
    </row>
    <row r="1953" customFormat="false" ht="15" hidden="false" customHeight="false" outlineLevel="0" collapsed="false">
      <c r="A1953" s="22"/>
      <c r="B1953" s="22"/>
      <c r="C1953" s="23" t="str">
        <f aca="false">IF(A1953="","",IFERROR(buscarx(A1953&amp;B1953,DATA!$E$3:$E$10000&amp;DATA!$B$3:$B$10000,DATA!$M$3:$M$10000),"No encontrado"))</f>
        <v/>
      </c>
      <c r="D1953" s="24" t="str">
        <f aca="false">IF(A1953="","",IFERROR(buscarx(A1953&amp;B1953,DATA!$E$3:$E$10000&amp;DATA!$B$3:$B$10000,DATA!$W$3:$W$10000),"No encontrado"))</f>
        <v/>
      </c>
      <c r="E1953" s="22"/>
      <c r="F1953" s="23" t="str">
        <f aca="false">IF(A1953="","",IFERROR(buscarx(A1953&amp;E1953,DATA!$E$3:$E$10000&amp;DATA!$B$3:$B$10000,DATA!$M$3:$M$10000),"Inactivo"))</f>
        <v/>
      </c>
      <c r="G1953" s="25" t="str">
        <f aca="false">IF(A1953="","",IF(AND(C1953&lt;&gt;"No encontrado",F1953&lt;&gt;"Inactivo"),C1953&amp;" → "&amp;F1953,"Sin transición"))</f>
        <v/>
      </c>
      <c r="H1953" s="23" t="str">
        <f aca="false">IF(A1953="","",IF(D1953="GCIA LINEA SERVICIO DIGITALIDAD Y VENTAS","Chats",IF(OR(D1953="GERENCIA INBOUND LÍNEAS SERVICIO Y VENTA",D1953="GERENCIA INBOUND LINEAS ESPECIALIZADAS"),"Llamadas","Otro")))</f>
        <v/>
      </c>
      <c r="I1953" s="23" t="str">
        <f aca="false">IF(A1953="","",IF(C1953="No encontrado","No","Sí"))</f>
        <v/>
      </c>
      <c r="J1953" s="23" t="str">
        <f aca="false">IF(A1953="","",IF(F1953="Inactivo","No","Sí"))</f>
        <v/>
      </c>
      <c r="K1953" s="23" t="str">
        <f aca="false">IF(A1953="","",IF(AND(I1953="Sí",J1953="Sí"),"Sí","No"))</f>
        <v/>
      </c>
    </row>
    <row r="1954" customFormat="false" ht="15" hidden="false" customHeight="false" outlineLevel="0" collapsed="false">
      <c r="A1954" s="22"/>
      <c r="B1954" s="22"/>
      <c r="C1954" s="26" t="str">
        <f aca="false">IF(A1954="","",IFERROR(buscarx(A1954&amp;B1954,DATA!$E$3:$E$10000&amp;DATA!$B$3:$B$10000,DATA!$M$3:$M$10000),"No encontrado"))</f>
        <v/>
      </c>
      <c r="D1954" s="27" t="str">
        <f aca="false">IF(A1954="","",IFERROR(buscarx(A1954&amp;B1954,DATA!$E$3:$E$10000&amp;DATA!$B$3:$B$10000,DATA!$W$3:$W$10000),"No encontrado"))</f>
        <v/>
      </c>
      <c r="E1954" s="22"/>
      <c r="F1954" s="26" t="str">
        <f aca="false">IF(A1954="","",IFERROR(buscarx(A1954&amp;E1954,DATA!$E$3:$E$10000&amp;DATA!$B$3:$B$10000,DATA!$M$3:$M$10000),"Inactivo"))</f>
        <v/>
      </c>
      <c r="G1954" s="28" t="str">
        <f aca="false">IF(A1954="","",IF(AND(C1954&lt;&gt;"No encontrado",F1954&lt;&gt;"Inactivo"),C1954&amp;" → "&amp;F1954,"Sin transición"))</f>
        <v/>
      </c>
      <c r="H1954" s="26" t="str">
        <f aca="false">IF(A1954="","",IF(D1954="GCIA LINEA SERVICIO DIGITALIDAD Y VENTAS","Chats",IF(OR(D1954="GERENCIA INBOUND LÍNEAS SERVICIO Y VENTA",D1954="GERENCIA INBOUND LINEAS ESPECIALIZADAS"),"Llamadas","Otro")))</f>
        <v/>
      </c>
      <c r="I1954" s="26" t="str">
        <f aca="false">IF(A1954="","",IF(C1954="No encontrado","No","Sí"))</f>
        <v/>
      </c>
      <c r="J1954" s="26" t="str">
        <f aca="false">IF(A1954="","",IF(F1954="Inactivo","No","Sí"))</f>
        <v/>
      </c>
      <c r="K1954" s="26" t="str">
        <f aca="false">IF(A1954="","",IF(AND(I1954="Sí",J1954="Sí"),"Sí","No"))</f>
        <v/>
      </c>
    </row>
    <row r="1955" customFormat="false" ht="15" hidden="false" customHeight="false" outlineLevel="0" collapsed="false">
      <c r="A1955" s="22"/>
      <c r="B1955" s="22"/>
      <c r="C1955" s="23" t="str">
        <f aca="false">IF(A1955="","",IFERROR(buscarx(A1955&amp;B1955,DATA!$E$3:$E$10000&amp;DATA!$B$3:$B$10000,DATA!$M$3:$M$10000),"No encontrado"))</f>
        <v/>
      </c>
      <c r="D1955" s="24" t="str">
        <f aca="false">IF(A1955="","",IFERROR(buscarx(A1955&amp;B1955,DATA!$E$3:$E$10000&amp;DATA!$B$3:$B$10000,DATA!$W$3:$W$10000),"No encontrado"))</f>
        <v/>
      </c>
      <c r="E1955" s="22"/>
      <c r="F1955" s="23" t="str">
        <f aca="false">IF(A1955="","",IFERROR(buscarx(A1955&amp;E1955,DATA!$E$3:$E$10000&amp;DATA!$B$3:$B$10000,DATA!$M$3:$M$10000),"Inactivo"))</f>
        <v/>
      </c>
      <c r="G1955" s="25" t="str">
        <f aca="false">IF(A1955="","",IF(AND(C1955&lt;&gt;"No encontrado",F1955&lt;&gt;"Inactivo"),C1955&amp;" → "&amp;F1955,"Sin transición"))</f>
        <v/>
      </c>
      <c r="H1955" s="23" t="str">
        <f aca="false">IF(A1955="","",IF(D1955="GCIA LINEA SERVICIO DIGITALIDAD Y VENTAS","Chats",IF(OR(D1955="GERENCIA INBOUND LÍNEAS SERVICIO Y VENTA",D1955="GERENCIA INBOUND LINEAS ESPECIALIZADAS"),"Llamadas","Otro")))</f>
        <v/>
      </c>
      <c r="I1955" s="23" t="str">
        <f aca="false">IF(A1955="","",IF(C1955="No encontrado","No","Sí"))</f>
        <v/>
      </c>
      <c r="J1955" s="23" t="str">
        <f aca="false">IF(A1955="","",IF(F1955="Inactivo","No","Sí"))</f>
        <v/>
      </c>
      <c r="K1955" s="23" t="str">
        <f aca="false">IF(A1955="","",IF(AND(I1955="Sí",J1955="Sí"),"Sí","No"))</f>
        <v/>
      </c>
    </row>
    <row r="1956" customFormat="false" ht="15" hidden="false" customHeight="false" outlineLevel="0" collapsed="false">
      <c r="A1956" s="22"/>
      <c r="B1956" s="22"/>
      <c r="C1956" s="26" t="str">
        <f aca="false">IF(A1956="","",IFERROR(buscarx(A1956&amp;B1956,DATA!$E$3:$E$10000&amp;DATA!$B$3:$B$10000,DATA!$M$3:$M$10000),"No encontrado"))</f>
        <v/>
      </c>
      <c r="D1956" s="27" t="str">
        <f aca="false">IF(A1956="","",IFERROR(buscarx(A1956&amp;B1956,DATA!$E$3:$E$10000&amp;DATA!$B$3:$B$10000,DATA!$W$3:$W$10000),"No encontrado"))</f>
        <v/>
      </c>
      <c r="E1956" s="22"/>
      <c r="F1956" s="26" t="str">
        <f aca="false">IF(A1956="","",IFERROR(buscarx(A1956&amp;E1956,DATA!$E$3:$E$10000&amp;DATA!$B$3:$B$10000,DATA!$M$3:$M$10000),"Inactivo"))</f>
        <v/>
      </c>
      <c r="G1956" s="28" t="str">
        <f aca="false">IF(A1956="","",IF(AND(C1956&lt;&gt;"No encontrado",F1956&lt;&gt;"Inactivo"),C1956&amp;" → "&amp;F1956,"Sin transición"))</f>
        <v/>
      </c>
      <c r="H1956" s="26" t="str">
        <f aca="false">IF(A1956="","",IF(D1956="GCIA LINEA SERVICIO DIGITALIDAD Y VENTAS","Chats",IF(OR(D1956="GERENCIA INBOUND LÍNEAS SERVICIO Y VENTA",D1956="GERENCIA INBOUND LINEAS ESPECIALIZADAS"),"Llamadas","Otro")))</f>
        <v/>
      </c>
      <c r="I1956" s="26" t="str">
        <f aca="false">IF(A1956="","",IF(C1956="No encontrado","No","Sí"))</f>
        <v/>
      </c>
      <c r="J1956" s="26" t="str">
        <f aca="false">IF(A1956="","",IF(F1956="Inactivo","No","Sí"))</f>
        <v/>
      </c>
      <c r="K1956" s="26" t="str">
        <f aca="false">IF(A1956="","",IF(AND(I1956="Sí",J1956="Sí"),"Sí","No"))</f>
        <v/>
      </c>
    </row>
    <row r="1957" customFormat="false" ht="15" hidden="false" customHeight="false" outlineLevel="0" collapsed="false">
      <c r="A1957" s="22"/>
      <c r="B1957" s="22"/>
      <c r="C1957" s="23" t="str">
        <f aca="false">IF(A1957="","",IFERROR(buscarx(A1957&amp;B1957,DATA!$E$3:$E$10000&amp;DATA!$B$3:$B$10000,DATA!$M$3:$M$10000),"No encontrado"))</f>
        <v/>
      </c>
      <c r="D1957" s="24" t="str">
        <f aca="false">IF(A1957="","",IFERROR(buscarx(A1957&amp;B1957,DATA!$E$3:$E$10000&amp;DATA!$B$3:$B$10000,DATA!$W$3:$W$10000),"No encontrado"))</f>
        <v/>
      </c>
      <c r="E1957" s="22"/>
      <c r="F1957" s="23" t="str">
        <f aca="false">IF(A1957="","",IFERROR(buscarx(A1957&amp;E1957,DATA!$E$3:$E$10000&amp;DATA!$B$3:$B$10000,DATA!$M$3:$M$10000),"Inactivo"))</f>
        <v/>
      </c>
      <c r="G1957" s="25" t="str">
        <f aca="false">IF(A1957="","",IF(AND(C1957&lt;&gt;"No encontrado",F1957&lt;&gt;"Inactivo"),C1957&amp;" → "&amp;F1957,"Sin transición"))</f>
        <v/>
      </c>
      <c r="H1957" s="23" t="str">
        <f aca="false">IF(A1957="","",IF(D1957="GCIA LINEA SERVICIO DIGITALIDAD Y VENTAS","Chats",IF(OR(D1957="GERENCIA INBOUND LÍNEAS SERVICIO Y VENTA",D1957="GERENCIA INBOUND LINEAS ESPECIALIZADAS"),"Llamadas","Otro")))</f>
        <v/>
      </c>
      <c r="I1957" s="23" t="str">
        <f aca="false">IF(A1957="","",IF(C1957="No encontrado","No","Sí"))</f>
        <v/>
      </c>
      <c r="J1957" s="23" t="str">
        <f aca="false">IF(A1957="","",IF(F1957="Inactivo","No","Sí"))</f>
        <v/>
      </c>
      <c r="K1957" s="23" t="str">
        <f aca="false">IF(A1957="","",IF(AND(I1957="Sí",J1957="Sí"),"Sí","No"))</f>
        <v/>
      </c>
    </row>
    <row r="1958" customFormat="false" ht="15" hidden="false" customHeight="false" outlineLevel="0" collapsed="false">
      <c r="A1958" s="22"/>
      <c r="B1958" s="22"/>
      <c r="C1958" s="26" t="str">
        <f aca="false">IF(A1958="","",IFERROR(buscarx(A1958&amp;B1958,DATA!$E$3:$E$10000&amp;DATA!$B$3:$B$10000,DATA!$M$3:$M$10000),"No encontrado"))</f>
        <v/>
      </c>
      <c r="D1958" s="27" t="str">
        <f aca="false">IF(A1958="","",IFERROR(buscarx(A1958&amp;B1958,DATA!$E$3:$E$10000&amp;DATA!$B$3:$B$10000,DATA!$W$3:$W$10000),"No encontrado"))</f>
        <v/>
      </c>
      <c r="E1958" s="22"/>
      <c r="F1958" s="26" t="str">
        <f aca="false">IF(A1958="","",IFERROR(buscarx(A1958&amp;E1958,DATA!$E$3:$E$10000&amp;DATA!$B$3:$B$10000,DATA!$M$3:$M$10000),"Inactivo"))</f>
        <v/>
      </c>
      <c r="G1958" s="28" t="str">
        <f aca="false">IF(A1958="","",IF(AND(C1958&lt;&gt;"No encontrado",F1958&lt;&gt;"Inactivo"),C1958&amp;" → "&amp;F1958,"Sin transición"))</f>
        <v/>
      </c>
      <c r="H1958" s="26" t="str">
        <f aca="false">IF(A1958="","",IF(D1958="GCIA LINEA SERVICIO DIGITALIDAD Y VENTAS","Chats",IF(OR(D1958="GERENCIA INBOUND LÍNEAS SERVICIO Y VENTA",D1958="GERENCIA INBOUND LINEAS ESPECIALIZADAS"),"Llamadas","Otro")))</f>
        <v/>
      </c>
      <c r="I1958" s="26" t="str">
        <f aca="false">IF(A1958="","",IF(C1958="No encontrado","No","Sí"))</f>
        <v/>
      </c>
      <c r="J1958" s="26" t="str">
        <f aca="false">IF(A1958="","",IF(F1958="Inactivo","No","Sí"))</f>
        <v/>
      </c>
      <c r="K1958" s="26" t="str">
        <f aca="false">IF(A1958="","",IF(AND(I1958="Sí",J1958="Sí"),"Sí","No"))</f>
        <v/>
      </c>
    </row>
    <row r="1959" customFormat="false" ht="15" hidden="false" customHeight="false" outlineLevel="0" collapsed="false">
      <c r="A1959" s="22"/>
      <c r="B1959" s="22"/>
      <c r="C1959" s="23" t="str">
        <f aca="false">IF(A1959="","",IFERROR(buscarx(A1959&amp;B1959,DATA!$E$3:$E$10000&amp;DATA!$B$3:$B$10000,DATA!$M$3:$M$10000),"No encontrado"))</f>
        <v/>
      </c>
      <c r="D1959" s="24" t="str">
        <f aca="false">IF(A1959="","",IFERROR(buscarx(A1959&amp;B1959,DATA!$E$3:$E$10000&amp;DATA!$B$3:$B$10000,DATA!$W$3:$W$10000),"No encontrado"))</f>
        <v/>
      </c>
      <c r="E1959" s="22"/>
      <c r="F1959" s="23" t="str">
        <f aca="false">IF(A1959="","",IFERROR(buscarx(A1959&amp;E1959,DATA!$E$3:$E$10000&amp;DATA!$B$3:$B$10000,DATA!$M$3:$M$10000),"Inactivo"))</f>
        <v/>
      </c>
      <c r="G1959" s="25" t="str">
        <f aca="false">IF(A1959="","",IF(AND(C1959&lt;&gt;"No encontrado",F1959&lt;&gt;"Inactivo"),C1959&amp;" → "&amp;F1959,"Sin transición"))</f>
        <v/>
      </c>
      <c r="H1959" s="23" t="str">
        <f aca="false">IF(A1959="","",IF(D1959="GCIA LINEA SERVICIO DIGITALIDAD Y VENTAS","Chats",IF(OR(D1959="GERENCIA INBOUND LÍNEAS SERVICIO Y VENTA",D1959="GERENCIA INBOUND LINEAS ESPECIALIZADAS"),"Llamadas","Otro")))</f>
        <v/>
      </c>
      <c r="I1959" s="23" t="str">
        <f aca="false">IF(A1959="","",IF(C1959="No encontrado","No","Sí"))</f>
        <v/>
      </c>
      <c r="J1959" s="23" t="str">
        <f aca="false">IF(A1959="","",IF(F1959="Inactivo","No","Sí"))</f>
        <v/>
      </c>
      <c r="K1959" s="23" t="str">
        <f aca="false">IF(A1959="","",IF(AND(I1959="Sí",J1959="Sí"),"Sí","No"))</f>
        <v/>
      </c>
    </row>
    <row r="1960" customFormat="false" ht="15" hidden="false" customHeight="false" outlineLevel="0" collapsed="false">
      <c r="A1960" s="22"/>
      <c r="B1960" s="22"/>
      <c r="C1960" s="26" t="str">
        <f aca="false">IF(A1960="","",IFERROR(buscarx(A1960&amp;B1960,DATA!$E$3:$E$10000&amp;DATA!$B$3:$B$10000,DATA!$M$3:$M$10000),"No encontrado"))</f>
        <v/>
      </c>
      <c r="D1960" s="27" t="str">
        <f aca="false">IF(A1960="","",IFERROR(buscarx(A1960&amp;B1960,DATA!$E$3:$E$10000&amp;DATA!$B$3:$B$10000,DATA!$W$3:$W$10000),"No encontrado"))</f>
        <v/>
      </c>
      <c r="E1960" s="22"/>
      <c r="F1960" s="26" t="str">
        <f aca="false">IF(A1960="","",IFERROR(buscarx(A1960&amp;E1960,DATA!$E$3:$E$10000&amp;DATA!$B$3:$B$10000,DATA!$M$3:$M$10000),"Inactivo"))</f>
        <v/>
      </c>
      <c r="G1960" s="28" t="str">
        <f aca="false">IF(A1960="","",IF(AND(C1960&lt;&gt;"No encontrado",F1960&lt;&gt;"Inactivo"),C1960&amp;" → "&amp;F1960,"Sin transición"))</f>
        <v/>
      </c>
      <c r="H1960" s="26" t="str">
        <f aca="false">IF(A1960="","",IF(D1960="GCIA LINEA SERVICIO DIGITALIDAD Y VENTAS","Chats",IF(OR(D1960="GERENCIA INBOUND LÍNEAS SERVICIO Y VENTA",D1960="GERENCIA INBOUND LINEAS ESPECIALIZADAS"),"Llamadas","Otro")))</f>
        <v/>
      </c>
      <c r="I1960" s="26" t="str">
        <f aca="false">IF(A1960="","",IF(C1960="No encontrado","No","Sí"))</f>
        <v/>
      </c>
      <c r="J1960" s="26" t="str">
        <f aca="false">IF(A1960="","",IF(F1960="Inactivo","No","Sí"))</f>
        <v/>
      </c>
      <c r="K1960" s="26" t="str">
        <f aca="false">IF(A1960="","",IF(AND(I1960="Sí",J1960="Sí"),"Sí","No"))</f>
        <v/>
      </c>
    </row>
    <row r="1961" customFormat="false" ht="15" hidden="false" customHeight="false" outlineLevel="0" collapsed="false">
      <c r="A1961" s="22"/>
      <c r="B1961" s="22"/>
      <c r="C1961" s="23" t="str">
        <f aca="false">IF(A1961="","",IFERROR(buscarx(A1961&amp;B1961,DATA!$E$3:$E$10000&amp;DATA!$B$3:$B$10000,DATA!$M$3:$M$10000),"No encontrado"))</f>
        <v/>
      </c>
      <c r="D1961" s="24" t="str">
        <f aca="false">IF(A1961="","",IFERROR(buscarx(A1961&amp;B1961,DATA!$E$3:$E$10000&amp;DATA!$B$3:$B$10000,DATA!$W$3:$W$10000),"No encontrado"))</f>
        <v/>
      </c>
      <c r="E1961" s="22"/>
      <c r="F1961" s="23" t="str">
        <f aca="false">IF(A1961="","",IFERROR(buscarx(A1961&amp;E1961,DATA!$E$3:$E$10000&amp;DATA!$B$3:$B$10000,DATA!$M$3:$M$10000),"Inactivo"))</f>
        <v/>
      </c>
      <c r="G1961" s="25" t="str">
        <f aca="false">IF(A1961="","",IF(AND(C1961&lt;&gt;"No encontrado",F1961&lt;&gt;"Inactivo"),C1961&amp;" → "&amp;F1961,"Sin transición"))</f>
        <v/>
      </c>
      <c r="H1961" s="23" t="str">
        <f aca="false">IF(A1961="","",IF(D1961="GCIA LINEA SERVICIO DIGITALIDAD Y VENTAS","Chats",IF(OR(D1961="GERENCIA INBOUND LÍNEAS SERVICIO Y VENTA",D1961="GERENCIA INBOUND LINEAS ESPECIALIZADAS"),"Llamadas","Otro")))</f>
        <v/>
      </c>
      <c r="I1961" s="23" t="str">
        <f aca="false">IF(A1961="","",IF(C1961="No encontrado","No","Sí"))</f>
        <v/>
      </c>
      <c r="J1961" s="23" t="str">
        <f aca="false">IF(A1961="","",IF(F1961="Inactivo","No","Sí"))</f>
        <v/>
      </c>
      <c r="K1961" s="23" t="str">
        <f aca="false">IF(A1961="","",IF(AND(I1961="Sí",J1961="Sí"),"Sí","No"))</f>
        <v/>
      </c>
    </row>
    <row r="1962" customFormat="false" ht="15" hidden="false" customHeight="false" outlineLevel="0" collapsed="false">
      <c r="A1962" s="22"/>
      <c r="B1962" s="22"/>
      <c r="C1962" s="26" t="str">
        <f aca="false">IF(A1962="","",IFERROR(buscarx(A1962&amp;B1962,DATA!$E$3:$E$10000&amp;DATA!$B$3:$B$10000,DATA!$M$3:$M$10000),"No encontrado"))</f>
        <v/>
      </c>
      <c r="D1962" s="27" t="str">
        <f aca="false">IF(A1962="","",IFERROR(buscarx(A1962&amp;B1962,DATA!$E$3:$E$10000&amp;DATA!$B$3:$B$10000,DATA!$W$3:$W$10000),"No encontrado"))</f>
        <v/>
      </c>
      <c r="E1962" s="22"/>
      <c r="F1962" s="26" t="str">
        <f aca="false">IF(A1962="","",IFERROR(buscarx(A1962&amp;E1962,DATA!$E$3:$E$10000&amp;DATA!$B$3:$B$10000,DATA!$M$3:$M$10000),"Inactivo"))</f>
        <v/>
      </c>
      <c r="G1962" s="28" t="str">
        <f aca="false">IF(A1962="","",IF(AND(C1962&lt;&gt;"No encontrado",F1962&lt;&gt;"Inactivo"),C1962&amp;" → "&amp;F1962,"Sin transición"))</f>
        <v/>
      </c>
      <c r="H1962" s="26" t="str">
        <f aca="false">IF(A1962="","",IF(D1962="GCIA LINEA SERVICIO DIGITALIDAD Y VENTAS","Chats",IF(OR(D1962="GERENCIA INBOUND LÍNEAS SERVICIO Y VENTA",D1962="GERENCIA INBOUND LINEAS ESPECIALIZADAS"),"Llamadas","Otro")))</f>
        <v/>
      </c>
      <c r="I1962" s="26" t="str">
        <f aca="false">IF(A1962="","",IF(C1962="No encontrado","No","Sí"))</f>
        <v/>
      </c>
      <c r="J1962" s="26" t="str">
        <f aca="false">IF(A1962="","",IF(F1962="Inactivo","No","Sí"))</f>
        <v/>
      </c>
      <c r="K1962" s="26" t="str">
        <f aca="false">IF(A1962="","",IF(AND(I1962="Sí",J1962="Sí"),"Sí","No"))</f>
        <v/>
      </c>
    </row>
    <row r="1963" customFormat="false" ht="15" hidden="false" customHeight="false" outlineLevel="0" collapsed="false">
      <c r="A1963" s="22"/>
      <c r="B1963" s="22"/>
      <c r="C1963" s="23" t="str">
        <f aca="false">IF(A1963="","",IFERROR(buscarx(A1963&amp;B1963,DATA!$E$3:$E$10000&amp;DATA!$B$3:$B$10000,DATA!$M$3:$M$10000),"No encontrado"))</f>
        <v/>
      </c>
      <c r="D1963" s="24" t="str">
        <f aca="false">IF(A1963="","",IFERROR(buscarx(A1963&amp;B1963,DATA!$E$3:$E$10000&amp;DATA!$B$3:$B$10000,DATA!$W$3:$W$10000),"No encontrado"))</f>
        <v/>
      </c>
      <c r="E1963" s="22"/>
      <c r="F1963" s="23" t="str">
        <f aca="false">IF(A1963="","",IFERROR(buscarx(A1963&amp;E1963,DATA!$E$3:$E$10000&amp;DATA!$B$3:$B$10000,DATA!$M$3:$M$10000),"Inactivo"))</f>
        <v/>
      </c>
      <c r="G1963" s="25" t="str">
        <f aca="false">IF(A1963="","",IF(AND(C1963&lt;&gt;"No encontrado",F1963&lt;&gt;"Inactivo"),C1963&amp;" → "&amp;F1963,"Sin transición"))</f>
        <v/>
      </c>
      <c r="H1963" s="23" t="str">
        <f aca="false">IF(A1963="","",IF(D1963="GCIA LINEA SERVICIO DIGITALIDAD Y VENTAS","Chats",IF(OR(D1963="GERENCIA INBOUND LÍNEAS SERVICIO Y VENTA",D1963="GERENCIA INBOUND LINEAS ESPECIALIZADAS"),"Llamadas","Otro")))</f>
        <v/>
      </c>
      <c r="I1963" s="23" t="str">
        <f aca="false">IF(A1963="","",IF(C1963="No encontrado","No","Sí"))</f>
        <v/>
      </c>
      <c r="J1963" s="23" t="str">
        <f aca="false">IF(A1963="","",IF(F1963="Inactivo","No","Sí"))</f>
        <v/>
      </c>
      <c r="K1963" s="23" t="str">
        <f aca="false">IF(A1963="","",IF(AND(I1963="Sí",J1963="Sí"),"Sí","No"))</f>
        <v/>
      </c>
    </row>
    <row r="1964" customFormat="false" ht="15" hidden="false" customHeight="false" outlineLevel="0" collapsed="false">
      <c r="A1964" s="22"/>
      <c r="B1964" s="22"/>
      <c r="C1964" s="26" t="str">
        <f aca="false">IF(A1964="","",IFERROR(buscarx(A1964&amp;B1964,DATA!$E$3:$E$10000&amp;DATA!$B$3:$B$10000,DATA!$M$3:$M$10000),"No encontrado"))</f>
        <v/>
      </c>
      <c r="D1964" s="27" t="str">
        <f aca="false">IF(A1964="","",IFERROR(buscarx(A1964&amp;B1964,DATA!$E$3:$E$10000&amp;DATA!$B$3:$B$10000,DATA!$W$3:$W$10000),"No encontrado"))</f>
        <v/>
      </c>
      <c r="E1964" s="22"/>
      <c r="F1964" s="26" t="str">
        <f aca="false">IF(A1964="","",IFERROR(buscarx(A1964&amp;E1964,DATA!$E$3:$E$10000&amp;DATA!$B$3:$B$10000,DATA!$M$3:$M$10000),"Inactivo"))</f>
        <v/>
      </c>
      <c r="G1964" s="28" t="str">
        <f aca="false">IF(A1964="","",IF(AND(C1964&lt;&gt;"No encontrado",F1964&lt;&gt;"Inactivo"),C1964&amp;" → "&amp;F1964,"Sin transición"))</f>
        <v/>
      </c>
      <c r="H1964" s="26" t="str">
        <f aca="false">IF(A1964="","",IF(D1964="GCIA LINEA SERVICIO DIGITALIDAD Y VENTAS","Chats",IF(OR(D1964="GERENCIA INBOUND LÍNEAS SERVICIO Y VENTA",D1964="GERENCIA INBOUND LINEAS ESPECIALIZADAS"),"Llamadas","Otro")))</f>
        <v/>
      </c>
      <c r="I1964" s="26" t="str">
        <f aca="false">IF(A1964="","",IF(C1964="No encontrado","No","Sí"))</f>
        <v/>
      </c>
      <c r="J1964" s="26" t="str">
        <f aca="false">IF(A1964="","",IF(F1964="Inactivo","No","Sí"))</f>
        <v/>
      </c>
      <c r="K1964" s="26" t="str">
        <f aca="false">IF(A1964="","",IF(AND(I1964="Sí",J1964="Sí"),"Sí","No"))</f>
        <v/>
      </c>
    </row>
    <row r="1965" customFormat="false" ht="15" hidden="false" customHeight="false" outlineLevel="0" collapsed="false">
      <c r="A1965" s="22"/>
      <c r="B1965" s="22"/>
      <c r="C1965" s="23" t="str">
        <f aca="false">IF(A1965="","",IFERROR(buscarx(A1965&amp;B1965,DATA!$E$3:$E$10000&amp;DATA!$B$3:$B$10000,DATA!$M$3:$M$10000),"No encontrado"))</f>
        <v/>
      </c>
      <c r="D1965" s="24" t="str">
        <f aca="false">IF(A1965="","",IFERROR(buscarx(A1965&amp;B1965,DATA!$E$3:$E$10000&amp;DATA!$B$3:$B$10000,DATA!$W$3:$W$10000),"No encontrado"))</f>
        <v/>
      </c>
      <c r="E1965" s="22"/>
      <c r="F1965" s="23" t="str">
        <f aca="false">IF(A1965="","",IFERROR(buscarx(A1965&amp;E1965,DATA!$E$3:$E$10000&amp;DATA!$B$3:$B$10000,DATA!$M$3:$M$10000),"Inactivo"))</f>
        <v/>
      </c>
      <c r="G1965" s="25" t="str">
        <f aca="false">IF(A1965="","",IF(AND(C1965&lt;&gt;"No encontrado",F1965&lt;&gt;"Inactivo"),C1965&amp;" → "&amp;F1965,"Sin transición"))</f>
        <v/>
      </c>
      <c r="H1965" s="23" t="str">
        <f aca="false">IF(A1965="","",IF(D1965="GCIA LINEA SERVICIO DIGITALIDAD Y VENTAS","Chats",IF(OR(D1965="GERENCIA INBOUND LÍNEAS SERVICIO Y VENTA",D1965="GERENCIA INBOUND LINEAS ESPECIALIZADAS"),"Llamadas","Otro")))</f>
        <v/>
      </c>
      <c r="I1965" s="23" t="str">
        <f aca="false">IF(A1965="","",IF(C1965="No encontrado","No","Sí"))</f>
        <v/>
      </c>
      <c r="J1965" s="23" t="str">
        <f aca="false">IF(A1965="","",IF(F1965="Inactivo","No","Sí"))</f>
        <v/>
      </c>
      <c r="K1965" s="23" t="str">
        <f aca="false">IF(A1965="","",IF(AND(I1965="Sí",J1965="Sí"),"Sí","No"))</f>
        <v/>
      </c>
    </row>
    <row r="1966" customFormat="false" ht="15" hidden="false" customHeight="false" outlineLevel="0" collapsed="false">
      <c r="A1966" s="22"/>
      <c r="B1966" s="22"/>
      <c r="C1966" s="26" t="str">
        <f aca="false">IF(A1966="","",IFERROR(buscarx(A1966&amp;B1966,DATA!$E$3:$E$10000&amp;DATA!$B$3:$B$10000,DATA!$M$3:$M$10000),"No encontrado"))</f>
        <v/>
      </c>
      <c r="D1966" s="27" t="str">
        <f aca="false">IF(A1966="","",IFERROR(buscarx(A1966&amp;B1966,DATA!$E$3:$E$10000&amp;DATA!$B$3:$B$10000,DATA!$W$3:$W$10000),"No encontrado"))</f>
        <v/>
      </c>
      <c r="E1966" s="22"/>
      <c r="F1966" s="26" t="str">
        <f aca="false">IF(A1966="","",IFERROR(buscarx(A1966&amp;E1966,DATA!$E$3:$E$10000&amp;DATA!$B$3:$B$10000,DATA!$M$3:$M$10000),"Inactivo"))</f>
        <v/>
      </c>
      <c r="G1966" s="28" t="str">
        <f aca="false">IF(A1966="","",IF(AND(C1966&lt;&gt;"No encontrado",F1966&lt;&gt;"Inactivo"),C1966&amp;" → "&amp;F1966,"Sin transición"))</f>
        <v/>
      </c>
      <c r="H1966" s="26" t="str">
        <f aca="false">IF(A1966="","",IF(D1966="GCIA LINEA SERVICIO DIGITALIDAD Y VENTAS","Chats",IF(OR(D1966="GERENCIA INBOUND LÍNEAS SERVICIO Y VENTA",D1966="GERENCIA INBOUND LINEAS ESPECIALIZADAS"),"Llamadas","Otro")))</f>
        <v/>
      </c>
      <c r="I1966" s="26" t="str">
        <f aca="false">IF(A1966="","",IF(C1966="No encontrado","No","Sí"))</f>
        <v/>
      </c>
      <c r="J1966" s="26" t="str">
        <f aca="false">IF(A1966="","",IF(F1966="Inactivo","No","Sí"))</f>
        <v/>
      </c>
      <c r="K1966" s="26" t="str">
        <f aca="false">IF(A1966="","",IF(AND(I1966="Sí",J1966="Sí"),"Sí","No"))</f>
        <v/>
      </c>
    </row>
    <row r="1967" customFormat="false" ht="15" hidden="false" customHeight="false" outlineLevel="0" collapsed="false">
      <c r="A1967" s="22"/>
      <c r="B1967" s="22"/>
      <c r="C1967" s="23" t="str">
        <f aca="false">IF(A1967="","",IFERROR(buscarx(A1967&amp;B1967,DATA!$E$3:$E$10000&amp;DATA!$B$3:$B$10000,DATA!$M$3:$M$10000),"No encontrado"))</f>
        <v/>
      </c>
      <c r="D1967" s="24" t="str">
        <f aca="false">IF(A1967="","",IFERROR(buscarx(A1967&amp;B1967,DATA!$E$3:$E$10000&amp;DATA!$B$3:$B$10000,DATA!$W$3:$W$10000),"No encontrado"))</f>
        <v/>
      </c>
      <c r="E1967" s="22"/>
      <c r="F1967" s="23" t="str">
        <f aca="false">IF(A1967="","",IFERROR(buscarx(A1967&amp;E1967,DATA!$E$3:$E$10000&amp;DATA!$B$3:$B$10000,DATA!$M$3:$M$10000),"Inactivo"))</f>
        <v/>
      </c>
      <c r="G1967" s="25" t="str">
        <f aca="false">IF(A1967="","",IF(AND(C1967&lt;&gt;"No encontrado",F1967&lt;&gt;"Inactivo"),C1967&amp;" → "&amp;F1967,"Sin transición"))</f>
        <v/>
      </c>
      <c r="H1967" s="23" t="str">
        <f aca="false">IF(A1967="","",IF(D1967="GCIA LINEA SERVICIO DIGITALIDAD Y VENTAS","Chats",IF(OR(D1967="GERENCIA INBOUND LÍNEAS SERVICIO Y VENTA",D1967="GERENCIA INBOUND LINEAS ESPECIALIZADAS"),"Llamadas","Otro")))</f>
        <v/>
      </c>
      <c r="I1967" s="23" t="str">
        <f aca="false">IF(A1967="","",IF(C1967="No encontrado","No","Sí"))</f>
        <v/>
      </c>
      <c r="J1967" s="23" t="str">
        <f aca="false">IF(A1967="","",IF(F1967="Inactivo","No","Sí"))</f>
        <v/>
      </c>
      <c r="K1967" s="23" t="str">
        <f aca="false">IF(A1967="","",IF(AND(I1967="Sí",J1967="Sí"),"Sí","No"))</f>
        <v/>
      </c>
    </row>
    <row r="1968" customFormat="false" ht="15" hidden="false" customHeight="false" outlineLevel="0" collapsed="false">
      <c r="A1968" s="22"/>
      <c r="B1968" s="22"/>
      <c r="C1968" s="26" t="str">
        <f aca="false">IF(A1968="","",IFERROR(buscarx(A1968&amp;B1968,DATA!$E$3:$E$10000&amp;DATA!$B$3:$B$10000,DATA!$M$3:$M$10000),"No encontrado"))</f>
        <v/>
      </c>
      <c r="D1968" s="27" t="str">
        <f aca="false">IF(A1968="","",IFERROR(buscarx(A1968&amp;B1968,DATA!$E$3:$E$10000&amp;DATA!$B$3:$B$10000,DATA!$W$3:$W$10000),"No encontrado"))</f>
        <v/>
      </c>
      <c r="E1968" s="22"/>
      <c r="F1968" s="26" t="str">
        <f aca="false">IF(A1968="","",IFERROR(buscarx(A1968&amp;E1968,DATA!$E$3:$E$10000&amp;DATA!$B$3:$B$10000,DATA!$M$3:$M$10000),"Inactivo"))</f>
        <v/>
      </c>
      <c r="G1968" s="28" t="str">
        <f aca="false">IF(A1968="","",IF(AND(C1968&lt;&gt;"No encontrado",F1968&lt;&gt;"Inactivo"),C1968&amp;" → "&amp;F1968,"Sin transición"))</f>
        <v/>
      </c>
      <c r="H1968" s="26" t="str">
        <f aca="false">IF(A1968="","",IF(D1968="GCIA LINEA SERVICIO DIGITALIDAD Y VENTAS","Chats",IF(OR(D1968="GERENCIA INBOUND LÍNEAS SERVICIO Y VENTA",D1968="GERENCIA INBOUND LINEAS ESPECIALIZADAS"),"Llamadas","Otro")))</f>
        <v/>
      </c>
      <c r="I1968" s="26" t="str">
        <f aca="false">IF(A1968="","",IF(C1968="No encontrado","No","Sí"))</f>
        <v/>
      </c>
      <c r="J1968" s="26" t="str">
        <f aca="false">IF(A1968="","",IF(F1968="Inactivo","No","Sí"))</f>
        <v/>
      </c>
      <c r="K1968" s="26" t="str">
        <f aca="false">IF(A1968="","",IF(AND(I1968="Sí",J1968="Sí"),"Sí","No"))</f>
        <v/>
      </c>
    </row>
    <row r="1969" customFormat="false" ht="15" hidden="false" customHeight="false" outlineLevel="0" collapsed="false">
      <c r="A1969" s="22"/>
      <c r="B1969" s="22"/>
      <c r="C1969" s="23" t="str">
        <f aca="false">IF(A1969="","",IFERROR(buscarx(A1969&amp;B1969,DATA!$E$3:$E$10000&amp;DATA!$B$3:$B$10000,DATA!$M$3:$M$10000),"No encontrado"))</f>
        <v/>
      </c>
      <c r="D1969" s="24" t="str">
        <f aca="false">IF(A1969="","",IFERROR(buscarx(A1969&amp;B1969,DATA!$E$3:$E$10000&amp;DATA!$B$3:$B$10000,DATA!$W$3:$W$10000),"No encontrado"))</f>
        <v/>
      </c>
      <c r="E1969" s="22"/>
      <c r="F1969" s="23" t="str">
        <f aca="false">IF(A1969="","",IFERROR(buscarx(A1969&amp;E1969,DATA!$E$3:$E$10000&amp;DATA!$B$3:$B$10000,DATA!$M$3:$M$10000),"Inactivo"))</f>
        <v/>
      </c>
      <c r="G1969" s="25" t="str">
        <f aca="false">IF(A1969="","",IF(AND(C1969&lt;&gt;"No encontrado",F1969&lt;&gt;"Inactivo"),C1969&amp;" → "&amp;F1969,"Sin transición"))</f>
        <v/>
      </c>
      <c r="H1969" s="23" t="str">
        <f aca="false">IF(A1969="","",IF(D1969="GCIA LINEA SERVICIO DIGITALIDAD Y VENTAS","Chats",IF(OR(D1969="GERENCIA INBOUND LÍNEAS SERVICIO Y VENTA",D1969="GERENCIA INBOUND LINEAS ESPECIALIZADAS"),"Llamadas","Otro")))</f>
        <v/>
      </c>
      <c r="I1969" s="23" t="str">
        <f aca="false">IF(A1969="","",IF(C1969="No encontrado","No","Sí"))</f>
        <v/>
      </c>
      <c r="J1969" s="23" t="str">
        <f aca="false">IF(A1969="","",IF(F1969="Inactivo","No","Sí"))</f>
        <v/>
      </c>
      <c r="K1969" s="23" t="str">
        <f aca="false">IF(A1969="","",IF(AND(I1969="Sí",J1969="Sí"),"Sí","No"))</f>
        <v/>
      </c>
    </row>
    <row r="1970" customFormat="false" ht="15" hidden="false" customHeight="false" outlineLevel="0" collapsed="false">
      <c r="A1970" s="22"/>
      <c r="B1970" s="22"/>
      <c r="C1970" s="26" t="str">
        <f aca="false">IF(A1970="","",IFERROR(buscarx(A1970&amp;B1970,DATA!$E$3:$E$10000&amp;DATA!$B$3:$B$10000,DATA!$M$3:$M$10000),"No encontrado"))</f>
        <v/>
      </c>
      <c r="D1970" s="27" t="str">
        <f aca="false">IF(A1970="","",IFERROR(buscarx(A1970&amp;B1970,DATA!$E$3:$E$10000&amp;DATA!$B$3:$B$10000,DATA!$W$3:$W$10000),"No encontrado"))</f>
        <v/>
      </c>
      <c r="E1970" s="22"/>
      <c r="F1970" s="26" t="str">
        <f aca="false">IF(A1970="","",IFERROR(buscarx(A1970&amp;E1970,DATA!$E$3:$E$10000&amp;DATA!$B$3:$B$10000,DATA!$M$3:$M$10000),"Inactivo"))</f>
        <v/>
      </c>
      <c r="G1970" s="28" t="str">
        <f aca="false">IF(A1970="","",IF(AND(C1970&lt;&gt;"No encontrado",F1970&lt;&gt;"Inactivo"),C1970&amp;" → "&amp;F1970,"Sin transición"))</f>
        <v/>
      </c>
      <c r="H1970" s="26" t="str">
        <f aca="false">IF(A1970="","",IF(D1970="GCIA LINEA SERVICIO DIGITALIDAD Y VENTAS","Chats",IF(OR(D1970="GERENCIA INBOUND LÍNEAS SERVICIO Y VENTA",D1970="GERENCIA INBOUND LINEAS ESPECIALIZADAS"),"Llamadas","Otro")))</f>
        <v/>
      </c>
      <c r="I1970" s="26" t="str">
        <f aca="false">IF(A1970="","",IF(C1970="No encontrado","No","Sí"))</f>
        <v/>
      </c>
      <c r="J1970" s="26" t="str">
        <f aca="false">IF(A1970="","",IF(F1970="Inactivo","No","Sí"))</f>
        <v/>
      </c>
      <c r="K1970" s="26" t="str">
        <f aca="false">IF(A1970="","",IF(AND(I1970="Sí",J1970="Sí"),"Sí","No"))</f>
        <v/>
      </c>
    </row>
    <row r="1971" customFormat="false" ht="15" hidden="false" customHeight="false" outlineLevel="0" collapsed="false">
      <c r="A1971" s="22"/>
      <c r="B1971" s="22"/>
      <c r="C1971" s="23" t="str">
        <f aca="false">IF(A1971="","",IFERROR(buscarx(A1971&amp;B1971,DATA!$E$3:$E$10000&amp;DATA!$B$3:$B$10000,DATA!$M$3:$M$10000),"No encontrado"))</f>
        <v/>
      </c>
      <c r="D1971" s="24" t="str">
        <f aca="false">IF(A1971="","",IFERROR(buscarx(A1971&amp;B1971,DATA!$E$3:$E$10000&amp;DATA!$B$3:$B$10000,DATA!$W$3:$W$10000),"No encontrado"))</f>
        <v/>
      </c>
      <c r="E1971" s="22"/>
      <c r="F1971" s="23" t="str">
        <f aca="false">IF(A1971="","",IFERROR(buscarx(A1971&amp;E1971,DATA!$E$3:$E$10000&amp;DATA!$B$3:$B$10000,DATA!$M$3:$M$10000),"Inactivo"))</f>
        <v/>
      </c>
      <c r="G1971" s="25" t="str">
        <f aca="false">IF(A1971="","",IF(AND(C1971&lt;&gt;"No encontrado",F1971&lt;&gt;"Inactivo"),C1971&amp;" → "&amp;F1971,"Sin transición"))</f>
        <v/>
      </c>
      <c r="H1971" s="23" t="str">
        <f aca="false">IF(A1971="","",IF(D1971="GCIA LINEA SERVICIO DIGITALIDAD Y VENTAS","Chats",IF(OR(D1971="GERENCIA INBOUND LÍNEAS SERVICIO Y VENTA",D1971="GERENCIA INBOUND LINEAS ESPECIALIZADAS"),"Llamadas","Otro")))</f>
        <v/>
      </c>
      <c r="I1971" s="23" t="str">
        <f aca="false">IF(A1971="","",IF(C1971="No encontrado","No","Sí"))</f>
        <v/>
      </c>
      <c r="J1971" s="23" t="str">
        <f aca="false">IF(A1971="","",IF(F1971="Inactivo","No","Sí"))</f>
        <v/>
      </c>
      <c r="K1971" s="23" t="str">
        <f aca="false">IF(A1971="","",IF(AND(I1971="Sí",J1971="Sí"),"Sí","No"))</f>
        <v/>
      </c>
    </row>
    <row r="1972" customFormat="false" ht="15" hidden="false" customHeight="false" outlineLevel="0" collapsed="false">
      <c r="A1972" s="22"/>
      <c r="B1972" s="22"/>
      <c r="C1972" s="26" t="str">
        <f aca="false">IF(A1972="","",IFERROR(buscarx(A1972&amp;B1972,DATA!$E$3:$E$10000&amp;DATA!$B$3:$B$10000,DATA!$M$3:$M$10000),"No encontrado"))</f>
        <v/>
      </c>
      <c r="D1972" s="27" t="str">
        <f aca="false">IF(A1972="","",IFERROR(buscarx(A1972&amp;B1972,DATA!$E$3:$E$10000&amp;DATA!$B$3:$B$10000,DATA!$W$3:$W$10000),"No encontrado"))</f>
        <v/>
      </c>
      <c r="E1972" s="22"/>
      <c r="F1972" s="26" t="str">
        <f aca="false">IF(A1972="","",IFERROR(buscarx(A1972&amp;E1972,DATA!$E$3:$E$10000&amp;DATA!$B$3:$B$10000,DATA!$M$3:$M$10000),"Inactivo"))</f>
        <v/>
      </c>
      <c r="G1972" s="28" t="str">
        <f aca="false">IF(A1972="","",IF(AND(C1972&lt;&gt;"No encontrado",F1972&lt;&gt;"Inactivo"),C1972&amp;" → "&amp;F1972,"Sin transición"))</f>
        <v/>
      </c>
      <c r="H1972" s="26" t="str">
        <f aca="false">IF(A1972="","",IF(D1972="GCIA LINEA SERVICIO DIGITALIDAD Y VENTAS","Chats",IF(OR(D1972="GERENCIA INBOUND LÍNEAS SERVICIO Y VENTA",D1972="GERENCIA INBOUND LINEAS ESPECIALIZADAS"),"Llamadas","Otro")))</f>
        <v/>
      </c>
      <c r="I1972" s="26" t="str">
        <f aca="false">IF(A1972="","",IF(C1972="No encontrado","No","Sí"))</f>
        <v/>
      </c>
      <c r="J1972" s="26" t="str">
        <f aca="false">IF(A1972="","",IF(F1972="Inactivo","No","Sí"))</f>
        <v/>
      </c>
      <c r="K1972" s="26" t="str">
        <f aca="false">IF(A1972="","",IF(AND(I1972="Sí",J1972="Sí"),"Sí","No"))</f>
        <v/>
      </c>
    </row>
    <row r="1973" customFormat="false" ht="15" hidden="false" customHeight="false" outlineLevel="0" collapsed="false">
      <c r="A1973" s="22"/>
      <c r="B1973" s="22"/>
      <c r="C1973" s="23" t="str">
        <f aca="false">IF(A1973="","",IFERROR(buscarx(A1973&amp;B1973,DATA!$E$3:$E$10000&amp;DATA!$B$3:$B$10000,DATA!$M$3:$M$10000),"No encontrado"))</f>
        <v/>
      </c>
      <c r="D1973" s="24" t="str">
        <f aca="false">IF(A1973="","",IFERROR(buscarx(A1973&amp;B1973,DATA!$E$3:$E$10000&amp;DATA!$B$3:$B$10000,DATA!$W$3:$W$10000),"No encontrado"))</f>
        <v/>
      </c>
      <c r="E1973" s="22"/>
      <c r="F1973" s="23" t="str">
        <f aca="false">IF(A1973="","",IFERROR(buscarx(A1973&amp;E1973,DATA!$E$3:$E$10000&amp;DATA!$B$3:$B$10000,DATA!$M$3:$M$10000),"Inactivo"))</f>
        <v/>
      </c>
      <c r="G1973" s="25" t="str">
        <f aca="false">IF(A1973="","",IF(AND(C1973&lt;&gt;"No encontrado",F1973&lt;&gt;"Inactivo"),C1973&amp;" → "&amp;F1973,"Sin transición"))</f>
        <v/>
      </c>
      <c r="H1973" s="23" t="str">
        <f aca="false">IF(A1973="","",IF(D1973="GCIA LINEA SERVICIO DIGITALIDAD Y VENTAS","Chats",IF(OR(D1973="GERENCIA INBOUND LÍNEAS SERVICIO Y VENTA",D1973="GERENCIA INBOUND LINEAS ESPECIALIZADAS"),"Llamadas","Otro")))</f>
        <v/>
      </c>
      <c r="I1973" s="23" t="str">
        <f aca="false">IF(A1973="","",IF(C1973="No encontrado","No","Sí"))</f>
        <v/>
      </c>
      <c r="J1973" s="23" t="str">
        <f aca="false">IF(A1973="","",IF(F1973="Inactivo","No","Sí"))</f>
        <v/>
      </c>
      <c r="K1973" s="23" t="str">
        <f aca="false">IF(A1973="","",IF(AND(I1973="Sí",J1973="Sí"),"Sí","No"))</f>
        <v/>
      </c>
    </row>
    <row r="1974" customFormat="false" ht="15" hidden="false" customHeight="false" outlineLevel="0" collapsed="false">
      <c r="A1974" s="22"/>
      <c r="B1974" s="22"/>
      <c r="C1974" s="26" t="str">
        <f aca="false">IF(A1974="","",IFERROR(buscarx(A1974&amp;B1974,DATA!$E$3:$E$10000&amp;DATA!$B$3:$B$10000,DATA!$M$3:$M$10000),"No encontrado"))</f>
        <v/>
      </c>
      <c r="D1974" s="27" t="str">
        <f aca="false">IF(A1974="","",IFERROR(buscarx(A1974&amp;B1974,DATA!$E$3:$E$10000&amp;DATA!$B$3:$B$10000,DATA!$W$3:$W$10000),"No encontrado"))</f>
        <v/>
      </c>
      <c r="E1974" s="22"/>
      <c r="F1974" s="26" t="str">
        <f aca="false">IF(A1974="","",IFERROR(buscarx(A1974&amp;E1974,DATA!$E$3:$E$10000&amp;DATA!$B$3:$B$10000,DATA!$M$3:$M$10000),"Inactivo"))</f>
        <v/>
      </c>
      <c r="G1974" s="28" t="str">
        <f aca="false">IF(A1974="","",IF(AND(C1974&lt;&gt;"No encontrado",F1974&lt;&gt;"Inactivo"),C1974&amp;" → "&amp;F1974,"Sin transición"))</f>
        <v/>
      </c>
      <c r="H1974" s="26" t="str">
        <f aca="false">IF(A1974="","",IF(D1974="GCIA LINEA SERVICIO DIGITALIDAD Y VENTAS","Chats",IF(OR(D1974="GERENCIA INBOUND LÍNEAS SERVICIO Y VENTA",D1974="GERENCIA INBOUND LINEAS ESPECIALIZADAS"),"Llamadas","Otro")))</f>
        <v/>
      </c>
      <c r="I1974" s="26" t="str">
        <f aca="false">IF(A1974="","",IF(C1974="No encontrado","No","Sí"))</f>
        <v/>
      </c>
      <c r="J1974" s="26" t="str">
        <f aca="false">IF(A1974="","",IF(F1974="Inactivo","No","Sí"))</f>
        <v/>
      </c>
      <c r="K1974" s="26" t="str">
        <f aca="false">IF(A1974="","",IF(AND(I1974="Sí",J1974="Sí"),"Sí","No"))</f>
        <v/>
      </c>
    </row>
    <row r="1975" customFormat="false" ht="15" hidden="false" customHeight="false" outlineLevel="0" collapsed="false">
      <c r="A1975" s="22"/>
      <c r="B1975" s="22"/>
      <c r="C1975" s="23" t="str">
        <f aca="false">IF(A1975="","",IFERROR(buscarx(A1975&amp;B1975,DATA!$E$3:$E$10000&amp;DATA!$B$3:$B$10000,DATA!$M$3:$M$10000),"No encontrado"))</f>
        <v/>
      </c>
      <c r="D1975" s="24" t="str">
        <f aca="false">IF(A1975="","",IFERROR(buscarx(A1975&amp;B1975,DATA!$E$3:$E$10000&amp;DATA!$B$3:$B$10000,DATA!$W$3:$W$10000),"No encontrado"))</f>
        <v/>
      </c>
      <c r="E1975" s="22"/>
      <c r="F1975" s="23" t="str">
        <f aca="false">IF(A1975="","",IFERROR(buscarx(A1975&amp;E1975,DATA!$E$3:$E$10000&amp;DATA!$B$3:$B$10000,DATA!$M$3:$M$10000),"Inactivo"))</f>
        <v/>
      </c>
      <c r="G1975" s="25" t="str">
        <f aca="false">IF(A1975="","",IF(AND(C1975&lt;&gt;"No encontrado",F1975&lt;&gt;"Inactivo"),C1975&amp;" → "&amp;F1975,"Sin transición"))</f>
        <v/>
      </c>
      <c r="H1975" s="23" t="str">
        <f aca="false">IF(A1975="","",IF(D1975="GCIA LINEA SERVICIO DIGITALIDAD Y VENTAS","Chats",IF(OR(D1975="GERENCIA INBOUND LÍNEAS SERVICIO Y VENTA",D1975="GERENCIA INBOUND LINEAS ESPECIALIZADAS"),"Llamadas","Otro")))</f>
        <v/>
      </c>
      <c r="I1975" s="23" t="str">
        <f aca="false">IF(A1975="","",IF(C1975="No encontrado","No","Sí"))</f>
        <v/>
      </c>
      <c r="J1975" s="23" t="str">
        <f aca="false">IF(A1975="","",IF(F1975="Inactivo","No","Sí"))</f>
        <v/>
      </c>
      <c r="K1975" s="23" t="str">
        <f aca="false">IF(A1975="","",IF(AND(I1975="Sí",J1975="Sí"),"Sí","No"))</f>
        <v/>
      </c>
    </row>
    <row r="1976" customFormat="false" ht="15" hidden="false" customHeight="false" outlineLevel="0" collapsed="false">
      <c r="A1976" s="22"/>
      <c r="B1976" s="22"/>
      <c r="C1976" s="26" t="str">
        <f aca="false">IF(A1976="","",IFERROR(buscarx(A1976&amp;B1976,DATA!$E$3:$E$10000&amp;DATA!$B$3:$B$10000,DATA!$M$3:$M$10000),"No encontrado"))</f>
        <v/>
      </c>
      <c r="D1976" s="27" t="str">
        <f aca="false">IF(A1976="","",IFERROR(buscarx(A1976&amp;B1976,DATA!$E$3:$E$10000&amp;DATA!$B$3:$B$10000,DATA!$W$3:$W$10000),"No encontrado"))</f>
        <v/>
      </c>
      <c r="E1976" s="22"/>
      <c r="F1976" s="26" t="str">
        <f aca="false">IF(A1976="","",IFERROR(buscarx(A1976&amp;E1976,DATA!$E$3:$E$10000&amp;DATA!$B$3:$B$10000,DATA!$M$3:$M$10000),"Inactivo"))</f>
        <v/>
      </c>
      <c r="G1976" s="28" t="str">
        <f aca="false">IF(A1976="","",IF(AND(C1976&lt;&gt;"No encontrado",F1976&lt;&gt;"Inactivo"),C1976&amp;" → "&amp;F1976,"Sin transición"))</f>
        <v/>
      </c>
      <c r="H1976" s="26" t="str">
        <f aca="false">IF(A1976="","",IF(D1976="GCIA LINEA SERVICIO DIGITALIDAD Y VENTAS","Chats",IF(OR(D1976="GERENCIA INBOUND LÍNEAS SERVICIO Y VENTA",D1976="GERENCIA INBOUND LINEAS ESPECIALIZADAS"),"Llamadas","Otro")))</f>
        <v/>
      </c>
      <c r="I1976" s="26" t="str">
        <f aca="false">IF(A1976="","",IF(C1976="No encontrado","No","Sí"))</f>
        <v/>
      </c>
      <c r="J1976" s="26" t="str">
        <f aca="false">IF(A1976="","",IF(F1976="Inactivo","No","Sí"))</f>
        <v/>
      </c>
      <c r="K1976" s="26" t="str">
        <f aca="false">IF(A1976="","",IF(AND(I1976="Sí",J1976="Sí"),"Sí","No"))</f>
        <v/>
      </c>
    </row>
    <row r="1977" customFormat="false" ht="15" hidden="false" customHeight="false" outlineLevel="0" collapsed="false">
      <c r="A1977" s="22"/>
      <c r="B1977" s="22"/>
      <c r="C1977" s="23" t="str">
        <f aca="false">IF(A1977="","",IFERROR(buscarx(A1977&amp;B1977,DATA!$E$3:$E$10000&amp;DATA!$B$3:$B$10000,DATA!$M$3:$M$10000),"No encontrado"))</f>
        <v/>
      </c>
      <c r="D1977" s="24" t="str">
        <f aca="false">IF(A1977="","",IFERROR(buscarx(A1977&amp;B1977,DATA!$E$3:$E$10000&amp;DATA!$B$3:$B$10000,DATA!$W$3:$W$10000),"No encontrado"))</f>
        <v/>
      </c>
      <c r="E1977" s="22"/>
      <c r="F1977" s="23" t="str">
        <f aca="false">IF(A1977="","",IFERROR(buscarx(A1977&amp;E1977,DATA!$E$3:$E$10000&amp;DATA!$B$3:$B$10000,DATA!$M$3:$M$10000),"Inactivo"))</f>
        <v/>
      </c>
      <c r="G1977" s="25" t="str">
        <f aca="false">IF(A1977="","",IF(AND(C1977&lt;&gt;"No encontrado",F1977&lt;&gt;"Inactivo"),C1977&amp;" → "&amp;F1977,"Sin transición"))</f>
        <v/>
      </c>
      <c r="H1977" s="23" t="str">
        <f aca="false">IF(A1977="","",IF(D1977="GCIA LINEA SERVICIO DIGITALIDAD Y VENTAS","Chats",IF(OR(D1977="GERENCIA INBOUND LÍNEAS SERVICIO Y VENTA",D1977="GERENCIA INBOUND LINEAS ESPECIALIZADAS"),"Llamadas","Otro")))</f>
        <v/>
      </c>
      <c r="I1977" s="23" t="str">
        <f aca="false">IF(A1977="","",IF(C1977="No encontrado","No","Sí"))</f>
        <v/>
      </c>
      <c r="J1977" s="23" t="str">
        <f aca="false">IF(A1977="","",IF(F1977="Inactivo","No","Sí"))</f>
        <v/>
      </c>
      <c r="K1977" s="23" t="str">
        <f aca="false">IF(A1977="","",IF(AND(I1977="Sí",J1977="Sí"),"Sí","No"))</f>
        <v/>
      </c>
    </row>
    <row r="1978" customFormat="false" ht="15" hidden="false" customHeight="false" outlineLevel="0" collapsed="false">
      <c r="A1978" s="22"/>
      <c r="B1978" s="22"/>
      <c r="C1978" s="26" t="str">
        <f aca="false">IF(A1978="","",IFERROR(buscarx(A1978&amp;B1978,DATA!$E$3:$E$10000&amp;DATA!$B$3:$B$10000,DATA!$M$3:$M$10000),"No encontrado"))</f>
        <v/>
      </c>
      <c r="D1978" s="27" t="str">
        <f aca="false">IF(A1978="","",IFERROR(buscarx(A1978&amp;B1978,DATA!$E$3:$E$10000&amp;DATA!$B$3:$B$10000,DATA!$W$3:$W$10000),"No encontrado"))</f>
        <v/>
      </c>
      <c r="E1978" s="22"/>
      <c r="F1978" s="26" t="str">
        <f aca="false">IF(A1978="","",IFERROR(buscarx(A1978&amp;E1978,DATA!$E$3:$E$10000&amp;DATA!$B$3:$B$10000,DATA!$M$3:$M$10000),"Inactivo"))</f>
        <v/>
      </c>
      <c r="G1978" s="28" t="str">
        <f aca="false">IF(A1978="","",IF(AND(C1978&lt;&gt;"No encontrado",F1978&lt;&gt;"Inactivo"),C1978&amp;" → "&amp;F1978,"Sin transición"))</f>
        <v/>
      </c>
      <c r="H1978" s="26" t="str">
        <f aca="false">IF(A1978="","",IF(D1978="GCIA LINEA SERVICIO DIGITALIDAD Y VENTAS","Chats",IF(OR(D1978="GERENCIA INBOUND LÍNEAS SERVICIO Y VENTA",D1978="GERENCIA INBOUND LINEAS ESPECIALIZADAS"),"Llamadas","Otro")))</f>
        <v/>
      </c>
      <c r="I1978" s="26" t="str">
        <f aca="false">IF(A1978="","",IF(C1978="No encontrado","No","Sí"))</f>
        <v/>
      </c>
      <c r="J1978" s="26" t="str">
        <f aca="false">IF(A1978="","",IF(F1978="Inactivo","No","Sí"))</f>
        <v/>
      </c>
      <c r="K1978" s="26" t="str">
        <f aca="false">IF(A1978="","",IF(AND(I1978="Sí",J1978="Sí"),"Sí","No"))</f>
        <v/>
      </c>
    </row>
    <row r="1979" customFormat="false" ht="15" hidden="false" customHeight="false" outlineLevel="0" collapsed="false">
      <c r="A1979" s="22"/>
      <c r="B1979" s="22"/>
      <c r="C1979" s="23" t="str">
        <f aca="false">IF(A1979="","",IFERROR(buscarx(A1979&amp;B1979,DATA!$E$3:$E$10000&amp;DATA!$B$3:$B$10000,DATA!$M$3:$M$10000),"No encontrado"))</f>
        <v/>
      </c>
      <c r="D1979" s="24" t="str">
        <f aca="false">IF(A1979="","",IFERROR(buscarx(A1979&amp;B1979,DATA!$E$3:$E$10000&amp;DATA!$B$3:$B$10000,DATA!$W$3:$W$10000),"No encontrado"))</f>
        <v/>
      </c>
      <c r="E1979" s="22"/>
      <c r="F1979" s="23" t="str">
        <f aca="false">IF(A1979="","",IFERROR(buscarx(A1979&amp;E1979,DATA!$E$3:$E$10000&amp;DATA!$B$3:$B$10000,DATA!$M$3:$M$10000),"Inactivo"))</f>
        <v/>
      </c>
      <c r="G1979" s="25" t="str">
        <f aca="false">IF(A1979="","",IF(AND(C1979&lt;&gt;"No encontrado",F1979&lt;&gt;"Inactivo"),C1979&amp;" → "&amp;F1979,"Sin transición"))</f>
        <v/>
      </c>
      <c r="H1979" s="23" t="str">
        <f aca="false">IF(A1979="","",IF(D1979="GCIA LINEA SERVICIO DIGITALIDAD Y VENTAS","Chats",IF(OR(D1979="GERENCIA INBOUND LÍNEAS SERVICIO Y VENTA",D1979="GERENCIA INBOUND LINEAS ESPECIALIZADAS"),"Llamadas","Otro")))</f>
        <v/>
      </c>
      <c r="I1979" s="23" t="str">
        <f aca="false">IF(A1979="","",IF(C1979="No encontrado","No","Sí"))</f>
        <v/>
      </c>
      <c r="J1979" s="23" t="str">
        <f aca="false">IF(A1979="","",IF(F1979="Inactivo","No","Sí"))</f>
        <v/>
      </c>
      <c r="K1979" s="23" t="str">
        <f aca="false">IF(A1979="","",IF(AND(I1979="Sí",J1979="Sí"),"Sí","No"))</f>
        <v/>
      </c>
    </row>
    <row r="1980" customFormat="false" ht="15" hidden="false" customHeight="false" outlineLevel="0" collapsed="false">
      <c r="A1980" s="22"/>
      <c r="B1980" s="22"/>
      <c r="C1980" s="26" t="str">
        <f aca="false">IF(A1980="","",IFERROR(buscarx(A1980&amp;B1980,DATA!$E$3:$E$10000&amp;DATA!$B$3:$B$10000,DATA!$M$3:$M$10000),"No encontrado"))</f>
        <v/>
      </c>
      <c r="D1980" s="27" t="str">
        <f aca="false">IF(A1980="","",IFERROR(buscarx(A1980&amp;B1980,DATA!$E$3:$E$10000&amp;DATA!$B$3:$B$10000,DATA!$W$3:$W$10000),"No encontrado"))</f>
        <v/>
      </c>
      <c r="E1980" s="22"/>
      <c r="F1980" s="26" t="str">
        <f aca="false">IF(A1980="","",IFERROR(buscarx(A1980&amp;E1980,DATA!$E$3:$E$10000&amp;DATA!$B$3:$B$10000,DATA!$M$3:$M$10000),"Inactivo"))</f>
        <v/>
      </c>
      <c r="G1980" s="28" t="str">
        <f aca="false">IF(A1980="","",IF(AND(C1980&lt;&gt;"No encontrado",F1980&lt;&gt;"Inactivo"),C1980&amp;" → "&amp;F1980,"Sin transición"))</f>
        <v/>
      </c>
      <c r="H1980" s="26" t="str">
        <f aca="false">IF(A1980="","",IF(D1980="GCIA LINEA SERVICIO DIGITALIDAD Y VENTAS","Chats",IF(OR(D1980="GERENCIA INBOUND LÍNEAS SERVICIO Y VENTA",D1980="GERENCIA INBOUND LINEAS ESPECIALIZADAS"),"Llamadas","Otro")))</f>
        <v/>
      </c>
      <c r="I1980" s="26" t="str">
        <f aca="false">IF(A1980="","",IF(C1980="No encontrado","No","Sí"))</f>
        <v/>
      </c>
      <c r="J1980" s="26" t="str">
        <f aca="false">IF(A1980="","",IF(F1980="Inactivo","No","Sí"))</f>
        <v/>
      </c>
      <c r="K1980" s="26" t="str">
        <f aca="false">IF(A1980="","",IF(AND(I1980="Sí",J1980="Sí"),"Sí","No"))</f>
        <v/>
      </c>
    </row>
    <row r="1981" customFormat="false" ht="15" hidden="false" customHeight="false" outlineLevel="0" collapsed="false">
      <c r="A1981" s="22"/>
      <c r="B1981" s="22"/>
      <c r="C1981" s="23" t="str">
        <f aca="false">IF(A1981="","",IFERROR(buscarx(A1981&amp;B1981,DATA!$E$3:$E$10000&amp;DATA!$B$3:$B$10000,DATA!$M$3:$M$10000),"No encontrado"))</f>
        <v/>
      </c>
      <c r="D1981" s="24" t="str">
        <f aca="false">IF(A1981="","",IFERROR(buscarx(A1981&amp;B1981,DATA!$E$3:$E$10000&amp;DATA!$B$3:$B$10000,DATA!$W$3:$W$10000),"No encontrado"))</f>
        <v/>
      </c>
      <c r="E1981" s="22"/>
      <c r="F1981" s="23" t="str">
        <f aca="false">IF(A1981="","",IFERROR(buscarx(A1981&amp;E1981,DATA!$E$3:$E$10000&amp;DATA!$B$3:$B$10000,DATA!$M$3:$M$10000),"Inactivo"))</f>
        <v/>
      </c>
      <c r="G1981" s="25" t="str">
        <f aca="false">IF(A1981="","",IF(AND(C1981&lt;&gt;"No encontrado",F1981&lt;&gt;"Inactivo"),C1981&amp;" → "&amp;F1981,"Sin transición"))</f>
        <v/>
      </c>
      <c r="H1981" s="23" t="str">
        <f aca="false">IF(A1981="","",IF(D1981="GCIA LINEA SERVICIO DIGITALIDAD Y VENTAS","Chats",IF(OR(D1981="GERENCIA INBOUND LÍNEAS SERVICIO Y VENTA",D1981="GERENCIA INBOUND LINEAS ESPECIALIZADAS"),"Llamadas","Otro")))</f>
        <v/>
      </c>
      <c r="I1981" s="23" t="str">
        <f aca="false">IF(A1981="","",IF(C1981="No encontrado","No","Sí"))</f>
        <v/>
      </c>
      <c r="J1981" s="23" t="str">
        <f aca="false">IF(A1981="","",IF(F1981="Inactivo","No","Sí"))</f>
        <v/>
      </c>
      <c r="K1981" s="23" t="str">
        <f aca="false">IF(A1981="","",IF(AND(I1981="Sí",J1981="Sí"),"Sí","No"))</f>
        <v/>
      </c>
    </row>
    <row r="1982" customFormat="false" ht="15" hidden="false" customHeight="false" outlineLevel="0" collapsed="false">
      <c r="A1982" s="22"/>
      <c r="B1982" s="22"/>
      <c r="C1982" s="26" t="str">
        <f aca="false">IF(A1982="","",IFERROR(buscarx(A1982&amp;B1982,DATA!$E$3:$E$10000&amp;DATA!$B$3:$B$10000,DATA!$M$3:$M$10000),"No encontrado"))</f>
        <v/>
      </c>
      <c r="D1982" s="27" t="str">
        <f aca="false">IF(A1982="","",IFERROR(buscarx(A1982&amp;B1982,DATA!$E$3:$E$10000&amp;DATA!$B$3:$B$10000,DATA!$W$3:$W$10000),"No encontrado"))</f>
        <v/>
      </c>
      <c r="E1982" s="22"/>
      <c r="F1982" s="26" t="str">
        <f aca="false">IF(A1982="","",IFERROR(buscarx(A1982&amp;E1982,DATA!$E$3:$E$10000&amp;DATA!$B$3:$B$10000,DATA!$M$3:$M$10000),"Inactivo"))</f>
        <v/>
      </c>
      <c r="G1982" s="28" t="str">
        <f aca="false">IF(A1982="","",IF(AND(C1982&lt;&gt;"No encontrado",F1982&lt;&gt;"Inactivo"),C1982&amp;" → "&amp;F1982,"Sin transición"))</f>
        <v/>
      </c>
      <c r="H1982" s="26" t="str">
        <f aca="false">IF(A1982="","",IF(D1982="GCIA LINEA SERVICIO DIGITALIDAD Y VENTAS","Chats",IF(OR(D1982="GERENCIA INBOUND LÍNEAS SERVICIO Y VENTA",D1982="GERENCIA INBOUND LINEAS ESPECIALIZADAS"),"Llamadas","Otro")))</f>
        <v/>
      </c>
      <c r="I1982" s="26" t="str">
        <f aca="false">IF(A1982="","",IF(C1982="No encontrado","No","Sí"))</f>
        <v/>
      </c>
      <c r="J1982" s="26" t="str">
        <f aca="false">IF(A1982="","",IF(F1982="Inactivo","No","Sí"))</f>
        <v/>
      </c>
      <c r="K1982" s="26" t="str">
        <f aca="false">IF(A1982="","",IF(AND(I1982="Sí",J1982="Sí"),"Sí","No"))</f>
        <v/>
      </c>
    </row>
    <row r="1983" customFormat="false" ht="15" hidden="false" customHeight="false" outlineLevel="0" collapsed="false">
      <c r="A1983" s="22"/>
      <c r="B1983" s="22"/>
      <c r="C1983" s="23" t="str">
        <f aca="false">IF(A1983="","",IFERROR(buscarx(A1983&amp;B1983,DATA!$E$3:$E$10000&amp;DATA!$B$3:$B$10000,DATA!$M$3:$M$10000),"No encontrado"))</f>
        <v/>
      </c>
      <c r="D1983" s="24" t="str">
        <f aca="false">IF(A1983="","",IFERROR(buscarx(A1983&amp;B1983,DATA!$E$3:$E$10000&amp;DATA!$B$3:$B$10000,DATA!$W$3:$W$10000),"No encontrado"))</f>
        <v/>
      </c>
      <c r="E1983" s="22"/>
      <c r="F1983" s="23" t="str">
        <f aca="false">IF(A1983="","",IFERROR(buscarx(A1983&amp;E1983,DATA!$E$3:$E$10000&amp;DATA!$B$3:$B$10000,DATA!$M$3:$M$10000),"Inactivo"))</f>
        <v/>
      </c>
      <c r="G1983" s="25" t="str">
        <f aca="false">IF(A1983="","",IF(AND(C1983&lt;&gt;"No encontrado",F1983&lt;&gt;"Inactivo"),C1983&amp;" → "&amp;F1983,"Sin transición"))</f>
        <v/>
      </c>
      <c r="H1983" s="23" t="str">
        <f aca="false">IF(A1983="","",IF(D1983="GCIA LINEA SERVICIO DIGITALIDAD Y VENTAS","Chats",IF(OR(D1983="GERENCIA INBOUND LÍNEAS SERVICIO Y VENTA",D1983="GERENCIA INBOUND LINEAS ESPECIALIZADAS"),"Llamadas","Otro")))</f>
        <v/>
      </c>
      <c r="I1983" s="23" t="str">
        <f aca="false">IF(A1983="","",IF(C1983="No encontrado","No","Sí"))</f>
        <v/>
      </c>
      <c r="J1983" s="23" t="str">
        <f aca="false">IF(A1983="","",IF(F1983="Inactivo","No","Sí"))</f>
        <v/>
      </c>
      <c r="K1983" s="23" t="str">
        <f aca="false">IF(A1983="","",IF(AND(I1983="Sí",J1983="Sí"),"Sí","No"))</f>
        <v/>
      </c>
    </row>
    <row r="1984" customFormat="false" ht="15" hidden="false" customHeight="false" outlineLevel="0" collapsed="false">
      <c r="A1984" s="22"/>
      <c r="B1984" s="22"/>
      <c r="C1984" s="26" t="str">
        <f aca="false">IF(A1984="","",IFERROR(buscarx(A1984&amp;B1984,DATA!$E$3:$E$10000&amp;DATA!$B$3:$B$10000,DATA!$M$3:$M$10000),"No encontrado"))</f>
        <v/>
      </c>
      <c r="D1984" s="27" t="str">
        <f aca="false">IF(A1984="","",IFERROR(buscarx(A1984&amp;B1984,DATA!$E$3:$E$10000&amp;DATA!$B$3:$B$10000,DATA!$W$3:$W$10000),"No encontrado"))</f>
        <v/>
      </c>
      <c r="E1984" s="22"/>
      <c r="F1984" s="26" t="str">
        <f aca="false">IF(A1984="","",IFERROR(buscarx(A1984&amp;E1984,DATA!$E$3:$E$10000&amp;DATA!$B$3:$B$10000,DATA!$M$3:$M$10000),"Inactivo"))</f>
        <v/>
      </c>
      <c r="G1984" s="28" t="str">
        <f aca="false">IF(A1984="","",IF(AND(C1984&lt;&gt;"No encontrado",F1984&lt;&gt;"Inactivo"),C1984&amp;" → "&amp;F1984,"Sin transición"))</f>
        <v/>
      </c>
      <c r="H1984" s="26" t="str">
        <f aca="false">IF(A1984="","",IF(D1984="GCIA LINEA SERVICIO DIGITALIDAD Y VENTAS","Chats",IF(OR(D1984="GERENCIA INBOUND LÍNEAS SERVICIO Y VENTA",D1984="GERENCIA INBOUND LINEAS ESPECIALIZADAS"),"Llamadas","Otro")))</f>
        <v/>
      </c>
      <c r="I1984" s="26" t="str">
        <f aca="false">IF(A1984="","",IF(C1984="No encontrado","No","Sí"))</f>
        <v/>
      </c>
      <c r="J1984" s="26" t="str">
        <f aca="false">IF(A1984="","",IF(F1984="Inactivo","No","Sí"))</f>
        <v/>
      </c>
      <c r="K1984" s="26" t="str">
        <f aca="false">IF(A1984="","",IF(AND(I1984="Sí",J1984="Sí"),"Sí","No"))</f>
        <v/>
      </c>
    </row>
    <row r="1985" customFormat="false" ht="15" hidden="false" customHeight="false" outlineLevel="0" collapsed="false">
      <c r="A1985" s="22"/>
      <c r="B1985" s="22"/>
      <c r="C1985" s="23" t="str">
        <f aca="false">IF(A1985="","",IFERROR(buscarx(A1985&amp;B1985,DATA!$E$3:$E$10000&amp;DATA!$B$3:$B$10000,DATA!$M$3:$M$10000),"No encontrado"))</f>
        <v/>
      </c>
      <c r="D1985" s="24" t="str">
        <f aca="false">IF(A1985="","",IFERROR(buscarx(A1985&amp;B1985,DATA!$E$3:$E$10000&amp;DATA!$B$3:$B$10000,DATA!$W$3:$W$10000),"No encontrado"))</f>
        <v/>
      </c>
      <c r="E1985" s="22"/>
      <c r="F1985" s="23" t="str">
        <f aca="false">IF(A1985="","",IFERROR(buscarx(A1985&amp;E1985,DATA!$E$3:$E$10000&amp;DATA!$B$3:$B$10000,DATA!$M$3:$M$10000),"Inactivo"))</f>
        <v/>
      </c>
      <c r="G1985" s="25" t="str">
        <f aca="false">IF(A1985="","",IF(AND(C1985&lt;&gt;"No encontrado",F1985&lt;&gt;"Inactivo"),C1985&amp;" → "&amp;F1985,"Sin transición"))</f>
        <v/>
      </c>
      <c r="H1985" s="23" t="str">
        <f aca="false">IF(A1985="","",IF(D1985="GCIA LINEA SERVICIO DIGITALIDAD Y VENTAS","Chats",IF(OR(D1985="GERENCIA INBOUND LÍNEAS SERVICIO Y VENTA",D1985="GERENCIA INBOUND LINEAS ESPECIALIZADAS"),"Llamadas","Otro")))</f>
        <v/>
      </c>
      <c r="I1985" s="23" t="str">
        <f aca="false">IF(A1985="","",IF(C1985="No encontrado","No","Sí"))</f>
        <v/>
      </c>
      <c r="J1985" s="23" t="str">
        <f aca="false">IF(A1985="","",IF(F1985="Inactivo","No","Sí"))</f>
        <v/>
      </c>
      <c r="K1985" s="23" t="str">
        <f aca="false">IF(A1985="","",IF(AND(I1985="Sí",J1985="Sí"),"Sí","No"))</f>
        <v/>
      </c>
    </row>
    <row r="1986" customFormat="false" ht="15" hidden="false" customHeight="false" outlineLevel="0" collapsed="false">
      <c r="A1986" s="22"/>
      <c r="B1986" s="22"/>
      <c r="C1986" s="26" t="str">
        <f aca="false">IF(A1986="","",IFERROR(buscarx(A1986&amp;B1986,DATA!$E$3:$E$10000&amp;DATA!$B$3:$B$10000,DATA!$M$3:$M$10000),"No encontrado"))</f>
        <v/>
      </c>
      <c r="D1986" s="27" t="str">
        <f aca="false">IF(A1986="","",IFERROR(buscarx(A1986&amp;B1986,DATA!$E$3:$E$10000&amp;DATA!$B$3:$B$10000,DATA!$W$3:$W$10000),"No encontrado"))</f>
        <v/>
      </c>
      <c r="E1986" s="22"/>
      <c r="F1986" s="26" t="str">
        <f aca="false">IF(A1986="","",IFERROR(buscarx(A1986&amp;E1986,DATA!$E$3:$E$10000&amp;DATA!$B$3:$B$10000,DATA!$M$3:$M$10000),"Inactivo"))</f>
        <v/>
      </c>
      <c r="G1986" s="28" t="str">
        <f aca="false">IF(A1986="","",IF(AND(C1986&lt;&gt;"No encontrado",F1986&lt;&gt;"Inactivo"),C1986&amp;" → "&amp;F1986,"Sin transición"))</f>
        <v/>
      </c>
      <c r="H1986" s="26" t="str">
        <f aca="false">IF(A1986="","",IF(D1986="GCIA LINEA SERVICIO DIGITALIDAD Y VENTAS","Chats",IF(OR(D1986="GERENCIA INBOUND LÍNEAS SERVICIO Y VENTA",D1986="GERENCIA INBOUND LINEAS ESPECIALIZADAS"),"Llamadas","Otro")))</f>
        <v/>
      </c>
      <c r="I1986" s="26" t="str">
        <f aca="false">IF(A1986="","",IF(C1986="No encontrado","No","Sí"))</f>
        <v/>
      </c>
      <c r="J1986" s="26" t="str">
        <f aca="false">IF(A1986="","",IF(F1986="Inactivo","No","Sí"))</f>
        <v/>
      </c>
      <c r="K1986" s="26" t="str">
        <f aca="false">IF(A1986="","",IF(AND(I1986="Sí",J1986="Sí"),"Sí","No"))</f>
        <v/>
      </c>
    </row>
    <row r="1987" customFormat="false" ht="15" hidden="false" customHeight="false" outlineLevel="0" collapsed="false">
      <c r="A1987" s="22"/>
      <c r="B1987" s="22"/>
      <c r="C1987" s="23" t="str">
        <f aca="false">IF(A1987="","",IFERROR(buscarx(A1987&amp;B1987,DATA!$E$3:$E$10000&amp;DATA!$B$3:$B$10000,DATA!$M$3:$M$10000),"No encontrado"))</f>
        <v/>
      </c>
      <c r="D1987" s="24" t="str">
        <f aca="false">IF(A1987="","",IFERROR(buscarx(A1987&amp;B1987,DATA!$E$3:$E$10000&amp;DATA!$B$3:$B$10000,DATA!$W$3:$W$10000),"No encontrado"))</f>
        <v/>
      </c>
      <c r="E1987" s="22"/>
      <c r="F1987" s="23" t="str">
        <f aca="false">IF(A1987="","",IFERROR(buscarx(A1987&amp;E1987,DATA!$E$3:$E$10000&amp;DATA!$B$3:$B$10000,DATA!$M$3:$M$10000),"Inactivo"))</f>
        <v/>
      </c>
      <c r="G1987" s="25" t="str">
        <f aca="false">IF(A1987="","",IF(AND(C1987&lt;&gt;"No encontrado",F1987&lt;&gt;"Inactivo"),C1987&amp;" → "&amp;F1987,"Sin transición"))</f>
        <v/>
      </c>
      <c r="H1987" s="23" t="str">
        <f aca="false">IF(A1987="","",IF(D1987="GCIA LINEA SERVICIO DIGITALIDAD Y VENTAS","Chats",IF(OR(D1987="GERENCIA INBOUND LÍNEAS SERVICIO Y VENTA",D1987="GERENCIA INBOUND LINEAS ESPECIALIZADAS"),"Llamadas","Otro")))</f>
        <v/>
      </c>
      <c r="I1987" s="23" t="str">
        <f aca="false">IF(A1987="","",IF(C1987="No encontrado","No","Sí"))</f>
        <v/>
      </c>
      <c r="J1987" s="23" t="str">
        <f aca="false">IF(A1987="","",IF(F1987="Inactivo","No","Sí"))</f>
        <v/>
      </c>
      <c r="K1987" s="23" t="str">
        <f aca="false">IF(A1987="","",IF(AND(I1987="Sí",J1987="Sí"),"Sí","No"))</f>
        <v/>
      </c>
    </row>
    <row r="1988" customFormat="false" ht="15" hidden="false" customHeight="false" outlineLevel="0" collapsed="false">
      <c r="A1988" s="22"/>
      <c r="B1988" s="22"/>
      <c r="C1988" s="26" t="str">
        <f aca="false">IF(A1988="","",IFERROR(buscarx(A1988&amp;B1988,DATA!$E$3:$E$10000&amp;DATA!$B$3:$B$10000,DATA!$M$3:$M$10000),"No encontrado"))</f>
        <v/>
      </c>
      <c r="D1988" s="27" t="str">
        <f aca="false">IF(A1988="","",IFERROR(buscarx(A1988&amp;B1988,DATA!$E$3:$E$10000&amp;DATA!$B$3:$B$10000,DATA!$W$3:$W$10000),"No encontrado"))</f>
        <v/>
      </c>
      <c r="E1988" s="22"/>
      <c r="F1988" s="26" t="str">
        <f aca="false">IF(A1988="","",IFERROR(buscarx(A1988&amp;E1988,DATA!$E$3:$E$10000&amp;DATA!$B$3:$B$10000,DATA!$M$3:$M$10000),"Inactivo"))</f>
        <v/>
      </c>
      <c r="G1988" s="28" t="str">
        <f aca="false">IF(A1988="","",IF(AND(C1988&lt;&gt;"No encontrado",F1988&lt;&gt;"Inactivo"),C1988&amp;" → "&amp;F1988,"Sin transición"))</f>
        <v/>
      </c>
      <c r="H1988" s="26" t="str">
        <f aca="false">IF(A1988="","",IF(D1988="GCIA LINEA SERVICIO DIGITALIDAD Y VENTAS","Chats",IF(OR(D1988="GERENCIA INBOUND LÍNEAS SERVICIO Y VENTA",D1988="GERENCIA INBOUND LINEAS ESPECIALIZADAS"),"Llamadas","Otro")))</f>
        <v/>
      </c>
      <c r="I1988" s="26" t="str">
        <f aca="false">IF(A1988="","",IF(C1988="No encontrado","No","Sí"))</f>
        <v/>
      </c>
      <c r="J1988" s="26" t="str">
        <f aca="false">IF(A1988="","",IF(F1988="Inactivo","No","Sí"))</f>
        <v/>
      </c>
      <c r="K1988" s="26" t="str">
        <f aca="false">IF(A1988="","",IF(AND(I1988="Sí",J1988="Sí"),"Sí","No"))</f>
        <v/>
      </c>
    </row>
    <row r="1989" customFormat="false" ht="15" hidden="false" customHeight="false" outlineLevel="0" collapsed="false">
      <c r="A1989" s="22"/>
      <c r="B1989" s="22"/>
      <c r="C1989" s="23" t="str">
        <f aca="false">IF(A1989="","",IFERROR(buscarx(A1989&amp;B1989,DATA!$E$3:$E$10000&amp;DATA!$B$3:$B$10000,DATA!$M$3:$M$10000),"No encontrado"))</f>
        <v/>
      </c>
      <c r="D1989" s="24" t="str">
        <f aca="false">IF(A1989="","",IFERROR(buscarx(A1989&amp;B1989,DATA!$E$3:$E$10000&amp;DATA!$B$3:$B$10000,DATA!$W$3:$W$10000),"No encontrado"))</f>
        <v/>
      </c>
      <c r="E1989" s="22"/>
      <c r="F1989" s="23" t="str">
        <f aca="false">IF(A1989="","",IFERROR(buscarx(A1989&amp;E1989,DATA!$E$3:$E$10000&amp;DATA!$B$3:$B$10000,DATA!$M$3:$M$10000),"Inactivo"))</f>
        <v/>
      </c>
      <c r="G1989" s="25" t="str">
        <f aca="false">IF(A1989="","",IF(AND(C1989&lt;&gt;"No encontrado",F1989&lt;&gt;"Inactivo"),C1989&amp;" → "&amp;F1989,"Sin transición"))</f>
        <v/>
      </c>
      <c r="H1989" s="23" t="str">
        <f aca="false">IF(A1989="","",IF(D1989="GCIA LINEA SERVICIO DIGITALIDAD Y VENTAS","Chats",IF(OR(D1989="GERENCIA INBOUND LÍNEAS SERVICIO Y VENTA",D1989="GERENCIA INBOUND LINEAS ESPECIALIZADAS"),"Llamadas","Otro")))</f>
        <v/>
      </c>
      <c r="I1989" s="23" t="str">
        <f aca="false">IF(A1989="","",IF(C1989="No encontrado","No","Sí"))</f>
        <v/>
      </c>
      <c r="J1989" s="23" t="str">
        <f aca="false">IF(A1989="","",IF(F1989="Inactivo","No","Sí"))</f>
        <v/>
      </c>
      <c r="K1989" s="23" t="str">
        <f aca="false">IF(A1989="","",IF(AND(I1989="Sí",J1989="Sí"),"Sí","No"))</f>
        <v/>
      </c>
    </row>
    <row r="1990" customFormat="false" ht="15" hidden="false" customHeight="false" outlineLevel="0" collapsed="false">
      <c r="A1990" s="22"/>
      <c r="B1990" s="22"/>
      <c r="C1990" s="26" t="str">
        <f aca="false">IF(A1990="","",IFERROR(buscarx(A1990&amp;B1990,DATA!$E$3:$E$10000&amp;DATA!$B$3:$B$10000,DATA!$M$3:$M$10000),"No encontrado"))</f>
        <v/>
      </c>
      <c r="D1990" s="27" t="str">
        <f aca="false">IF(A1990="","",IFERROR(buscarx(A1990&amp;B1990,DATA!$E$3:$E$10000&amp;DATA!$B$3:$B$10000,DATA!$W$3:$W$10000),"No encontrado"))</f>
        <v/>
      </c>
      <c r="E1990" s="22"/>
      <c r="F1990" s="26" t="str">
        <f aca="false">IF(A1990="","",IFERROR(buscarx(A1990&amp;E1990,DATA!$E$3:$E$10000&amp;DATA!$B$3:$B$10000,DATA!$M$3:$M$10000),"Inactivo"))</f>
        <v/>
      </c>
      <c r="G1990" s="28" t="str">
        <f aca="false">IF(A1990="","",IF(AND(C1990&lt;&gt;"No encontrado",F1990&lt;&gt;"Inactivo"),C1990&amp;" → "&amp;F1990,"Sin transición"))</f>
        <v/>
      </c>
      <c r="H1990" s="26" t="str">
        <f aca="false">IF(A1990="","",IF(D1990="GCIA LINEA SERVICIO DIGITALIDAD Y VENTAS","Chats",IF(OR(D1990="GERENCIA INBOUND LÍNEAS SERVICIO Y VENTA",D1990="GERENCIA INBOUND LINEAS ESPECIALIZADAS"),"Llamadas","Otro")))</f>
        <v/>
      </c>
      <c r="I1990" s="26" t="str">
        <f aca="false">IF(A1990="","",IF(C1990="No encontrado","No","Sí"))</f>
        <v/>
      </c>
      <c r="J1990" s="26" t="str">
        <f aca="false">IF(A1990="","",IF(F1990="Inactivo","No","Sí"))</f>
        <v/>
      </c>
      <c r="K1990" s="26" t="str">
        <f aca="false">IF(A1990="","",IF(AND(I1990="Sí",J1990="Sí"),"Sí","No"))</f>
        <v/>
      </c>
    </row>
    <row r="1991" customFormat="false" ht="15" hidden="false" customHeight="false" outlineLevel="0" collapsed="false">
      <c r="A1991" s="22"/>
      <c r="B1991" s="22"/>
      <c r="C1991" s="23" t="str">
        <f aca="false">IF(A1991="","",IFERROR(buscarx(A1991&amp;B1991,DATA!$E$3:$E$10000&amp;DATA!$B$3:$B$10000,DATA!$M$3:$M$10000),"No encontrado"))</f>
        <v/>
      </c>
      <c r="D1991" s="24" t="str">
        <f aca="false">IF(A1991="","",IFERROR(buscarx(A1991&amp;B1991,DATA!$E$3:$E$10000&amp;DATA!$B$3:$B$10000,DATA!$W$3:$W$10000),"No encontrado"))</f>
        <v/>
      </c>
      <c r="E1991" s="22"/>
      <c r="F1991" s="23" t="str">
        <f aca="false">IF(A1991="","",IFERROR(buscarx(A1991&amp;E1991,DATA!$E$3:$E$10000&amp;DATA!$B$3:$B$10000,DATA!$M$3:$M$10000),"Inactivo"))</f>
        <v/>
      </c>
      <c r="G1991" s="25" t="str">
        <f aca="false">IF(A1991="","",IF(AND(C1991&lt;&gt;"No encontrado",F1991&lt;&gt;"Inactivo"),C1991&amp;" → "&amp;F1991,"Sin transición"))</f>
        <v/>
      </c>
      <c r="H1991" s="23" t="str">
        <f aca="false">IF(A1991="","",IF(D1991="GCIA LINEA SERVICIO DIGITALIDAD Y VENTAS","Chats",IF(OR(D1991="GERENCIA INBOUND LÍNEAS SERVICIO Y VENTA",D1991="GERENCIA INBOUND LINEAS ESPECIALIZADAS"),"Llamadas","Otro")))</f>
        <v/>
      </c>
      <c r="I1991" s="23" t="str">
        <f aca="false">IF(A1991="","",IF(C1991="No encontrado","No","Sí"))</f>
        <v/>
      </c>
      <c r="J1991" s="23" t="str">
        <f aca="false">IF(A1991="","",IF(F1991="Inactivo","No","Sí"))</f>
        <v/>
      </c>
      <c r="K1991" s="23" t="str">
        <f aca="false">IF(A1991="","",IF(AND(I1991="Sí",J1991="Sí"),"Sí","No"))</f>
        <v/>
      </c>
    </row>
    <row r="1992" customFormat="false" ht="15" hidden="false" customHeight="false" outlineLevel="0" collapsed="false">
      <c r="A1992" s="22"/>
      <c r="B1992" s="22"/>
      <c r="C1992" s="26" t="str">
        <f aca="false">IF(A1992="","",IFERROR(buscarx(A1992&amp;B1992,DATA!$E$3:$E$10000&amp;DATA!$B$3:$B$10000,DATA!$M$3:$M$10000),"No encontrado"))</f>
        <v/>
      </c>
      <c r="D1992" s="27" t="str">
        <f aca="false">IF(A1992="","",IFERROR(buscarx(A1992&amp;B1992,DATA!$E$3:$E$10000&amp;DATA!$B$3:$B$10000,DATA!$W$3:$W$10000),"No encontrado"))</f>
        <v/>
      </c>
      <c r="E1992" s="22"/>
      <c r="F1992" s="26" t="str">
        <f aca="false">IF(A1992="","",IFERROR(buscarx(A1992&amp;E1992,DATA!$E$3:$E$10000&amp;DATA!$B$3:$B$10000,DATA!$M$3:$M$10000),"Inactivo"))</f>
        <v/>
      </c>
      <c r="G1992" s="28" t="str">
        <f aca="false">IF(A1992="","",IF(AND(C1992&lt;&gt;"No encontrado",F1992&lt;&gt;"Inactivo"),C1992&amp;" → "&amp;F1992,"Sin transición"))</f>
        <v/>
      </c>
      <c r="H1992" s="26" t="str">
        <f aca="false">IF(A1992="","",IF(D1992="GCIA LINEA SERVICIO DIGITALIDAD Y VENTAS","Chats",IF(OR(D1992="GERENCIA INBOUND LÍNEAS SERVICIO Y VENTA",D1992="GERENCIA INBOUND LINEAS ESPECIALIZADAS"),"Llamadas","Otro")))</f>
        <v/>
      </c>
      <c r="I1992" s="26" t="str">
        <f aca="false">IF(A1992="","",IF(C1992="No encontrado","No","Sí"))</f>
        <v/>
      </c>
      <c r="J1992" s="26" t="str">
        <f aca="false">IF(A1992="","",IF(F1992="Inactivo","No","Sí"))</f>
        <v/>
      </c>
      <c r="K1992" s="26" t="str">
        <f aca="false">IF(A1992="","",IF(AND(I1992="Sí",J1992="Sí"),"Sí","No"))</f>
        <v/>
      </c>
    </row>
    <row r="1993" customFormat="false" ht="15" hidden="false" customHeight="false" outlineLevel="0" collapsed="false">
      <c r="A1993" s="22"/>
      <c r="B1993" s="22"/>
      <c r="C1993" s="23" t="str">
        <f aca="false">IF(A1993="","",IFERROR(buscarx(A1993&amp;B1993,DATA!$E$3:$E$10000&amp;DATA!$B$3:$B$10000,DATA!$M$3:$M$10000),"No encontrado"))</f>
        <v/>
      </c>
      <c r="D1993" s="24" t="str">
        <f aca="false">IF(A1993="","",IFERROR(buscarx(A1993&amp;B1993,DATA!$E$3:$E$10000&amp;DATA!$B$3:$B$10000,DATA!$W$3:$W$10000),"No encontrado"))</f>
        <v/>
      </c>
      <c r="E1993" s="22"/>
      <c r="F1993" s="23" t="str">
        <f aca="false">IF(A1993="","",IFERROR(buscarx(A1993&amp;E1993,DATA!$E$3:$E$10000&amp;DATA!$B$3:$B$10000,DATA!$M$3:$M$10000),"Inactivo"))</f>
        <v/>
      </c>
      <c r="G1993" s="25" t="str">
        <f aca="false">IF(A1993="","",IF(AND(C1993&lt;&gt;"No encontrado",F1993&lt;&gt;"Inactivo"),C1993&amp;" → "&amp;F1993,"Sin transición"))</f>
        <v/>
      </c>
      <c r="H1993" s="23" t="str">
        <f aca="false">IF(A1993="","",IF(D1993="GCIA LINEA SERVICIO DIGITALIDAD Y VENTAS","Chats",IF(OR(D1993="GERENCIA INBOUND LÍNEAS SERVICIO Y VENTA",D1993="GERENCIA INBOUND LINEAS ESPECIALIZADAS"),"Llamadas","Otro")))</f>
        <v/>
      </c>
      <c r="I1993" s="23" t="str">
        <f aca="false">IF(A1993="","",IF(C1993="No encontrado","No","Sí"))</f>
        <v/>
      </c>
      <c r="J1993" s="23" t="str">
        <f aca="false">IF(A1993="","",IF(F1993="Inactivo","No","Sí"))</f>
        <v/>
      </c>
      <c r="K1993" s="23" t="str">
        <f aca="false">IF(A1993="","",IF(AND(I1993="Sí",J1993="Sí"),"Sí","No"))</f>
        <v/>
      </c>
    </row>
    <row r="1994" customFormat="false" ht="15" hidden="false" customHeight="false" outlineLevel="0" collapsed="false">
      <c r="A1994" s="22"/>
      <c r="B1994" s="22"/>
      <c r="C1994" s="26" t="str">
        <f aca="false">IF(A1994="","",IFERROR(buscarx(A1994&amp;B1994,DATA!$E$3:$E$10000&amp;DATA!$B$3:$B$10000,DATA!$M$3:$M$10000),"No encontrado"))</f>
        <v/>
      </c>
      <c r="D1994" s="27" t="str">
        <f aca="false">IF(A1994="","",IFERROR(buscarx(A1994&amp;B1994,DATA!$E$3:$E$10000&amp;DATA!$B$3:$B$10000,DATA!$W$3:$W$10000),"No encontrado"))</f>
        <v/>
      </c>
      <c r="E1994" s="22"/>
      <c r="F1994" s="26" t="str">
        <f aca="false">IF(A1994="","",IFERROR(buscarx(A1994&amp;E1994,DATA!$E$3:$E$10000&amp;DATA!$B$3:$B$10000,DATA!$M$3:$M$10000),"Inactivo"))</f>
        <v/>
      </c>
      <c r="G1994" s="28" t="str">
        <f aca="false">IF(A1994="","",IF(AND(C1994&lt;&gt;"No encontrado",F1994&lt;&gt;"Inactivo"),C1994&amp;" → "&amp;F1994,"Sin transición"))</f>
        <v/>
      </c>
      <c r="H1994" s="26" t="str">
        <f aca="false">IF(A1994="","",IF(D1994="GCIA LINEA SERVICIO DIGITALIDAD Y VENTAS","Chats",IF(OR(D1994="GERENCIA INBOUND LÍNEAS SERVICIO Y VENTA",D1994="GERENCIA INBOUND LINEAS ESPECIALIZADAS"),"Llamadas","Otro")))</f>
        <v/>
      </c>
      <c r="I1994" s="26" t="str">
        <f aca="false">IF(A1994="","",IF(C1994="No encontrado","No","Sí"))</f>
        <v/>
      </c>
      <c r="J1994" s="26" t="str">
        <f aca="false">IF(A1994="","",IF(F1994="Inactivo","No","Sí"))</f>
        <v/>
      </c>
      <c r="K1994" s="26" t="str">
        <f aca="false">IF(A1994="","",IF(AND(I1994="Sí",J1994="Sí"),"Sí","No"))</f>
        <v/>
      </c>
    </row>
    <row r="1995" customFormat="false" ht="15" hidden="false" customHeight="false" outlineLevel="0" collapsed="false">
      <c r="A1995" s="22"/>
      <c r="B1995" s="22"/>
      <c r="C1995" s="23" t="str">
        <f aca="false">IF(A1995="","",IFERROR(buscarx(A1995&amp;B1995,DATA!$E$3:$E$10000&amp;DATA!$B$3:$B$10000,DATA!$M$3:$M$10000),"No encontrado"))</f>
        <v/>
      </c>
      <c r="D1995" s="24" t="str">
        <f aca="false">IF(A1995="","",IFERROR(buscarx(A1995&amp;B1995,DATA!$E$3:$E$10000&amp;DATA!$B$3:$B$10000,DATA!$W$3:$W$10000),"No encontrado"))</f>
        <v/>
      </c>
      <c r="E1995" s="22"/>
      <c r="F1995" s="23" t="str">
        <f aca="false">IF(A1995="","",IFERROR(buscarx(A1995&amp;E1995,DATA!$E$3:$E$10000&amp;DATA!$B$3:$B$10000,DATA!$M$3:$M$10000),"Inactivo"))</f>
        <v/>
      </c>
      <c r="G1995" s="25" t="str">
        <f aca="false">IF(A1995="","",IF(AND(C1995&lt;&gt;"No encontrado",F1995&lt;&gt;"Inactivo"),C1995&amp;" → "&amp;F1995,"Sin transición"))</f>
        <v/>
      </c>
      <c r="H1995" s="23" t="str">
        <f aca="false">IF(A1995="","",IF(D1995="GCIA LINEA SERVICIO DIGITALIDAD Y VENTAS","Chats",IF(OR(D1995="GERENCIA INBOUND LÍNEAS SERVICIO Y VENTA",D1995="GERENCIA INBOUND LINEAS ESPECIALIZADAS"),"Llamadas","Otro")))</f>
        <v/>
      </c>
      <c r="I1995" s="23" t="str">
        <f aca="false">IF(A1995="","",IF(C1995="No encontrado","No","Sí"))</f>
        <v/>
      </c>
      <c r="J1995" s="23" t="str">
        <f aca="false">IF(A1995="","",IF(F1995="Inactivo","No","Sí"))</f>
        <v/>
      </c>
      <c r="K1995" s="23" t="str">
        <f aca="false">IF(A1995="","",IF(AND(I1995="Sí",J1995="Sí"),"Sí","No"))</f>
        <v/>
      </c>
    </row>
    <row r="1996" customFormat="false" ht="15" hidden="false" customHeight="false" outlineLevel="0" collapsed="false">
      <c r="A1996" s="22"/>
      <c r="B1996" s="22"/>
      <c r="C1996" s="26" t="str">
        <f aca="false">IF(A1996="","",IFERROR(buscarx(A1996&amp;B1996,DATA!$E$3:$E$10000&amp;DATA!$B$3:$B$10000,DATA!$M$3:$M$10000),"No encontrado"))</f>
        <v/>
      </c>
      <c r="D1996" s="27" t="str">
        <f aca="false">IF(A1996="","",IFERROR(buscarx(A1996&amp;B1996,DATA!$E$3:$E$10000&amp;DATA!$B$3:$B$10000,DATA!$W$3:$W$10000),"No encontrado"))</f>
        <v/>
      </c>
      <c r="E1996" s="22"/>
      <c r="F1996" s="26" t="str">
        <f aca="false">IF(A1996="","",IFERROR(buscarx(A1996&amp;E1996,DATA!$E$3:$E$10000&amp;DATA!$B$3:$B$10000,DATA!$M$3:$M$10000),"Inactivo"))</f>
        <v/>
      </c>
      <c r="G1996" s="28" t="str">
        <f aca="false">IF(A1996="","",IF(AND(C1996&lt;&gt;"No encontrado",F1996&lt;&gt;"Inactivo"),C1996&amp;" → "&amp;F1996,"Sin transición"))</f>
        <v/>
      </c>
      <c r="H1996" s="26" t="str">
        <f aca="false">IF(A1996="","",IF(D1996="GCIA LINEA SERVICIO DIGITALIDAD Y VENTAS","Chats",IF(OR(D1996="GERENCIA INBOUND LÍNEAS SERVICIO Y VENTA",D1996="GERENCIA INBOUND LINEAS ESPECIALIZADAS"),"Llamadas","Otro")))</f>
        <v/>
      </c>
      <c r="I1996" s="26" t="str">
        <f aca="false">IF(A1996="","",IF(C1996="No encontrado","No","Sí"))</f>
        <v/>
      </c>
      <c r="J1996" s="26" t="str">
        <f aca="false">IF(A1996="","",IF(F1996="Inactivo","No","Sí"))</f>
        <v/>
      </c>
      <c r="K1996" s="26" t="str">
        <f aca="false">IF(A1996="","",IF(AND(I1996="Sí",J1996="Sí"),"Sí","No"))</f>
        <v/>
      </c>
    </row>
    <row r="1997" customFormat="false" ht="15" hidden="false" customHeight="false" outlineLevel="0" collapsed="false">
      <c r="A1997" s="22"/>
      <c r="B1997" s="22"/>
      <c r="C1997" s="23" t="str">
        <f aca="false">IF(A1997="","",IFERROR(buscarx(A1997&amp;B1997,DATA!$E$3:$E$10000&amp;DATA!$B$3:$B$10000,DATA!$M$3:$M$10000),"No encontrado"))</f>
        <v/>
      </c>
      <c r="D1997" s="24" t="str">
        <f aca="false">IF(A1997="","",IFERROR(buscarx(A1997&amp;B1997,DATA!$E$3:$E$10000&amp;DATA!$B$3:$B$10000,DATA!$W$3:$W$10000),"No encontrado"))</f>
        <v/>
      </c>
      <c r="E1997" s="22"/>
      <c r="F1997" s="23" t="str">
        <f aca="false">IF(A1997="","",IFERROR(buscarx(A1997&amp;E1997,DATA!$E$3:$E$10000&amp;DATA!$B$3:$B$10000,DATA!$M$3:$M$10000),"Inactivo"))</f>
        <v/>
      </c>
      <c r="G1997" s="25" t="str">
        <f aca="false">IF(A1997="","",IF(AND(C1997&lt;&gt;"No encontrado",F1997&lt;&gt;"Inactivo"),C1997&amp;" → "&amp;F1997,"Sin transición"))</f>
        <v/>
      </c>
      <c r="H1997" s="23" t="str">
        <f aca="false">IF(A1997="","",IF(D1997="GCIA LINEA SERVICIO DIGITALIDAD Y VENTAS","Chats",IF(OR(D1997="GERENCIA INBOUND LÍNEAS SERVICIO Y VENTA",D1997="GERENCIA INBOUND LINEAS ESPECIALIZADAS"),"Llamadas","Otro")))</f>
        <v/>
      </c>
      <c r="I1997" s="23" t="str">
        <f aca="false">IF(A1997="","",IF(C1997="No encontrado","No","Sí"))</f>
        <v/>
      </c>
      <c r="J1997" s="23" t="str">
        <f aca="false">IF(A1997="","",IF(F1997="Inactivo","No","Sí"))</f>
        <v/>
      </c>
      <c r="K1997" s="23" t="str">
        <f aca="false">IF(A1997="","",IF(AND(I1997="Sí",J1997="Sí"),"Sí","No"))</f>
        <v/>
      </c>
    </row>
    <row r="1998" customFormat="false" ht="15" hidden="false" customHeight="false" outlineLevel="0" collapsed="false">
      <c r="A1998" s="22"/>
      <c r="B1998" s="22"/>
      <c r="C1998" s="26" t="str">
        <f aca="false">IF(A1998="","",IFERROR(buscarx(A1998&amp;B1998,DATA!$E$3:$E$10000&amp;DATA!$B$3:$B$10000,DATA!$M$3:$M$10000),"No encontrado"))</f>
        <v/>
      </c>
      <c r="D1998" s="27" t="str">
        <f aca="false">IF(A1998="","",IFERROR(buscarx(A1998&amp;B1998,DATA!$E$3:$E$10000&amp;DATA!$B$3:$B$10000,DATA!$W$3:$W$10000),"No encontrado"))</f>
        <v/>
      </c>
      <c r="E1998" s="22"/>
      <c r="F1998" s="26" t="str">
        <f aca="false">IF(A1998="","",IFERROR(buscarx(A1998&amp;E1998,DATA!$E$3:$E$10000&amp;DATA!$B$3:$B$10000,DATA!$M$3:$M$10000),"Inactivo"))</f>
        <v/>
      </c>
      <c r="G1998" s="28" t="str">
        <f aca="false">IF(A1998="","",IF(AND(C1998&lt;&gt;"No encontrado",F1998&lt;&gt;"Inactivo"),C1998&amp;" → "&amp;F1998,"Sin transición"))</f>
        <v/>
      </c>
      <c r="H1998" s="26" t="str">
        <f aca="false">IF(A1998="","",IF(D1998="GCIA LINEA SERVICIO DIGITALIDAD Y VENTAS","Chats",IF(OR(D1998="GERENCIA INBOUND LÍNEAS SERVICIO Y VENTA",D1998="GERENCIA INBOUND LINEAS ESPECIALIZADAS"),"Llamadas","Otro")))</f>
        <v/>
      </c>
      <c r="I1998" s="26" t="str">
        <f aca="false">IF(A1998="","",IF(C1998="No encontrado","No","Sí"))</f>
        <v/>
      </c>
      <c r="J1998" s="26" t="str">
        <f aca="false">IF(A1998="","",IF(F1998="Inactivo","No","Sí"))</f>
        <v/>
      </c>
      <c r="K1998" s="26" t="str">
        <f aca="false">IF(A1998="","",IF(AND(I1998="Sí",J1998="Sí"),"Sí","No"))</f>
        <v/>
      </c>
    </row>
    <row r="1999" customFormat="false" ht="15" hidden="false" customHeight="false" outlineLevel="0" collapsed="false">
      <c r="A1999" s="22"/>
      <c r="B1999" s="22"/>
      <c r="C1999" s="23" t="str">
        <f aca="false">IF(A1999="","",IFERROR(buscarx(A1999&amp;B1999,DATA!$E$3:$E$10000&amp;DATA!$B$3:$B$10000,DATA!$M$3:$M$10000),"No encontrado"))</f>
        <v/>
      </c>
      <c r="D1999" s="24" t="str">
        <f aca="false">IF(A1999="","",IFERROR(buscarx(A1999&amp;B1999,DATA!$E$3:$E$10000&amp;DATA!$B$3:$B$10000,DATA!$W$3:$W$10000),"No encontrado"))</f>
        <v/>
      </c>
      <c r="E1999" s="22"/>
      <c r="F1999" s="23" t="str">
        <f aca="false">IF(A1999="","",IFERROR(buscarx(A1999&amp;E1999,DATA!$E$3:$E$10000&amp;DATA!$B$3:$B$10000,DATA!$M$3:$M$10000),"Inactivo"))</f>
        <v/>
      </c>
      <c r="G1999" s="25" t="str">
        <f aca="false">IF(A1999="","",IF(AND(C1999&lt;&gt;"No encontrado",F1999&lt;&gt;"Inactivo"),C1999&amp;" → "&amp;F1999,"Sin transición"))</f>
        <v/>
      </c>
      <c r="H1999" s="23" t="str">
        <f aca="false">IF(A1999="","",IF(D1999="GCIA LINEA SERVICIO DIGITALIDAD Y VENTAS","Chats",IF(OR(D1999="GERENCIA INBOUND LÍNEAS SERVICIO Y VENTA",D1999="GERENCIA INBOUND LINEAS ESPECIALIZADAS"),"Llamadas","Otro")))</f>
        <v/>
      </c>
      <c r="I1999" s="23" t="str">
        <f aca="false">IF(A1999="","",IF(C1999="No encontrado","No","Sí"))</f>
        <v/>
      </c>
      <c r="J1999" s="23" t="str">
        <f aca="false">IF(A1999="","",IF(F1999="Inactivo","No","Sí"))</f>
        <v/>
      </c>
      <c r="K1999" s="23" t="str">
        <f aca="false">IF(A1999="","",IF(AND(I1999="Sí",J1999="Sí"),"Sí","No"))</f>
        <v/>
      </c>
    </row>
    <row r="2000" customFormat="false" ht="15" hidden="false" customHeight="false" outlineLevel="0" collapsed="false">
      <c r="A2000" s="22"/>
      <c r="B2000" s="22"/>
      <c r="C2000" s="26" t="str">
        <f aca="false">IF(A2000="","",IFERROR(buscarx(A2000&amp;B2000,DATA!$E$3:$E$10000&amp;DATA!$B$3:$B$10000,DATA!$M$3:$M$10000),"No encontrado"))</f>
        <v/>
      </c>
      <c r="D2000" s="27" t="str">
        <f aca="false">IF(A2000="","",IFERROR(buscarx(A2000&amp;B2000,DATA!$E$3:$E$10000&amp;DATA!$B$3:$B$10000,DATA!$W$3:$W$10000),"No encontrado"))</f>
        <v/>
      </c>
      <c r="E2000" s="22"/>
      <c r="F2000" s="26" t="str">
        <f aca="false">IF(A2000="","",IFERROR(buscarx(A2000&amp;E2000,DATA!$E$3:$E$10000&amp;DATA!$B$3:$B$10000,DATA!$M$3:$M$10000),"Inactivo"))</f>
        <v/>
      </c>
      <c r="G2000" s="28" t="str">
        <f aca="false">IF(A2000="","",IF(AND(C2000&lt;&gt;"No encontrado",F2000&lt;&gt;"Inactivo"),C2000&amp;" → "&amp;F2000,"Sin transición"))</f>
        <v/>
      </c>
      <c r="H2000" s="26" t="str">
        <f aca="false">IF(A2000="","",IF(D2000="GCIA LINEA SERVICIO DIGITALIDAD Y VENTAS","Chats",IF(OR(D2000="GERENCIA INBOUND LÍNEAS SERVICIO Y VENTA",D2000="GERENCIA INBOUND LINEAS ESPECIALIZADAS"),"Llamadas","Otro")))</f>
        <v/>
      </c>
      <c r="I2000" s="26" t="str">
        <f aca="false">IF(A2000="","",IF(C2000="No encontrado","No","Sí"))</f>
        <v/>
      </c>
      <c r="J2000" s="26" t="str">
        <f aca="false">IF(A2000="","",IF(F2000="Inactivo","No","Sí"))</f>
        <v/>
      </c>
      <c r="K2000" s="26" t="str">
        <f aca="false">IF(A2000="","",IF(AND(I2000="Sí",J2000="Sí"),"Sí","No"))</f>
        <v/>
      </c>
    </row>
    <row r="2001" customFormat="false" ht="15" hidden="false" customHeight="false" outlineLevel="0" collapsed="false">
      <c r="A2001" s="22"/>
      <c r="B2001" s="22"/>
      <c r="C2001" s="23" t="str">
        <f aca="false">IF(A2001="","",IFERROR(buscarx(A2001&amp;B2001,DATA!$E$3:$E$10000&amp;DATA!$B$3:$B$10000,DATA!$M$3:$M$10000),"No encontrado"))</f>
        <v/>
      </c>
      <c r="D2001" s="24" t="str">
        <f aca="false">IF(A2001="","",IFERROR(buscarx(A2001&amp;B2001,DATA!$E$3:$E$10000&amp;DATA!$B$3:$B$10000,DATA!$W$3:$W$10000),"No encontrado"))</f>
        <v/>
      </c>
      <c r="E2001" s="22"/>
      <c r="F2001" s="23" t="str">
        <f aca="false">IF(A2001="","",IFERROR(buscarx(A2001&amp;E2001,DATA!$E$3:$E$10000&amp;DATA!$B$3:$B$10000,DATA!$M$3:$M$10000),"Inactivo"))</f>
        <v/>
      </c>
      <c r="G2001" s="25" t="str">
        <f aca="false">IF(A2001="","",IF(AND(C2001&lt;&gt;"No encontrado",F2001&lt;&gt;"Inactivo"),C2001&amp;" → "&amp;F2001,"Sin transición"))</f>
        <v/>
      </c>
      <c r="H2001" s="23" t="str">
        <f aca="false">IF(A2001="","",IF(D2001="GCIA LINEA SERVICIO DIGITALIDAD Y VENTAS","Chats",IF(OR(D2001="GERENCIA INBOUND LÍNEAS SERVICIO Y VENTA",D2001="GERENCIA INBOUND LINEAS ESPECIALIZADAS"),"Llamadas","Otro")))</f>
        <v/>
      </c>
      <c r="I2001" s="23" t="str">
        <f aca="false">IF(A2001="","",IF(C2001="No encontrado","No","Sí"))</f>
        <v/>
      </c>
      <c r="J2001" s="23" t="str">
        <f aca="false">IF(A2001="","",IF(F2001="Inactivo","No","Sí"))</f>
        <v/>
      </c>
      <c r="K2001" s="23" t="str">
        <f aca="false">IF(A2001="","",IF(AND(I2001="Sí",J2001="Sí"),"Sí","No"))</f>
        <v/>
      </c>
    </row>
    <row r="2002" customFormat="false" ht="15" hidden="false" customHeight="false" outlineLevel="0" collapsed="false">
      <c r="A2002" s="22"/>
      <c r="B2002" s="22"/>
      <c r="C2002" s="26" t="str">
        <f aca="false">IF(A2002="","",IFERROR(buscarx(A2002&amp;B2002,DATA!$E$3:$E$10000&amp;DATA!$B$3:$B$10000,DATA!$M$3:$M$10000),"No encontrado"))</f>
        <v/>
      </c>
      <c r="D2002" s="27" t="str">
        <f aca="false">IF(A2002="","",IFERROR(buscarx(A2002&amp;B2002,DATA!$E$3:$E$10000&amp;DATA!$B$3:$B$10000,DATA!$W$3:$W$10000),"No encontrado"))</f>
        <v/>
      </c>
      <c r="E2002" s="22"/>
      <c r="F2002" s="26" t="str">
        <f aca="false">IF(A2002="","",IFERROR(buscarx(A2002&amp;E2002,DATA!$E$3:$E$10000&amp;DATA!$B$3:$B$10000,DATA!$M$3:$M$10000),"Inactivo"))</f>
        <v/>
      </c>
      <c r="G2002" s="28" t="str">
        <f aca="false">IF(A2002="","",IF(AND(C2002&lt;&gt;"No encontrado",F2002&lt;&gt;"Inactivo"),C2002&amp;" → "&amp;F2002,"Sin transición"))</f>
        <v/>
      </c>
      <c r="H2002" s="26" t="str">
        <f aca="false">IF(A2002="","",IF(D2002="GCIA LINEA SERVICIO DIGITALIDAD Y VENTAS","Chats",IF(OR(D2002="GERENCIA INBOUND LÍNEAS SERVICIO Y VENTA",D2002="GERENCIA INBOUND LINEAS ESPECIALIZADAS"),"Llamadas","Otro")))</f>
        <v/>
      </c>
      <c r="I2002" s="26" t="str">
        <f aca="false">IF(A2002="","",IF(C2002="No encontrado","No","Sí"))</f>
        <v/>
      </c>
      <c r="J2002" s="26" t="str">
        <f aca="false">IF(A2002="","",IF(F2002="Inactivo","No","Sí"))</f>
        <v/>
      </c>
      <c r="K2002" s="26" t="str">
        <f aca="false">IF(A2002="","",IF(AND(I2002="Sí",J2002="Sí"),"Sí","No"))</f>
        <v/>
      </c>
    </row>
    <row r="2003" customFormat="false" ht="15" hidden="false" customHeight="false" outlineLevel="0" collapsed="false">
      <c r="A2003" s="22"/>
      <c r="B2003" s="22"/>
      <c r="C2003" s="23" t="str">
        <f aca="false">IF(A2003="","",IFERROR(buscarx(A2003&amp;B2003,DATA!$E$3:$E$10000&amp;DATA!$B$3:$B$10000,DATA!$M$3:$M$10000),"No encontrado"))</f>
        <v/>
      </c>
      <c r="D2003" s="24" t="str">
        <f aca="false">IF(A2003="","",IFERROR(buscarx(A2003&amp;B2003,DATA!$E$3:$E$10000&amp;DATA!$B$3:$B$10000,DATA!$W$3:$W$10000),"No encontrado"))</f>
        <v/>
      </c>
      <c r="E2003" s="22"/>
      <c r="F2003" s="23" t="str">
        <f aca="false">IF(A2003="","",IFERROR(buscarx(A2003&amp;E2003,DATA!$E$3:$E$10000&amp;DATA!$B$3:$B$10000,DATA!$M$3:$M$10000),"Inactivo"))</f>
        <v/>
      </c>
      <c r="G2003" s="25" t="str">
        <f aca="false">IF(A2003="","",IF(AND(C2003&lt;&gt;"No encontrado",F2003&lt;&gt;"Inactivo"),C2003&amp;" → "&amp;F2003,"Sin transición"))</f>
        <v/>
      </c>
      <c r="H2003" s="23" t="str">
        <f aca="false">IF(A2003="","",IF(D2003="GCIA LINEA SERVICIO DIGITALIDAD Y VENTAS","Chats",IF(OR(D2003="GERENCIA INBOUND LÍNEAS SERVICIO Y VENTA",D2003="GERENCIA INBOUND LINEAS ESPECIALIZADAS"),"Llamadas","Otro")))</f>
        <v/>
      </c>
      <c r="I2003" s="23" t="str">
        <f aca="false">IF(A2003="","",IF(C2003="No encontrado","No","Sí"))</f>
        <v/>
      </c>
      <c r="J2003" s="23" t="str">
        <f aca="false">IF(A2003="","",IF(F2003="Inactivo","No","Sí"))</f>
        <v/>
      </c>
      <c r="K2003" s="23" t="str">
        <f aca="false">IF(A2003="","",IF(AND(I2003="Sí",J2003="Sí"),"Sí","No"))</f>
        <v/>
      </c>
    </row>
    <row r="2004" customFormat="false" ht="15" hidden="false" customHeight="false" outlineLevel="0" collapsed="false">
      <c r="A2004" s="22"/>
      <c r="B2004" s="22"/>
      <c r="C2004" s="26" t="str">
        <f aca="false">IF(A2004="","",IFERROR(buscarx(A2004&amp;B2004,DATA!$E$3:$E$10000&amp;DATA!$B$3:$B$10000,DATA!$M$3:$M$10000),"No encontrado"))</f>
        <v/>
      </c>
      <c r="D2004" s="27" t="str">
        <f aca="false">IF(A2004="","",IFERROR(buscarx(A2004&amp;B2004,DATA!$E$3:$E$10000&amp;DATA!$B$3:$B$10000,DATA!$W$3:$W$10000),"No encontrado"))</f>
        <v/>
      </c>
      <c r="E2004" s="22"/>
      <c r="F2004" s="26" t="str">
        <f aca="false">IF(A2004="","",IFERROR(buscarx(A2004&amp;E2004,DATA!$E$3:$E$10000&amp;DATA!$B$3:$B$10000,DATA!$M$3:$M$10000),"Inactivo"))</f>
        <v/>
      </c>
      <c r="G2004" s="28" t="str">
        <f aca="false">IF(A2004="","",IF(AND(C2004&lt;&gt;"No encontrado",F2004&lt;&gt;"Inactivo"),C2004&amp;" → "&amp;F2004,"Sin transición"))</f>
        <v/>
      </c>
      <c r="H2004" s="26" t="str">
        <f aca="false">IF(A2004="","",IF(D2004="GCIA LINEA SERVICIO DIGITALIDAD Y VENTAS","Chats",IF(OR(D2004="GERENCIA INBOUND LÍNEAS SERVICIO Y VENTA",D2004="GERENCIA INBOUND LINEAS ESPECIALIZADAS"),"Llamadas","Otro")))</f>
        <v/>
      </c>
      <c r="I2004" s="26" t="str">
        <f aca="false">IF(A2004="","",IF(C2004="No encontrado","No","Sí"))</f>
        <v/>
      </c>
      <c r="J2004" s="26" t="str">
        <f aca="false">IF(A2004="","",IF(F2004="Inactivo","No","Sí"))</f>
        <v/>
      </c>
      <c r="K2004" s="26" t="str">
        <f aca="false">IF(A2004="","",IF(AND(I2004="Sí",J2004="Sí"),"Sí","No"))</f>
        <v/>
      </c>
    </row>
    <row r="2005" customFormat="false" ht="15" hidden="false" customHeight="false" outlineLevel="0" collapsed="false">
      <c r="A2005" s="22"/>
      <c r="B2005" s="22"/>
      <c r="C2005" s="23" t="str">
        <f aca="false">IF(A2005="","",IFERROR(buscarx(A2005&amp;B2005,DATA!$E$3:$E$10000&amp;DATA!$B$3:$B$10000,DATA!$M$3:$M$10000),"No encontrado"))</f>
        <v/>
      </c>
      <c r="D2005" s="24" t="str">
        <f aca="false">IF(A2005="","",IFERROR(buscarx(A2005&amp;B2005,DATA!$E$3:$E$10000&amp;DATA!$B$3:$B$10000,DATA!$W$3:$W$10000),"No encontrado"))</f>
        <v/>
      </c>
      <c r="E2005" s="22"/>
      <c r="F2005" s="23" t="str">
        <f aca="false">IF(A2005="","",IFERROR(buscarx(A2005&amp;E2005,DATA!$E$3:$E$10000&amp;DATA!$B$3:$B$10000,DATA!$M$3:$M$10000),"Inactivo"))</f>
        <v/>
      </c>
      <c r="G2005" s="25" t="str">
        <f aca="false">IF(A2005="","",IF(AND(C2005&lt;&gt;"No encontrado",F2005&lt;&gt;"Inactivo"),C2005&amp;" → "&amp;F2005,"Sin transición"))</f>
        <v/>
      </c>
      <c r="H2005" s="23" t="str">
        <f aca="false">IF(A2005="","",IF(D2005="GCIA LINEA SERVICIO DIGITALIDAD Y VENTAS","Chats",IF(OR(D2005="GERENCIA INBOUND LÍNEAS SERVICIO Y VENTA",D2005="GERENCIA INBOUND LINEAS ESPECIALIZADAS"),"Llamadas","Otro")))</f>
        <v/>
      </c>
      <c r="I2005" s="23" t="str">
        <f aca="false">IF(A2005="","",IF(C2005="No encontrado","No","Sí"))</f>
        <v/>
      </c>
      <c r="J2005" s="23" t="str">
        <f aca="false">IF(A2005="","",IF(F2005="Inactivo","No","Sí"))</f>
        <v/>
      </c>
      <c r="K2005" s="23" t="str">
        <f aca="false">IF(A2005="","",IF(AND(I2005="Sí",J2005="Sí"),"Sí","No"))</f>
        <v/>
      </c>
    </row>
    <row r="2006" customFormat="false" ht="15" hidden="false" customHeight="false" outlineLevel="0" collapsed="false">
      <c r="A2006" s="22"/>
      <c r="B2006" s="22"/>
      <c r="C2006" s="26" t="str">
        <f aca="false">IF(A2006="","",IFERROR(buscarx(A2006&amp;B2006,DATA!$E$3:$E$10000&amp;DATA!$B$3:$B$10000,DATA!$M$3:$M$10000),"No encontrado"))</f>
        <v/>
      </c>
      <c r="D2006" s="27" t="str">
        <f aca="false">IF(A2006="","",IFERROR(buscarx(A2006&amp;B2006,DATA!$E$3:$E$10000&amp;DATA!$B$3:$B$10000,DATA!$W$3:$W$10000),"No encontrado"))</f>
        <v/>
      </c>
      <c r="E2006" s="22"/>
      <c r="F2006" s="26" t="str">
        <f aca="false">IF(A2006="","",IFERROR(buscarx(A2006&amp;E2006,DATA!$E$3:$E$10000&amp;DATA!$B$3:$B$10000,DATA!$M$3:$M$10000),"Inactivo"))</f>
        <v/>
      </c>
      <c r="G2006" s="28" t="str">
        <f aca="false">IF(A2006="","",IF(AND(C2006&lt;&gt;"No encontrado",F2006&lt;&gt;"Inactivo"),C2006&amp;" → "&amp;F2006,"Sin transición"))</f>
        <v/>
      </c>
      <c r="H2006" s="26" t="str">
        <f aca="false">IF(A2006="","",IF(D2006="GCIA LINEA SERVICIO DIGITALIDAD Y VENTAS","Chats",IF(OR(D2006="GERENCIA INBOUND LÍNEAS SERVICIO Y VENTA",D2006="GERENCIA INBOUND LINEAS ESPECIALIZADAS"),"Llamadas","Otro")))</f>
        <v/>
      </c>
      <c r="I2006" s="26" t="str">
        <f aca="false">IF(A2006="","",IF(C2006="No encontrado","No","Sí"))</f>
        <v/>
      </c>
      <c r="J2006" s="26" t="str">
        <f aca="false">IF(A2006="","",IF(F2006="Inactivo","No","Sí"))</f>
        <v/>
      </c>
      <c r="K2006" s="26" t="str">
        <f aca="false">IF(A2006="","",IF(AND(I2006="Sí",J2006="Sí"),"Sí","No"))</f>
        <v/>
      </c>
    </row>
    <row r="2007" customFormat="false" ht="15" hidden="false" customHeight="false" outlineLevel="0" collapsed="false">
      <c r="A2007" s="22"/>
      <c r="B2007" s="22"/>
      <c r="C2007" s="23" t="str">
        <f aca="false">IF(A2007="","",IFERROR(buscarx(A2007&amp;B2007,DATA!$E$3:$E$10000&amp;DATA!$B$3:$B$10000,DATA!$M$3:$M$10000),"No encontrado"))</f>
        <v/>
      </c>
      <c r="D2007" s="24" t="str">
        <f aca="false">IF(A2007="","",IFERROR(buscarx(A2007&amp;B2007,DATA!$E$3:$E$10000&amp;DATA!$B$3:$B$10000,DATA!$W$3:$W$10000),"No encontrado"))</f>
        <v/>
      </c>
      <c r="E2007" s="22"/>
      <c r="F2007" s="23" t="str">
        <f aca="false">IF(A2007="","",IFERROR(buscarx(A2007&amp;E2007,DATA!$E$3:$E$10000&amp;DATA!$B$3:$B$10000,DATA!$M$3:$M$10000),"Inactivo"))</f>
        <v/>
      </c>
      <c r="G2007" s="25" t="str">
        <f aca="false">IF(A2007="","",IF(AND(C2007&lt;&gt;"No encontrado",F2007&lt;&gt;"Inactivo"),C2007&amp;" → "&amp;F2007,"Sin transición"))</f>
        <v/>
      </c>
      <c r="H2007" s="23" t="str">
        <f aca="false">IF(A2007="","",IF(D2007="GCIA LINEA SERVICIO DIGITALIDAD Y VENTAS","Chats",IF(OR(D2007="GERENCIA INBOUND LÍNEAS SERVICIO Y VENTA",D2007="GERENCIA INBOUND LINEAS ESPECIALIZADAS"),"Llamadas","Otro")))</f>
        <v/>
      </c>
      <c r="I2007" s="23" t="str">
        <f aca="false">IF(A2007="","",IF(C2007="No encontrado","No","Sí"))</f>
        <v/>
      </c>
      <c r="J2007" s="23" t="str">
        <f aca="false">IF(A2007="","",IF(F2007="Inactivo","No","Sí"))</f>
        <v/>
      </c>
      <c r="K2007" s="23" t="str">
        <f aca="false">IF(A2007="","",IF(AND(I2007="Sí",J2007="Sí"),"Sí","No"))</f>
        <v/>
      </c>
    </row>
    <row r="2008" customFormat="false" ht="15" hidden="false" customHeight="false" outlineLevel="0" collapsed="false">
      <c r="A2008" s="22"/>
      <c r="B2008" s="22"/>
      <c r="C2008" s="26" t="str">
        <f aca="false">IF(A2008="","",IFERROR(buscarx(A2008&amp;B2008,DATA!$E$3:$E$10000&amp;DATA!$B$3:$B$10000,DATA!$M$3:$M$10000),"No encontrado"))</f>
        <v/>
      </c>
      <c r="D2008" s="27" t="str">
        <f aca="false">IF(A2008="","",IFERROR(buscarx(A2008&amp;B2008,DATA!$E$3:$E$10000&amp;DATA!$B$3:$B$10000,DATA!$W$3:$W$10000),"No encontrado"))</f>
        <v/>
      </c>
      <c r="E2008" s="22"/>
      <c r="F2008" s="26" t="str">
        <f aca="false">IF(A2008="","",IFERROR(buscarx(A2008&amp;E2008,DATA!$E$3:$E$10000&amp;DATA!$B$3:$B$10000,DATA!$M$3:$M$10000),"Inactivo"))</f>
        <v/>
      </c>
      <c r="G2008" s="28" t="str">
        <f aca="false">IF(A2008="","",IF(AND(C2008&lt;&gt;"No encontrado",F2008&lt;&gt;"Inactivo"),C2008&amp;" → "&amp;F2008,"Sin transición"))</f>
        <v/>
      </c>
      <c r="H2008" s="26" t="str">
        <f aca="false">IF(A2008="","",IF(D2008="GCIA LINEA SERVICIO DIGITALIDAD Y VENTAS","Chats",IF(OR(D2008="GERENCIA INBOUND LÍNEAS SERVICIO Y VENTA",D2008="GERENCIA INBOUND LINEAS ESPECIALIZADAS"),"Llamadas","Otro")))</f>
        <v/>
      </c>
      <c r="I2008" s="26" t="str">
        <f aca="false">IF(A2008="","",IF(C2008="No encontrado","No","Sí"))</f>
        <v/>
      </c>
      <c r="J2008" s="26" t="str">
        <f aca="false">IF(A2008="","",IF(F2008="Inactivo","No","Sí"))</f>
        <v/>
      </c>
      <c r="K2008" s="26" t="str">
        <f aca="false">IF(A2008="","",IF(AND(I2008="Sí",J2008="Sí"),"Sí","No"))</f>
        <v/>
      </c>
    </row>
    <row r="2009" customFormat="false" ht="15" hidden="false" customHeight="false" outlineLevel="0" collapsed="false">
      <c r="A2009" s="22"/>
      <c r="B2009" s="22"/>
      <c r="C2009" s="23" t="str">
        <f aca="false">IF(A2009="","",IFERROR(buscarx(A2009&amp;B2009,DATA!$E$3:$E$10000&amp;DATA!$B$3:$B$10000,DATA!$M$3:$M$10000),"No encontrado"))</f>
        <v/>
      </c>
      <c r="D2009" s="24" t="str">
        <f aca="false">IF(A2009="","",IFERROR(buscarx(A2009&amp;B2009,DATA!$E$3:$E$10000&amp;DATA!$B$3:$B$10000,DATA!$W$3:$W$10000),"No encontrado"))</f>
        <v/>
      </c>
      <c r="E2009" s="22"/>
      <c r="F2009" s="23" t="str">
        <f aca="false">IF(A2009="","",IFERROR(buscarx(A2009&amp;E2009,DATA!$E$3:$E$10000&amp;DATA!$B$3:$B$10000,DATA!$M$3:$M$10000),"Inactivo"))</f>
        <v/>
      </c>
      <c r="G2009" s="25" t="str">
        <f aca="false">IF(A2009="","",IF(AND(C2009&lt;&gt;"No encontrado",F2009&lt;&gt;"Inactivo"),C2009&amp;" → "&amp;F2009,"Sin transición"))</f>
        <v/>
      </c>
      <c r="H2009" s="23" t="str">
        <f aca="false">IF(A2009="","",IF(D2009="GCIA LINEA SERVICIO DIGITALIDAD Y VENTAS","Chats",IF(OR(D2009="GERENCIA INBOUND LÍNEAS SERVICIO Y VENTA",D2009="GERENCIA INBOUND LINEAS ESPECIALIZADAS"),"Llamadas","Otro")))</f>
        <v/>
      </c>
      <c r="I2009" s="23" t="str">
        <f aca="false">IF(A2009="","",IF(C2009="No encontrado","No","Sí"))</f>
        <v/>
      </c>
      <c r="J2009" s="23" t="str">
        <f aca="false">IF(A2009="","",IF(F2009="Inactivo","No","Sí"))</f>
        <v/>
      </c>
      <c r="K2009" s="23" t="str">
        <f aca="false">IF(A2009="","",IF(AND(I2009="Sí",J2009="Sí"),"Sí","No"))</f>
        <v/>
      </c>
    </row>
    <row r="2010" customFormat="false" ht="15" hidden="false" customHeight="false" outlineLevel="0" collapsed="false">
      <c r="A2010" s="22"/>
      <c r="B2010" s="22"/>
      <c r="C2010" s="26" t="str">
        <f aca="false">IF(A2010="","",IFERROR(buscarx(A2010&amp;B2010,DATA!$E$3:$E$10000&amp;DATA!$B$3:$B$10000,DATA!$M$3:$M$10000),"No encontrado"))</f>
        <v/>
      </c>
      <c r="D2010" s="27" t="str">
        <f aca="false">IF(A2010="","",IFERROR(buscarx(A2010&amp;B2010,DATA!$E$3:$E$10000&amp;DATA!$B$3:$B$10000,DATA!$W$3:$W$10000),"No encontrado"))</f>
        <v/>
      </c>
      <c r="E2010" s="22"/>
      <c r="F2010" s="26" t="str">
        <f aca="false">IF(A2010="","",IFERROR(buscarx(A2010&amp;E2010,DATA!$E$3:$E$10000&amp;DATA!$B$3:$B$10000,DATA!$M$3:$M$10000),"Inactivo"))</f>
        <v/>
      </c>
      <c r="G2010" s="28" t="str">
        <f aca="false">IF(A2010="","",IF(AND(C2010&lt;&gt;"No encontrado",F2010&lt;&gt;"Inactivo"),C2010&amp;" → "&amp;F2010,"Sin transición"))</f>
        <v/>
      </c>
      <c r="H2010" s="26" t="str">
        <f aca="false">IF(A2010="","",IF(D2010="GCIA LINEA SERVICIO DIGITALIDAD Y VENTAS","Chats",IF(OR(D2010="GERENCIA INBOUND LÍNEAS SERVICIO Y VENTA",D2010="GERENCIA INBOUND LINEAS ESPECIALIZADAS"),"Llamadas","Otro")))</f>
        <v/>
      </c>
      <c r="I2010" s="26" t="str">
        <f aca="false">IF(A2010="","",IF(C2010="No encontrado","No","Sí"))</f>
        <v/>
      </c>
      <c r="J2010" s="26" t="str">
        <f aca="false">IF(A2010="","",IF(F2010="Inactivo","No","Sí"))</f>
        <v/>
      </c>
      <c r="K2010" s="26" t="str">
        <f aca="false">IF(A2010="","",IF(AND(I2010="Sí",J2010="Sí"),"Sí","No"))</f>
        <v/>
      </c>
    </row>
    <row r="2011" customFormat="false" ht="15" hidden="false" customHeight="false" outlineLevel="0" collapsed="false">
      <c r="A2011" s="22"/>
      <c r="B2011" s="22"/>
      <c r="C2011" s="23" t="str">
        <f aca="false">IF(A2011="","",IFERROR(buscarx(A2011&amp;B2011,DATA!$E$3:$E$10000&amp;DATA!$B$3:$B$10000,DATA!$M$3:$M$10000),"No encontrado"))</f>
        <v/>
      </c>
      <c r="D2011" s="24" t="str">
        <f aca="false">IF(A2011="","",IFERROR(buscarx(A2011&amp;B2011,DATA!$E$3:$E$10000&amp;DATA!$B$3:$B$10000,DATA!$W$3:$W$10000),"No encontrado"))</f>
        <v/>
      </c>
      <c r="E2011" s="22"/>
      <c r="F2011" s="23" t="str">
        <f aca="false">IF(A2011="","",IFERROR(buscarx(A2011&amp;E2011,DATA!$E$3:$E$10000&amp;DATA!$B$3:$B$10000,DATA!$M$3:$M$10000),"Inactivo"))</f>
        <v/>
      </c>
      <c r="G2011" s="25" t="str">
        <f aca="false">IF(A2011="","",IF(AND(C2011&lt;&gt;"No encontrado",F2011&lt;&gt;"Inactivo"),C2011&amp;" → "&amp;F2011,"Sin transición"))</f>
        <v/>
      </c>
      <c r="H2011" s="23" t="str">
        <f aca="false">IF(A2011="","",IF(D2011="GCIA LINEA SERVICIO DIGITALIDAD Y VENTAS","Chats",IF(OR(D2011="GERENCIA INBOUND LÍNEAS SERVICIO Y VENTA",D2011="GERENCIA INBOUND LINEAS ESPECIALIZADAS"),"Llamadas","Otro")))</f>
        <v/>
      </c>
      <c r="I2011" s="23" t="str">
        <f aca="false">IF(A2011="","",IF(C2011="No encontrado","No","Sí"))</f>
        <v/>
      </c>
      <c r="J2011" s="23" t="str">
        <f aca="false">IF(A2011="","",IF(F2011="Inactivo","No","Sí"))</f>
        <v/>
      </c>
      <c r="K2011" s="23" t="str">
        <f aca="false">IF(A2011="","",IF(AND(I2011="Sí",J2011="Sí"),"Sí","No"))</f>
        <v/>
      </c>
    </row>
    <row r="2012" customFormat="false" ht="15" hidden="false" customHeight="false" outlineLevel="0" collapsed="false">
      <c r="A2012" s="22"/>
      <c r="B2012" s="22"/>
      <c r="C2012" s="26" t="str">
        <f aca="false">IF(A2012="","",IFERROR(buscarx(A2012&amp;B2012,DATA!$E$3:$E$10000&amp;DATA!$B$3:$B$10000,DATA!$M$3:$M$10000),"No encontrado"))</f>
        <v/>
      </c>
      <c r="D2012" s="27" t="str">
        <f aca="false">IF(A2012="","",IFERROR(buscarx(A2012&amp;B2012,DATA!$E$3:$E$10000&amp;DATA!$B$3:$B$10000,DATA!$W$3:$W$10000),"No encontrado"))</f>
        <v/>
      </c>
      <c r="E2012" s="22"/>
      <c r="F2012" s="26" t="str">
        <f aca="false">IF(A2012="","",IFERROR(buscarx(A2012&amp;E2012,DATA!$E$3:$E$10000&amp;DATA!$B$3:$B$10000,DATA!$M$3:$M$10000),"Inactivo"))</f>
        <v/>
      </c>
      <c r="G2012" s="28" t="str">
        <f aca="false">IF(A2012="","",IF(AND(C2012&lt;&gt;"No encontrado",F2012&lt;&gt;"Inactivo"),C2012&amp;" → "&amp;F2012,"Sin transición"))</f>
        <v/>
      </c>
      <c r="H2012" s="26" t="str">
        <f aca="false">IF(A2012="","",IF(D2012="GCIA LINEA SERVICIO DIGITALIDAD Y VENTAS","Chats",IF(OR(D2012="GERENCIA INBOUND LÍNEAS SERVICIO Y VENTA",D2012="GERENCIA INBOUND LINEAS ESPECIALIZADAS"),"Llamadas","Otro")))</f>
        <v/>
      </c>
      <c r="I2012" s="26" t="str">
        <f aca="false">IF(A2012="","",IF(C2012="No encontrado","No","Sí"))</f>
        <v/>
      </c>
      <c r="J2012" s="26" t="str">
        <f aca="false">IF(A2012="","",IF(F2012="Inactivo","No","Sí"))</f>
        <v/>
      </c>
      <c r="K2012" s="26" t="str">
        <f aca="false">IF(A2012="","",IF(AND(I2012="Sí",J2012="Sí"),"Sí","No"))</f>
        <v/>
      </c>
    </row>
    <row r="2013" customFormat="false" ht="15" hidden="false" customHeight="false" outlineLevel="0" collapsed="false">
      <c r="A2013" s="22"/>
      <c r="B2013" s="22"/>
      <c r="C2013" s="23" t="str">
        <f aca="false">IF(A2013="","",IFERROR(buscarx(A2013&amp;B2013,DATA!$E$3:$E$10000&amp;DATA!$B$3:$B$10000,DATA!$M$3:$M$10000),"No encontrado"))</f>
        <v/>
      </c>
      <c r="D2013" s="24" t="str">
        <f aca="false">IF(A2013="","",IFERROR(buscarx(A2013&amp;B2013,DATA!$E$3:$E$10000&amp;DATA!$B$3:$B$10000,DATA!$W$3:$W$10000),"No encontrado"))</f>
        <v/>
      </c>
      <c r="E2013" s="22"/>
      <c r="F2013" s="23" t="str">
        <f aca="false">IF(A2013="","",IFERROR(buscarx(A2013&amp;E2013,DATA!$E$3:$E$10000&amp;DATA!$B$3:$B$10000,DATA!$M$3:$M$10000),"Inactivo"))</f>
        <v/>
      </c>
      <c r="G2013" s="25" t="str">
        <f aca="false">IF(A2013="","",IF(AND(C2013&lt;&gt;"No encontrado",F2013&lt;&gt;"Inactivo"),C2013&amp;" → "&amp;F2013,"Sin transición"))</f>
        <v/>
      </c>
      <c r="H2013" s="23" t="str">
        <f aca="false">IF(A2013="","",IF(D2013="GCIA LINEA SERVICIO DIGITALIDAD Y VENTAS","Chats",IF(OR(D2013="GERENCIA INBOUND LÍNEAS SERVICIO Y VENTA",D2013="GERENCIA INBOUND LINEAS ESPECIALIZADAS"),"Llamadas","Otro")))</f>
        <v/>
      </c>
      <c r="I2013" s="23" t="str">
        <f aca="false">IF(A2013="","",IF(C2013="No encontrado","No","Sí"))</f>
        <v/>
      </c>
      <c r="J2013" s="23" t="str">
        <f aca="false">IF(A2013="","",IF(F2013="Inactivo","No","Sí"))</f>
        <v/>
      </c>
      <c r="K2013" s="23" t="str">
        <f aca="false">IF(A2013="","",IF(AND(I2013="Sí",J2013="Sí"),"Sí","No"))</f>
        <v/>
      </c>
    </row>
    <row r="2014" customFormat="false" ht="15" hidden="false" customHeight="false" outlineLevel="0" collapsed="false">
      <c r="A2014" s="22"/>
      <c r="B2014" s="22"/>
      <c r="C2014" s="26" t="str">
        <f aca="false">IF(A2014="","",IFERROR(buscarx(A2014&amp;B2014,DATA!$E$3:$E$10000&amp;DATA!$B$3:$B$10000,DATA!$M$3:$M$10000),"No encontrado"))</f>
        <v/>
      </c>
      <c r="D2014" s="27" t="str">
        <f aca="false">IF(A2014="","",IFERROR(buscarx(A2014&amp;B2014,DATA!$E$3:$E$10000&amp;DATA!$B$3:$B$10000,DATA!$W$3:$W$10000),"No encontrado"))</f>
        <v/>
      </c>
      <c r="E2014" s="22"/>
      <c r="F2014" s="26" t="str">
        <f aca="false">IF(A2014="","",IFERROR(buscarx(A2014&amp;E2014,DATA!$E$3:$E$10000&amp;DATA!$B$3:$B$10000,DATA!$M$3:$M$10000),"Inactivo"))</f>
        <v/>
      </c>
      <c r="G2014" s="28" t="str">
        <f aca="false">IF(A2014="","",IF(AND(C2014&lt;&gt;"No encontrado",F2014&lt;&gt;"Inactivo"),C2014&amp;" → "&amp;F2014,"Sin transición"))</f>
        <v/>
      </c>
      <c r="H2014" s="26" t="str">
        <f aca="false">IF(A2014="","",IF(D2014="GCIA LINEA SERVICIO DIGITALIDAD Y VENTAS","Chats",IF(OR(D2014="GERENCIA INBOUND LÍNEAS SERVICIO Y VENTA",D2014="GERENCIA INBOUND LINEAS ESPECIALIZADAS"),"Llamadas","Otro")))</f>
        <v/>
      </c>
      <c r="I2014" s="26" t="str">
        <f aca="false">IF(A2014="","",IF(C2014="No encontrado","No","Sí"))</f>
        <v/>
      </c>
      <c r="J2014" s="26" t="str">
        <f aca="false">IF(A2014="","",IF(F2014="Inactivo","No","Sí"))</f>
        <v/>
      </c>
      <c r="K2014" s="26" t="str">
        <f aca="false">IF(A2014="","",IF(AND(I2014="Sí",J2014="Sí"),"Sí","No"))</f>
        <v/>
      </c>
    </row>
    <row r="2015" customFormat="false" ht="15" hidden="false" customHeight="false" outlineLevel="0" collapsed="false">
      <c r="A2015" s="22"/>
      <c r="B2015" s="22"/>
      <c r="C2015" s="23" t="str">
        <f aca="false">IF(A2015="","",IFERROR(buscarx(A2015&amp;B2015,DATA!$E$3:$E$10000&amp;DATA!$B$3:$B$10000,DATA!$M$3:$M$10000),"No encontrado"))</f>
        <v/>
      </c>
      <c r="D2015" s="24" t="str">
        <f aca="false">IF(A2015="","",IFERROR(buscarx(A2015&amp;B2015,DATA!$E$3:$E$10000&amp;DATA!$B$3:$B$10000,DATA!$W$3:$W$10000),"No encontrado"))</f>
        <v/>
      </c>
      <c r="E2015" s="22"/>
      <c r="F2015" s="23" t="str">
        <f aca="false">IF(A2015="","",IFERROR(buscarx(A2015&amp;E2015,DATA!$E$3:$E$10000&amp;DATA!$B$3:$B$10000,DATA!$M$3:$M$10000),"Inactivo"))</f>
        <v/>
      </c>
      <c r="G2015" s="25" t="str">
        <f aca="false">IF(A2015="","",IF(AND(C2015&lt;&gt;"No encontrado",F2015&lt;&gt;"Inactivo"),C2015&amp;" → "&amp;F2015,"Sin transición"))</f>
        <v/>
      </c>
      <c r="H2015" s="23" t="str">
        <f aca="false">IF(A2015="","",IF(D2015="GCIA LINEA SERVICIO DIGITALIDAD Y VENTAS","Chats",IF(OR(D2015="GERENCIA INBOUND LÍNEAS SERVICIO Y VENTA",D2015="GERENCIA INBOUND LINEAS ESPECIALIZADAS"),"Llamadas","Otro")))</f>
        <v/>
      </c>
      <c r="I2015" s="23" t="str">
        <f aca="false">IF(A2015="","",IF(C2015="No encontrado","No","Sí"))</f>
        <v/>
      </c>
      <c r="J2015" s="23" t="str">
        <f aca="false">IF(A2015="","",IF(F2015="Inactivo","No","Sí"))</f>
        <v/>
      </c>
      <c r="K2015" s="23" t="str">
        <f aca="false">IF(A2015="","",IF(AND(I2015="Sí",J2015="Sí"),"Sí","No"))</f>
        <v/>
      </c>
    </row>
    <row r="2016" customFormat="false" ht="15" hidden="false" customHeight="false" outlineLevel="0" collapsed="false">
      <c r="A2016" s="22"/>
      <c r="B2016" s="22"/>
      <c r="C2016" s="26" t="str">
        <f aca="false">IF(A2016="","",IFERROR(buscarx(A2016&amp;B2016,DATA!$E$3:$E$10000&amp;DATA!$B$3:$B$10000,DATA!$M$3:$M$10000),"No encontrado"))</f>
        <v/>
      </c>
      <c r="D2016" s="27" t="str">
        <f aca="false">IF(A2016="","",IFERROR(buscarx(A2016&amp;B2016,DATA!$E$3:$E$10000&amp;DATA!$B$3:$B$10000,DATA!$W$3:$W$10000),"No encontrado"))</f>
        <v/>
      </c>
      <c r="E2016" s="22"/>
      <c r="F2016" s="26" t="str">
        <f aca="false">IF(A2016="","",IFERROR(buscarx(A2016&amp;E2016,DATA!$E$3:$E$10000&amp;DATA!$B$3:$B$10000,DATA!$M$3:$M$10000),"Inactivo"))</f>
        <v/>
      </c>
      <c r="G2016" s="28" t="str">
        <f aca="false">IF(A2016="","",IF(AND(C2016&lt;&gt;"No encontrado",F2016&lt;&gt;"Inactivo"),C2016&amp;" → "&amp;F2016,"Sin transición"))</f>
        <v/>
      </c>
      <c r="H2016" s="26" t="str">
        <f aca="false">IF(A2016="","",IF(D2016="GCIA LINEA SERVICIO DIGITALIDAD Y VENTAS","Chats",IF(OR(D2016="GERENCIA INBOUND LÍNEAS SERVICIO Y VENTA",D2016="GERENCIA INBOUND LINEAS ESPECIALIZADAS"),"Llamadas","Otro")))</f>
        <v/>
      </c>
      <c r="I2016" s="26" t="str">
        <f aca="false">IF(A2016="","",IF(C2016="No encontrado","No","Sí"))</f>
        <v/>
      </c>
      <c r="J2016" s="26" t="str">
        <f aca="false">IF(A2016="","",IF(F2016="Inactivo","No","Sí"))</f>
        <v/>
      </c>
      <c r="K2016" s="26" t="str">
        <f aca="false">IF(A2016="","",IF(AND(I2016="Sí",J2016="Sí"),"Sí","No"))</f>
        <v/>
      </c>
    </row>
    <row r="2017" customFormat="false" ht="15" hidden="false" customHeight="false" outlineLevel="0" collapsed="false">
      <c r="A2017" s="22"/>
      <c r="B2017" s="22"/>
      <c r="C2017" s="23" t="str">
        <f aca="false">IF(A2017="","",IFERROR(buscarx(A2017&amp;B2017,DATA!$E$3:$E$10000&amp;DATA!$B$3:$B$10000,DATA!$M$3:$M$10000),"No encontrado"))</f>
        <v/>
      </c>
      <c r="D2017" s="24" t="str">
        <f aca="false">IF(A2017="","",IFERROR(buscarx(A2017&amp;B2017,DATA!$E$3:$E$10000&amp;DATA!$B$3:$B$10000,DATA!$W$3:$W$10000),"No encontrado"))</f>
        <v/>
      </c>
      <c r="E2017" s="22"/>
      <c r="F2017" s="23" t="str">
        <f aca="false">IF(A2017="","",IFERROR(buscarx(A2017&amp;E2017,DATA!$E$3:$E$10000&amp;DATA!$B$3:$B$10000,DATA!$M$3:$M$10000),"Inactivo"))</f>
        <v/>
      </c>
      <c r="G2017" s="25" t="str">
        <f aca="false">IF(A2017="","",IF(AND(C2017&lt;&gt;"No encontrado",F2017&lt;&gt;"Inactivo"),C2017&amp;" → "&amp;F2017,"Sin transición"))</f>
        <v/>
      </c>
      <c r="H2017" s="23" t="str">
        <f aca="false">IF(A2017="","",IF(D2017="GCIA LINEA SERVICIO DIGITALIDAD Y VENTAS","Chats",IF(OR(D2017="GERENCIA INBOUND LÍNEAS SERVICIO Y VENTA",D2017="GERENCIA INBOUND LINEAS ESPECIALIZADAS"),"Llamadas","Otro")))</f>
        <v/>
      </c>
      <c r="I2017" s="23" t="str">
        <f aca="false">IF(A2017="","",IF(C2017="No encontrado","No","Sí"))</f>
        <v/>
      </c>
      <c r="J2017" s="23" t="str">
        <f aca="false">IF(A2017="","",IF(F2017="Inactivo","No","Sí"))</f>
        <v/>
      </c>
      <c r="K2017" s="23" t="str">
        <f aca="false">IF(A2017="","",IF(AND(I2017="Sí",J2017="Sí"),"Sí","No"))</f>
        <v/>
      </c>
    </row>
    <row r="2018" customFormat="false" ht="15" hidden="false" customHeight="false" outlineLevel="0" collapsed="false">
      <c r="A2018" s="22"/>
      <c r="B2018" s="22"/>
      <c r="C2018" s="26" t="str">
        <f aca="false">IF(A2018="","",IFERROR(buscarx(A2018&amp;B2018,DATA!$E$3:$E$10000&amp;DATA!$B$3:$B$10000,DATA!$M$3:$M$10000),"No encontrado"))</f>
        <v/>
      </c>
      <c r="D2018" s="27" t="str">
        <f aca="false">IF(A2018="","",IFERROR(buscarx(A2018&amp;B2018,DATA!$E$3:$E$10000&amp;DATA!$B$3:$B$10000,DATA!$W$3:$W$10000),"No encontrado"))</f>
        <v/>
      </c>
      <c r="E2018" s="22"/>
      <c r="F2018" s="26" t="str">
        <f aca="false">IF(A2018="","",IFERROR(buscarx(A2018&amp;E2018,DATA!$E$3:$E$10000&amp;DATA!$B$3:$B$10000,DATA!$M$3:$M$10000),"Inactivo"))</f>
        <v/>
      </c>
      <c r="G2018" s="28" t="str">
        <f aca="false">IF(A2018="","",IF(AND(C2018&lt;&gt;"No encontrado",F2018&lt;&gt;"Inactivo"),C2018&amp;" → "&amp;F2018,"Sin transición"))</f>
        <v/>
      </c>
      <c r="H2018" s="26" t="str">
        <f aca="false">IF(A2018="","",IF(D2018="GCIA LINEA SERVICIO DIGITALIDAD Y VENTAS","Chats",IF(OR(D2018="GERENCIA INBOUND LÍNEAS SERVICIO Y VENTA",D2018="GERENCIA INBOUND LINEAS ESPECIALIZADAS"),"Llamadas","Otro")))</f>
        <v/>
      </c>
      <c r="I2018" s="26" t="str">
        <f aca="false">IF(A2018="","",IF(C2018="No encontrado","No","Sí"))</f>
        <v/>
      </c>
      <c r="J2018" s="26" t="str">
        <f aca="false">IF(A2018="","",IF(F2018="Inactivo","No","Sí"))</f>
        <v/>
      </c>
      <c r="K2018" s="26" t="str">
        <f aca="false">IF(A2018="","",IF(AND(I2018="Sí",J2018="Sí"),"Sí","No"))</f>
        <v/>
      </c>
    </row>
    <row r="2019" customFormat="false" ht="15" hidden="false" customHeight="false" outlineLevel="0" collapsed="false">
      <c r="A2019" s="22"/>
      <c r="B2019" s="22"/>
      <c r="C2019" s="23" t="str">
        <f aca="false">IF(A2019="","",IFERROR(buscarx(A2019&amp;B2019,DATA!$E$3:$E$10000&amp;DATA!$B$3:$B$10000,DATA!$M$3:$M$10000),"No encontrado"))</f>
        <v/>
      </c>
      <c r="D2019" s="24" t="str">
        <f aca="false">IF(A2019="","",IFERROR(buscarx(A2019&amp;B2019,DATA!$E$3:$E$10000&amp;DATA!$B$3:$B$10000,DATA!$W$3:$W$10000),"No encontrado"))</f>
        <v/>
      </c>
      <c r="E2019" s="22"/>
      <c r="F2019" s="23" t="str">
        <f aca="false">IF(A2019="","",IFERROR(buscarx(A2019&amp;E2019,DATA!$E$3:$E$10000&amp;DATA!$B$3:$B$10000,DATA!$M$3:$M$10000),"Inactivo"))</f>
        <v/>
      </c>
      <c r="G2019" s="25" t="str">
        <f aca="false">IF(A2019="","",IF(AND(C2019&lt;&gt;"No encontrado",F2019&lt;&gt;"Inactivo"),C2019&amp;" → "&amp;F2019,"Sin transición"))</f>
        <v/>
      </c>
      <c r="H2019" s="23" t="str">
        <f aca="false">IF(A2019="","",IF(D2019="GCIA LINEA SERVICIO DIGITALIDAD Y VENTAS","Chats",IF(OR(D2019="GERENCIA INBOUND LÍNEAS SERVICIO Y VENTA",D2019="GERENCIA INBOUND LINEAS ESPECIALIZADAS"),"Llamadas","Otro")))</f>
        <v/>
      </c>
      <c r="I2019" s="23" t="str">
        <f aca="false">IF(A2019="","",IF(C2019="No encontrado","No","Sí"))</f>
        <v/>
      </c>
      <c r="J2019" s="23" t="str">
        <f aca="false">IF(A2019="","",IF(F2019="Inactivo","No","Sí"))</f>
        <v/>
      </c>
      <c r="K2019" s="23" t="str">
        <f aca="false">IF(A2019="","",IF(AND(I2019="Sí",J2019="Sí"),"Sí","No"))</f>
        <v/>
      </c>
    </row>
    <row r="2020" customFormat="false" ht="15" hidden="false" customHeight="false" outlineLevel="0" collapsed="false">
      <c r="A2020" s="22"/>
      <c r="B2020" s="22"/>
      <c r="C2020" s="26" t="str">
        <f aca="false">IF(A2020="","",IFERROR(buscarx(A2020&amp;B2020,DATA!$E$3:$E$10000&amp;DATA!$B$3:$B$10000,DATA!$M$3:$M$10000),"No encontrado"))</f>
        <v/>
      </c>
      <c r="D2020" s="27" t="str">
        <f aca="false">IF(A2020="","",IFERROR(buscarx(A2020&amp;B2020,DATA!$E$3:$E$10000&amp;DATA!$B$3:$B$10000,DATA!$W$3:$W$10000),"No encontrado"))</f>
        <v/>
      </c>
      <c r="E2020" s="22"/>
      <c r="F2020" s="26" t="str">
        <f aca="false">IF(A2020="","",IFERROR(buscarx(A2020&amp;E2020,DATA!$E$3:$E$10000&amp;DATA!$B$3:$B$10000,DATA!$M$3:$M$10000),"Inactivo"))</f>
        <v/>
      </c>
      <c r="G2020" s="28" t="str">
        <f aca="false">IF(A2020="","",IF(AND(C2020&lt;&gt;"No encontrado",F2020&lt;&gt;"Inactivo"),C2020&amp;" → "&amp;F2020,"Sin transición"))</f>
        <v/>
      </c>
      <c r="H2020" s="26" t="str">
        <f aca="false">IF(A2020="","",IF(D2020="GCIA LINEA SERVICIO DIGITALIDAD Y VENTAS","Chats",IF(OR(D2020="GERENCIA INBOUND LÍNEAS SERVICIO Y VENTA",D2020="GERENCIA INBOUND LINEAS ESPECIALIZADAS"),"Llamadas","Otro")))</f>
        <v/>
      </c>
      <c r="I2020" s="26" t="str">
        <f aca="false">IF(A2020="","",IF(C2020="No encontrado","No","Sí"))</f>
        <v/>
      </c>
      <c r="J2020" s="26" t="str">
        <f aca="false">IF(A2020="","",IF(F2020="Inactivo","No","Sí"))</f>
        <v/>
      </c>
      <c r="K2020" s="26" t="str">
        <f aca="false">IF(A2020="","",IF(AND(I2020="Sí",J2020="Sí"),"Sí","No"))</f>
        <v/>
      </c>
    </row>
    <row r="2021" customFormat="false" ht="15" hidden="false" customHeight="false" outlineLevel="0" collapsed="false">
      <c r="A2021" s="22"/>
      <c r="B2021" s="22"/>
      <c r="C2021" s="23" t="str">
        <f aca="false">IF(A2021="","",IFERROR(buscarx(A2021&amp;B2021,DATA!$E$3:$E$10000&amp;DATA!$B$3:$B$10000,DATA!$M$3:$M$10000),"No encontrado"))</f>
        <v/>
      </c>
      <c r="D2021" s="24" t="str">
        <f aca="false">IF(A2021="","",IFERROR(buscarx(A2021&amp;B2021,DATA!$E$3:$E$10000&amp;DATA!$B$3:$B$10000,DATA!$W$3:$W$10000),"No encontrado"))</f>
        <v/>
      </c>
      <c r="E2021" s="22"/>
      <c r="F2021" s="23" t="str">
        <f aca="false">IF(A2021="","",IFERROR(buscarx(A2021&amp;E2021,DATA!$E$3:$E$10000&amp;DATA!$B$3:$B$10000,DATA!$M$3:$M$10000),"Inactivo"))</f>
        <v/>
      </c>
      <c r="G2021" s="25" t="str">
        <f aca="false">IF(A2021="","",IF(AND(C2021&lt;&gt;"No encontrado",F2021&lt;&gt;"Inactivo"),C2021&amp;" → "&amp;F2021,"Sin transición"))</f>
        <v/>
      </c>
      <c r="H2021" s="23" t="str">
        <f aca="false">IF(A2021="","",IF(D2021="GCIA LINEA SERVICIO DIGITALIDAD Y VENTAS","Chats",IF(OR(D2021="GERENCIA INBOUND LÍNEAS SERVICIO Y VENTA",D2021="GERENCIA INBOUND LINEAS ESPECIALIZADAS"),"Llamadas","Otro")))</f>
        <v/>
      </c>
      <c r="I2021" s="23" t="str">
        <f aca="false">IF(A2021="","",IF(C2021="No encontrado","No","Sí"))</f>
        <v/>
      </c>
      <c r="J2021" s="23" t="str">
        <f aca="false">IF(A2021="","",IF(F2021="Inactivo","No","Sí"))</f>
        <v/>
      </c>
      <c r="K2021" s="23" t="str">
        <f aca="false">IF(A2021="","",IF(AND(I2021="Sí",J2021="Sí"),"Sí","No"))</f>
        <v/>
      </c>
    </row>
    <row r="2022" customFormat="false" ht="15" hidden="false" customHeight="false" outlineLevel="0" collapsed="false">
      <c r="A2022" s="22"/>
      <c r="B2022" s="22"/>
      <c r="C2022" s="26" t="str">
        <f aca="false">IF(A2022="","",IFERROR(buscarx(A2022&amp;B2022,DATA!$E$3:$E$10000&amp;DATA!$B$3:$B$10000,DATA!$M$3:$M$10000),"No encontrado"))</f>
        <v/>
      </c>
      <c r="D2022" s="27" t="str">
        <f aca="false">IF(A2022="","",IFERROR(buscarx(A2022&amp;B2022,DATA!$E$3:$E$10000&amp;DATA!$B$3:$B$10000,DATA!$W$3:$W$10000),"No encontrado"))</f>
        <v/>
      </c>
      <c r="E2022" s="22"/>
      <c r="F2022" s="26" t="str">
        <f aca="false">IF(A2022="","",IFERROR(buscarx(A2022&amp;E2022,DATA!$E$3:$E$10000&amp;DATA!$B$3:$B$10000,DATA!$M$3:$M$10000),"Inactivo"))</f>
        <v/>
      </c>
      <c r="G2022" s="28" t="str">
        <f aca="false">IF(A2022="","",IF(AND(C2022&lt;&gt;"No encontrado",F2022&lt;&gt;"Inactivo"),C2022&amp;" → "&amp;F2022,"Sin transición"))</f>
        <v/>
      </c>
      <c r="H2022" s="26" t="str">
        <f aca="false">IF(A2022="","",IF(D2022="GCIA LINEA SERVICIO DIGITALIDAD Y VENTAS","Chats",IF(OR(D2022="GERENCIA INBOUND LÍNEAS SERVICIO Y VENTA",D2022="GERENCIA INBOUND LINEAS ESPECIALIZADAS"),"Llamadas","Otro")))</f>
        <v/>
      </c>
      <c r="I2022" s="26" t="str">
        <f aca="false">IF(A2022="","",IF(C2022="No encontrado","No","Sí"))</f>
        <v/>
      </c>
      <c r="J2022" s="26" t="str">
        <f aca="false">IF(A2022="","",IF(F2022="Inactivo","No","Sí"))</f>
        <v/>
      </c>
      <c r="K2022" s="26" t="str">
        <f aca="false">IF(A2022="","",IF(AND(I2022="Sí",J2022="Sí"),"Sí","No"))</f>
        <v/>
      </c>
    </row>
    <row r="2023" customFormat="false" ht="15" hidden="false" customHeight="false" outlineLevel="0" collapsed="false">
      <c r="A2023" s="22"/>
      <c r="B2023" s="22"/>
      <c r="C2023" s="23" t="str">
        <f aca="false">IF(A2023="","",IFERROR(buscarx(A2023&amp;B2023,DATA!$E$3:$E$10000&amp;DATA!$B$3:$B$10000,DATA!$M$3:$M$10000),"No encontrado"))</f>
        <v/>
      </c>
      <c r="D2023" s="24" t="str">
        <f aca="false">IF(A2023="","",IFERROR(buscarx(A2023&amp;B2023,DATA!$E$3:$E$10000&amp;DATA!$B$3:$B$10000,DATA!$W$3:$W$10000),"No encontrado"))</f>
        <v/>
      </c>
      <c r="E2023" s="22"/>
      <c r="F2023" s="23" t="str">
        <f aca="false">IF(A2023="","",IFERROR(buscarx(A2023&amp;E2023,DATA!$E$3:$E$10000&amp;DATA!$B$3:$B$10000,DATA!$M$3:$M$10000),"Inactivo"))</f>
        <v/>
      </c>
      <c r="G2023" s="25" t="str">
        <f aca="false">IF(A2023="","",IF(AND(C2023&lt;&gt;"No encontrado",F2023&lt;&gt;"Inactivo"),C2023&amp;" → "&amp;F2023,"Sin transición"))</f>
        <v/>
      </c>
      <c r="H2023" s="23" t="str">
        <f aca="false">IF(A2023="","",IF(D2023="GCIA LINEA SERVICIO DIGITALIDAD Y VENTAS","Chats",IF(OR(D2023="GERENCIA INBOUND LÍNEAS SERVICIO Y VENTA",D2023="GERENCIA INBOUND LINEAS ESPECIALIZADAS"),"Llamadas","Otro")))</f>
        <v/>
      </c>
      <c r="I2023" s="23" t="str">
        <f aca="false">IF(A2023="","",IF(C2023="No encontrado","No","Sí"))</f>
        <v/>
      </c>
      <c r="J2023" s="23" t="str">
        <f aca="false">IF(A2023="","",IF(F2023="Inactivo","No","Sí"))</f>
        <v/>
      </c>
      <c r="K2023" s="23" t="str">
        <f aca="false">IF(A2023="","",IF(AND(I2023="Sí",J2023="Sí"),"Sí","No"))</f>
        <v/>
      </c>
    </row>
    <row r="2024" customFormat="false" ht="15" hidden="false" customHeight="false" outlineLevel="0" collapsed="false">
      <c r="A2024" s="22"/>
      <c r="B2024" s="22"/>
      <c r="C2024" s="26" t="str">
        <f aca="false">IF(A2024="","",IFERROR(buscarx(A2024&amp;B2024,DATA!$E$3:$E$10000&amp;DATA!$B$3:$B$10000,DATA!$M$3:$M$10000),"No encontrado"))</f>
        <v/>
      </c>
      <c r="D2024" s="27" t="str">
        <f aca="false">IF(A2024="","",IFERROR(buscarx(A2024&amp;B2024,DATA!$E$3:$E$10000&amp;DATA!$B$3:$B$10000,DATA!$W$3:$W$10000),"No encontrado"))</f>
        <v/>
      </c>
      <c r="E2024" s="22"/>
      <c r="F2024" s="26" t="str">
        <f aca="false">IF(A2024="","",IFERROR(buscarx(A2024&amp;E2024,DATA!$E$3:$E$10000&amp;DATA!$B$3:$B$10000,DATA!$M$3:$M$10000),"Inactivo"))</f>
        <v/>
      </c>
      <c r="G2024" s="28" t="str">
        <f aca="false">IF(A2024="","",IF(AND(C2024&lt;&gt;"No encontrado",F2024&lt;&gt;"Inactivo"),C2024&amp;" → "&amp;F2024,"Sin transición"))</f>
        <v/>
      </c>
      <c r="H2024" s="26" t="str">
        <f aca="false">IF(A2024="","",IF(D2024="GCIA LINEA SERVICIO DIGITALIDAD Y VENTAS","Chats",IF(OR(D2024="GERENCIA INBOUND LÍNEAS SERVICIO Y VENTA",D2024="GERENCIA INBOUND LINEAS ESPECIALIZADAS"),"Llamadas","Otro")))</f>
        <v/>
      </c>
      <c r="I2024" s="26" t="str">
        <f aca="false">IF(A2024="","",IF(C2024="No encontrado","No","Sí"))</f>
        <v/>
      </c>
      <c r="J2024" s="26" t="str">
        <f aca="false">IF(A2024="","",IF(F2024="Inactivo","No","Sí"))</f>
        <v/>
      </c>
      <c r="K2024" s="26" t="str">
        <f aca="false">IF(A2024="","",IF(AND(I2024="Sí",J2024="Sí"),"Sí","No"))</f>
        <v/>
      </c>
    </row>
    <row r="2025" customFormat="false" ht="15" hidden="false" customHeight="false" outlineLevel="0" collapsed="false">
      <c r="A2025" s="22"/>
      <c r="B2025" s="22"/>
      <c r="C2025" s="23" t="str">
        <f aca="false">IF(A2025="","",IFERROR(buscarx(A2025&amp;B2025,DATA!$E$3:$E$10000&amp;DATA!$B$3:$B$10000,DATA!$M$3:$M$10000),"No encontrado"))</f>
        <v/>
      </c>
      <c r="D2025" s="24" t="str">
        <f aca="false">IF(A2025="","",IFERROR(buscarx(A2025&amp;B2025,DATA!$E$3:$E$10000&amp;DATA!$B$3:$B$10000,DATA!$W$3:$W$10000),"No encontrado"))</f>
        <v/>
      </c>
      <c r="E2025" s="22"/>
      <c r="F2025" s="23" t="str">
        <f aca="false">IF(A2025="","",IFERROR(buscarx(A2025&amp;E2025,DATA!$E$3:$E$10000&amp;DATA!$B$3:$B$10000,DATA!$M$3:$M$10000),"Inactivo"))</f>
        <v/>
      </c>
      <c r="G2025" s="25" t="str">
        <f aca="false">IF(A2025="","",IF(AND(C2025&lt;&gt;"No encontrado",F2025&lt;&gt;"Inactivo"),C2025&amp;" → "&amp;F2025,"Sin transición"))</f>
        <v/>
      </c>
      <c r="H2025" s="23" t="str">
        <f aca="false">IF(A2025="","",IF(D2025="GCIA LINEA SERVICIO DIGITALIDAD Y VENTAS","Chats",IF(OR(D2025="GERENCIA INBOUND LÍNEAS SERVICIO Y VENTA",D2025="GERENCIA INBOUND LINEAS ESPECIALIZADAS"),"Llamadas","Otro")))</f>
        <v/>
      </c>
      <c r="I2025" s="23" t="str">
        <f aca="false">IF(A2025="","",IF(C2025="No encontrado","No","Sí"))</f>
        <v/>
      </c>
      <c r="J2025" s="23" t="str">
        <f aca="false">IF(A2025="","",IF(F2025="Inactivo","No","Sí"))</f>
        <v/>
      </c>
      <c r="K2025" s="23" t="str">
        <f aca="false">IF(A2025="","",IF(AND(I2025="Sí",J2025="Sí"),"Sí","No"))</f>
        <v/>
      </c>
    </row>
    <row r="2026" customFormat="false" ht="15" hidden="false" customHeight="false" outlineLevel="0" collapsed="false">
      <c r="A2026" s="22"/>
      <c r="B2026" s="22"/>
      <c r="C2026" s="26" t="str">
        <f aca="false">IF(A2026="","",IFERROR(buscarx(A2026&amp;B2026,DATA!$E$3:$E$10000&amp;DATA!$B$3:$B$10000,DATA!$M$3:$M$10000),"No encontrado"))</f>
        <v/>
      </c>
      <c r="D2026" s="27" t="str">
        <f aca="false">IF(A2026="","",IFERROR(buscarx(A2026&amp;B2026,DATA!$E$3:$E$10000&amp;DATA!$B$3:$B$10000,DATA!$W$3:$W$10000),"No encontrado"))</f>
        <v/>
      </c>
      <c r="E2026" s="22"/>
      <c r="F2026" s="26" t="str">
        <f aca="false">IF(A2026="","",IFERROR(buscarx(A2026&amp;E2026,DATA!$E$3:$E$10000&amp;DATA!$B$3:$B$10000,DATA!$M$3:$M$10000),"Inactivo"))</f>
        <v/>
      </c>
      <c r="G2026" s="28" t="str">
        <f aca="false">IF(A2026="","",IF(AND(C2026&lt;&gt;"No encontrado",F2026&lt;&gt;"Inactivo"),C2026&amp;" → "&amp;F2026,"Sin transición"))</f>
        <v/>
      </c>
      <c r="H2026" s="26" t="str">
        <f aca="false">IF(A2026="","",IF(D2026="GCIA LINEA SERVICIO DIGITALIDAD Y VENTAS","Chats",IF(OR(D2026="GERENCIA INBOUND LÍNEAS SERVICIO Y VENTA",D2026="GERENCIA INBOUND LINEAS ESPECIALIZADAS"),"Llamadas","Otro")))</f>
        <v/>
      </c>
      <c r="I2026" s="26" t="str">
        <f aca="false">IF(A2026="","",IF(C2026="No encontrado","No","Sí"))</f>
        <v/>
      </c>
      <c r="J2026" s="26" t="str">
        <f aca="false">IF(A2026="","",IF(F2026="Inactivo","No","Sí"))</f>
        <v/>
      </c>
      <c r="K2026" s="26" t="str">
        <f aca="false">IF(A2026="","",IF(AND(I2026="Sí",J2026="Sí"),"Sí","No"))</f>
        <v/>
      </c>
    </row>
    <row r="2027" customFormat="false" ht="15" hidden="false" customHeight="false" outlineLevel="0" collapsed="false">
      <c r="A2027" s="22"/>
      <c r="B2027" s="22"/>
      <c r="C2027" s="23" t="str">
        <f aca="false">IF(A2027="","",IFERROR(buscarx(A2027&amp;B2027,DATA!$E$3:$E$10000&amp;DATA!$B$3:$B$10000,DATA!$M$3:$M$10000),"No encontrado"))</f>
        <v/>
      </c>
      <c r="D2027" s="24" t="str">
        <f aca="false">IF(A2027="","",IFERROR(buscarx(A2027&amp;B2027,DATA!$E$3:$E$10000&amp;DATA!$B$3:$B$10000,DATA!$W$3:$W$10000),"No encontrado"))</f>
        <v/>
      </c>
      <c r="E2027" s="22"/>
      <c r="F2027" s="23" t="str">
        <f aca="false">IF(A2027="","",IFERROR(buscarx(A2027&amp;E2027,DATA!$E$3:$E$10000&amp;DATA!$B$3:$B$10000,DATA!$M$3:$M$10000),"Inactivo"))</f>
        <v/>
      </c>
      <c r="G2027" s="25" t="str">
        <f aca="false">IF(A2027="","",IF(AND(C2027&lt;&gt;"No encontrado",F2027&lt;&gt;"Inactivo"),C2027&amp;" → "&amp;F2027,"Sin transición"))</f>
        <v/>
      </c>
      <c r="H2027" s="23" t="str">
        <f aca="false">IF(A2027="","",IF(D2027="GCIA LINEA SERVICIO DIGITALIDAD Y VENTAS","Chats",IF(OR(D2027="GERENCIA INBOUND LÍNEAS SERVICIO Y VENTA",D2027="GERENCIA INBOUND LINEAS ESPECIALIZADAS"),"Llamadas","Otro")))</f>
        <v/>
      </c>
      <c r="I2027" s="23" t="str">
        <f aca="false">IF(A2027="","",IF(C2027="No encontrado","No","Sí"))</f>
        <v/>
      </c>
      <c r="J2027" s="23" t="str">
        <f aca="false">IF(A2027="","",IF(F2027="Inactivo","No","Sí"))</f>
        <v/>
      </c>
      <c r="K2027" s="23" t="str">
        <f aca="false">IF(A2027="","",IF(AND(I2027="Sí",J2027="Sí"),"Sí","No"))</f>
        <v/>
      </c>
    </row>
    <row r="2028" customFormat="false" ht="15" hidden="false" customHeight="false" outlineLevel="0" collapsed="false">
      <c r="A2028" s="22"/>
      <c r="B2028" s="22"/>
      <c r="C2028" s="26" t="str">
        <f aca="false">IF(A2028="","",IFERROR(buscarx(A2028&amp;B2028,DATA!$E$3:$E$10000&amp;DATA!$B$3:$B$10000,DATA!$M$3:$M$10000),"No encontrado"))</f>
        <v/>
      </c>
      <c r="D2028" s="27" t="str">
        <f aca="false">IF(A2028="","",IFERROR(buscarx(A2028&amp;B2028,DATA!$E$3:$E$10000&amp;DATA!$B$3:$B$10000,DATA!$W$3:$W$10000),"No encontrado"))</f>
        <v/>
      </c>
      <c r="E2028" s="22"/>
      <c r="F2028" s="26" t="str">
        <f aca="false">IF(A2028="","",IFERROR(buscarx(A2028&amp;E2028,DATA!$E$3:$E$10000&amp;DATA!$B$3:$B$10000,DATA!$M$3:$M$10000),"Inactivo"))</f>
        <v/>
      </c>
      <c r="G2028" s="28" t="str">
        <f aca="false">IF(A2028="","",IF(AND(C2028&lt;&gt;"No encontrado",F2028&lt;&gt;"Inactivo"),C2028&amp;" → "&amp;F2028,"Sin transición"))</f>
        <v/>
      </c>
      <c r="H2028" s="26" t="str">
        <f aca="false">IF(A2028="","",IF(D2028="GCIA LINEA SERVICIO DIGITALIDAD Y VENTAS","Chats",IF(OR(D2028="GERENCIA INBOUND LÍNEAS SERVICIO Y VENTA",D2028="GERENCIA INBOUND LINEAS ESPECIALIZADAS"),"Llamadas","Otro")))</f>
        <v/>
      </c>
      <c r="I2028" s="26" t="str">
        <f aca="false">IF(A2028="","",IF(C2028="No encontrado","No","Sí"))</f>
        <v/>
      </c>
      <c r="J2028" s="26" t="str">
        <f aca="false">IF(A2028="","",IF(F2028="Inactivo","No","Sí"))</f>
        <v/>
      </c>
      <c r="K2028" s="26" t="str">
        <f aca="false">IF(A2028="","",IF(AND(I2028="Sí",J2028="Sí"),"Sí","No"))</f>
        <v/>
      </c>
    </row>
    <row r="2029" customFormat="false" ht="15" hidden="false" customHeight="false" outlineLevel="0" collapsed="false">
      <c r="A2029" s="22"/>
      <c r="B2029" s="22"/>
      <c r="C2029" s="23" t="str">
        <f aca="false">IF(A2029="","",IFERROR(buscarx(A2029&amp;B2029,DATA!$E$3:$E$10000&amp;DATA!$B$3:$B$10000,DATA!$M$3:$M$10000),"No encontrado"))</f>
        <v/>
      </c>
      <c r="D2029" s="24" t="str">
        <f aca="false">IF(A2029="","",IFERROR(buscarx(A2029&amp;B2029,DATA!$E$3:$E$10000&amp;DATA!$B$3:$B$10000,DATA!$W$3:$W$10000),"No encontrado"))</f>
        <v/>
      </c>
      <c r="E2029" s="22"/>
      <c r="F2029" s="23" t="str">
        <f aca="false">IF(A2029="","",IFERROR(buscarx(A2029&amp;E2029,DATA!$E$3:$E$10000&amp;DATA!$B$3:$B$10000,DATA!$M$3:$M$10000),"Inactivo"))</f>
        <v/>
      </c>
      <c r="G2029" s="25" t="str">
        <f aca="false">IF(A2029="","",IF(AND(C2029&lt;&gt;"No encontrado",F2029&lt;&gt;"Inactivo"),C2029&amp;" → "&amp;F2029,"Sin transición"))</f>
        <v/>
      </c>
      <c r="H2029" s="23" t="str">
        <f aca="false">IF(A2029="","",IF(D2029="GCIA LINEA SERVICIO DIGITALIDAD Y VENTAS","Chats",IF(OR(D2029="GERENCIA INBOUND LÍNEAS SERVICIO Y VENTA",D2029="GERENCIA INBOUND LINEAS ESPECIALIZADAS"),"Llamadas","Otro")))</f>
        <v/>
      </c>
      <c r="I2029" s="23" t="str">
        <f aca="false">IF(A2029="","",IF(C2029="No encontrado","No","Sí"))</f>
        <v/>
      </c>
      <c r="J2029" s="23" t="str">
        <f aca="false">IF(A2029="","",IF(F2029="Inactivo","No","Sí"))</f>
        <v/>
      </c>
      <c r="K2029" s="23" t="str">
        <f aca="false">IF(A2029="","",IF(AND(I2029="Sí",J2029="Sí"),"Sí","No"))</f>
        <v/>
      </c>
    </row>
    <row r="2030" customFormat="false" ht="15" hidden="false" customHeight="false" outlineLevel="0" collapsed="false">
      <c r="A2030" s="22"/>
      <c r="B2030" s="22"/>
      <c r="C2030" s="26" t="str">
        <f aca="false">IF(A2030="","",IFERROR(buscarx(A2030&amp;B2030,DATA!$E$3:$E$10000&amp;DATA!$B$3:$B$10000,DATA!$M$3:$M$10000),"No encontrado"))</f>
        <v/>
      </c>
      <c r="D2030" s="27" t="str">
        <f aca="false">IF(A2030="","",IFERROR(buscarx(A2030&amp;B2030,DATA!$E$3:$E$10000&amp;DATA!$B$3:$B$10000,DATA!$W$3:$W$10000),"No encontrado"))</f>
        <v/>
      </c>
      <c r="E2030" s="22"/>
      <c r="F2030" s="26" t="str">
        <f aca="false">IF(A2030="","",IFERROR(buscarx(A2030&amp;E2030,DATA!$E$3:$E$10000&amp;DATA!$B$3:$B$10000,DATA!$M$3:$M$10000),"Inactivo"))</f>
        <v/>
      </c>
      <c r="G2030" s="28" t="str">
        <f aca="false">IF(A2030="","",IF(AND(C2030&lt;&gt;"No encontrado",F2030&lt;&gt;"Inactivo"),C2030&amp;" → "&amp;F2030,"Sin transición"))</f>
        <v/>
      </c>
      <c r="H2030" s="26" t="str">
        <f aca="false">IF(A2030="","",IF(D2030="GCIA LINEA SERVICIO DIGITALIDAD Y VENTAS","Chats",IF(OR(D2030="GERENCIA INBOUND LÍNEAS SERVICIO Y VENTA",D2030="GERENCIA INBOUND LINEAS ESPECIALIZADAS"),"Llamadas","Otro")))</f>
        <v/>
      </c>
      <c r="I2030" s="26" t="str">
        <f aca="false">IF(A2030="","",IF(C2030="No encontrado","No","Sí"))</f>
        <v/>
      </c>
      <c r="J2030" s="26" t="str">
        <f aca="false">IF(A2030="","",IF(F2030="Inactivo","No","Sí"))</f>
        <v/>
      </c>
      <c r="K2030" s="26" t="str">
        <f aca="false">IF(A2030="","",IF(AND(I2030="Sí",J2030="Sí"),"Sí","No"))</f>
        <v/>
      </c>
    </row>
    <row r="2031" customFormat="false" ht="15" hidden="false" customHeight="false" outlineLevel="0" collapsed="false">
      <c r="A2031" s="22"/>
      <c r="B2031" s="22"/>
      <c r="C2031" s="23" t="str">
        <f aca="false">IF(A2031="","",IFERROR(buscarx(A2031&amp;B2031,DATA!$E$3:$E$10000&amp;DATA!$B$3:$B$10000,DATA!$M$3:$M$10000),"No encontrado"))</f>
        <v/>
      </c>
      <c r="D2031" s="24" t="str">
        <f aca="false">IF(A2031="","",IFERROR(buscarx(A2031&amp;B2031,DATA!$E$3:$E$10000&amp;DATA!$B$3:$B$10000,DATA!$W$3:$W$10000),"No encontrado"))</f>
        <v/>
      </c>
      <c r="E2031" s="22"/>
      <c r="F2031" s="23" t="str">
        <f aca="false">IF(A2031="","",IFERROR(buscarx(A2031&amp;E2031,DATA!$E$3:$E$10000&amp;DATA!$B$3:$B$10000,DATA!$M$3:$M$10000),"Inactivo"))</f>
        <v/>
      </c>
      <c r="G2031" s="25" t="str">
        <f aca="false">IF(A2031="","",IF(AND(C2031&lt;&gt;"No encontrado",F2031&lt;&gt;"Inactivo"),C2031&amp;" → "&amp;F2031,"Sin transición"))</f>
        <v/>
      </c>
      <c r="H2031" s="23" t="str">
        <f aca="false">IF(A2031="","",IF(D2031="GCIA LINEA SERVICIO DIGITALIDAD Y VENTAS","Chats",IF(OR(D2031="GERENCIA INBOUND LÍNEAS SERVICIO Y VENTA",D2031="GERENCIA INBOUND LINEAS ESPECIALIZADAS"),"Llamadas","Otro")))</f>
        <v/>
      </c>
      <c r="I2031" s="23" t="str">
        <f aca="false">IF(A2031="","",IF(C2031="No encontrado","No","Sí"))</f>
        <v/>
      </c>
      <c r="J2031" s="23" t="str">
        <f aca="false">IF(A2031="","",IF(F2031="Inactivo","No","Sí"))</f>
        <v/>
      </c>
      <c r="K2031" s="23" t="str">
        <f aca="false">IF(A2031="","",IF(AND(I2031="Sí",J2031="Sí"),"Sí","No"))</f>
        <v/>
      </c>
    </row>
    <row r="2032" customFormat="false" ht="15" hidden="false" customHeight="false" outlineLevel="0" collapsed="false">
      <c r="A2032" s="22"/>
      <c r="B2032" s="22"/>
      <c r="C2032" s="26" t="str">
        <f aca="false">IF(A2032="","",IFERROR(buscarx(A2032&amp;B2032,DATA!$E$3:$E$10000&amp;DATA!$B$3:$B$10000,DATA!$M$3:$M$10000),"No encontrado"))</f>
        <v/>
      </c>
      <c r="D2032" s="27" t="str">
        <f aca="false">IF(A2032="","",IFERROR(buscarx(A2032&amp;B2032,DATA!$E$3:$E$10000&amp;DATA!$B$3:$B$10000,DATA!$W$3:$W$10000),"No encontrado"))</f>
        <v/>
      </c>
      <c r="E2032" s="22"/>
      <c r="F2032" s="26" t="str">
        <f aca="false">IF(A2032="","",IFERROR(buscarx(A2032&amp;E2032,DATA!$E$3:$E$10000&amp;DATA!$B$3:$B$10000,DATA!$M$3:$M$10000),"Inactivo"))</f>
        <v/>
      </c>
      <c r="G2032" s="28" t="str">
        <f aca="false">IF(A2032="","",IF(AND(C2032&lt;&gt;"No encontrado",F2032&lt;&gt;"Inactivo"),C2032&amp;" → "&amp;F2032,"Sin transición"))</f>
        <v/>
      </c>
      <c r="H2032" s="26" t="str">
        <f aca="false">IF(A2032="","",IF(D2032="GCIA LINEA SERVICIO DIGITALIDAD Y VENTAS","Chats",IF(OR(D2032="GERENCIA INBOUND LÍNEAS SERVICIO Y VENTA",D2032="GERENCIA INBOUND LINEAS ESPECIALIZADAS"),"Llamadas","Otro")))</f>
        <v/>
      </c>
      <c r="I2032" s="26" t="str">
        <f aca="false">IF(A2032="","",IF(C2032="No encontrado","No","Sí"))</f>
        <v/>
      </c>
      <c r="J2032" s="26" t="str">
        <f aca="false">IF(A2032="","",IF(F2032="Inactivo","No","Sí"))</f>
        <v/>
      </c>
      <c r="K2032" s="26" t="str">
        <f aca="false">IF(A2032="","",IF(AND(I2032="Sí",J2032="Sí"),"Sí","No"))</f>
        <v/>
      </c>
    </row>
    <row r="2033" customFormat="false" ht="15" hidden="false" customHeight="false" outlineLevel="0" collapsed="false">
      <c r="A2033" s="22"/>
      <c r="B2033" s="22"/>
      <c r="C2033" s="23" t="str">
        <f aca="false">IF(A2033="","",IFERROR(buscarx(A2033&amp;B2033,DATA!$E$3:$E$10000&amp;DATA!$B$3:$B$10000,DATA!$M$3:$M$10000),"No encontrado"))</f>
        <v/>
      </c>
      <c r="D2033" s="24" t="str">
        <f aca="false">IF(A2033="","",IFERROR(buscarx(A2033&amp;B2033,DATA!$E$3:$E$10000&amp;DATA!$B$3:$B$10000,DATA!$W$3:$W$10000),"No encontrado"))</f>
        <v/>
      </c>
      <c r="E2033" s="22"/>
      <c r="F2033" s="23" t="str">
        <f aca="false">IF(A2033="","",IFERROR(buscarx(A2033&amp;E2033,DATA!$E$3:$E$10000&amp;DATA!$B$3:$B$10000,DATA!$M$3:$M$10000),"Inactivo"))</f>
        <v/>
      </c>
      <c r="G2033" s="25" t="str">
        <f aca="false">IF(A2033="","",IF(AND(C2033&lt;&gt;"No encontrado",F2033&lt;&gt;"Inactivo"),C2033&amp;" → "&amp;F2033,"Sin transición"))</f>
        <v/>
      </c>
      <c r="H2033" s="23" t="str">
        <f aca="false">IF(A2033="","",IF(D2033="GCIA LINEA SERVICIO DIGITALIDAD Y VENTAS","Chats",IF(OR(D2033="GERENCIA INBOUND LÍNEAS SERVICIO Y VENTA",D2033="GERENCIA INBOUND LINEAS ESPECIALIZADAS"),"Llamadas","Otro")))</f>
        <v/>
      </c>
      <c r="I2033" s="23" t="str">
        <f aca="false">IF(A2033="","",IF(C2033="No encontrado","No","Sí"))</f>
        <v/>
      </c>
      <c r="J2033" s="23" t="str">
        <f aca="false">IF(A2033="","",IF(F2033="Inactivo","No","Sí"))</f>
        <v/>
      </c>
      <c r="K2033" s="23" t="str">
        <f aca="false">IF(A2033="","",IF(AND(I2033="Sí",J2033="Sí"),"Sí","No"))</f>
        <v/>
      </c>
    </row>
    <row r="2034" customFormat="false" ht="15" hidden="false" customHeight="false" outlineLevel="0" collapsed="false">
      <c r="A2034" s="22"/>
      <c r="B2034" s="22"/>
      <c r="C2034" s="26" t="str">
        <f aca="false">IF(A2034="","",IFERROR(buscarx(A2034&amp;B2034,DATA!$E$3:$E$10000&amp;DATA!$B$3:$B$10000,DATA!$M$3:$M$10000),"No encontrado"))</f>
        <v/>
      </c>
      <c r="D2034" s="27" t="str">
        <f aca="false">IF(A2034="","",IFERROR(buscarx(A2034&amp;B2034,DATA!$E$3:$E$10000&amp;DATA!$B$3:$B$10000,DATA!$W$3:$W$10000),"No encontrado"))</f>
        <v/>
      </c>
      <c r="E2034" s="22"/>
      <c r="F2034" s="26" t="str">
        <f aca="false">IF(A2034="","",IFERROR(buscarx(A2034&amp;E2034,DATA!$E$3:$E$10000&amp;DATA!$B$3:$B$10000,DATA!$M$3:$M$10000),"Inactivo"))</f>
        <v/>
      </c>
      <c r="G2034" s="28" t="str">
        <f aca="false">IF(A2034="","",IF(AND(C2034&lt;&gt;"No encontrado",F2034&lt;&gt;"Inactivo"),C2034&amp;" → "&amp;F2034,"Sin transición"))</f>
        <v/>
      </c>
      <c r="H2034" s="26" t="str">
        <f aca="false">IF(A2034="","",IF(D2034="GCIA LINEA SERVICIO DIGITALIDAD Y VENTAS","Chats",IF(OR(D2034="GERENCIA INBOUND LÍNEAS SERVICIO Y VENTA",D2034="GERENCIA INBOUND LINEAS ESPECIALIZADAS"),"Llamadas","Otro")))</f>
        <v/>
      </c>
      <c r="I2034" s="26" t="str">
        <f aca="false">IF(A2034="","",IF(C2034="No encontrado","No","Sí"))</f>
        <v/>
      </c>
      <c r="J2034" s="26" t="str">
        <f aca="false">IF(A2034="","",IF(F2034="Inactivo","No","Sí"))</f>
        <v/>
      </c>
      <c r="K2034" s="26" t="str">
        <f aca="false">IF(A2034="","",IF(AND(I2034="Sí",J2034="Sí"),"Sí","No"))</f>
        <v/>
      </c>
    </row>
    <row r="2035" customFormat="false" ht="15" hidden="false" customHeight="false" outlineLevel="0" collapsed="false">
      <c r="A2035" s="22"/>
      <c r="B2035" s="22"/>
      <c r="C2035" s="23" t="str">
        <f aca="false">IF(A2035="","",IFERROR(buscarx(A2035&amp;B2035,DATA!$E$3:$E$10000&amp;DATA!$B$3:$B$10000,DATA!$M$3:$M$10000),"No encontrado"))</f>
        <v/>
      </c>
      <c r="D2035" s="24" t="str">
        <f aca="false">IF(A2035="","",IFERROR(buscarx(A2035&amp;B2035,DATA!$E$3:$E$10000&amp;DATA!$B$3:$B$10000,DATA!$W$3:$W$10000),"No encontrado"))</f>
        <v/>
      </c>
      <c r="E2035" s="22"/>
      <c r="F2035" s="23" t="str">
        <f aca="false">IF(A2035="","",IFERROR(buscarx(A2035&amp;E2035,DATA!$E$3:$E$10000&amp;DATA!$B$3:$B$10000,DATA!$M$3:$M$10000),"Inactivo"))</f>
        <v/>
      </c>
      <c r="G2035" s="25" t="str">
        <f aca="false">IF(A2035="","",IF(AND(C2035&lt;&gt;"No encontrado",F2035&lt;&gt;"Inactivo"),C2035&amp;" → "&amp;F2035,"Sin transición"))</f>
        <v/>
      </c>
      <c r="H2035" s="23" t="str">
        <f aca="false">IF(A2035="","",IF(D2035="GCIA LINEA SERVICIO DIGITALIDAD Y VENTAS","Chats",IF(OR(D2035="GERENCIA INBOUND LÍNEAS SERVICIO Y VENTA",D2035="GERENCIA INBOUND LINEAS ESPECIALIZADAS"),"Llamadas","Otro")))</f>
        <v/>
      </c>
      <c r="I2035" s="23" t="str">
        <f aca="false">IF(A2035="","",IF(C2035="No encontrado","No","Sí"))</f>
        <v/>
      </c>
      <c r="J2035" s="23" t="str">
        <f aca="false">IF(A2035="","",IF(F2035="Inactivo","No","Sí"))</f>
        <v/>
      </c>
      <c r="K2035" s="23" t="str">
        <f aca="false">IF(A2035="","",IF(AND(I2035="Sí",J2035="Sí"),"Sí","No"))</f>
        <v/>
      </c>
    </row>
    <row r="2036" customFormat="false" ht="15" hidden="false" customHeight="false" outlineLevel="0" collapsed="false">
      <c r="A2036" s="22"/>
      <c r="B2036" s="22"/>
      <c r="C2036" s="26" t="str">
        <f aca="false">IF(A2036="","",IFERROR(buscarx(A2036&amp;B2036,DATA!$E$3:$E$10000&amp;DATA!$B$3:$B$10000,DATA!$M$3:$M$10000),"No encontrado"))</f>
        <v/>
      </c>
      <c r="D2036" s="27" t="str">
        <f aca="false">IF(A2036="","",IFERROR(buscarx(A2036&amp;B2036,DATA!$E$3:$E$10000&amp;DATA!$B$3:$B$10000,DATA!$W$3:$W$10000),"No encontrado"))</f>
        <v/>
      </c>
      <c r="E2036" s="22"/>
      <c r="F2036" s="26" t="str">
        <f aca="false">IF(A2036="","",IFERROR(buscarx(A2036&amp;E2036,DATA!$E$3:$E$10000&amp;DATA!$B$3:$B$10000,DATA!$M$3:$M$10000),"Inactivo"))</f>
        <v/>
      </c>
      <c r="G2036" s="28" t="str">
        <f aca="false">IF(A2036="","",IF(AND(C2036&lt;&gt;"No encontrado",F2036&lt;&gt;"Inactivo"),C2036&amp;" → "&amp;F2036,"Sin transición"))</f>
        <v/>
      </c>
      <c r="H2036" s="26" t="str">
        <f aca="false">IF(A2036="","",IF(D2036="GCIA LINEA SERVICIO DIGITALIDAD Y VENTAS","Chats",IF(OR(D2036="GERENCIA INBOUND LÍNEAS SERVICIO Y VENTA",D2036="GERENCIA INBOUND LINEAS ESPECIALIZADAS"),"Llamadas","Otro")))</f>
        <v/>
      </c>
      <c r="I2036" s="26" t="str">
        <f aca="false">IF(A2036="","",IF(C2036="No encontrado","No","Sí"))</f>
        <v/>
      </c>
      <c r="J2036" s="26" t="str">
        <f aca="false">IF(A2036="","",IF(F2036="Inactivo","No","Sí"))</f>
        <v/>
      </c>
      <c r="K2036" s="26" t="str">
        <f aca="false">IF(A2036="","",IF(AND(I2036="Sí",J2036="Sí"),"Sí","No"))</f>
        <v/>
      </c>
    </row>
    <row r="2037" customFormat="false" ht="15" hidden="false" customHeight="false" outlineLevel="0" collapsed="false">
      <c r="A2037" s="22"/>
      <c r="B2037" s="22"/>
      <c r="C2037" s="23" t="str">
        <f aca="false">IF(A2037="","",IFERROR(buscarx(A2037&amp;B2037,DATA!$E$3:$E$10000&amp;DATA!$B$3:$B$10000,DATA!$M$3:$M$10000),"No encontrado"))</f>
        <v/>
      </c>
      <c r="D2037" s="24" t="str">
        <f aca="false">IF(A2037="","",IFERROR(buscarx(A2037&amp;B2037,DATA!$E$3:$E$10000&amp;DATA!$B$3:$B$10000,DATA!$W$3:$W$10000),"No encontrado"))</f>
        <v/>
      </c>
      <c r="E2037" s="22"/>
      <c r="F2037" s="23" t="str">
        <f aca="false">IF(A2037="","",IFERROR(buscarx(A2037&amp;E2037,DATA!$E$3:$E$10000&amp;DATA!$B$3:$B$10000,DATA!$M$3:$M$10000),"Inactivo"))</f>
        <v/>
      </c>
      <c r="G2037" s="25" t="str">
        <f aca="false">IF(A2037="","",IF(AND(C2037&lt;&gt;"No encontrado",F2037&lt;&gt;"Inactivo"),C2037&amp;" → "&amp;F2037,"Sin transición"))</f>
        <v/>
      </c>
      <c r="H2037" s="23" t="str">
        <f aca="false">IF(A2037="","",IF(D2037="GCIA LINEA SERVICIO DIGITALIDAD Y VENTAS","Chats",IF(OR(D2037="GERENCIA INBOUND LÍNEAS SERVICIO Y VENTA",D2037="GERENCIA INBOUND LINEAS ESPECIALIZADAS"),"Llamadas","Otro")))</f>
        <v/>
      </c>
      <c r="I2037" s="23" t="str">
        <f aca="false">IF(A2037="","",IF(C2037="No encontrado","No","Sí"))</f>
        <v/>
      </c>
      <c r="J2037" s="23" t="str">
        <f aca="false">IF(A2037="","",IF(F2037="Inactivo","No","Sí"))</f>
        <v/>
      </c>
      <c r="K2037" s="23" t="str">
        <f aca="false">IF(A2037="","",IF(AND(I2037="Sí",J2037="Sí"),"Sí","No"))</f>
        <v/>
      </c>
    </row>
    <row r="2038" customFormat="false" ht="15" hidden="false" customHeight="false" outlineLevel="0" collapsed="false">
      <c r="A2038" s="22"/>
      <c r="B2038" s="22"/>
      <c r="C2038" s="26" t="str">
        <f aca="false">IF(A2038="","",IFERROR(buscarx(A2038&amp;B2038,DATA!$E$3:$E$10000&amp;DATA!$B$3:$B$10000,DATA!$M$3:$M$10000),"No encontrado"))</f>
        <v/>
      </c>
      <c r="D2038" s="27" t="str">
        <f aca="false">IF(A2038="","",IFERROR(buscarx(A2038&amp;B2038,DATA!$E$3:$E$10000&amp;DATA!$B$3:$B$10000,DATA!$W$3:$W$10000),"No encontrado"))</f>
        <v/>
      </c>
      <c r="E2038" s="22"/>
      <c r="F2038" s="26" t="str">
        <f aca="false">IF(A2038="","",IFERROR(buscarx(A2038&amp;E2038,DATA!$E$3:$E$10000&amp;DATA!$B$3:$B$10000,DATA!$M$3:$M$10000),"Inactivo"))</f>
        <v/>
      </c>
      <c r="G2038" s="28" t="str">
        <f aca="false">IF(A2038="","",IF(AND(C2038&lt;&gt;"No encontrado",F2038&lt;&gt;"Inactivo"),C2038&amp;" → "&amp;F2038,"Sin transición"))</f>
        <v/>
      </c>
      <c r="H2038" s="26" t="str">
        <f aca="false">IF(A2038="","",IF(D2038="GCIA LINEA SERVICIO DIGITALIDAD Y VENTAS","Chats",IF(OR(D2038="GERENCIA INBOUND LÍNEAS SERVICIO Y VENTA",D2038="GERENCIA INBOUND LINEAS ESPECIALIZADAS"),"Llamadas","Otro")))</f>
        <v/>
      </c>
      <c r="I2038" s="26" t="str">
        <f aca="false">IF(A2038="","",IF(C2038="No encontrado","No","Sí"))</f>
        <v/>
      </c>
      <c r="J2038" s="26" t="str">
        <f aca="false">IF(A2038="","",IF(F2038="Inactivo","No","Sí"))</f>
        <v/>
      </c>
      <c r="K2038" s="26" t="str">
        <f aca="false">IF(A2038="","",IF(AND(I2038="Sí",J2038="Sí"),"Sí","No"))</f>
        <v/>
      </c>
    </row>
    <row r="2039" customFormat="false" ht="15" hidden="false" customHeight="false" outlineLevel="0" collapsed="false">
      <c r="A2039" s="22"/>
      <c r="B2039" s="22"/>
      <c r="C2039" s="23" t="str">
        <f aca="false">IF(A2039="","",IFERROR(buscarx(A2039&amp;B2039,DATA!$E$3:$E$10000&amp;DATA!$B$3:$B$10000,DATA!$M$3:$M$10000),"No encontrado"))</f>
        <v/>
      </c>
      <c r="D2039" s="24" t="str">
        <f aca="false">IF(A2039="","",IFERROR(buscarx(A2039&amp;B2039,DATA!$E$3:$E$10000&amp;DATA!$B$3:$B$10000,DATA!$W$3:$W$10000),"No encontrado"))</f>
        <v/>
      </c>
      <c r="E2039" s="22"/>
      <c r="F2039" s="23" t="str">
        <f aca="false">IF(A2039="","",IFERROR(buscarx(A2039&amp;E2039,DATA!$E$3:$E$10000&amp;DATA!$B$3:$B$10000,DATA!$M$3:$M$10000),"Inactivo"))</f>
        <v/>
      </c>
      <c r="G2039" s="25" t="str">
        <f aca="false">IF(A2039="","",IF(AND(C2039&lt;&gt;"No encontrado",F2039&lt;&gt;"Inactivo"),C2039&amp;" → "&amp;F2039,"Sin transición"))</f>
        <v/>
      </c>
      <c r="H2039" s="23" t="str">
        <f aca="false">IF(A2039="","",IF(D2039="GCIA LINEA SERVICIO DIGITALIDAD Y VENTAS","Chats",IF(OR(D2039="GERENCIA INBOUND LÍNEAS SERVICIO Y VENTA",D2039="GERENCIA INBOUND LINEAS ESPECIALIZADAS"),"Llamadas","Otro")))</f>
        <v/>
      </c>
      <c r="I2039" s="23" t="str">
        <f aca="false">IF(A2039="","",IF(C2039="No encontrado","No","Sí"))</f>
        <v/>
      </c>
      <c r="J2039" s="23" t="str">
        <f aca="false">IF(A2039="","",IF(F2039="Inactivo","No","Sí"))</f>
        <v/>
      </c>
      <c r="K2039" s="23" t="str">
        <f aca="false">IF(A2039="","",IF(AND(I2039="Sí",J2039="Sí"),"Sí","No"))</f>
        <v/>
      </c>
    </row>
    <row r="2040" customFormat="false" ht="15" hidden="false" customHeight="false" outlineLevel="0" collapsed="false">
      <c r="A2040" s="22"/>
      <c r="B2040" s="22"/>
      <c r="C2040" s="26" t="str">
        <f aca="false">IF(A2040="","",IFERROR(buscarx(A2040&amp;B2040,DATA!$E$3:$E$10000&amp;DATA!$B$3:$B$10000,DATA!$M$3:$M$10000),"No encontrado"))</f>
        <v/>
      </c>
      <c r="D2040" s="27" t="str">
        <f aca="false">IF(A2040="","",IFERROR(buscarx(A2040&amp;B2040,DATA!$E$3:$E$10000&amp;DATA!$B$3:$B$10000,DATA!$W$3:$W$10000),"No encontrado"))</f>
        <v/>
      </c>
      <c r="E2040" s="22"/>
      <c r="F2040" s="26" t="str">
        <f aca="false">IF(A2040="","",IFERROR(buscarx(A2040&amp;E2040,DATA!$E$3:$E$10000&amp;DATA!$B$3:$B$10000,DATA!$M$3:$M$10000),"Inactivo"))</f>
        <v/>
      </c>
      <c r="G2040" s="28" t="str">
        <f aca="false">IF(A2040="","",IF(AND(C2040&lt;&gt;"No encontrado",F2040&lt;&gt;"Inactivo"),C2040&amp;" → "&amp;F2040,"Sin transición"))</f>
        <v/>
      </c>
      <c r="H2040" s="26" t="str">
        <f aca="false">IF(A2040="","",IF(D2040="GCIA LINEA SERVICIO DIGITALIDAD Y VENTAS","Chats",IF(OR(D2040="GERENCIA INBOUND LÍNEAS SERVICIO Y VENTA",D2040="GERENCIA INBOUND LINEAS ESPECIALIZADAS"),"Llamadas","Otro")))</f>
        <v/>
      </c>
      <c r="I2040" s="26" t="str">
        <f aca="false">IF(A2040="","",IF(C2040="No encontrado","No","Sí"))</f>
        <v/>
      </c>
      <c r="J2040" s="26" t="str">
        <f aca="false">IF(A2040="","",IF(F2040="Inactivo","No","Sí"))</f>
        <v/>
      </c>
      <c r="K2040" s="26" t="str">
        <f aca="false">IF(A2040="","",IF(AND(I2040="Sí",J2040="Sí"),"Sí","No"))</f>
        <v/>
      </c>
    </row>
    <row r="2041" customFormat="false" ht="15" hidden="false" customHeight="false" outlineLevel="0" collapsed="false">
      <c r="A2041" s="22"/>
      <c r="B2041" s="22"/>
      <c r="C2041" s="23" t="str">
        <f aca="false">IF(A2041="","",IFERROR(buscarx(A2041&amp;B2041,DATA!$E$3:$E$10000&amp;DATA!$B$3:$B$10000,DATA!$M$3:$M$10000),"No encontrado"))</f>
        <v/>
      </c>
      <c r="D2041" s="24" t="str">
        <f aca="false">IF(A2041="","",IFERROR(buscarx(A2041&amp;B2041,DATA!$E$3:$E$10000&amp;DATA!$B$3:$B$10000,DATA!$W$3:$W$10000),"No encontrado"))</f>
        <v/>
      </c>
      <c r="E2041" s="22"/>
      <c r="F2041" s="23" t="str">
        <f aca="false">IF(A2041="","",IFERROR(buscarx(A2041&amp;E2041,DATA!$E$3:$E$10000&amp;DATA!$B$3:$B$10000,DATA!$M$3:$M$10000),"Inactivo"))</f>
        <v/>
      </c>
      <c r="G2041" s="25" t="str">
        <f aca="false">IF(A2041="","",IF(AND(C2041&lt;&gt;"No encontrado",F2041&lt;&gt;"Inactivo"),C2041&amp;" → "&amp;F2041,"Sin transición"))</f>
        <v/>
      </c>
      <c r="H2041" s="23" t="str">
        <f aca="false">IF(A2041="","",IF(D2041="GCIA LINEA SERVICIO DIGITALIDAD Y VENTAS","Chats",IF(OR(D2041="GERENCIA INBOUND LÍNEAS SERVICIO Y VENTA",D2041="GERENCIA INBOUND LINEAS ESPECIALIZADAS"),"Llamadas","Otro")))</f>
        <v/>
      </c>
      <c r="I2041" s="23" t="str">
        <f aca="false">IF(A2041="","",IF(C2041="No encontrado","No","Sí"))</f>
        <v/>
      </c>
      <c r="J2041" s="23" t="str">
        <f aca="false">IF(A2041="","",IF(F2041="Inactivo","No","Sí"))</f>
        <v/>
      </c>
      <c r="K2041" s="23" t="str">
        <f aca="false">IF(A2041="","",IF(AND(I2041="Sí",J2041="Sí"),"Sí","No"))</f>
        <v/>
      </c>
    </row>
    <row r="2042" customFormat="false" ht="15" hidden="false" customHeight="false" outlineLevel="0" collapsed="false">
      <c r="A2042" s="22"/>
      <c r="B2042" s="22"/>
      <c r="C2042" s="26" t="str">
        <f aca="false">IF(A2042="","",IFERROR(buscarx(A2042&amp;B2042,DATA!$E$3:$E$10000&amp;DATA!$B$3:$B$10000,DATA!$M$3:$M$10000),"No encontrado"))</f>
        <v/>
      </c>
      <c r="D2042" s="27" t="str">
        <f aca="false">IF(A2042="","",IFERROR(buscarx(A2042&amp;B2042,DATA!$E$3:$E$10000&amp;DATA!$B$3:$B$10000,DATA!$W$3:$W$10000),"No encontrado"))</f>
        <v/>
      </c>
      <c r="E2042" s="22"/>
      <c r="F2042" s="26" t="str">
        <f aca="false">IF(A2042="","",IFERROR(buscarx(A2042&amp;E2042,DATA!$E$3:$E$10000&amp;DATA!$B$3:$B$10000,DATA!$M$3:$M$10000),"Inactivo"))</f>
        <v/>
      </c>
      <c r="G2042" s="28" t="str">
        <f aca="false">IF(A2042="","",IF(AND(C2042&lt;&gt;"No encontrado",F2042&lt;&gt;"Inactivo"),C2042&amp;" → "&amp;F2042,"Sin transición"))</f>
        <v/>
      </c>
      <c r="H2042" s="26" t="str">
        <f aca="false">IF(A2042="","",IF(D2042="GCIA LINEA SERVICIO DIGITALIDAD Y VENTAS","Chats",IF(OR(D2042="GERENCIA INBOUND LÍNEAS SERVICIO Y VENTA",D2042="GERENCIA INBOUND LINEAS ESPECIALIZADAS"),"Llamadas","Otro")))</f>
        <v/>
      </c>
      <c r="I2042" s="26" t="str">
        <f aca="false">IF(A2042="","",IF(C2042="No encontrado","No","Sí"))</f>
        <v/>
      </c>
      <c r="J2042" s="26" t="str">
        <f aca="false">IF(A2042="","",IF(F2042="Inactivo","No","Sí"))</f>
        <v/>
      </c>
      <c r="K2042" s="26" t="str">
        <f aca="false">IF(A2042="","",IF(AND(I2042="Sí",J2042="Sí"),"Sí","No"))</f>
        <v/>
      </c>
    </row>
    <row r="2043" customFormat="false" ht="15" hidden="false" customHeight="false" outlineLevel="0" collapsed="false">
      <c r="A2043" s="22"/>
      <c r="B2043" s="22"/>
      <c r="C2043" s="23" t="str">
        <f aca="false">IF(A2043="","",IFERROR(buscarx(A2043&amp;B2043,DATA!$E$3:$E$10000&amp;DATA!$B$3:$B$10000,DATA!$M$3:$M$10000),"No encontrado"))</f>
        <v/>
      </c>
      <c r="D2043" s="24" t="str">
        <f aca="false">IF(A2043="","",IFERROR(buscarx(A2043&amp;B2043,DATA!$E$3:$E$10000&amp;DATA!$B$3:$B$10000,DATA!$W$3:$W$10000),"No encontrado"))</f>
        <v/>
      </c>
      <c r="E2043" s="22"/>
      <c r="F2043" s="23" t="str">
        <f aca="false">IF(A2043="","",IFERROR(buscarx(A2043&amp;E2043,DATA!$E$3:$E$10000&amp;DATA!$B$3:$B$10000,DATA!$M$3:$M$10000),"Inactivo"))</f>
        <v/>
      </c>
      <c r="G2043" s="25" t="str">
        <f aca="false">IF(A2043="","",IF(AND(C2043&lt;&gt;"No encontrado",F2043&lt;&gt;"Inactivo"),C2043&amp;" → "&amp;F2043,"Sin transición"))</f>
        <v/>
      </c>
      <c r="H2043" s="23" t="str">
        <f aca="false">IF(A2043="","",IF(D2043="GCIA LINEA SERVICIO DIGITALIDAD Y VENTAS","Chats",IF(OR(D2043="GERENCIA INBOUND LÍNEAS SERVICIO Y VENTA",D2043="GERENCIA INBOUND LINEAS ESPECIALIZADAS"),"Llamadas","Otro")))</f>
        <v/>
      </c>
      <c r="I2043" s="23" t="str">
        <f aca="false">IF(A2043="","",IF(C2043="No encontrado","No","Sí"))</f>
        <v/>
      </c>
      <c r="J2043" s="23" t="str">
        <f aca="false">IF(A2043="","",IF(F2043="Inactivo","No","Sí"))</f>
        <v/>
      </c>
      <c r="K2043" s="23" t="str">
        <f aca="false">IF(A2043="","",IF(AND(I2043="Sí",J2043="Sí"),"Sí","No"))</f>
        <v/>
      </c>
    </row>
    <row r="2044" customFormat="false" ht="15" hidden="false" customHeight="false" outlineLevel="0" collapsed="false">
      <c r="A2044" s="22"/>
      <c r="B2044" s="22"/>
      <c r="C2044" s="26" t="str">
        <f aca="false">IF(A2044="","",IFERROR(buscarx(A2044&amp;B2044,DATA!$E$3:$E$10000&amp;DATA!$B$3:$B$10000,DATA!$M$3:$M$10000),"No encontrado"))</f>
        <v/>
      </c>
      <c r="D2044" s="27" t="str">
        <f aca="false">IF(A2044="","",IFERROR(buscarx(A2044&amp;B2044,DATA!$E$3:$E$10000&amp;DATA!$B$3:$B$10000,DATA!$W$3:$W$10000),"No encontrado"))</f>
        <v/>
      </c>
      <c r="E2044" s="22"/>
      <c r="F2044" s="26" t="str">
        <f aca="false">IF(A2044="","",IFERROR(buscarx(A2044&amp;E2044,DATA!$E$3:$E$10000&amp;DATA!$B$3:$B$10000,DATA!$M$3:$M$10000),"Inactivo"))</f>
        <v/>
      </c>
      <c r="G2044" s="28" t="str">
        <f aca="false">IF(A2044="","",IF(AND(C2044&lt;&gt;"No encontrado",F2044&lt;&gt;"Inactivo"),C2044&amp;" → "&amp;F2044,"Sin transición"))</f>
        <v/>
      </c>
      <c r="H2044" s="26" t="str">
        <f aca="false">IF(A2044="","",IF(D2044="GCIA LINEA SERVICIO DIGITALIDAD Y VENTAS","Chats",IF(OR(D2044="GERENCIA INBOUND LÍNEAS SERVICIO Y VENTA",D2044="GERENCIA INBOUND LINEAS ESPECIALIZADAS"),"Llamadas","Otro")))</f>
        <v/>
      </c>
      <c r="I2044" s="26" t="str">
        <f aca="false">IF(A2044="","",IF(C2044="No encontrado","No","Sí"))</f>
        <v/>
      </c>
      <c r="J2044" s="26" t="str">
        <f aca="false">IF(A2044="","",IF(F2044="Inactivo","No","Sí"))</f>
        <v/>
      </c>
      <c r="K2044" s="26" t="str">
        <f aca="false">IF(A2044="","",IF(AND(I2044="Sí",J2044="Sí"),"Sí","No"))</f>
        <v/>
      </c>
    </row>
    <row r="2045" customFormat="false" ht="15" hidden="false" customHeight="false" outlineLevel="0" collapsed="false">
      <c r="A2045" s="22"/>
      <c r="B2045" s="22"/>
      <c r="C2045" s="23" t="str">
        <f aca="false">IF(A2045="","",IFERROR(buscarx(A2045&amp;B2045,DATA!$E$3:$E$10000&amp;DATA!$B$3:$B$10000,DATA!$M$3:$M$10000),"No encontrado"))</f>
        <v/>
      </c>
      <c r="D2045" s="24" t="str">
        <f aca="false">IF(A2045="","",IFERROR(buscarx(A2045&amp;B2045,DATA!$E$3:$E$10000&amp;DATA!$B$3:$B$10000,DATA!$W$3:$W$10000),"No encontrado"))</f>
        <v/>
      </c>
      <c r="E2045" s="22"/>
      <c r="F2045" s="23" t="str">
        <f aca="false">IF(A2045="","",IFERROR(buscarx(A2045&amp;E2045,DATA!$E$3:$E$10000&amp;DATA!$B$3:$B$10000,DATA!$M$3:$M$10000),"Inactivo"))</f>
        <v/>
      </c>
      <c r="G2045" s="25" t="str">
        <f aca="false">IF(A2045="","",IF(AND(C2045&lt;&gt;"No encontrado",F2045&lt;&gt;"Inactivo"),C2045&amp;" → "&amp;F2045,"Sin transición"))</f>
        <v/>
      </c>
      <c r="H2045" s="23" t="str">
        <f aca="false">IF(A2045="","",IF(D2045="GCIA LINEA SERVICIO DIGITALIDAD Y VENTAS","Chats",IF(OR(D2045="GERENCIA INBOUND LÍNEAS SERVICIO Y VENTA",D2045="GERENCIA INBOUND LINEAS ESPECIALIZADAS"),"Llamadas","Otro")))</f>
        <v/>
      </c>
      <c r="I2045" s="23" t="str">
        <f aca="false">IF(A2045="","",IF(C2045="No encontrado","No","Sí"))</f>
        <v/>
      </c>
      <c r="J2045" s="23" t="str">
        <f aca="false">IF(A2045="","",IF(F2045="Inactivo","No","Sí"))</f>
        <v/>
      </c>
      <c r="K2045" s="23" t="str">
        <f aca="false">IF(A2045="","",IF(AND(I2045="Sí",J2045="Sí"),"Sí","No"))</f>
        <v/>
      </c>
    </row>
    <row r="2046" customFormat="false" ht="15" hidden="false" customHeight="false" outlineLevel="0" collapsed="false">
      <c r="A2046" s="22"/>
      <c r="B2046" s="22"/>
      <c r="C2046" s="26" t="str">
        <f aca="false">IF(A2046="","",IFERROR(buscarx(A2046&amp;B2046,DATA!$E$3:$E$10000&amp;DATA!$B$3:$B$10000,DATA!$M$3:$M$10000),"No encontrado"))</f>
        <v/>
      </c>
      <c r="D2046" s="27" t="str">
        <f aca="false">IF(A2046="","",IFERROR(buscarx(A2046&amp;B2046,DATA!$E$3:$E$10000&amp;DATA!$B$3:$B$10000,DATA!$W$3:$W$10000),"No encontrado"))</f>
        <v/>
      </c>
      <c r="E2046" s="22"/>
      <c r="F2046" s="26" t="str">
        <f aca="false">IF(A2046="","",IFERROR(buscarx(A2046&amp;E2046,DATA!$E$3:$E$10000&amp;DATA!$B$3:$B$10000,DATA!$M$3:$M$10000),"Inactivo"))</f>
        <v/>
      </c>
      <c r="G2046" s="28" t="str">
        <f aca="false">IF(A2046="","",IF(AND(C2046&lt;&gt;"No encontrado",F2046&lt;&gt;"Inactivo"),C2046&amp;" → "&amp;F2046,"Sin transición"))</f>
        <v/>
      </c>
      <c r="H2046" s="26" t="str">
        <f aca="false">IF(A2046="","",IF(D2046="GCIA LINEA SERVICIO DIGITALIDAD Y VENTAS","Chats",IF(OR(D2046="GERENCIA INBOUND LÍNEAS SERVICIO Y VENTA",D2046="GERENCIA INBOUND LINEAS ESPECIALIZADAS"),"Llamadas","Otro")))</f>
        <v/>
      </c>
      <c r="I2046" s="26" t="str">
        <f aca="false">IF(A2046="","",IF(C2046="No encontrado","No","Sí"))</f>
        <v/>
      </c>
      <c r="J2046" s="26" t="str">
        <f aca="false">IF(A2046="","",IF(F2046="Inactivo","No","Sí"))</f>
        <v/>
      </c>
      <c r="K2046" s="26" t="str">
        <f aca="false">IF(A2046="","",IF(AND(I2046="Sí",J2046="Sí"),"Sí","No"))</f>
        <v/>
      </c>
    </row>
    <row r="2047" customFormat="false" ht="15" hidden="false" customHeight="false" outlineLevel="0" collapsed="false">
      <c r="A2047" s="22"/>
      <c r="B2047" s="22"/>
      <c r="C2047" s="23" t="str">
        <f aca="false">IF(A2047="","",IFERROR(buscarx(A2047&amp;B2047,DATA!$E$3:$E$10000&amp;DATA!$B$3:$B$10000,DATA!$M$3:$M$10000),"No encontrado"))</f>
        <v/>
      </c>
      <c r="D2047" s="24" t="str">
        <f aca="false">IF(A2047="","",IFERROR(buscarx(A2047&amp;B2047,DATA!$E$3:$E$10000&amp;DATA!$B$3:$B$10000,DATA!$W$3:$W$10000),"No encontrado"))</f>
        <v/>
      </c>
      <c r="E2047" s="22"/>
      <c r="F2047" s="23" t="str">
        <f aca="false">IF(A2047="","",IFERROR(buscarx(A2047&amp;E2047,DATA!$E$3:$E$10000&amp;DATA!$B$3:$B$10000,DATA!$M$3:$M$10000),"Inactivo"))</f>
        <v/>
      </c>
      <c r="G2047" s="25" t="str">
        <f aca="false">IF(A2047="","",IF(AND(C2047&lt;&gt;"No encontrado",F2047&lt;&gt;"Inactivo"),C2047&amp;" → "&amp;F2047,"Sin transición"))</f>
        <v/>
      </c>
      <c r="H2047" s="23" t="str">
        <f aca="false">IF(A2047="","",IF(D2047="GCIA LINEA SERVICIO DIGITALIDAD Y VENTAS","Chats",IF(OR(D2047="GERENCIA INBOUND LÍNEAS SERVICIO Y VENTA",D2047="GERENCIA INBOUND LINEAS ESPECIALIZADAS"),"Llamadas","Otro")))</f>
        <v/>
      </c>
      <c r="I2047" s="23" t="str">
        <f aca="false">IF(A2047="","",IF(C2047="No encontrado","No","Sí"))</f>
        <v/>
      </c>
      <c r="J2047" s="23" t="str">
        <f aca="false">IF(A2047="","",IF(F2047="Inactivo","No","Sí"))</f>
        <v/>
      </c>
      <c r="K2047" s="23" t="str">
        <f aca="false">IF(A2047="","",IF(AND(I2047="Sí",J2047="Sí"),"Sí","No"))</f>
        <v/>
      </c>
    </row>
    <row r="2048" customFormat="false" ht="15" hidden="false" customHeight="false" outlineLevel="0" collapsed="false">
      <c r="A2048" s="22"/>
      <c r="B2048" s="22"/>
      <c r="C2048" s="26" t="str">
        <f aca="false">IF(A2048="","",IFERROR(buscarx(A2048&amp;B2048,DATA!$E$3:$E$10000&amp;DATA!$B$3:$B$10000,DATA!$M$3:$M$10000),"No encontrado"))</f>
        <v/>
      </c>
      <c r="D2048" s="27" t="str">
        <f aca="false">IF(A2048="","",IFERROR(buscarx(A2048&amp;B2048,DATA!$E$3:$E$10000&amp;DATA!$B$3:$B$10000,DATA!$W$3:$W$10000),"No encontrado"))</f>
        <v/>
      </c>
      <c r="E2048" s="22"/>
      <c r="F2048" s="26" t="str">
        <f aca="false">IF(A2048="","",IFERROR(buscarx(A2048&amp;E2048,DATA!$E$3:$E$10000&amp;DATA!$B$3:$B$10000,DATA!$M$3:$M$10000),"Inactivo"))</f>
        <v/>
      </c>
      <c r="G2048" s="28" t="str">
        <f aca="false">IF(A2048="","",IF(AND(C2048&lt;&gt;"No encontrado",F2048&lt;&gt;"Inactivo"),C2048&amp;" → "&amp;F2048,"Sin transición"))</f>
        <v/>
      </c>
      <c r="H2048" s="26" t="str">
        <f aca="false">IF(A2048="","",IF(D2048="GCIA LINEA SERVICIO DIGITALIDAD Y VENTAS","Chats",IF(OR(D2048="GERENCIA INBOUND LÍNEAS SERVICIO Y VENTA",D2048="GERENCIA INBOUND LINEAS ESPECIALIZADAS"),"Llamadas","Otro")))</f>
        <v/>
      </c>
      <c r="I2048" s="26" t="str">
        <f aca="false">IF(A2048="","",IF(C2048="No encontrado","No","Sí"))</f>
        <v/>
      </c>
      <c r="J2048" s="26" t="str">
        <f aca="false">IF(A2048="","",IF(F2048="Inactivo","No","Sí"))</f>
        <v/>
      </c>
      <c r="K2048" s="26" t="str">
        <f aca="false">IF(A2048="","",IF(AND(I2048="Sí",J2048="Sí"),"Sí","No"))</f>
        <v/>
      </c>
    </row>
    <row r="2049" customFormat="false" ht="15" hidden="false" customHeight="false" outlineLevel="0" collapsed="false">
      <c r="A2049" s="22"/>
      <c r="B2049" s="22"/>
      <c r="C2049" s="23" t="str">
        <f aca="false">IF(A2049="","",IFERROR(buscarx(A2049&amp;B2049,DATA!$E$3:$E$10000&amp;DATA!$B$3:$B$10000,DATA!$M$3:$M$10000),"No encontrado"))</f>
        <v/>
      </c>
      <c r="D2049" s="24" t="str">
        <f aca="false">IF(A2049="","",IFERROR(buscarx(A2049&amp;B2049,DATA!$E$3:$E$10000&amp;DATA!$B$3:$B$10000,DATA!$W$3:$W$10000),"No encontrado"))</f>
        <v/>
      </c>
      <c r="E2049" s="22"/>
      <c r="F2049" s="23" t="str">
        <f aca="false">IF(A2049="","",IFERROR(buscarx(A2049&amp;E2049,DATA!$E$3:$E$10000&amp;DATA!$B$3:$B$10000,DATA!$M$3:$M$10000),"Inactivo"))</f>
        <v/>
      </c>
      <c r="G2049" s="25" t="str">
        <f aca="false">IF(A2049="","",IF(AND(C2049&lt;&gt;"No encontrado",F2049&lt;&gt;"Inactivo"),C2049&amp;" → "&amp;F2049,"Sin transición"))</f>
        <v/>
      </c>
      <c r="H2049" s="23" t="str">
        <f aca="false">IF(A2049="","",IF(D2049="GCIA LINEA SERVICIO DIGITALIDAD Y VENTAS","Chats",IF(OR(D2049="GERENCIA INBOUND LÍNEAS SERVICIO Y VENTA",D2049="GERENCIA INBOUND LINEAS ESPECIALIZADAS"),"Llamadas","Otro")))</f>
        <v/>
      </c>
      <c r="I2049" s="23" t="str">
        <f aca="false">IF(A2049="","",IF(C2049="No encontrado","No","Sí"))</f>
        <v/>
      </c>
      <c r="J2049" s="23" t="str">
        <f aca="false">IF(A2049="","",IF(F2049="Inactivo","No","Sí"))</f>
        <v/>
      </c>
      <c r="K2049" s="23" t="str">
        <f aca="false">IF(A2049="","",IF(AND(I2049="Sí",J2049="Sí"),"Sí","No"))</f>
        <v/>
      </c>
    </row>
    <row r="2050" customFormat="false" ht="15" hidden="false" customHeight="false" outlineLevel="0" collapsed="false">
      <c r="A2050" s="22"/>
      <c r="B2050" s="22"/>
      <c r="C2050" s="26" t="str">
        <f aca="false">IF(A2050="","",IFERROR(buscarx(A2050&amp;B2050,DATA!$E$3:$E$10000&amp;DATA!$B$3:$B$10000,DATA!$M$3:$M$10000),"No encontrado"))</f>
        <v/>
      </c>
      <c r="D2050" s="27" t="str">
        <f aca="false">IF(A2050="","",IFERROR(buscarx(A2050&amp;B2050,DATA!$E$3:$E$10000&amp;DATA!$B$3:$B$10000,DATA!$W$3:$W$10000),"No encontrado"))</f>
        <v/>
      </c>
      <c r="E2050" s="22"/>
      <c r="F2050" s="26" t="str">
        <f aca="false">IF(A2050="","",IFERROR(buscarx(A2050&amp;E2050,DATA!$E$3:$E$10000&amp;DATA!$B$3:$B$10000,DATA!$M$3:$M$10000),"Inactivo"))</f>
        <v/>
      </c>
      <c r="G2050" s="28" t="str">
        <f aca="false">IF(A2050="","",IF(AND(C2050&lt;&gt;"No encontrado",F2050&lt;&gt;"Inactivo"),C2050&amp;" → "&amp;F2050,"Sin transición"))</f>
        <v/>
      </c>
      <c r="H2050" s="26" t="str">
        <f aca="false">IF(A2050="","",IF(D2050="GCIA LINEA SERVICIO DIGITALIDAD Y VENTAS","Chats",IF(OR(D2050="GERENCIA INBOUND LÍNEAS SERVICIO Y VENTA",D2050="GERENCIA INBOUND LINEAS ESPECIALIZADAS"),"Llamadas","Otro")))</f>
        <v/>
      </c>
      <c r="I2050" s="26" t="str">
        <f aca="false">IF(A2050="","",IF(C2050="No encontrado","No","Sí"))</f>
        <v/>
      </c>
      <c r="J2050" s="26" t="str">
        <f aca="false">IF(A2050="","",IF(F2050="Inactivo","No","Sí"))</f>
        <v/>
      </c>
      <c r="K2050" s="26" t="str">
        <f aca="false">IF(A2050="","",IF(AND(I2050="Sí",J2050="Sí"),"Sí","No"))</f>
        <v/>
      </c>
    </row>
    <row r="2051" customFormat="false" ht="15" hidden="false" customHeight="false" outlineLevel="0" collapsed="false">
      <c r="A2051" s="22"/>
      <c r="B2051" s="22"/>
      <c r="C2051" s="23" t="str">
        <f aca="false">IF(A2051="","",IFERROR(buscarx(A2051&amp;B2051,DATA!$E$3:$E$10000&amp;DATA!$B$3:$B$10000,DATA!$M$3:$M$10000),"No encontrado"))</f>
        <v/>
      </c>
      <c r="D2051" s="24" t="str">
        <f aca="false">IF(A2051="","",IFERROR(buscarx(A2051&amp;B2051,DATA!$E$3:$E$10000&amp;DATA!$B$3:$B$10000,DATA!$W$3:$W$10000),"No encontrado"))</f>
        <v/>
      </c>
      <c r="E2051" s="22"/>
      <c r="F2051" s="23" t="str">
        <f aca="false">IF(A2051="","",IFERROR(buscarx(A2051&amp;E2051,DATA!$E$3:$E$10000&amp;DATA!$B$3:$B$10000,DATA!$M$3:$M$10000),"Inactivo"))</f>
        <v/>
      </c>
      <c r="G2051" s="25" t="str">
        <f aca="false">IF(A2051="","",IF(AND(C2051&lt;&gt;"No encontrado",F2051&lt;&gt;"Inactivo"),C2051&amp;" → "&amp;F2051,"Sin transición"))</f>
        <v/>
      </c>
      <c r="H2051" s="23" t="str">
        <f aca="false">IF(A2051="","",IF(D2051="GCIA LINEA SERVICIO DIGITALIDAD Y VENTAS","Chats",IF(OR(D2051="GERENCIA INBOUND LÍNEAS SERVICIO Y VENTA",D2051="GERENCIA INBOUND LINEAS ESPECIALIZADAS"),"Llamadas","Otro")))</f>
        <v/>
      </c>
      <c r="I2051" s="23" t="str">
        <f aca="false">IF(A2051="","",IF(C2051="No encontrado","No","Sí"))</f>
        <v/>
      </c>
      <c r="J2051" s="23" t="str">
        <f aca="false">IF(A2051="","",IF(F2051="Inactivo","No","Sí"))</f>
        <v/>
      </c>
      <c r="K2051" s="23" t="str">
        <f aca="false">IF(A2051="","",IF(AND(I2051="Sí",J2051="Sí"),"Sí","No"))</f>
        <v/>
      </c>
    </row>
    <row r="2052" customFormat="false" ht="15" hidden="false" customHeight="false" outlineLevel="0" collapsed="false">
      <c r="A2052" s="22"/>
      <c r="B2052" s="22"/>
      <c r="C2052" s="26" t="str">
        <f aca="false">IF(A2052="","",IFERROR(buscarx(A2052&amp;B2052,DATA!$E$3:$E$10000&amp;DATA!$B$3:$B$10000,DATA!$M$3:$M$10000),"No encontrado"))</f>
        <v/>
      </c>
      <c r="D2052" s="27" t="str">
        <f aca="false">IF(A2052="","",IFERROR(buscarx(A2052&amp;B2052,DATA!$E$3:$E$10000&amp;DATA!$B$3:$B$10000,DATA!$W$3:$W$10000),"No encontrado"))</f>
        <v/>
      </c>
      <c r="E2052" s="22"/>
      <c r="F2052" s="26" t="str">
        <f aca="false">IF(A2052="","",IFERROR(buscarx(A2052&amp;E2052,DATA!$E$3:$E$10000&amp;DATA!$B$3:$B$10000,DATA!$M$3:$M$10000),"Inactivo"))</f>
        <v/>
      </c>
      <c r="G2052" s="28" t="str">
        <f aca="false">IF(A2052="","",IF(AND(C2052&lt;&gt;"No encontrado",F2052&lt;&gt;"Inactivo"),C2052&amp;" → "&amp;F2052,"Sin transición"))</f>
        <v/>
      </c>
      <c r="H2052" s="26" t="str">
        <f aca="false">IF(A2052="","",IF(D2052="GCIA LINEA SERVICIO DIGITALIDAD Y VENTAS","Chats",IF(OR(D2052="GERENCIA INBOUND LÍNEAS SERVICIO Y VENTA",D2052="GERENCIA INBOUND LINEAS ESPECIALIZADAS"),"Llamadas","Otro")))</f>
        <v/>
      </c>
      <c r="I2052" s="26" t="str">
        <f aca="false">IF(A2052="","",IF(C2052="No encontrado","No","Sí"))</f>
        <v/>
      </c>
      <c r="J2052" s="26" t="str">
        <f aca="false">IF(A2052="","",IF(F2052="Inactivo","No","Sí"))</f>
        <v/>
      </c>
      <c r="K2052" s="26" t="str">
        <f aca="false">IF(A2052="","",IF(AND(I2052="Sí",J2052="Sí"),"Sí","No"))</f>
        <v/>
      </c>
    </row>
    <row r="2053" customFormat="false" ht="15" hidden="false" customHeight="false" outlineLevel="0" collapsed="false">
      <c r="A2053" s="22"/>
      <c r="B2053" s="22"/>
      <c r="C2053" s="23" t="str">
        <f aca="false">IF(A2053="","",IFERROR(buscarx(A2053&amp;B2053,DATA!$E$3:$E$10000&amp;DATA!$B$3:$B$10000,DATA!$M$3:$M$10000),"No encontrado"))</f>
        <v/>
      </c>
      <c r="D2053" s="24" t="str">
        <f aca="false">IF(A2053="","",IFERROR(buscarx(A2053&amp;B2053,DATA!$E$3:$E$10000&amp;DATA!$B$3:$B$10000,DATA!$W$3:$W$10000),"No encontrado"))</f>
        <v/>
      </c>
      <c r="E2053" s="22"/>
      <c r="F2053" s="23" t="str">
        <f aca="false">IF(A2053="","",IFERROR(buscarx(A2053&amp;E2053,DATA!$E$3:$E$10000&amp;DATA!$B$3:$B$10000,DATA!$M$3:$M$10000),"Inactivo"))</f>
        <v/>
      </c>
      <c r="G2053" s="25" t="str">
        <f aca="false">IF(A2053="","",IF(AND(C2053&lt;&gt;"No encontrado",F2053&lt;&gt;"Inactivo"),C2053&amp;" → "&amp;F2053,"Sin transición"))</f>
        <v/>
      </c>
      <c r="H2053" s="23" t="str">
        <f aca="false">IF(A2053="","",IF(D2053="GCIA LINEA SERVICIO DIGITALIDAD Y VENTAS","Chats",IF(OR(D2053="GERENCIA INBOUND LÍNEAS SERVICIO Y VENTA",D2053="GERENCIA INBOUND LINEAS ESPECIALIZADAS"),"Llamadas","Otro")))</f>
        <v/>
      </c>
      <c r="I2053" s="23" t="str">
        <f aca="false">IF(A2053="","",IF(C2053="No encontrado","No","Sí"))</f>
        <v/>
      </c>
      <c r="J2053" s="23" t="str">
        <f aca="false">IF(A2053="","",IF(F2053="Inactivo","No","Sí"))</f>
        <v/>
      </c>
      <c r="K2053" s="23" t="str">
        <f aca="false">IF(A2053="","",IF(AND(I2053="Sí",J2053="Sí"),"Sí","No"))</f>
        <v/>
      </c>
    </row>
    <row r="2054" customFormat="false" ht="15" hidden="false" customHeight="false" outlineLevel="0" collapsed="false">
      <c r="A2054" s="22"/>
      <c r="B2054" s="22"/>
      <c r="C2054" s="26" t="str">
        <f aca="false">IF(A2054="","",IFERROR(buscarx(A2054&amp;B2054,DATA!$E$3:$E$10000&amp;DATA!$B$3:$B$10000,DATA!$M$3:$M$10000),"No encontrado"))</f>
        <v/>
      </c>
      <c r="D2054" s="27" t="str">
        <f aca="false">IF(A2054="","",IFERROR(buscarx(A2054&amp;B2054,DATA!$E$3:$E$10000&amp;DATA!$B$3:$B$10000,DATA!$W$3:$W$10000),"No encontrado"))</f>
        <v/>
      </c>
      <c r="E2054" s="22"/>
      <c r="F2054" s="26" t="str">
        <f aca="false">IF(A2054="","",IFERROR(buscarx(A2054&amp;E2054,DATA!$E$3:$E$10000&amp;DATA!$B$3:$B$10000,DATA!$M$3:$M$10000),"Inactivo"))</f>
        <v/>
      </c>
      <c r="G2054" s="28" t="str">
        <f aca="false">IF(A2054="","",IF(AND(C2054&lt;&gt;"No encontrado",F2054&lt;&gt;"Inactivo"),C2054&amp;" → "&amp;F2054,"Sin transición"))</f>
        <v/>
      </c>
      <c r="H2054" s="26" t="str">
        <f aca="false">IF(A2054="","",IF(D2054="GCIA LINEA SERVICIO DIGITALIDAD Y VENTAS","Chats",IF(OR(D2054="GERENCIA INBOUND LÍNEAS SERVICIO Y VENTA",D2054="GERENCIA INBOUND LINEAS ESPECIALIZADAS"),"Llamadas","Otro")))</f>
        <v/>
      </c>
      <c r="I2054" s="26" t="str">
        <f aca="false">IF(A2054="","",IF(C2054="No encontrado","No","Sí"))</f>
        <v/>
      </c>
      <c r="J2054" s="26" t="str">
        <f aca="false">IF(A2054="","",IF(F2054="Inactivo","No","Sí"))</f>
        <v/>
      </c>
      <c r="K2054" s="26" t="str">
        <f aca="false">IF(A2054="","",IF(AND(I2054="Sí",J2054="Sí"),"Sí","No"))</f>
        <v/>
      </c>
    </row>
    <row r="2055" customFormat="false" ht="15" hidden="false" customHeight="false" outlineLevel="0" collapsed="false">
      <c r="A2055" s="22"/>
      <c r="B2055" s="22"/>
      <c r="C2055" s="23" t="str">
        <f aca="false">IF(A2055="","",IFERROR(buscarx(A2055&amp;B2055,DATA!$E$3:$E$10000&amp;DATA!$B$3:$B$10000,DATA!$M$3:$M$10000),"No encontrado"))</f>
        <v/>
      </c>
      <c r="D2055" s="24" t="str">
        <f aca="false">IF(A2055="","",IFERROR(buscarx(A2055&amp;B2055,DATA!$E$3:$E$10000&amp;DATA!$B$3:$B$10000,DATA!$W$3:$W$10000),"No encontrado"))</f>
        <v/>
      </c>
      <c r="E2055" s="22"/>
      <c r="F2055" s="23" t="str">
        <f aca="false">IF(A2055="","",IFERROR(buscarx(A2055&amp;E2055,DATA!$E$3:$E$10000&amp;DATA!$B$3:$B$10000,DATA!$M$3:$M$10000),"Inactivo"))</f>
        <v/>
      </c>
      <c r="G2055" s="25" t="str">
        <f aca="false">IF(A2055="","",IF(AND(C2055&lt;&gt;"No encontrado",F2055&lt;&gt;"Inactivo"),C2055&amp;" → "&amp;F2055,"Sin transición"))</f>
        <v/>
      </c>
      <c r="H2055" s="23" t="str">
        <f aca="false">IF(A2055="","",IF(D2055="GCIA LINEA SERVICIO DIGITALIDAD Y VENTAS","Chats",IF(OR(D2055="GERENCIA INBOUND LÍNEAS SERVICIO Y VENTA",D2055="GERENCIA INBOUND LINEAS ESPECIALIZADAS"),"Llamadas","Otro")))</f>
        <v/>
      </c>
      <c r="I2055" s="23" t="str">
        <f aca="false">IF(A2055="","",IF(C2055="No encontrado","No","Sí"))</f>
        <v/>
      </c>
      <c r="J2055" s="23" t="str">
        <f aca="false">IF(A2055="","",IF(F2055="Inactivo","No","Sí"))</f>
        <v/>
      </c>
      <c r="K2055" s="23" t="str">
        <f aca="false">IF(A2055="","",IF(AND(I2055="Sí",J2055="Sí"),"Sí","No"))</f>
        <v/>
      </c>
    </row>
    <row r="2056" customFormat="false" ht="15" hidden="false" customHeight="false" outlineLevel="0" collapsed="false">
      <c r="A2056" s="22"/>
      <c r="B2056" s="22"/>
      <c r="C2056" s="26" t="str">
        <f aca="false">IF(A2056="","",IFERROR(buscarx(A2056&amp;B2056,DATA!$E$3:$E$10000&amp;DATA!$B$3:$B$10000,DATA!$M$3:$M$10000),"No encontrado"))</f>
        <v/>
      </c>
      <c r="D2056" s="27" t="str">
        <f aca="false">IF(A2056="","",IFERROR(buscarx(A2056&amp;B2056,DATA!$E$3:$E$10000&amp;DATA!$B$3:$B$10000,DATA!$W$3:$W$10000),"No encontrado"))</f>
        <v/>
      </c>
      <c r="E2056" s="22"/>
      <c r="F2056" s="26" t="str">
        <f aca="false">IF(A2056="","",IFERROR(buscarx(A2056&amp;E2056,DATA!$E$3:$E$10000&amp;DATA!$B$3:$B$10000,DATA!$M$3:$M$10000),"Inactivo"))</f>
        <v/>
      </c>
      <c r="G2056" s="28" t="str">
        <f aca="false">IF(A2056="","",IF(AND(C2056&lt;&gt;"No encontrado",F2056&lt;&gt;"Inactivo"),C2056&amp;" → "&amp;F2056,"Sin transición"))</f>
        <v/>
      </c>
      <c r="H2056" s="26" t="str">
        <f aca="false">IF(A2056="","",IF(D2056="GCIA LINEA SERVICIO DIGITALIDAD Y VENTAS","Chats",IF(OR(D2056="GERENCIA INBOUND LÍNEAS SERVICIO Y VENTA",D2056="GERENCIA INBOUND LINEAS ESPECIALIZADAS"),"Llamadas","Otro")))</f>
        <v/>
      </c>
      <c r="I2056" s="26" t="str">
        <f aca="false">IF(A2056="","",IF(C2056="No encontrado","No","Sí"))</f>
        <v/>
      </c>
      <c r="J2056" s="26" t="str">
        <f aca="false">IF(A2056="","",IF(F2056="Inactivo","No","Sí"))</f>
        <v/>
      </c>
      <c r="K2056" s="26" t="str">
        <f aca="false">IF(A2056="","",IF(AND(I2056="Sí",J2056="Sí"),"Sí","No"))</f>
        <v/>
      </c>
    </row>
    <row r="2057" customFormat="false" ht="15" hidden="false" customHeight="false" outlineLevel="0" collapsed="false">
      <c r="A2057" s="22"/>
      <c r="B2057" s="22"/>
      <c r="C2057" s="23" t="str">
        <f aca="false">IF(A2057="","",IFERROR(buscarx(A2057&amp;B2057,DATA!$E$3:$E$10000&amp;DATA!$B$3:$B$10000,DATA!$M$3:$M$10000),"No encontrado"))</f>
        <v/>
      </c>
      <c r="D2057" s="24" t="str">
        <f aca="false">IF(A2057="","",IFERROR(buscarx(A2057&amp;B2057,DATA!$E$3:$E$10000&amp;DATA!$B$3:$B$10000,DATA!$W$3:$W$10000),"No encontrado"))</f>
        <v/>
      </c>
      <c r="E2057" s="22"/>
      <c r="F2057" s="23" t="str">
        <f aca="false">IF(A2057="","",IFERROR(buscarx(A2057&amp;E2057,DATA!$E$3:$E$10000&amp;DATA!$B$3:$B$10000,DATA!$M$3:$M$10000),"Inactivo"))</f>
        <v/>
      </c>
      <c r="G2057" s="25" t="str">
        <f aca="false">IF(A2057="","",IF(AND(C2057&lt;&gt;"No encontrado",F2057&lt;&gt;"Inactivo"),C2057&amp;" → "&amp;F2057,"Sin transición"))</f>
        <v/>
      </c>
      <c r="H2057" s="23" t="str">
        <f aca="false">IF(A2057="","",IF(D2057="GCIA LINEA SERVICIO DIGITALIDAD Y VENTAS","Chats",IF(OR(D2057="GERENCIA INBOUND LÍNEAS SERVICIO Y VENTA",D2057="GERENCIA INBOUND LINEAS ESPECIALIZADAS"),"Llamadas","Otro")))</f>
        <v/>
      </c>
      <c r="I2057" s="23" t="str">
        <f aca="false">IF(A2057="","",IF(C2057="No encontrado","No","Sí"))</f>
        <v/>
      </c>
      <c r="J2057" s="23" t="str">
        <f aca="false">IF(A2057="","",IF(F2057="Inactivo","No","Sí"))</f>
        <v/>
      </c>
      <c r="K2057" s="23" t="str">
        <f aca="false">IF(A2057="","",IF(AND(I2057="Sí",J2057="Sí"),"Sí","No"))</f>
        <v/>
      </c>
    </row>
    <row r="2058" customFormat="false" ht="15" hidden="false" customHeight="false" outlineLevel="0" collapsed="false">
      <c r="A2058" s="22"/>
      <c r="B2058" s="22"/>
      <c r="C2058" s="26" t="str">
        <f aca="false">IF(A2058="","",IFERROR(buscarx(A2058&amp;B2058,DATA!$E$3:$E$10000&amp;DATA!$B$3:$B$10000,DATA!$M$3:$M$10000),"No encontrado"))</f>
        <v/>
      </c>
      <c r="D2058" s="27" t="str">
        <f aca="false">IF(A2058="","",IFERROR(buscarx(A2058&amp;B2058,DATA!$E$3:$E$10000&amp;DATA!$B$3:$B$10000,DATA!$W$3:$W$10000),"No encontrado"))</f>
        <v/>
      </c>
      <c r="E2058" s="22"/>
      <c r="F2058" s="26" t="str">
        <f aca="false">IF(A2058="","",IFERROR(buscarx(A2058&amp;E2058,DATA!$E$3:$E$10000&amp;DATA!$B$3:$B$10000,DATA!$M$3:$M$10000),"Inactivo"))</f>
        <v/>
      </c>
      <c r="G2058" s="28" t="str">
        <f aca="false">IF(A2058="","",IF(AND(C2058&lt;&gt;"No encontrado",F2058&lt;&gt;"Inactivo"),C2058&amp;" → "&amp;F2058,"Sin transición"))</f>
        <v/>
      </c>
      <c r="H2058" s="26" t="str">
        <f aca="false">IF(A2058="","",IF(D2058="GCIA LINEA SERVICIO DIGITALIDAD Y VENTAS","Chats",IF(OR(D2058="GERENCIA INBOUND LÍNEAS SERVICIO Y VENTA",D2058="GERENCIA INBOUND LINEAS ESPECIALIZADAS"),"Llamadas","Otro")))</f>
        <v/>
      </c>
      <c r="I2058" s="26" t="str">
        <f aca="false">IF(A2058="","",IF(C2058="No encontrado","No","Sí"))</f>
        <v/>
      </c>
      <c r="J2058" s="26" t="str">
        <f aca="false">IF(A2058="","",IF(F2058="Inactivo","No","Sí"))</f>
        <v/>
      </c>
      <c r="K2058" s="26" t="str">
        <f aca="false">IF(A2058="","",IF(AND(I2058="Sí",J2058="Sí"),"Sí","No"))</f>
        <v/>
      </c>
    </row>
    <row r="2059" customFormat="false" ht="15" hidden="false" customHeight="false" outlineLevel="0" collapsed="false">
      <c r="A2059" s="22"/>
      <c r="B2059" s="22"/>
      <c r="C2059" s="23" t="str">
        <f aca="false">IF(A2059="","",IFERROR(buscarx(A2059&amp;B2059,DATA!$E$3:$E$10000&amp;DATA!$B$3:$B$10000,DATA!$M$3:$M$10000),"No encontrado"))</f>
        <v/>
      </c>
      <c r="D2059" s="24" t="str">
        <f aca="false">IF(A2059="","",IFERROR(buscarx(A2059&amp;B2059,DATA!$E$3:$E$10000&amp;DATA!$B$3:$B$10000,DATA!$W$3:$W$10000),"No encontrado"))</f>
        <v/>
      </c>
      <c r="E2059" s="22"/>
      <c r="F2059" s="23" t="str">
        <f aca="false">IF(A2059="","",IFERROR(buscarx(A2059&amp;E2059,DATA!$E$3:$E$10000&amp;DATA!$B$3:$B$10000,DATA!$M$3:$M$10000),"Inactivo"))</f>
        <v/>
      </c>
      <c r="G2059" s="25" t="str">
        <f aca="false">IF(A2059="","",IF(AND(C2059&lt;&gt;"No encontrado",F2059&lt;&gt;"Inactivo"),C2059&amp;" → "&amp;F2059,"Sin transición"))</f>
        <v/>
      </c>
      <c r="H2059" s="23" t="str">
        <f aca="false">IF(A2059="","",IF(D2059="GCIA LINEA SERVICIO DIGITALIDAD Y VENTAS","Chats",IF(OR(D2059="GERENCIA INBOUND LÍNEAS SERVICIO Y VENTA",D2059="GERENCIA INBOUND LINEAS ESPECIALIZADAS"),"Llamadas","Otro")))</f>
        <v/>
      </c>
      <c r="I2059" s="23" t="str">
        <f aca="false">IF(A2059="","",IF(C2059="No encontrado","No","Sí"))</f>
        <v/>
      </c>
      <c r="J2059" s="23" t="str">
        <f aca="false">IF(A2059="","",IF(F2059="Inactivo","No","Sí"))</f>
        <v/>
      </c>
      <c r="K2059" s="23" t="str">
        <f aca="false">IF(A2059="","",IF(AND(I2059="Sí",J2059="Sí"),"Sí","No"))</f>
        <v/>
      </c>
    </row>
    <row r="2060" customFormat="false" ht="15" hidden="false" customHeight="false" outlineLevel="0" collapsed="false">
      <c r="A2060" s="22"/>
      <c r="B2060" s="22"/>
      <c r="C2060" s="26" t="str">
        <f aca="false">IF(A2060="","",IFERROR(buscarx(A2060&amp;B2060,DATA!$E$3:$E$10000&amp;DATA!$B$3:$B$10000,DATA!$M$3:$M$10000),"No encontrado"))</f>
        <v/>
      </c>
      <c r="D2060" s="27" t="str">
        <f aca="false">IF(A2060="","",IFERROR(buscarx(A2060&amp;B2060,DATA!$E$3:$E$10000&amp;DATA!$B$3:$B$10000,DATA!$W$3:$W$10000),"No encontrado"))</f>
        <v/>
      </c>
      <c r="E2060" s="22"/>
      <c r="F2060" s="26" t="str">
        <f aca="false">IF(A2060="","",IFERROR(buscarx(A2060&amp;E2060,DATA!$E$3:$E$10000&amp;DATA!$B$3:$B$10000,DATA!$M$3:$M$10000),"Inactivo"))</f>
        <v/>
      </c>
      <c r="G2060" s="28" t="str">
        <f aca="false">IF(A2060="","",IF(AND(C2060&lt;&gt;"No encontrado",F2060&lt;&gt;"Inactivo"),C2060&amp;" → "&amp;F2060,"Sin transición"))</f>
        <v/>
      </c>
      <c r="H2060" s="26" t="str">
        <f aca="false">IF(A2060="","",IF(D2060="GCIA LINEA SERVICIO DIGITALIDAD Y VENTAS","Chats",IF(OR(D2060="GERENCIA INBOUND LÍNEAS SERVICIO Y VENTA",D2060="GERENCIA INBOUND LINEAS ESPECIALIZADAS"),"Llamadas","Otro")))</f>
        <v/>
      </c>
      <c r="I2060" s="26" t="str">
        <f aca="false">IF(A2060="","",IF(C2060="No encontrado","No","Sí"))</f>
        <v/>
      </c>
      <c r="J2060" s="26" t="str">
        <f aca="false">IF(A2060="","",IF(F2060="Inactivo","No","Sí"))</f>
        <v/>
      </c>
      <c r="K2060" s="26" t="str">
        <f aca="false">IF(A2060="","",IF(AND(I2060="Sí",J2060="Sí"),"Sí","No"))</f>
        <v/>
      </c>
    </row>
    <row r="2061" customFormat="false" ht="15" hidden="false" customHeight="false" outlineLevel="0" collapsed="false">
      <c r="A2061" s="22"/>
      <c r="B2061" s="22"/>
      <c r="C2061" s="23" t="str">
        <f aca="false">IF(A2061="","",IFERROR(buscarx(A2061&amp;B2061,DATA!$E$3:$E$10000&amp;DATA!$B$3:$B$10000,DATA!$M$3:$M$10000),"No encontrado"))</f>
        <v/>
      </c>
      <c r="D2061" s="24" t="str">
        <f aca="false">IF(A2061="","",IFERROR(buscarx(A2061&amp;B2061,DATA!$E$3:$E$10000&amp;DATA!$B$3:$B$10000,DATA!$W$3:$W$10000),"No encontrado"))</f>
        <v/>
      </c>
      <c r="E2061" s="22"/>
      <c r="F2061" s="23" t="str">
        <f aca="false">IF(A2061="","",IFERROR(buscarx(A2061&amp;E2061,DATA!$E$3:$E$10000&amp;DATA!$B$3:$B$10000,DATA!$M$3:$M$10000),"Inactivo"))</f>
        <v/>
      </c>
      <c r="G2061" s="25" t="str">
        <f aca="false">IF(A2061="","",IF(AND(C2061&lt;&gt;"No encontrado",F2061&lt;&gt;"Inactivo"),C2061&amp;" → "&amp;F2061,"Sin transición"))</f>
        <v/>
      </c>
      <c r="H2061" s="23" t="str">
        <f aca="false">IF(A2061="","",IF(D2061="GCIA LINEA SERVICIO DIGITALIDAD Y VENTAS","Chats",IF(OR(D2061="GERENCIA INBOUND LÍNEAS SERVICIO Y VENTA",D2061="GERENCIA INBOUND LINEAS ESPECIALIZADAS"),"Llamadas","Otro")))</f>
        <v/>
      </c>
      <c r="I2061" s="23" t="str">
        <f aca="false">IF(A2061="","",IF(C2061="No encontrado","No","Sí"))</f>
        <v/>
      </c>
      <c r="J2061" s="23" t="str">
        <f aca="false">IF(A2061="","",IF(F2061="Inactivo","No","Sí"))</f>
        <v/>
      </c>
      <c r="K2061" s="23" t="str">
        <f aca="false">IF(A2061="","",IF(AND(I2061="Sí",J2061="Sí"),"Sí","No"))</f>
        <v/>
      </c>
    </row>
    <row r="2062" customFormat="false" ht="15" hidden="false" customHeight="false" outlineLevel="0" collapsed="false">
      <c r="A2062" s="22"/>
      <c r="B2062" s="22"/>
      <c r="C2062" s="26" t="str">
        <f aca="false">IF(A2062="","",IFERROR(buscarx(A2062&amp;B2062,DATA!$E$3:$E$10000&amp;DATA!$B$3:$B$10000,DATA!$M$3:$M$10000),"No encontrado"))</f>
        <v/>
      </c>
      <c r="D2062" s="27" t="str">
        <f aca="false">IF(A2062="","",IFERROR(buscarx(A2062&amp;B2062,DATA!$E$3:$E$10000&amp;DATA!$B$3:$B$10000,DATA!$W$3:$W$10000),"No encontrado"))</f>
        <v/>
      </c>
      <c r="E2062" s="22"/>
      <c r="F2062" s="26" t="str">
        <f aca="false">IF(A2062="","",IFERROR(buscarx(A2062&amp;E2062,DATA!$E$3:$E$10000&amp;DATA!$B$3:$B$10000,DATA!$M$3:$M$10000),"Inactivo"))</f>
        <v/>
      </c>
      <c r="G2062" s="28" t="str">
        <f aca="false">IF(A2062="","",IF(AND(C2062&lt;&gt;"No encontrado",F2062&lt;&gt;"Inactivo"),C2062&amp;" → "&amp;F2062,"Sin transición"))</f>
        <v/>
      </c>
      <c r="H2062" s="26" t="str">
        <f aca="false">IF(A2062="","",IF(D2062="GCIA LINEA SERVICIO DIGITALIDAD Y VENTAS","Chats",IF(OR(D2062="GERENCIA INBOUND LÍNEAS SERVICIO Y VENTA",D2062="GERENCIA INBOUND LINEAS ESPECIALIZADAS"),"Llamadas","Otro")))</f>
        <v/>
      </c>
      <c r="I2062" s="26" t="str">
        <f aca="false">IF(A2062="","",IF(C2062="No encontrado","No","Sí"))</f>
        <v/>
      </c>
      <c r="J2062" s="26" t="str">
        <f aca="false">IF(A2062="","",IF(F2062="Inactivo","No","Sí"))</f>
        <v/>
      </c>
      <c r="K2062" s="26" t="str">
        <f aca="false">IF(A2062="","",IF(AND(I2062="Sí",J2062="Sí"),"Sí","No"))</f>
        <v/>
      </c>
    </row>
    <row r="2063" customFormat="false" ht="15" hidden="false" customHeight="false" outlineLevel="0" collapsed="false">
      <c r="A2063" s="22"/>
      <c r="B2063" s="22"/>
      <c r="C2063" s="23" t="str">
        <f aca="false">IF(A2063="","",IFERROR(buscarx(A2063&amp;B2063,DATA!$E$3:$E$10000&amp;DATA!$B$3:$B$10000,DATA!$M$3:$M$10000),"No encontrado"))</f>
        <v/>
      </c>
      <c r="D2063" s="24" t="str">
        <f aca="false">IF(A2063="","",IFERROR(buscarx(A2063&amp;B2063,DATA!$E$3:$E$10000&amp;DATA!$B$3:$B$10000,DATA!$W$3:$W$10000),"No encontrado"))</f>
        <v/>
      </c>
      <c r="E2063" s="22"/>
      <c r="F2063" s="23" t="str">
        <f aca="false">IF(A2063="","",IFERROR(buscarx(A2063&amp;E2063,DATA!$E$3:$E$10000&amp;DATA!$B$3:$B$10000,DATA!$M$3:$M$10000),"Inactivo"))</f>
        <v/>
      </c>
      <c r="G2063" s="25" t="str">
        <f aca="false">IF(A2063="","",IF(AND(C2063&lt;&gt;"No encontrado",F2063&lt;&gt;"Inactivo"),C2063&amp;" → "&amp;F2063,"Sin transición"))</f>
        <v/>
      </c>
      <c r="H2063" s="23" t="str">
        <f aca="false">IF(A2063="","",IF(D2063="GCIA LINEA SERVICIO DIGITALIDAD Y VENTAS","Chats",IF(OR(D2063="GERENCIA INBOUND LÍNEAS SERVICIO Y VENTA",D2063="GERENCIA INBOUND LINEAS ESPECIALIZADAS"),"Llamadas","Otro")))</f>
        <v/>
      </c>
      <c r="I2063" s="23" t="str">
        <f aca="false">IF(A2063="","",IF(C2063="No encontrado","No","Sí"))</f>
        <v/>
      </c>
      <c r="J2063" s="23" t="str">
        <f aca="false">IF(A2063="","",IF(F2063="Inactivo","No","Sí"))</f>
        <v/>
      </c>
      <c r="K2063" s="23" t="str">
        <f aca="false">IF(A2063="","",IF(AND(I2063="Sí",J2063="Sí"),"Sí","No"))</f>
        <v/>
      </c>
    </row>
    <row r="2064" customFormat="false" ht="15" hidden="false" customHeight="false" outlineLevel="0" collapsed="false">
      <c r="A2064" s="22"/>
      <c r="B2064" s="22"/>
      <c r="C2064" s="26" t="str">
        <f aca="false">IF(A2064="","",IFERROR(buscarx(A2064&amp;B2064,DATA!$E$3:$E$10000&amp;DATA!$B$3:$B$10000,DATA!$M$3:$M$10000),"No encontrado"))</f>
        <v/>
      </c>
      <c r="D2064" s="27" t="str">
        <f aca="false">IF(A2064="","",IFERROR(buscarx(A2064&amp;B2064,DATA!$E$3:$E$10000&amp;DATA!$B$3:$B$10000,DATA!$W$3:$W$10000),"No encontrado"))</f>
        <v/>
      </c>
      <c r="E2064" s="22"/>
      <c r="F2064" s="26" t="str">
        <f aca="false">IF(A2064="","",IFERROR(buscarx(A2064&amp;E2064,DATA!$E$3:$E$10000&amp;DATA!$B$3:$B$10000,DATA!$M$3:$M$10000),"Inactivo"))</f>
        <v/>
      </c>
      <c r="G2064" s="28" t="str">
        <f aca="false">IF(A2064="","",IF(AND(C2064&lt;&gt;"No encontrado",F2064&lt;&gt;"Inactivo"),C2064&amp;" → "&amp;F2064,"Sin transición"))</f>
        <v/>
      </c>
      <c r="H2064" s="26" t="str">
        <f aca="false">IF(A2064="","",IF(D2064="GCIA LINEA SERVICIO DIGITALIDAD Y VENTAS","Chats",IF(OR(D2064="GERENCIA INBOUND LÍNEAS SERVICIO Y VENTA",D2064="GERENCIA INBOUND LINEAS ESPECIALIZADAS"),"Llamadas","Otro")))</f>
        <v/>
      </c>
      <c r="I2064" s="26" t="str">
        <f aca="false">IF(A2064="","",IF(C2064="No encontrado","No","Sí"))</f>
        <v/>
      </c>
      <c r="J2064" s="26" t="str">
        <f aca="false">IF(A2064="","",IF(F2064="Inactivo","No","Sí"))</f>
        <v/>
      </c>
      <c r="K2064" s="26" t="str">
        <f aca="false">IF(A2064="","",IF(AND(I2064="Sí",J2064="Sí"),"Sí","No"))</f>
        <v/>
      </c>
    </row>
    <row r="2065" customFormat="false" ht="15" hidden="false" customHeight="false" outlineLevel="0" collapsed="false">
      <c r="A2065" s="22"/>
      <c r="B2065" s="22"/>
      <c r="C2065" s="23" t="str">
        <f aca="false">IF(A2065="","",IFERROR(buscarx(A2065&amp;B2065,DATA!$E$3:$E$10000&amp;DATA!$B$3:$B$10000,DATA!$M$3:$M$10000),"No encontrado"))</f>
        <v/>
      </c>
      <c r="D2065" s="24" t="str">
        <f aca="false">IF(A2065="","",IFERROR(buscarx(A2065&amp;B2065,DATA!$E$3:$E$10000&amp;DATA!$B$3:$B$10000,DATA!$W$3:$W$10000),"No encontrado"))</f>
        <v/>
      </c>
      <c r="E2065" s="22"/>
      <c r="F2065" s="23" t="str">
        <f aca="false">IF(A2065="","",IFERROR(buscarx(A2065&amp;E2065,DATA!$E$3:$E$10000&amp;DATA!$B$3:$B$10000,DATA!$M$3:$M$10000),"Inactivo"))</f>
        <v/>
      </c>
      <c r="G2065" s="25" t="str">
        <f aca="false">IF(A2065="","",IF(AND(C2065&lt;&gt;"No encontrado",F2065&lt;&gt;"Inactivo"),C2065&amp;" → "&amp;F2065,"Sin transición"))</f>
        <v/>
      </c>
      <c r="H2065" s="23" t="str">
        <f aca="false">IF(A2065="","",IF(D2065="GCIA LINEA SERVICIO DIGITALIDAD Y VENTAS","Chats",IF(OR(D2065="GERENCIA INBOUND LÍNEAS SERVICIO Y VENTA",D2065="GERENCIA INBOUND LINEAS ESPECIALIZADAS"),"Llamadas","Otro")))</f>
        <v/>
      </c>
      <c r="I2065" s="23" t="str">
        <f aca="false">IF(A2065="","",IF(C2065="No encontrado","No","Sí"))</f>
        <v/>
      </c>
      <c r="J2065" s="23" t="str">
        <f aca="false">IF(A2065="","",IF(F2065="Inactivo","No","Sí"))</f>
        <v/>
      </c>
      <c r="K2065" s="23" t="str">
        <f aca="false">IF(A2065="","",IF(AND(I2065="Sí",J2065="Sí"),"Sí","No"))</f>
        <v/>
      </c>
    </row>
    <row r="2066" customFormat="false" ht="15" hidden="false" customHeight="false" outlineLevel="0" collapsed="false">
      <c r="A2066" s="22"/>
      <c r="B2066" s="22"/>
      <c r="C2066" s="26" t="str">
        <f aca="false">IF(A2066="","",IFERROR(buscarx(A2066&amp;B2066,DATA!$E$3:$E$10000&amp;DATA!$B$3:$B$10000,DATA!$M$3:$M$10000),"No encontrado"))</f>
        <v/>
      </c>
      <c r="D2066" s="27" t="str">
        <f aca="false">IF(A2066="","",IFERROR(buscarx(A2066&amp;B2066,DATA!$E$3:$E$10000&amp;DATA!$B$3:$B$10000,DATA!$W$3:$W$10000),"No encontrado"))</f>
        <v/>
      </c>
      <c r="E2066" s="22"/>
      <c r="F2066" s="26" t="str">
        <f aca="false">IF(A2066="","",IFERROR(buscarx(A2066&amp;E2066,DATA!$E$3:$E$10000&amp;DATA!$B$3:$B$10000,DATA!$M$3:$M$10000),"Inactivo"))</f>
        <v/>
      </c>
      <c r="G2066" s="28" t="str">
        <f aca="false">IF(A2066="","",IF(AND(C2066&lt;&gt;"No encontrado",F2066&lt;&gt;"Inactivo"),C2066&amp;" → "&amp;F2066,"Sin transición"))</f>
        <v/>
      </c>
      <c r="H2066" s="26" t="str">
        <f aca="false">IF(A2066="","",IF(D2066="GCIA LINEA SERVICIO DIGITALIDAD Y VENTAS","Chats",IF(OR(D2066="GERENCIA INBOUND LÍNEAS SERVICIO Y VENTA",D2066="GERENCIA INBOUND LINEAS ESPECIALIZADAS"),"Llamadas","Otro")))</f>
        <v/>
      </c>
      <c r="I2066" s="26" t="str">
        <f aca="false">IF(A2066="","",IF(C2066="No encontrado","No","Sí"))</f>
        <v/>
      </c>
      <c r="J2066" s="26" t="str">
        <f aca="false">IF(A2066="","",IF(F2066="Inactivo","No","Sí"))</f>
        <v/>
      </c>
      <c r="K2066" s="26" t="str">
        <f aca="false">IF(A2066="","",IF(AND(I2066="Sí",J2066="Sí"),"Sí","No"))</f>
        <v/>
      </c>
    </row>
    <row r="2067" customFormat="false" ht="15" hidden="false" customHeight="false" outlineLevel="0" collapsed="false">
      <c r="A2067" s="22"/>
      <c r="B2067" s="22"/>
      <c r="C2067" s="23" t="str">
        <f aca="false">IF(A2067="","",IFERROR(buscarx(A2067&amp;B2067,DATA!$E$3:$E$10000&amp;DATA!$B$3:$B$10000,DATA!$M$3:$M$10000),"No encontrado"))</f>
        <v/>
      </c>
      <c r="D2067" s="24" t="str">
        <f aca="false">IF(A2067="","",IFERROR(buscarx(A2067&amp;B2067,DATA!$E$3:$E$10000&amp;DATA!$B$3:$B$10000,DATA!$W$3:$W$10000),"No encontrado"))</f>
        <v/>
      </c>
      <c r="E2067" s="22"/>
      <c r="F2067" s="23" t="str">
        <f aca="false">IF(A2067="","",IFERROR(buscarx(A2067&amp;E2067,DATA!$E$3:$E$10000&amp;DATA!$B$3:$B$10000,DATA!$M$3:$M$10000),"Inactivo"))</f>
        <v/>
      </c>
      <c r="G2067" s="25" t="str">
        <f aca="false">IF(A2067="","",IF(AND(C2067&lt;&gt;"No encontrado",F2067&lt;&gt;"Inactivo"),C2067&amp;" → "&amp;F2067,"Sin transición"))</f>
        <v/>
      </c>
      <c r="H2067" s="23" t="str">
        <f aca="false">IF(A2067="","",IF(D2067="GCIA LINEA SERVICIO DIGITALIDAD Y VENTAS","Chats",IF(OR(D2067="GERENCIA INBOUND LÍNEAS SERVICIO Y VENTA",D2067="GERENCIA INBOUND LINEAS ESPECIALIZADAS"),"Llamadas","Otro")))</f>
        <v/>
      </c>
      <c r="I2067" s="23" t="str">
        <f aca="false">IF(A2067="","",IF(C2067="No encontrado","No","Sí"))</f>
        <v/>
      </c>
      <c r="J2067" s="23" t="str">
        <f aca="false">IF(A2067="","",IF(F2067="Inactivo","No","Sí"))</f>
        <v/>
      </c>
      <c r="K2067" s="23" t="str">
        <f aca="false">IF(A2067="","",IF(AND(I2067="Sí",J2067="Sí"),"Sí","No"))</f>
        <v/>
      </c>
    </row>
    <row r="2068" customFormat="false" ht="15" hidden="false" customHeight="false" outlineLevel="0" collapsed="false">
      <c r="A2068" s="22"/>
      <c r="B2068" s="22"/>
      <c r="C2068" s="26" t="str">
        <f aca="false">IF(A2068="","",IFERROR(buscarx(A2068&amp;B2068,DATA!$E$3:$E$10000&amp;DATA!$B$3:$B$10000,DATA!$M$3:$M$10000),"No encontrado"))</f>
        <v/>
      </c>
      <c r="D2068" s="27" t="str">
        <f aca="false">IF(A2068="","",IFERROR(buscarx(A2068&amp;B2068,DATA!$E$3:$E$10000&amp;DATA!$B$3:$B$10000,DATA!$W$3:$W$10000),"No encontrado"))</f>
        <v/>
      </c>
      <c r="E2068" s="22"/>
      <c r="F2068" s="26" t="str">
        <f aca="false">IF(A2068="","",IFERROR(buscarx(A2068&amp;E2068,DATA!$E$3:$E$10000&amp;DATA!$B$3:$B$10000,DATA!$M$3:$M$10000),"Inactivo"))</f>
        <v/>
      </c>
      <c r="G2068" s="28" t="str">
        <f aca="false">IF(A2068="","",IF(AND(C2068&lt;&gt;"No encontrado",F2068&lt;&gt;"Inactivo"),C2068&amp;" → "&amp;F2068,"Sin transición"))</f>
        <v/>
      </c>
      <c r="H2068" s="26" t="str">
        <f aca="false">IF(A2068="","",IF(D2068="GCIA LINEA SERVICIO DIGITALIDAD Y VENTAS","Chats",IF(OR(D2068="GERENCIA INBOUND LÍNEAS SERVICIO Y VENTA",D2068="GERENCIA INBOUND LINEAS ESPECIALIZADAS"),"Llamadas","Otro")))</f>
        <v/>
      </c>
      <c r="I2068" s="26" t="str">
        <f aca="false">IF(A2068="","",IF(C2068="No encontrado","No","Sí"))</f>
        <v/>
      </c>
      <c r="J2068" s="26" t="str">
        <f aca="false">IF(A2068="","",IF(F2068="Inactivo","No","Sí"))</f>
        <v/>
      </c>
      <c r="K2068" s="26" t="str">
        <f aca="false">IF(A2068="","",IF(AND(I2068="Sí",J2068="Sí"),"Sí","No"))</f>
        <v/>
      </c>
    </row>
    <row r="2069" customFormat="false" ht="15" hidden="false" customHeight="false" outlineLevel="0" collapsed="false">
      <c r="A2069" s="22"/>
      <c r="B2069" s="22"/>
      <c r="C2069" s="23" t="str">
        <f aca="false">IF(A2069="","",IFERROR(buscarx(A2069&amp;B2069,DATA!$E$3:$E$10000&amp;DATA!$B$3:$B$10000,DATA!$M$3:$M$10000),"No encontrado"))</f>
        <v/>
      </c>
      <c r="D2069" s="24" t="str">
        <f aca="false">IF(A2069="","",IFERROR(buscarx(A2069&amp;B2069,DATA!$E$3:$E$10000&amp;DATA!$B$3:$B$10000,DATA!$W$3:$W$10000),"No encontrado"))</f>
        <v/>
      </c>
      <c r="E2069" s="22"/>
      <c r="F2069" s="23" t="str">
        <f aca="false">IF(A2069="","",IFERROR(buscarx(A2069&amp;E2069,DATA!$E$3:$E$10000&amp;DATA!$B$3:$B$10000,DATA!$M$3:$M$10000),"Inactivo"))</f>
        <v/>
      </c>
      <c r="G2069" s="25" t="str">
        <f aca="false">IF(A2069="","",IF(AND(C2069&lt;&gt;"No encontrado",F2069&lt;&gt;"Inactivo"),C2069&amp;" → "&amp;F2069,"Sin transición"))</f>
        <v/>
      </c>
      <c r="H2069" s="23" t="str">
        <f aca="false">IF(A2069="","",IF(D2069="GCIA LINEA SERVICIO DIGITALIDAD Y VENTAS","Chats",IF(OR(D2069="GERENCIA INBOUND LÍNEAS SERVICIO Y VENTA",D2069="GERENCIA INBOUND LINEAS ESPECIALIZADAS"),"Llamadas","Otro")))</f>
        <v/>
      </c>
      <c r="I2069" s="23" t="str">
        <f aca="false">IF(A2069="","",IF(C2069="No encontrado","No","Sí"))</f>
        <v/>
      </c>
      <c r="J2069" s="23" t="str">
        <f aca="false">IF(A2069="","",IF(F2069="Inactivo","No","Sí"))</f>
        <v/>
      </c>
      <c r="K2069" s="23" t="str">
        <f aca="false">IF(A2069="","",IF(AND(I2069="Sí",J2069="Sí"),"Sí","No"))</f>
        <v/>
      </c>
    </row>
    <row r="2070" customFormat="false" ht="15" hidden="false" customHeight="false" outlineLevel="0" collapsed="false">
      <c r="A2070" s="22"/>
      <c r="B2070" s="22"/>
      <c r="C2070" s="26" t="str">
        <f aca="false">IF(A2070="","",IFERROR(buscarx(A2070&amp;B2070,DATA!$E$3:$E$10000&amp;DATA!$B$3:$B$10000,DATA!$M$3:$M$10000),"No encontrado"))</f>
        <v/>
      </c>
      <c r="D2070" s="27" t="str">
        <f aca="false">IF(A2070="","",IFERROR(buscarx(A2070&amp;B2070,DATA!$E$3:$E$10000&amp;DATA!$B$3:$B$10000,DATA!$W$3:$W$10000),"No encontrado"))</f>
        <v/>
      </c>
      <c r="E2070" s="22"/>
      <c r="F2070" s="26" t="str">
        <f aca="false">IF(A2070="","",IFERROR(buscarx(A2070&amp;E2070,DATA!$E$3:$E$10000&amp;DATA!$B$3:$B$10000,DATA!$M$3:$M$10000),"Inactivo"))</f>
        <v/>
      </c>
      <c r="G2070" s="28" t="str">
        <f aca="false">IF(A2070="","",IF(AND(C2070&lt;&gt;"No encontrado",F2070&lt;&gt;"Inactivo"),C2070&amp;" → "&amp;F2070,"Sin transición"))</f>
        <v/>
      </c>
      <c r="H2070" s="26" t="str">
        <f aca="false">IF(A2070="","",IF(D2070="GCIA LINEA SERVICIO DIGITALIDAD Y VENTAS","Chats",IF(OR(D2070="GERENCIA INBOUND LÍNEAS SERVICIO Y VENTA",D2070="GERENCIA INBOUND LINEAS ESPECIALIZADAS"),"Llamadas","Otro")))</f>
        <v/>
      </c>
      <c r="I2070" s="26" t="str">
        <f aca="false">IF(A2070="","",IF(C2070="No encontrado","No","Sí"))</f>
        <v/>
      </c>
      <c r="J2070" s="26" t="str">
        <f aca="false">IF(A2070="","",IF(F2070="Inactivo","No","Sí"))</f>
        <v/>
      </c>
      <c r="K2070" s="26" t="str">
        <f aca="false">IF(A2070="","",IF(AND(I2070="Sí",J2070="Sí"),"Sí","No"))</f>
        <v/>
      </c>
    </row>
    <row r="2071" customFormat="false" ht="15" hidden="false" customHeight="false" outlineLevel="0" collapsed="false">
      <c r="A2071" s="22"/>
      <c r="B2071" s="22"/>
      <c r="C2071" s="23" t="str">
        <f aca="false">IF(A2071="","",IFERROR(buscarx(A2071&amp;B2071,DATA!$E$3:$E$10000&amp;DATA!$B$3:$B$10000,DATA!$M$3:$M$10000),"No encontrado"))</f>
        <v/>
      </c>
      <c r="D2071" s="24" t="str">
        <f aca="false">IF(A2071="","",IFERROR(buscarx(A2071&amp;B2071,DATA!$E$3:$E$10000&amp;DATA!$B$3:$B$10000,DATA!$W$3:$W$10000),"No encontrado"))</f>
        <v/>
      </c>
      <c r="E2071" s="22"/>
      <c r="F2071" s="23" t="str">
        <f aca="false">IF(A2071="","",IFERROR(buscarx(A2071&amp;E2071,DATA!$E$3:$E$10000&amp;DATA!$B$3:$B$10000,DATA!$M$3:$M$10000),"Inactivo"))</f>
        <v/>
      </c>
      <c r="G2071" s="25" t="str">
        <f aca="false">IF(A2071="","",IF(AND(C2071&lt;&gt;"No encontrado",F2071&lt;&gt;"Inactivo"),C2071&amp;" → "&amp;F2071,"Sin transición"))</f>
        <v/>
      </c>
      <c r="H2071" s="23" t="str">
        <f aca="false">IF(A2071="","",IF(D2071="GCIA LINEA SERVICIO DIGITALIDAD Y VENTAS","Chats",IF(OR(D2071="GERENCIA INBOUND LÍNEAS SERVICIO Y VENTA",D2071="GERENCIA INBOUND LINEAS ESPECIALIZADAS"),"Llamadas","Otro")))</f>
        <v/>
      </c>
      <c r="I2071" s="23" t="str">
        <f aca="false">IF(A2071="","",IF(C2071="No encontrado","No","Sí"))</f>
        <v/>
      </c>
      <c r="J2071" s="23" t="str">
        <f aca="false">IF(A2071="","",IF(F2071="Inactivo","No","Sí"))</f>
        <v/>
      </c>
      <c r="K2071" s="23" t="str">
        <f aca="false">IF(A2071="","",IF(AND(I2071="Sí",J2071="Sí"),"Sí","No"))</f>
        <v/>
      </c>
    </row>
    <row r="2072" customFormat="false" ht="15" hidden="false" customHeight="false" outlineLevel="0" collapsed="false">
      <c r="A2072" s="22"/>
      <c r="B2072" s="22"/>
      <c r="C2072" s="26" t="str">
        <f aca="false">IF(A2072="","",IFERROR(buscarx(A2072&amp;B2072,DATA!$E$3:$E$10000&amp;DATA!$B$3:$B$10000,DATA!$M$3:$M$10000),"No encontrado"))</f>
        <v/>
      </c>
      <c r="D2072" s="27" t="str">
        <f aca="false">IF(A2072="","",IFERROR(buscarx(A2072&amp;B2072,DATA!$E$3:$E$10000&amp;DATA!$B$3:$B$10000,DATA!$W$3:$W$10000),"No encontrado"))</f>
        <v/>
      </c>
      <c r="E2072" s="22"/>
      <c r="F2072" s="26" t="str">
        <f aca="false">IF(A2072="","",IFERROR(buscarx(A2072&amp;E2072,DATA!$E$3:$E$10000&amp;DATA!$B$3:$B$10000,DATA!$M$3:$M$10000),"Inactivo"))</f>
        <v/>
      </c>
      <c r="G2072" s="28" t="str">
        <f aca="false">IF(A2072="","",IF(AND(C2072&lt;&gt;"No encontrado",F2072&lt;&gt;"Inactivo"),C2072&amp;" → "&amp;F2072,"Sin transición"))</f>
        <v/>
      </c>
      <c r="H2072" s="26" t="str">
        <f aca="false">IF(A2072="","",IF(D2072="GCIA LINEA SERVICIO DIGITALIDAD Y VENTAS","Chats",IF(OR(D2072="GERENCIA INBOUND LÍNEAS SERVICIO Y VENTA",D2072="GERENCIA INBOUND LINEAS ESPECIALIZADAS"),"Llamadas","Otro")))</f>
        <v/>
      </c>
      <c r="I2072" s="26" t="str">
        <f aca="false">IF(A2072="","",IF(C2072="No encontrado","No","Sí"))</f>
        <v/>
      </c>
      <c r="J2072" s="26" t="str">
        <f aca="false">IF(A2072="","",IF(F2072="Inactivo","No","Sí"))</f>
        <v/>
      </c>
      <c r="K2072" s="26" t="str">
        <f aca="false">IF(A2072="","",IF(AND(I2072="Sí",J2072="Sí"),"Sí","No"))</f>
        <v/>
      </c>
    </row>
    <row r="2073" customFormat="false" ht="15" hidden="false" customHeight="false" outlineLevel="0" collapsed="false">
      <c r="A2073" s="22"/>
      <c r="B2073" s="22"/>
      <c r="C2073" s="23" t="str">
        <f aca="false">IF(A2073="","",IFERROR(buscarx(A2073&amp;B2073,DATA!$E$3:$E$10000&amp;DATA!$B$3:$B$10000,DATA!$M$3:$M$10000),"No encontrado"))</f>
        <v/>
      </c>
      <c r="D2073" s="24" t="str">
        <f aca="false">IF(A2073="","",IFERROR(buscarx(A2073&amp;B2073,DATA!$E$3:$E$10000&amp;DATA!$B$3:$B$10000,DATA!$W$3:$W$10000),"No encontrado"))</f>
        <v/>
      </c>
      <c r="E2073" s="22"/>
      <c r="F2073" s="23" t="str">
        <f aca="false">IF(A2073="","",IFERROR(buscarx(A2073&amp;E2073,DATA!$E$3:$E$10000&amp;DATA!$B$3:$B$10000,DATA!$M$3:$M$10000),"Inactivo"))</f>
        <v/>
      </c>
      <c r="G2073" s="25" t="str">
        <f aca="false">IF(A2073="","",IF(AND(C2073&lt;&gt;"No encontrado",F2073&lt;&gt;"Inactivo"),C2073&amp;" → "&amp;F2073,"Sin transición"))</f>
        <v/>
      </c>
      <c r="H2073" s="23" t="str">
        <f aca="false">IF(A2073="","",IF(D2073="GCIA LINEA SERVICIO DIGITALIDAD Y VENTAS","Chats",IF(OR(D2073="GERENCIA INBOUND LÍNEAS SERVICIO Y VENTA",D2073="GERENCIA INBOUND LINEAS ESPECIALIZADAS"),"Llamadas","Otro")))</f>
        <v/>
      </c>
      <c r="I2073" s="23" t="str">
        <f aca="false">IF(A2073="","",IF(C2073="No encontrado","No","Sí"))</f>
        <v/>
      </c>
      <c r="J2073" s="23" t="str">
        <f aca="false">IF(A2073="","",IF(F2073="Inactivo","No","Sí"))</f>
        <v/>
      </c>
      <c r="K2073" s="23" t="str">
        <f aca="false">IF(A2073="","",IF(AND(I2073="Sí",J2073="Sí"),"Sí","No"))</f>
        <v/>
      </c>
    </row>
    <row r="2074" customFormat="false" ht="15" hidden="false" customHeight="false" outlineLevel="0" collapsed="false">
      <c r="A2074" s="22"/>
      <c r="B2074" s="22"/>
      <c r="C2074" s="26" t="str">
        <f aca="false">IF(A2074="","",IFERROR(buscarx(A2074&amp;B2074,DATA!$E$3:$E$10000&amp;DATA!$B$3:$B$10000,DATA!$M$3:$M$10000),"No encontrado"))</f>
        <v/>
      </c>
      <c r="D2074" s="27" t="str">
        <f aca="false">IF(A2074="","",IFERROR(buscarx(A2074&amp;B2074,DATA!$E$3:$E$10000&amp;DATA!$B$3:$B$10000,DATA!$W$3:$W$10000),"No encontrado"))</f>
        <v/>
      </c>
      <c r="E2074" s="22"/>
      <c r="F2074" s="26" t="str">
        <f aca="false">IF(A2074="","",IFERROR(buscarx(A2074&amp;E2074,DATA!$E$3:$E$10000&amp;DATA!$B$3:$B$10000,DATA!$M$3:$M$10000),"Inactivo"))</f>
        <v/>
      </c>
      <c r="G2074" s="28" t="str">
        <f aca="false">IF(A2074="","",IF(AND(C2074&lt;&gt;"No encontrado",F2074&lt;&gt;"Inactivo"),C2074&amp;" → "&amp;F2074,"Sin transición"))</f>
        <v/>
      </c>
      <c r="H2074" s="26" t="str">
        <f aca="false">IF(A2074="","",IF(D2074="GCIA LINEA SERVICIO DIGITALIDAD Y VENTAS","Chats",IF(OR(D2074="GERENCIA INBOUND LÍNEAS SERVICIO Y VENTA",D2074="GERENCIA INBOUND LINEAS ESPECIALIZADAS"),"Llamadas","Otro")))</f>
        <v/>
      </c>
      <c r="I2074" s="26" t="str">
        <f aca="false">IF(A2074="","",IF(C2074="No encontrado","No","Sí"))</f>
        <v/>
      </c>
      <c r="J2074" s="26" t="str">
        <f aca="false">IF(A2074="","",IF(F2074="Inactivo","No","Sí"))</f>
        <v/>
      </c>
      <c r="K2074" s="26" t="str">
        <f aca="false">IF(A2074="","",IF(AND(I2074="Sí",J2074="Sí"),"Sí","No"))</f>
        <v/>
      </c>
    </row>
    <row r="2075" customFormat="false" ht="15" hidden="false" customHeight="false" outlineLevel="0" collapsed="false">
      <c r="A2075" s="22"/>
      <c r="B2075" s="22"/>
      <c r="C2075" s="23" t="str">
        <f aca="false">IF(A2075="","",IFERROR(buscarx(A2075&amp;B2075,DATA!$E$3:$E$10000&amp;DATA!$B$3:$B$10000,DATA!$M$3:$M$10000),"No encontrado"))</f>
        <v/>
      </c>
      <c r="D2075" s="24" t="str">
        <f aca="false">IF(A2075="","",IFERROR(buscarx(A2075&amp;B2075,DATA!$E$3:$E$10000&amp;DATA!$B$3:$B$10000,DATA!$W$3:$W$10000),"No encontrado"))</f>
        <v/>
      </c>
      <c r="E2075" s="22"/>
      <c r="F2075" s="23" t="str">
        <f aca="false">IF(A2075="","",IFERROR(buscarx(A2075&amp;E2075,DATA!$E$3:$E$10000&amp;DATA!$B$3:$B$10000,DATA!$M$3:$M$10000),"Inactivo"))</f>
        <v/>
      </c>
      <c r="G2075" s="25" t="str">
        <f aca="false">IF(A2075="","",IF(AND(C2075&lt;&gt;"No encontrado",F2075&lt;&gt;"Inactivo"),C2075&amp;" → "&amp;F2075,"Sin transición"))</f>
        <v/>
      </c>
      <c r="H2075" s="23" t="str">
        <f aca="false">IF(A2075="","",IF(D2075="GCIA LINEA SERVICIO DIGITALIDAD Y VENTAS","Chats",IF(OR(D2075="GERENCIA INBOUND LÍNEAS SERVICIO Y VENTA",D2075="GERENCIA INBOUND LINEAS ESPECIALIZADAS"),"Llamadas","Otro")))</f>
        <v/>
      </c>
      <c r="I2075" s="23" t="str">
        <f aca="false">IF(A2075="","",IF(C2075="No encontrado","No","Sí"))</f>
        <v/>
      </c>
      <c r="J2075" s="23" t="str">
        <f aca="false">IF(A2075="","",IF(F2075="Inactivo","No","Sí"))</f>
        <v/>
      </c>
      <c r="K2075" s="23" t="str">
        <f aca="false">IF(A2075="","",IF(AND(I2075="Sí",J2075="Sí"),"Sí","No"))</f>
        <v/>
      </c>
    </row>
    <row r="2076" customFormat="false" ht="15" hidden="false" customHeight="false" outlineLevel="0" collapsed="false">
      <c r="A2076" s="22"/>
      <c r="B2076" s="22"/>
      <c r="C2076" s="26" t="str">
        <f aca="false">IF(A2076="","",IFERROR(buscarx(A2076&amp;B2076,DATA!$E$3:$E$10000&amp;DATA!$B$3:$B$10000,DATA!$M$3:$M$10000),"No encontrado"))</f>
        <v/>
      </c>
      <c r="D2076" s="27" t="str">
        <f aca="false">IF(A2076="","",IFERROR(buscarx(A2076&amp;B2076,DATA!$E$3:$E$10000&amp;DATA!$B$3:$B$10000,DATA!$W$3:$W$10000),"No encontrado"))</f>
        <v/>
      </c>
      <c r="E2076" s="22"/>
      <c r="F2076" s="26" t="str">
        <f aca="false">IF(A2076="","",IFERROR(buscarx(A2076&amp;E2076,DATA!$E$3:$E$10000&amp;DATA!$B$3:$B$10000,DATA!$M$3:$M$10000),"Inactivo"))</f>
        <v/>
      </c>
      <c r="G2076" s="28" t="str">
        <f aca="false">IF(A2076="","",IF(AND(C2076&lt;&gt;"No encontrado",F2076&lt;&gt;"Inactivo"),C2076&amp;" → "&amp;F2076,"Sin transición"))</f>
        <v/>
      </c>
      <c r="H2076" s="26" t="str">
        <f aca="false">IF(A2076="","",IF(D2076="GCIA LINEA SERVICIO DIGITALIDAD Y VENTAS","Chats",IF(OR(D2076="GERENCIA INBOUND LÍNEAS SERVICIO Y VENTA",D2076="GERENCIA INBOUND LINEAS ESPECIALIZADAS"),"Llamadas","Otro")))</f>
        <v/>
      </c>
      <c r="I2076" s="26" t="str">
        <f aca="false">IF(A2076="","",IF(C2076="No encontrado","No","Sí"))</f>
        <v/>
      </c>
      <c r="J2076" s="26" t="str">
        <f aca="false">IF(A2076="","",IF(F2076="Inactivo","No","Sí"))</f>
        <v/>
      </c>
      <c r="K2076" s="26" t="str">
        <f aca="false">IF(A2076="","",IF(AND(I2076="Sí",J2076="Sí"),"Sí","No"))</f>
        <v/>
      </c>
    </row>
    <row r="2077" customFormat="false" ht="15" hidden="false" customHeight="false" outlineLevel="0" collapsed="false">
      <c r="A2077" s="22"/>
      <c r="B2077" s="22"/>
      <c r="C2077" s="23" t="str">
        <f aca="false">IF(A2077="","",IFERROR(buscarx(A2077&amp;B2077,DATA!$E$3:$E$10000&amp;DATA!$B$3:$B$10000,DATA!$M$3:$M$10000),"No encontrado"))</f>
        <v/>
      </c>
      <c r="D2077" s="24" t="str">
        <f aca="false">IF(A2077="","",IFERROR(buscarx(A2077&amp;B2077,DATA!$E$3:$E$10000&amp;DATA!$B$3:$B$10000,DATA!$W$3:$W$10000),"No encontrado"))</f>
        <v/>
      </c>
      <c r="E2077" s="22"/>
      <c r="F2077" s="23" t="str">
        <f aca="false">IF(A2077="","",IFERROR(buscarx(A2077&amp;E2077,DATA!$E$3:$E$10000&amp;DATA!$B$3:$B$10000,DATA!$M$3:$M$10000),"Inactivo"))</f>
        <v/>
      </c>
      <c r="G2077" s="25" t="str">
        <f aca="false">IF(A2077="","",IF(AND(C2077&lt;&gt;"No encontrado",F2077&lt;&gt;"Inactivo"),C2077&amp;" → "&amp;F2077,"Sin transición"))</f>
        <v/>
      </c>
      <c r="H2077" s="23" t="str">
        <f aca="false">IF(A2077="","",IF(D2077="GCIA LINEA SERVICIO DIGITALIDAD Y VENTAS","Chats",IF(OR(D2077="GERENCIA INBOUND LÍNEAS SERVICIO Y VENTA",D2077="GERENCIA INBOUND LINEAS ESPECIALIZADAS"),"Llamadas","Otro")))</f>
        <v/>
      </c>
      <c r="I2077" s="23" t="str">
        <f aca="false">IF(A2077="","",IF(C2077="No encontrado","No","Sí"))</f>
        <v/>
      </c>
      <c r="J2077" s="23" t="str">
        <f aca="false">IF(A2077="","",IF(F2077="Inactivo","No","Sí"))</f>
        <v/>
      </c>
      <c r="K2077" s="23" t="str">
        <f aca="false">IF(A2077="","",IF(AND(I2077="Sí",J2077="Sí"),"Sí","No"))</f>
        <v/>
      </c>
    </row>
    <row r="2078" customFormat="false" ht="15" hidden="false" customHeight="false" outlineLevel="0" collapsed="false">
      <c r="A2078" s="22"/>
      <c r="B2078" s="22"/>
      <c r="C2078" s="26" t="str">
        <f aca="false">IF(A2078="","",IFERROR(buscarx(A2078&amp;B2078,DATA!$E$3:$E$10000&amp;DATA!$B$3:$B$10000,DATA!$M$3:$M$10000),"No encontrado"))</f>
        <v/>
      </c>
      <c r="D2078" s="27" t="str">
        <f aca="false">IF(A2078="","",IFERROR(buscarx(A2078&amp;B2078,DATA!$E$3:$E$10000&amp;DATA!$B$3:$B$10000,DATA!$W$3:$W$10000),"No encontrado"))</f>
        <v/>
      </c>
      <c r="E2078" s="22"/>
      <c r="F2078" s="26" t="str">
        <f aca="false">IF(A2078="","",IFERROR(buscarx(A2078&amp;E2078,DATA!$E$3:$E$10000&amp;DATA!$B$3:$B$10000,DATA!$M$3:$M$10000),"Inactivo"))</f>
        <v/>
      </c>
      <c r="G2078" s="28" t="str">
        <f aca="false">IF(A2078="","",IF(AND(C2078&lt;&gt;"No encontrado",F2078&lt;&gt;"Inactivo"),C2078&amp;" → "&amp;F2078,"Sin transición"))</f>
        <v/>
      </c>
      <c r="H2078" s="26" t="str">
        <f aca="false">IF(A2078="","",IF(D2078="GCIA LINEA SERVICIO DIGITALIDAD Y VENTAS","Chats",IF(OR(D2078="GERENCIA INBOUND LÍNEAS SERVICIO Y VENTA",D2078="GERENCIA INBOUND LINEAS ESPECIALIZADAS"),"Llamadas","Otro")))</f>
        <v/>
      </c>
      <c r="I2078" s="26" t="str">
        <f aca="false">IF(A2078="","",IF(C2078="No encontrado","No","Sí"))</f>
        <v/>
      </c>
      <c r="J2078" s="26" t="str">
        <f aca="false">IF(A2078="","",IF(F2078="Inactivo","No","Sí"))</f>
        <v/>
      </c>
      <c r="K2078" s="26" t="str">
        <f aca="false">IF(A2078="","",IF(AND(I2078="Sí",J2078="Sí"),"Sí","No"))</f>
        <v/>
      </c>
    </row>
    <row r="2079" customFormat="false" ht="15" hidden="false" customHeight="false" outlineLevel="0" collapsed="false">
      <c r="A2079" s="22"/>
      <c r="B2079" s="22"/>
      <c r="C2079" s="23" t="str">
        <f aca="false">IF(A2079="","",IFERROR(buscarx(A2079&amp;B2079,DATA!$E$3:$E$10000&amp;DATA!$B$3:$B$10000,DATA!$M$3:$M$10000),"No encontrado"))</f>
        <v/>
      </c>
      <c r="D2079" s="24" t="str">
        <f aca="false">IF(A2079="","",IFERROR(buscarx(A2079&amp;B2079,DATA!$E$3:$E$10000&amp;DATA!$B$3:$B$10000,DATA!$W$3:$W$10000),"No encontrado"))</f>
        <v/>
      </c>
      <c r="E2079" s="22"/>
      <c r="F2079" s="23" t="str">
        <f aca="false">IF(A2079="","",IFERROR(buscarx(A2079&amp;E2079,DATA!$E$3:$E$10000&amp;DATA!$B$3:$B$10000,DATA!$M$3:$M$10000),"Inactivo"))</f>
        <v/>
      </c>
      <c r="G2079" s="25" t="str">
        <f aca="false">IF(A2079="","",IF(AND(C2079&lt;&gt;"No encontrado",F2079&lt;&gt;"Inactivo"),C2079&amp;" → "&amp;F2079,"Sin transición"))</f>
        <v/>
      </c>
      <c r="H2079" s="23" t="str">
        <f aca="false">IF(A2079="","",IF(D2079="GCIA LINEA SERVICIO DIGITALIDAD Y VENTAS","Chats",IF(OR(D2079="GERENCIA INBOUND LÍNEAS SERVICIO Y VENTA",D2079="GERENCIA INBOUND LINEAS ESPECIALIZADAS"),"Llamadas","Otro")))</f>
        <v/>
      </c>
      <c r="I2079" s="23" t="str">
        <f aca="false">IF(A2079="","",IF(C2079="No encontrado","No","Sí"))</f>
        <v/>
      </c>
      <c r="J2079" s="23" t="str">
        <f aca="false">IF(A2079="","",IF(F2079="Inactivo","No","Sí"))</f>
        <v/>
      </c>
      <c r="K2079" s="23" t="str">
        <f aca="false">IF(A2079="","",IF(AND(I2079="Sí",J2079="Sí"),"Sí","No"))</f>
        <v/>
      </c>
    </row>
    <row r="2080" customFormat="false" ht="15" hidden="false" customHeight="false" outlineLevel="0" collapsed="false">
      <c r="A2080" s="22"/>
      <c r="B2080" s="22"/>
      <c r="C2080" s="26" t="str">
        <f aca="false">IF(A2080="","",IFERROR(buscarx(A2080&amp;B2080,DATA!$E$3:$E$10000&amp;DATA!$B$3:$B$10000,DATA!$M$3:$M$10000),"No encontrado"))</f>
        <v/>
      </c>
      <c r="D2080" s="27" t="str">
        <f aca="false">IF(A2080="","",IFERROR(buscarx(A2080&amp;B2080,DATA!$E$3:$E$10000&amp;DATA!$B$3:$B$10000,DATA!$W$3:$W$10000),"No encontrado"))</f>
        <v/>
      </c>
      <c r="E2080" s="22"/>
      <c r="F2080" s="26" t="str">
        <f aca="false">IF(A2080="","",IFERROR(buscarx(A2080&amp;E2080,DATA!$E$3:$E$10000&amp;DATA!$B$3:$B$10000,DATA!$M$3:$M$10000),"Inactivo"))</f>
        <v/>
      </c>
      <c r="G2080" s="28" t="str">
        <f aca="false">IF(A2080="","",IF(AND(C2080&lt;&gt;"No encontrado",F2080&lt;&gt;"Inactivo"),C2080&amp;" → "&amp;F2080,"Sin transición"))</f>
        <v/>
      </c>
      <c r="H2080" s="26" t="str">
        <f aca="false">IF(A2080="","",IF(D2080="GCIA LINEA SERVICIO DIGITALIDAD Y VENTAS","Chats",IF(OR(D2080="GERENCIA INBOUND LÍNEAS SERVICIO Y VENTA",D2080="GERENCIA INBOUND LINEAS ESPECIALIZADAS"),"Llamadas","Otro")))</f>
        <v/>
      </c>
      <c r="I2080" s="26" t="str">
        <f aca="false">IF(A2080="","",IF(C2080="No encontrado","No","Sí"))</f>
        <v/>
      </c>
      <c r="J2080" s="26" t="str">
        <f aca="false">IF(A2080="","",IF(F2080="Inactivo","No","Sí"))</f>
        <v/>
      </c>
      <c r="K2080" s="26" t="str">
        <f aca="false">IF(A2080="","",IF(AND(I2080="Sí",J2080="Sí"),"Sí","No"))</f>
        <v/>
      </c>
    </row>
    <row r="2081" customFormat="false" ht="15" hidden="false" customHeight="false" outlineLevel="0" collapsed="false">
      <c r="A2081" s="22"/>
      <c r="B2081" s="22"/>
      <c r="C2081" s="23" t="str">
        <f aca="false">IF(A2081="","",IFERROR(buscarx(A2081&amp;B2081,DATA!$E$3:$E$10000&amp;DATA!$B$3:$B$10000,DATA!$M$3:$M$10000),"No encontrado"))</f>
        <v/>
      </c>
      <c r="D2081" s="24" t="str">
        <f aca="false">IF(A2081="","",IFERROR(buscarx(A2081&amp;B2081,DATA!$E$3:$E$10000&amp;DATA!$B$3:$B$10000,DATA!$W$3:$W$10000),"No encontrado"))</f>
        <v/>
      </c>
      <c r="E2081" s="22"/>
      <c r="F2081" s="23" t="str">
        <f aca="false">IF(A2081="","",IFERROR(buscarx(A2081&amp;E2081,DATA!$E$3:$E$10000&amp;DATA!$B$3:$B$10000,DATA!$M$3:$M$10000),"Inactivo"))</f>
        <v/>
      </c>
      <c r="G2081" s="25" t="str">
        <f aca="false">IF(A2081="","",IF(AND(C2081&lt;&gt;"No encontrado",F2081&lt;&gt;"Inactivo"),C2081&amp;" → "&amp;F2081,"Sin transición"))</f>
        <v/>
      </c>
      <c r="H2081" s="23" t="str">
        <f aca="false">IF(A2081="","",IF(D2081="GCIA LINEA SERVICIO DIGITALIDAD Y VENTAS","Chats",IF(OR(D2081="GERENCIA INBOUND LÍNEAS SERVICIO Y VENTA",D2081="GERENCIA INBOUND LINEAS ESPECIALIZADAS"),"Llamadas","Otro")))</f>
        <v/>
      </c>
      <c r="I2081" s="23" t="str">
        <f aca="false">IF(A2081="","",IF(C2081="No encontrado","No","Sí"))</f>
        <v/>
      </c>
      <c r="J2081" s="23" t="str">
        <f aca="false">IF(A2081="","",IF(F2081="Inactivo","No","Sí"))</f>
        <v/>
      </c>
      <c r="K2081" s="23" t="str">
        <f aca="false">IF(A2081="","",IF(AND(I2081="Sí",J2081="Sí"),"Sí","No"))</f>
        <v/>
      </c>
    </row>
    <row r="2082" customFormat="false" ht="15" hidden="false" customHeight="false" outlineLevel="0" collapsed="false">
      <c r="A2082" s="22"/>
      <c r="B2082" s="22"/>
      <c r="C2082" s="26" t="str">
        <f aca="false">IF(A2082="","",IFERROR(buscarx(A2082&amp;B2082,DATA!$E$3:$E$10000&amp;DATA!$B$3:$B$10000,DATA!$M$3:$M$10000),"No encontrado"))</f>
        <v/>
      </c>
      <c r="D2082" s="27" t="str">
        <f aca="false">IF(A2082="","",IFERROR(buscarx(A2082&amp;B2082,DATA!$E$3:$E$10000&amp;DATA!$B$3:$B$10000,DATA!$W$3:$W$10000),"No encontrado"))</f>
        <v/>
      </c>
      <c r="E2082" s="22"/>
      <c r="F2082" s="26" t="str">
        <f aca="false">IF(A2082="","",IFERROR(buscarx(A2082&amp;E2082,DATA!$E$3:$E$10000&amp;DATA!$B$3:$B$10000,DATA!$M$3:$M$10000),"Inactivo"))</f>
        <v/>
      </c>
      <c r="G2082" s="28" t="str">
        <f aca="false">IF(A2082="","",IF(AND(C2082&lt;&gt;"No encontrado",F2082&lt;&gt;"Inactivo"),C2082&amp;" → "&amp;F2082,"Sin transición"))</f>
        <v/>
      </c>
      <c r="H2082" s="26" t="str">
        <f aca="false">IF(A2082="","",IF(D2082="GCIA LINEA SERVICIO DIGITALIDAD Y VENTAS","Chats",IF(OR(D2082="GERENCIA INBOUND LÍNEAS SERVICIO Y VENTA",D2082="GERENCIA INBOUND LINEAS ESPECIALIZADAS"),"Llamadas","Otro")))</f>
        <v/>
      </c>
      <c r="I2082" s="26" t="str">
        <f aca="false">IF(A2082="","",IF(C2082="No encontrado","No","Sí"))</f>
        <v/>
      </c>
      <c r="J2082" s="26" t="str">
        <f aca="false">IF(A2082="","",IF(F2082="Inactivo","No","Sí"))</f>
        <v/>
      </c>
      <c r="K2082" s="26" t="str">
        <f aca="false">IF(A2082="","",IF(AND(I2082="Sí",J2082="Sí"),"Sí","No"))</f>
        <v/>
      </c>
    </row>
    <row r="2083" customFormat="false" ht="15" hidden="false" customHeight="false" outlineLevel="0" collapsed="false">
      <c r="A2083" s="22"/>
      <c r="B2083" s="22"/>
      <c r="C2083" s="23" t="str">
        <f aca="false">IF(A2083="","",IFERROR(buscarx(A2083&amp;B2083,DATA!$E$3:$E$10000&amp;DATA!$B$3:$B$10000,DATA!$M$3:$M$10000),"No encontrado"))</f>
        <v/>
      </c>
      <c r="D2083" s="24" t="str">
        <f aca="false">IF(A2083="","",IFERROR(buscarx(A2083&amp;B2083,DATA!$E$3:$E$10000&amp;DATA!$B$3:$B$10000,DATA!$W$3:$W$10000),"No encontrado"))</f>
        <v/>
      </c>
      <c r="E2083" s="22"/>
      <c r="F2083" s="23" t="str">
        <f aca="false">IF(A2083="","",IFERROR(buscarx(A2083&amp;E2083,DATA!$E$3:$E$10000&amp;DATA!$B$3:$B$10000,DATA!$M$3:$M$10000),"Inactivo"))</f>
        <v/>
      </c>
      <c r="G2083" s="25" t="str">
        <f aca="false">IF(A2083="","",IF(AND(C2083&lt;&gt;"No encontrado",F2083&lt;&gt;"Inactivo"),C2083&amp;" → "&amp;F2083,"Sin transición"))</f>
        <v/>
      </c>
      <c r="H2083" s="23" t="str">
        <f aca="false">IF(A2083="","",IF(D2083="GCIA LINEA SERVICIO DIGITALIDAD Y VENTAS","Chats",IF(OR(D2083="GERENCIA INBOUND LÍNEAS SERVICIO Y VENTA",D2083="GERENCIA INBOUND LINEAS ESPECIALIZADAS"),"Llamadas","Otro")))</f>
        <v/>
      </c>
      <c r="I2083" s="23" t="str">
        <f aca="false">IF(A2083="","",IF(C2083="No encontrado","No","Sí"))</f>
        <v/>
      </c>
      <c r="J2083" s="23" t="str">
        <f aca="false">IF(A2083="","",IF(F2083="Inactivo","No","Sí"))</f>
        <v/>
      </c>
      <c r="K2083" s="23" t="str">
        <f aca="false">IF(A2083="","",IF(AND(I2083="Sí",J2083="Sí"),"Sí","No"))</f>
        <v/>
      </c>
    </row>
    <row r="2084" customFormat="false" ht="15" hidden="false" customHeight="false" outlineLevel="0" collapsed="false">
      <c r="A2084" s="22"/>
      <c r="B2084" s="22"/>
      <c r="C2084" s="26" t="str">
        <f aca="false">IF(A2084="","",IFERROR(buscarx(A2084&amp;B2084,DATA!$E$3:$E$10000&amp;DATA!$B$3:$B$10000,DATA!$M$3:$M$10000),"No encontrado"))</f>
        <v/>
      </c>
      <c r="D2084" s="27" t="str">
        <f aca="false">IF(A2084="","",IFERROR(buscarx(A2084&amp;B2084,DATA!$E$3:$E$10000&amp;DATA!$B$3:$B$10000,DATA!$W$3:$W$10000),"No encontrado"))</f>
        <v/>
      </c>
      <c r="E2084" s="22"/>
      <c r="F2084" s="26" t="str">
        <f aca="false">IF(A2084="","",IFERROR(buscarx(A2084&amp;E2084,DATA!$E$3:$E$10000&amp;DATA!$B$3:$B$10000,DATA!$M$3:$M$10000),"Inactivo"))</f>
        <v/>
      </c>
      <c r="G2084" s="28" t="str">
        <f aca="false">IF(A2084="","",IF(AND(C2084&lt;&gt;"No encontrado",F2084&lt;&gt;"Inactivo"),C2084&amp;" → "&amp;F2084,"Sin transición"))</f>
        <v/>
      </c>
      <c r="H2084" s="26" t="str">
        <f aca="false">IF(A2084="","",IF(D2084="GCIA LINEA SERVICIO DIGITALIDAD Y VENTAS","Chats",IF(OR(D2084="GERENCIA INBOUND LÍNEAS SERVICIO Y VENTA",D2084="GERENCIA INBOUND LINEAS ESPECIALIZADAS"),"Llamadas","Otro")))</f>
        <v/>
      </c>
      <c r="I2084" s="26" t="str">
        <f aca="false">IF(A2084="","",IF(C2084="No encontrado","No","Sí"))</f>
        <v/>
      </c>
      <c r="J2084" s="26" t="str">
        <f aca="false">IF(A2084="","",IF(F2084="Inactivo","No","Sí"))</f>
        <v/>
      </c>
      <c r="K2084" s="26" t="str">
        <f aca="false">IF(A2084="","",IF(AND(I2084="Sí",J2084="Sí"),"Sí","No"))</f>
        <v/>
      </c>
    </row>
    <row r="2085" customFormat="false" ht="15" hidden="false" customHeight="false" outlineLevel="0" collapsed="false">
      <c r="A2085" s="22"/>
      <c r="B2085" s="22"/>
      <c r="C2085" s="23" t="str">
        <f aca="false">IF(A2085="","",IFERROR(buscarx(A2085&amp;B2085,DATA!$E$3:$E$10000&amp;DATA!$B$3:$B$10000,DATA!$M$3:$M$10000),"No encontrado"))</f>
        <v/>
      </c>
      <c r="D2085" s="24" t="str">
        <f aca="false">IF(A2085="","",IFERROR(buscarx(A2085&amp;B2085,DATA!$E$3:$E$10000&amp;DATA!$B$3:$B$10000,DATA!$W$3:$W$10000),"No encontrado"))</f>
        <v/>
      </c>
      <c r="E2085" s="22"/>
      <c r="F2085" s="23" t="str">
        <f aca="false">IF(A2085="","",IFERROR(buscarx(A2085&amp;E2085,DATA!$E$3:$E$10000&amp;DATA!$B$3:$B$10000,DATA!$M$3:$M$10000),"Inactivo"))</f>
        <v/>
      </c>
      <c r="G2085" s="25" t="str">
        <f aca="false">IF(A2085="","",IF(AND(C2085&lt;&gt;"No encontrado",F2085&lt;&gt;"Inactivo"),C2085&amp;" → "&amp;F2085,"Sin transición"))</f>
        <v/>
      </c>
      <c r="H2085" s="23" t="str">
        <f aca="false">IF(A2085="","",IF(D2085="GCIA LINEA SERVICIO DIGITALIDAD Y VENTAS","Chats",IF(OR(D2085="GERENCIA INBOUND LÍNEAS SERVICIO Y VENTA",D2085="GERENCIA INBOUND LINEAS ESPECIALIZADAS"),"Llamadas","Otro")))</f>
        <v/>
      </c>
      <c r="I2085" s="23" t="str">
        <f aca="false">IF(A2085="","",IF(C2085="No encontrado","No","Sí"))</f>
        <v/>
      </c>
      <c r="J2085" s="23" t="str">
        <f aca="false">IF(A2085="","",IF(F2085="Inactivo","No","Sí"))</f>
        <v/>
      </c>
      <c r="K2085" s="23" t="str">
        <f aca="false">IF(A2085="","",IF(AND(I2085="Sí",J2085="Sí"),"Sí","No"))</f>
        <v/>
      </c>
    </row>
    <row r="2086" customFormat="false" ht="15" hidden="false" customHeight="false" outlineLevel="0" collapsed="false">
      <c r="A2086" s="22"/>
      <c r="B2086" s="22"/>
      <c r="C2086" s="26" t="str">
        <f aca="false">IF(A2086="","",IFERROR(buscarx(A2086&amp;B2086,DATA!$E$3:$E$10000&amp;DATA!$B$3:$B$10000,DATA!$M$3:$M$10000),"No encontrado"))</f>
        <v/>
      </c>
      <c r="D2086" s="27" t="str">
        <f aca="false">IF(A2086="","",IFERROR(buscarx(A2086&amp;B2086,DATA!$E$3:$E$10000&amp;DATA!$B$3:$B$10000,DATA!$W$3:$W$10000),"No encontrado"))</f>
        <v/>
      </c>
      <c r="E2086" s="22"/>
      <c r="F2086" s="26" t="str">
        <f aca="false">IF(A2086="","",IFERROR(buscarx(A2086&amp;E2086,DATA!$E$3:$E$10000&amp;DATA!$B$3:$B$10000,DATA!$M$3:$M$10000),"Inactivo"))</f>
        <v/>
      </c>
      <c r="G2086" s="28" t="str">
        <f aca="false">IF(A2086="","",IF(AND(C2086&lt;&gt;"No encontrado",F2086&lt;&gt;"Inactivo"),C2086&amp;" → "&amp;F2086,"Sin transición"))</f>
        <v/>
      </c>
      <c r="H2086" s="26" t="str">
        <f aca="false">IF(A2086="","",IF(D2086="GCIA LINEA SERVICIO DIGITALIDAD Y VENTAS","Chats",IF(OR(D2086="GERENCIA INBOUND LÍNEAS SERVICIO Y VENTA",D2086="GERENCIA INBOUND LINEAS ESPECIALIZADAS"),"Llamadas","Otro")))</f>
        <v/>
      </c>
      <c r="I2086" s="26" t="str">
        <f aca="false">IF(A2086="","",IF(C2086="No encontrado","No","Sí"))</f>
        <v/>
      </c>
      <c r="J2086" s="26" t="str">
        <f aca="false">IF(A2086="","",IF(F2086="Inactivo","No","Sí"))</f>
        <v/>
      </c>
      <c r="K2086" s="26" t="str">
        <f aca="false">IF(A2086="","",IF(AND(I2086="Sí",J2086="Sí"),"Sí","No"))</f>
        <v/>
      </c>
    </row>
    <row r="2087" customFormat="false" ht="15" hidden="false" customHeight="false" outlineLevel="0" collapsed="false">
      <c r="A2087" s="22"/>
      <c r="B2087" s="22"/>
      <c r="C2087" s="23" t="str">
        <f aca="false">IF(A2087="","",IFERROR(buscarx(A2087&amp;B2087,DATA!$E$3:$E$10000&amp;DATA!$B$3:$B$10000,DATA!$M$3:$M$10000),"No encontrado"))</f>
        <v/>
      </c>
      <c r="D2087" s="24" t="str">
        <f aca="false">IF(A2087="","",IFERROR(buscarx(A2087&amp;B2087,DATA!$E$3:$E$10000&amp;DATA!$B$3:$B$10000,DATA!$W$3:$W$10000),"No encontrado"))</f>
        <v/>
      </c>
      <c r="E2087" s="22"/>
      <c r="F2087" s="23" t="str">
        <f aca="false">IF(A2087="","",IFERROR(buscarx(A2087&amp;E2087,DATA!$E$3:$E$10000&amp;DATA!$B$3:$B$10000,DATA!$M$3:$M$10000),"Inactivo"))</f>
        <v/>
      </c>
      <c r="G2087" s="25" t="str">
        <f aca="false">IF(A2087="","",IF(AND(C2087&lt;&gt;"No encontrado",F2087&lt;&gt;"Inactivo"),C2087&amp;" → "&amp;F2087,"Sin transición"))</f>
        <v/>
      </c>
      <c r="H2087" s="23" t="str">
        <f aca="false">IF(A2087="","",IF(D2087="GCIA LINEA SERVICIO DIGITALIDAD Y VENTAS","Chats",IF(OR(D2087="GERENCIA INBOUND LÍNEAS SERVICIO Y VENTA",D2087="GERENCIA INBOUND LINEAS ESPECIALIZADAS"),"Llamadas","Otro")))</f>
        <v/>
      </c>
      <c r="I2087" s="23" t="str">
        <f aca="false">IF(A2087="","",IF(C2087="No encontrado","No","Sí"))</f>
        <v/>
      </c>
      <c r="J2087" s="23" t="str">
        <f aca="false">IF(A2087="","",IF(F2087="Inactivo","No","Sí"))</f>
        <v/>
      </c>
      <c r="K2087" s="23" t="str">
        <f aca="false">IF(A2087="","",IF(AND(I2087="Sí",J2087="Sí"),"Sí","No"))</f>
        <v/>
      </c>
    </row>
    <row r="2088" customFormat="false" ht="15" hidden="false" customHeight="false" outlineLevel="0" collapsed="false">
      <c r="A2088" s="22"/>
      <c r="B2088" s="22"/>
      <c r="C2088" s="26" t="str">
        <f aca="false">IF(A2088="","",IFERROR(buscarx(A2088&amp;B2088,DATA!$E$3:$E$10000&amp;DATA!$B$3:$B$10000,DATA!$M$3:$M$10000),"No encontrado"))</f>
        <v/>
      </c>
      <c r="D2088" s="27" t="str">
        <f aca="false">IF(A2088="","",IFERROR(buscarx(A2088&amp;B2088,DATA!$E$3:$E$10000&amp;DATA!$B$3:$B$10000,DATA!$W$3:$W$10000),"No encontrado"))</f>
        <v/>
      </c>
      <c r="E2088" s="22"/>
      <c r="F2088" s="26" t="str">
        <f aca="false">IF(A2088="","",IFERROR(buscarx(A2088&amp;E2088,DATA!$E$3:$E$10000&amp;DATA!$B$3:$B$10000,DATA!$M$3:$M$10000),"Inactivo"))</f>
        <v/>
      </c>
      <c r="G2088" s="28" t="str">
        <f aca="false">IF(A2088="","",IF(AND(C2088&lt;&gt;"No encontrado",F2088&lt;&gt;"Inactivo"),C2088&amp;" → "&amp;F2088,"Sin transición"))</f>
        <v/>
      </c>
      <c r="H2088" s="26" t="str">
        <f aca="false">IF(A2088="","",IF(D2088="GCIA LINEA SERVICIO DIGITALIDAD Y VENTAS","Chats",IF(OR(D2088="GERENCIA INBOUND LÍNEAS SERVICIO Y VENTA",D2088="GERENCIA INBOUND LINEAS ESPECIALIZADAS"),"Llamadas","Otro")))</f>
        <v/>
      </c>
      <c r="I2088" s="26" t="str">
        <f aca="false">IF(A2088="","",IF(C2088="No encontrado","No","Sí"))</f>
        <v/>
      </c>
      <c r="J2088" s="26" t="str">
        <f aca="false">IF(A2088="","",IF(F2088="Inactivo","No","Sí"))</f>
        <v/>
      </c>
      <c r="K2088" s="26" t="str">
        <f aca="false">IF(A2088="","",IF(AND(I2088="Sí",J2088="Sí"),"Sí","No"))</f>
        <v/>
      </c>
    </row>
    <row r="2089" customFormat="false" ht="15" hidden="false" customHeight="false" outlineLevel="0" collapsed="false">
      <c r="A2089" s="22"/>
      <c r="B2089" s="22"/>
      <c r="C2089" s="23" t="str">
        <f aca="false">IF(A2089="","",IFERROR(buscarx(A2089&amp;B2089,DATA!$E$3:$E$10000&amp;DATA!$B$3:$B$10000,DATA!$M$3:$M$10000),"No encontrado"))</f>
        <v/>
      </c>
      <c r="D2089" s="24" t="str">
        <f aca="false">IF(A2089="","",IFERROR(buscarx(A2089&amp;B2089,DATA!$E$3:$E$10000&amp;DATA!$B$3:$B$10000,DATA!$W$3:$W$10000),"No encontrado"))</f>
        <v/>
      </c>
      <c r="E2089" s="22"/>
      <c r="F2089" s="23" t="str">
        <f aca="false">IF(A2089="","",IFERROR(buscarx(A2089&amp;E2089,DATA!$E$3:$E$10000&amp;DATA!$B$3:$B$10000,DATA!$M$3:$M$10000),"Inactivo"))</f>
        <v/>
      </c>
      <c r="G2089" s="25" t="str">
        <f aca="false">IF(A2089="","",IF(AND(C2089&lt;&gt;"No encontrado",F2089&lt;&gt;"Inactivo"),C2089&amp;" → "&amp;F2089,"Sin transición"))</f>
        <v/>
      </c>
      <c r="H2089" s="23" t="str">
        <f aca="false">IF(A2089="","",IF(D2089="GCIA LINEA SERVICIO DIGITALIDAD Y VENTAS","Chats",IF(OR(D2089="GERENCIA INBOUND LÍNEAS SERVICIO Y VENTA",D2089="GERENCIA INBOUND LINEAS ESPECIALIZADAS"),"Llamadas","Otro")))</f>
        <v/>
      </c>
      <c r="I2089" s="23" t="str">
        <f aca="false">IF(A2089="","",IF(C2089="No encontrado","No","Sí"))</f>
        <v/>
      </c>
      <c r="J2089" s="23" t="str">
        <f aca="false">IF(A2089="","",IF(F2089="Inactivo","No","Sí"))</f>
        <v/>
      </c>
      <c r="K2089" s="23" t="str">
        <f aca="false">IF(A2089="","",IF(AND(I2089="Sí",J2089="Sí"),"Sí","No"))</f>
        <v/>
      </c>
    </row>
    <row r="2090" customFormat="false" ht="15" hidden="false" customHeight="false" outlineLevel="0" collapsed="false">
      <c r="A2090" s="22"/>
      <c r="B2090" s="22"/>
      <c r="C2090" s="26" t="str">
        <f aca="false">IF(A2090="","",IFERROR(buscarx(A2090&amp;B2090,DATA!$E$3:$E$10000&amp;DATA!$B$3:$B$10000,DATA!$M$3:$M$10000),"No encontrado"))</f>
        <v/>
      </c>
      <c r="D2090" s="27" t="str">
        <f aca="false">IF(A2090="","",IFERROR(buscarx(A2090&amp;B2090,DATA!$E$3:$E$10000&amp;DATA!$B$3:$B$10000,DATA!$W$3:$W$10000),"No encontrado"))</f>
        <v/>
      </c>
      <c r="E2090" s="22"/>
      <c r="F2090" s="26" t="str">
        <f aca="false">IF(A2090="","",IFERROR(buscarx(A2090&amp;E2090,DATA!$E$3:$E$10000&amp;DATA!$B$3:$B$10000,DATA!$M$3:$M$10000),"Inactivo"))</f>
        <v/>
      </c>
      <c r="G2090" s="28" t="str">
        <f aca="false">IF(A2090="","",IF(AND(C2090&lt;&gt;"No encontrado",F2090&lt;&gt;"Inactivo"),C2090&amp;" → "&amp;F2090,"Sin transición"))</f>
        <v/>
      </c>
      <c r="H2090" s="26" t="str">
        <f aca="false">IF(A2090="","",IF(D2090="GCIA LINEA SERVICIO DIGITALIDAD Y VENTAS","Chats",IF(OR(D2090="GERENCIA INBOUND LÍNEAS SERVICIO Y VENTA",D2090="GERENCIA INBOUND LINEAS ESPECIALIZADAS"),"Llamadas","Otro")))</f>
        <v/>
      </c>
      <c r="I2090" s="26" t="str">
        <f aca="false">IF(A2090="","",IF(C2090="No encontrado","No","Sí"))</f>
        <v/>
      </c>
      <c r="J2090" s="26" t="str">
        <f aca="false">IF(A2090="","",IF(F2090="Inactivo","No","Sí"))</f>
        <v/>
      </c>
      <c r="K2090" s="26" t="str">
        <f aca="false">IF(A2090="","",IF(AND(I2090="Sí",J2090="Sí"),"Sí","No"))</f>
        <v/>
      </c>
    </row>
    <row r="2091" customFormat="false" ht="15" hidden="false" customHeight="false" outlineLevel="0" collapsed="false">
      <c r="A2091" s="22"/>
      <c r="B2091" s="22"/>
      <c r="C2091" s="23" t="str">
        <f aca="false">IF(A2091="","",IFERROR(buscarx(A2091&amp;B2091,DATA!$E$3:$E$10000&amp;DATA!$B$3:$B$10000,DATA!$M$3:$M$10000),"No encontrado"))</f>
        <v/>
      </c>
      <c r="D2091" s="24" t="str">
        <f aca="false">IF(A2091="","",IFERROR(buscarx(A2091&amp;B2091,DATA!$E$3:$E$10000&amp;DATA!$B$3:$B$10000,DATA!$W$3:$W$10000),"No encontrado"))</f>
        <v/>
      </c>
      <c r="E2091" s="22"/>
      <c r="F2091" s="23" t="str">
        <f aca="false">IF(A2091="","",IFERROR(buscarx(A2091&amp;E2091,DATA!$E$3:$E$10000&amp;DATA!$B$3:$B$10000,DATA!$M$3:$M$10000),"Inactivo"))</f>
        <v/>
      </c>
      <c r="G2091" s="25" t="str">
        <f aca="false">IF(A2091="","",IF(AND(C2091&lt;&gt;"No encontrado",F2091&lt;&gt;"Inactivo"),C2091&amp;" → "&amp;F2091,"Sin transición"))</f>
        <v/>
      </c>
      <c r="H2091" s="23" t="str">
        <f aca="false">IF(A2091="","",IF(D2091="GCIA LINEA SERVICIO DIGITALIDAD Y VENTAS","Chats",IF(OR(D2091="GERENCIA INBOUND LÍNEAS SERVICIO Y VENTA",D2091="GERENCIA INBOUND LINEAS ESPECIALIZADAS"),"Llamadas","Otro")))</f>
        <v/>
      </c>
      <c r="I2091" s="23" t="str">
        <f aca="false">IF(A2091="","",IF(C2091="No encontrado","No","Sí"))</f>
        <v/>
      </c>
      <c r="J2091" s="23" t="str">
        <f aca="false">IF(A2091="","",IF(F2091="Inactivo","No","Sí"))</f>
        <v/>
      </c>
      <c r="K2091" s="23" t="str">
        <f aca="false">IF(A2091="","",IF(AND(I2091="Sí",J2091="Sí"),"Sí","No"))</f>
        <v/>
      </c>
    </row>
    <row r="2092" customFormat="false" ht="15" hidden="false" customHeight="false" outlineLevel="0" collapsed="false">
      <c r="A2092" s="22"/>
      <c r="B2092" s="22"/>
      <c r="C2092" s="26" t="str">
        <f aca="false">IF(A2092="","",IFERROR(buscarx(A2092&amp;B2092,DATA!$E$3:$E$10000&amp;DATA!$B$3:$B$10000,DATA!$M$3:$M$10000),"No encontrado"))</f>
        <v/>
      </c>
      <c r="D2092" s="27" t="str">
        <f aca="false">IF(A2092="","",IFERROR(buscarx(A2092&amp;B2092,DATA!$E$3:$E$10000&amp;DATA!$B$3:$B$10000,DATA!$W$3:$W$10000),"No encontrado"))</f>
        <v/>
      </c>
      <c r="E2092" s="22"/>
      <c r="F2092" s="26" t="str">
        <f aca="false">IF(A2092="","",IFERROR(buscarx(A2092&amp;E2092,DATA!$E$3:$E$10000&amp;DATA!$B$3:$B$10000,DATA!$M$3:$M$10000),"Inactivo"))</f>
        <v/>
      </c>
      <c r="G2092" s="28" t="str">
        <f aca="false">IF(A2092="","",IF(AND(C2092&lt;&gt;"No encontrado",F2092&lt;&gt;"Inactivo"),C2092&amp;" → "&amp;F2092,"Sin transición"))</f>
        <v/>
      </c>
      <c r="H2092" s="26" t="str">
        <f aca="false">IF(A2092="","",IF(D2092="GCIA LINEA SERVICIO DIGITALIDAD Y VENTAS","Chats",IF(OR(D2092="GERENCIA INBOUND LÍNEAS SERVICIO Y VENTA",D2092="GERENCIA INBOUND LINEAS ESPECIALIZADAS"),"Llamadas","Otro")))</f>
        <v/>
      </c>
      <c r="I2092" s="26" t="str">
        <f aca="false">IF(A2092="","",IF(C2092="No encontrado","No","Sí"))</f>
        <v/>
      </c>
      <c r="J2092" s="26" t="str">
        <f aca="false">IF(A2092="","",IF(F2092="Inactivo","No","Sí"))</f>
        <v/>
      </c>
      <c r="K2092" s="26" t="str">
        <f aca="false">IF(A2092="","",IF(AND(I2092="Sí",J2092="Sí"),"Sí","No"))</f>
        <v/>
      </c>
    </row>
    <row r="2093" customFormat="false" ht="15" hidden="false" customHeight="false" outlineLevel="0" collapsed="false">
      <c r="A2093" s="22"/>
      <c r="B2093" s="22"/>
      <c r="C2093" s="23" t="str">
        <f aca="false">IF(A2093="","",IFERROR(buscarx(A2093&amp;B2093,DATA!$E$3:$E$10000&amp;DATA!$B$3:$B$10000,DATA!$M$3:$M$10000),"No encontrado"))</f>
        <v/>
      </c>
      <c r="D2093" s="24" t="str">
        <f aca="false">IF(A2093="","",IFERROR(buscarx(A2093&amp;B2093,DATA!$E$3:$E$10000&amp;DATA!$B$3:$B$10000,DATA!$W$3:$W$10000),"No encontrado"))</f>
        <v/>
      </c>
      <c r="E2093" s="22"/>
      <c r="F2093" s="23" t="str">
        <f aca="false">IF(A2093="","",IFERROR(buscarx(A2093&amp;E2093,DATA!$E$3:$E$10000&amp;DATA!$B$3:$B$10000,DATA!$M$3:$M$10000),"Inactivo"))</f>
        <v/>
      </c>
      <c r="G2093" s="25" t="str">
        <f aca="false">IF(A2093="","",IF(AND(C2093&lt;&gt;"No encontrado",F2093&lt;&gt;"Inactivo"),C2093&amp;" → "&amp;F2093,"Sin transición"))</f>
        <v/>
      </c>
      <c r="H2093" s="23" t="str">
        <f aca="false">IF(A2093="","",IF(D2093="GCIA LINEA SERVICIO DIGITALIDAD Y VENTAS","Chats",IF(OR(D2093="GERENCIA INBOUND LÍNEAS SERVICIO Y VENTA",D2093="GERENCIA INBOUND LINEAS ESPECIALIZADAS"),"Llamadas","Otro")))</f>
        <v/>
      </c>
      <c r="I2093" s="23" t="str">
        <f aca="false">IF(A2093="","",IF(C2093="No encontrado","No","Sí"))</f>
        <v/>
      </c>
      <c r="J2093" s="23" t="str">
        <f aca="false">IF(A2093="","",IF(F2093="Inactivo","No","Sí"))</f>
        <v/>
      </c>
      <c r="K2093" s="23" t="str">
        <f aca="false">IF(A2093="","",IF(AND(I2093="Sí",J2093="Sí"),"Sí","No"))</f>
        <v/>
      </c>
    </row>
    <row r="2094" customFormat="false" ht="15" hidden="false" customHeight="false" outlineLevel="0" collapsed="false">
      <c r="A2094" s="22"/>
      <c r="B2094" s="22"/>
      <c r="C2094" s="26" t="str">
        <f aca="false">IF(A2094="","",IFERROR(buscarx(A2094&amp;B2094,DATA!$E$3:$E$10000&amp;DATA!$B$3:$B$10000,DATA!$M$3:$M$10000),"No encontrado"))</f>
        <v/>
      </c>
      <c r="D2094" s="27" t="str">
        <f aca="false">IF(A2094="","",IFERROR(buscarx(A2094&amp;B2094,DATA!$E$3:$E$10000&amp;DATA!$B$3:$B$10000,DATA!$W$3:$W$10000),"No encontrado"))</f>
        <v/>
      </c>
      <c r="E2094" s="22"/>
      <c r="F2094" s="26" t="str">
        <f aca="false">IF(A2094="","",IFERROR(buscarx(A2094&amp;E2094,DATA!$E$3:$E$10000&amp;DATA!$B$3:$B$10000,DATA!$M$3:$M$10000),"Inactivo"))</f>
        <v/>
      </c>
      <c r="G2094" s="28" t="str">
        <f aca="false">IF(A2094="","",IF(AND(C2094&lt;&gt;"No encontrado",F2094&lt;&gt;"Inactivo"),C2094&amp;" → "&amp;F2094,"Sin transición"))</f>
        <v/>
      </c>
      <c r="H2094" s="26" t="str">
        <f aca="false">IF(A2094="","",IF(D2094="GCIA LINEA SERVICIO DIGITALIDAD Y VENTAS","Chats",IF(OR(D2094="GERENCIA INBOUND LÍNEAS SERVICIO Y VENTA",D2094="GERENCIA INBOUND LINEAS ESPECIALIZADAS"),"Llamadas","Otro")))</f>
        <v/>
      </c>
      <c r="I2094" s="26" t="str">
        <f aca="false">IF(A2094="","",IF(C2094="No encontrado","No","Sí"))</f>
        <v/>
      </c>
      <c r="J2094" s="26" t="str">
        <f aca="false">IF(A2094="","",IF(F2094="Inactivo","No","Sí"))</f>
        <v/>
      </c>
      <c r="K2094" s="26" t="str">
        <f aca="false">IF(A2094="","",IF(AND(I2094="Sí",J2094="Sí"),"Sí","No"))</f>
        <v/>
      </c>
    </row>
    <row r="2095" customFormat="false" ht="15" hidden="false" customHeight="false" outlineLevel="0" collapsed="false">
      <c r="A2095" s="22"/>
      <c r="B2095" s="22"/>
      <c r="C2095" s="23" t="str">
        <f aca="false">IF(A2095="","",IFERROR(buscarx(A2095&amp;B2095,DATA!$E$3:$E$10000&amp;DATA!$B$3:$B$10000,DATA!$M$3:$M$10000),"No encontrado"))</f>
        <v/>
      </c>
      <c r="D2095" s="24" t="str">
        <f aca="false">IF(A2095="","",IFERROR(buscarx(A2095&amp;B2095,DATA!$E$3:$E$10000&amp;DATA!$B$3:$B$10000,DATA!$W$3:$W$10000),"No encontrado"))</f>
        <v/>
      </c>
      <c r="E2095" s="22"/>
      <c r="F2095" s="23" t="str">
        <f aca="false">IF(A2095="","",IFERROR(buscarx(A2095&amp;E2095,DATA!$E$3:$E$10000&amp;DATA!$B$3:$B$10000,DATA!$M$3:$M$10000),"Inactivo"))</f>
        <v/>
      </c>
      <c r="G2095" s="25" t="str">
        <f aca="false">IF(A2095="","",IF(AND(C2095&lt;&gt;"No encontrado",F2095&lt;&gt;"Inactivo"),C2095&amp;" → "&amp;F2095,"Sin transición"))</f>
        <v/>
      </c>
      <c r="H2095" s="23" t="str">
        <f aca="false">IF(A2095="","",IF(D2095="GCIA LINEA SERVICIO DIGITALIDAD Y VENTAS","Chats",IF(OR(D2095="GERENCIA INBOUND LÍNEAS SERVICIO Y VENTA",D2095="GERENCIA INBOUND LINEAS ESPECIALIZADAS"),"Llamadas","Otro")))</f>
        <v/>
      </c>
      <c r="I2095" s="23" t="str">
        <f aca="false">IF(A2095="","",IF(C2095="No encontrado","No","Sí"))</f>
        <v/>
      </c>
      <c r="J2095" s="23" t="str">
        <f aca="false">IF(A2095="","",IF(F2095="Inactivo","No","Sí"))</f>
        <v/>
      </c>
      <c r="K2095" s="23" t="str">
        <f aca="false">IF(A2095="","",IF(AND(I2095="Sí",J2095="Sí"),"Sí","No"))</f>
        <v/>
      </c>
    </row>
    <row r="2096" customFormat="false" ht="15" hidden="false" customHeight="false" outlineLevel="0" collapsed="false">
      <c r="A2096" s="22"/>
      <c r="B2096" s="22"/>
      <c r="C2096" s="26" t="str">
        <f aca="false">IF(A2096="","",IFERROR(buscarx(A2096&amp;B2096,DATA!$E$3:$E$10000&amp;DATA!$B$3:$B$10000,DATA!$M$3:$M$10000),"No encontrado"))</f>
        <v/>
      </c>
      <c r="D2096" s="27" t="str">
        <f aca="false">IF(A2096="","",IFERROR(buscarx(A2096&amp;B2096,DATA!$E$3:$E$10000&amp;DATA!$B$3:$B$10000,DATA!$W$3:$W$10000),"No encontrado"))</f>
        <v/>
      </c>
      <c r="E2096" s="22"/>
      <c r="F2096" s="26" t="str">
        <f aca="false">IF(A2096="","",IFERROR(buscarx(A2096&amp;E2096,DATA!$E$3:$E$10000&amp;DATA!$B$3:$B$10000,DATA!$M$3:$M$10000),"Inactivo"))</f>
        <v/>
      </c>
      <c r="G2096" s="28" t="str">
        <f aca="false">IF(A2096="","",IF(AND(C2096&lt;&gt;"No encontrado",F2096&lt;&gt;"Inactivo"),C2096&amp;" → "&amp;F2096,"Sin transición"))</f>
        <v/>
      </c>
      <c r="H2096" s="26" t="str">
        <f aca="false">IF(A2096="","",IF(D2096="GCIA LINEA SERVICIO DIGITALIDAD Y VENTAS","Chats",IF(OR(D2096="GERENCIA INBOUND LÍNEAS SERVICIO Y VENTA",D2096="GERENCIA INBOUND LINEAS ESPECIALIZADAS"),"Llamadas","Otro")))</f>
        <v/>
      </c>
      <c r="I2096" s="26" t="str">
        <f aca="false">IF(A2096="","",IF(C2096="No encontrado","No","Sí"))</f>
        <v/>
      </c>
      <c r="J2096" s="26" t="str">
        <f aca="false">IF(A2096="","",IF(F2096="Inactivo","No","Sí"))</f>
        <v/>
      </c>
      <c r="K2096" s="26" t="str">
        <f aca="false">IF(A2096="","",IF(AND(I2096="Sí",J2096="Sí"),"Sí","No"))</f>
        <v/>
      </c>
    </row>
    <row r="2097" customFormat="false" ht="15" hidden="false" customHeight="false" outlineLevel="0" collapsed="false">
      <c r="A2097" s="22"/>
      <c r="B2097" s="22"/>
      <c r="C2097" s="23" t="str">
        <f aca="false">IF(A2097="","",IFERROR(buscarx(A2097&amp;B2097,DATA!$E$3:$E$10000&amp;DATA!$B$3:$B$10000,DATA!$M$3:$M$10000),"No encontrado"))</f>
        <v/>
      </c>
      <c r="D2097" s="24" t="str">
        <f aca="false">IF(A2097="","",IFERROR(buscarx(A2097&amp;B2097,DATA!$E$3:$E$10000&amp;DATA!$B$3:$B$10000,DATA!$W$3:$W$10000),"No encontrado"))</f>
        <v/>
      </c>
      <c r="E2097" s="22"/>
      <c r="F2097" s="23" t="str">
        <f aca="false">IF(A2097="","",IFERROR(buscarx(A2097&amp;E2097,DATA!$E$3:$E$10000&amp;DATA!$B$3:$B$10000,DATA!$M$3:$M$10000),"Inactivo"))</f>
        <v/>
      </c>
      <c r="G2097" s="25" t="str">
        <f aca="false">IF(A2097="","",IF(AND(C2097&lt;&gt;"No encontrado",F2097&lt;&gt;"Inactivo"),C2097&amp;" → "&amp;F2097,"Sin transición"))</f>
        <v/>
      </c>
      <c r="H2097" s="23" t="str">
        <f aca="false">IF(A2097="","",IF(D2097="GCIA LINEA SERVICIO DIGITALIDAD Y VENTAS","Chats",IF(OR(D2097="GERENCIA INBOUND LÍNEAS SERVICIO Y VENTA",D2097="GERENCIA INBOUND LINEAS ESPECIALIZADAS"),"Llamadas","Otro")))</f>
        <v/>
      </c>
      <c r="I2097" s="23" t="str">
        <f aca="false">IF(A2097="","",IF(C2097="No encontrado","No","Sí"))</f>
        <v/>
      </c>
      <c r="J2097" s="23" t="str">
        <f aca="false">IF(A2097="","",IF(F2097="Inactivo","No","Sí"))</f>
        <v/>
      </c>
      <c r="K2097" s="23" t="str">
        <f aca="false">IF(A2097="","",IF(AND(I2097="Sí",J2097="Sí"),"Sí","No"))</f>
        <v/>
      </c>
    </row>
    <row r="2098" customFormat="false" ht="15" hidden="false" customHeight="false" outlineLevel="0" collapsed="false">
      <c r="A2098" s="22"/>
      <c r="B2098" s="22"/>
      <c r="C2098" s="26" t="str">
        <f aca="false">IF(A2098="","",IFERROR(buscarx(A2098&amp;B2098,DATA!$E$3:$E$10000&amp;DATA!$B$3:$B$10000,DATA!$M$3:$M$10000),"No encontrado"))</f>
        <v/>
      </c>
      <c r="D2098" s="27" t="str">
        <f aca="false">IF(A2098="","",IFERROR(buscarx(A2098&amp;B2098,DATA!$E$3:$E$10000&amp;DATA!$B$3:$B$10000,DATA!$W$3:$W$10000),"No encontrado"))</f>
        <v/>
      </c>
      <c r="E2098" s="22"/>
      <c r="F2098" s="26" t="str">
        <f aca="false">IF(A2098="","",IFERROR(buscarx(A2098&amp;E2098,DATA!$E$3:$E$10000&amp;DATA!$B$3:$B$10000,DATA!$M$3:$M$10000),"Inactivo"))</f>
        <v/>
      </c>
      <c r="G2098" s="28" t="str">
        <f aca="false">IF(A2098="","",IF(AND(C2098&lt;&gt;"No encontrado",F2098&lt;&gt;"Inactivo"),C2098&amp;" → "&amp;F2098,"Sin transición"))</f>
        <v/>
      </c>
      <c r="H2098" s="26" t="str">
        <f aca="false">IF(A2098="","",IF(D2098="GCIA LINEA SERVICIO DIGITALIDAD Y VENTAS","Chats",IF(OR(D2098="GERENCIA INBOUND LÍNEAS SERVICIO Y VENTA",D2098="GERENCIA INBOUND LINEAS ESPECIALIZADAS"),"Llamadas","Otro")))</f>
        <v/>
      </c>
      <c r="I2098" s="26" t="str">
        <f aca="false">IF(A2098="","",IF(C2098="No encontrado","No","Sí"))</f>
        <v/>
      </c>
      <c r="J2098" s="26" t="str">
        <f aca="false">IF(A2098="","",IF(F2098="Inactivo","No","Sí"))</f>
        <v/>
      </c>
      <c r="K2098" s="26" t="str">
        <f aca="false">IF(A2098="","",IF(AND(I2098="Sí",J2098="Sí"),"Sí","No"))</f>
        <v/>
      </c>
    </row>
    <row r="2099" customFormat="false" ht="15" hidden="false" customHeight="false" outlineLevel="0" collapsed="false">
      <c r="A2099" s="22"/>
      <c r="B2099" s="22"/>
      <c r="C2099" s="23" t="str">
        <f aca="false">IF(A2099="","",IFERROR(buscarx(A2099&amp;B2099,DATA!$E$3:$E$10000&amp;DATA!$B$3:$B$10000,DATA!$M$3:$M$10000),"No encontrado"))</f>
        <v/>
      </c>
      <c r="D2099" s="24" t="str">
        <f aca="false">IF(A2099="","",IFERROR(buscarx(A2099&amp;B2099,DATA!$E$3:$E$10000&amp;DATA!$B$3:$B$10000,DATA!$W$3:$W$10000),"No encontrado"))</f>
        <v/>
      </c>
      <c r="E2099" s="22"/>
      <c r="F2099" s="23" t="str">
        <f aca="false">IF(A2099="","",IFERROR(buscarx(A2099&amp;E2099,DATA!$E$3:$E$10000&amp;DATA!$B$3:$B$10000,DATA!$M$3:$M$10000),"Inactivo"))</f>
        <v/>
      </c>
      <c r="G2099" s="25" t="str">
        <f aca="false">IF(A2099="","",IF(AND(C2099&lt;&gt;"No encontrado",F2099&lt;&gt;"Inactivo"),C2099&amp;" → "&amp;F2099,"Sin transición"))</f>
        <v/>
      </c>
      <c r="H2099" s="23" t="str">
        <f aca="false">IF(A2099="","",IF(D2099="GCIA LINEA SERVICIO DIGITALIDAD Y VENTAS","Chats",IF(OR(D2099="GERENCIA INBOUND LÍNEAS SERVICIO Y VENTA",D2099="GERENCIA INBOUND LINEAS ESPECIALIZADAS"),"Llamadas","Otro")))</f>
        <v/>
      </c>
      <c r="I2099" s="23" t="str">
        <f aca="false">IF(A2099="","",IF(C2099="No encontrado","No","Sí"))</f>
        <v/>
      </c>
      <c r="J2099" s="23" t="str">
        <f aca="false">IF(A2099="","",IF(F2099="Inactivo","No","Sí"))</f>
        <v/>
      </c>
      <c r="K2099" s="23" t="str">
        <f aca="false">IF(A2099="","",IF(AND(I2099="Sí",J2099="Sí"),"Sí","No"))</f>
        <v/>
      </c>
    </row>
    <row r="2100" customFormat="false" ht="15" hidden="false" customHeight="false" outlineLevel="0" collapsed="false">
      <c r="A2100" s="22"/>
      <c r="B2100" s="22"/>
      <c r="C2100" s="26" t="str">
        <f aca="false">IF(A2100="","",IFERROR(buscarx(A2100&amp;B2100,DATA!$E$3:$E$10000&amp;DATA!$B$3:$B$10000,DATA!$M$3:$M$10000),"No encontrado"))</f>
        <v/>
      </c>
      <c r="D2100" s="27" t="str">
        <f aca="false">IF(A2100="","",IFERROR(buscarx(A2100&amp;B2100,DATA!$E$3:$E$10000&amp;DATA!$B$3:$B$10000,DATA!$W$3:$W$10000),"No encontrado"))</f>
        <v/>
      </c>
      <c r="E2100" s="22"/>
      <c r="F2100" s="26" t="str">
        <f aca="false">IF(A2100="","",IFERROR(buscarx(A2100&amp;E2100,DATA!$E$3:$E$10000&amp;DATA!$B$3:$B$10000,DATA!$M$3:$M$10000),"Inactivo"))</f>
        <v/>
      </c>
      <c r="G2100" s="28" t="str">
        <f aca="false">IF(A2100="","",IF(AND(C2100&lt;&gt;"No encontrado",F2100&lt;&gt;"Inactivo"),C2100&amp;" → "&amp;F2100,"Sin transición"))</f>
        <v/>
      </c>
      <c r="H2100" s="26" t="str">
        <f aca="false">IF(A2100="","",IF(D2100="GCIA LINEA SERVICIO DIGITALIDAD Y VENTAS","Chats",IF(OR(D2100="GERENCIA INBOUND LÍNEAS SERVICIO Y VENTA",D2100="GERENCIA INBOUND LINEAS ESPECIALIZADAS"),"Llamadas","Otro")))</f>
        <v/>
      </c>
      <c r="I2100" s="26" t="str">
        <f aca="false">IF(A2100="","",IF(C2100="No encontrado","No","Sí"))</f>
        <v/>
      </c>
      <c r="J2100" s="26" t="str">
        <f aca="false">IF(A2100="","",IF(F2100="Inactivo","No","Sí"))</f>
        <v/>
      </c>
      <c r="K2100" s="26" t="str">
        <f aca="false">IF(A2100="","",IF(AND(I2100="Sí",J2100="Sí"),"Sí","No"))</f>
        <v/>
      </c>
    </row>
    <row r="2101" customFormat="false" ht="15" hidden="false" customHeight="false" outlineLevel="0" collapsed="false">
      <c r="A2101" s="22"/>
      <c r="B2101" s="22"/>
      <c r="C2101" s="23" t="str">
        <f aca="false">IF(A2101="","",IFERROR(buscarx(A2101&amp;B2101,DATA!$E$3:$E$10000&amp;DATA!$B$3:$B$10000,DATA!$M$3:$M$10000),"No encontrado"))</f>
        <v/>
      </c>
      <c r="D2101" s="24" t="str">
        <f aca="false">IF(A2101="","",IFERROR(buscarx(A2101&amp;B2101,DATA!$E$3:$E$10000&amp;DATA!$B$3:$B$10000,DATA!$W$3:$W$10000),"No encontrado"))</f>
        <v/>
      </c>
      <c r="E2101" s="22"/>
      <c r="F2101" s="23" t="str">
        <f aca="false">IF(A2101="","",IFERROR(buscarx(A2101&amp;E2101,DATA!$E$3:$E$10000&amp;DATA!$B$3:$B$10000,DATA!$M$3:$M$10000),"Inactivo"))</f>
        <v/>
      </c>
      <c r="G2101" s="25" t="str">
        <f aca="false">IF(A2101="","",IF(AND(C2101&lt;&gt;"No encontrado",F2101&lt;&gt;"Inactivo"),C2101&amp;" → "&amp;F2101,"Sin transición"))</f>
        <v/>
      </c>
      <c r="H2101" s="23" t="str">
        <f aca="false">IF(A2101="","",IF(D2101="GCIA LINEA SERVICIO DIGITALIDAD Y VENTAS","Chats",IF(OR(D2101="GERENCIA INBOUND LÍNEAS SERVICIO Y VENTA",D2101="GERENCIA INBOUND LINEAS ESPECIALIZADAS"),"Llamadas","Otro")))</f>
        <v/>
      </c>
      <c r="I2101" s="23" t="str">
        <f aca="false">IF(A2101="","",IF(C2101="No encontrado","No","Sí"))</f>
        <v/>
      </c>
      <c r="J2101" s="23" t="str">
        <f aca="false">IF(A2101="","",IF(F2101="Inactivo","No","Sí"))</f>
        <v/>
      </c>
      <c r="K2101" s="23" t="str">
        <f aca="false">IF(A2101="","",IF(AND(I2101="Sí",J2101="Sí"),"Sí","No"))</f>
        <v/>
      </c>
    </row>
    <row r="2102" customFormat="false" ht="15" hidden="false" customHeight="false" outlineLevel="0" collapsed="false">
      <c r="A2102" s="22"/>
      <c r="B2102" s="22"/>
      <c r="C2102" s="26" t="str">
        <f aca="false">IF(A2102="","",IFERROR(buscarx(A2102&amp;B2102,DATA!$E$3:$E$10000&amp;DATA!$B$3:$B$10000,DATA!$M$3:$M$10000),"No encontrado"))</f>
        <v/>
      </c>
      <c r="D2102" s="27" t="str">
        <f aca="false">IF(A2102="","",IFERROR(buscarx(A2102&amp;B2102,DATA!$E$3:$E$10000&amp;DATA!$B$3:$B$10000,DATA!$W$3:$W$10000),"No encontrado"))</f>
        <v/>
      </c>
      <c r="E2102" s="22"/>
      <c r="F2102" s="26" t="str">
        <f aca="false">IF(A2102="","",IFERROR(buscarx(A2102&amp;E2102,DATA!$E$3:$E$10000&amp;DATA!$B$3:$B$10000,DATA!$M$3:$M$10000),"Inactivo"))</f>
        <v/>
      </c>
      <c r="G2102" s="28" t="str">
        <f aca="false">IF(A2102="","",IF(AND(C2102&lt;&gt;"No encontrado",F2102&lt;&gt;"Inactivo"),C2102&amp;" → "&amp;F2102,"Sin transición"))</f>
        <v/>
      </c>
      <c r="H2102" s="26" t="str">
        <f aca="false">IF(A2102="","",IF(D2102="GCIA LINEA SERVICIO DIGITALIDAD Y VENTAS","Chats",IF(OR(D2102="GERENCIA INBOUND LÍNEAS SERVICIO Y VENTA",D2102="GERENCIA INBOUND LINEAS ESPECIALIZADAS"),"Llamadas","Otro")))</f>
        <v/>
      </c>
      <c r="I2102" s="26" t="str">
        <f aca="false">IF(A2102="","",IF(C2102="No encontrado","No","Sí"))</f>
        <v/>
      </c>
      <c r="J2102" s="26" t="str">
        <f aca="false">IF(A2102="","",IF(F2102="Inactivo","No","Sí"))</f>
        <v/>
      </c>
      <c r="K2102" s="26" t="str">
        <f aca="false">IF(A2102="","",IF(AND(I2102="Sí",J2102="Sí"),"Sí","No"))</f>
        <v/>
      </c>
    </row>
    <row r="2103" customFormat="false" ht="15" hidden="false" customHeight="false" outlineLevel="0" collapsed="false">
      <c r="A2103" s="22"/>
      <c r="B2103" s="22"/>
      <c r="C2103" s="23" t="str">
        <f aca="false">IF(A2103="","",IFERROR(buscarx(A2103&amp;B2103,DATA!$E$3:$E$10000&amp;DATA!$B$3:$B$10000,DATA!$M$3:$M$10000),"No encontrado"))</f>
        <v/>
      </c>
      <c r="D2103" s="24" t="str">
        <f aca="false">IF(A2103="","",IFERROR(buscarx(A2103&amp;B2103,DATA!$E$3:$E$10000&amp;DATA!$B$3:$B$10000,DATA!$W$3:$W$10000),"No encontrado"))</f>
        <v/>
      </c>
      <c r="E2103" s="22"/>
      <c r="F2103" s="23" t="str">
        <f aca="false">IF(A2103="","",IFERROR(buscarx(A2103&amp;E2103,DATA!$E$3:$E$10000&amp;DATA!$B$3:$B$10000,DATA!$M$3:$M$10000),"Inactivo"))</f>
        <v/>
      </c>
      <c r="G2103" s="25" t="str">
        <f aca="false">IF(A2103="","",IF(AND(C2103&lt;&gt;"No encontrado",F2103&lt;&gt;"Inactivo"),C2103&amp;" → "&amp;F2103,"Sin transición"))</f>
        <v/>
      </c>
      <c r="H2103" s="23" t="str">
        <f aca="false">IF(A2103="","",IF(D2103="GCIA LINEA SERVICIO DIGITALIDAD Y VENTAS","Chats",IF(OR(D2103="GERENCIA INBOUND LÍNEAS SERVICIO Y VENTA",D2103="GERENCIA INBOUND LINEAS ESPECIALIZADAS"),"Llamadas","Otro")))</f>
        <v/>
      </c>
      <c r="I2103" s="23" t="str">
        <f aca="false">IF(A2103="","",IF(C2103="No encontrado","No","Sí"))</f>
        <v/>
      </c>
      <c r="J2103" s="23" t="str">
        <f aca="false">IF(A2103="","",IF(F2103="Inactivo","No","Sí"))</f>
        <v/>
      </c>
      <c r="K2103" s="23" t="str">
        <f aca="false">IF(A2103="","",IF(AND(I2103="Sí",J2103="Sí"),"Sí","No"))</f>
        <v/>
      </c>
    </row>
    <row r="2104" customFormat="false" ht="15" hidden="false" customHeight="false" outlineLevel="0" collapsed="false">
      <c r="A2104" s="22"/>
      <c r="B2104" s="22"/>
      <c r="C2104" s="26" t="str">
        <f aca="false">IF(A2104="","",IFERROR(buscarx(A2104&amp;B2104,DATA!$E$3:$E$10000&amp;DATA!$B$3:$B$10000,DATA!$M$3:$M$10000),"No encontrado"))</f>
        <v/>
      </c>
      <c r="D2104" s="27" t="str">
        <f aca="false">IF(A2104="","",IFERROR(buscarx(A2104&amp;B2104,DATA!$E$3:$E$10000&amp;DATA!$B$3:$B$10000,DATA!$W$3:$W$10000),"No encontrado"))</f>
        <v/>
      </c>
      <c r="E2104" s="22"/>
      <c r="F2104" s="26" t="str">
        <f aca="false">IF(A2104="","",IFERROR(buscarx(A2104&amp;E2104,DATA!$E$3:$E$10000&amp;DATA!$B$3:$B$10000,DATA!$M$3:$M$10000),"Inactivo"))</f>
        <v/>
      </c>
      <c r="G2104" s="28" t="str">
        <f aca="false">IF(A2104="","",IF(AND(C2104&lt;&gt;"No encontrado",F2104&lt;&gt;"Inactivo"),C2104&amp;" → "&amp;F2104,"Sin transición"))</f>
        <v/>
      </c>
      <c r="H2104" s="26" t="str">
        <f aca="false">IF(A2104="","",IF(D2104="GCIA LINEA SERVICIO DIGITALIDAD Y VENTAS","Chats",IF(OR(D2104="GERENCIA INBOUND LÍNEAS SERVICIO Y VENTA",D2104="GERENCIA INBOUND LINEAS ESPECIALIZADAS"),"Llamadas","Otro")))</f>
        <v/>
      </c>
      <c r="I2104" s="26" t="str">
        <f aca="false">IF(A2104="","",IF(C2104="No encontrado","No","Sí"))</f>
        <v/>
      </c>
      <c r="J2104" s="26" t="str">
        <f aca="false">IF(A2104="","",IF(F2104="Inactivo","No","Sí"))</f>
        <v/>
      </c>
      <c r="K2104" s="26" t="str">
        <f aca="false">IF(A2104="","",IF(AND(I2104="Sí",J2104="Sí"),"Sí","No"))</f>
        <v/>
      </c>
    </row>
    <row r="2105" customFormat="false" ht="15" hidden="false" customHeight="false" outlineLevel="0" collapsed="false">
      <c r="A2105" s="22"/>
      <c r="B2105" s="22"/>
      <c r="C2105" s="23" t="str">
        <f aca="false">IF(A2105="","",IFERROR(buscarx(A2105&amp;B2105,DATA!$E$3:$E$10000&amp;DATA!$B$3:$B$10000,DATA!$M$3:$M$10000),"No encontrado"))</f>
        <v/>
      </c>
      <c r="D2105" s="24" t="str">
        <f aca="false">IF(A2105="","",IFERROR(buscarx(A2105&amp;B2105,DATA!$E$3:$E$10000&amp;DATA!$B$3:$B$10000,DATA!$W$3:$W$10000),"No encontrado"))</f>
        <v/>
      </c>
      <c r="E2105" s="22"/>
      <c r="F2105" s="23" t="str">
        <f aca="false">IF(A2105="","",IFERROR(buscarx(A2105&amp;E2105,DATA!$E$3:$E$10000&amp;DATA!$B$3:$B$10000,DATA!$M$3:$M$10000),"Inactivo"))</f>
        <v/>
      </c>
      <c r="G2105" s="25" t="str">
        <f aca="false">IF(A2105="","",IF(AND(C2105&lt;&gt;"No encontrado",F2105&lt;&gt;"Inactivo"),C2105&amp;" → "&amp;F2105,"Sin transición"))</f>
        <v/>
      </c>
      <c r="H2105" s="23" t="str">
        <f aca="false">IF(A2105="","",IF(D2105="GCIA LINEA SERVICIO DIGITALIDAD Y VENTAS","Chats",IF(OR(D2105="GERENCIA INBOUND LÍNEAS SERVICIO Y VENTA",D2105="GERENCIA INBOUND LINEAS ESPECIALIZADAS"),"Llamadas","Otro")))</f>
        <v/>
      </c>
      <c r="I2105" s="23" t="str">
        <f aca="false">IF(A2105="","",IF(C2105="No encontrado","No","Sí"))</f>
        <v/>
      </c>
      <c r="J2105" s="23" t="str">
        <f aca="false">IF(A2105="","",IF(F2105="Inactivo","No","Sí"))</f>
        <v/>
      </c>
      <c r="K2105" s="23" t="str">
        <f aca="false">IF(A2105="","",IF(AND(I2105="Sí",J2105="Sí"),"Sí","No"))</f>
        <v/>
      </c>
    </row>
    <row r="2106" customFormat="false" ht="15" hidden="false" customHeight="false" outlineLevel="0" collapsed="false">
      <c r="A2106" s="22"/>
      <c r="B2106" s="22"/>
      <c r="C2106" s="26" t="str">
        <f aca="false">IF(A2106="","",IFERROR(buscarx(A2106&amp;B2106,DATA!$E$3:$E$10000&amp;DATA!$B$3:$B$10000,DATA!$M$3:$M$10000),"No encontrado"))</f>
        <v/>
      </c>
      <c r="D2106" s="27" t="str">
        <f aca="false">IF(A2106="","",IFERROR(buscarx(A2106&amp;B2106,DATA!$E$3:$E$10000&amp;DATA!$B$3:$B$10000,DATA!$W$3:$W$10000),"No encontrado"))</f>
        <v/>
      </c>
      <c r="E2106" s="22"/>
      <c r="F2106" s="26" t="str">
        <f aca="false">IF(A2106="","",IFERROR(buscarx(A2106&amp;E2106,DATA!$E$3:$E$10000&amp;DATA!$B$3:$B$10000,DATA!$M$3:$M$10000),"Inactivo"))</f>
        <v/>
      </c>
      <c r="G2106" s="28" t="str">
        <f aca="false">IF(A2106="","",IF(AND(C2106&lt;&gt;"No encontrado",F2106&lt;&gt;"Inactivo"),C2106&amp;" → "&amp;F2106,"Sin transición"))</f>
        <v/>
      </c>
      <c r="H2106" s="26" t="str">
        <f aca="false">IF(A2106="","",IF(D2106="GCIA LINEA SERVICIO DIGITALIDAD Y VENTAS","Chats",IF(OR(D2106="GERENCIA INBOUND LÍNEAS SERVICIO Y VENTA",D2106="GERENCIA INBOUND LINEAS ESPECIALIZADAS"),"Llamadas","Otro")))</f>
        <v/>
      </c>
      <c r="I2106" s="26" t="str">
        <f aca="false">IF(A2106="","",IF(C2106="No encontrado","No","Sí"))</f>
        <v/>
      </c>
      <c r="J2106" s="26" t="str">
        <f aca="false">IF(A2106="","",IF(F2106="Inactivo","No","Sí"))</f>
        <v/>
      </c>
      <c r="K2106" s="26" t="str">
        <f aca="false">IF(A2106="","",IF(AND(I2106="Sí",J2106="Sí"),"Sí","No"))</f>
        <v/>
      </c>
    </row>
    <row r="2107" customFormat="false" ht="15" hidden="false" customHeight="false" outlineLevel="0" collapsed="false">
      <c r="A2107" s="22"/>
      <c r="B2107" s="22"/>
      <c r="C2107" s="23" t="str">
        <f aca="false">IF(A2107="","",IFERROR(buscarx(A2107&amp;B2107,DATA!$E$3:$E$10000&amp;DATA!$B$3:$B$10000,DATA!$M$3:$M$10000),"No encontrado"))</f>
        <v/>
      </c>
      <c r="D2107" s="24" t="str">
        <f aca="false">IF(A2107="","",IFERROR(buscarx(A2107&amp;B2107,DATA!$E$3:$E$10000&amp;DATA!$B$3:$B$10000,DATA!$W$3:$W$10000),"No encontrado"))</f>
        <v/>
      </c>
      <c r="E2107" s="22"/>
      <c r="F2107" s="23" t="str">
        <f aca="false">IF(A2107="","",IFERROR(buscarx(A2107&amp;E2107,DATA!$E$3:$E$10000&amp;DATA!$B$3:$B$10000,DATA!$M$3:$M$10000),"Inactivo"))</f>
        <v/>
      </c>
      <c r="G2107" s="25" t="str">
        <f aca="false">IF(A2107="","",IF(AND(C2107&lt;&gt;"No encontrado",F2107&lt;&gt;"Inactivo"),C2107&amp;" → "&amp;F2107,"Sin transición"))</f>
        <v/>
      </c>
      <c r="H2107" s="23" t="str">
        <f aca="false">IF(A2107="","",IF(D2107="GCIA LINEA SERVICIO DIGITALIDAD Y VENTAS","Chats",IF(OR(D2107="GERENCIA INBOUND LÍNEAS SERVICIO Y VENTA",D2107="GERENCIA INBOUND LINEAS ESPECIALIZADAS"),"Llamadas","Otro")))</f>
        <v/>
      </c>
      <c r="I2107" s="23" t="str">
        <f aca="false">IF(A2107="","",IF(C2107="No encontrado","No","Sí"))</f>
        <v/>
      </c>
      <c r="J2107" s="23" t="str">
        <f aca="false">IF(A2107="","",IF(F2107="Inactivo","No","Sí"))</f>
        <v/>
      </c>
      <c r="K2107" s="23" t="str">
        <f aca="false">IF(A2107="","",IF(AND(I2107="Sí",J2107="Sí"),"Sí","No"))</f>
        <v/>
      </c>
    </row>
    <row r="2108" customFormat="false" ht="15" hidden="false" customHeight="false" outlineLevel="0" collapsed="false">
      <c r="A2108" s="22"/>
      <c r="B2108" s="22"/>
      <c r="C2108" s="26" t="str">
        <f aca="false">IF(A2108="","",IFERROR(buscarx(A2108&amp;B2108,DATA!$E$3:$E$10000&amp;DATA!$B$3:$B$10000,DATA!$M$3:$M$10000),"No encontrado"))</f>
        <v/>
      </c>
      <c r="D2108" s="27" t="str">
        <f aca="false">IF(A2108="","",IFERROR(buscarx(A2108&amp;B2108,DATA!$E$3:$E$10000&amp;DATA!$B$3:$B$10000,DATA!$W$3:$W$10000),"No encontrado"))</f>
        <v/>
      </c>
      <c r="E2108" s="22"/>
      <c r="F2108" s="26" t="str">
        <f aca="false">IF(A2108="","",IFERROR(buscarx(A2108&amp;E2108,DATA!$E$3:$E$10000&amp;DATA!$B$3:$B$10000,DATA!$M$3:$M$10000),"Inactivo"))</f>
        <v/>
      </c>
      <c r="G2108" s="28" t="str">
        <f aca="false">IF(A2108="","",IF(AND(C2108&lt;&gt;"No encontrado",F2108&lt;&gt;"Inactivo"),C2108&amp;" → "&amp;F2108,"Sin transición"))</f>
        <v/>
      </c>
      <c r="H2108" s="26" t="str">
        <f aca="false">IF(A2108="","",IF(D2108="GCIA LINEA SERVICIO DIGITALIDAD Y VENTAS","Chats",IF(OR(D2108="GERENCIA INBOUND LÍNEAS SERVICIO Y VENTA",D2108="GERENCIA INBOUND LINEAS ESPECIALIZADAS"),"Llamadas","Otro")))</f>
        <v/>
      </c>
      <c r="I2108" s="26" t="str">
        <f aca="false">IF(A2108="","",IF(C2108="No encontrado","No","Sí"))</f>
        <v/>
      </c>
      <c r="J2108" s="26" t="str">
        <f aca="false">IF(A2108="","",IF(F2108="Inactivo","No","Sí"))</f>
        <v/>
      </c>
      <c r="K2108" s="26" t="str">
        <f aca="false">IF(A2108="","",IF(AND(I2108="Sí",J2108="Sí"),"Sí","No"))</f>
        <v/>
      </c>
    </row>
    <row r="2109" customFormat="false" ht="15" hidden="false" customHeight="false" outlineLevel="0" collapsed="false">
      <c r="A2109" s="22"/>
      <c r="B2109" s="22"/>
      <c r="C2109" s="23" t="str">
        <f aca="false">IF(A2109="","",IFERROR(buscarx(A2109&amp;B2109,DATA!$E$3:$E$10000&amp;DATA!$B$3:$B$10000,DATA!$M$3:$M$10000),"No encontrado"))</f>
        <v/>
      </c>
      <c r="D2109" s="24" t="str">
        <f aca="false">IF(A2109="","",IFERROR(buscarx(A2109&amp;B2109,DATA!$E$3:$E$10000&amp;DATA!$B$3:$B$10000,DATA!$W$3:$W$10000),"No encontrado"))</f>
        <v/>
      </c>
      <c r="E2109" s="22"/>
      <c r="F2109" s="23" t="str">
        <f aca="false">IF(A2109="","",IFERROR(buscarx(A2109&amp;E2109,DATA!$E$3:$E$10000&amp;DATA!$B$3:$B$10000,DATA!$M$3:$M$10000),"Inactivo"))</f>
        <v/>
      </c>
      <c r="G2109" s="25" t="str">
        <f aca="false">IF(A2109="","",IF(AND(C2109&lt;&gt;"No encontrado",F2109&lt;&gt;"Inactivo"),C2109&amp;" → "&amp;F2109,"Sin transición"))</f>
        <v/>
      </c>
      <c r="H2109" s="23" t="str">
        <f aca="false">IF(A2109="","",IF(D2109="GCIA LINEA SERVICIO DIGITALIDAD Y VENTAS","Chats",IF(OR(D2109="GERENCIA INBOUND LÍNEAS SERVICIO Y VENTA",D2109="GERENCIA INBOUND LINEAS ESPECIALIZADAS"),"Llamadas","Otro")))</f>
        <v/>
      </c>
      <c r="I2109" s="23" t="str">
        <f aca="false">IF(A2109="","",IF(C2109="No encontrado","No","Sí"))</f>
        <v/>
      </c>
      <c r="J2109" s="23" t="str">
        <f aca="false">IF(A2109="","",IF(F2109="Inactivo","No","Sí"))</f>
        <v/>
      </c>
      <c r="K2109" s="23" t="str">
        <f aca="false">IF(A2109="","",IF(AND(I2109="Sí",J2109="Sí"),"Sí","No"))</f>
        <v/>
      </c>
    </row>
    <row r="2110" customFormat="false" ht="15" hidden="false" customHeight="false" outlineLevel="0" collapsed="false">
      <c r="A2110" s="22"/>
      <c r="B2110" s="22"/>
      <c r="C2110" s="26" t="str">
        <f aca="false">IF(A2110="","",IFERROR(buscarx(A2110&amp;B2110,DATA!$E$3:$E$10000&amp;DATA!$B$3:$B$10000,DATA!$M$3:$M$10000),"No encontrado"))</f>
        <v/>
      </c>
      <c r="D2110" s="27" t="str">
        <f aca="false">IF(A2110="","",IFERROR(buscarx(A2110&amp;B2110,DATA!$E$3:$E$10000&amp;DATA!$B$3:$B$10000,DATA!$W$3:$W$10000),"No encontrado"))</f>
        <v/>
      </c>
      <c r="E2110" s="22"/>
      <c r="F2110" s="26" t="str">
        <f aca="false">IF(A2110="","",IFERROR(buscarx(A2110&amp;E2110,DATA!$E$3:$E$10000&amp;DATA!$B$3:$B$10000,DATA!$M$3:$M$10000),"Inactivo"))</f>
        <v/>
      </c>
      <c r="G2110" s="28" t="str">
        <f aca="false">IF(A2110="","",IF(AND(C2110&lt;&gt;"No encontrado",F2110&lt;&gt;"Inactivo"),C2110&amp;" → "&amp;F2110,"Sin transición"))</f>
        <v/>
      </c>
      <c r="H2110" s="26" t="str">
        <f aca="false">IF(A2110="","",IF(D2110="GCIA LINEA SERVICIO DIGITALIDAD Y VENTAS","Chats",IF(OR(D2110="GERENCIA INBOUND LÍNEAS SERVICIO Y VENTA",D2110="GERENCIA INBOUND LINEAS ESPECIALIZADAS"),"Llamadas","Otro")))</f>
        <v/>
      </c>
      <c r="I2110" s="26" t="str">
        <f aca="false">IF(A2110="","",IF(C2110="No encontrado","No","Sí"))</f>
        <v/>
      </c>
      <c r="J2110" s="26" t="str">
        <f aca="false">IF(A2110="","",IF(F2110="Inactivo","No","Sí"))</f>
        <v/>
      </c>
      <c r="K2110" s="26" t="str">
        <f aca="false">IF(A2110="","",IF(AND(I2110="Sí",J2110="Sí"),"Sí","No"))</f>
        <v/>
      </c>
    </row>
    <row r="2111" customFormat="false" ht="15" hidden="false" customHeight="false" outlineLevel="0" collapsed="false">
      <c r="A2111" s="22"/>
      <c r="B2111" s="22"/>
      <c r="C2111" s="23" t="str">
        <f aca="false">IF(A2111="","",IFERROR(buscarx(A2111&amp;B2111,DATA!$E$3:$E$10000&amp;DATA!$B$3:$B$10000,DATA!$M$3:$M$10000),"No encontrado"))</f>
        <v/>
      </c>
      <c r="D2111" s="24" t="str">
        <f aca="false">IF(A2111="","",IFERROR(buscarx(A2111&amp;B2111,DATA!$E$3:$E$10000&amp;DATA!$B$3:$B$10000,DATA!$W$3:$W$10000),"No encontrado"))</f>
        <v/>
      </c>
      <c r="E2111" s="22"/>
      <c r="F2111" s="23" t="str">
        <f aca="false">IF(A2111="","",IFERROR(buscarx(A2111&amp;E2111,DATA!$E$3:$E$10000&amp;DATA!$B$3:$B$10000,DATA!$M$3:$M$10000),"Inactivo"))</f>
        <v/>
      </c>
      <c r="G2111" s="25" t="str">
        <f aca="false">IF(A2111="","",IF(AND(C2111&lt;&gt;"No encontrado",F2111&lt;&gt;"Inactivo"),C2111&amp;" → "&amp;F2111,"Sin transición"))</f>
        <v/>
      </c>
      <c r="H2111" s="23" t="str">
        <f aca="false">IF(A2111="","",IF(D2111="GCIA LINEA SERVICIO DIGITALIDAD Y VENTAS","Chats",IF(OR(D2111="GERENCIA INBOUND LÍNEAS SERVICIO Y VENTA",D2111="GERENCIA INBOUND LINEAS ESPECIALIZADAS"),"Llamadas","Otro")))</f>
        <v/>
      </c>
      <c r="I2111" s="23" t="str">
        <f aca="false">IF(A2111="","",IF(C2111="No encontrado","No","Sí"))</f>
        <v/>
      </c>
      <c r="J2111" s="23" t="str">
        <f aca="false">IF(A2111="","",IF(F2111="Inactivo","No","Sí"))</f>
        <v/>
      </c>
      <c r="K2111" s="23" t="str">
        <f aca="false">IF(A2111="","",IF(AND(I2111="Sí",J2111="Sí"),"Sí","No"))</f>
        <v/>
      </c>
    </row>
    <row r="2112" customFormat="false" ht="15" hidden="false" customHeight="false" outlineLevel="0" collapsed="false">
      <c r="A2112" s="22"/>
      <c r="B2112" s="22"/>
      <c r="C2112" s="26" t="str">
        <f aca="false">IF(A2112="","",IFERROR(buscarx(A2112&amp;B2112,DATA!$E$3:$E$10000&amp;DATA!$B$3:$B$10000,DATA!$M$3:$M$10000),"No encontrado"))</f>
        <v/>
      </c>
      <c r="D2112" s="27" t="str">
        <f aca="false">IF(A2112="","",IFERROR(buscarx(A2112&amp;B2112,DATA!$E$3:$E$10000&amp;DATA!$B$3:$B$10000,DATA!$W$3:$W$10000),"No encontrado"))</f>
        <v/>
      </c>
      <c r="E2112" s="22"/>
      <c r="F2112" s="26" t="str">
        <f aca="false">IF(A2112="","",IFERROR(buscarx(A2112&amp;E2112,DATA!$E$3:$E$10000&amp;DATA!$B$3:$B$10000,DATA!$M$3:$M$10000),"Inactivo"))</f>
        <v/>
      </c>
      <c r="G2112" s="28" t="str">
        <f aca="false">IF(A2112="","",IF(AND(C2112&lt;&gt;"No encontrado",F2112&lt;&gt;"Inactivo"),C2112&amp;" → "&amp;F2112,"Sin transición"))</f>
        <v/>
      </c>
      <c r="H2112" s="26" t="str">
        <f aca="false">IF(A2112="","",IF(D2112="GCIA LINEA SERVICIO DIGITALIDAD Y VENTAS","Chats",IF(OR(D2112="GERENCIA INBOUND LÍNEAS SERVICIO Y VENTA",D2112="GERENCIA INBOUND LINEAS ESPECIALIZADAS"),"Llamadas","Otro")))</f>
        <v/>
      </c>
      <c r="I2112" s="26" t="str">
        <f aca="false">IF(A2112="","",IF(C2112="No encontrado","No","Sí"))</f>
        <v/>
      </c>
      <c r="J2112" s="26" t="str">
        <f aca="false">IF(A2112="","",IF(F2112="Inactivo","No","Sí"))</f>
        <v/>
      </c>
      <c r="K2112" s="26" t="str">
        <f aca="false">IF(A2112="","",IF(AND(I2112="Sí",J2112="Sí"),"Sí","No"))</f>
        <v/>
      </c>
    </row>
    <row r="2113" customFormat="false" ht="15" hidden="false" customHeight="false" outlineLevel="0" collapsed="false">
      <c r="A2113" s="22"/>
      <c r="B2113" s="22"/>
      <c r="C2113" s="23" t="str">
        <f aca="false">IF(A2113="","",IFERROR(buscarx(A2113&amp;B2113,DATA!$E$3:$E$10000&amp;DATA!$B$3:$B$10000,DATA!$M$3:$M$10000),"No encontrado"))</f>
        <v/>
      </c>
      <c r="D2113" s="24" t="str">
        <f aca="false">IF(A2113="","",IFERROR(buscarx(A2113&amp;B2113,DATA!$E$3:$E$10000&amp;DATA!$B$3:$B$10000,DATA!$W$3:$W$10000),"No encontrado"))</f>
        <v/>
      </c>
      <c r="E2113" s="22"/>
      <c r="F2113" s="23" t="str">
        <f aca="false">IF(A2113="","",IFERROR(buscarx(A2113&amp;E2113,DATA!$E$3:$E$10000&amp;DATA!$B$3:$B$10000,DATA!$M$3:$M$10000),"Inactivo"))</f>
        <v/>
      </c>
      <c r="G2113" s="25" t="str">
        <f aca="false">IF(A2113="","",IF(AND(C2113&lt;&gt;"No encontrado",F2113&lt;&gt;"Inactivo"),C2113&amp;" → "&amp;F2113,"Sin transición"))</f>
        <v/>
      </c>
      <c r="H2113" s="23" t="str">
        <f aca="false">IF(A2113="","",IF(D2113="GCIA LINEA SERVICIO DIGITALIDAD Y VENTAS","Chats",IF(OR(D2113="GERENCIA INBOUND LÍNEAS SERVICIO Y VENTA",D2113="GERENCIA INBOUND LINEAS ESPECIALIZADAS"),"Llamadas","Otro")))</f>
        <v/>
      </c>
      <c r="I2113" s="23" t="str">
        <f aca="false">IF(A2113="","",IF(C2113="No encontrado","No","Sí"))</f>
        <v/>
      </c>
      <c r="J2113" s="23" t="str">
        <f aca="false">IF(A2113="","",IF(F2113="Inactivo","No","Sí"))</f>
        <v/>
      </c>
      <c r="K2113" s="23" t="str">
        <f aca="false">IF(A2113="","",IF(AND(I2113="Sí",J2113="Sí"),"Sí","No"))</f>
        <v/>
      </c>
    </row>
    <row r="2114" customFormat="false" ht="15" hidden="false" customHeight="false" outlineLevel="0" collapsed="false">
      <c r="A2114" s="22"/>
      <c r="B2114" s="22"/>
      <c r="C2114" s="26" t="str">
        <f aca="false">IF(A2114="","",IFERROR(buscarx(A2114&amp;B2114,DATA!$E$3:$E$10000&amp;DATA!$B$3:$B$10000,DATA!$M$3:$M$10000),"No encontrado"))</f>
        <v/>
      </c>
      <c r="D2114" s="27" t="str">
        <f aca="false">IF(A2114="","",IFERROR(buscarx(A2114&amp;B2114,DATA!$E$3:$E$10000&amp;DATA!$B$3:$B$10000,DATA!$W$3:$W$10000),"No encontrado"))</f>
        <v/>
      </c>
      <c r="E2114" s="22"/>
      <c r="F2114" s="26" t="str">
        <f aca="false">IF(A2114="","",IFERROR(buscarx(A2114&amp;E2114,DATA!$E$3:$E$10000&amp;DATA!$B$3:$B$10000,DATA!$M$3:$M$10000),"Inactivo"))</f>
        <v/>
      </c>
      <c r="G2114" s="28" t="str">
        <f aca="false">IF(A2114="","",IF(AND(C2114&lt;&gt;"No encontrado",F2114&lt;&gt;"Inactivo"),C2114&amp;" → "&amp;F2114,"Sin transición"))</f>
        <v/>
      </c>
      <c r="H2114" s="26" t="str">
        <f aca="false">IF(A2114="","",IF(D2114="GCIA LINEA SERVICIO DIGITALIDAD Y VENTAS","Chats",IF(OR(D2114="GERENCIA INBOUND LÍNEAS SERVICIO Y VENTA",D2114="GERENCIA INBOUND LINEAS ESPECIALIZADAS"),"Llamadas","Otro")))</f>
        <v/>
      </c>
      <c r="I2114" s="26" t="str">
        <f aca="false">IF(A2114="","",IF(C2114="No encontrado","No","Sí"))</f>
        <v/>
      </c>
      <c r="J2114" s="26" t="str">
        <f aca="false">IF(A2114="","",IF(F2114="Inactivo","No","Sí"))</f>
        <v/>
      </c>
      <c r="K2114" s="26" t="str">
        <f aca="false">IF(A2114="","",IF(AND(I2114="Sí",J2114="Sí"),"Sí","No"))</f>
        <v/>
      </c>
    </row>
    <row r="2115" customFormat="false" ht="15" hidden="false" customHeight="false" outlineLevel="0" collapsed="false">
      <c r="A2115" s="22"/>
      <c r="B2115" s="22"/>
      <c r="C2115" s="23" t="str">
        <f aca="false">IF(A2115="","",IFERROR(buscarx(A2115&amp;B2115,DATA!$E$3:$E$10000&amp;DATA!$B$3:$B$10000,DATA!$M$3:$M$10000),"No encontrado"))</f>
        <v/>
      </c>
      <c r="D2115" s="24" t="str">
        <f aca="false">IF(A2115="","",IFERROR(buscarx(A2115&amp;B2115,DATA!$E$3:$E$10000&amp;DATA!$B$3:$B$10000,DATA!$W$3:$W$10000),"No encontrado"))</f>
        <v/>
      </c>
      <c r="E2115" s="22"/>
      <c r="F2115" s="23" t="str">
        <f aca="false">IF(A2115="","",IFERROR(buscarx(A2115&amp;E2115,DATA!$E$3:$E$10000&amp;DATA!$B$3:$B$10000,DATA!$M$3:$M$10000),"Inactivo"))</f>
        <v/>
      </c>
      <c r="G2115" s="25" t="str">
        <f aca="false">IF(A2115="","",IF(AND(C2115&lt;&gt;"No encontrado",F2115&lt;&gt;"Inactivo"),C2115&amp;" → "&amp;F2115,"Sin transición"))</f>
        <v/>
      </c>
      <c r="H2115" s="23" t="str">
        <f aca="false">IF(A2115="","",IF(D2115="GCIA LINEA SERVICIO DIGITALIDAD Y VENTAS","Chats",IF(OR(D2115="GERENCIA INBOUND LÍNEAS SERVICIO Y VENTA",D2115="GERENCIA INBOUND LINEAS ESPECIALIZADAS"),"Llamadas","Otro")))</f>
        <v/>
      </c>
      <c r="I2115" s="23" t="str">
        <f aca="false">IF(A2115="","",IF(C2115="No encontrado","No","Sí"))</f>
        <v/>
      </c>
      <c r="J2115" s="23" t="str">
        <f aca="false">IF(A2115="","",IF(F2115="Inactivo","No","Sí"))</f>
        <v/>
      </c>
      <c r="K2115" s="23" t="str">
        <f aca="false">IF(A2115="","",IF(AND(I2115="Sí",J2115="Sí"),"Sí","No"))</f>
        <v/>
      </c>
    </row>
    <row r="2116" customFormat="false" ht="15" hidden="false" customHeight="false" outlineLevel="0" collapsed="false">
      <c r="A2116" s="22"/>
      <c r="B2116" s="22"/>
      <c r="C2116" s="26" t="str">
        <f aca="false">IF(A2116="","",IFERROR(buscarx(A2116&amp;B2116,DATA!$E$3:$E$10000&amp;DATA!$B$3:$B$10000,DATA!$M$3:$M$10000),"No encontrado"))</f>
        <v/>
      </c>
      <c r="D2116" s="27" t="str">
        <f aca="false">IF(A2116="","",IFERROR(buscarx(A2116&amp;B2116,DATA!$E$3:$E$10000&amp;DATA!$B$3:$B$10000,DATA!$W$3:$W$10000),"No encontrado"))</f>
        <v/>
      </c>
      <c r="E2116" s="22"/>
      <c r="F2116" s="26" t="str">
        <f aca="false">IF(A2116="","",IFERROR(buscarx(A2116&amp;E2116,DATA!$E$3:$E$10000&amp;DATA!$B$3:$B$10000,DATA!$M$3:$M$10000),"Inactivo"))</f>
        <v/>
      </c>
      <c r="G2116" s="28" t="str">
        <f aca="false">IF(A2116="","",IF(AND(C2116&lt;&gt;"No encontrado",F2116&lt;&gt;"Inactivo"),C2116&amp;" → "&amp;F2116,"Sin transición"))</f>
        <v/>
      </c>
      <c r="H2116" s="26" t="str">
        <f aca="false">IF(A2116="","",IF(D2116="GCIA LINEA SERVICIO DIGITALIDAD Y VENTAS","Chats",IF(OR(D2116="GERENCIA INBOUND LÍNEAS SERVICIO Y VENTA",D2116="GERENCIA INBOUND LINEAS ESPECIALIZADAS"),"Llamadas","Otro")))</f>
        <v/>
      </c>
      <c r="I2116" s="26" t="str">
        <f aca="false">IF(A2116="","",IF(C2116="No encontrado","No","Sí"))</f>
        <v/>
      </c>
      <c r="J2116" s="26" t="str">
        <f aca="false">IF(A2116="","",IF(F2116="Inactivo","No","Sí"))</f>
        <v/>
      </c>
      <c r="K2116" s="26" t="str">
        <f aca="false">IF(A2116="","",IF(AND(I2116="Sí",J2116="Sí"),"Sí","No"))</f>
        <v/>
      </c>
    </row>
    <row r="2117" customFormat="false" ht="15" hidden="false" customHeight="false" outlineLevel="0" collapsed="false">
      <c r="A2117" s="22"/>
      <c r="B2117" s="22"/>
      <c r="C2117" s="23" t="str">
        <f aca="false">IF(A2117="","",IFERROR(buscarx(A2117&amp;B2117,DATA!$E$3:$E$10000&amp;DATA!$B$3:$B$10000,DATA!$M$3:$M$10000),"No encontrado"))</f>
        <v/>
      </c>
      <c r="D2117" s="24" t="str">
        <f aca="false">IF(A2117="","",IFERROR(buscarx(A2117&amp;B2117,DATA!$E$3:$E$10000&amp;DATA!$B$3:$B$10000,DATA!$W$3:$W$10000),"No encontrado"))</f>
        <v/>
      </c>
      <c r="E2117" s="22"/>
      <c r="F2117" s="23" t="str">
        <f aca="false">IF(A2117="","",IFERROR(buscarx(A2117&amp;E2117,DATA!$E$3:$E$10000&amp;DATA!$B$3:$B$10000,DATA!$M$3:$M$10000),"Inactivo"))</f>
        <v/>
      </c>
      <c r="G2117" s="25" t="str">
        <f aca="false">IF(A2117="","",IF(AND(C2117&lt;&gt;"No encontrado",F2117&lt;&gt;"Inactivo"),C2117&amp;" → "&amp;F2117,"Sin transición"))</f>
        <v/>
      </c>
      <c r="H2117" s="23" t="str">
        <f aca="false">IF(A2117="","",IF(D2117="GCIA LINEA SERVICIO DIGITALIDAD Y VENTAS","Chats",IF(OR(D2117="GERENCIA INBOUND LÍNEAS SERVICIO Y VENTA",D2117="GERENCIA INBOUND LINEAS ESPECIALIZADAS"),"Llamadas","Otro")))</f>
        <v/>
      </c>
      <c r="I2117" s="23" t="str">
        <f aca="false">IF(A2117="","",IF(C2117="No encontrado","No","Sí"))</f>
        <v/>
      </c>
      <c r="J2117" s="23" t="str">
        <f aca="false">IF(A2117="","",IF(F2117="Inactivo","No","Sí"))</f>
        <v/>
      </c>
      <c r="K2117" s="23" t="str">
        <f aca="false">IF(A2117="","",IF(AND(I2117="Sí",J2117="Sí"),"Sí","No"))</f>
        <v/>
      </c>
    </row>
    <row r="2118" customFormat="false" ht="15" hidden="false" customHeight="false" outlineLevel="0" collapsed="false">
      <c r="A2118" s="22"/>
      <c r="B2118" s="22"/>
      <c r="C2118" s="26" t="str">
        <f aca="false">IF(A2118="","",IFERROR(buscarx(A2118&amp;B2118,DATA!$E$3:$E$10000&amp;DATA!$B$3:$B$10000,DATA!$M$3:$M$10000),"No encontrado"))</f>
        <v/>
      </c>
      <c r="D2118" s="27" t="str">
        <f aca="false">IF(A2118="","",IFERROR(buscarx(A2118&amp;B2118,DATA!$E$3:$E$10000&amp;DATA!$B$3:$B$10000,DATA!$W$3:$W$10000),"No encontrado"))</f>
        <v/>
      </c>
      <c r="E2118" s="22"/>
      <c r="F2118" s="26" t="str">
        <f aca="false">IF(A2118="","",IFERROR(buscarx(A2118&amp;E2118,DATA!$E$3:$E$10000&amp;DATA!$B$3:$B$10000,DATA!$M$3:$M$10000),"Inactivo"))</f>
        <v/>
      </c>
      <c r="G2118" s="28" t="str">
        <f aca="false">IF(A2118="","",IF(AND(C2118&lt;&gt;"No encontrado",F2118&lt;&gt;"Inactivo"),C2118&amp;" → "&amp;F2118,"Sin transición"))</f>
        <v/>
      </c>
      <c r="H2118" s="26" t="str">
        <f aca="false">IF(A2118="","",IF(D2118="GCIA LINEA SERVICIO DIGITALIDAD Y VENTAS","Chats",IF(OR(D2118="GERENCIA INBOUND LÍNEAS SERVICIO Y VENTA",D2118="GERENCIA INBOUND LINEAS ESPECIALIZADAS"),"Llamadas","Otro")))</f>
        <v/>
      </c>
      <c r="I2118" s="26" t="str">
        <f aca="false">IF(A2118="","",IF(C2118="No encontrado","No","Sí"))</f>
        <v/>
      </c>
      <c r="J2118" s="26" t="str">
        <f aca="false">IF(A2118="","",IF(F2118="Inactivo","No","Sí"))</f>
        <v/>
      </c>
      <c r="K2118" s="26" t="str">
        <f aca="false">IF(A2118="","",IF(AND(I2118="Sí",J2118="Sí"),"Sí","No"))</f>
        <v/>
      </c>
    </row>
    <row r="2119" customFormat="false" ht="15" hidden="false" customHeight="false" outlineLevel="0" collapsed="false">
      <c r="A2119" s="22"/>
      <c r="B2119" s="22"/>
      <c r="C2119" s="23" t="str">
        <f aca="false">IF(A2119="","",IFERROR(buscarx(A2119&amp;B2119,DATA!$E$3:$E$10000&amp;DATA!$B$3:$B$10000,DATA!$M$3:$M$10000),"No encontrado"))</f>
        <v/>
      </c>
      <c r="D2119" s="24" t="str">
        <f aca="false">IF(A2119="","",IFERROR(buscarx(A2119&amp;B2119,DATA!$E$3:$E$10000&amp;DATA!$B$3:$B$10000,DATA!$W$3:$W$10000),"No encontrado"))</f>
        <v/>
      </c>
      <c r="E2119" s="22"/>
      <c r="F2119" s="23" t="str">
        <f aca="false">IF(A2119="","",IFERROR(buscarx(A2119&amp;E2119,DATA!$E$3:$E$10000&amp;DATA!$B$3:$B$10000,DATA!$M$3:$M$10000),"Inactivo"))</f>
        <v/>
      </c>
      <c r="G2119" s="25" t="str">
        <f aca="false">IF(A2119="","",IF(AND(C2119&lt;&gt;"No encontrado",F2119&lt;&gt;"Inactivo"),C2119&amp;" → "&amp;F2119,"Sin transición"))</f>
        <v/>
      </c>
      <c r="H2119" s="23" t="str">
        <f aca="false">IF(A2119="","",IF(D2119="GCIA LINEA SERVICIO DIGITALIDAD Y VENTAS","Chats",IF(OR(D2119="GERENCIA INBOUND LÍNEAS SERVICIO Y VENTA",D2119="GERENCIA INBOUND LINEAS ESPECIALIZADAS"),"Llamadas","Otro")))</f>
        <v/>
      </c>
      <c r="I2119" s="23" t="str">
        <f aca="false">IF(A2119="","",IF(C2119="No encontrado","No","Sí"))</f>
        <v/>
      </c>
      <c r="J2119" s="23" t="str">
        <f aca="false">IF(A2119="","",IF(F2119="Inactivo","No","Sí"))</f>
        <v/>
      </c>
      <c r="K2119" s="23" t="str">
        <f aca="false">IF(A2119="","",IF(AND(I2119="Sí",J2119="Sí"),"Sí","No"))</f>
        <v/>
      </c>
    </row>
    <row r="2120" customFormat="false" ht="15" hidden="false" customHeight="false" outlineLevel="0" collapsed="false">
      <c r="A2120" s="22"/>
      <c r="B2120" s="22"/>
      <c r="C2120" s="26" t="str">
        <f aca="false">IF(A2120="","",IFERROR(buscarx(A2120&amp;B2120,DATA!$E$3:$E$10000&amp;DATA!$B$3:$B$10000,DATA!$M$3:$M$10000),"No encontrado"))</f>
        <v/>
      </c>
      <c r="D2120" s="27" t="str">
        <f aca="false">IF(A2120="","",IFERROR(buscarx(A2120&amp;B2120,DATA!$E$3:$E$10000&amp;DATA!$B$3:$B$10000,DATA!$W$3:$W$10000),"No encontrado"))</f>
        <v/>
      </c>
      <c r="E2120" s="22"/>
      <c r="F2120" s="26" t="str">
        <f aca="false">IF(A2120="","",IFERROR(buscarx(A2120&amp;E2120,DATA!$E$3:$E$10000&amp;DATA!$B$3:$B$10000,DATA!$M$3:$M$10000),"Inactivo"))</f>
        <v/>
      </c>
      <c r="G2120" s="28" t="str">
        <f aca="false">IF(A2120="","",IF(AND(C2120&lt;&gt;"No encontrado",F2120&lt;&gt;"Inactivo"),C2120&amp;" → "&amp;F2120,"Sin transición"))</f>
        <v/>
      </c>
      <c r="H2120" s="26" t="str">
        <f aca="false">IF(A2120="","",IF(D2120="GCIA LINEA SERVICIO DIGITALIDAD Y VENTAS","Chats",IF(OR(D2120="GERENCIA INBOUND LÍNEAS SERVICIO Y VENTA",D2120="GERENCIA INBOUND LINEAS ESPECIALIZADAS"),"Llamadas","Otro")))</f>
        <v/>
      </c>
      <c r="I2120" s="26" t="str">
        <f aca="false">IF(A2120="","",IF(C2120="No encontrado","No","Sí"))</f>
        <v/>
      </c>
      <c r="J2120" s="26" t="str">
        <f aca="false">IF(A2120="","",IF(F2120="Inactivo","No","Sí"))</f>
        <v/>
      </c>
      <c r="K2120" s="26" t="str">
        <f aca="false">IF(A2120="","",IF(AND(I2120="Sí",J2120="Sí"),"Sí","No"))</f>
        <v/>
      </c>
    </row>
    <row r="2121" customFormat="false" ht="15" hidden="false" customHeight="false" outlineLevel="0" collapsed="false">
      <c r="A2121" s="22"/>
      <c r="B2121" s="22"/>
      <c r="C2121" s="23" t="str">
        <f aca="false">IF(A2121="","",IFERROR(buscarx(A2121&amp;B2121,DATA!$E$3:$E$10000&amp;DATA!$B$3:$B$10000,DATA!$M$3:$M$10000),"No encontrado"))</f>
        <v/>
      </c>
      <c r="D2121" s="24" t="str">
        <f aca="false">IF(A2121="","",IFERROR(buscarx(A2121&amp;B2121,DATA!$E$3:$E$10000&amp;DATA!$B$3:$B$10000,DATA!$W$3:$W$10000),"No encontrado"))</f>
        <v/>
      </c>
      <c r="E2121" s="22"/>
      <c r="F2121" s="23" t="str">
        <f aca="false">IF(A2121="","",IFERROR(buscarx(A2121&amp;E2121,DATA!$E$3:$E$10000&amp;DATA!$B$3:$B$10000,DATA!$M$3:$M$10000),"Inactivo"))</f>
        <v/>
      </c>
      <c r="G2121" s="25" t="str">
        <f aca="false">IF(A2121="","",IF(AND(C2121&lt;&gt;"No encontrado",F2121&lt;&gt;"Inactivo"),C2121&amp;" → "&amp;F2121,"Sin transición"))</f>
        <v/>
      </c>
      <c r="H2121" s="23" t="str">
        <f aca="false">IF(A2121="","",IF(D2121="GCIA LINEA SERVICIO DIGITALIDAD Y VENTAS","Chats",IF(OR(D2121="GERENCIA INBOUND LÍNEAS SERVICIO Y VENTA",D2121="GERENCIA INBOUND LINEAS ESPECIALIZADAS"),"Llamadas","Otro")))</f>
        <v/>
      </c>
      <c r="I2121" s="23" t="str">
        <f aca="false">IF(A2121="","",IF(C2121="No encontrado","No","Sí"))</f>
        <v/>
      </c>
      <c r="J2121" s="23" t="str">
        <f aca="false">IF(A2121="","",IF(F2121="Inactivo","No","Sí"))</f>
        <v/>
      </c>
      <c r="K2121" s="23" t="str">
        <f aca="false">IF(A2121="","",IF(AND(I2121="Sí",J2121="Sí"),"Sí","No"))</f>
        <v/>
      </c>
    </row>
    <row r="2122" customFormat="false" ht="15" hidden="false" customHeight="false" outlineLevel="0" collapsed="false">
      <c r="A2122" s="22"/>
      <c r="B2122" s="22"/>
      <c r="C2122" s="26" t="str">
        <f aca="false">IF(A2122="","",IFERROR(buscarx(A2122&amp;B2122,DATA!$E$3:$E$10000&amp;DATA!$B$3:$B$10000,DATA!$M$3:$M$10000),"No encontrado"))</f>
        <v/>
      </c>
      <c r="D2122" s="27" t="str">
        <f aca="false">IF(A2122="","",IFERROR(buscarx(A2122&amp;B2122,DATA!$E$3:$E$10000&amp;DATA!$B$3:$B$10000,DATA!$W$3:$W$10000),"No encontrado"))</f>
        <v/>
      </c>
      <c r="E2122" s="22"/>
      <c r="F2122" s="26" t="str">
        <f aca="false">IF(A2122="","",IFERROR(buscarx(A2122&amp;E2122,DATA!$E$3:$E$10000&amp;DATA!$B$3:$B$10000,DATA!$M$3:$M$10000),"Inactivo"))</f>
        <v/>
      </c>
      <c r="G2122" s="28" t="str">
        <f aca="false">IF(A2122="","",IF(AND(C2122&lt;&gt;"No encontrado",F2122&lt;&gt;"Inactivo"),C2122&amp;" → "&amp;F2122,"Sin transición"))</f>
        <v/>
      </c>
      <c r="H2122" s="26" t="str">
        <f aca="false">IF(A2122="","",IF(D2122="GCIA LINEA SERVICIO DIGITALIDAD Y VENTAS","Chats",IF(OR(D2122="GERENCIA INBOUND LÍNEAS SERVICIO Y VENTA",D2122="GERENCIA INBOUND LINEAS ESPECIALIZADAS"),"Llamadas","Otro")))</f>
        <v/>
      </c>
      <c r="I2122" s="26" t="str">
        <f aca="false">IF(A2122="","",IF(C2122="No encontrado","No","Sí"))</f>
        <v/>
      </c>
      <c r="J2122" s="26" t="str">
        <f aca="false">IF(A2122="","",IF(F2122="Inactivo","No","Sí"))</f>
        <v/>
      </c>
      <c r="K2122" s="26" t="str">
        <f aca="false">IF(A2122="","",IF(AND(I2122="Sí",J2122="Sí"),"Sí","No"))</f>
        <v/>
      </c>
    </row>
    <row r="2123" customFormat="false" ht="15" hidden="false" customHeight="false" outlineLevel="0" collapsed="false">
      <c r="A2123" s="22"/>
      <c r="B2123" s="22"/>
      <c r="C2123" s="23" t="str">
        <f aca="false">IF(A2123="","",IFERROR(buscarx(A2123&amp;B2123,DATA!$E$3:$E$10000&amp;DATA!$B$3:$B$10000,DATA!$M$3:$M$10000),"No encontrado"))</f>
        <v/>
      </c>
      <c r="D2123" s="24" t="str">
        <f aca="false">IF(A2123="","",IFERROR(buscarx(A2123&amp;B2123,DATA!$E$3:$E$10000&amp;DATA!$B$3:$B$10000,DATA!$W$3:$W$10000),"No encontrado"))</f>
        <v/>
      </c>
      <c r="E2123" s="22"/>
      <c r="F2123" s="23" t="str">
        <f aca="false">IF(A2123="","",IFERROR(buscarx(A2123&amp;E2123,DATA!$E$3:$E$10000&amp;DATA!$B$3:$B$10000,DATA!$M$3:$M$10000),"Inactivo"))</f>
        <v/>
      </c>
      <c r="G2123" s="25" t="str">
        <f aca="false">IF(A2123="","",IF(AND(C2123&lt;&gt;"No encontrado",F2123&lt;&gt;"Inactivo"),C2123&amp;" → "&amp;F2123,"Sin transición"))</f>
        <v/>
      </c>
      <c r="H2123" s="23" t="str">
        <f aca="false">IF(A2123="","",IF(D2123="GCIA LINEA SERVICIO DIGITALIDAD Y VENTAS","Chats",IF(OR(D2123="GERENCIA INBOUND LÍNEAS SERVICIO Y VENTA",D2123="GERENCIA INBOUND LINEAS ESPECIALIZADAS"),"Llamadas","Otro")))</f>
        <v/>
      </c>
      <c r="I2123" s="23" t="str">
        <f aca="false">IF(A2123="","",IF(C2123="No encontrado","No","Sí"))</f>
        <v/>
      </c>
      <c r="J2123" s="23" t="str">
        <f aca="false">IF(A2123="","",IF(F2123="Inactivo","No","Sí"))</f>
        <v/>
      </c>
      <c r="K2123" s="23" t="str">
        <f aca="false">IF(A2123="","",IF(AND(I2123="Sí",J2123="Sí"),"Sí","No"))</f>
        <v/>
      </c>
    </row>
    <row r="2124" customFormat="false" ht="15" hidden="false" customHeight="false" outlineLevel="0" collapsed="false">
      <c r="A2124" s="22"/>
      <c r="B2124" s="22"/>
      <c r="C2124" s="26" t="str">
        <f aca="false">IF(A2124="","",IFERROR(buscarx(A2124&amp;B2124,DATA!$E$3:$E$10000&amp;DATA!$B$3:$B$10000,DATA!$M$3:$M$10000),"No encontrado"))</f>
        <v/>
      </c>
      <c r="D2124" s="27" t="str">
        <f aca="false">IF(A2124="","",IFERROR(buscarx(A2124&amp;B2124,DATA!$E$3:$E$10000&amp;DATA!$B$3:$B$10000,DATA!$W$3:$W$10000),"No encontrado"))</f>
        <v/>
      </c>
      <c r="E2124" s="22"/>
      <c r="F2124" s="26" t="str">
        <f aca="false">IF(A2124="","",IFERROR(buscarx(A2124&amp;E2124,DATA!$E$3:$E$10000&amp;DATA!$B$3:$B$10000,DATA!$M$3:$M$10000),"Inactivo"))</f>
        <v/>
      </c>
      <c r="G2124" s="28" t="str">
        <f aca="false">IF(A2124="","",IF(AND(C2124&lt;&gt;"No encontrado",F2124&lt;&gt;"Inactivo"),C2124&amp;" → "&amp;F2124,"Sin transición"))</f>
        <v/>
      </c>
      <c r="H2124" s="26" t="str">
        <f aca="false">IF(A2124="","",IF(D2124="GCIA LINEA SERVICIO DIGITALIDAD Y VENTAS","Chats",IF(OR(D2124="GERENCIA INBOUND LÍNEAS SERVICIO Y VENTA",D2124="GERENCIA INBOUND LINEAS ESPECIALIZADAS"),"Llamadas","Otro")))</f>
        <v/>
      </c>
      <c r="I2124" s="26" t="str">
        <f aca="false">IF(A2124="","",IF(C2124="No encontrado","No","Sí"))</f>
        <v/>
      </c>
      <c r="J2124" s="26" t="str">
        <f aca="false">IF(A2124="","",IF(F2124="Inactivo","No","Sí"))</f>
        <v/>
      </c>
      <c r="K2124" s="26" t="str">
        <f aca="false">IF(A2124="","",IF(AND(I2124="Sí",J2124="Sí"),"Sí","No"))</f>
        <v/>
      </c>
    </row>
    <row r="2125" customFormat="false" ht="15" hidden="false" customHeight="false" outlineLevel="0" collapsed="false">
      <c r="A2125" s="22"/>
      <c r="B2125" s="22"/>
      <c r="C2125" s="23" t="str">
        <f aca="false">IF(A2125="","",IFERROR(buscarx(A2125&amp;B2125,DATA!$E$3:$E$10000&amp;DATA!$B$3:$B$10000,DATA!$M$3:$M$10000),"No encontrado"))</f>
        <v/>
      </c>
      <c r="D2125" s="24" t="str">
        <f aca="false">IF(A2125="","",IFERROR(buscarx(A2125&amp;B2125,DATA!$E$3:$E$10000&amp;DATA!$B$3:$B$10000,DATA!$W$3:$W$10000),"No encontrado"))</f>
        <v/>
      </c>
      <c r="E2125" s="22"/>
      <c r="F2125" s="23" t="str">
        <f aca="false">IF(A2125="","",IFERROR(buscarx(A2125&amp;E2125,DATA!$E$3:$E$10000&amp;DATA!$B$3:$B$10000,DATA!$M$3:$M$10000),"Inactivo"))</f>
        <v/>
      </c>
      <c r="G2125" s="25" t="str">
        <f aca="false">IF(A2125="","",IF(AND(C2125&lt;&gt;"No encontrado",F2125&lt;&gt;"Inactivo"),C2125&amp;" → "&amp;F2125,"Sin transición"))</f>
        <v/>
      </c>
      <c r="H2125" s="23" t="str">
        <f aca="false">IF(A2125="","",IF(D2125="GCIA LINEA SERVICIO DIGITALIDAD Y VENTAS","Chats",IF(OR(D2125="GERENCIA INBOUND LÍNEAS SERVICIO Y VENTA",D2125="GERENCIA INBOUND LINEAS ESPECIALIZADAS"),"Llamadas","Otro")))</f>
        <v/>
      </c>
      <c r="I2125" s="23" t="str">
        <f aca="false">IF(A2125="","",IF(C2125="No encontrado","No","Sí"))</f>
        <v/>
      </c>
      <c r="J2125" s="23" t="str">
        <f aca="false">IF(A2125="","",IF(F2125="Inactivo","No","Sí"))</f>
        <v/>
      </c>
      <c r="K2125" s="23" t="str">
        <f aca="false">IF(A2125="","",IF(AND(I2125="Sí",J2125="Sí"),"Sí","No"))</f>
        <v/>
      </c>
    </row>
    <row r="2126" customFormat="false" ht="15" hidden="false" customHeight="false" outlineLevel="0" collapsed="false">
      <c r="A2126" s="22"/>
      <c r="B2126" s="22"/>
      <c r="C2126" s="26" t="str">
        <f aca="false">IF(A2126="","",IFERROR(buscarx(A2126&amp;B2126,DATA!$E$3:$E$10000&amp;DATA!$B$3:$B$10000,DATA!$M$3:$M$10000),"No encontrado"))</f>
        <v/>
      </c>
      <c r="D2126" s="27" t="str">
        <f aca="false">IF(A2126="","",IFERROR(buscarx(A2126&amp;B2126,DATA!$E$3:$E$10000&amp;DATA!$B$3:$B$10000,DATA!$W$3:$W$10000),"No encontrado"))</f>
        <v/>
      </c>
      <c r="E2126" s="22"/>
      <c r="F2126" s="26" t="str">
        <f aca="false">IF(A2126="","",IFERROR(buscarx(A2126&amp;E2126,DATA!$E$3:$E$10000&amp;DATA!$B$3:$B$10000,DATA!$M$3:$M$10000),"Inactivo"))</f>
        <v/>
      </c>
      <c r="G2126" s="28" t="str">
        <f aca="false">IF(A2126="","",IF(AND(C2126&lt;&gt;"No encontrado",F2126&lt;&gt;"Inactivo"),C2126&amp;" → "&amp;F2126,"Sin transición"))</f>
        <v/>
      </c>
      <c r="H2126" s="26" t="str">
        <f aca="false">IF(A2126="","",IF(D2126="GCIA LINEA SERVICIO DIGITALIDAD Y VENTAS","Chats",IF(OR(D2126="GERENCIA INBOUND LÍNEAS SERVICIO Y VENTA",D2126="GERENCIA INBOUND LINEAS ESPECIALIZADAS"),"Llamadas","Otro")))</f>
        <v/>
      </c>
      <c r="I2126" s="26" t="str">
        <f aca="false">IF(A2126="","",IF(C2126="No encontrado","No","Sí"))</f>
        <v/>
      </c>
      <c r="J2126" s="26" t="str">
        <f aca="false">IF(A2126="","",IF(F2126="Inactivo","No","Sí"))</f>
        <v/>
      </c>
      <c r="K2126" s="26" t="str">
        <f aca="false">IF(A2126="","",IF(AND(I2126="Sí",J2126="Sí"),"Sí","No"))</f>
        <v/>
      </c>
    </row>
    <row r="2127" customFormat="false" ht="15" hidden="false" customHeight="false" outlineLevel="0" collapsed="false">
      <c r="A2127" s="22"/>
      <c r="B2127" s="22"/>
      <c r="C2127" s="23" t="str">
        <f aca="false">IF(A2127="","",IFERROR(buscarx(A2127&amp;B2127,DATA!$E$3:$E$10000&amp;DATA!$B$3:$B$10000,DATA!$M$3:$M$10000),"No encontrado"))</f>
        <v/>
      </c>
      <c r="D2127" s="24" t="str">
        <f aca="false">IF(A2127="","",IFERROR(buscarx(A2127&amp;B2127,DATA!$E$3:$E$10000&amp;DATA!$B$3:$B$10000,DATA!$W$3:$W$10000),"No encontrado"))</f>
        <v/>
      </c>
      <c r="E2127" s="22"/>
      <c r="F2127" s="23" t="str">
        <f aca="false">IF(A2127="","",IFERROR(buscarx(A2127&amp;E2127,DATA!$E$3:$E$10000&amp;DATA!$B$3:$B$10000,DATA!$M$3:$M$10000),"Inactivo"))</f>
        <v/>
      </c>
      <c r="G2127" s="25" t="str">
        <f aca="false">IF(A2127="","",IF(AND(C2127&lt;&gt;"No encontrado",F2127&lt;&gt;"Inactivo"),C2127&amp;" → "&amp;F2127,"Sin transición"))</f>
        <v/>
      </c>
      <c r="H2127" s="23" t="str">
        <f aca="false">IF(A2127="","",IF(D2127="GCIA LINEA SERVICIO DIGITALIDAD Y VENTAS","Chats",IF(OR(D2127="GERENCIA INBOUND LÍNEAS SERVICIO Y VENTA",D2127="GERENCIA INBOUND LINEAS ESPECIALIZADAS"),"Llamadas","Otro")))</f>
        <v/>
      </c>
      <c r="I2127" s="23" t="str">
        <f aca="false">IF(A2127="","",IF(C2127="No encontrado","No","Sí"))</f>
        <v/>
      </c>
      <c r="J2127" s="23" t="str">
        <f aca="false">IF(A2127="","",IF(F2127="Inactivo","No","Sí"))</f>
        <v/>
      </c>
      <c r="K2127" s="23" t="str">
        <f aca="false">IF(A2127="","",IF(AND(I2127="Sí",J2127="Sí"),"Sí","No"))</f>
        <v/>
      </c>
    </row>
    <row r="2128" customFormat="false" ht="15" hidden="false" customHeight="false" outlineLevel="0" collapsed="false">
      <c r="A2128" s="22"/>
      <c r="B2128" s="22"/>
      <c r="C2128" s="26" t="str">
        <f aca="false">IF(A2128="","",IFERROR(buscarx(A2128&amp;B2128,DATA!$E$3:$E$10000&amp;DATA!$B$3:$B$10000,DATA!$M$3:$M$10000),"No encontrado"))</f>
        <v/>
      </c>
      <c r="D2128" s="27" t="str">
        <f aca="false">IF(A2128="","",IFERROR(buscarx(A2128&amp;B2128,DATA!$E$3:$E$10000&amp;DATA!$B$3:$B$10000,DATA!$W$3:$W$10000),"No encontrado"))</f>
        <v/>
      </c>
      <c r="E2128" s="22"/>
      <c r="F2128" s="26" t="str">
        <f aca="false">IF(A2128="","",IFERROR(buscarx(A2128&amp;E2128,DATA!$E$3:$E$10000&amp;DATA!$B$3:$B$10000,DATA!$M$3:$M$10000),"Inactivo"))</f>
        <v/>
      </c>
      <c r="G2128" s="28" t="str">
        <f aca="false">IF(A2128="","",IF(AND(C2128&lt;&gt;"No encontrado",F2128&lt;&gt;"Inactivo"),C2128&amp;" → "&amp;F2128,"Sin transición"))</f>
        <v/>
      </c>
      <c r="H2128" s="26" t="str">
        <f aca="false">IF(A2128="","",IF(D2128="GCIA LINEA SERVICIO DIGITALIDAD Y VENTAS","Chats",IF(OR(D2128="GERENCIA INBOUND LÍNEAS SERVICIO Y VENTA",D2128="GERENCIA INBOUND LINEAS ESPECIALIZADAS"),"Llamadas","Otro")))</f>
        <v/>
      </c>
      <c r="I2128" s="26" t="str">
        <f aca="false">IF(A2128="","",IF(C2128="No encontrado","No","Sí"))</f>
        <v/>
      </c>
      <c r="J2128" s="26" t="str">
        <f aca="false">IF(A2128="","",IF(F2128="Inactivo","No","Sí"))</f>
        <v/>
      </c>
      <c r="K2128" s="26" t="str">
        <f aca="false">IF(A2128="","",IF(AND(I2128="Sí",J2128="Sí"),"Sí","No"))</f>
        <v/>
      </c>
    </row>
    <row r="2129" customFormat="false" ht="15" hidden="false" customHeight="false" outlineLevel="0" collapsed="false">
      <c r="A2129" s="22"/>
      <c r="B2129" s="22"/>
      <c r="C2129" s="23" t="str">
        <f aca="false">IF(A2129="","",IFERROR(buscarx(A2129&amp;B2129,DATA!$E$3:$E$10000&amp;DATA!$B$3:$B$10000,DATA!$M$3:$M$10000),"No encontrado"))</f>
        <v/>
      </c>
      <c r="D2129" s="24" t="str">
        <f aca="false">IF(A2129="","",IFERROR(buscarx(A2129&amp;B2129,DATA!$E$3:$E$10000&amp;DATA!$B$3:$B$10000,DATA!$W$3:$W$10000),"No encontrado"))</f>
        <v/>
      </c>
      <c r="E2129" s="22"/>
      <c r="F2129" s="23" t="str">
        <f aca="false">IF(A2129="","",IFERROR(buscarx(A2129&amp;E2129,DATA!$E$3:$E$10000&amp;DATA!$B$3:$B$10000,DATA!$M$3:$M$10000),"Inactivo"))</f>
        <v/>
      </c>
      <c r="G2129" s="25" t="str">
        <f aca="false">IF(A2129="","",IF(AND(C2129&lt;&gt;"No encontrado",F2129&lt;&gt;"Inactivo"),C2129&amp;" → "&amp;F2129,"Sin transición"))</f>
        <v/>
      </c>
      <c r="H2129" s="23" t="str">
        <f aca="false">IF(A2129="","",IF(D2129="GCIA LINEA SERVICIO DIGITALIDAD Y VENTAS","Chats",IF(OR(D2129="GERENCIA INBOUND LÍNEAS SERVICIO Y VENTA",D2129="GERENCIA INBOUND LINEAS ESPECIALIZADAS"),"Llamadas","Otro")))</f>
        <v/>
      </c>
      <c r="I2129" s="23" t="str">
        <f aca="false">IF(A2129="","",IF(C2129="No encontrado","No","Sí"))</f>
        <v/>
      </c>
      <c r="J2129" s="23" t="str">
        <f aca="false">IF(A2129="","",IF(F2129="Inactivo","No","Sí"))</f>
        <v/>
      </c>
      <c r="K2129" s="23" t="str">
        <f aca="false">IF(A2129="","",IF(AND(I2129="Sí",J2129="Sí"),"Sí","No"))</f>
        <v/>
      </c>
    </row>
    <row r="2130" customFormat="false" ht="15" hidden="false" customHeight="false" outlineLevel="0" collapsed="false">
      <c r="A2130" s="22"/>
      <c r="B2130" s="22"/>
      <c r="C2130" s="26" t="str">
        <f aca="false">IF(A2130="","",IFERROR(buscarx(A2130&amp;B2130,DATA!$E$3:$E$10000&amp;DATA!$B$3:$B$10000,DATA!$M$3:$M$10000),"No encontrado"))</f>
        <v/>
      </c>
      <c r="D2130" s="27" t="str">
        <f aca="false">IF(A2130="","",IFERROR(buscarx(A2130&amp;B2130,DATA!$E$3:$E$10000&amp;DATA!$B$3:$B$10000,DATA!$W$3:$W$10000),"No encontrado"))</f>
        <v/>
      </c>
      <c r="E2130" s="22"/>
      <c r="F2130" s="26" t="str">
        <f aca="false">IF(A2130="","",IFERROR(buscarx(A2130&amp;E2130,DATA!$E$3:$E$10000&amp;DATA!$B$3:$B$10000,DATA!$M$3:$M$10000),"Inactivo"))</f>
        <v/>
      </c>
      <c r="G2130" s="28" t="str">
        <f aca="false">IF(A2130="","",IF(AND(C2130&lt;&gt;"No encontrado",F2130&lt;&gt;"Inactivo"),C2130&amp;" → "&amp;F2130,"Sin transición"))</f>
        <v/>
      </c>
      <c r="H2130" s="26" t="str">
        <f aca="false">IF(A2130="","",IF(D2130="GCIA LINEA SERVICIO DIGITALIDAD Y VENTAS","Chats",IF(OR(D2130="GERENCIA INBOUND LÍNEAS SERVICIO Y VENTA",D2130="GERENCIA INBOUND LINEAS ESPECIALIZADAS"),"Llamadas","Otro")))</f>
        <v/>
      </c>
      <c r="I2130" s="26" t="str">
        <f aca="false">IF(A2130="","",IF(C2130="No encontrado","No","Sí"))</f>
        <v/>
      </c>
      <c r="J2130" s="26" t="str">
        <f aca="false">IF(A2130="","",IF(F2130="Inactivo","No","Sí"))</f>
        <v/>
      </c>
      <c r="K2130" s="26" t="str">
        <f aca="false">IF(A2130="","",IF(AND(I2130="Sí",J2130="Sí"),"Sí","No"))</f>
        <v/>
      </c>
    </row>
    <row r="2131" customFormat="false" ht="15" hidden="false" customHeight="false" outlineLevel="0" collapsed="false">
      <c r="A2131" s="22"/>
      <c r="B2131" s="22"/>
      <c r="C2131" s="23" t="str">
        <f aca="false">IF(A2131="","",IFERROR(buscarx(A2131&amp;B2131,DATA!$E$3:$E$10000&amp;DATA!$B$3:$B$10000,DATA!$M$3:$M$10000),"No encontrado"))</f>
        <v/>
      </c>
      <c r="D2131" s="24" t="str">
        <f aca="false">IF(A2131="","",IFERROR(buscarx(A2131&amp;B2131,DATA!$E$3:$E$10000&amp;DATA!$B$3:$B$10000,DATA!$W$3:$W$10000),"No encontrado"))</f>
        <v/>
      </c>
      <c r="E2131" s="22"/>
      <c r="F2131" s="23" t="str">
        <f aca="false">IF(A2131="","",IFERROR(buscarx(A2131&amp;E2131,DATA!$E$3:$E$10000&amp;DATA!$B$3:$B$10000,DATA!$M$3:$M$10000),"Inactivo"))</f>
        <v/>
      </c>
      <c r="G2131" s="25" t="str">
        <f aca="false">IF(A2131="","",IF(AND(C2131&lt;&gt;"No encontrado",F2131&lt;&gt;"Inactivo"),C2131&amp;" → "&amp;F2131,"Sin transición"))</f>
        <v/>
      </c>
      <c r="H2131" s="23" t="str">
        <f aca="false">IF(A2131="","",IF(D2131="GCIA LINEA SERVICIO DIGITALIDAD Y VENTAS","Chats",IF(OR(D2131="GERENCIA INBOUND LÍNEAS SERVICIO Y VENTA",D2131="GERENCIA INBOUND LINEAS ESPECIALIZADAS"),"Llamadas","Otro")))</f>
        <v/>
      </c>
      <c r="I2131" s="23" t="str">
        <f aca="false">IF(A2131="","",IF(C2131="No encontrado","No","Sí"))</f>
        <v/>
      </c>
      <c r="J2131" s="23" t="str">
        <f aca="false">IF(A2131="","",IF(F2131="Inactivo","No","Sí"))</f>
        <v/>
      </c>
      <c r="K2131" s="23" t="str">
        <f aca="false">IF(A2131="","",IF(AND(I2131="Sí",J2131="Sí"),"Sí","No"))</f>
        <v/>
      </c>
    </row>
    <row r="2132" customFormat="false" ht="15" hidden="false" customHeight="false" outlineLevel="0" collapsed="false">
      <c r="A2132" s="22"/>
      <c r="B2132" s="22"/>
      <c r="C2132" s="26" t="str">
        <f aca="false">IF(A2132="","",IFERROR(buscarx(A2132&amp;B2132,DATA!$E$3:$E$10000&amp;DATA!$B$3:$B$10000,DATA!$M$3:$M$10000),"No encontrado"))</f>
        <v/>
      </c>
      <c r="D2132" s="27" t="str">
        <f aca="false">IF(A2132="","",IFERROR(buscarx(A2132&amp;B2132,DATA!$E$3:$E$10000&amp;DATA!$B$3:$B$10000,DATA!$W$3:$W$10000),"No encontrado"))</f>
        <v/>
      </c>
      <c r="E2132" s="22"/>
      <c r="F2132" s="26" t="str">
        <f aca="false">IF(A2132="","",IFERROR(buscarx(A2132&amp;E2132,DATA!$E$3:$E$10000&amp;DATA!$B$3:$B$10000,DATA!$M$3:$M$10000),"Inactivo"))</f>
        <v/>
      </c>
      <c r="G2132" s="28" t="str">
        <f aca="false">IF(A2132="","",IF(AND(C2132&lt;&gt;"No encontrado",F2132&lt;&gt;"Inactivo"),C2132&amp;" → "&amp;F2132,"Sin transición"))</f>
        <v/>
      </c>
      <c r="H2132" s="26" t="str">
        <f aca="false">IF(A2132="","",IF(D2132="GCIA LINEA SERVICIO DIGITALIDAD Y VENTAS","Chats",IF(OR(D2132="GERENCIA INBOUND LÍNEAS SERVICIO Y VENTA",D2132="GERENCIA INBOUND LINEAS ESPECIALIZADAS"),"Llamadas","Otro")))</f>
        <v/>
      </c>
      <c r="I2132" s="26" t="str">
        <f aca="false">IF(A2132="","",IF(C2132="No encontrado","No","Sí"))</f>
        <v/>
      </c>
      <c r="J2132" s="26" t="str">
        <f aca="false">IF(A2132="","",IF(F2132="Inactivo","No","Sí"))</f>
        <v/>
      </c>
      <c r="K2132" s="26" t="str">
        <f aca="false">IF(A2132="","",IF(AND(I2132="Sí",J2132="Sí"),"Sí","No"))</f>
        <v/>
      </c>
    </row>
    <row r="2133" customFormat="false" ht="15" hidden="false" customHeight="false" outlineLevel="0" collapsed="false">
      <c r="A2133" s="22"/>
      <c r="B2133" s="22"/>
      <c r="C2133" s="23" t="str">
        <f aca="false">IF(A2133="","",IFERROR(buscarx(A2133&amp;B2133,DATA!$E$3:$E$10000&amp;DATA!$B$3:$B$10000,DATA!$M$3:$M$10000),"No encontrado"))</f>
        <v/>
      </c>
      <c r="D2133" s="24" t="str">
        <f aca="false">IF(A2133="","",IFERROR(buscarx(A2133&amp;B2133,DATA!$E$3:$E$10000&amp;DATA!$B$3:$B$10000,DATA!$W$3:$W$10000),"No encontrado"))</f>
        <v/>
      </c>
      <c r="E2133" s="22"/>
      <c r="F2133" s="23" t="str">
        <f aca="false">IF(A2133="","",IFERROR(buscarx(A2133&amp;E2133,DATA!$E$3:$E$10000&amp;DATA!$B$3:$B$10000,DATA!$M$3:$M$10000),"Inactivo"))</f>
        <v/>
      </c>
      <c r="G2133" s="25" t="str">
        <f aca="false">IF(A2133="","",IF(AND(C2133&lt;&gt;"No encontrado",F2133&lt;&gt;"Inactivo"),C2133&amp;" → "&amp;F2133,"Sin transición"))</f>
        <v/>
      </c>
      <c r="H2133" s="23" t="str">
        <f aca="false">IF(A2133="","",IF(D2133="GCIA LINEA SERVICIO DIGITALIDAD Y VENTAS","Chats",IF(OR(D2133="GERENCIA INBOUND LÍNEAS SERVICIO Y VENTA",D2133="GERENCIA INBOUND LINEAS ESPECIALIZADAS"),"Llamadas","Otro")))</f>
        <v/>
      </c>
      <c r="I2133" s="23" t="str">
        <f aca="false">IF(A2133="","",IF(C2133="No encontrado","No","Sí"))</f>
        <v/>
      </c>
      <c r="J2133" s="23" t="str">
        <f aca="false">IF(A2133="","",IF(F2133="Inactivo","No","Sí"))</f>
        <v/>
      </c>
      <c r="K2133" s="23" t="str">
        <f aca="false">IF(A2133="","",IF(AND(I2133="Sí",J2133="Sí"),"Sí","No"))</f>
        <v/>
      </c>
    </row>
    <row r="2134" customFormat="false" ht="15" hidden="false" customHeight="false" outlineLevel="0" collapsed="false">
      <c r="A2134" s="22"/>
      <c r="B2134" s="22"/>
      <c r="C2134" s="26" t="str">
        <f aca="false">IF(A2134="","",IFERROR(buscarx(A2134&amp;B2134,DATA!$E$3:$E$10000&amp;DATA!$B$3:$B$10000,DATA!$M$3:$M$10000),"No encontrado"))</f>
        <v/>
      </c>
      <c r="D2134" s="27" t="str">
        <f aca="false">IF(A2134="","",IFERROR(buscarx(A2134&amp;B2134,DATA!$E$3:$E$10000&amp;DATA!$B$3:$B$10000,DATA!$W$3:$W$10000),"No encontrado"))</f>
        <v/>
      </c>
      <c r="E2134" s="22"/>
      <c r="F2134" s="26" t="str">
        <f aca="false">IF(A2134="","",IFERROR(buscarx(A2134&amp;E2134,DATA!$E$3:$E$10000&amp;DATA!$B$3:$B$10000,DATA!$M$3:$M$10000),"Inactivo"))</f>
        <v/>
      </c>
      <c r="G2134" s="28" t="str">
        <f aca="false">IF(A2134="","",IF(AND(C2134&lt;&gt;"No encontrado",F2134&lt;&gt;"Inactivo"),C2134&amp;" → "&amp;F2134,"Sin transición"))</f>
        <v/>
      </c>
      <c r="H2134" s="26" t="str">
        <f aca="false">IF(A2134="","",IF(D2134="GCIA LINEA SERVICIO DIGITALIDAD Y VENTAS","Chats",IF(OR(D2134="GERENCIA INBOUND LÍNEAS SERVICIO Y VENTA",D2134="GERENCIA INBOUND LINEAS ESPECIALIZADAS"),"Llamadas","Otro")))</f>
        <v/>
      </c>
      <c r="I2134" s="26" t="str">
        <f aca="false">IF(A2134="","",IF(C2134="No encontrado","No","Sí"))</f>
        <v/>
      </c>
      <c r="J2134" s="26" t="str">
        <f aca="false">IF(A2134="","",IF(F2134="Inactivo","No","Sí"))</f>
        <v/>
      </c>
      <c r="K2134" s="26" t="str">
        <f aca="false">IF(A2134="","",IF(AND(I2134="Sí",J2134="Sí"),"Sí","No"))</f>
        <v/>
      </c>
    </row>
    <row r="2135" customFormat="false" ht="15" hidden="false" customHeight="false" outlineLevel="0" collapsed="false">
      <c r="A2135" s="22"/>
      <c r="B2135" s="22"/>
      <c r="C2135" s="23" t="str">
        <f aca="false">IF(A2135="","",IFERROR(buscarx(A2135&amp;B2135,DATA!$E$3:$E$10000&amp;DATA!$B$3:$B$10000,DATA!$M$3:$M$10000),"No encontrado"))</f>
        <v/>
      </c>
      <c r="D2135" s="24" t="str">
        <f aca="false">IF(A2135="","",IFERROR(buscarx(A2135&amp;B2135,DATA!$E$3:$E$10000&amp;DATA!$B$3:$B$10000,DATA!$W$3:$W$10000),"No encontrado"))</f>
        <v/>
      </c>
      <c r="E2135" s="22"/>
      <c r="F2135" s="23" t="str">
        <f aca="false">IF(A2135="","",IFERROR(buscarx(A2135&amp;E2135,DATA!$E$3:$E$10000&amp;DATA!$B$3:$B$10000,DATA!$M$3:$M$10000),"Inactivo"))</f>
        <v/>
      </c>
      <c r="G2135" s="25" t="str">
        <f aca="false">IF(A2135="","",IF(AND(C2135&lt;&gt;"No encontrado",F2135&lt;&gt;"Inactivo"),C2135&amp;" → "&amp;F2135,"Sin transición"))</f>
        <v/>
      </c>
      <c r="H2135" s="23" t="str">
        <f aca="false">IF(A2135="","",IF(D2135="GCIA LINEA SERVICIO DIGITALIDAD Y VENTAS","Chats",IF(OR(D2135="GERENCIA INBOUND LÍNEAS SERVICIO Y VENTA",D2135="GERENCIA INBOUND LINEAS ESPECIALIZADAS"),"Llamadas","Otro")))</f>
        <v/>
      </c>
      <c r="I2135" s="23" t="str">
        <f aca="false">IF(A2135="","",IF(C2135="No encontrado","No","Sí"))</f>
        <v/>
      </c>
      <c r="J2135" s="23" t="str">
        <f aca="false">IF(A2135="","",IF(F2135="Inactivo","No","Sí"))</f>
        <v/>
      </c>
      <c r="K2135" s="23" t="str">
        <f aca="false">IF(A2135="","",IF(AND(I2135="Sí",J2135="Sí"),"Sí","No"))</f>
        <v/>
      </c>
    </row>
    <row r="2136" customFormat="false" ht="15" hidden="false" customHeight="false" outlineLevel="0" collapsed="false">
      <c r="A2136" s="22"/>
      <c r="B2136" s="22"/>
      <c r="C2136" s="26" t="str">
        <f aca="false">IF(A2136="","",IFERROR(buscarx(A2136&amp;B2136,DATA!$E$3:$E$10000&amp;DATA!$B$3:$B$10000,DATA!$M$3:$M$10000),"No encontrado"))</f>
        <v/>
      </c>
      <c r="D2136" s="27" t="str">
        <f aca="false">IF(A2136="","",IFERROR(buscarx(A2136&amp;B2136,DATA!$E$3:$E$10000&amp;DATA!$B$3:$B$10000,DATA!$W$3:$W$10000),"No encontrado"))</f>
        <v/>
      </c>
      <c r="E2136" s="22"/>
      <c r="F2136" s="26" t="str">
        <f aca="false">IF(A2136="","",IFERROR(buscarx(A2136&amp;E2136,DATA!$E$3:$E$10000&amp;DATA!$B$3:$B$10000,DATA!$M$3:$M$10000),"Inactivo"))</f>
        <v/>
      </c>
      <c r="G2136" s="28" t="str">
        <f aca="false">IF(A2136="","",IF(AND(C2136&lt;&gt;"No encontrado",F2136&lt;&gt;"Inactivo"),C2136&amp;" → "&amp;F2136,"Sin transición"))</f>
        <v/>
      </c>
      <c r="H2136" s="26" t="str">
        <f aca="false">IF(A2136="","",IF(D2136="GCIA LINEA SERVICIO DIGITALIDAD Y VENTAS","Chats",IF(OR(D2136="GERENCIA INBOUND LÍNEAS SERVICIO Y VENTA",D2136="GERENCIA INBOUND LINEAS ESPECIALIZADAS"),"Llamadas","Otro")))</f>
        <v/>
      </c>
      <c r="I2136" s="26" t="str">
        <f aca="false">IF(A2136="","",IF(C2136="No encontrado","No","Sí"))</f>
        <v/>
      </c>
      <c r="J2136" s="26" t="str">
        <f aca="false">IF(A2136="","",IF(F2136="Inactivo","No","Sí"))</f>
        <v/>
      </c>
      <c r="K2136" s="26" t="str">
        <f aca="false">IF(A2136="","",IF(AND(I2136="Sí",J2136="Sí"),"Sí","No"))</f>
        <v/>
      </c>
    </row>
    <row r="2137" customFormat="false" ht="15" hidden="false" customHeight="false" outlineLevel="0" collapsed="false">
      <c r="A2137" s="22"/>
      <c r="B2137" s="22"/>
      <c r="C2137" s="23" t="str">
        <f aca="false">IF(A2137="","",IFERROR(buscarx(A2137&amp;B2137,DATA!$E$3:$E$10000&amp;DATA!$B$3:$B$10000,DATA!$M$3:$M$10000),"No encontrado"))</f>
        <v/>
      </c>
      <c r="D2137" s="24" t="str">
        <f aca="false">IF(A2137="","",IFERROR(buscarx(A2137&amp;B2137,DATA!$E$3:$E$10000&amp;DATA!$B$3:$B$10000,DATA!$W$3:$W$10000),"No encontrado"))</f>
        <v/>
      </c>
      <c r="E2137" s="22"/>
      <c r="F2137" s="23" t="str">
        <f aca="false">IF(A2137="","",IFERROR(buscarx(A2137&amp;E2137,DATA!$E$3:$E$10000&amp;DATA!$B$3:$B$10000,DATA!$M$3:$M$10000),"Inactivo"))</f>
        <v/>
      </c>
      <c r="G2137" s="25" t="str">
        <f aca="false">IF(A2137="","",IF(AND(C2137&lt;&gt;"No encontrado",F2137&lt;&gt;"Inactivo"),C2137&amp;" → "&amp;F2137,"Sin transición"))</f>
        <v/>
      </c>
      <c r="H2137" s="23" t="str">
        <f aca="false">IF(A2137="","",IF(D2137="GCIA LINEA SERVICIO DIGITALIDAD Y VENTAS","Chats",IF(OR(D2137="GERENCIA INBOUND LÍNEAS SERVICIO Y VENTA",D2137="GERENCIA INBOUND LINEAS ESPECIALIZADAS"),"Llamadas","Otro")))</f>
        <v/>
      </c>
      <c r="I2137" s="23" t="str">
        <f aca="false">IF(A2137="","",IF(C2137="No encontrado","No","Sí"))</f>
        <v/>
      </c>
      <c r="J2137" s="23" t="str">
        <f aca="false">IF(A2137="","",IF(F2137="Inactivo","No","Sí"))</f>
        <v/>
      </c>
      <c r="K2137" s="23" t="str">
        <f aca="false">IF(A2137="","",IF(AND(I2137="Sí",J2137="Sí"),"Sí","No"))</f>
        <v/>
      </c>
    </row>
    <row r="2138" customFormat="false" ht="15" hidden="false" customHeight="false" outlineLevel="0" collapsed="false">
      <c r="A2138" s="22"/>
      <c r="B2138" s="22"/>
      <c r="C2138" s="26" t="str">
        <f aca="false">IF(A2138="","",IFERROR(buscarx(A2138&amp;B2138,DATA!$E$3:$E$10000&amp;DATA!$B$3:$B$10000,DATA!$M$3:$M$10000),"No encontrado"))</f>
        <v/>
      </c>
      <c r="D2138" s="27" t="str">
        <f aca="false">IF(A2138="","",IFERROR(buscarx(A2138&amp;B2138,DATA!$E$3:$E$10000&amp;DATA!$B$3:$B$10000,DATA!$W$3:$W$10000),"No encontrado"))</f>
        <v/>
      </c>
      <c r="E2138" s="22"/>
      <c r="F2138" s="26" t="str">
        <f aca="false">IF(A2138="","",IFERROR(buscarx(A2138&amp;E2138,DATA!$E$3:$E$10000&amp;DATA!$B$3:$B$10000,DATA!$M$3:$M$10000),"Inactivo"))</f>
        <v/>
      </c>
      <c r="G2138" s="28" t="str">
        <f aca="false">IF(A2138="","",IF(AND(C2138&lt;&gt;"No encontrado",F2138&lt;&gt;"Inactivo"),C2138&amp;" → "&amp;F2138,"Sin transición"))</f>
        <v/>
      </c>
      <c r="H2138" s="26" t="str">
        <f aca="false">IF(A2138="","",IF(D2138="GCIA LINEA SERVICIO DIGITALIDAD Y VENTAS","Chats",IF(OR(D2138="GERENCIA INBOUND LÍNEAS SERVICIO Y VENTA",D2138="GERENCIA INBOUND LINEAS ESPECIALIZADAS"),"Llamadas","Otro")))</f>
        <v/>
      </c>
      <c r="I2138" s="26" t="str">
        <f aca="false">IF(A2138="","",IF(C2138="No encontrado","No","Sí"))</f>
        <v/>
      </c>
      <c r="J2138" s="26" t="str">
        <f aca="false">IF(A2138="","",IF(F2138="Inactivo","No","Sí"))</f>
        <v/>
      </c>
      <c r="K2138" s="26" t="str">
        <f aca="false">IF(A2138="","",IF(AND(I2138="Sí",J2138="Sí"),"Sí","No"))</f>
        <v/>
      </c>
    </row>
    <row r="2139" customFormat="false" ht="15" hidden="false" customHeight="false" outlineLevel="0" collapsed="false">
      <c r="A2139" s="22"/>
      <c r="B2139" s="22"/>
      <c r="C2139" s="23" t="str">
        <f aca="false">IF(A2139="","",IFERROR(buscarx(A2139&amp;B2139,DATA!$E$3:$E$10000&amp;DATA!$B$3:$B$10000,DATA!$M$3:$M$10000),"No encontrado"))</f>
        <v/>
      </c>
      <c r="D2139" s="24" t="str">
        <f aca="false">IF(A2139="","",IFERROR(buscarx(A2139&amp;B2139,DATA!$E$3:$E$10000&amp;DATA!$B$3:$B$10000,DATA!$W$3:$W$10000),"No encontrado"))</f>
        <v/>
      </c>
      <c r="E2139" s="22"/>
      <c r="F2139" s="23" t="str">
        <f aca="false">IF(A2139="","",IFERROR(buscarx(A2139&amp;E2139,DATA!$E$3:$E$10000&amp;DATA!$B$3:$B$10000,DATA!$M$3:$M$10000),"Inactivo"))</f>
        <v/>
      </c>
      <c r="G2139" s="25" t="str">
        <f aca="false">IF(A2139="","",IF(AND(C2139&lt;&gt;"No encontrado",F2139&lt;&gt;"Inactivo"),C2139&amp;" → "&amp;F2139,"Sin transición"))</f>
        <v/>
      </c>
      <c r="H2139" s="23" t="str">
        <f aca="false">IF(A2139="","",IF(D2139="GCIA LINEA SERVICIO DIGITALIDAD Y VENTAS","Chats",IF(OR(D2139="GERENCIA INBOUND LÍNEAS SERVICIO Y VENTA",D2139="GERENCIA INBOUND LINEAS ESPECIALIZADAS"),"Llamadas","Otro")))</f>
        <v/>
      </c>
      <c r="I2139" s="23" t="str">
        <f aca="false">IF(A2139="","",IF(C2139="No encontrado","No","Sí"))</f>
        <v/>
      </c>
      <c r="J2139" s="23" t="str">
        <f aca="false">IF(A2139="","",IF(F2139="Inactivo","No","Sí"))</f>
        <v/>
      </c>
      <c r="K2139" s="23" t="str">
        <f aca="false">IF(A2139="","",IF(AND(I2139="Sí",J2139="Sí"),"Sí","No"))</f>
        <v/>
      </c>
    </row>
    <row r="2140" customFormat="false" ht="15" hidden="false" customHeight="false" outlineLevel="0" collapsed="false">
      <c r="A2140" s="22"/>
      <c r="B2140" s="22"/>
      <c r="C2140" s="26" t="str">
        <f aca="false">IF(A2140="","",IFERROR(buscarx(A2140&amp;B2140,DATA!$E$3:$E$10000&amp;DATA!$B$3:$B$10000,DATA!$M$3:$M$10000),"No encontrado"))</f>
        <v/>
      </c>
      <c r="D2140" s="27" t="str">
        <f aca="false">IF(A2140="","",IFERROR(buscarx(A2140&amp;B2140,DATA!$E$3:$E$10000&amp;DATA!$B$3:$B$10000,DATA!$W$3:$W$10000),"No encontrado"))</f>
        <v/>
      </c>
      <c r="E2140" s="22"/>
      <c r="F2140" s="26" t="str">
        <f aca="false">IF(A2140="","",IFERROR(buscarx(A2140&amp;E2140,DATA!$E$3:$E$10000&amp;DATA!$B$3:$B$10000,DATA!$M$3:$M$10000),"Inactivo"))</f>
        <v/>
      </c>
      <c r="G2140" s="28" t="str">
        <f aca="false">IF(A2140="","",IF(AND(C2140&lt;&gt;"No encontrado",F2140&lt;&gt;"Inactivo"),C2140&amp;" → "&amp;F2140,"Sin transición"))</f>
        <v/>
      </c>
      <c r="H2140" s="26" t="str">
        <f aca="false">IF(A2140="","",IF(D2140="GCIA LINEA SERVICIO DIGITALIDAD Y VENTAS","Chats",IF(OR(D2140="GERENCIA INBOUND LÍNEAS SERVICIO Y VENTA",D2140="GERENCIA INBOUND LINEAS ESPECIALIZADAS"),"Llamadas","Otro")))</f>
        <v/>
      </c>
      <c r="I2140" s="26" t="str">
        <f aca="false">IF(A2140="","",IF(C2140="No encontrado","No","Sí"))</f>
        <v/>
      </c>
      <c r="J2140" s="26" t="str">
        <f aca="false">IF(A2140="","",IF(F2140="Inactivo","No","Sí"))</f>
        <v/>
      </c>
      <c r="K2140" s="26" t="str">
        <f aca="false">IF(A2140="","",IF(AND(I2140="Sí",J2140="Sí"),"Sí","No"))</f>
        <v/>
      </c>
    </row>
    <row r="2141" customFormat="false" ht="15" hidden="false" customHeight="false" outlineLevel="0" collapsed="false">
      <c r="A2141" s="22"/>
      <c r="B2141" s="22"/>
      <c r="C2141" s="23" t="str">
        <f aca="false">IF(A2141="","",IFERROR(buscarx(A2141&amp;B2141,DATA!$E$3:$E$10000&amp;DATA!$B$3:$B$10000,DATA!$M$3:$M$10000),"No encontrado"))</f>
        <v/>
      </c>
      <c r="D2141" s="24" t="str">
        <f aca="false">IF(A2141="","",IFERROR(buscarx(A2141&amp;B2141,DATA!$E$3:$E$10000&amp;DATA!$B$3:$B$10000,DATA!$W$3:$W$10000),"No encontrado"))</f>
        <v/>
      </c>
      <c r="E2141" s="22"/>
      <c r="F2141" s="23" t="str">
        <f aca="false">IF(A2141="","",IFERROR(buscarx(A2141&amp;E2141,DATA!$E$3:$E$10000&amp;DATA!$B$3:$B$10000,DATA!$M$3:$M$10000),"Inactivo"))</f>
        <v/>
      </c>
      <c r="G2141" s="25" t="str">
        <f aca="false">IF(A2141="","",IF(AND(C2141&lt;&gt;"No encontrado",F2141&lt;&gt;"Inactivo"),C2141&amp;" → "&amp;F2141,"Sin transición"))</f>
        <v/>
      </c>
      <c r="H2141" s="23" t="str">
        <f aca="false">IF(A2141="","",IF(D2141="GCIA LINEA SERVICIO DIGITALIDAD Y VENTAS","Chats",IF(OR(D2141="GERENCIA INBOUND LÍNEAS SERVICIO Y VENTA",D2141="GERENCIA INBOUND LINEAS ESPECIALIZADAS"),"Llamadas","Otro")))</f>
        <v/>
      </c>
      <c r="I2141" s="23" t="str">
        <f aca="false">IF(A2141="","",IF(C2141="No encontrado","No","Sí"))</f>
        <v/>
      </c>
      <c r="J2141" s="23" t="str">
        <f aca="false">IF(A2141="","",IF(F2141="Inactivo","No","Sí"))</f>
        <v/>
      </c>
      <c r="K2141" s="23" t="str">
        <f aca="false">IF(A2141="","",IF(AND(I2141="Sí",J2141="Sí"),"Sí","No"))</f>
        <v/>
      </c>
    </row>
    <row r="2142" customFormat="false" ht="15" hidden="false" customHeight="false" outlineLevel="0" collapsed="false">
      <c r="A2142" s="22"/>
      <c r="B2142" s="22"/>
      <c r="C2142" s="26" t="str">
        <f aca="false">IF(A2142="","",IFERROR(buscarx(A2142&amp;B2142,DATA!$E$3:$E$10000&amp;DATA!$B$3:$B$10000,DATA!$M$3:$M$10000),"No encontrado"))</f>
        <v/>
      </c>
      <c r="D2142" s="27" t="str">
        <f aca="false">IF(A2142="","",IFERROR(buscarx(A2142&amp;B2142,DATA!$E$3:$E$10000&amp;DATA!$B$3:$B$10000,DATA!$W$3:$W$10000),"No encontrado"))</f>
        <v/>
      </c>
      <c r="E2142" s="22"/>
      <c r="F2142" s="26" t="str">
        <f aca="false">IF(A2142="","",IFERROR(buscarx(A2142&amp;E2142,DATA!$E$3:$E$10000&amp;DATA!$B$3:$B$10000,DATA!$M$3:$M$10000),"Inactivo"))</f>
        <v/>
      </c>
      <c r="G2142" s="28" t="str">
        <f aca="false">IF(A2142="","",IF(AND(C2142&lt;&gt;"No encontrado",F2142&lt;&gt;"Inactivo"),C2142&amp;" → "&amp;F2142,"Sin transición"))</f>
        <v/>
      </c>
      <c r="H2142" s="26" t="str">
        <f aca="false">IF(A2142="","",IF(D2142="GCIA LINEA SERVICIO DIGITALIDAD Y VENTAS","Chats",IF(OR(D2142="GERENCIA INBOUND LÍNEAS SERVICIO Y VENTA",D2142="GERENCIA INBOUND LINEAS ESPECIALIZADAS"),"Llamadas","Otro")))</f>
        <v/>
      </c>
      <c r="I2142" s="26" t="str">
        <f aca="false">IF(A2142="","",IF(C2142="No encontrado","No","Sí"))</f>
        <v/>
      </c>
      <c r="J2142" s="26" t="str">
        <f aca="false">IF(A2142="","",IF(F2142="Inactivo","No","Sí"))</f>
        <v/>
      </c>
      <c r="K2142" s="26" t="str">
        <f aca="false">IF(A2142="","",IF(AND(I2142="Sí",J2142="Sí"),"Sí","No"))</f>
        <v/>
      </c>
    </row>
    <row r="2143" customFormat="false" ht="15" hidden="false" customHeight="false" outlineLevel="0" collapsed="false">
      <c r="A2143" s="22"/>
      <c r="B2143" s="22"/>
      <c r="C2143" s="23" t="str">
        <f aca="false">IF(A2143="","",IFERROR(buscarx(A2143&amp;B2143,DATA!$E$3:$E$10000&amp;DATA!$B$3:$B$10000,DATA!$M$3:$M$10000),"No encontrado"))</f>
        <v/>
      </c>
      <c r="D2143" s="24" t="str">
        <f aca="false">IF(A2143="","",IFERROR(buscarx(A2143&amp;B2143,DATA!$E$3:$E$10000&amp;DATA!$B$3:$B$10000,DATA!$W$3:$W$10000),"No encontrado"))</f>
        <v/>
      </c>
      <c r="E2143" s="22"/>
      <c r="F2143" s="23" t="str">
        <f aca="false">IF(A2143="","",IFERROR(buscarx(A2143&amp;E2143,DATA!$E$3:$E$10000&amp;DATA!$B$3:$B$10000,DATA!$M$3:$M$10000),"Inactivo"))</f>
        <v/>
      </c>
      <c r="G2143" s="25" t="str">
        <f aca="false">IF(A2143="","",IF(AND(C2143&lt;&gt;"No encontrado",F2143&lt;&gt;"Inactivo"),C2143&amp;" → "&amp;F2143,"Sin transición"))</f>
        <v/>
      </c>
      <c r="H2143" s="23" t="str">
        <f aca="false">IF(A2143="","",IF(D2143="GCIA LINEA SERVICIO DIGITALIDAD Y VENTAS","Chats",IF(OR(D2143="GERENCIA INBOUND LÍNEAS SERVICIO Y VENTA",D2143="GERENCIA INBOUND LINEAS ESPECIALIZADAS"),"Llamadas","Otro")))</f>
        <v/>
      </c>
      <c r="I2143" s="23" t="str">
        <f aca="false">IF(A2143="","",IF(C2143="No encontrado","No","Sí"))</f>
        <v/>
      </c>
      <c r="J2143" s="23" t="str">
        <f aca="false">IF(A2143="","",IF(F2143="Inactivo","No","Sí"))</f>
        <v/>
      </c>
      <c r="K2143" s="23" t="str">
        <f aca="false">IF(A2143="","",IF(AND(I2143="Sí",J2143="Sí"),"Sí","No"))</f>
        <v/>
      </c>
    </row>
    <row r="2144" customFormat="false" ht="15" hidden="false" customHeight="false" outlineLevel="0" collapsed="false">
      <c r="A2144" s="22"/>
      <c r="B2144" s="22"/>
      <c r="C2144" s="26" t="str">
        <f aca="false">IF(A2144="","",IFERROR(buscarx(A2144&amp;B2144,DATA!$E$3:$E$10000&amp;DATA!$B$3:$B$10000,DATA!$M$3:$M$10000),"No encontrado"))</f>
        <v/>
      </c>
      <c r="D2144" s="27" t="str">
        <f aca="false">IF(A2144="","",IFERROR(buscarx(A2144&amp;B2144,DATA!$E$3:$E$10000&amp;DATA!$B$3:$B$10000,DATA!$W$3:$W$10000),"No encontrado"))</f>
        <v/>
      </c>
      <c r="E2144" s="22"/>
      <c r="F2144" s="26" t="str">
        <f aca="false">IF(A2144="","",IFERROR(buscarx(A2144&amp;E2144,DATA!$E$3:$E$10000&amp;DATA!$B$3:$B$10000,DATA!$M$3:$M$10000),"Inactivo"))</f>
        <v/>
      </c>
      <c r="G2144" s="28" t="str">
        <f aca="false">IF(A2144="","",IF(AND(C2144&lt;&gt;"No encontrado",F2144&lt;&gt;"Inactivo"),C2144&amp;" → "&amp;F2144,"Sin transición"))</f>
        <v/>
      </c>
      <c r="H2144" s="26" t="str">
        <f aca="false">IF(A2144="","",IF(D2144="GCIA LINEA SERVICIO DIGITALIDAD Y VENTAS","Chats",IF(OR(D2144="GERENCIA INBOUND LÍNEAS SERVICIO Y VENTA",D2144="GERENCIA INBOUND LINEAS ESPECIALIZADAS"),"Llamadas","Otro")))</f>
        <v/>
      </c>
      <c r="I2144" s="26" t="str">
        <f aca="false">IF(A2144="","",IF(C2144="No encontrado","No","Sí"))</f>
        <v/>
      </c>
      <c r="J2144" s="26" t="str">
        <f aca="false">IF(A2144="","",IF(F2144="Inactivo","No","Sí"))</f>
        <v/>
      </c>
      <c r="K2144" s="26" t="str">
        <f aca="false">IF(A2144="","",IF(AND(I2144="Sí",J2144="Sí"),"Sí","No"))</f>
        <v/>
      </c>
    </row>
    <row r="2145" customFormat="false" ht="15" hidden="false" customHeight="false" outlineLevel="0" collapsed="false">
      <c r="A2145" s="22"/>
      <c r="B2145" s="22"/>
      <c r="C2145" s="23" t="str">
        <f aca="false">IF(A2145="","",IFERROR(buscarx(A2145&amp;B2145,DATA!$E$3:$E$10000&amp;DATA!$B$3:$B$10000,DATA!$M$3:$M$10000),"No encontrado"))</f>
        <v/>
      </c>
      <c r="D2145" s="24" t="str">
        <f aca="false">IF(A2145="","",IFERROR(buscarx(A2145&amp;B2145,DATA!$E$3:$E$10000&amp;DATA!$B$3:$B$10000,DATA!$W$3:$W$10000),"No encontrado"))</f>
        <v/>
      </c>
      <c r="E2145" s="22"/>
      <c r="F2145" s="23" t="str">
        <f aca="false">IF(A2145="","",IFERROR(buscarx(A2145&amp;E2145,DATA!$E$3:$E$10000&amp;DATA!$B$3:$B$10000,DATA!$M$3:$M$10000),"Inactivo"))</f>
        <v/>
      </c>
      <c r="G2145" s="25" t="str">
        <f aca="false">IF(A2145="","",IF(AND(C2145&lt;&gt;"No encontrado",F2145&lt;&gt;"Inactivo"),C2145&amp;" → "&amp;F2145,"Sin transición"))</f>
        <v/>
      </c>
      <c r="H2145" s="23" t="str">
        <f aca="false">IF(A2145="","",IF(D2145="GCIA LINEA SERVICIO DIGITALIDAD Y VENTAS","Chats",IF(OR(D2145="GERENCIA INBOUND LÍNEAS SERVICIO Y VENTA",D2145="GERENCIA INBOUND LINEAS ESPECIALIZADAS"),"Llamadas","Otro")))</f>
        <v/>
      </c>
      <c r="I2145" s="23" t="str">
        <f aca="false">IF(A2145="","",IF(C2145="No encontrado","No","Sí"))</f>
        <v/>
      </c>
      <c r="J2145" s="23" t="str">
        <f aca="false">IF(A2145="","",IF(F2145="Inactivo","No","Sí"))</f>
        <v/>
      </c>
      <c r="K2145" s="23" t="str">
        <f aca="false">IF(A2145="","",IF(AND(I2145="Sí",J2145="Sí"),"Sí","No"))</f>
        <v/>
      </c>
    </row>
    <row r="2146" customFormat="false" ht="15" hidden="false" customHeight="false" outlineLevel="0" collapsed="false">
      <c r="A2146" s="22"/>
      <c r="B2146" s="22"/>
      <c r="C2146" s="26" t="str">
        <f aca="false">IF(A2146="","",IFERROR(buscarx(A2146&amp;B2146,DATA!$E$3:$E$10000&amp;DATA!$B$3:$B$10000,DATA!$M$3:$M$10000),"No encontrado"))</f>
        <v/>
      </c>
      <c r="D2146" s="27" t="str">
        <f aca="false">IF(A2146="","",IFERROR(buscarx(A2146&amp;B2146,DATA!$E$3:$E$10000&amp;DATA!$B$3:$B$10000,DATA!$W$3:$W$10000),"No encontrado"))</f>
        <v/>
      </c>
      <c r="E2146" s="22"/>
      <c r="F2146" s="26" t="str">
        <f aca="false">IF(A2146="","",IFERROR(buscarx(A2146&amp;E2146,DATA!$E$3:$E$10000&amp;DATA!$B$3:$B$10000,DATA!$M$3:$M$10000),"Inactivo"))</f>
        <v/>
      </c>
      <c r="G2146" s="28" t="str">
        <f aca="false">IF(A2146="","",IF(AND(C2146&lt;&gt;"No encontrado",F2146&lt;&gt;"Inactivo"),C2146&amp;" → "&amp;F2146,"Sin transición"))</f>
        <v/>
      </c>
      <c r="H2146" s="26" t="str">
        <f aca="false">IF(A2146="","",IF(D2146="GCIA LINEA SERVICIO DIGITALIDAD Y VENTAS","Chats",IF(OR(D2146="GERENCIA INBOUND LÍNEAS SERVICIO Y VENTA",D2146="GERENCIA INBOUND LINEAS ESPECIALIZADAS"),"Llamadas","Otro")))</f>
        <v/>
      </c>
      <c r="I2146" s="26" t="str">
        <f aca="false">IF(A2146="","",IF(C2146="No encontrado","No","Sí"))</f>
        <v/>
      </c>
      <c r="J2146" s="26" t="str">
        <f aca="false">IF(A2146="","",IF(F2146="Inactivo","No","Sí"))</f>
        <v/>
      </c>
      <c r="K2146" s="26" t="str">
        <f aca="false">IF(A2146="","",IF(AND(I2146="Sí",J2146="Sí"),"Sí","No"))</f>
        <v/>
      </c>
    </row>
    <row r="2147" customFormat="false" ht="15" hidden="false" customHeight="false" outlineLevel="0" collapsed="false">
      <c r="A2147" s="22"/>
      <c r="B2147" s="22"/>
      <c r="C2147" s="23" t="str">
        <f aca="false">IF(A2147="","",IFERROR(buscarx(A2147&amp;B2147,DATA!$E$3:$E$10000&amp;DATA!$B$3:$B$10000,DATA!$M$3:$M$10000),"No encontrado"))</f>
        <v/>
      </c>
      <c r="D2147" s="24" t="str">
        <f aca="false">IF(A2147="","",IFERROR(buscarx(A2147&amp;B2147,DATA!$E$3:$E$10000&amp;DATA!$B$3:$B$10000,DATA!$W$3:$W$10000),"No encontrado"))</f>
        <v/>
      </c>
      <c r="E2147" s="22"/>
      <c r="F2147" s="23" t="str">
        <f aca="false">IF(A2147="","",IFERROR(buscarx(A2147&amp;E2147,DATA!$E$3:$E$10000&amp;DATA!$B$3:$B$10000,DATA!$M$3:$M$10000),"Inactivo"))</f>
        <v/>
      </c>
      <c r="G2147" s="25" t="str">
        <f aca="false">IF(A2147="","",IF(AND(C2147&lt;&gt;"No encontrado",F2147&lt;&gt;"Inactivo"),C2147&amp;" → "&amp;F2147,"Sin transición"))</f>
        <v/>
      </c>
      <c r="H2147" s="23" t="str">
        <f aca="false">IF(A2147="","",IF(D2147="GCIA LINEA SERVICIO DIGITALIDAD Y VENTAS","Chats",IF(OR(D2147="GERENCIA INBOUND LÍNEAS SERVICIO Y VENTA",D2147="GERENCIA INBOUND LINEAS ESPECIALIZADAS"),"Llamadas","Otro")))</f>
        <v/>
      </c>
      <c r="I2147" s="23" t="str">
        <f aca="false">IF(A2147="","",IF(C2147="No encontrado","No","Sí"))</f>
        <v/>
      </c>
      <c r="J2147" s="23" t="str">
        <f aca="false">IF(A2147="","",IF(F2147="Inactivo","No","Sí"))</f>
        <v/>
      </c>
      <c r="K2147" s="23" t="str">
        <f aca="false">IF(A2147="","",IF(AND(I2147="Sí",J2147="Sí"),"Sí","No"))</f>
        <v/>
      </c>
    </row>
    <row r="2148" customFormat="false" ht="15" hidden="false" customHeight="false" outlineLevel="0" collapsed="false">
      <c r="A2148" s="22"/>
      <c r="B2148" s="22"/>
      <c r="C2148" s="26" t="str">
        <f aca="false">IF(A2148="","",IFERROR(buscarx(A2148&amp;B2148,DATA!$E$3:$E$10000&amp;DATA!$B$3:$B$10000,DATA!$M$3:$M$10000),"No encontrado"))</f>
        <v/>
      </c>
      <c r="D2148" s="27" t="str">
        <f aca="false">IF(A2148="","",IFERROR(buscarx(A2148&amp;B2148,DATA!$E$3:$E$10000&amp;DATA!$B$3:$B$10000,DATA!$W$3:$W$10000),"No encontrado"))</f>
        <v/>
      </c>
      <c r="E2148" s="22"/>
      <c r="F2148" s="26" t="str">
        <f aca="false">IF(A2148="","",IFERROR(buscarx(A2148&amp;E2148,DATA!$E$3:$E$10000&amp;DATA!$B$3:$B$10000,DATA!$M$3:$M$10000),"Inactivo"))</f>
        <v/>
      </c>
      <c r="G2148" s="28" t="str">
        <f aca="false">IF(A2148="","",IF(AND(C2148&lt;&gt;"No encontrado",F2148&lt;&gt;"Inactivo"),C2148&amp;" → "&amp;F2148,"Sin transición"))</f>
        <v/>
      </c>
      <c r="H2148" s="26" t="str">
        <f aca="false">IF(A2148="","",IF(D2148="GCIA LINEA SERVICIO DIGITALIDAD Y VENTAS","Chats",IF(OR(D2148="GERENCIA INBOUND LÍNEAS SERVICIO Y VENTA",D2148="GERENCIA INBOUND LINEAS ESPECIALIZADAS"),"Llamadas","Otro")))</f>
        <v/>
      </c>
      <c r="I2148" s="26" t="str">
        <f aca="false">IF(A2148="","",IF(C2148="No encontrado","No","Sí"))</f>
        <v/>
      </c>
      <c r="J2148" s="26" t="str">
        <f aca="false">IF(A2148="","",IF(F2148="Inactivo","No","Sí"))</f>
        <v/>
      </c>
      <c r="K2148" s="26" t="str">
        <f aca="false">IF(A2148="","",IF(AND(I2148="Sí",J2148="Sí"),"Sí","No"))</f>
        <v/>
      </c>
    </row>
    <row r="2149" customFormat="false" ht="15" hidden="false" customHeight="false" outlineLevel="0" collapsed="false">
      <c r="A2149" s="22"/>
      <c r="B2149" s="22"/>
      <c r="C2149" s="23" t="str">
        <f aca="false">IF(A2149="","",IFERROR(buscarx(A2149&amp;B2149,DATA!$E$3:$E$10000&amp;DATA!$B$3:$B$10000,DATA!$M$3:$M$10000),"No encontrado"))</f>
        <v/>
      </c>
      <c r="D2149" s="24" t="str">
        <f aca="false">IF(A2149="","",IFERROR(buscarx(A2149&amp;B2149,DATA!$E$3:$E$10000&amp;DATA!$B$3:$B$10000,DATA!$W$3:$W$10000),"No encontrado"))</f>
        <v/>
      </c>
      <c r="E2149" s="22"/>
      <c r="F2149" s="23" t="str">
        <f aca="false">IF(A2149="","",IFERROR(buscarx(A2149&amp;E2149,DATA!$E$3:$E$10000&amp;DATA!$B$3:$B$10000,DATA!$M$3:$M$10000),"Inactivo"))</f>
        <v/>
      </c>
      <c r="G2149" s="25" t="str">
        <f aca="false">IF(A2149="","",IF(AND(C2149&lt;&gt;"No encontrado",F2149&lt;&gt;"Inactivo"),C2149&amp;" → "&amp;F2149,"Sin transición"))</f>
        <v/>
      </c>
      <c r="H2149" s="23" t="str">
        <f aca="false">IF(A2149="","",IF(D2149="GCIA LINEA SERVICIO DIGITALIDAD Y VENTAS","Chats",IF(OR(D2149="GERENCIA INBOUND LÍNEAS SERVICIO Y VENTA",D2149="GERENCIA INBOUND LINEAS ESPECIALIZADAS"),"Llamadas","Otro")))</f>
        <v/>
      </c>
      <c r="I2149" s="23" t="str">
        <f aca="false">IF(A2149="","",IF(C2149="No encontrado","No","Sí"))</f>
        <v/>
      </c>
      <c r="J2149" s="23" t="str">
        <f aca="false">IF(A2149="","",IF(F2149="Inactivo","No","Sí"))</f>
        <v/>
      </c>
      <c r="K2149" s="23" t="str">
        <f aca="false">IF(A2149="","",IF(AND(I2149="Sí",J2149="Sí"),"Sí","No"))</f>
        <v/>
      </c>
    </row>
    <row r="2150" customFormat="false" ht="15" hidden="false" customHeight="false" outlineLevel="0" collapsed="false">
      <c r="A2150" s="22"/>
      <c r="B2150" s="22"/>
      <c r="C2150" s="26" t="str">
        <f aca="false">IF(A2150="","",IFERROR(buscarx(A2150&amp;B2150,DATA!$E$3:$E$10000&amp;DATA!$B$3:$B$10000,DATA!$M$3:$M$10000),"No encontrado"))</f>
        <v/>
      </c>
      <c r="D2150" s="27" t="str">
        <f aca="false">IF(A2150="","",IFERROR(buscarx(A2150&amp;B2150,DATA!$E$3:$E$10000&amp;DATA!$B$3:$B$10000,DATA!$W$3:$W$10000),"No encontrado"))</f>
        <v/>
      </c>
      <c r="E2150" s="22"/>
      <c r="F2150" s="26" t="str">
        <f aca="false">IF(A2150="","",IFERROR(buscarx(A2150&amp;E2150,DATA!$E$3:$E$10000&amp;DATA!$B$3:$B$10000,DATA!$M$3:$M$10000),"Inactivo"))</f>
        <v/>
      </c>
      <c r="G2150" s="28" t="str">
        <f aca="false">IF(A2150="","",IF(AND(C2150&lt;&gt;"No encontrado",F2150&lt;&gt;"Inactivo"),C2150&amp;" → "&amp;F2150,"Sin transición"))</f>
        <v/>
      </c>
      <c r="H2150" s="26" t="str">
        <f aca="false">IF(A2150="","",IF(D2150="GCIA LINEA SERVICIO DIGITALIDAD Y VENTAS","Chats",IF(OR(D2150="GERENCIA INBOUND LÍNEAS SERVICIO Y VENTA",D2150="GERENCIA INBOUND LINEAS ESPECIALIZADAS"),"Llamadas","Otro")))</f>
        <v/>
      </c>
      <c r="I2150" s="26" t="str">
        <f aca="false">IF(A2150="","",IF(C2150="No encontrado","No","Sí"))</f>
        <v/>
      </c>
      <c r="J2150" s="26" t="str">
        <f aca="false">IF(A2150="","",IF(F2150="Inactivo","No","Sí"))</f>
        <v/>
      </c>
      <c r="K2150" s="26" t="str">
        <f aca="false">IF(A2150="","",IF(AND(I2150="Sí",J2150="Sí"),"Sí","No"))</f>
        <v/>
      </c>
    </row>
    <row r="2151" customFormat="false" ht="15" hidden="false" customHeight="false" outlineLevel="0" collapsed="false">
      <c r="A2151" s="22"/>
      <c r="B2151" s="22"/>
      <c r="C2151" s="23" t="str">
        <f aca="false">IF(A2151="","",IFERROR(buscarx(A2151&amp;B2151,DATA!$E$3:$E$10000&amp;DATA!$B$3:$B$10000,DATA!$M$3:$M$10000),"No encontrado"))</f>
        <v/>
      </c>
      <c r="D2151" s="24" t="str">
        <f aca="false">IF(A2151="","",IFERROR(buscarx(A2151&amp;B2151,DATA!$E$3:$E$10000&amp;DATA!$B$3:$B$10000,DATA!$W$3:$W$10000),"No encontrado"))</f>
        <v/>
      </c>
      <c r="E2151" s="22"/>
      <c r="F2151" s="23" t="str">
        <f aca="false">IF(A2151="","",IFERROR(buscarx(A2151&amp;E2151,DATA!$E$3:$E$10000&amp;DATA!$B$3:$B$10000,DATA!$M$3:$M$10000),"Inactivo"))</f>
        <v/>
      </c>
      <c r="G2151" s="25" t="str">
        <f aca="false">IF(A2151="","",IF(AND(C2151&lt;&gt;"No encontrado",F2151&lt;&gt;"Inactivo"),C2151&amp;" → "&amp;F2151,"Sin transición"))</f>
        <v/>
      </c>
      <c r="H2151" s="23" t="str">
        <f aca="false">IF(A2151="","",IF(D2151="GCIA LINEA SERVICIO DIGITALIDAD Y VENTAS","Chats",IF(OR(D2151="GERENCIA INBOUND LÍNEAS SERVICIO Y VENTA",D2151="GERENCIA INBOUND LINEAS ESPECIALIZADAS"),"Llamadas","Otro")))</f>
        <v/>
      </c>
      <c r="I2151" s="23" t="str">
        <f aca="false">IF(A2151="","",IF(C2151="No encontrado","No","Sí"))</f>
        <v/>
      </c>
      <c r="J2151" s="23" t="str">
        <f aca="false">IF(A2151="","",IF(F2151="Inactivo","No","Sí"))</f>
        <v/>
      </c>
      <c r="K2151" s="23" t="str">
        <f aca="false">IF(A2151="","",IF(AND(I2151="Sí",J2151="Sí"),"Sí","No"))</f>
        <v/>
      </c>
    </row>
    <row r="2152" customFormat="false" ht="15" hidden="false" customHeight="false" outlineLevel="0" collapsed="false">
      <c r="A2152" s="22"/>
      <c r="B2152" s="22"/>
      <c r="C2152" s="26" t="str">
        <f aca="false">IF(A2152="","",IFERROR(buscarx(A2152&amp;B2152,DATA!$E$3:$E$10000&amp;DATA!$B$3:$B$10000,DATA!$M$3:$M$10000),"No encontrado"))</f>
        <v/>
      </c>
      <c r="D2152" s="27" t="str">
        <f aca="false">IF(A2152="","",IFERROR(buscarx(A2152&amp;B2152,DATA!$E$3:$E$10000&amp;DATA!$B$3:$B$10000,DATA!$W$3:$W$10000),"No encontrado"))</f>
        <v/>
      </c>
      <c r="E2152" s="22"/>
      <c r="F2152" s="26" t="str">
        <f aca="false">IF(A2152="","",IFERROR(buscarx(A2152&amp;E2152,DATA!$E$3:$E$10000&amp;DATA!$B$3:$B$10000,DATA!$M$3:$M$10000),"Inactivo"))</f>
        <v/>
      </c>
      <c r="G2152" s="28" t="str">
        <f aca="false">IF(A2152="","",IF(AND(C2152&lt;&gt;"No encontrado",F2152&lt;&gt;"Inactivo"),C2152&amp;" → "&amp;F2152,"Sin transición"))</f>
        <v/>
      </c>
      <c r="H2152" s="26" t="str">
        <f aca="false">IF(A2152="","",IF(D2152="GCIA LINEA SERVICIO DIGITALIDAD Y VENTAS","Chats",IF(OR(D2152="GERENCIA INBOUND LÍNEAS SERVICIO Y VENTA",D2152="GERENCIA INBOUND LINEAS ESPECIALIZADAS"),"Llamadas","Otro")))</f>
        <v/>
      </c>
      <c r="I2152" s="26" t="str">
        <f aca="false">IF(A2152="","",IF(C2152="No encontrado","No","Sí"))</f>
        <v/>
      </c>
      <c r="J2152" s="26" t="str">
        <f aca="false">IF(A2152="","",IF(F2152="Inactivo","No","Sí"))</f>
        <v/>
      </c>
      <c r="K2152" s="26" t="str">
        <f aca="false">IF(A2152="","",IF(AND(I2152="Sí",J2152="Sí"),"Sí","No"))</f>
        <v/>
      </c>
    </row>
    <row r="2153" customFormat="false" ht="15" hidden="false" customHeight="false" outlineLevel="0" collapsed="false">
      <c r="A2153" s="22"/>
      <c r="B2153" s="22"/>
      <c r="C2153" s="23" t="str">
        <f aca="false">IF(A2153="","",IFERROR(buscarx(A2153&amp;B2153,DATA!$E$3:$E$10000&amp;DATA!$B$3:$B$10000,DATA!$M$3:$M$10000),"No encontrado"))</f>
        <v/>
      </c>
      <c r="D2153" s="24" t="str">
        <f aca="false">IF(A2153="","",IFERROR(buscarx(A2153&amp;B2153,DATA!$E$3:$E$10000&amp;DATA!$B$3:$B$10000,DATA!$W$3:$W$10000),"No encontrado"))</f>
        <v/>
      </c>
      <c r="E2153" s="22"/>
      <c r="F2153" s="23" t="str">
        <f aca="false">IF(A2153="","",IFERROR(buscarx(A2153&amp;E2153,DATA!$E$3:$E$10000&amp;DATA!$B$3:$B$10000,DATA!$M$3:$M$10000),"Inactivo"))</f>
        <v/>
      </c>
      <c r="G2153" s="25" t="str">
        <f aca="false">IF(A2153="","",IF(AND(C2153&lt;&gt;"No encontrado",F2153&lt;&gt;"Inactivo"),C2153&amp;" → "&amp;F2153,"Sin transición"))</f>
        <v/>
      </c>
      <c r="H2153" s="23" t="str">
        <f aca="false">IF(A2153="","",IF(D2153="GCIA LINEA SERVICIO DIGITALIDAD Y VENTAS","Chats",IF(OR(D2153="GERENCIA INBOUND LÍNEAS SERVICIO Y VENTA",D2153="GERENCIA INBOUND LINEAS ESPECIALIZADAS"),"Llamadas","Otro")))</f>
        <v/>
      </c>
      <c r="I2153" s="23" t="str">
        <f aca="false">IF(A2153="","",IF(C2153="No encontrado","No","Sí"))</f>
        <v/>
      </c>
      <c r="J2153" s="23" t="str">
        <f aca="false">IF(A2153="","",IF(F2153="Inactivo","No","Sí"))</f>
        <v/>
      </c>
      <c r="K2153" s="23" t="str">
        <f aca="false">IF(A2153="","",IF(AND(I2153="Sí",J2153="Sí"),"Sí","No"))</f>
        <v/>
      </c>
    </row>
    <row r="2154" customFormat="false" ht="15" hidden="false" customHeight="false" outlineLevel="0" collapsed="false">
      <c r="A2154" s="22"/>
      <c r="B2154" s="22"/>
      <c r="C2154" s="26" t="str">
        <f aca="false">IF(A2154="","",IFERROR(buscarx(A2154&amp;B2154,DATA!$E$3:$E$10000&amp;DATA!$B$3:$B$10000,DATA!$M$3:$M$10000),"No encontrado"))</f>
        <v/>
      </c>
      <c r="D2154" s="27" t="str">
        <f aca="false">IF(A2154="","",IFERROR(buscarx(A2154&amp;B2154,DATA!$E$3:$E$10000&amp;DATA!$B$3:$B$10000,DATA!$W$3:$W$10000),"No encontrado"))</f>
        <v/>
      </c>
      <c r="E2154" s="22"/>
      <c r="F2154" s="26" t="str">
        <f aca="false">IF(A2154="","",IFERROR(buscarx(A2154&amp;E2154,DATA!$E$3:$E$10000&amp;DATA!$B$3:$B$10000,DATA!$M$3:$M$10000),"Inactivo"))</f>
        <v/>
      </c>
      <c r="G2154" s="28" t="str">
        <f aca="false">IF(A2154="","",IF(AND(C2154&lt;&gt;"No encontrado",F2154&lt;&gt;"Inactivo"),C2154&amp;" → "&amp;F2154,"Sin transición"))</f>
        <v/>
      </c>
      <c r="H2154" s="26" t="str">
        <f aca="false">IF(A2154="","",IF(D2154="GCIA LINEA SERVICIO DIGITALIDAD Y VENTAS","Chats",IF(OR(D2154="GERENCIA INBOUND LÍNEAS SERVICIO Y VENTA",D2154="GERENCIA INBOUND LINEAS ESPECIALIZADAS"),"Llamadas","Otro")))</f>
        <v/>
      </c>
      <c r="I2154" s="26" t="str">
        <f aca="false">IF(A2154="","",IF(C2154="No encontrado","No","Sí"))</f>
        <v/>
      </c>
      <c r="J2154" s="26" t="str">
        <f aca="false">IF(A2154="","",IF(F2154="Inactivo","No","Sí"))</f>
        <v/>
      </c>
      <c r="K2154" s="26" t="str">
        <f aca="false">IF(A2154="","",IF(AND(I2154="Sí",J2154="Sí"),"Sí","No"))</f>
        <v/>
      </c>
    </row>
    <row r="2155" customFormat="false" ht="15" hidden="false" customHeight="false" outlineLevel="0" collapsed="false">
      <c r="A2155" s="22"/>
      <c r="B2155" s="22"/>
      <c r="C2155" s="23" t="str">
        <f aca="false">IF(A2155="","",IFERROR(buscarx(A2155&amp;B2155,DATA!$E$3:$E$10000&amp;DATA!$B$3:$B$10000,DATA!$M$3:$M$10000),"No encontrado"))</f>
        <v/>
      </c>
      <c r="D2155" s="24" t="str">
        <f aca="false">IF(A2155="","",IFERROR(buscarx(A2155&amp;B2155,DATA!$E$3:$E$10000&amp;DATA!$B$3:$B$10000,DATA!$W$3:$W$10000),"No encontrado"))</f>
        <v/>
      </c>
      <c r="E2155" s="22"/>
      <c r="F2155" s="23" t="str">
        <f aca="false">IF(A2155="","",IFERROR(buscarx(A2155&amp;E2155,DATA!$E$3:$E$10000&amp;DATA!$B$3:$B$10000,DATA!$M$3:$M$10000),"Inactivo"))</f>
        <v/>
      </c>
      <c r="G2155" s="25" t="str">
        <f aca="false">IF(A2155="","",IF(AND(C2155&lt;&gt;"No encontrado",F2155&lt;&gt;"Inactivo"),C2155&amp;" → "&amp;F2155,"Sin transición"))</f>
        <v/>
      </c>
      <c r="H2155" s="23" t="str">
        <f aca="false">IF(A2155="","",IF(D2155="GCIA LINEA SERVICIO DIGITALIDAD Y VENTAS","Chats",IF(OR(D2155="GERENCIA INBOUND LÍNEAS SERVICIO Y VENTA",D2155="GERENCIA INBOUND LINEAS ESPECIALIZADAS"),"Llamadas","Otro")))</f>
        <v/>
      </c>
      <c r="I2155" s="23" t="str">
        <f aca="false">IF(A2155="","",IF(C2155="No encontrado","No","Sí"))</f>
        <v/>
      </c>
      <c r="J2155" s="23" t="str">
        <f aca="false">IF(A2155="","",IF(F2155="Inactivo","No","Sí"))</f>
        <v/>
      </c>
      <c r="K2155" s="23" t="str">
        <f aca="false">IF(A2155="","",IF(AND(I2155="Sí",J2155="Sí"),"Sí","No"))</f>
        <v/>
      </c>
    </row>
    <row r="2156" customFormat="false" ht="15" hidden="false" customHeight="false" outlineLevel="0" collapsed="false">
      <c r="A2156" s="22"/>
      <c r="B2156" s="22"/>
      <c r="C2156" s="26" t="str">
        <f aca="false">IF(A2156="","",IFERROR(buscarx(A2156&amp;B2156,DATA!$E$3:$E$10000&amp;DATA!$B$3:$B$10000,DATA!$M$3:$M$10000),"No encontrado"))</f>
        <v/>
      </c>
      <c r="D2156" s="27" t="str">
        <f aca="false">IF(A2156="","",IFERROR(buscarx(A2156&amp;B2156,DATA!$E$3:$E$10000&amp;DATA!$B$3:$B$10000,DATA!$W$3:$W$10000),"No encontrado"))</f>
        <v/>
      </c>
      <c r="E2156" s="22"/>
      <c r="F2156" s="26" t="str">
        <f aca="false">IF(A2156="","",IFERROR(buscarx(A2156&amp;E2156,DATA!$E$3:$E$10000&amp;DATA!$B$3:$B$10000,DATA!$M$3:$M$10000),"Inactivo"))</f>
        <v/>
      </c>
      <c r="G2156" s="28" t="str">
        <f aca="false">IF(A2156="","",IF(AND(C2156&lt;&gt;"No encontrado",F2156&lt;&gt;"Inactivo"),C2156&amp;" → "&amp;F2156,"Sin transición"))</f>
        <v/>
      </c>
      <c r="H2156" s="26" t="str">
        <f aca="false">IF(A2156="","",IF(D2156="GCIA LINEA SERVICIO DIGITALIDAD Y VENTAS","Chats",IF(OR(D2156="GERENCIA INBOUND LÍNEAS SERVICIO Y VENTA",D2156="GERENCIA INBOUND LINEAS ESPECIALIZADAS"),"Llamadas","Otro")))</f>
        <v/>
      </c>
      <c r="I2156" s="26" t="str">
        <f aca="false">IF(A2156="","",IF(C2156="No encontrado","No","Sí"))</f>
        <v/>
      </c>
      <c r="J2156" s="26" t="str">
        <f aca="false">IF(A2156="","",IF(F2156="Inactivo","No","Sí"))</f>
        <v/>
      </c>
      <c r="K2156" s="26" t="str">
        <f aca="false">IF(A2156="","",IF(AND(I2156="Sí",J2156="Sí"),"Sí","No"))</f>
        <v/>
      </c>
    </row>
    <row r="2157" customFormat="false" ht="15" hidden="false" customHeight="false" outlineLevel="0" collapsed="false">
      <c r="A2157" s="22"/>
      <c r="B2157" s="22"/>
      <c r="C2157" s="23" t="str">
        <f aca="false">IF(A2157="","",IFERROR(buscarx(A2157&amp;B2157,DATA!$E$3:$E$10000&amp;DATA!$B$3:$B$10000,DATA!$M$3:$M$10000),"No encontrado"))</f>
        <v/>
      </c>
      <c r="D2157" s="24" t="str">
        <f aca="false">IF(A2157="","",IFERROR(buscarx(A2157&amp;B2157,DATA!$E$3:$E$10000&amp;DATA!$B$3:$B$10000,DATA!$W$3:$W$10000),"No encontrado"))</f>
        <v/>
      </c>
      <c r="E2157" s="22"/>
      <c r="F2157" s="23" t="str">
        <f aca="false">IF(A2157="","",IFERROR(buscarx(A2157&amp;E2157,DATA!$E$3:$E$10000&amp;DATA!$B$3:$B$10000,DATA!$M$3:$M$10000),"Inactivo"))</f>
        <v/>
      </c>
      <c r="G2157" s="25" t="str">
        <f aca="false">IF(A2157="","",IF(AND(C2157&lt;&gt;"No encontrado",F2157&lt;&gt;"Inactivo"),C2157&amp;" → "&amp;F2157,"Sin transición"))</f>
        <v/>
      </c>
      <c r="H2157" s="23" t="str">
        <f aca="false">IF(A2157="","",IF(D2157="GCIA LINEA SERVICIO DIGITALIDAD Y VENTAS","Chats",IF(OR(D2157="GERENCIA INBOUND LÍNEAS SERVICIO Y VENTA",D2157="GERENCIA INBOUND LINEAS ESPECIALIZADAS"),"Llamadas","Otro")))</f>
        <v/>
      </c>
      <c r="I2157" s="23" t="str">
        <f aca="false">IF(A2157="","",IF(C2157="No encontrado","No","Sí"))</f>
        <v/>
      </c>
      <c r="J2157" s="23" t="str">
        <f aca="false">IF(A2157="","",IF(F2157="Inactivo","No","Sí"))</f>
        <v/>
      </c>
      <c r="K2157" s="23" t="str">
        <f aca="false">IF(A2157="","",IF(AND(I2157="Sí",J2157="Sí"),"Sí","No"))</f>
        <v/>
      </c>
    </row>
    <row r="2158" customFormat="false" ht="15" hidden="false" customHeight="false" outlineLevel="0" collapsed="false">
      <c r="A2158" s="22"/>
      <c r="B2158" s="22"/>
      <c r="C2158" s="26" t="str">
        <f aca="false">IF(A2158="","",IFERROR(buscarx(A2158&amp;B2158,DATA!$E$3:$E$10000&amp;DATA!$B$3:$B$10000,DATA!$M$3:$M$10000),"No encontrado"))</f>
        <v/>
      </c>
      <c r="D2158" s="27" t="str">
        <f aca="false">IF(A2158="","",IFERROR(buscarx(A2158&amp;B2158,DATA!$E$3:$E$10000&amp;DATA!$B$3:$B$10000,DATA!$W$3:$W$10000),"No encontrado"))</f>
        <v/>
      </c>
      <c r="E2158" s="22"/>
      <c r="F2158" s="26" t="str">
        <f aca="false">IF(A2158="","",IFERROR(buscarx(A2158&amp;E2158,DATA!$E$3:$E$10000&amp;DATA!$B$3:$B$10000,DATA!$M$3:$M$10000),"Inactivo"))</f>
        <v/>
      </c>
      <c r="G2158" s="28" t="str">
        <f aca="false">IF(A2158="","",IF(AND(C2158&lt;&gt;"No encontrado",F2158&lt;&gt;"Inactivo"),C2158&amp;" → "&amp;F2158,"Sin transición"))</f>
        <v/>
      </c>
      <c r="H2158" s="26" t="str">
        <f aca="false">IF(A2158="","",IF(D2158="GCIA LINEA SERVICIO DIGITALIDAD Y VENTAS","Chats",IF(OR(D2158="GERENCIA INBOUND LÍNEAS SERVICIO Y VENTA",D2158="GERENCIA INBOUND LINEAS ESPECIALIZADAS"),"Llamadas","Otro")))</f>
        <v/>
      </c>
      <c r="I2158" s="26" t="str">
        <f aca="false">IF(A2158="","",IF(C2158="No encontrado","No","Sí"))</f>
        <v/>
      </c>
      <c r="J2158" s="26" t="str">
        <f aca="false">IF(A2158="","",IF(F2158="Inactivo","No","Sí"))</f>
        <v/>
      </c>
      <c r="K2158" s="26" t="str">
        <f aca="false">IF(A2158="","",IF(AND(I2158="Sí",J2158="Sí"),"Sí","No"))</f>
        <v/>
      </c>
    </row>
    <row r="2159" customFormat="false" ht="15" hidden="false" customHeight="false" outlineLevel="0" collapsed="false">
      <c r="A2159" s="22"/>
      <c r="B2159" s="22"/>
      <c r="C2159" s="23" t="str">
        <f aca="false">IF(A2159="","",IFERROR(buscarx(A2159&amp;B2159,DATA!$E$3:$E$10000&amp;DATA!$B$3:$B$10000,DATA!$M$3:$M$10000),"No encontrado"))</f>
        <v/>
      </c>
      <c r="D2159" s="24" t="str">
        <f aca="false">IF(A2159="","",IFERROR(buscarx(A2159&amp;B2159,DATA!$E$3:$E$10000&amp;DATA!$B$3:$B$10000,DATA!$W$3:$W$10000),"No encontrado"))</f>
        <v/>
      </c>
      <c r="E2159" s="22"/>
      <c r="F2159" s="23" t="str">
        <f aca="false">IF(A2159="","",IFERROR(buscarx(A2159&amp;E2159,DATA!$E$3:$E$10000&amp;DATA!$B$3:$B$10000,DATA!$M$3:$M$10000),"Inactivo"))</f>
        <v/>
      </c>
      <c r="G2159" s="25" t="str">
        <f aca="false">IF(A2159="","",IF(AND(C2159&lt;&gt;"No encontrado",F2159&lt;&gt;"Inactivo"),C2159&amp;" → "&amp;F2159,"Sin transición"))</f>
        <v/>
      </c>
      <c r="H2159" s="23" t="str">
        <f aca="false">IF(A2159="","",IF(D2159="GCIA LINEA SERVICIO DIGITALIDAD Y VENTAS","Chats",IF(OR(D2159="GERENCIA INBOUND LÍNEAS SERVICIO Y VENTA",D2159="GERENCIA INBOUND LINEAS ESPECIALIZADAS"),"Llamadas","Otro")))</f>
        <v/>
      </c>
      <c r="I2159" s="23" t="str">
        <f aca="false">IF(A2159="","",IF(C2159="No encontrado","No","Sí"))</f>
        <v/>
      </c>
      <c r="J2159" s="23" t="str">
        <f aca="false">IF(A2159="","",IF(F2159="Inactivo","No","Sí"))</f>
        <v/>
      </c>
      <c r="K2159" s="23" t="str">
        <f aca="false">IF(A2159="","",IF(AND(I2159="Sí",J2159="Sí"),"Sí","No"))</f>
        <v/>
      </c>
    </row>
    <row r="2160" customFormat="false" ht="15" hidden="false" customHeight="false" outlineLevel="0" collapsed="false">
      <c r="A2160" s="22"/>
      <c r="B2160" s="22"/>
      <c r="C2160" s="26" t="str">
        <f aca="false">IF(A2160="","",IFERROR(buscarx(A2160&amp;B2160,DATA!$E$3:$E$10000&amp;DATA!$B$3:$B$10000,DATA!$M$3:$M$10000),"No encontrado"))</f>
        <v/>
      </c>
      <c r="D2160" s="27" t="str">
        <f aca="false">IF(A2160="","",IFERROR(buscarx(A2160&amp;B2160,DATA!$E$3:$E$10000&amp;DATA!$B$3:$B$10000,DATA!$W$3:$W$10000),"No encontrado"))</f>
        <v/>
      </c>
      <c r="E2160" s="22"/>
      <c r="F2160" s="26" t="str">
        <f aca="false">IF(A2160="","",IFERROR(buscarx(A2160&amp;E2160,DATA!$E$3:$E$10000&amp;DATA!$B$3:$B$10000,DATA!$M$3:$M$10000),"Inactivo"))</f>
        <v/>
      </c>
      <c r="G2160" s="28" t="str">
        <f aca="false">IF(A2160="","",IF(AND(C2160&lt;&gt;"No encontrado",F2160&lt;&gt;"Inactivo"),C2160&amp;" → "&amp;F2160,"Sin transición"))</f>
        <v/>
      </c>
      <c r="H2160" s="26" t="str">
        <f aca="false">IF(A2160="","",IF(D2160="GCIA LINEA SERVICIO DIGITALIDAD Y VENTAS","Chats",IF(OR(D2160="GERENCIA INBOUND LÍNEAS SERVICIO Y VENTA",D2160="GERENCIA INBOUND LINEAS ESPECIALIZADAS"),"Llamadas","Otro")))</f>
        <v/>
      </c>
      <c r="I2160" s="26" t="str">
        <f aca="false">IF(A2160="","",IF(C2160="No encontrado","No","Sí"))</f>
        <v/>
      </c>
      <c r="J2160" s="26" t="str">
        <f aca="false">IF(A2160="","",IF(F2160="Inactivo","No","Sí"))</f>
        <v/>
      </c>
      <c r="K2160" s="26" t="str">
        <f aca="false">IF(A2160="","",IF(AND(I2160="Sí",J2160="Sí"),"Sí","No"))</f>
        <v/>
      </c>
    </row>
    <row r="2161" customFormat="false" ht="15" hidden="false" customHeight="false" outlineLevel="0" collapsed="false">
      <c r="A2161" s="22"/>
      <c r="B2161" s="22"/>
      <c r="C2161" s="23" t="str">
        <f aca="false">IF(A2161="","",IFERROR(buscarx(A2161&amp;B2161,DATA!$E$3:$E$10000&amp;DATA!$B$3:$B$10000,DATA!$M$3:$M$10000),"No encontrado"))</f>
        <v/>
      </c>
      <c r="D2161" s="24" t="str">
        <f aca="false">IF(A2161="","",IFERROR(buscarx(A2161&amp;B2161,DATA!$E$3:$E$10000&amp;DATA!$B$3:$B$10000,DATA!$W$3:$W$10000),"No encontrado"))</f>
        <v/>
      </c>
      <c r="E2161" s="22"/>
      <c r="F2161" s="23" t="str">
        <f aca="false">IF(A2161="","",IFERROR(buscarx(A2161&amp;E2161,DATA!$E$3:$E$10000&amp;DATA!$B$3:$B$10000,DATA!$M$3:$M$10000),"Inactivo"))</f>
        <v/>
      </c>
      <c r="G2161" s="25" t="str">
        <f aca="false">IF(A2161="","",IF(AND(C2161&lt;&gt;"No encontrado",F2161&lt;&gt;"Inactivo"),C2161&amp;" → "&amp;F2161,"Sin transición"))</f>
        <v/>
      </c>
      <c r="H2161" s="23" t="str">
        <f aca="false">IF(A2161="","",IF(D2161="GCIA LINEA SERVICIO DIGITALIDAD Y VENTAS","Chats",IF(OR(D2161="GERENCIA INBOUND LÍNEAS SERVICIO Y VENTA",D2161="GERENCIA INBOUND LINEAS ESPECIALIZADAS"),"Llamadas","Otro")))</f>
        <v/>
      </c>
      <c r="I2161" s="23" t="str">
        <f aca="false">IF(A2161="","",IF(C2161="No encontrado","No","Sí"))</f>
        <v/>
      </c>
      <c r="J2161" s="23" t="str">
        <f aca="false">IF(A2161="","",IF(F2161="Inactivo","No","Sí"))</f>
        <v/>
      </c>
      <c r="K2161" s="23" t="str">
        <f aca="false">IF(A2161="","",IF(AND(I2161="Sí",J2161="Sí"),"Sí","No"))</f>
        <v/>
      </c>
    </row>
    <row r="2162" customFormat="false" ht="15" hidden="false" customHeight="false" outlineLevel="0" collapsed="false">
      <c r="A2162" s="22"/>
      <c r="B2162" s="22"/>
      <c r="C2162" s="26" t="str">
        <f aca="false">IF(A2162="","",IFERROR(buscarx(A2162&amp;B2162,DATA!$E$3:$E$10000&amp;DATA!$B$3:$B$10000,DATA!$M$3:$M$10000),"No encontrado"))</f>
        <v/>
      </c>
      <c r="D2162" s="27" t="str">
        <f aca="false">IF(A2162="","",IFERROR(buscarx(A2162&amp;B2162,DATA!$E$3:$E$10000&amp;DATA!$B$3:$B$10000,DATA!$W$3:$W$10000),"No encontrado"))</f>
        <v/>
      </c>
      <c r="E2162" s="22"/>
      <c r="F2162" s="26" t="str">
        <f aca="false">IF(A2162="","",IFERROR(buscarx(A2162&amp;E2162,DATA!$E$3:$E$10000&amp;DATA!$B$3:$B$10000,DATA!$M$3:$M$10000),"Inactivo"))</f>
        <v/>
      </c>
      <c r="G2162" s="28" t="str">
        <f aca="false">IF(A2162="","",IF(AND(C2162&lt;&gt;"No encontrado",F2162&lt;&gt;"Inactivo"),C2162&amp;" → "&amp;F2162,"Sin transición"))</f>
        <v/>
      </c>
      <c r="H2162" s="26" t="str">
        <f aca="false">IF(A2162="","",IF(D2162="GCIA LINEA SERVICIO DIGITALIDAD Y VENTAS","Chats",IF(OR(D2162="GERENCIA INBOUND LÍNEAS SERVICIO Y VENTA",D2162="GERENCIA INBOUND LINEAS ESPECIALIZADAS"),"Llamadas","Otro")))</f>
        <v/>
      </c>
      <c r="I2162" s="26" t="str">
        <f aca="false">IF(A2162="","",IF(C2162="No encontrado","No","Sí"))</f>
        <v/>
      </c>
      <c r="J2162" s="26" t="str">
        <f aca="false">IF(A2162="","",IF(F2162="Inactivo","No","Sí"))</f>
        <v/>
      </c>
      <c r="K2162" s="26" t="str">
        <f aca="false">IF(A2162="","",IF(AND(I2162="Sí",J2162="Sí"),"Sí","No"))</f>
        <v/>
      </c>
    </row>
    <row r="2163" customFormat="false" ht="15" hidden="false" customHeight="false" outlineLevel="0" collapsed="false">
      <c r="A2163" s="22"/>
      <c r="B2163" s="22"/>
      <c r="C2163" s="23" t="str">
        <f aca="false">IF(A2163="","",IFERROR(buscarx(A2163&amp;B2163,DATA!$E$3:$E$10000&amp;DATA!$B$3:$B$10000,DATA!$M$3:$M$10000),"No encontrado"))</f>
        <v/>
      </c>
      <c r="D2163" s="24" t="str">
        <f aca="false">IF(A2163="","",IFERROR(buscarx(A2163&amp;B2163,DATA!$E$3:$E$10000&amp;DATA!$B$3:$B$10000,DATA!$W$3:$W$10000),"No encontrado"))</f>
        <v/>
      </c>
      <c r="E2163" s="22"/>
      <c r="F2163" s="23" t="str">
        <f aca="false">IF(A2163="","",IFERROR(buscarx(A2163&amp;E2163,DATA!$E$3:$E$10000&amp;DATA!$B$3:$B$10000,DATA!$M$3:$M$10000),"Inactivo"))</f>
        <v/>
      </c>
      <c r="G2163" s="25" t="str">
        <f aca="false">IF(A2163="","",IF(AND(C2163&lt;&gt;"No encontrado",F2163&lt;&gt;"Inactivo"),C2163&amp;" → "&amp;F2163,"Sin transición"))</f>
        <v/>
      </c>
      <c r="H2163" s="23" t="str">
        <f aca="false">IF(A2163="","",IF(D2163="GCIA LINEA SERVICIO DIGITALIDAD Y VENTAS","Chats",IF(OR(D2163="GERENCIA INBOUND LÍNEAS SERVICIO Y VENTA",D2163="GERENCIA INBOUND LINEAS ESPECIALIZADAS"),"Llamadas","Otro")))</f>
        <v/>
      </c>
      <c r="I2163" s="23" t="str">
        <f aca="false">IF(A2163="","",IF(C2163="No encontrado","No","Sí"))</f>
        <v/>
      </c>
      <c r="J2163" s="23" t="str">
        <f aca="false">IF(A2163="","",IF(F2163="Inactivo","No","Sí"))</f>
        <v/>
      </c>
      <c r="K2163" s="23" t="str">
        <f aca="false">IF(A2163="","",IF(AND(I2163="Sí",J2163="Sí"),"Sí","No"))</f>
        <v/>
      </c>
    </row>
    <row r="2164" customFormat="false" ht="15" hidden="false" customHeight="false" outlineLevel="0" collapsed="false">
      <c r="A2164" s="22"/>
      <c r="B2164" s="22"/>
      <c r="C2164" s="26" t="str">
        <f aca="false">IF(A2164="","",IFERROR(buscarx(A2164&amp;B2164,DATA!$E$3:$E$10000&amp;DATA!$B$3:$B$10000,DATA!$M$3:$M$10000),"No encontrado"))</f>
        <v/>
      </c>
      <c r="D2164" s="27" t="str">
        <f aca="false">IF(A2164="","",IFERROR(buscarx(A2164&amp;B2164,DATA!$E$3:$E$10000&amp;DATA!$B$3:$B$10000,DATA!$W$3:$W$10000),"No encontrado"))</f>
        <v/>
      </c>
      <c r="E2164" s="22"/>
      <c r="F2164" s="26" t="str">
        <f aca="false">IF(A2164="","",IFERROR(buscarx(A2164&amp;E2164,DATA!$E$3:$E$10000&amp;DATA!$B$3:$B$10000,DATA!$M$3:$M$10000),"Inactivo"))</f>
        <v/>
      </c>
      <c r="G2164" s="28" t="str">
        <f aca="false">IF(A2164="","",IF(AND(C2164&lt;&gt;"No encontrado",F2164&lt;&gt;"Inactivo"),C2164&amp;" → "&amp;F2164,"Sin transición"))</f>
        <v/>
      </c>
      <c r="H2164" s="26" t="str">
        <f aca="false">IF(A2164="","",IF(D2164="GCIA LINEA SERVICIO DIGITALIDAD Y VENTAS","Chats",IF(OR(D2164="GERENCIA INBOUND LÍNEAS SERVICIO Y VENTA",D2164="GERENCIA INBOUND LINEAS ESPECIALIZADAS"),"Llamadas","Otro")))</f>
        <v/>
      </c>
      <c r="I2164" s="26" t="str">
        <f aca="false">IF(A2164="","",IF(C2164="No encontrado","No","Sí"))</f>
        <v/>
      </c>
      <c r="J2164" s="26" t="str">
        <f aca="false">IF(A2164="","",IF(F2164="Inactivo","No","Sí"))</f>
        <v/>
      </c>
      <c r="K2164" s="26" t="str">
        <f aca="false">IF(A2164="","",IF(AND(I2164="Sí",J2164="Sí"),"Sí","No"))</f>
        <v/>
      </c>
    </row>
    <row r="2165" customFormat="false" ht="15" hidden="false" customHeight="false" outlineLevel="0" collapsed="false">
      <c r="A2165" s="22"/>
      <c r="B2165" s="22"/>
      <c r="C2165" s="23" t="str">
        <f aca="false">IF(A2165="","",IFERROR(buscarx(A2165&amp;B2165,DATA!$E$3:$E$10000&amp;DATA!$B$3:$B$10000,DATA!$M$3:$M$10000),"No encontrado"))</f>
        <v/>
      </c>
      <c r="D2165" s="24" t="str">
        <f aca="false">IF(A2165="","",IFERROR(buscarx(A2165&amp;B2165,DATA!$E$3:$E$10000&amp;DATA!$B$3:$B$10000,DATA!$W$3:$W$10000),"No encontrado"))</f>
        <v/>
      </c>
      <c r="E2165" s="22"/>
      <c r="F2165" s="23" t="str">
        <f aca="false">IF(A2165="","",IFERROR(buscarx(A2165&amp;E2165,DATA!$E$3:$E$10000&amp;DATA!$B$3:$B$10000,DATA!$M$3:$M$10000),"Inactivo"))</f>
        <v/>
      </c>
      <c r="G2165" s="25" t="str">
        <f aca="false">IF(A2165="","",IF(AND(C2165&lt;&gt;"No encontrado",F2165&lt;&gt;"Inactivo"),C2165&amp;" → "&amp;F2165,"Sin transición"))</f>
        <v/>
      </c>
      <c r="H2165" s="23" t="str">
        <f aca="false">IF(A2165="","",IF(D2165="GCIA LINEA SERVICIO DIGITALIDAD Y VENTAS","Chats",IF(OR(D2165="GERENCIA INBOUND LÍNEAS SERVICIO Y VENTA",D2165="GERENCIA INBOUND LINEAS ESPECIALIZADAS"),"Llamadas","Otro")))</f>
        <v/>
      </c>
      <c r="I2165" s="23" t="str">
        <f aca="false">IF(A2165="","",IF(C2165="No encontrado","No","Sí"))</f>
        <v/>
      </c>
      <c r="J2165" s="23" t="str">
        <f aca="false">IF(A2165="","",IF(F2165="Inactivo","No","Sí"))</f>
        <v/>
      </c>
      <c r="K2165" s="23" t="str">
        <f aca="false">IF(A2165="","",IF(AND(I2165="Sí",J2165="Sí"),"Sí","No"))</f>
        <v/>
      </c>
    </row>
    <row r="2166" customFormat="false" ht="15" hidden="false" customHeight="false" outlineLevel="0" collapsed="false">
      <c r="A2166" s="22"/>
      <c r="B2166" s="22"/>
      <c r="C2166" s="26" t="str">
        <f aca="false">IF(A2166="","",IFERROR(buscarx(A2166&amp;B2166,DATA!$E$3:$E$10000&amp;DATA!$B$3:$B$10000,DATA!$M$3:$M$10000),"No encontrado"))</f>
        <v/>
      </c>
      <c r="D2166" s="27" t="str">
        <f aca="false">IF(A2166="","",IFERROR(buscarx(A2166&amp;B2166,DATA!$E$3:$E$10000&amp;DATA!$B$3:$B$10000,DATA!$W$3:$W$10000),"No encontrado"))</f>
        <v/>
      </c>
      <c r="E2166" s="22"/>
      <c r="F2166" s="26" t="str">
        <f aca="false">IF(A2166="","",IFERROR(buscarx(A2166&amp;E2166,DATA!$E$3:$E$10000&amp;DATA!$B$3:$B$10000,DATA!$M$3:$M$10000),"Inactivo"))</f>
        <v/>
      </c>
      <c r="G2166" s="28" t="str">
        <f aca="false">IF(A2166="","",IF(AND(C2166&lt;&gt;"No encontrado",F2166&lt;&gt;"Inactivo"),C2166&amp;" → "&amp;F2166,"Sin transición"))</f>
        <v/>
      </c>
      <c r="H2166" s="26" t="str">
        <f aca="false">IF(A2166="","",IF(D2166="GCIA LINEA SERVICIO DIGITALIDAD Y VENTAS","Chats",IF(OR(D2166="GERENCIA INBOUND LÍNEAS SERVICIO Y VENTA",D2166="GERENCIA INBOUND LINEAS ESPECIALIZADAS"),"Llamadas","Otro")))</f>
        <v/>
      </c>
      <c r="I2166" s="26" t="str">
        <f aca="false">IF(A2166="","",IF(C2166="No encontrado","No","Sí"))</f>
        <v/>
      </c>
      <c r="J2166" s="26" t="str">
        <f aca="false">IF(A2166="","",IF(F2166="Inactivo","No","Sí"))</f>
        <v/>
      </c>
      <c r="K2166" s="26" t="str">
        <f aca="false">IF(A2166="","",IF(AND(I2166="Sí",J2166="Sí"),"Sí","No"))</f>
        <v/>
      </c>
    </row>
    <row r="2167" customFormat="false" ht="15" hidden="false" customHeight="false" outlineLevel="0" collapsed="false">
      <c r="A2167" s="22"/>
      <c r="B2167" s="22"/>
      <c r="C2167" s="23" t="str">
        <f aca="false">IF(A2167="","",IFERROR(buscarx(A2167&amp;B2167,DATA!$E$3:$E$10000&amp;DATA!$B$3:$B$10000,DATA!$M$3:$M$10000),"No encontrado"))</f>
        <v/>
      </c>
      <c r="D2167" s="24" t="str">
        <f aca="false">IF(A2167="","",IFERROR(buscarx(A2167&amp;B2167,DATA!$E$3:$E$10000&amp;DATA!$B$3:$B$10000,DATA!$W$3:$W$10000),"No encontrado"))</f>
        <v/>
      </c>
      <c r="E2167" s="22"/>
      <c r="F2167" s="23" t="str">
        <f aca="false">IF(A2167="","",IFERROR(buscarx(A2167&amp;E2167,DATA!$E$3:$E$10000&amp;DATA!$B$3:$B$10000,DATA!$M$3:$M$10000),"Inactivo"))</f>
        <v/>
      </c>
      <c r="G2167" s="25" t="str">
        <f aca="false">IF(A2167="","",IF(AND(C2167&lt;&gt;"No encontrado",F2167&lt;&gt;"Inactivo"),C2167&amp;" → "&amp;F2167,"Sin transición"))</f>
        <v/>
      </c>
      <c r="H2167" s="23" t="str">
        <f aca="false">IF(A2167="","",IF(D2167="GCIA LINEA SERVICIO DIGITALIDAD Y VENTAS","Chats",IF(OR(D2167="GERENCIA INBOUND LÍNEAS SERVICIO Y VENTA",D2167="GERENCIA INBOUND LINEAS ESPECIALIZADAS"),"Llamadas","Otro")))</f>
        <v/>
      </c>
      <c r="I2167" s="23" t="str">
        <f aca="false">IF(A2167="","",IF(C2167="No encontrado","No","Sí"))</f>
        <v/>
      </c>
      <c r="J2167" s="23" t="str">
        <f aca="false">IF(A2167="","",IF(F2167="Inactivo","No","Sí"))</f>
        <v/>
      </c>
      <c r="K2167" s="23" t="str">
        <f aca="false">IF(A2167="","",IF(AND(I2167="Sí",J2167="Sí"),"Sí","No"))</f>
        <v/>
      </c>
    </row>
    <row r="2168" customFormat="false" ht="15" hidden="false" customHeight="false" outlineLevel="0" collapsed="false">
      <c r="A2168" s="22"/>
      <c r="B2168" s="22"/>
      <c r="C2168" s="26" t="str">
        <f aca="false">IF(A2168="","",IFERROR(buscarx(A2168&amp;B2168,DATA!$E$3:$E$10000&amp;DATA!$B$3:$B$10000,DATA!$M$3:$M$10000),"No encontrado"))</f>
        <v/>
      </c>
      <c r="D2168" s="27" t="str">
        <f aca="false">IF(A2168="","",IFERROR(buscarx(A2168&amp;B2168,DATA!$E$3:$E$10000&amp;DATA!$B$3:$B$10000,DATA!$W$3:$W$10000),"No encontrado"))</f>
        <v/>
      </c>
      <c r="E2168" s="22"/>
      <c r="F2168" s="26" t="str">
        <f aca="false">IF(A2168="","",IFERROR(buscarx(A2168&amp;E2168,DATA!$E$3:$E$10000&amp;DATA!$B$3:$B$10000,DATA!$M$3:$M$10000),"Inactivo"))</f>
        <v/>
      </c>
      <c r="G2168" s="28" t="str">
        <f aca="false">IF(A2168="","",IF(AND(C2168&lt;&gt;"No encontrado",F2168&lt;&gt;"Inactivo"),C2168&amp;" → "&amp;F2168,"Sin transición"))</f>
        <v/>
      </c>
      <c r="H2168" s="26" t="str">
        <f aca="false">IF(A2168="","",IF(D2168="GCIA LINEA SERVICIO DIGITALIDAD Y VENTAS","Chats",IF(OR(D2168="GERENCIA INBOUND LÍNEAS SERVICIO Y VENTA",D2168="GERENCIA INBOUND LINEAS ESPECIALIZADAS"),"Llamadas","Otro")))</f>
        <v/>
      </c>
      <c r="I2168" s="26" t="str">
        <f aca="false">IF(A2168="","",IF(C2168="No encontrado","No","Sí"))</f>
        <v/>
      </c>
      <c r="J2168" s="26" t="str">
        <f aca="false">IF(A2168="","",IF(F2168="Inactivo","No","Sí"))</f>
        <v/>
      </c>
      <c r="K2168" s="26" t="str">
        <f aca="false">IF(A2168="","",IF(AND(I2168="Sí",J2168="Sí"),"Sí","No"))</f>
        <v/>
      </c>
    </row>
    <row r="2169" customFormat="false" ht="15" hidden="false" customHeight="false" outlineLevel="0" collapsed="false">
      <c r="A2169" s="22"/>
      <c r="B2169" s="22"/>
      <c r="C2169" s="23" t="str">
        <f aca="false">IF(A2169="","",IFERROR(buscarx(A2169&amp;B2169,DATA!$E$3:$E$10000&amp;DATA!$B$3:$B$10000,DATA!$M$3:$M$10000),"No encontrado"))</f>
        <v/>
      </c>
      <c r="D2169" s="24" t="str">
        <f aca="false">IF(A2169="","",IFERROR(buscarx(A2169&amp;B2169,DATA!$E$3:$E$10000&amp;DATA!$B$3:$B$10000,DATA!$W$3:$W$10000),"No encontrado"))</f>
        <v/>
      </c>
      <c r="E2169" s="22"/>
      <c r="F2169" s="23" t="str">
        <f aca="false">IF(A2169="","",IFERROR(buscarx(A2169&amp;E2169,DATA!$E$3:$E$10000&amp;DATA!$B$3:$B$10000,DATA!$M$3:$M$10000),"Inactivo"))</f>
        <v/>
      </c>
      <c r="G2169" s="25" t="str">
        <f aca="false">IF(A2169="","",IF(AND(C2169&lt;&gt;"No encontrado",F2169&lt;&gt;"Inactivo"),C2169&amp;" → "&amp;F2169,"Sin transición"))</f>
        <v/>
      </c>
      <c r="H2169" s="23" t="str">
        <f aca="false">IF(A2169="","",IF(D2169="GCIA LINEA SERVICIO DIGITALIDAD Y VENTAS","Chats",IF(OR(D2169="GERENCIA INBOUND LÍNEAS SERVICIO Y VENTA",D2169="GERENCIA INBOUND LINEAS ESPECIALIZADAS"),"Llamadas","Otro")))</f>
        <v/>
      </c>
      <c r="I2169" s="23" t="str">
        <f aca="false">IF(A2169="","",IF(C2169="No encontrado","No","Sí"))</f>
        <v/>
      </c>
      <c r="J2169" s="23" t="str">
        <f aca="false">IF(A2169="","",IF(F2169="Inactivo","No","Sí"))</f>
        <v/>
      </c>
      <c r="K2169" s="23" t="str">
        <f aca="false">IF(A2169="","",IF(AND(I2169="Sí",J2169="Sí"),"Sí","No"))</f>
        <v/>
      </c>
    </row>
    <row r="2170" customFormat="false" ht="15" hidden="false" customHeight="false" outlineLevel="0" collapsed="false">
      <c r="A2170" s="22"/>
      <c r="B2170" s="22"/>
      <c r="C2170" s="26" t="str">
        <f aca="false">IF(A2170="","",IFERROR(buscarx(A2170&amp;B2170,DATA!$E$3:$E$10000&amp;DATA!$B$3:$B$10000,DATA!$M$3:$M$10000),"No encontrado"))</f>
        <v/>
      </c>
      <c r="D2170" s="27" t="str">
        <f aca="false">IF(A2170="","",IFERROR(buscarx(A2170&amp;B2170,DATA!$E$3:$E$10000&amp;DATA!$B$3:$B$10000,DATA!$W$3:$W$10000),"No encontrado"))</f>
        <v/>
      </c>
      <c r="E2170" s="22"/>
      <c r="F2170" s="26" t="str">
        <f aca="false">IF(A2170="","",IFERROR(buscarx(A2170&amp;E2170,DATA!$E$3:$E$10000&amp;DATA!$B$3:$B$10000,DATA!$M$3:$M$10000),"Inactivo"))</f>
        <v/>
      </c>
      <c r="G2170" s="28" t="str">
        <f aca="false">IF(A2170="","",IF(AND(C2170&lt;&gt;"No encontrado",F2170&lt;&gt;"Inactivo"),C2170&amp;" → "&amp;F2170,"Sin transición"))</f>
        <v/>
      </c>
      <c r="H2170" s="26" t="str">
        <f aca="false">IF(A2170="","",IF(D2170="GCIA LINEA SERVICIO DIGITALIDAD Y VENTAS","Chats",IF(OR(D2170="GERENCIA INBOUND LÍNEAS SERVICIO Y VENTA",D2170="GERENCIA INBOUND LINEAS ESPECIALIZADAS"),"Llamadas","Otro")))</f>
        <v/>
      </c>
      <c r="I2170" s="26" t="str">
        <f aca="false">IF(A2170="","",IF(C2170="No encontrado","No","Sí"))</f>
        <v/>
      </c>
      <c r="J2170" s="26" t="str">
        <f aca="false">IF(A2170="","",IF(F2170="Inactivo","No","Sí"))</f>
        <v/>
      </c>
      <c r="K2170" s="26" t="str">
        <f aca="false">IF(A2170="","",IF(AND(I2170="Sí",J2170="Sí"),"Sí","No"))</f>
        <v/>
      </c>
    </row>
    <row r="2171" customFormat="false" ht="15" hidden="false" customHeight="false" outlineLevel="0" collapsed="false">
      <c r="A2171" s="22"/>
      <c r="B2171" s="22"/>
      <c r="C2171" s="23" t="str">
        <f aca="false">IF(A2171="","",IFERROR(buscarx(A2171&amp;B2171,DATA!$E$3:$E$10000&amp;DATA!$B$3:$B$10000,DATA!$M$3:$M$10000),"No encontrado"))</f>
        <v/>
      </c>
      <c r="D2171" s="24" t="str">
        <f aca="false">IF(A2171="","",IFERROR(buscarx(A2171&amp;B2171,DATA!$E$3:$E$10000&amp;DATA!$B$3:$B$10000,DATA!$W$3:$W$10000),"No encontrado"))</f>
        <v/>
      </c>
      <c r="E2171" s="22"/>
      <c r="F2171" s="23" t="str">
        <f aca="false">IF(A2171="","",IFERROR(buscarx(A2171&amp;E2171,DATA!$E$3:$E$10000&amp;DATA!$B$3:$B$10000,DATA!$M$3:$M$10000),"Inactivo"))</f>
        <v/>
      </c>
      <c r="G2171" s="25" t="str">
        <f aca="false">IF(A2171="","",IF(AND(C2171&lt;&gt;"No encontrado",F2171&lt;&gt;"Inactivo"),C2171&amp;" → "&amp;F2171,"Sin transición"))</f>
        <v/>
      </c>
      <c r="H2171" s="23" t="str">
        <f aca="false">IF(A2171="","",IF(D2171="GCIA LINEA SERVICIO DIGITALIDAD Y VENTAS","Chats",IF(OR(D2171="GERENCIA INBOUND LÍNEAS SERVICIO Y VENTA",D2171="GERENCIA INBOUND LINEAS ESPECIALIZADAS"),"Llamadas","Otro")))</f>
        <v/>
      </c>
      <c r="I2171" s="23" t="str">
        <f aca="false">IF(A2171="","",IF(C2171="No encontrado","No","Sí"))</f>
        <v/>
      </c>
      <c r="J2171" s="23" t="str">
        <f aca="false">IF(A2171="","",IF(F2171="Inactivo","No","Sí"))</f>
        <v/>
      </c>
      <c r="K2171" s="23" t="str">
        <f aca="false">IF(A2171="","",IF(AND(I2171="Sí",J2171="Sí"),"Sí","No"))</f>
        <v/>
      </c>
    </row>
    <row r="2172" customFormat="false" ht="15" hidden="false" customHeight="false" outlineLevel="0" collapsed="false">
      <c r="A2172" s="22"/>
      <c r="B2172" s="22"/>
      <c r="C2172" s="26" t="str">
        <f aca="false">IF(A2172="","",IFERROR(buscarx(A2172&amp;B2172,DATA!$E$3:$E$10000&amp;DATA!$B$3:$B$10000,DATA!$M$3:$M$10000),"No encontrado"))</f>
        <v/>
      </c>
      <c r="D2172" s="27" t="str">
        <f aca="false">IF(A2172="","",IFERROR(buscarx(A2172&amp;B2172,DATA!$E$3:$E$10000&amp;DATA!$B$3:$B$10000,DATA!$W$3:$W$10000),"No encontrado"))</f>
        <v/>
      </c>
      <c r="E2172" s="22"/>
      <c r="F2172" s="26" t="str">
        <f aca="false">IF(A2172="","",IFERROR(buscarx(A2172&amp;E2172,DATA!$E$3:$E$10000&amp;DATA!$B$3:$B$10000,DATA!$M$3:$M$10000),"Inactivo"))</f>
        <v/>
      </c>
      <c r="G2172" s="28" t="str">
        <f aca="false">IF(A2172="","",IF(AND(C2172&lt;&gt;"No encontrado",F2172&lt;&gt;"Inactivo"),C2172&amp;" → "&amp;F2172,"Sin transición"))</f>
        <v/>
      </c>
      <c r="H2172" s="26" t="str">
        <f aca="false">IF(A2172="","",IF(D2172="GCIA LINEA SERVICIO DIGITALIDAD Y VENTAS","Chats",IF(OR(D2172="GERENCIA INBOUND LÍNEAS SERVICIO Y VENTA",D2172="GERENCIA INBOUND LINEAS ESPECIALIZADAS"),"Llamadas","Otro")))</f>
        <v/>
      </c>
      <c r="I2172" s="26" t="str">
        <f aca="false">IF(A2172="","",IF(C2172="No encontrado","No","Sí"))</f>
        <v/>
      </c>
      <c r="J2172" s="26" t="str">
        <f aca="false">IF(A2172="","",IF(F2172="Inactivo","No","Sí"))</f>
        <v/>
      </c>
      <c r="K2172" s="26" t="str">
        <f aca="false">IF(A2172="","",IF(AND(I2172="Sí",J2172="Sí"),"Sí","No"))</f>
        <v/>
      </c>
    </row>
    <row r="2173" customFormat="false" ht="15" hidden="false" customHeight="false" outlineLevel="0" collapsed="false">
      <c r="A2173" s="22"/>
      <c r="B2173" s="22"/>
      <c r="C2173" s="23" t="str">
        <f aca="false">IF(A2173="","",IFERROR(buscarx(A2173&amp;B2173,DATA!$E$3:$E$10000&amp;DATA!$B$3:$B$10000,DATA!$M$3:$M$10000),"No encontrado"))</f>
        <v/>
      </c>
      <c r="D2173" s="24" t="str">
        <f aca="false">IF(A2173="","",IFERROR(buscarx(A2173&amp;B2173,DATA!$E$3:$E$10000&amp;DATA!$B$3:$B$10000,DATA!$W$3:$W$10000),"No encontrado"))</f>
        <v/>
      </c>
      <c r="E2173" s="22"/>
      <c r="F2173" s="23" t="str">
        <f aca="false">IF(A2173="","",IFERROR(buscarx(A2173&amp;E2173,DATA!$E$3:$E$10000&amp;DATA!$B$3:$B$10000,DATA!$M$3:$M$10000),"Inactivo"))</f>
        <v/>
      </c>
      <c r="G2173" s="25" t="str">
        <f aca="false">IF(A2173="","",IF(AND(C2173&lt;&gt;"No encontrado",F2173&lt;&gt;"Inactivo"),C2173&amp;" → "&amp;F2173,"Sin transición"))</f>
        <v/>
      </c>
      <c r="H2173" s="23" t="str">
        <f aca="false">IF(A2173="","",IF(D2173="GCIA LINEA SERVICIO DIGITALIDAD Y VENTAS","Chats",IF(OR(D2173="GERENCIA INBOUND LÍNEAS SERVICIO Y VENTA",D2173="GERENCIA INBOUND LINEAS ESPECIALIZADAS"),"Llamadas","Otro")))</f>
        <v/>
      </c>
      <c r="I2173" s="23" t="str">
        <f aca="false">IF(A2173="","",IF(C2173="No encontrado","No","Sí"))</f>
        <v/>
      </c>
      <c r="J2173" s="23" t="str">
        <f aca="false">IF(A2173="","",IF(F2173="Inactivo","No","Sí"))</f>
        <v/>
      </c>
      <c r="K2173" s="23" t="str">
        <f aca="false">IF(A2173="","",IF(AND(I2173="Sí",J2173="Sí"),"Sí","No"))</f>
        <v/>
      </c>
    </row>
    <row r="2174" customFormat="false" ht="15" hidden="false" customHeight="false" outlineLevel="0" collapsed="false">
      <c r="A2174" s="22"/>
      <c r="B2174" s="22"/>
      <c r="C2174" s="26" t="str">
        <f aca="false">IF(A2174="","",IFERROR(buscarx(A2174&amp;B2174,DATA!$E$3:$E$10000&amp;DATA!$B$3:$B$10000,DATA!$M$3:$M$10000),"No encontrado"))</f>
        <v/>
      </c>
      <c r="D2174" s="27" t="str">
        <f aca="false">IF(A2174="","",IFERROR(buscarx(A2174&amp;B2174,DATA!$E$3:$E$10000&amp;DATA!$B$3:$B$10000,DATA!$W$3:$W$10000),"No encontrado"))</f>
        <v/>
      </c>
      <c r="E2174" s="22"/>
      <c r="F2174" s="26" t="str">
        <f aca="false">IF(A2174="","",IFERROR(buscarx(A2174&amp;E2174,DATA!$E$3:$E$10000&amp;DATA!$B$3:$B$10000,DATA!$M$3:$M$10000),"Inactivo"))</f>
        <v/>
      </c>
      <c r="G2174" s="28" t="str">
        <f aca="false">IF(A2174="","",IF(AND(C2174&lt;&gt;"No encontrado",F2174&lt;&gt;"Inactivo"),C2174&amp;" → "&amp;F2174,"Sin transición"))</f>
        <v/>
      </c>
      <c r="H2174" s="26" t="str">
        <f aca="false">IF(A2174="","",IF(D2174="GCIA LINEA SERVICIO DIGITALIDAD Y VENTAS","Chats",IF(OR(D2174="GERENCIA INBOUND LÍNEAS SERVICIO Y VENTA",D2174="GERENCIA INBOUND LINEAS ESPECIALIZADAS"),"Llamadas","Otro")))</f>
        <v/>
      </c>
      <c r="I2174" s="26" t="str">
        <f aca="false">IF(A2174="","",IF(C2174="No encontrado","No","Sí"))</f>
        <v/>
      </c>
      <c r="J2174" s="26" t="str">
        <f aca="false">IF(A2174="","",IF(F2174="Inactivo","No","Sí"))</f>
        <v/>
      </c>
      <c r="K2174" s="26" t="str">
        <f aca="false">IF(A2174="","",IF(AND(I2174="Sí",J2174="Sí"),"Sí","No"))</f>
        <v/>
      </c>
    </row>
    <row r="2175" customFormat="false" ht="15" hidden="false" customHeight="false" outlineLevel="0" collapsed="false">
      <c r="A2175" s="22"/>
      <c r="B2175" s="22"/>
      <c r="C2175" s="23" t="str">
        <f aca="false">IF(A2175="","",IFERROR(buscarx(A2175&amp;B2175,DATA!$E$3:$E$10000&amp;DATA!$B$3:$B$10000,DATA!$M$3:$M$10000),"No encontrado"))</f>
        <v/>
      </c>
      <c r="D2175" s="24" t="str">
        <f aca="false">IF(A2175="","",IFERROR(buscarx(A2175&amp;B2175,DATA!$E$3:$E$10000&amp;DATA!$B$3:$B$10000,DATA!$W$3:$W$10000),"No encontrado"))</f>
        <v/>
      </c>
      <c r="E2175" s="22"/>
      <c r="F2175" s="23" t="str">
        <f aca="false">IF(A2175="","",IFERROR(buscarx(A2175&amp;E2175,DATA!$E$3:$E$10000&amp;DATA!$B$3:$B$10000,DATA!$M$3:$M$10000),"Inactivo"))</f>
        <v/>
      </c>
      <c r="G2175" s="25" t="str">
        <f aca="false">IF(A2175="","",IF(AND(C2175&lt;&gt;"No encontrado",F2175&lt;&gt;"Inactivo"),C2175&amp;" → "&amp;F2175,"Sin transición"))</f>
        <v/>
      </c>
      <c r="H2175" s="23" t="str">
        <f aca="false">IF(A2175="","",IF(D2175="GCIA LINEA SERVICIO DIGITALIDAD Y VENTAS","Chats",IF(OR(D2175="GERENCIA INBOUND LÍNEAS SERVICIO Y VENTA",D2175="GERENCIA INBOUND LINEAS ESPECIALIZADAS"),"Llamadas","Otro")))</f>
        <v/>
      </c>
      <c r="I2175" s="23" t="str">
        <f aca="false">IF(A2175="","",IF(C2175="No encontrado","No","Sí"))</f>
        <v/>
      </c>
      <c r="J2175" s="23" t="str">
        <f aca="false">IF(A2175="","",IF(F2175="Inactivo","No","Sí"))</f>
        <v/>
      </c>
      <c r="K2175" s="23" t="str">
        <f aca="false">IF(A2175="","",IF(AND(I2175="Sí",J2175="Sí"),"Sí","No"))</f>
        <v/>
      </c>
    </row>
    <row r="2176" customFormat="false" ht="15" hidden="false" customHeight="false" outlineLevel="0" collapsed="false">
      <c r="A2176" s="22"/>
      <c r="B2176" s="22"/>
      <c r="C2176" s="26" t="str">
        <f aca="false">IF(A2176="","",IFERROR(buscarx(A2176&amp;B2176,DATA!$E$3:$E$10000&amp;DATA!$B$3:$B$10000,DATA!$M$3:$M$10000),"No encontrado"))</f>
        <v/>
      </c>
      <c r="D2176" s="27" t="str">
        <f aca="false">IF(A2176="","",IFERROR(buscarx(A2176&amp;B2176,DATA!$E$3:$E$10000&amp;DATA!$B$3:$B$10000,DATA!$W$3:$W$10000),"No encontrado"))</f>
        <v/>
      </c>
      <c r="E2176" s="22"/>
      <c r="F2176" s="26" t="str">
        <f aca="false">IF(A2176="","",IFERROR(buscarx(A2176&amp;E2176,DATA!$E$3:$E$10000&amp;DATA!$B$3:$B$10000,DATA!$M$3:$M$10000),"Inactivo"))</f>
        <v/>
      </c>
      <c r="G2176" s="28" t="str">
        <f aca="false">IF(A2176="","",IF(AND(C2176&lt;&gt;"No encontrado",F2176&lt;&gt;"Inactivo"),C2176&amp;" → "&amp;F2176,"Sin transición"))</f>
        <v/>
      </c>
      <c r="H2176" s="26" t="str">
        <f aca="false">IF(A2176="","",IF(D2176="GCIA LINEA SERVICIO DIGITALIDAD Y VENTAS","Chats",IF(OR(D2176="GERENCIA INBOUND LÍNEAS SERVICIO Y VENTA",D2176="GERENCIA INBOUND LINEAS ESPECIALIZADAS"),"Llamadas","Otro")))</f>
        <v/>
      </c>
      <c r="I2176" s="26" t="str">
        <f aca="false">IF(A2176="","",IF(C2176="No encontrado","No","Sí"))</f>
        <v/>
      </c>
      <c r="J2176" s="26" t="str">
        <f aca="false">IF(A2176="","",IF(F2176="Inactivo","No","Sí"))</f>
        <v/>
      </c>
      <c r="K2176" s="26" t="str">
        <f aca="false">IF(A2176="","",IF(AND(I2176="Sí",J2176="Sí"),"Sí","No"))</f>
        <v/>
      </c>
    </row>
    <row r="2177" customFormat="false" ht="15" hidden="false" customHeight="false" outlineLevel="0" collapsed="false">
      <c r="A2177" s="22"/>
      <c r="B2177" s="22"/>
      <c r="C2177" s="23" t="str">
        <f aca="false">IF(A2177="","",IFERROR(buscarx(A2177&amp;B2177,DATA!$E$3:$E$10000&amp;DATA!$B$3:$B$10000,DATA!$M$3:$M$10000),"No encontrado"))</f>
        <v/>
      </c>
      <c r="D2177" s="24" t="str">
        <f aca="false">IF(A2177="","",IFERROR(buscarx(A2177&amp;B2177,DATA!$E$3:$E$10000&amp;DATA!$B$3:$B$10000,DATA!$W$3:$W$10000),"No encontrado"))</f>
        <v/>
      </c>
      <c r="E2177" s="22"/>
      <c r="F2177" s="23" t="str">
        <f aca="false">IF(A2177="","",IFERROR(buscarx(A2177&amp;E2177,DATA!$E$3:$E$10000&amp;DATA!$B$3:$B$10000,DATA!$M$3:$M$10000),"Inactivo"))</f>
        <v/>
      </c>
      <c r="G2177" s="25" t="str">
        <f aca="false">IF(A2177="","",IF(AND(C2177&lt;&gt;"No encontrado",F2177&lt;&gt;"Inactivo"),C2177&amp;" → "&amp;F2177,"Sin transición"))</f>
        <v/>
      </c>
      <c r="H2177" s="23" t="str">
        <f aca="false">IF(A2177="","",IF(D2177="GCIA LINEA SERVICIO DIGITALIDAD Y VENTAS","Chats",IF(OR(D2177="GERENCIA INBOUND LÍNEAS SERVICIO Y VENTA",D2177="GERENCIA INBOUND LINEAS ESPECIALIZADAS"),"Llamadas","Otro")))</f>
        <v/>
      </c>
      <c r="I2177" s="23" t="str">
        <f aca="false">IF(A2177="","",IF(C2177="No encontrado","No","Sí"))</f>
        <v/>
      </c>
      <c r="J2177" s="23" t="str">
        <f aca="false">IF(A2177="","",IF(F2177="Inactivo","No","Sí"))</f>
        <v/>
      </c>
      <c r="K2177" s="23" t="str">
        <f aca="false">IF(A2177="","",IF(AND(I2177="Sí",J2177="Sí"),"Sí","No"))</f>
        <v/>
      </c>
    </row>
    <row r="2178" customFormat="false" ht="15" hidden="false" customHeight="false" outlineLevel="0" collapsed="false">
      <c r="A2178" s="22"/>
      <c r="B2178" s="22"/>
      <c r="C2178" s="26" t="str">
        <f aca="false">IF(A2178="","",IFERROR(buscarx(A2178&amp;B2178,DATA!$E$3:$E$10000&amp;DATA!$B$3:$B$10000,DATA!$M$3:$M$10000),"No encontrado"))</f>
        <v/>
      </c>
      <c r="D2178" s="27" t="str">
        <f aca="false">IF(A2178="","",IFERROR(buscarx(A2178&amp;B2178,DATA!$E$3:$E$10000&amp;DATA!$B$3:$B$10000,DATA!$W$3:$W$10000),"No encontrado"))</f>
        <v/>
      </c>
      <c r="E2178" s="22"/>
      <c r="F2178" s="26" t="str">
        <f aca="false">IF(A2178="","",IFERROR(buscarx(A2178&amp;E2178,DATA!$E$3:$E$10000&amp;DATA!$B$3:$B$10000,DATA!$M$3:$M$10000),"Inactivo"))</f>
        <v/>
      </c>
      <c r="G2178" s="28" t="str">
        <f aca="false">IF(A2178="","",IF(AND(C2178&lt;&gt;"No encontrado",F2178&lt;&gt;"Inactivo"),C2178&amp;" → "&amp;F2178,"Sin transición"))</f>
        <v/>
      </c>
      <c r="H2178" s="26" t="str">
        <f aca="false">IF(A2178="","",IF(D2178="GCIA LINEA SERVICIO DIGITALIDAD Y VENTAS","Chats",IF(OR(D2178="GERENCIA INBOUND LÍNEAS SERVICIO Y VENTA",D2178="GERENCIA INBOUND LINEAS ESPECIALIZADAS"),"Llamadas","Otro")))</f>
        <v/>
      </c>
      <c r="I2178" s="26" t="str">
        <f aca="false">IF(A2178="","",IF(C2178="No encontrado","No","Sí"))</f>
        <v/>
      </c>
      <c r="J2178" s="26" t="str">
        <f aca="false">IF(A2178="","",IF(F2178="Inactivo","No","Sí"))</f>
        <v/>
      </c>
      <c r="K2178" s="26" t="str">
        <f aca="false">IF(A2178="","",IF(AND(I2178="Sí",J2178="Sí"),"Sí","No"))</f>
        <v/>
      </c>
    </row>
    <row r="2179" customFormat="false" ht="15" hidden="false" customHeight="false" outlineLevel="0" collapsed="false">
      <c r="A2179" s="22"/>
      <c r="B2179" s="22"/>
      <c r="C2179" s="23" t="str">
        <f aca="false">IF(A2179="","",IFERROR(buscarx(A2179&amp;B2179,DATA!$E$3:$E$10000&amp;DATA!$B$3:$B$10000,DATA!$M$3:$M$10000),"No encontrado"))</f>
        <v/>
      </c>
      <c r="D2179" s="24" t="str">
        <f aca="false">IF(A2179="","",IFERROR(buscarx(A2179&amp;B2179,DATA!$E$3:$E$10000&amp;DATA!$B$3:$B$10000,DATA!$W$3:$W$10000),"No encontrado"))</f>
        <v/>
      </c>
      <c r="E2179" s="22"/>
      <c r="F2179" s="23" t="str">
        <f aca="false">IF(A2179="","",IFERROR(buscarx(A2179&amp;E2179,DATA!$E$3:$E$10000&amp;DATA!$B$3:$B$10000,DATA!$M$3:$M$10000),"Inactivo"))</f>
        <v/>
      </c>
      <c r="G2179" s="25" t="str">
        <f aca="false">IF(A2179="","",IF(AND(C2179&lt;&gt;"No encontrado",F2179&lt;&gt;"Inactivo"),C2179&amp;" → "&amp;F2179,"Sin transición"))</f>
        <v/>
      </c>
      <c r="H2179" s="23" t="str">
        <f aca="false">IF(A2179="","",IF(D2179="GCIA LINEA SERVICIO DIGITALIDAD Y VENTAS","Chats",IF(OR(D2179="GERENCIA INBOUND LÍNEAS SERVICIO Y VENTA",D2179="GERENCIA INBOUND LINEAS ESPECIALIZADAS"),"Llamadas","Otro")))</f>
        <v/>
      </c>
      <c r="I2179" s="23" t="str">
        <f aca="false">IF(A2179="","",IF(C2179="No encontrado","No","Sí"))</f>
        <v/>
      </c>
      <c r="J2179" s="23" t="str">
        <f aca="false">IF(A2179="","",IF(F2179="Inactivo","No","Sí"))</f>
        <v/>
      </c>
      <c r="K2179" s="23" t="str">
        <f aca="false">IF(A2179="","",IF(AND(I2179="Sí",J2179="Sí"),"Sí","No"))</f>
        <v/>
      </c>
    </row>
    <row r="2180" customFormat="false" ht="15" hidden="false" customHeight="false" outlineLevel="0" collapsed="false">
      <c r="A2180" s="22"/>
      <c r="B2180" s="22"/>
      <c r="C2180" s="26" t="str">
        <f aca="false">IF(A2180="","",IFERROR(buscarx(A2180&amp;B2180,DATA!$E$3:$E$10000&amp;DATA!$B$3:$B$10000,DATA!$M$3:$M$10000),"No encontrado"))</f>
        <v/>
      </c>
      <c r="D2180" s="27" t="str">
        <f aca="false">IF(A2180="","",IFERROR(buscarx(A2180&amp;B2180,DATA!$E$3:$E$10000&amp;DATA!$B$3:$B$10000,DATA!$W$3:$W$10000),"No encontrado"))</f>
        <v/>
      </c>
      <c r="E2180" s="22"/>
      <c r="F2180" s="26" t="str">
        <f aca="false">IF(A2180="","",IFERROR(buscarx(A2180&amp;E2180,DATA!$E$3:$E$10000&amp;DATA!$B$3:$B$10000,DATA!$M$3:$M$10000),"Inactivo"))</f>
        <v/>
      </c>
      <c r="G2180" s="28" t="str">
        <f aca="false">IF(A2180="","",IF(AND(C2180&lt;&gt;"No encontrado",F2180&lt;&gt;"Inactivo"),C2180&amp;" → "&amp;F2180,"Sin transición"))</f>
        <v/>
      </c>
      <c r="H2180" s="26" t="str">
        <f aca="false">IF(A2180="","",IF(D2180="GCIA LINEA SERVICIO DIGITALIDAD Y VENTAS","Chats",IF(OR(D2180="GERENCIA INBOUND LÍNEAS SERVICIO Y VENTA",D2180="GERENCIA INBOUND LINEAS ESPECIALIZADAS"),"Llamadas","Otro")))</f>
        <v/>
      </c>
      <c r="I2180" s="26" t="str">
        <f aca="false">IF(A2180="","",IF(C2180="No encontrado","No","Sí"))</f>
        <v/>
      </c>
      <c r="J2180" s="26" t="str">
        <f aca="false">IF(A2180="","",IF(F2180="Inactivo","No","Sí"))</f>
        <v/>
      </c>
      <c r="K2180" s="26" t="str">
        <f aca="false">IF(A2180="","",IF(AND(I2180="Sí",J2180="Sí"),"Sí","No"))</f>
        <v/>
      </c>
    </row>
    <row r="2181" customFormat="false" ht="15" hidden="false" customHeight="false" outlineLevel="0" collapsed="false">
      <c r="A2181" s="22"/>
      <c r="B2181" s="22"/>
      <c r="C2181" s="23" t="str">
        <f aca="false">IF(A2181="","",IFERROR(buscarx(A2181&amp;B2181,DATA!$E$3:$E$10000&amp;DATA!$B$3:$B$10000,DATA!$M$3:$M$10000),"No encontrado"))</f>
        <v/>
      </c>
      <c r="D2181" s="24" t="str">
        <f aca="false">IF(A2181="","",IFERROR(buscarx(A2181&amp;B2181,DATA!$E$3:$E$10000&amp;DATA!$B$3:$B$10000,DATA!$W$3:$W$10000),"No encontrado"))</f>
        <v/>
      </c>
      <c r="E2181" s="22"/>
      <c r="F2181" s="23" t="str">
        <f aca="false">IF(A2181="","",IFERROR(buscarx(A2181&amp;E2181,DATA!$E$3:$E$10000&amp;DATA!$B$3:$B$10000,DATA!$M$3:$M$10000),"Inactivo"))</f>
        <v/>
      </c>
      <c r="G2181" s="25" t="str">
        <f aca="false">IF(A2181="","",IF(AND(C2181&lt;&gt;"No encontrado",F2181&lt;&gt;"Inactivo"),C2181&amp;" → "&amp;F2181,"Sin transición"))</f>
        <v/>
      </c>
      <c r="H2181" s="23" t="str">
        <f aca="false">IF(A2181="","",IF(D2181="GCIA LINEA SERVICIO DIGITALIDAD Y VENTAS","Chats",IF(OR(D2181="GERENCIA INBOUND LÍNEAS SERVICIO Y VENTA",D2181="GERENCIA INBOUND LINEAS ESPECIALIZADAS"),"Llamadas","Otro")))</f>
        <v/>
      </c>
      <c r="I2181" s="23" t="str">
        <f aca="false">IF(A2181="","",IF(C2181="No encontrado","No","Sí"))</f>
        <v/>
      </c>
      <c r="J2181" s="23" t="str">
        <f aca="false">IF(A2181="","",IF(F2181="Inactivo","No","Sí"))</f>
        <v/>
      </c>
      <c r="K2181" s="23" t="str">
        <f aca="false">IF(A2181="","",IF(AND(I2181="Sí",J2181="Sí"),"Sí","No"))</f>
        <v/>
      </c>
    </row>
    <row r="2182" customFormat="false" ht="15" hidden="false" customHeight="false" outlineLevel="0" collapsed="false">
      <c r="A2182" s="22"/>
      <c r="B2182" s="22"/>
      <c r="C2182" s="26" t="str">
        <f aca="false">IF(A2182="","",IFERROR(buscarx(A2182&amp;B2182,DATA!$E$3:$E$10000&amp;DATA!$B$3:$B$10000,DATA!$M$3:$M$10000),"No encontrado"))</f>
        <v/>
      </c>
      <c r="D2182" s="27" t="str">
        <f aca="false">IF(A2182="","",IFERROR(buscarx(A2182&amp;B2182,DATA!$E$3:$E$10000&amp;DATA!$B$3:$B$10000,DATA!$W$3:$W$10000),"No encontrado"))</f>
        <v/>
      </c>
      <c r="E2182" s="22"/>
      <c r="F2182" s="26" t="str">
        <f aca="false">IF(A2182="","",IFERROR(buscarx(A2182&amp;E2182,DATA!$E$3:$E$10000&amp;DATA!$B$3:$B$10000,DATA!$M$3:$M$10000),"Inactivo"))</f>
        <v/>
      </c>
      <c r="G2182" s="28" t="str">
        <f aca="false">IF(A2182="","",IF(AND(C2182&lt;&gt;"No encontrado",F2182&lt;&gt;"Inactivo"),C2182&amp;" → "&amp;F2182,"Sin transición"))</f>
        <v/>
      </c>
      <c r="H2182" s="26" t="str">
        <f aca="false">IF(A2182="","",IF(D2182="GCIA LINEA SERVICIO DIGITALIDAD Y VENTAS","Chats",IF(OR(D2182="GERENCIA INBOUND LÍNEAS SERVICIO Y VENTA",D2182="GERENCIA INBOUND LINEAS ESPECIALIZADAS"),"Llamadas","Otro")))</f>
        <v/>
      </c>
      <c r="I2182" s="26" t="str">
        <f aca="false">IF(A2182="","",IF(C2182="No encontrado","No","Sí"))</f>
        <v/>
      </c>
      <c r="J2182" s="26" t="str">
        <f aca="false">IF(A2182="","",IF(F2182="Inactivo","No","Sí"))</f>
        <v/>
      </c>
      <c r="K2182" s="26" t="str">
        <f aca="false">IF(A2182="","",IF(AND(I2182="Sí",J2182="Sí"),"Sí","No"))</f>
        <v/>
      </c>
    </row>
    <row r="2183" customFormat="false" ht="15" hidden="false" customHeight="false" outlineLevel="0" collapsed="false">
      <c r="A2183" s="22"/>
      <c r="B2183" s="22"/>
      <c r="C2183" s="23" t="str">
        <f aca="false">IF(A2183="","",IFERROR(buscarx(A2183&amp;B2183,DATA!$E$3:$E$10000&amp;DATA!$B$3:$B$10000,DATA!$M$3:$M$10000),"No encontrado"))</f>
        <v/>
      </c>
      <c r="D2183" s="24" t="str">
        <f aca="false">IF(A2183="","",IFERROR(buscarx(A2183&amp;B2183,DATA!$E$3:$E$10000&amp;DATA!$B$3:$B$10000,DATA!$W$3:$W$10000),"No encontrado"))</f>
        <v/>
      </c>
      <c r="E2183" s="22"/>
      <c r="F2183" s="23" t="str">
        <f aca="false">IF(A2183="","",IFERROR(buscarx(A2183&amp;E2183,DATA!$E$3:$E$10000&amp;DATA!$B$3:$B$10000,DATA!$M$3:$M$10000),"Inactivo"))</f>
        <v/>
      </c>
      <c r="G2183" s="25" t="str">
        <f aca="false">IF(A2183="","",IF(AND(C2183&lt;&gt;"No encontrado",F2183&lt;&gt;"Inactivo"),C2183&amp;" → "&amp;F2183,"Sin transición"))</f>
        <v/>
      </c>
      <c r="H2183" s="23" t="str">
        <f aca="false">IF(A2183="","",IF(D2183="GCIA LINEA SERVICIO DIGITALIDAD Y VENTAS","Chats",IF(OR(D2183="GERENCIA INBOUND LÍNEAS SERVICIO Y VENTA",D2183="GERENCIA INBOUND LINEAS ESPECIALIZADAS"),"Llamadas","Otro")))</f>
        <v/>
      </c>
      <c r="I2183" s="23" t="str">
        <f aca="false">IF(A2183="","",IF(C2183="No encontrado","No","Sí"))</f>
        <v/>
      </c>
      <c r="J2183" s="23" t="str">
        <f aca="false">IF(A2183="","",IF(F2183="Inactivo","No","Sí"))</f>
        <v/>
      </c>
      <c r="K2183" s="23" t="str">
        <f aca="false">IF(A2183="","",IF(AND(I2183="Sí",J2183="Sí"),"Sí","No"))</f>
        <v/>
      </c>
    </row>
    <row r="2184" customFormat="false" ht="15" hidden="false" customHeight="false" outlineLevel="0" collapsed="false">
      <c r="A2184" s="22"/>
      <c r="B2184" s="22"/>
      <c r="C2184" s="26" t="str">
        <f aca="false">IF(A2184="","",IFERROR(buscarx(A2184&amp;B2184,DATA!$E$3:$E$10000&amp;DATA!$B$3:$B$10000,DATA!$M$3:$M$10000),"No encontrado"))</f>
        <v/>
      </c>
      <c r="D2184" s="27" t="str">
        <f aca="false">IF(A2184="","",IFERROR(buscarx(A2184&amp;B2184,DATA!$E$3:$E$10000&amp;DATA!$B$3:$B$10000,DATA!$W$3:$W$10000),"No encontrado"))</f>
        <v/>
      </c>
      <c r="E2184" s="22"/>
      <c r="F2184" s="26" t="str">
        <f aca="false">IF(A2184="","",IFERROR(buscarx(A2184&amp;E2184,DATA!$E$3:$E$10000&amp;DATA!$B$3:$B$10000,DATA!$M$3:$M$10000),"Inactivo"))</f>
        <v/>
      </c>
      <c r="G2184" s="28" t="str">
        <f aca="false">IF(A2184="","",IF(AND(C2184&lt;&gt;"No encontrado",F2184&lt;&gt;"Inactivo"),C2184&amp;" → "&amp;F2184,"Sin transición"))</f>
        <v/>
      </c>
      <c r="H2184" s="26" t="str">
        <f aca="false">IF(A2184="","",IF(D2184="GCIA LINEA SERVICIO DIGITALIDAD Y VENTAS","Chats",IF(OR(D2184="GERENCIA INBOUND LÍNEAS SERVICIO Y VENTA",D2184="GERENCIA INBOUND LINEAS ESPECIALIZADAS"),"Llamadas","Otro")))</f>
        <v/>
      </c>
      <c r="I2184" s="26" t="str">
        <f aca="false">IF(A2184="","",IF(C2184="No encontrado","No","Sí"))</f>
        <v/>
      </c>
      <c r="J2184" s="26" t="str">
        <f aca="false">IF(A2184="","",IF(F2184="Inactivo","No","Sí"))</f>
        <v/>
      </c>
      <c r="K2184" s="26" t="str">
        <f aca="false">IF(A2184="","",IF(AND(I2184="Sí",J2184="Sí"),"Sí","No"))</f>
        <v/>
      </c>
    </row>
    <row r="2185" customFormat="false" ht="15" hidden="false" customHeight="false" outlineLevel="0" collapsed="false">
      <c r="A2185" s="22"/>
      <c r="B2185" s="22"/>
      <c r="C2185" s="23" t="str">
        <f aca="false">IF(A2185="","",IFERROR(buscarx(A2185&amp;B2185,DATA!$E$3:$E$10000&amp;DATA!$B$3:$B$10000,DATA!$M$3:$M$10000),"No encontrado"))</f>
        <v/>
      </c>
      <c r="D2185" s="24" t="str">
        <f aca="false">IF(A2185="","",IFERROR(buscarx(A2185&amp;B2185,DATA!$E$3:$E$10000&amp;DATA!$B$3:$B$10000,DATA!$W$3:$W$10000),"No encontrado"))</f>
        <v/>
      </c>
      <c r="E2185" s="22"/>
      <c r="F2185" s="23" t="str">
        <f aca="false">IF(A2185="","",IFERROR(buscarx(A2185&amp;E2185,DATA!$E$3:$E$10000&amp;DATA!$B$3:$B$10000,DATA!$M$3:$M$10000),"Inactivo"))</f>
        <v/>
      </c>
      <c r="G2185" s="25" t="str">
        <f aca="false">IF(A2185="","",IF(AND(C2185&lt;&gt;"No encontrado",F2185&lt;&gt;"Inactivo"),C2185&amp;" → "&amp;F2185,"Sin transición"))</f>
        <v/>
      </c>
      <c r="H2185" s="23" t="str">
        <f aca="false">IF(A2185="","",IF(D2185="GCIA LINEA SERVICIO DIGITALIDAD Y VENTAS","Chats",IF(OR(D2185="GERENCIA INBOUND LÍNEAS SERVICIO Y VENTA",D2185="GERENCIA INBOUND LINEAS ESPECIALIZADAS"),"Llamadas","Otro")))</f>
        <v/>
      </c>
      <c r="I2185" s="23" t="str">
        <f aca="false">IF(A2185="","",IF(C2185="No encontrado","No","Sí"))</f>
        <v/>
      </c>
      <c r="J2185" s="23" t="str">
        <f aca="false">IF(A2185="","",IF(F2185="Inactivo","No","Sí"))</f>
        <v/>
      </c>
      <c r="K2185" s="23" t="str">
        <f aca="false">IF(A2185="","",IF(AND(I2185="Sí",J2185="Sí"),"Sí","No"))</f>
        <v/>
      </c>
    </row>
    <row r="2186" customFormat="false" ht="15" hidden="false" customHeight="false" outlineLevel="0" collapsed="false">
      <c r="A2186" s="22"/>
      <c r="B2186" s="22"/>
      <c r="C2186" s="26" t="str">
        <f aca="false">IF(A2186="","",IFERROR(buscarx(A2186&amp;B2186,DATA!$E$3:$E$10000&amp;DATA!$B$3:$B$10000,DATA!$M$3:$M$10000),"No encontrado"))</f>
        <v/>
      </c>
      <c r="D2186" s="27" t="str">
        <f aca="false">IF(A2186="","",IFERROR(buscarx(A2186&amp;B2186,DATA!$E$3:$E$10000&amp;DATA!$B$3:$B$10000,DATA!$W$3:$W$10000),"No encontrado"))</f>
        <v/>
      </c>
      <c r="E2186" s="22"/>
      <c r="F2186" s="26" t="str">
        <f aca="false">IF(A2186="","",IFERROR(buscarx(A2186&amp;E2186,DATA!$E$3:$E$10000&amp;DATA!$B$3:$B$10000,DATA!$M$3:$M$10000),"Inactivo"))</f>
        <v/>
      </c>
      <c r="G2186" s="28" t="str">
        <f aca="false">IF(A2186="","",IF(AND(C2186&lt;&gt;"No encontrado",F2186&lt;&gt;"Inactivo"),C2186&amp;" → "&amp;F2186,"Sin transición"))</f>
        <v/>
      </c>
      <c r="H2186" s="26" t="str">
        <f aca="false">IF(A2186="","",IF(D2186="GCIA LINEA SERVICIO DIGITALIDAD Y VENTAS","Chats",IF(OR(D2186="GERENCIA INBOUND LÍNEAS SERVICIO Y VENTA",D2186="GERENCIA INBOUND LINEAS ESPECIALIZADAS"),"Llamadas","Otro")))</f>
        <v/>
      </c>
      <c r="I2186" s="26" t="str">
        <f aca="false">IF(A2186="","",IF(C2186="No encontrado","No","Sí"))</f>
        <v/>
      </c>
      <c r="J2186" s="26" t="str">
        <f aca="false">IF(A2186="","",IF(F2186="Inactivo","No","Sí"))</f>
        <v/>
      </c>
      <c r="K2186" s="26" t="str">
        <f aca="false">IF(A2186="","",IF(AND(I2186="Sí",J2186="Sí"),"Sí","No"))</f>
        <v/>
      </c>
    </row>
    <row r="2187" customFormat="false" ht="15" hidden="false" customHeight="false" outlineLevel="0" collapsed="false">
      <c r="A2187" s="22"/>
      <c r="B2187" s="22"/>
      <c r="C2187" s="23" t="str">
        <f aca="false">IF(A2187="","",IFERROR(buscarx(A2187&amp;B2187,DATA!$E$3:$E$10000&amp;DATA!$B$3:$B$10000,DATA!$M$3:$M$10000),"No encontrado"))</f>
        <v/>
      </c>
      <c r="D2187" s="24" t="str">
        <f aca="false">IF(A2187="","",IFERROR(buscarx(A2187&amp;B2187,DATA!$E$3:$E$10000&amp;DATA!$B$3:$B$10000,DATA!$W$3:$W$10000),"No encontrado"))</f>
        <v/>
      </c>
      <c r="E2187" s="22"/>
      <c r="F2187" s="23" t="str">
        <f aca="false">IF(A2187="","",IFERROR(buscarx(A2187&amp;E2187,DATA!$E$3:$E$10000&amp;DATA!$B$3:$B$10000,DATA!$M$3:$M$10000),"Inactivo"))</f>
        <v/>
      </c>
      <c r="G2187" s="25" t="str">
        <f aca="false">IF(A2187="","",IF(AND(C2187&lt;&gt;"No encontrado",F2187&lt;&gt;"Inactivo"),C2187&amp;" → "&amp;F2187,"Sin transición"))</f>
        <v/>
      </c>
      <c r="H2187" s="23" t="str">
        <f aca="false">IF(A2187="","",IF(D2187="GCIA LINEA SERVICIO DIGITALIDAD Y VENTAS","Chats",IF(OR(D2187="GERENCIA INBOUND LÍNEAS SERVICIO Y VENTA",D2187="GERENCIA INBOUND LINEAS ESPECIALIZADAS"),"Llamadas","Otro")))</f>
        <v/>
      </c>
      <c r="I2187" s="23" t="str">
        <f aca="false">IF(A2187="","",IF(C2187="No encontrado","No","Sí"))</f>
        <v/>
      </c>
      <c r="J2187" s="23" t="str">
        <f aca="false">IF(A2187="","",IF(F2187="Inactivo","No","Sí"))</f>
        <v/>
      </c>
      <c r="K2187" s="23" t="str">
        <f aca="false">IF(A2187="","",IF(AND(I2187="Sí",J2187="Sí"),"Sí","No"))</f>
        <v/>
      </c>
    </row>
    <row r="2188" customFormat="false" ht="15" hidden="false" customHeight="false" outlineLevel="0" collapsed="false">
      <c r="A2188" s="22"/>
      <c r="B2188" s="22"/>
      <c r="C2188" s="26" t="str">
        <f aca="false">IF(A2188="","",IFERROR(buscarx(A2188&amp;B2188,DATA!$E$3:$E$10000&amp;DATA!$B$3:$B$10000,DATA!$M$3:$M$10000),"No encontrado"))</f>
        <v/>
      </c>
      <c r="D2188" s="27" t="str">
        <f aca="false">IF(A2188="","",IFERROR(buscarx(A2188&amp;B2188,DATA!$E$3:$E$10000&amp;DATA!$B$3:$B$10000,DATA!$W$3:$W$10000),"No encontrado"))</f>
        <v/>
      </c>
      <c r="E2188" s="22"/>
      <c r="F2188" s="26" t="str">
        <f aca="false">IF(A2188="","",IFERROR(buscarx(A2188&amp;E2188,DATA!$E$3:$E$10000&amp;DATA!$B$3:$B$10000,DATA!$M$3:$M$10000),"Inactivo"))</f>
        <v/>
      </c>
      <c r="G2188" s="28" t="str">
        <f aca="false">IF(A2188="","",IF(AND(C2188&lt;&gt;"No encontrado",F2188&lt;&gt;"Inactivo"),C2188&amp;" → "&amp;F2188,"Sin transición"))</f>
        <v/>
      </c>
      <c r="H2188" s="26" t="str">
        <f aca="false">IF(A2188="","",IF(D2188="GCIA LINEA SERVICIO DIGITALIDAD Y VENTAS","Chats",IF(OR(D2188="GERENCIA INBOUND LÍNEAS SERVICIO Y VENTA",D2188="GERENCIA INBOUND LINEAS ESPECIALIZADAS"),"Llamadas","Otro")))</f>
        <v/>
      </c>
      <c r="I2188" s="26" t="str">
        <f aca="false">IF(A2188="","",IF(C2188="No encontrado","No","Sí"))</f>
        <v/>
      </c>
      <c r="J2188" s="26" t="str">
        <f aca="false">IF(A2188="","",IF(F2188="Inactivo","No","Sí"))</f>
        <v/>
      </c>
      <c r="K2188" s="26" t="str">
        <f aca="false">IF(A2188="","",IF(AND(I2188="Sí",J2188="Sí"),"Sí","No"))</f>
        <v/>
      </c>
    </row>
    <row r="2189" customFormat="false" ht="15" hidden="false" customHeight="false" outlineLevel="0" collapsed="false">
      <c r="A2189" s="22"/>
      <c r="B2189" s="22"/>
      <c r="C2189" s="23" t="str">
        <f aca="false">IF(A2189="","",IFERROR(buscarx(A2189&amp;B2189,DATA!$E$3:$E$10000&amp;DATA!$B$3:$B$10000,DATA!$M$3:$M$10000),"No encontrado"))</f>
        <v/>
      </c>
      <c r="D2189" s="24" t="str">
        <f aca="false">IF(A2189="","",IFERROR(buscarx(A2189&amp;B2189,DATA!$E$3:$E$10000&amp;DATA!$B$3:$B$10000,DATA!$W$3:$W$10000),"No encontrado"))</f>
        <v/>
      </c>
      <c r="E2189" s="22"/>
      <c r="F2189" s="23" t="str">
        <f aca="false">IF(A2189="","",IFERROR(buscarx(A2189&amp;E2189,DATA!$E$3:$E$10000&amp;DATA!$B$3:$B$10000,DATA!$M$3:$M$10000),"Inactivo"))</f>
        <v/>
      </c>
      <c r="G2189" s="25" t="str">
        <f aca="false">IF(A2189="","",IF(AND(C2189&lt;&gt;"No encontrado",F2189&lt;&gt;"Inactivo"),C2189&amp;" → "&amp;F2189,"Sin transición"))</f>
        <v/>
      </c>
      <c r="H2189" s="23" t="str">
        <f aca="false">IF(A2189="","",IF(D2189="GCIA LINEA SERVICIO DIGITALIDAD Y VENTAS","Chats",IF(OR(D2189="GERENCIA INBOUND LÍNEAS SERVICIO Y VENTA",D2189="GERENCIA INBOUND LINEAS ESPECIALIZADAS"),"Llamadas","Otro")))</f>
        <v/>
      </c>
      <c r="I2189" s="23" t="str">
        <f aca="false">IF(A2189="","",IF(C2189="No encontrado","No","Sí"))</f>
        <v/>
      </c>
      <c r="J2189" s="23" t="str">
        <f aca="false">IF(A2189="","",IF(F2189="Inactivo","No","Sí"))</f>
        <v/>
      </c>
      <c r="K2189" s="23" t="str">
        <f aca="false">IF(A2189="","",IF(AND(I2189="Sí",J2189="Sí"),"Sí","No"))</f>
        <v/>
      </c>
    </row>
    <row r="2190" customFormat="false" ht="15" hidden="false" customHeight="false" outlineLevel="0" collapsed="false">
      <c r="A2190" s="22"/>
      <c r="B2190" s="22"/>
      <c r="C2190" s="26" t="str">
        <f aca="false">IF(A2190="","",IFERROR(buscarx(A2190&amp;B2190,DATA!$E$3:$E$10000&amp;DATA!$B$3:$B$10000,DATA!$M$3:$M$10000),"No encontrado"))</f>
        <v/>
      </c>
      <c r="D2190" s="27" t="str">
        <f aca="false">IF(A2190="","",IFERROR(buscarx(A2190&amp;B2190,DATA!$E$3:$E$10000&amp;DATA!$B$3:$B$10000,DATA!$W$3:$W$10000),"No encontrado"))</f>
        <v/>
      </c>
      <c r="E2190" s="22"/>
      <c r="F2190" s="26" t="str">
        <f aca="false">IF(A2190="","",IFERROR(buscarx(A2190&amp;E2190,DATA!$E$3:$E$10000&amp;DATA!$B$3:$B$10000,DATA!$M$3:$M$10000),"Inactivo"))</f>
        <v/>
      </c>
      <c r="G2190" s="28" t="str">
        <f aca="false">IF(A2190="","",IF(AND(C2190&lt;&gt;"No encontrado",F2190&lt;&gt;"Inactivo"),C2190&amp;" → "&amp;F2190,"Sin transición"))</f>
        <v/>
      </c>
      <c r="H2190" s="26" t="str">
        <f aca="false">IF(A2190="","",IF(D2190="GCIA LINEA SERVICIO DIGITALIDAD Y VENTAS","Chats",IF(OR(D2190="GERENCIA INBOUND LÍNEAS SERVICIO Y VENTA",D2190="GERENCIA INBOUND LINEAS ESPECIALIZADAS"),"Llamadas","Otro")))</f>
        <v/>
      </c>
      <c r="I2190" s="26" t="str">
        <f aca="false">IF(A2190="","",IF(C2190="No encontrado","No","Sí"))</f>
        <v/>
      </c>
      <c r="J2190" s="26" t="str">
        <f aca="false">IF(A2190="","",IF(F2190="Inactivo","No","Sí"))</f>
        <v/>
      </c>
      <c r="K2190" s="26" t="str">
        <f aca="false">IF(A2190="","",IF(AND(I2190="Sí",J2190="Sí"),"Sí","No"))</f>
        <v/>
      </c>
    </row>
    <row r="2191" customFormat="false" ht="15" hidden="false" customHeight="false" outlineLevel="0" collapsed="false">
      <c r="A2191" s="22"/>
      <c r="B2191" s="22"/>
      <c r="C2191" s="23" t="str">
        <f aca="false">IF(A2191="","",IFERROR(buscarx(A2191&amp;B2191,DATA!$E$3:$E$10000&amp;DATA!$B$3:$B$10000,DATA!$M$3:$M$10000),"No encontrado"))</f>
        <v/>
      </c>
      <c r="D2191" s="24" t="str">
        <f aca="false">IF(A2191="","",IFERROR(buscarx(A2191&amp;B2191,DATA!$E$3:$E$10000&amp;DATA!$B$3:$B$10000,DATA!$W$3:$W$10000),"No encontrado"))</f>
        <v/>
      </c>
      <c r="E2191" s="22"/>
      <c r="F2191" s="23" t="str">
        <f aca="false">IF(A2191="","",IFERROR(buscarx(A2191&amp;E2191,DATA!$E$3:$E$10000&amp;DATA!$B$3:$B$10000,DATA!$M$3:$M$10000),"Inactivo"))</f>
        <v/>
      </c>
      <c r="G2191" s="25" t="str">
        <f aca="false">IF(A2191="","",IF(AND(C2191&lt;&gt;"No encontrado",F2191&lt;&gt;"Inactivo"),C2191&amp;" → "&amp;F2191,"Sin transición"))</f>
        <v/>
      </c>
      <c r="H2191" s="23" t="str">
        <f aca="false">IF(A2191="","",IF(D2191="GCIA LINEA SERVICIO DIGITALIDAD Y VENTAS","Chats",IF(OR(D2191="GERENCIA INBOUND LÍNEAS SERVICIO Y VENTA",D2191="GERENCIA INBOUND LINEAS ESPECIALIZADAS"),"Llamadas","Otro")))</f>
        <v/>
      </c>
      <c r="I2191" s="23" t="str">
        <f aca="false">IF(A2191="","",IF(C2191="No encontrado","No","Sí"))</f>
        <v/>
      </c>
      <c r="J2191" s="23" t="str">
        <f aca="false">IF(A2191="","",IF(F2191="Inactivo","No","Sí"))</f>
        <v/>
      </c>
      <c r="K2191" s="23" t="str">
        <f aca="false">IF(A2191="","",IF(AND(I2191="Sí",J2191="Sí"),"Sí","No"))</f>
        <v/>
      </c>
    </row>
    <row r="2192" customFormat="false" ht="15" hidden="false" customHeight="false" outlineLevel="0" collapsed="false">
      <c r="A2192" s="22"/>
      <c r="B2192" s="22"/>
      <c r="C2192" s="26" t="str">
        <f aca="false">IF(A2192="","",IFERROR(buscarx(A2192&amp;B2192,DATA!$E$3:$E$10000&amp;DATA!$B$3:$B$10000,DATA!$M$3:$M$10000),"No encontrado"))</f>
        <v/>
      </c>
      <c r="D2192" s="27" t="str">
        <f aca="false">IF(A2192="","",IFERROR(buscarx(A2192&amp;B2192,DATA!$E$3:$E$10000&amp;DATA!$B$3:$B$10000,DATA!$W$3:$W$10000),"No encontrado"))</f>
        <v/>
      </c>
      <c r="E2192" s="22"/>
      <c r="F2192" s="26" t="str">
        <f aca="false">IF(A2192="","",IFERROR(buscarx(A2192&amp;E2192,DATA!$E$3:$E$10000&amp;DATA!$B$3:$B$10000,DATA!$M$3:$M$10000),"Inactivo"))</f>
        <v/>
      </c>
      <c r="G2192" s="28" t="str">
        <f aca="false">IF(A2192="","",IF(AND(C2192&lt;&gt;"No encontrado",F2192&lt;&gt;"Inactivo"),C2192&amp;" → "&amp;F2192,"Sin transición"))</f>
        <v/>
      </c>
      <c r="H2192" s="26" t="str">
        <f aca="false">IF(A2192="","",IF(D2192="GCIA LINEA SERVICIO DIGITALIDAD Y VENTAS","Chats",IF(OR(D2192="GERENCIA INBOUND LÍNEAS SERVICIO Y VENTA",D2192="GERENCIA INBOUND LINEAS ESPECIALIZADAS"),"Llamadas","Otro")))</f>
        <v/>
      </c>
      <c r="I2192" s="26" t="str">
        <f aca="false">IF(A2192="","",IF(C2192="No encontrado","No","Sí"))</f>
        <v/>
      </c>
      <c r="J2192" s="26" t="str">
        <f aca="false">IF(A2192="","",IF(F2192="Inactivo","No","Sí"))</f>
        <v/>
      </c>
      <c r="K2192" s="26" t="str">
        <f aca="false">IF(A2192="","",IF(AND(I2192="Sí",J2192="Sí"),"Sí","No"))</f>
        <v/>
      </c>
    </row>
    <row r="2193" customFormat="false" ht="15" hidden="false" customHeight="false" outlineLevel="0" collapsed="false">
      <c r="A2193" s="22"/>
      <c r="B2193" s="22"/>
      <c r="C2193" s="23" t="str">
        <f aca="false">IF(A2193="","",IFERROR(buscarx(A2193&amp;B2193,DATA!$E$3:$E$10000&amp;DATA!$B$3:$B$10000,DATA!$M$3:$M$10000),"No encontrado"))</f>
        <v/>
      </c>
      <c r="D2193" s="24" t="str">
        <f aca="false">IF(A2193="","",IFERROR(buscarx(A2193&amp;B2193,DATA!$E$3:$E$10000&amp;DATA!$B$3:$B$10000,DATA!$W$3:$W$10000),"No encontrado"))</f>
        <v/>
      </c>
      <c r="E2193" s="22"/>
      <c r="F2193" s="23" t="str">
        <f aca="false">IF(A2193="","",IFERROR(buscarx(A2193&amp;E2193,DATA!$E$3:$E$10000&amp;DATA!$B$3:$B$10000,DATA!$M$3:$M$10000),"Inactivo"))</f>
        <v/>
      </c>
      <c r="G2193" s="25" t="str">
        <f aca="false">IF(A2193="","",IF(AND(C2193&lt;&gt;"No encontrado",F2193&lt;&gt;"Inactivo"),C2193&amp;" → "&amp;F2193,"Sin transición"))</f>
        <v/>
      </c>
      <c r="H2193" s="23" t="str">
        <f aca="false">IF(A2193="","",IF(D2193="GCIA LINEA SERVICIO DIGITALIDAD Y VENTAS","Chats",IF(OR(D2193="GERENCIA INBOUND LÍNEAS SERVICIO Y VENTA",D2193="GERENCIA INBOUND LINEAS ESPECIALIZADAS"),"Llamadas","Otro")))</f>
        <v/>
      </c>
      <c r="I2193" s="23" t="str">
        <f aca="false">IF(A2193="","",IF(C2193="No encontrado","No","Sí"))</f>
        <v/>
      </c>
      <c r="J2193" s="23" t="str">
        <f aca="false">IF(A2193="","",IF(F2193="Inactivo","No","Sí"))</f>
        <v/>
      </c>
      <c r="K2193" s="23" t="str">
        <f aca="false">IF(A2193="","",IF(AND(I2193="Sí",J2193="Sí"),"Sí","No"))</f>
        <v/>
      </c>
    </row>
    <row r="2194" customFormat="false" ht="15" hidden="false" customHeight="false" outlineLevel="0" collapsed="false">
      <c r="A2194" s="22"/>
      <c r="B2194" s="22"/>
      <c r="C2194" s="26" t="str">
        <f aca="false">IF(A2194="","",IFERROR(buscarx(A2194&amp;B2194,DATA!$E$3:$E$10000&amp;DATA!$B$3:$B$10000,DATA!$M$3:$M$10000),"No encontrado"))</f>
        <v/>
      </c>
      <c r="D2194" s="27" t="str">
        <f aca="false">IF(A2194="","",IFERROR(buscarx(A2194&amp;B2194,DATA!$E$3:$E$10000&amp;DATA!$B$3:$B$10000,DATA!$W$3:$W$10000),"No encontrado"))</f>
        <v/>
      </c>
      <c r="E2194" s="22"/>
      <c r="F2194" s="26" t="str">
        <f aca="false">IF(A2194="","",IFERROR(buscarx(A2194&amp;E2194,DATA!$E$3:$E$10000&amp;DATA!$B$3:$B$10000,DATA!$M$3:$M$10000),"Inactivo"))</f>
        <v/>
      </c>
      <c r="G2194" s="28" t="str">
        <f aca="false">IF(A2194="","",IF(AND(C2194&lt;&gt;"No encontrado",F2194&lt;&gt;"Inactivo"),C2194&amp;" → "&amp;F2194,"Sin transición"))</f>
        <v/>
      </c>
      <c r="H2194" s="26" t="str">
        <f aca="false">IF(A2194="","",IF(D2194="GCIA LINEA SERVICIO DIGITALIDAD Y VENTAS","Chats",IF(OR(D2194="GERENCIA INBOUND LÍNEAS SERVICIO Y VENTA",D2194="GERENCIA INBOUND LINEAS ESPECIALIZADAS"),"Llamadas","Otro")))</f>
        <v/>
      </c>
      <c r="I2194" s="26" t="str">
        <f aca="false">IF(A2194="","",IF(C2194="No encontrado","No","Sí"))</f>
        <v/>
      </c>
      <c r="J2194" s="26" t="str">
        <f aca="false">IF(A2194="","",IF(F2194="Inactivo","No","Sí"))</f>
        <v/>
      </c>
      <c r="K2194" s="26" t="str">
        <f aca="false">IF(A2194="","",IF(AND(I2194="Sí",J2194="Sí"),"Sí","No"))</f>
        <v/>
      </c>
    </row>
    <row r="2195" customFormat="false" ht="15" hidden="false" customHeight="false" outlineLevel="0" collapsed="false">
      <c r="A2195" s="22"/>
      <c r="B2195" s="22"/>
      <c r="C2195" s="23" t="str">
        <f aca="false">IF(A2195="","",IFERROR(buscarx(A2195&amp;B2195,DATA!$E$3:$E$10000&amp;DATA!$B$3:$B$10000,DATA!$M$3:$M$10000),"No encontrado"))</f>
        <v/>
      </c>
      <c r="D2195" s="24" t="str">
        <f aca="false">IF(A2195="","",IFERROR(buscarx(A2195&amp;B2195,DATA!$E$3:$E$10000&amp;DATA!$B$3:$B$10000,DATA!$W$3:$W$10000),"No encontrado"))</f>
        <v/>
      </c>
      <c r="E2195" s="22"/>
      <c r="F2195" s="23" t="str">
        <f aca="false">IF(A2195="","",IFERROR(buscarx(A2195&amp;E2195,DATA!$E$3:$E$10000&amp;DATA!$B$3:$B$10000,DATA!$M$3:$M$10000),"Inactivo"))</f>
        <v/>
      </c>
      <c r="G2195" s="25" t="str">
        <f aca="false">IF(A2195="","",IF(AND(C2195&lt;&gt;"No encontrado",F2195&lt;&gt;"Inactivo"),C2195&amp;" → "&amp;F2195,"Sin transición"))</f>
        <v/>
      </c>
      <c r="H2195" s="23" t="str">
        <f aca="false">IF(A2195="","",IF(D2195="GCIA LINEA SERVICIO DIGITALIDAD Y VENTAS","Chats",IF(OR(D2195="GERENCIA INBOUND LÍNEAS SERVICIO Y VENTA",D2195="GERENCIA INBOUND LINEAS ESPECIALIZADAS"),"Llamadas","Otro")))</f>
        <v/>
      </c>
      <c r="I2195" s="23" t="str">
        <f aca="false">IF(A2195="","",IF(C2195="No encontrado","No","Sí"))</f>
        <v/>
      </c>
      <c r="J2195" s="23" t="str">
        <f aca="false">IF(A2195="","",IF(F2195="Inactivo","No","Sí"))</f>
        <v/>
      </c>
      <c r="K2195" s="23" t="str">
        <f aca="false">IF(A2195="","",IF(AND(I2195="Sí",J2195="Sí"),"Sí","No"))</f>
        <v/>
      </c>
    </row>
    <row r="2196" customFormat="false" ht="15" hidden="false" customHeight="false" outlineLevel="0" collapsed="false">
      <c r="A2196" s="22"/>
      <c r="B2196" s="22"/>
      <c r="C2196" s="26" t="str">
        <f aca="false">IF(A2196="","",IFERROR(buscarx(A2196&amp;B2196,DATA!$E$3:$E$10000&amp;DATA!$B$3:$B$10000,DATA!$M$3:$M$10000),"No encontrado"))</f>
        <v/>
      </c>
      <c r="D2196" s="27" t="str">
        <f aca="false">IF(A2196="","",IFERROR(buscarx(A2196&amp;B2196,DATA!$E$3:$E$10000&amp;DATA!$B$3:$B$10000,DATA!$W$3:$W$10000),"No encontrado"))</f>
        <v/>
      </c>
      <c r="E2196" s="22"/>
      <c r="F2196" s="26" t="str">
        <f aca="false">IF(A2196="","",IFERROR(buscarx(A2196&amp;E2196,DATA!$E$3:$E$10000&amp;DATA!$B$3:$B$10000,DATA!$M$3:$M$10000),"Inactivo"))</f>
        <v/>
      </c>
      <c r="G2196" s="28" t="str">
        <f aca="false">IF(A2196="","",IF(AND(C2196&lt;&gt;"No encontrado",F2196&lt;&gt;"Inactivo"),C2196&amp;" → "&amp;F2196,"Sin transición"))</f>
        <v/>
      </c>
      <c r="H2196" s="26" t="str">
        <f aca="false">IF(A2196="","",IF(D2196="GCIA LINEA SERVICIO DIGITALIDAD Y VENTAS","Chats",IF(OR(D2196="GERENCIA INBOUND LÍNEAS SERVICIO Y VENTA",D2196="GERENCIA INBOUND LINEAS ESPECIALIZADAS"),"Llamadas","Otro")))</f>
        <v/>
      </c>
      <c r="I2196" s="26" t="str">
        <f aca="false">IF(A2196="","",IF(C2196="No encontrado","No","Sí"))</f>
        <v/>
      </c>
      <c r="J2196" s="26" t="str">
        <f aca="false">IF(A2196="","",IF(F2196="Inactivo","No","Sí"))</f>
        <v/>
      </c>
      <c r="K2196" s="26" t="str">
        <f aca="false">IF(A2196="","",IF(AND(I2196="Sí",J2196="Sí"),"Sí","No"))</f>
        <v/>
      </c>
    </row>
    <row r="2197" customFormat="false" ht="15" hidden="false" customHeight="false" outlineLevel="0" collapsed="false">
      <c r="A2197" s="22"/>
      <c r="B2197" s="22"/>
      <c r="C2197" s="23" t="str">
        <f aca="false">IF(A2197="","",IFERROR(buscarx(A2197&amp;B2197,DATA!$E$3:$E$10000&amp;DATA!$B$3:$B$10000,DATA!$M$3:$M$10000),"No encontrado"))</f>
        <v/>
      </c>
      <c r="D2197" s="24" t="str">
        <f aca="false">IF(A2197="","",IFERROR(buscarx(A2197&amp;B2197,DATA!$E$3:$E$10000&amp;DATA!$B$3:$B$10000,DATA!$W$3:$W$10000),"No encontrado"))</f>
        <v/>
      </c>
      <c r="E2197" s="22"/>
      <c r="F2197" s="23" t="str">
        <f aca="false">IF(A2197="","",IFERROR(buscarx(A2197&amp;E2197,DATA!$E$3:$E$10000&amp;DATA!$B$3:$B$10000,DATA!$M$3:$M$10000),"Inactivo"))</f>
        <v/>
      </c>
      <c r="G2197" s="25" t="str">
        <f aca="false">IF(A2197="","",IF(AND(C2197&lt;&gt;"No encontrado",F2197&lt;&gt;"Inactivo"),C2197&amp;" → "&amp;F2197,"Sin transición"))</f>
        <v/>
      </c>
      <c r="H2197" s="23" t="str">
        <f aca="false">IF(A2197="","",IF(D2197="GCIA LINEA SERVICIO DIGITALIDAD Y VENTAS","Chats",IF(OR(D2197="GERENCIA INBOUND LÍNEAS SERVICIO Y VENTA",D2197="GERENCIA INBOUND LINEAS ESPECIALIZADAS"),"Llamadas","Otro")))</f>
        <v/>
      </c>
      <c r="I2197" s="23" t="str">
        <f aca="false">IF(A2197="","",IF(C2197="No encontrado","No","Sí"))</f>
        <v/>
      </c>
      <c r="J2197" s="23" t="str">
        <f aca="false">IF(A2197="","",IF(F2197="Inactivo","No","Sí"))</f>
        <v/>
      </c>
      <c r="K2197" s="23" t="str">
        <f aca="false">IF(A2197="","",IF(AND(I2197="Sí",J2197="Sí"),"Sí","No"))</f>
        <v/>
      </c>
    </row>
    <row r="2198" customFormat="false" ht="15" hidden="false" customHeight="false" outlineLevel="0" collapsed="false">
      <c r="A2198" s="22"/>
      <c r="B2198" s="22"/>
      <c r="C2198" s="26" t="str">
        <f aca="false">IF(A2198="","",IFERROR(buscarx(A2198&amp;B2198,DATA!$E$3:$E$10000&amp;DATA!$B$3:$B$10000,DATA!$M$3:$M$10000),"No encontrado"))</f>
        <v/>
      </c>
      <c r="D2198" s="27" t="str">
        <f aca="false">IF(A2198="","",IFERROR(buscarx(A2198&amp;B2198,DATA!$E$3:$E$10000&amp;DATA!$B$3:$B$10000,DATA!$W$3:$W$10000),"No encontrado"))</f>
        <v/>
      </c>
      <c r="E2198" s="22"/>
      <c r="F2198" s="26" t="str">
        <f aca="false">IF(A2198="","",IFERROR(buscarx(A2198&amp;E2198,DATA!$E$3:$E$10000&amp;DATA!$B$3:$B$10000,DATA!$M$3:$M$10000),"Inactivo"))</f>
        <v/>
      </c>
      <c r="G2198" s="28" t="str">
        <f aca="false">IF(A2198="","",IF(AND(C2198&lt;&gt;"No encontrado",F2198&lt;&gt;"Inactivo"),C2198&amp;" → "&amp;F2198,"Sin transición"))</f>
        <v/>
      </c>
      <c r="H2198" s="26" t="str">
        <f aca="false">IF(A2198="","",IF(D2198="GCIA LINEA SERVICIO DIGITALIDAD Y VENTAS","Chats",IF(OR(D2198="GERENCIA INBOUND LÍNEAS SERVICIO Y VENTA",D2198="GERENCIA INBOUND LINEAS ESPECIALIZADAS"),"Llamadas","Otro")))</f>
        <v/>
      </c>
      <c r="I2198" s="26" t="str">
        <f aca="false">IF(A2198="","",IF(C2198="No encontrado","No","Sí"))</f>
        <v/>
      </c>
      <c r="J2198" s="26" t="str">
        <f aca="false">IF(A2198="","",IF(F2198="Inactivo","No","Sí"))</f>
        <v/>
      </c>
      <c r="K2198" s="26" t="str">
        <f aca="false">IF(A2198="","",IF(AND(I2198="Sí",J2198="Sí"),"Sí","No"))</f>
        <v/>
      </c>
    </row>
    <row r="2199" customFormat="false" ht="15" hidden="false" customHeight="false" outlineLevel="0" collapsed="false">
      <c r="A2199" s="22"/>
      <c r="B2199" s="22"/>
      <c r="C2199" s="23" t="str">
        <f aca="false">IF(A2199="","",IFERROR(buscarx(A2199&amp;B2199,DATA!$E$3:$E$10000&amp;DATA!$B$3:$B$10000,DATA!$M$3:$M$10000),"No encontrado"))</f>
        <v/>
      </c>
      <c r="D2199" s="24" t="str">
        <f aca="false">IF(A2199="","",IFERROR(buscarx(A2199&amp;B2199,DATA!$E$3:$E$10000&amp;DATA!$B$3:$B$10000,DATA!$W$3:$W$10000),"No encontrado"))</f>
        <v/>
      </c>
      <c r="E2199" s="22"/>
      <c r="F2199" s="23" t="str">
        <f aca="false">IF(A2199="","",IFERROR(buscarx(A2199&amp;E2199,DATA!$E$3:$E$10000&amp;DATA!$B$3:$B$10000,DATA!$M$3:$M$10000),"Inactivo"))</f>
        <v/>
      </c>
      <c r="G2199" s="25" t="str">
        <f aca="false">IF(A2199="","",IF(AND(C2199&lt;&gt;"No encontrado",F2199&lt;&gt;"Inactivo"),C2199&amp;" → "&amp;F2199,"Sin transición"))</f>
        <v/>
      </c>
      <c r="H2199" s="23" t="str">
        <f aca="false">IF(A2199="","",IF(D2199="GCIA LINEA SERVICIO DIGITALIDAD Y VENTAS","Chats",IF(OR(D2199="GERENCIA INBOUND LÍNEAS SERVICIO Y VENTA",D2199="GERENCIA INBOUND LINEAS ESPECIALIZADAS"),"Llamadas","Otro")))</f>
        <v/>
      </c>
      <c r="I2199" s="23" t="str">
        <f aca="false">IF(A2199="","",IF(C2199="No encontrado","No","Sí"))</f>
        <v/>
      </c>
      <c r="J2199" s="23" t="str">
        <f aca="false">IF(A2199="","",IF(F2199="Inactivo","No","Sí"))</f>
        <v/>
      </c>
      <c r="K2199" s="23" t="str">
        <f aca="false">IF(A2199="","",IF(AND(I2199="Sí",J2199="Sí"),"Sí","No"))</f>
        <v/>
      </c>
    </row>
    <row r="2200" customFormat="false" ht="15" hidden="false" customHeight="false" outlineLevel="0" collapsed="false">
      <c r="A2200" s="22"/>
      <c r="B2200" s="22"/>
      <c r="C2200" s="26" t="str">
        <f aca="false">IF(A2200="","",IFERROR(buscarx(A2200&amp;B2200,DATA!$E$3:$E$10000&amp;DATA!$B$3:$B$10000,DATA!$M$3:$M$10000),"No encontrado"))</f>
        <v/>
      </c>
      <c r="D2200" s="27" t="str">
        <f aca="false">IF(A2200="","",IFERROR(buscarx(A2200&amp;B2200,DATA!$E$3:$E$10000&amp;DATA!$B$3:$B$10000,DATA!$W$3:$W$10000),"No encontrado"))</f>
        <v/>
      </c>
      <c r="E2200" s="22"/>
      <c r="F2200" s="26" t="str">
        <f aca="false">IF(A2200="","",IFERROR(buscarx(A2200&amp;E2200,DATA!$E$3:$E$10000&amp;DATA!$B$3:$B$10000,DATA!$M$3:$M$10000),"Inactivo"))</f>
        <v/>
      </c>
      <c r="G2200" s="28" t="str">
        <f aca="false">IF(A2200="","",IF(AND(C2200&lt;&gt;"No encontrado",F2200&lt;&gt;"Inactivo"),C2200&amp;" → "&amp;F2200,"Sin transición"))</f>
        <v/>
      </c>
      <c r="H2200" s="26" t="str">
        <f aca="false">IF(A2200="","",IF(D2200="GCIA LINEA SERVICIO DIGITALIDAD Y VENTAS","Chats",IF(OR(D2200="GERENCIA INBOUND LÍNEAS SERVICIO Y VENTA",D2200="GERENCIA INBOUND LINEAS ESPECIALIZADAS"),"Llamadas","Otro")))</f>
        <v/>
      </c>
      <c r="I2200" s="26" t="str">
        <f aca="false">IF(A2200="","",IF(C2200="No encontrado","No","Sí"))</f>
        <v/>
      </c>
      <c r="J2200" s="26" t="str">
        <f aca="false">IF(A2200="","",IF(F2200="Inactivo","No","Sí"))</f>
        <v/>
      </c>
      <c r="K2200" s="26" t="str">
        <f aca="false">IF(A2200="","",IF(AND(I2200="Sí",J2200="Sí"),"Sí","No"))</f>
        <v/>
      </c>
    </row>
    <row r="2201" customFormat="false" ht="15" hidden="false" customHeight="false" outlineLevel="0" collapsed="false">
      <c r="A2201" s="22"/>
      <c r="B2201" s="22"/>
      <c r="C2201" s="23" t="str">
        <f aca="false">IF(A2201="","",IFERROR(buscarx(A2201&amp;B2201,DATA!$E$3:$E$10000&amp;DATA!$B$3:$B$10000,DATA!$M$3:$M$10000),"No encontrado"))</f>
        <v/>
      </c>
      <c r="D2201" s="24" t="str">
        <f aca="false">IF(A2201="","",IFERROR(buscarx(A2201&amp;B2201,DATA!$E$3:$E$10000&amp;DATA!$B$3:$B$10000,DATA!$W$3:$W$10000),"No encontrado"))</f>
        <v/>
      </c>
      <c r="E2201" s="22"/>
      <c r="F2201" s="23" t="str">
        <f aca="false">IF(A2201="","",IFERROR(buscarx(A2201&amp;E2201,DATA!$E$3:$E$10000&amp;DATA!$B$3:$B$10000,DATA!$M$3:$M$10000),"Inactivo"))</f>
        <v/>
      </c>
      <c r="G2201" s="25" t="str">
        <f aca="false">IF(A2201="","",IF(AND(C2201&lt;&gt;"No encontrado",F2201&lt;&gt;"Inactivo"),C2201&amp;" → "&amp;F2201,"Sin transición"))</f>
        <v/>
      </c>
      <c r="H2201" s="23" t="str">
        <f aca="false">IF(A2201="","",IF(D2201="GCIA LINEA SERVICIO DIGITALIDAD Y VENTAS","Chats",IF(OR(D2201="GERENCIA INBOUND LÍNEAS SERVICIO Y VENTA",D2201="GERENCIA INBOUND LINEAS ESPECIALIZADAS"),"Llamadas","Otro")))</f>
        <v/>
      </c>
      <c r="I2201" s="23" t="str">
        <f aca="false">IF(A2201="","",IF(C2201="No encontrado","No","Sí"))</f>
        <v/>
      </c>
      <c r="J2201" s="23" t="str">
        <f aca="false">IF(A2201="","",IF(F2201="Inactivo","No","Sí"))</f>
        <v/>
      </c>
      <c r="K2201" s="23" t="str">
        <f aca="false">IF(A2201="","",IF(AND(I2201="Sí",J2201="Sí"),"Sí","No"))</f>
        <v/>
      </c>
    </row>
    <row r="2202" customFormat="false" ht="15" hidden="false" customHeight="false" outlineLevel="0" collapsed="false">
      <c r="A2202" s="22"/>
      <c r="B2202" s="22"/>
      <c r="C2202" s="26" t="str">
        <f aca="false">IF(A2202="","",IFERROR(buscarx(A2202&amp;B2202,DATA!$E$3:$E$10000&amp;DATA!$B$3:$B$10000,DATA!$M$3:$M$10000),"No encontrado"))</f>
        <v/>
      </c>
      <c r="D2202" s="27" t="str">
        <f aca="false">IF(A2202="","",IFERROR(buscarx(A2202&amp;B2202,DATA!$E$3:$E$10000&amp;DATA!$B$3:$B$10000,DATA!$W$3:$W$10000),"No encontrado"))</f>
        <v/>
      </c>
      <c r="E2202" s="22"/>
      <c r="F2202" s="26" t="str">
        <f aca="false">IF(A2202="","",IFERROR(buscarx(A2202&amp;E2202,DATA!$E$3:$E$10000&amp;DATA!$B$3:$B$10000,DATA!$M$3:$M$10000),"Inactivo"))</f>
        <v/>
      </c>
      <c r="G2202" s="28" t="str">
        <f aca="false">IF(A2202="","",IF(AND(C2202&lt;&gt;"No encontrado",F2202&lt;&gt;"Inactivo"),C2202&amp;" → "&amp;F2202,"Sin transición"))</f>
        <v/>
      </c>
      <c r="H2202" s="26" t="str">
        <f aca="false">IF(A2202="","",IF(D2202="GCIA LINEA SERVICIO DIGITALIDAD Y VENTAS","Chats",IF(OR(D2202="GERENCIA INBOUND LÍNEAS SERVICIO Y VENTA",D2202="GERENCIA INBOUND LINEAS ESPECIALIZADAS"),"Llamadas","Otro")))</f>
        <v/>
      </c>
      <c r="I2202" s="26" t="str">
        <f aca="false">IF(A2202="","",IF(C2202="No encontrado","No","Sí"))</f>
        <v/>
      </c>
      <c r="J2202" s="26" t="str">
        <f aca="false">IF(A2202="","",IF(F2202="Inactivo","No","Sí"))</f>
        <v/>
      </c>
      <c r="K2202" s="26" t="str">
        <f aca="false">IF(A2202="","",IF(AND(I2202="Sí",J2202="Sí"),"Sí","No"))</f>
        <v/>
      </c>
    </row>
    <row r="2203" customFormat="false" ht="15" hidden="false" customHeight="false" outlineLevel="0" collapsed="false">
      <c r="A2203" s="22"/>
      <c r="B2203" s="22"/>
      <c r="C2203" s="23" t="str">
        <f aca="false">IF(A2203="","",IFERROR(buscarx(A2203&amp;B2203,DATA!$E$3:$E$10000&amp;DATA!$B$3:$B$10000,DATA!$M$3:$M$10000),"No encontrado"))</f>
        <v/>
      </c>
      <c r="D2203" s="24" t="str">
        <f aca="false">IF(A2203="","",IFERROR(buscarx(A2203&amp;B2203,DATA!$E$3:$E$10000&amp;DATA!$B$3:$B$10000,DATA!$W$3:$W$10000),"No encontrado"))</f>
        <v/>
      </c>
      <c r="E2203" s="22"/>
      <c r="F2203" s="23" t="str">
        <f aca="false">IF(A2203="","",IFERROR(buscarx(A2203&amp;E2203,DATA!$E$3:$E$10000&amp;DATA!$B$3:$B$10000,DATA!$M$3:$M$10000),"Inactivo"))</f>
        <v/>
      </c>
      <c r="G2203" s="25" t="str">
        <f aca="false">IF(A2203="","",IF(AND(C2203&lt;&gt;"No encontrado",F2203&lt;&gt;"Inactivo"),C2203&amp;" → "&amp;F2203,"Sin transición"))</f>
        <v/>
      </c>
      <c r="H2203" s="23" t="str">
        <f aca="false">IF(A2203="","",IF(D2203="GCIA LINEA SERVICIO DIGITALIDAD Y VENTAS","Chats",IF(OR(D2203="GERENCIA INBOUND LÍNEAS SERVICIO Y VENTA",D2203="GERENCIA INBOUND LINEAS ESPECIALIZADAS"),"Llamadas","Otro")))</f>
        <v/>
      </c>
      <c r="I2203" s="23" t="str">
        <f aca="false">IF(A2203="","",IF(C2203="No encontrado","No","Sí"))</f>
        <v/>
      </c>
      <c r="J2203" s="23" t="str">
        <f aca="false">IF(A2203="","",IF(F2203="Inactivo","No","Sí"))</f>
        <v/>
      </c>
      <c r="K2203" s="23" t="str">
        <f aca="false">IF(A2203="","",IF(AND(I2203="Sí",J2203="Sí"),"Sí","No"))</f>
        <v/>
      </c>
    </row>
    <row r="2204" customFormat="false" ht="15" hidden="false" customHeight="false" outlineLevel="0" collapsed="false">
      <c r="A2204" s="22"/>
      <c r="B2204" s="22"/>
      <c r="C2204" s="26" t="str">
        <f aca="false">IF(A2204="","",IFERROR(buscarx(A2204&amp;B2204,DATA!$E$3:$E$10000&amp;DATA!$B$3:$B$10000,DATA!$M$3:$M$10000),"No encontrado"))</f>
        <v/>
      </c>
      <c r="D2204" s="27" t="str">
        <f aca="false">IF(A2204="","",IFERROR(buscarx(A2204&amp;B2204,DATA!$E$3:$E$10000&amp;DATA!$B$3:$B$10000,DATA!$W$3:$W$10000),"No encontrado"))</f>
        <v/>
      </c>
      <c r="E2204" s="22"/>
      <c r="F2204" s="26" t="str">
        <f aca="false">IF(A2204="","",IFERROR(buscarx(A2204&amp;E2204,DATA!$E$3:$E$10000&amp;DATA!$B$3:$B$10000,DATA!$M$3:$M$10000),"Inactivo"))</f>
        <v/>
      </c>
      <c r="G2204" s="28" t="str">
        <f aca="false">IF(A2204="","",IF(AND(C2204&lt;&gt;"No encontrado",F2204&lt;&gt;"Inactivo"),C2204&amp;" → "&amp;F2204,"Sin transición"))</f>
        <v/>
      </c>
      <c r="H2204" s="26" t="str">
        <f aca="false">IF(A2204="","",IF(D2204="GCIA LINEA SERVICIO DIGITALIDAD Y VENTAS","Chats",IF(OR(D2204="GERENCIA INBOUND LÍNEAS SERVICIO Y VENTA",D2204="GERENCIA INBOUND LINEAS ESPECIALIZADAS"),"Llamadas","Otro")))</f>
        <v/>
      </c>
      <c r="I2204" s="26" t="str">
        <f aca="false">IF(A2204="","",IF(C2204="No encontrado","No","Sí"))</f>
        <v/>
      </c>
      <c r="J2204" s="26" t="str">
        <f aca="false">IF(A2204="","",IF(F2204="Inactivo","No","Sí"))</f>
        <v/>
      </c>
      <c r="K2204" s="26" t="str">
        <f aca="false">IF(A2204="","",IF(AND(I2204="Sí",J2204="Sí"),"Sí","No"))</f>
        <v/>
      </c>
    </row>
    <row r="2205" customFormat="false" ht="15" hidden="false" customHeight="false" outlineLevel="0" collapsed="false">
      <c r="A2205" s="22"/>
      <c r="B2205" s="22"/>
      <c r="C2205" s="23" t="str">
        <f aca="false">IF(A2205="","",IFERROR(buscarx(A2205&amp;B2205,DATA!$E$3:$E$10000&amp;DATA!$B$3:$B$10000,DATA!$M$3:$M$10000),"No encontrado"))</f>
        <v/>
      </c>
      <c r="D2205" s="24" t="str">
        <f aca="false">IF(A2205="","",IFERROR(buscarx(A2205&amp;B2205,DATA!$E$3:$E$10000&amp;DATA!$B$3:$B$10000,DATA!$W$3:$W$10000),"No encontrado"))</f>
        <v/>
      </c>
      <c r="E2205" s="22"/>
      <c r="F2205" s="23" t="str">
        <f aca="false">IF(A2205="","",IFERROR(buscarx(A2205&amp;E2205,DATA!$E$3:$E$10000&amp;DATA!$B$3:$B$10000,DATA!$M$3:$M$10000),"Inactivo"))</f>
        <v/>
      </c>
      <c r="G2205" s="25" t="str">
        <f aca="false">IF(A2205="","",IF(AND(C2205&lt;&gt;"No encontrado",F2205&lt;&gt;"Inactivo"),C2205&amp;" → "&amp;F2205,"Sin transición"))</f>
        <v/>
      </c>
      <c r="H2205" s="23" t="str">
        <f aca="false">IF(A2205="","",IF(D2205="GCIA LINEA SERVICIO DIGITALIDAD Y VENTAS","Chats",IF(OR(D2205="GERENCIA INBOUND LÍNEAS SERVICIO Y VENTA",D2205="GERENCIA INBOUND LINEAS ESPECIALIZADAS"),"Llamadas","Otro")))</f>
        <v/>
      </c>
      <c r="I2205" s="23" t="str">
        <f aca="false">IF(A2205="","",IF(C2205="No encontrado","No","Sí"))</f>
        <v/>
      </c>
      <c r="J2205" s="23" t="str">
        <f aca="false">IF(A2205="","",IF(F2205="Inactivo","No","Sí"))</f>
        <v/>
      </c>
      <c r="K2205" s="23" t="str">
        <f aca="false">IF(A2205="","",IF(AND(I2205="Sí",J2205="Sí"),"Sí","No"))</f>
        <v/>
      </c>
    </row>
    <row r="2206" customFormat="false" ht="15" hidden="false" customHeight="false" outlineLevel="0" collapsed="false">
      <c r="A2206" s="22"/>
      <c r="B2206" s="22"/>
      <c r="C2206" s="26" t="str">
        <f aca="false">IF(A2206="","",IFERROR(buscarx(A2206&amp;B2206,DATA!$E$3:$E$10000&amp;DATA!$B$3:$B$10000,DATA!$M$3:$M$10000),"No encontrado"))</f>
        <v/>
      </c>
      <c r="D2206" s="27" t="str">
        <f aca="false">IF(A2206="","",IFERROR(buscarx(A2206&amp;B2206,DATA!$E$3:$E$10000&amp;DATA!$B$3:$B$10000,DATA!$W$3:$W$10000),"No encontrado"))</f>
        <v/>
      </c>
      <c r="E2206" s="22"/>
      <c r="F2206" s="26" t="str">
        <f aca="false">IF(A2206="","",IFERROR(buscarx(A2206&amp;E2206,DATA!$E$3:$E$10000&amp;DATA!$B$3:$B$10000,DATA!$M$3:$M$10000),"Inactivo"))</f>
        <v/>
      </c>
      <c r="G2206" s="28" t="str">
        <f aca="false">IF(A2206="","",IF(AND(C2206&lt;&gt;"No encontrado",F2206&lt;&gt;"Inactivo"),C2206&amp;" → "&amp;F2206,"Sin transición"))</f>
        <v/>
      </c>
      <c r="H2206" s="26" t="str">
        <f aca="false">IF(A2206="","",IF(D2206="GCIA LINEA SERVICIO DIGITALIDAD Y VENTAS","Chats",IF(OR(D2206="GERENCIA INBOUND LÍNEAS SERVICIO Y VENTA",D2206="GERENCIA INBOUND LINEAS ESPECIALIZADAS"),"Llamadas","Otro")))</f>
        <v/>
      </c>
      <c r="I2206" s="26" t="str">
        <f aca="false">IF(A2206="","",IF(C2206="No encontrado","No","Sí"))</f>
        <v/>
      </c>
      <c r="J2206" s="26" t="str">
        <f aca="false">IF(A2206="","",IF(F2206="Inactivo","No","Sí"))</f>
        <v/>
      </c>
      <c r="K2206" s="26" t="str">
        <f aca="false">IF(A2206="","",IF(AND(I2206="Sí",J2206="Sí"),"Sí","No"))</f>
        <v/>
      </c>
    </row>
    <row r="2207" customFormat="false" ht="15" hidden="false" customHeight="false" outlineLevel="0" collapsed="false">
      <c r="A2207" s="22"/>
      <c r="B2207" s="22"/>
      <c r="C2207" s="23" t="str">
        <f aca="false">IF(A2207="","",IFERROR(buscarx(A2207&amp;B2207,DATA!$E$3:$E$10000&amp;DATA!$B$3:$B$10000,DATA!$M$3:$M$10000),"No encontrado"))</f>
        <v/>
      </c>
      <c r="D2207" s="24" t="str">
        <f aca="false">IF(A2207="","",IFERROR(buscarx(A2207&amp;B2207,DATA!$E$3:$E$10000&amp;DATA!$B$3:$B$10000,DATA!$W$3:$W$10000),"No encontrado"))</f>
        <v/>
      </c>
      <c r="E2207" s="22"/>
      <c r="F2207" s="23" t="str">
        <f aca="false">IF(A2207="","",IFERROR(buscarx(A2207&amp;E2207,DATA!$E$3:$E$10000&amp;DATA!$B$3:$B$10000,DATA!$M$3:$M$10000),"Inactivo"))</f>
        <v/>
      </c>
      <c r="G2207" s="25" t="str">
        <f aca="false">IF(A2207="","",IF(AND(C2207&lt;&gt;"No encontrado",F2207&lt;&gt;"Inactivo"),C2207&amp;" → "&amp;F2207,"Sin transición"))</f>
        <v/>
      </c>
      <c r="H2207" s="23" t="str">
        <f aca="false">IF(A2207="","",IF(D2207="GCIA LINEA SERVICIO DIGITALIDAD Y VENTAS","Chats",IF(OR(D2207="GERENCIA INBOUND LÍNEAS SERVICIO Y VENTA",D2207="GERENCIA INBOUND LINEAS ESPECIALIZADAS"),"Llamadas","Otro")))</f>
        <v/>
      </c>
      <c r="I2207" s="23" t="str">
        <f aca="false">IF(A2207="","",IF(C2207="No encontrado","No","Sí"))</f>
        <v/>
      </c>
      <c r="J2207" s="23" t="str">
        <f aca="false">IF(A2207="","",IF(F2207="Inactivo","No","Sí"))</f>
        <v/>
      </c>
      <c r="K2207" s="23" t="str">
        <f aca="false">IF(A2207="","",IF(AND(I2207="Sí",J2207="Sí"),"Sí","No"))</f>
        <v/>
      </c>
    </row>
    <row r="2208" customFormat="false" ht="15" hidden="false" customHeight="false" outlineLevel="0" collapsed="false">
      <c r="A2208" s="22"/>
      <c r="B2208" s="22"/>
      <c r="C2208" s="26" t="str">
        <f aca="false">IF(A2208="","",IFERROR(buscarx(A2208&amp;B2208,DATA!$E$3:$E$10000&amp;DATA!$B$3:$B$10000,DATA!$M$3:$M$10000),"No encontrado"))</f>
        <v/>
      </c>
      <c r="D2208" s="27" t="str">
        <f aca="false">IF(A2208="","",IFERROR(buscarx(A2208&amp;B2208,DATA!$E$3:$E$10000&amp;DATA!$B$3:$B$10000,DATA!$W$3:$W$10000),"No encontrado"))</f>
        <v/>
      </c>
      <c r="E2208" s="22"/>
      <c r="F2208" s="26" t="str">
        <f aca="false">IF(A2208="","",IFERROR(buscarx(A2208&amp;E2208,DATA!$E$3:$E$10000&amp;DATA!$B$3:$B$10000,DATA!$M$3:$M$10000),"Inactivo"))</f>
        <v/>
      </c>
      <c r="G2208" s="28" t="str">
        <f aca="false">IF(A2208="","",IF(AND(C2208&lt;&gt;"No encontrado",F2208&lt;&gt;"Inactivo"),C2208&amp;" → "&amp;F2208,"Sin transición"))</f>
        <v/>
      </c>
      <c r="H2208" s="26" t="str">
        <f aca="false">IF(A2208="","",IF(D2208="GCIA LINEA SERVICIO DIGITALIDAD Y VENTAS","Chats",IF(OR(D2208="GERENCIA INBOUND LÍNEAS SERVICIO Y VENTA",D2208="GERENCIA INBOUND LINEAS ESPECIALIZADAS"),"Llamadas","Otro")))</f>
        <v/>
      </c>
      <c r="I2208" s="26" t="str">
        <f aca="false">IF(A2208="","",IF(C2208="No encontrado","No","Sí"))</f>
        <v/>
      </c>
      <c r="J2208" s="26" t="str">
        <f aca="false">IF(A2208="","",IF(F2208="Inactivo","No","Sí"))</f>
        <v/>
      </c>
      <c r="K2208" s="26" t="str">
        <f aca="false">IF(A2208="","",IF(AND(I2208="Sí",J2208="Sí"),"Sí","No"))</f>
        <v/>
      </c>
    </row>
    <row r="2209" customFormat="false" ht="15" hidden="false" customHeight="false" outlineLevel="0" collapsed="false">
      <c r="A2209" s="22"/>
      <c r="B2209" s="22"/>
      <c r="C2209" s="23" t="str">
        <f aca="false">IF(A2209="","",IFERROR(buscarx(A2209&amp;B2209,DATA!$E$3:$E$10000&amp;DATA!$B$3:$B$10000,DATA!$M$3:$M$10000),"No encontrado"))</f>
        <v/>
      </c>
      <c r="D2209" s="24" t="str">
        <f aca="false">IF(A2209="","",IFERROR(buscarx(A2209&amp;B2209,DATA!$E$3:$E$10000&amp;DATA!$B$3:$B$10000,DATA!$W$3:$W$10000),"No encontrado"))</f>
        <v/>
      </c>
      <c r="E2209" s="22"/>
      <c r="F2209" s="23" t="str">
        <f aca="false">IF(A2209="","",IFERROR(buscarx(A2209&amp;E2209,DATA!$E$3:$E$10000&amp;DATA!$B$3:$B$10000,DATA!$M$3:$M$10000),"Inactivo"))</f>
        <v/>
      </c>
      <c r="G2209" s="25" t="str">
        <f aca="false">IF(A2209="","",IF(AND(C2209&lt;&gt;"No encontrado",F2209&lt;&gt;"Inactivo"),C2209&amp;" → "&amp;F2209,"Sin transición"))</f>
        <v/>
      </c>
      <c r="H2209" s="23" t="str">
        <f aca="false">IF(A2209="","",IF(D2209="GCIA LINEA SERVICIO DIGITALIDAD Y VENTAS","Chats",IF(OR(D2209="GERENCIA INBOUND LÍNEAS SERVICIO Y VENTA",D2209="GERENCIA INBOUND LINEAS ESPECIALIZADAS"),"Llamadas","Otro")))</f>
        <v/>
      </c>
      <c r="I2209" s="23" t="str">
        <f aca="false">IF(A2209="","",IF(C2209="No encontrado","No","Sí"))</f>
        <v/>
      </c>
      <c r="J2209" s="23" t="str">
        <f aca="false">IF(A2209="","",IF(F2209="Inactivo","No","Sí"))</f>
        <v/>
      </c>
      <c r="K2209" s="23" t="str">
        <f aca="false">IF(A2209="","",IF(AND(I2209="Sí",J2209="Sí"),"Sí","No"))</f>
        <v/>
      </c>
    </row>
    <row r="2210" customFormat="false" ht="15" hidden="false" customHeight="false" outlineLevel="0" collapsed="false">
      <c r="A2210" s="22"/>
      <c r="B2210" s="22"/>
      <c r="C2210" s="26" t="str">
        <f aca="false">IF(A2210="","",IFERROR(buscarx(A2210&amp;B2210,DATA!$E$3:$E$10000&amp;DATA!$B$3:$B$10000,DATA!$M$3:$M$10000),"No encontrado"))</f>
        <v/>
      </c>
      <c r="D2210" s="27" t="str">
        <f aca="false">IF(A2210="","",IFERROR(buscarx(A2210&amp;B2210,DATA!$E$3:$E$10000&amp;DATA!$B$3:$B$10000,DATA!$W$3:$W$10000),"No encontrado"))</f>
        <v/>
      </c>
      <c r="E2210" s="22"/>
      <c r="F2210" s="26" t="str">
        <f aca="false">IF(A2210="","",IFERROR(buscarx(A2210&amp;E2210,DATA!$E$3:$E$10000&amp;DATA!$B$3:$B$10000,DATA!$M$3:$M$10000),"Inactivo"))</f>
        <v/>
      </c>
      <c r="G2210" s="28" t="str">
        <f aca="false">IF(A2210="","",IF(AND(C2210&lt;&gt;"No encontrado",F2210&lt;&gt;"Inactivo"),C2210&amp;" → "&amp;F2210,"Sin transición"))</f>
        <v/>
      </c>
      <c r="H2210" s="26" t="str">
        <f aca="false">IF(A2210="","",IF(D2210="GCIA LINEA SERVICIO DIGITALIDAD Y VENTAS","Chats",IF(OR(D2210="GERENCIA INBOUND LÍNEAS SERVICIO Y VENTA",D2210="GERENCIA INBOUND LINEAS ESPECIALIZADAS"),"Llamadas","Otro")))</f>
        <v/>
      </c>
      <c r="I2210" s="26" t="str">
        <f aca="false">IF(A2210="","",IF(C2210="No encontrado","No","Sí"))</f>
        <v/>
      </c>
      <c r="J2210" s="26" t="str">
        <f aca="false">IF(A2210="","",IF(F2210="Inactivo","No","Sí"))</f>
        <v/>
      </c>
      <c r="K2210" s="26" t="str">
        <f aca="false">IF(A2210="","",IF(AND(I2210="Sí",J2210="Sí"),"Sí","No"))</f>
        <v/>
      </c>
    </row>
    <row r="2211" customFormat="false" ht="15" hidden="false" customHeight="false" outlineLevel="0" collapsed="false">
      <c r="A2211" s="22"/>
      <c r="B2211" s="22"/>
      <c r="C2211" s="23" t="str">
        <f aca="false">IF(A2211="","",IFERROR(buscarx(A2211&amp;B2211,DATA!$E$3:$E$10000&amp;DATA!$B$3:$B$10000,DATA!$M$3:$M$10000),"No encontrado"))</f>
        <v/>
      </c>
      <c r="D2211" s="24" t="str">
        <f aca="false">IF(A2211="","",IFERROR(buscarx(A2211&amp;B2211,DATA!$E$3:$E$10000&amp;DATA!$B$3:$B$10000,DATA!$W$3:$W$10000),"No encontrado"))</f>
        <v/>
      </c>
      <c r="E2211" s="22"/>
      <c r="F2211" s="23" t="str">
        <f aca="false">IF(A2211="","",IFERROR(buscarx(A2211&amp;E2211,DATA!$E$3:$E$10000&amp;DATA!$B$3:$B$10000,DATA!$M$3:$M$10000),"Inactivo"))</f>
        <v/>
      </c>
      <c r="G2211" s="25" t="str">
        <f aca="false">IF(A2211="","",IF(AND(C2211&lt;&gt;"No encontrado",F2211&lt;&gt;"Inactivo"),C2211&amp;" → "&amp;F2211,"Sin transición"))</f>
        <v/>
      </c>
      <c r="H2211" s="23" t="str">
        <f aca="false">IF(A2211="","",IF(D2211="GCIA LINEA SERVICIO DIGITALIDAD Y VENTAS","Chats",IF(OR(D2211="GERENCIA INBOUND LÍNEAS SERVICIO Y VENTA",D2211="GERENCIA INBOUND LINEAS ESPECIALIZADAS"),"Llamadas","Otro")))</f>
        <v/>
      </c>
      <c r="I2211" s="23" t="str">
        <f aca="false">IF(A2211="","",IF(C2211="No encontrado","No","Sí"))</f>
        <v/>
      </c>
      <c r="J2211" s="23" t="str">
        <f aca="false">IF(A2211="","",IF(F2211="Inactivo","No","Sí"))</f>
        <v/>
      </c>
      <c r="K2211" s="23" t="str">
        <f aca="false">IF(A2211="","",IF(AND(I2211="Sí",J2211="Sí"),"Sí","No"))</f>
        <v/>
      </c>
    </row>
    <row r="2212" customFormat="false" ht="15" hidden="false" customHeight="false" outlineLevel="0" collapsed="false">
      <c r="A2212" s="22"/>
      <c r="B2212" s="22"/>
      <c r="C2212" s="26" t="str">
        <f aca="false">IF(A2212="","",IFERROR(buscarx(A2212&amp;B2212,DATA!$E$3:$E$10000&amp;DATA!$B$3:$B$10000,DATA!$M$3:$M$10000),"No encontrado"))</f>
        <v/>
      </c>
      <c r="D2212" s="27" t="str">
        <f aca="false">IF(A2212="","",IFERROR(buscarx(A2212&amp;B2212,DATA!$E$3:$E$10000&amp;DATA!$B$3:$B$10000,DATA!$W$3:$W$10000),"No encontrado"))</f>
        <v/>
      </c>
      <c r="E2212" s="22"/>
      <c r="F2212" s="26" t="str">
        <f aca="false">IF(A2212="","",IFERROR(buscarx(A2212&amp;E2212,DATA!$E$3:$E$10000&amp;DATA!$B$3:$B$10000,DATA!$M$3:$M$10000),"Inactivo"))</f>
        <v/>
      </c>
      <c r="G2212" s="28" t="str">
        <f aca="false">IF(A2212="","",IF(AND(C2212&lt;&gt;"No encontrado",F2212&lt;&gt;"Inactivo"),C2212&amp;" → "&amp;F2212,"Sin transición"))</f>
        <v/>
      </c>
      <c r="H2212" s="26" t="str">
        <f aca="false">IF(A2212="","",IF(D2212="GCIA LINEA SERVICIO DIGITALIDAD Y VENTAS","Chats",IF(OR(D2212="GERENCIA INBOUND LÍNEAS SERVICIO Y VENTA",D2212="GERENCIA INBOUND LINEAS ESPECIALIZADAS"),"Llamadas","Otro")))</f>
        <v/>
      </c>
      <c r="I2212" s="26" t="str">
        <f aca="false">IF(A2212="","",IF(C2212="No encontrado","No","Sí"))</f>
        <v/>
      </c>
      <c r="J2212" s="26" t="str">
        <f aca="false">IF(A2212="","",IF(F2212="Inactivo","No","Sí"))</f>
        <v/>
      </c>
      <c r="K2212" s="26" t="str">
        <f aca="false">IF(A2212="","",IF(AND(I2212="Sí",J2212="Sí"),"Sí","No"))</f>
        <v/>
      </c>
    </row>
    <row r="2213" customFormat="false" ht="15" hidden="false" customHeight="false" outlineLevel="0" collapsed="false">
      <c r="A2213" s="22"/>
      <c r="B2213" s="22"/>
      <c r="C2213" s="23" t="str">
        <f aca="false">IF(A2213="","",IFERROR(buscarx(A2213&amp;B2213,DATA!$E$3:$E$10000&amp;DATA!$B$3:$B$10000,DATA!$M$3:$M$10000),"No encontrado"))</f>
        <v/>
      </c>
      <c r="D2213" s="24" t="str">
        <f aca="false">IF(A2213="","",IFERROR(buscarx(A2213&amp;B2213,DATA!$E$3:$E$10000&amp;DATA!$B$3:$B$10000,DATA!$W$3:$W$10000),"No encontrado"))</f>
        <v/>
      </c>
      <c r="E2213" s="22"/>
      <c r="F2213" s="23" t="str">
        <f aca="false">IF(A2213="","",IFERROR(buscarx(A2213&amp;E2213,DATA!$E$3:$E$10000&amp;DATA!$B$3:$B$10000,DATA!$M$3:$M$10000),"Inactivo"))</f>
        <v/>
      </c>
      <c r="G2213" s="25" t="str">
        <f aca="false">IF(A2213="","",IF(AND(C2213&lt;&gt;"No encontrado",F2213&lt;&gt;"Inactivo"),C2213&amp;" → "&amp;F2213,"Sin transición"))</f>
        <v/>
      </c>
      <c r="H2213" s="23" t="str">
        <f aca="false">IF(A2213="","",IF(D2213="GCIA LINEA SERVICIO DIGITALIDAD Y VENTAS","Chats",IF(OR(D2213="GERENCIA INBOUND LÍNEAS SERVICIO Y VENTA",D2213="GERENCIA INBOUND LINEAS ESPECIALIZADAS"),"Llamadas","Otro")))</f>
        <v/>
      </c>
      <c r="I2213" s="23" t="str">
        <f aca="false">IF(A2213="","",IF(C2213="No encontrado","No","Sí"))</f>
        <v/>
      </c>
      <c r="J2213" s="23" t="str">
        <f aca="false">IF(A2213="","",IF(F2213="Inactivo","No","Sí"))</f>
        <v/>
      </c>
      <c r="K2213" s="23" t="str">
        <f aca="false">IF(A2213="","",IF(AND(I2213="Sí",J2213="Sí"),"Sí","No"))</f>
        <v/>
      </c>
    </row>
    <row r="2214" customFormat="false" ht="15" hidden="false" customHeight="false" outlineLevel="0" collapsed="false">
      <c r="A2214" s="22"/>
      <c r="B2214" s="22"/>
      <c r="C2214" s="26" t="str">
        <f aca="false">IF(A2214="","",IFERROR(buscarx(A2214&amp;B2214,DATA!$E$3:$E$10000&amp;DATA!$B$3:$B$10000,DATA!$M$3:$M$10000),"No encontrado"))</f>
        <v/>
      </c>
      <c r="D2214" s="27" t="str">
        <f aca="false">IF(A2214="","",IFERROR(buscarx(A2214&amp;B2214,DATA!$E$3:$E$10000&amp;DATA!$B$3:$B$10000,DATA!$W$3:$W$10000),"No encontrado"))</f>
        <v/>
      </c>
      <c r="E2214" s="22"/>
      <c r="F2214" s="26" t="str">
        <f aca="false">IF(A2214="","",IFERROR(buscarx(A2214&amp;E2214,DATA!$E$3:$E$10000&amp;DATA!$B$3:$B$10000,DATA!$M$3:$M$10000),"Inactivo"))</f>
        <v/>
      </c>
      <c r="G2214" s="28" t="str">
        <f aca="false">IF(A2214="","",IF(AND(C2214&lt;&gt;"No encontrado",F2214&lt;&gt;"Inactivo"),C2214&amp;" → "&amp;F2214,"Sin transición"))</f>
        <v/>
      </c>
      <c r="H2214" s="26" t="str">
        <f aca="false">IF(A2214="","",IF(D2214="GCIA LINEA SERVICIO DIGITALIDAD Y VENTAS","Chats",IF(OR(D2214="GERENCIA INBOUND LÍNEAS SERVICIO Y VENTA",D2214="GERENCIA INBOUND LINEAS ESPECIALIZADAS"),"Llamadas","Otro")))</f>
        <v/>
      </c>
      <c r="I2214" s="26" t="str">
        <f aca="false">IF(A2214="","",IF(C2214="No encontrado","No","Sí"))</f>
        <v/>
      </c>
      <c r="J2214" s="26" t="str">
        <f aca="false">IF(A2214="","",IF(F2214="Inactivo","No","Sí"))</f>
        <v/>
      </c>
      <c r="K2214" s="26" t="str">
        <f aca="false">IF(A2214="","",IF(AND(I2214="Sí",J2214="Sí"),"Sí","No"))</f>
        <v/>
      </c>
    </row>
    <row r="2215" customFormat="false" ht="15" hidden="false" customHeight="false" outlineLevel="0" collapsed="false">
      <c r="A2215" s="22"/>
      <c r="B2215" s="22"/>
      <c r="C2215" s="23" t="str">
        <f aca="false">IF(A2215="","",IFERROR(buscarx(A2215&amp;B2215,DATA!$E$3:$E$10000&amp;DATA!$B$3:$B$10000,DATA!$M$3:$M$10000),"No encontrado"))</f>
        <v/>
      </c>
      <c r="D2215" s="24" t="str">
        <f aca="false">IF(A2215="","",IFERROR(buscarx(A2215&amp;B2215,DATA!$E$3:$E$10000&amp;DATA!$B$3:$B$10000,DATA!$W$3:$W$10000),"No encontrado"))</f>
        <v/>
      </c>
      <c r="E2215" s="22"/>
      <c r="F2215" s="23" t="str">
        <f aca="false">IF(A2215="","",IFERROR(buscarx(A2215&amp;E2215,DATA!$E$3:$E$10000&amp;DATA!$B$3:$B$10000,DATA!$M$3:$M$10000),"Inactivo"))</f>
        <v/>
      </c>
      <c r="G2215" s="25" t="str">
        <f aca="false">IF(A2215="","",IF(AND(C2215&lt;&gt;"No encontrado",F2215&lt;&gt;"Inactivo"),C2215&amp;" → "&amp;F2215,"Sin transición"))</f>
        <v/>
      </c>
      <c r="H2215" s="23" t="str">
        <f aca="false">IF(A2215="","",IF(D2215="GCIA LINEA SERVICIO DIGITALIDAD Y VENTAS","Chats",IF(OR(D2215="GERENCIA INBOUND LÍNEAS SERVICIO Y VENTA",D2215="GERENCIA INBOUND LINEAS ESPECIALIZADAS"),"Llamadas","Otro")))</f>
        <v/>
      </c>
      <c r="I2215" s="23" t="str">
        <f aca="false">IF(A2215="","",IF(C2215="No encontrado","No","Sí"))</f>
        <v/>
      </c>
      <c r="J2215" s="23" t="str">
        <f aca="false">IF(A2215="","",IF(F2215="Inactivo","No","Sí"))</f>
        <v/>
      </c>
      <c r="K2215" s="23" t="str">
        <f aca="false">IF(A2215="","",IF(AND(I2215="Sí",J2215="Sí"),"Sí","No"))</f>
        <v/>
      </c>
    </row>
    <row r="2216" customFormat="false" ht="15" hidden="false" customHeight="false" outlineLevel="0" collapsed="false">
      <c r="A2216" s="22"/>
      <c r="B2216" s="22"/>
      <c r="C2216" s="26" t="str">
        <f aca="false">IF(A2216="","",IFERROR(buscarx(A2216&amp;B2216,DATA!$E$3:$E$10000&amp;DATA!$B$3:$B$10000,DATA!$M$3:$M$10000),"No encontrado"))</f>
        <v/>
      </c>
      <c r="D2216" s="27" t="str">
        <f aca="false">IF(A2216="","",IFERROR(buscarx(A2216&amp;B2216,DATA!$E$3:$E$10000&amp;DATA!$B$3:$B$10000,DATA!$W$3:$W$10000),"No encontrado"))</f>
        <v/>
      </c>
      <c r="E2216" s="22"/>
      <c r="F2216" s="26" t="str">
        <f aca="false">IF(A2216="","",IFERROR(buscarx(A2216&amp;E2216,DATA!$E$3:$E$10000&amp;DATA!$B$3:$B$10000,DATA!$M$3:$M$10000),"Inactivo"))</f>
        <v/>
      </c>
      <c r="G2216" s="28" t="str">
        <f aca="false">IF(A2216="","",IF(AND(C2216&lt;&gt;"No encontrado",F2216&lt;&gt;"Inactivo"),C2216&amp;" → "&amp;F2216,"Sin transición"))</f>
        <v/>
      </c>
      <c r="H2216" s="26" t="str">
        <f aca="false">IF(A2216="","",IF(D2216="GCIA LINEA SERVICIO DIGITALIDAD Y VENTAS","Chats",IF(OR(D2216="GERENCIA INBOUND LÍNEAS SERVICIO Y VENTA",D2216="GERENCIA INBOUND LINEAS ESPECIALIZADAS"),"Llamadas","Otro")))</f>
        <v/>
      </c>
      <c r="I2216" s="26" t="str">
        <f aca="false">IF(A2216="","",IF(C2216="No encontrado","No","Sí"))</f>
        <v/>
      </c>
      <c r="J2216" s="26" t="str">
        <f aca="false">IF(A2216="","",IF(F2216="Inactivo","No","Sí"))</f>
        <v/>
      </c>
      <c r="K2216" s="26" t="str">
        <f aca="false">IF(A2216="","",IF(AND(I2216="Sí",J2216="Sí"),"Sí","No"))</f>
        <v/>
      </c>
    </row>
    <row r="2217" customFormat="false" ht="15" hidden="false" customHeight="false" outlineLevel="0" collapsed="false">
      <c r="A2217" s="22"/>
      <c r="B2217" s="22"/>
      <c r="C2217" s="23" t="str">
        <f aca="false">IF(A2217="","",IFERROR(buscarx(A2217&amp;B2217,DATA!$E$3:$E$10000&amp;DATA!$B$3:$B$10000,DATA!$M$3:$M$10000),"No encontrado"))</f>
        <v/>
      </c>
      <c r="D2217" s="24" t="str">
        <f aca="false">IF(A2217="","",IFERROR(buscarx(A2217&amp;B2217,DATA!$E$3:$E$10000&amp;DATA!$B$3:$B$10000,DATA!$W$3:$W$10000),"No encontrado"))</f>
        <v/>
      </c>
      <c r="E2217" s="22"/>
      <c r="F2217" s="23" t="str">
        <f aca="false">IF(A2217="","",IFERROR(buscarx(A2217&amp;E2217,DATA!$E$3:$E$10000&amp;DATA!$B$3:$B$10000,DATA!$M$3:$M$10000),"Inactivo"))</f>
        <v/>
      </c>
      <c r="G2217" s="25" t="str">
        <f aca="false">IF(A2217="","",IF(AND(C2217&lt;&gt;"No encontrado",F2217&lt;&gt;"Inactivo"),C2217&amp;" → "&amp;F2217,"Sin transición"))</f>
        <v/>
      </c>
      <c r="H2217" s="23" t="str">
        <f aca="false">IF(A2217="","",IF(D2217="GCIA LINEA SERVICIO DIGITALIDAD Y VENTAS","Chats",IF(OR(D2217="GERENCIA INBOUND LÍNEAS SERVICIO Y VENTA",D2217="GERENCIA INBOUND LINEAS ESPECIALIZADAS"),"Llamadas","Otro")))</f>
        <v/>
      </c>
      <c r="I2217" s="23" t="str">
        <f aca="false">IF(A2217="","",IF(C2217="No encontrado","No","Sí"))</f>
        <v/>
      </c>
      <c r="J2217" s="23" t="str">
        <f aca="false">IF(A2217="","",IF(F2217="Inactivo","No","Sí"))</f>
        <v/>
      </c>
      <c r="K2217" s="23" t="str">
        <f aca="false">IF(A2217="","",IF(AND(I2217="Sí",J2217="Sí"),"Sí","No"))</f>
        <v/>
      </c>
    </row>
    <row r="2218" customFormat="false" ht="15" hidden="false" customHeight="false" outlineLevel="0" collapsed="false">
      <c r="A2218" s="22"/>
      <c r="B2218" s="22"/>
      <c r="C2218" s="26" t="str">
        <f aca="false">IF(A2218="","",IFERROR(buscarx(A2218&amp;B2218,DATA!$E$3:$E$10000&amp;DATA!$B$3:$B$10000,DATA!$M$3:$M$10000),"No encontrado"))</f>
        <v/>
      </c>
      <c r="D2218" s="27" t="str">
        <f aca="false">IF(A2218="","",IFERROR(buscarx(A2218&amp;B2218,DATA!$E$3:$E$10000&amp;DATA!$B$3:$B$10000,DATA!$W$3:$W$10000),"No encontrado"))</f>
        <v/>
      </c>
      <c r="E2218" s="22"/>
      <c r="F2218" s="26" t="str">
        <f aca="false">IF(A2218="","",IFERROR(buscarx(A2218&amp;E2218,DATA!$E$3:$E$10000&amp;DATA!$B$3:$B$10000,DATA!$M$3:$M$10000),"Inactivo"))</f>
        <v/>
      </c>
      <c r="G2218" s="28" t="str">
        <f aca="false">IF(A2218="","",IF(AND(C2218&lt;&gt;"No encontrado",F2218&lt;&gt;"Inactivo"),C2218&amp;" → "&amp;F2218,"Sin transición"))</f>
        <v/>
      </c>
      <c r="H2218" s="26" t="str">
        <f aca="false">IF(A2218="","",IF(D2218="GCIA LINEA SERVICIO DIGITALIDAD Y VENTAS","Chats",IF(OR(D2218="GERENCIA INBOUND LÍNEAS SERVICIO Y VENTA",D2218="GERENCIA INBOUND LINEAS ESPECIALIZADAS"),"Llamadas","Otro")))</f>
        <v/>
      </c>
      <c r="I2218" s="26" t="str">
        <f aca="false">IF(A2218="","",IF(C2218="No encontrado","No","Sí"))</f>
        <v/>
      </c>
      <c r="J2218" s="26" t="str">
        <f aca="false">IF(A2218="","",IF(F2218="Inactivo","No","Sí"))</f>
        <v/>
      </c>
      <c r="K2218" s="26" t="str">
        <f aca="false">IF(A2218="","",IF(AND(I2218="Sí",J2218="Sí"),"Sí","No"))</f>
        <v/>
      </c>
    </row>
    <row r="2219" customFormat="false" ht="15" hidden="false" customHeight="false" outlineLevel="0" collapsed="false">
      <c r="A2219" s="22"/>
      <c r="B2219" s="22"/>
      <c r="C2219" s="23" t="str">
        <f aca="false">IF(A2219="","",IFERROR(buscarx(A2219&amp;B2219,DATA!$E$3:$E$10000&amp;DATA!$B$3:$B$10000,DATA!$M$3:$M$10000),"No encontrado"))</f>
        <v/>
      </c>
      <c r="D2219" s="24" t="str">
        <f aca="false">IF(A2219="","",IFERROR(buscarx(A2219&amp;B2219,DATA!$E$3:$E$10000&amp;DATA!$B$3:$B$10000,DATA!$W$3:$W$10000),"No encontrado"))</f>
        <v/>
      </c>
      <c r="E2219" s="22"/>
      <c r="F2219" s="23" t="str">
        <f aca="false">IF(A2219="","",IFERROR(buscarx(A2219&amp;E2219,DATA!$E$3:$E$10000&amp;DATA!$B$3:$B$10000,DATA!$M$3:$M$10000),"Inactivo"))</f>
        <v/>
      </c>
      <c r="G2219" s="25" t="str">
        <f aca="false">IF(A2219="","",IF(AND(C2219&lt;&gt;"No encontrado",F2219&lt;&gt;"Inactivo"),C2219&amp;" → "&amp;F2219,"Sin transición"))</f>
        <v/>
      </c>
      <c r="H2219" s="23" t="str">
        <f aca="false">IF(A2219="","",IF(D2219="GCIA LINEA SERVICIO DIGITALIDAD Y VENTAS","Chats",IF(OR(D2219="GERENCIA INBOUND LÍNEAS SERVICIO Y VENTA",D2219="GERENCIA INBOUND LINEAS ESPECIALIZADAS"),"Llamadas","Otro")))</f>
        <v/>
      </c>
      <c r="I2219" s="23" t="str">
        <f aca="false">IF(A2219="","",IF(C2219="No encontrado","No","Sí"))</f>
        <v/>
      </c>
      <c r="J2219" s="23" t="str">
        <f aca="false">IF(A2219="","",IF(F2219="Inactivo","No","Sí"))</f>
        <v/>
      </c>
      <c r="K2219" s="23" t="str">
        <f aca="false">IF(A2219="","",IF(AND(I2219="Sí",J2219="Sí"),"Sí","No"))</f>
        <v/>
      </c>
    </row>
    <row r="2220" customFormat="false" ht="15" hidden="false" customHeight="false" outlineLevel="0" collapsed="false">
      <c r="A2220" s="22"/>
      <c r="B2220" s="22"/>
      <c r="C2220" s="26" t="str">
        <f aca="false">IF(A2220="","",IFERROR(buscarx(A2220&amp;B2220,DATA!$E$3:$E$10000&amp;DATA!$B$3:$B$10000,DATA!$M$3:$M$10000),"No encontrado"))</f>
        <v/>
      </c>
      <c r="D2220" s="27" t="str">
        <f aca="false">IF(A2220="","",IFERROR(buscarx(A2220&amp;B2220,DATA!$E$3:$E$10000&amp;DATA!$B$3:$B$10000,DATA!$W$3:$W$10000),"No encontrado"))</f>
        <v/>
      </c>
      <c r="E2220" s="22"/>
      <c r="F2220" s="26" t="str">
        <f aca="false">IF(A2220="","",IFERROR(buscarx(A2220&amp;E2220,DATA!$E$3:$E$10000&amp;DATA!$B$3:$B$10000,DATA!$M$3:$M$10000),"Inactivo"))</f>
        <v/>
      </c>
      <c r="G2220" s="28" t="str">
        <f aca="false">IF(A2220="","",IF(AND(C2220&lt;&gt;"No encontrado",F2220&lt;&gt;"Inactivo"),C2220&amp;" → "&amp;F2220,"Sin transición"))</f>
        <v/>
      </c>
      <c r="H2220" s="26" t="str">
        <f aca="false">IF(A2220="","",IF(D2220="GCIA LINEA SERVICIO DIGITALIDAD Y VENTAS","Chats",IF(OR(D2220="GERENCIA INBOUND LÍNEAS SERVICIO Y VENTA",D2220="GERENCIA INBOUND LINEAS ESPECIALIZADAS"),"Llamadas","Otro")))</f>
        <v/>
      </c>
      <c r="I2220" s="26" t="str">
        <f aca="false">IF(A2220="","",IF(C2220="No encontrado","No","Sí"))</f>
        <v/>
      </c>
      <c r="J2220" s="26" t="str">
        <f aca="false">IF(A2220="","",IF(F2220="Inactivo","No","Sí"))</f>
        <v/>
      </c>
      <c r="K2220" s="26" t="str">
        <f aca="false">IF(A2220="","",IF(AND(I2220="Sí",J2220="Sí"),"Sí","No"))</f>
        <v/>
      </c>
    </row>
    <row r="2221" customFormat="false" ht="15" hidden="false" customHeight="false" outlineLevel="0" collapsed="false">
      <c r="A2221" s="22"/>
      <c r="B2221" s="22"/>
      <c r="C2221" s="23" t="str">
        <f aca="false">IF(A2221="","",IFERROR(buscarx(A2221&amp;B2221,DATA!$E$3:$E$10000&amp;DATA!$B$3:$B$10000,DATA!$M$3:$M$10000),"No encontrado"))</f>
        <v/>
      </c>
      <c r="D2221" s="24" t="str">
        <f aca="false">IF(A2221="","",IFERROR(buscarx(A2221&amp;B2221,DATA!$E$3:$E$10000&amp;DATA!$B$3:$B$10000,DATA!$W$3:$W$10000),"No encontrado"))</f>
        <v/>
      </c>
      <c r="E2221" s="22"/>
      <c r="F2221" s="23" t="str">
        <f aca="false">IF(A2221="","",IFERROR(buscarx(A2221&amp;E2221,DATA!$E$3:$E$10000&amp;DATA!$B$3:$B$10000,DATA!$M$3:$M$10000),"Inactivo"))</f>
        <v/>
      </c>
      <c r="G2221" s="25" t="str">
        <f aca="false">IF(A2221="","",IF(AND(C2221&lt;&gt;"No encontrado",F2221&lt;&gt;"Inactivo"),C2221&amp;" → "&amp;F2221,"Sin transición"))</f>
        <v/>
      </c>
      <c r="H2221" s="23" t="str">
        <f aca="false">IF(A2221="","",IF(D2221="GCIA LINEA SERVICIO DIGITALIDAD Y VENTAS","Chats",IF(OR(D2221="GERENCIA INBOUND LÍNEAS SERVICIO Y VENTA",D2221="GERENCIA INBOUND LINEAS ESPECIALIZADAS"),"Llamadas","Otro")))</f>
        <v/>
      </c>
      <c r="I2221" s="23" t="str">
        <f aca="false">IF(A2221="","",IF(C2221="No encontrado","No","Sí"))</f>
        <v/>
      </c>
      <c r="J2221" s="23" t="str">
        <f aca="false">IF(A2221="","",IF(F2221="Inactivo","No","Sí"))</f>
        <v/>
      </c>
      <c r="K2221" s="23" t="str">
        <f aca="false">IF(A2221="","",IF(AND(I2221="Sí",J2221="Sí"),"Sí","No"))</f>
        <v/>
      </c>
    </row>
    <row r="2222" customFormat="false" ht="15" hidden="false" customHeight="false" outlineLevel="0" collapsed="false">
      <c r="A2222" s="22"/>
      <c r="B2222" s="22"/>
      <c r="C2222" s="26" t="str">
        <f aca="false">IF(A2222="","",IFERROR(buscarx(A2222&amp;B2222,DATA!$E$3:$E$10000&amp;DATA!$B$3:$B$10000,DATA!$M$3:$M$10000),"No encontrado"))</f>
        <v/>
      </c>
      <c r="D2222" s="27" t="str">
        <f aca="false">IF(A2222="","",IFERROR(buscarx(A2222&amp;B2222,DATA!$E$3:$E$10000&amp;DATA!$B$3:$B$10000,DATA!$W$3:$W$10000),"No encontrado"))</f>
        <v/>
      </c>
      <c r="E2222" s="22"/>
      <c r="F2222" s="26" t="str">
        <f aca="false">IF(A2222="","",IFERROR(buscarx(A2222&amp;E2222,DATA!$E$3:$E$10000&amp;DATA!$B$3:$B$10000,DATA!$M$3:$M$10000),"Inactivo"))</f>
        <v/>
      </c>
      <c r="G2222" s="28" t="str">
        <f aca="false">IF(A2222="","",IF(AND(C2222&lt;&gt;"No encontrado",F2222&lt;&gt;"Inactivo"),C2222&amp;" → "&amp;F2222,"Sin transición"))</f>
        <v/>
      </c>
      <c r="H2222" s="26" t="str">
        <f aca="false">IF(A2222="","",IF(D2222="GCIA LINEA SERVICIO DIGITALIDAD Y VENTAS","Chats",IF(OR(D2222="GERENCIA INBOUND LÍNEAS SERVICIO Y VENTA",D2222="GERENCIA INBOUND LINEAS ESPECIALIZADAS"),"Llamadas","Otro")))</f>
        <v/>
      </c>
      <c r="I2222" s="26" t="str">
        <f aca="false">IF(A2222="","",IF(C2222="No encontrado","No","Sí"))</f>
        <v/>
      </c>
      <c r="J2222" s="26" t="str">
        <f aca="false">IF(A2222="","",IF(F2222="Inactivo","No","Sí"))</f>
        <v/>
      </c>
      <c r="K2222" s="26" t="str">
        <f aca="false">IF(A2222="","",IF(AND(I2222="Sí",J2222="Sí"),"Sí","No"))</f>
        <v/>
      </c>
    </row>
    <row r="2223" customFormat="false" ht="15" hidden="false" customHeight="false" outlineLevel="0" collapsed="false">
      <c r="A2223" s="22"/>
      <c r="B2223" s="22"/>
      <c r="C2223" s="23" t="str">
        <f aca="false">IF(A2223="","",IFERROR(buscarx(A2223&amp;B2223,DATA!$E$3:$E$10000&amp;DATA!$B$3:$B$10000,DATA!$M$3:$M$10000),"No encontrado"))</f>
        <v/>
      </c>
      <c r="D2223" s="24" t="str">
        <f aca="false">IF(A2223="","",IFERROR(buscarx(A2223&amp;B2223,DATA!$E$3:$E$10000&amp;DATA!$B$3:$B$10000,DATA!$W$3:$W$10000),"No encontrado"))</f>
        <v/>
      </c>
      <c r="E2223" s="22"/>
      <c r="F2223" s="23" t="str">
        <f aca="false">IF(A2223="","",IFERROR(buscarx(A2223&amp;E2223,DATA!$E$3:$E$10000&amp;DATA!$B$3:$B$10000,DATA!$M$3:$M$10000),"Inactivo"))</f>
        <v/>
      </c>
      <c r="G2223" s="25" t="str">
        <f aca="false">IF(A2223="","",IF(AND(C2223&lt;&gt;"No encontrado",F2223&lt;&gt;"Inactivo"),C2223&amp;" → "&amp;F2223,"Sin transición"))</f>
        <v/>
      </c>
      <c r="H2223" s="23" t="str">
        <f aca="false">IF(A2223="","",IF(D2223="GCIA LINEA SERVICIO DIGITALIDAD Y VENTAS","Chats",IF(OR(D2223="GERENCIA INBOUND LÍNEAS SERVICIO Y VENTA",D2223="GERENCIA INBOUND LINEAS ESPECIALIZADAS"),"Llamadas","Otro")))</f>
        <v/>
      </c>
      <c r="I2223" s="23" t="str">
        <f aca="false">IF(A2223="","",IF(C2223="No encontrado","No","Sí"))</f>
        <v/>
      </c>
      <c r="J2223" s="23" t="str">
        <f aca="false">IF(A2223="","",IF(F2223="Inactivo","No","Sí"))</f>
        <v/>
      </c>
      <c r="K2223" s="23" t="str">
        <f aca="false">IF(A2223="","",IF(AND(I2223="Sí",J2223="Sí"),"Sí","No"))</f>
        <v/>
      </c>
    </row>
    <row r="2224" customFormat="false" ht="15" hidden="false" customHeight="false" outlineLevel="0" collapsed="false">
      <c r="A2224" s="22"/>
      <c r="B2224" s="22"/>
      <c r="C2224" s="26" t="str">
        <f aca="false">IF(A2224="","",IFERROR(buscarx(A2224&amp;B2224,DATA!$E$3:$E$10000&amp;DATA!$B$3:$B$10000,DATA!$M$3:$M$10000),"No encontrado"))</f>
        <v/>
      </c>
      <c r="D2224" s="27" t="str">
        <f aca="false">IF(A2224="","",IFERROR(buscarx(A2224&amp;B2224,DATA!$E$3:$E$10000&amp;DATA!$B$3:$B$10000,DATA!$W$3:$W$10000),"No encontrado"))</f>
        <v/>
      </c>
      <c r="E2224" s="22"/>
      <c r="F2224" s="26" t="str">
        <f aca="false">IF(A2224="","",IFERROR(buscarx(A2224&amp;E2224,DATA!$E$3:$E$10000&amp;DATA!$B$3:$B$10000,DATA!$M$3:$M$10000),"Inactivo"))</f>
        <v/>
      </c>
      <c r="G2224" s="28" t="str">
        <f aca="false">IF(A2224="","",IF(AND(C2224&lt;&gt;"No encontrado",F2224&lt;&gt;"Inactivo"),C2224&amp;" → "&amp;F2224,"Sin transición"))</f>
        <v/>
      </c>
      <c r="H2224" s="26" t="str">
        <f aca="false">IF(A2224="","",IF(D2224="GCIA LINEA SERVICIO DIGITALIDAD Y VENTAS","Chats",IF(OR(D2224="GERENCIA INBOUND LÍNEAS SERVICIO Y VENTA",D2224="GERENCIA INBOUND LINEAS ESPECIALIZADAS"),"Llamadas","Otro")))</f>
        <v/>
      </c>
      <c r="I2224" s="26" t="str">
        <f aca="false">IF(A2224="","",IF(C2224="No encontrado","No","Sí"))</f>
        <v/>
      </c>
      <c r="J2224" s="26" t="str">
        <f aca="false">IF(A2224="","",IF(F2224="Inactivo","No","Sí"))</f>
        <v/>
      </c>
      <c r="K2224" s="26" t="str">
        <f aca="false">IF(A2224="","",IF(AND(I2224="Sí",J2224="Sí"),"Sí","No"))</f>
        <v/>
      </c>
    </row>
    <row r="2225" customFormat="false" ht="15" hidden="false" customHeight="false" outlineLevel="0" collapsed="false">
      <c r="A2225" s="22"/>
      <c r="B2225" s="22"/>
      <c r="C2225" s="23" t="str">
        <f aca="false">IF(A2225="","",IFERROR(buscarx(A2225&amp;B2225,DATA!$E$3:$E$10000&amp;DATA!$B$3:$B$10000,DATA!$M$3:$M$10000),"No encontrado"))</f>
        <v/>
      </c>
      <c r="D2225" s="24" t="str">
        <f aca="false">IF(A2225="","",IFERROR(buscarx(A2225&amp;B2225,DATA!$E$3:$E$10000&amp;DATA!$B$3:$B$10000,DATA!$W$3:$W$10000),"No encontrado"))</f>
        <v/>
      </c>
      <c r="E2225" s="22"/>
      <c r="F2225" s="23" t="str">
        <f aca="false">IF(A2225="","",IFERROR(buscarx(A2225&amp;E2225,DATA!$E$3:$E$10000&amp;DATA!$B$3:$B$10000,DATA!$M$3:$M$10000),"Inactivo"))</f>
        <v/>
      </c>
      <c r="G2225" s="25" t="str">
        <f aca="false">IF(A2225="","",IF(AND(C2225&lt;&gt;"No encontrado",F2225&lt;&gt;"Inactivo"),C2225&amp;" → "&amp;F2225,"Sin transición"))</f>
        <v/>
      </c>
      <c r="H2225" s="23" t="str">
        <f aca="false">IF(A2225="","",IF(D2225="GCIA LINEA SERVICIO DIGITALIDAD Y VENTAS","Chats",IF(OR(D2225="GERENCIA INBOUND LÍNEAS SERVICIO Y VENTA",D2225="GERENCIA INBOUND LINEAS ESPECIALIZADAS"),"Llamadas","Otro")))</f>
        <v/>
      </c>
      <c r="I2225" s="23" t="str">
        <f aca="false">IF(A2225="","",IF(C2225="No encontrado","No","Sí"))</f>
        <v/>
      </c>
      <c r="J2225" s="23" t="str">
        <f aca="false">IF(A2225="","",IF(F2225="Inactivo","No","Sí"))</f>
        <v/>
      </c>
      <c r="K2225" s="23" t="str">
        <f aca="false">IF(A2225="","",IF(AND(I2225="Sí",J2225="Sí"),"Sí","No"))</f>
        <v/>
      </c>
    </row>
    <row r="2226" customFormat="false" ht="15" hidden="false" customHeight="false" outlineLevel="0" collapsed="false">
      <c r="A2226" s="22"/>
      <c r="B2226" s="22"/>
      <c r="C2226" s="26" t="str">
        <f aca="false">IF(A2226="","",IFERROR(buscarx(A2226&amp;B2226,DATA!$E$3:$E$10000&amp;DATA!$B$3:$B$10000,DATA!$M$3:$M$10000),"No encontrado"))</f>
        <v/>
      </c>
      <c r="D2226" s="27" t="str">
        <f aca="false">IF(A2226="","",IFERROR(buscarx(A2226&amp;B2226,DATA!$E$3:$E$10000&amp;DATA!$B$3:$B$10000,DATA!$W$3:$W$10000),"No encontrado"))</f>
        <v/>
      </c>
      <c r="E2226" s="22"/>
      <c r="F2226" s="26" t="str">
        <f aca="false">IF(A2226="","",IFERROR(buscarx(A2226&amp;E2226,DATA!$E$3:$E$10000&amp;DATA!$B$3:$B$10000,DATA!$M$3:$M$10000),"Inactivo"))</f>
        <v/>
      </c>
      <c r="G2226" s="28" t="str">
        <f aca="false">IF(A2226="","",IF(AND(C2226&lt;&gt;"No encontrado",F2226&lt;&gt;"Inactivo"),C2226&amp;" → "&amp;F2226,"Sin transición"))</f>
        <v/>
      </c>
      <c r="H2226" s="26" t="str">
        <f aca="false">IF(A2226="","",IF(D2226="GCIA LINEA SERVICIO DIGITALIDAD Y VENTAS","Chats",IF(OR(D2226="GERENCIA INBOUND LÍNEAS SERVICIO Y VENTA",D2226="GERENCIA INBOUND LINEAS ESPECIALIZADAS"),"Llamadas","Otro")))</f>
        <v/>
      </c>
      <c r="I2226" s="26" t="str">
        <f aca="false">IF(A2226="","",IF(C2226="No encontrado","No","Sí"))</f>
        <v/>
      </c>
      <c r="J2226" s="26" t="str">
        <f aca="false">IF(A2226="","",IF(F2226="Inactivo","No","Sí"))</f>
        <v/>
      </c>
      <c r="K2226" s="26" t="str">
        <f aca="false">IF(A2226="","",IF(AND(I2226="Sí",J2226="Sí"),"Sí","No"))</f>
        <v/>
      </c>
    </row>
    <row r="2227" customFormat="false" ht="15" hidden="false" customHeight="false" outlineLevel="0" collapsed="false">
      <c r="A2227" s="22"/>
      <c r="B2227" s="22"/>
      <c r="C2227" s="23" t="str">
        <f aca="false">IF(A2227="","",IFERROR(buscarx(A2227&amp;B2227,DATA!$E$3:$E$10000&amp;DATA!$B$3:$B$10000,DATA!$M$3:$M$10000),"No encontrado"))</f>
        <v/>
      </c>
      <c r="D2227" s="24" t="str">
        <f aca="false">IF(A2227="","",IFERROR(buscarx(A2227&amp;B2227,DATA!$E$3:$E$10000&amp;DATA!$B$3:$B$10000,DATA!$W$3:$W$10000),"No encontrado"))</f>
        <v/>
      </c>
      <c r="E2227" s="22"/>
      <c r="F2227" s="23" t="str">
        <f aca="false">IF(A2227="","",IFERROR(buscarx(A2227&amp;E2227,DATA!$E$3:$E$10000&amp;DATA!$B$3:$B$10000,DATA!$M$3:$M$10000),"Inactivo"))</f>
        <v/>
      </c>
      <c r="G2227" s="25" t="str">
        <f aca="false">IF(A2227="","",IF(AND(C2227&lt;&gt;"No encontrado",F2227&lt;&gt;"Inactivo"),C2227&amp;" → "&amp;F2227,"Sin transición"))</f>
        <v/>
      </c>
      <c r="H2227" s="23" t="str">
        <f aca="false">IF(A2227="","",IF(D2227="GCIA LINEA SERVICIO DIGITALIDAD Y VENTAS","Chats",IF(OR(D2227="GERENCIA INBOUND LÍNEAS SERVICIO Y VENTA",D2227="GERENCIA INBOUND LINEAS ESPECIALIZADAS"),"Llamadas","Otro")))</f>
        <v/>
      </c>
      <c r="I2227" s="23" t="str">
        <f aca="false">IF(A2227="","",IF(C2227="No encontrado","No","Sí"))</f>
        <v/>
      </c>
      <c r="J2227" s="23" t="str">
        <f aca="false">IF(A2227="","",IF(F2227="Inactivo","No","Sí"))</f>
        <v/>
      </c>
      <c r="K2227" s="23" t="str">
        <f aca="false">IF(A2227="","",IF(AND(I2227="Sí",J2227="Sí"),"Sí","No"))</f>
        <v/>
      </c>
    </row>
    <row r="2228" customFormat="false" ht="15" hidden="false" customHeight="false" outlineLevel="0" collapsed="false">
      <c r="A2228" s="22"/>
      <c r="B2228" s="22"/>
      <c r="C2228" s="26" t="str">
        <f aca="false">IF(A2228="","",IFERROR(buscarx(A2228&amp;B2228,DATA!$E$3:$E$10000&amp;DATA!$B$3:$B$10000,DATA!$M$3:$M$10000),"No encontrado"))</f>
        <v/>
      </c>
      <c r="D2228" s="27" t="str">
        <f aca="false">IF(A2228="","",IFERROR(buscarx(A2228&amp;B2228,DATA!$E$3:$E$10000&amp;DATA!$B$3:$B$10000,DATA!$W$3:$W$10000),"No encontrado"))</f>
        <v/>
      </c>
      <c r="E2228" s="22"/>
      <c r="F2228" s="26" t="str">
        <f aca="false">IF(A2228="","",IFERROR(buscarx(A2228&amp;E2228,DATA!$E$3:$E$10000&amp;DATA!$B$3:$B$10000,DATA!$M$3:$M$10000),"Inactivo"))</f>
        <v/>
      </c>
      <c r="G2228" s="28" t="str">
        <f aca="false">IF(A2228="","",IF(AND(C2228&lt;&gt;"No encontrado",F2228&lt;&gt;"Inactivo"),C2228&amp;" → "&amp;F2228,"Sin transición"))</f>
        <v/>
      </c>
      <c r="H2228" s="26" t="str">
        <f aca="false">IF(A2228="","",IF(D2228="GCIA LINEA SERVICIO DIGITALIDAD Y VENTAS","Chats",IF(OR(D2228="GERENCIA INBOUND LÍNEAS SERVICIO Y VENTA",D2228="GERENCIA INBOUND LINEAS ESPECIALIZADAS"),"Llamadas","Otro")))</f>
        <v/>
      </c>
      <c r="I2228" s="26" t="str">
        <f aca="false">IF(A2228="","",IF(C2228="No encontrado","No","Sí"))</f>
        <v/>
      </c>
      <c r="J2228" s="26" t="str">
        <f aca="false">IF(A2228="","",IF(F2228="Inactivo","No","Sí"))</f>
        <v/>
      </c>
      <c r="K2228" s="26" t="str">
        <f aca="false">IF(A2228="","",IF(AND(I2228="Sí",J2228="Sí"),"Sí","No"))</f>
        <v/>
      </c>
    </row>
    <row r="2229" customFormat="false" ht="15" hidden="false" customHeight="false" outlineLevel="0" collapsed="false">
      <c r="A2229" s="22"/>
      <c r="B2229" s="22"/>
      <c r="C2229" s="23" t="str">
        <f aca="false">IF(A2229="","",IFERROR(buscarx(A2229&amp;B2229,DATA!$E$3:$E$10000&amp;DATA!$B$3:$B$10000,DATA!$M$3:$M$10000),"No encontrado"))</f>
        <v/>
      </c>
      <c r="D2229" s="24" t="str">
        <f aca="false">IF(A2229="","",IFERROR(buscarx(A2229&amp;B2229,DATA!$E$3:$E$10000&amp;DATA!$B$3:$B$10000,DATA!$W$3:$W$10000),"No encontrado"))</f>
        <v/>
      </c>
      <c r="E2229" s="22"/>
      <c r="F2229" s="23" t="str">
        <f aca="false">IF(A2229="","",IFERROR(buscarx(A2229&amp;E2229,DATA!$E$3:$E$10000&amp;DATA!$B$3:$B$10000,DATA!$M$3:$M$10000),"Inactivo"))</f>
        <v/>
      </c>
      <c r="G2229" s="25" t="str">
        <f aca="false">IF(A2229="","",IF(AND(C2229&lt;&gt;"No encontrado",F2229&lt;&gt;"Inactivo"),C2229&amp;" → "&amp;F2229,"Sin transición"))</f>
        <v/>
      </c>
      <c r="H2229" s="23" t="str">
        <f aca="false">IF(A2229="","",IF(D2229="GCIA LINEA SERVICIO DIGITALIDAD Y VENTAS","Chats",IF(OR(D2229="GERENCIA INBOUND LÍNEAS SERVICIO Y VENTA",D2229="GERENCIA INBOUND LINEAS ESPECIALIZADAS"),"Llamadas","Otro")))</f>
        <v/>
      </c>
      <c r="I2229" s="23" t="str">
        <f aca="false">IF(A2229="","",IF(C2229="No encontrado","No","Sí"))</f>
        <v/>
      </c>
      <c r="J2229" s="23" t="str">
        <f aca="false">IF(A2229="","",IF(F2229="Inactivo","No","Sí"))</f>
        <v/>
      </c>
      <c r="K2229" s="23" t="str">
        <f aca="false">IF(A2229="","",IF(AND(I2229="Sí",J2229="Sí"),"Sí","No"))</f>
        <v/>
      </c>
    </row>
    <row r="2230" customFormat="false" ht="15" hidden="false" customHeight="false" outlineLevel="0" collapsed="false">
      <c r="A2230" s="22"/>
      <c r="B2230" s="22"/>
      <c r="C2230" s="26" t="str">
        <f aca="false">IF(A2230="","",IFERROR(buscarx(A2230&amp;B2230,DATA!$E$3:$E$10000&amp;DATA!$B$3:$B$10000,DATA!$M$3:$M$10000),"No encontrado"))</f>
        <v/>
      </c>
      <c r="D2230" s="27" t="str">
        <f aca="false">IF(A2230="","",IFERROR(buscarx(A2230&amp;B2230,DATA!$E$3:$E$10000&amp;DATA!$B$3:$B$10000,DATA!$W$3:$W$10000),"No encontrado"))</f>
        <v/>
      </c>
      <c r="E2230" s="22"/>
      <c r="F2230" s="26" t="str">
        <f aca="false">IF(A2230="","",IFERROR(buscarx(A2230&amp;E2230,DATA!$E$3:$E$10000&amp;DATA!$B$3:$B$10000,DATA!$M$3:$M$10000),"Inactivo"))</f>
        <v/>
      </c>
      <c r="G2230" s="28" t="str">
        <f aca="false">IF(A2230="","",IF(AND(C2230&lt;&gt;"No encontrado",F2230&lt;&gt;"Inactivo"),C2230&amp;" → "&amp;F2230,"Sin transición"))</f>
        <v/>
      </c>
      <c r="H2230" s="26" t="str">
        <f aca="false">IF(A2230="","",IF(D2230="GCIA LINEA SERVICIO DIGITALIDAD Y VENTAS","Chats",IF(OR(D2230="GERENCIA INBOUND LÍNEAS SERVICIO Y VENTA",D2230="GERENCIA INBOUND LINEAS ESPECIALIZADAS"),"Llamadas","Otro")))</f>
        <v/>
      </c>
      <c r="I2230" s="26" t="str">
        <f aca="false">IF(A2230="","",IF(C2230="No encontrado","No","Sí"))</f>
        <v/>
      </c>
      <c r="J2230" s="26" t="str">
        <f aca="false">IF(A2230="","",IF(F2230="Inactivo","No","Sí"))</f>
        <v/>
      </c>
      <c r="K2230" s="26" t="str">
        <f aca="false">IF(A2230="","",IF(AND(I2230="Sí",J2230="Sí"),"Sí","No"))</f>
        <v/>
      </c>
    </row>
    <row r="2231" customFormat="false" ht="15" hidden="false" customHeight="false" outlineLevel="0" collapsed="false">
      <c r="A2231" s="22"/>
      <c r="B2231" s="22"/>
      <c r="C2231" s="23" t="str">
        <f aca="false">IF(A2231="","",IFERROR(buscarx(A2231&amp;B2231,DATA!$E$3:$E$10000&amp;DATA!$B$3:$B$10000,DATA!$M$3:$M$10000),"No encontrado"))</f>
        <v/>
      </c>
      <c r="D2231" s="24" t="str">
        <f aca="false">IF(A2231="","",IFERROR(buscarx(A2231&amp;B2231,DATA!$E$3:$E$10000&amp;DATA!$B$3:$B$10000,DATA!$W$3:$W$10000),"No encontrado"))</f>
        <v/>
      </c>
      <c r="E2231" s="22"/>
      <c r="F2231" s="23" t="str">
        <f aca="false">IF(A2231="","",IFERROR(buscarx(A2231&amp;E2231,DATA!$E$3:$E$10000&amp;DATA!$B$3:$B$10000,DATA!$M$3:$M$10000),"Inactivo"))</f>
        <v/>
      </c>
      <c r="G2231" s="25" t="str">
        <f aca="false">IF(A2231="","",IF(AND(C2231&lt;&gt;"No encontrado",F2231&lt;&gt;"Inactivo"),C2231&amp;" → "&amp;F2231,"Sin transición"))</f>
        <v/>
      </c>
      <c r="H2231" s="23" t="str">
        <f aca="false">IF(A2231="","",IF(D2231="GCIA LINEA SERVICIO DIGITALIDAD Y VENTAS","Chats",IF(OR(D2231="GERENCIA INBOUND LÍNEAS SERVICIO Y VENTA",D2231="GERENCIA INBOUND LINEAS ESPECIALIZADAS"),"Llamadas","Otro")))</f>
        <v/>
      </c>
      <c r="I2231" s="23" t="str">
        <f aca="false">IF(A2231="","",IF(C2231="No encontrado","No","Sí"))</f>
        <v/>
      </c>
      <c r="J2231" s="23" t="str">
        <f aca="false">IF(A2231="","",IF(F2231="Inactivo","No","Sí"))</f>
        <v/>
      </c>
      <c r="K2231" s="23" t="str">
        <f aca="false">IF(A2231="","",IF(AND(I2231="Sí",J2231="Sí"),"Sí","No"))</f>
        <v/>
      </c>
    </row>
    <row r="2232" customFormat="false" ht="15" hidden="false" customHeight="false" outlineLevel="0" collapsed="false">
      <c r="A2232" s="22"/>
      <c r="B2232" s="22"/>
      <c r="C2232" s="26" t="str">
        <f aca="false">IF(A2232="","",IFERROR(buscarx(A2232&amp;B2232,DATA!$E$3:$E$10000&amp;DATA!$B$3:$B$10000,DATA!$M$3:$M$10000),"No encontrado"))</f>
        <v/>
      </c>
      <c r="D2232" s="27" t="str">
        <f aca="false">IF(A2232="","",IFERROR(buscarx(A2232&amp;B2232,DATA!$E$3:$E$10000&amp;DATA!$B$3:$B$10000,DATA!$W$3:$W$10000),"No encontrado"))</f>
        <v/>
      </c>
      <c r="E2232" s="22"/>
      <c r="F2232" s="26" t="str">
        <f aca="false">IF(A2232="","",IFERROR(buscarx(A2232&amp;E2232,DATA!$E$3:$E$10000&amp;DATA!$B$3:$B$10000,DATA!$M$3:$M$10000),"Inactivo"))</f>
        <v/>
      </c>
      <c r="G2232" s="28" t="str">
        <f aca="false">IF(A2232="","",IF(AND(C2232&lt;&gt;"No encontrado",F2232&lt;&gt;"Inactivo"),C2232&amp;" → "&amp;F2232,"Sin transición"))</f>
        <v/>
      </c>
      <c r="H2232" s="26" t="str">
        <f aca="false">IF(A2232="","",IF(D2232="GCIA LINEA SERVICIO DIGITALIDAD Y VENTAS","Chats",IF(OR(D2232="GERENCIA INBOUND LÍNEAS SERVICIO Y VENTA",D2232="GERENCIA INBOUND LINEAS ESPECIALIZADAS"),"Llamadas","Otro")))</f>
        <v/>
      </c>
      <c r="I2232" s="26" t="str">
        <f aca="false">IF(A2232="","",IF(C2232="No encontrado","No","Sí"))</f>
        <v/>
      </c>
      <c r="J2232" s="26" t="str">
        <f aca="false">IF(A2232="","",IF(F2232="Inactivo","No","Sí"))</f>
        <v/>
      </c>
      <c r="K2232" s="26" t="str">
        <f aca="false">IF(A2232="","",IF(AND(I2232="Sí",J2232="Sí"),"Sí","No"))</f>
        <v/>
      </c>
    </row>
    <row r="2233" customFormat="false" ht="15" hidden="false" customHeight="false" outlineLevel="0" collapsed="false">
      <c r="A2233" s="22"/>
      <c r="B2233" s="22"/>
      <c r="C2233" s="23" t="str">
        <f aca="false">IF(A2233="","",IFERROR(buscarx(A2233&amp;B2233,DATA!$E$3:$E$10000&amp;DATA!$B$3:$B$10000,DATA!$M$3:$M$10000),"No encontrado"))</f>
        <v/>
      </c>
      <c r="D2233" s="24" t="str">
        <f aca="false">IF(A2233="","",IFERROR(buscarx(A2233&amp;B2233,DATA!$E$3:$E$10000&amp;DATA!$B$3:$B$10000,DATA!$W$3:$W$10000),"No encontrado"))</f>
        <v/>
      </c>
      <c r="E2233" s="22"/>
      <c r="F2233" s="23" t="str">
        <f aca="false">IF(A2233="","",IFERROR(buscarx(A2233&amp;E2233,DATA!$E$3:$E$10000&amp;DATA!$B$3:$B$10000,DATA!$M$3:$M$10000),"Inactivo"))</f>
        <v/>
      </c>
      <c r="G2233" s="25" t="str">
        <f aca="false">IF(A2233="","",IF(AND(C2233&lt;&gt;"No encontrado",F2233&lt;&gt;"Inactivo"),C2233&amp;" → "&amp;F2233,"Sin transición"))</f>
        <v/>
      </c>
      <c r="H2233" s="23" t="str">
        <f aca="false">IF(A2233="","",IF(D2233="GCIA LINEA SERVICIO DIGITALIDAD Y VENTAS","Chats",IF(OR(D2233="GERENCIA INBOUND LÍNEAS SERVICIO Y VENTA",D2233="GERENCIA INBOUND LINEAS ESPECIALIZADAS"),"Llamadas","Otro")))</f>
        <v/>
      </c>
      <c r="I2233" s="23" t="str">
        <f aca="false">IF(A2233="","",IF(C2233="No encontrado","No","Sí"))</f>
        <v/>
      </c>
      <c r="J2233" s="23" t="str">
        <f aca="false">IF(A2233="","",IF(F2233="Inactivo","No","Sí"))</f>
        <v/>
      </c>
      <c r="K2233" s="23" t="str">
        <f aca="false">IF(A2233="","",IF(AND(I2233="Sí",J2233="Sí"),"Sí","No"))</f>
        <v/>
      </c>
    </row>
    <row r="2234" customFormat="false" ht="15" hidden="false" customHeight="false" outlineLevel="0" collapsed="false">
      <c r="A2234" s="22"/>
      <c r="B2234" s="22"/>
      <c r="C2234" s="26" t="str">
        <f aca="false">IF(A2234="","",IFERROR(buscarx(A2234&amp;B2234,DATA!$E$3:$E$10000&amp;DATA!$B$3:$B$10000,DATA!$M$3:$M$10000),"No encontrado"))</f>
        <v/>
      </c>
      <c r="D2234" s="27" t="str">
        <f aca="false">IF(A2234="","",IFERROR(buscarx(A2234&amp;B2234,DATA!$E$3:$E$10000&amp;DATA!$B$3:$B$10000,DATA!$W$3:$W$10000),"No encontrado"))</f>
        <v/>
      </c>
      <c r="E2234" s="22"/>
      <c r="F2234" s="26" t="str">
        <f aca="false">IF(A2234="","",IFERROR(buscarx(A2234&amp;E2234,DATA!$E$3:$E$10000&amp;DATA!$B$3:$B$10000,DATA!$M$3:$M$10000),"Inactivo"))</f>
        <v/>
      </c>
      <c r="G2234" s="28" t="str">
        <f aca="false">IF(A2234="","",IF(AND(C2234&lt;&gt;"No encontrado",F2234&lt;&gt;"Inactivo"),C2234&amp;" → "&amp;F2234,"Sin transición"))</f>
        <v/>
      </c>
      <c r="H2234" s="26" t="str">
        <f aca="false">IF(A2234="","",IF(D2234="GCIA LINEA SERVICIO DIGITALIDAD Y VENTAS","Chats",IF(OR(D2234="GERENCIA INBOUND LÍNEAS SERVICIO Y VENTA",D2234="GERENCIA INBOUND LINEAS ESPECIALIZADAS"),"Llamadas","Otro")))</f>
        <v/>
      </c>
      <c r="I2234" s="26" t="str">
        <f aca="false">IF(A2234="","",IF(C2234="No encontrado","No","Sí"))</f>
        <v/>
      </c>
      <c r="J2234" s="26" t="str">
        <f aca="false">IF(A2234="","",IF(F2234="Inactivo","No","Sí"))</f>
        <v/>
      </c>
      <c r="K2234" s="26" t="str">
        <f aca="false">IF(A2234="","",IF(AND(I2234="Sí",J2234="Sí"),"Sí","No"))</f>
        <v/>
      </c>
    </row>
    <row r="2235" customFormat="false" ht="15" hidden="false" customHeight="false" outlineLevel="0" collapsed="false">
      <c r="A2235" s="22"/>
      <c r="B2235" s="22"/>
      <c r="C2235" s="23" t="str">
        <f aca="false">IF(A2235="","",IFERROR(buscarx(A2235&amp;B2235,DATA!$E$3:$E$10000&amp;DATA!$B$3:$B$10000,DATA!$M$3:$M$10000),"No encontrado"))</f>
        <v/>
      </c>
      <c r="D2235" s="24" t="str">
        <f aca="false">IF(A2235="","",IFERROR(buscarx(A2235&amp;B2235,DATA!$E$3:$E$10000&amp;DATA!$B$3:$B$10000,DATA!$W$3:$W$10000),"No encontrado"))</f>
        <v/>
      </c>
      <c r="E2235" s="22"/>
      <c r="F2235" s="23" t="str">
        <f aca="false">IF(A2235="","",IFERROR(buscarx(A2235&amp;E2235,DATA!$E$3:$E$10000&amp;DATA!$B$3:$B$10000,DATA!$M$3:$M$10000),"Inactivo"))</f>
        <v/>
      </c>
      <c r="G2235" s="25" t="str">
        <f aca="false">IF(A2235="","",IF(AND(C2235&lt;&gt;"No encontrado",F2235&lt;&gt;"Inactivo"),C2235&amp;" → "&amp;F2235,"Sin transición"))</f>
        <v/>
      </c>
      <c r="H2235" s="23" t="str">
        <f aca="false">IF(A2235="","",IF(D2235="GCIA LINEA SERVICIO DIGITALIDAD Y VENTAS","Chats",IF(OR(D2235="GERENCIA INBOUND LÍNEAS SERVICIO Y VENTA",D2235="GERENCIA INBOUND LINEAS ESPECIALIZADAS"),"Llamadas","Otro")))</f>
        <v/>
      </c>
      <c r="I2235" s="23" t="str">
        <f aca="false">IF(A2235="","",IF(C2235="No encontrado","No","Sí"))</f>
        <v/>
      </c>
      <c r="J2235" s="23" t="str">
        <f aca="false">IF(A2235="","",IF(F2235="Inactivo","No","Sí"))</f>
        <v/>
      </c>
      <c r="K2235" s="23" t="str">
        <f aca="false">IF(A2235="","",IF(AND(I2235="Sí",J2235="Sí"),"Sí","No"))</f>
        <v/>
      </c>
    </row>
    <row r="2236" customFormat="false" ht="15" hidden="false" customHeight="false" outlineLevel="0" collapsed="false">
      <c r="A2236" s="22"/>
      <c r="B2236" s="22"/>
      <c r="C2236" s="26" t="str">
        <f aca="false">IF(A2236="","",IFERROR(buscarx(A2236&amp;B2236,DATA!$E$3:$E$10000&amp;DATA!$B$3:$B$10000,DATA!$M$3:$M$10000),"No encontrado"))</f>
        <v/>
      </c>
      <c r="D2236" s="27" t="str">
        <f aca="false">IF(A2236="","",IFERROR(buscarx(A2236&amp;B2236,DATA!$E$3:$E$10000&amp;DATA!$B$3:$B$10000,DATA!$W$3:$W$10000),"No encontrado"))</f>
        <v/>
      </c>
      <c r="E2236" s="22"/>
      <c r="F2236" s="26" t="str">
        <f aca="false">IF(A2236="","",IFERROR(buscarx(A2236&amp;E2236,DATA!$E$3:$E$10000&amp;DATA!$B$3:$B$10000,DATA!$M$3:$M$10000),"Inactivo"))</f>
        <v/>
      </c>
      <c r="G2236" s="28" t="str">
        <f aca="false">IF(A2236="","",IF(AND(C2236&lt;&gt;"No encontrado",F2236&lt;&gt;"Inactivo"),C2236&amp;" → "&amp;F2236,"Sin transición"))</f>
        <v/>
      </c>
      <c r="H2236" s="26" t="str">
        <f aca="false">IF(A2236="","",IF(D2236="GCIA LINEA SERVICIO DIGITALIDAD Y VENTAS","Chats",IF(OR(D2236="GERENCIA INBOUND LÍNEAS SERVICIO Y VENTA",D2236="GERENCIA INBOUND LINEAS ESPECIALIZADAS"),"Llamadas","Otro")))</f>
        <v/>
      </c>
      <c r="I2236" s="26" t="str">
        <f aca="false">IF(A2236="","",IF(C2236="No encontrado","No","Sí"))</f>
        <v/>
      </c>
      <c r="J2236" s="26" t="str">
        <f aca="false">IF(A2236="","",IF(F2236="Inactivo","No","Sí"))</f>
        <v/>
      </c>
      <c r="K2236" s="26" t="str">
        <f aca="false">IF(A2236="","",IF(AND(I2236="Sí",J2236="Sí"),"Sí","No"))</f>
        <v/>
      </c>
    </row>
    <row r="2237" customFormat="false" ht="15" hidden="false" customHeight="false" outlineLevel="0" collapsed="false">
      <c r="A2237" s="22"/>
      <c r="B2237" s="22"/>
      <c r="C2237" s="23" t="str">
        <f aca="false">IF(A2237="","",IFERROR(buscarx(A2237&amp;B2237,DATA!$E$3:$E$10000&amp;DATA!$B$3:$B$10000,DATA!$M$3:$M$10000),"No encontrado"))</f>
        <v/>
      </c>
      <c r="D2237" s="24" t="str">
        <f aca="false">IF(A2237="","",IFERROR(buscarx(A2237&amp;B2237,DATA!$E$3:$E$10000&amp;DATA!$B$3:$B$10000,DATA!$W$3:$W$10000),"No encontrado"))</f>
        <v/>
      </c>
      <c r="E2237" s="22"/>
      <c r="F2237" s="23" t="str">
        <f aca="false">IF(A2237="","",IFERROR(buscarx(A2237&amp;E2237,DATA!$E$3:$E$10000&amp;DATA!$B$3:$B$10000,DATA!$M$3:$M$10000),"Inactivo"))</f>
        <v/>
      </c>
      <c r="G2237" s="25" t="str">
        <f aca="false">IF(A2237="","",IF(AND(C2237&lt;&gt;"No encontrado",F2237&lt;&gt;"Inactivo"),C2237&amp;" → "&amp;F2237,"Sin transición"))</f>
        <v/>
      </c>
      <c r="H2237" s="23" t="str">
        <f aca="false">IF(A2237="","",IF(D2237="GCIA LINEA SERVICIO DIGITALIDAD Y VENTAS","Chats",IF(OR(D2237="GERENCIA INBOUND LÍNEAS SERVICIO Y VENTA",D2237="GERENCIA INBOUND LINEAS ESPECIALIZADAS"),"Llamadas","Otro")))</f>
        <v/>
      </c>
      <c r="I2237" s="23" t="str">
        <f aca="false">IF(A2237="","",IF(C2237="No encontrado","No","Sí"))</f>
        <v/>
      </c>
      <c r="J2237" s="23" t="str">
        <f aca="false">IF(A2237="","",IF(F2237="Inactivo","No","Sí"))</f>
        <v/>
      </c>
      <c r="K2237" s="23" t="str">
        <f aca="false">IF(A2237="","",IF(AND(I2237="Sí",J2237="Sí"),"Sí","No"))</f>
        <v/>
      </c>
    </row>
    <row r="2238" customFormat="false" ht="15" hidden="false" customHeight="false" outlineLevel="0" collapsed="false">
      <c r="A2238" s="22"/>
      <c r="B2238" s="22"/>
      <c r="C2238" s="26" t="str">
        <f aca="false">IF(A2238="","",IFERROR(buscarx(A2238&amp;B2238,DATA!$E$3:$E$10000&amp;DATA!$B$3:$B$10000,DATA!$M$3:$M$10000),"No encontrado"))</f>
        <v/>
      </c>
      <c r="D2238" s="27" t="str">
        <f aca="false">IF(A2238="","",IFERROR(buscarx(A2238&amp;B2238,DATA!$E$3:$E$10000&amp;DATA!$B$3:$B$10000,DATA!$W$3:$W$10000),"No encontrado"))</f>
        <v/>
      </c>
      <c r="E2238" s="22"/>
      <c r="F2238" s="26" t="str">
        <f aca="false">IF(A2238="","",IFERROR(buscarx(A2238&amp;E2238,DATA!$E$3:$E$10000&amp;DATA!$B$3:$B$10000,DATA!$M$3:$M$10000),"Inactivo"))</f>
        <v/>
      </c>
      <c r="G2238" s="28" t="str">
        <f aca="false">IF(A2238="","",IF(AND(C2238&lt;&gt;"No encontrado",F2238&lt;&gt;"Inactivo"),C2238&amp;" → "&amp;F2238,"Sin transición"))</f>
        <v/>
      </c>
      <c r="H2238" s="26" t="str">
        <f aca="false">IF(A2238="","",IF(D2238="GCIA LINEA SERVICIO DIGITALIDAD Y VENTAS","Chats",IF(OR(D2238="GERENCIA INBOUND LÍNEAS SERVICIO Y VENTA",D2238="GERENCIA INBOUND LINEAS ESPECIALIZADAS"),"Llamadas","Otro")))</f>
        <v/>
      </c>
      <c r="I2238" s="26" t="str">
        <f aca="false">IF(A2238="","",IF(C2238="No encontrado","No","Sí"))</f>
        <v/>
      </c>
      <c r="J2238" s="26" t="str">
        <f aca="false">IF(A2238="","",IF(F2238="Inactivo","No","Sí"))</f>
        <v/>
      </c>
      <c r="K2238" s="26" t="str">
        <f aca="false">IF(A2238="","",IF(AND(I2238="Sí",J2238="Sí"),"Sí","No"))</f>
        <v/>
      </c>
    </row>
    <row r="2239" customFormat="false" ht="15" hidden="false" customHeight="false" outlineLevel="0" collapsed="false">
      <c r="A2239" s="22"/>
      <c r="B2239" s="22"/>
      <c r="C2239" s="23" t="str">
        <f aca="false">IF(A2239="","",IFERROR(buscarx(A2239&amp;B2239,DATA!$E$3:$E$10000&amp;DATA!$B$3:$B$10000,DATA!$M$3:$M$10000),"No encontrado"))</f>
        <v/>
      </c>
      <c r="D2239" s="24" t="str">
        <f aca="false">IF(A2239="","",IFERROR(buscarx(A2239&amp;B2239,DATA!$E$3:$E$10000&amp;DATA!$B$3:$B$10000,DATA!$W$3:$W$10000),"No encontrado"))</f>
        <v/>
      </c>
      <c r="E2239" s="22"/>
      <c r="F2239" s="23" t="str">
        <f aca="false">IF(A2239="","",IFERROR(buscarx(A2239&amp;E2239,DATA!$E$3:$E$10000&amp;DATA!$B$3:$B$10000,DATA!$M$3:$M$10000),"Inactivo"))</f>
        <v/>
      </c>
      <c r="G2239" s="25" t="str">
        <f aca="false">IF(A2239="","",IF(AND(C2239&lt;&gt;"No encontrado",F2239&lt;&gt;"Inactivo"),C2239&amp;" → "&amp;F2239,"Sin transición"))</f>
        <v/>
      </c>
      <c r="H2239" s="23" t="str">
        <f aca="false">IF(A2239="","",IF(D2239="GCIA LINEA SERVICIO DIGITALIDAD Y VENTAS","Chats",IF(OR(D2239="GERENCIA INBOUND LÍNEAS SERVICIO Y VENTA",D2239="GERENCIA INBOUND LINEAS ESPECIALIZADAS"),"Llamadas","Otro")))</f>
        <v/>
      </c>
      <c r="I2239" s="23" t="str">
        <f aca="false">IF(A2239="","",IF(C2239="No encontrado","No","Sí"))</f>
        <v/>
      </c>
      <c r="J2239" s="23" t="str">
        <f aca="false">IF(A2239="","",IF(F2239="Inactivo","No","Sí"))</f>
        <v/>
      </c>
      <c r="K2239" s="23" t="str">
        <f aca="false">IF(A2239="","",IF(AND(I2239="Sí",J2239="Sí"),"Sí","No"))</f>
        <v/>
      </c>
    </row>
    <row r="2240" customFormat="false" ht="15" hidden="false" customHeight="false" outlineLevel="0" collapsed="false">
      <c r="A2240" s="22"/>
      <c r="B2240" s="22"/>
      <c r="C2240" s="26" t="str">
        <f aca="false">IF(A2240="","",IFERROR(buscarx(A2240&amp;B2240,DATA!$E$3:$E$10000&amp;DATA!$B$3:$B$10000,DATA!$M$3:$M$10000),"No encontrado"))</f>
        <v/>
      </c>
      <c r="D2240" s="27" t="str">
        <f aca="false">IF(A2240="","",IFERROR(buscarx(A2240&amp;B2240,DATA!$E$3:$E$10000&amp;DATA!$B$3:$B$10000,DATA!$W$3:$W$10000),"No encontrado"))</f>
        <v/>
      </c>
      <c r="E2240" s="22"/>
      <c r="F2240" s="26" t="str">
        <f aca="false">IF(A2240="","",IFERROR(buscarx(A2240&amp;E2240,DATA!$E$3:$E$10000&amp;DATA!$B$3:$B$10000,DATA!$M$3:$M$10000),"Inactivo"))</f>
        <v/>
      </c>
      <c r="G2240" s="28" t="str">
        <f aca="false">IF(A2240="","",IF(AND(C2240&lt;&gt;"No encontrado",F2240&lt;&gt;"Inactivo"),C2240&amp;" → "&amp;F2240,"Sin transición"))</f>
        <v/>
      </c>
      <c r="H2240" s="26" t="str">
        <f aca="false">IF(A2240="","",IF(D2240="GCIA LINEA SERVICIO DIGITALIDAD Y VENTAS","Chats",IF(OR(D2240="GERENCIA INBOUND LÍNEAS SERVICIO Y VENTA",D2240="GERENCIA INBOUND LINEAS ESPECIALIZADAS"),"Llamadas","Otro")))</f>
        <v/>
      </c>
      <c r="I2240" s="26" t="str">
        <f aca="false">IF(A2240="","",IF(C2240="No encontrado","No","Sí"))</f>
        <v/>
      </c>
      <c r="J2240" s="26" t="str">
        <f aca="false">IF(A2240="","",IF(F2240="Inactivo","No","Sí"))</f>
        <v/>
      </c>
      <c r="K2240" s="26" t="str">
        <f aca="false">IF(A2240="","",IF(AND(I2240="Sí",J2240="Sí"),"Sí","No"))</f>
        <v/>
      </c>
    </row>
    <row r="2241" customFormat="false" ht="15" hidden="false" customHeight="false" outlineLevel="0" collapsed="false">
      <c r="A2241" s="22"/>
      <c r="B2241" s="22"/>
      <c r="C2241" s="23" t="str">
        <f aca="false">IF(A2241="","",IFERROR(buscarx(A2241&amp;B2241,DATA!$E$3:$E$10000&amp;DATA!$B$3:$B$10000,DATA!$M$3:$M$10000),"No encontrado"))</f>
        <v/>
      </c>
      <c r="D2241" s="24" t="str">
        <f aca="false">IF(A2241="","",IFERROR(buscarx(A2241&amp;B2241,DATA!$E$3:$E$10000&amp;DATA!$B$3:$B$10000,DATA!$W$3:$W$10000),"No encontrado"))</f>
        <v/>
      </c>
      <c r="E2241" s="22"/>
      <c r="F2241" s="23" t="str">
        <f aca="false">IF(A2241="","",IFERROR(buscarx(A2241&amp;E2241,DATA!$E$3:$E$10000&amp;DATA!$B$3:$B$10000,DATA!$M$3:$M$10000),"Inactivo"))</f>
        <v/>
      </c>
      <c r="G2241" s="25" t="str">
        <f aca="false">IF(A2241="","",IF(AND(C2241&lt;&gt;"No encontrado",F2241&lt;&gt;"Inactivo"),C2241&amp;" → "&amp;F2241,"Sin transición"))</f>
        <v/>
      </c>
      <c r="H2241" s="23" t="str">
        <f aca="false">IF(A2241="","",IF(D2241="GCIA LINEA SERVICIO DIGITALIDAD Y VENTAS","Chats",IF(OR(D2241="GERENCIA INBOUND LÍNEAS SERVICIO Y VENTA",D2241="GERENCIA INBOUND LINEAS ESPECIALIZADAS"),"Llamadas","Otro")))</f>
        <v/>
      </c>
      <c r="I2241" s="23" t="str">
        <f aca="false">IF(A2241="","",IF(C2241="No encontrado","No","Sí"))</f>
        <v/>
      </c>
      <c r="J2241" s="23" t="str">
        <f aca="false">IF(A2241="","",IF(F2241="Inactivo","No","Sí"))</f>
        <v/>
      </c>
      <c r="K2241" s="23" t="str">
        <f aca="false">IF(A2241="","",IF(AND(I2241="Sí",J2241="Sí"),"Sí","No"))</f>
        <v/>
      </c>
    </row>
    <row r="2242" customFormat="false" ht="15" hidden="false" customHeight="false" outlineLevel="0" collapsed="false">
      <c r="A2242" s="22"/>
      <c r="B2242" s="22"/>
      <c r="C2242" s="26" t="str">
        <f aca="false">IF(A2242="","",IFERROR(buscarx(A2242&amp;B2242,DATA!$E$3:$E$10000&amp;DATA!$B$3:$B$10000,DATA!$M$3:$M$10000),"No encontrado"))</f>
        <v/>
      </c>
      <c r="D2242" s="27" t="str">
        <f aca="false">IF(A2242="","",IFERROR(buscarx(A2242&amp;B2242,DATA!$E$3:$E$10000&amp;DATA!$B$3:$B$10000,DATA!$W$3:$W$10000),"No encontrado"))</f>
        <v/>
      </c>
      <c r="E2242" s="22"/>
      <c r="F2242" s="26" t="str">
        <f aca="false">IF(A2242="","",IFERROR(buscarx(A2242&amp;E2242,DATA!$E$3:$E$10000&amp;DATA!$B$3:$B$10000,DATA!$M$3:$M$10000),"Inactivo"))</f>
        <v/>
      </c>
      <c r="G2242" s="28" t="str">
        <f aca="false">IF(A2242="","",IF(AND(C2242&lt;&gt;"No encontrado",F2242&lt;&gt;"Inactivo"),C2242&amp;" → "&amp;F2242,"Sin transición"))</f>
        <v/>
      </c>
      <c r="H2242" s="26" t="str">
        <f aca="false">IF(A2242="","",IF(D2242="GCIA LINEA SERVICIO DIGITALIDAD Y VENTAS","Chats",IF(OR(D2242="GERENCIA INBOUND LÍNEAS SERVICIO Y VENTA",D2242="GERENCIA INBOUND LINEAS ESPECIALIZADAS"),"Llamadas","Otro")))</f>
        <v/>
      </c>
      <c r="I2242" s="26" t="str">
        <f aca="false">IF(A2242="","",IF(C2242="No encontrado","No","Sí"))</f>
        <v/>
      </c>
      <c r="J2242" s="26" t="str">
        <f aca="false">IF(A2242="","",IF(F2242="Inactivo","No","Sí"))</f>
        <v/>
      </c>
      <c r="K2242" s="26" t="str">
        <f aca="false">IF(A2242="","",IF(AND(I2242="Sí",J2242="Sí"),"Sí","No"))</f>
        <v/>
      </c>
    </row>
    <row r="2243" customFormat="false" ht="15" hidden="false" customHeight="false" outlineLevel="0" collapsed="false">
      <c r="A2243" s="22"/>
      <c r="B2243" s="22"/>
      <c r="C2243" s="23" t="str">
        <f aca="false">IF(A2243="","",IFERROR(buscarx(A2243&amp;B2243,DATA!$E$3:$E$10000&amp;DATA!$B$3:$B$10000,DATA!$M$3:$M$10000),"No encontrado"))</f>
        <v/>
      </c>
      <c r="D2243" s="24" t="str">
        <f aca="false">IF(A2243="","",IFERROR(buscarx(A2243&amp;B2243,DATA!$E$3:$E$10000&amp;DATA!$B$3:$B$10000,DATA!$W$3:$W$10000),"No encontrado"))</f>
        <v/>
      </c>
      <c r="E2243" s="22"/>
      <c r="F2243" s="23" t="str">
        <f aca="false">IF(A2243="","",IFERROR(buscarx(A2243&amp;E2243,DATA!$E$3:$E$10000&amp;DATA!$B$3:$B$10000,DATA!$M$3:$M$10000),"Inactivo"))</f>
        <v/>
      </c>
      <c r="G2243" s="25" t="str">
        <f aca="false">IF(A2243="","",IF(AND(C2243&lt;&gt;"No encontrado",F2243&lt;&gt;"Inactivo"),C2243&amp;" → "&amp;F2243,"Sin transición"))</f>
        <v/>
      </c>
      <c r="H2243" s="23" t="str">
        <f aca="false">IF(A2243="","",IF(D2243="GCIA LINEA SERVICIO DIGITALIDAD Y VENTAS","Chats",IF(OR(D2243="GERENCIA INBOUND LÍNEAS SERVICIO Y VENTA",D2243="GERENCIA INBOUND LINEAS ESPECIALIZADAS"),"Llamadas","Otro")))</f>
        <v/>
      </c>
      <c r="I2243" s="23" t="str">
        <f aca="false">IF(A2243="","",IF(C2243="No encontrado","No","Sí"))</f>
        <v/>
      </c>
      <c r="J2243" s="23" t="str">
        <f aca="false">IF(A2243="","",IF(F2243="Inactivo","No","Sí"))</f>
        <v/>
      </c>
      <c r="K2243" s="23" t="str">
        <f aca="false">IF(A2243="","",IF(AND(I2243="Sí",J2243="Sí"),"Sí","No"))</f>
        <v/>
      </c>
    </row>
    <row r="2244" customFormat="false" ht="15" hidden="false" customHeight="false" outlineLevel="0" collapsed="false">
      <c r="A2244" s="22"/>
      <c r="B2244" s="22"/>
      <c r="C2244" s="26" t="str">
        <f aca="false">IF(A2244="","",IFERROR(buscarx(A2244&amp;B2244,DATA!$E$3:$E$10000&amp;DATA!$B$3:$B$10000,DATA!$M$3:$M$10000),"No encontrado"))</f>
        <v/>
      </c>
      <c r="D2244" s="27" t="str">
        <f aca="false">IF(A2244="","",IFERROR(buscarx(A2244&amp;B2244,DATA!$E$3:$E$10000&amp;DATA!$B$3:$B$10000,DATA!$W$3:$W$10000),"No encontrado"))</f>
        <v/>
      </c>
      <c r="E2244" s="22"/>
      <c r="F2244" s="26" t="str">
        <f aca="false">IF(A2244="","",IFERROR(buscarx(A2244&amp;E2244,DATA!$E$3:$E$10000&amp;DATA!$B$3:$B$10000,DATA!$M$3:$M$10000),"Inactivo"))</f>
        <v/>
      </c>
      <c r="G2244" s="28" t="str">
        <f aca="false">IF(A2244="","",IF(AND(C2244&lt;&gt;"No encontrado",F2244&lt;&gt;"Inactivo"),C2244&amp;" → "&amp;F2244,"Sin transición"))</f>
        <v/>
      </c>
      <c r="H2244" s="26" t="str">
        <f aca="false">IF(A2244="","",IF(D2244="GCIA LINEA SERVICIO DIGITALIDAD Y VENTAS","Chats",IF(OR(D2244="GERENCIA INBOUND LÍNEAS SERVICIO Y VENTA",D2244="GERENCIA INBOUND LINEAS ESPECIALIZADAS"),"Llamadas","Otro")))</f>
        <v/>
      </c>
      <c r="I2244" s="26" t="str">
        <f aca="false">IF(A2244="","",IF(C2244="No encontrado","No","Sí"))</f>
        <v/>
      </c>
      <c r="J2244" s="26" t="str">
        <f aca="false">IF(A2244="","",IF(F2244="Inactivo","No","Sí"))</f>
        <v/>
      </c>
      <c r="K2244" s="26" t="str">
        <f aca="false">IF(A2244="","",IF(AND(I2244="Sí",J2244="Sí"),"Sí","No"))</f>
        <v/>
      </c>
    </row>
    <row r="2245" customFormat="false" ht="15" hidden="false" customHeight="false" outlineLevel="0" collapsed="false">
      <c r="A2245" s="22"/>
      <c r="B2245" s="22"/>
      <c r="C2245" s="23" t="str">
        <f aca="false">IF(A2245="","",IFERROR(buscarx(A2245&amp;B2245,DATA!$E$3:$E$10000&amp;DATA!$B$3:$B$10000,DATA!$M$3:$M$10000),"No encontrado"))</f>
        <v/>
      </c>
      <c r="D2245" s="24" t="str">
        <f aca="false">IF(A2245="","",IFERROR(buscarx(A2245&amp;B2245,DATA!$E$3:$E$10000&amp;DATA!$B$3:$B$10000,DATA!$W$3:$W$10000),"No encontrado"))</f>
        <v/>
      </c>
      <c r="E2245" s="22"/>
      <c r="F2245" s="23" t="str">
        <f aca="false">IF(A2245="","",IFERROR(buscarx(A2245&amp;E2245,DATA!$E$3:$E$10000&amp;DATA!$B$3:$B$10000,DATA!$M$3:$M$10000),"Inactivo"))</f>
        <v/>
      </c>
      <c r="G2245" s="25" t="str">
        <f aca="false">IF(A2245="","",IF(AND(C2245&lt;&gt;"No encontrado",F2245&lt;&gt;"Inactivo"),C2245&amp;" → "&amp;F2245,"Sin transición"))</f>
        <v/>
      </c>
      <c r="H2245" s="23" t="str">
        <f aca="false">IF(A2245="","",IF(D2245="GCIA LINEA SERVICIO DIGITALIDAD Y VENTAS","Chats",IF(OR(D2245="GERENCIA INBOUND LÍNEAS SERVICIO Y VENTA",D2245="GERENCIA INBOUND LINEAS ESPECIALIZADAS"),"Llamadas","Otro")))</f>
        <v/>
      </c>
      <c r="I2245" s="23" t="str">
        <f aca="false">IF(A2245="","",IF(C2245="No encontrado","No","Sí"))</f>
        <v/>
      </c>
      <c r="J2245" s="23" t="str">
        <f aca="false">IF(A2245="","",IF(F2245="Inactivo","No","Sí"))</f>
        <v/>
      </c>
      <c r="K2245" s="23" t="str">
        <f aca="false">IF(A2245="","",IF(AND(I2245="Sí",J2245="Sí"),"Sí","No"))</f>
        <v/>
      </c>
    </row>
    <row r="2246" customFormat="false" ht="15" hidden="false" customHeight="false" outlineLevel="0" collapsed="false">
      <c r="A2246" s="22"/>
      <c r="B2246" s="22"/>
      <c r="C2246" s="26" t="str">
        <f aca="false">IF(A2246="","",IFERROR(buscarx(A2246&amp;B2246,DATA!$E$3:$E$10000&amp;DATA!$B$3:$B$10000,DATA!$M$3:$M$10000),"No encontrado"))</f>
        <v/>
      </c>
      <c r="D2246" s="27" t="str">
        <f aca="false">IF(A2246="","",IFERROR(buscarx(A2246&amp;B2246,DATA!$E$3:$E$10000&amp;DATA!$B$3:$B$10000,DATA!$W$3:$W$10000),"No encontrado"))</f>
        <v/>
      </c>
      <c r="E2246" s="22"/>
      <c r="F2246" s="26" t="str">
        <f aca="false">IF(A2246="","",IFERROR(buscarx(A2246&amp;E2246,DATA!$E$3:$E$10000&amp;DATA!$B$3:$B$10000,DATA!$M$3:$M$10000),"Inactivo"))</f>
        <v/>
      </c>
      <c r="G2246" s="28" t="str">
        <f aca="false">IF(A2246="","",IF(AND(C2246&lt;&gt;"No encontrado",F2246&lt;&gt;"Inactivo"),C2246&amp;" → "&amp;F2246,"Sin transición"))</f>
        <v/>
      </c>
      <c r="H2246" s="26" t="str">
        <f aca="false">IF(A2246="","",IF(D2246="GCIA LINEA SERVICIO DIGITALIDAD Y VENTAS","Chats",IF(OR(D2246="GERENCIA INBOUND LÍNEAS SERVICIO Y VENTA",D2246="GERENCIA INBOUND LINEAS ESPECIALIZADAS"),"Llamadas","Otro")))</f>
        <v/>
      </c>
      <c r="I2246" s="26" t="str">
        <f aca="false">IF(A2246="","",IF(C2246="No encontrado","No","Sí"))</f>
        <v/>
      </c>
      <c r="J2246" s="26" t="str">
        <f aca="false">IF(A2246="","",IF(F2246="Inactivo","No","Sí"))</f>
        <v/>
      </c>
      <c r="K2246" s="26" t="str">
        <f aca="false">IF(A2246="","",IF(AND(I2246="Sí",J2246="Sí"),"Sí","No"))</f>
        <v/>
      </c>
    </row>
    <row r="2247" customFormat="false" ht="15" hidden="false" customHeight="false" outlineLevel="0" collapsed="false">
      <c r="A2247" s="22"/>
      <c r="B2247" s="22"/>
      <c r="C2247" s="23" t="str">
        <f aca="false">IF(A2247="","",IFERROR(buscarx(A2247&amp;B2247,DATA!$E$3:$E$10000&amp;DATA!$B$3:$B$10000,DATA!$M$3:$M$10000),"No encontrado"))</f>
        <v/>
      </c>
      <c r="D2247" s="24" t="str">
        <f aca="false">IF(A2247="","",IFERROR(buscarx(A2247&amp;B2247,DATA!$E$3:$E$10000&amp;DATA!$B$3:$B$10000,DATA!$W$3:$W$10000),"No encontrado"))</f>
        <v/>
      </c>
      <c r="E2247" s="22"/>
      <c r="F2247" s="23" t="str">
        <f aca="false">IF(A2247="","",IFERROR(buscarx(A2247&amp;E2247,DATA!$E$3:$E$10000&amp;DATA!$B$3:$B$10000,DATA!$M$3:$M$10000),"Inactivo"))</f>
        <v/>
      </c>
      <c r="G2247" s="25" t="str">
        <f aca="false">IF(A2247="","",IF(AND(C2247&lt;&gt;"No encontrado",F2247&lt;&gt;"Inactivo"),C2247&amp;" → "&amp;F2247,"Sin transición"))</f>
        <v/>
      </c>
      <c r="H2247" s="23" t="str">
        <f aca="false">IF(A2247="","",IF(D2247="GCIA LINEA SERVICIO DIGITALIDAD Y VENTAS","Chats",IF(OR(D2247="GERENCIA INBOUND LÍNEAS SERVICIO Y VENTA",D2247="GERENCIA INBOUND LINEAS ESPECIALIZADAS"),"Llamadas","Otro")))</f>
        <v/>
      </c>
      <c r="I2247" s="23" t="str">
        <f aca="false">IF(A2247="","",IF(C2247="No encontrado","No","Sí"))</f>
        <v/>
      </c>
      <c r="J2247" s="23" t="str">
        <f aca="false">IF(A2247="","",IF(F2247="Inactivo","No","Sí"))</f>
        <v/>
      </c>
      <c r="K2247" s="23" t="str">
        <f aca="false">IF(A2247="","",IF(AND(I2247="Sí",J2247="Sí"),"Sí","No"))</f>
        <v/>
      </c>
    </row>
    <row r="2248" customFormat="false" ht="15" hidden="false" customHeight="false" outlineLevel="0" collapsed="false">
      <c r="A2248" s="22"/>
      <c r="B2248" s="22"/>
      <c r="C2248" s="26" t="str">
        <f aca="false">IF(A2248="","",IFERROR(buscarx(A2248&amp;B2248,DATA!$E$3:$E$10000&amp;DATA!$B$3:$B$10000,DATA!$M$3:$M$10000),"No encontrado"))</f>
        <v/>
      </c>
      <c r="D2248" s="27" t="str">
        <f aca="false">IF(A2248="","",IFERROR(buscarx(A2248&amp;B2248,DATA!$E$3:$E$10000&amp;DATA!$B$3:$B$10000,DATA!$W$3:$W$10000),"No encontrado"))</f>
        <v/>
      </c>
      <c r="E2248" s="22"/>
      <c r="F2248" s="26" t="str">
        <f aca="false">IF(A2248="","",IFERROR(buscarx(A2248&amp;E2248,DATA!$E$3:$E$10000&amp;DATA!$B$3:$B$10000,DATA!$M$3:$M$10000),"Inactivo"))</f>
        <v/>
      </c>
      <c r="G2248" s="28" t="str">
        <f aca="false">IF(A2248="","",IF(AND(C2248&lt;&gt;"No encontrado",F2248&lt;&gt;"Inactivo"),C2248&amp;" → "&amp;F2248,"Sin transición"))</f>
        <v/>
      </c>
      <c r="H2248" s="26" t="str">
        <f aca="false">IF(A2248="","",IF(D2248="GCIA LINEA SERVICIO DIGITALIDAD Y VENTAS","Chats",IF(OR(D2248="GERENCIA INBOUND LÍNEAS SERVICIO Y VENTA",D2248="GERENCIA INBOUND LINEAS ESPECIALIZADAS"),"Llamadas","Otro")))</f>
        <v/>
      </c>
      <c r="I2248" s="26" t="str">
        <f aca="false">IF(A2248="","",IF(C2248="No encontrado","No","Sí"))</f>
        <v/>
      </c>
      <c r="J2248" s="26" t="str">
        <f aca="false">IF(A2248="","",IF(F2248="Inactivo","No","Sí"))</f>
        <v/>
      </c>
      <c r="K2248" s="26" t="str">
        <f aca="false">IF(A2248="","",IF(AND(I2248="Sí",J2248="Sí"),"Sí","No"))</f>
        <v/>
      </c>
    </row>
    <row r="2249" customFormat="false" ht="15" hidden="false" customHeight="false" outlineLevel="0" collapsed="false">
      <c r="A2249" s="22"/>
      <c r="B2249" s="22"/>
      <c r="C2249" s="23" t="str">
        <f aca="false">IF(A2249="","",IFERROR(buscarx(A2249&amp;B2249,DATA!$E$3:$E$10000&amp;DATA!$B$3:$B$10000,DATA!$M$3:$M$10000),"No encontrado"))</f>
        <v/>
      </c>
      <c r="D2249" s="24" t="str">
        <f aca="false">IF(A2249="","",IFERROR(buscarx(A2249&amp;B2249,DATA!$E$3:$E$10000&amp;DATA!$B$3:$B$10000,DATA!$W$3:$W$10000),"No encontrado"))</f>
        <v/>
      </c>
      <c r="E2249" s="22"/>
      <c r="F2249" s="23" t="str">
        <f aca="false">IF(A2249="","",IFERROR(buscarx(A2249&amp;E2249,DATA!$E$3:$E$10000&amp;DATA!$B$3:$B$10000,DATA!$M$3:$M$10000),"Inactivo"))</f>
        <v/>
      </c>
      <c r="G2249" s="25" t="str">
        <f aca="false">IF(A2249="","",IF(AND(C2249&lt;&gt;"No encontrado",F2249&lt;&gt;"Inactivo"),C2249&amp;" → "&amp;F2249,"Sin transición"))</f>
        <v/>
      </c>
      <c r="H2249" s="23" t="str">
        <f aca="false">IF(A2249="","",IF(D2249="GCIA LINEA SERVICIO DIGITALIDAD Y VENTAS","Chats",IF(OR(D2249="GERENCIA INBOUND LÍNEAS SERVICIO Y VENTA",D2249="GERENCIA INBOUND LINEAS ESPECIALIZADAS"),"Llamadas","Otro")))</f>
        <v/>
      </c>
      <c r="I2249" s="23" t="str">
        <f aca="false">IF(A2249="","",IF(C2249="No encontrado","No","Sí"))</f>
        <v/>
      </c>
      <c r="J2249" s="23" t="str">
        <f aca="false">IF(A2249="","",IF(F2249="Inactivo","No","Sí"))</f>
        <v/>
      </c>
      <c r="K2249" s="23" t="str">
        <f aca="false">IF(A2249="","",IF(AND(I2249="Sí",J2249="Sí"),"Sí","No"))</f>
        <v/>
      </c>
    </row>
    <row r="2250" customFormat="false" ht="15" hidden="false" customHeight="false" outlineLevel="0" collapsed="false">
      <c r="A2250" s="22"/>
      <c r="B2250" s="22"/>
      <c r="C2250" s="26" t="str">
        <f aca="false">IF(A2250="","",IFERROR(buscarx(A2250&amp;B2250,DATA!$E$3:$E$10000&amp;DATA!$B$3:$B$10000,DATA!$M$3:$M$10000),"No encontrado"))</f>
        <v/>
      </c>
      <c r="D2250" s="27" t="str">
        <f aca="false">IF(A2250="","",IFERROR(buscarx(A2250&amp;B2250,DATA!$E$3:$E$10000&amp;DATA!$B$3:$B$10000,DATA!$W$3:$W$10000),"No encontrado"))</f>
        <v/>
      </c>
      <c r="E2250" s="22"/>
      <c r="F2250" s="26" t="str">
        <f aca="false">IF(A2250="","",IFERROR(buscarx(A2250&amp;E2250,DATA!$E$3:$E$10000&amp;DATA!$B$3:$B$10000,DATA!$M$3:$M$10000),"Inactivo"))</f>
        <v/>
      </c>
      <c r="G2250" s="28" t="str">
        <f aca="false">IF(A2250="","",IF(AND(C2250&lt;&gt;"No encontrado",F2250&lt;&gt;"Inactivo"),C2250&amp;" → "&amp;F2250,"Sin transición"))</f>
        <v/>
      </c>
      <c r="H2250" s="26" t="str">
        <f aca="false">IF(A2250="","",IF(D2250="GCIA LINEA SERVICIO DIGITALIDAD Y VENTAS","Chats",IF(OR(D2250="GERENCIA INBOUND LÍNEAS SERVICIO Y VENTA",D2250="GERENCIA INBOUND LINEAS ESPECIALIZADAS"),"Llamadas","Otro")))</f>
        <v/>
      </c>
      <c r="I2250" s="26" t="str">
        <f aca="false">IF(A2250="","",IF(C2250="No encontrado","No","Sí"))</f>
        <v/>
      </c>
      <c r="J2250" s="26" t="str">
        <f aca="false">IF(A2250="","",IF(F2250="Inactivo","No","Sí"))</f>
        <v/>
      </c>
      <c r="K2250" s="26" t="str">
        <f aca="false">IF(A2250="","",IF(AND(I2250="Sí",J2250="Sí"),"Sí","No"))</f>
        <v/>
      </c>
    </row>
    <row r="2251" customFormat="false" ht="15" hidden="false" customHeight="false" outlineLevel="0" collapsed="false">
      <c r="A2251" s="22"/>
      <c r="B2251" s="22"/>
      <c r="C2251" s="23" t="str">
        <f aca="false">IF(A2251="","",IFERROR(buscarx(A2251&amp;B2251,DATA!$E$3:$E$10000&amp;DATA!$B$3:$B$10000,DATA!$M$3:$M$10000),"No encontrado"))</f>
        <v/>
      </c>
      <c r="D2251" s="24" t="str">
        <f aca="false">IF(A2251="","",IFERROR(buscarx(A2251&amp;B2251,DATA!$E$3:$E$10000&amp;DATA!$B$3:$B$10000,DATA!$W$3:$W$10000),"No encontrado"))</f>
        <v/>
      </c>
      <c r="E2251" s="22"/>
      <c r="F2251" s="23" t="str">
        <f aca="false">IF(A2251="","",IFERROR(buscarx(A2251&amp;E2251,DATA!$E$3:$E$10000&amp;DATA!$B$3:$B$10000,DATA!$M$3:$M$10000),"Inactivo"))</f>
        <v/>
      </c>
      <c r="G2251" s="25" t="str">
        <f aca="false">IF(A2251="","",IF(AND(C2251&lt;&gt;"No encontrado",F2251&lt;&gt;"Inactivo"),C2251&amp;" → "&amp;F2251,"Sin transición"))</f>
        <v/>
      </c>
      <c r="H2251" s="23" t="str">
        <f aca="false">IF(A2251="","",IF(D2251="GCIA LINEA SERVICIO DIGITALIDAD Y VENTAS","Chats",IF(OR(D2251="GERENCIA INBOUND LÍNEAS SERVICIO Y VENTA",D2251="GERENCIA INBOUND LINEAS ESPECIALIZADAS"),"Llamadas","Otro")))</f>
        <v/>
      </c>
      <c r="I2251" s="23" t="str">
        <f aca="false">IF(A2251="","",IF(C2251="No encontrado","No","Sí"))</f>
        <v/>
      </c>
      <c r="J2251" s="23" t="str">
        <f aca="false">IF(A2251="","",IF(F2251="Inactivo","No","Sí"))</f>
        <v/>
      </c>
      <c r="K2251" s="23" t="str">
        <f aca="false">IF(A2251="","",IF(AND(I2251="Sí",J2251="Sí"),"Sí","No"))</f>
        <v/>
      </c>
    </row>
    <row r="2252" customFormat="false" ht="15" hidden="false" customHeight="false" outlineLevel="0" collapsed="false">
      <c r="A2252" s="22"/>
      <c r="B2252" s="22"/>
      <c r="C2252" s="26" t="str">
        <f aca="false">IF(A2252="","",IFERROR(buscarx(A2252&amp;B2252,DATA!$E$3:$E$10000&amp;DATA!$B$3:$B$10000,DATA!$M$3:$M$10000),"No encontrado"))</f>
        <v/>
      </c>
      <c r="D2252" s="27" t="str">
        <f aca="false">IF(A2252="","",IFERROR(buscarx(A2252&amp;B2252,DATA!$E$3:$E$10000&amp;DATA!$B$3:$B$10000,DATA!$W$3:$W$10000),"No encontrado"))</f>
        <v/>
      </c>
      <c r="E2252" s="22"/>
      <c r="F2252" s="26" t="str">
        <f aca="false">IF(A2252="","",IFERROR(buscarx(A2252&amp;E2252,DATA!$E$3:$E$10000&amp;DATA!$B$3:$B$10000,DATA!$M$3:$M$10000),"Inactivo"))</f>
        <v/>
      </c>
      <c r="G2252" s="28" t="str">
        <f aca="false">IF(A2252="","",IF(AND(C2252&lt;&gt;"No encontrado",F2252&lt;&gt;"Inactivo"),C2252&amp;" → "&amp;F2252,"Sin transición"))</f>
        <v/>
      </c>
      <c r="H2252" s="26" t="str">
        <f aca="false">IF(A2252="","",IF(D2252="GCIA LINEA SERVICIO DIGITALIDAD Y VENTAS","Chats",IF(OR(D2252="GERENCIA INBOUND LÍNEAS SERVICIO Y VENTA",D2252="GERENCIA INBOUND LINEAS ESPECIALIZADAS"),"Llamadas","Otro")))</f>
        <v/>
      </c>
      <c r="I2252" s="26" t="str">
        <f aca="false">IF(A2252="","",IF(C2252="No encontrado","No","Sí"))</f>
        <v/>
      </c>
      <c r="J2252" s="26" t="str">
        <f aca="false">IF(A2252="","",IF(F2252="Inactivo","No","Sí"))</f>
        <v/>
      </c>
      <c r="K2252" s="26" t="str">
        <f aca="false">IF(A2252="","",IF(AND(I2252="Sí",J2252="Sí"),"Sí","No"))</f>
        <v/>
      </c>
    </row>
    <row r="2253" customFormat="false" ht="15" hidden="false" customHeight="false" outlineLevel="0" collapsed="false">
      <c r="A2253" s="22"/>
      <c r="B2253" s="22"/>
      <c r="C2253" s="23" t="str">
        <f aca="false">IF(A2253="","",IFERROR(buscarx(A2253&amp;B2253,DATA!$E$3:$E$10000&amp;DATA!$B$3:$B$10000,DATA!$M$3:$M$10000),"No encontrado"))</f>
        <v/>
      </c>
      <c r="D2253" s="24" t="str">
        <f aca="false">IF(A2253="","",IFERROR(buscarx(A2253&amp;B2253,DATA!$E$3:$E$10000&amp;DATA!$B$3:$B$10000,DATA!$W$3:$W$10000),"No encontrado"))</f>
        <v/>
      </c>
      <c r="E2253" s="22"/>
      <c r="F2253" s="23" t="str">
        <f aca="false">IF(A2253="","",IFERROR(buscarx(A2253&amp;E2253,DATA!$E$3:$E$10000&amp;DATA!$B$3:$B$10000,DATA!$M$3:$M$10000),"Inactivo"))</f>
        <v/>
      </c>
      <c r="G2253" s="25" t="str">
        <f aca="false">IF(A2253="","",IF(AND(C2253&lt;&gt;"No encontrado",F2253&lt;&gt;"Inactivo"),C2253&amp;" → "&amp;F2253,"Sin transición"))</f>
        <v/>
      </c>
      <c r="H2253" s="23" t="str">
        <f aca="false">IF(A2253="","",IF(D2253="GCIA LINEA SERVICIO DIGITALIDAD Y VENTAS","Chats",IF(OR(D2253="GERENCIA INBOUND LÍNEAS SERVICIO Y VENTA",D2253="GERENCIA INBOUND LINEAS ESPECIALIZADAS"),"Llamadas","Otro")))</f>
        <v/>
      </c>
      <c r="I2253" s="23" t="str">
        <f aca="false">IF(A2253="","",IF(C2253="No encontrado","No","Sí"))</f>
        <v/>
      </c>
      <c r="J2253" s="23" t="str">
        <f aca="false">IF(A2253="","",IF(F2253="Inactivo","No","Sí"))</f>
        <v/>
      </c>
      <c r="K2253" s="23" t="str">
        <f aca="false">IF(A2253="","",IF(AND(I2253="Sí",J2253="Sí"),"Sí","No"))</f>
        <v/>
      </c>
    </row>
    <row r="2254" customFormat="false" ht="15" hidden="false" customHeight="false" outlineLevel="0" collapsed="false">
      <c r="A2254" s="22"/>
      <c r="B2254" s="22"/>
      <c r="C2254" s="26" t="str">
        <f aca="false">IF(A2254="","",IFERROR(buscarx(A2254&amp;B2254,DATA!$E$3:$E$10000&amp;DATA!$B$3:$B$10000,DATA!$M$3:$M$10000),"No encontrado"))</f>
        <v/>
      </c>
      <c r="D2254" s="27" t="str">
        <f aca="false">IF(A2254="","",IFERROR(buscarx(A2254&amp;B2254,DATA!$E$3:$E$10000&amp;DATA!$B$3:$B$10000,DATA!$W$3:$W$10000),"No encontrado"))</f>
        <v/>
      </c>
      <c r="E2254" s="22"/>
      <c r="F2254" s="26" t="str">
        <f aca="false">IF(A2254="","",IFERROR(buscarx(A2254&amp;E2254,DATA!$E$3:$E$10000&amp;DATA!$B$3:$B$10000,DATA!$M$3:$M$10000),"Inactivo"))</f>
        <v/>
      </c>
      <c r="G2254" s="28" t="str">
        <f aca="false">IF(A2254="","",IF(AND(C2254&lt;&gt;"No encontrado",F2254&lt;&gt;"Inactivo"),C2254&amp;" → "&amp;F2254,"Sin transición"))</f>
        <v/>
      </c>
      <c r="H2254" s="26" t="str">
        <f aca="false">IF(A2254="","",IF(D2254="GCIA LINEA SERVICIO DIGITALIDAD Y VENTAS","Chats",IF(OR(D2254="GERENCIA INBOUND LÍNEAS SERVICIO Y VENTA",D2254="GERENCIA INBOUND LINEAS ESPECIALIZADAS"),"Llamadas","Otro")))</f>
        <v/>
      </c>
      <c r="I2254" s="26" t="str">
        <f aca="false">IF(A2254="","",IF(C2254="No encontrado","No","Sí"))</f>
        <v/>
      </c>
      <c r="J2254" s="26" t="str">
        <f aca="false">IF(A2254="","",IF(F2254="Inactivo","No","Sí"))</f>
        <v/>
      </c>
      <c r="K2254" s="26" t="str">
        <f aca="false">IF(A2254="","",IF(AND(I2254="Sí",J2254="Sí"),"Sí","No"))</f>
        <v/>
      </c>
    </row>
    <row r="2255" customFormat="false" ht="15" hidden="false" customHeight="false" outlineLevel="0" collapsed="false">
      <c r="A2255" s="22"/>
      <c r="B2255" s="22"/>
      <c r="C2255" s="23" t="str">
        <f aca="false">IF(A2255="","",IFERROR(buscarx(A2255&amp;B2255,DATA!$E$3:$E$10000&amp;DATA!$B$3:$B$10000,DATA!$M$3:$M$10000),"No encontrado"))</f>
        <v/>
      </c>
      <c r="D2255" s="24" t="str">
        <f aca="false">IF(A2255="","",IFERROR(buscarx(A2255&amp;B2255,DATA!$E$3:$E$10000&amp;DATA!$B$3:$B$10000,DATA!$W$3:$W$10000),"No encontrado"))</f>
        <v/>
      </c>
      <c r="E2255" s="22"/>
      <c r="F2255" s="23" t="str">
        <f aca="false">IF(A2255="","",IFERROR(buscarx(A2255&amp;E2255,DATA!$E$3:$E$10000&amp;DATA!$B$3:$B$10000,DATA!$M$3:$M$10000),"Inactivo"))</f>
        <v/>
      </c>
      <c r="G2255" s="25" t="str">
        <f aca="false">IF(A2255="","",IF(AND(C2255&lt;&gt;"No encontrado",F2255&lt;&gt;"Inactivo"),C2255&amp;" → "&amp;F2255,"Sin transición"))</f>
        <v/>
      </c>
      <c r="H2255" s="23" t="str">
        <f aca="false">IF(A2255="","",IF(D2255="GCIA LINEA SERVICIO DIGITALIDAD Y VENTAS","Chats",IF(OR(D2255="GERENCIA INBOUND LÍNEAS SERVICIO Y VENTA",D2255="GERENCIA INBOUND LINEAS ESPECIALIZADAS"),"Llamadas","Otro")))</f>
        <v/>
      </c>
      <c r="I2255" s="23" t="str">
        <f aca="false">IF(A2255="","",IF(C2255="No encontrado","No","Sí"))</f>
        <v/>
      </c>
      <c r="J2255" s="23" t="str">
        <f aca="false">IF(A2255="","",IF(F2255="Inactivo","No","Sí"))</f>
        <v/>
      </c>
      <c r="K2255" s="23" t="str">
        <f aca="false">IF(A2255="","",IF(AND(I2255="Sí",J2255="Sí"),"Sí","No"))</f>
        <v/>
      </c>
    </row>
    <row r="2256" customFormat="false" ht="15" hidden="false" customHeight="false" outlineLevel="0" collapsed="false">
      <c r="A2256" s="22"/>
      <c r="B2256" s="22"/>
      <c r="C2256" s="26" t="str">
        <f aca="false">IF(A2256="","",IFERROR(buscarx(A2256&amp;B2256,DATA!$E$3:$E$10000&amp;DATA!$B$3:$B$10000,DATA!$M$3:$M$10000),"No encontrado"))</f>
        <v/>
      </c>
      <c r="D2256" s="27" t="str">
        <f aca="false">IF(A2256="","",IFERROR(buscarx(A2256&amp;B2256,DATA!$E$3:$E$10000&amp;DATA!$B$3:$B$10000,DATA!$W$3:$W$10000),"No encontrado"))</f>
        <v/>
      </c>
      <c r="E2256" s="22"/>
      <c r="F2256" s="26" t="str">
        <f aca="false">IF(A2256="","",IFERROR(buscarx(A2256&amp;E2256,DATA!$E$3:$E$10000&amp;DATA!$B$3:$B$10000,DATA!$M$3:$M$10000),"Inactivo"))</f>
        <v/>
      </c>
      <c r="G2256" s="28" t="str">
        <f aca="false">IF(A2256="","",IF(AND(C2256&lt;&gt;"No encontrado",F2256&lt;&gt;"Inactivo"),C2256&amp;" → "&amp;F2256,"Sin transición"))</f>
        <v/>
      </c>
      <c r="H2256" s="26" t="str">
        <f aca="false">IF(A2256="","",IF(D2256="GCIA LINEA SERVICIO DIGITALIDAD Y VENTAS","Chats",IF(OR(D2256="GERENCIA INBOUND LÍNEAS SERVICIO Y VENTA",D2256="GERENCIA INBOUND LINEAS ESPECIALIZADAS"),"Llamadas","Otro")))</f>
        <v/>
      </c>
      <c r="I2256" s="26" t="str">
        <f aca="false">IF(A2256="","",IF(C2256="No encontrado","No","Sí"))</f>
        <v/>
      </c>
      <c r="J2256" s="26" t="str">
        <f aca="false">IF(A2256="","",IF(F2256="Inactivo","No","Sí"))</f>
        <v/>
      </c>
      <c r="K2256" s="26" t="str">
        <f aca="false">IF(A2256="","",IF(AND(I2256="Sí",J2256="Sí"),"Sí","No"))</f>
        <v/>
      </c>
    </row>
    <row r="2257" customFormat="false" ht="15" hidden="false" customHeight="false" outlineLevel="0" collapsed="false">
      <c r="A2257" s="22"/>
      <c r="B2257" s="22"/>
      <c r="C2257" s="23" t="str">
        <f aca="false">IF(A2257="","",IFERROR(buscarx(A2257&amp;B2257,DATA!$E$3:$E$10000&amp;DATA!$B$3:$B$10000,DATA!$M$3:$M$10000),"No encontrado"))</f>
        <v/>
      </c>
      <c r="D2257" s="24" t="str">
        <f aca="false">IF(A2257="","",IFERROR(buscarx(A2257&amp;B2257,DATA!$E$3:$E$10000&amp;DATA!$B$3:$B$10000,DATA!$W$3:$W$10000),"No encontrado"))</f>
        <v/>
      </c>
      <c r="E2257" s="22"/>
      <c r="F2257" s="23" t="str">
        <f aca="false">IF(A2257="","",IFERROR(buscarx(A2257&amp;E2257,DATA!$E$3:$E$10000&amp;DATA!$B$3:$B$10000,DATA!$M$3:$M$10000),"Inactivo"))</f>
        <v/>
      </c>
      <c r="G2257" s="25" t="str">
        <f aca="false">IF(A2257="","",IF(AND(C2257&lt;&gt;"No encontrado",F2257&lt;&gt;"Inactivo"),C2257&amp;" → "&amp;F2257,"Sin transición"))</f>
        <v/>
      </c>
      <c r="H2257" s="23" t="str">
        <f aca="false">IF(A2257="","",IF(D2257="GCIA LINEA SERVICIO DIGITALIDAD Y VENTAS","Chats",IF(OR(D2257="GERENCIA INBOUND LÍNEAS SERVICIO Y VENTA",D2257="GERENCIA INBOUND LINEAS ESPECIALIZADAS"),"Llamadas","Otro")))</f>
        <v/>
      </c>
      <c r="I2257" s="23" t="str">
        <f aca="false">IF(A2257="","",IF(C2257="No encontrado","No","Sí"))</f>
        <v/>
      </c>
      <c r="J2257" s="23" t="str">
        <f aca="false">IF(A2257="","",IF(F2257="Inactivo","No","Sí"))</f>
        <v/>
      </c>
      <c r="K2257" s="23" t="str">
        <f aca="false">IF(A2257="","",IF(AND(I2257="Sí",J2257="Sí"),"Sí","No"))</f>
        <v/>
      </c>
    </row>
    <row r="2258" customFormat="false" ht="15" hidden="false" customHeight="false" outlineLevel="0" collapsed="false">
      <c r="A2258" s="22"/>
      <c r="B2258" s="22"/>
      <c r="C2258" s="26" t="str">
        <f aca="false">IF(A2258="","",IFERROR(buscarx(A2258&amp;B2258,DATA!$E$3:$E$10000&amp;DATA!$B$3:$B$10000,DATA!$M$3:$M$10000),"No encontrado"))</f>
        <v/>
      </c>
      <c r="D2258" s="27" t="str">
        <f aca="false">IF(A2258="","",IFERROR(buscarx(A2258&amp;B2258,DATA!$E$3:$E$10000&amp;DATA!$B$3:$B$10000,DATA!$W$3:$W$10000),"No encontrado"))</f>
        <v/>
      </c>
      <c r="E2258" s="22"/>
      <c r="F2258" s="26" t="str">
        <f aca="false">IF(A2258="","",IFERROR(buscarx(A2258&amp;E2258,DATA!$E$3:$E$10000&amp;DATA!$B$3:$B$10000,DATA!$M$3:$M$10000),"Inactivo"))</f>
        <v/>
      </c>
      <c r="G2258" s="28" t="str">
        <f aca="false">IF(A2258="","",IF(AND(C2258&lt;&gt;"No encontrado",F2258&lt;&gt;"Inactivo"),C2258&amp;" → "&amp;F2258,"Sin transición"))</f>
        <v/>
      </c>
      <c r="H2258" s="26" t="str">
        <f aca="false">IF(A2258="","",IF(D2258="GCIA LINEA SERVICIO DIGITALIDAD Y VENTAS","Chats",IF(OR(D2258="GERENCIA INBOUND LÍNEAS SERVICIO Y VENTA",D2258="GERENCIA INBOUND LINEAS ESPECIALIZADAS"),"Llamadas","Otro")))</f>
        <v/>
      </c>
      <c r="I2258" s="26" t="str">
        <f aca="false">IF(A2258="","",IF(C2258="No encontrado","No","Sí"))</f>
        <v/>
      </c>
      <c r="J2258" s="26" t="str">
        <f aca="false">IF(A2258="","",IF(F2258="Inactivo","No","Sí"))</f>
        <v/>
      </c>
      <c r="K2258" s="26" t="str">
        <f aca="false">IF(A2258="","",IF(AND(I2258="Sí",J2258="Sí"),"Sí","No"))</f>
        <v/>
      </c>
    </row>
    <row r="2259" customFormat="false" ht="15" hidden="false" customHeight="false" outlineLevel="0" collapsed="false">
      <c r="A2259" s="22"/>
      <c r="B2259" s="22"/>
      <c r="C2259" s="23" t="str">
        <f aca="false">IF(A2259="","",IFERROR(buscarx(A2259&amp;B2259,DATA!$E$3:$E$10000&amp;DATA!$B$3:$B$10000,DATA!$M$3:$M$10000),"No encontrado"))</f>
        <v/>
      </c>
      <c r="D2259" s="24" t="str">
        <f aca="false">IF(A2259="","",IFERROR(buscarx(A2259&amp;B2259,DATA!$E$3:$E$10000&amp;DATA!$B$3:$B$10000,DATA!$W$3:$W$10000),"No encontrado"))</f>
        <v/>
      </c>
      <c r="E2259" s="22"/>
      <c r="F2259" s="23" t="str">
        <f aca="false">IF(A2259="","",IFERROR(buscarx(A2259&amp;E2259,DATA!$E$3:$E$10000&amp;DATA!$B$3:$B$10000,DATA!$M$3:$M$10000),"Inactivo"))</f>
        <v/>
      </c>
      <c r="G2259" s="25" t="str">
        <f aca="false">IF(A2259="","",IF(AND(C2259&lt;&gt;"No encontrado",F2259&lt;&gt;"Inactivo"),C2259&amp;" → "&amp;F2259,"Sin transición"))</f>
        <v/>
      </c>
      <c r="H2259" s="23" t="str">
        <f aca="false">IF(A2259="","",IF(D2259="GCIA LINEA SERVICIO DIGITALIDAD Y VENTAS","Chats",IF(OR(D2259="GERENCIA INBOUND LÍNEAS SERVICIO Y VENTA",D2259="GERENCIA INBOUND LINEAS ESPECIALIZADAS"),"Llamadas","Otro")))</f>
        <v/>
      </c>
      <c r="I2259" s="23" t="str">
        <f aca="false">IF(A2259="","",IF(C2259="No encontrado","No","Sí"))</f>
        <v/>
      </c>
      <c r="J2259" s="23" t="str">
        <f aca="false">IF(A2259="","",IF(F2259="Inactivo","No","Sí"))</f>
        <v/>
      </c>
      <c r="K2259" s="23" t="str">
        <f aca="false">IF(A2259="","",IF(AND(I2259="Sí",J2259="Sí"),"Sí","No"))</f>
        <v/>
      </c>
    </row>
    <row r="2260" customFormat="false" ht="15" hidden="false" customHeight="false" outlineLevel="0" collapsed="false">
      <c r="A2260" s="22"/>
      <c r="B2260" s="22"/>
      <c r="C2260" s="26" t="str">
        <f aca="false">IF(A2260="","",IFERROR(buscarx(A2260&amp;B2260,DATA!$E$3:$E$10000&amp;DATA!$B$3:$B$10000,DATA!$M$3:$M$10000),"No encontrado"))</f>
        <v/>
      </c>
      <c r="D2260" s="27" t="str">
        <f aca="false">IF(A2260="","",IFERROR(buscarx(A2260&amp;B2260,DATA!$E$3:$E$10000&amp;DATA!$B$3:$B$10000,DATA!$W$3:$W$10000),"No encontrado"))</f>
        <v/>
      </c>
      <c r="E2260" s="22"/>
      <c r="F2260" s="26" t="str">
        <f aca="false">IF(A2260="","",IFERROR(buscarx(A2260&amp;E2260,DATA!$E$3:$E$10000&amp;DATA!$B$3:$B$10000,DATA!$M$3:$M$10000),"Inactivo"))</f>
        <v/>
      </c>
      <c r="G2260" s="28" t="str">
        <f aca="false">IF(A2260="","",IF(AND(C2260&lt;&gt;"No encontrado",F2260&lt;&gt;"Inactivo"),C2260&amp;" → "&amp;F2260,"Sin transición"))</f>
        <v/>
      </c>
      <c r="H2260" s="26" t="str">
        <f aca="false">IF(A2260="","",IF(D2260="GCIA LINEA SERVICIO DIGITALIDAD Y VENTAS","Chats",IF(OR(D2260="GERENCIA INBOUND LÍNEAS SERVICIO Y VENTA",D2260="GERENCIA INBOUND LINEAS ESPECIALIZADAS"),"Llamadas","Otro")))</f>
        <v/>
      </c>
      <c r="I2260" s="26" t="str">
        <f aca="false">IF(A2260="","",IF(C2260="No encontrado","No","Sí"))</f>
        <v/>
      </c>
      <c r="J2260" s="26" t="str">
        <f aca="false">IF(A2260="","",IF(F2260="Inactivo","No","Sí"))</f>
        <v/>
      </c>
      <c r="K2260" s="26" t="str">
        <f aca="false">IF(A2260="","",IF(AND(I2260="Sí",J2260="Sí"),"Sí","No"))</f>
        <v/>
      </c>
    </row>
    <row r="2261" customFormat="false" ht="15" hidden="false" customHeight="false" outlineLevel="0" collapsed="false">
      <c r="A2261" s="22"/>
      <c r="B2261" s="22"/>
      <c r="C2261" s="23" t="str">
        <f aca="false">IF(A2261="","",IFERROR(buscarx(A2261&amp;B2261,DATA!$E$3:$E$10000&amp;DATA!$B$3:$B$10000,DATA!$M$3:$M$10000),"No encontrado"))</f>
        <v/>
      </c>
      <c r="D2261" s="24" t="str">
        <f aca="false">IF(A2261="","",IFERROR(buscarx(A2261&amp;B2261,DATA!$E$3:$E$10000&amp;DATA!$B$3:$B$10000,DATA!$W$3:$W$10000),"No encontrado"))</f>
        <v/>
      </c>
      <c r="E2261" s="22"/>
      <c r="F2261" s="23" t="str">
        <f aca="false">IF(A2261="","",IFERROR(buscarx(A2261&amp;E2261,DATA!$E$3:$E$10000&amp;DATA!$B$3:$B$10000,DATA!$M$3:$M$10000),"Inactivo"))</f>
        <v/>
      </c>
      <c r="G2261" s="25" t="str">
        <f aca="false">IF(A2261="","",IF(AND(C2261&lt;&gt;"No encontrado",F2261&lt;&gt;"Inactivo"),C2261&amp;" → "&amp;F2261,"Sin transición"))</f>
        <v/>
      </c>
      <c r="H2261" s="23" t="str">
        <f aca="false">IF(A2261="","",IF(D2261="GCIA LINEA SERVICIO DIGITALIDAD Y VENTAS","Chats",IF(OR(D2261="GERENCIA INBOUND LÍNEAS SERVICIO Y VENTA",D2261="GERENCIA INBOUND LINEAS ESPECIALIZADAS"),"Llamadas","Otro")))</f>
        <v/>
      </c>
      <c r="I2261" s="23" t="str">
        <f aca="false">IF(A2261="","",IF(C2261="No encontrado","No","Sí"))</f>
        <v/>
      </c>
      <c r="J2261" s="23" t="str">
        <f aca="false">IF(A2261="","",IF(F2261="Inactivo","No","Sí"))</f>
        <v/>
      </c>
      <c r="K2261" s="23" t="str">
        <f aca="false">IF(A2261="","",IF(AND(I2261="Sí",J2261="Sí"),"Sí","No"))</f>
        <v/>
      </c>
    </row>
    <row r="2262" customFormat="false" ht="15" hidden="false" customHeight="false" outlineLevel="0" collapsed="false">
      <c r="A2262" s="22"/>
      <c r="B2262" s="22"/>
      <c r="C2262" s="26" t="str">
        <f aca="false">IF(A2262="","",IFERROR(buscarx(A2262&amp;B2262,DATA!$E$3:$E$10000&amp;DATA!$B$3:$B$10000,DATA!$M$3:$M$10000),"No encontrado"))</f>
        <v/>
      </c>
      <c r="D2262" s="27" t="str">
        <f aca="false">IF(A2262="","",IFERROR(buscarx(A2262&amp;B2262,DATA!$E$3:$E$10000&amp;DATA!$B$3:$B$10000,DATA!$W$3:$W$10000),"No encontrado"))</f>
        <v/>
      </c>
      <c r="E2262" s="22"/>
      <c r="F2262" s="26" t="str">
        <f aca="false">IF(A2262="","",IFERROR(buscarx(A2262&amp;E2262,DATA!$E$3:$E$10000&amp;DATA!$B$3:$B$10000,DATA!$M$3:$M$10000),"Inactivo"))</f>
        <v/>
      </c>
      <c r="G2262" s="28" t="str">
        <f aca="false">IF(A2262="","",IF(AND(C2262&lt;&gt;"No encontrado",F2262&lt;&gt;"Inactivo"),C2262&amp;" → "&amp;F2262,"Sin transición"))</f>
        <v/>
      </c>
      <c r="H2262" s="26" t="str">
        <f aca="false">IF(A2262="","",IF(D2262="GCIA LINEA SERVICIO DIGITALIDAD Y VENTAS","Chats",IF(OR(D2262="GERENCIA INBOUND LÍNEAS SERVICIO Y VENTA",D2262="GERENCIA INBOUND LINEAS ESPECIALIZADAS"),"Llamadas","Otro")))</f>
        <v/>
      </c>
      <c r="I2262" s="26" t="str">
        <f aca="false">IF(A2262="","",IF(C2262="No encontrado","No","Sí"))</f>
        <v/>
      </c>
      <c r="J2262" s="26" t="str">
        <f aca="false">IF(A2262="","",IF(F2262="Inactivo","No","Sí"))</f>
        <v/>
      </c>
      <c r="K2262" s="26" t="str">
        <f aca="false">IF(A2262="","",IF(AND(I2262="Sí",J2262="Sí"),"Sí","No"))</f>
        <v/>
      </c>
    </row>
    <row r="2263" customFormat="false" ht="15" hidden="false" customHeight="false" outlineLevel="0" collapsed="false">
      <c r="A2263" s="22"/>
      <c r="B2263" s="22"/>
      <c r="C2263" s="23" t="str">
        <f aca="false">IF(A2263="","",IFERROR(buscarx(A2263&amp;B2263,DATA!$E$3:$E$10000&amp;DATA!$B$3:$B$10000,DATA!$M$3:$M$10000),"No encontrado"))</f>
        <v/>
      </c>
      <c r="D2263" s="24" t="str">
        <f aca="false">IF(A2263="","",IFERROR(buscarx(A2263&amp;B2263,DATA!$E$3:$E$10000&amp;DATA!$B$3:$B$10000,DATA!$W$3:$W$10000),"No encontrado"))</f>
        <v/>
      </c>
      <c r="E2263" s="22"/>
      <c r="F2263" s="23" t="str">
        <f aca="false">IF(A2263="","",IFERROR(buscarx(A2263&amp;E2263,DATA!$E$3:$E$10000&amp;DATA!$B$3:$B$10000,DATA!$M$3:$M$10000),"Inactivo"))</f>
        <v/>
      </c>
      <c r="G2263" s="25" t="str">
        <f aca="false">IF(A2263="","",IF(AND(C2263&lt;&gt;"No encontrado",F2263&lt;&gt;"Inactivo"),C2263&amp;" → "&amp;F2263,"Sin transición"))</f>
        <v/>
      </c>
      <c r="H2263" s="23" t="str">
        <f aca="false">IF(A2263="","",IF(D2263="GCIA LINEA SERVICIO DIGITALIDAD Y VENTAS","Chats",IF(OR(D2263="GERENCIA INBOUND LÍNEAS SERVICIO Y VENTA",D2263="GERENCIA INBOUND LINEAS ESPECIALIZADAS"),"Llamadas","Otro")))</f>
        <v/>
      </c>
      <c r="I2263" s="23" t="str">
        <f aca="false">IF(A2263="","",IF(C2263="No encontrado","No","Sí"))</f>
        <v/>
      </c>
      <c r="J2263" s="23" t="str">
        <f aca="false">IF(A2263="","",IF(F2263="Inactivo","No","Sí"))</f>
        <v/>
      </c>
      <c r="K2263" s="23" t="str">
        <f aca="false">IF(A2263="","",IF(AND(I2263="Sí",J2263="Sí"),"Sí","No"))</f>
        <v/>
      </c>
    </row>
    <row r="2264" customFormat="false" ht="15" hidden="false" customHeight="false" outlineLevel="0" collapsed="false">
      <c r="A2264" s="22"/>
      <c r="B2264" s="22"/>
      <c r="C2264" s="26" t="str">
        <f aca="false">IF(A2264="","",IFERROR(buscarx(A2264&amp;B2264,DATA!$E$3:$E$10000&amp;DATA!$B$3:$B$10000,DATA!$M$3:$M$10000),"No encontrado"))</f>
        <v/>
      </c>
      <c r="D2264" s="27" t="str">
        <f aca="false">IF(A2264="","",IFERROR(buscarx(A2264&amp;B2264,DATA!$E$3:$E$10000&amp;DATA!$B$3:$B$10000,DATA!$W$3:$W$10000),"No encontrado"))</f>
        <v/>
      </c>
      <c r="E2264" s="22"/>
      <c r="F2264" s="26" t="str">
        <f aca="false">IF(A2264="","",IFERROR(buscarx(A2264&amp;E2264,DATA!$E$3:$E$10000&amp;DATA!$B$3:$B$10000,DATA!$M$3:$M$10000),"Inactivo"))</f>
        <v/>
      </c>
      <c r="G2264" s="28" t="str">
        <f aca="false">IF(A2264="","",IF(AND(C2264&lt;&gt;"No encontrado",F2264&lt;&gt;"Inactivo"),C2264&amp;" → "&amp;F2264,"Sin transición"))</f>
        <v/>
      </c>
      <c r="H2264" s="26" t="str">
        <f aca="false">IF(A2264="","",IF(D2264="GCIA LINEA SERVICIO DIGITALIDAD Y VENTAS","Chats",IF(OR(D2264="GERENCIA INBOUND LÍNEAS SERVICIO Y VENTA",D2264="GERENCIA INBOUND LINEAS ESPECIALIZADAS"),"Llamadas","Otro")))</f>
        <v/>
      </c>
      <c r="I2264" s="26" t="str">
        <f aca="false">IF(A2264="","",IF(C2264="No encontrado","No","Sí"))</f>
        <v/>
      </c>
      <c r="J2264" s="26" t="str">
        <f aca="false">IF(A2264="","",IF(F2264="Inactivo","No","Sí"))</f>
        <v/>
      </c>
      <c r="K2264" s="26" t="str">
        <f aca="false">IF(A2264="","",IF(AND(I2264="Sí",J2264="Sí"),"Sí","No"))</f>
        <v/>
      </c>
    </row>
    <row r="2265" customFormat="false" ht="15" hidden="false" customHeight="false" outlineLevel="0" collapsed="false">
      <c r="A2265" s="22"/>
      <c r="B2265" s="22"/>
      <c r="C2265" s="23" t="str">
        <f aca="false">IF(A2265="","",IFERROR(buscarx(A2265&amp;B2265,DATA!$E$3:$E$10000&amp;DATA!$B$3:$B$10000,DATA!$M$3:$M$10000),"No encontrado"))</f>
        <v/>
      </c>
      <c r="D2265" s="24" t="str">
        <f aca="false">IF(A2265="","",IFERROR(buscarx(A2265&amp;B2265,DATA!$E$3:$E$10000&amp;DATA!$B$3:$B$10000,DATA!$W$3:$W$10000),"No encontrado"))</f>
        <v/>
      </c>
      <c r="E2265" s="22"/>
      <c r="F2265" s="23" t="str">
        <f aca="false">IF(A2265="","",IFERROR(buscarx(A2265&amp;E2265,DATA!$E$3:$E$10000&amp;DATA!$B$3:$B$10000,DATA!$M$3:$M$10000),"Inactivo"))</f>
        <v/>
      </c>
      <c r="G2265" s="25" t="str">
        <f aca="false">IF(A2265="","",IF(AND(C2265&lt;&gt;"No encontrado",F2265&lt;&gt;"Inactivo"),C2265&amp;" → "&amp;F2265,"Sin transición"))</f>
        <v/>
      </c>
      <c r="H2265" s="23" t="str">
        <f aca="false">IF(A2265="","",IF(D2265="GCIA LINEA SERVICIO DIGITALIDAD Y VENTAS","Chats",IF(OR(D2265="GERENCIA INBOUND LÍNEAS SERVICIO Y VENTA",D2265="GERENCIA INBOUND LINEAS ESPECIALIZADAS"),"Llamadas","Otro")))</f>
        <v/>
      </c>
      <c r="I2265" s="23" t="str">
        <f aca="false">IF(A2265="","",IF(C2265="No encontrado","No","Sí"))</f>
        <v/>
      </c>
      <c r="J2265" s="23" t="str">
        <f aca="false">IF(A2265="","",IF(F2265="Inactivo","No","Sí"))</f>
        <v/>
      </c>
      <c r="K2265" s="23" t="str">
        <f aca="false">IF(A2265="","",IF(AND(I2265="Sí",J2265="Sí"),"Sí","No"))</f>
        <v/>
      </c>
    </row>
    <row r="2266" customFormat="false" ht="15" hidden="false" customHeight="false" outlineLevel="0" collapsed="false">
      <c r="A2266" s="22"/>
      <c r="B2266" s="22"/>
      <c r="C2266" s="26" t="str">
        <f aca="false">IF(A2266="","",IFERROR(buscarx(A2266&amp;B2266,DATA!$E$3:$E$10000&amp;DATA!$B$3:$B$10000,DATA!$M$3:$M$10000),"No encontrado"))</f>
        <v/>
      </c>
      <c r="D2266" s="27" t="str">
        <f aca="false">IF(A2266="","",IFERROR(buscarx(A2266&amp;B2266,DATA!$E$3:$E$10000&amp;DATA!$B$3:$B$10000,DATA!$W$3:$W$10000),"No encontrado"))</f>
        <v/>
      </c>
      <c r="E2266" s="22"/>
      <c r="F2266" s="26" t="str">
        <f aca="false">IF(A2266="","",IFERROR(buscarx(A2266&amp;E2266,DATA!$E$3:$E$10000&amp;DATA!$B$3:$B$10000,DATA!$M$3:$M$10000),"Inactivo"))</f>
        <v/>
      </c>
      <c r="G2266" s="28" t="str">
        <f aca="false">IF(A2266="","",IF(AND(C2266&lt;&gt;"No encontrado",F2266&lt;&gt;"Inactivo"),C2266&amp;" → "&amp;F2266,"Sin transición"))</f>
        <v/>
      </c>
      <c r="H2266" s="26" t="str">
        <f aca="false">IF(A2266="","",IF(D2266="GCIA LINEA SERVICIO DIGITALIDAD Y VENTAS","Chats",IF(OR(D2266="GERENCIA INBOUND LÍNEAS SERVICIO Y VENTA",D2266="GERENCIA INBOUND LINEAS ESPECIALIZADAS"),"Llamadas","Otro")))</f>
        <v/>
      </c>
      <c r="I2266" s="26" t="str">
        <f aca="false">IF(A2266="","",IF(C2266="No encontrado","No","Sí"))</f>
        <v/>
      </c>
      <c r="J2266" s="26" t="str">
        <f aca="false">IF(A2266="","",IF(F2266="Inactivo","No","Sí"))</f>
        <v/>
      </c>
      <c r="K2266" s="26" t="str">
        <f aca="false">IF(A2266="","",IF(AND(I2266="Sí",J2266="Sí"),"Sí","No"))</f>
        <v/>
      </c>
    </row>
    <row r="2267" customFormat="false" ht="15" hidden="false" customHeight="false" outlineLevel="0" collapsed="false">
      <c r="A2267" s="22"/>
      <c r="B2267" s="22"/>
      <c r="C2267" s="23" t="str">
        <f aca="false">IF(A2267="","",IFERROR(buscarx(A2267&amp;B2267,DATA!$E$3:$E$10000&amp;DATA!$B$3:$B$10000,DATA!$M$3:$M$10000),"No encontrado"))</f>
        <v/>
      </c>
      <c r="D2267" s="24" t="str">
        <f aca="false">IF(A2267="","",IFERROR(buscarx(A2267&amp;B2267,DATA!$E$3:$E$10000&amp;DATA!$B$3:$B$10000,DATA!$W$3:$W$10000),"No encontrado"))</f>
        <v/>
      </c>
      <c r="E2267" s="22"/>
      <c r="F2267" s="23" t="str">
        <f aca="false">IF(A2267="","",IFERROR(buscarx(A2267&amp;E2267,DATA!$E$3:$E$10000&amp;DATA!$B$3:$B$10000,DATA!$M$3:$M$10000),"Inactivo"))</f>
        <v/>
      </c>
      <c r="G2267" s="25" t="str">
        <f aca="false">IF(A2267="","",IF(AND(C2267&lt;&gt;"No encontrado",F2267&lt;&gt;"Inactivo"),C2267&amp;" → "&amp;F2267,"Sin transición"))</f>
        <v/>
      </c>
      <c r="H2267" s="23" t="str">
        <f aca="false">IF(A2267="","",IF(D2267="GCIA LINEA SERVICIO DIGITALIDAD Y VENTAS","Chats",IF(OR(D2267="GERENCIA INBOUND LÍNEAS SERVICIO Y VENTA",D2267="GERENCIA INBOUND LINEAS ESPECIALIZADAS"),"Llamadas","Otro")))</f>
        <v/>
      </c>
      <c r="I2267" s="23" t="str">
        <f aca="false">IF(A2267="","",IF(C2267="No encontrado","No","Sí"))</f>
        <v/>
      </c>
      <c r="J2267" s="23" t="str">
        <f aca="false">IF(A2267="","",IF(F2267="Inactivo","No","Sí"))</f>
        <v/>
      </c>
      <c r="K2267" s="23" t="str">
        <f aca="false">IF(A2267="","",IF(AND(I2267="Sí",J2267="Sí"),"Sí","No"))</f>
        <v/>
      </c>
    </row>
    <row r="2268" customFormat="false" ht="15" hidden="false" customHeight="false" outlineLevel="0" collapsed="false">
      <c r="A2268" s="22"/>
      <c r="B2268" s="22"/>
      <c r="C2268" s="26" t="str">
        <f aca="false">IF(A2268="","",IFERROR(buscarx(A2268&amp;B2268,DATA!$E$3:$E$10000&amp;DATA!$B$3:$B$10000,DATA!$M$3:$M$10000),"No encontrado"))</f>
        <v/>
      </c>
      <c r="D2268" s="27" t="str">
        <f aca="false">IF(A2268="","",IFERROR(buscarx(A2268&amp;B2268,DATA!$E$3:$E$10000&amp;DATA!$B$3:$B$10000,DATA!$W$3:$W$10000),"No encontrado"))</f>
        <v/>
      </c>
      <c r="E2268" s="22"/>
      <c r="F2268" s="26" t="str">
        <f aca="false">IF(A2268="","",IFERROR(buscarx(A2268&amp;E2268,DATA!$E$3:$E$10000&amp;DATA!$B$3:$B$10000,DATA!$M$3:$M$10000),"Inactivo"))</f>
        <v/>
      </c>
      <c r="G2268" s="28" t="str">
        <f aca="false">IF(A2268="","",IF(AND(C2268&lt;&gt;"No encontrado",F2268&lt;&gt;"Inactivo"),C2268&amp;" → "&amp;F2268,"Sin transición"))</f>
        <v/>
      </c>
      <c r="H2268" s="26" t="str">
        <f aca="false">IF(A2268="","",IF(D2268="GCIA LINEA SERVICIO DIGITALIDAD Y VENTAS","Chats",IF(OR(D2268="GERENCIA INBOUND LÍNEAS SERVICIO Y VENTA",D2268="GERENCIA INBOUND LINEAS ESPECIALIZADAS"),"Llamadas","Otro")))</f>
        <v/>
      </c>
      <c r="I2268" s="26" t="str">
        <f aca="false">IF(A2268="","",IF(C2268="No encontrado","No","Sí"))</f>
        <v/>
      </c>
      <c r="J2268" s="26" t="str">
        <f aca="false">IF(A2268="","",IF(F2268="Inactivo","No","Sí"))</f>
        <v/>
      </c>
      <c r="K2268" s="26" t="str">
        <f aca="false">IF(A2268="","",IF(AND(I2268="Sí",J2268="Sí"),"Sí","No"))</f>
        <v/>
      </c>
    </row>
    <row r="2269" customFormat="false" ht="15" hidden="false" customHeight="false" outlineLevel="0" collapsed="false">
      <c r="A2269" s="22"/>
      <c r="B2269" s="22"/>
      <c r="C2269" s="23" t="str">
        <f aca="false">IF(A2269="","",IFERROR(buscarx(A2269&amp;B2269,DATA!$E$3:$E$10000&amp;DATA!$B$3:$B$10000,DATA!$M$3:$M$10000),"No encontrado"))</f>
        <v/>
      </c>
      <c r="D2269" s="24" t="str">
        <f aca="false">IF(A2269="","",IFERROR(buscarx(A2269&amp;B2269,DATA!$E$3:$E$10000&amp;DATA!$B$3:$B$10000,DATA!$W$3:$W$10000),"No encontrado"))</f>
        <v/>
      </c>
      <c r="E2269" s="22"/>
      <c r="F2269" s="23" t="str">
        <f aca="false">IF(A2269="","",IFERROR(buscarx(A2269&amp;E2269,DATA!$E$3:$E$10000&amp;DATA!$B$3:$B$10000,DATA!$M$3:$M$10000),"Inactivo"))</f>
        <v/>
      </c>
      <c r="G2269" s="25" t="str">
        <f aca="false">IF(A2269="","",IF(AND(C2269&lt;&gt;"No encontrado",F2269&lt;&gt;"Inactivo"),C2269&amp;" → "&amp;F2269,"Sin transición"))</f>
        <v/>
      </c>
      <c r="H2269" s="23" t="str">
        <f aca="false">IF(A2269="","",IF(D2269="GCIA LINEA SERVICIO DIGITALIDAD Y VENTAS","Chats",IF(OR(D2269="GERENCIA INBOUND LÍNEAS SERVICIO Y VENTA",D2269="GERENCIA INBOUND LINEAS ESPECIALIZADAS"),"Llamadas","Otro")))</f>
        <v/>
      </c>
      <c r="I2269" s="23" t="str">
        <f aca="false">IF(A2269="","",IF(C2269="No encontrado","No","Sí"))</f>
        <v/>
      </c>
      <c r="J2269" s="23" t="str">
        <f aca="false">IF(A2269="","",IF(F2269="Inactivo","No","Sí"))</f>
        <v/>
      </c>
      <c r="K2269" s="23" t="str">
        <f aca="false">IF(A2269="","",IF(AND(I2269="Sí",J2269="Sí"),"Sí","No"))</f>
        <v/>
      </c>
    </row>
    <row r="2270" customFormat="false" ht="15" hidden="false" customHeight="false" outlineLevel="0" collapsed="false">
      <c r="A2270" s="22"/>
      <c r="B2270" s="22"/>
      <c r="C2270" s="26" t="str">
        <f aca="false">IF(A2270="","",IFERROR(buscarx(A2270&amp;B2270,DATA!$E$3:$E$10000&amp;DATA!$B$3:$B$10000,DATA!$M$3:$M$10000),"No encontrado"))</f>
        <v/>
      </c>
      <c r="D2270" s="27" t="str">
        <f aca="false">IF(A2270="","",IFERROR(buscarx(A2270&amp;B2270,DATA!$E$3:$E$10000&amp;DATA!$B$3:$B$10000,DATA!$W$3:$W$10000),"No encontrado"))</f>
        <v/>
      </c>
      <c r="E2270" s="22"/>
      <c r="F2270" s="26" t="str">
        <f aca="false">IF(A2270="","",IFERROR(buscarx(A2270&amp;E2270,DATA!$E$3:$E$10000&amp;DATA!$B$3:$B$10000,DATA!$M$3:$M$10000),"Inactivo"))</f>
        <v/>
      </c>
      <c r="G2270" s="28" t="str">
        <f aca="false">IF(A2270="","",IF(AND(C2270&lt;&gt;"No encontrado",F2270&lt;&gt;"Inactivo"),C2270&amp;" → "&amp;F2270,"Sin transición"))</f>
        <v/>
      </c>
      <c r="H2270" s="26" t="str">
        <f aca="false">IF(A2270="","",IF(D2270="GCIA LINEA SERVICIO DIGITALIDAD Y VENTAS","Chats",IF(OR(D2270="GERENCIA INBOUND LÍNEAS SERVICIO Y VENTA",D2270="GERENCIA INBOUND LINEAS ESPECIALIZADAS"),"Llamadas","Otro")))</f>
        <v/>
      </c>
      <c r="I2270" s="26" t="str">
        <f aca="false">IF(A2270="","",IF(C2270="No encontrado","No","Sí"))</f>
        <v/>
      </c>
      <c r="J2270" s="26" t="str">
        <f aca="false">IF(A2270="","",IF(F2270="Inactivo","No","Sí"))</f>
        <v/>
      </c>
      <c r="K2270" s="26" t="str">
        <f aca="false">IF(A2270="","",IF(AND(I2270="Sí",J2270="Sí"),"Sí","No"))</f>
        <v/>
      </c>
    </row>
    <row r="2271" customFormat="false" ht="15" hidden="false" customHeight="false" outlineLevel="0" collapsed="false">
      <c r="A2271" s="22"/>
      <c r="B2271" s="22"/>
      <c r="C2271" s="23" t="str">
        <f aca="false">IF(A2271="","",IFERROR(buscarx(A2271&amp;B2271,DATA!$E$3:$E$10000&amp;DATA!$B$3:$B$10000,DATA!$M$3:$M$10000),"No encontrado"))</f>
        <v/>
      </c>
      <c r="D2271" s="24" t="str">
        <f aca="false">IF(A2271="","",IFERROR(buscarx(A2271&amp;B2271,DATA!$E$3:$E$10000&amp;DATA!$B$3:$B$10000,DATA!$W$3:$W$10000),"No encontrado"))</f>
        <v/>
      </c>
      <c r="E2271" s="22"/>
      <c r="F2271" s="23" t="str">
        <f aca="false">IF(A2271="","",IFERROR(buscarx(A2271&amp;E2271,DATA!$E$3:$E$10000&amp;DATA!$B$3:$B$10000,DATA!$M$3:$M$10000),"Inactivo"))</f>
        <v/>
      </c>
      <c r="G2271" s="25" t="str">
        <f aca="false">IF(A2271="","",IF(AND(C2271&lt;&gt;"No encontrado",F2271&lt;&gt;"Inactivo"),C2271&amp;" → "&amp;F2271,"Sin transición"))</f>
        <v/>
      </c>
      <c r="H2271" s="23" t="str">
        <f aca="false">IF(A2271="","",IF(D2271="GCIA LINEA SERVICIO DIGITALIDAD Y VENTAS","Chats",IF(OR(D2271="GERENCIA INBOUND LÍNEAS SERVICIO Y VENTA",D2271="GERENCIA INBOUND LINEAS ESPECIALIZADAS"),"Llamadas","Otro")))</f>
        <v/>
      </c>
      <c r="I2271" s="23" t="str">
        <f aca="false">IF(A2271="","",IF(C2271="No encontrado","No","Sí"))</f>
        <v/>
      </c>
      <c r="J2271" s="23" t="str">
        <f aca="false">IF(A2271="","",IF(F2271="Inactivo","No","Sí"))</f>
        <v/>
      </c>
      <c r="K2271" s="23" t="str">
        <f aca="false">IF(A2271="","",IF(AND(I2271="Sí",J2271="Sí"),"Sí","No"))</f>
        <v/>
      </c>
    </row>
    <row r="2272" customFormat="false" ht="15" hidden="false" customHeight="false" outlineLevel="0" collapsed="false">
      <c r="A2272" s="22"/>
      <c r="B2272" s="22"/>
      <c r="C2272" s="26" t="str">
        <f aca="false">IF(A2272="","",IFERROR(buscarx(A2272&amp;B2272,DATA!$E$3:$E$10000&amp;DATA!$B$3:$B$10000,DATA!$M$3:$M$10000),"No encontrado"))</f>
        <v/>
      </c>
      <c r="D2272" s="27" t="str">
        <f aca="false">IF(A2272="","",IFERROR(buscarx(A2272&amp;B2272,DATA!$E$3:$E$10000&amp;DATA!$B$3:$B$10000,DATA!$W$3:$W$10000),"No encontrado"))</f>
        <v/>
      </c>
      <c r="E2272" s="22"/>
      <c r="F2272" s="26" t="str">
        <f aca="false">IF(A2272="","",IFERROR(buscarx(A2272&amp;E2272,DATA!$E$3:$E$10000&amp;DATA!$B$3:$B$10000,DATA!$M$3:$M$10000),"Inactivo"))</f>
        <v/>
      </c>
      <c r="G2272" s="28" t="str">
        <f aca="false">IF(A2272="","",IF(AND(C2272&lt;&gt;"No encontrado",F2272&lt;&gt;"Inactivo"),C2272&amp;" → "&amp;F2272,"Sin transición"))</f>
        <v/>
      </c>
      <c r="H2272" s="26" t="str">
        <f aca="false">IF(A2272="","",IF(D2272="GCIA LINEA SERVICIO DIGITALIDAD Y VENTAS","Chats",IF(OR(D2272="GERENCIA INBOUND LÍNEAS SERVICIO Y VENTA",D2272="GERENCIA INBOUND LINEAS ESPECIALIZADAS"),"Llamadas","Otro")))</f>
        <v/>
      </c>
      <c r="I2272" s="26" t="str">
        <f aca="false">IF(A2272="","",IF(C2272="No encontrado","No","Sí"))</f>
        <v/>
      </c>
      <c r="J2272" s="26" t="str">
        <f aca="false">IF(A2272="","",IF(F2272="Inactivo","No","Sí"))</f>
        <v/>
      </c>
      <c r="K2272" s="26" t="str">
        <f aca="false">IF(A2272="","",IF(AND(I2272="Sí",J2272="Sí"),"Sí","No"))</f>
        <v/>
      </c>
    </row>
    <row r="2273" customFormat="false" ht="15" hidden="false" customHeight="false" outlineLevel="0" collapsed="false">
      <c r="A2273" s="22"/>
      <c r="B2273" s="22"/>
      <c r="C2273" s="23" t="str">
        <f aca="false">IF(A2273="","",IFERROR(buscarx(A2273&amp;B2273,DATA!$E$3:$E$10000&amp;DATA!$B$3:$B$10000,DATA!$M$3:$M$10000),"No encontrado"))</f>
        <v/>
      </c>
      <c r="D2273" s="24" t="str">
        <f aca="false">IF(A2273="","",IFERROR(buscarx(A2273&amp;B2273,DATA!$E$3:$E$10000&amp;DATA!$B$3:$B$10000,DATA!$W$3:$W$10000),"No encontrado"))</f>
        <v/>
      </c>
      <c r="E2273" s="22"/>
      <c r="F2273" s="23" t="str">
        <f aca="false">IF(A2273="","",IFERROR(buscarx(A2273&amp;E2273,DATA!$E$3:$E$10000&amp;DATA!$B$3:$B$10000,DATA!$M$3:$M$10000),"Inactivo"))</f>
        <v/>
      </c>
      <c r="G2273" s="25" t="str">
        <f aca="false">IF(A2273="","",IF(AND(C2273&lt;&gt;"No encontrado",F2273&lt;&gt;"Inactivo"),C2273&amp;" → "&amp;F2273,"Sin transición"))</f>
        <v/>
      </c>
      <c r="H2273" s="23" t="str">
        <f aca="false">IF(A2273="","",IF(D2273="GCIA LINEA SERVICIO DIGITALIDAD Y VENTAS","Chats",IF(OR(D2273="GERENCIA INBOUND LÍNEAS SERVICIO Y VENTA",D2273="GERENCIA INBOUND LINEAS ESPECIALIZADAS"),"Llamadas","Otro")))</f>
        <v/>
      </c>
      <c r="I2273" s="23" t="str">
        <f aca="false">IF(A2273="","",IF(C2273="No encontrado","No","Sí"))</f>
        <v/>
      </c>
      <c r="J2273" s="23" t="str">
        <f aca="false">IF(A2273="","",IF(F2273="Inactivo","No","Sí"))</f>
        <v/>
      </c>
      <c r="K2273" s="23" t="str">
        <f aca="false">IF(A2273="","",IF(AND(I2273="Sí",J2273="Sí"),"Sí","No"))</f>
        <v/>
      </c>
    </row>
    <row r="2274" customFormat="false" ht="15" hidden="false" customHeight="false" outlineLevel="0" collapsed="false">
      <c r="A2274" s="22"/>
      <c r="B2274" s="22"/>
      <c r="C2274" s="26" t="str">
        <f aca="false">IF(A2274="","",IFERROR(buscarx(A2274&amp;B2274,DATA!$E$3:$E$10000&amp;DATA!$B$3:$B$10000,DATA!$M$3:$M$10000),"No encontrado"))</f>
        <v/>
      </c>
      <c r="D2274" s="27" t="str">
        <f aca="false">IF(A2274="","",IFERROR(buscarx(A2274&amp;B2274,DATA!$E$3:$E$10000&amp;DATA!$B$3:$B$10000,DATA!$W$3:$W$10000),"No encontrado"))</f>
        <v/>
      </c>
      <c r="E2274" s="22"/>
      <c r="F2274" s="26" t="str">
        <f aca="false">IF(A2274="","",IFERROR(buscarx(A2274&amp;E2274,DATA!$E$3:$E$10000&amp;DATA!$B$3:$B$10000,DATA!$M$3:$M$10000),"Inactivo"))</f>
        <v/>
      </c>
      <c r="G2274" s="28" t="str">
        <f aca="false">IF(A2274="","",IF(AND(C2274&lt;&gt;"No encontrado",F2274&lt;&gt;"Inactivo"),C2274&amp;" → "&amp;F2274,"Sin transición"))</f>
        <v/>
      </c>
      <c r="H2274" s="26" t="str">
        <f aca="false">IF(A2274="","",IF(D2274="GCIA LINEA SERVICIO DIGITALIDAD Y VENTAS","Chats",IF(OR(D2274="GERENCIA INBOUND LÍNEAS SERVICIO Y VENTA",D2274="GERENCIA INBOUND LINEAS ESPECIALIZADAS"),"Llamadas","Otro")))</f>
        <v/>
      </c>
      <c r="I2274" s="26" t="str">
        <f aca="false">IF(A2274="","",IF(C2274="No encontrado","No","Sí"))</f>
        <v/>
      </c>
      <c r="J2274" s="26" t="str">
        <f aca="false">IF(A2274="","",IF(F2274="Inactivo","No","Sí"))</f>
        <v/>
      </c>
      <c r="K2274" s="26" t="str">
        <f aca="false">IF(A2274="","",IF(AND(I2274="Sí",J2274="Sí"),"Sí","No"))</f>
        <v/>
      </c>
    </row>
    <row r="2275" customFormat="false" ht="15" hidden="false" customHeight="false" outlineLevel="0" collapsed="false">
      <c r="A2275" s="22"/>
      <c r="B2275" s="22"/>
      <c r="C2275" s="23" t="str">
        <f aca="false">IF(A2275="","",IFERROR(buscarx(A2275&amp;B2275,DATA!$E$3:$E$10000&amp;DATA!$B$3:$B$10000,DATA!$M$3:$M$10000),"No encontrado"))</f>
        <v/>
      </c>
      <c r="D2275" s="24" t="str">
        <f aca="false">IF(A2275="","",IFERROR(buscarx(A2275&amp;B2275,DATA!$E$3:$E$10000&amp;DATA!$B$3:$B$10000,DATA!$W$3:$W$10000),"No encontrado"))</f>
        <v/>
      </c>
      <c r="E2275" s="22"/>
      <c r="F2275" s="23" t="str">
        <f aca="false">IF(A2275="","",IFERROR(buscarx(A2275&amp;E2275,DATA!$E$3:$E$10000&amp;DATA!$B$3:$B$10000,DATA!$M$3:$M$10000),"Inactivo"))</f>
        <v/>
      </c>
      <c r="G2275" s="25" t="str">
        <f aca="false">IF(A2275="","",IF(AND(C2275&lt;&gt;"No encontrado",F2275&lt;&gt;"Inactivo"),C2275&amp;" → "&amp;F2275,"Sin transición"))</f>
        <v/>
      </c>
      <c r="H2275" s="23" t="str">
        <f aca="false">IF(A2275="","",IF(D2275="GCIA LINEA SERVICIO DIGITALIDAD Y VENTAS","Chats",IF(OR(D2275="GERENCIA INBOUND LÍNEAS SERVICIO Y VENTA",D2275="GERENCIA INBOUND LINEAS ESPECIALIZADAS"),"Llamadas","Otro")))</f>
        <v/>
      </c>
      <c r="I2275" s="23" t="str">
        <f aca="false">IF(A2275="","",IF(C2275="No encontrado","No","Sí"))</f>
        <v/>
      </c>
      <c r="J2275" s="23" t="str">
        <f aca="false">IF(A2275="","",IF(F2275="Inactivo","No","Sí"))</f>
        <v/>
      </c>
      <c r="K2275" s="23" t="str">
        <f aca="false">IF(A2275="","",IF(AND(I2275="Sí",J2275="Sí"),"Sí","No"))</f>
        <v/>
      </c>
    </row>
    <row r="2276" customFormat="false" ht="15" hidden="false" customHeight="false" outlineLevel="0" collapsed="false">
      <c r="A2276" s="22"/>
      <c r="B2276" s="22"/>
      <c r="C2276" s="26" t="str">
        <f aca="false">IF(A2276="","",IFERROR(buscarx(A2276&amp;B2276,DATA!$E$3:$E$10000&amp;DATA!$B$3:$B$10000,DATA!$M$3:$M$10000),"No encontrado"))</f>
        <v/>
      </c>
      <c r="D2276" s="27" t="str">
        <f aca="false">IF(A2276="","",IFERROR(buscarx(A2276&amp;B2276,DATA!$E$3:$E$10000&amp;DATA!$B$3:$B$10000,DATA!$W$3:$W$10000),"No encontrado"))</f>
        <v/>
      </c>
      <c r="E2276" s="22"/>
      <c r="F2276" s="26" t="str">
        <f aca="false">IF(A2276="","",IFERROR(buscarx(A2276&amp;E2276,DATA!$E$3:$E$10000&amp;DATA!$B$3:$B$10000,DATA!$M$3:$M$10000),"Inactivo"))</f>
        <v/>
      </c>
      <c r="G2276" s="28" t="str">
        <f aca="false">IF(A2276="","",IF(AND(C2276&lt;&gt;"No encontrado",F2276&lt;&gt;"Inactivo"),C2276&amp;" → "&amp;F2276,"Sin transición"))</f>
        <v/>
      </c>
      <c r="H2276" s="26" t="str">
        <f aca="false">IF(A2276="","",IF(D2276="GCIA LINEA SERVICIO DIGITALIDAD Y VENTAS","Chats",IF(OR(D2276="GERENCIA INBOUND LÍNEAS SERVICIO Y VENTA",D2276="GERENCIA INBOUND LINEAS ESPECIALIZADAS"),"Llamadas","Otro")))</f>
        <v/>
      </c>
      <c r="I2276" s="26" t="str">
        <f aca="false">IF(A2276="","",IF(C2276="No encontrado","No","Sí"))</f>
        <v/>
      </c>
      <c r="J2276" s="26" t="str">
        <f aca="false">IF(A2276="","",IF(F2276="Inactivo","No","Sí"))</f>
        <v/>
      </c>
      <c r="K2276" s="26" t="str">
        <f aca="false">IF(A2276="","",IF(AND(I2276="Sí",J2276="Sí"),"Sí","No"))</f>
        <v/>
      </c>
    </row>
    <row r="2277" customFormat="false" ht="15" hidden="false" customHeight="false" outlineLevel="0" collapsed="false">
      <c r="A2277" s="22"/>
      <c r="B2277" s="22"/>
      <c r="C2277" s="23" t="str">
        <f aca="false">IF(A2277="","",IFERROR(buscarx(A2277&amp;B2277,DATA!$E$3:$E$10000&amp;DATA!$B$3:$B$10000,DATA!$M$3:$M$10000),"No encontrado"))</f>
        <v/>
      </c>
      <c r="D2277" s="24" t="str">
        <f aca="false">IF(A2277="","",IFERROR(buscarx(A2277&amp;B2277,DATA!$E$3:$E$10000&amp;DATA!$B$3:$B$10000,DATA!$W$3:$W$10000),"No encontrado"))</f>
        <v/>
      </c>
      <c r="E2277" s="22"/>
      <c r="F2277" s="23" t="str">
        <f aca="false">IF(A2277="","",IFERROR(buscarx(A2277&amp;E2277,DATA!$E$3:$E$10000&amp;DATA!$B$3:$B$10000,DATA!$M$3:$M$10000),"Inactivo"))</f>
        <v/>
      </c>
      <c r="G2277" s="25" t="str">
        <f aca="false">IF(A2277="","",IF(AND(C2277&lt;&gt;"No encontrado",F2277&lt;&gt;"Inactivo"),C2277&amp;" → "&amp;F2277,"Sin transición"))</f>
        <v/>
      </c>
      <c r="H2277" s="23" t="str">
        <f aca="false">IF(A2277="","",IF(D2277="GCIA LINEA SERVICIO DIGITALIDAD Y VENTAS","Chats",IF(OR(D2277="GERENCIA INBOUND LÍNEAS SERVICIO Y VENTA",D2277="GERENCIA INBOUND LINEAS ESPECIALIZADAS"),"Llamadas","Otro")))</f>
        <v/>
      </c>
      <c r="I2277" s="23" t="str">
        <f aca="false">IF(A2277="","",IF(C2277="No encontrado","No","Sí"))</f>
        <v/>
      </c>
      <c r="J2277" s="23" t="str">
        <f aca="false">IF(A2277="","",IF(F2277="Inactivo","No","Sí"))</f>
        <v/>
      </c>
      <c r="K2277" s="23" t="str">
        <f aca="false">IF(A2277="","",IF(AND(I2277="Sí",J2277="Sí"),"Sí","No"))</f>
        <v/>
      </c>
    </row>
    <row r="2278" customFormat="false" ht="15" hidden="false" customHeight="false" outlineLevel="0" collapsed="false">
      <c r="A2278" s="22"/>
      <c r="B2278" s="22"/>
      <c r="C2278" s="26" t="str">
        <f aca="false">IF(A2278="","",IFERROR(buscarx(A2278&amp;B2278,DATA!$E$3:$E$10000&amp;DATA!$B$3:$B$10000,DATA!$M$3:$M$10000),"No encontrado"))</f>
        <v/>
      </c>
      <c r="D2278" s="27" t="str">
        <f aca="false">IF(A2278="","",IFERROR(buscarx(A2278&amp;B2278,DATA!$E$3:$E$10000&amp;DATA!$B$3:$B$10000,DATA!$W$3:$W$10000),"No encontrado"))</f>
        <v/>
      </c>
      <c r="E2278" s="22"/>
      <c r="F2278" s="26" t="str">
        <f aca="false">IF(A2278="","",IFERROR(buscarx(A2278&amp;E2278,DATA!$E$3:$E$10000&amp;DATA!$B$3:$B$10000,DATA!$M$3:$M$10000),"Inactivo"))</f>
        <v/>
      </c>
      <c r="G2278" s="28" t="str">
        <f aca="false">IF(A2278="","",IF(AND(C2278&lt;&gt;"No encontrado",F2278&lt;&gt;"Inactivo"),C2278&amp;" → "&amp;F2278,"Sin transición"))</f>
        <v/>
      </c>
      <c r="H2278" s="26" t="str">
        <f aca="false">IF(A2278="","",IF(D2278="GCIA LINEA SERVICIO DIGITALIDAD Y VENTAS","Chats",IF(OR(D2278="GERENCIA INBOUND LÍNEAS SERVICIO Y VENTA",D2278="GERENCIA INBOUND LINEAS ESPECIALIZADAS"),"Llamadas","Otro")))</f>
        <v/>
      </c>
      <c r="I2278" s="26" t="str">
        <f aca="false">IF(A2278="","",IF(C2278="No encontrado","No","Sí"))</f>
        <v/>
      </c>
      <c r="J2278" s="26" t="str">
        <f aca="false">IF(A2278="","",IF(F2278="Inactivo","No","Sí"))</f>
        <v/>
      </c>
      <c r="K2278" s="26" t="str">
        <f aca="false">IF(A2278="","",IF(AND(I2278="Sí",J2278="Sí"),"Sí","No"))</f>
        <v/>
      </c>
    </row>
    <row r="2279" customFormat="false" ht="15" hidden="false" customHeight="false" outlineLevel="0" collapsed="false">
      <c r="A2279" s="22"/>
      <c r="B2279" s="22"/>
      <c r="C2279" s="23" t="str">
        <f aca="false">IF(A2279="","",IFERROR(buscarx(A2279&amp;B2279,DATA!$E$3:$E$10000&amp;DATA!$B$3:$B$10000,DATA!$M$3:$M$10000),"No encontrado"))</f>
        <v/>
      </c>
      <c r="D2279" s="24" t="str">
        <f aca="false">IF(A2279="","",IFERROR(buscarx(A2279&amp;B2279,DATA!$E$3:$E$10000&amp;DATA!$B$3:$B$10000,DATA!$W$3:$W$10000),"No encontrado"))</f>
        <v/>
      </c>
      <c r="E2279" s="22"/>
      <c r="F2279" s="23" t="str">
        <f aca="false">IF(A2279="","",IFERROR(buscarx(A2279&amp;E2279,DATA!$E$3:$E$10000&amp;DATA!$B$3:$B$10000,DATA!$M$3:$M$10000),"Inactivo"))</f>
        <v/>
      </c>
      <c r="G2279" s="25" t="str">
        <f aca="false">IF(A2279="","",IF(AND(C2279&lt;&gt;"No encontrado",F2279&lt;&gt;"Inactivo"),C2279&amp;" → "&amp;F2279,"Sin transición"))</f>
        <v/>
      </c>
      <c r="H2279" s="23" t="str">
        <f aca="false">IF(A2279="","",IF(D2279="GCIA LINEA SERVICIO DIGITALIDAD Y VENTAS","Chats",IF(OR(D2279="GERENCIA INBOUND LÍNEAS SERVICIO Y VENTA",D2279="GERENCIA INBOUND LINEAS ESPECIALIZADAS"),"Llamadas","Otro")))</f>
        <v/>
      </c>
      <c r="I2279" s="23" t="str">
        <f aca="false">IF(A2279="","",IF(C2279="No encontrado","No","Sí"))</f>
        <v/>
      </c>
      <c r="J2279" s="23" t="str">
        <f aca="false">IF(A2279="","",IF(F2279="Inactivo","No","Sí"))</f>
        <v/>
      </c>
      <c r="K2279" s="23" t="str">
        <f aca="false">IF(A2279="","",IF(AND(I2279="Sí",J2279="Sí"),"Sí","No"))</f>
        <v/>
      </c>
    </row>
    <row r="2280" customFormat="false" ht="15" hidden="false" customHeight="false" outlineLevel="0" collapsed="false">
      <c r="A2280" s="22"/>
      <c r="B2280" s="22"/>
      <c r="C2280" s="26" t="str">
        <f aca="false">IF(A2280="","",IFERROR(buscarx(A2280&amp;B2280,DATA!$E$3:$E$10000&amp;DATA!$B$3:$B$10000,DATA!$M$3:$M$10000),"No encontrado"))</f>
        <v/>
      </c>
      <c r="D2280" s="27" t="str">
        <f aca="false">IF(A2280="","",IFERROR(buscarx(A2280&amp;B2280,DATA!$E$3:$E$10000&amp;DATA!$B$3:$B$10000,DATA!$W$3:$W$10000),"No encontrado"))</f>
        <v/>
      </c>
      <c r="E2280" s="22"/>
      <c r="F2280" s="26" t="str">
        <f aca="false">IF(A2280="","",IFERROR(buscarx(A2280&amp;E2280,DATA!$E$3:$E$10000&amp;DATA!$B$3:$B$10000,DATA!$M$3:$M$10000),"Inactivo"))</f>
        <v/>
      </c>
      <c r="G2280" s="28" t="str">
        <f aca="false">IF(A2280="","",IF(AND(C2280&lt;&gt;"No encontrado",F2280&lt;&gt;"Inactivo"),C2280&amp;" → "&amp;F2280,"Sin transición"))</f>
        <v/>
      </c>
      <c r="H2280" s="26" t="str">
        <f aca="false">IF(A2280="","",IF(D2280="GCIA LINEA SERVICIO DIGITALIDAD Y VENTAS","Chats",IF(OR(D2280="GERENCIA INBOUND LÍNEAS SERVICIO Y VENTA",D2280="GERENCIA INBOUND LINEAS ESPECIALIZADAS"),"Llamadas","Otro")))</f>
        <v/>
      </c>
      <c r="I2280" s="26" t="str">
        <f aca="false">IF(A2280="","",IF(C2280="No encontrado","No","Sí"))</f>
        <v/>
      </c>
      <c r="J2280" s="26" t="str">
        <f aca="false">IF(A2280="","",IF(F2280="Inactivo","No","Sí"))</f>
        <v/>
      </c>
      <c r="K2280" s="26" t="str">
        <f aca="false">IF(A2280="","",IF(AND(I2280="Sí",J2280="Sí"),"Sí","No"))</f>
        <v/>
      </c>
    </row>
    <row r="2281" customFormat="false" ht="15" hidden="false" customHeight="false" outlineLevel="0" collapsed="false">
      <c r="A2281" s="22"/>
      <c r="B2281" s="22"/>
      <c r="C2281" s="23" t="str">
        <f aca="false">IF(A2281="","",IFERROR(buscarx(A2281&amp;B2281,DATA!$E$3:$E$10000&amp;DATA!$B$3:$B$10000,DATA!$M$3:$M$10000),"No encontrado"))</f>
        <v/>
      </c>
      <c r="D2281" s="24" t="str">
        <f aca="false">IF(A2281="","",IFERROR(buscarx(A2281&amp;B2281,DATA!$E$3:$E$10000&amp;DATA!$B$3:$B$10000,DATA!$W$3:$W$10000),"No encontrado"))</f>
        <v/>
      </c>
      <c r="E2281" s="22"/>
      <c r="F2281" s="23" t="str">
        <f aca="false">IF(A2281="","",IFERROR(buscarx(A2281&amp;E2281,DATA!$E$3:$E$10000&amp;DATA!$B$3:$B$10000,DATA!$M$3:$M$10000),"Inactivo"))</f>
        <v/>
      </c>
      <c r="G2281" s="25" t="str">
        <f aca="false">IF(A2281="","",IF(AND(C2281&lt;&gt;"No encontrado",F2281&lt;&gt;"Inactivo"),C2281&amp;" → "&amp;F2281,"Sin transición"))</f>
        <v/>
      </c>
      <c r="H2281" s="23" t="str">
        <f aca="false">IF(A2281="","",IF(D2281="GCIA LINEA SERVICIO DIGITALIDAD Y VENTAS","Chats",IF(OR(D2281="GERENCIA INBOUND LÍNEAS SERVICIO Y VENTA",D2281="GERENCIA INBOUND LINEAS ESPECIALIZADAS"),"Llamadas","Otro")))</f>
        <v/>
      </c>
      <c r="I2281" s="23" t="str">
        <f aca="false">IF(A2281="","",IF(C2281="No encontrado","No","Sí"))</f>
        <v/>
      </c>
      <c r="J2281" s="23" t="str">
        <f aca="false">IF(A2281="","",IF(F2281="Inactivo","No","Sí"))</f>
        <v/>
      </c>
      <c r="K2281" s="23" t="str">
        <f aca="false">IF(A2281="","",IF(AND(I2281="Sí",J2281="Sí"),"Sí","No"))</f>
        <v/>
      </c>
    </row>
    <row r="2282" customFormat="false" ht="15" hidden="false" customHeight="false" outlineLevel="0" collapsed="false">
      <c r="A2282" s="22"/>
      <c r="B2282" s="22"/>
      <c r="C2282" s="26" t="str">
        <f aca="false">IF(A2282="","",IFERROR(buscarx(A2282&amp;B2282,DATA!$E$3:$E$10000&amp;DATA!$B$3:$B$10000,DATA!$M$3:$M$10000),"No encontrado"))</f>
        <v/>
      </c>
      <c r="D2282" s="27" t="str">
        <f aca="false">IF(A2282="","",IFERROR(buscarx(A2282&amp;B2282,DATA!$E$3:$E$10000&amp;DATA!$B$3:$B$10000,DATA!$W$3:$W$10000),"No encontrado"))</f>
        <v/>
      </c>
      <c r="E2282" s="22"/>
      <c r="F2282" s="26" t="str">
        <f aca="false">IF(A2282="","",IFERROR(buscarx(A2282&amp;E2282,DATA!$E$3:$E$10000&amp;DATA!$B$3:$B$10000,DATA!$M$3:$M$10000),"Inactivo"))</f>
        <v/>
      </c>
      <c r="G2282" s="28" t="str">
        <f aca="false">IF(A2282="","",IF(AND(C2282&lt;&gt;"No encontrado",F2282&lt;&gt;"Inactivo"),C2282&amp;" → "&amp;F2282,"Sin transición"))</f>
        <v/>
      </c>
      <c r="H2282" s="26" t="str">
        <f aca="false">IF(A2282="","",IF(D2282="GCIA LINEA SERVICIO DIGITALIDAD Y VENTAS","Chats",IF(OR(D2282="GERENCIA INBOUND LÍNEAS SERVICIO Y VENTA",D2282="GERENCIA INBOUND LINEAS ESPECIALIZADAS"),"Llamadas","Otro")))</f>
        <v/>
      </c>
      <c r="I2282" s="26" t="str">
        <f aca="false">IF(A2282="","",IF(C2282="No encontrado","No","Sí"))</f>
        <v/>
      </c>
      <c r="J2282" s="26" t="str">
        <f aca="false">IF(A2282="","",IF(F2282="Inactivo","No","Sí"))</f>
        <v/>
      </c>
      <c r="K2282" s="26" t="str">
        <f aca="false">IF(A2282="","",IF(AND(I2282="Sí",J2282="Sí"),"Sí","No"))</f>
        <v/>
      </c>
    </row>
    <row r="2283" customFormat="false" ht="15" hidden="false" customHeight="false" outlineLevel="0" collapsed="false">
      <c r="A2283" s="22"/>
      <c r="B2283" s="22"/>
      <c r="C2283" s="23" t="str">
        <f aca="false">IF(A2283="","",IFERROR(buscarx(A2283&amp;B2283,DATA!$E$3:$E$10000&amp;DATA!$B$3:$B$10000,DATA!$M$3:$M$10000),"No encontrado"))</f>
        <v/>
      </c>
      <c r="D2283" s="24" t="str">
        <f aca="false">IF(A2283="","",IFERROR(buscarx(A2283&amp;B2283,DATA!$E$3:$E$10000&amp;DATA!$B$3:$B$10000,DATA!$W$3:$W$10000),"No encontrado"))</f>
        <v/>
      </c>
      <c r="E2283" s="22"/>
      <c r="F2283" s="23" t="str">
        <f aca="false">IF(A2283="","",IFERROR(buscarx(A2283&amp;E2283,DATA!$E$3:$E$10000&amp;DATA!$B$3:$B$10000,DATA!$M$3:$M$10000),"Inactivo"))</f>
        <v/>
      </c>
      <c r="G2283" s="25" t="str">
        <f aca="false">IF(A2283="","",IF(AND(C2283&lt;&gt;"No encontrado",F2283&lt;&gt;"Inactivo"),C2283&amp;" → "&amp;F2283,"Sin transición"))</f>
        <v/>
      </c>
      <c r="H2283" s="23" t="str">
        <f aca="false">IF(A2283="","",IF(D2283="GCIA LINEA SERVICIO DIGITALIDAD Y VENTAS","Chats",IF(OR(D2283="GERENCIA INBOUND LÍNEAS SERVICIO Y VENTA",D2283="GERENCIA INBOUND LINEAS ESPECIALIZADAS"),"Llamadas","Otro")))</f>
        <v/>
      </c>
      <c r="I2283" s="23" t="str">
        <f aca="false">IF(A2283="","",IF(C2283="No encontrado","No","Sí"))</f>
        <v/>
      </c>
      <c r="J2283" s="23" t="str">
        <f aca="false">IF(A2283="","",IF(F2283="Inactivo","No","Sí"))</f>
        <v/>
      </c>
      <c r="K2283" s="23" t="str">
        <f aca="false">IF(A2283="","",IF(AND(I2283="Sí",J2283="Sí"),"Sí","No"))</f>
        <v/>
      </c>
    </row>
    <row r="2284" customFormat="false" ht="15" hidden="false" customHeight="false" outlineLevel="0" collapsed="false">
      <c r="A2284" s="22"/>
      <c r="B2284" s="22"/>
      <c r="C2284" s="26" t="str">
        <f aca="false">IF(A2284="","",IFERROR(buscarx(A2284&amp;B2284,DATA!$E$3:$E$10000&amp;DATA!$B$3:$B$10000,DATA!$M$3:$M$10000),"No encontrado"))</f>
        <v/>
      </c>
      <c r="D2284" s="27" t="str">
        <f aca="false">IF(A2284="","",IFERROR(buscarx(A2284&amp;B2284,DATA!$E$3:$E$10000&amp;DATA!$B$3:$B$10000,DATA!$W$3:$W$10000),"No encontrado"))</f>
        <v/>
      </c>
      <c r="E2284" s="22"/>
      <c r="F2284" s="26" t="str">
        <f aca="false">IF(A2284="","",IFERROR(buscarx(A2284&amp;E2284,DATA!$E$3:$E$10000&amp;DATA!$B$3:$B$10000,DATA!$M$3:$M$10000),"Inactivo"))</f>
        <v/>
      </c>
      <c r="G2284" s="28" t="str">
        <f aca="false">IF(A2284="","",IF(AND(C2284&lt;&gt;"No encontrado",F2284&lt;&gt;"Inactivo"),C2284&amp;" → "&amp;F2284,"Sin transición"))</f>
        <v/>
      </c>
      <c r="H2284" s="26" t="str">
        <f aca="false">IF(A2284="","",IF(D2284="GCIA LINEA SERVICIO DIGITALIDAD Y VENTAS","Chats",IF(OR(D2284="GERENCIA INBOUND LÍNEAS SERVICIO Y VENTA",D2284="GERENCIA INBOUND LINEAS ESPECIALIZADAS"),"Llamadas","Otro")))</f>
        <v/>
      </c>
      <c r="I2284" s="26" t="str">
        <f aca="false">IF(A2284="","",IF(C2284="No encontrado","No","Sí"))</f>
        <v/>
      </c>
      <c r="J2284" s="26" t="str">
        <f aca="false">IF(A2284="","",IF(F2284="Inactivo","No","Sí"))</f>
        <v/>
      </c>
      <c r="K2284" s="26" t="str">
        <f aca="false">IF(A2284="","",IF(AND(I2284="Sí",J2284="Sí"),"Sí","No"))</f>
        <v/>
      </c>
    </row>
    <row r="2285" customFormat="false" ht="15" hidden="false" customHeight="false" outlineLevel="0" collapsed="false">
      <c r="A2285" s="22"/>
      <c r="B2285" s="22"/>
      <c r="C2285" s="23" t="str">
        <f aca="false">IF(A2285="","",IFERROR(buscarx(A2285&amp;B2285,DATA!$E$3:$E$10000&amp;DATA!$B$3:$B$10000,DATA!$M$3:$M$10000),"No encontrado"))</f>
        <v/>
      </c>
      <c r="D2285" s="24" t="str">
        <f aca="false">IF(A2285="","",IFERROR(buscarx(A2285&amp;B2285,DATA!$E$3:$E$10000&amp;DATA!$B$3:$B$10000,DATA!$W$3:$W$10000),"No encontrado"))</f>
        <v/>
      </c>
      <c r="E2285" s="22"/>
      <c r="F2285" s="23" t="str">
        <f aca="false">IF(A2285="","",IFERROR(buscarx(A2285&amp;E2285,DATA!$E$3:$E$10000&amp;DATA!$B$3:$B$10000,DATA!$M$3:$M$10000),"Inactivo"))</f>
        <v/>
      </c>
      <c r="G2285" s="25" t="str">
        <f aca="false">IF(A2285="","",IF(AND(C2285&lt;&gt;"No encontrado",F2285&lt;&gt;"Inactivo"),C2285&amp;" → "&amp;F2285,"Sin transición"))</f>
        <v/>
      </c>
      <c r="H2285" s="23" t="str">
        <f aca="false">IF(A2285="","",IF(D2285="GCIA LINEA SERVICIO DIGITALIDAD Y VENTAS","Chats",IF(OR(D2285="GERENCIA INBOUND LÍNEAS SERVICIO Y VENTA",D2285="GERENCIA INBOUND LINEAS ESPECIALIZADAS"),"Llamadas","Otro")))</f>
        <v/>
      </c>
      <c r="I2285" s="23" t="str">
        <f aca="false">IF(A2285="","",IF(C2285="No encontrado","No","Sí"))</f>
        <v/>
      </c>
      <c r="J2285" s="23" t="str">
        <f aca="false">IF(A2285="","",IF(F2285="Inactivo","No","Sí"))</f>
        <v/>
      </c>
      <c r="K2285" s="23" t="str">
        <f aca="false">IF(A2285="","",IF(AND(I2285="Sí",J2285="Sí"),"Sí","No"))</f>
        <v/>
      </c>
    </row>
    <row r="2286" customFormat="false" ht="15" hidden="false" customHeight="false" outlineLevel="0" collapsed="false">
      <c r="A2286" s="22"/>
      <c r="B2286" s="22"/>
      <c r="C2286" s="26" t="str">
        <f aca="false">IF(A2286="","",IFERROR(buscarx(A2286&amp;B2286,DATA!$E$3:$E$10000&amp;DATA!$B$3:$B$10000,DATA!$M$3:$M$10000),"No encontrado"))</f>
        <v/>
      </c>
      <c r="D2286" s="27" t="str">
        <f aca="false">IF(A2286="","",IFERROR(buscarx(A2286&amp;B2286,DATA!$E$3:$E$10000&amp;DATA!$B$3:$B$10000,DATA!$W$3:$W$10000),"No encontrado"))</f>
        <v/>
      </c>
      <c r="E2286" s="22"/>
      <c r="F2286" s="26" t="str">
        <f aca="false">IF(A2286="","",IFERROR(buscarx(A2286&amp;E2286,DATA!$E$3:$E$10000&amp;DATA!$B$3:$B$10000,DATA!$M$3:$M$10000),"Inactivo"))</f>
        <v/>
      </c>
      <c r="G2286" s="28" t="str">
        <f aca="false">IF(A2286="","",IF(AND(C2286&lt;&gt;"No encontrado",F2286&lt;&gt;"Inactivo"),C2286&amp;" → "&amp;F2286,"Sin transición"))</f>
        <v/>
      </c>
      <c r="H2286" s="26" t="str">
        <f aca="false">IF(A2286="","",IF(D2286="GCIA LINEA SERVICIO DIGITALIDAD Y VENTAS","Chats",IF(OR(D2286="GERENCIA INBOUND LÍNEAS SERVICIO Y VENTA",D2286="GERENCIA INBOUND LINEAS ESPECIALIZADAS"),"Llamadas","Otro")))</f>
        <v/>
      </c>
      <c r="I2286" s="26" t="str">
        <f aca="false">IF(A2286="","",IF(C2286="No encontrado","No","Sí"))</f>
        <v/>
      </c>
      <c r="J2286" s="26" t="str">
        <f aca="false">IF(A2286="","",IF(F2286="Inactivo","No","Sí"))</f>
        <v/>
      </c>
      <c r="K2286" s="26" t="str">
        <f aca="false">IF(A2286="","",IF(AND(I2286="Sí",J2286="Sí"),"Sí","No"))</f>
        <v/>
      </c>
    </row>
    <row r="2287" customFormat="false" ht="15" hidden="false" customHeight="false" outlineLevel="0" collapsed="false">
      <c r="A2287" s="22"/>
      <c r="B2287" s="22"/>
      <c r="C2287" s="23" t="str">
        <f aca="false">IF(A2287="","",IFERROR(buscarx(A2287&amp;B2287,DATA!$E$3:$E$10000&amp;DATA!$B$3:$B$10000,DATA!$M$3:$M$10000),"No encontrado"))</f>
        <v/>
      </c>
      <c r="D2287" s="24" t="str">
        <f aca="false">IF(A2287="","",IFERROR(buscarx(A2287&amp;B2287,DATA!$E$3:$E$10000&amp;DATA!$B$3:$B$10000,DATA!$W$3:$W$10000),"No encontrado"))</f>
        <v/>
      </c>
      <c r="E2287" s="22"/>
      <c r="F2287" s="23" t="str">
        <f aca="false">IF(A2287="","",IFERROR(buscarx(A2287&amp;E2287,DATA!$E$3:$E$10000&amp;DATA!$B$3:$B$10000,DATA!$M$3:$M$10000),"Inactivo"))</f>
        <v/>
      </c>
      <c r="G2287" s="25" t="str">
        <f aca="false">IF(A2287="","",IF(AND(C2287&lt;&gt;"No encontrado",F2287&lt;&gt;"Inactivo"),C2287&amp;" → "&amp;F2287,"Sin transición"))</f>
        <v/>
      </c>
      <c r="H2287" s="23" t="str">
        <f aca="false">IF(A2287="","",IF(D2287="GCIA LINEA SERVICIO DIGITALIDAD Y VENTAS","Chats",IF(OR(D2287="GERENCIA INBOUND LÍNEAS SERVICIO Y VENTA",D2287="GERENCIA INBOUND LINEAS ESPECIALIZADAS"),"Llamadas","Otro")))</f>
        <v/>
      </c>
      <c r="I2287" s="23" t="str">
        <f aca="false">IF(A2287="","",IF(C2287="No encontrado","No","Sí"))</f>
        <v/>
      </c>
      <c r="J2287" s="23" t="str">
        <f aca="false">IF(A2287="","",IF(F2287="Inactivo","No","Sí"))</f>
        <v/>
      </c>
      <c r="K2287" s="23" t="str">
        <f aca="false">IF(A2287="","",IF(AND(I2287="Sí",J2287="Sí"),"Sí","No"))</f>
        <v/>
      </c>
    </row>
    <row r="2288" customFormat="false" ht="15" hidden="false" customHeight="false" outlineLevel="0" collapsed="false">
      <c r="A2288" s="22"/>
      <c r="B2288" s="22"/>
      <c r="C2288" s="26" t="str">
        <f aca="false">IF(A2288="","",IFERROR(buscarx(A2288&amp;B2288,DATA!$E$3:$E$10000&amp;DATA!$B$3:$B$10000,DATA!$M$3:$M$10000),"No encontrado"))</f>
        <v/>
      </c>
      <c r="D2288" s="27" t="str">
        <f aca="false">IF(A2288="","",IFERROR(buscarx(A2288&amp;B2288,DATA!$E$3:$E$10000&amp;DATA!$B$3:$B$10000,DATA!$W$3:$W$10000),"No encontrado"))</f>
        <v/>
      </c>
      <c r="E2288" s="22"/>
      <c r="F2288" s="26" t="str">
        <f aca="false">IF(A2288="","",IFERROR(buscarx(A2288&amp;E2288,DATA!$E$3:$E$10000&amp;DATA!$B$3:$B$10000,DATA!$M$3:$M$10000),"Inactivo"))</f>
        <v/>
      </c>
      <c r="G2288" s="28" t="str">
        <f aca="false">IF(A2288="","",IF(AND(C2288&lt;&gt;"No encontrado",F2288&lt;&gt;"Inactivo"),C2288&amp;" → "&amp;F2288,"Sin transición"))</f>
        <v/>
      </c>
      <c r="H2288" s="26" t="str">
        <f aca="false">IF(A2288="","",IF(D2288="GCIA LINEA SERVICIO DIGITALIDAD Y VENTAS","Chats",IF(OR(D2288="GERENCIA INBOUND LÍNEAS SERVICIO Y VENTA",D2288="GERENCIA INBOUND LINEAS ESPECIALIZADAS"),"Llamadas","Otro")))</f>
        <v/>
      </c>
      <c r="I2288" s="26" t="str">
        <f aca="false">IF(A2288="","",IF(C2288="No encontrado","No","Sí"))</f>
        <v/>
      </c>
      <c r="J2288" s="26" t="str">
        <f aca="false">IF(A2288="","",IF(F2288="Inactivo","No","Sí"))</f>
        <v/>
      </c>
      <c r="K2288" s="26" t="str">
        <f aca="false">IF(A2288="","",IF(AND(I2288="Sí",J2288="Sí"),"Sí","No"))</f>
        <v/>
      </c>
    </row>
    <row r="2289" customFormat="false" ht="15" hidden="false" customHeight="false" outlineLevel="0" collapsed="false">
      <c r="A2289" s="22"/>
      <c r="B2289" s="22"/>
      <c r="C2289" s="23" t="str">
        <f aca="false">IF(A2289="","",IFERROR(buscarx(A2289&amp;B2289,DATA!$E$3:$E$10000&amp;DATA!$B$3:$B$10000,DATA!$M$3:$M$10000),"No encontrado"))</f>
        <v/>
      </c>
      <c r="D2289" s="24" t="str">
        <f aca="false">IF(A2289="","",IFERROR(buscarx(A2289&amp;B2289,DATA!$E$3:$E$10000&amp;DATA!$B$3:$B$10000,DATA!$W$3:$W$10000),"No encontrado"))</f>
        <v/>
      </c>
      <c r="E2289" s="22"/>
      <c r="F2289" s="23" t="str">
        <f aca="false">IF(A2289="","",IFERROR(buscarx(A2289&amp;E2289,DATA!$E$3:$E$10000&amp;DATA!$B$3:$B$10000,DATA!$M$3:$M$10000),"Inactivo"))</f>
        <v/>
      </c>
      <c r="G2289" s="25" t="str">
        <f aca="false">IF(A2289="","",IF(AND(C2289&lt;&gt;"No encontrado",F2289&lt;&gt;"Inactivo"),C2289&amp;" → "&amp;F2289,"Sin transición"))</f>
        <v/>
      </c>
      <c r="H2289" s="23" t="str">
        <f aca="false">IF(A2289="","",IF(D2289="GCIA LINEA SERVICIO DIGITALIDAD Y VENTAS","Chats",IF(OR(D2289="GERENCIA INBOUND LÍNEAS SERVICIO Y VENTA",D2289="GERENCIA INBOUND LINEAS ESPECIALIZADAS"),"Llamadas","Otro")))</f>
        <v/>
      </c>
      <c r="I2289" s="23" t="str">
        <f aca="false">IF(A2289="","",IF(C2289="No encontrado","No","Sí"))</f>
        <v/>
      </c>
      <c r="J2289" s="23" t="str">
        <f aca="false">IF(A2289="","",IF(F2289="Inactivo","No","Sí"))</f>
        <v/>
      </c>
      <c r="K2289" s="23" t="str">
        <f aca="false">IF(A2289="","",IF(AND(I2289="Sí",J2289="Sí"),"Sí","No"))</f>
        <v/>
      </c>
    </row>
    <row r="2290" customFormat="false" ht="15" hidden="false" customHeight="false" outlineLevel="0" collapsed="false">
      <c r="A2290" s="22"/>
      <c r="B2290" s="22"/>
      <c r="C2290" s="26" t="str">
        <f aca="false">IF(A2290="","",IFERROR(buscarx(A2290&amp;B2290,DATA!$E$3:$E$10000&amp;DATA!$B$3:$B$10000,DATA!$M$3:$M$10000),"No encontrado"))</f>
        <v/>
      </c>
      <c r="D2290" s="27" t="str">
        <f aca="false">IF(A2290="","",IFERROR(buscarx(A2290&amp;B2290,DATA!$E$3:$E$10000&amp;DATA!$B$3:$B$10000,DATA!$W$3:$W$10000),"No encontrado"))</f>
        <v/>
      </c>
      <c r="E2290" s="22"/>
      <c r="F2290" s="26" t="str">
        <f aca="false">IF(A2290="","",IFERROR(buscarx(A2290&amp;E2290,DATA!$E$3:$E$10000&amp;DATA!$B$3:$B$10000,DATA!$M$3:$M$10000),"Inactivo"))</f>
        <v/>
      </c>
      <c r="G2290" s="28" t="str">
        <f aca="false">IF(A2290="","",IF(AND(C2290&lt;&gt;"No encontrado",F2290&lt;&gt;"Inactivo"),C2290&amp;" → "&amp;F2290,"Sin transición"))</f>
        <v/>
      </c>
      <c r="H2290" s="26" t="str">
        <f aca="false">IF(A2290="","",IF(D2290="GCIA LINEA SERVICIO DIGITALIDAD Y VENTAS","Chats",IF(OR(D2290="GERENCIA INBOUND LÍNEAS SERVICIO Y VENTA",D2290="GERENCIA INBOUND LINEAS ESPECIALIZADAS"),"Llamadas","Otro")))</f>
        <v/>
      </c>
      <c r="I2290" s="26" t="str">
        <f aca="false">IF(A2290="","",IF(C2290="No encontrado","No","Sí"))</f>
        <v/>
      </c>
      <c r="J2290" s="26" t="str">
        <f aca="false">IF(A2290="","",IF(F2290="Inactivo","No","Sí"))</f>
        <v/>
      </c>
      <c r="K2290" s="26" t="str">
        <f aca="false">IF(A2290="","",IF(AND(I2290="Sí",J2290="Sí"),"Sí","No"))</f>
        <v/>
      </c>
    </row>
    <row r="2291" customFormat="false" ht="15" hidden="false" customHeight="false" outlineLevel="0" collapsed="false">
      <c r="A2291" s="22"/>
      <c r="B2291" s="22"/>
      <c r="C2291" s="23" t="str">
        <f aca="false">IF(A2291="","",IFERROR(buscarx(A2291&amp;B2291,DATA!$E$3:$E$10000&amp;DATA!$B$3:$B$10000,DATA!$M$3:$M$10000),"No encontrado"))</f>
        <v/>
      </c>
      <c r="D2291" s="24" t="str">
        <f aca="false">IF(A2291="","",IFERROR(buscarx(A2291&amp;B2291,DATA!$E$3:$E$10000&amp;DATA!$B$3:$B$10000,DATA!$W$3:$W$10000),"No encontrado"))</f>
        <v/>
      </c>
      <c r="E2291" s="22"/>
      <c r="F2291" s="23" t="str">
        <f aca="false">IF(A2291="","",IFERROR(buscarx(A2291&amp;E2291,DATA!$E$3:$E$10000&amp;DATA!$B$3:$B$10000,DATA!$M$3:$M$10000),"Inactivo"))</f>
        <v/>
      </c>
      <c r="G2291" s="25" t="str">
        <f aca="false">IF(A2291="","",IF(AND(C2291&lt;&gt;"No encontrado",F2291&lt;&gt;"Inactivo"),C2291&amp;" → "&amp;F2291,"Sin transición"))</f>
        <v/>
      </c>
      <c r="H2291" s="23" t="str">
        <f aca="false">IF(A2291="","",IF(D2291="GCIA LINEA SERVICIO DIGITALIDAD Y VENTAS","Chats",IF(OR(D2291="GERENCIA INBOUND LÍNEAS SERVICIO Y VENTA",D2291="GERENCIA INBOUND LINEAS ESPECIALIZADAS"),"Llamadas","Otro")))</f>
        <v/>
      </c>
      <c r="I2291" s="23" t="str">
        <f aca="false">IF(A2291="","",IF(C2291="No encontrado","No","Sí"))</f>
        <v/>
      </c>
      <c r="J2291" s="23" t="str">
        <f aca="false">IF(A2291="","",IF(F2291="Inactivo","No","Sí"))</f>
        <v/>
      </c>
      <c r="K2291" s="23" t="str">
        <f aca="false">IF(A2291="","",IF(AND(I2291="Sí",J2291="Sí"),"Sí","No"))</f>
        <v/>
      </c>
    </row>
    <row r="2292" customFormat="false" ht="15" hidden="false" customHeight="false" outlineLevel="0" collapsed="false">
      <c r="A2292" s="22"/>
      <c r="B2292" s="22"/>
      <c r="C2292" s="26" t="str">
        <f aca="false">IF(A2292="","",IFERROR(buscarx(A2292&amp;B2292,DATA!$E$3:$E$10000&amp;DATA!$B$3:$B$10000,DATA!$M$3:$M$10000),"No encontrado"))</f>
        <v/>
      </c>
      <c r="D2292" s="27" t="str">
        <f aca="false">IF(A2292="","",IFERROR(buscarx(A2292&amp;B2292,DATA!$E$3:$E$10000&amp;DATA!$B$3:$B$10000,DATA!$W$3:$W$10000),"No encontrado"))</f>
        <v/>
      </c>
      <c r="E2292" s="22"/>
      <c r="F2292" s="26" t="str">
        <f aca="false">IF(A2292="","",IFERROR(buscarx(A2292&amp;E2292,DATA!$E$3:$E$10000&amp;DATA!$B$3:$B$10000,DATA!$M$3:$M$10000),"Inactivo"))</f>
        <v/>
      </c>
      <c r="G2292" s="28" t="str">
        <f aca="false">IF(A2292="","",IF(AND(C2292&lt;&gt;"No encontrado",F2292&lt;&gt;"Inactivo"),C2292&amp;" → "&amp;F2292,"Sin transición"))</f>
        <v/>
      </c>
      <c r="H2292" s="26" t="str">
        <f aca="false">IF(A2292="","",IF(D2292="GCIA LINEA SERVICIO DIGITALIDAD Y VENTAS","Chats",IF(OR(D2292="GERENCIA INBOUND LÍNEAS SERVICIO Y VENTA",D2292="GERENCIA INBOUND LINEAS ESPECIALIZADAS"),"Llamadas","Otro")))</f>
        <v/>
      </c>
      <c r="I2292" s="26" t="str">
        <f aca="false">IF(A2292="","",IF(C2292="No encontrado","No","Sí"))</f>
        <v/>
      </c>
      <c r="J2292" s="26" t="str">
        <f aca="false">IF(A2292="","",IF(F2292="Inactivo","No","Sí"))</f>
        <v/>
      </c>
      <c r="K2292" s="26" t="str">
        <f aca="false">IF(A2292="","",IF(AND(I2292="Sí",J2292="Sí"),"Sí","No"))</f>
        <v/>
      </c>
    </row>
    <row r="2293" customFormat="false" ht="15" hidden="false" customHeight="false" outlineLevel="0" collapsed="false">
      <c r="A2293" s="22"/>
      <c r="B2293" s="22"/>
      <c r="C2293" s="23" t="str">
        <f aca="false">IF(A2293="","",IFERROR(buscarx(A2293&amp;B2293,DATA!$E$3:$E$10000&amp;DATA!$B$3:$B$10000,DATA!$M$3:$M$10000),"No encontrado"))</f>
        <v/>
      </c>
      <c r="D2293" s="24" t="str">
        <f aca="false">IF(A2293="","",IFERROR(buscarx(A2293&amp;B2293,DATA!$E$3:$E$10000&amp;DATA!$B$3:$B$10000,DATA!$W$3:$W$10000),"No encontrado"))</f>
        <v/>
      </c>
      <c r="E2293" s="22"/>
      <c r="F2293" s="23" t="str">
        <f aca="false">IF(A2293="","",IFERROR(buscarx(A2293&amp;E2293,DATA!$E$3:$E$10000&amp;DATA!$B$3:$B$10000,DATA!$M$3:$M$10000),"Inactivo"))</f>
        <v/>
      </c>
      <c r="G2293" s="25" t="str">
        <f aca="false">IF(A2293="","",IF(AND(C2293&lt;&gt;"No encontrado",F2293&lt;&gt;"Inactivo"),C2293&amp;" → "&amp;F2293,"Sin transición"))</f>
        <v/>
      </c>
      <c r="H2293" s="23" t="str">
        <f aca="false">IF(A2293="","",IF(D2293="GCIA LINEA SERVICIO DIGITALIDAD Y VENTAS","Chats",IF(OR(D2293="GERENCIA INBOUND LÍNEAS SERVICIO Y VENTA",D2293="GERENCIA INBOUND LINEAS ESPECIALIZADAS"),"Llamadas","Otro")))</f>
        <v/>
      </c>
      <c r="I2293" s="23" t="str">
        <f aca="false">IF(A2293="","",IF(C2293="No encontrado","No","Sí"))</f>
        <v/>
      </c>
      <c r="J2293" s="23" t="str">
        <f aca="false">IF(A2293="","",IF(F2293="Inactivo","No","Sí"))</f>
        <v/>
      </c>
      <c r="K2293" s="23" t="str">
        <f aca="false">IF(A2293="","",IF(AND(I2293="Sí",J2293="Sí"),"Sí","No"))</f>
        <v/>
      </c>
    </row>
    <row r="2294" customFormat="false" ht="15" hidden="false" customHeight="false" outlineLevel="0" collapsed="false">
      <c r="A2294" s="22"/>
      <c r="B2294" s="22"/>
      <c r="C2294" s="26" t="str">
        <f aca="false">IF(A2294="","",IFERROR(buscarx(A2294&amp;B2294,DATA!$E$3:$E$10000&amp;DATA!$B$3:$B$10000,DATA!$M$3:$M$10000),"No encontrado"))</f>
        <v/>
      </c>
      <c r="D2294" s="27" t="str">
        <f aca="false">IF(A2294="","",IFERROR(buscarx(A2294&amp;B2294,DATA!$E$3:$E$10000&amp;DATA!$B$3:$B$10000,DATA!$W$3:$W$10000),"No encontrado"))</f>
        <v/>
      </c>
      <c r="E2294" s="22"/>
      <c r="F2294" s="26" t="str">
        <f aca="false">IF(A2294="","",IFERROR(buscarx(A2294&amp;E2294,DATA!$E$3:$E$10000&amp;DATA!$B$3:$B$10000,DATA!$M$3:$M$10000),"Inactivo"))</f>
        <v/>
      </c>
      <c r="G2294" s="28" t="str">
        <f aca="false">IF(A2294="","",IF(AND(C2294&lt;&gt;"No encontrado",F2294&lt;&gt;"Inactivo"),C2294&amp;" → "&amp;F2294,"Sin transición"))</f>
        <v/>
      </c>
      <c r="H2294" s="26" t="str">
        <f aca="false">IF(A2294="","",IF(D2294="GCIA LINEA SERVICIO DIGITALIDAD Y VENTAS","Chats",IF(OR(D2294="GERENCIA INBOUND LÍNEAS SERVICIO Y VENTA",D2294="GERENCIA INBOUND LINEAS ESPECIALIZADAS"),"Llamadas","Otro")))</f>
        <v/>
      </c>
      <c r="I2294" s="26" t="str">
        <f aca="false">IF(A2294="","",IF(C2294="No encontrado","No","Sí"))</f>
        <v/>
      </c>
      <c r="J2294" s="26" t="str">
        <f aca="false">IF(A2294="","",IF(F2294="Inactivo","No","Sí"))</f>
        <v/>
      </c>
      <c r="K2294" s="26" t="str">
        <f aca="false">IF(A2294="","",IF(AND(I2294="Sí",J2294="Sí"),"Sí","No"))</f>
        <v/>
      </c>
    </row>
    <row r="2295" customFormat="false" ht="15" hidden="false" customHeight="false" outlineLevel="0" collapsed="false">
      <c r="A2295" s="22"/>
      <c r="B2295" s="22"/>
      <c r="C2295" s="23" t="str">
        <f aca="false">IF(A2295="","",IFERROR(buscarx(A2295&amp;B2295,DATA!$E$3:$E$10000&amp;DATA!$B$3:$B$10000,DATA!$M$3:$M$10000),"No encontrado"))</f>
        <v/>
      </c>
      <c r="D2295" s="24" t="str">
        <f aca="false">IF(A2295="","",IFERROR(buscarx(A2295&amp;B2295,DATA!$E$3:$E$10000&amp;DATA!$B$3:$B$10000,DATA!$W$3:$W$10000),"No encontrado"))</f>
        <v/>
      </c>
      <c r="E2295" s="22"/>
      <c r="F2295" s="23" t="str">
        <f aca="false">IF(A2295="","",IFERROR(buscarx(A2295&amp;E2295,DATA!$E$3:$E$10000&amp;DATA!$B$3:$B$10000,DATA!$M$3:$M$10000),"Inactivo"))</f>
        <v/>
      </c>
      <c r="G2295" s="25" t="str">
        <f aca="false">IF(A2295="","",IF(AND(C2295&lt;&gt;"No encontrado",F2295&lt;&gt;"Inactivo"),C2295&amp;" → "&amp;F2295,"Sin transición"))</f>
        <v/>
      </c>
      <c r="H2295" s="23" t="str">
        <f aca="false">IF(A2295="","",IF(D2295="GCIA LINEA SERVICIO DIGITALIDAD Y VENTAS","Chats",IF(OR(D2295="GERENCIA INBOUND LÍNEAS SERVICIO Y VENTA",D2295="GERENCIA INBOUND LINEAS ESPECIALIZADAS"),"Llamadas","Otro")))</f>
        <v/>
      </c>
      <c r="I2295" s="23" t="str">
        <f aca="false">IF(A2295="","",IF(C2295="No encontrado","No","Sí"))</f>
        <v/>
      </c>
      <c r="J2295" s="23" t="str">
        <f aca="false">IF(A2295="","",IF(F2295="Inactivo","No","Sí"))</f>
        <v/>
      </c>
      <c r="K2295" s="23" t="str">
        <f aca="false">IF(A2295="","",IF(AND(I2295="Sí",J2295="Sí"),"Sí","No"))</f>
        <v/>
      </c>
    </row>
    <row r="2296" customFormat="false" ht="15" hidden="false" customHeight="false" outlineLevel="0" collapsed="false">
      <c r="A2296" s="22"/>
      <c r="B2296" s="22"/>
      <c r="C2296" s="26" t="str">
        <f aca="false">IF(A2296="","",IFERROR(buscarx(A2296&amp;B2296,DATA!$E$3:$E$10000&amp;DATA!$B$3:$B$10000,DATA!$M$3:$M$10000),"No encontrado"))</f>
        <v/>
      </c>
      <c r="D2296" s="27" t="str">
        <f aca="false">IF(A2296="","",IFERROR(buscarx(A2296&amp;B2296,DATA!$E$3:$E$10000&amp;DATA!$B$3:$B$10000,DATA!$W$3:$W$10000),"No encontrado"))</f>
        <v/>
      </c>
      <c r="E2296" s="22"/>
      <c r="F2296" s="26" t="str">
        <f aca="false">IF(A2296="","",IFERROR(buscarx(A2296&amp;E2296,DATA!$E$3:$E$10000&amp;DATA!$B$3:$B$10000,DATA!$M$3:$M$10000),"Inactivo"))</f>
        <v/>
      </c>
      <c r="G2296" s="28" t="str">
        <f aca="false">IF(A2296="","",IF(AND(C2296&lt;&gt;"No encontrado",F2296&lt;&gt;"Inactivo"),C2296&amp;" → "&amp;F2296,"Sin transición"))</f>
        <v/>
      </c>
      <c r="H2296" s="26" t="str">
        <f aca="false">IF(A2296="","",IF(D2296="GCIA LINEA SERVICIO DIGITALIDAD Y VENTAS","Chats",IF(OR(D2296="GERENCIA INBOUND LÍNEAS SERVICIO Y VENTA",D2296="GERENCIA INBOUND LINEAS ESPECIALIZADAS"),"Llamadas","Otro")))</f>
        <v/>
      </c>
      <c r="I2296" s="26" t="str">
        <f aca="false">IF(A2296="","",IF(C2296="No encontrado","No","Sí"))</f>
        <v/>
      </c>
      <c r="J2296" s="26" t="str">
        <f aca="false">IF(A2296="","",IF(F2296="Inactivo","No","Sí"))</f>
        <v/>
      </c>
      <c r="K2296" s="26" t="str">
        <f aca="false">IF(A2296="","",IF(AND(I2296="Sí",J2296="Sí"),"Sí","No"))</f>
        <v/>
      </c>
    </row>
    <row r="2297" customFormat="false" ht="15" hidden="false" customHeight="false" outlineLevel="0" collapsed="false">
      <c r="A2297" s="22"/>
      <c r="B2297" s="22"/>
      <c r="C2297" s="23" t="str">
        <f aca="false">IF(A2297="","",IFERROR(buscarx(A2297&amp;B2297,DATA!$E$3:$E$10000&amp;DATA!$B$3:$B$10000,DATA!$M$3:$M$10000),"No encontrado"))</f>
        <v/>
      </c>
      <c r="D2297" s="24" t="str">
        <f aca="false">IF(A2297="","",IFERROR(buscarx(A2297&amp;B2297,DATA!$E$3:$E$10000&amp;DATA!$B$3:$B$10000,DATA!$W$3:$W$10000),"No encontrado"))</f>
        <v/>
      </c>
      <c r="E2297" s="22"/>
      <c r="F2297" s="23" t="str">
        <f aca="false">IF(A2297="","",IFERROR(buscarx(A2297&amp;E2297,DATA!$E$3:$E$10000&amp;DATA!$B$3:$B$10000,DATA!$M$3:$M$10000),"Inactivo"))</f>
        <v/>
      </c>
      <c r="G2297" s="25" t="str">
        <f aca="false">IF(A2297="","",IF(AND(C2297&lt;&gt;"No encontrado",F2297&lt;&gt;"Inactivo"),C2297&amp;" → "&amp;F2297,"Sin transición"))</f>
        <v/>
      </c>
      <c r="H2297" s="23" t="str">
        <f aca="false">IF(A2297="","",IF(D2297="GCIA LINEA SERVICIO DIGITALIDAD Y VENTAS","Chats",IF(OR(D2297="GERENCIA INBOUND LÍNEAS SERVICIO Y VENTA",D2297="GERENCIA INBOUND LINEAS ESPECIALIZADAS"),"Llamadas","Otro")))</f>
        <v/>
      </c>
      <c r="I2297" s="23" t="str">
        <f aca="false">IF(A2297="","",IF(C2297="No encontrado","No","Sí"))</f>
        <v/>
      </c>
      <c r="J2297" s="23" t="str">
        <f aca="false">IF(A2297="","",IF(F2297="Inactivo","No","Sí"))</f>
        <v/>
      </c>
      <c r="K2297" s="23" t="str">
        <f aca="false">IF(A2297="","",IF(AND(I2297="Sí",J2297="Sí"),"Sí","No"))</f>
        <v/>
      </c>
    </row>
    <row r="2298" customFormat="false" ht="15" hidden="false" customHeight="false" outlineLevel="0" collapsed="false">
      <c r="A2298" s="22"/>
      <c r="B2298" s="22"/>
      <c r="C2298" s="26" t="str">
        <f aca="false">IF(A2298="","",IFERROR(buscarx(A2298&amp;B2298,DATA!$E$3:$E$10000&amp;DATA!$B$3:$B$10000,DATA!$M$3:$M$10000),"No encontrado"))</f>
        <v/>
      </c>
      <c r="D2298" s="27" t="str">
        <f aca="false">IF(A2298="","",IFERROR(buscarx(A2298&amp;B2298,DATA!$E$3:$E$10000&amp;DATA!$B$3:$B$10000,DATA!$W$3:$W$10000),"No encontrado"))</f>
        <v/>
      </c>
      <c r="E2298" s="22"/>
      <c r="F2298" s="26" t="str">
        <f aca="false">IF(A2298="","",IFERROR(buscarx(A2298&amp;E2298,DATA!$E$3:$E$10000&amp;DATA!$B$3:$B$10000,DATA!$M$3:$M$10000),"Inactivo"))</f>
        <v/>
      </c>
      <c r="G2298" s="28" t="str">
        <f aca="false">IF(A2298="","",IF(AND(C2298&lt;&gt;"No encontrado",F2298&lt;&gt;"Inactivo"),C2298&amp;" → "&amp;F2298,"Sin transición"))</f>
        <v/>
      </c>
      <c r="H2298" s="26" t="str">
        <f aca="false">IF(A2298="","",IF(D2298="GCIA LINEA SERVICIO DIGITALIDAD Y VENTAS","Chats",IF(OR(D2298="GERENCIA INBOUND LÍNEAS SERVICIO Y VENTA",D2298="GERENCIA INBOUND LINEAS ESPECIALIZADAS"),"Llamadas","Otro")))</f>
        <v/>
      </c>
      <c r="I2298" s="26" t="str">
        <f aca="false">IF(A2298="","",IF(C2298="No encontrado","No","Sí"))</f>
        <v/>
      </c>
      <c r="J2298" s="26" t="str">
        <f aca="false">IF(A2298="","",IF(F2298="Inactivo","No","Sí"))</f>
        <v/>
      </c>
      <c r="K2298" s="26" t="str">
        <f aca="false">IF(A2298="","",IF(AND(I2298="Sí",J2298="Sí"),"Sí","No"))</f>
        <v/>
      </c>
    </row>
    <row r="2299" customFormat="false" ht="15" hidden="false" customHeight="false" outlineLevel="0" collapsed="false">
      <c r="A2299" s="22"/>
      <c r="B2299" s="22"/>
      <c r="C2299" s="23" t="str">
        <f aca="false">IF(A2299="","",IFERROR(buscarx(A2299&amp;B2299,DATA!$E$3:$E$10000&amp;DATA!$B$3:$B$10000,DATA!$M$3:$M$10000),"No encontrado"))</f>
        <v/>
      </c>
      <c r="D2299" s="24" t="str">
        <f aca="false">IF(A2299="","",IFERROR(buscarx(A2299&amp;B2299,DATA!$E$3:$E$10000&amp;DATA!$B$3:$B$10000,DATA!$W$3:$W$10000),"No encontrado"))</f>
        <v/>
      </c>
      <c r="E2299" s="22"/>
      <c r="F2299" s="23" t="str">
        <f aca="false">IF(A2299="","",IFERROR(buscarx(A2299&amp;E2299,DATA!$E$3:$E$10000&amp;DATA!$B$3:$B$10000,DATA!$M$3:$M$10000),"Inactivo"))</f>
        <v/>
      </c>
      <c r="G2299" s="25" t="str">
        <f aca="false">IF(A2299="","",IF(AND(C2299&lt;&gt;"No encontrado",F2299&lt;&gt;"Inactivo"),C2299&amp;" → "&amp;F2299,"Sin transición"))</f>
        <v/>
      </c>
      <c r="H2299" s="23" t="str">
        <f aca="false">IF(A2299="","",IF(D2299="GCIA LINEA SERVICIO DIGITALIDAD Y VENTAS","Chats",IF(OR(D2299="GERENCIA INBOUND LÍNEAS SERVICIO Y VENTA",D2299="GERENCIA INBOUND LINEAS ESPECIALIZADAS"),"Llamadas","Otro")))</f>
        <v/>
      </c>
      <c r="I2299" s="23" t="str">
        <f aca="false">IF(A2299="","",IF(C2299="No encontrado","No","Sí"))</f>
        <v/>
      </c>
      <c r="J2299" s="23" t="str">
        <f aca="false">IF(A2299="","",IF(F2299="Inactivo","No","Sí"))</f>
        <v/>
      </c>
      <c r="K2299" s="23" t="str">
        <f aca="false">IF(A2299="","",IF(AND(I2299="Sí",J2299="Sí"),"Sí","No"))</f>
        <v/>
      </c>
    </row>
    <row r="2300" customFormat="false" ht="15" hidden="false" customHeight="false" outlineLevel="0" collapsed="false">
      <c r="A2300" s="22"/>
      <c r="B2300" s="22"/>
      <c r="C2300" s="26" t="str">
        <f aca="false">IF(A2300="","",IFERROR(buscarx(A2300&amp;B2300,DATA!$E$3:$E$10000&amp;DATA!$B$3:$B$10000,DATA!$M$3:$M$10000),"No encontrado"))</f>
        <v/>
      </c>
      <c r="D2300" s="27" t="str">
        <f aca="false">IF(A2300="","",IFERROR(buscarx(A2300&amp;B2300,DATA!$E$3:$E$10000&amp;DATA!$B$3:$B$10000,DATA!$W$3:$W$10000),"No encontrado"))</f>
        <v/>
      </c>
      <c r="E2300" s="22"/>
      <c r="F2300" s="26" t="str">
        <f aca="false">IF(A2300="","",IFERROR(buscarx(A2300&amp;E2300,DATA!$E$3:$E$10000&amp;DATA!$B$3:$B$10000,DATA!$M$3:$M$10000),"Inactivo"))</f>
        <v/>
      </c>
      <c r="G2300" s="28" t="str">
        <f aca="false">IF(A2300="","",IF(AND(C2300&lt;&gt;"No encontrado",F2300&lt;&gt;"Inactivo"),C2300&amp;" → "&amp;F2300,"Sin transición"))</f>
        <v/>
      </c>
      <c r="H2300" s="26" t="str">
        <f aca="false">IF(A2300="","",IF(D2300="GCIA LINEA SERVICIO DIGITALIDAD Y VENTAS","Chats",IF(OR(D2300="GERENCIA INBOUND LÍNEAS SERVICIO Y VENTA",D2300="GERENCIA INBOUND LINEAS ESPECIALIZADAS"),"Llamadas","Otro")))</f>
        <v/>
      </c>
      <c r="I2300" s="26" t="str">
        <f aca="false">IF(A2300="","",IF(C2300="No encontrado","No","Sí"))</f>
        <v/>
      </c>
      <c r="J2300" s="26" t="str">
        <f aca="false">IF(A2300="","",IF(F2300="Inactivo","No","Sí"))</f>
        <v/>
      </c>
      <c r="K2300" s="26" t="str">
        <f aca="false">IF(A2300="","",IF(AND(I2300="Sí",J2300="Sí"),"Sí","No"))</f>
        <v/>
      </c>
    </row>
    <row r="2301" customFormat="false" ht="15" hidden="false" customHeight="false" outlineLevel="0" collapsed="false">
      <c r="A2301" s="22"/>
      <c r="B2301" s="22"/>
      <c r="C2301" s="23" t="str">
        <f aca="false">IF(A2301="","",IFERROR(buscarx(A2301&amp;B2301,DATA!$E$3:$E$10000&amp;DATA!$B$3:$B$10000,DATA!$M$3:$M$10000),"No encontrado"))</f>
        <v/>
      </c>
      <c r="D2301" s="24" t="str">
        <f aca="false">IF(A2301="","",IFERROR(buscarx(A2301&amp;B2301,DATA!$E$3:$E$10000&amp;DATA!$B$3:$B$10000,DATA!$W$3:$W$10000),"No encontrado"))</f>
        <v/>
      </c>
      <c r="E2301" s="22"/>
      <c r="F2301" s="23" t="str">
        <f aca="false">IF(A2301="","",IFERROR(buscarx(A2301&amp;E2301,DATA!$E$3:$E$10000&amp;DATA!$B$3:$B$10000,DATA!$M$3:$M$10000),"Inactivo"))</f>
        <v/>
      </c>
      <c r="G2301" s="25" t="str">
        <f aca="false">IF(A2301="","",IF(AND(C2301&lt;&gt;"No encontrado",F2301&lt;&gt;"Inactivo"),C2301&amp;" → "&amp;F2301,"Sin transición"))</f>
        <v/>
      </c>
      <c r="H2301" s="23" t="str">
        <f aca="false">IF(A2301="","",IF(D2301="GCIA LINEA SERVICIO DIGITALIDAD Y VENTAS","Chats",IF(OR(D2301="GERENCIA INBOUND LÍNEAS SERVICIO Y VENTA",D2301="GERENCIA INBOUND LINEAS ESPECIALIZADAS"),"Llamadas","Otro")))</f>
        <v/>
      </c>
      <c r="I2301" s="23" t="str">
        <f aca="false">IF(A2301="","",IF(C2301="No encontrado","No","Sí"))</f>
        <v/>
      </c>
      <c r="J2301" s="23" t="str">
        <f aca="false">IF(A2301="","",IF(F2301="Inactivo","No","Sí"))</f>
        <v/>
      </c>
      <c r="K2301" s="23" t="str">
        <f aca="false">IF(A2301="","",IF(AND(I2301="Sí",J2301="Sí"),"Sí","No"))</f>
        <v/>
      </c>
    </row>
    <row r="2302" customFormat="false" ht="15" hidden="false" customHeight="false" outlineLevel="0" collapsed="false">
      <c r="A2302" s="22"/>
      <c r="B2302" s="22"/>
      <c r="C2302" s="26" t="str">
        <f aca="false">IF(A2302="","",IFERROR(buscarx(A2302&amp;B2302,DATA!$E$3:$E$10000&amp;DATA!$B$3:$B$10000,DATA!$M$3:$M$10000),"No encontrado"))</f>
        <v/>
      </c>
      <c r="D2302" s="27" t="str">
        <f aca="false">IF(A2302="","",IFERROR(buscarx(A2302&amp;B2302,DATA!$E$3:$E$10000&amp;DATA!$B$3:$B$10000,DATA!$W$3:$W$10000),"No encontrado"))</f>
        <v/>
      </c>
      <c r="E2302" s="22"/>
      <c r="F2302" s="26" t="str">
        <f aca="false">IF(A2302="","",IFERROR(buscarx(A2302&amp;E2302,DATA!$E$3:$E$10000&amp;DATA!$B$3:$B$10000,DATA!$M$3:$M$10000),"Inactivo"))</f>
        <v/>
      </c>
      <c r="G2302" s="28" t="str">
        <f aca="false">IF(A2302="","",IF(AND(C2302&lt;&gt;"No encontrado",F2302&lt;&gt;"Inactivo"),C2302&amp;" → "&amp;F2302,"Sin transición"))</f>
        <v/>
      </c>
      <c r="H2302" s="26" t="str">
        <f aca="false">IF(A2302="","",IF(D2302="GCIA LINEA SERVICIO DIGITALIDAD Y VENTAS","Chats",IF(OR(D2302="GERENCIA INBOUND LÍNEAS SERVICIO Y VENTA",D2302="GERENCIA INBOUND LINEAS ESPECIALIZADAS"),"Llamadas","Otro")))</f>
        <v/>
      </c>
      <c r="I2302" s="26" t="str">
        <f aca="false">IF(A2302="","",IF(C2302="No encontrado","No","Sí"))</f>
        <v/>
      </c>
      <c r="J2302" s="26" t="str">
        <f aca="false">IF(A2302="","",IF(F2302="Inactivo","No","Sí"))</f>
        <v/>
      </c>
      <c r="K2302" s="26" t="str">
        <f aca="false">IF(A2302="","",IF(AND(I2302="Sí",J2302="Sí"),"Sí","No"))</f>
        <v/>
      </c>
    </row>
    <row r="2303" customFormat="false" ht="15" hidden="false" customHeight="false" outlineLevel="0" collapsed="false">
      <c r="A2303" s="22"/>
      <c r="B2303" s="22"/>
      <c r="C2303" s="23" t="str">
        <f aca="false">IF(A2303="","",IFERROR(buscarx(A2303&amp;B2303,DATA!$E$3:$E$10000&amp;DATA!$B$3:$B$10000,DATA!$M$3:$M$10000),"No encontrado"))</f>
        <v/>
      </c>
      <c r="D2303" s="24" t="str">
        <f aca="false">IF(A2303="","",IFERROR(buscarx(A2303&amp;B2303,DATA!$E$3:$E$10000&amp;DATA!$B$3:$B$10000,DATA!$W$3:$W$10000),"No encontrado"))</f>
        <v/>
      </c>
      <c r="E2303" s="22"/>
      <c r="F2303" s="23" t="str">
        <f aca="false">IF(A2303="","",IFERROR(buscarx(A2303&amp;E2303,DATA!$E$3:$E$10000&amp;DATA!$B$3:$B$10000,DATA!$M$3:$M$10000),"Inactivo"))</f>
        <v/>
      </c>
      <c r="G2303" s="25" t="str">
        <f aca="false">IF(A2303="","",IF(AND(C2303&lt;&gt;"No encontrado",F2303&lt;&gt;"Inactivo"),C2303&amp;" → "&amp;F2303,"Sin transición"))</f>
        <v/>
      </c>
      <c r="H2303" s="23" t="str">
        <f aca="false">IF(A2303="","",IF(D2303="GCIA LINEA SERVICIO DIGITALIDAD Y VENTAS","Chats",IF(OR(D2303="GERENCIA INBOUND LÍNEAS SERVICIO Y VENTA",D2303="GERENCIA INBOUND LINEAS ESPECIALIZADAS"),"Llamadas","Otro")))</f>
        <v/>
      </c>
      <c r="I2303" s="23" t="str">
        <f aca="false">IF(A2303="","",IF(C2303="No encontrado","No","Sí"))</f>
        <v/>
      </c>
      <c r="J2303" s="23" t="str">
        <f aca="false">IF(A2303="","",IF(F2303="Inactivo","No","Sí"))</f>
        <v/>
      </c>
      <c r="K2303" s="23" t="str">
        <f aca="false">IF(A2303="","",IF(AND(I2303="Sí",J2303="Sí"),"Sí","No"))</f>
        <v/>
      </c>
    </row>
    <row r="2304" customFormat="false" ht="15" hidden="false" customHeight="false" outlineLevel="0" collapsed="false">
      <c r="A2304" s="22"/>
      <c r="B2304" s="22"/>
      <c r="C2304" s="26" t="str">
        <f aca="false">IF(A2304="","",IFERROR(buscarx(A2304&amp;B2304,DATA!$E$3:$E$10000&amp;DATA!$B$3:$B$10000,DATA!$M$3:$M$10000),"No encontrado"))</f>
        <v/>
      </c>
      <c r="D2304" s="27" t="str">
        <f aca="false">IF(A2304="","",IFERROR(buscarx(A2304&amp;B2304,DATA!$E$3:$E$10000&amp;DATA!$B$3:$B$10000,DATA!$W$3:$W$10000),"No encontrado"))</f>
        <v/>
      </c>
      <c r="E2304" s="22"/>
      <c r="F2304" s="26" t="str">
        <f aca="false">IF(A2304="","",IFERROR(buscarx(A2304&amp;E2304,DATA!$E$3:$E$10000&amp;DATA!$B$3:$B$10000,DATA!$M$3:$M$10000),"Inactivo"))</f>
        <v/>
      </c>
      <c r="G2304" s="28" t="str">
        <f aca="false">IF(A2304="","",IF(AND(C2304&lt;&gt;"No encontrado",F2304&lt;&gt;"Inactivo"),C2304&amp;" → "&amp;F2304,"Sin transición"))</f>
        <v/>
      </c>
      <c r="H2304" s="26" t="str">
        <f aca="false">IF(A2304="","",IF(D2304="GCIA LINEA SERVICIO DIGITALIDAD Y VENTAS","Chats",IF(OR(D2304="GERENCIA INBOUND LÍNEAS SERVICIO Y VENTA",D2304="GERENCIA INBOUND LINEAS ESPECIALIZADAS"),"Llamadas","Otro")))</f>
        <v/>
      </c>
      <c r="I2304" s="26" t="str">
        <f aca="false">IF(A2304="","",IF(C2304="No encontrado","No","Sí"))</f>
        <v/>
      </c>
      <c r="J2304" s="26" t="str">
        <f aca="false">IF(A2304="","",IF(F2304="Inactivo","No","Sí"))</f>
        <v/>
      </c>
      <c r="K2304" s="26" t="str">
        <f aca="false">IF(A2304="","",IF(AND(I2304="Sí",J2304="Sí"),"Sí","No"))</f>
        <v/>
      </c>
    </row>
    <row r="2305" customFormat="false" ht="15" hidden="false" customHeight="false" outlineLevel="0" collapsed="false">
      <c r="A2305" s="22"/>
      <c r="B2305" s="22"/>
      <c r="C2305" s="23" t="str">
        <f aca="false">IF(A2305="","",IFERROR(buscarx(A2305&amp;B2305,DATA!$E$3:$E$10000&amp;DATA!$B$3:$B$10000,DATA!$M$3:$M$10000),"No encontrado"))</f>
        <v/>
      </c>
      <c r="D2305" s="24" t="str">
        <f aca="false">IF(A2305="","",IFERROR(buscarx(A2305&amp;B2305,DATA!$E$3:$E$10000&amp;DATA!$B$3:$B$10000,DATA!$W$3:$W$10000),"No encontrado"))</f>
        <v/>
      </c>
      <c r="E2305" s="22"/>
      <c r="F2305" s="23" t="str">
        <f aca="false">IF(A2305="","",IFERROR(buscarx(A2305&amp;E2305,DATA!$E$3:$E$10000&amp;DATA!$B$3:$B$10000,DATA!$M$3:$M$10000),"Inactivo"))</f>
        <v/>
      </c>
      <c r="G2305" s="25" t="str">
        <f aca="false">IF(A2305="","",IF(AND(C2305&lt;&gt;"No encontrado",F2305&lt;&gt;"Inactivo"),C2305&amp;" → "&amp;F2305,"Sin transición"))</f>
        <v/>
      </c>
      <c r="H2305" s="23" t="str">
        <f aca="false">IF(A2305="","",IF(D2305="GCIA LINEA SERVICIO DIGITALIDAD Y VENTAS","Chats",IF(OR(D2305="GERENCIA INBOUND LÍNEAS SERVICIO Y VENTA",D2305="GERENCIA INBOUND LINEAS ESPECIALIZADAS"),"Llamadas","Otro")))</f>
        <v/>
      </c>
      <c r="I2305" s="23" t="str">
        <f aca="false">IF(A2305="","",IF(C2305="No encontrado","No","Sí"))</f>
        <v/>
      </c>
      <c r="J2305" s="23" t="str">
        <f aca="false">IF(A2305="","",IF(F2305="Inactivo","No","Sí"))</f>
        <v/>
      </c>
      <c r="K2305" s="23" t="str">
        <f aca="false">IF(A2305="","",IF(AND(I2305="Sí",J2305="Sí"),"Sí","No"))</f>
        <v/>
      </c>
    </row>
    <row r="2306" customFormat="false" ht="15" hidden="false" customHeight="false" outlineLevel="0" collapsed="false">
      <c r="A2306" s="22"/>
      <c r="B2306" s="22"/>
      <c r="C2306" s="26" t="str">
        <f aca="false">IF(A2306="","",IFERROR(buscarx(A2306&amp;B2306,DATA!$E$3:$E$10000&amp;DATA!$B$3:$B$10000,DATA!$M$3:$M$10000),"No encontrado"))</f>
        <v/>
      </c>
      <c r="D2306" s="27" t="str">
        <f aca="false">IF(A2306="","",IFERROR(buscarx(A2306&amp;B2306,DATA!$E$3:$E$10000&amp;DATA!$B$3:$B$10000,DATA!$W$3:$W$10000),"No encontrado"))</f>
        <v/>
      </c>
      <c r="E2306" s="22"/>
      <c r="F2306" s="26" t="str">
        <f aca="false">IF(A2306="","",IFERROR(buscarx(A2306&amp;E2306,DATA!$E$3:$E$10000&amp;DATA!$B$3:$B$10000,DATA!$M$3:$M$10000),"Inactivo"))</f>
        <v/>
      </c>
      <c r="G2306" s="28" t="str">
        <f aca="false">IF(A2306="","",IF(AND(C2306&lt;&gt;"No encontrado",F2306&lt;&gt;"Inactivo"),C2306&amp;" → "&amp;F2306,"Sin transición"))</f>
        <v/>
      </c>
      <c r="H2306" s="26" t="str">
        <f aca="false">IF(A2306="","",IF(D2306="GCIA LINEA SERVICIO DIGITALIDAD Y VENTAS","Chats",IF(OR(D2306="GERENCIA INBOUND LÍNEAS SERVICIO Y VENTA",D2306="GERENCIA INBOUND LINEAS ESPECIALIZADAS"),"Llamadas","Otro")))</f>
        <v/>
      </c>
      <c r="I2306" s="26" t="str">
        <f aca="false">IF(A2306="","",IF(C2306="No encontrado","No","Sí"))</f>
        <v/>
      </c>
      <c r="J2306" s="26" t="str">
        <f aca="false">IF(A2306="","",IF(F2306="Inactivo","No","Sí"))</f>
        <v/>
      </c>
      <c r="K2306" s="26" t="str">
        <f aca="false">IF(A2306="","",IF(AND(I2306="Sí",J2306="Sí"),"Sí","No"))</f>
        <v/>
      </c>
    </row>
    <row r="2307" customFormat="false" ht="15" hidden="false" customHeight="false" outlineLevel="0" collapsed="false">
      <c r="A2307" s="22"/>
      <c r="B2307" s="22"/>
      <c r="C2307" s="23" t="str">
        <f aca="false">IF(A2307="","",IFERROR(buscarx(A2307&amp;B2307,DATA!$E$3:$E$10000&amp;DATA!$B$3:$B$10000,DATA!$M$3:$M$10000),"No encontrado"))</f>
        <v/>
      </c>
      <c r="D2307" s="24" t="str">
        <f aca="false">IF(A2307="","",IFERROR(buscarx(A2307&amp;B2307,DATA!$E$3:$E$10000&amp;DATA!$B$3:$B$10000,DATA!$W$3:$W$10000),"No encontrado"))</f>
        <v/>
      </c>
      <c r="E2307" s="22"/>
      <c r="F2307" s="23" t="str">
        <f aca="false">IF(A2307="","",IFERROR(buscarx(A2307&amp;E2307,DATA!$E$3:$E$10000&amp;DATA!$B$3:$B$10000,DATA!$M$3:$M$10000),"Inactivo"))</f>
        <v/>
      </c>
      <c r="G2307" s="25" t="str">
        <f aca="false">IF(A2307="","",IF(AND(C2307&lt;&gt;"No encontrado",F2307&lt;&gt;"Inactivo"),C2307&amp;" → "&amp;F2307,"Sin transición"))</f>
        <v/>
      </c>
      <c r="H2307" s="23" t="str">
        <f aca="false">IF(A2307="","",IF(D2307="GCIA LINEA SERVICIO DIGITALIDAD Y VENTAS","Chats",IF(OR(D2307="GERENCIA INBOUND LÍNEAS SERVICIO Y VENTA",D2307="GERENCIA INBOUND LINEAS ESPECIALIZADAS"),"Llamadas","Otro")))</f>
        <v/>
      </c>
      <c r="I2307" s="23" t="str">
        <f aca="false">IF(A2307="","",IF(C2307="No encontrado","No","Sí"))</f>
        <v/>
      </c>
      <c r="J2307" s="23" t="str">
        <f aca="false">IF(A2307="","",IF(F2307="Inactivo","No","Sí"))</f>
        <v/>
      </c>
      <c r="K2307" s="23" t="str">
        <f aca="false">IF(A2307="","",IF(AND(I2307="Sí",J2307="Sí"),"Sí","No"))</f>
        <v/>
      </c>
    </row>
    <row r="2308" customFormat="false" ht="15" hidden="false" customHeight="false" outlineLevel="0" collapsed="false">
      <c r="A2308" s="22"/>
      <c r="B2308" s="22"/>
      <c r="C2308" s="26" t="str">
        <f aca="false">IF(A2308="","",IFERROR(buscarx(A2308&amp;B2308,DATA!$E$3:$E$10000&amp;DATA!$B$3:$B$10000,DATA!$M$3:$M$10000),"No encontrado"))</f>
        <v/>
      </c>
      <c r="D2308" s="27" t="str">
        <f aca="false">IF(A2308="","",IFERROR(buscarx(A2308&amp;B2308,DATA!$E$3:$E$10000&amp;DATA!$B$3:$B$10000,DATA!$W$3:$W$10000),"No encontrado"))</f>
        <v/>
      </c>
      <c r="E2308" s="22"/>
      <c r="F2308" s="26" t="str">
        <f aca="false">IF(A2308="","",IFERROR(buscarx(A2308&amp;E2308,DATA!$E$3:$E$10000&amp;DATA!$B$3:$B$10000,DATA!$M$3:$M$10000),"Inactivo"))</f>
        <v/>
      </c>
      <c r="G2308" s="28" t="str">
        <f aca="false">IF(A2308="","",IF(AND(C2308&lt;&gt;"No encontrado",F2308&lt;&gt;"Inactivo"),C2308&amp;" → "&amp;F2308,"Sin transición"))</f>
        <v/>
      </c>
      <c r="H2308" s="26" t="str">
        <f aca="false">IF(A2308="","",IF(D2308="GCIA LINEA SERVICIO DIGITALIDAD Y VENTAS","Chats",IF(OR(D2308="GERENCIA INBOUND LÍNEAS SERVICIO Y VENTA",D2308="GERENCIA INBOUND LINEAS ESPECIALIZADAS"),"Llamadas","Otro")))</f>
        <v/>
      </c>
      <c r="I2308" s="26" t="str">
        <f aca="false">IF(A2308="","",IF(C2308="No encontrado","No","Sí"))</f>
        <v/>
      </c>
      <c r="J2308" s="26" t="str">
        <f aca="false">IF(A2308="","",IF(F2308="Inactivo","No","Sí"))</f>
        <v/>
      </c>
      <c r="K2308" s="26" t="str">
        <f aca="false">IF(A2308="","",IF(AND(I2308="Sí",J2308="Sí"),"Sí","No"))</f>
        <v/>
      </c>
    </row>
    <row r="2309" customFormat="false" ht="15" hidden="false" customHeight="false" outlineLevel="0" collapsed="false">
      <c r="A2309" s="22"/>
      <c r="B2309" s="22"/>
      <c r="C2309" s="23" t="str">
        <f aca="false">IF(A2309="","",IFERROR(buscarx(A2309&amp;B2309,DATA!$E$3:$E$10000&amp;DATA!$B$3:$B$10000,DATA!$M$3:$M$10000),"No encontrado"))</f>
        <v/>
      </c>
      <c r="D2309" s="24" t="str">
        <f aca="false">IF(A2309="","",IFERROR(buscarx(A2309&amp;B2309,DATA!$E$3:$E$10000&amp;DATA!$B$3:$B$10000,DATA!$W$3:$W$10000),"No encontrado"))</f>
        <v/>
      </c>
      <c r="E2309" s="22"/>
      <c r="F2309" s="23" t="str">
        <f aca="false">IF(A2309="","",IFERROR(buscarx(A2309&amp;E2309,DATA!$E$3:$E$10000&amp;DATA!$B$3:$B$10000,DATA!$M$3:$M$10000),"Inactivo"))</f>
        <v/>
      </c>
      <c r="G2309" s="25" t="str">
        <f aca="false">IF(A2309="","",IF(AND(C2309&lt;&gt;"No encontrado",F2309&lt;&gt;"Inactivo"),C2309&amp;" → "&amp;F2309,"Sin transición"))</f>
        <v/>
      </c>
      <c r="H2309" s="23" t="str">
        <f aca="false">IF(A2309="","",IF(D2309="GCIA LINEA SERVICIO DIGITALIDAD Y VENTAS","Chats",IF(OR(D2309="GERENCIA INBOUND LÍNEAS SERVICIO Y VENTA",D2309="GERENCIA INBOUND LINEAS ESPECIALIZADAS"),"Llamadas","Otro")))</f>
        <v/>
      </c>
      <c r="I2309" s="23" t="str">
        <f aca="false">IF(A2309="","",IF(C2309="No encontrado","No","Sí"))</f>
        <v/>
      </c>
      <c r="J2309" s="23" t="str">
        <f aca="false">IF(A2309="","",IF(F2309="Inactivo","No","Sí"))</f>
        <v/>
      </c>
      <c r="K2309" s="23" t="str">
        <f aca="false">IF(A2309="","",IF(AND(I2309="Sí",J2309="Sí"),"Sí","No"))</f>
        <v/>
      </c>
    </row>
    <row r="2310" customFormat="false" ht="15" hidden="false" customHeight="false" outlineLevel="0" collapsed="false">
      <c r="A2310" s="22"/>
      <c r="B2310" s="22"/>
      <c r="C2310" s="26" t="str">
        <f aca="false">IF(A2310="","",IFERROR(buscarx(A2310&amp;B2310,DATA!$E$3:$E$10000&amp;DATA!$B$3:$B$10000,DATA!$M$3:$M$10000),"No encontrado"))</f>
        <v/>
      </c>
      <c r="D2310" s="27" t="str">
        <f aca="false">IF(A2310="","",IFERROR(buscarx(A2310&amp;B2310,DATA!$E$3:$E$10000&amp;DATA!$B$3:$B$10000,DATA!$W$3:$W$10000),"No encontrado"))</f>
        <v/>
      </c>
      <c r="E2310" s="22"/>
      <c r="F2310" s="26" t="str">
        <f aca="false">IF(A2310="","",IFERROR(buscarx(A2310&amp;E2310,DATA!$E$3:$E$10000&amp;DATA!$B$3:$B$10000,DATA!$M$3:$M$10000),"Inactivo"))</f>
        <v/>
      </c>
      <c r="G2310" s="28" t="str">
        <f aca="false">IF(A2310="","",IF(AND(C2310&lt;&gt;"No encontrado",F2310&lt;&gt;"Inactivo"),C2310&amp;" → "&amp;F2310,"Sin transición"))</f>
        <v/>
      </c>
      <c r="H2310" s="26" t="str">
        <f aca="false">IF(A2310="","",IF(D2310="GCIA LINEA SERVICIO DIGITALIDAD Y VENTAS","Chats",IF(OR(D2310="GERENCIA INBOUND LÍNEAS SERVICIO Y VENTA",D2310="GERENCIA INBOUND LINEAS ESPECIALIZADAS"),"Llamadas","Otro")))</f>
        <v/>
      </c>
      <c r="I2310" s="26" t="str">
        <f aca="false">IF(A2310="","",IF(C2310="No encontrado","No","Sí"))</f>
        <v/>
      </c>
      <c r="J2310" s="26" t="str">
        <f aca="false">IF(A2310="","",IF(F2310="Inactivo","No","Sí"))</f>
        <v/>
      </c>
      <c r="K2310" s="26" t="str">
        <f aca="false">IF(A2310="","",IF(AND(I2310="Sí",J2310="Sí"),"Sí","No"))</f>
        <v/>
      </c>
    </row>
    <row r="2311" customFormat="false" ht="15" hidden="false" customHeight="false" outlineLevel="0" collapsed="false">
      <c r="A2311" s="22"/>
      <c r="B2311" s="22"/>
      <c r="C2311" s="23" t="str">
        <f aca="false">IF(A2311="","",IFERROR(buscarx(A2311&amp;B2311,DATA!$E$3:$E$10000&amp;DATA!$B$3:$B$10000,DATA!$M$3:$M$10000),"No encontrado"))</f>
        <v/>
      </c>
      <c r="D2311" s="24" t="str">
        <f aca="false">IF(A2311="","",IFERROR(buscarx(A2311&amp;B2311,DATA!$E$3:$E$10000&amp;DATA!$B$3:$B$10000,DATA!$W$3:$W$10000),"No encontrado"))</f>
        <v/>
      </c>
      <c r="E2311" s="22"/>
      <c r="F2311" s="23" t="str">
        <f aca="false">IF(A2311="","",IFERROR(buscarx(A2311&amp;E2311,DATA!$E$3:$E$10000&amp;DATA!$B$3:$B$10000,DATA!$M$3:$M$10000),"Inactivo"))</f>
        <v/>
      </c>
      <c r="G2311" s="25" t="str">
        <f aca="false">IF(A2311="","",IF(AND(C2311&lt;&gt;"No encontrado",F2311&lt;&gt;"Inactivo"),C2311&amp;" → "&amp;F2311,"Sin transición"))</f>
        <v/>
      </c>
      <c r="H2311" s="23" t="str">
        <f aca="false">IF(A2311="","",IF(D2311="GCIA LINEA SERVICIO DIGITALIDAD Y VENTAS","Chats",IF(OR(D2311="GERENCIA INBOUND LÍNEAS SERVICIO Y VENTA",D2311="GERENCIA INBOUND LINEAS ESPECIALIZADAS"),"Llamadas","Otro")))</f>
        <v/>
      </c>
      <c r="I2311" s="23" t="str">
        <f aca="false">IF(A2311="","",IF(C2311="No encontrado","No","Sí"))</f>
        <v/>
      </c>
      <c r="J2311" s="23" t="str">
        <f aca="false">IF(A2311="","",IF(F2311="Inactivo","No","Sí"))</f>
        <v/>
      </c>
      <c r="K2311" s="23" t="str">
        <f aca="false">IF(A2311="","",IF(AND(I2311="Sí",J2311="Sí"),"Sí","No"))</f>
        <v/>
      </c>
    </row>
    <row r="2312" customFormat="false" ht="15" hidden="false" customHeight="false" outlineLevel="0" collapsed="false">
      <c r="A2312" s="22"/>
      <c r="B2312" s="22"/>
      <c r="C2312" s="26" t="str">
        <f aca="false">IF(A2312="","",IFERROR(buscarx(A2312&amp;B2312,DATA!$E$3:$E$10000&amp;DATA!$B$3:$B$10000,DATA!$M$3:$M$10000),"No encontrado"))</f>
        <v/>
      </c>
      <c r="D2312" s="27" t="str">
        <f aca="false">IF(A2312="","",IFERROR(buscarx(A2312&amp;B2312,DATA!$E$3:$E$10000&amp;DATA!$B$3:$B$10000,DATA!$W$3:$W$10000),"No encontrado"))</f>
        <v/>
      </c>
      <c r="E2312" s="22"/>
      <c r="F2312" s="26" t="str">
        <f aca="false">IF(A2312="","",IFERROR(buscarx(A2312&amp;E2312,DATA!$E$3:$E$10000&amp;DATA!$B$3:$B$10000,DATA!$M$3:$M$10000),"Inactivo"))</f>
        <v/>
      </c>
      <c r="G2312" s="28" t="str">
        <f aca="false">IF(A2312="","",IF(AND(C2312&lt;&gt;"No encontrado",F2312&lt;&gt;"Inactivo"),C2312&amp;" → "&amp;F2312,"Sin transición"))</f>
        <v/>
      </c>
      <c r="H2312" s="26" t="str">
        <f aca="false">IF(A2312="","",IF(D2312="GCIA LINEA SERVICIO DIGITALIDAD Y VENTAS","Chats",IF(OR(D2312="GERENCIA INBOUND LÍNEAS SERVICIO Y VENTA",D2312="GERENCIA INBOUND LINEAS ESPECIALIZADAS"),"Llamadas","Otro")))</f>
        <v/>
      </c>
      <c r="I2312" s="26" t="str">
        <f aca="false">IF(A2312="","",IF(C2312="No encontrado","No","Sí"))</f>
        <v/>
      </c>
      <c r="J2312" s="26" t="str">
        <f aca="false">IF(A2312="","",IF(F2312="Inactivo","No","Sí"))</f>
        <v/>
      </c>
      <c r="K2312" s="26" t="str">
        <f aca="false">IF(A2312="","",IF(AND(I2312="Sí",J2312="Sí"),"Sí","No"))</f>
        <v/>
      </c>
    </row>
    <row r="2313" customFormat="false" ht="15" hidden="false" customHeight="false" outlineLevel="0" collapsed="false">
      <c r="A2313" s="22"/>
      <c r="B2313" s="22"/>
      <c r="C2313" s="23" t="str">
        <f aca="false">IF(A2313="","",IFERROR(buscarx(A2313&amp;B2313,DATA!$E$3:$E$10000&amp;DATA!$B$3:$B$10000,DATA!$M$3:$M$10000),"No encontrado"))</f>
        <v/>
      </c>
      <c r="D2313" s="24" t="str">
        <f aca="false">IF(A2313="","",IFERROR(buscarx(A2313&amp;B2313,DATA!$E$3:$E$10000&amp;DATA!$B$3:$B$10000,DATA!$W$3:$W$10000),"No encontrado"))</f>
        <v/>
      </c>
      <c r="E2313" s="22"/>
      <c r="F2313" s="23" t="str">
        <f aca="false">IF(A2313="","",IFERROR(buscarx(A2313&amp;E2313,DATA!$E$3:$E$10000&amp;DATA!$B$3:$B$10000,DATA!$M$3:$M$10000),"Inactivo"))</f>
        <v/>
      </c>
      <c r="G2313" s="25" t="str">
        <f aca="false">IF(A2313="","",IF(AND(C2313&lt;&gt;"No encontrado",F2313&lt;&gt;"Inactivo"),C2313&amp;" → "&amp;F2313,"Sin transición"))</f>
        <v/>
      </c>
      <c r="H2313" s="23" t="str">
        <f aca="false">IF(A2313="","",IF(D2313="GCIA LINEA SERVICIO DIGITALIDAD Y VENTAS","Chats",IF(OR(D2313="GERENCIA INBOUND LÍNEAS SERVICIO Y VENTA",D2313="GERENCIA INBOUND LINEAS ESPECIALIZADAS"),"Llamadas","Otro")))</f>
        <v/>
      </c>
      <c r="I2313" s="23" t="str">
        <f aca="false">IF(A2313="","",IF(C2313="No encontrado","No","Sí"))</f>
        <v/>
      </c>
      <c r="J2313" s="23" t="str">
        <f aca="false">IF(A2313="","",IF(F2313="Inactivo","No","Sí"))</f>
        <v/>
      </c>
      <c r="K2313" s="23" t="str">
        <f aca="false">IF(A2313="","",IF(AND(I2313="Sí",J2313="Sí"),"Sí","No"))</f>
        <v/>
      </c>
    </row>
    <row r="2314" customFormat="false" ht="15" hidden="false" customHeight="false" outlineLevel="0" collapsed="false">
      <c r="A2314" s="22"/>
      <c r="B2314" s="22"/>
      <c r="C2314" s="26" t="str">
        <f aca="false">IF(A2314="","",IFERROR(buscarx(A2314&amp;B2314,DATA!$E$3:$E$10000&amp;DATA!$B$3:$B$10000,DATA!$M$3:$M$10000),"No encontrado"))</f>
        <v/>
      </c>
      <c r="D2314" s="27" t="str">
        <f aca="false">IF(A2314="","",IFERROR(buscarx(A2314&amp;B2314,DATA!$E$3:$E$10000&amp;DATA!$B$3:$B$10000,DATA!$W$3:$W$10000),"No encontrado"))</f>
        <v/>
      </c>
      <c r="E2314" s="22"/>
      <c r="F2314" s="26" t="str">
        <f aca="false">IF(A2314="","",IFERROR(buscarx(A2314&amp;E2314,DATA!$E$3:$E$10000&amp;DATA!$B$3:$B$10000,DATA!$M$3:$M$10000),"Inactivo"))</f>
        <v/>
      </c>
      <c r="G2314" s="28" t="str">
        <f aca="false">IF(A2314="","",IF(AND(C2314&lt;&gt;"No encontrado",F2314&lt;&gt;"Inactivo"),C2314&amp;" → "&amp;F2314,"Sin transición"))</f>
        <v/>
      </c>
      <c r="H2314" s="26" t="str">
        <f aca="false">IF(A2314="","",IF(D2314="GCIA LINEA SERVICIO DIGITALIDAD Y VENTAS","Chats",IF(OR(D2314="GERENCIA INBOUND LÍNEAS SERVICIO Y VENTA",D2314="GERENCIA INBOUND LINEAS ESPECIALIZADAS"),"Llamadas","Otro")))</f>
        <v/>
      </c>
      <c r="I2314" s="26" t="str">
        <f aca="false">IF(A2314="","",IF(C2314="No encontrado","No","Sí"))</f>
        <v/>
      </c>
      <c r="J2314" s="26" t="str">
        <f aca="false">IF(A2314="","",IF(F2314="Inactivo","No","Sí"))</f>
        <v/>
      </c>
      <c r="K2314" s="26" t="str">
        <f aca="false">IF(A2314="","",IF(AND(I2314="Sí",J2314="Sí"),"Sí","No"))</f>
        <v/>
      </c>
    </row>
    <row r="2315" customFormat="false" ht="15" hidden="false" customHeight="false" outlineLevel="0" collapsed="false">
      <c r="A2315" s="22"/>
      <c r="B2315" s="22"/>
      <c r="C2315" s="23" t="str">
        <f aca="false">IF(A2315="","",IFERROR(buscarx(A2315&amp;B2315,DATA!$E$3:$E$10000&amp;DATA!$B$3:$B$10000,DATA!$M$3:$M$10000),"No encontrado"))</f>
        <v/>
      </c>
      <c r="D2315" s="24" t="str">
        <f aca="false">IF(A2315="","",IFERROR(buscarx(A2315&amp;B2315,DATA!$E$3:$E$10000&amp;DATA!$B$3:$B$10000,DATA!$W$3:$W$10000),"No encontrado"))</f>
        <v/>
      </c>
      <c r="E2315" s="22"/>
      <c r="F2315" s="23" t="str">
        <f aca="false">IF(A2315="","",IFERROR(buscarx(A2315&amp;E2315,DATA!$E$3:$E$10000&amp;DATA!$B$3:$B$10000,DATA!$M$3:$M$10000),"Inactivo"))</f>
        <v/>
      </c>
      <c r="G2315" s="25" t="str">
        <f aca="false">IF(A2315="","",IF(AND(C2315&lt;&gt;"No encontrado",F2315&lt;&gt;"Inactivo"),C2315&amp;" → "&amp;F2315,"Sin transición"))</f>
        <v/>
      </c>
      <c r="H2315" s="23" t="str">
        <f aca="false">IF(A2315="","",IF(D2315="GCIA LINEA SERVICIO DIGITALIDAD Y VENTAS","Chats",IF(OR(D2315="GERENCIA INBOUND LÍNEAS SERVICIO Y VENTA",D2315="GERENCIA INBOUND LINEAS ESPECIALIZADAS"),"Llamadas","Otro")))</f>
        <v/>
      </c>
      <c r="I2315" s="23" t="str">
        <f aca="false">IF(A2315="","",IF(C2315="No encontrado","No","Sí"))</f>
        <v/>
      </c>
      <c r="J2315" s="23" t="str">
        <f aca="false">IF(A2315="","",IF(F2315="Inactivo","No","Sí"))</f>
        <v/>
      </c>
      <c r="K2315" s="23" t="str">
        <f aca="false">IF(A2315="","",IF(AND(I2315="Sí",J2315="Sí"),"Sí","No"))</f>
        <v/>
      </c>
    </row>
    <row r="2316" customFormat="false" ht="15" hidden="false" customHeight="false" outlineLevel="0" collapsed="false">
      <c r="A2316" s="22"/>
      <c r="B2316" s="22"/>
      <c r="C2316" s="26" t="str">
        <f aca="false">IF(A2316="","",IFERROR(buscarx(A2316&amp;B2316,DATA!$E$3:$E$10000&amp;DATA!$B$3:$B$10000,DATA!$M$3:$M$10000),"No encontrado"))</f>
        <v/>
      </c>
      <c r="D2316" s="27" t="str">
        <f aca="false">IF(A2316="","",IFERROR(buscarx(A2316&amp;B2316,DATA!$E$3:$E$10000&amp;DATA!$B$3:$B$10000,DATA!$W$3:$W$10000),"No encontrado"))</f>
        <v/>
      </c>
      <c r="E2316" s="22"/>
      <c r="F2316" s="26" t="str">
        <f aca="false">IF(A2316="","",IFERROR(buscarx(A2316&amp;E2316,DATA!$E$3:$E$10000&amp;DATA!$B$3:$B$10000,DATA!$M$3:$M$10000),"Inactivo"))</f>
        <v/>
      </c>
      <c r="G2316" s="28" t="str">
        <f aca="false">IF(A2316="","",IF(AND(C2316&lt;&gt;"No encontrado",F2316&lt;&gt;"Inactivo"),C2316&amp;" → "&amp;F2316,"Sin transición"))</f>
        <v/>
      </c>
      <c r="H2316" s="26" t="str">
        <f aca="false">IF(A2316="","",IF(D2316="GCIA LINEA SERVICIO DIGITALIDAD Y VENTAS","Chats",IF(OR(D2316="GERENCIA INBOUND LÍNEAS SERVICIO Y VENTA",D2316="GERENCIA INBOUND LINEAS ESPECIALIZADAS"),"Llamadas","Otro")))</f>
        <v/>
      </c>
      <c r="I2316" s="26" t="str">
        <f aca="false">IF(A2316="","",IF(C2316="No encontrado","No","Sí"))</f>
        <v/>
      </c>
      <c r="J2316" s="26" t="str">
        <f aca="false">IF(A2316="","",IF(F2316="Inactivo","No","Sí"))</f>
        <v/>
      </c>
      <c r="K2316" s="26" t="str">
        <f aca="false">IF(A2316="","",IF(AND(I2316="Sí",J2316="Sí"),"Sí","No"))</f>
        <v/>
      </c>
    </row>
    <row r="2317" customFormat="false" ht="15" hidden="false" customHeight="false" outlineLevel="0" collapsed="false">
      <c r="A2317" s="22"/>
      <c r="B2317" s="22"/>
      <c r="C2317" s="23" t="str">
        <f aca="false">IF(A2317="","",IFERROR(buscarx(A2317&amp;B2317,DATA!$E$3:$E$10000&amp;DATA!$B$3:$B$10000,DATA!$M$3:$M$10000),"No encontrado"))</f>
        <v/>
      </c>
      <c r="D2317" s="24" t="str">
        <f aca="false">IF(A2317="","",IFERROR(buscarx(A2317&amp;B2317,DATA!$E$3:$E$10000&amp;DATA!$B$3:$B$10000,DATA!$W$3:$W$10000),"No encontrado"))</f>
        <v/>
      </c>
      <c r="E2317" s="22"/>
      <c r="F2317" s="23" t="str">
        <f aca="false">IF(A2317="","",IFERROR(buscarx(A2317&amp;E2317,DATA!$E$3:$E$10000&amp;DATA!$B$3:$B$10000,DATA!$M$3:$M$10000),"Inactivo"))</f>
        <v/>
      </c>
      <c r="G2317" s="25" t="str">
        <f aca="false">IF(A2317="","",IF(AND(C2317&lt;&gt;"No encontrado",F2317&lt;&gt;"Inactivo"),C2317&amp;" → "&amp;F2317,"Sin transición"))</f>
        <v/>
      </c>
      <c r="H2317" s="23" t="str">
        <f aca="false">IF(A2317="","",IF(D2317="GCIA LINEA SERVICIO DIGITALIDAD Y VENTAS","Chats",IF(OR(D2317="GERENCIA INBOUND LÍNEAS SERVICIO Y VENTA",D2317="GERENCIA INBOUND LINEAS ESPECIALIZADAS"),"Llamadas","Otro")))</f>
        <v/>
      </c>
      <c r="I2317" s="23" t="str">
        <f aca="false">IF(A2317="","",IF(C2317="No encontrado","No","Sí"))</f>
        <v/>
      </c>
      <c r="J2317" s="23" t="str">
        <f aca="false">IF(A2317="","",IF(F2317="Inactivo","No","Sí"))</f>
        <v/>
      </c>
      <c r="K2317" s="23" t="str">
        <f aca="false">IF(A2317="","",IF(AND(I2317="Sí",J2317="Sí"),"Sí","No"))</f>
        <v/>
      </c>
    </row>
    <row r="2318" customFormat="false" ht="15" hidden="false" customHeight="false" outlineLevel="0" collapsed="false">
      <c r="A2318" s="22"/>
      <c r="B2318" s="22"/>
      <c r="C2318" s="26" t="str">
        <f aca="false">IF(A2318="","",IFERROR(buscarx(A2318&amp;B2318,DATA!$E$3:$E$10000&amp;DATA!$B$3:$B$10000,DATA!$M$3:$M$10000),"No encontrado"))</f>
        <v/>
      </c>
      <c r="D2318" s="27" t="str">
        <f aca="false">IF(A2318="","",IFERROR(buscarx(A2318&amp;B2318,DATA!$E$3:$E$10000&amp;DATA!$B$3:$B$10000,DATA!$W$3:$W$10000),"No encontrado"))</f>
        <v/>
      </c>
      <c r="E2318" s="22"/>
      <c r="F2318" s="26" t="str">
        <f aca="false">IF(A2318="","",IFERROR(buscarx(A2318&amp;E2318,DATA!$E$3:$E$10000&amp;DATA!$B$3:$B$10000,DATA!$M$3:$M$10000),"Inactivo"))</f>
        <v/>
      </c>
      <c r="G2318" s="28" t="str">
        <f aca="false">IF(A2318="","",IF(AND(C2318&lt;&gt;"No encontrado",F2318&lt;&gt;"Inactivo"),C2318&amp;" → "&amp;F2318,"Sin transición"))</f>
        <v/>
      </c>
      <c r="H2318" s="26" t="str">
        <f aca="false">IF(A2318="","",IF(D2318="GCIA LINEA SERVICIO DIGITALIDAD Y VENTAS","Chats",IF(OR(D2318="GERENCIA INBOUND LÍNEAS SERVICIO Y VENTA",D2318="GERENCIA INBOUND LINEAS ESPECIALIZADAS"),"Llamadas","Otro")))</f>
        <v/>
      </c>
      <c r="I2318" s="26" t="str">
        <f aca="false">IF(A2318="","",IF(C2318="No encontrado","No","Sí"))</f>
        <v/>
      </c>
      <c r="J2318" s="26" t="str">
        <f aca="false">IF(A2318="","",IF(F2318="Inactivo","No","Sí"))</f>
        <v/>
      </c>
      <c r="K2318" s="26" t="str">
        <f aca="false">IF(A2318="","",IF(AND(I2318="Sí",J2318="Sí"),"Sí","No"))</f>
        <v/>
      </c>
    </row>
    <row r="2319" customFormat="false" ht="15" hidden="false" customHeight="false" outlineLevel="0" collapsed="false">
      <c r="A2319" s="22"/>
      <c r="B2319" s="22"/>
      <c r="C2319" s="23" t="str">
        <f aca="false">IF(A2319="","",IFERROR(buscarx(A2319&amp;B2319,DATA!$E$3:$E$10000&amp;DATA!$B$3:$B$10000,DATA!$M$3:$M$10000),"No encontrado"))</f>
        <v/>
      </c>
      <c r="D2319" s="24" t="str">
        <f aca="false">IF(A2319="","",IFERROR(buscarx(A2319&amp;B2319,DATA!$E$3:$E$10000&amp;DATA!$B$3:$B$10000,DATA!$W$3:$W$10000),"No encontrado"))</f>
        <v/>
      </c>
      <c r="E2319" s="22"/>
      <c r="F2319" s="23" t="str">
        <f aca="false">IF(A2319="","",IFERROR(buscarx(A2319&amp;E2319,DATA!$E$3:$E$10000&amp;DATA!$B$3:$B$10000,DATA!$M$3:$M$10000),"Inactivo"))</f>
        <v/>
      </c>
      <c r="G2319" s="25" t="str">
        <f aca="false">IF(A2319="","",IF(AND(C2319&lt;&gt;"No encontrado",F2319&lt;&gt;"Inactivo"),C2319&amp;" → "&amp;F2319,"Sin transición"))</f>
        <v/>
      </c>
      <c r="H2319" s="23" t="str">
        <f aca="false">IF(A2319="","",IF(D2319="GCIA LINEA SERVICIO DIGITALIDAD Y VENTAS","Chats",IF(OR(D2319="GERENCIA INBOUND LÍNEAS SERVICIO Y VENTA",D2319="GERENCIA INBOUND LINEAS ESPECIALIZADAS"),"Llamadas","Otro")))</f>
        <v/>
      </c>
      <c r="I2319" s="23" t="str">
        <f aca="false">IF(A2319="","",IF(C2319="No encontrado","No","Sí"))</f>
        <v/>
      </c>
      <c r="J2319" s="23" t="str">
        <f aca="false">IF(A2319="","",IF(F2319="Inactivo","No","Sí"))</f>
        <v/>
      </c>
      <c r="K2319" s="23" t="str">
        <f aca="false">IF(A2319="","",IF(AND(I2319="Sí",J2319="Sí"),"Sí","No"))</f>
        <v/>
      </c>
    </row>
    <row r="2320" customFormat="false" ht="15" hidden="false" customHeight="false" outlineLevel="0" collapsed="false">
      <c r="A2320" s="22"/>
      <c r="B2320" s="22"/>
      <c r="C2320" s="26" t="str">
        <f aca="false">IF(A2320="","",IFERROR(buscarx(A2320&amp;B2320,DATA!$E$3:$E$10000&amp;DATA!$B$3:$B$10000,DATA!$M$3:$M$10000),"No encontrado"))</f>
        <v/>
      </c>
      <c r="D2320" s="27" t="str">
        <f aca="false">IF(A2320="","",IFERROR(buscarx(A2320&amp;B2320,DATA!$E$3:$E$10000&amp;DATA!$B$3:$B$10000,DATA!$W$3:$W$10000),"No encontrado"))</f>
        <v/>
      </c>
      <c r="E2320" s="22"/>
      <c r="F2320" s="26" t="str">
        <f aca="false">IF(A2320="","",IFERROR(buscarx(A2320&amp;E2320,DATA!$E$3:$E$10000&amp;DATA!$B$3:$B$10000,DATA!$M$3:$M$10000),"Inactivo"))</f>
        <v/>
      </c>
      <c r="G2320" s="28" t="str">
        <f aca="false">IF(A2320="","",IF(AND(C2320&lt;&gt;"No encontrado",F2320&lt;&gt;"Inactivo"),C2320&amp;" → "&amp;F2320,"Sin transición"))</f>
        <v/>
      </c>
      <c r="H2320" s="26" t="str">
        <f aca="false">IF(A2320="","",IF(D2320="GCIA LINEA SERVICIO DIGITALIDAD Y VENTAS","Chats",IF(OR(D2320="GERENCIA INBOUND LÍNEAS SERVICIO Y VENTA",D2320="GERENCIA INBOUND LINEAS ESPECIALIZADAS"),"Llamadas","Otro")))</f>
        <v/>
      </c>
      <c r="I2320" s="26" t="str">
        <f aca="false">IF(A2320="","",IF(C2320="No encontrado","No","Sí"))</f>
        <v/>
      </c>
      <c r="J2320" s="26" t="str">
        <f aca="false">IF(A2320="","",IF(F2320="Inactivo","No","Sí"))</f>
        <v/>
      </c>
      <c r="K2320" s="26" t="str">
        <f aca="false">IF(A2320="","",IF(AND(I2320="Sí",J2320="Sí"),"Sí","No"))</f>
        <v/>
      </c>
    </row>
    <row r="2321" customFormat="false" ht="15" hidden="false" customHeight="false" outlineLevel="0" collapsed="false">
      <c r="A2321" s="22"/>
      <c r="B2321" s="22"/>
      <c r="C2321" s="23" t="str">
        <f aca="false">IF(A2321="","",IFERROR(buscarx(A2321&amp;B2321,DATA!$E$3:$E$10000&amp;DATA!$B$3:$B$10000,DATA!$M$3:$M$10000),"No encontrado"))</f>
        <v/>
      </c>
      <c r="D2321" s="24" t="str">
        <f aca="false">IF(A2321="","",IFERROR(buscarx(A2321&amp;B2321,DATA!$E$3:$E$10000&amp;DATA!$B$3:$B$10000,DATA!$W$3:$W$10000),"No encontrado"))</f>
        <v/>
      </c>
      <c r="E2321" s="22"/>
      <c r="F2321" s="23" t="str">
        <f aca="false">IF(A2321="","",IFERROR(buscarx(A2321&amp;E2321,DATA!$E$3:$E$10000&amp;DATA!$B$3:$B$10000,DATA!$M$3:$M$10000),"Inactivo"))</f>
        <v/>
      </c>
      <c r="G2321" s="25" t="str">
        <f aca="false">IF(A2321="","",IF(AND(C2321&lt;&gt;"No encontrado",F2321&lt;&gt;"Inactivo"),C2321&amp;" → "&amp;F2321,"Sin transición"))</f>
        <v/>
      </c>
      <c r="H2321" s="23" t="str">
        <f aca="false">IF(A2321="","",IF(D2321="GCIA LINEA SERVICIO DIGITALIDAD Y VENTAS","Chats",IF(OR(D2321="GERENCIA INBOUND LÍNEAS SERVICIO Y VENTA",D2321="GERENCIA INBOUND LINEAS ESPECIALIZADAS"),"Llamadas","Otro")))</f>
        <v/>
      </c>
      <c r="I2321" s="23" t="str">
        <f aca="false">IF(A2321="","",IF(C2321="No encontrado","No","Sí"))</f>
        <v/>
      </c>
      <c r="J2321" s="23" t="str">
        <f aca="false">IF(A2321="","",IF(F2321="Inactivo","No","Sí"))</f>
        <v/>
      </c>
      <c r="K2321" s="23" t="str">
        <f aca="false">IF(A2321="","",IF(AND(I2321="Sí",J2321="Sí"),"Sí","No"))</f>
        <v/>
      </c>
    </row>
    <row r="2322" customFormat="false" ht="15" hidden="false" customHeight="false" outlineLevel="0" collapsed="false">
      <c r="A2322" s="22"/>
      <c r="B2322" s="22"/>
      <c r="C2322" s="26" t="str">
        <f aca="false">IF(A2322="","",IFERROR(buscarx(A2322&amp;B2322,DATA!$E$3:$E$10000&amp;DATA!$B$3:$B$10000,DATA!$M$3:$M$10000),"No encontrado"))</f>
        <v/>
      </c>
      <c r="D2322" s="27" t="str">
        <f aca="false">IF(A2322="","",IFERROR(buscarx(A2322&amp;B2322,DATA!$E$3:$E$10000&amp;DATA!$B$3:$B$10000,DATA!$W$3:$W$10000),"No encontrado"))</f>
        <v/>
      </c>
      <c r="E2322" s="22"/>
      <c r="F2322" s="26" t="str">
        <f aca="false">IF(A2322="","",IFERROR(buscarx(A2322&amp;E2322,DATA!$E$3:$E$10000&amp;DATA!$B$3:$B$10000,DATA!$M$3:$M$10000),"Inactivo"))</f>
        <v/>
      </c>
      <c r="G2322" s="28" t="str">
        <f aca="false">IF(A2322="","",IF(AND(C2322&lt;&gt;"No encontrado",F2322&lt;&gt;"Inactivo"),C2322&amp;" → "&amp;F2322,"Sin transición"))</f>
        <v/>
      </c>
      <c r="H2322" s="26" t="str">
        <f aca="false">IF(A2322="","",IF(D2322="GCIA LINEA SERVICIO DIGITALIDAD Y VENTAS","Chats",IF(OR(D2322="GERENCIA INBOUND LÍNEAS SERVICIO Y VENTA",D2322="GERENCIA INBOUND LINEAS ESPECIALIZADAS"),"Llamadas","Otro")))</f>
        <v/>
      </c>
      <c r="I2322" s="26" t="str">
        <f aca="false">IF(A2322="","",IF(C2322="No encontrado","No","Sí"))</f>
        <v/>
      </c>
      <c r="J2322" s="26" t="str">
        <f aca="false">IF(A2322="","",IF(F2322="Inactivo","No","Sí"))</f>
        <v/>
      </c>
      <c r="K2322" s="26" t="str">
        <f aca="false">IF(A2322="","",IF(AND(I2322="Sí",J2322="Sí"),"Sí","No"))</f>
        <v/>
      </c>
    </row>
    <row r="2323" customFormat="false" ht="15" hidden="false" customHeight="false" outlineLevel="0" collapsed="false">
      <c r="A2323" s="22"/>
      <c r="B2323" s="22"/>
      <c r="C2323" s="23" t="str">
        <f aca="false">IF(A2323="","",IFERROR(buscarx(A2323&amp;B2323,DATA!$E$3:$E$10000&amp;DATA!$B$3:$B$10000,DATA!$M$3:$M$10000),"No encontrado"))</f>
        <v/>
      </c>
      <c r="D2323" s="24" t="str">
        <f aca="false">IF(A2323="","",IFERROR(buscarx(A2323&amp;B2323,DATA!$E$3:$E$10000&amp;DATA!$B$3:$B$10000,DATA!$W$3:$W$10000),"No encontrado"))</f>
        <v/>
      </c>
      <c r="E2323" s="22"/>
      <c r="F2323" s="23" t="str">
        <f aca="false">IF(A2323="","",IFERROR(buscarx(A2323&amp;E2323,DATA!$E$3:$E$10000&amp;DATA!$B$3:$B$10000,DATA!$M$3:$M$10000),"Inactivo"))</f>
        <v/>
      </c>
      <c r="G2323" s="25" t="str">
        <f aca="false">IF(A2323="","",IF(AND(C2323&lt;&gt;"No encontrado",F2323&lt;&gt;"Inactivo"),C2323&amp;" → "&amp;F2323,"Sin transición"))</f>
        <v/>
      </c>
      <c r="H2323" s="23" t="str">
        <f aca="false">IF(A2323="","",IF(D2323="GCIA LINEA SERVICIO DIGITALIDAD Y VENTAS","Chats",IF(OR(D2323="GERENCIA INBOUND LÍNEAS SERVICIO Y VENTA",D2323="GERENCIA INBOUND LINEAS ESPECIALIZADAS"),"Llamadas","Otro")))</f>
        <v/>
      </c>
      <c r="I2323" s="23" t="str">
        <f aca="false">IF(A2323="","",IF(C2323="No encontrado","No","Sí"))</f>
        <v/>
      </c>
      <c r="J2323" s="23" t="str">
        <f aca="false">IF(A2323="","",IF(F2323="Inactivo","No","Sí"))</f>
        <v/>
      </c>
      <c r="K2323" s="23" t="str">
        <f aca="false">IF(A2323="","",IF(AND(I2323="Sí",J2323="Sí"),"Sí","No"))</f>
        <v/>
      </c>
    </row>
    <row r="2324" customFormat="false" ht="15" hidden="false" customHeight="false" outlineLevel="0" collapsed="false">
      <c r="A2324" s="22"/>
      <c r="B2324" s="22"/>
      <c r="C2324" s="26" t="str">
        <f aca="false">IF(A2324="","",IFERROR(buscarx(A2324&amp;B2324,DATA!$E$3:$E$10000&amp;DATA!$B$3:$B$10000,DATA!$M$3:$M$10000),"No encontrado"))</f>
        <v/>
      </c>
      <c r="D2324" s="27" t="str">
        <f aca="false">IF(A2324="","",IFERROR(buscarx(A2324&amp;B2324,DATA!$E$3:$E$10000&amp;DATA!$B$3:$B$10000,DATA!$W$3:$W$10000),"No encontrado"))</f>
        <v/>
      </c>
      <c r="E2324" s="22"/>
      <c r="F2324" s="26" t="str">
        <f aca="false">IF(A2324="","",IFERROR(buscarx(A2324&amp;E2324,DATA!$E$3:$E$10000&amp;DATA!$B$3:$B$10000,DATA!$M$3:$M$10000),"Inactivo"))</f>
        <v/>
      </c>
      <c r="G2324" s="28" t="str">
        <f aca="false">IF(A2324="","",IF(AND(C2324&lt;&gt;"No encontrado",F2324&lt;&gt;"Inactivo"),C2324&amp;" → "&amp;F2324,"Sin transición"))</f>
        <v/>
      </c>
      <c r="H2324" s="26" t="str">
        <f aca="false">IF(A2324="","",IF(D2324="GCIA LINEA SERVICIO DIGITALIDAD Y VENTAS","Chats",IF(OR(D2324="GERENCIA INBOUND LÍNEAS SERVICIO Y VENTA",D2324="GERENCIA INBOUND LINEAS ESPECIALIZADAS"),"Llamadas","Otro")))</f>
        <v/>
      </c>
      <c r="I2324" s="26" t="str">
        <f aca="false">IF(A2324="","",IF(C2324="No encontrado","No","Sí"))</f>
        <v/>
      </c>
      <c r="J2324" s="26" t="str">
        <f aca="false">IF(A2324="","",IF(F2324="Inactivo","No","Sí"))</f>
        <v/>
      </c>
      <c r="K2324" s="26" t="str">
        <f aca="false">IF(A2324="","",IF(AND(I2324="Sí",J2324="Sí"),"Sí","No"))</f>
        <v/>
      </c>
    </row>
    <row r="2325" customFormat="false" ht="15" hidden="false" customHeight="false" outlineLevel="0" collapsed="false">
      <c r="A2325" s="22"/>
      <c r="B2325" s="22"/>
      <c r="C2325" s="23" t="str">
        <f aca="false">IF(A2325="","",IFERROR(buscarx(A2325&amp;B2325,DATA!$E$3:$E$10000&amp;DATA!$B$3:$B$10000,DATA!$M$3:$M$10000),"No encontrado"))</f>
        <v/>
      </c>
      <c r="D2325" s="24" t="str">
        <f aca="false">IF(A2325="","",IFERROR(buscarx(A2325&amp;B2325,DATA!$E$3:$E$10000&amp;DATA!$B$3:$B$10000,DATA!$W$3:$W$10000),"No encontrado"))</f>
        <v/>
      </c>
      <c r="E2325" s="22"/>
      <c r="F2325" s="23" t="str">
        <f aca="false">IF(A2325="","",IFERROR(buscarx(A2325&amp;E2325,DATA!$E$3:$E$10000&amp;DATA!$B$3:$B$10000,DATA!$M$3:$M$10000),"Inactivo"))</f>
        <v/>
      </c>
      <c r="G2325" s="25" t="str">
        <f aca="false">IF(A2325="","",IF(AND(C2325&lt;&gt;"No encontrado",F2325&lt;&gt;"Inactivo"),C2325&amp;" → "&amp;F2325,"Sin transición"))</f>
        <v/>
      </c>
      <c r="H2325" s="23" t="str">
        <f aca="false">IF(A2325="","",IF(D2325="GCIA LINEA SERVICIO DIGITALIDAD Y VENTAS","Chats",IF(OR(D2325="GERENCIA INBOUND LÍNEAS SERVICIO Y VENTA",D2325="GERENCIA INBOUND LINEAS ESPECIALIZADAS"),"Llamadas","Otro")))</f>
        <v/>
      </c>
      <c r="I2325" s="23" t="str">
        <f aca="false">IF(A2325="","",IF(C2325="No encontrado","No","Sí"))</f>
        <v/>
      </c>
      <c r="J2325" s="23" t="str">
        <f aca="false">IF(A2325="","",IF(F2325="Inactivo","No","Sí"))</f>
        <v/>
      </c>
      <c r="K2325" s="23" t="str">
        <f aca="false">IF(A2325="","",IF(AND(I2325="Sí",J2325="Sí"),"Sí","No"))</f>
        <v/>
      </c>
    </row>
    <row r="2326" customFormat="false" ht="15" hidden="false" customHeight="false" outlineLevel="0" collapsed="false">
      <c r="A2326" s="22"/>
      <c r="B2326" s="22"/>
      <c r="C2326" s="26" t="str">
        <f aca="false">IF(A2326="","",IFERROR(buscarx(A2326&amp;B2326,DATA!$E$3:$E$10000&amp;DATA!$B$3:$B$10000,DATA!$M$3:$M$10000),"No encontrado"))</f>
        <v/>
      </c>
      <c r="D2326" s="27" t="str">
        <f aca="false">IF(A2326="","",IFERROR(buscarx(A2326&amp;B2326,DATA!$E$3:$E$10000&amp;DATA!$B$3:$B$10000,DATA!$W$3:$W$10000),"No encontrado"))</f>
        <v/>
      </c>
      <c r="E2326" s="22"/>
      <c r="F2326" s="26" t="str">
        <f aca="false">IF(A2326="","",IFERROR(buscarx(A2326&amp;E2326,DATA!$E$3:$E$10000&amp;DATA!$B$3:$B$10000,DATA!$M$3:$M$10000),"Inactivo"))</f>
        <v/>
      </c>
      <c r="G2326" s="28" t="str">
        <f aca="false">IF(A2326="","",IF(AND(C2326&lt;&gt;"No encontrado",F2326&lt;&gt;"Inactivo"),C2326&amp;" → "&amp;F2326,"Sin transición"))</f>
        <v/>
      </c>
      <c r="H2326" s="26" t="str">
        <f aca="false">IF(A2326="","",IF(D2326="GCIA LINEA SERVICIO DIGITALIDAD Y VENTAS","Chats",IF(OR(D2326="GERENCIA INBOUND LÍNEAS SERVICIO Y VENTA",D2326="GERENCIA INBOUND LINEAS ESPECIALIZADAS"),"Llamadas","Otro")))</f>
        <v/>
      </c>
      <c r="I2326" s="26" t="str">
        <f aca="false">IF(A2326="","",IF(C2326="No encontrado","No","Sí"))</f>
        <v/>
      </c>
      <c r="J2326" s="26" t="str">
        <f aca="false">IF(A2326="","",IF(F2326="Inactivo","No","Sí"))</f>
        <v/>
      </c>
      <c r="K2326" s="26" t="str">
        <f aca="false">IF(A2326="","",IF(AND(I2326="Sí",J2326="Sí"),"Sí","No"))</f>
        <v/>
      </c>
    </row>
    <row r="2327" customFormat="false" ht="15" hidden="false" customHeight="false" outlineLevel="0" collapsed="false">
      <c r="A2327" s="22"/>
      <c r="B2327" s="22"/>
      <c r="C2327" s="23" t="str">
        <f aca="false">IF(A2327="","",IFERROR(buscarx(A2327&amp;B2327,DATA!$E$3:$E$10000&amp;DATA!$B$3:$B$10000,DATA!$M$3:$M$10000),"No encontrado"))</f>
        <v/>
      </c>
      <c r="D2327" s="24" t="str">
        <f aca="false">IF(A2327="","",IFERROR(buscarx(A2327&amp;B2327,DATA!$E$3:$E$10000&amp;DATA!$B$3:$B$10000,DATA!$W$3:$W$10000),"No encontrado"))</f>
        <v/>
      </c>
      <c r="E2327" s="22"/>
      <c r="F2327" s="23" t="str">
        <f aca="false">IF(A2327="","",IFERROR(buscarx(A2327&amp;E2327,DATA!$E$3:$E$10000&amp;DATA!$B$3:$B$10000,DATA!$M$3:$M$10000),"Inactivo"))</f>
        <v/>
      </c>
      <c r="G2327" s="25" t="str">
        <f aca="false">IF(A2327="","",IF(AND(C2327&lt;&gt;"No encontrado",F2327&lt;&gt;"Inactivo"),C2327&amp;" → "&amp;F2327,"Sin transición"))</f>
        <v/>
      </c>
      <c r="H2327" s="23" t="str">
        <f aca="false">IF(A2327="","",IF(D2327="GCIA LINEA SERVICIO DIGITALIDAD Y VENTAS","Chats",IF(OR(D2327="GERENCIA INBOUND LÍNEAS SERVICIO Y VENTA",D2327="GERENCIA INBOUND LINEAS ESPECIALIZADAS"),"Llamadas","Otro")))</f>
        <v/>
      </c>
      <c r="I2327" s="23" t="str">
        <f aca="false">IF(A2327="","",IF(C2327="No encontrado","No","Sí"))</f>
        <v/>
      </c>
      <c r="J2327" s="23" t="str">
        <f aca="false">IF(A2327="","",IF(F2327="Inactivo","No","Sí"))</f>
        <v/>
      </c>
      <c r="K2327" s="23" t="str">
        <f aca="false">IF(A2327="","",IF(AND(I2327="Sí",J2327="Sí"),"Sí","No"))</f>
        <v/>
      </c>
    </row>
    <row r="2328" customFormat="false" ht="15" hidden="false" customHeight="false" outlineLevel="0" collapsed="false">
      <c r="A2328" s="22"/>
      <c r="B2328" s="22"/>
      <c r="C2328" s="26" t="str">
        <f aca="false">IF(A2328="","",IFERROR(buscarx(A2328&amp;B2328,DATA!$E$3:$E$10000&amp;DATA!$B$3:$B$10000,DATA!$M$3:$M$10000),"No encontrado"))</f>
        <v/>
      </c>
      <c r="D2328" s="27" t="str">
        <f aca="false">IF(A2328="","",IFERROR(buscarx(A2328&amp;B2328,DATA!$E$3:$E$10000&amp;DATA!$B$3:$B$10000,DATA!$W$3:$W$10000),"No encontrado"))</f>
        <v/>
      </c>
      <c r="E2328" s="22"/>
      <c r="F2328" s="26" t="str">
        <f aca="false">IF(A2328="","",IFERROR(buscarx(A2328&amp;E2328,DATA!$E$3:$E$10000&amp;DATA!$B$3:$B$10000,DATA!$M$3:$M$10000),"Inactivo"))</f>
        <v/>
      </c>
      <c r="G2328" s="28" t="str">
        <f aca="false">IF(A2328="","",IF(AND(C2328&lt;&gt;"No encontrado",F2328&lt;&gt;"Inactivo"),C2328&amp;" → "&amp;F2328,"Sin transición"))</f>
        <v/>
      </c>
      <c r="H2328" s="26" t="str">
        <f aca="false">IF(A2328="","",IF(D2328="GCIA LINEA SERVICIO DIGITALIDAD Y VENTAS","Chats",IF(OR(D2328="GERENCIA INBOUND LÍNEAS SERVICIO Y VENTA",D2328="GERENCIA INBOUND LINEAS ESPECIALIZADAS"),"Llamadas","Otro")))</f>
        <v/>
      </c>
      <c r="I2328" s="26" t="str">
        <f aca="false">IF(A2328="","",IF(C2328="No encontrado","No","Sí"))</f>
        <v/>
      </c>
      <c r="J2328" s="26" t="str">
        <f aca="false">IF(A2328="","",IF(F2328="Inactivo","No","Sí"))</f>
        <v/>
      </c>
      <c r="K2328" s="26" t="str">
        <f aca="false">IF(A2328="","",IF(AND(I2328="Sí",J2328="Sí"),"Sí","No"))</f>
        <v/>
      </c>
    </row>
    <row r="2329" customFormat="false" ht="15" hidden="false" customHeight="false" outlineLevel="0" collapsed="false">
      <c r="A2329" s="22"/>
      <c r="B2329" s="22"/>
      <c r="C2329" s="23" t="str">
        <f aca="false">IF(A2329="","",IFERROR(buscarx(A2329&amp;B2329,DATA!$E$3:$E$10000&amp;DATA!$B$3:$B$10000,DATA!$M$3:$M$10000),"No encontrado"))</f>
        <v/>
      </c>
      <c r="D2329" s="24" t="str">
        <f aca="false">IF(A2329="","",IFERROR(buscarx(A2329&amp;B2329,DATA!$E$3:$E$10000&amp;DATA!$B$3:$B$10000,DATA!$W$3:$W$10000),"No encontrado"))</f>
        <v/>
      </c>
      <c r="E2329" s="22"/>
      <c r="F2329" s="23" t="str">
        <f aca="false">IF(A2329="","",IFERROR(buscarx(A2329&amp;E2329,DATA!$E$3:$E$10000&amp;DATA!$B$3:$B$10000,DATA!$M$3:$M$10000),"Inactivo"))</f>
        <v/>
      </c>
      <c r="G2329" s="25" t="str">
        <f aca="false">IF(A2329="","",IF(AND(C2329&lt;&gt;"No encontrado",F2329&lt;&gt;"Inactivo"),C2329&amp;" → "&amp;F2329,"Sin transición"))</f>
        <v/>
      </c>
      <c r="H2329" s="23" t="str">
        <f aca="false">IF(A2329="","",IF(D2329="GCIA LINEA SERVICIO DIGITALIDAD Y VENTAS","Chats",IF(OR(D2329="GERENCIA INBOUND LÍNEAS SERVICIO Y VENTA",D2329="GERENCIA INBOUND LINEAS ESPECIALIZADAS"),"Llamadas","Otro")))</f>
        <v/>
      </c>
      <c r="I2329" s="23" t="str">
        <f aca="false">IF(A2329="","",IF(C2329="No encontrado","No","Sí"))</f>
        <v/>
      </c>
      <c r="J2329" s="23" t="str">
        <f aca="false">IF(A2329="","",IF(F2329="Inactivo","No","Sí"))</f>
        <v/>
      </c>
      <c r="K2329" s="23" t="str">
        <f aca="false">IF(A2329="","",IF(AND(I2329="Sí",J2329="Sí"),"Sí","No"))</f>
        <v/>
      </c>
    </row>
    <row r="2330" customFormat="false" ht="15" hidden="false" customHeight="false" outlineLevel="0" collapsed="false">
      <c r="A2330" s="22"/>
      <c r="B2330" s="22"/>
      <c r="C2330" s="26" t="str">
        <f aca="false">IF(A2330="","",IFERROR(buscarx(A2330&amp;B2330,DATA!$E$3:$E$10000&amp;DATA!$B$3:$B$10000,DATA!$M$3:$M$10000),"No encontrado"))</f>
        <v/>
      </c>
      <c r="D2330" s="27" t="str">
        <f aca="false">IF(A2330="","",IFERROR(buscarx(A2330&amp;B2330,DATA!$E$3:$E$10000&amp;DATA!$B$3:$B$10000,DATA!$W$3:$W$10000),"No encontrado"))</f>
        <v/>
      </c>
      <c r="E2330" s="22"/>
      <c r="F2330" s="26" t="str">
        <f aca="false">IF(A2330="","",IFERROR(buscarx(A2330&amp;E2330,DATA!$E$3:$E$10000&amp;DATA!$B$3:$B$10000,DATA!$M$3:$M$10000),"Inactivo"))</f>
        <v/>
      </c>
      <c r="G2330" s="28" t="str">
        <f aca="false">IF(A2330="","",IF(AND(C2330&lt;&gt;"No encontrado",F2330&lt;&gt;"Inactivo"),C2330&amp;" → "&amp;F2330,"Sin transición"))</f>
        <v/>
      </c>
      <c r="H2330" s="26" t="str">
        <f aca="false">IF(A2330="","",IF(D2330="GCIA LINEA SERVICIO DIGITALIDAD Y VENTAS","Chats",IF(OR(D2330="GERENCIA INBOUND LÍNEAS SERVICIO Y VENTA",D2330="GERENCIA INBOUND LINEAS ESPECIALIZADAS"),"Llamadas","Otro")))</f>
        <v/>
      </c>
      <c r="I2330" s="26" t="str">
        <f aca="false">IF(A2330="","",IF(C2330="No encontrado","No","Sí"))</f>
        <v/>
      </c>
      <c r="J2330" s="26" t="str">
        <f aca="false">IF(A2330="","",IF(F2330="Inactivo","No","Sí"))</f>
        <v/>
      </c>
      <c r="K2330" s="26" t="str">
        <f aca="false">IF(A2330="","",IF(AND(I2330="Sí",J2330="Sí"),"Sí","No"))</f>
        <v/>
      </c>
    </row>
    <row r="2331" customFormat="false" ht="15" hidden="false" customHeight="false" outlineLevel="0" collapsed="false">
      <c r="A2331" s="22"/>
      <c r="B2331" s="22"/>
      <c r="C2331" s="23" t="str">
        <f aca="false">IF(A2331="","",IFERROR(buscarx(A2331&amp;B2331,DATA!$E$3:$E$10000&amp;DATA!$B$3:$B$10000,DATA!$M$3:$M$10000),"No encontrado"))</f>
        <v/>
      </c>
      <c r="D2331" s="24" t="str">
        <f aca="false">IF(A2331="","",IFERROR(buscarx(A2331&amp;B2331,DATA!$E$3:$E$10000&amp;DATA!$B$3:$B$10000,DATA!$W$3:$W$10000),"No encontrado"))</f>
        <v/>
      </c>
      <c r="E2331" s="22"/>
      <c r="F2331" s="23" t="str">
        <f aca="false">IF(A2331="","",IFERROR(buscarx(A2331&amp;E2331,DATA!$E$3:$E$10000&amp;DATA!$B$3:$B$10000,DATA!$M$3:$M$10000),"Inactivo"))</f>
        <v/>
      </c>
      <c r="G2331" s="25" t="str">
        <f aca="false">IF(A2331="","",IF(AND(C2331&lt;&gt;"No encontrado",F2331&lt;&gt;"Inactivo"),C2331&amp;" → "&amp;F2331,"Sin transición"))</f>
        <v/>
      </c>
      <c r="H2331" s="23" t="str">
        <f aca="false">IF(A2331="","",IF(D2331="GCIA LINEA SERVICIO DIGITALIDAD Y VENTAS","Chats",IF(OR(D2331="GERENCIA INBOUND LÍNEAS SERVICIO Y VENTA",D2331="GERENCIA INBOUND LINEAS ESPECIALIZADAS"),"Llamadas","Otro")))</f>
        <v/>
      </c>
      <c r="I2331" s="23" t="str">
        <f aca="false">IF(A2331="","",IF(C2331="No encontrado","No","Sí"))</f>
        <v/>
      </c>
      <c r="J2331" s="23" t="str">
        <f aca="false">IF(A2331="","",IF(F2331="Inactivo","No","Sí"))</f>
        <v/>
      </c>
      <c r="K2331" s="23" t="str">
        <f aca="false">IF(A2331="","",IF(AND(I2331="Sí",J2331="Sí"),"Sí","No"))</f>
        <v/>
      </c>
    </row>
    <row r="2332" customFormat="false" ht="15" hidden="false" customHeight="false" outlineLevel="0" collapsed="false">
      <c r="A2332" s="22"/>
      <c r="B2332" s="22"/>
      <c r="C2332" s="26" t="str">
        <f aca="false">IF(A2332="","",IFERROR(buscarx(A2332&amp;B2332,DATA!$E$3:$E$10000&amp;DATA!$B$3:$B$10000,DATA!$M$3:$M$10000),"No encontrado"))</f>
        <v/>
      </c>
      <c r="D2332" s="27" t="str">
        <f aca="false">IF(A2332="","",IFERROR(buscarx(A2332&amp;B2332,DATA!$E$3:$E$10000&amp;DATA!$B$3:$B$10000,DATA!$W$3:$W$10000),"No encontrado"))</f>
        <v/>
      </c>
      <c r="E2332" s="22"/>
      <c r="F2332" s="26" t="str">
        <f aca="false">IF(A2332="","",IFERROR(buscarx(A2332&amp;E2332,DATA!$E$3:$E$10000&amp;DATA!$B$3:$B$10000,DATA!$M$3:$M$10000),"Inactivo"))</f>
        <v/>
      </c>
      <c r="G2332" s="28" t="str">
        <f aca="false">IF(A2332="","",IF(AND(C2332&lt;&gt;"No encontrado",F2332&lt;&gt;"Inactivo"),C2332&amp;" → "&amp;F2332,"Sin transición"))</f>
        <v/>
      </c>
      <c r="H2332" s="26" t="str">
        <f aca="false">IF(A2332="","",IF(D2332="GCIA LINEA SERVICIO DIGITALIDAD Y VENTAS","Chats",IF(OR(D2332="GERENCIA INBOUND LÍNEAS SERVICIO Y VENTA",D2332="GERENCIA INBOUND LINEAS ESPECIALIZADAS"),"Llamadas","Otro")))</f>
        <v/>
      </c>
      <c r="I2332" s="26" t="str">
        <f aca="false">IF(A2332="","",IF(C2332="No encontrado","No","Sí"))</f>
        <v/>
      </c>
      <c r="J2332" s="26" t="str">
        <f aca="false">IF(A2332="","",IF(F2332="Inactivo","No","Sí"))</f>
        <v/>
      </c>
      <c r="K2332" s="26" t="str">
        <f aca="false">IF(A2332="","",IF(AND(I2332="Sí",J2332="Sí"),"Sí","No"))</f>
        <v/>
      </c>
    </row>
    <row r="2333" customFormat="false" ht="15" hidden="false" customHeight="false" outlineLevel="0" collapsed="false">
      <c r="A2333" s="22"/>
      <c r="B2333" s="22"/>
      <c r="C2333" s="23" t="str">
        <f aca="false">IF(A2333="","",IFERROR(buscarx(A2333&amp;B2333,DATA!$E$3:$E$10000&amp;DATA!$B$3:$B$10000,DATA!$M$3:$M$10000),"No encontrado"))</f>
        <v/>
      </c>
      <c r="D2333" s="24" t="str">
        <f aca="false">IF(A2333="","",IFERROR(buscarx(A2333&amp;B2333,DATA!$E$3:$E$10000&amp;DATA!$B$3:$B$10000,DATA!$W$3:$W$10000),"No encontrado"))</f>
        <v/>
      </c>
      <c r="E2333" s="22"/>
      <c r="F2333" s="23" t="str">
        <f aca="false">IF(A2333="","",IFERROR(buscarx(A2333&amp;E2333,DATA!$E$3:$E$10000&amp;DATA!$B$3:$B$10000,DATA!$M$3:$M$10000),"Inactivo"))</f>
        <v/>
      </c>
      <c r="G2333" s="25" t="str">
        <f aca="false">IF(A2333="","",IF(AND(C2333&lt;&gt;"No encontrado",F2333&lt;&gt;"Inactivo"),C2333&amp;" → "&amp;F2333,"Sin transición"))</f>
        <v/>
      </c>
      <c r="H2333" s="23" t="str">
        <f aca="false">IF(A2333="","",IF(D2333="GCIA LINEA SERVICIO DIGITALIDAD Y VENTAS","Chats",IF(OR(D2333="GERENCIA INBOUND LÍNEAS SERVICIO Y VENTA",D2333="GERENCIA INBOUND LINEAS ESPECIALIZADAS"),"Llamadas","Otro")))</f>
        <v/>
      </c>
      <c r="I2333" s="23" t="str">
        <f aca="false">IF(A2333="","",IF(C2333="No encontrado","No","Sí"))</f>
        <v/>
      </c>
      <c r="J2333" s="23" t="str">
        <f aca="false">IF(A2333="","",IF(F2333="Inactivo","No","Sí"))</f>
        <v/>
      </c>
      <c r="K2333" s="23" t="str">
        <f aca="false">IF(A2333="","",IF(AND(I2333="Sí",J2333="Sí"),"Sí","No"))</f>
        <v/>
      </c>
    </row>
    <row r="2334" customFormat="false" ht="15" hidden="false" customHeight="false" outlineLevel="0" collapsed="false">
      <c r="A2334" s="22"/>
      <c r="B2334" s="22"/>
      <c r="C2334" s="26" t="str">
        <f aca="false">IF(A2334="","",IFERROR(buscarx(A2334&amp;B2334,DATA!$E$3:$E$10000&amp;DATA!$B$3:$B$10000,DATA!$M$3:$M$10000),"No encontrado"))</f>
        <v/>
      </c>
      <c r="D2334" s="27" t="str">
        <f aca="false">IF(A2334="","",IFERROR(buscarx(A2334&amp;B2334,DATA!$E$3:$E$10000&amp;DATA!$B$3:$B$10000,DATA!$W$3:$W$10000),"No encontrado"))</f>
        <v/>
      </c>
      <c r="E2334" s="22"/>
      <c r="F2334" s="26" t="str">
        <f aca="false">IF(A2334="","",IFERROR(buscarx(A2334&amp;E2334,DATA!$E$3:$E$10000&amp;DATA!$B$3:$B$10000,DATA!$M$3:$M$10000),"Inactivo"))</f>
        <v/>
      </c>
      <c r="G2334" s="28" t="str">
        <f aca="false">IF(A2334="","",IF(AND(C2334&lt;&gt;"No encontrado",F2334&lt;&gt;"Inactivo"),C2334&amp;" → "&amp;F2334,"Sin transición"))</f>
        <v/>
      </c>
      <c r="H2334" s="26" t="str">
        <f aca="false">IF(A2334="","",IF(D2334="GCIA LINEA SERVICIO DIGITALIDAD Y VENTAS","Chats",IF(OR(D2334="GERENCIA INBOUND LÍNEAS SERVICIO Y VENTA",D2334="GERENCIA INBOUND LINEAS ESPECIALIZADAS"),"Llamadas","Otro")))</f>
        <v/>
      </c>
      <c r="I2334" s="26" t="str">
        <f aca="false">IF(A2334="","",IF(C2334="No encontrado","No","Sí"))</f>
        <v/>
      </c>
      <c r="J2334" s="26" t="str">
        <f aca="false">IF(A2334="","",IF(F2334="Inactivo","No","Sí"))</f>
        <v/>
      </c>
      <c r="K2334" s="26" t="str">
        <f aca="false">IF(A2334="","",IF(AND(I2334="Sí",J2334="Sí"),"Sí","No"))</f>
        <v/>
      </c>
    </row>
    <row r="2335" customFormat="false" ht="15" hidden="false" customHeight="false" outlineLevel="0" collapsed="false">
      <c r="A2335" s="22"/>
      <c r="B2335" s="22"/>
      <c r="C2335" s="23" t="str">
        <f aca="false">IF(A2335="","",IFERROR(buscarx(A2335&amp;B2335,DATA!$E$3:$E$10000&amp;DATA!$B$3:$B$10000,DATA!$M$3:$M$10000),"No encontrado"))</f>
        <v/>
      </c>
      <c r="D2335" s="24" t="str">
        <f aca="false">IF(A2335="","",IFERROR(buscarx(A2335&amp;B2335,DATA!$E$3:$E$10000&amp;DATA!$B$3:$B$10000,DATA!$W$3:$W$10000),"No encontrado"))</f>
        <v/>
      </c>
      <c r="E2335" s="22"/>
      <c r="F2335" s="23" t="str">
        <f aca="false">IF(A2335="","",IFERROR(buscarx(A2335&amp;E2335,DATA!$E$3:$E$10000&amp;DATA!$B$3:$B$10000,DATA!$M$3:$M$10000),"Inactivo"))</f>
        <v/>
      </c>
      <c r="G2335" s="25" t="str">
        <f aca="false">IF(A2335="","",IF(AND(C2335&lt;&gt;"No encontrado",F2335&lt;&gt;"Inactivo"),C2335&amp;" → "&amp;F2335,"Sin transición"))</f>
        <v/>
      </c>
      <c r="H2335" s="23" t="str">
        <f aca="false">IF(A2335="","",IF(D2335="GCIA LINEA SERVICIO DIGITALIDAD Y VENTAS","Chats",IF(OR(D2335="GERENCIA INBOUND LÍNEAS SERVICIO Y VENTA",D2335="GERENCIA INBOUND LINEAS ESPECIALIZADAS"),"Llamadas","Otro")))</f>
        <v/>
      </c>
      <c r="I2335" s="23" t="str">
        <f aca="false">IF(A2335="","",IF(C2335="No encontrado","No","Sí"))</f>
        <v/>
      </c>
      <c r="J2335" s="23" t="str">
        <f aca="false">IF(A2335="","",IF(F2335="Inactivo","No","Sí"))</f>
        <v/>
      </c>
      <c r="K2335" s="23" t="str">
        <f aca="false">IF(A2335="","",IF(AND(I2335="Sí",J2335="Sí"),"Sí","No"))</f>
        <v/>
      </c>
    </row>
    <row r="2336" customFormat="false" ht="15" hidden="false" customHeight="false" outlineLevel="0" collapsed="false">
      <c r="A2336" s="22"/>
      <c r="B2336" s="22"/>
      <c r="C2336" s="26" t="str">
        <f aca="false">IF(A2336="","",IFERROR(buscarx(A2336&amp;B2336,DATA!$E$3:$E$10000&amp;DATA!$B$3:$B$10000,DATA!$M$3:$M$10000),"No encontrado"))</f>
        <v/>
      </c>
      <c r="D2336" s="27" t="str">
        <f aca="false">IF(A2336="","",IFERROR(buscarx(A2336&amp;B2336,DATA!$E$3:$E$10000&amp;DATA!$B$3:$B$10000,DATA!$W$3:$W$10000),"No encontrado"))</f>
        <v/>
      </c>
      <c r="E2336" s="22"/>
      <c r="F2336" s="26" t="str">
        <f aca="false">IF(A2336="","",IFERROR(buscarx(A2336&amp;E2336,DATA!$E$3:$E$10000&amp;DATA!$B$3:$B$10000,DATA!$M$3:$M$10000),"Inactivo"))</f>
        <v/>
      </c>
      <c r="G2336" s="28" t="str">
        <f aca="false">IF(A2336="","",IF(AND(C2336&lt;&gt;"No encontrado",F2336&lt;&gt;"Inactivo"),C2336&amp;" → "&amp;F2336,"Sin transición"))</f>
        <v/>
      </c>
      <c r="H2336" s="26" t="str">
        <f aca="false">IF(A2336="","",IF(D2336="GCIA LINEA SERVICIO DIGITALIDAD Y VENTAS","Chats",IF(OR(D2336="GERENCIA INBOUND LÍNEAS SERVICIO Y VENTA",D2336="GERENCIA INBOUND LINEAS ESPECIALIZADAS"),"Llamadas","Otro")))</f>
        <v/>
      </c>
      <c r="I2336" s="26" t="str">
        <f aca="false">IF(A2336="","",IF(C2336="No encontrado","No","Sí"))</f>
        <v/>
      </c>
      <c r="J2336" s="26" t="str">
        <f aca="false">IF(A2336="","",IF(F2336="Inactivo","No","Sí"))</f>
        <v/>
      </c>
      <c r="K2336" s="26" t="str">
        <f aca="false">IF(A2336="","",IF(AND(I2336="Sí",J2336="Sí"),"Sí","No"))</f>
        <v/>
      </c>
    </row>
    <row r="2337" customFormat="false" ht="15" hidden="false" customHeight="false" outlineLevel="0" collapsed="false">
      <c r="A2337" s="22"/>
      <c r="B2337" s="22"/>
      <c r="C2337" s="23" t="str">
        <f aca="false">IF(A2337="","",IFERROR(buscarx(A2337&amp;B2337,DATA!$E$3:$E$10000&amp;DATA!$B$3:$B$10000,DATA!$M$3:$M$10000),"No encontrado"))</f>
        <v/>
      </c>
      <c r="D2337" s="24" t="str">
        <f aca="false">IF(A2337="","",IFERROR(buscarx(A2337&amp;B2337,DATA!$E$3:$E$10000&amp;DATA!$B$3:$B$10000,DATA!$W$3:$W$10000),"No encontrado"))</f>
        <v/>
      </c>
      <c r="E2337" s="22"/>
      <c r="F2337" s="23" t="str">
        <f aca="false">IF(A2337="","",IFERROR(buscarx(A2337&amp;E2337,DATA!$E$3:$E$10000&amp;DATA!$B$3:$B$10000,DATA!$M$3:$M$10000),"Inactivo"))</f>
        <v/>
      </c>
      <c r="G2337" s="25" t="str">
        <f aca="false">IF(A2337="","",IF(AND(C2337&lt;&gt;"No encontrado",F2337&lt;&gt;"Inactivo"),C2337&amp;" → "&amp;F2337,"Sin transición"))</f>
        <v/>
      </c>
      <c r="H2337" s="23" t="str">
        <f aca="false">IF(A2337="","",IF(D2337="GCIA LINEA SERVICIO DIGITALIDAD Y VENTAS","Chats",IF(OR(D2337="GERENCIA INBOUND LÍNEAS SERVICIO Y VENTA",D2337="GERENCIA INBOUND LINEAS ESPECIALIZADAS"),"Llamadas","Otro")))</f>
        <v/>
      </c>
      <c r="I2337" s="23" t="str">
        <f aca="false">IF(A2337="","",IF(C2337="No encontrado","No","Sí"))</f>
        <v/>
      </c>
      <c r="J2337" s="23" t="str">
        <f aca="false">IF(A2337="","",IF(F2337="Inactivo","No","Sí"))</f>
        <v/>
      </c>
      <c r="K2337" s="23" t="str">
        <f aca="false">IF(A2337="","",IF(AND(I2337="Sí",J2337="Sí"),"Sí","No"))</f>
        <v/>
      </c>
    </row>
    <row r="2338" customFormat="false" ht="15" hidden="false" customHeight="false" outlineLevel="0" collapsed="false">
      <c r="A2338" s="22"/>
      <c r="B2338" s="22"/>
      <c r="C2338" s="26" t="str">
        <f aca="false">IF(A2338="","",IFERROR(buscarx(A2338&amp;B2338,DATA!$E$3:$E$10000&amp;DATA!$B$3:$B$10000,DATA!$M$3:$M$10000),"No encontrado"))</f>
        <v/>
      </c>
      <c r="D2338" s="27" t="str">
        <f aca="false">IF(A2338="","",IFERROR(buscarx(A2338&amp;B2338,DATA!$E$3:$E$10000&amp;DATA!$B$3:$B$10000,DATA!$W$3:$W$10000),"No encontrado"))</f>
        <v/>
      </c>
      <c r="E2338" s="22"/>
      <c r="F2338" s="26" t="str">
        <f aca="false">IF(A2338="","",IFERROR(buscarx(A2338&amp;E2338,DATA!$E$3:$E$10000&amp;DATA!$B$3:$B$10000,DATA!$M$3:$M$10000),"Inactivo"))</f>
        <v/>
      </c>
      <c r="G2338" s="28" t="str">
        <f aca="false">IF(A2338="","",IF(AND(C2338&lt;&gt;"No encontrado",F2338&lt;&gt;"Inactivo"),C2338&amp;" → "&amp;F2338,"Sin transición"))</f>
        <v/>
      </c>
      <c r="H2338" s="26" t="str">
        <f aca="false">IF(A2338="","",IF(D2338="GCIA LINEA SERVICIO DIGITALIDAD Y VENTAS","Chats",IF(OR(D2338="GERENCIA INBOUND LÍNEAS SERVICIO Y VENTA",D2338="GERENCIA INBOUND LINEAS ESPECIALIZADAS"),"Llamadas","Otro")))</f>
        <v/>
      </c>
      <c r="I2338" s="26" t="str">
        <f aca="false">IF(A2338="","",IF(C2338="No encontrado","No","Sí"))</f>
        <v/>
      </c>
      <c r="J2338" s="26" t="str">
        <f aca="false">IF(A2338="","",IF(F2338="Inactivo","No","Sí"))</f>
        <v/>
      </c>
      <c r="K2338" s="26" t="str">
        <f aca="false">IF(A2338="","",IF(AND(I2338="Sí",J2338="Sí"),"Sí","No"))</f>
        <v/>
      </c>
    </row>
    <row r="2339" customFormat="false" ht="15" hidden="false" customHeight="false" outlineLevel="0" collapsed="false">
      <c r="A2339" s="22"/>
      <c r="B2339" s="22"/>
      <c r="C2339" s="23" t="str">
        <f aca="false">IF(A2339="","",IFERROR(buscarx(A2339&amp;B2339,DATA!$E$3:$E$10000&amp;DATA!$B$3:$B$10000,DATA!$M$3:$M$10000),"No encontrado"))</f>
        <v/>
      </c>
      <c r="D2339" s="24" t="str">
        <f aca="false">IF(A2339="","",IFERROR(buscarx(A2339&amp;B2339,DATA!$E$3:$E$10000&amp;DATA!$B$3:$B$10000,DATA!$W$3:$W$10000),"No encontrado"))</f>
        <v/>
      </c>
      <c r="E2339" s="22"/>
      <c r="F2339" s="23" t="str">
        <f aca="false">IF(A2339="","",IFERROR(buscarx(A2339&amp;E2339,DATA!$E$3:$E$10000&amp;DATA!$B$3:$B$10000,DATA!$M$3:$M$10000),"Inactivo"))</f>
        <v/>
      </c>
      <c r="G2339" s="25" t="str">
        <f aca="false">IF(A2339="","",IF(AND(C2339&lt;&gt;"No encontrado",F2339&lt;&gt;"Inactivo"),C2339&amp;" → "&amp;F2339,"Sin transición"))</f>
        <v/>
      </c>
      <c r="H2339" s="23" t="str">
        <f aca="false">IF(A2339="","",IF(D2339="GCIA LINEA SERVICIO DIGITALIDAD Y VENTAS","Chats",IF(OR(D2339="GERENCIA INBOUND LÍNEAS SERVICIO Y VENTA",D2339="GERENCIA INBOUND LINEAS ESPECIALIZADAS"),"Llamadas","Otro")))</f>
        <v/>
      </c>
      <c r="I2339" s="23" t="str">
        <f aca="false">IF(A2339="","",IF(C2339="No encontrado","No","Sí"))</f>
        <v/>
      </c>
      <c r="J2339" s="23" t="str">
        <f aca="false">IF(A2339="","",IF(F2339="Inactivo","No","Sí"))</f>
        <v/>
      </c>
      <c r="K2339" s="23" t="str">
        <f aca="false">IF(A2339="","",IF(AND(I2339="Sí",J2339="Sí"),"Sí","No"))</f>
        <v/>
      </c>
    </row>
    <row r="2340" customFormat="false" ht="15" hidden="false" customHeight="false" outlineLevel="0" collapsed="false">
      <c r="A2340" s="22"/>
      <c r="B2340" s="22"/>
      <c r="C2340" s="26" t="str">
        <f aca="false">IF(A2340="","",IFERROR(buscarx(A2340&amp;B2340,DATA!$E$3:$E$10000&amp;DATA!$B$3:$B$10000,DATA!$M$3:$M$10000),"No encontrado"))</f>
        <v/>
      </c>
      <c r="D2340" s="27" t="str">
        <f aca="false">IF(A2340="","",IFERROR(buscarx(A2340&amp;B2340,DATA!$E$3:$E$10000&amp;DATA!$B$3:$B$10000,DATA!$W$3:$W$10000),"No encontrado"))</f>
        <v/>
      </c>
      <c r="E2340" s="22"/>
      <c r="F2340" s="26" t="str">
        <f aca="false">IF(A2340="","",IFERROR(buscarx(A2340&amp;E2340,DATA!$E$3:$E$10000&amp;DATA!$B$3:$B$10000,DATA!$M$3:$M$10000),"Inactivo"))</f>
        <v/>
      </c>
      <c r="G2340" s="28" t="str">
        <f aca="false">IF(A2340="","",IF(AND(C2340&lt;&gt;"No encontrado",F2340&lt;&gt;"Inactivo"),C2340&amp;" → "&amp;F2340,"Sin transición"))</f>
        <v/>
      </c>
      <c r="H2340" s="26" t="str">
        <f aca="false">IF(A2340="","",IF(D2340="GCIA LINEA SERVICIO DIGITALIDAD Y VENTAS","Chats",IF(OR(D2340="GERENCIA INBOUND LÍNEAS SERVICIO Y VENTA",D2340="GERENCIA INBOUND LINEAS ESPECIALIZADAS"),"Llamadas","Otro")))</f>
        <v/>
      </c>
      <c r="I2340" s="26" t="str">
        <f aca="false">IF(A2340="","",IF(C2340="No encontrado","No","Sí"))</f>
        <v/>
      </c>
      <c r="J2340" s="26" t="str">
        <f aca="false">IF(A2340="","",IF(F2340="Inactivo","No","Sí"))</f>
        <v/>
      </c>
      <c r="K2340" s="26" t="str">
        <f aca="false">IF(A2340="","",IF(AND(I2340="Sí",J2340="Sí"),"Sí","No"))</f>
        <v/>
      </c>
    </row>
    <row r="2341" customFormat="false" ht="15" hidden="false" customHeight="false" outlineLevel="0" collapsed="false">
      <c r="A2341" s="22"/>
      <c r="B2341" s="22"/>
      <c r="C2341" s="23" t="str">
        <f aca="false">IF(A2341="","",IFERROR(buscarx(A2341&amp;B2341,DATA!$E$3:$E$10000&amp;DATA!$B$3:$B$10000,DATA!$M$3:$M$10000),"No encontrado"))</f>
        <v/>
      </c>
      <c r="D2341" s="24" t="str">
        <f aca="false">IF(A2341="","",IFERROR(buscarx(A2341&amp;B2341,DATA!$E$3:$E$10000&amp;DATA!$B$3:$B$10000,DATA!$W$3:$W$10000),"No encontrado"))</f>
        <v/>
      </c>
      <c r="E2341" s="22"/>
      <c r="F2341" s="23" t="str">
        <f aca="false">IF(A2341="","",IFERROR(buscarx(A2341&amp;E2341,DATA!$E$3:$E$10000&amp;DATA!$B$3:$B$10000,DATA!$M$3:$M$10000),"Inactivo"))</f>
        <v/>
      </c>
      <c r="G2341" s="25" t="str">
        <f aca="false">IF(A2341="","",IF(AND(C2341&lt;&gt;"No encontrado",F2341&lt;&gt;"Inactivo"),C2341&amp;" → "&amp;F2341,"Sin transición"))</f>
        <v/>
      </c>
      <c r="H2341" s="23" t="str">
        <f aca="false">IF(A2341="","",IF(D2341="GCIA LINEA SERVICIO DIGITALIDAD Y VENTAS","Chats",IF(OR(D2341="GERENCIA INBOUND LÍNEAS SERVICIO Y VENTA",D2341="GERENCIA INBOUND LINEAS ESPECIALIZADAS"),"Llamadas","Otro")))</f>
        <v/>
      </c>
      <c r="I2341" s="23" t="str">
        <f aca="false">IF(A2341="","",IF(C2341="No encontrado","No","Sí"))</f>
        <v/>
      </c>
      <c r="J2341" s="23" t="str">
        <f aca="false">IF(A2341="","",IF(F2341="Inactivo","No","Sí"))</f>
        <v/>
      </c>
      <c r="K2341" s="23" t="str">
        <f aca="false">IF(A2341="","",IF(AND(I2341="Sí",J2341="Sí"),"Sí","No"))</f>
        <v/>
      </c>
    </row>
    <row r="2342" customFormat="false" ht="15" hidden="false" customHeight="false" outlineLevel="0" collapsed="false">
      <c r="A2342" s="22"/>
      <c r="B2342" s="22"/>
      <c r="C2342" s="26" t="str">
        <f aca="false">IF(A2342="","",IFERROR(buscarx(A2342&amp;B2342,DATA!$E$3:$E$10000&amp;DATA!$B$3:$B$10000,DATA!$M$3:$M$10000),"No encontrado"))</f>
        <v/>
      </c>
      <c r="D2342" s="27" t="str">
        <f aca="false">IF(A2342="","",IFERROR(buscarx(A2342&amp;B2342,DATA!$E$3:$E$10000&amp;DATA!$B$3:$B$10000,DATA!$W$3:$W$10000),"No encontrado"))</f>
        <v/>
      </c>
      <c r="E2342" s="22"/>
      <c r="F2342" s="26" t="str">
        <f aca="false">IF(A2342="","",IFERROR(buscarx(A2342&amp;E2342,DATA!$E$3:$E$10000&amp;DATA!$B$3:$B$10000,DATA!$M$3:$M$10000),"Inactivo"))</f>
        <v/>
      </c>
      <c r="G2342" s="28" t="str">
        <f aca="false">IF(A2342="","",IF(AND(C2342&lt;&gt;"No encontrado",F2342&lt;&gt;"Inactivo"),C2342&amp;" → "&amp;F2342,"Sin transición"))</f>
        <v/>
      </c>
      <c r="H2342" s="26" t="str">
        <f aca="false">IF(A2342="","",IF(D2342="GCIA LINEA SERVICIO DIGITALIDAD Y VENTAS","Chats",IF(OR(D2342="GERENCIA INBOUND LÍNEAS SERVICIO Y VENTA",D2342="GERENCIA INBOUND LINEAS ESPECIALIZADAS"),"Llamadas","Otro")))</f>
        <v/>
      </c>
      <c r="I2342" s="26" t="str">
        <f aca="false">IF(A2342="","",IF(C2342="No encontrado","No","Sí"))</f>
        <v/>
      </c>
      <c r="J2342" s="26" t="str">
        <f aca="false">IF(A2342="","",IF(F2342="Inactivo","No","Sí"))</f>
        <v/>
      </c>
      <c r="K2342" s="26" t="str">
        <f aca="false">IF(A2342="","",IF(AND(I2342="Sí",J2342="Sí"),"Sí","No"))</f>
        <v/>
      </c>
    </row>
    <row r="2343" customFormat="false" ht="15" hidden="false" customHeight="false" outlineLevel="0" collapsed="false">
      <c r="A2343" s="22"/>
      <c r="B2343" s="22"/>
      <c r="C2343" s="23" t="str">
        <f aca="false">IF(A2343="","",IFERROR(buscarx(A2343&amp;B2343,DATA!$E$3:$E$10000&amp;DATA!$B$3:$B$10000,DATA!$M$3:$M$10000),"No encontrado"))</f>
        <v/>
      </c>
      <c r="D2343" s="24" t="str">
        <f aca="false">IF(A2343="","",IFERROR(buscarx(A2343&amp;B2343,DATA!$E$3:$E$10000&amp;DATA!$B$3:$B$10000,DATA!$W$3:$W$10000),"No encontrado"))</f>
        <v/>
      </c>
      <c r="E2343" s="22"/>
      <c r="F2343" s="23" t="str">
        <f aca="false">IF(A2343="","",IFERROR(buscarx(A2343&amp;E2343,DATA!$E$3:$E$10000&amp;DATA!$B$3:$B$10000,DATA!$M$3:$M$10000),"Inactivo"))</f>
        <v/>
      </c>
      <c r="G2343" s="25" t="str">
        <f aca="false">IF(A2343="","",IF(AND(C2343&lt;&gt;"No encontrado",F2343&lt;&gt;"Inactivo"),C2343&amp;" → "&amp;F2343,"Sin transición"))</f>
        <v/>
      </c>
      <c r="H2343" s="23" t="str">
        <f aca="false">IF(A2343="","",IF(D2343="GCIA LINEA SERVICIO DIGITALIDAD Y VENTAS","Chats",IF(OR(D2343="GERENCIA INBOUND LÍNEAS SERVICIO Y VENTA",D2343="GERENCIA INBOUND LINEAS ESPECIALIZADAS"),"Llamadas","Otro")))</f>
        <v/>
      </c>
      <c r="I2343" s="23" t="str">
        <f aca="false">IF(A2343="","",IF(C2343="No encontrado","No","Sí"))</f>
        <v/>
      </c>
      <c r="J2343" s="23" t="str">
        <f aca="false">IF(A2343="","",IF(F2343="Inactivo","No","Sí"))</f>
        <v/>
      </c>
      <c r="K2343" s="23" t="str">
        <f aca="false">IF(A2343="","",IF(AND(I2343="Sí",J2343="Sí"),"Sí","No"))</f>
        <v/>
      </c>
    </row>
    <row r="2344" customFormat="false" ht="15" hidden="false" customHeight="false" outlineLevel="0" collapsed="false">
      <c r="A2344" s="22"/>
      <c r="B2344" s="22"/>
      <c r="C2344" s="26" t="str">
        <f aca="false">IF(A2344="","",IFERROR(buscarx(A2344&amp;B2344,DATA!$E$3:$E$10000&amp;DATA!$B$3:$B$10000,DATA!$M$3:$M$10000),"No encontrado"))</f>
        <v/>
      </c>
      <c r="D2344" s="27" t="str">
        <f aca="false">IF(A2344="","",IFERROR(buscarx(A2344&amp;B2344,DATA!$E$3:$E$10000&amp;DATA!$B$3:$B$10000,DATA!$W$3:$W$10000),"No encontrado"))</f>
        <v/>
      </c>
      <c r="E2344" s="22"/>
      <c r="F2344" s="26" t="str">
        <f aca="false">IF(A2344="","",IFERROR(buscarx(A2344&amp;E2344,DATA!$E$3:$E$10000&amp;DATA!$B$3:$B$10000,DATA!$M$3:$M$10000),"Inactivo"))</f>
        <v/>
      </c>
      <c r="G2344" s="28" t="str">
        <f aca="false">IF(A2344="","",IF(AND(C2344&lt;&gt;"No encontrado",F2344&lt;&gt;"Inactivo"),C2344&amp;" → "&amp;F2344,"Sin transición"))</f>
        <v/>
      </c>
      <c r="H2344" s="26" t="str">
        <f aca="false">IF(A2344="","",IF(D2344="GCIA LINEA SERVICIO DIGITALIDAD Y VENTAS","Chats",IF(OR(D2344="GERENCIA INBOUND LÍNEAS SERVICIO Y VENTA",D2344="GERENCIA INBOUND LINEAS ESPECIALIZADAS"),"Llamadas","Otro")))</f>
        <v/>
      </c>
      <c r="I2344" s="26" t="str">
        <f aca="false">IF(A2344="","",IF(C2344="No encontrado","No","Sí"))</f>
        <v/>
      </c>
      <c r="J2344" s="26" t="str">
        <f aca="false">IF(A2344="","",IF(F2344="Inactivo","No","Sí"))</f>
        <v/>
      </c>
      <c r="K2344" s="26" t="str">
        <f aca="false">IF(A2344="","",IF(AND(I2344="Sí",J2344="Sí"),"Sí","No"))</f>
        <v/>
      </c>
    </row>
    <row r="2345" customFormat="false" ht="15" hidden="false" customHeight="false" outlineLevel="0" collapsed="false">
      <c r="A2345" s="22"/>
      <c r="B2345" s="22"/>
      <c r="C2345" s="23" t="str">
        <f aca="false">IF(A2345="","",IFERROR(buscarx(A2345&amp;B2345,DATA!$E$3:$E$10000&amp;DATA!$B$3:$B$10000,DATA!$M$3:$M$10000),"No encontrado"))</f>
        <v/>
      </c>
      <c r="D2345" s="24" t="str">
        <f aca="false">IF(A2345="","",IFERROR(buscarx(A2345&amp;B2345,DATA!$E$3:$E$10000&amp;DATA!$B$3:$B$10000,DATA!$W$3:$W$10000),"No encontrado"))</f>
        <v/>
      </c>
      <c r="E2345" s="22"/>
      <c r="F2345" s="23" t="str">
        <f aca="false">IF(A2345="","",IFERROR(buscarx(A2345&amp;E2345,DATA!$E$3:$E$10000&amp;DATA!$B$3:$B$10000,DATA!$M$3:$M$10000),"Inactivo"))</f>
        <v/>
      </c>
      <c r="G2345" s="25" t="str">
        <f aca="false">IF(A2345="","",IF(AND(C2345&lt;&gt;"No encontrado",F2345&lt;&gt;"Inactivo"),C2345&amp;" → "&amp;F2345,"Sin transición"))</f>
        <v/>
      </c>
      <c r="H2345" s="23" t="str">
        <f aca="false">IF(A2345="","",IF(D2345="GCIA LINEA SERVICIO DIGITALIDAD Y VENTAS","Chats",IF(OR(D2345="GERENCIA INBOUND LÍNEAS SERVICIO Y VENTA",D2345="GERENCIA INBOUND LINEAS ESPECIALIZADAS"),"Llamadas","Otro")))</f>
        <v/>
      </c>
      <c r="I2345" s="23" t="str">
        <f aca="false">IF(A2345="","",IF(C2345="No encontrado","No","Sí"))</f>
        <v/>
      </c>
      <c r="J2345" s="23" t="str">
        <f aca="false">IF(A2345="","",IF(F2345="Inactivo","No","Sí"))</f>
        <v/>
      </c>
      <c r="K2345" s="23" t="str">
        <f aca="false">IF(A2345="","",IF(AND(I2345="Sí",J2345="Sí"),"Sí","No"))</f>
        <v/>
      </c>
    </row>
    <row r="2346" customFormat="false" ht="15" hidden="false" customHeight="false" outlineLevel="0" collapsed="false">
      <c r="A2346" s="22"/>
      <c r="B2346" s="22"/>
      <c r="C2346" s="26" t="str">
        <f aca="false">IF(A2346="","",IFERROR(buscarx(A2346&amp;B2346,DATA!$E$3:$E$10000&amp;DATA!$B$3:$B$10000,DATA!$M$3:$M$10000),"No encontrado"))</f>
        <v/>
      </c>
      <c r="D2346" s="27" t="str">
        <f aca="false">IF(A2346="","",IFERROR(buscarx(A2346&amp;B2346,DATA!$E$3:$E$10000&amp;DATA!$B$3:$B$10000,DATA!$W$3:$W$10000),"No encontrado"))</f>
        <v/>
      </c>
      <c r="E2346" s="22"/>
      <c r="F2346" s="26" t="str">
        <f aca="false">IF(A2346="","",IFERROR(buscarx(A2346&amp;E2346,DATA!$E$3:$E$10000&amp;DATA!$B$3:$B$10000,DATA!$M$3:$M$10000),"Inactivo"))</f>
        <v/>
      </c>
      <c r="G2346" s="28" t="str">
        <f aca="false">IF(A2346="","",IF(AND(C2346&lt;&gt;"No encontrado",F2346&lt;&gt;"Inactivo"),C2346&amp;" → "&amp;F2346,"Sin transición"))</f>
        <v/>
      </c>
      <c r="H2346" s="26" t="str">
        <f aca="false">IF(A2346="","",IF(D2346="GCIA LINEA SERVICIO DIGITALIDAD Y VENTAS","Chats",IF(OR(D2346="GERENCIA INBOUND LÍNEAS SERVICIO Y VENTA",D2346="GERENCIA INBOUND LINEAS ESPECIALIZADAS"),"Llamadas","Otro")))</f>
        <v/>
      </c>
      <c r="I2346" s="26" t="str">
        <f aca="false">IF(A2346="","",IF(C2346="No encontrado","No","Sí"))</f>
        <v/>
      </c>
      <c r="J2346" s="26" t="str">
        <f aca="false">IF(A2346="","",IF(F2346="Inactivo","No","Sí"))</f>
        <v/>
      </c>
      <c r="K2346" s="26" t="str">
        <f aca="false">IF(A2346="","",IF(AND(I2346="Sí",J2346="Sí"),"Sí","No"))</f>
        <v/>
      </c>
    </row>
    <row r="2347" customFormat="false" ht="15" hidden="false" customHeight="false" outlineLevel="0" collapsed="false">
      <c r="A2347" s="22"/>
      <c r="B2347" s="22"/>
      <c r="C2347" s="23" t="str">
        <f aca="false">IF(A2347="","",IFERROR(buscarx(A2347&amp;B2347,DATA!$E$3:$E$10000&amp;DATA!$B$3:$B$10000,DATA!$M$3:$M$10000),"No encontrado"))</f>
        <v/>
      </c>
      <c r="D2347" s="24" t="str">
        <f aca="false">IF(A2347="","",IFERROR(buscarx(A2347&amp;B2347,DATA!$E$3:$E$10000&amp;DATA!$B$3:$B$10000,DATA!$W$3:$W$10000),"No encontrado"))</f>
        <v/>
      </c>
      <c r="E2347" s="22"/>
      <c r="F2347" s="23" t="str">
        <f aca="false">IF(A2347="","",IFERROR(buscarx(A2347&amp;E2347,DATA!$E$3:$E$10000&amp;DATA!$B$3:$B$10000,DATA!$M$3:$M$10000),"Inactivo"))</f>
        <v/>
      </c>
      <c r="G2347" s="25" t="str">
        <f aca="false">IF(A2347="","",IF(AND(C2347&lt;&gt;"No encontrado",F2347&lt;&gt;"Inactivo"),C2347&amp;" → "&amp;F2347,"Sin transición"))</f>
        <v/>
      </c>
      <c r="H2347" s="23" t="str">
        <f aca="false">IF(A2347="","",IF(D2347="GCIA LINEA SERVICIO DIGITALIDAD Y VENTAS","Chats",IF(OR(D2347="GERENCIA INBOUND LÍNEAS SERVICIO Y VENTA",D2347="GERENCIA INBOUND LINEAS ESPECIALIZADAS"),"Llamadas","Otro")))</f>
        <v/>
      </c>
      <c r="I2347" s="23" t="str">
        <f aca="false">IF(A2347="","",IF(C2347="No encontrado","No","Sí"))</f>
        <v/>
      </c>
      <c r="J2347" s="23" t="str">
        <f aca="false">IF(A2347="","",IF(F2347="Inactivo","No","Sí"))</f>
        <v/>
      </c>
      <c r="K2347" s="23" t="str">
        <f aca="false">IF(A2347="","",IF(AND(I2347="Sí",J2347="Sí"),"Sí","No"))</f>
        <v/>
      </c>
    </row>
    <row r="2348" customFormat="false" ht="15" hidden="false" customHeight="false" outlineLevel="0" collapsed="false">
      <c r="A2348" s="22"/>
      <c r="B2348" s="22"/>
      <c r="C2348" s="26" t="str">
        <f aca="false">IF(A2348="","",IFERROR(buscarx(A2348&amp;B2348,DATA!$E$3:$E$10000&amp;DATA!$B$3:$B$10000,DATA!$M$3:$M$10000),"No encontrado"))</f>
        <v/>
      </c>
      <c r="D2348" s="27" t="str">
        <f aca="false">IF(A2348="","",IFERROR(buscarx(A2348&amp;B2348,DATA!$E$3:$E$10000&amp;DATA!$B$3:$B$10000,DATA!$W$3:$W$10000),"No encontrado"))</f>
        <v/>
      </c>
      <c r="E2348" s="22"/>
      <c r="F2348" s="26" t="str">
        <f aca="false">IF(A2348="","",IFERROR(buscarx(A2348&amp;E2348,DATA!$E$3:$E$10000&amp;DATA!$B$3:$B$10000,DATA!$M$3:$M$10000),"Inactivo"))</f>
        <v/>
      </c>
      <c r="G2348" s="28" t="str">
        <f aca="false">IF(A2348="","",IF(AND(C2348&lt;&gt;"No encontrado",F2348&lt;&gt;"Inactivo"),C2348&amp;" → "&amp;F2348,"Sin transición"))</f>
        <v/>
      </c>
      <c r="H2348" s="26" t="str">
        <f aca="false">IF(A2348="","",IF(D2348="GCIA LINEA SERVICIO DIGITALIDAD Y VENTAS","Chats",IF(OR(D2348="GERENCIA INBOUND LÍNEAS SERVICIO Y VENTA",D2348="GERENCIA INBOUND LINEAS ESPECIALIZADAS"),"Llamadas","Otro")))</f>
        <v/>
      </c>
      <c r="I2348" s="26" t="str">
        <f aca="false">IF(A2348="","",IF(C2348="No encontrado","No","Sí"))</f>
        <v/>
      </c>
      <c r="J2348" s="26" t="str">
        <f aca="false">IF(A2348="","",IF(F2348="Inactivo","No","Sí"))</f>
        <v/>
      </c>
      <c r="K2348" s="26" t="str">
        <f aca="false">IF(A2348="","",IF(AND(I2348="Sí",J2348="Sí"),"Sí","No"))</f>
        <v/>
      </c>
    </row>
    <row r="2349" customFormat="false" ht="15" hidden="false" customHeight="false" outlineLevel="0" collapsed="false">
      <c r="A2349" s="22"/>
      <c r="B2349" s="22"/>
      <c r="C2349" s="23" t="str">
        <f aca="false">IF(A2349="","",IFERROR(buscarx(A2349&amp;B2349,DATA!$E$3:$E$10000&amp;DATA!$B$3:$B$10000,DATA!$M$3:$M$10000),"No encontrado"))</f>
        <v/>
      </c>
      <c r="D2349" s="24" t="str">
        <f aca="false">IF(A2349="","",IFERROR(buscarx(A2349&amp;B2349,DATA!$E$3:$E$10000&amp;DATA!$B$3:$B$10000,DATA!$W$3:$W$10000),"No encontrado"))</f>
        <v/>
      </c>
      <c r="E2349" s="22"/>
      <c r="F2349" s="23" t="str">
        <f aca="false">IF(A2349="","",IFERROR(buscarx(A2349&amp;E2349,DATA!$E$3:$E$10000&amp;DATA!$B$3:$B$10000,DATA!$M$3:$M$10000),"Inactivo"))</f>
        <v/>
      </c>
      <c r="G2349" s="25" t="str">
        <f aca="false">IF(A2349="","",IF(AND(C2349&lt;&gt;"No encontrado",F2349&lt;&gt;"Inactivo"),C2349&amp;" → "&amp;F2349,"Sin transición"))</f>
        <v/>
      </c>
      <c r="H2349" s="23" t="str">
        <f aca="false">IF(A2349="","",IF(D2349="GCIA LINEA SERVICIO DIGITALIDAD Y VENTAS","Chats",IF(OR(D2349="GERENCIA INBOUND LÍNEAS SERVICIO Y VENTA",D2349="GERENCIA INBOUND LINEAS ESPECIALIZADAS"),"Llamadas","Otro")))</f>
        <v/>
      </c>
      <c r="I2349" s="23" t="str">
        <f aca="false">IF(A2349="","",IF(C2349="No encontrado","No","Sí"))</f>
        <v/>
      </c>
      <c r="J2349" s="23" t="str">
        <f aca="false">IF(A2349="","",IF(F2349="Inactivo","No","Sí"))</f>
        <v/>
      </c>
      <c r="K2349" s="23" t="str">
        <f aca="false">IF(A2349="","",IF(AND(I2349="Sí",J2349="Sí"),"Sí","No"))</f>
        <v/>
      </c>
    </row>
    <row r="2350" customFormat="false" ht="15" hidden="false" customHeight="false" outlineLevel="0" collapsed="false">
      <c r="A2350" s="22"/>
      <c r="B2350" s="22"/>
      <c r="C2350" s="26" t="str">
        <f aca="false">IF(A2350="","",IFERROR(buscarx(A2350&amp;B2350,DATA!$E$3:$E$10000&amp;DATA!$B$3:$B$10000,DATA!$M$3:$M$10000),"No encontrado"))</f>
        <v/>
      </c>
      <c r="D2350" s="27" t="str">
        <f aca="false">IF(A2350="","",IFERROR(buscarx(A2350&amp;B2350,DATA!$E$3:$E$10000&amp;DATA!$B$3:$B$10000,DATA!$W$3:$W$10000),"No encontrado"))</f>
        <v/>
      </c>
      <c r="E2350" s="22"/>
      <c r="F2350" s="26" t="str">
        <f aca="false">IF(A2350="","",IFERROR(buscarx(A2350&amp;E2350,DATA!$E$3:$E$10000&amp;DATA!$B$3:$B$10000,DATA!$M$3:$M$10000),"Inactivo"))</f>
        <v/>
      </c>
      <c r="G2350" s="28" t="str">
        <f aca="false">IF(A2350="","",IF(AND(C2350&lt;&gt;"No encontrado",F2350&lt;&gt;"Inactivo"),C2350&amp;" → "&amp;F2350,"Sin transición"))</f>
        <v/>
      </c>
      <c r="H2350" s="26" t="str">
        <f aca="false">IF(A2350="","",IF(D2350="GCIA LINEA SERVICIO DIGITALIDAD Y VENTAS","Chats",IF(OR(D2350="GERENCIA INBOUND LÍNEAS SERVICIO Y VENTA",D2350="GERENCIA INBOUND LINEAS ESPECIALIZADAS"),"Llamadas","Otro")))</f>
        <v/>
      </c>
      <c r="I2350" s="26" t="str">
        <f aca="false">IF(A2350="","",IF(C2350="No encontrado","No","Sí"))</f>
        <v/>
      </c>
      <c r="J2350" s="26" t="str">
        <f aca="false">IF(A2350="","",IF(F2350="Inactivo","No","Sí"))</f>
        <v/>
      </c>
      <c r="K2350" s="26" t="str">
        <f aca="false">IF(A2350="","",IF(AND(I2350="Sí",J2350="Sí"),"Sí","No"))</f>
        <v/>
      </c>
    </row>
    <row r="2351" customFormat="false" ht="15" hidden="false" customHeight="false" outlineLevel="0" collapsed="false">
      <c r="A2351" s="22"/>
      <c r="B2351" s="22"/>
      <c r="C2351" s="23" t="str">
        <f aca="false">IF(A2351="","",IFERROR(buscarx(A2351&amp;B2351,DATA!$E$3:$E$10000&amp;DATA!$B$3:$B$10000,DATA!$M$3:$M$10000),"No encontrado"))</f>
        <v/>
      </c>
      <c r="D2351" s="24" t="str">
        <f aca="false">IF(A2351="","",IFERROR(buscarx(A2351&amp;B2351,DATA!$E$3:$E$10000&amp;DATA!$B$3:$B$10000,DATA!$W$3:$W$10000),"No encontrado"))</f>
        <v/>
      </c>
      <c r="E2351" s="22"/>
      <c r="F2351" s="23" t="str">
        <f aca="false">IF(A2351="","",IFERROR(buscarx(A2351&amp;E2351,DATA!$E$3:$E$10000&amp;DATA!$B$3:$B$10000,DATA!$M$3:$M$10000),"Inactivo"))</f>
        <v/>
      </c>
      <c r="G2351" s="25" t="str">
        <f aca="false">IF(A2351="","",IF(AND(C2351&lt;&gt;"No encontrado",F2351&lt;&gt;"Inactivo"),C2351&amp;" → "&amp;F2351,"Sin transición"))</f>
        <v/>
      </c>
      <c r="H2351" s="23" t="str">
        <f aca="false">IF(A2351="","",IF(D2351="GCIA LINEA SERVICIO DIGITALIDAD Y VENTAS","Chats",IF(OR(D2351="GERENCIA INBOUND LÍNEAS SERVICIO Y VENTA",D2351="GERENCIA INBOUND LINEAS ESPECIALIZADAS"),"Llamadas","Otro")))</f>
        <v/>
      </c>
      <c r="I2351" s="23" t="str">
        <f aca="false">IF(A2351="","",IF(C2351="No encontrado","No","Sí"))</f>
        <v/>
      </c>
      <c r="J2351" s="23" t="str">
        <f aca="false">IF(A2351="","",IF(F2351="Inactivo","No","Sí"))</f>
        <v/>
      </c>
      <c r="K2351" s="23" t="str">
        <f aca="false">IF(A2351="","",IF(AND(I2351="Sí",J2351="Sí"),"Sí","No"))</f>
        <v/>
      </c>
    </row>
    <row r="2352" customFormat="false" ht="15" hidden="false" customHeight="false" outlineLevel="0" collapsed="false">
      <c r="A2352" s="22"/>
      <c r="B2352" s="22"/>
      <c r="C2352" s="26" t="str">
        <f aca="false">IF(A2352="","",IFERROR(buscarx(A2352&amp;B2352,DATA!$E$3:$E$10000&amp;DATA!$B$3:$B$10000,DATA!$M$3:$M$10000),"No encontrado"))</f>
        <v/>
      </c>
      <c r="D2352" s="27" t="str">
        <f aca="false">IF(A2352="","",IFERROR(buscarx(A2352&amp;B2352,DATA!$E$3:$E$10000&amp;DATA!$B$3:$B$10000,DATA!$W$3:$W$10000),"No encontrado"))</f>
        <v/>
      </c>
      <c r="E2352" s="22"/>
      <c r="F2352" s="26" t="str">
        <f aca="false">IF(A2352="","",IFERROR(buscarx(A2352&amp;E2352,DATA!$E$3:$E$10000&amp;DATA!$B$3:$B$10000,DATA!$M$3:$M$10000),"Inactivo"))</f>
        <v/>
      </c>
      <c r="G2352" s="28" t="str">
        <f aca="false">IF(A2352="","",IF(AND(C2352&lt;&gt;"No encontrado",F2352&lt;&gt;"Inactivo"),C2352&amp;" → "&amp;F2352,"Sin transición"))</f>
        <v/>
      </c>
      <c r="H2352" s="26" t="str">
        <f aca="false">IF(A2352="","",IF(D2352="GCIA LINEA SERVICIO DIGITALIDAD Y VENTAS","Chats",IF(OR(D2352="GERENCIA INBOUND LÍNEAS SERVICIO Y VENTA",D2352="GERENCIA INBOUND LINEAS ESPECIALIZADAS"),"Llamadas","Otro")))</f>
        <v/>
      </c>
      <c r="I2352" s="26" t="str">
        <f aca="false">IF(A2352="","",IF(C2352="No encontrado","No","Sí"))</f>
        <v/>
      </c>
      <c r="J2352" s="26" t="str">
        <f aca="false">IF(A2352="","",IF(F2352="Inactivo","No","Sí"))</f>
        <v/>
      </c>
      <c r="K2352" s="26" t="str">
        <f aca="false">IF(A2352="","",IF(AND(I2352="Sí",J2352="Sí"),"Sí","No"))</f>
        <v/>
      </c>
    </row>
    <row r="2353" customFormat="false" ht="15" hidden="false" customHeight="false" outlineLevel="0" collapsed="false">
      <c r="A2353" s="22"/>
      <c r="B2353" s="22"/>
      <c r="C2353" s="23" t="str">
        <f aca="false">IF(A2353="","",IFERROR(buscarx(A2353&amp;B2353,DATA!$E$3:$E$10000&amp;DATA!$B$3:$B$10000,DATA!$M$3:$M$10000),"No encontrado"))</f>
        <v/>
      </c>
      <c r="D2353" s="24" t="str">
        <f aca="false">IF(A2353="","",IFERROR(buscarx(A2353&amp;B2353,DATA!$E$3:$E$10000&amp;DATA!$B$3:$B$10000,DATA!$W$3:$W$10000),"No encontrado"))</f>
        <v/>
      </c>
      <c r="E2353" s="22"/>
      <c r="F2353" s="23" t="str">
        <f aca="false">IF(A2353="","",IFERROR(buscarx(A2353&amp;E2353,DATA!$E$3:$E$10000&amp;DATA!$B$3:$B$10000,DATA!$M$3:$M$10000),"Inactivo"))</f>
        <v/>
      </c>
      <c r="G2353" s="25" t="str">
        <f aca="false">IF(A2353="","",IF(AND(C2353&lt;&gt;"No encontrado",F2353&lt;&gt;"Inactivo"),C2353&amp;" → "&amp;F2353,"Sin transición"))</f>
        <v/>
      </c>
      <c r="H2353" s="23" t="str">
        <f aca="false">IF(A2353="","",IF(D2353="GCIA LINEA SERVICIO DIGITALIDAD Y VENTAS","Chats",IF(OR(D2353="GERENCIA INBOUND LÍNEAS SERVICIO Y VENTA",D2353="GERENCIA INBOUND LINEAS ESPECIALIZADAS"),"Llamadas","Otro")))</f>
        <v/>
      </c>
      <c r="I2353" s="23" t="str">
        <f aca="false">IF(A2353="","",IF(C2353="No encontrado","No","Sí"))</f>
        <v/>
      </c>
      <c r="J2353" s="23" t="str">
        <f aca="false">IF(A2353="","",IF(F2353="Inactivo","No","Sí"))</f>
        <v/>
      </c>
      <c r="K2353" s="23" t="str">
        <f aca="false">IF(A2353="","",IF(AND(I2353="Sí",J2353="Sí"),"Sí","No"))</f>
        <v/>
      </c>
    </row>
    <row r="2354" customFormat="false" ht="15" hidden="false" customHeight="false" outlineLevel="0" collapsed="false">
      <c r="A2354" s="22"/>
      <c r="B2354" s="22"/>
      <c r="C2354" s="26" t="str">
        <f aca="false">IF(A2354="","",IFERROR(buscarx(A2354&amp;B2354,DATA!$E$3:$E$10000&amp;DATA!$B$3:$B$10000,DATA!$M$3:$M$10000),"No encontrado"))</f>
        <v/>
      </c>
      <c r="D2354" s="27" t="str">
        <f aca="false">IF(A2354="","",IFERROR(buscarx(A2354&amp;B2354,DATA!$E$3:$E$10000&amp;DATA!$B$3:$B$10000,DATA!$W$3:$W$10000),"No encontrado"))</f>
        <v/>
      </c>
      <c r="E2354" s="22"/>
      <c r="F2354" s="26" t="str">
        <f aca="false">IF(A2354="","",IFERROR(buscarx(A2354&amp;E2354,DATA!$E$3:$E$10000&amp;DATA!$B$3:$B$10000,DATA!$M$3:$M$10000),"Inactivo"))</f>
        <v/>
      </c>
      <c r="G2354" s="28" t="str">
        <f aca="false">IF(A2354="","",IF(AND(C2354&lt;&gt;"No encontrado",F2354&lt;&gt;"Inactivo"),C2354&amp;" → "&amp;F2354,"Sin transición"))</f>
        <v/>
      </c>
      <c r="H2354" s="26" t="str">
        <f aca="false">IF(A2354="","",IF(D2354="GCIA LINEA SERVICIO DIGITALIDAD Y VENTAS","Chats",IF(OR(D2354="GERENCIA INBOUND LÍNEAS SERVICIO Y VENTA",D2354="GERENCIA INBOUND LINEAS ESPECIALIZADAS"),"Llamadas","Otro")))</f>
        <v/>
      </c>
      <c r="I2354" s="26" t="str">
        <f aca="false">IF(A2354="","",IF(C2354="No encontrado","No","Sí"))</f>
        <v/>
      </c>
      <c r="J2354" s="26" t="str">
        <f aca="false">IF(A2354="","",IF(F2354="Inactivo","No","Sí"))</f>
        <v/>
      </c>
      <c r="K2354" s="26" t="str">
        <f aca="false">IF(A2354="","",IF(AND(I2354="Sí",J2354="Sí"),"Sí","No"))</f>
        <v/>
      </c>
    </row>
    <row r="2355" customFormat="false" ht="15" hidden="false" customHeight="false" outlineLevel="0" collapsed="false">
      <c r="A2355" s="22"/>
      <c r="B2355" s="22"/>
      <c r="C2355" s="23" t="str">
        <f aca="false">IF(A2355="","",IFERROR(buscarx(A2355&amp;B2355,DATA!$E$3:$E$10000&amp;DATA!$B$3:$B$10000,DATA!$M$3:$M$10000),"No encontrado"))</f>
        <v/>
      </c>
      <c r="D2355" s="24" t="str">
        <f aca="false">IF(A2355="","",IFERROR(buscarx(A2355&amp;B2355,DATA!$E$3:$E$10000&amp;DATA!$B$3:$B$10000,DATA!$W$3:$W$10000),"No encontrado"))</f>
        <v/>
      </c>
      <c r="E2355" s="22"/>
      <c r="F2355" s="23" t="str">
        <f aca="false">IF(A2355="","",IFERROR(buscarx(A2355&amp;E2355,DATA!$E$3:$E$10000&amp;DATA!$B$3:$B$10000,DATA!$M$3:$M$10000),"Inactivo"))</f>
        <v/>
      </c>
      <c r="G2355" s="25" t="str">
        <f aca="false">IF(A2355="","",IF(AND(C2355&lt;&gt;"No encontrado",F2355&lt;&gt;"Inactivo"),C2355&amp;" → "&amp;F2355,"Sin transición"))</f>
        <v/>
      </c>
      <c r="H2355" s="23" t="str">
        <f aca="false">IF(A2355="","",IF(D2355="GCIA LINEA SERVICIO DIGITALIDAD Y VENTAS","Chats",IF(OR(D2355="GERENCIA INBOUND LÍNEAS SERVICIO Y VENTA",D2355="GERENCIA INBOUND LINEAS ESPECIALIZADAS"),"Llamadas","Otro")))</f>
        <v/>
      </c>
      <c r="I2355" s="23" t="str">
        <f aca="false">IF(A2355="","",IF(C2355="No encontrado","No","Sí"))</f>
        <v/>
      </c>
      <c r="J2355" s="23" t="str">
        <f aca="false">IF(A2355="","",IF(F2355="Inactivo","No","Sí"))</f>
        <v/>
      </c>
      <c r="K2355" s="23" t="str">
        <f aca="false">IF(A2355="","",IF(AND(I2355="Sí",J2355="Sí"),"Sí","No"))</f>
        <v/>
      </c>
    </row>
    <row r="2356" customFormat="false" ht="15" hidden="false" customHeight="false" outlineLevel="0" collapsed="false">
      <c r="A2356" s="22"/>
      <c r="B2356" s="22"/>
      <c r="C2356" s="26" t="str">
        <f aca="false">IF(A2356="","",IFERROR(buscarx(A2356&amp;B2356,DATA!$E$3:$E$10000&amp;DATA!$B$3:$B$10000,DATA!$M$3:$M$10000),"No encontrado"))</f>
        <v/>
      </c>
      <c r="D2356" s="27" t="str">
        <f aca="false">IF(A2356="","",IFERROR(buscarx(A2356&amp;B2356,DATA!$E$3:$E$10000&amp;DATA!$B$3:$B$10000,DATA!$W$3:$W$10000),"No encontrado"))</f>
        <v/>
      </c>
      <c r="E2356" s="22"/>
      <c r="F2356" s="26" t="str">
        <f aca="false">IF(A2356="","",IFERROR(buscarx(A2356&amp;E2356,DATA!$E$3:$E$10000&amp;DATA!$B$3:$B$10000,DATA!$M$3:$M$10000),"Inactivo"))</f>
        <v/>
      </c>
      <c r="G2356" s="28" t="str">
        <f aca="false">IF(A2356="","",IF(AND(C2356&lt;&gt;"No encontrado",F2356&lt;&gt;"Inactivo"),C2356&amp;" → "&amp;F2356,"Sin transición"))</f>
        <v/>
      </c>
      <c r="H2356" s="26" t="str">
        <f aca="false">IF(A2356="","",IF(D2356="GCIA LINEA SERVICIO DIGITALIDAD Y VENTAS","Chats",IF(OR(D2356="GERENCIA INBOUND LÍNEAS SERVICIO Y VENTA",D2356="GERENCIA INBOUND LINEAS ESPECIALIZADAS"),"Llamadas","Otro")))</f>
        <v/>
      </c>
      <c r="I2356" s="26" t="str">
        <f aca="false">IF(A2356="","",IF(C2356="No encontrado","No","Sí"))</f>
        <v/>
      </c>
      <c r="J2356" s="26" t="str">
        <f aca="false">IF(A2356="","",IF(F2356="Inactivo","No","Sí"))</f>
        <v/>
      </c>
      <c r="K2356" s="26" t="str">
        <f aca="false">IF(A2356="","",IF(AND(I2356="Sí",J2356="Sí"),"Sí","No"))</f>
        <v/>
      </c>
    </row>
    <row r="2357" customFormat="false" ht="15" hidden="false" customHeight="false" outlineLevel="0" collapsed="false">
      <c r="A2357" s="22"/>
      <c r="B2357" s="22"/>
      <c r="C2357" s="23" t="str">
        <f aca="false">IF(A2357="","",IFERROR(buscarx(A2357&amp;B2357,DATA!$E$3:$E$10000&amp;DATA!$B$3:$B$10000,DATA!$M$3:$M$10000),"No encontrado"))</f>
        <v/>
      </c>
      <c r="D2357" s="24" t="str">
        <f aca="false">IF(A2357="","",IFERROR(buscarx(A2357&amp;B2357,DATA!$E$3:$E$10000&amp;DATA!$B$3:$B$10000,DATA!$W$3:$W$10000),"No encontrado"))</f>
        <v/>
      </c>
      <c r="E2357" s="22"/>
      <c r="F2357" s="23" t="str">
        <f aca="false">IF(A2357="","",IFERROR(buscarx(A2357&amp;E2357,DATA!$E$3:$E$10000&amp;DATA!$B$3:$B$10000,DATA!$M$3:$M$10000),"Inactivo"))</f>
        <v/>
      </c>
      <c r="G2357" s="25" t="str">
        <f aca="false">IF(A2357="","",IF(AND(C2357&lt;&gt;"No encontrado",F2357&lt;&gt;"Inactivo"),C2357&amp;" → "&amp;F2357,"Sin transición"))</f>
        <v/>
      </c>
      <c r="H2357" s="23" t="str">
        <f aca="false">IF(A2357="","",IF(D2357="GCIA LINEA SERVICIO DIGITALIDAD Y VENTAS","Chats",IF(OR(D2357="GERENCIA INBOUND LÍNEAS SERVICIO Y VENTA",D2357="GERENCIA INBOUND LINEAS ESPECIALIZADAS"),"Llamadas","Otro")))</f>
        <v/>
      </c>
      <c r="I2357" s="23" t="str">
        <f aca="false">IF(A2357="","",IF(C2357="No encontrado","No","Sí"))</f>
        <v/>
      </c>
      <c r="J2357" s="23" t="str">
        <f aca="false">IF(A2357="","",IF(F2357="Inactivo","No","Sí"))</f>
        <v/>
      </c>
      <c r="K2357" s="23" t="str">
        <f aca="false">IF(A2357="","",IF(AND(I2357="Sí",J2357="Sí"),"Sí","No"))</f>
        <v/>
      </c>
    </row>
    <row r="2358" customFormat="false" ht="15" hidden="false" customHeight="false" outlineLevel="0" collapsed="false">
      <c r="A2358" s="22"/>
      <c r="B2358" s="22"/>
      <c r="C2358" s="26" t="str">
        <f aca="false">IF(A2358="","",IFERROR(buscarx(A2358&amp;B2358,DATA!$E$3:$E$10000&amp;DATA!$B$3:$B$10000,DATA!$M$3:$M$10000),"No encontrado"))</f>
        <v/>
      </c>
      <c r="D2358" s="27" t="str">
        <f aca="false">IF(A2358="","",IFERROR(buscarx(A2358&amp;B2358,DATA!$E$3:$E$10000&amp;DATA!$B$3:$B$10000,DATA!$W$3:$W$10000),"No encontrado"))</f>
        <v/>
      </c>
      <c r="E2358" s="22"/>
      <c r="F2358" s="26" t="str">
        <f aca="false">IF(A2358="","",IFERROR(buscarx(A2358&amp;E2358,DATA!$E$3:$E$10000&amp;DATA!$B$3:$B$10000,DATA!$M$3:$M$10000),"Inactivo"))</f>
        <v/>
      </c>
      <c r="G2358" s="28" t="str">
        <f aca="false">IF(A2358="","",IF(AND(C2358&lt;&gt;"No encontrado",F2358&lt;&gt;"Inactivo"),C2358&amp;" → "&amp;F2358,"Sin transición"))</f>
        <v/>
      </c>
      <c r="H2358" s="26" t="str">
        <f aca="false">IF(A2358="","",IF(D2358="GCIA LINEA SERVICIO DIGITALIDAD Y VENTAS","Chats",IF(OR(D2358="GERENCIA INBOUND LÍNEAS SERVICIO Y VENTA",D2358="GERENCIA INBOUND LINEAS ESPECIALIZADAS"),"Llamadas","Otro")))</f>
        <v/>
      </c>
      <c r="I2358" s="26" t="str">
        <f aca="false">IF(A2358="","",IF(C2358="No encontrado","No","Sí"))</f>
        <v/>
      </c>
      <c r="J2358" s="26" t="str">
        <f aca="false">IF(A2358="","",IF(F2358="Inactivo","No","Sí"))</f>
        <v/>
      </c>
      <c r="K2358" s="26" t="str">
        <f aca="false">IF(A2358="","",IF(AND(I2358="Sí",J2358="Sí"),"Sí","No"))</f>
        <v/>
      </c>
    </row>
    <row r="2359" customFormat="false" ht="15" hidden="false" customHeight="false" outlineLevel="0" collapsed="false">
      <c r="A2359" s="22"/>
      <c r="B2359" s="22"/>
      <c r="C2359" s="23" t="str">
        <f aca="false">IF(A2359="","",IFERROR(buscarx(A2359&amp;B2359,DATA!$E$3:$E$10000&amp;DATA!$B$3:$B$10000,DATA!$M$3:$M$10000),"No encontrado"))</f>
        <v/>
      </c>
      <c r="D2359" s="24" t="str">
        <f aca="false">IF(A2359="","",IFERROR(buscarx(A2359&amp;B2359,DATA!$E$3:$E$10000&amp;DATA!$B$3:$B$10000,DATA!$W$3:$W$10000),"No encontrado"))</f>
        <v/>
      </c>
      <c r="E2359" s="22"/>
      <c r="F2359" s="23" t="str">
        <f aca="false">IF(A2359="","",IFERROR(buscarx(A2359&amp;E2359,DATA!$E$3:$E$10000&amp;DATA!$B$3:$B$10000,DATA!$M$3:$M$10000),"Inactivo"))</f>
        <v/>
      </c>
      <c r="G2359" s="25" t="str">
        <f aca="false">IF(A2359="","",IF(AND(C2359&lt;&gt;"No encontrado",F2359&lt;&gt;"Inactivo"),C2359&amp;" → "&amp;F2359,"Sin transición"))</f>
        <v/>
      </c>
      <c r="H2359" s="23" t="str">
        <f aca="false">IF(A2359="","",IF(D2359="GCIA LINEA SERVICIO DIGITALIDAD Y VENTAS","Chats",IF(OR(D2359="GERENCIA INBOUND LÍNEAS SERVICIO Y VENTA",D2359="GERENCIA INBOUND LINEAS ESPECIALIZADAS"),"Llamadas","Otro")))</f>
        <v/>
      </c>
      <c r="I2359" s="23" t="str">
        <f aca="false">IF(A2359="","",IF(C2359="No encontrado","No","Sí"))</f>
        <v/>
      </c>
      <c r="J2359" s="23" t="str">
        <f aca="false">IF(A2359="","",IF(F2359="Inactivo","No","Sí"))</f>
        <v/>
      </c>
      <c r="K2359" s="23" t="str">
        <f aca="false">IF(A2359="","",IF(AND(I2359="Sí",J2359="Sí"),"Sí","No"))</f>
        <v/>
      </c>
    </row>
    <row r="2360" customFormat="false" ht="15" hidden="false" customHeight="false" outlineLevel="0" collapsed="false">
      <c r="A2360" s="22"/>
      <c r="B2360" s="22"/>
      <c r="C2360" s="26" t="str">
        <f aca="false">IF(A2360="","",IFERROR(buscarx(A2360&amp;B2360,DATA!$E$3:$E$10000&amp;DATA!$B$3:$B$10000,DATA!$M$3:$M$10000),"No encontrado"))</f>
        <v/>
      </c>
      <c r="D2360" s="27" t="str">
        <f aca="false">IF(A2360="","",IFERROR(buscarx(A2360&amp;B2360,DATA!$E$3:$E$10000&amp;DATA!$B$3:$B$10000,DATA!$W$3:$W$10000),"No encontrado"))</f>
        <v/>
      </c>
      <c r="E2360" s="22"/>
      <c r="F2360" s="26" t="str">
        <f aca="false">IF(A2360="","",IFERROR(buscarx(A2360&amp;E2360,DATA!$E$3:$E$10000&amp;DATA!$B$3:$B$10000,DATA!$M$3:$M$10000),"Inactivo"))</f>
        <v/>
      </c>
      <c r="G2360" s="28" t="str">
        <f aca="false">IF(A2360="","",IF(AND(C2360&lt;&gt;"No encontrado",F2360&lt;&gt;"Inactivo"),C2360&amp;" → "&amp;F2360,"Sin transición"))</f>
        <v/>
      </c>
      <c r="H2360" s="26" t="str">
        <f aca="false">IF(A2360="","",IF(D2360="GCIA LINEA SERVICIO DIGITALIDAD Y VENTAS","Chats",IF(OR(D2360="GERENCIA INBOUND LÍNEAS SERVICIO Y VENTA",D2360="GERENCIA INBOUND LINEAS ESPECIALIZADAS"),"Llamadas","Otro")))</f>
        <v/>
      </c>
      <c r="I2360" s="26" t="str">
        <f aca="false">IF(A2360="","",IF(C2360="No encontrado","No","Sí"))</f>
        <v/>
      </c>
      <c r="J2360" s="26" t="str">
        <f aca="false">IF(A2360="","",IF(F2360="Inactivo","No","Sí"))</f>
        <v/>
      </c>
      <c r="K2360" s="26" t="str">
        <f aca="false">IF(A2360="","",IF(AND(I2360="Sí",J2360="Sí"),"Sí","No"))</f>
        <v/>
      </c>
    </row>
    <row r="2361" customFormat="false" ht="15" hidden="false" customHeight="false" outlineLevel="0" collapsed="false">
      <c r="A2361" s="22"/>
      <c r="B2361" s="22"/>
      <c r="C2361" s="23" t="str">
        <f aca="false">IF(A2361="","",IFERROR(buscarx(A2361&amp;B2361,DATA!$E$3:$E$10000&amp;DATA!$B$3:$B$10000,DATA!$M$3:$M$10000),"No encontrado"))</f>
        <v/>
      </c>
      <c r="D2361" s="24" t="str">
        <f aca="false">IF(A2361="","",IFERROR(buscarx(A2361&amp;B2361,DATA!$E$3:$E$10000&amp;DATA!$B$3:$B$10000,DATA!$W$3:$W$10000),"No encontrado"))</f>
        <v/>
      </c>
      <c r="E2361" s="22"/>
      <c r="F2361" s="23" t="str">
        <f aca="false">IF(A2361="","",IFERROR(buscarx(A2361&amp;E2361,DATA!$E$3:$E$10000&amp;DATA!$B$3:$B$10000,DATA!$M$3:$M$10000),"Inactivo"))</f>
        <v/>
      </c>
      <c r="G2361" s="25" t="str">
        <f aca="false">IF(A2361="","",IF(AND(C2361&lt;&gt;"No encontrado",F2361&lt;&gt;"Inactivo"),C2361&amp;" → "&amp;F2361,"Sin transición"))</f>
        <v/>
      </c>
      <c r="H2361" s="23" t="str">
        <f aca="false">IF(A2361="","",IF(D2361="GCIA LINEA SERVICIO DIGITALIDAD Y VENTAS","Chats",IF(OR(D2361="GERENCIA INBOUND LÍNEAS SERVICIO Y VENTA",D2361="GERENCIA INBOUND LINEAS ESPECIALIZADAS"),"Llamadas","Otro")))</f>
        <v/>
      </c>
      <c r="I2361" s="23" t="str">
        <f aca="false">IF(A2361="","",IF(C2361="No encontrado","No","Sí"))</f>
        <v/>
      </c>
      <c r="J2361" s="23" t="str">
        <f aca="false">IF(A2361="","",IF(F2361="Inactivo","No","Sí"))</f>
        <v/>
      </c>
      <c r="K2361" s="23" t="str">
        <f aca="false">IF(A2361="","",IF(AND(I2361="Sí",J2361="Sí"),"Sí","No"))</f>
        <v/>
      </c>
    </row>
    <row r="2362" customFormat="false" ht="15" hidden="false" customHeight="false" outlineLevel="0" collapsed="false">
      <c r="A2362" s="22"/>
      <c r="B2362" s="22"/>
      <c r="C2362" s="26" t="str">
        <f aca="false">IF(A2362="","",IFERROR(buscarx(A2362&amp;B2362,DATA!$E$3:$E$10000&amp;DATA!$B$3:$B$10000,DATA!$M$3:$M$10000),"No encontrado"))</f>
        <v/>
      </c>
      <c r="D2362" s="27" t="str">
        <f aca="false">IF(A2362="","",IFERROR(buscarx(A2362&amp;B2362,DATA!$E$3:$E$10000&amp;DATA!$B$3:$B$10000,DATA!$W$3:$W$10000),"No encontrado"))</f>
        <v/>
      </c>
      <c r="E2362" s="22"/>
      <c r="F2362" s="26" t="str">
        <f aca="false">IF(A2362="","",IFERROR(buscarx(A2362&amp;E2362,DATA!$E$3:$E$10000&amp;DATA!$B$3:$B$10000,DATA!$M$3:$M$10000),"Inactivo"))</f>
        <v/>
      </c>
      <c r="G2362" s="28" t="str">
        <f aca="false">IF(A2362="","",IF(AND(C2362&lt;&gt;"No encontrado",F2362&lt;&gt;"Inactivo"),C2362&amp;" → "&amp;F2362,"Sin transición"))</f>
        <v/>
      </c>
      <c r="H2362" s="26" t="str">
        <f aca="false">IF(A2362="","",IF(D2362="GCIA LINEA SERVICIO DIGITALIDAD Y VENTAS","Chats",IF(OR(D2362="GERENCIA INBOUND LÍNEAS SERVICIO Y VENTA",D2362="GERENCIA INBOUND LINEAS ESPECIALIZADAS"),"Llamadas","Otro")))</f>
        <v/>
      </c>
      <c r="I2362" s="26" t="str">
        <f aca="false">IF(A2362="","",IF(C2362="No encontrado","No","Sí"))</f>
        <v/>
      </c>
      <c r="J2362" s="26" t="str">
        <f aca="false">IF(A2362="","",IF(F2362="Inactivo","No","Sí"))</f>
        <v/>
      </c>
      <c r="K2362" s="26" t="str">
        <f aca="false">IF(A2362="","",IF(AND(I2362="Sí",J2362="Sí"),"Sí","No"))</f>
        <v/>
      </c>
    </row>
    <row r="2363" customFormat="false" ht="15" hidden="false" customHeight="false" outlineLevel="0" collapsed="false">
      <c r="A2363" s="22"/>
      <c r="B2363" s="22"/>
      <c r="C2363" s="23" t="str">
        <f aca="false">IF(A2363="","",IFERROR(buscarx(A2363&amp;B2363,DATA!$E$3:$E$10000&amp;DATA!$B$3:$B$10000,DATA!$M$3:$M$10000),"No encontrado"))</f>
        <v/>
      </c>
      <c r="D2363" s="24" t="str">
        <f aca="false">IF(A2363="","",IFERROR(buscarx(A2363&amp;B2363,DATA!$E$3:$E$10000&amp;DATA!$B$3:$B$10000,DATA!$W$3:$W$10000),"No encontrado"))</f>
        <v/>
      </c>
      <c r="E2363" s="22"/>
      <c r="F2363" s="23" t="str">
        <f aca="false">IF(A2363="","",IFERROR(buscarx(A2363&amp;E2363,DATA!$E$3:$E$10000&amp;DATA!$B$3:$B$10000,DATA!$M$3:$M$10000),"Inactivo"))</f>
        <v/>
      </c>
      <c r="G2363" s="25" t="str">
        <f aca="false">IF(A2363="","",IF(AND(C2363&lt;&gt;"No encontrado",F2363&lt;&gt;"Inactivo"),C2363&amp;" → "&amp;F2363,"Sin transición"))</f>
        <v/>
      </c>
      <c r="H2363" s="23" t="str">
        <f aca="false">IF(A2363="","",IF(D2363="GCIA LINEA SERVICIO DIGITALIDAD Y VENTAS","Chats",IF(OR(D2363="GERENCIA INBOUND LÍNEAS SERVICIO Y VENTA",D2363="GERENCIA INBOUND LINEAS ESPECIALIZADAS"),"Llamadas","Otro")))</f>
        <v/>
      </c>
      <c r="I2363" s="23" t="str">
        <f aca="false">IF(A2363="","",IF(C2363="No encontrado","No","Sí"))</f>
        <v/>
      </c>
      <c r="J2363" s="23" t="str">
        <f aca="false">IF(A2363="","",IF(F2363="Inactivo","No","Sí"))</f>
        <v/>
      </c>
      <c r="K2363" s="23" t="str">
        <f aca="false">IF(A2363="","",IF(AND(I2363="Sí",J2363="Sí"),"Sí","No"))</f>
        <v/>
      </c>
    </row>
    <row r="2364" customFormat="false" ht="15" hidden="false" customHeight="false" outlineLevel="0" collapsed="false">
      <c r="A2364" s="22"/>
      <c r="B2364" s="22"/>
      <c r="C2364" s="26" t="str">
        <f aca="false">IF(A2364="","",IFERROR(buscarx(A2364&amp;B2364,DATA!$E$3:$E$10000&amp;DATA!$B$3:$B$10000,DATA!$M$3:$M$10000),"No encontrado"))</f>
        <v/>
      </c>
      <c r="D2364" s="27" t="str">
        <f aca="false">IF(A2364="","",IFERROR(buscarx(A2364&amp;B2364,DATA!$E$3:$E$10000&amp;DATA!$B$3:$B$10000,DATA!$W$3:$W$10000),"No encontrado"))</f>
        <v/>
      </c>
      <c r="E2364" s="22"/>
      <c r="F2364" s="26" t="str">
        <f aca="false">IF(A2364="","",IFERROR(buscarx(A2364&amp;E2364,DATA!$E$3:$E$10000&amp;DATA!$B$3:$B$10000,DATA!$M$3:$M$10000),"Inactivo"))</f>
        <v/>
      </c>
      <c r="G2364" s="28" t="str">
        <f aca="false">IF(A2364="","",IF(AND(C2364&lt;&gt;"No encontrado",F2364&lt;&gt;"Inactivo"),C2364&amp;" → "&amp;F2364,"Sin transición"))</f>
        <v/>
      </c>
      <c r="H2364" s="26" t="str">
        <f aca="false">IF(A2364="","",IF(D2364="GCIA LINEA SERVICIO DIGITALIDAD Y VENTAS","Chats",IF(OR(D2364="GERENCIA INBOUND LÍNEAS SERVICIO Y VENTA",D2364="GERENCIA INBOUND LINEAS ESPECIALIZADAS"),"Llamadas","Otro")))</f>
        <v/>
      </c>
      <c r="I2364" s="26" t="str">
        <f aca="false">IF(A2364="","",IF(C2364="No encontrado","No","Sí"))</f>
        <v/>
      </c>
      <c r="J2364" s="26" t="str">
        <f aca="false">IF(A2364="","",IF(F2364="Inactivo","No","Sí"))</f>
        <v/>
      </c>
      <c r="K2364" s="26" t="str">
        <f aca="false">IF(A2364="","",IF(AND(I2364="Sí",J2364="Sí"),"Sí","No"))</f>
        <v/>
      </c>
    </row>
    <row r="2365" customFormat="false" ht="15" hidden="false" customHeight="false" outlineLevel="0" collapsed="false">
      <c r="A2365" s="22"/>
      <c r="B2365" s="22"/>
      <c r="C2365" s="23" t="str">
        <f aca="false">IF(A2365="","",IFERROR(buscarx(A2365&amp;B2365,DATA!$E$3:$E$10000&amp;DATA!$B$3:$B$10000,DATA!$M$3:$M$10000),"No encontrado"))</f>
        <v/>
      </c>
      <c r="D2365" s="24" t="str">
        <f aca="false">IF(A2365="","",IFERROR(buscarx(A2365&amp;B2365,DATA!$E$3:$E$10000&amp;DATA!$B$3:$B$10000,DATA!$W$3:$W$10000),"No encontrado"))</f>
        <v/>
      </c>
      <c r="E2365" s="22"/>
      <c r="F2365" s="23" t="str">
        <f aca="false">IF(A2365="","",IFERROR(buscarx(A2365&amp;E2365,DATA!$E$3:$E$10000&amp;DATA!$B$3:$B$10000,DATA!$M$3:$M$10000),"Inactivo"))</f>
        <v/>
      </c>
      <c r="G2365" s="25" t="str">
        <f aca="false">IF(A2365="","",IF(AND(C2365&lt;&gt;"No encontrado",F2365&lt;&gt;"Inactivo"),C2365&amp;" → "&amp;F2365,"Sin transición"))</f>
        <v/>
      </c>
      <c r="H2365" s="23" t="str">
        <f aca="false">IF(A2365="","",IF(D2365="GCIA LINEA SERVICIO DIGITALIDAD Y VENTAS","Chats",IF(OR(D2365="GERENCIA INBOUND LÍNEAS SERVICIO Y VENTA",D2365="GERENCIA INBOUND LINEAS ESPECIALIZADAS"),"Llamadas","Otro")))</f>
        <v/>
      </c>
      <c r="I2365" s="23" t="str">
        <f aca="false">IF(A2365="","",IF(C2365="No encontrado","No","Sí"))</f>
        <v/>
      </c>
      <c r="J2365" s="23" t="str">
        <f aca="false">IF(A2365="","",IF(F2365="Inactivo","No","Sí"))</f>
        <v/>
      </c>
      <c r="K2365" s="23" t="str">
        <f aca="false">IF(A2365="","",IF(AND(I2365="Sí",J2365="Sí"),"Sí","No"))</f>
        <v/>
      </c>
    </row>
    <row r="2366" customFormat="false" ht="15" hidden="false" customHeight="false" outlineLevel="0" collapsed="false">
      <c r="A2366" s="22"/>
      <c r="B2366" s="22"/>
      <c r="C2366" s="26" t="str">
        <f aca="false">IF(A2366="","",IFERROR(buscarx(A2366&amp;B2366,DATA!$E$3:$E$10000&amp;DATA!$B$3:$B$10000,DATA!$M$3:$M$10000),"No encontrado"))</f>
        <v/>
      </c>
      <c r="D2366" s="27" t="str">
        <f aca="false">IF(A2366="","",IFERROR(buscarx(A2366&amp;B2366,DATA!$E$3:$E$10000&amp;DATA!$B$3:$B$10000,DATA!$W$3:$W$10000),"No encontrado"))</f>
        <v/>
      </c>
      <c r="E2366" s="22"/>
      <c r="F2366" s="26" t="str">
        <f aca="false">IF(A2366="","",IFERROR(buscarx(A2366&amp;E2366,DATA!$E$3:$E$10000&amp;DATA!$B$3:$B$10000,DATA!$M$3:$M$10000),"Inactivo"))</f>
        <v/>
      </c>
      <c r="G2366" s="28" t="str">
        <f aca="false">IF(A2366="","",IF(AND(C2366&lt;&gt;"No encontrado",F2366&lt;&gt;"Inactivo"),C2366&amp;" → "&amp;F2366,"Sin transición"))</f>
        <v/>
      </c>
      <c r="H2366" s="26" t="str">
        <f aca="false">IF(A2366="","",IF(D2366="GCIA LINEA SERVICIO DIGITALIDAD Y VENTAS","Chats",IF(OR(D2366="GERENCIA INBOUND LÍNEAS SERVICIO Y VENTA",D2366="GERENCIA INBOUND LINEAS ESPECIALIZADAS"),"Llamadas","Otro")))</f>
        <v/>
      </c>
      <c r="I2366" s="26" t="str">
        <f aca="false">IF(A2366="","",IF(C2366="No encontrado","No","Sí"))</f>
        <v/>
      </c>
      <c r="J2366" s="26" t="str">
        <f aca="false">IF(A2366="","",IF(F2366="Inactivo","No","Sí"))</f>
        <v/>
      </c>
      <c r="K2366" s="26" t="str">
        <f aca="false">IF(A2366="","",IF(AND(I2366="Sí",J2366="Sí"),"Sí","No"))</f>
        <v/>
      </c>
    </row>
    <row r="2367" customFormat="false" ht="15" hidden="false" customHeight="false" outlineLevel="0" collapsed="false">
      <c r="A2367" s="22"/>
      <c r="B2367" s="22"/>
      <c r="C2367" s="23" t="str">
        <f aca="false">IF(A2367="","",IFERROR(buscarx(A2367&amp;B2367,DATA!$E$3:$E$10000&amp;DATA!$B$3:$B$10000,DATA!$M$3:$M$10000),"No encontrado"))</f>
        <v/>
      </c>
      <c r="D2367" s="24" t="str">
        <f aca="false">IF(A2367="","",IFERROR(buscarx(A2367&amp;B2367,DATA!$E$3:$E$10000&amp;DATA!$B$3:$B$10000,DATA!$W$3:$W$10000),"No encontrado"))</f>
        <v/>
      </c>
      <c r="E2367" s="22"/>
      <c r="F2367" s="23" t="str">
        <f aca="false">IF(A2367="","",IFERROR(buscarx(A2367&amp;E2367,DATA!$E$3:$E$10000&amp;DATA!$B$3:$B$10000,DATA!$M$3:$M$10000),"Inactivo"))</f>
        <v/>
      </c>
      <c r="G2367" s="25" t="str">
        <f aca="false">IF(A2367="","",IF(AND(C2367&lt;&gt;"No encontrado",F2367&lt;&gt;"Inactivo"),C2367&amp;" → "&amp;F2367,"Sin transición"))</f>
        <v/>
      </c>
      <c r="H2367" s="23" t="str">
        <f aca="false">IF(A2367="","",IF(D2367="GCIA LINEA SERVICIO DIGITALIDAD Y VENTAS","Chats",IF(OR(D2367="GERENCIA INBOUND LÍNEAS SERVICIO Y VENTA",D2367="GERENCIA INBOUND LINEAS ESPECIALIZADAS"),"Llamadas","Otro")))</f>
        <v/>
      </c>
      <c r="I2367" s="23" t="str">
        <f aca="false">IF(A2367="","",IF(C2367="No encontrado","No","Sí"))</f>
        <v/>
      </c>
      <c r="J2367" s="23" t="str">
        <f aca="false">IF(A2367="","",IF(F2367="Inactivo","No","Sí"))</f>
        <v/>
      </c>
      <c r="K2367" s="23" t="str">
        <f aca="false">IF(A2367="","",IF(AND(I2367="Sí",J2367="Sí"),"Sí","No"))</f>
        <v/>
      </c>
    </row>
    <row r="2368" customFormat="false" ht="15" hidden="false" customHeight="false" outlineLevel="0" collapsed="false">
      <c r="A2368" s="22"/>
      <c r="B2368" s="22"/>
      <c r="C2368" s="26" t="str">
        <f aca="false">IF(A2368="","",IFERROR(buscarx(A2368&amp;B2368,DATA!$E$3:$E$10000&amp;DATA!$B$3:$B$10000,DATA!$M$3:$M$10000),"No encontrado"))</f>
        <v/>
      </c>
      <c r="D2368" s="27" t="str">
        <f aca="false">IF(A2368="","",IFERROR(buscarx(A2368&amp;B2368,DATA!$E$3:$E$10000&amp;DATA!$B$3:$B$10000,DATA!$W$3:$W$10000),"No encontrado"))</f>
        <v/>
      </c>
      <c r="E2368" s="22"/>
      <c r="F2368" s="26" t="str">
        <f aca="false">IF(A2368="","",IFERROR(buscarx(A2368&amp;E2368,DATA!$E$3:$E$10000&amp;DATA!$B$3:$B$10000,DATA!$M$3:$M$10000),"Inactivo"))</f>
        <v/>
      </c>
      <c r="G2368" s="28" t="str">
        <f aca="false">IF(A2368="","",IF(AND(C2368&lt;&gt;"No encontrado",F2368&lt;&gt;"Inactivo"),C2368&amp;" → "&amp;F2368,"Sin transición"))</f>
        <v/>
      </c>
      <c r="H2368" s="26" t="str">
        <f aca="false">IF(A2368="","",IF(D2368="GCIA LINEA SERVICIO DIGITALIDAD Y VENTAS","Chats",IF(OR(D2368="GERENCIA INBOUND LÍNEAS SERVICIO Y VENTA",D2368="GERENCIA INBOUND LINEAS ESPECIALIZADAS"),"Llamadas","Otro")))</f>
        <v/>
      </c>
      <c r="I2368" s="26" t="str">
        <f aca="false">IF(A2368="","",IF(C2368="No encontrado","No","Sí"))</f>
        <v/>
      </c>
      <c r="J2368" s="26" t="str">
        <f aca="false">IF(A2368="","",IF(F2368="Inactivo","No","Sí"))</f>
        <v/>
      </c>
      <c r="K2368" s="26" t="str">
        <f aca="false">IF(A2368="","",IF(AND(I2368="Sí",J2368="Sí"),"Sí","No"))</f>
        <v/>
      </c>
    </row>
    <row r="2369" customFormat="false" ht="15" hidden="false" customHeight="false" outlineLevel="0" collapsed="false">
      <c r="A2369" s="22"/>
      <c r="B2369" s="22"/>
      <c r="C2369" s="23" t="str">
        <f aca="false">IF(A2369="","",IFERROR(buscarx(A2369&amp;B2369,DATA!$E$3:$E$10000&amp;DATA!$B$3:$B$10000,DATA!$M$3:$M$10000),"No encontrado"))</f>
        <v/>
      </c>
      <c r="D2369" s="24" t="str">
        <f aca="false">IF(A2369="","",IFERROR(buscarx(A2369&amp;B2369,DATA!$E$3:$E$10000&amp;DATA!$B$3:$B$10000,DATA!$W$3:$W$10000),"No encontrado"))</f>
        <v/>
      </c>
      <c r="E2369" s="22"/>
      <c r="F2369" s="23" t="str">
        <f aca="false">IF(A2369="","",IFERROR(buscarx(A2369&amp;E2369,DATA!$E$3:$E$10000&amp;DATA!$B$3:$B$10000,DATA!$M$3:$M$10000),"Inactivo"))</f>
        <v/>
      </c>
      <c r="G2369" s="25" t="str">
        <f aca="false">IF(A2369="","",IF(AND(C2369&lt;&gt;"No encontrado",F2369&lt;&gt;"Inactivo"),C2369&amp;" → "&amp;F2369,"Sin transición"))</f>
        <v/>
      </c>
      <c r="H2369" s="23" t="str">
        <f aca="false">IF(A2369="","",IF(D2369="GCIA LINEA SERVICIO DIGITALIDAD Y VENTAS","Chats",IF(OR(D2369="GERENCIA INBOUND LÍNEAS SERVICIO Y VENTA",D2369="GERENCIA INBOUND LINEAS ESPECIALIZADAS"),"Llamadas","Otro")))</f>
        <v/>
      </c>
      <c r="I2369" s="23" t="str">
        <f aca="false">IF(A2369="","",IF(C2369="No encontrado","No","Sí"))</f>
        <v/>
      </c>
      <c r="J2369" s="23" t="str">
        <f aca="false">IF(A2369="","",IF(F2369="Inactivo","No","Sí"))</f>
        <v/>
      </c>
      <c r="K2369" s="23" t="str">
        <f aca="false">IF(A2369="","",IF(AND(I2369="Sí",J2369="Sí"),"Sí","No"))</f>
        <v/>
      </c>
    </row>
    <row r="2370" customFormat="false" ht="15" hidden="false" customHeight="false" outlineLevel="0" collapsed="false">
      <c r="A2370" s="22"/>
      <c r="B2370" s="22"/>
      <c r="C2370" s="26" t="str">
        <f aca="false">IF(A2370="","",IFERROR(buscarx(A2370&amp;B2370,DATA!$E$3:$E$10000&amp;DATA!$B$3:$B$10000,DATA!$M$3:$M$10000),"No encontrado"))</f>
        <v/>
      </c>
      <c r="D2370" s="27" t="str">
        <f aca="false">IF(A2370="","",IFERROR(buscarx(A2370&amp;B2370,DATA!$E$3:$E$10000&amp;DATA!$B$3:$B$10000,DATA!$W$3:$W$10000),"No encontrado"))</f>
        <v/>
      </c>
      <c r="E2370" s="22"/>
      <c r="F2370" s="26" t="str">
        <f aca="false">IF(A2370="","",IFERROR(buscarx(A2370&amp;E2370,DATA!$E$3:$E$10000&amp;DATA!$B$3:$B$10000,DATA!$M$3:$M$10000),"Inactivo"))</f>
        <v/>
      </c>
      <c r="G2370" s="28" t="str">
        <f aca="false">IF(A2370="","",IF(AND(C2370&lt;&gt;"No encontrado",F2370&lt;&gt;"Inactivo"),C2370&amp;" → "&amp;F2370,"Sin transición"))</f>
        <v/>
      </c>
      <c r="H2370" s="26" t="str">
        <f aca="false">IF(A2370="","",IF(D2370="GCIA LINEA SERVICIO DIGITALIDAD Y VENTAS","Chats",IF(OR(D2370="GERENCIA INBOUND LÍNEAS SERVICIO Y VENTA",D2370="GERENCIA INBOUND LINEAS ESPECIALIZADAS"),"Llamadas","Otro")))</f>
        <v/>
      </c>
      <c r="I2370" s="26" t="str">
        <f aca="false">IF(A2370="","",IF(C2370="No encontrado","No","Sí"))</f>
        <v/>
      </c>
      <c r="J2370" s="26" t="str">
        <f aca="false">IF(A2370="","",IF(F2370="Inactivo","No","Sí"))</f>
        <v/>
      </c>
      <c r="K2370" s="26" t="str">
        <f aca="false">IF(A2370="","",IF(AND(I2370="Sí",J2370="Sí"),"Sí","No"))</f>
        <v/>
      </c>
    </row>
    <row r="2371" customFormat="false" ht="15" hidden="false" customHeight="false" outlineLevel="0" collapsed="false">
      <c r="A2371" s="22"/>
      <c r="B2371" s="22"/>
      <c r="C2371" s="23" t="str">
        <f aca="false">IF(A2371="","",IFERROR(buscarx(A2371&amp;B2371,DATA!$E$3:$E$10000&amp;DATA!$B$3:$B$10000,DATA!$M$3:$M$10000),"No encontrado"))</f>
        <v/>
      </c>
      <c r="D2371" s="24" t="str">
        <f aca="false">IF(A2371="","",IFERROR(buscarx(A2371&amp;B2371,DATA!$E$3:$E$10000&amp;DATA!$B$3:$B$10000,DATA!$W$3:$W$10000),"No encontrado"))</f>
        <v/>
      </c>
      <c r="E2371" s="22"/>
      <c r="F2371" s="23" t="str">
        <f aca="false">IF(A2371="","",IFERROR(buscarx(A2371&amp;E2371,DATA!$E$3:$E$10000&amp;DATA!$B$3:$B$10000,DATA!$M$3:$M$10000),"Inactivo"))</f>
        <v/>
      </c>
      <c r="G2371" s="25" t="str">
        <f aca="false">IF(A2371="","",IF(AND(C2371&lt;&gt;"No encontrado",F2371&lt;&gt;"Inactivo"),C2371&amp;" → "&amp;F2371,"Sin transición"))</f>
        <v/>
      </c>
      <c r="H2371" s="23" t="str">
        <f aca="false">IF(A2371="","",IF(D2371="GCIA LINEA SERVICIO DIGITALIDAD Y VENTAS","Chats",IF(OR(D2371="GERENCIA INBOUND LÍNEAS SERVICIO Y VENTA",D2371="GERENCIA INBOUND LINEAS ESPECIALIZADAS"),"Llamadas","Otro")))</f>
        <v/>
      </c>
      <c r="I2371" s="23" t="str">
        <f aca="false">IF(A2371="","",IF(C2371="No encontrado","No","Sí"))</f>
        <v/>
      </c>
      <c r="J2371" s="23" t="str">
        <f aca="false">IF(A2371="","",IF(F2371="Inactivo","No","Sí"))</f>
        <v/>
      </c>
      <c r="K2371" s="23" t="str">
        <f aca="false">IF(A2371="","",IF(AND(I2371="Sí",J2371="Sí"),"Sí","No"))</f>
        <v/>
      </c>
    </row>
    <row r="2372" customFormat="false" ht="15" hidden="false" customHeight="false" outlineLevel="0" collapsed="false">
      <c r="A2372" s="22"/>
      <c r="B2372" s="22"/>
      <c r="C2372" s="26" t="str">
        <f aca="false">IF(A2372="","",IFERROR(buscarx(A2372&amp;B2372,DATA!$E$3:$E$10000&amp;DATA!$B$3:$B$10000,DATA!$M$3:$M$10000),"No encontrado"))</f>
        <v/>
      </c>
      <c r="D2372" s="27" t="str">
        <f aca="false">IF(A2372="","",IFERROR(buscarx(A2372&amp;B2372,DATA!$E$3:$E$10000&amp;DATA!$B$3:$B$10000,DATA!$W$3:$W$10000),"No encontrado"))</f>
        <v/>
      </c>
      <c r="E2372" s="22"/>
      <c r="F2372" s="26" t="str">
        <f aca="false">IF(A2372="","",IFERROR(buscarx(A2372&amp;E2372,DATA!$E$3:$E$10000&amp;DATA!$B$3:$B$10000,DATA!$M$3:$M$10000),"Inactivo"))</f>
        <v/>
      </c>
      <c r="G2372" s="28" t="str">
        <f aca="false">IF(A2372="","",IF(AND(C2372&lt;&gt;"No encontrado",F2372&lt;&gt;"Inactivo"),C2372&amp;" → "&amp;F2372,"Sin transición"))</f>
        <v/>
      </c>
      <c r="H2372" s="26" t="str">
        <f aca="false">IF(A2372="","",IF(D2372="GCIA LINEA SERVICIO DIGITALIDAD Y VENTAS","Chats",IF(OR(D2372="GERENCIA INBOUND LÍNEAS SERVICIO Y VENTA",D2372="GERENCIA INBOUND LINEAS ESPECIALIZADAS"),"Llamadas","Otro")))</f>
        <v/>
      </c>
      <c r="I2372" s="26" t="str">
        <f aca="false">IF(A2372="","",IF(C2372="No encontrado","No","Sí"))</f>
        <v/>
      </c>
      <c r="J2372" s="26" t="str">
        <f aca="false">IF(A2372="","",IF(F2372="Inactivo","No","Sí"))</f>
        <v/>
      </c>
      <c r="K2372" s="26" t="str">
        <f aca="false">IF(A2372="","",IF(AND(I2372="Sí",J2372="Sí"),"Sí","No"))</f>
        <v/>
      </c>
    </row>
    <row r="2373" customFormat="false" ht="15" hidden="false" customHeight="false" outlineLevel="0" collapsed="false">
      <c r="A2373" s="22"/>
      <c r="B2373" s="22"/>
      <c r="C2373" s="23" t="str">
        <f aca="false">IF(A2373="","",IFERROR(buscarx(A2373&amp;B2373,DATA!$E$3:$E$10000&amp;DATA!$B$3:$B$10000,DATA!$M$3:$M$10000),"No encontrado"))</f>
        <v/>
      </c>
      <c r="D2373" s="24" t="str">
        <f aca="false">IF(A2373="","",IFERROR(buscarx(A2373&amp;B2373,DATA!$E$3:$E$10000&amp;DATA!$B$3:$B$10000,DATA!$W$3:$W$10000),"No encontrado"))</f>
        <v/>
      </c>
      <c r="E2373" s="22"/>
      <c r="F2373" s="23" t="str">
        <f aca="false">IF(A2373="","",IFERROR(buscarx(A2373&amp;E2373,DATA!$E$3:$E$10000&amp;DATA!$B$3:$B$10000,DATA!$M$3:$M$10000),"Inactivo"))</f>
        <v/>
      </c>
      <c r="G2373" s="25" t="str">
        <f aca="false">IF(A2373="","",IF(AND(C2373&lt;&gt;"No encontrado",F2373&lt;&gt;"Inactivo"),C2373&amp;" → "&amp;F2373,"Sin transición"))</f>
        <v/>
      </c>
      <c r="H2373" s="23" t="str">
        <f aca="false">IF(A2373="","",IF(D2373="GCIA LINEA SERVICIO DIGITALIDAD Y VENTAS","Chats",IF(OR(D2373="GERENCIA INBOUND LÍNEAS SERVICIO Y VENTA",D2373="GERENCIA INBOUND LINEAS ESPECIALIZADAS"),"Llamadas","Otro")))</f>
        <v/>
      </c>
      <c r="I2373" s="23" t="str">
        <f aca="false">IF(A2373="","",IF(C2373="No encontrado","No","Sí"))</f>
        <v/>
      </c>
      <c r="J2373" s="23" t="str">
        <f aca="false">IF(A2373="","",IF(F2373="Inactivo","No","Sí"))</f>
        <v/>
      </c>
      <c r="K2373" s="23" t="str">
        <f aca="false">IF(A2373="","",IF(AND(I2373="Sí",J2373="Sí"),"Sí","No"))</f>
        <v/>
      </c>
    </row>
    <row r="2374" customFormat="false" ht="15" hidden="false" customHeight="false" outlineLevel="0" collapsed="false">
      <c r="A2374" s="22"/>
      <c r="B2374" s="22"/>
      <c r="C2374" s="26" t="str">
        <f aca="false">IF(A2374="","",IFERROR(buscarx(A2374&amp;B2374,DATA!$E$3:$E$10000&amp;DATA!$B$3:$B$10000,DATA!$M$3:$M$10000),"No encontrado"))</f>
        <v/>
      </c>
      <c r="D2374" s="27" t="str">
        <f aca="false">IF(A2374="","",IFERROR(buscarx(A2374&amp;B2374,DATA!$E$3:$E$10000&amp;DATA!$B$3:$B$10000,DATA!$W$3:$W$10000),"No encontrado"))</f>
        <v/>
      </c>
      <c r="E2374" s="22"/>
      <c r="F2374" s="26" t="str">
        <f aca="false">IF(A2374="","",IFERROR(buscarx(A2374&amp;E2374,DATA!$E$3:$E$10000&amp;DATA!$B$3:$B$10000,DATA!$M$3:$M$10000),"Inactivo"))</f>
        <v/>
      </c>
      <c r="G2374" s="28" t="str">
        <f aca="false">IF(A2374="","",IF(AND(C2374&lt;&gt;"No encontrado",F2374&lt;&gt;"Inactivo"),C2374&amp;" → "&amp;F2374,"Sin transición"))</f>
        <v/>
      </c>
      <c r="H2374" s="26" t="str">
        <f aca="false">IF(A2374="","",IF(D2374="GCIA LINEA SERVICIO DIGITALIDAD Y VENTAS","Chats",IF(OR(D2374="GERENCIA INBOUND LÍNEAS SERVICIO Y VENTA",D2374="GERENCIA INBOUND LINEAS ESPECIALIZADAS"),"Llamadas","Otro")))</f>
        <v/>
      </c>
      <c r="I2374" s="26" t="str">
        <f aca="false">IF(A2374="","",IF(C2374="No encontrado","No","Sí"))</f>
        <v/>
      </c>
      <c r="J2374" s="26" t="str">
        <f aca="false">IF(A2374="","",IF(F2374="Inactivo","No","Sí"))</f>
        <v/>
      </c>
      <c r="K2374" s="26" t="str">
        <f aca="false">IF(A2374="","",IF(AND(I2374="Sí",J2374="Sí"),"Sí","No"))</f>
        <v/>
      </c>
    </row>
    <row r="2375" customFormat="false" ht="15" hidden="false" customHeight="false" outlineLevel="0" collapsed="false">
      <c r="A2375" s="22"/>
      <c r="B2375" s="22"/>
      <c r="C2375" s="23" t="str">
        <f aca="false">IF(A2375="","",IFERROR(buscarx(A2375&amp;B2375,DATA!$E$3:$E$10000&amp;DATA!$B$3:$B$10000,DATA!$M$3:$M$10000),"No encontrado"))</f>
        <v/>
      </c>
      <c r="D2375" s="24" t="str">
        <f aca="false">IF(A2375="","",IFERROR(buscarx(A2375&amp;B2375,DATA!$E$3:$E$10000&amp;DATA!$B$3:$B$10000,DATA!$W$3:$W$10000),"No encontrado"))</f>
        <v/>
      </c>
      <c r="E2375" s="22"/>
      <c r="F2375" s="23" t="str">
        <f aca="false">IF(A2375="","",IFERROR(buscarx(A2375&amp;E2375,DATA!$E$3:$E$10000&amp;DATA!$B$3:$B$10000,DATA!$M$3:$M$10000),"Inactivo"))</f>
        <v/>
      </c>
      <c r="G2375" s="25" t="str">
        <f aca="false">IF(A2375="","",IF(AND(C2375&lt;&gt;"No encontrado",F2375&lt;&gt;"Inactivo"),C2375&amp;" → "&amp;F2375,"Sin transición"))</f>
        <v/>
      </c>
      <c r="H2375" s="23" t="str">
        <f aca="false">IF(A2375="","",IF(D2375="GCIA LINEA SERVICIO DIGITALIDAD Y VENTAS","Chats",IF(OR(D2375="GERENCIA INBOUND LÍNEAS SERVICIO Y VENTA",D2375="GERENCIA INBOUND LINEAS ESPECIALIZADAS"),"Llamadas","Otro")))</f>
        <v/>
      </c>
      <c r="I2375" s="23" t="str">
        <f aca="false">IF(A2375="","",IF(C2375="No encontrado","No","Sí"))</f>
        <v/>
      </c>
      <c r="J2375" s="23" t="str">
        <f aca="false">IF(A2375="","",IF(F2375="Inactivo","No","Sí"))</f>
        <v/>
      </c>
      <c r="K2375" s="23" t="str">
        <f aca="false">IF(A2375="","",IF(AND(I2375="Sí",J2375="Sí"),"Sí","No"))</f>
        <v/>
      </c>
    </row>
    <row r="2376" customFormat="false" ht="15" hidden="false" customHeight="false" outlineLevel="0" collapsed="false">
      <c r="A2376" s="22"/>
      <c r="B2376" s="22"/>
      <c r="C2376" s="26" t="str">
        <f aca="false">IF(A2376="","",IFERROR(buscarx(A2376&amp;B2376,DATA!$E$3:$E$10000&amp;DATA!$B$3:$B$10000,DATA!$M$3:$M$10000),"No encontrado"))</f>
        <v/>
      </c>
      <c r="D2376" s="27" t="str">
        <f aca="false">IF(A2376="","",IFERROR(buscarx(A2376&amp;B2376,DATA!$E$3:$E$10000&amp;DATA!$B$3:$B$10000,DATA!$W$3:$W$10000),"No encontrado"))</f>
        <v/>
      </c>
      <c r="E2376" s="22"/>
      <c r="F2376" s="26" t="str">
        <f aca="false">IF(A2376="","",IFERROR(buscarx(A2376&amp;E2376,DATA!$E$3:$E$10000&amp;DATA!$B$3:$B$10000,DATA!$M$3:$M$10000),"Inactivo"))</f>
        <v/>
      </c>
      <c r="G2376" s="28" t="str">
        <f aca="false">IF(A2376="","",IF(AND(C2376&lt;&gt;"No encontrado",F2376&lt;&gt;"Inactivo"),C2376&amp;" → "&amp;F2376,"Sin transición"))</f>
        <v/>
      </c>
      <c r="H2376" s="26" t="str">
        <f aca="false">IF(A2376="","",IF(D2376="GCIA LINEA SERVICIO DIGITALIDAD Y VENTAS","Chats",IF(OR(D2376="GERENCIA INBOUND LÍNEAS SERVICIO Y VENTA",D2376="GERENCIA INBOUND LINEAS ESPECIALIZADAS"),"Llamadas","Otro")))</f>
        <v/>
      </c>
      <c r="I2376" s="26" t="str">
        <f aca="false">IF(A2376="","",IF(C2376="No encontrado","No","Sí"))</f>
        <v/>
      </c>
      <c r="J2376" s="26" t="str">
        <f aca="false">IF(A2376="","",IF(F2376="Inactivo","No","Sí"))</f>
        <v/>
      </c>
      <c r="K2376" s="26" t="str">
        <f aca="false">IF(A2376="","",IF(AND(I2376="Sí",J2376="Sí"),"Sí","No"))</f>
        <v/>
      </c>
    </row>
    <row r="2377" customFormat="false" ht="15" hidden="false" customHeight="false" outlineLevel="0" collapsed="false">
      <c r="A2377" s="22"/>
      <c r="B2377" s="22"/>
      <c r="C2377" s="23" t="str">
        <f aca="false">IF(A2377="","",IFERROR(buscarx(A2377&amp;B2377,DATA!$E$3:$E$10000&amp;DATA!$B$3:$B$10000,DATA!$M$3:$M$10000),"No encontrado"))</f>
        <v/>
      </c>
      <c r="D2377" s="24" t="str">
        <f aca="false">IF(A2377="","",IFERROR(buscarx(A2377&amp;B2377,DATA!$E$3:$E$10000&amp;DATA!$B$3:$B$10000,DATA!$W$3:$W$10000),"No encontrado"))</f>
        <v/>
      </c>
      <c r="E2377" s="22"/>
      <c r="F2377" s="23" t="str">
        <f aca="false">IF(A2377="","",IFERROR(buscarx(A2377&amp;E2377,DATA!$E$3:$E$10000&amp;DATA!$B$3:$B$10000,DATA!$M$3:$M$10000),"Inactivo"))</f>
        <v/>
      </c>
      <c r="G2377" s="25" t="str">
        <f aca="false">IF(A2377="","",IF(AND(C2377&lt;&gt;"No encontrado",F2377&lt;&gt;"Inactivo"),C2377&amp;" → "&amp;F2377,"Sin transición"))</f>
        <v/>
      </c>
      <c r="H2377" s="23" t="str">
        <f aca="false">IF(A2377="","",IF(D2377="GCIA LINEA SERVICIO DIGITALIDAD Y VENTAS","Chats",IF(OR(D2377="GERENCIA INBOUND LÍNEAS SERVICIO Y VENTA",D2377="GERENCIA INBOUND LINEAS ESPECIALIZADAS"),"Llamadas","Otro")))</f>
        <v/>
      </c>
      <c r="I2377" s="23" t="str">
        <f aca="false">IF(A2377="","",IF(C2377="No encontrado","No","Sí"))</f>
        <v/>
      </c>
      <c r="J2377" s="23" t="str">
        <f aca="false">IF(A2377="","",IF(F2377="Inactivo","No","Sí"))</f>
        <v/>
      </c>
      <c r="K2377" s="23" t="str">
        <f aca="false">IF(A2377="","",IF(AND(I2377="Sí",J2377="Sí"),"Sí","No"))</f>
        <v/>
      </c>
    </row>
    <row r="2378" customFormat="false" ht="15" hidden="false" customHeight="false" outlineLevel="0" collapsed="false">
      <c r="A2378" s="22"/>
      <c r="B2378" s="22"/>
      <c r="C2378" s="26" t="str">
        <f aca="false">IF(A2378="","",IFERROR(buscarx(A2378&amp;B2378,DATA!$E$3:$E$10000&amp;DATA!$B$3:$B$10000,DATA!$M$3:$M$10000),"No encontrado"))</f>
        <v/>
      </c>
      <c r="D2378" s="27" t="str">
        <f aca="false">IF(A2378="","",IFERROR(buscarx(A2378&amp;B2378,DATA!$E$3:$E$10000&amp;DATA!$B$3:$B$10000,DATA!$W$3:$W$10000),"No encontrado"))</f>
        <v/>
      </c>
      <c r="E2378" s="22"/>
      <c r="F2378" s="26" t="str">
        <f aca="false">IF(A2378="","",IFERROR(buscarx(A2378&amp;E2378,DATA!$E$3:$E$10000&amp;DATA!$B$3:$B$10000,DATA!$M$3:$M$10000),"Inactivo"))</f>
        <v/>
      </c>
      <c r="G2378" s="28" t="str">
        <f aca="false">IF(A2378="","",IF(AND(C2378&lt;&gt;"No encontrado",F2378&lt;&gt;"Inactivo"),C2378&amp;" → "&amp;F2378,"Sin transición"))</f>
        <v/>
      </c>
      <c r="H2378" s="26" t="str">
        <f aca="false">IF(A2378="","",IF(D2378="GCIA LINEA SERVICIO DIGITALIDAD Y VENTAS","Chats",IF(OR(D2378="GERENCIA INBOUND LÍNEAS SERVICIO Y VENTA",D2378="GERENCIA INBOUND LINEAS ESPECIALIZADAS"),"Llamadas","Otro")))</f>
        <v/>
      </c>
      <c r="I2378" s="26" t="str">
        <f aca="false">IF(A2378="","",IF(C2378="No encontrado","No","Sí"))</f>
        <v/>
      </c>
      <c r="J2378" s="26" t="str">
        <f aca="false">IF(A2378="","",IF(F2378="Inactivo","No","Sí"))</f>
        <v/>
      </c>
      <c r="K2378" s="26" t="str">
        <f aca="false">IF(A2378="","",IF(AND(I2378="Sí",J2378="Sí"),"Sí","No"))</f>
        <v/>
      </c>
    </row>
    <row r="2379" customFormat="false" ht="15" hidden="false" customHeight="false" outlineLevel="0" collapsed="false">
      <c r="A2379" s="22"/>
      <c r="B2379" s="22"/>
      <c r="C2379" s="23" t="str">
        <f aca="false">IF(A2379="","",IFERROR(buscarx(A2379&amp;B2379,DATA!$E$3:$E$10000&amp;DATA!$B$3:$B$10000,DATA!$M$3:$M$10000),"No encontrado"))</f>
        <v/>
      </c>
      <c r="D2379" s="24" t="str">
        <f aca="false">IF(A2379="","",IFERROR(buscarx(A2379&amp;B2379,DATA!$E$3:$E$10000&amp;DATA!$B$3:$B$10000,DATA!$W$3:$W$10000),"No encontrado"))</f>
        <v/>
      </c>
      <c r="E2379" s="22"/>
      <c r="F2379" s="23" t="str">
        <f aca="false">IF(A2379="","",IFERROR(buscarx(A2379&amp;E2379,DATA!$E$3:$E$10000&amp;DATA!$B$3:$B$10000,DATA!$M$3:$M$10000),"Inactivo"))</f>
        <v/>
      </c>
      <c r="G2379" s="25" t="str">
        <f aca="false">IF(A2379="","",IF(AND(C2379&lt;&gt;"No encontrado",F2379&lt;&gt;"Inactivo"),C2379&amp;" → "&amp;F2379,"Sin transición"))</f>
        <v/>
      </c>
      <c r="H2379" s="23" t="str">
        <f aca="false">IF(A2379="","",IF(D2379="GCIA LINEA SERVICIO DIGITALIDAD Y VENTAS","Chats",IF(OR(D2379="GERENCIA INBOUND LÍNEAS SERVICIO Y VENTA",D2379="GERENCIA INBOUND LINEAS ESPECIALIZADAS"),"Llamadas","Otro")))</f>
        <v/>
      </c>
      <c r="I2379" s="23" t="str">
        <f aca="false">IF(A2379="","",IF(C2379="No encontrado","No","Sí"))</f>
        <v/>
      </c>
      <c r="J2379" s="23" t="str">
        <f aca="false">IF(A2379="","",IF(F2379="Inactivo","No","Sí"))</f>
        <v/>
      </c>
      <c r="K2379" s="23" t="str">
        <f aca="false">IF(A2379="","",IF(AND(I2379="Sí",J2379="Sí"),"Sí","No"))</f>
        <v/>
      </c>
    </row>
    <row r="2380" customFormat="false" ht="15" hidden="false" customHeight="false" outlineLevel="0" collapsed="false">
      <c r="A2380" s="22"/>
      <c r="B2380" s="22"/>
      <c r="C2380" s="26" t="str">
        <f aca="false">IF(A2380="","",IFERROR(buscarx(A2380&amp;B2380,DATA!$E$3:$E$10000&amp;DATA!$B$3:$B$10000,DATA!$M$3:$M$10000),"No encontrado"))</f>
        <v/>
      </c>
      <c r="D2380" s="27" t="str">
        <f aca="false">IF(A2380="","",IFERROR(buscarx(A2380&amp;B2380,DATA!$E$3:$E$10000&amp;DATA!$B$3:$B$10000,DATA!$W$3:$W$10000),"No encontrado"))</f>
        <v/>
      </c>
      <c r="E2380" s="22"/>
      <c r="F2380" s="26" t="str">
        <f aca="false">IF(A2380="","",IFERROR(buscarx(A2380&amp;E2380,DATA!$E$3:$E$10000&amp;DATA!$B$3:$B$10000,DATA!$M$3:$M$10000),"Inactivo"))</f>
        <v/>
      </c>
      <c r="G2380" s="28" t="str">
        <f aca="false">IF(A2380="","",IF(AND(C2380&lt;&gt;"No encontrado",F2380&lt;&gt;"Inactivo"),C2380&amp;" → "&amp;F2380,"Sin transición"))</f>
        <v/>
      </c>
      <c r="H2380" s="26" t="str">
        <f aca="false">IF(A2380="","",IF(D2380="GCIA LINEA SERVICIO DIGITALIDAD Y VENTAS","Chats",IF(OR(D2380="GERENCIA INBOUND LÍNEAS SERVICIO Y VENTA",D2380="GERENCIA INBOUND LINEAS ESPECIALIZADAS"),"Llamadas","Otro")))</f>
        <v/>
      </c>
      <c r="I2380" s="26" t="str">
        <f aca="false">IF(A2380="","",IF(C2380="No encontrado","No","Sí"))</f>
        <v/>
      </c>
      <c r="J2380" s="26" t="str">
        <f aca="false">IF(A2380="","",IF(F2380="Inactivo","No","Sí"))</f>
        <v/>
      </c>
      <c r="K2380" s="26" t="str">
        <f aca="false">IF(A2380="","",IF(AND(I2380="Sí",J2380="Sí"),"Sí","No"))</f>
        <v/>
      </c>
    </row>
    <row r="2381" customFormat="false" ht="15" hidden="false" customHeight="false" outlineLevel="0" collapsed="false">
      <c r="A2381" s="22"/>
      <c r="B2381" s="22"/>
      <c r="C2381" s="23" t="str">
        <f aca="false">IF(A2381="","",IFERROR(buscarx(A2381&amp;B2381,DATA!$E$3:$E$10000&amp;DATA!$B$3:$B$10000,DATA!$M$3:$M$10000),"No encontrado"))</f>
        <v/>
      </c>
      <c r="D2381" s="24" t="str">
        <f aca="false">IF(A2381="","",IFERROR(buscarx(A2381&amp;B2381,DATA!$E$3:$E$10000&amp;DATA!$B$3:$B$10000,DATA!$W$3:$W$10000),"No encontrado"))</f>
        <v/>
      </c>
      <c r="E2381" s="22"/>
      <c r="F2381" s="23" t="str">
        <f aca="false">IF(A2381="","",IFERROR(buscarx(A2381&amp;E2381,DATA!$E$3:$E$10000&amp;DATA!$B$3:$B$10000,DATA!$M$3:$M$10000),"Inactivo"))</f>
        <v/>
      </c>
      <c r="G2381" s="25" t="str">
        <f aca="false">IF(A2381="","",IF(AND(C2381&lt;&gt;"No encontrado",F2381&lt;&gt;"Inactivo"),C2381&amp;" → "&amp;F2381,"Sin transición"))</f>
        <v/>
      </c>
      <c r="H2381" s="23" t="str">
        <f aca="false">IF(A2381="","",IF(D2381="GCIA LINEA SERVICIO DIGITALIDAD Y VENTAS","Chats",IF(OR(D2381="GERENCIA INBOUND LÍNEAS SERVICIO Y VENTA",D2381="GERENCIA INBOUND LINEAS ESPECIALIZADAS"),"Llamadas","Otro")))</f>
        <v/>
      </c>
      <c r="I2381" s="23" t="str">
        <f aca="false">IF(A2381="","",IF(C2381="No encontrado","No","Sí"))</f>
        <v/>
      </c>
      <c r="J2381" s="23" t="str">
        <f aca="false">IF(A2381="","",IF(F2381="Inactivo","No","Sí"))</f>
        <v/>
      </c>
      <c r="K2381" s="23" t="str">
        <f aca="false">IF(A2381="","",IF(AND(I2381="Sí",J2381="Sí"),"Sí","No"))</f>
        <v/>
      </c>
    </row>
    <row r="2382" customFormat="false" ht="15" hidden="false" customHeight="false" outlineLevel="0" collapsed="false">
      <c r="A2382" s="22"/>
      <c r="B2382" s="22"/>
      <c r="C2382" s="26" t="str">
        <f aca="false">IF(A2382="","",IFERROR(buscarx(A2382&amp;B2382,DATA!$E$3:$E$10000&amp;DATA!$B$3:$B$10000,DATA!$M$3:$M$10000),"No encontrado"))</f>
        <v/>
      </c>
      <c r="D2382" s="27" t="str">
        <f aca="false">IF(A2382="","",IFERROR(buscarx(A2382&amp;B2382,DATA!$E$3:$E$10000&amp;DATA!$B$3:$B$10000,DATA!$W$3:$W$10000),"No encontrado"))</f>
        <v/>
      </c>
      <c r="E2382" s="22"/>
      <c r="F2382" s="26" t="str">
        <f aca="false">IF(A2382="","",IFERROR(buscarx(A2382&amp;E2382,DATA!$E$3:$E$10000&amp;DATA!$B$3:$B$10000,DATA!$M$3:$M$10000),"Inactivo"))</f>
        <v/>
      </c>
      <c r="G2382" s="28" t="str">
        <f aca="false">IF(A2382="","",IF(AND(C2382&lt;&gt;"No encontrado",F2382&lt;&gt;"Inactivo"),C2382&amp;" → "&amp;F2382,"Sin transición"))</f>
        <v/>
      </c>
      <c r="H2382" s="26" t="str">
        <f aca="false">IF(A2382="","",IF(D2382="GCIA LINEA SERVICIO DIGITALIDAD Y VENTAS","Chats",IF(OR(D2382="GERENCIA INBOUND LÍNEAS SERVICIO Y VENTA",D2382="GERENCIA INBOUND LINEAS ESPECIALIZADAS"),"Llamadas","Otro")))</f>
        <v/>
      </c>
      <c r="I2382" s="26" t="str">
        <f aca="false">IF(A2382="","",IF(C2382="No encontrado","No","Sí"))</f>
        <v/>
      </c>
      <c r="J2382" s="26" t="str">
        <f aca="false">IF(A2382="","",IF(F2382="Inactivo","No","Sí"))</f>
        <v/>
      </c>
      <c r="K2382" s="26" t="str">
        <f aca="false">IF(A2382="","",IF(AND(I2382="Sí",J2382="Sí"),"Sí","No"))</f>
        <v/>
      </c>
    </row>
    <row r="2383" customFormat="false" ht="15" hidden="false" customHeight="false" outlineLevel="0" collapsed="false">
      <c r="A2383" s="22"/>
      <c r="B2383" s="22"/>
      <c r="C2383" s="23" t="str">
        <f aca="false">IF(A2383="","",IFERROR(buscarx(A2383&amp;B2383,DATA!$E$3:$E$10000&amp;DATA!$B$3:$B$10000,DATA!$M$3:$M$10000),"No encontrado"))</f>
        <v/>
      </c>
      <c r="D2383" s="24" t="str">
        <f aca="false">IF(A2383="","",IFERROR(buscarx(A2383&amp;B2383,DATA!$E$3:$E$10000&amp;DATA!$B$3:$B$10000,DATA!$W$3:$W$10000),"No encontrado"))</f>
        <v/>
      </c>
      <c r="E2383" s="22"/>
      <c r="F2383" s="23" t="str">
        <f aca="false">IF(A2383="","",IFERROR(buscarx(A2383&amp;E2383,DATA!$E$3:$E$10000&amp;DATA!$B$3:$B$10000,DATA!$M$3:$M$10000),"Inactivo"))</f>
        <v/>
      </c>
      <c r="G2383" s="25" t="str">
        <f aca="false">IF(A2383="","",IF(AND(C2383&lt;&gt;"No encontrado",F2383&lt;&gt;"Inactivo"),C2383&amp;" → "&amp;F2383,"Sin transición"))</f>
        <v/>
      </c>
      <c r="H2383" s="23" t="str">
        <f aca="false">IF(A2383="","",IF(D2383="GCIA LINEA SERVICIO DIGITALIDAD Y VENTAS","Chats",IF(OR(D2383="GERENCIA INBOUND LÍNEAS SERVICIO Y VENTA",D2383="GERENCIA INBOUND LINEAS ESPECIALIZADAS"),"Llamadas","Otro")))</f>
        <v/>
      </c>
      <c r="I2383" s="23" t="str">
        <f aca="false">IF(A2383="","",IF(C2383="No encontrado","No","Sí"))</f>
        <v/>
      </c>
      <c r="J2383" s="23" t="str">
        <f aca="false">IF(A2383="","",IF(F2383="Inactivo","No","Sí"))</f>
        <v/>
      </c>
      <c r="K2383" s="23" t="str">
        <f aca="false">IF(A2383="","",IF(AND(I2383="Sí",J2383="Sí"),"Sí","No"))</f>
        <v/>
      </c>
    </row>
    <row r="2384" customFormat="false" ht="15" hidden="false" customHeight="false" outlineLevel="0" collapsed="false">
      <c r="A2384" s="22"/>
      <c r="B2384" s="22"/>
      <c r="C2384" s="26" t="str">
        <f aca="false">IF(A2384="","",IFERROR(buscarx(A2384&amp;B2384,DATA!$E$3:$E$10000&amp;DATA!$B$3:$B$10000,DATA!$M$3:$M$10000),"No encontrado"))</f>
        <v/>
      </c>
      <c r="D2384" s="27" t="str">
        <f aca="false">IF(A2384="","",IFERROR(buscarx(A2384&amp;B2384,DATA!$E$3:$E$10000&amp;DATA!$B$3:$B$10000,DATA!$W$3:$W$10000),"No encontrado"))</f>
        <v/>
      </c>
      <c r="E2384" s="22"/>
      <c r="F2384" s="26" t="str">
        <f aca="false">IF(A2384="","",IFERROR(buscarx(A2384&amp;E2384,DATA!$E$3:$E$10000&amp;DATA!$B$3:$B$10000,DATA!$M$3:$M$10000),"Inactivo"))</f>
        <v/>
      </c>
      <c r="G2384" s="28" t="str">
        <f aca="false">IF(A2384="","",IF(AND(C2384&lt;&gt;"No encontrado",F2384&lt;&gt;"Inactivo"),C2384&amp;" → "&amp;F2384,"Sin transición"))</f>
        <v/>
      </c>
      <c r="H2384" s="26" t="str">
        <f aca="false">IF(A2384="","",IF(D2384="GCIA LINEA SERVICIO DIGITALIDAD Y VENTAS","Chats",IF(OR(D2384="GERENCIA INBOUND LÍNEAS SERVICIO Y VENTA",D2384="GERENCIA INBOUND LINEAS ESPECIALIZADAS"),"Llamadas","Otro")))</f>
        <v/>
      </c>
      <c r="I2384" s="26" t="str">
        <f aca="false">IF(A2384="","",IF(C2384="No encontrado","No","Sí"))</f>
        <v/>
      </c>
      <c r="J2384" s="26" t="str">
        <f aca="false">IF(A2384="","",IF(F2384="Inactivo","No","Sí"))</f>
        <v/>
      </c>
      <c r="K2384" s="26" t="str">
        <f aca="false">IF(A2384="","",IF(AND(I2384="Sí",J2384="Sí"),"Sí","No"))</f>
        <v/>
      </c>
    </row>
    <row r="2385" customFormat="false" ht="15" hidden="false" customHeight="false" outlineLevel="0" collapsed="false">
      <c r="A2385" s="22"/>
      <c r="B2385" s="22"/>
      <c r="C2385" s="23" t="str">
        <f aca="false">IF(A2385="","",IFERROR(buscarx(A2385&amp;B2385,DATA!$E$3:$E$10000&amp;DATA!$B$3:$B$10000,DATA!$M$3:$M$10000),"No encontrado"))</f>
        <v/>
      </c>
      <c r="D2385" s="24" t="str">
        <f aca="false">IF(A2385="","",IFERROR(buscarx(A2385&amp;B2385,DATA!$E$3:$E$10000&amp;DATA!$B$3:$B$10000,DATA!$W$3:$W$10000),"No encontrado"))</f>
        <v/>
      </c>
      <c r="E2385" s="22"/>
      <c r="F2385" s="23" t="str">
        <f aca="false">IF(A2385="","",IFERROR(buscarx(A2385&amp;E2385,DATA!$E$3:$E$10000&amp;DATA!$B$3:$B$10000,DATA!$M$3:$M$10000),"Inactivo"))</f>
        <v/>
      </c>
      <c r="G2385" s="25" t="str">
        <f aca="false">IF(A2385="","",IF(AND(C2385&lt;&gt;"No encontrado",F2385&lt;&gt;"Inactivo"),C2385&amp;" → "&amp;F2385,"Sin transición"))</f>
        <v/>
      </c>
      <c r="H2385" s="23" t="str">
        <f aca="false">IF(A2385="","",IF(D2385="GCIA LINEA SERVICIO DIGITALIDAD Y VENTAS","Chats",IF(OR(D2385="GERENCIA INBOUND LÍNEAS SERVICIO Y VENTA",D2385="GERENCIA INBOUND LINEAS ESPECIALIZADAS"),"Llamadas","Otro")))</f>
        <v/>
      </c>
      <c r="I2385" s="23" t="str">
        <f aca="false">IF(A2385="","",IF(C2385="No encontrado","No","Sí"))</f>
        <v/>
      </c>
      <c r="J2385" s="23" t="str">
        <f aca="false">IF(A2385="","",IF(F2385="Inactivo","No","Sí"))</f>
        <v/>
      </c>
      <c r="K2385" s="23" t="str">
        <f aca="false">IF(A2385="","",IF(AND(I2385="Sí",J2385="Sí"),"Sí","No"))</f>
        <v/>
      </c>
    </row>
    <row r="2386" customFormat="false" ht="15" hidden="false" customHeight="false" outlineLevel="0" collapsed="false">
      <c r="A2386" s="22"/>
      <c r="B2386" s="22"/>
      <c r="C2386" s="26" t="str">
        <f aca="false">IF(A2386="","",IFERROR(buscarx(A2386&amp;B2386,DATA!$E$3:$E$10000&amp;DATA!$B$3:$B$10000,DATA!$M$3:$M$10000),"No encontrado"))</f>
        <v/>
      </c>
      <c r="D2386" s="27" t="str">
        <f aca="false">IF(A2386="","",IFERROR(buscarx(A2386&amp;B2386,DATA!$E$3:$E$10000&amp;DATA!$B$3:$B$10000,DATA!$W$3:$W$10000),"No encontrado"))</f>
        <v/>
      </c>
      <c r="E2386" s="22"/>
      <c r="F2386" s="26" t="str">
        <f aca="false">IF(A2386="","",IFERROR(buscarx(A2386&amp;E2386,DATA!$E$3:$E$10000&amp;DATA!$B$3:$B$10000,DATA!$M$3:$M$10000),"Inactivo"))</f>
        <v/>
      </c>
      <c r="G2386" s="28" t="str">
        <f aca="false">IF(A2386="","",IF(AND(C2386&lt;&gt;"No encontrado",F2386&lt;&gt;"Inactivo"),C2386&amp;" → "&amp;F2386,"Sin transición"))</f>
        <v/>
      </c>
      <c r="H2386" s="26" t="str">
        <f aca="false">IF(A2386="","",IF(D2386="GCIA LINEA SERVICIO DIGITALIDAD Y VENTAS","Chats",IF(OR(D2386="GERENCIA INBOUND LÍNEAS SERVICIO Y VENTA",D2386="GERENCIA INBOUND LINEAS ESPECIALIZADAS"),"Llamadas","Otro")))</f>
        <v/>
      </c>
      <c r="I2386" s="26" t="str">
        <f aca="false">IF(A2386="","",IF(C2386="No encontrado","No","Sí"))</f>
        <v/>
      </c>
      <c r="J2386" s="26" t="str">
        <f aca="false">IF(A2386="","",IF(F2386="Inactivo","No","Sí"))</f>
        <v/>
      </c>
      <c r="K2386" s="26" t="str">
        <f aca="false">IF(A2386="","",IF(AND(I2386="Sí",J2386="Sí"),"Sí","No"))</f>
        <v/>
      </c>
    </row>
    <row r="2387" customFormat="false" ht="15" hidden="false" customHeight="false" outlineLevel="0" collapsed="false">
      <c r="A2387" s="22"/>
      <c r="B2387" s="22"/>
      <c r="C2387" s="23" t="str">
        <f aca="false">IF(A2387="","",IFERROR(buscarx(A2387&amp;B2387,DATA!$E$3:$E$10000&amp;DATA!$B$3:$B$10000,DATA!$M$3:$M$10000),"No encontrado"))</f>
        <v/>
      </c>
      <c r="D2387" s="24" t="str">
        <f aca="false">IF(A2387="","",IFERROR(buscarx(A2387&amp;B2387,DATA!$E$3:$E$10000&amp;DATA!$B$3:$B$10000,DATA!$W$3:$W$10000),"No encontrado"))</f>
        <v/>
      </c>
      <c r="E2387" s="22"/>
      <c r="F2387" s="23" t="str">
        <f aca="false">IF(A2387="","",IFERROR(buscarx(A2387&amp;E2387,DATA!$E$3:$E$10000&amp;DATA!$B$3:$B$10000,DATA!$M$3:$M$10000),"Inactivo"))</f>
        <v/>
      </c>
      <c r="G2387" s="25" t="str">
        <f aca="false">IF(A2387="","",IF(AND(C2387&lt;&gt;"No encontrado",F2387&lt;&gt;"Inactivo"),C2387&amp;" → "&amp;F2387,"Sin transición"))</f>
        <v/>
      </c>
      <c r="H2387" s="23" t="str">
        <f aca="false">IF(A2387="","",IF(D2387="GCIA LINEA SERVICIO DIGITALIDAD Y VENTAS","Chats",IF(OR(D2387="GERENCIA INBOUND LÍNEAS SERVICIO Y VENTA",D2387="GERENCIA INBOUND LINEAS ESPECIALIZADAS"),"Llamadas","Otro")))</f>
        <v/>
      </c>
      <c r="I2387" s="23" t="str">
        <f aca="false">IF(A2387="","",IF(C2387="No encontrado","No","Sí"))</f>
        <v/>
      </c>
      <c r="J2387" s="23" t="str">
        <f aca="false">IF(A2387="","",IF(F2387="Inactivo","No","Sí"))</f>
        <v/>
      </c>
      <c r="K2387" s="23" t="str">
        <f aca="false">IF(A2387="","",IF(AND(I2387="Sí",J2387="Sí"),"Sí","No"))</f>
        <v/>
      </c>
    </row>
    <row r="2388" customFormat="false" ht="15" hidden="false" customHeight="false" outlineLevel="0" collapsed="false">
      <c r="A2388" s="22"/>
      <c r="B2388" s="22"/>
      <c r="C2388" s="26" t="str">
        <f aca="false">IF(A2388="","",IFERROR(buscarx(A2388&amp;B2388,DATA!$E$3:$E$10000&amp;DATA!$B$3:$B$10000,DATA!$M$3:$M$10000),"No encontrado"))</f>
        <v/>
      </c>
      <c r="D2388" s="27" t="str">
        <f aca="false">IF(A2388="","",IFERROR(buscarx(A2388&amp;B2388,DATA!$E$3:$E$10000&amp;DATA!$B$3:$B$10000,DATA!$W$3:$W$10000),"No encontrado"))</f>
        <v/>
      </c>
      <c r="E2388" s="22"/>
      <c r="F2388" s="26" t="str">
        <f aca="false">IF(A2388="","",IFERROR(buscarx(A2388&amp;E2388,DATA!$E$3:$E$10000&amp;DATA!$B$3:$B$10000,DATA!$M$3:$M$10000),"Inactivo"))</f>
        <v/>
      </c>
      <c r="G2388" s="28" t="str">
        <f aca="false">IF(A2388="","",IF(AND(C2388&lt;&gt;"No encontrado",F2388&lt;&gt;"Inactivo"),C2388&amp;" → "&amp;F2388,"Sin transición"))</f>
        <v/>
      </c>
      <c r="H2388" s="26" t="str">
        <f aca="false">IF(A2388="","",IF(D2388="GCIA LINEA SERVICIO DIGITALIDAD Y VENTAS","Chats",IF(OR(D2388="GERENCIA INBOUND LÍNEAS SERVICIO Y VENTA",D2388="GERENCIA INBOUND LINEAS ESPECIALIZADAS"),"Llamadas","Otro")))</f>
        <v/>
      </c>
      <c r="I2388" s="26" t="str">
        <f aca="false">IF(A2388="","",IF(C2388="No encontrado","No","Sí"))</f>
        <v/>
      </c>
      <c r="J2388" s="26" t="str">
        <f aca="false">IF(A2388="","",IF(F2388="Inactivo","No","Sí"))</f>
        <v/>
      </c>
      <c r="K2388" s="26" t="str">
        <f aca="false">IF(A2388="","",IF(AND(I2388="Sí",J2388="Sí"),"Sí","No"))</f>
        <v/>
      </c>
    </row>
    <row r="2389" customFormat="false" ht="15" hidden="false" customHeight="false" outlineLevel="0" collapsed="false">
      <c r="A2389" s="22"/>
      <c r="B2389" s="22"/>
      <c r="C2389" s="23" t="str">
        <f aca="false">IF(A2389="","",IFERROR(buscarx(A2389&amp;B2389,DATA!$E$3:$E$10000&amp;DATA!$B$3:$B$10000,DATA!$M$3:$M$10000),"No encontrado"))</f>
        <v/>
      </c>
      <c r="D2389" s="24" t="str">
        <f aca="false">IF(A2389="","",IFERROR(buscarx(A2389&amp;B2389,DATA!$E$3:$E$10000&amp;DATA!$B$3:$B$10000,DATA!$W$3:$W$10000),"No encontrado"))</f>
        <v/>
      </c>
      <c r="E2389" s="22"/>
      <c r="F2389" s="23" t="str">
        <f aca="false">IF(A2389="","",IFERROR(buscarx(A2389&amp;E2389,DATA!$E$3:$E$10000&amp;DATA!$B$3:$B$10000,DATA!$M$3:$M$10000),"Inactivo"))</f>
        <v/>
      </c>
      <c r="G2389" s="25" t="str">
        <f aca="false">IF(A2389="","",IF(AND(C2389&lt;&gt;"No encontrado",F2389&lt;&gt;"Inactivo"),C2389&amp;" → "&amp;F2389,"Sin transición"))</f>
        <v/>
      </c>
      <c r="H2389" s="23" t="str">
        <f aca="false">IF(A2389="","",IF(D2389="GCIA LINEA SERVICIO DIGITALIDAD Y VENTAS","Chats",IF(OR(D2389="GERENCIA INBOUND LÍNEAS SERVICIO Y VENTA",D2389="GERENCIA INBOUND LINEAS ESPECIALIZADAS"),"Llamadas","Otro")))</f>
        <v/>
      </c>
      <c r="I2389" s="23" t="str">
        <f aca="false">IF(A2389="","",IF(C2389="No encontrado","No","Sí"))</f>
        <v/>
      </c>
      <c r="J2389" s="23" t="str">
        <f aca="false">IF(A2389="","",IF(F2389="Inactivo","No","Sí"))</f>
        <v/>
      </c>
      <c r="K2389" s="23" t="str">
        <f aca="false">IF(A2389="","",IF(AND(I2389="Sí",J2389="Sí"),"Sí","No"))</f>
        <v/>
      </c>
    </row>
    <row r="2390" customFormat="false" ht="15" hidden="false" customHeight="false" outlineLevel="0" collapsed="false">
      <c r="A2390" s="22"/>
      <c r="B2390" s="22"/>
      <c r="C2390" s="26" t="str">
        <f aca="false">IF(A2390="","",IFERROR(buscarx(A2390&amp;B2390,DATA!$E$3:$E$10000&amp;DATA!$B$3:$B$10000,DATA!$M$3:$M$10000),"No encontrado"))</f>
        <v/>
      </c>
      <c r="D2390" s="27" t="str">
        <f aca="false">IF(A2390="","",IFERROR(buscarx(A2390&amp;B2390,DATA!$E$3:$E$10000&amp;DATA!$B$3:$B$10000,DATA!$W$3:$W$10000),"No encontrado"))</f>
        <v/>
      </c>
      <c r="E2390" s="22"/>
      <c r="F2390" s="26" t="str">
        <f aca="false">IF(A2390="","",IFERROR(buscarx(A2390&amp;E2390,DATA!$E$3:$E$10000&amp;DATA!$B$3:$B$10000,DATA!$M$3:$M$10000),"Inactivo"))</f>
        <v/>
      </c>
      <c r="G2390" s="28" t="str">
        <f aca="false">IF(A2390="","",IF(AND(C2390&lt;&gt;"No encontrado",F2390&lt;&gt;"Inactivo"),C2390&amp;" → "&amp;F2390,"Sin transición"))</f>
        <v/>
      </c>
      <c r="H2390" s="26" t="str">
        <f aca="false">IF(A2390="","",IF(D2390="GCIA LINEA SERVICIO DIGITALIDAD Y VENTAS","Chats",IF(OR(D2390="GERENCIA INBOUND LÍNEAS SERVICIO Y VENTA",D2390="GERENCIA INBOUND LINEAS ESPECIALIZADAS"),"Llamadas","Otro")))</f>
        <v/>
      </c>
      <c r="I2390" s="26" t="str">
        <f aca="false">IF(A2390="","",IF(C2390="No encontrado","No","Sí"))</f>
        <v/>
      </c>
      <c r="J2390" s="26" t="str">
        <f aca="false">IF(A2390="","",IF(F2390="Inactivo","No","Sí"))</f>
        <v/>
      </c>
      <c r="K2390" s="26" t="str">
        <f aca="false">IF(A2390="","",IF(AND(I2390="Sí",J2390="Sí"),"Sí","No"))</f>
        <v/>
      </c>
    </row>
    <row r="2391" customFormat="false" ht="15" hidden="false" customHeight="false" outlineLevel="0" collapsed="false">
      <c r="A2391" s="22"/>
      <c r="B2391" s="22"/>
      <c r="C2391" s="23" t="str">
        <f aca="false">IF(A2391="","",IFERROR(buscarx(A2391&amp;B2391,DATA!$E$3:$E$10000&amp;DATA!$B$3:$B$10000,DATA!$M$3:$M$10000),"No encontrado"))</f>
        <v/>
      </c>
      <c r="D2391" s="24" t="str">
        <f aca="false">IF(A2391="","",IFERROR(buscarx(A2391&amp;B2391,DATA!$E$3:$E$10000&amp;DATA!$B$3:$B$10000,DATA!$W$3:$W$10000),"No encontrado"))</f>
        <v/>
      </c>
      <c r="E2391" s="22"/>
      <c r="F2391" s="23" t="str">
        <f aca="false">IF(A2391="","",IFERROR(buscarx(A2391&amp;E2391,DATA!$E$3:$E$10000&amp;DATA!$B$3:$B$10000,DATA!$M$3:$M$10000),"Inactivo"))</f>
        <v/>
      </c>
      <c r="G2391" s="25" t="str">
        <f aca="false">IF(A2391="","",IF(AND(C2391&lt;&gt;"No encontrado",F2391&lt;&gt;"Inactivo"),C2391&amp;" → "&amp;F2391,"Sin transición"))</f>
        <v/>
      </c>
      <c r="H2391" s="23" t="str">
        <f aca="false">IF(A2391="","",IF(D2391="GCIA LINEA SERVICIO DIGITALIDAD Y VENTAS","Chats",IF(OR(D2391="GERENCIA INBOUND LÍNEAS SERVICIO Y VENTA",D2391="GERENCIA INBOUND LINEAS ESPECIALIZADAS"),"Llamadas","Otro")))</f>
        <v/>
      </c>
      <c r="I2391" s="23" t="str">
        <f aca="false">IF(A2391="","",IF(C2391="No encontrado","No","Sí"))</f>
        <v/>
      </c>
      <c r="J2391" s="23" t="str">
        <f aca="false">IF(A2391="","",IF(F2391="Inactivo","No","Sí"))</f>
        <v/>
      </c>
      <c r="K2391" s="23" t="str">
        <f aca="false">IF(A2391="","",IF(AND(I2391="Sí",J2391="Sí"),"Sí","No"))</f>
        <v/>
      </c>
    </row>
    <row r="2392" customFormat="false" ht="15" hidden="false" customHeight="false" outlineLevel="0" collapsed="false">
      <c r="A2392" s="22"/>
      <c r="B2392" s="22"/>
      <c r="C2392" s="26" t="str">
        <f aca="false">IF(A2392="","",IFERROR(buscarx(A2392&amp;B2392,DATA!$E$3:$E$10000&amp;DATA!$B$3:$B$10000,DATA!$M$3:$M$10000),"No encontrado"))</f>
        <v/>
      </c>
      <c r="D2392" s="27" t="str">
        <f aca="false">IF(A2392="","",IFERROR(buscarx(A2392&amp;B2392,DATA!$E$3:$E$10000&amp;DATA!$B$3:$B$10000,DATA!$W$3:$W$10000),"No encontrado"))</f>
        <v/>
      </c>
      <c r="E2392" s="22"/>
      <c r="F2392" s="26" t="str">
        <f aca="false">IF(A2392="","",IFERROR(buscarx(A2392&amp;E2392,DATA!$E$3:$E$10000&amp;DATA!$B$3:$B$10000,DATA!$M$3:$M$10000),"Inactivo"))</f>
        <v/>
      </c>
      <c r="G2392" s="28" t="str">
        <f aca="false">IF(A2392="","",IF(AND(C2392&lt;&gt;"No encontrado",F2392&lt;&gt;"Inactivo"),C2392&amp;" → "&amp;F2392,"Sin transición"))</f>
        <v/>
      </c>
      <c r="H2392" s="26" t="str">
        <f aca="false">IF(A2392="","",IF(D2392="GCIA LINEA SERVICIO DIGITALIDAD Y VENTAS","Chats",IF(OR(D2392="GERENCIA INBOUND LÍNEAS SERVICIO Y VENTA",D2392="GERENCIA INBOUND LINEAS ESPECIALIZADAS"),"Llamadas","Otro")))</f>
        <v/>
      </c>
      <c r="I2392" s="26" t="str">
        <f aca="false">IF(A2392="","",IF(C2392="No encontrado","No","Sí"))</f>
        <v/>
      </c>
      <c r="J2392" s="26" t="str">
        <f aca="false">IF(A2392="","",IF(F2392="Inactivo","No","Sí"))</f>
        <v/>
      </c>
      <c r="K2392" s="26" t="str">
        <f aca="false">IF(A2392="","",IF(AND(I2392="Sí",J2392="Sí"),"Sí","No"))</f>
        <v/>
      </c>
    </row>
    <row r="2393" customFormat="false" ht="15" hidden="false" customHeight="false" outlineLevel="0" collapsed="false">
      <c r="A2393" s="22"/>
      <c r="B2393" s="22"/>
      <c r="C2393" s="23" t="str">
        <f aca="false">IF(A2393="","",IFERROR(buscarx(A2393&amp;B2393,DATA!$E$3:$E$10000&amp;DATA!$B$3:$B$10000,DATA!$M$3:$M$10000),"No encontrado"))</f>
        <v/>
      </c>
      <c r="D2393" s="24" t="str">
        <f aca="false">IF(A2393="","",IFERROR(buscarx(A2393&amp;B2393,DATA!$E$3:$E$10000&amp;DATA!$B$3:$B$10000,DATA!$W$3:$W$10000),"No encontrado"))</f>
        <v/>
      </c>
      <c r="E2393" s="22"/>
      <c r="F2393" s="23" t="str">
        <f aca="false">IF(A2393="","",IFERROR(buscarx(A2393&amp;E2393,DATA!$E$3:$E$10000&amp;DATA!$B$3:$B$10000,DATA!$M$3:$M$10000),"Inactivo"))</f>
        <v/>
      </c>
      <c r="G2393" s="25" t="str">
        <f aca="false">IF(A2393="","",IF(AND(C2393&lt;&gt;"No encontrado",F2393&lt;&gt;"Inactivo"),C2393&amp;" → "&amp;F2393,"Sin transición"))</f>
        <v/>
      </c>
      <c r="H2393" s="23" t="str">
        <f aca="false">IF(A2393="","",IF(D2393="GCIA LINEA SERVICIO DIGITALIDAD Y VENTAS","Chats",IF(OR(D2393="GERENCIA INBOUND LÍNEAS SERVICIO Y VENTA",D2393="GERENCIA INBOUND LINEAS ESPECIALIZADAS"),"Llamadas","Otro")))</f>
        <v/>
      </c>
      <c r="I2393" s="23" t="str">
        <f aca="false">IF(A2393="","",IF(C2393="No encontrado","No","Sí"))</f>
        <v/>
      </c>
      <c r="J2393" s="23" t="str">
        <f aca="false">IF(A2393="","",IF(F2393="Inactivo","No","Sí"))</f>
        <v/>
      </c>
      <c r="K2393" s="23" t="str">
        <f aca="false">IF(A2393="","",IF(AND(I2393="Sí",J2393="Sí"),"Sí","No"))</f>
        <v/>
      </c>
    </row>
    <row r="2394" customFormat="false" ht="15" hidden="false" customHeight="false" outlineLevel="0" collapsed="false">
      <c r="A2394" s="22"/>
      <c r="B2394" s="22"/>
      <c r="C2394" s="26" t="str">
        <f aca="false">IF(A2394="","",IFERROR(buscarx(A2394&amp;B2394,DATA!$E$3:$E$10000&amp;DATA!$B$3:$B$10000,DATA!$M$3:$M$10000),"No encontrado"))</f>
        <v/>
      </c>
      <c r="D2394" s="27" t="str">
        <f aca="false">IF(A2394="","",IFERROR(buscarx(A2394&amp;B2394,DATA!$E$3:$E$10000&amp;DATA!$B$3:$B$10000,DATA!$W$3:$W$10000),"No encontrado"))</f>
        <v/>
      </c>
      <c r="E2394" s="22"/>
      <c r="F2394" s="26" t="str">
        <f aca="false">IF(A2394="","",IFERROR(buscarx(A2394&amp;E2394,DATA!$E$3:$E$10000&amp;DATA!$B$3:$B$10000,DATA!$M$3:$M$10000),"Inactivo"))</f>
        <v/>
      </c>
      <c r="G2394" s="28" t="str">
        <f aca="false">IF(A2394="","",IF(AND(C2394&lt;&gt;"No encontrado",F2394&lt;&gt;"Inactivo"),C2394&amp;" → "&amp;F2394,"Sin transición"))</f>
        <v/>
      </c>
      <c r="H2394" s="26" t="str">
        <f aca="false">IF(A2394="","",IF(D2394="GCIA LINEA SERVICIO DIGITALIDAD Y VENTAS","Chats",IF(OR(D2394="GERENCIA INBOUND LÍNEAS SERVICIO Y VENTA",D2394="GERENCIA INBOUND LINEAS ESPECIALIZADAS"),"Llamadas","Otro")))</f>
        <v/>
      </c>
      <c r="I2394" s="26" t="str">
        <f aca="false">IF(A2394="","",IF(C2394="No encontrado","No","Sí"))</f>
        <v/>
      </c>
      <c r="J2394" s="26" t="str">
        <f aca="false">IF(A2394="","",IF(F2394="Inactivo","No","Sí"))</f>
        <v/>
      </c>
      <c r="K2394" s="26" t="str">
        <f aca="false">IF(A2394="","",IF(AND(I2394="Sí",J2394="Sí"),"Sí","No"))</f>
        <v/>
      </c>
    </row>
    <row r="2395" customFormat="false" ht="15" hidden="false" customHeight="false" outlineLevel="0" collapsed="false">
      <c r="A2395" s="22"/>
      <c r="B2395" s="22"/>
      <c r="C2395" s="23" t="str">
        <f aca="false">IF(A2395="","",IFERROR(buscarx(A2395&amp;B2395,DATA!$E$3:$E$10000&amp;DATA!$B$3:$B$10000,DATA!$M$3:$M$10000),"No encontrado"))</f>
        <v/>
      </c>
      <c r="D2395" s="24" t="str">
        <f aca="false">IF(A2395="","",IFERROR(buscarx(A2395&amp;B2395,DATA!$E$3:$E$10000&amp;DATA!$B$3:$B$10000,DATA!$W$3:$W$10000),"No encontrado"))</f>
        <v/>
      </c>
      <c r="E2395" s="22"/>
      <c r="F2395" s="23" t="str">
        <f aca="false">IF(A2395="","",IFERROR(buscarx(A2395&amp;E2395,DATA!$E$3:$E$10000&amp;DATA!$B$3:$B$10000,DATA!$M$3:$M$10000),"Inactivo"))</f>
        <v/>
      </c>
      <c r="G2395" s="25" t="str">
        <f aca="false">IF(A2395="","",IF(AND(C2395&lt;&gt;"No encontrado",F2395&lt;&gt;"Inactivo"),C2395&amp;" → "&amp;F2395,"Sin transición"))</f>
        <v/>
      </c>
      <c r="H2395" s="23" t="str">
        <f aca="false">IF(A2395="","",IF(D2395="GCIA LINEA SERVICIO DIGITALIDAD Y VENTAS","Chats",IF(OR(D2395="GERENCIA INBOUND LÍNEAS SERVICIO Y VENTA",D2395="GERENCIA INBOUND LINEAS ESPECIALIZADAS"),"Llamadas","Otro")))</f>
        <v/>
      </c>
      <c r="I2395" s="23" t="str">
        <f aca="false">IF(A2395="","",IF(C2395="No encontrado","No","Sí"))</f>
        <v/>
      </c>
      <c r="J2395" s="23" t="str">
        <f aca="false">IF(A2395="","",IF(F2395="Inactivo","No","Sí"))</f>
        <v/>
      </c>
      <c r="K2395" s="23" t="str">
        <f aca="false">IF(A2395="","",IF(AND(I2395="Sí",J2395="Sí"),"Sí","No"))</f>
        <v/>
      </c>
    </row>
    <row r="2396" customFormat="false" ht="15" hidden="false" customHeight="false" outlineLevel="0" collapsed="false">
      <c r="A2396" s="22"/>
      <c r="B2396" s="22"/>
      <c r="C2396" s="26" t="str">
        <f aca="false">IF(A2396="","",IFERROR(buscarx(A2396&amp;B2396,DATA!$E$3:$E$10000&amp;DATA!$B$3:$B$10000,DATA!$M$3:$M$10000),"No encontrado"))</f>
        <v/>
      </c>
      <c r="D2396" s="27" t="str">
        <f aca="false">IF(A2396="","",IFERROR(buscarx(A2396&amp;B2396,DATA!$E$3:$E$10000&amp;DATA!$B$3:$B$10000,DATA!$W$3:$W$10000),"No encontrado"))</f>
        <v/>
      </c>
      <c r="E2396" s="22"/>
      <c r="F2396" s="26" t="str">
        <f aca="false">IF(A2396="","",IFERROR(buscarx(A2396&amp;E2396,DATA!$E$3:$E$10000&amp;DATA!$B$3:$B$10000,DATA!$M$3:$M$10000),"Inactivo"))</f>
        <v/>
      </c>
      <c r="G2396" s="28" t="str">
        <f aca="false">IF(A2396="","",IF(AND(C2396&lt;&gt;"No encontrado",F2396&lt;&gt;"Inactivo"),C2396&amp;" → "&amp;F2396,"Sin transición"))</f>
        <v/>
      </c>
      <c r="H2396" s="26" t="str">
        <f aca="false">IF(A2396="","",IF(D2396="GCIA LINEA SERVICIO DIGITALIDAD Y VENTAS","Chats",IF(OR(D2396="GERENCIA INBOUND LÍNEAS SERVICIO Y VENTA",D2396="GERENCIA INBOUND LINEAS ESPECIALIZADAS"),"Llamadas","Otro")))</f>
        <v/>
      </c>
      <c r="I2396" s="26" t="str">
        <f aca="false">IF(A2396="","",IF(C2396="No encontrado","No","Sí"))</f>
        <v/>
      </c>
      <c r="J2396" s="26" t="str">
        <f aca="false">IF(A2396="","",IF(F2396="Inactivo","No","Sí"))</f>
        <v/>
      </c>
      <c r="K2396" s="26" t="str">
        <f aca="false">IF(A2396="","",IF(AND(I2396="Sí",J2396="Sí"),"Sí","No"))</f>
        <v/>
      </c>
    </row>
    <row r="2397" customFormat="false" ht="15" hidden="false" customHeight="false" outlineLevel="0" collapsed="false">
      <c r="A2397" s="22"/>
      <c r="B2397" s="22"/>
      <c r="C2397" s="23" t="str">
        <f aca="false">IF(A2397="","",IFERROR(buscarx(A2397&amp;B2397,DATA!$E$3:$E$10000&amp;DATA!$B$3:$B$10000,DATA!$M$3:$M$10000),"No encontrado"))</f>
        <v/>
      </c>
      <c r="D2397" s="24" t="str">
        <f aca="false">IF(A2397="","",IFERROR(buscarx(A2397&amp;B2397,DATA!$E$3:$E$10000&amp;DATA!$B$3:$B$10000,DATA!$W$3:$W$10000),"No encontrado"))</f>
        <v/>
      </c>
      <c r="E2397" s="22"/>
      <c r="F2397" s="23" t="str">
        <f aca="false">IF(A2397="","",IFERROR(buscarx(A2397&amp;E2397,DATA!$E$3:$E$10000&amp;DATA!$B$3:$B$10000,DATA!$M$3:$M$10000),"Inactivo"))</f>
        <v/>
      </c>
      <c r="G2397" s="25" t="str">
        <f aca="false">IF(A2397="","",IF(AND(C2397&lt;&gt;"No encontrado",F2397&lt;&gt;"Inactivo"),C2397&amp;" → "&amp;F2397,"Sin transición"))</f>
        <v/>
      </c>
      <c r="H2397" s="23" t="str">
        <f aca="false">IF(A2397="","",IF(D2397="GCIA LINEA SERVICIO DIGITALIDAD Y VENTAS","Chats",IF(OR(D2397="GERENCIA INBOUND LÍNEAS SERVICIO Y VENTA",D2397="GERENCIA INBOUND LINEAS ESPECIALIZADAS"),"Llamadas","Otro")))</f>
        <v/>
      </c>
      <c r="I2397" s="23" t="str">
        <f aca="false">IF(A2397="","",IF(C2397="No encontrado","No","Sí"))</f>
        <v/>
      </c>
      <c r="J2397" s="23" t="str">
        <f aca="false">IF(A2397="","",IF(F2397="Inactivo","No","Sí"))</f>
        <v/>
      </c>
      <c r="K2397" s="23" t="str">
        <f aca="false">IF(A2397="","",IF(AND(I2397="Sí",J2397="Sí"),"Sí","No"))</f>
        <v/>
      </c>
    </row>
    <row r="2398" customFormat="false" ht="15" hidden="false" customHeight="false" outlineLevel="0" collapsed="false">
      <c r="A2398" s="22"/>
      <c r="B2398" s="22"/>
      <c r="C2398" s="26" t="str">
        <f aca="false">IF(A2398="","",IFERROR(buscarx(A2398&amp;B2398,DATA!$E$3:$E$10000&amp;DATA!$B$3:$B$10000,DATA!$M$3:$M$10000),"No encontrado"))</f>
        <v/>
      </c>
      <c r="D2398" s="27" t="str">
        <f aca="false">IF(A2398="","",IFERROR(buscarx(A2398&amp;B2398,DATA!$E$3:$E$10000&amp;DATA!$B$3:$B$10000,DATA!$W$3:$W$10000),"No encontrado"))</f>
        <v/>
      </c>
      <c r="E2398" s="22"/>
      <c r="F2398" s="26" t="str">
        <f aca="false">IF(A2398="","",IFERROR(buscarx(A2398&amp;E2398,DATA!$E$3:$E$10000&amp;DATA!$B$3:$B$10000,DATA!$M$3:$M$10000),"Inactivo"))</f>
        <v/>
      </c>
      <c r="G2398" s="28" t="str">
        <f aca="false">IF(A2398="","",IF(AND(C2398&lt;&gt;"No encontrado",F2398&lt;&gt;"Inactivo"),C2398&amp;" → "&amp;F2398,"Sin transición"))</f>
        <v/>
      </c>
      <c r="H2398" s="26" t="str">
        <f aca="false">IF(A2398="","",IF(D2398="GCIA LINEA SERVICIO DIGITALIDAD Y VENTAS","Chats",IF(OR(D2398="GERENCIA INBOUND LÍNEAS SERVICIO Y VENTA",D2398="GERENCIA INBOUND LINEAS ESPECIALIZADAS"),"Llamadas","Otro")))</f>
        <v/>
      </c>
      <c r="I2398" s="26" t="str">
        <f aca="false">IF(A2398="","",IF(C2398="No encontrado","No","Sí"))</f>
        <v/>
      </c>
      <c r="J2398" s="26" t="str">
        <f aca="false">IF(A2398="","",IF(F2398="Inactivo","No","Sí"))</f>
        <v/>
      </c>
      <c r="K2398" s="26" t="str">
        <f aca="false">IF(A2398="","",IF(AND(I2398="Sí",J2398="Sí"),"Sí","No"))</f>
        <v/>
      </c>
    </row>
    <row r="2399" customFormat="false" ht="15" hidden="false" customHeight="false" outlineLevel="0" collapsed="false">
      <c r="A2399" s="22"/>
      <c r="B2399" s="22"/>
      <c r="C2399" s="23" t="str">
        <f aca="false">IF(A2399="","",IFERROR(buscarx(A2399&amp;B2399,DATA!$E$3:$E$10000&amp;DATA!$B$3:$B$10000,DATA!$M$3:$M$10000),"No encontrado"))</f>
        <v/>
      </c>
      <c r="D2399" s="24" t="str">
        <f aca="false">IF(A2399="","",IFERROR(buscarx(A2399&amp;B2399,DATA!$E$3:$E$10000&amp;DATA!$B$3:$B$10000,DATA!$W$3:$W$10000),"No encontrado"))</f>
        <v/>
      </c>
      <c r="E2399" s="22"/>
      <c r="F2399" s="23" t="str">
        <f aca="false">IF(A2399="","",IFERROR(buscarx(A2399&amp;E2399,DATA!$E$3:$E$10000&amp;DATA!$B$3:$B$10000,DATA!$M$3:$M$10000),"Inactivo"))</f>
        <v/>
      </c>
      <c r="G2399" s="25" t="str">
        <f aca="false">IF(A2399="","",IF(AND(C2399&lt;&gt;"No encontrado",F2399&lt;&gt;"Inactivo"),C2399&amp;" → "&amp;F2399,"Sin transición"))</f>
        <v/>
      </c>
      <c r="H2399" s="23" t="str">
        <f aca="false">IF(A2399="","",IF(D2399="GCIA LINEA SERVICIO DIGITALIDAD Y VENTAS","Chats",IF(OR(D2399="GERENCIA INBOUND LÍNEAS SERVICIO Y VENTA",D2399="GERENCIA INBOUND LINEAS ESPECIALIZADAS"),"Llamadas","Otro")))</f>
        <v/>
      </c>
      <c r="I2399" s="23" t="str">
        <f aca="false">IF(A2399="","",IF(C2399="No encontrado","No","Sí"))</f>
        <v/>
      </c>
      <c r="J2399" s="23" t="str">
        <f aca="false">IF(A2399="","",IF(F2399="Inactivo","No","Sí"))</f>
        <v/>
      </c>
      <c r="K2399" s="23" t="str">
        <f aca="false">IF(A2399="","",IF(AND(I2399="Sí",J2399="Sí"),"Sí","No"))</f>
        <v/>
      </c>
    </row>
    <row r="2400" customFormat="false" ht="15" hidden="false" customHeight="false" outlineLevel="0" collapsed="false">
      <c r="A2400" s="22"/>
      <c r="B2400" s="22"/>
      <c r="C2400" s="26" t="str">
        <f aca="false">IF(A2400="","",IFERROR(buscarx(A2400&amp;B2400,DATA!$E$3:$E$10000&amp;DATA!$B$3:$B$10000,DATA!$M$3:$M$10000),"No encontrado"))</f>
        <v/>
      </c>
      <c r="D2400" s="27" t="str">
        <f aca="false">IF(A2400="","",IFERROR(buscarx(A2400&amp;B2400,DATA!$E$3:$E$10000&amp;DATA!$B$3:$B$10000,DATA!$W$3:$W$10000),"No encontrado"))</f>
        <v/>
      </c>
      <c r="E2400" s="22"/>
      <c r="F2400" s="26" t="str">
        <f aca="false">IF(A2400="","",IFERROR(buscarx(A2400&amp;E2400,DATA!$E$3:$E$10000&amp;DATA!$B$3:$B$10000,DATA!$M$3:$M$10000),"Inactivo"))</f>
        <v/>
      </c>
      <c r="G2400" s="28" t="str">
        <f aca="false">IF(A2400="","",IF(AND(C2400&lt;&gt;"No encontrado",F2400&lt;&gt;"Inactivo"),C2400&amp;" → "&amp;F2400,"Sin transición"))</f>
        <v/>
      </c>
      <c r="H2400" s="26" t="str">
        <f aca="false">IF(A2400="","",IF(D2400="GCIA LINEA SERVICIO DIGITALIDAD Y VENTAS","Chats",IF(OR(D2400="GERENCIA INBOUND LÍNEAS SERVICIO Y VENTA",D2400="GERENCIA INBOUND LINEAS ESPECIALIZADAS"),"Llamadas","Otro")))</f>
        <v/>
      </c>
      <c r="I2400" s="26" t="str">
        <f aca="false">IF(A2400="","",IF(C2400="No encontrado","No","Sí"))</f>
        <v/>
      </c>
      <c r="J2400" s="26" t="str">
        <f aca="false">IF(A2400="","",IF(F2400="Inactivo","No","Sí"))</f>
        <v/>
      </c>
      <c r="K2400" s="26" t="str">
        <f aca="false">IF(A2400="","",IF(AND(I2400="Sí",J2400="Sí"),"Sí","No"))</f>
        <v/>
      </c>
    </row>
    <row r="2401" customFormat="false" ht="15" hidden="false" customHeight="false" outlineLevel="0" collapsed="false">
      <c r="A2401" s="22"/>
      <c r="B2401" s="22"/>
      <c r="C2401" s="23" t="str">
        <f aca="false">IF(A2401="","",IFERROR(buscarx(A2401&amp;B2401,DATA!$E$3:$E$10000&amp;DATA!$B$3:$B$10000,DATA!$M$3:$M$10000),"No encontrado"))</f>
        <v/>
      </c>
      <c r="D2401" s="24" t="str">
        <f aca="false">IF(A2401="","",IFERROR(buscarx(A2401&amp;B2401,DATA!$E$3:$E$10000&amp;DATA!$B$3:$B$10000,DATA!$W$3:$W$10000),"No encontrado"))</f>
        <v/>
      </c>
      <c r="E2401" s="22"/>
      <c r="F2401" s="23" t="str">
        <f aca="false">IF(A2401="","",IFERROR(buscarx(A2401&amp;E2401,DATA!$E$3:$E$10000&amp;DATA!$B$3:$B$10000,DATA!$M$3:$M$10000),"Inactivo"))</f>
        <v/>
      </c>
      <c r="G2401" s="25" t="str">
        <f aca="false">IF(A2401="","",IF(AND(C2401&lt;&gt;"No encontrado",F2401&lt;&gt;"Inactivo"),C2401&amp;" → "&amp;F2401,"Sin transición"))</f>
        <v/>
      </c>
      <c r="H2401" s="23" t="str">
        <f aca="false">IF(A2401="","",IF(D2401="GCIA LINEA SERVICIO DIGITALIDAD Y VENTAS","Chats",IF(OR(D2401="GERENCIA INBOUND LÍNEAS SERVICIO Y VENTA",D2401="GERENCIA INBOUND LINEAS ESPECIALIZADAS"),"Llamadas","Otro")))</f>
        <v/>
      </c>
      <c r="I2401" s="23" t="str">
        <f aca="false">IF(A2401="","",IF(C2401="No encontrado","No","Sí"))</f>
        <v/>
      </c>
      <c r="J2401" s="23" t="str">
        <f aca="false">IF(A2401="","",IF(F2401="Inactivo","No","Sí"))</f>
        <v/>
      </c>
      <c r="K2401" s="23" t="str">
        <f aca="false">IF(A2401="","",IF(AND(I2401="Sí",J2401="Sí"),"Sí","No"))</f>
        <v/>
      </c>
    </row>
    <row r="2402" customFormat="false" ht="15" hidden="false" customHeight="false" outlineLevel="0" collapsed="false">
      <c r="A2402" s="22"/>
      <c r="B2402" s="22"/>
      <c r="C2402" s="26" t="str">
        <f aca="false">IF(A2402="","",IFERROR(buscarx(A2402&amp;B2402,DATA!$E$3:$E$10000&amp;DATA!$B$3:$B$10000,DATA!$M$3:$M$10000),"No encontrado"))</f>
        <v/>
      </c>
      <c r="D2402" s="27" t="str">
        <f aca="false">IF(A2402="","",IFERROR(buscarx(A2402&amp;B2402,DATA!$E$3:$E$10000&amp;DATA!$B$3:$B$10000,DATA!$W$3:$W$10000),"No encontrado"))</f>
        <v/>
      </c>
      <c r="E2402" s="22"/>
      <c r="F2402" s="26" t="str">
        <f aca="false">IF(A2402="","",IFERROR(buscarx(A2402&amp;E2402,DATA!$E$3:$E$10000&amp;DATA!$B$3:$B$10000,DATA!$M$3:$M$10000),"Inactivo"))</f>
        <v/>
      </c>
      <c r="G2402" s="28" t="str">
        <f aca="false">IF(A2402="","",IF(AND(C2402&lt;&gt;"No encontrado",F2402&lt;&gt;"Inactivo"),C2402&amp;" → "&amp;F2402,"Sin transición"))</f>
        <v/>
      </c>
      <c r="H2402" s="26" t="str">
        <f aca="false">IF(A2402="","",IF(D2402="GCIA LINEA SERVICIO DIGITALIDAD Y VENTAS","Chats",IF(OR(D2402="GERENCIA INBOUND LÍNEAS SERVICIO Y VENTA",D2402="GERENCIA INBOUND LINEAS ESPECIALIZADAS"),"Llamadas","Otro")))</f>
        <v/>
      </c>
      <c r="I2402" s="26" t="str">
        <f aca="false">IF(A2402="","",IF(C2402="No encontrado","No","Sí"))</f>
        <v/>
      </c>
      <c r="J2402" s="26" t="str">
        <f aca="false">IF(A2402="","",IF(F2402="Inactivo","No","Sí"))</f>
        <v/>
      </c>
      <c r="K2402" s="26" t="str">
        <f aca="false">IF(A2402="","",IF(AND(I2402="Sí",J2402="Sí"),"Sí","No"))</f>
        <v/>
      </c>
    </row>
    <row r="2403" customFormat="false" ht="15" hidden="false" customHeight="false" outlineLevel="0" collapsed="false">
      <c r="A2403" s="22"/>
      <c r="B2403" s="22"/>
      <c r="C2403" s="23" t="str">
        <f aca="false">IF(A2403="","",IFERROR(buscarx(A2403&amp;B2403,DATA!$E$3:$E$10000&amp;DATA!$B$3:$B$10000,DATA!$M$3:$M$10000),"No encontrado"))</f>
        <v/>
      </c>
      <c r="D2403" s="24" t="str">
        <f aca="false">IF(A2403="","",IFERROR(buscarx(A2403&amp;B2403,DATA!$E$3:$E$10000&amp;DATA!$B$3:$B$10000,DATA!$W$3:$W$10000),"No encontrado"))</f>
        <v/>
      </c>
      <c r="E2403" s="22"/>
      <c r="F2403" s="23" t="str">
        <f aca="false">IF(A2403="","",IFERROR(buscarx(A2403&amp;E2403,DATA!$E$3:$E$10000&amp;DATA!$B$3:$B$10000,DATA!$M$3:$M$10000),"Inactivo"))</f>
        <v/>
      </c>
      <c r="G2403" s="25" t="str">
        <f aca="false">IF(A2403="","",IF(AND(C2403&lt;&gt;"No encontrado",F2403&lt;&gt;"Inactivo"),C2403&amp;" → "&amp;F2403,"Sin transición"))</f>
        <v/>
      </c>
      <c r="H2403" s="23" t="str">
        <f aca="false">IF(A2403="","",IF(D2403="GCIA LINEA SERVICIO DIGITALIDAD Y VENTAS","Chats",IF(OR(D2403="GERENCIA INBOUND LÍNEAS SERVICIO Y VENTA",D2403="GERENCIA INBOUND LINEAS ESPECIALIZADAS"),"Llamadas","Otro")))</f>
        <v/>
      </c>
      <c r="I2403" s="23" t="str">
        <f aca="false">IF(A2403="","",IF(C2403="No encontrado","No","Sí"))</f>
        <v/>
      </c>
      <c r="J2403" s="23" t="str">
        <f aca="false">IF(A2403="","",IF(F2403="Inactivo","No","Sí"))</f>
        <v/>
      </c>
      <c r="K2403" s="23" t="str">
        <f aca="false">IF(A2403="","",IF(AND(I2403="Sí",J2403="Sí"),"Sí","No"))</f>
        <v/>
      </c>
    </row>
    <row r="2404" customFormat="false" ht="15" hidden="false" customHeight="false" outlineLevel="0" collapsed="false">
      <c r="A2404" s="22"/>
      <c r="B2404" s="22"/>
      <c r="C2404" s="26" t="str">
        <f aca="false">IF(A2404="","",IFERROR(buscarx(A2404&amp;B2404,DATA!$E$3:$E$10000&amp;DATA!$B$3:$B$10000,DATA!$M$3:$M$10000),"No encontrado"))</f>
        <v/>
      </c>
      <c r="D2404" s="27" t="str">
        <f aca="false">IF(A2404="","",IFERROR(buscarx(A2404&amp;B2404,DATA!$E$3:$E$10000&amp;DATA!$B$3:$B$10000,DATA!$W$3:$W$10000),"No encontrado"))</f>
        <v/>
      </c>
      <c r="E2404" s="22"/>
      <c r="F2404" s="26" t="str">
        <f aca="false">IF(A2404="","",IFERROR(buscarx(A2404&amp;E2404,DATA!$E$3:$E$10000&amp;DATA!$B$3:$B$10000,DATA!$M$3:$M$10000),"Inactivo"))</f>
        <v/>
      </c>
      <c r="G2404" s="28" t="str">
        <f aca="false">IF(A2404="","",IF(AND(C2404&lt;&gt;"No encontrado",F2404&lt;&gt;"Inactivo"),C2404&amp;" → "&amp;F2404,"Sin transición"))</f>
        <v/>
      </c>
      <c r="H2404" s="26" t="str">
        <f aca="false">IF(A2404="","",IF(D2404="GCIA LINEA SERVICIO DIGITALIDAD Y VENTAS","Chats",IF(OR(D2404="GERENCIA INBOUND LÍNEAS SERVICIO Y VENTA",D2404="GERENCIA INBOUND LINEAS ESPECIALIZADAS"),"Llamadas","Otro")))</f>
        <v/>
      </c>
      <c r="I2404" s="26" t="str">
        <f aca="false">IF(A2404="","",IF(C2404="No encontrado","No","Sí"))</f>
        <v/>
      </c>
      <c r="J2404" s="26" t="str">
        <f aca="false">IF(A2404="","",IF(F2404="Inactivo","No","Sí"))</f>
        <v/>
      </c>
      <c r="K2404" s="26" t="str">
        <f aca="false">IF(A2404="","",IF(AND(I2404="Sí",J2404="Sí"),"Sí","No"))</f>
        <v/>
      </c>
    </row>
    <row r="2405" customFormat="false" ht="15" hidden="false" customHeight="false" outlineLevel="0" collapsed="false">
      <c r="A2405" s="22"/>
      <c r="B2405" s="22"/>
      <c r="C2405" s="23" t="str">
        <f aca="false">IF(A2405="","",IFERROR(buscarx(A2405&amp;B2405,DATA!$E$3:$E$10000&amp;DATA!$B$3:$B$10000,DATA!$M$3:$M$10000),"No encontrado"))</f>
        <v/>
      </c>
      <c r="D2405" s="24" t="str">
        <f aca="false">IF(A2405="","",IFERROR(buscarx(A2405&amp;B2405,DATA!$E$3:$E$10000&amp;DATA!$B$3:$B$10000,DATA!$W$3:$W$10000),"No encontrado"))</f>
        <v/>
      </c>
      <c r="E2405" s="22"/>
      <c r="F2405" s="23" t="str">
        <f aca="false">IF(A2405="","",IFERROR(buscarx(A2405&amp;E2405,DATA!$E$3:$E$10000&amp;DATA!$B$3:$B$10000,DATA!$M$3:$M$10000),"Inactivo"))</f>
        <v/>
      </c>
      <c r="G2405" s="25" t="str">
        <f aca="false">IF(A2405="","",IF(AND(C2405&lt;&gt;"No encontrado",F2405&lt;&gt;"Inactivo"),C2405&amp;" → "&amp;F2405,"Sin transición"))</f>
        <v/>
      </c>
      <c r="H2405" s="23" t="str">
        <f aca="false">IF(A2405="","",IF(D2405="GCIA LINEA SERVICIO DIGITALIDAD Y VENTAS","Chats",IF(OR(D2405="GERENCIA INBOUND LÍNEAS SERVICIO Y VENTA",D2405="GERENCIA INBOUND LINEAS ESPECIALIZADAS"),"Llamadas","Otro")))</f>
        <v/>
      </c>
      <c r="I2405" s="23" t="str">
        <f aca="false">IF(A2405="","",IF(C2405="No encontrado","No","Sí"))</f>
        <v/>
      </c>
      <c r="J2405" s="23" t="str">
        <f aca="false">IF(A2405="","",IF(F2405="Inactivo","No","Sí"))</f>
        <v/>
      </c>
      <c r="K2405" s="23" t="str">
        <f aca="false">IF(A2405="","",IF(AND(I2405="Sí",J2405="Sí"),"Sí","No"))</f>
        <v/>
      </c>
    </row>
    <row r="2406" customFormat="false" ht="15" hidden="false" customHeight="false" outlineLevel="0" collapsed="false">
      <c r="A2406" s="22"/>
      <c r="B2406" s="22"/>
      <c r="C2406" s="26" t="str">
        <f aca="false">IF(A2406="","",IFERROR(buscarx(A2406&amp;B2406,DATA!$E$3:$E$10000&amp;DATA!$B$3:$B$10000,DATA!$M$3:$M$10000),"No encontrado"))</f>
        <v/>
      </c>
      <c r="D2406" s="27" t="str">
        <f aca="false">IF(A2406="","",IFERROR(buscarx(A2406&amp;B2406,DATA!$E$3:$E$10000&amp;DATA!$B$3:$B$10000,DATA!$W$3:$W$10000),"No encontrado"))</f>
        <v/>
      </c>
      <c r="E2406" s="22"/>
      <c r="F2406" s="26" t="str">
        <f aca="false">IF(A2406="","",IFERROR(buscarx(A2406&amp;E2406,DATA!$E$3:$E$10000&amp;DATA!$B$3:$B$10000,DATA!$M$3:$M$10000),"Inactivo"))</f>
        <v/>
      </c>
      <c r="G2406" s="28" t="str">
        <f aca="false">IF(A2406="","",IF(AND(C2406&lt;&gt;"No encontrado",F2406&lt;&gt;"Inactivo"),C2406&amp;" → "&amp;F2406,"Sin transición"))</f>
        <v/>
      </c>
      <c r="H2406" s="26" t="str">
        <f aca="false">IF(A2406="","",IF(D2406="GCIA LINEA SERVICIO DIGITALIDAD Y VENTAS","Chats",IF(OR(D2406="GERENCIA INBOUND LÍNEAS SERVICIO Y VENTA",D2406="GERENCIA INBOUND LINEAS ESPECIALIZADAS"),"Llamadas","Otro")))</f>
        <v/>
      </c>
      <c r="I2406" s="26" t="str">
        <f aca="false">IF(A2406="","",IF(C2406="No encontrado","No","Sí"))</f>
        <v/>
      </c>
      <c r="J2406" s="26" t="str">
        <f aca="false">IF(A2406="","",IF(F2406="Inactivo","No","Sí"))</f>
        <v/>
      </c>
      <c r="K2406" s="26" t="str">
        <f aca="false">IF(A2406="","",IF(AND(I2406="Sí",J2406="Sí"),"Sí","No"))</f>
        <v/>
      </c>
    </row>
    <row r="2407" customFormat="false" ht="15" hidden="false" customHeight="false" outlineLevel="0" collapsed="false">
      <c r="A2407" s="22"/>
      <c r="B2407" s="22"/>
      <c r="C2407" s="23" t="str">
        <f aca="false">IF(A2407="","",IFERROR(buscarx(A2407&amp;B2407,DATA!$E$3:$E$10000&amp;DATA!$B$3:$B$10000,DATA!$M$3:$M$10000),"No encontrado"))</f>
        <v/>
      </c>
      <c r="D2407" s="24" t="str">
        <f aca="false">IF(A2407="","",IFERROR(buscarx(A2407&amp;B2407,DATA!$E$3:$E$10000&amp;DATA!$B$3:$B$10000,DATA!$W$3:$W$10000),"No encontrado"))</f>
        <v/>
      </c>
      <c r="E2407" s="22"/>
      <c r="F2407" s="23" t="str">
        <f aca="false">IF(A2407="","",IFERROR(buscarx(A2407&amp;E2407,DATA!$E$3:$E$10000&amp;DATA!$B$3:$B$10000,DATA!$M$3:$M$10000),"Inactivo"))</f>
        <v/>
      </c>
      <c r="G2407" s="25" t="str">
        <f aca="false">IF(A2407="","",IF(AND(C2407&lt;&gt;"No encontrado",F2407&lt;&gt;"Inactivo"),C2407&amp;" → "&amp;F2407,"Sin transición"))</f>
        <v/>
      </c>
      <c r="H2407" s="23" t="str">
        <f aca="false">IF(A2407="","",IF(D2407="GCIA LINEA SERVICIO DIGITALIDAD Y VENTAS","Chats",IF(OR(D2407="GERENCIA INBOUND LÍNEAS SERVICIO Y VENTA",D2407="GERENCIA INBOUND LINEAS ESPECIALIZADAS"),"Llamadas","Otro")))</f>
        <v/>
      </c>
      <c r="I2407" s="23" t="str">
        <f aca="false">IF(A2407="","",IF(C2407="No encontrado","No","Sí"))</f>
        <v/>
      </c>
      <c r="J2407" s="23" t="str">
        <f aca="false">IF(A2407="","",IF(F2407="Inactivo","No","Sí"))</f>
        <v/>
      </c>
      <c r="K2407" s="23" t="str">
        <f aca="false">IF(A2407="","",IF(AND(I2407="Sí",J2407="Sí"),"Sí","No"))</f>
        <v/>
      </c>
    </row>
    <row r="2408" customFormat="false" ht="15" hidden="false" customHeight="false" outlineLevel="0" collapsed="false">
      <c r="A2408" s="22"/>
      <c r="B2408" s="22"/>
      <c r="C2408" s="26" t="str">
        <f aca="false">IF(A2408="","",IFERROR(buscarx(A2408&amp;B2408,DATA!$E$3:$E$10000&amp;DATA!$B$3:$B$10000,DATA!$M$3:$M$10000),"No encontrado"))</f>
        <v/>
      </c>
      <c r="D2408" s="27" t="str">
        <f aca="false">IF(A2408="","",IFERROR(buscarx(A2408&amp;B2408,DATA!$E$3:$E$10000&amp;DATA!$B$3:$B$10000,DATA!$W$3:$W$10000),"No encontrado"))</f>
        <v/>
      </c>
      <c r="E2408" s="22"/>
      <c r="F2408" s="26" t="str">
        <f aca="false">IF(A2408="","",IFERROR(buscarx(A2408&amp;E2408,DATA!$E$3:$E$10000&amp;DATA!$B$3:$B$10000,DATA!$M$3:$M$10000),"Inactivo"))</f>
        <v/>
      </c>
      <c r="G2408" s="28" t="str">
        <f aca="false">IF(A2408="","",IF(AND(C2408&lt;&gt;"No encontrado",F2408&lt;&gt;"Inactivo"),C2408&amp;" → "&amp;F2408,"Sin transición"))</f>
        <v/>
      </c>
      <c r="H2408" s="26" t="str">
        <f aca="false">IF(A2408="","",IF(D2408="GCIA LINEA SERVICIO DIGITALIDAD Y VENTAS","Chats",IF(OR(D2408="GERENCIA INBOUND LÍNEAS SERVICIO Y VENTA",D2408="GERENCIA INBOUND LINEAS ESPECIALIZADAS"),"Llamadas","Otro")))</f>
        <v/>
      </c>
      <c r="I2408" s="26" t="str">
        <f aca="false">IF(A2408="","",IF(C2408="No encontrado","No","Sí"))</f>
        <v/>
      </c>
      <c r="J2408" s="26" t="str">
        <f aca="false">IF(A2408="","",IF(F2408="Inactivo","No","Sí"))</f>
        <v/>
      </c>
      <c r="K2408" s="26" t="str">
        <f aca="false">IF(A2408="","",IF(AND(I2408="Sí",J2408="Sí"),"Sí","No"))</f>
        <v/>
      </c>
    </row>
    <row r="2409" customFormat="false" ht="15" hidden="false" customHeight="false" outlineLevel="0" collapsed="false">
      <c r="A2409" s="22"/>
      <c r="B2409" s="22"/>
      <c r="C2409" s="23" t="str">
        <f aca="false">IF(A2409="","",IFERROR(buscarx(A2409&amp;B2409,DATA!$E$3:$E$10000&amp;DATA!$B$3:$B$10000,DATA!$M$3:$M$10000),"No encontrado"))</f>
        <v/>
      </c>
      <c r="D2409" s="24" t="str">
        <f aca="false">IF(A2409="","",IFERROR(buscarx(A2409&amp;B2409,DATA!$E$3:$E$10000&amp;DATA!$B$3:$B$10000,DATA!$W$3:$W$10000),"No encontrado"))</f>
        <v/>
      </c>
      <c r="E2409" s="22"/>
      <c r="F2409" s="23" t="str">
        <f aca="false">IF(A2409="","",IFERROR(buscarx(A2409&amp;E2409,DATA!$E$3:$E$10000&amp;DATA!$B$3:$B$10000,DATA!$M$3:$M$10000),"Inactivo"))</f>
        <v/>
      </c>
      <c r="G2409" s="25" t="str">
        <f aca="false">IF(A2409="","",IF(AND(C2409&lt;&gt;"No encontrado",F2409&lt;&gt;"Inactivo"),C2409&amp;" → "&amp;F2409,"Sin transición"))</f>
        <v/>
      </c>
      <c r="H2409" s="23" t="str">
        <f aca="false">IF(A2409="","",IF(D2409="GCIA LINEA SERVICIO DIGITALIDAD Y VENTAS","Chats",IF(OR(D2409="GERENCIA INBOUND LÍNEAS SERVICIO Y VENTA",D2409="GERENCIA INBOUND LINEAS ESPECIALIZADAS"),"Llamadas","Otro")))</f>
        <v/>
      </c>
      <c r="I2409" s="23" t="str">
        <f aca="false">IF(A2409="","",IF(C2409="No encontrado","No","Sí"))</f>
        <v/>
      </c>
      <c r="J2409" s="23" t="str">
        <f aca="false">IF(A2409="","",IF(F2409="Inactivo","No","Sí"))</f>
        <v/>
      </c>
      <c r="K2409" s="23" t="str">
        <f aca="false">IF(A2409="","",IF(AND(I2409="Sí",J2409="Sí"),"Sí","No"))</f>
        <v/>
      </c>
    </row>
    <row r="2410" customFormat="false" ht="15" hidden="false" customHeight="false" outlineLevel="0" collapsed="false">
      <c r="A2410" s="22"/>
      <c r="B2410" s="22"/>
      <c r="C2410" s="26" t="str">
        <f aca="false">IF(A2410="","",IFERROR(buscarx(A2410&amp;B2410,DATA!$E$3:$E$10000&amp;DATA!$B$3:$B$10000,DATA!$M$3:$M$10000),"No encontrado"))</f>
        <v/>
      </c>
      <c r="D2410" s="27" t="str">
        <f aca="false">IF(A2410="","",IFERROR(buscarx(A2410&amp;B2410,DATA!$E$3:$E$10000&amp;DATA!$B$3:$B$10000,DATA!$W$3:$W$10000),"No encontrado"))</f>
        <v/>
      </c>
      <c r="E2410" s="22"/>
      <c r="F2410" s="26" t="str">
        <f aca="false">IF(A2410="","",IFERROR(buscarx(A2410&amp;E2410,DATA!$E$3:$E$10000&amp;DATA!$B$3:$B$10000,DATA!$M$3:$M$10000),"Inactivo"))</f>
        <v/>
      </c>
      <c r="G2410" s="28" t="str">
        <f aca="false">IF(A2410="","",IF(AND(C2410&lt;&gt;"No encontrado",F2410&lt;&gt;"Inactivo"),C2410&amp;" → "&amp;F2410,"Sin transición"))</f>
        <v/>
      </c>
      <c r="H2410" s="26" t="str">
        <f aca="false">IF(A2410="","",IF(D2410="GCIA LINEA SERVICIO DIGITALIDAD Y VENTAS","Chats",IF(OR(D2410="GERENCIA INBOUND LÍNEAS SERVICIO Y VENTA",D2410="GERENCIA INBOUND LINEAS ESPECIALIZADAS"),"Llamadas","Otro")))</f>
        <v/>
      </c>
      <c r="I2410" s="26" t="str">
        <f aca="false">IF(A2410="","",IF(C2410="No encontrado","No","Sí"))</f>
        <v/>
      </c>
      <c r="J2410" s="26" t="str">
        <f aca="false">IF(A2410="","",IF(F2410="Inactivo","No","Sí"))</f>
        <v/>
      </c>
      <c r="K2410" s="26" t="str">
        <f aca="false">IF(A2410="","",IF(AND(I2410="Sí",J2410="Sí"),"Sí","No"))</f>
        <v/>
      </c>
    </row>
    <row r="2411" customFormat="false" ht="15" hidden="false" customHeight="false" outlineLevel="0" collapsed="false">
      <c r="A2411" s="22"/>
      <c r="B2411" s="22"/>
      <c r="C2411" s="23" t="str">
        <f aca="false">IF(A2411="","",IFERROR(buscarx(A2411&amp;B2411,DATA!$E$3:$E$10000&amp;DATA!$B$3:$B$10000,DATA!$M$3:$M$10000),"No encontrado"))</f>
        <v/>
      </c>
      <c r="D2411" s="24" t="str">
        <f aca="false">IF(A2411="","",IFERROR(buscarx(A2411&amp;B2411,DATA!$E$3:$E$10000&amp;DATA!$B$3:$B$10000,DATA!$W$3:$W$10000),"No encontrado"))</f>
        <v/>
      </c>
      <c r="E2411" s="22"/>
      <c r="F2411" s="23" t="str">
        <f aca="false">IF(A2411="","",IFERROR(buscarx(A2411&amp;E2411,DATA!$E$3:$E$10000&amp;DATA!$B$3:$B$10000,DATA!$M$3:$M$10000),"Inactivo"))</f>
        <v/>
      </c>
      <c r="G2411" s="25" t="str">
        <f aca="false">IF(A2411="","",IF(AND(C2411&lt;&gt;"No encontrado",F2411&lt;&gt;"Inactivo"),C2411&amp;" → "&amp;F2411,"Sin transición"))</f>
        <v/>
      </c>
      <c r="H2411" s="23" t="str">
        <f aca="false">IF(A2411="","",IF(D2411="GCIA LINEA SERVICIO DIGITALIDAD Y VENTAS","Chats",IF(OR(D2411="GERENCIA INBOUND LÍNEAS SERVICIO Y VENTA",D2411="GERENCIA INBOUND LINEAS ESPECIALIZADAS"),"Llamadas","Otro")))</f>
        <v/>
      </c>
      <c r="I2411" s="23" t="str">
        <f aca="false">IF(A2411="","",IF(C2411="No encontrado","No","Sí"))</f>
        <v/>
      </c>
      <c r="J2411" s="23" t="str">
        <f aca="false">IF(A2411="","",IF(F2411="Inactivo","No","Sí"))</f>
        <v/>
      </c>
      <c r="K2411" s="23" t="str">
        <f aca="false">IF(A2411="","",IF(AND(I2411="Sí",J2411="Sí"),"Sí","No"))</f>
        <v/>
      </c>
    </row>
    <row r="2412" customFormat="false" ht="15" hidden="false" customHeight="false" outlineLevel="0" collapsed="false">
      <c r="A2412" s="22"/>
      <c r="B2412" s="22"/>
      <c r="C2412" s="26" t="str">
        <f aca="false">IF(A2412="","",IFERROR(buscarx(A2412&amp;B2412,DATA!$E$3:$E$10000&amp;DATA!$B$3:$B$10000,DATA!$M$3:$M$10000),"No encontrado"))</f>
        <v/>
      </c>
      <c r="D2412" s="27" t="str">
        <f aca="false">IF(A2412="","",IFERROR(buscarx(A2412&amp;B2412,DATA!$E$3:$E$10000&amp;DATA!$B$3:$B$10000,DATA!$W$3:$W$10000),"No encontrado"))</f>
        <v/>
      </c>
      <c r="E2412" s="22"/>
      <c r="F2412" s="26" t="str">
        <f aca="false">IF(A2412="","",IFERROR(buscarx(A2412&amp;E2412,DATA!$E$3:$E$10000&amp;DATA!$B$3:$B$10000,DATA!$M$3:$M$10000),"Inactivo"))</f>
        <v/>
      </c>
      <c r="G2412" s="28" t="str">
        <f aca="false">IF(A2412="","",IF(AND(C2412&lt;&gt;"No encontrado",F2412&lt;&gt;"Inactivo"),C2412&amp;" → "&amp;F2412,"Sin transición"))</f>
        <v/>
      </c>
      <c r="H2412" s="26" t="str">
        <f aca="false">IF(A2412="","",IF(D2412="GCIA LINEA SERVICIO DIGITALIDAD Y VENTAS","Chats",IF(OR(D2412="GERENCIA INBOUND LÍNEAS SERVICIO Y VENTA",D2412="GERENCIA INBOUND LINEAS ESPECIALIZADAS"),"Llamadas","Otro")))</f>
        <v/>
      </c>
      <c r="I2412" s="26" t="str">
        <f aca="false">IF(A2412="","",IF(C2412="No encontrado","No","Sí"))</f>
        <v/>
      </c>
      <c r="J2412" s="26" t="str">
        <f aca="false">IF(A2412="","",IF(F2412="Inactivo","No","Sí"))</f>
        <v/>
      </c>
      <c r="K2412" s="26" t="str">
        <f aca="false">IF(A2412="","",IF(AND(I2412="Sí",J2412="Sí"),"Sí","No"))</f>
        <v/>
      </c>
    </row>
    <row r="2413" customFormat="false" ht="15" hidden="false" customHeight="false" outlineLevel="0" collapsed="false">
      <c r="A2413" s="22"/>
      <c r="B2413" s="22"/>
      <c r="C2413" s="23" t="str">
        <f aca="false">IF(A2413="","",IFERROR(buscarx(A2413&amp;B2413,DATA!$E$3:$E$10000&amp;DATA!$B$3:$B$10000,DATA!$M$3:$M$10000),"No encontrado"))</f>
        <v/>
      </c>
      <c r="D2413" s="24" t="str">
        <f aca="false">IF(A2413="","",IFERROR(buscarx(A2413&amp;B2413,DATA!$E$3:$E$10000&amp;DATA!$B$3:$B$10000,DATA!$W$3:$W$10000),"No encontrado"))</f>
        <v/>
      </c>
      <c r="E2413" s="22"/>
      <c r="F2413" s="23" t="str">
        <f aca="false">IF(A2413="","",IFERROR(buscarx(A2413&amp;E2413,DATA!$E$3:$E$10000&amp;DATA!$B$3:$B$10000,DATA!$M$3:$M$10000),"Inactivo"))</f>
        <v/>
      </c>
      <c r="G2413" s="25" t="str">
        <f aca="false">IF(A2413="","",IF(AND(C2413&lt;&gt;"No encontrado",F2413&lt;&gt;"Inactivo"),C2413&amp;" → "&amp;F2413,"Sin transición"))</f>
        <v/>
      </c>
      <c r="H2413" s="23" t="str">
        <f aca="false">IF(A2413="","",IF(D2413="GCIA LINEA SERVICIO DIGITALIDAD Y VENTAS","Chats",IF(OR(D2413="GERENCIA INBOUND LÍNEAS SERVICIO Y VENTA",D2413="GERENCIA INBOUND LINEAS ESPECIALIZADAS"),"Llamadas","Otro")))</f>
        <v/>
      </c>
      <c r="I2413" s="23" t="str">
        <f aca="false">IF(A2413="","",IF(C2413="No encontrado","No","Sí"))</f>
        <v/>
      </c>
      <c r="J2413" s="23" t="str">
        <f aca="false">IF(A2413="","",IF(F2413="Inactivo","No","Sí"))</f>
        <v/>
      </c>
      <c r="K2413" s="23" t="str">
        <f aca="false">IF(A2413="","",IF(AND(I2413="Sí",J2413="Sí"),"Sí","No"))</f>
        <v/>
      </c>
    </row>
    <row r="2414" customFormat="false" ht="15" hidden="false" customHeight="false" outlineLevel="0" collapsed="false">
      <c r="A2414" s="22"/>
      <c r="B2414" s="22"/>
      <c r="C2414" s="26" t="str">
        <f aca="false">IF(A2414="","",IFERROR(buscarx(A2414&amp;B2414,DATA!$E$3:$E$10000&amp;DATA!$B$3:$B$10000,DATA!$M$3:$M$10000),"No encontrado"))</f>
        <v/>
      </c>
      <c r="D2414" s="27" t="str">
        <f aca="false">IF(A2414="","",IFERROR(buscarx(A2414&amp;B2414,DATA!$E$3:$E$10000&amp;DATA!$B$3:$B$10000,DATA!$W$3:$W$10000),"No encontrado"))</f>
        <v/>
      </c>
      <c r="E2414" s="22"/>
      <c r="F2414" s="26" t="str">
        <f aca="false">IF(A2414="","",IFERROR(buscarx(A2414&amp;E2414,DATA!$E$3:$E$10000&amp;DATA!$B$3:$B$10000,DATA!$M$3:$M$10000),"Inactivo"))</f>
        <v/>
      </c>
      <c r="G2414" s="28" t="str">
        <f aca="false">IF(A2414="","",IF(AND(C2414&lt;&gt;"No encontrado",F2414&lt;&gt;"Inactivo"),C2414&amp;" → "&amp;F2414,"Sin transición"))</f>
        <v/>
      </c>
      <c r="H2414" s="26" t="str">
        <f aca="false">IF(A2414="","",IF(D2414="GCIA LINEA SERVICIO DIGITALIDAD Y VENTAS","Chats",IF(OR(D2414="GERENCIA INBOUND LÍNEAS SERVICIO Y VENTA",D2414="GERENCIA INBOUND LINEAS ESPECIALIZADAS"),"Llamadas","Otro")))</f>
        <v/>
      </c>
      <c r="I2414" s="26" t="str">
        <f aca="false">IF(A2414="","",IF(C2414="No encontrado","No","Sí"))</f>
        <v/>
      </c>
      <c r="J2414" s="26" t="str">
        <f aca="false">IF(A2414="","",IF(F2414="Inactivo","No","Sí"))</f>
        <v/>
      </c>
      <c r="K2414" s="26" t="str">
        <f aca="false">IF(A2414="","",IF(AND(I2414="Sí",J2414="Sí"),"Sí","No"))</f>
        <v/>
      </c>
    </row>
    <row r="2415" customFormat="false" ht="15" hidden="false" customHeight="false" outlineLevel="0" collapsed="false">
      <c r="A2415" s="22"/>
      <c r="B2415" s="22"/>
      <c r="C2415" s="23" t="str">
        <f aca="false">IF(A2415="","",IFERROR(buscarx(A2415&amp;B2415,DATA!$E$3:$E$10000&amp;DATA!$B$3:$B$10000,DATA!$M$3:$M$10000),"No encontrado"))</f>
        <v/>
      </c>
      <c r="D2415" s="24" t="str">
        <f aca="false">IF(A2415="","",IFERROR(buscarx(A2415&amp;B2415,DATA!$E$3:$E$10000&amp;DATA!$B$3:$B$10000,DATA!$W$3:$W$10000),"No encontrado"))</f>
        <v/>
      </c>
      <c r="E2415" s="22"/>
      <c r="F2415" s="23" t="str">
        <f aca="false">IF(A2415="","",IFERROR(buscarx(A2415&amp;E2415,DATA!$E$3:$E$10000&amp;DATA!$B$3:$B$10000,DATA!$M$3:$M$10000),"Inactivo"))</f>
        <v/>
      </c>
      <c r="G2415" s="25" t="str">
        <f aca="false">IF(A2415="","",IF(AND(C2415&lt;&gt;"No encontrado",F2415&lt;&gt;"Inactivo"),C2415&amp;" → "&amp;F2415,"Sin transición"))</f>
        <v/>
      </c>
      <c r="H2415" s="23" t="str">
        <f aca="false">IF(A2415="","",IF(D2415="GCIA LINEA SERVICIO DIGITALIDAD Y VENTAS","Chats",IF(OR(D2415="GERENCIA INBOUND LÍNEAS SERVICIO Y VENTA",D2415="GERENCIA INBOUND LINEAS ESPECIALIZADAS"),"Llamadas","Otro")))</f>
        <v/>
      </c>
      <c r="I2415" s="23" t="str">
        <f aca="false">IF(A2415="","",IF(C2415="No encontrado","No","Sí"))</f>
        <v/>
      </c>
      <c r="J2415" s="23" t="str">
        <f aca="false">IF(A2415="","",IF(F2415="Inactivo","No","Sí"))</f>
        <v/>
      </c>
      <c r="K2415" s="23" t="str">
        <f aca="false">IF(A2415="","",IF(AND(I2415="Sí",J2415="Sí"),"Sí","No"))</f>
        <v/>
      </c>
    </row>
    <row r="2416" customFormat="false" ht="15" hidden="false" customHeight="false" outlineLevel="0" collapsed="false">
      <c r="A2416" s="22"/>
      <c r="B2416" s="22"/>
      <c r="C2416" s="26" t="str">
        <f aca="false">IF(A2416="","",IFERROR(buscarx(A2416&amp;B2416,DATA!$E$3:$E$10000&amp;DATA!$B$3:$B$10000,DATA!$M$3:$M$10000),"No encontrado"))</f>
        <v/>
      </c>
      <c r="D2416" s="27" t="str">
        <f aca="false">IF(A2416="","",IFERROR(buscarx(A2416&amp;B2416,DATA!$E$3:$E$10000&amp;DATA!$B$3:$B$10000,DATA!$W$3:$W$10000),"No encontrado"))</f>
        <v/>
      </c>
      <c r="E2416" s="22"/>
      <c r="F2416" s="26" t="str">
        <f aca="false">IF(A2416="","",IFERROR(buscarx(A2416&amp;E2416,DATA!$E$3:$E$10000&amp;DATA!$B$3:$B$10000,DATA!$M$3:$M$10000),"Inactivo"))</f>
        <v/>
      </c>
      <c r="G2416" s="28" t="str">
        <f aca="false">IF(A2416="","",IF(AND(C2416&lt;&gt;"No encontrado",F2416&lt;&gt;"Inactivo"),C2416&amp;" → "&amp;F2416,"Sin transición"))</f>
        <v/>
      </c>
      <c r="H2416" s="26" t="str">
        <f aca="false">IF(A2416="","",IF(D2416="GCIA LINEA SERVICIO DIGITALIDAD Y VENTAS","Chats",IF(OR(D2416="GERENCIA INBOUND LÍNEAS SERVICIO Y VENTA",D2416="GERENCIA INBOUND LINEAS ESPECIALIZADAS"),"Llamadas","Otro")))</f>
        <v/>
      </c>
      <c r="I2416" s="26" t="str">
        <f aca="false">IF(A2416="","",IF(C2416="No encontrado","No","Sí"))</f>
        <v/>
      </c>
      <c r="J2416" s="26" t="str">
        <f aca="false">IF(A2416="","",IF(F2416="Inactivo","No","Sí"))</f>
        <v/>
      </c>
      <c r="K2416" s="26" t="str">
        <f aca="false">IF(A2416="","",IF(AND(I2416="Sí",J2416="Sí"),"Sí","No"))</f>
        <v/>
      </c>
    </row>
    <row r="2417" customFormat="false" ht="15" hidden="false" customHeight="false" outlineLevel="0" collapsed="false">
      <c r="A2417" s="22"/>
      <c r="B2417" s="22"/>
      <c r="C2417" s="23" t="str">
        <f aca="false">IF(A2417="","",IFERROR(buscarx(A2417&amp;B2417,DATA!$E$3:$E$10000&amp;DATA!$B$3:$B$10000,DATA!$M$3:$M$10000),"No encontrado"))</f>
        <v/>
      </c>
      <c r="D2417" s="24" t="str">
        <f aca="false">IF(A2417="","",IFERROR(buscarx(A2417&amp;B2417,DATA!$E$3:$E$10000&amp;DATA!$B$3:$B$10000,DATA!$W$3:$W$10000),"No encontrado"))</f>
        <v/>
      </c>
      <c r="E2417" s="22"/>
      <c r="F2417" s="23" t="str">
        <f aca="false">IF(A2417="","",IFERROR(buscarx(A2417&amp;E2417,DATA!$E$3:$E$10000&amp;DATA!$B$3:$B$10000,DATA!$M$3:$M$10000),"Inactivo"))</f>
        <v/>
      </c>
      <c r="G2417" s="25" t="str">
        <f aca="false">IF(A2417="","",IF(AND(C2417&lt;&gt;"No encontrado",F2417&lt;&gt;"Inactivo"),C2417&amp;" → "&amp;F2417,"Sin transición"))</f>
        <v/>
      </c>
      <c r="H2417" s="23" t="str">
        <f aca="false">IF(A2417="","",IF(D2417="GCIA LINEA SERVICIO DIGITALIDAD Y VENTAS","Chats",IF(OR(D2417="GERENCIA INBOUND LÍNEAS SERVICIO Y VENTA",D2417="GERENCIA INBOUND LINEAS ESPECIALIZADAS"),"Llamadas","Otro")))</f>
        <v/>
      </c>
      <c r="I2417" s="23" t="str">
        <f aca="false">IF(A2417="","",IF(C2417="No encontrado","No","Sí"))</f>
        <v/>
      </c>
      <c r="J2417" s="23" t="str">
        <f aca="false">IF(A2417="","",IF(F2417="Inactivo","No","Sí"))</f>
        <v/>
      </c>
      <c r="K2417" s="23" t="str">
        <f aca="false">IF(A2417="","",IF(AND(I2417="Sí",J2417="Sí"),"Sí","No"))</f>
        <v/>
      </c>
    </row>
    <row r="2418" customFormat="false" ht="15" hidden="false" customHeight="false" outlineLevel="0" collapsed="false">
      <c r="A2418" s="22"/>
      <c r="B2418" s="22"/>
      <c r="C2418" s="26" t="str">
        <f aca="false">IF(A2418="","",IFERROR(buscarx(A2418&amp;B2418,DATA!$E$3:$E$10000&amp;DATA!$B$3:$B$10000,DATA!$M$3:$M$10000),"No encontrado"))</f>
        <v/>
      </c>
      <c r="D2418" s="27" t="str">
        <f aca="false">IF(A2418="","",IFERROR(buscarx(A2418&amp;B2418,DATA!$E$3:$E$10000&amp;DATA!$B$3:$B$10000,DATA!$W$3:$W$10000),"No encontrado"))</f>
        <v/>
      </c>
      <c r="E2418" s="22"/>
      <c r="F2418" s="26" t="str">
        <f aca="false">IF(A2418="","",IFERROR(buscarx(A2418&amp;E2418,DATA!$E$3:$E$10000&amp;DATA!$B$3:$B$10000,DATA!$M$3:$M$10000),"Inactivo"))</f>
        <v/>
      </c>
      <c r="G2418" s="28" t="str">
        <f aca="false">IF(A2418="","",IF(AND(C2418&lt;&gt;"No encontrado",F2418&lt;&gt;"Inactivo"),C2418&amp;" → "&amp;F2418,"Sin transición"))</f>
        <v/>
      </c>
      <c r="H2418" s="26" t="str">
        <f aca="false">IF(A2418="","",IF(D2418="GCIA LINEA SERVICIO DIGITALIDAD Y VENTAS","Chats",IF(OR(D2418="GERENCIA INBOUND LÍNEAS SERVICIO Y VENTA",D2418="GERENCIA INBOUND LINEAS ESPECIALIZADAS"),"Llamadas","Otro")))</f>
        <v/>
      </c>
      <c r="I2418" s="26" t="str">
        <f aca="false">IF(A2418="","",IF(C2418="No encontrado","No","Sí"))</f>
        <v/>
      </c>
      <c r="J2418" s="26" t="str">
        <f aca="false">IF(A2418="","",IF(F2418="Inactivo","No","Sí"))</f>
        <v/>
      </c>
      <c r="K2418" s="26" t="str">
        <f aca="false">IF(A2418="","",IF(AND(I2418="Sí",J2418="Sí"),"Sí","No"))</f>
        <v/>
      </c>
    </row>
    <row r="2419" customFormat="false" ht="15" hidden="false" customHeight="false" outlineLevel="0" collapsed="false">
      <c r="A2419" s="22"/>
      <c r="B2419" s="22"/>
      <c r="C2419" s="23" t="str">
        <f aca="false">IF(A2419="","",IFERROR(buscarx(A2419&amp;B2419,DATA!$E$3:$E$10000&amp;DATA!$B$3:$B$10000,DATA!$M$3:$M$10000),"No encontrado"))</f>
        <v/>
      </c>
      <c r="D2419" s="24" t="str">
        <f aca="false">IF(A2419="","",IFERROR(buscarx(A2419&amp;B2419,DATA!$E$3:$E$10000&amp;DATA!$B$3:$B$10000,DATA!$W$3:$W$10000),"No encontrado"))</f>
        <v/>
      </c>
      <c r="E2419" s="22"/>
      <c r="F2419" s="23" t="str">
        <f aca="false">IF(A2419="","",IFERROR(buscarx(A2419&amp;E2419,DATA!$E$3:$E$10000&amp;DATA!$B$3:$B$10000,DATA!$M$3:$M$10000),"Inactivo"))</f>
        <v/>
      </c>
      <c r="G2419" s="25" t="str">
        <f aca="false">IF(A2419="","",IF(AND(C2419&lt;&gt;"No encontrado",F2419&lt;&gt;"Inactivo"),C2419&amp;" → "&amp;F2419,"Sin transición"))</f>
        <v/>
      </c>
      <c r="H2419" s="23" t="str">
        <f aca="false">IF(A2419="","",IF(D2419="GCIA LINEA SERVICIO DIGITALIDAD Y VENTAS","Chats",IF(OR(D2419="GERENCIA INBOUND LÍNEAS SERVICIO Y VENTA",D2419="GERENCIA INBOUND LINEAS ESPECIALIZADAS"),"Llamadas","Otro")))</f>
        <v/>
      </c>
      <c r="I2419" s="23" t="str">
        <f aca="false">IF(A2419="","",IF(C2419="No encontrado","No","Sí"))</f>
        <v/>
      </c>
      <c r="J2419" s="23" t="str">
        <f aca="false">IF(A2419="","",IF(F2419="Inactivo","No","Sí"))</f>
        <v/>
      </c>
      <c r="K2419" s="23" t="str">
        <f aca="false">IF(A2419="","",IF(AND(I2419="Sí",J2419="Sí"),"Sí","No"))</f>
        <v/>
      </c>
    </row>
    <row r="2420" customFormat="false" ht="15" hidden="false" customHeight="false" outlineLevel="0" collapsed="false">
      <c r="A2420" s="22"/>
      <c r="B2420" s="22"/>
      <c r="C2420" s="26" t="str">
        <f aca="false">IF(A2420="","",IFERROR(buscarx(A2420&amp;B2420,DATA!$E$3:$E$10000&amp;DATA!$B$3:$B$10000,DATA!$M$3:$M$10000),"No encontrado"))</f>
        <v/>
      </c>
      <c r="D2420" s="27" t="str">
        <f aca="false">IF(A2420="","",IFERROR(buscarx(A2420&amp;B2420,DATA!$E$3:$E$10000&amp;DATA!$B$3:$B$10000,DATA!$W$3:$W$10000),"No encontrado"))</f>
        <v/>
      </c>
      <c r="E2420" s="22"/>
      <c r="F2420" s="26" t="str">
        <f aca="false">IF(A2420="","",IFERROR(buscarx(A2420&amp;E2420,DATA!$E$3:$E$10000&amp;DATA!$B$3:$B$10000,DATA!$M$3:$M$10000),"Inactivo"))</f>
        <v/>
      </c>
      <c r="G2420" s="28" t="str">
        <f aca="false">IF(A2420="","",IF(AND(C2420&lt;&gt;"No encontrado",F2420&lt;&gt;"Inactivo"),C2420&amp;" → "&amp;F2420,"Sin transición"))</f>
        <v/>
      </c>
      <c r="H2420" s="26" t="str">
        <f aca="false">IF(A2420="","",IF(D2420="GCIA LINEA SERVICIO DIGITALIDAD Y VENTAS","Chats",IF(OR(D2420="GERENCIA INBOUND LÍNEAS SERVICIO Y VENTA",D2420="GERENCIA INBOUND LINEAS ESPECIALIZADAS"),"Llamadas","Otro")))</f>
        <v/>
      </c>
      <c r="I2420" s="26" t="str">
        <f aca="false">IF(A2420="","",IF(C2420="No encontrado","No","Sí"))</f>
        <v/>
      </c>
      <c r="J2420" s="26" t="str">
        <f aca="false">IF(A2420="","",IF(F2420="Inactivo","No","Sí"))</f>
        <v/>
      </c>
      <c r="K2420" s="26" t="str">
        <f aca="false">IF(A2420="","",IF(AND(I2420="Sí",J2420="Sí"),"Sí","No"))</f>
        <v/>
      </c>
    </row>
    <row r="2421" customFormat="false" ht="15" hidden="false" customHeight="false" outlineLevel="0" collapsed="false">
      <c r="A2421" s="22"/>
      <c r="B2421" s="22"/>
      <c r="C2421" s="23" t="str">
        <f aca="false">IF(A2421="","",IFERROR(buscarx(A2421&amp;B2421,DATA!$E$3:$E$10000&amp;DATA!$B$3:$B$10000,DATA!$M$3:$M$10000),"No encontrado"))</f>
        <v/>
      </c>
      <c r="D2421" s="24" t="str">
        <f aca="false">IF(A2421="","",IFERROR(buscarx(A2421&amp;B2421,DATA!$E$3:$E$10000&amp;DATA!$B$3:$B$10000,DATA!$W$3:$W$10000),"No encontrado"))</f>
        <v/>
      </c>
      <c r="E2421" s="22"/>
      <c r="F2421" s="23" t="str">
        <f aca="false">IF(A2421="","",IFERROR(buscarx(A2421&amp;E2421,DATA!$E$3:$E$10000&amp;DATA!$B$3:$B$10000,DATA!$M$3:$M$10000),"Inactivo"))</f>
        <v/>
      </c>
      <c r="G2421" s="25" t="str">
        <f aca="false">IF(A2421="","",IF(AND(C2421&lt;&gt;"No encontrado",F2421&lt;&gt;"Inactivo"),C2421&amp;" → "&amp;F2421,"Sin transición"))</f>
        <v/>
      </c>
      <c r="H2421" s="23" t="str">
        <f aca="false">IF(A2421="","",IF(D2421="GCIA LINEA SERVICIO DIGITALIDAD Y VENTAS","Chats",IF(OR(D2421="GERENCIA INBOUND LÍNEAS SERVICIO Y VENTA",D2421="GERENCIA INBOUND LINEAS ESPECIALIZADAS"),"Llamadas","Otro")))</f>
        <v/>
      </c>
      <c r="I2421" s="23" t="str">
        <f aca="false">IF(A2421="","",IF(C2421="No encontrado","No","Sí"))</f>
        <v/>
      </c>
      <c r="J2421" s="23" t="str">
        <f aca="false">IF(A2421="","",IF(F2421="Inactivo","No","Sí"))</f>
        <v/>
      </c>
      <c r="K2421" s="23" t="str">
        <f aca="false">IF(A2421="","",IF(AND(I2421="Sí",J2421="Sí"),"Sí","No"))</f>
        <v/>
      </c>
    </row>
    <row r="2422" customFormat="false" ht="15" hidden="false" customHeight="false" outlineLevel="0" collapsed="false">
      <c r="A2422" s="22"/>
      <c r="B2422" s="22"/>
      <c r="C2422" s="26" t="str">
        <f aca="false">IF(A2422="","",IFERROR(buscarx(A2422&amp;B2422,DATA!$E$3:$E$10000&amp;DATA!$B$3:$B$10000,DATA!$M$3:$M$10000),"No encontrado"))</f>
        <v/>
      </c>
      <c r="D2422" s="27" t="str">
        <f aca="false">IF(A2422="","",IFERROR(buscarx(A2422&amp;B2422,DATA!$E$3:$E$10000&amp;DATA!$B$3:$B$10000,DATA!$W$3:$W$10000),"No encontrado"))</f>
        <v/>
      </c>
      <c r="E2422" s="22"/>
      <c r="F2422" s="26" t="str">
        <f aca="false">IF(A2422="","",IFERROR(buscarx(A2422&amp;E2422,DATA!$E$3:$E$10000&amp;DATA!$B$3:$B$10000,DATA!$M$3:$M$10000),"Inactivo"))</f>
        <v/>
      </c>
      <c r="G2422" s="28" t="str">
        <f aca="false">IF(A2422="","",IF(AND(C2422&lt;&gt;"No encontrado",F2422&lt;&gt;"Inactivo"),C2422&amp;" → "&amp;F2422,"Sin transición"))</f>
        <v/>
      </c>
      <c r="H2422" s="26" t="str">
        <f aca="false">IF(A2422="","",IF(D2422="GCIA LINEA SERVICIO DIGITALIDAD Y VENTAS","Chats",IF(OR(D2422="GERENCIA INBOUND LÍNEAS SERVICIO Y VENTA",D2422="GERENCIA INBOUND LINEAS ESPECIALIZADAS"),"Llamadas","Otro")))</f>
        <v/>
      </c>
      <c r="I2422" s="26" t="str">
        <f aca="false">IF(A2422="","",IF(C2422="No encontrado","No","Sí"))</f>
        <v/>
      </c>
      <c r="J2422" s="26" t="str">
        <f aca="false">IF(A2422="","",IF(F2422="Inactivo","No","Sí"))</f>
        <v/>
      </c>
      <c r="K2422" s="26" t="str">
        <f aca="false">IF(A2422="","",IF(AND(I2422="Sí",J2422="Sí"),"Sí","No"))</f>
        <v/>
      </c>
    </row>
    <row r="2423" customFormat="false" ht="15" hidden="false" customHeight="false" outlineLevel="0" collapsed="false">
      <c r="A2423" s="22"/>
      <c r="B2423" s="22"/>
      <c r="C2423" s="23" t="str">
        <f aca="false">IF(A2423="","",IFERROR(buscarx(A2423&amp;B2423,DATA!$E$3:$E$10000&amp;DATA!$B$3:$B$10000,DATA!$M$3:$M$10000),"No encontrado"))</f>
        <v/>
      </c>
      <c r="D2423" s="24" t="str">
        <f aca="false">IF(A2423="","",IFERROR(buscarx(A2423&amp;B2423,DATA!$E$3:$E$10000&amp;DATA!$B$3:$B$10000,DATA!$W$3:$W$10000),"No encontrado"))</f>
        <v/>
      </c>
      <c r="E2423" s="22"/>
      <c r="F2423" s="23" t="str">
        <f aca="false">IF(A2423="","",IFERROR(buscarx(A2423&amp;E2423,DATA!$E$3:$E$10000&amp;DATA!$B$3:$B$10000,DATA!$M$3:$M$10000),"Inactivo"))</f>
        <v/>
      </c>
      <c r="G2423" s="25" t="str">
        <f aca="false">IF(A2423="","",IF(AND(C2423&lt;&gt;"No encontrado",F2423&lt;&gt;"Inactivo"),C2423&amp;" → "&amp;F2423,"Sin transición"))</f>
        <v/>
      </c>
      <c r="H2423" s="23" t="str">
        <f aca="false">IF(A2423="","",IF(D2423="GCIA LINEA SERVICIO DIGITALIDAD Y VENTAS","Chats",IF(OR(D2423="GERENCIA INBOUND LÍNEAS SERVICIO Y VENTA",D2423="GERENCIA INBOUND LINEAS ESPECIALIZADAS"),"Llamadas","Otro")))</f>
        <v/>
      </c>
      <c r="I2423" s="23" t="str">
        <f aca="false">IF(A2423="","",IF(C2423="No encontrado","No","Sí"))</f>
        <v/>
      </c>
      <c r="J2423" s="23" t="str">
        <f aca="false">IF(A2423="","",IF(F2423="Inactivo","No","Sí"))</f>
        <v/>
      </c>
      <c r="K2423" s="23" t="str">
        <f aca="false">IF(A2423="","",IF(AND(I2423="Sí",J2423="Sí"),"Sí","No"))</f>
        <v/>
      </c>
    </row>
    <row r="2424" customFormat="false" ht="15" hidden="false" customHeight="false" outlineLevel="0" collapsed="false">
      <c r="A2424" s="22"/>
      <c r="B2424" s="22"/>
      <c r="C2424" s="26" t="str">
        <f aca="false">IF(A2424="","",IFERROR(buscarx(A2424&amp;B2424,DATA!$E$3:$E$10000&amp;DATA!$B$3:$B$10000,DATA!$M$3:$M$10000),"No encontrado"))</f>
        <v/>
      </c>
      <c r="D2424" s="27" t="str">
        <f aca="false">IF(A2424="","",IFERROR(buscarx(A2424&amp;B2424,DATA!$E$3:$E$10000&amp;DATA!$B$3:$B$10000,DATA!$W$3:$W$10000),"No encontrado"))</f>
        <v/>
      </c>
      <c r="E2424" s="22"/>
      <c r="F2424" s="26" t="str">
        <f aca="false">IF(A2424="","",IFERROR(buscarx(A2424&amp;E2424,DATA!$E$3:$E$10000&amp;DATA!$B$3:$B$10000,DATA!$M$3:$M$10000),"Inactivo"))</f>
        <v/>
      </c>
      <c r="G2424" s="28" t="str">
        <f aca="false">IF(A2424="","",IF(AND(C2424&lt;&gt;"No encontrado",F2424&lt;&gt;"Inactivo"),C2424&amp;" → "&amp;F2424,"Sin transición"))</f>
        <v/>
      </c>
      <c r="H2424" s="26" t="str">
        <f aca="false">IF(A2424="","",IF(D2424="GCIA LINEA SERVICIO DIGITALIDAD Y VENTAS","Chats",IF(OR(D2424="GERENCIA INBOUND LÍNEAS SERVICIO Y VENTA",D2424="GERENCIA INBOUND LINEAS ESPECIALIZADAS"),"Llamadas","Otro")))</f>
        <v/>
      </c>
      <c r="I2424" s="26" t="str">
        <f aca="false">IF(A2424="","",IF(C2424="No encontrado","No","Sí"))</f>
        <v/>
      </c>
      <c r="J2424" s="26" t="str">
        <f aca="false">IF(A2424="","",IF(F2424="Inactivo","No","Sí"))</f>
        <v/>
      </c>
      <c r="K2424" s="26" t="str">
        <f aca="false">IF(A2424="","",IF(AND(I2424="Sí",J2424="Sí"),"Sí","No"))</f>
        <v/>
      </c>
    </row>
    <row r="2425" customFormat="false" ht="15" hidden="false" customHeight="false" outlineLevel="0" collapsed="false">
      <c r="A2425" s="22"/>
      <c r="B2425" s="22"/>
      <c r="C2425" s="23" t="str">
        <f aca="false">IF(A2425="","",IFERROR(buscarx(A2425&amp;B2425,DATA!$E$3:$E$10000&amp;DATA!$B$3:$B$10000,DATA!$M$3:$M$10000),"No encontrado"))</f>
        <v/>
      </c>
      <c r="D2425" s="24" t="str">
        <f aca="false">IF(A2425="","",IFERROR(buscarx(A2425&amp;B2425,DATA!$E$3:$E$10000&amp;DATA!$B$3:$B$10000,DATA!$W$3:$W$10000),"No encontrado"))</f>
        <v/>
      </c>
      <c r="E2425" s="22"/>
      <c r="F2425" s="23" t="str">
        <f aca="false">IF(A2425="","",IFERROR(buscarx(A2425&amp;E2425,DATA!$E$3:$E$10000&amp;DATA!$B$3:$B$10000,DATA!$M$3:$M$10000),"Inactivo"))</f>
        <v/>
      </c>
      <c r="G2425" s="25" t="str">
        <f aca="false">IF(A2425="","",IF(AND(C2425&lt;&gt;"No encontrado",F2425&lt;&gt;"Inactivo"),C2425&amp;" → "&amp;F2425,"Sin transición"))</f>
        <v/>
      </c>
      <c r="H2425" s="23" t="str">
        <f aca="false">IF(A2425="","",IF(D2425="GCIA LINEA SERVICIO DIGITALIDAD Y VENTAS","Chats",IF(OR(D2425="GERENCIA INBOUND LÍNEAS SERVICIO Y VENTA",D2425="GERENCIA INBOUND LINEAS ESPECIALIZADAS"),"Llamadas","Otro")))</f>
        <v/>
      </c>
      <c r="I2425" s="23" t="str">
        <f aca="false">IF(A2425="","",IF(C2425="No encontrado","No","Sí"))</f>
        <v/>
      </c>
      <c r="J2425" s="23" t="str">
        <f aca="false">IF(A2425="","",IF(F2425="Inactivo","No","Sí"))</f>
        <v/>
      </c>
      <c r="K2425" s="23" t="str">
        <f aca="false">IF(A2425="","",IF(AND(I2425="Sí",J2425="Sí"),"Sí","No"))</f>
        <v/>
      </c>
    </row>
    <row r="2426" customFormat="false" ht="15" hidden="false" customHeight="false" outlineLevel="0" collapsed="false">
      <c r="A2426" s="22"/>
      <c r="B2426" s="22"/>
      <c r="C2426" s="26" t="str">
        <f aca="false">IF(A2426="","",IFERROR(buscarx(A2426&amp;B2426,DATA!$E$3:$E$10000&amp;DATA!$B$3:$B$10000,DATA!$M$3:$M$10000),"No encontrado"))</f>
        <v/>
      </c>
      <c r="D2426" s="27" t="str">
        <f aca="false">IF(A2426="","",IFERROR(buscarx(A2426&amp;B2426,DATA!$E$3:$E$10000&amp;DATA!$B$3:$B$10000,DATA!$W$3:$W$10000),"No encontrado"))</f>
        <v/>
      </c>
      <c r="E2426" s="22"/>
      <c r="F2426" s="26" t="str">
        <f aca="false">IF(A2426="","",IFERROR(buscarx(A2426&amp;E2426,DATA!$E$3:$E$10000&amp;DATA!$B$3:$B$10000,DATA!$M$3:$M$10000),"Inactivo"))</f>
        <v/>
      </c>
      <c r="G2426" s="28" t="str">
        <f aca="false">IF(A2426="","",IF(AND(C2426&lt;&gt;"No encontrado",F2426&lt;&gt;"Inactivo"),C2426&amp;" → "&amp;F2426,"Sin transición"))</f>
        <v/>
      </c>
      <c r="H2426" s="26" t="str">
        <f aca="false">IF(A2426="","",IF(D2426="GCIA LINEA SERVICIO DIGITALIDAD Y VENTAS","Chats",IF(OR(D2426="GERENCIA INBOUND LÍNEAS SERVICIO Y VENTA",D2426="GERENCIA INBOUND LINEAS ESPECIALIZADAS"),"Llamadas","Otro")))</f>
        <v/>
      </c>
      <c r="I2426" s="26" t="str">
        <f aca="false">IF(A2426="","",IF(C2426="No encontrado","No","Sí"))</f>
        <v/>
      </c>
      <c r="J2426" s="26" t="str">
        <f aca="false">IF(A2426="","",IF(F2426="Inactivo","No","Sí"))</f>
        <v/>
      </c>
      <c r="K2426" s="26" t="str">
        <f aca="false">IF(A2426="","",IF(AND(I2426="Sí",J2426="Sí"),"Sí","No"))</f>
        <v/>
      </c>
    </row>
    <row r="2427" customFormat="false" ht="15" hidden="false" customHeight="false" outlineLevel="0" collapsed="false">
      <c r="A2427" s="22"/>
      <c r="B2427" s="22"/>
      <c r="C2427" s="23" t="str">
        <f aca="false">IF(A2427="","",IFERROR(buscarx(A2427&amp;B2427,DATA!$E$3:$E$10000&amp;DATA!$B$3:$B$10000,DATA!$M$3:$M$10000),"No encontrado"))</f>
        <v/>
      </c>
      <c r="D2427" s="24" t="str">
        <f aca="false">IF(A2427="","",IFERROR(buscarx(A2427&amp;B2427,DATA!$E$3:$E$10000&amp;DATA!$B$3:$B$10000,DATA!$W$3:$W$10000),"No encontrado"))</f>
        <v/>
      </c>
      <c r="E2427" s="22"/>
      <c r="F2427" s="23" t="str">
        <f aca="false">IF(A2427="","",IFERROR(buscarx(A2427&amp;E2427,DATA!$E$3:$E$10000&amp;DATA!$B$3:$B$10000,DATA!$M$3:$M$10000),"Inactivo"))</f>
        <v/>
      </c>
      <c r="G2427" s="25" t="str">
        <f aca="false">IF(A2427="","",IF(AND(C2427&lt;&gt;"No encontrado",F2427&lt;&gt;"Inactivo"),C2427&amp;" → "&amp;F2427,"Sin transición"))</f>
        <v/>
      </c>
      <c r="H2427" s="23" t="str">
        <f aca="false">IF(A2427="","",IF(D2427="GCIA LINEA SERVICIO DIGITALIDAD Y VENTAS","Chats",IF(OR(D2427="GERENCIA INBOUND LÍNEAS SERVICIO Y VENTA",D2427="GERENCIA INBOUND LINEAS ESPECIALIZADAS"),"Llamadas","Otro")))</f>
        <v/>
      </c>
      <c r="I2427" s="23" t="str">
        <f aca="false">IF(A2427="","",IF(C2427="No encontrado","No","Sí"))</f>
        <v/>
      </c>
      <c r="J2427" s="23" t="str">
        <f aca="false">IF(A2427="","",IF(F2427="Inactivo","No","Sí"))</f>
        <v/>
      </c>
      <c r="K2427" s="23" t="str">
        <f aca="false">IF(A2427="","",IF(AND(I2427="Sí",J2427="Sí"),"Sí","No"))</f>
        <v/>
      </c>
    </row>
    <row r="2428" customFormat="false" ht="15" hidden="false" customHeight="false" outlineLevel="0" collapsed="false">
      <c r="A2428" s="22"/>
      <c r="B2428" s="22"/>
      <c r="C2428" s="26" t="str">
        <f aca="false">IF(A2428="","",IFERROR(buscarx(A2428&amp;B2428,DATA!$E$3:$E$10000&amp;DATA!$B$3:$B$10000,DATA!$M$3:$M$10000),"No encontrado"))</f>
        <v/>
      </c>
      <c r="D2428" s="27" t="str">
        <f aca="false">IF(A2428="","",IFERROR(buscarx(A2428&amp;B2428,DATA!$E$3:$E$10000&amp;DATA!$B$3:$B$10000,DATA!$W$3:$W$10000),"No encontrado"))</f>
        <v/>
      </c>
      <c r="E2428" s="22"/>
      <c r="F2428" s="26" t="str">
        <f aca="false">IF(A2428="","",IFERROR(buscarx(A2428&amp;E2428,DATA!$E$3:$E$10000&amp;DATA!$B$3:$B$10000,DATA!$M$3:$M$10000),"Inactivo"))</f>
        <v/>
      </c>
      <c r="G2428" s="28" t="str">
        <f aca="false">IF(A2428="","",IF(AND(C2428&lt;&gt;"No encontrado",F2428&lt;&gt;"Inactivo"),C2428&amp;" → "&amp;F2428,"Sin transición"))</f>
        <v/>
      </c>
      <c r="H2428" s="26" t="str">
        <f aca="false">IF(A2428="","",IF(D2428="GCIA LINEA SERVICIO DIGITALIDAD Y VENTAS","Chats",IF(OR(D2428="GERENCIA INBOUND LÍNEAS SERVICIO Y VENTA",D2428="GERENCIA INBOUND LINEAS ESPECIALIZADAS"),"Llamadas","Otro")))</f>
        <v/>
      </c>
      <c r="I2428" s="26" t="str">
        <f aca="false">IF(A2428="","",IF(C2428="No encontrado","No","Sí"))</f>
        <v/>
      </c>
      <c r="J2428" s="26" t="str">
        <f aca="false">IF(A2428="","",IF(F2428="Inactivo","No","Sí"))</f>
        <v/>
      </c>
      <c r="K2428" s="26" t="str">
        <f aca="false">IF(A2428="","",IF(AND(I2428="Sí",J2428="Sí"),"Sí","No"))</f>
        <v/>
      </c>
    </row>
    <row r="2429" customFormat="false" ht="15" hidden="false" customHeight="false" outlineLevel="0" collapsed="false">
      <c r="A2429" s="22"/>
      <c r="B2429" s="22"/>
      <c r="C2429" s="23" t="str">
        <f aca="false">IF(A2429="","",IFERROR(buscarx(A2429&amp;B2429,DATA!$E$3:$E$10000&amp;DATA!$B$3:$B$10000,DATA!$M$3:$M$10000),"No encontrado"))</f>
        <v/>
      </c>
      <c r="D2429" s="24" t="str">
        <f aca="false">IF(A2429="","",IFERROR(buscarx(A2429&amp;B2429,DATA!$E$3:$E$10000&amp;DATA!$B$3:$B$10000,DATA!$W$3:$W$10000),"No encontrado"))</f>
        <v/>
      </c>
      <c r="E2429" s="22"/>
      <c r="F2429" s="23" t="str">
        <f aca="false">IF(A2429="","",IFERROR(buscarx(A2429&amp;E2429,DATA!$E$3:$E$10000&amp;DATA!$B$3:$B$10000,DATA!$M$3:$M$10000),"Inactivo"))</f>
        <v/>
      </c>
      <c r="G2429" s="25" t="str">
        <f aca="false">IF(A2429="","",IF(AND(C2429&lt;&gt;"No encontrado",F2429&lt;&gt;"Inactivo"),C2429&amp;" → "&amp;F2429,"Sin transición"))</f>
        <v/>
      </c>
      <c r="H2429" s="23" t="str">
        <f aca="false">IF(A2429="","",IF(D2429="GCIA LINEA SERVICIO DIGITALIDAD Y VENTAS","Chats",IF(OR(D2429="GERENCIA INBOUND LÍNEAS SERVICIO Y VENTA",D2429="GERENCIA INBOUND LINEAS ESPECIALIZADAS"),"Llamadas","Otro")))</f>
        <v/>
      </c>
      <c r="I2429" s="23" t="str">
        <f aca="false">IF(A2429="","",IF(C2429="No encontrado","No","Sí"))</f>
        <v/>
      </c>
      <c r="J2429" s="23" t="str">
        <f aca="false">IF(A2429="","",IF(F2429="Inactivo","No","Sí"))</f>
        <v/>
      </c>
      <c r="K2429" s="23" t="str">
        <f aca="false">IF(A2429="","",IF(AND(I2429="Sí",J2429="Sí"),"Sí","No"))</f>
        <v/>
      </c>
    </row>
    <row r="2430" customFormat="false" ht="15" hidden="false" customHeight="false" outlineLevel="0" collapsed="false">
      <c r="A2430" s="22"/>
      <c r="B2430" s="22"/>
      <c r="C2430" s="26" t="str">
        <f aca="false">IF(A2430="","",IFERROR(buscarx(A2430&amp;B2430,DATA!$E$3:$E$10000&amp;DATA!$B$3:$B$10000,DATA!$M$3:$M$10000),"No encontrado"))</f>
        <v/>
      </c>
      <c r="D2430" s="27" t="str">
        <f aca="false">IF(A2430="","",IFERROR(buscarx(A2430&amp;B2430,DATA!$E$3:$E$10000&amp;DATA!$B$3:$B$10000,DATA!$W$3:$W$10000),"No encontrado"))</f>
        <v/>
      </c>
      <c r="E2430" s="22"/>
      <c r="F2430" s="26" t="str">
        <f aca="false">IF(A2430="","",IFERROR(buscarx(A2430&amp;E2430,DATA!$E$3:$E$10000&amp;DATA!$B$3:$B$10000,DATA!$M$3:$M$10000),"Inactivo"))</f>
        <v/>
      </c>
      <c r="G2430" s="28" t="str">
        <f aca="false">IF(A2430="","",IF(AND(C2430&lt;&gt;"No encontrado",F2430&lt;&gt;"Inactivo"),C2430&amp;" → "&amp;F2430,"Sin transición"))</f>
        <v/>
      </c>
      <c r="H2430" s="26" t="str">
        <f aca="false">IF(A2430="","",IF(D2430="GCIA LINEA SERVICIO DIGITALIDAD Y VENTAS","Chats",IF(OR(D2430="GERENCIA INBOUND LÍNEAS SERVICIO Y VENTA",D2430="GERENCIA INBOUND LINEAS ESPECIALIZADAS"),"Llamadas","Otro")))</f>
        <v/>
      </c>
      <c r="I2430" s="26" t="str">
        <f aca="false">IF(A2430="","",IF(C2430="No encontrado","No","Sí"))</f>
        <v/>
      </c>
      <c r="J2430" s="26" t="str">
        <f aca="false">IF(A2430="","",IF(F2430="Inactivo","No","Sí"))</f>
        <v/>
      </c>
      <c r="K2430" s="26" t="str">
        <f aca="false">IF(A2430="","",IF(AND(I2430="Sí",J2430="Sí"),"Sí","No"))</f>
        <v/>
      </c>
    </row>
    <row r="2431" customFormat="false" ht="15" hidden="false" customHeight="false" outlineLevel="0" collapsed="false">
      <c r="A2431" s="22"/>
      <c r="B2431" s="22"/>
      <c r="C2431" s="23" t="str">
        <f aca="false">IF(A2431="","",IFERROR(buscarx(A2431&amp;B2431,DATA!$E$3:$E$10000&amp;DATA!$B$3:$B$10000,DATA!$M$3:$M$10000),"No encontrado"))</f>
        <v/>
      </c>
      <c r="D2431" s="24" t="str">
        <f aca="false">IF(A2431="","",IFERROR(buscarx(A2431&amp;B2431,DATA!$E$3:$E$10000&amp;DATA!$B$3:$B$10000,DATA!$W$3:$W$10000),"No encontrado"))</f>
        <v/>
      </c>
      <c r="E2431" s="22"/>
      <c r="F2431" s="23" t="str">
        <f aca="false">IF(A2431="","",IFERROR(buscarx(A2431&amp;E2431,DATA!$E$3:$E$10000&amp;DATA!$B$3:$B$10000,DATA!$M$3:$M$10000),"Inactivo"))</f>
        <v/>
      </c>
      <c r="G2431" s="25" t="str">
        <f aca="false">IF(A2431="","",IF(AND(C2431&lt;&gt;"No encontrado",F2431&lt;&gt;"Inactivo"),C2431&amp;" → "&amp;F2431,"Sin transición"))</f>
        <v/>
      </c>
      <c r="H2431" s="23" t="str">
        <f aca="false">IF(A2431="","",IF(D2431="GCIA LINEA SERVICIO DIGITALIDAD Y VENTAS","Chats",IF(OR(D2431="GERENCIA INBOUND LÍNEAS SERVICIO Y VENTA",D2431="GERENCIA INBOUND LINEAS ESPECIALIZADAS"),"Llamadas","Otro")))</f>
        <v/>
      </c>
      <c r="I2431" s="23" t="str">
        <f aca="false">IF(A2431="","",IF(C2431="No encontrado","No","Sí"))</f>
        <v/>
      </c>
      <c r="J2431" s="23" t="str">
        <f aca="false">IF(A2431="","",IF(F2431="Inactivo","No","Sí"))</f>
        <v/>
      </c>
      <c r="K2431" s="23" t="str">
        <f aca="false">IF(A2431="","",IF(AND(I2431="Sí",J2431="Sí"),"Sí","No"))</f>
        <v/>
      </c>
    </row>
    <row r="2432" customFormat="false" ht="15" hidden="false" customHeight="false" outlineLevel="0" collapsed="false">
      <c r="A2432" s="22"/>
      <c r="B2432" s="22"/>
      <c r="C2432" s="26" t="str">
        <f aca="false">IF(A2432="","",IFERROR(buscarx(A2432&amp;B2432,DATA!$E$3:$E$10000&amp;DATA!$B$3:$B$10000,DATA!$M$3:$M$10000),"No encontrado"))</f>
        <v/>
      </c>
      <c r="D2432" s="27" t="str">
        <f aca="false">IF(A2432="","",IFERROR(buscarx(A2432&amp;B2432,DATA!$E$3:$E$10000&amp;DATA!$B$3:$B$10000,DATA!$W$3:$W$10000),"No encontrado"))</f>
        <v/>
      </c>
      <c r="E2432" s="22"/>
      <c r="F2432" s="26" t="str">
        <f aca="false">IF(A2432="","",IFERROR(buscarx(A2432&amp;E2432,DATA!$E$3:$E$10000&amp;DATA!$B$3:$B$10000,DATA!$M$3:$M$10000),"Inactivo"))</f>
        <v/>
      </c>
      <c r="G2432" s="28" t="str">
        <f aca="false">IF(A2432="","",IF(AND(C2432&lt;&gt;"No encontrado",F2432&lt;&gt;"Inactivo"),C2432&amp;" → "&amp;F2432,"Sin transición"))</f>
        <v/>
      </c>
      <c r="H2432" s="26" t="str">
        <f aca="false">IF(A2432="","",IF(D2432="GCIA LINEA SERVICIO DIGITALIDAD Y VENTAS","Chats",IF(OR(D2432="GERENCIA INBOUND LÍNEAS SERVICIO Y VENTA",D2432="GERENCIA INBOUND LINEAS ESPECIALIZADAS"),"Llamadas","Otro")))</f>
        <v/>
      </c>
      <c r="I2432" s="26" t="str">
        <f aca="false">IF(A2432="","",IF(C2432="No encontrado","No","Sí"))</f>
        <v/>
      </c>
      <c r="J2432" s="26" t="str">
        <f aca="false">IF(A2432="","",IF(F2432="Inactivo","No","Sí"))</f>
        <v/>
      </c>
      <c r="K2432" s="26" t="str">
        <f aca="false">IF(A2432="","",IF(AND(I2432="Sí",J2432="Sí"),"Sí","No"))</f>
        <v/>
      </c>
    </row>
    <row r="2433" customFormat="false" ht="15" hidden="false" customHeight="false" outlineLevel="0" collapsed="false">
      <c r="A2433" s="22"/>
      <c r="B2433" s="22"/>
      <c r="C2433" s="23" t="str">
        <f aca="false">IF(A2433="","",IFERROR(buscarx(A2433&amp;B2433,DATA!$E$3:$E$10000&amp;DATA!$B$3:$B$10000,DATA!$M$3:$M$10000),"No encontrado"))</f>
        <v/>
      </c>
      <c r="D2433" s="24" t="str">
        <f aca="false">IF(A2433="","",IFERROR(buscarx(A2433&amp;B2433,DATA!$E$3:$E$10000&amp;DATA!$B$3:$B$10000,DATA!$W$3:$W$10000),"No encontrado"))</f>
        <v/>
      </c>
      <c r="E2433" s="22"/>
      <c r="F2433" s="23" t="str">
        <f aca="false">IF(A2433="","",IFERROR(buscarx(A2433&amp;E2433,DATA!$E$3:$E$10000&amp;DATA!$B$3:$B$10000,DATA!$M$3:$M$10000),"Inactivo"))</f>
        <v/>
      </c>
      <c r="G2433" s="25" t="str">
        <f aca="false">IF(A2433="","",IF(AND(C2433&lt;&gt;"No encontrado",F2433&lt;&gt;"Inactivo"),C2433&amp;" → "&amp;F2433,"Sin transición"))</f>
        <v/>
      </c>
      <c r="H2433" s="23" t="str">
        <f aca="false">IF(A2433="","",IF(D2433="GCIA LINEA SERVICIO DIGITALIDAD Y VENTAS","Chats",IF(OR(D2433="GERENCIA INBOUND LÍNEAS SERVICIO Y VENTA",D2433="GERENCIA INBOUND LINEAS ESPECIALIZADAS"),"Llamadas","Otro")))</f>
        <v/>
      </c>
      <c r="I2433" s="23" t="str">
        <f aca="false">IF(A2433="","",IF(C2433="No encontrado","No","Sí"))</f>
        <v/>
      </c>
      <c r="J2433" s="23" t="str">
        <f aca="false">IF(A2433="","",IF(F2433="Inactivo","No","Sí"))</f>
        <v/>
      </c>
      <c r="K2433" s="23" t="str">
        <f aca="false">IF(A2433="","",IF(AND(I2433="Sí",J2433="Sí"),"Sí","No"))</f>
        <v/>
      </c>
    </row>
    <row r="2434" customFormat="false" ht="15" hidden="false" customHeight="false" outlineLevel="0" collapsed="false">
      <c r="A2434" s="22"/>
      <c r="B2434" s="22"/>
      <c r="C2434" s="26" t="str">
        <f aca="false">IF(A2434="","",IFERROR(buscarx(A2434&amp;B2434,DATA!$E$3:$E$10000&amp;DATA!$B$3:$B$10000,DATA!$M$3:$M$10000),"No encontrado"))</f>
        <v/>
      </c>
      <c r="D2434" s="27" t="str">
        <f aca="false">IF(A2434="","",IFERROR(buscarx(A2434&amp;B2434,DATA!$E$3:$E$10000&amp;DATA!$B$3:$B$10000,DATA!$W$3:$W$10000),"No encontrado"))</f>
        <v/>
      </c>
      <c r="E2434" s="22"/>
      <c r="F2434" s="26" t="str">
        <f aca="false">IF(A2434="","",IFERROR(buscarx(A2434&amp;E2434,DATA!$E$3:$E$10000&amp;DATA!$B$3:$B$10000,DATA!$M$3:$M$10000),"Inactivo"))</f>
        <v/>
      </c>
      <c r="G2434" s="28" t="str">
        <f aca="false">IF(A2434="","",IF(AND(C2434&lt;&gt;"No encontrado",F2434&lt;&gt;"Inactivo"),C2434&amp;" → "&amp;F2434,"Sin transición"))</f>
        <v/>
      </c>
      <c r="H2434" s="26" t="str">
        <f aca="false">IF(A2434="","",IF(D2434="GCIA LINEA SERVICIO DIGITALIDAD Y VENTAS","Chats",IF(OR(D2434="GERENCIA INBOUND LÍNEAS SERVICIO Y VENTA",D2434="GERENCIA INBOUND LINEAS ESPECIALIZADAS"),"Llamadas","Otro")))</f>
        <v/>
      </c>
      <c r="I2434" s="26" t="str">
        <f aca="false">IF(A2434="","",IF(C2434="No encontrado","No","Sí"))</f>
        <v/>
      </c>
      <c r="J2434" s="26" t="str">
        <f aca="false">IF(A2434="","",IF(F2434="Inactivo","No","Sí"))</f>
        <v/>
      </c>
      <c r="K2434" s="26" t="str">
        <f aca="false">IF(A2434="","",IF(AND(I2434="Sí",J2434="Sí"),"Sí","No"))</f>
        <v/>
      </c>
    </row>
    <row r="2435" customFormat="false" ht="15" hidden="false" customHeight="false" outlineLevel="0" collapsed="false">
      <c r="A2435" s="22"/>
      <c r="B2435" s="22"/>
      <c r="C2435" s="23" t="str">
        <f aca="false">IF(A2435="","",IFERROR(buscarx(A2435&amp;B2435,DATA!$E$3:$E$10000&amp;DATA!$B$3:$B$10000,DATA!$M$3:$M$10000),"No encontrado"))</f>
        <v/>
      </c>
      <c r="D2435" s="24" t="str">
        <f aca="false">IF(A2435="","",IFERROR(buscarx(A2435&amp;B2435,DATA!$E$3:$E$10000&amp;DATA!$B$3:$B$10000,DATA!$W$3:$W$10000),"No encontrado"))</f>
        <v/>
      </c>
      <c r="E2435" s="22"/>
      <c r="F2435" s="23" t="str">
        <f aca="false">IF(A2435="","",IFERROR(buscarx(A2435&amp;E2435,DATA!$E$3:$E$10000&amp;DATA!$B$3:$B$10000,DATA!$M$3:$M$10000),"Inactivo"))</f>
        <v/>
      </c>
      <c r="G2435" s="25" t="str">
        <f aca="false">IF(A2435="","",IF(AND(C2435&lt;&gt;"No encontrado",F2435&lt;&gt;"Inactivo"),C2435&amp;" → "&amp;F2435,"Sin transición"))</f>
        <v/>
      </c>
      <c r="H2435" s="23" t="str">
        <f aca="false">IF(A2435="","",IF(D2435="GCIA LINEA SERVICIO DIGITALIDAD Y VENTAS","Chats",IF(OR(D2435="GERENCIA INBOUND LÍNEAS SERVICIO Y VENTA",D2435="GERENCIA INBOUND LINEAS ESPECIALIZADAS"),"Llamadas","Otro")))</f>
        <v/>
      </c>
      <c r="I2435" s="23" t="str">
        <f aca="false">IF(A2435="","",IF(C2435="No encontrado","No","Sí"))</f>
        <v/>
      </c>
      <c r="J2435" s="23" t="str">
        <f aca="false">IF(A2435="","",IF(F2435="Inactivo","No","Sí"))</f>
        <v/>
      </c>
      <c r="K2435" s="23" t="str">
        <f aca="false">IF(A2435="","",IF(AND(I2435="Sí",J2435="Sí"),"Sí","No"))</f>
        <v/>
      </c>
    </row>
    <row r="2436" customFormat="false" ht="15" hidden="false" customHeight="false" outlineLevel="0" collapsed="false">
      <c r="A2436" s="22"/>
      <c r="B2436" s="22"/>
      <c r="C2436" s="26" t="str">
        <f aca="false">IF(A2436="","",IFERROR(buscarx(A2436&amp;B2436,DATA!$E$3:$E$10000&amp;DATA!$B$3:$B$10000,DATA!$M$3:$M$10000),"No encontrado"))</f>
        <v/>
      </c>
      <c r="D2436" s="27" t="str">
        <f aca="false">IF(A2436="","",IFERROR(buscarx(A2436&amp;B2436,DATA!$E$3:$E$10000&amp;DATA!$B$3:$B$10000,DATA!$W$3:$W$10000),"No encontrado"))</f>
        <v/>
      </c>
      <c r="E2436" s="22"/>
      <c r="F2436" s="26" t="str">
        <f aca="false">IF(A2436="","",IFERROR(buscarx(A2436&amp;E2436,DATA!$E$3:$E$10000&amp;DATA!$B$3:$B$10000,DATA!$M$3:$M$10000),"Inactivo"))</f>
        <v/>
      </c>
      <c r="G2436" s="28" t="str">
        <f aca="false">IF(A2436="","",IF(AND(C2436&lt;&gt;"No encontrado",F2436&lt;&gt;"Inactivo"),C2436&amp;" → "&amp;F2436,"Sin transición"))</f>
        <v/>
      </c>
      <c r="H2436" s="26" t="str">
        <f aca="false">IF(A2436="","",IF(D2436="GCIA LINEA SERVICIO DIGITALIDAD Y VENTAS","Chats",IF(OR(D2436="GERENCIA INBOUND LÍNEAS SERVICIO Y VENTA",D2436="GERENCIA INBOUND LINEAS ESPECIALIZADAS"),"Llamadas","Otro")))</f>
        <v/>
      </c>
      <c r="I2436" s="26" t="str">
        <f aca="false">IF(A2436="","",IF(C2436="No encontrado","No","Sí"))</f>
        <v/>
      </c>
      <c r="J2436" s="26" t="str">
        <f aca="false">IF(A2436="","",IF(F2436="Inactivo","No","Sí"))</f>
        <v/>
      </c>
      <c r="K2436" s="26" t="str">
        <f aca="false">IF(A2436="","",IF(AND(I2436="Sí",J2436="Sí"),"Sí","No"))</f>
        <v/>
      </c>
    </row>
    <row r="2437" customFormat="false" ht="15" hidden="false" customHeight="false" outlineLevel="0" collapsed="false">
      <c r="A2437" s="22"/>
      <c r="B2437" s="22"/>
      <c r="C2437" s="23" t="str">
        <f aca="false">IF(A2437="","",IFERROR(buscarx(A2437&amp;B2437,DATA!$E$3:$E$10000&amp;DATA!$B$3:$B$10000,DATA!$M$3:$M$10000),"No encontrado"))</f>
        <v/>
      </c>
      <c r="D2437" s="24" t="str">
        <f aca="false">IF(A2437="","",IFERROR(buscarx(A2437&amp;B2437,DATA!$E$3:$E$10000&amp;DATA!$B$3:$B$10000,DATA!$W$3:$W$10000),"No encontrado"))</f>
        <v/>
      </c>
      <c r="E2437" s="22"/>
      <c r="F2437" s="23" t="str">
        <f aca="false">IF(A2437="","",IFERROR(buscarx(A2437&amp;E2437,DATA!$E$3:$E$10000&amp;DATA!$B$3:$B$10000,DATA!$M$3:$M$10000),"Inactivo"))</f>
        <v/>
      </c>
      <c r="G2437" s="25" t="str">
        <f aca="false">IF(A2437="","",IF(AND(C2437&lt;&gt;"No encontrado",F2437&lt;&gt;"Inactivo"),C2437&amp;" → "&amp;F2437,"Sin transición"))</f>
        <v/>
      </c>
      <c r="H2437" s="23" t="str">
        <f aca="false">IF(A2437="","",IF(D2437="GCIA LINEA SERVICIO DIGITALIDAD Y VENTAS","Chats",IF(OR(D2437="GERENCIA INBOUND LÍNEAS SERVICIO Y VENTA",D2437="GERENCIA INBOUND LINEAS ESPECIALIZADAS"),"Llamadas","Otro")))</f>
        <v/>
      </c>
      <c r="I2437" s="23" t="str">
        <f aca="false">IF(A2437="","",IF(C2437="No encontrado","No","Sí"))</f>
        <v/>
      </c>
      <c r="J2437" s="23" t="str">
        <f aca="false">IF(A2437="","",IF(F2437="Inactivo","No","Sí"))</f>
        <v/>
      </c>
      <c r="K2437" s="23" t="str">
        <f aca="false">IF(A2437="","",IF(AND(I2437="Sí",J2437="Sí"),"Sí","No"))</f>
        <v/>
      </c>
    </row>
    <row r="2438" customFormat="false" ht="15" hidden="false" customHeight="false" outlineLevel="0" collapsed="false">
      <c r="A2438" s="22"/>
      <c r="B2438" s="22"/>
      <c r="C2438" s="26" t="str">
        <f aca="false">IF(A2438="","",IFERROR(buscarx(A2438&amp;B2438,DATA!$E$3:$E$10000&amp;DATA!$B$3:$B$10000,DATA!$M$3:$M$10000),"No encontrado"))</f>
        <v/>
      </c>
      <c r="D2438" s="27" t="str">
        <f aca="false">IF(A2438="","",IFERROR(buscarx(A2438&amp;B2438,DATA!$E$3:$E$10000&amp;DATA!$B$3:$B$10000,DATA!$W$3:$W$10000),"No encontrado"))</f>
        <v/>
      </c>
      <c r="E2438" s="22"/>
      <c r="F2438" s="26" t="str">
        <f aca="false">IF(A2438="","",IFERROR(buscarx(A2438&amp;E2438,DATA!$E$3:$E$10000&amp;DATA!$B$3:$B$10000,DATA!$M$3:$M$10000),"Inactivo"))</f>
        <v/>
      </c>
      <c r="G2438" s="28" t="str">
        <f aca="false">IF(A2438="","",IF(AND(C2438&lt;&gt;"No encontrado",F2438&lt;&gt;"Inactivo"),C2438&amp;" → "&amp;F2438,"Sin transición"))</f>
        <v/>
      </c>
      <c r="H2438" s="26" t="str">
        <f aca="false">IF(A2438="","",IF(D2438="GCIA LINEA SERVICIO DIGITALIDAD Y VENTAS","Chats",IF(OR(D2438="GERENCIA INBOUND LÍNEAS SERVICIO Y VENTA",D2438="GERENCIA INBOUND LINEAS ESPECIALIZADAS"),"Llamadas","Otro")))</f>
        <v/>
      </c>
      <c r="I2438" s="26" t="str">
        <f aca="false">IF(A2438="","",IF(C2438="No encontrado","No","Sí"))</f>
        <v/>
      </c>
      <c r="J2438" s="26" t="str">
        <f aca="false">IF(A2438="","",IF(F2438="Inactivo","No","Sí"))</f>
        <v/>
      </c>
      <c r="K2438" s="26" t="str">
        <f aca="false">IF(A2438="","",IF(AND(I2438="Sí",J2438="Sí"),"Sí","No"))</f>
        <v/>
      </c>
    </row>
    <row r="2439" customFormat="false" ht="15" hidden="false" customHeight="false" outlineLevel="0" collapsed="false">
      <c r="A2439" s="22"/>
      <c r="B2439" s="22"/>
      <c r="C2439" s="23" t="str">
        <f aca="false">IF(A2439="","",IFERROR(buscarx(A2439&amp;B2439,DATA!$E$3:$E$10000&amp;DATA!$B$3:$B$10000,DATA!$M$3:$M$10000),"No encontrado"))</f>
        <v/>
      </c>
      <c r="D2439" s="24" t="str">
        <f aca="false">IF(A2439="","",IFERROR(buscarx(A2439&amp;B2439,DATA!$E$3:$E$10000&amp;DATA!$B$3:$B$10000,DATA!$W$3:$W$10000),"No encontrado"))</f>
        <v/>
      </c>
      <c r="E2439" s="22"/>
      <c r="F2439" s="23" t="str">
        <f aca="false">IF(A2439="","",IFERROR(buscarx(A2439&amp;E2439,DATA!$E$3:$E$10000&amp;DATA!$B$3:$B$10000,DATA!$M$3:$M$10000),"Inactivo"))</f>
        <v/>
      </c>
      <c r="G2439" s="25" t="str">
        <f aca="false">IF(A2439="","",IF(AND(C2439&lt;&gt;"No encontrado",F2439&lt;&gt;"Inactivo"),C2439&amp;" → "&amp;F2439,"Sin transición"))</f>
        <v/>
      </c>
      <c r="H2439" s="23" t="str">
        <f aca="false">IF(A2439="","",IF(D2439="GCIA LINEA SERVICIO DIGITALIDAD Y VENTAS","Chats",IF(OR(D2439="GERENCIA INBOUND LÍNEAS SERVICIO Y VENTA",D2439="GERENCIA INBOUND LINEAS ESPECIALIZADAS"),"Llamadas","Otro")))</f>
        <v/>
      </c>
      <c r="I2439" s="23" t="str">
        <f aca="false">IF(A2439="","",IF(C2439="No encontrado","No","Sí"))</f>
        <v/>
      </c>
      <c r="J2439" s="23" t="str">
        <f aca="false">IF(A2439="","",IF(F2439="Inactivo","No","Sí"))</f>
        <v/>
      </c>
      <c r="K2439" s="23" t="str">
        <f aca="false">IF(A2439="","",IF(AND(I2439="Sí",J2439="Sí"),"Sí","No"))</f>
        <v/>
      </c>
    </row>
    <row r="2440" customFormat="false" ht="15" hidden="false" customHeight="false" outlineLevel="0" collapsed="false">
      <c r="A2440" s="22"/>
      <c r="B2440" s="22"/>
      <c r="C2440" s="26" t="str">
        <f aca="false">IF(A2440="","",IFERROR(buscarx(A2440&amp;B2440,DATA!$E$3:$E$10000&amp;DATA!$B$3:$B$10000,DATA!$M$3:$M$10000),"No encontrado"))</f>
        <v/>
      </c>
      <c r="D2440" s="27" t="str">
        <f aca="false">IF(A2440="","",IFERROR(buscarx(A2440&amp;B2440,DATA!$E$3:$E$10000&amp;DATA!$B$3:$B$10000,DATA!$W$3:$W$10000),"No encontrado"))</f>
        <v/>
      </c>
      <c r="E2440" s="22"/>
      <c r="F2440" s="26" t="str">
        <f aca="false">IF(A2440="","",IFERROR(buscarx(A2440&amp;E2440,DATA!$E$3:$E$10000&amp;DATA!$B$3:$B$10000,DATA!$M$3:$M$10000),"Inactivo"))</f>
        <v/>
      </c>
      <c r="G2440" s="28" t="str">
        <f aca="false">IF(A2440="","",IF(AND(C2440&lt;&gt;"No encontrado",F2440&lt;&gt;"Inactivo"),C2440&amp;" → "&amp;F2440,"Sin transición"))</f>
        <v/>
      </c>
      <c r="H2440" s="26" t="str">
        <f aca="false">IF(A2440="","",IF(D2440="GCIA LINEA SERVICIO DIGITALIDAD Y VENTAS","Chats",IF(OR(D2440="GERENCIA INBOUND LÍNEAS SERVICIO Y VENTA",D2440="GERENCIA INBOUND LINEAS ESPECIALIZADAS"),"Llamadas","Otro")))</f>
        <v/>
      </c>
      <c r="I2440" s="26" t="str">
        <f aca="false">IF(A2440="","",IF(C2440="No encontrado","No","Sí"))</f>
        <v/>
      </c>
      <c r="J2440" s="26" t="str">
        <f aca="false">IF(A2440="","",IF(F2440="Inactivo","No","Sí"))</f>
        <v/>
      </c>
      <c r="K2440" s="26" t="str">
        <f aca="false">IF(A2440="","",IF(AND(I2440="Sí",J2440="Sí"),"Sí","No"))</f>
        <v/>
      </c>
    </row>
    <row r="2441" customFormat="false" ht="15" hidden="false" customHeight="false" outlineLevel="0" collapsed="false">
      <c r="A2441" s="22"/>
      <c r="B2441" s="22"/>
      <c r="C2441" s="23" t="str">
        <f aca="false">IF(A2441="","",IFERROR(buscarx(A2441&amp;B2441,DATA!$E$3:$E$10000&amp;DATA!$B$3:$B$10000,DATA!$M$3:$M$10000),"No encontrado"))</f>
        <v/>
      </c>
      <c r="D2441" s="24" t="str">
        <f aca="false">IF(A2441="","",IFERROR(buscarx(A2441&amp;B2441,DATA!$E$3:$E$10000&amp;DATA!$B$3:$B$10000,DATA!$W$3:$W$10000),"No encontrado"))</f>
        <v/>
      </c>
      <c r="E2441" s="22"/>
      <c r="F2441" s="23" t="str">
        <f aca="false">IF(A2441="","",IFERROR(buscarx(A2441&amp;E2441,DATA!$E$3:$E$10000&amp;DATA!$B$3:$B$10000,DATA!$M$3:$M$10000),"Inactivo"))</f>
        <v/>
      </c>
      <c r="G2441" s="25" t="str">
        <f aca="false">IF(A2441="","",IF(AND(C2441&lt;&gt;"No encontrado",F2441&lt;&gt;"Inactivo"),C2441&amp;" → "&amp;F2441,"Sin transición"))</f>
        <v/>
      </c>
      <c r="H2441" s="23" t="str">
        <f aca="false">IF(A2441="","",IF(D2441="GCIA LINEA SERVICIO DIGITALIDAD Y VENTAS","Chats",IF(OR(D2441="GERENCIA INBOUND LÍNEAS SERVICIO Y VENTA",D2441="GERENCIA INBOUND LINEAS ESPECIALIZADAS"),"Llamadas","Otro")))</f>
        <v/>
      </c>
      <c r="I2441" s="23" t="str">
        <f aca="false">IF(A2441="","",IF(C2441="No encontrado","No","Sí"))</f>
        <v/>
      </c>
      <c r="J2441" s="23" t="str">
        <f aca="false">IF(A2441="","",IF(F2441="Inactivo","No","Sí"))</f>
        <v/>
      </c>
      <c r="K2441" s="23" t="str">
        <f aca="false">IF(A2441="","",IF(AND(I2441="Sí",J2441="Sí"),"Sí","No"))</f>
        <v/>
      </c>
    </row>
    <row r="2442" customFormat="false" ht="15" hidden="false" customHeight="false" outlineLevel="0" collapsed="false">
      <c r="A2442" s="22"/>
      <c r="B2442" s="22"/>
      <c r="C2442" s="26" t="str">
        <f aca="false">IF(A2442="","",IFERROR(buscarx(A2442&amp;B2442,DATA!$E$3:$E$10000&amp;DATA!$B$3:$B$10000,DATA!$M$3:$M$10000),"No encontrado"))</f>
        <v/>
      </c>
      <c r="D2442" s="27" t="str">
        <f aca="false">IF(A2442="","",IFERROR(buscarx(A2442&amp;B2442,DATA!$E$3:$E$10000&amp;DATA!$B$3:$B$10000,DATA!$W$3:$W$10000),"No encontrado"))</f>
        <v/>
      </c>
      <c r="E2442" s="22"/>
      <c r="F2442" s="26" t="str">
        <f aca="false">IF(A2442="","",IFERROR(buscarx(A2442&amp;E2442,DATA!$E$3:$E$10000&amp;DATA!$B$3:$B$10000,DATA!$M$3:$M$10000),"Inactivo"))</f>
        <v/>
      </c>
      <c r="G2442" s="28" t="str">
        <f aca="false">IF(A2442="","",IF(AND(C2442&lt;&gt;"No encontrado",F2442&lt;&gt;"Inactivo"),C2442&amp;" → "&amp;F2442,"Sin transición"))</f>
        <v/>
      </c>
      <c r="H2442" s="26" t="str">
        <f aca="false">IF(A2442="","",IF(D2442="GCIA LINEA SERVICIO DIGITALIDAD Y VENTAS","Chats",IF(OR(D2442="GERENCIA INBOUND LÍNEAS SERVICIO Y VENTA",D2442="GERENCIA INBOUND LINEAS ESPECIALIZADAS"),"Llamadas","Otro")))</f>
        <v/>
      </c>
      <c r="I2442" s="26" t="str">
        <f aca="false">IF(A2442="","",IF(C2442="No encontrado","No","Sí"))</f>
        <v/>
      </c>
      <c r="J2442" s="26" t="str">
        <f aca="false">IF(A2442="","",IF(F2442="Inactivo","No","Sí"))</f>
        <v/>
      </c>
      <c r="K2442" s="26" t="str">
        <f aca="false">IF(A2442="","",IF(AND(I2442="Sí",J2442="Sí"),"Sí","No"))</f>
        <v/>
      </c>
    </row>
    <row r="2443" customFormat="false" ht="15" hidden="false" customHeight="false" outlineLevel="0" collapsed="false">
      <c r="A2443" s="22"/>
      <c r="B2443" s="22"/>
      <c r="C2443" s="23" t="str">
        <f aca="false">IF(A2443="","",IFERROR(buscarx(A2443&amp;B2443,DATA!$E$3:$E$10000&amp;DATA!$B$3:$B$10000,DATA!$M$3:$M$10000),"No encontrado"))</f>
        <v/>
      </c>
      <c r="D2443" s="24" t="str">
        <f aca="false">IF(A2443="","",IFERROR(buscarx(A2443&amp;B2443,DATA!$E$3:$E$10000&amp;DATA!$B$3:$B$10000,DATA!$W$3:$W$10000),"No encontrado"))</f>
        <v/>
      </c>
      <c r="E2443" s="22"/>
      <c r="F2443" s="23" t="str">
        <f aca="false">IF(A2443="","",IFERROR(buscarx(A2443&amp;E2443,DATA!$E$3:$E$10000&amp;DATA!$B$3:$B$10000,DATA!$M$3:$M$10000),"Inactivo"))</f>
        <v/>
      </c>
      <c r="G2443" s="25" t="str">
        <f aca="false">IF(A2443="","",IF(AND(C2443&lt;&gt;"No encontrado",F2443&lt;&gt;"Inactivo"),C2443&amp;" → "&amp;F2443,"Sin transición"))</f>
        <v/>
      </c>
      <c r="H2443" s="23" t="str">
        <f aca="false">IF(A2443="","",IF(D2443="GCIA LINEA SERVICIO DIGITALIDAD Y VENTAS","Chats",IF(OR(D2443="GERENCIA INBOUND LÍNEAS SERVICIO Y VENTA",D2443="GERENCIA INBOUND LINEAS ESPECIALIZADAS"),"Llamadas","Otro")))</f>
        <v/>
      </c>
      <c r="I2443" s="23" t="str">
        <f aca="false">IF(A2443="","",IF(C2443="No encontrado","No","Sí"))</f>
        <v/>
      </c>
      <c r="J2443" s="23" t="str">
        <f aca="false">IF(A2443="","",IF(F2443="Inactivo","No","Sí"))</f>
        <v/>
      </c>
      <c r="K2443" s="23" t="str">
        <f aca="false">IF(A2443="","",IF(AND(I2443="Sí",J2443="Sí"),"Sí","No"))</f>
        <v/>
      </c>
    </row>
    <row r="2444" customFormat="false" ht="15" hidden="false" customHeight="false" outlineLevel="0" collapsed="false">
      <c r="A2444" s="22"/>
      <c r="B2444" s="22"/>
      <c r="C2444" s="26" t="str">
        <f aca="false">IF(A2444="","",IFERROR(buscarx(A2444&amp;B2444,DATA!$E$3:$E$10000&amp;DATA!$B$3:$B$10000,DATA!$M$3:$M$10000),"No encontrado"))</f>
        <v/>
      </c>
      <c r="D2444" s="27" t="str">
        <f aca="false">IF(A2444="","",IFERROR(buscarx(A2444&amp;B2444,DATA!$E$3:$E$10000&amp;DATA!$B$3:$B$10000,DATA!$W$3:$W$10000),"No encontrado"))</f>
        <v/>
      </c>
      <c r="E2444" s="22"/>
      <c r="F2444" s="26" t="str">
        <f aca="false">IF(A2444="","",IFERROR(buscarx(A2444&amp;E2444,DATA!$E$3:$E$10000&amp;DATA!$B$3:$B$10000,DATA!$M$3:$M$10000),"Inactivo"))</f>
        <v/>
      </c>
      <c r="G2444" s="28" t="str">
        <f aca="false">IF(A2444="","",IF(AND(C2444&lt;&gt;"No encontrado",F2444&lt;&gt;"Inactivo"),C2444&amp;" → "&amp;F2444,"Sin transición"))</f>
        <v/>
      </c>
      <c r="H2444" s="26" t="str">
        <f aca="false">IF(A2444="","",IF(D2444="GCIA LINEA SERVICIO DIGITALIDAD Y VENTAS","Chats",IF(OR(D2444="GERENCIA INBOUND LÍNEAS SERVICIO Y VENTA",D2444="GERENCIA INBOUND LINEAS ESPECIALIZADAS"),"Llamadas","Otro")))</f>
        <v/>
      </c>
      <c r="I2444" s="26" t="str">
        <f aca="false">IF(A2444="","",IF(C2444="No encontrado","No","Sí"))</f>
        <v/>
      </c>
      <c r="J2444" s="26" t="str">
        <f aca="false">IF(A2444="","",IF(F2444="Inactivo","No","Sí"))</f>
        <v/>
      </c>
      <c r="K2444" s="26" t="str">
        <f aca="false">IF(A2444="","",IF(AND(I2444="Sí",J2444="Sí"),"Sí","No"))</f>
        <v/>
      </c>
    </row>
    <row r="2445" customFormat="false" ht="15" hidden="false" customHeight="false" outlineLevel="0" collapsed="false">
      <c r="A2445" s="22"/>
      <c r="B2445" s="22"/>
      <c r="C2445" s="23" t="str">
        <f aca="false">IF(A2445="","",IFERROR(buscarx(A2445&amp;B2445,DATA!$E$3:$E$10000&amp;DATA!$B$3:$B$10000,DATA!$M$3:$M$10000),"No encontrado"))</f>
        <v/>
      </c>
      <c r="D2445" s="24" t="str">
        <f aca="false">IF(A2445="","",IFERROR(buscarx(A2445&amp;B2445,DATA!$E$3:$E$10000&amp;DATA!$B$3:$B$10000,DATA!$W$3:$W$10000),"No encontrado"))</f>
        <v/>
      </c>
      <c r="E2445" s="22"/>
      <c r="F2445" s="23" t="str">
        <f aca="false">IF(A2445="","",IFERROR(buscarx(A2445&amp;E2445,DATA!$E$3:$E$10000&amp;DATA!$B$3:$B$10000,DATA!$M$3:$M$10000),"Inactivo"))</f>
        <v/>
      </c>
      <c r="G2445" s="25" t="str">
        <f aca="false">IF(A2445="","",IF(AND(C2445&lt;&gt;"No encontrado",F2445&lt;&gt;"Inactivo"),C2445&amp;" → "&amp;F2445,"Sin transición"))</f>
        <v/>
      </c>
      <c r="H2445" s="23" t="str">
        <f aca="false">IF(A2445="","",IF(D2445="GCIA LINEA SERVICIO DIGITALIDAD Y VENTAS","Chats",IF(OR(D2445="GERENCIA INBOUND LÍNEAS SERVICIO Y VENTA",D2445="GERENCIA INBOUND LINEAS ESPECIALIZADAS"),"Llamadas","Otro")))</f>
        <v/>
      </c>
      <c r="I2445" s="23" t="str">
        <f aca="false">IF(A2445="","",IF(C2445="No encontrado","No","Sí"))</f>
        <v/>
      </c>
      <c r="J2445" s="23" t="str">
        <f aca="false">IF(A2445="","",IF(F2445="Inactivo","No","Sí"))</f>
        <v/>
      </c>
      <c r="K2445" s="23" t="str">
        <f aca="false">IF(A2445="","",IF(AND(I2445="Sí",J2445="Sí"),"Sí","No"))</f>
        <v/>
      </c>
    </row>
    <row r="2446" customFormat="false" ht="15" hidden="false" customHeight="false" outlineLevel="0" collapsed="false">
      <c r="A2446" s="22"/>
      <c r="B2446" s="22"/>
      <c r="C2446" s="26" t="str">
        <f aca="false">IF(A2446="","",IFERROR(buscarx(A2446&amp;B2446,DATA!$E$3:$E$10000&amp;DATA!$B$3:$B$10000,DATA!$M$3:$M$10000),"No encontrado"))</f>
        <v/>
      </c>
      <c r="D2446" s="27" t="str">
        <f aca="false">IF(A2446="","",IFERROR(buscarx(A2446&amp;B2446,DATA!$E$3:$E$10000&amp;DATA!$B$3:$B$10000,DATA!$W$3:$W$10000),"No encontrado"))</f>
        <v/>
      </c>
      <c r="E2446" s="22"/>
      <c r="F2446" s="26" t="str">
        <f aca="false">IF(A2446="","",IFERROR(buscarx(A2446&amp;E2446,DATA!$E$3:$E$10000&amp;DATA!$B$3:$B$10000,DATA!$M$3:$M$10000),"Inactivo"))</f>
        <v/>
      </c>
      <c r="G2446" s="28" t="str">
        <f aca="false">IF(A2446="","",IF(AND(C2446&lt;&gt;"No encontrado",F2446&lt;&gt;"Inactivo"),C2446&amp;" → "&amp;F2446,"Sin transición"))</f>
        <v/>
      </c>
      <c r="H2446" s="26" t="str">
        <f aca="false">IF(A2446="","",IF(D2446="GCIA LINEA SERVICIO DIGITALIDAD Y VENTAS","Chats",IF(OR(D2446="GERENCIA INBOUND LÍNEAS SERVICIO Y VENTA",D2446="GERENCIA INBOUND LINEAS ESPECIALIZADAS"),"Llamadas","Otro")))</f>
        <v/>
      </c>
      <c r="I2446" s="26" t="str">
        <f aca="false">IF(A2446="","",IF(C2446="No encontrado","No","Sí"))</f>
        <v/>
      </c>
      <c r="J2446" s="26" t="str">
        <f aca="false">IF(A2446="","",IF(F2446="Inactivo","No","Sí"))</f>
        <v/>
      </c>
      <c r="K2446" s="26" t="str">
        <f aca="false">IF(A2446="","",IF(AND(I2446="Sí",J2446="Sí"),"Sí","No"))</f>
        <v/>
      </c>
    </row>
    <row r="2447" customFormat="false" ht="15" hidden="false" customHeight="false" outlineLevel="0" collapsed="false">
      <c r="A2447" s="22"/>
      <c r="B2447" s="22"/>
      <c r="C2447" s="23" t="str">
        <f aca="false">IF(A2447="","",IFERROR(buscarx(A2447&amp;B2447,DATA!$E$3:$E$10000&amp;DATA!$B$3:$B$10000,DATA!$M$3:$M$10000),"No encontrado"))</f>
        <v/>
      </c>
      <c r="D2447" s="24" t="str">
        <f aca="false">IF(A2447="","",IFERROR(buscarx(A2447&amp;B2447,DATA!$E$3:$E$10000&amp;DATA!$B$3:$B$10000,DATA!$W$3:$W$10000),"No encontrado"))</f>
        <v/>
      </c>
      <c r="E2447" s="22"/>
      <c r="F2447" s="23" t="str">
        <f aca="false">IF(A2447="","",IFERROR(buscarx(A2447&amp;E2447,DATA!$E$3:$E$10000&amp;DATA!$B$3:$B$10000,DATA!$M$3:$M$10000),"Inactivo"))</f>
        <v/>
      </c>
      <c r="G2447" s="25" t="str">
        <f aca="false">IF(A2447="","",IF(AND(C2447&lt;&gt;"No encontrado",F2447&lt;&gt;"Inactivo"),C2447&amp;" → "&amp;F2447,"Sin transición"))</f>
        <v/>
      </c>
      <c r="H2447" s="23" t="str">
        <f aca="false">IF(A2447="","",IF(D2447="GCIA LINEA SERVICIO DIGITALIDAD Y VENTAS","Chats",IF(OR(D2447="GERENCIA INBOUND LÍNEAS SERVICIO Y VENTA",D2447="GERENCIA INBOUND LINEAS ESPECIALIZADAS"),"Llamadas","Otro")))</f>
        <v/>
      </c>
      <c r="I2447" s="23" t="str">
        <f aca="false">IF(A2447="","",IF(C2447="No encontrado","No","Sí"))</f>
        <v/>
      </c>
      <c r="J2447" s="23" t="str">
        <f aca="false">IF(A2447="","",IF(F2447="Inactivo","No","Sí"))</f>
        <v/>
      </c>
      <c r="K2447" s="23" t="str">
        <f aca="false">IF(A2447="","",IF(AND(I2447="Sí",J2447="Sí"),"Sí","No"))</f>
        <v/>
      </c>
    </row>
    <row r="2448" customFormat="false" ht="15" hidden="false" customHeight="false" outlineLevel="0" collapsed="false">
      <c r="A2448" s="22"/>
      <c r="B2448" s="22"/>
      <c r="C2448" s="26" t="str">
        <f aca="false">IF(A2448="","",IFERROR(buscarx(A2448&amp;B2448,DATA!$E$3:$E$10000&amp;DATA!$B$3:$B$10000,DATA!$M$3:$M$10000),"No encontrado"))</f>
        <v/>
      </c>
      <c r="D2448" s="27" t="str">
        <f aca="false">IF(A2448="","",IFERROR(buscarx(A2448&amp;B2448,DATA!$E$3:$E$10000&amp;DATA!$B$3:$B$10000,DATA!$W$3:$W$10000),"No encontrado"))</f>
        <v/>
      </c>
      <c r="E2448" s="22"/>
      <c r="F2448" s="26" t="str">
        <f aca="false">IF(A2448="","",IFERROR(buscarx(A2448&amp;E2448,DATA!$E$3:$E$10000&amp;DATA!$B$3:$B$10000,DATA!$M$3:$M$10000),"Inactivo"))</f>
        <v/>
      </c>
      <c r="G2448" s="28" t="str">
        <f aca="false">IF(A2448="","",IF(AND(C2448&lt;&gt;"No encontrado",F2448&lt;&gt;"Inactivo"),C2448&amp;" → "&amp;F2448,"Sin transición"))</f>
        <v/>
      </c>
      <c r="H2448" s="26" t="str">
        <f aca="false">IF(A2448="","",IF(D2448="GCIA LINEA SERVICIO DIGITALIDAD Y VENTAS","Chats",IF(OR(D2448="GERENCIA INBOUND LÍNEAS SERVICIO Y VENTA",D2448="GERENCIA INBOUND LINEAS ESPECIALIZADAS"),"Llamadas","Otro")))</f>
        <v/>
      </c>
      <c r="I2448" s="26" t="str">
        <f aca="false">IF(A2448="","",IF(C2448="No encontrado","No","Sí"))</f>
        <v/>
      </c>
      <c r="J2448" s="26" t="str">
        <f aca="false">IF(A2448="","",IF(F2448="Inactivo","No","Sí"))</f>
        <v/>
      </c>
      <c r="K2448" s="26" t="str">
        <f aca="false">IF(A2448="","",IF(AND(I2448="Sí",J2448="Sí"),"Sí","No"))</f>
        <v/>
      </c>
    </row>
    <row r="2449" customFormat="false" ht="15" hidden="false" customHeight="false" outlineLevel="0" collapsed="false">
      <c r="A2449" s="22"/>
      <c r="B2449" s="22"/>
      <c r="C2449" s="23" t="str">
        <f aca="false">IF(A2449="","",IFERROR(buscarx(A2449&amp;B2449,DATA!$E$3:$E$10000&amp;DATA!$B$3:$B$10000,DATA!$M$3:$M$10000),"No encontrado"))</f>
        <v/>
      </c>
      <c r="D2449" s="24" t="str">
        <f aca="false">IF(A2449="","",IFERROR(buscarx(A2449&amp;B2449,DATA!$E$3:$E$10000&amp;DATA!$B$3:$B$10000,DATA!$W$3:$W$10000),"No encontrado"))</f>
        <v/>
      </c>
      <c r="E2449" s="22"/>
      <c r="F2449" s="23" t="str">
        <f aca="false">IF(A2449="","",IFERROR(buscarx(A2449&amp;E2449,DATA!$E$3:$E$10000&amp;DATA!$B$3:$B$10000,DATA!$M$3:$M$10000),"Inactivo"))</f>
        <v/>
      </c>
      <c r="G2449" s="25" t="str">
        <f aca="false">IF(A2449="","",IF(AND(C2449&lt;&gt;"No encontrado",F2449&lt;&gt;"Inactivo"),C2449&amp;" → "&amp;F2449,"Sin transición"))</f>
        <v/>
      </c>
      <c r="H2449" s="23" t="str">
        <f aca="false">IF(A2449="","",IF(D2449="GCIA LINEA SERVICIO DIGITALIDAD Y VENTAS","Chats",IF(OR(D2449="GERENCIA INBOUND LÍNEAS SERVICIO Y VENTA",D2449="GERENCIA INBOUND LINEAS ESPECIALIZADAS"),"Llamadas","Otro")))</f>
        <v/>
      </c>
      <c r="I2449" s="23" t="str">
        <f aca="false">IF(A2449="","",IF(C2449="No encontrado","No","Sí"))</f>
        <v/>
      </c>
      <c r="J2449" s="23" t="str">
        <f aca="false">IF(A2449="","",IF(F2449="Inactivo","No","Sí"))</f>
        <v/>
      </c>
      <c r="K2449" s="23" t="str">
        <f aca="false">IF(A2449="","",IF(AND(I2449="Sí",J2449="Sí"),"Sí","No"))</f>
        <v/>
      </c>
    </row>
    <row r="2450" customFormat="false" ht="15" hidden="false" customHeight="false" outlineLevel="0" collapsed="false">
      <c r="A2450" s="22"/>
      <c r="B2450" s="22"/>
      <c r="C2450" s="26" t="str">
        <f aca="false">IF(A2450="","",IFERROR(buscarx(A2450&amp;B2450,DATA!$E$3:$E$10000&amp;DATA!$B$3:$B$10000,DATA!$M$3:$M$10000),"No encontrado"))</f>
        <v/>
      </c>
      <c r="D2450" s="27" t="str">
        <f aca="false">IF(A2450="","",IFERROR(buscarx(A2450&amp;B2450,DATA!$E$3:$E$10000&amp;DATA!$B$3:$B$10000,DATA!$W$3:$W$10000),"No encontrado"))</f>
        <v/>
      </c>
      <c r="E2450" s="22"/>
      <c r="F2450" s="26" t="str">
        <f aca="false">IF(A2450="","",IFERROR(buscarx(A2450&amp;E2450,DATA!$E$3:$E$10000&amp;DATA!$B$3:$B$10000,DATA!$M$3:$M$10000),"Inactivo"))</f>
        <v/>
      </c>
      <c r="G2450" s="28" t="str">
        <f aca="false">IF(A2450="","",IF(AND(C2450&lt;&gt;"No encontrado",F2450&lt;&gt;"Inactivo"),C2450&amp;" → "&amp;F2450,"Sin transición"))</f>
        <v/>
      </c>
      <c r="H2450" s="26" t="str">
        <f aca="false">IF(A2450="","",IF(D2450="GCIA LINEA SERVICIO DIGITALIDAD Y VENTAS","Chats",IF(OR(D2450="GERENCIA INBOUND LÍNEAS SERVICIO Y VENTA",D2450="GERENCIA INBOUND LINEAS ESPECIALIZADAS"),"Llamadas","Otro")))</f>
        <v/>
      </c>
      <c r="I2450" s="26" t="str">
        <f aca="false">IF(A2450="","",IF(C2450="No encontrado","No","Sí"))</f>
        <v/>
      </c>
      <c r="J2450" s="26" t="str">
        <f aca="false">IF(A2450="","",IF(F2450="Inactivo","No","Sí"))</f>
        <v/>
      </c>
      <c r="K2450" s="26" t="str">
        <f aca="false">IF(A2450="","",IF(AND(I2450="Sí",J2450="Sí"),"Sí","No"))</f>
        <v/>
      </c>
    </row>
    <row r="2451" customFormat="false" ht="15" hidden="false" customHeight="false" outlineLevel="0" collapsed="false">
      <c r="A2451" s="22"/>
      <c r="B2451" s="22"/>
      <c r="C2451" s="23" t="str">
        <f aca="false">IF(A2451="","",IFERROR(buscarx(A2451&amp;B2451,DATA!$E$3:$E$10000&amp;DATA!$B$3:$B$10000,DATA!$M$3:$M$10000),"No encontrado"))</f>
        <v/>
      </c>
      <c r="D2451" s="24" t="str">
        <f aca="false">IF(A2451="","",IFERROR(buscarx(A2451&amp;B2451,DATA!$E$3:$E$10000&amp;DATA!$B$3:$B$10000,DATA!$W$3:$W$10000),"No encontrado"))</f>
        <v/>
      </c>
      <c r="E2451" s="22"/>
      <c r="F2451" s="23" t="str">
        <f aca="false">IF(A2451="","",IFERROR(buscarx(A2451&amp;E2451,DATA!$E$3:$E$10000&amp;DATA!$B$3:$B$10000,DATA!$M$3:$M$10000),"Inactivo"))</f>
        <v/>
      </c>
      <c r="G2451" s="25" t="str">
        <f aca="false">IF(A2451="","",IF(AND(C2451&lt;&gt;"No encontrado",F2451&lt;&gt;"Inactivo"),C2451&amp;" → "&amp;F2451,"Sin transición"))</f>
        <v/>
      </c>
      <c r="H2451" s="23" t="str">
        <f aca="false">IF(A2451="","",IF(D2451="GCIA LINEA SERVICIO DIGITALIDAD Y VENTAS","Chats",IF(OR(D2451="GERENCIA INBOUND LÍNEAS SERVICIO Y VENTA",D2451="GERENCIA INBOUND LINEAS ESPECIALIZADAS"),"Llamadas","Otro")))</f>
        <v/>
      </c>
      <c r="I2451" s="23" t="str">
        <f aca="false">IF(A2451="","",IF(C2451="No encontrado","No","Sí"))</f>
        <v/>
      </c>
      <c r="J2451" s="23" t="str">
        <f aca="false">IF(A2451="","",IF(F2451="Inactivo","No","Sí"))</f>
        <v/>
      </c>
      <c r="K2451" s="23" t="str">
        <f aca="false">IF(A2451="","",IF(AND(I2451="Sí",J2451="Sí"),"Sí","No"))</f>
        <v/>
      </c>
    </row>
    <row r="2452" customFormat="false" ht="15" hidden="false" customHeight="false" outlineLevel="0" collapsed="false">
      <c r="A2452" s="22"/>
      <c r="B2452" s="22"/>
      <c r="C2452" s="26" t="str">
        <f aca="false">IF(A2452="","",IFERROR(buscarx(A2452&amp;B2452,DATA!$E$3:$E$10000&amp;DATA!$B$3:$B$10000,DATA!$M$3:$M$10000),"No encontrado"))</f>
        <v/>
      </c>
      <c r="D2452" s="27" t="str">
        <f aca="false">IF(A2452="","",IFERROR(buscarx(A2452&amp;B2452,DATA!$E$3:$E$10000&amp;DATA!$B$3:$B$10000,DATA!$W$3:$W$10000),"No encontrado"))</f>
        <v/>
      </c>
      <c r="E2452" s="22"/>
      <c r="F2452" s="26" t="str">
        <f aca="false">IF(A2452="","",IFERROR(buscarx(A2452&amp;E2452,DATA!$E$3:$E$10000&amp;DATA!$B$3:$B$10000,DATA!$M$3:$M$10000),"Inactivo"))</f>
        <v/>
      </c>
      <c r="G2452" s="28" t="str">
        <f aca="false">IF(A2452="","",IF(AND(C2452&lt;&gt;"No encontrado",F2452&lt;&gt;"Inactivo"),C2452&amp;" → "&amp;F2452,"Sin transición"))</f>
        <v/>
      </c>
      <c r="H2452" s="26" t="str">
        <f aca="false">IF(A2452="","",IF(D2452="GCIA LINEA SERVICIO DIGITALIDAD Y VENTAS","Chats",IF(OR(D2452="GERENCIA INBOUND LÍNEAS SERVICIO Y VENTA",D2452="GERENCIA INBOUND LINEAS ESPECIALIZADAS"),"Llamadas","Otro")))</f>
        <v/>
      </c>
      <c r="I2452" s="26" t="str">
        <f aca="false">IF(A2452="","",IF(C2452="No encontrado","No","Sí"))</f>
        <v/>
      </c>
      <c r="J2452" s="26" t="str">
        <f aca="false">IF(A2452="","",IF(F2452="Inactivo","No","Sí"))</f>
        <v/>
      </c>
      <c r="K2452" s="26" t="str">
        <f aca="false">IF(A2452="","",IF(AND(I2452="Sí",J2452="Sí"),"Sí","No"))</f>
        <v/>
      </c>
    </row>
    <row r="2453" customFormat="false" ht="15" hidden="false" customHeight="false" outlineLevel="0" collapsed="false">
      <c r="A2453" s="22"/>
      <c r="B2453" s="22"/>
      <c r="C2453" s="23" t="str">
        <f aca="false">IF(A2453="","",IFERROR(buscarx(A2453&amp;B2453,DATA!$E$3:$E$10000&amp;DATA!$B$3:$B$10000,DATA!$M$3:$M$10000),"No encontrado"))</f>
        <v/>
      </c>
      <c r="D2453" s="24" t="str">
        <f aca="false">IF(A2453="","",IFERROR(buscarx(A2453&amp;B2453,DATA!$E$3:$E$10000&amp;DATA!$B$3:$B$10000,DATA!$W$3:$W$10000),"No encontrado"))</f>
        <v/>
      </c>
      <c r="E2453" s="22"/>
      <c r="F2453" s="23" t="str">
        <f aca="false">IF(A2453="","",IFERROR(buscarx(A2453&amp;E2453,DATA!$E$3:$E$10000&amp;DATA!$B$3:$B$10000,DATA!$M$3:$M$10000),"Inactivo"))</f>
        <v/>
      </c>
      <c r="G2453" s="25" t="str">
        <f aca="false">IF(A2453="","",IF(AND(C2453&lt;&gt;"No encontrado",F2453&lt;&gt;"Inactivo"),C2453&amp;" → "&amp;F2453,"Sin transición"))</f>
        <v/>
      </c>
      <c r="H2453" s="23" t="str">
        <f aca="false">IF(A2453="","",IF(D2453="GCIA LINEA SERVICIO DIGITALIDAD Y VENTAS","Chats",IF(OR(D2453="GERENCIA INBOUND LÍNEAS SERVICIO Y VENTA",D2453="GERENCIA INBOUND LINEAS ESPECIALIZADAS"),"Llamadas","Otro")))</f>
        <v/>
      </c>
      <c r="I2453" s="23" t="str">
        <f aca="false">IF(A2453="","",IF(C2453="No encontrado","No","Sí"))</f>
        <v/>
      </c>
      <c r="J2453" s="23" t="str">
        <f aca="false">IF(A2453="","",IF(F2453="Inactivo","No","Sí"))</f>
        <v/>
      </c>
      <c r="K2453" s="23" t="str">
        <f aca="false">IF(A2453="","",IF(AND(I2453="Sí",J2453="Sí"),"Sí","No"))</f>
        <v/>
      </c>
    </row>
    <row r="2454" customFormat="false" ht="15" hidden="false" customHeight="false" outlineLevel="0" collapsed="false">
      <c r="A2454" s="22"/>
      <c r="B2454" s="22"/>
      <c r="C2454" s="26" t="str">
        <f aca="false">IF(A2454="","",IFERROR(buscarx(A2454&amp;B2454,DATA!$E$3:$E$10000&amp;DATA!$B$3:$B$10000,DATA!$M$3:$M$10000),"No encontrado"))</f>
        <v/>
      </c>
      <c r="D2454" s="27" t="str">
        <f aca="false">IF(A2454="","",IFERROR(buscarx(A2454&amp;B2454,DATA!$E$3:$E$10000&amp;DATA!$B$3:$B$10000,DATA!$W$3:$W$10000),"No encontrado"))</f>
        <v/>
      </c>
      <c r="E2454" s="22"/>
      <c r="F2454" s="26" t="str">
        <f aca="false">IF(A2454="","",IFERROR(buscarx(A2454&amp;E2454,DATA!$E$3:$E$10000&amp;DATA!$B$3:$B$10000,DATA!$M$3:$M$10000),"Inactivo"))</f>
        <v/>
      </c>
      <c r="G2454" s="28" t="str">
        <f aca="false">IF(A2454="","",IF(AND(C2454&lt;&gt;"No encontrado",F2454&lt;&gt;"Inactivo"),C2454&amp;" → "&amp;F2454,"Sin transición"))</f>
        <v/>
      </c>
      <c r="H2454" s="26" t="str">
        <f aca="false">IF(A2454="","",IF(D2454="GCIA LINEA SERVICIO DIGITALIDAD Y VENTAS","Chats",IF(OR(D2454="GERENCIA INBOUND LÍNEAS SERVICIO Y VENTA",D2454="GERENCIA INBOUND LINEAS ESPECIALIZADAS"),"Llamadas","Otro")))</f>
        <v/>
      </c>
      <c r="I2454" s="26" t="str">
        <f aca="false">IF(A2454="","",IF(C2454="No encontrado","No","Sí"))</f>
        <v/>
      </c>
      <c r="J2454" s="26" t="str">
        <f aca="false">IF(A2454="","",IF(F2454="Inactivo","No","Sí"))</f>
        <v/>
      </c>
      <c r="K2454" s="26" t="str">
        <f aca="false">IF(A2454="","",IF(AND(I2454="Sí",J2454="Sí"),"Sí","No"))</f>
        <v/>
      </c>
    </row>
    <row r="2455" customFormat="false" ht="15" hidden="false" customHeight="false" outlineLevel="0" collapsed="false">
      <c r="A2455" s="22"/>
      <c r="B2455" s="22"/>
      <c r="C2455" s="23" t="str">
        <f aca="false">IF(A2455="","",IFERROR(buscarx(A2455&amp;B2455,DATA!$E$3:$E$10000&amp;DATA!$B$3:$B$10000,DATA!$M$3:$M$10000),"No encontrado"))</f>
        <v/>
      </c>
      <c r="D2455" s="24" t="str">
        <f aca="false">IF(A2455="","",IFERROR(buscarx(A2455&amp;B2455,DATA!$E$3:$E$10000&amp;DATA!$B$3:$B$10000,DATA!$W$3:$W$10000),"No encontrado"))</f>
        <v/>
      </c>
      <c r="E2455" s="22"/>
      <c r="F2455" s="23" t="str">
        <f aca="false">IF(A2455="","",IFERROR(buscarx(A2455&amp;E2455,DATA!$E$3:$E$10000&amp;DATA!$B$3:$B$10000,DATA!$M$3:$M$10000),"Inactivo"))</f>
        <v/>
      </c>
      <c r="G2455" s="25" t="str">
        <f aca="false">IF(A2455="","",IF(AND(C2455&lt;&gt;"No encontrado",F2455&lt;&gt;"Inactivo"),C2455&amp;" → "&amp;F2455,"Sin transición"))</f>
        <v/>
      </c>
      <c r="H2455" s="23" t="str">
        <f aca="false">IF(A2455="","",IF(D2455="GCIA LINEA SERVICIO DIGITALIDAD Y VENTAS","Chats",IF(OR(D2455="GERENCIA INBOUND LÍNEAS SERVICIO Y VENTA",D2455="GERENCIA INBOUND LINEAS ESPECIALIZADAS"),"Llamadas","Otro")))</f>
        <v/>
      </c>
      <c r="I2455" s="23" t="str">
        <f aca="false">IF(A2455="","",IF(C2455="No encontrado","No","Sí"))</f>
        <v/>
      </c>
      <c r="J2455" s="23" t="str">
        <f aca="false">IF(A2455="","",IF(F2455="Inactivo","No","Sí"))</f>
        <v/>
      </c>
      <c r="K2455" s="23" t="str">
        <f aca="false">IF(A2455="","",IF(AND(I2455="Sí",J2455="Sí"),"Sí","No"))</f>
        <v/>
      </c>
    </row>
    <row r="2456" customFormat="false" ht="15" hidden="false" customHeight="false" outlineLevel="0" collapsed="false">
      <c r="A2456" s="22"/>
      <c r="B2456" s="22"/>
      <c r="C2456" s="26" t="str">
        <f aca="false">IF(A2456="","",IFERROR(buscarx(A2456&amp;B2456,DATA!$E$3:$E$10000&amp;DATA!$B$3:$B$10000,DATA!$M$3:$M$10000),"No encontrado"))</f>
        <v/>
      </c>
      <c r="D2456" s="27" t="str">
        <f aca="false">IF(A2456="","",IFERROR(buscarx(A2456&amp;B2456,DATA!$E$3:$E$10000&amp;DATA!$B$3:$B$10000,DATA!$W$3:$W$10000),"No encontrado"))</f>
        <v/>
      </c>
      <c r="E2456" s="22"/>
      <c r="F2456" s="26" t="str">
        <f aca="false">IF(A2456="","",IFERROR(buscarx(A2456&amp;E2456,DATA!$E$3:$E$10000&amp;DATA!$B$3:$B$10000,DATA!$M$3:$M$10000),"Inactivo"))</f>
        <v/>
      </c>
      <c r="G2456" s="28" t="str">
        <f aca="false">IF(A2456="","",IF(AND(C2456&lt;&gt;"No encontrado",F2456&lt;&gt;"Inactivo"),C2456&amp;" → "&amp;F2456,"Sin transición"))</f>
        <v/>
      </c>
      <c r="H2456" s="26" t="str">
        <f aca="false">IF(A2456="","",IF(D2456="GCIA LINEA SERVICIO DIGITALIDAD Y VENTAS","Chats",IF(OR(D2456="GERENCIA INBOUND LÍNEAS SERVICIO Y VENTA",D2456="GERENCIA INBOUND LINEAS ESPECIALIZADAS"),"Llamadas","Otro")))</f>
        <v/>
      </c>
      <c r="I2456" s="26" t="str">
        <f aca="false">IF(A2456="","",IF(C2456="No encontrado","No","Sí"))</f>
        <v/>
      </c>
      <c r="J2456" s="26" t="str">
        <f aca="false">IF(A2456="","",IF(F2456="Inactivo","No","Sí"))</f>
        <v/>
      </c>
      <c r="K2456" s="26" t="str">
        <f aca="false">IF(A2456="","",IF(AND(I2456="Sí",J2456="Sí"),"Sí","No"))</f>
        <v/>
      </c>
    </row>
    <row r="2457" customFormat="false" ht="15" hidden="false" customHeight="false" outlineLevel="0" collapsed="false">
      <c r="A2457" s="22"/>
      <c r="B2457" s="22"/>
      <c r="C2457" s="23" t="str">
        <f aca="false">IF(A2457="","",IFERROR(buscarx(A2457&amp;B2457,DATA!$E$3:$E$10000&amp;DATA!$B$3:$B$10000,DATA!$M$3:$M$10000),"No encontrado"))</f>
        <v/>
      </c>
      <c r="D2457" s="24" t="str">
        <f aca="false">IF(A2457="","",IFERROR(buscarx(A2457&amp;B2457,DATA!$E$3:$E$10000&amp;DATA!$B$3:$B$10000,DATA!$W$3:$W$10000),"No encontrado"))</f>
        <v/>
      </c>
      <c r="E2457" s="22"/>
      <c r="F2457" s="23" t="str">
        <f aca="false">IF(A2457="","",IFERROR(buscarx(A2457&amp;E2457,DATA!$E$3:$E$10000&amp;DATA!$B$3:$B$10000,DATA!$M$3:$M$10000),"Inactivo"))</f>
        <v/>
      </c>
      <c r="G2457" s="25" t="str">
        <f aca="false">IF(A2457="","",IF(AND(C2457&lt;&gt;"No encontrado",F2457&lt;&gt;"Inactivo"),C2457&amp;" → "&amp;F2457,"Sin transición"))</f>
        <v/>
      </c>
      <c r="H2457" s="23" t="str">
        <f aca="false">IF(A2457="","",IF(D2457="GCIA LINEA SERVICIO DIGITALIDAD Y VENTAS","Chats",IF(OR(D2457="GERENCIA INBOUND LÍNEAS SERVICIO Y VENTA",D2457="GERENCIA INBOUND LINEAS ESPECIALIZADAS"),"Llamadas","Otro")))</f>
        <v/>
      </c>
      <c r="I2457" s="23" t="str">
        <f aca="false">IF(A2457="","",IF(C2457="No encontrado","No","Sí"))</f>
        <v/>
      </c>
      <c r="J2457" s="23" t="str">
        <f aca="false">IF(A2457="","",IF(F2457="Inactivo","No","Sí"))</f>
        <v/>
      </c>
      <c r="K2457" s="23" t="str">
        <f aca="false">IF(A2457="","",IF(AND(I2457="Sí",J2457="Sí"),"Sí","No"))</f>
        <v/>
      </c>
    </row>
    <row r="2458" customFormat="false" ht="15" hidden="false" customHeight="false" outlineLevel="0" collapsed="false">
      <c r="A2458" s="22"/>
      <c r="B2458" s="22"/>
      <c r="C2458" s="26" t="str">
        <f aca="false">IF(A2458="","",IFERROR(buscarx(A2458&amp;B2458,DATA!$E$3:$E$10000&amp;DATA!$B$3:$B$10000,DATA!$M$3:$M$10000),"No encontrado"))</f>
        <v/>
      </c>
      <c r="D2458" s="27" t="str">
        <f aca="false">IF(A2458="","",IFERROR(buscarx(A2458&amp;B2458,DATA!$E$3:$E$10000&amp;DATA!$B$3:$B$10000,DATA!$W$3:$W$10000),"No encontrado"))</f>
        <v/>
      </c>
      <c r="E2458" s="22"/>
      <c r="F2458" s="26" t="str">
        <f aca="false">IF(A2458="","",IFERROR(buscarx(A2458&amp;E2458,DATA!$E$3:$E$10000&amp;DATA!$B$3:$B$10000,DATA!$M$3:$M$10000),"Inactivo"))</f>
        <v/>
      </c>
      <c r="G2458" s="28" t="str">
        <f aca="false">IF(A2458="","",IF(AND(C2458&lt;&gt;"No encontrado",F2458&lt;&gt;"Inactivo"),C2458&amp;" → "&amp;F2458,"Sin transición"))</f>
        <v/>
      </c>
      <c r="H2458" s="26" t="str">
        <f aca="false">IF(A2458="","",IF(D2458="GCIA LINEA SERVICIO DIGITALIDAD Y VENTAS","Chats",IF(OR(D2458="GERENCIA INBOUND LÍNEAS SERVICIO Y VENTA",D2458="GERENCIA INBOUND LINEAS ESPECIALIZADAS"),"Llamadas","Otro")))</f>
        <v/>
      </c>
      <c r="I2458" s="26" t="str">
        <f aca="false">IF(A2458="","",IF(C2458="No encontrado","No","Sí"))</f>
        <v/>
      </c>
      <c r="J2458" s="26" t="str">
        <f aca="false">IF(A2458="","",IF(F2458="Inactivo","No","Sí"))</f>
        <v/>
      </c>
      <c r="K2458" s="26" t="str">
        <f aca="false">IF(A2458="","",IF(AND(I2458="Sí",J2458="Sí"),"Sí","No"))</f>
        <v/>
      </c>
    </row>
    <row r="2459" customFormat="false" ht="15" hidden="false" customHeight="false" outlineLevel="0" collapsed="false">
      <c r="A2459" s="22"/>
      <c r="B2459" s="22"/>
      <c r="C2459" s="23" t="str">
        <f aca="false">IF(A2459="","",IFERROR(buscarx(A2459&amp;B2459,DATA!$E$3:$E$10000&amp;DATA!$B$3:$B$10000,DATA!$M$3:$M$10000),"No encontrado"))</f>
        <v/>
      </c>
      <c r="D2459" s="24" t="str">
        <f aca="false">IF(A2459="","",IFERROR(buscarx(A2459&amp;B2459,DATA!$E$3:$E$10000&amp;DATA!$B$3:$B$10000,DATA!$W$3:$W$10000),"No encontrado"))</f>
        <v/>
      </c>
      <c r="E2459" s="22"/>
      <c r="F2459" s="23" t="str">
        <f aca="false">IF(A2459="","",IFERROR(buscarx(A2459&amp;E2459,DATA!$E$3:$E$10000&amp;DATA!$B$3:$B$10000,DATA!$M$3:$M$10000),"Inactivo"))</f>
        <v/>
      </c>
      <c r="G2459" s="25" t="str">
        <f aca="false">IF(A2459="","",IF(AND(C2459&lt;&gt;"No encontrado",F2459&lt;&gt;"Inactivo"),C2459&amp;" → "&amp;F2459,"Sin transición"))</f>
        <v/>
      </c>
      <c r="H2459" s="23" t="str">
        <f aca="false">IF(A2459="","",IF(D2459="GCIA LINEA SERVICIO DIGITALIDAD Y VENTAS","Chats",IF(OR(D2459="GERENCIA INBOUND LÍNEAS SERVICIO Y VENTA",D2459="GERENCIA INBOUND LINEAS ESPECIALIZADAS"),"Llamadas","Otro")))</f>
        <v/>
      </c>
      <c r="I2459" s="23" t="str">
        <f aca="false">IF(A2459="","",IF(C2459="No encontrado","No","Sí"))</f>
        <v/>
      </c>
      <c r="J2459" s="23" t="str">
        <f aca="false">IF(A2459="","",IF(F2459="Inactivo","No","Sí"))</f>
        <v/>
      </c>
      <c r="K2459" s="23" t="str">
        <f aca="false">IF(A2459="","",IF(AND(I2459="Sí",J2459="Sí"),"Sí","No"))</f>
        <v/>
      </c>
    </row>
    <row r="2460" customFormat="false" ht="15" hidden="false" customHeight="false" outlineLevel="0" collapsed="false">
      <c r="A2460" s="22"/>
      <c r="B2460" s="22"/>
      <c r="C2460" s="26" t="str">
        <f aca="false">IF(A2460="","",IFERROR(buscarx(A2460&amp;B2460,DATA!$E$3:$E$10000&amp;DATA!$B$3:$B$10000,DATA!$M$3:$M$10000),"No encontrado"))</f>
        <v/>
      </c>
      <c r="D2460" s="27" t="str">
        <f aca="false">IF(A2460="","",IFERROR(buscarx(A2460&amp;B2460,DATA!$E$3:$E$10000&amp;DATA!$B$3:$B$10000,DATA!$W$3:$W$10000),"No encontrado"))</f>
        <v/>
      </c>
      <c r="E2460" s="22"/>
      <c r="F2460" s="26" t="str">
        <f aca="false">IF(A2460="","",IFERROR(buscarx(A2460&amp;E2460,DATA!$E$3:$E$10000&amp;DATA!$B$3:$B$10000,DATA!$M$3:$M$10000),"Inactivo"))</f>
        <v/>
      </c>
      <c r="G2460" s="28" t="str">
        <f aca="false">IF(A2460="","",IF(AND(C2460&lt;&gt;"No encontrado",F2460&lt;&gt;"Inactivo"),C2460&amp;" → "&amp;F2460,"Sin transición"))</f>
        <v/>
      </c>
      <c r="H2460" s="26" t="str">
        <f aca="false">IF(A2460="","",IF(D2460="GCIA LINEA SERVICIO DIGITALIDAD Y VENTAS","Chats",IF(OR(D2460="GERENCIA INBOUND LÍNEAS SERVICIO Y VENTA",D2460="GERENCIA INBOUND LINEAS ESPECIALIZADAS"),"Llamadas","Otro")))</f>
        <v/>
      </c>
      <c r="I2460" s="26" t="str">
        <f aca="false">IF(A2460="","",IF(C2460="No encontrado","No","Sí"))</f>
        <v/>
      </c>
      <c r="J2460" s="26" t="str">
        <f aca="false">IF(A2460="","",IF(F2460="Inactivo","No","Sí"))</f>
        <v/>
      </c>
      <c r="K2460" s="26" t="str">
        <f aca="false">IF(A2460="","",IF(AND(I2460="Sí",J2460="Sí"),"Sí","No"))</f>
        <v/>
      </c>
    </row>
    <row r="2461" customFormat="false" ht="15" hidden="false" customHeight="false" outlineLevel="0" collapsed="false">
      <c r="A2461" s="22"/>
      <c r="B2461" s="22"/>
      <c r="C2461" s="23" t="str">
        <f aca="false">IF(A2461="","",IFERROR(buscarx(A2461&amp;B2461,DATA!$E$3:$E$10000&amp;DATA!$B$3:$B$10000,DATA!$M$3:$M$10000),"No encontrado"))</f>
        <v/>
      </c>
      <c r="D2461" s="24" t="str">
        <f aca="false">IF(A2461="","",IFERROR(buscarx(A2461&amp;B2461,DATA!$E$3:$E$10000&amp;DATA!$B$3:$B$10000,DATA!$W$3:$W$10000),"No encontrado"))</f>
        <v/>
      </c>
      <c r="E2461" s="22"/>
      <c r="F2461" s="23" t="str">
        <f aca="false">IF(A2461="","",IFERROR(buscarx(A2461&amp;E2461,DATA!$E$3:$E$10000&amp;DATA!$B$3:$B$10000,DATA!$M$3:$M$10000),"Inactivo"))</f>
        <v/>
      </c>
      <c r="G2461" s="25" t="str">
        <f aca="false">IF(A2461="","",IF(AND(C2461&lt;&gt;"No encontrado",F2461&lt;&gt;"Inactivo"),C2461&amp;" → "&amp;F2461,"Sin transición"))</f>
        <v/>
      </c>
      <c r="H2461" s="23" t="str">
        <f aca="false">IF(A2461="","",IF(D2461="GCIA LINEA SERVICIO DIGITALIDAD Y VENTAS","Chats",IF(OR(D2461="GERENCIA INBOUND LÍNEAS SERVICIO Y VENTA",D2461="GERENCIA INBOUND LINEAS ESPECIALIZADAS"),"Llamadas","Otro")))</f>
        <v/>
      </c>
      <c r="I2461" s="23" t="str">
        <f aca="false">IF(A2461="","",IF(C2461="No encontrado","No","Sí"))</f>
        <v/>
      </c>
      <c r="J2461" s="23" t="str">
        <f aca="false">IF(A2461="","",IF(F2461="Inactivo","No","Sí"))</f>
        <v/>
      </c>
      <c r="K2461" s="23" t="str">
        <f aca="false">IF(A2461="","",IF(AND(I2461="Sí",J2461="Sí"),"Sí","No"))</f>
        <v/>
      </c>
    </row>
    <row r="2462" customFormat="false" ht="15" hidden="false" customHeight="false" outlineLevel="0" collapsed="false">
      <c r="A2462" s="22"/>
      <c r="B2462" s="22"/>
      <c r="C2462" s="26" t="str">
        <f aca="false">IF(A2462="","",IFERROR(buscarx(A2462&amp;B2462,DATA!$E$3:$E$10000&amp;DATA!$B$3:$B$10000,DATA!$M$3:$M$10000),"No encontrado"))</f>
        <v/>
      </c>
      <c r="D2462" s="27" t="str">
        <f aca="false">IF(A2462="","",IFERROR(buscarx(A2462&amp;B2462,DATA!$E$3:$E$10000&amp;DATA!$B$3:$B$10000,DATA!$W$3:$W$10000),"No encontrado"))</f>
        <v/>
      </c>
      <c r="E2462" s="22"/>
      <c r="F2462" s="26" t="str">
        <f aca="false">IF(A2462="","",IFERROR(buscarx(A2462&amp;E2462,DATA!$E$3:$E$10000&amp;DATA!$B$3:$B$10000,DATA!$M$3:$M$10000),"Inactivo"))</f>
        <v/>
      </c>
      <c r="G2462" s="28" t="str">
        <f aca="false">IF(A2462="","",IF(AND(C2462&lt;&gt;"No encontrado",F2462&lt;&gt;"Inactivo"),C2462&amp;" → "&amp;F2462,"Sin transición"))</f>
        <v/>
      </c>
      <c r="H2462" s="26" t="str">
        <f aca="false">IF(A2462="","",IF(D2462="GCIA LINEA SERVICIO DIGITALIDAD Y VENTAS","Chats",IF(OR(D2462="GERENCIA INBOUND LÍNEAS SERVICIO Y VENTA",D2462="GERENCIA INBOUND LINEAS ESPECIALIZADAS"),"Llamadas","Otro")))</f>
        <v/>
      </c>
      <c r="I2462" s="26" t="str">
        <f aca="false">IF(A2462="","",IF(C2462="No encontrado","No","Sí"))</f>
        <v/>
      </c>
      <c r="J2462" s="26" t="str">
        <f aca="false">IF(A2462="","",IF(F2462="Inactivo","No","Sí"))</f>
        <v/>
      </c>
      <c r="K2462" s="26" t="str">
        <f aca="false">IF(A2462="","",IF(AND(I2462="Sí",J2462="Sí"),"Sí","No"))</f>
        <v/>
      </c>
    </row>
    <row r="2463" customFormat="false" ht="15" hidden="false" customHeight="false" outlineLevel="0" collapsed="false">
      <c r="A2463" s="22"/>
      <c r="B2463" s="22"/>
      <c r="C2463" s="23" t="str">
        <f aca="false">IF(A2463="","",IFERROR(buscarx(A2463&amp;B2463,DATA!$E$3:$E$10000&amp;DATA!$B$3:$B$10000,DATA!$M$3:$M$10000),"No encontrado"))</f>
        <v/>
      </c>
      <c r="D2463" s="24" t="str">
        <f aca="false">IF(A2463="","",IFERROR(buscarx(A2463&amp;B2463,DATA!$E$3:$E$10000&amp;DATA!$B$3:$B$10000,DATA!$W$3:$W$10000),"No encontrado"))</f>
        <v/>
      </c>
      <c r="E2463" s="22"/>
      <c r="F2463" s="23" t="str">
        <f aca="false">IF(A2463="","",IFERROR(buscarx(A2463&amp;E2463,DATA!$E$3:$E$10000&amp;DATA!$B$3:$B$10000,DATA!$M$3:$M$10000),"Inactivo"))</f>
        <v/>
      </c>
      <c r="G2463" s="25" t="str">
        <f aca="false">IF(A2463="","",IF(AND(C2463&lt;&gt;"No encontrado",F2463&lt;&gt;"Inactivo"),C2463&amp;" → "&amp;F2463,"Sin transición"))</f>
        <v/>
      </c>
      <c r="H2463" s="23" t="str">
        <f aca="false">IF(A2463="","",IF(D2463="GCIA LINEA SERVICIO DIGITALIDAD Y VENTAS","Chats",IF(OR(D2463="GERENCIA INBOUND LÍNEAS SERVICIO Y VENTA",D2463="GERENCIA INBOUND LINEAS ESPECIALIZADAS"),"Llamadas","Otro")))</f>
        <v/>
      </c>
      <c r="I2463" s="23" t="str">
        <f aca="false">IF(A2463="","",IF(C2463="No encontrado","No","Sí"))</f>
        <v/>
      </c>
      <c r="J2463" s="23" t="str">
        <f aca="false">IF(A2463="","",IF(F2463="Inactivo","No","Sí"))</f>
        <v/>
      </c>
      <c r="K2463" s="23" t="str">
        <f aca="false">IF(A2463="","",IF(AND(I2463="Sí",J2463="Sí"),"Sí","No"))</f>
        <v/>
      </c>
    </row>
    <row r="2464" customFormat="false" ht="15" hidden="false" customHeight="false" outlineLevel="0" collapsed="false">
      <c r="A2464" s="22"/>
      <c r="B2464" s="22"/>
      <c r="C2464" s="26" t="str">
        <f aca="false">IF(A2464="","",IFERROR(buscarx(A2464&amp;B2464,DATA!$E$3:$E$10000&amp;DATA!$B$3:$B$10000,DATA!$M$3:$M$10000),"No encontrado"))</f>
        <v/>
      </c>
      <c r="D2464" s="27" t="str">
        <f aca="false">IF(A2464="","",IFERROR(buscarx(A2464&amp;B2464,DATA!$E$3:$E$10000&amp;DATA!$B$3:$B$10000,DATA!$W$3:$W$10000),"No encontrado"))</f>
        <v/>
      </c>
      <c r="E2464" s="22"/>
      <c r="F2464" s="26" t="str">
        <f aca="false">IF(A2464="","",IFERROR(buscarx(A2464&amp;E2464,DATA!$E$3:$E$10000&amp;DATA!$B$3:$B$10000,DATA!$M$3:$M$10000),"Inactivo"))</f>
        <v/>
      </c>
      <c r="G2464" s="28" t="str">
        <f aca="false">IF(A2464="","",IF(AND(C2464&lt;&gt;"No encontrado",F2464&lt;&gt;"Inactivo"),C2464&amp;" → "&amp;F2464,"Sin transición"))</f>
        <v/>
      </c>
      <c r="H2464" s="26" t="str">
        <f aca="false">IF(A2464="","",IF(D2464="GCIA LINEA SERVICIO DIGITALIDAD Y VENTAS","Chats",IF(OR(D2464="GERENCIA INBOUND LÍNEAS SERVICIO Y VENTA",D2464="GERENCIA INBOUND LINEAS ESPECIALIZADAS"),"Llamadas","Otro")))</f>
        <v/>
      </c>
      <c r="I2464" s="26" t="str">
        <f aca="false">IF(A2464="","",IF(C2464="No encontrado","No","Sí"))</f>
        <v/>
      </c>
      <c r="J2464" s="26" t="str">
        <f aca="false">IF(A2464="","",IF(F2464="Inactivo","No","Sí"))</f>
        <v/>
      </c>
      <c r="K2464" s="26" t="str">
        <f aca="false">IF(A2464="","",IF(AND(I2464="Sí",J2464="Sí"),"Sí","No"))</f>
        <v/>
      </c>
    </row>
    <row r="2465" customFormat="false" ht="15" hidden="false" customHeight="false" outlineLevel="0" collapsed="false">
      <c r="A2465" s="22"/>
      <c r="B2465" s="22"/>
      <c r="C2465" s="23" t="str">
        <f aca="false">IF(A2465="","",IFERROR(buscarx(A2465&amp;B2465,DATA!$E$3:$E$10000&amp;DATA!$B$3:$B$10000,DATA!$M$3:$M$10000),"No encontrado"))</f>
        <v/>
      </c>
      <c r="D2465" s="24" t="str">
        <f aca="false">IF(A2465="","",IFERROR(buscarx(A2465&amp;B2465,DATA!$E$3:$E$10000&amp;DATA!$B$3:$B$10000,DATA!$W$3:$W$10000),"No encontrado"))</f>
        <v/>
      </c>
      <c r="E2465" s="22"/>
      <c r="F2465" s="23" t="str">
        <f aca="false">IF(A2465="","",IFERROR(buscarx(A2465&amp;E2465,DATA!$E$3:$E$10000&amp;DATA!$B$3:$B$10000,DATA!$M$3:$M$10000),"Inactivo"))</f>
        <v/>
      </c>
      <c r="G2465" s="25" t="str">
        <f aca="false">IF(A2465="","",IF(AND(C2465&lt;&gt;"No encontrado",F2465&lt;&gt;"Inactivo"),C2465&amp;" → "&amp;F2465,"Sin transición"))</f>
        <v/>
      </c>
      <c r="H2465" s="23" t="str">
        <f aca="false">IF(A2465="","",IF(D2465="GCIA LINEA SERVICIO DIGITALIDAD Y VENTAS","Chats",IF(OR(D2465="GERENCIA INBOUND LÍNEAS SERVICIO Y VENTA",D2465="GERENCIA INBOUND LINEAS ESPECIALIZADAS"),"Llamadas","Otro")))</f>
        <v/>
      </c>
      <c r="I2465" s="23" t="str">
        <f aca="false">IF(A2465="","",IF(C2465="No encontrado","No","Sí"))</f>
        <v/>
      </c>
      <c r="J2465" s="23" t="str">
        <f aca="false">IF(A2465="","",IF(F2465="Inactivo","No","Sí"))</f>
        <v/>
      </c>
      <c r="K2465" s="23" t="str">
        <f aca="false">IF(A2465="","",IF(AND(I2465="Sí",J2465="Sí"),"Sí","No"))</f>
        <v/>
      </c>
    </row>
    <row r="2466" customFormat="false" ht="15" hidden="false" customHeight="false" outlineLevel="0" collapsed="false">
      <c r="A2466" s="22"/>
      <c r="B2466" s="22"/>
      <c r="C2466" s="26" t="str">
        <f aca="false">IF(A2466="","",IFERROR(buscarx(A2466&amp;B2466,DATA!$E$3:$E$10000&amp;DATA!$B$3:$B$10000,DATA!$M$3:$M$10000),"No encontrado"))</f>
        <v/>
      </c>
      <c r="D2466" s="27" t="str">
        <f aca="false">IF(A2466="","",IFERROR(buscarx(A2466&amp;B2466,DATA!$E$3:$E$10000&amp;DATA!$B$3:$B$10000,DATA!$W$3:$W$10000),"No encontrado"))</f>
        <v/>
      </c>
      <c r="E2466" s="22"/>
      <c r="F2466" s="26" t="str">
        <f aca="false">IF(A2466="","",IFERROR(buscarx(A2466&amp;E2466,DATA!$E$3:$E$10000&amp;DATA!$B$3:$B$10000,DATA!$M$3:$M$10000),"Inactivo"))</f>
        <v/>
      </c>
      <c r="G2466" s="28" t="str">
        <f aca="false">IF(A2466="","",IF(AND(C2466&lt;&gt;"No encontrado",F2466&lt;&gt;"Inactivo"),C2466&amp;" → "&amp;F2466,"Sin transición"))</f>
        <v/>
      </c>
      <c r="H2466" s="26" t="str">
        <f aca="false">IF(A2466="","",IF(D2466="GCIA LINEA SERVICIO DIGITALIDAD Y VENTAS","Chats",IF(OR(D2466="GERENCIA INBOUND LÍNEAS SERVICIO Y VENTA",D2466="GERENCIA INBOUND LINEAS ESPECIALIZADAS"),"Llamadas","Otro")))</f>
        <v/>
      </c>
      <c r="I2466" s="26" t="str">
        <f aca="false">IF(A2466="","",IF(C2466="No encontrado","No","Sí"))</f>
        <v/>
      </c>
      <c r="J2466" s="26" t="str">
        <f aca="false">IF(A2466="","",IF(F2466="Inactivo","No","Sí"))</f>
        <v/>
      </c>
      <c r="K2466" s="26" t="str">
        <f aca="false">IF(A2466="","",IF(AND(I2466="Sí",J2466="Sí"),"Sí","No"))</f>
        <v/>
      </c>
    </row>
    <row r="2467" customFormat="false" ht="15" hidden="false" customHeight="false" outlineLevel="0" collapsed="false">
      <c r="A2467" s="22"/>
      <c r="B2467" s="22"/>
      <c r="C2467" s="23" t="str">
        <f aca="false">IF(A2467="","",IFERROR(buscarx(A2467&amp;B2467,DATA!$E$3:$E$10000&amp;DATA!$B$3:$B$10000,DATA!$M$3:$M$10000),"No encontrado"))</f>
        <v/>
      </c>
      <c r="D2467" s="24" t="str">
        <f aca="false">IF(A2467="","",IFERROR(buscarx(A2467&amp;B2467,DATA!$E$3:$E$10000&amp;DATA!$B$3:$B$10000,DATA!$W$3:$W$10000),"No encontrado"))</f>
        <v/>
      </c>
      <c r="E2467" s="22"/>
      <c r="F2467" s="23" t="str">
        <f aca="false">IF(A2467="","",IFERROR(buscarx(A2467&amp;E2467,DATA!$E$3:$E$10000&amp;DATA!$B$3:$B$10000,DATA!$M$3:$M$10000),"Inactivo"))</f>
        <v/>
      </c>
      <c r="G2467" s="25" t="str">
        <f aca="false">IF(A2467="","",IF(AND(C2467&lt;&gt;"No encontrado",F2467&lt;&gt;"Inactivo"),C2467&amp;" → "&amp;F2467,"Sin transición"))</f>
        <v/>
      </c>
      <c r="H2467" s="23" t="str">
        <f aca="false">IF(A2467="","",IF(D2467="GCIA LINEA SERVICIO DIGITALIDAD Y VENTAS","Chats",IF(OR(D2467="GERENCIA INBOUND LÍNEAS SERVICIO Y VENTA",D2467="GERENCIA INBOUND LINEAS ESPECIALIZADAS"),"Llamadas","Otro")))</f>
        <v/>
      </c>
      <c r="I2467" s="23" t="str">
        <f aca="false">IF(A2467="","",IF(C2467="No encontrado","No","Sí"))</f>
        <v/>
      </c>
      <c r="J2467" s="23" t="str">
        <f aca="false">IF(A2467="","",IF(F2467="Inactivo","No","Sí"))</f>
        <v/>
      </c>
      <c r="K2467" s="23" t="str">
        <f aca="false">IF(A2467="","",IF(AND(I2467="Sí",J2467="Sí"),"Sí","No"))</f>
        <v/>
      </c>
    </row>
    <row r="2468" customFormat="false" ht="15" hidden="false" customHeight="false" outlineLevel="0" collapsed="false">
      <c r="A2468" s="22"/>
      <c r="B2468" s="22"/>
      <c r="C2468" s="26" t="str">
        <f aca="false">IF(A2468="","",IFERROR(buscarx(A2468&amp;B2468,DATA!$E$3:$E$10000&amp;DATA!$B$3:$B$10000,DATA!$M$3:$M$10000),"No encontrado"))</f>
        <v/>
      </c>
      <c r="D2468" s="27" t="str">
        <f aca="false">IF(A2468="","",IFERROR(buscarx(A2468&amp;B2468,DATA!$E$3:$E$10000&amp;DATA!$B$3:$B$10000,DATA!$W$3:$W$10000),"No encontrado"))</f>
        <v/>
      </c>
      <c r="E2468" s="22"/>
      <c r="F2468" s="26" t="str">
        <f aca="false">IF(A2468="","",IFERROR(buscarx(A2468&amp;E2468,DATA!$E$3:$E$10000&amp;DATA!$B$3:$B$10000,DATA!$M$3:$M$10000),"Inactivo"))</f>
        <v/>
      </c>
      <c r="G2468" s="28" t="str">
        <f aca="false">IF(A2468="","",IF(AND(C2468&lt;&gt;"No encontrado",F2468&lt;&gt;"Inactivo"),C2468&amp;" → "&amp;F2468,"Sin transición"))</f>
        <v/>
      </c>
      <c r="H2468" s="26" t="str">
        <f aca="false">IF(A2468="","",IF(D2468="GCIA LINEA SERVICIO DIGITALIDAD Y VENTAS","Chats",IF(OR(D2468="GERENCIA INBOUND LÍNEAS SERVICIO Y VENTA",D2468="GERENCIA INBOUND LINEAS ESPECIALIZADAS"),"Llamadas","Otro")))</f>
        <v/>
      </c>
      <c r="I2468" s="26" t="str">
        <f aca="false">IF(A2468="","",IF(C2468="No encontrado","No","Sí"))</f>
        <v/>
      </c>
      <c r="J2468" s="26" t="str">
        <f aca="false">IF(A2468="","",IF(F2468="Inactivo","No","Sí"))</f>
        <v/>
      </c>
      <c r="K2468" s="26" t="str">
        <f aca="false">IF(A2468="","",IF(AND(I2468="Sí",J2468="Sí"),"Sí","No"))</f>
        <v/>
      </c>
    </row>
    <row r="2469" customFormat="false" ht="15" hidden="false" customHeight="false" outlineLevel="0" collapsed="false">
      <c r="A2469" s="22"/>
      <c r="B2469" s="22"/>
      <c r="C2469" s="23" t="str">
        <f aca="false">IF(A2469="","",IFERROR(buscarx(A2469&amp;B2469,DATA!$E$3:$E$10000&amp;DATA!$B$3:$B$10000,DATA!$M$3:$M$10000),"No encontrado"))</f>
        <v/>
      </c>
      <c r="D2469" s="24" t="str">
        <f aca="false">IF(A2469="","",IFERROR(buscarx(A2469&amp;B2469,DATA!$E$3:$E$10000&amp;DATA!$B$3:$B$10000,DATA!$W$3:$W$10000),"No encontrado"))</f>
        <v/>
      </c>
      <c r="E2469" s="22"/>
      <c r="F2469" s="23" t="str">
        <f aca="false">IF(A2469="","",IFERROR(buscarx(A2469&amp;E2469,DATA!$E$3:$E$10000&amp;DATA!$B$3:$B$10000,DATA!$M$3:$M$10000),"Inactivo"))</f>
        <v/>
      </c>
      <c r="G2469" s="25" t="str">
        <f aca="false">IF(A2469="","",IF(AND(C2469&lt;&gt;"No encontrado",F2469&lt;&gt;"Inactivo"),C2469&amp;" → "&amp;F2469,"Sin transición"))</f>
        <v/>
      </c>
      <c r="H2469" s="23" t="str">
        <f aca="false">IF(A2469="","",IF(D2469="GCIA LINEA SERVICIO DIGITALIDAD Y VENTAS","Chats",IF(OR(D2469="GERENCIA INBOUND LÍNEAS SERVICIO Y VENTA",D2469="GERENCIA INBOUND LINEAS ESPECIALIZADAS"),"Llamadas","Otro")))</f>
        <v/>
      </c>
      <c r="I2469" s="23" t="str">
        <f aca="false">IF(A2469="","",IF(C2469="No encontrado","No","Sí"))</f>
        <v/>
      </c>
      <c r="J2469" s="23" t="str">
        <f aca="false">IF(A2469="","",IF(F2469="Inactivo","No","Sí"))</f>
        <v/>
      </c>
      <c r="K2469" s="23" t="str">
        <f aca="false">IF(A2469="","",IF(AND(I2469="Sí",J2469="Sí"),"Sí","No"))</f>
        <v/>
      </c>
    </row>
    <row r="2470" customFormat="false" ht="15" hidden="false" customHeight="false" outlineLevel="0" collapsed="false">
      <c r="A2470" s="22"/>
      <c r="B2470" s="22"/>
      <c r="C2470" s="26" t="str">
        <f aca="false">IF(A2470="","",IFERROR(buscarx(A2470&amp;B2470,DATA!$E$3:$E$10000&amp;DATA!$B$3:$B$10000,DATA!$M$3:$M$10000),"No encontrado"))</f>
        <v/>
      </c>
      <c r="D2470" s="27" t="str">
        <f aca="false">IF(A2470="","",IFERROR(buscarx(A2470&amp;B2470,DATA!$E$3:$E$10000&amp;DATA!$B$3:$B$10000,DATA!$W$3:$W$10000),"No encontrado"))</f>
        <v/>
      </c>
      <c r="E2470" s="22"/>
      <c r="F2470" s="26" t="str">
        <f aca="false">IF(A2470="","",IFERROR(buscarx(A2470&amp;E2470,DATA!$E$3:$E$10000&amp;DATA!$B$3:$B$10000,DATA!$M$3:$M$10000),"Inactivo"))</f>
        <v/>
      </c>
      <c r="G2470" s="28" t="str">
        <f aca="false">IF(A2470="","",IF(AND(C2470&lt;&gt;"No encontrado",F2470&lt;&gt;"Inactivo"),C2470&amp;" → "&amp;F2470,"Sin transición"))</f>
        <v/>
      </c>
      <c r="H2470" s="26" t="str">
        <f aca="false">IF(A2470="","",IF(D2470="GCIA LINEA SERVICIO DIGITALIDAD Y VENTAS","Chats",IF(OR(D2470="GERENCIA INBOUND LÍNEAS SERVICIO Y VENTA",D2470="GERENCIA INBOUND LINEAS ESPECIALIZADAS"),"Llamadas","Otro")))</f>
        <v/>
      </c>
      <c r="I2470" s="26" t="str">
        <f aca="false">IF(A2470="","",IF(C2470="No encontrado","No","Sí"))</f>
        <v/>
      </c>
      <c r="J2470" s="26" t="str">
        <f aca="false">IF(A2470="","",IF(F2470="Inactivo","No","Sí"))</f>
        <v/>
      </c>
      <c r="K2470" s="26" t="str">
        <f aca="false">IF(A2470="","",IF(AND(I2470="Sí",J2470="Sí"),"Sí","No"))</f>
        <v/>
      </c>
    </row>
    <row r="2471" customFormat="false" ht="15" hidden="false" customHeight="false" outlineLevel="0" collapsed="false">
      <c r="A2471" s="22"/>
      <c r="B2471" s="22"/>
      <c r="C2471" s="23" t="str">
        <f aca="false">IF(A2471="","",IFERROR(buscarx(A2471&amp;B2471,DATA!$E$3:$E$10000&amp;DATA!$B$3:$B$10000,DATA!$M$3:$M$10000),"No encontrado"))</f>
        <v/>
      </c>
      <c r="D2471" s="24" t="str">
        <f aca="false">IF(A2471="","",IFERROR(buscarx(A2471&amp;B2471,DATA!$E$3:$E$10000&amp;DATA!$B$3:$B$10000,DATA!$W$3:$W$10000),"No encontrado"))</f>
        <v/>
      </c>
      <c r="E2471" s="22"/>
      <c r="F2471" s="23" t="str">
        <f aca="false">IF(A2471="","",IFERROR(buscarx(A2471&amp;E2471,DATA!$E$3:$E$10000&amp;DATA!$B$3:$B$10000,DATA!$M$3:$M$10000),"Inactivo"))</f>
        <v/>
      </c>
      <c r="G2471" s="25" t="str">
        <f aca="false">IF(A2471="","",IF(AND(C2471&lt;&gt;"No encontrado",F2471&lt;&gt;"Inactivo"),C2471&amp;" → "&amp;F2471,"Sin transición"))</f>
        <v/>
      </c>
      <c r="H2471" s="23" t="str">
        <f aca="false">IF(A2471="","",IF(D2471="GCIA LINEA SERVICIO DIGITALIDAD Y VENTAS","Chats",IF(OR(D2471="GERENCIA INBOUND LÍNEAS SERVICIO Y VENTA",D2471="GERENCIA INBOUND LINEAS ESPECIALIZADAS"),"Llamadas","Otro")))</f>
        <v/>
      </c>
      <c r="I2471" s="23" t="str">
        <f aca="false">IF(A2471="","",IF(C2471="No encontrado","No","Sí"))</f>
        <v/>
      </c>
      <c r="J2471" s="23" t="str">
        <f aca="false">IF(A2471="","",IF(F2471="Inactivo","No","Sí"))</f>
        <v/>
      </c>
      <c r="K2471" s="23" t="str">
        <f aca="false">IF(A2471="","",IF(AND(I2471="Sí",J2471="Sí"),"Sí","No"))</f>
        <v/>
      </c>
    </row>
    <row r="2472" customFormat="false" ht="15" hidden="false" customHeight="false" outlineLevel="0" collapsed="false">
      <c r="A2472" s="22"/>
      <c r="B2472" s="22"/>
      <c r="C2472" s="26" t="str">
        <f aca="false">IF(A2472="","",IFERROR(buscarx(A2472&amp;B2472,DATA!$E$3:$E$10000&amp;DATA!$B$3:$B$10000,DATA!$M$3:$M$10000),"No encontrado"))</f>
        <v/>
      </c>
      <c r="D2472" s="27" t="str">
        <f aca="false">IF(A2472="","",IFERROR(buscarx(A2472&amp;B2472,DATA!$E$3:$E$10000&amp;DATA!$B$3:$B$10000,DATA!$W$3:$W$10000),"No encontrado"))</f>
        <v/>
      </c>
      <c r="E2472" s="22"/>
      <c r="F2472" s="26" t="str">
        <f aca="false">IF(A2472="","",IFERROR(buscarx(A2472&amp;E2472,DATA!$E$3:$E$10000&amp;DATA!$B$3:$B$10000,DATA!$M$3:$M$10000),"Inactivo"))</f>
        <v/>
      </c>
      <c r="G2472" s="28" t="str">
        <f aca="false">IF(A2472="","",IF(AND(C2472&lt;&gt;"No encontrado",F2472&lt;&gt;"Inactivo"),C2472&amp;" → "&amp;F2472,"Sin transición"))</f>
        <v/>
      </c>
      <c r="H2472" s="26" t="str">
        <f aca="false">IF(A2472="","",IF(D2472="GCIA LINEA SERVICIO DIGITALIDAD Y VENTAS","Chats",IF(OR(D2472="GERENCIA INBOUND LÍNEAS SERVICIO Y VENTA",D2472="GERENCIA INBOUND LINEAS ESPECIALIZADAS"),"Llamadas","Otro")))</f>
        <v/>
      </c>
      <c r="I2472" s="26" t="str">
        <f aca="false">IF(A2472="","",IF(C2472="No encontrado","No","Sí"))</f>
        <v/>
      </c>
      <c r="J2472" s="26" t="str">
        <f aca="false">IF(A2472="","",IF(F2472="Inactivo","No","Sí"))</f>
        <v/>
      </c>
      <c r="K2472" s="26" t="str">
        <f aca="false">IF(A2472="","",IF(AND(I2472="Sí",J2472="Sí"),"Sí","No"))</f>
        <v/>
      </c>
    </row>
    <row r="2473" customFormat="false" ht="15" hidden="false" customHeight="false" outlineLevel="0" collapsed="false">
      <c r="A2473" s="22"/>
      <c r="B2473" s="22"/>
      <c r="C2473" s="23" t="str">
        <f aca="false">IF(A2473="","",IFERROR(buscarx(A2473&amp;B2473,DATA!$E$3:$E$10000&amp;DATA!$B$3:$B$10000,DATA!$M$3:$M$10000),"No encontrado"))</f>
        <v/>
      </c>
      <c r="D2473" s="24" t="str">
        <f aca="false">IF(A2473="","",IFERROR(buscarx(A2473&amp;B2473,DATA!$E$3:$E$10000&amp;DATA!$B$3:$B$10000,DATA!$W$3:$W$10000),"No encontrado"))</f>
        <v/>
      </c>
      <c r="E2473" s="22"/>
      <c r="F2473" s="23" t="str">
        <f aca="false">IF(A2473="","",IFERROR(buscarx(A2473&amp;E2473,DATA!$E$3:$E$10000&amp;DATA!$B$3:$B$10000,DATA!$M$3:$M$10000),"Inactivo"))</f>
        <v/>
      </c>
      <c r="G2473" s="25" t="str">
        <f aca="false">IF(A2473="","",IF(AND(C2473&lt;&gt;"No encontrado",F2473&lt;&gt;"Inactivo"),C2473&amp;" → "&amp;F2473,"Sin transición"))</f>
        <v/>
      </c>
      <c r="H2473" s="23" t="str">
        <f aca="false">IF(A2473="","",IF(D2473="GCIA LINEA SERVICIO DIGITALIDAD Y VENTAS","Chats",IF(OR(D2473="GERENCIA INBOUND LÍNEAS SERVICIO Y VENTA",D2473="GERENCIA INBOUND LINEAS ESPECIALIZADAS"),"Llamadas","Otro")))</f>
        <v/>
      </c>
      <c r="I2473" s="23" t="str">
        <f aca="false">IF(A2473="","",IF(C2473="No encontrado","No","Sí"))</f>
        <v/>
      </c>
      <c r="J2473" s="23" t="str">
        <f aca="false">IF(A2473="","",IF(F2473="Inactivo","No","Sí"))</f>
        <v/>
      </c>
      <c r="K2473" s="23" t="str">
        <f aca="false">IF(A2473="","",IF(AND(I2473="Sí",J2473="Sí"),"Sí","No"))</f>
        <v/>
      </c>
    </row>
    <row r="2474" customFormat="false" ht="15" hidden="false" customHeight="false" outlineLevel="0" collapsed="false">
      <c r="A2474" s="22"/>
      <c r="B2474" s="22"/>
      <c r="C2474" s="26" t="str">
        <f aca="false">IF(A2474="","",IFERROR(buscarx(A2474&amp;B2474,DATA!$E$3:$E$10000&amp;DATA!$B$3:$B$10000,DATA!$M$3:$M$10000),"No encontrado"))</f>
        <v/>
      </c>
      <c r="D2474" s="27" t="str">
        <f aca="false">IF(A2474="","",IFERROR(buscarx(A2474&amp;B2474,DATA!$E$3:$E$10000&amp;DATA!$B$3:$B$10000,DATA!$W$3:$W$10000),"No encontrado"))</f>
        <v/>
      </c>
      <c r="E2474" s="22"/>
      <c r="F2474" s="26" t="str">
        <f aca="false">IF(A2474="","",IFERROR(buscarx(A2474&amp;E2474,DATA!$E$3:$E$10000&amp;DATA!$B$3:$B$10000,DATA!$M$3:$M$10000),"Inactivo"))</f>
        <v/>
      </c>
      <c r="G2474" s="28" t="str">
        <f aca="false">IF(A2474="","",IF(AND(C2474&lt;&gt;"No encontrado",F2474&lt;&gt;"Inactivo"),C2474&amp;" → "&amp;F2474,"Sin transición"))</f>
        <v/>
      </c>
      <c r="H2474" s="26" t="str">
        <f aca="false">IF(A2474="","",IF(D2474="GCIA LINEA SERVICIO DIGITALIDAD Y VENTAS","Chats",IF(OR(D2474="GERENCIA INBOUND LÍNEAS SERVICIO Y VENTA",D2474="GERENCIA INBOUND LINEAS ESPECIALIZADAS"),"Llamadas","Otro")))</f>
        <v/>
      </c>
      <c r="I2474" s="26" t="str">
        <f aca="false">IF(A2474="","",IF(C2474="No encontrado","No","Sí"))</f>
        <v/>
      </c>
      <c r="J2474" s="26" t="str">
        <f aca="false">IF(A2474="","",IF(F2474="Inactivo","No","Sí"))</f>
        <v/>
      </c>
      <c r="K2474" s="26" t="str">
        <f aca="false">IF(A2474="","",IF(AND(I2474="Sí",J2474="Sí"),"Sí","No"))</f>
        <v/>
      </c>
    </row>
    <row r="2475" customFormat="false" ht="15" hidden="false" customHeight="false" outlineLevel="0" collapsed="false">
      <c r="A2475" s="22"/>
      <c r="B2475" s="22"/>
      <c r="C2475" s="23" t="str">
        <f aca="false">IF(A2475="","",IFERROR(buscarx(A2475&amp;B2475,DATA!$E$3:$E$10000&amp;DATA!$B$3:$B$10000,DATA!$M$3:$M$10000),"No encontrado"))</f>
        <v/>
      </c>
      <c r="D2475" s="24" t="str">
        <f aca="false">IF(A2475="","",IFERROR(buscarx(A2475&amp;B2475,DATA!$E$3:$E$10000&amp;DATA!$B$3:$B$10000,DATA!$W$3:$W$10000),"No encontrado"))</f>
        <v/>
      </c>
      <c r="E2475" s="22"/>
      <c r="F2475" s="23" t="str">
        <f aca="false">IF(A2475="","",IFERROR(buscarx(A2475&amp;E2475,DATA!$E$3:$E$10000&amp;DATA!$B$3:$B$10000,DATA!$M$3:$M$10000),"Inactivo"))</f>
        <v/>
      </c>
      <c r="G2475" s="25" t="str">
        <f aca="false">IF(A2475="","",IF(AND(C2475&lt;&gt;"No encontrado",F2475&lt;&gt;"Inactivo"),C2475&amp;" → "&amp;F2475,"Sin transición"))</f>
        <v/>
      </c>
      <c r="H2475" s="23" t="str">
        <f aca="false">IF(A2475="","",IF(D2475="GCIA LINEA SERVICIO DIGITALIDAD Y VENTAS","Chats",IF(OR(D2475="GERENCIA INBOUND LÍNEAS SERVICIO Y VENTA",D2475="GERENCIA INBOUND LINEAS ESPECIALIZADAS"),"Llamadas","Otro")))</f>
        <v/>
      </c>
      <c r="I2475" s="23" t="str">
        <f aca="false">IF(A2475="","",IF(C2475="No encontrado","No","Sí"))</f>
        <v/>
      </c>
      <c r="J2475" s="23" t="str">
        <f aca="false">IF(A2475="","",IF(F2475="Inactivo","No","Sí"))</f>
        <v/>
      </c>
      <c r="K2475" s="23" t="str">
        <f aca="false">IF(A2475="","",IF(AND(I2475="Sí",J2475="Sí"),"Sí","No"))</f>
        <v/>
      </c>
    </row>
    <row r="2476" customFormat="false" ht="15" hidden="false" customHeight="false" outlineLevel="0" collapsed="false">
      <c r="A2476" s="22"/>
      <c r="B2476" s="22"/>
      <c r="C2476" s="26" t="str">
        <f aca="false">IF(A2476="","",IFERROR(buscarx(A2476&amp;B2476,DATA!$E$3:$E$10000&amp;DATA!$B$3:$B$10000,DATA!$M$3:$M$10000),"No encontrado"))</f>
        <v/>
      </c>
      <c r="D2476" s="27" t="str">
        <f aca="false">IF(A2476="","",IFERROR(buscarx(A2476&amp;B2476,DATA!$E$3:$E$10000&amp;DATA!$B$3:$B$10000,DATA!$W$3:$W$10000),"No encontrado"))</f>
        <v/>
      </c>
      <c r="E2476" s="22"/>
      <c r="F2476" s="26" t="str">
        <f aca="false">IF(A2476="","",IFERROR(buscarx(A2476&amp;E2476,DATA!$E$3:$E$10000&amp;DATA!$B$3:$B$10000,DATA!$M$3:$M$10000),"Inactivo"))</f>
        <v/>
      </c>
      <c r="G2476" s="28" t="str">
        <f aca="false">IF(A2476="","",IF(AND(C2476&lt;&gt;"No encontrado",F2476&lt;&gt;"Inactivo"),C2476&amp;" → "&amp;F2476,"Sin transición"))</f>
        <v/>
      </c>
      <c r="H2476" s="26" t="str">
        <f aca="false">IF(A2476="","",IF(D2476="GCIA LINEA SERVICIO DIGITALIDAD Y VENTAS","Chats",IF(OR(D2476="GERENCIA INBOUND LÍNEAS SERVICIO Y VENTA",D2476="GERENCIA INBOUND LINEAS ESPECIALIZADAS"),"Llamadas","Otro")))</f>
        <v/>
      </c>
      <c r="I2476" s="26" t="str">
        <f aca="false">IF(A2476="","",IF(C2476="No encontrado","No","Sí"))</f>
        <v/>
      </c>
      <c r="J2476" s="26" t="str">
        <f aca="false">IF(A2476="","",IF(F2476="Inactivo","No","Sí"))</f>
        <v/>
      </c>
      <c r="K2476" s="26" t="str">
        <f aca="false">IF(A2476="","",IF(AND(I2476="Sí",J2476="Sí"),"Sí","No"))</f>
        <v/>
      </c>
    </row>
    <row r="2477" customFormat="false" ht="15" hidden="false" customHeight="false" outlineLevel="0" collapsed="false">
      <c r="A2477" s="22"/>
      <c r="B2477" s="22"/>
      <c r="C2477" s="23" t="str">
        <f aca="false">IF(A2477="","",IFERROR(buscarx(A2477&amp;B2477,DATA!$E$3:$E$10000&amp;DATA!$B$3:$B$10000,DATA!$M$3:$M$10000),"No encontrado"))</f>
        <v/>
      </c>
      <c r="D2477" s="24" t="str">
        <f aca="false">IF(A2477="","",IFERROR(buscarx(A2477&amp;B2477,DATA!$E$3:$E$10000&amp;DATA!$B$3:$B$10000,DATA!$W$3:$W$10000),"No encontrado"))</f>
        <v/>
      </c>
      <c r="E2477" s="22"/>
      <c r="F2477" s="23" t="str">
        <f aca="false">IF(A2477="","",IFERROR(buscarx(A2477&amp;E2477,DATA!$E$3:$E$10000&amp;DATA!$B$3:$B$10000,DATA!$M$3:$M$10000),"Inactivo"))</f>
        <v/>
      </c>
      <c r="G2477" s="25" t="str">
        <f aca="false">IF(A2477="","",IF(AND(C2477&lt;&gt;"No encontrado",F2477&lt;&gt;"Inactivo"),C2477&amp;" → "&amp;F2477,"Sin transición"))</f>
        <v/>
      </c>
      <c r="H2477" s="23" t="str">
        <f aca="false">IF(A2477="","",IF(D2477="GCIA LINEA SERVICIO DIGITALIDAD Y VENTAS","Chats",IF(OR(D2477="GERENCIA INBOUND LÍNEAS SERVICIO Y VENTA",D2477="GERENCIA INBOUND LINEAS ESPECIALIZADAS"),"Llamadas","Otro")))</f>
        <v/>
      </c>
      <c r="I2477" s="23" t="str">
        <f aca="false">IF(A2477="","",IF(C2477="No encontrado","No","Sí"))</f>
        <v/>
      </c>
      <c r="J2477" s="23" t="str">
        <f aca="false">IF(A2477="","",IF(F2477="Inactivo","No","Sí"))</f>
        <v/>
      </c>
      <c r="K2477" s="23" t="str">
        <f aca="false">IF(A2477="","",IF(AND(I2477="Sí",J2477="Sí"),"Sí","No"))</f>
        <v/>
      </c>
    </row>
    <row r="2478" customFormat="false" ht="15" hidden="false" customHeight="false" outlineLevel="0" collapsed="false">
      <c r="A2478" s="22"/>
      <c r="B2478" s="22"/>
      <c r="C2478" s="26" t="str">
        <f aca="false">IF(A2478="","",IFERROR(buscarx(A2478&amp;B2478,DATA!$E$3:$E$10000&amp;DATA!$B$3:$B$10000,DATA!$M$3:$M$10000),"No encontrado"))</f>
        <v/>
      </c>
      <c r="D2478" s="27" t="str">
        <f aca="false">IF(A2478="","",IFERROR(buscarx(A2478&amp;B2478,DATA!$E$3:$E$10000&amp;DATA!$B$3:$B$10000,DATA!$W$3:$W$10000),"No encontrado"))</f>
        <v/>
      </c>
      <c r="E2478" s="22"/>
      <c r="F2478" s="26" t="str">
        <f aca="false">IF(A2478="","",IFERROR(buscarx(A2478&amp;E2478,DATA!$E$3:$E$10000&amp;DATA!$B$3:$B$10000,DATA!$M$3:$M$10000),"Inactivo"))</f>
        <v/>
      </c>
      <c r="G2478" s="28" t="str">
        <f aca="false">IF(A2478="","",IF(AND(C2478&lt;&gt;"No encontrado",F2478&lt;&gt;"Inactivo"),C2478&amp;" → "&amp;F2478,"Sin transición"))</f>
        <v/>
      </c>
      <c r="H2478" s="26" t="str">
        <f aca="false">IF(A2478="","",IF(D2478="GCIA LINEA SERVICIO DIGITALIDAD Y VENTAS","Chats",IF(OR(D2478="GERENCIA INBOUND LÍNEAS SERVICIO Y VENTA",D2478="GERENCIA INBOUND LINEAS ESPECIALIZADAS"),"Llamadas","Otro")))</f>
        <v/>
      </c>
      <c r="I2478" s="26" t="str">
        <f aca="false">IF(A2478="","",IF(C2478="No encontrado","No","Sí"))</f>
        <v/>
      </c>
      <c r="J2478" s="26" t="str">
        <f aca="false">IF(A2478="","",IF(F2478="Inactivo","No","Sí"))</f>
        <v/>
      </c>
      <c r="K2478" s="26" t="str">
        <f aca="false">IF(A2478="","",IF(AND(I2478="Sí",J2478="Sí"),"Sí","No"))</f>
        <v/>
      </c>
    </row>
    <row r="2479" customFormat="false" ht="15" hidden="false" customHeight="false" outlineLevel="0" collapsed="false">
      <c r="A2479" s="22"/>
      <c r="B2479" s="22"/>
      <c r="C2479" s="23" t="str">
        <f aca="false">IF(A2479="","",IFERROR(buscarx(A2479&amp;B2479,DATA!$E$3:$E$10000&amp;DATA!$B$3:$B$10000,DATA!$M$3:$M$10000),"No encontrado"))</f>
        <v/>
      </c>
      <c r="D2479" s="24" t="str">
        <f aca="false">IF(A2479="","",IFERROR(buscarx(A2479&amp;B2479,DATA!$E$3:$E$10000&amp;DATA!$B$3:$B$10000,DATA!$W$3:$W$10000),"No encontrado"))</f>
        <v/>
      </c>
      <c r="E2479" s="22"/>
      <c r="F2479" s="23" t="str">
        <f aca="false">IF(A2479="","",IFERROR(buscarx(A2479&amp;E2479,DATA!$E$3:$E$10000&amp;DATA!$B$3:$B$10000,DATA!$M$3:$M$10000),"Inactivo"))</f>
        <v/>
      </c>
      <c r="G2479" s="25" t="str">
        <f aca="false">IF(A2479="","",IF(AND(C2479&lt;&gt;"No encontrado",F2479&lt;&gt;"Inactivo"),C2479&amp;" → "&amp;F2479,"Sin transición"))</f>
        <v/>
      </c>
      <c r="H2479" s="23" t="str">
        <f aca="false">IF(A2479="","",IF(D2479="GCIA LINEA SERVICIO DIGITALIDAD Y VENTAS","Chats",IF(OR(D2479="GERENCIA INBOUND LÍNEAS SERVICIO Y VENTA",D2479="GERENCIA INBOUND LINEAS ESPECIALIZADAS"),"Llamadas","Otro")))</f>
        <v/>
      </c>
      <c r="I2479" s="23" t="str">
        <f aca="false">IF(A2479="","",IF(C2479="No encontrado","No","Sí"))</f>
        <v/>
      </c>
      <c r="J2479" s="23" t="str">
        <f aca="false">IF(A2479="","",IF(F2479="Inactivo","No","Sí"))</f>
        <v/>
      </c>
      <c r="K2479" s="23" t="str">
        <f aca="false">IF(A2479="","",IF(AND(I2479="Sí",J2479="Sí"),"Sí","No"))</f>
        <v/>
      </c>
    </row>
    <row r="2480" customFormat="false" ht="15" hidden="false" customHeight="false" outlineLevel="0" collapsed="false">
      <c r="A2480" s="22"/>
      <c r="B2480" s="22"/>
      <c r="C2480" s="26" t="str">
        <f aca="false">IF(A2480="","",IFERROR(buscarx(A2480&amp;B2480,DATA!$E$3:$E$10000&amp;DATA!$B$3:$B$10000,DATA!$M$3:$M$10000),"No encontrado"))</f>
        <v/>
      </c>
      <c r="D2480" s="27" t="str">
        <f aca="false">IF(A2480="","",IFERROR(buscarx(A2480&amp;B2480,DATA!$E$3:$E$10000&amp;DATA!$B$3:$B$10000,DATA!$W$3:$W$10000),"No encontrado"))</f>
        <v/>
      </c>
      <c r="E2480" s="22"/>
      <c r="F2480" s="26" t="str">
        <f aca="false">IF(A2480="","",IFERROR(buscarx(A2480&amp;E2480,DATA!$E$3:$E$10000&amp;DATA!$B$3:$B$10000,DATA!$M$3:$M$10000),"Inactivo"))</f>
        <v/>
      </c>
      <c r="G2480" s="28" t="str">
        <f aca="false">IF(A2480="","",IF(AND(C2480&lt;&gt;"No encontrado",F2480&lt;&gt;"Inactivo"),C2480&amp;" → "&amp;F2480,"Sin transición"))</f>
        <v/>
      </c>
      <c r="H2480" s="26" t="str">
        <f aca="false">IF(A2480="","",IF(D2480="GCIA LINEA SERVICIO DIGITALIDAD Y VENTAS","Chats",IF(OR(D2480="GERENCIA INBOUND LÍNEAS SERVICIO Y VENTA",D2480="GERENCIA INBOUND LINEAS ESPECIALIZADAS"),"Llamadas","Otro")))</f>
        <v/>
      </c>
      <c r="I2480" s="26" t="str">
        <f aca="false">IF(A2480="","",IF(C2480="No encontrado","No","Sí"))</f>
        <v/>
      </c>
      <c r="J2480" s="26" t="str">
        <f aca="false">IF(A2480="","",IF(F2480="Inactivo","No","Sí"))</f>
        <v/>
      </c>
      <c r="K2480" s="26" t="str">
        <f aca="false">IF(A2480="","",IF(AND(I2480="Sí",J2480="Sí"),"Sí","No"))</f>
        <v/>
      </c>
    </row>
    <row r="2481" customFormat="false" ht="15" hidden="false" customHeight="false" outlineLevel="0" collapsed="false">
      <c r="A2481" s="22"/>
      <c r="B2481" s="22"/>
      <c r="C2481" s="23" t="str">
        <f aca="false">IF(A2481="","",IFERROR(buscarx(A2481&amp;B2481,DATA!$E$3:$E$10000&amp;DATA!$B$3:$B$10000,DATA!$M$3:$M$10000),"No encontrado"))</f>
        <v/>
      </c>
      <c r="D2481" s="24" t="str">
        <f aca="false">IF(A2481="","",IFERROR(buscarx(A2481&amp;B2481,DATA!$E$3:$E$10000&amp;DATA!$B$3:$B$10000,DATA!$W$3:$W$10000),"No encontrado"))</f>
        <v/>
      </c>
      <c r="E2481" s="22"/>
      <c r="F2481" s="23" t="str">
        <f aca="false">IF(A2481="","",IFERROR(buscarx(A2481&amp;E2481,DATA!$E$3:$E$10000&amp;DATA!$B$3:$B$10000,DATA!$M$3:$M$10000),"Inactivo"))</f>
        <v/>
      </c>
      <c r="G2481" s="25" t="str">
        <f aca="false">IF(A2481="","",IF(AND(C2481&lt;&gt;"No encontrado",F2481&lt;&gt;"Inactivo"),C2481&amp;" → "&amp;F2481,"Sin transición"))</f>
        <v/>
      </c>
      <c r="H2481" s="23" t="str">
        <f aca="false">IF(A2481="","",IF(D2481="GCIA LINEA SERVICIO DIGITALIDAD Y VENTAS","Chats",IF(OR(D2481="GERENCIA INBOUND LÍNEAS SERVICIO Y VENTA",D2481="GERENCIA INBOUND LINEAS ESPECIALIZADAS"),"Llamadas","Otro")))</f>
        <v/>
      </c>
      <c r="I2481" s="23" t="str">
        <f aca="false">IF(A2481="","",IF(C2481="No encontrado","No","Sí"))</f>
        <v/>
      </c>
      <c r="J2481" s="23" t="str">
        <f aca="false">IF(A2481="","",IF(F2481="Inactivo","No","Sí"))</f>
        <v/>
      </c>
      <c r="K2481" s="23" t="str">
        <f aca="false">IF(A2481="","",IF(AND(I2481="Sí",J2481="Sí"),"Sí","No"))</f>
        <v/>
      </c>
    </row>
    <row r="2482" customFormat="false" ht="15" hidden="false" customHeight="false" outlineLevel="0" collapsed="false">
      <c r="A2482" s="22"/>
      <c r="B2482" s="22"/>
      <c r="C2482" s="26" t="str">
        <f aca="false">IF(A2482="","",IFERROR(buscarx(A2482&amp;B2482,DATA!$E$3:$E$10000&amp;DATA!$B$3:$B$10000,DATA!$M$3:$M$10000),"No encontrado"))</f>
        <v/>
      </c>
      <c r="D2482" s="27" t="str">
        <f aca="false">IF(A2482="","",IFERROR(buscarx(A2482&amp;B2482,DATA!$E$3:$E$10000&amp;DATA!$B$3:$B$10000,DATA!$W$3:$W$10000),"No encontrado"))</f>
        <v/>
      </c>
      <c r="E2482" s="22"/>
      <c r="F2482" s="26" t="str">
        <f aca="false">IF(A2482="","",IFERROR(buscarx(A2482&amp;E2482,DATA!$E$3:$E$10000&amp;DATA!$B$3:$B$10000,DATA!$M$3:$M$10000),"Inactivo"))</f>
        <v/>
      </c>
      <c r="G2482" s="28" t="str">
        <f aca="false">IF(A2482="","",IF(AND(C2482&lt;&gt;"No encontrado",F2482&lt;&gt;"Inactivo"),C2482&amp;" → "&amp;F2482,"Sin transición"))</f>
        <v/>
      </c>
      <c r="H2482" s="26" t="str">
        <f aca="false">IF(A2482="","",IF(D2482="GCIA LINEA SERVICIO DIGITALIDAD Y VENTAS","Chats",IF(OR(D2482="GERENCIA INBOUND LÍNEAS SERVICIO Y VENTA",D2482="GERENCIA INBOUND LINEAS ESPECIALIZADAS"),"Llamadas","Otro")))</f>
        <v/>
      </c>
      <c r="I2482" s="26" t="str">
        <f aca="false">IF(A2482="","",IF(C2482="No encontrado","No","Sí"))</f>
        <v/>
      </c>
      <c r="J2482" s="26" t="str">
        <f aca="false">IF(A2482="","",IF(F2482="Inactivo","No","Sí"))</f>
        <v/>
      </c>
      <c r="K2482" s="26" t="str">
        <f aca="false">IF(A2482="","",IF(AND(I2482="Sí",J2482="Sí"),"Sí","No"))</f>
        <v/>
      </c>
    </row>
    <row r="2483" customFormat="false" ht="15" hidden="false" customHeight="false" outlineLevel="0" collapsed="false">
      <c r="A2483" s="22"/>
      <c r="B2483" s="22"/>
      <c r="C2483" s="23" t="str">
        <f aca="false">IF(A2483="","",IFERROR(buscarx(A2483&amp;B2483,DATA!$E$3:$E$10000&amp;DATA!$B$3:$B$10000,DATA!$M$3:$M$10000),"No encontrado"))</f>
        <v/>
      </c>
      <c r="D2483" s="24" t="str">
        <f aca="false">IF(A2483="","",IFERROR(buscarx(A2483&amp;B2483,DATA!$E$3:$E$10000&amp;DATA!$B$3:$B$10000,DATA!$W$3:$W$10000),"No encontrado"))</f>
        <v/>
      </c>
      <c r="E2483" s="22"/>
      <c r="F2483" s="23" t="str">
        <f aca="false">IF(A2483="","",IFERROR(buscarx(A2483&amp;E2483,DATA!$E$3:$E$10000&amp;DATA!$B$3:$B$10000,DATA!$M$3:$M$10000),"Inactivo"))</f>
        <v/>
      </c>
      <c r="G2483" s="25" t="str">
        <f aca="false">IF(A2483="","",IF(AND(C2483&lt;&gt;"No encontrado",F2483&lt;&gt;"Inactivo"),C2483&amp;" → "&amp;F2483,"Sin transición"))</f>
        <v/>
      </c>
      <c r="H2483" s="23" t="str">
        <f aca="false">IF(A2483="","",IF(D2483="GCIA LINEA SERVICIO DIGITALIDAD Y VENTAS","Chats",IF(OR(D2483="GERENCIA INBOUND LÍNEAS SERVICIO Y VENTA",D2483="GERENCIA INBOUND LINEAS ESPECIALIZADAS"),"Llamadas","Otro")))</f>
        <v/>
      </c>
      <c r="I2483" s="23" t="str">
        <f aca="false">IF(A2483="","",IF(C2483="No encontrado","No","Sí"))</f>
        <v/>
      </c>
      <c r="J2483" s="23" t="str">
        <f aca="false">IF(A2483="","",IF(F2483="Inactivo","No","Sí"))</f>
        <v/>
      </c>
      <c r="K2483" s="23" t="str">
        <f aca="false">IF(A2483="","",IF(AND(I2483="Sí",J2483="Sí"),"Sí","No"))</f>
        <v/>
      </c>
    </row>
    <row r="2484" customFormat="false" ht="15" hidden="false" customHeight="false" outlineLevel="0" collapsed="false">
      <c r="A2484" s="22"/>
      <c r="B2484" s="22"/>
      <c r="C2484" s="26" t="str">
        <f aca="false">IF(A2484="","",IFERROR(buscarx(A2484&amp;B2484,DATA!$E$3:$E$10000&amp;DATA!$B$3:$B$10000,DATA!$M$3:$M$10000),"No encontrado"))</f>
        <v/>
      </c>
      <c r="D2484" s="27" t="str">
        <f aca="false">IF(A2484="","",IFERROR(buscarx(A2484&amp;B2484,DATA!$E$3:$E$10000&amp;DATA!$B$3:$B$10000,DATA!$W$3:$W$10000),"No encontrado"))</f>
        <v/>
      </c>
      <c r="E2484" s="22"/>
      <c r="F2484" s="26" t="str">
        <f aca="false">IF(A2484="","",IFERROR(buscarx(A2484&amp;E2484,DATA!$E$3:$E$10000&amp;DATA!$B$3:$B$10000,DATA!$M$3:$M$10000),"Inactivo"))</f>
        <v/>
      </c>
      <c r="G2484" s="28" t="str">
        <f aca="false">IF(A2484="","",IF(AND(C2484&lt;&gt;"No encontrado",F2484&lt;&gt;"Inactivo"),C2484&amp;" → "&amp;F2484,"Sin transición"))</f>
        <v/>
      </c>
      <c r="H2484" s="26" t="str">
        <f aca="false">IF(A2484="","",IF(D2484="GCIA LINEA SERVICIO DIGITALIDAD Y VENTAS","Chats",IF(OR(D2484="GERENCIA INBOUND LÍNEAS SERVICIO Y VENTA",D2484="GERENCIA INBOUND LINEAS ESPECIALIZADAS"),"Llamadas","Otro")))</f>
        <v/>
      </c>
      <c r="I2484" s="26" t="str">
        <f aca="false">IF(A2484="","",IF(C2484="No encontrado","No","Sí"))</f>
        <v/>
      </c>
      <c r="J2484" s="26" t="str">
        <f aca="false">IF(A2484="","",IF(F2484="Inactivo","No","Sí"))</f>
        <v/>
      </c>
      <c r="K2484" s="26" t="str">
        <f aca="false">IF(A2484="","",IF(AND(I2484="Sí",J2484="Sí"),"Sí","No"))</f>
        <v/>
      </c>
    </row>
    <row r="2485" customFormat="false" ht="15" hidden="false" customHeight="false" outlineLevel="0" collapsed="false">
      <c r="A2485" s="22"/>
      <c r="B2485" s="22"/>
      <c r="C2485" s="23" t="str">
        <f aca="false">IF(A2485="","",IFERROR(buscarx(A2485&amp;B2485,DATA!$E$3:$E$10000&amp;DATA!$B$3:$B$10000,DATA!$M$3:$M$10000),"No encontrado"))</f>
        <v/>
      </c>
      <c r="D2485" s="24" t="str">
        <f aca="false">IF(A2485="","",IFERROR(buscarx(A2485&amp;B2485,DATA!$E$3:$E$10000&amp;DATA!$B$3:$B$10000,DATA!$W$3:$W$10000),"No encontrado"))</f>
        <v/>
      </c>
      <c r="E2485" s="22"/>
      <c r="F2485" s="23" t="str">
        <f aca="false">IF(A2485="","",IFERROR(buscarx(A2485&amp;E2485,DATA!$E$3:$E$10000&amp;DATA!$B$3:$B$10000,DATA!$M$3:$M$10000),"Inactivo"))</f>
        <v/>
      </c>
      <c r="G2485" s="25" t="str">
        <f aca="false">IF(A2485="","",IF(AND(C2485&lt;&gt;"No encontrado",F2485&lt;&gt;"Inactivo"),C2485&amp;" → "&amp;F2485,"Sin transición"))</f>
        <v/>
      </c>
      <c r="H2485" s="23" t="str">
        <f aca="false">IF(A2485="","",IF(D2485="GCIA LINEA SERVICIO DIGITALIDAD Y VENTAS","Chats",IF(OR(D2485="GERENCIA INBOUND LÍNEAS SERVICIO Y VENTA",D2485="GERENCIA INBOUND LINEAS ESPECIALIZADAS"),"Llamadas","Otro")))</f>
        <v/>
      </c>
      <c r="I2485" s="23" t="str">
        <f aca="false">IF(A2485="","",IF(C2485="No encontrado","No","Sí"))</f>
        <v/>
      </c>
      <c r="J2485" s="23" t="str">
        <f aca="false">IF(A2485="","",IF(F2485="Inactivo","No","Sí"))</f>
        <v/>
      </c>
      <c r="K2485" s="23" t="str">
        <f aca="false">IF(A2485="","",IF(AND(I2485="Sí",J2485="Sí"),"Sí","No"))</f>
        <v/>
      </c>
    </row>
    <row r="2486" customFormat="false" ht="15" hidden="false" customHeight="false" outlineLevel="0" collapsed="false">
      <c r="A2486" s="22"/>
      <c r="B2486" s="22"/>
      <c r="C2486" s="26" t="str">
        <f aca="false">IF(A2486="","",IFERROR(buscarx(A2486&amp;B2486,DATA!$E$3:$E$10000&amp;DATA!$B$3:$B$10000,DATA!$M$3:$M$10000),"No encontrado"))</f>
        <v/>
      </c>
      <c r="D2486" s="27" t="str">
        <f aca="false">IF(A2486="","",IFERROR(buscarx(A2486&amp;B2486,DATA!$E$3:$E$10000&amp;DATA!$B$3:$B$10000,DATA!$W$3:$W$10000),"No encontrado"))</f>
        <v/>
      </c>
      <c r="E2486" s="22"/>
      <c r="F2486" s="26" t="str">
        <f aca="false">IF(A2486="","",IFERROR(buscarx(A2486&amp;E2486,DATA!$E$3:$E$10000&amp;DATA!$B$3:$B$10000,DATA!$M$3:$M$10000),"Inactivo"))</f>
        <v/>
      </c>
      <c r="G2486" s="28" t="str">
        <f aca="false">IF(A2486="","",IF(AND(C2486&lt;&gt;"No encontrado",F2486&lt;&gt;"Inactivo"),C2486&amp;" → "&amp;F2486,"Sin transición"))</f>
        <v/>
      </c>
      <c r="H2486" s="26" t="str">
        <f aca="false">IF(A2486="","",IF(D2486="GCIA LINEA SERVICIO DIGITALIDAD Y VENTAS","Chats",IF(OR(D2486="GERENCIA INBOUND LÍNEAS SERVICIO Y VENTA",D2486="GERENCIA INBOUND LINEAS ESPECIALIZADAS"),"Llamadas","Otro")))</f>
        <v/>
      </c>
      <c r="I2486" s="26" t="str">
        <f aca="false">IF(A2486="","",IF(C2486="No encontrado","No","Sí"))</f>
        <v/>
      </c>
      <c r="J2486" s="26" t="str">
        <f aca="false">IF(A2486="","",IF(F2486="Inactivo","No","Sí"))</f>
        <v/>
      </c>
      <c r="K2486" s="26" t="str">
        <f aca="false">IF(A2486="","",IF(AND(I2486="Sí",J2486="Sí"),"Sí","No"))</f>
        <v/>
      </c>
    </row>
    <row r="2487" customFormat="false" ht="15" hidden="false" customHeight="false" outlineLevel="0" collapsed="false">
      <c r="A2487" s="22"/>
      <c r="B2487" s="22"/>
      <c r="C2487" s="23" t="str">
        <f aca="false">IF(A2487="","",IFERROR(buscarx(A2487&amp;B2487,DATA!$E$3:$E$10000&amp;DATA!$B$3:$B$10000,DATA!$M$3:$M$10000),"No encontrado"))</f>
        <v/>
      </c>
      <c r="D2487" s="24" t="str">
        <f aca="false">IF(A2487="","",IFERROR(buscarx(A2487&amp;B2487,DATA!$E$3:$E$10000&amp;DATA!$B$3:$B$10000,DATA!$W$3:$W$10000),"No encontrado"))</f>
        <v/>
      </c>
      <c r="E2487" s="22"/>
      <c r="F2487" s="23" t="str">
        <f aca="false">IF(A2487="","",IFERROR(buscarx(A2487&amp;E2487,DATA!$E$3:$E$10000&amp;DATA!$B$3:$B$10000,DATA!$M$3:$M$10000),"Inactivo"))</f>
        <v/>
      </c>
      <c r="G2487" s="25" t="str">
        <f aca="false">IF(A2487="","",IF(AND(C2487&lt;&gt;"No encontrado",F2487&lt;&gt;"Inactivo"),C2487&amp;" → "&amp;F2487,"Sin transición"))</f>
        <v/>
      </c>
      <c r="H2487" s="23" t="str">
        <f aca="false">IF(A2487="","",IF(D2487="GCIA LINEA SERVICIO DIGITALIDAD Y VENTAS","Chats",IF(OR(D2487="GERENCIA INBOUND LÍNEAS SERVICIO Y VENTA",D2487="GERENCIA INBOUND LINEAS ESPECIALIZADAS"),"Llamadas","Otro")))</f>
        <v/>
      </c>
      <c r="I2487" s="23" t="str">
        <f aca="false">IF(A2487="","",IF(C2487="No encontrado","No","Sí"))</f>
        <v/>
      </c>
      <c r="J2487" s="23" t="str">
        <f aca="false">IF(A2487="","",IF(F2487="Inactivo","No","Sí"))</f>
        <v/>
      </c>
      <c r="K2487" s="23" t="str">
        <f aca="false">IF(A2487="","",IF(AND(I2487="Sí",J2487="Sí"),"Sí","No"))</f>
        <v/>
      </c>
    </row>
    <row r="2488" customFormat="false" ht="15" hidden="false" customHeight="false" outlineLevel="0" collapsed="false">
      <c r="A2488" s="22"/>
      <c r="B2488" s="22"/>
      <c r="C2488" s="26" t="str">
        <f aca="false">IF(A2488="","",IFERROR(buscarx(A2488&amp;B2488,DATA!$E$3:$E$10000&amp;DATA!$B$3:$B$10000,DATA!$M$3:$M$10000),"No encontrado"))</f>
        <v/>
      </c>
      <c r="D2488" s="27" t="str">
        <f aca="false">IF(A2488="","",IFERROR(buscarx(A2488&amp;B2488,DATA!$E$3:$E$10000&amp;DATA!$B$3:$B$10000,DATA!$W$3:$W$10000),"No encontrado"))</f>
        <v/>
      </c>
      <c r="E2488" s="22"/>
      <c r="F2488" s="26" t="str">
        <f aca="false">IF(A2488="","",IFERROR(buscarx(A2488&amp;E2488,DATA!$E$3:$E$10000&amp;DATA!$B$3:$B$10000,DATA!$M$3:$M$10000),"Inactivo"))</f>
        <v/>
      </c>
      <c r="G2488" s="28" t="str">
        <f aca="false">IF(A2488="","",IF(AND(C2488&lt;&gt;"No encontrado",F2488&lt;&gt;"Inactivo"),C2488&amp;" → "&amp;F2488,"Sin transición"))</f>
        <v/>
      </c>
      <c r="H2488" s="26" t="str">
        <f aca="false">IF(A2488="","",IF(D2488="GCIA LINEA SERVICIO DIGITALIDAD Y VENTAS","Chats",IF(OR(D2488="GERENCIA INBOUND LÍNEAS SERVICIO Y VENTA",D2488="GERENCIA INBOUND LINEAS ESPECIALIZADAS"),"Llamadas","Otro")))</f>
        <v/>
      </c>
      <c r="I2488" s="26" t="str">
        <f aca="false">IF(A2488="","",IF(C2488="No encontrado","No","Sí"))</f>
        <v/>
      </c>
      <c r="J2488" s="26" t="str">
        <f aca="false">IF(A2488="","",IF(F2488="Inactivo","No","Sí"))</f>
        <v/>
      </c>
      <c r="K2488" s="26" t="str">
        <f aca="false">IF(A2488="","",IF(AND(I2488="Sí",J2488="Sí"),"Sí","No"))</f>
        <v/>
      </c>
    </row>
    <row r="2489" customFormat="false" ht="15" hidden="false" customHeight="false" outlineLevel="0" collapsed="false">
      <c r="A2489" s="22"/>
      <c r="B2489" s="22"/>
      <c r="C2489" s="23" t="str">
        <f aca="false">IF(A2489="","",IFERROR(buscarx(A2489&amp;B2489,DATA!$E$3:$E$10000&amp;DATA!$B$3:$B$10000,DATA!$M$3:$M$10000),"No encontrado"))</f>
        <v/>
      </c>
      <c r="D2489" s="24" t="str">
        <f aca="false">IF(A2489="","",IFERROR(buscarx(A2489&amp;B2489,DATA!$E$3:$E$10000&amp;DATA!$B$3:$B$10000,DATA!$W$3:$W$10000),"No encontrado"))</f>
        <v/>
      </c>
      <c r="E2489" s="22"/>
      <c r="F2489" s="23" t="str">
        <f aca="false">IF(A2489="","",IFERROR(buscarx(A2489&amp;E2489,DATA!$E$3:$E$10000&amp;DATA!$B$3:$B$10000,DATA!$M$3:$M$10000),"Inactivo"))</f>
        <v/>
      </c>
      <c r="G2489" s="25" t="str">
        <f aca="false">IF(A2489="","",IF(AND(C2489&lt;&gt;"No encontrado",F2489&lt;&gt;"Inactivo"),C2489&amp;" → "&amp;F2489,"Sin transición"))</f>
        <v/>
      </c>
      <c r="H2489" s="23" t="str">
        <f aca="false">IF(A2489="","",IF(D2489="GCIA LINEA SERVICIO DIGITALIDAD Y VENTAS","Chats",IF(OR(D2489="GERENCIA INBOUND LÍNEAS SERVICIO Y VENTA",D2489="GERENCIA INBOUND LINEAS ESPECIALIZADAS"),"Llamadas","Otro")))</f>
        <v/>
      </c>
      <c r="I2489" s="23" t="str">
        <f aca="false">IF(A2489="","",IF(C2489="No encontrado","No","Sí"))</f>
        <v/>
      </c>
      <c r="J2489" s="23" t="str">
        <f aca="false">IF(A2489="","",IF(F2489="Inactivo","No","Sí"))</f>
        <v/>
      </c>
      <c r="K2489" s="23" t="str">
        <f aca="false">IF(A2489="","",IF(AND(I2489="Sí",J2489="Sí"),"Sí","No"))</f>
        <v/>
      </c>
    </row>
    <row r="2490" customFormat="false" ht="15" hidden="false" customHeight="false" outlineLevel="0" collapsed="false">
      <c r="A2490" s="22"/>
      <c r="B2490" s="22"/>
      <c r="C2490" s="26" t="str">
        <f aca="false">IF(A2490="","",IFERROR(buscarx(A2490&amp;B2490,DATA!$E$3:$E$10000&amp;DATA!$B$3:$B$10000,DATA!$M$3:$M$10000),"No encontrado"))</f>
        <v/>
      </c>
      <c r="D2490" s="27" t="str">
        <f aca="false">IF(A2490="","",IFERROR(buscarx(A2490&amp;B2490,DATA!$E$3:$E$10000&amp;DATA!$B$3:$B$10000,DATA!$W$3:$W$10000),"No encontrado"))</f>
        <v/>
      </c>
      <c r="E2490" s="22"/>
      <c r="F2490" s="26" t="str">
        <f aca="false">IF(A2490="","",IFERROR(buscarx(A2490&amp;E2490,DATA!$E$3:$E$10000&amp;DATA!$B$3:$B$10000,DATA!$M$3:$M$10000),"Inactivo"))</f>
        <v/>
      </c>
      <c r="G2490" s="28" t="str">
        <f aca="false">IF(A2490="","",IF(AND(C2490&lt;&gt;"No encontrado",F2490&lt;&gt;"Inactivo"),C2490&amp;" → "&amp;F2490,"Sin transición"))</f>
        <v/>
      </c>
      <c r="H2490" s="26" t="str">
        <f aca="false">IF(A2490="","",IF(D2490="GCIA LINEA SERVICIO DIGITALIDAD Y VENTAS","Chats",IF(OR(D2490="GERENCIA INBOUND LÍNEAS SERVICIO Y VENTA",D2490="GERENCIA INBOUND LINEAS ESPECIALIZADAS"),"Llamadas","Otro")))</f>
        <v/>
      </c>
      <c r="I2490" s="26" t="str">
        <f aca="false">IF(A2490="","",IF(C2490="No encontrado","No","Sí"))</f>
        <v/>
      </c>
      <c r="J2490" s="26" t="str">
        <f aca="false">IF(A2490="","",IF(F2490="Inactivo","No","Sí"))</f>
        <v/>
      </c>
      <c r="K2490" s="26" t="str">
        <f aca="false">IF(A2490="","",IF(AND(I2490="Sí",J2490="Sí"),"Sí","No"))</f>
        <v/>
      </c>
    </row>
    <row r="2491" customFormat="false" ht="15" hidden="false" customHeight="false" outlineLevel="0" collapsed="false">
      <c r="A2491" s="22"/>
      <c r="B2491" s="22"/>
      <c r="C2491" s="23" t="str">
        <f aca="false">IF(A2491="","",IFERROR(buscarx(A2491&amp;B2491,DATA!$E$3:$E$10000&amp;DATA!$B$3:$B$10000,DATA!$M$3:$M$10000),"No encontrado"))</f>
        <v/>
      </c>
      <c r="D2491" s="24" t="str">
        <f aca="false">IF(A2491="","",IFERROR(buscarx(A2491&amp;B2491,DATA!$E$3:$E$10000&amp;DATA!$B$3:$B$10000,DATA!$W$3:$W$10000),"No encontrado"))</f>
        <v/>
      </c>
      <c r="E2491" s="22"/>
      <c r="F2491" s="23" t="str">
        <f aca="false">IF(A2491="","",IFERROR(buscarx(A2491&amp;E2491,DATA!$E$3:$E$10000&amp;DATA!$B$3:$B$10000,DATA!$M$3:$M$10000),"Inactivo"))</f>
        <v/>
      </c>
      <c r="G2491" s="25" t="str">
        <f aca="false">IF(A2491="","",IF(AND(C2491&lt;&gt;"No encontrado",F2491&lt;&gt;"Inactivo"),C2491&amp;" → "&amp;F2491,"Sin transición"))</f>
        <v/>
      </c>
      <c r="H2491" s="23" t="str">
        <f aca="false">IF(A2491="","",IF(D2491="GCIA LINEA SERVICIO DIGITALIDAD Y VENTAS","Chats",IF(OR(D2491="GERENCIA INBOUND LÍNEAS SERVICIO Y VENTA",D2491="GERENCIA INBOUND LINEAS ESPECIALIZADAS"),"Llamadas","Otro")))</f>
        <v/>
      </c>
      <c r="I2491" s="23" t="str">
        <f aca="false">IF(A2491="","",IF(C2491="No encontrado","No","Sí"))</f>
        <v/>
      </c>
      <c r="J2491" s="23" t="str">
        <f aca="false">IF(A2491="","",IF(F2491="Inactivo","No","Sí"))</f>
        <v/>
      </c>
      <c r="K2491" s="23" t="str">
        <f aca="false">IF(A2491="","",IF(AND(I2491="Sí",J2491="Sí"),"Sí","No"))</f>
        <v/>
      </c>
    </row>
    <row r="2492" customFormat="false" ht="15" hidden="false" customHeight="false" outlineLevel="0" collapsed="false">
      <c r="A2492" s="22"/>
      <c r="B2492" s="22"/>
      <c r="C2492" s="26" t="str">
        <f aca="false">IF(A2492="","",IFERROR(buscarx(A2492&amp;B2492,DATA!$E$3:$E$10000&amp;DATA!$B$3:$B$10000,DATA!$M$3:$M$10000),"No encontrado"))</f>
        <v/>
      </c>
      <c r="D2492" s="27" t="str">
        <f aca="false">IF(A2492="","",IFERROR(buscarx(A2492&amp;B2492,DATA!$E$3:$E$10000&amp;DATA!$B$3:$B$10000,DATA!$W$3:$W$10000),"No encontrado"))</f>
        <v/>
      </c>
      <c r="E2492" s="22"/>
      <c r="F2492" s="26" t="str">
        <f aca="false">IF(A2492="","",IFERROR(buscarx(A2492&amp;E2492,DATA!$E$3:$E$10000&amp;DATA!$B$3:$B$10000,DATA!$M$3:$M$10000),"Inactivo"))</f>
        <v/>
      </c>
      <c r="G2492" s="28" t="str">
        <f aca="false">IF(A2492="","",IF(AND(C2492&lt;&gt;"No encontrado",F2492&lt;&gt;"Inactivo"),C2492&amp;" → "&amp;F2492,"Sin transición"))</f>
        <v/>
      </c>
      <c r="H2492" s="26" t="str">
        <f aca="false">IF(A2492="","",IF(D2492="GCIA LINEA SERVICIO DIGITALIDAD Y VENTAS","Chats",IF(OR(D2492="GERENCIA INBOUND LÍNEAS SERVICIO Y VENTA",D2492="GERENCIA INBOUND LINEAS ESPECIALIZADAS"),"Llamadas","Otro")))</f>
        <v/>
      </c>
      <c r="I2492" s="26" t="str">
        <f aca="false">IF(A2492="","",IF(C2492="No encontrado","No","Sí"))</f>
        <v/>
      </c>
      <c r="J2492" s="26" t="str">
        <f aca="false">IF(A2492="","",IF(F2492="Inactivo","No","Sí"))</f>
        <v/>
      </c>
      <c r="K2492" s="26" t="str">
        <f aca="false">IF(A2492="","",IF(AND(I2492="Sí",J2492="Sí"),"Sí","No"))</f>
        <v/>
      </c>
    </row>
    <row r="2493" customFormat="false" ht="15" hidden="false" customHeight="false" outlineLevel="0" collapsed="false">
      <c r="A2493" s="22"/>
      <c r="B2493" s="22"/>
      <c r="C2493" s="23" t="str">
        <f aca="false">IF(A2493="","",IFERROR(buscarx(A2493&amp;B2493,DATA!$E$3:$E$10000&amp;DATA!$B$3:$B$10000,DATA!$M$3:$M$10000),"No encontrado"))</f>
        <v/>
      </c>
      <c r="D2493" s="24" t="str">
        <f aca="false">IF(A2493="","",IFERROR(buscarx(A2493&amp;B2493,DATA!$E$3:$E$10000&amp;DATA!$B$3:$B$10000,DATA!$W$3:$W$10000),"No encontrado"))</f>
        <v/>
      </c>
      <c r="E2493" s="22"/>
      <c r="F2493" s="23" t="str">
        <f aca="false">IF(A2493="","",IFERROR(buscarx(A2493&amp;E2493,DATA!$E$3:$E$10000&amp;DATA!$B$3:$B$10000,DATA!$M$3:$M$10000),"Inactivo"))</f>
        <v/>
      </c>
      <c r="G2493" s="25" t="str">
        <f aca="false">IF(A2493="","",IF(AND(C2493&lt;&gt;"No encontrado",F2493&lt;&gt;"Inactivo"),C2493&amp;" → "&amp;F2493,"Sin transición"))</f>
        <v/>
      </c>
      <c r="H2493" s="23" t="str">
        <f aca="false">IF(A2493="","",IF(D2493="GCIA LINEA SERVICIO DIGITALIDAD Y VENTAS","Chats",IF(OR(D2493="GERENCIA INBOUND LÍNEAS SERVICIO Y VENTA",D2493="GERENCIA INBOUND LINEAS ESPECIALIZADAS"),"Llamadas","Otro")))</f>
        <v/>
      </c>
      <c r="I2493" s="23" t="str">
        <f aca="false">IF(A2493="","",IF(C2493="No encontrado","No","Sí"))</f>
        <v/>
      </c>
      <c r="J2493" s="23" t="str">
        <f aca="false">IF(A2493="","",IF(F2493="Inactivo","No","Sí"))</f>
        <v/>
      </c>
      <c r="K2493" s="23" t="str">
        <f aca="false">IF(A2493="","",IF(AND(I2493="Sí",J2493="Sí"),"Sí","No"))</f>
        <v/>
      </c>
    </row>
    <row r="2494" customFormat="false" ht="15" hidden="false" customHeight="false" outlineLevel="0" collapsed="false">
      <c r="A2494" s="22"/>
      <c r="B2494" s="22"/>
      <c r="C2494" s="26" t="str">
        <f aca="false">IF(A2494="","",IFERROR(buscarx(A2494&amp;B2494,DATA!$E$3:$E$10000&amp;DATA!$B$3:$B$10000,DATA!$M$3:$M$10000),"No encontrado"))</f>
        <v/>
      </c>
      <c r="D2494" s="27" t="str">
        <f aca="false">IF(A2494="","",IFERROR(buscarx(A2494&amp;B2494,DATA!$E$3:$E$10000&amp;DATA!$B$3:$B$10000,DATA!$W$3:$W$10000),"No encontrado"))</f>
        <v/>
      </c>
      <c r="E2494" s="22"/>
      <c r="F2494" s="26" t="str">
        <f aca="false">IF(A2494="","",IFERROR(buscarx(A2494&amp;E2494,DATA!$E$3:$E$10000&amp;DATA!$B$3:$B$10000,DATA!$M$3:$M$10000),"Inactivo"))</f>
        <v/>
      </c>
      <c r="G2494" s="28" t="str">
        <f aca="false">IF(A2494="","",IF(AND(C2494&lt;&gt;"No encontrado",F2494&lt;&gt;"Inactivo"),C2494&amp;" → "&amp;F2494,"Sin transición"))</f>
        <v/>
      </c>
      <c r="H2494" s="26" t="str">
        <f aca="false">IF(A2494="","",IF(D2494="GCIA LINEA SERVICIO DIGITALIDAD Y VENTAS","Chats",IF(OR(D2494="GERENCIA INBOUND LÍNEAS SERVICIO Y VENTA",D2494="GERENCIA INBOUND LINEAS ESPECIALIZADAS"),"Llamadas","Otro")))</f>
        <v/>
      </c>
      <c r="I2494" s="26" t="str">
        <f aca="false">IF(A2494="","",IF(C2494="No encontrado","No","Sí"))</f>
        <v/>
      </c>
      <c r="J2494" s="26" t="str">
        <f aca="false">IF(A2494="","",IF(F2494="Inactivo","No","Sí"))</f>
        <v/>
      </c>
      <c r="K2494" s="26" t="str">
        <f aca="false">IF(A2494="","",IF(AND(I2494="Sí",J2494="Sí"),"Sí","No"))</f>
        <v/>
      </c>
    </row>
    <row r="2495" customFormat="false" ht="15" hidden="false" customHeight="false" outlineLevel="0" collapsed="false">
      <c r="A2495" s="22"/>
      <c r="B2495" s="22"/>
      <c r="C2495" s="23" t="str">
        <f aca="false">IF(A2495="","",IFERROR(buscarx(A2495&amp;B2495,DATA!$E$3:$E$10000&amp;DATA!$B$3:$B$10000,DATA!$M$3:$M$10000),"No encontrado"))</f>
        <v/>
      </c>
      <c r="D2495" s="24" t="str">
        <f aca="false">IF(A2495="","",IFERROR(buscarx(A2495&amp;B2495,DATA!$E$3:$E$10000&amp;DATA!$B$3:$B$10000,DATA!$W$3:$W$10000),"No encontrado"))</f>
        <v/>
      </c>
      <c r="E2495" s="22"/>
      <c r="F2495" s="23" t="str">
        <f aca="false">IF(A2495="","",IFERROR(buscarx(A2495&amp;E2495,DATA!$E$3:$E$10000&amp;DATA!$B$3:$B$10000,DATA!$M$3:$M$10000),"Inactivo"))</f>
        <v/>
      </c>
      <c r="G2495" s="25" t="str">
        <f aca="false">IF(A2495="","",IF(AND(C2495&lt;&gt;"No encontrado",F2495&lt;&gt;"Inactivo"),C2495&amp;" → "&amp;F2495,"Sin transición"))</f>
        <v/>
      </c>
      <c r="H2495" s="23" t="str">
        <f aca="false">IF(A2495="","",IF(D2495="GCIA LINEA SERVICIO DIGITALIDAD Y VENTAS","Chats",IF(OR(D2495="GERENCIA INBOUND LÍNEAS SERVICIO Y VENTA",D2495="GERENCIA INBOUND LINEAS ESPECIALIZADAS"),"Llamadas","Otro")))</f>
        <v/>
      </c>
      <c r="I2495" s="23" t="str">
        <f aca="false">IF(A2495="","",IF(C2495="No encontrado","No","Sí"))</f>
        <v/>
      </c>
      <c r="J2495" s="23" t="str">
        <f aca="false">IF(A2495="","",IF(F2495="Inactivo","No","Sí"))</f>
        <v/>
      </c>
      <c r="K2495" s="23" t="str">
        <f aca="false">IF(A2495="","",IF(AND(I2495="Sí",J2495="Sí"),"Sí","No"))</f>
        <v/>
      </c>
    </row>
    <row r="2496" customFormat="false" ht="15" hidden="false" customHeight="false" outlineLevel="0" collapsed="false">
      <c r="A2496" s="22"/>
      <c r="B2496" s="22"/>
      <c r="C2496" s="26" t="str">
        <f aca="false">IF(A2496="","",IFERROR(buscarx(A2496&amp;B2496,DATA!$E$3:$E$10000&amp;DATA!$B$3:$B$10000,DATA!$M$3:$M$10000),"No encontrado"))</f>
        <v/>
      </c>
      <c r="D2496" s="27" t="str">
        <f aca="false">IF(A2496="","",IFERROR(buscarx(A2496&amp;B2496,DATA!$E$3:$E$10000&amp;DATA!$B$3:$B$10000,DATA!$W$3:$W$10000),"No encontrado"))</f>
        <v/>
      </c>
      <c r="E2496" s="22"/>
      <c r="F2496" s="26" t="str">
        <f aca="false">IF(A2496="","",IFERROR(buscarx(A2496&amp;E2496,DATA!$E$3:$E$10000&amp;DATA!$B$3:$B$10000,DATA!$M$3:$M$10000),"Inactivo"))</f>
        <v/>
      </c>
      <c r="G2496" s="28" t="str">
        <f aca="false">IF(A2496="","",IF(AND(C2496&lt;&gt;"No encontrado",F2496&lt;&gt;"Inactivo"),C2496&amp;" → "&amp;F2496,"Sin transición"))</f>
        <v/>
      </c>
      <c r="H2496" s="26" t="str">
        <f aca="false">IF(A2496="","",IF(D2496="GCIA LINEA SERVICIO DIGITALIDAD Y VENTAS","Chats",IF(OR(D2496="GERENCIA INBOUND LÍNEAS SERVICIO Y VENTA",D2496="GERENCIA INBOUND LINEAS ESPECIALIZADAS"),"Llamadas","Otro")))</f>
        <v/>
      </c>
      <c r="I2496" s="26" t="str">
        <f aca="false">IF(A2496="","",IF(C2496="No encontrado","No","Sí"))</f>
        <v/>
      </c>
      <c r="J2496" s="26" t="str">
        <f aca="false">IF(A2496="","",IF(F2496="Inactivo","No","Sí"))</f>
        <v/>
      </c>
      <c r="K2496" s="26" t="str">
        <f aca="false">IF(A2496="","",IF(AND(I2496="Sí",J2496="Sí"),"Sí","No"))</f>
        <v/>
      </c>
    </row>
    <row r="2497" customFormat="false" ht="15" hidden="false" customHeight="false" outlineLevel="0" collapsed="false">
      <c r="A2497" s="22"/>
      <c r="B2497" s="22"/>
      <c r="C2497" s="23" t="str">
        <f aca="false">IF(A2497="","",IFERROR(buscarx(A2497&amp;B2497,DATA!$E$3:$E$10000&amp;DATA!$B$3:$B$10000,DATA!$M$3:$M$10000),"No encontrado"))</f>
        <v/>
      </c>
      <c r="D2497" s="24" t="str">
        <f aca="false">IF(A2497="","",IFERROR(buscarx(A2497&amp;B2497,DATA!$E$3:$E$10000&amp;DATA!$B$3:$B$10000,DATA!$W$3:$W$10000),"No encontrado"))</f>
        <v/>
      </c>
      <c r="E2497" s="22"/>
      <c r="F2497" s="23" t="str">
        <f aca="false">IF(A2497="","",IFERROR(buscarx(A2497&amp;E2497,DATA!$E$3:$E$10000&amp;DATA!$B$3:$B$10000,DATA!$M$3:$M$10000),"Inactivo"))</f>
        <v/>
      </c>
      <c r="G2497" s="25" t="str">
        <f aca="false">IF(A2497="","",IF(AND(C2497&lt;&gt;"No encontrado",F2497&lt;&gt;"Inactivo"),C2497&amp;" → "&amp;F2497,"Sin transición"))</f>
        <v/>
      </c>
      <c r="H2497" s="23" t="str">
        <f aca="false">IF(A2497="","",IF(D2497="GCIA LINEA SERVICIO DIGITALIDAD Y VENTAS","Chats",IF(OR(D2497="GERENCIA INBOUND LÍNEAS SERVICIO Y VENTA",D2497="GERENCIA INBOUND LINEAS ESPECIALIZADAS"),"Llamadas","Otro")))</f>
        <v/>
      </c>
      <c r="I2497" s="23" t="str">
        <f aca="false">IF(A2497="","",IF(C2497="No encontrado","No","Sí"))</f>
        <v/>
      </c>
      <c r="J2497" s="23" t="str">
        <f aca="false">IF(A2497="","",IF(F2497="Inactivo","No","Sí"))</f>
        <v/>
      </c>
      <c r="K2497" s="23" t="str">
        <f aca="false">IF(A2497="","",IF(AND(I2497="Sí",J2497="Sí"),"Sí","No"))</f>
        <v/>
      </c>
    </row>
    <row r="2498" customFormat="false" ht="15" hidden="false" customHeight="false" outlineLevel="0" collapsed="false">
      <c r="A2498" s="22"/>
      <c r="B2498" s="22"/>
      <c r="C2498" s="26" t="str">
        <f aca="false">IF(A2498="","",IFERROR(buscarx(A2498&amp;B2498,DATA!$E$3:$E$10000&amp;DATA!$B$3:$B$10000,DATA!$M$3:$M$10000),"No encontrado"))</f>
        <v/>
      </c>
      <c r="D2498" s="27" t="str">
        <f aca="false">IF(A2498="","",IFERROR(buscarx(A2498&amp;B2498,DATA!$E$3:$E$10000&amp;DATA!$B$3:$B$10000,DATA!$W$3:$W$10000),"No encontrado"))</f>
        <v/>
      </c>
      <c r="E2498" s="22"/>
      <c r="F2498" s="26" t="str">
        <f aca="false">IF(A2498="","",IFERROR(buscarx(A2498&amp;E2498,DATA!$E$3:$E$10000&amp;DATA!$B$3:$B$10000,DATA!$M$3:$M$10000),"Inactivo"))</f>
        <v/>
      </c>
      <c r="G2498" s="28" t="str">
        <f aca="false">IF(A2498="","",IF(AND(C2498&lt;&gt;"No encontrado",F2498&lt;&gt;"Inactivo"),C2498&amp;" → "&amp;F2498,"Sin transición"))</f>
        <v/>
      </c>
      <c r="H2498" s="26" t="str">
        <f aca="false">IF(A2498="","",IF(D2498="GCIA LINEA SERVICIO DIGITALIDAD Y VENTAS","Chats",IF(OR(D2498="GERENCIA INBOUND LÍNEAS SERVICIO Y VENTA",D2498="GERENCIA INBOUND LINEAS ESPECIALIZADAS"),"Llamadas","Otro")))</f>
        <v/>
      </c>
      <c r="I2498" s="26" t="str">
        <f aca="false">IF(A2498="","",IF(C2498="No encontrado","No","Sí"))</f>
        <v/>
      </c>
      <c r="J2498" s="26" t="str">
        <f aca="false">IF(A2498="","",IF(F2498="Inactivo","No","Sí"))</f>
        <v/>
      </c>
      <c r="K2498" s="26" t="str">
        <f aca="false">IF(A2498="","",IF(AND(I2498="Sí",J2498="Sí"),"Sí","No"))</f>
        <v/>
      </c>
    </row>
    <row r="2499" customFormat="false" ht="15" hidden="false" customHeight="false" outlineLevel="0" collapsed="false">
      <c r="A2499" s="22"/>
      <c r="B2499" s="22"/>
      <c r="C2499" s="23" t="str">
        <f aca="false">IF(A2499="","",IFERROR(buscarx(A2499&amp;B2499,DATA!$E$3:$E$10000&amp;DATA!$B$3:$B$10000,DATA!$M$3:$M$10000),"No encontrado"))</f>
        <v/>
      </c>
      <c r="D2499" s="24" t="str">
        <f aca="false">IF(A2499="","",IFERROR(buscarx(A2499&amp;B2499,DATA!$E$3:$E$10000&amp;DATA!$B$3:$B$10000,DATA!$W$3:$W$10000),"No encontrado"))</f>
        <v/>
      </c>
      <c r="E2499" s="22"/>
      <c r="F2499" s="23" t="str">
        <f aca="false">IF(A2499="","",IFERROR(buscarx(A2499&amp;E2499,DATA!$E$3:$E$10000&amp;DATA!$B$3:$B$10000,DATA!$M$3:$M$10000),"Inactivo"))</f>
        <v/>
      </c>
      <c r="G2499" s="25" t="str">
        <f aca="false">IF(A2499="","",IF(AND(C2499&lt;&gt;"No encontrado",F2499&lt;&gt;"Inactivo"),C2499&amp;" → "&amp;F2499,"Sin transición"))</f>
        <v/>
      </c>
      <c r="H2499" s="23" t="str">
        <f aca="false">IF(A2499="","",IF(D2499="GCIA LINEA SERVICIO DIGITALIDAD Y VENTAS","Chats",IF(OR(D2499="GERENCIA INBOUND LÍNEAS SERVICIO Y VENTA",D2499="GERENCIA INBOUND LINEAS ESPECIALIZADAS"),"Llamadas","Otro")))</f>
        <v/>
      </c>
      <c r="I2499" s="23" t="str">
        <f aca="false">IF(A2499="","",IF(C2499="No encontrado","No","Sí"))</f>
        <v/>
      </c>
      <c r="J2499" s="23" t="str">
        <f aca="false">IF(A2499="","",IF(F2499="Inactivo","No","Sí"))</f>
        <v/>
      </c>
      <c r="K2499" s="23" t="str">
        <f aca="false">IF(A2499="","",IF(AND(I2499="Sí",J2499="Sí"),"Sí","No"))</f>
        <v/>
      </c>
    </row>
    <row r="2500" customFormat="false" ht="15" hidden="false" customHeight="false" outlineLevel="0" collapsed="false">
      <c r="A2500" s="22"/>
      <c r="B2500" s="22"/>
      <c r="C2500" s="26" t="str">
        <f aca="false">IF(A2500="","",IFERROR(buscarx(A2500&amp;B2500,DATA!$E$3:$E$10000&amp;DATA!$B$3:$B$10000,DATA!$M$3:$M$10000),"No encontrado"))</f>
        <v/>
      </c>
      <c r="D2500" s="27" t="str">
        <f aca="false">IF(A2500="","",IFERROR(buscarx(A2500&amp;B2500,DATA!$E$3:$E$10000&amp;DATA!$B$3:$B$10000,DATA!$W$3:$W$10000),"No encontrado"))</f>
        <v/>
      </c>
      <c r="E2500" s="22"/>
      <c r="F2500" s="26" t="str">
        <f aca="false">IF(A2500="","",IFERROR(buscarx(A2500&amp;E2500,DATA!$E$3:$E$10000&amp;DATA!$B$3:$B$10000,DATA!$M$3:$M$10000),"Inactivo"))</f>
        <v/>
      </c>
      <c r="G2500" s="28" t="str">
        <f aca="false">IF(A2500="","",IF(AND(C2500&lt;&gt;"No encontrado",F2500&lt;&gt;"Inactivo"),C2500&amp;" → "&amp;F2500,"Sin transición"))</f>
        <v/>
      </c>
      <c r="H2500" s="26" t="str">
        <f aca="false">IF(A2500="","",IF(D2500="GCIA LINEA SERVICIO DIGITALIDAD Y VENTAS","Chats",IF(OR(D2500="GERENCIA INBOUND LÍNEAS SERVICIO Y VENTA",D2500="GERENCIA INBOUND LINEAS ESPECIALIZADAS"),"Llamadas","Otro")))</f>
        <v/>
      </c>
      <c r="I2500" s="26" t="str">
        <f aca="false">IF(A2500="","",IF(C2500="No encontrado","No","Sí"))</f>
        <v/>
      </c>
      <c r="J2500" s="26" t="str">
        <f aca="false">IF(A2500="","",IF(F2500="Inactivo","No","Sí"))</f>
        <v/>
      </c>
      <c r="K2500" s="26" t="str">
        <f aca="false">IF(A2500="","",IF(AND(I2500="Sí",J2500="Sí"),"Sí","No"))</f>
        <v/>
      </c>
    </row>
    <row r="2501" customFormat="false" ht="15" hidden="false" customHeight="false" outlineLevel="0" collapsed="false">
      <c r="A2501" s="22"/>
      <c r="B2501" s="22"/>
      <c r="C2501" s="23" t="str">
        <f aca="false">IF(A2501="","",IFERROR(buscarx(A2501&amp;B2501,DATA!$E$3:$E$10000&amp;DATA!$B$3:$B$10000,DATA!$M$3:$M$10000),"No encontrado"))</f>
        <v/>
      </c>
      <c r="D2501" s="24" t="str">
        <f aca="false">IF(A2501="","",IFERROR(buscarx(A2501&amp;B2501,DATA!$E$3:$E$10000&amp;DATA!$B$3:$B$10000,DATA!$W$3:$W$10000),"No encontrado"))</f>
        <v/>
      </c>
      <c r="E2501" s="22"/>
      <c r="F2501" s="23" t="str">
        <f aca="false">IF(A2501="","",IFERROR(buscarx(A2501&amp;E2501,DATA!$E$3:$E$10000&amp;DATA!$B$3:$B$10000,DATA!$M$3:$M$10000),"Inactivo"))</f>
        <v/>
      </c>
      <c r="G2501" s="25" t="str">
        <f aca="false">IF(A2501="","",IF(AND(C2501&lt;&gt;"No encontrado",F2501&lt;&gt;"Inactivo"),C2501&amp;" → "&amp;F2501,"Sin transición"))</f>
        <v/>
      </c>
      <c r="H2501" s="23" t="str">
        <f aca="false">IF(A2501="","",IF(D2501="GCIA LINEA SERVICIO DIGITALIDAD Y VENTAS","Chats",IF(OR(D2501="GERENCIA INBOUND LÍNEAS SERVICIO Y VENTA",D2501="GERENCIA INBOUND LINEAS ESPECIALIZADAS"),"Llamadas","Otro")))</f>
        <v/>
      </c>
      <c r="I2501" s="23" t="str">
        <f aca="false">IF(A2501="","",IF(C2501="No encontrado","No","Sí"))</f>
        <v/>
      </c>
      <c r="J2501" s="23" t="str">
        <f aca="false">IF(A2501="","",IF(F2501="Inactivo","No","Sí"))</f>
        <v/>
      </c>
      <c r="K2501" s="23" t="str">
        <f aca="false">IF(A2501="","",IF(AND(I2501="Sí",J2501="Sí"),"Sí","No"))</f>
        <v/>
      </c>
    </row>
    <row r="2502" customFormat="false" ht="15" hidden="false" customHeight="false" outlineLevel="0" collapsed="false">
      <c r="A2502" s="22"/>
      <c r="B2502" s="22"/>
      <c r="C2502" s="26" t="str">
        <f aca="false">IF(A2502="","",IFERROR(buscarx(A2502&amp;B2502,DATA!$E$3:$E$10000&amp;DATA!$B$3:$B$10000,DATA!$M$3:$M$10000),"No encontrado"))</f>
        <v/>
      </c>
      <c r="D2502" s="27" t="str">
        <f aca="false">IF(A2502="","",IFERROR(buscarx(A2502&amp;B2502,DATA!$E$3:$E$10000&amp;DATA!$B$3:$B$10000,DATA!$W$3:$W$10000),"No encontrado"))</f>
        <v/>
      </c>
      <c r="E2502" s="22"/>
      <c r="F2502" s="26" t="str">
        <f aca="false">IF(A2502="","",IFERROR(buscarx(A2502&amp;E2502,DATA!$E$3:$E$10000&amp;DATA!$B$3:$B$10000,DATA!$M$3:$M$10000),"Inactivo"))</f>
        <v/>
      </c>
      <c r="G2502" s="28" t="str">
        <f aca="false">IF(A2502="","",IF(AND(C2502&lt;&gt;"No encontrado",F2502&lt;&gt;"Inactivo"),C2502&amp;" → "&amp;F2502,"Sin transición"))</f>
        <v/>
      </c>
      <c r="H2502" s="26" t="str">
        <f aca="false">IF(A2502="","",IF(D2502="GCIA LINEA SERVICIO DIGITALIDAD Y VENTAS","Chats",IF(OR(D2502="GERENCIA INBOUND LÍNEAS SERVICIO Y VENTA",D2502="GERENCIA INBOUND LINEAS ESPECIALIZADAS"),"Llamadas","Otro")))</f>
        <v/>
      </c>
      <c r="I2502" s="26" t="str">
        <f aca="false">IF(A2502="","",IF(C2502="No encontrado","No","Sí"))</f>
        <v/>
      </c>
      <c r="J2502" s="26" t="str">
        <f aca="false">IF(A2502="","",IF(F2502="Inactivo","No","Sí"))</f>
        <v/>
      </c>
      <c r="K2502" s="26" t="str">
        <f aca="false">IF(A2502="","",IF(AND(I2502="Sí",J2502="Sí"),"Sí","No"))</f>
        <v/>
      </c>
    </row>
    <row r="2503" customFormat="false" ht="15" hidden="false" customHeight="false" outlineLevel="0" collapsed="false">
      <c r="A2503" s="22"/>
      <c r="B2503" s="22"/>
      <c r="C2503" s="23" t="str">
        <f aca="false">IF(A2503="","",IFERROR(buscarx(A2503&amp;B2503,DATA!$E$3:$E$10000&amp;DATA!$B$3:$B$10000,DATA!$M$3:$M$10000),"No encontrado"))</f>
        <v/>
      </c>
      <c r="D2503" s="24" t="str">
        <f aca="false">IF(A2503="","",IFERROR(buscarx(A2503&amp;B2503,DATA!$E$3:$E$10000&amp;DATA!$B$3:$B$10000,DATA!$W$3:$W$10000),"No encontrado"))</f>
        <v/>
      </c>
      <c r="E2503" s="22"/>
      <c r="F2503" s="23" t="str">
        <f aca="false">IF(A2503="","",IFERROR(buscarx(A2503&amp;E2503,DATA!$E$3:$E$10000&amp;DATA!$B$3:$B$10000,DATA!$M$3:$M$10000),"Inactivo"))</f>
        <v/>
      </c>
      <c r="G2503" s="25" t="str">
        <f aca="false">IF(A2503="","",IF(AND(C2503&lt;&gt;"No encontrado",F2503&lt;&gt;"Inactivo"),C2503&amp;" → "&amp;F2503,"Sin transición"))</f>
        <v/>
      </c>
      <c r="H2503" s="23" t="str">
        <f aca="false">IF(A2503="","",IF(D2503="GCIA LINEA SERVICIO DIGITALIDAD Y VENTAS","Chats",IF(OR(D2503="GERENCIA INBOUND LÍNEAS SERVICIO Y VENTA",D2503="GERENCIA INBOUND LINEAS ESPECIALIZADAS"),"Llamadas","Otro")))</f>
        <v/>
      </c>
      <c r="I2503" s="23" t="str">
        <f aca="false">IF(A2503="","",IF(C2503="No encontrado","No","Sí"))</f>
        <v/>
      </c>
      <c r="J2503" s="23" t="str">
        <f aca="false">IF(A2503="","",IF(F2503="Inactivo","No","Sí"))</f>
        <v/>
      </c>
      <c r="K2503" s="23" t="str">
        <f aca="false">IF(A2503="","",IF(AND(I2503="Sí",J2503="Sí"),"Sí","No"))</f>
        <v/>
      </c>
    </row>
    <row r="2504" customFormat="false" ht="15" hidden="false" customHeight="false" outlineLevel="0" collapsed="false">
      <c r="A2504" s="22"/>
      <c r="B2504" s="22"/>
      <c r="C2504" s="26" t="str">
        <f aca="false">IF(A2504="","",IFERROR(buscarx(A2504&amp;B2504,DATA!$E$3:$E$10000&amp;DATA!$B$3:$B$10000,DATA!$M$3:$M$10000),"No encontrado"))</f>
        <v/>
      </c>
      <c r="D2504" s="27" t="str">
        <f aca="false">IF(A2504="","",IFERROR(buscarx(A2504&amp;B2504,DATA!$E$3:$E$10000&amp;DATA!$B$3:$B$10000,DATA!$W$3:$W$10000),"No encontrado"))</f>
        <v/>
      </c>
      <c r="E2504" s="22"/>
      <c r="F2504" s="26" t="str">
        <f aca="false">IF(A2504="","",IFERROR(buscarx(A2504&amp;E2504,DATA!$E$3:$E$10000&amp;DATA!$B$3:$B$10000,DATA!$M$3:$M$10000),"Inactivo"))</f>
        <v/>
      </c>
      <c r="G2504" s="28" t="str">
        <f aca="false">IF(A2504="","",IF(AND(C2504&lt;&gt;"No encontrado",F2504&lt;&gt;"Inactivo"),C2504&amp;" → "&amp;F2504,"Sin transición"))</f>
        <v/>
      </c>
      <c r="H2504" s="26" t="str">
        <f aca="false">IF(A2504="","",IF(D2504="GCIA LINEA SERVICIO DIGITALIDAD Y VENTAS","Chats",IF(OR(D2504="GERENCIA INBOUND LÍNEAS SERVICIO Y VENTA",D2504="GERENCIA INBOUND LINEAS ESPECIALIZADAS"),"Llamadas","Otro")))</f>
        <v/>
      </c>
      <c r="I2504" s="26" t="str">
        <f aca="false">IF(A2504="","",IF(C2504="No encontrado","No","Sí"))</f>
        <v/>
      </c>
      <c r="J2504" s="26" t="str">
        <f aca="false">IF(A2504="","",IF(F2504="Inactivo","No","Sí"))</f>
        <v/>
      </c>
      <c r="K2504" s="26" t="str">
        <f aca="false">IF(A2504="","",IF(AND(I2504="Sí",J2504="Sí"),"Sí","No"))</f>
        <v/>
      </c>
    </row>
    <row r="2505" customFormat="false" ht="15" hidden="false" customHeight="false" outlineLevel="0" collapsed="false">
      <c r="A2505" s="22"/>
      <c r="B2505" s="22"/>
      <c r="C2505" s="23" t="str">
        <f aca="false">IF(A2505="","",IFERROR(buscarx(A2505&amp;B2505,DATA!$E$3:$E$10000&amp;DATA!$B$3:$B$10000,DATA!$M$3:$M$10000),"No encontrado"))</f>
        <v/>
      </c>
      <c r="D2505" s="24" t="str">
        <f aca="false">IF(A2505="","",IFERROR(buscarx(A2505&amp;B2505,DATA!$E$3:$E$10000&amp;DATA!$B$3:$B$10000,DATA!$W$3:$W$10000),"No encontrado"))</f>
        <v/>
      </c>
      <c r="E2505" s="22"/>
      <c r="F2505" s="23" t="str">
        <f aca="false">IF(A2505="","",IFERROR(buscarx(A2505&amp;E2505,DATA!$E$3:$E$10000&amp;DATA!$B$3:$B$10000,DATA!$M$3:$M$10000),"Inactivo"))</f>
        <v/>
      </c>
      <c r="G2505" s="25" t="str">
        <f aca="false">IF(A2505="","",IF(AND(C2505&lt;&gt;"No encontrado",F2505&lt;&gt;"Inactivo"),C2505&amp;" → "&amp;F2505,"Sin transición"))</f>
        <v/>
      </c>
      <c r="H2505" s="23" t="str">
        <f aca="false">IF(A2505="","",IF(D2505="GCIA LINEA SERVICIO DIGITALIDAD Y VENTAS","Chats",IF(OR(D2505="GERENCIA INBOUND LÍNEAS SERVICIO Y VENTA",D2505="GERENCIA INBOUND LINEAS ESPECIALIZADAS"),"Llamadas","Otro")))</f>
        <v/>
      </c>
      <c r="I2505" s="23" t="str">
        <f aca="false">IF(A2505="","",IF(C2505="No encontrado","No","Sí"))</f>
        <v/>
      </c>
      <c r="J2505" s="23" t="str">
        <f aca="false">IF(A2505="","",IF(F2505="Inactivo","No","Sí"))</f>
        <v/>
      </c>
      <c r="K2505" s="23" t="str">
        <f aca="false">IF(A2505="","",IF(AND(I2505="Sí",J2505="Sí"),"Sí","No"))</f>
        <v/>
      </c>
    </row>
    <row r="2506" customFormat="false" ht="15" hidden="false" customHeight="false" outlineLevel="0" collapsed="false">
      <c r="A2506" s="22"/>
      <c r="B2506" s="22"/>
      <c r="C2506" s="26" t="str">
        <f aca="false">IF(A2506="","",IFERROR(buscarx(A2506&amp;B2506,DATA!$E$3:$E$10000&amp;DATA!$B$3:$B$10000,DATA!$M$3:$M$10000),"No encontrado"))</f>
        <v/>
      </c>
      <c r="D2506" s="27" t="str">
        <f aca="false">IF(A2506="","",IFERROR(buscarx(A2506&amp;B2506,DATA!$E$3:$E$10000&amp;DATA!$B$3:$B$10000,DATA!$W$3:$W$10000),"No encontrado"))</f>
        <v/>
      </c>
      <c r="E2506" s="22"/>
      <c r="F2506" s="26" t="str">
        <f aca="false">IF(A2506="","",IFERROR(buscarx(A2506&amp;E2506,DATA!$E$3:$E$10000&amp;DATA!$B$3:$B$10000,DATA!$M$3:$M$10000),"Inactivo"))</f>
        <v/>
      </c>
      <c r="G2506" s="28" t="str">
        <f aca="false">IF(A2506="","",IF(AND(C2506&lt;&gt;"No encontrado",F2506&lt;&gt;"Inactivo"),C2506&amp;" → "&amp;F2506,"Sin transición"))</f>
        <v/>
      </c>
      <c r="H2506" s="26" t="str">
        <f aca="false">IF(A2506="","",IF(D2506="GCIA LINEA SERVICIO DIGITALIDAD Y VENTAS","Chats",IF(OR(D2506="GERENCIA INBOUND LÍNEAS SERVICIO Y VENTA",D2506="GERENCIA INBOUND LINEAS ESPECIALIZADAS"),"Llamadas","Otro")))</f>
        <v/>
      </c>
      <c r="I2506" s="26" t="str">
        <f aca="false">IF(A2506="","",IF(C2506="No encontrado","No","Sí"))</f>
        <v/>
      </c>
      <c r="J2506" s="26" t="str">
        <f aca="false">IF(A2506="","",IF(F2506="Inactivo","No","Sí"))</f>
        <v/>
      </c>
      <c r="K2506" s="26" t="str">
        <f aca="false">IF(A2506="","",IF(AND(I2506="Sí",J2506="Sí"),"Sí","No"))</f>
        <v/>
      </c>
    </row>
    <row r="2507" customFormat="false" ht="15" hidden="false" customHeight="false" outlineLevel="0" collapsed="false">
      <c r="A2507" s="22"/>
      <c r="B2507" s="22"/>
      <c r="C2507" s="23" t="str">
        <f aca="false">IF(A2507="","",IFERROR(buscarx(A2507&amp;B2507,DATA!$E$3:$E$10000&amp;DATA!$B$3:$B$10000,DATA!$M$3:$M$10000),"No encontrado"))</f>
        <v/>
      </c>
      <c r="D2507" s="24" t="str">
        <f aca="false">IF(A2507="","",IFERROR(buscarx(A2507&amp;B2507,DATA!$E$3:$E$10000&amp;DATA!$B$3:$B$10000,DATA!$W$3:$W$10000),"No encontrado"))</f>
        <v/>
      </c>
      <c r="E2507" s="22"/>
      <c r="F2507" s="23" t="str">
        <f aca="false">IF(A2507="","",IFERROR(buscarx(A2507&amp;E2507,DATA!$E$3:$E$10000&amp;DATA!$B$3:$B$10000,DATA!$M$3:$M$10000),"Inactivo"))</f>
        <v/>
      </c>
      <c r="G2507" s="25" t="str">
        <f aca="false">IF(A2507="","",IF(AND(C2507&lt;&gt;"No encontrado",F2507&lt;&gt;"Inactivo"),C2507&amp;" → "&amp;F2507,"Sin transición"))</f>
        <v/>
      </c>
      <c r="H2507" s="23" t="str">
        <f aca="false">IF(A2507="","",IF(D2507="GCIA LINEA SERVICIO DIGITALIDAD Y VENTAS","Chats",IF(OR(D2507="GERENCIA INBOUND LÍNEAS SERVICIO Y VENTA",D2507="GERENCIA INBOUND LINEAS ESPECIALIZADAS"),"Llamadas","Otro")))</f>
        <v/>
      </c>
      <c r="I2507" s="23" t="str">
        <f aca="false">IF(A2507="","",IF(C2507="No encontrado","No","Sí"))</f>
        <v/>
      </c>
      <c r="J2507" s="23" t="str">
        <f aca="false">IF(A2507="","",IF(F2507="Inactivo","No","Sí"))</f>
        <v/>
      </c>
      <c r="K2507" s="23" t="str">
        <f aca="false">IF(A2507="","",IF(AND(I2507="Sí",J2507="Sí"),"Sí","No"))</f>
        <v/>
      </c>
    </row>
    <row r="2508" customFormat="false" ht="15" hidden="false" customHeight="false" outlineLevel="0" collapsed="false">
      <c r="A2508" s="22"/>
      <c r="B2508" s="22"/>
      <c r="C2508" s="26" t="str">
        <f aca="false">IF(A2508="","",IFERROR(buscarx(A2508&amp;B2508,DATA!$E$3:$E$10000&amp;DATA!$B$3:$B$10000,DATA!$M$3:$M$10000),"No encontrado"))</f>
        <v/>
      </c>
      <c r="D2508" s="27" t="str">
        <f aca="false">IF(A2508="","",IFERROR(buscarx(A2508&amp;B2508,DATA!$E$3:$E$10000&amp;DATA!$B$3:$B$10000,DATA!$W$3:$W$10000),"No encontrado"))</f>
        <v/>
      </c>
      <c r="E2508" s="22"/>
      <c r="F2508" s="26" t="str">
        <f aca="false">IF(A2508="","",IFERROR(buscarx(A2508&amp;E2508,DATA!$E$3:$E$10000&amp;DATA!$B$3:$B$10000,DATA!$M$3:$M$10000),"Inactivo"))</f>
        <v/>
      </c>
      <c r="G2508" s="28" t="str">
        <f aca="false">IF(A2508="","",IF(AND(C2508&lt;&gt;"No encontrado",F2508&lt;&gt;"Inactivo"),C2508&amp;" → "&amp;F2508,"Sin transición"))</f>
        <v/>
      </c>
      <c r="H2508" s="26" t="str">
        <f aca="false">IF(A2508="","",IF(D2508="GCIA LINEA SERVICIO DIGITALIDAD Y VENTAS","Chats",IF(OR(D2508="GERENCIA INBOUND LÍNEAS SERVICIO Y VENTA",D2508="GERENCIA INBOUND LINEAS ESPECIALIZADAS"),"Llamadas","Otro")))</f>
        <v/>
      </c>
      <c r="I2508" s="26" t="str">
        <f aca="false">IF(A2508="","",IF(C2508="No encontrado","No","Sí"))</f>
        <v/>
      </c>
      <c r="J2508" s="26" t="str">
        <f aca="false">IF(A2508="","",IF(F2508="Inactivo","No","Sí"))</f>
        <v/>
      </c>
      <c r="K2508" s="26" t="str">
        <f aca="false">IF(A2508="","",IF(AND(I2508="Sí",J2508="Sí"),"Sí","No"))</f>
        <v/>
      </c>
    </row>
    <row r="2509" customFormat="false" ht="15" hidden="false" customHeight="false" outlineLevel="0" collapsed="false">
      <c r="A2509" s="22"/>
      <c r="B2509" s="22"/>
      <c r="C2509" s="23" t="str">
        <f aca="false">IF(A2509="","",IFERROR(buscarx(A2509&amp;B2509,DATA!$E$3:$E$10000&amp;DATA!$B$3:$B$10000,DATA!$M$3:$M$10000),"No encontrado"))</f>
        <v/>
      </c>
      <c r="D2509" s="24" t="str">
        <f aca="false">IF(A2509="","",IFERROR(buscarx(A2509&amp;B2509,DATA!$E$3:$E$10000&amp;DATA!$B$3:$B$10000,DATA!$W$3:$W$10000),"No encontrado"))</f>
        <v/>
      </c>
      <c r="E2509" s="22"/>
      <c r="F2509" s="23" t="str">
        <f aca="false">IF(A2509="","",IFERROR(buscarx(A2509&amp;E2509,DATA!$E$3:$E$10000&amp;DATA!$B$3:$B$10000,DATA!$M$3:$M$10000),"Inactivo"))</f>
        <v/>
      </c>
      <c r="G2509" s="25" t="str">
        <f aca="false">IF(A2509="","",IF(AND(C2509&lt;&gt;"No encontrado",F2509&lt;&gt;"Inactivo"),C2509&amp;" → "&amp;F2509,"Sin transición"))</f>
        <v/>
      </c>
      <c r="H2509" s="23" t="str">
        <f aca="false">IF(A2509="","",IF(D2509="GCIA LINEA SERVICIO DIGITALIDAD Y VENTAS","Chats",IF(OR(D2509="GERENCIA INBOUND LÍNEAS SERVICIO Y VENTA",D2509="GERENCIA INBOUND LINEAS ESPECIALIZADAS"),"Llamadas","Otro")))</f>
        <v/>
      </c>
      <c r="I2509" s="23" t="str">
        <f aca="false">IF(A2509="","",IF(C2509="No encontrado","No","Sí"))</f>
        <v/>
      </c>
      <c r="J2509" s="23" t="str">
        <f aca="false">IF(A2509="","",IF(F2509="Inactivo","No","Sí"))</f>
        <v/>
      </c>
      <c r="K2509" s="23" t="str">
        <f aca="false">IF(A2509="","",IF(AND(I2509="Sí",J2509="Sí"),"Sí","No"))</f>
        <v/>
      </c>
    </row>
    <row r="2510" customFormat="false" ht="15" hidden="false" customHeight="false" outlineLevel="0" collapsed="false">
      <c r="A2510" s="22"/>
      <c r="B2510" s="22"/>
      <c r="C2510" s="26" t="str">
        <f aca="false">IF(A2510="","",IFERROR(buscarx(A2510&amp;B2510,DATA!$E$3:$E$10000&amp;DATA!$B$3:$B$10000,DATA!$M$3:$M$10000),"No encontrado"))</f>
        <v/>
      </c>
      <c r="D2510" s="27" t="str">
        <f aca="false">IF(A2510="","",IFERROR(buscarx(A2510&amp;B2510,DATA!$E$3:$E$10000&amp;DATA!$B$3:$B$10000,DATA!$W$3:$W$10000),"No encontrado"))</f>
        <v/>
      </c>
      <c r="E2510" s="22"/>
      <c r="F2510" s="26" t="str">
        <f aca="false">IF(A2510="","",IFERROR(buscarx(A2510&amp;E2510,DATA!$E$3:$E$10000&amp;DATA!$B$3:$B$10000,DATA!$M$3:$M$10000),"Inactivo"))</f>
        <v/>
      </c>
      <c r="G2510" s="28" t="str">
        <f aca="false">IF(A2510="","",IF(AND(C2510&lt;&gt;"No encontrado",F2510&lt;&gt;"Inactivo"),C2510&amp;" → "&amp;F2510,"Sin transición"))</f>
        <v/>
      </c>
      <c r="H2510" s="26" t="str">
        <f aca="false">IF(A2510="","",IF(D2510="GCIA LINEA SERVICIO DIGITALIDAD Y VENTAS","Chats",IF(OR(D2510="GERENCIA INBOUND LÍNEAS SERVICIO Y VENTA",D2510="GERENCIA INBOUND LINEAS ESPECIALIZADAS"),"Llamadas","Otro")))</f>
        <v/>
      </c>
      <c r="I2510" s="26" t="str">
        <f aca="false">IF(A2510="","",IF(C2510="No encontrado","No","Sí"))</f>
        <v/>
      </c>
      <c r="J2510" s="26" t="str">
        <f aca="false">IF(A2510="","",IF(F2510="Inactivo","No","Sí"))</f>
        <v/>
      </c>
      <c r="K2510" s="26" t="str">
        <f aca="false">IF(A2510="","",IF(AND(I2510="Sí",J2510="Sí"),"Sí","No"))</f>
        <v/>
      </c>
    </row>
    <row r="2511" customFormat="false" ht="15" hidden="false" customHeight="false" outlineLevel="0" collapsed="false">
      <c r="A2511" s="22"/>
      <c r="B2511" s="22"/>
      <c r="C2511" s="23" t="str">
        <f aca="false">IF(A2511="","",IFERROR(buscarx(A2511&amp;B2511,DATA!$E$3:$E$10000&amp;DATA!$B$3:$B$10000,DATA!$M$3:$M$10000),"No encontrado"))</f>
        <v/>
      </c>
      <c r="D2511" s="24" t="str">
        <f aca="false">IF(A2511="","",IFERROR(buscarx(A2511&amp;B2511,DATA!$E$3:$E$10000&amp;DATA!$B$3:$B$10000,DATA!$W$3:$W$10000),"No encontrado"))</f>
        <v/>
      </c>
      <c r="E2511" s="22"/>
      <c r="F2511" s="23" t="str">
        <f aca="false">IF(A2511="","",IFERROR(buscarx(A2511&amp;E2511,DATA!$E$3:$E$10000&amp;DATA!$B$3:$B$10000,DATA!$M$3:$M$10000),"Inactivo"))</f>
        <v/>
      </c>
      <c r="G2511" s="25" t="str">
        <f aca="false">IF(A2511="","",IF(AND(C2511&lt;&gt;"No encontrado",F2511&lt;&gt;"Inactivo"),C2511&amp;" → "&amp;F2511,"Sin transición"))</f>
        <v/>
      </c>
      <c r="H2511" s="23" t="str">
        <f aca="false">IF(A2511="","",IF(D2511="GCIA LINEA SERVICIO DIGITALIDAD Y VENTAS","Chats",IF(OR(D2511="GERENCIA INBOUND LÍNEAS SERVICIO Y VENTA",D2511="GERENCIA INBOUND LINEAS ESPECIALIZADAS"),"Llamadas","Otro")))</f>
        <v/>
      </c>
      <c r="I2511" s="23" t="str">
        <f aca="false">IF(A2511="","",IF(C2511="No encontrado","No","Sí"))</f>
        <v/>
      </c>
      <c r="J2511" s="23" t="str">
        <f aca="false">IF(A2511="","",IF(F2511="Inactivo","No","Sí"))</f>
        <v/>
      </c>
      <c r="K2511" s="23" t="str">
        <f aca="false">IF(A2511="","",IF(AND(I2511="Sí",J2511="Sí"),"Sí","No"))</f>
        <v/>
      </c>
    </row>
    <row r="2512" customFormat="false" ht="15" hidden="false" customHeight="false" outlineLevel="0" collapsed="false">
      <c r="A2512" s="22"/>
      <c r="B2512" s="22"/>
      <c r="C2512" s="26" t="str">
        <f aca="false">IF(A2512="","",IFERROR(buscarx(A2512&amp;B2512,DATA!$E$3:$E$10000&amp;DATA!$B$3:$B$10000,DATA!$M$3:$M$10000),"No encontrado"))</f>
        <v/>
      </c>
      <c r="D2512" s="27" t="str">
        <f aca="false">IF(A2512="","",IFERROR(buscarx(A2512&amp;B2512,DATA!$E$3:$E$10000&amp;DATA!$B$3:$B$10000,DATA!$W$3:$W$10000),"No encontrado"))</f>
        <v/>
      </c>
      <c r="E2512" s="22"/>
      <c r="F2512" s="26" t="str">
        <f aca="false">IF(A2512="","",IFERROR(buscarx(A2512&amp;E2512,DATA!$E$3:$E$10000&amp;DATA!$B$3:$B$10000,DATA!$M$3:$M$10000),"Inactivo"))</f>
        <v/>
      </c>
      <c r="G2512" s="28" t="str">
        <f aca="false">IF(A2512="","",IF(AND(C2512&lt;&gt;"No encontrado",F2512&lt;&gt;"Inactivo"),C2512&amp;" → "&amp;F2512,"Sin transición"))</f>
        <v/>
      </c>
      <c r="H2512" s="26" t="str">
        <f aca="false">IF(A2512="","",IF(D2512="GCIA LINEA SERVICIO DIGITALIDAD Y VENTAS","Chats",IF(OR(D2512="GERENCIA INBOUND LÍNEAS SERVICIO Y VENTA",D2512="GERENCIA INBOUND LINEAS ESPECIALIZADAS"),"Llamadas","Otro")))</f>
        <v/>
      </c>
      <c r="I2512" s="26" t="str">
        <f aca="false">IF(A2512="","",IF(C2512="No encontrado","No","Sí"))</f>
        <v/>
      </c>
      <c r="J2512" s="26" t="str">
        <f aca="false">IF(A2512="","",IF(F2512="Inactivo","No","Sí"))</f>
        <v/>
      </c>
      <c r="K2512" s="26" t="str">
        <f aca="false">IF(A2512="","",IF(AND(I2512="Sí",J2512="Sí"),"Sí","No"))</f>
        <v/>
      </c>
    </row>
    <row r="2513" customFormat="false" ht="15" hidden="false" customHeight="false" outlineLevel="0" collapsed="false">
      <c r="A2513" s="22"/>
      <c r="B2513" s="22"/>
      <c r="C2513" s="23" t="str">
        <f aca="false">IF(A2513="","",IFERROR(buscarx(A2513&amp;B2513,DATA!$E$3:$E$10000&amp;DATA!$B$3:$B$10000,DATA!$M$3:$M$10000),"No encontrado"))</f>
        <v/>
      </c>
      <c r="D2513" s="24" t="str">
        <f aca="false">IF(A2513="","",IFERROR(buscarx(A2513&amp;B2513,DATA!$E$3:$E$10000&amp;DATA!$B$3:$B$10000,DATA!$W$3:$W$10000),"No encontrado"))</f>
        <v/>
      </c>
      <c r="E2513" s="22"/>
      <c r="F2513" s="23" t="str">
        <f aca="false">IF(A2513="","",IFERROR(buscarx(A2513&amp;E2513,DATA!$E$3:$E$10000&amp;DATA!$B$3:$B$10000,DATA!$M$3:$M$10000),"Inactivo"))</f>
        <v/>
      </c>
      <c r="G2513" s="25" t="str">
        <f aca="false">IF(A2513="","",IF(AND(C2513&lt;&gt;"No encontrado",F2513&lt;&gt;"Inactivo"),C2513&amp;" → "&amp;F2513,"Sin transición"))</f>
        <v/>
      </c>
      <c r="H2513" s="23" t="str">
        <f aca="false">IF(A2513="","",IF(D2513="GCIA LINEA SERVICIO DIGITALIDAD Y VENTAS","Chats",IF(OR(D2513="GERENCIA INBOUND LÍNEAS SERVICIO Y VENTA",D2513="GERENCIA INBOUND LINEAS ESPECIALIZADAS"),"Llamadas","Otro")))</f>
        <v/>
      </c>
      <c r="I2513" s="23" t="str">
        <f aca="false">IF(A2513="","",IF(C2513="No encontrado","No","Sí"))</f>
        <v/>
      </c>
      <c r="J2513" s="23" t="str">
        <f aca="false">IF(A2513="","",IF(F2513="Inactivo","No","Sí"))</f>
        <v/>
      </c>
      <c r="K2513" s="23" t="str">
        <f aca="false">IF(A2513="","",IF(AND(I2513="Sí",J2513="Sí"),"Sí","No"))</f>
        <v/>
      </c>
    </row>
    <row r="2514" customFormat="false" ht="15" hidden="false" customHeight="false" outlineLevel="0" collapsed="false">
      <c r="A2514" s="22"/>
      <c r="B2514" s="22"/>
      <c r="C2514" s="26" t="str">
        <f aca="false">IF(A2514="","",IFERROR(buscarx(A2514&amp;B2514,DATA!$E$3:$E$10000&amp;DATA!$B$3:$B$10000,DATA!$M$3:$M$10000),"No encontrado"))</f>
        <v/>
      </c>
      <c r="D2514" s="27" t="str">
        <f aca="false">IF(A2514="","",IFERROR(buscarx(A2514&amp;B2514,DATA!$E$3:$E$10000&amp;DATA!$B$3:$B$10000,DATA!$W$3:$W$10000),"No encontrado"))</f>
        <v/>
      </c>
      <c r="E2514" s="22"/>
      <c r="F2514" s="26" t="str">
        <f aca="false">IF(A2514="","",IFERROR(buscarx(A2514&amp;E2514,DATA!$E$3:$E$10000&amp;DATA!$B$3:$B$10000,DATA!$M$3:$M$10000),"Inactivo"))</f>
        <v/>
      </c>
      <c r="G2514" s="28" t="str">
        <f aca="false">IF(A2514="","",IF(AND(C2514&lt;&gt;"No encontrado",F2514&lt;&gt;"Inactivo"),C2514&amp;" → "&amp;F2514,"Sin transición"))</f>
        <v/>
      </c>
      <c r="H2514" s="26" t="str">
        <f aca="false">IF(A2514="","",IF(D2514="GCIA LINEA SERVICIO DIGITALIDAD Y VENTAS","Chats",IF(OR(D2514="GERENCIA INBOUND LÍNEAS SERVICIO Y VENTA",D2514="GERENCIA INBOUND LINEAS ESPECIALIZADAS"),"Llamadas","Otro")))</f>
        <v/>
      </c>
      <c r="I2514" s="26" t="str">
        <f aca="false">IF(A2514="","",IF(C2514="No encontrado","No","Sí"))</f>
        <v/>
      </c>
      <c r="J2514" s="26" t="str">
        <f aca="false">IF(A2514="","",IF(F2514="Inactivo","No","Sí"))</f>
        <v/>
      </c>
      <c r="K2514" s="26" t="str">
        <f aca="false">IF(A2514="","",IF(AND(I2514="Sí",J2514="Sí"),"Sí","No"))</f>
        <v/>
      </c>
    </row>
    <row r="2515" customFormat="false" ht="15" hidden="false" customHeight="false" outlineLevel="0" collapsed="false">
      <c r="A2515" s="22"/>
      <c r="B2515" s="22"/>
      <c r="C2515" s="23" t="str">
        <f aca="false">IF(A2515="","",IFERROR(buscarx(A2515&amp;B2515,DATA!$E$3:$E$10000&amp;DATA!$B$3:$B$10000,DATA!$M$3:$M$10000),"No encontrado"))</f>
        <v/>
      </c>
      <c r="D2515" s="24" t="str">
        <f aca="false">IF(A2515="","",IFERROR(buscarx(A2515&amp;B2515,DATA!$E$3:$E$10000&amp;DATA!$B$3:$B$10000,DATA!$W$3:$W$10000),"No encontrado"))</f>
        <v/>
      </c>
      <c r="E2515" s="22"/>
      <c r="F2515" s="23" t="str">
        <f aca="false">IF(A2515="","",IFERROR(buscarx(A2515&amp;E2515,DATA!$E$3:$E$10000&amp;DATA!$B$3:$B$10000,DATA!$M$3:$M$10000),"Inactivo"))</f>
        <v/>
      </c>
      <c r="G2515" s="25" t="str">
        <f aca="false">IF(A2515="","",IF(AND(C2515&lt;&gt;"No encontrado",F2515&lt;&gt;"Inactivo"),C2515&amp;" → "&amp;F2515,"Sin transición"))</f>
        <v/>
      </c>
      <c r="H2515" s="23" t="str">
        <f aca="false">IF(A2515="","",IF(D2515="GCIA LINEA SERVICIO DIGITALIDAD Y VENTAS","Chats",IF(OR(D2515="GERENCIA INBOUND LÍNEAS SERVICIO Y VENTA",D2515="GERENCIA INBOUND LINEAS ESPECIALIZADAS"),"Llamadas","Otro")))</f>
        <v/>
      </c>
      <c r="I2515" s="23" t="str">
        <f aca="false">IF(A2515="","",IF(C2515="No encontrado","No","Sí"))</f>
        <v/>
      </c>
      <c r="J2515" s="23" t="str">
        <f aca="false">IF(A2515="","",IF(F2515="Inactivo","No","Sí"))</f>
        <v/>
      </c>
      <c r="K2515" s="23" t="str">
        <f aca="false">IF(A2515="","",IF(AND(I2515="Sí",J2515="Sí"),"Sí","No"))</f>
        <v/>
      </c>
    </row>
    <row r="2516" customFormat="false" ht="15" hidden="false" customHeight="false" outlineLevel="0" collapsed="false">
      <c r="A2516" s="22"/>
      <c r="B2516" s="22"/>
      <c r="C2516" s="26" t="str">
        <f aca="false">IF(A2516="","",IFERROR(buscarx(A2516&amp;B2516,DATA!$E$3:$E$10000&amp;DATA!$B$3:$B$10000,DATA!$M$3:$M$10000),"No encontrado"))</f>
        <v/>
      </c>
      <c r="D2516" s="27" t="str">
        <f aca="false">IF(A2516="","",IFERROR(buscarx(A2516&amp;B2516,DATA!$E$3:$E$10000&amp;DATA!$B$3:$B$10000,DATA!$W$3:$W$10000),"No encontrado"))</f>
        <v/>
      </c>
      <c r="E2516" s="22"/>
      <c r="F2516" s="26" t="str">
        <f aca="false">IF(A2516="","",IFERROR(buscarx(A2516&amp;E2516,DATA!$E$3:$E$10000&amp;DATA!$B$3:$B$10000,DATA!$M$3:$M$10000),"Inactivo"))</f>
        <v/>
      </c>
      <c r="G2516" s="28" t="str">
        <f aca="false">IF(A2516="","",IF(AND(C2516&lt;&gt;"No encontrado",F2516&lt;&gt;"Inactivo"),C2516&amp;" → "&amp;F2516,"Sin transición"))</f>
        <v/>
      </c>
      <c r="H2516" s="26" t="str">
        <f aca="false">IF(A2516="","",IF(D2516="GCIA LINEA SERVICIO DIGITALIDAD Y VENTAS","Chats",IF(OR(D2516="GERENCIA INBOUND LÍNEAS SERVICIO Y VENTA",D2516="GERENCIA INBOUND LINEAS ESPECIALIZADAS"),"Llamadas","Otro")))</f>
        <v/>
      </c>
      <c r="I2516" s="26" t="str">
        <f aca="false">IF(A2516="","",IF(C2516="No encontrado","No","Sí"))</f>
        <v/>
      </c>
      <c r="J2516" s="26" t="str">
        <f aca="false">IF(A2516="","",IF(F2516="Inactivo","No","Sí"))</f>
        <v/>
      </c>
      <c r="K2516" s="26" t="str">
        <f aca="false">IF(A2516="","",IF(AND(I2516="Sí",J2516="Sí"),"Sí","No"))</f>
        <v/>
      </c>
    </row>
    <row r="2517" customFormat="false" ht="15" hidden="false" customHeight="false" outlineLevel="0" collapsed="false">
      <c r="A2517" s="22"/>
      <c r="B2517" s="22"/>
      <c r="C2517" s="23" t="str">
        <f aca="false">IF(A2517="","",IFERROR(buscarx(A2517&amp;B2517,DATA!$E$3:$E$10000&amp;DATA!$B$3:$B$10000,DATA!$M$3:$M$10000),"No encontrado"))</f>
        <v/>
      </c>
      <c r="D2517" s="24" t="str">
        <f aca="false">IF(A2517="","",IFERROR(buscarx(A2517&amp;B2517,DATA!$E$3:$E$10000&amp;DATA!$B$3:$B$10000,DATA!$W$3:$W$10000),"No encontrado"))</f>
        <v/>
      </c>
      <c r="E2517" s="22"/>
      <c r="F2517" s="23" t="str">
        <f aca="false">IF(A2517="","",IFERROR(buscarx(A2517&amp;E2517,DATA!$E$3:$E$10000&amp;DATA!$B$3:$B$10000,DATA!$M$3:$M$10000),"Inactivo"))</f>
        <v/>
      </c>
      <c r="G2517" s="25" t="str">
        <f aca="false">IF(A2517="","",IF(AND(C2517&lt;&gt;"No encontrado",F2517&lt;&gt;"Inactivo"),C2517&amp;" → "&amp;F2517,"Sin transición"))</f>
        <v/>
      </c>
      <c r="H2517" s="23" t="str">
        <f aca="false">IF(A2517="","",IF(D2517="GCIA LINEA SERVICIO DIGITALIDAD Y VENTAS","Chats",IF(OR(D2517="GERENCIA INBOUND LÍNEAS SERVICIO Y VENTA",D2517="GERENCIA INBOUND LINEAS ESPECIALIZADAS"),"Llamadas","Otro")))</f>
        <v/>
      </c>
      <c r="I2517" s="23" t="str">
        <f aca="false">IF(A2517="","",IF(C2517="No encontrado","No","Sí"))</f>
        <v/>
      </c>
      <c r="J2517" s="23" t="str">
        <f aca="false">IF(A2517="","",IF(F2517="Inactivo","No","Sí"))</f>
        <v/>
      </c>
      <c r="K2517" s="23" t="str">
        <f aca="false">IF(A2517="","",IF(AND(I2517="Sí",J2517="Sí"),"Sí","No"))</f>
        <v/>
      </c>
    </row>
    <row r="2518" customFormat="false" ht="15" hidden="false" customHeight="false" outlineLevel="0" collapsed="false">
      <c r="A2518" s="22"/>
      <c r="B2518" s="22"/>
      <c r="C2518" s="26" t="str">
        <f aca="false">IF(A2518="","",IFERROR(buscarx(A2518&amp;B2518,DATA!$E$3:$E$10000&amp;DATA!$B$3:$B$10000,DATA!$M$3:$M$10000),"No encontrado"))</f>
        <v/>
      </c>
      <c r="D2518" s="27" t="str">
        <f aca="false">IF(A2518="","",IFERROR(buscarx(A2518&amp;B2518,DATA!$E$3:$E$10000&amp;DATA!$B$3:$B$10000,DATA!$W$3:$W$10000),"No encontrado"))</f>
        <v/>
      </c>
      <c r="E2518" s="22"/>
      <c r="F2518" s="26" t="str">
        <f aca="false">IF(A2518="","",IFERROR(buscarx(A2518&amp;E2518,DATA!$E$3:$E$10000&amp;DATA!$B$3:$B$10000,DATA!$M$3:$M$10000),"Inactivo"))</f>
        <v/>
      </c>
      <c r="G2518" s="28" t="str">
        <f aca="false">IF(A2518="","",IF(AND(C2518&lt;&gt;"No encontrado",F2518&lt;&gt;"Inactivo"),C2518&amp;" → "&amp;F2518,"Sin transición"))</f>
        <v/>
      </c>
      <c r="H2518" s="26" t="str">
        <f aca="false">IF(A2518="","",IF(D2518="GCIA LINEA SERVICIO DIGITALIDAD Y VENTAS","Chats",IF(OR(D2518="GERENCIA INBOUND LÍNEAS SERVICIO Y VENTA",D2518="GERENCIA INBOUND LINEAS ESPECIALIZADAS"),"Llamadas","Otro")))</f>
        <v/>
      </c>
      <c r="I2518" s="26" t="str">
        <f aca="false">IF(A2518="","",IF(C2518="No encontrado","No","Sí"))</f>
        <v/>
      </c>
      <c r="J2518" s="26" t="str">
        <f aca="false">IF(A2518="","",IF(F2518="Inactivo","No","Sí"))</f>
        <v/>
      </c>
      <c r="K2518" s="26" t="str">
        <f aca="false">IF(A2518="","",IF(AND(I2518="Sí",J2518="Sí"),"Sí","No"))</f>
        <v/>
      </c>
    </row>
    <row r="2519" customFormat="false" ht="15" hidden="false" customHeight="false" outlineLevel="0" collapsed="false">
      <c r="A2519" s="22"/>
      <c r="B2519" s="22"/>
      <c r="C2519" s="23" t="str">
        <f aca="false">IF(A2519="","",IFERROR(buscarx(A2519&amp;B2519,DATA!$E$3:$E$10000&amp;DATA!$B$3:$B$10000,DATA!$M$3:$M$10000),"No encontrado"))</f>
        <v/>
      </c>
      <c r="D2519" s="24" t="str">
        <f aca="false">IF(A2519="","",IFERROR(buscarx(A2519&amp;B2519,DATA!$E$3:$E$10000&amp;DATA!$B$3:$B$10000,DATA!$W$3:$W$10000),"No encontrado"))</f>
        <v/>
      </c>
      <c r="E2519" s="22"/>
      <c r="F2519" s="23" t="str">
        <f aca="false">IF(A2519="","",IFERROR(buscarx(A2519&amp;E2519,DATA!$E$3:$E$10000&amp;DATA!$B$3:$B$10000,DATA!$M$3:$M$10000),"Inactivo"))</f>
        <v/>
      </c>
      <c r="G2519" s="25" t="str">
        <f aca="false">IF(A2519="","",IF(AND(C2519&lt;&gt;"No encontrado",F2519&lt;&gt;"Inactivo"),C2519&amp;" → "&amp;F2519,"Sin transición"))</f>
        <v/>
      </c>
      <c r="H2519" s="23" t="str">
        <f aca="false">IF(A2519="","",IF(D2519="GCIA LINEA SERVICIO DIGITALIDAD Y VENTAS","Chats",IF(OR(D2519="GERENCIA INBOUND LÍNEAS SERVICIO Y VENTA",D2519="GERENCIA INBOUND LINEAS ESPECIALIZADAS"),"Llamadas","Otro")))</f>
        <v/>
      </c>
      <c r="I2519" s="23" t="str">
        <f aca="false">IF(A2519="","",IF(C2519="No encontrado","No","Sí"))</f>
        <v/>
      </c>
      <c r="J2519" s="23" t="str">
        <f aca="false">IF(A2519="","",IF(F2519="Inactivo","No","Sí"))</f>
        <v/>
      </c>
      <c r="K2519" s="23" t="str">
        <f aca="false">IF(A2519="","",IF(AND(I2519="Sí",J2519="Sí"),"Sí","No"))</f>
        <v/>
      </c>
    </row>
    <row r="2520" customFormat="false" ht="15" hidden="false" customHeight="false" outlineLevel="0" collapsed="false">
      <c r="A2520" s="22"/>
      <c r="B2520" s="22"/>
      <c r="C2520" s="26" t="str">
        <f aca="false">IF(A2520="","",IFERROR(buscarx(A2520&amp;B2520,DATA!$E$3:$E$10000&amp;DATA!$B$3:$B$10000,DATA!$M$3:$M$10000),"No encontrado"))</f>
        <v/>
      </c>
      <c r="D2520" s="27" t="str">
        <f aca="false">IF(A2520="","",IFERROR(buscarx(A2520&amp;B2520,DATA!$E$3:$E$10000&amp;DATA!$B$3:$B$10000,DATA!$W$3:$W$10000),"No encontrado"))</f>
        <v/>
      </c>
      <c r="E2520" s="22"/>
      <c r="F2520" s="26" t="str">
        <f aca="false">IF(A2520="","",IFERROR(buscarx(A2520&amp;E2520,DATA!$E$3:$E$10000&amp;DATA!$B$3:$B$10000,DATA!$M$3:$M$10000),"Inactivo"))</f>
        <v/>
      </c>
      <c r="G2520" s="28" t="str">
        <f aca="false">IF(A2520="","",IF(AND(C2520&lt;&gt;"No encontrado",F2520&lt;&gt;"Inactivo"),C2520&amp;" → "&amp;F2520,"Sin transición"))</f>
        <v/>
      </c>
      <c r="H2520" s="26" t="str">
        <f aca="false">IF(A2520="","",IF(D2520="GCIA LINEA SERVICIO DIGITALIDAD Y VENTAS","Chats",IF(OR(D2520="GERENCIA INBOUND LÍNEAS SERVICIO Y VENTA",D2520="GERENCIA INBOUND LINEAS ESPECIALIZADAS"),"Llamadas","Otro")))</f>
        <v/>
      </c>
      <c r="I2520" s="26" t="str">
        <f aca="false">IF(A2520="","",IF(C2520="No encontrado","No","Sí"))</f>
        <v/>
      </c>
      <c r="J2520" s="26" t="str">
        <f aca="false">IF(A2520="","",IF(F2520="Inactivo","No","Sí"))</f>
        <v/>
      </c>
      <c r="K2520" s="26" t="str">
        <f aca="false">IF(A2520="","",IF(AND(I2520="Sí",J2520="Sí"),"Sí","No"))</f>
        <v/>
      </c>
    </row>
    <row r="2521" customFormat="false" ht="15" hidden="false" customHeight="false" outlineLevel="0" collapsed="false">
      <c r="A2521" s="22"/>
      <c r="B2521" s="22"/>
      <c r="C2521" s="23" t="str">
        <f aca="false">IF(A2521="","",IFERROR(buscarx(A2521&amp;B2521,DATA!$E$3:$E$10000&amp;DATA!$B$3:$B$10000,DATA!$M$3:$M$10000),"No encontrado"))</f>
        <v/>
      </c>
      <c r="D2521" s="24" t="str">
        <f aca="false">IF(A2521="","",IFERROR(buscarx(A2521&amp;B2521,DATA!$E$3:$E$10000&amp;DATA!$B$3:$B$10000,DATA!$W$3:$W$10000),"No encontrado"))</f>
        <v/>
      </c>
      <c r="E2521" s="22"/>
      <c r="F2521" s="23" t="str">
        <f aca="false">IF(A2521="","",IFERROR(buscarx(A2521&amp;E2521,DATA!$E$3:$E$10000&amp;DATA!$B$3:$B$10000,DATA!$M$3:$M$10000),"Inactivo"))</f>
        <v/>
      </c>
      <c r="G2521" s="25" t="str">
        <f aca="false">IF(A2521="","",IF(AND(C2521&lt;&gt;"No encontrado",F2521&lt;&gt;"Inactivo"),C2521&amp;" → "&amp;F2521,"Sin transición"))</f>
        <v/>
      </c>
      <c r="H2521" s="23" t="str">
        <f aca="false">IF(A2521="","",IF(D2521="GCIA LINEA SERVICIO DIGITALIDAD Y VENTAS","Chats",IF(OR(D2521="GERENCIA INBOUND LÍNEAS SERVICIO Y VENTA",D2521="GERENCIA INBOUND LINEAS ESPECIALIZADAS"),"Llamadas","Otro")))</f>
        <v/>
      </c>
      <c r="I2521" s="23" t="str">
        <f aca="false">IF(A2521="","",IF(C2521="No encontrado","No","Sí"))</f>
        <v/>
      </c>
      <c r="J2521" s="23" t="str">
        <f aca="false">IF(A2521="","",IF(F2521="Inactivo","No","Sí"))</f>
        <v/>
      </c>
      <c r="K2521" s="23" t="str">
        <f aca="false">IF(A2521="","",IF(AND(I2521="Sí",J2521="Sí"),"Sí","No"))</f>
        <v/>
      </c>
    </row>
    <row r="2522" customFormat="false" ht="15" hidden="false" customHeight="false" outlineLevel="0" collapsed="false">
      <c r="A2522" s="22"/>
      <c r="B2522" s="22"/>
      <c r="C2522" s="26" t="str">
        <f aca="false">IF(A2522="","",IFERROR(buscarx(A2522&amp;B2522,DATA!$E$3:$E$10000&amp;DATA!$B$3:$B$10000,DATA!$M$3:$M$10000),"No encontrado"))</f>
        <v/>
      </c>
      <c r="D2522" s="27" t="str">
        <f aca="false">IF(A2522="","",IFERROR(buscarx(A2522&amp;B2522,DATA!$E$3:$E$10000&amp;DATA!$B$3:$B$10000,DATA!$W$3:$W$10000),"No encontrado"))</f>
        <v/>
      </c>
      <c r="E2522" s="22"/>
      <c r="F2522" s="26" t="str">
        <f aca="false">IF(A2522="","",IFERROR(buscarx(A2522&amp;E2522,DATA!$E$3:$E$10000&amp;DATA!$B$3:$B$10000,DATA!$M$3:$M$10000),"Inactivo"))</f>
        <v/>
      </c>
      <c r="G2522" s="28" t="str">
        <f aca="false">IF(A2522="","",IF(AND(C2522&lt;&gt;"No encontrado",F2522&lt;&gt;"Inactivo"),C2522&amp;" → "&amp;F2522,"Sin transición"))</f>
        <v/>
      </c>
      <c r="H2522" s="26" t="str">
        <f aca="false">IF(A2522="","",IF(D2522="GCIA LINEA SERVICIO DIGITALIDAD Y VENTAS","Chats",IF(OR(D2522="GERENCIA INBOUND LÍNEAS SERVICIO Y VENTA",D2522="GERENCIA INBOUND LINEAS ESPECIALIZADAS"),"Llamadas","Otro")))</f>
        <v/>
      </c>
      <c r="I2522" s="26" t="str">
        <f aca="false">IF(A2522="","",IF(C2522="No encontrado","No","Sí"))</f>
        <v/>
      </c>
      <c r="J2522" s="26" t="str">
        <f aca="false">IF(A2522="","",IF(F2522="Inactivo","No","Sí"))</f>
        <v/>
      </c>
      <c r="K2522" s="26" t="str">
        <f aca="false">IF(A2522="","",IF(AND(I2522="Sí",J2522="Sí"),"Sí","No"))</f>
        <v/>
      </c>
    </row>
    <row r="2523" customFormat="false" ht="15" hidden="false" customHeight="false" outlineLevel="0" collapsed="false">
      <c r="A2523" s="22"/>
      <c r="B2523" s="22"/>
      <c r="C2523" s="23" t="str">
        <f aca="false">IF(A2523="","",IFERROR(buscarx(A2523&amp;B2523,DATA!$E$3:$E$10000&amp;DATA!$B$3:$B$10000,DATA!$M$3:$M$10000),"No encontrado"))</f>
        <v/>
      </c>
      <c r="D2523" s="24" t="str">
        <f aca="false">IF(A2523="","",IFERROR(buscarx(A2523&amp;B2523,DATA!$E$3:$E$10000&amp;DATA!$B$3:$B$10000,DATA!$W$3:$W$10000),"No encontrado"))</f>
        <v/>
      </c>
      <c r="E2523" s="22"/>
      <c r="F2523" s="23" t="str">
        <f aca="false">IF(A2523="","",IFERROR(buscarx(A2523&amp;E2523,DATA!$E$3:$E$10000&amp;DATA!$B$3:$B$10000,DATA!$M$3:$M$10000),"Inactivo"))</f>
        <v/>
      </c>
      <c r="G2523" s="25" t="str">
        <f aca="false">IF(A2523="","",IF(AND(C2523&lt;&gt;"No encontrado",F2523&lt;&gt;"Inactivo"),C2523&amp;" → "&amp;F2523,"Sin transición"))</f>
        <v/>
      </c>
      <c r="H2523" s="23" t="str">
        <f aca="false">IF(A2523="","",IF(D2523="GCIA LINEA SERVICIO DIGITALIDAD Y VENTAS","Chats",IF(OR(D2523="GERENCIA INBOUND LÍNEAS SERVICIO Y VENTA",D2523="GERENCIA INBOUND LINEAS ESPECIALIZADAS"),"Llamadas","Otro")))</f>
        <v/>
      </c>
      <c r="I2523" s="23" t="str">
        <f aca="false">IF(A2523="","",IF(C2523="No encontrado","No","Sí"))</f>
        <v/>
      </c>
      <c r="J2523" s="23" t="str">
        <f aca="false">IF(A2523="","",IF(F2523="Inactivo","No","Sí"))</f>
        <v/>
      </c>
      <c r="K2523" s="23" t="str">
        <f aca="false">IF(A2523="","",IF(AND(I2523="Sí",J2523="Sí"),"Sí","No"))</f>
        <v/>
      </c>
    </row>
    <row r="2524" customFormat="false" ht="15" hidden="false" customHeight="false" outlineLevel="0" collapsed="false">
      <c r="A2524" s="22"/>
      <c r="B2524" s="22"/>
      <c r="C2524" s="26" t="str">
        <f aca="false">IF(A2524="","",IFERROR(buscarx(A2524&amp;B2524,DATA!$E$3:$E$10000&amp;DATA!$B$3:$B$10000,DATA!$M$3:$M$10000),"No encontrado"))</f>
        <v/>
      </c>
      <c r="D2524" s="27" t="str">
        <f aca="false">IF(A2524="","",IFERROR(buscarx(A2524&amp;B2524,DATA!$E$3:$E$10000&amp;DATA!$B$3:$B$10000,DATA!$W$3:$W$10000),"No encontrado"))</f>
        <v/>
      </c>
      <c r="E2524" s="22"/>
      <c r="F2524" s="26" t="str">
        <f aca="false">IF(A2524="","",IFERROR(buscarx(A2524&amp;E2524,DATA!$E$3:$E$10000&amp;DATA!$B$3:$B$10000,DATA!$M$3:$M$10000),"Inactivo"))</f>
        <v/>
      </c>
      <c r="G2524" s="28" t="str">
        <f aca="false">IF(A2524="","",IF(AND(C2524&lt;&gt;"No encontrado",F2524&lt;&gt;"Inactivo"),C2524&amp;" → "&amp;F2524,"Sin transición"))</f>
        <v/>
      </c>
      <c r="H2524" s="26" t="str">
        <f aca="false">IF(A2524="","",IF(D2524="GCIA LINEA SERVICIO DIGITALIDAD Y VENTAS","Chats",IF(OR(D2524="GERENCIA INBOUND LÍNEAS SERVICIO Y VENTA",D2524="GERENCIA INBOUND LINEAS ESPECIALIZADAS"),"Llamadas","Otro")))</f>
        <v/>
      </c>
      <c r="I2524" s="26" t="str">
        <f aca="false">IF(A2524="","",IF(C2524="No encontrado","No","Sí"))</f>
        <v/>
      </c>
      <c r="J2524" s="26" t="str">
        <f aca="false">IF(A2524="","",IF(F2524="Inactivo","No","Sí"))</f>
        <v/>
      </c>
      <c r="K2524" s="26" t="str">
        <f aca="false">IF(A2524="","",IF(AND(I2524="Sí",J2524="Sí"),"Sí","No"))</f>
        <v/>
      </c>
    </row>
    <row r="2525" customFormat="false" ht="15" hidden="false" customHeight="false" outlineLevel="0" collapsed="false">
      <c r="A2525" s="22"/>
      <c r="B2525" s="22"/>
      <c r="C2525" s="23" t="str">
        <f aca="false">IF(A2525="","",IFERROR(buscarx(A2525&amp;B2525,DATA!$E$3:$E$10000&amp;DATA!$B$3:$B$10000,DATA!$M$3:$M$10000),"No encontrado"))</f>
        <v/>
      </c>
      <c r="D2525" s="24" t="str">
        <f aca="false">IF(A2525="","",IFERROR(buscarx(A2525&amp;B2525,DATA!$E$3:$E$10000&amp;DATA!$B$3:$B$10000,DATA!$W$3:$W$10000),"No encontrado"))</f>
        <v/>
      </c>
      <c r="E2525" s="22"/>
      <c r="F2525" s="23" t="str">
        <f aca="false">IF(A2525="","",IFERROR(buscarx(A2525&amp;E2525,DATA!$E$3:$E$10000&amp;DATA!$B$3:$B$10000,DATA!$M$3:$M$10000),"Inactivo"))</f>
        <v/>
      </c>
      <c r="G2525" s="25" t="str">
        <f aca="false">IF(A2525="","",IF(AND(C2525&lt;&gt;"No encontrado",F2525&lt;&gt;"Inactivo"),C2525&amp;" → "&amp;F2525,"Sin transición"))</f>
        <v/>
      </c>
      <c r="H2525" s="23" t="str">
        <f aca="false">IF(A2525="","",IF(D2525="GCIA LINEA SERVICIO DIGITALIDAD Y VENTAS","Chats",IF(OR(D2525="GERENCIA INBOUND LÍNEAS SERVICIO Y VENTA",D2525="GERENCIA INBOUND LINEAS ESPECIALIZADAS"),"Llamadas","Otro")))</f>
        <v/>
      </c>
      <c r="I2525" s="23" t="str">
        <f aca="false">IF(A2525="","",IF(C2525="No encontrado","No","Sí"))</f>
        <v/>
      </c>
      <c r="J2525" s="23" t="str">
        <f aca="false">IF(A2525="","",IF(F2525="Inactivo","No","Sí"))</f>
        <v/>
      </c>
      <c r="K2525" s="23" t="str">
        <f aca="false">IF(A2525="","",IF(AND(I2525="Sí",J2525="Sí"),"Sí","No"))</f>
        <v/>
      </c>
    </row>
    <row r="2526" customFormat="false" ht="15" hidden="false" customHeight="false" outlineLevel="0" collapsed="false">
      <c r="A2526" s="22"/>
      <c r="B2526" s="22"/>
      <c r="C2526" s="26" t="str">
        <f aca="false">IF(A2526="","",IFERROR(buscarx(A2526&amp;B2526,DATA!$E$3:$E$10000&amp;DATA!$B$3:$B$10000,DATA!$M$3:$M$10000),"No encontrado"))</f>
        <v/>
      </c>
      <c r="D2526" s="27" t="str">
        <f aca="false">IF(A2526="","",IFERROR(buscarx(A2526&amp;B2526,DATA!$E$3:$E$10000&amp;DATA!$B$3:$B$10000,DATA!$W$3:$W$10000),"No encontrado"))</f>
        <v/>
      </c>
      <c r="E2526" s="22"/>
      <c r="F2526" s="26" t="str">
        <f aca="false">IF(A2526="","",IFERROR(buscarx(A2526&amp;E2526,DATA!$E$3:$E$10000&amp;DATA!$B$3:$B$10000,DATA!$M$3:$M$10000),"Inactivo"))</f>
        <v/>
      </c>
      <c r="G2526" s="28" t="str">
        <f aca="false">IF(A2526="","",IF(AND(C2526&lt;&gt;"No encontrado",F2526&lt;&gt;"Inactivo"),C2526&amp;" → "&amp;F2526,"Sin transición"))</f>
        <v/>
      </c>
      <c r="H2526" s="26" t="str">
        <f aca="false">IF(A2526="","",IF(D2526="GCIA LINEA SERVICIO DIGITALIDAD Y VENTAS","Chats",IF(OR(D2526="GERENCIA INBOUND LÍNEAS SERVICIO Y VENTA",D2526="GERENCIA INBOUND LINEAS ESPECIALIZADAS"),"Llamadas","Otro")))</f>
        <v/>
      </c>
      <c r="I2526" s="26" t="str">
        <f aca="false">IF(A2526="","",IF(C2526="No encontrado","No","Sí"))</f>
        <v/>
      </c>
      <c r="J2526" s="26" t="str">
        <f aca="false">IF(A2526="","",IF(F2526="Inactivo","No","Sí"))</f>
        <v/>
      </c>
      <c r="K2526" s="26" t="str">
        <f aca="false">IF(A2526="","",IF(AND(I2526="Sí",J2526="Sí"),"Sí","No"))</f>
        <v/>
      </c>
    </row>
    <row r="2527" customFormat="false" ht="15" hidden="false" customHeight="false" outlineLevel="0" collapsed="false">
      <c r="A2527" s="22"/>
      <c r="B2527" s="22"/>
      <c r="C2527" s="23" t="str">
        <f aca="false">IF(A2527="","",IFERROR(buscarx(A2527&amp;B2527,DATA!$E$3:$E$10000&amp;DATA!$B$3:$B$10000,DATA!$M$3:$M$10000),"No encontrado"))</f>
        <v/>
      </c>
      <c r="D2527" s="24" t="str">
        <f aca="false">IF(A2527="","",IFERROR(buscarx(A2527&amp;B2527,DATA!$E$3:$E$10000&amp;DATA!$B$3:$B$10000,DATA!$W$3:$W$10000),"No encontrado"))</f>
        <v/>
      </c>
      <c r="E2527" s="22"/>
      <c r="F2527" s="23" t="str">
        <f aca="false">IF(A2527="","",IFERROR(buscarx(A2527&amp;E2527,DATA!$E$3:$E$10000&amp;DATA!$B$3:$B$10000,DATA!$M$3:$M$10000),"Inactivo"))</f>
        <v/>
      </c>
      <c r="G2527" s="25" t="str">
        <f aca="false">IF(A2527="","",IF(AND(C2527&lt;&gt;"No encontrado",F2527&lt;&gt;"Inactivo"),C2527&amp;" → "&amp;F2527,"Sin transición"))</f>
        <v/>
      </c>
      <c r="H2527" s="23" t="str">
        <f aca="false">IF(A2527="","",IF(D2527="GCIA LINEA SERVICIO DIGITALIDAD Y VENTAS","Chats",IF(OR(D2527="GERENCIA INBOUND LÍNEAS SERVICIO Y VENTA",D2527="GERENCIA INBOUND LINEAS ESPECIALIZADAS"),"Llamadas","Otro")))</f>
        <v/>
      </c>
      <c r="I2527" s="23" t="str">
        <f aca="false">IF(A2527="","",IF(C2527="No encontrado","No","Sí"))</f>
        <v/>
      </c>
      <c r="J2527" s="23" t="str">
        <f aca="false">IF(A2527="","",IF(F2527="Inactivo","No","Sí"))</f>
        <v/>
      </c>
      <c r="K2527" s="23" t="str">
        <f aca="false">IF(A2527="","",IF(AND(I2527="Sí",J2527="Sí"),"Sí","No"))</f>
        <v/>
      </c>
    </row>
    <row r="2528" customFormat="false" ht="15" hidden="false" customHeight="false" outlineLevel="0" collapsed="false">
      <c r="A2528" s="22"/>
      <c r="B2528" s="22"/>
      <c r="C2528" s="26" t="str">
        <f aca="false">IF(A2528="","",IFERROR(buscarx(A2528&amp;B2528,DATA!$E$3:$E$10000&amp;DATA!$B$3:$B$10000,DATA!$M$3:$M$10000),"No encontrado"))</f>
        <v/>
      </c>
      <c r="D2528" s="27" t="str">
        <f aca="false">IF(A2528="","",IFERROR(buscarx(A2528&amp;B2528,DATA!$E$3:$E$10000&amp;DATA!$B$3:$B$10000,DATA!$W$3:$W$10000),"No encontrado"))</f>
        <v/>
      </c>
      <c r="E2528" s="22"/>
      <c r="F2528" s="26" t="str">
        <f aca="false">IF(A2528="","",IFERROR(buscarx(A2528&amp;E2528,DATA!$E$3:$E$10000&amp;DATA!$B$3:$B$10000,DATA!$M$3:$M$10000),"Inactivo"))</f>
        <v/>
      </c>
      <c r="G2528" s="28" t="str">
        <f aca="false">IF(A2528="","",IF(AND(C2528&lt;&gt;"No encontrado",F2528&lt;&gt;"Inactivo"),C2528&amp;" → "&amp;F2528,"Sin transición"))</f>
        <v/>
      </c>
      <c r="H2528" s="26" t="str">
        <f aca="false">IF(A2528="","",IF(D2528="GCIA LINEA SERVICIO DIGITALIDAD Y VENTAS","Chats",IF(OR(D2528="GERENCIA INBOUND LÍNEAS SERVICIO Y VENTA",D2528="GERENCIA INBOUND LINEAS ESPECIALIZADAS"),"Llamadas","Otro")))</f>
        <v/>
      </c>
      <c r="I2528" s="26" t="str">
        <f aca="false">IF(A2528="","",IF(C2528="No encontrado","No","Sí"))</f>
        <v/>
      </c>
      <c r="J2528" s="26" t="str">
        <f aca="false">IF(A2528="","",IF(F2528="Inactivo","No","Sí"))</f>
        <v/>
      </c>
      <c r="K2528" s="26" t="str">
        <f aca="false">IF(A2528="","",IF(AND(I2528="Sí",J2528="Sí"),"Sí","No"))</f>
        <v/>
      </c>
    </row>
    <row r="2529" customFormat="false" ht="15" hidden="false" customHeight="false" outlineLevel="0" collapsed="false">
      <c r="A2529" s="22"/>
      <c r="B2529" s="22"/>
      <c r="C2529" s="23" t="str">
        <f aca="false">IF(A2529="","",IFERROR(buscarx(A2529&amp;B2529,DATA!$E$3:$E$10000&amp;DATA!$B$3:$B$10000,DATA!$M$3:$M$10000),"No encontrado"))</f>
        <v/>
      </c>
      <c r="D2529" s="24" t="str">
        <f aca="false">IF(A2529="","",IFERROR(buscarx(A2529&amp;B2529,DATA!$E$3:$E$10000&amp;DATA!$B$3:$B$10000,DATA!$W$3:$W$10000),"No encontrado"))</f>
        <v/>
      </c>
      <c r="E2529" s="22"/>
      <c r="F2529" s="23" t="str">
        <f aca="false">IF(A2529="","",IFERROR(buscarx(A2529&amp;E2529,DATA!$E$3:$E$10000&amp;DATA!$B$3:$B$10000,DATA!$M$3:$M$10000),"Inactivo"))</f>
        <v/>
      </c>
      <c r="G2529" s="25" t="str">
        <f aca="false">IF(A2529="","",IF(AND(C2529&lt;&gt;"No encontrado",F2529&lt;&gt;"Inactivo"),C2529&amp;" → "&amp;F2529,"Sin transición"))</f>
        <v/>
      </c>
      <c r="H2529" s="23" t="str">
        <f aca="false">IF(A2529="","",IF(D2529="GCIA LINEA SERVICIO DIGITALIDAD Y VENTAS","Chats",IF(OR(D2529="GERENCIA INBOUND LÍNEAS SERVICIO Y VENTA",D2529="GERENCIA INBOUND LINEAS ESPECIALIZADAS"),"Llamadas","Otro")))</f>
        <v/>
      </c>
      <c r="I2529" s="23" t="str">
        <f aca="false">IF(A2529="","",IF(C2529="No encontrado","No","Sí"))</f>
        <v/>
      </c>
      <c r="J2529" s="23" t="str">
        <f aca="false">IF(A2529="","",IF(F2529="Inactivo","No","Sí"))</f>
        <v/>
      </c>
      <c r="K2529" s="23" t="str">
        <f aca="false">IF(A2529="","",IF(AND(I2529="Sí",J2529="Sí"),"Sí","No"))</f>
        <v/>
      </c>
    </row>
    <row r="2530" customFormat="false" ht="15" hidden="false" customHeight="false" outlineLevel="0" collapsed="false">
      <c r="A2530" s="22"/>
      <c r="B2530" s="22"/>
      <c r="C2530" s="26" t="str">
        <f aca="false">IF(A2530="","",IFERROR(buscarx(A2530&amp;B2530,DATA!$E$3:$E$10000&amp;DATA!$B$3:$B$10000,DATA!$M$3:$M$10000),"No encontrado"))</f>
        <v/>
      </c>
      <c r="D2530" s="27" t="str">
        <f aca="false">IF(A2530="","",IFERROR(buscarx(A2530&amp;B2530,DATA!$E$3:$E$10000&amp;DATA!$B$3:$B$10000,DATA!$W$3:$W$10000),"No encontrado"))</f>
        <v/>
      </c>
      <c r="E2530" s="22"/>
      <c r="F2530" s="26" t="str">
        <f aca="false">IF(A2530="","",IFERROR(buscarx(A2530&amp;E2530,DATA!$E$3:$E$10000&amp;DATA!$B$3:$B$10000,DATA!$M$3:$M$10000),"Inactivo"))</f>
        <v/>
      </c>
      <c r="G2530" s="28" t="str">
        <f aca="false">IF(A2530="","",IF(AND(C2530&lt;&gt;"No encontrado",F2530&lt;&gt;"Inactivo"),C2530&amp;" → "&amp;F2530,"Sin transición"))</f>
        <v/>
      </c>
      <c r="H2530" s="26" t="str">
        <f aca="false">IF(A2530="","",IF(D2530="GCIA LINEA SERVICIO DIGITALIDAD Y VENTAS","Chats",IF(OR(D2530="GERENCIA INBOUND LÍNEAS SERVICIO Y VENTA",D2530="GERENCIA INBOUND LINEAS ESPECIALIZADAS"),"Llamadas","Otro")))</f>
        <v/>
      </c>
      <c r="I2530" s="26" t="str">
        <f aca="false">IF(A2530="","",IF(C2530="No encontrado","No","Sí"))</f>
        <v/>
      </c>
      <c r="J2530" s="26" t="str">
        <f aca="false">IF(A2530="","",IF(F2530="Inactivo","No","Sí"))</f>
        <v/>
      </c>
      <c r="K2530" s="26" t="str">
        <f aca="false">IF(A2530="","",IF(AND(I2530="Sí",J2530="Sí"),"Sí","No"))</f>
        <v/>
      </c>
    </row>
    <row r="2531" customFormat="false" ht="15" hidden="false" customHeight="false" outlineLevel="0" collapsed="false">
      <c r="A2531" s="22"/>
      <c r="B2531" s="22"/>
      <c r="C2531" s="23" t="str">
        <f aca="false">IF(A2531="","",IFERROR(buscarx(A2531&amp;B2531,DATA!$E$3:$E$10000&amp;DATA!$B$3:$B$10000,DATA!$M$3:$M$10000),"No encontrado"))</f>
        <v/>
      </c>
      <c r="D2531" s="24" t="str">
        <f aca="false">IF(A2531="","",IFERROR(buscarx(A2531&amp;B2531,DATA!$E$3:$E$10000&amp;DATA!$B$3:$B$10000,DATA!$W$3:$W$10000),"No encontrado"))</f>
        <v/>
      </c>
      <c r="E2531" s="22"/>
      <c r="F2531" s="23" t="str">
        <f aca="false">IF(A2531="","",IFERROR(buscarx(A2531&amp;E2531,DATA!$E$3:$E$10000&amp;DATA!$B$3:$B$10000,DATA!$M$3:$M$10000),"Inactivo"))</f>
        <v/>
      </c>
      <c r="G2531" s="25" t="str">
        <f aca="false">IF(A2531="","",IF(AND(C2531&lt;&gt;"No encontrado",F2531&lt;&gt;"Inactivo"),C2531&amp;" → "&amp;F2531,"Sin transición"))</f>
        <v/>
      </c>
      <c r="H2531" s="23" t="str">
        <f aca="false">IF(A2531="","",IF(D2531="GCIA LINEA SERVICIO DIGITALIDAD Y VENTAS","Chats",IF(OR(D2531="GERENCIA INBOUND LÍNEAS SERVICIO Y VENTA",D2531="GERENCIA INBOUND LINEAS ESPECIALIZADAS"),"Llamadas","Otro")))</f>
        <v/>
      </c>
      <c r="I2531" s="23" t="str">
        <f aca="false">IF(A2531="","",IF(C2531="No encontrado","No","Sí"))</f>
        <v/>
      </c>
      <c r="J2531" s="23" t="str">
        <f aca="false">IF(A2531="","",IF(F2531="Inactivo","No","Sí"))</f>
        <v/>
      </c>
      <c r="K2531" s="23" t="str">
        <f aca="false">IF(A2531="","",IF(AND(I2531="Sí",J2531="Sí"),"Sí","No"))</f>
        <v/>
      </c>
    </row>
    <row r="2532" customFormat="false" ht="15" hidden="false" customHeight="false" outlineLevel="0" collapsed="false">
      <c r="A2532" s="22"/>
      <c r="B2532" s="22"/>
      <c r="C2532" s="26" t="str">
        <f aca="false">IF(A2532="","",IFERROR(buscarx(A2532&amp;B2532,DATA!$E$3:$E$10000&amp;DATA!$B$3:$B$10000,DATA!$M$3:$M$10000),"No encontrado"))</f>
        <v/>
      </c>
      <c r="D2532" s="27" t="str">
        <f aca="false">IF(A2532="","",IFERROR(buscarx(A2532&amp;B2532,DATA!$E$3:$E$10000&amp;DATA!$B$3:$B$10000,DATA!$W$3:$W$10000),"No encontrado"))</f>
        <v/>
      </c>
      <c r="E2532" s="22"/>
      <c r="F2532" s="26" t="str">
        <f aca="false">IF(A2532="","",IFERROR(buscarx(A2532&amp;E2532,DATA!$E$3:$E$10000&amp;DATA!$B$3:$B$10000,DATA!$M$3:$M$10000),"Inactivo"))</f>
        <v/>
      </c>
      <c r="G2532" s="28" t="str">
        <f aca="false">IF(A2532="","",IF(AND(C2532&lt;&gt;"No encontrado",F2532&lt;&gt;"Inactivo"),C2532&amp;" → "&amp;F2532,"Sin transición"))</f>
        <v/>
      </c>
      <c r="H2532" s="26" t="str">
        <f aca="false">IF(A2532="","",IF(D2532="GCIA LINEA SERVICIO DIGITALIDAD Y VENTAS","Chats",IF(OR(D2532="GERENCIA INBOUND LÍNEAS SERVICIO Y VENTA",D2532="GERENCIA INBOUND LINEAS ESPECIALIZADAS"),"Llamadas","Otro")))</f>
        <v/>
      </c>
      <c r="I2532" s="26" t="str">
        <f aca="false">IF(A2532="","",IF(C2532="No encontrado","No","Sí"))</f>
        <v/>
      </c>
      <c r="J2532" s="26" t="str">
        <f aca="false">IF(A2532="","",IF(F2532="Inactivo","No","Sí"))</f>
        <v/>
      </c>
      <c r="K2532" s="26" t="str">
        <f aca="false">IF(A2532="","",IF(AND(I2532="Sí",J2532="Sí"),"Sí","No"))</f>
        <v/>
      </c>
    </row>
    <row r="2533" customFormat="false" ht="15" hidden="false" customHeight="false" outlineLevel="0" collapsed="false">
      <c r="A2533" s="22"/>
      <c r="B2533" s="22"/>
      <c r="C2533" s="23" t="str">
        <f aca="false">IF(A2533="","",IFERROR(buscarx(A2533&amp;B2533,DATA!$E$3:$E$10000&amp;DATA!$B$3:$B$10000,DATA!$M$3:$M$10000),"No encontrado"))</f>
        <v/>
      </c>
      <c r="D2533" s="24" t="str">
        <f aca="false">IF(A2533="","",IFERROR(buscarx(A2533&amp;B2533,DATA!$E$3:$E$10000&amp;DATA!$B$3:$B$10000,DATA!$W$3:$W$10000),"No encontrado"))</f>
        <v/>
      </c>
      <c r="E2533" s="22"/>
      <c r="F2533" s="23" t="str">
        <f aca="false">IF(A2533="","",IFERROR(buscarx(A2533&amp;E2533,DATA!$E$3:$E$10000&amp;DATA!$B$3:$B$10000,DATA!$M$3:$M$10000),"Inactivo"))</f>
        <v/>
      </c>
      <c r="G2533" s="25" t="str">
        <f aca="false">IF(A2533="","",IF(AND(C2533&lt;&gt;"No encontrado",F2533&lt;&gt;"Inactivo"),C2533&amp;" → "&amp;F2533,"Sin transición"))</f>
        <v/>
      </c>
      <c r="H2533" s="23" t="str">
        <f aca="false">IF(A2533="","",IF(D2533="GCIA LINEA SERVICIO DIGITALIDAD Y VENTAS","Chats",IF(OR(D2533="GERENCIA INBOUND LÍNEAS SERVICIO Y VENTA",D2533="GERENCIA INBOUND LINEAS ESPECIALIZADAS"),"Llamadas","Otro")))</f>
        <v/>
      </c>
      <c r="I2533" s="23" t="str">
        <f aca="false">IF(A2533="","",IF(C2533="No encontrado","No","Sí"))</f>
        <v/>
      </c>
      <c r="J2533" s="23" t="str">
        <f aca="false">IF(A2533="","",IF(F2533="Inactivo","No","Sí"))</f>
        <v/>
      </c>
      <c r="K2533" s="23" t="str">
        <f aca="false">IF(A2533="","",IF(AND(I2533="Sí",J2533="Sí"),"Sí","No"))</f>
        <v/>
      </c>
    </row>
    <row r="2534" customFormat="false" ht="15" hidden="false" customHeight="false" outlineLevel="0" collapsed="false">
      <c r="A2534" s="22"/>
      <c r="B2534" s="22"/>
      <c r="C2534" s="26" t="str">
        <f aca="false">IF(A2534="","",IFERROR(buscarx(A2534&amp;B2534,DATA!$E$3:$E$10000&amp;DATA!$B$3:$B$10000,DATA!$M$3:$M$10000),"No encontrado"))</f>
        <v/>
      </c>
      <c r="D2534" s="27" t="str">
        <f aca="false">IF(A2534="","",IFERROR(buscarx(A2534&amp;B2534,DATA!$E$3:$E$10000&amp;DATA!$B$3:$B$10000,DATA!$W$3:$W$10000),"No encontrado"))</f>
        <v/>
      </c>
      <c r="E2534" s="22"/>
      <c r="F2534" s="26" t="str">
        <f aca="false">IF(A2534="","",IFERROR(buscarx(A2534&amp;E2534,DATA!$E$3:$E$10000&amp;DATA!$B$3:$B$10000,DATA!$M$3:$M$10000),"Inactivo"))</f>
        <v/>
      </c>
      <c r="G2534" s="28" t="str">
        <f aca="false">IF(A2534="","",IF(AND(C2534&lt;&gt;"No encontrado",F2534&lt;&gt;"Inactivo"),C2534&amp;" → "&amp;F2534,"Sin transición"))</f>
        <v/>
      </c>
      <c r="H2534" s="26" t="str">
        <f aca="false">IF(A2534="","",IF(D2534="GCIA LINEA SERVICIO DIGITALIDAD Y VENTAS","Chats",IF(OR(D2534="GERENCIA INBOUND LÍNEAS SERVICIO Y VENTA",D2534="GERENCIA INBOUND LINEAS ESPECIALIZADAS"),"Llamadas","Otro")))</f>
        <v/>
      </c>
      <c r="I2534" s="26" t="str">
        <f aca="false">IF(A2534="","",IF(C2534="No encontrado","No","Sí"))</f>
        <v/>
      </c>
      <c r="J2534" s="26" t="str">
        <f aca="false">IF(A2534="","",IF(F2534="Inactivo","No","Sí"))</f>
        <v/>
      </c>
      <c r="K2534" s="26" t="str">
        <f aca="false">IF(A2534="","",IF(AND(I2534="Sí",J2534="Sí"),"Sí","No"))</f>
        <v/>
      </c>
    </row>
    <row r="2535" customFormat="false" ht="15" hidden="false" customHeight="false" outlineLevel="0" collapsed="false">
      <c r="A2535" s="22"/>
      <c r="B2535" s="22"/>
      <c r="C2535" s="23" t="str">
        <f aca="false">IF(A2535="","",IFERROR(buscarx(A2535&amp;B2535,DATA!$E$3:$E$10000&amp;DATA!$B$3:$B$10000,DATA!$M$3:$M$10000),"No encontrado"))</f>
        <v/>
      </c>
      <c r="D2535" s="24" t="str">
        <f aca="false">IF(A2535="","",IFERROR(buscarx(A2535&amp;B2535,DATA!$E$3:$E$10000&amp;DATA!$B$3:$B$10000,DATA!$W$3:$W$10000),"No encontrado"))</f>
        <v/>
      </c>
      <c r="E2535" s="22"/>
      <c r="F2535" s="23" t="str">
        <f aca="false">IF(A2535="","",IFERROR(buscarx(A2535&amp;E2535,DATA!$E$3:$E$10000&amp;DATA!$B$3:$B$10000,DATA!$M$3:$M$10000),"Inactivo"))</f>
        <v/>
      </c>
      <c r="G2535" s="25" t="str">
        <f aca="false">IF(A2535="","",IF(AND(C2535&lt;&gt;"No encontrado",F2535&lt;&gt;"Inactivo"),C2535&amp;" → "&amp;F2535,"Sin transición"))</f>
        <v/>
      </c>
      <c r="H2535" s="23" t="str">
        <f aca="false">IF(A2535="","",IF(D2535="GCIA LINEA SERVICIO DIGITALIDAD Y VENTAS","Chats",IF(OR(D2535="GERENCIA INBOUND LÍNEAS SERVICIO Y VENTA",D2535="GERENCIA INBOUND LINEAS ESPECIALIZADAS"),"Llamadas","Otro")))</f>
        <v/>
      </c>
      <c r="I2535" s="23" t="str">
        <f aca="false">IF(A2535="","",IF(C2535="No encontrado","No","Sí"))</f>
        <v/>
      </c>
      <c r="J2535" s="23" t="str">
        <f aca="false">IF(A2535="","",IF(F2535="Inactivo","No","Sí"))</f>
        <v/>
      </c>
      <c r="K2535" s="23" t="str">
        <f aca="false">IF(A2535="","",IF(AND(I2535="Sí",J2535="Sí"),"Sí","No"))</f>
        <v/>
      </c>
    </row>
    <row r="2536" customFormat="false" ht="15" hidden="false" customHeight="false" outlineLevel="0" collapsed="false">
      <c r="A2536" s="22"/>
      <c r="B2536" s="22"/>
      <c r="C2536" s="26" t="str">
        <f aca="false">IF(A2536="","",IFERROR(buscarx(A2536&amp;B2536,DATA!$E$3:$E$10000&amp;DATA!$B$3:$B$10000,DATA!$M$3:$M$10000),"No encontrado"))</f>
        <v/>
      </c>
      <c r="D2536" s="27" t="str">
        <f aca="false">IF(A2536="","",IFERROR(buscarx(A2536&amp;B2536,DATA!$E$3:$E$10000&amp;DATA!$B$3:$B$10000,DATA!$W$3:$W$10000),"No encontrado"))</f>
        <v/>
      </c>
      <c r="E2536" s="22"/>
      <c r="F2536" s="26" t="str">
        <f aca="false">IF(A2536="","",IFERROR(buscarx(A2536&amp;E2536,DATA!$E$3:$E$10000&amp;DATA!$B$3:$B$10000,DATA!$M$3:$M$10000),"Inactivo"))</f>
        <v/>
      </c>
      <c r="G2536" s="28" t="str">
        <f aca="false">IF(A2536="","",IF(AND(C2536&lt;&gt;"No encontrado",F2536&lt;&gt;"Inactivo"),C2536&amp;" → "&amp;F2536,"Sin transición"))</f>
        <v/>
      </c>
      <c r="H2536" s="26" t="str">
        <f aca="false">IF(A2536="","",IF(D2536="GCIA LINEA SERVICIO DIGITALIDAD Y VENTAS","Chats",IF(OR(D2536="GERENCIA INBOUND LÍNEAS SERVICIO Y VENTA",D2536="GERENCIA INBOUND LINEAS ESPECIALIZADAS"),"Llamadas","Otro")))</f>
        <v/>
      </c>
      <c r="I2536" s="26" t="str">
        <f aca="false">IF(A2536="","",IF(C2536="No encontrado","No","Sí"))</f>
        <v/>
      </c>
      <c r="J2536" s="26" t="str">
        <f aca="false">IF(A2536="","",IF(F2536="Inactivo","No","Sí"))</f>
        <v/>
      </c>
      <c r="K2536" s="26" t="str">
        <f aca="false">IF(A2536="","",IF(AND(I2536="Sí",J2536="Sí"),"Sí","No"))</f>
        <v/>
      </c>
    </row>
    <row r="2537" customFormat="false" ht="15" hidden="false" customHeight="false" outlineLevel="0" collapsed="false">
      <c r="A2537" s="22"/>
      <c r="B2537" s="22"/>
      <c r="C2537" s="23" t="str">
        <f aca="false">IF(A2537="","",IFERROR(buscarx(A2537&amp;B2537,DATA!$E$3:$E$10000&amp;DATA!$B$3:$B$10000,DATA!$M$3:$M$10000),"No encontrado"))</f>
        <v/>
      </c>
      <c r="D2537" s="24" t="str">
        <f aca="false">IF(A2537="","",IFERROR(buscarx(A2537&amp;B2537,DATA!$E$3:$E$10000&amp;DATA!$B$3:$B$10000,DATA!$W$3:$W$10000),"No encontrado"))</f>
        <v/>
      </c>
      <c r="E2537" s="22"/>
      <c r="F2537" s="23" t="str">
        <f aca="false">IF(A2537="","",IFERROR(buscarx(A2537&amp;E2537,DATA!$E$3:$E$10000&amp;DATA!$B$3:$B$10000,DATA!$M$3:$M$10000),"Inactivo"))</f>
        <v/>
      </c>
      <c r="G2537" s="25" t="str">
        <f aca="false">IF(A2537="","",IF(AND(C2537&lt;&gt;"No encontrado",F2537&lt;&gt;"Inactivo"),C2537&amp;" → "&amp;F2537,"Sin transición"))</f>
        <v/>
      </c>
      <c r="H2537" s="23" t="str">
        <f aca="false">IF(A2537="","",IF(D2537="GCIA LINEA SERVICIO DIGITALIDAD Y VENTAS","Chats",IF(OR(D2537="GERENCIA INBOUND LÍNEAS SERVICIO Y VENTA",D2537="GERENCIA INBOUND LINEAS ESPECIALIZADAS"),"Llamadas","Otro")))</f>
        <v/>
      </c>
      <c r="I2537" s="23" t="str">
        <f aca="false">IF(A2537="","",IF(C2537="No encontrado","No","Sí"))</f>
        <v/>
      </c>
      <c r="J2537" s="23" t="str">
        <f aca="false">IF(A2537="","",IF(F2537="Inactivo","No","Sí"))</f>
        <v/>
      </c>
      <c r="K2537" s="23" t="str">
        <f aca="false">IF(A2537="","",IF(AND(I2537="Sí",J2537="Sí"),"Sí","No"))</f>
        <v/>
      </c>
    </row>
    <row r="2538" customFormat="false" ht="15" hidden="false" customHeight="false" outlineLevel="0" collapsed="false">
      <c r="A2538" s="22"/>
      <c r="B2538" s="22"/>
      <c r="C2538" s="26" t="str">
        <f aca="false">IF(A2538="","",IFERROR(buscarx(A2538&amp;B2538,DATA!$E$3:$E$10000&amp;DATA!$B$3:$B$10000,DATA!$M$3:$M$10000),"No encontrado"))</f>
        <v/>
      </c>
      <c r="D2538" s="27" t="str">
        <f aca="false">IF(A2538="","",IFERROR(buscarx(A2538&amp;B2538,DATA!$E$3:$E$10000&amp;DATA!$B$3:$B$10000,DATA!$W$3:$W$10000),"No encontrado"))</f>
        <v/>
      </c>
      <c r="E2538" s="22"/>
      <c r="F2538" s="26" t="str">
        <f aca="false">IF(A2538="","",IFERROR(buscarx(A2538&amp;E2538,DATA!$E$3:$E$10000&amp;DATA!$B$3:$B$10000,DATA!$M$3:$M$10000),"Inactivo"))</f>
        <v/>
      </c>
      <c r="G2538" s="28" t="str">
        <f aca="false">IF(A2538="","",IF(AND(C2538&lt;&gt;"No encontrado",F2538&lt;&gt;"Inactivo"),C2538&amp;" → "&amp;F2538,"Sin transición"))</f>
        <v/>
      </c>
      <c r="H2538" s="26" t="str">
        <f aca="false">IF(A2538="","",IF(D2538="GCIA LINEA SERVICIO DIGITALIDAD Y VENTAS","Chats",IF(OR(D2538="GERENCIA INBOUND LÍNEAS SERVICIO Y VENTA",D2538="GERENCIA INBOUND LINEAS ESPECIALIZADAS"),"Llamadas","Otro")))</f>
        <v/>
      </c>
      <c r="I2538" s="26" t="str">
        <f aca="false">IF(A2538="","",IF(C2538="No encontrado","No","Sí"))</f>
        <v/>
      </c>
      <c r="J2538" s="26" t="str">
        <f aca="false">IF(A2538="","",IF(F2538="Inactivo","No","Sí"))</f>
        <v/>
      </c>
      <c r="K2538" s="26" t="str">
        <f aca="false">IF(A2538="","",IF(AND(I2538="Sí",J2538="Sí"),"Sí","No"))</f>
        <v/>
      </c>
    </row>
    <row r="2539" customFormat="false" ht="15" hidden="false" customHeight="false" outlineLevel="0" collapsed="false">
      <c r="A2539" s="22"/>
      <c r="B2539" s="22"/>
      <c r="C2539" s="23" t="str">
        <f aca="false">IF(A2539="","",IFERROR(buscarx(A2539&amp;B2539,DATA!$E$3:$E$10000&amp;DATA!$B$3:$B$10000,DATA!$M$3:$M$10000),"No encontrado"))</f>
        <v/>
      </c>
      <c r="D2539" s="24" t="str">
        <f aca="false">IF(A2539="","",IFERROR(buscarx(A2539&amp;B2539,DATA!$E$3:$E$10000&amp;DATA!$B$3:$B$10000,DATA!$W$3:$W$10000),"No encontrado"))</f>
        <v/>
      </c>
      <c r="E2539" s="22"/>
      <c r="F2539" s="23" t="str">
        <f aca="false">IF(A2539="","",IFERROR(buscarx(A2539&amp;E2539,DATA!$E$3:$E$10000&amp;DATA!$B$3:$B$10000,DATA!$M$3:$M$10000),"Inactivo"))</f>
        <v/>
      </c>
      <c r="G2539" s="25" t="str">
        <f aca="false">IF(A2539="","",IF(AND(C2539&lt;&gt;"No encontrado",F2539&lt;&gt;"Inactivo"),C2539&amp;" → "&amp;F2539,"Sin transición"))</f>
        <v/>
      </c>
      <c r="H2539" s="23" t="str">
        <f aca="false">IF(A2539="","",IF(D2539="GCIA LINEA SERVICIO DIGITALIDAD Y VENTAS","Chats",IF(OR(D2539="GERENCIA INBOUND LÍNEAS SERVICIO Y VENTA",D2539="GERENCIA INBOUND LINEAS ESPECIALIZADAS"),"Llamadas","Otro")))</f>
        <v/>
      </c>
      <c r="I2539" s="23" t="str">
        <f aca="false">IF(A2539="","",IF(C2539="No encontrado","No","Sí"))</f>
        <v/>
      </c>
      <c r="J2539" s="23" t="str">
        <f aca="false">IF(A2539="","",IF(F2539="Inactivo","No","Sí"))</f>
        <v/>
      </c>
      <c r="K2539" s="23" t="str">
        <f aca="false">IF(A2539="","",IF(AND(I2539="Sí",J2539="Sí"),"Sí","No"))</f>
        <v/>
      </c>
    </row>
    <row r="2540" customFormat="false" ht="15" hidden="false" customHeight="false" outlineLevel="0" collapsed="false">
      <c r="A2540" s="22"/>
      <c r="B2540" s="22"/>
      <c r="C2540" s="26" t="str">
        <f aca="false">IF(A2540="","",IFERROR(buscarx(A2540&amp;B2540,DATA!$E$3:$E$10000&amp;DATA!$B$3:$B$10000,DATA!$M$3:$M$10000),"No encontrado"))</f>
        <v/>
      </c>
      <c r="D2540" s="27" t="str">
        <f aca="false">IF(A2540="","",IFERROR(buscarx(A2540&amp;B2540,DATA!$E$3:$E$10000&amp;DATA!$B$3:$B$10000,DATA!$W$3:$W$10000),"No encontrado"))</f>
        <v/>
      </c>
      <c r="E2540" s="22"/>
      <c r="F2540" s="26" t="str">
        <f aca="false">IF(A2540="","",IFERROR(buscarx(A2540&amp;E2540,DATA!$E$3:$E$10000&amp;DATA!$B$3:$B$10000,DATA!$M$3:$M$10000),"Inactivo"))</f>
        <v/>
      </c>
      <c r="G2540" s="28" t="str">
        <f aca="false">IF(A2540="","",IF(AND(C2540&lt;&gt;"No encontrado",F2540&lt;&gt;"Inactivo"),C2540&amp;" → "&amp;F2540,"Sin transición"))</f>
        <v/>
      </c>
      <c r="H2540" s="26" t="str">
        <f aca="false">IF(A2540="","",IF(D2540="GCIA LINEA SERVICIO DIGITALIDAD Y VENTAS","Chats",IF(OR(D2540="GERENCIA INBOUND LÍNEAS SERVICIO Y VENTA",D2540="GERENCIA INBOUND LINEAS ESPECIALIZADAS"),"Llamadas","Otro")))</f>
        <v/>
      </c>
      <c r="I2540" s="26" t="str">
        <f aca="false">IF(A2540="","",IF(C2540="No encontrado","No","Sí"))</f>
        <v/>
      </c>
      <c r="J2540" s="26" t="str">
        <f aca="false">IF(A2540="","",IF(F2540="Inactivo","No","Sí"))</f>
        <v/>
      </c>
      <c r="K2540" s="26" t="str">
        <f aca="false">IF(A2540="","",IF(AND(I2540="Sí",J2540="Sí"),"Sí","No"))</f>
        <v/>
      </c>
    </row>
    <row r="2541" customFormat="false" ht="15" hidden="false" customHeight="false" outlineLevel="0" collapsed="false">
      <c r="A2541" s="22"/>
      <c r="B2541" s="22"/>
      <c r="C2541" s="23" t="str">
        <f aca="false">IF(A2541="","",IFERROR(buscarx(A2541&amp;B2541,DATA!$E$3:$E$10000&amp;DATA!$B$3:$B$10000,DATA!$M$3:$M$10000),"No encontrado"))</f>
        <v/>
      </c>
      <c r="D2541" s="24" t="str">
        <f aca="false">IF(A2541="","",IFERROR(buscarx(A2541&amp;B2541,DATA!$E$3:$E$10000&amp;DATA!$B$3:$B$10000,DATA!$W$3:$W$10000),"No encontrado"))</f>
        <v/>
      </c>
      <c r="E2541" s="22"/>
      <c r="F2541" s="23" t="str">
        <f aca="false">IF(A2541="","",IFERROR(buscarx(A2541&amp;E2541,DATA!$E$3:$E$10000&amp;DATA!$B$3:$B$10000,DATA!$M$3:$M$10000),"Inactivo"))</f>
        <v/>
      </c>
      <c r="G2541" s="25" t="str">
        <f aca="false">IF(A2541="","",IF(AND(C2541&lt;&gt;"No encontrado",F2541&lt;&gt;"Inactivo"),C2541&amp;" → "&amp;F2541,"Sin transición"))</f>
        <v/>
      </c>
      <c r="H2541" s="23" t="str">
        <f aca="false">IF(A2541="","",IF(D2541="GCIA LINEA SERVICIO DIGITALIDAD Y VENTAS","Chats",IF(OR(D2541="GERENCIA INBOUND LÍNEAS SERVICIO Y VENTA",D2541="GERENCIA INBOUND LINEAS ESPECIALIZADAS"),"Llamadas","Otro")))</f>
        <v/>
      </c>
      <c r="I2541" s="23" t="str">
        <f aca="false">IF(A2541="","",IF(C2541="No encontrado","No","Sí"))</f>
        <v/>
      </c>
      <c r="J2541" s="23" t="str">
        <f aca="false">IF(A2541="","",IF(F2541="Inactivo","No","Sí"))</f>
        <v/>
      </c>
      <c r="K2541" s="23" t="str">
        <f aca="false">IF(A2541="","",IF(AND(I2541="Sí",J2541="Sí"),"Sí","No"))</f>
        <v/>
      </c>
    </row>
    <row r="2542" customFormat="false" ht="15" hidden="false" customHeight="false" outlineLevel="0" collapsed="false">
      <c r="A2542" s="22"/>
      <c r="B2542" s="22"/>
      <c r="C2542" s="26" t="str">
        <f aca="false">IF(A2542="","",IFERROR(buscarx(A2542&amp;B2542,DATA!$E$3:$E$10000&amp;DATA!$B$3:$B$10000,DATA!$M$3:$M$10000),"No encontrado"))</f>
        <v/>
      </c>
      <c r="D2542" s="27" t="str">
        <f aca="false">IF(A2542="","",IFERROR(buscarx(A2542&amp;B2542,DATA!$E$3:$E$10000&amp;DATA!$B$3:$B$10000,DATA!$W$3:$W$10000),"No encontrado"))</f>
        <v/>
      </c>
      <c r="E2542" s="22"/>
      <c r="F2542" s="26" t="str">
        <f aca="false">IF(A2542="","",IFERROR(buscarx(A2542&amp;E2542,DATA!$E$3:$E$10000&amp;DATA!$B$3:$B$10000,DATA!$M$3:$M$10000),"Inactivo"))</f>
        <v/>
      </c>
      <c r="G2542" s="28" t="str">
        <f aca="false">IF(A2542="","",IF(AND(C2542&lt;&gt;"No encontrado",F2542&lt;&gt;"Inactivo"),C2542&amp;" → "&amp;F2542,"Sin transición"))</f>
        <v/>
      </c>
      <c r="H2542" s="26" t="str">
        <f aca="false">IF(A2542="","",IF(D2542="GCIA LINEA SERVICIO DIGITALIDAD Y VENTAS","Chats",IF(OR(D2542="GERENCIA INBOUND LÍNEAS SERVICIO Y VENTA",D2542="GERENCIA INBOUND LINEAS ESPECIALIZADAS"),"Llamadas","Otro")))</f>
        <v/>
      </c>
      <c r="I2542" s="26" t="str">
        <f aca="false">IF(A2542="","",IF(C2542="No encontrado","No","Sí"))</f>
        <v/>
      </c>
      <c r="J2542" s="26" t="str">
        <f aca="false">IF(A2542="","",IF(F2542="Inactivo","No","Sí"))</f>
        <v/>
      </c>
      <c r="K2542" s="26" t="str">
        <f aca="false">IF(A2542="","",IF(AND(I2542="Sí",J2542="Sí"),"Sí","No"))</f>
        <v/>
      </c>
    </row>
    <row r="2543" customFormat="false" ht="15" hidden="false" customHeight="false" outlineLevel="0" collapsed="false">
      <c r="A2543" s="22"/>
      <c r="B2543" s="22"/>
      <c r="C2543" s="23" t="str">
        <f aca="false">IF(A2543="","",IFERROR(buscarx(A2543&amp;B2543,DATA!$E$3:$E$10000&amp;DATA!$B$3:$B$10000,DATA!$M$3:$M$10000),"No encontrado"))</f>
        <v/>
      </c>
      <c r="D2543" s="24" t="str">
        <f aca="false">IF(A2543="","",IFERROR(buscarx(A2543&amp;B2543,DATA!$E$3:$E$10000&amp;DATA!$B$3:$B$10000,DATA!$W$3:$W$10000),"No encontrado"))</f>
        <v/>
      </c>
      <c r="E2543" s="22"/>
      <c r="F2543" s="23" t="str">
        <f aca="false">IF(A2543="","",IFERROR(buscarx(A2543&amp;E2543,DATA!$E$3:$E$10000&amp;DATA!$B$3:$B$10000,DATA!$M$3:$M$10000),"Inactivo"))</f>
        <v/>
      </c>
      <c r="G2543" s="25" t="str">
        <f aca="false">IF(A2543="","",IF(AND(C2543&lt;&gt;"No encontrado",F2543&lt;&gt;"Inactivo"),C2543&amp;" → "&amp;F2543,"Sin transición"))</f>
        <v/>
      </c>
      <c r="H2543" s="23" t="str">
        <f aca="false">IF(A2543="","",IF(D2543="GCIA LINEA SERVICIO DIGITALIDAD Y VENTAS","Chats",IF(OR(D2543="GERENCIA INBOUND LÍNEAS SERVICIO Y VENTA",D2543="GERENCIA INBOUND LINEAS ESPECIALIZADAS"),"Llamadas","Otro")))</f>
        <v/>
      </c>
      <c r="I2543" s="23" t="str">
        <f aca="false">IF(A2543="","",IF(C2543="No encontrado","No","Sí"))</f>
        <v/>
      </c>
      <c r="J2543" s="23" t="str">
        <f aca="false">IF(A2543="","",IF(F2543="Inactivo","No","Sí"))</f>
        <v/>
      </c>
      <c r="K2543" s="23" t="str">
        <f aca="false">IF(A2543="","",IF(AND(I2543="Sí",J2543="Sí"),"Sí","No"))</f>
        <v/>
      </c>
    </row>
    <row r="2544" customFormat="false" ht="15" hidden="false" customHeight="false" outlineLevel="0" collapsed="false">
      <c r="A2544" s="22"/>
      <c r="B2544" s="22"/>
      <c r="C2544" s="26" t="str">
        <f aca="false">IF(A2544="","",IFERROR(buscarx(A2544&amp;B2544,DATA!$E$3:$E$10000&amp;DATA!$B$3:$B$10000,DATA!$M$3:$M$10000),"No encontrado"))</f>
        <v/>
      </c>
      <c r="D2544" s="27" t="str">
        <f aca="false">IF(A2544="","",IFERROR(buscarx(A2544&amp;B2544,DATA!$E$3:$E$10000&amp;DATA!$B$3:$B$10000,DATA!$W$3:$W$10000),"No encontrado"))</f>
        <v/>
      </c>
      <c r="E2544" s="22"/>
      <c r="F2544" s="26" t="str">
        <f aca="false">IF(A2544="","",IFERROR(buscarx(A2544&amp;E2544,DATA!$E$3:$E$10000&amp;DATA!$B$3:$B$10000,DATA!$M$3:$M$10000),"Inactivo"))</f>
        <v/>
      </c>
      <c r="G2544" s="28" t="str">
        <f aca="false">IF(A2544="","",IF(AND(C2544&lt;&gt;"No encontrado",F2544&lt;&gt;"Inactivo"),C2544&amp;" → "&amp;F2544,"Sin transición"))</f>
        <v/>
      </c>
      <c r="H2544" s="26" t="str">
        <f aca="false">IF(A2544="","",IF(D2544="GCIA LINEA SERVICIO DIGITALIDAD Y VENTAS","Chats",IF(OR(D2544="GERENCIA INBOUND LÍNEAS SERVICIO Y VENTA",D2544="GERENCIA INBOUND LINEAS ESPECIALIZADAS"),"Llamadas","Otro")))</f>
        <v/>
      </c>
      <c r="I2544" s="26" t="str">
        <f aca="false">IF(A2544="","",IF(C2544="No encontrado","No","Sí"))</f>
        <v/>
      </c>
      <c r="J2544" s="26" t="str">
        <f aca="false">IF(A2544="","",IF(F2544="Inactivo","No","Sí"))</f>
        <v/>
      </c>
      <c r="K2544" s="26" t="str">
        <f aca="false">IF(A2544="","",IF(AND(I2544="Sí",J2544="Sí"),"Sí","No"))</f>
        <v/>
      </c>
    </row>
    <row r="2545" customFormat="false" ht="15" hidden="false" customHeight="false" outlineLevel="0" collapsed="false">
      <c r="A2545" s="22"/>
      <c r="B2545" s="22"/>
      <c r="C2545" s="23" t="str">
        <f aca="false">IF(A2545="","",IFERROR(buscarx(A2545&amp;B2545,DATA!$E$3:$E$10000&amp;DATA!$B$3:$B$10000,DATA!$M$3:$M$10000),"No encontrado"))</f>
        <v/>
      </c>
      <c r="D2545" s="24" t="str">
        <f aca="false">IF(A2545="","",IFERROR(buscarx(A2545&amp;B2545,DATA!$E$3:$E$10000&amp;DATA!$B$3:$B$10000,DATA!$W$3:$W$10000),"No encontrado"))</f>
        <v/>
      </c>
      <c r="E2545" s="22"/>
      <c r="F2545" s="23" t="str">
        <f aca="false">IF(A2545="","",IFERROR(buscarx(A2545&amp;E2545,DATA!$E$3:$E$10000&amp;DATA!$B$3:$B$10000,DATA!$M$3:$M$10000),"Inactivo"))</f>
        <v/>
      </c>
      <c r="G2545" s="25" t="str">
        <f aca="false">IF(A2545="","",IF(AND(C2545&lt;&gt;"No encontrado",F2545&lt;&gt;"Inactivo"),C2545&amp;" → "&amp;F2545,"Sin transición"))</f>
        <v/>
      </c>
      <c r="H2545" s="23" t="str">
        <f aca="false">IF(A2545="","",IF(D2545="GCIA LINEA SERVICIO DIGITALIDAD Y VENTAS","Chats",IF(OR(D2545="GERENCIA INBOUND LÍNEAS SERVICIO Y VENTA",D2545="GERENCIA INBOUND LINEAS ESPECIALIZADAS"),"Llamadas","Otro")))</f>
        <v/>
      </c>
      <c r="I2545" s="23" t="str">
        <f aca="false">IF(A2545="","",IF(C2545="No encontrado","No","Sí"))</f>
        <v/>
      </c>
      <c r="J2545" s="23" t="str">
        <f aca="false">IF(A2545="","",IF(F2545="Inactivo","No","Sí"))</f>
        <v/>
      </c>
      <c r="K2545" s="23" t="str">
        <f aca="false">IF(A2545="","",IF(AND(I2545="Sí",J2545="Sí"),"Sí","No"))</f>
        <v/>
      </c>
    </row>
    <row r="2546" customFormat="false" ht="15" hidden="false" customHeight="false" outlineLevel="0" collapsed="false">
      <c r="A2546" s="22"/>
      <c r="B2546" s="22"/>
      <c r="C2546" s="26" t="str">
        <f aca="false">IF(A2546="","",IFERROR(buscarx(A2546&amp;B2546,DATA!$E$3:$E$10000&amp;DATA!$B$3:$B$10000,DATA!$M$3:$M$10000),"No encontrado"))</f>
        <v/>
      </c>
      <c r="D2546" s="27" t="str">
        <f aca="false">IF(A2546="","",IFERROR(buscarx(A2546&amp;B2546,DATA!$E$3:$E$10000&amp;DATA!$B$3:$B$10000,DATA!$W$3:$W$10000),"No encontrado"))</f>
        <v/>
      </c>
      <c r="E2546" s="22"/>
      <c r="F2546" s="26" t="str">
        <f aca="false">IF(A2546="","",IFERROR(buscarx(A2546&amp;E2546,DATA!$E$3:$E$10000&amp;DATA!$B$3:$B$10000,DATA!$M$3:$M$10000),"Inactivo"))</f>
        <v/>
      </c>
      <c r="G2546" s="28" t="str">
        <f aca="false">IF(A2546="","",IF(AND(C2546&lt;&gt;"No encontrado",F2546&lt;&gt;"Inactivo"),C2546&amp;" → "&amp;F2546,"Sin transición"))</f>
        <v/>
      </c>
      <c r="H2546" s="26" t="str">
        <f aca="false">IF(A2546="","",IF(D2546="GCIA LINEA SERVICIO DIGITALIDAD Y VENTAS","Chats",IF(OR(D2546="GERENCIA INBOUND LÍNEAS SERVICIO Y VENTA",D2546="GERENCIA INBOUND LINEAS ESPECIALIZADAS"),"Llamadas","Otro")))</f>
        <v/>
      </c>
      <c r="I2546" s="26" t="str">
        <f aca="false">IF(A2546="","",IF(C2546="No encontrado","No","Sí"))</f>
        <v/>
      </c>
      <c r="J2546" s="26" t="str">
        <f aca="false">IF(A2546="","",IF(F2546="Inactivo","No","Sí"))</f>
        <v/>
      </c>
      <c r="K2546" s="26" t="str">
        <f aca="false">IF(A2546="","",IF(AND(I2546="Sí",J2546="Sí"),"Sí","No"))</f>
        <v/>
      </c>
    </row>
    <row r="2547" customFormat="false" ht="15" hidden="false" customHeight="false" outlineLevel="0" collapsed="false">
      <c r="A2547" s="22"/>
      <c r="B2547" s="22"/>
      <c r="C2547" s="23" t="str">
        <f aca="false">IF(A2547="","",IFERROR(buscarx(A2547&amp;B2547,DATA!$E$3:$E$10000&amp;DATA!$B$3:$B$10000,DATA!$M$3:$M$10000),"No encontrado"))</f>
        <v/>
      </c>
      <c r="D2547" s="24" t="str">
        <f aca="false">IF(A2547="","",IFERROR(buscarx(A2547&amp;B2547,DATA!$E$3:$E$10000&amp;DATA!$B$3:$B$10000,DATA!$W$3:$W$10000),"No encontrado"))</f>
        <v/>
      </c>
      <c r="E2547" s="22"/>
      <c r="F2547" s="23" t="str">
        <f aca="false">IF(A2547="","",IFERROR(buscarx(A2547&amp;E2547,DATA!$E$3:$E$10000&amp;DATA!$B$3:$B$10000,DATA!$M$3:$M$10000),"Inactivo"))</f>
        <v/>
      </c>
      <c r="G2547" s="25" t="str">
        <f aca="false">IF(A2547="","",IF(AND(C2547&lt;&gt;"No encontrado",F2547&lt;&gt;"Inactivo"),C2547&amp;" → "&amp;F2547,"Sin transición"))</f>
        <v/>
      </c>
      <c r="H2547" s="23" t="str">
        <f aca="false">IF(A2547="","",IF(D2547="GCIA LINEA SERVICIO DIGITALIDAD Y VENTAS","Chats",IF(OR(D2547="GERENCIA INBOUND LÍNEAS SERVICIO Y VENTA",D2547="GERENCIA INBOUND LINEAS ESPECIALIZADAS"),"Llamadas","Otro")))</f>
        <v/>
      </c>
      <c r="I2547" s="23" t="str">
        <f aca="false">IF(A2547="","",IF(C2547="No encontrado","No","Sí"))</f>
        <v/>
      </c>
      <c r="J2547" s="23" t="str">
        <f aca="false">IF(A2547="","",IF(F2547="Inactivo","No","Sí"))</f>
        <v/>
      </c>
      <c r="K2547" s="23" t="str">
        <f aca="false">IF(A2547="","",IF(AND(I2547="Sí",J2547="Sí"),"Sí","No"))</f>
        <v/>
      </c>
    </row>
    <row r="2548" customFormat="false" ht="15" hidden="false" customHeight="false" outlineLevel="0" collapsed="false">
      <c r="A2548" s="22"/>
      <c r="B2548" s="22"/>
      <c r="C2548" s="26" t="str">
        <f aca="false">IF(A2548="","",IFERROR(buscarx(A2548&amp;B2548,DATA!$E$3:$E$10000&amp;DATA!$B$3:$B$10000,DATA!$M$3:$M$10000),"No encontrado"))</f>
        <v/>
      </c>
      <c r="D2548" s="27" t="str">
        <f aca="false">IF(A2548="","",IFERROR(buscarx(A2548&amp;B2548,DATA!$E$3:$E$10000&amp;DATA!$B$3:$B$10000,DATA!$W$3:$W$10000),"No encontrado"))</f>
        <v/>
      </c>
      <c r="E2548" s="22"/>
      <c r="F2548" s="26" t="str">
        <f aca="false">IF(A2548="","",IFERROR(buscarx(A2548&amp;E2548,DATA!$E$3:$E$10000&amp;DATA!$B$3:$B$10000,DATA!$M$3:$M$10000),"Inactivo"))</f>
        <v/>
      </c>
      <c r="G2548" s="28" t="str">
        <f aca="false">IF(A2548="","",IF(AND(C2548&lt;&gt;"No encontrado",F2548&lt;&gt;"Inactivo"),C2548&amp;" → "&amp;F2548,"Sin transición"))</f>
        <v/>
      </c>
      <c r="H2548" s="26" t="str">
        <f aca="false">IF(A2548="","",IF(D2548="GCIA LINEA SERVICIO DIGITALIDAD Y VENTAS","Chats",IF(OR(D2548="GERENCIA INBOUND LÍNEAS SERVICIO Y VENTA",D2548="GERENCIA INBOUND LINEAS ESPECIALIZADAS"),"Llamadas","Otro")))</f>
        <v/>
      </c>
      <c r="I2548" s="26" t="str">
        <f aca="false">IF(A2548="","",IF(C2548="No encontrado","No","Sí"))</f>
        <v/>
      </c>
      <c r="J2548" s="26" t="str">
        <f aca="false">IF(A2548="","",IF(F2548="Inactivo","No","Sí"))</f>
        <v/>
      </c>
      <c r="K2548" s="26" t="str">
        <f aca="false">IF(A2548="","",IF(AND(I2548="Sí",J2548="Sí"),"Sí","No"))</f>
        <v/>
      </c>
    </row>
    <row r="2549" customFormat="false" ht="15" hidden="false" customHeight="false" outlineLevel="0" collapsed="false">
      <c r="A2549" s="22"/>
      <c r="B2549" s="22"/>
      <c r="C2549" s="23" t="str">
        <f aca="false">IF(A2549="","",IFERROR(buscarx(A2549&amp;B2549,DATA!$E$3:$E$10000&amp;DATA!$B$3:$B$10000,DATA!$M$3:$M$10000),"No encontrado"))</f>
        <v/>
      </c>
      <c r="D2549" s="24" t="str">
        <f aca="false">IF(A2549="","",IFERROR(buscarx(A2549&amp;B2549,DATA!$E$3:$E$10000&amp;DATA!$B$3:$B$10000,DATA!$W$3:$W$10000),"No encontrado"))</f>
        <v/>
      </c>
      <c r="E2549" s="22"/>
      <c r="F2549" s="23" t="str">
        <f aca="false">IF(A2549="","",IFERROR(buscarx(A2549&amp;E2549,DATA!$E$3:$E$10000&amp;DATA!$B$3:$B$10000,DATA!$M$3:$M$10000),"Inactivo"))</f>
        <v/>
      </c>
      <c r="G2549" s="25" t="str">
        <f aca="false">IF(A2549="","",IF(AND(C2549&lt;&gt;"No encontrado",F2549&lt;&gt;"Inactivo"),C2549&amp;" → "&amp;F2549,"Sin transición"))</f>
        <v/>
      </c>
      <c r="H2549" s="23" t="str">
        <f aca="false">IF(A2549="","",IF(D2549="GCIA LINEA SERVICIO DIGITALIDAD Y VENTAS","Chats",IF(OR(D2549="GERENCIA INBOUND LÍNEAS SERVICIO Y VENTA",D2549="GERENCIA INBOUND LINEAS ESPECIALIZADAS"),"Llamadas","Otro")))</f>
        <v/>
      </c>
      <c r="I2549" s="23" t="str">
        <f aca="false">IF(A2549="","",IF(C2549="No encontrado","No","Sí"))</f>
        <v/>
      </c>
      <c r="J2549" s="23" t="str">
        <f aca="false">IF(A2549="","",IF(F2549="Inactivo","No","Sí"))</f>
        <v/>
      </c>
      <c r="K2549" s="23" t="str">
        <f aca="false">IF(A2549="","",IF(AND(I2549="Sí",J2549="Sí"),"Sí","No"))</f>
        <v/>
      </c>
    </row>
    <row r="2550" customFormat="false" ht="15" hidden="false" customHeight="false" outlineLevel="0" collapsed="false">
      <c r="A2550" s="22"/>
      <c r="B2550" s="22"/>
      <c r="C2550" s="26" t="str">
        <f aca="false">IF(A2550="","",IFERROR(buscarx(A2550&amp;B2550,DATA!$E$3:$E$10000&amp;DATA!$B$3:$B$10000,DATA!$M$3:$M$10000),"No encontrado"))</f>
        <v/>
      </c>
      <c r="D2550" s="27" t="str">
        <f aca="false">IF(A2550="","",IFERROR(buscarx(A2550&amp;B2550,DATA!$E$3:$E$10000&amp;DATA!$B$3:$B$10000,DATA!$W$3:$W$10000),"No encontrado"))</f>
        <v/>
      </c>
      <c r="E2550" s="22"/>
      <c r="F2550" s="26" t="str">
        <f aca="false">IF(A2550="","",IFERROR(buscarx(A2550&amp;E2550,DATA!$E$3:$E$10000&amp;DATA!$B$3:$B$10000,DATA!$M$3:$M$10000),"Inactivo"))</f>
        <v/>
      </c>
      <c r="G2550" s="28" t="str">
        <f aca="false">IF(A2550="","",IF(AND(C2550&lt;&gt;"No encontrado",F2550&lt;&gt;"Inactivo"),C2550&amp;" → "&amp;F2550,"Sin transición"))</f>
        <v/>
      </c>
      <c r="H2550" s="26" t="str">
        <f aca="false">IF(A2550="","",IF(D2550="GCIA LINEA SERVICIO DIGITALIDAD Y VENTAS","Chats",IF(OR(D2550="GERENCIA INBOUND LÍNEAS SERVICIO Y VENTA",D2550="GERENCIA INBOUND LINEAS ESPECIALIZADAS"),"Llamadas","Otro")))</f>
        <v/>
      </c>
      <c r="I2550" s="26" t="str">
        <f aca="false">IF(A2550="","",IF(C2550="No encontrado","No","Sí"))</f>
        <v/>
      </c>
      <c r="J2550" s="26" t="str">
        <f aca="false">IF(A2550="","",IF(F2550="Inactivo","No","Sí"))</f>
        <v/>
      </c>
      <c r="K2550" s="26" t="str">
        <f aca="false">IF(A2550="","",IF(AND(I2550="Sí",J2550="Sí"),"Sí","No"))</f>
        <v/>
      </c>
    </row>
    <row r="2551" customFormat="false" ht="15" hidden="false" customHeight="false" outlineLevel="0" collapsed="false">
      <c r="A2551" s="22"/>
      <c r="B2551" s="22"/>
      <c r="C2551" s="23" t="str">
        <f aca="false">IF(A2551="","",IFERROR(buscarx(A2551&amp;B2551,DATA!$E$3:$E$10000&amp;DATA!$B$3:$B$10000,DATA!$M$3:$M$10000),"No encontrado"))</f>
        <v/>
      </c>
      <c r="D2551" s="24" t="str">
        <f aca="false">IF(A2551="","",IFERROR(buscarx(A2551&amp;B2551,DATA!$E$3:$E$10000&amp;DATA!$B$3:$B$10000,DATA!$W$3:$W$10000),"No encontrado"))</f>
        <v/>
      </c>
      <c r="E2551" s="22"/>
      <c r="F2551" s="23" t="str">
        <f aca="false">IF(A2551="","",IFERROR(buscarx(A2551&amp;E2551,DATA!$E$3:$E$10000&amp;DATA!$B$3:$B$10000,DATA!$M$3:$M$10000),"Inactivo"))</f>
        <v/>
      </c>
      <c r="G2551" s="25" t="str">
        <f aca="false">IF(A2551="","",IF(AND(C2551&lt;&gt;"No encontrado",F2551&lt;&gt;"Inactivo"),C2551&amp;" → "&amp;F2551,"Sin transición"))</f>
        <v/>
      </c>
      <c r="H2551" s="23" t="str">
        <f aca="false">IF(A2551="","",IF(D2551="GCIA LINEA SERVICIO DIGITALIDAD Y VENTAS","Chats",IF(OR(D2551="GERENCIA INBOUND LÍNEAS SERVICIO Y VENTA",D2551="GERENCIA INBOUND LINEAS ESPECIALIZADAS"),"Llamadas","Otro")))</f>
        <v/>
      </c>
      <c r="I2551" s="23" t="str">
        <f aca="false">IF(A2551="","",IF(C2551="No encontrado","No","Sí"))</f>
        <v/>
      </c>
      <c r="J2551" s="23" t="str">
        <f aca="false">IF(A2551="","",IF(F2551="Inactivo","No","Sí"))</f>
        <v/>
      </c>
      <c r="K2551" s="23" t="str">
        <f aca="false">IF(A2551="","",IF(AND(I2551="Sí",J2551="Sí"),"Sí","No"))</f>
        <v/>
      </c>
    </row>
    <row r="2552" customFormat="false" ht="15" hidden="false" customHeight="false" outlineLevel="0" collapsed="false">
      <c r="A2552" s="22"/>
      <c r="B2552" s="22"/>
      <c r="C2552" s="26" t="str">
        <f aca="false">IF(A2552="","",IFERROR(buscarx(A2552&amp;B2552,DATA!$E$3:$E$10000&amp;DATA!$B$3:$B$10000,DATA!$M$3:$M$10000),"No encontrado"))</f>
        <v/>
      </c>
      <c r="D2552" s="27" t="str">
        <f aca="false">IF(A2552="","",IFERROR(buscarx(A2552&amp;B2552,DATA!$E$3:$E$10000&amp;DATA!$B$3:$B$10000,DATA!$W$3:$W$10000),"No encontrado"))</f>
        <v/>
      </c>
      <c r="E2552" s="22"/>
      <c r="F2552" s="26" t="str">
        <f aca="false">IF(A2552="","",IFERROR(buscarx(A2552&amp;E2552,DATA!$E$3:$E$10000&amp;DATA!$B$3:$B$10000,DATA!$M$3:$M$10000),"Inactivo"))</f>
        <v/>
      </c>
      <c r="G2552" s="28" t="str">
        <f aca="false">IF(A2552="","",IF(AND(C2552&lt;&gt;"No encontrado",F2552&lt;&gt;"Inactivo"),C2552&amp;" → "&amp;F2552,"Sin transición"))</f>
        <v/>
      </c>
      <c r="H2552" s="26" t="str">
        <f aca="false">IF(A2552="","",IF(D2552="GCIA LINEA SERVICIO DIGITALIDAD Y VENTAS","Chats",IF(OR(D2552="GERENCIA INBOUND LÍNEAS SERVICIO Y VENTA",D2552="GERENCIA INBOUND LINEAS ESPECIALIZADAS"),"Llamadas","Otro")))</f>
        <v/>
      </c>
      <c r="I2552" s="26" t="str">
        <f aca="false">IF(A2552="","",IF(C2552="No encontrado","No","Sí"))</f>
        <v/>
      </c>
      <c r="J2552" s="26" t="str">
        <f aca="false">IF(A2552="","",IF(F2552="Inactivo","No","Sí"))</f>
        <v/>
      </c>
      <c r="K2552" s="26" t="str">
        <f aca="false">IF(A2552="","",IF(AND(I2552="Sí",J2552="Sí"),"Sí","No"))</f>
        <v/>
      </c>
    </row>
    <row r="2553" customFormat="false" ht="15" hidden="false" customHeight="false" outlineLevel="0" collapsed="false">
      <c r="A2553" s="22"/>
      <c r="B2553" s="22"/>
      <c r="C2553" s="23" t="str">
        <f aca="false">IF(A2553="","",IFERROR(buscarx(A2553&amp;B2553,DATA!$E$3:$E$10000&amp;DATA!$B$3:$B$10000,DATA!$M$3:$M$10000),"No encontrado"))</f>
        <v/>
      </c>
      <c r="D2553" s="24" t="str">
        <f aca="false">IF(A2553="","",IFERROR(buscarx(A2553&amp;B2553,DATA!$E$3:$E$10000&amp;DATA!$B$3:$B$10000,DATA!$W$3:$W$10000),"No encontrado"))</f>
        <v/>
      </c>
      <c r="E2553" s="22"/>
      <c r="F2553" s="23" t="str">
        <f aca="false">IF(A2553="","",IFERROR(buscarx(A2553&amp;E2553,DATA!$E$3:$E$10000&amp;DATA!$B$3:$B$10000,DATA!$M$3:$M$10000),"Inactivo"))</f>
        <v/>
      </c>
      <c r="G2553" s="25" t="str">
        <f aca="false">IF(A2553="","",IF(AND(C2553&lt;&gt;"No encontrado",F2553&lt;&gt;"Inactivo"),C2553&amp;" → "&amp;F2553,"Sin transición"))</f>
        <v/>
      </c>
      <c r="H2553" s="23" t="str">
        <f aca="false">IF(A2553="","",IF(D2553="GCIA LINEA SERVICIO DIGITALIDAD Y VENTAS","Chats",IF(OR(D2553="GERENCIA INBOUND LÍNEAS SERVICIO Y VENTA",D2553="GERENCIA INBOUND LINEAS ESPECIALIZADAS"),"Llamadas","Otro")))</f>
        <v/>
      </c>
      <c r="I2553" s="23" t="str">
        <f aca="false">IF(A2553="","",IF(C2553="No encontrado","No","Sí"))</f>
        <v/>
      </c>
      <c r="J2553" s="23" t="str">
        <f aca="false">IF(A2553="","",IF(F2553="Inactivo","No","Sí"))</f>
        <v/>
      </c>
      <c r="K2553" s="23" t="str">
        <f aca="false">IF(A2553="","",IF(AND(I2553="Sí",J2553="Sí"),"Sí","No"))</f>
        <v/>
      </c>
    </row>
    <row r="2554" customFormat="false" ht="15" hidden="false" customHeight="false" outlineLevel="0" collapsed="false">
      <c r="A2554" s="22"/>
      <c r="B2554" s="22"/>
      <c r="C2554" s="26" t="str">
        <f aca="false">IF(A2554="","",IFERROR(buscarx(A2554&amp;B2554,DATA!$E$3:$E$10000&amp;DATA!$B$3:$B$10000,DATA!$M$3:$M$10000),"No encontrado"))</f>
        <v/>
      </c>
      <c r="D2554" s="27" t="str">
        <f aca="false">IF(A2554="","",IFERROR(buscarx(A2554&amp;B2554,DATA!$E$3:$E$10000&amp;DATA!$B$3:$B$10000,DATA!$W$3:$W$10000),"No encontrado"))</f>
        <v/>
      </c>
      <c r="E2554" s="22"/>
      <c r="F2554" s="26" t="str">
        <f aca="false">IF(A2554="","",IFERROR(buscarx(A2554&amp;E2554,DATA!$E$3:$E$10000&amp;DATA!$B$3:$B$10000,DATA!$M$3:$M$10000),"Inactivo"))</f>
        <v/>
      </c>
      <c r="G2554" s="28" t="str">
        <f aca="false">IF(A2554="","",IF(AND(C2554&lt;&gt;"No encontrado",F2554&lt;&gt;"Inactivo"),C2554&amp;" → "&amp;F2554,"Sin transición"))</f>
        <v/>
      </c>
      <c r="H2554" s="26" t="str">
        <f aca="false">IF(A2554="","",IF(D2554="GCIA LINEA SERVICIO DIGITALIDAD Y VENTAS","Chats",IF(OR(D2554="GERENCIA INBOUND LÍNEAS SERVICIO Y VENTA",D2554="GERENCIA INBOUND LINEAS ESPECIALIZADAS"),"Llamadas","Otro")))</f>
        <v/>
      </c>
      <c r="I2554" s="26" t="str">
        <f aca="false">IF(A2554="","",IF(C2554="No encontrado","No","Sí"))</f>
        <v/>
      </c>
      <c r="J2554" s="26" t="str">
        <f aca="false">IF(A2554="","",IF(F2554="Inactivo","No","Sí"))</f>
        <v/>
      </c>
      <c r="K2554" s="26" t="str">
        <f aca="false">IF(A2554="","",IF(AND(I2554="Sí",J2554="Sí"),"Sí","No"))</f>
        <v/>
      </c>
    </row>
    <row r="2555" customFormat="false" ht="15" hidden="false" customHeight="false" outlineLevel="0" collapsed="false">
      <c r="A2555" s="22"/>
      <c r="B2555" s="22"/>
      <c r="C2555" s="23" t="str">
        <f aca="false">IF(A2555="","",IFERROR(buscarx(A2555&amp;B2555,DATA!$E$3:$E$10000&amp;DATA!$B$3:$B$10000,DATA!$M$3:$M$10000),"No encontrado"))</f>
        <v/>
      </c>
      <c r="D2555" s="24" t="str">
        <f aca="false">IF(A2555="","",IFERROR(buscarx(A2555&amp;B2555,DATA!$E$3:$E$10000&amp;DATA!$B$3:$B$10000,DATA!$W$3:$W$10000),"No encontrado"))</f>
        <v/>
      </c>
      <c r="E2555" s="22"/>
      <c r="F2555" s="23" t="str">
        <f aca="false">IF(A2555="","",IFERROR(buscarx(A2555&amp;E2555,DATA!$E$3:$E$10000&amp;DATA!$B$3:$B$10000,DATA!$M$3:$M$10000),"Inactivo"))</f>
        <v/>
      </c>
      <c r="G2555" s="25" t="str">
        <f aca="false">IF(A2555="","",IF(AND(C2555&lt;&gt;"No encontrado",F2555&lt;&gt;"Inactivo"),C2555&amp;" → "&amp;F2555,"Sin transición"))</f>
        <v/>
      </c>
      <c r="H2555" s="23" t="str">
        <f aca="false">IF(A2555="","",IF(D2555="GCIA LINEA SERVICIO DIGITALIDAD Y VENTAS","Chats",IF(OR(D2555="GERENCIA INBOUND LÍNEAS SERVICIO Y VENTA",D2555="GERENCIA INBOUND LINEAS ESPECIALIZADAS"),"Llamadas","Otro")))</f>
        <v/>
      </c>
      <c r="I2555" s="23" t="str">
        <f aca="false">IF(A2555="","",IF(C2555="No encontrado","No","Sí"))</f>
        <v/>
      </c>
      <c r="J2555" s="23" t="str">
        <f aca="false">IF(A2555="","",IF(F2555="Inactivo","No","Sí"))</f>
        <v/>
      </c>
      <c r="K2555" s="23" t="str">
        <f aca="false">IF(A2555="","",IF(AND(I2555="Sí",J2555="Sí"),"Sí","No"))</f>
        <v/>
      </c>
    </row>
    <row r="2556" customFormat="false" ht="15" hidden="false" customHeight="false" outlineLevel="0" collapsed="false">
      <c r="A2556" s="22"/>
      <c r="B2556" s="22"/>
      <c r="C2556" s="26" t="str">
        <f aca="false">IF(A2556="","",IFERROR(buscarx(A2556&amp;B2556,DATA!$E$3:$E$10000&amp;DATA!$B$3:$B$10000,DATA!$M$3:$M$10000),"No encontrado"))</f>
        <v/>
      </c>
      <c r="D2556" s="27" t="str">
        <f aca="false">IF(A2556="","",IFERROR(buscarx(A2556&amp;B2556,DATA!$E$3:$E$10000&amp;DATA!$B$3:$B$10000,DATA!$W$3:$W$10000),"No encontrado"))</f>
        <v/>
      </c>
      <c r="E2556" s="22"/>
      <c r="F2556" s="26" t="str">
        <f aca="false">IF(A2556="","",IFERROR(buscarx(A2556&amp;E2556,DATA!$E$3:$E$10000&amp;DATA!$B$3:$B$10000,DATA!$M$3:$M$10000),"Inactivo"))</f>
        <v/>
      </c>
      <c r="G2556" s="28" t="str">
        <f aca="false">IF(A2556="","",IF(AND(C2556&lt;&gt;"No encontrado",F2556&lt;&gt;"Inactivo"),C2556&amp;" → "&amp;F2556,"Sin transición"))</f>
        <v/>
      </c>
      <c r="H2556" s="26" t="str">
        <f aca="false">IF(A2556="","",IF(D2556="GCIA LINEA SERVICIO DIGITALIDAD Y VENTAS","Chats",IF(OR(D2556="GERENCIA INBOUND LÍNEAS SERVICIO Y VENTA",D2556="GERENCIA INBOUND LINEAS ESPECIALIZADAS"),"Llamadas","Otro")))</f>
        <v/>
      </c>
      <c r="I2556" s="26" t="str">
        <f aca="false">IF(A2556="","",IF(C2556="No encontrado","No","Sí"))</f>
        <v/>
      </c>
      <c r="J2556" s="26" t="str">
        <f aca="false">IF(A2556="","",IF(F2556="Inactivo","No","Sí"))</f>
        <v/>
      </c>
      <c r="K2556" s="26" t="str">
        <f aca="false">IF(A2556="","",IF(AND(I2556="Sí",J2556="Sí"),"Sí","No"))</f>
        <v/>
      </c>
    </row>
    <row r="2557" customFormat="false" ht="15" hidden="false" customHeight="false" outlineLevel="0" collapsed="false">
      <c r="A2557" s="22"/>
      <c r="B2557" s="22"/>
      <c r="C2557" s="23" t="str">
        <f aca="false">IF(A2557="","",IFERROR(buscarx(A2557&amp;B2557,DATA!$E$3:$E$10000&amp;DATA!$B$3:$B$10000,DATA!$M$3:$M$10000),"No encontrado"))</f>
        <v/>
      </c>
      <c r="D2557" s="24" t="str">
        <f aca="false">IF(A2557="","",IFERROR(buscarx(A2557&amp;B2557,DATA!$E$3:$E$10000&amp;DATA!$B$3:$B$10000,DATA!$W$3:$W$10000),"No encontrado"))</f>
        <v/>
      </c>
      <c r="E2557" s="22"/>
      <c r="F2557" s="23" t="str">
        <f aca="false">IF(A2557="","",IFERROR(buscarx(A2557&amp;E2557,DATA!$E$3:$E$10000&amp;DATA!$B$3:$B$10000,DATA!$M$3:$M$10000),"Inactivo"))</f>
        <v/>
      </c>
      <c r="G2557" s="25" t="str">
        <f aca="false">IF(A2557="","",IF(AND(C2557&lt;&gt;"No encontrado",F2557&lt;&gt;"Inactivo"),C2557&amp;" → "&amp;F2557,"Sin transición"))</f>
        <v/>
      </c>
      <c r="H2557" s="23" t="str">
        <f aca="false">IF(A2557="","",IF(D2557="GCIA LINEA SERVICIO DIGITALIDAD Y VENTAS","Chats",IF(OR(D2557="GERENCIA INBOUND LÍNEAS SERVICIO Y VENTA",D2557="GERENCIA INBOUND LINEAS ESPECIALIZADAS"),"Llamadas","Otro")))</f>
        <v/>
      </c>
      <c r="I2557" s="23" t="str">
        <f aca="false">IF(A2557="","",IF(C2557="No encontrado","No","Sí"))</f>
        <v/>
      </c>
      <c r="J2557" s="23" t="str">
        <f aca="false">IF(A2557="","",IF(F2557="Inactivo","No","Sí"))</f>
        <v/>
      </c>
      <c r="K2557" s="23" t="str">
        <f aca="false">IF(A2557="","",IF(AND(I2557="Sí",J2557="Sí"),"Sí","No"))</f>
        <v/>
      </c>
    </row>
    <row r="2558" customFormat="false" ht="15" hidden="false" customHeight="false" outlineLevel="0" collapsed="false">
      <c r="A2558" s="22"/>
      <c r="B2558" s="22"/>
      <c r="C2558" s="26" t="str">
        <f aca="false">IF(A2558="","",IFERROR(buscarx(A2558&amp;B2558,DATA!$E$3:$E$10000&amp;DATA!$B$3:$B$10000,DATA!$M$3:$M$10000),"No encontrado"))</f>
        <v/>
      </c>
      <c r="D2558" s="27" t="str">
        <f aca="false">IF(A2558="","",IFERROR(buscarx(A2558&amp;B2558,DATA!$E$3:$E$10000&amp;DATA!$B$3:$B$10000,DATA!$W$3:$W$10000),"No encontrado"))</f>
        <v/>
      </c>
      <c r="E2558" s="22"/>
      <c r="F2558" s="26" t="str">
        <f aca="false">IF(A2558="","",IFERROR(buscarx(A2558&amp;E2558,DATA!$E$3:$E$10000&amp;DATA!$B$3:$B$10000,DATA!$M$3:$M$10000),"Inactivo"))</f>
        <v/>
      </c>
      <c r="G2558" s="28" t="str">
        <f aca="false">IF(A2558="","",IF(AND(C2558&lt;&gt;"No encontrado",F2558&lt;&gt;"Inactivo"),C2558&amp;" → "&amp;F2558,"Sin transición"))</f>
        <v/>
      </c>
      <c r="H2558" s="26" t="str">
        <f aca="false">IF(A2558="","",IF(D2558="GCIA LINEA SERVICIO DIGITALIDAD Y VENTAS","Chats",IF(OR(D2558="GERENCIA INBOUND LÍNEAS SERVICIO Y VENTA",D2558="GERENCIA INBOUND LINEAS ESPECIALIZADAS"),"Llamadas","Otro")))</f>
        <v/>
      </c>
      <c r="I2558" s="26" t="str">
        <f aca="false">IF(A2558="","",IF(C2558="No encontrado","No","Sí"))</f>
        <v/>
      </c>
      <c r="J2558" s="26" t="str">
        <f aca="false">IF(A2558="","",IF(F2558="Inactivo","No","Sí"))</f>
        <v/>
      </c>
      <c r="K2558" s="26" t="str">
        <f aca="false">IF(A2558="","",IF(AND(I2558="Sí",J2558="Sí"),"Sí","No"))</f>
        <v/>
      </c>
    </row>
    <row r="2559" customFormat="false" ht="15" hidden="false" customHeight="false" outlineLevel="0" collapsed="false">
      <c r="A2559" s="22"/>
      <c r="B2559" s="22"/>
      <c r="C2559" s="23" t="str">
        <f aca="false">IF(A2559="","",IFERROR(buscarx(A2559&amp;B2559,DATA!$E$3:$E$10000&amp;DATA!$B$3:$B$10000,DATA!$M$3:$M$10000),"No encontrado"))</f>
        <v/>
      </c>
      <c r="D2559" s="24" t="str">
        <f aca="false">IF(A2559="","",IFERROR(buscarx(A2559&amp;B2559,DATA!$E$3:$E$10000&amp;DATA!$B$3:$B$10000,DATA!$W$3:$W$10000),"No encontrado"))</f>
        <v/>
      </c>
      <c r="E2559" s="22"/>
      <c r="F2559" s="23" t="str">
        <f aca="false">IF(A2559="","",IFERROR(buscarx(A2559&amp;E2559,DATA!$E$3:$E$10000&amp;DATA!$B$3:$B$10000,DATA!$M$3:$M$10000),"Inactivo"))</f>
        <v/>
      </c>
      <c r="G2559" s="25" t="str">
        <f aca="false">IF(A2559="","",IF(AND(C2559&lt;&gt;"No encontrado",F2559&lt;&gt;"Inactivo"),C2559&amp;" → "&amp;F2559,"Sin transición"))</f>
        <v/>
      </c>
      <c r="H2559" s="23" t="str">
        <f aca="false">IF(A2559="","",IF(D2559="GCIA LINEA SERVICIO DIGITALIDAD Y VENTAS","Chats",IF(OR(D2559="GERENCIA INBOUND LÍNEAS SERVICIO Y VENTA",D2559="GERENCIA INBOUND LINEAS ESPECIALIZADAS"),"Llamadas","Otro")))</f>
        <v/>
      </c>
      <c r="I2559" s="23" t="str">
        <f aca="false">IF(A2559="","",IF(C2559="No encontrado","No","Sí"))</f>
        <v/>
      </c>
      <c r="J2559" s="23" t="str">
        <f aca="false">IF(A2559="","",IF(F2559="Inactivo","No","Sí"))</f>
        <v/>
      </c>
      <c r="K2559" s="23" t="str">
        <f aca="false">IF(A2559="","",IF(AND(I2559="Sí",J2559="Sí"),"Sí","No"))</f>
        <v/>
      </c>
    </row>
    <row r="2560" customFormat="false" ht="15" hidden="false" customHeight="false" outlineLevel="0" collapsed="false">
      <c r="A2560" s="22"/>
      <c r="B2560" s="22"/>
      <c r="C2560" s="26" t="str">
        <f aca="false">IF(A2560="","",IFERROR(buscarx(A2560&amp;B2560,DATA!$E$3:$E$10000&amp;DATA!$B$3:$B$10000,DATA!$M$3:$M$10000),"No encontrado"))</f>
        <v/>
      </c>
      <c r="D2560" s="27" t="str">
        <f aca="false">IF(A2560="","",IFERROR(buscarx(A2560&amp;B2560,DATA!$E$3:$E$10000&amp;DATA!$B$3:$B$10000,DATA!$W$3:$W$10000),"No encontrado"))</f>
        <v/>
      </c>
      <c r="E2560" s="22"/>
      <c r="F2560" s="26" t="str">
        <f aca="false">IF(A2560="","",IFERROR(buscarx(A2560&amp;E2560,DATA!$E$3:$E$10000&amp;DATA!$B$3:$B$10000,DATA!$M$3:$M$10000),"Inactivo"))</f>
        <v/>
      </c>
      <c r="G2560" s="28" t="str">
        <f aca="false">IF(A2560="","",IF(AND(C2560&lt;&gt;"No encontrado",F2560&lt;&gt;"Inactivo"),C2560&amp;" → "&amp;F2560,"Sin transición"))</f>
        <v/>
      </c>
      <c r="H2560" s="26" t="str">
        <f aca="false">IF(A2560="","",IF(D2560="GCIA LINEA SERVICIO DIGITALIDAD Y VENTAS","Chats",IF(OR(D2560="GERENCIA INBOUND LÍNEAS SERVICIO Y VENTA",D2560="GERENCIA INBOUND LINEAS ESPECIALIZADAS"),"Llamadas","Otro")))</f>
        <v/>
      </c>
      <c r="I2560" s="26" t="str">
        <f aca="false">IF(A2560="","",IF(C2560="No encontrado","No","Sí"))</f>
        <v/>
      </c>
      <c r="J2560" s="26" t="str">
        <f aca="false">IF(A2560="","",IF(F2560="Inactivo","No","Sí"))</f>
        <v/>
      </c>
      <c r="K2560" s="26" t="str">
        <f aca="false">IF(A2560="","",IF(AND(I2560="Sí",J2560="Sí"),"Sí","No"))</f>
        <v/>
      </c>
    </row>
    <row r="2561" customFormat="false" ht="15" hidden="false" customHeight="false" outlineLevel="0" collapsed="false">
      <c r="A2561" s="22"/>
      <c r="B2561" s="22"/>
      <c r="C2561" s="23" t="str">
        <f aca="false">IF(A2561="","",IFERROR(buscarx(A2561&amp;B2561,DATA!$E$3:$E$10000&amp;DATA!$B$3:$B$10000,DATA!$M$3:$M$10000),"No encontrado"))</f>
        <v/>
      </c>
      <c r="D2561" s="24" t="str">
        <f aca="false">IF(A2561="","",IFERROR(buscarx(A2561&amp;B2561,DATA!$E$3:$E$10000&amp;DATA!$B$3:$B$10000,DATA!$W$3:$W$10000),"No encontrado"))</f>
        <v/>
      </c>
      <c r="E2561" s="22"/>
      <c r="F2561" s="23" t="str">
        <f aca="false">IF(A2561="","",IFERROR(buscarx(A2561&amp;E2561,DATA!$E$3:$E$10000&amp;DATA!$B$3:$B$10000,DATA!$M$3:$M$10000),"Inactivo"))</f>
        <v/>
      </c>
      <c r="G2561" s="25" t="str">
        <f aca="false">IF(A2561="","",IF(AND(C2561&lt;&gt;"No encontrado",F2561&lt;&gt;"Inactivo"),C2561&amp;" → "&amp;F2561,"Sin transición"))</f>
        <v/>
      </c>
      <c r="H2561" s="23" t="str">
        <f aca="false">IF(A2561="","",IF(D2561="GCIA LINEA SERVICIO DIGITALIDAD Y VENTAS","Chats",IF(OR(D2561="GERENCIA INBOUND LÍNEAS SERVICIO Y VENTA",D2561="GERENCIA INBOUND LINEAS ESPECIALIZADAS"),"Llamadas","Otro")))</f>
        <v/>
      </c>
      <c r="I2561" s="23" t="str">
        <f aca="false">IF(A2561="","",IF(C2561="No encontrado","No","Sí"))</f>
        <v/>
      </c>
      <c r="J2561" s="23" t="str">
        <f aca="false">IF(A2561="","",IF(F2561="Inactivo","No","Sí"))</f>
        <v/>
      </c>
      <c r="K2561" s="23" t="str">
        <f aca="false">IF(A2561="","",IF(AND(I2561="Sí",J2561="Sí"),"Sí","No"))</f>
        <v/>
      </c>
    </row>
    <row r="2562" customFormat="false" ht="15" hidden="false" customHeight="false" outlineLevel="0" collapsed="false">
      <c r="A2562" s="22"/>
      <c r="B2562" s="22"/>
      <c r="C2562" s="26" t="str">
        <f aca="false">IF(A2562="","",IFERROR(buscarx(A2562&amp;B2562,DATA!$E$3:$E$10000&amp;DATA!$B$3:$B$10000,DATA!$M$3:$M$10000),"No encontrado"))</f>
        <v/>
      </c>
      <c r="D2562" s="27" t="str">
        <f aca="false">IF(A2562="","",IFERROR(buscarx(A2562&amp;B2562,DATA!$E$3:$E$10000&amp;DATA!$B$3:$B$10000,DATA!$W$3:$W$10000),"No encontrado"))</f>
        <v/>
      </c>
      <c r="E2562" s="22"/>
      <c r="F2562" s="26" t="str">
        <f aca="false">IF(A2562="","",IFERROR(buscarx(A2562&amp;E2562,DATA!$E$3:$E$10000&amp;DATA!$B$3:$B$10000,DATA!$M$3:$M$10000),"Inactivo"))</f>
        <v/>
      </c>
      <c r="G2562" s="28" t="str">
        <f aca="false">IF(A2562="","",IF(AND(C2562&lt;&gt;"No encontrado",F2562&lt;&gt;"Inactivo"),C2562&amp;" → "&amp;F2562,"Sin transición"))</f>
        <v/>
      </c>
      <c r="H2562" s="26" t="str">
        <f aca="false">IF(A2562="","",IF(D2562="GCIA LINEA SERVICIO DIGITALIDAD Y VENTAS","Chats",IF(OR(D2562="GERENCIA INBOUND LÍNEAS SERVICIO Y VENTA",D2562="GERENCIA INBOUND LINEAS ESPECIALIZADAS"),"Llamadas","Otro")))</f>
        <v/>
      </c>
      <c r="I2562" s="26" t="str">
        <f aca="false">IF(A2562="","",IF(C2562="No encontrado","No","Sí"))</f>
        <v/>
      </c>
      <c r="J2562" s="26" t="str">
        <f aca="false">IF(A2562="","",IF(F2562="Inactivo","No","Sí"))</f>
        <v/>
      </c>
      <c r="K2562" s="26" t="str">
        <f aca="false">IF(A2562="","",IF(AND(I2562="Sí",J2562="Sí"),"Sí","No"))</f>
        <v/>
      </c>
    </row>
    <row r="2563" customFormat="false" ht="15" hidden="false" customHeight="false" outlineLevel="0" collapsed="false">
      <c r="A2563" s="22"/>
      <c r="B2563" s="22"/>
      <c r="C2563" s="23" t="str">
        <f aca="false">IF(A2563="","",IFERROR(buscarx(A2563&amp;B2563,DATA!$E$3:$E$10000&amp;DATA!$B$3:$B$10000,DATA!$M$3:$M$10000),"No encontrado"))</f>
        <v/>
      </c>
      <c r="D2563" s="24" t="str">
        <f aca="false">IF(A2563="","",IFERROR(buscarx(A2563&amp;B2563,DATA!$E$3:$E$10000&amp;DATA!$B$3:$B$10000,DATA!$W$3:$W$10000),"No encontrado"))</f>
        <v/>
      </c>
      <c r="E2563" s="22"/>
      <c r="F2563" s="23" t="str">
        <f aca="false">IF(A2563="","",IFERROR(buscarx(A2563&amp;E2563,DATA!$E$3:$E$10000&amp;DATA!$B$3:$B$10000,DATA!$M$3:$M$10000),"Inactivo"))</f>
        <v/>
      </c>
      <c r="G2563" s="25" t="str">
        <f aca="false">IF(A2563="","",IF(AND(C2563&lt;&gt;"No encontrado",F2563&lt;&gt;"Inactivo"),C2563&amp;" → "&amp;F2563,"Sin transición"))</f>
        <v/>
      </c>
      <c r="H2563" s="23" t="str">
        <f aca="false">IF(A2563="","",IF(D2563="GCIA LINEA SERVICIO DIGITALIDAD Y VENTAS","Chats",IF(OR(D2563="GERENCIA INBOUND LÍNEAS SERVICIO Y VENTA",D2563="GERENCIA INBOUND LINEAS ESPECIALIZADAS"),"Llamadas","Otro")))</f>
        <v/>
      </c>
      <c r="I2563" s="23" t="str">
        <f aca="false">IF(A2563="","",IF(C2563="No encontrado","No","Sí"))</f>
        <v/>
      </c>
      <c r="J2563" s="23" t="str">
        <f aca="false">IF(A2563="","",IF(F2563="Inactivo","No","Sí"))</f>
        <v/>
      </c>
      <c r="K2563" s="23" t="str">
        <f aca="false">IF(A2563="","",IF(AND(I2563="Sí",J2563="Sí"),"Sí","No"))</f>
        <v/>
      </c>
    </row>
    <row r="2564" customFormat="false" ht="15" hidden="false" customHeight="false" outlineLevel="0" collapsed="false">
      <c r="A2564" s="22"/>
      <c r="B2564" s="22"/>
      <c r="C2564" s="26" t="str">
        <f aca="false">IF(A2564="","",IFERROR(buscarx(A2564&amp;B2564,DATA!$E$3:$E$10000&amp;DATA!$B$3:$B$10000,DATA!$M$3:$M$10000),"No encontrado"))</f>
        <v/>
      </c>
      <c r="D2564" s="27" t="str">
        <f aca="false">IF(A2564="","",IFERROR(buscarx(A2564&amp;B2564,DATA!$E$3:$E$10000&amp;DATA!$B$3:$B$10000,DATA!$W$3:$W$10000),"No encontrado"))</f>
        <v/>
      </c>
      <c r="E2564" s="22"/>
      <c r="F2564" s="26" t="str">
        <f aca="false">IF(A2564="","",IFERROR(buscarx(A2564&amp;E2564,DATA!$E$3:$E$10000&amp;DATA!$B$3:$B$10000,DATA!$M$3:$M$10000),"Inactivo"))</f>
        <v/>
      </c>
      <c r="G2564" s="28" t="str">
        <f aca="false">IF(A2564="","",IF(AND(C2564&lt;&gt;"No encontrado",F2564&lt;&gt;"Inactivo"),C2564&amp;" → "&amp;F2564,"Sin transición"))</f>
        <v/>
      </c>
      <c r="H2564" s="26" t="str">
        <f aca="false">IF(A2564="","",IF(D2564="GCIA LINEA SERVICIO DIGITALIDAD Y VENTAS","Chats",IF(OR(D2564="GERENCIA INBOUND LÍNEAS SERVICIO Y VENTA",D2564="GERENCIA INBOUND LINEAS ESPECIALIZADAS"),"Llamadas","Otro")))</f>
        <v/>
      </c>
      <c r="I2564" s="26" t="str">
        <f aca="false">IF(A2564="","",IF(C2564="No encontrado","No","Sí"))</f>
        <v/>
      </c>
      <c r="J2564" s="26" t="str">
        <f aca="false">IF(A2564="","",IF(F2564="Inactivo","No","Sí"))</f>
        <v/>
      </c>
      <c r="K2564" s="26" t="str">
        <f aca="false">IF(A2564="","",IF(AND(I2564="Sí",J2564="Sí"),"Sí","No"))</f>
        <v/>
      </c>
    </row>
    <row r="2565" customFormat="false" ht="15" hidden="false" customHeight="false" outlineLevel="0" collapsed="false">
      <c r="A2565" s="22"/>
      <c r="B2565" s="22"/>
      <c r="C2565" s="23" t="str">
        <f aca="false">IF(A2565="","",IFERROR(buscarx(A2565&amp;B2565,DATA!$E$3:$E$10000&amp;DATA!$B$3:$B$10000,DATA!$M$3:$M$10000),"No encontrado"))</f>
        <v/>
      </c>
      <c r="D2565" s="24" t="str">
        <f aca="false">IF(A2565="","",IFERROR(buscarx(A2565&amp;B2565,DATA!$E$3:$E$10000&amp;DATA!$B$3:$B$10000,DATA!$W$3:$W$10000),"No encontrado"))</f>
        <v/>
      </c>
      <c r="E2565" s="22"/>
      <c r="F2565" s="23" t="str">
        <f aca="false">IF(A2565="","",IFERROR(buscarx(A2565&amp;E2565,DATA!$E$3:$E$10000&amp;DATA!$B$3:$B$10000,DATA!$M$3:$M$10000),"Inactivo"))</f>
        <v/>
      </c>
      <c r="G2565" s="25" t="str">
        <f aca="false">IF(A2565="","",IF(AND(C2565&lt;&gt;"No encontrado",F2565&lt;&gt;"Inactivo"),C2565&amp;" → "&amp;F2565,"Sin transición"))</f>
        <v/>
      </c>
      <c r="H2565" s="23" t="str">
        <f aca="false">IF(A2565="","",IF(D2565="GCIA LINEA SERVICIO DIGITALIDAD Y VENTAS","Chats",IF(OR(D2565="GERENCIA INBOUND LÍNEAS SERVICIO Y VENTA",D2565="GERENCIA INBOUND LINEAS ESPECIALIZADAS"),"Llamadas","Otro")))</f>
        <v/>
      </c>
      <c r="I2565" s="23" t="str">
        <f aca="false">IF(A2565="","",IF(C2565="No encontrado","No","Sí"))</f>
        <v/>
      </c>
      <c r="J2565" s="23" t="str">
        <f aca="false">IF(A2565="","",IF(F2565="Inactivo","No","Sí"))</f>
        <v/>
      </c>
      <c r="K2565" s="23" t="str">
        <f aca="false">IF(A2565="","",IF(AND(I2565="Sí",J2565="Sí"),"Sí","No"))</f>
        <v/>
      </c>
    </row>
    <row r="2566" customFormat="false" ht="15" hidden="false" customHeight="false" outlineLevel="0" collapsed="false">
      <c r="A2566" s="22"/>
      <c r="B2566" s="22"/>
      <c r="C2566" s="26" t="str">
        <f aca="false">IF(A2566="","",IFERROR(buscarx(A2566&amp;B2566,DATA!$E$3:$E$10000&amp;DATA!$B$3:$B$10000,DATA!$M$3:$M$10000),"No encontrado"))</f>
        <v/>
      </c>
      <c r="D2566" s="27" t="str">
        <f aca="false">IF(A2566="","",IFERROR(buscarx(A2566&amp;B2566,DATA!$E$3:$E$10000&amp;DATA!$B$3:$B$10000,DATA!$W$3:$W$10000),"No encontrado"))</f>
        <v/>
      </c>
      <c r="E2566" s="22"/>
      <c r="F2566" s="26" t="str">
        <f aca="false">IF(A2566="","",IFERROR(buscarx(A2566&amp;E2566,DATA!$E$3:$E$10000&amp;DATA!$B$3:$B$10000,DATA!$M$3:$M$10000),"Inactivo"))</f>
        <v/>
      </c>
      <c r="G2566" s="28" t="str">
        <f aca="false">IF(A2566="","",IF(AND(C2566&lt;&gt;"No encontrado",F2566&lt;&gt;"Inactivo"),C2566&amp;" → "&amp;F2566,"Sin transición"))</f>
        <v/>
      </c>
      <c r="H2566" s="26" t="str">
        <f aca="false">IF(A2566="","",IF(D2566="GCIA LINEA SERVICIO DIGITALIDAD Y VENTAS","Chats",IF(OR(D2566="GERENCIA INBOUND LÍNEAS SERVICIO Y VENTA",D2566="GERENCIA INBOUND LINEAS ESPECIALIZADAS"),"Llamadas","Otro")))</f>
        <v/>
      </c>
      <c r="I2566" s="26" t="str">
        <f aca="false">IF(A2566="","",IF(C2566="No encontrado","No","Sí"))</f>
        <v/>
      </c>
      <c r="J2566" s="26" t="str">
        <f aca="false">IF(A2566="","",IF(F2566="Inactivo","No","Sí"))</f>
        <v/>
      </c>
      <c r="K2566" s="26" t="str">
        <f aca="false">IF(A2566="","",IF(AND(I2566="Sí",J2566="Sí"),"Sí","No"))</f>
        <v/>
      </c>
    </row>
    <row r="2567" customFormat="false" ht="15" hidden="false" customHeight="false" outlineLevel="0" collapsed="false">
      <c r="A2567" s="22"/>
      <c r="B2567" s="22"/>
      <c r="C2567" s="23" t="str">
        <f aca="false">IF(A2567="","",IFERROR(buscarx(A2567&amp;B2567,DATA!$E$3:$E$10000&amp;DATA!$B$3:$B$10000,DATA!$M$3:$M$10000),"No encontrado"))</f>
        <v/>
      </c>
      <c r="D2567" s="24" t="str">
        <f aca="false">IF(A2567="","",IFERROR(buscarx(A2567&amp;B2567,DATA!$E$3:$E$10000&amp;DATA!$B$3:$B$10000,DATA!$W$3:$W$10000),"No encontrado"))</f>
        <v/>
      </c>
      <c r="E2567" s="22"/>
      <c r="F2567" s="23" t="str">
        <f aca="false">IF(A2567="","",IFERROR(buscarx(A2567&amp;E2567,DATA!$E$3:$E$10000&amp;DATA!$B$3:$B$10000,DATA!$M$3:$M$10000),"Inactivo"))</f>
        <v/>
      </c>
      <c r="G2567" s="25" t="str">
        <f aca="false">IF(A2567="","",IF(AND(C2567&lt;&gt;"No encontrado",F2567&lt;&gt;"Inactivo"),C2567&amp;" → "&amp;F2567,"Sin transición"))</f>
        <v/>
      </c>
      <c r="H2567" s="23" t="str">
        <f aca="false">IF(A2567="","",IF(D2567="GCIA LINEA SERVICIO DIGITALIDAD Y VENTAS","Chats",IF(OR(D2567="GERENCIA INBOUND LÍNEAS SERVICIO Y VENTA",D2567="GERENCIA INBOUND LINEAS ESPECIALIZADAS"),"Llamadas","Otro")))</f>
        <v/>
      </c>
      <c r="I2567" s="23" t="str">
        <f aca="false">IF(A2567="","",IF(C2567="No encontrado","No","Sí"))</f>
        <v/>
      </c>
      <c r="J2567" s="23" t="str">
        <f aca="false">IF(A2567="","",IF(F2567="Inactivo","No","Sí"))</f>
        <v/>
      </c>
      <c r="K2567" s="23" t="str">
        <f aca="false">IF(A2567="","",IF(AND(I2567="Sí",J2567="Sí"),"Sí","No"))</f>
        <v/>
      </c>
    </row>
    <row r="2568" customFormat="false" ht="15" hidden="false" customHeight="false" outlineLevel="0" collapsed="false">
      <c r="A2568" s="22"/>
      <c r="B2568" s="22"/>
      <c r="C2568" s="26" t="str">
        <f aca="false">IF(A2568="","",IFERROR(buscarx(A2568&amp;B2568,DATA!$E$3:$E$10000&amp;DATA!$B$3:$B$10000,DATA!$M$3:$M$10000),"No encontrado"))</f>
        <v/>
      </c>
      <c r="D2568" s="27" t="str">
        <f aca="false">IF(A2568="","",IFERROR(buscarx(A2568&amp;B2568,DATA!$E$3:$E$10000&amp;DATA!$B$3:$B$10000,DATA!$W$3:$W$10000),"No encontrado"))</f>
        <v/>
      </c>
      <c r="E2568" s="22"/>
      <c r="F2568" s="26" t="str">
        <f aca="false">IF(A2568="","",IFERROR(buscarx(A2568&amp;E2568,DATA!$E$3:$E$10000&amp;DATA!$B$3:$B$10000,DATA!$M$3:$M$10000),"Inactivo"))</f>
        <v/>
      </c>
      <c r="G2568" s="28" t="str">
        <f aca="false">IF(A2568="","",IF(AND(C2568&lt;&gt;"No encontrado",F2568&lt;&gt;"Inactivo"),C2568&amp;" → "&amp;F2568,"Sin transición"))</f>
        <v/>
      </c>
      <c r="H2568" s="26" t="str">
        <f aca="false">IF(A2568="","",IF(D2568="GCIA LINEA SERVICIO DIGITALIDAD Y VENTAS","Chats",IF(OR(D2568="GERENCIA INBOUND LÍNEAS SERVICIO Y VENTA",D2568="GERENCIA INBOUND LINEAS ESPECIALIZADAS"),"Llamadas","Otro")))</f>
        <v/>
      </c>
      <c r="I2568" s="26" t="str">
        <f aca="false">IF(A2568="","",IF(C2568="No encontrado","No","Sí"))</f>
        <v/>
      </c>
      <c r="J2568" s="26" t="str">
        <f aca="false">IF(A2568="","",IF(F2568="Inactivo","No","Sí"))</f>
        <v/>
      </c>
      <c r="K2568" s="26" t="str">
        <f aca="false">IF(A2568="","",IF(AND(I2568="Sí",J2568="Sí"),"Sí","No"))</f>
        <v/>
      </c>
    </row>
    <row r="2569" customFormat="false" ht="15" hidden="false" customHeight="false" outlineLevel="0" collapsed="false">
      <c r="A2569" s="22"/>
      <c r="B2569" s="22"/>
      <c r="C2569" s="23" t="str">
        <f aca="false">IF(A2569="","",IFERROR(buscarx(A2569&amp;B2569,DATA!$E$3:$E$10000&amp;DATA!$B$3:$B$10000,DATA!$M$3:$M$10000),"No encontrado"))</f>
        <v/>
      </c>
      <c r="D2569" s="24" t="str">
        <f aca="false">IF(A2569="","",IFERROR(buscarx(A2569&amp;B2569,DATA!$E$3:$E$10000&amp;DATA!$B$3:$B$10000,DATA!$W$3:$W$10000),"No encontrado"))</f>
        <v/>
      </c>
      <c r="E2569" s="22"/>
      <c r="F2569" s="23" t="str">
        <f aca="false">IF(A2569="","",IFERROR(buscarx(A2569&amp;E2569,DATA!$E$3:$E$10000&amp;DATA!$B$3:$B$10000,DATA!$M$3:$M$10000),"Inactivo"))</f>
        <v/>
      </c>
      <c r="G2569" s="25" t="str">
        <f aca="false">IF(A2569="","",IF(AND(C2569&lt;&gt;"No encontrado",F2569&lt;&gt;"Inactivo"),C2569&amp;" → "&amp;F2569,"Sin transición"))</f>
        <v/>
      </c>
      <c r="H2569" s="23" t="str">
        <f aca="false">IF(A2569="","",IF(D2569="GCIA LINEA SERVICIO DIGITALIDAD Y VENTAS","Chats",IF(OR(D2569="GERENCIA INBOUND LÍNEAS SERVICIO Y VENTA",D2569="GERENCIA INBOUND LINEAS ESPECIALIZADAS"),"Llamadas","Otro")))</f>
        <v/>
      </c>
      <c r="I2569" s="23" t="str">
        <f aca="false">IF(A2569="","",IF(C2569="No encontrado","No","Sí"))</f>
        <v/>
      </c>
      <c r="J2569" s="23" t="str">
        <f aca="false">IF(A2569="","",IF(F2569="Inactivo","No","Sí"))</f>
        <v/>
      </c>
      <c r="K2569" s="23" t="str">
        <f aca="false">IF(A2569="","",IF(AND(I2569="Sí",J2569="Sí"),"Sí","No"))</f>
        <v/>
      </c>
    </row>
    <row r="2570" customFormat="false" ht="15" hidden="false" customHeight="false" outlineLevel="0" collapsed="false">
      <c r="A2570" s="22"/>
      <c r="B2570" s="22"/>
      <c r="C2570" s="26" t="str">
        <f aca="false">IF(A2570="","",IFERROR(buscarx(A2570&amp;B2570,DATA!$E$3:$E$10000&amp;DATA!$B$3:$B$10000,DATA!$M$3:$M$10000),"No encontrado"))</f>
        <v/>
      </c>
      <c r="D2570" s="27" t="str">
        <f aca="false">IF(A2570="","",IFERROR(buscarx(A2570&amp;B2570,DATA!$E$3:$E$10000&amp;DATA!$B$3:$B$10000,DATA!$W$3:$W$10000),"No encontrado"))</f>
        <v/>
      </c>
      <c r="E2570" s="22"/>
      <c r="F2570" s="26" t="str">
        <f aca="false">IF(A2570="","",IFERROR(buscarx(A2570&amp;E2570,DATA!$E$3:$E$10000&amp;DATA!$B$3:$B$10000,DATA!$M$3:$M$10000),"Inactivo"))</f>
        <v/>
      </c>
      <c r="G2570" s="28" t="str">
        <f aca="false">IF(A2570="","",IF(AND(C2570&lt;&gt;"No encontrado",F2570&lt;&gt;"Inactivo"),C2570&amp;" → "&amp;F2570,"Sin transición"))</f>
        <v/>
      </c>
      <c r="H2570" s="26" t="str">
        <f aca="false">IF(A2570="","",IF(D2570="GCIA LINEA SERVICIO DIGITALIDAD Y VENTAS","Chats",IF(OR(D2570="GERENCIA INBOUND LÍNEAS SERVICIO Y VENTA",D2570="GERENCIA INBOUND LINEAS ESPECIALIZADAS"),"Llamadas","Otro")))</f>
        <v/>
      </c>
      <c r="I2570" s="26" t="str">
        <f aca="false">IF(A2570="","",IF(C2570="No encontrado","No","Sí"))</f>
        <v/>
      </c>
      <c r="J2570" s="26" t="str">
        <f aca="false">IF(A2570="","",IF(F2570="Inactivo","No","Sí"))</f>
        <v/>
      </c>
      <c r="K2570" s="26" t="str">
        <f aca="false">IF(A2570="","",IF(AND(I2570="Sí",J2570="Sí"),"Sí","No"))</f>
        <v/>
      </c>
    </row>
    <row r="2571" customFormat="false" ht="15" hidden="false" customHeight="false" outlineLevel="0" collapsed="false">
      <c r="A2571" s="22"/>
      <c r="B2571" s="22"/>
      <c r="C2571" s="23" t="str">
        <f aca="false">IF(A2571="","",IFERROR(buscarx(A2571&amp;B2571,DATA!$E$3:$E$10000&amp;DATA!$B$3:$B$10000,DATA!$M$3:$M$10000),"No encontrado"))</f>
        <v/>
      </c>
      <c r="D2571" s="24" t="str">
        <f aca="false">IF(A2571="","",IFERROR(buscarx(A2571&amp;B2571,DATA!$E$3:$E$10000&amp;DATA!$B$3:$B$10000,DATA!$W$3:$W$10000),"No encontrado"))</f>
        <v/>
      </c>
      <c r="E2571" s="22"/>
      <c r="F2571" s="23" t="str">
        <f aca="false">IF(A2571="","",IFERROR(buscarx(A2571&amp;E2571,DATA!$E$3:$E$10000&amp;DATA!$B$3:$B$10000,DATA!$M$3:$M$10000),"Inactivo"))</f>
        <v/>
      </c>
      <c r="G2571" s="25" t="str">
        <f aca="false">IF(A2571="","",IF(AND(C2571&lt;&gt;"No encontrado",F2571&lt;&gt;"Inactivo"),C2571&amp;" → "&amp;F2571,"Sin transición"))</f>
        <v/>
      </c>
      <c r="H2571" s="23" t="str">
        <f aca="false">IF(A2571="","",IF(D2571="GCIA LINEA SERVICIO DIGITALIDAD Y VENTAS","Chats",IF(OR(D2571="GERENCIA INBOUND LÍNEAS SERVICIO Y VENTA",D2571="GERENCIA INBOUND LINEAS ESPECIALIZADAS"),"Llamadas","Otro")))</f>
        <v/>
      </c>
      <c r="I2571" s="23" t="str">
        <f aca="false">IF(A2571="","",IF(C2571="No encontrado","No","Sí"))</f>
        <v/>
      </c>
      <c r="J2571" s="23" t="str">
        <f aca="false">IF(A2571="","",IF(F2571="Inactivo","No","Sí"))</f>
        <v/>
      </c>
      <c r="K2571" s="23" t="str">
        <f aca="false">IF(A2571="","",IF(AND(I2571="Sí",J2571="Sí"),"Sí","No"))</f>
        <v/>
      </c>
    </row>
    <row r="2572" customFormat="false" ht="15" hidden="false" customHeight="false" outlineLevel="0" collapsed="false">
      <c r="A2572" s="22"/>
      <c r="B2572" s="22"/>
      <c r="C2572" s="26" t="str">
        <f aca="false">IF(A2572="","",IFERROR(buscarx(A2572&amp;B2572,DATA!$E$3:$E$10000&amp;DATA!$B$3:$B$10000,DATA!$M$3:$M$10000),"No encontrado"))</f>
        <v/>
      </c>
      <c r="D2572" s="27" t="str">
        <f aca="false">IF(A2572="","",IFERROR(buscarx(A2572&amp;B2572,DATA!$E$3:$E$10000&amp;DATA!$B$3:$B$10000,DATA!$W$3:$W$10000),"No encontrado"))</f>
        <v/>
      </c>
      <c r="E2572" s="22"/>
      <c r="F2572" s="26" t="str">
        <f aca="false">IF(A2572="","",IFERROR(buscarx(A2572&amp;E2572,DATA!$E$3:$E$10000&amp;DATA!$B$3:$B$10000,DATA!$M$3:$M$10000),"Inactivo"))</f>
        <v/>
      </c>
      <c r="G2572" s="28" t="str">
        <f aca="false">IF(A2572="","",IF(AND(C2572&lt;&gt;"No encontrado",F2572&lt;&gt;"Inactivo"),C2572&amp;" → "&amp;F2572,"Sin transición"))</f>
        <v/>
      </c>
      <c r="H2572" s="26" t="str">
        <f aca="false">IF(A2572="","",IF(D2572="GCIA LINEA SERVICIO DIGITALIDAD Y VENTAS","Chats",IF(OR(D2572="GERENCIA INBOUND LÍNEAS SERVICIO Y VENTA",D2572="GERENCIA INBOUND LINEAS ESPECIALIZADAS"),"Llamadas","Otro")))</f>
        <v/>
      </c>
      <c r="I2572" s="26" t="str">
        <f aca="false">IF(A2572="","",IF(C2572="No encontrado","No","Sí"))</f>
        <v/>
      </c>
      <c r="J2572" s="26" t="str">
        <f aca="false">IF(A2572="","",IF(F2572="Inactivo","No","Sí"))</f>
        <v/>
      </c>
      <c r="K2572" s="26" t="str">
        <f aca="false">IF(A2572="","",IF(AND(I2572="Sí",J2572="Sí"),"Sí","No"))</f>
        <v/>
      </c>
    </row>
    <row r="2573" customFormat="false" ht="15" hidden="false" customHeight="false" outlineLevel="0" collapsed="false">
      <c r="A2573" s="22"/>
      <c r="B2573" s="22"/>
      <c r="C2573" s="23" t="str">
        <f aca="false">IF(A2573="","",IFERROR(buscarx(A2573&amp;B2573,DATA!$E$3:$E$10000&amp;DATA!$B$3:$B$10000,DATA!$M$3:$M$10000),"No encontrado"))</f>
        <v/>
      </c>
      <c r="D2573" s="24" t="str">
        <f aca="false">IF(A2573="","",IFERROR(buscarx(A2573&amp;B2573,DATA!$E$3:$E$10000&amp;DATA!$B$3:$B$10000,DATA!$W$3:$W$10000),"No encontrado"))</f>
        <v/>
      </c>
      <c r="E2573" s="22"/>
      <c r="F2573" s="23" t="str">
        <f aca="false">IF(A2573="","",IFERROR(buscarx(A2573&amp;E2573,DATA!$E$3:$E$10000&amp;DATA!$B$3:$B$10000,DATA!$M$3:$M$10000),"Inactivo"))</f>
        <v/>
      </c>
      <c r="G2573" s="25" t="str">
        <f aca="false">IF(A2573="","",IF(AND(C2573&lt;&gt;"No encontrado",F2573&lt;&gt;"Inactivo"),C2573&amp;" → "&amp;F2573,"Sin transición"))</f>
        <v/>
      </c>
      <c r="H2573" s="23" t="str">
        <f aca="false">IF(A2573="","",IF(D2573="GCIA LINEA SERVICIO DIGITALIDAD Y VENTAS","Chats",IF(OR(D2573="GERENCIA INBOUND LÍNEAS SERVICIO Y VENTA",D2573="GERENCIA INBOUND LINEAS ESPECIALIZADAS"),"Llamadas","Otro")))</f>
        <v/>
      </c>
      <c r="I2573" s="23" t="str">
        <f aca="false">IF(A2573="","",IF(C2573="No encontrado","No","Sí"))</f>
        <v/>
      </c>
      <c r="J2573" s="23" t="str">
        <f aca="false">IF(A2573="","",IF(F2573="Inactivo","No","Sí"))</f>
        <v/>
      </c>
      <c r="K2573" s="23" t="str">
        <f aca="false">IF(A2573="","",IF(AND(I2573="Sí",J2573="Sí"),"Sí","No"))</f>
        <v/>
      </c>
    </row>
    <row r="2574" customFormat="false" ht="15" hidden="false" customHeight="false" outlineLevel="0" collapsed="false">
      <c r="A2574" s="22"/>
      <c r="B2574" s="22"/>
      <c r="C2574" s="26" t="str">
        <f aca="false">IF(A2574="","",IFERROR(buscarx(A2574&amp;B2574,DATA!$E$3:$E$10000&amp;DATA!$B$3:$B$10000,DATA!$M$3:$M$10000),"No encontrado"))</f>
        <v/>
      </c>
      <c r="D2574" s="27" t="str">
        <f aca="false">IF(A2574="","",IFERROR(buscarx(A2574&amp;B2574,DATA!$E$3:$E$10000&amp;DATA!$B$3:$B$10000,DATA!$W$3:$W$10000),"No encontrado"))</f>
        <v/>
      </c>
      <c r="E2574" s="22"/>
      <c r="F2574" s="26" t="str">
        <f aca="false">IF(A2574="","",IFERROR(buscarx(A2574&amp;E2574,DATA!$E$3:$E$10000&amp;DATA!$B$3:$B$10000,DATA!$M$3:$M$10000),"Inactivo"))</f>
        <v/>
      </c>
      <c r="G2574" s="28" t="str">
        <f aca="false">IF(A2574="","",IF(AND(C2574&lt;&gt;"No encontrado",F2574&lt;&gt;"Inactivo"),C2574&amp;" → "&amp;F2574,"Sin transición"))</f>
        <v/>
      </c>
      <c r="H2574" s="26" t="str">
        <f aca="false">IF(A2574="","",IF(D2574="GCIA LINEA SERVICIO DIGITALIDAD Y VENTAS","Chats",IF(OR(D2574="GERENCIA INBOUND LÍNEAS SERVICIO Y VENTA",D2574="GERENCIA INBOUND LINEAS ESPECIALIZADAS"),"Llamadas","Otro")))</f>
        <v/>
      </c>
      <c r="I2574" s="26" t="str">
        <f aca="false">IF(A2574="","",IF(C2574="No encontrado","No","Sí"))</f>
        <v/>
      </c>
      <c r="J2574" s="26" t="str">
        <f aca="false">IF(A2574="","",IF(F2574="Inactivo","No","Sí"))</f>
        <v/>
      </c>
      <c r="K2574" s="26" t="str">
        <f aca="false">IF(A2574="","",IF(AND(I2574="Sí",J2574="Sí"),"Sí","No"))</f>
        <v/>
      </c>
    </row>
    <row r="2575" customFormat="false" ht="15" hidden="false" customHeight="false" outlineLevel="0" collapsed="false">
      <c r="A2575" s="22"/>
      <c r="B2575" s="22"/>
      <c r="C2575" s="23" t="str">
        <f aca="false">IF(A2575="","",IFERROR(buscarx(A2575&amp;B2575,DATA!$E$3:$E$10000&amp;DATA!$B$3:$B$10000,DATA!$M$3:$M$10000),"No encontrado"))</f>
        <v/>
      </c>
      <c r="D2575" s="24" t="str">
        <f aca="false">IF(A2575="","",IFERROR(buscarx(A2575&amp;B2575,DATA!$E$3:$E$10000&amp;DATA!$B$3:$B$10000,DATA!$W$3:$W$10000),"No encontrado"))</f>
        <v/>
      </c>
      <c r="E2575" s="22"/>
      <c r="F2575" s="23" t="str">
        <f aca="false">IF(A2575="","",IFERROR(buscarx(A2575&amp;E2575,DATA!$E$3:$E$10000&amp;DATA!$B$3:$B$10000,DATA!$M$3:$M$10000),"Inactivo"))</f>
        <v/>
      </c>
      <c r="G2575" s="25" t="str">
        <f aca="false">IF(A2575="","",IF(AND(C2575&lt;&gt;"No encontrado",F2575&lt;&gt;"Inactivo"),C2575&amp;" → "&amp;F2575,"Sin transición"))</f>
        <v/>
      </c>
      <c r="H2575" s="23" t="str">
        <f aca="false">IF(A2575="","",IF(D2575="GCIA LINEA SERVICIO DIGITALIDAD Y VENTAS","Chats",IF(OR(D2575="GERENCIA INBOUND LÍNEAS SERVICIO Y VENTA",D2575="GERENCIA INBOUND LINEAS ESPECIALIZADAS"),"Llamadas","Otro")))</f>
        <v/>
      </c>
      <c r="I2575" s="23" t="str">
        <f aca="false">IF(A2575="","",IF(C2575="No encontrado","No","Sí"))</f>
        <v/>
      </c>
      <c r="J2575" s="23" t="str">
        <f aca="false">IF(A2575="","",IF(F2575="Inactivo","No","Sí"))</f>
        <v/>
      </c>
      <c r="K2575" s="23" t="str">
        <f aca="false">IF(A2575="","",IF(AND(I2575="Sí",J2575="Sí"),"Sí","No"))</f>
        <v/>
      </c>
    </row>
    <row r="2576" customFormat="false" ht="15" hidden="false" customHeight="false" outlineLevel="0" collapsed="false">
      <c r="A2576" s="22"/>
      <c r="B2576" s="22"/>
      <c r="C2576" s="26" t="str">
        <f aca="false">IF(A2576="","",IFERROR(buscarx(A2576&amp;B2576,DATA!$E$3:$E$10000&amp;DATA!$B$3:$B$10000,DATA!$M$3:$M$10000),"No encontrado"))</f>
        <v/>
      </c>
      <c r="D2576" s="27" t="str">
        <f aca="false">IF(A2576="","",IFERROR(buscarx(A2576&amp;B2576,DATA!$E$3:$E$10000&amp;DATA!$B$3:$B$10000,DATA!$W$3:$W$10000),"No encontrado"))</f>
        <v/>
      </c>
      <c r="E2576" s="22"/>
      <c r="F2576" s="26" t="str">
        <f aca="false">IF(A2576="","",IFERROR(buscarx(A2576&amp;E2576,DATA!$E$3:$E$10000&amp;DATA!$B$3:$B$10000,DATA!$M$3:$M$10000),"Inactivo"))</f>
        <v/>
      </c>
      <c r="G2576" s="28" t="str">
        <f aca="false">IF(A2576="","",IF(AND(C2576&lt;&gt;"No encontrado",F2576&lt;&gt;"Inactivo"),C2576&amp;" → "&amp;F2576,"Sin transición"))</f>
        <v/>
      </c>
      <c r="H2576" s="26" t="str">
        <f aca="false">IF(A2576="","",IF(D2576="GCIA LINEA SERVICIO DIGITALIDAD Y VENTAS","Chats",IF(OR(D2576="GERENCIA INBOUND LÍNEAS SERVICIO Y VENTA",D2576="GERENCIA INBOUND LINEAS ESPECIALIZADAS"),"Llamadas","Otro")))</f>
        <v/>
      </c>
      <c r="I2576" s="26" t="str">
        <f aca="false">IF(A2576="","",IF(C2576="No encontrado","No","Sí"))</f>
        <v/>
      </c>
      <c r="J2576" s="26" t="str">
        <f aca="false">IF(A2576="","",IF(F2576="Inactivo","No","Sí"))</f>
        <v/>
      </c>
      <c r="K2576" s="26" t="str">
        <f aca="false">IF(A2576="","",IF(AND(I2576="Sí",J2576="Sí"),"Sí","No"))</f>
        <v/>
      </c>
    </row>
    <row r="2577" customFormat="false" ht="15" hidden="false" customHeight="false" outlineLevel="0" collapsed="false">
      <c r="A2577" s="22"/>
      <c r="B2577" s="22"/>
      <c r="C2577" s="23" t="str">
        <f aca="false">IF(A2577="","",IFERROR(buscarx(A2577&amp;B2577,DATA!$E$3:$E$10000&amp;DATA!$B$3:$B$10000,DATA!$M$3:$M$10000),"No encontrado"))</f>
        <v/>
      </c>
      <c r="D2577" s="24" t="str">
        <f aca="false">IF(A2577="","",IFERROR(buscarx(A2577&amp;B2577,DATA!$E$3:$E$10000&amp;DATA!$B$3:$B$10000,DATA!$W$3:$W$10000),"No encontrado"))</f>
        <v/>
      </c>
      <c r="E2577" s="22"/>
      <c r="F2577" s="23" t="str">
        <f aca="false">IF(A2577="","",IFERROR(buscarx(A2577&amp;E2577,DATA!$E$3:$E$10000&amp;DATA!$B$3:$B$10000,DATA!$M$3:$M$10000),"Inactivo"))</f>
        <v/>
      </c>
      <c r="G2577" s="25" t="str">
        <f aca="false">IF(A2577="","",IF(AND(C2577&lt;&gt;"No encontrado",F2577&lt;&gt;"Inactivo"),C2577&amp;" → "&amp;F2577,"Sin transición"))</f>
        <v/>
      </c>
      <c r="H2577" s="23" t="str">
        <f aca="false">IF(A2577="","",IF(D2577="GCIA LINEA SERVICIO DIGITALIDAD Y VENTAS","Chats",IF(OR(D2577="GERENCIA INBOUND LÍNEAS SERVICIO Y VENTA",D2577="GERENCIA INBOUND LINEAS ESPECIALIZADAS"),"Llamadas","Otro")))</f>
        <v/>
      </c>
      <c r="I2577" s="23" t="str">
        <f aca="false">IF(A2577="","",IF(C2577="No encontrado","No","Sí"))</f>
        <v/>
      </c>
      <c r="J2577" s="23" t="str">
        <f aca="false">IF(A2577="","",IF(F2577="Inactivo","No","Sí"))</f>
        <v/>
      </c>
      <c r="K2577" s="23" t="str">
        <f aca="false">IF(A2577="","",IF(AND(I2577="Sí",J2577="Sí"),"Sí","No"))</f>
        <v/>
      </c>
    </row>
    <row r="2578" customFormat="false" ht="15" hidden="false" customHeight="false" outlineLevel="0" collapsed="false">
      <c r="A2578" s="22"/>
      <c r="B2578" s="22"/>
      <c r="C2578" s="26" t="str">
        <f aca="false">IF(A2578="","",IFERROR(buscarx(A2578&amp;B2578,DATA!$E$3:$E$10000&amp;DATA!$B$3:$B$10000,DATA!$M$3:$M$10000),"No encontrado"))</f>
        <v/>
      </c>
      <c r="D2578" s="27" t="str">
        <f aca="false">IF(A2578="","",IFERROR(buscarx(A2578&amp;B2578,DATA!$E$3:$E$10000&amp;DATA!$B$3:$B$10000,DATA!$W$3:$W$10000),"No encontrado"))</f>
        <v/>
      </c>
      <c r="E2578" s="22"/>
      <c r="F2578" s="26" t="str">
        <f aca="false">IF(A2578="","",IFERROR(buscarx(A2578&amp;E2578,DATA!$E$3:$E$10000&amp;DATA!$B$3:$B$10000,DATA!$M$3:$M$10000),"Inactivo"))</f>
        <v/>
      </c>
      <c r="G2578" s="28" t="str">
        <f aca="false">IF(A2578="","",IF(AND(C2578&lt;&gt;"No encontrado",F2578&lt;&gt;"Inactivo"),C2578&amp;" → "&amp;F2578,"Sin transición"))</f>
        <v/>
      </c>
      <c r="H2578" s="26" t="str">
        <f aca="false">IF(A2578="","",IF(D2578="GCIA LINEA SERVICIO DIGITALIDAD Y VENTAS","Chats",IF(OR(D2578="GERENCIA INBOUND LÍNEAS SERVICIO Y VENTA",D2578="GERENCIA INBOUND LINEAS ESPECIALIZADAS"),"Llamadas","Otro")))</f>
        <v/>
      </c>
      <c r="I2578" s="26" t="str">
        <f aca="false">IF(A2578="","",IF(C2578="No encontrado","No","Sí"))</f>
        <v/>
      </c>
      <c r="J2578" s="26" t="str">
        <f aca="false">IF(A2578="","",IF(F2578="Inactivo","No","Sí"))</f>
        <v/>
      </c>
      <c r="K2578" s="26" t="str">
        <f aca="false">IF(A2578="","",IF(AND(I2578="Sí",J2578="Sí"),"Sí","No"))</f>
        <v/>
      </c>
    </row>
    <row r="2579" customFormat="false" ht="15" hidden="false" customHeight="false" outlineLevel="0" collapsed="false">
      <c r="A2579" s="22"/>
      <c r="B2579" s="22"/>
      <c r="C2579" s="23" t="str">
        <f aca="false">IF(A2579="","",IFERROR(buscarx(A2579&amp;B2579,DATA!$E$3:$E$10000&amp;DATA!$B$3:$B$10000,DATA!$M$3:$M$10000),"No encontrado"))</f>
        <v/>
      </c>
      <c r="D2579" s="24" t="str">
        <f aca="false">IF(A2579="","",IFERROR(buscarx(A2579&amp;B2579,DATA!$E$3:$E$10000&amp;DATA!$B$3:$B$10000,DATA!$W$3:$W$10000),"No encontrado"))</f>
        <v/>
      </c>
      <c r="E2579" s="22"/>
      <c r="F2579" s="23" t="str">
        <f aca="false">IF(A2579="","",IFERROR(buscarx(A2579&amp;E2579,DATA!$E$3:$E$10000&amp;DATA!$B$3:$B$10000,DATA!$M$3:$M$10000),"Inactivo"))</f>
        <v/>
      </c>
      <c r="G2579" s="25" t="str">
        <f aca="false">IF(A2579="","",IF(AND(C2579&lt;&gt;"No encontrado",F2579&lt;&gt;"Inactivo"),C2579&amp;" → "&amp;F2579,"Sin transición"))</f>
        <v/>
      </c>
      <c r="H2579" s="23" t="str">
        <f aca="false">IF(A2579="","",IF(D2579="GCIA LINEA SERVICIO DIGITALIDAD Y VENTAS","Chats",IF(OR(D2579="GERENCIA INBOUND LÍNEAS SERVICIO Y VENTA",D2579="GERENCIA INBOUND LINEAS ESPECIALIZADAS"),"Llamadas","Otro")))</f>
        <v/>
      </c>
      <c r="I2579" s="23" t="str">
        <f aca="false">IF(A2579="","",IF(C2579="No encontrado","No","Sí"))</f>
        <v/>
      </c>
      <c r="J2579" s="23" t="str">
        <f aca="false">IF(A2579="","",IF(F2579="Inactivo","No","Sí"))</f>
        <v/>
      </c>
      <c r="K2579" s="23" t="str">
        <f aca="false">IF(A2579="","",IF(AND(I2579="Sí",J2579="Sí"),"Sí","No"))</f>
        <v/>
      </c>
    </row>
    <row r="2580" customFormat="false" ht="15" hidden="false" customHeight="false" outlineLevel="0" collapsed="false">
      <c r="A2580" s="22"/>
      <c r="B2580" s="22"/>
      <c r="C2580" s="26" t="str">
        <f aca="false">IF(A2580="","",IFERROR(buscarx(A2580&amp;B2580,DATA!$E$3:$E$10000&amp;DATA!$B$3:$B$10000,DATA!$M$3:$M$10000),"No encontrado"))</f>
        <v/>
      </c>
      <c r="D2580" s="27" t="str">
        <f aca="false">IF(A2580="","",IFERROR(buscarx(A2580&amp;B2580,DATA!$E$3:$E$10000&amp;DATA!$B$3:$B$10000,DATA!$W$3:$W$10000),"No encontrado"))</f>
        <v/>
      </c>
      <c r="E2580" s="22"/>
      <c r="F2580" s="26" t="str">
        <f aca="false">IF(A2580="","",IFERROR(buscarx(A2580&amp;E2580,DATA!$E$3:$E$10000&amp;DATA!$B$3:$B$10000,DATA!$M$3:$M$10000),"Inactivo"))</f>
        <v/>
      </c>
      <c r="G2580" s="28" t="str">
        <f aca="false">IF(A2580="","",IF(AND(C2580&lt;&gt;"No encontrado",F2580&lt;&gt;"Inactivo"),C2580&amp;" → "&amp;F2580,"Sin transición"))</f>
        <v/>
      </c>
      <c r="H2580" s="26" t="str">
        <f aca="false">IF(A2580="","",IF(D2580="GCIA LINEA SERVICIO DIGITALIDAD Y VENTAS","Chats",IF(OR(D2580="GERENCIA INBOUND LÍNEAS SERVICIO Y VENTA",D2580="GERENCIA INBOUND LINEAS ESPECIALIZADAS"),"Llamadas","Otro")))</f>
        <v/>
      </c>
      <c r="I2580" s="26" t="str">
        <f aca="false">IF(A2580="","",IF(C2580="No encontrado","No","Sí"))</f>
        <v/>
      </c>
      <c r="J2580" s="26" t="str">
        <f aca="false">IF(A2580="","",IF(F2580="Inactivo","No","Sí"))</f>
        <v/>
      </c>
      <c r="K2580" s="26" t="str">
        <f aca="false">IF(A2580="","",IF(AND(I2580="Sí",J2580="Sí"),"Sí","No"))</f>
        <v/>
      </c>
    </row>
    <row r="2581" customFormat="false" ht="15" hidden="false" customHeight="false" outlineLevel="0" collapsed="false">
      <c r="A2581" s="22"/>
      <c r="B2581" s="22"/>
      <c r="C2581" s="23" t="str">
        <f aca="false">IF(A2581="","",IFERROR(buscarx(A2581&amp;B2581,DATA!$E$3:$E$10000&amp;DATA!$B$3:$B$10000,DATA!$M$3:$M$10000),"No encontrado"))</f>
        <v/>
      </c>
      <c r="D2581" s="24" t="str">
        <f aca="false">IF(A2581="","",IFERROR(buscarx(A2581&amp;B2581,DATA!$E$3:$E$10000&amp;DATA!$B$3:$B$10000,DATA!$W$3:$W$10000),"No encontrado"))</f>
        <v/>
      </c>
      <c r="E2581" s="22"/>
      <c r="F2581" s="23" t="str">
        <f aca="false">IF(A2581="","",IFERROR(buscarx(A2581&amp;E2581,DATA!$E$3:$E$10000&amp;DATA!$B$3:$B$10000,DATA!$M$3:$M$10000),"Inactivo"))</f>
        <v/>
      </c>
      <c r="G2581" s="25" t="str">
        <f aca="false">IF(A2581="","",IF(AND(C2581&lt;&gt;"No encontrado",F2581&lt;&gt;"Inactivo"),C2581&amp;" → "&amp;F2581,"Sin transición"))</f>
        <v/>
      </c>
      <c r="H2581" s="23" t="str">
        <f aca="false">IF(A2581="","",IF(D2581="GCIA LINEA SERVICIO DIGITALIDAD Y VENTAS","Chats",IF(OR(D2581="GERENCIA INBOUND LÍNEAS SERVICIO Y VENTA",D2581="GERENCIA INBOUND LINEAS ESPECIALIZADAS"),"Llamadas","Otro")))</f>
        <v/>
      </c>
      <c r="I2581" s="23" t="str">
        <f aca="false">IF(A2581="","",IF(C2581="No encontrado","No","Sí"))</f>
        <v/>
      </c>
      <c r="J2581" s="23" t="str">
        <f aca="false">IF(A2581="","",IF(F2581="Inactivo","No","Sí"))</f>
        <v/>
      </c>
      <c r="K2581" s="23" t="str">
        <f aca="false">IF(A2581="","",IF(AND(I2581="Sí",J2581="Sí"),"Sí","No"))</f>
        <v/>
      </c>
    </row>
    <row r="2582" customFormat="false" ht="15" hidden="false" customHeight="false" outlineLevel="0" collapsed="false">
      <c r="A2582" s="22"/>
      <c r="B2582" s="22"/>
      <c r="C2582" s="26" t="str">
        <f aca="false">IF(A2582="","",IFERROR(buscarx(A2582&amp;B2582,DATA!$E$3:$E$10000&amp;DATA!$B$3:$B$10000,DATA!$M$3:$M$10000),"No encontrado"))</f>
        <v/>
      </c>
      <c r="D2582" s="27" t="str">
        <f aca="false">IF(A2582="","",IFERROR(buscarx(A2582&amp;B2582,DATA!$E$3:$E$10000&amp;DATA!$B$3:$B$10000,DATA!$W$3:$W$10000),"No encontrado"))</f>
        <v/>
      </c>
      <c r="E2582" s="22"/>
      <c r="F2582" s="26" t="str">
        <f aca="false">IF(A2582="","",IFERROR(buscarx(A2582&amp;E2582,DATA!$E$3:$E$10000&amp;DATA!$B$3:$B$10000,DATA!$M$3:$M$10000),"Inactivo"))</f>
        <v/>
      </c>
      <c r="G2582" s="28" t="str">
        <f aca="false">IF(A2582="","",IF(AND(C2582&lt;&gt;"No encontrado",F2582&lt;&gt;"Inactivo"),C2582&amp;" → "&amp;F2582,"Sin transición"))</f>
        <v/>
      </c>
      <c r="H2582" s="26" t="str">
        <f aca="false">IF(A2582="","",IF(D2582="GCIA LINEA SERVICIO DIGITALIDAD Y VENTAS","Chats",IF(OR(D2582="GERENCIA INBOUND LÍNEAS SERVICIO Y VENTA",D2582="GERENCIA INBOUND LINEAS ESPECIALIZADAS"),"Llamadas","Otro")))</f>
        <v/>
      </c>
      <c r="I2582" s="26" t="str">
        <f aca="false">IF(A2582="","",IF(C2582="No encontrado","No","Sí"))</f>
        <v/>
      </c>
      <c r="J2582" s="26" t="str">
        <f aca="false">IF(A2582="","",IF(F2582="Inactivo","No","Sí"))</f>
        <v/>
      </c>
      <c r="K2582" s="26" t="str">
        <f aca="false">IF(A2582="","",IF(AND(I2582="Sí",J2582="Sí"),"Sí","No"))</f>
        <v/>
      </c>
    </row>
    <row r="2583" customFormat="false" ht="15" hidden="false" customHeight="false" outlineLevel="0" collapsed="false">
      <c r="A2583" s="22"/>
      <c r="B2583" s="22"/>
      <c r="C2583" s="23" t="str">
        <f aca="false">IF(A2583="","",IFERROR(buscarx(A2583&amp;B2583,DATA!$E$3:$E$10000&amp;DATA!$B$3:$B$10000,DATA!$M$3:$M$10000),"No encontrado"))</f>
        <v/>
      </c>
      <c r="D2583" s="24" t="str">
        <f aca="false">IF(A2583="","",IFERROR(buscarx(A2583&amp;B2583,DATA!$E$3:$E$10000&amp;DATA!$B$3:$B$10000,DATA!$W$3:$W$10000),"No encontrado"))</f>
        <v/>
      </c>
      <c r="E2583" s="22"/>
      <c r="F2583" s="23" t="str">
        <f aca="false">IF(A2583="","",IFERROR(buscarx(A2583&amp;E2583,DATA!$E$3:$E$10000&amp;DATA!$B$3:$B$10000,DATA!$M$3:$M$10000),"Inactivo"))</f>
        <v/>
      </c>
      <c r="G2583" s="25" t="str">
        <f aca="false">IF(A2583="","",IF(AND(C2583&lt;&gt;"No encontrado",F2583&lt;&gt;"Inactivo"),C2583&amp;" → "&amp;F2583,"Sin transición"))</f>
        <v/>
      </c>
      <c r="H2583" s="23" t="str">
        <f aca="false">IF(A2583="","",IF(D2583="GCIA LINEA SERVICIO DIGITALIDAD Y VENTAS","Chats",IF(OR(D2583="GERENCIA INBOUND LÍNEAS SERVICIO Y VENTA",D2583="GERENCIA INBOUND LINEAS ESPECIALIZADAS"),"Llamadas","Otro")))</f>
        <v/>
      </c>
      <c r="I2583" s="23" t="str">
        <f aca="false">IF(A2583="","",IF(C2583="No encontrado","No","Sí"))</f>
        <v/>
      </c>
      <c r="J2583" s="23" t="str">
        <f aca="false">IF(A2583="","",IF(F2583="Inactivo","No","Sí"))</f>
        <v/>
      </c>
      <c r="K2583" s="23" t="str">
        <f aca="false">IF(A2583="","",IF(AND(I2583="Sí",J2583="Sí"),"Sí","No"))</f>
        <v/>
      </c>
    </row>
    <row r="2584" customFormat="false" ht="15" hidden="false" customHeight="false" outlineLevel="0" collapsed="false">
      <c r="A2584" s="22"/>
      <c r="B2584" s="22"/>
      <c r="C2584" s="26" t="str">
        <f aca="false">IF(A2584="","",IFERROR(buscarx(A2584&amp;B2584,DATA!$E$3:$E$10000&amp;DATA!$B$3:$B$10000,DATA!$M$3:$M$10000),"No encontrado"))</f>
        <v/>
      </c>
      <c r="D2584" s="27" t="str">
        <f aca="false">IF(A2584="","",IFERROR(buscarx(A2584&amp;B2584,DATA!$E$3:$E$10000&amp;DATA!$B$3:$B$10000,DATA!$W$3:$W$10000),"No encontrado"))</f>
        <v/>
      </c>
      <c r="E2584" s="22"/>
      <c r="F2584" s="26" t="str">
        <f aca="false">IF(A2584="","",IFERROR(buscarx(A2584&amp;E2584,DATA!$E$3:$E$10000&amp;DATA!$B$3:$B$10000,DATA!$M$3:$M$10000),"Inactivo"))</f>
        <v/>
      </c>
      <c r="G2584" s="28" t="str">
        <f aca="false">IF(A2584="","",IF(AND(C2584&lt;&gt;"No encontrado",F2584&lt;&gt;"Inactivo"),C2584&amp;" → "&amp;F2584,"Sin transición"))</f>
        <v/>
      </c>
      <c r="H2584" s="26" t="str">
        <f aca="false">IF(A2584="","",IF(D2584="GCIA LINEA SERVICIO DIGITALIDAD Y VENTAS","Chats",IF(OR(D2584="GERENCIA INBOUND LÍNEAS SERVICIO Y VENTA",D2584="GERENCIA INBOUND LINEAS ESPECIALIZADAS"),"Llamadas","Otro")))</f>
        <v/>
      </c>
      <c r="I2584" s="26" t="str">
        <f aca="false">IF(A2584="","",IF(C2584="No encontrado","No","Sí"))</f>
        <v/>
      </c>
      <c r="J2584" s="26" t="str">
        <f aca="false">IF(A2584="","",IF(F2584="Inactivo","No","Sí"))</f>
        <v/>
      </c>
      <c r="K2584" s="26" t="str">
        <f aca="false">IF(A2584="","",IF(AND(I2584="Sí",J2584="Sí"),"Sí","No"))</f>
        <v/>
      </c>
    </row>
    <row r="2585" customFormat="false" ht="15" hidden="false" customHeight="false" outlineLevel="0" collapsed="false">
      <c r="A2585" s="22"/>
      <c r="B2585" s="22"/>
      <c r="C2585" s="23" t="str">
        <f aca="false">IF(A2585="","",IFERROR(buscarx(A2585&amp;B2585,DATA!$E$3:$E$10000&amp;DATA!$B$3:$B$10000,DATA!$M$3:$M$10000),"No encontrado"))</f>
        <v/>
      </c>
      <c r="D2585" s="24" t="str">
        <f aca="false">IF(A2585="","",IFERROR(buscarx(A2585&amp;B2585,DATA!$E$3:$E$10000&amp;DATA!$B$3:$B$10000,DATA!$W$3:$W$10000),"No encontrado"))</f>
        <v/>
      </c>
      <c r="E2585" s="22"/>
      <c r="F2585" s="23" t="str">
        <f aca="false">IF(A2585="","",IFERROR(buscarx(A2585&amp;E2585,DATA!$E$3:$E$10000&amp;DATA!$B$3:$B$10000,DATA!$M$3:$M$10000),"Inactivo"))</f>
        <v/>
      </c>
      <c r="G2585" s="25" t="str">
        <f aca="false">IF(A2585="","",IF(AND(C2585&lt;&gt;"No encontrado",F2585&lt;&gt;"Inactivo"),C2585&amp;" → "&amp;F2585,"Sin transición"))</f>
        <v/>
      </c>
      <c r="H2585" s="23" t="str">
        <f aca="false">IF(A2585="","",IF(D2585="GCIA LINEA SERVICIO DIGITALIDAD Y VENTAS","Chats",IF(OR(D2585="GERENCIA INBOUND LÍNEAS SERVICIO Y VENTA",D2585="GERENCIA INBOUND LINEAS ESPECIALIZADAS"),"Llamadas","Otro")))</f>
        <v/>
      </c>
      <c r="I2585" s="23" t="str">
        <f aca="false">IF(A2585="","",IF(C2585="No encontrado","No","Sí"))</f>
        <v/>
      </c>
      <c r="J2585" s="23" t="str">
        <f aca="false">IF(A2585="","",IF(F2585="Inactivo","No","Sí"))</f>
        <v/>
      </c>
      <c r="K2585" s="23" t="str">
        <f aca="false">IF(A2585="","",IF(AND(I2585="Sí",J2585="Sí"),"Sí","No"))</f>
        <v/>
      </c>
    </row>
    <row r="2586" customFormat="false" ht="15" hidden="false" customHeight="false" outlineLevel="0" collapsed="false">
      <c r="A2586" s="22"/>
      <c r="B2586" s="22"/>
      <c r="C2586" s="26" t="str">
        <f aca="false">IF(A2586="","",IFERROR(buscarx(A2586&amp;B2586,DATA!$E$3:$E$10000&amp;DATA!$B$3:$B$10000,DATA!$M$3:$M$10000),"No encontrado"))</f>
        <v/>
      </c>
      <c r="D2586" s="27" t="str">
        <f aca="false">IF(A2586="","",IFERROR(buscarx(A2586&amp;B2586,DATA!$E$3:$E$10000&amp;DATA!$B$3:$B$10000,DATA!$W$3:$W$10000),"No encontrado"))</f>
        <v/>
      </c>
      <c r="E2586" s="22"/>
      <c r="F2586" s="26" t="str">
        <f aca="false">IF(A2586="","",IFERROR(buscarx(A2586&amp;E2586,DATA!$E$3:$E$10000&amp;DATA!$B$3:$B$10000,DATA!$M$3:$M$10000),"Inactivo"))</f>
        <v/>
      </c>
      <c r="G2586" s="28" t="str">
        <f aca="false">IF(A2586="","",IF(AND(C2586&lt;&gt;"No encontrado",F2586&lt;&gt;"Inactivo"),C2586&amp;" → "&amp;F2586,"Sin transición"))</f>
        <v/>
      </c>
      <c r="H2586" s="26" t="str">
        <f aca="false">IF(A2586="","",IF(D2586="GCIA LINEA SERVICIO DIGITALIDAD Y VENTAS","Chats",IF(OR(D2586="GERENCIA INBOUND LÍNEAS SERVICIO Y VENTA",D2586="GERENCIA INBOUND LINEAS ESPECIALIZADAS"),"Llamadas","Otro")))</f>
        <v/>
      </c>
      <c r="I2586" s="26" t="str">
        <f aca="false">IF(A2586="","",IF(C2586="No encontrado","No","Sí"))</f>
        <v/>
      </c>
      <c r="J2586" s="26" t="str">
        <f aca="false">IF(A2586="","",IF(F2586="Inactivo","No","Sí"))</f>
        <v/>
      </c>
      <c r="K2586" s="26" t="str">
        <f aca="false">IF(A2586="","",IF(AND(I2586="Sí",J2586="Sí"),"Sí","No"))</f>
        <v/>
      </c>
    </row>
    <row r="2587" customFormat="false" ht="15" hidden="false" customHeight="false" outlineLevel="0" collapsed="false">
      <c r="A2587" s="22"/>
      <c r="B2587" s="22"/>
      <c r="C2587" s="23" t="str">
        <f aca="false">IF(A2587="","",IFERROR(buscarx(A2587&amp;B2587,DATA!$E$3:$E$10000&amp;DATA!$B$3:$B$10000,DATA!$M$3:$M$10000),"No encontrado"))</f>
        <v/>
      </c>
      <c r="D2587" s="24" t="str">
        <f aca="false">IF(A2587="","",IFERROR(buscarx(A2587&amp;B2587,DATA!$E$3:$E$10000&amp;DATA!$B$3:$B$10000,DATA!$W$3:$W$10000),"No encontrado"))</f>
        <v/>
      </c>
      <c r="E2587" s="22"/>
      <c r="F2587" s="23" t="str">
        <f aca="false">IF(A2587="","",IFERROR(buscarx(A2587&amp;E2587,DATA!$E$3:$E$10000&amp;DATA!$B$3:$B$10000,DATA!$M$3:$M$10000),"Inactivo"))</f>
        <v/>
      </c>
      <c r="G2587" s="25" t="str">
        <f aca="false">IF(A2587="","",IF(AND(C2587&lt;&gt;"No encontrado",F2587&lt;&gt;"Inactivo"),C2587&amp;" → "&amp;F2587,"Sin transición"))</f>
        <v/>
      </c>
      <c r="H2587" s="23" t="str">
        <f aca="false">IF(A2587="","",IF(D2587="GCIA LINEA SERVICIO DIGITALIDAD Y VENTAS","Chats",IF(OR(D2587="GERENCIA INBOUND LÍNEAS SERVICIO Y VENTA",D2587="GERENCIA INBOUND LINEAS ESPECIALIZADAS"),"Llamadas","Otro")))</f>
        <v/>
      </c>
      <c r="I2587" s="23" t="str">
        <f aca="false">IF(A2587="","",IF(C2587="No encontrado","No","Sí"))</f>
        <v/>
      </c>
      <c r="J2587" s="23" t="str">
        <f aca="false">IF(A2587="","",IF(F2587="Inactivo","No","Sí"))</f>
        <v/>
      </c>
      <c r="K2587" s="23" t="str">
        <f aca="false">IF(A2587="","",IF(AND(I2587="Sí",J2587="Sí"),"Sí","No"))</f>
        <v/>
      </c>
    </row>
    <row r="2588" customFormat="false" ht="15" hidden="false" customHeight="false" outlineLevel="0" collapsed="false">
      <c r="A2588" s="22"/>
      <c r="B2588" s="22"/>
      <c r="C2588" s="26" t="str">
        <f aca="false">IF(A2588="","",IFERROR(buscarx(A2588&amp;B2588,DATA!$E$3:$E$10000&amp;DATA!$B$3:$B$10000,DATA!$M$3:$M$10000),"No encontrado"))</f>
        <v/>
      </c>
      <c r="D2588" s="27" t="str">
        <f aca="false">IF(A2588="","",IFERROR(buscarx(A2588&amp;B2588,DATA!$E$3:$E$10000&amp;DATA!$B$3:$B$10000,DATA!$W$3:$W$10000),"No encontrado"))</f>
        <v/>
      </c>
      <c r="E2588" s="22"/>
      <c r="F2588" s="26" t="str">
        <f aca="false">IF(A2588="","",IFERROR(buscarx(A2588&amp;E2588,DATA!$E$3:$E$10000&amp;DATA!$B$3:$B$10000,DATA!$M$3:$M$10000),"Inactivo"))</f>
        <v/>
      </c>
      <c r="G2588" s="28" t="str">
        <f aca="false">IF(A2588="","",IF(AND(C2588&lt;&gt;"No encontrado",F2588&lt;&gt;"Inactivo"),C2588&amp;" → "&amp;F2588,"Sin transición"))</f>
        <v/>
      </c>
      <c r="H2588" s="26" t="str">
        <f aca="false">IF(A2588="","",IF(D2588="GCIA LINEA SERVICIO DIGITALIDAD Y VENTAS","Chats",IF(OR(D2588="GERENCIA INBOUND LÍNEAS SERVICIO Y VENTA",D2588="GERENCIA INBOUND LINEAS ESPECIALIZADAS"),"Llamadas","Otro")))</f>
        <v/>
      </c>
      <c r="I2588" s="26" t="str">
        <f aca="false">IF(A2588="","",IF(C2588="No encontrado","No","Sí"))</f>
        <v/>
      </c>
      <c r="J2588" s="26" t="str">
        <f aca="false">IF(A2588="","",IF(F2588="Inactivo","No","Sí"))</f>
        <v/>
      </c>
      <c r="K2588" s="26" t="str">
        <f aca="false">IF(A2588="","",IF(AND(I2588="Sí",J2588="Sí"),"Sí","No"))</f>
        <v/>
      </c>
    </row>
    <row r="2589" customFormat="false" ht="15" hidden="false" customHeight="false" outlineLevel="0" collapsed="false">
      <c r="A2589" s="22"/>
      <c r="B2589" s="22"/>
      <c r="C2589" s="23" t="str">
        <f aca="false">IF(A2589="","",IFERROR(buscarx(A2589&amp;B2589,DATA!$E$3:$E$10000&amp;DATA!$B$3:$B$10000,DATA!$M$3:$M$10000),"No encontrado"))</f>
        <v/>
      </c>
      <c r="D2589" s="24" t="str">
        <f aca="false">IF(A2589="","",IFERROR(buscarx(A2589&amp;B2589,DATA!$E$3:$E$10000&amp;DATA!$B$3:$B$10000,DATA!$W$3:$W$10000),"No encontrado"))</f>
        <v/>
      </c>
      <c r="E2589" s="22"/>
      <c r="F2589" s="23" t="str">
        <f aca="false">IF(A2589="","",IFERROR(buscarx(A2589&amp;E2589,DATA!$E$3:$E$10000&amp;DATA!$B$3:$B$10000,DATA!$M$3:$M$10000),"Inactivo"))</f>
        <v/>
      </c>
      <c r="G2589" s="25" t="str">
        <f aca="false">IF(A2589="","",IF(AND(C2589&lt;&gt;"No encontrado",F2589&lt;&gt;"Inactivo"),C2589&amp;" → "&amp;F2589,"Sin transición"))</f>
        <v/>
      </c>
      <c r="H2589" s="23" t="str">
        <f aca="false">IF(A2589="","",IF(D2589="GCIA LINEA SERVICIO DIGITALIDAD Y VENTAS","Chats",IF(OR(D2589="GERENCIA INBOUND LÍNEAS SERVICIO Y VENTA",D2589="GERENCIA INBOUND LINEAS ESPECIALIZADAS"),"Llamadas","Otro")))</f>
        <v/>
      </c>
      <c r="I2589" s="23" t="str">
        <f aca="false">IF(A2589="","",IF(C2589="No encontrado","No","Sí"))</f>
        <v/>
      </c>
      <c r="J2589" s="23" t="str">
        <f aca="false">IF(A2589="","",IF(F2589="Inactivo","No","Sí"))</f>
        <v/>
      </c>
      <c r="K2589" s="23" t="str">
        <f aca="false">IF(A2589="","",IF(AND(I2589="Sí",J2589="Sí"),"Sí","No"))</f>
        <v/>
      </c>
    </row>
    <row r="2590" customFormat="false" ht="15" hidden="false" customHeight="false" outlineLevel="0" collapsed="false">
      <c r="A2590" s="22"/>
      <c r="B2590" s="22"/>
      <c r="C2590" s="26" t="str">
        <f aca="false">IF(A2590="","",IFERROR(buscarx(A2590&amp;B2590,DATA!$E$3:$E$10000&amp;DATA!$B$3:$B$10000,DATA!$M$3:$M$10000),"No encontrado"))</f>
        <v/>
      </c>
      <c r="D2590" s="27" t="str">
        <f aca="false">IF(A2590="","",IFERROR(buscarx(A2590&amp;B2590,DATA!$E$3:$E$10000&amp;DATA!$B$3:$B$10000,DATA!$W$3:$W$10000),"No encontrado"))</f>
        <v/>
      </c>
      <c r="E2590" s="22"/>
      <c r="F2590" s="26" t="str">
        <f aca="false">IF(A2590="","",IFERROR(buscarx(A2590&amp;E2590,DATA!$E$3:$E$10000&amp;DATA!$B$3:$B$10000,DATA!$M$3:$M$10000),"Inactivo"))</f>
        <v/>
      </c>
      <c r="G2590" s="28" t="str">
        <f aca="false">IF(A2590="","",IF(AND(C2590&lt;&gt;"No encontrado",F2590&lt;&gt;"Inactivo"),C2590&amp;" → "&amp;F2590,"Sin transición"))</f>
        <v/>
      </c>
      <c r="H2590" s="26" t="str">
        <f aca="false">IF(A2590="","",IF(D2590="GCIA LINEA SERVICIO DIGITALIDAD Y VENTAS","Chats",IF(OR(D2590="GERENCIA INBOUND LÍNEAS SERVICIO Y VENTA",D2590="GERENCIA INBOUND LINEAS ESPECIALIZADAS"),"Llamadas","Otro")))</f>
        <v/>
      </c>
      <c r="I2590" s="26" t="str">
        <f aca="false">IF(A2590="","",IF(C2590="No encontrado","No","Sí"))</f>
        <v/>
      </c>
      <c r="J2590" s="26" t="str">
        <f aca="false">IF(A2590="","",IF(F2590="Inactivo","No","Sí"))</f>
        <v/>
      </c>
      <c r="K2590" s="26" t="str">
        <f aca="false">IF(A2590="","",IF(AND(I2590="Sí",J2590="Sí"),"Sí","No"))</f>
        <v/>
      </c>
    </row>
    <row r="2591" customFormat="false" ht="15" hidden="false" customHeight="false" outlineLevel="0" collapsed="false">
      <c r="A2591" s="22"/>
      <c r="B2591" s="22"/>
      <c r="C2591" s="23" t="str">
        <f aca="false">IF(A2591="","",IFERROR(buscarx(A2591&amp;B2591,DATA!$E$3:$E$10000&amp;DATA!$B$3:$B$10000,DATA!$M$3:$M$10000),"No encontrado"))</f>
        <v/>
      </c>
      <c r="D2591" s="24" t="str">
        <f aca="false">IF(A2591="","",IFERROR(buscarx(A2591&amp;B2591,DATA!$E$3:$E$10000&amp;DATA!$B$3:$B$10000,DATA!$W$3:$W$10000),"No encontrado"))</f>
        <v/>
      </c>
      <c r="E2591" s="22"/>
      <c r="F2591" s="23" t="str">
        <f aca="false">IF(A2591="","",IFERROR(buscarx(A2591&amp;E2591,DATA!$E$3:$E$10000&amp;DATA!$B$3:$B$10000,DATA!$M$3:$M$10000),"Inactivo"))</f>
        <v/>
      </c>
      <c r="G2591" s="25" t="str">
        <f aca="false">IF(A2591="","",IF(AND(C2591&lt;&gt;"No encontrado",F2591&lt;&gt;"Inactivo"),C2591&amp;" → "&amp;F2591,"Sin transición"))</f>
        <v/>
      </c>
      <c r="H2591" s="23" t="str">
        <f aca="false">IF(A2591="","",IF(D2591="GCIA LINEA SERVICIO DIGITALIDAD Y VENTAS","Chats",IF(OR(D2591="GERENCIA INBOUND LÍNEAS SERVICIO Y VENTA",D2591="GERENCIA INBOUND LINEAS ESPECIALIZADAS"),"Llamadas","Otro")))</f>
        <v/>
      </c>
      <c r="I2591" s="23" t="str">
        <f aca="false">IF(A2591="","",IF(C2591="No encontrado","No","Sí"))</f>
        <v/>
      </c>
      <c r="J2591" s="23" t="str">
        <f aca="false">IF(A2591="","",IF(F2591="Inactivo","No","Sí"))</f>
        <v/>
      </c>
      <c r="K2591" s="23" t="str">
        <f aca="false">IF(A2591="","",IF(AND(I2591="Sí",J2591="Sí"),"Sí","No"))</f>
        <v/>
      </c>
    </row>
    <row r="2592" customFormat="false" ht="15" hidden="false" customHeight="false" outlineLevel="0" collapsed="false">
      <c r="A2592" s="22"/>
      <c r="B2592" s="22"/>
      <c r="C2592" s="26" t="str">
        <f aca="false">IF(A2592="","",IFERROR(buscarx(A2592&amp;B2592,DATA!$E$3:$E$10000&amp;DATA!$B$3:$B$10000,DATA!$M$3:$M$10000),"No encontrado"))</f>
        <v/>
      </c>
      <c r="D2592" s="27" t="str">
        <f aca="false">IF(A2592="","",IFERROR(buscarx(A2592&amp;B2592,DATA!$E$3:$E$10000&amp;DATA!$B$3:$B$10000,DATA!$W$3:$W$10000),"No encontrado"))</f>
        <v/>
      </c>
      <c r="E2592" s="22"/>
      <c r="F2592" s="26" t="str">
        <f aca="false">IF(A2592="","",IFERROR(buscarx(A2592&amp;E2592,DATA!$E$3:$E$10000&amp;DATA!$B$3:$B$10000,DATA!$M$3:$M$10000),"Inactivo"))</f>
        <v/>
      </c>
      <c r="G2592" s="28" t="str">
        <f aca="false">IF(A2592="","",IF(AND(C2592&lt;&gt;"No encontrado",F2592&lt;&gt;"Inactivo"),C2592&amp;" → "&amp;F2592,"Sin transición"))</f>
        <v/>
      </c>
      <c r="H2592" s="26" t="str">
        <f aca="false">IF(A2592="","",IF(D2592="GCIA LINEA SERVICIO DIGITALIDAD Y VENTAS","Chats",IF(OR(D2592="GERENCIA INBOUND LÍNEAS SERVICIO Y VENTA",D2592="GERENCIA INBOUND LINEAS ESPECIALIZADAS"),"Llamadas","Otro")))</f>
        <v/>
      </c>
      <c r="I2592" s="26" t="str">
        <f aca="false">IF(A2592="","",IF(C2592="No encontrado","No","Sí"))</f>
        <v/>
      </c>
      <c r="J2592" s="26" t="str">
        <f aca="false">IF(A2592="","",IF(F2592="Inactivo","No","Sí"))</f>
        <v/>
      </c>
      <c r="K2592" s="26" t="str">
        <f aca="false">IF(A2592="","",IF(AND(I2592="Sí",J2592="Sí"),"Sí","No"))</f>
        <v/>
      </c>
    </row>
    <row r="2593" customFormat="false" ht="15" hidden="false" customHeight="false" outlineLevel="0" collapsed="false">
      <c r="A2593" s="22"/>
      <c r="B2593" s="22"/>
      <c r="C2593" s="23" t="str">
        <f aca="false">IF(A2593="","",IFERROR(buscarx(A2593&amp;B2593,DATA!$E$3:$E$10000&amp;DATA!$B$3:$B$10000,DATA!$M$3:$M$10000),"No encontrado"))</f>
        <v/>
      </c>
      <c r="D2593" s="24" t="str">
        <f aca="false">IF(A2593="","",IFERROR(buscarx(A2593&amp;B2593,DATA!$E$3:$E$10000&amp;DATA!$B$3:$B$10000,DATA!$W$3:$W$10000),"No encontrado"))</f>
        <v/>
      </c>
      <c r="E2593" s="22"/>
      <c r="F2593" s="23" t="str">
        <f aca="false">IF(A2593="","",IFERROR(buscarx(A2593&amp;E2593,DATA!$E$3:$E$10000&amp;DATA!$B$3:$B$10000,DATA!$M$3:$M$10000),"Inactivo"))</f>
        <v/>
      </c>
      <c r="G2593" s="25" t="str">
        <f aca="false">IF(A2593="","",IF(AND(C2593&lt;&gt;"No encontrado",F2593&lt;&gt;"Inactivo"),C2593&amp;" → "&amp;F2593,"Sin transición"))</f>
        <v/>
      </c>
      <c r="H2593" s="23" t="str">
        <f aca="false">IF(A2593="","",IF(D2593="GCIA LINEA SERVICIO DIGITALIDAD Y VENTAS","Chats",IF(OR(D2593="GERENCIA INBOUND LÍNEAS SERVICIO Y VENTA",D2593="GERENCIA INBOUND LINEAS ESPECIALIZADAS"),"Llamadas","Otro")))</f>
        <v/>
      </c>
      <c r="I2593" s="23" t="str">
        <f aca="false">IF(A2593="","",IF(C2593="No encontrado","No","Sí"))</f>
        <v/>
      </c>
      <c r="J2593" s="23" t="str">
        <f aca="false">IF(A2593="","",IF(F2593="Inactivo","No","Sí"))</f>
        <v/>
      </c>
      <c r="K2593" s="23" t="str">
        <f aca="false">IF(A2593="","",IF(AND(I2593="Sí",J2593="Sí"),"Sí","No"))</f>
        <v/>
      </c>
    </row>
    <row r="2594" customFormat="false" ht="15" hidden="false" customHeight="false" outlineLevel="0" collapsed="false">
      <c r="A2594" s="22"/>
      <c r="B2594" s="22"/>
      <c r="C2594" s="26" t="str">
        <f aca="false">IF(A2594="","",IFERROR(buscarx(A2594&amp;B2594,DATA!$E$3:$E$10000&amp;DATA!$B$3:$B$10000,DATA!$M$3:$M$10000),"No encontrado"))</f>
        <v/>
      </c>
      <c r="D2594" s="27" t="str">
        <f aca="false">IF(A2594="","",IFERROR(buscarx(A2594&amp;B2594,DATA!$E$3:$E$10000&amp;DATA!$B$3:$B$10000,DATA!$W$3:$W$10000),"No encontrado"))</f>
        <v/>
      </c>
      <c r="E2594" s="22"/>
      <c r="F2594" s="26" t="str">
        <f aca="false">IF(A2594="","",IFERROR(buscarx(A2594&amp;E2594,DATA!$E$3:$E$10000&amp;DATA!$B$3:$B$10000,DATA!$M$3:$M$10000),"Inactivo"))</f>
        <v/>
      </c>
      <c r="G2594" s="28" t="str">
        <f aca="false">IF(A2594="","",IF(AND(C2594&lt;&gt;"No encontrado",F2594&lt;&gt;"Inactivo"),C2594&amp;" → "&amp;F2594,"Sin transición"))</f>
        <v/>
      </c>
      <c r="H2594" s="26" t="str">
        <f aca="false">IF(A2594="","",IF(D2594="GCIA LINEA SERVICIO DIGITALIDAD Y VENTAS","Chats",IF(OR(D2594="GERENCIA INBOUND LÍNEAS SERVICIO Y VENTA",D2594="GERENCIA INBOUND LINEAS ESPECIALIZADAS"),"Llamadas","Otro")))</f>
        <v/>
      </c>
      <c r="I2594" s="26" t="str">
        <f aca="false">IF(A2594="","",IF(C2594="No encontrado","No","Sí"))</f>
        <v/>
      </c>
      <c r="J2594" s="26" t="str">
        <f aca="false">IF(A2594="","",IF(F2594="Inactivo","No","Sí"))</f>
        <v/>
      </c>
      <c r="K2594" s="26" t="str">
        <f aca="false">IF(A2594="","",IF(AND(I2594="Sí",J2594="Sí"),"Sí","No"))</f>
        <v/>
      </c>
    </row>
    <row r="2595" customFormat="false" ht="15" hidden="false" customHeight="false" outlineLevel="0" collapsed="false">
      <c r="A2595" s="22"/>
      <c r="B2595" s="22"/>
      <c r="C2595" s="23" t="str">
        <f aca="false">IF(A2595="","",IFERROR(buscarx(A2595&amp;B2595,DATA!$E$3:$E$10000&amp;DATA!$B$3:$B$10000,DATA!$M$3:$M$10000),"No encontrado"))</f>
        <v/>
      </c>
      <c r="D2595" s="24" t="str">
        <f aca="false">IF(A2595="","",IFERROR(buscarx(A2595&amp;B2595,DATA!$E$3:$E$10000&amp;DATA!$B$3:$B$10000,DATA!$W$3:$W$10000),"No encontrado"))</f>
        <v/>
      </c>
      <c r="E2595" s="22"/>
      <c r="F2595" s="23" t="str">
        <f aca="false">IF(A2595="","",IFERROR(buscarx(A2595&amp;E2595,DATA!$E$3:$E$10000&amp;DATA!$B$3:$B$10000,DATA!$M$3:$M$10000),"Inactivo"))</f>
        <v/>
      </c>
      <c r="G2595" s="25" t="str">
        <f aca="false">IF(A2595="","",IF(AND(C2595&lt;&gt;"No encontrado",F2595&lt;&gt;"Inactivo"),C2595&amp;" → "&amp;F2595,"Sin transición"))</f>
        <v/>
      </c>
      <c r="H2595" s="23" t="str">
        <f aca="false">IF(A2595="","",IF(D2595="GCIA LINEA SERVICIO DIGITALIDAD Y VENTAS","Chats",IF(OR(D2595="GERENCIA INBOUND LÍNEAS SERVICIO Y VENTA",D2595="GERENCIA INBOUND LINEAS ESPECIALIZADAS"),"Llamadas","Otro")))</f>
        <v/>
      </c>
      <c r="I2595" s="23" t="str">
        <f aca="false">IF(A2595="","",IF(C2595="No encontrado","No","Sí"))</f>
        <v/>
      </c>
      <c r="J2595" s="23" t="str">
        <f aca="false">IF(A2595="","",IF(F2595="Inactivo","No","Sí"))</f>
        <v/>
      </c>
      <c r="K2595" s="23" t="str">
        <f aca="false">IF(A2595="","",IF(AND(I2595="Sí",J2595="Sí"),"Sí","No"))</f>
        <v/>
      </c>
    </row>
    <row r="2596" customFormat="false" ht="15" hidden="false" customHeight="false" outlineLevel="0" collapsed="false">
      <c r="A2596" s="22"/>
      <c r="B2596" s="22"/>
      <c r="C2596" s="26" t="str">
        <f aca="false">IF(A2596="","",IFERROR(buscarx(A2596&amp;B2596,DATA!$E$3:$E$10000&amp;DATA!$B$3:$B$10000,DATA!$M$3:$M$10000),"No encontrado"))</f>
        <v/>
      </c>
      <c r="D2596" s="27" t="str">
        <f aca="false">IF(A2596="","",IFERROR(buscarx(A2596&amp;B2596,DATA!$E$3:$E$10000&amp;DATA!$B$3:$B$10000,DATA!$W$3:$W$10000),"No encontrado"))</f>
        <v/>
      </c>
      <c r="E2596" s="22"/>
      <c r="F2596" s="26" t="str">
        <f aca="false">IF(A2596="","",IFERROR(buscarx(A2596&amp;E2596,DATA!$E$3:$E$10000&amp;DATA!$B$3:$B$10000,DATA!$M$3:$M$10000),"Inactivo"))</f>
        <v/>
      </c>
      <c r="G2596" s="28" t="str">
        <f aca="false">IF(A2596="","",IF(AND(C2596&lt;&gt;"No encontrado",F2596&lt;&gt;"Inactivo"),C2596&amp;" → "&amp;F2596,"Sin transición"))</f>
        <v/>
      </c>
      <c r="H2596" s="26" t="str">
        <f aca="false">IF(A2596="","",IF(D2596="GCIA LINEA SERVICIO DIGITALIDAD Y VENTAS","Chats",IF(OR(D2596="GERENCIA INBOUND LÍNEAS SERVICIO Y VENTA",D2596="GERENCIA INBOUND LINEAS ESPECIALIZADAS"),"Llamadas","Otro")))</f>
        <v/>
      </c>
      <c r="I2596" s="26" t="str">
        <f aca="false">IF(A2596="","",IF(C2596="No encontrado","No","Sí"))</f>
        <v/>
      </c>
      <c r="J2596" s="26" t="str">
        <f aca="false">IF(A2596="","",IF(F2596="Inactivo","No","Sí"))</f>
        <v/>
      </c>
      <c r="K2596" s="26" t="str">
        <f aca="false">IF(A2596="","",IF(AND(I2596="Sí",J2596="Sí"),"Sí","No"))</f>
        <v/>
      </c>
    </row>
    <row r="2597" customFormat="false" ht="15" hidden="false" customHeight="false" outlineLevel="0" collapsed="false">
      <c r="A2597" s="22"/>
      <c r="B2597" s="22"/>
      <c r="C2597" s="23" t="str">
        <f aca="false">IF(A2597="","",IFERROR(buscarx(A2597&amp;B2597,DATA!$E$3:$E$10000&amp;DATA!$B$3:$B$10000,DATA!$M$3:$M$10000),"No encontrado"))</f>
        <v/>
      </c>
      <c r="D2597" s="24" t="str">
        <f aca="false">IF(A2597="","",IFERROR(buscarx(A2597&amp;B2597,DATA!$E$3:$E$10000&amp;DATA!$B$3:$B$10000,DATA!$W$3:$W$10000),"No encontrado"))</f>
        <v/>
      </c>
      <c r="E2597" s="22"/>
      <c r="F2597" s="23" t="str">
        <f aca="false">IF(A2597="","",IFERROR(buscarx(A2597&amp;E2597,DATA!$E$3:$E$10000&amp;DATA!$B$3:$B$10000,DATA!$M$3:$M$10000),"Inactivo"))</f>
        <v/>
      </c>
      <c r="G2597" s="25" t="str">
        <f aca="false">IF(A2597="","",IF(AND(C2597&lt;&gt;"No encontrado",F2597&lt;&gt;"Inactivo"),C2597&amp;" → "&amp;F2597,"Sin transición"))</f>
        <v/>
      </c>
      <c r="H2597" s="23" t="str">
        <f aca="false">IF(A2597="","",IF(D2597="GCIA LINEA SERVICIO DIGITALIDAD Y VENTAS","Chats",IF(OR(D2597="GERENCIA INBOUND LÍNEAS SERVICIO Y VENTA",D2597="GERENCIA INBOUND LINEAS ESPECIALIZADAS"),"Llamadas","Otro")))</f>
        <v/>
      </c>
      <c r="I2597" s="23" t="str">
        <f aca="false">IF(A2597="","",IF(C2597="No encontrado","No","Sí"))</f>
        <v/>
      </c>
      <c r="J2597" s="23" t="str">
        <f aca="false">IF(A2597="","",IF(F2597="Inactivo","No","Sí"))</f>
        <v/>
      </c>
      <c r="K2597" s="23" t="str">
        <f aca="false">IF(A2597="","",IF(AND(I2597="Sí",J2597="Sí"),"Sí","No"))</f>
        <v/>
      </c>
    </row>
    <row r="2598" customFormat="false" ht="15" hidden="false" customHeight="false" outlineLevel="0" collapsed="false">
      <c r="A2598" s="22"/>
      <c r="B2598" s="22"/>
      <c r="C2598" s="26" t="str">
        <f aca="false">IF(A2598="","",IFERROR(buscarx(A2598&amp;B2598,DATA!$E$3:$E$10000&amp;DATA!$B$3:$B$10000,DATA!$M$3:$M$10000),"No encontrado"))</f>
        <v/>
      </c>
      <c r="D2598" s="27" t="str">
        <f aca="false">IF(A2598="","",IFERROR(buscarx(A2598&amp;B2598,DATA!$E$3:$E$10000&amp;DATA!$B$3:$B$10000,DATA!$W$3:$W$10000),"No encontrado"))</f>
        <v/>
      </c>
      <c r="E2598" s="22"/>
      <c r="F2598" s="26" t="str">
        <f aca="false">IF(A2598="","",IFERROR(buscarx(A2598&amp;E2598,DATA!$E$3:$E$10000&amp;DATA!$B$3:$B$10000,DATA!$M$3:$M$10000),"Inactivo"))</f>
        <v/>
      </c>
      <c r="G2598" s="28" t="str">
        <f aca="false">IF(A2598="","",IF(AND(C2598&lt;&gt;"No encontrado",F2598&lt;&gt;"Inactivo"),C2598&amp;" → "&amp;F2598,"Sin transición"))</f>
        <v/>
      </c>
      <c r="H2598" s="26" t="str">
        <f aca="false">IF(A2598="","",IF(D2598="GCIA LINEA SERVICIO DIGITALIDAD Y VENTAS","Chats",IF(OR(D2598="GERENCIA INBOUND LÍNEAS SERVICIO Y VENTA",D2598="GERENCIA INBOUND LINEAS ESPECIALIZADAS"),"Llamadas","Otro")))</f>
        <v/>
      </c>
      <c r="I2598" s="26" t="str">
        <f aca="false">IF(A2598="","",IF(C2598="No encontrado","No","Sí"))</f>
        <v/>
      </c>
      <c r="J2598" s="26" t="str">
        <f aca="false">IF(A2598="","",IF(F2598="Inactivo","No","Sí"))</f>
        <v/>
      </c>
      <c r="K2598" s="26" t="str">
        <f aca="false">IF(A2598="","",IF(AND(I2598="Sí",J2598="Sí"),"Sí","No"))</f>
        <v/>
      </c>
    </row>
    <row r="2599" customFormat="false" ht="15" hidden="false" customHeight="false" outlineLevel="0" collapsed="false">
      <c r="A2599" s="22"/>
      <c r="B2599" s="22"/>
      <c r="C2599" s="23" t="str">
        <f aca="false">IF(A2599="","",IFERROR(buscarx(A2599&amp;B2599,DATA!$E$3:$E$10000&amp;DATA!$B$3:$B$10000,DATA!$M$3:$M$10000),"No encontrado"))</f>
        <v/>
      </c>
      <c r="D2599" s="24" t="str">
        <f aca="false">IF(A2599="","",IFERROR(buscarx(A2599&amp;B2599,DATA!$E$3:$E$10000&amp;DATA!$B$3:$B$10000,DATA!$W$3:$W$10000),"No encontrado"))</f>
        <v/>
      </c>
      <c r="E2599" s="22"/>
      <c r="F2599" s="23" t="str">
        <f aca="false">IF(A2599="","",IFERROR(buscarx(A2599&amp;E2599,DATA!$E$3:$E$10000&amp;DATA!$B$3:$B$10000,DATA!$M$3:$M$10000),"Inactivo"))</f>
        <v/>
      </c>
      <c r="G2599" s="25" t="str">
        <f aca="false">IF(A2599="","",IF(AND(C2599&lt;&gt;"No encontrado",F2599&lt;&gt;"Inactivo"),C2599&amp;" → "&amp;F2599,"Sin transición"))</f>
        <v/>
      </c>
      <c r="H2599" s="23" t="str">
        <f aca="false">IF(A2599="","",IF(D2599="GCIA LINEA SERVICIO DIGITALIDAD Y VENTAS","Chats",IF(OR(D2599="GERENCIA INBOUND LÍNEAS SERVICIO Y VENTA",D2599="GERENCIA INBOUND LINEAS ESPECIALIZADAS"),"Llamadas","Otro")))</f>
        <v/>
      </c>
      <c r="I2599" s="23" t="str">
        <f aca="false">IF(A2599="","",IF(C2599="No encontrado","No","Sí"))</f>
        <v/>
      </c>
      <c r="J2599" s="23" t="str">
        <f aca="false">IF(A2599="","",IF(F2599="Inactivo","No","Sí"))</f>
        <v/>
      </c>
      <c r="K2599" s="23" t="str">
        <f aca="false">IF(A2599="","",IF(AND(I2599="Sí",J2599="Sí"),"Sí","No"))</f>
        <v/>
      </c>
    </row>
    <row r="2600" customFormat="false" ht="15" hidden="false" customHeight="false" outlineLevel="0" collapsed="false">
      <c r="A2600" s="22"/>
      <c r="B2600" s="22"/>
      <c r="C2600" s="26" t="str">
        <f aca="false">IF(A2600="","",IFERROR(buscarx(A2600&amp;B2600,DATA!$E$3:$E$10000&amp;DATA!$B$3:$B$10000,DATA!$M$3:$M$10000),"No encontrado"))</f>
        <v/>
      </c>
      <c r="D2600" s="27" t="str">
        <f aca="false">IF(A2600="","",IFERROR(buscarx(A2600&amp;B2600,DATA!$E$3:$E$10000&amp;DATA!$B$3:$B$10000,DATA!$W$3:$W$10000),"No encontrado"))</f>
        <v/>
      </c>
      <c r="E2600" s="22"/>
      <c r="F2600" s="26" t="str">
        <f aca="false">IF(A2600="","",IFERROR(buscarx(A2600&amp;E2600,DATA!$E$3:$E$10000&amp;DATA!$B$3:$B$10000,DATA!$M$3:$M$10000),"Inactivo"))</f>
        <v/>
      </c>
      <c r="G2600" s="28" t="str">
        <f aca="false">IF(A2600="","",IF(AND(C2600&lt;&gt;"No encontrado",F2600&lt;&gt;"Inactivo"),C2600&amp;" → "&amp;F2600,"Sin transición"))</f>
        <v/>
      </c>
      <c r="H2600" s="26" t="str">
        <f aca="false">IF(A2600="","",IF(D2600="GCIA LINEA SERVICIO DIGITALIDAD Y VENTAS","Chats",IF(OR(D2600="GERENCIA INBOUND LÍNEAS SERVICIO Y VENTA",D2600="GERENCIA INBOUND LINEAS ESPECIALIZADAS"),"Llamadas","Otro")))</f>
        <v/>
      </c>
      <c r="I2600" s="26" t="str">
        <f aca="false">IF(A2600="","",IF(C2600="No encontrado","No","Sí"))</f>
        <v/>
      </c>
      <c r="J2600" s="26" t="str">
        <f aca="false">IF(A2600="","",IF(F2600="Inactivo","No","Sí"))</f>
        <v/>
      </c>
      <c r="K2600" s="26" t="str">
        <f aca="false">IF(A2600="","",IF(AND(I2600="Sí",J2600="Sí"),"Sí","No"))</f>
        <v/>
      </c>
    </row>
    <row r="2601" customFormat="false" ht="15" hidden="false" customHeight="false" outlineLevel="0" collapsed="false">
      <c r="A2601" s="22"/>
      <c r="B2601" s="22"/>
      <c r="C2601" s="23" t="str">
        <f aca="false">IF(A2601="","",IFERROR(buscarx(A2601&amp;B2601,DATA!$E$3:$E$10000&amp;DATA!$B$3:$B$10000,DATA!$M$3:$M$10000),"No encontrado"))</f>
        <v/>
      </c>
      <c r="D2601" s="24" t="str">
        <f aca="false">IF(A2601="","",IFERROR(buscarx(A2601&amp;B2601,DATA!$E$3:$E$10000&amp;DATA!$B$3:$B$10000,DATA!$W$3:$W$10000),"No encontrado"))</f>
        <v/>
      </c>
      <c r="E2601" s="22"/>
      <c r="F2601" s="23" t="str">
        <f aca="false">IF(A2601="","",IFERROR(buscarx(A2601&amp;E2601,DATA!$E$3:$E$10000&amp;DATA!$B$3:$B$10000,DATA!$M$3:$M$10000),"Inactivo"))</f>
        <v/>
      </c>
      <c r="G2601" s="25" t="str">
        <f aca="false">IF(A2601="","",IF(AND(C2601&lt;&gt;"No encontrado",F2601&lt;&gt;"Inactivo"),C2601&amp;" → "&amp;F2601,"Sin transición"))</f>
        <v/>
      </c>
      <c r="H2601" s="23" t="str">
        <f aca="false">IF(A2601="","",IF(D2601="GCIA LINEA SERVICIO DIGITALIDAD Y VENTAS","Chats",IF(OR(D2601="GERENCIA INBOUND LÍNEAS SERVICIO Y VENTA",D2601="GERENCIA INBOUND LINEAS ESPECIALIZADAS"),"Llamadas","Otro")))</f>
        <v/>
      </c>
      <c r="I2601" s="23" t="str">
        <f aca="false">IF(A2601="","",IF(C2601="No encontrado","No","Sí"))</f>
        <v/>
      </c>
      <c r="J2601" s="23" t="str">
        <f aca="false">IF(A2601="","",IF(F2601="Inactivo","No","Sí"))</f>
        <v/>
      </c>
      <c r="K2601" s="23" t="str">
        <f aca="false">IF(A2601="","",IF(AND(I2601="Sí",J2601="Sí"),"Sí","No"))</f>
        <v/>
      </c>
    </row>
    <row r="2602" customFormat="false" ht="15" hidden="false" customHeight="false" outlineLevel="0" collapsed="false">
      <c r="A2602" s="22"/>
      <c r="B2602" s="22"/>
      <c r="C2602" s="26" t="str">
        <f aca="false">IF(A2602="","",IFERROR(buscarx(A2602&amp;B2602,DATA!$E$3:$E$10000&amp;DATA!$B$3:$B$10000,DATA!$M$3:$M$10000),"No encontrado"))</f>
        <v/>
      </c>
      <c r="D2602" s="27" t="str">
        <f aca="false">IF(A2602="","",IFERROR(buscarx(A2602&amp;B2602,DATA!$E$3:$E$10000&amp;DATA!$B$3:$B$10000,DATA!$W$3:$W$10000),"No encontrado"))</f>
        <v/>
      </c>
      <c r="E2602" s="22"/>
      <c r="F2602" s="26" t="str">
        <f aca="false">IF(A2602="","",IFERROR(buscarx(A2602&amp;E2602,DATA!$E$3:$E$10000&amp;DATA!$B$3:$B$10000,DATA!$M$3:$M$10000),"Inactivo"))</f>
        <v/>
      </c>
      <c r="G2602" s="28" t="str">
        <f aca="false">IF(A2602="","",IF(AND(C2602&lt;&gt;"No encontrado",F2602&lt;&gt;"Inactivo"),C2602&amp;" → "&amp;F2602,"Sin transición"))</f>
        <v/>
      </c>
      <c r="H2602" s="26" t="str">
        <f aca="false">IF(A2602="","",IF(D2602="GCIA LINEA SERVICIO DIGITALIDAD Y VENTAS","Chats",IF(OR(D2602="GERENCIA INBOUND LÍNEAS SERVICIO Y VENTA",D2602="GERENCIA INBOUND LINEAS ESPECIALIZADAS"),"Llamadas","Otro")))</f>
        <v/>
      </c>
      <c r="I2602" s="26" t="str">
        <f aca="false">IF(A2602="","",IF(C2602="No encontrado","No","Sí"))</f>
        <v/>
      </c>
      <c r="J2602" s="26" t="str">
        <f aca="false">IF(A2602="","",IF(F2602="Inactivo","No","Sí"))</f>
        <v/>
      </c>
      <c r="K2602" s="26" t="str">
        <f aca="false">IF(A2602="","",IF(AND(I2602="Sí",J2602="Sí"),"Sí","No"))</f>
        <v/>
      </c>
    </row>
    <row r="2603" customFormat="false" ht="15" hidden="false" customHeight="false" outlineLevel="0" collapsed="false">
      <c r="A2603" s="22"/>
      <c r="B2603" s="22"/>
      <c r="C2603" s="23" t="str">
        <f aca="false">IF(A2603="","",IFERROR(buscarx(A2603&amp;B2603,DATA!$E$3:$E$10000&amp;DATA!$B$3:$B$10000,DATA!$M$3:$M$10000),"No encontrado"))</f>
        <v/>
      </c>
      <c r="D2603" s="24" t="str">
        <f aca="false">IF(A2603="","",IFERROR(buscarx(A2603&amp;B2603,DATA!$E$3:$E$10000&amp;DATA!$B$3:$B$10000,DATA!$W$3:$W$10000),"No encontrado"))</f>
        <v/>
      </c>
      <c r="E2603" s="22"/>
      <c r="F2603" s="23" t="str">
        <f aca="false">IF(A2603="","",IFERROR(buscarx(A2603&amp;E2603,DATA!$E$3:$E$10000&amp;DATA!$B$3:$B$10000,DATA!$M$3:$M$10000),"Inactivo"))</f>
        <v/>
      </c>
      <c r="G2603" s="25" t="str">
        <f aca="false">IF(A2603="","",IF(AND(C2603&lt;&gt;"No encontrado",F2603&lt;&gt;"Inactivo"),C2603&amp;" → "&amp;F2603,"Sin transición"))</f>
        <v/>
      </c>
      <c r="H2603" s="23" t="str">
        <f aca="false">IF(A2603="","",IF(D2603="GCIA LINEA SERVICIO DIGITALIDAD Y VENTAS","Chats",IF(OR(D2603="GERENCIA INBOUND LÍNEAS SERVICIO Y VENTA",D2603="GERENCIA INBOUND LINEAS ESPECIALIZADAS"),"Llamadas","Otro")))</f>
        <v/>
      </c>
      <c r="I2603" s="23" t="str">
        <f aca="false">IF(A2603="","",IF(C2603="No encontrado","No","Sí"))</f>
        <v/>
      </c>
      <c r="J2603" s="23" t="str">
        <f aca="false">IF(A2603="","",IF(F2603="Inactivo","No","Sí"))</f>
        <v/>
      </c>
      <c r="K2603" s="23" t="str">
        <f aca="false">IF(A2603="","",IF(AND(I2603="Sí",J2603="Sí"),"Sí","No"))</f>
        <v/>
      </c>
    </row>
    <row r="2604" customFormat="false" ht="15" hidden="false" customHeight="false" outlineLevel="0" collapsed="false">
      <c r="A2604" s="22"/>
      <c r="B2604" s="22"/>
      <c r="C2604" s="26" t="str">
        <f aca="false">IF(A2604="","",IFERROR(buscarx(A2604&amp;B2604,DATA!$E$3:$E$10000&amp;DATA!$B$3:$B$10000,DATA!$M$3:$M$10000),"No encontrado"))</f>
        <v/>
      </c>
      <c r="D2604" s="27" t="str">
        <f aca="false">IF(A2604="","",IFERROR(buscarx(A2604&amp;B2604,DATA!$E$3:$E$10000&amp;DATA!$B$3:$B$10000,DATA!$W$3:$W$10000),"No encontrado"))</f>
        <v/>
      </c>
      <c r="E2604" s="22"/>
      <c r="F2604" s="26" t="str">
        <f aca="false">IF(A2604="","",IFERROR(buscarx(A2604&amp;E2604,DATA!$E$3:$E$10000&amp;DATA!$B$3:$B$10000,DATA!$M$3:$M$10000),"Inactivo"))</f>
        <v/>
      </c>
      <c r="G2604" s="28" t="str">
        <f aca="false">IF(A2604="","",IF(AND(C2604&lt;&gt;"No encontrado",F2604&lt;&gt;"Inactivo"),C2604&amp;" → "&amp;F2604,"Sin transición"))</f>
        <v/>
      </c>
      <c r="H2604" s="26" t="str">
        <f aca="false">IF(A2604="","",IF(D2604="GCIA LINEA SERVICIO DIGITALIDAD Y VENTAS","Chats",IF(OR(D2604="GERENCIA INBOUND LÍNEAS SERVICIO Y VENTA",D2604="GERENCIA INBOUND LINEAS ESPECIALIZADAS"),"Llamadas","Otro")))</f>
        <v/>
      </c>
      <c r="I2604" s="26" t="str">
        <f aca="false">IF(A2604="","",IF(C2604="No encontrado","No","Sí"))</f>
        <v/>
      </c>
      <c r="J2604" s="26" t="str">
        <f aca="false">IF(A2604="","",IF(F2604="Inactivo","No","Sí"))</f>
        <v/>
      </c>
      <c r="K2604" s="26" t="str">
        <f aca="false">IF(A2604="","",IF(AND(I2604="Sí",J2604="Sí"),"Sí","No"))</f>
        <v/>
      </c>
    </row>
    <row r="2605" customFormat="false" ht="15" hidden="false" customHeight="false" outlineLevel="0" collapsed="false">
      <c r="A2605" s="22"/>
      <c r="B2605" s="22"/>
      <c r="C2605" s="23" t="str">
        <f aca="false">IF(A2605="","",IFERROR(buscarx(A2605&amp;B2605,DATA!$E$3:$E$10000&amp;DATA!$B$3:$B$10000,DATA!$M$3:$M$10000),"No encontrado"))</f>
        <v/>
      </c>
      <c r="D2605" s="24" t="str">
        <f aca="false">IF(A2605="","",IFERROR(buscarx(A2605&amp;B2605,DATA!$E$3:$E$10000&amp;DATA!$B$3:$B$10000,DATA!$W$3:$W$10000),"No encontrado"))</f>
        <v/>
      </c>
      <c r="E2605" s="22"/>
      <c r="F2605" s="23" t="str">
        <f aca="false">IF(A2605="","",IFERROR(buscarx(A2605&amp;E2605,DATA!$E$3:$E$10000&amp;DATA!$B$3:$B$10000,DATA!$M$3:$M$10000),"Inactivo"))</f>
        <v/>
      </c>
      <c r="G2605" s="25" t="str">
        <f aca="false">IF(A2605="","",IF(AND(C2605&lt;&gt;"No encontrado",F2605&lt;&gt;"Inactivo"),C2605&amp;" → "&amp;F2605,"Sin transición"))</f>
        <v/>
      </c>
      <c r="H2605" s="23" t="str">
        <f aca="false">IF(A2605="","",IF(D2605="GCIA LINEA SERVICIO DIGITALIDAD Y VENTAS","Chats",IF(OR(D2605="GERENCIA INBOUND LÍNEAS SERVICIO Y VENTA",D2605="GERENCIA INBOUND LINEAS ESPECIALIZADAS"),"Llamadas","Otro")))</f>
        <v/>
      </c>
      <c r="I2605" s="23" t="str">
        <f aca="false">IF(A2605="","",IF(C2605="No encontrado","No","Sí"))</f>
        <v/>
      </c>
      <c r="J2605" s="23" t="str">
        <f aca="false">IF(A2605="","",IF(F2605="Inactivo","No","Sí"))</f>
        <v/>
      </c>
      <c r="K2605" s="23" t="str">
        <f aca="false">IF(A2605="","",IF(AND(I2605="Sí",J2605="Sí"),"Sí","No"))</f>
        <v/>
      </c>
    </row>
    <row r="2606" customFormat="false" ht="15" hidden="false" customHeight="false" outlineLevel="0" collapsed="false">
      <c r="A2606" s="22"/>
      <c r="B2606" s="22"/>
      <c r="C2606" s="26" t="str">
        <f aca="false">IF(A2606="","",IFERROR(buscarx(A2606&amp;B2606,DATA!$E$3:$E$10000&amp;DATA!$B$3:$B$10000,DATA!$M$3:$M$10000),"No encontrado"))</f>
        <v/>
      </c>
      <c r="D2606" s="27" t="str">
        <f aca="false">IF(A2606="","",IFERROR(buscarx(A2606&amp;B2606,DATA!$E$3:$E$10000&amp;DATA!$B$3:$B$10000,DATA!$W$3:$W$10000),"No encontrado"))</f>
        <v/>
      </c>
      <c r="E2606" s="22"/>
      <c r="F2606" s="26" t="str">
        <f aca="false">IF(A2606="","",IFERROR(buscarx(A2606&amp;E2606,DATA!$E$3:$E$10000&amp;DATA!$B$3:$B$10000,DATA!$M$3:$M$10000),"Inactivo"))</f>
        <v/>
      </c>
      <c r="G2606" s="28" t="str">
        <f aca="false">IF(A2606="","",IF(AND(C2606&lt;&gt;"No encontrado",F2606&lt;&gt;"Inactivo"),C2606&amp;" → "&amp;F2606,"Sin transición"))</f>
        <v/>
      </c>
      <c r="H2606" s="26" t="str">
        <f aca="false">IF(A2606="","",IF(D2606="GCIA LINEA SERVICIO DIGITALIDAD Y VENTAS","Chats",IF(OR(D2606="GERENCIA INBOUND LÍNEAS SERVICIO Y VENTA",D2606="GERENCIA INBOUND LINEAS ESPECIALIZADAS"),"Llamadas","Otro")))</f>
        <v/>
      </c>
      <c r="I2606" s="26" t="str">
        <f aca="false">IF(A2606="","",IF(C2606="No encontrado","No","Sí"))</f>
        <v/>
      </c>
      <c r="J2606" s="26" t="str">
        <f aca="false">IF(A2606="","",IF(F2606="Inactivo","No","Sí"))</f>
        <v/>
      </c>
      <c r="K2606" s="26" t="str">
        <f aca="false">IF(A2606="","",IF(AND(I2606="Sí",J2606="Sí"),"Sí","No"))</f>
        <v/>
      </c>
    </row>
    <row r="2607" customFormat="false" ht="15" hidden="false" customHeight="false" outlineLevel="0" collapsed="false">
      <c r="A2607" s="22"/>
      <c r="B2607" s="22"/>
      <c r="C2607" s="23" t="str">
        <f aca="false">IF(A2607="","",IFERROR(buscarx(A2607&amp;B2607,DATA!$E$3:$E$10000&amp;DATA!$B$3:$B$10000,DATA!$M$3:$M$10000),"No encontrado"))</f>
        <v/>
      </c>
      <c r="D2607" s="24" t="str">
        <f aca="false">IF(A2607="","",IFERROR(buscarx(A2607&amp;B2607,DATA!$E$3:$E$10000&amp;DATA!$B$3:$B$10000,DATA!$W$3:$W$10000),"No encontrado"))</f>
        <v/>
      </c>
      <c r="E2607" s="22"/>
      <c r="F2607" s="23" t="str">
        <f aca="false">IF(A2607="","",IFERROR(buscarx(A2607&amp;E2607,DATA!$E$3:$E$10000&amp;DATA!$B$3:$B$10000,DATA!$M$3:$M$10000),"Inactivo"))</f>
        <v/>
      </c>
      <c r="G2607" s="25" t="str">
        <f aca="false">IF(A2607="","",IF(AND(C2607&lt;&gt;"No encontrado",F2607&lt;&gt;"Inactivo"),C2607&amp;" → "&amp;F2607,"Sin transición"))</f>
        <v/>
      </c>
      <c r="H2607" s="23" t="str">
        <f aca="false">IF(A2607="","",IF(D2607="GCIA LINEA SERVICIO DIGITALIDAD Y VENTAS","Chats",IF(OR(D2607="GERENCIA INBOUND LÍNEAS SERVICIO Y VENTA",D2607="GERENCIA INBOUND LINEAS ESPECIALIZADAS"),"Llamadas","Otro")))</f>
        <v/>
      </c>
      <c r="I2607" s="23" t="str">
        <f aca="false">IF(A2607="","",IF(C2607="No encontrado","No","Sí"))</f>
        <v/>
      </c>
      <c r="J2607" s="23" t="str">
        <f aca="false">IF(A2607="","",IF(F2607="Inactivo","No","Sí"))</f>
        <v/>
      </c>
      <c r="K2607" s="23" t="str">
        <f aca="false">IF(A2607="","",IF(AND(I2607="Sí",J2607="Sí"),"Sí","No"))</f>
        <v/>
      </c>
    </row>
    <row r="2608" customFormat="false" ht="15" hidden="false" customHeight="false" outlineLevel="0" collapsed="false">
      <c r="A2608" s="22"/>
      <c r="B2608" s="22"/>
      <c r="C2608" s="26" t="str">
        <f aca="false">IF(A2608="","",IFERROR(buscarx(A2608&amp;B2608,DATA!$E$3:$E$10000&amp;DATA!$B$3:$B$10000,DATA!$M$3:$M$10000),"No encontrado"))</f>
        <v/>
      </c>
      <c r="D2608" s="27" t="str">
        <f aca="false">IF(A2608="","",IFERROR(buscarx(A2608&amp;B2608,DATA!$E$3:$E$10000&amp;DATA!$B$3:$B$10000,DATA!$W$3:$W$10000),"No encontrado"))</f>
        <v/>
      </c>
      <c r="E2608" s="22"/>
      <c r="F2608" s="26" t="str">
        <f aca="false">IF(A2608="","",IFERROR(buscarx(A2608&amp;E2608,DATA!$E$3:$E$10000&amp;DATA!$B$3:$B$10000,DATA!$M$3:$M$10000),"Inactivo"))</f>
        <v/>
      </c>
      <c r="G2608" s="28" t="str">
        <f aca="false">IF(A2608="","",IF(AND(C2608&lt;&gt;"No encontrado",F2608&lt;&gt;"Inactivo"),C2608&amp;" → "&amp;F2608,"Sin transición"))</f>
        <v/>
      </c>
      <c r="H2608" s="26" t="str">
        <f aca="false">IF(A2608="","",IF(D2608="GCIA LINEA SERVICIO DIGITALIDAD Y VENTAS","Chats",IF(OR(D2608="GERENCIA INBOUND LÍNEAS SERVICIO Y VENTA",D2608="GERENCIA INBOUND LINEAS ESPECIALIZADAS"),"Llamadas","Otro")))</f>
        <v/>
      </c>
      <c r="I2608" s="26" t="str">
        <f aca="false">IF(A2608="","",IF(C2608="No encontrado","No","Sí"))</f>
        <v/>
      </c>
      <c r="J2608" s="26" t="str">
        <f aca="false">IF(A2608="","",IF(F2608="Inactivo","No","Sí"))</f>
        <v/>
      </c>
      <c r="K2608" s="26" t="str">
        <f aca="false">IF(A2608="","",IF(AND(I2608="Sí",J2608="Sí"),"Sí","No"))</f>
        <v/>
      </c>
    </row>
    <row r="2609" customFormat="false" ht="15" hidden="false" customHeight="false" outlineLevel="0" collapsed="false">
      <c r="A2609" s="22"/>
      <c r="B2609" s="22"/>
      <c r="C2609" s="23" t="str">
        <f aca="false">IF(A2609="","",IFERROR(buscarx(A2609&amp;B2609,DATA!$E$3:$E$10000&amp;DATA!$B$3:$B$10000,DATA!$M$3:$M$10000),"No encontrado"))</f>
        <v/>
      </c>
      <c r="D2609" s="24" t="str">
        <f aca="false">IF(A2609="","",IFERROR(buscarx(A2609&amp;B2609,DATA!$E$3:$E$10000&amp;DATA!$B$3:$B$10000,DATA!$W$3:$W$10000),"No encontrado"))</f>
        <v/>
      </c>
      <c r="E2609" s="22"/>
      <c r="F2609" s="23" t="str">
        <f aca="false">IF(A2609="","",IFERROR(buscarx(A2609&amp;E2609,DATA!$E$3:$E$10000&amp;DATA!$B$3:$B$10000,DATA!$M$3:$M$10000),"Inactivo"))</f>
        <v/>
      </c>
      <c r="G2609" s="25" t="str">
        <f aca="false">IF(A2609="","",IF(AND(C2609&lt;&gt;"No encontrado",F2609&lt;&gt;"Inactivo"),C2609&amp;" → "&amp;F2609,"Sin transición"))</f>
        <v/>
      </c>
      <c r="H2609" s="23" t="str">
        <f aca="false">IF(A2609="","",IF(D2609="GCIA LINEA SERVICIO DIGITALIDAD Y VENTAS","Chats",IF(OR(D2609="GERENCIA INBOUND LÍNEAS SERVICIO Y VENTA",D2609="GERENCIA INBOUND LINEAS ESPECIALIZADAS"),"Llamadas","Otro")))</f>
        <v/>
      </c>
      <c r="I2609" s="23" t="str">
        <f aca="false">IF(A2609="","",IF(C2609="No encontrado","No","Sí"))</f>
        <v/>
      </c>
      <c r="J2609" s="23" t="str">
        <f aca="false">IF(A2609="","",IF(F2609="Inactivo","No","Sí"))</f>
        <v/>
      </c>
      <c r="K2609" s="23" t="str">
        <f aca="false">IF(A2609="","",IF(AND(I2609="Sí",J2609="Sí"),"Sí","No"))</f>
        <v/>
      </c>
    </row>
    <row r="2610" customFormat="false" ht="15" hidden="false" customHeight="false" outlineLevel="0" collapsed="false">
      <c r="A2610" s="22"/>
      <c r="B2610" s="22"/>
      <c r="C2610" s="26" t="str">
        <f aca="false">IF(A2610="","",IFERROR(buscarx(A2610&amp;B2610,DATA!$E$3:$E$10000&amp;DATA!$B$3:$B$10000,DATA!$M$3:$M$10000),"No encontrado"))</f>
        <v/>
      </c>
      <c r="D2610" s="27" t="str">
        <f aca="false">IF(A2610="","",IFERROR(buscarx(A2610&amp;B2610,DATA!$E$3:$E$10000&amp;DATA!$B$3:$B$10000,DATA!$W$3:$W$10000),"No encontrado"))</f>
        <v/>
      </c>
      <c r="E2610" s="22"/>
      <c r="F2610" s="26" t="str">
        <f aca="false">IF(A2610="","",IFERROR(buscarx(A2610&amp;E2610,DATA!$E$3:$E$10000&amp;DATA!$B$3:$B$10000,DATA!$M$3:$M$10000),"Inactivo"))</f>
        <v/>
      </c>
      <c r="G2610" s="28" t="str">
        <f aca="false">IF(A2610="","",IF(AND(C2610&lt;&gt;"No encontrado",F2610&lt;&gt;"Inactivo"),C2610&amp;" → "&amp;F2610,"Sin transición"))</f>
        <v/>
      </c>
      <c r="H2610" s="26" t="str">
        <f aca="false">IF(A2610="","",IF(D2610="GCIA LINEA SERVICIO DIGITALIDAD Y VENTAS","Chats",IF(OR(D2610="GERENCIA INBOUND LÍNEAS SERVICIO Y VENTA",D2610="GERENCIA INBOUND LINEAS ESPECIALIZADAS"),"Llamadas","Otro")))</f>
        <v/>
      </c>
      <c r="I2610" s="26" t="str">
        <f aca="false">IF(A2610="","",IF(C2610="No encontrado","No","Sí"))</f>
        <v/>
      </c>
      <c r="J2610" s="26" t="str">
        <f aca="false">IF(A2610="","",IF(F2610="Inactivo","No","Sí"))</f>
        <v/>
      </c>
      <c r="K2610" s="26" t="str">
        <f aca="false">IF(A2610="","",IF(AND(I2610="Sí",J2610="Sí"),"Sí","No"))</f>
        <v/>
      </c>
    </row>
    <row r="2611" customFormat="false" ht="15" hidden="false" customHeight="false" outlineLevel="0" collapsed="false">
      <c r="A2611" s="22"/>
      <c r="B2611" s="22"/>
      <c r="C2611" s="23" t="str">
        <f aca="false">IF(A2611="","",IFERROR(buscarx(A2611&amp;B2611,DATA!$E$3:$E$10000&amp;DATA!$B$3:$B$10000,DATA!$M$3:$M$10000),"No encontrado"))</f>
        <v/>
      </c>
      <c r="D2611" s="24" t="str">
        <f aca="false">IF(A2611="","",IFERROR(buscarx(A2611&amp;B2611,DATA!$E$3:$E$10000&amp;DATA!$B$3:$B$10000,DATA!$W$3:$W$10000),"No encontrado"))</f>
        <v/>
      </c>
      <c r="E2611" s="22"/>
      <c r="F2611" s="23" t="str">
        <f aca="false">IF(A2611="","",IFERROR(buscarx(A2611&amp;E2611,DATA!$E$3:$E$10000&amp;DATA!$B$3:$B$10000,DATA!$M$3:$M$10000),"Inactivo"))</f>
        <v/>
      </c>
      <c r="G2611" s="25" t="str">
        <f aca="false">IF(A2611="","",IF(AND(C2611&lt;&gt;"No encontrado",F2611&lt;&gt;"Inactivo"),C2611&amp;" → "&amp;F2611,"Sin transición"))</f>
        <v/>
      </c>
      <c r="H2611" s="23" t="str">
        <f aca="false">IF(A2611="","",IF(D2611="GCIA LINEA SERVICIO DIGITALIDAD Y VENTAS","Chats",IF(OR(D2611="GERENCIA INBOUND LÍNEAS SERVICIO Y VENTA",D2611="GERENCIA INBOUND LINEAS ESPECIALIZADAS"),"Llamadas","Otro")))</f>
        <v/>
      </c>
      <c r="I2611" s="23" t="str">
        <f aca="false">IF(A2611="","",IF(C2611="No encontrado","No","Sí"))</f>
        <v/>
      </c>
      <c r="J2611" s="23" t="str">
        <f aca="false">IF(A2611="","",IF(F2611="Inactivo","No","Sí"))</f>
        <v/>
      </c>
      <c r="K2611" s="23" t="str">
        <f aca="false">IF(A2611="","",IF(AND(I2611="Sí",J2611="Sí"),"Sí","No"))</f>
        <v/>
      </c>
    </row>
    <row r="2612" customFormat="false" ht="15" hidden="false" customHeight="false" outlineLevel="0" collapsed="false">
      <c r="A2612" s="22"/>
      <c r="B2612" s="22"/>
      <c r="C2612" s="26" t="str">
        <f aca="false">IF(A2612="","",IFERROR(buscarx(A2612&amp;B2612,DATA!$E$3:$E$10000&amp;DATA!$B$3:$B$10000,DATA!$M$3:$M$10000),"No encontrado"))</f>
        <v/>
      </c>
      <c r="D2612" s="27" t="str">
        <f aca="false">IF(A2612="","",IFERROR(buscarx(A2612&amp;B2612,DATA!$E$3:$E$10000&amp;DATA!$B$3:$B$10000,DATA!$W$3:$W$10000),"No encontrado"))</f>
        <v/>
      </c>
      <c r="E2612" s="22"/>
      <c r="F2612" s="26" t="str">
        <f aca="false">IF(A2612="","",IFERROR(buscarx(A2612&amp;E2612,DATA!$E$3:$E$10000&amp;DATA!$B$3:$B$10000,DATA!$M$3:$M$10000),"Inactivo"))</f>
        <v/>
      </c>
      <c r="G2612" s="28" t="str">
        <f aca="false">IF(A2612="","",IF(AND(C2612&lt;&gt;"No encontrado",F2612&lt;&gt;"Inactivo"),C2612&amp;" → "&amp;F2612,"Sin transición"))</f>
        <v/>
      </c>
      <c r="H2612" s="26" t="str">
        <f aca="false">IF(A2612="","",IF(D2612="GCIA LINEA SERVICIO DIGITALIDAD Y VENTAS","Chats",IF(OR(D2612="GERENCIA INBOUND LÍNEAS SERVICIO Y VENTA",D2612="GERENCIA INBOUND LINEAS ESPECIALIZADAS"),"Llamadas","Otro")))</f>
        <v/>
      </c>
      <c r="I2612" s="26" t="str">
        <f aca="false">IF(A2612="","",IF(C2612="No encontrado","No","Sí"))</f>
        <v/>
      </c>
      <c r="J2612" s="26" t="str">
        <f aca="false">IF(A2612="","",IF(F2612="Inactivo","No","Sí"))</f>
        <v/>
      </c>
      <c r="K2612" s="26" t="str">
        <f aca="false">IF(A2612="","",IF(AND(I2612="Sí",J2612="Sí"),"Sí","No"))</f>
        <v/>
      </c>
    </row>
    <row r="2613" customFormat="false" ht="15" hidden="false" customHeight="false" outlineLevel="0" collapsed="false">
      <c r="A2613" s="22"/>
      <c r="B2613" s="22"/>
      <c r="C2613" s="23" t="str">
        <f aca="false">IF(A2613="","",IFERROR(buscarx(A2613&amp;B2613,DATA!$E$3:$E$10000&amp;DATA!$B$3:$B$10000,DATA!$M$3:$M$10000),"No encontrado"))</f>
        <v/>
      </c>
      <c r="D2613" s="24" t="str">
        <f aca="false">IF(A2613="","",IFERROR(buscarx(A2613&amp;B2613,DATA!$E$3:$E$10000&amp;DATA!$B$3:$B$10000,DATA!$W$3:$W$10000),"No encontrado"))</f>
        <v/>
      </c>
      <c r="E2613" s="22"/>
      <c r="F2613" s="23" t="str">
        <f aca="false">IF(A2613="","",IFERROR(buscarx(A2613&amp;E2613,DATA!$E$3:$E$10000&amp;DATA!$B$3:$B$10000,DATA!$M$3:$M$10000),"Inactivo"))</f>
        <v/>
      </c>
      <c r="G2613" s="25" t="str">
        <f aca="false">IF(A2613="","",IF(AND(C2613&lt;&gt;"No encontrado",F2613&lt;&gt;"Inactivo"),C2613&amp;" → "&amp;F2613,"Sin transición"))</f>
        <v/>
      </c>
      <c r="H2613" s="23" t="str">
        <f aca="false">IF(A2613="","",IF(D2613="GCIA LINEA SERVICIO DIGITALIDAD Y VENTAS","Chats",IF(OR(D2613="GERENCIA INBOUND LÍNEAS SERVICIO Y VENTA",D2613="GERENCIA INBOUND LINEAS ESPECIALIZADAS"),"Llamadas","Otro")))</f>
        <v/>
      </c>
      <c r="I2613" s="23" t="str">
        <f aca="false">IF(A2613="","",IF(C2613="No encontrado","No","Sí"))</f>
        <v/>
      </c>
      <c r="J2613" s="23" t="str">
        <f aca="false">IF(A2613="","",IF(F2613="Inactivo","No","Sí"))</f>
        <v/>
      </c>
      <c r="K2613" s="23" t="str">
        <f aca="false">IF(A2613="","",IF(AND(I2613="Sí",J2613="Sí"),"Sí","No"))</f>
        <v/>
      </c>
    </row>
    <row r="2614" customFormat="false" ht="15" hidden="false" customHeight="false" outlineLevel="0" collapsed="false">
      <c r="A2614" s="22"/>
      <c r="B2614" s="22"/>
      <c r="C2614" s="26" t="str">
        <f aca="false">IF(A2614="","",IFERROR(buscarx(A2614&amp;B2614,DATA!$E$3:$E$10000&amp;DATA!$B$3:$B$10000,DATA!$M$3:$M$10000),"No encontrado"))</f>
        <v/>
      </c>
      <c r="D2614" s="27" t="str">
        <f aca="false">IF(A2614="","",IFERROR(buscarx(A2614&amp;B2614,DATA!$E$3:$E$10000&amp;DATA!$B$3:$B$10000,DATA!$W$3:$W$10000),"No encontrado"))</f>
        <v/>
      </c>
      <c r="E2614" s="22"/>
      <c r="F2614" s="26" t="str">
        <f aca="false">IF(A2614="","",IFERROR(buscarx(A2614&amp;E2614,DATA!$E$3:$E$10000&amp;DATA!$B$3:$B$10000,DATA!$M$3:$M$10000),"Inactivo"))</f>
        <v/>
      </c>
      <c r="G2614" s="28" t="str">
        <f aca="false">IF(A2614="","",IF(AND(C2614&lt;&gt;"No encontrado",F2614&lt;&gt;"Inactivo"),C2614&amp;" → "&amp;F2614,"Sin transición"))</f>
        <v/>
      </c>
      <c r="H2614" s="26" t="str">
        <f aca="false">IF(A2614="","",IF(D2614="GCIA LINEA SERVICIO DIGITALIDAD Y VENTAS","Chats",IF(OR(D2614="GERENCIA INBOUND LÍNEAS SERVICIO Y VENTA",D2614="GERENCIA INBOUND LINEAS ESPECIALIZADAS"),"Llamadas","Otro")))</f>
        <v/>
      </c>
      <c r="I2614" s="26" t="str">
        <f aca="false">IF(A2614="","",IF(C2614="No encontrado","No","Sí"))</f>
        <v/>
      </c>
      <c r="J2614" s="26" t="str">
        <f aca="false">IF(A2614="","",IF(F2614="Inactivo","No","Sí"))</f>
        <v/>
      </c>
      <c r="K2614" s="26" t="str">
        <f aca="false">IF(A2614="","",IF(AND(I2614="Sí",J2614="Sí"),"Sí","No"))</f>
        <v/>
      </c>
    </row>
    <row r="2615" customFormat="false" ht="15" hidden="false" customHeight="false" outlineLevel="0" collapsed="false">
      <c r="A2615" s="22"/>
      <c r="B2615" s="22"/>
      <c r="C2615" s="23" t="str">
        <f aca="false">IF(A2615="","",IFERROR(buscarx(A2615&amp;B2615,DATA!$E$3:$E$10000&amp;DATA!$B$3:$B$10000,DATA!$M$3:$M$10000),"No encontrado"))</f>
        <v/>
      </c>
      <c r="D2615" s="24" t="str">
        <f aca="false">IF(A2615="","",IFERROR(buscarx(A2615&amp;B2615,DATA!$E$3:$E$10000&amp;DATA!$B$3:$B$10000,DATA!$W$3:$W$10000),"No encontrado"))</f>
        <v/>
      </c>
      <c r="E2615" s="22"/>
      <c r="F2615" s="23" t="str">
        <f aca="false">IF(A2615="","",IFERROR(buscarx(A2615&amp;E2615,DATA!$E$3:$E$10000&amp;DATA!$B$3:$B$10000,DATA!$M$3:$M$10000),"Inactivo"))</f>
        <v/>
      </c>
      <c r="G2615" s="25" t="str">
        <f aca="false">IF(A2615="","",IF(AND(C2615&lt;&gt;"No encontrado",F2615&lt;&gt;"Inactivo"),C2615&amp;" → "&amp;F2615,"Sin transición"))</f>
        <v/>
      </c>
      <c r="H2615" s="23" t="str">
        <f aca="false">IF(A2615="","",IF(D2615="GCIA LINEA SERVICIO DIGITALIDAD Y VENTAS","Chats",IF(OR(D2615="GERENCIA INBOUND LÍNEAS SERVICIO Y VENTA",D2615="GERENCIA INBOUND LINEAS ESPECIALIZADAS"),"Llamadas","Otro")))</f>
        <v/>
      </c>
      <c r="I2615" s="23" t="str">
        <f aca="false">IF(A2615="","",IF(C2615="No encontrado","No","Sí"))</f>
        <v/>
      </c>
      <c r="J2615" s="23" t="str">
        <f aca="false">IF(A2615="","",IF(F2615="Inactivo","No","Sí"))</f>
        <v/>
      </c>
      <c r="K2615" s="23" t="str">
        <f aca="false">IF(A2615="","",IF(AND(I2615="Sí",J2615="Sí"),"Sí","No"))</f>
        <v/>
      </c>
    </row>
    <row r="2616" customFormat="false" ht="15" hidden="false" customHeight="false" outlineLevel="0" collapsed="false">
      <c r="A2616" s="22"/>
      <c r="B2616" s="22"/>
      <c r="C2616" s="26" t="str">
        <f aca="false">IF(A2616="","",IFERROR(buscarx(A2616&amp;B2616,DATA!$E$3:$E$10000&amp;DATA!$B$3:$B$10000,DATA!$M$3:$M$10000),"No encontrado"))</f>
        <v/>
      </c>
      <c r="D2616" s="27" t="str">
        <f aca="false">IF(A2616="","",IFERROR(buscarx(A2616&amp;B2616,DATA!$E$3:$E$10000&amp;DATA!$B$3:$B$10000,DATA!$W$3:$W$10000),"No encontrado"))</f>
        <v/>
      </c>
      <c r="E2616" s="22"/>
      <c r="F2616" s="26" t="str">
        <f aca="false">IF(A2616="","",IFERROR(buscarx(A2616&amp;E2616,DATA!$E$3:$E$10000&amp;DATA!$B$3:$B$10000,DATA!$M$3:$M$10000),"Inactivo"))</f>
        <v/>
      </c>
      <c r="G2616" s="28" t="str">
        <f aca="false">IF(A2616="","",IF(AND(C2616&lt;&gt;"No encontrado",F2616&lt;&gt;"Inactivo"),C2616&amp;" → "&amp;F2616,"Sin transición"))</f>
        <v/>
      </c>
      <c r="H2616" s="26" t="str">
        <f aca="false">IF(A2616="","",IF(D2616="GCIA LINEA SERVICIO DIGITALIDAD Y VENTAS","Chats",IF(OR(D2616="GERENCIA INBOUND LÍNEAS SERVICIO Y VENTA",D2616="GERENCIA INBOUND LINEAS ESPECIALIZADAS"),"Llamadas","Otro")))</f>
        <v/>
      </c>
      <c r="I2616" s="26" t="str">
        <f aca="false">IF(A2616="","",IF(C2616="No encontrado","No","Sí"))</f>
        <v/>
      </c>
      <c r="J2616" s="26" t="str">
        <f aca="false">IF(A2616="","",IF(F2616="Inactivo","No","Sí"))</f>
        <v/>
      </c>
      <c r="K2616" s="26" t="str">
        <f aca="false">IF(A2616="","",IF(AND(I2616="Sí",J2616="Sí"),"Sí","No"))</f>
        <v/>
      </c>
    </row>
    <row r="2617" customFormat="false" ht="15" hidden="false" customHeight="false" outlineLevel="0" collapsed="false">
      <c r="A2617" s="22"/>
      <c r="B2617" s="22"/>
      <c r="C2617" s="23" t="str">
        <f aca="false">IF(A2617="","",IFERROR(buscarx(A2617&amp;B2617,DATA!$E$3:$E$10000&amp;DATA!$B$3:$B$10000,DATA!$M$3:$M$10000),"No encontrado"))</f>
        <v/>
      </c>
      <c r="D2617" s="24" t="str">
        <f aca="false">IF(A2617="","",IFERROR(buscarx(A2617&amp;B2617,DATA!$E$3:$E$10000&amp;DATA!$B$3:$B$10000,DATA!$W$3:$W$10000),"No encontrado"))</f>
        <v/>
      </c>
      <c r="E2617" s="22"/>
      <c r="F2617" s="23" t="str">
        <f aca="false">IF(A2617="","",IFERROR(buscarx(A2617&amp;E2617,DATA!$E$3:$E$10000&amp;DATA!$B$3:$B$10000,DATA!$M$3:$M$10000),"Inactivo"))</f>
        <v/>
      </c>
      <c r="G2617" s="25" t="str">
        <f aca="false">IF(A2617="","",IF(AND(C2617&lt;&gt;"No encontrado",F2617&lt;&gt;"Inactivo"),C2617&amp;" → "&amp;F2617,"Sin transición"))</f>
        <v/>
      </c>
      <c r="H2617" s="23" t="str">
        <f aca="false">IF(A2617="","",IF(D2617="GCIA LINEA SERVICIO DIGITALIDAD Y VENTAS","Chats",IF(OR(D2617="GERENCIA INBOUND LÍNEAS SERVICIO Y VENTA",D2617="GERENCIA INBOUND LINEAS ESPECIALIZADAS"),"Llamadas","Otro")))</f>
        <v/>
      </c>
      <c r="I2617" s="23" t="str">
        <f aca="false">IF(A2617="","",IF(C2617="No encontrado","No","Sí"))</f>
        <v/>
      </c>
      <c r="J2617" s="23" t="str">
        <f aca="false">IF(A2617="","",IF(F2617="Inactivo","No","Sí"))</f>
        <v/>
      </c>
      <c r="K2617" s="23" t="str">
        <f aca="false">IF(A2617="","",IF(AND(I2617="Sí",J2617="Sí"),"Sí","No"))</f>
        <v/>
      </c>
    </row>
    <row r="2618" customFormat="false" ht="15" hidden="false" customHeight="false" outlineLevel="0" collapsed="false">
      <c r="A2618" s="22"/>
      <c r="B2618" s="22"/>
      <c r="C2618" s="26" t="str">
        <f aca="false">IF(A2618="","",IFERROR(buscarx(A2618&amp;B2618,DATA!$E$3:$E$10000&amp;DATA!$B$3:$B$10000,DATA!$M$3:$M$10000),"No encontrado"))</f>
        <v/>
      </c>
      <c r="D2618" s="27" t="str">
        <f aca="false">IF(A2618="","",IFERROR(buscarx(A2618&amp;B2618,DATA!$E$3:$E$10000&amp;DATA!$B$3:$B$10000,DATA!$W$3:$W$10000),"No encontrado"))</f>
        <v/>
      </c>
      <c r="E2618" s="22"/>
      <c r="F2618" s="26" t="str">
        <f aca="false">IF(A2618="","",IFERROR(buscarx(A2618&amp;E2618,DATA!$E$3:$E$10000&amp;DATA!$B$3:$B$10000,DATA!$M$3:$M$10000),"Inactivo"))</f>
        <v/>
      </c>
      <c r="G2618" s="28" t="str">
        <f aca="false">IF(A2618="","",IF(AND(C2618&lt;&gt;"No encontrado",F2618&lt;&gt;"Inactivo"),C2618&amp;" → "&amp;F2618,"Sin transición"))</f>
        <v/>
      </c>
      <c r="H2618" s="26" t="str">
        <f aca="false">IF(A2618="","",IF(D2618="GCIA LINEA SERVICIO DIGITALIDAD Y VENTAS","Chats",IF(OR(D2618="GERENCIA INBOUND LÍNEAS SERVICIO Y VENTA",D2618="GERENCIA INBOUND LINEAS ESPECIALIZADAS"),"Llamadas","Otro")))</f>
        <v/>
      </c>
      <c r="I2618" s="26" t="str">
        <f aca="false">IF(A2618="","",IF(C2618="No encontrado","No","Sí"))</f>
        <v/>
      </c>
      <c r="J2618" s="26" t="str">
        <f aca="false">IF(A2618="","",IF(F2618="Inactivo","No","Sí"))</f>
        <v/>
      </c>
      <c r="K2618" s="26" t="str">
        <f aca="false">IF(A2618="","",IF(AND(I2618="Sí",J2618="Sí"),"Sí","No"))</f>
        <v/>
      </c>
    </row>
    <row r="2619" customFormat="false" ht="15" hidden="false" customHeight="false" outlineLevel="0" collapsed="false">
      <c r="A2619" s="22"/>
      <c r="B2619" s="22"/>
      <c r="C2619" s="23" t="str">
        <f aca="false">IF(A2619="","",IFERROR(buscarx(A2619&amp;B2619,DATA!$E$3:$E$10000&amp;DATA!$B$3:$B$10000,DATA!$M$3:$M$10000),"No encontrado"))</f>
        <v/>
      </c>
      <c r="D2619" s="24" t="str">
        <f aca="false">IF(A2619="","",IFERROR(buscarx(A2619&amp;B2619,DATA!$E$3:$E$10000&amp;DATA!$B$3:$B$10000,DATA!$W$3:$W$10000),"No encontrado"))</f>
        <v/>
      </c>
      <c r="E2619" s="22"/>
      <c r="F2619" s="23" t="str">
        <f aca="false">IF(A2619="","",IFERROR(buscarx(A2619&amp;E2619,DATA!$E$3:$E$10000&amp;DATA!$B$3:$B$10000,DATA!$M$3:$M$10000),"Inactivo"))</f>
        <v/>
      </c>
      <c r="G2619" s="25" t="str">
        <f aca="false">IF(A2619="","",IF(AND(C2619&lt;&gt;"No encontrado",F2619&lt;&gt;"Inactivo"),C2619&amp;" → "&amp;F2619,"Sin transición"))</f>
        <v/>
      </c>
      <c r="H2619" s="23" t="str">
        <f aca="false">IF(A2619="","",IF(D2619="GCIA LINEA SERVICIO DIGITALIDAD Y VENTAS","Chats",IF(OR(D2619="GERENCIA INBOUND LÍNEAS SERVICIO Y VENTA",D2619="GERENCIA INBOUND LINEAS ESPECIALIZADAS"),"Llamadas","Otro")))</f>
        <v/>
      </c>
      <c r="I2619" s="23" t="str">
        <f aca="false">IF(A2619="","",IF(C2619="No encontrado","No","Sí"))</f>
        <v/>
      </c>
      <c r="J2619" s="23" t="str">
        <f aca="false">IF(A2619="","",IF(F2619="Inactivo","No","Sí"))</f>
        <v/>
      </c>
      <c r="K2619" s="23" t="str">
        <f aca="false">IF(A2619="","",IF(AND(I2619="Sí",J2619="Sí"),"Sí","No"))</f>
        <v/>
      </c>
    </row>
    <row r="2620" customFormat="false" ht="15" hidden="false" customHeight="false" outlineLevel="0" collapsed="false">
      <c r="A2620" s="22"/>
      <c r="B2620" s="22"/>
      <c r="C2620" s="26" t="str">
        <f aca="false">IF(A2620="","",IFERROR(buscarx(A2620&amp;B2620,DATA!$E$3:$E$10000&amp;DATA!$B$3:$B$10000,DATA!$M$3:$M$10000),"No encontrado"))</f>
        <v/>
      </c>
      <c r="D2620" s="27" t="str">
        <f aca="false">IF(A2620="","",IFERROR(buscarx(A2620&amp;B2620,DATA!$E$3:$E$10000&amp;DATA!$B$3:$B$10000,DATA!$W$3:$W$10000),"No encontrado"))</f>
        <v/>
      </c>
      <c r="E2620" s="22"/>
      <c r="F2620" s="26" t="str">
        <f aca="false">IF(A2620="","",IFERROR(buscarx(A2620&amp;E2620,DATA!$E$3:$E$10000&amp;DATA!$B$3:$B$10000,DATA!$M$3:$M$10000),"Inactivo"))</f>
        <v/>
      </c>
      <c r="G2620" s="28" t="str">
        <f aca="false">IF(A2620="","",IF(AND(C2620&lt;&gt;"No encontrado",F2620&lt;&gt;"Inactivo"),C2620&amp;" → "&amp;F2620,"Sin transición"))</f>
        <v/>
      </c>
      <c r="H2620" s="26" t="str">
        <f aca="false">IF(A2620="","",IF(D2620="GCIA LINEA SERVICIO DIGITALIDAD Y VENTAS","Chats",IF(OR(D2620="GERENCIA INBOUND LÍNEAS SERVICIO Y VENTA",D2620="GERENCIA INBOUND LINEAS ESPECIALIZADAS"),"Llamadas","Otro")))</f>
        <v/>
      </c>
      <c r="I2620" s="26" t="str">
        <f aca="false">IF(A2620="","",IF(C2620="No encontrado","No","Sí"))</f>
        <v/>
      </c>
      <c r="J2620" s="26" t="str">
        <f aca="false">IF(A2620="","",IF(F2620="Inactivo","No","Sí"))</f>
        <v/>
      </c>
      <c r="K2620" s="26" t="str">
        <f aca="false">IF(A2620="","",IF(AND(I2620="Sí",J2620="Sí"),"Sí","No"))</f>
        <v/>
      </c>
    </row>
    <row r="2621" customFormat="false" ht="15" hidden="false" customHeight="false" outlineLevel="0" collapsed="false">
      <c r="A2621" s="22"/>
      <c r="B2621" s="22"/>
      <c r="C2621" s="23" t="str">
        <f aca="false">IF(A2621="","",IFERROR(buscarx(A2621&amp;B2621,DATA!$E$3:$E$10000&amp;DATA!$B$3:$B$10000,DATA!$M$3:$M$10000),"No encontrado"))</f>
        <v/>
      </c>
      <c r="D2621" s="24" t="str">
        <f aca="false">IF(A2621="","",IFERROR(buscarx(A2621&amp;B2621,DATA!$E$3:$E$10000&amp;DATA!$B$3:$B$10000,DATA!$W$3:$W$10000),"No encontrado"))</f>
        <v/>
      </c>
      <c r="E2621" s="22"/>
      <c r="F2621" s="23" t="str">
        <f aca="false">IF(A2621="","",IFERROR(buscarx(A2621&amp;E2621,DATA!$E$3:$E$10000&amp;DATA!$B$3:$B$10000,DATA!$M$3:$M$10000),"Inactivo"))</f>
        <v/>
      </c>
      <c r="G2621" s="25" t="str">
        <f aca="false">IF(A2621="","",IF(AND(C2621&lt;&gt;"No encontrado",F2621&lt;&gt;"Inactivo"),C2621&amp;" → "&amp;F2621,"Sin transición"))</f>
        <v/>
      </c>
      <c r="H2621" s="23" t="str">
        <f aca="false">IF(A2621="","",IF(D2621="GCIA LINEA SERVICIO DIGITALIDAD Y VENTAS","Chats",IF(OR(D2621="GERENCIA INBOUND LÍNEAS SERVICIO Y VENTA",D2621="GERENCIA INBOUND LINEAS ESPECIALIZADAS"),"Llamadas","Otro")))</f>
        <v/>
      </c>
      <c r="I2621" s="23" t="str">
        <f aca="false">IF(A2621="","",IF(C2621="No encontrado","No","Sí"))</f>
        <v/>
      </c>
      <c r="J2621" s="23" t="str">
        <f aca="false">IF(A2621="","",IF(F2621="Inactivo","No","Sí"))</f>
        <v/>
      </c>
      <c r="K2621" s="23" t="str">
        <f aca="false">IF(A2621="","",IF(AND(I2621="Sí",J2621="Sí"),"Sí","No"))</f>
        <v/>
      </c>
    </row>
    <row r="2622" customFormat="false" ht="15" hidden="false" customHeight="false" outlineLevel="0" collapsed="false">
      <c r="A2622" s="22"/>
      <c r="B2622" s="22"/>
      <c r="C2622" s="26" t="str">
        <f aca="false">IF(A2622="","",IFERROR(buscarx(A2622&amp;B2622,DATA!$E$3:$E$10000&amp;DATA!$B$3:$B$10000,DATA!$M$3:$M$10000),"No encontrado"))</f>
        <v/>
      </c>
      <c r="D2622" s="27" t="str">
        <f aca="false">IF(A2622="","",IFERROR(buscarx(A2622&amp;B2622,DATA!$E$3:$E$10000&amp;DATA!$B$3:$B$10000,DATA!$W$3:$W$10000),"No encontrado"))</f>
        <v/>
      </c>
      <c r="E2622" s="22"/>
      <c r="F2622" s="26" t="str">
        <f aca="false">IF(A2622="","",IFERROR(buscarx(A2622&amp;E2622,DATA!$E$3:$E$10000&amp;DATA!$B$3:$B$10000,DATA!$M$3:$M$10000),"Inactivo"))</f>
        <v/>
      </c>
      <c r="G2622" s="28" t="str">
        <f aca="false">IF(A2622="","",IF(AND(C2622&lt;&gt;"No encontrado",F2622&lt;&gt;"Inactivo"),C2622&amp;" → "&amp;F2622,"Sin transición"))</f>
        <v/>
      </c>
      <c r="H2622" s="26" t="str">
        <f aca="false">IF(A2622="","",IF(D2622="GCIA LINEA SERVICIO DIGITALIDAD Y VENTAS","Chats",IF(OR(D2622="GERENCIA INBOUND LÍNEAS SERVICIO Y VENTA",D2622="GERENCIA INBOUND LINEAS ESPECIALIZADAS"),"Llamadas","Otro")))</f>
        <v/>
      </c>
      <c r="I2622" s="26" t="str">
        <f aca="false">IF(A2622="","",IF(C2622="No encontrado","No","Sí"))</f>
        <v/>
      </c>
      <c r="J2622" s="26" t="str">
        <f aca="false">IF(A2622="","",IF(F2622="Inactivo","No","Sí"))</f>
        <v/>
      </c>
      <c r="K2622" s="26" t="str">
        <f aca="false">IF(A2622="","",IF(AND(I2622="Sí",J2622="Sí"),"Sí","No"))</f>
        <v/>
      </c>
    </row>
    <row r="2623" customFormat="false" ht="15" hidden="false" customHeight="false" outlineLevel="0" collapsed="false">
      <c r="A2623" s="22"/>
      <c r="B2623" s="22"/>
      <c r="C2623" s="23" t="str">
        <f aca="false">IF(A2623="","",IFERROR(buscarx(A2623&amp;B2623,DATA!$E$3:$E$10000&amp;DATA!$B$3:$B$10000,DATA!$M$3:$M$10000),"No encontrado"))</f>
        <v/>
      </c>
      <c r="D2623" s="24" t="str">
        <f aca="false">IF(A2623="","",IFERROR(buscarx(A2623&amp;B2623,DATA!$E$3:$E$10000&amp;DATA!$B$3:$B$10000,DATA!$W$3:$W$10000),"No encontrado"))</f>
        <v/>
      </c>
      <c r="E2623" s="22"/>
      <c r="F2623" s="23" t="str">
        <f aca="false">IF(A2623="","",IFERROR(buscarx(A2623&amp;E2623,DATA!$E$3:$E$10000&amp;DATA!$B$3:$B$10000,DATA!$M$3:$M$10000),"Inactivo"))</f>
        <v/>
      </c>
      <c r="G2623" s="25" t="str">
        <f aca="false">IF(A2623="","",IF(AND(C2623&lt;&gt;"No encontrado",F2623&lt;&gt;"Inactivo"),C2623&amp;" → "&amp;F2623,"Sin transición"))</f>
        <v/>
      </c>
      <c r="H2623" s="23" t="str">
        <f aca="false">IF(A2623="","",IF(D2623="GCIA LINEA SERVICIO DIGITALIDAD Y VENTAS","Chats",IF(OR(D2623="GERENCIA INBOUND LÍNEAS SERVICIO Y VENTA",D2623="GERENCIA INBOUND LINEAS ESPECIALIZADAS"),"Llamadas","Otro")))</f>
        <v/>
      </c>
      <c r="I2623" s="23" t="str">
        <f aca="false">IF(A2623="","",IF(C2623="No encontrado","No","Sí"))</f>
        <v/>
      </c>
      <c r="J2623" s="23" t="str">
        <f aca="false">IF(A2623="","",IF(F2623="Inactivo","No","Sí"))</f>
        <v/>
      </c>
      <c r="K2623" s="23" t="str">
        <f aca="false">IF(A2623="","",IF(AND(I2623="Sí",J2623="Sí"),"Sí","No"))</f>
        <v/>
      </c>
    </row>
    <row r="2624" customFormat="false" ht="15" hidden="false" customHeight="false" outlineLevel="0" collapsed="false">
      <c r="A2624" s="22"/>
      <c r="B2624" s="22"/>
      <c r="C2624" s="26" t="str">
        <f aca="false">IF(A2624="","",IFERROR(buscarx(A2624&amp;B2624,DATA!$E$3:$E$10000&amp;DATA!$B$3:$B$10000,DATA!$M$3:$M$10000),"No encontrado"))</f>
        <v/>
      </c>
      <c r="D2624" s="27" t="str">
        <f aca="false">IF(A2624="","",IFERROR(buscarx(A2624&amp;B2624,DATA!$E$3:$E$10000&amp;DATA!$B$3:$B$10000,DATA!$W$3:$W$10000),"No encontrado"))</f>
        <v/>
      </c>
      <c r="E2624" s="22"/>
      <c r="F2624" s="26" t="str">
        <f aca="false">IF(A2624="","",IFERROR(buscarx(A2624&amp;E2624,DATA!$E$3:$E$10000&amp;DATA!$B$3:$B$10000,DATA!$M$3:$M$10000),"Inactivo"))</f>
        <v/>
      </c>
      <c r="G2624" s="28" t="str">
        <f aca="false">IF(A2624="","",IF(AND(C2624&lt;&gt;"No encontrado",F2624&lt;&gt;"Inactivo"),C2624&amp;" → "&amp;F2624,"Sin transición"))</f>
        <v/>
      </c>
      <c r="H2624" s="26" t="str">
        <f aca="false">IF(A2624="","",IF(D2624="GCIA LINEA SERVICIO DIGITALIDAD Y VENTAS","Chats",IF(OR(D2624="GERENCIA INBOUND LÍNEAS SERVICIO Y VENTA",D2624="GERENCIA INBOUND LINEAS ESPECIALIZADAS"),"Llamadas","Otro")))</f>
        <v/>
      </c>
      <c r="I2624" s="26" t="str">
        <f aca="false">IF(A2624="","",IF(C2624="No encontrado","No","Sí"))</f>
        <v/>
      </c>
      <c r="J2624" s="26" t="str">
        <f aca="false">IF(A2624="","",IF(F2624="Inactivo","No","Sí"))</f>
        <v/>
      </c>
      <c r="K2624" s="26" t="str">
        <f aca="false">IF(A2624="","",IF(AND(I2624="Sí",J2624="Sí"),"Sí","No"))</f>
        <v/>
      </c>
    </row>
    <row r="2625" customFormat="false" ht="15" hidden="false" customHeight="false" outlineLevel="0" collapsed="false">
      <c r="A2625" s="22"/>
      <c r="B2625" s="22"/>
      <c r="C2625" s="23" t="str">
        <f aca="false">IF(A2625="","",IFERROR(buscarx(A2625&amp;B2625,DATA!$E$3:$E$10000&amp;DATA!$B$3:$B$10000,DATA!$M$3:$M$10000),"No encontrado"))</f>
        <v/>
      </c>
      <c r="D2625" s="24" t="str">
        <f aca="false">IF(A2625="","",IFERROR(buscarx(A2625&amp;B2625,DATA!$E$3:$E$10000&amp;DATA!$B$3:$B$10000,DATA!$W$3:$W$10000),"No encontrado"))</f>
        <v/>
      </c>
      <c r="E2625" s="22"/>
      <c r="F2625" s="23" t="str">
        <f aca="false">IF(A2625="","",IFERROR(buscarx(A2625&amp;E2625,DATA!$E$3:$E$10000&amp;DATA!$B$3:$B$10000,DATA!$M$3:$M$10000),"Inactivo"))</f>
        <v/>
      </c>
      <c r="G2625" s="25" t="str">
        <f aca="false">IF(A2625="","",IF(AND(C2625&lt;&gt;"No encontrado",F2625&lt;&gt;"Inactivo"),C2625&amp;" → "&amp;F2625,"Sin transición"))</f>
        <v/>
      </c>
      <c r="H2625" s="23" t="str">
        <f aca="false">IF(A2625="","",IF(D2625="GCIA LINEA SERVICIO DIGITALIDAD Y VENTAS","Chats",IF(OR(D2625="GERENCIA INBOUND LÍNEAS SERVICIO Y VENTA",D2625="GERENCIA INBOUND LINEAS ESPECIALIZADAS"),"Llamadas","Otro")))</f>
        <v/>
      </c>
      <c r="I2625" s="23" t="str">
        <f aca="false">IF(A2625="","",IF(C2625="No encontrado","No","Sí"))</f>
        <v/>
      </c>
      <c r="J2625" s="23" t="str">
        <f aca="false">IF(A2625="","",IF(F2625="Inactivo","No","Sí"))</f>
        <v/>
      </c>
      <c r="K2625" s="23" t="str">
        <f aca="false">IF(A2625="","",IF(AND(I2625="Sí",J2625="Sí"),"Sí","No"))</f>
        <v/>
      </c>
    </row>
    <row r="2626" customFormat="false" ht="15" hidden="false" customHeight="false" outlineLevel="0" collapsed="false">
      <c r="A2626" s="22"/>
      <c r="B2626" s="22"/>
      <c r="C2626" s="26" t="str">
        <f aca="false">IF(A2626="","",IFERROR(buscarx(A2626&amp;B2626,DATA!$E$3:$E$10000&amp;DATA!$B$3:$B$10000,DATA!$M$3:$M$10000),"No encontrado"))</f>
        <v/>
      </c>
      <c r="D2626" s="27" t="str">
        <f aca="false">IF(A2626="","",IFERROR(buscarx(A2626&amp;B2626,DATA!$E$3:$E$10000&amp;DATA!$B$3:$B$10000,DATA!$W$3:$W$10000),"No encontrado"))</f>
        <v/>
      </c>
      <c r="E2626" s="22"/>
      <c r="F2626" s="26" t="str">
        <f aca="false">IF(A2626="","",IFERROR(buscarx(A2626&amp;E2626,DATA!$E$3:$E$10000&amp;DATA!$B$3:$B$10000,DATA!$M$3:$M$10000),"Inactivo"))</f>
        <v/>
      </c>
      <c r="G2626" s="28" t="str">
        <f aca="false">IF(A2626="","",IF(AND(C2626&lt;&gt;"No encontrado",F2626&lt;&gt;"Inactivo"),C2626&amp;" → "&amp;F2626,"Sin transición"))</f>
        <v/>
      </c>
      <c r="H2626" s="26" t="str">
        <f aca="false">IF(A2626="","",IF(D2626="GCIA LINEA SERVICIO DIGITALIDAD Y VENTAS","Chats",IF(OR(D2626="GERENCIA INBOUND LÍNEAS SERVICIO Y VENTA",D2626="GERENCIA INBOUND LINEAS ESPECIALIZADAS"),"Llamadas","Otro")))</f>
        <v/>
      </c>
      <c r="I2626" s="26" t="str">
        <f aca="false">IF(A2626="","",IF(C2626="No encontrado","No","Sí"))</f>
        <v/>
      </c>
      <c r="J2626" s="26" t="str">
        <f aca="false">IF(A2626="","",IF(F2626="Inactivo","No","Sí"))</f>
        <v/>
      </c>
      <c r="K2626" s="26" t="str">
        <f aca="false">IF(A2626="","",IF(AND(I2626="Sí",J2626="Sí"),"Sí","No"))</f>
        <v/>
      </c>
    </row>
    <row r="2627" customFormat="false" ht="15" hidden="false" customHeight="false" outlineLevel="0" collapsed="false">
      <c r="A2627" s="22"/>
      <c r="B2627" s="22"/>
      <c r="C2627" s="23" t="str">
        <f aca="false">IF(A2627="","",IFERROR(buscarx(A2627&amp;B2627,DATA!$E$3:$E$10000&amp;DATA!$B$3:$B$10000,DATA!$M$3:$M$10000),"No encontrado"))</f>
        <v/>
      </c>
      <c r="D2627" s="24" t="str">
        <f aca="false">IF(A2627="","",IFERROR(buscarx(A2627&amp;B2627,DATA!$E$3:$E$10000&amp;DATA!$B$3:$B$10000,DATA!$W$3:$W$10000),"No encontrado"))</f>
        <v/>
      </c>
      <c r="E2627" s="22"/>
      <c r="F2627" s="23" t="str">
        <f aca="false">IF(A2627="","",IFERROR(buscarx(A2627&amp;E2627,DATA!$E$3:$E$10000&amp;DATA!$B$3:$B$10000,DATA!$M$3:$M$10000),"Inactivo"))</f>
        <v/>
      </c>
      <c r="G2627" s="25" t="str">
        <f aca="false">IF(A2627="","",IF(AND(C2627&lt;&gt;"No encontrado",F2627&lt;&gt;"Inactivo"),C2627&amp;" → "&amp;F2627,"Sin transición"))</f>
        <v/>
      </c>
      <c r="H2627" s="23" t="str">
        <f aca="false">IF(A2627="","",IF(D2627="GCIA LINEA SERVICIO DIGITALIDAD Y VENTAS","Chats",IF(OR(D2627="GERENCIA INBOUND LÍNEAS SERVICIO Y VENTA",D2627="GERENCIA INBOUND LINEAS ESPECIALIZADAS"),"Llamadas","Otro")))</f>
        <v/>
      </c>
      <c r="I2627" s="23" t="str">
        <f aca="false">IF(A2627="","",IF(C2627="No encontrado","No","Sí"))</f>
        <v/>
      </c>
      <c r="J2627" s="23" t="str">
        <f aca="false">IF(A2627="","",IF(F2627="Inactivo","No","Sí"))</f>
        <v/>
      </c>
      <c r="K2627" s="23" t="str">
        <f aca="false">IF(A2627="","",IF(AND(I2627="Sí",J2627="Sí"),"Sí","No"))</f>
        <v/>
      </c>
    </row>
    <row r="2628" customFormat="false" ht="15" hidden="false" customHeight="false" outlineLevel="0" collapsed="false">
      <c r="A2628" s="22"/>
      <c r="B2628" s="22"/>
      <c r="C2628" s="26" t="str">
        <f aca="false">IF(A2628="","",IFERROR(buscarx(A2628&amp;B2628,DATA!$E$3:$E$10000&amp;DATA!$B$3:$B$10000,DATA!$M$3:$M$10000),"No encontrado"))</f>
        <v/>
      </c>
      <c r="D2628" s="27" t="str">
        <f aca="false">IF(A2628="","",IFERROR(buscarx(A2628&amp;B2628,DATA!$E$3:$E$10000&amp;DATA!$B$3:$B$10000,DATA!$W$3:$W$10000),"No encontrado"))</f>
        <v/>
      </c>
      <c r="E2628" s="22"/>
      <c r="F2628" s="26" t="str">
        <f aca="false">IF(A2628="","",IFERROR(buscarx(A2628&amp;E2628,DATA!$E$3:$E$10000&amp;DATA!$B$3:$B$10000,DATA!$M$3:$M$10000),"Inactivo"))</f>
        <v/>
      </c>
      <c r="G2628" s="28" t="str">
        <f aca="false">IF(A2628="","",IF(AND(C2628&lt;&gt;"No encontrado",F2628&lt;&gt;"Inactivo"),C2628&amp;" → "&amp;F2628,"Sin transición"))</f>
        <v/>
      </c>
      <c r="H2628" s="26" t="str">
        <f aca="false">IF(A2628="","",IF(D2628="GCIA LINEA SERVICIO DIGITALIDAD Y VENTAS","Chats",IF(OR(D2628="GERENCIA INBOUND LÍNEAS SERVICIO Y VENTA",D2628="GERENCIA INBOUND LINEAS ESPECIALIZADAS"),"Llamadas","Otro")))</f>
        <v/>
      </c>
      <c r="I2628" s="26" t="str">
        <f aca="false">IF(A2628="","",IF(C2628="No encontrado","No","Sí"))</f>
        <v/>
      </c>
      <c r="J2628" s="26" t="str">
        <f aca="false">IF(A2628="","",IF(F2628="Inactivo","No","Sí"))</f>
        <v/>
      </c>
      <c r="K2628" s="26" t="str">
        <f aca="false">IF(A2628="","",IF(AND(I2628="Sí",J2628="Sí"),"Sí","No"))</f>
        <v/>
      </c>
    </row>
    <row r="2629" customFormat="false" ht="15" hidden="false" customHeight="false" outlineLevel="0" collapsed="false">
      <c r="A2629" s="22"/>
      <c r="B2629" s="22"/>
      <c r="C2629" s="23" t="str">
        <f aca="false">IF(A2629="","",IFERROR(buscarx(A2629&amp;B2629,DATA!$E$3:$E$10000&amp;DATA!$B$3:$B$10000,DATA!$M$3:$M$10000),"No encontrado"))</f>
        <v/>
      </c>
      <c r="D2629" s="24" t="str">
        <f aca="false">IF(A2629="","",IFERROR(buscarx(A2629&amp;B2629,DATA!$E$3:$E$10000&amp;DATA!$B$3:$B$10000,DATA!$W$3:$W$10000),"No encontrado"))</f>
        <v/>
      </c>
      <c r="E2629" s="22"/>
      <c r="F2629" s="23" t="str">
        <f aca="false">IF(A2629="","",IFERROR(buscarx(A2629&amp;E2629,DATA!$E$3:$E$10000&amp;DATA!$B$3:$B$10000,DATA!$M$3:$M$10000),"Inactivo"))</f>
        <v/>
      </c>
      <c r="G2629" s="25" t="str">
        <f aca="false">IF(A2629="","",IF(AND(C2629&lt;&gt;"No encontrado",F2629&lt;&gt;"Inactivo"),C2629&amp;" → "&amp;F2629,"Sin transición"))</f>
        <v/>
      </c>
      <c r="H2629" s="23" t="str">
        <f aca="false">IF(A2629="","",IF(D2629="GCIA LINEA SERVICIO DIGITALIDAD Y VENTAS","Chats",IF(OR(D2629="GERENCIA INBOUND LÍNEAS SERVICIO Y VENTA",D2629="GERENCIA INBOUND LINEAS ESPECIALIZADAS"),"Llamadas","Otro")))</f>
        <v/>
      </c>
      <c r="I2629" s="23" t="str">
        <f aca="false">IF(A2629="","",IF(C2629="No encontrado","No","Sí"))</f>
        <v/>
      </c>
      <c r="J2629" s="23" t="str">
        <f aca="false">IF(A2629="","",IF(F2629="Inactivo","No","Sí"))</f>
        <v/>
      </c>
      <c r="K2629" s="23" t="str">
        <f aca="false">IF(A2629="","",IF(AND(I2629="Sí",J2629="Sí"),"Sí","No"))</f>
        <v/>
      </c>
    </row>
    <row r="2630" customFormat="false" ht="15" hidden="false" customHeight="false" outlineLevel="0" collapsed="false">
      <c r="A2630" s="22"/>
      <c r="B2630" s="22"/>
      <c r="C2630" s="26" t="str">
        <f aca="false">IF(A2630="","",IFERROR(buscarx(A2630&amp;B2630,DATA!$E$3:$E$10000&amp;DATA!$B$3:$B$10000,DATA!$M$3:$M$10000),"No encontrado"))</f>
        <v/>
      </c>
      <c r="D2630" s="27" t="str">
        <f aca="false">IF(A2630="","",IFERROR(buscarx(A2630&amp;B2630,DATA!$E$3:$E$10000&amp;DATA!$B$3:$B$10000,DATA!$W$3:$W$10000),"No encontrado"))</f>
        <v/>
      </c>
      <c r="E2630" s="22"/>
      <c r="F2630" s="26" t="str">
        <f aca="false">IF(A2630="","",IFERROR(buscarx(A2630&amp;E2630,DATA!$E$3:$E$10000&amp;DATA!$B$3:$B$10000,DATA!$M$3:$M$10000),"Inactivo"))</f>
        <v/>
      </c>
      <c r="G2630" s="28" t="str">
        <f aca="false">IF(A2630="","",IF(AND(C2630&lt;&gt;"No encontrado",F2630&lt;&gt;"Inactivo"),C2630&amp;" → "&amp;F2630,"Sin transición"))</f>
        <v/>
      </c>
      <c r="H2630" s="26" t="str">
        <f aca="false">IF(A2630="","",IF(D2630="GCIA LINEA SERVICIO DIGITALIDAD Y VENTAS","Chats",IF(OR(D2630="GERENCIA INBOUND LÍNEAS SERVICIO Y VENTA",D2630="GERENCIA INBOUND LINEAS ESPECIALIZADAS"),"Llamadas","Otro")))</f>
        <v/>
      </c>
      <c r="I2630" s="26" t="str">
        <f aca="false">IF(A2630="","",IF(C2630="No encontrado","No","Sí"))</f>
        <v/>
      </c>
      <c r="J2630" s="26" t="str">
        <f aca="false">IF(A2630="","",IF(F2630="Inactivo","No","Sí"))</f>
        <v/>
      </c>
      <c r="K2630" s="26" t="str">
        <f aca="false">IF(A2630="","",IF(AND(I2630="Sí",J2630="Sí"),"Sí","No"))</f>
        <v/>
      </c>
    </row>
    <row r="2631" customFormat="false" ht="15" hidden="false" customHeight="false" outlineLevel="0" collapsed="false">
      <c r="A2631" s="22"/>
      <c r="B2631" s="22"/>
      <c r="C2631" s="23" t="str">
        <f aca="false">IF(A2631="","",IFERROR(buscarx(A2631&amp;B2631,DATA!$E$3:$E$10000&amp;DATA!$B$3:$B$10000,DATA!$M$3:$M$10000),"No encontrado"))</f>
        <v/>
      </c>
      <c r="D2631" s="24" t="str">
        <f aca="false">IF(A2631="","",IFERROR(buscarx(A2631&amp;B2631,DATA!$E$3:$E$10000&amp;DATA!$B$3:$B$10000,DATA!$W$3:$W$10000),"No encontrado"))</f>
        <v/>
      </c>
      <c r="E2631" s="22"/>
      <c r="F2631" s="23" t="str">
        <f aca="false">IF(A2631="","",IFERROR(buscarx(A2631&amp;E2631,DATA!$E$3:$E$10000&amp;DATA!$B$3:$B$10000,DATA!$M$3:$M$10000),"Inactivo"))</f>
        <v/>
      </c>
      <c r="G2631" s="25" t="str">
        <f aca="false">IF(A2631="","",IF(AND(C2631&lt;&gt;"No encontrado",F2631&lt;&gt;"Inactivo"),C2631&amp;" → "&amp;F2631,"Sin transición"))</f>
        <v/>
      </c>
      <c r="H2631" s="23" t="str">
        <f aca="false">IF(A2631="","",IF(D2631="GCIA LINEA SERVICIO DIGITALIDAD Y VENTAS","Chats",IF(OR(D2631="GERENCIA INBOUND LÍNEAS SERVICIO Y VENTA",D2631="GERENCIA INBOUND LINEAS ESPECIALIZADAS"),"Llamadas","Otro")))</f>
        <v/>
      </c>
      <c r="I2631" s="23" t="str">
        <f aca="false">IF(A2631="","",IF(C2631="No encontrado","No","Sí"))</f>
        <v/>
      </c>
      <c r="J2631" s="23" t="str">
        <f aca="false">IF(A2631="","",IF(F2631="Inactivo","No","Sí"))</f>
        <v/>
      </c>
      <c r="K2631" s="23" t="str">
        <f aca="false">IF(A2631="","",IF(AND(I2631="Sí",J2631="Sí"),"Sí","No"))</f>
        <v/>
      </c>
    </row>
    <row r="2632" customFormat="false" ht="15" hidden="false" customHeight="false" outlineLevel="0" collapsed="false">
      <c r="A2632" s="22"/>
      <c r="B2632" s="22"/>
      <c r="C2632" s="26" t="str">
        <f aca="false">IF(A2632="","",IFERROR(buscarx(A2632&amp;B2632,DATA!$E$3:$E$10000&amp;DATA!$B$3:$B$10000,DATA!$M$3:$M$10000),"No encontrado"))</f>
        <v/>
      </c>
      <c r="D2632" s="27" t="str">
        <f aca="false">IF(A2632="","",IFERROR(buscarx(A2632&amp;B2632,DATA!$E$3:$E$10000&amp;DATA!$B$3:$B$10000,DATA!$W$3:$W$10000),"No encontrado"))</f>
        <v/>
      </c>
      <c r="E2632" s="22"/>
      <c r="F2632" s="26" t="str">
        <f aca="false">IF(A2632="","",IFERROR(buscarx(A2632&amp;E2632,DATA!$E$3:$E$10000&amp;DATA!$B$3:$B$10000,DATA!$M$3:$M$10000),"Inactivo"))</f>
        <v/>
      </c>
      <c r="G2632" s="28" t="str">
        <f aca="false">IF(A2632="","",IF(AND(C2632&lt;&gt;"No encontrado",F2632&lt;&gt;"Inactivo"),C2632&amp;" → "&amp;F2632,"Sin transición"))</f>
        <v/>
      </c>
      <c r="H2632" s="26" t="str">
        <f aca="false">IF(A2632="","",IF(D2632="GCIA LINEA SERVICIO DIGITALIDAD Y VENTAS","Chats",IF(OR(D2632="GERENCIA INBOUND LÍNEAS SERVICIO Y VENTA",D2632="GERENCIA INBOUND LINEAS ESPECIALIZADAS"),"Llamadas","Otro")))</f>
        <v/>
      </c>
      <c r="I2632" s="26" t="str">
        <f aca="false">IF(A2632="","",IF(C2632="No encontrado","No","Sí"))</f>
        <v/>
      </c>
      <c r="J2632" s="26" t="str">
        <f aca="false">IF(A2632="","",IF(F2632="Inactivo","No","Sí"))</f>
        <v/>
      </c>
      <c r="K2632" s="26" t="str">
        <f aca="false">IF(A2632="","",IF(AND(I2632="Sí",J2632="Sí"),"Sí","No"))</f>
        <v/>
      </c>
    </row>
    <row r="2633" customFormat="false" ht="15" hidden="false" customHeight="false" outlineLevel="0" collapsed="false">
      <c r="A2633" s="22"/>
      <c r="B2633" s="22"/>
      <c r="C2633" s="23" t="str">
        <f aca="false">IF(A2633="","",IFERROR(buscarx(A2633&amp;B2633,DATA!$E$3:$E$10000&amp;DATA!$B$3:$B$10000,DATA!$M$3:$M$10000),"No encontrado"))</f>
        <v/>
      </c>
      <c r="D2633" s="24" t="str">
        <f aca="false">IF(A2633="","",IFERROR(buscarx(A2633&amp;B2633,DATA!$E$3:$E$10000&amp;DATA!$B$3:$B$10000,DATA!$W$3:$W$10000),"No encontrado"))</f>
        <v/>
      </c>
      <c r="E2633" s="22"/>
      <c r="F2633" s="23" t="str">
        <f aca="false">IF(A2633="","",IFERROR(buscarx(A2633&amp;E2633,DATA!$E$3:$E$10000&amp;DATA!$B$3:$B$10000,DATA!$M$3:$M$10000),"Inactivo"))</f>
        <v/>
      </c>
      <c r="G2633" s="25" t="str">
        <f aca="false">IF(A2633="","",IF(AND(C2633&lt;&gt;"No encontrado",F2633&lt;&gt;"Inactivo"),C2633&amp;" → "&amp;F2633,"Sin transición"))</f>
        <v/>
      </c>
      <c r="H2633" s="23" t="str">
        <f aca="false">IF(A2633="","",IF(D2633="GCIA LINEA SERVICIO DIGITALIDAD Y VENTAS","Chats",IF(OR(D2633="GERENCIA INBOUND LÍNEAS SERVICIO Y VENTA",D2633="GERENCIA INBOUND LINEAS ESPECIALIZADAS"),"Llamadas","Otro")))</f>
        <v/>
      </c>
      <c r="I2633" s="23" t="str">
        <f aca="false">IF(A2633="","",IF(C2633="No encontrado","No","Sí"))</f>
        <v/>
      </c>
      <c r="J2633" s="23" t="str">
        <f aca="false">IF(A2633="","",IF(F2633="Inactivo","No","Sí"))</f>
        <v/>
      </c>
      <c r="K2633" s="23" t="str">
        <f aca="false">IF(A2633="","",IF(AND(I2633="Sí",J2633="Sí"),"Sí","No"))</f>
        <v/>
      </c>
    </row>
    <row r="2634" customFormat="false" ht="15" hidden="false" customHeight="false" outlineLevel="0" collapsed="false">
      <c r="A2634" s="22"/>
      <c r="B2634" s="22"/>
      <c r="C2634" s="26" t="str">
        <f aca="false">IF(A2634="","",IFERROR(buscarx(A2634&amp;B2634,DATA!$E$3:$E$10000&amp;DATA!$B$3:$B$10000,DATA!$M$3:$M$10000),"No encontrado"))</f>
        <v/>
      </c>
      <c r="D2634" s="27" t="str">
        <f aca="false">IF(A2634="","",IFERROR(buscarx(A2634&amp;B2634,DATA!$E$3:$E$10000&amp;DATA!$B$3:$B$10000,DATA!$W$3:$W$10000),"No encontrado"))</f>
        <v/>
      </c>
      <c r="E2634" s="22"/>
      <c r="F2634" s="26" t="str">
        <f aca="false">IF(A2634="","",IFERROR(buscarx(A2634&amp;E2634,DATA!$E$3:$E$10000&amp;DATA!$B$3:$B$10000,DATA!$M$3:$M$10000),"Inactivo"))</f>
        <v/>
      </c>
      <c r="G2634" s="28" t="str">
        <f aca="false">IF(A2634="","",IF(AND(C2634&lt;&gt;"No encontrado",F2634&lt;&gt;"Inactivo"),C2634&amp;" → "&amp;F2634,"Sin transición"))</f>
        <v/>
      </c>
      <c r="H2634" s="26" t="str">
        <f aca="false">IF(A2634="","",IF(D2634="GCIA LINEA SERVICIO DIGITALIDAD Y VENTAS","Chats",IF(OR(D2634="GERENCIA INBOUND LÍNEAS SERVICIO Y VENTA",D2634="GERENCIA INBOUND LINEAS ESPECIALIZADAS"),"Llamadas","Otro")))</f>
        <v/>
      </c>
      <c r="I2634" s="26" t="str">
        <f aca="false">IF(A2634="","",IF(C2634="No encontrado","No","Sí"))</f>
        <v/>
      </c>
      <c r="J2634" s="26" t="str">
        <f aca="false">IF(A2634="","",IF(F2634="Inactivo","No","Sí"))</f>
        <v/>
      </c>
      <c r="K2634" s="26" t="str">
        <f aca="false">IF(A2634="","",IF(AND(I2634="Sí",J2634="Sí"),"Sí","No"))</f>
        <v/>
      </c>
    </row>
    <row r="2635" customFormat="false" ht="15" hidden="false" customHeight="false" outlineLevel="0" collapsed="false">
      <c r="A2635" s="22"/>
      <c r="B2635" s="22"/>
      <c r="C2635" s="23" t="str">
        <f aca="false">IF(A2635="","",IFERROR(buscarx(A2635&amp;B2635,DATA!$E$3:$E$10000&amp;DATA!$B$3:$B$10000,DATA!$M$3:$M$10000),"No encontrado"))</f>
        <v/>
      </c>
      <c r="D2635" s="24" t="str">
        <f aca="false">IF(A2635="","",IFERROR(buscarx(A2635&amp;B2635,DATA!$E$3:$E$10000&amp;DATA!$B$3:$B$10000,DATA!$W$3:$W$10000),"No encontrado"))</f>
        <v/>
      </c>
      <c r="E2635" s="22"/>
      <c r="F2635" s="23" t="str">
        <f aca="false">IF(A2635="","",IFERROR(buscarx(A2635&amp;E2635,DATA!$E$3:$E$10000&amp;DATA!$B$3:$B$10000,DATA!$M$3:$M$10000),"Inactivo"))</f>
        <v/>
      </c>
      <c r="G2635" s="25" t="str">
        <f aca="false">IF(A2635="","",IF(AND(C2635&lt;&gt;"No encontrado",F2635&lt;&gt;"Inactivo"),C2635&amp;" → "&amp;F2635,"Sin transición"))</f>
        <v/>
      </c>
      <c r="H2635" s="23" t="str">
        <f aca="false">IF(A2635="","",IF(D2635="GCIA LINEA SERVICIO DIGITALIDAD Y VENTAS","Chats",IF(OR(D2635="GERENCIA INBOUND LÍNEAS SERVICIO Y VENTA",D2635="GERENCIA INBOUND LINEAS ESPECIALIZADAS"),"Llamadas","Otro")))</f>
        <v/>
      </c>
      <c r="I2635" s="23" t="str">
        <f aca="false">IF(A2635="","",IF(C2635="No encontrado","No","Sí"))</f>
        <v/>
      </c>
      <c r="J2635" s="23" t="str">
        <f aca="false">IF(A2635="","",IF(F2635="Inactivo","No","Sí"))</f>
        <v/>
      </c>
      <c r="K2635" s="23" t="str">
        <f aca="false">IF(A2635="","",IF(AND(I2635="Sí",J2635="Sí"),"Sí","No"))</f>
        <v/>
      </c>
    </row>
    <row r="2636" customFormat="false" ht="15" hidden="false" customHeight="false" outlineLevel="0" collapsed="false">
      <c r="A2636" s="22"/>
      <c r="B2636" s="22"/>
      <c r="C2636" s="26" t="str">
        <f aca="false">IF(A2636="","",IFERROR(buscarx(A2636&amp;B2636,DATA!$E$3:$E$10000&amp;DATA!$B$3:$B$10000,DATA!$M$3:$M$10000),"No encontrado"))</f>
        <v/>
      </c>
      <c r="D2636" s="27" t="str">
        <f aca="false">IF(A2636="","",IFERROR(buscarx(A2636&amp;B2636,DATA!$E$3:$E$10000&amp;DATA!$B$3:$B$10000,DATA!$W$3:$W$10000),"No encontrado"))</f>
        <v/>
      </c>
      <c r="E2636" s="22"/>
      <c r="F2636" s="26" t="str">
        <f aca="false">IF(A2636="","",IFERROR(buscarx(A2636&amp;E2636,DATA!$E$3:$E$10000&amp;DATA!$B$3:$B$10000,DATA!$M$3:$M$10000),"Inactivo"))</f>
        <v/>
      </c>
      <c r="G2636" s="28" t="str">
        <f aca="false">IF(A2636="","",IF(AND(C2636&lt;&gt;"No encontrado",F2636&lt;&gt;"Inactivo"),C2636&amp;" → "&amp;F2636,"Sin transición"))</f>
        <v/>
      </c>
      <c r="H2636" s="26" t="str">
        <f aca="false">IF(A2636="","",IF(D2636="GCIA LINEA SERVICIO DIGITALIDAD Y VENTAS","Chats",IF(OR(D2636="GERENCIA INBOUND LÍNEAS SERVICIO Y VENTA",D2636="GERENCIA INBOUND LINEAS ESPECIALIZADAS"),"Llamadas","Otro")))</f>
        <v/>
      </c>
      <c r="I2636" s="26" t="str">
        <f aca="false">IF(A2636="","",IF(C2636="No encontrado","No","Sí"))</f>
        <v/>
      </c>
      <c r="J2636" s="26" t="str">
        <f aca="false">IF(A2636="","",IF(F2636="Inactivo","No","Sí"))</f>
        <v/>
      </c>
      <c r="K2636" s="26" t="str">
        <f aca="false">IF(A2636="","",IF(AND(I2636="Sí",J2636="Sí"),"Sí","No"))</f>
        <v/>
      </c>
    </row>
    <row r="2637" customFormat="false" ht="15" hidden="false" customHeight="false" outlineLevel="0" collapsed="false">
      <c r="A2637" s="22"/>
      <c r="B2637" s="22"/>
      <c r="C2637" s="23" t="str">
        <f aca="false">IF(A2637="","",IFERROR(buscarx(A2637&amp;B2637,DATA!$E$3:$E$10000&amp;DATA!$B$3:$B$10000,DATA!$M$3:$M$10000),"No encontrado"))</f>
        <v/>
      </c>
      <c r="D2637" s="24" t="str">
        <f aca="false">IF(A2637="","",IFERROR(buscarx(A2637&amp;B2637,DATA!$E$3:$E$10000&amp;DATA!$B$3:$B$10000,DATA!$W$3:$W$10000),"No encontrado"))</f>
        <v/>
      </c>
      <c r="E2637" s="22"/>
      <c r="F2637" s="23" t="str">
        <f aca="false">IF(A2637="","",IFERROR(buscarx(A2637&amp;E2637,DATA!$E$3:$E$10000&amp;DATA!$B$3:$B$10000,DATA!$M$3:$M$10000),"Inactivo"))</f>
        <v/>
      </c>
      <c r="G2637" s="25" t="str">
        <f aca="false">IF(A2637="","",IF(AND(C2637&lt;&gt;"No encontrado",F2637&lt;&gt;"Inactivo"),C2637&amp;" → "&amp;F2637,"Sin transición"))</f>
        <v/>
      </c>
      <c r="H2637" s="23" t="str">
        <f aca="false">IF(A2637="","",IF(D2637="GCIA LINEA SERVICIO DIGITALIDAD Y VENTAS","Chats",IF(OR(D2637="GERENCIA INBOUND LÍNEAS SERVICIO Y VENTA",D2637="GERENCIA INBOUND LINEAS ESPECIALIZADAS"),"Llamadas","Otro")))</f>
        <v/>
      </c>
      <c r="I2637" s="23" t="str">
        <f aca="false">IF(A2637="","",IF(C2637="No encontrado","No","Sí"))</f>
        <v/>
      </c>
      <c r="J2637" s="23" t="str">
        <f aca="false">IF(A2637="","",IF(F2637="Inactivo","No","Sí"))</f>
        <v/>
      </c>
      <c r="K2637" s="23" t="str">
        <f aca="false">IF(A2637="","",IF(AND(I2637="Sí",J2637="Sí"),"Sí","No"))</f>
        <v/>
      </c>
    </row>
    <row r="2638" customFormat="false" ht="15" hidden="false" customHeight="false" outlineLevel="0" collapsed="false">
      <c r="A2638" s="22"/>
      <c r="B2638" s="22"/>
      <c r="C2638" s="26" t="str">
        <f aca="false">IF(A2638="","",IFERROR(buscarx(A2638&amp;B2638,DATA!$E$3:$E$10000&amp;DATA!$B$3:$B$10000,DATA!$M$3:$M$10000),"No encontrado"))</f>
        <v/>
      </c>
      <c r="D2638" s="27" t="str">
        <f aca="false">IF(A2638="","",IFERROR(buscarx(A2638&amp;B2638,DATA!$E$3:$E$10000&amp;DATA!$B$3:$B$10000,DATA!$W$3:$W$10000),"No encontrado"))</f>
        <v/>
      </c>
      <c r="E2638" s="22"/>
      <c r="F2638" s="26" t="str">
        <f aca="false">IF(A2638="","",IFERROR(buscarx(A2638&amp;E2638,DATA!$E$3:$E$10000&amp;DATA!$B$3:$B$10000,DATA!$M$3:$M$10000),"Inactivo"))</f>
        <v/>
      </c>
      <c r="G2638" s="28" t="str">
        <f aca="false">IF(A2638="","",IF(AND(C2638&lt;&gt;"No encontrado",F2638&lt;&gt;"Inactivo"),C2638&amp;" → "&amp;F2638,"Sin transición"))</f>
        <v/>
      </c>
      <c r="H2638" s="26" t="str">
        <f aca="false">IF(A2638="","",IF(D2638="GCIA LINEA SERVICIO DIGITALIDAD Y VENTAS","Chats",IF(OR(D2638="GERENCIA INBOUND LÍNEAS SERVICIO Y VENTA",D2638="GERENCIA INBOUND LINEAS ESPECIALIZADAS"),"Llamadas","Otro")))</f>
        <v/>
      </c>
      <c r="I2638" s="26" t="str">
        <f aca="false">IF(A2638="","",IF(C2638="No encontrado","No","Sí"))</f>
        <v/>
      </c>
      <c r="J2638" s="26" t="str">
        <f aca="false">IF(A2638="","",IF(F2638="Inactivo","No","Sí"))</f>
        <v/>
      </c>
      <c r="K2638" s="26" t="str">
        <f aca="false">IF(A2638="","",IF(AND(I2638="Sí",J2638="Sí"),"Sí","No"))</f>
        <v/>
      </c>
    </row>
    <row r="2639" customFormat="false" ht="15" hidden="false" customHeight="false" outlineLevel="0" collapsed="false">
      <c r="A2639" s="22"/>
      <c r="B2639" s="22"/>
      <c r="C2639" s="23" t="str">
        <f aca="false">IF(A2639="","",IFERROR(buscarx(A2639&amp;B2639,DATA!$E$3:$E$10000&amp;DATA!$B$3:$B$10000,DATA!$M$3:$M$10000),"No encontrado"))</f>
        <v/>
      </c>
      <c r="D2639" s="24" t="str">
        <f aca="false">IF(A2639="","",IFERROR(buscarx(A2639&amp;B2639,DATA!$E$3:$E$10000&amp;DATA!$B$3:$B$10000,DATA!$W$3:$W$10000),"No encontrado"))</f>
        <v/>
      </c>
      <c r="E2639" s="22"/>
      <c r="F2639" s="23" t="str">
        <f aca="false">IF(A2639="","",IFERROR(buscarx(A2639&amp;E2639,DATA!$E$3:$E$10000&amp;DATA!$B$3:$B$10000,DATA!$M$3:$M$10000),"Inactivo"))</f>
        <v/>
      </c>
      <c r="G2639" s="25" t="str">
        <f aca="false">IF(A2639="","",IF(AND(C2639&lt;&gt;"No encontrado",F2639&lt;&gt;"Inactivo"),C2639&amp;" → "&amp;F2639,"Sin transición"))</f>
        <v/>
      </c>
      <c r="H2639" s="23" t="str">
        <f aca="false">IF(A2639="","",IF(D2639="GCIA LINEA SERVICIO DIGITALIDAD Y VENTAS","Chats",IF(OR(D2639="GERENCIA INBOUND LÍNEAS SERVICIO Y VENTA",D2639="GERENCIA INBOUND LINEAS ESPECIALIZADAS"),"Llamadas","Otro")))</f>
        <v/>
      </c>
      <c r="I2639" s="23" t="str">
        <f aca="false">IF(A2639="","",IF(C2639="No encontrado","No","Sí"))</f>
        <v/>
      </c>
      <c r="J2639" s="23" t="str">
        <f aca="false">IF(A2639="","",IF(F2639="Inactivo","No","Sí"))</f>
        <v/>
      </c>
      <c r="K2639" s="23" t="str">
        <f aca="false">IF(A2639="","",IF(AND(I2639="Sí",J2639="Sí"),"Sí","No"))</f>
        <v/>
      </c>
    </row>
    <row r="2640" customFormat="false" ht="15" hidden="false" customHeight="false" outlineLevel="0" collapsed="false">
      <c r="A2640" s="22"/>
      <c r="B2640" s="22"/>
      <c r="C2640" s="26" t="str">
        <f aca="false">IF(A2640="","",IFERROR(buscarx(A2640&amp;B2640,DATA!$E$3:$E$10000&amp;DATA!$B$3:$B$10000,DATA!$M$3:$M$10000),"No encontrado"))</f>
        <v/>
      </c>
      <c r="D2640" s="27" t="str">
        <f aca="false">IF(A2640="","",IFERROR(buscarx(A2640&amp;B2640,DATA!$E$3:$E$10000&amp;DATA!$B$3:$B$10000,DATA!$W$3:$W$10000),"No encontrado"))</f>
        <v/>
      </c>
      <c r="E2640" s="22"/>
      <c r="F2640" s="26" t="str">
        <f aca="false">IF(A2640="","",IFERROR(buscarx(A2640&amp;E2640,DATA!$E$3:$E$10000&amp;DATA!$B$3:$B$10000,DATA!$M$3:$M$10000),"Inactivo"))</f>
        <v/>
      </c>
      <c r="G2640" s="28" t="str">
        <f aca="false">IF(A2640="","",IF(AND(C2640&lt;&gt;"No encontrado",F2640&lt;&gt;"Inactivo"),C2640&amp;" → "&amp;F2640,"Sin transición"))</f>
        <v/>
      </c>
      <c r="H2640" s="26" t="str">
        <f aca="false">IF(A2640="","",IF(D2640="GCIA LINEA SERVICIO DIGITALIDAD Y VENTAS","Chats",IF(OR(D2640="GERENCIA INBOUND LÍNEAS SERVICIO Y VENTA",D2640="GERENCIA INBOUND LINEAS ESPECIALIZADAS"),"Llamadas","Otro")))</f>
        <v/>
      </c>
      <c r="I2640" s="26" t="str">
        <f aca="false">IF(A2640="","",IF(C2640="No encontrado","No","Sí"))</f>
        <v/>
      </c>
      <c r="J2640" s="26" t="str">
        <f aca="false">IF(A2640="","",IF(F2640="Inactivo","No","Sí"))</f>
        <v/>
      </c>
      <c r="K2640" s="26" t="str">
        <f aca="false">IF(A2640="","",IF(AND(I2640="Sí",J2640="Sí"),"Sí","No"))</f>
        <v/>
      </c>
    </row>
    <row r="2641" customFormat="false" ht="15" hidden="false" customHeight="false" outlineLevel="0" collapsed="false">
      <c r="A2641" s="22"/>
      <c r="B2641" s="22"/>
      <c r="C2641" s="23" t="str">
        <f aca="false">IF(A2641="","",IFERROR(buscarx(A2641&amp;B2641,DATA!$E$3:$E$10000&amp;DATA!$B$3:$B$10000,DATA!$M$3:$M$10000),"No encontrado"))</f>
        <v/>
      </c>
      <c r="D2641" s="24" t="str">
        <f aca="false">IF(A2641="","",IFERROR(buscarx(A2641&amp;B2641,DATA!$E$3:$E$10000&amp;DATA!$B$3:$B$10000,DATA!$W$3:$W$10000),"No encontrado"))</f>
        <v/>
      </c>
      <c r="E2641" s="22"/>
      <c r="F2641" s="23" t="str">
        <f aca="false">IF(A2641="","",IFERROR(buscarx(A2641&amp;E2641,DATA!$E$3:$E$10000&amp;DATA!$B$3:$B$10000,DATA!$M$3:$M$10000),"Inactivo"))</f>
        <v/>
      </c>
      <c r="G2641" s="25" t="str">
        <f aca="false">IF(A2641="","",IF(AND(C2641&lt;&gt;"No encontrado",F2641&lt;&gt;"Inactivo"),C2641&amp;" → "&amp;F2641,"Sin transición"))</f>
        <v/>
      </c>
      <c r="H2641" s="23" t="str">
        <f aca="false">IF(A2641="","",IF(D2641="GCIA LINEA SERVICIO DIGITALIDAD Y VENTAS","Chats",IF(OR(D2641="GERENCIA INBOUND LÍNEAS SERVICIO Y VENTA",D2641="GERENCIA INBOUND LINEAS ESPECIALIZADAS"),"Llamadas","Otro")))</f>
        <v/>
      </c>
      <c r="I2641" s="23" t="str">
        <f aca="false">IF(A2641="","",IF(C2641="No encontrado","No","Sí"))</f>
        <v/>
      </c>
      <c r="J2641" s="23" t="str">
        <f aca="false">IF(A2641="","",IF(F2641="Inactivo","No","Sí"))</f>
        <v/>
      </c>
      <c r="K2641" s="23" t="str">
        <f aca="false">IF(A2641="","",IF(AND(I2641="Sí",J2641="Sí"),"Sí","No"))</f>
        <v/>
      </c>
    </row>
    <row r="2642" customFormat="false" ht="15" hidden="false" customHeight="false" outlineLevel="0" collapsed="false">
      <c r="A2642" s="22"/>
      <c r="B2642" s="22"/>
      <c r="C2642" s="26" t="str">
        <f aca="false">IF(A2642="","",IFERROR(buscarx(A2642&amp;B2642,DATA!$E$3:$E$10000&amp;DATA!$B$3:$B$10000,DATA!$M$3:$M$10000),"No encontrado"))</f>
        <v/>
      </c>
      <c r="D2642" s="27" t="str">
        <f aca="false">IF(A2642="","",IFERROR(buscarx(A2642&amp;B2642,DATA!$E$3:$E$10000&amp;DATA!$B$3:$B$10000,DATA!$W$3:$W$10000),"No encontrado"))</f>
        <v/>
      </c>
      <c r="E2642" s="22"/>
      <c r="F2642" s="26" t="str">
        <f aca="false">IF(A2642="","",IFERROR(buscarx(A2642&amp;E2642,DATA!$E$3:$E$10000&amp;DATA!$B$3:$B$10000,DATA!$M$3:$M$10000),"Inactivo"))</f>
        <v/>
      </c>
      <c r="G2642" s="28" t="str">
        <f aca="false">IF(A2642="","",IF(AND(C2642&lt;&gt;"No encontrado",F2642&lt;&gt;"Inactivo"),C2642&amp;" → "&amp;F2642,"Sin transición"))</f>
        <v/>
      </c>
      <c r="H2642" s="26" t="str">
        <f aca="false">IF(A2642="","",IF(D2642="GCIA LINEA SERVICIO DIGITALIDAD Y VENTAS","Chats",IF(OR(D2642="GERENCIA INBOUND LÍNEAS SERVICIO Y VENTA",D2642="GERENCIA INBOUND LINEAS ESPECIALIZADAS"),"Llamadas","Otro")))</f>
        <v/>
      </c>
      <c r="I2642" s="26" t="str">
        <f aca="false">IF(A2642="","",IF(C2642="No encontrado","No","Sí"))</f>
        <v/>
      </c>
      <c r="J2642" s="26" t="str">
        <f aca="false">IF(A2642="","",IF(F2642="Inactivo","No","Sí"))</f>
        <v/>
      </c>
      <c r="K2642" s="26" t="str">
        <f aca="false">IF(A2642="","",IF(AND(I2642="Sí",J2642="Sí"),"Sí","No"))</f>
        <v/>
      </c>
    </row>
    <row r="2643" customFormat="false" ht="15" hidden="false" customHeight="false" outlineLevel="0" collapsed="false">
      <c r="A2643" s="22"/>
      <c r="B2643" s="22"/>
      <c r="C2643" s="23" t="str">
        <f aca="false">IF(A2643="","",IFERROR(buscarx(A2643&amp;B2643,DATA!$E$3:$E$10000&amp;DATA!$B$3:$B$10000,DATA!$M$3:$M$10000),"No encontrado"))</f>
        <v/>
      </c>
      <c r="D2643" s="24" t="str">
        <f aca="false">IF(A2643="","",IFERROR(buscarx(A2643&amp;B2643,DATA!$E$3:$E$10000&amp;DATA!$B$3:$B$10000,DATA!$W$3:$W$10000),"No encontrado"))</f>
        <v/>
      </c>
      <c r="E2643" s="22"/>
      <c r="F2643" s="23" t="str">
        <f aca="false">IF(A2643="","",IFERROR(buscarx(A2643&amp;E2643,DATA!$E$3:$E$10000&amp;DATA!$B$3:$B$10000,DATA!$M$3:$M$10000),"Inactivo"))</f>
        <v/>
      </c>
      <c r="G2643" s="25" t="str">
        <f aca="false">IF(A2643="","",IF(AND(C2643&lt;&gt;"No encontrado",F2643&lt;&gt;"Inactivo"),C2643&amp;" → "&amp;F2643,"Sin transición"))</f>
        <v/>
      </c>
      <c r="H2643" s="23" t="str">
        <f aca="false">IF(A2643="","",IF(D2643="GCIA LINEA SERVICIO DIGITALIDAD Y VENTAS","Chats",IF(OR(D2643="GERENCIA INBOUND LÍNEAS SERVICIO Y VENTA",D2643="GERENCIA INBOUND LINEAS ESPECIALIZADAS"),"Llamadas","Otro")))</f>
        <v/>
      </c>
      <c r="I2643" s="23" t="str">
        <f aca="false">IF(A2643="","",IF(C2643="No encontrado","No","Sí"))</f>
        <v/>
      </c>
      <c r="J2643" s="23" t="str">
        <f aca="false">IF(A2643="","",IF(F2643="Inactivo","No","Sí"))</f>
        <v/>
      </c>
      <c r="K2643" s="23" t="str">
        <f aca="false">IF(A2643="","",IF(AND(I2643="Sí",J2643="Sí"),"Sí","No"))</f>
        <v/>
      </c>
    </row>
    <row r="2644" customFormat="false" ht="15" hidden="false" customHeight="false" outlineLevel="0" collapsed="false">
      <c r="A2644" s="22"/>
      <c r="B2644" s="22"/>
      <c r="C2644" s="26" t="str">
        <f aca="false">IF(A2644="","",IFERROR(buscarx(A2644&amp;B2644,DATA!$E$3:$E$10000&amp;DATA!$B$3:$B$10000,DATA!$M$3:$M$10000),"No encontrado"))</f>
        <v/>
      </c>
      <c r="D2644" s="27" t="str">
        <f aca="false">IF(A2644="","",IFERROR(buscarx(A2644&amp;B2644,DATA!$E$3:$E$10000&amp;DATA!$B$3:$B$10000,DATA!$W$3:$W$10000),"No encontrado"))</f>
        <v/>
      </c>
      <c r="E2644" s="22"/>
      <c r="F2644" s="26" t="str">
        <f aca="false">IF(A2644="","",IFERROR(buscarx(A2644&amp;E2644,DATA!$E$3:$E$10000&amp;DATA!$B$3:$B$10000,DATA!$M$3:$M$10000),"Inactivo"))</f>
        <v/>
      </c>
      <c r="G2644" s="28" t="str">
        <f aca="false">IF(A2644="","",IF(AND(C2644&lt;&gt;"No encontrado",F2644&lt;&gt;"Inactivo"),C2644&amp;" → "&amp;F2644,"Sin transición"))</f>
        <v/>
      </c>
      <c r="H2644" s="26" t="str">
        <f aca="false">IF(A2644="","",IF(D2644="GCIA LINEA SERVICIO DIGITALIDAD Y VENTAS","Chats",IF(OR(D2644="GERENCIA INBOUND LÍNEAS SERVICIO Y VENTA",D2644="GERENCIA INBOUND LINEAS ESPECIALIZADAS"),"Llamadas","Otro")))</f>
        <v/>
      </c>
      <c r="I2644" s="26" t="str">
        <f aca="false">IF(A2644="","",IF(C2644="No encontrado","No","Sí"))</f>
        <v/>
      </c>
      <c r="J2644" s="26" t="str">
        <f aca="false">IF(A2644="","",IF(F2644="Inactivo","No","Sí"))</f>
        <v/>
      </c>
      <c r="K2644" s="26" t="str">
        <f aca="false">IF(A2644="","",IF(AND(I2644="Sí",J2644="Sí"),"Sí","No"))</f>
        <v/>
      </c>
    </row>
    <row r="2645" customFormat="false" ht="15" hidden="false" customHeight="false" outlineLevel="0" collapsed="false">
      <c r="A2645" s="22"/>
      <c r="B2645" s="22"/>
      <c r="C2645" s="23" t="str">
        <f aca="false">IF(A2645="","",IFERROR(buscarx(A2645&amp;B2645,DATA!$E$3:$E$10000&amp;DATA!$B$3:$B$10000,DATA!$M$3:$M$10000),"No encontrado"))</f>
        <v/>
      </c>
      <c r="D2645" s="24" t="str">
        <f aca="false">IF(A2645="","",IFERROR(buscarx(A2645&amp;B2645,DATA!$E$3:$E$10000&amp;DATA!$B$3:$B$10000,DATA!$W$3:$W$10000),"No encontrado"))</f>
        <v/>
      </c>
      <c r="E2645" s="22"/>
      <c r="F2645" s="23" t="str">
        <f aca="false">IF(A2645="","",IFERROR(buscarx(A2645&amp;E2645,DATA!$E$3:$E$10000&amp;DATA!$B$3:$B$10000,DATA!$M$3:$M$10000),"Inactivo"))</f>
        <v/>
      </c>
      <c r="G2645" s="25" t="str">
        <f aca="false">IF(A2645="","",IF(AND(C2645&lt;&gt;"No encontrado",F2645&lt;&gt;"Inactivo"),C2645&amp;" → "&amp;F2645,"Sin transición"))</f>
        <v/>
      </c>
      <c r="H2645" s="23" t="str">
        <f aca="false">IF(A2645="","",IF(D2645="GCIA LINEA SERVICIO DIGITALIDAD Y VENTAS","Chats",IF(OR(D2645="GERENCIA INBOUND LÍNEAS SERVICIO Y VENTA",D2645="GERENCIA INBOUND LINEAS ESPECIALIZADAS"),"Llamadas","Otro")))</f>
        <v/>
      </c>
      <c r="I2645" s="23" t="str">
        <f aca="false">IF(A2645="","",IF(C2645="No encontrado","No","Sí"))</f>
        <v/>
      </c>
      <c r="J2645" s="23" t="str">
        <f aca="false">IF(A2645="","",IF(F2645="Inactivo","No","Sí"))</f>
        <v/>
      </c>
      <c r="K2645" s="23" t="str">
        <f aca="false">IF(A2645="","",IF(AND(I2645="Sí",J2645="Sí"),"Sí","No"))</f>
        <v/>
      </c>
    </row>
    <row r="2646" customFormat="false" ht="15" hidden="false" customHeight="false" outlineLevel="0" collapsed="false">
      <c r="A2646" s="22"/>
      <c r="B2646" s="22"/>
      <c r="C2646" s="26" t="str">
        <f aca="false">IF(A2646="","",IFERROR(buscarx(A2646&amp;B2646,DATA!$E$3:$E$10000&amp;DATA!$B$3:$B$10000,DATA!$M$3:$M$10000),"No encontrado"))</f>
        <v/>
      </c>
      <c r="D2646" s="27" t="str">
        <f aca="false">IF(A2646="","",IFERROR(buscarx(A2646&amp;B2646,DATA!$E$3:$E$10000&amp;DATA!$B$3:$B$10000,DATA!$W$3:$W$10000),"No encontrado"))</f>
        <v/>
      </c>
      <c r="E2646" s="22"/>
      <c r="F2646" s="26" t="str">
        <f aca="false">IF(A2646="","",IFERROR(buscarx(A2646&amp;E2646,DATA!$E$3:$E$10000&amp;DATA!$B$3:$B$10000,DATA!$M$3:$M$10000),"Inactivo"))</f>
        <v/>
      </c>
      <c r="G2646" s="28" t="str">
        <f aca="false">IF(A2646="","",IF(AND(C2646&lt;&gt;"No encontrado",F2646&lt;&gt;"Inactivo"),C2646&amp;" → "&amp;F2646,"Sin transición"))</f>
        <v/>
      </c>
      <c r="H2646" s="26" t="str">
        <f aca="false">IF(A2646="","",IF(D2646="GCIA LINEA SERVICIO DIGITALIDAD Y VENTAS","Chats",IF(OR(D2646="GERENCIA INBOUND LÍNEAS SERVICIO Y VENTA",D2646="GERENCIA INBOUND LINEAS ESPECIALIZADAS"),"Llamadas","Otro")))</f>
        <v/>
      </c>
      <c r="I2646" s="26" t="str">
        <f aca="false">IF(A2646="","",IF(C2646="No encontrado","No","Sí"))</f>
        <v/>
      </c>
      <c r="J2646" s="26" t="str">
        <f aca="false">IF(A2646="","",IF(F2646="Inactivo","No","Sí"))</f>
        <v/>
      </c>
      <c r="K2646" s="26" t="str">
        <f aca="false">IF(A2646="","",IF(AND(I2646="Sí",J2646="Sí"),"Sí","No"))</f>
        <v/>
      </c>
    </row>
    <row r="2647" customFormat="false" ht="15" hidden="false" customHeight="false" outlineLevel="0" collapsed="false">
      <c r="A2647" s="22"/>
      <c r="B2647" s="22"/>
      <c r="C2647" s="23" t="str">
        <f aca="false">IF(A2647="","",IFERROR(buscarx(A2647&amp;B2647,DATA!$E$3:$E$10000&amp;DATA!$B$3:$B$10000,DATA!$M$3:$M$10000),"No encontrado"))</f>
        <v/>
      </c>
      <c r="D2647" s="24" t="str">
        <f aca="false">IF(A2647="","",IFERROR(buscarx(A2647&amp;B2647,DATA!$E$3:$E$10000&amp;DATA!$B$3:$B$10000,DATA!$W$3:$W$10000),"No encontrado"))</f>
        <v/>
      </c>
      <c r="E2647" s="22"/>
      <c r="F2647" s="23" t="str">
        <f aca="false">IF(A2647="","",IFERROR(buscarx(A2647&amp;E2647,DATA!$E$3:$E$10000&amp;DATA!$B$3:$B$10000,DATA!$M$3:$M$10000),"Inactivo"))</f>
        <v/>
      </c>
      <c r="G2647" s="25" t="str">
        <f aca="false">IF(A2647="","",IF(AND(C2647&lt;&gt;"No encontrado",F2647&lt;&gt;"Inactivo"),C2647&amp;" → "&amp;F2647,"Sin transición"))</f>
        <v/>
      </c>
      <c r="H2647" s="23" t="str">
        <f aca="false">IF(A2647="","",IF(D2647="GCIA LINEA SERVICIO DIGITALIDAD Y VENTAS","Chats",IF(OR(D2647="GERENCIA INBOUND LÍNEAS SERVICIO Y VENTA",D2647="GERENCIA INBOUND LINEAS ESPECIALIZADAS"),"Llamadas","Otro")))</f>
        <v/>
      </c>
      <c r="I2647" s="23" t="str">
        <f aca="false">IF(A2647="","",IF(C2647="No encontrado","No","Sí"))</f>
        <v/>
      </c>
      <c r="J2647" s="23" t="str">
        <f aca="false">IF(A2647="","",IF(F2647="Inactivo","No","Sí"))</f>
        <v/>
      </c>
      <c r="K2647" s="23" t="str">
        <f aca="false">IF(A2647="","",IF(AND(I2647="Sí",J2647="Sí"),"Sí","No"))</f>
        <v/>
      </c>
    </row>
    <row r="2648" customFormat="false" ht="15" hidden="false" customHeight="false" outlineLevel="0" collapsed="false">
      <c r="A2648" s="22"/>
      <c r="B2648" s="22"/>
      <c r="C2648" s="26" t="str">
        <f aca="false">IF(A2648="","",IFERROR(buscarx(A2648&amp;B2648,DATA!$E$3:$E$10000&amp;DATA!$B$3:$B$10000,DATA!$M$3:$M$10000),"No encontrado"))</f>
        <v/>
      </c>
      <c r="D2648" s="27" t="str">
        <f aca="false">IF(A2648="","",IFERROR(buscarx(A2648&amp;B2648,DATA!$E$3:$E$10000&amp;DATA!$B$3:$B$10000,DATA!$W$3:$W$10000),"No encontrado"))</f>
        <v/>
      </c>
      <c r="E2648" s="22"/>
      <c r="F2648" s="26" t="str">
        <f aca="false">IF(A2648="","",IFERROR(buscarx(A2648&amp;E2648,DATA!$E$3:$E$10000&amp;DATA!$B$3:$B$10000,DATA!$M$3:$M$10000),"Inactivo"))</f>
        <v/>
      </c>
      <c r="G2648" s="28" t="str">
        <f aca="false">IF(A2648="","",IF(AND(C2648&lt;&gt;"No encontrado",F2648&lt;&gt;"Inactivo"),C2648&amp;" → "&amp;F2648,"Sin transición"))</f>
        <v/>
      </c>
      <c r="H2648" s="26" t="str">
        <f aca="false">IF(A2648="","",IF(D2648="GCIA LINEA SERVICIO DIGITALIDAD Y VENTAS","Chats",IF(OR(D2648="GERENCIA INBOUND LÍNEAS SERVICIO Y VENTA",D2648="GERENCIA INBOUND LINEAS ESPECIALIZADAS"),"Llamadas","Otro")))</f>
        <v/>
      </c>
      <c r="I2648" s="26" t="str">
        <f aca="false">IF(A2648="","",IF(C2648="No encontrado","No","Sí"))</f>
        <v/>
      </c>
      <c r="J2648" s="26" t="str">
        <f aca="false">IF(A2648="","",IF(F2648="Inactivo","No","Sí"))</f>
        <v/>
      </c>
      <c r="K2648" s="26" t="str">
        <f aca="false">IF(A2648="","",IF(AND(I2648="Sí",J2648="Sí"),"Sí","No"))</f>
        <v/>
      </c>
    </row>
    <row r="2649" customFormat="false" ht="15" hidden="false" customHeight="false" outlineLevel="0" collapsed="false">
      <c r="A2649" s="22"/>
      <c r="B2649" s="22"/>
      <c r="C2649" s="23" t="str">
        <f aca="false">IF(A2649="","",IFERROR(buscarx(A2649&amp;B2649,DATA!$E$3:$E$10000&amp;DATA!$B$3:$B$10000,DATA!$M$3:$M$10000),"No encontrado"))</f>
        <v/>
      </c>
      <c r="D2649" s="24" t="str">
        <f aca="false">IF(A2649="","",IFERROR(buscarx(A2649&amp;B2649,DATA!$E$3:$E$10000&amp;DATA!$B$3:$B$10000,DATA!$W$3:$W$10000),"No encontrado"))</f>
        <v/>
      </c>
      <c r="E2649" s="22"/>
      <c r="F2649" s="23" t="str">
        <f aca="false">IF(A2649="","",IFERROR(buscarx(A2649&amp;E2649,DATA!$E$3:$E$10000&amp;DATA!$B$3:$B$10000,DATA!$M$3:$M$10000),"Inactivo"))</f>
        <v/>
      </c>
      <c r="G2649" s="25" t="str">
        <f aca="false">IF(A2649="","",IF(AND(C2649&lt;&gt;"No encontrado",F2649&lt;&gt;"Inactivo"),C2649&amp;" → "&amp;F2649,"Sin transición"))</f>
        <v/>
      </c>
      <c r="H2649" s="23" t="str">
        <f aca="false">IF(A2649="","",IF(D2649="GCIA LINEA SERVICIO DIGITALIDAD Y VENTAS","Chats",IF(OR(D2649="GERENCIA INBOUND LÍNEAS SERVICIO Y VENTA",D2649="GERENCIA INBOUND LINEAS ESPECIALIZADAS"),"Llamadas","Otro")))</f>
        <v/>
      </c>
      <c r="I2649" s="23" t="str">
        <f aca="false">IF(A2649="","",IF(C2649="No encontrado","No","Sí"))</f>
        <v/>
      </c>
      <c r="J2649" s="23" t="str">
        <f aca="false">IF(A2649="","",IF(F2649="Inactivo","No","Sí"))</f>
        <v/>
      </c>
      <c r="K2649" s="23" t="str">
        <f aca="false">IF(A2649="","",IF(AND(I2649="Sí",J2649="Sí"),"Sí","No"))</f>
        <v/>
      </c>
    </row>
    <row r="2650" customFormat="false" ht="15" hidden="false" customHeight="false" outlineLevel="0" collapsed="false">
      <c r="A2650" s="22"/>
      <c r="B2650" s="22"/>
      <c r="C2650" s="26" t="str">
        <f aca="false">IF(A2650="","",IFERROR(buscarx(A2650&amp;B2650,DATA!$E$3:$E$10000&amp;DATA!$B$3:$B$10000,DATA!$M$3:$M$10000),"No encontrado"))</f>
        <v/>
      </c>
      <c r="D2650" s="27" t="str">
        <f aca="false">IF(A2650="","",IFERROR(buscarx(A2650&amp;B2650,DATA!$E$3:$E$10000&amp;DATA!$B$3:$B$10000,DATA!$W$3:$W$10000),"No encontrado"))</f>
        <v/>
      </c>
      <c r="E2650" s="22"/>
      <c r="F2650" s="26" t="str">
        <f aca="false">IF(A2650="","",IFERROR(buscarx(A2650&amp;E2650,DATA!$E$3:$E$10000&amp;DATA!$B$3:$B$10000,DATA!$M$3:$M$10000),"Inactivo"))</f>
        <v/>
      </c>
      <c r="G2650" s="28" t="str">
        <f aca="false">IF(A2650="","",IF(AND(C2650&lt;&gt;"No encontrado",F2650&lt;&gt;"Inactivo"),C2650&amp;" → "&amp;F2650,"Sin transición"))</f>
        <v/>
      </c>
      <c r="H2650" s="26" t="str">
        <f aca="false">IF(A2650="","",IF(D2650="GCIA LINEA SERVICIO DIGITALIDAD Y VENTAS","Chats",IF(OR(D2650="GERENCIA INBOUND LÍNEAS SERVICIO Y VENTA",D2650="GERENCIA INBOUND LINEAS ESPECIALIZADAS"),"Llamadas","Otro")))</f>
        <v/>
      </c>
      <c r="I2650" s="26" t="str">
        <f aca="false">IF(A2650="","",IF(C2650="No encontrado","No","Sí"))</f>
        <v/>
      </c>
      <c r="J2650" s="26" t="str">
        <f aca="false">IF(A2650="","",IF(F2650="Inactivo","No","Sí"))</f>
        <v/>
      </c>
      <c r="K2650" s="26" t="str">
        <f aca="false">IF(A2650="","",IF(AND(I2650="Sí",J2650="Sí"),"Sí","No"))</f>
        <v/>
      </c>
    </row>
    <row r="2651" customFormat="false" ht="15" hidden="false" customHeight="false" outlineLevel="0" collapsed="false">
      <c r="A2651" s="22"/>
      <c r="B2651" s="22"/>
      <c r="C2651" s="23" t="str">
        <f aca="false">IF(A2651="","",IFERROR(buscarx(A2651&amp;B2651,DATA!$E$3:$E$10000&amp;DATA!$B$3:$B$10000,DATA!$M$3:$M$10000),"No encontrado"))</f>
        <v/>
      </c>
      <c r="D2651" s="24" t="str">
        <f aca="false">IF(A2651="","",IFERROR(buscarx(A2651&amp;B2651,DATA!$E$3:$E$10000&amp;DATA!$B$3:$B$10000,DATA!$W$3:$W$10000),"No encontrado"))</f>
        <v/>
      </c>
      <c r="E2651" s="22"/>
      <c r="F2651" s="23" t="str">
        <f aca="false">IF(A2651="","",IFERROR(buscarx(A2651&amp;E2651,DATA!$E$3:$E$10000&amp;DATA!$B$3:$B$10000,DATA!$M$3:$M$10000),"Inactivo"))</f>
        <v/>
      </c>
      <c r="G2651" s="25" t="str">
        <f aca="false">IF(A2651="","",IF(AND(C2651&lt;&gt;"No encontrado",F2651&lt;&gt;"Inactivo"),C2651&amp;" → "&amp;F2651,"Sin transición"))</f>
        <v/>
      </c>
      <c r="H2651" s="23" t="str">
        <f aca="false">IF(A2651="","",IF(D2651="GCIA LINEA SERVICIO DIGITALIDAD Y VENTAS","Chats",IF(OR(D2651="GERENCIA INBOUND LÍNEAS SERVICIO Y VENTA",D2651="GERENCIA INBOUND LINEAS ESPECIALIZADAS"),"Llamadas","Otro")))</f>
        <v/>
      </c>
      <c r="I2651" s="23" t="str">
        <f aca="false">IF(A2651="","",IF(C2651="No encontrado","No","Sí"))</f>
        <v/>
      </c>
      <c r="J2651" s="23" t="str">
        <f aca="false">IF(A2651="","",IF(F2651="Inactivo","No","Sí"))</f>
        <v/>
      </c>
      <c r="K2651" s="23" t="str">
        <f aca="false">IF(A2651="","",IF(AND(I2651="Sí",J2651="Sí"),"Sí","No"))</f>
        <v/>
      </c>
    </row>
    <row r="2652" customFormat="false" ht="15" hidden="false" customHeight="false" outlineLevel="0" collapsed="false">
      <c r="A2652" s="22"/>
      <c r="B2652" s="22"/>
      <c r="C2652" s="26" t="str">
        <f aca="false">IF(A2652="","",IFERROR(buscarx(A2652&amp;B2652,DATA!$E$3:$E$10000&amp;DATA!$B$3:$B$10000,DATA!$M$3:$M$10000),"No encontrado"))</f>
        <v/>
      </c>
      <c r="D2652" s="27" t="str">
        <f aca="false">IF(A2652="","",IFERROR(buscarx(A2652&amp;B2652,DATA!$E$3:$E$10000&amp;DATA!$B$3:$B$10000,DATA!$W$3:$W$10000),"No encontrado"))</f>
        <v/>
      </c>
      <c r="E2652" s="22"/>
      <c r="F2652" s="26" t="str">
        <f aca="false">IF(A2652="","",IFERROR(buscarx(A2652&amp;E2652,DATA!$E$3:$E$10000&amp;DATA!$B$3:$B$10000,DATA!$M$3:$M$10000),"Inactivo"))</f>
        <v/>
      </c>
      <c r="G2652" s="28" t="str">
        <f aca="false">IF(A2652="","",IF(AND(C2652&lt;&gt;"No encontrado",F2652&lt;&gt;"Inactivo"),C2652&amp;" → "&amp;F2652,"Sin transición"))</f>
        <v/>
      </c>
      <c r="H2652" s="26" t="str">
        <f aca="false">IF(A2652="","",IF(D2652="GCIA LINEA SERVICIO DIGITALIDAD Y VENTAS","Chats",IF(OR(D2652="GERENCIA INBOUND LÍNEAS SERVICIO Y VENTA",D2652="GERENCIA INBOUND LINEAS ESPECIALIZADAS"),"Llamadas","Otro")))</f>
        <v/>
      </c>
      <c r="I2652" s="26" t="str">
        <f aca="false">IF(A2652="","",IF(C2652="No encontrado","No","Sí"))</f>
        <v/>
      </c>
      <c r="J2652" s="26" t="str">
        <f aca="false">IF(A2652="","",IF(F2652="Inactivo","No","Sí"))</f>
        <v/>
      </c>
      <c r="K2652" s="26" t="str">
        <f aca="false">IF(A2652="","",IF(AND(I2652="Sí",J2652="Sí"),"Sí","No"))</f>
        <v/>
      </c>
    </row>
    <row r="2653" customFormat="false" ht="15" hidden="false" customHeight="false" outlineLevel="0" collapsed="false">
      <c r="A2653" s="22"/>
      <c r="B2653" s="22"/>
      <c r="C2653" s="23" t="str">
        <f aca="false">IF(A2653="","",IFERROR(buscarx(A2653&amp;B2653,DATA!$E$3:$E$10000&amp;DATA!$B$3:$B$10000,DATA!$M$3:$M$10000),"No encontrado"))</f>
        <v/>
      </c>
      <c r="D2653" s="24" t="str">
        <f aca="false">IF(A2653="","",IFERROR(buscarx(A2653&amp;B2653,DATA!$E$3:$E$10000&amp;DATA!$B$3:$B$10000,DATA!$W$3:$W$10000),"No encontrado"))</f>
        <v/>
      </c>
      <c r="E2653" s="22"/>
      <c r="F2653" s="23" t="str">
        <f aca="false">IF(A2653="","",IFERROR(buscarx(A2653&amp;E2653,DATA!$E$3:$E$10000&amp;DATA!$B$3:$B$10000,DATA!$M$3:$M$10000),"Inactivo"))</f>
        <v/>
      </c>
      <c r="G2653" s="25" t="str">
        <f aca="false">IF(A2653="","",IF(AND(C2653&lt;&gt;"No encontrado",F2653&lt;&gt;"Inactivo"),C2653&amp;" → "&amp;F2653,"Sin transición"))</f>
        <v/>
      </c>
      <c r="H2653" s="23" t="str">
        <f aca="false">IF(A2653="","",IF(D2653="GCIA LINEA SERVICIO DIGITALIDAD Y VENTAS","Chats",IF(OR(D2653="GERENCIA INBOUND LÍNEAS SERVICIO Y VENTA",D2653="GERENCIA INBOUND LINEAS ESPECIALIZADAS"),"Llamadas","Otro")))</f>
        <v/>
      </c>
      <c r="I2653" s="23" t="str">
        <f aca="false">IF(A2653="","",IF(C2653="No encontrado","No","Sí"))</f>
        <v/>
      </c>
      <c r="J2653" s="23" t="str">
        <f aca="false">IF(A2653="","",IF(F2653="Inactivo","No","Sí"))</f>
        <v/>
      </c>
      <c r="K2653" s="23" t="str">
        <f aca="false">IF(A2653="","",IF(AND(I2653="Sí",J2653="Sí"),"Sí","No"))</f>
        <v/>
      </c>
    </row>
    <row r="2654" customFormat="false" ht="15" hidden="false" customHeight="false" outlineLevel="0" collapsed="false">
      <c r="A2654" s="22"/>
      <c r="B2654" s="22"/>
      <c r="C2654" s="26" t="str">
        <f aca="false">IF(A2654="","",IFERROR(buscarx(A2654&amp;B2654,DATA!$E$3:$E$10000&amp;DATA!$B$3:$B$10000,DATA!$M$3:$M$10000),"No encontrado"))</f>
        <v/>
      </c>
      <c r="D2654" s="27" t="str">
        <f aca="false">IF(A2654="","",IFERROR(buscarx(A2654&amp;B2654,DATA!$E$3:$E$10000&amp;DATA!$B$3:$B$10000,DATA!$W$3:$W$10000),"No encontrado"))</f>
        <v/>
      </c>
      <c r="E2654" s="22"/>
      <c r="F2654" s="26" t="str">
        <f aca="false">IF(A2654="","",IFERROR(buscarx(A2654&amp;E2654,DATA!$E$3:$E$10000&amp;DATA!$B$3:$B$10000,DATA!$M$3:$M$10000),"Inactivo"))</f>
        <v/>
      </c>
      <c r="G2654" s="28" t="str">
        <f aca="false">IF(A2654="","",IF(AND(C2654&lt;&gt;"No encontrado",F2654&lt;&gt;"Inactivo"),C2654&amp;" → "&amp;F2654,"Sin transición"))</f>
        <v/>
      </c>
      <c r="H2654" s="26" t="str">
        <f aca="false">IF(A2654="","",IF(D2654="GCIA LINEA SERVICIO DIGITALIDAD Y VENTAS","Chats",IF(OR(D2654="GERENCIA INBOUND LÍNEAS SERVICIO Y VENTA",D2654="GERENCIA INBOUND LINEAS ESPECIALIZADAS"),"Llamadas","Otro")))</f>
        <v/>
      </c>
      <c r="I2654" s="26" t="str">
        <f aca="false">IF(A2654="","",IF(C2654="No encontrado","No","Sí"))</f>
        <v/>
      </c>
      <c r="J2654" s="26" t="str">
        <f aca="false">IF(A2654="","",IF(F2654="Inactivo","No","Sí"))</f>
        <v/>
      </c>
      <c r="K2654" s="26" t="str">
        <f aca="false">IF(A2654="","",IF(AND(I2654="Sí",J2654="Sí"),"Sí","No"))</f>
        <v/>
      </c>
    </row>
    <row r="2655" customFormat="false" ht="15" hidden="false" customHeight="false" outlineLevel="0" collapsed="false">
      <c r="A2655" s="22"/>
      <c r="B2655" s="22"/>
      <c r="C2655" s="23" t="str">
        <f aca="false">IF(A2655="","",IFERROR(buscarx(A2655&amp;B2655,DATA!$E$3:$E$10000&amp;DATA!$B$3:$B$10000,DATA!$M$3:$M$10000),"No encontrado"))</f>
        <v/>
      </c>
      <c r="D2655" s="24" t="str">
        <f aca="false">IF(A2655="","",IFERROR(buscarx(A2655&amp;B2655,DATA!$E$3:$E$10000&amp;DATA!$B$3:$B$10000,DATA!$W$3:$W$10000),"No encontrado"))</f>
        <v/>
      </c>
      <c r="E2655" s="22"/>
      <c r="F2655" s="23" t="str">
        <f aca="false">IF(A2655="","",IFERROR(buscarx(A2655&amp;E2655,DATA!$E$3:$E$10000&amp;DATA!$B$3:$B$10000,DATA!$M$3:$M$10000),"Inactivo"))</f>
        <v/>
      </c>
      <c r="G2655" s="25" t="str">
        <f aca="false">IF(A2655="","",IF(AND(C2655&lt;&gt;"No encontrado",F2655&lt;&gt;"Inactivo"),C2655&amp;" → "&amp;F2655,"Sin transición"))</f>
        <v/>
      </c>
      <c r="H2655" s="23" t="str">
        <f aca="false">IF(A2655="","",IF(D2655="GCIA LINEA SERVICIO DIGITALIDAD Y VENTAS","Chats",IF(OR(D2655="GERENCIA INBOUND LÍNEAS SERVICIO Y VENTA",D2655="GERENCIA INBOUND LINEAS ESPECIALIZADAS"),"Llamadas","Otro")))</f>
        <v/>
      </c>
      <c r="I2655" s="23" t="str">
        <f aca="false">IF(A2655="","",IF(C2655="No encontrado","No","Sí"))</f>
        <v/>
      </c>
      <c r="J2655" s="23" t="str">
        <f aca="false">IF(A2655="","",IF(F2655="Inactivo","No","Sí"))</f>
        <v/>
      </c>
      <c r="K2655" s="23" t="str">
        <f aca="false">IF(A2655="","",IF(AND(I2655="Sí",J2655="Sí"),"Sí","No"))</f>
        <v/>
      </c>
    </row>
    <row r="2656" customFormat="false" ht="15" hidden="false" customHeight="false" outlineLevel="0" collapsed="false">
      <c r="A2656" s="22"/>
      <c r="B2656" s="22"/>
      <c r="C2656" s="26" t="str">
        <f aca="false">IF(A2656="","",IFERROR(buscarx(A2656&amp;B2656,DATA!$E$3:$E$10000&amp;DATA!$B$3:$B$10000,DATA!$M$3:$M$10000),"No encontrado"))</f>
        <v/>
      </c>
      <c r="D2656" s="27" t="str">
        <f aca="false">IF(A2656="","",IFERROR(buscarx(A2656&amp;B2656,DATA!$E$3:$E$10000&amp;DATA!$B$3:$B$10000,DATA!$W$3:$W$10000),"No encontrado"))</f>
        <v/>
      </c>
      <c r="E2656" s="22"/>
      <c r="F2656" s="26" t="str">
        <f aca="false">IF(A2656="","",IFERROR(buscarx(A2656&amp;E2656,DATA!$E$3:$E$10000&amp;DATA!$B$3:$B$10000,DATA!$M$3:$M$10000),"Inactivo"))</f>
        <v/>
      </c>
      <c r="G2656" s="28" t="str">
        <f aca="false">IF(A2656="","",IF(AND(C2656&lt;&gt;"No encontrado",F2656&lt;&gt;"Inactivo"),C2656&amp;" → "&amp;F2656,"Sin transición"))</f>
        <v/>
      </c>
      <c r="H2656" s="26" t="str">
        <f aca="false">IF(A2656="","",IF(D2656="GCIA LINEA SERVICIO DIGITALIDAD Y VENTAS","Chats",IF(OR(D2656="GERENCIA INBOUND LÍNEAS SERVICIO Y VENTA",D2656="GERENCIA INBOUND LINEAS ESPECIALIZADAS"),"Llamadas","Otro")))</f>
        <v/>
      </c>
      <c r="I2656" s="26" t="str">
        <f aca="false">IF(A2656="","",IF(C2656="No encontrado","No","Sí"))</f>
        <v/>
      </c>
      <c r="J2656" s="26" t="str">
        <f aca="false">IF(A2656="","",IF(F2656="Inactivo","No","Sí"))</f>
        <v/>
      </c>
      <c r="K2656" s="26" t="str">
        <f aca="false">IF(A2656="","",IF(AND(I2656="Sí",J2656="Sí"),"Sí","No"))</f>
        <v/>
      </c>
    </row>
    <row r="2657" customFormat="false" ht="15" hidden="false" customHeight="false" outlineLevel="0" collapsed="false">
      <c r="A2657" s="22"/>
      <c r="B2657" s="22"/>
      <c r="C2657" s="23" t="str">
        <f aca="false">IF(A2657="","",IFERROR(buscarx(A2657&amp;B2657,DATA!$E$3:$E$10000&amp;DATA!$B$3:$B$10000,DATA!$M$3:$M$10000),"No encontrado"))</f>
        <v/>
      </c>
      <c r="D2657" s="24" t="str">
        <f aca="false">IF(A2657="","",IFERROR(buscarx(A2657&amp;B2657,DATA!$E$3:$E$10000&amp;DATA!$B$3:$B$10000,DATA!$W$3:$W$10000),"No encontrado"))</f>
        <v/>
      </c>
      <c r="E2657" s="22"/>
      <c r="F2657" s="23" t="str">
        <f aca="false">IF(A2657="","",IFERROR(buscarx(A2657&amp;E2657,DATA!$E$3:$E$10000&amp;DATA!$B$3:$B$10000,DATA!$M$3:$M$10000),"Inactivo"))</f>
        <v/>
      </c>
      <c r="G2657" s="25" t="str">
        <f aca="false">IF(A2657="","",IF(AND(C2657&lt;&gt;"No encontrado",F2657&lt;&gt;"Inactivo"),C2657&amp;" → "&amp;F2657,"Sin transición"))</f>
        <v/>
      </c>
      <c r="H2657" s="23" t="str">
        <f aca="false">IF(A2657="","",IF(D2657="GCIA LINEA SERVICIO DIGITALIDAD Y VENTAS","Chats",IF(OR(D2657="GERENCIA INBOUND LÍNEAS SERVICIO Y VENTA",D2657="GERENCIA INBOUND LINEAS ESPECIALIZADAS"),"Llamadas","Otro")))</f>
        <v/>
      </c>
      <c r="I2657" s="23" t="str">
        <f aca="false">IF(A2657="","",IF(C2657="No encontrado","No","Sí"))</f>
        <v/>
      </c>
      <c r="J2657" s="23" t="str">
        <f aca="false">IF(A2657="","",IF(F2657="Inactivo","No","Sí"))</f>
        <v/>
      </c>
      <c r="K2657" s="23" t="str">
        <f aca="false">IF(A2657="","",IF(AND(I2657="Sí",J2657="Sí"),"Sí","No"))</f>
        <v/>
      </c>
    </row>
    <row r="2658" customFormat="false" ht="15" hidden="false" customHeight="false" outlineLevel="0" collapsed="false">
      <c r="A2658" s="22"/>
      <c r="B2658" s="22"/>
      <c r="C2658" s="26" t="str">
        <f aca="false">IF(A2658="","",IFERROR(buscarx(A2658&amp;B2658,DATA!$E$3:$E$10000&amp;DATA!$B$3:$B$10000,DATA!$M$3:$M$10000),"No encontrado"))</f>
        <v/>
      </c>
      <c r="D2658" s="27" t="str">
        <f aca="false">IF(A2658="","",IFERROR(buscarx(A2658&amp;B2658,DATA!$E$3:$E$10000&amp;DATA!$B$3:$B$10000,DATA!$W$3:$W$10000),"No encontrado"))</f>
        <v/>
      </c>
      <c r="E2658" s="22"/>
      <c r="F2658" s="26" t="str">
        <f aca="false">IF(A2658="","",IFERROR(buscarx(A2658&amp;E2658,DATA!$E$3:$E$10000&amp;DATA!$B$3:$B$10000,DATA!$M$3:$M$10000),"Inactivo"))</f>
        <v/>
      </c>
      <c r="G2658" s="28" t="str">
        <f aca="false">IF(A2658="","",IF(AND(C2658&lt;&gt;"No encontrado",F2658&lt;&gt;"Inactivo"),C2658&amp;" → "&amp;F2658,"Sin transición"))</f>
        <v/>
      </c>
      <c r="H2658" s="26" t="str">
        <f aca="false">IF(A2658="","",IF(D2658="GCIA LINEA SERVICIO DIGITALIDAD Y VENTAS","Chats",IF(OR(D2658="GERENCIA INBOUND LÍNEAS SERVICIO Y VENTA",D2658="GERENCIA INBOUND LINEAS ESPECIALIZADAS"),"Llamadas","Otro")))</f>
        <v/>
      </c>
      <c r="I2658" s="26" t="str">
        <f aca="false">IF(A2658="","",IF(C2658="No encontrado","No","Sí"))</f>
        <v/>
      </c>
      <c r="J2658" s="26" t="str">
        <f aca="false">IF(A2658="","",IF(F2658="Inactivo","No","Sí"))</f>
        <v/>
      </c>
      <c r="K2658" s="26" t="str">
        <f aca="false">IF(A2658="","",IF(AND(I2658="Sí",J2658="Sí"),"Sí","No"))</f>
        <v/>
      </c>
    </row>
    <row r="2659" customFormat="false" ht="15" hidden="false" customHeight="false" outlineLevel="0" collapsed="false">
      <c r="A2659" s="22"/>
      <c r="B2659" s="22"/>
      <c r="C2659" s="23" t="str">
        <f aca="false">IF(A2659="","",IFERROR(buscarx(A2659&amp;B2659,DATA!$E$3:$E$10000&amp;DATA!$B$3:$B$10000,DATA!$M$3:$M$10000),"No encontrado"))</f>
        <v/>
      </c>
      <c r="D2659" s="24" t="str">
        <f aca="false">IF(A2659="","",IFERROR(buscarx(A2659&amp;B2659,DATA!$E$3:$E$10000&amp;DATA!$B$3:$B$10000,DATA!$W$3:$W$10000),"No encontrado"))</f>
        <v/>
      </c>
      <c r="E2659" s="22"/>
      <c r="F2659" s="23" t="str">
        <f aca="false">IF(A2659="","",IFERROR(buscarx(A2659&amp;E2659,DATA!$E$3:$E$10000&amp;DATA!$B$3:$B$10000,DATA!$M$3:$M$10000),"Inactivo"))</f>
        <v/>
      </c>
      <c r="G2659" s="25" t="str">
        <f aca="false">IF(A2659="","",IF(AND(C2659&lt;&gt;"No encontrado",F2659&lt;&gt;"Inactivo"),C2659&amp;" → "&amp;F2659,"Sin transición"))</f>
        <v/>
      </c>
      <c r="H2659" s="23" t="str">
        <f aca="false">IF(A2659="","",IF(D2659="GCIA LINEA SERVICIO DIGITALIDAD Y VENTAS","Chats",IF(OR(D2659="GERENCIA INBOUND LÍNEAS SERVICIO Y VENTA",D2659="GERENCIA INBOUND LINEAS ESPECIALIZADAS"),"Llamadas","Otro")))</f>
        <v/>
      </c>
      <c r="I2659" s="23" t="str">
        <f aca="false">IF(A2659="","",IF(C2659="No encontrado","No","Sí"))</f>
        <v/>
      </c>
      <c r="J2659" s="23" t="str">
        <f aca="false">IF(A2659="","",IF(F2659="Inactivo","No","Sí"))</f>
        <v/>
      </c>
      <c r="K2659" s="23" t="str">
        <f aca="false">IF(A2659="","",IF(AND(I2659="Sí",J2659="Sí"),"Sí","No"))</f>
        <v/>
      </c>
    </row>
    <row r="2660" customFormat="false" ht="15" hidden="false" customHeight="false" outlineLevel="0" collapsed="false">
      <c r="A2660" s="22"/>
      <c r="B2660" s="22"/>
      <c r="C2660" s="26" t="str">
        <f aca="false">IF(A2660="","",IFERROR(buscarx(A2660&amp;B2660,DATA!$E$3:$E$10000&amp;DATA!$B$3:$B$10000,DATA!$M$3:$M$10000),"No encontrado"))</f>
        <v/>
      </c>
      <c r="D2660" s="27" t="str">
        <f aca="false">IF(A2660="","",IFERROR(buscarx(A2660&amp;B2660,DATA!$E$3:$E$10000&amp;DATA!$B$3:$B$10000,DATA!$W$3:$W$10000),"No encontrado"))</f>
        <v/>
      </c>
      <c r="E2660" s="22"/>
      <c r="F2660" s="26" t="str">
        <f aca="false">IF(A2660="","",IFERROR(buscarx(A2660&amp;E2660,DATA!$E$3:$E$10000&amp;DATA!$B$3:$B$10000,DATA!$M$3:$M$10000),"Inactivo"))</f>
        <v/>
      </c>
      <c r="G2660" s="28" t="str">
        <f aca="false">IF(A2660="","",IF(AND(C2660&lt;&gt;"No encontrado",F2660&lt;&gt;"Inactivo"),C2660&amp;" → "&amp;F2660,"Sin transición"))</f>
        <v/>
      </c>
      <c r="H2660" s="26" t="str">
        <f aca="false">IF(A2660="","",IF(D2660="GCIA LINEA SERVICIO DIGITALIDAD Y VENTAS","Chats",IF(OR(D2660="GERENCIA INBOUND LÍNEAS SERVICIO Y VENTA",D2660="GERENCIA INBOUND LINEAS ESPECIALIZADAS"),"Llamadas","Otro")))</f>
        <v/>
      </c>
      <c r="I2660" s="26" t="str">
        <f aca="false">IF(A2660="","",IF(C2660="No encontrado","No","Sí"))</f>
        <v/>
      </c>
      <c r="J2660" s="26" t="str">
        <f aca="false">IF(A2660="","",IF(F2660="Inactivo","No","Sí"))</f>
        <v/>
      </c>
      <c r="K2660" s="26" t="str">
        <f aca="false">IF(A2660="","",IF(AND(I2660="Sí",J2660="Sí"),"Sí","No"))</f>
        <v/>
      </c>
    </row>
    <row r="2661" customFormat="false" ht="15" hidden="false" customHeight="false" outlineLevel="0" collapsed="false">
      <c r="A2661" s="22"/>
      <c r="B2661" s="22"/>
      <c r="C2661" s="23" t="str">
        <f aca="false">IF(A2661="","",IFERROR(buscarx(A2661&amp;B2661,DATA!$E$3:$E$10000&amp;DATA!$B$3:$B$10000,DATA!$M$3:$M$10000),"No encontrado"))</f>
        <v/>
      </c>
      <c r="D2661" s="24" t="str">
        <f aca="false">IF(A2661="","",IFERROR(buscarx(A2661&amp;B2661,DATA!$E$3:$E$10000&amp;DATA!$B$3:$B$10000,DATA!$W$3:$W$10000),"No encontrado"))</f>
        <v/>
      </c>
      <c r="E2661" s="22"/>
      <c r="F2661" s="23" t="str">
        <f aca="false">IF(A2661="","",IFERROR(buscarx(A2661&amp;E2661,DATA!$E$3:$E$10000&amp;DATA!$B$3:$B$10000,DATA!$M$3:$M$10000),"Inactivo"))</f>
        <v/>
      </c>
      <c r="G2661" s="25" t="str">
        <f aca="false">IF(A2661="","",IF(AND(C2661&lt;&gt;"No encontrado",F2661&lt;&gt;"Inactivo"),C2661&amp;" → "&amp;F2661,"Sin transición"))</f>
        <v/>
      </c>
      <c r="H2661" s="23" t="str">
        <f aca="false">IF(A2661="","",IF(D2661="GCIA LINEA SERVICIO DIGITALIDAD Y VENTAS","Chats",IF(OR(D2661="GERENCIA INBOUND LÍNEAS SERVICIO Y VENTA",D2661="GERENCIA INBOUND LINEAS ESPECIALIZADAS"),"Llamadas","Otro")))</f>
        <v/>
      </c>
      <c r="I2661" s="23" t="str">
        <f aca="false">IF(A2661="","",IF(C2661="No encontrado","No","Sí"))</f>
        <v/>
      </c>
      <c r="J2661" s="23" t="str">
        <f aca="false">IF(A2661="","",IF(F2661="Inactivo","No","Sí"))</f>
        <v/>
      </c>
      <c r="K2661" s="23" t="str">
        <f aca="false">IF(A2661="","",IF(AND(I2661="Sí",J2661="Sí"),"Sí","No"))</f>
        <v/>
      </c>
    </row>
    <row r="2662" customFormat="false" ht="15" hidden="false" customHeight="false" outlineLevel="0" collapsed="false">
      <c r="A2662" s="22"/>
      <c r="B2662" s="22"/>
      <c r="C2662" s="26" t="str">
        <f aca="false">IF(A2662="","",IFERROR(buscarx(A2662&amp;B2662,DATA!$E$3:$E$10000&amp;DATA!$B$3:$B$10000,DATA!$M$3:$M$10000),"No encontrado"))</f>
        <v/>
      </c>
      <c r="D2662" s="27" t="str">
        <f aca="false">IF(A2662="","",IFERROR(buscarx(A2662&amp;B2662,DATA!$E$3:$E$10000&amp;DATA!$B$3:$B$10000,DATA!$W$3:$W$10000),"No encontrado"))</f>
        <v/>
      </c>
      <c r="E2662" s="22"/>
      <c r="F2662" s="26" t="str">
        <f aca="false">IF(A2662="","",IFERROR(buscarx(A2662&amp;E2662,DATA!$E$3:$E$10000&amp;DATA!$B$3:$B$10000,DATA!$M$3:$M$10000),"Inactivo"))</f>
        <v/>
      </c>
      <c r="G2662" s="28" t="str">
        <f aca="false">IF(A2662="","",IF(AND(C2662&lt;&gt;"No encontrado",F2662&lt;&gt;"Inactivo"),C2662&amp;" → "&amp;F2662,"Sin transición"))</f>
        <v/>
      </c>
      <c r="H2662" s="26" t="str">
        <f aca="false">IF(A2662="","",IF(D2662="GCIA LINEA SERVICIO DIGITALIDAD Y VENTAS","Chats",IF(OR(D2662="GERENCIA INBOUND LÍNEAS SERVICIO Y VENTA",D2662="GERENCIA INBOUND LINEAS ESPECIALIZADAS"),"Llamadas","Otro")))</f>
        <v/>
      </c>
      <c r="I2662" s="26" t="str">
        <f aca="false">IF(A2662="","",IF(C2662="No encontrado","No","Sí"))</f>
        <v/>
      </c>
      <c r="J2662" s="26" t="str">
        <f aca="false">IF(A2662="","",IF(F2662="Inactivo","No","Sí"))</f>
        <v/>
      </c>
      <c r="K2662" s="26" t="str">
        <f aca="false">IF(A2662="","",IF(AND(I2662="Sí",J2662="Sí"),"Sí","No"))</f>
        <v/>
      </c>
    </row>
    <row r="2663" customFormat="false" ht="15" hidden="false" customHeight="false" outlineLevel="0" collapsed="false">
      <c r="A2663" s="22"/>
      <c r="B2663" s="22"/>
      <c r="C2663" s="23" t="str">
        <f aca="false">IF(A2663="","",IFERROR(buscarx(A2663&amp;B2663,DATA!$E$3:$E$10000&amp;DATA!$B$3:$B$10000,DATA!$M$3:$M$10000),"No encontrado"))</f>
        <v/>
      </c>
      <c r="D2663" s="24" t="str">
        <f aca="false">IF(A2663="","",IFERROR(buscarx(A2663&amp;B2663,DATA!$E$3:$E$10000&amp;DATA!$B$3:$B$10000,DATA!$W$3:$W$10000),"No encontrado"))</f>
        <v/>
      </c>
      <c r="E2663" s="22"/>
      <c r="F2663" s="23" t="str">
        <f aca="false">IF(A2663="","",IFERROR(buscarx(A2663&amp;E2663,DATA!$E$3:$E$10000&amp;DATA!$B$3:$B$10000,DATA!$M$3:$M$10000),"Inactivo"))</f>
        <v/>
      </c>
      <c r="G2663" s="25" t="str">
        <f aca="false">IF(A2663="","",IF(AND(C2663&lt;&gt;"No encontrado",F2663&lt;&gt;"Inactivo"),C2663&amp;" → "&amp;F2663,"Sin transición"))</f>
        <v/>
      </c>
      <c r="H2663" s="23" t="str">
        <f aca="false">IF(A2663="","",IF(D2663="GCIA LINEA SERVICIO DIGITALIDAD Y VENTAS","Chats",IF(OR(D2663="GERENCIA INBOUND LÍNEAS SERVICIO Y VENTA",D2663="GERENCIA INBOUND LINEAS ESPECIALIZADAS"),"Llamadas","Otro")))</f>
        <v/>
      </c>
      <c r="I2663" s="23" t="str">
        <f aca="false">IF(A2663="","",IF(C2663="No encontrado","No","Sí"))</f>
        <v/>
      </c>
      <c r="J2663" s="23" t="str">
        <f aca="false">IF(A2663="","",IF(F2663="Inactivo","No","Sí"))</f>
        <v/>
      </c>
      <c r="K2663" s="23" t="str">
        <f aca="false">IF(A2663="","",IF(AND(I2663="Sí",J2663="Sí"),"Sí","No"))</f>
        <v/>
      </c>
    </row>
    <row r="2664" customFormat="false" ht="15" hidden="false" customHeight="false" outlineLevel="0" collapsed="false">
      <c r="A2664" s="22"/>
      <c r="B2664" s="22"/>
      <c r="C2664" s="26" t="str">
        <f aca="false">IF(A2664="","",IFERROR(buscarx(A2664&amp;B2664,DATA!$E$3:$E$10000&amp;DATA!$B$3:$B$10000,DATA!$M$3:$M$10000),"No encontrado"))</f>
        <v/>
      </c>
      <c r="D2664" s="27" t="str">
        <f aca="false">IF(A2664="","",IFERROR(buscarx(A2664&amp;B2664,DATA!$E$3:$E$10000&amp;DATA!$B$3:$B$10000,DATA!$W$3:$W$10000),"No encontrado"))</f>
        <v/>
      </c>
      <c r="E2664" s="22"/>
      <c r="F2664" s="26" t="str">
        <f aca="false">IF(A2664="","",IFERROR(buscarx(A2664&amp;E2664,DATA!$E$3:$E$10000&amp;DATA!$B$3:$B$10000,DATA!$M$3:$M$10000),"Inactivo"))</f>
        <v/>
      </c>
      <c r="G2664" s="28" t="str">
        <f aca="false">IF(A2664="","",IF(AND(C2664&lt;&gt;"No encontrado",F2664&lt;&gt;"Inactivo"),C2664&amp;" → "&amp;F2664,"Sin transición"))</f>
        <v/>
      </c>
      <c r="H2664" s="26" t="str">
        <f aca="false">IF(A2664="","",IF(D2664="GCIA LINEA SERVICIO DIGITALIDAD Y VENTAS","Chats",IF(OR(D2664="GERENCIA INBOUND LÍNEAS SERVICIO Y VENTA",D2664="GERENCIA INBOUND LINEAS ESPECIALIZADAS"),"Llamadas","Otro")))</f>
        <v/>
      </c>
      <c r="I2664" s="26" t="str">
        <f aca="false">IF(A2664="","",IF(C2664="No encontrado","No","Sí"))</f>
        <v/>
      </c>
      <c r="J2664" s="26" t="str">
        <f aca="false">IF(A2664="","",IF(F2664="Inactivo","No","Sí"))</f>
        <v/>
      </c>
      <c r="K2664" s="26" t="str">
        <f aca="false">IF(A2664="","",IF(AND(I2664="Sí",J2664="Sí"),"Sí","No"))</f>
        <v/>
      </c>
    </row>
    <row r="2665" customFormat="false" ht="15" hidden="false" customHeight="false" outlineLevel="0" collapsed="false">
      <c r="A2665" s="22"/>
      <c r="B2665" s="22"/>
      <c r="C2665" s="23" t="str">
        <f aca="false">IF(A2665="","",IFERROR(buscarx(A2665&amp;B2665,DATA!$E$3:$E$10000&amp;DATA!$B$3:$B$10000,DATA!$M$3:$M$10000),"No encontrado"))</f>
        <v/>
      </c>
      <c r="D2665" s="24" t="str">
        <f aca="false">IF(A2665="","",IFERROR(buscarx(A2665&amp;B2665,DATA!$E$3:$E$10000&amp;DATA!$B$3:$B$10000,DATA!$W$3:$W$10000),"No encontrado"))</f>
        <v/>
      </c>
      <c r="E2665" s="22"/>
      <c r="F2665" s="23" t="str">
        <f aca="false">IF(A2665="","",IFERROR(buscarx(A2665&amp;E2665,DATA!$E$3:$E$10000&amp;DATA!$B$3:$B$10000,DATA!$M$3:$M$10000),"Inactivo"))</f>
        <v/>
      </c>
      <c r="G2665" s="25" t="str">
        <f aca="false">IF(A2665="","",IF(AND(C2665&lt;&gt;"No encontrado",F2665&lt;&gt;"Inactivo"),C2665&amp;" → "&amp;F2665,"Sin transición"))</f>
        <v/>
      </c>
      <c r="H2665" s="23" t="str">
        <f aca="false">IF(A2665="","",IF(D2665="GCIA LINEA SERVICIO DIGITALIDAD Y VENTAS","Chats",IF(OR(D2665="GERENCIA INBOUND LÍNEAS SERVICIO Y VENTA",D2665="GERENCIA INBOUND LINEAS ESPECIALIZADAS"),"Llamadas","Otro")))</f>
        <v/>
      </c>
      <c r="I2665" s="23" t="str">
        <f aca="false">IF(A2665="","",IF(C2665="No encontrado","No","Sí"))</f>
        <v/>
      </c>
      <c r="J2665" s="23" t="str">
        <f aca="false">IF(A2665="","",IF(F2665="Inactivo","No","Sí"))</f>
        <v/>
      </c>
      <c r="K2665" s="23" t="str">
        <f aca="false">IF(A2665="","",IF(AND(I2665="Sí",J2665="Sí"),"Sí","No"))</f>
        <v/>
      </c>
    </row>
    <row r="2666" customFormat="false" ht="15" hidden="false" customHeight="false" outlineLevel="0" collapsed="false">
      <c r="A2666" s="22"/>
      <c r="B2666" s="22"/>
      <c r="C2666" s="26" t="str">
        <f aca="false">IF(A2666="","",IFERROR(buscarx(A2666&amp;B2666,DATA!$E$3:$E$10000&amp;DATA!$B$3:$B$10000,DATA!$M$3:$M$10000),"No encontrado"))</f>
        <v/>
      </c>
      <c r="D2666" s="27" t="str">
        <f aca="false">IF(A2666="","",IFERROR(buscarx(A2666&amp;B2666,DATA!$E$3:$E$10000&amp;DATA!$B$3:$B$10000,DATA!$W$3:$W$10000),"No encontrado"))</f>
        <v/>
      </c>
      <c r="E2666" s="22"/>
      <c r="F2666" s="26" t="str">
        <f aca="false">IF(A2666="","",IFERROR(buscarx(A2666&amp;E2666,DATA!$E$3:$E$10000&amp;DATA!$B$3:$B$10000,DATA!$M$3:$M$10000),"Inactivo"))</f>
        <v/>
      </c>
      <c r="G2666" s="28" t="str">
        <f aca="false">IF(A2666="","",IF(AND(C2666&lt;&gt;"No encontrado",F2666&lt;&gt;"Inactivo"),C2666&amp;" → "&amp;F2666,"Sin transición"))</f>
        <v/>
      </c>
      <c r="H2666" s="26" t="str">
        <f aca="false">IF(A2666="","",IF(D2666="GCIA LINEA SERVICIO DIGITALIDAD Y VENTAS","Chats",IF(OR(D2666="GERENCIA INBOUND LÍNEAS SERVICIO Y VENTA",D2666="GERENCIA INBOUND LINEAS ESPECIALIZADAS"),"Llamadas","Otro")))</f>
        <v/>
      </c>
      <c r="I2666" s="26" t="str">
        <f aca="false">IF(A2666="","",IF(C2666="No encontrado","No","Sí"))</f>
        <v/>
      </c>
      <c r="J2666" s="26" t="str">
        <f aca="false">IF(A2666="","",IF(F2666="Inactivo","No","Sí"))</f>
        <v/>
      </c>
      <c r="K2666" s="26" t="str">
        <f aca="false">IF(A2666="","",IF(AND(I2666="Sí",J2666="Sí"),"Sí","No"))</f>
        <v/>
      </c>
    </row>
    <row r="2667" customFormat="false" ht="15" hidden="false" customHeight="false" outlineLevel="0" collapsed="false">
      <c r="A2667" s="22"/>
      <c r="B2667" s="22"/>
      <c r="C2667" s="23" t="str">
        <f aca="false">IF(A2667="","",IFERROR(buscarx(A2667&amp;B2667,DATA!$E$3:$E$10000&amp;DATA!$B$3:$B$10000,DATA!$M$3:$M$10000),"No encontrado"))</f>
        <v/>
      </c>
      <c r="D2667" s="24" t="str">
        <f aca="false">IF(A2667="","",IFERROR(buscarx(A2667&amp;B2667,DATA!$E$3:$E$10000&amp;DATA!$B$3:$B$10000,DATA!$W$3:$W$10000),"No encontrado"))</f>
        <v/>
      </c>
      <c r="E2667" s="22"/>
      <c r="F2667" s="23" t="str">
        <f aca="false">IF(A2667="","",IFERROR(buscarx(A2667&amp;E2667,DATA!$E$3:$E$10000&amp;DATA!$B$3:$B$10000,DATA!$M$3:$M$10000),"Inactivo"))</f>
        <v/>
      </c>
      <c r="G2667" s="25" t="str">
        <f aca="false">IF(A2667="","",IF(AND(C2667&lt;&gt;"No encontrado",F2667&lt;&gt;"Inactivo"),C2667&amp;" → "&amp;F2667,"Sin transición"))</f>
        <v/>
      </c>
      <c r="H2667" s="23" t="str">
        <f aca="false">IF(A2667="","",IF(D2667="GCIA LINEA SERVICIO DIGITALIDAD Y VENTAS","Chats",IF(OR(D2667="GERENCIA INBOUND LÍNEAS SERVICIO Y VENTA",D2667="GERENCIA INBOUND LINEAS ESPECIALIZADAS"),"Llamadas","Otro")))</f>
        <v/>
      </c>
      <c r="I2667" s="23" t="str">
        <f aca="false">IF(A2667="","",IF(C2667="No encontrado","No","Sí"))</f>
        <v/>
      </c>
      <c r="J2667" s="23" t="str">
        <f aca="false">IF(A2667="","",IF(F2667="Inactivo","No","Sí"))</f>
        <v/>
      </c>
      <c r="K2667" s="23" t="str">
        <f aca="false">IF(A2667="","",IF(AND(I2667="Sí",J2667="Sí"),"Sí","No"))</f>
        <v/>
      </c>
    </row>
    <row r="2668" customFormat="false" ht="15" hidden="false" customHeight="false" outlineLevel="0" collapsed="false">
      <c r="A2668" s="22"/>
      <c r="B2668" s="22"/>
      <c r="C2668" s="26" t="str">
        <f aca="false">IF(A2668="","",IFERROR(buscarx(A2668&amp;B2668,DATA!$E$3:$E$10000&amp;DATA!$B$3:$B$10000,DATA!$M$3:$M$10000),"No encontrado"))</f>
        <v/>
      </c>
      <c r="D2668" s="27" t="str">
        <f aca="false">IF(A2668="","",IFERROR(buscarx(A2668&amp;B2668,DATA!$E$3:$E$10000&amp;DATA!$B$3:$B$10000,DATA!$W$3:$W$10000),"No encontrado"))</f>
        <v/>
      </c>
      <c r="E2668" s="22"/>
      <c r="F2668" s="26" t="str">
        <f aca="false">IF(A2668="","",IFERROR(buscarx(A2668&amp;E2668,DATA!$E$3:$E$10000&amp;DATA!$B$3:$B$10000,DATA!$M$3:$M$10000),"Inactivo"))</f>
        <v/>
      </c>
      <c r="G2668" s="28" t="str">
        <f aca="false">IF(A2668="","",IF(AND(C2668&lt;&gt;"No encontrado",F2668&lt;&gt;"Inactivo"),C2668&amp;" → "&amp;F2668,"Sin transición"))</f>
        <v/>
      </c>
      <c r="H2668" s="26" t="str">
        <f aca="false">IF(A2668="","",IF(D2668="GCIA LINEA SERVICIO DIGITALIDAD Y VENTAS","Chats",IF(OR(D2668="GERENCIA INBOUND LÍNEAS SERVICIO Y VENTA",D2668="GERENCIA INBOUND LINEAS ESPECIALIZADAS"),"Llamadas","Otro")))</f>
        <v/>
      </c>
      <c r="I2668" s="26" t="str">
        <f aca="false">IF(A2668="","",IF(C2668="No encontrado","No","Sí"))</f>
        <v/>
      </c>
      <c r="J2668" s="26" t="str">
        <f aca="false">IF(A2668="","",IF(F2668="Inactivo","No","Sí"))</f>
        <v/>
      </c>
      <c r="K2668" s="26" t="str">
        <f aca="false">IF(A2668="","",IF(AND(I2668="Sí",J2668="Sí"),"Sí","No"))</f>
        <v/>
      </c>
    </row>
    <row r="2669" customFormat="false" ht="15" hidden="false" customHeight="false" outlineLevel="0" collapsed="false">
      <c r="A2669" s="22"/>
      <c r="B2669" s="22"/>
      <c r="C2669" s="23" t="str">
        <f aca="false">IF(A2669="","",IFERROR(buscarx(A2669&amp;B2669,DATA!$E$3:$E$10000&amp;DATA!$B$3:$B$10000,DATA!$M$3:$M$10000),"No encontrado"))</f>
        <v/>
      </c>
      <c r="D2669" s="24" t="str">
        <f aca="false">IF(A2669="","",IFERROR(buscarx(A2669&amp;B2669,DATA!$E$3:$E$10000&amp;DATA!$B$3:$B$10000,DATA!$W$3:$W$10000),"No encontrado"))</f>
        <v/>
      </c>
      <c r="E2669" s="22"/>
      <c r="F2669" s="23" t="str">
        <f aca="false">IF(A2669="","",IFERROR(buscarx(A2669&amp;E2669,DATA!$E$3:$E$10000&amp;DATA!$B$3:$B$10000,DATA!$M$3:$M$10000),"Inactivo"))</f>
        <v/>
      </c>
      <c r="G2669" s="25" t="str">
        <f aca="false">IF(A2669="","",IF(AND(C2669&lt;&gt;"No encontrado",F2669&lt;&gt;"Inactivo"),C2669&amp;" → "&amp;F2669,"Sin transición"))</f>
        <v/>
      </c>
      <c r="H2669" s="23" t="str">
        <f aca="false">IF(A2669="","",IF(D2669="GCIA LINEA SERVICIO DIGITALIDAD Y VENTAS","Chats",IF(OR(D2669="GERENCIA INBOUND LÍNEAS SERVICIO Y VENTA",D2669="GERENCIA INBOUND LINEAS ESPECIALIZADAS"),"Llamadas","Otro")))</f>
        <v/>
      </c>
      <c r="I2669" s="23" t="str">
        <f aca="false">IF(A2669="","",IF(C2669="No encontrado","No","Sí"))</f>
        <v/>
      </c>
      <c r="J2669" s="23" t="str">
        <f aca="false">IF(A2669="","",IF(F2669="Inactivo","No","Sí"))</f>
        <v/>
      </c>
      <c r="K2669" s="23" t="str">
        <f aca="false">IF(A2669="","",IF(AND(I2669="Sí",J2669="Sí"),"Sí","No"))</f>
        <v/>
      </c>
    </row>
    <row r="2670" customFormat="false" ht="15" hidden="false" customHeight="false" outlineLevel="0" collapsed="false">
      <c r="A2670" s="22"/>
      <c r="B2670" s="22"/>
      <c r="C2670" s="26" t="str">
        <f aca="false">IF(A2670="","",IFERROR(buscarx(A2670&amp;B2670,DATA!$E$3:$E$10000&amp;DATA!$B$3:$B$10000,DATA!$M$3:$M$10000),"No encontrado"))</f>
        <v/>
      </c>
      <c r="D2670" s="27" t="str">
        <f aca="false">IF(A2670="","",IFERROR(buscarx(A2670&amp;B2670,DATA!$E$3:$E$10000&amp;DATA!$B$3:$B$10000,DATA!$W$3:$W$10000),"No encontrado"))</f>
        <v/>
      </c>
      <c r="E2670" s="22"/>
      <c r="F2670" s="26" t="str">
        <f aca="false">IF(A2670="","",IFERROR(buscarx(A2670&amp;E2670,DATA!$E$3:$E$10000&amp;DATA!$B$3:$B$10000,DATA!$M$3:$M$10000),"Inactivo"))</f>
        <v/>
      </c>
      <c r="G2670" s="28" t="str">
        <f aca="false">IF(A2670="","",IF(AND(C2670&lt;&gt;"No encontrado",F2670&lt;&gt;"Inactivo"),C2670&amp;" → "&amp;F2670,"Sin transición"))</f>
        <v/>
      </c>
      <c r="H2670" s="26" t="str">
        <f aca="false">IF(A2670="","",IF(D2670="GCIA LINEA SERVICIO DIGITALIDAD Y VENTAS","Chats",IF(OR(D2670="GERENCIA INBOUND LÍNEAS SERVICIO Y VENTA",D2670="GERENCIA INBOUND LINEAS ESPECIALIZADAS"),"Llamadas","Otro")))</f>
        <v/>
      </c>
      <c r="I2670" s="26" t="str">
        <f aca="false">IF(A2670="","",IF(C2670="No encontrado","No","Sí"))</f>
        <v/>
      </c>
      <c r="J2670" s="26" t="str">
        <f aca="false">IF(A2670="","",IF(F2670="Inactivo","No","Sí"))</f>
        <v/>
      </c>
      <c r="K2670" s="26" t="str">
        <f aca="false">IF(A2670="","",IF(AND(I2670="Sí",J2670="Sí"),"Sí","No"))</f>
        <v/>
      </c>
    </row>
    <row r="2671" customFormat="false" ht="15" hidden="false" customHeight="false" outlineLevel="0" collapsed="false">
      <c r="A2671" s="22"/>
      <c r="B2671" s="22"/>
      <c r="C2671" s="23" t="str">
        <f aca="false">IF(A2671="","",IFERROR(buscarx(A2671&amp;B2671,DATA!$E$3:$E$10000&amp;DATA!$B$3:$B$10000,DATA!$M$3:$M$10000),"No encontrado"))</f>
        <v/>
      </c>
      <c r="D2671" s="24" t="str">
        <f aca="false">IF(A2671="","",IFERROR(buscarx(A2671&amp;B2671,DATA!$E$3:$E$10000&amp;DATA!$B$3:$B$10000,DATA!$W$3:$W$10000),"No encontrado"))</f>
        <v/>
      </c>
      <c r="E2671" s="22"/>
      <c r="F2671" s="23" t="str">
        <f aca="false">IF(A2671="","",IFERROR(buscarx(A2671&amp;E2671,DATA!$E$3:$E$10000&amp;DATA!$B$3:$B$10000,DATA!$M$3:$M$10000),"Inactivo"))</f>
        <v/>
      </c>
      <c r="G2671" s="25" t="str">
        <f aca="false">IF(A2671="","",IF(AND(C2671&lt;&gt;"No encontrado",F2671&lt;&gt;"Inactivo"),C2671&amp;" → "&amp;F2671,"Sin transición"))</f>
        <v/>
      </c>
      <c r="H2671" s="23" t="str">
        <f aca="false">IF(A2671="","",IF(D2671="GCIA LINEA SERVICIO DIGITALIDAD Y VENTAS","Chats",IF(OR(D2671="GERENCIA INBOUND LÍNEAS SERVICIO Y VENTA",D2671="GERENCIA INBOUND LINEAS ESPECIALIZADAS"),"Llamadas","Otro")))</f>
        <v/>
      </c>
      <c r="I2671" s="23" t="str">
        <f aca="false">IF(A2671="","",IF(C2671="No encontrado","No","Sí"))</f>
        <v/>
      </c>
      <c r="J2671" s="23" t="str">
        <f aca="false">IF(A2671="","",IF(F2671="Inactivo","No","Sí"))</f>
        <v/>
      </c>
      <c r="K2671" s="23" t="str">
        <f aca="false">IF(A2671="","",IF(AND(I2671="Sí",J2671="Sí"),"Sí","No"))</f>
        <v/>
      </c>
    </row>
    <row r="2672" customFormat="false" ht="15" hidden="false" customHeight="false" outlineLevel="0" collapsed="false">
      <c r="A2672" s="22"/>
      <c r="B2672" s="22"/>
      <c r="C2672" s="26" t="str">
        <f aca="false">IF(A2672="","",IFERROR(buscarx(A2672&amp;B2672,DATA!$E$3:$E$10000&amp;DATA!$B$3:$B$10000,DATA!$M$3:$M$10000),"No encontrado"))</f>
        <v/>
      </c>
      <c r="D2672" s="27" t="str">
        <f aca="false">IF(A2672="","",IFERROR(buscarx(A2672&amp;B2672,DATA!$E$3:$E$10000&amp;DATA!$B$3:$B$10000,DATA!$W$3:$W$10000),"No encontrado"))</f>
        <v/>
      </c>
      <c r="E2672" s="22"/>
      <c r="F2672" s="26" t="str">
        <f aca="false">IF(A2672="","",IFERROR(buscarx(A2672&amp;E2672,DATA!$E$3:$E$10000&amp;DATA!$B$3:$B$10000,DATA!$M$3:$M$10000),"Inactivo"))</f>
        <v/>
      </c>
      <c r="G2672" s="28" t="str">
        <f aca="false">IF(A2672="","",IF(AND(C2672&lt;&gt;"No encontrado",F2672&lt;&gt;"Inactivo"),C2672&amp;" → "&amp;F2672,"Sin transición"))</f>
        <v/>
      </c>
      <c r="H2672" s="26" t="str">
        <f aca="false">IF(A2672="","",IF(D2672="GCIA LINEA SERVICIO DIGITALIDAD Y VENTAS","Chats",IF(OR(D2672="GERENCIA INBOUND LÍNEAS SERVICIO Y VENTA",D2672="GERENCIA INBOUND LINEAS ESPECIALIZADAS"),"Llamadas","Otro")))</f>
        <v/>
      </c>
      <c r="I2672" s="26" t="str">
        <f aca="false">IF(A2672="","",IF(C2672="No encontrado","No","Sí"))</f>
        <v/>
      </c>
      <c r="J2672" s="26" t="str">
        <f aca="false">IF(A2672="","",IF(F2672="Inactivo","No","Sí"))</f>
        <v/>
      </c>
      <c r="K2672" s="26" t="str">
        <f aca="false">IF(A2672="","",IF(AND(I2672="Sí",J2672="Sí"),"Sí","No"))</f>
        <v/>
      </c>
    </row>
    <row r="2673" customFormat="false" ht="15" hidden="false" customHeight="false" outlineLevel="0" collapsed="false">
      <c r="A2673" s="22"/>
      <c r="B2673" s="22"/>
      <c r="C2673" s="23" t="str">
        <f aca="false">IF(A2673="","",IFERROR(buscarx(A2673&amp;B2673,DATA!$E$3:$E$10000&amp;DATA!$B$3:$B$10000,DATA!$M$3:$M$10000),"No encontrado"))</f>
        <v/>
      </c>
      <c r="D2673" s="24" t="str">
        <f aca="false">IF(A2673="","",IFERROR(buscarx(A2673&amp;B2673,DATA!$E$3:$E$10000&amp;DATA!$B$3:$B$10000,DATA!$W$3:$W$10000),"No encontrado"))</f>
        <v/>
      </c>
      <c r="E2673" s="22"/>
      <c r="F2673" s="23" t="str">
        <f aca="false">IF(A2673="","",IFERROR(buscarx(A2673&amp;E2673,DATA!$E$3:$E$10000&amp;DATA!$B$3:$B$10000,DATA!$M$3:$M$10000),"Inactivo"))</f>
        <v/>
      </c>
      <c r="G2673" s="25" t="str">
        <f aca="false">IF(A2673="","",IF(AND(C2673&lt;&gt;"No encontrado",F2673&lt;&gt;"Inactivo"),C2673&amp;" → "&amp;F2673,"Sin transición"))</f>
        <v/>
      </c>
      <c r="H2673" s="23" t="str">
        <f aca="false">IF(A2673="","",IF(D2673="GCIA LINEA SERVICIO DIGITALIDAD Y VENTAS","Chats",IF(OR(D2673="GERENCIA INBOUND LÍNEAS SERVICIO Y VENTA",D2673="GERENCIA INBOUND LINEAS ESPECIALIZADAS"),"Llamadas","Otro")))</f>
        <v/>
      </c>
      <c r="I2673" s="23" t="str">
        <f aca="false">IF(A2673="","",IF(C2673="No encontrado","No","Sí"))</f>
        <v/>
      </c>
      <c r="J2673" s="23" t="str">
        <f aca="false">IF(A2673="","",IF(F2673="Inactivo","No","Sí"))</f>
        <v/>
      </c>
      <c r="K2673" s="23" t="str">
        <f aca="false">IF(A2673="","",IF(AND(I2673="Sí",J2673="Sí"),"Sí","No"))</f>
        <v/>
      </c>
    </row>
    <row r="2674" customFormat="false" ht="15" hidden="false" customHeight="false" outlineLevel="0" collapsed="false">
      <c r="A2674" s="22"/>
      <c r="B2674" s="22"/>
      <c r="C2674" s="26" t="str">
        <f aca="false">IF(A2674="","",IFERROR(buscarx(A2674&amp;B2674,DATA!$E$3:$E$10000&amp;DATA!$B$3:$B$10000,DATA!$M$3:$M$10000),"No encontrado"))</f>
        <v/>
      </c>
      <c r="D2674" s="27" t="str">
        <f aca="false">IF(A2674="","",IFERROR(buscarx(A2674&amp;B2674,DATA!$E$3:$E$10000&amp;DATA!$B$3:$B$10000,DATA!$W$3:$W$10000),"No encontrado"))</f>
        <v/>
      </c>
      <c r="E2674" s="22"/>
      <c r="F2674" s="26" t="str">
        <f aca="false">IF(A2674="","",IFERROR(buscarx(A2674&amp;E2674,DATA!$E$3:$E$10000&amp;DATA!$B$3:$B$10000,DATA!$M$3:$M$10000),"Inactivo"))</f>
        <v/>
      </c>
      <c r="G2674" s="28" t="str">
        <f aca="false">IF(A2674="","",IF(AND(C2674&lt;&gt;"No encontrado",F2674&lt;&gt;"Inactivo"),C2674&amp;" → "&amp;F2674,"Sin transición"))</f>
        <v/>
      </c>
      <c r="H2674" s="26" t="str">
        <f aca="false">IF(A2674="","",IF(D2674="GCIA LINEA SERVICIO DIGITALIDAD Y VENTAS","Chats",IF(OR(D2674="GERENCIA INBOUND LÍNEAS SERVICIO Y VENTA",D2674="GERENCIA INBOUND LINEAS ESPECIALIZADAS"),"Llamadas","Otro")))</f>
        <v/>
      </c>
      <c r="I2674" s="26" t="str">
        <f aca="false">IF(A2674="","",IF(C2674="No encontrado","No","Sí"))</f>
        <v/>
      </c>
      <c r="J2674" s="26" t="str">
        <f aca="false">IF(A2674="","",IF(F2674="Inactivo","No","Sí"))</f>
        <v/>
      </c>
      <c r="K2674" s="26" t="str">
        <f aca="false">IF(A2674="","",IF(AND(I2674="Sí",J2674="Sí"),"Sí","No"))</f>
        <v/>
      </c>
    </row>
    <row r="2675" customFormat="false" ht="15" hidden="false" customHeight="false" outlineLevel="0" collapsed="false">
      <c r="A2675" s="22"/>
      <c r="B2675" s="22"/>
      <c r="C2675" s="23" t="str">
        <f aca="false">IF(A2675="","",IFERROR(buscarx(A2675&amp;B2675,DATA!$E$3:$E$10000&amp;DATA!$B$3:$B$10000,DATA!$M$3:$M$10000),"No encontrado"))</f>
        <v/>
      </c>
      <c r="D2675" s="24" t="str">
        <f aca="false">IF(A2675="","",IFERROR(buscarx(A2675&amp;B2675,DATA!$E$3:$E$10000&amp;DATA!$B$3:$B$10000,DATA!$W$3:$W$10000),"No encontrado"))</f>
        <v/>
      </c>
      <c r="E2675" s="22"/>
      <c r="F2675" s="23" t="str">
        <f aca="false">IF(A2675="","",IFERROR(buscarx(A2675&amp;E2675,DATA!$E$3:$E$10000&amp;DATA!$B$3:$B$10000,DATA!$M$3:$M$10000),"Inactivo"))</f>
        <v/>
      </c>
      <c r="G2675" s="25" t="str">
        <f aca="false">IF(A2675="","",IF(AND(C2675&lt;&gt;"No encontrado",F2675&lt;&gt;"Inactivo"),C2675&amp;" → "&amp;F2675,"Sin transición"))</f>
        <v/>
      </c>
      <c r="H2675" s="23" t="str">
        <f aca="false">IF(A2675="","",IF(D2675="GCIA LINEA SERVICIO DIGITALIDAD Y VENTAS","Chats",IF(OR(D2675="GERENCIA INBOUND LÍNEAS SERVICIO Y VENTA",D2675="GERENCIA INBOUND LINEAS ESPECIALIZADAS"),"Llamadas","Otro")))</f>
        <v/>
      </c>
      <c r="I2675" s="23" t="str">
        <f aca="false">IF(A2675="","",IF(C2675="No encontrado","No","Sí"))</f>
        <v/>
      </c>
      <c r="J2675" s="23" t="str">
        <f aca="false">IF(A2675="","",IF(F2675="Inactivo","No","Sí"))</f>
        <v/>
      </c>
      <c r="K2675" s="23" t="str">
        <f aca="false">IF(A2675="","",IF(AND(I2675="Sí",J2675="Sí"),"Sí","No"))</f>
        <v/>
      </c>
    </row>
    <row r="2676" customFormat="false" ht="15" hidden="false" customHeight="false" outlineLevel="0" collapsed="false">
      <c r="A2676" s="22"/>
      <c r="B2676" s="22"/>
      <c r="C2676" s="26" t="str">
        <f aca="false">IF(A2676="","",IFERROR(buscarx(A2676&amp;B2676,DATA!$E$3:$E$10000&amp;DATA!$B$3:$B$10000,DATA!$M$3:$M$10000),"No encontrado"))</f>
        <v/>
      </c>
      <c r="D2676" s="27" t="str">
        <f aca="false">IF(A2676="","",IFERROR(buscarx(A2676&amp;B2676,DATA!$E$3:$E$10000&amp;DATA!$B$3:$B$10000,DATA!$W$3:$W$10000),"No encontrado"))</f>
        <v/>
      </c>
      <c r="E2676" s="22"/>
      <c r="F2676" s="26" t="str">
        <f aca="false">IF(A2676="","",IFERROR(buscarx(A2676&amp;E2676,DATA!$E$3:$E$10000&amp;DATA!$B$3:$B$10000,DATA!$M$3:$M$10000),"Inactivo"))</f>
        <v/>
      </c>
      <c r="G2676" s="28" t="str">
        <f aca="false">IF(A2676="","",IF(AND(C2676&lt;&gt;"No encontrado",F2676&lt;&gt;"Inactivo"),C2676&amp;" → "&amp;F2676,"Sin transición"))</f>
        <v/>
      </c>
      <c r="H2676" s="26" t="str">
        <f aca="false">IF(A2676="","",IF(D2676="GCIA LINEA SERVICIO DIGITALIDAD Y VENTAS","Chats",IF(OR(D2676="GERENCIA INBOUND LÍNEAS SERVICIO Y VENTA",D2676="GERENCIA INBOUND LINEAS ESPECIALIZADAS"),"Llamadas","Otro")))</f>
        <v/>
      </c>
      <c r="I2676" s="26" t="str">
        <f aca="false">IF(A2676="","",IF(C2676="No encontrado","No","Sí"))</f>
        <v/>
      </c>
      <c r="J2676" s="26" t="str">
        <f aca="false">IF(A2676="","",IF(F2676="Inactivo","No","Sí"))</f>
        <v/>
      </c>
      <c r="K2676" s="26" t="str">
        <f aca="false">IF(A2676="","",IF(AND(I2676="Sí",J2676="Sí"),"Sí","No"))</f>
        <v/>
      </c>
    </row>
    <row r="2677" customFormat="false" ht="15" hidden="false" customHeight="false" outlineLevel="0" collapsed="false">
      <c r="A2677" s="22"/>
      <c r="B2677" s="22"/>
      <c r="C2677" s="23" t="str">
        <f aca="false">IF(A2677="","",IFERROR(buscarx(A2677&amp;B2677,DATA!$E$3:$E$10000&amp;DATA!$B$3:$B$10000,DATA!$M$3:$M$10000),"No encontrado"))</f>
        <v/>
      </c>
      <c r="D2677" s="24" t="str">
        <f aca="false">IF(A2677="","",IFERROR(buscarx(A2677&amp;B2677,DATA!$E$3:$E$10000&amp;DATA!$B$3:$B$10000,DATA!$W$3:$W$10000),"No encontrado"))</f>
        <v/>
      </c>
      <c r="E2677" s="22"/>
      <c r="F2677" s="23" t="str">
        <f aca="false">IF(A2677="","",IFERROR(buscarx(A2677&amp;E2677,DATA!$E$3:$E$10000&amp;DATA!$B$3:$B$10000,DATA!$M$3:$M$10000),"Inactivo"))</f>
        <v/>
      </c>
      <c r="G2677" s="25" t="str">
        <f aca="false">IF(A2677="","",IF(AND(C2677&lt;&gt;"No encontrado",F2677&lt;&gt;"Inactivo"),C2677&amp;" → "&amp;F2677,"Sin transición"))</f>
        <v/>
      </c>
      <c r="H2677" s="23" t="str">
        <f aca="false">IF(A2677="","",IF(D2677="GCIA LINEA SERVICIO DIGITALIDAD Y VENTAS","Chats",IF(OR(D2677="GERENCIA INBOUND LÍNEAS SERVICIO Y VENTA",D2677="GERENCIA INBOUND LINEAS ESPECIALIZADAS"),"Llamadas","Otro")))</f>
        <v/>
      </c>
      <c r="I2677" s="23" t="str">
        <f aca="false">IF(A2677="","",IF(C2677="No encontrado","No","Sí"))</f>
        <v/>
      </c>
      <c r="J2677" s="23" t="str">
        <f aca="false">IF(A2677="","",IF(F2677="Inactivo","No","Sí"))</f>
        <v/>
      </c>
      <c r="K2677" s="23" t="str">
        <f aca="false">IF(A2677="","",IF(AND(I2677="Sí",J2677="Sí"),"Sí","No"))</f>
        <v/>
      </c>
    </row>
    <row r="2678" customFormat="false" ht="15" hidden="false" customHeight="false" outlineLevel="0" collapsed="false">
      <c r="A2678" s="22"/>
      <c r="B2678" s="22"/>
      <c r="C2678" s="26" t="str">
        <f aca="false">IF(A2678="","",IFERROR(buscarx(A2678&amp;B2678,DATA!$E$3:$E$10000&amp;DATA!$B$3:$B$10000,DATA!$M$3:$M$10000),"No encontrado"))</f>
        <v/>
      </c>
      <c r="D2678" s="27" t="str">
        <f aca="false">IF(A2678="","",IFERROR(buscarx(A2678&amp;B2678,DATA!$E$3:$E$10000&amp;DATA!$B$3:$B$10000,DATA!$W$3:$W$10000),"No encontrado"))</f>
        <v/>
      </c>
      <c r="E2678" s="22"/>
      <c r="F2678" s="26" t="str">
        <f aca="false">IF(A2678="","",IFERROR(buscarx(A2678&amp;E2678,DATA!$E$3:$E$10000&amp;DATA!$B$3:$B$10000,DATA!$M$3:$M$10000),"Inactivo"))</f>
        <v/>
      </c>
      <c r="G2678" s="28" t="str">
        <f aca="false">IF(A2678="","",IF(AND(C2678&lt;&gt;"No encontrado",F2678&lt;&gt;"Inactivo"),C2678&amp;" → "&amp;F2678,"Sin transición"))</f>
        <v/>
      </c>
      <c r="H2678" s="26" t="str">
        <f aca="false">IF(A2678="","",IF(D2678="GCIA LINEA SERVICIO DIGITALIDAD Y VENTAS","Chats",IF(OR(D2678="GERENCIA INBOUND LÍNEAS SERVICIO Y VENTA",D2678="GERENCIA INBOUND LINEAS ESPECIALIZADAS"),"Llamadas","Otro")))</f>
        <v/>
      </c>
      <c r="I2678" s="26" t="str">
        <f aca="false">IF(A2678="","",IF(C2678="No encontrado","No","Sí"))</f>
        <v/>
      </c>
      <c r="J2678" s="26" t="str">
        <f aca="false">IF(A2678="","",IF(F2678="Inactivo","No","Sí"))</f>
        <v/>
      </c>
      <c r="K2678" s="26" t="str">
        <f aca="false">IF(A2678="","",IF(AND(I2678="Sí",J2678="Sí"),"Sí","No"))</f>
        <v/>
      </c>
    </row>
    <row r="2679" customFormat="false" ht="15" hidden="false" customHeight="false" outlineLevel="0" collapsed="false">
      <c r="A2679" s="22"/>
      <c r="B2679" s="22"/>
      <c r="C2679" s="23" t="str">
        <f aca="false">IF(A2679="","",IFERROR(buscarx(A2679&amp;B2679,DATA!$E$3:$E$10000&amp;DATA!$B$3:$B$10000,DATA!$M$3:$M$10000),"No encontrado"))</f>
        <v/>
      </c>
      <c r="D2679" s="24" t="str">
        <f aca="false">IF(A2679="","",IFERROR(buscarx(A2679&amp;B2679,DATA!$E$3:$E$10000&amp;DATA!$B$3:$B$10000,DATA!$W$3:$W$10000),"No encontrado"))</f>
        <v/>
      </c>
      <c r="E2679" s="22"/>
      <c r="F2679" s="23" t="str">
        <f aca="false">IF(A2679="","",IFERROR(buscarx(A2679&amp;E2679,DATA!$E$3:$E$10000&amp;DATA!$B$3:$B$10000,DATA!$M$3:$M$10000),"Inactivo"))</f>
        <v/>
      </c>
      <c r="G2679" s="25" t="str">
        <f aca="false">IF(A2679="","",IF(AND(C2679&lt;&gt;"No encontrado",F2679&lt;&gt;"Inactivo"),C2679&amp;" → "&amp;F2679,"Sin transición"))</f>
        <v/>
      </c>
      <c r="H2679" s="23" t="str">
        <f aca="false">IF(A2679="","",IF(D2679="GCIA LINEA SERVICIO DIGITALIDAD Y VENTAS","Chats",IF(OR(D2679="GERENCIA INBOUND LÍNEAS SERVICIO Y VENTA",D2679="GERENCIA INBOUND LINEAS ESPECIALIZADAS"),"Llamadas","Otro")))</f>
        <v/>
      </c>
      <c r="I2679" s="23" t="str">
        <f aca="false">IF(A2679="","",IF(C2679="No encontrado","No","Sí"))</f>
        <v/>
      </c>
      <c r="J2679" s="23" t="str">
        <f aca="false">IF(A2679="","",IF(F2679="Inactivo","No","Sí"))</f>
        <v/>
      </c>
      <c r="K2679" s="23" t="str">
        <f aca="false">IF(A2679="","",IF(AND(I2679="Sí",J2679="Sí"),"Sí","No"))</f>
        <v/>
      </c>
    </row>
    <row r="2680" customFormat="false" ht="15" hidden="false" customHeight="false" outlineLevel="0" collapsed="false">
      <c r="A2680" s="22"/>
      <c r="B2680" s="22"/>
      <c r="C2680" s="26" t="str">
        <f aca="false">IF(A2680="","",IFERROR(buscarx(A2680&amp;B2680,DATA!$E$3:$E$10000&amp;DATA!$B$3:$B$10000,DATA!$M$3:$M$10000),"No encontrado"))</f>
        <v/>
      </c>
      <c r="D2680" s="27" t="str">
        <f aca="false">IF(A2680="","",IFERROR(buscarx(A2680&amp;B2680,DATA!$E$3:$E$10000&amp;DATA!$B$3:$B$10000,DATA!$W$3:$W$10000),"No encontrado"))</f>
        <v/>
      </c>
      <c r="E2680" s="22"/>
      <c r="F2680" s="26" t="str">
        <f aca="false">IF(A2680="","",IFERROR(buscarx(A2680&amp;E2680,DATA!$E$3:$E$10000&amp;DATA!$B$3:$B$10000,DATA!$M$3:$M$10000),"Inactivo"))</f>
        <v/>
      </c>
      <c r="G2680" s="28" t="str">
        <f aca="false">IF(A2680="","",IF(AND(C2680&lt;&gt;"No encontrado",F2680&lt;&gt;"Inactivo"),C2680&amp;" → "&amp;F2680,"Sin transición"))</f>
        <v/>
      </c>
      <c r="H2680" s="26" t="str">
        <f aca="false">IF(A2680="","",IF(D2680="GCIA LINEA SERVICIO DIGITALIDAD Y VENTAS","Chats",IF(OR(D2680="GERENCIA INBOUND LÍNEAS SERVICIO Y VENTA",D2680="GERENCIA INBOUND LINEAS ESPECIALIZADAS"),"Llamadas","Otro")))</f>
        <v/>
      </c>
      <c r="I2680" s="26" t="str">
        <f aca="false">IF(A2680="","",IF(C2680="No encontrado","No","Sí"))</f>
        <v/>
      </c>
      <c r="J2680" s="26" t="str">
        <f aca="false">IF(A2680="","",IF(F2680="Inactivo","No","Sí"))</f>
        <v/>
      </c>
      <c r="K2680" s="26" t="str">
        <f aca="false">IF(A2680="","",IF(AND(I2680="Sí",J2680="Sí"),"Sí","No"))</f>
        <v/>
      </c>
    </row>
    <row r="2681" customFormat="false" ht="15" hidden="false" customHeight="false" outlineLevel="0" collapsed="false">
      <c r="A2681" s="22"/>
      <c r="B2681" s="22"/>
      <c r="C2681" s="23" t="str">
        <f aca="false">IF(A2681="","",IFERROR(buscarx(A2681&amp;B2681,DATA!$E$3:$E$10000&amp;DATA!$B$3:$B$10000,DATA!$M$3:$M$10000),"No encontrado"))</f>
        <v/>
      </c>
      <c r="D2681" s="24" t="str">
        <f aca="false">IF(A2681="","",IFERROR(buscarx(A2681&amp;B2681,DATA!$E$3:$E$10000&amp;DATA!$B$3:$B$10000,DATA!$W$3:$W$10000),"No encontrado"))</f>
        <v/>
      </c>
      <c r="E2681" s="22"/>
      <c r="F2681" s="23" t="str">
        <f aca="false">IF(A2681="","",IFERROR(buscarx(A2681&amp;E2681,DATA!$E$3:$E$10000&amp;DATA!$B$3:$B$10000,DATA!$M$3:$M$10000),"Inactivo"))</f>
        <v/>
      </c>
      <c r="G2681" s="25" t="str">
        <f aca="false">IF(A2681="","",IF(AND(C2681&lt;&gt;"No encontrado",F2681&lt;&gt;"Inactivo"),C2681&amp;" → "&amp;F2681,"Sin transición"))</f>
        <v/>
      </c>
      <c r="H2681" s="23" t="str">
        <f aca="false">IF(A2681="","",IF(D2681="GCIA LINEA SERVICIO DIGITALIDAD Y VENTAS","Chats",IF(OR(D2681="GERENCIA INBOUND LÍNEAS SERVICIO Y VENTA",D2681="GERENCIA INBOUND LINEAS ESPECIALIZADAS"),"Llamadas","Otro")))</f>
        <v/>
      </c>
      <c r="I2681" s="23" t="str">
        <f aca="false">IF(A2681="","",IF(C2681="No encontrado","No","Sí"))</f>
        <v/>
      </c>
      <c r="J2681" s="23" t="str">
        <f aca="false">IF(A2681="","",IF(F2681="Inactivo","No","Sí"))</f>
        <v/>
      </c>
      <c r="K2681" s="23" t="str">
        <f aca="false">IF(A2681="","",IF(AND(I2681="Sí",J2681="Sí"),"Sí","No"))</f>
        <v/>
      </c>
    </row>
    <row r="2682" customFormat="false" ht="15" hidden="false" customHeight="false" outlineLevel="0" collapsed="false">
      <c r="A2682" s="22"/>
      <c r="B2682" s="22"/>
      <c r="C2682" s="26" t="str">
        <f aca="false">IF(A2682="","",IFERROR(buscarx(A2682&amp;B2682,DATA!$E$3:$E$10000&amp;DATA!$B$3:$B$10000,DATA!$M$3:$M$10000),"No encontrado"))</f>
        <v/>
      </c>
      <c r="D2682" s="27" t="str">
        <f aca="false">IF(A2682="","",IFERROR(buscarx(A2682&amp;B2682,DATA!$E$3:$E$10000&amp;DATA!$B$3:$B$10000,DATA!$W$3:$W$10000),"No encontrado"))</f>
        <v/>
      </c>
      <c r="E2682" s="22"/>
      <c r="F2682" s="26" t="str">
        <f aca="false">IF(A2682="","",IFERROR(buscarx(A2682&amp;E2682,DATA!$E$3:$E$10000&amp;DATA!$B$3:$B$10000,DATA!$M$3:$M$10000),"Inactivo"))</f>
        <v/>
      </c>
      <c r="G2682" s="28" t="str">
        <f aca="false">IF(A2682="","",IF(AND(C2682&lt;&gt;"No encontrado",F2682&lt;&gt;"Inactivo"),C2682&amp;" → "&amp;F2682,"Sin transición"))</f>
        <v/>
      </c>
      <c r="H2682" s="26" t="str">
        <f aca="false">IF(A2682="","",IF(D2682="GCIA LINEA SERVICIO DIGITALIDAD Y VENTAS","Chats",IF(OR(D2682="GERENCIA INBOUND LÍNEAS SERVICIO Y VENTA",D2682="GERENCIA INBOUND LINEAS ESPECIALIZADAS"),"Llamadas","Otro")))</f>
        <v/>
      </c>
      <c r="I2682" s="26" t="str">
        <f aca="false">IF(A2682="","",IF(C2682="No encontrado","No","Sí"))</f>
        <v/>
      </c>
      <c r="J2682" s="26" t="str">
        <f aca="false">IF(A2682="","",IF(F2682="Inactivo","No","Sí"))</f>
        <v/>
      </c>
      <c r="K2682" s="26" t="str">
        <f aca="false">IF(A2682="","",IF(AND(I2682="Sí",J2682="Sí"),"Sí","No"))</f>
        <v/>
      </c>
    </row>
    <row r="2683" customFormat="false" ht="15" hidden="false" customHeight="false" outlineLevel="0" collapsed="false">
      <c r="A2683" s="22"/>
      <c r="B2683" s="22"/>
      <c r="C2683" s="23" t="str">
        <f aca="false">IF(A2683="","",IFERROR(buscarx(A2683&amp;B2683,DATA!$E$3:$E$10000&amp;DATA!$B$3:$B$10000,DATA!$M$3:$M$10000),"No encontrado"))</f>
        <v/>
      </c>
      <c r="D2683" s="24" t="str">
        <f aca="false">IF(A2683="","",IFERROR(buscarx(A2683&amp;B2683,DATA!$E$3:$E$10000&amp;DATA!$B$3:$B$10000,DATA!$W$3:$W$10000),"No encontrado"))</f>
        <v/>
      </c>
      <c r="E2683" s="22"/>
      <c r="F2683" s="23" t="str">
        <f aca="false">IF(A2683="","",IFERROR(buscarx(A2683&amp;E2683,DATA!$E$3:$E$10000&amp;DATA!$B$3:$B$10000,DATA!$M$3:$M$10000),"Inactivo"))</f>
        <v/>
      </c>
      <c r="G2683" s="25" t="str">
        <f aca="false">IF(A2683="","",IF(AND(C2683&lt;&gt;"No encontrado",F2683&lt;&gt;"Inactivo"),C2683&amp;" → "&amp;F2683,"Sin transición"))</f>
        <v/>
      </c>
      <c r="H2683" s="23" t="str">
        <f aca="false">IF(A2683="","",IF(D2683="GCIA LINEA SERVICIO DIGITALIDAD Y VENTAS","Chats",IF(OR(D2683="GERENCIA INBOUND LÍNEAS SERVICIO Y VENTA",D2683="GERENCIA INBOUND LINEAS ESPECIALIZADAS"),"Llamadas","Otro")))</f>
        <v/>
      </c>
      <c r="I2683" s="23" t="str">
        <f aca="false">IF(A2683="","",IF(C2683="No encontrado","No","Sí"))</f>
        <v/>
      </c>
      <c r="J2683" s="23" t="str">
        <f aca="false">IF(A2683="","",IF(F2683="Inactivo","No","Sí"))</f>
        <v/>
      </c>
      <c r="K2683" s="23" t="str">
        <f aca="false">IF(A2683="","",IF(AND(I2683="Sí",J2683="Sí"),"Sí","No"))</f>
        <v/>
      </c>
    </row>
    <row r="2684" customFormat="false" ht="15" hidden="false" customHeight="false" outlineLevel="0" collapsed="false">
      <c r="A2684" s="22"/>
      <c r="B2684" s="22"/>
      <c r="C2684" s="26" t="str">
        <f aca="false">IF(A2684="","",IFERROR(buscarx(A2684&amp;B2684,DATA!$E$3:$E$10000&amp;DATA!$B$3:$B$10000,DATA!$M$3:$M$10000),"No encontrado"))</f>
        <v/>
      </c>
      <c r="D2684" s="27" t="str">
        <f aca="false">IF(A2684="","",IFERROR(buscarx(A2684&amp;B2684,DATA!$E$3:$E$10000&amp;DATA!$B$3:$B$10000,DATA!$W$3:$W$10000),"No encontrado"))</f>
        <v/>
      </c>
      <c r="E2684" s="22"/>
      <c r="F2684" s="26" t="str">
        <f aca="false">IF(A2684="","",IFERROR(buscarx(A2684&amp;E2684,DATA!$E$3:$E$10000&amp;DATA!$B$3:$B$10000,DATA!$M$3:$M$10000),"Inactivo"))</f>
        <v/>
      </c>
      <c r="G2684" s="28" t="str">
        <f aca="false">IF(A2684="","",IF(AND(C2684&lt;&gt;"No encontrado",F2684&lt;&gt;"Inactivo"),C2684&amp;" → "&amp;F2684,"Sin transición"))</f>
        <v/>
      </c>
      <c r="H2684" s="26" t="str">
        <f aca="false">IF(A2684="","",IF(D2684="GCIA LINEA SERVICIO DIGITALIDAD Y VENTAS","Chats",IF(OR(D2684="GERENCIA INBOUND LÍNEAS SERVICIO Y VENTA",D2684="GERENCIA INBOUND LINEAS ESPECIALIZADAS"),"Llamadas","Otro")))</f>
        <v/>
      </c>
      <c r="I2684" s="26" t="str">
        <f aca="false">IF(A2684="","",IF(C2684="No encontrado","No","Sí"))</f>
        <v/>
      </c>
      <c r="J2684" s="26" t="str">
        <f aca="false">IF(A2684="","",IF(F2684="Inactivo","No","Sí"))</f>
        <v/>
      </c>
      <c r="K2684" s="26" t="str">
        <f aca="false">IF(A2684="","",IF(AND(I2684="Sí",J2684="Sí"),"Sí","No"))</f>
        <v/>
      </c>
    </row>
    <row r="2685" customFormat="false" ht="15" hidden="false" customHeight="false" outlineLevel="0" collapsed="false">
      <c r="A2685" s="22"/>
      <c r="B2685" s="22"/>
      <c r="C2685" s="23" t="str">
        <f aca="false">IF(A2685="","",IFERROR(buscarx(A2685&amp;B2685,DATA!$E$3:$E$10000&amp;DATA!$B$3:$B$10000,DATA!$M$3:$M$10000),"No encontrado"))</f>
        <v/>
      </c>
      <c r="D2685" s="24" t="str">
        <f aca="false">IF(A2685="","",IFERROR(buscarx(A2685&amp;B2685,DATA!$E$3:$E$10000&amp;DATA!$B$3:$B$10000,DATA!$W$3:$W$10000),"No encontrado"))</f>
        <v/>
      </c>
      <c r="E2685" s="22"/>
      <c r="F2685" s="23" t="str">
        <f aca="false">IF(A2685="","",IFERROR(buscarx(A2685&amp;E2685,DATA!$E$3:$E$10000&amp;DATA!$B$3:$B$10000,DATA!$M$3:$M$10000),"Inactivo"))</f>
        <v/>
      </c>
      <c r="G2685" s="25" t="str">
        <f aca="false">IF(A2685="","",IF(AND(C2685&lt;&gt;"No encontrado",F2685&lt;&gt;"Inactivo"),C2685&amp;" → "&amp;F2685,"Sin transición"))</f>
        <v/>
      </c>
      <c r="H2685" s="23" t="str">
        <f aca="false">IF(A2685="","",IF(D2685="GCIA LINEA SERVICIO DIGITALIDAD Y VENTAS","Chats",IF(OR(D2685="GERENCIA INBOUND LÍNEAS SERVICIO Y VENTA",D2685="GERENCIA INBOUND LINEAS ESPECIALIZADAS"),"Llamadas","Otro")))</f>
        <v/>
      </c>
      <c r="I2685" s="23" t="str">
        <f aca="false">IF(A2685="","",IF(C2685="No encontrado","No","Sí"))</f>
        <v/>
      </c>
      <c r="J2685" s="23" t="str">
        <f aca="false">IF(A2685="","",IF(F2685="Inactivo","No","Sí"))</f>
        <v/>
      </c>
      <c r="K2685" s="23" t="str">
        <f aca="false">IF(A2685="","",IF(AND(I2685="Sí",J2685="Sí"),"Sí","No"))</f>
        <v/>
      </c>
    </row>
    <row r="2686" customFormat="false" ht="15" hidden="false" customHeight="false" outlineLevel="0" collapsed="false">
      <c r="A2686" s="22"/>
      <c r="B2686" s="22"/>
      <c r="C2686" s="26" t="str">
        <f aca="false">IF(A2686="","",IFERROR(buscarx(A2686&amp;B2686,DATA!$E$3:$E$10000&amp;DATA!$B$3:$B$10000,DATA!$M$3:$M$10000),"No encontrado"))</f>
        <v/>
      </c>
      <c r="D2686" s="27" t="str">
        <f aca="false">IF(A2686="","",IFERROR(buscarx(A2686&amp;B2686,DATA!$E$3:$E$10000&amp;DATA!$B$3:$B$10000,DATA!$W$3:$W$10000),"No encontrado"))</f>
        <v/>
      </c>
      <c r="E2686" s="22"/>
      <c r="F2686" s="26" t="str">
        <f aca="false">IF(A2686="","",IFERROR(buscarx(A2686&amp;E2686,DATA!$E$3:$E$10000&amp;DATA!$B$3:$B$10000,DATA!$M$3:$M$10000),"Inactivo"))</f>
        <v/>
      </c>
      <c r="G2686" s="28" t="str">
        <f aca="false">IF(A2686="","",IF(AND(C2686&lt;&gt;"No encontrado",F2686&lt;&gt;"Inactivo"),C2686&amp;" → "&amp;F2686,"Sin transición"))</f>
        <v/>
      </c>
      <c r="H2686" s="26" t="str">
        <f aca="false">IF(A2686="","",IF(D2686="GCIA LINEA SERVICIO DIGITALIDAD Y VENTAS","Chats",IF(OR(D2686="GERENCIA INBOUND LÍNEAS SERVICIO Y VENTA",D2686="GERENCIA INBOUND LINEAS ESPECIALIZADAS"),"Llamadas","Otro")))</f>
        <v/>
      </c>
      <c r="I2686" s="26" t="str">
        <f aca="false">IF(A2686="","",IF(C2686="No encontrado","No","Sí"))</f>
        <v/>
      </c>
      <c r="J2686" s="26" t="str">
        <f aca="false">IF(A2686="","",IF(F2686="Inactivo","No","Sí"))</f>
        <v/>
      </c>
      <c r="K2686" s="26" t="str">
        <f aca="false">IF(A2686="","",IF(AND(I2686="Sí",J2686="Sí"),"Sí","No"))</f>
        <v/>
      </c>
    </row>
    <row r="2687" customFormat="false" ht="15" hidden="false" customHeight="false" outlineLevel="0" collapsed="false">
      <c r="A2687" s="22"/>
      <c r="B2687" s="22"/>
      <c r="C2687" s="23" t="str">
        <f aca="false">IF(A2687="","",IFERROR(buscarx(A2687&amp;B2687,DATA!$E$3:$E$10000&amp;DATA!$B$3:$B$10000,DATA!$M$3:$M$10000),"No encontrado"))</f>
        <v/>
      </c>
      <c r="D2687" s="24" t="str">
        <f aca="false">IF(A2687="","",IFERROR(buscarx(A2687&amp;B2687,DATA!$E$3:$E$10000&amp;DATA!$B$3:$B$10000,DATA!$W$3:$W$10000),"No encontrado"))</f>
        <v/>
      </c>
      <c r="E2687" s="22"/>
      <c r="F2687" s="23" t="str">
        <f aca="false">IF(A2687="","",IFERROR(buscarx(A2687&amp;E2687,DATA!$E$3:$E$10000&amp;DATA!$B$3:$B$10000,DATA!$M$3:$M$10000),"Inactivo"))</f>
        <v/>
      </c>
      <c r="G2687" s="25" t="str">
        <f aca="false">IF(A2687="","",IF(AND(C2687&lt;&gt;"No encontrado",F2687&lt;&gt;"Inactivo"),C2687&amp;" → "&amp;F2687,"Sin transición"))</f>
        <v/>
      </c>
      <c r="H2687" s="23" t="str">
        <f aca="false">IF(A2687="","",IF(D2687="GCIA LINEA SERVICIO DIGITALIDAD Y VENTAS","Chats",IF(OR(D2687="GERENCIA INBOUND LÍNEAS SERVICIO Y VENTA",D2687="GERENCIA INBOUND LINEAS ESPECIALIZADAS"),"Llamadas","Otro")))</f>
        <v/>
      </c>
      <c r="I2687" s="23" t="str">
        <f aca="false">IF(A2687="","",IF(C2687="No encontrado","No","Sí"))</f>
        <v/>
      </c>
      <c r="J2687" s="23" t="str">
        <f aca="false">IF(A2687="","",IF(F2687="Inactivo","No","Sí"))</f>
        <v/>
      </c>
      <c r="K2687" s="23" t="str">
        <f aca="false">IF(A2687="","",IF(AND(I2687="Sí",J2687="Sí"),"Sí","No"))</f>
        <v/>
      </c>
    </row>
    <row r="2688" customFormat="false" ht="15" hidden="false" customHeight="false" outlineLevel="0" collapsed="false">
      <c r="A2688" s="22"/>
      <c r="B2688" s="22"/>
      <c r="C2688" s="26" t="str">
        <f aca="false">IF(A2688="","",IFERROR(buscarx(A2688&amp;B2688,DATA!$E$3:$E$10000&amp;DATA!$B$3:$B$10000,DATA!$M$3:$M$10000),"No encontrado"))</f>
        <v/>
      </c>
      <c r="D2688" s="27" t="str">
        <f aca="false">IF(A2688="","",IFERROR(buscarx(A2688&amp;B2688,DATA!$E$3:$E$10000&amp;DATA!$B$3:$B$10000,DATA!$W$3:$W$10000),"No encontrado"))</f>
        <v/>
      </c>
      <c r="E2688" s="22"/>
      <c r="F2688" s="26" t="str">
        <f aca="false">IF(A2688="","",IFERROR(buscarx(A2688&amp;E2688,DATA!$E$3:$E$10000&amp;DATA!$B$3:$B$10000,DATA!$M$3:$M$10000),"Inactivo"))</f>
        <v/>
      </c>
      <c r="G2688" s="28" t="str">
        <f aca="false">IF(A2688="","",IF(AND(C2688&lt;&gt;"No encontrado",F2688&lt;&gt;"Inactivo"),C2688&amp;" → "&amp;F2688,"Sin transición"))</f>
        <v/>
      </c>
      <c r="H2688" s="26" t="str">
        <f aca="false">IF(A2688="","",IF(D2688="GCIA LINEA SERVICIO DIGITALIDAD Y VENTAS","Chats",IF(OR(D2688="GERENCIA INBOUND LÍNEAS SERVICIO Y VENTA",D2688="GERENCIA INBOUND LINEAS ESPECIALIZADAS"),"Llamadas","Otro")))</f>
        <v/>
      </c>
      <c r="I2688" s="26" t="str">
        <f aca="false">IF(A2688="","",IF(C2688="No encontrado","No","Sí"))</f>
        <v/>
      </c>
      <c r="J2688" s="26" t="str">
        <f aca="false">IF(A2688="","",IF(F2688="Inactivo","No","Sí"))</f>
        <v/>
      </c>
      <c r="K2688" s="26" t="str">
        <f aca="false">IF(A2688="","",IF(AND(I2688="Sí",J2688="Sí"),"Sí","No"))</f>
        <v/>
      </c>
    </row>
    <row r="2689" customFormat="false" ht="15" hidden="false" customHeight="false" outlineLevel="0" collapsed="false">
      <c r="A2689" s="22"/>
      <c r="B2689" s="22"/>
      <c r="C2689" s="23" t="str">
        <f aca="false">IF(A2689="","",IFERROR(buscarx(A2689&amp;B2689,DATA!$E$3:$E$10000&amp;DATA!$B$3:$B$10000,DATA!$M$3:$M$10000),"No encontrado"))</f>
        <v/>
      </c>
      <c r="D2689" s="24" t="str">
        <f aca="false">IF(A2689="","",IFERROR(buscarx(A2689&amp;B2689,DATA!$E$3:$E$10000&amp;DATA!$B$3:$B$10000,DATA!$W$3:$W$10000),"No encontrado"))</f>
        <v/>
      </c>
      <c r="E2689" s="22"/>
      <c r="F2689" s="23" t="str">
        <f aca="false">IF(A2689="","",IFERROR(buscarx(A2689&amp;E2689,DATA!$E$3:$E$10000&amp;DATA!$B$3:$B$10000,DATA!$M$3:$M$10000),"Inactivo"))</f>
        <v/>
      </c>
      <c r="G2689" s="25" t="str">
        <f aca="false">IF(A2689="","",IF(AND(C2689&lt;&gt;"No encontrado",F2689&lt;&gt;"Inactivo"),C2689&amp;" → "&amp;F2689,"Sin transición"))</f>
        <v/>
      </c>
      <c r="H2689" s="23" t="str">
        <f aca="false">IF(A2689="","",IF(D2689="GCIA LINEA SERVICIO DIGITALIDAD Y VENTAS","Chats",IF(OR(D2689="GERENCIA INBOUND LÍNEAS SERVICIO Y VENTA",D2689="GERENCIA INBOUND LINEAS ESPECIALIZADAS"),"Llamadas","Otro")))</f>
        <v/>
      </c>
      <c r="I2689" s="23" t="str">
        <f aca="false">IF(A2689="","",IF(C2689="No encontrado","No","Sí"))</f>
        <v/>
      </c>
      <c r="J2689" s="23" t="str">
        <f aca="false">IF(A2689="","",IF(F2689="Inactivo","No","Sí"))</f>
        <v/>
      </c>
      <c r="K2689" s="23" t="str">
        <f aca="false">IF(A2689="","",IF(AND(I2689="Sí",J2689="Sí"),"Sí","No"))</f>
        <v/>
      </c>
    </row>
    <row r="2690" customFormat="false" ht="15" hidden="false" customHeight="false" outlineLevel="0" collapsed="false">
      <c r="A2690" s="22"/>
      <c r="B2690" s="22"/>
      <c r="C2690" s="26" t="str">
        <f aca="false">IF(A2690="","",IFERROR(buscarx(A2690&amp;B2690,DATA!$E$3:$E$10000&amp;DATA!$B$3:$B$10000,DATA!$M$3:$M$10000),"No encontrado"))</f>
        <v/>
      </c>
      <c r="D2690" s="27" t="str">
        <f aca="false">IF(A2690="","",IFERROR(buscarx(A2690&amp;B2690,DATA!$E$3:$E$10000&amp;DATA!$B$3:$B$10000,DATA!$W$3:$W$10000),"No encontrado"))</f>
        <v/>
      </c>
      <c r="E2690" s="22"/>
      <c r="F2690" s="26" t="str">
        <f aca="false">IF(A2690="","",IFERROR(buscarx(A2690&amp;E2690,DATA!$E$3:$E$10000&amp;DATA!$B$3:$B$10000,DATA!$M$3:$M$10000),"Inactivo"))</f>
        <v/>
      </c>
      <c r="G2690" s="28" t="str">
        <f aca="false">IF(A2690="","",IF(AND(C2690&lt;&gt;"No encontrado",F2690&lt;&gt;"Inactivo"),C2690&amp;" → "&amp;F2690,"Sin transición"))</f>
        <v/>
      </c>
      <c r="H2690" s="26" t="str">
        <f aca="false">IF(A2690="","",IF(D2690="GCIA LINEA SERVICIO DIGITALIDAD Y VENTAS","Chats",IF(OR(D2690="GERENCIA INBOUND LÍNEAS SERVICIO Y VENTA",D2690="GERENCIA INBOUND LINEAS ESPECIALIZADAS"),"Llamadas","Otro")))</f>
        <v/>
      </c>
      <c r="I2690" s="26" t="str">
        <f aca="false">IF(A2690="","",IF(C2690="No encontrado","No","Sí"))</f>
        <v/>
      </c>
      <c r="J2690" s="26" t="str">
        <f aca="false">IF(A2690="","",IF(F2690="Inactivo","No","Sí"))</f>
        <v/>
      </c>
      <c r="K2690" s="26" t="str">
        <f aca="false">IF(A2690="","",IF(AND(I2690="Sí",J2690="Sí"),"Sí","No"))</f>
        <v/>
      </c>
    </row>
    <row r="2691" customFormat="false" ht="15" hidden="false" customHeight="false" outlineLevel="0" collapsed="false">
      <c r="A2691" s="22"/>
      <c r="B2691" s="22"/>
      <c r="C2691" s="23" t="str">
        <f aca="false">IF(A2691="","",IFERROR(buscarx(A2691&amp;B2691,DATA!$E$3:$E$10000&amp;DATA!$B$3:$B$10000,DATA!$M$3:$M$10000),"No encontrado"))</f>
        <v/>
      </c>
      <c r="D2691" s="24" t="str">
        <f aca="false">IF(A2691="","",IFERROR(buscarx(A2691&amp;B2691,DATA!$E$3:$E$10000&amp;DATA!$B$3:$B$10000,DATA!$W$3:$W$10000),"No encontrado"))</f>
        <v/>
      </c>
      <c r="E2691" s="22"/>
      <c r="F2691" s="23" t="str">
        <f aca="false">IF(A2691="","",IFERROR(buscarx(A2691&amp;E2691,DATA!$E$3:$E$10000&amp;DATA!$B$3:$B$10000,DATA!$M$3:$M$10000),"Inactivo"))</f>
        <v/>
      </c>
      <c r="G2691" s="25" t="str">
        <f aca="false">IF(A2691="","",IF(AND(C2691&lt;&gt;"No encontrado",F2691&lt;&gt;"Inactivo"),C2691&amp;" → "&amp;F2691,"Sin transición"))</f>
        <v/>
      </c>
      <c r="H2691" s="23" t="str">
        <f aca="false">IF(A2691="","",IF(D2691="GCIA LINEA SERVICIO DIGITALIDAD Y VENTAS","Chats",IF(OR(D2691="GERENCIA INBOUND LÍNEAS SERVICIO Y VENTA",D2691="GERENCIA INBOUND LINEAS ESPECIALIZADAS"),"Llamadas","Otro")))</f>
        <v/>
      </c>
      <c r="I2691" s="23" t="str">
        <f aca="false">IF(A2691="","",IF(C2691="No encontrado","No","Sí"))</f>
        <v/>
      </c>
      <c r="J2691" s="23" t="str">
        <f aca="false">IF(A2691="","",IF(F2691="Inactivo","No","Sí"))</f>
        <v/>
      </c>
      <c r="K2691" s="23" t="str">
        <f aca="false">IF(A2691="","",IF(AND(I2691="Sí",J2691="Sí"),"Sí","No"))</f>
        <v/>
      </c>
    </row>
    <row r="2692" customFormat="false" ht="15" hidden="false" customHeight="false" outlineLevel="0" collapsed="false">
      <c r="A2692" s="22"/>
      <c r="B2692" s="22"/>
      <c r="C2692" s="26" t="str">
        <f aca="false">IF(A2692="","",IFERROR(buscarx(A2692&amp;B2692,DATA!$E$3:$E$10000&amp;DATA!$B$3:$B$10000,DATA!$M$3:$M$10000),"No encontrado"))</f>
        <v/>
      </c>
      <c r="D2692" s="27" t="str">
        <f aca="false">IF(A2692="","",IFERROR(buscarx(A2692&amp;B2692,DATA!$E$3:$E$10000&amp;DATA!$B$3:$B$10000,DATA!$W$3:$W$10000),"No encontrado"))</f>
        <v/>
      </c>
      <c r="E2692" s="22"/>
      <c r="F2692" s="26" t="str">
        <f aca="false">IF(A2692="","",IFERROR(buscarx(A2692&amp;E2692,DATA!$E$3:$E$10000&amp;DATA!$B$3:$B$10000,DATA!$M$3:$M$10000),"Inactivo"))</f>
        <v/>
      </c>
      <c r="G2692" s="28" t="str">
        <f aca="false">IF(A2692="","",IF(AND(C2692&lt;&gt;"No encontrado",F2692&lt;&gt;"Inactivo"),C2692&amp;" → "&amp;F2692,"Sin transición"))</f>
        <v/>
      </c>
      <c r="H2692" s="26" t="str">
        <f aca="false">IF(A2692="","",IF(D2692="GCIA LINEA SERVICIO DIGITALIDAD Y VENTAS","Chats",IF(OR(D2692="GERENCIA INBOUND LÍNEAS SERVICIO Y VENTA",D2692="GERENCIA INBOUND LINEAS ESPECIALIZADAS"),"Llamadas","Otro")))</f>
        <v/>
      </c>
      <c r="I2692" s="26" t="str">
        <f aca="false">IF(A2692="","",IF(C2692="No encontrado","No","Sí"))</f>
        <v/>
      </c>
      <c r="J2692" s="26" t="str">
        <f aca="false">IF(A2692="","",IF(F2692="Inactivo","No","Sí"))</f>
        <v/>
      </c>
      <c r="K2692" s="26" t="str">
        <f aca="false">IF(A2692="","",IF(AND(I2692="Sí",J2692="Sí"),"Sí","No"))</f>
        <v/>
      </c>
    </row>
    <row r="2693" customFormat="false" ht="15" hidden="false" customHeight="false" outlineLevel="0" collapsed="false">
      <c r="A2693" s="22"/>
      <c r="B2693" s="22"/>
      <c r="C2693" s="23" t="str">
        <f aca="false">IF(A2693="","",IFERROR(buscarx(A2693&amp;B2693,DATA!$E$3:$E$10000&amp;DATA!$B$3:$B$10000,DATA!$M$3:$M$10000),"No encontrado"))</f>
        <v/>
      </c>
      <c r="D2693" s="24" t="str">
        <f aca="false">IF(A2693="","",IFERROR(buscarx(A2693&amp;B2693,DATA!$E$3:$E$10000&amp;DATA!$B$3:$B$10000,DATA!$W$3:$W$10000),"No encontrado"))</f>
        <v/>
      </c>
      <c r="E2693" s="22"/>
      <c r="F2693" s="23" t="str">
        <f aca="false">IF(A2693="","",IFERROR(buscarx(A2693&amp;E2693,DATA!$E$3:$E$10000&amp;DATA!$B$3:$B$10000,DATA!$M$3:$M$10000),"Inactivo"))</f>
        <v/>
      </c>
      <c r="G2693" s="25" t="str">
        <f aca="false">IF(A2693="","",IF(AND(C2693&lt;&gt;"No encontrado",F2693&lt;&gt;"Inactivo"),C2693&amp;" → "&amp;F2693,"Sin transición"))</f>
        <v/>
      </c>
      <c r="H2693" s="23" t="str">
        <f aca="false">IF(A2693="","",IF(D2693="GCIA LINEA SERVICIO DIGITALIDAD Y VENTAS","Chats",IF(OR(D2693="GERENCIA INBOUND LÍNEAS SERVICIO Y VENTA",D2693="GERENCIA INBOUND LINEAS ESPECIALIZADAS"),"Llamadas","Otro")))</f>
        <v/>
      </c>
      <c r="I2693" s="23" t="str">
        <f aca="false">IF(A2693="","",IF(C2693="No encontrado","No","Sí"))</f>
        <v/>
      </c>
      <c r="J2693" s="23" t="str">
        <f aca="false">IF(A2693="","",IF(F2693="Inactivo","No","Sí"))</f>
        <v/>
      </c>
      <c r="K2693" s="23" t="str">
        <f aca="false">IF(A2693="","",IF(AND(I2693="Sí",J2693="Sí"),"Sí","No"))</f>
        <v/>
      </c>
    </row>
    <row r="2694" customFormat="false" ht="15" hidden="false" customHeight="false" outlineLevel="0" collapsed="false">
      <c r="A2694" s="22"/>
      <c r="B2694" s="22"/>
      <c r="C2694" s="26" t="str">
        <f aca="false">IF(A2694="","",IFERROR(buscarx(A2694&amp;B2694,DATA!$E$3:$E$10000&amp;DATA!$B$3:$B$10000,DATA!$M$3:$M$10000),"No encontrado"))</f>
        <v/>
      </c>
      <c r="D2694" s="27" t="str">
        <f aca="false">IF(A2694="","",IFERROR(buscarx(A2694&amp;B2694,DATA!$E$3:$E$10000&amp;DATA!$B$3:$B$10000,DATA!$W$3:$W$10000),"No encontrado"))</f>
        <v/>
      </c>
      <c r="E2694" s="22"/>
      <c r="F2694" s="26" t="str">
        <f aca="false">IF(A2694="","",IFERROR(buscarx(A2694&amp;E2694,DATA!$E$3:$E$10000&amp;DATA!$B$3:$B$10000,DATA!$M$3:$M$10000),"Inactivo"))</f>
        <v/>
      </c>
      <c r="G2694" s="28" t="str">
        <f aca="false">IF(A2694="","",IF(AND(C2694&lt;&gt;"No encontrado",F2694&lt;&gt;"Inactivo"),C2694&amp;" → "&amp;F2694,"Sin transición"))</f>
        <v/>
      </c>
      <c r="H2694" s="26" t="str">
        <f aca="false">IF(A2694="","",IF(D2694="GCIA LINEA SERVICIO DIGITALIDAD Y VENTAS","Chats",IF(OR(D2694="GERENCIA INBOUND LÍNEAS SERVICIO Y VENTA",D2694="GERENCIA INBOUND LINEAS ESPECIALIZADAS"),"Llamadas","Otro")))</f>
        <v/>
      </c>
      <c r="I2694" s="26" t="str">
        <f aca="false">IF(A2694="","",IF(C2694="No encontrado","No","Sí"))</f>
        <v/>
      </c>
      <c r="J2694" s="26" t="str">
        <f aca="false">IF(A2694="","",IF(F2694="Inactivo","No","Sí"))</f>
        <v/>
      </c>
      <c r="K2694" s="26" t="str">
        <f aca="false">IF(A2694="","",IF(AND(I2694="Sí",J2694="Sí"),"Sí","No"))</f>
        <v/>
      </c>
    </row>
    <row r="2695" customFormat="false" ht="15" hidden="false" customHeight="false" outlineLevel="0" collapsed="false">
      <c r="A2695" s="22"/>
      <c r="B2695" s="22"/>
      <c r="C2695" s="23" t="str">
        <f aca="false">IF(A2695="","",IFERROR(buscarx(A2695&amp;B2695,DATA!$E$3:$E$10000&amp;DATA!$B$3:$B$10000,DATA!$M$3:$M$10000),"No encontrado"))</f>
        <v/>
      </c>
      <c r="D2695" s="24" t="str">
        <f aca="false">IF(A2695="","",IFERROR(buscarx(A2695&amp;B2695,DATA!$E$3:$E$10000&amp;DATA!$B$3:$B$10000,DATA!$W$3:$W$10000),"No encontrado"))</f>
        <v/>
      </c>
      <c r="E2695" s="22"/>
      <c r="F2695" s="23" t="str">
        <f aca="false">IF(A2695="","",IFERROR(buscarx(A2695&amp;E2695,DATA!$E$3:$E$10000&amp;DATA!$B$3:$B$10000,DATA!$M$3:$M$10000),"Inactivo"))</f>
        <v/>
      </c>
      <c r="G2695" s="25" t="str">
        <f aca="false">IF(A2695="","",IF(AND(C2695&lt;&gt;"No encontrado",F2695&lt;&gt;"Inactivo"),C2695&amp;" → "&amp;F2695,"Sin transición"))</f>
        <v/>
      </c>
      <c r="H2695" s="23" t="str">
        <f aca="false">IF(A2695="","",IF(D2695="GCIA LINEA SERVICIO DIGITALIDAD Y VENTAS","Chats",IF(OR(D2695="GERENCIA INBOUND LÍNEAS SERVICIO Y VENTA",D2695="GERENCIA INBOUND LINEAS ESPECIALIZADAS"),"Llamadas","Otro")))</f>
        <v/>
      </c>
      <c r="I2695" s="23" t="str">
        <f aca="false">IF(A2695="","",IF(C2695="No encontrado","No","Sí"))</f>
        <v/>
      </c>
      <c r="J2695" s="23" t="str">
        <f aca="false">IF(A2695="","",IF(F2695="Inactivo","No","Sí"))</f>
        <v/>
      </c>
      <c r="K2695" s="23" t="str">
        <f aca="false">IF(A2695="","",IF(AND(I2695="Sí",J2695="Sí"),"Sí","No"))</f>
        <v/>
      </c>
    </row>
    <row r="2696" customFormat="false" ht="15" hidden="false" customHeight="false" outlineLevel="0" collapsed="false">
      <c r="A2696" s="22"/>
      <c r="B2696" s="22"/>
      <c r="C2696" s="26" t="str">
        <f aca="false">IF(A2696="","",IFERROR(buscarx(A2696&amp;B2696,DATA!$E$3:$E$10000&amp;DATA!$B$3:$B$10000,DATA!$M$3:$M$10000),"No encontrado"))</f>
        <v/>
      </c>
      <c r="D2696" s="27" t="str">
        <f aca="false">IF(A2696="","",IFERROR(buscarx(A2696&amp;B2696,DATA!$E$3:$E$10000&amp;DATA!$B$3:$B$10000,DATA!$W$3:$W$10000),"No encontrado"))</f>
        <v/>
      </c>
      <c r="E2696" s="22"/>
      <c r="F2696" s="26" t="str">
        <f aca="false">IF(A2696="","",IFERROR(buscarx(A2696&amp;E2696,DATA!$E$3:$E$10000&amp;DATA!$B$3:$B$10000,DATA!$M$3:$M$10000),"Inactivo"))</f>
        <v/>
      </c>
      <c r="G2696" s="28" t="str">
        <f aca="false">IF(A2696="","",IF(AND(C2696&lt;&gt;"No encontrado",F2696&lt;&gt;"Inactivo"),C2696&amp;" → "&amp;F2696,"Sin transición"))</f>
        <v/>
      </c>
      <c r="H2696" s="26" t="str">
        <f aca="false">IF(A2696="","",IF(D2696="GCIA LINEA SERVICIO DIGITALIDAD Y VENTAS","Chats",IF(OR(D2696="GERENCIA INBOUND LÍNEAS SERVICIO Y VENTA",D2696="GERENCIA INBOUND LINEAS ESPECIALIZADAS"),"Llamadas","Otro")))</f>
        <v/>
      </c>
      <c r="I2696" s="26" t="str">
        <f aca="false">IF(A2696="","",IF(C2696="No encontrado","No","Sí"))</f>
        <v/>
      </c>
      <c r="J2696" s="26" t="str">
        <f aca="false">IF(A2696="","",IF(F2696="Inactivo","No","Sí"))</f>
        <v/>
      </c>
      <c r="K2696" s="26" t="str">
        <f aca="false">IF(A2696="","",IF(AND(I2696="Sí",J2696="Sí"),"Sí","No"))</f>
        <v/>
      </c>
    </row>
    <row r="2697" customFormat="false" ht="15" hidden="false" customHeight="false" outlineLevel="0" collapsed="false">
      <c r="A2697" s="22"/>
      <c r="B2697" s="22"/>
      <c r="C2697" s="23" t="str">
        <f aca="false">IF(A2697="","",IFERROR(buscarx(A2697&amp;B2697,DATA!$E$3:$E$10000&amp;DATA!$B$3:$B$10000,DATA!$M$3:$M$10000),"No encontrado"))</f>
        <v/>
      </c>
      <c r="D2697" s="24" t="str">
        <f aca="false">IF(A2697="","",IFERROR(buscarx(A2697&amp;B2697,DATA!$E$3:$E$10000&amp;DATA!$B$3:$B$10000,DATA!$W$3:$W$10000),"No encontrado"))</f>
        <v/>
      </c>
      <c r="E2697" s="22"/>
      <c r="F2697" s="23" t="str">
        <f aca="false">IF(A2697="","",IFERROR(buscarx(A2697&amp;E2697,DATA!$E$3:$E$10000&amp;DATA!$B$3:$B$10000,DATA!$M$3:$M$10000),"Inactivo"))</f>
        <v/>
      </c>
      <c r="G2697" s="25" t="str">
        <f aca="false">IF(A2697="","",IF(AND(C2697&lt;&gt;"No encontrado",F2697&lt;&gt;"Inactivo"),C2697&amp;" → "&amp;F2697,"Sin transición"))</f>
        <v/>
      </c>
      <c r="H2697" s="23" t="str">
        <f aca="false">IF(A2697="","",IF(D2697="GCIA LINEA SERVICIO DIGITALIDAD Y VENTAS","Chats",IF(OR(D2697="GERENCIA INBOUND LÍNEAS SERVICIO Y VENTA",D2697="GERENCIA INBOUND LINEAS ESPECIALIZADAS"),"Llamadas","Otro")))</f>
        <v/>
      </c>
      <c r="I2697" s="23" t="str">
        <f aca="false">IF(A2697="","",IF(C2697="No encontrado","No","Sí"))</f>
        <v/>
      </c>
      <c r="J2697" s="23" t="str">
        <f aca="false">IF(A2697="","",IF(F2697="Inactivo","No","Sí"))</f>
        <v/>
      </c>
      <c r="K2697" s="23" t="str">
        <f aca="false">IF(A2697="","",IF(AND(I2697="Sí",J2697="Sí"),"Sí","No"))</f>
        <v/>
      </c>
    </row>
    <row r="2698" customFormat="false" ht="15" hidden="false" customHeight="false" outlineLevel="0" collapsed="false">
      <c r="A2698" s="22"/>
      <c r="B2698" s="22"/>
      <c r="C2698" s="26" t="str">
        <f aca="false">IF(A2698="","",IFERROR(buscarx(A2698&amp;B2698,DATA!$E$3:$E$10000&amp;DATA!$B$3:$B$10000,DATA!$M$3:$M$10000),"No encontrado"))</f>
        <v/>
      </c>
      <c r="D2698" s="27" t="str">
        <f aca="false">IF(A2698="","",IFERROR(buscarx(A2698&amp;B2698,DATA!$E$3:$E$10000&amp;DATA!$B$3:$B$10000,DATA!$W$3:$W$10000),"No encontrado"))</f>
        <v/>
      </c>
      <c r="E2698" s="22"/>
      <c r="F2698" s="26" t="str">
        <f aca="false">IF(A2698="","",IFERROR(buscarx(A2698&amp;E2698,DATA!$E$3:$E$10000&amp;DATA!$B$3:$B$10000,DATA!$M$3:$M$10000),"Inactivo"))</f>
        <v/>
      </c>
      <c r="G2698" s="28" t="str">
        <f aca="false">IF(A2698="","",IF(AND(C2698&lt;&gt;"No encontrado",F2698&lt;&gt;"Inactivo"),C2698&amp;" → "&amp;F2698,"Sin transición"))</f>
        <v/>
      </c>
      <c r="H2698" s="26" t="str">
        <f aca="false">IF(A2698="","",IF(D2698="GCIA LINEA SERVICIO DIGITALIDAD Y VENTAS","Chats",IF(OR(D2698="GERENCIA INBOUND LÍNEAS SERVICIO Y VENTA",D2698="GERENCIA INBOUND LINEAS ESPECIALIZADAS"),"Llamadas","Otro")))</f>
        <v/>
      </c>
      <c r="I2698" s="26" t="str">
        <f aca="false">IF(A2698="","",IF(C2698="No encontrado","No","Sí"))</f>
        <v/>
      </c>
      <c r="J2698" s="26" t="str">
        <f aca="false">IF(A2698="","",IF(F2698="Inactivo","No","Sí"))</f>
        <v/>
      </c>
      <c r="K2698" s="26" t="str">
        <f aca="false">IF(A2698="","",IF(AND(I2698="Sí",J2698="Sí"),"Sí","No"))</f>
        <v/>
      </c>
    </row>
    <row r="2699" customFormat="false" ht="15" hidden="false" customHeight="false" outlineLevel="0" collapsed="false">
      <c r="A2699" s="22"/>
      <c r="B2699" s="22"/>
      <c r="C2699" s="23" t="str">
        <f aca="false">IF(A2699="","",IFERROR(buscarx(A2699&amp;B2699,DATA!$E$3:$E$10000&amp;DATA!$B$3:$B$10000,DATA!$M$3:$M$10000),"No encontrado"))</f>
        <v/>
      </c>
      <c r="D2699" s="24" t="str">
        <f aca="false">IF(A2699="","",IFERROR(buscarx(A2699&amp;B2699,DATA!$E$3:$E$10000&amp;DATA!$B$3:$B$10000,DATA!$W$3:$W$10000),"No encontrado"))</f>
        <v/>
      </c>
      <c r="E2699" s="22"/>
      <c r="F2699" s="23" t="str">
        <f aca="false">IF(A2699="","",IFERROR(buscarx(A2699&amp;E2699,DATA!$E$3:$E$10000&amp;DATA!$B$3:$B$10000,DATA!$M$3:$M$10000),"Inactivo"))</f>
        <v/>
      </c>
      <c r="G2699" s="25" t="str">
        <f aca="false">IF(A2699="","",IF(AND(C2699&lt;&gt;"No encontrado",F2699&lt;&gt;"Inactivo"),C2699&amp;" → "&amp;F2699,"Sin transición"))</f>
        <v/>
      </c>
      <c r="H2699" s="23" t="str">
        <f aca="false">IF(A2699="","",IF(D2699="GCIA LINEA SERVICIO DIGITALIDAD Y VENTAS","Chats",IF(OR(D2699="GERENCIA INBOUND LÍNEAS SERVICIO Y VENTA",D2699="GERENCIA INBOUND LINEAS ESPECIALIZADAS"),"Llamadas","Otro")))</f>
        <v/>
      </c>
      <c r="I2699" s="23" t="str">
        <f aca="false">IF(A2699="","",IF(C2699="No encontrado","No","Sí"))</f>
        <v/>
      </c>
      <c r="J2699" s="23" t="str">
        <f aca="false">IF(A2699="","",IF(F2699="Inactivo","No","Sí"))</f>
        <v/>
      </c>
      <c r="K2699" s="23" t="str">
        <f aca="false">IF(A2699="","",IF(AND(I2699="Sí",J2699="Sí"),"Sí","No"))</f>
        <v/>
      </c>
    </row>
    <row r="2700" customFormat="false" ht="15" hidden="false" customHeight="false" outlineLevel="0" collapsed="false">
      <c r="A2700" s="22"/>
      <c r="B2700" s="22"/>
      <c r="C2700" s="26" t="str">
        <f aca="false">IF(A2700="","",IFERROR(buscarx(A2700&amp;B2700,DATA!$E$3:$E$10000&amp;DATA!$B$3:$B$10000,DATA!$M$3:$M$10000),"No encontrado"))</f>
        <v/>
      </c>
      <c r="D2700" s="27" t="str">
        <f aca="false">IF(A2700="","",IFERROR(buscarx(A2700&amp;B2700,DATA!$E$3:$E$10000&amp;DATA!$B$3:$B$10000,DATA!$W$3:$W$10000),"No encontrado"))</f>
        <v/>
      </c>
      <c r="E2700" s="22"/>
      <c r="F2700" s="26" t="str">
        <f aca="false">IF(A2700="","",IFERROR(buscarx(A2700&amp;E2700,DATA!$E$3:$E$10000&amp;DATA!$B$3:$B$10000,DATA!$M$3:$M$10000),"Inactivo"))</f>
        <v/>
      </c>
      <c r="G2700" s="28" t="str">
        <f aca="false">IF(A2700="","",IF(AND(C2700&lt;&gt;"No encontrado",F2700&lt;&gt;"Inactivo"),C2700&amp;" → "&amp;F2700,"Sin transición"))</f>
        <v/>
      </c>
      <c r="H2700" s="26" t="str">
        <f aca="false">IF(A2700="","",IF(D2700="GCIA LINEA SERVICIO DIGITALIDAD Y VENTAS","Chats",IF(OR(D2700="GERENCIA INBOUND LÍNEAS SERVICIO Y VENTA",D2700="GERENCIA INBOUND LINEAS ESPECIALIZADAS"),"Llamadas","Otro")))</f>
        <v/>
      </c>
      <c r="I2700" s="26" t="str">
        <f aca="false">IF(A2700="","",IF(C2700="No encontrado","No","Sí"))</f>
        <v/>
      </c>
      <c r="J2700" s="26" t="str">
        <f aca="false">IF(A2700="","",IF(F2700="Inactivo","No","Sí"))</f>
        <v/>
      </c>
      <c r="K2700" s="26" t="str">
        <f aca="false">IF(A2700="","",IF(AND(I2700="Sí",J2700="Sí"),"Sí","No"))</f>
        <v/>
      </c>
    </row>
    <row r="2701" customFormat="false" ht="15" hidden="false" customHeight="false" outlineLevel="0" collapsed="false">
      <c r="A2701" s="22"/>
      <c r="B2701" s="22"/>
      <c r="C2701" s="23" t="str">
        <f aca="false">IF(A2701="","",IFERROR(buscarx(A2701&amp;B2701,DATA!$E$3:$E$10000&amp;DATA!$B$3:$B$10000,DATA!$M$3:$M$10000),"No encontrado"))</f>
        <v/>
      </c>
      <c r="D2701" s="24" t="str">
        <f aca="false">IF(A2701="","",IFERROR(buscarx(A2701&amp;B2701,DATA!$E$3:$E$10000&amp;DATA!$B$3:$B$10000,DATA!$W$3:$W$10000),"No encontrado"))</f>
        <v/>
      </c>
      <c r="E2701" s="22"/>
      <c r="F2701" s="23" t="str">
        <f aca="false">IF(A2701="","",IFERROR(buscarx(A2701&amp;E2701,DATA!$E$3:$E$10000&amp;DATA!$B$3:$B$10000,DATA!$M$3:$M$10000),"Inactivo"))</f>
        <v/>
      </c>
      <c r="G2701" s="25" t="str">
        <f aca="false">IF(A2701="","",IF(AND(C2701&lt;&gt;"No encontrado",F2701&lt;&gt;"Inactivo"),C2701&amp;" → "&amp;F2701,"Sin transición"))</f>
        <v/>
      </c>
      <c r="H2701" s="23" t="str">
        <f aca="false">IF(A2701="","",IF(D2701="GCIA LINEA SERVICIO DIGITALIDAD Y VENTAS","Chats",IF(OR(D2701="GERENCIA INBOUND LÍNEAS SERVICIO Y VENTA",D2701="GERENCIA INBOUND LINEAS ESPECIALIZADAS"),"Llamadas","Otro")))</f>
        <v/>
      </c>
      <c r="I2701" s="23" t="str">
        <f aca="false">IF(A2701="","",IF(C2701="No encontrado","No","Sí"))</f>
        <v/>
      </c>
      <c r="J2701" s="23" t="str">
        <f aca="false">IF(A2701="","",IF(F2701="Inactivo","No","Sí"))</f>
        <v/>
      </c>
      <c r="K2701" s="23" t="str">
        <f aca="false">IF(A2701="","",IF(AND(I2701="Sí",J2701="Sí"),"Sí","No"))</f>
        <v/>
      </c>
    </row>
    <row r="2702" customFormat="false" ht="15" hidden="false" customHeight="false" outlineLevel="0" collapsed="false">
      <c r="A2702" s="22"/>
      <c r="B2702" s="22"/>
      <c r="C2702" s="26" t="str">
        <f aca="false">IF(A2702="","",IFERROR(buscarx(A2702&amp;B2702,DATA!$E$3:$E$10000&amp;DATA!$B$3:$B$10000,DATA!$M$3:$M$10000),"No encontrado"))</f>
        <v/>
      </c>
      <c r="D2702" s="27" t="str">
        <f aca="false">IF(A2702="","",IFERROR(buscarx(A2702&amp;B2702,DATA!$E$3:$E$10000&amp;DATA!$B$3:$B$10000,DATA!$W$3:$W$10000),"No encontrado"))</f>
        <v/>
      </c>
      <c r="E2702" s="22"/>
      <c r="F2702" s="26" t="str">
        <f aca="false">IF(A2702="","",IFERROR(buscarx(A2702&amp;E2702,DATA!$E$3:$E$10000&amp;DATA!$B$3:$B$10000,DATA!$M$3:$M$10000),"Inactivo"))</f>
        <v/>
      </c>
      <c r="G2702" s="28" t="str">
        <f aca="false">IF(A2702="","",IF(AND(C2702&lt;&gt;"No encontrado",F2702&lt;&gt;"Inactivo"),C2702&amp;" → "&amp;F2702,"Sin transición"))</f>
        <v/>
      </c>
      <c r="H2702" s="26" t="str">
        <f aca="false">IF(A2702="","",IF(D2702="GCIA LINEA SERVICIO DIGITALIDAD Y VENTAS","Chats",IF(OR(D2702="GERENCIA INBOUND LÍNEAS SERVICIO Y VENTA",D2702="GERENCIA INBOUND LINEAS ESPECIALIZADAS"),"Llamadas","Otro")))</f>
        <v/>
      </c>
      <c r="I2702" s="26" t="str">
        <f aca="false">IF(A2702="","",IF(C2702="No encontrado","No","Sí"))</f>
        <v/>
      </c>
      <c r="J2702" s="26" t="str">
        <f aca="false">IF(A2702="","",IF(F2702="Inactivo","No","Sí"))</f>
        <v/>
      </c>
      <c r="K2702" s="26" t="str">
        <f aca="false">IF(A2702="","",IF(AND(I2702="Sí",J2702="Sí"),"Sí","No"))</f>
        <v/>
      </c>
    </row>
    <row r="2703" customFormat="false" ht="15" hidden="false" customHeight="false" outlineLevel="0" collapsed="false">
      <c r="A2703" s="22"/>
      <c r="B2703" s="22"/>
      <c r="C2703" s="23" t="str">
        <f aca="false">IF(A2703="","",IFERROR(buscarx(A2703&amp;B2703,DATA!$E$3:$E$10000&amp;DATA!$B$3:$B$10000,DATA!$M$3:$M$10000),"No encontrado"))</f>
        <v/>
      </c>
      <c r="D2703" s="24" t="str">
        <f aca="false">IF(A2703="","",IFERROR(buscarx(A2703&amp;B2703,DATA!$E$3:$E$10000&amp;DATA!$B$3:$B$10000,DATA!$W$3:$W$10000),"No encontrado"))</f>
        <v/>
      </c>
      <c r="E2703" s="22"/>
      <c r="F2703" s="23" t="str">
        <f aca="false">IF(A2703="","",IFERROR(buscarx(A2703&amp;E2703,DATA!$E$3:$E$10000&amp;DATA!$B$3:$B$10000,DATA!$M$3:$M$10000),"Inactivo"))</f>
        <v/>
      </c>
      <c r="G2703" s="25" t="str">
        <f aca="false">IF(A2703="","",IF(AND(C2703&lt;&gt;"No encontrado",F2703&lt;&gt;"Inactivo"),C2703&amp;" → "&amp;F2703,"Sin transición"))</f>
        <v/>
      </c>
      <c r="H2703" s="23" t="str">
        <f aca="false">IF(A2703="","",IF(D2703="GCIA LINEA SERVICIO DIGITALIDAD Y VENTAS","Chats",IF(OR(D2703="GERENCIA INBOUND LÍNEAS SERVICIO Y VENTA",D2703="GERENCIA INBOUND LINEAS ESPECIALIZADAS"),"Llamadas","Otro")))</f>
        <v/>
      </c>
      <c r="I2703" s="23" t="str">
        <f aca="false">IF(A2703="","",IF(C2703="No encontrado","No","Sí"))</f>
        <v/>
      </c>
      <c r="J2703" s="23" t="str">
        <f aca="false">IF(A2703="","",IF(F2703="Inactivo","No","Sí"))</f>
        <v/>
      </c>
      <c r="K2703" s="23" t="str">
        <f aca="false">IF(A2703="","",IF(AND(I2703="Sí",J2703="Sí"),"Sí","No"))</f>
        <v/>
      </c>
    </row>
    <row r="2704" customFormat="false" ht="15" hidden="false" customHeight="false" outlineLevel="0" collapsed="false">
      <c r="A2704" s="22"/>
      <c r="B2704" s="22"/>
      <c r="C2704" s="26" t="str">
        <f aca="false">IF(A2704="","",IFERROR(buscarx(A2704&amp;B2704,DATA!$E$3:$E$10000&amp;DATA!$B$3:$B$10000,DATA!$M$3:$M$10000),"No encontrado"))</f>
        <v/>
      </c>
      <c r="D2704" s="27" t="str">
        <f aca="false">IF(A2704="","",IFERROR(buscarx(A2704&amp;B2704,DATA!$E$3:$E$10000&amp;DATA!$B$3:$B$10000,DATA!$W$3:$W$10000),"No encontrado"))</f>
        <v/>
      </c>
      <c r="E2704" s="22"/>
      <c r="F2704" s="26" t="str">
        <f aca="false">IF(A2704="","",IFERROR(buscarx(A2704&amp;E2704,DATA!$E$3:$E$10000&amp;DATA!$B$3:$B$10000,DATA!$M$3:$M$10000),"Inactivo"))</f>
        <v/>
      </c>
      <c r="G2704" s="28" t="str">
        <f aca="false">IF(A2704="","",IF(AND(C2704&lt;&gt;"No encontrado",F2704&lt;&gt;"Inactivo"),C2704&amp;" → "&amp;F2704,"Sin transición"))</f>
        <v/>
      </c>
      <c r="H2704" s="26" t="str">
        <f aca="false">IF(A2704="","",IF(D2704="GCIA LINEA SERVICIO DIGITALIDAD Y VENTAS","Chats",IF(OR(D2704="GERENCIA INBOUND LÍNEAS SERVICIO Y VENTA",D2704="GERENCIA INBOUND LINEAS ESPECIALIZADAS"),"Llamadas","Otro")))</f>
        <v/>
      </c>
      <c r="I2704" s="26" t="str">
        <f aca="false">IF(A2704="","",IF(C2704="No encontrado","No","Sí"))</f>
        <v/>
      </c>
      <c r="J2704" s="26" t="str">
        <f aca="false">IF(A2704="","",IF(F2704="Inactivo","No","Sí"))</f>
        <v/>
      </c>
      <c r="K2704" s="26" t="str">
        <f aca="false">IF(A2704="","",IF(AND(I2704="Sí",J2704="Sí"),"Sí","No"))</f>
        <v/>
      </c>
    </row>
    <row r="2705" customFormat="false" ht="15" hidden="false" customHeight="false" outlineLevel="0" collapsed="false">
      <c r="A2705" s="22"/>
      <c r="B2705" s="22"/>
      <c r="C2705" s="23" t="str">
        <f aca="false">IF(A2705="","",IFERROR(buscarx(A2705&amp;B2705,DATA!$E$3:$E$10000&amp;DATA!$B$3:$B$10000,DATA!$M$3:$M$10000),"No encontrado"))</f>
        <v/>
      </c>
      <c r="D2705" s="24" t="str">
        <f aca="false">IF(A2705="","",IFERROR(buscarx(A2705&amp;B2705,DATA!$E$3:$E$10000&amp;DATA!$B$3:$B$10000,DATA!$W$3:$W$10000),"No encontrado"))</f>
        <v/>
      </c>
      <c r="E2705" s="22"/>
      <c r="F2705" s="23" t="str">
        <f aca="false">IF(A2705="","",IFERROR(buscarx(A2705&amp;E2705,DATA!$E$3:$E$10000&amp;DATA!$B$3:$B$10000,DATA!$M$3:$M$10000),"Inactivo"))</f>
        <v/>
      </c>
      <c r="G2705" s="25" t="str">
        <f aca="false">IF(A2705="","",IF(AND(C2705&lt;&gt;"No encontrado",F2705&lt;&gt;"Inactivo"),C2705&amp;" → "&amp;F2705,"Sin transición"))</f>
        <v/>
      </c>
      <c r="H2705" s="23" t="str">
        <f aca="false">IF(A2705="","",IF(D2705="GCIA LINEA SERVICIO DIGITALIDAD Y VENTAS","Chats",IF(OR(D2705="GERENCIA INBOUND LÍNEAS SERVICIO Y VENTA",D2705="GERENCIA INBOUND LINEAS ESPECIALIZADAS"),"Llamadas","Otro")))</f>
        <v/>
      </c>
      <c r="I2705" s="23" t="str">
        <f aca="false">IF(A2705="","",IF(C2705="No encontrado","No","Sí"))</f>
        <v/>
      </c>
      <c r="J2705" s="23" t="str">
        <f aca="false">IF(A2705="","",IF(F2705="Inactivo","No","Sí"))</f>
        <v/>
      </c>
      <c r="K2705" s="23" t="str">
        <f aca="false">IF(A2705="","",IF(AND(I2705="Sí",J2705="Sí"),"Sí","No"))</f>
        <v/>
      </c>
    </row>
    <row r="2706" customFormat="false" ht="15" hidden="false" customHeight="false" outlineLevel="0" collapsed="false">
      <c r="A2706" s="22"/>
      <c r="B2706" s="22"/>
      <c r="C2706" s="26" t="str">
        <f aca="false">IF(A2706="","",IFERROR(buscarx(A2706&amp;B2706,DATA!$E$3:$E$10000&amp;DATA!$B$3:$B$10000,DATA!$M$3:$M$10000),"No encontrado"))</f>
        <v/>
      </c>
      <c r="D2706" s="27" t="str">
        <f aca="false">IF(A2706="","",IFERROR(buscarx(A2706&amp;B2706,DATA!$E$3:$E$10000&amp;DATA!$B$3:$B$10000,DATA!$W$3:$W$10000),"No encontrado"))</f>
        <v/>
      </c>
      <c r="E2706" s="22"/>
      <c r="F2706" s="26" t="str">
        <f aca="false">IF(A2706="","",IFERROR(buscarx(A2706&amp;E2706,DATA!$E$3:$E$10000&amp;DATA!$B$3:$B$10000,DATA!$M$3:$M$10000),"Inactivo"))</f>
        <v/>
      </c>
      <c r="G2706" s="28" t="str">
        <f aca="false">IF(A2706="","",IF(AND(C2706&lt;&gt;"No encontrado",F2706&lt;&gt;"Inactivo"),C2706&amp;" → "&amp;F2706,"Sin transición"))</f>
        <v/>
      </c>
      <c r="H2706" s="26" t="str">
        <f aca="false">IF(A2706="","",IF(D2706="GCIA LINEA SERVICIO DIGITALIDAD Y VENTAS","Chats",IF(OR(D2706="GERENCIA INBOUND LÍNEAS SERVICIO Y VENTA",D2706="GERENCIA INBOUND LINEAS ESPECIALIZADAS"),"Llamadas","Otro")))</f>
        <v/>
      </c>
      <c r="I2706" s="26" t="str">
        <f aca="false">IF(A2706="","",IF(C2706="No encontrado","No","Sí"))</f>
        <v/>
      </c>
      <c r="J2706" s="26" t="str">
        <f aca="false">IF(A2706="","",IF(F2706="Inactivo","No","Sí"))</f>
        <v/>
      </c>
      <c r="K2706" s="26" t="str">
        <f aca="false">IF(A2706="","",IF(AND(I2706="Sí",J2706="Sí"),"Sí","No"))</f>
        <v/>
      </c>
    </row>
    <row r="2707" customFormat="false" ht="15" hidden="false" customHeight="false" outlineLevel="0" collapsed="false">
      <c r="A2707" s="22"/>
      <c r="B2707" s="22"/>
      <c r="C2707" s="23" t="str">
        <f aca="false">IF(A2707="","",IFERROR(buscarx(A2707&amp;B2707,DATA!$E$3:$E$10000&amp;DATA!$B$3:$B$10000,DATA!$M$3:$M$10000),"No encontrado"))</f>
        <v/>
      </c>
      <c r="D2707" s="24" t="str">
        <f aca="false">IF(A2707="","",IFERROR(buscarx(A2707&amp;B2707,DATA!$E$3:$E$10000&amp;DATA!$B$3:$B$10000,DATA!$W$3:$W$10000),"No encontrado"))</f>
        <v/>
      </c>
      <c r="E2707" s="22"/>
      <c r="F2707" s="23" t="str">
        <f aca="false">IF(A2707="","",IFERROR(buscarx(A2707&amp;E2707,DATA!$E$3:$E$10000&amp;DATA!$B$3:$B$10000,DATA!$M$3:$M$10000),"Inactivo"))</f>
        <v/>
      </c>
      <c r="G2707" s="25" t="str">
        <f aca="false">IF(A2707="","",IF(AND(C2707&lt;&gt;"No encontrado",F2707&lt;&gt;"Inactivo"),C2707&amp;" → "&amp;F2707,"Sin transición"))</f>
        <v/>
      </c>
      <c r="H2707" s="23" t="str">
        <f aca="false">IF(A2707="","",IF(D2707="GCIA LINEA SERVICIO DIGITALIDAD Y VENTAS","Chats",IF(OR(D2707="GERENCIA INBOUND LÍNEAS SERVICIO Y VENTA",D2707="GERENCIA INBOUND LINEAS ESPECIALIZADAS"),"Llamadas","Otro")))</f>
        <v/>
      </c>
      <c r="I2707" s="23" t="str">
        <f aca="false">IF(A2707="","",IF(C2707="No encontrado","No","Sí"))</f>
        <v/>
      </c>
      <c r="J2707" s="23" t="str">
        <f aca="false">IF(A2707="","",IF(F2707="Inactivo","No","Sí"))</f>
        <v/>
      </c>
      <c r="K2707" s="23" t="str">
        <f aca="false">IF(A2707="","",IF(AND(I2707="Sí",J2707="Sí"),"Sí","No"))</f>
        <v/>
      </c>
    </row>
    <row r="2708" customFormat="false" ht="15" hidden="false" customHeight="false" outlineLevel="0" collapsed="false">
      <c r="A2708" s="22"/>
      <c r="B2708" s="22"/>
      <c r="C2708" s="26" t="str">
        <f aca="false">IF(A2708="","",IFERROR(buscarx(A2708&amp;B2708,DATA!$E$3:$E$10000&amp;DATA!$B$3:$B$10000,DATA!$M$3:$M$10000),"No encontrado"))</f>
        <v/>
      </c>
      <c r="D2708" s="27" t="str">
        <f aca="false">IF(A2708="","",IFERROR(buscarx(A2708&amp;B2708,DATA!$E$3:$E$10000&amp;DATA!$B$3:$B$10000,DATA!$W$3:$W$10000),"No encontrado"))</f>
        <v/>
      </c>
      <c r="E2708" s="22"/>
      <c r="F2708" s="26" t="str">
        <f aca="false">IF(A2708="","",IFERROR(buscarx(A2708&amp;E2708,DATA!$E$3:$E$10000&amp;DATA!$B$3:$B$10000,DATA!$M$3:$M$10000),"Inactivo"))</f>
        <v/>
      </c>
      <c r="G2708" s="28" t="str">
        <f aca="false">IF(A2708="","",IF(AND(C2708&lt;&gt;"No encontrado",F2708&lt;&gt;"Inactivo"),C2708&amp;" → "&amp;F2708,"Sin transición"))</f>
        <v/>
      </c>
      <c r="H2708" s="26" t="str">
        <f aca="false">IF(A2708="","",IF(D2708="GCIA LINEA SERVICIO DIGITALIDAD Y VENTAS","Chats",IF(OR(D2708="GERENCIA INBOUND LÍNEAS SERVICIO Y VENTA",D2708="GERENCIA INBOUND LINEAS ESPECIALIZADAS"),"Llamadas","Otro")))</f>
        <v/>
      </c>
      <c r="I2708" s="26" t="str">
        <f aca="false">IF(A2708="","",IF(C2708="No encontrado","No","Sí"))</f>
        <v/>
      </c>
      <c r="J2708" s="26" t="str">
        <f aca="false">IF(A2708="","",IF(F2708="Inactivo","No","Sí"))</f>
        <v/>
      </c>
      <c r="K2708" s="26" t="str">
        <f aca="false">IF(A2708="","",IF(AND(I2708="Sí",J2708="Sí"),"Sí","No"))</f>
        <v/>
      </c>
    </row>
    <row r="2709" customFormat="false" ht="15" hidden="false" customHeight="false" outlineLevel="0" collapsed="false">
      <c r="A2709" s="22"/>
      <c r="B2709" s="22"/>
      <c r="C2709" s="23" t="str">
        <f aca="false">IF(A2709="","",IFERROR(buscarx(A2709&amp;B2709,DATA!$E$3:$E$10000&amp;DATA!$B$3:$B$10000,DATA!$M$3:$M$10000),"No encontrado"))</f>
        <v/>
      </c>
      <c r="D2709" s="24" t="str">
        <f aca="false">IF(A2709="","",IFERROR(buscarx(A2709&amp;B2709,DATA!$E$3:$E$10000&amp;DATA!$B$3:$B$10000,DATA!$W$3:$W$10000),"No encontrado"))</f>
        <v/>
      </c>
      <c r="E2709" s="22"/>
      <c r="F2709" s="23" t="str">
        <f aca="false">IF(A2709="","",IFERROR(buscarx(A2709&amp;E2709,DATA!$E$3:$E$10000&amp;DATA!$B$3:$B$10000,DATA!$M$3:$M$10000),"Inactivo"))</f>
        <v/>
      </c>
      <c r="G2709" s="25" t="str">
        <f aca="false">IF(A2709="","",IF(AND(C2709&lt;&gt;"No encontrado",F2709&lt;&gt;"Inactivo"),C2709&amp;" → "&amp;F2709,"Sin transición"))</f>
        <v/>
      </c>
      <c r="H2709" s="23" t="str">
        <f aca="false">IF(A2709="","",IF(D2709="GCIA LINEA SERVICIO DIGITALIDAD Y VENTAS","Chats",IF(OR(D2709="GERENCIA INBOUND LÍNEAS SERVICIO Y VENTA",D2709="GERENCIA INBOUND LINEAS ESPECIALIZADAS"),"Llamadas","Otro")))</f>
        <v/>
      </c>
      <c r="I2709" s="23" t="str">
        <f aca="false">IF(A2709="","",IF(C2709="No encontrado","No","Sí"))</f>
        <v/>
      </c>
      <c r="J2709" s="23" t="str">
        <f aca="false">IF(A2709="","",IF(F2709="Inactivo","No","Sí"))</f>
        <v/>
      </c>
      <c r="K2709" s="23" t="str">
        <f aca="false">IF(A2709="","",IF(AND(I2709="Sí",J2709="Sí"),"Sí","No"))</f>
        <v/>
      </c>
    </row>
    <row r="2710" customFormat="false" ht="15" hidden="false" customHeight="false" outlineLevel="0" collapsed="false">
      <c r="A2710" s="22"/>
      <c r="B2710" s="22"/>
      <c r="C2710" s="26" t="str">
        <f aca="false">IF(A2710="","",IFERROR(buscarx(A2710&amp;B2710,DATA!$E$3:$E$10000&amp;DATA!$B$3:$B$10000,DATA!$M$3:$M$10000),"No encontrado"))</f>
        <v/>
      </c>
      <c r="D2710" s="27" t="str">
        <f aca="false">IF(A2710="","",IFERROR(buscarx(A2710&amp;B2710,DATA!$E$3:$E$10000&amp;DATA!$B$3:$B$10000,DATA!$W$3:$W$10000),"No encontrado"))</f>
        <v/>
      </c>
      <c r="E2710" s="22"/>
      <c r="F2710" s="26" t="str">
        <f aca="false">IF(A2710="","",IFERROR(buscarx(A2710&amp;E2710,DATA!$E$3:$E$10000&amp;DATA!$B$3:$B$10000,DATA!$M$3:$M$10000),"Inactivo"))</f>
        <v/>
      </c>
      <c r="G2710" s="28" t="str">
        <f aca="false">IF(A2710="","",IF(AND(C2710&lt;&gt;"No encontrado",F2710&lt;&gt;"Inactivo"),C2710&amp;" → "&amp;F2710,"Sin transición"))</f>
        <v/>
      </c>
      <c r="H2710" s="26" t="str">
        <f aca="false">IF(A2710="","",IF(D2710="GCIA LINEA SERVICIO DIGITALIDAD Y VENTAS","Chats",IF(OR(D2710="GERENCIA INBOUND LÍNEAS SERVICIO Y VENTA",D2710="GERENCIA INBOUND LINEAS ESPECIALIZADAS"),"Llamadas","Otro")))</f>
        <v/>
      </c>
      <c r="I2710" s="26" t="str">
        <f aca="false">IF(A2710="","",IF(C2710="No encontrado","No","Sí"))</f>
        <v/>
      </c>
      <c r="J2710" s="26" t="str">
        <f aca="false">IF(A2710="","",IF(F2710="Inactivo","No","Sí"))</f>
        <v/>
      </c>
      <c r="K2710" s="26" t="str">
        <f aca="false">IF(A2710="","",IF(AND(I2710="Sí",J2710="Sí"),"Sí","No"))</f>
        <v/>
      </c>
    </row>
    <row r="2711" customFormat="false" ht="15" hidden="false" customHeight="false" outlineLevel="0" collapsed="false">
      <c r="A2711" s="22"/>
      <c r="B2711" s="22"/>
      <c r="C2711" s="23" t="str">
        <f aca="false">IF(A2711="","",IFERROR(buscarx(A2711&amp;B2711,DATA!$E$3:$E$10000&amp;DATA!$B$3:$B$10000,DATA!$M$3:$M$10000),"No encontrado"))</f>
        <v/>
      </c>
      <c r="D2711" s="24" t="str">
        <f aca="false">IF(A2711="","",IFERROR(buscarx(A2711&amp;B2711,DATA!$E$3:$E$10000&amp;DATA!$B$3:$B$10000,DATA!$W$3:$W$10000),"No encontrado"))</f>
        <v/>
      </c>
      <c r="E2711" s="22"/>
      <c r="F2711" s="23" t="str">
        <f aca="false">IF(A2711="","",IFERROR(buscarx(A2711&amp;E2711,DATA!$E$3:$E$10000&amp;DATA!$B$3:$B$10000,DATA!$M$3:$M$10000),"Inactivo"))</f>
        <v/>
      </c>
      <c r="G2711" s="25" t="str">
        <f aca="false">IF(A2711="","",IF(AND(C2711&lt;&gt;"No encontrado",F2711&lt;&gt;"Inactivo"),C2711&amp;" → "&amp;F2711,"Sin transición"))</f>
        <v/>
      </c>
      <c r="H2711" s="23" t="str">
        <f aca="false">IF(A2711="","",IF(D2711="GCIA LINEA SERVICIO DIGITALIDAD Y VENTAS","Chats",IF(OR(D2711="GERENCIA INBOUND LÍNEAS SERVICIO Y VENTA",D2711="GERENCIA INBOUND LINEAS ESPECIALIZADAS"),"Llamadas","Otro")))</f>
        <v/>
      </c>
      <c r="I2711" s="23" t="str">
        <f aca="false">IF(A2711="","",IF(C2711="No encontrado","No","Sí"))</f>
        <v/>
      </c>
      <c r="J2711" s="23" t="str">
        <f aca="false">IF(A2711="","",IF(F2711="Inactivo","No","Sí"))</f>
        <v/>
      </c>
      <c r="K2711" s="23" t="str">
        <f aca="false">IF(A2711="","",IF(AND(I2711="Sí",J2711="Sí"),"Sí","No"))</f>
        <v/>
      </c>
    </row>
    <row r="2712" customFormat="false" ht="15" hidden="false" customHeight="false" outlineLevel="0" collapsed="false">
      <c r="A2712" s="22"/>
      <c r="B2712" s="22"/>
      <c r="C2712" s="26" t="str">
        <f aca="false">IF(A2712="","",IFERROR(buscarx(A2712&amp;B2712,DATA!$E$3:$E$10000&amp;DATA!$B$3:$B$10000,DATA!$M$3:$M$10000),"No encontrado"))</f>
        <v/>
      </c>
      <c r="D2712" s="27" t="str">
        <f aca="false">IF(A2712="","",IFERROR(buscarx(A2712&amp;B2712,DATA!$E$3:$E$10000&amp;DATA!$B$3:$B$10000,DATA!$W$3:$W$10000),"No encontrado"))</f>
        <v/>
      </c>
      <c r="E2712" s="22"/>
      <c r="F2712" s="26" t="str">
        <f aca="false">IF(A2712="","",IFERROR(buscarx(A2712&amp;E2712,DATA!$E$3:$E$10000&amp;DATA!$B$3:$B$10000,DATA!$M$3:$M$10000),"Inactivo"))</f>
        <v/>
      </c>
      <c r="G2712" s="28" t="str">
        <f aca="false">IF(A2712="","",IF(AND(C2712&lt;&gt;"No encontrado",F2712&lt;&gt;"Inactivo"),C2712&amp;" → "&amp;F2712,"Sin transición"))</f>
        <v/>
      </c>
      <c r="H2712" s="26" t="str">
        <f aca="false">IF(A2712="","",IF(D2712="GCIA LINEA SERVICIO DIGITALIDAD Y VENTAS","Chats",IF(OR(D2712="GERENCIA INBOUND LÍNEAS SERVICIO Y VENTA",D2712="GERENCIA INBOUND LINEAS ESPECIALIZADAS"),"Llamadas","Otro")))</f>
        <v/>
      </c>
      <c r="I2712" s="26" t="str">
        <f aca="false">IF(A2712="","",IF(C2712="No encontrado","No","Sí"))</f>
        <v/>
      </c>
      <c r="J2712" s="26" t="str">
        <f aca="false">IF(A2712="","",IF(F2712="Inactivo","No","Sí"))</f>
        <v/>
      </c>
      <c r="K2712" s="26" t="str">
        <f aca="false">IF(A2712="","",IF(AND(I2712="Sí",J2712="Sí"),"Sí","No"))</f>
        <v/>
      </c>
    </row>
    <row r="2713" customFormat="false" ht="15" hidden="false" customHeight="false" outlineLevel="0" collapsed="false">
      <c r="A2713" s="22"/>
      <c r="B2713" s="22"/>
      <c r="C2713" s="23" t="str">
        <f aca="false">IF(A2713="","",IFERROR(buscarx(A2713&amp;B2713,DATA!$E$3:$E$10000&amp;DATA!$B$3:$B$10000,DATA!$M$3:$M$10000),"No encontrado"))</f>
        <v/>
      </c>
      <c r="D2713" s="24" t="str">
        <f aca="false">IF(A2713="","",IFERROR(buscarx(A2713&amp;B2713,DATA!$E$3:$E$10000&amp;DATA!$B$3:$B$10000,DATA!$W$3:$W$10000),"No encontrado"))</f>
        <v/>
      </c>
      <c r="E2713" s="22"/>
      <c r="F2713" s="23" t="str">
        <f aca="false">IF(A2713="","",IFERROR(buscarx(A2713&amp;E2713,DATA!$E$3:$E$10000&amp;DATA!$B$3:$B$10000,DATA!$M$3:$M$10000),"Inactivo"))</f>
        <v/>
      </c>
      <c r="G2713" s="25" t="str">
        <f aca="false">IF(A2713="","",IF(AND(C2713&lt;&gt;"No encontrado",F2713&lt;&gt;"Inactivo"),C2713&amp;" → "&amp;F2713,"Sin transición"))</f>
        <v/>
      </c>
      <c r="H2713" s="23" t="str">
        <f aca="false">IF(A2713="","",IF(D2713="GCIA LINEA SERVICIO DIGITALIDAD Y VENTAS","Chats",IF(OR(D2713="GERENCIA INBOUND LÍNEAS SERVICIO Y VENTA",D2713="GERENCIA INBOUND LINEAS ESPECIALIZADAS"),"Llamadas","Otro")))</f>
        <v/>
      </c>
      <c r="I2713" s="23" t="str">
        <f aca="false">IF(A2713="","",IF(C2713="No encontrado","No","Sí"))</f>
        <v/>
      </c>
      <c r="J2713" s="23" t="str">
        <f aca="false">IF(A2713="","",IF(F2713="Inactivo","No","Sí"))</f>
        <v/>
      </c>
      <c r="K2713" s="23" t="str">
        <f aca="false">IF(A2713="","",IF(AND(I2713="Sí",J2713="Sí"),"Sí","No"))</f>
        <v/>
      </c>
    </row>
    <row r="2714" customFormat="false" ht="15" hidden="false" customHeight="false" outlineLevel="0" collapsed="false">
      <c r="A2714" s="22"/>
      <c r="B2714" s="22"/>
      <c r="C2714" s="26" t="str">
        <f aca="false">IF(A2714="","",IFERROR(buscarx(A2714&amp;B2714,DATA!$E$3:$E$10000&amp;DATA!$B$3:$B$10000,DATA!$M$3:$M$10000),"No encontrado"))</f>
        <v/>
      </c>
      <c r="D2714" s="27" t="str">
        <f aca="false">IF(A2714="","",IFERROR(buscarx(A2714&amp;B2714,DATA!$E$3:$E$10000&amp;DATA!$B$3:$B$10000,DATA!$W$3:$W$10000),"No encontrado"))</f>
        <v/>
      </c>
      <c r="E2714" s="22"/>
      <c r="F2714" s="26" t="str">
        <f aca="false">IF(A2714="","",IFERROR(buscarx(A2714&amp;E2714,DATA!$E$3:$E$10000&amp;DATA!$B$3:$B$10000,DATA!$M$3:$M$10000),"Inactivo"))</f>
        <v/>
      </c>
      <c r="G2714" s="28" t="str">
        <f aca="false">IF(A2714="","",IF(AND(C2714&lt;&gt;"No encontrado",F2714&lt;&gt;"Inactivo"),C2714&amp;" → "&amp;F2714,"Sin transición"))</f>
        <v/>
      </c>
      <c r="H2714" s="26" t="str">
        <f aca="false">IF(A2714="","",IF(D2714="GCIA LINEA SERVICIO DIGITALIDAD Y VENTAS","Chats",IF(OR(D2714="GERENCIA INBOUND LÍNEAS SERVICIO Y VENTA",D2714="GERENCIA INBOUND LINEAS ESPECIALIZADAS"),"Llamadas","Otro")))</f>
        <v/>
      </c>
      <c r="I2714" s="26" t="str">
        <f aca="false">IF(A2714="","",IF(C2714="No encontrado","No","Sí"))</f>
        <v/>
      </c>
      <c r="J2714" s="26" t="str">
        <f aca="false">IF(A2714="","",IF(F2714="Inactivo","No","Sí"))</f>
        <v/>
      </c>
      <c r="K2714" s="26" t="str">
        <f aca="false">IF(A2714="","",IF(AND(I2714="Sí",J2714="Sí"),"Sí","No"))</f>
        <v/>
      </c>
    </row>
    <row r="2715" customFormat="false" ht="15" hidden="false" customHeight="false" outlineLevel="0" collapsed="false">
      <c r="A2715" s="22"/>
      <c r="B2715" s="22"/>
      <c r="C2715" s="23" t="str">
        <f aca="false">IF(A2715="","",IFERROR(buscarx(A2715&amp;B2715,DATA!$E$3:$E$10000&amp;DATA!$B$3:$B$10000,DATA!$M$3:$M$10000),"No encontrado"))</f>
        <v/>
      </c>
      <c r="D2715" s="24" t="str">
        <f aca="false">IF(A2715="","",IFERROR(buscarx(A2715&amp;B2715,DATA!$E$3:$E$10000&amp;DATA!$B$3:$B$10000,DATA!$W$3:$W$10000),"No encontrado"))</f>
        <v/>
      </c>
      <c r="E2715" s="22"/>
      <c r="F2715" s="23" t="str">
        <f aca="false">IF(A2715="","",IFERROR(buscarx(A2715&amp;E2715,DATA!$E$3:$E$10000&amp;DATA!$B$3:$B$10000,DATA!$M$3:$M$10000),"Inactivo"))</f>
        <v/>
      </c>
      <c r="G2715" s="25" t="str">
        <f aca="false">IF(A2715="","",IF(AND(C2715&lt;&gt;"No encontrado",F2715&lt;&gt;"Inactivo"),C2715&amp;" → "&amp;F2715,"Sin transición"))</f>
        <v/>
      </c>
      <c r="H2715" s="23" t="str">
        <f aca="false">IF(A2715="","",IF(D2715="GCIA LINEA SERVICIO DIGITALIDAD Y VENTAS","Chats",IF(OR(D2715="GERENCIA INBOUND LÍNEAS SERVICIO Y VENTA",D2715="GERENCIA INBOUND LINEAS ESPECIALIZADAS"),"Llamadas","Otro")))</f>
        <v/>
      </c>
      <c r="I2715" s="23" t="str">
        <f aca="false">IF(A2715="","",IF(C2715="No encontrado","No","Sí"))</f>
        <v/>
      </c>
      <c r="J2715" s="23" t="str">
        <f aca="false">IF(A2715="","",IF(F2715="Inactivo","No","Sí"))</f>
        <v/>
      </c>
      <c r="K2715" s="23" t="str">
        <f aca="false">IF(A2715="","",IF(AND(I2715="Sí",J2715="Sí"),"Sí","No"))</f>
        <v/>
      </c>
    </row>
    <row r="2716" customFormat="false" ht="15" hidden="false" customHeight="false" outlineLevel="0" collapsed="false">
      <c r="A2716" s="22"/>
      <c r="B2716" s="22"/>
      <c r="C2716" s="26" t="str">
        <f aca="false">IF(A2716="","",IFERROR(buscarx(A2716&amp;B2716,DATA!$E$3:$E$10000&amp;DATA!$B$3:$B$10000,DATA!$M$3:$M$10000),"No encontrado"))</f>
        <v/>
      </c>
      <c r="D2716" s="27" t="str">
        <f aca="false">IF(A2716="","",IFERROR(buscarx(A2716&amp;B2716,DATA!$E$3:$E$10000&amp;DATA!$B$3:$B$10000,DATA!$W$3:$W$10000),"No encontrado"))</f>
        <v/>
      </c>
      <c r="E2716" s="22"/>
      <c r="F2716" s="26" t="str">
        <f aca="false">IF(A2716="","",IFERROR(buscarx(A2716&amp;E2716,DATA!$E$3:$E$10000&amp;DATA!$B$3:$B$10000,DATA!$M$3:$M$10000),"Inactivo"))</f>
        <v/>
      </c>
      <c r="G2716" s="28" t="str">
        <f aca="false">IF(A2716="","",IF(AND(C2716&lt;&gt;"No encontrado",F2716&lt;&gt;"Inactivo"),C2716&amp;" → "&amp;F2716,"Sin transición"))</f>
        <v/>
      </c>
      <c r="H2716" s="26" t="str">
        <f aca="false">IF(A2716="","",IF(D2716="GCIA LINEA SERVICIO DIGITALIDAD Y VENTAS","Chats",IF(OR(D2716="GERENCIA INBOUND LÍNEAS SERVICIO Y VENTA",D2716="GERENCIA INBOUND LINEAS ESPECIALIZADAS"),"Llamadas","Otro")))</f>
        <v/>
      </c>
      <c r="I2716" s="26" t="str">
        <f aca="false">IF(A2716="","",IF(C2716="No encontrado","No","Sí"))</f>
        <v/>
      </c>
      <c r="J2716" s="26" t="str">
        <f aca="false">IF(A2716="","",IF(F2716="Inactivo","No","Sí"))</f>
        <v/>
      </c>
      <c r="K2716" s="26" t="str">
        <f aca="false">IF(A2716="","",IF(AND(I2716="Sí",J2716="Sí"),"Sí","No"))</f>
        <v/>
      </c>
    </row>
    <row r="2717" customFormat="false" ht="15" hidden="false" customHeight="false" outlineLevel="0" collapsed="false">
      <c r="A2717" s="22"/>
      <c r="B2717" s="22"/>
      <c r="C2717" s="23" t="str">
        <f aca="false">IF(A2717="","",IFERROR(buscarx(A2717&amp;B2717,DATA!$E$3:$E$10000&amp;DATA!$B$3:$B$10000,DATA!$M$3:$M$10000),"No encontrado"))</f>
        <v/>
      </c>
      <c r="D2717" s="24" t="str">
        <f aca="false">IF(A2717="","",IFERROR(buscarx(A2717&amp;B2717,DATA!$E$3:$E$10000&amp;DATA!$B$3:$B$10000,DATA!$W$3:$W$10000),"No encontrado"))</f>
        <v/>
      </c>
      <c r="E2717" s="22"/>
      <c r="F2717" s="23" t="str">
        <f aca="false">IF(A2717="","",IFERROR(buscarx(A2717&amp;E2717,DATA!$E$3:$E$10000&amp;DATA!$B$3:$B$10000,DATA!$M$3:$M$10000),"Inactivo"))</f>
        <v/>
      </c>
      <c r="G2717" s="25" t="str">
        <f aca="false">IF(A2717="","",IF(AND(C2717&lt;&gt;"No encontrado",F2717&lt;&gt;"Inactivo"),C2717&amp;" → "&amp;F2717,"Sin transición"))</f>
        <v/>
      </c>
      <c r="H2717" s="23" t="str">
        <f aca="false">IF(A2717="","",IF(D2717="GCIA LINEA SERVICIO DIGITALIDAD Y VENTAS","Chats",IF(OR(D2717="GERENCIA INBOUND LÍNEAS SERVICIO Y VENTA",D2717="GERENCIA INBOUND LINEAS ESPECIALIZADAS"),"Llamadas","Otro")))</f>
        <v/>
      </c>
      <c r="I2717" s="23" t="str">
        <f aca="false">IF(A2717="","",IF(C2717="No encontrado","No","Sí"))</f>
        <v/>
      </c>
      <c r="J2717" s="23" t="str">
        <f aca="false">IF(A2717="","",IF(F2717="Inactivo","No","Sí"))</f>
        <v/>
      </c>
      <c r="K2717" s="23" t="str">
        <f aca="false">IF(A2717="","",IF(AND(I2717="Sí",J2717="Sí"),"Sí","No"))</f>
        <v/>
      </c>
    </row>
    <row r="2718" customFormat="false" ht="15" hidden="false" customHeight="false" outlineLevel="0" collapsed="false">
      <c r="A2718" s="22"/>
      <c r="B2718" s="22"/>
      <c r="C2718" s="26" t="str">
        <f aca="false">IF(A2718="","",IFERROR(buscarx(A2718&amp;B2718,DATA!$E$3:$E$10000&amp;DATA!$B$3:$B$10000,DATA!$M$3:$M$10000),"No encontrado"))</f>
        <v/>
      </c>
      <c r="D2718" s="27" t="str">
        <f aca="false">IF(A2718="","",IFERROR(buscarx(A2718&amp;B2718,DATA!$E$3:$E$10000&amp;DATA!$B$3:$B$10000,DATA!$W$3:$W$10000),"No encontrado"))</f>
        <v/>
      </c>
      <c r="E2718" s="22"/>
      <c r="F2718" s="26" t="str">
        <f aca="false">IF(A2718="","",IFERROR(buscarx(A2718&amp;E2718,DATA!$E$3:$E$10000&amp;DATA!$B$3:$B$10000,DATA!$M$3:$M$10000),"Inactivo"))</f>
        <v/>
      </c>
      <c r="G2718" s="28" t="str">
        <f aca="false">IF(A2718="","",IF(AND(C2718&lt;&gt;"No encontrado",F2718&lt;&gt;"Inactivo"),C2718&amp;" → "&amp;F2718,"Sin transición"))</f>
        <v/>
      </c>
      <c r="H2718" s="26" t="str">
        <f aca="false">IF(A2718="","",IF(D2718="GCIA LINEA SERVICIO DIGITALIDAD Y VENTAS","Chats",IF(OR(D2718="GERENCIA INBOUND LÍNEAS SERVICIO Y VENTA",D2718="GERENCIA INBOUND LINEAS ESPECIALIZADAS"),"Llamadas","Otro")))</f>
        <v/>
      </c>
      <c r="I2718" s="26" t="str">
        <f aca="false">IF(A2718="","",IF(C2718="No encontrado","No","Sí"))</f>
        <v/>
      </c>
      <c r="J2718" s="26" t="str">
        <f aca="false">IF(A2718="","",IF(F2718="Inactivo","No","Sí"))</f>
        <v/>
      </c>
      <c r="K2718" s="26" t="str">
        <f aca="false">IF(A2718="","",IF(AND(I2718="Sí",J2718="Sí"),"Sí","No"))</f>
        <v/>
      </c>
    </row>
    <row r="2719" customFormat="false" ht="15" hidden="false" customHeight="false" outlineLevel="0" collapsed="false">
      <c r="A2719" s="22"/>
      <c r="B2719" s="22"/>
      <c r="C2719" s="23" t="str">
        <f aca="false">IF(A2719="","",IFERROR(buscarx(A2719&amp;B2719,DATA!$E$3:$E$10000&amp;DATA!$B$3:$B$10000,DATA!$M$3:$M$10000),"No encontrado"))</f>
        <v/>
      </c>
      <c r="D2719" s="24" t="str">
        <f aca="false">IF(A2719="","",IFERROR(buscarx(A2719&amp;B2719,DATA!$E$3:$E$10000&amp;DATA!$B$3:$B$10000,DATA!$W$3:$W$10000),"No encontrado"))</f>
        <v/>
      </c>
      <c r="E2719" s="22"/>
      <c r="F2719" s="23" t="str">
        <f aca="false">IF(A2719="","",IFERROR(buscarx(A2719&amp;E2719,DATA!$E$3:$E$10000&amp;DATA!$B$3:$B$10000,DATA!$M$3:$M$10000),"Inactivo"))</f>
        <v/>
      </c>
      <c r="G2719" s="25" t="str">
        <f aca="false">IF(A2719="","",IF(AND(C2719&lt;&gt;"No encontrado",F2719&lt;&gt;"Inactivo"),C2719&amp;" → "&amp;F2719,"Sin transición"))</f>
        <v/>
      </c>
      <c r="H2719" s="23" t="str">
        <f aca="false">IF(A2719="","",IF(D2719="GCIA LINEA SERVICIO DIGITALIDAD Y VENTAS","Chats",IF(OR(D2719="GERENCIA INBOUND LÍNEAS SERVICIO Y VENTA",D2719="GERENCIA INBOUND LINEAS ESPECIALIZADAS"),"Llamadas","Otro")))</f>
        <v/>
      </c>
      <c r="I2719" s="23" t="str">
        <f aca="false">IF(A2719="","",IF(C2719="No encontrado","No","Sí"))</f>
        <v/>
      </c>
      <c r="J2719" s="23" t="str">
        <f aca="false">IF(A2719="","",IF(F2719="Inactivo","No","Sí"))</f>
        <v/>
      </c>
      <c r="K2719" s="23" t="str">
        <f aca="false">IF(A2719="","",IF(AND(I2719="Sí",J2719="Sí"),"Sí","No"))</f>
        <v/>
      </c>
    </row>
    <row r="2720" customFormat="false" ht="15" hidden="false" customHeight="false" outlineLevel="0" collapsed="false">
      <c r="A2720" s="22"/>
      <c r="B2720" s="22"/>
      <c r="C2720" s="26" t="str">
        <f aca="false">IF(A2720="","",IFERROR(buscarx(A2720&amp;B2720,DATA!$E$3:$E$10000&amp;DATA!$B$3:$B$10000,DATA!$M$3:$M$10000),"No encontrado"))</f>
        <v/>
      </c>
      <c r="D2720" s="27" t="str">
        <f aca="false">IF(A2720="","",IFERROR(buscarx(A2720&amp;B2720,DATA!$E$3:$E$10000&amp;DATA!$B$3:$B$10000,DATA!$W$3:$W$10000),"No encontrado"))</f>
        <v/>
      </c>
      <c r="E2720" s="22"/>
      <c r="F2720" s="26" t="str">
        <f aca="false">IF(A2720="","",IFERROR(buscarx(A2720&amp;E2720,DATA!$E$3:$E$10000&amp;DATA!$B$3:$B$10000,DATA!$M$3:$M$10000),"Inactivo"))</f>
        <v/>
      </c>
      <c r="G2720" s="28" t="str">
        <f aca="false">IF(A2720="","",IF(AND(C2720&lt;&gt;"No encontrado",F2720&lt;&gt;"Inactivo"),C2720&amp;" → "&amp;F2720,"Sin transición"))</f>
        <v/>
      </c>
      <c r="H2720" s="26" t="str">
        <f aca="false">IF(A2720="","",IF(D2720="GCIA LINEA SERVICIO DIGITALIDAD Y VENTAS","Chats",IF(OR(D2720="GERENCIA INBOUND LÍNEAS SERVICIO Y VENTA",D2720="GERENCIA INBOUND LINEAS ESPECIALIZADAS"),"Llamadas","Otro")))</f>
        <v/>
      </c>
      <c r="I2720" s="26" t="str">
        <f aca="false">IF(A2720="","",IF(C2720="No encontrado","No","Sí"))</f>
        <v/>
      </c>
      <c r="J2720" s="26" t="str">
        <f aca="false">IF(A2720="","",IF(F2720="Inactivo","No","Sí"))</f>
        <v/>
      </c>
      <c r="K2720" s="26" t="str">
        <f aca="false">IF(A2720="","",IF(AND(I2720="Sí",J2720="Sí"),"Sí","No"))</f>
        <v/>
      </c>
    </row>
    <row r="2721" customFormat="false" ht="15" hidden="false" customHeight="false" outlineLevel="0" collapsed="false">
      <c r="A2721" s="22"/>
      <c r="B2721" s="22"/>
      <c r="C2721" s="23" t="str">
        <f aca="false">IF(A2721="","",IFERROR(buscarx(A2721&amp;B2721,DATA!$E$3:$E$10000&amp;DATA!$B$3:$B$10000,DATA!$M$3:$M$10000),"No encontrado"))</f>
        <v/>
      </c>
      <c r="D2721" s="24" t="str">
        <f aca="false">IF(A2721="","",IFERROR(buscarx(A2721&amp;B2721,DATA!$E$3:$E$10000&amp;DATA!$B$3:$B$10000,DATA!$W$3:$W$10000),"No encontrado"))</f>
        <v/>
      </c>
      <c r="E2721" s="22"/>
      <c r="F2721" s="23" t="str">
        <f aca="false">IF(A2721="","",IFERROR(buscarx(A2721&amp;E2721,DATA!$E$3:$E$10000&amp;DATA!$B$3:$B$10000,DATA!$M$3:$M$10000),"Inactivo"))</f>
        <v/>
      </c>
      <c r="G2721" s="25" t="str">
        <f aca="false">IF(A2721="","",IF(AND(C2721&lt;&gt;"No encontrado",F2721&lt;&gt;"Inactivo"),C2721&amp;" → "&amp;F2721,"Sin transición"))</f>
        <v/>
      </c>
      <c r="H2721" s="23" t="str">
        <f aca="false">IF(A2721="","",IF(D2721="GCIA LINEA SERVICIO DIGITALIDAD Y VENTAS","Chats",IF(OR(D2721="GERENCIA INBOUND LÍNEAS SERVICIO Y VENTA",D2721="GERENCIA INBOUND LINEAS ESPECIALIZADAS"),"Llamadas","Otro")))</f>
        <v/>
      </c>
      <c r="I2721" s="23" t="str">
        <f aca="false">IF(A2721="","",IF(C2721="No encontrado","No","Sí"))</f>
        <v/>
      </c>
      <c r="J2721" s="23" t="str">
        <f aca="false">IF(A2721="","",IF(F2721="Inactivo","No","Sí"))</f>
        <v/>
      </c>
      <c r="K2721" s="23" t="str">
        <f aca="false">IF(A2721="","",IF(AND(I2721="Sí",J2721="Sí"),"Sí","No"))</f>
        <v/>
      </c>
    </row>
    <row r="2722" customFormat="false" ht="15" hidden="false" customHeight="false" outlineLevel="0" collapsed="false">
      <c r="A2722" s="22"/>
      <c r="B2722" s="22"/>
      <c r="C2722" s="26" t="str">
        <f aca="false">IF(A2722="","",IFERROR(buscarx(A2722&amp;B2722,DATA!$E$3:$E$10000&amp;DATA!$B$3:$B$10000,DATA!$M$3:$M$10000),"No encontrado"))</f>
        <v/>
      </c>
      <c r="D2722" s="27" t="str">
        <f aca="false">IF(A2722="","",IFERROR(buscarx(A2722&amp;B2722,DATA!$E$3:$E$10000&amp;DATA!$B$3:$B$10000,DATA!$W$3:$W$10000),"No encontrado"))</f>
        <v/>
      </c>
      <c r="E2722" s="22"/>
      <c r="F2722" s="26" t="str">
        <f aca="false">IF(A2722="","",IFERROR(buscarx(A2722&amp;E2722,DATA!$E$3:$E$10000&amp;DATA!$B$3:$B$10000,DATA!$M$3:$M$10000),"Inactivo"))</f>
        <v/>
      </c>
      <c r="G2722" s="28" t="str">
        <f aca="false">IF(A2722="","",IF(AND(C2722&lt;&gt;"No encontrado",F2722&lt;&gt;"Inactivo"),C2722&amp;" → "&amp;F2722,"Sin transición"))</f>
        <v/>
      </c>
      <c r="H2722" s="26" t="str">
        <f aca="false">IF(A2722="","",IF(D2722="GCIA LINEA SERVICIO DIGITALIDAD Y VENTAS","Chats",IF(OR(D2722="GERENCIA INBOUND LÍNEAS SERVICIO Y VENTA",D2722="GERENCIA INBOUND LINEAS ESPECIALIZADAS"),"Llamadas","Otro")))</f>
        <v/>
      </c>
      <c r="I2722" s="26" t="str">
        <f aca="false">IF(A2722="","",IF(C2722="No encontrado","No","Sí"))</f>
        <v/>
      </c>
      <c r="J2722" s="26" t="str">
        <f aca="false">IF(A2722="","",IF(F2722="Inactivo","No","Sí"))</f>
        <v/>
      </c>
      <c r="K2722" s="26" t="str">
        <f aca="false">IF(A2722="","",IF(AND(I2722="Sí",J2722="Sí"),"Sí","No"))</f>
        <v/>
      </c>
    </row>
    <row r="2723" customFormat="false" ht="15" hidden="false" customHeight="false" outlineLevel="0" collapsed="false">
      <c r="A2723" s="22"/>
      <c r="B2723" s="22"/>
      <c r="C2723" s="23" t="str">
        <f aca="false">IF(A2723="","",IFERROR(buscarx(A2723&amp;B2723,DATA!$E$3:$E$10000&amp;DATA!$B$3:$B$10000,DATA!$M$3:$M$10000),"No encontrado"))</f>
        <v/>
      </c>
      <c r="D2723" s="24" t="str">
        <f aca="false">IF(A2723="","",IFERROR(buscarx(A2723&amp;B2723,DATA!$E$3:$E$10000&amp;DATA!$B$3:$B$10000,DATA!$W$3:$W$10000),"No encontrado"))</f>
        <v/>
      </c>
      <c r="E2723" s="22"/>
      <c r="F2723" s="23" t="str">
        <f aca="false">IF(A2723="","",IFERROR(buscarx(A2723&amp;E2723,DATA!$E$3:$E$10000&amp;DATA!$B$3:$B$10000,DATA!$M$3:$M$10000),"Inactivo"))</f>
        <v/>
      </c>
      <c r="G2723" s="25" t="str">
        <f aca="false">IF(A2723="","",IF(AND(C2723&lt;&gt;"No encontrado",F2723&lt;&gt;"Inactivo"),C2723&amp;" → "&amp;F2723,"Sin transición"))</f>
        <v/>
      </c>
      <c r="H2723" s="23" t="str">
        <f aca="false">IF(A2723="","",IF(D2723="GCIA LINEA SERVICIO DIGITALIDAD Y VENTAS","Chats",IF(OR(D2723="GERENCIA INBOUND LÍNEAS SERVICIO Y VENTA",D2723="GERENCIA INBOUND LINEAS ESPECIALIZADAS"),"Llamadas","Otro")))</f>
        <v/>
      </c>
      <c r="I2723" s="23" t="str">
        <f aca="false">IF(A2723="","",IF(C2723="No encontrado","No","Sí"))</f>
        <v/>
      </c>
      <c r="J2723" s="23" t="str">
        <f aca="false">IF(A2723="","",IF(F2723="Inactivo","No","Sí"))</f>
        <v/>
      </c>
      <c r="K2723" s="23" t="str">
        <f aca="false">IF(A2723="","",IF(AND(I2723="Sí",J2723="Sí"),"Sí","No"))</f>
        <v/>
      </c>
    </row>
    <row r="2724" customFormat="false" ht="15" hidden="false" customHeight="false" outlineLevel="0" collapsed="false">
      <c r="A2724" s="22"/>
      <c r="B2724" s="22"/>
      <c r="C2724" s="26" t="str">
        <f aca="false">IF(A2724="","",IFERROR(buscarx(A2724&amp;B2724,DATA!$E$3:$E$10000&amp;DATA!$B$3:$B$10000,DATA!$M$3:$M$10000),"No encontrado"))</f>
        <v/>
      </c>
      <c r="D2724" s="27" t="str">
        <f aca="false">IF(A2724="","",IFERROR(buscarx(A2724&amp;B2724,DATA!$E$3:$E$10000&amp;DATA!$B$3:$B$10000,DATA!$W$3:$W$10000),"No encontrado"))</f>
        <v/>
      </c>
      <c r="E2724" s="22"/>
      <c r="F2724" s="26" t="str">
        <f aca="false">IF(A2724="","",IFERROR(buscarx(A2724&amp;E2724,DATA!$E$3:$E$10000&amp;DATA!$B$3:$B$10000,DATA!$M$3:$M$10000),"Inactivo"))</f>
        <v/>
      </c>
      <c r="G2724" s="28" t="str">
        <f aca="false">IF(A2724="","",IF(AND(C2724&lt;&gt;"No encontrado",F2724&lt;&gt;"Inactivo"),C2724&amp;" → "&amp;F2724,"Sin transición"))</f>
        <v/>
      </c>
      <c r="H2724" s="26" t="str">
        <f aca="false">IF(A2724="","",IF(D2724="GCIA LINEA SERVICIO DIGITALIDAD Y VENTAS","Chats",IF(OR(D2724="GERENCIA INBOUND LÍNEAS SERVICIO Y VENTA",D2724="GERENCIA INBOUND LINEAS ESPECIALIZADAS"),"Llamadas","Otro")))</f>
        <v/>
      </c>
      <c r="I2724" s="26" t="str">
        <f aca="false">IF(A2724="","",IF(C2724="No encontrado","No","Sí"))</f>
        <v/>
      </c>
      <c r="J2724" s="26" t="str">
        <f aca="false">IF(A2724="","",IF(F2724="Inactivo","No","Sí"))</f>
        <v/>
      </c>
      <c r="K2724" s="26" t="str">
        <f aca="false">IF(A2724="","",IF(AND(I2724="Sí",J2724="Sí"),"Sí","No"))</f>
        <v/>
      </c>
    </row>
    <row r="2725" customFormat="false" ht="15" hidden="false" customHeight="false" outlineLevel="0" collapsed="false">
      <c r="A2725" s="22"/>
      <c r="B2725" s="22"/>
      <c r="C2725" s="23" t="str">
        <f aca="false">IF(A2725="","",IFERROR(buscarx(A2725&amp;B2725,DATA!$E$3:$E$10000&amp;DATA!$B$3:$B$10000,DATA!$M$3:$M$10000),"No encontrado"))</f>
        <v/>
      </c>
      <c r="D2725" s="24" t="str">
        <f aca="false">IF(A2725="","",IFERROR(buscarx(A2725&amp;B2725,DATA!$E$3:$E$10000&amp;DATA!$B$3:$B$10000,DATA!$W$3:$W$10000),"No encontrado"))</f>
        <v/>
      </c>
      <c r="E2725" s="22"/>
      <c r="F2725" s="23" t="str">
        <f aca="false">IF(A2725="","",IFERROR(buscarx(A2725&amp;E2725,DATA!$E$3:$E$10000&amp;DATA!$B$3:$B$10000,DATA!$M$3:$M$10000),"Inactivo"))</f>
        <v/>
      </c>
      <c r="G2725" s="25" t="str">
        <f aca="false">IF(A2725="","",IF(AND(C2725&lt;&gt;"No encontrado",F2725&lt;&gt;"Inactivo"),C2725&amp;" → "&amp;F2725,"Sin transición"))</f>
        <v/>
      </c>
      <c r="H2725" s="23" t="str">
        <f aca="false">IF(A2725="","",IF(D2725="GCIA LINEA SERVICIO DIGITALIDAD Y VENTAS","Chats",IF(OR(D2725="GERENCIA INBOUND LÍNEAS SERVICIO Y VENTA",D2725="GERENCIA INBOUND LINEAS ESPECIALIZADAS"),"Llamadas","Otro")))</f>
        <v/>
      </c>
      <c r="I2725" s="23" t="str">
        <f aca="false">IF(A2725="","",IF(C2725="No encontrado","No","Sí"))</f>
        <v/>
      </c>
      <c r="J2725" s="23" t="str">
        <f aca="false">IF(A2725="","",IF(F2725="Inactivo","No","Sí"))</f>
        <v/>
      </c>
      <c r="K2725" s="23" t="str">
        <f aca="false">IF(A2725="","",IF(AND(I2725="Sí",J2725="Sí"),"Sí","No"))</f>
        <v/>
      </c>
    </row>
    <row r="2726" customFormat="false" ht="15" hidden="false" customHeight="false" outlineLevel="0" collapsed="false">
      <c r="A2726" s="22"/>
      <c r="B2726" s="22"/>
      <c r="C2726" s="26" t="str">
        <f aca="false">IF(A2726="","",IFERROR(buscarx(A2726&amp;B2726,DATA!$E$3:$E$10000&amp;DATA!$B$3:$B$10000,DATA!$M$3:$M$10000),"No encontrado"))</f>
        <v/>
      </c>
      <c r="D2726" s="27" t="str">
        <f aca="false">IF(A2726="","",IFERROR(buscarx(A2726&amp;B2726,DATA!$E$3:$E$10000&amp;DATA!$B$3:$B$10000,DATA!$W$3:$W$10000),"No encontrado"))</f>
        <v/>
      </c>
      <c r="E2726" s="22"/>
      <c r="F2726" s="26" t="str">
        <f aca="false">IF(A2726="","",IFERROR(buscarx(A2726&amp;E2726,DATA!$E$3:$E$10000&amp;DATA!$B$3:$B$10000,DATA!$M$3:$M$10000),"Inactivo"))</f>
        <v/>
      </c>
      <c r="G2726" s="28" t="str">
        <f aca="false">IF(A2726="","",IF(AND(C2726&lt;&gt;"No encontrado",F2726&lt;&gt;"Inactivo"),C2726&amp;" → "&amp;F2726,"Sin transición"))</f>
        <v/>
      </c>
      <c r="H2726" s="26" t="str">
        <f aca="false">IF(A2726="","",IF(D2726="GCIA LINEA SERVICIO DIGITALIDAD Y VENTAS","Chats",IF(OR(D2726="GERENCIA INBOUND LÍNEAS SERVICIO Y VENTA",D2726="GERENCIA INBOUND LINEAS ESPECIALIZADAS"),"Llamadas","Otro")))</f>
        <v/>
      </c>
      <c r="I2726" s="26" t="str">
        <f aca="false">IF(A2726="","",IF(C2726="No encontrado","No","Sí"))</f>
        <v/>
      </c>
      <c r="J2726" s="26" t="str">
        <f aca="false">IF(A2726="","",IF(F2726="Inactivo","No","Sí"))</f>
        <v/>
      </c>
      <c r="K2726" s="26" t="str">
        <f aca="false">IF(A2726="","",IF(AND(I2726="Sí",J2726="Sí"),"Sí","No"))</f>
        <v/>
      </c>
    </row>
    <row r="2727" customFormat="false" ht="15" hidden="false" customHeight="false" outlineLevel="0" collapsed="false">
      <c r="A2727" s="22"/>
      <c r="B2727" s="22"/>
      <c r="C2727" s="23" t="str">
        <f aca="false">IF(A2727="","",IFERROR(buscarx(A2727&amp;B2727,DATA!$E$3:$E$10000&amp;DATA!$B$3:$B$10000,DATA!$M$3:$M$10000),"No encontrado"))</f>
        <v/>
      </c>
      <c r="D2727" s="24" t="str">
        <f aca="false">IF(A2727="","",IFERROR(buscarx(A2727&amp;B2727,DATA!$E$3:$E$10000&amp;DATA!$B$3:$B$10000,DATA!$W$3:$W$10000),"No encontrado"))</f>
        <v/>
      </c>
      <c r="E2727" s="22"/>
      <c r="F2727" s="23" t="str">
        <f aca="false">IF(A2727="","",IFERROR(buscarx(A2727&amp;E2727,DATA!$E$3:$E$10000&amp;DATA!$B$3:$B$10000,DATA!$M$3:$M$10000),"Inactivo"))</f>
        <v/>
      </c>
      <c r="G2727" s="25" t="str">
        <f aca="false">IF(A2727="","",IF(AND(C2727&lt;&gt;"No encontrado",F2727&lt;&gt;"Inactivo"),C2727&amp;" → "&amp;F2727,"Sin transición"))</f>
        <v/>
      </c>
      <c r="H2727" s="23" t="str">
        <f aca="false">IF(A2727="","",IF(D2727="GCIA LINEA SERVICIO DIGITALIDAD Y VENTAS","Chats",IF(OR(D2727="GERENCIA INBOUND LÍNEAS SERVICIO Y VENTA",D2727="GERENCIA INBOUND LINEAS ESPECIALIZADAS"),"Llamadas","Otro")))</f>
        <v/>
      </c>
      <c r="I2727" s="23" t="str">
        <f aca="false">IF(A2727="","",IF(C2727="No encontrado","No","Sí"))</f>
        <v/>
      </c>
      <c r="J2727" s="23" t="str">
        <f aca="false">IF(A2727="","",IF(F2727="Inactivo","No","Sí"))</f>
        <v/>
      </c>
      <c r="K2727" s="23" t="str">
        <f aca="false">IF(A2727="","",IF(AND(I2727="Sí",J2727="Sí"),"Sí","No"))</f>
        <v/>
      </c>
    </row>
    <row r="2728" customFormat="false" ht="15" hidden="false" customHeight="false" outlineLevel="0" collapsed="false">
      <c r="A2728" s="22"/>
      <c r="B2728" s="22"/>
      <c r="C2728" s="26" t="str">
        <f aca="false">IF(A2728="","",IFERROR(buscarx(A2728&amp;B2728,DATA!$E$3:$E$10000&amp;DATA!$B$3:$B$10000,DATA!$M$3:$M$10000),"No encontrado"))</f>
        <v/>
      </c>
      <c r="D2728" s="27" t="str">
        <f aca="false">IF(A2728="","",IFERROR(buscarx(A2728&amp;B2728,DATA!$E$3:$E$10000&amp;DATA!$B$3:$B$10000,DATA!$W$3:$W$10000),"No encontrado"))</f>
        <v/>
      </c>
      <c r="E2728" s="22"/>
      <c r="F2728" s="26" t="str">
        <f aca="false">IF(A2728="","",IFERROR(buscarx(A2728&amp;E2728,DATA!$E$3:$E$10000&amp;DATA!$B$3:$B$10000,DATA!$M$3:$M$10000),"Inactivo"))</f>
        <v/>
      </c>
      <c r="G2728" s="28" t="str">
        <f aca="false">IF(A2728="","",IF(AND(C2728&lt;&gt;"No encontrado",F2728&lt;&gt;"Inactivo"),C2728&amp;" → "&amp;F2728,"Sin transición"))</f>
        <v/>
      </c>
      <c r="H2728" s="26" t="str">
        <f aca="false">IF(A2728="","",IF(D2728="GCIA LINEA SERVICIO DIGITALIDAD Y VENTAS","Chats",IF(OR(D2728="GERENCIA INBOUND LÍNEAS SERVICIO Y VENTA",D2728="GERENCIA INBOUND LINEAS ESPECIALIZADAS"),"Llamadas","Otro")))</f>
        <v/>
      </c>
      <c r="I2728" s="26" t="str">
        <f aca="false">IF(A2728="","",IF(C2728="No encontrado","No","Sí"))</f>
        <v/>
      </c>
      <c r="J2728" s="26" t="str">
        <f aca="false">IF(A2728="","",IF(F2728="Inactivo","No","Sí"))</f>
        <v/>
      </c>
      <c r="K2728" s="26" t="str">
        <f aca="false">IF(A2728="","",IF(AND(I2728="Sí",J2728="Sí"),"Sí","No"))</f>
        <v/>
      </c>
    </row>
    <row r="2729" customFormat="false" ht="15" hidden="false" customHeight="false" outlineLevel="0" collapsed="false">
      <c r="A2729" s="22"/>
      <c r="B2729" s="22"/>
      <c r="C2729" s="23" t="str">
        <f aca="false">IF(A2729="","",IFERROR(buscarx(A2729&amp;B2729,DATA!$E$3:$E$10000&amp;DATA!$B$3:$B$10000,DATA!$M$3:$M$10000),"No encontrado"))</f>
        <v/>
      </c>
      <c r="D2729" s="24" t="str">
        <f aca="false">IF(A2729="","",IFERROR(buscarx(A2729&amp;B2729,DATA!$E$3:$E$10000&amp;DATA!$B$3:$B$10000,DATA!$W$3:$W$10000),"No encontrado"))</f>
        <v/>
      </c>
      <c r="E2729" s="22"/>
      <c r="F2729" s="23" t="str">
        <f aca="false">IF(A2729="","",IFERROR(buscarx(A2729&amp;E2729,DATA!$E$3:$E$10000&amp;DATA!$B$3:$B$10000,DATA!$M$3:$M$10000),"Inactivo"))</f>
        <v/>
      </c>
      <c r="G2729" s="25" t="str">
        <f aca="false">IF(A2729="","",IF(AND(C2729&lt;&gt;"No encontrado",F2729&lt;&gt;"Inactivo"),C2729&amp;" → "&amp;F2729,"Sin transición"))</f>
        <v/>
      </c>
      <c r="H2729" s="23" t="str">
        <f aca="false">IF(A2729="","",IF(D2729="GCIA LINEA SERVICIO DIGITALIDAD Y VENTAS","Chats",IF(OR(D2729="GERENCIA INBOUND LÍNEAS SERVICIO Y VENTA",D2729="GERENCIA INBOUND LINEAS ESPECIALIZADAS"),"Llamadas","Otro")))</f>
        <v/>
      </c>
      <c r="I2729" s="23" t="str">
        <f aca="false">IF(A2729="","",IF(C2729="No encontrado","No","Sí"))</f>
        <v/>
      </c>
      <c r="J2729" s="23" t="str">
        <f aca="false">IF(A2729="","",IF(F2729="Inactivo","No","Sí"))</f>
        <v/>
      </c>
      <c r="K2729" s="23" t="str">
        <f aca="false">IF(A2729="","",IF(AND(I2729="Sí",J2729="Sí"),"Sí","No"))</f>
        <v/>
      </c>
    </row>
    <row r="2730" customFormat="false" ht="15" hidden="false" customHeight="false" outlineLevel="0" collapsed="false">
      <c r="A2730" s="22"/>
      <c r="B2730" s="22"/>
      <c r="C2730" s="26" t="str">
        <f aca="false">IF(A2730="","",IFERROR(buscarx(A2730&amp;B2730,DATA!$E$3:$E$10000&amp;DATA!$B$3:$B$10000,DATA!$M$3:$M$10000),"No encontrado"))</f>
        <v/>
      </c>
      <c r="D2730" s="27" t="str">
        <f aca="false">IF(A2730="","",IFERROR(buscarx(A2730&amp;B2730,DATA!$E$3:$E$10000&amp;DATA!$B$3:$B$10000,DATA!$W$3:$W$10000),"No encontrado"))</f>
        <v/>
      </c>
      <c r="E2730" s="22"/>
      <c r="F2730" s="26" t="str">
        <f aca="false">IF(A2730="","",IFERROR(buscarx(A2730&amp;E2730,DATA!$E$3:$E$10000&amp;DATA!$B$3:$B$10000,DATA!$M$3:$M$10000),"Inactivo"))</f>
        <v/>
      </c>
      <c r="G2730" s="28" t="str">
        <f aca="false">IF(A2730="","",IF(AND(C2730&lt;&gt;"No encontrado",F2730&lt;&gt;"Inactivo"),C2730&amp;" → "&amp;F2730,"Sin transición"))</f>
        <v/>
      </c>
      <c r="H2730" s="26" t="str">
        <f aca="false">IF(A2730="","",IF(D2730="GCIA LINEA SERVICIO DIGITALIDAD Y VENTAS","Chats",IF(OR(D2730="GERENCIA INBOUND LÍNEAS SERVICIO Y VENTA",D2730="GERENCIA INBOUND LINEAS ESPECIALIZADAS"),"Llamadas","Otro")))</f>
        <v/>
      </c>
      <c r="I2730" s="26" t="str">
        <f aca="false">IF(A2730="","",IF(C2730="No encontrado","No","Sí"))</f>
        <v/>
      </c>
      <c r="J2730" s="26" t="str">
        <f aca="false">IF(A2730="","",IF(F2730="Inactivo","No","Sí"))</f>
        <v/>
      </c>
      <c r="K2730" s="26" t="str">
        <f aca="false">IF(A2730="","",IF(AND(I2730="Sí",J2730="Sí"),"Sí","No"))</f>
        <v/>
      </c>
    </row>
    <row r="2731" customFormat="false" ht="15" hidden="false" customHeight="false" outlineLevel="0" collapsed="false">
      <c r="A2731" s="22"/>
      <c r="B2731" s="22"/>
      <c r="C2731" s="23" t="str">
        <f aca="false">IF(A2731="","",IFERROR(buscarx(A2731&amp;B2731,DATA!$E$3:$E$10000&amp;DATA!$B$3:$B$10000,DATA!$M$3:$M$10000),"No encontrado"))</f>
        <v/>
      </c>
      <c r="D2731" s="24" t="str">
        <f aca="false">IF(A2731="","",IFERROR(buscarx(A2731&amp;B2731,DATA!$E$3:$E$10000&amp;DATA!$B$3:$B$10000,DATA!$W$3:$W$10000),"No encontrado"))</f>
        <v/>
      </c>
      <c r="E2731" s="22"/>
      <c r="F2731" s="23" t="str">
        <f aca="false">IF(A2731="","",IFERROR(buscarx(A2731&amp;E2731,DATA!$E$3:$E$10000&amp;DATA!$B$3:$B$10000,DATA!$M$3:$M$10000),"Inactivo"))</f>
        <v/>
      </c>
      <c r="G2731" s="25" t="str">
        <f aca="false">IF(A2731="","",IF(AND(C2731&lt;&gt;"No encontrado",F2731&lt;&gt;"Inactivo"),C2731&amp;" → "&amp;F2731,"Sin transición"))</f>
        <v/>
      </c>
      <c r="H2731" s="23" t="str">
        <f aca="false">IF(A2731="","",IF(D2731="GCIA LINEA SERVICIO DIGITALIDAD Y VENTAS","Chats",IF(OR(D2731="GERENCIA INBOUND LÍNEAS SERVICIO Y VENTA",D2731="GERENCIA INBOUND LINEAS ESPECIALIZADAS"),"Llamadas","Otro")))</f>
        <v/>
      </c>
      <c r="I2731" s="23" t="str">
        <f aca="false">IF(A2731="","",IF(C2731="No encontrado","No","Sí"))</f>
        <v/>
      </c>
      <c r="J2731" s="23" t="str">
        <f aca="false">IF(A2731="","",IF(F2731="Inactivo","No","Sí"))</f>
        <v/>
      </c>
      <c r="K2731" s="23" t="str">
        <f aca="false">IF(A2731="","",IF(AND(I2731="Sí",J2731="Sí"),"Sí","No"))</f>
        <v/>
      </c>
    </row>
    <row r="2732" customFormat="false" ht="15" hidden="false" customHeight="false" outlineLevel="0" collapsed="false">
      <c r="A2732" s="22"/>
      <c r="B2732" s="22"/>
      <c r="C2732" s="26" t="str">
        <f aca="false">IF(A2732="","",IFERROR(buscarx(A2732&amp;B2732,DATA!$E$3:$E$10000&amp;DATA!$B$3:$B$10000,DATA!$M$3:$M$10000),"No encontrado"))</f>
        <v/>
      </c>
      <c r="D2732" s="27" t="str">
        <f aca="false">IF(A2732="","",IFERROR(buscarx(A2732&amp;B2732,DATA!$E$3:$E$10000&amp;DATA!$B$3:$B$10000,DATA!$W$3:$W$10000),"No encontrado"))</f>
        <v/>
      </c>
      <c r="E2732" s="22"/>
      <c r="F2732" s="26" t="str">
        <f aca="false">IF(A2732="","",IFERROR(buscarx(A2732&amp;E2732,DATA!$E$3:$E$10000&amp;DATA!$B$3:$B$10000,DATA!$M$3:$M$10000),"Inactivo"))</f>
        <v/>
      </c>
      <c r="G2732" s="28" t="str">
        <f aca="false">IF(A2732="","",IF(AND(C2732&lt;&gt;"No encontrado",F2732&lt;&gt;"Inactivo"),C2732&amp;" → "&amp;F2732,"Sin transición"))</f>
        <v/>
      </c>
      <c r="H2732" s="26" t="str">
        <f aca="false">IF(A2732="","",IF(D2732="GCIA LINEA SERVICIO DIGITALIDAD Y VENTAS","Chats",IF(OR(D2732="GERENCIA INBOUND LÍNEAS SERVICIO Y VENTA",D2732="GERENCIA INBOUND LINEAS ESPECIALIZADAS"),"Llamadas","Otro")))</f>
        <v/>
      </c>
      <c r="I2732" s="26" t="str">
        <f aca="false">IF(A2732="","",IF(C2732="No encontrado","No","Sí"))</f>
        <v/>
      </c>
      <c r="J2732" s="26" t="str">
        <f aca="false">IF(A2732="","",IF(F2732="Inactivo","No","Sí"))</f>
        <v/>
      </c>
      <c r="K2732" s="26" t="str">
        <f aca="false">IF(A2732="","",IF(AND(I2732="Sí",J2732="Sí"),"Sí","No"))</f>
        <v/>
      </c>
    </row>
    <row r="2733" customFormat="false" ht="15" hidden="false" customHeight="false" outlineLevel="0" collapsed="false">
      <c r="A2733" s="22"/>
      <c r="B2733" s="22"/>
      <c r="C2733" s="23" t="str">
        <f aca="false">IF(A2733="","",IFERROR(buscarx(A2733&amp;B2733,DATA!$E$3:$E$10000&amp;DATA!$B$3:$B$10000,DATA!$M$3:$M$10000),"No encontrado"))</f>
        <v/>
      </c>
      <c r="D2733" s="24" t="str">
        <f aca="false">IF(A2733="","",IFERROR(buscarx(A2733&amp;B2733,DATA!$E$3:$E$10000&amp;DATA!$B$3:$B$10000,DATA!$W$3:$W$10000),"No encontrado"))</f>
        <v/>
      </c>
      <c r="E2733" s="22"/>
      <c r="F2733" s="23" t="str">
        <f aca="false">IF(A2733="","",IFERROR(buscarx(A2733&amp;E2733,DATA!$E$3:$E$10000&amp;DATA!$B$3:$B$10000,DATA!$M$3:$M$10000),"Inactivo"))</f>
        <v/>
      </c>
      <c r="G2733" s="25" t="str">
        <f aca="false">IF(A2733="","",IF(AND(C2733&lt;&gt;"No encontrado",F2733&lt;&gt;"Inactivo"),C2733&amp;" → "&amp;F2733,"Sin transición"))</f>
        <v/>
      </c>
      <c r="H2733" s="23" t="str">
        <f aca="false">IF(A2733="","",IF(D2733="GCIA LINEA SERVICIO DIGITALIDAD Y VENTAS","Chats",IF(OR(D2733="GERENCIA INBOUND LÍNEAS SERVICIO Y VENTA",D2733="GERENCIA INBOUND LINEAS ESPECIALIZADAS"),"Llamadas","Otro")))</f>
        <v/>
      </c>
      <c r="I2733" s="23" t="str">
        <f aca="false">IF(A2733="","",IF(C2733="No encontrado","No","Sí"))</f>
        <v/>
      </c>
      <c r="J2733" s="23" t="str">
        <f aca="false">IF(A2733="","",IF(F2733="Inactivo","No","Sí"))</f>
        <v/>
      </c>
      <c r="K2733" s="23" t="str">
        <f aca="false">IF(A2733="","",IF(AND(I2733="Sí",J2733="Sí"),"Sí","No"))</f>
        <v/>
      </c>
    </row>
    <row r="2734" customFormat="false" ht="15" hidden="false" customHeight="false" outlineLevel="0" collapsed="false">
      <c r="A2734" s="22"/>
      <c r="B2734" s="22"/>
      <c r="C2734" s="26" t="str">
        <f aca="false">IF(A2734="","",IFERROR(buscarx(A2734&amp;B2734,DATA!$E$3:$E$10000&amp;DATA!$B$3:$B$10000,DATA!$M$3:$M$10000),"No encontrado"))</f>
        <v/>
      </c>
      <c r="D2734" s="27" t="str">
        <f aca="false">IF(A2734="","",IFERROR(buscarx(A2734&amp;B2734,DATA!$E$3:$E$10000&amp;DATA!$B$3:$B$10000,DATA!$W$3:$W$10000),"No encontrado"))</f>
        <v/>
      </c>
      <c r="E2734" s="22"/>
      <c r="F2734" s="26" t="str">
        <f aca="false">IF(A2734="","",IFERROR(buscarx(A2734&amp;E2734,DATA!$E$3:$E$10000&amp;DATA!$B$3:$B$10000,DATA!$M$3:$M$10000),"Inactivo"))</f>
        <v/>
      </c>
      <c r="G2734" s="28" t="str">
        <f aca="false">IF(A2734="","",IF(AND(C2734&lt;&gt;"No encontrado",F2734&lt;&gt;"Inactivo"),C2734&amp;" → "&amp;F2734,"Sin transición"))</f>
        <v/>
      </c>
      <c r="H2734" s="26" t="str">
        <f aca="false">IF(A2734="","",IF(D2734="GCIA LINEA SERVICIO DIGITALIDAD Y VENTAS","Chats",IF(OR(D2734="GERENCIA INBOUND LÍNEAS SERVICIO Y VENTA",D2734="GERENCIA INBOUND LINEAS ESPECIALIZADAS"),"Llamadas","Otro")))</f>
        <v/>
      </c>
      <c r="I2734" s="26" t="str">
        <f aca="false">IF(A2734="","",IF(C2734="No encontrado","No","Sí"))</f>
        <v/>
      </c>
      <c r="J2734" s="26" t="str">
        <f aca="false">IF(A2734="","",IF(F2734="Inactivo","No","Sí"))</f>
        <v/>
      </c>
      <c r="K2734" s="26" t="str">
        <f aca="false">IF(A2734="","",IF(AND(I2734="Sí",J2734="Sí"),"Sí","No"))</f>
        <v/>
      </c>
    </row>
    <row r="2735" customFormat="false" ht="15" hidden="false" customHeight="false" outlineLevel="0" collapsed="false">
      <c r="A2735" s="22"/>
      <c r="B2735" s="22"/>
      <c r="C2735" s="23" t="str">
        <f aca="false">IF(A2735="","",IFERROR(buscarx(A2735&amp;B2735,DATA!$E$3:$E$10000&amp;DATA!$B$3:$B$10000,DATA!$M$3:$M$10000),"No encontrado"))</f>
        <v/>
      </c>
      <c r="D2735" s="24" t="str">
        <f aca="false">IF(A2735="","",IFERROR(buscarx(A2735&amp;B2735,DATA!$E$3:$E$10000&amp;DATA!$B$3:$B$10000,DATA!$W$3:$W$10000),"No encontrado"))</f>
        <v/>
      </c>
      <c r="E2735" s="22"/>
      <c r="F2735" s="23" t="str">
        <f aca="false">IF(A2735="","",IFERROR(buscarx(A2735&amp;E2735,DATA!$E$3:$E$10000&amp;DATA!$B$3:$B$10000,DATA!$M$3:$M$10000),"Inactivo"))</f>
        <v/>
      </c>
      <c r="G2735" s="25" t="str">
        <f aca="false">IF(A2735="","",IF(AND(C2735&lt;&gt;"No encontrado",F2735&lt;&gt;"Inactivo"),C2735&amp;" → "&amp;F2735,"Sin transición"))</f>
        <v/>
      </c>
      <c r="H2735" s="23" t="str">
        <f aca="false">IF(A2735="","",IF(D2735="GCIA LINEA SERVICIO DIGITALIDAD Y VENTAS","Chats",IF(OR(D2735="GERENCIA INBOUND LÍNEAS SERVICIO Y VENTA",D2735="GERENCIA INBOUND LINEAS ESPECIALIZADAS"),"Llamadas","Otro")))</f>
        <v/>
      </c>
      <c r="I2735" s="23" t="str">
        <f aca="false">IF(A2735="","",IF(C2735="No encontrado","No","Sí"))</f>
        <v/>
      </c>
      <c r="J2735" s="23" t="str">
        <f aca="false">IF(A2735="","",IF(F2735="Inactivo","No","Sí"))</f>
        <v/>
      </c>
      <c r="K2735" s="23" t="str">
        <f aca="false">IF(A2735="","",IF(AND(I2735="Sí",J2735="Sí"),"Sí","No"))</f>
        <v/>
      </c>
    </row>
    <row r="2736" customFormat="false" ht="15" hidden="false" customHeight="false" outlineLevel="0" collapsed="false">
      <c r="A2736" s="22"/>
      <c r="B2736" s="22"/>
      <c r="C2736" s="26" t="str">
        <f aca="false">IF(A2736="","",IFERROR(buscarx(A2736&amp;B2736,DATA!$E$3:$E$10000&amp;DATA!$B$3:$B$10000,DATA!$M$3:$M$10000),"No encontrado"))</f>
        <v/>
      </c>
      <c r="D2736" s="27" t="str">
        <f aca="false">IF(A2736="","",IFERROR(buscarx(A2736&amp;B2736,DATA!$E$3:$E$10000&amp;DATA!$B$3:$B$10000,DATA!$W$3:$W$10000),"No encontrado"))</f>
        <v/>
      </c>
      <c r="E2736" s="22"/>
      <c r="F2736" s="26" t="str">
        <f aca="false">IF(A2736="","",IFERROR(buscarx(A2736&amp;E2736,DATA!$E$3:$E$10000&amp;DATA!$B$3:$B$10000,DATA!$M$3:$M$10000),"Inactivo"))</f>
        <v/>
      </c>
      <c r="G2736" s="28" t="str">
        <f aca="false">IF(A2736="","",IF(AND(C2736&lt;&gt;"No encontrado",F2736&lt;&gt;"Inactivo"),C2736&amp;" → "&amp;F2736,"Sin transición"))</f>
        <v/>
      </c>
      <c r="H2736" s="26" t="str">
        <f aca="false">IF(A2736="","",IF(D2736="GCIA LINEA SERVICIO DIGITALIDAD Y VENTAS","Chats",IF(OR(D2736="GERENCIA INBOUND LÍNEAS SERVICIO Y VENTA",D2736="GERENCIA INBOUND LINEAS ESPECIALIZADAS"),"Llamadas","Otro")))</f>
        <v/>
      </c>
      <c r="I2736" s="26" t="str">
        <f aca="false">IF(A2736="","",IF(C2736="No encontrado","No","Sí"))</f>
        <v/>
      </c>
      <c r="J2736" s="26" t="str">
        <f aca="false">IF(A2736="","",IF(F2736="Inactivo","No","Sí"))</f>
        <v/>
      </c>
      <c r="K2736" s="26" t="str">
        <f aca="false">IF(A2736="","",IF(AND(I2736="Sí",J2736="Sí"),"Sí","No"))</f>
        <v/>
      </c>
    </row>
    <row r="2737" customFormat="false" ht="15" hidden="false" customHeight="false" outlineLevel="0" collapsed="false">
      <c r="A2737" s="22"/>
      <c r="B2737" s="22"/>
      <c r="C2737" s="23" t="str">
        <f aca="false">IF(A2737="","",IFERROR(buscarx(A2737&amp;B2737,DATA!$E$3:$E$10000&amp;DATA!$B$3:$B$10000,DATA!$M$3:$M$10000),"No encontrado"))</f>
        <v/>
      </c>
      <c r="D2737" s="24" t="str">
        <f aca="false">IF(A2737="","",IFERROR(buscarx(A2737&amp;B2737,DATA!$E$3:$E$10000&amp;DATA!$B$3:$B$10000,DATA!$W$3:$W$10000),"No encontrado"))</f>
        <v/>
      </c>
      <c r="E2737" s="22"/>
      <c r="F2737" s="23" t="str">
        <f aca="false">IF(A2737="","",IFERROR(buscarx(A2737&amp;E2737,DATA!$E$3:$E$10000&amp;DATA!$B$3:$B$10000,DATA!$M$3:$M$10000),"Inactivo"))</f>
        <v/>
      </c>
      <c r="G2737" s="25" t="str">
        <f aca="false">IF(A2737="","",IF(AND(C2737&lt;&gt;"No encontrado",F2737&lt;&gt;"Inactivo"),C2737&amp;" → "&amp;F2737,"Sin transición"))</f>
        <v/>
      </c>
      <c r="H2737" s="23" t="str">
        <f aca="false">IF(A2737="","",IF(D2737="GCIA LINEA SERVICIO DIGITALIDAD Y VENTAS","Chats",IF(OR(D2737="GERENCIA INBOUND LÍNEAS SERVICIO Y VENTA",D2737="GERENCIA INBOUND LINEAS ESPECIALIZADAS"),"Llamadas","Otro")))</f>
        <v/>
      </c>
      <c r="I2737" s="23" t="str">
        <f aca="false">IF(A2737="","",IF(C2737="No encontrado","No","Sí"))</f>
        <v/>
      </c>
      <c r="J2737" s="23" t="str">
        <f aca="false">IF(A2737="","",IF(F2737="Inactivo","No","Sí"))</f>
        <v/>
      </c>
      <c r="K2737" s="23" t="str">
        <f aca="false">IF(A2737="","",IF(AND(I2737="Sí",J2737="Sí"),"Sí","No"))</f>
        <v/>
      </c>
    </row>
    <row r="2738" customFormat="false" ht="15" hidden="false" customHeight="false" outlineLevel="0" collapsed="false">
      <c r="A2738" s="22"/>
      <c r="B2738" s="22"/>
      <c r="C2738" s="26" t="str">
        <f aca="false">IF(A2738="","",IFERROR(buscarx(A2738&amp;B2738,DATA!$E$3:$E$10000&amp;DATA!$B$3:$B$10000,DATA!$M$3:$M$10000),"No encontrado"))</f>
        <v/>
      </c>
      <c r="D2738" s="27" t="str">
        <f aca="false">IF(A2738="","",IFERROR(buscarx(A2738&amp;B2738,DATA!$E$3:$E$10000&amp;DATA!$B$3:$B$10000,DATA!$W$3:$W$10000),"No encontrado"))</f>
        <v/>
      </c>
      <c r="E2738" s="22"/>
      <c r="F2738" s="26" t="str">
        <f aca="false">IF(A2738="","",IFERROR(buscarx(A2738&amp;E2738,DATA!$E$3:$E$10000&amp;DATA!$B$3:$B$10000,DATA!$M$3:$M$10000),"Inactivo"))</f>
        <v/>
      </c>
      <c r="G2738" s="28" t="str">
        <f aca="false">IF(A2738="","",IF(AND(C2738&lt;&gt;"No encontrado",F2738&lt;&gt;"Inactivo"),C2738&amp;" → "&amp;F2738,"Sin transición"))</f>
        <v/>
      </c>
      <c r="H2738" s="26" t="str">
        <f aca="false">IF(A2738="","",IF(D2738="GCIA LINEA SERVICIO DIGITALIDAD Y VENTAS","Chats",IF(OR(D2738="GERENCIA INBOUND LÍNEAS SERVICIO Y VENTA",D2738="GERENCIA INBOUND LINEAS ESPECIALIZADAS"),"Llamadas","Otro")))</f>
        <v/>
      </c>
      <c r="I2738" s="26" t="str">
        <f aca="false">IF(A2738="","",IF(C2738="No encontrado","No","Sí"))</f>
        <v/>
      </c>
      <c r="J2738" s="26" t="str">
        <f aca="false">IF(A2738="","",IF(F2738="Inactivo","No","Sí"))</f>
        <v/>
      </c>
      <c r="K2738" s="26" t="str">
        <f aca="false">IF(A2738="","",IF(AND(I2738="Sí",J2738="Sí"),"Sí","No"))</f>
        <v/>
      </c>
    </row>
    <row r="2739" customFormat="false" ht="15" hidden="false" customHeight="false" outlineLevel="0" collapsed="false">
      <c r="A2739" s="22"/>
      <c r="B2739" s="22"/>
      <c r="C2739" s="23" t="str">
        <f aca="false">IF(A2739="","",IFERROR(buscarx(A2739&amp;B2739,DATA!$E$3:$E$10000&amp;DATA!$B$3:$B$10000,DATA!$M$3:$M$10000),"No encontrado"))</f>
        <v/>
      </c>
      <c r="D2739" s="24" t="str">
        <f aca="false">IF(A2739="","",IFERROR(buscarx(A2739&amp;B2739,DATA!$E$3:$E$10000&amp;DATA!$B$3:$B$10000,DATA!$W$3:$W$10000),"No encontrado"))</f>
        <v/>
      </c>
      <c r="E2739" s="22"/>
      <c r="F2739" s="23" t="str">
        <f aca="false">IF(A2739="","",IFERROR(buscarx(A2739&amp;E2739,DATA!$E$3:$E$10000&amp;DATA!$B$3:$B$10000,DATA!$M$3:$M$10000),"Inactivo"))</f>
        <v/>
      </c>
      <c r="G2739" s="25" t="str">
        <f aca="false">IF(A2739="","",IF(AND(C2739&lt;&gt;"No encontrado",F2739&lt;&gt;"Inactivo"),C2739&amp;" → "&amp;F2739,"Sin transición"))</f>
        <v/>
      </c>
      <c r="H2739" s="23" t="str">
        <f aca="false">IF(A2739="","",IF(D2739="GCIA LINEA SERVICIO DIGITALIDAD Y VENTAS","Chats",IF(OR(D2739="GERENCIA INBOUND LÍNEAS SERVICIO Y VENTA",D2739="GERENCIA INBOUND LINEAS ESPECIALIZADAS"),"Llamadas","Otro")))</f>
        <v/>
      </c>
      <c r="I2739" s="23" t="str">
        <f aca="false">IF(A2739="","",IF(C2739="No encontrado","No","Sí"))</f>
        <v/>
      </c>
      <c r="J2739" s="23" t="str">
        <f aca="false">IF(A2739="","",IF(F2739="Inactivo","No","Sí"))</f>
        <v/>
      </c>
      <c r="K2739" s="23" t="str">
        <f aca="false">IF(A2739="","",IF(AND(I2739="Sí",J2739="Sí"),"Sí","No"))</f>
        <v/>
      </c>
    </row>
    <row r="2740" customFormat="false" ht="15" hidden="false" customHeight="false" outlineLevel="0" collapsed="false">
      <c r="A2740" s="22"/>
      <c r="B2740" s="22"/>
      <c r="C2740" s="26" t="str">
        <f aca="false">IF(A2740="","",IFERROR(buscarx(A2740&amp;B2740,DATA!$E$3:$E$10000&amp;DATA!$B$3:$B$10000,DATA!$M$3:$M$10000),"No encontrado"))</f>
        <v/>
      </c>
      <c r="D2740" s="27" t="str">
        <f aca="false">IF(A2740="","",IFERROR(buscarx(A2740&amp;B2740,DATA!$E$3:$E$10000&amp;DATA!$B$3:$B$10000,DATA!$W$3:$W$10000),"No encontrado"))</f>
        <v/>
      </c>
      <c r="E2740" s="22"/>
      <c r="F2740" s="26" t="str">
        <f aca="false">IF(A2740="","",IFERROR(buscarx(A2740&amp;E2740,DATA!$E$3:$E$10000&amp;DATA!$B$3:$B$10000,DATA!$M$3:$M$10000),"Inactivo"))</f>
        <v/>
      </c>
      <c r="G2740" s="28" t="str">
        <f aca="false">IF(A2740="","",IF(AND(C2740&lt;&gt;"No encontrado",F2740&lt;&gt;"Inactivo"),C2740&amp;" → "&amp;F2740,"Sin transición"))</f>
        <v/>
      </c>
      <c r="H2740" s="26" t="str">
        <f aca="false">IF(A2740="","",IF(D2740="GCIA LINEA SERVICIO DIGITALIDAD Y VENTAS","Chats",IF(OR(D2740="GERENCIA INBOUND LÍNEAS SERVICIO Y VENTA",D2740="GERENCIA INBOUND LINEAS ESPECIALIZADAS"),"Llamadas","Otro")))</f>
        <v/>
      </c>
      <c r="I2740" s="26" t="str">
        <f aca="false">IF(A2740="","",IF(C2740="No encontrado","No","Sí"))</f>
        <v/>
      </c>
      <c r="J2740" s="26" t="str">
        <f aca="false">IF(A2740="","",IF(F2740="Inactivo","No","Sí"))</f>
        <v/>
      </c>
      <c r="K2740" s="26" t="str">
        <f aca="false">IF(A2740="","",IF(AND(I2740="Sí",J2740="Sí"),"Sí","No"))</f>
        <v/>
      </c>
    </row>
    <row r="2741" customFormat="false" ht="15" hidden="false" customHeight="false" outlineLevel="0" collapsed="false">
      <c r="A2741" s="22"/>
      <c r="B2741" s="22"/>
      <c r="C2741" s="23" t="str">
        <f aca="false">IF(A2741="","",IFERROR(buscarx(A2741&amp;B2741,DATA!$E$3:$E$10000&amp;DATA!$B$3:$B$10000,DATA!$M$3:$M$10000),"No encontrado"))</f>
        <v/>
      </c>
      <c r="D2741" s="24" t="str">
        <f aca="false">IF(A2741="","",IFERROR(buscarx(A2741&amp;B2741,DATA!$E$3:$E$10000&amp;DATA!$B$3:$B$10000,DATA!$W$3:$W$10000),"No encontrado"))</f>
        <v/>
      </c>
      <c r="E2741" s="22"/>
      <c r="F2741" s="23" t="str">
        <f aca="false">IF(A2741="","",IFERROR(buscarx(A2741&amp;E2741,DATA!$E$3:$E$10000&amp;DATA!$B$3:$B$10000,DATA!$M$3:$M$10000),"Inactivo"))</f>
        <v/>
      </c>
      <c r="G2741" s="25" t="str">
        <f aca="false">IF(A2741="","",IF(AND(C2741&lt;&gt;"No encontrado",F2741&lt;&gt;"Inactivo"),C2741&amp;" → "&amp;F2741,"Sin transición"))</f>
        <v/>
      </c>
      <c r="H2741" s="23" t="str">
        <f aca="false">IF(A2741="","",IF(D2741="GCIA LINEA SERVICIO DIGITALIDAD Y VENTAS","Chats",IF(OR(D2741="GERENCIA INBOUND LÍNEAS SERVICIO Y VENTA",D2741="GERENCIA INBOUND LINEAS ESPECIALIZADAS"),"Llamadas","Otro")))</f>
        <v/>
      </c>
      <c r="I2741" s="23" t="str">
        <f aca="false">IF(A2741="","",IF(C2741="No encontrado","No","Sí"))</f>
        <v/>
      </c>
      <c r="J2741" s="23" t="str">
        <f aca="false">IF(A2741="","",IF(F2741="Inactivo","No","Sí"))</f>
        <v/>
      </c>
      <c r="K2741" s="23" t="str">
        <f aca="false">IF(A2741="","",IF(AND(I2741="Sí",J2741="Sí"),"Sí","No"))</f>
        <v/>
      </c>
    </row>
    <row r="2742" customFormat="false" ht="15" hidden="false" customHeight="false" outlineLevel="0" collapsed="false">
      <c r="A2742" s="22"/>
      <c r="B2742" s="22"/>
      <c r="C2742" s="26" t="str">
        <f aca="false">IF(A2742="","",IFERROR(buscarx(A2742&amp;B2742,DATA!$E$3:$E$10000&amp;DATA!$B$3:$B$10000,DATA!$M$3:$M$10000),"No encontrado"))</f>
        <v/>
      </c>
      <c r="D2742" s="27" t="str">
        <f aca="false">IF(A2742="","",IFERROR(buscarx(A2742&amp;B2742,DATA!$E$3:$E$10000&amp;DATA!$B$3:$B$10000,DATA!$W$3:$W$10000),"No encontrado"))</f>
        <v/>
      </c>
      <c r="E2742" s="22"/>
      <c r="F2742" s="26" t="str">
        <f aca="false">IF(A2742="","",IFERROR(buscarx(A2742&amp;E2742,DATA!$E$3:$E$10000&amp;DATA!$B$3:$B$10000,DATA!$M$3:$M$10000),"Inactivo"))</f>
        <v/>
      </c>
      <c r="G2742" s="28" t="str">
        <f aca="false">IF(A2742="","",IF(AND(C2742&lt;&gt;"No encontrado",F2742&lt;&gt;"Inactivo"),C2742&amp;" → "&amp;F2742,"Sin transición"))</f>
        <v/>
      </c>
      <c r="H2742" s="26" t="str">
        <f aca="false">IF(A2742="","",IF(D2742="GCIA LINEA SERVICIO DIGITALIDAD Y VENTAS","Chats",IF(OR(D2742="GERENCIA INBOUND LÍNEAS SERVICIO Y VENTA",D2742="GERENCIA INBOUND LINEAS ESPECIALIZADAS"),"Llamadas","Otro")))</f>
        <v/>
      </c>
      <c r="I2742" s="26" t="str">
        <f aca="false">IF(A2742="","",IF(C2742="No encontrado","No","Sí"))</f>
        <v/>
      </c>
      <c r="J2742" s="26" t="str">
        <f aca="false">IF(A2742="","",IF(F2742="Inactivo","No","Sí"))</f>
        <v/>
      </c>
      <c r="K2742" s="26" t="str">
        <f aca="false">IF(A2742="","",IF(AND(I2742="Sí",J2742="Sí"),"Sí","No"))</f>
        <v/>
      </c>
    </row>
    <row r="2743" customFormat="false" ht="15" hidden="false" customHeight="false" outlineLevel="0" collapsed="false">
      <c r="A2743" s="22"/>
      <c r="B2743" s="22"/>
      <c r="C2743" s="23" t="str">
        <f aca="false">IF(A2743="","",IFERROR(buscarx(A2743&amp;B2743,DATA!$E$3:$E$10000&amp;DATA!$B$3:$B$10000,DATA!$M$3:$M$10000),"No encontrado"))</f>
        <v/>
      </c>
      <c r="D2743" s="24" t="str">
        <f aca="false">IF(A2743="","",IFERROR(buscarx(A2743&amp;B2743,DATA!$E$3:$E$10000&amp;DATA!$B$3:$B$10000,DATA!$W$3:$W$10000),"No encontrado"))</f>
        <v/>
      </c>
      <c r="E2743" s="22"/>
      <c r="F2743" s="23" t="str">
        <f aca="false">IF(A2743="","",IFERROR(buscarx(A2743&amp;E2743,DATA!$E$3:$E$10000&amp;DATA!$B$3:$B$10000,DATA!$M$3:$M$10000),"Inactivo"))</f>
        <v/>
      </c>
      <c r="G2743" s="25" t="str">
        <f aca="false">IF(A2743="","",IF(AND(C2743&lt;&gt;"No encontrado",F2743&lt;&gt;"Inactivo"),C2743&amp;" → "&amp;F2743,"Sin transición"))</f>
        <v/>
      </c>
      <c r="H2743" s="23" t="str">
        <f aca="false">IF(A2743="","",IF(D2743="GCIA LINEA SERVICIO DIGITALIDAD Y VENTAS","Chats",IF(OR(D2743="GERENCIA INBOUND LÍNEAS SERVICIO Y VENTA",D2743="GERENCIA INBOUND LINEAS ESPECIALIZADAS"),"Llamadas","Otro")))</f>
        <v/>
      </c>
      <c r="I2743" s="23" t="str">
        <f aca="false">IF(A2743="","",IF(C2743="No encontrado","No","Sí"))</f>
        <v/>
      </c>
      <c r="J2743" s="23" t="str">
        <f aca="false">IF(A2743="","",IF(F2743="Inactivo","No","Sí"))</f>
        <v/>
      </c>
      <c r="K2743" s="23" t="str">
        <f aca="false">IF(A2743="","",IF(AND(I2743="Sí",J2743="Sí"),"Sí","No"))</f>
        <v/>
      </c>
    </row>
    <row r="2744" customFormat="false" ht="15" hidden="false" customHeight="false" outlineLevel="0" collapsed="false">
      <c r="A2744" s="22"/>
      <c r="B2744" s="22"/>
      <c r="C2744" s="26" t="str">
        <f aca="false">IF(A2744="","",IFERROR(buscarx(A2744&amp;B2744,DATA!$E$3:$E$10000&amp;DATA!$B$3:$B$10000,DATA!$M$3:$M$10000),"No encontrado"))</f>
        <v/>
      </c>
      <c r="D2744" s="27" t="str">
        <f aca="false">IF(A2744="","",IFERROR(buscarx(A2744&amp;B2744,DATA!$E$3:$E$10000&amp;DATA!$B$3:$B$10000,DATA!$W$3:$W$10000),"No encontrado"))</f>
        <v/>
      </c>
      <c r="E2744" s="22"/>
      <c r="F2744" s="26" t="str">
        <f aca="false">IF(A2744="","",IFERROR(buscarx(A2744&amp;E2744,DATA!$E$3:$E$10000&amp;DATA!$B$3:$B$10000,DATA!$M$3:$M$10000),"Inactivo"))</f>
        <v/>
      </c>
      <c r="G2744" s="28" t="str">
        <f aca="false">IF(A2744="","",IF(AND(C2744&lt;&gt;"No encontrado",F2744&lt;&gt;"Inactivo"),C2744&amp;" → "&amp;F2744,"Sin transición"))</f>
        <v/>
      </c>
      <c r="H2744" s="26" t="str">
        <f aca="false">IF(A2744="","",IF(D2744="GCIA LINEA SERVICIO DIGITALIDAD Y VENTAS","Chats",IF(OR(D2744="GERENCIA INBOUND LÍNEAS SERVICIO Y VENTA",D2744="GERENCIA INBOUND LINEAS ESPECIALIZADAS"),"Llamadas","Otro")))</f>
        <v/>
      </c>
      <c r="I2744" s="26" t="str">
        <f aca="false">IF(A2744="","",IF(C2744="No encontrado","No","Sí"))</f>
        <v/>
      </c>
      <c r="J2744" s="26" t="str">
        <f aca="false">IF(A2744="","",IF(F2744="Inactivo","No","Sí"))</f>
        <v/>
      </c>
      <c r="K2744" s="26" t="str">
        <f aca="false">IF(A2744="","",IF(AND(I2744="Sí",J2744="Sí"),"Sí","No"))</f>
        <v/>
      </c>
    </row>
    <row r="2745" customFormat="false" ht="15" hidden="false" customHeight="false" outlineLevel="0" collapsed="false">
      <c r="A2745" s="22"/>
      <c r="B2745" s="22"/>
      <c r="C2745" s="23" t="str">
        <f aca="false">IF(A2745="","",IFERROR(buscarx(A2745&amp;B2745,DATA!$E$3:$E$10000&amp;DATA!$B$3:$B$10000,DATA!$M$3:$M$10000),"No encontrado"))</f>
        <v/>
      </c>
      <c r="D2745" s="24" t="str">
        <f aca="false">IF(A2745="","",IFERROR(buscarx(A2745&amp;B2745,DATA!$E$3:$E$10000&amp;DATA!$B$3:$B$10000,DATA!$W$3:$W$10000),"No encontrado"))</f>
        <v/>
      </c>
      <c r="E2745" s="22"/>
      <c r="F2745" s="23" t="str">
        <f aca="false">IF(A2745="","",IFERROR(buscarx(A2745&amp;E2745,DATA!$E$3:$E$10000&amp;DATA!$B$3:$B$10000,DATA!$M$3:$M$10000),"Inactivo"))</f>
        <v/>
      </c>
      <c r="G2745" s="25" t="str">
        <f aca="false">IF(A2745="","",IF(AND(C2745&lt;&gt;"No encontrado",F2745&lt;&gt;"Inactivo"),C2745&amp;" → "&amp;F2745,"Sin transición"))</f>
        <v/>
      </c>
      <c r="H2745" s="23" t="str">
        <f aca="false">IF(A2745="","",IF(D2745="GCIA LINEA SERVICIO DIGITALIDAD Y VENTAS","Chats",IF(OR(D2745="GERENCIA INBOUND LÍNEAS SERVICIO Y VENTA",D2745="GERENCIA INBOUND LINEAS ESPECIALIZADAS"),"Llamadas","Otro")))</f>
        <v/>
      </c>
      <c r="I2745" s="23" t="str">
        <f aca="false">IF(A2745="","",IF(C2745="No encontrado","No","Sí"))</f>
        <v/>
      </c>
      <c r="J2745" s="23" t="str">
        <f aca="false">IF(A2745="","",IF(F2745="Inactivo","No","Sí"))</f>
        <v/>
      </c>
      <c r="K2745" s="23" t="str">
        <f aca="false">IF(A2745="","",IF(AND(I2745="Sí",J2745="Sí"),"Sí","No"))</f>
        <v/>
      </c>
    </row>
    <row r="2746" customFormat="false" ht="15" hidden="false" customHeight="false" outlineLevel="0" collapsed="false">
      <c r="A2746" s="22"/>
      <c r="B2746" s="22"/>
      <c r="C2746" s="26" t="str">
        <f aca="false">IF(A2746="","",IFERROR(buscarx(A2746&amp;B2746,DATA!$E$3:$E$10000&amp;DATA!$B$3:$B$10000,DATA!$M$3:$M$10000),"No encontrado"))</f>
        <v/>
      </c>
      <c r="D2746" s="27" t="str">
        <f aca="false">IF(A2746="","",IFERROR(buscarx(A2746&amp;B2746,DATA!$E$3:$E$10000&amp;DATA!$B$3:$B$10000,DATA!$W$3:$W$10000),"No encontrado"))</f>
        <v/>
      </c>
      <c r="E2746" s="22"/>
      <c r="F2746" s="26" t="str">
        <f aca="false">IF(A2746="","",IFERROR(buscarx(A2746&amp;E2746,DATA!$E$3:$E$10000&amp;DATA!$B$3:$B$10000,DATA!$M$3:$M$10000),"Inactivo"))</f>
        <v/>
      </c>
      <c r="G2746" s="28" t="str">
        <f aca="false">IF(A2746="","",IF(AND(C2746&lt;&gt;"No encontrado",F2746&lt;&gt;"Inactivo"),C2746&amp;" → "&amp;F2746,"Sin transición"))</f>
        <v/>
      </c>
      <c r="H2746" s="26" t="str">
        <f aca="false">IF(A2746="","",IF(D2746="GCIA LINEA SERVICIO DIGITALIDAD Y VENTAS","Chats",IF(OR(D2746="GERENCIA INBOUND LÍNEAS SERVICIO Y VENTA",D2746="GERENCIA INBOUND LINEAS ESPECIALIZADAS"),"Llamadas","Otro")))</f>
        <v/>
      </c>
      <c r="I2746" s="26" t="str">
        <f aca="false">IF(A2746="","",IF(C2746="No encontrado","No","Sí"))</f>
        <v/>
      </c>
      <c r="J2746" s="26" t="str">
        <f aca="false">IF(A2746="","",IF(F2746="Inactivo","No","Sí"))</f>
        <v/>
      </c>
      <c r="K2746" s="26" t="str">
        <f aca="false">IF(A2746="","",IF(AND(I2746="Sí",J2746="Sí"),"Sí","No"))</f>
        <v/>
      </c>
    </row>
    <row r="2747" customFormat="false" ht="15" hidden="false" customHeight="false" outlineLevel="0" collapsed="false">
      <c r="A2747" s="22"/>
      <c r="B2747" s="22"/>
      <c r="C2747" s="23" t="str">
        <f aca="false">IF(A2747="","",IFERROR(buscarx(A2747&amp;B2747,DATA!$E$3:$E$10000&amp;DATA!$B$3:$B$10000,DATA!$M$3:$M$10000),"No encontrado"))</f>
        <v/>
      </c>
      <c r="D2747" s="24" t="str">
        <f aca="false">IF(A2747="","",IFERROR(buscarx(A2747&amp;B2747,DATA!$E$3:$E$10000&amp;DATA!$B$3:$B$10000,DATA!$W$3:$W$10000),"No encontrado"))</f>
        <v/>
      </c>
      <c r="E2747" s="22"/>
      <c r="F2747" s="23" t="str">
        <f aca="false">IF(A2747="","",IFERROR(buscarx(A2747&amp;E2747,DATA!$E$3:$E$10000&amp;DATA!$B$3:$B$10000,DATA!$M$3:$M$10000),"Inactivo"))</f>
        <v/>
      </c>
      <c r="G2747" s="25" t="str">
        <f aca="false">IF(A2747="","",IF(AND(C2747&lt;&gt;"No encontrado",F2747&lt;&gt;"Inactivo"),C2747&amp;" → "&amp;F2747,"Sin transición"))</f>
        <v/>
      </c>
      <c r="H2747" s="23" t="str">
        <f aca="false">IF(A2747="","",IF(D2747="GCIA LINEA SERVICIO DIGITALIDAD Y VENTAS","Chats",IF(OR(D2747="GERENCIA INBOUND LÍNEAS SERVICIO Y VENTA",D2747="GERENCIA INBOUND LINEAS ESPECIALIZADAS"),"Llamadas","Otro")))</f>
        <v/>
      </c>
      <c r="I2747" s="23" t="str">
        <f aca="false">IF(A2747="","",IF(C2747="No encontrado","No","Sí"))</f>
        <v/>
      </c>
      <c r="J2747" s="23" t="str">
        <f aca="false">IF(A2747="","",IF(F2747="Inactivo","No","Sí"))</f>
        <v/>
      </c>
      <c r="K2747" s="23" t="str">
        <f aca="false">IF(A2747="","",IF(AND(I2747="Sí",J2747="Sí"),"Sí","No"))</f>
        <v/>
      </c>
    </row>
    <row r="2748" customFormat="false" ht="15" hidden="false" customHeight="false" outlineLevel="0" collapsed="false">
      <c r="A2748" s="22"/>
      <c r="B2748" s="22"/>
      <c r="C2748" s="26" t="str">
        <f aca="false">IF(A2748="","",IFERROR(buscarx(A2748&amp;B2748,DATA!$E$3:$E$10000&amp;DATA!$B$3:$B$10000,DATA!$M$3:$M$10000),"No encontrado"))</f>
        <v/>
      </c>
      <c r="D2748" s="27" t="str">
        <f aca="false">IF(A2748="","",IFERROR(buscarx(A2748&amp;B2748,DATA!$E$3:$E$10000&amp;DATA!$B$3:$B$10000,DATA!$W$3:$W$10000),"No encontrado"))</f>
        <v/>
      </c>
      <c r="E2748" s="22"/>
      <c r="F2748" s="26" t="str">
        <f aca="false">IF(A2748="","",IFERROR(buscarx(A2748&amp;E2748,DATA!$E$3:$E$10000&amp;DATA!$B$3:$B$10000,DATA!$M$3:$M$10000),"Inactivo"))</f>
        <v/>
      </c>
      <c r="G2748" s="28" t="str">
        <f aca="false">IF(A2748="","",IF(AND(C2748&lt;&gt;"No encontrado",F2748&lt;&gt;"Inactivo"),C2748&amp;" → "&amp;F2748,"Sin transición"))</f>
        <v/>
      </c>
      <c r="H2748" s="26" t="str">
        <f aca="false">IF(A2748="","",IF(D2748="GCIA LINEA SERVICIO DIGITALIDAD Y VENTAS","Chats",IF(OR(D2748="GERENCIA INBOUND LÍNEAS SERVICIO Y VENTA",D2748="GERENCIA INBOUND LINEAS ESPECIALIZADAS"),"Llamadas","Otro")))</f>
        <v/>
      </c>
      <c r="I2748" s="26" t="str">
        <f aca="false">IF(A2748="","",IF(C2748="No encontrado","No","Sí"))</f>
        <v/>
      </c>
      <c r="J2748" s="26" t="str">
        <f aca="false">IF(A2748="","",IF(F2748="Inactivo","No","Sí"))</f>
        <v/>
      </c>
      <c r="K2748" s="26" t="str">
        <f aca="false">IF(A2748="","",IF(AND(I2748="Sí",J2748="Sí"),"Sí","No"))</f>
        <v/>
      </c>
    </row>
    <row r="2749" customFormat="false" ht="15" hidden="false" customHeight="false" outlineLevel="0" collapsed="false">
      <c r="A2749" s="22"/>
      <c r="B2749" s="22"/>
      <c r="C2749" s="23" t="str">
        <f aca="false">IF(A2749="","",IFERROR(buscarx(A2749&amp;B2749,DATA!$E$3:$E$10000&amp;DATA!$B$3:$B$10000,DATA!$M$3:$M$10000),"No encontrado"))</f>
        <v/>
      </c>
      <c r="D2749" s="24" t="str">
        <f aca="false">IF(A2749="","",IFERROR(buscarx(A2749&amp;B2749,DATA!$E$3:$E$10000&amp;DATA!$B$3:$B$10000,DATA!$W$3:$W$10000),"No encontrado"))</f>
        <v/>
      </c>
      <c r="E2749" s="22"/>
      <c r="F2749" s="23" t="str">
        <f aca="false">IF(A2749="","",IFERROR(buscarx(A2749&amp;E2749,DATA!$E$3:$E$10000&amp;DATA!$B$3:$B$10000,DATA!$M$3:$M$10000),"Inactivo"))</f>
        <v/>
      </c>
      <c r="G2749" s="25" t="str">
        <f aca="false">IF(A2749="","",IF(AND(C2749&lt;&gt;"No encontrado",F2749&lt;&gt;"Inactivo"),C2749&amp;" → "&amp;F2749,"Sin transición"))</f>
        <v/>
      </c>
      <c r="H2749" s="23" t="str">
        <f aca="false">IF(A2749="","",IF(D2749="GCIA LINEA SERVICIO DIGITALIDAD Y VENTAS","Chats",IF(OR(D2749="GERENCIA INBOUND LÍNEAS SERVICIO Y VENTA",D2749="GERENCIA INBOUND LINEAS ESPECIALIZADAS"),"Llamadas","Otro")))</f>
        <v/>
      </c>
      <c r="I2749" s="23" t="str">
        <f aca="false">IF(A2749="","",IF(C2749="No encontrado","No","Sí"))</f>
        <v/>
      </c>
      <c r="J2749" s="23" t="str">
        <f aca="false">IF(A2749="","",IF(F2749="Inactivo","No","Sí"))</f>
        <v/>
      </c>
      <c r="K2749" s="23" t="str">
        <f aca="false">IF(A2749="","",IF(AND(I2749="Sí",J2749="Sí"),"Sí","No"))</f>
        <v/>
      </c>
    </row>
    <row r="2750" customFormat="false" ht="15" hidden="false" customHeight="false" outlineLevel="0" collapsed="false">
      <c r="A2750" s="22"/>
      <c r="B2750" s="22"/>
      <c r="C2750" s="26" t="str">
        <f aca="false">IF(A2750="","",IFERROR(buscarx(A2750&amp;B2750,DATA!$E$3:$E$10000&amp;DATA!$B$3:$B$10000,DATA!$M$3:$M$10000),"No encontrado"))</f>
        <v/>
      </c>
      <c r="D2750" s="27" t="str">
        <f aca="false">IF(A2750="","",IFERROR(buscarx(A2750&amp;B2750,DATA!$E$3:$E$10000&amp;DATA!$B$3:$B$10000,DATA!$W$3:$W$10000),"No encontrado"))</f>
        <v/>
      </c>
      <c r="E2750" s="22"/>
      <c r="F2750" s="26" t="str">
        <f aca="false">IF(A2750="","",IFERROR(buscarx(A2750&amp;E2750,DATA!$E$3:$E$10000&amp;DATA!$B$3:$B$10000,DATA!$M$3:$M$10000),"Inactivo"))</f>
        <v/>
      </c>
      <c r="G2750" s="28" t="str">
        <f aca="false">IF(A2750="","",IF(AND(C2750&lt;&gt;"No encontrado",F2750&lt;&gt;"Inactivo"),C2750&amp;" → "&amp;F2750,"Sin transición"))</f>
        <v/>
      </c>
      <c r="H2750" s="26" t="str">
        <f aca="false">IF(A2750="","",IF(D2750="GCIA LINEA SERVICIO DIGITALIDAD Y VENTAS","Chats",IF(OR(D2750="GERENCIA INBOUND LÍNEAS SERVICIO Y VENTA",D2750="GERENCIA INBOUND LINEAS ESPECIALIZADAS"),"Llamadas","Otro")))</f>
        <v/>
      </c>
      <c r="I2750" s="26" t="str">
        <f aca="false">IF(A2750="","",IF(C2750="No encontrado","No","Sí"))</f>
        <v/>
      </c>
      <c r="J2750" s="26" t="str">
        <f aca="false">IF(A2750="","",IF(F2750="Inactivo","No","Sí"))</f>
        <v/>
      </c>
      <c r="K2750" s="26" t="str">
        <f aca="false">IF(A2750="","",IF(AND(I2750="Sí",J2750="Sí"),"Sí","No"))</f>
        <v/>
      </c>
    </row>
    <row r="2751" customFormat="false" ht="15" hidden="false" customHeight="false" outlineLevel="0" collapsed="false">
      <c r="A2751" s="22"/>
      <c r="B2751" s="22"/>
      <c r="C2751" s="23" t="str">
        <f aca="false">IF(A2751="","",IFERROR(buscarx(A2751&amp;B2751,DATA!$E$3:$E$10000&amp;DATA!$B$3:$B$10000,DATA!$M$3:$M$10000),"No encontrado"))</f>
        <v/>
      </c>
      <c r="D2751" s="24" t="str">
        <f aca="false">IF(A2751="","",IFERROR(buscarx(A2751&amp;B2751,DATA!$E$3:$E$10000&amp;DATA!$B$3:$B$10000,DATA!$W$3:$W$10000),"No encontrado"))</f>
        <v/>
      </c>
      <c r="E2751" s="22"/>
      <c r="F2751" s="23" t="str">
        <f aca="false">IF(A2751="","",IFERROR(buscarx(A2751&amp;E2751,DATA!$E$3:$E$10000&amp;DATA!$B$3:$B$10000,DATA!$M$3:$M$10000),"Inactivo"))</f>
        <v/>
      </c>
      <c r="G2751" s="25" t="str">
        <f aca="false">IF(A2751="","",IF(AND(C2751&lt;&gt;"No encontrado",F2751&lt;&gt;"Inactivo"),C2751&amp;" → "&amp;F2751,"Sin transición"))</f>
        <v/>
      </c>
      <c r="H2751" s="23" t="str">
        <f aca="false">IF(A2751="","",IF(D2751="GCIA LINEA SERVICIO DIGITALIDAD Y VENTAS","Chats",IF(OR(D2751="GERENCIA INBOUND LÍNEAS SERVICIO Y VENTA",D2751="GERENCIA INBOUND LINEAS ESPECIALIZADAS"),"Llamadas","Otro")))</f>
        <v/>
      </c>
      <c r="I2751" s="23" t="str">
        <f aca="false">IF(A2751="","",IF(C2751="No encontrado","No","Sí"))</f>
        <v/>
      </c>
      <c r="J2751" s="23" t="str">
        <f aca="false">IF(A2751="","",IF(F2751="Inactivo","No","Sí"))</f>
        <v/>
      </c>
      <c r="K2751" s="23" t="str">
        <f aca="false">IF(A2751="","",IF(AND(I2751="Sí",J2751="Sí"),"Sí","No"))</f>
        <v/>
      </c>
    </row>
    <row r="2752" customFormat="false" ht="15" hidden="false" customHeight="false" outlineLevel="0" collapsed="false">
      <c r="A2752" s="22"/>
      <c r="B2752" s="22"/>
      <c r="C2752" s="26" t="str">
        <f aca="false">IF(A2752="","",IFERROR(buscarx(A2752&amp;B2752,DATA!$E$3:$E$10000&amp;DATA!$B$3:$B$10000,DATA!$M$3:$M$10000),"No encontrado"))</f>
        <v/>
      </c>
      <c r="D2752" s="27" t="str">
        <f aca="false">IF(A2752="","",IFERROR(buscarx(A2752&amp;B2752,DATA!$E$3:$E$10000&amp;DATA!$B$3:$B$10000,DATA!$W$3:$W$10000),"No encontrado"))</f>
        <v/>
      </c>
      <c r="E2752" s="22"/>
      <c r="F2752" s="26" t="str">
        <f aca="false">IF(A2752="","",IFERROR(buscarx(A2752&amp;E2752,DATA!$E$3:$E$10000&amp;DATA!$B$3:$B$10000,DATA!$M$3:$M$10000),"Inactivo"))</f>
        <v/>
      </c>
      <c r="G2752" s="28" t="str">
        <f aca="false">IF(A2752="","",IF(AND(C2752&lt;&gt;"No encontrado",F2752&lt;&gt;"Inactivo"),C2752&amp;" → "&amp;F2752,"Sin transición"))</f>
        <v/>
      </c>
      <c r="H2752" s="26" t="str">
        <f aca="false">IF(A2752="","",IF(D2752="GCIA LINEA SERVICIO DIGITALIDAD Y VENTAS","Chats",IF(OR(D2752="GERENCIA INBOUND LÍNEAS SERVICIO Y VENTA",D2752="GERENCIA INBOUND LINEAS ESPECIALIZADAS"),"Llamadas","Otro")))</f>
        <v/>
      </c>
      <c r="I2752" s="26" t="str">
        <f aca="false">IF(A2752="","",IF(C2752="No encontrado","No","Sí"))</f>
        <v/>
      </c>
      <c r="J2752" s="26" t="str">
        <f aca="false">IF(A2752="","",IF(F2752="Inactivo","No","Sí"))</f>
        <v/>
      </c>
      <c r="K2752" s="26" t="str">
        <f aca="false">IF(A2752="","",IF(AND(I2752="Sí",J2752="Sí"),"Sí","No"))</f>
        <v/>
      </c>
    </row>
    <row r="2753" customFormat="false" ht="15" hidden="false" customHeight="false" outlineLevel="0" collapsed="false">
      <c r="A2753" s="22"/>
      <c r="B2753" s="22"/>
      <c r="C2753" s="23" t="str">
        <f aca="false">IF(A2753="","",IFERROR(buscarx(A2753&amp;B2753,DATA!$E$3:$E$10000&amp;DATA!$B$3:$B$10000,DATA!$M$3:$M$10000),"No encontrado"))</f>
        <v/>
      </c>
      <c r="D2753" s="24" t="str">
        <f aca="false">IF(A2753="","",IFERROR(buscarx(A2753&amp;B2753,DATA!$E$3:$E$10000&amp;DATA!$B$3:$B$10000,DATA!$W$3:$W$10000),"No encontrado"))</f>
        <v/>
      </c>
      <c r="E2753" s="22"/>
      <c r="F2753" s="23" t="str">
        <f aca="false">IF(A2753="","",IFERROR(buscarx(A2753&amp;E2753,DATA!$E$3:$E$10000&amp;DATA!$B$3:$B$10000,DATA!$M$3:$M$10000),"Inactivo"))</f>
        <v/>
      </c>
      <c r="G2753" s="25" t="str">
        <f aca="false">IF(A2753="","",IF(AND(C2753&lt;&gt;"No encontrado",F2753&lt;&gt;"Inactivo"),C2753&amp;" → "&amp;F2753,"Sin transición"))</f>
        <v/>
      </c>
      <c r="H2753" s="23" t="str">
        <f aca="false">IF(A2753="","",IF(D2753="GCIA LINEA SERVICIO DIGITALIDAD Y VENTAS","Chats",IF(OR(D2753="GERENCIA INBOUND LÍNEAS SERVICIO Y VENTA",D2753="GERENCIA INBOUND LINEAS ESPECIALIZADAS"),"Llamadas","Otro")))</f>
        <v/>
      </c>
      <c r="I2753" s="23" t="str">
        <f aca="false">IF(A2753="","",IF(C2753="No encontrado","No","Sí"))</f>
        <v/>
      </c>
      <c r="J2753" s="23" t="str">
        <f aca="false">IF(A2753="","",IF(F2753="Inactivo","No","Sí"))</f>
        <v/>
      </c>
      <c r="K2753" s="23" t="str">
        <f aca="false">IF(A2753="","",IF(AND(I2753="Sí",J2753="Sí"),"Sí","No"))</f>
        <v/>
      </c>
    </row>
    <row r="2754" customFormat="false" ht="15" hidden="false" customHeight="false" outlineLevel="0" collapsed="false">
      <c r="A2754" s="22"/>
      <c r="B2754" s="22"/>
      <c r="C2754" s="26" t="str">
        <f aca="false">IF(A2754="","",IFERROR(buscarx(A2754&amp;B2754,DATA!$E$3:$E$10000&amp;DATA!$B$3:$B$10000,DATA!$M$3:$M$10000),"No encontrado"))</f>
        <v/>
      </c>
      <c r="D2754" s="27" t="str">
        <f aca="false">IF(A2754="","",IFERROR(buscarx(A2754&amp;B2754,DATA!$E$3:$E$10000&amp;DATA!$B$3:$B$10000,DATA!$W$3:$W$10000),"No encontrado"))</f>
        <v/>
      </c>
      <c r="E2754" s="22"/>
      <c r="F2754" s="26" t="str">
        <f aca="false">IF(A2754="","",IFERROR(buscarx(A2754&amp;E2754,DATA!$E$3:$E$10000&amp;DATA!$B$3:$B$10000,DATA!$M$3:$M$10000),"Inactivo"))</f>
        <v/>
      </c>
      <c r="G2754" s="28" t="str">
        <f aca="false">IF(A2754="","",IF(AND(C2754&lt;&gt;"No encontrado",F2754&lt;&gt;"Inactivo"),C2754&amp;" → "&amp;F2754,"Sin transición"))</f>
        <v/>
      </c>
      <c r="H2754" s="26" t="str">
        <f aca="false">IF(A2754="","",IF(D2754="GCIA LINEA SERVICIO DIGITALIDAD Y VENTAS","Chats",IF(OR(D2754="GERENCIA INBOUND LÍNEAS SERVICIO Y VENTA",D2754="GERENCIA INBOUND LINEAS ESPECIALIZADAS"),"Llamadas","Otro")))</f>
        <v/>
      </c>
      <c r="I2754" s="26" t="str">
        <f aca="false">IF(A2754="","",IF(C2754="No encontrado","No","Sí"))</f>
        <v/>
      </c>
      <c r="J2754" s="26" t="str">
        <f aca="false">IF(A2754="","",IF(F2754="Inactivo","No","Sí"))</f>
        <v/>
      </c>
      <c r="K2754" s="26" t="str">
        <f aca="false">IF(A2754="","",IF(AND(I2754="Sí",J2754="Sí"),"Sí","No"))</f>
        <v/>
      </c>
    </row>
    <row r="2755" customFormat="false" ht="15" hidden="false" customHeight="false" outlineLevel="0" collapsed="false">
      <c r="A2755" s="22"/>
      <c r="B2755" s="22"/>
      <c r="C2755" s="23" t="str">
        <f aca="false">IF(A2755="","",IFERROR(buscarx(A2755&amp;B2755,DATA!$E$3:$E$10000&amp;DATA!$B$3:$B$10000,DATA!$M$3:$M$10000),"No encontrado"))</f>
        <v/>
      </c>
      <c r="D2755" s="24" t="str">
        <f aca="false">IF(A2755="","",IFERROR(buscarx(A2755&amp;B2755,DATA!$E$3:$E$10000&amp;DATA!$B$3:$B$10000,DATA!$W$3:$W$10000),"No encontrado"))</f>
        <v/>
      </c>
      <c r="E2755" s="22"/>
      <c r="F2755" s="23" t="str">
        <f aca="false">IF(A2755="","",IFERROR(buscarx(A2755&amp;E2755,DATA!$E$3:$E$10000&amp;DATA!$B$3:$B$10000,DATA!$M$3:$M$10000),"Inactivo"))</f>
        <v/>
      </c>
      <c r="G2755" s="25" t="str">
        <f aca="false">IF(A2755="","",IF(AND(C2755&lt;&gt;"No encontrado",F2755&lt;&gt;"Inactivo"),C2755&amp;" → "&amp;F2755,"Sin transición"))</f>
        <v/>
      </c>
      <c r="H2755" s="23" t="str">
        <f aca="false">IF(A2755="","",IF(D2755="GCIA LINEA SERVICIO DIGITALIDAD Y VENTAS","Chats",IF(OR(D2755="GERENCIA INBOUND LÍNEAS SERVICIO Y VENTA",D2755="GERENCIA INBOUND LINEAS ESPECIALIZADAS"),"Llamadas","Otro")))</f>
        <v/>
      </c>
      <c r="I2755" s="23" t="str">
        <f aca="false">IF(A2755="","",IF(C2755="No encontrado","No","Sí"))</f>
        <v/>
      </c>
      <c r="J2755" s="23" t="str">
        <f aca="false">IF(A2755="","",IF(F2755="Inactivo","No","Sí"))</f>
        <v/>
      </c>
      <c r="K2755" s="23" t="str">
        <f aca="false">IF(A2755="","",IF(AND(I2755="Sí",J2755="Sí"),"Sí","No"))</f>
        <v/>
      </c>
    </row>
    <row r="2756" customFormat="false" ht="15" hidden="false" customHeight="false" outlineLevel="0" collapsed="false">
      <c r="A2756" s="22"/>
      <c r="B2756" s="22"/>
      <c r="C2756" s="26" t="str">
        <f aca="false">IF(A2756="","",IFERROR(buscarx(A2756&amp;B2756,DATA!$E$3:$E$10000&amp;DATA!$B$3:$B$10000,DATA!$M$3:$M$10000),"No encontrado"))</f>
        <v/>
      </c>
      <c r="D2756" s="27" t="str">
        <f aca="false">IF(A2756="","",IFERROR(buscarx(A2756&amp;B2756,DATA!$E$3:$E$10000&amp;DATA!$B$3:$B$10000,DATA!$W$3:$W$10000),"No encontrado"))</f>
        <v/>
      </c>
      <c r="E2756" s="22"/>
      <c r="F2756" s="26" t="str">
        <f aca="false">IF(A2756="","",IFERROR(buscarx(A2756&amp;E2756,DATA!$E$3:$E$10000&amp;DATA!$B$3:$B$10000,DATA!$M$3:$M$10000),"Inactivo"))</f>
        <v/>
      </c>
      <c r="G2756" s="28" t="str">
        <f aca="false">IF(A2756="","",IF(AND(C2756&lt;&gt;"No encontrado",F2756&lt;&gt;"Inactivo"),C2756&amp;" → "&amp;F2756,"Sin transición"))</f>
        <v/>
      </c>
      <c r="H2756" s="26" t="str">
        <f aca="false">IF(A2756="","",IF(D2756="GCIA LINEA SERVICIO DIGITALIDAD Y VENTAS","Chats",IF(OR(D2756="GERENCIA INBOUND LÍNEAS SERVICIO Y VENTA",D2756="GERENCIA INBOUND LINEAS ESPECIALIZADAS"),"Llamadas","Otro")))</f>
        <v/>
      </c>
      <c r="I2756" s="26" t="str">
        <f aca="false">IF(A2756="","",IF(C2756="No encontrado","No","Sí"))</f>
        <v/>
      </c>
      <c r="J2756" s="26" t="str">
        <f aca="false">IF(A2756="","",IF(F2756="Inactivo","No","Sí"))</f>
        <v/>
      </c>
      <c r="K2756" s="26" t="str">
        <f aca="false">IF(A2756="","",IF(AND(I2756="Sí",J2756="Sí"),"Sí","No"))</f>
        <v/>
      </c>
    </row>
    <row r="2757" customFormat="false" ht="15" hidden="false" customHeight="false" outlineLevel="0" collapsed="false">
      <c r="A2757" s="22"/>
      <c r="B2757" s="22"/>
      <c r="C2757" s="23" t="str">
        <f aca="false">IF(A2757="","",IFERROR(buscarx(A2757&amp;B2757,DATA!$E$3:$E$10000&amp;DATA!$B$3:$B$10000,DATA!$M$3:$M$10000),"No encontrado"))</f>
        <v/>
      </c>
      <c r="D2757" s="24" t="str">
        <f aca="false">IF(A2757="","",IFERROR(buscarx(A2757&amp;B2757,DATA!$E$3:$E$10000&amp;DATA!$B$3:$B$10000,DATA!$W$3:$W$10000),"No encontrado"))</f>
        <v/>
      </c>
      <c r="E2757" s="22"/>
      <c r="F2757" s="23" t="str">
        <f aca="false">IF(A2757="","",IFERROR(buscarx(A2757&amp;E2757,DATA!$E$3:$E$10000&amp;DATA!$B$3:$B$10000,DATA!$M$3:$M$10000),"Inactivo"))</f>
        <v/>
      </c>
      <c r="G2757" s="25" t="str">
        <f aca="false">IF(A2757="","",IF(AND(C2757&lt;&gt;"No encontrado",F2757&lt;&gt;"Inactivo"),C2757&amp;" → "&amp;F2757,"Sin transición"))</f>
        <v/>
      </c>
      <c r="H2757" s="23" t="str">
        <f aca="false">IF(A2757="","",IF(D2757="GCIA LINEA SERVICIO DIGITALIDAD Y VENTAS","Chats",IF(OR(D2757="GERENCIA INBOUND LÍNEAS SERVICIO Y VENTA",D2757="GERENCIA INBOUND LINEAS ESPECIALIZADAS"),"Llamadas","Otro")))</f>
        <v/>
      </c>
      <c r="I2757" s="23" t="str">
        <f aca="false">IF(A2757="","",IF(C2757="No encontrado","No","Sí"))</f>
        <v/>
      </c>
      <c r="J2757" s="23" t="str">
        <f aca="false">IF(A2757="","",IF(F2757="Inactivo","No","Sí"))</f>
        <v/>
      </c>
      <c r="K2757" s="23" t="str">
        <f aca="false">IF(A2757="","",IF(AND(I2757="Sí",J2757="Sí"),"Sí","No"))</f>
        <v/>
      </c>
    </row>
    <row r="2758" customFormat="false" ht="15" hidden="false" customHeight="false" outlineLevel="0" collapsed="false">
      <c r="A2758" s="22"/>
      <c r="B2758" s="22"/>
      <c r="C2758" s="26" t="str">
        <f aca="false">IF(A2758="","",IFERROR(buscarx(A2758&amp;B2758,DATA!$E$3:$E$10000&amp;DATA!$B$3:$B$10000,DATA!$M$3:$M$10000),"No encontrado"))</f>
        <v/>
      </c>
      <c r="D2758" s="27" t="str">
        <f aca="false">IF(A2758="","",IFERROR(buscarx(A2758&amp;B2758,DATA!$E$3:$E$10000&amp;DATA!$B$3:$B$10000,DATA!$W$3:$W$10000),"No encontrado"))</f>
        <v/>
      </c>
      <c r="E2758" s="22"/>
      <c r="F2758" s="26" t="str">
        <f aca="false">IF(A2758="","",IFERROR(buscarx(A2758&amp;E2758,DATA!$E$3:$E$10000&amp;DATA!$B$3:$B$10000,DATA!$M$3:$M$10000),"Inactivo"))</f>
        <v/>
      </c>
      <c r="G2758" s="28" t="str">
        <f aca="false">IF(A2758="","",IF(AND(C2758&lt;&gt;"No encontrado",F2758&lt;&gt;"Inactivo"),C2758&amp;" → "&amp;F2758,"Sin transición"))</f>
        <v/>
      </c>
      <c r="H2758" s="26" t="str">
        <f aca="false">IF(A2758="","",IF(D2758="GCIA LINEA SERVICIO DIGITALIDAD Y VENTAS","Chats",IF(OR(D2758="GERENCIA INBOUND LÍNEAS SERVICIO Y VENTA",D2758="GERENCIA INBOUND LINEAS ESPECIALIZADAS"),"Llamadas","Otro")))</f>
        <v/>
      </c>
      <c r="I2758" s="26" t="str">
        <f aca="false">IF(A2758="","",IF(C2758="No encontrado","No","Sí"))</f>
        <v/>
      </c>
      <c r="J2758" s="26" t="str">
        <f aca="false">IF(A2758="","",IF(F2758="Inactivo","No","Sí"))</f>
        <v/>
      </c>
      <c r="K2758" s="26" t="str">
        <f aca="false">IF(A2758="","",IF(AND(I2758="Sí",J2758="Sí"),"Sí","No"))</f>
        <v/>
      </c>
    </row>
    <row r="2759" customFormat="false" ht="15" hidden="false" customHeight="false" outlineLevel="0" collapsed="false">
      <c r="A2759" s="22"/>
      <c r="B2759" s="22"/>
      <c r="C2759" s="23" t="str">
        <f aca="false">IF(A2759="","",IFERROR(buscarx(A2759&amp;B2759,DATA!$E$3:$E$10000&amp;DATA!$B$3:$B$10000,DATA!$M$3:$M$10000),"No encontrado"))</f>
        <v/>
      </c>
      <c r="D2759" s="24" t="str">
        <f aca="false">IF(A2759="","",IFERROR(buscarx(A2759&amp;B2759,DATA!$E$3:$E$10000&amp;DATA!$B$3:$B$10000,DATA!$W$3:$W$10000),"No encontrado"))</f>
        <v/>
      </c>
      <c r="E2759" s="22"/>
      <c r="F2759" s="23" t="str">
        <f aca="false">IF(A2759="","",IFERROR(buscarx(A2759&amp;E2759,DATA!$E$3:$E$10000&amp;DATA!$B$3:$B$10000,DATA!$M$3:$M$10000),"Inactivo"))</f>
        <v/>
      </c>
      <c r="G2759" s="25" t="str">
        <f aca="false">IF(A2759="","",IF(AND(C2759&lt;&gt;"No encontrado",F2759&lt;&gt;"Inactivo"),C2759&amp;" → "&amp;F2759,"Sin transición"))</f>
        <v/>
      </c>
      <c r="H2759" s="23" t="str">
        <f aca="false">IF(A2759="","",IF(D2759="GCIA LINEA SERVICIO DIGITALIDAD Y VENTAS","Chats",IF(OR(D2759="GERENCIA INBOUND LÍNEAS SERVICIO Y VENTA",D2759="GERENCIA INBOUND LINEAS ESPECIALIZADAS"),"Llamadas","Otro")))</f>
        <v/>
      </c>
      <c r="I2759" s="23" t="str">
        <f aca="false">IF(A2759="","",IF(C2759="No encontrado","No","Sí"))</f>
        <v/>
      </c>
      <c r="J2759" s="23" t="str">
        <f aca="false">IF(A2759="","",IF(F2759="Inactivo","No","Sí"))</f>
        <v/>
      </c>
      <c r="K2759" s="23" t="str">
        <f aca="false">IF(A2759="","",IF(AND(I2759="Sí",J2759="Sí"),"Sí","No"))</f>
        <v/>
      </c>
    </row>
    <row r="2760" customFormat="false" ht="15" hidden="false" customHeight="false" outlineLevel="0" collapsed="false">
      <c r="A2760" s="22"/>
      <c r="B2760" s="22"/>
      <c r="C2760" s="26" t="str">
        <f aca="false">IF(A2760="","",IFERROR(buscarx(A2760&amp;B2760,DATA!$E$3:$E$10000&amp;DATA!$B$3:$B$10000,DATA!$M$3:$M$10000),"No encontrado"))</f>
        <v/>
      </c>
      <c r="D2760" s="27" t="str">
        <f aca="false">IF(A2760="","",IFERROR(buscarx(A2760&amp;B2760,DATA!$E$3:$E$10000&amp;DATA!$B$3:$B$10000,DATA!$W$3:$W$10000),"No encontrado"))</f>
        <v/>
      </c>
      <c r="E2760" s="22"/>
      <c r="F2760" s="26" t="str">
        <f aca="false">IF(A2760="","",IFERROR(buscarx(A2760&amp;E2760,DATA!$E$3:$E$10000&amp;DATA!$B$3:$B$10000,DATA!$M$3:$M$10000),"Inactivo"))</f>
        <v/>
      </c>
      <c r="G2760" s="28" t="str">
        <f aca="false">IF(A2760="","",IF(AND(C2760&lt;&gt;"No encontrado",F2760&lt;&gt;"Inactivo"),C2760&amp;" → "&amp;F2760,"Sin transición"))</f>
        <v/>
      </c>
      <c r="H2760" s="26" t="str">
        <f aca="false">IF(A2760="","",IF(D2760="GCIA LINEA SERVICIO DIGITALIDAD Y VENTAS","Chats",IF(OR(D2760="GERENCIA INBOUND LÍNEAS SERVICIO Y VENTA",D2760="GERENCIA INBOUND LINEAS ESPECIALIZADAS"),"Llamadas","Otro")))</f>
        <v/>
      </c>
      <c r="I2760" s="26" t="str">
        <f aca="false">IF(A2760="","",IF(C2760="No encontrado","No","Sí"))</f>
        <v/>
      </c>
      <c r="J2760" s="26" t="str">
        <f aca="false">IF(A2760="","",IF(F2760="Inactivo","No","Sí"))</f>
        <v/>
      </c>
      <c r="K2760" s="26" t="str">
        <f aca="false">IF(A2760="","",IF(AND(I2760="Sí",J2760="Sí"),"Sí","No"))</f>
        <v/>
      </c>
    </row>
    <row r="2761" customFormat="false" ht="15" hidden="false" customHeight="false" outlineLevel="0" collapsed="false">
      <c r="A2761" s="22"/>
      <c r="B2761" s="22"/>
      <c r="C2761" s="23" t="str">
        <f aca="false">IF(A2761="","",IFERROR(buscarx(A2761&amp;B2761,DATA!$E$3:$E$10000&amp;DATA!$B$3:$B$10000,DATA!$M$3:$M$10000),"No encontrado"))</f>
        <v/>
      </c>
      <c r="D2761" s="24" t="str">
        <f aca="false">IF(A2761="","",IFERROR(buscarx(A2761&amp;B2761,DATA!$E$3:$E$10000&amp;DATA!$B$3:$B$10000,DATA!$W$3:$W$10000),"No encontrado"))</f>
        <v/>
      </c>
      <c r="E2761" s="22"/>
      <c r="F2761" s="23" t="str">
        <f aca="false">IF(A2761="","",IFERROR(buscarx(A2761&amp;E2761,DATA!$E$3:$E$10000&amp;DATA!$B$3:$B$10000,DATA!$M$3:$M$10000),"Inactivo"))</f>
        <v/>
      </c>
      <c r="G2761" s="25" t="str">
        <f aca="false">IF(A2761="","",IF(AND(C2761&lt;&gt;"No encontrado",F2761&lt;&gt;"Inactivo"),C2761&amp;" → "&amp;F2761,"Sin transición"))</f>
        <v/>
      </c>
      <c r="H2761" s="23" t="str">
        <f aca="false">IF(A2761="","",IF(D2761="GCIA LINEA SERVICIO DIGITALIDAD Y VENTAS","Chats",IF(OR(D2761="GERENCIA INBOUND LÍNEAS SERVICIO Y VENTA",D2761="GERENCIA INBOUND LINEAS ESPECIALIZADAS"),"Llamadas","Otro")))</f>
        <v/>
      </c>
      <c r="I2761" s="23" t="str">
        <f aca="false">IF(A2761="","",IF(C2761="No encontrado","No","Sí"))</f>
        <v/>
      </c>
      <c r="J2761" s="23" t="str">
        <f aca="false">IF(A2761="","",IF(F2761="Inactivo","No","Sí"))</f>
        <v/>
      </c>
      <c r="K2761" s="23" t="str">
        <f aca="false">IF(A2761="","",IF(AND(I2761="Sí",J2761="Sí"),"Sí","No"))</f>
        <v/>
      </c>
    </row>
    <row r="2762" customFormat="false" ht="15" hidden="false" customHeight="false" outlineLevel="0" collapsed="false">
      <c r="A2762" s="22"/>
      <c r="B2762" s="22"/>
      <c r="C2762" s="26" t="str">
        <f aca="false">IF(A2762="","",IFERROR(buscarx(A2762&amp;B2762,DATA!$E$3:$E$10000&amp;DATA!$B$3:$B$10000,DATA!$M$3:$M$10000),"No encontrado"))</f>
        <v/>
      </c>
      <c r="D2762" s="27" t="str">
        <f aca="false">IF(A2762="","",IFERROR(buscarx(A2762&amp;B2762,DATA!$E$3:$E$10000&amp;DATA!$B$3:$B$10000,DATA!$W$3:$W$10000),"No encontrado"))</f>
        <v/>
      </c>
      <c r="E2762" s="22"/>
      <c r="F2762" s="26" t="str">
        <f aca="false">IF(A2762="","",IFERROR(buscarx(A2762&amp;E2762,DATA!$E$3:$E$10000&amp;DATA!$B$3:$B$10000,DATA!$M$3:$M$10000),"Inactivo"))</f>
        <v/>
      </c>
      <c r="G2762" s="28" t="str">
        <f aca="false">IF(A2762="","",IF(AND(C2762&lt;&gt;"No encontrado",F2762&lt;&gt;"Inactivo"),C2762&amp;" → "&amp;F2762,"Sin transición"))</f>
        <v/>
      </c>
      <c r="H2762" s="26" t="str">
        <f aca="false">IF(A2762="","",IF(D2762="GCIA LINEA SERVICIO DIGITALIDAD Y VENTAS","Chats",IF(OR(D2762="GERENCIA INBOUND LÍNEAS SERVICIO Y VENTA",D2762="GERENCIA INBOUND LINEAS ESPECIALIZADAS"),"Llamadas","Otro")))</f>
        <v/>
      </c>
      <c r="I2762" s="26" t="str">
        <f aca="false">IF(A2762="","",IF(C2762="No encontrado","No","Sí"))</f>
        <v/>
      </c>
      <c r="J2762" s="26" t="str">
        <f aca="false">IF(A2762="","",IF(F2762="Inactivo","No","Sí"))</f>
        <v/>
      </c>
      <c r="K2762" s="26" t="str">
        <f aca="false">IF(A2762="","",IF(AND(I2762="Sí",J2762="Sí"),"Sí","No"))</f>
        <v/>
      </c>
    </row>
    <row r="2763" customFormat="false" ht="15" hidden="false" customHeight="false" outlineLevel="0" collapsed="false">
      <c r="A2763" s="22"/>
      <c r="B2763" s="22"/>
      <c r="C2763" s="23" t="str">
        <f aca="false">IF(A2763="","",IFERROR(buscarx(A2763&amp;B2763,DATA!$E$3:$E$10000&amp;DATA!$B$3:$B$10000,DATA!$M$3:$M$10000),"No encontrado"))</f>
        <v/>
      </c>
      <c r="D2763" s="24" t="str">
        <f aca="false">IF(A2763="","",IFERROR(buscarx(A2763&amp;B2763,DATA!$E$3:$E$10000&amp;DATA!$B$3:$B$10000,DATA!$W$3:$W$10000),"No encontrado"))</f>
        <v/>
      </c>
      <c r="E2763" s="22"/>
      <c r="F2763" s="23" t="str">
        <f aca="false">IF(A2763="","",IFERROR(buscarx(A2763&amp;E2763,DATA!$E$3:$E$10000&amp;DATA!$B$3:$B$10000,DATA!$M$3:$M$10000),"Inactivo"))</f>
        <v/>
      </c>
      <c r="G2763" s="25" t="str">
        <f aca="false">IF(A2763="","",IF(AND(C2763&lt;&gt;"No encontrado",F2763&lt;&gt;"Inactivo"),C2763&amp;" → "&amp;F2763,"Sin transición"))</f>
        <v/>
      </c>
      <c r="H2763" s="23" t="str">
        <f aca="false">IF(A2763="","",IF(D2763="GCIA LINEA SERVICIO DIGITALIDAD Y VENTAS","Chats",IF(OR(D2763="GERENCIA INBOUND LÍNEAS SERVICIO Y VENTA",D2763="GERENCIA INBOUND LINEAS ESPECIALIZADAS"),"Llamadas","Otro")))</f>
        <v/>
      </c>
      <c r="I2763" s="23" t="str">
        <f aca="false">IF(A2763="","",IF(C2763="No encontrado","No","Sí"))</f>
        <v/>
      </c>
      <c r="J2763" s="23" t="str">
        <f aca="false">IF(A2763="","",IF(F2763="Inactivo","No","Sí"))</f>
        <v/>
      </c>
      <c r="K2763" s="23" t="str">
        <f aca="false">IF(A2763="","",IF(AND(I2763="Sí",J2763="Sí"),"Sí","No"))</f>
        <v/>
      </c>
    </row>
    <row r="2764" customFormat="false" ht="15" hidden="false" customHeight="false" outlineLevel="0" collapsed="false">
      <c r="A2764" s="22"/>
      <c r="B2764" s="22"/>
      <c r="C2764" s="26" t="str">
        <f aca="false">IF(A2764="","",IFERROR(buscarx(A2764&amp;B2764,DATA!$E$3:$E$10000&amp;DATA!$B$3:$B$10000,DATA!$M$3:$M$10000),"No encontrado"))</f>
        <v/>
      </c>
      <c r="D2764" s="27" t="str">
        <f aca="false">IF(A2764="","",IFERROR(buscarx(A2764&amp;B2764,DATA!$E$3:$E$10000&amp;DATA!$B$3:$B$10000,DATA!$W$3:$W$10000),"No encontrado"))</f>
        <v/>
      </c>
      <c r="E2764" s="22"/>
      <c r="F2764" s="26" t="str">
        <f aca="false">IF(A2764="","",IFERROR(buscarx(A2764&amp;E2764,DATA!$E$3:$E$10000&amp;DATA!$B$3:$B$10000,DATA!$M$3:$M$10000),"Inactivo"))</f>
        <v/>
      </c>
      <c r="G2764" s="28" t="str">
        <f aca="false">IF(A2764="","",IF(AND(C2764&lt;&gt;"No encontrado",F2764&lt;&gt;"Inactivo"),C2764&amp;" → "&amp;F2764,"Sin transición"))</f>
        <v/>
      </c>
      <c r="H2764" s="26" t="str">
        <f aca="false">IF(A2764="","",IF(D2764="GCIA LINEA SERVICIO DIGITALIDAD Y VENTAS","Chats",IF(OR(D2764="GERENCIA INBOUND LÍNEAS SERVICIO Y VENTA",D2764="GERENCIA INBOUND LINEAS ESPECIALIZADAS"),"Llamadas","Otro")))</f>
        <v/>
      </c>
      <c r="I2764" s="26" t="str">
        <f aca="false">IF(A2764="","",IF(C2764="No encontrado","No","Sí"))</f>
        <v/>
      </c>
      <c r="J2764" s="26" t="str">
        <f aca="false">IF(A2764="","",IF(F2764="Inactivo","No","Sí"))</f>
        <v/>
      </c>
      <c r="K2764" s="26" t="str">
        <f aca="false">IF(A2764="","",IF(AND(I2764="Sí",J2764="Sí"),"Sí","No"))</f>
        <v/>
      </c>
    </row>
    <row r="2765" customFormat="false" ht="15" hidden="false" customHeight="false" outlineLevel="0" collapsed="false">
      <c r="A2765" s="22"/>
      <c r="B2765" s="22"/>
      <c r="C2765" s="23" t="str">
        <f aca="false">IF(A2765="","",IFERROR(buscarx(A2765&amp;B2765,DATA!$E$3:$E$10000&amp;DATA!$B$3:$B$10000,DATA!$M$3:$M$10000),"No encontrado"))</f>
        <v/>
      </c>
      <c r="D2765" s="24" t="str">
        <f aca="false">IF(A2765="","",IFERROR(buscarx(A2765&amp;B2765,DATA!$E$3:$E$10000&amp;DATA!$B$3:$B$10000,DATA!$W$3:$W$10000),"No encontrado"))</f>
        <v/>
      </c>
      <c r="E2765" s="22"/>
      <c r="F2765" s="23" t="str">
        <f aca="false">IF(A2765="","",IFERROR(buscarx(A2765&amp;E2765,DATA!$E$3:$E$10000&amp;DATA!$B$3:$B$10000,DATA!$M$3:$M$10000),"Inactivo"))</f>
        <v/>
      </c>
      <c r="G2765" s="25" t="str">
        <f aca="false">IF(A2765="","",IF(AND(C2765&lt;&gt;"No encontrado",F2765&lt;&gt;"Inactivo"),C2765&amp;" → "&amp;F2765,"Sin transición"))</f>
        <v/>
      </c>
      <c r="H2765" s="23" t="str">
        <f aca="false">IF(A2765="","",IF(D2765="GCIA LINEA SERVICIO DIGITALIDAD Y VENTAS","Chats",IF(OR(D2765="GERENCIA INBOUND LÍNEAS SERVICIO Y VENTA",D2765="GERENCIA INBOUND LINEAS ESPECIALIZADAS"),"Llamadas","Otro")))</f>
        <v/>
      </c>
      <c r="I2765" s="23" t="str">
        <f aca="false">IF(A2765="","",IF(C2765="No encontrado","No","Sí"))</f>
        <v/>
      </c>
      <c r="J2765" s="23" t="str">
        <f aca="false">IF(A2765="","",IF(F2765="Inactivo","No","Sí"))</f>
        <v/>
      </c>
      <c r="K2765" s="23" t="str">
        <f aca="false">IF(A2765="","",IF(AND(I2765="Sí",J2765="Sí"),"Sí","No"))</f>
        <v/>
      </c>
    </row>
    <row r="2766" customFormat="false" ht="15" hidden="false" customHeight="false" outlineLevel="0" collapsed="false">
      <c r="A2766" s="22"/>
      <c r="B2766" s="22"/>
      <c r="C2766" s="26" t="str">
        <f aca="false">IF(A2766="","",IFERROR(buscarx(A2766&amp;B2766,DATA!$E$3:$E$10000&amp;DATA!$B$3:$B$10000,DATA!$M$3:$M$10000),"No encontrado"))</f>
        <v/>
      </c>
      <c r="D2766" s="27" t="str">
        <f aca="false">IF(A2766="","",IFERROR(buscarx(A2766&amp;B2766,DATA!$E$3:$E$10000&amp;DATA!$B$3:$B$10000,DATA!$W$3:$W$10000),"No encontrado"))</f>
        <v/>
      </c>
      <c r="E2766" s="22"/>
      <c r="F2766" s="26" t="str">
        <f aca="false">IF(A2766="","",IFERROR(buscarx(A2766&amp;E2766,DATA!$E$3:$E$10000&amp;DATA!$B$3:$B$10000,DATA!$M$3:$M$10000),"Inactivo"))</f>
        <v/>
      </c>
      <c r="G2766" s="28" t="str">
        <f aca="false">IF(A2766="","",IF(AND(C2766&lt;&gt;"No encontrado",F2766&lt;&gt;"Inactivo"),C2766&amp;" → "&amp;F2766,"Sin transición"))</f>
        <v/>
      </c>
      <c r="H2766" s="26" t="str">
        <f aca="false">IF(A2766="","",IF(D2766="GCIA LINEA SERVICIO DIGITALIDAD Y VENTAS","Chats",IF(OR(D2766="GERENCIA INBOUND LÍNEAS SERVICIO Y VENTA",D2766="GERENCIA INBOUND LINEAS ESPECIALIZADAS"),"Llamadas","Otro")))</f>
        <v/>
      </c>
      <c r="I2766" s="26" t="str">
        <f aca="false">IF(A2766="","",IF(C2766="No encontrado","No","Sí"))</f>
        <v/>
      </c>
      <c r="J2766" s="26" t="str">
        <f aca="false">IF(A2766="","",IF(F2766="Inactivo","No","Sí"))</f>
        <v/>
      </c>
      <c r="K2766" s="26" t="str">
        <f aca="false">IF(A2766="","",IF(AND(I2766="Sí",J2766="Sí"),"Sí","No"))</f>
        <v/>
      </c>
    </row>
    <row r="2767" customFormat="false" ht="15" hidden="false" customHeight="false" outlineLevel="0" collapsed="false">
      <c r="A2767" s="22"/>
      <c r="B2767" s="22"/>
      <c r="C2767" s="23" t="str">
        <f aca="false">IF(A2767="","",IFERROR(buscarx(A2767&amp;B2767,DATA!$E$3:$E$10000&amp;DATA!$B$3:$B$10000,DATA!$M$3:$M$10000),"No encontrado"))</f>
        <v/>
      </c>
      <c r="D2767" s="24" t="str">
        <f aca="false">IF(A2767="","",IFERROR(buscarx(A2767&amp;B2767,DATA!$E$3:$E$10000&amp;DATA!$B$3:$B$10000,DATA!$W$3:$W$10000),"No encontrado"))</f>
        <v/>
      </c>
      <c r="E2767" s="22"/>
      <c r="F2767" s="23" t="str">
        <f aca="false">IF(A2767="","",IFERROR(buscarx(A2767&amp;E2767,DATA!$E$3:$E$10000&amp;DATA!$B$3:$B$10000,DATA!$M$3:$M$10000),"Inactivo"))</f>
        <v/>
      </c>
      <c r="G2767" s="25" t="str">
        <f aca="false">IF(A2767="","",IF(AND(C2767&lt;&gt;"No encontrado",F2767&lt;&gt;"Inactivo"),C2767&amp;" → "&amp;F2767,"Sin transición"))</f>
        <v/>
      </c>
      <c r="H2767" s="23" t="str">
        <f aca="false">IF(A2767="","",IF(D2767="GCIA LINEA SERVICIO DIGITALIDAD Y VENTAS","Chats",IF(OR(D2767="GERENCIA INBOUND LÍNEAS SERVICIO Y VENTA",D2767="GERENCIA INBOUND LINEAS ESPECIALIZADAS"),"Llamadas","Otro")))</f>
        <v/>
      </c>
      <c r="I2767" s="23" t="str">
        <f aca="false">IF(A2767="","",IF(C2767="No encontrado","No","Sí"))</f>
        <v/>
      </c>
      <c r="J2767" s="23" t="str">
        <f aca="false">IF(A2767="","",IF(F2767="Inactivo","No","Sí"))</f>
        <v/>
      </c>
      <c r="K2767" s="23" t="str">
        <f aca="false">IF(A2767="","",IF(AND(I2767="Sí",J2767="Sí"),"Sí","No"))</f>
        <v/>
      </c>
    </row>
    <row r="2768" customFormat="false" ht="15" hidden="false" customHeight="false" outlineLevel="0" collapsed="false">
      <c r="A2768" s="22"/>
      <c r="B2768" s="22"/>
      <c r="C2768" s="26" t="str">
        <f aca="false">IF(A2768="","",IFERROR(buscarx(A2768&amp;B2768,DATA!$E$3:$E$10000&amp;DATA!$B$3:$B$10000,DATA!$M$3:$M$10000),"No encontrado"))</f>
        <v/>
      </c>
      <c r="D2768" s="27" t="str">
        <f aca="false">IF(A2768="","",IFERROR(buscarx(A2768&amp;B2768,DATA!$E$3:$E$10000&amp;DATA!$B$3:$B$10000,DATA!$W$3:$W$10000),"No encontrado"))</f>
        <v/>
      </c>
      <c r="E2768" s="22"/>
      <c r="F2768" s="26" t="str">
        <f aca="false">IF(A2768="","",IFERROR(buscarx(A2768&amp;E2768,DATA!$E$3:$E$10000&amp;DATA!$B$3:$B$10000,DATA!$M$3:$M$10000),"Inactivo"))</f>
        <v/>
      </c>
      <c r="G2768" s="28" t="str">
        <f aca="false">IF(A2768="","",IF(AND(C2768&lt;&gt;"No encontrado",F2768&lt;&gt;"Inactivo"),C2768&amp;" → "&amp;F2768,"Sin transición"))</f>
        <v/>
      </c>
      <c r="H2768" s="26" t="str">
        <f aca="false">IF(A2768="","",IF(D2768="GCIA LINEA SERVICIO DIGITALIDAD Y VENTAS","Chats",IF(OR(D2768="GERENCIA INBOUND LÍNEAS SERVICIO Y VENTA",D2768="GERENCIA INBOUND LINEAS ESPECIALIZADAS"),"Llamadas","Otro")))</f>
        <v/>
      </c>
      <c r="I2768" s="26" t="str">
        <f aca="false">IF(A2768="","",IF(C2768="No encontrado","No","Sí"))</f>
        <v/>
      </c>
      <c r="J2768" s="26" t="str">
        <f aca="false">IF(A2768="","",IF(F2768="Inactivo","No","Sí"))</f>
        <v/>
      </c>
      <c r="K2768" s="26" t="str">
        <f aca="false">IF(A2768="","",IF(AND(I2768="Sí",J2768="Sí"),"Sí","No"))</f>
        <v/>
      </c>
    </row>
    <row r="2769" customFormat="false" ht="15" hidden="false" customHeight="false" outlineLevel="0" collapsed="false">
      <c r="A2769" s="22"/>
      <c r="B2769" s="22"/>
      <c r="C2769" s="23" t="str">
        <f aca="false">IF(A2769="","",IFERROR(buscarx(A2769&amp;B2769,DATA!$E$3:$E$10000&amp;DATA!$B$3:$B$10000,DATA!$M$3:$M$10000),"No encontrado"))</f>
        <v/>
      </c>
      <c r="D2769" s="24" t="str">
        <f aca="false">IF(A2769="","",IFERROR(buscarx(A2769&amp;B2769,DATA!$E$3:$E$10000&amp;DATA!$B$3:$B$10000,DATA!$W$3:$W$10000),"No encontrado"))</f>
        <v/>
      </c>
      <c r="E2769" s="22"/>
      <c r="F2769" s="23" t="str">
        <f aca="false">IF(A2769="","",IFERROR(buscarx(A2769&amp;E2769,DATA!$E$3:$E$10000&amp;DATA!$B$3:$B$10000,DATA!$M$3:$M$10000),"Inactivo"))</f>
        <v/>
      </c>
      <c r="G2769" s="25" t="str">
        <f aca="false">IF(A2769="","",IF(AND(C2769&lt;&gt;"No encontrado",F2769&lt;&gt;"Inactivo"),C2769&amp;" → "&amp;F2769,"Sin transición"))</f>
        <v/>
      </c>
      <c r="H2769" s="23" t="str">
        <f aca="false">IF(A2769="","",IF(D2769="GCIA LINEA SERVICIO DIGITALIDAD Y VENTAS","Chats",IF(OR(D2769="GERENCIA INBOUND LÍNEAS SERVICIO Y VENTA",D2769="GERENCIA INBOUND LINEAS ESPECIALIZADAS"),"Llamadas","Otro")))</f>
        <v/>
      </c>
      <c r="I2769" s="23" t="str">
        <f aca="false">IF(A2769="","",IF(C2769="No encontrado","No","Sí"))</f>
        <v/>
      </c>
      <c r="J2769" s="23" t="str">
        <f aca="false">IF(A2769="","",IF(F2769="Inactivo","No","Sí"))</f>
        <v/>
      </c>
      <c r="K2769" s="23" t="str">
        <f aca="false">IF(A2769="","",IF(AND(I2769="Sí",J2769="Sí"),"Sí","No"))</f>
        <v/>
      </c>
    </row>
    <row r="2770" customFormat="false" ht="15" hidden="false" customHeight="false" outlineLevel="0" collapsed="false">
      <c r="A2770" s="22"/>
      <c r="B2770" s="22"/>
      <c r="C2770" s="26" t="str">
        <f aca="false">IF(A2770="","",IFERROR(buscarx(A2770&amp;B2770,DATA!$E$3:$E$10000&amp;DATA!$B$3:$B$10000,DATA!$M$3:$M$10000),"No encontrado"))</f>
        <v/>
      </c>
      <c r="D2770" s="27" t="str">
        <f aca="false">IF(A2770="","",IFERROR(buscarx(A2770&amp;B2770,DATA!$E$3:$E$10000&amp;DATA!$B$3:$B$10000,DATA!$W$3:$W$10000),"No encontrado"))</f>
        <v/>
      </c>
      <c r="E2770" s="22"/>
      <c r="F2770" s="26" t="str">
        <f aca="false">IF(A2770="","",IFERROR(buscarx(A2770&amp;E2770,DATA!$E$3:$E$10000&amp;DATA!$B$3:$B$10000,DATA!$M$3:$M$10000),"Inactivo"))</f>
        <v/>
      </c>
      <c r="G2770" s="28" t="str">
        <f aca="false">IF(A2770="","",IF(AND(C2770&lt;&gt;"No encontrado",F2770&lt;&gt;"Inactivo"),C2770&amp;" → "&amp;F2770,"Sin transición"))</f>
        <v/>
      </c>
      <c r="H2770" s="26" t="str">
        <f aca="false">IF(A2770="","",IF(D2770="GCIA LINEA SERVICIO DIGITALIDAD Y VENTAS","Chats",IF(OR(D2770="GERENCIA INBOUND LÍNEAS SERVICIO Y VENTA",D2770="GERENCIA INBOUND LINEAS ESPECIALIZADAS"),"Llamadas","Otro")))</f>
        <v/>
      </c>
      <c r="I2770" s="26" t="str">
        <f aca="false">IF(A2770="","",IF(C2770="No encontrado","No","Sí"))</f>
        <v/>
      </c>
      <c r="J2770" s="26" t="str">
        <f aca="false">IF(A2770="","",IF(F2770="Inactivo","No","Sí"))</f>
        <v/>
      </c>
      <c r="K2770" s="26" t="str">
        <f aca="false">IF(A2770="","",IF(AND(I2770="Sí",J2770="Sí"),"Sí","No"))</f>
        <v/>
      </c>
    </row>
    <row r="2771" customFormat="false" ht="15" hidden="false" customHeight="false" outlineLevel="0" collapsed="false">
      <c r="A2771" s="22"/>
      <c r="B2771" s="22"/>
      <c r="C2771" s="23" t="str">
        <f aca="false">IF(A2771="","",IFERROR(buscarx(A2771&amp;B2771,DATA!$E$3:$E$10000&amp;DATA!$B$3:$B$10000,DATA!$M$3:$M$10000),"No encontrado"))</f>
        <v/>
      </c>
      <c r="D2771" s="24" t="str">
        <f aca="false">IF(A2771="","",IFERROR(buscarx(A2771&amp;B2771,DATA!$E$3:$E$10000&amp;DATA!$B$3:$B$10000,DATA!$W$3:$W$10000),"No encontrado"))</f>
        <v/>
      </c>
      <c r="E2771" s="22"/>
      <c r="F2771" s="23" t="str">
        <f aca="false">IF(A2771="","",IFERROR(buscarx(A2771&amp;E2771,DATA!$E$3:$E$10000&amp;DATA!$B$3:$B$10000,DATA!$M$3:$M$10000),"Inactivo"))</f>
        <v/>
      </c>
      <c r="G2771" s="25" t="str">
        <f aca="false">IF(A2771="","",IF(AND(C2771&lt;&gt;"No encontrado",F2771&lt;&gt;"Inactivo"),C2771&amp;" → "&amp;F2771,"Sin transición"))</f>
        <v/>
      </c>
      <c r="H2771" s="23" t="str">
        <f aca="false">IF(A2771="","",IF(D2771="GCIA LINEA SERVICIO DIGITALIDAD Y VENTAS","Chats",IF(OR(D2771="GERENCIA INBOUND LÍNEAS SERVICIO Y VENTA",D2771="GERENCIA INBOUND LINEAS ESPECIALIZADAS"),"Llamadas","Otro")))</f>
        <v/>
      </c>
      <c r="I2771" s="23" t="str">
        <f aca="false">IF(A2771="","",IF(C2771="No encontrado","No","Sí"))</f>
        <v/>
      </c>
      <c r="J2771" s="23" t="str">
        <f aca="false">IF(A2771="","",IF(F2771="Inactivo","No","Sí"))</f>
        <v/>
      </c>
      <c r="K2771" s="23" t="str">
        <f aca="false">IF(A2771="","",IF(AND(I2771="Sí",J2771="Sí"),"Sí","No"))</f>
        <v/>
      </c>
    </row>
    <row r="2772" customFormat="false" ht="15" hidden="false" customHeight="false" outlineLevel="0" collapsed="false">
      <c r="A2772" s="22"/>
      <c r="B2772" s="22"/>
      <c r="C2772" s="26" t="str">
        <f aca="false">IF(A2772="","",IFERROR(buscarx(A2772&amp;B2772,DATA!$E$3:$E$10000&amp;DATA!$B$3:$B$10000,DATA!$M$3:$M$10000),"No encontrado"))</f>
        <v/>
      </c>
      <c r="D2772" s="27" t="str">
        <f aca="false">IF(A2772="","",IFERROR(buscarx(A2772&amp;B2772,DATA!$E$3:$E$10000&amp;DATA!$B$3:$B$10000,DATA!$W$3:$W$10000),"No encontrado"))</f>
        <v/>
      </c>
      <c r="E2772" s="22"/>
      <c r="F2772" s="26" t="str">
        <f aca="false">IF(A2772="","",IFERROR(buscarx(A2772&amp;E2772,DATA!$E$3:$E$10000&amp;DATA!$B$3:$B$10000,DATA!$M$3:$M$10000),"Inactivo"))</f>
        <v/>
      </c>
      <c r="G2772" s="28" t="str">
        <f aca="false">IF(A2772="","",IF(AND(C2772&lt;&gt;"No encontrado",F2772&lt;&gt;"Inactivo"),C2772&amp;" → "&amp;F2772,"Sin transición"))</f>
        <v/>
      </c>
      <c r="H2772" s="26" t="str">
        <f aca="false">IF(A2772="","",IF(D2772="GCIA LINEA SERVICIO DIGITALIDAD Y VENTAS","Chats",IF(OR(D2772="GERENCIA INBOUND LÍNEAS SERVICIO Y VENTA",D2772="GERENCIA INBOUND LINEAS ESPECIALIZADAS"),"Llamadas","Otro")))</f>
        <v/>
      </c>
      <c r="I2772" s="26" t="str">
        <f aca="false">IF(A2772="","",IF(C2772="No encontrado","No","Sí"))</f>
        <v/>
      </c>
      <c r="J2772" s="26" t="str">
        <f aca="false">IF(A2772="","",IF(F2772="Inactivo","No","Sí"))</f>
        <v/>
      </c>
      <c r="K2772" s="26" t="str">
        <f aca="false">IF(A2772="","",IF(AND(I2772="Sí",J2772="Sí"),"Sí","No"))</f>
        <v/>
      </c>
    </row>
    <row r="2773" customFormat="false" ht="15" hidden="false" customHeight="false" outlineLevel="0" collapsed="false">
      <c r="A2773" s="22"/>
      <c r="B2773" s="22"/>
      <c r="C2773" s="23" t="str">
        <f aca="false">IF(A2773="","",IFERROR(buscarx(A2773&amp;B2773,DATA!$E$3:$E$10000&amp;DATA!$B$3:$B$10000,DATA!$M$3:$M$10000),"No encontrado"))</f>
        <v/>
      </c>
      <c r="D2773" s="24" t="str">
        <f aca="false">IF(A2773="","",IFERROR(buscarx(A2773&amp;B2773,DATA!$E$3:$E$10000&amp;DATA!$B$3:$B$10000,DATA!$W$3:$W$10000),"No encontrado"))</f>
        <v/>
      </c>
      <c r="E2773" s="22"/>
      <c r="F2773" s="23" t="str">
        <f aca="false">IF(A2773="","",IFERROR(buscarx(A2773&amp;E2773,DATA!$E$3:$E$10000&amp;DATA!$B$3:$B$10000,DATA!$M$3:$M$10000),"Inactivo"))</f>
        <v/>
      </c>
      <c r="G2773" s="25" t="str">
        <f aca="false">IF(A2773="","",IF(AND(C2773&lt;&gt;"No encontrado",F2773&lt;&gt;"Inactivo"),C2773&amp;" → "&amp;F2773,"Sin transición"))</f>
        <v/>
      </c>
      <c r="H2773" s="23" t="str">
        <f aca="false">IF(A2773="","",IF(D2773="GCIA LINEA SERVICIO DIGITALIDAD Y VENTAS","Chats",IF(OR(D2773="GERENCIA INBOUND LÍNEAS SERVICIO Y VENTA",D2773="GERENCIA INBOUND LINEAS ESPECIALIZADAS"),"Llamadas","Otro")))</f>
        <v/>
      </c>
      <c r="I2773" s="23" t="str">
        <f aca="false">IF(A2773="","",IF(C2773="No encontrado","No","Sí"))</f>
        <v/>
      </c>
      <c r="J2773" s="23" t="str">
        <f aca="false">IF(A2773="","",IF(F2773="Inactivo","No","Sí"))</f>
        <v/>
      </c>
      <c r="K2773" s="23" t="str">
        <f aca="false">IF(A2773="","",IF(AND(I2773="Sí",J2773="Sí"),"Sí","No"))</f>
        <v/>
      </c>
    </row>
    <row r="2774" customFormat="false" ht="15" hidden="false" customHeight="false" outlineLevel="0" collapsed="false">
      <c r="A2774" s="22"/>
      <c r="B2774" s="22"/>
      <c r="C2774" s="26" t="str">
        <f aca="false">IF(A2774="","",IFERROR(buscarx(A2774&amp;B2774,DATA!$E$3:$E$10000&amp;DATA!$B$3:$B$10000,DATA!$M$3:$M$10000),"No encontrado"))</f>
        <v/>
      </c>
      <c r="D2774" s="27" t="str">
        <f aca="false">IF(A2774="","",IFERROR(buscarx(A2774&amp;B2774,DATA!$E$3:$E$10000&amp;DATA!$B$3:$B$10000,DATA!$W$3:$W$10000),"No encontrado"))</f>
        <v/>
      </c>
      <c r="E2774" s="22"/>
      <c r="F2774" s="26" t="str">
        <f aca="false">IF(A2774="","",IFERROR(buscarx(A2774&amp;E2774,DATA!$E$3:$E$10000&amp;DATA!$B$3:$B$10000,DATA!$M$3:$M$10000),"Inactivo"))</f>
        <v/>
      </c>
      <c r="G2774" s="28" t="str">
        <f aca="false">IF(A2774="","",IF(AND(C2774&lt;&gt;"No encontrado",F2774&lt;&gt;"Inactivo"),C2774&amp;" → "&amp;F2774,"Sin transición"))</f>
        <v/>
      </c>
      <c r="H2774" s="26" t="str">
        <f aca="false">IF(A2774="","",IF(D2774="GCIA LINEA SERVICIO DIGITALIDAD Y VENTAS","Chats",IF(OR(D2774="GERENCIA INBOUND LÍNEAS SERVICIO Y VENTA",D2774="GERENCIA INBOUND LINEAS ESPECIALIZADAS"),"Llamadas","Otro")))</f>
        <v/>
      </c>
      <c r="I2774" s="26" t="str">
        <f aca="false">IF(A2774="","",IF(C2774="No encontrado","No","Sí"))</f>
        <v/>
      </c>
      <c r="J2774" s="26" t="str">
        <f aca="false">IF(A2774="","",IF(F2774="Inactivo","No","Sí"))</f>
        <v/>
      </c>
      <c r="K2774" s="26" t="str">
        <f aca="false">IF(A2774="","",IF(AND(I2774="Sí",J2774="Sí"),"Sí","No"))</f>
        <v/>
      </c>
    </row>
    <row r="2775" customFormat="false" ht="15" hidden="false" customHeight="false" outlineLevel="0" collapsed="false">
      <c r="A2775" s="22"/>
      <c r="B2775" s="22"/>
      <c r="C2775" s="23" t="str">
        <f aca="false">IF(A2775="","",IFERROR(buscarx(A2775&amp;B2775,DATA!$E$3:$E$10000&amp;DATA!$B$3:$B$10000,DATA!$M$3:$M$10000),"No encontrado"))</f>
        <v/>
      </c>
      <c r="D2775" s="24" t="str">
        <f aca="false">IF(A2775="","",IFERROR(buscarx(A2775&amp;B2775,DATA!$E$3:$E$10000&amp;DATA!$B$3:$B$10000,DATA!$W$3:$W$10000),"No encontrado"))</f>
        <v/>
      </c>
      <c r="E2775" s="22"/>
      <c r="F2775" s="23" t="str">
        <f aca="false">IF(A2775="","",IFERROR(buscarx(A2775&amp;E2775,DATA!$E$3:$E$10000&amp;DATA!$B$3:$B$10000,DATA!$M$3:$M$10000),"Inactivo"))</f>
        <v/>
      </c>
      <c r="G2775" s="25" t="str">
        <f aca="false">IF(A2775="","",IF(AND(C2775&lt;&gt;"No encontrado",F2775&lt;&gt;"Inactivo"),C2775&amp;" → "&amp;F2775,"Sin transición"))</f>
        <v/>
      </c>
      <c r="H2775" s="23" t="str">
        <f aca="false">IF(A2775="","",IF(D2775="GCIA LINEA SERVICIO DIGITALIDAD Y VENTAS","Chats",IF(OR(D2775="GERENCIA INBOUND LÍNEAS SERVICIO Y VENTA",D2775="GERENCIA INBOUND LINEAS ESPECIALIZADAS"),"Llamadas","Otro")))</f>
        <v/>
      </c>
      <c r="I2775" s="23" t="str">
        <f aca="false">IF(A2775="","",IF(C2775="No encontrado","No","Sí"))</f>
        <v/>
      </c>
      <c r="J2775" s="23" t="str">
        <f aca="false">IF(A2775="","",IF(F2775="Inactivo","No","Sí"))</f>
        <v/>
      </c>
      <c r="K2775" s="23" t="str">
        <f aca="false">IF(A2775="","",IF(AND(I2775="Sí",J2775="Sí"),"Sí","No"))</f>
        <v/>
      </c>
    </row>
    <row r="2776" customFormat="false" ht="15" hidden="false" customHeight="false" outlineLevel="0" collapsed="false">
      <c r="A2776" s="22"/>
      <c r="B2776" s="22"/>
      <c r="C2776" s="26" t="str">
        <f aca="false">IF(A2776="","",IFERROR(buscarx(A2776&amp;B2776,DATA!$E$3:$E$10000&amp;DATA!$B$3:$B$10000,DATA!$M$3:$M$10000),"No encontrado"))</f>
        <v/>
      </c>
      <c r="D2776" s="27" t="str">
        <f aca="false">IF(A2776="","",IFERROR(buscarx(A2776&amp;B2776,DATA!$E$3:$E$10000&amp;DATA!$B$3:$B$10000,DATA!$W$3:$W$10000),"No encontrado"))</f>
        <v/>
      </c>
      <c r="E2776" s="22"/>
      <c r="F2776" s="26" t="str">
        <f aca="false">IF(A2776="","",IFERROR(buscarx(A2776&amp;E2776,DATA!$E$3:$E$10000&amp;DATA!$B$3:$B$10000,DATA!$M$3:$M$10000),"Inactivo"))</f>
        <v/>
      </c>
      <c r="G2776" s="28" t="str">
        <f aca="false">IF(A2776="","",IF(AND(C2776&lt;&gt;"No encontrado",F2776&lt;&gt;"Inactivo"),C2776&amp;" → "&amp;F2776,"Sin transición"))</f>
        <v/>
      </c>
      <c r="H2776" s="26" t="str">
        <f aca="false">IF(A2776="","",IF(D2776="GCIA LINEA SERVICIO DIGITALIDAD Y VENTAS","Chats",IF(OR(D2776="GERENCIA INBOUND LÍNEAS SERVICIO Y VENTA",D2776="GERENCIA INBOUND LINEAS ESPECIALIZADAS"),"Llamadas","Otro")))</f>
        <v/>
      </c>
      <c r="I2776" s="26" t="str">
        <f aca="false">IF(A2776="","",IF(C2776="No encontrado","No","Sí"))</f>
        <v/>
      </c>
      <c r="J2776" s="26" t="str">
        <f aca="false">IF(A2776="","",IF(F2776="Inactivo","No","Sí"))</f>
        <v/>
      </c>
      <c r="K2776" s="26" t="str">
        <f aca="false">IF(A2776="","",IF(AND(I2776="Sí",J2776="Sí"),"Sí","No"))</f>
        <v/>
      </c>
    </row>
    <row r="2777" customFormat="false" ht="15" hidden="false" customHeight="false" outlineLevel="0" collapsed="false">
      <c r="A2777" s="22"/>
      <c r="B2777" s="22"/>
      <c r="C2777" s="23" t="str">
        <f aca="false">IF(A2777="","",IFERROR(buscarx(A2777&amp;B2777,DATA!$E$3:$E$10000&amp;DATA!$B$3:$B$10000,DATA!$M$3:$M$10000),"No encontrado"))</f>
        <v/>
      </c>
      <c r="D2777" s="24" t="str">
        <f aca="false">IF(A2777="","",IFERROR(buscarx(A2777&amp;B2777,DATA!$E$3:$E$10000&amp;DATA!$B$3:$B$10000,DATA!$W$3:$W$10000),"No encontrado"))</f>
        <v/>
      </c>
      <c r="E2777" s="22"/>
      <c r="F2777" s="23" t="str">
        <f aca="false">IF(A2777="","",IFERROR(buscarx(A2777&amp;E2777,DATA!$E$3:$E$10000&amp;DATA!$B$3:$B$10000,DATA!$M$3:$M$10000),"Inactivo"))</f>
        <v/>
      </c>
      <c r="G2777" s="25" t="str">
        <f aca="false">IF(A2777="","",IF(AND(C2777&lt;&gt;"No encontrado",F2777&lt;&gt;"Inactivo"),C2777&amp;" → "&amp;F2777,"Sin transición"))</f>
        <v/>
      </c>
      <c r="H2777" s="23" t="str">
        <f aca="false">IF(A2777="","",IF(D2777="GCIA LINEA SERVICIO DIGITALIDAD Y VENTAS","Chats",IF(OR(D2777="GERENCIA INBOUND LÍNEAS SERVICIO Y VENTA",D2777="GERENCIA INBOUND LINEAS ESPECIALIZADAS"),"Llamadas","Otro")))</f>
        <v/>
      </c>
      <c r="I2777" s="23" t="str">
        <f aca="false">IF(A2777="","",IF(C2777="No encontrado","No","Sí"))</f>
        <v/>
      </c>
      <c r="J2777" s="23" t="str">
        <f aca="false">IF(A2777="","",IF(F2777="Inactivo","No","Sí"))</f>
        <v/>
      </c>
      <c r="K2777" s="23" t="str">
        <f aca="false">IF(A2777="","",IF(AND(I2777="Sí",J2777="Sí"),"Sí","No"))</f>
        <v/>
      </c>
    </row>
    <row r="2778" customFormat="false" ht="15" hidden="false" customHeight="false" outlineLevel="0" collapsed="false">
      <c r="A2778" s="22"/>
      <c r="B2778" s="22"/>
      <c r="C2778" s="26" t="str">
        <f aca="false">IF(A2778="","",IFERROR(buscarx(A2778&amp;B2778,DATA!$E$3:$E$10000&amp;DATA!$B$3:$B$10000,DATA!$M$3:$M$10000),"No encontrado"))</f>
        <v/>
      </c>
      <c r="D2778" s="27" t="str">
        <f aca="false">IF(A2778="","",IFERROR(buscarx(A2778&amp;B2778,DATA!$E$3:$E$10000&amp;DATA!$B$3:$B$10000,DATA!$W$3:$W$10000),"No encontrado"))</f>
        <v/>
      </c>
      <c r="E2778" s="22"/>
      <c r="F2778" s="26" t="str">
        <f aca="false">IF(A2778="","",IFERROR(buscarx(A2778&amp;E2778,DATA!$E$3:$E$10000&amp;DATA!$B$3:$B$10000,DATA!$M$3:$M$10000),"Inactivo"))</f>
        <v/>
      </c>
      <c r="G2778" s="28" t="str">
        <f aca="false">IF(A2778="","",IF(AND(C2778&lt;&gt;"No encontrado",F2778&lt;&gt;"Inactivo"),C2778&amp;" → "&amp;F2778,"Sin transición"))</f>
        <v/>
      </c>
      <c r="H2778" s="26" t="str">
        <f aca="false">IF(A2778="","",IF(D2778="GCIA LINEA SERVICIO DIGITALIDAD Y VENTAS","Chats",IF(OR(D2778="GERENCIA INBOUND LÍNEAS SERVICIO Y VENTA",D2778="GERENCIA INBOUND LINEAS ESPECIALIZADAS"),"Llamadas","Otro")))</f>
        <v/>
      </c>
      <c r="I2778" s="26" t="str">
        <f aca="false">IF(A2778="","",IF(C2778="No encontrado","No","Sí"))</f>
        <v/>
      </c>
      <c r="J2778" s="26" t="str">
        <f aca="false">IF(A2778="","",IF(F2778="Inactivo","No","Sí"))</f>
        <v/>
      </c>
      <c r="K2778" s="26" t="str">
        <f aca="false">IF(A2778="","",IF(AND(I2778="Sí",J2778="Sí"),"Sí","No"))</f>
        <v/>
      </c>
    </row>
    <row r="2779" customFormat="false" ht="15" hidden="false" customHeight="false" outlineLevel="0" collapsed="false">
      <c r="A2779" s="22"/>
      <c r="B2779" s="22"/>
      <c r="C2779" s="23" t="str">
        <f aca="false">IF(A2779="","",IFERROR(buscarx(A2779&amp;B2779,DATA!$E$3:$E$10000&amp;DATA!$B$3:$B$10000,DATA!$M$3:$M$10000),"No encontrado"))</f>
        <v/>
      </c>
      <c r="D2779" s="24" t="str">
        <f aca="false">IF(A2779="","",IFERROR(buscarx(A2779&amp;B2779,DATA!$E$3:$E$10000&amp;DATA!$B$3:$B$10000,DATA!$W$3:$W$10000),"No encontrado"))</f>
        <v/>
      </c>
      <c r="E2779" s="22"/>
      <c r="F2779" s="23" t="str">
        <f aca="false">IF(A2779="","",IFERROR(buscarx(A2779&amp;E2779,DATA!$E$3:$E$10000&amp;DATA!$B$3:$B$10000,DATA!$M$3:$M$10000),"Inactivo"))</f>
        <v/>
      </c>
      <c r="G2779" s="25" t="str">
        <f aca="false">IF(A2779="","",IF(AND(C2779&lt;&gt;"No encontrado",F2779&lt;&gt;"Inactivo"),C2779&amp;" → "&amp;F2779,"Sin transición"))</f>
        <v/>
      </c>
      <c r="H2779" s="23" t="str">
        <f aca="false">IF(A2779="","",IF(D2779="GCIA LINEA SERVICIO DIGITALIDAD Y VENTAS","Chats",IF(OR(D2779="GERENCIA INBOUND LÍNEAS SERVICIO Y VENTA",D2779="GERENCIA INBOUND LINEAS ESPECIALIZADAS"),"Llamadas","Otro")))</f>
        <v/>
      </c>
      <c r="I2779" s="23" t="str">
        <f aca="false">IF(A2779="","",IF(C2779="No encontrado","No","Sí"))</f>
        <v/>
      </c>
      <c r="J2779" s="23" t="str">
        <f aca="false">IF(A2779="","",IF(F2779="Inactivo","No","Sí"))</f>
        <v/>
      </c>
      <c r="K2779" s="23" t="str">
        <f aca="false">IF(A2779="","",IF(AND(I2779="Sí",J2779="Sí"),"Sí","No"))</f>
        <v/>
      </c>
    </row>
    <row r="2780" customFormat="false" ht="15" hidden="false" customHeight="false" outlineLevel="0" collapsed="false">
      <c r="A2780" s="22"/>
      <c r="B2780" s="22"/>
      <c r="C2780" s="26" t="str">
        <f aca="false">IF(A2780="","",IFERROR(buscarx(A2780&amp;B2780,DATA!$E$3:$E$10000&amp;DATA!$B$3:$B$10000,DATA!$M$3:$M$10000),"No encontrado"))</f>
        <v/>
      </c>
      <c r="D2780" s="27" t="str">
        <f aca="false">IF(A2780="","",IFERROR(buscarx(A2780&amp;B2780,DATA!$E$3:$E$10000&amp;DATA!$B$3:$B$10000,DATA!$W$3:$W$10000),"No encontrado"))</f>
        <v/>
      </c>
      <c r="E2780" s="22"/>
      <c r="F2780" s="26" t="str">
        <f aca="false">IF(A2780="","",IFERROR(buscarx(A2780&amp;E2780,DATA!$E$3:$E$10000&amp;DATA!$B$3:$B$10000,DATA!$M$3:$M$10000),"Inactivo"))</f>
        <v/>
      </c>
      <c r="G2780" s="28" t="str">
        <f aca="false">IF(A2780="","",IF(AND(C2780&lt;&gt;"No encontrado",F2780&lt;&gt;"Inactivo"),C2780&amp;" → "&amp;F2780,"Sin transición"))</f>
        <v/>
      </c>
      <c r="H2780" s="26" t="str">
        <f aca="false">IF(A2780="","",IF(D2780="GCIA LINEA SERVICIO DIGITALIDAD Y VENTAS","Chats",IF(OR(D2780="GERENCIA INBOUND LÍNEAS SERVICIO Y VENTA",D2780="GERENCIA INBOUND LINEAS ESPECIALIZADAS"),"Llamadas","Otro")))</f>
        <v/>
      </c>
      <c r="I2780" s="26" t="str">
        <f aca="false">IF(A2780="","",IF(C2780="No encontrado","No","Sí"))</f>
        <v/>
      </c>
      <c r="J2780" s="26" t="str">
        <f aca="false">IF(A2780="","",IF(F2780="Inactivo","No","Sí"))</f>
        <v/>
      </c>
      <c r="K2780" s="26" t="str">
        <f aca="false">IF(A2780="","",IF(AND(I2780="Sí",J2780="Sí"),"Sí","No"))</f>
        <v/>
      </c>
    </row>
    <row r="2781" customFormat="false" ht="15" hidden="false" customHeight="false" outlineLevel="0" collapsed="false">
      <c r="A2781" s="22"/>
      <c r="B2781" s="22"/>
      <c r="C2781" s="23" t="str">
        <f aca="false">IF(A2781="","",IFERROR(buscarx(A2781&amp;B2781,DATA!$E$3:$E$10000&amp;DATA!$B$3:$B$10000,DATA!$M$3:$M$10000),"No encontrado"))</f>
        <v/>
      </c>
      <c r="D2781" s="24" t="str">
        <f aca="false">IF(A2781="","",IFERROR(buscarx(A2781&amp;B2781,DATA!$E$3:$E$10000&amp;DATA!$B$3:$B$10000,DATA!$W$3:$W$10000),"No encontrado"))</f>
        <v/>
      </c>
      <c r="E2781" s="22"/>
      <c r="F2781" s="23" t="str">
        <f aca="false">IF(A2781="","",IFERROR(buscarx(A2781&amp;E2781,DATA!$E$3:$E$10000&amp;DATA!$B$3:$B$10000,DATA!$M$3:$M$10000),"Inactivo"))</f>
        <v/>
      </c>
      <c r="G2781" s="25" t="str">
        <f aca="false">IF(A2781="","",IF(AND(C2781&lt;&gt;"No encontrado",F2781&lt;&gt;"Inactivo"),C2781&amp;" → "&amp;F2781,"Sin transición"))</f>
        <v/>
      </c>
      <c r="H2781" s="23" t="str">
        <f aca="false">IF(A2781="","",IF(D2781="GCIA LINEA SERVICIO DIGITALIDAD Y VENTAS","Chats",IF(OR(D2781="GERENCIA INBOUND LÍNEAS SERVICIO Y VENTA",D2781="GERENCIA INBOUND LINEAS ESPECIALIZADAS"),"Llamadas","Otro")))</f>
        <v/>
      </c>
      <c r="I2781" s="23" t="str">
        <f aca="false">IF(A2781="","",IF(C2781="No encontrado","No","Sí"))</f>
        <v/>
      </c>
      <c r="J2781" s="23" t="str">
        <f aca="false">IF(A2781="","",IF(F2781="Inactivo","No","Sí"))</f>
        <v/>
      </c>
      <c r="K2781" s="23" t="str">
        <f aca="false">IF(A2781="","",IF(AND(I2781="Sí",J2781="Sí"),"Sí","No"))</f>
        <v/>
      </c>
    </row>
    <row r="2782" customFormat="false" ht="15" hidden="false" customHeight="false" outlineLevel="0" collapsed="false">
      <c r="A2782" s="22"/>
      <c r="B2782" s="22"/>
      <c r="C2782" s="26" t="str">
        <f aca="false">IF(A2782="","",IFERROR(buscarx(A2782&amp;B2782,DATA!$E$3:$E$10000&amp;DATA!$B$3:$B$10000,DATA!$M$3:$M$10000),"No encontrado"))</f>
        <v/>
      </c>
      <c r="D2782" s="27" t="str">
        <f aca="false">IF(A2782="","",IFERROR(buscarx(A2782&amp;B2782,DATA!$E$3:$E$10000&amp;DATA!$B$3:$B$10000,DATA!$W$3:$W$10000),"No encontrado"))</f>
        <v/>
      </c>
      <c r="E2782" s="22"/>
      <c r="F2782" s="26" t="str">
        <f aca="false">IF(A2782="","",IFERROR(buscarx(A2782&amp;E2782,DATA!$E$3:$E$10000&amp;DATA!$B$3:$B$10000,DATA!$M$3:$M$10000),"Inactivo"))</f>
        <v/>
      </c>
      <c r="G2782" s="28" t="str">
        <f aca="false">IF(A2782="","",IF(AND(C2782&lt;&gt;"No encontrado",F2782&lt;&gt;"Inactivo"),C2782&amp;" → "&amp;F2782,"Sin transición"))</f>
        <v/>
      </c>
      <c r="H2782" s="26" t="str">
        <f aca="false">IF(A2782="","",IF(D2782="GCIA LINEA SERVICIO DIGITALIDAD Y VENTAS","Chats",IF(OR(D2782="GERENCIA INBOUND LÍNEAS SERVICIO Y VENTA",D2782="GERENCIA INBOUND LINEAS ESPECIALIZADAS"),"Llamadas","Otro")))</f>
        <v/>
      </c>
      <c r="I2782" s="26" t="str">
        <f aca="false">IF(A2782="","",IF(C2782="No encontrado","No","Sí"))</f>
        <v/>
      </c>
      <c r="J2782" s="26" t="str">
        <f aca="false">IF(A2782="","",IF(F2782="Inactivo","No","Sí"))</f>
        <v/>
      </c>
      <c r="K2782" s="26" t="str">
        <f aca="false">IF(A2782="","",IF(AND(I2782="Sí",J2782="Sí"),"Sí","No"))</f>
        <v/>
      </c>
    </row>
    <row r="2783" customFormat="false" ht="15" hidden="false" customHeight="false" outlineLevel="0" collapsed="false">
      <c r="A2783" s="22"/>
      <c r="B2783" s="22"/>
      <c r="C2783" s="23" t="str">
        <f aca="false">IF(A2783="","",IFERROR(buscarx(A2783&amp;B2783,DATA!$E$3:$E$10000&amp;DATA!$B$3:$B$10000,DATA!$M$3:$M$10000),"No encontrado"))</f>
        <v/>
      </c>
      <c r="D2783" s="24" t="str">
        <f aca="false">IF(A2783="","",IFERROR(buscarx(A2783&amp;B2783,DATA!$E$3:$E$10000&amp;DATA!$B$3:$B$10000,DATA!$W$3:$W$10000),"No encontrado"))</f>
        <v/>
      </c>
      <c r="E2783" s="22"/>
      <c r="F2783" s="23" t="str">
        <f aca="false">IF(A2783="","",IFERROR(buscarx(A2783&amp;E2783,DATA!$E$3:$E$10000&amp;DATA!$B$3:$B$10000,DATA!$M$3:$M$10000),"Inactivo"))</f>
        <v/>
      </c>
      <c r="G2783" s="25" t="str">
        <f aca="false">IF(A2783="","",IF(AND(C2783&lt;&gt;"No encontrado",F2783&lt;&gt;"Inactivo"),C2783&amp;" → "&amp;F2783,"Sin transición"))</f>
        <v/>
      </c>
      <c r="H2783" s="23" t="str">
        <f aca="false">IF(A2783="","",IF(D2783="GCIA LINEA SERVICIO DIGITALIDAD Y VENTAS","Chats",IF(OR(D2783="GERENCIA INBOUND LÍNEAS SERVICIO Y VENTA",D2783="GERENCIA INBOUND LINEAS ESPECIALIZADAS"),"Llamadas","Otro")))</f>
        <v/>
      </c>
      <c r="I2783" s="23" t="str">
        <f aca="false">IF(A2783="","",IF(C2783="No encontrado","No","Sí"))</f>
        <v/>
      </c>
      <c r="J2783" s="23" t="str">
        <f aca="false">IF(A2783="","",IF(F2783="Inactivo","No","Sí"))</f>
        <v/>
      </c>
      <c r="K2783" s="23" t="str">
        <f aca="false">IF(A2783="","",IF(AND(I2783="Sí",J2783="Sí"),"Sí","No"))</f>
        <v/>
      </c>
    </row>
    <row r="2784" customFormat="false" ht="15" hidden="false" customHeight="false" outlineLevel="0" collapsed="false">
      <c r="A2784" s="22"/>
      <c r="B2784" s="22"/>
      <c r="C2784" s="26" t="str">
        <f aca="false">IF(A2784="","",IFERROR(buscarx(A2784&amp;B2784,DATA!$E$3:$E$10000&amp;DATA!$B$3:$B$10000,DATA!$M$3:$M$10000),"No encontrado"))</f>
        <v/>
      </c>
      <c r="D2784" s="27" t="str">
        <f aca="false">IF(A2784="","",IFERROR(buscarx(A2784&amp;B2784,DATA!$E$3:$E$10000&amp;DATA!$B$3:$B$10000,DATA!$W$3:$W$10000),"No encontrado"))</f>
        <v/>
      </c>
      <c r="E2784" s="22"/>
      <c r="F2784" s="26" t="str">
        <f aca="false">IF(A2784="","",IFERROR(buscarx(A2784&amp;E2784,DATA!$E$3:$E$10000&amp;DATA!$B$3:$B$10000,DATA!$M$3:$M$10000),"Inactivo"))</f>
        <v/>
      </c>
      <c r="G2784" s="28" t="str">
        <f aca="false">IF(A2784="","",IF(AND(C2784&lt;&gt;"No encontrado",F2784&lt;&gt;"Inactivo"),C2784&amp;" → "&amp;F2784,"Sin transición"))</f>
        <v/>
      </c>
      <c r="H2784" s="26" t="str">
        <f aca="false">IF(A2784="","",IF(D2784="GCIA LINEA SERVICIO DIGITALIDAD Y VENTAS","Chats",IF(OR(D2784="GERENCIA INBOUND LÍNEAS SERVICIO Y VENTA",D2784="GERENCIA INBOUND LINEAS ESPECIALIZADAS"),"Llamadas","Otro")))</f>
        <v/>
      </c>
      <c r="I2784" s="26" t="str">
        <f aca="false">IF(A2784="","",IF(C2784="No encontrado","No","Sí"))</f>
        <v/>
      </c>
      <c r="J2784" s="26" t="str">
        <f aca="false">IF(A2784="","",IF(F2784="Inactivo","No","Sí"))</f>
        <v/>
      </c>
      <c r="K2784" s="26" t="str">
        <f aca="false">IF(A2784="","",IF(AND(I2784="Sí",J2784="Sí"),"Sí","No"))</f>
        <v/>
      </c>
    </row>
    <row r="2785" customFormat="false" ht="15" hidden="false" customHeight="false" outlineLevel="0" collapsed="false">
      <c r="A2785" s="22"/>
      <c r="B2785" s="22"/>
      <c r="C2785" s="23" t="str">
        <f aca="false">IF(A2785="","",IFERROR(buscarx(A2785&amp;B2785,DATA!$E$3:$E$10000&amp;DATA!$B$3:$B$10000,DATA!$M$3:$M$10000),"No encontrado"))</f>
        <v/>
      </c>
      <c r="D2785" s="24" t="str">
        <f aca="false">IF(A2785="","",IFERROR(buscarx(A2785&amp;B2785,DATA!$E$3:$E$10000&amp;DATA!$B$3:$B$10000,DATA!$W$3:$W$10000),"No encontrado"))</f>
        <v/>
      </c>
      <c r="E2785" s="22"/>
      <c r="F2785" s="23" t="str">
        <f aca="false">IF(A2785="","",IFERROR(buscarx(A2785&amp;E2785,DATA!$E$3:$E$10000&amp;DATA!$B$3:$B$10000,DATA!$M$3:$M$10000),"Inactivo"))</f>
        <v/>
      </c>
      <c r="G2785" s="25" t="str">
        <f aca="false">IF(A2785="","",IF(AND(C2785&lt;&gt;"No encontrado",F2785&lt;&gt;"Inactivo"),C2785&amp;" → "&amp;F2785,"Sin transición"))</f>
        <v/>
      </c>
      <c r="H2785" s="23" t="str">
        <f aca="false">IF(A2785="","",IF(D2785="GCIA LINEA SERVICIO DIGITALIDAD Y VENTAS","Chats",IF(OR(D2785="GERENCIA INBOUND LÍNEAS SERVICIO Y VENTA",D2785="GERENCIA INBOUND LINEAS ESPECIALIZADAS"),"Llamadas","Otro")))</f>
        <v/>
      </c>
      <c r="I2785" s="23" t="str">
        <f aca="false">IF(A2785="","",IF(C2785="No encontrado","No","Sí"))</f>
        <v/>
      </c>
      <c r="J2785" s="23" t="str">
        <f aca="false">IF(A2785="","",IF(F2785="Inactivo","No","Sí"))</f>
        <v/>
      </c>
      <c r="K2785" s="23" t="str">
        <f aca="false">IF(A2785="","",IF(AND(I2785="Sí",J2785="Sí"),"Sí","No"))</f>
        <v/>
      </c>
    </row>
    <row r="2786" customFormat="false" ht="15" hidden="false" customHeight="false" outlineLevel="0" collapsed="false">
      <c r="A2786" s="22"/>
      <c r="B2786" s="22"/>
      <c r="C2786" s="26" t="str">
        <f aca="false">IF(A2786="","",IFERROR(buscarx(A2786&amp;B2786,DATA!$E$3:$E$10000&amp;DATA!$B$3:$B$10000,DATA!$M$3:$M$10000),"No encontrado"))</f>
        <v/>
      </c>
      <c r="D2786" s="27" t="str">
        <f aca="false">IF(A2786="","",IFERROR(buscarx(A2786&amp;B2786,DATA!$E$3:$E$10000&amp;DATA!$B$3:$B$10000,DATA!$W$3:$W$10000),"No encontrado"))</f>
        <v/>
      </c>
      <c r="E2786" s="22"/>
      <c r="F2786" s="26" t="str">
        <f aca="false">IF(A2786="","",IFERROR(buscarx(A2786&amp;E2786,DATA!$E$3:$E$10000&amp;DATA!$B$3:$B$10000,DATA!$M$3:$M$10000),"Inactivo"))</f>
        <v/>
      </c>
      <c r="G2786" s="28" t="str">
        <f aca="false">IF(A2786="","",IF(AND(C2786&lt;&gt;"No encontrado",F2786&lt;&gt;"Inactivo"),C2786&amp;" → "&amp;F2786,"Sin transición"))</f>
        <v/>
      </c>
      <c r="H2786" s="26" t="str">
        <f aca="false">IF(A2786="","",IF(D2786="GCIA LINEA SERVICIO DIGITALIDAD Y VENTAS","Chats",IF(OR(D2786="GERENCIA INBOUND LÍNEAS SERVICIO Y VENTA",D2786="GERENCIA INBOUND LINEAS ESPECIALIZADAS"),"Llamadas","Otro")))</f>
        <v/>
      </c>
      <c r="I2786" s="26" t="str">
        <f aca="false">IF(A2786="","",IF(C2786="No encontrado","No","Sí"))</f>
        <v/>
      </c>
      <c r="J2786" s="26" t="str">
        <f aca="false">IF(A2786="","",IF(F2786="Inactivo","No","Sí"))</f>
        <v/>
      </c>
      <c r="K2786" s="26" t="str">
        <f aca="false">IF(A2786="","",IF(AND(I2786="Sí",J2786="Sí"),"Sí","No"))</f>
        <v/>
      </c>
    </row>
    <row r="2787" customFormat="false" ht="15" hidden="false" customHeight="false" outlineLevel="0" collapsed="false">
      <c r="A2787" s="22"/>
      <c r="B2787" s="22"/>
      <c r="C2787" s="23" t="str">
        <f aca="false">IF(A2787="","",IFERROR(buscarx(A2787&amp;B2787,DATA!$E$3:$E$10000&amp;DATA!$B$3:$B$10000,DATA!$M$3:$M$10000),"No encontrado"))</f>
        <v/>
      </c>
      <c r="D2787" s="24" t="str">
        <f aca="false">IF(A2787="","",IFERROR(buscarx(A2787&amp;B2787,DATA!$E$3:$E$10000&amp;DATA!$B$3:$B$10000,DATA!$W$3:$W$10000),"No encontrado"))</f>
        <v/>
      </c>
      <c r="E2787" s="22"/>
      <c r="F2787" s="23" t="str">
        <f aca="false">IF(A2787="","",IFERROR(buscarx(A2787&amp;E2787,DATA!$E$3:$E$10000&amp;DATA!$B$3:$B$10000,DATA!$M$3:$M$10000),"Inactivo"))</f>
        <v/>
      </c>
      <c r="G2787" s="25" t="str">
        <f aca="false">IF(A2787="","",IF(AND(C2787&lt;&gt;"No encontrado",F2787&lt;&gt;"Inactivo"),C2787&amp;" → "&amp;F2787,"Sin transición"))</f>
        <v/>
      </c>
      <c r="H2787" s="23" t="str">
        <f aca="false">IF(A2787="","",IF(D2787="GCIA LINEA SERVICIO DIGITALIDAD Y VENTAS","Chats",IF(OR(D2787="GERENCIA INBOUND LÍNEAS SERVICIO Y VENTA",D2787="GERENCIA INBOUND LINEAS ESPECIALIZADAS"),"Llamadas","Otro")))</f>
        <v/>
      </c>
      <c r="I2787" s="23" t="str">
        <f aca="false">IF(A2787="","",IF(C2787="No encontrado","No","Sí"))</f>
        <v/>
      </c>
      <c r="J2787" s="23" t="str">
        <f aca="false">IF(A2787="","",IF(F2787="Inactivo","No","Sí"))</f>
        <v/>
      </c>
      <c r="K2787" s="23" t="str">
        <f aca="false">IF(A2787="","",IF(AND(I2787="Sí",J2787="Sí"),"Sí","No"))</f>
        <v/>
      </c>
    </row>
    <row r="2788" customFormat="false" ht="15" hidden="false" customHeight="false" outlineLevel="0" collapsed="false">
      <c r="A2788" s="22"/>
      <c r="B2788" s="22"/>
      <c r="C2788" s="26" t="str">
        <f aca="false">IF(A2788="","",IFERROR(buscarx(A2788&amp;B2788,DATA!$E$3:$E$10000&amp;DATA!$B$3:$B$10000,DATA!$M$3:$M$10000),"No encontrado"))</f>
        <v/>
      </c>
      <c r="D2788" s="27" t="str">
        <f aca="false">IF(A2788="","",IFERROR(buscarx(A2788&amp;B2788,DATA!$E$3:$E$10000&amp;DATA!$B$3:$B$10000,DATA!$W$3:$W$10000),"No encontrado"))</f>
        <v/>
      </c>
      <c r="E2788" s="22"/>
      <c r="F2788" s="26" t="str">
        <f aca="false">IF(A2788="","",IFERROR(buscarx(A2788&amp;E2788,DATA!$E$3:$E$10000&amp;DATA!$B$3:$B$10000,DATA!$M$3:$M$10000),"Inactivo"))</f>
        <v/>
      </c>
      <c r="G2788" s="28" t="str">
        <f aca="false">IF(A2788="","",IF(AND(C2788&lt;&gt;"No encontrado",F2788&lt;&gt;"Inactivo"),C2788&amp;" → "&amp;F2788,"Sin transición"))</f>
        <v/>
      </c>
      <c r="H2788" s="26" t="str">
        <f aca="false">IF(A2788="","",IF(D2788="GCIA LINEA SERVICIO DIGITALIDAD Y VENTAS","Chats",IF(OR(D2788="GERENCIA INBOUND LÍNEAS SERVICIO Y VENTA",D2788="GERENCIA INBOUND LINEAS ESPECIALIZADAS"),"Llamadas","Otro")))</f>
        <v/>
      </c>
      <c r="I2788" s="26" t="str">
        <f aca="false">IF(A2788="","",IF(C2788="No encontrado","No","Sí"))</f>
        <v/>
      </c>
      <c r="J2788" s="26" t="str">
        <f aca="false">IF(A2788="","",IF(F2788="Inactivo","No","Sí"))</f>
        <v/>
      </c>
      <c r="K2788" s="26" t="str">
        <f aca="false">IF(A2788="","",IF(AND(I2788="Sí",J2788="Sí"),"Sí","No"))</f>
        <v/>
      </c>
    </row>
    <row r="2789" customFormat="false" ht="15" hidden="false" customHeight="false" outlineLevel="0" collapsed="false">
      <c r="A2789" s="22"/>
      <c r="B2789" s="22"/>
      <c r="C2789" s="23" t="str">
        <f aca="false">IF(A2789="","",IFERROR(buscarx(A2789&amp;B2789,DATA!$E$3:$E$10000&amp;DATA!$B$3:$B$10000,DATA!$M$3:$M$10000),"No encontrado"))</f>
        <v/>
      </c>
      <c r="D2789" s="24" t="str">
        <f aca="false">IF(A2789="","",IFERROR(buscarx(A2789&amp;B2789,DATA!$E$3:$E$10000&amp;DATA!$B$3:$B$10000,DATA!$W$3:$W$10000),"No encontrado"))</f>
        <v/>
      </c>
      <c r="E2789" s="22"/>
      <c r="F2789" s="23" t="str">
        <f aca="false">IF(A2789="","",IFERROR(buscarx(A2789&amp;E2789,DATA!$E$3:$E$10000&amp;DATA!$B$3:$B$10000,DATA!$M$3:$M$10000),"Inactivo"))</f>
        <v/>
      </c>
      <c r="G2789" s="25" t="str">
        <f aca="false">IF(A2789="","",IF(AND(C2789&lt;&gt;"No encontrado",F2789&lt;&gt;"Inactivo"),C2789&amp;" → "&amp;F2789,"Sin transición"))</f>
        <v/>
      </c>
      <c r="H2789" s="23" t="str">
        <f aca="false">IF(A2789="","",IF(D2789="GCIA LINEA SERVICIO DIGITALIDAD Y VENTAS","Chats",IF(OR(D2789="GERENCIA INBOUND LÍNEAS SERVICIO Y VENTA",D2789="GERENCIA INBOUND LINEAS ESPECIALIZADAS"),"Llamadas","Otro")))</f>
        <v/>
      </c>
      <c r="I2789" s="23" t="str">
        <f aca="false">IF(A2789="","",IF(C2789="No encontrado","No","Sí"))</f>
        <v/>
      </c>
      <c r="J2789" s="23" t="str">
        <f aca="false">IF(A2789="","",IF(F2789="Inactivo","No","Sí"))</f>
        <v/>
      </c>
      <c r="K2789" s="23" t="str">
        <f aca="false">IF(A2789="","",IF(AND(I2789="Sí",J2789="Sí"),"Sí","No"))</f>
        <v/>
      </c>
    </row>
    <row r="2790" customFormat="false" ht="15" hidden="false" customHeight="false" outlineLevel="0" collapsed="false">
      <c r="A2790" s="22"/>
      <c r="B2790" s="22"/>
      <c r="C2790" s="26" t="str">
        <f aca="false">IF(A2790="","",IFERROR(buscarx(A2790&amp;B2790,DATA!$E$3:$E$10000&amp;DATA!$B$3:$B$10000,DATA!$M$3:$M$10000),"No encontrado"))</f>
        <v/>
      </c>
      <c r="D2790" s="27" t="str">
        <f aca="false">IF(A2790="","",IFERROR(buscarx(A2790&amp;B2790,DATA!$E$3:$E$10000&amp;DATA!$B$3:$B$10000,DATA!$W$3:$W$10000),"No encontrado"))</f>
        <v/>
      </c>
      <c r="E2790" s="22"/>
      <c r="F2790" s="26" t="str">
        <f aca="false">IF(A2790="","",IFERROR(buscarx(A2790&amp;E2790,DATA!$E$3:$E$10000&amp;DATA!$B$3:$B$10000,DATA!$M$3:$M$10000),"Inactivo"))</f>
        <v/>
      </c>
      <c r="G2790" s="28" t="str">
        <f aca="false">IF(A2790="","",IF(AND(C2790&lt;&gt;"No encontrado",F2790&lt;&gt;"Inactivo"),C2790&amp;" → "&amp;F2790,"Sin transición"))</f>
        <v/>
      </c>
      <c r="H2790" s="26" t="str">
        <f aca="false">IF(A2790="","",IF(D2790="GCIA LINEA SERVICIO DIGITALIDAD Y VENTAS","Chats",IF(OR(D2790="GERENCIA INBOUND LÍNEAS SERVICIO Y VENTA",D2790="GERENCIA INBOUND LINEAS ESPECIALIZADAS"),"Llamadas","Otro")))</f>
        <v/>
      </c>
      <c r="I2790" s="26" t="str">
        <f aca="false">IF(A2790="","",IF(C2790="No encontrado","No","Sí"))</f>
        <v/>
      </c>
      <c r="J2790" s="26" t="str">
        <f aca="false">IF(A2790="","",IF(F2790="Inactivo","No","Sí"))</f>
        <v/>
      </c>
      <c r="K2790" s="26" t="str">
        <f aca="false">IF(A2790="","",IF(AND(I2790="Sí",J2790="Sí"),"Sí","No"))</f>
        <v/>
      </c>
    </row>
    <row r="2791" customFormat="false" ht="15" hidden="false" customHeight="false" outlineLevel="0" collapsed="false">
      <c r="A2791" s="22"/>
      <c r="B2791" s="22"/>
      <c r="C2791" s="23" t="str">
        <f aca="false">IF(A2791="","",IFERROR(buscarx(A2791&amp;B2791,DATA!$E$3:$E$10000&amp;DATA!$B$3:$B$10000,DATA!$M$3:$M$10000),"No encontrado"))</f>
        <v/>
      </c>
      <c r="D2791" s="24" t="str">
        <f aca="false">IF(A2791="","",IFERROR(buscarx(A2791&amp;B2791,DATA!$E$3:$E$10000&amp;DATA!$B$3:$B$10000,DATA!$W$3:$W$10000),"No encontrado"))</f>
        <v/>
      </c>
      <c r="E2791" s="22"/>
      <c r="F2791" s="23" t="str">
        <f aca="false">IF(A2791="","",IFERROR(buscarx(A2791&amp;E2791,DATA!$E$3:$E$10000&amp;DATA!$B$3:$B$10000,DATA!$M$3:$M$10000),"Inactivo"))</f>
        <v/>
      </c>
      <c r="G2791" s="25" t="str">
        <f aca="false">IF(A2791="","",IF(AND(C2791&lt;&gt;"No encontrado",F2791&lt;&gt;"Inactivo"),C2791&amp;" → "&amp;F2791,"Sin transición"))</f>
        <v/>
      </c>
      <c r="H2791" s="23" t="str">
        <f aca="false">IF(A2791="","",IF(D2791="GCIA LINEA SERVICIO DIGITALIDAD Y VENTAS","Chats",IF(OR(D2791="GERENCIA INBOUND LÍNEAS SERVICIO Y VENTA",D2791="GERENCIA INBOUND LINEAS ESPECIALIZADAS"),"Llamadas","Otro")))</f>
        <v/>
      </c>
      <c r="I2791" s="23" t="str">
        <f aca="false">IF(A2791="","",IF(C2791="No encontrado","No","Sí"))</f>
        <v/>
      </c>
      <c r="J2791" s="23" t="str">
        <f aca="false">IF(A2791="","",IF(F2791="Inactivo","No","Sí"))</f>
        <v/>
      </c>
      <c r="K2791" s="23" t="str">
        <f aca="false">IF(A2791="","",IF(AND(I2791="Sí",J2791="Sí"),"Sí","No"))</f>
        <v/>
      </c>
    </row>
    <row r="2792" customFormat="false" ht="15" hidden="false" customHeight="false" outlineLevel="0" collapsed="false">
      <c r="A2792" s="22"/>
      <c r="B2792" s="22"/>
      <c r="C2792" s="26" t="str">
        <f aca="false">IF(A2792="","",IFERROR(buscarx(A2792&amp;B2792,DATA!$E$3:$E$10000&amp;DATA!$B$3:$B$10000,DATA!$M$3:$M$10000),"No encontrado"))</f>
        <v/>
      </c>
      <c r="D2792" s="27" t="str">
        <f aca="false">IF(A2792="","",IFERROR(buscarx(A2792&amp;B2792,DATA!$E$3:$E$10000&amp;DATA!$B$3:$B$10000,DATA!$W$3:$W$10000),"No encontrado"))</f>
        <v/>
      </c>
      <c r="E2792" s="22"/>
      <c r="F2792" s="26" t="str">
        <f aca="false">IF(A2792="","",IFERROR(buscarx(A2792&amp;E2792,DATA!$E$3:$E$10000&amp;DATA!$B$3:$B$10000,DATA!$M$3:$M$10000),"Inactivo"))</f>
        <v/>
      </c>
      <c r="G2792" s="28" t="str">
        <f aca="false">IF(A2792="","",IF(AND(C2792&lt;&gt;"No encontrado",F2792&lt;&gt;"Inactivo"),C2792&amp;" → "&amp;F2792,"Sin transición"))</f>
        <v/>
      </c>
      <c r="H2792" s="26" t="str">
        <f aca="false">IF(A2792="","",IF(D2792="GCIA LINEA SERVICIO DIGITALIDAD Y VENTAS","Chats",IF(OR(D2792="GERENCIA INBOUND LÍNEAS SERVICIO Y VENTA",D2792="GERENCIA INBOUND LINEAS ESPECIALIZADAS"),"Llamadas","Otro")))</f>
        <v/>
      </c>
      <c r="I2792" s="26" t="str">
        <f aca="false">IF(A2792="","",IF(C2792="No encontrado","No","Sí"))</f>
        <v/>
      </c>
      <c r="J2792" s="26" t="str">
        <f aca="false">IF(A2792="","",IF(F2792="Inactivo","No","Sí"))</f>
        <v/>
      </c>
      <c r="K2792" s="26" t="str">
        <f aca="false">IF(A2792="","",IF(AND(I2792="Sí",J2792="Sí"),"Sí","No"))</f>
        <v/>
      </c>
    </row>
    <row r="2793" customFormat="false" ht="15" hidden="false" customHeight="false" outlineLevel="0" collapsed="false">
      <c r="A2793" s="22"/>
      <c r="B2793" s="22"/>
      <c r="C2793" s="23" t="str">
        <f aca="false">IF(A2793="","",IFERROR(buscarx(A2793&amp;B2793,DATA!$E$3:$E$10000&amp;DATA!$B$3:$B$10000,DATA!$M$3:$M$10000),"No encontrado"))</f>
        <v/>
      </c>
      <c r="D2793" s="24" t="str">
        <f aca="false">IF(A2793="","",IFERROR(buscarx(A2793&amp;B2793,DATA!$E$3:$E$10000&amp;DATA!$B$3:$B$10000,DATA!$W$3:$W$10000),"No encontrado"))</f>
        <v/>
      </c>
      <c r="E2793" s="22"/>
      <c r="F2793" s="23" t="str">
        <f aca="false">IF(A2793="","",IFERROR(buscarx(A2793&amp;E2793,DATA!$E$3:$E$10000&amp;DATA!$B$3:$B$10000,DATA!$M$3:$M$10000),"Inactivo"))</f>
        <v/>
      </c>
      <c r="G2793" s="25" t="str">
        <f aca="false">IF(A2793="","",IF(AND(C2793&lt;&gt;"No encontrado",F2793&lt;&gt;"Inactivo"),C2793&amp;" → "&amp;F2793,"Sin transición"))</f>
        <v/>
      </c>
      <c r="H2793" s="23" t="str">
        <f aca="false">IF(A2793="","",IF(D2793="GCIA LINEA SERVICIO DIGITALIDAD Y VENTAS","Chats",IF(OR(D2793="GERENCIA INBOUND LÍNEAS SERVICIO Y VENTA",D2793="GERENCIA INBOUND LINEAS ESPECIALIZADAS"),"Llamadas","Otro")))</f>
        <v/>
      </c>
      <c r="I2793" s="23" t="str">
        <f aca="false">IF(A2793="","",IF(C2793="No encontrado","No","Sí"))</f>
        <v/>
      </c>
      <c r="J2793" s="23" t="str">
        <f aca="false">IF(A2793="","",IF(F2793="Inactivo","No","Sí"))</f>
        <v/>
      </c>
      <c r="K2793" s="23" t="str">
        <f aca="false">IF(A2793="","",IF(AND(I2793="Sí",J2793="Sí"),"Sí","No"))</f>
        <v/>
      </c>
    </row>
    <row r="2794" customFormat="false" ht="15" hidden="false" customHeight="false" outlineLevel="0" collapsed="false">
      <c r="A2794" s="22"/>
      <c r="B2794" s="22"/>
      <c r="C2794" s="26" t="str">
        <f aca="false">IF(A2794="","",IFERROR(buscarx(A2794&amp;B2794,DATA!$E$3:$E$10000&amp;DATA!$B$3:$B$10000,DATA!$M$3:$M$10000),"No encontrado"))</f>
        <v/>
      </c>
      <c r="D2794" s="27" t="str">
        <f aca="false">IF(A2794="","",IFERROR(buscarx(A2794&amp;B2794,DATA!$E$3:$E$10000&amp;DATA!$B$3:$B$10000,DATA!$W$3:$W$10000),"No encontrado"))</f>
        <v/>
      </c>
      <c r="E2794" s="22"/>
      <c r="F2794" s="26" t="str">
        <f aca="false">IF(A2794="","",IFERROR(buscarx(A2794&amp;E2794,DATA!$E$3:$E$10000&amp;DATA!$B$3:$B$10000,DATA!$M$3:$M$10000),"Inactivo"))</f>
        <v/>
      </c>
      <c r="G2794" s="28" t="str">
        <f aca="false">IF(A2794="","",IF(AND(C2794&lt;&gt;"No encontrado",F2794&lt;&gt;"Inactivo"),C2794&amp;" → "&amp;F2794,"Sin transición"))</f>
        <v/>
      </c>
      <c r="H2794" s="26" t="str">
        <f aca="false">IF(A2794="","",IF(D2794="GCIA LINEA SERVICIO DIGITALIDAD Y VENTAS","Chats",IF(OR(D2794="GERENCIA INBOUND LÍNEAS SERVICIO Y VENTA",D2794="GERENCIA INBOUND LINEAS ESPECIALIZADAS"),"Llamadas","Otro")))</f>
        <v/>
      </c>
      <c r="I2794" s="26" t="str">
        <f aca="false">IF(A2794="","",IF(C2794="No encontrado","No","Sí"))</f>
        <v/>
      </c>
      <c r="J2794" s="26" t="str">
        <f aca="false">IF(A2794="","",IF(F2794="Inactivo","No","Sí"))</f>
        <v/>
      </c>
      <c r="K2794" s="26" t="str">
        <f aca="false">IF(A2794="","",IF(AND(I2794="Sí",J2794="Sí"),"Sí","No"))</f>
        <v/>
      </c>
    </row>
    <row r="2795" customFormat="false" ht="15" hidden="false" customHeight="false" outlineLevel="0" collapsed="false">
      <c r="A2795" s="22"/>
      <c r="B2795" s="22"/>
      <c r="C2795" s="23" t="str">
        <f aca="false">IF(A2795="","",IFERROR(buscarx(A2795&amp;B2795,DATA!$E$3:$E$10000&amp;DATA!$B$3:$B$10000,DATA!$M$3:$M$10000),"No encontrado"))</f>
        <v/>
      </c>
      <c r="D2795" s="24" t="str">
        <f aca="false">IF(A2795="","",IFERROR(buscarx(A2795&amp;B2795,DATA!$E$3:$E$10000&amp;DATA!$B$3:$B$10000,DATA!$W$3:$W$10000),"No encontrado"))</f>
        <v/>
      </c>
      <c r="E2795" s="22"/>
      <c r="F2795" s="23" t="str">
        <f aca="false">IF(A2795="","",IFERROR(buscarx(A2795&amp;E2795,DATA!$E$3:$E$10000&amp;DATA!$B$3:$B$10000,DATA!$M$3:$M$10000),"Inactivo"))</f>
        <v/>
      </c>
      <c r="G2795" s="25" t="str">
        <f aca="false">IF(A2795="","",IF(AND(C2795&lt;&gt;"No encontrado",F2795&lt;&gt;"Inactivo"),C2795&amp;" → "&amp;F2795,"Sin transición"))</f>
        <v/>
      </c>
      <c r="H2795" s="23" t="str">
        <f aca="false">IF(A2795="","",IF(D2795="GCIA LINEA SERVICIO DIGITALIDAD Y VENTAS","Chats",IF(OR(D2795="GERENCIA INBOUND LÍNEAS SERVICIO Y VENTA",D2795="GERENCIA INBOUND LINEAS ESPECIALIZADAS"),"Llamadas","Otro")))</f>
        <v/>
      </c>
      <c r="I2795" s="23" t="str">
        <f aca="false">IF(A2795="","",IF(C2795="No encontrado","No","Sí"))</f>
        <v/>
      </c>
      <c r="J2795" s="23" t="str">
        <f aca="false">IF(A2795="","",IF(F2795="Inactivo","No","Sí"))</f>
        <v/>
      </c>
      <c r="K2795" s="23" t="str">
        <f aca="false">IF(A2795="","",IF(AND(I2795="Sí",J2795="Sí"),"Sí","No"))</f>
        <v/>
      </c>
    </row>
    <row r="2796" customFormat="false" ht="15" hidden="false" customHeight="false" outlineLevel="0" collapsed="false">
      <c r="A2796" s="22"/>
      <c r="B2796" s="22"/>
      <c r="C2796" s="26" t="str">
        <f aca="false">IF(A2796="","",IFERROR(buscarx(A2796&amp;B2796,DATA!$E$3:$E$10000&amp;DATA!$B$3:$B$10000,DATA!$M$3:$M$10000),"No encontrado"))</f>
        <v/>
      </c>
      <c r="D2796" s="27" t="str">
        <f aca="false">IF(A2796="","",IFERROR(buscarx(A2796&amp;B2796,DATA!$E$3:$E$10000&amp;DATA!$B$3:$B$10000,DATA!$W$3:$W$10000),"No encontrado"))</f>
        <v/>
      </c>
      <c r="E2796" s="22"/>
      <c r="F2796" s="26" t="str">
        <f aca="false">IF(A2796="","",IFERROR(buscarx(A2796&amp;E2796,DATA!$E$3:$E$10000&amp;DATA!$B$3:$B$10000,DATA!$M$3:$M$10000),"Inactivo"))</f>
        <v/>
      </c>
      <c r="G2796" s="28" t="str">
        <f aca="false">IF(A2796="","",IF(AND(C2796&lt;&gt;"No encontrado",F2796&lt;&gt;"Inactivo"),C2796&amp;" → "&amp;F2796,"Sin transición"))</f>
        <v/>
      </c>
      <c r="H2796" s="26" t="str">
        <f aca="false">IF(A2796="","",IF(D2796="GCIA LINEA SERVICIO DIGITALIDAD Y VENTAS","Chats",IF(OR(D2796="GERENCIA INBOUND LÍNEAS SERVICIO Y VENTA",D2796="GERENCIA INBOUND LINEAS ESPECIALIZADAS"),"Llamadas","Otro")))</f>
        <v/>
      </c>
      <c r="I2796" s="26" t="str">
        <f aca="false">IF(A2796="","",IF(C2796="No encontrado","No","Sí"))</f>
        <v/>
      </c>
      <c r="J2796" s="26" t="str">
        <f aca="false">IF(A2796="","",IF(F2796="Inactivo","No","Sí"))</f>
        <v/>
      </c>
      <c r="K2796" s="26" t="str">
        <f aca="false">IF(A2796="","",IF(AND(I2796="Sí",J2796="Sí"),"Sí","No"))</f>
        <v/>
      </c>
    </row>
    <row r="2797" customFormat="false" ht="15" hidden="false" customHeight="false" outlineLevel="0" collapsed="false">
      <c r="A2797" s="22"/>
      <c r="B2797" s="22"/>
      <c r="C2797" s="23" t="str">
        <f aca="false">IF(A2797="","",IFERROR(buscarx(A2797&amp;B2797,DATA!$E$3:$E$10000&amp;DATA!$B$3:$B$10000,DATA!$M$3:$M$10000),"No encontrado"))</f>
        <v/>
      </c>
      <c r="D2797" s="24" t="str">
        <f aca="false">IF(A2797="","",IFERROR(buscarx(A2797&amp;B2797,DATA!$E$3:$E$10000&amp;DATA!$B$3:$B$10000,DATA!$W$3:$W$10000),"No encontrado"))</f>
        <v/>
      </c>
      <c r="E2797" s="22"/>
      <c r="F2797" s="23" t="str">
        <f aca="false">IF(A2797="","",IFERROR(buscarx(A2797&amp;E2797,DATA!$E$3:$E$10000&amp;DATA!$B$3:$B$10000,DATA!$M$3:$M$10000),"Inactivo"))</f>
        <v/>
      </c>
      <c r="G2797" s="25" t="str">
        <f aca="false">IF(A2797="","",IF(AND(C2797&lt;&gt;"No encontrado",F2797&lt;&gt;"Inactivo"),C2797&amp;" → "&amp;F2797,"Sin transición"))</f>
        <v/>
      </c>
      <c r="H2797" s="23" t="str">
        <f aca="false">IF(A2797="","",IF(D2797="GCIA LINEA SERVICIO DIGITALIDAD Y VENTAS","Chats",IF(OR(D2797="GERENCIA INBOUND LÍNEAS SERVICIO Y VENTA",D2797="GERENCIA INBOUND LINEAS ESPECIALIZADAS"),"Llamadas","Otro")))</f>
        <v/>
      </c>
      <c r="I2797" s="23" t="str">
        <f aca="false">IF(A2797="","",IF(C2797="No encontrado","No","Sí"))</f>
        <v/>
      </c>
      <c r="J2797" s="23" t="str">
        <f aca="false">IF(A2797="","",IF(F2797="Inactivo","No","Sí"))</f>
        <v/>
      </c>
      <c r="K2797" s="23" t="str">
        <f aca="false">IF(A2797="","",IF(AND(I2797="Sí",J2797="Sí"),"Sí","No"))</f>
        <v/>
      </c>
    </row>
    <row r="2798" customFormat="false" ht="15" hidden="false" customHeight="false" outlineLevel="0" collapsed="false">
      <c r="A2798" s="22"/>
      <c r="B2798" s="22"/>
      <c r="C2798" s="26" t="str">
        <f aca="false">IF(A2798="","",IFERROR(buscarx(A2798&amp;B2798,DATA!$E$3:$E$10000&amp;DATA!$B$3:$B$10000,DATA!$M$3:$M$10000),"No encontrado"))</f>
        <v/>
      </c>
      <c r="D2798" s="27" t="str">
        <f aca="false">IF(A2798="","",IFERROR(buscarx(A2798&amp;B2798,DATA!$E$3:$E$10000&amp;DATA!$B$3:$B$10000,DATA!$W$3:$W$10000),"No encontrado"))</f>
        <v/>
      </c>
      <c r="E2798" s="22"/>
      <c r="F2798" s="26" t="str">
        <f aca="false">IF(A2798="","",IFERROR(buscarx(A2798&amp;E2798,DATA!$E$3:$E$10000&amp;DATA!$B$3:$B$10000,DATA!$M$3:$M$10000),"Inactivo"))</f>
        <v/>
      </c>
      <c r="G2798" s="28" t="str">
        <f aca="false">IF(A2798="","",IF(AND(C2798&lt;&gt;"No encontrado",F2798&lt;&gt;"Inactivo"),C2798&amp;" → "&amp;F2798,"Sin transición"))</f>
        <v/>
      </c>
      <c r="H2798" s="26" t="str">
        <f aca="false">IF(A2798="","",IF(D2798="GCIA LINEA SERVICIO DIGITALIDAD Y VENTAS","Chats",IF(OR(D2798="GERENCIA INBOUND LÍNEAS SERVICIO Y VENTA",D2798="GERENCIA INBOUND LINEAS ESPECIALIZADAS"),"Llamadas","Otro")))</f>
        <v/>
      </c>
      <c r="I2798" s="26" t="str">
        <f aca="false">IF(A2798="","",IF(C2798="No encontrado","No","Sí"))</f>
        <v/>
      </c>
      <c r="J2798" s="26" t="str">
        <f aca="false">IF(A2798="","",IF(F2798="Inactivo","No","Sí"))</f>
        <v/>
      </c>
      <c r="K2798" s="26" t="str">
        <f aca="false">IF(A2798="","",IF(AND(I2798="Sí",J2798="Sí"),"Sí","No"))</f>
        <v/>
      </c>
    </row>
    <row r="2799" customFormat="false" ht="15" hidden="false" customHeight="false" outlineLevel="0" collapsed="false">
      <c r="A2799" s="22"/>
      <c r="B2799" s="22"/>
      <c r="C2799" s="23" t="str">
        <f aca="false">IF(A2799="","",IFERROR(buscarx(A2799&amp;B2799,DATA!$E$3:$E$10000&amp;DATA!$B$3:$B$10000,DATA!$M$3:$M$10000),"No encontrado"))</f>
        <v/>
      </c>
      <c r="D2799" s="24" t="str">
        <f aca="false">IF(A2799="","",IFERROR(buscarx(A2799&amp;B2799,DATA!$E$3:$E$10000&amp;DATA!$B$3:$B$10000,DATA!$W$3:$W$10000),"No encontrado"))</f>
        <v/>
      </c>
      <c r="E2799" s="22"/>
      <c r="F2799" s="23" t="str">
        <f aca="false">IF(A2799="","",IFERROR(buscarx(A2799&amp;E2799,DATA!$E$3:$E$10000&amp;DATA!$B$3:$B$10000,DATA!$M$3:$M$10000),"Inactivo"))</f>
        <v/>
      </c>
      <c r="G2799" s="25" t="str">
        <f aca="false">IF(A2799="","",IF(AND(C2799&lt;&gt;"No encontrado",F2799&lt;&gt;"Inactivo"),C2799&amp;" → "&amp;F2799,"Sin transición"))</f>
        <v/>
      </c>
      <c r="H2799" s="23" t="str">
        <f aca="false">IF(A2799="","",IF(D2799="GCIA LINEA SERVICIO DIGITALIDAD Y VENTAS","Chats",IF(OR(D2799="GERENCIA INBOUND LÍNEAS SERVICIO Y VENTA",D2799="GERENCIA INBOUND LINEAS ESPECIALIZADAS"),"Llamadas","Otro")))</f>
        <v/>
      </c>
      <c r="I2799" s="23" t="str">
        <f aca="false">IF(A2799="","",IF(C2799="No encontrado","No","Sí"))</f>
        <v/>
      </c>
      <c r="J2799" s="23" t="str">
        <f aca="false">IF(A2799="","",IF(F2799="Inactivo","No","Sí"))</f>
        <v/>
      </c>
      <c r="K2799" s="23" t="str">
        <f aca="false">IF(A2799="","",IF(AND(I2799="Sí",J2799="Sí"),"Sí","No"))</f>
        <v/>
      </c>
    </row>
    <row r="2800" customFormat="false" ht="15" hidden="false" customHeight="false" outlineLevel="0" collapsed="false">
      <c r="A2800" s="22"/>
      <c r="B2800" s="22"/>
      <c r="C2800" s="26" t="str">
        <f aca="false">IF(A2800="","",IFERROR(buscarx(A2800&amp;B2800,DATA!$E$3:$E$10000&amp;DATA!$B$3:$B$10000,DATA!$M$3:$M$10000),"No encontrado"))</f>
        <v/>
      </c>
      <c r="D2800" s="27" t="str">
        <f aca="false">IF(A2800="","",IFERROR(buscarx(A2800&amp;B2800,DATA!$E$3:$E$10000&amp;DATA!$B$3:$B$10000,DATA!$W$3:$W$10000),"No encontrado"))</f>
        <v/>
      </c>
      <c r="E2800" s="22"/>
      <c r="F2800" s="26" t="str">
        <f aca="false">IF(A2800="","",IFERROR(buscarx(A2800&amp;E2800,DATA!$E$3:$E$10000&amp;DATA!$B$3:$B$10000,DATA!$M$3:$M$10000),"Inactivo"))</f>
        <v/>
      </c>
      <c r="G2800" s="28" t="str">
        <f aca="false">IF(A2800="","",IF(AND(C2800&lt;&gt;"No encontrado",F2800&lt;&gt;"Inactivo"),C2800&amp;" → "&amp;F2800,"Sin transición"))</f>
        <v/>
      </c>
      <c r="H2800" s="26" t="str">
        <f aca="false">IF(A2800="","",IF(D2800="GCIA LINEA SERVICIO DIGITALIDAD Y VENTAS","Chats",IF(OR(D2800="GERENCIA INBOUND LÍNEAS SERVICIO Y VENTA",D2800="GERENCIA INBOUND LINEAS ESPECIALIZADAS"),"Llamadas","Otro")))</f>
        <v/>
      </c>
      <c r="I2800" s="26" t="str">
        <f aca="false">IF(A2800="","",IF(C2800="No encontrado","No","Sí"))</f>
        <v/>
      </c>
      <c r="J2800" s="26" t="str">
        <f aca="false">IF(A2800="","",IF(F2800="Inactivo","No","Sí"))</f>
        <v/>
      </c>
      <c r="K2800" s="26" t="str">
        <f aca="false">IF(A2800="","",IF(AND(I2800="Sí",J2800="Sí"),"Sí","No"))</f>
        <v/>
      </c>
    </row>
    <row r="2801" customFormat="false" ht="15" hidden="false" customHeight="false" outlineLevel="0" collapsed="false">
      <c r="A2801" s="22"/>
      <c r="B2801" s="22"/>
      <c r="C2801" s="23" t="str">
        <f aca="false">IF(A2801="","",IFERROR(buscarx(A2801&amp;B2801,DATA!$E$3:$E$10000&amp;DATA!$B$3:$B$10000,DATA!$M$3:$M$10000),"No encontrado"))</f>
        <v/>
      </c>
      <c r="D2801" s="24" t="str">
        <f aca="false">IF(A2801="","",IFERROR(buscarx(A2801&amp;B2801,DATA!$E$3:$E$10000&amp;DATA!$B$3:$B$10000,DATA!$W$3:$W$10000),"No encontrado"))</f>
        <v/>
      </c>
      <c r="E2801" s="22"/>
      <c r="F2801" s="23" t="str">
        <f aca="false">IF(A2801="","",IFERROR(buscarx(A2801&amp;E2801,DATA!$E$3:$E$10000&amp;DATA!$B$3:$B$10000,DATA!$M$3:$M$10000),"Inactivo"))</f>
        <v/>
      </c>
      <c r="G2801" s="25" t="str">
        <f aca="false">IF(A2801="","",IF(AND(C2801&lt;&gt;"No encontrado",F2801&lt;&gt;"Inactivo"),C2801&amp;" → "&amp;F2801,"Sin transición"))</f>
        <v/>
      </c>
      <c r="H2801" s="23" t="str">
        <f aca="false">IF(A2801="","",IF(D2801="GCIA LINEA SERVICIO DIGITALIDAD Y VENTAS","Chats",IF(OR(D2801="GERENCIA INBOUND LÍNEAS SERVICIO Y VENTA",D2801="GERENCIA INBOUND LINEAS ESPECIALIZADAS"),"Llamadas","Otro")))</f>
        <v/>
      </c>
      <c r="I2801" s="23" t="str">
        <f aca="false">IF(A2801="","",IF(C2801="No encontrado","No","Sí"))</f>
        <v/>
      </c>
      <c r="J2801" s="23" t="str">
        <f aca="false">IF(A2801="","",IF(F2801="Inactivo","No","Sí"))</f>
        <v/>
      </c>
      <c r="K2801" s="23" t="str">
        <f aca="false">IF(A2801="","",IF(AND(I2801="Sí",J2801="Sí"),"Sí","No"))</f>
        <v/>
      </c>
    </row>
    <row r="2802" customFormat="false" ht="15" hidden="false" customHeight="false" outlineLevel="0" collapsed="false">
      <c r="A2802" s="22"/>
      <c r="B2802" s="22"/>
      <c r="C2802" s="26" t="str">
        <f aca="false">IF(A2802="","",IFERROR(buscarx(A2802&amp;B2802,DATA!$E$3:$E$10000&amp;DATA!$B$3:$B$10000,DATA!$M$3:$M$10000),"No encontrado"))</f>
        <v/>
      </c>
      <c r="D2802" s="27" t="str">
        <f aca="false">IF(A2802="","",IFERROR(buscarx(A2802&amp;B2802,DATA!$E$3:$E$10000&amp;DATA!$B$3:$B$10000,DATA!$W$3:$W$10000),"No encontrado"))</f>
        <v/>
      </c>
      <c r="E2802" s="22"/>
      <c r="F2802" s="26" t="str">
        <f aca="false">IF(A2802="","",IFERROR(buscarx(A2802&amp;E2802,DATA!$E$3:$E$10000&amp;DATA!$B$3:$B$10000,DATA!$M$3:$M$10000),"Inactivo"))</f>
        <v/>
      </c>
      <c r="G2802" s="28" t="str">
        <f aca="false">IF(A2802="","",IF(AND(C2802&lt;&gt;"No encontrado",F2802&lt;&gt;"Inactivo"),C2802&amp;" → "&amp;F2802,"Sin transición"))</f>
        <v/>
      </c>
      <c r="H2802" s="26" t="str">
        <f aca="false">IF(A2802="","",IF(D2802="GCIA LINEA SERVICIO DIGITALIDAD Y VENTAS","Chats",IF(OR(D2802="GERENCIA INBOUND LÍNEAS SERVICIO Y VENTA",D2802="GERENCIA INBOUND LINEAS ESPECIALIZADAS"),"Llamadas","Otro")))</f>
        <v/>
      </c>
      <c r="I2802" s="26" t="str">
        <f aca="false">IF(A2802="","",IF(C2802="No encontrado","No","Sí"))</f>
        <v/>
      </c>
      <c r="J2802" s="26" t="str">
        <f aca="false">IF(A2802="","",IF(F2802="Inactivo","No","Sí"))</f>
        <v/>
      </c>
      <c r="K2802" s="26" t="str">
        <f aca="false">IF(A2802="","",IF(AND(I2802="Sí",J2802="Sí"),"Sí","No"))</f>
        <v/>
      </c>
    </row>
    <row r="2803" customFormat="false" ht="15" hidden="false" customHeight="false" outlineLevel="0" collapsed="false">
      <c r="A2803" s="22"/>
      <c r="B2803" s="22"/>
      <c r="C2803" s="23" t="str">
        <f aca="false">IF(A2803="","",IFERROR(buscarx(A2803&amp;B2803,DATA!$E$3:$E$10000&amp;DATA!$B$3:$B$10000,DATA!$M$3:$M$10000),"No encontrado"))</f>
        <v/>
      </c>
      <c r="D2803" s="24" t="str">
        <f aca="false">IF(A2803="","",IFERROR(buscarx(A2803&amp;B2803,DATA!$E$3:$E$10000&amp;DATA!$B$3:$B$10000,DATA!$W$3:$W$10000),"No encontrado"))</f>
        <v/>
      </c>
      <c r="E2803" s="22"/>
      <c r="F2803" s="23" t="str">
        <f aca="false">IF(A2803="","",IFERROR(buscarx(A2803&amp;E2803,DATA!$E$3:$E$10000&amp;DATA!$B$3:$B$10000,DATA!$M$3:$M$10000),"Inactivo"))</f>
        <v/>
      </c>
      <c r="G2803" s="25" t="str">
        <f aca="false">IF(A2803="","",IF(AND(C2803&lt;&gt;"No encontrado",F2803&lt;&gt;"Inactivo"),C2803&amp;" → "&amp;F2803,"Sin transición"))</f>
        <v/>
      </c>
      <c r="H2803" s="23" t="str">
        <f aca="false">IF(A2803="","",IF(D2803="GCIA LINEA SERVICIO DIGITALIDAD Y VENTAS","Chats",IF(OR(D2803="GERENCIA INBOUND LÍNEAS SERVICIO Y VENTA",D2803="GERENCIA INBOUND LINEAS ESPECIALIZADAS"),"Llamadas","Otro")))</f>
        <v/>
      </c>
      <c r="I2803" s="23" t="str">
        <f aca="false">IF(A2803="","",IF(C2803="No encontrado","No","Sí"))</f>
        <v/>
      </c>
      <c r="J2803" s="23" t="str">
        <f aca="false">IF(A2803="","",IF(F2803="Inactivo","No","Sí"))</f>
        <v/>
      </c>
      <c r="K2803" s="23" t="str">
        <f aca="false">IF(A2803="","",IF(AND(I2803="Sí",J2803="Sí"),"Sí","No"))</f>
        <v/>
      </c>
    </row>
    <row r="2804" customFormat="false" ht="15" hidden="false" customHeight="false" outlineLevel="0" collapsed="false">
      <c r="A2804" s="22"/>
      <c r="B2804" s="22"/>
      <c r="C2804" s="26" t="str">
        <f aca="false">IF(A2804="","",IFERROR(buscarx(A2804&amp;B2804,DATA!$E$3:$E$10000&amp;DATA!$B$3:$B$10000,DATA!$M$3:$M$10000),"No encontrado"))</f>
        <v/>
      </c>
      <c r="D2804" s="27" t="str">
        <f aca="false">IF(A2804="","",IFERROR(buscarx(A2804&amp;B2804,DATA!$E$3:$E$10000&amp;DATA!$B$3:$B$10000,DATA!$W$3:$W$10000),"No encontrado"))</f>
        <v/>
      </c>
      <c r="E2804" s="22"/>
      <c r="F2804" s="26" t="str">
        <f aca="false">IF(A2804="","",IFERROR(buscarx(A2804&amp;E2804,DATA!$E$3:$E$10000&amp;DATA!$B$3:$B$10000,DATA!$M$3:$M$10000),"Inactivo"))</f>
        <v/>
      </c>
      <c r="G2804" s="28" t="str">
        <f aca="false">IF(A2804="","",IF(AND(C2804&lt;&gt;"No encontrado",F2804&lt;&gt;"Inactivo"),C2804&amp;" → "&amp;F2804,"Sin transición"))</f>
        <v/>
      </c>
      <c r="H2804" s="26" t="str">
        <f aca="false">IF(A2804="","",IF(D2804="GCIA LINEA SERVICIO DIGITALIDAD Y VENTAS","Chats",IF(OR(D2804="GERENCIA INBOUND LÍNEAS SERVICIO Y VENTA",D2804="GERENCIA INBOUND LINEAS ESPECIALIZADAS"),"Llamadas","Otro")))</f>
        <v/>
      </c>
      <c r="I2804" s="26" t="str">
        <f aca="false">IF(A2804="","",IF(C2804="No encontrado","No","Sí"))</f>
        <v/>
      </c>
      <c r="J2804" s="26" t="str">
        <f aca="false">IF(A2804="","",IF(F2804="Inactivo","No","Sí"))</f>
        <v/>
      </c>
      <c r="K2804" s="26" t="str">
        <f aca="false">IF(A2804="","",IF(AND(I2804="Sí",J2804="Sí"),"Sí","No"))</f>
        <v/>
      </c>
    </row>
    <row r="2805" customFormat="false" ht="15" hidden="false" customHeight="false" outlineLevel="0" collapsed="false">
      <c r="A2805" s="22"/>
      <c r="B2805" s="22"/>
      <c r="C2805" s="23" t="str">
        <f aca="false">IF(A2805="","",IFERROR(buscarx(A2805&amp;B2805,DATA!$E$3:$E$10000&amp;DATA!$B$3:$B$10000,DATA!$M$3:$M$10000),"No encontrado"))</f>
        <v/>
      </c>
      <c r="D2805" s="24" t="str">
        <f aca="false">IF(A2805="","",IFERROR(buscarx(A2805&amp;B2805,DATA!$E$3:$E$10000&amp;DATA!$B$3:$B$10000,DATA!$W$3:$W$10000),"No encontrado"))</f>
        <v/>
      </c>
      <c r="E2805" s="22"/>
      <c r="F2805" s="23" t="str">
        <f aca="false">IF(A2805="","",IFERROR(buscarx(A2805&amp;E2805,DATA!$E$3:$E$10000&amp;DATA!$B$3:$B$10000,DATA!$M$3:$M$10000),"Inactivo"))</f>
        <v/>
      </c>
      <c r="G2805" s="25" t="str">
        <f aca="false">IF(A2805="","",IF(AND(C2805&lt;&gt;"No encontrado",F2805&lt;&gt;"Inactivo"),C2805&amp;" → "&amp;F2805,"Sin transición"))</f>
        <v/>
      </c>
      <c r="H2805" s="23" t="str">
        <f aca="false">IF(A2805="","",IF(D2805="GCIA LINEA SERVICIO DIGITALIDAD Y VENTAS","Chats",IF(OR(D2805="GERENCIA INBOUND LÍNEAS SERVICIO Y VENTA",D2805="GERENCIA INBOUND LINEAS ESPECIALIZADAS"),"Llamadas","Otro")))</f>
        <v/>
      </c>
      <c r="I2805" s="23" t="str">
        <f aca="false">IF(A2805="","",IF(C2805="No encontrado","No","Sí"))</f>
        <v/>
      </c>
      <c r="J2805" s="23" t="str">
        <f aca="false">IF(A2805="","",IF(F2805="Inactivo","No","Sí"))</f>
        <v/>
      </c>
      <c r="K2805" s="23" t="str">
        <f aca="false">IF(A2805="","",IF(AND(I2805="Sí",J2805="Sí"),"Sí","No"))</f>
        <v/>
      </c>
    </row>
    <row r="2806" customFormat="false" ht="15" hidden="false" customHeight="false" outlineLevel="0" collapsed="false">
      <c r="A2806" s="22"/>
      <c r="B2806" s="22"/>
      <c r="C2806" s="26" t="str">
        <f aca="false">IF(A2806="","",IFERROR(buscarx(A2806&amp;B2806,DATA!$E$3:$E$10000&amp;DATA!$B$3:$B$10000,DATA!$M$3:$M$10000),"No encontrado"))</f>
        <v/>
      </c>
      <c r="D2806" s="27" t="str">
        <f aca="false">IF(A2806="","",IFERROR(buscarx(A2806&amp;B2806,DATA!$E$3:$E$10000&amp;DATA!$B$3:$B$10000,DATA!$W$3:$W$10000),"No encontrado"))</f>
        <v/>
      </c>
      <c r="E2806" s="22"/>
      <c r="F2806" s="26" t="str">
        <f aca="false">IF(A2806="","",IFERROR(buscarx(A2806&amp;E2806,DATA!$E$3:$E$10000&amp;DATA!$B$3:$B$10000,DATA!$M$3:$M$10000),"Inactivo"))</f>
        <v/>
      </c>
      <c r="G2806" s="28" t="str">
        <f aca="false">IF(A2806="","",IF(AND(C2806&lt;&gt;"No encontrado",F2806&lt;&gt;"Inactivo"),C2806&amp;" → "&amp;F2806,"Sin transición"))</f>
        <v/>
      </c>
      <c r="H2806" s="26" t="str">
        <f aca="false">IF(A2806="","",IF(D2806="GCIA LINEA SERVICIO DIGITALIDAD Y VENTAS","Chats",IF(OR(D2806="GERENCIA INBOUND LÍNEAS SERVICIO Y VENTA",D2806="GERENCIA INBOUND LINEAS ESPECIALIZADAS"),"Llamadas","Otro")))</f>
        <v/>
      </c>
      <c r="I2806" s="26" t="str">
        <f aca="false">IF(A2806="","",IF(C2806="No encontrado","No","Sí"))</f>
        <v/>
      </c>
      <c r="J2806" s="26" t="str">
        <f aca="false">IF(A2806="","",IF(F2806="Inactivo","No","Sí"))</f>
        <v/>
      </c>
      <c r="K2806" s="26" t="str">
        <f aca="false">IF(A2806="","",IF(AND(I2806="Sí",J2806="Sí"),"Sí","No"))</f>
        <v/>
      </c>
    </row>
    <row r="2807" customFormat="false" ht="15" hidden="false" customHeight="false" outlineLevel="0" collapsed="false">
      <c r="A2807" s="22"/>
      <c r="B2807" s="22"/>
      <c r="C2807" s="23" t="str">
        <f aca="false">IF(A2807="","",IFERROR(buscarx(A2807&amp;B2807,DATA!$E$3:$E$10000&amp;DATA!$B$3:$B$10000,DATA!$M$3:$M$10000),"No encontrado"))</f>
        <v/>
      </c>
      <c r="D2807" s="24" t="str">
        <f aca="false">IF(A2807="","",IFERROR(buscarx(A2807&amp;B2807,DATA!$E$3:$E$10000&amp;DATA!$B$3:$B$10000,DATA!$W$3:$W$10000),"No encontrado"))</f>
        <v/>
      </c>
      <c r="E2807" s="22"/>
      <c r="F2807" s="23" t="str">
        <f aca="false">IF(A2807="","",IFERROR(buscarx(A2807&amp;E2807,DATA!$E$3:$E$10000&amp;DATA!$B$3:$B$10000,DATA!$M$3:$M$10000),"Inactivo"))</f>
        <v/>
      </c>
      <c r="G2807" s="25" t="str">
        <f aca="false">IF(A2807="","",IF(AND(C2807&lt;&gt;"No encontrado",F2807&lt;&gt;"Inactivo"),C2807&amp;" → "&amp;F2807,"Sin transición"))</f>
        <v/>
      </c>
      <c r="H2807" s="23" t="str">
        <f aca="false">IF(A2807="","",IF(D2807="GCIA LINEA SERVICIO DIGITALIDAD Y VENTAS","Chats",IF(OR(D2807="GERENCIA INBOUND LÍNEAS SERVICIO Y VENTA",D2807="GERENCIA INBOUND LINEAS ESPECIALIZADAS"),"Llamadas","Otro")))</f>
        <v/>
      </c>
      <c r="I2807" s="23" t="str">
        <f aca="false">IF(A2807="","",IF(C2807="No encontrado","No","Sí"))</f>
        <v/>
      </c>
      <c r="J2807" s="23" t="str">
        <f aca="false">IF(A2807="","",IF(F2807="Inactivo","No","Sí"))</f>
        <v/>
      </c>
      <c r="K2807" s="23" t="str">
        <f aca="false">IF(A2807="","",IF(AND(I2807="Sí",J2807="Sí"),"Sí","No"))</f>
        <v/>
      </c>
    </row>
    <row r="2808" customFormat="false" ht="15" hidden="false" customHeight="false" outlineLevel="0" collapsed="false">
      <c r="A2808" s="22"/>
      <c r="B2808" s="22"/>
      <c r="C2808" s="26" t="str">
        <f aca="false">IF(A2808="","",IFERROR(buscarx(A2808&amp;B2808,DATA!$E$3:$E$10000&amp;DATA!$B$3:$B$10000,DATA!$M$3:$M$10000),"No encontrado"))</f>
        <v/>
      </c>
      <c r="D2808" s="27" t="str">
        <f aca="false">IF(A2808="","",IFERROR(buscarx(A2808&amp;B2808,DATA!$E$3:$E$10000&amp;DATA!$B$3:$B$10000,DATA!$W$3:$W$10000),"No encontrado"))</f>
        <v/>
      </c>
      <c r="E2808" s="22"/>
      <c r="F2808" s="26" t="str">
        <f aca="false">IF(A2808="","",IFERROR(buscarx(A2808&amp;E2808,DATA!$E$3:$E$10000&amp;DATA!$B$3:$B$10000,DATA!$M$3:$M$10000),"Inactivo"))</f>
        <v/>
      </c>
      <c r="G2808" s="28" t="str">
        <f aca="false">IF(A2808="","",IF(AND(C2808&lt;&gt;"No encontrado",F2808&lt;&gt;"Inactivo"),C2808&amp;" → "&amp;F2808,"Sin transición"))</f>
        <v/>
      </c>
      <c r="H2808" s="26" t="str">
        <f aca="false">IF(A2808="","",IF(D2808="GCIA LINEA SERVICIO DIGITALIDAD Y VENTAS","Chats",IF(OR(D2808="GERENCIA INBOUND LÍNEAS SERVICIO Y VENTA",D2808="GERENCIA INBOUND LINEAS ESPECIALIZADAS"),"Llamadas","Otro")))</f>
        <v/>
      </c>
      <c r="I2808" s="26" t="str">
        <f aca="false">IF(A2808="","",IF(C2808="No encontrado","No","Sí"))</f>
        <v/>
      </c>
      <c r="J2808" s="26" t="str">
        <f aca="false">IF(A2808="","",IF(F2808="Inactivo","No","Sí"))</f>
        <v/>
      </c>
      <c r="K2808" s="26" t="str">
        <f aca="false">IF(A2808="","",IF(AND(I2808="Sí",J2808="Sí"),"Sí","No"))</f>
        <v/>
      </c>
    </row>
    <row r="2809" customFormat="false" ht="15" hidden="false" customHeight="false" outlineLevel="0" collapsed="false">
      <c r="A2809" s="22"/>
      <c r="B2809" s="22"/>
      <c r="C2809" s="23" t="str">
        <f aca="false">IF(A2809="","",IFERROR(buscarx(A2809&amp;B2809,DATA!$E$3:$E$10000&amp;DATA!$B$3:$B$10000,DATA!$M$3:$M$10000),"No encontrado"))</f>
        <v/>
      </c>
      <c r="D2809" s="24" t="str">
        <f aca="false">IF(A2809="","",IFERROR(buscarx(A2809&amp;B2809,DATA!$E$3:$E$10000&amp;DATA!$B$3:$B$10000,DATA!$W$3:$W$10000),"No encontrado"))</f>
        <v/>
      </c>
      <c r="E2809" s="22"/>
      <c r="F2809" s="23" t="str">
        <f aca="false">IF(A2809="","",IFERROR(buscarx(A2809&amp;E2809,DATA!$E$3:$E$10000&amp;DATA!$B$3:$B$10000,DATA!$M$3:$M$10000),"Inactivo"))</f>
        <v/>
      </c>
      <c r="G2809" s="25" t="str">
        <f aca="false">IF(A2809="","",IF(AND(C2809&lt;&gt;"No encontrado",F2809&lt;&gt;"Inactivo"),C2809&amp;" → "&amp;F2809,"Sin transición"))</f>
        <v/>
      </c>
      <c r="H2809" s="23" t="str">
        <f aca="false">IF(A2809="","",IF(D2809="GCIA LINEA SERVICIO DIGITALIDAD Y VENTAS","Chats",IF(OR(D2809="GERENCIA INBOUND LÍNEAS SERVICIO Y VENTA",D2809="GERENCIA INBOUND LINEAS ESPECIALIZADAS"),"Llamadas","Otro")))</f>
        <v/>
      </c>
      <c r="I2809" s="23" t="str">
        <f aca="false">IF(A2809="","",IF(C2809="No encontrado","No","Sí"))</f>
        <v/>
      </c>
      <c r="J2809" s="23" t="str">
        <f aca="false">IF(A2809="","",IF(F2809="Inactivo","No","Sí"))</f>
        <v/>
      </c>
      <c r="K2809" s="23" t="str">
        <f aca="false">IF(A2809="","",IF(AND(I2809="Sí",J2809="Sí"),"Sí","No"))</f>
        <v/>
      </c>
    </row>
    <row r="2810" customFormat="false" ht="15" hidden="false" customHeight="false" outlineLevel="0" collapsed="false">
      <c r="A2810" s="22"/>
      <c r="B2810" s="22"/>
      <c r="C2810" s="26" t="str">
        <f aca="false">IF(A2810="","",IFERROR(buscarx(A2810&amp;B2810,DATA!$E$3:$E$10000&amp;DATA!$B$3:$B$10000,DATA!$M$3:$M$10000),"No encontrado"))</f>
        <v/>
      </c>
      <c r="D2810" s="27" t="str">
        <f aca="false">IF(A2810="","",IFERROR(buscarx(A2810&amp;B2810,DATA!$E$3:$E$10000&amp;DATA!$B$3:$B$10000,DATA!$W$3:$W$10000),"No encontrado"))</f>
        <v/>
      </c>
      <c r="E2810" s="22"/>
      <c r="F2810" s="26" t="str">
        <f aca="false">IF(A2810="","",IFERROR(buscarx(A2810&amp;E2810,DATA!$E$3:$E$10000&amp;DATA!$B$3:$B$10000,DATA!$M$3:$M$10000),"Inactivo"))</f>
        <v/>
      </c>
      <c r="G2810" s="28" t="str">
        <f aca="false">IF(A2810="","",IF(AND(C2810&lt;&gt;"No encontrado",F2810&lt;&gt;"Inactivo"),C2810&amp;" → "&amp;F2810,"Sin transición"))</f>
        <v/>
      </c>
      <c r="H2810" s="26" t="str">
        <f aca="false">IF(A2810="","",IF(D2810="GCIA LINEA SERVICIO DIGITALIDAD Y VENTAS","Chats",IF(OR(D2810="GERENCIA INBOUND LÍNEAS SERVICIO Y VENTA",D2810="GERENCIA INBOUND LINEAS ESPECIALIZADAS"),"Llamadas","Otro")))</f>
        <v/>
      </c>
      <c r="I2810" s="26" t="str">
        <f aca="false">IF(A2810="","",IF(C2810="No encontrado","No","Sí"))</f>
        <v/>
      </c>
      <c r="J2810" s="26" t="str">
        <f aca="false">IF(A2810="","",IF(F2810="Inactivo","No","Sí"))</f>
        <v/>
      </c>
      <c r="K2810" s="26" t="str">
        <f aca="false">IF(A2810="","",IF(AND(I2810="Sí",J2810="Sí"),"Sí","No"))</f>
        <v/>
      </c>
    </row>
    <row r="2811" customFormat="false" ht="15" hidden="false" customHeight="false" outlineLevel="0" collapsed="false">
      <c r="A2811" s="22"/>
      <c r="B2811" s="22"/>
      <c r="C2811" s="23" t="str">
        <f aca="false">IF(A2811="","",IFERROR(buscarx(A2811&amp;B2811,DATA!$E$3:$E$10000&amp;DATA!$B$3:$B$10000,DATA!$M$3:$M$10000),"No encontrado"))</f>
        <v/>
      </c>
      <c r="D2811" s="24" t="str">
        <f aca="false">IF(A2811="","",IFERROR(buscarx(A2811&amp;B2811,DATA!$E$3:$E$10000&amp;DATA!$B$3:$B$10000,DATA!$W$3:$W$10000),"No encontrado"))</f>
        <v/>
      </c>
      <c r="E2811" s="22"/>
      <c r="F2811" s="23" t="str">
        <f aca="false">IF(A2811="","",IFERROR(buscarx(A2811&amp;E2811,DATA!$E$3:$E$10000&amp;DATA!$B$3:$B$10000,DATA!$M$3:$M$10000),"Inactivo"))</f>
        <v/>
      </c>
      <c r="G2811" s="25" t="str">
        <f aca="false">IF(A2811="","",IF(AND(C2811&lt;&gt;"No encontrado",F2811&lt;&gt;"Inactivo"),C2811&amp;" → "&amp;F2811,"Sin transición"))</f>
        <v/>
      </c>
      <c r="H2811" s="23" t="str">
        <f aca="false">IF(A2811="","",IF(D2811="GCIA LINEA SERVICIO DIGITALIDAD Y VENTAS","Chats",IF(OR(D2811="GERENCIA INBOUND LÍNEAS SERVICIO Y VENTA",D2811="GERENCIA INBOUND LINEAS ESPECIALIZADAS"),"Llamadas","Otro")))</f>
        <v/>
      </c>
      <c r="I2811" s="23" t="str">
        <f aca="false">IF(A2811="","",IF(C2811="No encontrado","No","Sí"))</f>
        <v/>
      </c>
      <c r="J2811" s="23" t="str">
        <f aca="false">IF(A2811="","",IF(F2811="Inactivo","No","Sí"))</f>
        <v/>
      </c>
      <c r="K2811" s="23" t="str">
        <f aca="false">IF(A2811="","",IF(AND(I2811="Sí",J2811="Sí"),"Sí","No"))</f>
        <v/>
      </c>
    </row>
    <row r="2812" customFormat="false" ht="15" hidden="false" customHeight="false" outlineLevel="0" collapsed="false">
      <c r="A2812" s="22"/>
      <c r="B2812" s="22"/>
      <c r="C2812" s="26" t="str">
        <f aca="false">IF(A2812="","",IFERROR(buscarx(A2812&amp;B2812,DATA!$E$3:$E$10000&amp;DATA!$B$3:$B$10000,DATA!$M$3:$M$10000),"No encontrado"))</f>
        <v/>
      </c>
      <c r="D2812" s="27" t="str">
        <f aca="false">IF(A2812="","",IFERROR(buscarx(A2812&amp;B2812,DATA!$E$3:$E$10000&amp;DATA!$B$3:$B$10000,DATA!$W$3:$W$10000),"No encontrado"))</f>
        <v/>
      </c>
      <c r="E2812" s="22"/>
      <c r="F2812" s="26" t="str">
        <f aca="false">IF(A2812="","",IFERROR(buscarx(A2812&amp;E2812,DATA!$E$3:$E$10000&amp;DATA!$B$3:$B$10000,DATA!$M$3:$M$10000),"Inactivo"))</f>
        <v/>
      </c>
      <c r="G2812" s="28" t="str">
        <f aca="false">IF(A2812="","",IF(AND(C2812&lt;&gt;"No encontrado",F2812&lt;&gt;"Inactivo"),C2812&amp;" → "&amp;F2812,"Sin transición"))</f>
        <v/>
      </c>
      <c r="H2812" s="26" t="str">
        <f aca="false">IF(A2812="","",IF(D2812="GCIA LINEA SERVICIO DIGITALIDAD Y VENTAS","Chats",IF(OR(D2812="GERENCIA INBOUND LÍNEAS SERVICIO Y VENTA",D2812="GERENCIA INBOUND LINEAS ESPECIALIZADAS"),"Llamadas","Otro")))</f>
        <v/>
      </c>
      <c r="I2812" s="26" t="str">
        <f aca="false">IF(A2812="","",IF(C2812="No encontrado","No","Sí"))</f>
        <v/>
      </c>
      <c r="J2812" s="26" t="str">
        <f aca="false">IF(A2812="","",IF(F2812="Inactivo","No","Sí"))</f>
        <v/>
      </c>
      <c r="K2812" s="26" t="str">
        <f aca="false">IF(A2812="","",IF(AND(I2812="Sí",J2812="Sí"),"Sí","No"))</f>
        <v/>
      </c>
    </row>
    <row r="2813" customFormat="false" ht="15" hidden="false" customHeight="false" outlineLevel="0" collapsed="false">
      <c r="A2813" s="22"/>
      <c r="B2813" s="22"/>
      <c r="C2813" s="23" t="str">
        <f aca="false">IF(A2813="","",IFERROR(buscarx(A2813&amp;B2813,DATA!$E$3:$E$10000&amp;DATA!$B$3:$B$10000,DATA!$M$3:$M$10000),"No encontrado"))</f>
        <v/>
      </c>
      <c r="D2813" s="24" t="str">
        <f aca="false">IF(A2813="","",IFERROR(buscarx(A2813&amp;B2813,DATA!$E$3:$E$10000&amp;DATA!$B$3:$B$10000,DATA!$W$3:$W$10000),"No encontrado"))</f>
        <v/>
      </c>
      <c r="E2813" s="22"/>
      <c r="F2813" s="23" t="str">
        <f aca="false">IF(A2813="","",IFERROR(buscarx(A2813&amp;E2813,DATA!$E$3:$E$10000&amp;DATA!$B$3:$B$10000,DATA!$M$3:$M$10000),"Inactivo"))</f>
        <v/>
      </c>
      <c r="G2813" s="25" t="str">
        <f aca="false">IF(A2813="","",IF(AND(C2813&lt;&gt;"No encontrado",F2813&lt;&gt;"Inactivo"),C2813&amp;" → "&amp;F2813,"Sin transición"))</f>
        <v/>
      </c>
      <c r="H2813" s="23" t="str">
        <f aca="false">IF(A2813="","",IF(D2813="GCIA LINEA SERVICIO DIGITALIDAD Y VENTAS","Chats",IF(OR(D2813="GERENCIA INBOUND LÍNEAS SERVICIO Y VENTA",D2813="GERENCIA INBOUND LINEAS ESPECIALIZADAS"),"Llamadas","Otro")))</f>
        <v/>
      </c>
      <c r="I2813" s="23" t="str">
        <f aca="false">IF(A2813="","",IF(C2813="No encontrado","No","Sí"))</f>
        <v/>
      </c>
      <c r="J2813" s="23" t="str">
        <f aca="false">IF(A2813="","",IF(F2813="Inactivo","No","Sí"))</f>
        <v/>
      </c>
      <c r="K2813" s="23" t="str">
        <f aca="false">IF(A2813="","",IF(AND(I2813="Sí",J2813="Sí"),"Sí","No"))</f>
        <v/>
      </c>
    </row>
    <row r="2814" customFormat="false" ht="15" hidden="false" customHeight="false" outlineLevel="0" collapsed="false">
      <c r="A2814" s="22"/>
      <c r="B2814" s="22"/>
      <c r="C2814" s="26" t="str">
        <f aca="false">IF(A2814="","",IFERROR(buscarx(A2814&amp;B2814,DATA!$E$3:$E$10000&amp;DATA!$B$3:$B$10000,DATA!$M$3:$M$10000),"No encontrado"))</f>
        <v/>
      </c>
      <c r="D2814" s="27" t="str">
        <f aca="false">IF(A2814="","",IFERROR(buscarx(A2814&amp;B2814,DATA!$E$3:$E$10000&amp;DATA!$B$3:$B$10000,DATA!$W$3:$W$10000),"No encontrado"))</f>
        <v/>
      </c>
      <c r="E2814" s="22"/>
      <c r="F2814" s="26" t="str">
        <f aca="false">IF(A2814="","",IFERROR(buscarx(A2814&amp;E2814,DATA!$E$3:$E$10000&amp;DATA!$B$3:$B$10000,DATA!$M$3:$M$10000),"Inactivo"))</f>
        <v/>
      </c>
      <c r="G2814" s="28" t="str">
        <f aca="false">IF(A2814="","",IF(AND(C2814&lt;&gt;"No encontrado",F2814&lt;&gt;"Inactivo"),C2814&amp;" → "&amp;F2814,"Sin transición"))</f>
        <v/>
      </c>
      <c r="H2814" s="26" t="str">
        <f aca="false">IF(A2814="","",IF(D2814="GCIA LINEA SERVICIO DIGITALIDAD Y VENTAS","Chats",IF(OR(D2814="GERENCIA INBOUND LÍNEAS SERVICIO Y VENTA",D2814="GERENCIA INBOUND LINEAS ESPECIALIZADAS"),"Llamadas","Otro")))</f>
        <v/>
      </c>
      <c r="I2814" s="26" t="str">
        <f aca="false">IF(A2814="","",IF(C2814="No encontrado","No","Sí"))</f>
        <v/>
      </c>
      <c r="J2814" s="26" t="str">
        <f aca="false">IF(A2814="","",IF(F2814="Inactivo","No","Sí"))</f>
        <v/>
      </c>
      <c r="K2814" s="26" t="str">
        <f aca="false">IF(A2814="","",IF(AND(I2814="Sí",J2814="Sí"),"Sí","No"))</f>
        <v/>
      </c>
    </row>
    <row r="2815" customFormat="false" ht="15" hidden="false" customHeight="false" outlineLevel="0" collapsed="false">
      <c r="A2815" s="22"/>
      <c r="B2815" s="22"/>
      <c r="C2815" s="23" t="str">
        <f aca="false">IF(A2815="","",IFERROR(buscarx(A2815&amp;B2815,DATA!$E$3:$E$10000&amp;DATA!$B$3:$B$10000,DATA!$M$3:$M$10000),"No encontrado"))</f>
        <v/>
      </c>
      <c r="D2815" s="24" t="str">
        <f aca="false">IF(A2815="","",IFERROR(buscarx(A2815&amp;B2815,DATA!$E$3:$E$10000&amp;DATA!$B$3:$B$10000,DATA!$W$3:$W$10000),"No encontrado"))</f>
        <v/>
      </c>
      <c r="E2815" s="22"/>
      <c r="F2815" s="23" t="str">
        <f aca="false">IF(A2815="","",IFERROR(buscarx(A2815&amp;E2815,DATA!$E$3:$E$10000&amp;DATA!$B$3:$B$10000,DATA!$M$3:$M$10000),"Inactivo"))</f>
        <v/>
      </c>
      <c r="G2815" s="25" t="str">
        <f aca="false">IF(A2815="","",IF(AND(C2815&lt;&gt;"No encontrado",F2815&lt;&gt;"Inactivo"),C2815&amp;" → "&amp;F2815,"Sin transición"))</f>
        <v/>
      </c>
      <c r="H2815" s="23" t="str">
        <f aca="false">IF(A2815="","",IF(D2815="GCIA LINEA SERVICIO DIGITALIDAD Y VENTAS","Chats",IF(OR(D2815="GERENCIA INBOUND LÍNEAS SERVICIO Y VENTA",D2815="GERENCIA INBOUND LINEAS ESPECIALIZADAS"),"Llamadas","Otro")))</f>
        <v/>
      </c>
      <c r="I2815" s="23" t="str">
        <f aca="false">IF(A2815="","",IF(C2815="No encontrado","No","Sí"))</f>
        <v/>
      </c>
      <c r="J2815" s="23" t="str">
        <f aca="false">IF(A2815="","",IF(F2815="Inactivo","No","Sí"))</f>
        <v/>
      </c>
      <c r="K2815" s="23" t="str">
        <f aca="false">IF(A2815="","",IF(AND(I2815="Sí",J2815="Sí"),"Sí","No"))</f>
        <v/>
      </c>
    </row>
    <row r="2816" customFormat="false" ht="15" hidden="false" customHeight="false" outlineLevel="0" collapsed="false">
      <c r="A2816" s="22"/>
      <c r="B2816" s="22"/>
      <c r="C2816" s="26" t="str">
        <f aca="false">IF(A2816="","",IFERROR(buscarx(A2816&amp;B2816,DATA!$E$3:$E$10000&amp;DATA!$B$3:$B$10000,DATA!$M$3:$M$10000),"No encontrado"))</f>
        <v/>
      </c>
      <c r="D2816" s="27" t="str">
        <f aca="false">IF(A2816="","",IFERROR(buscarx(A2816&amp;B2816,DATA!$E$3:$E$10000&amp;DATA!$B$3:$B$10000,DATA!$W$3:$W$10000),"No encontrado"))</f>
        <v/>
      </c>
      <c r="E2816" s="22"/>
      <c r="F2816" s="26" t="str">
        <f aca="false">IF(A2816="","",IFERROR(buscarx(A2816&amp;E2816,DATA!$E$3:$E$10000&amp;DATA!$B$3:$B$10000,DATA!$M$3:$M$10000),"Inactivo"))</f>
        <v/>
      </c>
      <c r="G2816" s="28" t="str">
        <f aca="false">IF(A2816="","",IF(AND(C2816&lt;&gt;"No encontrado",F2816&lt;&gt;"Inactivo"),C2816&amp;" → "&amp;F2816,"Sin transición"))</f>
        <v/>
      </c>
      <c r="H2816" s="26" t="str">
        <f aca="false">IF(A2816="","",IF(D2816="GCIA LINEA SERVICIO DIGITALIDAD Y VENTAS","Chats",IF(OR(D2816="GERENCIA INBOUND LÍNEAS SERVICIO Y VENTA",D2816="GERENCIA INBOUND LINEAS ESPECIALIZADAS"),"Llamadas","Otro")))</f>
        <v/>
      </c>
      <c r="I2816" s="26" t="str">
        <f aca="false">IF(A2816="","",IF(C2816="No encontrado","No","Sí"))</f>
        <v/>
      </c>
      <c r="J2816" s="26" t="str">
        <f aca="false">IF(A2816="","",IF(F2816="Inactivo","No","Sí"))</f>
        <v/>
      </c>
      <c r="K2816" s="26" t="str">
        <f aca="false">IF(A2816="","",IF(AND(I2816="Sí",J2816="Sí"),"Sí","No"))</f>
        <v/>
      </c>
    </row>
    <row r="2817" customFormat="false" ht="15" hidden="false" customHeight="false" outlineLevel="0" collapsed="false">
      <c r="A2817" s="22"/>
      <c r="B2817" s="22"/>
      <c r="C2817" s="23" t="str">
        <f aca="false">IF(A2817="","",IFERROR(buscarx(A2817&amp;B2817,DATA!$E$3:$E$10000&amp;DATA!$B$3:$B$10000,DATA!$M$3:$M$10000),"No encontrado"))</f>
        <v/>
      </c>
      <c r="D2817" s="24" t="str">
        <f aca="false">IF(A2817="","",IFERROR(buscarx(A2817&amp;B2817,DATA!$E$3:$E$10000&amp;DATA!$B$3:$B$10000,DATA!$W$3:$W$10000),"No encontrado"))</f>
        <v/>
      </c>
      <c r="E2817" s="22"/>
      <c r="F2817" s="23" t="str">
        <f aca="false">IF(A2817="","",IFERROR(buscarx(A2817&amp;E2817,DATA!$E$3:$E$10000&amp;DATA!$B$3:$B$10000,DATA!$M$3:$M$10000),"Inactivo"))</f>
        <v/>
      </c>
      <c r="G2817" s="25" t="str">
        <f aca="false">IF(A2817="","",IF(AND(C2817&lt;&gt;"No encontrado",F2817&lt;&gt;"Inactivo"),C2817&amp;" → "&amp;F2817,"Sin transición"))</f>
        <v/>
      </c>
      <c r="H2817" s="23" t="str">
        <f aca="false">IF(A2817="","",IF(D2817="GCIA LINEA SERVICIO DIGITALIDAD Y VENTAS","Chats",IF(OR(D2817="GERENCIA INBOUND LÍNEAS SERVICIO Y VENTA",D2817="GERENCIA INBOUND LINEAS ESPECIALIZADAS"),"Llamadas","Otro")))</f>
        <v/>
      </c>
      <c r="I2817" s="23" t="str">
        <f aca="false">IF(A2817="","",IF(C2817="No encontrado","No","Sí"))</f>
        <v/>
      </c>
      <c r="J2817" s="23" t="str">
        <f aca="false">IF(A2817="","",IF(F2817="Inactivo","No","Sí"))</f>
        <v/>
      </c>
      <c r="K2817" s="23" t="str">
        <f aca="false">IF(A2817="","",IF(AND(I2817="Sí",J2817="Sí"),"Sí","No"))</f>
        <v/>
      </c>
    </row>
    <row r="2818" customFormat="false" ht="15" hidden="false" customHeight="false" outlineLevel="0" collapsed="false">
      <c r="A2818" s="22"/>
      <c r="B2818" s="22"/>
      <c r="C2818" s="26" t="str">
        <f aca="false">IF(A2818="","",IFERROR(buscarx(A2818&amp;B2818,DATA!$E$3:$E$10000&amp;DATA!$B$3:$B$10000,DATA!$M$3:$M$10000),"No encontrado"))</f>
        <v/>
      </c>
      <c r="D2818" s="27" t="str">
        <f aca="false">IF(A2818="","",IFERROR(buscarx(A2818&amp;B2818,DATA!$E$3:$E$10000&amp;DATA!$B$3:$B$10000,DATA!$W$3:$W$10000),"No encontrado"))</f>
        <v/>
      </c>
      <c r="E2818" s="22"/>
      <c r="F2818" s="26" t="str">
        <f aca="false">IF(A2818="","",IFERROR(buscarx(A2818&amp;E2818,DATA!$E$3:$E$10000&amp;DATA!$B$3:$B$10000,DATA!$M$3:$M$10000),"Inactivo"))</f>
        <v/>
      </c>
      <c r="G2818" s="28" t="str">
        <f aca="false">IF(A2818="","",IF(AND(C2818&lt;&gt;"No encontrado",F2818&lt;&gt;"Inactivo"),C2818&amp;" → "&amp;F2818,"Sin transición"))</f>
        <v/>
      </c>
      <c r="H2818" s="26" t="str">
        <f aca="false">IF(A2818="","",IF(D2818="GCIA LINEA SERVICIO DIGITALIDAD Y VENTAS","Chats",IF(OR(D2818="GERENCIA INBOUND LÍNEAS SERVICIO Y VENTA",D2818="GERENCIA INBOUND LINEAS ESPECIALIZADAS"),"Llamadas","Otro")))</f>
        <v/>
      </c>
      <c r="I2818" s="26" t="str">
        <f aca="false">IF(A2818="","",IF(C2818="No encontrado","No","Sí"))</f>
        <v/>
      </c>
      <c r="J2818" s="26" t="str">
        <f aca="false">IF(A2818="","",IF(F2818="Inactivo","No","Sí"))</f>
        <v/>
      </c>
      <c r="K2818" s="26" t="str">
        <f aca="false">IF(A2818="","",IF(AND(I2818="Sí",J2818="Sí"),"Sí","No"))</f>
        <v/>
      </c>
    </row>
    <row r="2819" customFormat="false" ht="15" hidden="false" customHeight="false" outlineLevel="0" collapsed="false">
      <c r="A2819" s="22"/>
      <c r="B2819" s="22"/>
      <c r="C2819" s="23" t="str">
        <f aca="false">IF(A2819="","",IFERROR(buscarx(A2819&amp;B2819,DATA!$E$3:$E$10000&amp;DATA!$B$3:$B$10000,DATA!$M$3:$M$10000),"No encontrado"))</f>
        <v/>
      </c>
      <c r="D2819" s="24" t="str">
        <f aca="false">IF(A2819="","",IFERROR(buscarx(A2819&amp;B2819,DATA!$E$3:$E$10000&amp;DATA!$B$3:$B$10000,DATA!$W$3:$W$10000),"No encontrado"))</f>
        <v/>
      </c>
      <c r="E2819" s="22"/>
      <c r="F2819" s="23" t="str">
        <f aca="false">IF(A2819="","",IFERROR(buscarx(A2819&amp;E2819,DATA!$E$3:$E$10000&amp;DATA!$B$3:$B$10000,DATA!$M$3:$M$10000),"Inactivo"))</f>
        <v/>
      </c>
      <c r="G2819" s="25" t="str">
        <f aca="false">IF(A2819="","",IF(AND(C2819&lt;&gt;"No encontrado",F2819&lt;&gt;"Inactivo"),C2819&amp;" → "&amp;F2819,"Sin transición"))</f>
        <v/>
      </c>
      <c r="H2819" s="23" t="str">
        <f aca="false">IF(A2819="","",IF(D2819="GCIA LINEA SERVICIO DIGITALIDAD Y VENTAS","Chats",IF(OR(D2819="GERENCIA INBOUND LÍNEAS SERVICIO Y VENTA",D2819="GERENCIA INBOUND LINEAS ESPECIALIZADAS"),"Llamadas","Otro")))</f>
        <v/>
      </c>
      <c r="I2819" s="23" t="str">
        <f aca="false">IF(A2819="","",IF(C2819="No encontrado","No","Sí"))</f>
        <v/>
      </c>
      <c r="J2819" s="23" t="str">
        <f aca="false">IF(A2819="","",IF(F2819="Inactivo","No","Sí"))</f>
        <v/>
      </c>
      <c r="K2819" s="23" t="str">
        <f aca="false">IF(A2819="","",IF(AND(I2819="Sí",J2819="Sí"),"Sí","No"))</f>
        <v/>
      </c>
    </row>
    <row r="2820" customFormat="false" ht="15" hidden="false" customHeight="false" outlineLevel="0" collapsed="false">
      <c r="A2820" s="22"/>
      <c r="B2820" s="22"/>
      <c r="C2820" s="26" t="str">
        <f aca="false">IF(A2820="","",IFERROR(buscarx(A2820&amp;B2820,DATA!$E$3:$E$10000&amp;DATA!$B$3:$B$10000,DATA!$M$3:$M$10000),"No encontrado"))</f>
        <v/>
      </c>
      <c r="D2820" s="27" t="str">
        <f aca="false">IF(A2820="","",IFERROR(buscarx(A2820&amp;B2820,DATA!$E$3:$E$10000&amp;DATA!$B$3:$B$10000,DATA!$W$3:$W$10000),"No encontrado"))</f>
        <v/>
      </c>
      <c r="E2820" s="22"/>
      <c r="F2820" s="26" t="str">
        <f aca="false">IF(A2820="","",IFERROR(buscarx(A2820&amp;E2820,DATA!$E$3:$E$10000&amp;DATA!$B$3:$B$10000,DATA!$M$3:$M$10000),"Inactivo"))</f>
        <v/>
      </c>
      <c r="G2820" s="28" t="str">
        <f aca="false">IF(A2820="","",IF(AND(C2820&lt;&gt;"No encontrado",F2820&lt;&gt;"Inactivo"),C2820&amp;" → "&amp;F2820,"Sin transición"))</f>
        <v/>
      </c>
      <c r="H2820" s="26" t="str">
        <f aca="false">IF(A2820="","",IF(D2820="GCIA LINEA SERVICIO DIGITALIDAD Y VENTAS","Chats",IF(OR(D2820="GERENCIA INBOUND LÍNEAS SERVICIO Y VENTA",D2820="GERENCIA INBOUND LINEAS ESPECIALIZADAS"),"Llamadas","Otro")))</f>
        <v/>
      </c>
      <c r="I2820" s="26" t="str">
        <f aca="false">IF(A2820="","",IF(C2820="No encontrado","No","Sí"))</f>
        <v/>
      </c>
      <c r="J2820" s="26" t="str">
        <f aca="false">IF(A2820="","",IF(F2820="Inactivo","No","Sí"))</f>
        <v/>
      </c>
      <c r="K2820" s="26" t="str">
        <f aca="false">IF(A2820="","",IF(AND(I2820="Sí",J2820="Sí"),"Sí","No"))</f>
        <v/>
      </c>
    </row>
    <row r="2821" customFormat="false" ht="15" hidden="false" customHeight="false" outlineLevel="0" collapsed="false">
      <c r="A2821" s="22"/>
      <c r="B2821" s="22"/>
      <c r="C2821" s="23" t="str">
        <f aca="false">IF(A2821="","",IFERROR(buscarx(A2821&amp;B2821,DATA!$E$3:$E$10000&amp;DATA!$B$3:$B$10000,DATA!$M$3:$M$10000),"No encontrado"))</f>
        <v/>
      </c>
      <c r="D2821" s="24" t="str">
        <f aca="false">IF(A2821="","",IFERROR(buscarx(A2821&amp;B2821,DATA!$E$3:$E$10000&amp;DATA!$B$3:$B$10000,DATA!$W$3:$W$10000),"No encontrado"))</f>
        <v/>
      </c>
      <c r="E2821" s="22"/>
      <c r="F2821" s="23" t="str">
        <f aca="false">IF(A2821="","",IFERROR(buscarx(A2821&amp;E2821,DATA!$E$3:$E$10000&amp;DATA!$B$3:$B$10000,DATA!$M$3:$M$10000),"Inactivo"))</f>
        <v/>
      </c>
      <c r="G2821" s="25" t="str">
        <f aca="false">IF(A2821="","",IF(AND(C2821&lt;&gt;"No encontrado",F2821&lt;&gt;"Inactivo"),C2821&amp;" → "&amp;F2821,"Sin transición"))</f>
        <v/>
      </c>
      <c r="H2821" s="23" t="str">
        <f aca="false">IF(A2821="","",IF(D2821="GCIA LINEA SERVICIO DIGITALIDAD Y VENTAS","Chats",IF(OR(D2821="GERENCIA INBOUND LÍNEAS SERVICIO Y VENTA",D2821="GERENCIA INBOUND LINEAS ESPECIALIZADAS"),"Llamadas","Otro")))</f>
        <v/>
      </c>
      <c r="I2821" s="23" t="str">
        <f aca="false">IF(A2821="","",IF(C2821="No encontrado","No","Sí"))</f>
        <v/>
      </c>
      <c r="J2821" s="23" t="str">
        <f aca="false">IF(A2821="","",IF(F2821="Inactivo","No","Sí"))</f>
        <v/>
      </c>
      <c r="K2821" s="23" t="str">
        <f aca="false">IF(A2821="","",IF(AND(I2821="Sí",J2821="Sí"),"Sí","No"))</f>
        <v/>
      </c>
    </row>
    <row r="2822" customFormat="false" ht="15" hidden="false" customHeight="false" outlineLevel="0" collapsed="false">
      <c r="A2822" s="22"/>
      <c r="B2822" s="22"/>
      <c r="C2822" s="26" t="str">
        <f aca="false">IF(A2822="","",IFERROR(buscarx(A2822&amp;B2822,DATA!$E$3:$E$10000&amp;DATA!$B$3:$B$10000,DATA!$M$3:$M$10000),"No encontrado"))</f>
        <v/>
      </c>
      <c r="D2822" s="27" t="str">
        <f aca="false">IF(A2822="","",IFERROR(buscarx(A2822&amp;B2822,DATA!$E$3:$E$10000&amp;DATA!$B$3:$B$10000,DATA!$W$3:$W$10000),"No encontrado"))</f>
        <v/>
      </c>
      <c r="E2822" s="22"/>
      <c r="F2822" s="26" t="str">
        <f aca="false">IF(A2822="","",IFERROR(buscarx(A2822&amp;E2822,DATA!$E$3:$E$10000&amp;DATA!$B$3:$B$10000,DATA!$M$3:$M$10000),"Inactivo"))</f>
        <v/>
      </c>
      <c r="G2822" s="28" t="str">
        <f aca="false">IF(A2822="","",IF(AND(C2822&lt;&gt;"No encontrado",F2822&lt;&gt;"Inactivo"),C2822&amp;" → "&amp;F2822,"Sin transición"))</f>
        <v/>
      </c>
      <c r="H2822" s="26" t="str">
        <f aca="false">IF(A2822="","",IF(D2822="GCIA LINEA SERVICIO DIGITALIDAD Y VENTAS","Chats",IF(OR(D2822="GERENCIA INBOUND LÍNEAS SERVICIO Y VENTA",D2822="GERENCIA INBOUND LINEAS ESPECIALIZADAS"),"Llamadas","Otro")))</f>
        <v/>
      </c>
      <c r="I2822" s="26" t="str">
        <f aca="false">IF(A2822="","",IF(C2822="No encontrado","No","Sí"))</f>
        <v/>
      </c>
      <c r="J2822" s="26" t="str">
        <f aca="false">IF(A2822="","",IF(F2822="Inactivo","No","Sí"))</f>
        <v/>
      </c>
      <c r="K2822" s="26" t="str">
        <f aca="false">IF(A2822="","",IF(AND(I2822="Sí",J2822="Sí"),"Sí","No"))</f>
        <v/>
      </c>
    </row>
    <row r="2823" customFormat="false" ht="15" hidden="false" customHeight="false" outlineLevel="0" collapsed="false">
      <c r="A2823" s="22"/>
      <c r="B2823" s="22"/>
      <c r="C2823" s="23" t="str">
        <f aca="false">IF(A2823="","",IFERROR(buscarx(A2823&amp;B2823,DATA!$E$3:$E$10000&amp;DATA!$B$3:$B$10000,DATA!$M$3:$M$10000),"No encontrado"))</f>
        <v/>
      </c>
      <c r="D2823" s="24" t="str">
        <f aca="false">IF(A2823="","",IFERROR(buscarx(A2823&amp;B2823,DATA!$E$3:$E$10000&amp;DATA!$B$3:$B$10000,DATA!$W$3:$W$10000),"No encontrado"))</f>
        <v/>
      </c>
      <c r="E2823" s="22"/>
      <c r="F2823" s="23" t="str">
        <f aca="false">IF(A2823="","",IFERROR(buscarx(A2823&amp;E2823,DATA!$E$3:$E$10000&amp;DATA!$B$3:$B$10000,DATA!$M$3:$M$10000),"Inactivo"))</f>
        <v/>
      </c>
      <c r="G2823" s="25" t="str">
        <f aca="false">IF(A2823="","",IF(AND(C2823&lt;&gt;"No encontrado",F2823&lt;&gt;"Inactivo"),C2823&amp;" → "&amp;F2823,"Sin transición"))</f>
        <v/>
      </c>
      <c r="H2823" s="23" t="str">
        <f aca="false">IF(A2823="","",IF(D2823="GCIA LINEA SERVICIO DIGITALIDAD Y VENTAS","Chats",IF(OR(D2823="GERENCIA INBOUND LÍNEAS SERVICIO Y VENTA",D2823="GERENCIA INBOUND LINEAS ESPECIALIZADAS"),"Llamadas","Otro")))</f>
        <v/>
      </c>
      <c r="I2823" s="23" t="str">
        <f aca="false">IF(A2823="","",IF(C2823="No encontrado","No","Sí"))</f>
        <v/>
      </c>
      <c r="J2823" s="23" t="str">
        <f aca="false">IF(A2823="","",IF(F2823="Inactivo","No","Sí"))</f>
        <v/>
      </c>
      <c r="K2823" s="23" t="str">
        <f aca="false">IF(A2823="","",IF(AND(I2823="Sí",J2823="Sí"),"Sí","No"))</f>
        <v/>
      </c>
    </row>
    <row r="2824" customFormat="false" ht="15" hidden="false" customHeight="false" outlineLevel="0" collapsed="false">
      <c r="A2824" s="22"/>
      <c r="B2824" s="22"/>
      <c r="C2824" s="26" t="str">
        <f aca="false">IF(A2824="","",IFERROR(buscarx(A2824&amp;B2824,DATA!$E$3:$E$10000&amp;DATA!$B$3:$B$10000,DATA!$M$3:$M$10000),"No encontrado"))</f>
        <v/>
      </c>
      <c r="D2824" s="27" t="str">
        <f aca="false">IF(A2824="","",IFERROR(buscarx(A2824&amp;B2824,DATA!$E$3:$E$10000&amp;DATA!$B$3:$B$10000,DATA!$W$3:$W$10000),"No encontrado"))</f>
        <v/>
      </c>
      <c r="E2824" s="22"/>
      <c r="F2824" s="26" t="str">
        <f aca="false">IF(A2824="","",IFERROR(buscarx(A2824&amp;E2824,DATA!$E$3:$E$10000&amp;DATA!$B$3:$B$10000,DATA!$M$3:$M$10000),"Inactivo"))</f>
        <v/>
      </c>
      <c r="G2824" s="28" t="str">
        <f aca="false">IF(A2824="","",IF(AND(C2824&lt;&gt;"No encontrado",F2824&lt;&gt;"Inactivo"),C2824&amp;" → "&amp;F2824,"Sin transición"))</f>
        <v/>
      </c>
      <c r="H2824" s="26" t="str">
        <f aca="false">IF(A2824="","",IF(D2824="GCIA LINEA SERVICIO DIGITALIDAD Y VENTAS","Chats",IF(OR(D2824="GERENCIA INBOUND LÍNEAS SERVICIO Y VENTA",D2824="GERENCIA INBOUND LINEAS ESPECIALIZADAS"),"Llamadas","Otro")))</f>
        <v/>
      </c>
      <c r="I2824" s="26" t="str">
        <f aca="false">IF(A2824="","",IF(C2824="No encontrado","No","Sí"))</f>
        <v/>
      </c>
      <c r="J2824" s="26" t="str">
        <f aca="false">IF(A2824="","",IF(F2824="Inactivo","No","Sí"))</f>
        <v/>
      </c>
      <c r="K2824" s="26" t="str">
        <f aca="false">IF(A2824="","",IF(AND(I2824="Sí",J2824="Sí"),"Sí","No"))</f>
        <v/>
      </c>
    </row>
    <row r="2825" customFormat="false" ht="15" hidden="false" customHeight="false" outlineLevel="0" collapsed="false">
      <c r="A2825" s="22"/>
      <c r="B2825" s="22"/>
      <c r="C2825" s="23" t="str">
        <f aca="false">IF(A2825="","",IFERROR(buscarx(A2825&amp;B2825,DATA!$E$3:$E$10000&amp;DATA!$B$3:$B$10000,DATA!$M$3:$M$10000),"No encontrado"))</f>
        <v/>
      </c>
      <c r="D2825" s="24" t="str">
        <f aca="false">IF(A2825="","",IFERROR(buscarx(A2825&amp;B2825,DATA!$E$3:$E$10000&amp;DATA!$B$3:$B$10000,DATA!$W$3:$W$10000),"No encontrado"))</f>
        <v/>
      </c>
      <c r="E2825" s="22"/>
      <c r="F2825" s="23" t="str">
        <f aca="false">IF(A2825="","",IFERROR(buscarx(A2825&amp;E2825,DATA!$E$3:$E$10000&amp;DATA!$B$3:$B$10000,DATA!$M$3:$M$10000),"Inactivo"))</f>
        <v/>
      </c>
      <c r="G2825" s="25" t="str">
        <f aca="false">IF(A2825="","",IF(AND(C2825&lt;&gt;"No encontrado",F2825&lt;&gt;"Inactivo"),C2825&amp;" → "&amp;F2825,"Sin transición"))</f>
        <v/>
      </c>
      <c r="H2825" s="23" t="str">
        <f aca="false">IF(A2825="","",IF(D2825="GCIA LINEA SERVICIO DIGITALIDAD Y VENTAS","Chats",IF(OR(D2825="GERENCIA INBOUND LÍNEAS SERVICIO Y VENTA",D2825="GERENCIA INBOUND LINEAS ESPECIALIZADAS"),"Llamadas","Otro")))</f>
        <v/>
      </c>
      <c r="I2825" s="23" t="str">
        <f aca="false">IF(A2825="","",IF(C2825="No encontrado","No","Sí"))</f>
        <v/>
      </c>
      <c r="J2825" s="23" t="str">
        <f aca="false">IF(A2825="","",IF(F2825="Inactivo","No","Sí"))</f>
        <v/>
      </c>
      <c r="K2825" s="23" t="str">
        <f aca="false">IF(A2825="","",IF(AND(I2825="Sí",J2825="Sí"),"Sí","No"))</f>
        <v/>
      </c>
    </row>
    <row r="2826" customFormat="false" ht="15" hidden="false" customHeight="false" outlineLevel="0" collapsed="false">
      <c r="A2826" s="22"/>
      <c r="B2826" s="22"/>
      <c r="C2826" s="26" t="str">
        <f aca="false">IF(A2826="","",IFERROR(buscarx(A2826&amp;B2826,DATA!$E$3:$E$10000&amp;DATA!$B$3:$B$10000,DATA!$M$3:$M$10000),"No encontrado"))</f>
        <v/>
      </c>
      <c r="D2826" s="27" t="str">
        <f aca="false">IF(A2826="","",IFERROR(buscarx(A2826&amp;B2826,DATA!$E$3:$E$10000&amp;DATA!$B$3:$B$10000,DATA!$W$3:$W$10000),"No encontrado"))</f>
        <v/>
      </c>
      <c r="E2826" s="22"/>
      <c r="F2826" s="26" t="str">
        <f aca="false">IF(A2826="","",IFERROR(buscarx(A2826&amp;E2826,DATA!$E$3:$E$10000&amp;DATA!$B$3:$B$10000,DATA!$M$3:$M$10000),"Inactivo"))</f>
        <v/>
      </c>
      <c r="G2826" s="28" t="str">
        <f aca="false">IF(A2826="","",IF(AND(C2826&lt;&gt;"No encontrado",F2826&lt;&gt;"Inactivo"),C2826&amp;" → "&amp;F2826,"Sin transición"))</f>
        <v/>
      </c>
      <c r="H2826" s="26" t="str">
        <f aca="false">IF(A2826="","",IF(D2826="GCIA LINEA SERVICIO DIGITALIDAD Y VENTAS","Chats",IF(OR(D2826="GERENCIA INBOUND LÍNEAS SERVICIO Y VENTA",D2826="GERENCIA INBOUND LINEAS ESPECIALIZADAS"),"Llamadas","Otro")))</f>
        <v/>
      </c>
      <c r="I2826" s="26" t="str">
        <f aca="false">IF(A2826="","",IF(C2826="No encontrado","No","Sí"))</f>
        <v/>
      </c>
      <c r="J2826" s="26" t="str">
        <f aca="false">IF(A2826="","",IF(F2826="Inactivo","No","Sí"))</f>
        <v/>
      </c>
      <c r="K2826" s="26" t="str">
        <f aca="false">IF(A2826="","",IF(AND(I2826="Sí",J2826="Sí"),"Sí","No"))</f>
        <v/>
      </c>
    </row>
    <row r="2827" customFormat="false" ht="15" hidden="false" customHeight="false" outlineLevel="0" collapsed="false">
      <c r="A2827" s="22"/>
      <c r="B2827" s="22"/>
      <c r="C2827" s="23" t="str">
        <f aca="false">IF(A2827="","",IFERROR(buscarx(A2827&amp;B2827,DATA!$E$3:$E$10000&amp;DATA!$B$3:$B$10000,DATA!$M$3:$M$10000),"No encontrado"))</f>
        <v/>
      </c>
      <c r="D2827" s="24" t="str">
        <f aca="false">IF(A2827="","",IFERROR(buscarx(A2827&amp;B2827,DATA!$E$3:$E$10000&amp;DATA!$B$3:$B$10000,DATA!$W$3:$W$10000),"No encontrado"))</f>
        <v/>
      </c>
      <c r="E2827" s="22"/>
      <c r="F2827" s="23" t="str">
        <f aca="false">IF(A2827="","",IFERROR(buscarx(A2827&amp;E2827,DATA!$E$3:$E$10000&amp;DATA!$B$3:$B$10000,DATA!$M$3:$M$10000),"Inactivo"))</f>
        <v/>
      </c>
      <c r="G2827" s="25" t="str">
        <f aca="false">IF(A2827="","",IF(AND(C2827&lt;&gt;"No encontrado",F2827&lt;&gt;"Inactivo"),C2827&amp;" → "&amp;F2827,"Sin transición"))</f>
        <v/>
      </c>
      <c r="H2827" s="23" t="str">
        <f aca="false">IF(A2827="","",IF(D2827="GCIA LINEA SERVICIO DIGITALIDAD Y VENTAS","Chats",IF(OR(D2827="GERENCIA INBOUND LÍNEAS SERVICIO Y VENTA",D2827="GERENCIA INBOUND LINEAS ESPECIALIZADAS"),"Llamadas","Otro")))</f>
        <v/>
      </c>
      <c r="I2827" s="23" t="str">
        <f aca="false">IF(A2827="","",IF(C2827="No encontrado","No","Sí"))</f>
        <v/>
      </c>
      <c r="J2827" s="23" t="str">
        <f aca="false">IF(A2827="","",IF(F2827="Inactivo","No","Sí"))</f>
        <v/>
      </c>
      <c r="K2827" s="23" t="str">
        <f aca="false">IF(A2827="","",IF(AND(I2827="Sí",J2827="Sí"),"Sí","No"))</f>
        <v/>
      </c>
    </row>
    <row r="2828" customFormat="false" ht="15" hidden="false" customHeight="false" outlineLevel="0" collapsed="false">
      <c r="A2828" s="22"/>
      <c r="B2828" s="22"/>
      <c r="C2828" s="26" t="str">
        <f aca="false">IF(A2828="","",IFERROR(buscarx(A2828&amp;B2828,DATA!$E$3:$E$10000&amp;DATA!$B$3:$B$10000,DATA!$M$3:$M$10000),"No encontrado"))</f>
        <v/>
      </c>
      <c r="D2828" s="27" t="str">
        <f aca="false">IF(A2828="","",IFERROR(buscarx(A2828&amp;B2828,DATA!$E$3:$E$10000&amp;DATA!$B$3:$B$10000,DATA!$W$3:$W$10000),"No encontrado"))</f>
        <v/>
      </c>
      <c r="E2828" s="22"/>
      <c r="F2828" s="26" t="str">
        <f aca="false">IF(A2828="","",IFERROR(buscarx(A2828&amp;E2828,DATA!$E$3:$E$10000&amp;DATA!$B$3:$B$10000,DATA!$M$3:$M$10000),"Inactivo"))</f>
        <v/>
      </c>
      <c r="G2828" s="28" t="str">
        <f aca="false">IF(A2828="","",IF(AND(C2828&lt;&gt;"No encontrado",F2828&lt;&gt;"Inactivo"),C2828&amp;" → "&amp;F2828,"Sin transición"))</f>
        <v/>
      </c>
      <c r="H2828" s="26" t="str">
        <f aca="false">IF(A2828="","",IF(D2828="GCIA LINEA SERVICIO DIGITALIDAD Y VENTAS","Chats",IF(OR(D2828="GERENCIA INBOUND LÍNEAS SERVICIO Y VENTA",D2828="GERENCIA INBOUND LINEAS ESPECIALIZADAS"),"Llamadas","Otro")))</f>
        <v/>
      </c>
      <c r="I2828" s="26" t="str">
        <f aca="false">IF(A2828="","",IF(C2828="No encontrado","No","Sí"))</f>
        <v/>
      </c>
      <c r="J2828" s="26" t="str">
        <f aca="false">IF(A2828="","",IF(F2828="Inactivo","No","Sí"))</f>
        <v/>
      </c>
      <c r="K2828" s="26" t="str">
        <f aca="false">IF(A2828="","",IF(AND(I2828="Sí",J2828="Sí"),"Sí","No"))</f>
        <v/>
      </c>
    </row>
    <row r="2829" customFormat="false" ht="15" hidden="false" customHeight="false" outlineLevel="0" collapsed="false">
      <c r="A2829" s="22"/>
      <c r="B2829" s="22"/>
      <c r="C2829" s="23" t="str">
        <f aca="false">IF(A2829="","",IFERROR(buscarx(A2829&amp;B2829,DATA!$E$3:$E$10000&amp;DATA!$B$3:$B$10000,DATA!$M$3:$M$10000),"No encontrado"))</f>
        <v/>
      </c>
      <c r="D2829" s="24" t="str">
        <f aca="false">IF(A2829="","",IFERROR(buscarx(A2829&amp;B2829,DATA!$E$3:$E$10000&amp;DATA!$B$3:$B$10000,DATA!$W$3:$W$10000),"No encontrado"))</f>
        <v/>
      </c>
      <c r="E2829" s="22"/>
      <c r="F2829" s="23" t="str">
        <f aca="false">IF(A2829="","",IFERROR(buscarx(A2829&amp;E2829,DATA!$E$3:$E$10000&amp;DATA!$B$3:$B$10000,DATA!$M$3:$M$10000),"Inactivo"))</f>
        <v/>
      </c>
      <c r="G2829" s="25" t="str">
        <f aca="false">IF(A2829="","",IF(AND(C2829&lt;&gt;"No encontrado",F2829&lt;&gt;"Inactivo"),C2829&amp;" → "&amp;F2829,"Sin transición"))</f>
        <v/>
      </c>
      <c r="H2829" s="23" t="str">
        <f aca="false">IF(A2829="","",IF(D2829="GCIA LINEA SERVICIO DIGITALIDAD Y VENTAS","Chats",IF(OR(D2829="GERENCIA INBOUND LÍNEAS SERVICIO Y VENTA",D2829="GERENCIA INBOUND LINEAS ESPECIALIZADAS"),"Llamadas","Otro")))</f>
        <v/>
      </c>
      <c r="I2829" s="23" t="str">
        <f aca="false">IF(A2829="","",IF(C2829="No encontrado","No","Sí"))</f>
        <v/>
      </c>
      <c r="J2829" s="23" t="str">
        <f aca="false">IF(A2829="","",IF(F2829="Inactivo","No","Sí"))</f>
        <v/>
      </c>
      <c r="K2829" s="23" t="str">
        <f aca="false">IF(A2829="","",IF(AND(I2829="Sí",J2829="Sí"),"Sí","No"))</f>
        <v/>
      </c>
    </row>
    <row r="2830" customFormat="false" ht="15" hidden="false" customHeight="false" outlineLevel="0" collapsed="false">
      <c r="A2830" s="22"/>
      <c r="B2830" s="22"/>
      <c r="C2830" s="26" t="str">
        <f aca="false">IF(A2830="","",IFERROR(buscarx(A2830&amp;B2830,DATA!$E$3:$E$10000&amp;DATA!$B$3:$B$10000,DATA!$M$3:$M$10000),"No encontrado"))</f>
        <v/>
      </c>
      <c r="D2830" s="27" t="str">
        <f aca="false">IF(A2830="","",IFERROR(buscarx(A2830&amp;B2830,DATA!$E$3:$E$10000&amp;DATA!$B$3:$B$10000,DATA!$W$3:$W$10000),"No encontrado"))</f>
        <v/>
      </c>
      <c r="E2830" s="22"/>
      <c r="F2830" s="26" t="str">
        <f aca="false">IF(A2830="","",IFERROR(buscarx(A2830&amp;E2830,DATA!$E$3:$E$10000&amp;DATA!$B$3:$B$10000,DATA!$M$3:$M$10000),"Inactivo"))</f>
        <v/>
      </c>
      <c r="G2830" s="28" t="str">
        <f aca="false">IF(A2830="","",IF(AND(C2830&lt;&gt;"No encontrado",F2830&lt;&gt;"Inactivo"),C2830&amp;" → "&amp;F2830,"Sin transición"))</f>
        <v/>
      </c>
      <c r="H2830" s="26" t="str">
        <f aca="false">IF(A2830="","",IF(D2830="GCIA LINEA SERVICIO DIGITALIDAD Y VENTAS","Chats",IF(OR(D2830="GERENCIA INBOUND LÍNEAS SERVICIO Y VENTA",D2830="GERENCIA INBOUND LINEAS ESPECIALIZADAS"),"Llamadas","Otro")))</f>
        <v/>
      </c>
      <c r="I2830" s="26" t="str">
        <f aca="false">IF(A2830="","",IF(C2830="No encontrado","No","Sí"))</f>
        <v/>
      </c>
      <c r="J2830" s="26" t="str">
        <f aca="false">IF(A2830="","",IF(F2830="Inactivo","No","Sí"))</f>
        <v/>
      </c>
      <c r="K2830" s="26" t="str">
        <f aca="false">IF(A2830="","",IF(AND(I2830="Sí",J2830="Sí"),"Sí","No"))</f>
        <v/>
      </c>
    </row>
    <row r="2831" customFormat="false" ht="15" hidden="false" customHeight="false" outlineLevel="0" collapsed="false">
      <c r="A2831" s="22"/>
      <c r="B2831" s="22"/>
      <c r="C2831" s="23" t="str">
        <f aca="false">IF(A2831="","",IFERROR(buscarx(A2831&amp;B2831,DATA!$E$3:$E$10000&amp;DATA!$B$3:$B$10000,DATA!$M$3:$M$10000),"No encontrado"))</f>
        <v/>
      </c>
      <c r="D2831" s="24" t="str">
        <f aca="false">IF(A2831="","",IFERROR(buscarx(A2831&amp;B2831,DATA!$E$3:$E$10000&amp;DATA!$B$3:$B$10000,DATA!$W$3:$W$10000),"No encontrado"))</f>
        <v/>
      </c>
      <c r="E2831" s="22"/>
      <c r="F2831" s="23" t="str">
        <f aca="false">IF(A2831="","",IFERROR(buscarx(A2831&amp;E2831,DATA!$E$3:$E$10000&amp;DATA!$B$3:$B$10000,DATA!$M$3:$M$10000),"Inactivo"))</f>
        <v/>
      </c>
      <c r="G2831" s="25" t="str">
        <f aca="false">IF(A2831="","",IF(AND(C2831&lt;&gt;"No encontrado",F2831&lt;&gt;"Inactivo"),C2831&amp;" → "&amp;F2831,"Sin transición"))</f>
        <v/>
      </c>
      <c r="H2831" s="23" t="str">
        <f aca="false">IF(A2831="","",IF(D2831="GCIA LINEA SERVICIO DIGITALIDAD Y VENTAS","Chats",IF(OR(D2831="GERENCIA INBOUND LÍNEAS SERVICIO Y VENTA",D2831="GERENCIA INBOUND LINEAS ESPECIALIZADAS"),"Llamadas","Otro")))</f>
        <v/>
      </c>
      <c r="I2831" s="23" t="str">
        <f aca="false">IF(A2831="","",IF(C2831="No encontrado","No","Sí"))</f>
        <v/>
      </c>
      <c r="J2831" s="23" t="str">
        <f aca="false">IF(A2831="","",IF(F2831="Inactivo","No","Sí"))</f>
        <v/>
      </c>
      <c r="K2831" s="23" t="str">
        <f aca="false">IF(A2831="","",IF(AND(I2831="Sí",J2831="Sí"),"Sí","No"))</f>
        <v/>
      </c>
    </row>
    <row r="2832" customFormat="false" ht="15" hidden="false" customHeight="false" outlineLevel="0" collapsed="false">
      <c r="A2832" s="22"/>
      <c r="B2832" s="22"/>
      <c r="C2832" s="26" t="str">
        <f aca="false">IF(A2832="","",IFERROR(buscarx(A2832&amp;B2832,DATA!$E$3:$E$10000&amp;DATA!$B$3:$B$10000,DATA!$M$3:$M$10000),"No encontrado"))</f>
        <v/>
      </c>
      <c r="D2832" s="27" t="str">
        <f aca="false">IF(A2832="","",IFERROR(buscarx(A2832&amp;B2832,DATA!$E$3:$E$10000&amp;DATA!$B$3:$B$10000,DATA!$W$3:$W$10000),"No encontrado"))</f>
        <v/>
      </c>
      <c r="E2832" s="22"/>
      <c r="F2832" s="26" t="str">
        <f aca="false">IF(A2832="","",IFERROR(buscarx(A2832&amp;E2832,DATA!$E$3:$E$10000&amp;DATA!$B$3:$B$10000,DATA!$M$3:$M$10000),"Inactivo"))</f>
        <v/>
      </c>
      <c r="G2832" s="28" t="str">
        <f aca="false">IF(A2832="","",IF(AND(C2832&lt;&gt;"No encontrado",F2832&lt;&gt;"Inactivo"),C2832&amp;" → "&amp;F2832,"Sin transición"))</f>
        <v/>
      </c>
      <c r="H2832" s="26" t="str">
        <f aca="false">IF(A2832="","",IF(D2832="GCIA LINEA SERVICIO DIGITALIDAD Y VENTAS","Chats",IF(OR(D2832="GERENCIA INBOUND LÍNEAS SERVICIO Y VENTA",D2832="GERENCIA INBOUND LINEAS ESPECIALIZADAS"),"Llamadas","Otro")))</f>
        <v/>
      </c>
      <c r="I2832" s="26" t="str">
        <f aca="false">IF(A2832="","",IF(C2832="No encontrado","No","Sí"))</f>
        <v/>
      </c>
      <c r="J2832" s="26" t="str">
        <f aca="false">IF(A2832="","",IF(F2832="Inactivo","No","Sí"))</f>
        <v/>
      </c>
      <c r="K2832" s="26" t="str">
        <f aca="false">IF(A2832="","",IF(AND(I2832="Sí",J2832="Sí"),"Sí","No"))</f>
        <v/>
      </c>
    </row>
    <row r="2833" customFormat="false" ht="15" hidden="false" customHeight="false" outlineLevel="0" collapsed="false">
      <c r="A2833" s="22"/>
      <c r="B2833" s="22"/>
      <c r="C2833" s="23" t="str">
        <f aca="false">IF(A2833="","",IFERROR(buscarx(A2833&amp;B2833,DATA!$E$3:$E$10000&amp;DATA!$B$3:$B$10000,DATA!$M$3:$M$10000),"No encontrado"))</f>
        <v/>
      </c>
      <c r="D2833" s="24" t="str">
        <f aca="false">IF(A2833="","",IFERROR(buscarx(A2833&amp;B2833,DATA!$E$3:$E$10000&amp;DATA!$B$3:$B$10000,DATA!$W$3:$W$10000),"No encontrado"))</f>
        <v/>
      </c>
      <c r="E2833" s="22"/>
      <c r="F2833" s="23" t="str">
        <f aca="false">IF(A2833="","",IFERROR(buscarx(A2833&amp;E2833,DATA!$E$3:$E$10000&amp;DATA!$B$3:$B$10000,DATA!$M$3:$M$10000),"Inactivo"))</f>
        <v/>
      </c>
      <c r="G2833" s="25" t="str">
        <f aca="false">IF(A2833="","",IF(AND(C2833&lt;&gt;"No encontrado",F2833&lt;&gt;"Inactivo"),C2833&amp;" → "&amp;F2833,"Sin transición"))</f>
        <v/>
      </c>
      <c r="H2833" s="23" t="str">
        <f aca="false">IF(A2833="","",IF(D2833="GCIA LINEA SERVICIO DIGITALIDAD Y VENTAS","Chats",IF(OR(D2833="GERENCIA INBOUND LÍNEAS SERVICIO Y VENTA",D2833="GERENCIA INBOUND LINEAS ESPECIALIZADAS"),"Llamadas","Otro")))</f>
        <v/>
      </c>
      <c r="I2833" s="23" t="str">
        <f aca="false">IF(A2833="","",IF(C2833="No encontrado","No","Sí"))</f>
        <v/>
      </c>
      <c r="J2833" s="23" t="str">
        <f aca="false">IF(A2833="","",IF(F2833="Inactivo","No","Sí"))</f>
        <v/>
      </c>
      <c r="K2833" s="23" t="str">
        <f aca="false">IF(A2833="","",IF(AND(I2833="Sí",J2833="Sí"),"Sí","No"))</f>
        <v/>
      </c>
    </row>
    <row r="2834" customFormat="false" ht="15" hidden="false" customHeight="false" outlineLevel="0" collapsed="false">
      <c r="A2834" s="22"/>
      <c r="B2834" s="22"/>
      <c r="C2834" s="26" t="str">
        <f aca="false">IF(A2834="","",IFERROR(buscarx(A2834&amp;B2834,DATA!$E$3:$E$10000&amp;DATA!$B$3:$B$10000,DATA!$M$3:$M$10000),"No encontrado"))</f>
        <v/>
      </c>
      <c r="D2834" s="27" t="str">
        <f aca="false">IF(A2834="","",IFERROR(buscarx(A2834&amp;B2834,DATA!$E$3:$E$10000&amp;DATA!$B$3:$B$10000,DATA!$W$3:$W$10000),"No encontrado"))</f>
        <v/>
      </c>
      <c r="E2834" s="22"/>
      <c r="F2834" s="26" t="str">
        <f aca="false">IF(A2834="","",IFERROR(buscarx(A2834&amp;E2834,DATA!$E$3:$E$10000&amp;DATA!$B$3:$B$10000,DATA!$M$3:$M$10000),"Inactivo"))</f>
        <v/>
      </c>
      <c r="G2834" s="28" t="str">
        <f aca="false">IF(A2834="","",IF(AND(C2834&lt;&gt;"No encontrado",F2834&lt;&gt;"Inactivo"),C2834&amp;" → "&amp;F2834,"Sin transición"))</f>
        <v/>
      </c>
      <c r="H2834" s="26" t="str">
        <f aca="false">IF(A2834="","",IF(D2834="GCIA LINEA SERVICIO DIGITALIDAD Y VENTAS","Chats",IF(OR(D2834="GERENCIA INBOUND LÍNEAS SERVICIO Y VENTA",D2834="GERENCIA INBOUND LINEAS ESPECIALIZADAS"),"Llamadas","Otro")))</f>
        <v/>
      </c>
      <c r="I2834" s="26" t="str">
        <f aca="false">IF(A2834="","",IF(C2834="No encontrado","No","Sí"))</f>
        <v/>
      </c>
      <c r="J2834" s="26" t="str">
        <f aca="false">IF(A2834="","",IF(F2834="Inactivo","No","Sí"))</f>
        <v/>
      </c>
      <c r="K2834" s="26" t="str">
        <f aca="false">IF(A2834="","",IF(AND(I2834="Sí",J2834="Sí"),"Sí","No"))</f>
        <v/>
      </c>
    </row>
    <row r="2835" customFormat="false" ht="15" hidden="false" customHeight="false" outlineLevel="0" collapsed="false">
      <c r="A2835" s="22"/>
      <c r="B2835" s="22"/>
      <c r="C2835" s="23" t="str">
        <f aca="false">IF(A2835="","",IFERROR(buscarx(A2835&amp;B2835,DATA!$E$3:$E$10000&amp;DATA!$B$3:$B$10000,DATA!$M$3:$M$10000),"No encontrado"))</f>
        <v/>
      </c>
      <c r="D2835" s="24" t="str">
        <f aca="false">IF(A2835="","",IFERROR(buscarx(A2835&amp;B2835,DATA!$E$3:$E$10000&amp;DATA!$B$3:$B$10000,DATA!$W$3:$W$10000),"No encontrado"))</f>
        <v/>
      </c>
      <c r="E2835" s="22"/>
      <c r="F2835" s="23" t="str">
        <f aca="false">IF(A2835="","",IFERROR(buscarx(A2835&amp;E2835,DATA!$E$3:$E$10000&amp;DATA!$B$3:$B$10000,DATA!$M$3:$M$10000),"Inactivo"))</f>
        <v/>
      </c>
      <c r="G2835" s="25" t="str">
        <f aca="false">IF(A2835="","",IF(AND(C2835&lt;&gt;"No encontrado",F2835&lt;&gt;"Inactivo"),C2835&amp;" → "&amp;F2835,"Sin transición"))</f>
        <v/>
      </c>
      <c r="H2835" s="23" t="str">
        <f aca="false">IF(A2835="","",IF(D2835="GCIA LINEA SERVICIO DIGITALIDAD Y VENTAS","Chats",IF(OR(D2835="GERENCIA INBOUND LÍNEAS SERVICIO Y VENTA",D2835="GERENCIA INBOUND LINEAS ESPECIALIZADAS"),"Llamadas","Otro")))</f>
        <v/>
      </c>
      <c r="I2835" s="23" t="str">
        <f aca="false">IF(A2835="","",IF(C2835="No encontrado","No","Sí"))</f>
        <v/>
      </c>
      <c r="J2835" s="23" t="str">
        <f aca="false">IF(A2835="","",IF(F2835="Inactivo","No","Sí"))</f>
        <v/>
      </c>
      <c r="K2835" s="23" t="str">
        <f aca="false">IF(A2835="","",IF(AND(I2835="Sí",J2835="Sí"),"Sí","No"))</f>
        <v/>
      </c>
    </row>
    <row r="2836" customFormat="false" ht="15" hidden="false" customHeight="false" outlineLevel="0" collapsed="false">
      <c r="A2836" s="22"/>
      <c r="B2836" s="22"/>
      <c r="C2836" s="26" t="str">
        <f aca="false">IF(A2836="","",IFERROR(buscarx(A2836&amp;B2836,DATA!$E$3:$E$10000&amp;DATA!$B$3:$B$10000,DATA!$M$3:$M$10000),"No encontrado"))</f>
        <v/>
      </c>
      <c r="D2836" s="27" t="str">
        <f aca="false">IF(A2836="","",IFERROR(buscarx(A2836&amp;B2836,DATA!$E$3:$E$10000&amp;DATA!$B$3:$B$10000,DATA!$W$3:$W$10000),"No encontrado"))</f>
        <v/>
      </c>
      <c r="E2836" s="22"/>
      <c r="F2836" s="26" t="str">
        <f aca="false">IF(A2836="","",IFERROR(buscarx(A2836&amp;E2836,DATA!$E$3:$E$10000&amp;DATA!$B$3:$B$10000,DATA!$M$3:$M$10000),"Inactivo"))</f>
        <v/>
      </c>
      <c r="G2836" s="28" t="str">
        <f aca="false">IF(A2836="","",IF(AND(C2836&lt;&gt;"No encontrado",F2836&lt;&gt;"Inactivo"),C2836&amp;" → "&amp;F2836,"Sin transición"))</f>
        <v/>
      </c>
      <c r="H2836" s="26" t="str">
        <f aca="false">IF(A2836="","",IF(D2836="GCIA LINEA SERVICIO DIGITALIDAD Y VENTAS","Chats",IF(OR(D2836="GERENCIA INBOUND LÍNEAS SERVICIO Y VENTA",D2836="GERENCIA INBOUND LINEAS ESPECIALIZADAS"),"Llamadas","Otro")))</f>
        <v/>
      </c>
      <c r="I2836" s="26" t="str">
        <f aca="false">IF(A2836="","",IF(C2836="No encontrado","No","Sí"))</f>
        <v/>
      </c>
      <c r="J2836" s="26" t="str">
        <f aca="false">IF(A2836="","",IF(F2836="Inactivo","No","Sí"))</f>
        <v/>
      </c>
      <c r="K2836" s="26" t="str">
        <f aca="false">IF(A2836="","",IF(AND(I2836="Sí",J2836="Sí"),"Sí","No"))</f>
        <v/>
      </c>
    </row>
    <row r="2837" customFormat="false" ht="15" hidden="false" customHeight="false" outlineLevel="0" collapsed="false">
      <c r="A2837" s="22"/>
      <c r="B2837" s="22"/>
      <c r="C2837" s="23" t="str">
        <f aca="false">IF(A2837="","",IFERROR(buscarx(A2837&amp;B2837,DATA!$E$3:$E$10000&amp;DATA!$B$3:$B$10000,DATA!$M$3:$M$10000),"No encontrado"))</f>
        <v/>
      </c>
      <c r="D2837" s="24" t="str">
        <f aca="false">IF(A2837="","",IFERROR(buscarx(A2837&amp;B2837,DATA!$E$3:$E$10000&amp;DATA!$B$3:$B$10000,DATA!$W$3:$W$10000),"No encontrado"))</f>
        <v/>
      </c>
      <c r="E2837" s="22"/>
      <c r="F2837" s="23" t="str">
        <f aca="false">IF(A2837="","",IFERROR(buscarx(A2837&amp;E2837,DATA!$E$3:$E$10000&amp;DATA!$B$3:$B$10000,DATA!$M$3:$M$10000),"Inactivo"))</f>
        <v/>
      </c>
      <c r="G2837" s="25" t="str">
        <f aca="false">IF(A2837="","",IF(AND(C2837&lt;&gt;"No encontrado",F2837&lt;&gt;"Inactivo"),C2837&amp;" → "&amp;F2837,"Sin transición"))</f>
        <v/>
      </c>
      <c r="H2837" s="23" t="str">
        <f aca="false">IF(A2837="","",IF(D2837="GCIA LINEA SERVICIO DIGITALIDAD Y VENTAS","Chats",IF(OR(D2837="GERENCIA INBOUND LÍNEAS SERVICIO Y VENTA",D2837="GERENCIA INBOUND LINEAS ESPECIALIZADAS"),"Llamadas","Otro")))</f>
        <v/>
      </c>
      <c r="I2837" s="23" t="str">
        <f aca="false">IF(A2837="","",IF(C2837="No encontrado","No","Sí"))</f>
        <v/>
      </c>
      <c r="J2837" s="23" t="str">
        <f aca="false">IF(A2837="","",IF(F2837="Inactivo","No","Sí"))</f>
        <v/>
      </c>
      <c r="K2837" s="23" t="str">
        <f aca="false">IF(A2837="","",IF(AND(I2837="Sí",J2837="Sí"),"Sí","No"))</f>
        <v/>
      </c>
    </row>
    <row r="2838" customFormat="false" ht="15" hidden="false" customHeight="false" outlineLevel="0" collapsed="false">
      <c r="A2838" s="22"/>
      <c r="B2838" s="22"/>
      <c r="C2838" s="26" t="str">
        <f aca="false">IF(A2838="","",IFERROR(buscarx(A2838&amp;B2838,DATA!$E$3:$E$10000&amp;DATA!$B$3:$B$10000,DATA!$M$3:$M$10000),"No encontrado"))</f>
        <v/>
      </c>
      <c r="D2838" s="27" t="str">
        <f aca="false">IF(A2838="","",IFERROR(buscarx(A2838&amp;B2838,DATA!$E$3:$E$10000&amp;DATA!$B$3:$B$10000,DATA!$W$3:$W$10000),"No encontrado"))</f>
        <v/>
      </c>
      <c r="E2838" s="22"/>
      <c r="F2838" s="26" t="str">
        <f aca="false">IF(A2838="","",IFERROR(buscarx(A2838&amp;E2838,DATA!$E$3:$E$10000&amp;DATA!$B$3:$B$10000,DATA!$M$3:$M$10000),"Inactivo"))</f>
        <v/>
      </c>
      <c r="G2838" s="28" t="str">
        <f aca="false">IF(A2838="","",IF(AND(C2838&lt;&gt;"No encontrado",F2838&lt;&gt;"Inactivo"),C2838&amp;" → "&amp;F2838,"Sin transición"))</f>
        <v/>
      </c>
      <c r="H2838" s="26" t="str">
        <f aca="false">IF(A2838="","",IF(D2838="GCIA LINEA SERVICIO DIGITALIDAD Y VENTAS","Chats",IF(OR(D2838="GERENCIA INBOUND LÍNEAS SERVICIO Y VENTA",D2838="GERENCIA INBOUND LINEAS ESPECIALIZADAS"),"Llamadas","Otro")))</f>
        <v/>
      </c>
      <c r="I2838" s="26" t="str">
        <f aca="false">IF(A2838="","",IF(C2838="No encontrado","No","Sí"))</f>
        <v/>
      </c>
      <c r="J2838" s="26" t="str">
        <f aca="false">IF(A2838="","",IF(F2838="Inactivo","No","Sí"))</f>
        <v/>
      </c>
      <c r="K2838" s="26" t="str">
        <f aca="false">IF(A2838="","",IF(AND(I2838="Sí",J2838="Sí"),"Sí","No"))</f>
        <v/>
      </c>
    </row>
    <row r="2839" customFormat="false" ht="15" hidden="false" customHeight="false" outlineLevel="0" collapsed="false">
      <c r="A2839" s="22"/>
      <c r="B2839" s="22"/>
      <c r="C2839" s="23" t="str">
        <f aca="false">IF(A2839="","",IFERROR(buscarx(A2839&amp;B2839,DATA!$E$3:$E$10000&amp;DATA!$B$3:$B$10000,DATA!$M$3:$M$10000),"No encontrado"))</f>
        <v/>
      </c>
      <c r="D2839" s="24" t="str">
        <f aca="false">IF(A2839="","",IFERROR(buscarx(A2839&amp;B2839,DATA!$E$3:$E$10000&amp;DATA!$B$3:$B$10000,DATA!$W$3:$W$10000),"No encontrado"))</f>
        <v/>
      </c>
      <c r="E2839" s="22"/>
      <c r="F2839" s="23" t="str">
        <f aca="false">IF(A2839="","",IFERROR(buscarx(A2839&amp;E2839,DATA!$E$3:$E$10000&amp;DATA!$B$3:$B$10000,DATA!$M$3:$M$10000),"Inactivo"))</f>
        <v/>
      </c>
      <c r="G2839" s="25" t="str">
        <f aca="false">IF(A2839="","",IF(AND(C2839&lt;&gt;"No encontrado",F2839&lt;&gt;"Inactivo"),C2839&amp;" → "&amp;F2839,"Sin transición"))</f>
        <v/>
      </c>
      <c r="H2839" s="23" t="str">
        <f aca="false">IF(A2839="","",IF(D2839="GCIA LINEA SERVICIO DIGITALIDAD Y VENTAS","Chats",IF(OR(D2839="GERENCIA INBOUND LÍNEAS SERVICIO Y VENTA",D2839="GERENCIA INBOUND LINEAS ESPECIALIZADAS"),"Llamadas","Otro")))</f>
        <v/>
      </c>
      <c r="I2839" s="23" t="str">
        <f aca="false">IF(A2839="","",IF(C2839="No encontrado","No","Sí"))</f>
        <v/>
      </c>
      <c r="J2839" s="23" t="str">
        <f aca="false">IF(A2839="","",IF(F2839="Inactivo","No","Sí"))</f>
        <v/>
      </c>
      <c r="K2839" s="23" t="str">
        <f aca="false">IF(A2839="","",IF(AND(I2839="Sí",J2839="Sí"),"Sí","No"))</f>
        <v/>
      </c>
    </row>
    <row r="2840" customFormat="false" ht="15" hidden="false" customHeight="false" outlineLevel="0" collapsed="false">
      <c r="A2840" s="22"/>
      <c r="B2840" s="22"/>
      <c r="C2840" s="26" t="str">
        <f aca="false">IF(A2840="","",IFERROR(buscarx(A2840&amp;B2840,DATA!$E$3:$E$10000&amp;DATA!$B$3:$B$10000,DATA!$M$3:$M$10000),"No encontrado"))</f>
        <v/>
      </c>
      <c r="D2840" s="27" t="str">
        <f aca="false">IF(A2840="","",IFERROR(buscarx(A2840&amp;B2840,DATA!$E$3:$E$10000&amp;DATA!$B$3:$B$10000,DATA!$W$3:$W$10000),"No encontrado"))</f>
        <v/>
      </c>
      <c r="E2840" s="22"/>
      <c r="F2840" s="26" t="str">
        <f aca="false">IF(A2840="","",IFERROR(buscarx(A2840&amp;E2840,DATA!$E$3:$E$10000&amp;DATA!$B$3:$B$10000,DATA!$M$3:$M$10000),"Inactivo"))</f>
        <v/>
      </c>
      <c r="G2840" s="28" t="str">
        <f aca="false">IF(A2840="","",IF(AND(C2840&lt;&gt;"No encontrado",F2840&lt;&gt;"Inactivo"),C2840&amp;" → "&amp;F2840,"Sin transición"))</f>
        <v/>
      </c>
      <c r="H2840" s="26" t="str">
        <f aca="false">IF(A2840="","",IF(D2840="GCIA LINEA SERVICIO DIGITALIDAD Y VENTAS","Chats",IF(OR(D2840="GERENCIA INBOUND LÍNEAS SERVICIO Y VENTA",D2840="GERENCIA INBOUND LINEAS ESPECIALIZADAS"),"Llamadas","Otro")))</f>
        <v/>
      </c>
      <c r="I2840" s="26" t="str">
        <f aca="false">IF(A2840="","",IF(C2840="No encontrado","No","Sí"))</f>
        <v/>
      </c>
      <c r="J2840" s="26" t="str">
        <f aca="false">IF(A2840="","",IF(F2840="Inactivo","No","Sí"))</f>
        <v/>
      </c>
      <c r="K2840" s="26" t="str">
        <f aca="false">IF(A2840="","",IF(AND(I2840="Sí",J2840="Sí"),"Sí","No"))</f>
        <v/>
      </c>
    </row>
    <row r="2841" customFormat="false" ht="15" hidden="false" customHeight="false" outlineLevel="0" collapsed="false">
      <c r="A2841" s="22"/>
      <c r="B2841" s="22"/>
      <c r="C2841" s="23" t="str">
        <f aca="false">IF(A2841="","",IFERROR(buscarx(A2841&amp;B2841,DATA!$E$3:$E$10000&amp;DATA!$B$3:$B$10000,DATA!$M$3:$M$10000),"No encontrado"))</f>
        <v/>
      </c>
      <c r="D2841" s="24" t="str">
        <f aca="false">IF(A2841="","",IFERROR(buscarx(A2841&amp;B2841,DATA!$E$3:$E$10000&amp;DATA!$B$3:$B$10000,DATA!$W$3:$W$10000),"No encontrado"))</f>
        <v/>
      </c>
      <c r="E2841" s="22"/>
      <c r="F2841" s="23" t="str">
        <f aca="false">IF(A2841="","",IFERROR(buscarx(A2841&amp;E2841,DATA!$E$3:$E$10000&amp;DATA!$B$3:$B$10000,DATA!$M$3:$M$10000),"Inactivo"))</f>
        <v/>
      </c>
      <c r="G2841" s="25" t="str">
        <f aca="false">IF(A2841="","",IF(AND(C2841&lt;&gt;"No encontrado",F2841&lt;&gt;"Inactivo"),C2841&amp;" → "&amp;F2841,"Sin transición"))</f>
        <v/>
      </c>
      <c r="H2841" s="23" t="str">
        <f aca="false">IF(A2841="","",IF(D2841="GCIA LINEA SERVICIO DIGITALIDAD Y VENTAS","Chats",IF(OR(D2841="GERENCIA INBOUND LÍNEAS SERVICIO Y VENTA",D2841="GERENCIA INBOUND LINEAS ESPECIALIZADAS"),"Llamadas","Otro")))</f>
        <v/>
      </c>
      <c r="I2841" s="23" t="str">
        <f aca="false">IF(A2841="","",IF(C2841="No encontrado","No","Sí"))</f>
        <v/>
      </c>
      <c r="J2841" s="23" t="str">
        <f aca="false">IF(A2841="","",IF(F2841="Inactivo","No","Sí"))</f>
        <v/>
      </c>
      <c r="K2841" s="23" t="str">
        <f aca="false">IF(A2841="","",IF(AND(I2841="Sí",J2841="Sí"),"Sí","No"))</f>
        <v/>
      </c>
    </row>
    <row r="2842" customFormat="false" ht="15" hidden="false" customHeight="false" outlineLevel="0" collapsed="false">
      <c r="A2842" s="22"/>
      <c r="B2842" s="22"/>
      <c r="C2842" s="26" t="str">
        <f aca="false">IF(A2842="","",IFERROR(buscarx(A2842&amp;B2842,DATA!$E$3:$E$10000&amp;DATA!$B$3:$B$10000,DATA!$M$3:$M$10000),"No encontrado"))</f>
        <v/>
      </c>
      <c r="D2842" s="27" t="str">
        <f aca="false">IF(A2842="","",IFERROR(buscarx(A2842&amp;B2842,DATA!$E$3:$E$10000&amp;DATA!$B$3:$B$10000,DATA!$W$3:$W$10000),"No encontrado"))</f>
        <v/>
      </c>
      <c r="E2842" s="22"/>
      <c r="F2842" s="26" t="str">
        <f aca="false">IF(A2842="","",IFERROR(buscarx(A2842&amp;E2842,DATA!$E$3:$E$10000&amp;DATA!$B$3:$B$10000,DATA!$M$3:$M$10000),"Inactivo"))</f>
        <v/>
      </c>
      <c r="G2842" s="28" t="str">
        <f aca="false">IF(A2842="","",IF(AND(C2842&lt;&gt;"No encontrado",F2842&lt;&gt;"Inactivo"),C2842&amp;" → "&amp;F2842,"Sin transición"))</f>
        <v/>
      </c>
      <c r="H2842" s="26" t="str">
        <f aca="false">IF(A2842="","",IF(D2842="GCIA LINEA SERVICIO DIGITALIDAD Y VENTAS","Chats",IF(OR(D2842="GERENCIA INBOUND LÍNEAS SERVICIO Y VENTA",D2842="GERENCIA INBOUND LINEAS ESPECIALIZADAS"),"Llamadas","Otro")))</f>
        <v/>
      </c>
      <c r="I2842" s="26" t="str">
        <f aca="false">IF(A2842="","",IF(C2842="No encontrado","No","Sí"))</f>
        <v/>
      </c>
      <c r="J2842" s="26" t="str">
        <f aca="false">IF(A2842="","",IF(F2842="Inactivo","No","Sí"))</f>
        <v/>
      </c>
      <c r="K2842" s="26" t="str">
        <f aca="false">IF(A2842="","",IF(AND(I2842="Sí",J2842="Sí"),"Sí","No"))</f>
        <v/>
      </c>
    </row>
    <row r="2843" customFormat="false" ht="15" hidden="false" customHeight="false" outlineLevel="0" collapsed="false">
      <c r="A2843" s="22"/>
      <c r="B2843" s="22"/>
      <c r="C2843" s="23" t="str">
        <f aca="false">IF(A2843="","",IFERROR(buscarx(A2843&amp;B2843,DATA!$E$3:$E$10000&amp;DATA!$B$3:$B$10000,DATA!$M$3:$M$10000),"No encontrado"))</f>
        <v/>
      </c>
      <c r="D2843" s="24" t="str">
        <f aca="false">IF(A2843="","",IFERROR(buscarx(A2843&amp;B2843,DATA!$E$3:$E$10000&amp;DATA!$B$3:$B$10000,DATA!$W$3:$W$10000),"No encontrado"))</f>
        <v/>
      </c>
      <c r="E2843" s="22"/>
      <c r="F2843" s="23" t="str">
        <f aca="false">IF(A2843="","",IFERROR(buscarx(A2843&amp;E2843,DATA!$E$3:$E$10000&amp;DATA!$B$3:$B$10000,DATA!$M$3:$M$10000),"Inactivo"))</f>
        <v/>
      </c>
      <c r="G2843" s="25" t="str">
        <f aca="false">IF(A2843="","",IF(AND(C2843&lt;&gt;"No encontrado",F2843&lt;&gt;"Inactivo"),C2843&amp;" → "&amp;F2843,"Sin transición"))</f>
        <v/>
      </c>
      <c r="H2843" s="23" t="str">
        <f aca="false">IF(A2843="","",IF(D2843="GCIA LINEA SERVICIO DIGITALIDAD Y VENTAS","Chats",IF(OR(D2843="GERENCIA INBOUND LÍNEAS SERVICIO Y VENTA",D2843="GERENCIA INBOUND LINEAS ESPECIALIZADAS"),"Llamadas","Otro")))</f>
        <v/>
      </c>
      <c r="I2843" s="23" t="str">
        <f aca="false">IF(A2843="","",IF(C2843="No encontrado","No","Sí"))</f>
        <v/>
      </c>
      <c r="J2843" s="23" t="str">
        <f aca="false">IF(A2843="","",IF(F2843="Inactivo","No","Sí"))</f>
        <v/>
      </c>
      <c r="K2843" s="23" t="str">
        <f aca="false">IF(A2843="","",IF(AND(I2843="Sí",J2843="Sí"),"Sí","No"))</f>
        <v/>
      </c>
    </row>
    <row r="2844" customFormat="false" ht="15" hidden="false" customHeight="false" outlineLevel="0" collapsed="false">
      <c r="A2844" s="22"/>
      <c r="B2844" s="22"/>
      <c r="C2844" s="26" t="str">
        <f aca="false">IF(A2844="","",IFERROR(buscarx(A2844&amp;B2844,DATA!$E$3:$E$10000&amp;DATA!$B$3:$B$10000,DATA!$M$3:$M$10000),"No encontrado"))</f>
        <v/>
      </c>
      <c r="D2844" s="27" t="str">
        <f aca="false">IF(A2844="","",IFERROR(buscarx(A2844&amp;B2844,DATA!$E$3:$E$10000&amp;DATA!$B$3:$B$10000,DATA!$W$3:$W$10000),"No encontrado"))</f>
        <v/>
      </c>
      <c r="E2844" s="22"/>
      <c r="F2844" s="26" t="str">
        <f aca="false">IF(A2844="","",IFERROR(buscarx(A2844&amp;E2844,DATA!$E$3:$E$10000&amp;DATA!$B$3:$B$10000,DATA!$M$3:$M$10000),"Inactivo"))</f>
        <v/>
      </c>
      <c r="G2844" s="28" t="str">
        <f aca="false">IF(A2844="","",IF(AND(C2844&lt;&gt;"No encontrado",F2844&lt;&gt;"Inactivo"),C2844&amp;" → "&amp;F2844,"Sin transición"))</f>
        <v/>
      </c>
      <c r="H2844" s="26" t="str">
        <f aca="false">IF(A2844="","",IF(D2844="GCIA LINEA SERVICIO DIGITALIDAD Y VENTAS","Chats",IF(OR(D2844="GERENCIA INBOUND LÍNEAS SERVICIO Y VENTA",D2844="GERENCIA INBOUND LINEAS ESPECIALIZADAS"),"Llamadas","Otro")))</f>
        <v/>
      </c>
      <c r="I2844" s="26" t="str">
        <f aca="false">IF(A2844="","",IF(C2844="No encontrado","No","Sí"))</f>
        <v/>
      </c>
      <c r="J2844" s="26" t="str">
        <f aca="false">IF(A2844="","",IF(F2844="Inactivo","No","Sí"))</f>
        <v/>
      </c>
      <c r="K2844" s="26" t="str">
        <f aca="false">IF(A2844="","",IF(AND(I2844="Sí",J2844="Sí"),"Sí","No"))</f>
        <v/>
      </c>
    </row>
    <row r="2845" customFormat="false" ht="15" hidden="false" customHeight="false" outlineLevel="0" collapsed="false">
      <c r="A2845" s="22"/>
      <c r="B2845" s="22"/>
      <c r="C2845" s="23" t="str">
        <f aca="false">IF(A2845="","",IFERROR(buscarx(A2845&amp;B2845,DATA!$E$3:$E$10000&amp;DATA!$B$3:$B$10000,DATA!$M$3:$M$10000),"No encontrado"))</f>
        <v/>
      </c>
      <c r="D2845" s="24" t="str">
        <f aca="false">IF(A2845="","",IFERROR(buscarx(A2845&amp;B2845,DATA!$E$3:$E$10000&amp;DATA!$B$3:$B$10000,DATA!$W$3:$W$10000),"No encontrado"))</f>
        <v/>
      </c>
      <c r="E2845" s="22"/>
      <c r="F2845" s="23" t="str">
        <f aca="false">IF(A2845="","",IFERROR(buscarx(A2845&amp;E2845,DATA!$E$3:$E$10000&amp;DATA!$B$3:$B$10000,DATA!$M$3:$M$10000),"Inactivo"))</f>
        <v/>
      </c>
      <c r="G2845" s="25" t="str">
        <f aca="false">IF(A2845="","",IF(AND(C2845&lt;&gt;"No encontrado",F2845&lt;&gt;"Inactivo"),C2845&amp;" → "&amp;F2845,"Sin transición"))</f>
        <v/>
      </c>
      <c r="H2845" s="23" t="str">
        <f aca="false">IF(A2845="","",IF(D2845="GCIA LINEA SERVICIO DIGITALIDAD Y VENTAS","Chats",IF(OR(D2845="GERENCIA INBOUND LÍNEAS SERVICIO Y VENTA",D2845="GERENCIA INBOUND LINEAS ESPECIALIZADAS"),"Llamadas","Otro")))</f>
        <v/>
      </c>
      <c r="I2845" s="23" t="str">
        <f aca="false">IF(A2845="","",IF(C2845="No encontrado","No","Sí"))</f>
        <v/>
      </c>
      <c r="J2845" s="23" t="str">
        <f aca="false">IF(A2845="","",IF(F2845="Inactivo","No","Sí"))</f>
        <v/>
      </c>
      <c r="K2845" s="23" t="str">
        <f aca="false">IF(A2845="","",IF(AND(I2845="Sí",J2845="Sí"),"Sí","No"))</f>
        <v/>
      </c>
    </row>
    <row r="2846" customFormat="false" ht="15" hidden="false" customHeight="false" outlineLevel="0" collapsed="false">
      <c r="A2846" s="22"/>
      <c r="B2846" s="22"/>
      <c r="C2846" s="26" t="str">
        <f aca="false">IF(A2846="","",IFERROR(buscarx(A2846&amp;B2846,DATA!$E$3:$E$10000&amp;DATA!$B$3:$B$10000,DATA!$M$3:$M$10000),"No encontrado"))</f>
        <v/>
      </c>
      <c r="D2846" s="27" t="str">
        <f aca="false">IF(A2846="","",IFERROR(buscarx(A2846&amp;B2846,DATA!$E$3:$E$10000&amp;DATA!$B$3:$B$10000,DATA!$W$3:$W$10000),"No encontrado"))</f>
        <v/>
      </c>
      <c r="E2846" s="22"/>
      <c r="F2846" s="26" t="str">
        <f aca="false">IF(A2846="","",IFERROR(buscarx(A2846&amp;E2846,DATA!$E$3:$E$10000&amp;DATA!$B$3:$B$10000,DATA!$M$3:$M$10000),"Inactivo"))</f>
        <v/>
      </c>
      <c r="G2846" s="28" t="str">
        <f aca="false">IF(A2846="","",IF(AND(C2846&lt;&gt;"No encontrado",F2846&lt;&gt;"Inactivo"),C2846&amp;" → "&amp;F2846,"Sin transición"))</f>
        <v/>
      </c>
      <c r="H2846" s="26" t="str">
        <f aca="false">IF(A2846="","",IF(D2846="GCIA LINEA SERVICIO DIGITALIDAD Y VENTAS","Chats",IF(OR(D2846="GERENCIA INBOUND LÍNEAS SERVICIO Y VENTA",D2846="GERENCIA INBOUND LINEAS ESPECIALIZADAS"),"Llamadas","Otro")))</f>
        <v/>
      </c>
      <c r="I2846" s="26" t="str">
        <f aca="false">IF(A2846="","",IF(C2846="No encontrado","No","Sí"))</f>
        <v/>
      </c>
      <c r="J2846" s="26" t="str">
        <f aca="false">IF(A2846="","",IF(F2846="Inactivo","No","Sí"))</f>
        <v/>
      </c>
      <c r="K2846" s="26" t="str">
        <f aca="false">IF(A2846="","",IF(AND(I2846="Sí",J2846="Sí"),"Sí","No"))</f>
        <v/>
      </c>
    </row>
    <row r="2847" customFormat="false" ht="15" hidden="false" customHeight="false" outlineLevel="0" collapsed="false">
      <c r="A2847" s="22"/>
      <c r="B2847" s="22"/>
      <c r="C2847" s="23" t="str">
        <f aca="false">IF(A2847="","",IFERROR(buscarx(A2847&amp;B2847,DATA!$E$3:$E$10000&amp;DATA!$B$3:$B$10000,DATA!$M$3:$M$10000),"No encontrado"))</f>
        <v/>
      </c>
      <c r="D2847" s="24" t="str">
        <f aca="false">IF(A2847="","",IFERROR(buscarx(A2847&amp;B2847,DATA!$E$3:$E$10000&amp;DATA!$B$3:$B$10000,DATA!$W$3:$W$10000),"No encontrado"))</f>
        <v/>
      </c>
      <c r="E2847" s="22"/>
      <c r="F2847" s="23" t="str">
        <f aca="false">IF(A2847="","",IFERROR(buscarx(A2847&amp;E2847,DATA!$E$3:$E$10000&amp;DATA!$B$3:$B$10000,DATA!$M$3:$M$10000),"Inactivo"))</f>
        <v/>
      </c>
      <c r="G2847" s="25" t="str">
        <f aca="false">IF(A2847="","",IF(AND(C2847&lt;&gt;"No encontrado",F2847&lt;&gt;"Inactivo"),C2847&amp;" → "&amp;F2847,"Sin transición"))</f>
        <v/>
      </c>
      <c r="H2847" s="23" t="str">
        <f aca="false">IF(A2847="","",IF(D2847="GCIA LINEA SERVICIO DIGITALIDAD Y VENTAS","Chats",IF(OR(D2847="GERENCIA INBOUND LÍNEAS SERVICIO Y VENTA",D2847="GERENCIA INBOUND LINEAS ESPECIALIZADAS"),"Llamadas","Otro")))</f>
        <v/>
      </c>
      <c r="I2847" s="23" t="str">
        <f aca="false">IF(A2847="","",IF(C2847="No encontrado","No","Sí"))</f>
        <v/>
      </c>
      <c r="J2847" s="23" t="str">
        <f aca="false">IF(A2847="","",IF(F2847="Inactivo","No","Sí"))</f>
        <v/>
      </c>
      <c r="K2847" s="23" t="str">
        <f aca="false">IF(A2847="","",IF(AND(I2847="Sí",J2847="Sí"),"Sí","No"))</f>
        <v/>
      </c>
    </row>
    <row r="2848" customFormat="false" ht="15" hidden="false" customHeight="false" outlineLevel="0" collapsed="false">
      <c r="A2848" s="22"/>
      <c r="B2848" s="22"/>
      <c r="C2848" s="26" t="str">
        <f aca="false">IF(A2848="","",IFERROR(buscarx(A2848&amp;B2848,DATA!$E$3:$E$10000&amp;DATA!$B$3:$B$10000,DATA!$M$3:$M$10000),"No encontrado"))</f>
        <v/>
      </c>
      <c r="D2848" s="27" t="str">
        <f aca="false">IF(A2848="","",IFERROR(buscarx(A2848&amp;B2848,DATA!$E$3:$E$10000&amp;DATA!$B$3:$B$10000,DATA!$W$3:$W$10000),"No encontrado"))</f>
        <v/>
      </c>
      <c r="E2848" s="22"/>
      <c r="F2848" s="26" t="str">
        <f aca="false">IF(A2848="","",IFERROR(buscarx(A2848&amp;E2848,DATA!$E$3:$E$10000&amp;DATA!$B$3:$B$10000,DATA!$M$3:$M$10000),"Inactivo"))</f>
        <v/>
      </c>
      <c r="G2848" s="28" t="str">
        <f aca="false">IF(A2848="","",IF(AND(C2848&lt;&gt;"No encontrado",F2848&lt;&gt;"Inactivo"),C2848&amp;" → "&amp;F2848,"Sin transición"))</f>
        <v/>
      </c>
      <c r="H2848" s="26" t="str">
        <f aca="false">IF(A2848="","",IF(D2848="GCIA LINEA SERVICIO DIGITALIDAD Y VENTAS","Chats",IF(OR(D2848="GERENCIA INBOUND LÍNEAS SERVICIO Y VENTA",D2848="GERENCIA INBOUND LINEAS ESPECIALIZADAS"),"Llamadas","Otro")))</f>
        <v/>
      </c>
      <c r="I2848" s="26" t="str">
        <f aca="false">IF(A2848="","",IF(C2848="No encontrado","No","Sí"))</f>
        <v/>
      </c>
      <c r="J2848" s="26" t="str">
        <f aca="false">IF(A2848="","",IF(F2848="Inactivo","No","Sí"))</f>
        <v/>
      </c>
      <c r="K2848" s="26" t="str">
        <f aca="false">IF(A2848="","",IF(AND(I2848="Sí",J2848="Sí"),"Sí","No"))</f>
        <v/>
      </c>
    </row>
    <row r="2849" customFormat="false" ht="15" hidden="false" customHeight="false" outlineLevel="0" collapsed="false">
      <c r="A2849" s="22"/>
      <c r="B2849" s="22"/>
      <c r="C2849" s="23" t="str">
        <f aca="false">IF(A2849="","",IFERROR(buscarx(A2849&amp;B2849,DATA!$E$3:$E$10000&amp;DATA!$B$3:$B$10000,DATA!$M$3:$M$10000),"No encontrado"))</f>
        <v/>
      </c>
      <c r="D2849" s="24" t="str">
        <f aca="false">IF(A2849="","",IFERROR(buscarx(A2849&amp;B2849,DATA!$E$3:$E$10000&amp;DATA!$B$3:$B$10000,DATA!$W$3:$W$10000),"No encontrado"))</f>
        <v/>
      </c>
      <c r="E2849" s="22"/>
      <c r="F2849" s="23" t="str">
        <f aca="false">IF(A2849="","",IFERROR(buscarx(A2849&amp;E2849,DATA!$E$3:$E$10000&amp;DATA!$B$3:$B$10000,DATA!$M$3:$M$10000),"Inactivo"))</f>
        <v/>
      </c>
      <c r="G2849" s="25" t="str">
        <f aca="false">IF(A2849="","",IF(AND(C2849&lt;&gt;"No encontrado",F2849&lt;&gt;"Inactivo"),C2849&amp;" → "&amp;F2849,"Sin transición"))</f>
        <v/>
      </c>
      <c r="H2849" s="23" t="str">
        <f aca="false">IF(A2849="","",IF(D2849="GCIA LINEA SERVICIO DIGITALIDAD Y VENTAS","Chats",IF(OR(D2849="GERENCIA INBOUND LÍNEAS SERVICIO Y VENTA",D2849="GERENCIA INBOUND LINEAS ESPECIALIZADAS"),"Llamadas","Otro")))</f>
        <v/>
      </c>
      <c r="I2849" s="23" t="str">
        <f aca="false">IF(A2849="","",IF(C2849="No encontrado","No","Sí"))</f>
        <v/>
      </c>
      <c r="J2849" s="23" t="str">
        <f aca="false">IF(A2849="","",IF(F2849="Inactivo","No","Sí"))</f>
        <v/>
      </c>
      <c r="K2849" s="23" t="str">
        <f aca="false">IF(A2849="","",IF(AND(I2849="Sí",J2849="Sí"),"Sí","No"))</f>
        <v/>
      </c>
    </row>
    <row r="2850" customFormat="false" ht="15" hidden="false" customHeight="false" outlineLevel="0" collapsed="false">
      <c r="A2850" s="22"/>
      <c r="B2850" s="22"/>
      <c r="C2850" s="26" t="str">
        <f aca="false">IF(A2850="","",IFERROR(buscarx(A2850&amp;B2850,DATA!$E$3:$E$10000&amp;DATA!$B$3:$B$10000,DATA!$M$3:$M$10000),"No encontrado"))</f>
        <v/>
      </c>
      <c r="D2850" s="27" t="str">
        <f aca="false">IF(A2850="","",IFERROR(buscarx(A2850&amp;B2850,DATA!$E$3:$E$10000&amp;DATA!$B$3:$B$10000,DATA!$W$3:$W$10000),"No encontrado"))</f>
        <v/>
      </c>
      <c r="E2850" s="22"/>
      <c r="F2850" s="26" t="str">
        <f aca="false">IF(A2850="","",IFERROR(buscarx(A2850&amp;E2850,DATA!$E$3:$E$10000&amp;DATA!$B$3:$B$10000,DATA!$M$3:$M$10000),"Inactivo"))</f>
        <v/>
      </c>
      <c r="G2850" s="28" t="str">
        <f aca="false">IF(A2850="","",IF(AND(C2850&lt;&gt;"No encontrado",F2850&lt;&gt;"Inactivo"),C2850&amp;" → "&amp;F2850,"Sin transición"))</f>
        <v/>
      </c>
      <c r="H2850" s="26" t="str">
        <f aca="false">IF(A2850="","",IF(D2850="GCIA LINEA SERVICIO DIGITALIDAD Y VENTAS","Chats",IF(OR(D2850="GERENCIA INBOUND LÍNEAS SERVICIO Y VENTA",D2850="GERENCIA INBOUND LINEAS ESPECIALIZADAS"),"Llamadas","Otro")))</f>
        <v/>
      </c>
      <c r="I2850" s="26" t="str">
        <f aca="false">IF(A2850="","",IF(C2850="No encontrado","No","Sí"))</f>
        <v/>
      </c>
      <c r="J2850" s="26" t="str">
        <f aca="false">IF(A2850="","",IF(F2850="Inactivo","No","Sí"))</f>
        <v/>
      </c>
      <c r="K2850" s="26" t="str">
        <f aca="false">IF(A2850="","",IF(AND(I2850="Sí",J2850="Sí"),"Sí","No"))</f>
        <v/>
      </c>
    </row>
    <row r="2851" customFormat="false" ht="15" hidden="false" customHeight="false" outlineLevel="0" collapsed="false">
      <c r="A2851" s="22"/>
      <c r="B2851" s="22"/>
      <c r="C2851" s="23" t="str">
        <f aca="false">IF(A2851="","",IFERROR(buscarx(A2851&amp;B2851,DATA!$E$3:$E$10000&amp;DATA!$B$3:$B$10000,DATA!$M$3:$M$10000),"No encontrado"))</f>
        <v/>
      </c>
      <c r="D2851" s="24" t="str">
        <f aca="false">IF(A2851="","",IFERROR(buscarx(A2851&amp;B2851,DATA!$E$3:$E$10000&amp;DATA!$B$3:$B$10000,DATA!$W$3:$W$10000),"No encontrado"))</f>
        <v/>
      </c>
      <c r="E2851" s="22"/>
      <c r="F2851" s="23" t="str">
        <f aca="false">IF(A2851="","",IFERROR(buscarx(A2851&amp;E2851,DATA!$E$3:$E$10000&amp;DATA!$B$3:$B$10000,DATA!$M$3:$M$10000),"Inactivo"))</f>
        <v/>
      </c>
      <c r="G2851" s="25" t="str">
        <f aca="false">IF(A2851="","",IF(AND(C2851&lt;&gt;"No encontrado",F2851&lt;&gt;"Inactivo"),C2851&amp;" → "&amp;F2851,"Sin transición"))</f>
        <v/>
      </c>
      <c r="H2851" s="23" t="str">
        <f aca="false">IF(A2851="","",IF(D2851="GCIA LINEA SERVICIO DIGITALIDAD Y VENTAS","Chats",IF(OR(D2851="GERENCIA INBOUND LÍNEAS SERVICIO Y VENTA",D2851="GERENCIA INBOUND LINEAS ESPECIALIZADAS"),"Llamadas","Otro")))</f>
        <v/>
      </c>
      <c r="I2851" s="23" t="str">
        <f aca="false">IF(A2851="","",IF(C2851="No encontrado","No","Sí"))</f>
        <v/>
      </c>
      <c r="J2851" s="23" t="str">
        <f aca="false">IF(A2851="","",IF(F2851="Inactivo","No","Sí"))</f>
        <v/>
      </c>
      <c r="K2851" s="23" t="str">
        <f aca="false">IF(A2851="","",IF(AND(I2851="Sí",J2851="Sí"),"Sí","No"))</f>
        <v/>
      </c>
    </row>
    <row r="2852" customFormat="false" ht="15" hidden="false" customHeight="false" outlineLevel="0" collapsed="false">
      <c r="A2852" s="22"/>
      <c r="B2852" s="22"/>
      <c r="C2852" s="26" t="str">
        <f aca="false">IF(A2852="","",IFERROR(buscarx(A2852&amp;B2852,DATA!$E$3:$E$10000&amp;DATA!$B$3:$B$10000,DATA!$M$3:$M$10000),"No encontrado"))</f>
        <v/>
      </c>
      <c r="D2852" s="27" t="str">
        <f aca="false">IF(A2852="","",IFERROR(buscarx(A2852&amp;B2852,DATA!$E$3:$E$10000&amp;DATA!$B$3:$B$10000,DATA!$W$3:$W$10000),"No encontrado"))</f>
        <v/>
      </c>
      <c r="E2852" s="22"/>
      <c r="F2852" s="26" t="str">
        <f aca="false">IF(A2852="","",IFERROR(buscarx(A2852&amp;E2852,DATA!$E$3:$E$10000&amp;DATA!$B$3:$B$10000,DATA!$M$3:$M$10000),"Inactivo"))</f>
        <v/>
      </c>
      <c r="G2852" s="28" t="str">
        <f aca="false">IF(A2852="","",IF(AND(C2852&lt;&gt;"No encontrado",F2852&lt;&gt;"Inactivo"),C2852&amp;" → "&amp;F2852,"Sin transición"))</f>
        <v/>
      </c>
      <c r="H2852" s="26" t="str">
        <f aca="false">IF(A2852="","",IF(D2852="GCIA LINEA SERVICIO DIGITALIDAD Y VENTAS","Chats",IF(OR(D2852="GERENCIA INBOUND LÍNEAS SERVICIO Y VENTA",D2852="GERENCIA INBOUND LINEAS ESPECIALIZADAS"),"Llamadas","Otro")))</f>
        <v/>
      </c>
      <c r="I2852" s="26" t="str">
        <f aca="false">IF(A2852="","",IF(C2852="No encontrado","No","Sí"))</f>
        <v/>
      </c>
      <c r="J2852" s="26" t="str">
        <f aca="false">IF(A2852="","",IF(F2852="Inactivo","No","Sí"))</f>
        <v/>
      </c>
      <c r="K2852" s="26" t="str">
        <f aca="false">IF(A2852="","",IF(AND(I2852="Sí",J2852="Sí"),"Sí","No"))</f>
        <v/>
      </c>
    </row>
    <row r="2853" customFormat="false" ht="15" hidden="false" customHeight="false" outlineLevel="0" collapsed="false">
      <c r="A2853" s="22"/>
      <c r="B2853" s="22"/>
      <c r="C2853" s="23" t="str">
        <f aca="false">IF(A2853="","",IFERROR(buscarx(A2853&amp;B2853,DATA!$E$3:$E$10000&amp;DATA!$B$3:$B$10000,DATA!$M$3:$M$10000),"No encontrado"))</f>
        <v/>
      </c>
      <c r="D2853" s="24" t="str">
        <f aca="false">IF(A2853="","",IFERROR(buscarx(A2853&amp;B2853,DATA!$E$3:$E$10000&amp;DATA!$B$3:$B$10000,DATA!$W$3:$W$10000),"No encontrado"))</f>
        <v/>
      </c>
      <c r="E2853" s="22"/>
      <c r="F2853" s="23" t="str">
        <f aca="false">IF(A2853="","",IFERROR(buscarx(A2853&amp;E2853,DATA!$E$3:$E$10000&amp;DATA!$B$3:$B$10000,DATA!$M$3:$M$10000),"Inactivo"))</f>
        <v/>
      </c>
      <c r="G2853" s="25" t="str">
        <f aca="false">IF(A2853="","",IF(AND(C2853&lt;&gt;"No encontrado",F2853&lt;&gt;"Inactivo"),C2853&amp;" → "&amp;F2853,"Sin transición"))</f>
        <v/>
      </c>
      <c r="H2853" s="23" t="str">
        <f aca="false">IF(A2853="","",IF(D2853="GCIA LINEA SERVICIO DIGITALIDAD Y VENTAS","Chats",IF(OR(D2853="GERENCIA INBOUND LÍNEAS SERVICIO Y VENTA",D2853="GERENCIA INBOUND LINEAS ESPECIALIZADAS"),"Llamadas","Otro")))</f>
        <v/>
      </c>
      <c r="I2853" s="23" t="str">
        <f aca="false">IF(A2853="","",IF(C2853="No encontrado","No","Sí"))</f>
        <v/>
      </c>
      <c r="J2853" s="23" t="str">
        <f aca="false">IF(A2853="","",IF(F2853="Inactivo","No","Sí"))</f>
        <v/>
      </c>
      <c r="K2853" s="23" t="str">
        <f aca="false">IF(A2853="","",IF(AND(I2853="Sí",J2853="Sí"),"Sí","No"))</f>
        <v/>
      </c>
    </row>
    <row r="2854" customFormat="false" ht="15" hidden="false" customHeight="false" outlineLevel="0" collapsed="false">
      <c r="A2854" s="22"/>
      <c r="B2854" s="22"/>
      <c r="C2854" s="26" t="str">
        <f aca="false">IF(A2854="","",IFERROR(buscarx(A2854&amp;B2854,DATA!$E$3:$E$10000&amp;DATA!$B$3:$B$10000,DATA!$M$3:$M$10000),"No encontrado"))</f>
        <v/>
      </c>
      <c r="D2854" s="27" t="str">
        <f aca="false">IF(A2854="","",IFERROR(buscarx(A2854&amp;B2854,DATA!$E$3:$E$10000&amp;DATA!$B$3:$B$10000,DATA!$W$3:$W$10000),"No encontrado"))</f>
        <v/>
      </c>
      <c r="E2854" s="22"/>
      <c r="F2854" s="26" t="str">
        <f aca="false">IF(A2854="","",IFERROR(buscarx(A2854&amp;E2854,DATA!$E$3:$E$10000&amp;DATA!$B$3:$B$10000,DATA!$M$3:$M$10000),"Inactivo"))</f>
        <v/>
      </c>
      <c r="G2854" s="28" t="str">
        <f aca="false">IF(A2854="","",IF(AND(C2854&lt;&gt;"No encontrado",F2854&lt;&gt;"Inactivo"),C2854&amp;" → "&amp;F2854,"Sin transición"))</f>
        <v/>
      </c>
      <c r="H2854" s="26" t="str">
        <f aca="false">IF(A2854="","",IF(D2854="GCIA LINEA SERVICIO DIGITALIDAD Y VENTAS","Chats",IF(OR(D2854="GERENCIA INBOUND LÍNEAS SERVICIO Y VENTA",D2854="GERENCIA INBOUND LINEAS ESPECIALIZADAS"),"Llamadas","Otro")))</f>
        <v/>
      </c>
      <c r="I2854" s="26" t="str">
        <f aca="false">IF(A2854="","",IF(C2854="No encontrado","No","Sí"))</f>
        <v/>
      </c>
      <c r="J2854" s="26" t="str">
        <f aca="false">IF(A2854="","",IF(F2854="Inactivo","No","Sí"))</f>
        <v/>
      </c>
      <c r="K2854" s="26" t="str">
        <f aca="false">IF(A2854="","",IF(AND(I2854="Sí",J2854="Sí"),"Sí","No"))</f>
        <v/>
      </c>
    </row>
    <row r="2855" customFormat="false" ht="15" hidden="false" customHeight="false" outlineLevel="0" collapsed="false">
      <c r="A2855" s="22"/>
      <c r="B2855" s="22"/>
      <c r="C2855" s="23" t="str">
        <f aca="false">IF(A2855="","",IFERROR(buscarx(A2855&amp;B2855,DATA!$E$3:$E$10000&amp;DATA!$B$3:$B$10000,DATA!$M$3:$M$10000),"No encontrado"))</f>
        <v/>
      </c>
      <c r="D2855" s="24" t="str">
        <f aca="false">IF(A2855="","",IFERROR(buscarx(A2855&amp;B2855,DATA!$E$3:$E$10000&amp;DATA!$B$3:$B$10000,DATA!$W$3:$W$10000),"No encontrado"))</f>
        <v/>
      </c>
      <c r="E2855" s="22"/>
      <c r="F2855" s="23" t="str">
        <f aca="false">IF(A2855="","",IFERROR(buscarx(A2855&amp;E2855,DATA!$E$3:$E$10000&amp;DATA!$B$3:$B$10000,DATA!$M$3:$M$10000),"Inactivo"))</f>
        <v/>
      </c>
      <c r="G2855" s="25" t="str">
        <f aca="false">IF(A2855="","",IF(AND(C2855&lt;&gt;"No encontrado",F2855&lt;&gt;"Inactivo"),C2855&amp;" → "&amp;F2855,"Sin transición"))</f>
        <v/>
      </c>
      <c r="H2855" s="23" t="str">
        <f aca="false">IF(A2855="","",IF(D2855="GCIA LINEA SERVICIO DIGITALIDAD Y VENTAS","Chats",IF(OR(D2855="GERENCIA INBOUND LÍNEAS SERVICIO Y VENTA",D2855="GERENCIA INBOUND LINEAS ESPECIALIZADAS"),"Llamadas","Otro")))</f>
        <v/>
      </c>
      <c r="I2855" s="23" t="str">
        <f aca="false">IF(A2855="","",IF(C2855="No encontrado","No","Sí"))</f>
        <v/>
      </c>
      <c r="J2855" s="23" t="str">
        <f aca="false">IF(A2855="","",IF(F2855="Inactivo","No","Sí"))</f>
        <v/>
      </c>
      <c r="K2855" s="23" t="str">
        <f aca="false">IF(A2855="","",IF(AND(I2855="Sí",J2855="Sí"),"Sí","No"))</f>
        <v/>
      </c>
    </row>
    <row r="2856" customFormat="false" ht="15" hidden="false" customHeight="false" outlineLevel="0" collapsed="false">
      <c r="A2856" s="22"/>
      <c r="B2856" s="22"/>
      <c r="C2856" s="26" t="str">
        <f aca="false">IF(A2856="","",IFERROR(buscarx(A2856&amp;B2856,DATA!$E$3:$E$10000&amp;DATA!$B$3:$B$10000,DATA!$M$3:$M$10000),"No encontrado"))</f>
        <v/>
      </c>
      <c r="D2856" s="27" t="str">
        <f aca="false">IF(A2856="","",IFERROR(buscarx(A2856&amp;B2856,DATA!$E$3:$E$10000&amp;DATA!$B$3:$B$10000,DATA!$W$3:$W$10000),"No encontrado"))</f>
        <v/>
      </c>
      <c r="E2856" s="22"/>
      <c r="F2856" s="26" t="str">
        <f aca="false">IF(A2856="","",IFERROR(buscarx(A2856&amp;E2856,DATA!$E$3:$E$10000&amp;DATA!$B$3:$B$10000,DATA!$M$3:$M$10000),"Inactivo"))</f>
        <v/>
      </c>
      <c r="G2856" s="28" t="str">
        <f aca="false">IF(A2856="","",IF(AND(C2856&lt;&gt;"No encontrado",F2856&lt;&gt;"Inactivo"),C2856&amp;" → "&amp;F2856,"Sin transición"))</f>
        <v/>
      </c>
      <c r="H2856" s="26" t="str">
        <f aca="false">IF(A2856="","",IF(D2856="GCIA LINEA SERVICIO DIGITALIDAD Y VENTAS","Chats",IF(OR(D2856="GERENCIA INBOUND LÍNEAS SERVICIO Y VENTA",D2856="GERENCIA INBOUND LINEAS ESPECIALIZADAS"),"Llamadas","Otro")))</f>
        <v/>
      </c>
      <c r="I2856" s="26" t="str">
        <f aca="false">IF(A2856="","",IF(C2856="No encontrado","No","Sí"))</f>
        <v/>
      </c>
      <c r="J2856" s="26" t="str">
        <f aca="false">IF(A2856="","",IF(F2856="Inactivo","No","Sí"))</f>
        <v/>
      </c>
      <c r="K2856" s="26" t="str">
        <f aca="false">IF(A2856="","",IF(AND(I2856="Sí",J2856="Sí"),"Sí","No"))</f>
        <v/>
      </c>
    </row>
    <row r="2857" customFormat="false" ht="15" hidden="false" customHeight="false" outlineLevel="0" collapsed="false">
      <c r="A2857" s="22"/>
      <c r="B2857" s="22"/>
      <c r="C2857" s="23" t="str">
        <f aca="false">IF(A2857="","",IFERROR(buscarx(A2857&amp;B2857,DATA!$E$3:$E$10000&amp;DATA!$B$3:$B$10000,DATA!$M$3:$M$10000),"No encontrado"))</f>
        <v/>
      </c>
      <c r="D2857" s="24" t="str">
        <f aca="false">IF(A2857="","",IFERROR(buscarx(A2857&amp;B2857,DATA!$E$3:$E$10000&amp;DATA!$B$3:$B$10000,DATA!$W$3:$W$10000),"No encontrado"))</f>
        <v/>
      </c>
      <c r="E2857" s="22"/>
      <c r="F2857" s="23" t="str">
        <f aca="false">IF(A2857="","",IFERROR(buscarx(A2857&amp;E2857,DATA!$E$3:$E$10000&amp;DATA!$B$3:$B$10000,DATA!$M$3:$M$10000),"Inactivo"))</f>
        <v/>
      </c>
      <c r="G2857" s="25" t="str">
        <f aca="false">IF(A2857="","",IF(AND(C2857&lt;&gt;"No encontrado",F2857&lt;&gt;"Inactivo"),C2857&amp;" → "&amp;F2857,"Sin transición"))</f>
        <v/>
      </c>
      <c r="H2857" s="23" t="str">
        <f aca="false">IF(A2857="","",IF(D2857="GCIA LINEA SERVICIO DIGITALIDAD Y VENTAS","Chats",IF(OR(D2857="GERENCIA INBOUND LÍNEAS SERVICIO Y VENTA",D2857="GERENCIA INBOUND LINEAS ESPECIALIZADAS"),"Llamadas","Otro")))</f>
        <v/>
      </c>
      <c r="I2857" s="23" t="str">
        <f aca="false">IF(A2857="","",IF(C2857="No encontrado","No","Sí"))</f>
        <v/>
      </c>
      <c r="J2857" s="23" t="str">
        <f aca="false">IF(A2857="","",IF(F2857="Inactivo","No","Sí"))</f>
        <v/>
      </c>
      <c r="K2857" s="23" t="str">
        <f aca="false">IF(A2857="","",IF(AND(I2857="Sí",J2857="Sí"),"Sí","No"))</f>
        <v/>
      </c>
    </row>
    <row r="2858" customFormat="false" ht="15" hidden="false" customHeight="false" outlineLevel="0" collapsed="false">
      <c r="A2858" s="22"/>
      <c r="B2858" s="22"/>
      <c r="C2858" s="26" t="str">
        <f aca="false">IF(A2858="","",IFERROR(buscarx(A2858&amp;B2858,DATA!$E$3:$E$10000&amp;DATA!$B$3:$B$10000,DATA!$M$3:$M$10000),"No encontrado"))</f>
        <v/>
      </c>
      <c r="D2858" s="27" t="str">
        <f aca="false">IF(A2858="","",IFERROR(buscarx(A2858&amp;B2858,DATA!$E$3:$E$10000&amp;DATA!$B$3:$B$10000,DATA!$W$3:$W$10000),"No encontrado"))</f>
        <v/>
      </c>
      <c r="E2858" s="22"/>
      <c r="F2858" s="26" t="str">
        <f aca="false">IF(A2858="","",IFERROR(buscarx(A2858&amp;E2858,DATA!$E$3:$E$10000&amp;DATA!$B$3:$B$10000,DATA!$M$3:$M$10000),"Inactivo"))</f>
        <v/>
      </c>
      <c r="G2858" s="28" t="str">
        <f aca="false">IF(A2858="","",IF(AND(C2858&lt;&gt;"No encontrado",F2858&lt;&gt;"Inactivo"),C2858&amp;" → "&amp;F2858,"Sin transición"))</f>
        <v/>
      </c>
      <c r="H2858" s="26" t="str">
        <f aca="false">IF(A2858="","",IF(D2858="GCIA LINEA SERVICIO DIGITALIDAD Y VENTAS","Chats",IF(OR(D2858="GERENCIA INBOUND LÍNEAS SERVICIO Y VENTA",D2858="GERENCIA INBOUND LINEAS ESPECIALIZADAS"),"Llamadas","Otro")))</f>
        <v/>
      </c>
      <c r="I2858" s="26" t="str">
        <f aca="false">IF(A2858="","",IF(C2858="No encontrado","No","Sí"))</f>
        <v/>
      </c>
      <c r="J2858" s="26" t="str">
        <f aca="false">IF(A2858="","",IF(F2858="Inactivo","No","Sí"))</f>
        <v/>
      </c>
      <c r="K2858" s="26" t="str">
        <f aca="false">IF(A2858="","",IF(AND(I2858="Sí",J2858="Sí"),"Sí","No"))</f>
        <v/>
      </c>
    </row>
    <row r="2859" customFormat="false" ht="15" hidden="false" customHeight="false" outlineLevel="0" collapsed="false">
      <c r="A2859" s="22"/>
      <c r="B2859" s="22"/>
      <c r="C2859" s="23" t="str">
        <f aca="false">IF(A2859="","",IFERROR(buscarx(A2859&amp;B2859,DATA!$E$3:$E$10000&amp;DATA!$B$3:$B$10000,DATA!$M$3:$M$10000),"No encontrado"))</f>
        <v/>
      </c>
      <c r="D2859" s="24" t="str">
        <f aca="false">IF(A2859="","",IFERROR(buscarx(A2859&amp;B2859,DATA!$E$3:$E$10000&amp;DATA!$B$3:$B$10000,DATA!$W$3:$W$10000),"No encontrado"))</f>
        <v/>
      </c>
      <c r="E2859" s="22"/>
      <c r="F2859" s="23" t="str">
        <f aca="false">IF(A2859="","",IFERROR(buscarx(A2859&amp;E2859,DATA!$E$3:$E$10000&amp;DATA!$B$3:$B$10000,DATA!$M$3:$M$10000),"Inactivo"))</f>
        <v/>
      </c>
      <c r="G2859" s="25" t="str">
        <f aca="false">IF(A2859="","",IF(AND(C2859&lt;&gt;"No encontrado",F2859&lt;&gt;"Inactivo"),C2859&amp;" → "&amp;F2859,"Sin transición"))</f>
        <v/>
      </c>
      <c r="H2859" s="23" t="str">
        <f aca="false">IF(A2859="","",IF(D2859="GCIA LINEA SERVICIO DIGITALIDAD Y VENTAS","Chats",IF(OR(D2859="GERENCIA INBOUND LÍNEAS SERVICIO Y VENTA",D2859="GERENCIA INBOUND LINEAS ESPECIALIZADAS"),"Llamadas","Otro")))</f>
        <v/>
      </c>
      <c r="I2859" s="23" t="str">
        <f aca="false">IF(A2859="","",IF(C2859="No encontrado","No","Sí"))</f>
        <v/>
      </c>
      <c r="J2859" s="23" t="str">
        <f aca="false">IF(A2859="","",IF(F2859="Inactivo","No","Sí"))</f>
        <v/>
      </c>
      <c r="K2859" s="23" t="str">
        <f aca="false">IF(A2859="","",IF(AND(I2859="Sí",J2859="Sí"),"Sí","No"))</f>
        <v/>
      </c>
    </row>
    <row r="2860" customFormat="false" ht="15" hidden="false" customHeight="false" outlineLevel="0" collapsed="false">
      <c r="A2860" s="22"/>
      <c r="B2860" s="22"/>
      <c r="C2860" s="26" t="str">
        <f aca="false">IF(A2860="","",IFERROR(buscarx(A2860&amp;B2860,DATA!$E$3:$E$10000&amp;DATA!$B$3:$B$10000,DATA!$M$3:$M$10000),"No encontrado"))</f>
        <v/>
      </c>
      <c r="D2860" s="27" t="str">
        <f aca="false">IF(A2860="","",IFERROR(buscarx(A2860&amp;B2860,DATA!$E$3:$E$10000&amp;DATA!$B$3:$B$10000,DATA!$W$3:$W$10000),"No encontrado"))</f>
        <v/>
      </c>
      <c r="E2860" s="22"/>
      <c r="F2860" s="26" t="str">
        <f aca="false">IF(A2860="","",IFERROR(buscarx(A2860&amp;E2860,DATA!$E$3:$E$10000&amp;DATA!$B$3:$B$10000,DATA!$M$3:$M$10000),"Inactivo"))</f>
        <v/>
      </c>
      <c r="G2860" s="28" t="str">
        <f aca="false">IF(A2860="","",IF(AND(C2860&lt;&gt;"No encontrado",F2860&lt;&gt;"Inactivo"),C2860&amp;" → "&amp;F2860,"Sin transición"))</f>
        <v/>
      </c>
      <c r="H2860" s="26" t="str">
        <f aca="false">IF(A2860="","",IF(D2860="GCIA LINEA SERVICIO DIGITALIDAD Y VENTAS","Chats",IF(OR(D2860="GERENCIA INBOUND LÍNEAS SERVICIO Y VENTA",D2860="GERENCIA INBOUND LINEAS ESPECIALIZADAS"),"Llamadas","Otro")))</f>
        <v/>
      </c>
      <c r="I2860" s="26" t="str">
        <f aca="false">IF(A2860="","",IF(C2860="No encontrado","No","Sí"))</f>
        <v/>
      </c>
      <c r="J2860" s="26" t="str">
        <f aca="false">IF(A2860="","",IF(F2860="Inactivo","No","Sí"))</f>
        <v/>
      </c>
      <c r="K2860" s="26" t="str">
        <f aca="false">IF(A2860="","",IF(AND(I2860="Sí",J2860="Sí"),"Sí","No"))</f>
        <v/>
      </c>
    </row>
    <row r="2861" customFormat="false" ht="15" hidden="false" customHeight="false" outlineLevel="0" collapsed="false">
      <c r="A2861" s="22"/>
      <c r="B2861" s="22"/>
      <c r="C2861" s="23" t="str">
        <f aca="false">IF(A2861="","",IFERROR(buscarx(A2861&amp;B2861,DATA!$E$3:$E$10000&amp;DATA!$B$3:$B$10000,DATA!$M$3:$M$10000),"No encontrado"))</f>
        <v/>
      </c>
      <c r="D2861" s="24" t="str">
        <f aca="false">IF(A2861="","",IFERROR(buscarx(A2861&amp;B2861,DATA!$E$3:$E$10000&amp;DATA!$B$3:$B$10000,DATA!$W$3:$W$10000),"No encontrado"))</f>
        <v/>
      </c>
      <c r="E2861" s="22"/>
      <c r="F2861" s="23" t="str">
        <f aca="false">IF(A2861="","",IFERROR(buscarx(A2861&amp;E2861,DATA!$E$3:$E$10000&amp;DATA!$B$3:$B$10000,DATA!$M$3:$M$10000),"Inactivo"))</f>
        <v/>
      </c>
      <c r="G2861" s="25" t="str">
        <f aca="false">IF(A2861="","",IF(AND(C2861&lt;&gt;"No encontrado",F2861&lt;&gt;"Inactivo"),C2861&amp;" → "&amp;F2861,"Sin transición"))</f>
        <v/>
      </c>
      <c r="H2861" s="23" t="str">
        <f aca="false">IF(A2861="","",IF(D2861="GCIA LINEA SERVICIO DIGITALIDAD Y VENTAS","Chats",IF(OR(D2861="GERENCIA INBOUND LÍNEAS SERVICIO Y VENTA",D2861="GERENCIA INBOUND LINEAS ESPECIALIZADAS"),"Llamadas","Otro")))</f>
        <v/>
      </c>
      <c r="I2861" s="23" t="str">
        <f aca="false">IF(A2861="","",IF(C2861="No encontrado","No","Sí"))</f>
        <v/>
      </c>
      <c r="J2861" s="23" t="str">
        <f aca="false">IF(A2861="","",IF(F2861="Inactivo","No","Sí"))</f>
        <v/>
      </c>
      <c r="K2861" s="23" t="str">
        <f aca="false">IF(A2861="","",IF(AND(I2861="Sí",J2861="Sí"),"Sí","No"))</f>
        <v/>
      </c>
    </row>
    <row r="2862" customFormat="false" ht="15" hidden="false" customHeight="false" outlineLevel="0" collapsed="false">
      <c r="A2862" s="22"/>
      <c r="B2862" s="22"/>
      <c r="C2862" s="26" t="str">
        <f aca="false">IF(A2862="","",IFERROR(buscarx(A2862&amp;B2862,DATA!$E$3:$E$10000&amp;DATA!$B$3:$B$10000,DATA!$M$3:$M$10000),"No encontrado"))</f>
        <v/>
      </c>
      <c r="D2862" s="27" t="str">
        <f aca="false">IF(A2862="","",IFERROR(buscarx(A2862&amp;B2862,DATA!$E$3:$E$10000&amp;DATA!$B$3:$B$10000,DATA!$W$3:$W$10000),"No encontrado"))</f>
        <v/>
      </c>
      <c r="E2862" s="22"/>
      <c r="F2862" s="26" t="str">
        <f aca="false">IF(A2862="","",IFERROR(buscarx(A2862&amp;E2862,DATA!$E$3:$E$10000&amp;DATA!$B$3:$B$10000,DATA!$M$3:$M$10000),"Inactivo"))</f>
        <v/>
      </c>
      <c r="G2862" s="28" t="str">
        <f aca="false">IF(A2862="","",IF(AND(C2862&lt;&gt;"No encontrado",F2862&lt;&gt;"Inactivo"),C2862&amp;" → "&amp;F2862,"Sin transición"))</f>
        <v/>
      </c>
      <c r="H2862" s="26" t="str">
        <f aca="false">IF(A2862="","",IF(D2862="GCIA LINEA SERVICIO DIGITALIDAD Y VENTAS","Chats",IF(OR(D2862="GERENCIA INBOUND LÍNEAS SERVICIO Y VENTA",D2862="GERENCIA INBOUND LINEAS ESPECIALIZADAS"),"Llamadas","Otro")))</f>
        <v/>
      </c>
      <c r="I2862" s="26" t="str">
        <f aca="false">IF(A2862="","",IF(C2862="No encontrado","No","Sí"))</f>
        <v/>
      </c>
      <c r="J2862" s="26" t="str">
        <f aca="false">IF(A2862="","",IF(F2862="Inactivo","No","Sí"))</f>
        <v/>
      </c>
      <c r="K2862" s="26" t="str">
        <f aca="false">IF(A2862="","",IF(AND(I2862="Sí",J2862="Sí"),"Sí","No"))</f>
        <v/>
      </c>
    </row>
    <row r="2863" customFormat="false" ht="15" hidden="false" customHeight="false" outlineLevel="0" collapsed="false">
      <c r="A2863" s="22"/>
      <c r="B2863" s="22"/>
      <c r="C2863" s="23" t="str">
        <f aca="false">IF(A2863="","",IFERROR(buscarx(A2863&amp;B2863,DATA!$E$3:$E$10000&amp;DATA!$B$3:$B$10000,DATA!$M$3:$M$10000),"No encontrado"))</f>
        <v/>
      </c>
      <c r="D2863" s="24" t="str">
        <f aca="false">IF(A2863="","",IFERROR(buscarx(A2863&amp;B2863,DATA!$E$3:$E$10000&amp;DATA!$B$3:$B$10000,DATA!$W$3:$W$10000),"No encontrado"))</f>
        <v/>
      </c>
      <c r="E2863" s="22"/>
      <c r="F2863" s="23" t="str">
        <f aca="false">IF(A2863="","",IFERROR(buscarx(A2863&amp;E2863,DATA!$E$3:$E$10000&amp;DATA!$B$3:$B$10000,DATA!$M$3:$M$10000),"Inactivo"))</f>
        <v/>
      </c>
      <c r="G2863" s="25" t="str">
        <f aca="false">IF(A2863="","",IF(AND(C2863&lt;&gt;"No encontrado",F2863&lt;&gt;"Inactivo"),C2863&amp;" → "&amp;F2863,"Sin transición"))</f>
        <v/>
      </c>
      <c r="H2863" s="23" t="str">
        <f aca="false">IF(A2863="","",IF(D2863="GCIA LINEA SERVICIO DIGITALIDAD Y VENTAS","Chats",IF(OR(D2863="GERENCIA INBOUND LÍNEAS SERVICIO Y VENTA",D2863="GERENCIA INBOUND LINEAS ESPECIALIZADAS"),"Llamadas","Otro")))</f>
        <v/>
      </c>
      <c r="I2863" s="23" t="str">
        <f aca="false">IF(A2863="","",IF(C2863="No encontrado","No","Sí"))</f>
        <v/>
      </c>
      <c r="J2863" s="23" t="str">
        <f aca="false">IF(A2863="","",IF(F2863="Inactivo","No","Sí"))</f>
        <v/>
      </c>
      <c r="K2863" s="23" t="str">
        <f aca="false">IF(A2863="","",IF(AND(I2863="Sí",J2863="Sí"),"Sí","No"))</f>
        <v/>
      </c>
    </row>
    <row r="2864" customFormat="false" ht="15" hidden="false" customHeight="false" outlineLevel="0" collapsed="false">
      <c r="A2864" s="22"/>
      <c r="B2864" s="22"/>
      <c r="C2864" s="26" t="str">
        <f aca="false">IF(A2864="","",IFERROR(buscarx(A2864&amp;B2864,DATA!$E$3:$E$10000&amp;DATA!$B$3:$B$10000,DATA!$M$3:$M$10000),"No encontrado"))</f>
        <v/>
      </c>
      <c r="D2864" s="27" t="str">
        <f aca="false">IF(A2864="","",IFERROR(buscarx(A2864&amp;B2864,DATA!$E$3:$E$10000&amp;DATA!$B$3:$B$10000,DATA!$W$3:$W$10000),"No encontrado"))</f>
        <v/>
      </c>
      <c r="E2864" s="22"/>
      <c r="F2864" s="26" t="str">
        <f aca="false">IF(A2864="","",IFERROR(buscarx(A2864&amp;E2864,DATA!$E$3:$E$10000&amp;DATA!$B$3:$B$10000,DATA!$M$3:$M$10000),"Inactivo"))</f>
        <v/>
      </c>
      <c r="G2864" s="28" t="str">
        <f aca="false">IF(A2864="","",IF(AND(C2864&lt;&gt;"No encontrado",F2864&lt;&gt;"Inactivo"),C2864&amp;" → "&amp;F2864,"Sin transición"))</f>
        <v/>
      </c>
      <c r="H2864" s="26" t="str">
        <f aca="false">IF(A2864="","",IF(D2864="GCIA LINEA SERVICIO DIGITALIDAD Y VENTAS","Chats",IF(OR(D2864="GERENCIA INBOUND LÍNEAS SERVICIO Y VENTA",D2864="GERENCIA INBOUND LINEAS ESPECIALIZADAS"),"Llamadas","Otro")))</f>
        <v/>
      </c>
      <c r="I2864" s="26" t="str">
        <f aca="false">IF(A2864="","",IF(C2864="No encontrado","No","Sí"))</f>
        <v/>
      </c>
      <c r="J2864" s="26" t="str">
        <f aca="false">IF(A2864="","",IF(F2864="Inactivo","No","Sí"))</f>
        <v/>
      </c>
      <c r="K2864" s="26" t="str">
        <f aca="false">IF(A2864="","",IF(AND(I2864="Sí",J2864="Sí"),"Sí","No"))</f>
        <v/>
      </c>
    </row>
    <row r="2865" customFormat="false" ht="15" hidden="false" customHeight="false" outlineLevel="0" collapsed="false">
      <c r="A2865" s="22"/>
      <c r="B2865" s="22"/>
      <c r="C2865" s="23" t="str">
        <f aca="false">IF(A2865="","",IFERROR(buscarx(A2865&amp;B2865,DATA!$E$3:$E$10000&amp;DATA!$B$3:$B$10000,DATA!$M$3:$M$10000),"No encontrado"))</f>
        <v/>
      </c>
      <c r="D2865" s="24" t="str">
        <f aca="false">IF(A2865="","",IFERROR(buscarx(A2865&amp;B2865,DATA!$E$3:$E$10000&amp;DATA!$B$3:$B$10000,DATA!$W$3:$W$10000),"No encontrado"))</f>
        <v/>
      </c>
      <c r="E2865" s="22"/>
      <c r="F2865" s="23" t="str">
        <f aca="false">IF(A2865="","",IFERROR(buscarx(A2865&amp;E2865,DATA!$E$3:$E$10000&amp;DATA!$B$3:$B$10000,DATA!$M$3:$M$10000),"Inactivo"))</f>
        <v/>
      </c>
      <c r="G2865" s="25" t="str">
        <f aca="false">IF(A2865="","",IF(AND(C2865&lt;&gt;"No encontrado",F2865&lt;&gt;"Inactivo"),C2865&amp;" → "&amp;F2865,"Sin transición"))</f>
        <v/>
      </c>
      <c r="H2865" s="23" t="str">
        <f aca="false">IF(A2865="","",IF(D2865="GCIA LINEA SERVICIO DIGITALIDAD Y VENTAS","Chats",IF(OR(D2865="GERENCIA INBOUND LÍNEAS SERVICIO Y VENTA",D2865="GERENCIA INBOUND LINEAS ESPECIALIZADAS"),"Llamadas","Otro")))</f>
        <v/>
      </c>
      <c r="I2865" s="23" t="str">
        <f aca="false">IF(A2865="","",IF(C2865="No encontrado","No","Sí"))</f>
        <v/>
      </c>
      <c r="J2865" s="23" t="str">
        <f aca="false">IF(A2865="","",IF(F2865="Inactivo","No","Sí"))</f>
        <v/>
      </c>
      <c r="K2865" s="23" t="str">
        <f aca="false">IF(A2865="","",IF(AND(I2865="Sí",J2865="Sí"),"Sí","No"))</f>
        <v/>
      </c>
    </row>
    <row r="2866" customFormat="false" ht="15" hidden="false" customHeight="false" outlineLevel="0" collapsed="false">
      <c r="A2866" s="22"/>
      <c r="B2866" s="22"/>
      <c r="C2866" s="26" t="str">
        <f aca="false">IF(A2866="","",IFERROR(buscarx(A2866&amp;B2866,DATA!$E$3:$E$10000&amp;DATA!$B$3:$B$10000,DATA!$M$3:$M$10000),"No encontrado"))</f>
        <v/>
      </c>
      <c r="D2866" s="27" t="str">
        <f aca="false">IF(A2866="","",IFERROR(buscarx(A2866&amp;B2866,DATA!$E$3:$E$10000&amp;DATA!$B$3:$B$10000,DATA!$W$3:$W$10000),"No encontrado"))</f>
        <v/>
      </c>
      <c r="E2866" s="22"/>
      <c r="F2866" s="26" t="str">
        <f aca="false">IF(A2866="","",IFERROR(buscarx(A2866&amp;E2866,DATA!$E$3:$E$10000&amp;DATA!$B$3:$B$10000,DATA!$M$3:$M$10000),"Inactivo"))</f>
        <v/>
      </c>
      <c r="G2866" s="28" t="str">
        <f aca="false">IF(A2866="","",IF(AND(C2866&lt;&gt;"No encontrado",F2866&lt;&gt;"Inactivo"),C2866&amp;" → "&amp;F2866,"Sin transición"))</f>
        <v/>
      </c>
      <c r="H2866" s="26" t="str">
        <f aca="false">IF(A2866="","",IF(D2866="GCIA LINEA SERVICIO DIGITALIDAD Y VENTAS","Chats",IF(OR(D2866="GERENCIA INBOUND LÍNEAS SERVICIO Y VENTA",D2866="GERENCIA INBOUND LINEAS ESPECIALIZADAS"),"Llamadas","Otro")))</f>
        <v/>
      </c>
      <c r="I2866" s="26" t="str">
        <f aca="false">IF(A2866="","",IF(C2866="No encontrado","No","Sí"))</f>
        <v/>
      </c>
      <c r="J2866" s="26" t="str">
        <f aca="false">IF(A2866="","",IF(F2866="Inactivo","No","Sí"))</f>
        <v/>
      </c>
      <c r="K2866" s="26" t="str">
        <f aca="false">IF(A2866="","",IF(AND(I2866="Sí",J2866="Sí"),"Sí","No"))</f>
        <v/>
      </c>
    </row>
    <row r="2867" customFormat="false" ht="15" hidden="false" customHeight="false" outlineLevel="0" collapsed="false">
      <c r="A2867" s="22"/>
      <c r="B2867" s="22"/>
      <c r="C2867" s="23" t="str">
        <f aca="false">IF(A2867="","",IFERROR(buscarx(A2867&amp;B2867,DATA!$E$3:$E$10000&amp;DATA!$B$3:$B$10000,DATA!$M$3:$M$10000),"No encontrado"))</f>
        <v/>
      </c>
      <c r="D2867" s="24" t="str">
        <f aca="false">IF(A2867="","",IFERROR(buscarx(A2867&amp;B2867,DATA!$E$3:$E$10000&amp;DATA!$B$3:$B$10000,DATA!$W$3:$W$10000),"No encontrado"))</f>
        <v/>
      </c>
      <c r="E2867" s="22"/>
      <c r="F2867" s="23" t="str">
        <f aca="false">IF(A2867="","",IFERROR(buscarx(A2867&amp;E2867,DATA!$E$3:$E$10000&amp;DATA!$B$3:$B$10000,DATA!$M$3:$M$10000),"Inactivo"))</f>
        <v/>
      </c>
      <c r="G2867" s="25" t="str">
        <f aca="false">IF(A2867="","",IF(AND(C2867&lt;&gt;"No encontrado",F2867&lt;&gt;"Inactivo"),C2867&amp;" → "&amp;F2867,"Sin transición"))</f>
        <v/>
      </c>
      <c r="H2867" s="23" t="str">
        <f aca="false">IF(A2867="","",IF(D2867="GCIA LINEA SERVICIO DIGITALIDAD Y VENTAS","Chats",IF(OR(D2867="GERENCIA INBOUND LÍNEAS SERVICIO Y VENTA",D2867="GERENCIA INBOUND LINEAS ESPECIALIZADAS"),"Llamadas","Otro")))</f>
        <v/>
      </c>
      <c r="I2867" s="23" t="str">
        <f aca="false">IF(A2867="","",IF(C2867="No encontrado","No","Sí"))</f>
        <v/>
      </c>
      <c r="J2867" s="23" t="str">
        <f aca="false">IF(A2867="","",IF(F2867="Inactivo","No","Sí"))</f>
        <v/>
      </c>
      <c r="K2867" s="23" t="str">
        <f aca="false">IF(A2867="","",IF(AND(I2867="Sí",J2867="Sí"),"Sí","No"))</f>
        <v/>
      </c>
    </row>
    <row r="2868" customFormat="false" ht="15" hidden="false" customHeight="false" outlineLevel="0" collapsed="false">
      <c r="A2868" s="22"/>
      <c r="B2868" s="22"/>
      <c r="C2868" s="26" t="str">
        <f aca="false">IF(A2868="","",IFERROR(buscarx(A2868&amp;B2868,DATA!$E$3:$E$10000&amp;DATA!$B$3:$B$10000,DATA!$M$3:$M$10000),"No encontrado"))</f>
        <v/>
      </c>
      <c r="D2868" s="27" t="str">
        <f aca="false">IF(A2868="","",IFERROR(buscarx(A2868&amp;B2868,DATA!$E$3:$E$10000&amp;DATA!$B$3:$B$10000,DATA!$W$3:$W$10000),"No encontrado"))</f>
        <v/>
      </c>
      <c r="E2868" s="22"/>
      <c r="F2868" s="26" t="str">
        <f aca="false">IF(A2868="","",IFERROR(buscarx(A2868&amp;E2868,DATA!$E$3:$E$10000&amp;DATA!$B$3:$B$10000,DATA!$M$3:$M$10000),"Inactivo"))</f>
        <v/>
      </c>
      <c r="G2868" s="28" t="str">
        <f aca="false">IF(A2868="","",IF(AND(C2868&lt;&gt;"No encontrado",F2868&lt;&gt;"Inactivo"),C2868&amp;" → "&amp;F2868,"Sin transición"))</f>
        <v/>
      </c>
      <c r="H2868" s="26" t="str">
        <f aca="false">IF(A2868="","",IF(D2868="GCIA LINEA SERVICIO DIGITALIDAD Y VENTAS","Chats",IF(OR(D2868="GERENCIA INBOUND LÍNEAS SERVICIO Y VENTA",D2868="GERENCIA INBOUND LINEAS ESPECIALIZADAS"),"Llamadas","Otro")))</f>
        <v/>
      </c>
      <c r="I2868" s="26" t="str">
        <f aca="false">IF(A2868="","",IF(C2868="No encontrado","No","Sí"))</f>
        <v/>
      </c>
      <c r="J2868" s="26" t="str">
        <f aca="false">IF(A2868="","",IF(F2868="Inactivo","No","Sí"))</f>
        <v/>
      </c>
      <c r="K2868" s="26" t="str">
        <f aca="false">IF(A2868="","",IF(AND(I2868="Sí",J2868="Sí"),"Sí","No"))</f>
        <v/>
      </c>
    </row>
    <row r="2869" customFormat="false" ht="15" hidden="false" customHeight="false" outlineLevel="0" collapsed="false">
      <c r="A2869" s="22"/>
      <c r="B2869" s="22"/>
      <c r="C2869" s="23" t="str">
        <f aca="false">IF(A2869="","",IFERROR(buscarx(A2869&amp;B2869,DATA!$E$3:$E$10000&amp;DATA!$B$3:$B$10000,DATA!$M$3:$M$10000),"No encontrado"))</f>
        <v/>
      </c>
      <c r="D2869" s="24" t="str">
        <f aca="false">IF(A2869="","",IFERROR(buscarx(A2869&amp;B2869,DATA!$E$3:$E$10000&amp;DATA!$B$3:$B$10000,DATA!$W$3:$W$10000),"No encontrado"))</f>
        <v/>
      </c>
      <c r="E2869" s="22"/>
      <c r="F2869" s="23" t="str">
        <f aca="false">IF(A2869="","",IFERROR(buscarx(A2869&amp;E2869,DATA!$E$3:$E$10000&amp;DATA!$B$3:$B$10000,DATA!$M$3:$M$10000),"Inactivo"))</f>
        <v/>
      </c>
      <c r="G2869" s="25" t="str">
        <f aca="false">IF(A2869="","",IF(AND(C2869&lt;&gt;"No encontrado",F2869&lt;&gt;"Inactivo"),C2869&amp;" → "&amp;F2869,"Sin transición"))</f>
        <v/>
      </c>
      <c r="H2869" s="23" t="str">
        <f aca="false">IF(A2869="","",IF(D2869="GCIA LINEA SERVICIO DIGITALIDAD Y VENTAS","Chats",IF(OR(D2869="GERENCIA INBOUND LÍNEAS SERVICIO Y VENTA",D2869="GERENCIA INBOUND LINEAS ESPECIALIZADAS"),"Llamadas","Otro")))</f>
        <v/>
      </c>
      <c r="I2869" s="23" t="str">
        <f aca="false">IF(A2869="","",IF(C2869="No encontrado","No","Sí"))</f>
        <v/>
      </c>
      <c r="J2869" s="23" t="str">
        <f aca="false">IF(A2869="","",IF(F2869="Inactivo","No","Sí"))</f>
        <v/>
      </c>
      <c r="K2869" s="23" t="str">
        <f aca="false">IF(A2869="","",IF(AND(I2869="Sí",J2869="Sí"),"Sí","No"))</f>
        <v/>
      </c>
    </row>
    <row r="2870" customFormat="false" ht="15" hidden="false" customHeight="false" outlineLevel="0" collapsed="false">
      <c r="A2870" s="22"/>
      <c r="B2870" s="22"/>
      <c r="C2870" s="26" t="str">
        <f aca="false">IF(A2870="","",IFERROR(buscarx(A2870&amp;B2870,DATA!$E$3:$E$10000&amp;DATA!$B$3:$B$10000,DATA!$M$3:$M$10000),"No encontrado"))</f>
        <v/>
      </c>
      <c r="D2870" s="27" t="str">
        <f aca="false">IF(A2870="","",IFERROR(buscarx(A2870&amp;B2870,DATA!$E$3:$E$10000&amp;DATA!$B$3:$B$10000,DATA!$W$3:$W$10000),"No encontrado"))</f>
        <v/>
      </c>
      <c r="E2870" s="22"/>
      <c r="F2870" s="26" t="str">
        <f aca="false">IF(A2870="","",IFERROR(buscarx(A2870&amp;E2870,DATA!$E$3:$E$10000&amp;DATA!$B$3:$B$10000,DATA!$M$3:$M$10000),"Inactivo"))</f>
        <v/>
      </c>
      <c r="G2870" s="28" t="str">
        <f aca="false">IF(A2870="","",IF(AND(C2870&lt;&gt;"No encontrado",F2870&lt;&gt;"Inactivo"),C2870&amp;" → "&amp;F2870,"Sin transición"))</f>
        <v/>
      </c>
      <c r="H2870" s="26" t="str">
        <f aca="false">IF(A2870="","",IF(D2870="GCIA LINEA SERVICIO DIGITALIDAD Y VENTAS","Chats",IF(OR(D2870="GERENCIA INBOUND LÍNEAS SERVICIO Y VENTA",D2870="GERENCIA INBOUND LINEAS ESPECIALIZADAS"),"Llamadas","Otro")))</f>
        <v/>
      </c>
      <c r="I2870" s="26" t="str">
        <f aca="false">IF(A2870="","",IF(C2870="No encontrado","No","Sí"))</f>
        <v/>
      </c>
      <c r="J2870" s="26" t="str">
        <f aca="false">IF(A2870="","",IF(F2870="Inactivo","No","Sí"))</f>
        <v/>
      </c>
      <c r="K2870" s="26" t="str">
        <f aca="false">IF(A2870="","",IF(AND(I2870="Sí",J2870="Sí"),"Sí","No"))</f>
        <v/>
      </c>
    </row>
    <row r="2871" customFormat="false" ht="15" hidden="false" customHeight="false" outlineLevel="0" collapsed="false">
      <c r="A2871" s="22"/>
      <c r="B2871" s="22"/>
      <c r="C2871" s="23" t="str">
        <f aca="false">IF(A2871="","",IFERROR(buscarx(A2871&amp;B2871,DATA!$E$3:$E$10000&amp;DATA!$B$3:$B$10000,DATA!$M$3:$M$10000),"No encontrado"))</f>
        <v/>
      </c>
      <c r="D2871" s="24" t="str">
        <f aca="false">IF(A2871="","",IFERROR(buscarx(A2871&amp;B2871,DATA!$E$3:$E$10000&amp;DATA!$B$3:$B$10000,DATA!$W$3:$W$10000),"No encontrado"))</f>
        <v/>
      </c>
      <c r="E2871" s="22"/>
      <c r="F2871" s="23" t="str">
        <f aca="false">IF(A2871="","",IFERROR(buscarx(A2871&amp;E2871,DATA!$E$3:$E$10000&amp;DATA!$B$3:$B$10000,DATA!$M$3:$M$10000),"Inactivo"))</f>
        <v/>
      </c>
      <c r="G2871" s="25" t="str">
        <f aca="false">IF(A2871="","",IF(AND(C2871&lt;&gt;"No encontrado",F2871&lt;&gt;"Inactivo"),C2871&amp;" → "&amp;F2871,"Sin transición"))</f>
        <v/>
      </c>
      <c r="H2871" s="23" t="str">
        <f aca="false">IF(A2871="","",IF(D2871="GCIA LINEA SERVICIO DIGITALIDAD Y VENTAS","Chats",IF(OR(D2871="GERENCIA INBOUND LÍNEAS SERVICIO Y VENTA",D2871="GERENCIA INBOUND LINEAS ESPECIALIZADAS"),"Llamadas","Otro")))</f>
        <v/>
      </c>
      <c r="I2871" s="23" t="str">
        <f aca="false">IF(A2871="","",IF(C2871="No encontrado","No","Sí"))</f>
        <v/>
      </c>
      <c r="J2871" s="23" t="str">
        <f aca="false">IF(A2871="","",IF(F2871="Inactivo","No","Sí"))</f>
        <v/>
      </c>
      <c r="K2871" s="23" t="str">
        <f aca="false">IF(A2871="","",IF(AND(I2871="Sí",J2871="Sí"),"Sí","No"))</f>
        <v/>
      </c>
    </row>
    <row r="2872" customFormat="false" ht="15" hidden="false" customHeight="false" outlineLevel="0" collapsed="false">
      <c r="A2872" s="22"/>
      <c r="B2872" s="22"/>
      <c r="C2872" s="26" t="str">
        <f aca="false">IF(A2872="","",IFERROR(buscarx(A2872&amp;B2872,DATA!$E$3:$E$10000&amp;DATA!$B$3:$B$10000,DATA!$M$3:$M$10000),"No encontrado"))</f>
        <v/>
      </c>
      <c r="D2872" s="27" t="str">
        <f aca="false">IF(A2872="","",IFERROR(buscarx(A2872&amp;B2872,DATA!$E$3:$E$10000&amp;DATA!$B$3:$B$10000,DATA!$W$3:$W$10000),"No encontrado"))</f>
        <v/>
      </c>
      <c r="E2872" s="22"/>
      <c r="F2872" s="26" t="str">
        <f aca="false">IF(A2872="","",IFERROR(buscarx(A2872&amp;E2872,DATA!$E$3:$E$10000&amp;DATA!$B$3:$B$10000,DATA!$M$3:$M$10000),"Inactivo"))</f>
        <v/>
      </c>
      <c r="G2872" s="28" t="str">
        <f aca="false">IF(A2872="","",IF(AND(C2872&lt;&gt;"No encontrado",F2872&lt;&gt;"Inactivo"),C2872&amp;" → "&amp;F2872,"Sin transición"))</f>
        <v/>
      </c>
      <c r="H2872" s="26" t="str">
        <f aca="false">IF(A2872="","",IF(D2872="GCIA LINEA SERVICIO DIGITALIDAD Y VENTAS","Chats",IF(OR(D2872="GERENCIA INBOUND LÍNEAS SERVICIO Y VENTA",D2872="GERENCIA INBOUND LINEAS ESPECIALIZADAS"),"Llamadas","Otro")))</f>
        <v/>
      </c>
      <c r="I2872" s="26" t="str">
        <f aca="false">IF(A2872="","",IF(C2872="No encontrado","No","Sí"))</f>
        <v/>
      </c>
      <c r="J2872" s="26" t="str">
        <f aca="false">IF(A2872="","",IF(F2872="Inactivo","No","Sí"))</f>
        <v/>
      </c>
      <c r="K2872" s="26" t="str">
        <f aca="false">IF(A2872="","",IF(AND(I2872="Sí",J2872="Sí"),"Sí","No"))</f>
        <v/>
      </c>
    </row>
    <row r="2873" customFormat="false" ht="15" hidden="false" customHeight="false" outlineLevel="0" collapsed="false">
      <c r="A2873" s="22"/>
      <c r="B2873" s="22"/>
      <c r="C2873" s="23" t="str">
        <f aca="false">IF(A2873="","",IFERROR(buscarx(A2873&amp;B2873,DATA!$E$3:$E$10000&amp;DATA!$B$3:$B$10000,DATA!$M$3:$M$10000),"No encontrado"))</f>
        <v/>
      </c>
      <c r="D2873" s="24" t="str">
        <f aca="false">IF(A2873="","",IFERROR(buscarx(A2873&amp;B2873,DATA!$E$3:$E$10000&amp;DATA!$B$3:$B$10000,DATA!$W$3:$W$10000),"No encontrado"))</f>
        <v/>
      </c>
      <c r="E2873" s="22"/>
      <c r="F2873" s="23" t="str">
        <f aca="false">IF(A2873="","",IFERROR(buscarx(A2873&amp;E2873,DATA!$E$3:$E$10000&amp;DATA!$B$3:$B$10000,DATA!$M$3:$M$10000),"Inactivo"))</f>
        <v/>
      </c>
      <c r="G2873" s="25" t="str">
        <f aca="false">IF(A2873="","",IF(AND(C2873&lt;&gt;"No encontrado",F2873&lt;&gt;"Inactivo"),C2873&amp;" → "&amp;F2873,"Sin transición"))</f>
        <v/>
      </c>
      <c r="H2873" s="23" t="str">
        <f aca="false">IF(A2873="","",IF(D2873="GCIA LINEA SERVICIO DIGITALIDAD Y VENTAS","Chats",IF(OR(D2873="GERENCIA INBOUND LÍNEAS SERVICIO Y VENTA",D2873="GERENCIA INBOUND LINEAS ESPECIALIZADAS"),"Llamadas","Otro")))</f>
        <v/>
      </c>
      <c r="I2873" s="23" t="str">
        <f aca="false">IF(A2873="","",IF(C2873="No encontrado","No","Sí"))</f>
        <v/>
      </c>
      <c r="J2873" s="23" t="str">
        <f aca="false">IF(A2873="","",IF(F2873="Inactivo","No","Sí"))</f>
        <v/>
      </c>
      <c r="K2873" s="23" t="str">
        <f aca="false">IF(A2873="","",IF(AND(I2873="Sí",J2873="Sí"),"Sí","No"))</f>
        <v/>
      </c>
    </row>
    <row r="2874" customFormat="false" ht="15" hidden="false" customHeight="false" outlineLevel="0" collapsed="false">
      <c r="A2874" s="22"/>
      <c r="B2874" s="22"/>
      <c r="C2874" s="26" t="str">
        <f aca="false">IF(A2874="","",IFERROR(buscarx(A2874&amp;B2874,DATA!$E$3:$E$10000&amp;DATA!$B$3:$B$10000,DATA!$M$3:$M$10000),"No encontrado"))</f>
        <v/>
      </c>
      <c r="D2874" s="27" t="str">
        <f aca="false">IF(A2874="","",IFERROR(buscarx(A2874&amp;B2874,DATA!$E$3:$E$10000&amp;DATA!$B$3:$B$10000,DATA!$W$3:$W$10000),"No encontrado"))</f>
        <v/>
      </c>
      <c r="E2874" s="22"/>
      <c r="F2874" s="26" t="str">
        <f aca="false">IF(A2874="","",IFERROR(buscarx(A2874&amp;E2874,DATA!$E$3:$E$10000&amp;DATA!$B$3:$B$10000,DATA!$M$3:$M$10000),"Inactivo"))</f>
        <v/>
      </c>
      <c r="G2874" s="28" t="str">
        <f aca="false">IF(A2874="","",IF(AND(C2874&lt;&gt;"No encontrado",F2874&lt;&gt;"Inactivo"),C2874&amp;" → "&amp;F2874,"Sin transición"))</f>
        <v/>
      </c>
      <c r="H2874" s="26" t="str">
        <f aca="false">IF(A2874="","",IF(D2874="GCIA LINEA SERVICIO DIGITALIDAD Y VENTAS","Chats",IF(OR(D2874="GERENCIA INBOUND LÍNEAS SERVICIO Y VENTA",D2874="GERENCIA INBOUND LINEAS ESPECIALIZADAS"),"Llamadas","Otro")))</f>
        <v/>
      </c>
      <c r="I2874" s="26" t="str">
        <f aca="false">IF(A2874="","",IF(C2874="No encontrado","No","Sí"))</f>
        <v/>
      </c>
      <c r="J2874" s="26" t="str">
        <f aca="false">IF(A2874="","",IF(F2874="Inactivo","No","Sí"))</f>
        <v/>
      </c>
      <c r="K2874" s="26" t="str">
        <f aca="false">IF(A2874="","",IF(AND(I2874="Sí",J2874="Sí"),"Sí","No"))</f>
        <v/>
      </c>
    </row>
    <row r="2875" customFormat="false" ht="15" hidden="false" customHeight="false" outlineLevel="0" collapsed="false">
      <c r="A2875" s="22"/>
      <c r="B2875" s="22"/>
      <c r="C2875" s="23" t="str">
        <f aca="false">IF(A2875="","",IFERROR(buscarx(A2875&amp;B2875,DATA!$E$3:$E$10000&amp;DATA!$B$3:$B$10000,DATA!$M$3:$M$10000),"No encontrado"))</f>
        <v/>
      </c>
      <c r="D2875" s="24" t="str">
        <f aca="false">IF(A2875="","",IFERROR(buscarx(A2875&amp;B2875,DATA!$E$3:$E$10000&amp;DATA!$B$3:$B$10000,DATA!$W$3:$W$10000),"No encontrado"))</f>
        <v/>
      </c>
      <c r="E2875" s="22"/>
      <c r="F2875" s="23" t="str">
        <f aca="false">IF(A2875="","",IFERROR(buscarx(A2875&amp;E2875,DATA!$E$3:$E$10000&amp;DATA!$B$3:$B$10000,DATA!$M$3:$M$10000),"Inactivo"))</f>
        <v/>
      </c>
      <c r="G2875" s="25" t="str">
        <f aca="false">IF(A2875="","",IF(AND(C2875&lt;&gt;"No encontrado",F2875&lt;&gt;"Inactivo"),C2875&amp;" → "&amp;F2875,"Sin transición"))</f>
        <v/>
      </c>
      <c r="H2875" s="23" t="str">
        <f aca="false">IF(A2875="","",IF(D2875="GCIA LINEA SERVICIO DIGITALIDAD Y VENTAS","Chats",IF(OR(D2875="GERENCIA INBOUND LÍNEAS SERVICIO Y VENTA",D2875="GERENCIA INBOUND LINEAS ESPECIALIZADAS"),"Llamadas","Otro")))</f>
        <v/>
      </c>
      <c r="I2875" s="23" t="str">
        <f aca="false">IF(A2875="","",IF(C2875="No encontrado","No","Sí"))</f>
        <v/>
      </c>
      <c r="J2875" s="23" t="str">
        <f aca="false">IF(A2875="","",IF(F2875="Inactivo","No","Sí"))</f>
        <v/>
      </c>
      <c r="K2875" s="23" t="str">
        <f aca="false">IF(A2875="","",IF(AND(I2875="Sí",J2875="Sí"),"Sí","No"))</f>
        <v/>
      </c>
    </row>
    <row r="2876" customFormat="false" ht="15" hidden="false" customHeight="false" outlineLevel="0" collapsed="false">
      <c r="A2876" s="22"/>
      <c r="B2876" s="22"/>
      <c r="C2876" s="26" t="str">
        <f aca="false">IF(A2876="","",IFERROR(buscarx(A2876&amp;B2876,DATA!$E$3:$E$10000&amp;DATA!$B$3:$B$10000,DATA!$M$3:$M$10000),"No encontrado"))</f>
        <v/>
      </c>
      <c r="D2876" s="27" t="str">
        <f aca="false">IF(A2876="","",IFERROR(buscarx(A2876&amp;B2876,DATA!$E$3:$E$10000&amp;DATA!$B$3:$B$10000,DATA!$W$3:$W$10000),"No encontrado"))</f>
        <v/>
      </c>
      <c r="E2876" s="22"/>
      <c r="F2876" s="26" t="str">
        <f aca="false">IF(A2876="","",IFERROR(buscarx(A2876&amp;E2876,DATA!$E$3:$E$10000&amp;DATA!$B$3:$B$10000,DATA!$M$3:$M$10000),"Inactivo"))</f>
        <v/>
      </c>
      <c r="G2876" s="28" t="str">
        <f aca="false">IF(A2876="","",IF(AND(C2876&lt;&gt;"No encontrado",F2876&lt;&gt;"Inactivo"),C2876&amp;" → "&amp;F2876,"Sin transición"))</f>
        <v/>
      </c>
      <c r="H2876" s="26" t="str">
        <f aca="false">IF(A2876="","",IF(D2876="GCIA LINEA SERVICIO DIGITALIDAD Y VENTAS","Chats",IF(OR(D2876="GERENCIA INBOUND LÍNEAS SERVICIO Y VENTA",D2876="GERENCIA INBOUND LINEAS ESPECIALIZADAS"),"Llamadas","Otro")))</f>
        <v/>
      </c>
      <c r="I2876" s="26" t="str">
        <f aca="false">IF(A2876="","",IF(C2876="No encontrado","No","Sí"))</f>
        <v/>
      </c>
      <c r="J2876" s="26" t="str">
        <f aca="false">IF(A2876="","",IF(F2876="Inactivo","No","Sí"))</f>
        <v/>
      </c>
      <c r="K2876" s="26" t="str">
        <f aca="false">IF(A2876="","",IF(AND(I2876="Sí",J2876="Sí"),"Sí","No"))</f>
        <v/>
      </c>
    </row>
    <row r="2877" customFormat="false" ht="15" hidden="false" customHeight="false" outlineLevel="0" collapsed="false">
      <c r="A2877" s="22"/>
      <c r="B2877" s="22"/>
      <c r="C2877" s="23" t="str">
        <f aca="false">IF(A2877="","",IFERROR(buscarx(A2877&amp;B2877,DATA!$E$3:$E$10000&amp;DATA!$B$3:$B$10000,DATA!$M$3:$M$10000),"No encontrado"))</f>
        <v/>
      </c>
      <c r="D2877" s="24" t="str">
        <f aca="false">IF(A2877="","",IFERROR(buscarx(A2877&amp;B2877,DATA!$E$3:$E$10000&amp;DATA!$B$3:$B$10000,DATA!$W$3:$W$10000),"No encontrado"))</f>
        <v/>
      </c>
      <c r="E2877" s="22"/>
      <c r="F2877" s="23" t="str">
        <f aca="false">IF(A2877="","",IFERROR(buscarx(A2877&amp;E2877,DATA!$E$3:$E$10000&amp;DATA!$B$3:$B$10000,DATA!$M$3:$M$10000),"Inactivo"))</f>
        <v/>
      </c>
      <c r="G2877" s="25" t="str">
        <f aca="false">IF(A2877="","",IF(AND(C2877&lt;&gt;"No encontrado",F2877&lt;&gt;"Inactivo"),C2877&amp;" → "&amp;F2877,"Sin transición"))</f>
        <v/>
      </c>
      <c r="H2877" s="23" t="str">
        <f aca="false">IF(A2877="","",IF(D2877="GCIA LINEA SERVICIO DIGITALIDAD Y VENTAS","Chats",IF(OR(D2877="GERENCIA INBOUND LÍNEAS SERVICIO Y VENTA",D2877="GERENCIA INBOUND LINEAS ESPECIALIZADAS"),"Llamadas","Otro")))</f>
        <v/>
      </c>
      <c r="I2877" s="23" t="str">
        <f aca="false">IF(A2877="","",IF(C2877="No encontrado","No","Sí"))</f>
        <v/>
      </c>
      <c r="J2877" s="23" t="str">
        <f aca="false">IF(A2877="","",IF(F2877="Inactivo","No","Sí"))</f>
        <v/>
      </c>
      <c r="K2877" s="23" t="str">
        <f aca="false">IF(A2877="","",IF(AND(I2877="Sí",J2877="Sí"),"Sí","No"))</f>
        <v/>
      </c>
    </row>
    <row r="2878" customFormat="false" ht="15" hidden="false" customHeight="false" outlineLevel="0" collapsed="false">
      <c r="A2878" s="22"/>
      <c r="B2878" s="22"/>
      <c r="C2878" s="26" t="str">
        <f aca="false">IF(A2878="","",IFERROR(buscarx(A2878&amp;B2878,DATA!$E$3:$E$10000&amp;DATA!$B$3:$B$10000,DATA!$M$3:$M$10000),"No encontrado"))</f>
        <v/>
      </c>
      <c r="D2878" s="27" t="str">
        <f aca="false">IF(A2878="","",IFERROR(buscarx(A2878&amp;B2878,DATA!$E$3:$E$10000&amp;DATA!$B$3:$B$10000,DATA!$W$3:$W$10000),"No encontrado"))</f>
        <v/>
      </c>
      <c r="E2878" s="22"/>
      <c r="F2878" s="26" t="str">
        <f aca="false">IF(A2878="","",IFERROR(buscarx(A2878&amp;E2878,DATA!$E$3:$E$10000&amp;DATA!$B$3:$B$10000,DATA!$M$3:$M$10000),"Inactivo"))</f>
        <v/>
      </c>
      <c r="G2878" s="28" t="str">
        <f aca="false">IF(A2878="","",IF(AND(C2878&lt;&gt;"No encontrado",F2878&lt;&gt;"Inactivo"),C2878&amp;" → "&amp;F2878,"Sin transición"))</f>
        <v/>
      </c>
      <c r="H2878" s="26" t="str">
        <f aca="false">IF(A2878="","",IF(D2878="GCIA LINEA SERVICIO DIGITALIDAD Y VENTAS","Chats",IF(OR(D2878="GERENCIA INBOUND LÍNEAS SERVICIO Y VENTA",D2878="GERENCIA INBOUND LINEAS ESPECIALIZADAS"),"Llamadas","Otro")))</f>
        <v/>
      </c>
      <c r="I2878" s="26" t="str">
        <f aca="false">IF(A2878="","",IF(C2878="No encontrado","No","Sí"))</f>
        <v/>
      </c>
      <c r="J2878" s="26" t="str">
        <f aca="false">IF(A2878="","",IF(F2878="Inactivo","No","Sí"))</f>
        <v/>
      </c>
      <c r="K2878" s="26" t="str">
        <f aca="false">IF(A2878="","",IF(AND(I2878="Sí",J2878="Sí"),"Sí","No"))</f>
        <v/>
      </c>
    </row>
    <row r="2879" customFormat="false" ht="15" hidden="false" customHeight="false" outlineLevel="0" collapsed="false">
      <c r="A2879" s="22"/>
      <c r="B2879" s="22"/>
      <c r="C2879" s="23" t="str">
        <f aca="false">IF(A2879="","",IFERROR(buscarx(A2879&amp;B2879,DATA!$E$3:$E$10000&amp;DATA!$B$3:$B$10000,DATA!$M$3:$M$10000),"No encontrado"))</f>
        <v/>
      </c>
      <c r="D2879" s="24" t="str">
        <f aca="false">IF(A2879="","",IFERROR(buscarx(A2879&amp;B2879,DATA!$E$3:$E$10000&amp;DATA!$B$3:$B$10000,DATA!$W$3:$W$10000),"No encontrado"))</f>
        <v/>
      </c>
      <c r="E2879" s="22"/>
      <c r="F2879" s="23" t="str">
        <f aca="false">IF(A2879="","",IFERROR(buscarx(A2879&amp;E2879,DATA!$E$3:$E$10000&amp;DATA!$B$3:$B$10000,DATA!$M$3:$M$10000),"Inactivo"))</f>
        <v/>
      </c>
      <c r="G2879" s="25" t="str">
        <f aca="false">IF(A2879="","",IF(AND(C2879&lt;&gt;"No encontrado",F2879&lt;&gt;"Inactivo"),C2879&amp;" → "&amp;F2879,"Sin transición"))</f>
        <v/>
      </c>
      <c r="H2879" s="23" t="str">
        <f aca="false">IF(A2879="","",IF(D2879="GCIA LINEA SERVICIO DIGITALIDAD Y VENTAS","Chats",IF(OR(D2879="GERENCIA INBOUND LÍNEAS SERVICIO Y VENTA",D2879="GERENCIA INBOUND LINEAS ESPECIALIZADAS"),"Llamadas","Otro")))</f>
        <v/>
      </c>
      <c r="I2879" s="23" t="str">
        <f aca="false">IF(A2879="","",IF(C2879="No encontrado","No","Sí"))</f>
        <v/>
      </c>
      <c r="J2879" s="23" t="str">
        <f aca="false">IF(A2879="","",IF(F2879="Inactivo","No","Sí"))</f>
        <v/>
      </c>
      <c r="K2879" s="23" t="str">
        <f aca="false">IF(A2879="","",IF(AND(I2879="Sí",J2879="Sí"),"Sí","No"))</f>
        <v/>
      </c>
    </row>
    <row r="2880" customFormat="false" ht="15" hidden="false" customHeight="false" outlineLevel="0" collapsed="false">
      <c r="A2880" s="22"/>
      <c r="B2880" s="22"/>
      <c r="C2880" s="26" t="str">
        <f aca="false">IF(A2880="","",IFERROR(buscarx(A2880&amp;B2880,DATA!$E$3:$E$10000&amp;DATA!$B$3:$B$10000,DATA!$M$3:$M$10000),"No encontrado"))</f>
        <v/>
      </c>
      <c r="D2880" s="27" t="str">
        <f aca="false">IF(A2880="","",IFERROR(buscarx(A2880&amp;B2880,DATA!$E$3:$E$10000&amp;DATA!$B$3:$B$10000,DATA!$W$3:$W$10000),"No encontrado"))</f>
        <v/>
      </c>
      <c r="E2880" s="22"/>
      <c r="F2880" s="26" t="str">
        <f aca="false">IF(A2880="","",IFERROR(buscarx(A2880&amp;E2880,DATA!$E$3:$E$10000&amp;DATA!$B$3:$B$10000,DATA!$M$3:$M$10000),"Inactivo"))</f>
        <v/>
      </c>
      <c r="G2880" s="28" t="str">
        <f aca="false">IF(A2880="","",IF(AND(C2880&lt;&gt;"No encontrado",F2880&lt;&gt;"Inactivo"),C2880&amp;" → "&amp;F2880,"Sin transición"))</f>
        <v/>
      </c>
      <c r="H2880" s="26" t="str">
        <f aca="false">IF(A2880="","",IF(D2880="GCIA LINEA SERVICIO DIGITALIDAD Y VENTAS","Chats",IF(OR(D2880="GERENCIA INBOUND LÍNEAS SERVICIO Y VENTA",D2880="GERENCIA INBOUND LINEAS ESPECIALIZADAS"),"Llamadas","Otro")))</f>
        <v/>
      </c>
      <c r="I2880" s="26" t="str">
        <f aca="false">IF(A2880="","",IF(C2880="No encontrado","No","Sí"))</f>
        <v/>
      </c>
      <c r="J2880" s="26" t="str">
        <f aca="false">IF(A2880="","",IF(F2880="Inactivo","No","Sí"))</f>
        <v/>
      </c>
      <c r="K2880" s="26" t="str">
        <f aca="false">IF(A2880="","",IF(AND(I2880="Sí",J2880="Sí"),"Sí","No"))</f>
        <v/>
      </c>
    </row>
    <row r="2881" customFormat="false" ht="15" hidden="false" customHeight="false" outlineLevel="0" collapsed="false">
      <c r="A2881" s="22"/>
      <c r="B2881" s="22"/>
      <c r="C2881" s="23" t="str">
        <f aca="false">IF(A2881="","",IFERROR(buscarx(A2881&amp;B2881,DATA!$E$3:$E$10000&amp;DATA!$B$3:$B$10000,DATA!$M$3:$M$10000),"No encontrado"))</f>
        <v/>
      </c>
      <c r="D2881" s="24" t="str">
        <f aca="false">IF(A2881="","",IFERROR(buscarx(A2881&amp;B2881,DATA!$E$3:$E$10000&amp;DATA!$B$3:$B$10000,DATA!$W$3:$W$10000),"No encontrado"))</f>
        <v/>
      </c>
      <c r="E2881" s="22"/>
      <c r="F2881" s="23" t="str">
        <f aca="false">IF(A2881="","",IFERROR(buscarx(A2881&amp;E2881,DATA!$E$3:$E$10000&amp;DATA!$B$3:$B$10000,DATA!$M$3:$M$10000),"Inactivo"))</f>
        <v/>
      </c>
      <c r="G2881" s="25" t="str">
        <f aca="false">IF(A2881="","",IF(AND(C2881&lt;&gt;"No encontrado",F2881&lt;&gt;"Inactivo"),C2881&amp;" → "&amp;F2881,"Sin transición"))</f>
        <v/>
      </c>
      <c r="H2881" s="23" t="str">
        <f aca="false">IF(A2881="","",IF(D2881="GCIA LINEA SERVICIO DIGITALIDAD Y VENTAS","Chats",IF(OR(D2881="GERENCIA INBOUND LÍNEAS SERVICIO Y VENTA",D2881="GERENCIA INBOUND LINEAS ESPECIALIZADAS"),"Llamadas","Otro")))</f>
        <v/>
      </c>
      <c r="I2881" s="23" t="str">
        <f aca="false">IF(A2881="","",IF(C2881="No encontrado","No","Sí"))</f>
        <v/>
      </c>
      <c r="J2881" s="23" t="str">
        <f aca="false">IF(A2881="","",IF(F2881="Inactivo","No","Sí"))</f>
        <v/>
      </c>
      <c r="K2881" s="23" t="str">
        <f aca="false">IF(A2881="","",IF(AND(I2881="Sí",J2881="Sí"),"Sí","No"))</f>
        <v/>
      </c>
    </row>
    <row r="2882" customFormat="false" ht="15" hidden="false" customHeight="false" outlineLevel="0" collapsed="false">
      <c r="A2882" s="22"/>
      <c r="B2882" s="22"/>
      <c r="C2882" s="26" t="str">
        <f aca="false">IF(A2882="","",IFERROR(buscarx(A2882&amp;B2882,DATA!$E$3:$E$10000&amp;DATA!$B$3:$B$10000,DATA!$M$3:$M$10000),"No encontrado"))</f>
        <v/>
      </c>
      <c r="D2882" s="27" t="str">
        <f aca="false">IF(A2882="","",IFERROR(buscarx(A2882&amp;B2882,DATA!$E$3:$E$10000&amp;DATA!$B$3:$B$10000,DATA!$W$3:$W$10000),"No encontrado"))</f>
        <v/>
      </c>
      <c r="E2882" s="22"/>
      <c r="F2882" s="26" t="str">
        <f aca="false">IF(A2882="","",IFERROR(buscarx(A2882&amp;E2882,DATA!$E$3:$E$10000&amp;DATA!$B$3:$B$10000,DATA!$M$3:$M$10000),"Inactivo"))</f>
        <v/>
      </c>
      <c r="G2882" s="28" t="str">
        <f aca="false">IF(A2882="","",IF(AND(C2882&lt;&gt;"No encontrado",F2882&lt;&gt;"Inactivo"),C2882&amp;" → "&amp;F2882,"Sin transición"))</f>
        <v/>
      </c>
      <c r="H2882" s="26" t="str">
        <f aca="false">IF(A2882="","",IF(D2882="GCIA LINEA SERVICIO DIGITALIDAD Y VENTAS","Chats",IF(OR(D2882="GERENCIA INBOUND LÍNEAS SERVICIO Y VENTA",D2882="GERENCIA INBOUND LINEAS ESPECIALIZADAS"),"Llamadas","Otro")))</f>
        <v/>
      </c>
      <c r="I2882" s="26" t="str">
        <f aca="false">IF(A2882="","",IF(C2882="No encontrado","No","Sí"))</f>
        <v/>
      </c>
      <c r="J2882" s="26" t="str">
        <f aca="false">IF(A2882="","",IF(F2882="Inactivo","No","Sí"))</f>
        <v/>
      </c>
      <c r="K2882" s="26" t="str">
        <f aca="false">IF(A2882="","",IF(AND(I2882="Sí",J2882="Sí"),"Sí","No"))</f>
        <v/>
      </c>
    </row>
    <row r="2883" customFormat="false" ht="15" hidden="false" customHeight="false" outlineLevel="0" collapsed="false">
      <c r="A2883" s="22"/>
      <c r="B2883" s="22"/>
      <c r="C2883" s="23" t="str">
        <f aca="false">IF(A2883="","",IFERROR(buscarx(A2883&amp;B2883,DATA!$E$3:$E$10000&amp;DATA!$B$3:$B$10000,DATA!$M$3:$M$10000),"No encontrado"))</f>
        <v/>
      </c>
      <c r="D2883" s="24" t="str">
        <f aca="false">IF(A2883="","",IFERROR(buscarx(A2883&amp;B2883,DATA!$E$3:$E$10000&amp;DATA!$B$3:$B$10000,DATA!$W$3:$W$10000),"No encontrado"))</f>
        <v/>
      </c>
      <c r="E2883" s="22"/>
      <c r="F2883" s="23" t="str">
        <f aca="false">IF(A2883="","",IFERROR(buscarx(A2883&amp;E2883,DATA!$E$3:$E$10000&amp;DATA!$B$3:$B$10000,DATA!$M$3:$M$10000),"Inactivo"))</f>
        <v/>
      </c>
      <c r="G2883" s="25" t="str">
        <f aca="false">IF(A2883="","",IF(AND(C2883&lt;&gt;"No encontrado",F2883&lt;&gt;"Inactivo"),C2883&amp;" → "&amp;F2883,"Sin transición"))</f>
        <v/>
      </c>
      <c r="H2883" s="23" t="str">
        <f aca="false">IF(A2883="","",IF(D2883="GCIA LINEA SERVICIO DIGITALIDAD Y VENTAS","Chats",IF(OR(D2883="GERENCIA INBOUND LÍNEAS SERVICIO Y VENTA",D2883="GERENCIA INBOUND LINEAS ESPECIALIZADAS"),"Llamadas","Otro")))</f>
        <v/>
      </c>
      <c r="I2883" s="23" t="str">
        <f aca="false">IF(A2883="","",IF(C2883="No encontrado","No","Sí"))</f>
        <v/>
      </c>
      <c r="J2883" s="23" t="str">
        <f aca="false">IF(A2883="","",IF(F2883="Inactivo","No","Sí"))</f>
        <v/>
      </c>
      <c r="K2883" s="23" t="str">
        <f aca="false">IF(A2883="","",IF(AND(I2883="Sí",J2883="Sí"),"Sí","No"))</f>
        <v/>
      </c>
    </row>
    <row r="2884" customFormat="false" ht="15" hidden="false" customHeight="false" outlineLevel="0" collapsed="false">
      <c r="A2884" s="22"/>
      <c r="B2884" s="22"/>
      <c r="C2884" s="26" t="str">
        <f aca="false">IF(A2884="","",IFERROR(buscarx(A2884&amp;B2884,DATA!$E$3:$E$10000&amp;DATA!$B$3:$B$10000,DATA!$M$3:$M$10000),"No encontrado"))</f>
        <v/>
      </c>
      <c r="D2884" s="27" t="str">
        <f aca="false">IF(A2884="","",IFERROR(buscarx(A2884&amp;B2884,DATA!$E$3:$E$10000&amp;DATA!$B$3:$B$10000,DATA!$W$3:$W$10000),"No encontrado"))</f>
        <v/>
      </c>
      <c r="E2884" s="22"/>
      <c r="F2884" s="26" t="str">
        <f aca="false">IF(A2884="","",IFERROR(buscarx(A2884&amp;E2884,DATA!$E$3:$E$10000&amp;DATA!$B$3:$B$10000,DATA!$M$3:$M$10000),"Inactivo"))</f>
        <v/>
      </c>
      <c r="G2884" s="28" t="str">
        <f aca="false">IF(A2884="","",IF(AND(C2884&lt;&gt;"No encontrado",F2884&lt;&gt;"Inactivo"),C2884&amp;" → "&amp;F2884,"Sin transición"))</f>
        <v/>
      </c>
      <c r="H2884" s="26" t="str">
        <f aca="false">IF(A2884="","",IF(D2884="GCIA LINEA SERVICIO DIGITALIDAD Y VENTAS","Chats",IF(OR(D2884="GERENCIA INBOUND LÍNEAS SERVICIO Y VENTA",D2884="GERENCIA INBOUND LINEAS ESPECIALIZADAS"),"Llamadas","Otro")))</f>
        <v/>
      </c>
      <c r="I2884" s="26" t="str">
        <f aca="false">IF(A2884="","",IF(C2884="No encontrado","No","Sí"))</f>
        <v/>
      </c>
      <c r="J2884" s="26" t="str">
        <f aca="false">IF(A2884="","",IF(F2884="Inactivo","No","Sí"))</f>
        <v/>
      </c>
      <c r="K2884" s="26" t="str">
        <f aca="false">IF(A2884="","",IF(AND(I2884="Sí",J2884="Sí"),"Sí","No"))</f>
        <v/>
      </c>
    </row>
    <row r="2885" customFormat="false" ht="15" hidden="false" customHeight="false" outlineLevel="0" collapsed="false">
      <c r="A2885" s="22"/>
      <c r="B2885" s="22"/>
      <c r="C2885" s="23" t="str">
        <f aca="false">IF(A2885="","",IFERROR(buscarx(A2885&amp;B2885,DATA!$E$3:$E$10000&amp;DATA!$B$3:$B$10000,DATA!$M$3:$M$10000),"No encontrado"))</f>
        <v/>
      </c>
      <c r="D2885" s="24" t="str">
        <f aca="false">IF(A2885="","",IFERROR(buscarx(A2885&amp;B2885,DATA!$E$3:$E$10000&amp;DATA!$B$3:$B$10000,DATA!$W$3:$W$10000),"No encontrado"))</f>
        <v/>
      </c>
      <c r="E2885" s="22"/>
      <c r="F2885" s="23" t="str">
        <f aca="false">IF(A2885="","",IFERROR(buscarx(A2885&amp;E2885,DATA!$E$3:$E$10000&amp;DATA!$B$3:$B$10000,DATA!$M$3:$M$10000),"Inactivo"))</f>
        <v/>
      </c>
      <c r="G2885" s="25" t="str">
        <f aca="false">IF(A2885="","",IF(AND(C2885&lt;&gt;"No encontrado",F2885&lt;&gt;"Inactivo"),C2885&amp;" → "&amp;F2885,"Sin transición"))</f>
        <v/>
      </c>
      <c r="H2885" s="23" t="str">
        <f aca="false">IF(A2885="","",IF(D2885="GCIA LINEA SERVICIO DIGITALIDAD Y VENTAS","Chats",IF(OR(D2885="GERENCIA INBOUND LÍNEAS SERVICIO Y VENTA",D2885="GERENCIA INBOUND LINEAS ESPECIALIZADAS"),"Llamadas","Otro")))</f>
        <v/>
      </c>
      <c r="I2885" s="23" t="str">
        <f aca="false">IF(A2885="","",IF(C2885="No encontrado","No","Sí"))</f>
        <v/>
      </c>
      <c r="J2885" s="23" t="str">
        <f aca="false">IF(A2885="","",IF(F2885="Inactivo","No","Sí"))</f>
        <v/>
      </c>
      <c r="K2885" s="23" t="str">
        <f aca="false">IF(A2885="","",IF(AND(I2885="Sí",J2885="Sí"),"Sí","No"))</f>
        <v/>
      </c>
    </row>
    <row r="2886" customFormat="false" ht="15" hidden="false" customHeight="false" outlineLevel="0" collapsed="false">
      <c r="A2886" s="22"/>
      <c r="B2886" s="22"/>
      <c r="C2886" s="26" t="str">
        <f aca="false">IF(A2886="","",IFERROR(buscarx(A2886&amp;B2886,DATA!$E$3:$E$10000&amp;DATA!$B$3:$B$10000,DATA!$M$3:$M$10000),"No encontrado"))</f>
        <v/>
      </c>
      <c r="D2886" s="27" t="str">
        <f aca="false">IF(A2886="","",IFERROR(buscarx(A2886&amp;B2886,DATA!$E$3:$E$10000&amp;DATA!$B$3:$B$10000,DATA!$W$3:$W$10000),"No encontrado"))</f>
        <v/>
      </c>
      <c r="E2886" s="22"/>
      <c r="F2886" s="26" t="str">
        <f aca="false">IF(A2886="","",IFERROR(buscarx(A2886&amp;E2886,DATA!$E$3:$E$10000&amp;DATA!$B$3:$B$10000,DATA!$M$3:$M$10000),"Inactivo"))</f>
        <v/>
      </c>
      <c r="G2886" s="28" t="str">
        <f aca="false">IF(A2886="","",IF(AND(C2886&lt;&gt;"No encontrado",F2886&lt;&gt;"Inactivo"),C2886&amp;" → "&amp;F2886,"Sin transición"))</f>
        <v/>
      </c>
      <c r="H2886" s="26" t="str">
        <f aca="false">IF(A2886="","",IF(D2886="GCIA LINEA SERVICIO DIGITALIDAD Y VENTAS","Chats",IF(OR(D2886="GERENCIA INBOUND LÍNEAS SERVICIO Y VENTA",D2886="GERENCIA INBOUND LINEAS ESPECIALIZADAS"),"Llamadas","Otro")))</f>
        <v/>
      </c>
      <c r="I2886" s="26" t="str">
        <f aca="false">IF(A2886="","",IF(C2886="No encontrado","No","Sí"))</f>
        <v/>
      </c>
      <c r="J2886" s="26" t="str">
        <f aca="false">IF(A2886="","",IF(F2886="Inactivo","No","Sí"))</f>
        <v/>
      </c>
      <c r="K2886" s="26" t="str">
        <f aca="false">IF(A2886="","",IF(AND(I2886="Sí",J2886="Sí"),"Sí","No"))</f>
        <v/>
      </c>
    </row>
    <row r="2887" customFormat="false" ht="15" hidden="false" customHeight="false" outlineLevel="0" collapsed="false">
      <c r="A2887" s="22"/>
      <c r="B2887" s="22"/>
      <c r="C2887" s="23" t="str">
        <f aca="false">IF(A2887="","",IFERROR(buscarx(A2887&amp;B2887,DATA!$E$3:$E$10000&amp;DATA!$B$3:$B$10000,DATA!$M$3:$M$10000),"No encontrado"))</f>
        <v/>
      </c>
      <c r="D2887" s="24" t="str">
        <f aca="false">IF(A2887="","",IFERROR(buscarx(A2887&amp;B2887,DATA!$E$3:$E$10000&amp;DATA!$B$3:$B$10000,DATA!$W$3:$W$10000),"No encontrado"))</f>
        <v/>
      </c>
      <c r="E2887" s="22"/>
      <c r="F2887" s="23" t="str">
        <f aca="false">IF(A2887="","",IFERROR(buscarx(A2887&amp;E2887,DATA!$E$3:$E$10000&amp;DATA!$B$3:$B$10000,DATA!$M$3:$M$10000),"Inactivo"))</f>
        <v/>
      </c>
      <c r="G2887" s="25" t="str">
        <f aca="false">IF(A2887="","",IF(AND(C2887&lt;&gt;"No encontrado",F2887&lt;&gt;"Inactivo"),C2887&amp;" → "&amp;F2887,"Sin transición"))</f>
        <v/>
      </c>
      <c r="H2887" s="23" t="str">
        <f aca="false">IF(A2887="","",IF(D2887="GCIA LINEA SERVICIO DIGITALIDAD Y VENTAS","Chats",IF(OR(D2887="GERENCIA INBOUND LÍNEAS SERVICIO Y VENTA",D2887="GERENCIA INBOUND LINEAS ESPECIALIZADAS"),"Llamadas","Otro")))</f>
        <v/>
      </c>
      <c r="I2887" s="23" t="str">
        <f aca="false">IF(A2887="","",IF(C2887="No encontrado","No","Sí"))</f>
        <v/>
      </c>
      <c r="J2887" s="23" t="str">
        <f aca="false">IF(A2887="","",IF(F2887="Inactivo","No","Sí"))</f>
        <v/>
      </c>
      <c r="K2887" s="23" t="str">
        <f aca="false">IF(A2887="","",IF(AND(I2887="Sí",J2887="Sí"),"Sí","No"))</f>
        <v/>
      </c>
    </row>
    <row r="2888" customFormat="false" ht="15" hidden="false" customHeight="false" outlineLevel="0" collapsed="false">
      <c r="A2888" s="22"/>
      <c r="B2888" s="22"/>
      <c r="C2888" s="26" t="str">
        <f aca="false">IF(A2888="","",IFERROR(buscarx(A2888&amp;B2888,DATA!$E$3:$E$10000&amp;DATA!$B$3:$B$10000,DATA!$M$3:$M$10000),"No encontrado"))</f>
        <v/>
      </c>
      <c r="D2888" s="27" t="str">
        <f aca="false">IF(A2888="","",IFERROR(buscarx(A2888&amp;B2888,DATA!$E$3:$E$10000&amp;DATA!$B$3:$B$10000,DATA!$W$3:$W$10000),"No encontrado"))</f>
        <v/>
      </c>
      <c r="E2888" s="22"/>
      <c r="F2888" s="26" t="str">
        <f aca="false">IF(A2888="","",IFERROR(buscarx(A2888&amp;E2888,DATA!$E$3:$E$10000&amp;DATA!$B$3:$B$10000,DATA!$M$3:$M$10000),"Inactivo"))</f>
        <v/>
      </c>
      <c r="G2888" s="28" t="str">
        <f aca="false">IF(A2888="","",IF(AND(C2888&lt;&gt;"No encontrado",F2888&lt;&gt;"Inactivo"),C2888&amp;" → "&amp;F2888,"Sin transición"))</f>
        <v/>
      </c>
      <c r="H2888" s="26" t="str">
        <f aca="false">IF(A2888="","",IF(D2888="GCIA LINEA SERVICIO DIGITALIDAD Y VENTAS","Chats",IF(OR(D2888="GERENCIA INBOUND LÍNEAS SERVICIO Y VENTA",D2888="GERENCIA INBOUND LINEAS ESPECIALIZADAS"),"Llamadas","Otro")))</f>
        <v/>
      </c>
      <c r="I2888" s="26" t="str">
        <f aca="false">IF(A2888="","",IF(C2888="No encontrado","No","Sí"))</f>
        <v/>
      </c>
      <c r="J2888" s="26" t="str">
        <f aca="false">IF(A2888="","",IF(F2888="Inactivo","No","Sí"))</f>
        <v/>
      </c>
      <c r="K2888" s="26" t="str">
        <f aca="false">IF(A2888="","",IF(AND(I2888="Sí",J2888="Sí"),"Sí","No"))</f>
        <v/>
      </c>
    </row>
    <row r="2889" customFormat="false" ht="15" hidden="false" customHeight="false" outlineLevel="0" collapsed="false">
      <c r="A2889" s="22"/>
      <c r="B2889" s="22"/>
      <c r="C2889" s="23" t="str">
        <f aca="false">IF(A2889="","",IFERROR(buscarx(A2889&amp;B2889,DATA!$E$3:$E$10000&amp;DATA!$B$3:$B$10000,DATA!$M$3:$M$10000),"No encontrado"))</f>
        <v/>
      </c>
      <c r="D2889" s="24" t="str">
        <f aca="false">IF(A2889="","",IFERROR(buscarx(A2889&amp;B2889,DATA!$E$3:$E$10000&amp;DATA!$B$3:$B$10000,DATA!$W$3:$W$10000),"No encontrado"))</f>
        <v/>
      </c>
      <c r="E2889" s="22"/>
      <c r="F2889" s="23" t="str">
        <f aca="false">IF(A2889="","",IFERROR(buscarx(A2889&amp;E2889,DATA!$E$3:$E$10000&amp;DATA!$B$3:$B$10000,DATA!$M$3:$M$10000),"Inactivo"))</f>
        <v/>
      </c>
      <c r="G2889" s="25" t="str">
        <f aca="false">IF(A2889="","",IF(AND(C2889&lt;&gt;"No encontrado",F2889&lt;&gt;"Inactivo"),C2889&amp;" → "&amp;F2889,"Sin transición"))</f>
        <v/>
      </c>
      <c r="H2889" s="23" t="str">
        <f aca="false">IF(A2889="","",IF(D2889="GCIA LINEA SERVICIO DIGITALIDAD Y VENTAS","Chats",IF(OR(D2889="GERENCIA INBOUND LÍNEAS SERVICIO Y VENTA",D2889="GERENCIA INBOUND LINEAS ESPECIALIZADAS"),"Llamadas","Otro")))</f>
        <v/>
      </c>
      <c r="I2889" s="23" t="str">
        <f aca="false">IF(A2889="","",IF(C2889="No encontrado","No","Sí"))</f>
        <v/>
      </c>
      <c r="J2889" s="23" t="str">
        <f aca="false">IF(A2889="","",IF(F2889="Inactivo","No","Sí"))</f>
        <v/>
      </c>
      <c r="K2889" s="23" t="str">
        <f aca="false">IF(A2889="","",IF(AND(I2889="Sí",J2889="Sí"),"Sí","No"))</f>
        <v/>
      </c>
    </row>
    <row r="2890" customFormat="false" ht="15" hidden="false" customHeight="false" outlineLevel="0" collapsed="false">
      <c r="A2890" s="22"/>
      <c r="B2890" s="22"/>
      <c r="C2890" s="26" t="str">
        <f aca="false">IF(A2890="","",IFERROR(buscarx(A2890&amp;B2890,DATA!$E$3:$E$10000&amp;DATA!$B$3:$B$10000,DATA!$M$3:$M$10000),"No encontrado"))</f>
        <v/>
      </c>
      <c r="D2890" s="27" t="str">
        <f aca="false">IF(A2890="","",IFERROR(buscarx(A2890&amp;B2890,DATA!$E$3:$E$10000&amp;DATA!$B$3:$B$10000,DATA!$W$3:$W$10000),"No encontrado"))</f>
        <v/>
      </c>
      <c r="E2890" s="22"/>
      <c r="F2890" s="26" t="str">
        <f aca="false">IF(A2890="","",IFERROR(buscarx(A2890&amp;E2890,DATA!$E$3:$E$10000&amp;DATA!$B$3:$B$10000,DATA!$M$3:$M$10000),"Inactivo"))</f>
        <v/>
      </c>
      <c r="G2890" s="28" t="str">
        <f aca="false">IF(A2890="","",IF(AND(C2890&lt;&gt;"No encontrado",F2890&lt;&gt;"Inactivo"),C2890&amp;" → "&amp;F2890,"Sin transición"))</f>
        <v/>
      </c>
      <c r="H2890" s="26" t="str">
        <f aca="false">IF(A2890="","",IF(D2890="GCIA LINEA SERVICIO DIGITALIDAD Y VENTAS","Chats",IF(OR(D2890="GERENCIA INBOUND LÍNEAS SERVICIO Y VENTA",D2890="GERENCIA INBOUND LINEAS ESPECIALIZADAS"),"Llamadas","Otro")))</f>
        <v/>
      </c>
      <c r="I2890" s="26" t="str">
        <f aca="false">IF(A2890="","",IF(C2890="No encontrado","No","Sí"))</f>
        <v/>
      </c>
      <c r="J2890" s="26" t="str">
        <f aca="false">IF(A2890="","",IF(F2890="Inactivo","No","Sí"))</f>
        <v/>
      </c>
      <c r="K2890" s="26" t="str">
        <f aca="false">IF(A2890="","",IF(AND(I2890="Sí",J2890="Sí"),"Sí","No"))</f>
        <v/>
      </c>
    </row>
    <row r="2891" customFormat="false" ht="15" hidden="false" customHeight="false" outlineLevel="0" collapsed="false">
      <c r="A2891" s="22"/>
      <c r="B2891" s="22"/>
      <c r="C2891" s="23" t="str">
        <f aca="false">IF(A2891="","",IFERROR(buscarx(A2891&amp;B2891,DATA!$E$3:$E$10000&amp;DATA!$B$3:$B$10000,DATA!$M$3:$M$10000),"No encontrado"))</f>
        <v/>
      </c>
      <c r="D2891" s="24" t="str">
        <f aca="false">IF(A2891="","",IFERROR(buscarx(A2891&amp;B2891,DATA!$E$3:$E$10000&amp;DATA!$B$3:$B$10000,DATA!$W$3:$W$10000),"No encontrado"))</f>
        <v/>
      </c>
      <c r="E2891" s="22"/>
      <c r="F2891" s="23" t="str">
        <f aca="false">IF(A2891="","",IFERROR(buscarx(A2891&amp;E2891,DATA!$E$3:$E$10000&amp;DATA!$B$3:$B$10000,DATA!$M$3:$M$10000),"Inactivo"))</f>
        <v/>
      </c>
      <c r="G2891" s="25" t="str">
        <f aca="false">IF(A2891="","",IF(AND(C2891&lt;&gt;"No encontrado",F2891&lt;&gt;"Inactivo"),C2891&amp;" → "&amp;F2891,"Sin transición"))</f>
        <v/>
      </c>
      <c r="H2891" s="23" t="str">
        <f aca="false">IF(A2891="","",IF(D2891="GCIA LINEA SERVICIO DIGITALIDAD Y VENTAS","Chats",IF(OR(D2891="GERENCIA INBOUND LÍNEAS SERVICIO Y VENTA",D2891="GERENCIA INBOUND LINEAS ESPECIALIZADAS"),"Llamadas","Otro")))</f>
        <v/>
      </c>
      <c r="I2891" s="23" t="str">
        <f aca="false">IF(A2891="","",IF(C2891="No encontrado","No","Sí"))</f>
        <v/>
      </c>
      <c r="J2891" s="23" t="str">
        <f aca="false">IF(A2891="","",IF(F2891="Inactivo","No","Sí"))</f>
        <v/>
      </c>
      <c r="K2891" s="23" t="str">
        <f aca="false">IF(A2891="","",IF(AND(I2891="Sí",J2891="Sí"),"Sí","No"))</f>
        <v/>
      </c>
    </row>
    <row r="2892" customFormat="false" ht="15" hidden="false" customHeight="false" outlineLevel="0" collapsed="false">
      <c r="A2892" s="22"/>
      <c r="B2892" s="22"/>
      <c r="C2892" s="26" t="str">
        <f aca="false">IF(A2892="","",IFERROR(buscarx(A2892&amp;B2892,DATA!$E$3:$E$10000&amp;DATA!$B$3:$B$10000,DATA!$M$3:$M$10000),"No encontrado"))</f>
        <v/>
      </c>
      <c r="D2892" s="27" t="str">
        <f aca="false">IF(A2892="","",IFERROR(buscarx(A2892&amp;B2892,DATA!$E$3:$E$10000&amp;DATA!$B$3:$B$10000,DATA!$W$3:$W$10000),"No encontrado"))</f>
        <v/>
      </c>
      <c r="E2892" s="22"/>
      <c r="F2892" s="26" t="str">
        <f aca="false">IF(A2892="","",IFERROR(buscarx(A2892&amp;E2892,DATA!$E$3:$E$10000&amp;DATA!$B$3:$B$10000,DATA!$M$3:$M$10000),"Inactivo"))</f>
        <v/>
      </c>
      <c r="G2892" s="28" t="str">
        <f aca="false">IF(A2892="","",IF(AND(C2892&lt;&gt;"No encontrado",F2892&lt;&gt;"Inactivo"),C2892&amp;" → "&amp;F2892,"Sin transición"))</f>
        <v/>
      </c>
      <c r="H2892" s="26" t="str">
        <f aca="false">IF(A2892="","",IF(D2892="GCIA LINEA SERVICIO DIGITALIDAD Y VENTAS","Chats",IF(OR(D2892="GERENCIA INBOUND LÍNEAS SERVICIO Y VENTA",D2892="GERENCIA INBOUND LINEAS ESPECIALIZADAS"),"Llamadas","Otro")))</f>
        <v/>
      </c>
      <c r="I2892" s="26" t="str">
        <f aca="false">IF(A2892="","",IF(C2892="No encontrado","No","Sí"))</f>
        <v/>
      </c>
      <c r="J2892" s="26" t="str">
        <f aca="false">IF(A2892="","",IF(F2892="Inactivo","No","Sí"))</f>
        <v/>
      </c>
      <c r="K2892" s="26" t="str">
        <f aca="false">IF(A2892="","",IF(AND(I2892="Sí",J2892="Sí"),"Sí","No"))</f>
        <v/>
      </c>
    </row>
    <row r="2893" customFormat="false" ht="15" hidden="false" customHeight="false" outlineLevel="0" collapsed="false">
      <c r="A2893" s="22"/>
      <c r="B2893" s="22"/>
      <c r="C2893" s="23" t="str">
        <f aca="false">IF(A2893="","",IFERROR(buscarx(A2893&amp;B2893,DATA!$E$3:$E$10000&amp;DATA!$B$3:$B$10000,DATA!$M$3:$M$10000),"No encontrado"))</f>
        <v/>
      </c>
      <c r="D2893" s="24" t="str">
        <f aca="false">IF(A2893="","",IFERROR(buscarx(A2893&amp;B2893,DATA!$E$3:$E$10000&amp;DATA!$B$3:$B$10000,DATA!$W$3:$W$10000),"No encontrado"))</f>
        <v/>
      </c>
      <c r="E2893" s="22"/>
      <c r="F2893" s="23" t="str">
        <f aca="false">IF(A2893="","",IFERROR(buscarx(A2893&amp;E2893,DATA!$E$3:$E$10000&amp;DATA!$B$3:$B$10000,DATA!$M$3:$M$10000),"Inactivo"))</f>
        <v/>
      </c>
      <c r="G2893" s="25" t="str">
        <f aca="false">IF(A2893="","",IF(AND(C2893&lt;&gt;"No encontrado",F2893&lt;&gt;"Inactivo"),C2893&amp;" → "&amp;F2893,"Sin transición"))</f>
        <v/>
      </c>
      <c r="H2893" s="23" t="str">
        <f aca="false">IF(A2893="","",IF(D2893="GCIA LINEA SERVICIO DIGITALIDAD Y VENTAS","Chats",IF(OR(D2893="GERENCIA INBOUND LÍNEAS SERVICIO Y VENTA",D2893="GERENCIA INBOUND LINEAS ESPECIALIZADAS"),"Llamadas","Otro")))</f>
        <v/>
      </c>
      <c r="I2893" s="23" t="str">
        <f aca="false">IF(A2893="","",IF(C2893="No encontrado","No","Sí"))</f>
        <v/>
      </c>
      <c r="J2893" s="23" t="str">
        <f aca="false">IF(A2893="","",IF(F2893="Inactivo","No","Sí"))</f>
        <v/>
      </c>
      <c r="K2893" s="23" t="str">
        <f aca="false">IF(A2893="","",IF(AND(I2893="Sí",J2893="Sí"),"Sí","No"))</f>
        <v/>
      </c>
    </row>
    <row r="2894" customFormat="false" ht="15" hidden="false" customHeight="false" outlineLevel="0" collapsed="false">
      <c r="A2894" s="22"/>
      <c r="B2894" s="22"/>
      <c r="C2894" s="26" t="str">
        <f aca="false">IF(A2894="","",IFERROR(buscarx(A2894&amp;B2894,DATA!$E$3:$E$10000&amp;DATA!$B$3:$B$10000,DATA!$M$3:$M$10000),"No encontrado"))</f>
        <v/>
      </c>
      <c r="D2894" s="27" t="str">
        <f aca="false">IF(A2894="","",IFERROR(buscarx(A2894&amp;B2894,DATA!$E$3:$E$10000&amp;DATA!$B$3:$B$10000,DATA!$W$3:$W$10000),"No encontrado"))</f>
        <v/>
      </c>
      <c r="E2894" s="22"/>
      <c r="F2894" s="26" t="str">
        <f aca="false">IF(A2894="","",IFERROR(buscarx(A2894&amp;E2894,DATA!$E$3:$E$10000&amp;DATA!$B$3:$B$10000,DATA!$M$3:$M$10000),"Inactivo"))</f>
        <v/>
      </c>
      <c r="G2894" s="28" t="str">
        <f aca="false">IF(A2894="","",IF(AND(C2894&lt;&gt;"No encontrado",F2894&lt;&gt;"Inactivo"),C2894&amp;" → "&amp;F2894,"Sin transición"))</f>
        <v/>
      </c>
      <c r="H2894" s="26" t="str">
        <f aca="false">IF(A2894="","",IF(D2894="GCIA LINEA SERVICIO DIGITALIDAD Y VENTAS","Chats",IF(OR(D2894="GERENCIA INBOUND LÍNEAS SERVICIO Y VENTA",D2894="GERENCIA INBOUND LINEAS ESPECIALIZADAS"),"Llamadas","Otro")))</f>
        <v/>
      </c>
      <c r="I2894" s="26" t="str">
        <f aca="false">IF(A2894="","",IF(C2894="No encontrado","No","Sí"))</f>
        <v/>
      </c>
      <c r="J2894" s="26" t="str">
        <f aca="false">IF(A2894="","",IF(F2894="Inactivo","No","Sí"))</f>
        <v/>
      </c>
      <c r="K2894" s="26" t="str">
        <f aca="false">IF(A2894="","",IF(AND(I2894="Sí",J2894="Sí"),"Sí","No"))</f>
        <v/>
      </c>
    </row>
    <row r="2895" customFormat="false" ht="15" hidden="false" customHeight="false" outlineLevel="0" collapsed="false">
      <c r="A2895" s="22"/>
      <c r="B2895" s="22"/>
      <c r="C2895" s="23" t="str">
        <f aca="false">IF(A2895="","",IFERROR(buscarx(A2895&amp;B2895,DATA!$E$3:$E$10000&amp;DATA!$B$3:$B$10000,DATA!$M$3:$M$10000),"No encontrado"))</f>
        <v/>
      </c>
      <c r="D2895" s="24" t="str">
        <f aca="false">IF(A2895="","",IFERROR(buscarx(A2895&amp;B2895,DATA!$E$3:$E$10000&amp;DATA!$B$3:$B$10000,DATA!$W$3:$W$10000),"No encontrado"))</f>
        <v/>
      </c>
      <c r="E2895" s="22"/>
      <c r="F2895" s="23" t="str">
        <f aca="false">IF(A2895="","",IFERROR(buscarx(A2895&amp;E2895,DATA!$E$3:$E$10000&amp;DATA!$B$3:$B$10000,DATA!$M$3:$M$10000),"Inactivo"))</f>
        <v/>
      </c>
      <c r="G2895" s="25" t="str">
        <f aca="false">IF(A2895="","",IF(AND(C2895&lt;&gt;"No encontrado",F2895&lt;&gt;"Inactivo"),C2895&amp;" → "&amp;F2895,"Sin transición"))</f>
        <v/>
      </c>
      <c r="H2895" s="23" t="str">
        <f aca="false">IF(A2895="","",IF(D2895="GCIA LINEA SERVICIO DIGITALIDAD Y VENTAS","Chats",IF(OR(D2895="GERENCIA INBOUND LÍNEAS SERVICIO Y VENTA",D2895="GERENCIA INBOUND LINEAS ESPECIALIZADAS"),"Llamadas","Otro")))</f>
        <v/>
      </c>
      <c r="I2895" s="23" t="str">
        <f aca="false">IF(A2895="","",IF(C2895="No encontrado","No","Sí"))</f>
        <v/>
      </c>
      <c r="J2895" s="23" t="str">
        <f aca="false">IF(A2895="","",IF(F2895="Inactivo","No","Sí"))</f>
        <v/>
      </c>
      <c r="K2895" s="23" t="str">
        <f aca="false">IF(A2895="","",IF(AND(I2895="Sí",J2895="Sí"),"Sí","No"))</f>
        <v/>
      </c>
    </row>
    <row r="2896" customFormat="false" ht="15" hidden="false" customHeight="false" outlineLevel="0" collapsed="false">
      <c r="A2896" s="22"/>
      <c r="B2896" s="22"/>
      <c r="C2896" s="26" t="str">
        <f aca="false">IF(A2896="","",IFERROR(buscarx(A2896&amp;B2896,DATA!$E$3:$E$10000&amp;DATA!$B$3:$B$10000,DATA!$M$3:$M$10000),"No encontrado"))</f>
        <v/>
      </c>
      <c r="D2896" s="27" t="str">
        <f aca="false">IF(A2896="","",IFERROR(buscarx(A2896&amp;B2896,DATA!$E$3:$E$10000&amp;DATA!$B$3:$B$10000,DATA!$W$3:$W$10000),"No encontrado"))</f>
        <v/>
      </c>
      <c r="E2896" s="22"/>
      <c r="F2896" s="26" t="str">
        <f aca="false">IF(A2896="","",IFERROR(buscarx(A2896&amp;E2896,DATA!$E$3:$E$10000&amp;DATA!$B$3:$B$10000,DATA!$M$3:$M$10000),"Inactivo"))</f>
        <v/>
      </c>
      <c r="G2896" s="28" t="str">
        <f aca="false">IF(A2896="","",IF(AND(C2896&lt;&gt;"No encontrado",F2896&lt;&gt;"Inactivo"),C2896&amp;" → "&amp;F2896,"Sin transición"))</f>
        <v/>
      </c>
      <c r="H2896" s="26" t="str">
        <f aca="false">IF(A2896="","",IF(D2896="GCIA LINEA SERVICIO DIGITALIDAD Y VENTAS","Chats",IF(OR(D2896="GERENCIA INBOUND LÍNEAS SERVICIO Y VENTA",D2896="GERENCIA INBOUND LINEAS ESPECIALIZADAS"),"Llamadas","Otro")))</f>
        <v/>
      </c>
      <c r="I2896" s="26" t="str">
        <f aca="false">IF(A2896="","",IF(C2896="No encontrado","No","Sí"))</f>
        <v/>
      </c>
      <c r="J2896" s="26" t="str">
        <f aca="false">IF(A2896="","",IF(F2896="Inactivo","No","Sí"))</f>
        <v/>
      </c>
      <c r="K2896" s="26" t="str">
        <f aca="false">IF(A2896="","",IF(AND(I2896="Sí",J2896="Sí"),"Sí","No"))</f>
        <v/>
      </c>
    </row>
    <row r="2897" customFormat="false" ht="15" hidden="false" customHeight="false" outlineLevel="0" collapsed="false">
      <c r="A2897" s="22"/>
      <c r="B2897" s="22"/>
      <c r="C2897" s="23" t="str">
        <f aca="false">IF(A2897="","",IFERROR(buscarx(A2897&amp;B2897,DATA!$E$3:$E$10000&amp;DATA!$B$3:$B$10000,DATA!$M$3:$M$10000),"No encontrado"))</f>
        <v/>
      </c>
      <c r="D2897" s="24" t="str">
        <f aca="false">IF(A2897="","",IFERROR(buscarx(A2897&amp;B2897,DATA!$E$3:$E$10000&amp;DATA!$B$3:$B$10000,DATA!$W$3:$W$10000),"No encontrado"))</f>
        <v/>
      </c>
      <c r="E2897" s="22"/>
      <c r="F2897" s="23" t="str">
        <f aca="false">IF(A2897="","",IFERROR(buscarx(A2897&amp;E2897,DATA!$E$3:$E$10000&amp;DATA!$B$3:$B$10000,DATA!$M$3:$M$10000),"Inactivo"))</f>
        <v/>
      </c>
      <c r="G2897" s="25" t="str">
        <f aca="false">IF(A2897="","",IF(AND(C2897&lt;&gt;"No encontrado",F2897&lt;&gt;"Inactivo"),C2897&amp;" → "&amp;F2897,"Sin transición"))</f>
        <v/>
      </c>
      <c r="H2897" s="23" t="str">
        <f aca="false">IF(A2897="","",IF(D2897="GCIA LINEA SERVICIO DIGITALIDAD Y VENTAS","Chats",IF(OR(D2897="GERENCIA INBOUND LÍNEAS SERVICIO Y VENTA",D2897="GERENCIA INBOUND LINEAS ESPECIALIZADAS"),"Llamadas","Otro")))</f>
        <v/>
      </c>
      <c r="I2897" s="23" t="str">
        <f aca="false">IF(A2897="","",IF(C2897="No encontrado","No","Sí"))</f>
        <v/>
      </c>
      <c r="J2897" s="23" t="str">
        <f aca="false">IF(A2897="","",IF(F2897="Inactivo","No","Sí"))</f>
        <v/>
      </c>
      <c r="K2897" s="23" t="str">
        <f aca="false">IF(A2897="","",IF(AND(I2897="Sí",J2897="Sí"),"Sí","No"))</f>
        <v/>
      </c>
    </row>
    <row r="2898" customFormat="false" ht="15" hidden="false" customHeight="false" outlineLevel="0" collapsed="false">
      <c r="A2898" s="22"/>
      <c r="B2898" s="22"/>
      <c r="C2898" s="26" t="str">
        <f aca="false">IF(A2898="","",IFERROR(buscarx(A2898&amp;B2898,DATA!$E$3:$E$10000&amp;DATA!$B$3:$B$10000,DATA!$M$3:$M$10000),"No encontrado"))</f>
        <v/>
      </c>
      <c r="D2898" s="27" t="str">
        <f aca="false">IF(A2898="","",IFERROR(buscarx(A2898&amp;B2898,DATA!$E$3:$E$10000&amp;DATA!$B$3:$B$10000,DATA!$W$3:$W$10000),"No encontrado"))</f>
        <v/>
      </c>
      <c r="E2898" s="22"/>
      <c r="F2898" s="26" t="str">
        <f aca="false">IF(A2898="","",IFERROR(buscarx(A2898&amp;E2898,DATA!$E$3:$E$10000&amp;DATA!$B$3:$B$10000,DATA!$M$3:$M$10000),"Inactivo"))</f>
        <v/>
      </c>
      <c r="G2898" s="28" t="str">
        <f aca="false">IF(A2898="","",IF(AND(C2898&lt;&gt;"No encontrado",F2898&lt;&gt;"Inactivo"),C2898&amp;" → "&amp;F2898,"Sin transición"))</f>
        <v/>
      </c>
      <c r="H2898" s="26" t="str">
        <f aca="false">IF(A2898="","",IF(D2898="GCIA LINEA SERVICIO DIGITALIDAD Y VENTAS","Chats",IF(OR(D2898="GERENCIA INBOUND LÍNEAS SERVICIO Y VENTA",D2898="GERENCIA INBOUND LINEAS ESPECIALIZADAS"),"Llamadas","Otro")))</f>
        <v/>
      </c>
      <c r="I2898" s="26" t="str">
        <f aca="false">IF(A2898="","",IF(C2898="No encontrado","No","Sí"))</f>
        <v/>
      </c>
      <c r="J2898" s="26" t="str">
        <f aca="false">IF(A2898="","",IF(F2898="Inactivo","No","Sí"))</f>
        <v/>
      </c>
      <c r="K2898" s="26" t="str">
        <f aca="false">IF(A2898="","",IF(AND(I2898="Sí",J2898="Sí"),"Sí","No"))</f>
        <v/>
      </c>
    </row>
    <row r="2899" customFormat="false" ht="15" hidden="false" customHeight="false" outlineLevel="0" collapsed="false">
      <c r="A2899" s="22"/>
      <c r="B2899" s="22"/>
      <c r="C2899" s="23" t="str">
        <f aca="false">IF(A2899="","",IFERROR(buscarx(A2899&amp;B2899,DATA!$E$3:$E$10000&amp;DATA!$B$3:$B$10000,DATA!$M$3:$M$10000),"No encontrado"))</f>
        <v/>
      </c>
      <c r="D2899" s="24" t="str">
        <f aca="false">IF(A2899="","",IFERROR(buscarx(A2899&amp;B2899,DATA!$E$3:$E$10000&amp;DATA!$B$3:$B$10000,DATA!$W$3:$W$10000),"No encontrado"))</f>
        <v/>
      </c>
      <c r="E2899" s="22"/>
      <c r="F2899" s="23" t="str">
        <f aca="false">IF(A2899="","",IFERROR(buscarx(A2899&amp;E2899,DATA!$E$3:$E$10000&amp;DATA!$B$3:$B$10000,DATA!$M$3:$M$10000),"Inactivo"))</f>
        <v/>
      </c>
      <c r="G2899" s="25" t="str">
        <f aca="false">IF(A2899="","",IF(AND(C2899&lt;&gt;"No encontrado",F2899&lt;&gt;"Inactivo"),C2899&amp;" → "&amp;F2899,"Sin transición"))</f>
        <v/>
      </c>
      <c r="H2899" s="23" t="str">
        <f aca="false">IF(A2899="","",IF(D2899="GCIA LINEA SERVICIO DIGITALIDAD Y VENTAS","Chats",IF(OR(D2899="GERENCIA INBOUND LÍNEAS SERVICIO Y VENTA",D2899="GERENCIA INBOUND LINEAS ESPECIALIZADAS"),"Llamadas","Otro")))</f>
        <v/>
      </c>
      <c r="I2899" s="23" t="str">
        <f aca="false">IF(A2899="","",IF(C2899="No encontrado","No","Sí"))</f>
        <v/>
      </c>
      <c r="J2899" s="23" t="str">
        <f aca="false">IF(A2899="","",IF(F2899="Inactivo","No","Sí"))</f>
        <v/>
      </c>
      <c r="K2899" s="23" t="str">
        <f aca="false">IF(A2899="","",IF(AND(I2899="Sí",J2899="Sí"),"Sí","No"))</f>
        <v/>
      </c>
    </row>
    <row r="2900" customFormat="false" ht="15" hidden="false" customHeight="false" outlineLevel="0" collapsed="false">
      <c r="A2900" s="22"/>
      <c r="B2900" s="22"/>
      <c r="C2900" s="26" t="str">
        <f aca="false">IF(A2900="","",IFERROR(buscarx(A2900&amp;B2900,DATA!$E$3:$E$10000&amp;DATA!$B$3:$B$10000,DATA!$M$3:$M$10000),"No encontrado"))</f>
        <v/>
      </c>
      <c r="D2900" s="27" t="str">
        <f aca="false">IF(A2900="","",IFERROR(buscarx(A2900&amp;B2900,DATA!$E$3:$E$10000&amp;DATA!$B$3:$B$10000,DATA!$W$3:$W$10000),"No encontrado"))</f>
        <v/>
      </c>
      <c r="E2900" s="22"/>
      <c r="F2900" s="26" t="str">
        <f aca="false">IF(A2900="","",IFERROR(buscarx(A2900&amp;E2900,DATA!$E$3:$E$10000&amp;DATA!$B$3:$B$10000,DATA!$M$3:$M$10000),"Inactivo"))</f>
        <v/>
      </c>
      <c r="G2900" s="28" t="str">
        <f aca="false">IF(A2900="","",IF(AND(C2900&lt;&gt;"No encontrado",F2900&lt;&gt;"Inactivo"),C2900&amp;" → "&amp;F2900,"Sin transición"))</f>
        <v/>
      </c>
      <c r="H2900" s="26" t="str">
        <f aca="false">IF(A2900="","",IF(D2900="GCIA LINEA SERVICIO DIGITALIDAD Y VENTAS","Chats",IF(OR(D2900="GERENCIA INBOUND LÍNEAS SERVICIO Y VENTA",D2900="GERENCIA INBOUND LINEAS ESPECIALIZADAS"),"Llamadas","Otro")))</f>
        <v/>
      </c>
      <c r="I2900" s="26" t="str">
        <f aca="false">IF(A2900="","",IF(C2900="No encontrado","No","Sí"))</f>
        <v/>
      </c>
      <c r="J2900" s="26" t="str">
        <f aca="false">IF(A2900="","",IF(F2900="Inactivo","No","Sí"))</f>
        <v/>
      </c>
      <c r="K2900" s="26" t="str">
        <f aca="false">IF(A2900="","",IF(AND(I2900="Sí",J2900="Sí"),"Sí","No"))</f>
        <v/>
      </c>
    </row>
    <row r="2901" customFormat="false" ht="15" hidden="false" customHeight="false" outlineLevel="0" collapsed="false">
      <c r="A2901" s="22"/>
      <c r="B2901" s="22"/>
      <c r="C2901" s="23" t="str">
        <f aca="false">IF(A2901="","",IFERROR(buscarx(A2901&amp;B2901,DATA!$E$3:$E$10000&amp;DATA!$B$3:$B$10000,DATA!$M$3:$M$10000),"No encontrado"))</f>
        <v/>
      </c>
      <c r="D2901" s="24" t="str">
        <f aca="false">IF(A2901="","",IFERROR(buscarx(A2901&amp;B2901,DATA!$E$3:$E$10000&amp;DATA!$B$3:$B$10000,DATA!$W$3:$W$10000),"No encontrado"))</f>
        <v/>
      </c>
      <c r="E2901" s="22"/>
      <c r="F2901" s="23" t="str">
        <f aca="false">IF(A2901="","",IFERROR(buscarx(A2901&amp;E2901,DATA!$E$3:$E$10000&amp;DATA!$B$3:$B$10000,DATA!$M$3:$M$10000),"Inactivo"))</f>
        <v/>
      </c>
      <c r="G2901" s="25" t="str">
        <f aca="false">IF(A2901="","",IF(AND(C2901&lt;&gt;"No encontrado",F2901&lt;&gt;"Inactivo"),C2901&amp;" → "&amp;F2901,"Sin transición"))</f>
        <v/>
      </c>
      <c r="H2901" s="23" t="str">
        <f aca="false">IF(A2901="","",IF(D2901="GCIA LINEA SERVICIO DIGITALIDAD Y VENTAS","Chats",IF(OR(D2901="GERENCIA INBOUND LÍNEAS SERVICIO Y VENTA",D2901="GERENCIA INBOUND LINEAS ESPECIALIZADAS"),"Llamadas","Otro")))</f>
        <v/>
      </c>
      <c r="I2901" s="23" t="str">
        <f aca="false">IF(A2901="","",IF(C2901="No encontrado","No","Sí"))</f>
        <v/>
      </c>
      <c r="J2901" s="23" t="str">
        <f aca="false">IF(A2901="","",IF(F2901="Inactivo","No","Sí"))</f>
        <v/>
      </c>
      <c r="K2901" s="23" t="str">
        <f aca="false">IF(A2901="","",IF(AND(I2901="Sí",J2901="Sí"),"Sí","No"))</f>
        <v/>
      </c>
    </row>
    <row r="2902" customFormat="false" ht="15" hidden="false" customHeight="false" outlineLevel="0" collapsed="false">
      <c r="A2902" s="22"/>
      <c r="B2902" s="22"/>
      <c r="C2902" s="26" t="str">
        <f aca="false">IF(A2902="","",IFERROR(buscarx(A2902&amp;B2902,DATA!$E$3:$E$10000&amp;DATA!$B$3:$B$10000,DATA!$M$3:$M$10000),"No encontrado"))</f>
        <v/>
      </c>
      <c r="D2902" s="27" t="str">
        <f aca="false">IF(A2902="","",IFERROR(buscarx(A2902&amp;B2902,DATA!$E$3:$E$10000&amp;DATA!$B$3:$B$10000,DATA!$W$3:$W$10000),"No encontrado"))</f>
        <v/>
      </c>
      <c r="E2902" s="22"/>
      <c r="F2902" s="26" t="str">
        <f aca="false">IF(A2902="","",IFERROR(buscarx(A2902&amp;E2902,DATA!$E$3:$E$10000&amp;DATA!$B$3:$B$10000,DATA!$M$3:$M$10000),"Inactivo"))</f>
        <v/>
      </c>
      <c r="G2902" s="28" t="str">
        <f aca="false">IF(A2902="","",IF(AND(C2902&lt;&gt;"No encontrado",F2902&lt;&gt;"Inactivo"),C2902&amp;" → "&amp;F2902,"Sin transición"))</f>
        <v/>
      </c>
      <c r="H2902" s="26" t="str">
        <f aca="false">IF(A2902="","",IF(D2902="GCIA LINEA SERVICIO DIGITALIDAD Y VENTAS","Chats",IF(OR(D2902="GERENCIA INBOUND LÍNEAS SERVICIO Y VENTA",D2902="GERENCIA INBOUND LINEAS ESPECIALIZADAS"),"Llamadas","Otro")))</f>
        <v/>
      </c>
      <c r="I2902" s="26" t="str">
        <f aca="false">IF(A2902="","",IF(C2902="No encontrado","No","Sí"))</f>
        <v/>
      </c>
      <c r="J2902" s="26" t="str">
        <f aca="false">IF(A2902="","",IF(F2902="Inactivo","No","Sí"))</f>
        <v/>
      </c>
      <c r="K2902" s="26" t="str">
        <f aca="false">IF(A2902="","",IF(AND(I2902="Sí",J2902="Sí"),"Sí","No"))</f>
        <v/>
      </c>
    </row>
    <row r="2903" customFormat="false" ht="15" hidden="false" customHeight="false" outlineLevel="0" collapsed="false">
      <c r="A2903" s="22"/>
      <c r="B2903" s="22"/>
      <c r="C2903" s="23" t="str">
        <f aca="false">IF(A2903="","",IFERROR(buscarx(A2903&amp;B2903,DATA!$E$3:$E$10000&amp;DATA!$B$3:$B$10000,DATA!$M$3:$M$10000),"No encontrado"))</f>
        <v/>
      </c>
      <c r="D2903" s="24" t="str">
        <f aca="false">IF(A2903="","",IFERROR(buscarx(A2903&amp;B2903,DATA!$E$3:$E$10000&amp;DATA!$B$3:$B$10000,DATA!$W$3:$W$10000),"No encontrado"))</f>
        <v/>
      </c>
      <c r="E2903" s="22"/>
      <c r="F2903" s="23" t="str">
        <f aca="false">IF(A2903="","",IFERROR(buscarx(A2903&amp;E2903,DATA!$E$3:$E$10000&amp;DATA!$B$3:$B$10000,DATA!$M$3:$M$10000),"Inactivo"))</f>
        <v/>
      </c>
      <c r="G2903" s="25" t="str">
        <f aca="false">IF(A2903="","",IF(AND(C2903&lt;&gt;"No encontrado",F2903&lt;&gt;"Inactivo"),C2903&amp;" → "&amp;F2903,"Sin transición"))</f>
        <v/>
      </c>
      <c r="H2903" s="23" t="str">
        <f aca="false">IF(A2903="","",IF(D2903="GCIA LINEA SERVICIO DIGITALIDAD Y VENTAS","Chats",IF(OR(D2903="GERENCIA INBOUND LÍNEAS SERVICIO Y VENTA",D2903="GERENCIA INBOUND LINEAS ESPECIALIZADAS"),"Llamadas","Otro")))</f>
        <v/>
      </c>
      <c r="I2903" s="23" t="str">
        <f aca="false">IF(A2903="","",IF(C2903="No encontrado","No","Sí"))</f>
        <v/>
      </c>
      <c r="J2903" s="23" t="str">
        <f aca="false">IF(A2903="","",IF(F2903="Inactivo","No","Sí"))</f>
        <v/>
      </c>
      <c r="K2903" s="23" t="str">
        <f aca="false">IF(A2903="","",IF(AND(I2903="Sí",J2903="Sí"),"Sí","No"))</f>
        <v/>
      </c>
    </row>
    <row r="2904" customFormat="false" ht="15" hidden="false" customHeight="false" outlineLevel="0" collapsed="false">
      <c r="A2904" s="22"/>
      <c r="B2904" s="22"/>
      <c r="C2904" s="26" t="str">
        <f aca="false">IF(A2904="","",IFERROR(buscarx(A2904&amp;B2904,DATA!$E$3:$E$10000&amp;DATA!$B$3:$B$10000,DATA!$M$3:$M$10000),"No encontrado"))</f>
        <v/>
      </c>
      <c r="D2904" s="27" t="str">
        <f aca="false">IF(A2904="","",IFERROR(buscarx(A2904&amp;B2904,DATA!$E$3:$E$10000&amp;DATA!$B$3:$B$10000,DATA!$W$3:$W$10000),"No encontrado"))</f>
        <v/>
      </c>
      <c r="E2904" s="22"/>
      <c r="F2904" s="26" t="str">
        <f aca="false">IF(A2904="","",IFERROR(buscarx(A2904&amp;E2904,DATA!$E$3:$E$10000&amp;DATA!$B$3:$B$10000,DATA!$M$3:$M$10000),"Inactivo"))</f>
        <v/>
      </c>
      <c r="G2904" s="28" t="str">
        <f aca="false">IF(A2904="","",IF(AND(C2904&lt;&gt;"No encontrado",F2904&lt;&gt;"Inactivo"),C2904&amp;" → "&amp;F2904,"Sin transición"))</f>
        <v/>
      </c>
      <c r="H2904" s="26" t="str">
        <f aca="false">IF(A2904="","",IF(D2904="GCIA LINEA SERVICIO DIGITALIDAD Y VENTAS","Chats",IF(OR(D2904="GERENCIA INBOUND LÍNEAS SERVICIO Y VENTA",D2904="GERENCIA INBOUND LINEAS ESPECIALIZADAS"),"Llamadas","Otro")))</f>
        <v/>
      </c>
      <c r="I2904" s="26" t="str">
        <f aca="false">IF(A2904="","",IF(C2904="No encontrado","No","Sí"))</f>
        <v/>
      </c>
      <c r="J2904" s="26" t="str">
        <f aca="false">IF(A2904="","",IF(F2904="Inactivo","No","Sí"))</f>
        <v/>
      </c>
      <c r="K2904" s="26" t="str">
        <f aca="false">IF(A2904="","",IF(AND(I2904="Sí",J2904="Sí"),"Sí","No"))</f>
        <v/>
      </c>
    </row>
    <row r="2905" customFormat="false" ht="15" hidden="false" customHeight="false" outlineLevel="0" collapsed="false">
      <c r="A2905" s="22"/>
      <c r="B2905" s="22"/>
      <c r="C2905" s="23" t="str">
        <f aca="false">IF(A2905="","",IFERROR(buscarx(A2905&amp;B2905,DATA!$E$3:$E$10000&amp;DATA!$B$3:$B$10000,DATA!$M$3:$M$10000),"No encontrado"))</f>
        <v/>
      </c>
      <c r="D2905" s="24" t="str">
        <f aca="false">IF(A2905="","",IFERROR(buscarx(A2905&amp;B2905,DATA!$E$3:$E$10000&amp;DATA!$B$3:$B$10000,DATA!$W$3:$W$10000),"No encontrado"))</f>
        <v/>
      </c>
      <c r="E2905" s="22"/>
      <c r="F2905" s="23" t="str">
        <f aca="false">IF(A2905="","",IFERROR(buscarx(A2905&amp;E2905,DATA!$E$3:$E$10000&amp;DATA!$B$3:$B$10000,DATA!$M$3:$M$10000),"Inactivo"))</f>
        <v/>
      </c>
      <c r="G2905" s="25" t="str">
        <f aca="false">IF(A2905="","",IF(AND(C2905&lt;&gt;"No encontrado",F2905&lt;&gt;"Inactivo"),C2905&amp;" → "&amp;F2905,"Sin transición"))</f>
        <v/>
      </c>
      <c r="H2905" s="23" t="str">
        <f aca="false">IF(A2905="","",IF(D2905="GCIA LINEA SERVICIO DIGITALIDAD Y VENTAS","Chats",IF(OR(D2905="GERENCIA INBOUND LÍNEAS SERVICIO Y VENTA",D2905="GERENCIA INBOUND LINEAS ESPECIALIZADAS"),"Llamadas","Otro")))</f>
        <v/>
      </c>
      <c r="I2905" s="23" t="str">
        <f aca="false">IF(A2905="","",IF(C2905="No encontrado","No","Sí"))</f>
        <v/>
      </c>
      <c r="J2905" s="23" t="str">
        <f aca="false">IF(A2905="","",IF(F2905="Inactivo","No","Sí"))</f>
        <v/>
      </c>
      <c r="K2905" s="23" t="str">
        <f aca="false">IF(A2905="","",IF(AND(I2905="Sí",J2905="Sí"),"Sí","No"))</f>
        <v/>
      </c>
    </row>
    <row r="2906" customFormat="false" ht="15" hidden="false" customHeight="false" outlineLevel="0" collapsed="false">
      <c r="A2906" s="22"/>
      <c r="B2906" s="22"/>
      <c r="C2906" s="26" t="str">
        <f aca="false">IF(A2906="","",IFERROR(buscarx(A2906&amp;B2906,DATA!$E$3:$E$10000&amp;DATA!$B$3:$B$10000,DATA!$M$3:$M$10000),"No encontrado"))</f>
        <v/>
      </c>
      <c r="D2906" s="27" t="str">
        <f aca="false">IF(A2906="","",IFERROR(buscarx(A2906&amp;B2906,DATA!$E$3:$E$10000&amp;DATA!$B$3:$B$10000,DATA!$W$3:$W$10000),"No encontrado"))</f>
        <v/>
      </c>
      <c r="E2906" s="22"/>
      <c r="F2906" s="26" t="str">
        <f aca="false">IF(A2906="","",IFERROR(buscarx(A2906&amp;E2906,DATA!$E$3:$E$10000&amp;DATA!$B$3:$B$10000,DATA!$M$3:$M$10000),"Inactivo"))</f>
        <v/>
      </c>
      <c r="G2906" s="28" t="str">
        <f aca="false">IF(A2906="","",IF(AND(C2906&lt;&gt;"No encontrado",F2906&lt;&gt;"Inactivo"),C2906&amp;" → "&amp;F2906,"Sin transición"))</f>
        <v/>
      </c>
      <c r="H2906" s="26" t="str">
        <f aca="false">IF(A2906="","",IF(D2906="GCIA LINEA SERVICIO DIGITALIDAD Y VENTAS","Chats",IF(OR(D2906="GERENCIA INBOUND LÍNEAS SERVICIO Y VENTA",D2906="GERENCIA INBOUND LINEAS ESPECIALIZADAS"),"Llamadas","Otro")))</f>
        <v/>
      </c>
      <c r="I2906" s="26" t="str">
        <f aca="false">IF(A2906="","",IF(C2906="No encontrado","No","Sí"))</f>
        <v/>
      </c>
      <c r="J2906" s="26" t="str">
        <f aca="false">IF(A2906="","",IF(F2906="Inactivo","No","Sí"))</f>
        <v/>
      </c>
      <c r="K2906" s="26" t="str">
        <f aca="false">IF(A2906="","",IF(AND(I2906="Sí",J2906="Sí"),"Sí","No"))</f>
        <v/>
      </c>
    </row>
    <row r="2907" customFormat="false" ht="15" hidden="false" customHeight="false" outlineLevel="0" collapsed="false">
      <c r="A2907" s="22"/>
      <c r="B2907" s="22"/>
      <c r="C2907" s="23" t="str">
        <f aca="false">IF(A2907="","",IFERROR(buscarx(A2907&amp;B2907,DATA!$E$3:$E$10000&amp;DATA!$B$3:$B$10000,DATA!$M$3:$M$10000),"No encontrado"))</f>
        <v/>
      </c>
      <c r="D2907" s="24" t="str">
        <f aca="false">IF(A2907="","",IFERROR(buscarx(A2907&amp;B2907,DATA!$E$3:$E$10000&amp;DATA!$B$3:$B$10000,DATA!$W$3:$W$10000),"No encontrado"))</f>
        <v/>
      </c>
      <c r="E2907" s="22"/>
      <c r="F2907" s="23" t="str">
        <f aca="false">IF(A2907="","",IFERROR(buscarx(A2907&amp;E2907,DATA!$E$3:$E$10000&amp;DATA!$B$3:$B$10000,DATA!$M$3:$M$10000),"Inactivo"))</f>
        <v/>
      </c>
      <c r="G2907" s="25" t="str">
        <f aca="false">IF(A2907="","",IF(AND(C2907&lt;&gt;"No encontrado",F2907&lt;&gt;"Inactivo"),C2907&amp;" → "&amp;F2907,"Sin transición"))</f>
        <v/>
      </c>
      <c r="H2907" s="23" t="str">
        <f aca="false">IF(A2907="","",IF(D2907="GCIA LINEA SERVICIO DIGITALIDAD Y VENTAS","Chats",IF(OR(D2907="GERENCIA INBOUND LÍNEAS SERVICIO Y VENTA",D2907="GERENCIA INBOUND LINEAS ESPECIALIZADAS"),"Llamadas","Otro")))</f>
        <v/>
      </c>
      <c r="I2907" s="23" t="str">
        <f aca="false">IF(A2907="","",IF(C2907="No encontrado","No","Sí"))</f>
        <v/>
      </c>
      <c r="J2907" s="23" t="str">
        <f aca="false">IF(A2907="","",IF(F2907="Inactivo","No","Sí"))</f>
        <v/>
      </c>
      <c r="K2907" s="23" t="str">
        <f aca="false">IF(A2907="","",IF(AND(I2907="Sí",J2907="Sí"),"Sí","No"))</f>
        <v/>
      </c>
    </row>
    <row r="2908" customFormat="false" ht="15" hidden="false" customHeight="false" outlineLevel="0" collapsed="false">
      <c r="A2908" s="22"/>
      <c r="B2908" s="22"/>
      <c r="C2908" s="26" t="str">
        <f aca="false">IF(A2908="","",IFERROR(buscarx(A2908&amp;B2908,DATA!$E$3:$E$10000&amp;DATA!$B$3:$B$10000,DATA!$M$3:$M$10000),"No encontrado"))</f>
        <v/>
      </c>
      <c r="D2908" s="27" t="str">
        <f aca="false">IF(A2908="","",IFERROR(buscarx(A2908&amp;B2908,DATA!$E$3:$E$10000&amp;DATA!$B$3:$B$10000,DATA!$W$3:$W$10000),"No encontrado"))</f>
        <v/>
      </c>
      <c r="E2908" s="22"/>
      <c r="F2908" s="26" t="str">
        <f aca="false">IF(A2908="","",IFERROR(buscarx(A2908&amp;E2908,DATA!$E$3:$E$10000&amp;DATA!$B$3:$B$10000,DATA!$M$3:$M$10000),"Inactivo"))</f>
        <v/>
      </c>
      <c r="G2908" s="28" t="str">
        <f aca="false">IF(A2908="","",IF(AND(C2908&lt;&gt;"No encontrado",F2908&lt;&gt;"Inactivo"),C2908&amp;" → "&amp;F2908,"Sin transición"))</f>
        <v/>
      </c>
      <c r="H2908" s="26" t="str">
        <f aca="false">IF(A2908="","",IF(D2908="GCIA LINEA SERVICIO DIGITALIDAD Y VENTAS","Chats",IF(OR(D2908="GERENCIA INBOUND LÍNEAS SERVICIO Y VENTA",D2908="GERENCIA INBOUND LINEAS ESPECIALIZADAS"),"Llamadas","Otro")))</f>
        <v/>
      </c>
      <c r="I2908" s="26" t="str">
        <f aca="false">IF(A2908="","",IF(C2908="No encontrado","No","Sí"))</f>
        <v/>
      </c>
      <c r="J2908" s="26" t="str">
        <f aca="false">IF(A2908="","",IF(F2908="Inactivo","No","Sí"))</f>
        <v/>
      </c>
      <c r="K2908" s="26" t="str">
        <f aca="false">IF(A2908="","",IF(AND(I2908="Sí",J2908="Sí"),"Sí","No"))</f>
        <v/>
      </c>
    </row>
    <row r="2909" customFormat="false" ht="15" hidden="false" customHeight="false" outlineLevel="0" collapsed="false">
      <c r="A2909" s="22"/>
      <c r="B2909" s="22"/>
      <c r="C2909" s="23" t="str">
        <f aca="false">IF(A2909="","",IFERROR(buscarx(A2909&amp;B2909,DATA!$E$3:$E$10000&amp;DATA!$B$3:$B$10000,DATA!$M$3:$M$10000),"No encontrado"))</f>
        <v/>
      </c>
      <c r="D2909" s="24" t="str">
        <f aca="false">IF(A2909="","",IFERROR(buscarx(A2909&amp;B2909,DATA!$E$3:$E$10000&amp;DATA!$B$3:$B$10000,DATA!$W$3:$W$10000),"No encontrado"))</f>
        <v/>
      </c>
      <c r="E2909" s="22"/>
      <c r="F2909" s="23" t="str">
        <f aca="false">IF(A2909="","",IFERROR(buscarx(A2909&amp;E2909,DATA!$E$3:$E$10000&amp;DATA!$B$3:$B$10000,DATA!$M$3:$M$10000),"Inactivo"))</f>
        <v/>
      </c>
      <c r="G2909" s="25" t="str">
        <f aca="false">IF(A2909="","",IF(AND(C2909&lt;&gt;"No encontrado",F2909&lt;&gt;"Inactivo"),C2909&amp;" → "&amp;F2909,"Sin transición"))</f>
        <v/>
      </c>
      <c r="H2909" s="23" t="str">
        <f aca="false">IF(A2909="","",IF(D2909="GCIA LINEA SERVICIO DIGITALIDAD Y VENTAS","Chats",IF(OR(D2909="GERENCIA INBOUND LÍNEAS SERVICIO Y VENTA",D2909="GERENCIA INBOUND LINEAS ESPECIALIZADAS"),"Llamadas","Otro")))</f>
        <v/>
      </c>
      <c r="I2909" s="23" t="str">
        <f aca="false">IF(A2909="","",IF(C2909="No encontrado","No","Sí"))</f>
        <v/>
      </c>
      <c r="J2909" s="23" t="str">
        <f aca="false">IF(A2909="","",IF(F2909="Inactivo","No","Sí"))</f>
        <v/>
      </c>
      <c r="K2909" s="23" t="str">
        <f aca="false">IF(A2909="","",IF(AND(I2909="Sí",J2909="Sí"),"Sí","No"))</f>
        <v/>
      </c>
    </row>
    <row r="2910" customFormat="false" ht="15" hidden="false" customHeight="false" outlineLevel="0" collapsed="false">
      <c r="A2910" s="22"/>
      <c r="B2910" s="22"/>
      <c r="C2910" s="26" t="str">
        <f aca="false">IF(A2910="","",IFERROR(buscarx(A2910&amp;B2910,DATA!$E$3:$E$10000&amp;DATA!$B$3:$B$10000,DATA!$M$3:$M$10000),"No encontrado"))</f>
        <v/>
      </c>
      <c r="D2910" s="27" t="str">
        <f aca="false">IF(A2910="","",IFERROR(buscarx(A2910&amp;B2910,DATA!$E$3:$E$10000&amp;DATA!$B$3:$B$10000,DATA!$W$3:$W$10000),"No encontrado"))</f>
        <v/>
      </c>
      <c r="E2910" s="22"/>
      <c r="F2910" s="26" t="str">
        <f aca="false">IF(A2910="","",IFERROR(buscarx(A2910&amp;E2910,DATA!$E$3:$E$10000&amp;DATA!$B$3:$B$10000,DATA!$M$3:$M$10000),"Inactivo"))</f>
        <v/>
      </c>
      <c r="G2910" s="28" t="str">
        <f aca="false">IF(A2910="","",IF(AND(C2910&lt;&gt;"No encontrado",F2910&lt;&gt;"Inactivo"),C2910&amp;" → "&amp;F2910,"Sin transición"))</f>
        <v/>
      </c>
      <c r="H2910" s="26" t="str">
        <f aca="false">IF(A2910="","",IF(D2910="GCIA LINEA SERVICIO DIGITALIDAD Y VENTAS","Chats",IF(OR(D2910="GERENCIA INBOUND LÍNEAS SERVICIO Y VENTA",D2910="GERENCIA INBOUND LINEAS ESPECIALIZADAS"),"Llamadas","Otro")))</f>
        <v/>
      </c>
      <c r="I2910" s="26" t="str">
        <f aca="false">IF(A2910="","",IF(C2910="No encontrado","No","Sí"))</f>
        <v/>
      </c>
      <c r="J2910" s="26" t="str">
        <f aca="false">IF(A2910="","",IF(F2910="Inactivo","No","Sí"))</f>
        <v/>
      </c>
      <c r="K2910" s="26" t="str">
        <f aca="false">IF(A2910="","",IF(AND(I2910="Sí",J2910="Sí"),"Sí","No"))</f>
        <v/>
      </c>
    </row>
    <row r="2911" customFormat="false" ht="15" hidden="false" customHeight="false" outlineLevel="0" collapsed="false">
      <c r="A2911" s="22"/>
      <c r="B2911" s="22"/>
      <c r="C2911" s="23" t="str">
        <f aca="false">IF(A2911="","",IFERROR(buscarx(A2911&amp;B2911,DATA!$E$3:$E$10000&amp;DATA!$B$3:$B$10000,DATA!$M$3:$M$10000),"No encontrado"))</f>
        <v/>
      </c>
      <c r="D2911" s="24" t="str">
        <f aca="false">IF(A2911="","",IFERROR(buscarx(A2911&amp;B2911,DATA!$E$3:$E$10000&amp;DATA!$B$3:$B$10000,DATA!$W$3:$W$10000),"No encontrado"))</f>
        <v/>
      </c>
      <c r="E2911" s="22"/>
      <c r="F2911" s="23" t="str">
        <f aca="false">IF(A2911="","",IFERROR(buscarx(A2911&amp;E2911,DATA!$E$3:$E$10000&amp;DATA!$B$3:$B$10000,DATA!$M$3:$M$10000),"Inactivo"))</f>
        <v/>
      </c>
      <c r="G2911" s="25" t="str">
        <f aca="false">IF(A2911="","",IF(AND(C2911&lt;&gt;"No encontrado",F2911&lt;&gt;"Inactivo"),C2911&amp;" → "&amp;F2911,"Sin transición"))</f>
        <v/>
      </c>
      <c r="H2911" s="23" t="str">
        <f aca="false">IF(A2911="","",IF(D2911="GCIA LINEA SERVICIO DIGITALIDAD Y VENTAS","Chats",IF(OR(D2911="GERENCIA INBOUND LÍNEAS SERVICIO Y VENTA",D2911="GERENCIA INBOUND LINEAS ESPECIALIZADAS"),"Llamadas","Otro")))</f>
        <v/>
      </c>
      <c r="I2911" s="23" t="str">
        <f aca="false">IF(A2911="","",IF(C2911="No encontrado","No","Sí"))</f>
        <v/>
      </c>
      <c r="J2911" s="23" t="str">
        <f aca="false">IF(A2911="","",IF(F2911="Inactivo","No","Sí"))</f>
        <v/>
      </c>
      <c r="K2911" s="23" t="str">
        <f aca="false">IF(A2911="","",IF(AND(I2911="Sí",J2911="Sí"),"Sí","No"))</f>
        <v/>
      </c>
    </row>
    <row r="2912" customFormat="false" ht="15" hidden="false" customHeight="false" outlineLevel="0" collapsed="false">
      <c r="A2912" s="22"/>
      <c r="B2912" s="22"/>
      <c r="C2912" s="26" t="str">
        <f aca="false">IF(A2912="","",IFERROR(buscarx(A2912&amp;B2912,DATA!$E$3:$E$10000&amp;DATA!$B$3:$B$10000,DATA!$M$3:$M$10000),"No encontrado"))</f>
        <v/>
      </c>
      <c r="D2912" s="27" t="str">
        <f aca="false">IF(A2912="","",IFERROR(buscarx(A2912&amp;B2912,DATA!$E$3:$E$10000&amp;DATA!$B$3:$B$10000,DATA!$W$3:$W$10000),"No encontrado"))</f>
        <v/>
      </c>
      <c r="E2912" s="22"/>
      <c r="F2912" s="26" t="str">
        <f aca="false">IF(A2912="","",IFERROR(buscarx(A2912&amp;E2912,DATA!$E$3:$E$10000&amp;DATA!$B$3:$B$10000,DATA!$M$3:$M$10000),"Inactivo"))</f>
        <v/>
      </c>
      <c r="G2912" s="28" t="str">
        <f aca="false">IF(A2912="","",IF(AND(C2912&lt;&gt;"No encontrado",F2912&lt;&gt;"Inactivo"),C2912&amp;" → "&amp;F2912,"Sin transición"))</f>
        <v/>
      </c>
      <c r="H2912" s="26" t="str">
        <f aca="false">IF(A2912="","",IF(D2912="GCIA LINEA SERVICIO DIGITALIDAD Y VENTAS","Chats",IF(OR(D2912="GERENCIA INBOUND LÍNEAS SERVICIO Y VENTA",D2912="GERENCIA INBOUND LINEAS ESPECIALIZADAS"),"Llamadas","Otro")))</f>
        <v/>
      </c>
      <c r="I2912" s="26" t="str">
        <f aca="false">IF(A2912="","",IF(C2912="No encontrado","No","Sí"))</f>
        <v/>
      </c>
      <c r="J2912" s="26" t="str">
        <f aca="false">IF(A2912="","",IF(F2912="Inactivo","No","Sí"))</f>
        <v/>
      </c>
      <c r="K2912" s="26" t="str">
        <f aca="false">IF(A2912="","",IF(AND(I2912="Sí",J2912="Sí"),"Sí","No"))</f>
        <v/>
      </c>
    </row>
    <row r="2913" customFormat="false" ht="15" hidden="false" customHeight="false" outlineLevel="0" collapsed="false">
      <c r="A2913" s="22"/>
      <c r="B2913" s="22"/>
      <c r="C2913" s="23" t="str">
        <f aca="false">IF(A2913="","",IFERROR(buscarx(A2913&amp;B2913,DATA!$E$3:$E$10000&amp;DATA!$B$3:$B$10000,DATA!$M$3:$M$10000),"No encontrado"))</f>
        <v/>
      </c>
      <c r="D2913" s="24" t="str">
        <f aca="false">IF(A2913="","",IFERROR(buscarx(A2913&amp;B2913,DATA!$E$3:$E$10000&amp;DATA!$B$3:$B$10000,DATA!$W$3:$W$10000),"No encontrado"))</f>
        <v/>
      </c>
      <c r="E2913" s="22"/>
      <c r="F2913" s="23" t="str">
        <f aca="false">IF(A2913="","",IFERROR(buscarx(A2913&amp;E2913,DATA!$E$3:$E$10000&amp;DATA!$B$3:$B$10000,DATA!$M$3:$M$10000),"Inactivo"))</f>
        <v/>
      </c>
      <c r="G2913" s="25" t="str">
        <f aca="false">IF(A2913="","",IF(AND(C2913&lt;&gt;"No encontrado",F2913&lt;&gt;"Inactivo"),C2913&amp;" → "&amp;F2913,"Sin transición"))</f>
        <v/>
      </c>
      <c r="H2913" s="23" t="str">
        <f aca="false">IF(A2913="","",IF(D2913="GCIA LINEA SERVICIO DIGITALIDAD Y VENTAS","Chats",IF(OR(D2913="GERENCIA INBOUND LÍNEAS SERVICIO Y VENTA",D2913="GERENCIA INBOUND LINEAS ESPECIALIZADAS"),"Llamadas","Otro")))</f>
        <v/>
      </c>
      <c r="I2913" s="23" t="str">
        <f aca="false">IF(A2913="","",IF(C2913="No encontrado","No","Sí"))</f>
        <v/>
      </c>
      <c r="J2913" s="23" t="str">
        <f aca="false">IF(A2913="","",IF(F2913="Inactivo","No","Sí"))</f>
        <v/>
      </c>
      <c r="K2913" s="23" t="str">
        <f aca="false">IF(A2913="","",IF(AND(I2913="Sí",J2913="Sí"),"Sí","No"))</f>
        <v/>
      </c>
    </row>
    <row r="2914" customFormat="false" ht="15" hidden="false" customHeight="false" outlineLevel="0" collapsed="false">
      <c r="A2914" s="22"/>
      <c r="B2914" s="22"/>
      <c r="C2914" s="26" t="str">
        <f aca="false">IF(A2914="","",IFERROR(buscarx(A2914&amp;B2914,DATA!$E$3:$E$10000&amp;DATA!$B$3:$B$10000,DATA!$M$3:$M$10000),"No encontrado"))</f>
        <v/>
      </c>
      <c r="D2914" s="27" t="str">
        <f aca="false">IF(A2914="","",IFERROR(buscarx(A2914&amp;B2914,DATA!$E$3:$E$10000&amp;DATA!$B$3:$B$10000,DATA!$W$3:$W$10000),"No encontrado"))</f>
        <v/>
      </c>
      <c r="E2914" s="22"/>
      <c r="F2914" s="26" t="str">
        <f aca="false">IF(A2914="","",IFERROR(buscarx(A2914&amp;E2914,DATA!$E$3:$E$10000&amp;DATA!$B$3:$B$10000,DATA!$M$3:$M$10000),"Inactivo"))</f>
        <v/>
      </c>
      <c r="G2914" s="28" t="str">
        <f aca="false">IF(A2914="","",IF(AND(C2914&lt;&gt;"No encontrado",F2914&lt;&gt;"Inactivo"),C2914&amp;" → "&amp;F2914,"Sin transición"))</f>
        <v/>
      </c>
      <c r="H2914" s="26" t="str">
        <f aca="false">IF(A2914="","",IF(D2914="GCIA LINEA SERVICIO DIGITALIDAD Y VENTAS","Chats",IF(OR(D2914="GERENCIA INBOUND LÍNEAS SERVICIO Y VENTA",D2914="GERENCIA INBOUND LINEAS ESPECIALIZADAS"),"Llamadas","Otro")))</f>
        <v/>
      </c>
      <c r="I2914" s="26" t="str">
        <f aca="false">IF(A2914="","",IF(C2914="No encontrado","No","Sí"))</f>
        <v/>
      </c>
      <c r="J2914" s="26" t="str">
        <f aca="false">IF(A2914="","",IF(F2914="Inactivo","No","Sí"))</f>
        <v/>
      </c>
      <c r="K2914" s="26" t="str">
        <f aca="false">IF(A2914="","",IF(AND(I2914="Sí",J2914="Sí"),"Sí","No"))</f>
        <v/>
      </c>
    </row>
    <row r="2915" customFormat="false" ht="15" hidden="false" customHeight="false" outlineLevel="0" collapsed="false">
      <c r="A2915" s="22"/>
      <c r="B2915" s="22"/>
      <c r="C2915" s="23" t="str">
        <f aca="false">IF(A2915="","",IFERROR(buscarx(A2915&amp;B2915,DATA!$E$3:$E$10000&amp;DATA!$B$3:$B$10000,DATA!$M$3:$M$10000),"No encontrado"))</f>
        <v/>
      </c>
      <c r="D2915" s="24" t="str">
        <f aca="false">IF(A2915="","",IFERROR(buscarx(A2915&amp;B2915,DATA!$E$3:$E$10000&amp;DATA!$B$3:$B$10000,DATA!$W$3:$W$10000),"No encontrado"))</f>
        <v/>
      </c>
      <c r="E2915" s="22"/>
      <c r="F2915" s="23" t="str">
        <f aca="false">IF(A2915="","",IFERROR(buscarx(A2915&amp;E2915,DATA!$E$3:$E$10000&amp;DATA!$B$3:$B$10000,DATA!$M$3:$M$10000),"Inactivo"))</f>
        <v/>
      </c>
      <c r="G2915" s="25" t="str">
        <f aca="false">IF(A2915="","",IF(AND(C2915&lt;&gt;"No encontrado",F2915&lt;&gt;"Inactivo"),C2915&amp;" → "&amp;F2915,"Sin transición"))</f>
        <v/>
      </c>
      <c r="H2915" s="23" t="str">
        <f aca="false">IF(A2915="","",IF(D2915="GCIA LINEA SERVICIO DIGITALIDAD Y VENTAS","Chats",IF(OR(D2915="GERENCIA INBOUND LÍNEAS SERVICIO Y VENTA",D2915="GERENCIA INBOUND LINEAS ESPECIALIZADAS"),"Llamadas","Otro")))</f>
        <v/>
      </c>
      <c r="I2915" s="23" t="str">
        <f aca="false">IF(A2915="","",IF(C2915="No encontrado","No","Sí"))</f>
        <v/>
      </c>
      <c r="J2915" s="23" t="str">
        <f aca="false">IF(A2915="","",IF(F2915="Inactivo","No","Sí"))</f>
        <v/>
      </c>
      <c r="K2915" s="23" t="str">
        <f aca="false">IF(A2915="","",IF(AND(I2915="Sí",J2915="Sí"),"Sí","No"))</f>
        <v/>
      </c>
    </row>
    <row r="2916" customFormat="false" ht="15" hidden="false" customHeight="false" outlineLevel="0" collapsed="false">
      <c r="A2916" s="22"/>
      <c r="B2916" s="22"/>
      <c r="C2916" s="26" t="str">
        <f aca="false">IF(A2916="","",IFERROR(buscarx(A2916&amp;B2916,DATA!$E$3:$E$10000&amp;DATA!$B$3:$B$10000,DATA!$M$3:$M$10000),"No encontrado"))</f>
        <v/>
      </c>
      <c r="D2916" s="27" t="str">
        <f aca="false">IF(A2916="","",IFERROR(buscarx(A2916&amp;B2916,DATA!$E$3:$E$10000&amp;DATA!$B$3:$B$10000,DATA!$W$3:$W$10000),"No encontrado"))</f>
        <v/>
      </c>
      <c r="E2916" s="22"/>
      <c r="F2916" s="26" t="str">
        <f aca="false">IF(A2916="","",IFERROR(buscarx(A2916&amp;E2916,DATA!$E$3:$E$10000&amp;DATA!$B$3:$B$10000,DATA!$M$3:$M$10000),"Inactivo"))</f>
        <v/>
      </c>
      <c r="G2916" s="28" t="str">
        <f aca="false">IF(A2916="","",IF(AND(C2916&lt;&gt;"No encontrado",F2916&lt;&gt;"Inactivo"),C2916&amp;" → "&amp;F2916,"Sin transición"))</f>
        <v/>
      </c>
      <c r="H2916" s="26" t="str">
        <f aca="false">IF(A2916="","",IF(D2916="GCIA LINEA SERVICIO DIGITALIDAD Y VENTAS","Chats",IF(OR(D2916="GERENCIA INBOUND LÍNEAS SERVICIO Y VENTA",D2916="GERENCIA INBOUND LINEAS ESPECIALIZADAS"),"Llamadas","Otro")))</f>
        <v/>
      </c>
      <c r="I2916" s="26" t="str">
        <f aca="false">IF(A2916="","",IF(C2916="No encontrado","No","Sí"))</f>
        <v/>
      </c>
      <c r="J2916" s="26" t="str">
        <f aca="false">IF(A2916="","",IF(F2916="Inactivo","No","Sí"))</f>
        <v/>
      </c>
      <c r="K2916" s="26" t="str">
        <f aca="false">IF(A2916="","",IF(AND(I2916="Sí",J2916="Sí"),"Sí","No"))</f>
        <v/>
      </c>
    </row>
    <row r="2917" customFormat="false" ht="15" hidden="false" customHeight="false" outlineLevel="0" collapsed="false">
      <c r="A2917" s="22"/>
      <c r="B2917" s="22"/>
      <c r="C2917" s="23" t="str">
        <f aca="false">IF(A2917="","",IFERROR(buscarx(A2917&amp;B2917,DATA!$E$3:$E$10000&amp;DATA!$B$3:$B$10000,DATA!$M$3:$M$10000),"No encontrado"))</f>
        <v/>
      </c>
      <c r="D2917" s="24" t="str">
        <f aca="false">IF(A2917="","",IFERROR(buscarx(A2917&amp;B2917,DATA!$E$3:$E$10000&amp;DATA!$B$3:$B$10000,DATA!$W$3:$W$10000),"No encontrado"))</f>
        <v/>
      </c>
      <c r="E2917" s="22"/>
      <c r="F2917" s="23" t="str">
        <f aca="false">IF(A2917="","",IFERROR(buscarx(A2917&amp;E2917,DATA!$E$3:$E$10000&amp;DATA!$B$3:$B$10000,DATA!$M$3:$M$10000),"Inactivo"))</f>
        <v/>
      </c>
      <c r="G2917" s="25" t="str">
        <f aca="false">IF(A2917="","",IF(AND(C2917&lt;&gt;"No encontrado",F2917&lt;&gt;"Inactivo"),C2917&amp;" → "&amp;F2917,"Sin transición"))</f>
        <v/>
      </c>
      <c r="H2917" s="23" t="str">
        <f aca="false">IF(A2917="","",IF(D2917="GCIA LINEA SERVICIO DIGITALIDAD Y VENTAS","Chats",IF(OR(D2917="GERENCIA INBOUND LÍNEAS SERVICIO Y VENTA",D2917="GERENCIA INBOUND LINEAS ESPECIALIZADAS"),"Llamadas","Otro")))</f>
        <v/>
      </c>
      <c r="I2917" s="23" t="str">
        <f aca="false">IF(A2917="","",IF(C2917="No encontrado","No","Sí"))</f>
        <v/>
      </c>
      <c r="J2917" s="23" t="str">
        <f aca="false">IF(A2917="","",IF(F2917="Inactivo","No","Sí"))</f>
        <v/>
      </c>
      <c r="K2917" s="23" t="str">
        <f aca="false">IF(A2917="","",IF(AND(I2917="Sí",J2917="Sí"),"Sí","No"))</f>
        <v/>
      </c>
    </row>
    <row r="2918" customFormat="false" ht="15" hidden="false" customHeight="false" outlineLevel="0" collapsed="false">
      <c r="A2918" s="22"/>
      <c r="B2918" s="22"/>
      <c r="C2918" s="26" t="str">
        <f aca="false">IF(A2918="","",IFERROR(buscarx(A2918&amp;B2918,DATA!$E$3:$E$10000&amp;DATA!$B$3:$B$10000,DATA!$M$3:$M$10000),"No encontrado"))</f>
        <v/>
      </c>
      <c r="D2918" s="27" t="str">
        <f aca="false">IF(A2918="","",IFERROR(buscarx(A2918&amp;B2918,DATA!$E$3:$E$10000&amp;DATA!$B$3:$B$10000,DATA!$W$3:$W$10000),"No encontrado"))</f>
        <v/>
      </c>
      <c r="E2918" s="22"/>
      <c r="F2918" s="26" t="str">
        <f aca="false">IF(A2918="","",IFERROR(buscarx(A2918&amp;E2918,DATA!$E$3:$E$10000&amp;DATA!$B$3:$B$10000,DATA!$M$3:$M$10000),"Inactivo"))</f>
        <v/>
      </c>
      <c r="G2918" s="28" t="str">
        <f aca="false">IF(A2918="","",IF(AND(C2918&lt;&gt;"No encontrado",F2918&lt;&gt;"Inactivo"),C2918&amp;" → "&amp;F2918,"Sin transición"))</f>
        <v/>
      </c>
      <c r="H2918" s="26" t="str">
        <f aca="false">IF(A2918="","",IF(D2918="GCIA LINEA SERVICIO DIGITALIDAD Y VENTAS","Chats",IF(OR(D2918="GERENCIA INBOUND LÍNEAS SERVICIO Y VENTA",D2918="GERENCIA INBOUND LINEAS ESPECIALIZADAS"),"Llamadas","Otro")))</f>
        <v/>
      </c>
      <c r="I2918" s="26" t="str">
        <f aca="false">IF(A2918="","",IF(C2918="No encontrado","No","Sí"))</f>
        <v/>
      </c>
      <c r="J2918" s="26" t="str">
        <f aca="false">IF(A2918="","",IF(F2918="Inactivo","No","Sí"))</f>
        <v/>
      </c>
      <c r="K2918" s="26" t="str">
        <f aca="false">IF(A2918="","",IF(AND(I2918="Sí",J2918="Sí"),"Sí","No"))</f>
        <v/>
      </c>
    </row>
    <row r="2919" customFormat="false" ht="15" hidden="false" customHeight="false" outlineLevel="0" collapsed="false">
      <c r="A2919" s="22"/>
      <c r="B2919" s="22"/>
      <c r="C2919" s="23" t="str">
        <f aca="false">IF(A2919="","",IFERROR(buscarx(A2919&amp;B2919,DATA!$E$3:$E$10000&amp;DATA!$B$3:$B$10000,DATA!$M$3:$M$10000),"No encontrado"))</f>
        <v/>
      </c>
      <c r="D2919" s="24" t="str">
        <f aca="false">IF(A2919="","",IFERROR(buscarx(A2919&amp;B2919,DATA!$E$3:$E$10000&amp;DATA!$B$3:$B$10000,DATA!$W$3:$W$10000),"No encontrado"))</f>
        <v/>
      </c>
      <c r="E2919" s="22"/>
      <c r="F2919" s="23" t="str">
        <f aca="false">IF(A2919="","",IFERROR(buscarx(A2919&amp;E2919,DATA!$E$3:$E$10000&amp;DATA!$B$3:$B$10000,DATA!$M$3:$M$10000),"Inactivo"))</f>
        <v/>
      </c>
      <c r="G2919" s="25" t="str">
        <f aca="false">IF(A2919="","",IF(AND(C2919&lt;&gt;"No encontrado",F2919&lt;&gt;"Inactivo"),C2919&amp;" → "&amp;F2919,"Sin transición"))</f>
        <v/>
      </c>
      <c r="H2919" s="23" t="str">
        <f aca="false">IF(A2919="","",IF(D2919="GCIA LINEA SERVICIO DIGITALIDAD Y VENTAS","Chats",IF(OR(D2919="GERENCIA INBOUND LÍNEAS SERVICIO Y VENTA",D2919="GERENCIA INBOUND LINEAS ESPECIALIZADAS"),"Llamadas","Otro")))</f>
        <v/>
      </c>
      <c r="I2919" s="23" t="str">
        <f aca="false">IF(A2919="","",IF(C2919="No encontrado","No","Sí"))</f>
        <v/>
      </c>
      <c r="J2919" s="23" t="str">
        <f aca="false">IF(A2919="","",IF(F2919="Inactivo","No","Sí"))</f>
        <v/>
      </c>
      <c r="K2919" s="23" t="str">
        <f aca="false">IF(A2919="","",IF(AND(I2919="Sí",J2919="Sí"),"Sí","No"))</f>
        <v/>
      </c>
    </row>
    <row r="2920" customFormat="false" ht="15" hidden="false" customHeight="false" outlineLevel="0" collapsed="false">
      <c r="A2920" s="22"/>
      <c r="B2920" s="22"/>
      <c r="C2920" s="26" t="str">
        <f aca="false">IF(A2920="","",IFERROR(buscarx(A2920&amp;B2920,DATA!$E$3:$E$10000&amp;DATA!$B$3:$B$10000,DATA!$M$3:$M$10000),"No encontrado"))</f>
        <v/>
      </c>
      <c r="D2920" s="27" t="str">
        <f aca="false">IF(A2920="","",IFERROR(buscarx(A2920&amp;B2920,DATA!$E$3:$E$10000&amp;DATA!$B$3:$B$10000,DATA!$W$3:$W$10000),"No encontrado"))</f>
        <v/>
      </c>
      <c r="E2920" s="22"/>
      <c r="F2920" s="26" t="str">
        <f aca="false">IF(A2920="","",IFERROR(buscarx(A2920&amp;E2920,DATA!$E$3:$E$10000&amp;DATA!$B$3:$B$10000,DATA!$M$3:$M$10000),"Inactivo"))</f>
        <v/>
      </c>
      <c r="G2920" s="28" t="str">
        <f aca="false">IF(A2920="","",IF(AND(C2920&lt;&gt;"No encontrado",F2920&lt;&gt;"Inactivo"),C2920&amp;" → "&amp;F2920,"Sin transición"))</f>
        <v/>
      </c>
      <c r="H2920" s="26" t="str">
        <f aca="false">IF(A2920="","",IF(D2920="GCIA LINEA SERVICIO DIGITALIDAD Y VENTAS","Chats",IF(OR(D2920="GERENCIA INBOUND LÍNEAS SERVICIO Y VENTA",D2920="GERENCIA INBOUND LINEAS ESPECIALIZADAS"),"Llamadas","Otro")))</f>
        <v/>
      </c>
      <c r="I2920" s="26" t="str">
        <f aca="false">IF(A2920="","",IF(C2920="No encontrado","No","Sí"))</f>
        <v/>
      </c>
      <c r="J2920" s="26" t="str">
        <f aca="false">IF(A2920="","",IF(F2920="Inactivo","No","Sí"))</f>
        <v/>
      </c>
      <c r="K2920" s="26" t="str">
        <f aca="false">IF(A2920="","",IF(AND(I2920="Sí",J2920="Sí"),"Sí","No"))</f>
        <v/>
      </c>
    </row>
    <row r="2921" customFormat="false" ht="15" hidden="false" customHeight="false" outlineLevel="0" collapsed="false">
      <c r="A2921" s="22"/>
      <c r="B2921" s="22"/>
      <c r="C2921" s="23" t="str">
        <f aca="false">IF(A2921="","",IFERROR(buscarx(A2921&amp;B2921,DATA!$E$3:$E$10000&amp;DATA!$B$3:$B$10000,DATA!$M$3:$M$10000),"No encontrado"))</f>
        <v/>
      </c>
      <c r="D2921" s="24" t="str">
        <f aca="false">IF(A2921="","",IFERROR(buscarx(A2921&amp;B2921,DATA!$E$3:$E$10000&amp;DATA!$B$3:$B$10000,DATA!$W$3:$W$10000),"No encontrado"))</f>
        <v/>
      </c>
      <c r="E2921" s="22"/>
      <c r="F2921" s="23" t="str">
        <f aca="false">IF(A2921="","",IFERROR(buscarx(A2921&amp;E2921,DATA!$E$3:$E$10000&amp;DATA!$B$3:$B$10000,DATA!$M$3:$M$10000),"Inactivo"))</f>
        <v/>
      </c>
      <c r="G2921" s="25" t="str">
        <f aca="false">IF(A2921="","",IF(AND(C2921&lt;&gt;"No encontrado",F2921&lt;&gt;"Inactivo"),C2921&amp;" → "&amp;F2921,"Sin transición"))</f>
        <v/>
      </c>
      <c r="H2921" s="23" t="str">
        <f aca="false">IF(A2921="","",IF(D2921="GCIA LINEA SERVICIO DIGITALIDAD Y VENTAS","Chats",IF(OR(D2921="GERENCIA INBOUND LÍNEAS SERVICIO Y VENTA",D2921="GERENCIA INBOUND LINEAS ESPECIALIZADAS"),"Llamadas","Otro")))</f>
        <v/>
      </c>
      <c r="I2921" s="23" t="str">
        <f aca="false">IF(A2921="","",IF(C2921="No encontrado","No","Sí"))</f>
        <v/>
      </c>
      <c r="J2921" s="23" t="str">
        <f aca="false">IF(A2921="","",IF(F2921="Inactivo","No","Sí"))</f>
        <v/>
      </c>
      <c r="K2921" s="23" t="str">
        <f aca="false">IF(A2921="","",IF(AND(I2921="Sí",J2921="Sí"),"Sí","No"))</f>
        <v/>
      </c>
    </row>
    <row r="2922" customFormat="false" ht="15" hidden="false" customHeight="false" outlineLevel="0" collapsed="false">
      <c r="A2922" s="22"/>
      <c r="B2922" s="22"/>
      <c r="C2922" s="26" t="str">
        <f aca="false">IF(A2922="","",IFERROR(buscarx(A2922&amp;B2922,DATA!$E$3:$E$10000&amp;DATA!$B$3:$B$10000,DATA!$M$3:$M$10000),"No encontrado"))</f>
        <v/>
      </c>
      <c r="D2922" s="27" t="str">
        <f aca="false">IF(A2922="","",IFERROR(buscarx(A2922&amp;B2922,DATA!$E$3:$E$10000&amp;DATA!$B$3:$B$10000,DATA!$W$3:$W$10000),"No encontrado"))</f>
        <v/>
      </c>
      <c r="E2922" s="22"/>
      <c r="F2922" s="26" t="str">
        <f aca="false">IF(A2922="","",IFERROR(buscarx(A2922&amp;E2922,DATA!$E$3:$E$10000&amp;DATA!$B$3:$B$10000,DATA!$M$3:$M$10000),"Inactivo"))</f>
        <v/>
      </c>
      <c r="G2922" s="28" t="str">
        <f aca="false">IF(A2922="","",IF(AND(C2922&lt;&gt;"No encontrado",F2922&lt;&gt;"Inactivo"),C2922&amp;" → "&amp;F2922,"Sin transición"))</f>
        <v/>
      </c>
      <c r="H2922" s="26" t="str">
        <f aca="false">IF(A2922="","",IF(D2922="GCIA LINEA SERVICIO DIGITALIDAD Y VENTAS","Chats",IF(OR(D2922="GERENCIA INBOUND LÍNEAS SERVICIO Y VENTA",D2922="GERENCIA INBOUND LINEAS ESPECIALIZADAS"),"Llamadas","Otro")))</f>
        <v/>
      </c>
      <c r="I2922" s="26" t="str">
        <f aca="false">IF(A2922="","",IF(C2922="No encontrado","No","Sí"))</f>
        <v/>
      </c>
      <c r="J2922" s="26" t="str">
        <f aca="false">IF(A2922="","",IF(F2922="Inactivo","No","Sí"))</f>
        <v/>
      </c>
      <c r="K2922" s="26" t="str">
        <f aca="false">IF(A2922="","",IF(AND(I2922="Sí",J2922="Sí"),"Sí","No"))</f>
        <v/>
      </c>
    </row>
    <row r="2923" customFormat="false" ht="15" hidden="false" customHeight="false" outlineLevel="0" collapsed="false">
      <c r="A2923" s="22"/>
      <c r="B2923" s="22"/>
      <c r="C2923" s="23" t="str">
        <f aca="false">IF(A2923="","",IFERROR(buscarx(A2923&amp;B2923,DATA!$E$3:$E$10000&amp;DATA!$B$3:$B$10000,DATA!$M$3:$M$10000),"No encontrado"))</f>
        <v/>
      </c>
      <c r="D2923" s="24" t="str">
        <f aca="false">IF(A2923="","",IFERROR(buscarx(A2923&amp;B2923,DATA!$E$3:$E$10000&amp;DATA!$B$3:$B$10000,DATA!$W$3:$W$10000),"No encontrado"))</f>
        <v/>
      </c>
      <c r="E2923" s="22"/>
      <c r="F2923" s="23" t="str">
        <f aca="false">IF(A2923="","",IFERROR(buscarx(A2923&amp;E2923,DATA!$E$3:$E$10000&amp;DATA!$B$3:$B$10000,DATA!$M$3:$M$10000),"Inactivo"))</f>
        <v/>
      </c>
      <c r="G2923" s="25" t="str">
        <f aca="false">IF(A2923="","",IF(AND(C2923&lt;&gt;"No encontrado",F2923&lt;&gt;"Inactivo"),C2923&amp;" → "&amp;F2923,"Sin transición"))</f>
        <v/>
      </c>
      <c r="H2923" s="23" t="str">
        <f aca="false">IF(A2923="","",IF(D2923="GCIA LINEA SERVICIO DIGITALIDAD Y VENTAS","Chats",IF(OR(D2923="GERENCIA INBOUND LÍNEAS SERVICIO Y VENTA",D2923="GERENCIA INBOUND LINEAS ESPECIALIZADAS"),"Llamadas","Otro")))</f>
        <v/>
      </c>
      <c r="I2923" s="23" t="str">
        <f aca="false">IF(A2923="","",IF(C2923="No encontrado","No","Sí"))</f>
        <v/>
      </c>
      <c r="J2923" s="23" t="str">
        <f aca="false">IF(A2923="","",IF(F2923="Inactivo","No","Sí"))</f>
        <v/>
      </c>
      <c r="K2923" s="23" t="str">
        <f aca="false">IF(A2923="","",IF(AND(I2923="Sí",J2923="Sí"),"Sí","No"))</f>
        <v/>
      </c>
    </row>
    <row r="2924" customFormat="false" ht="15" hidden="false" customHeight="false" outlineLevel="0" collapsed="false">
      <c r="A2924" s="22"/>
      <c r="B2924" s="22"/>
      <c r="C2924" s="26" t="str">
        <f aca="false">IF(A2924="","",IFERROR(buscarx(A2924&amp;B2924,DATA!$E$3:$E$10000&amp;DATA!$B$3:$B$10000,DATA!$M$3:$M$10000),"No encontrado"))</f>
        <v/>
      </c>
      <c r="D2924" s="27" t="str">
        <f aca="false">IF(A2924="","",IFERROR(buscarx(A2924&amp;B2924,DATA!$E$3:$E$10000&amp;DATA!$B$3:$B$10000,DATA!$W$3:$W$10000),"No encontrado"))</f>
        <v/>
      </c>
      <c r="E2924" s="22"/>
      <c r="F2924" s="26" t="str">
        <f aca="false">IF(A2924="","",IFERROR(buscarx(A2924&amp;E2924,DATA!$E$3:$E$10000&amp;DATA!$B$3:$B$10000,DATA!$M$3:$M$10000),"Inactivo"))</f>
        <v/>
      </c>
      <c r="G2924" s="28" t="str">
        <f aca="false">IF(A2924="","",IF(AND(C2924&lt;&gt;"No encontrado",F2924&lt;&gt;"Inactivo"),C2924&amp;" → "&amp;F2924,"Sin transición"))</f>
        <v/>
      </c>
      <c r="H2924" s="26" t="str">
        <f aca="false">IF(A2924="","",IF(D2924="GCIA LINEA SERVICIO DIGITALIDAD Y VENTAS","Chats",IF(OR(D2924="GERENCIA INBOUND LÍNEAS SERVICIO Y VENTA",D2924="GERENCIA INBOUND LINEAS ESPECIALIZADAS"),"Llamadas","Otro")))</f>
        <v/>
      </c>
      <c r="I2924" s="26" t="str">
        <f aca="false">IF(A2924="","",IF(C2924="No encontrado","No","Sí"))</f>
        <v/>
      </c>
      <c r="J2924" s="26" t="str">
        <f aca="false">IF(A2924="","",IF(F2924="Inactivo","No","Sí"))</f>
        <v/>
      </c>
      <c r="K2924" s="26" t="str">
        <f aca="false">IF(A2924="","",IF(AND(I2924="Sí",J2924="Sí"),"Sí","No"))</f>
        <v/>
      </c>
    </row>
    <row r="2925" customFormat="false" ht="15" hidden="false" customHeight="false" outlineLevel="0" collapsed="false">
      <c r="A2925" s="22"/>
      <c r="B2925" s="22"/>
      <c r="C2925" s="23" t="str">
        <f aca="false">IF(A2925="","",IFERROR(buscarx(A2925&amp;B2925,DATA!$E$3:$E$10000&amp;DATA!$B$3:$B$10000,DATA!$M$3:$M$10000),"No encontrado"))</f>
        <v/>
      </c>
      <c r="D2925" s="24" t="str">
        <f aca="false">IF(A2925="","",IFERROR(buscarx(A2925&amp;B2925,DATA!$E$3:$E$10000&amp;DATA!$B$3:$B$10000,DATA!$W$3:$W$10000),"No encontrado"))</f>
        <v/>
      </c>
      <c r="E2925" s="22"/>
      <c r="F2925" s="23" t="str">
        <f aca="false">IF(A2925="","",IFERROR(buscarx(A2925&amp;E2925,DATA!$E$3:$E$10000&amp;DATA!$B$3:$B$10000,DATA!$M$3:$M$10000),"Inactivo"))</f>
        <v/>
      </c>
      <c r="G2925" s="25" t="str">
        <f aca="false">IF(A2925="","",IF(AND(C2925&lt;&gt;"No encontrado",F2925&lt;&gt;"Inactivo"),C2925&amp;" → "&amp;F2925,"Sin transición"))</f>
        <v/>
      </c>
      <c r="H2925" s="23" t="str">
        <f aca="false">IF(A2925="","",IF(D2925="GCIA LINEA SERVICIO DIGITALIDAD Y VENTAS","Chats",IF(OR(D2925="GERENCIA INBOUND LÍNEAS SERVICIO Y VENTA",D2925="GERENCIA INBOUND LINEAS ESPECIALIZADAS"),"Llamadas","Otro")))</f>
        <v/>
      </c>
      <c r="I2925" s="23" t="str">
        <f aca="false">IF(A2925="","",IF(C2925="No encontrado","No","Sí"))</f>
        <v/>
      </c>
      <c r="J2925" s="23" t="str">
        <f aca="false">IF(A2925="","",IF(F2925="Inactivo","No","Sí"))</f>
        <v/>
      </c>
      <c r="K2925" s="23" t="str">
        <f aca="false">IF(A2925="","",IF(AND(I2925="Sí",J2925="Sí"),"Sí","No"))</f>
        <v/>
      </c>
    </row>
    <row r="2926" customFormat="false" ht="15" hidden="false" customHeight="false" outlineLevel="0" collapsed="false">
      <c r="A2926" s="22"/>
      <c r="B2926" s="22"/>
      <c r="C2926" s="26" t="str">
        <f aca="false">IF(A2926="","",IFERROR(buscarx(A2926&amp;B2926,DATA!$E$3:$E$10000&amp;DATA!$B$3:$B$10000,DATA!$M$3:$M$10000),"No encontrado"))</f>
        <v/>
      </c>
      <c r="D2926" s="27" t="str">
        <f aca="false">IF(A2926="","",IFERROR(buscarx(A2926&amp;B2926,DATA!$E$3:$E$10000&amp;DATA!$B$3:$B$10000,DATA!$W$3:$W$10000),"No encontrado"))</f>
        <v/>
      </c>
      <c r="E2926" s="22"/>
      <c r="F2926" s="26" t="str">
        <f aca="false">IF(A2926="","",IFERROR(buscarx(A2926&amp;E2926,DATA!$E$3:$E$10000&amp;DATA!$B$3:$B$10000,DATA!$M$3:$M$10000),"Inactivo"))</f>
        <v/>
      </c>
      <c r="G2926" s="28" t="str">
        <f aca="false">IF(A2926="","",IF(AND(C2926&lt;&gt;"No encontrado",F2926&lt;&gt;"Inactivo"),C2926&amp;" → "&amp;F2926,"Sin transición"))</f>
        <v/>
      </c>
      <c r="H2926" s="26" t="str">
        <f aca="false">IF(A2926="","",IF(D2926="GCIA LINEA SERVICIO DIGITALIDAD Y VENTAS","Chats",IF(OR(D2926="GERENCIA INBOUND LÍNEAS SERVICIO Y VENTA",D2926="GERENCIA INBOUND LINEAS ESPECIALIZADAS"),"Llamadas","Otro")))</f>
        <v/>
      </c>
      <c r="I2926" s="26" t="str">
        <f aca="false">IF(A2926="","",IF(C2926="No encontrado","No","Sí"))</f>
        <v/>
      </c>
      <c r="J2926" s="26" t="str">
        <f aca="false">IF(A2926="","",IF(F2926="Inactivo","No","Sí"))</f>
        <v/>
      </c>
      <c r="K2926" s="26" t="str">
        <f aca="false">IF(A2926="","",IF(AND(I2926="Sí",J2926="Sí"),"Sí","No"))</f>
        <v/>
      </c>
    </row>
    <row r="2927" customFormat="false" ht="15" hidden="false" customHeight="false" outlineLevel="0" collapsed="false">
      <c r="A2927" s="22"/>
      <c r="B2927" s="22"/>
      <c r="C2927" s="23" t="str">
        <f aca="false">IF(A2927="","",IFERROR(buscarx(A2927&amp;B2927,DATA!$E$3:$E$10000&amp;DATA!$B$3:$B$10000,DATA!$M$3:$M$10000),"No encontrado"))</f>
        <v/>
      </c>
      <c r="D2927" s="24" t="str">
        <f aca="false">IF(A2927="","",IFERROR(buscarx(A2927&amp;B2927,DATA!$E$3:$E$10000&amp;DATA!$B$3:$B$10000,DATA!$W$3:$W$10000),"No encontrado"))</f>
        <v/>
      </c>
      <c r="E2927" s="22"/>
      <c r="F2927" s="23" t="str">
        <f aca="false">IF(A2927="","",IFERROR(buscarx(A2927&amp;E2927,DATA!$E$3:$E$10000&amp;DATA!$B$3:$B$10000,DATA!$M$3:$M$10000),"Inactivo"))</f>
        <v/>
      </c>
      <c r="G2927" s="25" t="str">
        <f aca="false">IF(A2927="","",IF(AND(C2927&lt;&gt;"No encontrado",F2927&lt;&gt;"Inactivo"),C2927&amp;" → "&amp;F2927,"Sin transición"))</f>
        <v/>
      </c>
      <c r="H2927" s="23" t="str">
        <f aca="false">IF(A2927="","",IF(D2927="GCIA LINEA SERVICIO DIGITALIDAD Y VENTAS","Chats",IF(OR(D2927="GERENCIA INBOUND LÍNEAS SERVICIO Y VENTA",D2927="GERENCIA INBOUND LINEAS ESPECIALIZADAS"),"Llamadas","Otro")))</f>
        <v/>
      </c>
      <c r="I2927" s="23" t="str">
        <f aca="false">IF(A2927="","",IF(C2927="No encontrado","No","Sí"))</f>
        <v/>
      </c>
      <c r="J2927" s="23" t="str">
        <f aca="false">IF(A2927="","",IF(F2927="Inactivo","No","Sí"))</f>
        <v/>
      </c>
      <c r="K2927" s="23" t="str">
        <f aca="false">IF(A2927="","",IF(AND(I2927="Sí",J2927="Sí"),"Sí","No"))</f>
        <v/>
      </c>
    </row>
    <row r="2928" customFormat="false" ht="15" hidden="false" customHeight="false" outlineLevel="0" collapsed="false">
      <c r="A2928" s="22"/>
      <c r="B2928" s="22"/>
      <c r="C2928" s="26" t="str">
        <f aca="false">IF(A2928="","",IFERROR(buscarx(A2928&amp;B2928,DATA!$E$3:$E$10000&amp;DATA!$B$3:$B$10000,DATA!$M$3:$M$10000),"No encontrado"))</f>
        <v/>
      </c>
      <c r="D2928" s="27" t="str">
        <f aca="false">IF(A2928="","",IFERROR(buscarx(A2928&amp;B2928,DATA!$E$3:$E$10000&amp;DATA!$B$3:$B$10000,DATA!$W$3:$W$10000),"No encontrado"))</f>
        <v/>
      </c>
      <c r="E2928" s="22"/>
      <c r="F2928" s="26" t="str">
        <f aca="false">IF(A2928="","",IFERROR(buscarx(A2928&amp;E2928,DATA!$E$3:$E$10000&amp;DATA!$B$3:$B$10000,DATA!$M$3:$M$10000),"Inactivo"))</f>
        <v/>
      </c>
      <c r="G2928" s="28" t="str">
        <f aca="false">IF(A2928="","",IF(AND(C2928&lt;&gt;"No encontrado",F2928&lt;&gt;"Inactivo"),C2928&amp;" → "&amp;F2928,"Sin transición"))</f>
        <v/>
      </c>
      <c r="H2928" s="26" t="str">
        <f aca="false">IF(A2928="","",IF(D2928="GCIA LINEA SERVICIO DIGITALIDAD Y VENTAS","Chats",IF(OR(D2928="GERENCIA INBOUND LÍNEAS SERVICIO Y VENTA",D2928="GERENCIA INBOUND LINEAS ESPECIALIZADAS"),"Llamadas","Otro")))</f>
        <v/>
      </c>
      <c r="I2928" s="26" t="str">
        <f aca="false">IF(A2928="","",IF(C2928="No encontrado","No","Sí"))</f>
        <v/>
      </c>
      <c r="J2928" s="26" t="str">
        <f aca="false">IF(A2928="","",IF(F2928="Inactivo","No","Sí"))</f>
        <v/>
      </c>
      <c r="K2928" s="26" t="str">
        <f aca="false">IF(A2928="","",IF(AND(I2928="Sí",J2928="Sí"),"Sí","No"))</f>
        <v/>
      </c>
    </row>
    <row r="2929" customFormat="false" ht="15" hidden="false" customHeight="false" outlineLevel="0" collapsed="false">
      <c r="A2929" s="22"/>
      <c r="B2929" s="22"/>
      <c r="C2929" s="23" t="str">
        <f aca="false">IF(A2929="","",IFERROR(buscarx(A2929&amp;B2929,DATA!$E$3:$E$10000&amp;DATA!$B$3:$B$10000,DATA!$M$3:$M$10000),"No encontrado"))</f>
        <v/>
      </c>
      <c r="D2929" s="24" t="str">
        <f aca="false">IF(A2929="","",IFERROR(buscarx(A2929&amp;B2929,DATA!$E$3:$E$10000&amp;DATA!$B$3:$B$10000,DATA!$W$3:$W$10000),"No encontrado"))</f>
        <v/>
      </c>
      <c r="E2929" s="22"/>
      <c r="F2929" s="23" t="str">
        <f aca="false">IF(A2929="","",IFERROR(buscarx(A2929&amp;E2929,DATA!$E$3:$E$10000&amp;DATA!$B$3:$B$10000,DATA!$M$3:$M$10000),"Inactivo"))</f>
        <v/>
      </c>
      <c r="G2929" s="25" t="str">
        <f aca="false">IF(A2929="","",IF(AND(C2929&lt;&gt;"No encontrado",F2929&lt;&gt;"Inactivo"),C2929&amp;" → "&amp;F2929,"Sin transición"))</f>
        <v/>
      </c>
      <c r="H2929" s="23" t="str">
        <f aca="false">IF(A2929="","",IF(D2929="GCIA LINEA SERVICIO DIGITALIDAD Y VENTAS","Chats",IF(OR(D2929="GERENCIA INBOUND LÍNEAS SERVICIO Y VENTA",D2929="GERENCIA INBOUND LINEAS ESPECIALIZADAS"),"Llamadas","Otro")))</f>
        <v/>
      </c>
      <c r="I2929" s="23" t="str">
        <f aca="false">IF(A2929="","",IF(C2929="No encontrado","No","Sí"))</f>
        <v/>
      </c>
      <c r="J2929" s="23" t="str">
        <f aca="false">IF(A2929="","",IF(F2929="Inactivo","No","Sí"))</f>
        <v/>
      </c>
      <c r="K2929" s="23" t="str">
        <f aca="false">IF(A2929="","",IF(AND(I2929="Sí",J2929="Sí"),"Sí","No"))</f>
        <v/>
      </c>
    </row>
    <row r="2930" customFormat="false" ht="15" hidden="false" customHeight="false" outlineLevel="0" collapsed="false">
      <c r="A2930" s="22"/>
      <c r="B2930" s="22"/>
      <c r="C2930" s="26" t="str">
        <f aca="false">IF(A2930="","",IFERROR(buscarx(A2930&amp;B2930,DATA!$E$3:$E$10000&amp;DATA!$B$3:$B$10000,DATA!$M$3:$M$10000),"No encontrado"))</f>
        <v/>
      </c>
      <c r="D2930" s="27" t="str">
        <f aca="false">IF(A2930="","",IFERROR(buscarx(A2930&amp;B2930,DATA!$E$3:$E$10000&amp;DATA!$B$3:$B$10000,DATA!$W$3:$W$10000),"No encontrado"))</f>
        <v/>
      </c>
      <c r="E2930" s="22"/>
      <c r="F2930" s="26" t="str">
        <f aca="false">IF(A2930="","",IFERROR(buscarx(A2930&amp;E2930,DATA!$E$3:$E$10000&amp;DATA!$B$3:$B$10000,DATA!$M$3:$M$10000),"Inactivo"))</f>
        <v/>
      </c>
      <c r="G2930" s="28" t="str">
        <f aca="false">IF(A2930="","",IF(AND(C2930&lt;&gt;"No encontrado",F2930&lt;&gt;"Inactivo"),C2930&amp;" → "&amp;F2930,"Sin transición"))</f>
        <v/>
      </c>
      <c r="H2930" s="26" t="str">
        <f aca="false">IF(A2930="","",IF(D2930="GCIA LINEA SERVICIO DIGITALIDAD Y VENTAS","Chats",IF(OR(D2930="GERENCIA INBOUND LÍNEAS SERVICIO Y VENTA",D2930="GERENCIA INBOUND LINEAS ESPECIALIZADAS"),"Llamadas","Otro")))</f>
        <v/>
      </c>
      <c r="I2930" s="26" t="str">
        <f aca="false">IF(A2930="","",IF(C2930="No encontrado","No","Sí"))</f>
        <v/>
      </c>
      <c r="J2930" s="26" t="str">
        <f aca="false">IF(A2930="","",IF(F2930="Inactivo","No","Sí"))</f>
        <v/>
      </c>
      <c r="K2930" s="26" t="str">
        <f aca="false">IF(A2930="","",IF(AND(I2930="Sí",J2930="Sí"),"Sí","No"))</f>
        <v/>
      </c>
    </row>
    <row r="2931" customFormat="false" ht="15" hidden="false" customHeight="false" outlineLevel="0" collapsed="false">
      <c r="A2931" s="22"/>
      <c r="B2931" s="22"/>
      <c r="C2931" s="23" t="str">
        <f aca="false">IF(A2931="","",IFERROR(buscarx(A2931&amp;B2931,DATA!$E$3:$E$10000&amp;DATA!$B$3:$B$10000,DATA!$M$3:$M$10000),"No encontrado"))</f>
        <v/>
      </c>
      <c r="D2931" s="24" t="str">
        <f aca="false">IF(A2931="","",IFERROR(buscarx(A2931&amp;B2931,DATA!$E$3:$E$10000&amp;DATA!$B$3:$B$10000,DATA!$W$3:$W$10000),"No encontrado"))</f>
        <v/>
      </c>
      <c r="E2931" s="22"/>
      <c r="F2931" s="23" t="str">
        <f aca="false">IF(A2931="","",IFERROR(buscarx(A2931&amp;E2931,DATA!$E$3:$E$10000&amp;DATA!$B$3:$B$10000,DATA!$M$3:$M$10000),"Inactivo"))</f>
        <v/>
      </c>
      <c r="G2931" s="25" t="str">
        <f aca="false">IF(A2931="","",IF(AND(C2931&lt;&gt;"No encontrado",F2931&lt;&gt;"Inactivo"),C2931&amp;" → "&amp;F2931,"Sin transición"))</f>
        <v/>
      </c>
      <c r="H2931" s="23" t="str">
        <f aca="false">IF(A2931="","",IF(D2931="GCIA LINEA SERVICIO DIGITALIDAD Y VENTAS","Chats",IF(OR(D2931="GERENCIA INBOUND LÍNEAS SERVICIO Y VENTA",D2931="GERENCIA INBOUND LINEAS ESPECIALIZADAS"),"Llamadas","Otro")))</f>
        <v/>
      </c>
      <c r="I2931" s="23" t="str">
        <f aca="false">IF(A2931="","",IF(C2931="No encontrado","No","Sí"))</f>
        <v/>
      </c>
      <c r="J2931" s="23" t="str">
        <f aca="false">IF(A2931="","",IF(F2931="Inactivo","No","Sí"))</f>
        <v/>
      </c>
      <c r="K2931" s="23" t="str">
        <f aca="false">IF(A2931="","",IF(AND(I2931="Sí",J2931="Sí"),"Sí","No"))</f>
        <v/>
      </c>
    </row>
    <row r="2932" customFormat="false" ht="15" hidden="false" customHeight="false" outlineLevel="0" collapsed="false">
      <c r="A2932" s="22"/>
      <c r="B2932" s="22"/>
      <c r="C2932" s="26" t="str">
        <f aca="false">IF(A2932="","",IFERROR(buscarx(A2932&amp;B2932,DATA!$E$3:$E$10000&amp;DATA!$B$3:$B$10000,DATA!$M$3:$M$10000),"No encontrado"))</f>
        <v/>
      </c>
      <c r="D2932" s="27" t="str">
        <f aca="false">IF(A2932="","",IFERROR(buscarx(A2932&amp;B2932,DATA!$E$3:$E$10000&amp;DATA!$B$3:$B$10000,DATA!$W$3:$W$10000),"No encontrado"))</f>
        <v/>
      </c>
      <c r="E2932" s="22"/>
      <c r="F2932" s="26" t="str">
        <f aca="false">IF(A2932="","",IFERROR(buscarx(A2932&amp;E2932,DATA!$E$3:$E$10000&amp;DATA!$B$3:$B$10000,DATA!$M$3:$M$10000),"Inactivo"))</f>
        <v/>
      </c>
      <c r="G2932" s="28" t="str">
        <f aca="false">IF(A2932="","",IF(AND(C2932&lt;&gt;"No encontrado",F2932&lt;&gt;"Inactivo"),C2932&amp;" → "&amp;F2932,"Sin transición"))</f>
        <v/>
      </c>
      <c r="H2932" s="26" t="str">
        <f aca="false">IF(A2932="","",IF(D2932="GCIA LINEA SERVICIO DIGITALIDAD Y VENTAS","Chats",IF(OR(D2932="GERENCIA INBOUND LÍNEAS SERVICIO Y VENTA",D2932="GERENCIA INBOUND LINEAS ESPECIALIZADAS"),"Llamadas","Otro")))</f>
        <v/>
      </c>
      <c r="I2932" s="26" t="str">
        <f aca="false">IF(A2932="","",IF(C2932="No encontrado","No","Sí"))</f>
        <v/>
      </c>
      <c r="J2932" s="26" t="str">
        <f aca="false">IF(A2932="","",IF(F2932="Inactivo","No","Sí"))</f>
        <v/>
      </c>
      <c r="K2932" s="26" t="str">
        <f aca="false">IF(A2932="","",IF(AND(I2932="Sí",J2932="Sí"),"Sí","No"))</f>
        <v/>
      </c>
    </row>
    <row r="2933" customFormat="false" ht="15" hidden="false" customHeight="false" outlineLevel="0" collapsed="false">
      <c r="A2933" s="22"/>
      <c r="B2933" s="22"/>
      <c r="C2933" s="23" t="str">
        <f aca="false">IF(A2933="","",IFERROR(buscarx(A2933&amp;B2933,DATA!$E$3:$E$10000&amp;DATA!$B$3:$B$10000,DATA!$M$3:$M$10000),"No encontrado"))</f>
        <v/>
      </c>
      <c r="D2933" s="24" t="str">
        <f aca="false">IF(A2933="","",IFERROR(buscarx(A2933&amp;B2933,DATA!$E$3:$E$10000&amp;DATA!$B$3:$B$10000,DATA!$W$3:$W$10000),"No encontrado"))</f>
        <v/>
      </c>
      <c r="E2933" s="22"/>
      <c r="F2933" s="23" t="str">
        <f aca="false">IF(A2933="","",IFERROR(buscarx(A2933&amp;E2933,DATA!$E$3:$E$10000&amp;DATA!$B$3:$B$10000,DATA!$M$3:$M$10000),"Inactivo"))</f>
        <v/>
      </c>
      <c r="G2933" s="25" t="str">
        <f aca="false">IF(A2933="","",IF(AND(C2933&lt;&gt;"No encontrado",F2933&lt;&gt;"Inactivo"),C2933&amp;" → "&amp;F2933,"Sin transición"))</f>
        <v/>
      </c>
      <c r="H2933" s="23" t="str">
        <f aca="false">IF(A2933="","",IF(D2933="GCIA LINEA SERVICIO DIGITALIDAD Y VENTAS","Chats",IF(OR(D2933="GERENCIA INBOUND LÍNEAS SERVICIO Y VENTA",D2933="GERENCIA INBOUND LINEAS ESPECIALIZADAS"),"Llamadas","Otro")))</f>
        <v/>
      </c>
      <c r="I2933" s="23" t="str">
        <f aca="false">IF(A2933="","",IF(C2933="No encontrado","No","Sí"))</f>
        <v/>
      </c>
      <c r="J2933" s="23" t="str">
        <f aca="false">IF(A2933="","",IF(F2933="Inactivo","No","Sí"))</f>
        <v/>
      </c>
      <c r="K2933" s="23" t="str">
        <f aca="false">IF(A2933="","",IF(AND(I2933="Sí",J2933="Sí"),"Sí","No"))</f>
        <v/>
      </c>
    </row>
    <row r="2934" customFormat="false" ht="15" hidden="false" customHeight="false" outlineLevel="0" collapsed="false">
      <c r="A2934" s="22"/>
      <c r="B2934" s="22"/>
      <c r="C2934" s="26" t="str">
        <f aca="false">IF(A2934="","",IFERROR(buscarx(A2934&amp;B2934,DATA!$E$3:$E$10000&amp;DATA!$B$3:$B$10000,DATA!$M$3:$M$10000),"No encontrado"))</f>
        <v/>
      </c>
      <c r="D2934" s="27" t="str">
        <f aca="false">IF(A2934="","",IFERROR(buscarx(A2934&amp;B2934,DATA!$E$3:$E$10000&amp;DATA!$B$3:$B$10000,DATA!$W$3:$W$10000),"No encontrado"))</f>
        <v/>
      </c>
      <c r="E2934" s="22"/>
      <c r="F2934" s="26" t="str">
        <f aca="false">IF(A2934="","",IFERROR(buscarx(A2934&amp;E2934,DATA!$E$3:$E$10000&amp;DATA!$B$3:$B$10000,DATA!$M$3:$M$10000),"Inactivo"))</f>
        <v/>
      </c>
      <c r="G2934" s="28" t="str">
        <f aca="false">IF(A2934="","",IF(AND(C2934&lt;&gt;"No encontrado",F2934&lt;&gt;"Inactivo"),C2934&amp;" → "&amp;F2934,"Sin transición"))</f>
        <v/>
      </c>
      <c r="H2934" s="26" t="str">
        <f aca="false">IF(A2934="","",IF(D2934="GCIA LINEA SERVICIO DIGITALIDAD Y VENTAS","Chats",IF(OR(D2934="GERENCIA INBOUND LÍNEAS SERVICIO Y VENTA",D2934="GERENCIA INBOUND LINEAS ESPECIALIZADAS"),"Llamadas","Otro")))</f>
        <v/>
      </c>
      <c r="I2934" s="26" t="str">
        <f aca="false">IF(A2934="","",IF(C2934="No encontrado","No","Sí"))</f>
        <v/>
      </c>
      <c r="J2934" s="26" t="str">
        <f aca="false">IF(A2934="","",IF(F2934="Inactivo","No","Sí"))</f>
        <v/>
      </c>
      <c r="K2934" s="26" t="str">
        <f aca="false">IF(A2934="","",IF(AND(I2934="Sí",J2934="Sí"),"Sí","No"))</f>
        <v/>
      </c>
    </row>
    <row r="2935" customFormat="false" ht="15" hidden="false" customHeight="false" outlineLevel="0" collapsed="false">
      <c r="A2935" s="22"/>
      <c r="B2935" s="22"/>
      <c r="C2935" s="23" t="str">
        <f aca="false">IF(A2935="","",IFERROR(buscarx(A2935&amp;B2935,DATA!$E$3:$E$10000&amp;DATA!$B$3:$B$10000,DATA!$M$3:$M$10000),"No encontrado"))</f>
        <v/>
      </c>
      <c r="D2935" s="24" t="str">
        <f aca="false">IF(A2935="","",IFERROR(buscarx(A2935&amp;B2935,DATA!$E$3:$E$10000&amp;DATA!$B$3:$B$10000,DATA!$W$3:$W$10000),"No encontrado"))</f>
        <v/>
      </c>
      <c r="E2935" s="22"/>
      <c r="F2935" s="23" t="str">
        <f aca="false">IF(A2935="","",IFERROR(buscarx(A2935&amp;E2935,DATA!$E$3:$E$10000&amp;DATA!$B$3:$B$10000,DATA!$M$3:$M$10000),"Inactivo"))</f>
        <v/>
      </c>
      <c r="G2935" s="25" t="str">
        <f aca="false">IF(A2935="","",IF(AND(C2935&lt;&gt;"No encontrado",F2935&lt;&gt;"Inactivo"),C2935&amp;" → "&amp;F2935,"Sin transición"))</f>
        <v/>
      </c>
      <c r="H2935" s="23" t="str">
        <f aca="false">IF(A2935="","",IF(D2935="GCIA LINEA SERVICIO DIGITALIDAD Y VENTAS","Chats",IF(OR(D2935="GERENCIA INBOUND LÍNEAS SERVICIO Y VENTA",D2935="GERENCIA INBOUND LINEAS ESPECIALIZADAS"),"Llamadas","Otro")))</f>
        <v/>
      </c>
      <c r="I2935" s="23" t="str">
        <f aca="false">IF(A2935="","",IF(C2935="No encontrado","No","Sí"))</f>
        <v/>
      </c>
      <c r="J2935" s="23" t="str">
        <f aca="false">IF(A2935="","",IF(F2935="Inactivo","No","Sí"))</f>
        <v/>
      </c>
      <c r="K2935" s="23" t="str">
        <f aca="false">IF(A2935="","",IF(AND(I2935="Sí",J2935="Sí"),"Sí","No"))</f>
        <v/>
      </c>
    </row>
    <row r="2936" customFormat="false" ht="15" hidden="false" customHeight="false" outlineLevel="0" collapsed="false">
      <c r="A2936" s="22"/>
      <c r="B2936" s="22"/>
      <c r="C2936" s="26" t="str">
        <f aca="false">IF(A2936="","",IFERROR(buscarx(A2936&amp;B2936,DATA!$E$3:$E$10000&amp;DATA!$B$3:$B$10000,DATA!$M$3:$M$10000),"No encontrado"))</f>
        <v/>
      </c>
      <c r="D2936" s="27" t="str">
        <f aca="false">IF(A2936="","",IFERROR(buscarx(A2936&amp;B2936,DATA!$E$3:$E$10000&amp;DATA!$B$3:$B$10000,DATA!$W$3:$W$10000),"No encontrado"))</f>
        <v/>
      </c>
      <c r="E2936" s="22"/>
      <c r="F2936" s="26" t="str">
        <f aca="false">IF(A2936="","",IFERROR(buscarx(A2936&amp;E2936,DATA!$E$3:$E$10000&amp;DATA!$B$3:$B$10000,DATA!$M$3:$M$10000),"Inactivo"))</f>
        <v/>
      </c>
      <c r="G2936" s="28" t="str">
        <f aca="false">IF(A2936="","",IF(AND(C2936&lt;&gt;"No encontrado",F2936&lt;&gt;"Inactivo"),C2936&amp;" → "&amp;F2936,"Sin transición"))</f>
        <v/>
      </c>
      <c r="H2936" s="26" t="str">
        <f aca="false">IF(A2936="","",IF(D2936="GCIA LINEA SERVICIO DIGITALIDAD Y VENTAS","Chats",IF(OR(D2936="GERENCIA INBOUND LÍNEAS SERVICIO Y VENTA",D2936="GERENCIA INBOUND LINEAS ESPECIALIZADAS"),"Llamadas","Otro")))</f>
        <v/>
      </c>
      <c r="I2936" s="26" t="str">
        <f aca="false">IF(A2936="","",IF(C2936="No encontrado","No","Sí"))</f>
        <v/>
      </c>
      <c r="J2936" s="26" t="str">
        <f aca="false">IF(A2936="","",IF(F2936="Inactivo","No","Sí"))</f>
        <v/>
      </c>
      <c r="K2936" s="26" t="str">
        <f aca="false">IF(A2936="","",IF(AND(I2936="Sí",J2936="Sí"),"Sí","No"))</f>
        <v/>
      </c>
    </row>
    <row r="2937" customFormat="false" ht="15" hidden="false" customHeight="false" outlineLevel="0" collapsed="false">
      <c r="A2937" s="22"/>
      <c r="B2937" s="22"/>
      <c r="C2937" s="23" t="str">
        <f aca="false">IF(A2937="","",IFERROR(buscarx(A2937&amp;B2937,DATA!$E$3:$E$10000&amp;DATA!$B$3:$B$10000,DATA!$M$3:$M$10000),"No encontrado"))</f>
        <v/>
      </c>
      <c r="D2937" s="24" t="str">
        <f aca="false">IF(A2937="","",IFERROR(buscarx(A2937&amp;B2937,DATA!$E$3:$E$10000&amp;DATA!$B$3:$B$10000,DATA!$W$3:$W$10000),"No encontrado"))</f>
        <v/>
      </c>
      <c r="E2937" s="22"/>
      <c r="F2937" s="23" t="str">
        <f aca="false">IF(A2937="","",IFERROR(buscarx(A2937&amp;E2937,DATA!$E$3:$E$10000&amp;DATA!$B$3:$B$10000,DATA!$M$3:$M$10000),"Inactivo"))</f>
        <v/>
      </c>
      <c r="G2937" s="25" t="str">
        <f aca="false">IF(A2937="","",IF(AND(C2937&lt;&gt;"No encontrado",F2937&lt;&gt;"Inactivo"),C2937&amp;" → "&amp;F2937,"Sin transición"))</f>
        <v/>
      </c>
      <c r="H2937" s="23" t="str">
        <f aca="false">IF(A2937="","",IF(D2937="GCIA LINEA SERVICIO DIGITALIDAD Y VENTAS","Chats",IF(OR(D2937="GERENCIA INBOUND LÍNEAS SERVICIO Y VENTA",D2937="GERENCIA INBOUND LINEAS ESPECIALIZADAS"),"Llamadas","Otro")))</f>
        <v/>
      </c>
      <c r="I2937" s="23" t="str">
        <f aca="false">IF(A2937="","",IF(C2937="No encontrado","No","Sí"))</f>
        <v/>
      </c>
      <c r="J2937" s="23" t="str">
        <f aca="false">IF(A2937="","",IF(F2937="Inactivo","No","Sí"))</f>
        <v/>
      </c>
      <c r="K2937" s="23" t="str">
        <f aca="false">IF(A2937="","",IF(AND(I2937="Sí",J2937="Sí"),"Sí","No"))</f>
        <v/>
      </c>
    </row>
    <row r="2938" customFormat="false" ht="15" hidden="false" customHeight="false" outlineLevel="0" collapsed="false">
      <c r="A2938" s="22"/>
      <c r="B2938" s="22"/>
      <c r="C2938" s="26" t="str">
        <f aca="false">IF(A2938="","",IFERROR(buscarx(A2938&amp;B2938,DATA!$E$3:$E$10000&amp;DATA!$B$3:$B$10000,DATA!$M$3:$M$10000),"No encontrado"))</f>
        <v/>
      </c>
      <c r="D2938" s="27" t="str">
        <f aca="false">IF(A2938="","",IFERROR(buscarx(A2938&amp;B2938,DATA!$E$3:$E$10000&amp;DATA!$B$3:$B$10000,DATA!$W$3:$W$10000),"No encontrado"))</f>
        <v/>
      </c>
      <c r="E2938" s="22"/>
      <c r="F2938" s="26" t="str">
        <f aca="false">IF(A2938="","",IFERROR(buscarx(A2938&amp;E2938,DATA!$E$3:$E$10000&amp;DATA!$B$3:$B$10000,DATA!$M$3:$M$10000),"Inactivo"))</f>
        <v/>
      </c>
      <c r="G2938" s="28" t="str">
        <f aca="false">IF(A2938="","",IF(AND(C2938&lt;&gt;"No encontrado",F2938&lt;&gt;"Inactivo"),C2938&amp;" → "&amp;F2938,"Sin transición"))</f>
        <v/>
      </c>
      <c r="H2938" s="26" t="str">
        <f aca="false">IF(A2938="","",IF(D2938="GCIA LINEA SERVICIO DIGITALIDAD Y VENTAS","Chats",IF(OR(D2938="GERENCIA INBOUND LÍNEAS SERVICIO Y VENTA",D2938="GERENCIA INBOUND LINEAS ESPECIALIZADAS"),"Llamadas","Otro")))</f>
        <v/>
      </c>
      <c r="I2938" s="26" t="str">
        <f aca="false">IF(A2938="","",IF(C2938="No encontrado","No","Sí"))</f>
        <v/>
      </c>
      <c r="J2938" s="26" t="str">
        <f aca="false">IF(A2938="","",IF(F2938="Inactivo","No","Sí"))</f>
        <v/>
      </c>
      <c r="K2938" s="26" t="str">
        <f aca="false">IF(A2938="","",IF(AND(I2938="Sí",J2938="Sí"),"Sí","No"))</f>
        <v/>
      </c>
    </row>
    <row r="2939" customFormat="false" ht="15" hidden="false" customHeight="false" outlineLevel="0" collapsed="false">
      <c r="A2939" s="22"/>
      <c r="B2939" s="22"/>
      <c r="C2939" s="23" t="str">
        <f aca="false">IF(A2939="","",IFERROR(buscarx(A2939&amp;B2939,DATA!$E$3:$E$10000&amp;DATA!$B$3:$B$10000,DATA!$M$3:$M$10000),"No encontrado"))</f>
        <v/>
      </c>
      <c r="D2939" s="24" t="str">
        <f aca="false">IF(A2939="","",IFERROR(buscarx(A2939&amp;B2939,DATA!$E$3:$E$10000&amp;DATA!$B$3:$B$10000,DATA!$W$3:$W$10000),"No encontrado"))</f>
        <v/>
      </c>
      <c r="E2939" s="22"/>
      <c r="F2939" s="23" t="str">
        <f aca="false">IF(A2939="","",IFERROR(buscarx(A2939&amp;E2939,DATA!$E$3:$E$10000&amp;DATA!$B$3:$B$10000,DATA!$M$3:$M$10000),"Inactivo"))</f>
        <v/>
      </c>
      <c r="G2939" s="25" t="str">
        <f aca="false">IF(A2939="","",IF(AND(C2939&lt;&gt;"No encontrado",F2939&lt;&gt;"Inactivo"),C2939&amp;" → "&amp;F2939,"Sin transición"))</f>
        <v/>
      </c>
      <c r="H2939" s="23" t="str">
        <f aca="false">IF(A2939="","",IF(D2939="GCIA LINEA SERVICIO DIGITALIDAD Y VENTAS","Chats",IF(OR(D2939="GERENCIA INBOUND LÍNEAS SERVICIO Y VENTA",D2939="GERENCIA INBOUND LINEAS ESPECIALIZADAS"),"Llamadas","Otro")))</f>
        <v/>
      </c>
      <c r="I2939" s="23" t="str">
        <f aca="false">IF(A2939="","",IF(C2939="No encontrado","No","Sí"))</f>
        <v/>
      </c>
      <c r="J2939" s="23" t="str">
        <f aca="false">IF(A2939="","",IF(F2939="Inactivo","No","Sí"))</f>
        <v/>
      </c>
      <c r="K2939" s="23" t="str">
        <f aca="false">IF(A2939="","",IF(AND(I2939="Sí",J2939="Sí"),"Sí","No"))</f>
        <v/>
      </c>
    </row>
    <row r="2940" customFormat="false" ht="15" hidden="false" customHeight="false" outlineLevel="0" collapsed="false">
      <c r="A2940" s="22"/>
      <c r="B2940" s="22"/>
      <c r="C2940" s="26" t="str">
        <f aca="false">IF(A2940="","",IFERROR(buscarx(A2940&amp;B2940,DATA!$E$3:$E$10000&amp;DATA!$B$3:$B$10000,DATA!$M$3:$M$10000),"No encontrado"))</f>
        <v/>
      </c>
      <c r="D2940" s="27" t="str">
        <f aca="false">IF(A2940="","",IFERROR(buscarx(A2940&amp;B2940,DATA!$E$3:$E$10000&amp;DATA!$B$3:$B$10000,DATA!$W$3:$W$10000),"No encontrado"))</f>
        <v/>
      </c>
      <c r="E2940" s="22"/>
      <c r="F2940" s="26" t="str">
        <f aca="false">IF(A2940="","",IFERROR(buscarx(A2940&amp;E2940,DATA!$E$3:$E$10000&amp;DATA!$B$3:$B$10000,DATA!$M$3:$M$10000),"Inactivo"))</f>
        <v/>
      </c>
      <c r="G2940" s="28" t="str">
        <f aca="false">IF(A2940="","",IF(AND(C2940&lt;&gt;"No encontrado",F2940&lt;&gt;"Inactivo"),C2940&amp;" → "&amp;F2940,"Sin transición"))</f>
        <v/>
      </c>
      <c r="H2940" s="26" t="str">
        <f aca="false">IF(A2940="","",IF(D2940="GCIA LINEA SERVICIO DIGITALIDAD Y VENTAS","Chats",IF(OR(D2940="GERENCIA INBOUND LÍNEAS SERVICIO Y VENTA",D2940="GERENCIA INBOUND LINEAS ESPECIALIZADAS"),"Llamadas","Otro")))</f>
        <v/>
      </c>
      <c r="I2940" s="26" t="str">
        <f aca="false">IF(A2940="","",IF(C2940="No encontrado","No","Sí"))</f>
        <v/>
      </c>
      <c r="J2940" s="26" t="str">
        <f aca="false">IF(A2940="","",IF(F2940="Inactivo","No","Sí"))</f>
        <v/>
      </c>
      <c r="K2940" s="26" t="str">
        <f aca="false">IF(A2940="","",IF(AND(I2940="Sí",J2940="Sí"),"Sí","No"))</f>
        <v/>
      </c>
    </row>
    <row r="2941" customFormat="false" ht="15" hidden="false" customHeight="false" outlineLevel="0" collapsed="false">
      <c r="A2941" s="22"/>
      <c r="B2941" s="22"/>
      <c r="C2941" s="23" t="str">
        <f aca="false">IF(A2941="","",IFERROR(buscarx(A2941&amp;B2941,DATA!$E$3:$E$10000&amp;DATA!$B$3:$B$10000,DATA!$M$3:$M$10000),"No encontrado"))</f>
        <v/>
      </c>
      <c r="D2941" s="24" t="str">
        <f aca="false">IF(A2941="","",IFERROR(buscarx(A2941&amp;B2941,DATA!$E$3:$E$10000&amp;DATA!$B$3:$B$10000,DATA!$W$3:$W$10000),"No encontrado"))</f>
        <v/>
      </c>
      <c r="E2941" s="22"/>
      <c r="F2941" s="23" t="str">
        <f aca="false">IF(A2941="","",IFERROR(buscarx(A2941&amp;E2941,DATA!$E$3:$E$10000&amp;DATA!$B$3:$B$10000,DATA!$M$3:$M$10000),"Inactivo"))</f>
        <v/>
      </c>
      <c r="G2941" s="25" t="str">
        <f aca="false">IF(A2941="","",IF(AND(C2941&lt;&gt;"No encontrado",F2941&lt;&gt;"Inactivo"),C2941&amp;" → "&amp;F2941,"Sin transición"))</f>
        <v/>
      </c>
      <c r="H2941" s="23" t="str">
        <f aca="false">IF(A2941="","",IF(D2941="GCIA LINEA SERVICIO DIGITALIDAD Y VENTAS","Chats",IF(OR(D2941="GERENCIA INBOUND LÍNEAS SERVICIO Y VENTA",D2941="GERENCIA INBOUND LINEAS ESPECIALIZADAS"),"Llamadas","Otro")))</f>
        <v/>
      </c>
      <c r="I2941" s="23" t="str">
        <f aca="false">IF(A2941="","",IF(C2941="No encontrado","No","Sí"))</f>
        <v/>
      </c>
      <c r="J2941" s="23" t="str">
        <f aca="false">IF(A2941="","",IF(F2941="Inactivo","No","Sí"))</f>
        <v/>
      </c>
      <c r="K2941" s="23" t="str">
        <f aca="false">IF(A2941="","",IF(AND(I2941="Sí",J2941="Sí"),"Sí","No"))</f>
        <v/>
      </c>
    </row>
    <row r="2942" customFormat="false" ht="15" hidden="false" customHeight="false" outlineLevel="0" collapsed="false">
      <c r="A2942" s="22"/>
      <c r="B2942" s="22"/>
      <c r="C2942" s="26" t="str">
        <f aca="false">IF(A2942="","",IFERROR(buscarx(A2942&amp;B2942,DATA!$E$3:$E$10000&amp;DATA!$B$3:$B$10000,DATA!$M$3:$M$10000),"No encontrado"))</f>
        <v/>
      </c>
      <c r="D2942" s="27" t="str">
        <f aca="false">IF(A2942="","",IFERROR(buscarx(A2942&amp;B2942,DATA!$E$3:$E$10000&amp;DATA!$B$3:$B$10000,DATA!$W$3:$W$10000),"No encontrado"))</f>
        <v/>
      </c>
      <c r="E2942" s="22"/>
      <c r="F2942" s="26" t="str">
        <f aca="false">IF(A2942="","",IFERROR(buscarx(A2942&amp;E2942,DATA!$E$3:$E$10000&amp;DATA!$B$3:$B$10000,DATA!$M$3:$M$10000),"Inactivo"))</f>
        <v/>
      </c>
      <c r="G2942" s="28" t="str">
        <f aca="false">IF(A2942="","",IF(AND(C2942&lt;&gt;"No encontrado",F2942&lt;&gt;"Inactivo"),C2942&amp;" → "&amp;F2942,"Sin transición"))</f>
        <v/>
      </c>
      <c r="H2942" s="26" t="str">
        <f aca="false">IF(A2942="","",IF(D2942="GCIA LINEA SERVICIO DIGITALIDAD Y VENTAS","Chats",IF(OR(D2942="GERENCIA INBOUND LÍNEAS SERVICIO Y VENTA",D2942="GERENCIA INBOUND LINEAS ESPECIALIZADAS"),"Llamadas","Otro")))</f>
        <v/>
      </c>
      <c r="I2942" s="26" t="str">
        <f aca="false">IF(A2942="","",IF(C2942="No encontrado","No","Sí"))</f>
        <v/>
      </c>
      <c r="J2942" s="26" t="str">
        <f aca="false">IF(A2942="","",IF(F2942="Inactivo","No","Sí"))</f>
        <v/>
      </c>
      <c r="K2942" s="26" t="str">
        <f aca="false">IF(A2942="","",IF(AND(I2942="Sí",J2942="Sí"),"Sí","No"))</f>
        <v/>
      </c>
    </row>
    <row r="2943" customFormat="false" ht="15" hidden="false" customHeight="false" outlineLevel="0" collapsed="false">
      <c r="A2943" s="22"/>
      <c r="B2943" s="22"/>
      <c r="C2943" s="23" t="str">
        <f aca="false">IF(A2943="","",IFERROR(buscarx(A2943&amp;B2943,DATA!$E$3:$E$10000&amp;DATA!$B$3:$B$10000,DATA!$M$3:$M$10000),"No encontrado"))</f>
        <v/>
      </c>
      <c r="D2943" s="24" t="str">
        <f aca="false">IF(A2943="","",IFERROR(buscarx(A2943&amp;B2943,DATA!$E$3:$E$10000&amp;DATA!$B$3:$B$10000,DATA!$W$3:$W$10000),"No encontrado"))</f>
        <v/>
      </c>
      <c r="E2943" s="22"/>
      <c r="F2943" s="23" t="str">
        <f aca="false">IF(A2943="","",IFERROR(buscarx(A2943&amp;E2943,DATA!$E$3:$E$10000&amp;DATA!$B$3:$B$10000,DATA!$M$3:$M$10000),"Inactivo"))</f>
        <v/>
      </c>
      <c r="G2943" s="25" t="str">
        <f aca="false">IF(A2943="","",IF(AND(C2943&lt;&gt;"No encontrado",F2943&lt;&gt;"Inactivo"),C2943&amp;" → "&amp;F2943,"Sin transición"))</f>
        <v/>
      </c>
      <c r="H2943" s="23" t="str">
        <f aca="false">IF(A2943="","",IF(D2943="GCIA LINEA SERVICIO DIGITALIDAD Y VENTAS","Chats",IF(OR(D2943="GERENCIA INBOUND LÍNEAS SERVICIO Y VENTA",D2943="GERENCIA INBOUND LINEAS ESPECIALIZADAS"),"Llamadas","Otro")))</f>
        <v/>
      </c>
      <c r="I2943" s="23" t="str">
        <f aca="false">IF(A2943="","",IF(C2943="No encontrado","No","Sí"))</f>
        <v/>
      </c>
      <c r="J2943" s="23" t="str">
        <f aca="false">IF(A2943="","",IF(F2943="Inactivo","No","Sí"))</f>
        <v/>
      </c>
      <c r="K2943" s="23" t="str">
        <f aca="false">IF(A2943="","",IF(AND(I2943="Sí",J2943="Sí"),"Sí","No"))</f>
        <v/>
      </c>
    </row>
    <row r="2944" customFormat="false" ht="15" hidden="false" customHeight="false" outlineLevel="0" collapsed="false">
      <c r="A2944" s="22"/>
      <c r="B2944" s="22"/>
      <c r="C2944" s="26" t="str">
        <f aca="false">IF(A2944="","",IFERROR(buscarx(A2944&amp;B2944,DATA!$E$3:$E$10000&amp;DATA!$B$3:$B$10000,DATA!$M$3:$M$10000),"No encontrado"))</f>
        <v/>
      </c>
      <c r="D2944" s="27" t="str">
        <f aca="false">IF(A2944="","",IFERROR(buscarx(A2944&amp;B2944,DATA!$E$3:$E$10000&amp;DATA!$B$3:$B$10000,DATA!$W$3:$W$10000),"No encontrado"))</f>
        <v/>
      </c>
      <c r="E2944" s="22"/>
      <c r="F2944" s="26" t="str">
        <f aca="false">IF(A2944="","",IFERROR(buscarx(A2944&amp;E2944,DATA!$E$3:$E$10000&amp;DATA!$B$3:$B$10000,DATA!$M$3:$M$10000),"Inactivo"))</f>
        <v/>
      </c>
      <c r="G2944" s="28" t="str">
        <f aca="false">IF(A2944="","",IF(AND(C2944&lt;&gt;"No encontrado",F2944&lt;&gt;"Inactivo"),C2944&amp;" → "&amp;F2944,"Sin transición"))</f>
        <v/>
      </c>
      <c r="H2944" s="26" t="str">
        <f aca="false">IF(A2944="","",IF(D2944="GCIA LINEA SERVICIO DIGITALIDAD Y VENTAS","Chats",IF(OR(D2944="GERENCIA INBOUND LÍNEAS SERVICIO Y VENTA",D2944="GERENCIA INBOUND LINEAS ESPECIALIZADAS"),"Llamadas","Otro")))</f>
        <v/>
      </c>
      <c r="I2944" s="26" t="str">
        <f aca="false">IF(A2944="","",IF(C2944="No encontrado","No","Sí"))</f>
        <v/>
      </c>
      <c r="J2944" s="26" t="str">
        <f aca="false">IF(A2944="","",IF(F2944="Inactivo","No","Sí"))</f>
        <v/>
      </c>
      <c r="K2944" s="26" t="str">
        <f aca="false">IF(A2944="","",IF(AND(I2944="Sí",J2944="Sí"),"Sí","No"))</f>
        <v/>
      </c>
    </row>
    <row r="2945" customFormat="false" ht="15" hidden="false" customHeight="false" outlineLevel="0" collapsed="false">
      <c r="A2945" s="22"/>
      <c r="B2945" s="22"/>
      <c r="C2945" s="23" t="str">
        <f aca="false">IF(A2945="","",IFERROR(buscarx(A2945&amp;B2945,DATA!$E$3:$E$10000&amp;DATA!$B$3:$B$10000,DATA!$M$3:$M$10000),"No encontrado"))</f>
        <v/>
      </c>
      <c r="D2945" s="24" t="str">
        <f aca="false">IF(A2945="","",IFERROR(buscarx(A2945&amp;B2945,DATA!$E$3:$E$10000&amp;DATA!$B$3:$B$10000,DATA!$W$3:$W$10000),"No encontrado"))</f>
        <v/>
      </c>
      <c r="E2945" s="22"/>
      <c r="F2945" s="23" t="str">
        <f aca="false">IF(A2945="","",IFERROR(buscarx(A2945&amp;E2945,DATA!$E$3:$E$10000&amp;DATA!$B$3:$B$10000,DATA!$M$3:$M$10000),"Inactivo"))</f>
        <v/>
      </c>
      <c r="G2945" s="25" t="str">
        <f aca="false">IF(A2945="","",IF(AND(C2945&lt;&gt;"No encontrado",F2945&lt;&gt;"Inactivo"),C2945&amp;" → "&amp;F2945,"Sin transición"))</f>
        <v/>
      </c>
      <c r="H2945" s="23" t="str">
        <f aca="false">IF(A2945="","",IF(D2945="GCIA LINEA SERVICIO DIGITALIDAD Y VENTAS","Chats",IF(OR(D2945="GERENCIA INBOUND LÍNEAS SERVICIO Y VENTA",D2945="GERENCIA INBOUND LINEAS ESPECIALIZADAS"),"Llamadas","Otro")))</f>
        <v/>
      </c>
      <c r="I2945" s="23" t="str">
        <f aca="false">IF(A2945="","",IF(C2945="No encontrado","No","Sí"))</f>
        <v/>
      </c>
      <c r="J2945" s="23" t="str">
        <f aca="false">IF(A2945="","",IF(F2945="Inactivo","No","Sí"))</f>
        <v/>
      </c>
      <c r="K2945" s="23" t="str">
        <f aca="false">IF(A2945="","",IF(AND(I2945="Sí",J2945="Sí"),"Sí","No"))</f>
        <v/>
      </c>
    </row>
    <row r="2946" customFormat="false" ht="15" hidden="false" customHeight="false" outlineLevel="0" collapsed="false">
      <c r="A2946" s="22"/>
      <c r="B2946" s="22"/>
      <c r="C2946" s="26" t="str">
        <f aca="false">IF(A2946="","",IFERROR(buscarx(A2946&amp;B2946,DATA!$E$3:$E$10000&amp;DATA!$B$3:$B$10000,DATA!$M$3:$M$10000),"No encontrado"))</f>
        <v/>
      </c>
      <c r="D2946" s="27" t="str">
        <f aca="false">IF(A2946="","",IFERROR(buscarx(A2946&amp;B2946,DATA!$E$3:$E$10000&amp;DATA!$B$3:$B$10000,DATA!$W$3:$W$10000),"No encontrado"))</f>
        <v/>
      </c>
      <c r="E2946" s="22"/>
      <c r="F2946" s="26" t="str">
        <f aca="false">IF(A2946="","",IFERROR(buscarx(A2946&amp;E2946,DATA!$E$3:$E$10000&amp;DATA!$B$3:$B$10000,DATA!$M$3:$M$10000),"Inactivo"))</f>
        <v/>
      </c>
      <c r="G2946" s="28" t="str">
        <f aca="false">IF(A2946="","",IF(AND(C2946&lt;&gt;"No encontrado",F2946&lt;&gt;"Inactivo"),C2946&amp;" → "&amp;F2946,"Sin transición"))</f>
        <v/>
      </c>
      <c r="H2946" s="26" t="str">
        <f aca="false">IF(A2946="","",IF(D2946="GCIA LINEA SERVICIO DIGITALIDAD Y VENTAS","Chats",IF(OR(D2946="GERENCIA INBOUND LÍNEAS SERVICIO Y VENTA",D2946="GERENCIA INBOUND LINEAS ESPECIALIZADAS"),"Llamadas","Otro")))</f>
        <v/>
      </c>
      <c r="I2946" s="26" t="str">
        <f aca="false">IF(A2946="","",IF(C2946="No encontrado","No","Sí"))</f>
        <v/>
      </c>
      <c r="J2946" s="26" t="str">
        <f aca="false">IF(A2946="","",IF(F2946="Inactivo","No","Sí"))</f>
        <v/>
      </c>
      <c r="K2946" s="26" t="str">
        <f aca="false">IF(A2946="","",IF(AND(I2946="Sí",J2946="Sí"),"Sí","No"))</f>
        <v/>
      </c>
    </row>
    <row r="2947" customFormat="false" ht="15" hidden="false" customHeight="false" outlineLevel="0" collapsed="false">
      <c r="A2947" s="22"/>
      <c r="B2947" s="22"/>
      <c r="C2947" s="23" t="str">
        <f aca="false">IF(A2947="","",IFERROR(buscarx(A2947&amp;B2947,DATA!$E$3:$E$10000&amp;DATA!$B$3:$B$10000,DATA!$M$3:$M$10000),"No encontrado"))</f>
        <v/>
      </c>
      <c r="D2947" s="24" t="str">
        <f aca="false">IF(A2947="","",IFERROR(buscarx(A2947&amp;B2947,DATA!$E$3:$E$10000&amp;DATA!$B$3:$B$10000,DATA!$W$3:$W$10000),"No encontrado"))</f>
        <v/>
      </c>
      <c r="E2947" s="22"/>
      <c r="F2947" s="23" t="str">
        <f aca="false">IF(A2947="","",IFERROR(buscarx(A2947&amp;E2947,DATA!$E$3:$E$10000&amp;DATA!$B$3:$B$10000,DATA!$M$3:$M$10000),"Inactivo"))</f>
        <v/>
      </c>
      <c r="G2947" s="25" t="str">
        <f aca="false">IF(A2947="","",IF(AND(C2947&lt;&gt;"No encontrado",F2947&lt;&gt;"Inactivo"),C2947&amp;" → "&amp;F2947,"Sin transición"))</f>
        <v/>
      </c>
      <c r="H2947" s="23" t="str">
        <f aca="false">IF(A2947="","",IF(D2947="GCIA LINEA SERVICIO DIGITALIDAD Y VENTAS","Chats",IF(OR(D2947="GERENCIA INBOUND LÍNEAS SERVICIO Y VENTA",D2947="GERENCIA INBOUND LINEAS ESPECIALIZADAS"),"Llamadas","Otro")))</f>
        <v/>
      </c>
      <c r="I2947" s="23" t="str">
        <f aca="false">IF(A2947="","",IF(C2947="No encontrado","No","Sí"))</f>
        <v/>
      </c>
      <c r="J2947" s="23" t="str">
        <f aca="false">IF(A2947="","",IF(F2947="Inactivo","No","Sí"))</f>
        <v/>
      </c>
      <c r="K2947" s="23" t="str">
        <f aca="false">IF(A2947="","",IF(AND(I2947="Sí",J2947="Sí"),"Sí","No"))</f>
        <v/>
      </c>
    </row>
    <row r="2948" customFormat="false" ht="15" hidden="false" customHeight="false" outlineLevel="0" collapsed="false">
      <c r="A2948" s="22"/>
      <c r="B2948" s="22"/>
      <c r="C2948" s="26" t="str">
        <f aca="false">IF(A2948="","",IFERROR(buscarx(A2948&amp;B2948,DATA!$E$3:$E$10000&amp;DATA!$B$3:$B$10000,DATA!$M$3:$M$10000),"No encontrado"))</f>
        <v/>
      </c>
      <c r="D2948" s="27" t="str">
        <f aca="false">IF(A2948="","",IFERROR(buscarx(A2948&amp;B2948,DATA!$E$3:$E$10000&amp;DATA!$B$3:$B$10000,DATA!$W$3:$W$10000),"No encontrado"))</f>
        <v/>
      </c>
      <c r="E2948" s="22"/>
      <c r="F2948" s="26" t="str">
        <f aca="false">IF(A2948="","",IFERROR(buscarx(A2948&amp;E2948,DATA!$E$3:$E$10000&amp;DATA!$B$3:$B$10000,DATA!$M$3:$M$10000),"Inactivo"))</f>
        <v/>
      </c>
      <c r="G2948" s="28" t="str">
        <f aca="false">IF(A2948="","",IF(AND(C2948&lt;&gt;"No encontrado",F2948&lt;&gt;"Inactivo"),C2948&amp;" → "&amp;F2948,"Sin transición"))</f>
        <v/>
      </c>
      <c r="H2948" s="26" t="str">
        <f aca="false">IF(A2948="","",IF(D2948="GCIA LINEA SERVICIO DIGITALIDAD Y VENTAS","Chats",IF(OR(D2948="GERENCIA INBOUND LÍNEAS SERVICIO Y VENTA",D2948="GERENCIA INBOUND LINEAS ESPECIALIZADAS"),"Llamadas","Otro")))</f>
        <v/>
      </c>
      <c r="I2948" s="26" t="str">
        <f aca="false">IF(A2948="","",IF(C2948="No encontrado","No","Sí"))</f>
        <v/>
      </c>
      <c r="J2948" s="26" t="str">
        <f aca="false">IF(A2948="","",IF(F2948="Inactivo","No","Sí"))</f>
        <v/>
      </c>
      <c r="K2948" s="26" t="str">
        <f aca="false">IF(A2948="","",IF(AND(I2948="Sí",J2948="Sí"),"Sí","No"))</f>
        <v/>
      </c>
    </row>
    <row r="2949" customFormat="false" ht="15" hidden="false" customHeight="false" outlineLevel="0" collapsed="false">
      <c r="A2949" s="22"/>
      <c r="B2949" s="22"/>
      <c r="C2949" s="23" t="str">
        <f aca="false">IF(A2949="","",IFERROR(buscarx(A2949&amp;B2949,DATA!$E$3:$E$10000&amp;DATA!$B$3:$B$10000,DATA!$M$3:$M$10000),"No encontrado"))</f>
        <v/>
      </c>
      <c r="D2949" s="24" t="str">
        <f aca="false">IF(A2949="","",IFERROR(buscarx(A2949&amp;B2949,DATA!$E$3:$E$10000&amp;DATA!$B$3:$B$10000,DATA!$W$3:$W$10000),"No encontrado"))</f>
        <v/>
      </c>
      <c r="E2949" s="22"/>
      <c r="F2949" s="23" t="str">
        <f aca="false">IF(A2949="","",IFERROR(buscarx(A2949&amp;E2949,DATA!$E$3:$E$10000&amp;DATA!$B$3:$B$10000,DATA!$M$3:$M$10000),"Inactivo"))</f>
        <v/>
      </c>
      <c r="G2949" s="25" t="str">
        <f aca="false">IF(A2949="","",IF(AND(C2949&lt;&gt;"No encontrado",F2949&lt;&gt;"Inactivo"),C2949&amp;" → "&amp;F2949,"Sin transición"))</f>
        <v/>
      </c>
      <c r="H2949" s="23" t="str">
        <f aca="false">IF(A2949="","",IF(D2949="GCIA LINEA SERVICIO DIGITALIDAD Y VENTAS","Chats",IF(OR(D2949="GERENCIA INBOUND LÍNEAS SERVICIO Y VENTA",D2949="GERENCIA INBOUND LINEAS ESPECIALIZADAS"),"Llamadas","Otro")))</f>
        <v/>
      </c>
      <c r="I2949" s="23" t="str">
        <f aca="false">IF(A2949="","",IF(C2949="No encontrado","No","Sí"))</f>
        <v/>
      </c>
      <c r="J2949" s="23" t="str">
        <f aca="false">IF(A2949="","",IF(F2949="Inactivo","No","Sí"))</f>
        <v/>
      </c>
      <c r="K2949" s="23" t="str">
        <f aca="false">IF(A2949="","",IF(AND(I2949="Sí",J2949="Sí"),"Sí","No"))</f>
        <v/>
      </c>
    </row>
    <row r="2950" customFormat="false" ht="15" hidden="false" customHeight="false" outlineLevel="0" collapsed="false">
      <c r="A2950" s="22"/>
      <c r="B2950" s="22"/>
      <c r="C2950" s="26" t="str">
        <f aca="false">IF(A2950="","",IFERROR(buscarx(A2950&amp;B2950,DATA!$E$3:$E$10000&amp;DATA!$B$3:$B$10000,DATA!$M$3:$M$10000),"No encontrado"))</f>
        <v/>
      </c>
      <c r="D2950" s="27" t="str">
        <f aca="false">IF(A2950="","",IFERROR(buscarx(A2950&amp;B2950,DATA!$E$3:$E$10000&amp;DATA!$B$3:$B$10000,DATA!$W$3:$W$10000),"No encontrado"))</f>
        <v/>
      </c>
      <c r="E2950" s="22"/>
      <c r="F2950" s="26" t="str">
        <f aca="false">IF(A2950="","",IFERROR(buscarx(A2950&amp;E2950,DATA!$E$3:$E$10000&amp;DATA!$B$3:$B$10000,DATA!$M$3:$M$10000),"Inactivo"))</f>
        <v/>
      </c>
      <c r="G2950" s="28" t="str">
        <f aca="false">IF(A2950="","",IF(AND(C2950&lt;&gt;"No encontrado",F2950&lt;&gt;"Inactivo"),C2950&amp;" → "&amp;F2950,"Sin transición"))</f>
        <v/>
      </c>
      <c r="H2950" s="26" t="str">
        <f aca="false">IF(A2950="","",IF(D2950="GCIA LINEA SERVICIO DIGITALIDAD Y VENTAS","Chats",IF(OR(D2950="GERENCIA INBOUND LÍNEAS SERVICIO Y VENTA",D2950="GERENCIA INBOUND LINEAS ESPECIALIZADAS"),"Llamadas","Otro")))</f>
        <v/>
      </c>
      <c r="I2950" s="26" t="str">
        <f aca="false">IF(A2950="","",IF(C2950="No encontrado","No","Sí"))</f>
        <v/>
      </c>
      <c r="J2950" s="26" t="str">
        <f aca="false">IF(A2950="","",IF(F2950="Inactivo","No","Sí"))</f>
        <v/>
      </c>
      <c r="K2950" s="26" t="str">
        <f aca="false">IF(A2950="","",IF(AND(I2950="Sí",J2950="Sí"),"Sí","No"))</f>
        <v/>
      </c>
    </row>
    <row r="2951" customFormat="false" ht="15" hidden="false" customHeight="false" outlineLevel="0" collapsed="false">
      <c r="A2951" s="22"/>
      <c r="B2951" s="22"/>
      <c r="C2951" s="23" t="str">
        <f aca="false">IF(A2951="","",IFERROR(buscarx(A2951&amp;B2951,DATA!$E$3:$E$10000&amp;DATA!$B$3:$B$10000,DATA!$M$3:$M$10000),"No encontrado"))</f>
        <v/>
      </c>
      <c r="D2951" s="24" t="str">
        <f aca="false">IF(A2951="","",IFERROR(buscarx(A2951&amp;B2951,DATA!$E$3:$E$10000&amp;DATA!$B$3:$B$10000,DATA!$W$3:$W$10000),"No encontrado"))</f>
        <v/>
      </c>
      <c r="E2951" s="22"/>
      <c r="F2951" s="23" t="str">
        <f aca="false">IF(A2951="","",IFERROR(buscarx(A2951&amp;E2951,DATA!$E$3:$E$10000&amp;DATA!$B$3:$B$10000,DATA!$M$3:$M$10000),"Inactivo"))</f>
        <v/>
      </c>
      <c r="G2951" s="25" t="str">
        <f aca="false">IF(A2951="","",IF(AND(C2951&lt;&gt;"No encontrado",F2951&lt;&gt;"Inactivo"),C2951&amp;" → "&amp;F2951,"Sin transición"))</f>
        <v/>
      </c>
      <c r="H2951" s="23" t="str">
        <f aca="false">IF(A2951="","",IF(D2951="GCIA LINEA SERVICIO DIGITALIDAD Y VENTAS","Chats",IF(OR(D2951="GERENCIA INBOUND LÍNEAS SERVICIO Y VENTA",D2951="GERENCIA INBOUND LINEAS ESPECIALIZADAS"),"Llamadas","Otro")))</f>
        <v/>
      </c>
      <c r="I2951" s="23" t="str">
        <f aca="false">IF(A2951="","",IF(C2951="No encontrado","No","Sí"))</f>
        <v/>
      </c>
      <c r="J2951" s="23" t="str">
        <f aca="false">IF(A2951="","",IF(F2951="Inactivo","No","Sí"))</f>
        <v/>
      </c>
      <c r="K2951" s="23" t="str">
        <f aca="false">IF(A2951="","",IF(AND(I2951="Sí",J2951="Sí"),"Sí","No"))</f>
        <v/>
      </c>
    </row>
    <row r="2952" customFormat="false" ht="15" hidden="false" customHeight="false" outlineLevel="0" collapsed="false">
      <c r="A2952" s="22"/>
      <c r="B2952" s="22"/>
      <c r="C2952" s="26" t="str">
        <f aca="false">IF(A2952="","",IFERROR(buscarx(A2952&amp;B2952,DATA!$E$3:$E$10000&amp;DATA!$B$3:$B$10000,DATA!$M$3:$M$10000),"No encontrado"))</f>
        <v/>
      </c>
      <c r="D2952" s="27" t="str">
        <f aca="false">IF(A2952="","",IFERROR(buscarx(A2952&amp;B2952,DATA!$E$3:$E$10000&amp;DATA!$B$3:$B$10000,DATA!$W$3:$W$10000),"No encontrado"))</f>
        <v/>
      </c>
      <c r="E2952" s="22"/>
      <c r="F2952" s="26" t="str">
        <f aca="false">IF(A2952="","",IFERROR(buscarx(A2952&amp;E2952,DATA!$E$3:$E$10000&amp;DATA!$B$3:$B$10000,DATA!$M$3:$M$10000),"Inactivo"))</f>
        <v/>
      </c>
      <c r="G2952" s="28" t="str">
        <f aca="false">IF(A2952="","",IF(AND(C2952&lt;&gt;"No encontrado",F2952&lt;&gt;"Inactivo"),C2952&amp;" → "&amp;F2952,"Sin transición"))</f>
        <v/>
      </c>
      <c r="H2952" s="26" t="str">
        <f aca="false">IF(A2952="","",IF(D2952="GCIA LINEA SERVICIO DIGITALIDAD Y VENTAS","Chats",IF(OR(D2952="GERENCIA INBOUND LÍNEAS SERVICIO Y VENTA",D2952="GERENCIA INBOUND LINEAS ESPECIALIZADAS"),"Llamadas","Otro")))</f>
        <v/>
      </c>
      <c r="I2952" s="26" t="str">
        <f aca="false">IF(A2952="","",IF(C2952="No encontrado","No","Sí"))</f>
        <v/>
      </c>
      <c r="J2952" s="26" t="str">
        <f aca="false">IF(A2952="","",IF(F2952="Inactivo","No","Sí"))</f>
        <v/>
      </c>
      <c r="K2952" s="26" t="str">
        <f aca="false">IF(A2952="","",IF(AND(I2952="Sí",J2952="Sí"),"Sí","No"))</f>
        <v/>
      </c>
    </row>
    <row r="2953" customFormat="false" ht="15" hidden="false" customHeight="false" outlineLevel="0" collapsed="false">
      <c r="A2953" s="22"/>
      <c r="B2953" s="22"/>
      <c r="C2953" s="23" t="str">
        <f aca="false">IF(A2953="","",IFERROR(buscarx(A2953&amp;B2953,DATA!$E$3:$E$10000&amp;DATA!$B$3:$B$10000,DATA!$M$3:$M$10000),"No encontrado"))</f>
        <v/>
      </c>
      <c r="D2953" s="24" t="str">
        <f aca="false">IF(A2953="","",IFERROR(buscarx(A2953&amp;B2953,DATA!$E$3:$E$10000&amp;DATA!$B$3:$B$10000,DATA!$W$3:$W$10000),"No encontrado"))</f>
        <v/>
      </c>
      <c r="E2953" s="22"/>
      <c r="F2953" s="23" t="str">
        <f aca="false">IF(A2953="","",IFERROR(buscarx(A2953&amp;E2953,DATA!$E$3:$E$10000&amp;DATA!$B$3:$B$10000,DATA!$M$3:$M$10000),"Inactivo"))</f>
        <v/>
      </c>
      <c r="G2953" s="25" t="str">
        <f aca="false">IF(A2953="","",IF(AND(C2953&lt;&gt;"No encontrado",F2953&lt;&gt;"Inactivo"),C2953&amp;" → "&amp;F2953,"Sin transición"))</f>
        <v/>
      </c>
      <c r="H2953" s="23" t="str">
        <f aca="false">IF(A2953="","",IF(D2953="GCIA LINEA SERVICIO DIGITALIDAD Y VENTAS","Chats",IF(OR(D2953="GERENCIA INBOUND LÍNEAS SERVICIO Y VENTA",D2953="GERENCIA INBOUND LINEAS ESPECIALIZADAS"),"Llamadas","Otro")))</f>
        <v/>
      </c>
      <c r="I2953" s="23" t="str">
        <f aca="false">IF(A2953="","",IF(C2953="No encontrado","No","Sí"))</f>
        <v/>
      </c>
      <c r="J2953" s="23" t="str">
        <f aca="false">IF(A2953="","",IF(F2953="Inactivo","No","Sí"))</f>
        <v/>
      </c>
      <c r="K2953" s="23" t="str">
        <f aca="false">IF(A2953="","",IF(AND(I2953="Sí",J2953="Sí"),"Sí","No"))</f>
        <v/>
      </c>
    </row>
    <row r="2954" customFormat="false" ht="15" hidden="false" customHeight="false" outlineLevel="0" collapsed="false">
      <c r="A2954" s="22"/>
      <c r="B2954" s="22"/>
      <c r="C2954" s="26" t="str">
        <f aca="false">IF(A2954="","",IFERROR(buscarx(A2954&amp;B2954,DATA!$E$3:$E$10000&amp;DATA!$B$3:$B$10000,DATA!$M$3:$M$10000),"No encontrado"))</f>
        <v/>
      </c>
      <c r="D2954" s="27" t="str">
        <f aca="false">IF(A2954="","",IFERROR(buscarx(A2954&amp;B2954,DATA!$E$3:$E$10000&amp;DATA!$B$3:$B$10000,DATA!$W$3:$W$10000),"No encontrado"))</f>
        <v/>
      </c>
      <c r="E2954" s="22"/>
      <c r="F2954" s="26" t="str">
        <f aca="false">IF(A2954="","",IFERROR(buscarx(A2954&amp;E2954,DATA!$E$3:$E$10000&amp;DATA!$B$3:$B$10000,DATA!$M$3:$M$10000),"Inactivo"))</f>
        <v/>
      </c>
      <c r="G2954" s="28" t="str">
        <f aca="false">IF(A2954="","",IF(AND(C2954&lt;&gt;"No encontrado",F2954&lt;&gt;"Inactivo"),C2954&amp;" → "&amp;F2954,"Sin transición"))</f>
        <v/>
      </c>
      <c r="H2954" s="26" t="str">
        <f aca="false">IF(A2954="","",IF(D2954="GCIA LINEA SERVICIO DIGITALIDAD Y VENTAS","Chats",IF(OR(D2954="GERENCIA INBOUND LÍNEAS SERVICIO Y VENTA",D2954="GERENCIA INBOUND LINEAS ESPECIALIZADAS"),"Llamadas","Otro")))</f>
        <v/>
      </c>
      <c r="I2954" s="26" t="str">
        <f aca="false">IF(A2954="","",IF(C2954="No encontrado","No","Sí"))</f>
        <v/>
      </c>
      <c r="J2954" s="26" t="str">
        <f aca="false">IF(A2954="","",IF(F2954="Inactivo","No","Sí"))</f>
        <v/>
      </c>
      <c r="K2954" s="26" t="str">
        <f aca="false">IF(A2954="","",IF(AND(I2954="Sí",J2954="Sí"),"Sí","No"))</f>
        <v/>
      </c>
    </row>
    <row r="2955" customFormat="false" ht="15" hidden="false" customHeight="false" outlineLevel="0" collapsed="false">
      <c r="A2955" s="22"/>
      <c r="B2955" s="22"/>
      <c r="C2955" s="23" t="str">
        <f aca="false">IF(A2955="","",IFERROR(buscarx(A2955&amp;B2955,DATA!$E$3:$E$10000&amp;DATA!$B$3:$B$10000,DATA!$M$3:$M$10000),"No encontrado"))</f>
        <v/>
      </c>
      <c r="D2955" s="24" t="str">
        <f aca="false">IF(A2955="","",IFERROR(buscarx(A2955&amp;B2955,DATA!$E$3:$E$10000&amp;DATA!$B$3:$B$10000,DATA!$W$3:$W$10000),"No encontrado"))</f>
        <v/>
      </c>
      <c r="E2955" s="22"/>
      <c r="F2955" s="23" t="str">
        <f aca="false">IF(A2955="","",IFERROR(buscarx(A2955&amp;E2955,DATA!$E$3:$E$10000&amp;DATA!$B$3:$B$10000,DATA!$M$3:$M$10000),"Inactivo"))</f>
        <v/>
      </c>
      <c r="G2955" s="25" t="str">
        <f aca="false">IF(A2955="","",IF(AND(C2955&lt;&gt;"No encontrado",F2955&lt;&gt;"Inactivo"),C2955&amp;" → "&amp;F2955,"Sin transición"))</f>
        <v/>
      </c>
      <c r="H2955" s="23" t="str">
        <f aca="false">IF(A2955="","",IF(D2955="GCIA LINEA SERVICIO DIGITALIDAD Y VENTAS","Chats",IF(OR(D2955="GERENCIA INBOUND LÍNEAS SERVICIO Y VENTA",D2955="GERENCIA INBOUND LINEAS ESPECIALIZADAS"),"Llamadas","Otro")))</f>
        <v/>
      </c>
      <c r="I2955" s="23" t="str">
        <f aca="false">IF(A2955="","",IF(C2955="No encontrado","No","Sí"))</f>
        <v/>
      </c>
      <c r="J2955" s="23" t="str">
        <f aca="false">IF(A2955="","",IF(F2955="Inactivo","No","Sí"))</f>
        <v/>
      </c>
      <c r="K2955" s="23" t="str">
        <f aca="false">IF(A2955="","",IF(AND(I2955="Sí",J2955="Sí"),"Sí","No"))</f>
        <v/>
      </c>
    </row>
    <row r="2956" customFormat="false" ht="15" hidden="false" customHeight="false" outlineLevel="0" collapsed="false">
      <c r="A2956" s="22"/>
      <c r="B2956" s="22"/>
      <c r="C2956" s="26" t="str">
        <f aca="false">IF(A2956="","",IFERROR(buscarx(A2956&amp;B2956,DATA!$E$3:$E$10000&amp;DATA!$B$3:$B$10000,DATA!$M$3:$M$10000),"No encontrado"))</f>
        <v/>
      </c>
      <c r="D2956" s="27" t="str">
        <f aca="false">IF(A2956="","",IFERROR(buscarx(A2956&amp;B2956,DATA!$E$3:$E$10000&amp;DATA!$B$3:$B$10000,DATA!$W$3:$W$10000),"No encontrado"))</f>
        <v/>
      </c>
      <c r="E2956" s="22"/>
      <c r="F2956" s="26" t="str">
        <f aca="false">IF(A2956="","",IFERROR(buscarx(A2956&amp;E2956,DATA!$E$3:$E$10000&amp;DATA!$B$3:$B$10000,DATA!$M$3:$M$10000),"Inactivo"))</f>
        <v/>
      </c>
      <c r="G2956" s="28" t="str">
        <f aca="false">IF(A2956="","",IF(AND(C2956&lt;&gt;"No encontrado",F2956&lt;&gt;"Inactivo"),C2956&amp;" → "&amp;F2956,"Sin transición"))</f>
        <v/>
      </c>
      <c r="H2956" s="26" t="str">
        <f aca="false">IF(A2956="","",IF(D2956="GCIA LINEA SERVICIO DIGITALIDAD Y VENTAS","Chats",IF(OR(D2956="GERENCIA INBOUND LÍNEAS SERVICIO Y VENTA",D2956="GERENCIA INBOUND LINEAS ESPECIALIZADAS"),"Llamadas","Otro")))</f>
        <v/>
      </c>
      <c r="I2956" s="26" t="str">
        <f aca="false">IF(A2956="","",IF(C2956="No encontrado","No","Sí"))</f>
        <v/>
      </c>
      <c r="J2956" s="26" t="str">
        <f aca="false">IF(A2956="","",IF(F2956="Inactivo","No","Sí"))</f>
        <v/>
      </c>
      <c r="K2956" s="26" t="str">
        <f aca="false">IF(A2956="","",IF(AND(I2956="Sí",J2956="Sí"),"Sí","No"))</f>
        <v/>
      </c>
    </row>
    <row r="2957" customFormat="false" ht="15" hidden="false" customHeight="false" outlineLevel="0" collapsed="false">
      <c r="A2957" s="22"/>
      <c r="B2957" s="22"/>
      <c r="C2957" s="23" t="str">
        <f aca="false">IF(A2957="","",IFERROR(buscarx(A2957&amp;B2957,DATA!$E$3:$E$10000&amp;DATA!$B$3:$B$10000,DATA!$M$3:$M$10000),"No encontrado"))</f>
        <v/>
      </c>
      <c r="D2957" s="24" t="str">
        <f aca="false">IF(A2957="","",IFERROR(buscarx(A2957&amp;B2957,DATA!$E$3:$E$10000&amp;DATA!$B$3:$B$10000,DATA!$W$3:$W$10000),"No encontrado"))</f>
        <v/>
      </c>
      <c r="E2957" s="22"/>
      <c r="F2957" s="23" t="str">
        <f aca="false">IF(A2957="","",IFERROR(buscarx(A2957&amp;E2957,DATA!$E$3:$E$10000&amp;DATA!$B$3:$B$10000,DATA!$M$3:$M$10000),"Inactivo"))</f>
        <v/>
      </c>
      <c r="G2957" s="25" t="str">
        <f aca="false">IF(A2957="","",IF(AND(C2957&lt;&gt;"No encontrado",F2957&lt;&gt;"Inactivo"),C2957&amp;" → "&amp;F2957,"Sin transición"))</f>
        <v/>
      </c>
      <c r="H2957" s="23" t="str">
        <f aca="false">IF(A2957="","",IF(D2957="GCIA LINEA SERVICIO DIGITALIDAD Y VENTAS","Chats",IF(OR(D2957="GERENCIA INBOUND LÍNEAS SERVICIO Y VENTA",D2957="GERENCIA INBOUND LINEAS ESPECIALIZADAS"),"Llamadas","Otro")))</f>
        <v/>
      </c>
      <c r="I2957" s="23" t="str">
        <f aca="false">IF(A2957="","",IF(C2957="No encontrado","No","Sí"))</f>
        <v/>
      </c>
      <c r="J2957" s="23" t="str">
        <f aca="false">IF(A2957="","",IF(F2957="Inactivo","No","Sí"))</f>
        <v/>
      </c>
      <c r="K2957" s="23" t="str">
        <f aca="false">IF(A2957="","",IF(AND(I2957="Sí",J2957="Sí"),"Sí","No"))</f>
        <v/>
      </c>
    </row>
    <row r="2958" customFormat="false" ht="15" hidden="false" customHeight="false" outlineLevel="0" collapsed="false">
      <c r="A2958" s="22"/>
      <c r="B2958" s="22"/>
      <c r="C2958" s="26" t="str">
        <f aca="false">IF(A2958="","",IFERROR(buscarx(A2958&amp;B2958,DATA!$E$3:$E$10000&amp;DATA!$B$3:$B$10000,DATA!$M$3:$M$10000),"No encontrado"))</f>
        <v/>
      </c>
      <c r="D2958" s="27" t="str">
        <f aca="false">IF(A2958="","",IFERROR(buscarx(A2958&amp;B2958,DATA!$E$3:$E$10000&amp;DATA!$B$3:$B$10000,DATA!$W$3:$W$10000),"No encontrado"))</f>
        <v/>
      </c>
      <c r="E2958" s="22"/>
      <c r="F2958" s="26" t="str">
        <f aca="false">IF(A2958="","",IFERROR(buscarx(A2958&amp;E2958,DATA!$E$3:$E$10000&amp;DATA!$B$3:$B$10000,DATA!$M$3:$M$10000),"Inactivo"))</f>
        <v/>
      </c>
      <c r="G2958" s="28" t="str">
        <f aca="false">IF(A2958="","",IF(AND(C2958&lt;&gt;"No encontrado",F2958&lt;&gt;"Inactivo"),C2958&amp;" → "&amp;F2958,"Sin transición"))</f>
        <v/>
      </c>
      <c r="H2958" s="26" t="str">
        <f aca="false">IF(A2958="","",IF(D2958="GCIA LINEA SERVICIO DIGITALIDAD Y VENTAS","Chats",IF(OR(D2958="GERENCIA INBOUND LÍNEAS SERVICIO Y VENTA",D2958="GERENCIA INBOUND LINEAS ESPECIALIZADAS"),"Llamadas","Otro")))</f>
        <v/>
      </c>
      <c r="I2958" s="26" t="str">
        <f aca="false">IF(A2958="","",IF(C2958="No encontrado","No","Sí"))</f>
        <v/>
      </c>
      <c r="J2958" s="26" t="str">
        <f aca="false">IF(A2958="","",IF(F2958="Inactivo","No","Sí"))</f>
        <v/>
      </c>
      <c r="K2958" s="26" t="str">
        <f aca="false">IF(A2958="","",IF(AND(I2958="Sí",J2958="Sí"),"Sí","No"))</f>
        <v/>
      </c>
    </row>
    <row r="2959" customFormat="false" ht="15" hidden="false" customHeight="false" outlineLevel="0" collapsed="false">
      <c r="A2959" s="22"/>
      <c r="B2959" s="22"/>
      <c r="C2959" s="23" t="str">
        <f aca="false">IF(A2959="","",IFERROR(buscarx(A2959&amp;B2959,DATA!$E$3:$E$10000&amp;DATA!$B$3:$B$10000,DATA!$M$3:$M$10000),"No encontrado"))</f>
        <v/>
      </c>
      <c r="D2959" s="24" t="str">
        <f aca="false">IF(A2959="","",IFERROR(buscarx(A2959&amp;B2959,DATA!$E$3:$E$10000&amp;DATA!$B$3:$B$10000,DATA!$W$3:$W$10000),"No encontrado"))</f>
        <v/>
      </c>
      <c r="E2959" s="22"/>
      <c r="F2959" s="23" t="str">
        <f aca="false">IF(A2959="","",IFERROR(buscarx(A2959&amp;E2959,DATA!$E$3:$E$10000&amp;DATA!$B$3:$B$10000,DATA!$M$3:$M$10000),"Inactivo"))</f>
        <v/>
      </c>
      <c r="G2959" s="25" t="str">
        <f aca="false">IF(A2959="","",IF(AND(C2959&lt;&gt;"No encontrado",F2959&lt;&gt;"Inactivo"),C2959&amp;" → "&amp;F2959,"Sin transición"))</f>
        <v/>
      </c>
      <c r="H2959" s="23" t="str">
        <f aca="false">IF(A2959="","",IF(D2959="GCIA LINEA SERVICIO DIGITALIDAD Y VENTAS","Chats",IF(OR(D2959="GERENCIA INBOUND LÍNEAS SERVICIO Y VENTA",D2959="GERENCIA INBOUND LINEAS ESPECIALIZADAS"),"Llamadas","Otro")))</f>
        <v/>
      </c>
      <c r="I2959" s="23" t="str">
        <f aca="false">IF(A2959="","",IF(C2959="No encontrado","No","Sí"))</f>
        <v/>
      </c>
      <c r="J2959" s="23" t="str">
        <f aca="false">IF(A2959="","",IF(F2959="Inactivo","No","Sí"))</f>
        <v/>
      </c>
      <c r="K2959" s="23" t="str">
        <f aca="false">IF(A2959="","",IF(AND(I2959="Sí",J2959="Sí"),"Sí","No"))</f>
        <v/>
      </c>
    </row>
    <row r="2960" customFormat="false" ht="15" hidden="false" customHeight="false" outlineLevel="0" collapsed="false">
      <c r="A2960" s="22"/>
      <c r="B2960" s="22"/>
      <c r="C2960" s="26" t="str">
        <f aca="false">IF(A2960="","",IFERROR(buscarx(A2960&amp;B2960,DATA!$E$3:$E$10000&amp;DATA!$B$3:$B$10000,DATA!$M$3:$M$10000),"No encontrado"))</f>
        <v/>
      </c>
      <c r="D2960" s="27" t="str">
        <f aca="false">IF(A2960="","",IFERROR(buscarx(A2960&amp;B2960,DATA!$E$3:$E$10000&amp;DATA!$B$3:$B$10000,DATA!$W$3:$W$10000),"No encontrado"))</f>
        <v/>
      </c>
      <c r="E2960" s="22"/>
      <c r="F2960" s="26" t="str">
        <f aca="false">IF(A2960="","",IFERROR(buscarx(A2960&amp;E2960,DATA!$E$3:$E$10000&amp;DATA!$B$3:$B$10000,DATA!$M$3:$M$10000),"Inactivo"))</f>
        <v/>
      </c>
      <c r="G2960" s="28" t="str">
        <f aca="false">IF(A2960="","",IF(AND(C2960&lt;&gt;"No encontrado",F2960&lt;&gt;"Inactivo"),C2960&amp;" → "&amp;F2960,"Sin transición"))</f>
        <v/>
      </c>
      <c r="H2960" s="26" t="str">
        <f aca="false">IF(A2960="","",IF(D2960="GCIA LINEA SERVICIO DIGITALIDAD Y VENTAS","Chats",IF(OR(D2960="GERENCIA INBOUND LÍNEAS SERVICIO Y VENTA",D2960="GERENCIA INBOUND LINEAS ESPECIALIZADAS"),"Llamadas","Otro")))</f>
        <v/>
      </c>
      <c r="I2960" s="26" t="str">
        <f aca="false">IF(A2960="","",IF(C2960="No encontrado","No","Sí"))</f>
        <v/>
      </c>
      <c r="J2960" s="26" t="str">
        <f aca="false">IF(A2960="","",IF(F2960="Inactivo","No","Sí"))</f>
        <v/>
      </c>
      <c r="K2960" s="26" t="str">
        <f aca="false">IF(A2960="","",IF(AND(I2960="Sí",J2960="Sí"),"Sí","No"))</f>
        <v/>
      </c>
    </row>
    <row r="2961" customFormat="false" ht="15" hidden="false" customHeight="false" outlineLevel="0" collapsed="false">
      <c r="A2961" s="22"/>
      <c r="B2961" s="22"/>
      <c r="C2961" s="23" t="str">
        <f aca="false">IF(A2961="","",IFERROR(buscarx(A2961&amp;B2961,DATA!$E$3:$E$10000&amp;DATA!$B$3:$B$10000,DATA!$M$3:$M$10000),"No encontrado"))</f>
        <v/>
      </c>
      <c r="D2961" s="24" t="str">
        <f aca="false">IF(A2961="","",IFERROR(buscarx(A2961&amp;B2961,DATA!$E$3:$E$10000&amp;DATA!$B$3:$B$10000,DATA!$W$3:$W$10000),"No encontrado"))</f>
        <v/>
      </c>
      <c r="E2961" s="22"/>
      <c r="F2961" s="23" t="str">
        <f aca="false">IF(A2961="","",IFERROR(buscarx(A2961&amp;E2961,DATA!$E$3:$E$10000&amp;DATA!$B$3:$B$10000,DATA!$M$3:$M$10000),"Inactivo"))</f>
        <v/>
      </c>
      <c r="G2961" s="25" t="str">
        <f aca="false">IF(A2961="","",IF(AND(C2961&lt;&gt;"No encontrado",F2961&lt;&gt;"Inactivo"),C2961&amp;" → "&amp;F2961,"Sin transición"))</f>
        <v/>
      </c>
      <c r="H2961" s="23" t="str">
        <f aca="false">IF(A2961="","",IF(D2961="GCIA LINEA SERVICIO DIGITALIDAD Y VENTAS","Chats",IF(OR(D2961="GERENCIA INBOUND LÍNEAS SERVICIO Y VENTA",D2961="GERENCIA INBOUND LINEAS ESPECIALIZADAS"),"Llamadas","Otro")))</f>
        <v/>
      </c>
      <c r="I2961" s="23" t="str">
        <f aca="false">IF(A2961="","",IF(C2961="No encontrado","No","Sí"))</f>
        <v/>
      </c>
      <c r="J2961" s="23" t="str">
        <f aca="false">IF(A2961="","",IF(F2961="Inactivo","No","Sí"))</f>
        <v/>
      </c>
      <c r="K2961" s="23" t="str">
        <f aca="false">IF(A2961="","",IF(AND(I2961="Sí",J2961="Sí"),"Sí","No"))</f>
        <v/>
      </c>
    </row>
    <row r="2962" customFormat="false" ht="15" hidden="false" customHeight="false" outlineLevel="0" collapsed="false">
      <c r="A2962" s="22"/>
      <c r="B2962" s="22"/>
      <c r="C2962" s="26" t="str">
        <f aca="false">IF(A2962="","",IFERROR(buscarx(A2962&amp;B2962,DATA!$E$3:$E$10000&amp;DATA!$B$3:$B$10000,DATA!$M$3:$M$10000),"No encontrado"))</f>
        <v/>
      </c>
      <c r="D2962" s="27" t="str">
        <f aca="false">IF(A2962="","",IFERROR(buscarx(A2962&amp;B2962,DATA!$E$3:$E$10000&amp;DATA!$B$3:$B$10000,DATA!$W$3:$W$10000),"No encontrado"))</f>
        <v/>
      </c>
      <c r="E2962" s="22"/>
      <c r="F2962" s="26" t="str">
        <f aca="false">IF(A2962="","",IFERROR(buscarx(A2962&amp;E2962,DATA!$E$3:$E$10000&amp;DATA!$B$3:$B$10000,DATA!$M$3:$M$10000),"Inactivo"))</f>
        <v/>
      </c>
      <c r="G2962" s="28" t="str">
        <f aca="false">IF(A2962="","",IF(AND(C2962&lt;&gt;"No encontrado",F2962&lt;&gt;"Inactivo"),C2962&amp;" → "&amp;F2962,"Sin transición"))</f>
        <v/>
      </c>
      <c r="H2962" s="26" t="str">
        <f aca="false">IF(A2962="","",IF(D2962="GCIA LINEA SERVICIO DIGITALIDAD Y VENTAS","Chats",IF(OR(D2962="GERENCIA INBOUND LÍNEAS SERVICIO Y VENTA",D2962="GERENCIA INBOUND LINEAS ESPECIALIZADAS"),"Llamadas","Otro")))</f>
        <v/>
      </c>
      <c r="I2962" s="26" t="str">
        <f aca="false">IF(A2962="","",IF(C2962="No encontrado","No","Sí"))</f>
        <v/>
      </c>
      <c r="J2962" s="26" t="str">
        <f aca="false">IF(A2962="","",IF(F2962="Inactivo","No","Sí"))</f>
        <v/>
      </c>
      <c r="K2962" s="26" t="str">
        <f aca="false">IF(A2962="","",IF(AND(I2962="Sí",J2962="Sí"),"Sí","No"))</f>
        <v/>
      </c>
    </row>
    <row r="2963" customFormat="false" ht="15" hidden="false" customHeight="false" outlineLevel="0" collapsed="false">
      <c r="A2963" s="22"/>
      <c r="B2963" s="22"/>
      <c r="C2963" s="23" t="str">
        <f aca="false">IF(A2963="","",IFERROR(buscarx(A2963&amp;B2963,DATA!$E$3:$E$10000&amp;DATA!$B$3:$B$10000,DATA!$M$3:$M$10000),"No encontrado"))</f>
        <v/>
      </c>
      <c r="D2963" s="24" t="str">
        <f aca="false">IF(A2963="","",IFERROR(buscarx(A2963&amp;B2963,DATA!$E$3:$E$10000&amp;DATA!$B$3:$B$10000,DATA!$W$3:$W$10000),"No encontrado"))</f>
        <v/>
      </c>
      <c r="E2963" s="22"/>
      <c r="F2963" s="23" t="str">
        <f aca="false">IF(A2963="","",IFERROR(buscarx(A2963&amp;E2963,DATA!$E$3:$E$10000&amp;DATA!$B$3:$B$10000,DATA!$M$3:$M$10000),"Inactivo"))</f>
        <v/>
      </c>
      <c r="G2963" s="25" t="str">
        <f aca="false">IF(A2963="","",IF(AND(C2963&lt;&gt;"No encontrado",F2963&lt;&gt;"Inactivo"),C2963&amp;" → "&amp;F2963,"Sin transición"))</f>
        <v/>
      </c>
      <c r="H2963" s="23" t="str">
        <f aca="false">IF(A2963="","",IF(D2963="GCIA LINEA SERVICIO DIGITALIDAD Y VENTAS","Chats",IF(OR(D2963="GERENCIA INBOUND LÍNEAS SERVICIO Y VENTA",D2963="GERENCIA INBOUND LINEAS ESPECIALIZADAS"),"Llamadas","Otro")))</f>
        <v/>
      </c>
      <c r="I2963" s="23" t="str">
        <f aca="false">IF(A2963="","",IF(C2963="No encontrado","No","Sí"))</f>
        <v/>
      </c>
      <c r="J2963" s="23" t="str">
        <f aca="false">IF(A2963="","",IF(F2963="Inactivo","No","Sí"))</f>
        <v/>
      </c>
      <c r="K2963" s="23" t="str">
        <f aca="false">IF(A2963="","",IF(AND(I2963="Sí",J2963="Sí"),"Sí","No"))</f>
        <v/>
      </c>
    </row>
    <row r="2964" customFormat="false" ht="15" hidden="false" customHeight="false" outlineLevel="0" collapsed="false">
      <c r="A2964" s="22"/>
      <c r="B2964" s="22"/>
      <c r="C2964" s="26" t="str">
        <f aca="false">IF(A2964="","",IFERROR(buscarx(A2964&amp;B2964,DATA!$E$3:$E$10000&amp;DATA!$B$3:$B$10000,DATA!$M$3:$M$10000),"No encontrado"))</f>
        <v/>
      </c>
      <c r="D2964" s="27" t="str">
        <f aca="false">IF(A2964="","",IFERROR(buscarx(A2964&amp;B2964,DATA!$E$3:$E$10000&amp;DATA!$B$3:$B$10000,DATA!$W$3:$W$10000),"No encontrado"))</f>
        <v/>
      </c>
      <c r="E2964" s="22"/>
      <c r="F2964" s="26" t="str">
        <f aca="false">IF(A2964="","",IFERROR(buscarx(A2964&amp;E2964,DATA!$E$3:$E$10000&amp;DATA!$B$3:$B$10000,DATA!$M$3:$M$10000),"Inactivo"))</f>
        <v/>
      </c>
      <c r="G2964" s="28" t="str">
        <f aca="false">IF(A2964="","",IF(AND(C2964&lt;&gt;"No encontrado",F2964&lt;&gt;"Inactivo"),C2964&amp;" → "&amp;F2964,"Sin transición"))</f>
        <v/>
      </c>
      <c r="H2964" s="26" t="str">
        <f aca="false">IF(A2964="","",IF(D2964="GCIA LINEA SERVICIO DIGITALIDAD Y VENTAS","Chats",IF(OR(D2964="GERENCIA INBOUND LÍNEAS SERVICIO Y VENTA",D2964="GERENCIA INBOUND LINEAS ESPECIALIZADAS"),"Llamadas","Otro")))</f>
        <v/>
      </c>
      <c r="I2964" s="26" t="str">
        <f aca="false">IF(A2964="","",IF(C2964="No encontrado","No","Sí"))</f>
        <v/>
      </c>
      <c r="J2964" s="26" t="str">
        <f aca="false">IF(A2964="","",IF(F2964="Inactivo","No","Sí"))</f>
        <v/>
      </c>
      <c r="K2964" s="26" t="str">
        <f aca="false">IF(A2964="","",IF(AND(I2964="Sí",J2964="Sí"),"Sí","No"))</f>
        <v/>
      </c>
    </row>
    <row r="2965" customFormat="false" ht="15" hidden="false" customHeight="false" outlineLevel="0" collapsed="false">
      <c r="A2965" s="22"/>
      <c r="B2965" s="22"/>
      <c r="C2965" s="23" t="str">
        <f aca="false">IF(A2965="","",IFERROR(buscarx(A2965&amp;B2965,DATA!$E$3:$E$10000&amp;DATA!$B$3:$B$10000,DATA!$M$3:$M$10000),"No encontrado"))</f>
        <v/>
      </c>
      <c r="D2965" s="24" t="str">
        <f aca="false">IF(A2965="","",IFERROR(buscarx(A2965&amp;B2965,DATA!$E$3:$E$10000&amp;DATA!$B$3:$B$10000,DATA!$W$3:$W$10000),"No encontrado"))</f>
        <v/>
      </c>
      <c r="E2965" s="22"/>
      <c r="F2965" s="23" t="str">
        <f aca="false">IF(A2965="","",IFERROR(buscarx(A2965&amp;E2965,DATA!$E$3:$E$10000&amp;DATA!$B$3:$B$10000,DATA!$M$3:$M$10000),"Inactivo"))</f>
        <v/>
      </c>
      <c r="G2965" s="25" t="str">
        <f aca="false">IF(A2965="","",IF(AND(C2965&lt;&gt;"No encontrado",F2965&lt;&gt;"Inactivo"),C2965&amp;" → "&amp;F2965,"Sin transición"))</f>
        <v/>
      </c>
      <c r="H2965" s="23" t="str">
        <f aca="false">IF(A2965="","",IF(D2965="GCIA LINEA SERVICIO DIGITALIDAD Y VENTAS","Chats",IF(OR(D2965="GERENCIA INBOUND LÍNEAS SERVICIO Y VENTA",D2965="GERENCIA INBOUND LINEAS ESPECIALIZADAS"),"Llamadas","Otro")))</f>
        <v/>
      </c>
      <c r="I2965" s="23" t="str">
        <f aca="false">IF(A2965="","",IF(C2965="No encontrado","No","Sí"))</f>
        <v/>
      </c>
      <c r="J2965" s="23" t="str">
        <f aca="false">IF(A2965="","",IF(F2965="Inactivo","No","Sí"))</f>
        <v/>
      </c>
      <c r="K2965" s="23" t="str">
        <f aca="false">IF(A2965="","",IF(AND(I2965="Sí",J2965="Sí"),"Sí","No"))</f>
        <v/>
      </c>
    </row>
    <row r="2966" customFormat="false" ht="15" hidden="false" customHeight="false" outlineLevel="0" collapsed="false">
      <c r="A2966" s="22"/>
      <c r="B2966" s="22"/>
      <c r="C2966" s="26" t="str">
        <f aca="false">IF(A2966="","",IFERROR(buscarx(A2966&amp;B2966,DATA!$E$3:$E$10000&amp;DATA!$B$3:$B$10000,DATA!$M$3:$M$10000),"No encontrado"))</f>
        <v/>
      </c>
      <c r="D2966" s="27" t="str">
        <f aca="false">IF(A2966="","",IFERROR(buscarx(A2966&amp;B2966,DATA!$E$3:$E$10000&amp;DATA!$B$3:$B$10000,DATA!$W$3:$W$10000),"No encontrado"))</f>
        <v/>
      </c>
      <c r="E2966" s="22"/>
      <c r="F2966" s="26" t="str">
        <f aca="false">IF(A2966="","",IFERROR(buscarx(A2966&amp;E2966,DATA!$E$3:$E$10000&amp;DATA!$B$3:$B$10000,DATA!$M$3:$M$10000),"Inactivo"))</f>
        <v/>
      </c>
      <c r="G2966" s="28" t="str">
        <f aca="false">IF(A2966="","",IF(AND(C2966&lt;&gt;"No encontrado",F2966&lt;&gt;"Inactivo"),C2966&amp;" → "&amp;F2966,"Sin transición"))</f>
        <v/>
      </c>
      <c r="H2966" s="26" t="str">
        <f aca="false">IF(A2966="","",IF(D2966="GCIA LINEA SERVICIO DIGITALIDAD Y VENTAS","Chats",IF(OR(D2966="GERENCIA INBOUND LÍNEAS SERVICIO Y VENTA",D2966="GERENCIA INBOUND LINEAS ESPECIALIZADAS"),"Llamadas","Otro")))</f>
        <v/>
      </c>
      <c r="I2966" s="26" t="str">
        <f aca="false">IF(A2966="","",IF(C2966="No encontrado","No","Sí"))</f>
        <v/>
      </c>
      <c r="J2966" s="26" t="str">
        <f aca="false">IF(A2966="","",IF(F2966="Inactivo","No","Sí"))</f>
        <v/>
      </c>
      <c r="K2966" s="26" t="str">
        <f aca="false">IF(A2966="","",IF(AND(I2966="Sí",J2966="Sí"),"Sí","No"))</f>
        <v/>
      </c>
    </row>
    <row r="2967" customFormat="false" ht="15" hidden="false" customHeight="false" outlineLevel="0" collapsed="false">
      <c r="A2967" s="22"/>
      <c r="B2967" s="22"/>
      <c r="C2967" s="23" t="str">
        <f aca="false">IF(A2967="","",IFERROR(buscarx(A2967&amp;B2967,DATA!$E$3:$E$10000&amp;DATA!$B$3:$B$10000,DATA!$M$3:$M$10000),"No encontrado"))</f>
        <v/>
      </c>
      <c r="D2967" s="24" t="str">
        <f aca="false">IF(A2967="","",IFERROR(buscarx(A2967&amp;B2967,DATA!$E$3:$E$10000&amp;DATA!$B$3:$B$10000,DATA!$W$3:$W$10000),"No encontrado"))</f>
        <v/>
      </c>
      <c r="E2967" s="22"/>
      <c r="F2967" s="23" t="str">
        <f aca="false">IF(A2967="","",IFERROR(buscarx(A2967&amp;E2967,DATA!$E$3:$E$10000&amp;DATA!$B$3:$B$10000,DATA!$M$3:$M$10000),"Inactivo"))</f>
        <v/>
      </c>
      <c r="G2967" s="25" t="str">
        <f aca="false">IF(A2967="","",IF(AND(C2967&lt;&gt;"No encontrado",F2967&lt;&gt;"Inactivo"),C2967&amp;" → "&amp;F2967,"Sin transición"))</f>
        <v/>
      </c>
      <c r="H2967" s="23" t="str">
        <f aca="false">IF(A2967="","",IF(D2967="GCIA LINEA SERVICIO DIGITALIDAD Y VENTAS","Chats",IF(OR(D2967="GERENCIA INBOUND LÍNEAS SERVICIO Y VENTA",D2967="GERENCIA INBOUND LINEAS ESPECIALIZADAS"),"Llamadas","Otro")))</f>
        <v/>
      </c>
      <c r="I2967" s="23" t="str">
        <f aca="false">IF(A2967="","",IF(C2967="No encontrado","No","Sí"))</f>
        <v/>
      </c>
      <c r="J2967" s="23" t="str">
        <f aca="false">IF(A2967="","",IF(F2967="Inactivo","No","Sí"))</f>
        <v/>
      </c>
      <c r="K2967" s="23" t="str">
        <f aca="false">IF(A2967="","",IF(AND(I2967="Sí",J2967="Sí"),"Sí","No"))</f>
        <v/>
      </c>
    </row>
    <row r="2968" customFormat="false" ht="15" hidden="false" customHeight="false" outlineLevel="0" collapsed="false">
      <c r="A2968" s="22"/>
      <c r="B2968" s="22"/>
      <c r="C2968" s="26" t="str">
        <f aca="false">IF(A2968="","",IFERROR(buscarx(A2968&amp;B2968,DATA!$E$3:$E$10000&amp;DATA!$B$3:$B$10000,DATA!$M$3:$M$10000),"No encontrado"))</f>
        <v/>
      </c>
      <c r="D2968" s="27" t="str">
        <f aca="false">IF(A2968="","",IFERROR(buscarx(A2968&amp;B2968,DATA!$E$3:$E$10000&amp;DATA!$B$3:$B$10000,DATA!$W$3:$W$10000),"No encontrado"))</f>
        <v/>
      </c>
      <c r="E2968" s="22"/>
      <c r="F2968" s="26" t="str">
        <f aca="false">IF(A2968="","",IFERROR(buscarx(A2968&amp;E2968,DATA!$E$3:$E$10000&amp;DATA!$B$3:$B$10000,DATA!$M$3:$M$10000),"Inactivo"))</f>
        <v/>
      </c>
      <c r="G2968" s="28" t="str">
        <f aca="false">IF(A2968="","",IF(AND(C2968&lt;&gt;"No encontrado",F2968&lt;&gt;"Inactivo"),C2968&amp;" → "&amp;F2968,"Sin transición"))</f>
        <v/>
      </c>
      <c r="H2968" s="26" t="str">
        <f aca="false">IF(A2968="","",IF(D2968="GCIA LINEA SERVICIO DIGITALIDAD Y VENTAS","Chats",IF(OR(D2968="GERENCIA INBOUND LÍNEAS SERVICIO Y VENTA",D2968="GERENCIA INBOUND LINEAS ESPECIALIZADAS"),"Llamadas","Otro")))</f>
        <v/>
      </c>
      <c r="I2968" s="26" t="str">
        <f aca="false">IF(A2968="","",IF(C2968="No encontrado","No","Sí"))</f>
        <v/>
      </c>
      <c r="J2968" s="26" t="str">
        <f aca="false">IF(A2968="","",IF(F2968="Inactivo","No","Sí"))</f>
        <v/>
      </c>
      <c r="K2968" s="26" t="str">
        <f aca="false">IF(A2968="","",IF(AND(I2968="Sí",J2968="Sí"),"Sí","No"))</f>
        <v/>
      </c>
    </row>
    <row r="2969" customFormat="false" ht="15" hidden="false" customHeight="false" outlineLevel="0" collapsed="false">
      <c r="A2969" s="22"/>
      <c r="B2969" s="22"/>
      <c r="C2969" s="23" t="str">
        <f aca="false">IF(A2969="","",IFERROR(buscarx(A2969&amp;B2969,DATA!$E$3:$E$10000&amp;DATA!$B$3:$B$10000,DATA!$M$3:$M$10000),"No encontrado"))</f>
        <v/>
      </c>
      <c r="D2969" s="24" t="str">
        <f aca="false">IF(A2969="","",IFERROR(buscarx(A2969&amp;B2969,DATA!$E$3:$E$10000&amp;DATA!$B$3:$B$10000,DATA!$W$3:$W$10000),"No encontrado"))</f>
        <v/>
      </c>
      <c r="E2969" s="22"/>
      <c r="F2969" s="23" t="str">
        <f aca="false">IF(A2969="","",IFERROR(buscarx(A2969&amp;E2969,DATA!$E$3:$E$10000&amp;DATA!$B$3:$B$10000,DATA!$M$3:$M$10000),"Inactivo"))</f>
        <v/>
      </c>
      <c r="G2969" s="25" t="str">
        <f aca="false">IF(A2969="","",IF(AND(C2969&lt;&gt;"No encontrado",F2969&lt;&gt;"Inactivo"),C2969&amp;" → "&amp;F2969,"Sin transición"))</f>
        <v/>
      </c>
      <c r="H2969" s="23" t="str">
        <f aca="false">IF(A2969="","",IF(D2969="GCIA LINEA SERVICIO DIGITALIDAD Y VENTAS","Chats",IF(OR(D2969="GERENCIA INBOUND LÍNEAS SERVICIO Y VENTA",D2969="GERENCIA INBOUND LINEAS ESPECIALIZADAS"),"Llamadas","Otro")))</f>
        <v/>
      </c>
      <c r="I2969" s="23" t="str">
        <f aca="false">IF(A2969="","",IF(C2969="No encontrado","No","Sí"))</f>
        <v/>
      </c>
      <c r="J2969" s="23" t="str">
        <f aca="false">IF(A2969="","",IF(F2969="Inactivo","No","Sí"))</f>
        <v/>
      </c>
      <c r="K2969" s="23" t="str">
        <f aca="false">IF(A2969="","",IF(AND(I2969="Sí",J2969="Sí"),"Sí","No"))</f>
        <v/>
      </c>
    </row>
    <row r="2970" customFormat="false" ht="15" hidden="false" customHeight="false" outlineLevel="0" collapsed="false">
      <c r="A2970" s="22"/>
      <c r="B2970" s="22"/>
      <c r="C2970" s="26" t="str">
        <f aca="false">IF(A2970="","",IFERROR(buscarx(A2970&amp;B2970,DATA!$E$3:$E$10000&amp;DATA!$B$3:$B$10000,DATA!$M$3:$M$10000),"No encontrado"))</f>
        <v/>
      </c>
      <c r="D2970" s="27" t="str">
        <f aca="false">IF(A2970="","",IFERROR(buscarx(A2970&amp;B2970,DATA!$E$3:$E$10000&amp;DATA!$B$3:$B$10000,DATA!$W$3:$W$10000),"No encontrado"))</f>
        <v/>
      </c>
      <c r="E2970" s="22"/>
      <c r="F2970" s="26" t="str">
        <f aca="false">IF(A2970="","",IFERROR(buscarx(A2970&amp;E2970,DATA!$E$3:$E$10000&amp;DATA!$B$3:$B$10000,DATA!$M$3:$M$10000),"Inactivo"))</f>
        <v/>
      </c>
      <c r="G2970" s="28" t="str">
        <f aca="false">IF(A2970="","",IF(AND(C2970&lt;&gt;"No encontrado",F2970&lt;&gt;"Inactivo"),C2970&amp;" → "&amp;F2970,"Sin transición"))</f>
        <v/>
      </c>
      <c r="H2970" s="26" t="str">
        <f aca="false">IF(A2970="","",IF(D2970="GCIA LINEA SERVICIO DIGITALIDAD Y VENTAS","Chats",IF(OR(D2970="GERENCIA INBOUND LÍNEAS SERVICIO Y VENTA",D2970="GERENCIA INBOUND LINEAS ESPECIALIZADAS"),"Llamadas","Otro")))</f>
        <v/>
      </c>
      <c r="I2970" s="26" t="str">
        <f aca="false">IF(A2970="","",IF(C2970="No encontrado","No","Sí"))</f>
        <v/>
      </c>
      <c r="J2970" s="26" t="str">
        <f aca="false">IF(A2970="","",IF(F2970="Inactivo","No","Sí"))</f>
        <v/>
      </c>
      <c r="K2970" s="26" t="str">
        <f aca="false">IF(A2970="","",IF(AND(I2970="Sí",J2970="Sí"),"Sí","No"))</f>
        <v/>
      </c>
    </row>
    <row r="2971" customFormat="false" ht="15" hidden="false" customHeight="false" outlineLevel="0" collapsed="false">
      <c r="A2971" s="22"/>
      <c r="B2971" s="22"/>
      <c r="C2971" s="23" t="str">
        <f aca="false">IF(A2971="","",IFERROR(buscarx(A2971&amp;B2971,DATA!$E$3:$E$10000&amp;DATA!$B$3:$B$10000,DATA!$M$3:$M$10000),"No encontrado"))</f>
        <v/>
      </c>
      <c r="D2971" s="24" t="str">
        <f aca="false">IF(A2971="","",IFERROR(buscarx(A2971&amp;B2971,DATA!$E$3:$E$10000&amp;DATA!$B$3:$B$10000,DATA!$W$3:$W$10000),"No encontrado"))</f>
        <v/>
      </c>
      <c r="E2971" s="22"/>
      <c r="F2971" s="23" t="str">
        <f aca="false">IF(A2971="","",IFERROR(buscarx(A2971&amp;E2971,DATA!$E$3:$E$10000&amp;DATA!$B$3:$B$10000,DATA!$M$3:$M$10000),"Inactivo"))</f>
        <v/>
      </c>
      <c r="G2971" s="25" t="str">
        <f aca="false">IF(A2971="","",IF(AND(C2971&lt;&gt;"No encontrado",F2971&lt;&gt;"Inactivo"),C2971&amp;" → "&amp;F2971,"Sin transición"))</f>
        <v/>
      </c>
      <c r="H2971" s="23" t="str">
        <f aca="false">IF(A2971="","",IF(D2971="GCIA LINEA SERVICIO DIGITALIDAD Y VENTAS","Chats",IF(OR(D2971="GERENCIA INBOUND LÍNEAS SERVICIO Y VENTA",D2971="GERENCIA INBOUND LINEAS ESPECIALIZADAS"),"Llamadas","Otro")))</f>
        <v/>
      </c>
      <c r="I2971" s="23" t="str">
        <f aca="false">IF(A2971="","",IF(C2971="No encontrado","No","Sí"))</f>
        <v/>
      </c>
      <c r="J2971" s="23" t="str">
        <f aca="false">IF(A2971="","",IF(F2971="Inactivo","No","Sí"))</f>
        <v/>
      </c>
      <c r="K2971" s="23" t="str">
        <f aca="false">IF(A2971="","",IF(AND(I2971="Sí",J2971="Sí"),"Sí","No"))</f>
        <v/>
      </c>
    </row>
    <row r="2972" customFormat="false" ht="15" hidden="false" customHeight="false" outlineLevel="0" collapsed="false">
      <c r="A2972" s="22"/>
      <c r="B2972" s="22"/>
      <c r="C2972" s="26" t="str">
        <f aca="false">IF(A2972="","",IFERROR(buscarx(A2972&amp;B2972,DATA!$E$3:$E$10000&amp;DATA!$B$3:$B$10000,DATA!$M$3:$M$10000),"No encontrado"))</f>
        <v/>
      </c>
      <c r="D2972" s="27" t="str">
        <f aca="false">IF(A2972="","",IFERROR(buscarx(A2972&amp;B2972,DATA!$E$3:$E$10000&amp;DATA!$B$3:$B$10000,DATA!$W$3:$W$10000),"No encontrado"))</f>
        <v/>
      </c>
      <c r="E2972" s="22"/>
      <c r="F2972" s="26" t="str">
        <f aca="false">IF(A2972="","",IFERROR(buscarx(A2972&amp;E2972,DATA!$E$3:$E$10000&amp;DATA!$B$3:$B$10000,DATA!$M$3:$M$10000),"Inactivo"))</f>
        <v/>
      </c>
      <c r="G2972" s="28" t="str">
        <f aca="false">IF(A2972="","",IF(AND(C2972&lt;&gt;"No encontrado",F2972&lt;&gt;"Inactivo"),C2972&amp;" → "&amp;F2972,"Sin transición"))</f>
        <v/>
      </c>
      <c r="H2972" s="26" t="str">
        <f aca="false">IF(A2972="","",IF(D2972="GCIA LINEA SERVICIO DIGITALIDAD Y VENTAS","Chats",IF(OR(D2972="GERENCIA INBOUND LÍNEAS SERVICIO Y VENTA",D2972="GERENCIA INBOUND LINEAS ESPECIALIZADAS"),"Llamadas","Otro")))</f>
        <v/>
      </c>
      <c r="I2972" s="26" t="str">
        <f aca="false">IF(A2972="","",IF(C2972="No encontrado","No","Sí"))</f>
        <v/>
      </c>
      <c r="J2972" s="26" t="str">
        <f aca="false">IF(A2972="","",IF(F2972="Inactivo","No","Sí"))</f>
        <v/>
      </c>
      <c r="K2972" s="26" t="str">
        <f aca="false">IF(A2972="","",IF(AND(I2972="Sí",J2972="Sí"),"Sí","No"))</f>
        <v/>
      </c>
    </row>
    <row r="2973" customFormat="false" ht="15" hidden="false" customHeight="false" outlineLevel="0" collapsed="false">
      <c r="A2973" s="22"/>
      <c r="B2973" s="22"/>
      <c r="C2973" s="23" t="str">
        <f aca="false">IF(A2973="","",IFERROR(buscarx(A2973&amp;B2973,DATA!$E$3:$E$10000&amp;DATA!$B$3:$B$10000,DATA!$M$3:$M$10000),"No encontrado"))</f>
        <v/>
      </c>
      <c r="D2973" s="24" t="str">
        <f aca="false">IF(A2973="","",IFERROR(buscarx(A2973&amp;B2973,DATA!$E$3:$E$10000&amp;DATA!$B$3:$B$10000,DATA!$W$3:$W$10000),"No encontrado"))</f>
        <v/>
      </c>
      <c r="E2973" s="22"/>
      <c r="F2973" s="23" t="str">
        <f aca="false">IF(A2973="","",IFERROR(buscarx(A2973&amp;E2973,DATA!$E$3:$E$10000&amp;DATA!$B$3:$B$10000,DATA!$M$3:$M$10000),"Inactivo"))</f>
        <v/>
      </c>
      <c r="G2973" s="25" t="str">
        <f aca="false">IF(A2973="","",IF(AND(C2973&lt;&gt;"No encontrado",F2973&lt;&gt;"Inactivo"),C2973&amp;" → "&amp;F2973,"Sin transición"))</f>
        <v/>
      </c>
      <c r="H2973" s="23" t="str">
        <f aca="false">IF(A2973="","",IF(D2973="GCIA LINEA SERVICIO DIGITALIDAD Y VENTAS","Chats",IF(OR(D2973="GERENCIA INBOUND LÍNEAS SERVICIO Y VENTA",D2973="GERENCIA INBOUND LINEAS ESPECIALIZADAS"),"Llamadas","Otro")))</f>
        <v/>
      </c>
      <c r="I2973" s="23" t="str">
        <f aca="false">IF(A2973="","",IF(C2973="No encontrado","No","Sí"))</f>
        <v/>
      </c>
      <c r="J2973" s="23" t="str">
        <f aca="false">IF(A2973="","",IF(F2973="Inactivo","No","Sí"))</f>
        <v/>
      </c>
      <c r="K2973" s="23" t="str">
        <f aca="false">IF(A2973="","",IF(AND(I2973="Sí",J2973="Sí"),"Sí","No"))</f>
        <v/>
      </c>
    </row>
    <row r="2974" customFormat="false" ht="15" hidden="false" customHeight="false" outlineLevel="0" collapsed="false">
      <c r="A2974" s="22"/>
      <c r="B2974" s="22"/>
      <c r="C2974" s="26" t="str">
        <f aca="false">IF(A2974="","",IFERROR(buscarx(A2974&amp;B2974,DATA!$E$3:$E$10000&amp;DATA!$B$3:$B$10000,DATA!$M$3:$M$10000),"No encontrado"))</f>
        <v/>
      </c>
      <c r="D2974" s="27" t="str">
        <f aca="false">IF(A2974="","",IFERROR(buscarx(A2974&amp;B2974,DATA!$E$3:$E$10000&amp;DATA!$B$3:$B$10000,DATA!$W$3:$W$10000),"No encontrado"))</f>
        <v/>
      </c>
      <c r="E2974" s="22"/>
      <c r="F2974" s="26" t="str">
        <f aca="false">IF(A2974="","",IFERROR(buscarx(A2974&amp;E2974,DATA!$E$3:$E$10000&amp;DATA!$B$3:$B$10000,DATA!$M$3:$M$10000),"Inactivo"))</f>
        <v/>
      </c>
      <c r="G2974" s="28" t="str">
        <f aca="false">IF(A2974="","",IF(AND(C2974&lt;&gt;"No encontrado",F2974&lt;&gt;"Inactivo"),C2974&amp;" → "&amp;F2974,"Sin transición"))</f>
        <v/>
      </c>
      <c r="H2974" s="26" t="str">
        <f aca="false">IF(A2974="","",IF(D2974="GCIA LINEA SERVICIO DIGITALIDAD Y VENTAS","Chats",IF(OR(D2974="GERENCIA INBOUND LÍNEAS SERVICIO Y VENTA",D2974="GERENCIA INBOUND LINEAS ESPECIALIZADAS"),"Llamadas","Otro")))</f>
        <v/>
      </c>
      <c r="I2974" s="26" t="str">
        <f aca="false">IF(A2974="","",IF(C2974="No encontrado","No","Sí"))</f>
        <v/>
      </c>
      <c r="J2974" s="26" t="str">
        <f aca="false">IF(A2974="","",IF(F2974="Inactivo","No","Sí"))</f>
        <v/>
      </c>
      <c r="K2974" s="26" t="str">
        <f aca="false">IF(A2974="","",IF(AND(I2974="Sí",J2974="Sí"),"Sí","No"))</f>
        <v/>
      </c>
    </row>
    <row r="2975" customFormat="false" ht="15" hidden="false" customHeight="false" outlineLevel="0" collapsed="false">
      <c r="A2975" s="22"/>
      <c r="B2975" s="22"/>
      <c r="C2975" s="23" t="str">
        <f aca="false">IF(A2975="","",IFERROR(buscarx(A2975&amp;B2975,DATA!$E$3:$E$10000&amp;DATA!$B$3:$B$10000,DATA!$M$3:$M$10000),"No encontrado"))</f>
        <v/>
      </c>
      <c r="D2975" s="24" t="str">
        <f aca="false">IF(A2975="","",IFERROR(buscarx(A2975&amp;B2975,DATA!$E$3:$E$10000&amp;DATA!$B$3:$B$10000,DATA!$W$3:$W$10000),"No encontrado"))</f>
        <v/>
      </c>
      <c r="E2975" s="22"/>
      <c r="F2975" s="23" t="str">
        <f aca="false">IF(A2975="","",IFERROR(buscarx(A2975&amp;E2975,DATA!$E$3:$E$10000&amp;DATA!$B$3:$B$10000,DATA!$M$3:$M$10000),"Inactivo"))</f>
        <v/>
      </c>
      <c r="G2975" s="25" t="str">
        <f aca="false">IF(A2975="","",IF(AND(C2975&lt;&gt;"No encontrado",F2975&lt;&gt;"Inactivo"),C2975&amp;" → "&amp;F2975,"Sin transición"))</f>
        <v/>
      </c>
      <c r="H2975" s="23" t="str">
        <f aca="false">IF(A2975="","",IF(D2975="GCIA LINEA SERVICIO DIGITALIDAD Y VENTAS","Chats",IF(OR(D2975="GERENCIA INBOUND LÍNEAS SERVICIO Y VENTA",D2975="GERENCIA INBOUND LINEAS ESPECIALIZADAS"),"Llamadas","Otro")))</f>
        <v/>
      </c>
      <c r="I2975" s="23" t="str">
        <f aca="false">IF(A2975="","",IF(C2975="No encontrado","No","Sí"))</f>
        <v/>
      </c>
      <c r="J2975" s="23" t="str">
        <f aca="false">IF(A2975="","",IF(F2975="Inactivo","No","Sí"))</f>
        <v/>
      </c>
      <c r="K2975" s="23" t="str">
        <f aca="false">IF(A2975="","",IF(AND(I2975="Sí",J2975="Sí"),"Sí","No"))</f>
        <v/>
      </c>
    </row>
    <row r="2976" customFormat="false" ht="15" hidden="false" customHeight="false" outlineLevel="0" collapsed="false">
      <c r="A2976" s="22"/>
      <c r="B2976" s="22"/>
      <c r="C2976" s="26" t="str">
        <f aca="false">IF(A2976="","",IFERROR(buscarx(A2976&amp;B2976,DATA!$E$3:$E$10000&amp;DATA!$B$3:$B$10000,DATA!$M$3:$M$10000),"No encontrado"))</f>
        <v/>
      </c>
      <c r="D2976" s="27" t="str">
        <f aca="false">IF(A2976="","",IFERROR(buscarx(A2976&amp;B2976,DATA!$E$3:$E$10000&amp;DATA!$B$3:$B$10000,DATA!$W$3:$W$10000),"No encontrado"))</f>
        <v/>
      </c>
      <c r="E2976" s="22"/>
      <c r="F2976" s="26" t="str">
        <f aca="false">IF(A2976="","",IFERROR(buscarx(A2976&amp;E2976,DATA!$E$3:$E$10000&amp;DATA!$B$3:$B$10000,DATA!$M$3:$M$10000),"Inactivo"))</f>
        <v/>
      </c>
      <c r="G2976" s="28" t="str">
        <f aca="false">IF(A2976="","",IF(AND(C2976&lt;&gt;"No encontrado",F2976&lt;&gt;"Inactivo"),C2976&amp;" → "&amp;F2976,"Sin transición"))</f>
        <v/>
      </c>
      <c r="H2976" s="26" t="str">
        <f aca="false">IF(A2976="","",IF(D2976="GCIA LINEA SERVICIO DIGITALIDAD Y VENTAS","Chats",IF(OR(D2976="GERENCIA INBOUND LÍNEAS SERVICIO Y VENTA",D2976="GERENCIA INBOUND LINEAS ESPECIALIZADAS"),"Llamadas","Otro")))</f>
        <v/>
      </c>
      <c r="I2976" s="26" t="str">
        <f aca="false">IF(A2976="","",IF(C2976="No encontrado","No","Sí"))</f>
        <v/>
      </c>
      <c r="J2976" s="26" t="str">
        <f aca="false">IF(A2976="","",IF(F2976="Inactivo","No","Sí"))</f>
        <v/>
      </c>
      <c r="K2976" s="26" t="str">
        <f aca="false">IF(A2976="","",IF(AND(I2976="Sí",J2976="Sí"),"Sí","No"))</f>
        <v/>
      </c>
    </row>
    <row r="2977" customFormat="false" ht="15" hidden="false" customHeight="false" outlineLevel="0" collapsed="false">
      <c r="A2977" s="22"/>
      <c r="B2977" s="22"/>
      <c r="C2977" s="23" t="str">
        <f aca="false">IF(A2977="","",IFERROR(buscarx(A2977&amp;B2977,DATA!$E$3:$E$10000&amp;DATA!$B$3:$B$10000,DATA!$M$3:$M$10000),"No encontrado"))</f>
        <v/>
      </c>
      <c r="D2977" s="24" t="str">
        <f aca="false">IF(A2977="","",IFERROR(buscarx(A2977&amp;B2977,DATA!$E$3:$E$10000&amp;DATA!$B$3:$B$10000,DATA!$W$3:$W$10000),"No encontrado"))</f>
        <v/>
      </c>
      <c r="E2977" s="22"/>
      <c r="F2977" s="23" t="str">
        <f aca="false">IF(A2977="","",IFERROR(buscarx(A2977&amp;E2977,DATA!$E$3:$E$10000&amp;DATA!$B$3:$B$10000,DATA!$M$3:$M$10000),"Inactivo"))</f>
        <v/>
      </c>
      <c r="G2977" s="25" t="str">
        <f aca="false">IF(A2977="","",IF(AND(C2977&lt;&gt;"No encontrado",F2977&lt;&gt;"Inactivo"),C2977&amp;" → "&amp;F2977,"Sin transición"))</f>
        <v/>
      </c>
      <c r="H2977" s="23" t="str">
        <f aca="false">IF(A2977="","",IF(D2977="GCIA LINEA SERVICIO DIGITALIDAD Y VENTAS","Chats",IF(OR(D2977="GERENCIA INBOUND LÍNEAS SERVICIO Y VENTA",D2977="GERENCIA INBOUND LINEAS ESPECIALIZADAS"),"Llamadas","Otro")))</f>
        <v/>
      </c>
      <c r="I2977" s="23" t="str">
        <f aca="false">IF(A2977="","",IF(C2977="No encontrado","No","Sí"))</f>
        <v/>
      </c>
      <c r="J2977" s="23" t="str">
        <f aca="false">IF(A2977="","",IF(F2977="Inactivo","No","Sí"))</f>
        <v/>
      </c>
      <c r="K2977" s="23" t="str">
        <f aca="false">IF(A2977="","",IF(AND(I2977="Sí",J2977="Sí"),"Sí","No"))</f>
        <v/>
      </c>
    </row>
    <row r="2978" customFormat="false" ht="15" hidden="false" customHeight="false" outlineLevel="0" collapsed="false">
      <c r="A2978" s="22"/>
      <c r="B2978" s="22"/>
      <c r="C2978" s="26" t="str">
        <f aca="false">IF(A2978="","",IFERROR(buscarx(A2978&amp;B2978,DATA!$E$3:$E$10000&amp;DATA!$B$3:$B$10000,DATA!$M$3:$M$10000),"No encontrado"))</f>
        <v/>
      </c>
      <c r="D2978" s="27" t="str">
        <f aca="false">IF(A2978="","",IFERROR(buscarx(A2978&amp;B2978,DATA!$E$3:$E$10000&amp;DATA!$B$3:$B$10000,DATA!$W$3:$W$10000),"No encontrado"))</f>
        <v/>
      </c>
      <c r="E2978" s="22"/>
      <c r="F2978" s="26" t="str">
        <f aca="false">IF(A2978="","",IFERROR(buscarx(A2978&amp;E2978,DATA!$E$3:$E$10000&amp;DATA!$B$3:$B$10000,DATA!$M$3:$M$10000),"Inactivo"))</f>
        <v/>
      </c>
      <c r="G2978" s="28" t="str">
        <f aca="false">IF(A2978="","",IF(AND(C2978&lt;&gt;"No encontrado",F2978&lt;&gt;"Inactivo"),C2978&amp;" → "&amp;F2978,"Sin transición"))</f>
        <v/>
      </c>
      <c r="H2978" s="26" t="str">
        <f aca="false">IF(A2978="","",IF(D2978="GCIA LINEA SERVICIO DIGITALIDAD Y VENTAS","Chats",IF(OR(D2978="GERENCIA INBOUND LÍNEAS SERVICIO Y VENTA",D2978="GERENCIA INBOUND LINEAS ESPECIALIZADAS"),"Llamadas","Otro")))</f>
        <v/>
      </c>
      <c r="I2978" s="26" t="str">
        <f aca="false">IF(A2978="","",IF(C2978="No encontrado","No","Sí"))</f>
        <v/>
      </c>
      <c r="J2978" s="26" t="str">
        <f aca="false">IF(A2978="","",IF(F2978="Inactivo","No","Sí"))</f>
        <v/>
      </c>
      <c r="K2978" s="26" t="str">
        <f aca="false">IF(A2978="","",IF(AND(I2978="Sí",J2978="Sí"),"Sí","No"))</f>
        <v/>
      </c>
    </row>
    <row r="2979" customFormat="false" ht="15" hidden="false" customHeight="false" outlineLevel="0" collapsed="false">
      <c r="A2979" s="22"/>
      <c r="B2979" s="22"/>
      <c r="C2979" s="23" t="str">
        <f aca="false">IF(A2979="","",IFERROR(buscarx(A2979&amp;B2979,DATA!$E$3:$E$10000&amp;DATA!$B$3:$B$10000,DATA!$M$3:$M$10000),"No encontrado"))</f>
        <v/>
      </c>
      <c r="D2979" s="24" t="str">
        <f aca="false">IF(A2979="","",IFERROR(buscarx(A2979&amp;B2979,DATA!$E$3:$E$10000&amp;DATA!$B$3:$B$10000,DATA!$W$3:$W$10000),"No encontrado"))</f>
        <v/>
      </c>
      <c r="E2979" s="22"/>
      <c r="F2979" s="23" t="str">
        <f aca="false">IF(A2979="","",IFERROR(buscarx(A2979&amp;E2979,DATA!$E$3:$E$10000&amp;DATA!$B$3:$B$10000,DATA!$M$3:$M$10000),"Inactivo"))</f>
        <v/>
      </c>
      <c r="G2979" s="25" t="str">
        <f aca="false">IF(A2979="","",IF(AND(C2979&lt;&gt;"No encontrado",F2979&lt;&gt;"Inactivo"),C2979&amp;" → "&amp;F2979,"Sin transición"))</f>
        <v/>
      </c>
      <c r="H2979" s="23" t="str">
        <f aca="false">IF(A2979="","",IF(D2979="GCIA LINEA SERVICIO DIGITALIDAD Y VENTAS","Chats",IF(OR(D2979="GERENCIA INBOUND LÍNEAS SERVICIO Y VENTA",D2979="GERENCIA INBOUND LINEAS ESPECIALIZADAS"),"Llamadas","Otro")))</f>
        <v/>
      </c>
      <c r="I2979" s="23" t="str">
        <f aca="false">IF(A2979="","",IF(C2979="No encontrado","No","Sí"))</f>
        <v/>
      </c>
      <c r="J2979" s="23" t="str">
        <f aca="false">IF(A2979="","",IF(F2979="Inactivo","No","Sí"))</f>
        <v/>
      </c>
      <c r="K2979" s="23" t="str">
        <f aca="false">IF(A2979="","",IF(AND(I2979="Sí",J2979="Sí"),"Sí","No"))</f>
        <v/>
      </c>
    </row>
    <row r="2980" customFormat="false" ht="15" hidden="false" customHeight="false" outlineLevel="0" collapsed="false">
      <c r="A2980" s="22"/>
      <c r="B2980" s="22"/>
      <c r="C2980" s="26" t="str">
        <f aca="false">IF(A2980="","",IFERROR(buscarx(A2980&amp;B2980,DATA!$E$3:$E$10000&amp;DATA!$B$3:$B$10000,DATA!$M$3:$M$10000),"No encontrado"))</f>
        <v/>
      </c>
      <c r="D2980" s="27" t="str">
        <f aca="false">IF(A2980="","",IFERROR(buscarx(A2980&amp;B2980,DATA!$E$3:$E$10000&amp;DATA!$B$3:$B$10000,DATA!$W$3:$W$10000),"No encontrado"))</f>
        <v/>
      </c>
      <c r="E2980" s="22"/>
      <c r="F2980" s="26" t="str">
        <f aca="false">IF(A2980="","",IFERROR(buscarx(A2980&amp;E2980,DATA!$E$3:$E$10000&amp;DATA!$B$3:$B$10000,DATA!$M$3:$M$10000),"Inactivo"))</f>
        <v/>
      </c>
      <c r="G2980" s="28" t="str">
        <f aca="false">IF(A2980="","",IF(AND(C2980&lt;&gt;"No encontrado",F2980&lt;&gt;"Inactivo"),C2980&amp;" → "&amp;F2980,"Sin transición"))</f>
        <v/>
      </c>
      <c r="H2980" s="26" t="str">
        <f aca="false">IF(A2980="","",IF(D2980="GCIA LINEA SERVICIO DIGITALIDAD Y VENTAS","Chats",IF(OR(D2980="GERENCIA INBOUND LÍNEAS SERVICIO Y VENTA",D2980="GERENCIA INBOUND LINEAS ESPECIALIZADAS"),"Llamadas","Otro")))</f>
        <v/>
      </c>
      <c r="I2980" s="26" t="str">
        <f aca="false">IF(A2980="","",IF(C2980="No encontrado","No","Sí"))</f>
        <v/>
      </c>
      <c r="J2980" s="26" t="str">
        <f aca="false">IF(A2980="","",IF(F2980="Inactivo","No","Sí"))</f>
        <v/>
      </c>
      <c r="K2980" s="26" t="str">
        <f aca="false">IF(A2980="","",IF(AND(I2980="Sí",J2980="Sí"),"Sí","No"))</f>
        <v/>
      </c>
    </row>
    <row r="2981" customFormat="false" ht="15" hidden="false" customHeight="false" outlineLevel="0" collapsed="false">
      <c r="A2981" s="22"/>
      <c r="B2981" s="22"/>
      <c r="C2981" s="23" t="str">
        <f aca="false">IF(A2981="","",IFERROR(buscarx(A2981&amp;B2981,DATA!$E$3:$E$10000&amp;DATA!$B$3:$B$10000,DATA!$M$3:$M$10000),"No encontrado"))</f>
        <v/>
      </c>
      <c r="D2981" s="24" t="str">
        <f aca="false">IF(A2981="","",IFERROR(buscarx(A2981&amp;B2981,DATA!$E$3:$E$10000&amp;DATA!$B$3:$B$10000,DATA!$W$3:$W$10000),"No encontrado"))</f>
        <v/>
      </c>
      <c r="E2981" s="22"/>
      <c r="F2981" s="23" t="str">
        <f aca="false">IF(A2981="","",IFERROR(buscarx(A2981&amp;E2981,DATA!$E$3:$E$10000&amp;DATA!$B$3:$B$10000,DATA!$M$3:$M$10000),"Inactivo"))</f>
        <v/>
      </c>
      <c r="G2981" s="25" t="str">
        <f aca="false">IF(A2981="","",IF(AND(C2981&lt;&gt;"No encontrado",F2981&lt;&gt;"Inactivo"),C2981&amp;" → "&amp;F2981,"Sin transición"))</f>
        <v/>
      </c>
      <c r="H2981" s="23" t="str">
        <f aca="false">IF(A2981="","",IF(D2981="GCIA LINEA SERVICIO DIGITALIDAD Y VENTAS","Chats",IF(OR(D2981="GERENCIA INBOUND LÍNEAS SERVICIO Y VENTA",D2981="GERENCIA INBOUND LINEAS ESPECIALIZADAS"),"Llamadas","Otro")))</f>
        <v/>
      </c>
      <c r="I2981" s="23" t="str">
        <f aca="false">IF(A2981="","",IF(C2981="No encontrado","No","Sí"))</f>
        <v/>
      </c>
      <c r="J2981" s="23" t="str">
        <f aca="false">IF(A2981="","",IF(F2981="Inactivo","No","Sí"))</f>
        <v/>
      </c>
      <c r="K2981" s="23" t="str">
        <f aca="false">IF(A2981="","",IF(AND(I2981="Sí",J2981="Sí"),"Sí","No"))</f>
        <v/>
      </c>
    </row>
    <row r="2982" customFormat="false" ht="15" hidden="false" customHeight="false" outlineLevel="0" collapsed="false">
      <c r="A2982" s="22"/>
      <c r="B2982" s="22"/>
      <c r="C2982" s="26" t="str">
        <f aca="false">IF(A2982="","",IFERROR(buscarx(A2982&amp;B2982,DATA!$E$3:$E$10000&amp;DATA!$B$3:$B$10000,DATA!$M$3:$M$10000),"No encontrado"))</f>
        <v/>
      </c>
      <c r="D2982" s="27" t="str">
        <f aca="false">IF(A2982="","",IFERROR(buscarx(A2982&amp;B2982,DATA!$E$3:$E$10000&amp;DATA!$B$3:$B$10000,DATA!$W$3:$W$10000),"No encontrado"))</f>
        <v/>
      </c>
      <c r="E2982" s="22"/>
      <c r="F2982" s="26" t="str">
        <f aca="false">IF(A2982="","",IFERROR(buscarx(A2982&amp;E2982,DATA!$E$3:$E$10000&amp;DATA!$B$3:$B$10000,DATA!$M$3:$M$10000),"Inactivo"))</f>
        <v/>
      </c>
      <c r="G2982" s="28" t="str">
        <f aca="false">IF(A2982="","",IF(AND(C2982&lt;&gt;"No encontrado",F2982&lt;&gt;"Inactivo"),C2982&amp;" → "&amp;F2982,"Sin transición"))</f>
        <v/>
      </c>
      <c r="H2982" s="26" t="str">
        <f aca="false">IF(A2982="","",IF(D2982="GCIA LINEA SERVICIO DIGITALIDAD Y VENTAS","Chats",IF(OR(D2982="GERENCIA INBOUND LÍNEAS SERVICIO Y VENTA",D2982="GERENCIA INBOUND LINEAS ESPECIALIZADAS"),"Llamadas","Otro")))</f>
        <v/>
      </c>
      <c r="I2982" s="26" t="str">
        <f aca="false">IF(A2982="","",IF(C2982="No encontrado","No","Sí"))</f>
        <v/>
      </c>
      <c r="J2982" s="26" t="str">
        <f aca="false">IF(A2982="","",IF(F2982="Inactivo","No","Sí"))</f>
        <v/>
      </c>
      <c r="K2982" s="26" t="str">
        <f aca="false">IF(A2982="","",IF(AND(I2982="Sí",J2982="Sí"),"Sí","No"))</f>
        <v/>
      </c>
    </row>
    <row r="2983" customFormat="false" ht="15" hidden="false" customHeight="false" outlineLevel="0" collapsed="false">
      <c r="A2983" s="22"/>
      <c r="B2983" s="22"/>
      <c r="C2983" s="23" t="str">
        <f aca="false">IF(A2983="","",IFERROR(buscarx(A2983&amp;B2983,DATA!$E$3:$E$10000&amp;DATA!$B$3:$B$10000,DATA!$M$3:$M$10000),"No encontrado"))</f>
        <v/>
      </c>
      <c r="D2983" s="24" t="str">
        <f aca="false">IF(A2983="","",IFERROR(buscarx(A2983&amp;B2983,DATA!$E$3:$E$10000&amp;DATA!$B$3:$B$10000,DATA!$W$3:$W$10000),"No encontrado"))</f>
        <v/>
      </c>
      <c r="E2983" s="22"/>
      <c r="F2983" s="23" t="str">
        <f aca="false">IF(A2983="","",IFERROR(buscarx(A2983&amp;E2983,DATA!$E$3:$E$10000&amp;DATA!$B$3:$B$10000,DATA!$M$3:$M$10000),"Inactivo"))</f>
        <v/>
      </c>
      <c r="G2983" s="25" t="str">
        <f aca="false">IF(A2983="","",IF(AND(C2983&lt;&gt;"No encontrado",F2983&lt;&gt;"Inactivo"),C2983&amp;" → "&amp;F2983,"Sin transición"))</f>
        <v/>
      </c>
      <c r="H2983" s="23" t="str">
        <f aca="false">IF(A2983="","",IF(D2983="GCIA LINEA SERVICIO DIGITALIDAD Y VENTAS","Chats",IF(OR(D2983="GERENCIA INBOUND LÍNEAS SERVICIO Y VENTA",D2983="GERENCIA INBOUND LINEAS ESPECIALIZADAS"),"Llamadas","Otro")))</f>
        <v/>
      </c>
      <c r="I2983" s="23" t="str">
        <f aca="false">IF(A2983="","",IF(C2983="No encontrado","No","Sí"))</f>
        <v/>
      </c>
      <c r="J2983" s="23" t="str">
        <f aca="false">IF(A2983="","",IF(F2983="Inactivo","No","Sí"))</f>
        <v/>
      </c>
      <c r="K2983" s="23" t="str">
        <f aca="false">IF(A2983="","",IF(AND(I2983="Sí",J2983="Sí"),"Sí","No"))</f>
        <v/>
      </c>
    </row>
    <row r="2984" customFormat="false" ht="15" hidden="false" customHeight="false" outlineLevel="0" collapsed="false">
      <c r="A2984" s="22"/>
      <c r="B2984" s="22"/>
      <c r="C2984" s="26" t="str">
        <f aca="false">IF(A2984="","",IFERROR(buscarx(A2984&amp;B2984,DATA!$E$3:$E$10000&amp;DATA!$B$3:$B$10000,DATA!$M$3:$M$10000),"No encontrado"))</f>
        <v/>
      </c>
      <c r="D2984" s="27" t="str">
        <f aca="false">IF(A2984="","",IFERROR(buscarx(A2984&amp;B2984,DATA!$E$3:$E$10000&amp;DATA!$B$3:$B$10000,DATA!$W$3:$W$10000),"No encontrado"))</f>
        <v/>
      </c>
      <c r="E2984" s="22"/>
      <c r="F2984" s="26" t="str">
        <f aca="false">IF(A2984="","",IFERROR(buscarx(A2984&amp;E2984,DATA!$E$3:$E$10000&amp;DATA!$B$3:$B$10000,DATA!$M$3:$M$10000),"Inactivo"))</f>
        <v/>
      </c>
      <c r="G2984" s="28" t="str">
        <f aca="false">IF(A2984="","",IF(AND(C2984&lt;&gt;"No encontrado",F2984&lt;&gt;"Inactivo"),C2984&amp;" → "&amp;F2984,"Sin transición"))</f>
        <v/>
      </c>
      <c r="H2984" s="26" t="str">
        <f aca="false">IF(A2984="","",IF(D2984="GCIA LINEA SERVICIO DIGITALIDAD Y VENTAS","Chats",IF(OR(D2984="GERENCIA INBOUND LÍNEAS SERVICIO Y VENTA",D2984="GERENCIA INBOUND LINEAS ESPECIALIZADAS"),"Llamadas","Otro")))</f>
        <v/>
      </c>
      <c r="I2984" s="26" t="str">
        <f aca="false">IF(A2984="","",IF(C2984="No encontrado","No","Sí"))</f>
        <v/>
      </c>
      <c r="J2984" s="26" t="str">
        <f aca="false">IF(A2984="","",IF(F2984="Inactivo","No","Sí"))</f>
        <v/>
      </c>
      <c r="K2984" s="26" t="str">
        <f aca="false">IF(A2984="","",IF(AND(I2984="Sí",J2984="Sí"),"Sí","No"))</f>
        <v/>
      </c>
    </row>
    <row r="2985" customFormat="false" ht="15" hidden="false" customHeight="false" outlineLevel="0" collapsed="false">
      <c r="A2985" s="22"/>
      <c r="B2985" s="22"/>
      <c r="C2985" s="23" t="str">
        <f aca="false">IF(A2985="","",IFERROR(buscarx(A2985&amp;B2985,DATA!$E$3:$E$10000&amp;DATA!$B$3:$B$10000,DATA!$M$3:$M$10000),"No encontrado"))</f>
        <v/>
      </c>
      <c r="D2985" s="24" t="str">
        <f aca="false">IF(A2985="","",IFERROR(buscarx(A2985&amp;B2985,DATA!$E$3:$E$10000&amp;DATA!$B$3:$B$10000,DATA!$W$3:$W$10000),"No encontrado"))</f>
        <v/>
      </c>
      <c r="E2985" s="22"/>
      <c r="F2985" s="23" t="str">
        <f aca="false">IF(A2985="","",IFERROR(buscarx(A2985&amp;E2985,DATA!$E$3:$E$10000&amp;DATA!$B$3:$B$10000,DATA!$M$3:$M$10000),"Inactivo"))</f>
        <v/>
      </c>
      <c r="G2985" s="25" t="str">
        <f aca="false">IF(A2985="","",IF(AND(C2985&lt;&gt;"No encontrado",F2985&lt;&gt;"Inactivo"),C2985&amp;" → "&amp;F2985,"Sin transición"))</f>
        <v/>
      </c>
      <c r="H2985" s="23" t="str">
        <f aca="false">IF(A2985="","",IF(D2985="GCIA LINEA SERVICIO DIGITALIDAD Y VENTAS","Chats",IF(OR(D2985="GERENCIA INBOUND LÍNEAS SERVICIO Y VENTA",D2985="GERENCIA INBOUND LINEAS ESPECIALIZADAS"),"Llamadas","Otro")))</f>
        <v/>
      </c>
      <c r="I2985" s="23" t="str">
        <f aca="false">IF(A2985="","",IF(C2985="No encontrado","No","Sí"))</f>
        <v/>
      </c>
      <c r="J2985" s="23" t="str">
        <f aca="false">IF(A2985="","",IF(F2985="Inactivo","No","Sí"))</f>
        <v/>
      </c>
      <c r="K2985" s="23" t="str">
        <f aca="false">IF(A2985="","",IF(AND(I2985="Sí",J2985="Sí"),"Sí","No"))</f>
        <v/>
      </c>
    </row>
    <row r="2986" customFormat="false" ht="15" hidden="false" customHeight="false" outlineLevel="0" collapsed="false">
      <c r="A2986" s="22"/>
      <c r="B2986" s="22"/>
      <c r="C2986" s="26" t="str">
        <f aca="false">IF(A2986="","",IFERROR(buscarx(A2986&amp;B2986,DATA!$E$3:$E$10000&amp;DATA!$B$3:$B$10000,DATA!$M$3:$M$10000),"No encontrado"))</f>
        <v/>
      </c>
      <c r="D2986" s="27" t="str">
        <f aca="false">IF(A2986="","",IFERROR(buscarx(A2986&amp;B2986,DATA!$E$3:$E$10000&amp;DATA!$B$3:$B$10000,DATA!$W$3:$W$10000),"No encontrado"))</f>
        <v/>
      </c>
      <c r="E2986" s="22"/>
      <c r="F2986" s="26" t="str">
        <f aca="false">IF(A2986="","",IFERROR(buscarx(A2986&amp;E2986,DATA!$E$3:$E$10000&amp;DATA!$B$3:$B$10000,DATA!$M$3:$M$10000),"Inactivo"))</f>
        <v/>
      </c>
      <c r="G2986" s="28" t="str">
        <f aca="false">IF(A2986="","",IF(AND(C2986&lt;&gt;"No encontrado",F2986&lt;&gt;"Inactivo"),C2986&amp;" → "&amp;F2986,"Sin transición"))</f>
        <v/>
      </c>
      <c r="H2986" s="26" t="str">
        <f aca="false">IF(A2986="","",IF(D2986="GCIA LINEA SERVICIO DIGITALIDAD Y VENTAS","Chats",IF(OR(D2986="GERENCIA INBOUND LÍNEAS SERVICIO Y VENTA",D2986="GERENCIA INBOUND LINEAS ESPECIALIZADAS"),"Llamadas","Otro")))</f>
        <v/>
      </c>
      <c r="I2986" s="26" t="str">
        <f aca="false">IF(A2986="","",IF(C2986="No encontrado","No","Sí"))</f>
        <v/>
      </c>
      <c r="J2986" s="26" t="str">
        <f aca="false">IF(A2986="","",IF(F2986="Inactivo","No","Sí"))</f>
        <v/>
      </c>
      <c r="K2986" s="26" t="str">
        <f aca="false">IF(A2986="","",IF(AND(I2986="Sí",J2986="Sí"),"Sí","No"))</f>
        <v/>
      </c>
    </row>
    <row r="2987" customFormat="false" ht="15" hidden="false" customHeight="false" outlineLevel="0" collapsed="false">
      <c r="A2987" s="22"/>
      <c r="B2987" s="22"/>
      <c r="C2987" s="23" t="str">
        <f aca="false">IF(A2987="","",IFERROR(buscarx(A2987&amp;B2987,DATA!$E$3:$E$10000&amp;DATA!$B$3:$B$10000,DATA!$M$3:$M$10000),"No encontrado"))</f>
        <v/>
      </c>
      <c r="D2987" s="24" t="str">
        <f aca="false">IF(A2987="","",IFERROR(buscarx(A2987&amp;B2987,DATA!$E$3:$E$10000&amp;DATA!$B$3:$B$10000,DATA!$W$3:$W$10000),"No encontrado"))</f>
        <v/>
      </c>
      <c r="E2987" s="22"/>
      <c r="F2987" s="23" t="str">
        <f aca="false">IF(A2987="","",IFERROR(buscarx(A2987&amp;E2987,DATA!$E$3:$E$10000&amp;DATA!$B$3:$B$10000,DATA!$M$3:$M$10000),"Inactivo"))</f>
        <v/>
      </c>
      <c r="G2987" s="25" t="str">
        <f aca="false">IF(A2987="","",IF(AND(C2987&lt;&gt;"No encontrado",F2987&lt;&gt;"Inactivo"),C2987&amp;" → "&amp;F2987,"Sin transición"))</f>
        <v/>
      </c>
      <c r="H2987" s="23" t="str">
        <f aca="false">IF(A2987="","",IF(D2987="GCIA LINEA SERVICIO DIGITALIDAD Y VENTAS","Chats",IF(OR(D2987="GERENCIA INBOUND LÍNEAS SERVICIO Y VENTA",D2987="GERENCIA INBOUND LINEAS ESPECIALIZADAS"),"Llamadas","Otro")))</f>
        <v/>
      </c>
      <c r="I2987" s="23" t="str">
        <f aca="false">IF(A2987="","",IF(C2987="No encontrado","No","Sí"))</f>
        <v/>
      </c>
      <c r="J2987" s="23" t="str">
        <f aca="false">IF(A2987="","",IF(F2987="Inactivo","No","Sí"))</f>
        <v/>
      </c>
      <c r="K2987" s="23" t="str">
        <f aca="false">IF(A2987="","",IF(AND(I2987="Sí",J2987="Sí"),"Sí","No"))</f>
        <v/>
      </c>
    </row>
    <row r="2988" customFormat="false" ht="15" hidden="false" customHeight="false" outlineLevel="0" collapsed="false">
      <c r="A2988" s="22"/>
      <c r="B2988" s="22"/>
      <c r="C2988" s="26" t="str">
        <f aca="false">IF(A2988="","",IFERROR(buscarx(A2988&amp;B2988,DATA!$E$3:$E$10000&amp;DATA!$B$3:$B$10000,DATA!$M$3:$M$10000),"No encontrado"))</f>
        <v/>
      </c>
      <c r="D2988" s="27" t="str">
        <f aca="false">IF(A2988="","",IFERROR(buscarx(A2988&amp;B2988,DATA!$E$3:$E$10000&amp;DATA!$B$3:$B$10000,DATA!$W$3:$W$10000),"No encontrado"))</f>
        <v/>
      </c>
      <c r="E2988" s="22"/>
      <c r="F2988" s="26" t="str">
        <f aca="false">IF(A2988="","",IFERROR(buscarx(A2988&amp;E2988,DATA!$E$3:$E$10000&amp;DATA!$B$3:$B$10000,DATA!$M$3:$M$10000),"Inactivo"))</f>
        <v/>
      </c>
      <c r="G2988" s="28" t="str">
        <f aca="false">IF(A2988="","",IF(AND(C2988&lt;&gt;"No encontrado",F2988&lt;&gt;"Inactivo"),C2988&amp;" → "&amp;F2988,"Sin transición"))</f>
        <v/>
      </c>
      <c r="H2988" s="26" t="str">
        <f aca="false">IF(A2988="","",IF(D2988="GCIA LINEA SERVICIO DIGITALIDAD Y VENTAS","Chats",IF(OR(D2988="GERENCIA INBOUND LÍNEAS SERVICIO Y VENTA",D2988="GERENCIA INBOUND LINEAS ESPECIALIZADAS"),"Llamadas","Otro")))</f>
        <v/>
      </c>
      <c r="I2988" s="26" t="str">
        <f aca="false">IF(A2988="","",IF(C2988="No encontrado","No","Sí"))</f>
        <v/>
      </c>
      <c r="J2988" s="26" t="str">
        <f aca="false">IF(A2988="","",IF(F2988="Inactivo","No","Sí"))</f>
        <v/>
      </c>
      <c r="K2988" s="26" t="str">
        <f aca="false">IF(A2988="","",IF(AND(I2988="Sí",J2988="Sí"),"Sí","No"))</f>
        <v/>
      </c>
    </row>
    <row r="2989" customFormat="false" ht="15" hidden="false" customHeight="false" outlineLevel="0" collapsed="false">
      <c r="A2989" s="22"/>
      <c r="B2989" s="22"/>
      <c r="C2989" s="23" t="str">
        <f aca="false">IF(A2989="","",IFERROR(buscarx(A2989&amp;B2989,DATA!$E$3:$E$10000&amp;DATA!$B$3:$B$10000,DATA!$M$3:$M$10000),"No encontrado"))</f>
        <v/>
      </c>
      <c r="D2989" s="24" t="str">
        <f aca="false">IF(A2989="","",IFERROR(buscarx(A2989&amp;B2989,DATA!$E$3:$E$10000&amp;DATA!$B$3:$B$10000,DATA!$W$3:$W$10000),"No encontrado"))</f>
        <v/>
      </c>
      <c r="E2989" s="22"/>
      <c r="F2989" s="23" t="str">
        <f aca="false">IF(A2989="","",IFERROR(buscarx(A2989&amp;E2989,DATA!$E$3:$E$10000&amp;DATA!$B$3:$B$10000,DATA!$M$3:$M$10000),"Inactivo"))</f>
        <v/>
      </c>
      <c r="G2989" s="25" t="str">
        <f aca="false">IF(A2989="","",IF(AND(C2989&lt;&gt;"No encontrado",F2989&lt;&gt;"Inactivo"),C2989&amp;" → "&amp;F2989,"Sin transición"))</f>
        <v/>
      </c>
      <c r="H2989" s="23" t="str">
        <f aca="false">IF(A2989="","",IF(D2989="GCIA LINEA SERVICIO DIGITALIDAD Y VENTAS","Chats",IF(OR(D2989="GERENCIA INBOUND LÍNEAS SERVICIO Y VENTA",D2989="GERENCIA INBOUND LINEAS ESPECIALIZADAS"),"Llamadas","Otro")))</f>
        <v/>
      </c>
      <c r="I2989" s="23" t="str">
        <f aca="false">IF(A2989="","",IF(C2989="No encontrado","No","Sí"))</f>
        <v/>
      </c>
      <c r="J2989" s="23" t="str">
        <f aca="false">IF(A2989="","",IF(F2989="Inactivo","No","Sí"))</f>
        <v/>
      </c>
      <c r="K2989" s="23" t="str">
        <f aca="false">IF(A2989="","",IF(AND(I2989="Sí",J2989="Sí"),"Sí","No"))</f>
        <v/>
      </c>
    </row>
    <row r="2990" customFormat="false" ht="15" hidden="false" customHeight="false" outlineLevel="0" collapsed="false">
      <c r="A2990" s="22"/>
      <c r="B2990" s="22"/>
      <c r="C2990" s="26" t="str">
        <f aca="false">IF(A2990="","",IFERROR(buscarx(A2990&amp;B2990,DATA!$E$3:$E$10000&amp;DATA!$B$3:$B$10000,DATA!$M$3:$M$10000),"No encontrado"))</f>
        <v/>
      </c>
      <c r="D2990" s="27" t="str">
        <f aca="false">IF(A2990="","",IFERROR(buscarx(A2990&amp;B2990,DATA!$E$3:$E$10000&amp;DATA!$B$3:$B$10000,DATA!$W$3:$W$10000),"No encontrado"))</f>
        <v/>
      </c>
      <c r="E2990" s="22"/>
      <c r="F2990" s="26" t="str">
        <f aca="false">IF(A2990="","",IFERROR(buscarx(A2990&amp;E2990,DATA!$E$3:$E$10000&amp;DATA!$B$3:$B$10000,DATA!$M$3:$M$10000),"Inactivo"))</f>
        <v/>
      </c>
      <c r="G2990" s="28" t="str">
        <f aca="false">IF(A2990="","",IF(AND(C2990&lt;&gt;"No encontrado",F2990&lt;&gt;"Inactivo"),C2990&amp;" → "&amp;F2990,"Sin transición"))</f>
        <v/>
      </c>
      <c r="H2990" s="26" t="str">
        <f aca="false">IF(A2990="","",IF(D2990="GCIA LINEA SERVICIO DIGITALIDAD Y VENTAS","Chats",IF(OR(D2990="GERENCIA INBOUND LÍNEAS SERVICIO Y VENTA",D2990="GERENCIA INBOUND LINEAS ESPECIALIZADAS"),"Llamadas","Otro")))</f>
        <v/>
      </c>
      <c r="I2990" s="26" t="str">
        <f aca="false">IF(A2990="","",IF(C2990="No encontrado","No","Sí"))</f>
        <v/>
      </c>
      <c r="J2990" s="26" t="str">
        <f aca="false">IF(A2990="","",IF(F2990="Inactivo","No","Sí"))</f>
        <v/>
      </c>
      <c r="K2990" s="26" t="str">
        <f aca="false">IF(A2990="","",IF(AND(I2990="Sí",J2990="Sí"),"Sí","No"))</f>
        <v/>
      </c>
    </row>
    <row r="2991" customFormat="false" ht="15" hidden="false" customHeight="false" outlineLevel="0" collapsed="false">
      <c r="A2991" s="22"/>
      <c r="B2991" s="22"/>
      <c r="C2991" s="23" t="str">
        <f aca="false">IF(A2991="","",IFERROR(buscarx(A2991&amp;B2991,DATA!$E$3:$E$10000&amp;DATA!$B$3:$B$10000,DATA!$M$3:$M$10000),"No encontrado"))</f>
        <v/>
      </c>
      <c r="D2991" s="24" t="str">
        <f aca="false">IF(A2991="","",IFERROR(buscarx(A2991&amp;B2991,DATA!$E$3:$E$10000&amp;DATA!$B$3:$B$10000,DATA!$W$3:$W$10000),"No encontrado"))</f>
        <v/>
      </c>
      <c r="E2991" s="22"/>
      <c r="F2991" s="23" t="str">
        <f aca="false">IF(A2991="","",IFERROR(buscarx(A2991&amp;E2991,DATA!$E$3:$E$10000&amp;DATA!$B$3:$B$10000,DATA!$M$3:$M$10000),"Inactivo"))</f>
        <v/>
      </c>
      <c r="G2991" s="25" t="str">
        <f aca="false">IF(A2991="","",IF(AND(C2991&lt;&gt;"No encontrado",F2991&lt;&gt;"Inactivo"),C2991&amp;" → "&amp;F2991,"Sin transición"))</f>
        <v/>
      </c>
      <c r="H2991" s="23" t="str">
        <f aca="false">IF(A2991="","",IF(D2991="GCIA LINEA SERVICIO DIGITALIDAD Y VENTAS","Chats",IF(OR(D2991="GERENCIA INBOUND LÍNEAS SERVICIO Y VENTA",D2991="GERENCIA INBOUND LINEAS ESPECIALIZADAS"),"Llamadas","Otro")))</f>
        <v/>
      </c>
      <c r="I2991" s="23" t="str">
        <f aca="false">IF(A2991="","",IF(C2991="No encontrado","No","Sí"))</f>
        <v/>
      </c>
      <c r="J2991" s="23" t="str">
        <f aca="false">IF(A2991="","",IF(F2991="Inactivo","No","Sí"))</f>
        <v/>
      </c>
      <c r="K2991" s="23" t="str">
        <f aca="false">IF(A2991="","",IF(AND(I2991="Sí",J2991="Sí"),"Sí","No"))</f>
        <v/>
      </c>
    </row>
    <row r="2992" customFormat="false" ht="15" hidden="false" customHeight="false" outlineLevel="0" collapsed="false">
      <c r="A2992" s="22"/>
      <c r="B2992" s="22"/>
      <c r="C2992" s="26" t="str">
        <f aca="false">IF(A2992="","",IFERROR(buscarx(A2992&amp;B2992,DATA!$E$3:$E$10000&amp;DATA!$B$3:$B$10000,DATA!$M$3:$M$10000),"No encontrado"))</f>
        <v/>
      </c>
      <c r="D2992" s="27" t="str">
        <f aca="false">IF(A2992="","",IFERROR(buscarx(A2992&amp;B2992,DATA!$E$3:$E$10000&amp;DATA!$B$3:$B$10000,DATA!$W$3:$W$10000),"No encontrado"))</f>
        <v/>
      </c>
      <c r="E2992" s="22"/>
      <c r="F2992" s="26" t="str">
        <f aca="false">IF(A2992="","",IFERROR(buscarx(A2992&amp;E2992,DATA!$E$3:$E$10000&amp;DATA!$B$3:$B$10000,DATA!$M$3:$M$10000),"Inactivo"))</f>
        <v/>
      </c>
      <c r="G2992" s="28" t="str">
        <f aca="false">IF(A2992="","",IF(AND(C2992&lt;&gt;"No encontrado",F2992&lt;&gt;"Inactivo"),C2992&amp;" → "&amp;F2992,"Sin transición"))</f>
        <v/>
      </c>
      <c r="H2992" s="26" t="str">
        <f aca="false">IF(A2992="","",IF(D2992="GCIA LINEA SERVICIO DIGITALIDAD Y VENTAS","Chats",IF(OR(D2992="GERENCIA INBOUND LÍNEAS SERVICIO Y VENTA",D2992="GERENCIA INBOUND LINEAS ESPECIALIZADAS"),"Llamadas","Otro")))</f>
        <v/>
      </c>
      <c r="I2992" s="26" t="str">
        <f aca="false">IF(A2992="","",IF(C2992="No encontrado","No","Sí"))</f>
        <v/>
      </c>
      <c r="J2992" s="26" t="str">
        <f aca="false">IF(A2992="","",IF(F2992="Inactivo","No","Sí"))</f>
        <v/>
      </c>
      <c r="K2992" s="26" t="str">
        <f aca="false">IF(A2992="","",IF(AND(I2992="Sí",J2992="Sí"),"Sí","No"))</f>
        <v/>
      </c>
    </row>
    <row r="2993" customFormat="false" ht="15" hidden="false" customHeight="false" outlineLevel="0" collapsed="false">
      <c r="A2993" s="22"/>
      <c r="B2993" s="22"/>
      <c r="C2993" s="23" t="str">
        <f aca="false">IF(A2993="","",IFERROR(buscarx(A2993&amp;B2993,DATA!$E$3:$E$10000&amp;DATA!$B$3:$B$10000,DATA!$M$3:$M$10000),"No encontrado"))</f>
        <v/>
      </c>
      <c r="D2993" s="24" t="str">
        <f aca="false">IF(A2993="","",IFERROR(buscarx(A2993&amp;B2993,DATA!$E$3:$E$10000&amp;DATA!$B$3:$B$10000,DATA!$W$3:$W$10000),"No encontrado"))</f>
        <v/>
      </c>
      <c r="E2993" s="22"/>
      <c r="F2993" s="23" t="str">
        <f aca="false">IF(A2993="","",IFERROR(buscarx(A2993&amp;E2993,DATA!$E$3:$E$10000&amp;DATA!$B$3:$B$10000,DATA!$M$3:$M$10000),"Inactivo"))</f>
        <v/>
      </c>
      <c r="G2993" s="25" t="str">
        <f aca="false">IF(A2993="","",IF(AND(C2993&lt;&gt;"No encontrado",F2993&lt;&gt;"Inactivo"),C2993&amp;" → "&amp;F2993,"Sin transición"))</f>
        <v/>
      </c>
      <c r="H2993" s="23" t="str">
        <f aca="false">IF(A2993="","",IF(D2993="GCIA LINEA SERVICIO DIGITALIDAD Y VENTAS","Chats",IF(OR(D2993="GERENCIA INBOUND LÍNEAS SERVICIO Y VENTA",D2993="GERENCIA INBOUND LINEAS ESPECIALIZADAS"),"Llamadas","Otro")))</f>
        <v/>
      </c>
      <c r="I2993" s="23" t="str">
        <f aca="false">IF(A2993="","",IF(C2993="No encontrado","No","Sí"))</f>
        <v/>
      </c>
      <c r="J2993" s="23" t="str">
        <f aca="false">IF(A2993="","",IF(F2993="Inactivo","No","Sí"))</f>
        <v/>
      </c>
      <c r="K2993" s="23" t="str">
        <f aca="false">IF(A2993="","",IF(AND(I2993="Sí",J2993="Sí"),"Sí","No"))</f>
        <v/>
      </c>
    </row>
    <row r="2994" customFormat="false" ht="15" hidden="false" customHeight="false" outlineLevel="0" collapsed="false">
      <c r="A2994" s="22"/>
      <c r="B2994" s="22"/>
      <c r="C2994" s="26" t="str">
        <f aca="false">IF(A2994="","",IFERROR(buscarx(A2994&amp;B2994,DATA!$E$3:$E$10000&amp;DATA!$B$3:$B$10000,DATA!$M$3:$M$10000),"No encontrado"))</f>
        <v/>
      </c>
      <c r="D2994" s="27" t="str">
        <f aca="false">IF(A2994="","",IFERROR(buscarx(A2994&amp;B2994,DATA!$E$3:$E$10000&amp;DATA!$B$3:$B$10000,DATA!$W$3:$W$10000),"No encontrado"))</f>
        <v/>
      </c>
      <c r="E2994" s="22"/>
      <c r="F2994" s="26" t="str">
        <f aca="false">IF(A2994="","",IFERROR(buscarx(A2994&amp;E2994,DATA!$E$3:$E$10000&amp;DATA!$B$3:$B$10000,DATA!$M$3:$M$10000),"Inactivo"))</f>
        <v/>
      </c>
      <c r="G2994" s="28" t="str">
        <f aca="false">IF(A2994="","",IF(AND(C2994&lt;&gt;"No encontrado",F2994&lt;&gt;"Inactivo"),C2994&amp;" → "&amp;F2994,"Sin transición"))</f>
        <v/>
      </c>
      <c r="H2994" s="26" t="str">
        <f aca="false">IF(A2994="","",IF(D2994="GCIA LINEA SERVICIO DIGITALIDAD Y VENTAS","Chats",IF(OR(D2994="GERENCIA INBOUND LÍNEAS SERVICIO Y VENTA",D2994="GERENCIA INBOUND LINEAS ESPECIALIZADAS"),"Llamadas","Otro")))</f>
        <v/>
      </c>
      <c r="I2994" s="26" t="str">
        <f aca="false">IF(A2994="","",IF(C2994="No encontrado","No","Sí"))</f>
        <v/>
      </c>
      <c r="J2994" s="26" t="str">
        <f aca="false">IF(A2994="","",IF(F2994="Inactivo","No","Sí"))</f>
        <v/>
      </c>
      <c r="K2994" s="26" t="str">
        <f aca="false">IF(A2994="","",IF(AND(I2994="Sí",J2994="Sí"),"Sí","No"))</f>
        <v/>
      </c>
    </row>
    <row r="2995" customFormat="false" ht="15" hidden="false" customHeight="false" outlineLevel="0" collapsed="false">
      <c r="A2995" s="22"/>
      <c r="B2995" s="22"/>
      <c r="C2995" s="23" t="str">
        <f aca="false">IF(A2995="","",IFERROR(buscarx(A2995&amp;B2995,DATA!$E$3:$E$10000&amp;DATA!$B$3:$B$10000,DATA!$M$3:$M$10000),"No encontrado"))</f>
        <v/>
      </c>
      <c r="D2995" s="24" t="str">
        <f aca="false">IF(A2995="","",IFERROR(buscarx(A2995&amp;B2995,DATA!$E$3:$E$10000&amp;DATA!$B$3:$B$10000,DATA!$W$3:$W$10000),"No encontrado"))</f>
        <v/>
      </c>
      <c r="E2995" s="22"/>
      <c r="F2995" s="23" t="str">
        <f aca="false">IF(A2995="","",IFERROR(buscarx(A2995&amp;E2995,DATA!$E$3:$E$10000&amp;DATA!$B$3:$B$10000,DATA!$M$3:$M$10000),"Inactivo"))</f>
        <v/>
      </c>
      <c r="G2995" s="25" t="str">
        <f aca="false">IF(A2995="","",IF(AND(C2995&lt;&gt;"No encontrado",F2995&lt;&gt;"Inactivo"),C2995&amp;" → "&amp;F2995,"Sin transición"))</f>
        <v/>
      </c>
      <c r="H2995" s="23" t="str">
        <f aca="false">IF(A2995="","",IF(D2995="GCIA LINEA SERVICIO DIGITALIDAD Y VENTAS","Chats",IF(OR(D2995="GERENCIA INBOUND LÍNEAS SERVICIO Y VENTA",D2995="GERENCIA INBOUND LINEAS ESPECIALIZADAS"),"Llamadas","Otro")))</f>
        <v/>
      </c>
      <c r="I2995" s="23" t="str">
        <f aca="false">IF(A2995="","",IF(C2995="No encontrado","No","Sí"))</f>
        <v/>
      </c>
      <c r="J2995" s="23" t="str">
        <f aca="false">IF(A2995="","",IF(F2995="Inactivo","No","Sí"))</f>
        <v/>
      </c>
      <c r="K2995" s="23" t="str">
        <f aca="false">IF(A2995="","",IF(AND(I2995="Sí",J2995="Sí"),"Sí","No"))</f>
        <v/>
      </c>
    </row>
    <row r="2996" customFormat="false" ht="15" hidden="false" customHeight="false" outlineLevel="0" collapsed="false">
      <c r="A2996" s="22"/>
      <c r="B2996" s="22"/>
      <c r="C2996" s="26" t="str">
        <f aca="false">IF(A2996="","",IFERROR(buscarx(A2996&amp;B2996,DATA!$E$3:$E$10000&amp;DATA!$B$3:$B$10000,DATA!$M$3:$M$10000),"No encontrado"))</f>
        <v/>
      </c>
      <c r="D2996" s="27" t="str">
        <f aca="false">IF(A2996="","",IFERROR(buscarx(A2996&amp;B2996,DATA!$E$3:$E$10000&amp;DATA!$B$3:$B$10000,DATA!$W$3:$W$10000),"No encontrado"))</f>
        <v/>
      </c>
      <c r="E2996" s="22"/>
      <c r="F2996" s="26" t="str">
        <f aca="false">IF(A2996="","",IFERROR(buscarx(A2996&amp;E2996,DATA!$E$3:$E$10000&amp;DATA!$B$3:$B$10000,DATA!$M$3:$M$10000),"Inactivo"))</f>
        <v/>
      </c>
      <c r="G2996" s="28" t="str">
        <f aca="false">IF(A2996="","",IF(AND(C2996&lt;&gt;"No encontrado",F2996&lt;&gt;"Inactivo"),C2996&amp;" → "&amp;F2996,"Sin transición"))</f>
        <v/>
      </c>
      <c r="H2996" s="26" t="str">
        <f aca="false">IF(A2996="","",IF(D2996="GCIA LINEA SERVICIO DIGITALIDAD Y VENTAS","Chats",IF(OR(D2996="GERENCIA INBOUND LÍNEAS SERVICIO Y VENTA",D2996="GERENCIA INBOUND LINEAS ESPECIALIZADAS"),"Llamadas","Otro")))</f>
        <v/>
      </c>
      <c r="I2996" s="26" t="str">
        <f aca="false">IF(A2996="","",IF(C2996="No encontrado","No","Sí"))</f>
        <v/>
      </c>
      <c r="J2996" s="26" t="str">
        <f aca="false">IF(A2996="","",IF(F2996="Inactivo","No","Sí"))</f>
        <v/>
      </c>
      <c r="K2996" s="26" t="str">
        <f aca="false">IF(A2996="","",IF(AND(I2996="Sí",J2996="Sí"),"Sí","No"))</f>
        <v/>
      </c>
    </row>
    <row r="2997" customFormat="false" ht="15" hidden="false" customHeight="false" outlineLevel="0" collapsed="false">
      <c r="A2997" s="22"/>
      <c r="B2997" s="22"/>
      <c r="C2997" s="23" t="str">
        <f aca="false">IF(A2997="","",IFERROR(buscarx(A2997&amp;B2997,DATA!$E$3:$E$10000&amp;DATA!$B$3:$B$10000,DATA!$M$3:$M$10000),"No encontrado"))</f>
        <v/>
      </c>
      <c r="D2997" s="24" t="str">
        <f aca="false">IF(A2997="","",IFERROR(buscarx(A2997&amp;B2997,DATA!$E$3:$E$10000&amp;DATA!$B$3:$B$10000,DATA!$W$3:$W$10000),"No encontrado"))</f>
        <v/>
      </c>
      <c r="E2997" s="22"/>
      <c r="F2997" s="23" t="str">
        <f aca="false">IF(A2997="","",IFERROR(buscarx(A2997&amp;E2997,DATA!$E$3:$E$10000&amp;DATA!$B$3:$B$10000,DATA!$M$3:$M$10000),"Inactivo"))</f>
        <v/>
      </c>
      <c r="G2997" s="25" t="str">
        <f aca="false">IF(A2997="","",IF(AND(C2997&lt;&gt;"No encontrado",F2997&lt;&gt;"Inactivo"),C2997&amp;" → "&amp;F2997,"Sin transición"))</f>
        <v/>
      </c>
      <c r="H2997" s="23" t="str">
        <f aca="false">IF(A2997="","",IF(D2997="GCIA LINEA SERVICIO DIGITALIDAD Y VENTAS","Chats",IF(OR(D2997="GERENCIA INBOUND LÍNEAS SERVICIO Y VENTA",D2997="GERENCIA INBOUND LINEAS ESPECIALIZADAS"),"Llamadas","Otro")))</f>
        <v/>
      </c>
      <c r="I2997" s="23" t="str">
        <f aca="false">IF(A2997="","",IF(C2997="No encontrado","No","Sí"))</f>
        <v/>
      </c>
      <c r="J2997" s="23" t="str">
        <f aca="false">IF(A2997="","",IF(F2997="Inactivo","No","Sí"))</f>
        <v/>
      </c>
      <c r="K2997" s="23" t="str">
        <f aca="false">IF(A2997="","",IF(AND(I2997="Sí",J2997="Sí"),"Sí","No"))</f>
        <v/>
      </c>
    </row>
    <row r="2998" customFormat="false" ht="15" hidden="false" customHeight="false" outlineLevel="0" collapsed="false">
      <c r="A2998" s="22"/>
      <c r="B2998" s="22"/>
      <c r="C2998" s="26" t="str">
        <f aca="false">IF(A2998="","",IFERROR(buscarx(A2998&amp;B2998,DATA!$E$3:$E$10000&amp;DATA!$B$3:$B$10000,DATA!$M$3:$M$10000),"No encontrado"))</f>
        <v/>
      </c>
      <c r="D2998" s="27" t="str">
        <f aca="false">IF(A2998="","",IFERROR(buscarx(A2998&amp;B2998,DATA!$E$3:$E$10000&amp;DATA!$B$3:$B$10000,DATA!$W$3:$W$10000),"No encontrado"))</f>
        <v/>
      </c>
      <c r="E2998" s="22"/>
      <c r="F2998" s="26" t="str">
        <f aca="false">IF(A2998="","",IFERROR(buscarx(A2998&amp;E2998,DATA!$E$3:$E$10000&amp;DATA!$B$3:$B$10000,DATA!$M$3:$M$10000),"Inactivo"))</f>
        <v/>
      </c>
      <c r="G2998" s="28" t="str">
        <f aca="false">IF(A2998="","",IF(AND(C2998&lt;&gt;"No encontrado",F2998&lt;&gt;"Inactivo"),C2998&amp;" → "&amp;F2998,"Sin transición"))</f>
        <v/>
      </c>
      <c r="H2998" s="26" t="str">
        <f aca="false">IF(A2998="","",IF(D2998="GCIA LINEA SERVICIO DIGITALIDAD Y VENTAS","Chats",IF(OR(D2998="GERENCIA INBOUND LÍNEAS SERVICIO Y VENTA",D2998="GERENCIA INBOUND LINEAS ESPECIALIZADAS"),"Llamadas","Otro")))</f>
        <v/>
      </c>
      <c r="I2998" s="26" t="str">
        <f aca="false">IF(A2998="","",IF(C2998="No encontrado","No","Sí"))</f>
        <v/>
      </c>
      <c r="J2998" s="26" t="str">
        <f aca="false">IF(A2998="","",IF(F2998="Inactivo","No","Sí"))</f>
        <v/>
      </c>
      <c r="K2998" s="26" t="str">
        <f aca="false">IF(A2998="","",IF(AND(I2998="Sí",J2998="Sí"),"Sí","No"))</f>
        <v/>
      </c>
    </row>
    <row r="2999" customFormat="false" ht="15" hidden="false" customHeight="false" outlineLevel="0" collapsed="false">
      <c r="A2999" s="22"/>
      <c r="B2999" s="22"/>
      <c r="C2999" s="23" t="str">
        <f aca="false">IF(A2999="","",IFERROR(buscarx(A2999&amp;B2999,DATA!$E$3:$E$10000&amp;DATA!$B$3:$B$10000,DATA!$M$3:$M$10000),"No encontrado"))</f>
        <v/>
      </c>
      <c r="D2999" s="24" t="str">
        <f aca="false">IF(A2999="","",IFERROR(buscarx(A2999&amp;B2999,DATA!$E$3:$E$10000&amp;DATA!$B$3:$B$10000,DATA!$W$3:$W$10000),"No encontrado"))</f>
        <v/>
      </c>
      <c r="E2999" s="22"/>
      <c r="F2999" s="23" t="str">
        <f aca="false">IF(A2999="","",IFERROR(buscarx(A2999&amp;E2999,DATA!$E$3:$E$10000&amp;DATA!$B$3:$B$10000,DATA!$M$3:$M$10000),"Inactivo"))</f>
        <v/>
      </c>
      <c r="G2999" s="25" t="str">
        <f aca="false">IF(A2999="","",IF(AND(C2999&lt;&gt;"No encontrado",F2999&lt;&gt;"Inactivo"),C2999&amp;" → "&amp;F2999,"Sin transición"))</f>
        <v/>
      </c>
      <c r="H2999" s="23" t="str">
        <f aca="false">IF(A2999="","",IF(D2999="GCIA LINEA SERVICIO DIGITALIDAD Y VENTAS","Chats",IF(OR(D2999="GERENCIA INBOUND LÍNEAS SERVICIO Y VENTA",D2999="GERENCIA INBOUND LINEAS ESPECIALIZADAS"),"Llamadas","Otro")))</f>
        <v/>
      </c>
      <c r="I2999" s="23" t="str">
        <f aca="false">IF(A2999="","",IF(C2999="No encontrado","No","Sí"))</f>
        <v/>
      </c>
      <c r="J2999" s="23" t="str">
        <f aca="false">IF(A2999="","",IF(F2999="Inactivo","No","Sí"))</f>
        <v/>
      </c>
      <c r="K2999" s="23" t="str">
        <f aca="false">IF(A2999="","",IF(AND(I2999="Sí",J2999="Sí"),"Sí","No"))</f>
        <v/>
      </c>
    </row>
    <row r="3000" customFormat="false" ht="15" hidden="false" customHeight="false" outlineLevel="0" collapsed="false">
      <c r="A3000" s="22"/>
      <c r="B3000" s="22"/>
      <c r="C3000" s="26" t="str">
        <f aca="false">IF(A3000="","",IFERROR(buscarx(A3000&amp;B3000,DATA!$E$3:$E$10000&amp;DATA!$B$3:$B$10000,DATA!$M$3:$M$10000),"No encontrado"))</f>
        <v/>
      </c>
      <c r="D3000" s="27" t="str">
        <f aca="false">IF(A3000="","",IFERROR(buscarx(A3000&amp;B3000,DATA!$E$3:$E$10000&amp;DATA!$B$3:$B$10000,DATA!$W$3:$W$10000),"No encontrado"))</f>
        <v/>
      </c>
      <c r="E3000" s="22"/>
      <c r="F3000" s="26" t="str">
        <f aca="false">IF(A3000="","",IFERROR(buscarx(A3000&amp;E3000,DATA!$E$3:$E$10000&amp;DATA!$B$3:$B$10000,DATA!$M$3:$M$10000),"Inactivo"))</f>
        <v/>
      </c>
      <c r="G3000" s="28" t="str">
        <f aca="false">IF(A3000="","",IF(AND(C3000&lt;&gt;"No encontrado",F3000&lt;&gt;"Inactivo"),C3000&amp;" → "&amp;F3000,"Sin transición"))</f>
        <v/>
      </c>
      <c r="H3000" s="26" t="str">
        <f aca="false">IF(A3000="","",IF(D3000="GCIA LINEA SERVICIO DIGITALIDAD Y VENTAS","Chats",IF(OR(D3000="GERENCIA INBOUND LÍNEAS SERVICIO Y VENTA",D3000="GERENCIA INBOUND LINEAS ESPECIALIZADAS"),"Llamadas","Otro")))</f>
        <v/>
      </c>
      <c r="I3000" s="26" t="str">
        <f aca="false">IF(A3000="","",IF(C3000="No encontrado","No","Sí"))</f>
        <v/>
      </c>
      <c r="J3000" s="26" t="str">
        <f aca="false">IF(A3000="","",IF(F3000="Inactivo","No","Sí"))</f>
        <v/>
      </c>
      <c r="K3000" s="26" t="str">
        <f aca="false">IF(A3000="","",IF(AND(I3000="Sí",J3000="Sí"),"Sí","No"))</f>
        <v/>
      </c>
    </row>
    <row r="3001" customFormat="false" ht="15" hidden="false" customHeight="false" outlineLevel="0" collapsed="false">
      <c r="A3001" s="22"/>
      <c r="B3001" s="22"/>
      <c r="C3001" s="23" t="str">
        <f aca="false">IF(A3001="","",IFERROR(buscarx(A3001&amp;B3001,DATA!$E$3:$E$10000&amp;DATA!$B$3:$B$10000,DATA!$M$3:$M$10000),"No encontrado"))</f>
        <v/>
      </c>
      <c r="D3001" s="24" t="str">
        <f aca="false">IF(A3001="","",IFERROR(buscarx(A3001&amp;B3001,DATA!$E$3:$E$10000&amp;DATA!$B$3:$B$10000,DATA!$W$3:$W$10000),"No encontrado"))</f>
        <v/>
      </c>
      <c r="E3001" s="22"/>
      <c r="F3001" s="23" t="str">
        <f aca="false">IF(A3001="","",IFERROR(buscarx(A3001&amp;E3001,DATA!$E$3:$E$10000&amp;DATA!$B$3:$B$10000,DATA!$M$3:$M$10000),"Inactivo"))</f>
        <v/>
      </c>
      <c r="G3001" s="25" t="str">
        <f aca="false">IF(A3001="","",IF(AND(C3001&lt;&gt;"No encontrado",F3001&lt;&gt;"Inactivo"),C3001&amp;" → "&amp;F3001,"Sin transición"))</f>
        <v/>
      </c>
      <c r="H3001" s="23" t="str">
        <f aca="false">IF(A3001="","",IF(D3001="GCIA LINEA SERVICIO DIGITALIDAD Y VENTAS","Chats",IF(OR(D3001="GERENCIA INBOUND LÍNEAS SERVICIO Y VENTA",D3001="GERENCIA INBOUND LINEAS ESPECIALIZADAS"),"Llamadas","Otro")))</f>
        <v/>
      </c>
      <c r="I3001" s="23" t="str">
        <f aca="false">IF(A3001="","",IF(C3001="No encontrado","No","Sí"))</f>
        <v/>
      </c>
      <c r="J3001" s="23" t="str">
        <f aca="false">IF(A3001="","",IF(F3001="Inactivo","No","Sí"))</f>
        <v/>
      </c>
      <c r="K3001" s="23" t="str">
        <f aca="false">IF(A3001="","",IF(AND(I3001="Sí",J3001="Sí"),"Sí","No"))</f>
        <v/>
      </c>
    </row>
    <row r="3002" customFormat="false" ht="15" hidden="false" customHeight="false" outlineLevel="0" collapsed="false">
      <c r="A3002" s="22"/>
      <c r="B3002" s="22"/>
      <c r="C3002" s="26" t="str">
        <f aca="false">IF(A3002="","",IFERROR(buscarx(A3002&amp;B3002,DATA!$E$3:$E$10000&amp;DATA!$B$3:$B$10000,DATA!$M$3:$M$10000),"No encontrado"))</f>
        <v/>
      </c>
      <c r="D3002" s="27" t="str">
        <f aca="false">IF(A3002="","",IFERROR(buscarx(A3002&amp;B3002,DATA!$E$3:$E$10000&amp;DATA!$B$3:$B$10000,DATA!$W$3:$W$10000),"No encontrado"))</f>
        <v/>
      </c>
      <c r="E3002" s="22"/>
      <c r="F3002" s="26" t="str">
        <f aca="false">IF(A3002="","",IFERROR(buscarx(A3002&amp;E3002,DATA!$E$3:$E$10000&amp;DATA!$B$3:$B$10000,DATA!$M$3:$M$10000),"Inactivo"))</f>
        <v/>
      </c>
      <c r="G3002" s="28" t="str">
        <f aca="false">IF(A3002="","",IF(AND(C3002&lt;&gt;"No encontrado",F3002&lt;&gt;"Inactivo"),C3002&amp;" → "&amp;F3002,"Sin transición"))</f>
        <v/>
      </c>
      <c r="H3002" s="26" t="str">
        <f aca="false">IF(A3002="","",IF(D3002="GCIA LINEA SERVICIO DIGITALIDAD Y VENTAS","Chats",IF(OR(D3002="GERENCIA INBOUND LÍNEAS SERVICIO Y VENTA",D3002="GERENCIA INBOUND LINEAS ESPECIALIZADAS"),"Llamadas","Otro")))</f>
        <v/>
      </c>
      <c r="I3002" s="26" t="str">
        <f aca="false">IF(A3002="","",IF(C3002="No encontrado","No","Sí"))</f>
        <v/>
      </c>
      <c r="J3002" s="26" t="str">
        <f aca="false">IF(A3002="","",IF(F3002="Inactivo","No","Sí"))</f>
        <v/>
      </c>
      <c r="K3002" s="26" t="str">
        <f aca="false">IF(A3002="","",IF(AND(I3002="Sí",J3002="Sí"),"Sí","No"))</f>
        <v/>
      </c>
    </row>
    <row r="3003" customFormat="false" ht="15" hidden="false" customHeight="false" outlineLevel="0" collapsed="false">
      <c r="A3003" s="22"/>
      <c r="B3003" s="22"/>
      <c r="C3003" s="23" t="str">
        <f aca="false">IF(A3003="","",IFERROR(buscarx(A3003&amp;B3003,DATA!$E$3:$E$10000&amp;DATA!$B$3:$B$10000,DATA!$M$3:$M$10000),"No encontrado"))</f>
        <v/>
      </c>
      <c r="D3003" s="24" t="str">
        <f aca="false">IF(A3003="","",IFERROR(buscarx(A3003&amp;B3003,DATA!$E$3:$E$10000&amp;DATA!$B$3:$B$10000,DATA!$W$3:$W$10000),"No encontrado"))</f>
        <v/>
      </c>
      <c r="E3003" s="22"/>
      <c r="F3003" s="23" t="str">
        <f aca="false">IF(A3003="","",IFERROR(buscarx(A3003&amp;E3003,DATA!$E$3:$E$10000&amp;DATA!$B$3:$B$10000,DATA!$M$3:$M$10000),"Inactivo"))</f>
        <v/>
      </c>
      <c r="G3003" s="25" t="str">
        <f aca="false">IF(A3003="","",IF(AND(C3003&lt;&gt;"No encontrado",F3003&lt;&gt;"Inactivo"),C3003&amp;" → "&amp;F3003,"Sin transición"))</f>
        <v/>
      </c>
      <c r="H3003" s="23" t="str">
        <f aca="false">IF(A3003="","",IF(D3003="GCIA LINEA SERVICIO DIGITALIDAD Y VENTAS","Chats",IF(OR(D3003="GERENCIA INBOUND LÍNEAS SERVICIO Y VENTA",D3003="GERENCIA INBOUND LINEAS ESPECIALIZADAS"),"Llamadas","Otro")))</f>
        <v/>
      </c>
      <c r="I3003" s="23" t="str">
        <f aca="false">IF(A3003="","",IF(C3003="No encontrado","No","Sí"))</f>
        <v/>
      </c>
      <c r="J3003" s="23" t="str">
        <f aca="false">IF(A3003="","",IF(F3003="Inactivo","No","Sí"))</f>
        <v/>
      </c>
      <c r="K3003" s="23" t="str">
        <f aca="false">IF(A3003="","",IF(AND(I3003="Sí",J3003="Sí"),"Sí","No"))</f>
        <v/>
      </c>
    </row>
    <row r="3004" customFormat="false" ht="15" hidden="false" customHeight="false" outlineLevel="0" collapsed="false">
      <c r="A3004" s="22"/>
      <c r="B3004" s="22"/>
      <c r="C3004" s="26" t="str">
        <f aca="false">IF(A3004="","",IFERROR(buscarx(A3004&amp;B3004,DATA!$E$3:$E$10000&amp;DATA!$B$3:$B$10000,DATA!$M$3:$M$10000),"No encontrado"))</f>
        <v/>
      </c>
      <c r="D3004" s="27" t="str">
        <f aca="false">IF(A3004="","",IFERROR(buscarx(A3004&amp;B3004,DATA!$E$3:$E$10000&amp;DATA!$B$3:$B$10000,DATA!$W$3:$W$10000),"No encontrado"))</f>
        <v/>
      </c>
      <c r="E3004" s="22"/>
      <c r="F3004" s="26" t="str">
        <f aca="false">IF(A3004="","",IFERROR(buscarx(A3004&amp;E3004,DATA!$E$3:$E$10000&amp;DATA!$B$3:$B$10000,DATA!$M$3:$M$10000),"Inactivo"))</f>
        <v/>
      </c>
      <c r="G3004" s="28" t="str">
        <f aca="false">IF(A3004="","",IF(AND(C3004&lt;&gt;"No encontrado",F3004&lt;&gt;"Inactivo"),C3004&amp;" → "&amp;F3004,"Sin transición"))</f>
        <v/>
      </c>
      <c r="H3004" s="26" t="str">
        <f aca="false">IF(A3004="","",IF(D3004="GCIA LINEA SERVICIO DIGITALIDAD Y VENTAS","Chats",IF(OR(D3004="GERENCIA INBOUND LÍNEAS SERVICIO Y VENTA",D3004="GERENCIA INBOUND LINEAS ESPECIALIZADAS"),"Llamadas","Otro")))</f>
        <v/>
      </c>
      <c r="I3004" s="26" t="str">
        <f aca="false">IF(A3004="","",IF(C3004="No encontrado","No","Sí"))</f>
        <v/>
      </c>
      <c r="J3004" s="26" t="str">
        <f aca="false">IF(A3004="","",IF(F3004="Inactivo","No","Sí"))</f>
        <v/>
      </c>
      <c r="K3004" s="26" t="str">
        <f aca="false">IF(A3004="","",IF(AND(I3004="Sí",J3004="Sí"),"Sí","No"))</f>
        <v/>
      </c>
    </row>
    <row r="3005" customFormat="false" ht="15" hidden="false" customHeight="false" outlineLevel="0" collapsed="false">
      <c r="A3005" s="22"/>
      <c r="B3005" s="22"/>
      <c r="C3005" s="23" t="str">
        <f aca="false">IF(A3005="","",IFERROR(buscarx(A3005&amp;B3005,DATA!$E$3:$E$10000&amp;DATA!$B$3:$B$10000,DATA!$M$3:$M$10000),"No encontrado"))</f>
        <v/>
      </c>
      <c r="D3005" s="24" t="str">
        <f aca="false">IF(A3005="","",IFERROR(buscarx(A3005&amp;B3005,DATA!$E$3:$E$10000&amp;DATA!$B$3:$B$10000,DATA!$W$3:$W$10000),"No encontrado"))</f>
        <v/>
      </c>
      <c r="E3005" s="22"/>
      <c r="F3005" s="23" t="str">
        <f aca="false">IF(A3005="","",IFERROR(buscarx(A3005&amp;E3005,DATA!$E$3:$E$10000&amp;DATA!$B$3:$B$10000,DATA!$M$3:$M$10000),"Inactivo"))</f>
        <v/>
      </c>
      <c r="G3005" s="25" t="str">
        <f aca="false">IF(A3005="","",IF(AND(C3005&lt;&gt;"No encontrado",F3005&lt;&gt;"Inactivo"),C3005&amp;" → "&amp;F3005,"Sin transición"))</f>
        <v/>
      </c>
      <c r="H3005" s="23" t="str">
        <f aca="false">IF(A3005="","",IF(D3005="GCIA LINEA SERVICIO DIGITALIDAD Y VENTAS","Chats",IF(OR(D3005="GERENCIA INBOUND LÍNEAS SERVICIO Y VENTA",D3005="GERENCIA INBOUND LINEAS ESPECIALIZADAS"),"Llamadas","Otro")))</f>
        <v/>
      </c>
      <c r="I3005" s="23" t="str">
        <f aca="false">IF(A3005="","",IF(C3005="No encontrado","No","Sí"))</f>
        <v/>
      </c>
      <c r="J3005" s="23" t="str">
        <f aca="false">IF(A3005="","",IF(F3005="Inactivo","No","Sí"))</f>
        <v/>
      </c>
      <c r="K3005" s="23" t="str">
        <f aca="false">IF(A3005="","",IF(AND(I3005="Sí",J3005="Sí"),"Sí","No"))</f>
        <v/>
      </c>
    </row>
    <row r="3006" customFormat="false" ht="15" hidden="false" customHeight="false" outlineLevel="0" collapsed="false">
      <c r="A3006" s="22"/>
      <c r="B3006" s="22"/>
      <c r="C3006" s="26" t="str">
        <f aca="false">IF(A3006="","",IFERROR(buscarx(A3006&amp;B3006,DATA!$E$3:$E$10000&amp;DATA!$B$3:$B$10000,DATA!$M$3:$M$10000),"No encontrado"))</f>
        <v/>
      </c>
      <c r="D3006" s="27" t="str">
        <f aca="false">IF(A3006="","",IFERROR(buscarx(A3006&amp;B3006,DATA!$E$3:$E$10000&amp;DATA!$B$3:$B$10000,DATA!$W$3:$W$10000),"No encontrado"))</f>
        <v/>
      </c>
      <c r="E3006" s="22"/>
      <c r="F3006" s="26" t="str">
        <f aca="false">IF(A3006="","",IFERROR(buscarx(A3006&amp;E3006,DATA!$E$3:$E$10000&amp;DATA!$B$3:$B$10000,DATA!$M$3:$M$10000),"Inactivo"))</f>
        <v/>
      </c>
      <c r="G3006" s="28" t="str">
        <f aca="false">IF(A3006="","",IF(AND(C3006&lt;&gt;"No encontrado",F3006&lt;&gt;"Inactivo"),C3006&amp;" → "&amp;F3006,"Sin transición"))</f>
        <v/>
      </c>
      <c r="H3006" s="26" t="str">
        <f aca="false">IF(A3006="","",IF(D3006="GCIA LINEA SERVICIO DIGITALIDAD Y VENTAS","Chats",IF(OR(D3006="GERENCIA INBOUND LÍNEAS SERVICIO Y VENTA",D3006="GERENCIA INBOUND LINEAS ESPECIALIZADAS"),"Llamadas","Otro")))</f>
        <v/>
      </c>
      <c r="I3006" s="26" t="str">
        <f aca="false">IF(A3006="","",IF(C3006="No encontrado","No","Sí"))</f>
        <v/>
      </c>
      <c r="J3006" s="26" t="str">
        <f aca="false">IF(A3006="","",IF(F3006="Inactivo","No","Sí"))</f>
        <v/>
      </c>
      <c r="K3006" s="26" t="str">
        <f aca="false">IF(A3006="","",IF(AND(I3006="Sí",J3006="Sí"),"Sí","No"))</f>
        <v/>
      </c>
    </row>
    <row r="3007" customFormat="false" ht="15" hidden="false" customHeight="false" outlineLevel="0" collapsed="false">
      <c r="A3007" s="22"/>
      <c r="B3007" s="22"/>
      <c r="C3007" s="23" t="str">
        <f aca="false">IF(A3007="","",IFERROR(buscarx(A3007&amp;B3007,DATA!$E$3:$E$10000&amp;DATA!$B$3:$B$10000,DATA!$M$3:$M$10000),"No encontrado"))</f>
        <v/>
      </c>
      <c r="D3007" s="24" t="str">
        <f aca="false">IF(A3007="","",IFERROR(buscarx(A3007&amp;B3007,DATA!$E$3:$E$10000&amp;DATA!$B$3:$B$10000,DATA!$W$3:$W$10000),"No encontrado"))</f>
        <v/>
      </c>
      <c r="E3007" s="22"/>
      <c r="F3007" s="23" t="str">
        <f aca="false">IF(A3007="","",IFERROR(buscarx(A3007&amp;E3007,DATA!$E$3:$E$10000&amp;DATA!$B$3:$B$10000,DATA!$M$3:$M$10000),"Inactivo"))</f>
        <v/>
      </c>
      <c r="G3007" s="25" t="str">
        <f aca="false">IF(A3007="","",IF(AND(C3007&lt;&gt;"No encontrado",F3007&lt;&gt;"Inactivo"),C3007&amp;" → "&amp;F3007,"Sin transición"))</f>
        <v/>
      </c>
      <c r="H3007" s="23" t="str">
        <f aca="false">IF(A3007="","",IF(D3007="GCIA LINEA SERVICIO DIGITALIDAD Y VENTAS","Chats",IF(OR(D3007="GERENCIA INBOUND LÍNEAS SERVICIO Y VENTA",D3007="GERENCIA INBOUND LINEAS ESPECIALIZADAS"),"Llamadas","Otro")))</f>
        <v/>
      </c>
      <c r="I3007" s="23" t="str">
        <f aca="false">IF(A3007="","",IF(C3007="No encontrado","No","Sí"))</f>
        <v/>
      </c>
      <c r="J3007" s="23" t="str">
        <f aca="false">IF(A3007="","",IF(F3007="Inactivo","No","Sí"))</f>
        <v/>
      </c>
      <c r="K3007" s="23" t="str">
        <f aca="false">IF(A3007="","",IF(AND(I3007="Sí",J3007="Sí"),"Sí","No"))</f>
        <v/>
      </c>
    </row>
    <row r="3008" customFormat="false" ht="15" hidden="false" customHeight="false" outlineLevel="0" collapsed="false">
      <c r="A3008" s="22"/>
      <c r="B3008" s="22"/>
      <c r="C3008" s="26" t="str">
        <f aca="false">IF(A3008="","",IFERROR(buscarx(A3008&amp;B3008,DATA!$E$3:$E$10000&amp;DATA!$B$3:$B$10000,DATA!$M$3:$M$10000),"No encontrado"))</f>
        <v/>
      </c>
      <c r="D3008" s="27" t="str">
        <f aca="false">IF(A3008="","",IFERROR(buscarx(A3008&amp;B3008,DATA!$E$3:$E$10000&amp;DATA!$B$3:$B$10000,DATA!$W$3:$W$10000),"No encontrado"))</f>
        <v/>
      </c>
      <c r="E3008" s="22"/>
      <c r="F3008" s="26" t="str">
        <f aca="false">IF(A3008="","",IFERROR(buscarx(A3008&amp;E3008,DATA!$E$3:$E$10000&amp;DATA!$B$3:$B$10000,DATA!$M$3:$M$10000),"Inactivo"))</f>
        <v/>
      </c>
      <c r="G3008" s="28" t="str">
        <f aca="false">IF(A3008="","",IF(AND(C3008&lt;&gt;"No encontrado",F3008&lt;&gt;"Inactivo"),C3008&amp;" → "&amp;F3008,"Sin transición"))</f>
        <v/>
      </c>
      <c r="H3008" s="26" t="str">
        <f aca="false">IF(A3008="","",IF(D3008="GCIA LINEA SERVICIO DIGITALIDAD Y VENTAS","Chats",IF(OR(D3008="GERENCIA INBOUND LÍNEAS SERVICIO Y VENTA",D3008="GERENCIA INBOUND LINEAS ESPECIALIZADAS"),"Llamadas","Otro")))</f>
        <v/>
      </c>
      <c r="I3008" s="26" t="str">
        <f aca="false">IF(A3008="","",IF(C3008="No encontrado","No","Sí"))</f>
        <v/>
      </c>
      <c r="J3008" s="26" t="str">
        <f aca="false">IF(A3008="","",IF(F3008="Inactivo","No","Sí"))</f>
        <v/>
      </c>
      <c r="K3008" s="26" t="str">
        <f aca="false">IF(A3008="","",IF(AND(I3008="Sí",J3008="Sí"),"Sí","No"))</f>
        <v/>
      </c>
    </row>
    <row r="3009" customFormat="false" ht="15" hidden="false" customHeight="false" outlineLevel="0" collapsed="false">
      <c r="A3009" s="22"/>
      <c r="B3009" s="22"/>
      <c r="C3009" s="23" t="str">
        <f aca="false">IF(A3009="","",IFERROR(buscarx(A3009&amp;B3009,DATA!$E$3:$E$10000&amp;DATA!$B$3:$B$10000,DATA!$M$3:$M$10000),"No encontrado"))</f>
        <v/>
      </c>
      <c r="D3009" s="24" t="str">
        <f aca="false">IF(A3009="","",IFERROR(buscarx(A3009&amp;B3009,DATA!$E$3:$E$10000&amp;DATA!$B$3:$B$10000,DATA!$W$3:$W$10000),"No encontrado"))</f>
        <v/>
      </c>
      <c r="E3009" s="22"/>
      <c r="F3009" s="23" t="str">
        <f aca="false">IF(A3009="","",IFERROR(buscarx(A3009&amp;E3009,DATA!$E$3:$E$10000&amp;DATA!$B$3:$B$10000,DATA!$M$3:$M$10000),"Inactivo"))</f>
        <v/>
      </c>
      <c r="G3009" s="25" t="str">
        <f aca="false">IF(A3009="","",IF(AND(C3009&lt;&gt;"No encontrado",F3009&lt;&gt;"Inactivo"),C3009&amp;" → "&amp;F3009,"Sin transición"))</f>
        <v/>
      </c>
      <c r="H3009" s="23" t="str">
        <f aca="false">IF(A3009="","",IF(D3009="GCIA LINEA SERVICIO DIGITALIDAD Y VENTAS","Chats",IF(OR(D3009="GERENCIA INBOUND LÍNEAS SERVICIO Y VENTA",D3009="GERENCIA INBOUND LINEAS ESPECIALIZADAS"),"Llamadas","Otro")))</f>
        <v/>
      </c>
      <c r="I3009" s="23" t="str">
        <f aca="false">IF(A3009="","",IF(C3009="No encontrado","No","Sí"))</f>
        <v/>
      </c>
      <c r="J3009" s="23" t="str">
        <f aca="false">IF(A3009="","",IF(F3009="Inactivo","No","Sí"))</f>
        <v/>
      </c>
      <c r="K3009" s="23" t="str">
        <f aca="false">IF(A3009="","",IF(AND(I3009="Sí",J3009="Sí"),"Sí","No"))</f>
        <v/>
      </c>
    </row>
    <row r="3010" customFormat="false" ht="15" hidden="false" customHeight="false" outlineLevel="0" collapsed="false">
      <c r="A3010" s="22"/>
      <c r="B3010" s="22"/>
      <c r="C3010" s="26" t="str">
        <f aca="false">IF(A3010="","",IFERROR(buscarx(A3010&amp;B3010,DATA!$E$3:$E$10000&amp;DATA!$B$3:$B$10000,DATA!$M$3:$M$10000),"No encontrado"))</f>
        <v/>
      </c>
      <c r="D3010" s="27" t="str">
        <f aca="false">IF(A3010="","",IFERROR(buscarx(A3010&amp;B3010,DATA!$E$3:$E$10000&amp;DATA!$B$3:$B$10000,DATA!$W$3:$W$10000),"No encontrado"))</f>
        <v/>
      </c>
      <c r="E3010" s="22"/>
      <c r="F3010" s="26" t="str">
        <f aca="false">IF(A3010="","",IFERROR(buscarx(A3010&amp;E3010,DATA!$E$3:$E$10000&amp;DATA!$B$3:$B$10000,DATA!$M$3:$M$10000),"Inactivo"))</f>
        <v/>
      </c>
      <c r="G3010" s="28" t="str">
        <f aca="false">IF(A3010="","",IF(AND(C3010&lt;&gt;"No encontrado",F3010&lt;&gt;"Inactivo"),C3010&amp;" → "&amp;F3010,"Sin transición"))</f>
        <v/>
      </c>
      <c r="H3010" s="26" t="str">
        <f aca="false">IF(A3010="","",IF(D3010="GCIA LINEA SERVICIO DIGITALIDAD Y VENTAS","Chats",IF(OR(D3010="GERENCIA INBOUND LÍNEAS SERVICIO Y VENTA",D3010="GERENCIA INBOUND LINEAS ESPECIALIZADAS"),"Llamadas","Otro")))</f>
        <v/>
      </c>
      <c r="I3010" s="26" t="str">
        <f aca="false">IF(A3010="","",IF(C3010="No encontrado","No","Sí"))</f>
        <v/>
      </c>
      <c r="J3010" s="26" t="str">
        <f aca="false">IF(A3010="","",IF(F3010="Inactivo","No","Sí"))</f>
        <v/>
      </c>
      <c r="K3010" s="26" t="str">
        <f aca="false">IF(A3010="","",IF(AND(I3010="Sí",J3010="Sí"),"Sí","No"))</f>
        <v/>
      </c>
    </row>
    <row r="3011" customFormat="false" ht="15" hidden="false" customHeight="false" outlineLevel="0" collapsed="false">
      <c r="A3011" s="22"/>
      <c r="B3011" s="22"/>
      <c r="C3011" s="23" t="str">
        <f aca="false">IF(A3011="","",IFERROR(buscarx(A3011&amp;B3011,DATA!$E$3:$E$10000&amp;DATA!$B$3:$B$10000,DATA!$M$3:$M$10000),"No encontrado"))</f>
        <v/>
      </c>
      <c r="D3011" s="24" t="str">
        <f aca="false">IF(A3011="","",IFERROR(buscarx(A3011&amp;B3011,DATA!$E$3:$E$10000&amp;DATA!$B$3:$B$10000,DATA!$W$3:$W$10000),"No encontrado"))</f>
        <v/>
      </c>
      <c r="E3011" s="22"/>
      <c r="F3011" s="23" t="str">
        <f aca="false">IF(A3011="","",IFERROR(buscarx(A3011&amp;E3011,DATA!$E$3:$E$10000&amp;DATA!$B$3:$B$10000,DATA!$M$3:$M$10000),"Inactivo"))</f>
        <v/>
      </c>
      <c r="G3011" s="25" t="str">
        <f aca="false">IF(A3011="","",IF(AND(C3011&lt;&gt;"No encontrado",F3011&lt;&gt;"Inactivo"),C3011&amp;" → "&amp;F3011,"Sin transición"))</f>
        <v/>
      </c>
      <c r="H3011" s="23" t="str">
        <f aca="false">IF(A3011="","",IF(D3011="GCIA LINEA SERVICIO DIGITALIDAD Y VENTAS","Chats",IF(OR(D3011="GERENCIA INBOUND LÍNEAS SERVICIO Y VENTA",D3011="GERENCIA INBOUND LINEAS ESPECIALIZADAS"),"Llamadas","Otro")))</f>
        <v/>
      </c>
      <c r="I3011" s="23" t="str">
        <f aca="false">IF(A3011="","",IF(C3011="No encontrado","No","Sí"))</f>
        <v/>
      </c>
      <c r="J3011" s="23" t="str">
        <f aca="false">IF(A3011="","",IF(F3011="Inactivo","No","Sí"))</f>
        <v/>
      </c>
      <c r="K3011" s="23" t="str">
        <f aca="false">IF(A3011="","",IF(AND(I3011="Sí",J3011="Sí"),"Sí","No"))</f>
        <v/>
      </c>
    </row>
    <row r="3012" customFormat="false" ht="15" hidden="false" customHeight="false" outlineLevel="0" collapsed="false">
      <c r="A3012" s="22"/>
      <c r="B3012" s="22"/>
      <c r="C3012" s="26" t="str">
        <f aca="false">IF(A3012="","",IFERROR(buscarx(A3012&amp;B3012,DATA!$E$3:$E$10000&amp;DATA!$B$3:$B$10000,DATA!$M$3:$M$10000),"No encontrado"))</f>
        <v/>
      </c>
      <c r="D3012" s="27" t="str">
        <f aca="false">IF(A3012="","",IFERROR(buscarx(A3012&amp;B3012,DATA!$E$3:$E$10000&amp;DATA!$B$3:$B$10000,DATA!$W$3:$W$10000),"No encontrado"))</f>
        <v/>
      </c>
      <c r="E3012" s="22"/>
      <c r="F3012" s="26" t="str">
        <f aca="false">IF(A3012="","",IFERROR(buscarx(A3012&amp;E3012,DATA!$E$3:$E$10000&amp;DATA!$B$3:$B$10000,DATA!$M$3:$M$10000),"Inactivo"))</f>
        <v/>
      </c>
      <c r="G3012" s="28" t="str">
        <f aca="false">IF(A3012="","",IF(AND(C3012&lt;&gt;"No encontrado",F3012&lt;&gt;"Inactivo"),C3012&amp;" → "&amp;F3012,"Sin transición"))</f>
        <v/>
      </c>
      <c r="H3012" s="26" t="str">
        <f aca="false">IF(A3012="","",IF(D3012="GCIA LINEA SERVICIO DIGITALIDAD Y VENTAS","Chats",IF(OR(D3012="GERENCIA INBOUND LÍNEAS SERVICIO Y VENTA",D3012="GERENCIA INBOUND LINEAS ESPECIALIZADAS"),"Llamadas","Otro")))</f>
        <v/>
      </c>
      <c r="I3012" s="26" t="str">
        <f aca="false">IF(A3012="","",IF(C3012="No encontrado","No","Sí"))</f>
        <v/>
      </c>
      <c r="J3012" s="26" t="str">
        <f aca="false">IF(A3012="","",IF(F3012="Inactivo","No","Sí"))</f>
        <v/>
      </c>
      <c r="K3012" s="26" t="str">
        <f aca="false">IF(A3012="","",IF(AND(I3012="Sí",J3012="Sí"),"Sí","No"))</f>
        <v/>
      </c>
    </row>
    <row r="3013" customFormat="false" ht="15" hidden="false" customHeight="false" outlineLevel="0" collapsed="false">
      <c r="A3013" s="22"/>
      <c r="B3013" s="22"/>
      <c r="C3013" s="23" t="str">
        <f aca="false">IF(A3013="","",IFERROR(buscarx(A3013&amp;B3013,DATA!$E$3:$E$10000&amp;DATA!$B$3:$B$10000,DATA!$M$3:$M$10000),"No encontrado"))</f>
        <v/>
      </c>
      <c r="D3013" s="24" t="str">
        <f aca="false">IF(A3013="","",IFERROR(buscarx(A3013&amp;B3013,DATA!$E$3:$E$10000&amp;DATA!$B$3:$B$10000,DATA!$W$3:$W$10000),"No encontrado"))</f>
        <v/>
      </c>
      <c r="E3013" s="22"/>
      <c r="F3013" s="23" t="str">
        <f aca="false">IF(A3013="","",IFERROR(buscarx(A3013&amp;E3013,DATA!$E$3:$E$10000&amp;DATA!$B$3:$B$10000,DATA!$M$3:$M$10000),"Inactivo"))</f>
        <v/>
      </c>
      <c r="G3013" s="25" t="str">
        <f aca="false">IF(A3013="","",IF(AND(C3013&lt;&gt;"No encontrado",F3013&lt;&gt;"Inactivo"),C3013&amp;" → "&amp;F3013,"Sin transición"))</f>
        <v/>
      </c>
      <c r="H3013" s="23" t="str">
        <f aca="false">IF(A3013="","",IF(D3013="GCIA LINEA SERVICIO DIGITALIDAD Y VENTAS","Chats",IF(OR(D3013="GERENCIA INBOUND LÍNEAS SERVICIO Y VENTA",D3013="GERENCIA INBOUND LINEAS ESPECIALIZADAS"),"Llamadas","Otro")))</f>
        <v/>
      </c>
      <c r="I3013" s="23" t="str">
        <f aca="false">IF(A3013="","",IF(C3013="No encontrado","No","Sí"))</f>
        <v/>
      </c>
      <c r="J3013" s="23" t="str">
        <f aca="false">IF(A3013="","",IF(F3013="Inactivo","No","Sí"))</f>
        <v/>
      </c>
      <c r="K3013" s="23" t="str">
        <f aca="false">IF(A3013="","",IF(AND(I3013="Sí",J3013="Sí"),"Sí","No"))</f>
        <v/>
      </c>
    </row>
    <row r="3014" customFormat="false" ht="15" hidden="false" customHeight="false" outlineLevel="0" collapsed="false">
      <c r="A3014" s="22"/>
      <c r="B3014" s="22"/>
      <c r="C3014" s="26" t="str">
        <f aca="false">IF(A3014="","",IFERROR(buscarx(A3014&amp;B3014,DATA!$E$3:$E$10000&amp;DATA!$B$3:$B$10000,DATA!$M$3:$M$10000),"No encontrado"))</f>
        <v/>
      </c>
      <c r="D3014" s="27" t="str">
        <f aca="false">IF(A3014="","",IFERROR(buscarx(A3014&amp;B3014,DATA!$E$3:$E$10000&amp;DATA!$B$3:$B$10000,DATA!$W$3:$W$10000),"No encontrado"))</f>
        <v/>
      </c>
      <c r="E3014" s="22"/>
      <c r="F3014" s="26" t="str">
        <f aca="false">IF(A3014="","",IFERROR(buscarx(A3014&amp;E3014,DATA!$E$3:$E$10000&amp;DATA!$B$3:$B$10000,DATA!$M$3:$M$10000),"Inactivo"))</f>
        <v/>
      </c>
      <c r="G3014" s="28" t="str">
        <f aca="false">IF(A3014="","",IF(AND(C3014&lt;&gt;"No encontrado",F3014&lt;&gt;"Inactivo"),C3014&amp;" → "&amp;F3014,"Sin transición"))</f>
        <v/>
      </c>
      <c r="H3014" s="26" t="str">
        <f aca="false">IF(A3014="","",IF(D3014="GCIA LINEA SERVICIO DIGITALIDAD Y VENTAS","Chats",IF(OR(D3014="GERENCIA INBOUND LÍNEAS SERVICIO Y VENTA",D3014="GERENCIA INBOUND LINEAS ESPECIALIZADAS"),"Llamadas","Otro")))</f>
        <v/>
      </c>
      <c r="I3014" s="26" t="str">
        <f aca="false">IF(A3014="","",IF(C3014="No encontrado","No","Sí"))</f>
        <v/>
      </c>
      <c r="J3014" s="26" t="str">
        <f aca="false">IF(A3014="","",IF(F3014="Inactivo","No","Sí"))</f>
        <v/>
      </c>
      <c r="K3014" s="26" t="str">
        <f aca="false">IF(A3014="","",IF(AND(I3014="Sí",J3014="Sí"),"Sí","No"))</f>
        <v/>
      </c>
    </row>
    <row r="3015" customFormat="false" ht="15" hidden="false" customHeight="false" outlineLevel="0" collapsed="false">
      <c r="A3015" s="22"/>
      <c r="B3015" s="22"/>
      <c r="C3015" s="23" t="str">
        <f aca="false">IF(A3015="","",IFERROR(buscarx(A3015&amp;B3015,DATA!$E$3:$E$10000&amp;DATA!$B$3:$B$10000,DATA!$M$3:$M$10000),"No encontrado"))</f>
        <v/>
      </c>
      <c r="D3015" s="24" t="str">
        <f aca="false">IF(A3015="","",IFERROR(buscarx(A3015&amp;B3015,DATA!$E$3:$E$10000&amp;DATA!$B$3:$B$10000,DATA!$W$3:$W$10000),"No encontrado"))</f>
        <v/>
      </c>
      <c r="E3015" s="22"/>
      <c r="F3015" s="23" t="str">
        <f aca="false">IF(A3015="","",IFERROR(buscarx(A3015&amp;E3015,DATA!$E$3:$E$10000&amp;DATA!$B$3:$B$10000,DATA!$M$3:$M$10000),"Inactivo"))</f>
        <v/>
      </c>
      <c r="G3015" s="25" t="str">
        <f aca="false">IF(A3015="","",IF(AND(C3015&lt;&gt;"No encontrado",F3015&lt;&gt;"Inactivo"),C3015&amp;" → "&amp;F3015,"Sin transición"))</f>
        <v/>
      </c>
      <c r="H3015" s="23" t="str">
        <f aca="false">IF(A3015="","",IF(D3015="GCIA LINEA SERVICIO DIGITALIDAD Y VENTAS","Chats",IF(OR(D3015="GERENCIA INBOUND LÍNEAS SERVICIO Y VENTA",D3015="GERENCIA INBOUND LINEAS ESPECIALIZADAS"),"Llamadas","Otro")))</f>
        <v/>
      </c>
      <c r="I3015" s="23" t="str">
        <f aca="false">IF(A3015="","",IF(C3015="No encontrado","No","Sí"))</f>
        <v/>
      </c>
      <c r="J3015" s="23" t="str">
        <f aca="false">IF(A3015="","",IF(F3015="Inactivo","No","Sí"))</f>
        <v/>
      </c>
      <c r="K3015" s="23" t="str">
        <f aca="false">IF(A3015="","",IF(AND(I3015="Sí",J3015="Sí"),"Sí","No"))</f>
        <v/>
      </c>
    </row>
    <row r="3016" customFormat="false" ht="15" hidden="false" customHeight="false" outlineLevel="0" collapsed="false">
      <c r="A3016" s="22"/>
      <c r="B3016" s="22"/>
      <c r="C3016" s="26" t="str">
        <f aca="false">IF(A3016="","",IFERROR(buscarx(A3016&amp;B3016,DATA!$E$3:$E$10000&amp;DATA!$B$3:$B$10000,DATA!$M$3:$M$10000),"No encontrado"))</f>
        <v/>
      </c>
      <c r="D3016" s="27" t="str">
        <f aca="false">IF(A3016="","",IFERROR(buscarx(A3016&amp;B3016,DATA!$E$3:$E$10000&amp;DATA!$B$3:$B$10000,DATA!$W$3:$W$10000),"No encontrado"))</f>
        <v/>
      </c>
      <c r="E3016" s="22"/>
      <c r="F3016" s="26" t="str">
        <f aca="false">IF(A3016="","",IFERROR(buscarx(A3016&amp;E3016,DATA!$E$3:$E$10000&amp;DATA!$B$3:$B$10000,DATA!$M$3:$M$10000),"Inactivo"))</f>
        <v/>
      </c>
      <c r="G3016" s="28" t="str">
        <f aca="false">IF(A3016="","",IF(AND(C3016&lt;&gt;"No encontrado",F3016&lt;&gt;"Inactivo"),C3016&amp;" → "&amp;F3016,"Sin transición"))</f>
        <v/>
      </c>
      <c r="H3016" s="26" t="str">
        <f aca="false">IF(A3016="","",IF(D3016="GCIA LINEA SERVICIO DIGITALIDAD Y VENTAS","Chats",IF(OR(D3016="GERENCIA INBOUND LÍNEAS SERVICIO Y VENTA",D3016="GERENCIA INBOUND LINEAS ESPECIALIZADAS"),"Llamadas","Otro")))</f>
        <v/>
      </c>
      <c r="I3016" s="26" t="str">
        <f aca="false">IF(A3016="","",IF(C3016="No encontrado","No","Sí"))</f>
        <v/>
      </c>
      <c r="J3016" s="26" t="str">
        <f aca="false">IF(A3016="","",IF(F3016="Inactivo","No","Sí"))</f>
        <v/>
      </c>
      <c r="K3016" s="26" t="str">
        <f aca="false">IF(A3016="","",IF(AND(I3016="Sí",J3016="Sí"),"Sí","No"))</f>
        <v/>
      </c>
    </row>
    <row r="3017" customFormat="false" ht="15" hidden="false" customHeight="false" outlineLevel="0" collapsed="false">
      <c r="A3017" s="22"/>
      <c r="B3017" s="22"/>
      <c r="C3017" s="23" t="str">
        <f aca="false">IF(A3017="","",IFERROR(buscarx(A3017&amp;B3017,DATA!$E$3:$E$10000&amp;DATA!$B$3:$B$10000,DATA!$M$3:$M$10000),"No encontrado"))</f>
        <v/>
      </c>
      <c r="D3017" s="24" t="str">
        <f aca="false">IF(A3017="","",IFERROR(buscarx(A3017&amp;B3017,DATA!$E$3:$E$10000&amp;DATA!$B$3:$B$10000,DATA!$W$3:$W$10000),"No encontrado"))</f>
        <v/>
      </c>
      <c r="E3017" s="22"/>
      <c r="F3017" s="23" t="str">
        <f aca="false">IF(A3017="","",IFERROR(buscarx(A3017&amp;E3017,DATA!$E$3:$E$10000&amp;DATA!$B$3:$B$10000,DATA!$M$3:$M$10000),"Inactivo"))</f>
        <v/>
      </c>
      <c r="G3017" s="25" t="str">
        <f aca="false">IF(A3017="","",IF(AND(C3017&lt;&gt;"No encontrado",F3017&lt;&gt;"Inactivo"),C3017&amp;" → "&amp;F3017,"Sin transición"))</f>
        <v/>
      </c>
      <c r="H3017" s="23" t="str">
        <f aca="false">IF(A3017="","",IF(D3017="GCIA LINEA SERVICIO DIGITALIDAD Y VENTAS","Chats",IF(OR(D3017="GERENCIA INBOUND LÍNEAS SERVICIO Y VENTA",D3017="GERENCIA INBOUND LINEAS ESPECIALIZADAS"),"Llamadas","Otro")))</f>
        <v/>
      </c>
      <c r="I3017" s="23" t="str">
        <f aca="false">IF(A3017="","",IF(C3017="No encontrado","No","Sí"))</f>
        <v/>
      </c>
      <c r="J3017" s="23" t="str">
        <f aca="false">IF(A3017="","",IF(F3017="Inactivo","No","Sí"))</f>
        <v/>
      </c>
      <c r="K3017" s="23" t="str">
        <f aca="false">IF(A3017="","",IF(AND(I3017="Sí",J3017="Sí"),"Sí","No"))</f>
        <v/>
      </c>
    </row>
    <row r="3018" customFormat="false" ht="15" hidden="false" customHeight="false" outlineLevel="0" collapsed="false">
      <c r="A3018" s="22"/>
      <c r="B3018" s="22"/>
      <c r="C3018" s="26" t="str">
        <f aca="false">IF(A3018="","",IFERROR(buscarx(A3018&amp;B3018,DATA!$E$3:$E$10000&amp;DATA!$B$3:$B$10000,DATA!$M$3:$M$10000),"No encontrado"))</f>
        <v/>
      </c>
      <c r="D3018" s="27" t="str">
        <f aca="false">IF(A3018="","",IFERROR(buscarx(A3018&amp;B3018,DATA!$E$3:$E$10000&amp;DATA!$B$3:$B$10000,DATA!$W$3:$W$10000),"No encontrado"))</f>
        <v/>
      </c>
      <c r="E3018" s="22"/>
      <c r="F3018" s="26" t="str">
        <f aca="false">IF(A3018="","",IFERROR(buscarx(A3018&amp;E3018,DATA!$E$3:$E$10000&amp;DATA!$B$3:$B$10000,DATA!$M$3:$M$10000),"Inactivo"))</f>
        <v/>
      </c>
      <c r="G3018" s="28" t="str">
        <f aca="false">IF(A3018="","",IF(AND(C3018&lt;&gt;"No encontrado",F3018&lt;&gt;"Inactivo"),C3018&amp;" → "&amp;F3018,"Sin transición"))</f>
        <v/>
      </c>
      <c r="H3018" s="26" t="str">
        <f aca="false">IF(A3018="","",IF(D3018="GCIA LINEA SERVICIO DIGITALIDAD Y VENTAS","Chats",IF(OR(D3018="GERENCIA INBOUND LÍNEAS SERVICIO Y VENTA",D3018="GERENCIA INBOUND LINEAS ESPECIALIZADAS"),"Llamadas","Otro")))</f>
        <v/>
      </c>
      <c r="I3018" s="26" t="str">
        <f aca="false">IF(A3018="","",IF(C3018="No encontrado","No","Sí"))</f>
        <v/>
      </c>
      <c r="J3018" s="26" t="str">
        <f aca="false">IF(A3018="","",IF(F3018="Inactivo","No","Sí"))</f>
        <v/>
      </c>
      <c r="K3018" s="26" t="str">
        <f aca="false">IF(A3018="","",IF(AND(I3018="Sí",J3018="Sí"),"Sí","No"))</f>
        <v/>
      </c>
    </row>
    <row r="3019" customFormat="false" ht="15" hidden="false" customHeight="false" outlineLevel="0" collapsed="false">
      <c r="A3019" s="22"/>
      <c r="B3019" s="22"/>
      <c r="C3019" s="23" t="str">
        <f aca="false">IF(A3019="","",IFERROR(buscarx(A3019&amp;B3019,DATA!$E$3:$E$10000&amp;DATA!$B$3:$B$10000,DATA!$M$3:$M$10000),"No encontrado"))</f>
        <v/>
      </c>
      <c r="D3019" s="24" t="str">
        <f aca="false">IF(A3019="","",IFERROR(buscarx(A3019&amp;B3019,DATA!$E$3:$E$10000&amp;DATA!$B$3:$B$10000,DATA!$W$3:$W$10000),"No encontrado"))</f>
        <v/>
      </c>
      <c r="E3019" s="22"/>
      <c r="F3019" s="23" t="str">
        <f aca="false">IF(A3019="","",IFERROR(buscarx(A3019&amp;E3019,DATA!$E$3:$E$10000&amp;DATA!$B$3:$B$10000,DATA!$M$3:$M$10000),"Inactivo"))</f>
        <v/>
      </c>
      <c r="G3019" s="25" t="str">
        <f aca="false">IF(A3019="","",IF(AND(C3019&lt;&gt;"No encontrado",F3019&lt;&gt;"Inactivo"),C3019&amp;" → "&amp;F3019,"Sin transición"))</f>
        <v/>
      </c>
      <c r="H3019" s="23" t="str">
        <f aca="false">IF(A3019="","",IF(D3019="GCIA LINEA SERVICIO DIGITALIDAD Y VENTAS","Chats",IF(OR(D3019="GERENCIA INBOUND LÍNEAS SERVICIO Y VENTA",D3019="GERENCIA INBOUND LINEAS ESPECIALIZADAS"),"Llamadas","Otro")))</f>
        <v/>
      </c>
      <c r="I3019" s="23" t="str">
        <f aca="false">IF(A3019="","",IF(C3019="No encontrado","No","Sí"))</f>
        <v/>
      </c>
      <c r="J3019" s="23" t="str">
        <f aca="false">IF(A3019="","",IF(F3019="Inactivo","No","Sí"))</f>
        <v/>
      </c>
      <c r="K3019" s="23" t="str">
        <f aca="false">IF(A3019="","",IF(AND(I3019="Sí",J3019="Sí"),"Sí","No"))</f>
        <v/>
      </c>
    </row>
    <row r="3020" customFormat="false" ht="15" hidden="false" customHeight="false" outlineLevel="0" collapsed="false">
      <c r="A3020" s="22"/>
      <c r="B3020" s="22"/>
      <c r="C3020" s="26" t="str">
        <f aca="false">IF(A3020="","",IFERROR(buscarx(A3020&amp;B3020,DATA!$E$3:$E$10000&amp;DATA!$B$3:$B$10000,DATA!$M$3:$M$10000),"No encontrado"))</f>
        <v/>
      </c>
      <c r="D3020" s="27" t="str">
        <f aca="false">IF(A3020="","",IFERROR(buscarx(A3020&amp;B3020,DATA!$E$3:$E$10000&amp;DATA!$B$3:$B$10000,DATA!$W$3:$W$10000),"No encontrado"))</f>
        <v/>
      </c>
      <c r="E3020" s="22"/>
      <c r="F3020" s="26" t="str">
        <f aca="false">IF(A3020="","",IFERROR(buscarx(A3020&amp;E3020,DATA!$E$3:$E$10000&amp;DATA!$B$3:$B$10000,DATA!$M$3:$M$10000),"Inactivo"))</f>
        <v/>
      </c>
      <c r="G3020" s="28" t="str">
        <f aca="false">IF(A3020="","",IF(AND(C3020&lt;&gt;"No encontrado",F3020&lt;&gt;"Inactivo"),C3020&amp;" → "&amp;F3020,"Sin transición"))</f>
        <v/>
      </c>
      <c r="H3020" s="26" t="str">
        <f aca="false">IF(A3020="","",IF(D3020="GCIA LINEA SERVICIO DIGITALIDAD Y VENTAS","Chats",IF(OR(D3020="GERENCIA INBOUND LÍNEAS SERVICIO Y VENTA",D3020="GERENCIA INBOUND LINEAS ESPECIALIZADAS"),"Llamadas","Otro")))</f>
        <v/>
      </c>
      <c r="I3020" s="26" t="str">
        <f aca="false">IF(A3020="","",IF(C3020="No encontrado","No","Sí"))</f>
        <v/>
      </c>
      <c r="J3020" s="26" t="str">
        <f aca="false">IF(A3020="","",IF(F3020="Inactivo","No","Sí"))</f>
        <v/>
      </c>
      <c r="K3020" s="26" t="str">
        <f aca="false">IF(A3020="","",IF(AND(I3020="Sí",J3020="Sí"),"Sí","No"))</f>
        <v/>
      </c>
    </row>
    <row r="3021" customFormat="false" ht="15" hidden="false" customHeight="false" outlineLevel="0" collapsed="false">
      <c r="A3021" s="22"/>
      <c r="B3021" s="22"/>
      <c r="C3021" s="23" t="str">
        <f aca="false">IF(A3021="","",IFERROR(buscarx(A3021&amp;B3021,DATA!$E$3:$E$10000&amp;DATA!$B$3:$B$10000,DATA!$M$3:$M$10000),"No encontrado"))</f>
        <v/>
      </c>
      <c r="D3021" s="24" t="str">
        <f aca="false">IF(A3021="","",IFERROR(buscarx(A3021&amp;B3021,DATA!$E$3:$E$10000&amp;DATA!$B$3:$B$10000,DATA!$W$3:$W$10000),"No encontrado"))</f>
        <v/>
      </c>
      <c r="E3021" s="22"/>
      <c r="F3021" s="23" t="str">
        <f aca="false">IF(A3021="","",IFERROR(buscarx(A3021&amp;E3021,DATA!$E$3:$E$10000&amp;DATA!$B$3:$B$10000,DATA!$M$3:$M$10000),"Inactivo"))</f>
        <v/>
      </c>
      <c r="G3021" s="25" t="str">
        <f aca="false">IF(A3021="","",IF(AND(C3021&lt;&gt;"No encontrado",F3021&lt;&gt;"Inactivo"),C3021&amp;" → "&amp;F3021,"Sin transición"))</f>
        <v/>
      </c>
      <c r="H3021" s="23" t="str">
        <f aca="false">IF(A3021="","",IF(D3021="GCIA LINEA SERVICIO DIGITALIDAD Y VENTAS","Chats",IF(OR(D3021="GERENCIA INBOUND LÍNEAS SERVICIO Y VENTA",D3021="GERENCIA INBOUND LINEAS ESPECIALIZADAS"),"Llamadas","Otro")))</f>
        <v/>
      </c>
      <c r="I3021" s="23" t="str">
        <f aca="false">IF(A3021="","",IF(C3021="No encontrado","No","Sí"))</f>
        <v/>
      </c>
      <c r="J3021" s="23" t="str">
        <f aca="false">IF(A3021="","",IF(F3021="Inactivo","No","Sí"))</f>
        <v/>
      </c>
      <c r="K3021" s="23" t="str">
        <f aca="false">IF(A3021="","",IF(AND(I3021="Sí",J3021="Sí"),"Sí","No"))</f>
        <v/>
      </c>
    </row>
    <row r="3022" customFormat="false" ht="15" hidden="false" customHeight="false" outlineLevel="0" collapsed="false">
      <c r="A3022" s="22"/>
      <c r="B3022" s="22"/>
      <c r="C3022" s="26" t="str">
        <f aca="false">IF(A3022="","",IFERROR(buscarx(A3022&amp;B3022,DATA!$E$3:$E$10000&amp;DATA!$B$3:$B$10000,DATA!$M$3:$M$10000),"No encontrado"))</f>
        <v/>
      </c>
      <c r="D3022" s="27" t="str">
        <f aca="false">IF(A3022="","",IFERROR(buscarx(A3022&amp;B3022,DATA!$E$3:$E$10000&amp;DATA!$B$3:$B$10000,DATA!$W$3:$W$10000),"No encontrado"))</f>
        <v/>
      </c>
      <c r="E3022" s="22"/>
      <c r="F3022" s="26" t="str">
        <f aca="false">IF(A3022="","",IFERROR(buscarx(A3022&amp;E3022,DATA!$E$3:$E$10000&amp;DATA!$B$3:$B$10000,DATA!$M$3:$M$10000),"Inactivo"))</f>
        <v/>
      </c>
      <c r="G3022" s="28" t="str">
        <f aca="false">IF(A3022="","",IF(AND(C3022&lt;&gt;"No encontrado",F3022&lt;&gt;"Inactivo"),C3022&amp;" → "&amp;F3022,"Sin transición"))</f>
        <v/>
      </c>
      <c r="H3022" s="26" t="str">
        <f aca="false">IF(A3022="","",IF(D3022="GCIA LINEA SERVICIO DIGITALIDAD Y VENTAS","Chats",IF(OR(D3022="GERENCIA INBOUND LÍNEAS SERVICIO Y VENTA",D3022="GERENCIA INBOUND LINEAS ESPECIALIZADAS"),"Llamadas","Otro")))</f>
        <v/>
      </c>
      <c r="I3022" s="26" t="str">
        <f aca="false">IF(A3022="","",IF(C3022="No encontrado","No","Sí"))</f>
        <v/>
      </c>
      <c r="J3022" s="26" t="str">
        <f aca="false">IF(A3022="","",IF(F3022="Inactivo","No","Sí"))</f>
        <v/>
      </c>
      <c r="K3022" s="26" t="str">
        <f aca="false">IF(A3022="","",IF(AND(I3022="Sí",J3022="Sí"),"Sí","No"))</f>
        <v/>
      </c>
    </row>
    <row r="3023" customFormat="false" ht="15" hidden="false" customHeight="false" outlineLevel="0" collapsed="false">
      <c r="A3023" s="22"/>
      <c r="B3023" s="22"/>
      <c r="C3023" s="23" t="str">
        <f aca="false">IF(A3023="","",IFERROR(buscarx(A3023&amp;B3023,DATA!$E$3:$E$10000&amp;DATA!$B$3:$B$10000,DATA!$M$3:$M$10000),"No encontrado"))</f>
        <v/>
      </c>
      <c r="D3023" s="24" t="str">
        <f aca="false">IF(A3023="","",IFERROR(buscarx(A3023&amp;B3023,DATA!$E$3:$E$10000&amp;DATA!$B$3:$B$10000,DATA!$W$3:$W$10000),"No encontrado"))</f>
        <v/>
      </c>
      <c r="E3023" s="22"/>
      <c r="F3023" s="23" t="str">
        <f aca="false">IF(A3023="","",IFERROR(buscarx(A3023&amp;E3023,DATA!$E$3:$E$10000&amp;DATA!$B$3:$B$10000,DATA!$M$3:$M$10000),"Inactivo"))</f>
        <v/>
      </c>
      <c r="G3023" s="25" t="str">
        <f aca="false">IF(A3023="","",IF(AND(C3023&lt;&gt;"No encontrado",F3023&lt;&gt;"Inactivo"),C3023&amp;" → "&amp;F3023,"Sin transición"))</f>
        <v/>
      </c>
      <c r="H3023" s="23" t="str">
        <f aca="false">IF(A3023="","",IF(D3023="GCIA LINEA SERVICIO DIGITALIDAD Y VENTAS","Chats",IF(OR(D3023="GERENCIA INBOUND LÍNEAS SERVICIO Y VENTA",D3023="GERENCIA INBOUND LINEAS ESPECIALIZADAS"),"Llamadas","Otro")))</f>
        <v/>
      </c>
      <c r="I3023" s="23" t="str">
        <f aca="false">IF(A3023="","",IF(C3023="No encontrado","No","Sí"))</f>
        <v/>
      </c>
      <c r="J3023" s="23" t="str">
        <f aca="false">IF(A3023="","",IF(F3023="Inactivo","No","Sí"))</f>
        <v/>
      </c>
      <c r="K3023" s="23" t="str">
        <f aca="false">IF(A3023="","",IF(AND(I3023="Sí",J3023="Sí"),"Sí","No"))</f>
        <v/>
      </c>
    </row>
    <row r="3024" customFormat="false" ht="15" hidden="false" customHeight="false" outlineLevel="0" collapsed="false">
      <c r="A3024" s="22"/>
      <c r="B3024" s="22"/>
      <c r="C3024" s="26" t="str">
        <f aca="false">IF(A3024="","",IFERROR(buscarx(A3024&amp;B3024,DATA!$E$3:$E$10000&amp;DATA!$B$3:$B$10000,DATA!$M$3:$M$10000),"No encontrado"))</f>
        <v/>
      </c>
      <c r="D3024" s="27" t="str">
        <f aca="false">IF(A3024="","",IFERROR(buscarx(A3024&amp;B3024,DATA!$E$3:$E$10000&amp;DATA!$B$3:$B$10000,DATA!$W$3:$W$10000),"No encontrado"))</f>
        <v/>
      </c>
      <c r="E3024" s="22"/>
      <c r="F3024" s="26" t="str">
        <f aca="false">IF(A3024="","",IFERROR(buscarx(A3024&amp;E3024,DATA!$E$3:$E$10000&amp;DATA!$B$3:$B$10000,DATA!$M$3:$M$10000),"Inactivo"))</f>
        <v/>
      </c>
      <c r="G3024" s="28" t="str">
        <f aca="false">IF(A3024="","",IF(AND(C3024&lt;&gt;"No encontrado",F3024&lt;&gt;"Inactivo"),C3024&amp;" → "&amp;F3024,"Sin transición"))</f>
        <v/>
      </c>
      <c r="H3024" s="26" t="str">
        <f aca="false">IF(A3024="","",IF(D3024="GCIA LINEA SERVICIO DIGITALIDAD Y VENTAS","Chats",IF(OR(D3024="GERENCIA INBOUND LÍNEAS SERVICIO Y VENTA",D3024="GERENCIA INBOUND LINEAS ESPECIALIZADAS"),"Llamadas","Otro")))</f>
        <v/>
      </c>
      <c r="I3024" s="26" t="str">
        <f aca="false">IF(A3024="","",IF(C3024="No encontrado","No","Sí"))</f>
        <v/>
      </c>
      <c r="J3024" s="26" t="str">
        <f aca="false">IF(A3024="","",IF(F3024="Inactivo","No","Sí"))</f>
        <v/>
      </c>
      <c r="K3024" s="26" t="str">
        <f aca="false">IF(A3024="","",IF(AND(I3024="Sí",J3024="Sí"),"Sí","No"))</f>
        <v/>
      </c>
    </row>
    <row r="3025" customFormat="false" ht="15" hidden="false" customHeight="false" outlineLevel="0" collapsed="false">
      <c r="A3025" s="22"/>
      <c r="B3025" s="22"/>
      <c r="C3025" s="23" t="str">
        <f aca="false">IF(A3025="","",IFERROR(buscarx(A3025&amp;B3025,DATA!$E$3:$E$10000&amp;DATA!$B$3:$B$10000,DATA!$M$3:$M$10000),"No encontrado"))</f>
        <v/>
      </c>
      <c r="D3025" s="24" t="str">
        <f aca="false">IF(A3025="","",IFERROR(buscarx(A3025&amp;B3025,DATA!$E$3:$E$10000&amp;DATA!$B$3:$B$10000,DATA!$W$3:$W$10000),"No encontrado"))</f>
        <v/>
      </c>
      <c r="E3025" s="22"/>
      <c r="F3025" s="23" t="str">
        <f aca="false">IF(A3025="","",IFERROR(buscarx(A3025&amp;E3025,DATA!$E$3:$E$10000&amp;DATA!$B$3:$B$10000,DATA!$M$3:$M$10000),"Inactivo"))</f>
        <v/>
      </c>
      <c r="G3025" s="25" t="str">
        <f aca="false">IF(A3025="","",IF(AND(C3025&lt;&gt;"No encontrado",F3025&lt;&gt;"Inactivo"),C3025&amp;" → "&amp;F3025,"Sin transición"))</f>
        <v/>
      </c>
      <c r="H3025" s="23" t="str">
        <f aca="false">IF(A3025="","",IF(D3025="GCIA LINEA SERVICIO DIGITALIDAD Y VENTAS","Chats",IF(OR(D3025="GERENCIA INBOUND LÍNEAS SERVICIO Y VENTA",D3025="GERENCIA INBOUND LINEAS ESPECIALIZADAS"),"Llamadas","Otro")))</f>
        <v/>
      </c>
      <c r="I3025" s="23" t="str">
        <f aca="false">IF(A3025="","",IF(C3025="No encontrado","No","Sí"))</f>
        <v/>
      </c>
      <c r="J3025" s="23" t="str">
        <f aca="false">IF(A3025="","",IF(F3025="Inactivo","No","Sí"))</f>
        <v/>
      </c>
      <c r="K3025" s="23" t="str">
        <f aca="false">IF(A3025="","",IF(AND(I3025="Sí",J3025="Sí"),"Sí","No"))</f>
        <v/>
      </c>
    </row>
    <row r="3026" customFormat="false" ht="15" hidden="false" customHeight="false" outlineLevel="0" collapsed="false">
      <c r="A3026" s="22"/>
      <c r="B3026" s="22"/>
      <c r="C3026" s="26" t="str">
        <f aca="false">IF(A3026="","",IFERROR(buscarx(A3026&amp;B3026,DATA!$E$3:$E$10000&amp;DATA!$B$3:$B$10000,DATA!$M$3:$M$10000),"No encontrado"))</f>
        <v/>
      </c>
      <c r="D3026" s="27" t="str">
        <f aca="false">IF(A3026="","",IFERROR(buscarx(A3026&amp;B3026,DATA!$E$3:$E$10000&amp;DATA!$B$3:$B$10000,DATA!$W$3:$W$10000),"No encontrado"))</f>
        <v/>
      </c>
      <c r="E3026" s="22"/>
      <c r="F3026" s="26" t="str">
        <f aca="false">IF(A3026="","",IFERROR(buscarx(A3026&amp;E3026,DATA!$E$3:$E$10000&amp;DATA!$B$3:$B$10000,DATA!$M$3:$M$10000),"Inactivo"))</f>
        <v/>
      </c>
      <c r="G3026" s="28" t="str">
        <f aca="false">IF(A3026="","",IF(AND(C3026&lt;&gt;"No encontrado",F3026&lt;&gt;"Inactivo"),C3026&amp;" → "&amp;F3026,"Sin transición"))</f>
        <v/>
      </c>
      <c r="H3026" s="26" t="str">
        <f aca="false">IF(A3026="","",IF(D3026="GCIA LINEA SERVICIO DIGITALIDAD Y VENTAS","Chats",IF(OR(D3026="GERENCIA INBOUND LÍNEAS SERVICIO Y VENTA",D3026="GERENCIA INBOUND LINEAS ESPECIALIZADAS"),"Llamadas","Otro")))</f>
        <v/>
      </c>
      <c r="I3026" s="26" t="str">
        <f aca="false">IF(A3026="","",IF(C3026="No encontrado","No","Sí"))</f>
        <v/>
      </c>
      <c r="J3026" s="26" t="str">
        <f aca="false">IF(A3026="","",IF(F3026="Inactivo","No","Sí"))</f>
        <v/>
      </c>
      <c r="K3026" s="26" t="str">
        <f aca="false">IF(A3026="","",IF(AND(I3026="Sí",J3026="Sí"),"Sí","No"))</f>
        <v/>
      </c>
    </row>
    <row r="3027" customFormat="false" ht="15" hidden="false" customHeight="false" outlineLevel="0" collapsed="false">
      <c r="A3027" s="22"/>
      <c r="B3027" s="22"/>
      <c r="C3027" s="23" t="str">
        <f aca="false">IF(A3027="","",IFERROR(buscarx(A3027&amp;B3027,DATA!$E$3:$E$10000&amp;DATA!$B$3:$B$10000,DATA!$M$3:$M$10000),"No encontrado"))</f>
        <v/>
      </c>
      <c r="D3027" s="24" t="str">
        <f aca="false">IF(A3027="","",IFERROR(buscarx(A3027&amp;B3027,DATA!$E$3:$E$10000&amp;DATA!$B$3:$B$10000,DATA!$W$3:$W$10000),"No encontrado"))</f>
        <v/>
      </c>
      <c r="E3027" s="22"/>
      <c r="F3027" s="23" t="str">
        <f aca="false">IF(A3027="","",IFERROR(buscarx(A3027&amp;E3027,DATA!$E$3:$E$10000&amp;DATA!$B$3:$B$10000,DATA!$M$3:$M$10000),"Inactivo"))</f>
        <v/>
      </c>
      <c r="G3027" s="25" t="str">
        <f aca="false">IF(A3027="","",IF(AND(C3027&lt;&gt;"No encontrado",F3027&lt;&gt;"Inactivo"),C3027&amp;" → "&amp;F3027,"Sin transición"))</f>
        <v/>
      </c>
      <c r="H3027" s="23" t="str">
        <f aca="false">IF(A3027="","",IF(D3027="GCIA LINEA SERVICIO DIGITALIDAD Y VENTAS","Chats",IF(OR(D3027="GERENCIA INBOUND LÍNEAS SERVICIO Y VENTA",D3027="GERENCIA INBOUND LINEAS ESPECIALIZADAS"),"Llamadas","Otro")))</f>
        <v/>
      </c>
      <c r="I3027" s="23" t="str">
        <f aca="false">IF(A3027="","",IF(C3027="No encontrado","No","Sí"))</f>
        <v/>
      </c>
      <c r="J3027" s="23" t="str">
        <f aca="false">IF(A3027="","",IF(F3027="Inactivo","No","Sí"))</f>
        <v/>
      </c>
      <c r="K3027" s="23" t="str">
        <f aca="false">IF(A3027="","",IF(AND(I3027="Sí",J3027="Sí"),"Sí","No"))</f>
        <v/>
      </c>
    </row>
    <row r="3028" customFormat="false" ht="15" hidden="false" customHeight="false" outlineLevel="0" collapsed="false">
      <c r="A3028" s="22"/>
      <c r="B3028" s="22"/>
      <c r="C3028" s="26" t="str">
        <f aca="false">IF(A3028="","",IFERROR(buscarx(A3028&amp;B3028,DATA!$E$3:$E$10000&amp;DATA!$B$3:$B$10000,DATA!$M$3:$M$10000),"No encontrado"))</f>
        <v/>
      </c>
      <c r="D3028" s="27" t="str">
        <f aca="false">IF(A3028="","",IFERROR(buscarx(A3028&amp;B3028,DATA!$E$3:$E$10000&amp;DATA!$B$3:$B$10000,DATA!$W$3:$W$10000),"No encontrado"))</f>
        <v/>
      </c>
      <c r="E3028" s="22"/>
      <c r="F3028" s="26" t="str">
        <f aca="false">IF(A3028="","",IFERROR(buscarx(A3028&amp;E3028,DATA!$E$3:$E$10000&amp;DATA!$B$3:$B$10000,DATA!$M$3:$M$10000),"Inactivo"))</f>
        <v/>
      </c>
      <c r="G3028" s="28" t="str">
        <f aca="false">IF(A3028="","",IF(AND(C3028&lt;&gt;"No encontrado",F3028&lt;&gt;"Inactivo"),C3028&amp;" → "&amp;F3028,"Sin transición"))</f>
        <v/>
      </c>
      <c r="H3028" s="26" t="str">
        <f aca="false">IF(A3028="","",IF(D3028="GCIA LINEA SERVICIO DIGITALIDAD Y VENTAS","Chats",IF(OR(D3028="GERENCIA INBOUND LÍNEAS SERVICIO Y VENTA",D3028="GERENCIA INBOUND LINEAS ESPECIALIZADAS"),"Llamadas","Otro")))</f>
        <v/>
      </c>
      <c r="I3028" s="26" t="str">
        <f aca="false">IF(A3028="","",IF(C3028="No encontrado","No","Sí"))</f>
        <v/>
      </c>
      <c r="J3028" s="26" t="str">
        <f aca="false">IF(A3028="","",IF(F3028="Inactivo","No","Sí"))</f>
        <v/>
      </c>
      <c r="K3028" s="26" t="str">
        <f aca="false">IF(A3028="","",IF(AND(I3028="Sí",J3028="Sí"),"Sí","No"))</f>
        <v/>
      </c>
    </row>
    <row r="3029" customFormat="false" ht="15" hidden="false" customHeight="false" outlineLevel="0" collapsed="false">
      <c r="A3029" s="22"/>
      <c r="B3029" s="22"/>
      <c r="C3029" s="23" t="str">
        <f aca="false">IF(A3029="","",IFERROR(buscarx(A3029&amp;B3029,DATA!$E$3:$E$10000&amp;DATA!$B$3:$B$10000,DATA!$M$3:$M$10000),"No encontrado"))</f>
        <v/>
      </c>
      <c r="D3029" s="24" t="str">
        <f aca="false">IF(A3029="","",IFERROR(buscarx(A3029&amp;B3029,DATA!$E$3:$E$10000&amp;DATA!$B$3:$B$10000,DATA!$W$3:$W$10000),"No encontrado"))</f>
        <v/>
      </c>
      <c r="E3029" s="22"/>
      <c r="F3029" s="23" t="str">
        <f aca="false">IF(A3029="","",IFERROR(buscarx(A3029&amp;E3029,DATA!$E$3:$E$10000&amp;DATA!$B$3:$B$10000,DATA!$M$3:$M$10000),"Inactivo"))</f>
        <v/>
      </c>
      <c r="G3029" s="25" t="str">
        <f aca="false">IF(A3029="","",IF(AND(C3029&lt;&gt;"No encontrado",F3029&lt;&gt;"Inactivo"),C3029&amp;" → "&amp;F3029,"Sin transición"))</f>
        <v/>
      </c>
      <c r="H3029" s="23" t="str">
        <f aca="false">IF(A3029="","",IF(D3029="GCIA LINEA SERVICIO DIGITALIDAD Y VENTAS","Chats",IF(OR(D3029="GERENCIA INBOUND LÍNEAS SERVICIO Y VENTA",D3029="GERENCIA INBOUND LINEAS ESPECIALIZADAS"),"Llamadas","Otro")))</f>
        <v/>
      </c>
      <c r="I3029" s="23" t="str">
        <f aca="false">IF(A3029="","",IF(C3029="No encontrado","No","Sí"))</f>
        <v/>
      </c>
      <c r="J3029" s="23" t="str">
        <f aca="false">IF(A3029="","",IF(F3029="Inactivo","No","Sí"))</f>
        <v/>
      </c>
      <c r="K3029" s="23" t="str">
        <f aca="false">IF(A3029="","",IF(AND(I3029="Sí",J3029="Sí"),"Sí","No"))</f>
        <v/>
      </c>
    </row>
    <row r="3030" customFormat="false" ht="15" hidden="false" customHeight="false" outlineLevel="0" collapsed="false">
      <c r="A3030" s="22"/>
      <c r="B3030" s="22"/>
      <c r="C3030" s="26" t="str">
        <f aca="false">IF(A3030="","",IFERROR(buscarx(A3030&amp;B3030,DATA!$E$3:$E$10000&amp;DATA!$B$3:$B$10000,DATA!$M$3:$M$10000),"No encontrado"))</f>
        <v/>
      </c>
      <c r="D3030" s="27" t="str">
        <f aca="false">IF(A3030="","",IFERROR(buscarx(A3030&amp;B3030,DATA!$E$3:$E$10000&amp;DATA!$B$3:$B$10000,DATA!$W$3:$W$10000),"No encontrado"))</f>
        <v/>
      </c>
      <c r="E3030" s="22"/>
      <c r="F3030" s="26" t="str">
        <f aca="false">IF(A3030="","",IFERROR(buscarx(A3030&amp;E3030,DATA!$E$3:$E$10000&amp;DATA!$B$3:$B$10000,DATA!$M$3:$M$10000),"Inactivo"))</f>
        <v/>
      </c>
      <c r="G3030" s="28" t="str">
        <f aca="false">IF(A3030="","",IF(AND(C3030&lt;&gt;"No encontrado",F3030&lt;&gt;"Inactivo"),C3030&amp;" → "&amp;F3030,"Sin transición"))</f>
        <v/>
      </c>
      <c r="H3030" s="26" t="str">
        <f aca="false">IF(A3030="","",IF(D3030="GCIA LINEA SERVICIO DIGITALIDAD Y VENTAS","Chats",IF(OR(D3030="GERENCIA INBOUND LÍNEAS SERVICIO Y VENTA",D3030="GERENCIA INBOUND LINEAS ESPECIALIZADAS"),"Llamadas","Otro")))</f>
        <v/>
      </c>
      <c r="I3030" s="26" t="str">
        <f aca="false">IF(A3030="","",IF(C3030="No encontrado","No","Sí"))</f>
        <v/>
      </c>
      <c r="J3030" s="26" t="str">
        <f aca="false">IF(A3030="","",IF(F3030="Inactivo","No","Sí"))</f>
        <v/>
      </c>
      <c r="K3030" s="26" t="str">
        <f aca="false">IF(A3030="","",IF(AND(I3030="Sí",J3030="Sí"),"Sí","No"))</f>
        <v/>
      </c>
    </row>
    <row r="3031" customFormat="false" ht="15" hidden="false" customHeight="false" outlineLevel="0" collapsed="false">
      <c r="A3031" s="22"/>
      <c r="B3031" s="22"/>
      <c r="C3031" s="23" t="str">
        <f aca="false">IF(A3031="","",IFERROR(buscarx(A3031&amp;B3031,DATA!$E$3:$E$10000&amp;DATA!$B$3:$B$10000,DATA!$M$3:$M$10000),"No encontrado"))</f>
        <v/>
      </c>
      <c r="D3031" s="24" t="str">
        <f aca="false">IF(A3031="","",IFERROR(buscarx(A3031&amp;B3031,DATA!$E$3:$E$10000&amp;DATA!$B$3:$B$10000,DATA!$W$3:$W$10000),"No encontrado"))</f>
        <v/>
      </c>
      <c r="E3031" s="22"/>
      <c r="F3031" s="23" t="str">
        <f aca="false">IF(A3031="","",IFERROR(buscarx(A3031&amp;E3031,DATA!$E$3:$E$10000&amp;DATA!$B$3:$B$10000,DATA!$M$3:$M$10000),"Inactivo"))</f>
        <v/>
      </c>
      <c r="G3031" s="25" t="str">
        <f aca="false">IF(A3031="","",IF(AND(C3031&lt;&gt;"No encontrado",F3031&lt;&gt;"Inactivo"),C3031&amp;" → "&amp;F3031,"Sin transición"))</f>
        <v/>
      </c>
      <c r="H3031" s="23" t="str">
        <f aca="false">IF(A3031="","",IF(D3031="GCIA LINEA SERVICIO DIGITALIDAD Y VENTAS","Chats",IF(OR(D3031="GERENCIA INBOUND LÍNEAS SERVICIO Y VENTA",D3031="GERENCIA INBOUND LINEAS ESPECIALIZADAS"),"Llamadas","Otro")))</f>
        <v/>
      </c>
      <c r="I3031" s="23" t="str">
        <f aca="false">IF(A3031="","",IF(C3031="No encontrado","No","Sí"))</f>
        <v/>
      </c>
      <c r="J3031" s="23" t="str">
        <f aca="false">IF(A3031="","",IF(F3031="Inactivo","No","Sí"))</f>
        <v/>
      </c>
      <c r="K3031" s="23" t="str">
        <f aca="false">IF(A3031="","",IF(AND(I3031="Sí",J3031="Sí"),"Sí","No"))</f>
        <v/>
      </c>
    </row>
    <row r="3032" customFormat="false" ht="15" hidden="false" customHeight="false" outlineLevel="0" collapsed="false">
      <c r="A3032" s="22"/>
      <c r="B3032" s="22"/>
      <c r="C3032" s="26" t="str">
        <f aca="false">IF(A3032="","",IFERROR(buscarx(A3032&amp;B3032,DATA!$E$3:$E$10000&amp;DATA!$B$3:$B$10000,DATA!$M$3:$M$10000),"No encontrado"))</f>
        <v/>
      </c>
      <c r="D3032" s="27" t="str">
        <f aca="false">IF(A3032="","",IFERROR(buscarx(A3032&amp;B3032,DATA!$E$3:$E$10000&amp;DATA!$B$3:$B$10000,DATA!$W$3:$W$10000),"No encontrado"))</f>
        <v/>
      </c>
      <c r="E3032" s="22"/>
      <c r="F3032" s="26" t="str">
        <f aca="false">IF(A3032="","",IFERROR(buscarx(A3032&amp;E3032,DATA!$E$3:$E$10000&amp;DATA!$B$3:$B$10000,DATA!$M$3:$M$10000),"Inactivo"))</f>
        <v/>
      </c>
      <c r="G3032" s="28" t="str">
        <f aca="false">IF(A3032="","",IF(AND(C3032&lt;&gt;"No encontrado",F3032&lt;&gt;"Inactivo"),C3032&amp;" → "&amp;F3032,"Sin transición"))</f>
        <v/>
      </c>
      <c r="H3032" s="26" t="str">
        <f aca="false">IF(A3032="","",IF(D3032="GCIA LINEA SERVICIO DIGITALIDAD Y VENTAS","Chats",IF(OR(D3032="GERENCIA INBOUND LÍNEAS SERVICIO Y VENTA",D3032="GERENCIA INBOUND LINEAS ESPECIALIZADAS"),"Llamadas","Otro")))</f>
        <v/>
      </c>
      <c r="I3032" s="26" t="str">
        <f aca="false">IF(A3032="","",IF(C3032="No encontrado","No","Sí"))</f>
        <v/>
      </c>
      <c r="J3032" s="26" t="str">
        <f aca="false">IF(A3032="","",IF(F3032="Inactivo","No","Sí"))</f>
        <v/>
      </c>
      <c r="K3032" s="26" t="str">
        <f aca="false">IF(A3032="","",IF(AND(I3032="Sí",J3032="Sí"),"Sí","No"))</f>
        <v/>
      </c>
    </row>
    <row r="3033" customFormat="false" ht="15" hidden="false" customHeight="false" outlineLevel="0" collapsed="false">
      <c r="A3033" s="22"/>
      <c r="B3033" s="22"/>
      <c r="C3033" s="23" t="str">
        <f aca="false">IF(A3033="","",IFERROR(buscarx(A3033&amp;B3033,DATA!$E$3:$E$10000&amp;DATA!$B$3:$B$10000,DATA!$M$3:$M$10000),"No encontrado"))</f>
        <v/>
      </c>
      <c r="D3033" s="24" t="str">
        <f aca="false">IF(A3033="","",IFERROR(buscarx(A3033&amp;B3033,DATA!$E$3:$E$10000&amp;DATA!$B$3:$B$10000,DATA!$W$3:$W$10000),"No encontrado"))</f>
        <v/>
      </c>
      <c r="E3033" s="22"/>
      <c r="F3033" s="23" t="str">
        <f aca="false">IF(A3033="","",IFERROR(buscarx(A3033&amp;E3033,DATA!$E$3:$E$10000&amp;DATA!$B$3:$B$10000,DATA!$M$3:$M$10000),"Inactivo"))</f>
        <v/>
      </c>
      <c r="G3033" s="25" t="str">
        <f aca="false">IF(A3033="","",IF(AND(C3033&lt;&gt;"No encontrado",F3033&lt;&gt;"Inactivo"),C3033&amp;" → "&amp;F3033,"Sin transición"))</f>
        <v/>
      </c>
      <c r="H3033" s="23" t="str">
        <f aca="false">IF(A3033="","",IF(D3033="GCIA LINEA SERVICIO DIGITALIDAD Y VENTAS","Chats",IF(OR(D3033="GERENCIA INBOUND LÍNEAS SERVICIO Y VENTA",D3033="GERENCIA INBOUND LINEAS ESPECIALIZADAS"),"Llamadas","Otro")))</f>
        <v/>
      </c>
      <c r="I3033" s="23" t="str">
        <f aca="false">IF(A3033="","",IF(C3033="No encontrado","No","Sí"))</f>
        <v/>
      </c>
      <c r="J3033" s="23" t="str">
        <f aca="false">IF(A3033="","",IF(F3033="Inactivo","No","Sí"))</f>
        <v/>
      </c>
      <c r="K3033" s="23" t="str">
        <f aca="false">IF(A3033="","",IF(AND(I3033="Sí",J3033="Sí"),"Sí","No"))</f>
        <v/>
      </c>
    </row>
    <row r="3034" customFormat="false" ht="15" hidden="false" customHeight="false" outlineLevel="0" collapsed="false">
      <c r="A3034" s="22"/>
      <c r="B3034" s="22"/>
      <c r="C3034" s="26" t="str">
        <f aca="false">IF(A3034="","",IFERROR(buscarx(A3034&amp;B3034,DATA!$E$3:$E$10000&amp;DATA!$B$3:$B$10000,DATA!$M$3:$M$10000),"No encontrado"))</f>
        <v/>
      </c>
      <c r="D3034" s="27" t="str">
        <f aca="false">IF(A3034="","",IFERROR(buscarx(A3034&amp;B3034,DATA!$E$3:$E$10000&amp;DATA!$B$3:$B$10000,DATA!$W$3:$W$10000),"No encontrado"))</f>
        <v/>
      </c>
      <c r="E3034" s="22"/>
      <c r="F3034" s="26" t="str">
        <f aca="false">IF(A3034="","",IFERROR(buscarx(A3034&amp;E3034,DATA!$E$3:$E$10000&amp;DATA!$B$3:$B$10000,DATA!$M$3:$M$10000),"Inactivo"))</f>
        <v/>
      </c>
      <c r="G3034" s="28" t="str">
        <f aca="false">IF(A3034="","",IF(AND(C3034&lt;&gt;"No encontrado",F3034&lt;&gt;"Inactivo"),C3034&amp;" → "&amp;F3034,"Sin transición"))</f>
        <v/>
      </c>
      <c r="H3034" s="26" t="str">
        <f aca="false">IF(A3034="","",IF(D3034="GCIA LINEA SERVICIO DIGITALIDAD Y VENTAS","Chats",IF(OR(D3034="GERENCIA INBOUND LÍNEAS SERVICIO Y VENTA",D3034="GERENCIA INBOUND LINEAS ESPECIALIZADAS"),"Llamadas","Otro")))</f>
        <v/>
      </c>
      <c r="I3034" s="26" t="str">
        <f aca="false">IF(A3034="","",IF(C3034="No encontrado","No","Sí"))</f>
        <v/>
      </c>
      <c r="J3034" s="26" t="str">
        <f aca="false">IF(A3034="","",IF(F3034="Inactivo","No","Sí"))</f>
        <v/>
      </c>
      <c r="K3034" s="26" t="str">
        <f aca="false">IF(A3034="","",IF(AND(I3034="Sí",J3034="Sí"),"Sí","No"))</f>
        <v/>
      </c>
    </row>
    <row r="3035" customFormat="false" ht="15" hidden="false" customHeight="false" outlineLevel="0" collapsed="false">
      <c r="A3035" s="22"/>
      <c r="B3035" s="22"/>
      <c r="C3035" s="23" t="str">
        <f aca="false">IF(A3035="","",IFERROR(buscarx(A3035&amp;B3035,DATA!$E$3:$E$10000&amp;DATA!$B$3:$B$10000,DATA!$M$3:$M$10000),"No encontrado"))</f>
        <v/>
      </c>
      <c r="D3035" s="24" t="str">
        <f aca="false">IF(A3035="","",IFERROR(buscarx(A3035&amp;B3035,DATA!$E$3:$E$10000&amp;DATA!$B$3:$B$10000,DATA!$W$3:$W$10000),"No encontrado"))</f>
        <v/>
      </c>
      <c r="E3035" s="22"/>
      <c r="F3035" s="23" t="str">
        <f aca="false">IF(A3035="","",IFERROR(buscarx(A3035&amp;E3035,DATA!$E$3:$E$10000&amp;DATA!$B$3:$B$10000,DATA!$M$3:$M$10000),"Inactivo"))</f>
        <v/>
      </c>
      <c r="G3035" s="25" t="str">
        <f aca="false">IF(A3035="","",IF(AND(C3035&lt;&gt;"No encontrado",F3035&lt;&gt;"Inactivo"),C3035&amp;" → "&amp;F3035,"Sin transición"))</f>
        <v/>
      </c>
      <c r="H3035" s="23" t="str">
        <f aca="false">IF(A3035="","",IF(D3035="GCIA LINEA SERVICIO DIGITALIDAD Y VENTAS","Chats",IF(OR(D3035="GERENCIA INBOUND LÍNEAS SERVICIO Y VENTA",D3035="GERENCIA INBOUND LINEAS ESPECIALIZADAS"),"Llamadas","Otro")))</f>
        <v/>
      </c>
      <c r="I3035" s="23" t="str">
        <f aca="false">IF(A3035="","",IF(C3035="No encontrado","No","Sí"))</f>
        <v/>
      </c>
      <c r="J3035" s="23" t="str">
        <f aca="false">IF(A3035="","",IF(F3035="Inactivo","No","Sí"))</f>
        <v/>
      </c>
      <c r="K3035" s="23" t="str">
        <f aca="false">IF(A3035="","",IF(AND(I3035="Sí",J3035="Sí"),"Sí","No"))</f>
        <v/>
      </c>
    </row>
    <row r="3036" customFormat="false" ht="15" hidden="false" customHeight="false" outlineLevel="0" collapsed="false">
      <c r="A3036" s="22"/>
      <c r="B3036" s="22"/>
      <c r="C3036" s="26" t="str">
        <f aca="false">IF(A3036="","",IFERROR(buscarx(A3036&amp;B3036,DATA!$E$3:$E$10000&amp;DATA!$B$3:$B$10000,DATA!$M$3:$M$10000),"No encontrado"))</f>
        <v/>
      </c>
      <c r="D3036" s="27" t="str">
        <f aca="false">IF(A3036="","",IFERROR(buscarx(A3036&amp;B3036,DATA!$E$3:$E$10000&amp;DATA!$B$3:$B$10000,DATA!$W$3:$W$10000),"No encontrado"))</f>
        <v/>
      </c>
      <c r="E3036" s="22"/>
      <c r="F3036" s="26" t="str">
        <f aca="false">IF(A3036="","",IFERROR(buscarx(A3036&amp;E3036,DATA!$E$3:$E$10000&amp;DATA!$B$3:$B$10000,DATA!$M$3:$M$10000),"Inactivo"))</f>
        <v/>
      </c>
      <c r="G3036" s="28" t="str">
        <f aca="false">IF(A3036="","",IF(AND(C3036&lt;&gt;"No encontrado",F3036&lt;&gt;"Inactivo"),C3036&amp;" → "&amp;F3036,"Sin transición"))</f>
        <v/>
      </c>
      <c r="H3036" s="26" t="str">
        <f aca="false">IF(A3036="","",IF(D3036="GCIA LINEA SERVICIO DIGITALIDAD Y VENTAS","Chats",IF(OR(D3036="GERENCIA INBOUND LÍNEAS SERVICIO Y VENTA",D3036="GERENCIA INBOUND LINEAS ESPECIALIZADAS"),"Llamadas","Otro")))</f>
        <v/>
      </c>
      <c r="I3036" s="26" t="str">
        <f aca="false">IF(A3036="","",IF(C3036="No encontrado","No","Sí"))</f>
        <v/>
      </c>
      <c r="J3036" s="26" t="str">
        <f aca="false">IF(A3036="","",IF(F3036="Inactivo","No","Sí"))</f>
        <v/>
      </c>
      <c r="K3036" s="26" t="str">
        <f aca="false">IF(A3036="","",IF(AND(I3036="Sí",J3036="Sí"),"Sí","No"))</f>
        <v/>
      </c>
    </row>
    <row r="3037" customFormat="false" ht="15" hidden="false" customHeight="false" outlineLevel="0" collapsed="false">
      <c r="A3037" s="22"/>
      <c r="B3037" s="22"/>
      <c r="C3037" s="23" t="str">
        <f aca="false">IF(A3037="","",IFERROR(buscarx(A3037&amp;B3037,DATA!$E$3:$E$10000&amp;DATA!$B$3:$B$10000,DATA!$M$3:$M$10000),"No encontrado"))</f>
        <v/>
      </c>
      <c r="D3037" s="24" t="str">
        <f aca="false">IF(A3037="","",IFERROR(buscarx(A3037&amp;B3037,DATA!$E$3:$E$10000&amp;DATA!$B$3:$B$10000,DATA!$W$3:$W$10000),"No encontrado"))</f>
        <v/>
      </c>
      <c r="E3037" s="22"/>
      <c r="F3037" s="23" t="str">
        <f aca="false">IF(A3037="","",IFERROR(buscarx(A3037&amp;E3037,DATA!$E$3:$E$10000&amp;DATA!$B$3:$B$10000,DATA!$M$3:$M$10000),"Inactivo"))</f>
        <v/>
      </c>
      <c r="G3037" s="25" t="str">
        <f aca="false">IF(A3037="","",IF(AND(C3037&lt;&gt;"No encontrado",F3037&lt;&gt;"Inactivo"),C3037&amp;" → "&amp;F3037,"Sin transición"))</f>
        <v/>
      </c>
      <c r="H3037" s="23" t="str">
        <f aca="false">IF(A3037="","",IF(D3037="GCIA LINEA SERVICIO DIGITALIDAD Y VENTAS","Chats",IF(OR(D3037="GERENCIA INBOUND LÍNEAS SERVICIO Y VENTA",D3037="GERENCIA INBOUND LINEAS ESPECIALIZADAS"),"Llamadas","Otro")))</f>
        <v/>
      </c>
      <c r="I3037" s="23" t="str">
        <f aca="false">IF(A3037="","",IF(C3037="No encontrado","No","Sí"))</f>
        <v/>
      </c>
      <c r="J3037" s="23" t="str">
        <f aca="false">IF(A3037="","",IF(F3037="Inactivo","No","Sí"))</f>
        <v/>
      </c>
      <c r="K3037" s="23" t="str">
        <f aca="false">IF(A3037="","",IF(AND(I3037="Sí",J3037="Sí"),"Sí","No"))</f>
        <v/>
      </c>
    </row>
    <row r="3038" customFormat="false" ht="15" hidden="false" customHeight="false" outlineLevel="0" collapsed="false">
      <c r="A3038" s="22"/>
      <c r="B3038" s="22"/>
      <c r="C3038" s="26" t="str">
        <f aca="false">IF(A3038="","",IFERROR(buscarx(A3038&amp;B3038,DATA!$E$3:$E$10000&amp;DATA!$B$3:$B$10000,DATA!$M$3:$M$10000),"No encontrado"))</f>
        <v/>
      </c>
      <c r="D3038" s="27" t="str">
        <f aca="false">IF(A3038="","",IFERROR(buscarx(A3038&amp;B3038,DATA!$E$3:$E$10000&amp;DATA!$B$3:$B$10000,DATA!$W$3:$W$10000),"No encontrado"))</f>
        <v/>
      </c>
      <c r="E3038" s="22"/>
      <c r="F3038" s="26" t="str">
        <f aca="false">IF(A3038="","",IFERROR(buscarx(A3038&amp;E3038,DATA!$E$3:$E$10000&amp;DATA!$B$3:$B$10000,DATA!$M$3:$M$10000),"Inactivo"))</f>
        <v/>
      </c>
      <c r="G3038" s="28" t="str">
        <f aca="false">IF(A3038="","",IF(AND(C3038&lt;&gt;"No encontrado",F3038&lt;&gt;"Inactivo"),C3038&amp;" → "&amp;F3038,"Sin transición"))</f>
        <v/>
      </c>
      <c r="H3038" s="26" t="str">
        <f aca="false">IF(A3038="","",IF(D3038="GCIA LINEA SERVICIO DIGITALIDAD Y VENTAS","Chats",IF(OR(D3038="GERENCIA INBOUND LÍNEAS SERVICIO Y VENTA",D3038="GERENCIA INBOUND LINEAS ESPECIALIZADAS"),"Llamadas","Otro")))</f>
        <v/>
      </c>
      <c r="I3038" s="26" t="str">
        <f aca="false">IF(A3038="","",IF(C3038="No encontrado","No","Sí"))</f>
        <v/>
      </c>
      <c r="J3038" s="26" t="str">
        <f aca="false">IF(A3038="","",IF(F3038="Inactivo","No","Sí"))</f>
        <v/>
      </c>
      <c r="K3038" s="26" t="str">
        <f aca="false">IF(A3038="","",IF(AND(I3038="Sí",J3038="Sí"),"Sí","No"))</f>
        <v/>
      </c>
    </row>
    <row r="3039" customFormat="false" ht="15" hidden="false" customHeight="false" outlineLevel="0" collapsed="false">
      <c r="A3039" s="22"/>
      <c r="B3039" s="22"/>
      <c r="C3039" s="23" t="str">
        <f aca="false">IF(A3039="","",IFERROR(buscarx(A3039&amp;B3039,DATA!$E$3:$E$10000&amp;DATA!$B$3:$B$10000,DATA!$M$3:$M$10000),"No encontrado"))</f>
        <v/>
      </c>
      <c r="D3039" s="24" t="str">
        <f aca="false">IF(A3039="","",IFERROR(buscarx(A3039&amp;B3039,DATA!$E$3:$E$10000&amp;DATA!$B$3:$B$10000,DATA!$W$3:$W$10000),"No encontrado"))</f>
        <v/>
      </c>
      <c r="E3039" s="22"/>
      <c r="F3039" s="23" t="str">
        <f aca="false">IF(A3039="","",IFERROR(buscarx(A3039&amp;E3039,DATA!$E$3:$E$10000&amp;DATA!$B$3:$B$10000,DATA!$M$3:$M$10000),"Inactivo"))</f>
        <v/>
      </c>
      <c r="G3039" s="25" t="str">
        <f aca="false">IF(A3039="","",IF(AND(C3039&lt;&gt;"No encontrado",F3039&lt;&gt;"Inactivo"),C3039&amp;" → "&amp;F3039,"Sin transición"))</f>
        <v/>
      </c>
      <c r="H3039" s="23" t="str">
        <f aca="false">IF(A3039="","",IF(D3039="GCIA LINEA SERVICIO DIGITALIDAD Y VENTAS","Chats",IF(OR(D3039="GERENCIA INBOUND LÍNEAS SERVICIO Y VENTA",D3039="GERENCIA INBOUND LINEAS ESPECIALIZADAS"),"Llamadas","Otro")))</f>
        <v/>
      </c>
      <c r="I3039" s="23" t="str">
        <f aca="false">IF(A3039="","",IF(C3039="No encontrado","No","Sí"))</f>
        <v/>
      </c>
      <c r="J3039" s="23" t="str">
        <f aca="false">IF(A3039="","",IF(F3039="Inactivo","No","Sí"))</f>
        <v/>
      </c>
      <c r="K3039" s="23" t="str">
        <f aca="false">IF(A3039="","",IF(AND(I3039="Sí",J3039="Sí"),"Sí","No"))</f>
        <v/>
      </c>
    </row>
    <row r="3040" customFormat="false" ht="15" hidden="false" customHeight="false" outlineLevel="0" collapsed="false">
      <c r="A3040" s="22"/>
      <c r="B3040" s="22"/>
      <c r="C3040" s="26" t="str">
        <f aca="false">IF(A3040="","",IFERROR(buscarx(A3040&amp;B3040,DATA!$E$3:$E$10000&amp;DATA!$B$3:$B$10000,DATA!$M$3:$M$10000),"No encontrado"))</f>
        <v/>
      </c>
      <c r="D3040" s="27" t="str">
        <f aca="false">IF(A3040="","",IFERROR(buscarx(A3040&amp;B3040,DATA!$E$3:$E$10000&amp;DATA!$B$3:$B$10000,DATA!$W$3:$W$10000),"No encontrado"))</f>
        <v/>
      </c>
      <c r="E3040" s="22"/>
      <c r="F3040" s="26" t="str">
        <f aca="false">IF(A3040="","",IFERROR(buscarx(A3040&amp;E3040,DATA!$E$3:$E$10000&amp;DATA!$B$3:$B$10000,DATA!$M$3:$M$10000),"Inactivo"))</f>
        <v/>
      </c>
      <c r="G3040" s="28" t="str">
        <f aca="false">IF(A3040="","",IF(AND(C3040&lt;&gt;"No encontrado",F3040&lt;&gt;"Inactivo"),C3040&amp;" → "&amp;F3040,"Sin transición"))</f>
        <v/>
      </c>
      <c r="H3040" s="26" t="str">
        <f aca="false">IF(A3040="","",IF(D3040="GCIA LINEA SERVICIO DIGITALIDAD Y VENTAS","Chats",IF(OR(D3040="GERENCIA INBOUND LÍNEAS SERVICIO Y VENTA",D3040="GERENCIA INBOUND LINEAS ESPECIALIZADAS"),"Llamadas","Otro")))</f>
        <v/>
      </c>
      <c r="I3040" s="26" t="str">
        <f aca="false">IF(A3040="","",IF(C3040="No encontrado","No","Sí"))</f>
        <v/>
      </c>
      <c r="J3040" s="26" t="str">
        <f aca="false">IF(A3040="","",IF(F3040="Inactivo","No","Sí"))</f>
        <v/>
      </c>
      <c r="K3040" s="26" t="str">
        <f aca="false">IF(A3040="","",IF(AND(I3040="Sí",J3040="Sí"),"Sí","No"))</f>
        <v/>
      </c>
    </row>
    <row r="3041" customFormat="false" ht="15" hidden="false" customHeight="false" outlineLevel="0" collapsed="false">
      <c r="A3041" s="22"/>
      <c r="B3041" s="22"/>
      <c r="C3041" s="23" t="str">
        <f aca="false">IF(A3041="","",IFERROR(buscarx(A3041&amp;B3041,DATA!$E$3:$E$10000&amp;DATA!$B$3:$B$10000,DATA!$M$3:$M$10000),"No encontrado"))</f>
        <v/>
      </c>
      <c r="D3041" s="24" t="str">
        <f aca="false">IF(A3041="","",IFERROR(buscarx(A3041&amp;B3041,DATA!$E$3:$E$10000&amp;DATA!$B$3:$B$10000,DATA!$W$3:$W$10000),"No encontrado"))</f>
        <v/>
      </c>
      <c r="E3041" s="22"/>
      <c r="F3041" s="23" t="str">
        <f aca="false">IF(A3041="","",IFERROR(buscarx(A3041&amp;E3041,DATA!$E$3:$E$10000&amp;DATA!$B$3:$B$10000,DATA!$M$3:$M$10000),"Inactivo"))</f>
        <v/>
      </c>
      <c r="G3041" s="25" t="str">
        <f aca="false">IF(A3041="","",IF(AND(C3041&lt;&gt;"No encontrado",F3041&lt;&gt;"Inactivo"),C3041&amp;" → "&amp;F3041,"Sin transición"))</f>
        <v/>
      </c>
      <c r="H3041" s="23" t="str">
        <f aca="false">IF(A3041="","",IF(D3041="GCIA LINEA SERVICIO DIGITALIDAD Y VENTAS","Chats",IF(OR(D3041="GERENCIA INBOUND LÍNEAS SERVICIO Y VENTA",D3041="GERENCIA INBOUND LINEAS ESPECIALIZADAS"),"Llamadas","Otro")))</f>
        <v/>
      </c>
      <c r="I3041" s="23" t="str">
        <f aca="false">IF(A3041="","",IF(C3041="No encontrado","No","Sí"))</f>
        <v/>
      </c>
      <c r="J3041" s="23" t="str">
        <f aca="false">IF(A3041="","",IF(F3041="Inactivo","No","Sí"))</f>
        <v/>
      </c>
      <c r="K3041" s="23" t="str">
        <f aca="false">IF(A3041="","",IF(AND(I3041="Sí",J3041="Sí"),"Sí","No"))</f>
        <v/>
      </c>
    </row>
    <row r="3042" customFormat="false" ht="15" hidden="false" customHeight="false" outlineLevel="0" collapsed="false">
      <c r="A3042" s="22"/>
      <c r="B3042" s="22"/>
      <c r="C3042" s="26" t="str">
        <f aca="false">IF(A3042="","",IFERROR(buscarx(A3042&amp;B3042,DATA!$E$3:$E$10000&amp;DATA!$B$3:$B$10000,DATA!$M$3:$M$10000),"No encontrado"))</f>
        <v/>
      </c>
      <c r="D3042" s="27" t="str">
        <f aca="false">IF(A3042="","",IFERROR(buscarx(A3042&amp;B3042,DATA!$E$3:$E$10000&amp;DATA!$B$3:$B$10000,DATA!$W$3:$W$10000),"No encontrado"))</f>
        <v/>
      </c>
      <c r="E3042" s="22"/>
      <c r="F3042" s="26" t="str">
        <f aca="false">IF(A3042="","",IFERROR(buscarx(A3042&amp;E3042,DATA!$E$3:$E$10000&amp;DATA!$B$3:$B$10000,DATA!$M$3:$M$10000),"Inactivo"))</f>
        <v/>
      </c>
      <c r="G3042" s="28" t="str">
        <f aca="false">IF(A3042="","",IF(AND(C3042&lt;&gt;"No encontrado",F3042&lt;&gt;"Inactivo"),C3042&amp;" → "&amp;F3042,"Sin transición"))</f>
        <v/>
      </c>
      <c r="H3042" s="26" t="str">
        <f aca="false">IF(A3042="","",IF(D3042="GCIA LINEA SERVICIO DIGITALIDAD Y VENTAS","Chats",IF(OR(D3042="GERENCIA INBOUND LÍNEAS SERVICIO Y VENTA",D3042="GERENCIA INBOUND LINEAS ESPECIALIZADAS"),"Llamadas","Otro")))</f>
        <v/>
      </c>
      <c r="I3042" s="26" t="str">
        <f aca="false">IF(A3042="","",IF(C3042="No encontrado","No","Sí"))</f>
        <v/>
      </c>
      <c r="J3042" s="26" t="str">
        <f aca="false">IF(A3042="","",IF(F3042="Inactivo","No","Sí"))</f>
        <v/>
      </c>
      <c r="K3042" s="26" t="str">
        <f aca="false">IF(A3042="","",IF(AND(I3042="Sí",J3042="Sí"),"Sí","No"))</f>
        <v/>
      </c>
    </row>
    <row r="3043" customFormat="false" ht="15" hidden="false" customHeight="false" outlineLevel="0" collapsed="false">
      <c r="A3043" s="22"/>
      <c r="B3043" s="22"/>
      <c r="C3043" s="23" t="str">
        <f aca="false">IF(A3043="","",IFERROR(buscarx(A3043&amp;B3043,DATA!$E$3:$E$10000&amp;DATA!$B$3:$B$10000,DATA!$M$3:$M$10000),"No encontrado"))</f>
        <v/>
      </c>
      <c r="D3043" s="24" t="str">
        <f aca="false">IF(A3043="","",IFERROR(buscarx(A3043&amp;B3043,DATA!$E$3:$E$10000&amp;DATA!$B$3:$B$10000,DATA!$W$3:$W$10000),"No encontrado"))</f>
        <v/>
      </c>
      <c r="E3043" s="22"/>
      <c r="F3043" s="23" t="str">
        <f aca="false">IF(A3043="","",IFERROR(buscarx(A3043&amp;E3043,DATA!$E$3:$E$10000&amp;DATA!$B$3:$B$10000,DATA!$M$3:$M$10000),"Inactivo"))</f>
        <v/>
      </c>
      <c r="G3043" s="25" t="str">
        <f aca="false">IF(A3043="","",IF(AND(C3043&lt;&gt;"No encontrado",F3043&lt;&gt;"Inactivo"),C3043&amp;" → "&amp;F3043,"Sin transición"))</f>
        <v/>
      </c>
      <c r="H3043" s="23" t="str">
        <f aca="false">IF(A3043="","",IF(D3043="GCIA LINEA SERVICIO DIGITALIDAD Y VENTAS","Chats",IF(OR(D3043="GERENCIA INBOUND LÍNEAS SERVICIO Y VENTA",D3043="GERENCIA INBOUND LINEAS ESPECIALIZADAS"),"Llamadas","Otro")))</f>
        <v/>
      </c>
      <c r="I3043" s="23" t="str">
        <f aca="false">IF(A3043="","",IF(C3043="No encontrado","No","Sí"))</f>
        <v/>
      </c>
      <c r="J3043" s="23" t="str">
        <f aca="false">IF(A3043="","",IF(F3043="Inactivo","No","Sí"))</f>
        <v/>
      </c>
      <c r="K3043" s="23" t="str">
        <f aca="false">IF(A3043="","",IF(AND(I3043="Sí",J3043="Sí"),"Sí","No"))</f>
        <v/>
      </c>
    </row>
    <row r="3044" customFormat="false" ht="15" hidden="false" customHeight="false" outlineLevel="0" collapsed="false">
      <c r="A3044" s="22"/>
      <c r="B3044" s="22"/>
      <c r="C3044" s="26" t="str">
        <f aca="false">IF(A3044="","",IFERROR(buscarx(A3044&amp;B3044,DATA!$E$3:$E$10000&amp;DATA!$B$3:$B$10000,DATA!$M$3:$M$10000),"No encontrado"))</f>
        <v/>
      </c>
      <c r="D3044" s="27" t="str">
        <f aca="false">IF(A3044="","",IFERROR(buscarx(A3044&amp;B3044,DATA!$E$3:$E$10000&amp;DATA!$B$3:$B$10000,DATA!$W$3:$W$10000),"No encontrado"))</f>
        <v/>
      </c>
      <c r="E3044" s="22"/>
      <c r="F3044" s="26" t="str">
        <f aca="false">IF(A3044="","",IFERROR(buscarx(A3044&amp;E3044,DATA!$E$3:$E$10000&amp;DATA!$B$3:$B$10000,DATA!$M$3:$M$10000),"Inactivo"))</f>
        <v/>
      </c>
      <c r="G3044" s="28" t="str">
        <f aca="false">IF(A3044="","",IF(AND(C3044&lt;&gt;"No encontrado",F3044&lt;&gt;"Inactivo"),C3044&amp;" → "&amp;F3044,"Sin transición"))</f>
        <v/>
      </c>
      <c r="H3044" s="26" t="str">
        <f aca="false">IF(A3044="","",IF(D3044="GCIA LINEA SERVICIO DIGITALIDAD Y VENTAS","Chats",IF(OR(D3044="GERENCIA INBOUND LÍNEAS SERVICIO Y VENTA",D3044="GERENCIA INBOUND LINEAS ESPECIALIZADAS"),"Llamadas","Otro")))</f>
        <v/>
      </c>
      <c r="I3044" s="26" t="str">
        <f aca="false">IF(A3044="","",IF(C3044="No encontrado","No","Sí"))</f>
        <v/>
      </c>
      <c r="J3044" s="26" t="str">
        <f aca="false">IF(A3044="","",IF(F3044="Inactivo","No","Sí"))</f>
        <v/>
      </c>
      <c r="K3044" s="26" t="str">
        <f aca="false">IF(A3044="","",IF(AND(I3044="Sí",J3044="Sí"),"Sí","No"))</f>
        <v/>
      </c>
    </row>
    <row r="3045" customFormat="false" ht="15" hidden="false" customHeight="false" outlineLevel="0" collapsed="false">
      <c r="A3045" s="22"/>
      <c r="B3045" s="22"/>
      <c r="C3045" s="23" t="str">
        <f aca="false">IF(A3045="","",IFERROR(buscarx(A3045&amp;B3045,DATA!$E$3:$E$10000&amp;DATA!$B$3:$B$10000,DATA!$M$3:$M$10000),"No encontrado"))</f>
        <v/>
      </c>
      <c r="D3045" s="24" t="str">
        <f aca="false">IF(A3045="","",IFERROR(buscarx(A3045&amp;B3045,DATA!$E$3:$E$10000&amp;DATA!$B$3:$B$10000,DATA!$W$3:$W$10000),"No encontrado"))</f>
        <v/>
      </c>
      <c r="E3045" s="22"/>
      <c r="F3045" s="23" t="str">
        <f aca="false">IF(A3045="","",IFERROR(buscarx(A3045&amp;E3045,DATA!$E$3:$E$10000&amp;DATA!$B$3:$B$10000,DATA!$M$3:$M$10000),"Inactivo"))</f>
        <v/>
      </c>
      <c r="G3045" s="25" t="str">
        <f aca="false">IF(A3045="","",IF(AND(C3045&lt;&gt;"No encontrado",F3045&lt;&gt;"Inactivo"),C3045&amp;" → "&amp;F3045,"Sin transición"))</f>
        <v/>
      </c>
      <c r="H3045" s="23" t="str">
        <f aca="false">IF(A3045="","",IF(D3045="GCIA LINEA SERVICIO DIGITALIDAD Y VENTAS","Chats",IF(OR(D3045="GERENCIA INBOUND LÍNEAS SERVICIO Y VENTA",D3045="GERENCIA INBOUND LINEAS ESPECIALIZADAS"),"Llamadas","Otro")))</f>
        <v/>
      </c>
      <c r="I3045" s="23" t="str">
        <f aca="false">IF(A3045="","",IF(C3045="No encontrado","No","Sí"))</f>
        <v/>
      </c>
      <c r="J3045" s="23" t="str">
        <f aca="false">IF(A3045="","",IF(F3045="Inactivo","No","Sí"))</f>
        <v/>
      </c>
      <c r="K3045" s="23" t="str">
        <f aca="false">IF(A3045="","",IF(AND(I3045="Sí",J3045="Sí"),"Sí","No"))</f>
        <v/>
      </c>
    </row>
    <row r="3046" customFormat="false" ht="15" hidden="false" customHeight="false" outlineLevel="0" collapsed="false">
      <c r="A3046" s="22"/>
      <c r="B3046" s="22"/>
      <c r="C3046" s="26" t="str">
        <f aca="false">IF(A3046="","",IFERROR(buscarx(A3046&amp;B3046,DATA!$E$3:$E$10000&amp;DATA!$B$3:$B$10000,DATA!$M$3:$M$10000),"No encontrado"))</f>
        <v/>
      </c>
      <c r="D3046" s="27" t="str">
        <f aca="false">IF(A3046="","",IFERROR(buscarx(A3046&amp;B3046,DATA!$E$3:$E$10000&amp;DATA!$B$3:$B$10000,DATA!$W$3:$W$10000),"No encontrado"))</f>
        <v/>
      </c>
      <c r="E3046" s="22"/>
      <c r="F3046" s="26" t="str">
        <f aca="false">IF(A3046="","",IFERROR(buscarx(A3046&amp;E3046,DATA!$E$3:$E$10000&amp;DATA!$B$3:$B$10000,DATA!$M$3:$M$10000),"Inactivo"))</f>
        <v/>
      </c>
      <c r="G3046" s="28" t="str">
        <f aca="false">IF(A3046="","",IF(AND(C3046&lt;&gt;"No encontrado",F3046&lt;&gt;"Inactivo"),C3046&amp;" → "&amp;F3046,"Sin transición"))</f>
        <v/>
      </c>
      <c r="H3046" s="26" t="str">
        <f aca="false">IF(A3046="","",IF(D3046="GCIA LINEA SERVICIO DIGITALIDAD Y VENTAS","Chats",IF(OR(D3046="GERENCIA INBOUND LÍNEAS SERVICIO Y VENTA",D3046="GERENCIA INBOUND LINEAS ESPECIALIZADAS"),"Llamadas","Otro")))</f>
        <v/>
      </c>
      <c r="I3046" s="26" t="str">
        <f aca="false">IF(A3046="","",IF(C3046="No encontrado","No","Sí"))</f>
        <v/>
      </c>
      <c r="J3046" s="26" t="str">
        <f aca="false">IF(A3046="","",IF(F3046="Inactivo","No","Sí"))</f>
        <v/>
      </c>
      <c r="K3046" s="26" t="str">
        <f aca="false">IF(A3046="","",IF(AND(I3046="Sí",J3046="Sí"),"Sí","No"))</f>
        <v/>
      </c>
    </row>
    <row r="3047" customFormat="false" ht="15" hidden="false" customHeight="false" outlineLevel="0" collapsed="false">
      <c r="A3047" s="22"/>
      <c r="B3047" s="22"/>
      <c r="C3047" s="23" t="str">
        <f aca="false">IF(A3047="","",IFERROR(buscarx(A3047&amp;B3047,DATA!$E$3:$E$10000&amp;DATA!$B$3:$B$10000,DATA!$M$3:$M$10000),"No encontrado"))</f>
        <v/>
      </c>
      <c r="D3047" s="24" t="str">
        <f aca="false">IF(A3047="","",IFERROR(buscarx(A3047&amp;B3047,DATA!$E$3:$E$10000&amp;DATA!$B$3:$B$10000,DATA!$W$3:$W$10000),"No encontrado"))</f>
        <v/>
      </c>
      <c r="E3047" s="22"/>
      <c r="F3047" s="23" t="str">
        <f aca="false">IF(A3047="","",IFERROR(buscarx(A3047&amp;E3047,DATA!$E$3:$E$10000&amp;DATA!$B$3:$B$10000,DATA!$M$3:$M$10000),"Inactivo"))</f>
        <v/>
      </c>
      <c r="G3047" s="25" t="str">
        <f aca="false">IF(A3047="","",IF(AND(C3047&lt;&gt;"No encontrado",F3047&lt;&gt;"Inactivo"),C3047&amp;" → "&amp;F3047,"Sin transición"))</f>
        <v/>
      </c>
      <c r="H3047" s="23" t="str">
        <f aca="false">IF(A3047="","",IF(D3047="GCIA LINEA SERVICIO DIGITALIDAD Y VENTAS","Chats",IF(OR(D3047="GERENCIA INBOUND LÍNEAS SERVICIO Y VENTA",D3047="GERENCIA INBOUND LINEAS ESPECIALIZADAS"),"Llamadas","Otro")))</f>
        <v/>
      </c>
      <c r="I3047" s="23" t="str">
        <f aca="false">IF(A3047="","",IF(C3047="No encontrado","No","Sí"))</f>
        <v/>
      </c>
      <c r="J3047" s="23" t="str">
        <f aca="false">IF(A3047="","",IF(F3047="Inactivo","No","Sí"))</f>
        <v/>
      </c>
      <c r="K3047" s="23" t="str">
        <f aca="false">IF(A3047="","",IF(AND(I3047="Sí",J3047="Sí"),"Sí","No"))</f>
        <v/>
      </c>
    </row>
    <row r="3048" customFormat="false" ht="15" hidden="false" customHeight="false" outlineLevel="0" collapsed="false">
      <c r="A3048" s="22"/>
      <c r="B3048" s="22"/>
      <c r="C3048" s="26" t="str">
        <f aca="false">IF(A3048="","",IFERROR(buscarx(A3048&amp;B3048,DATA!$E$3:$E$10000&amp;DATA!$B$3:$B$10000,DATA!$M$3:$M$10000),"No encontrado"))</f>
        <v/>
      </c>
      <c r="D3048" s="27" t="str">
        <f aca="false">IF(A3048="","",IFERROR(buscarx(A3048&amp;B3048,DATA!$E$3:$E$10000&amp;DATA!$B$3:$B$10000,DATA!$W$3:$W$10000),"No encontrado"))</f>
        <v/>
      </c>
      <c r="E3048" s="22"/>
      <c r="F3048" s="26" t="str">
        <f aca="false">IF(A3048="","",IFERROR(buscarx(A3048&amp;E3048,DATA!$E$3:$E$10000&amp;DATA!$B$3:$B$10000,DATA!$M$3:$M$10000),"Inactivo"))</f>
        <v/>
      </c>
      <c r="G3048" s="28" t="str">
        <f aca="false">IF(A3048="","",IF(AND(C3048&lt;&gt;"No encontrado",F3048&lt;&gt;"Inactivo"),C3048&amp;" → "&amp;F3048,"Sin transición"))</f>
        <v/>
      </c>
      <c r="H3048" s="26" t="str">
        <f aca="false">IF(A3048="","",IF(D3048="GCIA LINEA SERVICIO DIGITALIDAD Y VENTAS","Chats",IF(OR(D3048="GERENCIA INBOUND LÍNEAS SERVICIO Y VENTA",D3048="GERENCIA INBOUND LINEAS ESPECIALIZADAS"),"Llamadas","Otro")))</f>
        <v/>
      </c>
      <c r="I3048" s="26" t="str">
        <f aca="false">IF(A3048="","",IF(C3048="No encontrado","No","Sí"))</f>
        <v/>
      </c>
      <c r="J3048" s="26" t="str">
        <f aca="false">IF(A3048="","",IF(F3048="Inactivo","No","Sí"))</f>
        <v/>
      </c>
      <c r="K3048" s="26" t="str">
        <f aca="false">IF(A3048="","",IF(AND(I3048="Sí",J3048="Sí"),"Sí","No"))</f>
        <v/>
      </c>
    </row>
    <row r="3049" customFormat="false" ht="15" hidden="false" customHeight="false" outlineLevel="0" collapsed="false">
      <c r="A3049" s="22"/>
      <c r="B3049" s="22"/>
      <c r="C3049" s="23" t="str">
        <f aca="false">IF(A3049="","",IFERROR(buscarx(A3049&amp;B3049,DATA!$E$3:$E$10000&amp;DATA!$B$3:$B$10000,DATA!$M$3:$M$10000),"No encontrado"))</f>
        <v/>
      </c>
      <c r="D3049" s="24" t="str">
        <f aca="false">IF(A3049="","",IFERROR(buscarx(A3049&amp;B3049,DATA!$E$3:$E$10000&amp;DATA!$B$3:$B$10000,DATA!$W$3:$W$10000),"No encontrado"))</f>
        <v/>
      </c>
      <c r="E3049" s="22"/>
      <c r="F3049" s="23" t="str">
        <f aca="false">IF(A3049="","",IFERROR(buscarx(A3049&amp;E3049,DATA!$E$3:$E$10000&amp;DATA!$B$3:$B$10000,DATA!$M$3:$M$10000),"Inactivo"))</f>
        <v/>
      </c>
      <c r="G3049" s="25" t="str">
        <f aca="false">IF(A3049="","",IF(AND(C3049&lt;&gt;"No encontrado",F3049&lt;&gt;"Inactivo"),C3049&amp;" → "&amp;F3049,"Sin transición"))</f>
        <v/>
      </c>
      <c r="H3049" s="23" t="str">
        <f aca="false">IF(A3049="","",IF(D3049="GCIA LINEA SERVICIO DIGITALIDAD Y VENTAS","Chats",IF(OR(D3049="GERENCIA INBOUND LÍNEAS SERVICIO Y VENTA",D3049="GERENCIA INBOUND LINEAS ESPECIALIZADAS"),"Llamadas","Otro")))</f>
        <v/>
      </c>
      <c r="I3049" s="23" t="str">
        <f aca="false">IF(A3049="","",IF(C3049="No encontrado","No","Sí"))</f>
        <v/>
      </c>
      <c r="J3049" s="23" t="str">
        <f aca="false">IF(A3049="","",IF(F3049="Inactivo","No","Sí"))</f>
        <v/>
      </c>
      <c r="K3049" s="23" t="str">
        <f aca="false">IF(A3049="","",IF(AND(I3049="Sí",J3049="Sí"),"Sí","No"))</f>
        <v/>
      </c>
    </row>
    <row r="3050" customFormat="false" ht="15" hidden="false" customHeight="false" outlineLevel="0" collapsed="false">
      <c r="A3050" s="22"/>
      <c r="B3050" s="22"/>
      <c r="C3050" s="26" t="str">
        <f aca="false">IF(A3050="","",IFERROR(buscarx(A3050&amp;B3050,DATA!$E$3:$E$10000&amp;DATA!$B$3:$B$10000,DATA!$M$3:$M$10000),"No encontrado"))</f>
        <v/>
      </c>
      <c r="D3050" s="27" t="str">
        <f aca="false">IF(A3050="","",IFERROR(buscarx(A3050&amp;B3050,DATA!$E$3:$E$10000&amp;DATA!$B$3:$B$10000,DATA!$W$3:$W$10000),"No encontrado"))</f>
        <v/>
      </c>
      <c r="E3050" s="22"/>
      <c r="F3050" s="26" t="str">
        <f aca="false">IF(A3050="","",IFERROR(buscarx(A3050&amp;E3050,DATA!$E$3:$E$10000&amp;DATA!$B$3:$B$10000,DATA!$M$3:$M$10000),"Inactivo"))</f>
        <v/>
      </c>
      <c r="G3050" s="28" t="str">
        <f aca="false">IF(A3050="","",IF(AND(C3050&lt;&gt;"No encontrado",F3050&lt;&gt;"Inactivo"),C3050&amp;" → "&amp;F3050,"Sin transición"))</f>
        <v/>
      </c>
      <c r="H3050" s="26" t="str">
        <f aca="false">IF(A3050="","",IF(D3050="GCIA LINEA SERVICIO DIGITALIDAD Y VENTAS","Chats",IF(OR(D3050="GERENCIA INBOUND LÍNEAS SERVICIO Y VENTA",D3050="GERENCIA INBOUND LINEAS ESPECIALIZADAS"),"Llamadas","Otro")))</f>
        <v/>
      </c>
      <c r="I3050" s="26" t="str">
        <f aca="false">IF(A3050="","",IF(C3050="No encontrado","No","Sí"))</f>
        <v/>
      </c>
      <c r="J3050" s="26" t="str">
        <f aca="false">IF(A3050="","",IF(F3050="Inactivo","No","Sí"))</f>
        <v/>
      </c>
      <c r="K3050" s="26" t="str">
        <f aca="false">IF(A3050="","",IF(AND(I3050="Sí",J3050="Sí"),"Sí","No"))</f>
        <v/>
      </c>
    </row>
    <row r="3051" customFormat="false" ht="15" hidden="false" customHeight="false" outlineLevel="0" collapsed="false">
      <c r="A3051" s="22"/>
      <c r="B3051" s="22"/>
      <c r="C3051" s="23" t="str">
        <f aca="false">IF(A3051="","",IFERROR(buscarx(A3051&amp;B3051,DATA!$E$3:$E$10000&amp;DATA!$B$3:$B$10000,DATA!$M$3:$M$10000),"No encontrado"))</f>
        <v/>
      </c>
      <c r="D3051" s="24" t="str">
        <f aca="false">IF(A3051="","",IFERROR(buscarx(A3051&amp;B3051,DATA!$E$3:$E$10000&amp;DATA!$B$3:$B$10000,DATA!$W$3:$W$10000),"No encontrado"))</f>
        <v/>
      </c>
      <c r="E3051" s="22"/>
      <c r="F3051" s="23" t="str">
        <f aca="false">IF(A3051="","",IFERROR(buscarx(A3051&amp;E3051,DATA!$E$3:$E$10000&amp;DATA!$B$3:$B$10000,DATA!$M$3:$M$10000),"Inactivo"))</f>
        <v/>
      </c>
      <c r="G3051" s="25" t="str">
        <f aca="false">IF(A3051="","",IF(AND(C3051&lt;&gt;"No encontrado",F3051&lt;&gt;"Inactivo"),C3051&amp;" → "&amp;F3051,"Sin transición"))</f>
        <v/>
      </c>
      <c r="H3051" s="23" t="str">
        <f aca="false">IF(A3051="","",IF(D3051="GCIA LINEA SERVICIO DIGITALIDAD Y VENTAS","Chats",IF(OR(D3051="GERENCIA INBOUND LÍNEAS SERVICIO Y VENTA",D3051="GERENCIA INBOUND LINEAS ESPECIALIZADAS"),"Llamadas","Otro")))</f>
        <v/>
      </c>
      <c r="I3051" s="23" t="str">
        <f aca="false">IF(A3051="","",IF(C3051="No encontrado","No","Sí"))</f>
        <v/>
      </c>
      <c r="J3051" s="23" t="str">
        <f aca="false">IF(A3051="","",IF(F3051="Inactivo","No","Sí"))</f>
        <v/>
      </c>
      <c r="K3051" s="23" t="str">
        <f aca="false">IF(A3051="","",IF(AND(I3051="Sí",J3051="Sí"),"Sí","No"))</f>
        <v/>
      </c>
    </row>
    <row r="3052" customFormat="false" ht="15" hidden="false" customHeight="false" outlineLevel="0" collapsed="false">
      <c r="A3052" s="22"/>
      <c r="B3052" s="22"/>
      <c r="C3052" s="26" t="str">
        <f aca="false">IF(A3052="","",IFERROR(buscarx(A3052&amp;B3052,DATA!$E$3:$E$10000&amp;DATA!$B$3:$B$10000,DATA!$M$3:$M$10000),"No encontrado"))</f>
        <v/>
      </c>
      <c r="D3052" s="27" t="str">
        <f aca="false">IF(A3052="","",IFERROR(buscarx(A3052&amp;B3052,DATA!$E$3:$E$10000&amp;DATA!$B$3:$B$10000,DATA!$W$3:$W$10000),"No encontrado"))</f>
        <v/>
      </c>
      <c r="E3052" s="22"/>
      <c r="F3052" s="26" t="str">
        <f aca="false">IF(A3052="","",IFERROR(buscarx(A3052&amp;E3052,DATA!$E$3:$E$10000&amp;DATA!$B$3:$B$10000,DATA!$M$3:$M$10000),"Inactivo"))</f>
        <v/>
      </c>
      <c r="G3052" s="28" t="str">
        <f aca="false">IF(A3052="","",IF(AND(C3052&lt;&gt;"No encontrado",F3052&lt;&gt;"Inactivo"),C3052&amp;" → "&amp;F3052,"Sin transición"))</f>
        <v/>
      </c>
      <c r="H3052" s="26" t="str">
        <f aca="false">IF(A3052="","",IF(D3052="GCIA LINEA SERVICIO DIGITALIDAD Y VENTAS","Chats",IF(OR(D3052="GERENCIA INBOUND LÍNEAS SERVICIO Y VENTA",D3052="GERENCIA INBOUND LINEAS ESPECIALIZADAS"),"Llamadas","Otro")))</f>
        <v/>
      </c>
      <c r="I3052" s="26" t="str">
        <f aca="false">IF(A3052="","",IF(C3052="No encontrado","No","Sí"))</f>
        <v/>
      </c>
      <c r="J3052" s="26" t="str">
        <f aca="false">IF(A3052="","",IF(F3052="Inactivo","No","Sí"))</f>
        <v/>
      </c>
      <c r="K3052" s="26" t="str">
        <f aca="false">IF(A3052="","",IF(AND(I3052="Sí",J3052="Sí"),"Sí","No"))</f>
        <v/>
      </c>
    </row>
    <row r="3053" customFormat="false" ht="15" hidden="false" customHeight="false" outlineLevel="0" collapsed="false">
      <c r="A3053" s="22"/>
      <c r="B3053" s="22"/>
      <c r="C3053" s="23" t="str">
        <f aca="false">IF(A3053="","",IFERROR(buscarx(A3053&amp;B3053,DATA!$E$3:$E$10000&amp;DATA!$B$3:$B$10000,DATA!$M$3:$M$10000),"No encontrado"))</f>
        <v/>
      </c>
      <c r="D3053" s="24" t="str">
        <f aca="false">IF(A3053="","",IFERROR(buscarx(A3053&amp;B3053,DATA!$E$3:$E$10000&amp;DATA!$B$3:$B$10000,DATA!$W$3:$W$10000),"No encontrado"))</f>
        <v/>
      </c>
      <c r="E3053" s="22"/>
      <c r="F3053" s="23" t="str">
        <f aca="false">IF(A3053="","",IFERROR(buscarx(A3053&amp;E3053,DATA!$E$3:$E$10000&amp;DATA!$B$3:$B$10000,DATA!$M$3:$M$10000),"Inactivo"))</f>
        <v/>
      </c>
      <c r="G3053" s="25" t="str">
        <f aca="false">IF(A3053="","",IF(AND(C3053&lt;&gt;"No encontrado",F3053&lt;&gt;"Inactivo"),C3053&amp;" → "&amp;F3053,"Sin transición"))</f>
        <v/>
      </c>
      <c r="H3053" s="23" t="str">
        <f aca="false">IF(A3053="","",IF(D3053="GCIA LINEA SERVICIO DIGITALIDAD Y VENTAS","Chats",IF(OR(D3053="GERENCIA INBOUND LÍNEAS SERVICIO Y VENTA",D3053="GERENCIA INBOUND LINEAS ESPECIALIZADAS"),"Llamadas","Otro")))</f>
        <v/>
      </c>
      <c r="I3053" s="23" t="str">
        <f aca="false">IF(A3053="","",IF(C3053="No encontrado","No","Sí"))</f>
        <v/>
      </c>
      <c r="J3053" s="23" t="str">
        <f aca="false">IF(A3053="","",IF(F3053="Inactivo","No","Sí"))</f>
        <v/>
      </c>
      <c r="K3053" s="23" t="str">
        <f aca="false">IF(A3053="","",IF(AND(I3053="Sí",J3053="Sí"),"Sí","No"))</f>
        <v/>
      </c>
    </row>
    <row r="3054" customFormat="false" ht="15" hidden="false" customHeight="false" outlineLevel="0" collapsed="false">
      <c r="A3054" s="22"/>
      <c r="B3054" s="22"/>
      <c r="C3054" s="26" t="str">
        <f aca="false">IF(A3054="","",IFERROR(buscarx(A3054&amp;B3054,DATA!$E$3:$E$10000&amp;DATA!$B$3:$B$10000,DATA!$M$3:$M$10000),"No encontrado"))</f>
        <v/>
      </c>
      <c r="D3054" s="27" t="str">
        <f aca="false">IF(A3054="","",IFERROR(buscarx(A3054&amp;B3054,DATA!$E$3:$E$10000&amp;DATA!$B$3:$B$10000,DATA!$W$3:$W$10000),"No encontrado"))</f>
        <v/>
      </c>
      <c r="E3054" s="22"/>
      <c r="F3054" s="26" t="str">
        <f aca="false">IF(A3054="","",IFERROR(buscarx(A3054&amp;E3054,DATA!$E$3:$E$10000&amp;DATA!$B$3:$B$10000,DATA!$M$3:$M$10000),"Inactivo"))</f>
        <v/>
      </c>
      <c r="G3054" s="28" t="str">
        <f aca="false">IF(A3054="","",IF(AND(C3054&lt;&gt;"No encontrado",F3054&lt;&gt;"Inactivo"),C3054&amp;" → "&amp;F3054,"Sin transición"))</f>
        <v/>
      </c>
      <c r="H3054" s="26" t="str">
        <f aca="false">IF(A3054="","",IF(D3054="GCIA LINEA SERVICIO DIGITALIDAD Y VENTAS","Chats",IF(OR(D3054="GERENCIA INBOUND LÍNEAS SERVICIO Y VENTA",D3054="GERENCIA INBOUND LINEAS ESPECIALIZADAS"),"Llamadas","Otro")))</f>
        <v/>
      </c>
      <c r="I3054" s="26" t="str">
        <f aca="false">IF(A3054="","",IF(C3054="No encontrado","No","Sí"))</f>
        <v/>
      </c>
      <c r="J3054" s="26" t="str">
        <f aca="false">IF(A3054="","",IF(F3054="Inactivo","No","Sí"))</f>
        <v/>
      </c>
      <c r="K3054" s="26" t="str">
        <f aca="false">IF(A3054="","",IF(AND(I3054="Sí",J3054="Sí"),"Sí","No"))</f>
        <v/>
      </c>
    </row>
    <row r="3055" customFormat="false" ht="15" hidden="false" customHeight="false" outlineLevel="0" collapsed="false">
      <c r="A3055" s="22"/>
      <c r="B3055" s="22"/>
      <c r="C3055" s="23" t="str">
        <f aca="false">IF(A3055="","",IFERROR(buscarx(A3055&amp;B3055,DATA!$E$3:$E$10000&amp;DATA!$B$3:$B$10000,DATA!$M$3:$M$10000),"No encontrado"))</f>
        <v/>
      </c>
      <c r="D3055" s="24" t="str">
        <f aca="false">IF(A3055="","",IFERROR(buscarx(A3055&amp;B3055,DATA!$E$3:$E$10000&amp;DATA!$B$3:$B$10000,DATA!$W$3:$W$10000),"No encontrado"))</f>
        <v/>
      </c>
      <c r="E3055" s="22"/>
      <c r="F3055" s="23" t="str">
        <f aca="false">IF(A3055="","",IFERROR(buscarx(A3055&amp;E3055,DATA!$E$3:$E$10000&amp;DATA!$B$3:$B$10000,DATA!$M$3:$M$10000),"Inactivo"))</f>
        <v/>
      </c>
      <c r="G3055" s="25" t="str">
        <f aca="false">IF(A3055="","",IF(AND(C3055&lt;&gt;"No encontrado",F3055&lt;&gt;"Inactivo"),C3055&amp;" → "&amp;F3055,"Sin transición"))</f>
        <v/>
      </c>
      <c r="H3055" s="23" t="str">
        <f aca="false">IF(A3055="","",IF(D3055="GCIA LINEA SERVICIO DIGITALIDAD Y VENTAS","Chats",IF(OR(D3055="GERENCIA INBOUND LÍNEAS SERVICIO Y VENTA",D3055="GERENCIA INBOUND LINEAS ESPECIALIZADAS"),"Llamadas","Otro")))</f>
        <v/>
      </c>
      <c r="I3055" s="23" t="str">
        <f aca="false">IF(A3055="","",IF(C3055="No encontrado","No","Sí"))</f>
        <v/>
      </c>
      <c r="J3055" s="23" t="str">
        <f aca="false">IF(A3055="","",IF(F3055="Inactivo","No","Sí"))</f>
        <v/>
      </c>
      <c r="K3055" s="23" t="str">
        <f aca="false">IF(A3055="","",IF(AND(I3055="Sí",J3055="Sí"),"Sí","No"))</f>
        <v/>
      </c>
    </row>
    <row r="3056" customFormat="false" ht="15" hidden="false" customHeight="false" outlineLevel="0" collapsed="false">
      <c r="A3056" s="22"/>
      <c r="B3056" s="22"/>
      <c r="C3056" s="26" t="str">
        <f aca="false">IF(A3056="","",IFERROR(buscarx(A3056&amp;B3056,DATA!$E$3:$E$10000&amp;DATA!$B$3:$B$10000,DATA!$M$3:$M$10000),"No encontrado"))</f>
        <v/>
      </c>
      <c r="D3056" s="27" t="str">
        <f aca="false">IF(A3056="","",IFERROR(buscarx(A3056&amp;B3056,DATA!$E$3:$E$10000&amp;DATA!$B$3:$B$10000,DATA!$W$3:$W$10000),"No encontrado"))</f>
        <v/>
      </c>
      <c r="E3056" s="22"/>
      <c r="F3056" s="26" t="str">
        <f aca="false">IF(A3056="","",IFERROR(buscarx(A3056&amp;E3056,DATA!$E$3:$E$10000&amp;DATA!$B$3:$B$10000,DATA!$M$3:$M$10000),"Inactivo"))</f>
        <v/>
      </c>
      <c r="G3056" s="28" t="str">
        <f aca="false">IF(A3056="","",IF(AND(C3056&lt;&gt;"No encontrado",F3056&lt;&gt;"Inactivo"),C3056&amp;" → "&amp;F3056,"Sin transición"))</f>
        <v/>
      </c>
      <c r="H3056" s="26" t="str">
        <f aca="false">IF(A3056="","",IF(D3056="GCIA LINEA SERVICIO DIGITALIDAD Y VENTAS","Chats",IF(OR(D3056="GERENCIA INBOUND LÍNEAS SERVICIO Y VENTA",D3056="GERENCIA INBOUND LINEAS ESPECIALIZADAS"),"Llamadas","Otro")))</f>
        <v/>
      </c>
      <c r="I3056" s="26" t="str">
        <f aca="false">IF(A3056="","",IF(C3056="No encontrado","No","Sí"))</f>
        <v/>
      </c>
      <c r="J3056" s="26" t="str">
        <f aca="false">IF(A3056="","",IF(F3056="Inactivo","No","Sí"))</f>
        <v/>
      </c>
      <c r="K3056" s="26" t="str">
        <f aca="false">IF(A3056="","",IF(AND(I3056="Sí",J3056="Sí"),"Sí","No"))</f>
        <v/>
      </c>
    </row>
    <row r="3057" customFormat="false" ht="15" hidden="false" customHeight="false" outlineLevel="0" collapsed="false">
      <c r="A3057" s="22"/>
      <c r="B3057" s="22"/>
      <c r="C3057" s="23" t="str">
        <f aca="false">IF(A3057="","",IFERROR(buscarx(A3057&amp;B3057,DATA!$E$3:$E$10000&amp;DATA!$B$3:$B$10000,DATA!$M$3:$M$10000),"No encontrado"))</f>
        <v/>
      </c>
      <c r="D3057" s="24" t="str">
        <f aca="false">IF(A3057="","",IFERROR(buscarx(A3057&amp;B3057,DATA!$E$3:$E$10000&amp;DATA!$B$3:$B$10000,DATA!$W$3:$W$10000),"No encontrado"))</f>
        <v/>
      </c>
      <c r="E3057" s="22"/>
      <c r="F3057" s="23" t="str">
        <f aca="false">IF(A3057="","",IFERROR(buscarx(A3057&amp;E3057,DATA!$E$3:$E$10000&amp;DATA!$B$3:$B$10000,DATA!$M$3:$M$10000),"Inactivo"))</f>
        <v/>
      </c>
      <c r="G3057" s="25" t="str">
        <f aca="false">IF(A3057="","",IF(AND(C3057&lt;&gt;"No encontrado",F3057&lt;&gt;"Inactivo"),C3057&amp;" → "&amp;F3057,"Sin transición"))</f>
        <v/>
      </c>
      <c r="H3057" s="23" t="str">
        <f aca="false">IF(A3057="","",IF(D3057="GCIA LINEA SERVICIO DIGITALIDAD Y VENTAS","Chats",IF(OR(D3057="GERENCIA INBOUND LÍNEAS SERVICIO Y VENTA",D3057="GERENCIA INBOUND LINEAS ESPECIALIZADAS"),"Llamadas","Otro")))</f>
        <v/>
      </c>
      <c r="I3057" s="23" t="str">
        <f aca="false">IF(A3057="","",IF(C3057="No encontrado","No","Sí"))</f>
        <v/>
      </c>
      <c r="J3057" s="23" t="str">
        <f aca="false">IF(A3057="","",IF(F3057="Inactivo","No","Sí"))</f>
        <v/>
      </c>
      <c r="K3057" s="23" t="str">
        <f aca="false">IF(A3057="","",IF(AND(I3057="Sí",J3057="Sí"),"Sí","No"))</f>
        <v/>
      </c>
    </row>
    <row r="3058" customFormat="false" ht="15" hidden="false" customHeight="false" outlineLevel="0" collapsed="false">
      <c r="A3058" s="22"/>
      <c r="B3058" s="22"/>
      <c r="C3058" s="26" t="str">
        <f aca="false">IF(A3058="","",IFERROR(buscarx(A3058&amp;B3058,DATA!$E$3:$E$10000&amp;DATA!$B$3:$B$10000,DATA!$M$3:$M$10000),"No encontrado"))</f>
        <v/>
      </c>
      <c r="D3058" s="27" t="str">
        <f aca="false">IF(A3058="","",IFERROR(buscarx(A3058&amp;B3058,DATA!$E$3:$E$10000&amp;DATA!$B$3:$B$10000,DATA!$W$3:$W$10000),"No encontrado"))</f>
        <v/>
      </c>
      <c r="E3058" s="22"/>
      <c r="F3058" s="26" t="str">
        <f aca="false">IF(A3058="","",IFERROR(buscarx(A3058&amp;E3058,DATA!$E$3:$E$10000&amp;DATA!$B$3:$B$10000,DATA!$M$3:$M$10000),"Inactivo"))</f>
        <v/>
      </c>
      <c r="G3058" s="28" t="str">
        <f aca="false">IF(A3058="","",IF(AND(C3058&lt;&gt;"No encontrado",F3058&lt;&gt;"Inactivo"),C3058&amp;" → "&amp;F3058,"Sin transición"))</f>
        <v/>
      </c>
      <c r="H3058" s="26" t="str">
        <f aca="false">IF(A3058="","",IF(D3058="GCIA LINEA SERVICIO DIGITALIDAD Y VENTAS","Chats",IF(OR(D3058="GERENCIA INBOUND LÍNEAS SERVICIO Y VENTA",D3058="GERENCIA INBOUND LINEAS ESPECIALIZADAS"),"Llamadas","Otro")))</f>
        <v/>
      </c>
      <c r="I3058" s="26" t="str">
        <f aca="false">IF(A3058="","",IF(C3058="No encontrado","No","Sí"))</f>
        <v/>
      </c>
      <c r="J3058" s="26" t="str">
        <f aca="false">IF(A3058="","",IF(F3058="Inactivo","No","Sí"))</f>
        <v/>
      </c>
      <c r="K3058" s="26" t="str">
        <f aca="false">IF(A3058="","",IF(AND(I3058="Sí",J3058="Sí"),"Sí","No"))</f>
        <v/>
      </c>
    </row>
    <row r="3059" customFormat="false" ht="15" hidden="false" customHeight="false" outlineLevel="0" collapsed="false">
      <c r="A3059" s="22"/>
      <c r="B3059" s="22"/>
      <c r="C3059" s="23" t="str">
        <f aca="false">IF(A3059="","",IFERROR(buscarx(A3059&amp;B3059,DATA!$E$3:$E$10000&amp;DATA!$B$3:$B$10000,DATA!$M$3:$M$10000),"No encontrado"))</f>
        <v/>
      </c>
      <c r="D3059" s="24" t="str">
        <f aca="false">IF(A3059="","",IFERROR(buscarx(A3059&amp;B3059,DATA!$E$3:$E$10000&amp;DATA!$B$3:$B$10000,DATA!$W$3:$W$10000),"No encontrado"))</f>
        <v/>
      </c>
      <c r="E3059" s="22"/>
      <c r="F3059" s="23" t="str">
        <f aca="false">IF(A3059="","",IFERROR(buscarx(A3059&amp;E3059,DATA!$E$3:$E$10000&amp;DATA!$B$3:$B$10000,DATA!$M$3:$M$10000),"Inactivo"))</f>
        <v/>
      </c>
      <c r="G3059" s="25" t="str">
        <f aca="false">IF(A3059="","",IF(AND(C3059&lt;&gt;"No encontrado",F3059&lt;&gt;"Inactivo"),C3059&amp;" → "&amp;F3059,"Sin transición"))</f>
        <v/>
      </c>
      <c r="H3059" s="23" t="str">
        <f aca="false">IF(A3059="","",IF(D3059="GCIA LINEA SERVICIO DIGITALIDAD Y VENTAS","Chats",IF(OR(D3059="GERENCIA INBOUND LÍNEAS SERVICIO Y VENTA",D3059="GERENCIA INBOUND LINEAS ESPECIALIZADAS"),"Llamadas","Otro")))</f>
        <v/>
      </c>
      <c r="I3059" s="23" t="str">
        <f aca="false">IF(A3059="","",IF(C3059="No encontrado","No","Sí"))</f>
        <v/>
      </c>
      <c r="J3059" s="23" t="str">
        <f aca="false">IF(A3059="","",IF(F3059="Inactivo","No","Sí"))</f>
        <v/>
      </c>
      <c r="K3059" s="23" t="str">
        <f aca="false">IF(A3059="","",IF(AND(I3059="Sí",J3059="Sí"),"Sí","No"))</f>
        <v/>
      </c>
    </row>
    <row r="3060" customFormat="false" ht="15" hidden="false" customHeight="false" outlineLevel="0" collapsed="false">
      <c r="A3060" s="22"/>
      <c r="B3060" s="22"/>
      <c r="C3060" s="26" t="str">
        <f aca="false">IF(A3060="","",IFERROR(buscarx(A3060&amp;B3060,DATA!$E$3:$E$10000&amp;DATA!$B$3:$B$10000,DATA!$M$3:$M$10000),"No encontrado"))</f>
        <v/>
      </c>
      <c r="D3060" s="27" t="str">
        <f aca="false">IF(A3060="","",IFERROR(buscarx(A3060&amp;B3060,DATA!$E$3:$E$10000&amp;DATA!$B$3:$B$10000,DATA!$W$3:$W$10000),"No encontrado"))</f>
        <v/>
      </c>
      <c r="E3060" s="22"/>
      <c r="F3060" s="26" t="str">
        <f aca="false">IF(A3060="","",IFERROR(buscarx(A3060&amp;E3060,DATA!$E$3:$E$10000&amp;DATA!$B$3:$B$10000,DATA!$M$3:$M$10000),"Inactivo"))</f>
        <v/>
      </c>
      <c r="G3060" s="28" t="str">
        <f aca="false">IF(A3060="","",IF(AND(C3060&lt;&gt;"No encontrado",F3060&lt;&gt;"Inactivo"),C3060&amp;" → "&amp;F3060,"Sin transición"))</f>
        <v/>
      </c>
      <c r="H3060" s="26" t="str">
        <f aca="false">IF(A3060="","",IF(D3060="GCIA LINEA SERVICIO DIGITALIDAD Y VENTAS","Chats",IF(OR(D3060="GERENCIA INBOUND LÍNEAS SERVICIO Y VENTA",D3060="GERENCIA INBOUND LINEAS ESPECIALIZADAS"),"Llamadas","Otro")))</f>
        <v/>
      </c>
      <c r="I3060" s="26" t="str">
        <f aca="false">IF(A3060="","",IF(C3060="No encontrado","No","Sí"))</f>
        <v/>
      </c>
      <c r="J3060" s="26" t="str">
        <f aca="false">IF(A3060="","",IF(F3060="Inactivo","No","Sí"))</f>
        <v/>
      </c>
      <c r="K3060" s="26" t="str">
        <f aca="false">IF(A3060="","",IF(AND(I3060="Sí",J3060="Sí"),"Sí","No"))</f>
        <v/>
      </c>
    </row>
    <row r="3061" customFormat="false" ht="15" hidden="false" customHeight="false" outlineLevel="0" collapsed="false">
      <c r="A3061" s="22"/>
      <c r="B3061" s="22"/>
      <c r="C3061" s="23" t="str">
        <f aca="false">IF(A3061="","",IFERROR(buscarx(A3061&amp;B3061,DATA!$E$3:$E$10000&amp;DATA!$B$3:$B$10000,DATA!$M$3:$M$10000),"No encontrado"))</f>
        <v/>
      </c>
      <c r="D3061" s="24" t="str">
        <f aca="false">IF(A3061="","",IFERROR(buscarx(A3061&amp;B3061,DATA!$E$3:$E$10000&amp;DATA!$B$3:$B$10000,DATA!$W$3:$W$10000),"No encontrado"))</f>
        <v/>
      </c>
      <c r="E3061" s="22"/>
      <c r="F3061" s="23" t="str">
        <f aca="false">IF(A3061="","",IFERROR(buscarx(A3061&amp;E3061,DATA!$E$3:$E$10000&amp;DATA!$B$3:$B$10000,DATA!$M$3:$M$10000),"Inactivo"))</f>
        <v/>
      </c>
      <c r="G3061" s="25" t="str">
        <f aca="false">IF(A3061="","",IF(AND(C3061&lt;&gt;"No encontrado",F3061&lt;&gt;"Inactivo"),C3061&amp;" → "&amp;F3061,"Sin transición"))</f>
        <v/>
      </c>
      <c r="H3061" s="23" t="str">
        <f aca="false">IF(A3061="","",IF(D3061="GCIA LINEA SERVICIO DIGITALIDAD Y VENTAS","Chats",IF(OR(D3061="GERENCIA INBOUND LÍNEAS SERVICIO Y VENTA",D3061="GERENCIA INBOUND LINEAS ESPECIALIZADAS"),"Llamadas","Otro")))</f>
        <v/>
      </c>
      <c r="I3061" s="23" t="str">
        <f aca="false">IF(A3061="","",IF(C3061="No encontrado","No","Sí"))</f>
        <v/>
      </c>
      <c r="J3061" s="23" t="str">
        <f aca="false">IF(A3061="","",IF(F3061="Inactivo","No","Sí"))</f>
        <v/>
      </c>
      <c r="K3061" s="23" t="str">
        <f aca="false">IF(A3061="","",IF(AND(I3061="Sí",J3061="Sí"),"Sí","No"))</f>
        <v/>
      </c>
    </row>
    <row r="3062" customFormat="false" ht="15" hidden="false" customHeight="false" outlineLevel="0" collapsed="false">
      <c r="A3062" s="22"/>
      <c r="B3062" s="22"/>
      <c r="C3062" s="26" t="str">
        <f aca="false">IF(A3062="","",IFERROR(buscarx(A3062&amp;B3062,DATA!$E$3:$E$10000&amp;DATA!$B$3:$B$10000,DATA!$M$3:$M$10000),"No encontrado"))</f>
        <v/>
      </c>
      <c r="D3062" s="27" t="str">
        <f aca="false">IF(A3062="","",IFERROR(buscarx(A3062&amp;B3062,DATA!$E$3:$E$10000&amp;DATA!$B$3:$B$10000,DATA!$W$3:$W$10000),"No encontrado"))</f>
        <v/>
      </c>
      <c r="E3062" s="22"/>
      <c r="F3062" s="26" t="str">
        <f aca="false">IF(A3062="","",IFERROR(buscarx(A3062&amp;E3062,DATA!$E$3:$E$10000&amp;DATA!$B$3:$B$10000,DATA!$M$3:$M$10000),"Inactivo"))</f>
        <v/>
      </c>
      <c r="G3062" s="28" t="str">
        <f aca="false">IF(A3062="","",IF(AND(C3062&lt;&gt;"No encontrado",F3062&lt;&gt;"Inactivo"),C3062&amp;" → "&amp;F3062,"Sin transición"))</f>
        <v/>
      </c>
      <c r="H3062" s="26" t="str">
        <f aca="false">IF(A3062="","",IF(D3062="GCIA LINEA SERVICIO DIGITALIDAD Y VENTAS","Chats",IF(OR(D3062="GERENCIA INBOUND LÍNEAS SERVICIO Y VENTA",D3062="GERENCIA INBOUND LINEAS ESPECIALIZADAS"),"Llamadas","Otro")))</f>
        <v/>
      </c>
      <c r="I3062" s="26" t="str">
        <f aca="false">IF(A3062="","",IF(C3062="No encontrado","No","Sí"))</f>
        <v/>
      </c>
      <c r="J3062" s="26" t="str">
        <f aca="false">IF(A3062="","",IF(F3062="Inactivo","No","Sí"))</f>
        <v/>
      </c>
      <c r="K3062" s="26" t="str">
        <f aca="false">IF(A3062="","",IF(AND(I3062="Sí",J3062="Sí"),"Sí","No"))</f>
        <v/>
      </c>
    </row>
    <row r="3063" customFormat="false" ht="15" hidden="false" customHeight="false" outlineLevel="0" collapsed="false">
      <c r="A3063" s="22"/>
      <c r="B3063" s="22"/>
      <c r="C3063" s="23" t="str">
        <f aca="false">IF(A3063="","",IFERROR(buscarx(A3063&amp;B3063,DATA!$E$3:$E$10000&amp;DATA!$B$3:$B$10000,DATA!$M$3:$M$10000),"No encontrado"))</f>
        <v/>
      </c>
      <c r="D3063" s="24" t="str">
        <f aca="false">IF(A3063="","",IFERROR(buscarx(A3063&amp;B3063,DATA!$E$3:$E$10000&amp;DATA!$B$3:$B$10000,DATA!$W$3:$W$10000),"No encontrado"))</f>
        <v/>
      </c>
      <c r="E3063" s="22"/>
      <c r="F3063" s="23" t="str">
        <f aca="false">IF(A3063="","",IFERROR(buscarx(A3063&amp;E3063,DATA!$E$3:$E$10000&amp;DATA!$B$3:$B$10000,DATA!$M$3:$M$10000),"Inactivo"))</f>
        <v/>
      </c>
      <c r="G3063" s="25" t="str">
        <f aca="false">IF(A3063="","",IF(AND(C3063&lt;&gt;"No encontrado",F3063&lt;&gt;"Inactivo"),C3063&amp;" → "&amp;F3063,"Sin transición"))</f>
        <v/>
      </c>
      <c r="H3063" s="23" t="str">
        <f aca="false">IF(A3063="","",IF(D3063="GCIA LINEA SERVICIO DIGITALIDAD Y VENTAS","Chats",IF(OR(D3063="GERENCIA INBOUND LÍNEAS SERVICIO Y VENTA",D3063="GERENCIA INBOUND LINEAS ESPECIALIZADAS"),"Llamadas","Otro")))</f>
        <v/>
      </c>
      <c r="I3063" s="23" t="str">
        <f aca="false">IF(A3063="","",IF(C3063="No encontrado","No","Sí"))</f>
        <v/>
      </c>
      <c r="J3063" s="23" t="str">
        <f aca="false">IF(A3063="","",IF(F3063="Inactivo","No","Sí"))</f>
        <v/>
      </c>
      <c r="K3063" s="23" t="str">
        <f aca="false">IF(A3063="","",IF(AND(I3063="Sí",J3063="Sí"),"Sí","No"))</f>
        <v/>
      </c>
    </row>
    <row r="3064" customFormat="false" ht="15" hidden="false" customHeight="false" outlineLevel="0" collapsed="false">
      <c r="A3064" s="22"/>
      <c r="B3064" s="22"/>
      <c r="C3064" s="26" t="str">
        <f aca="false">IF(A3064="","",IFERROR(buscarx(A3064&amp;B3064,DATA!$E$3:$E$10000&amp;DATA!$B$3:$B$10000,DATA!$M$3:$M$10000),"No encontrado"))</f>
        <v/>
      </c>
      <c r="D3064" s="27" t="str">
        <f aca="false">IF(A3064="","",IFERROR(buscarx(A3064&amp;B3064,DATA!$E$3:$E$10000&amp;DATA!$B$3:$B$10000,DATA!$W$3:$W$10000),"No encontrado"))</f>
        <v/>
      </c>
      <c r="E3064" s="22"/>
      <c r="F3064" s="26" t="str">
        <f aca="false">IF(A3064="","",IFERROR(buscarx(A3064&amp;E3064,DATA!$E$3:$E$10000&amp;DATA!$B$3:$B$10000,DATA!$M$3:$M$10000),"Inactivo"))</f>
        <v/>
      </c>
      <c r="G3064" s="28" t="str">
        <f aca="false">IF(A3064="","",IF(AND(C3064&lt;&gt;"No encontrado",F3064&lt;&gt;"Inactivo"),C3064&amp;" → "&amp;F3064,"Sin transición"))</f>
        <v/>
      </c>
      <c r="H3064" s="26" t="str">
        <f aca="false">IF(A3064="","",IF(D3064="GCIA LINEA SERVICIO DIGITALIDAD Y VENTAS","Chats",IF(OR(D3064="GERENCIA INBOUND LÍNEAS SERVICIO Y VENTA",D3064="GERENCIA INBOUND LINEAS ESPECIALIZADAS"),"Llamadas","Otro")))</f>
        <v/>
      </c>
      <c r="I3064" s="26" t="str">
        <f aca="false">IF(A3064="","",IF(C3064="No encontrado","No","Sí"))</f>
        <v/>
      </c>
      <c r="J3064" s="26" t="str">
        <f aca="false">IF(A3064="","",IF(F3064="Inactivo","No","Sí"))</f>
        <v/>
      </c>
      <c r="K3064" s="26" t="str">
        <f aca="false">IF(A3064="","",IF(AND(I3064="Sí",J3064="Sí"),"Sí","No"))</f>
        <v/>
      </c>
    </row>
    <row r="3065" customFormat="false" ht="15" hidden="false" customHeight="false" outlineLevel="0" collapsed="false">
      <c r="A3065" s="22"/>
      <c r="B3065" s="22"/>
      <c r="C3065" s="23" t="str">
        <f aca="false">IF(A3065="","",IFERROR(buscarx(A3065&amp;B3065,DATA!$E$3:$E$10000&amp;DATA!$B$3:$B$10000,DATA!$M$3:$M$10000),"No encontrado"))</f>
        <v/>
      </c>
      <c r="D3065" s="24" t="str">
        <f aca="false">IF(A3065="","",IFERROR(buscarx(A3065&amp;B3065,DATA!$E$3:$E$10000&amp;DATA!$B$3:$B$10000,DATA!$W$3:$W$10000),"No encontrado"))</f>
        <v/>
      </c>
      <c r="E3065" s="22"/>
      <c r="F3065" s="23" t="str">
        <f aca="false">IF(A3065="","",IFERROR(buscarx(A3065&amp;E3065,DATA!$E$3:$E$10000&amp;DATA!$B$3:$B$10000,DATA!$M$3:$M$10000),"Inactivo"))</f>
        <v/>
      </c>
      <c r="G3065" s="25" t="str">
        <f aca="false">IF(A3065="","",IF(AND(C3065&lt;&gt;"No encontrado",F3065&lt;&gt;"Inactivo"),C3065&amp;" → "&amp;F3065,"Sin transición"))</f>
        <v/>
      </c>
      <c r="H3065" s="23" t="str">
        <f aca="false">IF(A3065="","",IF(D3065="GCIA LINEA SERVICIO DIGITALIDAD Y VENTAS","Chats",IF(OR(D3065="GERENCIA INBOUND LÍNEAS SERVICIO Y VENTA",D3065="GERENCIA INBOUND LINEAS ESPECIALIZADAS"),"Llamadas","Otro")))</f>
        <v/>
      </c>
      <c r="I3065" s="23" t="str">
        <f aca="false">IF(A3065="","",IF(C3065="No encontrado","No","Sí"))</f>
        <v/>
      </c>
      <c r="J3065" s="23" t="str">
        <f aca="false">IF(A3065="","",IF(F3065="Inactivo","No","Sí"))</f>
        <v/>
      </c>
      <c r="K3065" s="23" t="str">
        <f aca="false">IF(A3065="","",IF(AND(I3065="Sí",J3065="Sí"),"Sí","No"))</f>
        <v/>
      </c>
    </row>
    <row r="3066" customFormat="false" ht="15" hidden="false" customHeight="false" outlineLevel="0" collapsed="false">
      <c r="A3066" s="22"/>
      <c r="B3066" s="22"/>
      <c r="C3066" s="26" t="str">
        <f aca="false">IF(A3066="","",IFERROR(buscarx(A3066&amp;B3066,DATA!$E$3:$E$10000&amp;DATA!$B$3:$B$10000,DATA!$M$3:$M$10000),"No encontrado"))</f>
        <v/>
      </c>
      <c r="D3066" s="27" t="str">
        <f aca="false">IF(A3066="","",IFERROR(buscarx(A3066&amp;B3066,DATA!$E$3:$E$10000&amp;DATA!$B$3:$B$10000,DATA!$W$3:$W$10000),"No encontrado"))</f>
        <v/>
      </c>
      <c r="E3066" s="22"/>
      <c r="F3066" s="26" t="str">
        <f aca="false">IF(A3066="","",IFERROR(buscarx(A3066&amp;E3066,DATA!$E$3:$E$10000&amp;DATA!$B$3:$B$10000,DATA!$M$3:$M$10000),"Inactivo"))</f>
        <v/>
      </c>
      <c r="G3066" s="28" t="str">
        <f aca="false">IF(A3066="","",IF(AND(C3066&lt;&gt;"No encontrado",F3066&lt;&gt;"Inactivo"),C3066&amp;" → "&amp;F3066,"Sin transición"))</f>
        <v/>
      </c>
      <c r="H3066" s="26" t="str">
        <f aca="false">IF(A3066="","",IF(D3066="GCIA LINEA SERVICIO DIGITALIDAD Y VENTAS","Chats",IF(OR(D3066="GERENCIA INBOUND LÍNEAS SERVICIO Y VENTA",D3066="GERENCIA INBOUND LINEAS ESPECIALIZADAS"),"Llamadas","Otro")))</f>
        <v/>
      </c>
      <c r="I3066" s="26" t="str">
        <f aca="false">IF(A3066="","",IF(C3066="No encontrado","No","Sí"))</f>
        <v/>
      </c>
      <c r="J3066" s="26" t="str">
        <f aca="false">IF(A3066="","",IF(F3066="Inactivo","No","Sí"))</f>
        <v/>
      </c>
      <c r="K3066" s="26" t="str">
        <f aca="false">IF(A3066="","",IF(AND(I3066="Sí",J3066="Sí"),"Sí","No"))</f>
        <v/>
      </c>
    </row>
    <row r="3067" customFormat="false" ht="15" hidden="false" customHeight="false" outlineLevel="0" collapsed="false">
      <c r="A3067" s="22"/>
      <c r="B3067" s="22"/>
      <c r="C3067" s="23" t="str">
        <f aca="false">IF(A3067="","",IFERROR(buscarx(A3067&amp;B3067,DATA!$E$3:$E$10000&amp;DATA!$B$3:$B$10000,DATA!$M$3:$M$10000),"No encontrado"))</f>
        <v/>
      </c>
      <c r="D3067" s="24" t="str">
        <f aca="false">IF(A3067="","",IFERROR(buscarx(A3067&amp;B3067,DATA!$E$3:$E$10000&amp;DATA!$B$3:$B$10000,DATA!$W$3:$W$10000),"No encontrado"))</f>
        <v/>
      </c>
      <c r="E3067" s="22"/>
      <c r="F3067" s="23" t="str">
        <f aca="false">IF(A3067="","",IFERROR(buscarx(A3067&amp;E3067,DATA!$E$3:$E$10000&amp;DATA!$B$3:$B$10000,DATA!$M$3:$M$10000),"Inactivo"))</f>
        <v/>
      </c>
      <c r="G3067" s="25" t="str">
        <f aca="false">IF(A3067="","",IF(AND(C3067&lt;&gt;"No encontrado",F3067&lt;&gt;"Inactivo"),C3067&amp;" → "&amp;F3067,"Sin transición"))</f>
        <v/>
      </c>
      <c r="H3067" s="23" t="str">
        <f aca="false">IF(A3067="","",IF(D3067="GCIA LINEA SERVICIO DIGITALIDAD Y VENTAS","Chats",IF(OR(D3067="GERENCIA INBOUND LÍNEAS SERVICIO Y VENTA",D3067="GERENCIA INBOUND LINEAS ESPECIALIZADAS"),"Llamadas","Otro")))</f>
        <v/>
      </c>
      <c r="I3067" s="23" t="str">
        <f aca="false">IF(A3067="","",IF(C3067="No encontrado","No","Sí"))</f>
        <v/>
      </c>
      <c r="J3067" s="23" t="str">
        <f aca="false">IF(A3067="","",IF(F3067="Inactivo","No","Sí"))</f>
        <v/>
      </c>
      <c r="K3067" s="23" t="str">
        <f aca="false">IF(A3067="","",IF(AND(I3067="Sí",J3067="Sí"),"Sí","No"))</f>
        <v/>
      </c>
    </row>
    <row r="3068" customFormat="false" ht="15" hidden="false" customHeight="false" outlineLevel="0" collapsed="false">
      <c r="A3068" s="22"/>
      <c r="B3068" s="22"/>
      <c r="C3068" s="26" t="str">
        <f aca="false">IF(A3068="","",IFERROR(buscarx(A3068&amp;B3068,DATA!$E$3:$E$10000&amp;DATA!$B$3:$B$10000,DATA!$M$3:$M$10000),"No encontrado"))</f>
        <v/>
      </c>
      <c r="D3068" s="27" t="str">
        <f aca="false">IF(A3068="","",IFERROR(buscarx(A3068&amp;B3068,DATA!$E$3:$E$10000&amp;DATA!$B$3:$B$10000,DATA!$W$3:$W$10000),"No encontrado"))</f>
        <v/>
      </c>
      <c r="E3068" s="22"/>
      <c r="F3068" s="26" t="str">
        <f aca="false">IF(A3068="","",IFERROR(buscarx(A3068&amp;E3068,DATA!$E$3:$E$10000&amp;DATA!$B$3:$B$10000,DATA!$M$3:$M$10000),"Inactivo"))</f>
        <v/>
      </c>
      <c r="G3068" s="28" t="str">
        <f aca="false">IF(A3068="","",IF(AND(C3068&lt;&gt;"No encontrado",F3068&lt;&gt;"Inactivo"),C3068&amp;" → "&amp;F3068,"Sin transición"))</f>
        <v/>
      </c>
      <c r="H3068" s="26" t="str">
        <f aca="false">IF(A3068="","",IF(D3068="GCIA LINEA SERVICIO DIGITALIDAD Y VENTAS","Chats",IF(OR(D3068="GERENCIA INBOUND LÍNEAS SERVICIO Y VENTA",D3068="GERENCIA INBOUND LINEAS ESPECIALIZADAS"),"Llamadas","Otro")))</f>
        <v/>
      </c>
      <c r="I3068" s="26" t="str">
        <f aca="false">IF(A3068="","",IF(C3068="No encontrado","No","Sí"))</f>
        <v/>
      </c>
      <c r="J3068" s="26" t="str">
        <f aca="false">IF(A3068="","",IF(F3068="Inactivo","No","Sí"))</f>
        <v/>
      </c>
      <c r="K3068" s="26" t="str">
        <f aca="false">IF(A3068="","",IF(AND(I3068="Sí",J3068="Sí"),"Sí","No"))</f>
        <v/>
      </c>
    </row>
    <row r="3069" customFormat="false" ht="15" hidden="false" customHeight="false" outlineLevel="0" collapsed="false">
      <c r="A3069" s="22"/>
      <c r="B3069" s="22"/>
      <c r="C3069" s="23" t="str">
        <f aca="false">IF(A3069="","",IFERROR(buscarx(A3069&amp;B3069,DATA!$E$3:$E$10000&amp;DATA!$B$3:$B$10000,DATA!$M$3:$M$10000),"No encontrado"))</f>
        <v/>
      </c>
      <c r="D3069" s="24" t="str">
        <f aca="false">IF(A3069="","",IFERROR(buscarx(A3069&amp;B3069,DATA!$E$3:$E$10000&amp;DATA!$B$3:$B$10000,DATA!$W$3:$W$10000),"No encontrado"))</f>
        <v/>
      </c>
      <c r="E3069" s="22"/>
      <c r="F3069" s="23" t="str">
        <f aca="false">IF(A3069="","",IFERROR(buscarx(A3069&amp;E3069,DATA!$E$3:$E$10000&amp;DATA!$B$3:$B$10000,DATA!$M$3:$M$10000),"Inactivo"))</f>
        <v/>
      </c>
      <c r="G3069" s="25" t="str">
        <f aca="false">IF(A3069="","",IF(AND(C3069&lt;&gt;"No encontrado",F3069&lt;&gt;"Inactivo"),C3069&amp;" → "&amp;F3069,"Sin transición"))</f>
        <v/>
      </c>
      <c r="H3069" s="23" t="str">
        <f aca="false">IF(A3069="","",IF(D3069="GCIA LINEA SERVICIO DIGITALIDAD Y VENTAS","Chats",IF(OR(D3069="GERENCIA INBOUND LÍNEAS SERVICIO Y VENTA",D3069="GERENCIA INBOUND LINEAS ESPECIALIZADAS"),"Llamadas","Otro")))</f>
        <v/>
      </c>
      <c r="I3069" s="23" t="str">
        <f aca="false">IF(A3069="","",IF(C3069="No encontrado","No","Sí"))</f>
        <v/>
      </c>
      <c r="J3069" s="23" t="str">
        <f aca="false">IF(A3069="","",IF(F3069="Inactivo","No","Sí"))</f>
        <v/>
      </c>
      <c r="K3069" s="23" t="str">
        <f aca="false">IF(A3069="","",IF(AND(I3069="Sí",J3069="Sí"),"Sí","No"))</f>
        <v/>
      </c>
    </row>
    <row r="3070" customFormat="false" ht="15" hidden="false" customHeight="false" outlineLevel="0" collapsed="false">
      <c r="A3070" s="22"/>
      <c r="B3070" s="22"/>
      <c r="C3070" s="26" t="str">
        <f aca="false">IF(A3070="","",IFERROR(buscarx(A3070&amp;B3070,DATA!$E$3:$E$10000&amp;DATA!$B$3:$B$10000,DATA!$M$3:$M$10000),"No encontrado"))</f>
        <v/>
      </c>
      <c r="D3070" s="27" t="str">
        <f aca="false">IF(A3070="","",IFERROR(buscarx(A3070&amp;B3070,DATA!$E$3:$E$10000&amp;DATA!$B$3:$B$10000,DATA!$W$3:$W$10000),"No encontrado"))</f>
        <v/>
      </c>
      <c r="E3070" s="22"/>
      <c r="F3070" s="26" t="str">
        <f aca="false">IF(A3070="","",IFERROR(buscarx(A3070&amp;E3070,DATA!$E$3:$E$10000&amp;DATA!$B$3:$B$10000,DATA!$M$3:$M$10000),"Inactivo"))</f>
        <v/>
      </c>
      <c r="G3070" s="28" t="str">
        <f aca="false">IF(A3070="","",IF(AND(C3070&lt;&gt;"No encontrado",F3070&lt;&gt;"Inactivo"),C3070&amp;" → "&amp;F3070,"Sin transición"))</f>
        <v/>
      </c>
      <c r="H3070" s="26" t="str">
        <f aca="false">IF(A3070="","",IF(D3070="GCIA LINEA SERVICIO DIGITALIDAD Y VENTAS","Chats",IF(OR(D3070="GERENCIA INBOUND LÍNEAS SERVICIO Y VENTA",D3070="GERENCIA INBOUND LINEAS ESPECIALIZADAS"),"Llamadas","Otro")))</f>
        <v/>
      </c>
      <c r="I3070" s="26" t="str">
        <f aca="false">IF(A3070="","",IF(C3070="No encontrado","No","Sí"))</f>
        <v/>
      </c>
      <c r="J3070" s="26" t="str">
        <f aca="false">IF(A3070="","",IF(F3070="Inactivo","No","Sí"))</f>
        <v/>
      </c>
      <c r="K3070" s="26" t="str">
        <f aca="false">IF(A3070="","",IF(AND(I3070="Sí",J3070="Sí"),"Sí","No"))</f>
        <v/>
      </c>
    </row>
    <row r="3071" customFormat="false" ht="15" hidden="false" customHeight="false" outlineLevel="0" collapsed="false">
      <c r="A3071" s="22"/>
      <c r="B3071" s="22"/>
      <c r="C3071" s="23" t="str">
        <f aca="false">IF(A3071="","",IFERROR(buscarx(A3071&amp;B3071,DATA!$E$3:$E$10000&amp;DATA!$B$3:$B$10000,DATA!$M$3:$M$10000),"No encontrado"))</f>
        <v/>
      </c>
      <c r="D3071" s="24" t="str">
        <f aca="false">IF(A3071="","",IFERROR(buscarx(A3071&amp;B3071,DATA!$E$3:$E$10000&amp;DATA!$B$3:$B$10000,DATA!$W$3:$W$10000),"No encontrado"))</f>
        <v/>
      </c>
      <c r="E3071" s="22"/>
      <c r="F3071" s="23" t="str">
        <f aca="false">IF(A3071="","",IFERROR(buscarx(A3071&amp;E3071,DATA!$E$3:$E$10000&amp;DATA!$B$3:$B$10000,DATA!$M$3:$M$10000),"Inactivo"))</f>
        <v/>
      </c>
      <c r="G3071" s="25" t="str">
        <f aca="false">IF(A3071="","",IF(AND(C3071&lt;&gt;"No encontrado",F3071&lt;&gt;"Inactivo"),C3071&amp;" → "&amp;F3071,"Sin transición"))</f>
        <v/>
      </c>
      <c r="H3071" s="23" t="str">
        <f aca="false">IF(A3071="","",IF(D3071="GCIA LINEA SERVICIO DIGITALIDAD Y VENTAS","Chats",IF(OR(D3071="GERENCIA INBOUND LÍNEAS SERVICIO Y VENTA",D3071="GERENCIA INBOUND LINEAS ESPECIALIZADAS"),"Llamadas","Otro")))</f>
        <v/>
      </c>
      <c r="I3071" s="23" t="str">
        <f aca="false">IF(A3071="","",IF(C3071="No encontrado","No","Sí"))</f>
        <v/>
      </c>
      <c r="J3071" s="23" t="str">
        <f aca="false">IF(A3071="","",IF(F3071="Inactivo","No","Sí"))</f>
        <v/>
      </c>
      <c r="K3071" s="23" t="str">
        <f aca="false">IF(A3071="","",IF(AND(I3071="Sí",J3071="Sí"),"Sí","No"))</f>
        <v/>
      </c>
    </row>
    <row r="3072" customFormat="false" ht="15" hidden="false" customHeight="false" outlineLevel="0" collapsed="false">
      <c r="A3072" s="22"/>
      <c r="B3072" s="22"/>
      <c r="C3072" s="26" t="str">
        <f aca="false">IF(A3072="","",IFERROR(buscarx(A3072&amp;B3072,DATA!$E$3:$E$10000&amp;DATA!$B$3:$B$10000,DATA!$M$3:$M$10000),"No encontrado"))</f>
        <v/>
      </c>
      <c r="D3072" s="27" t="str">
        <f aca="false">IF(A3072="","",IFERROR(buscarx(A3072&amp;B3072,DATA!$E$3:$E$10000&amp;DATA!$B$3:$B$10000,DATA!$W$3:$W$10000),"No encontrado"))</f>
        <v/>
      </c>
      <c r="E3072" s="22"/>
      <c r="F3072" s="26" t="str">
        <f aca="false">IF(A3072="","",IFERROR(buscarx(A3072&amp;E3072,DATA!$E$3:$E$10000&amp;DATA!$B$3:$B$10000,DATA!$M$3:$M$10000),"Inactivo"))</f>
        <v/>
      </c>
      <c r="G3072" s="28" t="str">
        <f aca="false">IF(A3072="","",IF(AND(C3072&lt;&gt;"No encontrado",F3072&lt;&gt;"Inactivo"),C3072&amp;" → "&amp;F3072,"Sin transición"))</f>
        <v/>
      </c>
      <c r="H3072" s="26" t="str">
        <f aca="false">IF(A3072="","",IF(D3072="GCIA LINEA SERVICIO DIGITALIDAD Y VENTAS","Chats",IF(OR(D3072="GERENCIA INBOUND LÍNEAS SERVICIO Y VENTA",D3072="GERENCIA INBOUND LINEAS ESPECIALIZADAS"),"Llamadas","Otro")))</f>
        <v/>
      </c>
      <c r="I3072" s="26" t="str">
        <f aca="false">IF(A3072="","",IF(C3072="No encontrado","No","Sí"))</f>
        <v/>
      </c>
      <c r="J3072" s="26" t="str">
        <f aca="false">IF(A3072="","",IF(F3072="Inactivo","No","Sí"))</f>
        <v/>
      </c>
      <c r="K3072" s="26" t="str">
        <f aca="false">IF(A3072="","",IF(AND(I3072="Sí",J3072="Sí"),"Sí","No"))</f>
        <v/>
      </c>
    </row>
    <row r="3073" customFormat="false" ht="15" hidden="false" customHeight="false" outlineLevel="0" collapsed="false">
      <c r="A3073" s="22"/>
      <c r="B3073" s="22"/>
      <c r="C3073" s="23" t="str">
        <f aca="false">IF(A3073="","",IFERROR(buscarx(A3073&amp;B3073,DATA!$E$3:$E$10000&amp;DATA!$B$3:$B$10000,DATA!$M$3:$M$10000),"No encontrado"))</f>
        <v/>
      </c>
      <c r="D3073" s="24" t="str">
        <f aca="false">IF(A3073="","",IFERROR(buscarx(A3073&amp;B3073,DATA!$E$3:$E$10000&amp;DATA!$B$3:$B$10000,DATA!$W$3:$W$10000),"No encontrado"))</f>
        <v/>
      </c>
      <c r="E3073" s="22"/>
      <c r="F3073" s="23" t="str">
        <f aca="false">IF(A3073="","",IFERROR(buscarx(A3073&amp;E3073,DATA!$E$3:$E$10000&amp;DATA!$B$3:$B$10000,DATA!$M$3:$M$10000),"Inactivo"))</f>
        <v/>
      </c>
      <c r="G3073" s="25" t="str">
        <f aca="false">IF(A3073="","",IF(AND(C3073&lt;&gt;"No encontrado",F3073&lt;&gt;"Inactivo"),C3073&amp;" → "&amp;F3073,"Sin transición"))</f>
        <v/>
      </c>
      <c r="H3073" s="23" t="str">
        <f aca="false">IF(A3073="","",IF(D3073="GCIA LINEA SERVICIO DIGITALIDAD Y VENTAS","Chats",IF(OR(D3073="GERENCIA INBOUND LÍNEAS SERVICIO Y VENTA",D3073="GERENCIA INBOUND LINEAS ESPECIALIZADAS"),"Llamadas","Otro")))</f>
        <v/>
      </c>
      <c r="I3073" s="23" t="str">
        <f aca="false">IF(A3073="","",IF(C3073="No encontrado","No","Sí"))</f>
        <v/>
      </c>
      <c r="J3073" s="23" t="str">
        <f aca="false">IF(A3073="","",IF(F3073="Inactivo","No","Sí"))</f>
        <v/>
      </c>
      <c r="K3073" s="23" t="str">
        <f aca="false">IF(A3073="","",IF(AND(I3073="Sí",J3073="Sí"),"Sí","No"))</f>
        <v/>
      </c>
    </row>
    <row r="3074" customFormat="false" ht="15" hidden="false" customHeight="false" outlineLevel="0" collapsed="false">
      <c r="A3074" s="22"/>
      <c r="B3074" s="22"/>
      <c r="C3074" s="26" t="str">
        <f aca="false">IF(A3074="","",IFERROR(buscarx(A3074&amp;B3074,DATA!$E$3:$E$10000&amp;DATA!$B$3:$B$10000,DATA!$M$3:$M$10000),"No encontrado"))</f>
        <v/>
      </c>
      <c r="D3074" s="27" t="str">
        <f aca="false">IF(A3074="","",IFERROR(buscarx(A3074&amp;B3074,DATA!$E$3:$E$10000&amp;DATA!$B$3:$B$10000,DATA!$W$3:$W$10000),"No encontrado"))</f>
        <v/>
      </c>
      <c r="E3074" s="22"/>
      <c r="F3074" s="26" t="str">
        <f aca="false">IF(A3074="","",IFERROR(buscarx(A3074&amp;E3074,DATA!$E$3:$E$10000&amp;DATA!$B$3:$B$10000,DATA!$M$3:$M$10000),"Inactivo"))</f>
        <v/>
      </c>
      <c r="G3074" s="28" t="str">
        <f aca="false">IF(A3074="","",IF(AND(C3074&lt;&gt;"No encontrado",F3074&lt;&gt;"Inactivo"),C3074&amp;" → "&amp;F3074,"Sin transición"))</f>
        <v/>
      </c>
      <c r="H3074" s="26" t="str">
        <f aca="false">IF(A3074="","",IF(D3074="GCIA LINEA SERVICIO DIGITALIDAD Y VENTAS","Chats",IF(OR(D3074="GERENCIA INBOUND LÍNEAS SERVICIO Y VENTA",D3074="GERENCIA INBOUND LINEAS ESPECIALIZADAS"),"Llamadas","Otro")))</f>
        <v/>
      </c>
      <c r="I3074" s="26" t="str">
        <f aca="false">IF(A3074="","",IF(C3074="No encontrado","No","Sí"))</f>
        <v/>
      </c>
      <c r="J3074" s="26" t="str">
        <f aca="false">IF(A3074="","",IF(F3074="Inactivo","No","Sí"))</f>
        <v/>
      </c>
      <c r="K3074" s="26" t="str">
        <f aca="false">IF(A3074="","",IF(AND(I3074="Sí",J3074="Sí"),"Sí","No"))</f>
        <v/>
      </c>
    </row>
    <row r="3075" customFormat="false" ht="15" hidden="false" customHeight="false" outlineLevel="0" collapsed="false">
      <c r="A3075" s="22"/>
      <c r="B3075" s="22"/>
      <c r="C3075" s="23" t="str">
        <f aca="false">IF(A3075="","",IFERROR(buscarx(A3075&amp;B3075,DATA!$E$3:$E$10000&amp;DATA!$B$3:$B$10000,DATA!$M$3:$M$10000),"No encontrado"))</f>
        <v/>
      </c>
      <c r="D3075" s="24" t="str">
        <f aca="false">IF(A3075="","",IFERROR(buscarx(A3075&amp;B3075,DATA!$E$3:$E$10000&amp;DATA!$B$3:$B$10000,DATA!$W$3:$W$10000),"No encontrado"))</f>
        <v/>
      </c>
      <c r="E3075" s="22"/>
      <c r="F3075" s="23" t="str">
        <f aca="false">IF(A3075="","",IFERROR(buscarx(A3075&amp;E3075,DATA!$E$3:$E$10000&amp;DATA!$B$3:$B$10000,DATA!$M$3:$M$10000),"Inactivo"))</f>
        <v/>
      </c>
      <c r="G3075" s="25" t="str">
        <f aca="false">IF(A3075="","",IF(AND(C3075&lt;&gt;"No encontrado",F3075&lt;&gt;"Inactivo"),C3075&amp;" → "&amp;F3075,"Sin transición"))</f>
        <v/>
      </c>
      <c r="H3075" s="23" t="str">
        <f aca="false">IF(A3075="","",IF(D3075="GCIA LINEA SERVICIO DIGITALIDAD Y VENTAS","Chats",IF(OR(D3075="GERENCIA INBOUND LÍNEAS SERVICIO Y VENTA",D3075="GERENCIA INBOUND LINEAS ESPECIALIZADAS"),"Llamadas","Otro")))</f>
        <v/>
      </c>
      <c r="I3075" s="23" t="str">
        <f aca="false">IF(A3075="","",IF(C3075="No encontrado","No","Sí"))</f>
        <v/>
      </c>
      <c r="J3075" s="23" t="str">
        <f aca="false">IF(A3075="","",IF(F3075="Inactivo","No","Sí"))</f>
        <v/>
      </c>
      <c r="K3075" s="23" t="str">
        <f aca="false">IF(A3075="","",IF(AND(I3075="Sí",J3075="Sí"),"Sí","No"))</f>
        <v/>
      </c>
    </row>
    <row r="3076" customFormat="false" ht="15" hidden="false" customHeight="false" outlineLevel="0" collapsed="false">
      <c r="A3076" s="22"/>
      <c r="B3076" s="22"/>
      <c r="C3076" s="26" t="str">
        <f aca="false">IF(A3076="","",IFERROR(buscarx(A3076&amp;B3076,DATA!$E$3:$E$10000&amp;DATA!$B$3:$B$10000,DATA!$M$3:$M$10000),"No encontrado"))</f>
        <v/>
      </c>
      <c r="D3076" s="27" t="str">
        <f aca="false">IF(A3076="","",IFERROR(buscarx(A3076&amp;B3076,DATA!$E$3:$E$10000&amp;DATA!$B$3:$B$10000,DATA!$W$3:$W$10000),"No encontrado"))</f>
        <v/>
      </c>
      <c r="E3076" s="22"/>
      <c r="F3076" s="26" t="str">
        <f aca="false">IF(A3076="","",IFERROR(buscarx(A3076&amp;E3076,DATA!$E$3:$E$10000&amp;DATA!$B$3:$B$10000,DATA!$M$3:$M$10000),"Inactivo"))</f>
        <v/>
      </c>
      <c r="G3076" s="28" t="str">
        <f aca="false">IF(A3076="","",IF(AND(C3076&lt;&gt;"No encontrado",F3076&lt;&gt;"Inactivo"),C3076&amp;" → "&amp;F3076,"Sin transición"))</f>
        <v/>
      </c>
      <c r="H3076" s="26" t="str">
        <f aca="false">IF(A3076="","",IF(D3076="GCIA LINEA SERVICIO DIGITALIDAD Y VENTAS","Chats",IF(OR(D3076="GERENCIA INBOUND LÍNEAS SERVICIO Y VENTA",D3076="GERENCIA INBOUND LINEAS ESPECIALIZADAS"),"Llamadas","Otro")))</f>
        <v/>
      </c>
      <c r="I3076" s="26" t="str">
        <f aca="false">IF(A3076="","",IF(C3076="No encontrado","No","Sí"))</f>
        <v/>
      </c>
      <c r="J3076" s="26" t="str">
        <f aca="false">IF(A3076="","",IF(F3076="Inactivo","No","Sí"))</f>
        <v/>
      </c>
      <c r="K3076" s="26" t="str">
        <f aca="false">IF(A3076="","",IF(AND(I3076="Sí",J3076="Sí"),"Sí","No"))</f>
        <v/>
      </c>
    </row>
    <row r="3077" customFormat="false" ht="15" hidden="false" customHeight="false" outlineLevel="0" collapsed="false">
      <c r="A3077" s="22"/>
      <c r="B3077" s="22"/>
      <c r="C3077" s="23" t="str">
        <f aca="false">IF(A3077="","",IFERROR(buscarx(A3077&amp;B3077,DATA!$E$3:$E$10000&amp;DATA!$B$3:$B$10000,DATA!$M$3:$M$10000),"No encontrado"))</f>
        <v/>
      </c>
      <c r="D3077" s="24" t="str">
        <f aca="false">IF(A3077="","",IFERROR(buscarx(A3077&amp;B3077,DATA!$E$3:$E$10000&amp;DATA!$B$3:$B$10000,DATA!$W$3:$W$10000),"No encontrado"))</f>
        <v/>
      </c>
      <c r="E3077" s="22"/>
      <c r="F3077" s="23" t="str">
        <f aca="false">IF(A3077="","",IFERROR(buscarx(A3077&amp;E3077,DATA!$E$3:$E$10000&amp;DATA!$B$3:$B$10000,DATA!$M$3:$M$10000),"Inactivo"))</f>
        <v/>
      </c>
      <c r="G3077" s="25" t="str">
        <f aca="false">IF(A3077="","",IF(AND(C3077&lt;&gt;"No encontrado",F3077&lt;&gt;"Inactivo"),C3077&amp;" → "&amp;F3077,"Sin transición"))</f>
        <v/>
      </c>
      <c r="H3077" s="23" t="str">
        <f aca="false">IF(A3077="","",IF(D3077="GCIA LINEA SERVICIO DIGITALIDAD Y VENTAS","Chats",IF(OR(D3077="GERENCIA INBOUND LÍNEAS SERVICIO Y VENTA",D3077="GERENCIA INBOUND LINEAS ESPECIALIZADAS"),"Llamadas","Otro")))</f>
        <v/>
      </c>
      <c r="I3077" s="23" t="str">
        <f aca="false">IF(A3077="","",IF(C3077="No encontrado","No","Sí"))</f>
        <v/>
      </c>
      <c r="J3077" s="23" t="str">
        <f aca="false">IF(A3077="","",IF(F3077="Inactivo","No","Sí"))</f>
        <v/>
      </c>
      <c r="K3077" s="23" t="str">
        <f aca="false">IF(A3077="","",IF(AND(I3077="Sí",J3077="Sí"),"Sí","No"))</f>
        <v/>
      </c>
    </row>
    <row r="3078" customFormat="false" ht="15" hidden="false" customHeight="false" outlineLevel="0" collapsed="false">
      <c r="A3078" s="22"/>
      <c r="B3078" s="22"/>
      <c r="C3078" s="26" t="str">
        <f aca="false">IF(A3078="","",IFERROR(buscarx(A3078&amp;B3078,DATA!$E$3:$E$10000&amp;DATA!$B$3:$B$10000,DATA!$M$3:$M$10000),"No encontrado"))</f>
        <v/>
      </c>
      <c r="D3078" s="27" t="str">
        <f aca="false">IF(A3078="","",IFERROR(buscarx(A3078&amp;B3078,DATA!$E$3:$E$10000&amp;DATA!$B$3:$B$10000,DATA!$W$3:$W$10000),"No encontrado"))</f>
        <v/>
      </c>
      <c r="E3078" s="22"/>
      <c r="F3078" s="26" t="str">
        <f aca="false">IF(A3078="","",IFERROR(buscarx(A3078&amp;E3078,DATA!$E$3:$E$10000&amp;DATA!$B$3:$B$10000,DATA!$M$3:$M$10000),"Inactivo"))</f>
        <v/>
      </c>
      <c r="G3078" s="28" t="str">
        <f aca="false">IF(A3078="","",IF(AND(C3078&lt;&gt;"No encontrado",F3078&lt;&gt;"Inactivo"),C3078&amp;" → "&amp;F3078,"Sin transición"))</f>
        <v/>
      </c>
      <c r="H3078" s="26" t="str">
        <f aca="false">IF(A3078="","",IF(D3078="GCIA LINEA SERVICIO DIGITALIDAD Y VENTAS","Chats",IF(OR(D3078="GERENCIA INBOUND LÍNEAS SERVICIO Y VENTA",D3078="GERENCIA INBOUND LINEAS ESPECIALIZADAS"),"Llamadas","Otro")))</f>
        <v/>
      </c>
      <c r="I3078" s="26" t="str">
        <f aca="false">IF(A3078="","",IF(C3078="No encontrado","No","Sí"))</f>
        <v/>
      </c>
      <c r="J3078" s="26" t="str">
        <f aca="false">IF(A3078="","",IF(F3078="Inactivo","No","Sí"))</f>
        <v/>
      </c>
      <c r="K3078" s="26" t="str">
        <f aca="false">IF(A3078="","",IF(AND(I3078="Sí",J3078="Sí"),"Sí","No"))</f>
        <v/>
      </c>
    </row>
    <row r="3079" customFormat="false" ht="15" hidden="false" customHeight="false" outlineLevel="0" collapsed="false">
      <c r="A3079" s="22"/>
      <c r="B3079" s="22"/>
      <c r="C3079" s="23" t="str">
        <f aca="false">IF(A3079="","",IFERROR(buscarx(A3079&amp;B3079,DATA!$E$3:$E$10000&amp;DATA!$B$3:$B$10000,DATA!$M$3:$M$10000),"No encontrado"))</f>
        <v/>
      </c>
      <c r="D3079" s="24" t="str">
        <f aca="false">IF(A3079="","",IFERROR(buscarx(A3079&amp;B3079,DATA!$E$3:$E$10000&amp;DATA!$B$3:$B$10000,DATA!$W$3:$W$10000),"No encontrado"))</f>
        <v/>
      </c>
      <c r="E3079" s="22"/>
      <c r="F3079" s="23" t="str">
        <f aca="false">IF(A3079="","",IFERROR(buscarx(A3079&amp;E3079,DATA!$E$3:$E$10000&amp;DATA!$B$3:$B$10000,DATA!$M$3:$M$10000),"Inactivo"))</f>
        <v/>
      </c>
      <c r="G3079" s="25" t="str">
        <f aca="false">IF(A3079="","",IF(AND(C3079&lt;&gt;"No encontrado",F3079&lt;&gt;"Inactivo"),C3079&amp;" → "&amp;F3079,"Sin transición"))</f>
        <v/>
      </c>
      <c r="H3079" s="23" t="str">
        <f aca="false">IF(A3079="","",IF(D3079="GCIA LINEA SERVICIO DIGITALIDAD Y VENTAS","Chats",IF(OR(D3079="GERENCIA INBOUND LÍNEAS SERVICIO Y VENTA",D3079="GERENCIA INBOUND LINEAS ESPECIALIZADAS"),"Llamadas","Otro")))</f>
        <v/>
      </c>
      <c r="I3079" s="23" t="str">
        <f aca="false">IF(A3079="","",IF(C3079="No encontrado","No","Sí"))</f>
        <v/>
      </c>
      <c r="J3079" s="23" t="str">
        <f aca="false">IF(A3079="","",IF(F3079="Inactivo","No","Sí"))</f>
        <v/>
      </c>
      <c r="K3079" s="23" t="str">
        <f aca="false">IF(A3079="","",IF(AND(I3079="Sí",J3079="Sí"),"Sí","No"))</f>
        <v/>
      </c>
    </row>
    <row r="3080" customFormat="false" ht="15" hidden="false" customHeight="false" outlineLevel="0" collapsed="false">
      <c r="A3080" s="22"/>
      <c r="B3080" s="22"/>
      <c r="C3080" s="26" t="str">
        <f aca="false">IF(A3080="","",IFERROR(buscarx(A3080&amp;B3080,DATA!$E$3:$E$10000&amp;DATA!$B$3:$B$10000,DATA!$M$3:$M$10000),"No encontrado"))</f>
        <v/>
      </c>
      <c r="D3080" s="27" t="str">
        <f aca="false">IF(A3080="","",IFERROR(buscarx(A3080&amp;B3080,DATA!$E$3:$E$10000&amp;DATA!$B$3:$B$10000,DATA!$W$3:$W$10000),"No encontrado"))</f>
        <v/>
      </c>
      <c r="E3080" s="22"/>
      <c r="F3080" s="26" t="str">
        <f aca="false">IF(A3080="","",IFERROR(buscarx(A3080&amp;E3080,DATA!$E$3:$E$10000&amp;DATA!$B$3:$B$10000,DATA!$M$3:$M$10000),"Inactivo"))</f>
        <v/>
      </c>
      <c r="G3080" s="28" t="str">
        <f aca="false">IF(A3080="","",IF(AND(C3080&lt;&gt;"No encontrado",F3080&lt;&gt;"Inactivo"),C3080&amp;" → "&amp;F3080,"Sin transición"))</f>
        <v/>
      </c>
      <c r="H3080" s="26" t="str">
        <f aca="false">IF(A3080="","",IF(D3080="GCIA LINEA SERVICIO DIGITALIDAD Y VENTAS","Chats",IF(OR(D3080="GERENCIA INBOUND LÍNEAS SERVICIO Y VENTA",D3080="GERENCIA INBOUND LINEAS ESPECIALIZADAS"),"Llamadas","Otro")))</f>
        <v/>
      </c>
      <c r="I3080" s="26" t="str">
        <f aca="false">IF(A3080="","",IF(C3080="No encontrado","No","Sí"))</f>
        <v/>
      </c>
      <c r="J3080" s="26" t="str">
        <f aca="false">IF(A3080="","",IF(F3080="Inactivo","No","Sí"))</f>
        <v/>
      </c>
      <c r="K3080" s="26" t="str">
        <f aca="false">IF(A3080="","",IF(AND(I3080="Sí",J3080="Sí"),"Sí","No"))</f>
        <v/>
      </c>
    </row>
    <row r="3081" customFormat="false" ht="15" hidden="false" customHeight="false" outlineLevel="0" collapsed="false">
      <c r="A3081" s="22"/>
      <c r="B3081" s="22"/>
      <c r="C3081" s="23" t="str">
        <f aca="false">IF(A3081="","",IFERROR(buscarx(A3081&amp;B3081,DATA!$E$3:$E$10000&amp;DATA!$B$3:$B$10000,DATA!$M$3:$M$10000),"No encontrado"))</f>
        <v/>
      </c>
      <c r="D3081" s="24" t="str">
        <f aca="false">IF(A3081="","",IFERROR(buscarx(A3081&amp;B3081,DATA!$E$3:$E$10000&amp;DATA!$B$3:$B$10000,DATA!$W$3:$W$10000),"No encontrado"))</f>
        <v/>
      </c>
      <c r="E3081" s="22"/>
      <c r="F3081" s="23" t="str">
        <f aca="false">IF(A3081="","",IFERROR(buscarx(A3081&amp;E3081,DATA!$E$3:$E$10000&amp;DATA!$B$3:$B$10000,DATA!$M$3:$M$10000),"Inactivo"))</f>
        <v/>
      </c>
      <c r="G3081" s="25" t="str">
        <f aca="false">IF(A3081="","",IF(AND(C3081&lt;&gt;"No encontrado",F3081&lt;&gt;"Inactivo"),C3081&amp;" → "&amp;F3081,"Sin transición"))</f>
        <v/>
      </c>
      <c r="H3081" s="23" t="str">
        <f aca="false">IF(A3081="","",IF(D3081="GCIA LINEA SERVICIO DIGITALIDAD Y VENTAS","Chats",IF(OR(D3081="GERENCIA INBOUND LÍNEAS SERVICIO Y VENTA",D3081="GERENCIA INBOUND LINEAS ESPECIALIZADAS"),"Llamadas","Otro")))</f>
        <v/>
      </c>
      <c r="I3081" s="23" t="str">
        <f aca="false">IF(A3081="","",IF(C3081="No encontrado","No","Sí"))</f>
        <v/>
      </c>
      <c r="J3081" s="23" t="str">
        <f aca="false">IF(A3081="","",IF(F3081="Inactivo","No","Sí"))</f>
        <v/>
      </c>
      <c r="K3081" s="23" t="str">
        <f aca="false">IF(A3081="","",IF(AND(I3081="Sí",J3081="Sí"),"Sí","No"))</f>
        <v/>
      </c>
    </row>
    <row r="3082" customFormat="false" ht="15" hidden="false" customHeight="false" outlineLevel="0" collapsed="false">
      <c r="A3082" s="22"/>
      <c r="B3082" s="22"/>
      <c r="C3082" s="26" t="str">
        <f aca="false">IF(A3082="","",IFERROR(buscarx(A3082&amp;B3082,DATA!$E$3:$E$10000&amp;DATA!$B$3:$B$10000,DATA!$M$3:$M$10000),"No encontrado"))</f>
        <v/>
      </c>
      <c r="D3082" s="27" t="str">
        <f aca="false">IF(A3082="","",IFERROR(buscarx(A3082&amp;B3082,DATA!$E$3:$E$10000&amp;DATA!$B$3:$B$10000,DATA!$W$3:$W$10000),"No encontrado"))</f>
        <v/>
      </c>
      <c r="E3082" s="22"/>
      <c r="F3082" s="26" t="str">
        <f aca="false">IF(A3082="","",IFERROR(buscarx(A3082&amp;E3082,DATA!$E$3:$E$10000&amp;DATA!$B$3:$B$10000,DATA!$M$3:$M$10000),"Inactivo"))</f>
        <v/>
      </c>
      <c r="G3082" s="28" t="str">
        <f aca="false">IF(A3082="","",IF(AND(C3082&lt;&gt;"No encontrado",F3082&lt;&gt;"Inactivo"),C3082&amp;" → "&amp;F3082,"Sin transición"))</f>
        <v/>
      </c>
      <c r="H3082" s="26" t="str">
        <f aca="false">IF(A3082="","",IF(D3082="GCIA LINEA SERVICIO DIGITALIDAD Y VENTAS","Chats",IF(OR(D3082="GERENCIA INBOUND LÍNEAS SERVICIO Y VENTA",D3082="GERENCIA INBOUND LINEAS ESPECIALIZADAS"),"Llamadas","Otro")))</f>
        <v/>
      </c>
      <c r="I3082" s="26" t="str">
        <f aca="false">IF(A3082="","",IF(C3082="No encontrado","No","Sí"))</f>
        <v/>
      </c>
      <c r="J3082" s="26" t="str">
        <f aca="false">IF(A3082="","",IF(F3082="Inactivo","No","Sí"))</f>
        <v/>
      </c>
      <c r="K3082" s="26" t="str">
        <f aca="false">IF(A3082="","",IF(AND(I3082="Sí",J3082="Sí"),"Sí","No"))</f>
        <v/>
      </c>
    </row>
    <row r="3083" customFormat="false" ht="15" hidden="false" customHeight="false" outlineLevel="0" collapsed="false">
      <c r="A3083" s="22"/>
      <c r="B3083" s="22"/>
      <c r="C3083" s="23" t="str">
        <f aca="false">IF(A3083="","",IFERROR(buscarx(A3083&amp;B3083,DATA!$E$3:$E$10000&amp;DATA!$B$3:$B$10000,DATA!$M$3:$M$10000),"No encontrado"))</f>
        <v/>
      </c>
      <c r="D3083" s="24" t="str">
        <f aca="false">IF(A3083="","",IFERROR(buscarx(A3083&amp;B3083,DATA!$E$3:$E$10000&amp;DATA!$B$3:$B$10000,DATA!$W$3:$W$10000),"No encontrado"))</f>
        <v/>
      </c>
      <c r="E3083" s="22"/>
      <c r="F3083" s="23" t="str">
        <f aca="false">IF(A3083="","",IFERROR(buscarx(A3083&amp;E3083,DATA!$E$3:$E$10000&amp;DATA!$B$3:$B$10000,DATA!$M$3:$M$10000),"Inactivo"))</f>
        <v/>
      </c>
      <c r="G3083" s="25" t="str">
        <f aca="false">IF(A3083="","",IF(AND(C3083&lt;&gt;"No encontrado",F3083&lt;&gt;"Inactivo"),C3083&amp;" → "&amp;F3083,"Sin transición"))</f>
        <v/>
      </c>
      <c r="H3083" s="23" t="str">
        <f aca="false">IF(A3083="","",IF(D3083="GCIA LINEA SERVICIO DIGITALIDAD Y VENTAS","Chats",IF(OR(D3083="GERENCIA INBOUND LÍNEAS SERVICIO Y VENTA",D3083="GERENCIA INBOUND LINEAS ESPECIALIZADAS"),"Llamadas","Otro")))</f>
        <v/>
      </c>
      <c r="I3083" s="23" t="str">
        <f aca="false">IF(A3083="","",IF(C3083="No encontrado","No","Sí"))</f>
        <v/>
      </c>
      <c r="J3083" s="23" t="str">
        <f aca="false">IF(A3083="","",IF(F3083="Inactivo","No","Sí"))</f>
        <v/>
      </c>
      <c r="K3083" s="23" t="str">
        <f aca="false">IF(A3083="","",IF(AND(I3083="Sí",J3083="Sí"),"Sí","No"))</f>
        <v/>
      </c>
    </row>
    <row r="3084" customFormat="false" ht="15" hidden="false" customHeight="false" outlineLevel="0" collapsed="false">
      <c r="A3084" s="22"/>
      <c r="B3084" s="22"/>
      <c r="C3084" s="26" t="str">
        <f aca="false">IF(A3084="","",IFERROR(buscarx(A3084&amp;B3084,DATA!$E$3:$E$10000&amp;DATA!$B$3:$B$10000,DATA!$M$3:$M$10000),"No encontrado"))</f>
        <v/>
      </c>
      <c r="D3084" s="27" t="str">
        <f aca="false">IF(A3084="","",IFERROR(buscarx(A3084&amp;B3084,DATA!$E$3:$E$10000&amp;DATA!$B$3:$B$10000,DATA!$W$3:$W$10000),"No encontrado"))</f>
        <v/>
      </c>
      <c r="E3084" s="22"/>
      <c r="F3084" s="26" t="str">
        <f aca="false">IF(A3084="","",IFERROR(buscarx(A3084&amp;E3084,DATA!$E$3:$E$10000&amp;DATA!$B$3:$B$10000,DATA!$M$3:$M$10000),"Inactivo"))</f>
        <v/>
      </c>
      <c r="G3084" s="28" t="str">
        <f aca="false">IF(A3084="","",IF(AND(C3084&lt;&gt;"No encontrado",F3084&lt;&gt;"Inactivo"),C3084&amp;" → "&amp;F3084,"Sin transición"))</f>
        <v/>
      </c>
      <c r="H3084" s="26" t="str">
        <f aca="false">IF(A3084="","",IF(D3084="GCIA LINEA SERVICIO DIGITALIDAD Y VENTAS","Chats",IF(OR(D3084="GERENCIA INBOUND LÍNEAS SERVICIO Y VENTA",D3084="GERENCIA INBOUND LINEAS ESPECIALIZADAS"),"Llamadas","Otro")))</f>
        <v/>
      </c>
      <c r="I3084" s="26" t="str">
        <f aca="false">IF(A3084="","",IF(C3084="No encontrado","No","Sí"))</f>
        <v/>
      </c>
      <c r="J3084" s="26" t="str">
        <f aca="false">IF(A3084="","",IF(F3084="Inactivo","No","Sí"))</f>
        <v/>
      </c>
      <c r="K3084" s="26" t="str">
        <f aca="false">IF(A3084="","",IF(AND(I3084="Sí",J3084="Sí"),"Sí","No"))</f>
        <v/>
      </c>
    </row>
    <row r="3085" customFormat="false" ht="15" hidden="false" customHeight="false" outlineLevel="0" collapsed="false">
      <c r="A3085" s="22"/>
      <c r="B3085" s="22"/>
      <c r="C3085" s="23" t="str">
        <f aca="false">IF(A3085="","",IFERROR(buscarx(A3085&amp;B3085,DATA!$E$3:$E$10000&amp;DATA!$B$3:$B$10000,DATA!$M$3:$M$10000),"No encontrado"))</f>
        <v/>
      </c>
      <c r="D3085" s="24" t="str">
        <f aca="false">IF(A3085="","",IFERROR(buscarx(A3085&amp;B3085,DATA!$E$3:$E$10000&amp;DATA!$B$3:$B$10000,DATA!$W$3:$W$10000),"No encontrado"))</f>
        <v/>
      </c>
      <c r="E3085" s="22"/>
      <c r="F3085" s="23" t="str">
        <f aca="false">IF(A3085="","",IFERROR(buscarx(A3085&amp;E3085,DATA!$E$3:$E$10000&amp;DATA!$B$3:$B$10000,DATA!$M$3:$M$10000),"Inactivo"))</f>
        <v/>
      </c>
      <c r="G3085" s="25" t="str">
        <f aca="false">IF(A3085="","",IF(AND(C3085&lt;&gt;"No encontrado",F3085&lt;&gt;"Inactivo"),C3085&amp;" → "&amp;F3085,"Sin transición"))</f>
        <v/>
      </c>
      <c r="H3085" s="23" t="str">
        <f aca="false">IF(A3085="","",IF(D3085="GCIA LINEA SERVICIO DIGITALIDAD Y VENTAS","Chats",IF(OR(D3085="GERENCIA INBOUND LÍNEAS SERVICIO Y VENTA",D3085="GERENCIA INBOUND LINEAS ESPECIALIZADAS"),"Llamadas","Otro")))</f>
        <v/>
      </c>
      <c r="I3085" s="23" t="str">
        <f aca="false">IF(A3085="","",IF(C3085="No encontrado","No","Sí"))</f>
        <v/>
      </c>
      <c r="J3085" s="23" t="str">
        <f aca="false">IF(A3085="","",IF(F3085="Inactivo","No","Sí"))</f>
        <v/>
      </c>
      <c r="K3085" s="23" t="str">
        <f aca="false">IF(A3085="","",IF(AND(I3085="Sí",J3085="Sí"),"Sí","No"))</f>
        <v/>
      </c>
    </row>
    <row r="3086" customFormat="false" ht="15" hidden="false" customHeight="false" outlineLevel="0" collapsed="false">
      <c r="A3086" s="22"/>
      <c r="B3086" s="22"/>
      <c r="C3086" s="26" t="str">
        <f aca="false">IF(A3086="","",IFERROR(buscarx(A3086&amp;B3086,DATA!$E$3:$E$10000&amp;DATA!$B$3:$B$10000,DATA!$M$3:$M$10000),"No encontrado"))</f>
        <v/>
      </c>
      <c r="D3086" s="27" t="str">
        <f aca="false">IF(A3086="","",IFERROR(buscarx(A3086&amp;B3086,DATA!$E$3:$E$10000&amp;DATA!$B$3:$B$10000,DATA!$W$3:$W$10000),"No encontrado"))</f>
        <v/>
      </c>
      <c r="E3086" s="22"/>
      <c r="F3086" s="26" t="str">
        <f aca="false">IF(A3086="","",IFERROR(buscarx(A3086&amp;E3086,DATA!$E$3:$E$10000&amp;DATA!$B$3:$B$10000,DATA!$M$3:$M$10000),"Inactivo"))</f>
        <v/>
      </c>
      <c r="G3086" s="28" t="str">
        <f aca="false">IF(A3086="","",IF(AND(C3086&lt;&gt;"No encontrado",F3086&lt;&gt;"Inactivo"),C3086&amp;" → "&amp;F3086,"Sin transición"))</f>
        <v/>
      </c>
      <c r="H3086" s="26" t="str">
        <f aca="false">IF(A3086="","",IF(D3086="GCIA LINEA SERVICIO DIGITALIDAD Y VENTAS","Chats",IF(OR(D3086="GERENCIA INBOUND LÍNEAS SERVICIO Y VENTA",D3086="GERENCIA INBOUND LINEAS ESPECIALIZADAS"),"Llamadas","Otro")))</f>
        <v/>
      </c>
      <c r="I3086" s="26" t="str">
        <f aca="false">IF(A3086="","",IF(C3086="No encontrado","No","Sí"))</f>
        <v/>
      </c>
      <c r="J3086" s="26" t="str">
        <f aca="false">IF(A3086="","",IF(F3086="Inactivo","No","Sí"))</f>
        <v/>
      </c>
      <c r="K3086" s="26" t="str">
        <f aca="false">IF(A3086="","",IF(AND(I3086="Sí",J3086="Sí"),"Sí","No"))</f>
        <v/>
      </c>
    </row>
    <row r="3087" customFormat="false" ht="15" hidden="false" customHeight="false" outlineLevel="0" collapsed="false">
      <c r="A3087" s="22"/>
      <c r="B3087" s="22"/>
      <c r="C3087" s="23" t="str">
        <f aca="false">IF(A3087="","",IFERROR(buscarx(A3087&amp;B3087,DATA!$E$3:$E$10000&amp;DATA!$B$3:$B$10000,DATA!$M$3:$M$10000),"No encontrado"))</f>
        <v/>
      </c>
      <c r="D3087" s="24" t="str">
        <f aca="false">IF(A3087="","",IFERROR(buscarx(A3087&amp;B3087,DATA!$E$3:$E$10000&amp;DATA!$B$3:$B$10000,DATA!$W$3:$W$10000),"No encontrado"))</f>
        <v/>
      </c>
      <c r="E3087" s="22"/>
      <c r="F3087" s="23" t="str">
        <f aca="false">IF(A3087="","",IFERROR(buscarx(A3087&amp;E3087,DATA!$E$3:$E$10000&amp;DATA!$B$3:$B$10000,DATA!$M$3:$M$10000),"Inactivo"))</f>
        <v/>
      </c>
      <c r="G3087" s="25" t="str">
        <f aca="false">IF(A3087="","",IF(AND(C3087&lt;&gt;"No encontrado",F3087&lt;&gt;"Inactivo"),C3087&amp;" → "&amp;F3087,"Sin transición"))</f>
        <v/>
      </c>
      <c r="H3087" s="23" t="str">
        <f aca="false">IF(A3087="","",IF(D3087="GCIA LINEA SERVICIO DIGITALIDAD Y VENTAS","Chats",IF(OR(D3087="GERENCIA INBOUND LÍNEAS SERVICIO Y VENTA",D3087="GERENCIA INBOUND LINEAS ESPECIALIZADAS"),"Llamadas","Otro")))</f>
        <v/>
      </c>
      <c r="I3087" s="23" t="str">
        <f aca="false">IF(A3087="","",IF(C3087="No encontrado","No","Sí"))</f>
        <v/>
      </c>
      <c r="J3087" s="23" t="str">
        <f aca="false">IF(A3087="","",IF(F3087="Inactivo","No","Sí"))</f>
        <v/>
      </c>
      <c r="K3087" s="23" t="str">
        <f aca="false">IF(A3087="","",IF(AND(I3087="Sí",J3087="Sí"),"Sí","No"))</f>
        <v/>
      </c>
    </row>
    <row r="3088" customFormat="false" ht="15" hidden="false" customHeight="false" outlineLevel="0" collapsed="false">
      <c r="A3088" s="22"/>
      <c r="B3088" s="22"/>
      <c r="C3088" s="26" t="str">
        <f aca="false">IF(A3088="","",IFERROR(buscarx(A3088&amp;B3088,DATA!$E$3:$E$10000&amp;DATA!$B$3:$B$10000,DATA!$M$3:$M$10000),"No encontrado"))</f>
        <v/>
      </c>
      <c r="D3088" s="27" t="str">
        <f aca="false">IF(A3088="","",IFERROR(buscarx(A3088&amp;B3088,DATA!$E$3:$E$10000&amp;DATA!$B$3:$B$10000,DATA!$W$3:$W$10000),"No encontrado"))</f>
        <v/>
      </c>
      <c r="E3088" s="22"/>
      <c r="F3088" s="26" t="str">
        <f aca="false">IF(A3088="","",IFERROR(buscarx(A3088&amp;E3088,DATA!$E$3:$E$10000&amp;DATA!$B$3:$B$10000,DATA!$M$3:$M$10000),"Inactivo"))</f>
        <v/>
      </c>
      <c r="G3088" s="28" t="str">
        <f aca="false">IF(A3088="","",IF(AND(C3088&lt;&gt;"No encontrado",F3088&lt;&gt;"Inactivo"),C3088&amp;" → "&amp;F3088,"Sin transición"))</f>
        <v/>
      </c>
      <c r="H3088" s="26" t="str">
        <f aca="false">IF(A3088="","",IF(D3088="GCIA LINEA SERVICIO DIGITALIDAD Y VENTAS","Chats",IF(OR(D3088="GERENCIA INBOUND LÍNEAS SERVICIO Y VENTA",D3088="GERENCIA INBOUND LINEAS ESPECIALIZADAS"),"Llamadas","Otro")))</f>
        <v/>
      </c>
      <c r="I3088" s="26" t="str">
        <f aca="false">IF(A3088="","",IF(C3088="No encontrado","No","Sí"))</f>
        <v/>
      </c>
      <c r="J3088" s="26" t="str">
        <f aca="false">IF(A3088="","",IF(F3088="Inactivo","No","Sí"))</f>
        <v/>
      </c>
      <c r="K3088" s="26" t="str">
        <f aca="false">IF(A3088="","",IF(AND(I3088="Sí",J3088="Sí"),"Sí","No"))</f>
        <v/>
      </c>
    </row>
    <row r="3089" customFormat="false" ht="15" hidden="false" customHeight="false" outlineLevel="0" collapsed="false">
      <c r="A3089" s="22"/>
      <c r="B3089" s="22"/>
      <c r="C3089" s="23" t="str">
        <f aca="false">IF(A3089="","",IFERROR(buscarx(A3089&amp;B3089,DATA!$E$3:$E$10000&amp;DATA!$B$3:$B$10000,DATA!$M$3:$M$10000),"No encontrado"))</f>
        <v/>
      </c>
      <c r="D3089" s="24" t="str">
        <f aca="false">IF(A3089="","",IFERROR(buscarx(A3089&amp;B3089,DATA!$E$3:$E$10000&amp;DATA!$B$3:$B$10000,DATA!$W$3:$W$10000),"No encontrado"))</f>
        <v/>
      </c>
      <c r="E3089" s="22"/>
      <c r="F3089" s="23" t="str">
        <f aca="false">IF(A3089="","",IFERROR(buscarx(A3089&amp;E3089,DATA!$E$3:$E$10000&amp;DATA!$B$3:$B$10000,DATA!$M$3:$M$10000),"Inactivo"))</f>
        <v/>
      </c>
      <c r="G3089" s="25" t="str">
        <f aca="false">IF(A3089="","",IF(AND(C3089&lt;&gt;"No encontrado",F3089&lt;&gt;"Inactivo"),C3089&amp;" → "&amp;F3089,"Sin transición"))</f>
        <v/>
      </c>
      <c r="H3089" s="23" t="str">
        <f aca="false">IF(A3089="","",IF(D3089="GCIA LINEA SERVICIO DIGITALIDAD Y VENTAS","Chats",IF(OR(D3089="GERENCIA INBOUND LÍNEAS SERVICIO Y VENTA",D3089="GERENCIA INBOUND LINEAS ESPECIALIZADAS"),"Llamadas","Otro")))</f>
        <v/>
      </c>
      <c r="I3089" s="23" t="str">
        <f aca="false">IF(A3089="","",IF(C3089="No encontrado","No","Sí"))</f>
        <v/>
      </c>
      <c r="J3089" s="23" t="str">
        <f aca="false">IF(A3089="","",IF(F3089="Inactivo","No","Sí"))</f>
        <v/>
      </c>
      <c r="K3089" s="23" t="str">
        <f aca="false">IF(A3089="","",IF(AND(I3089="Sí",J3089="Sí"),"Sí","No"))</f>
        <v/>
      </c>
    </row>
    <row r="3090" customFormat="false" ht="15" hidden="false" customHeight="false" outlineLevel="0" collapsed="false">
      <c r="A3090" s="22"/>
      <c r="B3090" s="22"/>
      <c r="C3090" s="26" t="str">
        <f aca="false">IF(A3090="","",IFERROR(buscarx(A3090&amp;B3090,DATA!$E$3:$E$10000&amp;DATA!$B$3:$B$10000,DATA!$M$3:$M$10000),"No encontrado"))</f>
        <v/>
      </c>
      <c r="D3090" s="27" t="str">
        <f aca="false">IF(A3090="","",IFERROR(buscarx(A3090&amp;B3090,DATA!$E$3:$E$10000&amp;DATA!$B$3:$B$10000,DATA!$W$3:$W$10000),"No encontrado"))</f>
        <v/>
      </c>
      <c r="E3090" s="22"/>
      <c r="F3090" s="26" t="str">
        <f aca="false">IF(A3090="","",IFERROR(buscarx(A3090&amp;E3090,DATA!$E$3:$E$10000&amp;DATA!$B$3:$B$10000,DATA!$M$3:$M$10000),"Inactivo"))</f>
        <v/>
      </c>
      <c r="G3090" s="28" t="str">
        <f aca="false">IF(A3090="","",IF(AND(C3090&lt;&gt;"No encontrado",F3090&lt;&gt;"Inactivo"),C3090&amp;" → "&amp;F3090,"Sin transición"))</f>
        <v/>
      </c>
      <c r="H3090" s="26" t="str">
        <f aca="false">IF(A3090="","",IF(D3090="GCIA LINEA SERVICIO DIGITALIDAD Y VENTAS","Chats",IF(OR(D3090="GERENCIA INBOUND LÍNEAS SERVICIO Y VENTA",D3090="GERENCIA INBOUND LINEAS ESPECIALIZADAS"),"Llamadas","Otro")))</f>
        <v/>
      </c>
      <c r="I3090" s="26" t="str">
        <f aca="false">IF(A3090="","",IF(C3090="No encontrado","No","Sí"))</f>
        <v/>
      </c>
      <c r="J3090" s="26" t="str">
        <f aca="false">IF(A3090="","",IF(F3090="Inactivo","No","Sí"))</f>
        <v/>
      </c>
      <c r="K3090" s="26" t="str">
        <f aca="false">IF(A3090="","",IF(AND(I3090="Sí",J3090="Sí"),"Sí","No"))</f>
        <v/>
      </c>
    </row>
    <row r="3091" customFormat="false" ht="15" hidden="false" customHeight="false" outlineLevel="0" collapsed="false">
      <c r="A3091" s="22"/>
      <c r="B3091" s="22"/>
      <c r="C3091" s="23" t="str">
        <f aca="false">IF(A3091="","",IFERROR(buscarx(A3091&amp;B3091,DATA!$E$3:$E$10000&amp;DATA!$B$3:$B$10000,DATA!$M$3:$M$10000),"No encontrado"))</f>
        <v/>
      </c>
      <c r="D3091" s="24" t="str">
        <f aca="false">IF(A3091="","",IFERROR(buscarx(A3091&amp;B3091,DATA!$E$3:$E$10000&amp;DATA!$B$3:$B$10000,DATA!$W$3:$W$10000),"No encontrado"))</f>
        <v/>
      </c>
      <c r="E3091" s="22"/>
      <c r="F3091" s="23" t="str">
        <f aca="false">IF(A3091="","",IFERROR(buscarx(A3091&amp;E3091,DATA!$E$3:$E$10000&amp;DATA!$B$3:$B$10000,DATA!$M$3:$M$10000),"Inactivo"))</f>
        <v/>
      </c>
      <c r="G3091" s="25" t="str">
        <f aca="false">IF(A3091="","",IF(AND(C3091&lt;&gt;"No encontrado",F3091&lt;&gt;"Inactivo"),C3091&amp;" → "&amp;F3091,"Sin transición"))</f>
        <v/>
      </c>
      <c r="H3091" s="23" t="str">
        <f aca="false">IF(A3091="","",IF(D3091="GCIA LINEA SERVICIO DIGITALIDAD Y VENTAS","Chats",IF(OR(D3091="GERENCIA INBOUND LÍNEAS SERVICIO Y VENTA",D3091="GERENCIA INBOUND LINEAS ESPECIALIZADAS"),"Llamadas","Otro")))</f>
        <v/>
      </c>
      <c r="I3091" s="23" t="str">
        <f aca="false">IF(A3091="","",IF(C3091="No encontrado","No","Sí"))</f>
        <v/>
      </c>
      <c r="J3091" s="23" t="str">
        <f aca="false">IF(A3091="","",IF(F3091="Inactivo","No","Sí"))</f>
        <v/>
      </c>
      <c r="K3091" s="23" t="str">
        <f aca="false">IF(A3091="","",IF(AND(I3091="Sí",J3091="Sí"),"Sí","No"))</f>
        <v/>
      </c>
    </row>
    <row r="3092" customFormat="false" ht="15" hidden="false" customHeight="false" outlineLevel="0" collapsed="false">
      <c r="A3092" s="22"/>
      <c r="B3092" s="22"/>
      <c r="C3092" s="26" t="str">
        <f aca="false">IF(A3092="","",IFERROR(buscarx(A3092&amp;B3092,DATA!$E$3:$E$10000&amp;DATA!$B$3:$B$10000,DATA!$M$3:$M$10000),"No encontrado"))</f>
        <v/>
      </c>
      <c r="D3092" s="27" t="str">
        <f aca="false">IF(A3092="","",IFERROR(buscarx(A3092&amp;B3092,DATA!$E$3:$E$10000&amp;DATA!$B$3:$B$10000,DATA!$W$3:$W$10000),"No encontrado"))</f>
        <v/>
      </c>
      <c r="E3092" s="22"/>
      <c r="F3092" s="26" t="str">
        <f aca="false">IF(A3092="","",IFERROR(buscarx(A3092&amp;E3092,DATA!$E$3:$E$10000&amp;DATA!$B$3:$B$10000,DATA!$M$3:$M$10000),"Inactivo"))</f>
        <v/>
      </c>
      <c r="G3092" s="28" t="str">
        <f aca="false">IF(A3092="","",IF(AND(C3092&lt;&gt;"No encontrado",F3092&lt;&gt;"Inactivo"),C3092&amp;" → "&amp;F3092,"Sin transición"))</f>
        <v/>
      </c>
      <c r="H3092" s="26" t="str">
        <f aca="false">IF(A3092="","",IF(D3092="GCIA LINEA SERVICIO DIGITALIDAD Y VENTAS","Chats",IF(OR(D3092="GERENCIA INBOUND LÍNEAS SERVICIO Y VENTA",D3092="GERENCIA INBOUND LINEAS ESPECIALIZADAS"),"Llamadas","Otro")))</f>
        <v/>
      </c>
      <c r="I3092" s="26" t="str">
        <f aca="false">IF(A3092="","",IF(C3092="No encontrado","No","Sí"))</f>
        <v/>
      </c>
      <c r="J3092" s="26" t="str">
        <f aca="false">IF(A3092="","",IF(F3092="Inactivo","No","Sí"))</f>
        <v/>
      </c>
      <c r="K3092" s="26" t="str">
        <f aca="false">IF(A3092="","",IF(AND(I3092="Sí",J3092="Sí"),"Sí","No"))</f>
        <v/>
      </c>
    </row>
    <row r="3093" customFormat="false" ht="15" hidden="false" customHeight="false" outlineLevel="0" collapsed="false">
      <c r="A3093" s="22"/>
      <c r="B3093" s="22"/>
      <c r="C3093" s="23" t="str">
        <f aca="false">IF(A3093="","",IFERROR(buscarx(A3093&amp;B3093,DATA!$E$3:$E$10000&amp;DATA!$B$3:$B$10000,DATA!$M$3:$M$10000),"No encontrado"))</f>
        <v/>
      </c>
      <c r="D3093" s="24" t="str">
        <f aca="false">IF(A3093="","",IFERROR(buscarx(A3093&amp;B3093,DATA!$E$3:$E$10000&amp;DATA!$B$3:$B$10000,DATA!$W$3:$W$10000),"No encontrado"))</f>
        <v/>
      </c>
      <c r="E3093" s="22"/>
      <c r="F3093" s="23" t="str">
        <f aca="false">IF(A3093="","",IFERROR(buscarx(A3093&amp;E3093,DATA!$E$3:$E$10000&amp;DATA!$B$3:$B$10000,DATA!$M$3:$M$10000),"Inactivo"))</f>
        <v/>
      </c>
      <c r="G3093" s="25" t="str">
        <f aca="false">IF(A3093="","",IF(AND(C3093&lt;&gt;"No encontrado",F3093&lt;&gt;"Inactivo"),C3093&amp;" → "&amp;F3093,"Sin transición"))</f>
        <v/>
      </c>
      <c r="H3093" s="23" t="str">
        <f aca="false">IF(A3093="","",IF(D3093="GCIA LINEA SERVICIO DIGITALIDAD Y VENTAS","Chats",IF(OR(D3093="GERENCIA INBOUND LÍNEAS SERVICIO Y VENTA",D3093="GERENCIA INBOUND LINEAS ESPECIALIZADAS"),"Llamadas","Otro")))</f>
        <v/>
      </c>
      <c r="I3093" s="23" t="str">
        <f aca="false">IF(A3093="","",IF(C3093="No encontrado","No","Sí"))</f>
        <v/>
      </c>
      <c r="J3093" s="23" t="str">
        <f aca="false">IF(A3093="","",IF(F3093="Inactivo","No","Sí"))</f>
        <v/>
      </c>
      <c r="K3093" s="23" t="str">
        <f aca="false">IF(A3093="","",IF(AND(I3093="Sí",J3093="Sí"),"Sí","No"))</f>
        <v/>
      </c>
    </row>
    <row r="3094" customFormat="false" ht="15" hidden="false" customHeight="false" outlineLevel="0" collapsed="false">
      <c r="A3094" s="22"/>
      <c r="B3094" s="22"/>
      <c r="C3094" s="26" t="str">
        <f aca="false">IF(A3094="","",IFERROR(buscarx(A3094&amp;B3094,DATA!$E$3:$E$10000&amp;DATA!$B$3:$B$10000,DATA!$M$3:$M$10000),"No encontrado"))</f>
        <v/>
      </c>
      <c r="D3094" s="27" t="str">
        <f aca="false">IF(A3094="","",IFERROR(buscarx(A3094&amp;B3094,DATA!$E$3:$E$10000&amp;DATA!$B$3:$B$10000,DATA!$W$3:$W$10000),"No encontrado"))</f>
        <v/>
      </c>
      <c r="E3094" s="22"/>
      <c r="F3094" s="26" t="str">
        <f aca="false">IF(A3094="","",IFERROR(buscarx(A3094&amp;E3094,DATA!$E$3:$E$10000&amp;DATA!$B$3:$B$10000,DATA!$M$3:$M$10000),"Inactivo"))</f>
        <v/>
      </c>
      <c r="G3094" s="28" t="str">
        <f aca="false">IF(A3094="","",IF(AND(C3094&lt;&gt;"No encontrado",F3094&lt;&gt;"Inactivo"),C3094&amp;" → "&amp;F3094,"Sin transición"))</f>
        <v/>
      </c>
      <c r="H3094" s="26" t="str">
        <f aca="false">IF(A3094="","",IF(D3094="GCIA LINEA SERVICIO DIGITALIDAD Y VENTAS","Chats",IF(OR(D3094="GERENCIA INBOUND LÍNEAS SERVICIO Y VENTA",D3094="GERENCIA INBOUND LINEAS ESPECIALIZADAS"),"Llamadas","Otro")))</f>
        <v/>
      </c>
      <c r="I3094" s="26" t="str">
        <f aca="false">IF(A3094="","",IF(C3094="No encontrado","No","Sí"))</f>
        <v/>
      </c>
      <c r="J3094" s="26" t="str">
        <f aca="false">IF(A3094="","",IF(F3094="Inactivo","No","Sí"))</f>
        <v/>
      </c>
      <c r="K3094" s="26" t="str">
        <f aca="false">IF(A3094="","",IF(AND(I3094="Sí",J3094="Sí"),"Sí","No"))</f>
        <v/>
      </c>
    </row>
    <row r="3095" customFormat="false" ht="15" hidden="false" customHeight="false" outlineLevel="0" collapsed="false">
      <c r="A3095" s="22"/>
      <c r="B3095" s="22"/>
      <c r="C3095" s="23" t="str">
        <f aca="false">IF(A3095="","",IFERROR(buscarx(A3095&amp;B3095,DATA!$E$3:$E$10000&amp;DATA!$B$3:$B$10000,DATA!$M$3:$M$10000),"No encontrado"))</f>
        <v/>
      </c>
      <c r="D3095" s="24" t="str">
        <f aca="false">IF(A3095="","",IFERROR(buscarx(A3095&amp;B3095,DATA!$E$3:$E$10000&amp;DATA!$B$3:$B$10000,DATA!$W$3:$W$10000),"No encontrado"))</f>
        <v/>
      </c>
      <c r="E3095" s="22"/>
      <c r="F3095" s="23" t="str">
        <f aca="false">IF(A3095="","",IFERROR(buscarx(A3095&amp;E3095,DATA!$E$3:$E$10000&amp;DATA!$B$3:$B$10000,DATA!$M$3:$M$10000),"Inactivo"))</f>
        <v/>
      </c>
      <c r="G3095" s="25" t="str">
        <f aca="false">IF(A3095="","",IF(AND(C3095&lt;&gt;"No encontrado",F3095&lt;&gt;"Inactivo"),C3095&amp;" → "&amp;F3095,"Sin transición"))</f>
        <v/>
      </c>
      <c r="H3095" s="23" t="str">
        <f aca="false">IF(A3095="","",IF(D3095="GCIA LINEA SERVICIO DIGITALIDAD Y VENTAS","Chats",IF(OR(D3095="GERENCIA INBOUND LÍNEAS SERVICIO Y VENTA",D3095="GERENCIA INBOUND LINEAS ESPECIALIZADAS"),"Llamadas","Otro")))</f>
        <v/>
      </c>
      <c r="I3095" s="23" t="str">
        <f aca="false">IF(A3095="","",IF(C3095="No encontrado","No","Sí"))</f>
        <v/>
      </c>
      <c r="J3095" s="23" t="str">
        <f aca="false">IF(A3095="","",IF(F3095="Inactivo","No","Sí"))</f>
        <v/>
      </c>
      <c r="K3095" s="23" t="str">
        <f aca="false">IF(A3095="","",IF(AND(I3095="Sí",J3095="Sí"),"Sí","No"))</f>
        <v/>
      </c>
    </row>
    <row r="3096" customFormat="false" ht="15" hidden="false" customHeight="false" outlineLevel="0" collapsed="false">
      <c r="A3096" s="22"/>
      <c r="B3096" s="22"/>
      <c r="C3096" s="26" t="str">
        <f aca="false">IF(A3096="","",IFERROR(buscarx(A3096&amp;B3096,DATA!$E$3:$E$10000&amp;DATA!$B$3:$B$10000,DATA!$M$3:$M$10000),"No encontrado"))</f>
        <v/>
      </c>
      <c r="D3096" s="27" t="str">
        <f aca="false">IF(A3096="","",IFERROR(buscarx(A3096&amp;B3096,DATA!$E$3:$E$10000&amp;DATA!$B$3:$B$10000,DATA!$W$3:$W$10000),"No encontrado"))</f>
        <v/>
      </c>
      <c r="E3096" s="22"/>
      <c r="F3096" s="26" t="str">
        <f aca="false">IF(A3096="","",IFERROR(buscarx(A3096&amp;E3096,DATA!$E$3:$E$10000&amp;DATA!$B$3:$B$10000,DATA!$M$3:$M$10000),"Inactivo"))</f>
        <v/>
      </c>
      <c r="G3096" s="28" t="str">
        <f aca="false">IF(A3096="","",IF(AND(C3096&lt;&gt;"No encontrado",F3096&lt;&gt;"Inactivo"),C3096&amp;" → "&amp;F3096,"Sin transición"))</f>
        <v/>
      </c>
      <c r="H3096" s="26" t="str">
        <f aca="false">IF(A3096="","",IF(D3096="GCIA LINEA SERVICIO DIGITALIDAD Y VENTAS","Chats",IF(OR(D3096="GERENCIA INBOUND LÍNEAS SERVICIO Y VENTA",D3096="GERENCIA INBOUND LINEAS ESPECIALIZADAS"),"Llamadas","Otro")))</f>
        <v/>
      </c>
      <c r="I3096" s="26" t="str">
        <f aca="false">IF(A3096="","",IF(C3096="No encontrado","No","Sí"))</f>
        <v/>
      </c>
      <c r="J3096" s="26" t="str">
        <f aca="false">IF(A3096="","",IF(F3096="Inactivo","No","Sí"))</f>
        <v/>
      </c>
      <c r="K3096" s="26" t="str">
        <f aca="false">IF(A3096="","",IF(AND(I3096="Sí",J3096="Sí"),"Sí","No"))</f>
        <v/>
      </c>
    </row>
    <row r="3097" customFormat="false" ht="15" hidden="false" customHeight="false" outlineLevel="0" collapsed="false">
      <c r="A3097" s="22"/>
      <c r="B3097" s="22"/>
      <c r="C3097" s="23" t="str">
        <f aca="false">IF(A3097="","",IFERROR(buscarx(A3097&amp;B3097,DATA!$E$3:$E$10000&amp;DATA!$B$3:$B$10000,DATA!$M$3:$M$10000),"No encontrado"))</f>
        <v/>
      </c>
      <c r="D3097" s="24" t="str">
        <f aca="false">IF(A3097="","",IFERROR(buscarx(A3097&amp;B3097,DATA!$E$3:$E$10000&amp;DATA!$B$3:$B$10000,DATA!$W$3:$W$10000),"No encontrado"))</f>
        <v/>
      </c>
      <c r="E3097" s="22"/>
      <c r="F3097" s="23" t="str">
        <f aca="false">IF(A3097="","",IFERROR(buscarx(A3097&amp;E3097,DATA!$E$3:$E$10000&amp;DATA!$B$3:$B$10000,DATA!$M$3:$M$10000),"Inactivo"))</f>
        <v/>
      </c>
      <c r="G3097" s="25" t="str">
        <f aca="false">IF(A3097="","",IF(AND(C3097&lt;&gt;"No encontrado",F3097&lt;&gt;"Inactivo"),C3097&amp;" → "&amp;F3097,"Sin transición"))</f>
        <v/>
      </c>
      <c r="H3097" s="23" t="str">
        <f aca="false">IF(A3097="","",IF(D3097="GCIA LINEA SERVICIO DIGITALIDAD Y VENTAS","Chats",IF(OR(D3097="GERENCIA INBOUND LÍNEAS SERVICIO Y VENTA",D3097="GERENCIA INBOUND LINEAS ESPECIALIZADAS"),"Llamadas","Otro")))</f>
        <v/>
      </c>
      <c r="I3097" s="23" t="str">
        <f aca="false">IF(A3097="","",IF(C3097="No encontrado","No","Sí"))</f>
        <v/>
      </c>
      <c r="J3097" s="23" t="str">
        <f aca="false">IF(A3097="","",IF(F3097="Inactivo","No","Sí"))</f>
        <v/>
      </c>
      <c r="K3097" s="23" t="str">
        <f aca="false">IF(A3097="","",IF(AND(I3097="Sí",J3097="Sí"),"Sí","No"))</f>
        <v/>
      </c>
    </row>
    <row r="3098" customFormat="false" ht="15" hidden="false" customHeight="false" outlineLevel="0" collapsed="false">
      <c r="A3098" s="22"/>
      <c r="B3098" s="22"/>
      <c r="C3098" s="26" t="str">
        <f aca="false">IF(A3098="","",IFERROR(buscarx(A3098&amp;B3098,DATA!$E$3:$E$10000&amp;DATA!$B$3:$B$10000,DATA!$M$3:$M$10000),"No encontrado"))</f>
        <v/>
      </c>
      <c r="D3098" s="27" t="str">
        <f aca="false">IF(A3098="","",IFERROR(buscarx(A3098&amp;B3098,DATA!$E$3:$E$10000&amp;DATA!$B$3:$B$10000,DATA!$W$3:$W$10000),"No encontrado"))</f>
        <v/>
      </c>
      <c r="E3098" s="22"/>
      <c r="F3098" s="26" t="str">
        <f aca="false">IF(A3098="","",IFERROR(buscarx(A3098&amp;E3098,DATA!$E$3:$E$10000&amp;DATA!$B$3:$B$10000,DATA!$M$3:$M$10000),"Inactivo"))</f>
        <v/>
      </c>
      <c r="G3098" s="28" t="str">
        <f aca="false">IF(A3098="","",IF(AND(C3098&lt;&gt;"No encontrado",F3098&lt;&gt;"Inactivo"),C3098&amp;" → "&amp;F3098,"Sin transición"))</f>
        <v/>
      </c>
      <c r="H3098" s="26" t="str">
        <f aca="false">IF(A3098="","",IF(D3098="GCIA LINEA SERVICIO DIGITALIDAD Y VENTAS","Chats",IF(OR(D3098="GERENCIA INBOUND LÍNEAS SERVICIO Y VENTA",D3098="GERENCIA INBOUND LINEAS ESPECIALIZADAS"),"Llamadas","Otro")))</f>
        <v/>
      </c>
      <c r="I3098" s="26" t="str">
        <f aca="false">IF(A3098="","",IF(C3098="No encontrado","No","Sí"))</f>
        <v/>
      </c>
      <c r="J3098" s="26" t="str">
        <f aca="false">IF(A3098="","",IF(F3098="Inactivo","No","Sí"))</f>
        <v/>
      </c>
      <c r="K3098" s="26" t="str">
        <f aca="false">IF(A3098="","",IF(AND(I3098="Sí",J3098="Sí"),"Sí","No"))</f>
        <v/>
      </c>
    </row>
    <row r="3099" customFormat="false" ht="15" hidden="false" customHeight="false" outlineLevel="0" collapsed="false">
      <c r="A3099" s="22"/>
      <c r="B3099" s="22"/>
      <c r="C3099" s="23" t="str">
        <f aca="false">IF(A3099="","",IFERROR(buscarx(A3099&amp;B3099,DATA!$E$3:$E$10000&amp;DATA!$B$3:$B$10000,DATA!$M$3:$M$10000),"No encontrado"))</f>
        <v/>
      </c>
      <c r="D3099" s="24" t="str">
        <f aca="false">IF(A3099="","",IFERROR(buscarx(A3099&amp;B3099,DATA!$E$3:$E$10000&amp;DATA!$B$3:$B$10000,DATA!$W$3:$W$10000),"No encontrado"))</f>
        <v/>
      </c>
      <c r="E3099" s="22"/>
      <c r="F3099" s="23" t="str">
        <f aca="false">IF(A3099="","",IFERROR(buscarx(A3099&amp;E3099,DATA!$E$3:$E$10000&amp;DATA!$B$3:$B$10000,DATA!$M$3:$M$10000),"Inactivo"))</f>
        <v/>
      </c>
      <c r="G3099" s="25" t="str">
        <f aca="false">IF(A3099="","",IF(AND(C3099&lt;&gt;"No encontrado",F3099&lt;&gt;"Inactivo"),C3099&amp;" → "&amp;F3099,"Sin transición"))</f>
        <v/>
      </c>
      <c r="H3099" s="23" t="str">
        <f aca="false">IF(A3099="","",IF(D3099="GCIA LINEA SERVICIO DIGITALIDAD Y VENTAS","Chats",IF(OR(D3099="GERENCIA INBOUND LÍNEAS SERVICIO Y VENTA",D3099="GERENCIA INBOUND LINEAS ESPECIALIZADAS"),"Llamadas","Otro")))</f>
        <v/>
      </c>
      <c r="I3099" s="23" t="str">
        <f aca="false">IF(A3099="","",IF(C3099="No encontrado","No","Sí"))</f>
        <v/>
      </c>
      <c r="J3099" s="23" t="str">
        <f aca="false">IF(A3099="","",IF(F3099="Inactivo","No","Sí"))</f>
        <v/>
      </c>
      <c r="K3099" s="23" t="str">
        <f aca="false">IF(A3099="","",IF(AND(I3099="Sí",J3099="Sí"),"Sí","No"))</f>
        <v/>
      </c>
    </row>
    <row r="3100" customFormat="false" ht="15" hidden="false" customHeight="false" outlineLevel="0" collapsed="false">
      <c r="A3100" s="22"/>
      <c r="B3100" s="22"/>
      <c r="C3100" s="26" t="str">
        <f aca="false">IF(A3100="","",IFERROR(buscarx(A3100&amp;B3100,DATA!$E$3:$E$10000&amp;DATA!$B$3:$B$10000,DATA!$M$3:$M$10000),"No encontrado"))</f>
        <v/>
      </c>
      <c r="D3100" s="27" t="str">
        <f aca="false">IF(A3100="","",IFERROR(buscarx(A3100&amp;B3100,DATA!$E$3:$E$10000&amp;DATA!$B$3:$B$10000,DATA!$W$3:$W$10000),"No encontrado"))</f>
        <v/>
      </c>
      <c r="E3100" s="22"/>
      <c r="F3100" s="26" t="str">
        <f aca="false">IF(A3100="","",IFERROR(buscarx(A3100&amp;E3100,DATA!$E$3:$E$10000&amp;DATA!$B$3:$B$10000,DATA!$M$3:$M$10000),"Inactivo"))</f>
        <v/>
      </c>
      <c r="G3100" s="28" t="str">
        <f aca="false">IF(A3100="","",IF(AND(C3100&lt;&gt;"No encontrado",F3100&lt;&gt;"Inactivo"),C3100&amp;" → "&amp;F3100,"Sin transición"))</f>
        <v/>
      </c>
      <c r="H3100" s="26" t="str">
        <f aca="false">IF(A3100="","",IF(D3100="GCIA LINEA SERVICIO DIGITALIDAD Y VENTAS","Chats",IF(OR(D3100="GERENCIA INBOUND LÍNEAS SERVICIO Y VENTA",D3100="GERENCIA INBOUND LINEAS ESPECIALIZADAS"),"Llamadas","Otro")))</f>
        <v/>
      </c>
      <c r="I3100" s="26" t="str">
        <f aca="false">IF(A3100="","",IF(C3100="No encontrado","No","Sí"))</f>
        <v/>
      </c>
      <c r="J3100" s="26" t="str">
        <f aca="false">IF(A3100="","",IF(F3100="Inactivo","No","Sí"))</f>
        <v/>
      </c>
      <c r="K3100" s="26" t="str">
        <f aca="false">IF(A3100="","",IF(AND(I3100="Sí",J3100="Sí"),"Sí","No"))</f>
        <v/>
      </c>
    </row>
    <row r="3101" customFormat="false" ht="15" hidden="false" customHeight="false" outlineLevel="0" collapsed="false">
      <c r="A3101" s="22"/>
      <c r="B3101" s="22"/>
      <c r="C3101" s="23" t="str">
        <f aca="false">IF(A3101="","",IFERROR(buscarx(A3101&amp;B3101,DATA!$E$3:$E$10000&amp;DATA!$B$3:$B$10000,DATA!$M$3:$M$10000),"No encontrado"))</f>
        <v/>
      </c>
      <c r="D3101" s="24" t="str">
        <f aca="false">IF(A3101="","",IFERROR(buscarx(A3101&amp;B3101,DATA!$E$3:$E$10000&amp;DATA!$B$3:$B$10000,DATA!$W$3:$W$10000),"No encontrado"))</f>
        <v/>
      </c>
      <c r="E3101" s="22"/>
      <c r="F3101" s="23" t="str">
        <f aca="false">IF(A3101="","",IFERROR(buscarx(A3101&amp;E3101,DATA!$E$3:$E$10000&amp;DATA!$B$3:$B$10000,DATA!$M$3:$M$10000),"Inactivo"))</f>
        <v/>
      </c>
      <c r="G3101" s="25" t="str">
        <f aca="false">IF(A3101="","",IF(AND(C3101&lt;&gt;"No encontrado",F3101&lt;&gt;"Inactivo"),C3101&amp;" → "&amp;F3101,"Sin transición"))</f>
        <v/>
      </c>
      <c r="H3101" s="23" t="str">
        <f aca="false">IF(A3101="","",IF(D3101="GCIA LINEA SERVICIO DIGITALIDAD Y VENTAS","Chats",IF(OR(D3101="GERENCIA INBOUND LÍNEAS SERVICIO Y VENTA",D3101="GERENCIA INBOUND LINEAS ESPECIALIZADAS"),"Llamadas","Otro")))</f>
        <v/>
      </c>
      <c r="I3101" s="23" t="str">
        <f aca="false">IF(A3101="","",IF(C3101="No encontrado","No","Sí"))</f>
        <v/>
      </c>
      <c r="J3101" s="23" t="str">
        <f aca="false">IF(A3101="","",IF(F3101="Inactivo","No","Sí"))</f>
        <v/>
      </c>
      <c r="K3101" s="23" t="str">
        <f aca="false">IF(A3101="","",IF(AND(I3101="Sí",J3101="Sí"),"Sí","No"))</f>
        <v/>
      </c>
    </row>
    <row r="3102" customFormat="false" ht="15" hidden="false" customHeight="false" outlineLevel="0" collapsed="false">
      <c r="A3102" s="22"/>
      <c r="B3102" s="22"/>
      <c r="C3102" s="26" t="str">
        <f aca="false">IF(A3102="","",IFERROR(buscarx(A3102&amp;B3102,DATA!$E$3:$E$10000&amp;DATA!$B$3:$B$10000,DATA!$M$3:$M$10000),"No encontrado"))</f>
        <v/>
      </c>
      <c r="D3102" s="27" t="str">
        <f aca="false">IF(A3102="","",IFERROR(buscarx(A3102&amp;B3102,DATA!$E$3:$E$10000&amp;DATA!$B$3:$B$10000,DATA!$W$3:$W$10000),"No encontrado"))</f>
        <v/>
      </c>
      <c r="E3102" s="22"/>
      <c r="F3102" s="26" t="str">
        <f aca="false">IF(A3102="","",IFERROR(buscarx(A3102&amp;E3102,DATA!$E$3:$E$10000&amp;DATA!$B$3:$B$10000,DATA!$M$3:$M$10000),"Inactivo"))</f>
        <v/>
      </c>
      <c r="G3102" s="28" t="str">
        <f aca="false">IF(A3102="","",IF(AND(C3102&lt;&gt;"No encontrado",F3102&lt;&gt;"Inactivo"),C3102&amp;" → "&amp;F3102,"Sin transición"))</f>
        <v/>
      </c>
      <c r="H3102" s="26" t="str">
        <f aca="false">IF(A3102="","",IF(D3102="GCIA LINEA SERVICIO DIGITALIDAD Y VENTAS","Chats",IF(OR(D3102="GERENCIA INBOUND LÍNEAS SERVICIO Y VENTA",D3102="GERENCIA INBOUND LINEAS ESPECIALIZADAS"),"Llamadas","Otro")))</f>
        <v/>
      </c>
      <c r="I3102" s="26" t="str">
        <f aca="false">IF(A3102="","",IF(C3102="No encontrado","No","Sí"))</f>
        <v/>
      </c>
      <c r="J3102" s="26" t="str">
        <f aca="false">IF(A3102="","",IF(F3102="Inactivo","No","Sí"))</f>
        <v/>
      </c>
      <c r="K3102" s="26" t="str">
        <f aca="false">IF(A3102="","",IF(AND(I3102="Sí",J3102="Sí"),"Sí","No"))</f>
        <v/>
      </c>
    </row>
    <row r="3103" customFormat="false" ht="15" hidden="false" customHeight="false" outlineLevel="0" collapsed="false">
      <c r="A3103" s="22"/>
      <c r="B3103" s="22"/>
      <c r="C3103" s="23" t="str">
        <f aca="false">IF(A3103="","",IFERROR(buscarx(A3103&amp;B3103,DATA!$E$3:$E$10000&amp;DATA!$B$3:$B$10000,DATA!$M$3:$M$10000),"No encontrado"))</f>
        <v/>
      </c>
      <c r="D3103" s="24" t="str">
        <f aca="false">IF(A3103="","",IFERROR(buscarx(A3103&amp;B3103,DATA!$E$3:$E$10000&amp;DATA!$B$3:$B$10000,DATA!$W$3:$W$10000),"No encontrado"))</f>
        <v/>
      </c>
      <c r="E3103" s="22"/>
      <c r="F3103" s="23" t="str">
        <f aca="false">IF(A3103="","",IFERROR(buscarx(A3103&amp;E3103,DATA!$E$3:$E$10000&amp;DATA!$B$3:$B$10000,DATA!$M$3:$M$10000),"Inactivo"))</f>
        <v/>
      </c>
      <c r="G3103" s="25" t="str">
        <f aca="false">IF(A3103="","",IF(AND(C3103&lt;&gt;"No encontrado",F3103&lt;&gt;"Inactivo"),C3103&amp;" → "&amp;F3103,"Sin transición"))</f>
        <v/>
      </c>
      <c r="H3103" s="23" t="str">
        <f aca="false">IF(A3103="","",IF(D3103="GCIA LINEA SERVICIO DIGITALIDAD Y VENTAS","Chats",IF(OR(D3103="GERENCIA INBOUND LÍNEAS SERVICIO Y VENTA",D3103="GERENCIA INBOUND LINEAS ESPECIALIZADAS"),"Llamadas","Otro")))</f>
        <v/>
      </c>
      <c r="I3103" s="23" t="str">
        <f aca="false">IF(A3103="","",IF(C3103="No encontrado","No","Sí"))</f>
        <v/>
      </c>
      <c r="J3103" s="23" t="str">
        <f aca="false">IF(A3103="","",IF(F3103="Inactivo","No","Sí"))</f>
        <v/>
      </c>
      <c r="K3103" s="23" t="str">
        <f aca="false">IF(A3103="","",IF(AND(I3103="Sí",J3103="Sí"),"Sí","No"))</f>
        <v/>
      </c>
    </row>
    <row r="3104" customFormat="false" ht="15" hidden="false" customHeight="false" outlineLevel="0" collapsed="false">
      <c r="A3104" s="22"/>
      <c r="B3104" s="22"/>
      <c r="C3104" s="26" t="str">
        <f aca="false">IF(A3104="","",IFERROR(buscarx(A3104&amp;B3104,DATA!$E$3:$E$10000&amp;DATA!$B$3:$B$10000,DATA!$M$3:$M$10000),"No encontrado"))</f>
        <v/>
      </c>
      <c r="D3104" s="27" t="str">
        <f aca="false">IF(A3104="","",IFERROR(buscarx(A3104&amp;B3104,DATA!$E$3:$E$10000&amp;DATA!$B$3:$B$10000,DATA!$W$3:$W$10000),"No encontrado"))</f>
        <v/>
      </c>
      <c r="E3104" s="22"/>
      <c r="F3104" s="26" t="str">
        <f aca="false">IF(A3104="","",IFERROR(buscarx(A3104&amp;E3104,DATA!$E$3:$E$10000&amp;DATA!$B$3:$B$10000,DATA!$M$3:$M$10000),"Inactivo"))</f>
        <v/>
      </c>
      <c r="G3104" s="28" t="str">
        <f aca="false">IF(A3104="","",IF(AND(C3104&lt;&gt;"No encontrado",F3104&lt;&gt;"Inactivo"),C3104&amp;" → "&amp;F3104,"Sin transición"))</f>
        <v/>
      </c>
      <c r="H3104" s="26" t="str">
        <f aca="false">IF(A3104="","",IF(D3104="GCIA LINEA SERVICIO DIGITALIDAD Y VENTAS","Chats",IF(OR(D3104="GERENCIA INBOUND LÍNEAS SERVICIO Y VENTA",D3104="GERENCIA INBOUND LINEAS ESPECIALIZADAS"),"Llamadas","Otro")))</f>
        <v/>
      </c>
      <c r="I3104" s="26" t="str">
        <f aca="false">IF(A3104="","",IF(C3104="No encontrado","No","Sí"))</f>
        <v/>
      </c>
      <c r="J3104" s="26" t="str">
        <f aca="false">IF(A3104="","",IF(F3104="Inactivo","No","Sí"))</f>
        <v/>
      </c>
      <c r="K3104" s="26" t="str">
        <f aca="false">IF(A3104="","",IF(AND(I3104="Sí",J3104="Sí"),"Sí","No"))</f>
        <v/>
      </c>
    </row>
    <row r="3105" customFormat="false" ht="15" hidden="false" customHeight="false" outlineLevel="0" collapsed="false">
      <c r="A3105" s="22"/>
      <c r="B3105" s="22"/>
      <c r="C3105" s="23" t="str">
        <f aca="false">IF(A3105="","",IFERROR(buscarx(A3105&amp;B3105,DATA!$E$3:$E$10000&amp;DATA!$B$3:$B$10000,DATA!$M$3:$M$10000),"No encontrado"))</f>
        <v/>
      </c>
      <c r="D3105" s="24" t="str">
        <f aca="false">IF(A3105="","",IFERROR(buscarx(A3105&amp;B3105,DATA!$E$3:$E$10000&amp;DATA!$B$3:$B$10000,DATA!$W$3:$W$10000),"No encontrado"))</f>
        <v/>
      </c>
      <c r="E3105" s="22"/>
      <c r="F3105" s="23" t="str">
        <f aca="false">IF(A3105="","",IFERROR(buscarx(A3105&amp;E3105,DATA!$E$3:$E$10000&amp;DATA!$B$3:$B$10000,DATA!$M$3:$M$10000),"Inactivo"))</f>
        <v/>
      </c>
      <c r="G3105" s="25" t="str">
        <f aca="false">IF(A3105="","",IF(AND(C3105&lt;&gt;"No encontrado",F3105&lt;&gt;"Inactivo"),C3105&amp;" → "&amp;F3105,"Sin transición"))</f>
        <v/>
      </c>
      <c r="H3105" s="23" t="str">
        <f aca="false">IF(A3105="","",IF(D3105="GCIA LINEA SERVICIO DIGITALIDAD Y VENTAS","Chats",IF(OR(D3105="GERENCIA INBOUND LÍNEAS SERVICIO Y VENTA",D3105="GERENCIA INBOUND LINEAS ESPECIALIZADAS"),"Llamadas","Otro")))</f>
        <v/>
      </c>
      <c r="I3105" s="23" t="str">
        <f aca="false">IF(A3105="","",IF(C3105="No encontrado","No","Sí"))</f>
        <v/>
      </c>
      <c r="J3105" s="23" t="str">
        <f aca="false">IF(A3105="","",IF(F3105="Inactivo","No","Sí"))</f>
        <v/>
      </c>
      <c r="K3105" s="23" t="str">
        <f aca="false">IF(A3105="","",IF(AND(I3105="Sí",J3105="Sí"),"Sí","No"))</f>
        <v/>
      </c>
    </row>
    <row r="3106" customFormat="false" ht="15" hidden="false" customHeight="false" outlineLevel="0" collapsed="false">
      <c r="A3106" s="22"/>
      <c r="B3106" s="22"/>
      <c r="C3106" s="26" t="str">
        <f aca="false">IF(A3106="","",IFERROR(buscarx(A3106&amp;B3106,DATA!$E$3:$E$10000&amp;DATA!$B$3:$B$10000,DATA!$M$3:$M$10000),"No encontrado"))</f>
        <v/>
      </c>
      <c r="D3106" s="27" t="str">
        <f aca="false">IF(A3106="","",IFERROR(buscarx(A3106&amp;B3106,DATA!$E$3:$E$10000&amp;DATA!$B$3:$B$10000,DATA!$W$3:$W$10000),"No encontrado"))</f>
        <v/>
      </c>
      <c r="E3106" s="22"/>
      <c r="F3106" s="26" t="str">
        <f aca="false">IF(A3106="","",IFERROR(buscarx(A3106&amp;E3106,DATA!$E$3:$E$10000&amp;DATA!$B$3:$B$10000,DATA!$M$3:$M$10000),"Inactivo"))</f>
        <v/>
      </c>
      <c r="G3106" s="28" t="str">
        <f aca="false">IF(A3106="","",IF(AND(C3106&lt;&gt;"No encontrado",F3106&lt;&gt;"Inactivo"),C3106&amp;" → "&amp;F3106,"Sin transición"))</f>
        <v/>
      </c>
      <c r="H3106" s="26" t="str">
        <f aca="false">IF(A3106="","",IF(D3106="GCIA LINEA SERVICIO DIGITALIDAD Y VENTAS","Chats",IF(OR(D3106="GERENCIA INBOUND LÍNEAS SERVICIO Y VENTA",D3106="GERENCIA INBOUND LINEAS ESPECIALIZADAS"),"Llamadas","Otro")))</f>
        <v/>
      </c>
      <c r="I3106" s="26" t="str">
        <f aca="false">IF(A3106="","",IF(C3106="No encontrado","No","Sí"))</f>
        <v/>
      </c>
      <c r="J3106" s="26" t="str">
        <f aca="false">IF(A3106="","",IF(F3106="Inactivo","No","Sí"))</f>
        <v/>
      </c>
      <c r="K3106" s="26" t="str">
        <f aca="false">IF(A3106="","",IF(AND(I3106="Sí",J3106="Sí"),"Sí","No"))</f>
        <v/>
      </c>
    </row>
    <row r="3107" customFormat="false" ht="15" hidden="false" customHeight="false" outlineLevel="0" collapsed="false">
      <c r="A3107" s="22"/>
      <c r="B3107" s="22"/>
      <c r="C3107" s="23" t="str">
        <f aca="false">IF(A3107="","",IFERROR(buscarx(A3107&amp;B3107,DATA!$E$3:$E$10000&amp;DATA!$B$3:$B$10000,DATA!$M$3:$M$10000),"No encontrado"))</f>
        <v/>
      </c>
      <c r="D3107" s="24" t="str">
        <f aca="false">IF(A3107="","",IFERROR(buscarx(A3107&amp;B3107,DATA!$E$3:$E$10000&amp;DATA!$B$3:$B$10000,DATA!$W$3:$W$10000),"No encontrado"))</f>
        <v/>
      </c>
      <c r="E3107" s="22"/>
      <c r="F3107" s="23" t="str">
        <f aca="false">IF(A3107="","",IFERROR(buscarx(A3107&amp;E3107,DATA!$E$3:$E$10000&amp;DATA!$B$3:$B$10000,DATA!$M$3:$M$10000),"Inactivo"))</f>
        <v/>
      </c>
      <c r="G3107" s="25" t="str">
        <f aca="false">IF(A3107="","",IF(AND(C3107&lt;&gt;"No encontrado",F3107&lt;&gt;"Inactivo"),C3107&amp;" → "&amp;F3107,"Sin transición"))</f>
        <v/>
      </c>
      <c r="H3107" s="23" t="str">
        <f aca="false">IF(A3107="","",IF(D3107="GCIA LINEA SERVICIO DIGITALIDAD Y VENTAS","Chats",IF(OR(D3107="GERENCIA INBOUND LÍNEAS SERVICIO Y VENTA",D3107="GERENCIA INBOUND LINEAS ESPECIALIZADAS"),"Llamadas","Otro")))</f>
        <v/>
      </c>
      <c r="I3107" s="23" t="str">
        <f aca="false">IF(A3107="","",IF(C3107="No encontrado","No","Sí"))</f>
        <v/>
      </c>
      <c r="J3107" s="23" t="str">
        <f aca="false">IF(A3107="","",IF(F3107="Inactivo","No","Sí"))</f>
        <v/>
      </c>
      <c r="K3107" s="23" t="str">
        <f aca="false">IF(A3107="","",IF(AND(I3107="Sí",J3107="Sí"),"Sí","No"))</f>
        <v/>
      </c>
    </row>
    <row r="3108" customFormat="false" ht="15" hidden="false" customHeight="false" outlineLevel="0" collapsed="false">
      <c r="A3108" s="22"/>
      <c r="B3108" s="22"/>
      <c r="C3108" s="26" t="str">
        <f aca="false">IF(A3108="","",IFERROR(buscarx(A3108&amp;B3108,DATA!$E$3:$E$10000&amp;DATA!$B$3:$B$10000,DATA!$M$3:$M$10000),"No encontrado"))</f>
        <v/>
      </c>
      <c r="D3108" s="27" t="str">
        <f aca="false">IF(A3108="","",IFERROR(buscarx(A3108&amp;B3108,DATA!$E$3:$E$10000&amp;DATA!$B$3:$B$10000,DATA!$W$3:$W$10000),"No encontrado"))</f>
        <v/>
      </c>
      <c r="E3108" s="22"/>
      <c r="F3108" s="26" t="str">
        <f aca="false">IF(A3108="","",IFERROR(buscarx(A3108&amp;E3108,DATA!$E$3:$E$10000&amp;DATA!$B$3:$B$10000,DATA!$M$3:$M$10000),"Inactivo"))</f>
        <v/>
      </c>
      <c r="G3108" s="28" t="str">
        <f aca="false">IF(A3108="","",IF(AND(C3108&lt;&gt;"No encontrado",F3108&lt;&gt;"Inactivo"),C3108&amp;" → "&amp;F3108,"Sin transición"))</f>
        <v/>
      </c>
      <c r="H3108" s="26" t="str">
        <f aca="false">IF(A3108="","",IF(D3108="GCIA LINEA SERVICIO DIGITALIDAD Y VENTAS","Chats",IF(OR(D3108="GERENCIA INBOUND LÍNEAS SERVICIO Y VENTA",D3108="GERENCIA INBOUND LINEAS ESPECIALIZADAS"),"Llamadas","Otro")))</f>
        <v/>
      </c>
      <c r="I3108" s="26" t="str">
        <f aca="false">IF(A3108="","",IF(C3108="No encontrado","No","Sí"))</f>
        <v/>
      </c>
      <c r="J3108" s="26" t="str">
        <f aca="false">IF(A3108="","",IF(F3108="Inactivo","No","Sí"))</f>
        <v/>
      </c>
      <c r="K3108" s="26" t="str">
        <f aca="false">IF(A3108="","",IF(AND(I3108="Sí",J3108="Sí"),"Sí","No"))</f>
        <v/>
      </c>
    </row>
    <row r="3109" customFormat="false" ht="15" hidden="false" customHeight="false" outlineLevel="0" collapsed="false">
      <c r="A3109" s="22"/>
      <c r="B3109" s="22"/>
      <c r="C3109" s="23" t="str">
        <f aca="false">IF(A3109="","",IFERROR(buscarx(A3109&amp;B3109,DATA!$E$3:$E$10000&amp;DATA!$B$3:$B$10000,DATA!$M$3:$M$10000),"No encontrado"))</f>
        <v/>
      </c>
      <c r="D3109" s="24" t="str">
        <f aca="false">IF(A3109="","",IFERROR(buscarx(A3109&amp;B3109,DATA!$E$3:$E$10000&amp;DATA!$B$3:$B$10000,DATA!$W$3:$W$10000),"No encontrado"))</f>
        <v/>
      </c>
      <c r="E3109" s="22"/>
      <c r="F3109" s="23" t="str">
        <f aca="false">IF(A3109="","",IFERROR(buscarx(A3109&amp;E3109,DATA!$E$3:$E$10000&amp;DATA!$B$3:$B$10000,DATA!$M$3:$M$10000),"Inactivo"))</f>
        <v/>
      </c>
      <c r="G3109" s="25" t="str">
        <f aca="false">IF(A3109="","",IF(AND(C3109&lt;&gt;"No encontrado",F3109&lt;&gt;"Inactivo"),C3109&amp;" → "&amp;F3109,"Sin transición"))</f>
        <v/>
      </c>
      <c r="H3109" s="23" t="str">
        <f aca="false">IF(A3109="","",IF(D3109="GCIA LINEA SERVICIO DIGITALIDAD Y VENTAS","Chats",IF(OR(D3109="GERENCIA INBOUND LÍNEAS SERVICIO Y VENTA",D3109="GERENCIA INBOUND LINEAS ESPECIALIZADAS"),"Llamadas","Otro")))</f>
        <v/>
      </c>
      <c r="I3109" s="23" t="str">
        <f aca="false">IF(A3109="","",IF(C3109="No encontrado","No","Sí"))</f>
        <v/>
      </c>
      <c r="J3109" s="23" t="str">
        <f aca="false">IF(A3109="","",IF(F3109="Inactivo","No","Sí"))</f>
        <v/>
      </c>
      <c r="K3109" s="23" t="str">
        <f aca="false">IF(A3109="","",IF(AND(I3109="Sí",J3109="Sí"),"Sí","No"))</f>
        <v/>
      </c>
    </row>
    <row r="3110" customFormat="false" ht="15" hidden="false" customHeight="false" outlineLevel="0" collapsed="false">
      <c r="A3110" s="22"/>
      <c r="B3110" s="22"/>
      <c r="C3110" s="26" t="str">
        <f aca="false">IF(A3110="","",IFERROR(buscarx(A3110&amp;B3110,DATA!$E$3:$E$10000&amp;DATA!$B$3:$B$10000,DATA!$M$3:$M$10000),"No encontrado"))</f>
        <v/>
      </c>
      <c r="D3110" s="27" t="str">
        <f aca="false">IF(A3110="","",IFERROR(buscarx(A3110&amp;B3110,DATA!$E$3:$E$10000&amp;DATA!$B$3:$B$10000,DATA!$W$3:$W$10000),"No encontrado"))</f>
        <v/>
      </c>
      <c r="E3110" s="22"/>
      <c r="F3110" s="26" t="str">
        <f aca="false">IF(A3110="","",IFERROR(buscarx(A3110&amp;E3110,DATA!$E$3:$E$10000&amp;DATA!$B$3:$B$10000,DATA!$M$3:$M$10000),"Inactivo"))</f>
        <v/>
      </c>
      <c r="G3110" s="28" t="str">
        <f aca="false">IF(A3110="","",IF(AND(C3110&lt;&gt;"No encontrado",F3110&lt;&gt;"Inactivo"),C3110&amp;" → "&amp;F3110,"Sin transición"))</f>
        <v/>
      </c>
      <c r="H3110" s="26" t="str">
        <f aca="false">IF(A3110="","",IF(D3110="GCIA LINEA SERVICIO DIGITALIDAD Y VENTAS","Chats",IF(OR(D3110="GERENCIA INBOUND LÍNEAS SERVICIO Y VENTA",D3110="GERENCIA INBOUND LINEAS ESPECIALIZADAS"),"Llamadas","Otro")))</f>
        <v/>
      </c>
      <c r="I3110" s="26" t="str">
        <f aca="false">IF(A3110="","",IF(C3110="No encontrado","No","Sí"))</f>
        <v/>
      </c>
      <c r="J3110" s="26" t="str">
        <f aca="false">IF(A3110="","",IF(F3110="Inactivo","No","Sí"))</f>
        <v/>
      </c>
      <c r="K3110" s="26" t="str">
        <f aca="false">IF(A3110="","",IF(AND(I3110="Sí",J3110="Sí"),"Sí","No"))</f>
        <v/>
      </c>
    </row>
    <row r="3111" customFormat="false" ht="15" hidden="false" customHeight="false" outlineLevel="0" collapsed="false">
      <c r="A3111" s="22"/>
      <c r="B3111" s="22"/>
      <c r="C3111" s="23" t="str">
        <f aca="false">IF(A3111="","",IFERROR(buscarx(A3111&amp;B3111,DATA!$E$3:$E$10000&amp;DATA!$B$3:$B$10000,DATA!$M$3:$M$10000),"No encontrado"))</f>
        <v/>
      </c>
      <c r="D3111" s="24" t="str">
        <f aca="false">IF(A3111="","",IFERROR(buscarx(A3111&amp;B3111,DATA!$E$3:$E$10000&amp;DATA!$B$3:$B$10000,DATA!$W$3:$W$10000),"No encontrado"))</f>
        <v/>
      </c>
      <c r="E3111" s="22"/>
      <c r="F3111" s="23" t="str">
        <f aca="false">IF(A3111="","",IFERROR(buscarx(A3111&amp;E3111,DATA!$E$3:$E$10000&amp;DATA!$B$3:$B$10000,DATA!$M$3:$M$10000),"Inactivo"))</f>
        <v/>
      </c>
      <c r="G3111" s="25" t="str">
        <f aca="false">IF(A3111="","",IF(AND(C3111&lt;&gt;"No encontrado",F3111&lt;&gt;"Inactivo"),C3111&amp;" → "&amp;F3111,"Sin transición"))</f>
        <v/>
      </c>
      <c r="H3111" s="23" t="str">
        <f aca="false">IF(A3111="","",IF(D3111="GCIA LINEA SERVICIO DIGITALIDAD Y VENTAS","Chats",IF(OR(D3111="GERENCIA INBOUND LÍNEAS SERVICIO Y VENTA",D3111="GERENCIA INBOUND LINEAS ESPECIALIZADAS"),"Llamadas","Otro")))</f>
        <v/>
      </c>
      <c r="I3111" s="23" t="str">
        <f aca="false">IF(A3111="","",IF(C3111="No encontrado","No","Sí"))</f>
        <v/>
      </c>
      <c r="J3111" s="23" t="str">
        <f aca="false">IF(A3111="","",IF(F3111="Inactivo","No","Sí"))</f>
        <v/>
      </c>
      <c r="K3111" s="23" t="str">
        <f aca="false">IF(A3111="","",IF(AND(I3111="Sí",J3111="Sí"),"Sí","No"))</f>
        <v/>
      </c>
    </row>
    <row r="3112" customFormat="false" ht="15" hidden="false" customHeight="false" outlineLevel="0" collapsed="false">
      <c r="A3112" s="22"/>
      <c r="B3112" s="22"/>
      <c r="C3112" s="26" t="str">
        <f aca="false">IF(A3112="","",IFERROR(buscarx(A3112&amp;B3112,DATA!$E$3:$E$10000&amp;DATA!$B$3:$B$10000,DATA!$M$3:$M$10000),"No encontrado"))</f>
        <v/>
      </c>
      <c r="D3112" s="27" t="str">
        <f aca="false">IF(A3112="","",IFERROR(buscarx(A3112&amp;B3112,DATA!$E$3:$E$10000&amp;DATA!$B$3:$B$10000,DATA!$W$3:$W$10000),"No encontrado"))</f>
        <v/>
      </c>
      <c r="E3112" s="22"/>
      <c r="F3112" s="26" t="str">
        <f aca="false">IF(A3112="","",IFERROR(buscarx(A3112&amp;E3112,DATA!$E$3:$E$10000&amp;DATA!$B$3:$B$10000,DATA!$M$3:$M$10000),"Inactivo"))</f>
        <v/>
      </c>
      <c r="G3112" s="28" t="str">
        <f aca="false">IF(A3112="","",IF(AND(C3112&lt;&gt;"No encontrado",F3112&lt;&gt;"Inactivo"),C3112&amp;" → "&amp;F3112,"Sin transición"))</f>
        <v/>
      </c>
      <c r="H3112" s="26" t="str">
        <f aca="false">IF(A3112="","",IF(D3112="GCIA LINEA SERVICIO DIGITALIDAD Y VENTAS","Chats",IF(OR(D3112="GERENCIA INBOUND LÍNEAS SERVICIO Y VENTA",D3112="GERENCIA INBOUND LINEAS ESPECIALIZADAS"),"Llamadas","Otro")))</f>
        <v/>
      </c>
      <c r="I3112" s="26" t="str">
        <f aca="false">IF(A3112="","",IF(C3112="No encontrado","No","Sí"))</f>
        <v/>
      </c>
      <c r="J3112" s="26" t="str">
        <f aca="false">IF(A3112="","",IF(F3112="Inactivo","No","Sí"))</f>
        <v/>
      </c>
      <c r="K3112" s="26" t="str">
        <f aca="false">IF(A3112="","",IF(AND(I3112="Sí",J3112="Sí"),"Sí","No"))</f>
        <v/>
      </c>
    </row>
    <row r="3113" customFormat="false" ht="15" hidden="false" customHeight="false" outlineLevel="0" collapsed="false">
      <c r="A3113" s="22"/>
      <c r="B3113" s="22"/>
      <c r="C3113" s="23" t="str">
        <f aca="false">IF(A3113="","",IFERROR(buscarx(A3113&amp;B3113,DATA!$E$3:$E$10000&amp;DATA!$B$3:$B$10000,DATA!$M$3:$M$10000),"No encontrado"))</f>
        <v/>
      </c>
      <c r="D3113" s="24" t="str">
        <f aca="false">IF(A3113="","",IFERROR(buscarx(A3113&amp;B3113,DATA!$E$3:$E$10000&amp;DATA!$B$3:$B$10000,DATA!$W$3:$W$10000),"No encontrado"))</f>
        <v/>
      </c>
      <c r="E3113" s="22"/>
      <c r="F3113" s="23" t="str">
        <f aca="false">IF(A3113="","",IFERROR(buscarx(A3113&amp;E3113,DATA!$E$3:$E$10000&amp;DATA!$B$3:$B$10000,DATA!$M$3:$M$10000),"Inactivo"))</f>
        <v/>
      </c>
      <c r="G3113" s="25" t="str">
        <f aca="false">IF(A3113="","",IF(AND(C3113&lt;&gt;"No encontrado",F3113&lt;&gt;"Inactivo"),C3113&amp;" → "&amp;F3113,"Sin transición"))</f>
        <v/>
      </c>
      <c r="H3113" s="23" t="str">
        <f aca="false">IF(A3113="","",IF(D3113="GCIA LINEA SERVICIO DIGITALIDAD Y VENTAS","Chats",IF(OR(D3113="GERENCIA INBOUND LÍNEAS SERVICIO Y VENTA",D3113="GERENCIA INBOUND LINEAS ESPECIALIZADAS"),"Llamadas","Otro")))</f>
        <v/>
      </c>
      <c r="I3113" s="23" t="str">
        <f aca="false">IF(A3113="","",IF(C3113="No encontrado","No","Sí"))</f>
        <v/>
      </c>
      <c r="J3113" s="23" t="str">
        <f aca="false">IF(A3113="","",IF(F3113="Inactivo","No","Sí"))</f>
        <v/>
      </c>
      <c r="K3113" s="23" t="str">
        <f aca="false">IF(A3113="","",IF(AND(I3113="Sí",J3113="Sí"),"Sí","No"))</f>
        <v/>
      </c>
    </row>
    <row r="3114" customFormat="false" ht="15" hidden="false" customHeight="false" outlineLevel="0" collapsed="false">
      <c r="A3114" s="22"/>
      <c r="B3114" s="22"/>
      <c r="C3114" s="26" t="str">
        <f aca="false">IF(A3114="","",IFERROR(buscarx(A3114&amp;B3114,DATA!$E$3:$E$10000&amp;DATA!$B$3:$B$10000,DATA!$M$3:$M$10000),"No encontrado"))</f>
        <v/>
      </c>
      <c r="D3114" s="27" t="str">
        <f aca="false">IF(A3114="","",IFERROR(buscarx(A3114&amp;B3114,DATA!$E$3:$E$10000&amp;DATA!$B$3:$B$10000,DATA!$W$3:$W$10000),"No encontrado"))</f>
        <v/>
      </c>
      <c r="E3114" s="22"/>
      <c r="F3114" s="26" t="str">
        <f aca="false">IF(A3114="","",IFERROR(buscarx(A3114&amp;E3114,DATA!$E$3:$E$10000&amp;DATA!$B$3:$B$10000,DATA!$M$3:$M$10000),"Inactivo"))</f>
        <v/>
      </c>
      <c r="G3114" s="28" t="str">
        <f aca="false">IF(A3114="","",IF(AND(C3114&lt;&gt;"No encontrado",F3114&lt;&gt;"Inactivo"),C3114&amp;" → "&amp;F3114,"Sin transición"))</f>
        <v/>
      </c>
      <c r="H3114" s="26" t="str">
        <f aca="false">IF(A3114="","",IF(D3114="GCIA LINEA SERVICIO DIGITALIDAD Y VENTAS","Chats",IF(OR(D3114="GERENCIA INBOUND LÍNEAS SERVICIO Y VENTA",D3114="GERENCIA INBOUND LINEAS ESPECIALIZADAS"),"Llamadas","Otro")))</f>
        <v/>
      </c>
      <c r="I3114" s="26" t="str">
        <f aca="false">IF(A3114="","",IF(C3114="No encontrado","No","Sí"))</f>
        <v/>
      </c>
      <c r="J3114" s="26" t="str">
        <f aca="false">IF(A3114="","",IF(F3114="Inactivo","No","Sí"))</f>
        <v/>
      </c>
      <c r="K3114" s="26" t="str">
        <f aca="false">IF(A3114="","",IF(AND(I3114="Sí",J3114="Sí"),"Sí","No"))</f>
        <v/>
      </c>
    </row>
    <row r="3115" customFormat="false" ht="15" hidden="false" customHeight="false" outlineLevel="0" collapsed="false">
      <c r="A3115" s="22"/>
      <c r="B3115" s="22"/>
      <c r="C3115" s="23" t="str">
        <f aca="false">IF(A3115="","",IFERROR(buscarx(A3115&amp;B3115,DATA!$E$3:$E$10000&amp;DATA!$B$3:$B$10000,DATA!$M$3:$M$10000),"No encontrado"))</f>
        <v/>
      </c>
      <c r="D3115" s="24" t="str">
        <f aca="false">IF(A3115="","",IFERROR(buscarx(A3115&amp;B3115,DATA!$E$3:$E$10000&amp;DATA!$B$3:$B$10000,DATA!$W$3:$W$10000),"No encontrado"))</f>
        <v/>
      </c>
      <c r="E3115" s="22"/>
      <c r="F3115" s="23" t="str">
        <f aca="false">IF(A3115="","",IFERROR(buscarx(A3115&amp;E3115,DATA!$E$3:$E$10000&amp;DATA!$B$3:$B$10000,DATA!$M$3:$M$10000),"Inactivo"))</f>
        <v/>
      </c>
      <c r="G3115" s="25" t="str">
        <f aca="false">IF(A3115="","",IF(AND(C3115&lt;&gt;"No encontrado",F3115&lt;&gt;"Inactivo"),C3115&amp;" → "&amp;F3115,"Sin transición"))</f>
        <v/>
      </c>
      <c r="H3115" s="23" t="str">
        <f aca="false">IF(A3115="","",IF(D3115="GCIA LINEA SERVICIO DIGITALIDAD Y VENTAS","Chats",IF(OR(D3115="GERENCIA INBOUND LÍNEAS SERVICIO Y VENTA",D3115="GERENCIA INBOUND LINEAS ESPECIALIZADAS"),"Llamadas","Otro")))</f>
        <v/>
      </c>
      <c r="I3115" s="23" t="str">
        <f aca="false">IF(A3115="","",IF(C3115="No encontrado","No","Sí"))</f>
        <v/>
      </c>
      <c r="J3115" s="23" t="str">
        <f aca="false">IF(A3115="","",IF(F3115="Inactivo","No","Sí"))</f>
        <v/>
      </c>
      <c r="K3115" s="23" t="str">
        <f aca="false">IF(A3115="","",IF(AND(I3115="Sí",J3115="Sí"),"Sí","No"))</f>
        <v/>
      </c>
    </row>
    <row r="3116" customFormat="false" ht="15" hidden="false" customHeight="false" outlineLevel="0" collapsed="false">
      <c r="A3116" s="22"/>
      <c r="B3116" s="22"/>
      <c r="C3116" s="26" t="str">
        <f aca="false">IF(A3116="","",IFERROR(buscarx(A3116&amp;B3116,DATA!$E$3:$E$10000&amp;DATA!$B$3:$B$10000,DATA!$M$3:$M$10000),"No encontrado"))</f>
        <v/>
      </c>
      <c r="D3116" s="27" t="str">
        <f aca="false">IF(A3116="","",IFERROR(buscarx(A3116&amp;B3116,DATA!$E$3:$E$10000&amp;DATA!$B$3:$B$10000,DATA!$W$3:$W$10000),"No encontrado"))</f>
        <v/>
      </c>
      <c r="E3116" s="22"/>
      <c r="F3116" s="26" t="str">
        <f aca="false">IF(A3116="","",IFERROR(buscarx(A3116&amp;E3116,DATA!$E$3:$E$10000&amp;DATA!$B$3:$B$10000,DATA!$M$3:$M$10000),"Inactivo"))</f>
        <v/>
      </c>
      <c r="G3116" s="28" t="str">
        <f aca="false">IF(A3116="","",IF(AND(C3116&lt;&gt;"No encontrado",F3116&lt;&gt;"Inactivo"),C3116&amp;" → "&amp;F3116,"Sin transición"))</f>
        <v/>
      </c>
      <c r="H3116" s="26" t="str">
        <f aca="false">IF(A3116="","",IF(D3116="GCIA LINEA SERVICIO DIGITALIDAD Y VENTAS","Chats",IF(OR(D3116="GERENCIA INBOUND LÍNEAS SERVICIO Y VENTA",D3116="GERENCIA INBOUND LINEAS ESPECIALIZADAS"),"Llamadas","Otro")))</f>
        <v/>
      </c>
      <c r="I3116" s="26" t="str">
        <f aca="false">IF(A3116="","",IF(C3116="No encontrado","No","Sí"))</f>
        <v/>
      </c>
      <c r="J3116" s="26" t="str">
        <f aca="false">IF(A3116="","",IF(F3116="Inactivo","No","Sí"))</f>
        <v/>
      </c>
      <c r="K3116" s="26" t="str">
        <f aca="false">IF(A3116="","",IF(AND(I3116="Sí",J3116="Sí"),"Sí","No"))</f>
        <v/>
      </c>
    </row>
    <row r="3117" customFormat="false" ht="15" hidden="false" customHeight="false" outlineLevel="0" collapsed="false">
      <c r="A3117" s="22"/>
      <c r="B3117" s="22"/>
      <c r="C3117" s="23" t="str">
        <f aca="false">IF(A3117="","",IFERROR(buscarx(A3117&amp;B3117,DATA!$E$3:$E$10000&amp;DATA!$B$3:$B$10000,DATA!$M$3:$M$10000),"No encontrado"))</f>
        <v/>
      </c>
      <c r="D3117" s="24" t="str">
        <f aca="false">IF(A3117="","",IFERROR(buscarx(A3117&amp;B3117,DATA!$E$3:$E$10000&amp;DATA!$B$3:$B$10000,DATA!$W$3:$W$10000),"No encontrado"))</f>
        <v/>
      </c>
      <c r="E3117" s="22"/>
      <c r="F3117" s="23" t="str">
        <f aca="false">IF(A3117="","",IFERROR(buscarx(A3117&amp;E3117,DATA!$E$3:$E$10000&amp;DATA!$B$3:$B$10000,DATA!$M$3:$M$10000),"Inactivo"))</f>
        <v/>
      </c>
      <c r="G3117" s="25" t="str">
        <f aca="false">IF(A3117="","",IF(AND(C3117&lt;&gt;"No encontrado",F3117&lt;&gt;"Inactivo"),C3117&amp;" → "&amp;F3117,"Sin transición"))</f>
        <v/>
      </c>
      <c r="H3117" s="23" t="str">
        <f aca="false">IF(A3117="","",IF(D3117="GCIA LINEA SERVICIO DIGITALIDAD Y VENTAS","Chats",IF(OR(D3117="GERENCIA INBOUND LÍNEAS SERVICIO Y VENTA",D3117="GERENCIA INBOUND LINEAS ESPECIALIZADAS"),"Llamadas","Otro")))</f>
        <v/>
      </c>
      <c r="I3117" s="23" t="str">
        <f aca="false">IF(A3117="","",IF(C3117="No encontrado","No","Sí"))</f>
        <v/>
      </c>
      <c r="J3117" s="23" t="str">
        <f aca="false">IF(A3117="","",IF(F3117="Inactivo","No","Sí"))</f>
        <v/>
      </c>
      <c r="K3117" s="23" t="str">
        <f aca="false">IF(A3117="","",IF(AND(I3117="Sí",J3117="Sí"),"Sí","No"))</f>
        <v/>
      </c>
    </row>
    <row r="3118" customFormat="false" ht="15" hidden="false" customHeight="false" outlineLevel="0" collapsed="false">
      <c r="A3118" s="22"/>
      <c r="B3118" s="22"/>
      <c r="C3118" s="26" t="str">
        <f aca="false">IF(A3118="","",IFERROR(buscarx(A3118&amp;B3118,DATA!$E$3:$E$10000&amp;DATA!$B$3:$B$10000,DATA!$M$3:$M$10000),"No encontrado"))</f>
        <v/>
      </c>
      <c r="D3118" s="27" t="str">
        <f aca="false">IF(A3118="","",IFERROR(buscarx(A3118&amp;B3118,DATA!$E$3:$E$10000&amp;DATA!$B$3:$B$10000,DATA!$W$3:$W$10000),"No encontrado"))</f>
        <v/>
      </c>
      <c r="E3118" s="22"/>
      <c r="F3118" s="26" t="str">
        <f aca="false">IF(A3118="","",IFERROR(buscarx(A3118&amp;E3118,DATA!$E$3:$E$10000&amp;DATA!$B$3:$B$10000,DATA!$M$3:$M$10000),"Inactivo"))</f>
        <v/>
      </c>
      <c r="G3118" s="28" t="str">
        <f aca="false">IF(A3118="","",IF(AND(C3118&lt;&gt;"No encontrado",F3118&lt;&gt;"Inactivo"),C3118&amp;" → "&amp;F3118,"Sin transición"))</f>
        <v/>
      </c>
      <c r="H3118" s="26" t="str">
        <f aca="false">IF(A3118="","",IF(D3118="GCIA LINEA SERVICIO DIGITALIDAD Y VENTAS","Chats",IF(OR(D3118="GERENCIA INBOUND LÍNEAS SERVICIO Y VENTA",D3118="GERENCIA INBOUND LINEAS ESPECIALIZADAS"),"Llamadas","Otro")))</f>
        <v/>
      </c>
      <c r="I3118" s="26" t="str">
        <f aca="false">IF(A3118="","",IF(C3118="No encontrado","No","Sí"))</f>
        <v/>
      </c>
      <c r="J3118" s="26" t="str">
        <f aca="false">IF(A3118="","",IF(F3118="Inactivo","No","Sí"))</f>
        <v/>
      </c>
      <c r="K3118" s="26" t="str">
        <f aca="false">IF(A3118="","",IF(AND(I3118="Sí",J3118="Sí"),"Sí","No"))</f>
        <v/>
      </c>
    </row>
    <row r="3119" customFormat="false" ht="15" hidden="false" customHeight="false" outlineLevel="0" collapsed="false">
      <c r="A3119" s="22"/>
      <c r="B3119" s="22"/>
      <c r="C3119" s="23" t="str">
        <f aca="false">IF(A3119="","",IFERROR(buscarx(A3119&amp;B3119,DATA!$E$3:$E$10000&amp;DATA!$B$3:$B$10000,DATA!$M$3:$M$10000),"No encontrado"))</f>
        <v/>
      </c>
      <c r="D3119" s="24" t="str">
        <f aca="false">IF(A3119="","",IFERROR(buscarx(A3119&amp;B3119,DATA!$E$3:$E$10000&amp;DATA!$B$3:$B$10000,DATA!$W$3:$W$10000),"No encontrado"))</f>
        <v/>
      </c>
      <c r="E3119" s="22"/>
      <c r="F3119" s="23" t="str">
        <f aca="false">IF(A3119="","",IFERROR(buscarx(A3119&amp;E3119,DATA!$E$3:$E$10000&amp;DATA!$B$3:$B$10000,DATA!$M$3:$M$10000),"Inactivo"))</f>
        <v/>
      </c>
      <c r="G3119" s="25" t="str">
        <f aca="false">IF(A3119="","",IF(AND(C3119&lt;&gt;"No encontrado",F3119&lt;&gt;"Inactivo"),C3119&amp;" → "&amp;F3119,"Sin transición"))</f>
        <v/>
      </c>
      <c r="H3119" s="23" t="str">
        <f aca="false">IF(A3119="","",IF(D3119="GCIA LINEA SERVICIO DIGITALIDAD Y VENTAS","Chats",IF(OR(D3119="GERENCIA INBOUND LÍNEAS SERVICIO Y VENTA",D3119="GERENCIA INBOUND LINEAS ESPECIALIZADAS"),"Llamadas","Otro")))</f>
        <v/>
      </c>
      <c r="I3119" s="23" t="str">
        <f aca="false">IF(A3119="","",IF(C3119="No encontrado","No","Sí"))</f>
        <v/>
      </c>
      <c r="J3119" s="23" t="str">
        <f aca="false">IF(A3119="","",IF(F3119="Inactivo","No","Sí"))</f>
        <v/>
      </c>
      <c r="K3119" s="23" t="str">
        <f aca="false">IF(A3119="","",IF(AND(I3119="Sí",J3119="Sí"),"Sí","No"))</f>
        <v/>
      </c>
    </row>
    <row r="3120" customFormat="false" ht="15" hidden="false" customHeight="false" outlineLevel="0" collapsed="false">
      <c r="A3120" s="22"/>
      <c r="B3120" s="22"/>
      <c r="C3120" s="26" t="str">
        <f aca="false">IF(A3120="","",IFERROR(buscarx(A3120&amp;B3120,DATA!$E$3:$E$10000&amp;DATA!$B$3:$B$10000,DATA!$M$3:$M$10000),"No encontrado"))</f>
        <v/>
      </c>
      <c r="D3120" s="27" t="str">
        <f aca="false">IF(A3120="","",IFERROR(buscarx(A3120&amp;B3120,DATA!$E$3:$E$10000&amp;DATA!$B$3:$B$10000,DATA!$W$3:$W$10000),"No encontrado"))</f>
        <v/>
      </c>
      <c r="E3120" s="22"/>
      <c r="F3120" s="26" t="str">
        <f aca="false">IF(A3120="","",IFERROR(buscarx(A3120&amp;E3120,DATA!$E$3:$E$10000&amp;DATA!$B$3:$B$10000,DATA!$M$3:$M$10000),"Inactivo"))</f>
        <v/>
      </c>
      <c r="G3120" s="28" t="str">
        <f aca="false">IF(A3120="","",IF(AND(C3120&lt;&gt;"No encontrado",F3120&lt;&gt;"Inactivo"),C3120&amp;" → "&amp;F3120,"Sin transición"))</f>
        <v/>
      </c>
      <c r="H3120" s="26" t="str">
        <f aca="false">IF(A3120="","",IF(D3120="GCIA LINEA SERVICIO DIGITALIDAD Y VENTAS","Chats",IF(OR(D3120="GERENCIA INBOUND LÍNEAS SERVICIO Y VENTA",D3120="GERENCIA INBOUND LINEAS ESPECIALIZADAS"),"Llamadas","Otro")))</f>
        <v/>
      </c>
      <c r="I3120" s="26" t="str">
        <f aca="false">IF(A3120="","",IF(C3120="No encontrado","No","Sí"))</f>
        <v/>
      </c>
      <c r="J3120" s="26" t="str">
        <f aca="false">IF(A3120="","",IF(F3120="Inactivo","No","Sí"))</f>
        <v/>
      </c>
      <c r="K3120" s="26" t="str">
        <f aca="false">IF(A3120="","",IF(AND(I3120="Sí",J3120="Sí"),"Sí","No"))</f>
        <v/>
      </c>
    </row>
    <row r="3121" customFormat="false" ht="15" hidden="false" customHeight="false" outlineLevel="0" collapsed="false">
      <c r="A3121" s="22"/>
      <c r="B3121" s="22"/>
      <c r="C3121" s="23" t="str">
        <f aca="false">IF(A3121="","",IFERROR(buscarx(A3121&amp;B3121,DATA!$E$3:$E$10000&amp;DATA!$B$3:$B$10000,DATA!$M$3:$M$10000),"No encontrado"))</f>
        <v/>
      </c>
      <c r="D3121" s="24" t="str">
        <f aca="false">IF(A3121="","",IFERROR(buscarx(A3121&amp;B3121,DATA!$E$3:$E$10000&amp;DATA!$B$3:$B$10000,DATA!$W$3:$W$10000),"No encontrado"))</f>
        <v/>
      </c>
      <c r="E3121" s="22"/>
      <c r="F3121" s="23" t="str">
        <f aca="false">IF(A3121="","",IFERROR(buscarx(A3121&amp;E3121,DATA!$E$3:$E$10000&amp;DATA!$B$3:$B$10000,DATA!$M$3:$M$10000),"Inactivo"))</f>
        <v/>
      </c>
      <c r="G3121" s="25" t="str">
        <f aca="false">IF(A3121="","",IF(AND(C3121&lt;&gt;"No encontrado",F3121&lt;&gt;"Inactivo"),C3121&amp;" → "&amp;F3121,"Sin transición"))</f>
        <v/>
      </c>
      <c r="H3121" s="23" t="str">
        <f aca="false">IF(A3121="","",IF(D3121="GCIA LINEA SERVICIO DIGITALIDAD Y VENTAS","Chats",IF(OR(D3121="GERENCIA INBOUND LÍNEAS SERVICIO Y VENTA",D3121="GERENCIA INBOUND LINEAS ESPECIALIZADAS"),"Llamadas","Otro")))</f>
        <v/>
      </c>
      <c r="I3121" s="23" t="str">
        <f aca="false">IF(A3121="","",IF(C3121="No encontrado","No","Sí"))</f>
        <v/>
      </c>
      <c r="J3121" s="23" t="str">
        <f aca="false">IF(A3121="","",IF(F3121="Inactivo","No","Sí"))</f>
        <v/>
      </c>
      <c r="K3121" s="23" t="str">
        <f aca="false">IF(A3121="","",IF(AND(I3121="Sí",J3121="Sí"),"Sí","No"))</f>
        <v/>
      </c>
    </row>
    <row r="3122" customFormat="false" ht="15" hidden="false" customHeight="false" outlineLevel="0" collapsed="false">
      <c r="A3122" s="22"/>
      <c r="B3122" s="22"/>
      <c r="C3122" s="26" t="str">
        <f aca="false">IF(A3122="","",IFERROR(buscarx(A3122&amp;B3122,DATA!$E$3:$E$10000&amp;DATA!$B$3:$B$10000,DATA!$M$3:$M$10000),"No encontrado"))</f>
        <v/>
      </c>
      <c r="D3122" s="27" t="str">
        <f aca="false">IF(A3122="","",IFERROR(buscarx(A3122&amp;B3122,DATA!$E$3:$E$10000&amp;DATA!$B$3:$B$10000,DATA!$W$3:$W$10000),"No encontrado"))</f>
        <v/>
      </c>
      <c r="E3122" s="22"/>
      <c r="F3122" s="26" t="str">
        <f aca="false">IF(A3122="","",IFERROR(buscarx(A3122&amp;E3122,DATA!$E$3:$E$10000&amp;DATA!$B$3:$B$10000,DATA!$M$3:$M$10000),"Inactivo"))</f>
        <v/>
      </c>
      <c r="G3122" s="28" t="str">
        <f aca="false">IF(A3122="","",IF(AND(C3122&lt;&gt;"No encontrado",F3122&lt;&gt;"Inactivo"),C3122&amp;" → "&amp;F3122,"Sin transición"))</f>
        <v/>
      </c>
      <c r="H3122" s="26" t="str">
        <f aca="false">IF(A3122="","",IF(D3122="GCIA LINEA SERVICIO DIGITALIDAD Y VENTAS","Chats",IF(OR(D3122="GERENCIA INBOUND LÍNEAS SERVICIO Y VENTA",D3122="GERENCIA INBOUND LINEAS ESPECIALIZADAS"),"Llamadas","Otro")))</f>
        <v/>
      </c>
      <c r="I3122" s="26" t="str">
        <f aca="false">IF(A3122="","",IF(C3122="No encontrado","No","Sí"))</f>
        <v/>
      </c>
      <c r="J3122" s="26" t="str">
        <f aca="false">IF(A3122="","",IF(F3122="Inactivo","No","Sí"))</f>
        <v/>
      </c>
      <c r="K3122" s="26" t="str">
        <f aca="false">IF(A3122="","",IF(AND(I3122="Sí",J3122="Sí"),"Sí","No"))</f>
        <v/>
      </c>
    </row>
    <row r="3123" customFormat="false" ht="15" hidden="false" customHeight="false" outlineLevel="0" collapsed="false">
      <c r="A3123" s="22"/>
      <c r="B3123" s="22"/>
      <c r="C3123" s="23" t="str">
        <f aca="false">IF(A3123="","",IFERROR(buscarx(A3123&amp;B3123,DATA!$E$3:$E$10000&amp;DATA!$B$3:$B$10000,DATA!$M$3:$M$10000),"No encontrado"))</f>
        <v/>
      </c>
      <c r="D3123" s="24" t="str">
        <f aca="false">IF(A3123="","",IFERROR(buscarx(A3123&amp;B3123,DATA!$E$3:$E$10000&amp;DATA!$B$3:$B$10000,DATA!$W$3:$W$10000),"No encontrado"))</f>
        <v/>
      </c>
      <c r="E3123" s="22"/>
      <c r="F3123" s="23" t="str">
        <f aca="false">IF(A3123="","",IFERROR(buscarx(A3123&amp;E3123,DATA!$E$3:$E$10000&amp;DATA!$B$3:$B$10000,DATA!$M$3:$M$10000),"Inactivo"))</f>
        <v/>
      </c>
      <c r="G3123" s="25" t="str">
        <f aca="false">IF(A3123="","",IF(AND(C3123&lt;&gt;"No encontrado",F3123&lt;&gt;"Inactivo"),C3123&amp;" → "&amp;F3123,"Sin transición"))</f>
        <v/>
      </c>
      <c r="H3123" s="23" t="str">
        <f aca="false">IF(A3123="","",IF(D3123="GCIA LINEA SERVICIO DIGITALIDAD Y VENTAS","Chats",IF(OR(D3123="GERENCIA INBOUND LÍNEAS SERVICIO Y VENTA",D3123="GERENCIA INBOUND LINEAS ESPECIALIZADAS"),"Llamadas","Otro")))</f>
        <v/>
      </c>
      <c r="I3123" s="23" t="str">
        <f aca="false">IF(A3123="","",IF(C3123="No encontrado","No","Sí"))</f>
        <v/>
      </c>
      <c r="J3123" s="23" t="str">
        <f aca="false">IF(A3123="","",IF(F3123="Inactivo","No","Sí"))</f>
        <v/>
      </c>
      <c r="K3123" s="23" t="str">
        <f aca="false">IF(A3123="","",IF(AND(I3123="Sí",J3123="Sí"),"Sí","No"))</f>
        <v/>
      </c>
    </row>
    <row r="3124" customFormat="false" ht="15" hidden="false" customHeight="false" outlineLevel="0" collapsed="false">
      <c r="A3124" s="22"/>
      <c r="B3124" s="22"/>
      <c r="C3124" s="26" t="str">
        <f aca="false">IF(A3124="","",IFERROR(buscarx(A3124&amp;B3124,DATA!$E$3:$E$10000&amp;DATA!$B$3:$B$10000,DATA!$M$3:$M$10000),"No encontrado"))</f>
        <v/>
      </c>
      <c r="D3124" s="27" t="str">
        <f aca="false">IF(A3124="","",IFERROR(buscarx(A3124&amp;B3124,DATA!$E$3:$E$10000&amp;DATA!$B$3:$B$10000,DATA!$W$3:$W$10000),"No encontrado"))</f>
        <v/>
      </c>
      <c r="E3124" s="22"/>
      <c r="F3124" s="26" t="str">
        <f aca="false">IF(A3124="","",IFERROR(buscarx(A3124&amp;E3124,DATA!$E$3:$E$10000&amp;DATA!$B$3:$B$10000,DATA!$M$3:$M$10000),"Inactivo"))</f>
        <v/>
      </c>
      <c r="G3124" s="28" t="str">
        <f aca="false">IF(A3124="","",IF(AND(C3124&lt;&gt;"No encontrado",F3124&lt;&gt;"Inactivo"),C3124&amp;" → "&amp;F3124,"Sin transición"))</f>
        <v/>
      </c>
      <c r="H3124" s="26" t="str">
        <f aca="false">IF(A3124="","",IF(D3124="GCIA LINEA SERVICIO DIGITALIDAD Y VENTAS","Chats",IF(OR(D3124="GERENCIA INBOUND LÍNEAS SERVICIO Y VENTA",D3124="GERENCIA INBOUND LINEAS ESPECIALIZADAS"),"Llamadas","Otro")))</f>
        <v/>
      </c>
      <c r="I3124" s="26" t="str">
        <f aca="false">IF(A3124="","",IF(C3124="No encontrado","No","Sí"))</f>
        <v/>
      </c>
      <c r="J3124" s="26" t="str">
        <f aca="false">IF(A3124="","",IF(F3124="Inactivo","No","Sí"))</f>
        <v/>
      </c>
      <c r="K3124" s="26" t="str">
        <f aca="false">IF(A3124="","",IF(AND(I3124="Sí",J3124="Sí"),"Sí","No"))</f>
        <v/>
      </c>
    </row>
    <row r="3125" customFormat="false" ht="15" hidden="false" customHeight="false" outlineLevel="0" collapsed="false">
      <c r="A3125" s="22"/>
      <c r="B3125" s="22"/>
      <c r="C3125" s="23" t="str">
        <f aca="false">IF(A3125="","",IFERROR(buscarx(A3125&amp;B3125,DATA!$E$3:$E$10000&amp;DATA!$B$3:$B$10000,DATA!$M$3:$M$10000),"No encontrado"))</f>
        <v/>
      </c>
      <c r="D3125" s="24" t="str">
        <f aca="false">IF(A3125="","",IFERROR(buscarx(A3125&amp;B3125,DATA!$E$3:$E$10000&amp;DATA!$B$3:$B$10000,DATA!$W$3:$W$10000),"No encontrado"))</f>
        <v/>
      </c>
      <c r="E3125" s="22"/>
      <c r="F3125" s="23" t="str">
        <f aca="false">IF(A3125="","",IFERROR(buscarx(A3125&amp;E3125,DATA!$E$3:$E$10000&amp;DATA!$B$3:$B$10000,DATA!$M$3:$M$10000),"Inactivo"))</f>
        <v/>
      </c>
      <c r="G3125" s="25" t="str">
        <f aca="false">IF(A3125="","",IF(AND(C3125&lt;&gt;"No encontrado",F3125&lt;&gt;"Inactivo"),C3125&amp;" → "&amp;F3125,"Sin transición"))</f>
        <v/>
      </c>
      <c r="H3125" s="23" t="str">
        <f aca="false">IF(A3125="","",IF(D3125="GCIA LINEA SERVICIO DIGITALIDAD Y VENTAS","Chats",IF(OR(D3125="GERENCIA INBOUND LÍNEAS SERVICIO Y VENTA",D3125="GERENCIA INBOUND LINEAS ESPECIALIZADAS"),"Llamadas","Otro")))</f>
        <v/>
      </c>
      <c r="I3125" s="23" t="str">
        <f aca="false">IF(A3125="","",IF(C3125="No encontrado","No","Sí"))</f>
        <v/>
      </c>
      <c r="J3125" s="23" t="str">
        <f aca="false">IF(A3125="","",IF(F3125="Inactivo","No","Sí"))</f>
        <v/>
      </c>
      <c r="K3125" s="23" t="str">
        <f aca="false">IF(A3125="","",IF(AND(I3125="Sí",J3125="Sí"),"Sí","No"))</f>
        <v/>
      </c>
    </row>
    <row r="3126" customFormat="false" ht="15" hidden="false" customHeight="false" outlineLevel="0" collapsed="false">
      <c r="A3126" s="22"/>
      <c r="B3126" s="22"/>
      <c r="C3126" s="26" t="str">
        <f aca="false">IF(A3126="","",IFERROR(buscarx(A3126&amp;B3126,DATA!$E$3:$E$10000&amp;DATA!$B$3:$B$10000,DATA!$M$3:$M$10000),"No encontrado"))</f>
        <v/>
      </c>
      <c r="D3126" s="27" t="str">
        <f aca="false">IF(A3126="","",IFERROR(buscarx(A3126&amp;B3126,DATA!$E$3:$E$10000&amp;DATA!$B$3:$B$10000,DATA!$W$3:$W$10000),"No encontrado"))</f>
        <v/>
      </c>
      <c r="E3126" s="22"/>
      <c r="F3126" s="26" t="str">
        <f aca="false">IF(A3126="","",IFERROR(buscarx(A3126&amp;E3126,DATA!$E$3:$E$10000&amp;DATA!$B$3:$B$10000,DATA!$M$3:$M$10000),"Inactivo"))</f>
        <v/>
      </c>
      <c r="G3126" s="28" t="str">
        <f aca="false">IF(A3126="","",IF(AND(C3126&lt;&gt;"No encontrado",F3126&lt;&gt;"Inactivo"),C3126&amp;" → "&amp;F3126,"Sin transición"))</f>
        <v/>
      </c>
      <c r="H3126" s="26" t="str">
        <f aca="false">IF(A3126="","",IF(D3126="GCIA LINEA SERVICIO DIGITALIDAD Y VENTAS","Chats",IF(OR(D3126="GERENCIA INBOUND LÍNEAS SERVICIO Y VENTA",D3126="GERENCIA INBOUND LINEAS ESPECIALIZADAS"),"Llamadas","Otro")))</f>
        <v/>
      </c>
      <c r="I3126" s="26" t="str">
        <f aca="false">IF(A3126="","",IF(C3126="No encontrado","No","Sí"))</f>
        <v/>
      </c>
      <c r="J3126" s="26" t="str">
        <f aca="false">IF(A3126="","",IF(F3126="Inactivo","No","Sí"))</f>
        <v/>
      </c>
      <c r="K3126" s="26" t="str">
        <f aca="false">IF(A3126="","",IF(AND(I3126="Sí",J3126="Sí"),"Sí","No"))</f>
        <v/>
      </c>
    </row>
    <row r="3127" customFormat="false" ht="15" hidden="false" customHeight="false" outlineLevel="0" collapsed="false">
      <c r="A3127" s="22"/>
      <c r="B3127" s="22"/>
      <c r="C3127" s="23" t="str">
        <f aca="false">IF(A3127="","",IFERROR(buscarx(A3127&amp;B3127,DATA!$E$3:$E$10000&amp;DATA!$B$3:$B$10000,DATA!$M$3:$M$10000),"No encontrado"))</f>
        <v/>
      </c>
      <c r="D3127" s="24" t="str">
        <f aca="false">IF(A3127="","",IFERROR(buscarx(A3127&amp;B3127,DATA!$E$3:$E$10000&amp;DATA!$B$3:$B$10000,DATA!$W$3:$W$10000),"No encontrado"))</f>
        <v/>
      </c>
      <c r="E3127" s="22"/>
      <c r="F3127" s="23" t="str">
        <f aca="false">IF(A3127="","",IFERROR(buscarx(A3127&amp;E3127,DATA!$E$3:$E$10000&amp;DATA!$B$3:$B$10000,DATA!$M$3:$M$10000),"Inactivo"))</f>
        <v/>
      </c>
      <c r="G3127" s="25" t="str">
        <f aca="false">IF(A3127="","",IF(AND(C3127&lt;&gt;"No encontrado",F3127&lt;&gt;"Inactivo"),C3127&amp;" → "&amp;F3127,"Sin transición"))</f>
        <v/>
      </c>
      <c r="H3127" s="23" t="str">
        <f aca="false">IF(A3127="","",IF(D3127="GCIA LINEA SERVICIO DIGITALIDAD Y VENTAS","Chats",IF(OR(D3127="GERENCIA INBOUND LÍNEAS SERVICIO Y VENTA",D3127="GERENCIA INBOUND LINEAS ESPECIALIZADAS"),"Llamadas","Otro")))</f>
        <v/>
      </c>
      <c r="I3127" s="23" t="str">
        <f aca="false">IF(A3127="","",IF(C3127="No encontrado","No","Sí"))</f>
        <v/>
      </c>
      <c r="J3127" s="23" t="str">
        <f aca="false">IF(A3127="","",IF(F3127="Inactivo","No","Sí"))</f>
        <v/>
      </c>
      <c r="K3127" s="23" t="str">
        <f aca="false">IF(A3127="","",IF(AND(I3127="Sí",J3127="Sí"),"Sí","No"))</f>
        <v/>
      </c>
    </row>
    <row r="3128" customFormat="false" ht="15" hidden="false" customHeight="false" outlineLevel="0" collapsed="false">
      <c r="A3128" s="22"/>
      <c r="B3128" s="22"/>
      <c r="C3128" s="26" t="str">
        <f aca="false">IF(A3128="","",IFERROR(buscarx(A3128&amp;B3128,DATA!$E$3:$E$10000&amp;DATA!$B$3:$B$10000,DATA!$M$3:$M$10000),"No encontrado"))</f>
        <v/>
      </c>
      <c r="D3128" s="27" t="str">
        <f aca="false">IF(A3128="","",IFERROR(buscarx(A3128&amp;B3128,DATA!$E$3:$E$10000&amp;DATA!$B$3:$B$10000,DATA!$W$3:$W$10000),"No encontrado"))</f>
        <v/>
      </c>
      <c r="E3128" s="22"/>
      <c r="F3128" s="26" t="str">
        <f aca="false">IF(A3128="","",IFERROR(buscarx(A3128&amp;E3128,DATA!$E$3:$E$10000&amp;DATA!$B$3:$B$10000,DATA!$M$3:$M$10000),"Inactivo"))</f>
        <v/>
      </c>
      <c r="G3128" s="28" t="str">
        <f aca="false">IF(A3128="","",IF(AND(C3128&lt;&gt;"No encontrado",F3128&lt;&gt;"Inactivo"),C3128&amp;" → "&amp;F3128,"Sin transición"))</f>
        <v/>
      </c>
      <c r="H3128" s="26" t="str">
        <f aca="false">IF(A3128="","",IF(D3128="GCIA LINEA SERVICIO DIGITALIDAD Y VENTAS","Chats",IF(OR(D3128="GERENCIA INBOUND LÍNEAS SERVICIO Y VENTA",D3128="GERENCIA INBOUND LINEAS ESPECIALIZADAS"),"Llamadas","Otro")))</f>
        <v/>
      </c>
      <c r="I3128" s="26" t="str">
        <f aca="false">IF(A3128="","",IF(C3128="No encontrado","No","Sí"))</f>
        <v/>
      </c>
      <c r="J3128" s="26" t="str">
        <f aca="false">IF(A3128="","",IF(F3128="Inactivo","No","Sí"))</f>
        <v/>
      </c>
      <c r="K3128" s="26" t="str">
        <f aca="false">IF(A3128="","",IF(AND(I3128="Sí",J3128="Sí"),"Sí","No"))</f>
        <v/>
      </c>
    </row>
    <row r="3129" customFormat="false" ht="15" hidden="false" customHeight="false" outlineLevel="0" collapsed="false">
      <c r="A3129" s="22"/>
      <c r="B3129" s="22"/>
      <c r="C3129" s="23" t="str">
        <f aca="false">IF(A3129="","",IFERROR(buscarx(A3129&amp;B3129,DATA!$E$3:$E$10000&amp;DATA!$B$3:$B$10000,DATA!$M$3:$M$10000),"No encontrado"))</f>
        <v/>
      </c>
      <c r="D3129" s="24" t="str">
        <f aca="false">IF(A3129="","",IFERROR(buscarx(A3129&amp;B3129,DATA!$E$3:$E$10000&amp;DATA!$B$3:$B$10000,DATA!$W$3:$W$10000),"No encontrado"))</f>
        <v/>
      </c>
      <c r="E3129" s="22"/>
      <c r="F3129" s="23" t="str">
        <f aca="false">IF(A3129="","",IFERROR(buscarx(A3129&amp;E3129,DATA!$E$3:$E$10000&amp;DATA!$B$3:$B$10000,DATA!$M$3:$M$10000),"Inactivo"))</f>
        <v/>
      </c>
      <c r="G3129" s="25" t="str">
        <f aca="false">IF(A3129="","",IF(AND(C3129&lt;&gt;"No encontrado",F3129&lt;&gt;"Inactivo"),C3129&amp;" → "&amp;F3129,"Sin transición"))</f>
        <v/>
      </c>
      <c r="H3129" s="23" t="str">
        <f aca="false">IF(A3129="","",IF(D3129="GCIA LINEA SERVICIO DIGITALIDAD Y VENTAS","Chats",IF(OR(D3129="GERENCIA INBOUND LÍNEAS SERVICIO Y VENTA",D3129="GERENCIA INBOUND LINEAS ESPECIALIZADAS"),"Llamadas","Otro")))</f>
        <v/>
      </c>
      <c r="I3129" s="23" t="str">
        <f aca="false">IF(A3129="","",IF(C3129="No encontrado","No","Sí"))</f>
        <v/>
      </c>
      <c r="J3129" s="23" t="str">
        <f aca="false">IF(A3129="","",IF(F3129="Inactivo","No","Sí"))</f>
        <v/>
      </c>
      <c r="K3129" s="23" t="str">
        <f aca="false">IF(A3129="","",IF(AND(I3129="Sí",J3129="Sí"),"Sí","No"))</f>
        <v/>
      </c>
    </row>
    <row r="3130" customFormat="false" ht="15" hidden="false" customHeight="false" outlineLevel="0" collapsed="false">
      <c r="A3130" s="22"/>
      <c r="B3130" s="22"/>
      <c r="C3130" s="26" t="str">
        <f aca="false">IF(A3130="","",IFERROR(buscarx(A3130&amp;B3130,DATA!$E$3:$E$10000&amp;DATA!$B$3:$B$10000,DATA!$M$3:$M$10000),"No encontrado"))</f>
        <v/>
      </c>
      <c r="D3130" s="27" t="str">
        <f aca="false">IF(A3130="","",IFERROR(buscarx(A3130&amp;B3130,DATA!$E$3:$E$10000&amp;DATA!$B$3:$B$10000,DATA!$W$3:$W$10000),"No encontrado"))</f>
        <v/>
      </c>
      <c r="E3130" s="22"/>
      <c r="F3130" s="26" t="str">
        <f aca="false">IF(A3130="","",IFERROR(buscarx(A3130&amp;E3130,DATA!$E$3:$E$10000&amp;DATA!$B$3:$B$10000,DATA!$M$3:$M$10000),"Inactivo"))</f>
        <v/>
      </c>
      <c r="G3130" s="28" t="str">
        <f aca="false">IF(A3130="","",IF(AND(C3130&lt;&gt;"No encontrado",F3130&lt;&gt;"Inactivo"),C3130&amp;" → "&amp;F3130,"Sin transición"))</f>
        <v/>
      </c>
      <c r="H3130" s="26" t="str">
        <f aca="false">IF(A3130="","",IF(D3130="GCIA LINEA SERVICIO DIGITALIDAD Y VENTAS","Chats",IF(OR(D3130="GERENCIA INBOUND LÍNEAS SERVICIO Y VENTA",D3130="GERENCIA INBOUND LINEAS ESPECIALIZADAS"),"Llamadas","Otro")))</f>
        <v/>
      </c>
      <c r="I3130" s="26" t="str">
        <f aca="false">IF(A3130="","",IF(C3130="No encontrado","No","Sí"))</f>
        <v/>
      </c>
      <c r="J3130" s="26" t="str">
        <f aca="false">IF(A3130="","",IF(F3130="Inactivo","No","Sí"))</f>
        <v/>
      </c>
      <c r="K3130" s="26" t="str">
        <f aca="false">IF(A3130="","",IF(AND(I3130="Sí",J3130="Sí"),"Sí","No"))</f>
        <v/>
      </c>
    </row>
    <row r="3131" customFormat="false" ht="15" hidden="false" customHeight="false" outlineLevel="0" collapsed="false">
      <c r="A3131" s="22"/>
      <c r="B3131" s="22"/>
      <c r="C3131" s="23" t="str">
        <f aca="false">IF(A3131="","",IFERROR(buscarx(A3131&amp;B3131,DATA!$E$3:$E$10000&amp;DATA!$B$3:$B$10000,DATA!$M$3:$M$10000),"No encontrado"))</f>
        <v/>
      </c>
      <c r="D3131" s="24" t="str">
        <f aca="false">IF(A3131="","",IFERROR(buscarx(A3131&amp;B3131,DATA!$E$3:$E$10000&amp;DATA!$B$3:$B$10000,DATA!$W$3:$W$10000),"No encontrado"))</f>
        <v/>
      </c>
      <c r="E3131" s="22"/>
      <c r="F3131" s="23" t="str">
        <f aca="false">IF(A3131="","",IFERROR(buscarx(A3131&amp;E3131,DATA!$E$3:$E$10000&amp;DATA!$B$3:$B$10000,DATA!$M$3:$M$10000),"Inactivo"))</f>
        <v/>
      </c>
      <c r="G3131" s="25" t="str">
        <f aca="false">IF(A3131="","",IF(AND(C3131&lt;&gt;"No encontrado",F3131&lt;&gt;"Inactivo"),C3131&amp;" → "&amp;F3131,"Sin transición"))</f>
        <v/>
      </c>
      <c r="H3131" s="23" t="str">
        <f aca="false">IF(A3131="","",IF(D3131="GCIA LINEA SERVICIO DIGITALIDAD Y VENTAS","Chats",IF(OR(D3131="GERENCIA INBOUND LÍNEAS SERVICIO Y VENTA",D3131="GERENCIA INBOUND LINEAS ESPECIALIZADAS"),"Llamadas","Otro")))</f>
        <v/>
      </c>
      <c r="I3131" s="23" t="str">
        <f aca="false">IF(A3131="","",IF(C3131="No encontrado","No","Sí"))</f>
        <v/>
      </c>
      <c r="J3131" s="23" t="str">
        <f aca="false">IF(A3131="","",IF(F3131="Inactivo","No","Sí"))</f>
        <v/>
      </c>
      <c r="K3131" s="23" t="str">
        <f aca="false">IF(A3131="","",IF(AND(I3131="Sí",J3131="Sí"),"Sí","No"))</f>
        <v/>
      </c>
    </row>
    <row r="3132" customFormat="false" ht="15" hidden="false" customHeight="false" outlineLevel="0" collapsed="false">
      <c r="A3132" s="22"/>
      <c r="B3132" s="22"/>
      <c r="C3132" s="26" t="str">
        <f aca="false">IF(A3132="","",IFERROR(buscarx(A3132&amp;B3132,DATA!$E$3:$E$10000&amp;DATA!$B$3:$B$10000,DATA!$M$3:$M$10000),"No encontrado"))</f>
        <v/>
      </c>
      <c r="D3132" s="27" t="str">
        <f aca="false">IF(A3132="","",IFERROR(buscarx(A3132&amp;B3132,DATA!$E$3:$E$10000&amp;DATA!$B$3:$B$10000,DATA!$W$3:$W$10000),"No encontrado"))</f>
        <v/>
      </c>
      <c r="E3132" s="22"/>
      <c r="F3132" s="26" t="str">
        <f aca="false">IF(A3132="","",IFERROR(buscarx(A3132&amp;E3132,DATA!$E$3:$E$10000&amp;DATA!$B$3:$B$10000,DATA!$M$3:$M$10000),"Inactivo"))</f>
        <v/>
      </c>
      <c r="G3132" s="28" t="str">
        <f aca="false">IF(A3132="","",IF(AND(C3132&lt;&gt;"No encontrado",F3132&lt;&gt;"Inactivo"),C3132&amp;" → "&amp;F3132,"Sin transición"))</f>
        <v/>
      </c>
      <c r="H3132" s="26" t="str">
        <f aca="false">IF(A3132="","",IF(D3132="GCIA LINEA SERVICIO DIGITALIDAD Y VENTAS","Chats",IF(OR(D3132="GERENCIA INBOUND LÍNEAS SERVICIO Y VENTA",D3132="GERENCIA INBOUND LINEAS ESPECIALIZADAS"),"Llamadas","Otro")))</f>
        <v/>
      </c>
      <c r="I3132" s="26" t="str">
        <f aca="false">IF(A3132="","",IF(C3132="No encontrado","No","Sí"))</f>
        <v/>
      </c>
      <c r="J3132" s="26" t="str">
        <f aca="false">IF(A3132="","",IF(F3132="Inactivo","No","Sí"))</f>
        <v/>
      </c>
      <c r="K3132" s="26" t="str">
        <f aca="false">IF(A3132="","",IF(AND(I3132="Sí",J3132="Sí"),"Sí","No"))</f>
        <v/>
      </c>
    </row>
    <row r="3133" customFormat="false" ht="15" hidden="false" customHeight="false" outlineLevel="0" collapsed="false">
      <c r="A3133" s="22"/>
      <c r="B3133" s="22"/>
      <c r="C3133" s="23" t="str">
        <f aca="false">IF(A3133="","",IFERROR(buscarx(A3133&amp;B3133,DATA!$E$3:$E$10000&amp;DATA!$B$3:$B$10000,DATA!$M$3:$M$10000),"No encontrado"))</f>
        <v/>
      </c>
      <c r="D3133" s="24" t="str">
        <f aca="false">IF(A3133="","",IFERROR(buscarx(A3133&amp;B3133,DATA!$E$3:$E$10000&amp;DATA!$B$3:$B$10000,DATA!$W$3:$W$10000),"No encontrado"))</f>
        <v/>
      </c>
      <c r="E3133" s="22"/>
      <c r="F3133" s="23" t="str">
        <f aca="false">IF(A3133="","",IFERROR(buscarx(A3133&amp;E3133,DATA!$E$3:$E$10000&amp;DATA!$B$3:$B$10000,DATA!$M$3:$M$10000),"Inactivo"))</f>
        <v/>
      </c>
      <c r="G3133" s="25" t="str">
        <f aca="false">IF(A3133="","",IF(AND(C3133&lt;&gt;"No encontrado",F3133&lt;&gt;"Inactivo"),C3133&amp;" → "&amp;F3133,"Sin transición"))</f>
        <v/>
      </c>
      <c r="H3133" s="23" t="str">
        <f aca="false">IF(A3133="","",IF(D3133="GCIA LINEA SERVICIO DIGITALIDAD Y VENTAS","Chats",IF(OR(D3133="GERENCIA INBOUND LÍNEAS SERVICIO Y VENTA",D3133="GERENCIA INBOUND LINEAS ESPECIALIZADAS"),"Llamadas","Otro")))</f>
        <v/>
      </c>
      <c r="I3133" s="23" t="str">
        <f aca="false">IF(A3133="","",IF(C3133="No encontrado","No","Sí"))</f>
        <v/>
      </c>
      <c r="J3133" s="23" t="str">
        <f aca="false">IF(A3133="","",IF(F3133="Inactivo","No","Sí"))</f>
        <v/>
      </c>
      <c r="K3133" s="23" t="str">
        <f aca="false">IF(A3133="","",IF(AND(I3133="Sí",J3133="Sí"),"Sí","No"))</f>
        <v/>
      </c>
    </row>
    <row r="3134" customFormat="false" ht="15" hidden="false" customHeight="false" outlineLevel="0" collapsed="false">
      <c r="A3134" s="22"/>
      <c r="B3134" s="22"/>
      <c r="C3134" s="26" t="str">
        <f aca="false">IF(A3134="","",IFERROR(buscarx(A3134&amp;B3134,DATA!$E$3:$E$10000&amp;DATA!$B$3:$B$10000,DATA!$M$3:$M$10000),"No encontrado"))</f>
        <v/>
      </c>
      <c r="D3134" s="27" t="str">
        <f aca="false">IF(A3134="","",IFERROR(buscarx(A3134&amp;B3134,DATA!$E$3:$E$10000&amp;DATA!$B$3:$B$10000,DATA!$W$3:$W$10000),"No encontrado"))</f>
        <v/>
      </c>
      <c r="E3134" s="22"/>
      <c r="F3134" s="26" t="str">
        <f aca="false">IF(A3134="","",IFERROR(buscarx(A3134&amp;E3134,DATA!$E$3:$E$10000&amp;DATA!$B$3:$B$10000,DATA!$M$3:$M$10000),"Inactivo"))</f>
        <v/>
      </c>
      <c r="G3134" s="28" t="str">
        <f aca="false">IF(A3134="","",IF(AND(C3134&lt;&gt;"No encontrado",F3134&lt;&gt;"Inactivo"),C3134&amp;" → "&amp;F3134,"Sin transición"))</f>
        <v/>
      </c>
      <c r="H3134" s="26" t="str">
        <f aca="false">IF(A3134="","",IF(D3134="GCIA LINEA SERVICIO DIGITALIDAD Y VENTAS","Chats",IF(OR(D3134="GERENCIA INBOUND LÍNEAS SERVICIO Y VENTA",D3134="GERENCIA INBOUND LINEAS ESPECIALIZADAS"),"Llamadas","Otro")))</f>
        <v/>
      </c>
      <c r="I3134" s="26" t="str">
        <f aca="false">IF(A3134="","",IF(C3134="No encontrado","No","Sí"))</f>
        <v/>
      </c>
      <c r="J3134" s="26" t="str">
        <f aca="false">IF(A3134="","",IF(F3134="Inactivo","No","Sí"))</f>
        <v/>
      </c>
      <c r="K3134" s="26" t="str">
        <f aca="false">IF(A3134="","",IF(AND(I3134="Sí",J3134="Sí"),"Sí","No"))</f>
        <v/>
      </c>
    </row>
    <row r="3135" customFormat="false" ht="15" hidden="false" customHeight="false" outlineLevel="0" collapsed="false">
      <c r="A3135" s="22"/>
      <c r="B3135" s="22"/>
      <c r="C3135" s="23" t="str">
        <f aca="false">IF(A3135="","",IFERROR(buscarx(A3135&amp;B3135,DATA!$E$3:$E$10000&amp;DATA!$B$3:$B$10000,DATA!$M$3:$M$10000),"No encontrado"))</f>
        <v/>
      </c>
      <c r="D3135" s="24" t="str">
        <f aca="false">IF(A3135="","",IFERROR(buscarx(A3135&amp;B3135,DATA!$E$3:$E$10000&amp;DATA!$B$3:$B$10000,DATA!$W$3:$W$10000),"No encontrado"))</f>
        <v/>
      </c>
      <c r="E3135" s="22"/>
      <c r="F3135" s="23" t="str">
        <f aca="false">IF(A3135="","",IFERROR(buscarx(A3135&amp;E3135,DATA!$E$3:$E$10000&amp;DATA!$B$3:$B$10000,DATA!$M$3:$M$10000),"Inactivo"))</f>
        <v/>
      </c>
      <c r="G3135" s="25" t="str">
        <f aca="false">IF(A3135="","",IF(AND(C3135&lt;&gt;"No encontrado",F3135&lt;&gt;"Inactivo"),C3135&amp;" → "&amp;F3135,"Sin transición"))</f>
        <v/>
      </c>
      <c r="H3135" s="23" t="str">
        <f aca="false">IF(A3135="","",IF(D3135="GCIA LINEA SERVICIO DIGITALIDAD Y VENTAS","Chats",IF(OR(D3135="GERENCIA INBOUND LÍNEAS SERVICIO Y VENTA",D3135="GERENCIA INBOUND LINEAS ESPECIALIZADAS"),"Llamadas","Otro")))</f>
        <v/>
      </c>
      <c r="I3135" s="23" t="str">
        <f aca="false">IF(A3135="","",IF(C3135="No encontrado","No","Sí"))</f>
        <v/>
      </c>
      <c r="J3135" s="23" t="str">
        <f aca="false">IF(A3135="","",IF(F3135="Inactivo","No","Sí"))</f>
        <v/>
      </c>
      <c r="K3135" s="23" t="str">
        <f aca="false">IF(A3135="","",IF(AND(I3135="Sí",J3135="Sí"),"Sí","No"))</f>
        <v/>
      </c>
    </row>
    <row r="3136" customFormat="false" ht="15" hidden="false" customHeight="false" outlineLevel="0" collapsed="false">
      <c r="A3136" s="22"/>
      <c r="B3136" s="22"/>
      <c r="C3136" s="26" t="str">
        <f aca="false">IF(A3136="","",IFERROR(buscarx(A3136&amp;B3136,DATA!$E$3:$E$10000&amp;DATA!$B$3:$B$10000,DATA!$M$3:$M$10000),"No encontrado"))</f>
        <v/>
      </c>
      <c r="D3136" s="27" t="str">
        <f aca="false">IF(A3136="","",IFERROR(buscarx(A3136&amp;B3136,DATA!$E$3:$E$10000&amp;DATA!$B$3:$B$10000,DATA!$W$3:$W$10000),"No encontrado"))</f>
        <v/>
      </c>
      <c r="E3136" s="22"/>
      <c r="F3136" s="26" t="str">
        <f aca="false">IF(A3136="","",IFERROR(buscarx(A3136&amp;E3136,DATA!$E$3:$E$10000&amp;DATA!$B$3:$B$10000,DATA!$M$3:$M$10000),"Inactivo"))</f>
        <v/>
      </c>
      <c r="G3136" s="28" t="str">
        <f aca="false">IF(A3136="","",IF(AND(C3136&lt;&gt;"No encontrado",F3136&lt;&gt;"Inactivo"),C3136&amp;" → "&amp;F3136,"Sin transición"))</f>
        <v/>
      </c>
      <c r="H3136" s="26" t="str">
        <f aca="false">IF(A3136="","",IF(D3136="GCIA LINEA SERVICIO DIGITALIDAD Y VENTAS","Chats",IF(OR(D3136="GERENCIA INBOUND LÍNEAS SERVICIO Y VENTA",D3136="GERENCIA INBOUND LINEAS ESPECIALIZADAS"),"Llamadas","Otro")))</f>
        <v/>
      </c>
      <c r="I3136" s="26" t="str">
        <f aca="false">IF(A3136="","",IF(C3136="No encontrado","No","Sí"))</f>
        <v/>
      </c>
      <c r="J3136" s="26" t="str">
        <f aca="false">IF(A3136="","",IF(F3136="Inactivo","No","Sí"))</f>
        <v/>
      </c>
      <c r="K3136" s="26" t="str">
        <f aca="false">IF(A3136="","",IF(AND(I3136="Sí",J3136="Sí"),"Sí","No"))</f>
        <v/>
      </c>
    </row>
    <row r="3137" customFormat="false" ht="15" hidden="false" customHeight="false" outlineLevel="0" collapsed="false">
      <c r="A3137" s="22"/>
      <c r="B3137" s="22"/>
      <c r="C3137" s="23" t="str">
        <f aca="false">IF(A3137="","",IFERROR(buscarx(A3137&amp;B3137,DATA!$E$3:$E$10000&amp;DATA!$B$3:$B$10000,DATA!$M$3:$M$10000),"No encontrado"))</f>
        <v/>
      </c>
      <c r="D3137" s="24" t="str">
        <f aca="false">IF(A3137="","",IFERROR(buscarx(A3137&amp;B3137,DATA!$E$3:$E$10000&amp;DATA!$B$3:$B$10000,DATA!$W$3:$W$10000),"No encontrado"))</f>
        <v/>
      </c>
      <c r="E3137" s="22"/>
      <c r="F3137" s="23" t="str">
        <f aca="false">IF(A3137="","",IFERROR(buscarx(A3137&amp;E3137,DATA!$E$3:$E$10000&amp;DATA!$B$3:$B$10000,DATA!$M$3:$M$10000),"Inactivo"))</f>
        <v/>
      </c>
      <c r="G3137" s="25" t="str">
        <f aca="false">IF(A3137="","",IF(AND(C3137&lt;&gt;"No encontrado",F3137&lt;&gt;"Inactivo"),C3137&amp;" → "&amp;F3137,"Sin transición"))</f>
        <v/>
      </c>
      <c r="H3137" s="23" t="str">
        <f aca="false">IF(A3137="","",IF(D3137="GCIA LINEA SERVICIO DIGITALIDAD Y VENTAS","Chats",IF(OR(D3137="GERENCIA INBOUND LÍNEAS SERVICIO Y VENTA",D3137="GERENCIA INBOUND LINEAS ESPECIALIZADAS"),"Llamadas","Otro")))</f>
        <v/>
      </c>
      <c r="I3137" s="23" t="str">
        <f aca="false">IF(A3137="","",IF(C3137="No encontrado","No","Sí"))</f>
        <v/>
      </c>
      <c r="J3137" s="23" t="str">
        <f aca="false">IF(A3137="","",IF(F3137="Inactivo","No","Sí"))</f>
        <v/>
      </c>
      <c r="K3137" s="23" t="str">
        <f aca="false">IF(A3137="","",IF(AND(I3137="Sí",J3137="Sí"),"Sí","No"))</f>
        <v/>
      </c>
    </row>
    <row r="3138" customFormat="false" ht="15" hidden="false" customHeight="false" outlineLevel="0" collapsed="false">
      <c r="A3138" s="22"/>
      <c r="B3138" s="22"/>
      <c r="C3138" s="26" t="str">
        <f aca="false">IF(A3138="","",IFERROR(buscarx(A3138&amp;B3138,DATA!$E$3:$E$10000&amp;DATA!$B$3:$B$10000,DATA!$M$3:$M$10000),"No encontrado"))</f>
        <v/>
      </c>
      <c r="D3138" s="27" t="str">
        <f aca="false">IF(A3138="","",IFERROR(buscarx(A3138&amp;B3138,DATA!$E$3:$E$10000&amp;DATA!$B$3:$B$10000,DATA!$W$3:$W$10000),"No encontrado"))</f>
        <v/>
      </c>
      <c r="E3138" s="22"/>
      <c r="F3138" s="26" t="str">
        <f aca="false">IF(A3138="","",IFERROR(buscarx(A3138&amp;E3138,DATA!$E$3:$E$10000&amp;DATA!$B$3:$B$10000,DATA!$M$3:$M$10000),"Inactivo"))</f>
        <v/>
      </c>
      <c r="G3138" s="28" t="str">
        <f aca="false">IF(A3138="","",IF(AND(C3138&lt;&gt;"No encontrado",F3138&lt;&gt;"Inactivo"),C3138&amp;" → "&amp;F3138,"Sin transición"))</f>
        <v/>
      </c>
      <c r="H3138" s="26" t="str">
        <f aca="false">IF(A3138="","",IF(D3138="GCIA LINEA SERVICIO DIGITALIDAD Y VENTAS","Chats",IF(OR(D3138="GERENCIA INBOUND LÍNEAS SERVICIO Y VENTA",D3138="GERENCIA INBOUND LINEAS ESPECIALIZADAS"),"Llamadas","Otro")))</f>
        <v/>
      </c>
      <c r="I3138" s="26" t="str">
        <f aca="false">IF(A3138="","",IF(C3138="No encontrado","No","Sí"))</f>
        <v/>
      </c>
      <c r="J3138" s="26" t="str">
        <f aca="false">IF(A3138="","",IF(F3138="Inactivo","No","Sí"))</f>
        <v/>
      </c>
      <c r="K3138" s="26" t="str">
        <f aca="false">IF(A3138="","",IF(AND(I3138="Sí",J3138="Sí"),"Sí","No"))</f>
        <v/>
      </c>
    </row>
    <row r="3139" customFormat="false" ht="15" hidden="false" customHeight="false" outlineLevel="0" collapsed="false">
      <c r="A3139" s="22"/>
      <c r="B3139" s="22"/>
      <c r="C3139" s="23" t="str">
        <f aca="false">IF(A3139="","",IFERROR(buscarx(A3139&amp;B3139,DATA!$E$3:$E$10000&amp;DATA!$B$3:$B$10000,DATA!$M$3:$M$10000),"No encontrado"))</f>
        <v/>
      </c>
      <c r="D3139" s="24" t="str">
        <f aca="false">IF(A3139="","",IFERROR(buscarx(A3139&amp;B3139,DATA!$E$3:$E$10000&amp;DATA!$B$3:$B$10000,DATA!$W$3:$W$10000),"No encontrado"))</f>
        <v/>
      </c>
      <c r="E3139" s="22"/>
      <c r="F3139" s="23" t="str">
        <f aca="false">IF(A3139="","",IFERROR(buscarx(A3139&amp;E3139,DATA!$E$3:$E$10000&amp;DATA!$B$3:$B$10000,DATA!$M$3:$M$10000),"Inactivo"))</f>
        <v/>
      </c>
      <c r="G3139" s="25" t="str">
        <f aca="false">IF(A3139="","",IF(AND(C3139&lt;&gt;"No encontrado",F3139&lt;&gt;"Inactivo"),C3139&amp;" → "&amp;F3139,"Sin transición"))</f>
        <v/>
      </c>
      <c r="H3139" s="23" t="str">
        <f aca="false">IF(A3139="","",IF(D3139="GCIA LINEA SERVICIO DIGITALIDAD Y VENTAS","Chats",IF(OR(D3139="GERENCIA INBOUND LÍNEAS SERVICIO Y VENTA",D3139="GERENCIA INBOUND LINEAS ESPECIALIZADAS"),"Llamadas","Otro")))</f>
        <v/>
      </c>
      <c r="I3139" s="23" t="str">
        <f aca="false">IF(A3139="","",IF(C3139="No encontrado","No","Sí"))</f>
        <v/>
      </c>
      <c r="J3139" s="23" t="str">
        <f aca="false">IF(A3139="","",IF(F3139="Inactivo","No","Sí"))</f>
        <v/>
      </c>
      <c r="K3139" s="23" t="str">
        <f aca="false">IF(A3139="","",IF(AND(I3139="Sí",J3139="Sí"),"Sí","No"))</f>
        <v/>
      </c>
    </row>
    <row r="3140" customFormat="false" ht="15" hidden="false" customHeight="false" outlineLevel="0" collapsed="false">
      <c r="A3140" s="22"/>
      <c r="B3140" s="22"/>
      <c r="C3140" s="26" t="str">
        <f aca="false">IF(A3140="","",IFERROR(buscarx(A3140&amp;B3140,DATA!$E$3:$E$10000&amp;DATA!$B$3:$B$10000,DATA!$M$3:$M$10000),"No encontrado"))</f>
        <v/>
      </c>
      <c r="D3140" s="27" t="str">
        <f aca="false">IF(A3140="","",IFERROR(buscarx(A3140&amp;B3140,DATA!$E$3:$E$10000&amp;DATA!$B$3:$B$10000,DATA!$W$3:$W$10000),"No encontrado"))</f>
        <v/>
      </c>
      <c r="E3140" s="22"/>
      <c r="F3140" s="26" t="str">
        <f aca="false">IF(A3140="","",IFERROR(buscarx(A3140&amp;E3140,DATA!$E$3:$E$10000&amp;DATA!$B$3:$B$10000,DATA!$M$3:$M$10000),"Inactivo"))</f>
        <v/>
      </c>
      <c r="G3140" s="28" t="str">
        <f aca="false">IF(A3140="","",IF(AND(C3140&lt;&gt;"No encontrado",F3140&lt;&gt;"Inactivo"),C3140&amp;" → "&amp;F3140,"Sin transición"))</f>
        <v/>
      </c>
      <c r="H3140" s="26" t="str">
        <f aca="false">IF(A3140="","",IF(D3140="GCIA LINEA SERVICIO DIGITALIDAD Y VENTAS","Chats",IF(OR(D3140="GERENCIA INBOUND LÍNEAS SERVICIO Y VENTA",D3140="GERENCIA INBOUND LINEAS ESPECIALIZADAS"),"Llamadas","Otro")))</f>
        <v/>
      </c>
      <c r="I3140" s="26" t="str">
        <f aca="false">IF(A3140="","",IF(C3140="No encontrado","No","Sí"))</f>
        <v/>
      </c>
      <c r="J3140" s="26" t="str">
        <f aca="false">IF(A3140="","",IF(F3140="Inactivo","No","Sí"))</f>
        <v/>
      </c>
      <c r="K3140" s="26" t="str">
        <f aca="false">IF(A3140="","",IF(AND(I3140="Sí",J3140="Sí"),"Sí","No"))</f>
        <v/>
      </c>
    </row>
    <row r="3141" customFormat="false" ht="15" hidden="false" customHeight="false" outlineLevel="0" collapsed="false">
      <c r="A3141" s="22"/>
      <c r="B3141" s="22"/>
      <c r="C3141" s="23" t="str">
        <f aca="false">IF(A3141="","",IFERROR(buscarx(A3141&amp;B3141,DATA!$E$3:$E$10000&amp;DATA!$B$3:$B$10000,DATA!$M$3:$M$10000),"No encontrado"))</f>
        <v/>
      </c>
      <c r="D3141" s="24" t="str">
        <f aca="false">IF(A3141="","",IFERROR(buscarx(A3141&amp;B3141,DATA!$E$3:$E$10000&amp;DATA!$B$3:$B$10000,DATA!$W$3:$W$10000),"No encontrado"))</f>
        <v/>
      </c>
      <c r="E3141" s="22"/>
      <c r="F3141" s="23" t="str">
        <f aca="false">IF(A3141="","",IFERROR(buscarx(A3141&amp;E3141,DATA!$E$3:$E$10000&amp;DATA!$B$3:$B$10000,DATA!$M$3:$M$10000),"Inactivo"))</f>
        <v/>
      </c>
      <c r="G3141" s="25" t="str">
        <f aca="false">IF(A3141="","",IF(AND(C3141&lt;&gt;"No encontrado",F3141&lt;&gt;"Inactivo"),C3141&amp;" → "&amp;F3141,"Sin transición"))</f>
        <v/>
      </c>
      <c r="H3141" s="23" t="str">
        <f aca="false">IF(A3141="","",IF(D3141="GCIA LINEA SERVICIO DIGITALIDAD Y VENTAS","Chats",IF(OR(D3141="GERENCIA INBOUND LÍNEAS SERVICIO Y VENTA",D3141="GERENCIA INBOUND LINEAS ESPECIALIZADAS"),"Llamadas","Otro")))</f>
        <v/>
      </c>
      <c r="I3141" s="23" t="str">
        <f aca="false">IF(A3141="","",IF(C3141="No encontrado","No","Sí"))</f>
        <v/>
      </c>
      <c r="J3141" s="23" t="str">
        <f aca="false">IF(A3141="","",IF(F3141="Inactivo","No","Sí"))</f>
        <v/>
      </c>
      <c r="K3141" s="23" t="str">
        <f aca="false">IF(A3141="","",IF(AND(I3141="Sí",J3141="Sí"),"Sí","No"))</f>
        <v/>
      </c>
    </row>
    <row r="3142" customFormat="false" ht="15" hidden="false" customHeight="false" outlineLevel="0" collapsed="false">
      <c r="A3142" s="22"/>
      <c r="B3142" s="22"/>
      <c r="C3142" s="26" t="str">
        <f aca="false">IF(A3142="","",IFERROR(buscarx(A3142&amp;B3142,DATA!$E$3:$E$10000&amp;DATA!$B$3:$B$10000,DATA!$M$3:$M$10000),"No encontrado"))</f>
        <v/>
      </c>
      <c r="D3142" s="27" t="str">
        <f aca="false">IF(A3142="","",IFERROR(buscarx(A3142&amp;B3142,DATA!$E$3:$E$10000&amp;DATA!$B$3:$B$10000,DATA!$W$3:$W$10000),"No encontrado"))</f>
        <v/>
      </c>
      <c r="E3142" s="22"/>
      <c r="F3142" s="26" t="str">
        <f aca="false">IF(A3142="","",IFERROR(buscarx(A3142&amp;E3142,DATA!$E$3:$E$10000&amp;DATA!$B$3:$B$10000,DATA!$M$3:$M$10000),"Inactivo"))</f>
        <v/>
      </c>
      <c r="G3142" s="28" t="str">
        <f aca="false">IF(A3142="","",IF(AND(C3142&lt;&gt;"No encontrado",F3142&lt;&gt;"Inactivo"),C3142&amp;" → "&amp;F3142,"Sin transición"))</f>
        <v/>
      </c>
      <c r="H3142" s="26" t="str">
        <f aca="false">IF(A3142="","",IF(D3142="GCIA LINEA SERVICIO DIGITALIDAD Y VENTAS","Chats",IF(OR(D3142="GERENCIA INBOUND LÍNEAS SERVICIO Y VENTA",D3142="GERENCIA INBOUND LINEAS ESPECIALIZADAS"),"Llamadas","Otro")))</f>
        <v/>
      </c>
      <c r="I3142" s="26" t="str">
        <f aca="false">IF(A3142="","",IF(C3142="No encontrado","No","Sí"))</f>
        <v/>
      </c>
      <c r="J3142" s="26" t="str">
        <f aca="false">IF(A3142="","",IF(F3142="Inactivo","No","Sí"))</f>
        <v/>
      </c>
      <c r="K3142" s="26" t="str">
        <f aca="false">IF(A3142="","",IF(AND(I3142="Sí",J3142="Sí"),"Sí","No"))</f>
        <v/>
      </c>
    </row>
    <row r="3143" customFormat="false" ht="15" hidden="false" customHeight="false" outlineLevel="0" collapsed="false">
      <c r="A3143" s="22"/>
      <c r="B3143" s="22"/>
      <c r="C3143" s="23" t="str">
        <f aca="false">IF(A3143="","",IFERROR(buscarx(A3143&amp;B3143,DATA!$E$3:$E$10000&amp;DATA!$B$3:$B$10000,DATA!$M$3:$M$10000),"No encontrado"))</f>
        <v/>
      </c>
      <c r="D3143" s="24" t="str">
        <f aca="false">IF(A3143="","",IFERROR(buscarx(A3143&amp;B3143,DATA!$E$3:$E$10000&amp;DATA!$B$3:$B$10000,DATA!$W$3:$W$10000),"No encontrado"))</f>
        <v/>
      </c>
      <c r="E3143" s="22"/>
      <c r="F3143" s="23" t="str">
        <f aca="false">IF(A3143="","",IFERROR(buscarx(A3143&amp;E3143,DATA!$E$3:$E$10000&amp;DATA!$B$3:$B$10000,DATA!$M$3:$M$10000),"Inactivo"))</f>
        <v/>
      </c>
      <c r="G3143" s="25" t="str">
        <f aca="false">IF(A3143="","",IF(AND(C3143&lt;&gt;"No encontrado",F3143&lt;&gt;"Inactivo"),C3143&amp;" → "&amp;F3143,"Sin transición"))</f>
        <v/>
      </c>
      <c r="H3143" s="23" t="str">
        <f aca="false">IF(A3143="","",IF(D3143="GCIA LINEA SERVICIO DIGITALIDAD Y VENTAS","Chats",IF(OR(D3143="GERENCIA INBOUND LÍNEAS SERVICIO Y VENTA",D3143="GERENCIA INBOUND LINEAS ESPECIALIZADAS"),"Llamadas","Otro")))</f>
        <v/>
      </c>
      <c r="I3143" s="23" t="str">
        <f aca="false">IF(A3143="","",IF(C3143="No encontrado","No","Sí"))</f>
        <v/>
      </c>
      <c r="J3143" s="23" t="str">
        <f aca="false">IF(A3143="","",IF(F3143="Inactivo","No","Sí"))</f>
        <v/>
      </c>
      <c r="K3143" s="23" t="str">
        <f aca="false">IF(A3143="","",IF(AND(I3143="Sí",J3143="Sí"),"Sí","No"))</f>
        <v/>
      </c>
    </row>
    <row r="3144" customFormat="false" ht="15" hidden="false" customHeight="false" outlineLevel="0" collapsed="false">
      <c r="A3144" s="22"/>
      <c r="B3144" s="22"/>
      <c r="C3144" s="26" t="str">
        <f aca="false">IF(A3144="","",IFERROR(buscarx(A3144&amp;B3144,DATA!$E$3:$E$10000&amp;DATA!$B$3:$B$10000,DATA!$M$3:$M$10000),"No encontrado"))</f>
        <v/>
      </c>
      <c r="D3144" s="27" t="str">
        <f aca="false">IF(A3144="","",IFERROR(buscarx(A3144&amp;B3144,DATA!$E$3:$E$10000&amp;DATA!$B$3:$B$10000,DATA!$W$3:$W$10000),"No encontrado"))</f>
        <v/>
      </c>
      <c r="E3144" s="22"/>
      <c r="F3144" s="26" t="str">
        <f aca="false">IF(A3144="","",IFERROR(buscarx(A3144&amp;E3144,DATA!$E$3:$E$10000&amp;DATA!$B$3:$B$10000,DATA!$M$3:$M$10000),"Inactivo"))</f>
        <v/>
      </c>
      <c r="G3144" s="28" t="str">
        <f aca="false">IF(A3144="","",IF(AND(C3144&lt;&gt;"No encontrado",F3144&lt;&gt;"Inactivo"),C3144&amp;" → "&amp;F3144,"Sin transición"))</f>
        <v/>
      </c>
      <c r="H3144" s="26" t="str">
        <f aca="false">IF(A3144="","",IF(D3144="GCIA LINEA SERVICIO DIGITALIDAD Y VENTAS","Chats",IF(OR(D3144="GERENCIA INBOUND LÍNEAS SERVICIO Y VENTA",D3144="GERENCIA INBOUND LINEAS ESPECIALIZADAS"),"Llamadas","Otro")))</f>
        <v/>
      </c>
      <c r="I3144" s="26" t="str">
        <f aca="false">IF(A3144="","",IF(C3144="No encontrado","No","Sí"))</f>
        <v/>
      </c>
      <c r="J3144" s="26" t="str">
        <f aca="false">IF(A3144="","",IF(F3144="Inactivo","No","Sí"))</f>
        <v/>
      </c>
      <c r="K3144" s="26" t="str">
        <f aca="false">IF(A3144="","",IF(AND(I3144="Sí",J3144="Sí"),"Sí","No"))</f>
        <v/>
      </c>
    </row>
    <row r="3145" customFormat="false" ht="15" hidden="false" customHeight="false" outlineLevel="0" collapsed="false">
      <c r="A3145" s="22"/>
      <c r="B3145" s="22"/>
      <c r="C3145" s="23" t="str">
        <f aca="false">IF(A3145="","",IFERROR(buscarx(A3145&amp;B3145,DATA!$E$3:$E$10000&amp;DATA!$B$3:$B$10000,DATA!$M$3:$M$10000),"No encontrado"))</f>
        <v/>
      </c>
      <c r="D3145" s="24" t="str">
        <f aca="false">IF(A3145="","",IFERROR(buscarx(A3145&amp;B3145,DATA!$E$3:$E$10000&amp;DATA!$B$3:$B$10000,DATA!$W$3:$W$10000),"No encontrado"))</f>
        <v/>
      </c>
      <c r="E3145" s="22"/>
      <c r="F3145" s="23" t="str">
        <f aca="false">IF(A3145="","",IFERROR(buscarx(A3145&amp;E3145,DATA!$E$3:$E$10000&amp;DATA!$B$3:$B$10000,DATA!$M$3:$M$10000),"Inactivo"))</f>
        <v/>
      </c>
      <c r="G3145" s="25" t="str">
        <f aca="false">IF(A3145="","",IF(AND(C3145&lt;&gt;"No encontrado",F3145&lt;&gt;"Inactivo"),C3145&amp;" → "&amp;F3145,"Sin transición"))</f>
        <v/>
      </c>
      <c r="H3145" s="23" t="str">
        <f aca="false">IF(A3145="","",IF(D3145="GCIA LINEA SERVICIO DIGITALIDAD Y VENTAS","Chats",IF(OR(D3145="GERENCIA INBOUND LÍNEAS SERVICIO Y VENTA",D3145="GERENCIA INBOUND LINEAS ESPECIALIZADAS"),"Llamadas","Otro")))</f>
        <v/>
      </c>
      <c r="I3145" s="23" t="str">
        <f aca="false">IF(A3145="","",IF(C3145="No encontrado","No","Sí"))</f>
        <v/>
      </c>
      <c r="J3145" s="23" t="str">
        <f aca="false">IF(A3145="","",IF(F3145="Inactivo","No","Sí"))</f>
        <v/>
      </c>
      <c r="K3145" s="23" t="str">
        <f aca="false">IF(A3145="","",IF(AND(I3145="Sí",J3145="Sí"),"Sí","No"))</f>
        <v/>
      </c>
    </row>
    <row r="3146" customFormat="false" ht="15" hidden="false" customHeight="false" outlineLevel="0" collapsed="false">
      <c r="A3146" s="22"/>
      <c r="B3146" s="22"/>
      <c r="C3146" s="26" t="str">
        <f aca="false">IF(A3146="","",IFERROR(buscarx(A3146&amp;B3146,DATA!$E$3:$E$10000&amp;DATA!$B$3:$B$10000,DATA!$M$3:$M$10000),"No encontrado"))</f>
        <v/>
      </c>
      <c r="D3146" s="27" t="str">
        <f aca="false">IF(A3146="","",IFERROR(buscarx(A3146&amp;B3146,DATA!$E$3:$E$10000&amp;DATA!$B$3:$B$10000,DATA!$W$3:$W$10000),"No encontrado"))</f>
        <v/>
      </c>
      <c r="E3146" s="22"/>
      <c r="F3146" s="26" t="str">
        <f aca="false">IF(A3146="","",IFERROR(buscarx(A3146&amp;E3146,DATA!$E$3:$E$10000&amp;DATA!$B$3:$B$10000,DATA!$M$3:$M$10000),"Inactivo"))</f>
        <v/>
      </c>
      <c r="G3146" s="28" t="str">
        <f aca="false">IF(A3146="","",IF(AND(C3146&lt;&gt;"No encontrado",F3146&lt;&gt;"Inactivo"),C3146&amp;" → "&amp;F3146,"Sin transición"))</f>
        <v/>
      </c>
      <c r="H3146" s="26" t="str">
        <f aca="false">IF(A3146="","",IF(D3146="GCIA LINEA SERVICIO DIGITALIDAD Y VENTAS","Chats",IF(OR(D3146="GERENCIA INBOUND LÍNEAS SERVICIO Y VENTA",D3146="GERENCIA INBOUND LINEAS ESPECIALIZADAS"),"Llamadas","Otro")))</f>
        <v/>
      </c>
      <c r="I3146" s="26" t="str">
        <f aca="false">IF(A3146="","",IF(C3146="No encontrado","No","Sí"))</f>
        <v/>
      </c>
      <c r="J3146" s="26" t="str">
        <f aca="false">IF(A3146="","",IF(F3146="Inactivo","No","Sí"))</f>
        <v/>
      </c>
      <c r="K3146" s="26" t="str">
        <f aca="false">IF(A3146="","",IF(AND(I3146="Sí",J3146="Sí"),"Sí","No"))</f>
        <v/>
      </c>
    </row>
    <row r="3147" customFormat="false" ht="15" hidden="false" customHeight="false" outlineLevel="0" collapsed="false">
      <c r="A3147" s="22"/>
      <c r="B3147" s="22"/>
      <c r="C3147" s="23" t="str">
        <f aca="false">IF(A3147="","",IFERROR(buscarx(A3147&amp;B3147,DATA!$E$3:$E$10000&amp;DATA!$B$3:$B$10000,DATA!$M$3:$M$10000),"No encontrado"))</f>
        <v/>
      </c>
      <c r="D3147" s="24" t="str">
        <f aca="false">IF(A3147="","",IFERROR(buscarx(A3147&amp;B3147,DATA!$E$3:$E$10000&amp;DATA!$B$3:$B$10000,DATA!$W$3:$W$10000),"No encontrado"))</f>
        <v/>
      </c>
      <c r="E3147" s="22"/>
      <c r="F3147" s="23" t="str">
        <f aca="false">IF(A3147="","",IFERROR(buscarx(A3147&amp;E3147,DATA!$E$3:$E$10000&amp;DATA!$B$3:$B$10000,DATA!$M$3:$M$10000),"Inactivo"))</f>
        <v/>
      </c>
      <c r="G3147" s="25" t="str">
        <f aca="false">IF(A3147="","",IF(AND(C3147&lt;&gt;"No encontrado",F3147&lt;&gt;"Inactivo"),C3147&amp;" → "&amp;F3147,"Sin transición"))</f>
        <v/>
      </c>
      <c r="H3147" s="23" t="str">
        <f aca="false">IF(A3147="","",IF(D3147="GCIA LINEA SERVICIO DIGITALIDAD Y VENTAS","Chats",IF(OR(D3147="GERENCIA INBOUND LÍNEAS SERVICIO Y VENTA",D3147="GERENCIA INBOUND LINEAS ESPECIALIZADAS"),"Llamadas","Otro")))</f>
        <v/>
      </c>
      <c r="I3147" s="23" t="str">
        <f aca="false">IF(A3147="","",IF(C3147="No encontrado","No","Sí"))</f>
        <v/>
      </c>
      <c r="J3147" s="23" t="str">
        <f aca="false">IF(A3147="","",IF(F3147="Inactivo","No","Sí"))</f>
        <v/>
      </c>
      <c r="K3147" s="23" t="str">
        <f aca="false">IF(A3147="","",IF(AND(I3147="Sí",J3147="Sí"),"Sí","No"))</f>
        <v/>
      </c>
    </row>
    <row r="3148" customFormat="false" ht="15" hidden="false" customHeight="false" outlineLevel="0" collapsed="false">
      <c r="A3148" s="22"/>
      <c r="B3148" s="22"/>
      <c r="C3148" s="26" t="str">
        <f aca="false">IF(A3148="","",IFERROR(buscarx(A3148&amp;B3148,DATA!$E$3:$E$10000&amp;DATA!$B$3:$B$10000,DATA!$M$3:$M$10000),"No encontrado"))</f>
        <v/>
      </c>
      <c r="D3148" s="27" t="str">
        <f aca="false">IF(A3148="","",IFERROR(buscarx(A3148&amp;B3148,DATA!$E$3:$E$10000&amp;DATA!$B$3:$B$10000,DATA!$W$3:$W$10000),"No encontrado"))</f>
        <v/>
      </c>
      <c r="E3148" s="22"/>
      <c r="F3148" s="26" t="str">
        <f aca="false">IF(A3148="","",IFERROR(buscarx(A3148&amp;E3148,DATA!$E$3:$E$10000&amp;DATA!$B$3:$B$10000,DATA!$M$3:$M$10000),"Inactivo"))</f>
        <v/>
      </c>
      <c r="G3148" s="28" t="str">
        <f aca="false">IF(A3148="","",IF(AND(C3148&lt;&gt;"No encontrado",F3148&lt;&gt;"Inactivo"),C3148&amp;" → "&amp;F3148,"Sin transición"))</f>
        <v/>
      </c>
      <c r="H3148" s="26" t="str">
        <f aca="false">IF(A3148="","",IF(D3148="GCIA LINEA SERVICIO DIGITALIDAD Y VENTAS","Chats",IF(OR(D3148="GERENCIA INBOUND LÍNEAS SERVICIO Y VENTA",D3148="GERENCIA INBOUND LINEAS ESPECIALIZADAS"),"Llamadas","Otro")))</f>
        <v/>
      </c>
      <c r="I3148" s="26" t="str">
        <f aca="false">IF(A3148="","",IF(C3148="No encontrado","No","Sí"))</f>
        <v/>
      </c>
      <c r="J3148" s="26" t="str">
        <f aca="false">IF(A3148="","",IF(F3148="Inactivo","No","Sí"))</f>
        <v/>
      </c>
      <c r="K3148" s="26" t="str">
        <f aca="false">IF(A3148="","",IF(AND(I3148="Sí",J3148="Sí"),"Sí","No"))</f>
        <v/>
      </c>
    </row>
    <row r="3149" customFormat="false" ht="15" hidden="false" customHeight="false" outlineLevel="0" collapsed="false">
      <c r="A3149" s="22"/>
      <c r="B3149" s="22"/>
      <c r="C3149" s="23" t="str">
        <f aca="false">IF(A3149="","",IFERROR(buscarx(A3149&amp;B3149,DATA!$E$3:$E$10000&amp;DATA!$B$3:$B$10000,DATA!$M$3:$M$10000),"No encontrado"))</f>
        <v/>
      </c>
      <c r="D3149" s="24" t="str">
        <f aca="false">IF(A3149="","",IFERROR(buscarx(A3149&amp;B3149,DATA!$E$3:$E$10000&amp;DATA!$B$3:$B$10000,DATA!$W$3:$W$10000),"No encontrado"))</f>
        <v/>
      </c>
      <c r="E3149" s="22"/>
      <c r="F3149" s="23" t="str">
        <f aca="false">IF(A3149="","",IFERROR(buscarx(A3149&amp;E3149,DATA!$E$3:$E$10000&amp;DATA!$B$3:$B$10000,DATA!$M$3:$M$10000),"Inactivo"))</f>
        <v/>
      </c>
      <c r="G3149" s="25" t="str">
        <f aca="false">IF(A3149="","",IF(AND(C3149&lt;&gt;"No encontrado",F3149&lt;&gt;"Inactivo"),C3149&amp;" → "&amp;F3149,"Sin transición"))</f>
        <v/>
      </c>
      <c r="H3149" s="23" t="str">
        <f aca="false">IF(A3149="","",IF(D3149="GCIA LINEA SERVICIO DIGITALIDAD Y VENTAS","Chats",IF(OR(D3149="GERENCIA INBOUND LÍNEAS SERVICIO Y VENTA",D3149="GERENCIA INBOUND LINEAS ESPECIALIZADAS"),"Llamadas","Otro")))</f>
        <v/>
      </c>
      <c r="I3149" s="23" t="str">
        <f aca="false">IF(A3149="","",IF(C3149="No encontrado","No","Sí"))</f>
        <v/>
      </c>
      <c r="J3149" s="23" t="str">
        <f aca="false">IF(A3149="","",IF(F3149="Inactivo","No","Sí"))</f>
        <v/>
      </c>
      <c r="K3149" s="23" t="str">
        <f aca="false">IF(A3149="","",IF(AND(I3149="Sí",J3149="Sí"),"Sí","No"))</f>
        <v/>
      </c>
    </row>
    <row r="3150" customFormat="false" ht="15" hidden="false" customHeight="false" outlineLevel="0" collapsed="false">
      <c r="A3150" s="22"/>
      <c r="B3150" s="22"/>
      <c r="C3150" s="26" t="str">
        <f aca="false">IF(A3150="","",IFERROR(buscarx(A3150&amp;B3150,DATA!$E$3:$E$10000&amp;DATA!$B$3:$B$10000,DATA!$M$3:$M$10000),"No encontrado"))</f>
        <v/>
      </c>
      <c r="D3150" s="27" t="str">
        <f aca="false">IF(A3150="","",IFERROR(buscarx(A3150&amp;B3150,DATA!$E$3:$E$10000&amp;DATA!$B$3:$B$10000,DATA!$W$3:$W$10000),"No encontrado"))</f>
        <v/>
      </c>
      <c r="E3150" s="22"/>
      <c r="F3150" s="26" t="str">
        <f aca="false">IF(A3150="","",IFERROR(buscarx(A3150&amp;E3150,DATA!$E$3:$E$10000&amp;DATA!$B$3:$B$10000,DATA!$M$3:$M$10000),"Inactivo"))</f>
        <v/>
      </c>
      <c r="G3150" s="28" t="str">
        <f aca="false">IF(A3150="","",IF(AND(C3150&lt;&gt;"No encontrado",F3150&lt;&gt;"Inactivo"),C3150&amp;" → "&amp;F3150,"Sin transición"))</f>
        <v/>
      </c>
      <c r="H3150" s="26" t="str">
        <f aca="false">IF(A3150="","",IF(D3150="GCIA LINEA SERVICIO DIGITALIDAD Y VENTAS","Chats",IF(OR(D3150="GERENCIA INBOUND LÍNEAS SERVICIO Y VENTA",D3150="GERENCIA INBOUND LINEAS ESPECIALIZADAS"),"Llamadas","Otro")))</f>
        <v/>
      </c>
      <c r="I3150" s="26" t="str">
        <f aca="false">IF(A3150="","",IF(C3150="No encontrado","No","Sí"))</f>
        <v/>
      </c>
      <c r="J3150" s="26" t="str">
        <f aca="false">IF(A3150="","",IF(F3150="Inactivo","No","Sí"))</f>
        <v/>
      </c>
      <c r="K3150" s="26" t="str">
        <f aca="false">IF(A3150="","",IF(AND(I3150="Sí",J3150="Sí"),"Sí","No"))</f>
        <v/>
      </c>
    </row>
    <row r="3151" customFormat="false" ht="15" hidden="false" customHeight="false" outlineLevel="0" collapsed="false">
      <c r="A3151" s="22"/>
      <c r="B3151" s="22"/>
      <c r="C3151" s="23" t="str">
        <f aca="false">IF(A3151="","",IFERROR(buscarx(A3151&amp;B3151,DATA!$E$3:$E$10000&amp;DATA!$B$3:$B$10000,DATA!$M$3:$M$10000),"No encontrado"))</f>
        <v/>
      </c>
      <c r="D3151" s="24" t="str">
        <f aca="false">IF(A3151="","",IFERROR(buscarx(A3151&amp;B3151,DATA!$E$3:$E$10000&amp;DATA!$B$3:$B$10000,DATA!$W$3:$W$10000),"No encontrado"))</f>
        <v/>
      </c>
      <c r="E3151" s="22"/>
      <c r="F3151" s="23" t="str">
        <f aca="false">IF(A3151="","",IFERROR(buscarx(A3151&amp;E3151,DATA!$E$3:$E$10000&amp;DATA!$B$3:$B$10000,DATA!$M$3:$M$10000),"Inactivo"))</f>
        <v/>
      </c>
      <c r="G3151" s="25" t="str">
        <f aca="false">IF(A3151="","",IF(AND(C3151&lt;&gt;"No encontrado",F3151&lt;&gt;"Inactivo"),C3151&amp;" → "&amp;F3151,"Sin transición"))</f>
        <v/>
      </c>
      <c r="H3151" s="23" t="str">
        <f aca="false">IF(A3151="","",IF(D3151="GCIA LINEA SERVICIO DIGITALIDAD Y VENTAS","Chats",IF(OR(D3151="GERENCIA INBOUND LÍNEAS SERVICIO Y VENTA",D3151="GERENCIA INBOUND LINEAS ESPECIALIZADAS"),"Llamadas","Otro")))</f>
        <v/>
      </c>
      <c r="I3151" s="23" t="str">
        <f aca="false">IF(A3151="","",IF(C3151="No encontrado","No","Sí"))</f>
        <v/>
      </c>
      <c r="J3151" s="23" t="str">
        <f aca="false">IF(A3151="","",IF(F3151="Inactivo","No","Sí"))</f>
        <v/>
      </c>
      <c r="K3151" s="23" t="str">
        <f aca="false">IF(A3151="","",IF(AND(I3151="Sí",J3151="Sí"),"Sí","No"))</f>
        <v/>
      </c>
    </row>
    <row r="3152" customFormat="false" ht="15" hidden="false" customHeight="false" outlineLevel="0" collapsed="false">
      <c r="A3152" s="22"/>
      <c r="B3152" s="22"/>
      <c r="C3152" s="26" t="str">
        <f aca="false">IF(A3152="","",IFERROR(buscarx(A3152&amp;B3152,DATA!$E$3:$E$10000&amp;DATA!$B$3:$B$10000,DATA!$M$3:$M$10000),"No encontrado"))</f>
        <v/>
      </c>
      <c r="D3152" s="27" t="str">
        <f aca="false">IF(A3152="","",IFERROR(buscarx(A3152&amp;B3152,DATA!$E$3:$E$10000&amp;DATA!$B$3:$B$10000,DATA!$W$3:$W$10000),"No encontrado"))</f>
        <v/>
      </c>
      <c r="E3152" s="22"/>
      <c r="F3152" s="26" t="str">
        <f aca="false">IF(A3152="","",IFERROR(buscarx(A3152&amp;E3152,DATA!$E$3:$E$10000&amp;DATA!$B$3:$B$10000,DATA!$M$3:$M$10000),"Inactivo"))</f>
        <v/>
      </c>
      <c r="G3152" s="28" t="str">
        <f aca="false">IF(A3152="","",IF(AND(C3152&lt;&gt;"No encontrado",F3152&lt;&gt;"Inactivo"),C3152&amp;" → "&amp;F3152,"Sin transición"))</f>
        <v/>
      </c>
      <c r="H3152" s="26" t="str">
        <f aca="false">IF(A3152="","",IF(D3152="GCIA LINEA SERVICIO DIGITALIDAD Y VENTAS","Chats",IF(OR(D3152="GERENCIA INBOUND LÍNEAS SERVICIO Y VENTA",D3152="GERENCIA INBOUND LINEAS ESPECIALIZADAS"),"Llamadas","Otro")))</f>
        <v/>
      </c>
      <c r="I3152" s="26" t="str">
        <f aca="false">IF(A3152="","",IF(C3152="No encontrado","No","Sí"))</f>
        <v/>
      </c>
      <c r="J3152" s="26" t="str">
        <f aca="false">IF(A3152="","",IF(F3152="Inactivo","No","Sí"))</f>
        <v/>
      </c>
      <c r="K3152" s="26" t="str">
        <f aca="false">IF(A3152="","",IF(AND(I3152="Sí",J3152="Sí"),"Sí","No"))</f>
        <v/>
      </c>
    </row>
    <row r="3153" customFormat="false" ht="15" hidden="false" customHeight="false" outlineLevel="0" collapsed="false">
      <c r="A3153" s="22"/>
      <c r="B3153" s="22"/>
      <c r="C3153" s="23" t="str">
        <f aca="false">IF(A3153="","",IFERROR(buscarx(A3153&amp;B3153,DATA!$E$3:$E$10000&amp;DATA!$B$3:$B$10000,DATA!$M$3:$M$10000),"No encontrado"))</f>
        <v/>
      </c>
      <c r="D3153" s="24" t="str">
        <f aca="false">IF(A3153="","",IFERROR(buscarx(A3153&amp;B3153,DATA!$E$3:$E$10000&amp;DATA!$B$3:$B$10000,DATA!$W$3:$W$10000),"No encontrado"))</f>
        <v/>
      </c>
      <c r="E3153" s="22"/>
      <c r="F3153" s="23" t="str">
        <f aca="false">IF(A3153="","",IFERROR(buscarx(A3153&amp;E3153,DATA!$E$3:$E$10000&amp;DATA!$B$3:$B$10000,DATA!$M$3:$M$10000),"Inactivo"))</f>
        <v/>
      </c>
      <c r="G3153" s="25" t="str">
        <f aca="false">IF(A3153="","",IF(AND(C3153&lt;&gt;"No encontrado",F3153&lt;&gt;"Inactivo"),C3153&amp;" → "&amp;F3153,"Sin transición"))</f>
        <v/>
      </c>
      <c r="H3153" s="23" t="str">
        <f aca="false">IF(A3153="","",IF(D3153="GCIA LINEA SERVICIO DIGITALIDAD Y VENTAS","Chats",IF(OR(D3153="GERENCIA INBOUND LÍNEAS SERVICIO Y VENTA",D3153="GERENCIA INBOUND LINEAS ESPECIALIZADAS"),"Llamadas","Otro")))</f>
        <v/>
      </c>
      <c r="I3153" s="23" t="str">
        <f aca="false">IF(A3153="","",IF(C3153="No encontrado","No","Sí"))</f>
        <v/>
      </c>
      <c r="J3153" s="23" t="str">
        <f aca="false">IF(A3153="","",IF(F3153="Inactivo","No","Sí"))</f>
        <v/>
      </c>
      <c r="K3153" s="23" t="str">
        <f aca="false">IF(A3153="","",IF(AND(I3153="Sí",J3153="Sí"),"Sí","No"))</f>
        <v/>
      </c>
    </row>
    <row r="3154" customFormat="false" ht="15" hidden="false" customHeight="false" outlineLevel="0" collapsed="false">
      <c r="A3154" s="22"/>
      <c r="B3154" s="22"/>
      <c r="C3154" s="26" t="str">
        <f aca="false">IF(A3154="","",IFERROR(buscarx(A3154&amp;B3154,DATA!$E$3:$E$10000&amp;DATA!$B$3:$B$10000,DATA!$M$3:$M$10000),"No encontrado"))</f>
        <v/>
      </c>
      <c r="D3154" s="27" t="str">
        <f aca="false">IF(A3154="","",IFERROR(buscarx(A3154&amp;B3154,DATA!$E$3:$E$10000&amp;DATA!$B$3:$B$10000,DATA!$W$3:$W$10000),"No encontrado"))</f>
        <v/>
      </c>
      <c r="E3154" s="22"/>
      <c r="F3154" s="26" t="str">
        <f aca="false">IF(A3154="","",IFERROR(buscarx(A3154&amp;E3154,DATA!$E$3:$E$10000&amp;DATA!$B$3:$B$10000,DATA!$M$3:$M$10000),"Inactivo"))</f>
        <v/>
      </c>
      <c r="G3154" s="28" t="str">
        <f aca="false">IF(A3154="","",IF(AND(C3154&lt;&gt;"No encontrado",F3154&lt;&gt;"Inactivo"),C3154&amp;" → "&amp;F3154,"Sin transición"))</f>
        <v/>
      </c>
      <c r="H3154" s="26" t="str">
        <f aca="false">IF(A3154="","",IF(D3154="GCIA LINEA SERVICIO DIGITALIDAD Y VENTAS","Chats",IF(OR(D3154="GERENCIA INBOUND LÍNEAS SERVICIO Y VENTA",D3154="GERENCIA INBOUND LINEAS ESPECIALIZADAS"),"Llamadas","Otro")))</f>
        <v/>
      </c>
      <c r="I3154" s="26" t="str">
        <f aca="false">IF(A3154="","",IF(C3154="No encontrado","No","Sí"))</f>
        <v/>
      </c>
      <c r="J3154" s="26" t="str">
        <f aca="false">IF(A3154="","",IF(F3154="Inactivo","No","Sí"))</f>
        <v/>
      </c>
      <c r="K3154" s="26" t="str">
        <f aca="false">IF(A3154="","",IF(AND(I3154="Sí",J3154="Sí"),"Sí","No"))</f>
        <v/>
      </c>
    </row>
    <row r="3155" customFormat="false" ht="15" hidden="false" customHeight="false" outlineLevel="0" collapsed="false">
      <c r="A3155" s="22"/>
      <c r="B3155" s="22"/>
      <c r="C3155" s="23" t="str">
        <f aca="false">IF(A3155="","",IFERROR(buscarx(A3155&amp;B3155,DATA!$E$3:$E$10000&amp;DATA!$B$3:$B$10000,DATA!$M$3:$M$10000),"No encontrado"))</f>
        <v/>
      </c>
      <c r="D3155" s="24" t="str">
        <f aca="false">IF(A3155="","",IFERROR(buscarx(A3155&amp;B3155,DATA!$E$3:$E$10000&amp;DATA!$B$3:$B$10000,DATA!$W$3:$W$10000),"No encontrado"))</f>
        <v/>
      </c>
      <c r="E3155" s="22"/>
      <c r="F3155" s="23" t="str">
        <f aca="false">IF(A3155="","",IFERROR(buscarx(A3155&amp;E3155,DATA!$E$3:$E$10000&amp;DATA!$B$3:$B$10000,DATA!$M$3:$M$10000),"Inactivo"))</f>
        <v/>
      </c>
      <c r="G3155" s="25" t="str">
        <f aca="false">IF(A3155="","",IF(AND(C3155&lt;&gt;"No encontrado",F3155&lt;&gt;"Inactivo"),C3155&amp;" → "&amp;F3155,"Sin transición"))</f>
        <v/>
      </c>
      <c r="H3155" s="23" t="str">
        <f aca="false">IF(A3155="","",IF(D3155="GCIA LINEA SERVICIO DIGITALIDAD Y VENTAS","Chats",IF(OR(D3155="GERENCIA INBOUND LÍNEAS SERVICIO Y VENTA",D3155="GERENCIA INBOUND LINEAS ESPECIALIZADAS"),"Llamadas","Otro")))</f>
        <v/>
      </c>
      <c r="I3155" s="23" t="str">
        <f aca="false">IF(A3155="","",IF(C3155="No encontrado","No","Sí"))</f>
        <v/>
      </c>
      <c r="J3155" s="23" t="str">
        <f aca="false">IF(A3155="","",IF(F3155="Inactivo","No","Sí"))</f>
        <v/>
      </c>
      <c r="K3155" s="23" t="str">
        <f aca="false">IF(A3155="","",IF(AND(I3155="Sí",J3155="Sí"),"Sí","No"))</f>
        <v/>
      </c>
    </row>
    <row r="3156" customFormat="false" ht="15" hidden="false" customHeight="false" outlineLevel="0" collapsed="false">
      <c r="A3156" s="22"/>
      <c r="B3156" s="22"/>
      <c r="C3156" s="26" t="str">
        <f aca="false">IF(A3156="","",IFERROR(buscarx(A3156&amp;B3156,DATA!$E$3:$E$10000&amp;DATA!$B$3:$B$10000,DATA!$M$3:$M$10000),"No encontrado"))</f>
        <v/>
      </c>
      <c r="D3156" s="27" t="str">
        <f aca="false">IF(A3156="","",IFERROR(buscarx(A3156&amp;B3156,DATA!$E$3:$E$10000&amp;DATA!$B$3:$B$10000,DATA!$W$3:$W$10000),"No encontrado"))</f>
        <v/>
      </c>
      <c r="E3156" s="22"/>
      <c r="F3156" s="26" t="str">
        <f aca="false">IF(A3156="","",IFERROR(buscarx(A3156&amp;E3156,DATA!$E$3:$E$10000&amp;DATA!$B$3:$B$10000,DATA!$M$3:$M$10000),"Inactivo"))</f>
        <v/>
      </c>
      <c r="G3156" s="28" t="str">
        <f aca="false">IF(A3156="","",IF(AND(C3156&lt;&gt;"No encontrado",F3156&lt;&gt;"Inactivo"),C3156&amp;" → "&amp;F3156,"Sin transición"))</f>
        <v/>
      </c>
      <c r="H3156" s="26" t="str">
        <f aca="false">IF(A3156="","",IF(D3156="GCIA LINEA SERVICIO DIGITALIDAD Y VENTAS","Chats",IF(OR(D3156="GERENCIA INBOUND LÍNEAS SERVICIO Y VENTA",D3156="GERENCIA INBOUND LINEAS ESPECIALIZADAS"),"Llamadas","Otro")))</f>
        <v/>
      </c>
      <c r="I3156" s="26" t="str">
        <f aca="false">IF(A3156="","",IF(C3156="No encontrado","No","Sí"))</f>
        <v/>
      </c>
      <c r="J3156" s="26" t="str">
        <f aca="false">IF(A3156="","",IF(F3156="Inactivo","No","Sí"))</f>
        <v/>
      </c>
      <c r="K3156" s="26" t="str">
        <f aca="false">IF(A3156="","",IF(AND(I3156="Sí",J3156="Sí"),"Sí","No"))</f>
        <v/>
      </c>
    </row>
    <row r="3157" customFormat="false" ht="15" hidden="false" customHeight="false" outlineLevel="0" collapsed="false">
      <c r="A3157" s="22"/>
      <c r="B3157" s="22"/>
      <c r="C3157" s="23" t="str">
        <f aca="false">IF(A3157="","",IFERROR(buscarx(A3157&amp;B3157,DATA!$E$3:$E$10000&amp;DATA!$B$3:$B$10000,DATA!$M$3:$M$10000),"No encontrado"))</f>
        <v/>
      </c>
      <c r="D3157" s="24" t="str">
        <f aca="false">IF(A3157="","",IFERROR(buscarx(A3157&amp;B3157,DATA!$E$3:$E$10000&amp;DATA!$B$3:$B$10000,DATA!$W$3:$W$10000),"No encontrado"))</f>
        <v/>
      </c>
      <c r="E3157" s="22"/>
      <c r="F3157" s="23" t="str">
        <f aca="false">IF(A3157="","",IFERROR(buscarx(A3157&amp;E3157,DATA!$E$3:$E$10000&amp;DATA!$B$3:$B$10000,DATA!$M$3:$M$10000),"Inactivo"))</f>
        <v/>
      </c>
      <c r="G3157" s="25" t="str">
        <f aca="false">IF(A3157="","",IF(AND(C3157&lt;&gt;"No encontrado",F3157&lt;&gt;"Inactivo"),C3157&amp;" → "&amp;F3157,"Sin transición"))</f>
        <v/>
      </c>
      <c r="H3157" s="23" t="str">
        <f aca="false">IF(A3157="","",IF(D3157="GCIA LINEA SERVICIO DIGITALIDAD Y VENTAS","Chats",IF(OR(D3157="GERENCIA INBOUND LÍNEAS SERVICIO Y VENTA",D3157="GERENCIA INBOUND LINEAS ESPECIALIZADAS"),"Llamadas","Otro")))</f>
        <v/>
      </c>
      <c r="I3157" s="23" t="str">
        <f aca="false">IF(A3157="","",IF(C3157="No encontrado","No","Sí"))</f>
        <v/>
      </c>
      <c r="J3157" s="23" t="str">
        <f aca="false">IF(A3157="","",IF(F3157="Inactivo","No","Sí"))</f>
        <v/>
      </c>
      <c r="K3157" s="23" t="str">
        <f aca="false">IF(A3157="","",IF(AND(I3157="Sí",J3157="Sí"),"Sí","No"))</f>
        <v/>
      </c>
    </row>
    <row r="3158" customFormat="false" ht="15" hidden="false" customHeight="false" outlineLevel="0" collapsed="false">
      <c r="A3158" s="22"/>
      <c r="B3158" s="22"/>
      <c r="C3158" s="26" t="str">
        <f aca="false">IF(A3158="","",IFERROR(buscarx(A3158&amp;B3158,DATA!$E$3:$E$10000&amp;DATA!$B$3:$B$10000,DATA!$M$3:$M$10000),"No encontrado"))</f>
        <v/>
      </c>
      <c r="D3158" s="27" t="str">
        <f aca="false">IF(A3158="","",IFERROR(buscarx(A3158&amp;B3158,DATA!$E$3:$E$10000&amp;DATA!$B$3:$B$10000,DATA!$W$3:$W$10000),"No encontrado"))</f>
        <v/>
      </c>
      <c r="E3158" s="22"/>
      <c r="F3158" s="26" t="str">
        <f aca="false">IF(A3158="","",IFERROR(buscarx(A3158&amp;E3158,DATA!$E$3:$E$10000&amp;DATA!$B$3:$B$10000,DATA!$M$3:$M$10000),"Inactivo"))</f>
        <v/>
      </c>
      <c r="G3158" s="28" t="str">
        <f aca="false">IF(A3158="","",IF(AND(C3158&lt;&gt;"No encontrado",F3158&lt;&gt;"Inactivo"),C3158&amp;" → "&amp;F3158,"Sin transición"))</f>
        <v/>
      </c>
      <c r="H3158" s="26" t="str">
        <f aca="false">IF(A3158="","",IF(D3158="GCIA LINEA SERVICIO DIGITALIDAD Y VENTAS","Chats",IF(OR(D3158="GERENCIA INBOUND LÍNEAS SERVICIO Y VENTA",D3158="GERENCIA INBOUND LINEAS ESPECIALIZADAS"),"Llamadas","Otro")))</f>
        <v/>
      </c>
      <c r="I3158" s="26" t="str">
        <f aca="false">IF(A3158="","",IF(C3158="No encontrado","No","Sí"))</f>
        <v/>
      </c>
      <c r="J3158" s="26" t="str">
        <f aca="false">IF(A3158="","",IF(F3158="Inactivo","No","Sí"))</f>
        <v/>
      </c>
      <c r="K3158" s="26" t="str">
        <f aca="false">IF(A3158="","",IF(AND(I3158="Sí",J3158="Sí"),"Sí","No"))</f>
        <v/>
      </c>
    </row>
    <row r="3159" customFormat="false" ht="15" hidden="false" customHeight="false" outlineLevel="0" collapsed="false">
      <c r="A3159" s="22"/>
      <c r="B3159" s="22"/>
      <c r="C3159" s="23" t="str">
        <f aca="false">IF(A3159="","",IFERROR(buscarx(A3159&amp;B3159,DATA!$E$3:$E$10000&amp;DATA!$B$3:$B$10000,DATA!$M$3:$M$10000),"No encontrado"))</f>
        <v/>
      </c>
      <c r="D3159" s="24" t="str">
        <f aca="false">IF(A3159="","",IFERROR(buscarx(A3159&amp;B3159,DATA!$E$3:$E$10000&amp;DATA!$B$3:$B$10000,DATA!$W$3:$W$10000),"No encontrado"))</f>
        <v/>
      </c>
      <c r="E3159" s="22"/>
      <c r="F3159" s="23" t="str">
        <f aca="false">IF(A3159="","",IFERROR(buscarx(A3159&amp;E3159,DATA!$E$3:$E$10000&amp;DATA!$B$3:$B$10000,DATA!$M$3:$M$10000),"Inactivo"))</f>
        <v/>
      </c>
      <c r="G3159" s="25" t="str">
        <f aca="false">IF(A3159="","",IF(AND(C3159&lt;&gt;"No encontrado",F3159&lt;&gt;"Inactivo"),C3159&amp;" → "&amp;F3159,"Sin transición"))</f>
        <v/>
      </c>
      <c r="H3159" s="23" t="str">
        <f aca="false">IF(A3159="","",IF(D3159="GCIA LINEA SERVICIO DIGITALIDAD Y VENTAS","Chats",IF(OR(D3159="GERENCIA INBOUND LÍNEAS SERVICIO Y VENTA",D3159="GERENCIA INBOUND LINEAS ESPECIALIZADAS"),"Llamadas","Otro")))</f>
        <v/>
      </c>
      <c r="I3159" s="23" t="str">
        <f aca="false">IF(A3159="","",IF(C3159="No encontrado","No","Sí"))</f>
        <v/>
      </c>
      <c r="J3159" s="23" t="str">
        <f aca="false">IF(A3159="","",IF(F3159="Inactivo","No","Sí"))</f>
        <v/>
      </c>
      <c r="K3159" s="23" t="str">
        <f aca="false">IF(A3159="","",IF(AND(I3159="Sí",J3159="Sí"),"Sí","No"))</f>
        <v/>
      </c>
    </row>
    <row r="3160" customFormat="false" ht="15" hidden="false" customHeight="false" outlineLevel="0" collapsed="false">
      <c r="A3160" s="22"/>
      <c r="B3160" s="22"/>
      <c r="C3160" s="26" t="str">
        <f aca="false">IF(A3160="","",IFERROR(buscarx(A3160&amp;B3160,DATA!$E$3:$E$10000&amp;DATA!$B$3:$B$10000,DATA!$M$3:$M$10000),"No encontrado"))</f>
        <v/>
      </c>
      <c r="D3160" s="27" t="str">
        <f aca="false">IF(A3160="","",IFERROR(buscarx(A3160&amp;B3160,DATA!$E$3:$E$10000&amp;DATA!$B$3:$B$10000,DATA!$W$3:$W$10000),"No encontrado"))</f>
        <v/>
      </c>
      <c r="E3160" s="22"/>
      <c r="F3160" s="26" t="str">
        <f aca="false">IF(A3160="","",IFERROR(buscarx(A3160&amp;E3160,DATA!$E$3:$E$10000&amp;DATA!$B$3:$B$10000,DATA!$M$3:$M$10000),"Inactivo"))</f>
        <v/>
      </c>
      <c r="G3160" s="28" t="str">
        <f aca="false">IF(A3160="","",IF(AND(C3160&lt;&gt;"No encontrado",F3160&lt;&gt;"Inactivo"),C3160&amp;" → "&amp;F3160,"Sin transición"))</f>
        <v/>
      </c>
      <c r="H3160" s="26" t="str">
        <f aca="false">IF(A3160="","",IF(D3160="GCIA LINEA SERVICIO DIGITALIDAD Y VENTAS","Chats",IF(OR(D3160="GERENCIA INBOUND LÍNEAS SERVICIO Y VENTA",D3160="GERENCIA INBOUND LINEAS ESPECIALIZADAS"),"Llamadas","Otro")))</f>
        <v/>
      </c>
      <c r="I3160" s="26" t="str">
        <f aca="false">IF(A3160="","",IF(C3160="No encontrado","No","Sí"))</f>
        <v/>
      </c>
      <c r="J3160" s="26" t="str">
        <f aca="false">IF(A3160="","",IF(F3160="Inactivo","No","Sí"))</f>
        <v/>
      </c>
      <c r="K3160" s="26" t="str">
        <f aca="false">IF(A3160="","",IF(AND(I3160="Sí",J3160="Sí"),"Sí","No"))</f>
        <v/>
      </c>
    </row>
    <row r="3161" customFormat="false" ht="15" hidden="false" customHeight="false" outlineLevel="0" collapsed="false">
      <c r="A3161" s="22"/>
      <c r="B3161" s="22"/>
      <c r="C3161" s="23" t="str">
        <f aca="false">IF(A3161="","",IFERROR(buscarx(A3161&amp;B3161,DATA!$E$3:$E$10000&amp;DATA!$B$3:$B$10000,DATA!$M$3:$M$10000),"No encontrado"))</f>
        <v/>
      </c>
      <c r="D3161" s="24" t="str">
        <f aca="false">IF(A3161="","",IFERROR(buscarx(A3161&amp;B3161,DATA!$E$3:$E$10000&amp;DATA!$B$3:$B$10000,DATA!$W$3:$W$10000),"No encontrado"))</f>
        <v/>
      </c>
      <c r="E3161" s="22"/>
      <c r="F3161" s="23" t="str">
        <f aca="false">IF(A3161="","",IFERROR(buscarx(A3161&amp;E3161,DATA!$E$3:$E$10000&amp;DATA!$B$3:$B$10000,DATA!$M$3:$M$10000),"Inactivo"))</f>
        <v/>
      </c>
      <c r="G3161" s="25" t="str">
        <f aca="false">IF(A3161="","",IF(AND(C3161&lt;&gt;"No encontrado",F3161&lt;&gt;"Inactivo"),C3161&amp;" → "&amp;F3161,"Sin transición"))</f>
        <v/>
      </c>
      <c r="H3161" s="23" t="str">
        <f aca="false">IF(A3161="","",IF(D3161="GCIA LINEA SERVICIO DIGITALIDAD Y VENTAS","Chats",IF(OR(D3161="GERENCIA INBOUND LÍNEAS SERVICIO Y VENTA",D3161="GERENCIA INBOUND LINEAS ESPECIALIZADAS"),"Llamadas","Otro")))</f>
        <v/>
      </c>
      <c r="I3161" s="23" t="str">
        <f aca="false">IF(A3161="","",IF(C3161="No encontrado","No","Sí"))</f>
        <v/>
      </c>
      <c r="J3161" s="23" t="str">
        <f aca="false">IF(A3161="","",IF(F3161="Inactivo","No","Sí"))</f>
        <v/>
      </c>
      <c r="K3161" s="23" t="str">
        <f aca="false">IF(A3161="","",IF(AND(I3161="Sí",J3161="Sí"),"Sí","No"))</f>
        <v/>
      </c>
    </row>
    <row r="3162" customFormat="false" ht="15" hidden="false" customHeight="false" outlineLevel="0" collapsed="false">
      <c r="A3162" s="22"/>
      <c r="B3162" s="22"/>
      <c r="C3162" s="26" t="str">
        <f aca="false">IF(A3162="","",IFERROR(buscarx(A3162&amp;B3162,DATA!$E$3:$E$10000&amp;DATA!$B$3:$B$10000,DATA!$M$3:$M$10000),"No encontrado"))</f>
        <v/>
      </c>
      <c r="D3162" s="27" t="str">
        <f aca="false">IF(A3162="","",IFERROR(buscarx(A3162&amp;B3162,DATA!$E$3:$E$10000&amp;DATA!$B$3:$B$10000,DATA!$W$3:$W$10000),"No encontrado"))</f>
        <v/>
      </c>
      <c r="E3162" s="22"/>
      <c r="F3162" s="26" t="str">
        <f aca="false">IF(A3162="","",IFERROR(buscarx(A3162&amp;E3162,DATA!$E$3:$E$10000&amp;DATA!$B$3:$B$10000,DATA!$M$3:$M$10000),"Inactivo"))</f>
        <v/>
      </c>
      <c r="G3162" s="28" t="str">
        <f aca="false">IF(A3162="","",IF(AND(C3162&lt;&gt;"No encontrado",F3162&lt;&gt;"Inactivo"),C3162&amp;" → "&amp;F3162,"Sin transición"))</f>
        <v/>
      </c>
      <c r="H3162" s="26" t="str">
        <f aca="false">IF(A3162="","",IF(D3162="GCIA LINEA SERVICIO DIGITALIDAD Y VENTAS","Chats",IF(OR(D3162="GERENCIA INBOUND LÍNEAS SERVICIO Y VENTA",D3162="GERENCIA INBOUND LINEAS ESPECIALIZADAS"),"Llamadas","Otro")))</f>
        <v/>
      </c>
      <c r="I3162" s="26" t="str">
        <f aca="false">IF(A3162="","",IF(C3162="No encontrado","No","Sí"))</f>
        <v/>
      </c>
      <c r="J3162" s="26" t="str">
        <f aca="false">IF(A3162="","",IF(F3162="Inactivo","No","Sí"))</f>
        <v/>
      </c>
      <c r="K3162" s="26" t="str">
        <f aca="false">IF(A3162="","",IF(AND(I3162="Sí",J3162="Sí"),"Sí","No"))</f>
        <v/>
      </c>
    </row>
    <row r="3163" customFormat="false" ht="15" hidden="false" customHeight="false" outlineLevel="0" collapsed="false">
      <c r="A3163" s="22"/>
      <c r="B3163" s="22"/>
      <c r="C3163" s="23" t="str">
        <f aca="false">IF(A3163="","",IFERROR(buscarx(A3163&amp;B3163,DATA!$E$3:$E$10000&amp;DATA!$B$3:$B$10000,DATA!$M$3:$M$10000),"No encontrado"))</f>
        <v/>
      </c>
      <c r="D3163" s="24" t="str">
        <f aca="false">IF(A3163="","",IFERROR(buscarx(A3163&amp;B3163,DATA!$E$3:$E$10000&amp;DATA!$B$3:$B$10000,DATA!$W$3:$W$10000),"No encontrado"))</f>
        <v/>
      </c>
      <c r="E3163" s="22"/>
      <c r="F3163" s="23" t="str">
        <f aca="false">IF(A3163="","",IFERROR(buscarx(A3163&amp;E3163,DATA!$E$3:$E$10000&amp;DATA!$B$3:$B$10000,DATA!$M$3:$M$10000),"Inactivo"))</f>
        <v/>
      </c>
      <c r="G3163" s="25" t="str">
        <f aca="false">IF(A3163="","",IF(AND(C3163&lt;&gt;"No encontrado",F3163&lt;&gt;"Inactivo"),C3163&amp;" → "&amp;F3163,"Sin transición"))</f>
        <v/>
      </c>
      <c r="H3163" s="23" t="str">
        <f aca="false">IF(A3163="","",IF(D3163="GCIA LINEA SERVICIO DIGITALIDAD Y VENTAS","Chats",IF(OR(D3163="GERENCIA INBOUND LÍNEAS SERVICIO Y VENTA",D3163="GERENCIA INBOUND LINEAS ESPECIALIZADAS"),"Llamadas","Otro")))</f>
        <v/>
      </c>
      <c r="I3163" s="23" t="str">
        <f aca="false">IF(A3163="","",IF(C3163="No encontrado","No","Sí"))</f>
        <v/>
      </c>
      <c r="J3163" s="23" t="str">
        <f aca="false">IF(A3163="","",IF(F3163="Inactivo","No","Sí"))</f>
        <v/>
      </c>
      <c r="K3163" s="23" t="str">
        <f aca="false">IF(A3163="","",IF(AND(I3163="Sí",J3163="Sí"),"Sí","No"))</f>
        <v/>
      </c>
    </row>
    <row r="3164" customFormat="false" ht="15" hidden="false" customHeight="false" outlineLevel="0" collapsed="false">
      <c r="A3164" s="22"/>
      <c r="B3164" s="22"/>
      <c r="C3164" s="26" t="str">
        <f aca="false">IF(A3164="","",IFERROR(buscarx(A3164&amp;B3164,DATA!$E$3:$E$10000&amp;DATA!$B$3:$B$10000,DATA!$M$3:$M$10000),"No encontrado"))</f>
        <v/>
      </c>
      <c r="D3164" s="27" t="str">
        <f aca="false">IF(A3164="","",IFERROR(buscarx(A3164&amp;B3164,DATA!$E$3:$E$10000&amp;DATA!$B$3:$B$10000,DATA!$W$3:$W$10000),"No encontrado"))</f>
        <v/>
      </c>
      <c r="E3164" s="22"/>
      <c r="F3164" s="26" t="str">
        <f aca="false">IF(A3164="","",IFERROR(buscarx(A3164&amp;E3164,DATA!$E$3:$E$10000&amp;DATA!$B$3:$B$10000,DATA!$M$3:$M$10000),"Inactivo"))</f>
        <v/>
      </c>
      <c r="G3164" s="28" t="str">
        <f aca="false">IF(A3164="","",IF(AND(C3164&lt;&gt;"No encontrado",F3164&lt;&gt;"Inactivo"),C3164&amp;" → "&amp;F3164,"Sin transición"))</f>
        <v/>
      </c>
      <c r="H3164" s="26" t="str">
        <f aca="false">IF(A3164="","",IF(D3164="GCIA LINEA SERVICIO DIGITALIDAD Y VENTAS","Chats",IF(OR(D3164="GERENCIA INBOUND LÍNEAS SERVICIO Y VENTA",D3164="GERENCIA INBOUND LINEAS ESPECIALIZADAS"),"Llamadas","Otro")))</f>
        <v/>
      </c>
      <c r="I3164" s="26" t="str">
        <f aca="false">IF(A3164="","",IF(C3164="No encontrado","No","Sí"))</f>
        <v/>
      </c>
      <c r="J3164" s="26" t="str">
        <f aca="false">IF(A3164="","",IF(F3164="Inactivo","No","Sí"))</f>
        <v/>
      </c>
      <c r="K3164" s="26" t="str">
        <f aca="false">IF(A3164="","",IF(AND(I3164="Sí",J3164="Sí"),"Sí","No"))</f>
        <v/>
      </c>
    </row>
    <row r="3165" customFormat="false" ht="15" hidden="false" customHeight="false" outlineLevel="0" collapsed="false">
      <c r="A3165" s="22"/>
      <c r="B3165" s="22"/>
      <c r="C3165" s="23" t="str">
        <f aca="false">IF(A3165="","",IFERROR(buscarx(A3165&amp;B3165,DATA!$E$3:$E$10000&amp;DATA!$B$3:$B$10000,DATA!$M$3:$M$10000),"No encontrado"))</f>
        <v/>
      </c>
      <c r="D3165" s="24" t="str">
        <f aca="false">IF(A3165="","",IFERROR(buscarx(A3165&amp;B3165,DATA!$E$3:$E$10000&amp;DATA!$B$3:$B$10000,DATA!$W$3:$W$10000),"No encontrado"))</f>
        <v/>
      </c>
      <c r="E3165" s="22"/>
      <c r="F3165" s="23" t="str">
        <f aca="false">IF(A3165="","",IFERROR(buscarx(A3165&amp;E3165,DATA!$E$3:$E$10000&amp;DATA!$B$3:$B$10000,DATA!$M$3:$M$10000),"Inactivo"))</f>
        <v/>
      </c>
      <c r="G3165" s="25" t="str">
        <f aca="false">IF(A3165="","",IF(AND(C3165&lt;&gt;"No encontrado",F3165&lt;&gt;"Inactivo"),C3165&amp;" → "&amp;F3165,"Sin transición"))</f>
        <v/>
      </c>
      <c r="H3165" s="23" t="str">
        <f aca="false">IF(A3165="","",IF(D3165="GCIA LINEA SERVICIO DIGITALIDAD Y VENTAS","Chats",IF(OR(D3165="GERENCIA INBOUND LÍNEAS SERVICIO Y VENTA",D3165="GERENCIA INBOUND LINEAS ESPECIALIZADAS"),"Llamadas","Otro")))</f>
        <v/>
      </c>
      <c r="I3165" s="23" t="str">
        <f aca="false">IF(A3165="","",IF(C3165="No encontrado","No","Sí"))</f>
        <v/>
      </c>
      <c r="J3165" s="23" t="str">
        <f aca="false">IF(A3165="","",IF(F3165="Inactivo","No","Sí"))</f>
        <v/>
      </c>
      <c r="K3165" s="23" t="str">
        <f aca="false">IF(A3165="","",IF(AND(I3165="Sí",J3165="Sí"),"Sí","No"))</f>
        <v/>
      </c>
    </row>
    <row r="3166" customFormat="false" ht="15" hidden="false" customHeight="false" outlineLevel="0" collapsed="false">
      <c r="A3166" s="22"/>
      <c r="B3166" s="22"/>
      <c r="C3166" s="26" t="str">
        <f aca="false">IF(A3166="","",IFERROR(buscarx(A3166&amp;B3166,DATA!$E$3:$E$10000&amp;DATA!$B$3:$B$10000,DATA!$M$3:$M$10000),"No encontrado"))</f>
        <v/>
      </c>
      <c r="D3166" s="27" t="str">
        <f aca="false">IF(A3166="","",IFERROR(buscarx(A3166&amp;B3166,DATA!$E$3:$E$10000&amp;DATA!$B$3:$B$10000,DATA!$W$3:$W$10000),"No encontrado"))</f>
        <v/>
      </c>
      <c r="E3166" s="22"/>
      <c r="F3166" s="26" t="str">
        <f aca="false">IF(A3166="","",IFERROR(buscarx(A3166&amp;E3166,DATA!$E$3:$E$10000&amp;DATA!$B$3:$B$10000,DATA!$M$3:$M$10000),"Inactivo"))</f>
        <v/>
      </c>
      <c r="G3166" s="28" t="str">
        <f aca="false">IF(A3166="","",IF(AND(C3166&lt;&gt;"No encontrado",F3166&lt;&gt;"Inactivo"),C3166&amp;" → "&amp;F3166,"Sin transición"))</f>
        <v/>
      </c>
      <c r="H3166" s="26" t="str">
        <f aca="false">IF(A3166="","",IF(D3166="GCIA LINEA SERVICIO DIGITALIDAD Y VENTAS","Chats",IF(OR(D3166="GERENCIA INBOUND LÍNEAS SERVICIO Y VENTA",D3166="GERENCIA INBOUND LINEAS ESPECIALIZADAS"),"Llamadas","Otro")))</f>
        <v/>
      </c>
      <c r="I3166" s="26" t="str">
        <f aca="false">IF(A3166="","",IF(C3166="No encontrado","No","Sí"))</f>
        <v/>
      </c>
      <c r="J3166" s="26" t="str">
        <f aca="false">IF(A3166="","",IF(F3166="Inactivo","No","Sí"))</f>
        <v/>
      </c>
      <c r="K3166" s="26" t="str">
        <f aca="false">IF(A3166="","",IF(AND(I3166="Sí",J3166="Sí"),"Sí","No"))</f>
        <v/>
      </c>
    </row>
    <row r="3167" customFormat="false" ht="15" hidden="false" customHeight="false" outlineLevel="0" collapsed="false">
      <c r="A3167" s="22"/>
      <c r="B3167" s="22"/>
      <c r="C3167" s="23" t="str">
        <f aca="false">IF(A3167="","",IFERROR(buscarx(A3167&amp;B3167,DATA!$E$3:$E$10000&amp;DATA!$B$3:$B$10000,DATA!$M$3:$M$10000),"No encontrado"))</f>
        <v/>
      </c>
      <c r="D3167" s="24" t="str">
        <f aca="false">IF(A3167="","",IFERROR(buscarx(A3167&amp;B3167,DATA!$E$3:$E$10000&amp;DATA!$B$3:$B$10000,DATA!$W$3:$W$10000),"No encontrado"))</f>
        <v/>
      </c>
      <c r="E3167" s="22"/>
      <c r="F3167" s="23" t="str">
        <f aca="false">IF(A3167="","",IFERROR(buscarx(A3167&amp;E3167,DATA!$E$3:$E$10000&amp;DATA!$B$3:$B$10000,DATA!$M$3:$M$10000),"Inactivo"))</f>
        <v/>
      </c>
      <c r="G3167" s="25" t="str">
        <f aca="false">IF(A3167="","",IF(AND(C3167&lt;&gt;"No encontrado",F3167&lt;&gt;"Inactivo"),C3167&amp;" → "&amp;F3167,"Sin transición"))</f>
        <v/>
      </c>
      <c r="H3167" s="23" t="str">
        <f aca="false">IF(A3167="","",IF(D3167="GCIA LINEA SERVICIO DIGITALIDAD Y VENTAS","Chats",IF(OR(D3167="GERENCIA INBOUND LÍNEAS SERVICIO Y VENTA",D3167="GERENCIA INBOUND LINEAS ESPECIALIZADAS"),"Llamadas","Otro")))</f>
        <v/>
      </c>
      <c r="I3167" s="23" t="str">
        <f aca="false">IF(A3167="","",IF(C3167="No encontrado","No","Sí"))</f>
        <v/>
      </c>
      <c r="J3167" s="23" t="str">
        <f aca="false">IF(A3167="","",IF(F3167="Inactivo","No","Sí"))</f>
        <v/>
      </c>
      <c r="K3167" s="23" t="str">
        <f aca="false">IF(A3167="","",IF(AND(I3167="Sí",J3167="Sí"),"Sí","No"))</f>
        <v/>
      </c>
    </row>
    <row r="3168" customFormat="false" ht="15" hidden="false" customHeight="false" outlineLevel="0" collapsed="false">
      <c r="A3168" s="22"/>
      <c r="B3168" s="22"/>
      <c r="C3168" s="26" t="str">
        <f aca="false">IF(A3168="","",IFERROR(buscarx(A3168&amp;B3168,DATA!$E$3:$E$10000&amp;DATA!$B$3:$B$10000,DATA!$M$3:$M$10000),"No encontrado"))</f>
        <v/>
      </c>
      <c r="D3168" s="27" t="str">
        <f aca="false">IF(A3168="","",IFERROR(buscarx(A3168&amp;B3168,DATA!$E$3:$E$10000&amp;DATA!$B$3:$B$10000,DATA!$W$3:$W$10000),"No encontrado"))</f>
        <v/>
      </c>
      <c r="E3168" s="22"/>
      <c r="F3168" s="26" t="str">
        <f aca="false">IF(A3168="","",IFERROR(buscarx(A3168&amp;E3168,DATA!$E$3:$E$10000&amp;DATA!$B$3:$B$10000,DATA!$M$3:$M$10000),"Inactivo"))</f>
        <v/>
      </c>
      <c r="G3168" s="28" t="str">
        <f aca="false">IF(A3168="","",IF(AND(C3168&lt;&gt;"No encontrado",F3168&lt;&gt;"Inactivo"),C3168&amp;" → "&amp;F3168,"Sin transición"))</f>
        <v/>
      </c>
      <c r="H3168" s="26" t="str">
        <f aca="false">IF(A3168="","",IF(D3168="GCIA LINEA SERVICIO DIGITALIDAD Y VENTAS","Chats",IF(OR(D3168="GERENCIA INBOUND LÍNEAS SERVICIO Y VENTA",D3168="GERENCIA INBOUND LINEAS ESPECIALIZADAS"),"Llamadas","Otro")))</f>
        <v/>
      </c>
      <c r="I3168" s="26" t="str">
        <f aca="false">IF(A3168="","",IF(C3168="No encontrado","No","Sí"))</f>
        <v/>
      </c>
      <c r="J3168" s="26" t="str">
        <f aca="false">IF(A3168="","",IF(F3168="Inactivo","No","Sí"))</f>
        <v/>
      </c>
      <c r="K3168" s="26" t="str">
        <f aca="false">IF(A3168="","",IF(AND(I3168="Sí",J3168="Sí"),"Sí","No"))</f>
        <v/>
      </c>
    </row>
    <row r="3169" customFormat="false" ht="15" hidden="false" customHeight="false" outlineLevel="0" collapsed="false">
      <c r="A3169" s="22"/>
      <c r="B3169" s="22"/>
      <c r="C3169" s="23" t="str">
        <f aca="false">IF(A3169="","",IFERROR(buscarx(A3169&amp;B3169,DATA!$E$3:$E$10000&amp;DATA!$B$3:$B$10000,DATA!$M$3:$M$10000),"No encontrado"))</f>
        <v/>
      </c>
      <c r="D3169" s="24" t="str">
        <f aca="false">IF(A3169="","",IFERROR(buscarx(A3169&amp;B3169,DATA!$E$3:$E$10000&amp;DATA!$B$3:$B$10000,DATA!$W$3:$W$10000),"No encontrado"))</f>
        <v/>
      </c>
      <c r="E3169" s="22"/>
      <c r="F3169" s="23" t="str">
        <f aca="false">IF(A3169="","",IFERROR(buscarx(A3169&amp;E3169,DATA!$E$3:$E$10000&amp;DATA!$B$3:$B$10000,DATA!$M$3:$M$10000),"Inactivo"))</f>
        <v/>
      </c>
      <c r="G3169" s="25" t="str">
        <f aca="false">IF(A3169="","",IF(AND(C3169&lt;&gt;"No encontrado",F3169&lt;&gt;"Inactivo"),C3169&amp;" → "&amp;F3169,"Sin transición"))</f>
        <v/>
      </c>
      <c r="H3169" s="23" t="str">
        <f aca="false">IF(A3169="","",IF(D3169="GCIA LINEA SERVICIO DIGITALIDAD Y VENTAS","Chats",IF(OR(D3169="GERENCIA INBOUND LÍNEAS SERVICIO Y VENTA",D3169="GERENCIA INBOUND LINEAS ESPECIALIZADAS"),"Llamadas","Otro")))</f>
        <v/>
      </c>
      <c r="I3169" s="23" t="str">
        <f aca="false">IF(A3169="","",IF(C3169="No encontrado","No","Sí"))</f>
        <v/>
      </c>
      <c r="J3169" s="23" t="str">
        <f aca="false">IF(A3169="","",IF(F3169="Inactivo","No","Sí"))</f>
        <v/>
      </c>
      <c r="K3169" s="23" t="str">
        <f aca="false">IF(A3169="","",IF(AND(I3169="Sí",J3169="Sí"),"Sí","No"))</f>
        <v/>
      </c>
    </row>
    <row r="3170" customFormat="false" ht="15" hidden="false" customHeight="false" outlineLevel="0" collapsed="false">
      <c r="A3170" s="22"/>
      <c r="B3170" s="22"/>
      <c r="C3170" s="26" t="str">
        <f aca="false">IF(A3170="","",IFERROR(buscarx(A3170&amp;B3170,DATA!$E$3:$E$10000&amp;DATA!$B$3:$B$10000,DATA!$M$3:$M$10000),"No encontrado"))</f>
        <v/>
      </c>
      <c r="D3170" s="27" t="str">
        <f aca="false">IF(A3170="","",IFERROR(buscarx(A3170&amp;B3170,DATA!$E$3:$E$10000&amp;DATA!$B$3:$B$10000,DATA!$W$3:$W$10000),"No encontrado"))</f>
        <v/>
      </c>
      <c r="E3170" s="22"/>
      <c r="F3170" s="26" t="str">
        <f aca="false">IF(A3170="","",IFERROR(buscarx(A3170&amp;E3170,DATA!$E$3:$E$10000&amp;DATA!$B$3:$B$10000,DATA!$M$3:$M$10000),"Inactivo"))</f>
        <v/>
      </c>
      <c r="G3170" s="28" t="str">
        <f aca="false">IF(A3170="","",IF(AND(C3170&lt;&gt;"No encontrado",F3170&lt;&gt;"Inactivo"),C3170&amp;" → "&amp;F3170,"Sin transición"))</f>
        <v/>
      </c>
      <c r="H3170" s="26" t="str">
        <f aca="false">IF(A3170="","",IF(D3170="GCIA LINEA SERVICIO DIGITALIDAD Y VENTAS","Chats",IF(OR(D3170="GERENCIA INBOUND LÍNEAS SERVICIO Y VENTA",D3170="GERENCIA INBOUND LINEAS ESPECIALIZADAS"),"Llamadas","Otro")))</f>
        <v/>
      </c>
      <c r="I3170" s="26" t="str">
        <f aca="false">IF(A3170="","",IF(C3170="No encontrado","No","Sí"))</f>
        <v/>
      </c>
      <c r="J3170" s="26" t="str">
        <f aca="false">IF(A3170="","",IF(F3170="Inactivo","No","Sí"))</f>
        <v/>
      </c>
      <c r="K3170" s="26" t="str">
        <f aca="false">IF(A3170="","",IF(AND(I3170="Sí",J3170="Sí"),"Sí","No"))</f>
        <v/>
      </c>
    </row>
    <row r="3171" customFormat="false" ht="15" hidden="false" customHeight="false" outlineLevel="0" collapsed="false">
      <c r="A3171" s="22"/>
      <c r="B3171" s="22"/>
      <c r="C3171" s="23" t="str">
        <f aca="false">IF(A3171="","",IFERROR(buscarx(A3171&amp;B3171,DATA!$E$3:$E$10000&amp;DATA!$B$3:$B$10000,DATA!$M$3:$M$10000),"No encontrado"))</f>
        <v/>
      </c>
      <c r="D3171" s="24" t="str">
        <f aca="false">IF(A3171="","",IFERROR(buscarx(A3171&amp;B3171,DATA!$E$3:$E$10000&amp;DATA!$B$3:$B$10000,DATA!$W$3:$W$10000),"No encontrado"))</f>
        <v/>
      </c>
      <c r="E3171" s="22"/>
      <c r="F3171" s="23" t="str">
        <f aca="false">IF(A3171="","",IFERROR(buscarx(A3171&amp;E3171,DATA!$E$3:$E$10000&amp;DATA!$B$3:$B$10000,DATA!$M$3:$M$10000),"Inactivo"))</f>
        <v/>
      </c>
      <c r="G3171" s="25" t="str">
        <f aca="false">IF(A3171="","",IF(AND(C3171&lt;&gt;"No encontrado",F3171&lt;&gt;"Inactivo"),C3171&amp;" → "&amp;F3171,"Sin transición"))</f>
        <v/>
      </c>
      <c r="H3171" s="23" t="str">
        <f aca="false">IF(A3171="","",IF(D3171="GCIA LINEA SERVICIO DIGITALIDAD Y VENTAS","Chats",IF(OR(D3171="GERENCIA INBOUND LÍNEAS SERVICIO Y VENTA",D3171="GERENCIA INBOUND LINEAS ESPECIALIZADAS"),"Llamadas","Otro")))</f>
        <v/>
      </c>
      <c r="I3171" s="23" t="str">
        <f aca="false">IF(A3171="","",IF(C3171="No encontrado","No","Sí"))</f>
        <v/>
      </c>
      <c r="J3171" s="23" t="str">
        <f aca="false">IF(A3171="","",IF(F3171="Inactivo","No","Sí"))</f>
        <v/>
      </c>
      <c r="K3171" s="23" t="str">
        <f aca="false">IF(A3171="","",IF(AND(I3171="Sí",J3171="Sí"),"Sí","No"))</f>
        <v/>
      </c>
    </row>
    <row r="3172" customFormat="false" ht="15" hidden="false" customHeight="false" outlineLevel="0" collapsed="false">
      <c r="A3172" s="22"/>
      <c r="B3172" s="22"/>
      <c r="C3172" s="26" t="str">
        <f aca="false">IF(A3172="","",IFERROR(buscarx(A3172&amp;B3172,DATA!$E$3:$E$10000&amp;DATA!$B$3:$B$10000,DATA!$M$3:$M$10000),"No encontrado"))</f>
        <v/>
      </c>
      <c r="D3172" s="27" t="str">
        <f aca="false">IF(A3172="","",IFERROR(buscarx(A3172&amp;B3172,DATA!$E$3:$E$10000&amp;DATA!$B$3:$B$10000,DATA!$W$3:$W$10000),"No encontrado"))</f>
        <v/>
      </c>
      <c r="E3172" s="22"/>
      <c r="F3172" s="26" t="str">
        <f aca="false">IF(A3172="","",IFERROR(buscarx(A3172&amp;E3172,DATA!$E$3:$E$10000&amp;DATA!$B$3:$B$10000,DATA!$M$3:$M$10000),"Inactivo"))</f>
        <v/>
      </c>
      <c r="G3172" s="28" t="str">
        <f aca="false">IF(A3172="","",IF(AND(C3172&lt;&gt;"No encontrado",F3172&lt;&gt;"Inactivo"),C3172&amp;" → "&amp;F3172,"Sin transición"))</f>
        <v/>
      </c>
      <c r="H3172" s="26" t="str">
        <f aca="false">IF(A3172="","",IF(D3172="GCIA LINEA SERVICIO DIGITALIDAD Y VENTAS","Chats",IF(OR(D3172="GERENCIA INBOUND LÍNEAS SERVICIO Y VENTA",D3172="GERENCIA INBOUND LINEAS ESPECIALIZADAS"),"Llamadas","Otro")))</f>
        <v/>
      </c>
      <c r="I3172" s="26" t="str">
        <f aca="false">IF(A3172="","",IF(C3172="No encontrado","No","Sí"))</f>
        <v/>
      </c>
      <c r="J3172" s="26" t="str">
        <f aca="false">IF(A3172="","",IF(F3172="Inactivo","No","Sí"))</f>
        <v/>
      </c>
      <c r="K3172" s="26" t="str">
        <f aca="false">IF(A3172="","",IF(AND(I3172="Sí",J3172="Sí"),"Sí","No"))</f>
        <v/>
      </c>
    </row>
    <row r="3173" customFormat="false" ht="15" hidden="false" customHeight="false" outlineLevel="0" collapsed="false">
      <c r="A3173" s="22"/>
      <c r="B3173" s="22"/>
      <c r="C3173" s="23" t="str">
        <f aca="false">IF(A3173="","",IFERROR(buscarx(A3173&amp;B3173,DATA!$E$3:$E$10000&amp;DATA!$B$3:$B$10000,DATA!$M$3:$M$10000),"No encontrado"))</f>
        <v/>
      </c>
      <c r="D3173" s="24" t="str">
        <f aca="false">IF(A3173="","",IFERROR(buscarx(A3173&amp;B3173,DATA!$E$3:$E$10000&amp;DATA!$B$3:$B$10000,DATA!$W$3:$W$10000),"No encontrado"))</f>
        <v/>
      </c>
      <c r="E3173" s="22"/>
      <c r="F3173" s="23" t="str">
        <f aca="false">IF(A3173="","",IFERROR(buscarx(A3173&amp;E3173,DATA!$E$3:$E$10000&amp;DATA!$B$3:$B$10000,DATA!$M$3:$M$10000),"Inactivo"))</f>
        <v/>
      </c>
      <c r="G3173" s="25" t="str">
        <f aca="false">IF(A3173="","",IF(AND(C3173&lt;&gt;"No encontrado",F3173&lt;&gt;"Inactivo"),C3173&amp;" → "&amp;F3173,"Sin transición"))</f>
        <v/>
      </c>
      <c r="H3173" s="23" t="str">
        <f aca="false">IF(A3173="","",IF(D3173="GCIA LINEA SERVICIO DIGITALIDAD Y VENTAS","Chats",IF(OR(D3173="GERENCIA INBOUND LÍNEAS SERVICIO Y VENTA",D3173="GERENCIA INBOUND LINEAS ESPECIALIZADAS"),"Llamadas","Otro")))</f>
        <v/>
      </c>
      <c r="I3173" s="23" t="str">
        <f aca="false">IF(A3173="","",IF(C3173="No encontrado","No","Sí"))</f>
        <v/>
      </c>
      <c r="J3173" s="23" t="str">
        <f aca="false">IF(A3173="","",IF(F3173="Inactivo","No","Sí"))</f>
        <v/>
      </c>
      <c r="K3173" s="23" t="str">
        <f aca="false">IF(A3173="","",IF(AND(I3173="Sí",J3173="Sí"),"Sí","No"))</f>
        <v/>
      </c>
    </row>
    <row r="3174" customFormat="false" ht="15" hidden="false" customHeight="false" outlineLevel="0" collapsed="false">
      <c r="A3174" s="22"/>
      <c r="B3174" s="22"/>
      <c r="C3174" s="26" t="str">
        <f aca="false">IF(A3174="","",IFERROR(buscarx(A3174&amp;B3174,DATA!$E$3:$E$10000&amp;DATA!$B$3:$B$10000,DATA!$M$3:$M$10000),"No encontrado"))</f>
        <v/>
      </c>
      <c r="D3174" s="27" t="str">
        <f aca="false">IF(A3174="","",IFERROR(buscarx(A3174&amp;B3174,DATA!$E$3:$E$10000&amp;DATA!$B$3:$B$10000,DATA!$W$3:$W$10000),"No encontrado"))</f>
        <v/>
      </c>
      <c r="E3174" s="22"/>
      <c r="F3174" s="26" t="str">
        <f aca="false">IF(A3174="","",IFERROR(buscarx(A3174&amp;E3174,DATA!$E$3:$E$10000&amp;DATA!$B$3:$B$10000,DATA!$M$3:$M$10000),"Inactivo"))</f>
        <v/>
      </c>
      <c r="G3174" s="28" t="str">
        <f aca="false">IF(A3174="","",IF(AND(C3174&lt;&gt;"No encontrado",F3174&lt;&gt;"Inactivo"),C3174&amp;" → "&amp;F3174,"Sin transición"))</f>
        <v/>
      </c>
      <c r="H3174" s="26" t="str">
        <f aca="false">IF(A3174="","",IF(D3174="GCIA LINEA SERVICIO DIGITALIDAD Y VENTAS","Chats",IF(OR(D3174="GERENCIA INBOUND LÍNEAS SERVICIO Y VENTA",D3174="GERENCIA INBOUND LINEAS ESPECIALIZADAS"),"Llamadas","Otro")))</f>
        <v/>
      </c>
      <c r="I3174" s="26" t="str">
        <f aca="false">IF(A3174="","",IF(C3174="No encontrado","No","Sí"))</f>
        <v/>
      </c>
      <c r="J3174" s="26" t="str">
        <f aca="false">IF(A3174="","",IF(F3174="Inactivo","No","Sí"))</f>
        <v/>
      </c>
      <c r="K3174" s="26" t="str">
        <f aca="false">IF(A3174="","",IF(AND(I3174="Sí",J3174="Sí"),"Sí","No"))</f>
        <v/>
      </c>
    </row>
    <row r="3175" customFormat="false" ht="15" hidden="false" customHeight="false" outlineLevel="0" collapsed="false">
      <c r="A3175" s="22"/>
      <c r="B3175" s="22"/>
      <c r="C3175" s="23" t="str">
        <f aca="false">IF(A3175="","",IFERROR(buscarx(A3175&amp;B3175,DATA!$E$3:$E$10000&amp;DATA!$B$3:$B$10000,DATA!$M$3:$M$10000),"No encontrado"))</f>
        <v/>
      </c>
      <c r="D3175" s="24" t="str">
        <f aca="false">IF(A3175="","",IFERROR(buscarx(A3175&amp;B3175,DATA!$E$3:$E$10000&amp;DATA!$B$3:$B$10000,DATA!$W$3:$W$10000),"No encontrado"))</f>
        <v/>
      </c>
      <c r="E3175" s="22"/>
      <c r="F3175" s="23" t="str">
        <f aca="false">IF(A3175="","",IFERROR(buscarx(A3175&amp;E3175,DATA!$E$3:$E$10000&amp;DATA!$B$3:$B$10000,DATA!$M$3:$M$10000),"Inactivo"))</f>
        <v/>
      </c>
      <c r="G3175" s="25" t="str">
        <f aca="false">IF(A3175="","",IF(AND(C3175&lt;&gt;"No encontrado",F3175&lt;&gt;"Inactivo"),C3175&amp;" → "&amp;F3175,"Sin transición"))</f>
        <v/>
      </c>
      <c r="H3175" s="23" t="str">
        <f aca="false">IF(A3175="","",IF(D3175="GCIA LINEA SERVICIO DIGITALIDAD Y VENTAS","Chats",IF(OR(D3175="GERENCIA INBOUND LÍNEAS SERVICIO Y VENTA",D3175="GERENCIA INBOUND LINEAS ESPECIALIZADAS"),"Llamadas","Otro")))</f>
        <v/>
      </c>
      <c r="I3175" s="23" t="str">
        <f aca="false">IF(A3175="","",IF(C3175="No encontrado","No","Sí"))</f>
        <v/>
      </c>
      <c r="J3175" s="23" t="str">
        <f aca="false">IF(A3175="","",IF(F3175="Inactivo","No","Sí"))</f>
        <v/>
      </c>
      <c r="K3175" s="23" t="str">
        <f aca="false">IF(A3175="","",IF(AND(I3175="Sí",J3175="Sí"),"Sí","No"))</f>
        <v/>
      </c>
    </row>
    <row r="3176" customFormat="false" ht="15" hidden="false" customHeight="false" outlineLevel="0" collapsed="false">
      <c r="A3176" s="22"/>
      <c r="B3176" s="22"/>
      <c r="C3176" s="26" t="str">
        <f aca="false">IF(A3176="","",IFERROR(buscarx(A3176&amp;B3176,DATA!$E$3:$E$10000&amp;DATA!$B$3:$B$10000,DATA!$M$3:$M$10000),"No encontrado"))</f>
        <v/>
      </c>
      <c r="D3176" s="27" t="str">
        <f aca="false">IF(A3176="","",IFERROR(buscarx(A3176&amp;B3176,DATA!$E$3:$E$10000&amp;DATA!$B$3:$B$10000,DATA!$W$3:$W$10000),"No encontrado"))</f>
        <v/>
      </c>
      <c r="E3176" s="22"/>
      <c r="F3176" s="26" t="str">
        <f aca="false">IF(A3176="","",IFERROR(buscarx(A3176&amp;E3176,DATA!$E$3:$E$10000&amp;DATA!$B$3:$B$10000,DATA!$M$3:$M$10000),"Inactivo"))</f>
        <v/>
      </c>
      <c r="G3176" s="28" t="str">
        <f aca="false">IF(A3176="","",IF(AND(C3176&lt;&gt;"No encontrado",F3176&lt;&gt;"Inactivo"),C3176&amp;" → "&amp;F3176,"Sin transición"))</f>
        <v/>
      </c>
      <c r="H3176" s="26" t="str">
        <f aca="false">IF(A3176="","",IF(D3176="GCIA LINEA SERVICIO DIGITALIDAD Y VENTAS","Chats",IF(OR(D3176="GERENCIA INBOUND LÍNEAS SERVICIO Y VENTA",D3176="GERENCIA INBOUND LINEAS ESPECIALIZADAS"),"Llamadas","Otro")))</f>
        <v/>
      </c>
      <c r="I3176" s="26" t="str">
        <f aca="false">IF(A3176="","",IF(C3176="No encontrado","No","Sí"))</f>
        <v/>
      </c>
      <c r="J3176" s="26" t="str">
        <f aca="false">IF(A3176="","",IF(F3176="Inactivo","No","Sí"))</f>
        <v/>
      </c>
      <c r="K3176" s="26" t="str">
        <f aca="false">IF(A3176="","",IF(AND(I3176="Sí",J3176="Sí"),"Sí","No"))</f>
        <v/>
      </c>
    </row>
    <row r="3177" customFormat="false" ht="15" hidden="false" customHeight="false" outlineLevel="0" collapsed="false">
      <c r="A3177" s="22"/>
      <c r="B3177" s="22"/>
      <c r="C3177" s="23" t="str">
        <f aca="false">IF(A3177="","",IFERROR(buscarx(A3177&amp;B3177,DATA!$E$3:$E$10000&amp;DATA!$B$3:$B$10000,DATA!$M$3:$M$10000),"No encontrado"))</f>
        <v/>
      </c>
      <c r="D3177" s="24" t="str">
        <f aca="false">IF(A3177="","",IFERROR(buscarx(A3177&amp;B3177,DATA!$E$3:$E$10000&amp;DATA!$B$3:$B$10000,DATA!$W$3:$W$10000),"No encontrado"))</f>
        <v/>
      </c>
      <c r="E3177" s="22"/>
      <c r="F3177" s="23" t="str">
        <f aca="false">IF(A3177="","",IFERROR(buscarx(A3177&amp;E3177,DATA!$E$3:$E$10000&amp;DATA!$B$3:$B$10000,DATA!$M$3:$M$10000),"Inactivo"))</f>
        <v/>
      </c>
      <c r="G3177" s="25" t="str">
        <f aca="false">IF(A3177="","",IF(AND(C3177&lt;&gt;"No encontrado",F3177&lt;&gt;"Inactivo"),C3177&amp;" → "&amp;F3177,"Sin transición"))</f>
        <v/>
      </c>
      <c r="H3177" s="23" t="str">
        <f aca="false">IF(A3177="","",IF(D3177="GCIA LINEA SERVICIO DIGITALIDAD Y VENTAS","Chats",IF(OR(D3177="GERENCIA INBOUND LÍNEAS SERVICIO Y VENTA",D3177="GERENCIA INBOUND LINEAS ESPECIALIZADAS"),"Llamadas","Otro")))</f>
        <v/>
      </c>
      <c r="I3177" s="23" t="str">
        <f aca="false">IF(A3177="","",IF(C3177="No encontrado","No","Sí"))</f>
        <v/>
      </c>
      <c r="J3177" s="23" t="str">
        <f aca="false">IF(A3177="","",IF(F3177="Inactivo","No","Sí"))</f>
        <v/>
      </c>
      <c r="K3177" s="23" t="str">
        <f aca="false">IF(A3177="","",IF(AND(I3177="Sí",J3177="Sí"),"Sí","No"))</f>
        <v/>
      </c>
    </row>
    <row r="3178" customFormat="false" ht="15" hidden="false" customHeight="false" outlineLevel="0" collapsed="false">
      <c r="A3178" s="22"/>
      <c r="B3178" s="22"/>
      <c r="C3178" s="26" t="str">
        <f aca="false">IF(A3178="","",IFERROR(buscarx(A3178&amp;B3178,DATA!$E$3:$E$10000&amp;DATA!$B$3:$B$10000,DATA!$M$3:$M$10000),"No encontrado"))</f>
        <v/>
      </c>
      <c r="D3178" s="27" t="str">
        <f aca="false">IF(A3178="","",IFERROR(buscarx(A3178&amp;B3178,DATA!$E$3:$E$10000&amp;DATA!$B$3:$B$10000,DATA!$W$3:$W$10000),"No encontrado"))</f>
        <v/>
      </c>
      <c r="E3178" s="22"/>
      <c r="F3178" s="26" t="str">
        <f aca="false">IF(A3178="","",IFERROR(buscarx(A3178&amp;E3178,DATA!$E$3:$E$10000&amp;DATA!$B$3:$B$10000,DATA!$M$3:$M$10000),"Inactivo"))</f>
        <v/>
      </c>
      <c r="G3178" s="28" t="str">
        <f aca="false">IF(A3178="","",IF(AND(C3178&lt;&gt;"No encontrado",F3178&lt;&gt;"Inactivo"),C3178&amp;" → "&amp;F3178,"Sin transición"))</f>
        <v/>
      </c>
      <c r="H3178" s="26" t="str">
        <f aca="false">IF(A3178="","",IF(D3178="GCIA LINEA SERVICIO DIGITALIDAD Y VENTAS","Chats",IF(OR(D3178="GERENCIA INBOUND LÍNEAS SERVICIO Y VENTA",D3178="GERENCIA INBOUND LINEAS ESPECIALIZADAS"),"Llamadas","Otro")))</f>
        <v/>
      </c>
      <c r="I3178" s="26" t="str">
        <f aca="false">IF(A3178="","",IF(C3178="No encontrado","No","Sí"))</f>
        <v/>
      </c>
      <c r="J3178" s="26" t="str">
        <f aca="false">IF(A3178="","",IF(F3178="Inactivo","No","Sí"))</f>
        <v/>
      </c>
      <c r="K3178" s="26" t="str">
        <f aca="false">IF(A3178="","",IF(AND(I3178="Sí",J3178="Sí"),"Sí","No"))</f>
        <v/>
      </c>
    </row>
    <row r="3179" customFormat="false" ht="15" hidden="false" customHeight="false" outlineLevel="0" collapsed="false">
      <c r="A3179" s="22"/>
      <c r="B3179" s="22"/>
      <c r="C3179" s="23" t="str">
        <f aca="false">IF(A3179="","",IFERROR(buscarx(A3179&amp;B3179,DATA!$E$3:$E$10000&amp;DATA!$B$3:$B$10000,DATA!$M$3:$M$10000),"No encontrado"))</f>
        <v/>
      </c>
      <c r="D3179" s="24" t="str">
        <f aca="false">IF(A3179="","",IFERROR(buscarx(A3179&amp;B3179,DATA!$E$3:$E$10000&amp;DATA!$B$3:$B$10000,DATA!$W$3:$W$10000),"No encontrado"))</f>
        <v/>
      </c>
      <c r="E3179" s="22"/>
      <c r="F3179" s="23" t="str">
        <f aca="false">IF(A3179="","",IFERROR(buscarx(A3179&amp;E3179,DATA!$E$3:$E$10000&amp;DATA!$B$3:$B$10000,DATA!$M$3:$M$10000),"Inactivo"))</f>
        <v/>
      </c>
      <c r="G3179" s="25" t="str">
        <f aca="false">IF(A3179="","",IF(AND(C3179&lt;&gt;"No encontrado",F3179&lt;&gt;"Inactivo"),C3179&amp;" → "&amp;F3179,"Sin transición"))</f>
        <v/>
      </c>
      <c r="H3179" s="23" t="str">
        <f aca="false">IF(A3179="","",IF(D3179="GCIA LINEA SERVICIO DIGITALIDAD Y VENTAS","Chats",IF(OR(D3179="GERENCIA INBOUND LÍNEAS SERVICIO Y VENTA",D3179="GERENCIA INBOUND LINEAS ESPECIALIZADAS"),"Llamadas","Otro")))</f>
        <v/>
      </c>
      <c r="I3179" s="23" t="str">
        <f aca="false">IF(A3179="","",IF(C3179="No encontrado","No","Sí"))</f>
        <v/>
      </c>
      <c r="J3179" s="23" t="str">
        <f aca="false">IF(A3179="","",IF(F3179="Inactivo","No","Sí"))</f>
        <v/>
      </c>
      <c r="K3179" s="23" t="str">
        <f aca="false">IF(A3179="","",IF(AND(I3179="Sí",J3179="Sí"),"Sí","No"))</f>
        <v/>
      </c>
    </row>
    <row r="3180" customFormat="false" ht="15" hidden="false" customHeight="false" outlineLevel="0" collapsed="false">
      <c r="A3180" s="22"/>
      <c r="B3180" s="22"/>
      <c r="C3180" s="26" t="str">
        <f aca="false">IF(A3180="","",IFERROR(buscarx(A3180&amp;B3180,DATA!$E$3:$E$10000&amp;DATA!$B$3:$B$10000,DATA!$M$3:$M$10000),"No encontrado"))</f>
        <v/>
      </c>
      <c r="D3180" s="27" t="str">
        <f aca="false">IF(A3180="","",IFERROR(buscarx(A3180&amp;B3180,DATA!$E$3:$E$10000&amp;DATA!$B$3:$B$10000,DATA!$W$3:$W$10000),"No encontrado"))</f>
        <v/>
      </c>
      <c r="E3180" s="22"/>
      <c r="F3180" s="26" t="str">
        <f aca="false">IF(A3180="","",IFERROR(buscarx(A3180&amp;E3180,DATA!$E$3:$E$10000&amp;DATA!$B$3:$B$10000,DATA!$M$3:$M$10000),"Inactivo"))</f>
        <v/>
      </c>
      <c r="G3180" s="28" t="str">
        <f aca="false">IF(A3180="","",IF(AND(C3180&lt;&gt;"No encontrado",F3180&lt;&gt;"Inactivo"),C3180&amp;" → "&amp;F3180,"Sin transición"))</f>
        <v/>
      </c>
      <c r="H3180" s="26" t="str">
        <f aca="false">IF(A3180="","",IF(D3180="GCIA LINEA SERVICIO DIGITALIDAD Y VENTAS","Chats",IF(OR(D3180="GERENCIA INBOUND LÍNEAS SERVICIO Y VENTA",D3180="GERENCIA INBOUND LINEAS ESPECIALIZADAS"),"Llamadas","Otro")))</f>
        <v/>
      </c>
      <c r="I3180" s="26" t="str">
        <f aca="false">IF(A3180="","",IF(C3180="No encontrado","No","Sí"))</f>
        <v/>
      </c>
      <c r="J3180" s="26" t="str">
        <f aca="false">IF(A3180="","",IF(F3180="Inactivo","No","Sí"))</f>
        <v/>
      </c>
      <c r="K3180" s="26" t="str">
        <f aca="false">IF(A3180="","",IF(AND(I3180="Sí",J3180="Sí"),"Sí","No"))</f>
        <v/>
      </c>
    </row>
    <row r="3181" customFormat="false" ht="15" hidden="false" customHeight="false" outlineLevel="0" collapsed="false">
      <c r="A3181" s="22"/>
      <c r="B3181" s="22"/>
      <c r="C3181" s="23" t="str">
        <f aca="false">IF(A3181="","",IFERROR(buscarx(A3181&amp;B3181,DATA!$E$3:$E$10000&amp;DATA!$B$3:$B$10000,DATA!$M$3:$M$10000),"No encontrado"))</f>
        <v/>
      </c>
      <c r="D3181" s="24" t="str">
        <f aca="false">IF(A3181="","",IFERROR(buscarx(A3181&amp;B3181,DATA!$E$3:$E$10000&amp;DATA!$B$3:$B$10000,DATA!$W$3:$W$10000),"No encontrado"))</f>
        <v/>
      </c>
      <c r="E3181" s="22"/>
      <c r="F3181" s="23" t="str">
        <f aca="false">IF(A3181="","",IFERROR(buscarx(A3181&amp;E3181,DATA!$E$3:$E$10000&amp;DATA!$B$3:$B$10000,DATA!$M$3:$M$10000),"Inactivo"))</f>
        <v/>
      </c>
      <c r="G3181" s="25" t="str">
        <f aca="false">IF(A3181="","",IF(AND(C3181&lt;&gt;"No encontrado",F3181&lt;&gt;"Inactivo"),C3181&amp;" → "&amp;F3181,"Sin transición"))</f>
        <v/>
      </c>
      <c r="H3181" s="23" t="str">
        <f aca="false">IF(A3181="","",IF(D3181="GCIA LINEA SERVICIO DIGITALIDAD Y VENTAS","Chats",IF(OR(D3181="GERENCIA INBOUND LÍNEAS SERVICIO Y VENTA",D3181="GERENCIA INBOUND LINEAS ESPECIALIZADAS"),"Llamadas","Otro")))</f>
        <v/>
      </c>
      <c r="I3181" s="23" t="str">
        <f aca="false">IF(A3181="","",IF(C3181="No encontrado","No","Sí"))</f>
        <v/>
      </c>
      <c r="J3181" s="23" t="str">
        <f aca="false">IF(A3181="","",IF(F3181="Inactivo","No","Sí"))</f>
        <v/>
      </c>
      <c r="K3181" s="23" t="str">
        <f aca="false">IF(A3181="","",IF(AND(I3181="Sí",J3181="Sí"),"Sí","No"))</f>
        <v/>
      </c>
    </row>
    <row r="3182" customFormat="false" ht="15" hidden="false" customHeight="false" outlineLevel="0" collapsed="false">
      <c r="A3182" s="22"/>
      <c r="B3182" s="22"/>
      <c r="C3182" s="26" t="str">
        <f aca="false">IF(A3182="","",IFERROR(buscarx(A3182&amp;B3182,DATA!$E$3:$E$10000&amp;DATA!$B$3:$B$10000,DATA!$M$3:$M$10000),"No encontrado"))</f>
        <v/>
      </c>
      <c r="D3182" s="27" t="str">
        <f aca="false">IF(A3182="","",IFERROR(buscarx(A3182&amp;B3182,DATA!$E$3:$E$10000&amp;DATA!$B$3:$B$10000,DATA!$W$3:$W$10000),"No encontrado"))</f>
        <v/>
      </c>
      <c r="E3182" s="22"/>
      <c r="F3182" s="26" t="str">
        <f aca="false">IF(A3182="","",IFERROR(buscarx(A3182&amp;E3182,DATA!$E$3:$E$10000&amp;DATA!$B$3:$B$10000,DATA!$M$3:$M$10000),"Inactivo"))</f>
        <v/>
      </c>
      <c r="G3182" s="28" t="str">
        <f aca="false">IF(A3182="","",IF(AND(C3182&lt;&gt;"No encontrado",F3182&lt;&gt;"Inactivo"),C3182&amp;" → "&amp;F3182,"Sin transición"))</f>
        <v/>
      </c>
      <c r="H3182" s="26" t="str">
        <f aca="false">IF(A3182="","",IF(D3182="GCIA LINEA SERVICIO DIGITALIDAD Y VENTAS","Chats",IF(OR(D3182="GERENCIA INBOUND LÍNEAS SERVICIO Y VENTA",D3182="GERENCIA INBOUND LINEAS ESPECIALIZADAS"),"Llamadas","Otro")))</f>
        <v/>
      </c>
      <c r="I3182" s="26" t="str">
        <f aca="false">IF(A3182="","",IF(C3182="No encontrado","No","Sí"))</f>
        <v/>
      </c>
      <c r="J3182" s="26" t="str">
        <f aca="false">IF(A3182="","",IF(F3182="Inactivo","No","Sí"))</f>
        <v/>
      </c>
      <c r="K3182" s="26" t="str">
        <f aca="false">IF(A3182="","",IF(AND(I3182="Sí",J3182="Sí"),"Sí","No"))</f>
        <v/>
      </c>
    </row>
    <row r="3183" customFormat="false" ht="15" hidden="false" customHeight="false" outlineLevel="0" collapsed="false">
      <c r="A3183" s="22"/>
      <c r="B3183" s="22"/>
      <c r="C3183" s="23" t="str">
        <f aca="false">IF(A3183="","",IFERROR(buscarx(A3183&amp;B3183,DATA!$E$3:$E$10000&amp;DATA!$B$3:$B$10000,DATA!$M$3:$M$10000),"No encontrado"))</f>
        <v/>
      </c>
      <c r="D3183" s="24" t="str">
        <f aca="false">IF(A3183="","",IFERROR(buscarx(A3183&amp;B3183,DATA!$E$3:$E$10000&amp;DATA!$B$3:$B$10000,DATA!$W$3:$W$10000),"No encontrado"))</f>
        <v/>
      </c>
      <c r="E3183" s="22"/>
      <c r="F3183" s="23" t="str">
        <f aca="false">IF(A3183="","",IFERROR(buscarx(A3183&amp;E3183,DATA!$E$3:$E$10000&amp;DATA!$B$3:$B$10000,DATA!$M$3:$M$10000),"Inactivo"))</f>
        <v/>
      </c>
      <c r="G3183" s="25" t="str">
        <f aca="false">IF(A3183="","",IF(AND(C3183&lt;&gt;"No encontrado",F3183&lt;&gt;"Inactivo"),C3183&amp;" → "&amp;F3183,"Sin transición"))</f>
        <v/>
      </c>
      <c r="H3183" s="23" t="str">
        <f aca="false">IF(A3183="","",IF(D3183="GCIA LINEA SERVICIO DIGITALIDAD Y VENTAS","Chats",IF(OR(D3183="GERENCIA INBOUND LÍNEAS SERVICIO Y VENTA",D3183="GERENCIA INBOUND LINEAS ESPECIALIZADAS"),"Llamadas","Otro")))</f>
        <v/>
      </c>
      <c r="I3183" s="23" t="str">
        <f aca="false">IF(A3183="","",IF(C3183="No encontrado","No","Sí"))</f>
        <v/>
      </c>
      <c r="J3183" s="23" t="str">
        <f aca="false">IF(A3183="","",IF(F3183="Inactivo","No","Sí"))</f>
        <v/>
      </c>
      <c r="K3183" s="23" t="str">
        <f aca="false">IF(A3183="","",IF(AND(I3183="Sí",J3183="Sí"),"Sí","No"))</f>
        <v/>
      </c>
    </row>
    <row r="3184" customFormat="false" ht="15" hidden="false" customHeight="false" outlineLevel="0" collapsed="false">
      <c r="A3184" s="22"/>
      <c r="B3184" s="22"/>
      <c r="C3184" s="26" t="str">
        <f aca="false">IF(A3184="","",IFERROR(buscarx(A3184&amp;B3184,DATA!$E$3:$E$10000&amp;DATA!$B$3:$B$10000,DATA!$M$3:$M$10000),"No encontrado"))</f>
        <v/>
      </c>
      <c r="D3184" s="27" t="str">
        <f aca="false">IF(A3184="","",IFERROR(buscarx(A3184&amp;B3184,DATA!$E$3:$E$10000&amp;DATA!$B$3:$B$10000,DATA!$W$3:$W$10000),"No encontrado"))</f>
        <v/>
      </c>
      <c r="E3184" s="22"/>
      <c r="F3184" s="26" t="str">
        <f aca="false">IF(A3184="","",IFERROR(buscarx(A3184&amp;E3184,DATA!$E$3:$E$10000&amp;DATA!$B$3:$B$10000,DATA!$M$3:$M$10000),"Inactivo"))</f>
        <v/>
      </c>
      <c r="G3184" s="28" t="str">
        <f aca="false">IF(A3184="","",IF(AND(C3184&lt;&gt;"No encontrado",F3184&lt;&gt;"Inactivo"),C3184&amp;" → "&amp;F3184,"Sin transición"))</f>
        <v/>
      </c>
      <c r="H3184" s="26" t="str">
        <f aca="false">IF(A3184="","",IF(D3184="GCIA LINEA SERVICIO DIGITALIDAD Y VENTAS","Chats",IF(OR(D3184="GERENCIA INBOUND LÍNEAS SERVICIO Y VENTA",D3184="GERENCIA INBOUND LINEAS ESPECIALIZADAS"),"Llamadas","Otro")))</f>
        <v/>
      </c>
      <c r="I3184" s="26" t="str">
        <f aca="false">IF(A3184="","",IF(C3184="No encontrado","No","Sí"))</f>
        <v/>
      </c>
      <c r="J3184" s="26" t="str">
        <f aca="false">IF(A3184="","",IF(F3184="Inactivo","No","Sí"))</f>
        <v/>
      </c>
      <c r="K3184" s="26" t="str">
        <f aca="false">IF(A3184="","",IF(AND(I3184="Sí",J3184="Sí"),"Sí","No"))</f>
        <v/>
      </c>
    </row>
    <row r="3185" customFormat="false" ht="15" hidden="false" customHeight="false" outlineLevel="0" collapsed="false">
      <c r="A3185" s="22"/>
      <c r="B3185" s="22"/>
      <c r="C3185" s="23" t="str">
        <f aca="false">IF(A3185="","",IFERROR(buscarx(A3185&amp;B3185,DATA!$E$3:$E$10000&amp;DATA!$B$3:$B$10000,DATA!$M$3:$M$10000),"No encontrado"))</f>
        <v/>
      </c>
      <c r="D3185" s="24" t="str">
        <f aca="false">IF(A3185="","",IFERROR(buscarx(A3185&amp;B3185,DATA!$E$3:$E$10000&amp;DATA!$B$3:$B$10000,DATA!$W$3:$W$10000),"No encontrado"))</f>
        <v/>
      </c>
      <c r="E3185" s="22"/>
      <c r="F3185" s="23" t="str">
        <f aca="false">IF(A3185="","",IFERROR(buscarx(A3185&amp;E3185,DATA!$E$3:$E$10000&amp;DATA!$B$3:$B$10000,DATA!$M$3:$M$10000),"Inactivo"))</f>
        <v/>
      </c>
      <c r="G3185" s="25" t="str">
        <f aca="false">IF(A3185="","",IF(AND(C3185&lt;&gt;"No encontrado",F3185&lt;&gt;"Inactivo"),C3185&amp;" → "&amp;F3185,"Sin transición"))</f>
        <v/>
      </c>
      <c r="H3185" s="23" t="str">
        <f aca="false">IF(A3185="","",IF(D3185="GCIA LINEA SERVICIO DIGITALIDAD Y VENTAS","Chats",IF(OR(D3185="GERENCIA INBOUND LÍNEAS SERVICIO Y VENTA",D3185="GERENCIA INBOUND LINEAS ESPECIALIZADAS"),"Llamadas","Otro")))</f>
        <v/>
      </c>
      <c r="I3185" s="23" t="str">
        <f aca="false">IF(A3185="","",IF(C3185="No encontrado","No","Sí"))</f>
        <v/>
      </c>
      <c r="J3185" s="23" t="str">
        <f aca="false">IF(A3185="","",IF(F3185="Inactivo","No","Sí"))</f>
        <v/>
      </c>
      <c r="K3185" s="23" t="str">
        <f aca="false">IF(A3185="","",IF(AND(I3185="Sí",J3185="Sí"),"Sí","No"))</f>
        <v/>
      </c>
    </row>
    <row r="3186" customFormat="false" ht="15" hidden="false" customHeight="false" outlineLevel="0" collapsed="false">
      <c r="A3186" s="22"/>
      <c r="B3186" s="22"/>
      <c r="C3186" s="26" t="str">
        <f aca="false">IF(A3186="","",IFERROR(buscarx(A3186&amp;B3186,DATA!$E$3:$E$10000&amp;DATA!$B$3:$B$10000,DATA!$M$3:$M$10000),"No encontrado"))</f>
        <v/>
      </c>
      <c r="D3186" s="27" t="str">
        <f aca="false">IF(A3186="","",IFERROR(buscarx(A3186&amp;B3186,DATA!$E$3:$E$10000&amp;DATA!$B$3:$B$10000,DATA!$W$3:$W$10000),"No encontrado"))</f>
        <v/>
      </c>
      <c r="E3186" s="22"/>
      <c r="F3186" s="26" t="str">
        <f aca="false">IF(A3186="","",IFERROR(buscarx(A3186&amp;E3186,DATA!$E$3:$E$10000&amp;DATA!$B$3:$B$10000,DATA!$M$3:$M$10000),"Inactivo"))</f>
        <v/>
      </c>
      <c r="G3186" s="28" t="str">
        <f aca="false">IF(A3186="","",IF(AND(C3186&lt;&gt;"No encontrado",F3186&lt;&gt;"Inactivo"),C3186&amp;" → "&amp;F3186,"Sin transición"))</f>
        <v/>
      </c>
      <c r="H3186" s="26" t="str">
        <f aca="false">IF(A3186="","",IF(D3186="GCIA LINEA SERVICIO DIGITALIDAD Y VENTAS","Chats",IF(OR(D3186="GERENCIA INBOUND LÍNEAS SERVICIO Y VENTA",D3186="GERENCIA INBOUND LINEAS ESPECIALIZADAS"),"Llamadas","Otro")))</f>
        <v/>
      </c>
      <c r="I3186" s="26" t="str">
        <f aca="false">IF(A3186="","",IF(C3186="No encontrado","No","Sí"))</f>
        <v/>
      </c>
      <c r="J3186" s="26" t="str">
        <f aca="false">IF(A3186="","",IF(F3186="Inactivo","No","Sí"))</f>
        <v/>
      </c>
      <c r="K3186" s="26" t="str">
        <f aca="false">IF(A3186="","",IF(AND(I3186="Sí",J3186="Sí"),"Sí","No"))</f>
        <v/>
      </c>
    </row>
    <row r="3187" customFormat="false" ht="15" hidden="false" customHeight="false" outlineLevel="0" collapsed="false">
      <c r="A3187" s="22"/>
      <c r="B3187" s="22"/>
      <c r="C3187" s="23" t="str">
        <f aca="false">IF(A3187="","",IFERROR(buscarx(A3187&amp;B3187,DATA!$E$3:$E$10000&amp;DATA!$B$3:$B$10000,DATA!$M$3:$M$10000),"No encontrado"))</f>
        <v/>
      </c>
      <c r="D3187" s="24" t="str">
        <f aca="false">IF(A3187="","",IFERROR(buscarx(A3187&amp;B3187,DATA!$E$3:$E$10000&amp;DATA!$B$3:$B$10000,DATA!$W$3:$W$10000),"No encontrado"))</f>
        <v/>
      </c>
      <c r="E3187" s="22"/>
      <c r="F3187" s="23" t="str">
        <f aca="false">IF(A3187="","",IFERROR(buscarx(A3187&amp;E3187,DATA!$E$3:$E$10000&amp;DATA!$B$3:$B$10000,DATA!$M$3:$M$10000),"Inactivo"))</f>
        <v/>
      </c>
      <c r="G3187" s="25" t="str">
        <f aca="false">IF(A3187="","",IF(AND(C3187&lt;&gt;"No encontrado",F3187&lt;&gt;"Inactivo"),C3187&amp;" → "&amp;F3187,"Sin transición"))</f>
        <v/>
      </c>
      <c r="H3187" s="23" t="str">
        <f aca="false">IF(A3187="","",IF(D3187="GCIA LINEA SERVICIO DIGITALIDAD Y VENTAS","Chats",IF(OR(D3187="GERENCIA INBOUND LÍNEAS SERVICIO Y VENTA",D3187="GERENCIA INBOUND LINEAS ESPECIALIZADAS"),"Llamadas","Otro")))</f>
        <v/>
      </c>
      <c r="I3187" s="23" t="str">
        <f aca="false">IF(A3187="","",IF(C3187="No encontrado","No","Sí"))</f>
        <v/>
      </c>
      <c r="J3187" s="23" t="str">
        <f aca="false">IF(A3187="","",IF(F3187="Inactivo","No","Sí"))</f>
        <v/>
      </c>
      <c r="K3187" s="23" t="str">
        <f aca="false">IF(A3187="","",IF(AND(I3187="Sí",J3187="Sí"),"Sí","No"))</f>
        <v/>
      </c>
    </row>
    <row r="3188" customFormat="false" ht="15" hidden="false" customHeight="false" outlineLevel="0" collapsed="false">
      <c r="A3188" s="22"/>
      <c r="B3188" s="22"/>
      <c r="C3188" s="26" t="str">
        <f aca="false">IF(A3188="","",IFERROR(buscarx(A3188&amp;B3188,DATA!$E$3:$E$10000&amp;DATA!$B$3:$B$10000,DATA!$M$3:$M$10000),"No encontrado"))</f>
        <v/>
      </c>
      <c r="D3188" s="27" t="str">
        <f aca="false">IF(A3188="","",IFERROR(buscarx(A3188&amp;B3188,DATA!$E$3:$E$10000&amp;DATA!$B$3:$B$10000,DATA!$W$3:$W$10000),"No encontrado"))</f>
        <v/>
      </c>
      <c r="E3188" s="22"/>
      <c r="F3188" s="26" t="str">
        <f aca="false">IF(A3188="","",IFERROR(buscarx(A3188&amp;E3188,DATA!$E$3:$E$10000&amp;DATA!$B$3:$B$10000,DATA!$M$3:$M$10000),"Inactivo"))</f>
        <v/>
      </c>
      <c r="G3188" s="28" t="str">
        <f aca="false">IF(A3188="","",IF(AND(C3188&lt;&gt;"No encontrado",F3188&lt;&gt;"Inactivo"),C3188&amp;" → "&amp;F3188,"Sin transición"))</f>
        <v/>
      </c>
      <c r="H3188" s="26" t="str">
        <f aca="false">IF(A3188="","",IF(D3188="GCIA LINEA SERVICIO DIGITALIDAD Y VENTAS","Chats",IF(OR(D3188="GERENCIA INBOUND LÍNEAS SERVICIO Y VENTA",D3188="GERENCIA INBOUND LINEAS ESPECIALIZADAS"),"Llamadas","Otro")))</f>
        <v/>
      </c>
      <c r="I3188" s="26" t="str">
        <f aca="false">IF(A3188="","",IF(C3188="No encontrado","No","Sí"))</f>
        <v/>
      </c>
      <c r="J3188" s="26" t="str">
        <f aca="false">IF(A3188="","",IF(F3188="Inactivo","No","Sí"))</f>
        <v/>
      </c>
      <c r="K3188" s="26" t="str">
        <f aca="false">IF(A3188="","",IF(AND(I3188="Sí",J3188="Sí"),"Sí","No"))</f>
        <v/>
      </c>
    </row>
    <row r="3189" customFormat="false" ht="15" hidden="false" customHeight="false" outlineLevel="0" collapsed="false">
      <c r="A3189" s="22"/>
      <c r="B3189" s="22"/>
      <c r="C3189" s="23" t="str">
        <f aca="false">IF(A3189="","",IFERROR(buscarx(A3189&amp;B3189,DATA!$E$3:$E$10000&amp;DATA!$B$3:$B$10000,DATA!$M$3:$M$10000),"No encontrado"))</f>
        <v/>
      </c>
      <c r="D3189" s="24" t="str">
        <f aca="false">IF(A3189="","",IFERROR(buscarx(A3189&amp;B3189,DATA!$E$3:$E$10000&amp;DATA!$B$3:$B$10000,DATA!$W$3:$W$10000),"No encontrado"))</f>
        <v/>
      </c>
      <c r="E3189" s="22"/>
      <c r="F3189" s="23" t="str">
        <f aca="false">IF(A3189="","",IFERROR(buscarx(A3189&amp;E3189,DATA!$E$3:$E$10000&amp;DATA!$B$3:$B$10000,DATA!$M$3:$M$10000),"Inactivo"))</f>
        <v/>
      </c>
      <c r="G3189" s="25" t="str">
        <f aca="false">IF(A3189="","",IF(AND(C3189&lt;&gt;"No encontrado",F3189&lt;&gt;"Inactivo"),C3189&amp;" → "&amp;F3189,"Sin transición"))</f>
        <v/>
      </c>
      <c r="H3189" s="23" t="str">
        <f aca="false">IF(A3189="","",IF(D3189="GCIA LINEA SERVICIO DIGITALIDAD Y VENTAS","Chats",IF(OR(D3189="GERENCIA INBOUND LÍNEAS SERVICIO Y VENTA",D3189="GERENCIA INBOUND LINEAS ESPECIALIZADAS"),"Llamadas","Otro")))</f>
        <v/>
      </c>
      <c r="I3189" s="23" t="str">
        <f aca="false">IF(A3189="","",IF(C3189="No encontrado","No","Sí"))</f>
        <v/>
      </c>
      <c r="J3189" s="23" t="str">
        <f aca="false">IF(A3189="","",IF(F3189="Inactivo","No","Sí"))</f>
        <v/>
      </c>
      <c r="K3189" s="23" t="str">
        <f aca="false">IF(A3189="","",IF(AND(I3189="Sí",J3189="Sí"),"Sí","No"))</f>
        <v/>
      </c>
    </row>
    <row r="3190" customFormat="false" ht="15" hidden="false" customHeight="false" outlineLevel="0" collapsed="false">
      <c r="A3190" s="22"/>
      <c r="B3190" s="22"/>
      <c r="C3190" s="26" t="str">
        <f aca="false">IF(A3190="","",IFERROR(buscarx(A3190&amp;B3190,DATA!$E$3:$E$10000&amp;DATA!$B$3:$B$10000,DATA!$M$3:$M$10000),"No encontrado"))</f>
        <v/>
      </c>
      <c r="D3190" s="27" t="str">
        <f aca="false">IF(A3190="","",IFERROR(buscarx(A3190&amp;B3190,DATA!$E$3:$E$10000&amp;DATA!$B$3:$B$10000,DATA!$W$3:$W$10000),"No encontrado"))</f>
        <v/>
      </c>
      <c r="E3190" s="22"/>
      <c r="F3190" s="26" t="str">
        <f aca="false">IF(A3190="","",IFERROR(buscarx(A3190&amp;E3190,DATA!$E$3:$E$10000&amp;DATA!$B$3:$B$10000,DATA!$M$3:$M$10000),"Inactivo"))</f>
        <v/>
      </c>
      <c r="G3190" s="28" t="str">
        <f aca="false">IF(A3190="","",IF(AND(C3190&lt;&gt;"No encontrado",F3190&lt;&gt;"Inactivo"),C3190&amp;" → "&amp;F3190,"Sin transición"))</f>
        <v/>
      </c>
      <c r="H3190" s="26" t="str">
        <f aca="false">IF(A3190="","",IF(D3190="GCIA LINEA SERVICIO DIGITALIDAD Y VENTAS","Chats",IF(OR(D3190="GERENCIA INBOUND LÍNEAS SERVICIO Y VENTA",D3190="GERENCIA INBOUND LINEAS ESPECIALIZADAS"),"Llamadas","Otro")))</f>
        <v/>
      </c>
      <c r="I3190" s="26" t="str">
        <f aca="false">IF(A3190="","",IF(C3190="No encontrado","No","Sí"))</f>
        <v/>
      </c>
      <c r="J3190" s="26" t="str">
        <f aca="false">IF(A3190="","",IF(F3190="Inactivo","No","Sí"))</f>
        <v/>
      </c>
      <c r="K3190" s="26" t="str">
        <f aca="false">IF(A3190="","",IF(AND(I3190="Sí",J3190="Sí"),"Sí","No"))</f>
        <v/>
      </c>
    </row>
    <row r="3191" customFormat="false" ht="15" hidden="false" customHeight="false" outlineLevel="0" collapsed="false">
      <c r="A3191" s="22"/>
      <c r="B3191" s="22"/>
      <c r="C3191" s="23" t="str">
        <f aca="false">IF(A3191="","",IFERROR(buscarx(A3191&amp;B3191,DATA!$E$3:$E$10000&amp;DATA!$B$3:$B$10000,DATA!$M$3:$M$10000),"No encontrado"))</f>
        <v/>
      </c>
      <c r="D3191" s="24" t="str">
        <f aca="false">IF(A3191="","",IFERROR(buscarx(A3191&amp;B3191,DATA!$E$3:$E$10000&amp;DATA!$B$3:$B$10000,DATA!$W$3:$W$10000),"No encontrado"))</f>
        <v/>
      </c>
      <c r="E3191" s="22"/>
      <c r="F3191" s="23" t="str">
        <f aca="false">IF(A3191="","",IFERROR(buscarx(A3191&amp;E3191,DATA!$E$3:$E$10000&amp;DATA!$B$3:$B$10000,DATA!$M$3:$M$10000),"Inactivo"))</f>
        <v/>
      </c>
      <c r="G3191" s="25" t="str">
        <f aca="false">IF(A3191="","",IF(AND(C3191&lt;&gt;"No encontrado",F3191&lt;&gt;"Inactivo"),C3191&amp;" → "&amp;F3191,"Sin transición"))</f>
        <v/>
      </c>
      <c r="H3191" s="23" t="str">
        <f aca="false">IF(A3191="","",IF(D3191="GCIA LINEA SERVICIO DIGITALIDAD Y VENTAS","Chats",IF(OR(D3191="GERENCIA INBOUND LÍNEAS SERVICIO Y VENTA",D3191="GERENCIA INBOUND LINEAS ESPECIALIZADAS"),"Llamadas","Otro")))</f>
        <v/>
      </c>
      <c r="I3191" s="23" t="str">
        <f aca="false">IF(A3191="","",IF(C3191="No encontrado","No","Sí"))</f>
        <v/>
      </c>
      <c r="J3191" s="23" t="str">
        <f aca="false">IF(A3191="","",IF(F3191="Inactivo","No","Sí"))</f>
        <v/>
      </c>
      <c r="K3191" s="23" t="str">
        <f aca="false">IF(A3191="","",IF(AND(I3191="Sí",J3191="Sí"),"Sí","No"))</f>
        <v/>
      </c>
    </row>
    <row r="3192" customFormat="false" ht="15" hidden="false" customHeight="false" outlineLevel="0" collapsed="false">
      <c r="A3192" s="22"/>
      <c r="B3192" s="22"/>
      <c r="C3192" s="26" t="str">
        <f aca="false">IF(A3192="","",IFERROR(buscarx(A3192&amp;B3192,DATA!$E$3:$E$10000&amp;DATA!$B$3:$B$10000,DATA!$M$3:$M$10000),"No encontrado"))</f>
        <v/>
      </c>
      <c r="D3192" s="27" t="str">
        <f aca="false">IF(A3192="","",IFERROR(buscarx(A3192&amp;B3192,DATA!$E$3:$E$10000&amp;DATA!$B$3:$B$10000,DATA!$W$3:$W$10000),"No encontrado"))</f>
        <v/>
      </c>
      <c r="E3192" s="22"/>
      <c r="F3192" s="26" t="str">
        <f aca="false">IF(A3192="","",IFERROR(buscarx(A3192&amp;E3192,DATA!$E$3:$E$10000&amp;DATA!$B$3:$B$10000,DATA!$M$3:$M$10000),"Inactivo"))</f>
        <v/>
      </c>
      <c r="G3192" s="28" t="str">
        <f aca="false">IF(A3192="","",IF(AND(C3192&lt;&gt;"No encontrado",F3192&lt;&gt;"Inactivo"),C3192&amp;" → "&amp;F3192,"Sin transición"))</f>
        <v/>
      </c>
      <c r="H3192" s="26" t="str">
        <f aca="false">IF(A3192="","",IF(D3192="GCIA LINEA SERVICIO DIGITALIDAD Y VENTAS","Chats",IF(OR(D3192="GERENCIA INBOUND LÍNEAS SERVICIO Y VENTA",D3192="GERENCIA INBOUND LINEAS ESPECIALIZADAS"),"Llamadas","Otro")))</f>
        <v/>
      </c>
      <c r="I3192" s="26" t="str">
        <f aca="false">IF(A3192="","",IF(C3192="No encontrado","No","Sí"))</f>
        <v/>
      </c>
      <c r="J3192" s="26" t="str">
        <f aca="false">IF(A3192="","",IF(F3192="Inactivo","No","Sí"))</f>
        <v/>
      </c>
      <c r="K3192" s="26" t="str">
        <f aca="false">IF(A3192="","",IF(AND(I3192="Sí",J3192="Sí"),"Sí","No"))</f>
        <v/>
      </c>
    </row>
    <row r="3193" customFormat="false" ht="15" hidden="false" customHeight="false" outlineLevel="0" collapsed="false">
      <c r="A3193" s="22"/>
      <c r="B3193" s="22"/>
      <c r="C3193" s="23" t="str">
        <f aca="false">IF(A3193="","",IFERROR(buscarx(A3193&amp;B3193,DATA!$E$3:$E$10000&amp;DATA!$B$3:$B$10000,DATA!$M$3:$M$10000),"No encontrado"))</f>
        <v/>
      </c>
      <c r="D3193" s="24" t="str">
        <f aca="false">IF(A3193="","",IFERROR(buscarx(A3193&amp;B3193,DATA!$E$3:$E$10000&amp;DATA!$B$3:$B$10000,DATA!$W$3:$W$10000),"No encontrado"))</f>
        <v/>
      </c>
      <c r="E3193" s="22"/>
      <c r="F3193" s="23" t="str">
        <f aca="false">IF(A3193="","",IFERROR(buscarx(A3193&amp;E3193,DATA!$E$3:$E$10000&amp;DATA!$B$3:$B$10000,DATA!$M$3:$M$10000),"Inactivo"))</f>
        <v/>
      </c>
      <c r="G3193" s="25" t="str">
        <f aca="false">IF(A3193="","",IF(AND(C3193&lt;&gt;"No encontrado",F3193&lt;&gt;"Inactivo"),C3193&amp;" → "&amp;F3193,"Sin transición"))</f>
        <v/>
      </c>
      <c r="H3193" s="23" t="str">
        <f aca="false">IF(A3193="","",IF(D3193="GCIA LINEA SERVICIO DIGITALIDAD Y VENTAS","Chats",IF(OR(D3193="GERENCIA INBOUND LÍNEAS SERVICIO Y VENTA",D3193="GERENCIA INBOUND LINEAS ESPECIALIZADAS"),"Llamadas","Otro")))</f>
        <v/>
      </c>
      <c r="I3193" s="23" t="str">
        <f aca="false">IF(A3193="","",IF(C3193="No encontrado","No","Sí"))</f>
        <v/>
      </c>
      <c r="J3193" s="23" t="str">
        <f aca="false">IF(A3193="","",IF(F3193="Inactivo","No","Sí"))</f>
        <v/>
      </c>
      <c r="K3193" s="23" t="str">
        <f aca="false">IF(A3193="","",IF(AND(I3193="Sí",J3193="Sí"),"Sí","No"))</f>
        <v/>
      </c>
    </row>
    <row r="3194" customFormat="false" ht="15" hidden="false" customHeight="false" outlineLevel="0" collapsed="false">
      <c r="A3194" s="22"/>
      <c r="B3194" s="22"/>
      <c r="C3194" s="26" t="str">
        <f aca="false">IF(A3194="","",IFERROR(buscarx(A3194&amp;B3194,DATA!$E$3:$E$10000&amp;DATA!$B$3:$B$10000,DATA!$M$3:$M$10000),"No encontrado"))</f>
        <v/>
      </c>
      <c r="D3194" s="27" t="str">
        <f aca="false">IF(A3194="","",IFERROR(buscarx(A3194&amp;B3194,DATA!$E$3:$E$10000&amp;DATA!$B$3:$B$10000,DATA!$W$3:$W$10000),"No encontrado"))</f>
        <v/>
      </c>
      <c r="E3194" s="22"/>
      <c r="F3194" s="26" t="str">
        <f aca="false">IF(A3194="","",IFERROR(buscarx(A3194&amp;E3194,DATA!$E$3:$E$10000&amp;DATA!$B$3:$B$10000,DATA!$M$3:$M$10000),"Inactivo"))</f>
        <v/>
      </c>
      <c r="G3194" s="28" t="str">
        <f aca="false">IF(A3194="","",IF(AND(C3194&lt;&gt;"No encontrado",F3194&lt;&gt;"Inactivo"),C3194&amp;" → "&amp;F3194,"Sin transición"))</f>
        <v/>
      </c>
      <c r="H3194" s="26" t="str">
        <f aca="false">IF(A3194="","",IF(D3194="GCIA LINEA SERVICIO DIGITALIDAD Y VENTAS","Chats",IF(OR(D3194="GERENCIA INBOUND LÍNEAS SERVICIO Y VENTA",D3194="GERENCIA INBOUND LINEAS ESPECIALIZADAS"),"Llamadas","Otro")))</f>
        <v/>
      </c>
      <c r="I3194" s="26" t="str">
        <f aca="false">IF(A3194="","",IF(C3194="No encontrado","No","Sí"))</f>
        <v/>
      </c>
      <c r="J3194" s="26" t="str">
        <f aca="false">IF(A3194="","",IF(F3194="Inactivo","No","Sí"))</f>
        <v/>
      </c>
      <c r="K3194" s="26" t="str">
        <f aca="false">IF(A3194="","",IF(AND(I3194="Sí",J3194="Sí"),"Sí","No"))</f>
        <v/>
      </c>
    </row>
    <row r="3195" customFormat="false" ht="15" hidden="false" customHeight="false" outlineLevel="0" collapsed="false">
      <c r="A3195" s="22"/>
      <c r="B3195" s="22"/>
      <c r="C3195" s="23" t="str">
        <f aca="false">IF(A3195="","",IFERROR(buscarx(A3195&amp;B3195,DATA!$E$3:$E$10000&amp;DATA!$B$3:$B$10000,DATA!$M$3:$M$10000),"No encontrado"))</f>
        <v/>
      </c>
      <c r="D3195" s="24" t="str">
        <f aca="false">IF(A3195="","",IFERROR(buscarx(A3195&amp;B3195,DATA!$E$3:$E$10000&amp;DATA!$B$3:$B$10000,DATA!$W$3:$W$10000),"No encontrado"))</f>
        <v/>
      </c>
      <c r="E3195" s="22"/>
      <c r="F3195" s="23" t="str">
        <f aca="false">IF(A3195="","",IFERROR(buscarx(A3195&amp;E3195,DATA!$E$3:$E$10000&amp;DATA!$B$3:$B$10000,DATA!$M$3:$M$10000),"Inactivo"))</f>
        <v/>
      </c>
      <c r="G3195" s="25" t="str">
        <f aca="false">IF(A3195="","",IF(AND(C3195&lt;&gt;"No encontrado",F3195&lt;&gt;"Inactivo"),C3195&amp;" → "&amp;F3195,"Sin transición"))</f>
        <v/>
      </c>
      <c r="H3195" s="23" t="str">
        <f aca="false">IF(A3195="","",IF(D3195="GCIA LINEA SERVICIO DIGITALIDAD Y VENTAS","Chats",IF(OR(D3195="GERENCIA INBOUND LÍNEAS SERVICIO Y VENTA",D3195="GERENCIA INBOUND LINEAS ESPECIALIZADAS"),"Llamadas","Otro")))</f>
        <v/>
      </c>
      <c r="I3195" s="23" t="str">
        <f aca="false">IF(A3195="","",IF(C3195="No encontrado","No","Sí"))</f>
        <v/>
      </c>
      <c r="J3195" s="23" t="str">
        <f aca="false">IF(A3195="","",IF(F3195="Inactivo","No","Sí"))</f>
        <v/>
      </c>
      <c r="K3195" s="23" t="str">
        <f aca="false">IF(A3195="","",IF(AND(I3195="Sí",J3195="Sí"),"Sí","No"))</f>
        <v/>
      </c>
    </row>
    <row r="3196" customFormat="false" ht="15" hidden="false" customHeight="false" outlineLevel="0" collapsed="false">
      <c r="A3196" s="22"/>
      <c r="B3196" s="22"/>
      <c r="C3196" s="26" t="str">
        <f aca="false">IF(A3196="","",IFERROR(buscarx(A3196&amp;B3196,DATA!$E$3:$E$10000&amp;DATA!$B$3:$B$10000,DATA!$M$3:$M$10000),"No encontrado"))</f>
        <v/>
      </c>
      <c r="D3196" s="27" t="str">
        <f aca="false">IF(A3196="","",IFERROR(buscarx(A3196&amp;B3196,DATA!$E$3:$E$10000&amp;DATA!$B$3:$B$10000,DATA!$W$3:$W$10000),"No encontrado"))</f>
        <v/>
      </c>
      <c r="E3196" s="22"/>
      <c r="F3196" s="26" t="str">
        <f aca="false">IF(A3196="","",IFERROR(buscarx(A3196&amp;E3196,DATA!$E$3:$E$10000&amp;DATA!$B$3:$B$10000,DATA!$M$3:$M$10000),"Inactivo"))</f>
        <v/>
      </c>
      <c r="G3196" s="28" t="str">
        <f aca="false">IF(A3196="","",IF(AND(C3196&lt;&gt;"No encontrado",F3196&lt;&gt;"Inactivo"),C3196&amp;" → "&amp;F3196,"Sin transición"))</f>
        <v/>
      </c>
      <c r="H3196" s="26" t="str">
        <f aca="false">IF(A3196="","",IF(D3196="GCIA LINEA SERVICIO DIGITALIDAD Y VENTAS","Chats",IF(OR(D3196="GERENCIA INBOUND LÍNEAS SERVICIO Y VENTA",D3196="GERENCIA INBOUND LINEAS ESPECIALIZADAS"),"Llamadas","Otro")))</f>
        <v/>
      </c>
      <c r="I3196" s="26" t="str">
        <f aca="false">IF(A3196="","",IF(C3196="No encontrado","No","Sí"))</f>
        <v/>
      </c>
      <c r="J3196" s="26" t="str">
        <f aca="false">IF(A3196="","",IF(F3196="Inactivo","No","Sí"))</f>
        <v/>
      </c>
      <c r="K3196" s="26" t="str">
        <f aca="false">IF(A3196="","",IF(AND(I3196="Sí",J3196="Sí"),"Sí","No"))</f>
        <v/>
      </c>
    </row>
    <row r="3197" customFormat="false" ht="15" hidden="false" customHeight="false" outlineLevel="0" collapsed="false">
      <c r="A3197" s="22"/>
      <c r="B3197" s="22"/>
      <c r="C3197" s="23" t="str">
        <f aca="false">IF(A3197="","",IFERROR(buscarx(A3197&amp;B3197,DATA!$E$3:$E$10000&amp;DATA!$B$3:$B$10000,DATA!$M$3:$M$10000),"No encontrado"))</f>
        <v/>
      </c>
      <c r="D3197" s="24" t="str">
        <f aca="false">IF(A3197="","",IFERROR(buscarx(A3197&amp;B3197,DATA!$E$3:$E$10000&amp;DATA!$B$3:$B$10000,DATA!$W$3:$W$10000),"No encontrado"))</f>
        <v/>
      </c>
      <c r="E3197" s="22"/>
      <c r="F3197" s="23" t="str">
        <f aca="false">IF(A3197="","",IFERROR(buscarx(A3197&amp;E3197,DATA!$E$3:$E$10000&amp;DATA!$B$3:$B$10000,DATA!$M$3:$M$10000),"Inactivo"))</f>
        <v/>
      </c>
      <c r="G3197" s="25" t="str">
        <f aca="false">IF(A3197="","",IF(AND(C3197&lt;&gt;"No encontrado",F3197&lt;&gt;"Inactivo"),C3197&amp;" → "&amp;F3197,"Sin transición"))</f>
        <v/>
      </c>
      <c r="H3197" s="23" t="str">
        <f aca="false">IF(A3197="","",IF(D3197="GCIA LINEA SERVICIO DIGITALIDAD Y VENTAS","Chats",IF(OR(D3197="GERENCIA INBOUND LÍNEAS SERVICIO Y VENTA",D3197="GERENCIA INBOUND LINEAS ESPECIALIZADAS"),"Llamadas","Otro")))</f>
        <v/>
      </c>
      <c r="I3197" s="23" t="str">
        <f aca="false">IF(A3197="","",IF(C3197="No encontrado","No","Sí"))</f>
        <v/>
      </c>
      <c r="J3197" s="23" t="str">
        <f aca="false">IF(A3197="","",IF(F3197="Inactivo","No","Sí"))</f>
        <v/>
      </c>
      <c r="K3197" s="23" t="str">
        <f aca="false">IF(A3197="","",IF(AND(I3197="Sí",J3197="Sí"),"Sí","No"))</f>
        <v/>
      </c>
    </row>
    <row r="3198" customFormat="false" ht="15" hidden="false" customHeight="false" outlineLevel="0" collapsed="false">
      <c r="A3198" s="22"/>
      <c r="B3198" s="22"/>
      <c r="C3198" s="26" t="str">
        <f aca="false">IF(A3198="","",IFERROR(buscarx(A3198&amp;B3198,DATA!$E$3:$E$10000&amp;DATA!$B$3:$B$10000,DATA!$M$3:$M$10000),"No encontrado"))</f>
        <v/>
      </c>
      <c r="D3198" s="27" t="str">
        <f aca="false">IF(A3198="","",IFERROR(buscarx(A3198&amp;B3198,DATA!$E$3:$E$10000&amp;DATA!$B$3:$B$10000,DATA!$W$3:$W$10000),"No encontrado"))</f>
        <v/>
      </c>
      <c r="E3198" s="22"/>
      <c r="F3198" s="26" t="str">
        <f aca="false">IF(A3198="","",IFERROR(buscarx(A3198&amp;E3198,DATA!$E$3:$E$10000&amp;DATA!$B$3:$B$10000,DATA!$M$3:$M$10000),"Inactivo"))</f>
        <v/>
      </c>
      <c r="G3198" s="28" t="str">
        <f aca="false">IF(A3198="","",IF(AND(C3198&lt;&gt;"No encontrado",F3198&lt;&gt;"Inactivo"),C3198&amp;" → "&amp;F3198,"Sin transición"))</f>
        <v/>
      </c>
      <c r="H3198" s="26" t="str">
        <f aca="false">IF(A3198="","",IF(D3198="GCIA LINEA SERVICIO DIGITALIDAD Y VENTAS","Chats",IF(OR(D3198="GERENCIA INBOUND LÍNEAS SERVICIO Y VENTA",D3198="GERENCIA INBOUND LINEAS ESPECIALIZADAS"),"Llamadas","Otro")))</f>
        <v/>
      </c>
      <c r="I3198" s="26" t="str">
        <f aca="false">IF(A3198="","",IF(C3198="No encontrado","No","Sí"))</f>
        <v/>
      </c>
      <c r="J3198" s="26" t="str">
        <f aca="false">IF(A3198="","",IF(F3198="Inactivo","No","Sí"))</f>
        <v/>
      </c>
      <c r="K3198" s="26" t="str">
        <f aca="false">IF(A3198="","",IF(AND(I3198="Sí",J3198="Sí"),"Sí","No"))</f>
        <v/>
      </c>
    </row>
    <row r="3199" customFormat="false" ht="15" hidden="false" customHeight="false" outlineLevel="0" collapsed="false">
      <c r="A3199" s="22"/>
      <c r="B3199" s="22"/>
      <c r="C3199" s="23" t="str">
        <f aca="false">IF(A3199="","",IFERROR(buscarx(A3199&amp;B3199,DATA!$E$3:$E$10000&amp;DATA!$B$3:$B$10000,DATA!$M$3:$M$10000),"No encontrado"))</f>
        <v/>
      </c>
      <c r="D3199" s="24" t="str">
        <f aca="false">IF(A3199="","",IFERROR(buscarx(A3199&amp;B3199,DATA!$E$3:$E$10000&amp;DATA!$B$3:$B$10000,DATA!$W$3:$W$10000),"No encontrado"))</f>
        <v/>
      </c>
      <c r="E3199" s="22"/>
      <c r="F3199" s="23" t="str">
        <f aca="false">IF(A3199="","",IFERROR(buscarx(A3199&amp;E3199,DATA!$E$3:$E$10000&amp;DATA!$B$3:$B$10000,DATA!$M$3:$M$10000),"Inactivo"))</f>
        <v/>
      </c>
      <c r="G3199" s="25" t="str">
        <f aca="false">IF(A3199="","",IF(AND(C3199&lt;&gt;"No encontrado",F3199&lt;&gt;"Inactivo"),C3199&amp;" → "&amp;F3199,"Sin transición"))</f>
        <v/>
      </c>
      <c r="H3199" s="23" t="str">
        <f aca="false">IF(A3199="","",IF(D3199="GCIA LINEA SERVICIO DIGITALIDAD Y VENTAS","Chats",IF(OR(D3199="GERENCIA INBOUND LÍNEAS SERVICIO Y VENTA",D3199="GERENCIA INBOUND LINEAS ESPECIALIZADAS"),"Llamadas","Otro")))</f>
        <v/>
      </c>
      <c r="I3199" s="23" t="str">
        <f aca="false">IF(A3199="","",IF(C3199="No encontrado","No","Sí"))</f>
        <v/>
      </c>
      <c r="J3199" s="23" t="str">
        <f aca="false">IF(A3199="","",IF(F3199="Inactivo","No","Sí"))</f>
        <v/>
      </c>
      <c r="K3199" s="23" t="str">
        <f aca="false">IF(A3199="","",IF(AND(I3199="Sí",J3199="Sí"),"Sí","No"))</f>
        <v/>
      </c>
    </row>
    <row r="3200" customFormat="false" ht="15" hidden="false" customHeight="false" outlineLevel="0" collapsed="false">
      <c r="A3200" s="22"/>
      <c r="B3200" s="22"/>
      <c r="C3200" s="26" t="str">
        <f aca="false">IF(A3200="","",IFERROR(buscarx(A3200&amp;B3200,DATA!$E$3:$E$10000&amp;DATA!$B$3:$B$10000,DATA!$M$3:$M$10000),"No encontrado"))</f>
        <v/>
      </c>
      <c r="D3200" s="27" t="str">
        <f aca="false">IF(A3200="","",IFERROR(buscarx(A3200&amp;B3200,DATA!$E$3:$E$10000&amp;DATA!$B$3:$B$10000,DATA!$W$3:$W$10000),"No encontrado"))</f>
        <v/>
      </c>
      <c r="E3200" s="22"/>
      <c r="F3200" s="26" t="str">
        <f aca="false">IF(A3200="","",IFERROR(buscarx(A3200&amp;E3200,DATA!$E$3:$E$10000&amp;DATA!$B$3:$B$10000,DATA!$M$3:$M$10000),"Inactivo"))</f>
        <v/>
      </c>
      <c r="G3200" s="28" t="str">
        <f aca="false">IF(A3200="","",IF(AND(C3200&lt;&gt;"No encontrado",F3200&lt;&gt;"Inactivo"),C3200&amp;" → "&amp;F3200,"Sin transición"))</f>
        <v/>
      </c>
      <c r="H3200" s="26" t="str">
        <f aca="false">IF(A3200="","",IF(D3200="GCIA LINEA SERVICIO DIGITALIDAD Y VENTAS","Chats",IF(OR(D3200="GERENCIA INBOUND LÍNEAS SERVICIO Y VENTA",D3200="GERENCIA INBOUND LINEAS ESPECIALIZADAS"),"Llamadas","Otro")))</f>
        <v/>
      </c>
      <c r="I3200" s="26" t="str">
        <f aca="false">IF(A3200="","",IF(C3200="No encontrado","No","Sí"))</f>
        <v/>
      </c>
      <c r="J3200" s="26" t="str">
        <f aca="false">IF(A3200="","",IF(F3200="Inactivo","No","Sí"))</f>
        <v/>
      </c>
      <c r="K3200" s="26" t="str">
        <f aca="false">IF(A3200="","",IF(AND(I3200="Sí",J3200="Sí"),"Sí","No"))</f>
        <v/>
      </c>
    </row>
    <row r="3201" customFormat="false" ht="15" hidden="false" customHeight="false" outlineLevel="0" collapsed="false">
      <c r="A3201" s="22"/>
      <c r="B3201" s="22"/>
      <c r="C3201" s="23" t="str">
        <f aca="false">IF(A3201="","",IFERROR(buscarx(A3201&amp;B3201,DATA!$E$3:$E$10000&amp;DATA!$B$3:$B$10000,DATA!$M$3:$M$10000),"No encontrado"))</f>
        <v/>
      </c>
      <c r="D3201" s="24" t="str">
        <f aca="false">IF(A3201="","",IFERROR(buscarx(A3201&amp;B3201,DATA!$E$3:$E$10000&amp;DATA!$B$3:$B$10000,DATA!$W$3:$W$10000),"No encontrado"))</f>
        <v/>
      </c>
      <c r="E3201" s="22"/>
      <c r="F3201" s="23" t="str">
        <f aca="false">IF(A3201="","",IFERROR(buscarx(A3201&amp;E3201,DATA!$E$3:$E$10000&amp;DATA!$B$3:$B$10000,DATA!$M$3:$M$10000),"Inactivo"))</f>
        <v/>
      </c>
      <c r="G3201" s="25" t="str">
        <f aca="false">IF(A3201="","",IF(AND(C3201&lt;&gt;"No encontrado",F3201&lt;&gt;"Inactivo"),C3201&amp;" → "&amp;F3201,"Sin transición"))</f>
        <v/>
      </c>
      <c r="H3201" s="23" t="str">
        <f aca="false">IF(A3201="","",IF(D3201="GCIA LINEA SERVICIO DIGITALIDAD Y VENTAS","Chats",IF(OR(D3201="GERENCIA INBOUND LÍNEAS SERVICIO Y VENTA",D3201="GERENCIA INBOUND LINEAS ESPECIALIZADAS"),"Llamadas","Otro")))</f>
        <v/>
      </c>
      <c r="I3201" s="23" t="str">
        <f aca="false">IF(A3201="","",IF(C3201="No encontrado","No","Sí"))</f>
        <v/>
      </c>
      <c r="J3201" s="23" t="str">
        <f aca="false">IF(A3201="","",IF(F3201="Inactivo","No","Sí"))</f>
        <v/>
      </c>
      <c r="K3201" s="23" t="str">
        <f aca="false">IF(A3201="","",IF(AND(I3201="Sí",J3201="Sí"),"Sí","No"))</f>
        <v/>
      </c>
    </row>
    <row r="3202" customFormat="false" ht="15" hidden="false" customHeight="false" outlineLevel="0" collapsed="false">
      <c r="A3202" s="22"/>
      <c r="B3202" s="22"/>
      <c r="C3202" s="26" t="str">
        <f aca="false">IF(A3202="","",IFERROR(buscarx(A3202&amp;B3202,DATA!$E$3:$E$10000&amp;DATA!$B$3:$B$10000,DATA!$M$3:$M$10000),"No encontrado"))</f>
        <v/>
      </c>
      <c r="D3202" s="27" t="str">
        <f aca="false">IF(A3202="","",IFERROR(buscarx(A3202&amp;B3202,DATA!$E$3:$E$10000&amp;DATA!$B$3:$B$10000,DATA!$W$3:$W$10000),"No encontrado"))</f>
        <v/>
      </c>
      <c r="E3202" s="22"/>
      <c r="F3202" s="26" t="str">
        <f aca="false">IF(A3202="","",IFERROR(buscarx(A3202&amp;E3202,DATA!$E$3:$E$10000&amp;DATA!$B$3:$B$10000,DATA!$M$3:$M$10000),"Inactivo"))</f>
        <v/>
      </c>
      <c r="G3202" s="28" t="str">
        <f aca="false">IF(A3202="","",IF(AND(C3202&lt;&gt;"No encontrado",F3202&lt;&gt;"Inactivo"),C3202&amp;" → "&amp;F3202,"Sin transición"))</f>
        <v/>
      </c>
      <c r="H3202" s="26" t="str">
        <f aca="false">IF(A3202="","",IF(D3202="GCIA LINEA SERVICIO DIGITALIDAD Y VENTAS","Chats",IF(OR(D3202="GERENCIA INBOUND LÍNEAS SERVICIO Y VENTA",D3202="GERENCIA INBOUND LINEAS ESPECIALIZADAS"),"Llamadas","Otro")))</f>
        <v/>
      </c>
      <c r="I3202" s="26" t="str">
        <f aca="false">IF(A3202="","",IF(C3202="No encontrado","No","Sí"))</f>
        <v/>
      </c>
      <c r="J3202" s="26" t="str">
        <f aca="false">IF(A3202="","",IF(F3202="Inactivo","No","Sí"))</f>
        <v/>
      </c>
      <c r="K3202" s="26" t="str">
        <f aca="false">IF(A3202="","",IF(AND(I3202="Sí",J3202="Sí"),"Sí","No"))</f>
        <v/>
      </c>
    </row>
    <row r="3203" customFormat="false" ht="15" hidden="false" customHeight="false" outlineLevel="0" collapsed="false">
      <c r="A3203" s="22"/>
      <c r="B3203" s="22"/>
      <c r="C3203" s="23" t="str">
        <f aca="false">IF(A3203="","",IFERROR(buscarx(A3203&amp;B3203,DATA!$E$3:$E$10000&amp;DATA!$B$3:$B$10000,DATA!$M$3:$M$10000),"No encontrado"))</f>
        <v/>
      </c>
      <c r="D3203" s="24" t="str">
        <f aca="false">IF(A3203="","",IFERROR(buscarx(A3203&amp;B3203,DATA!$E$3:$E$10000&amp;DATA!$B$3:$B$10000,DATA!$W$3:$W$10000),"No encontrado"))</f>
        <v/>
      </c>
      <c r="E3203" s="22"/>
      <c r="F3203" s="23" t="str">
        <f aca="false">IF(A3203="","",IFERROR(buscarx(A3203&amp;E3203,DATA!$E$3:$E$10000&amp;DATA!$B$3:$B$10000,DATA!$M$3:$M$10000),"Inactivo"))</f>
        <v/>
      </c>
      <c r="G3203" s="25" t="str">
        <f aca="false">IF(A3203="","",IF(AND(C3203&lt;&gt;"No encontrado",F3203&lt;&gt;"Inactivo"),C3203&amp;" → "&amp;F3203,"Sin transición"))</f>
        <v/>
      </c>
      <c r="H3203" s="23" t="str">
        <f aca="false">IF(A3203="","",IF(D3203="GCIA LINEA SERVICIO DIGITALIDAD Y VENTAS","Chats",IF(OR(D3203="GERENCIA INBOUND LÍNEAS SERVICIO Y VENTA",D3203="GERENCIA INBOUND LINEAS ESPECIALIZADAS"),"Llamadas","Otro")))</f>
        <v/>
      </c>
      <c r="I3203" s="23" t="str">
        <f aca="false">IF(A3203="","",IF(C3203="No encontrado","No","Sí"))</f>
        <v/>
      </c>
      <c r="J3203" s="23" t="str">
        <f aca="false">IF(A3203="","",IF(F3203="Inactivo","No","Sí"))</f>
        <v/>
      </c>
      <c r="K3203" s="23" t="str">
        <f aca="false">IF(A3203="","",IF(AND(I3203="Sí",J3203="Sí"),"Sí","No"))</f>
        <v/>
      </c>
    </row>
    <row r="3204" customFormat="false" ht="15" hidden="false" customHeight="false" outlineLevel="0" collapsed="false">
      <c r="A3204" s="22"/>
      <c r="B3204" s="22"/>
      <c r="C3204" s="26" t="str">
        <f aca="false">IF(A3204="","",IFERROR(buscarx(A3204&amp;B3204,DATA!$E$3:$E$10000&amp;DATA!$B$3:$B$10000,DATA!$M$3:$M$10000),"No encontrado"))</f>
        <v/>
      </c>
      <c r="D3204" s="27" t="str">
        <f aca="false">IF(A3204="","",IFERROR(buscarx(A3204&amp;B3204,DATA!$E$3:$E$10000&amp;DATA!$B$3:$B$10000,DATA!$W$3:$W$10000),"No encontrado"))</f>
        <v/>
      </c>
      <c r="E3204" s="22"/>
      <c r="F3204" s="26" t="str">
        <f aca="false">IF(A3204="","",IFERROR(buscarx(A3204&amp;E3204,DATA!$E$3:$E$10000&amp;DATA!$B$3:$B$10000,DATA!$M$3:$M$10000),"Inactivo"))</f>
        <v/>
      </c>
      <c r="G3204" s="28" t="str">
        <f aca="false">IF(A3204="","",IF(AND(C3204&lt;&gt;"No encontrado",F3204&lt;&gt;"Inactivo"),C3204&amp;" → "&amp;F3204,"Sin transición"))</f>
        <v/>
      </c>
      <c r="H3204" s="26" t="str">
        <f aca="false">IF(A3204="","",IF(D3204="GCIA LINEA SERVICIO DIGITALIDAD Y VENTAS","Chats",IF(OR(D3204="GERENCIA INBOUND LÍNEAS SERVICIO Y VENTA",D3204="GERENCIA INBOUND LINEAS ESPECIALIZADAS"),"Llamadas","Otro")))</f>
        <v/>
      </c>
      <c r="I3204" s="26" t="str">
        <f aca="false">IF(A3204="","",IF(C3204="No encontrado","No","Sí"))</f>
        <v/>
      </c>
      <c r="J3204" s="26" t="str">
        <f aca="false">IF(A3204="","",IF(F3204="Inactivo","No","Sí"))</f>
        <v/>
      </c>
      <c r="K3204" s="26" t="str">
        <f aca="false">IF(A3204="","",IF(AND(I3204="Sí",J3204="Sí"),"Sí","No"))</f>
        <v/>
      </c>
    </row>
    <row r="3205" customFormat="false" ht="15" hidden="false" customHeight="false" outlineLevel="0" collapsed="false">
      <c r="A3205" s="22"/>
      <c r="B3205" s="22"/>
      <c r="C3205" s="23" t="str">
        <f aca="false">IF(A3205="","",IFERROR(buscarx(A3205&amp;B3205,DATA!$E$3:$E$10000&amp;DATA!$B$3:$B$10000,DATA!$M$3:$M$10000),"No encontrado"))</f>
        <v/>
      </c>
      <c r="D3205" s="24" t="str">
        <f aca="false">IF(A3205="","",IFERROR(buscarx(A3205&amp;B3205,DATA!$E$3:$E$10000&amp;DATA!$B$3:$B$10000,DATA!$W$3:$W$10000),"No encontrado"))</f>
        <v/>
      </c>
      <c r="E3205" s="22"/>
      <c r="F3205" s="23" t="str">
        <f aca="false">IF(A3205="","",IFERROR(buscarx(A3205&amp;E3205,DATA!$E$3:$E$10000&amp;DATA!$B$3:$B$10000,DATA!$M$3:$M$10000),"Inactivo"))</f>
        <v/>
      </c>
      <c r="G3205" s="25" t="str">
        <f aca="false">IF(A3205="","",IF(AND(C3205&lt;&gt;"No encontrado",F3205&lt;&gt;"Inactivo"),C3205&amp;" → "&amp;F3205,"Sin transición"))</f>
        <v/>
      </c>
      <c r="H3205" s="23" t="str">
        <f aca="false">IF(A3205="","",IF(D3205="GCIA LINEA SERVICIO DIGITALIDAD Y VENTAS","Chats",IF(OR(D3205="GERENCIA INBOUND LÍNEAS SERVICIO Y VENTA",D3205="GERENCIA INBOUND LINEAS ESPECIALIZADAS"),"Llamadas","Otro")))</f>
        <v/>
      </c>
      <c r="I3205" s="23" t="str">
        <f aca="false">IF(A3205="","",IF(C3205="No encontrado","No","Sí"))</f>
        <v/>
      </c>
      <c r="J3205" s="23" t="str">
        <f aca="false">IF(A3205="","",IF(F3205="Inactivo","No","Sí"))</f>
        <v/>
      </c>
      <c r="K3205" s="23" t="str">
        <f aca="false">IF(A3205="","",IF(AND(I3205="Sí",J3205="Sí"),"Sí","No"))</f>
        <v/>
      </c>
    </row>
    <row r="3206" customFormat="false" ht="15" hidden="false" customHeight="false" outlineLevel="0" collapsed="false">
      <c r="A3206" s="22"/>
      <c r="B3206" s="22"/>
      <c r="C3206" s="26" t="str">
        <f aca="false">IF(A3206="","",IFERROR(buscarx(A3206&amp;B3206,DATA!$E$3:$E$10000&amp;DATA!$B$3:$B$10000,DATA!$M$3:$M$10000),"No encontrado"))</f>
        <v/>
      </c>
      <c r="D3206" s="27" t="str">
        <f aca="false">IF(A3206="","",IFERROR(buscarx(A3206&amp;B3206,DATA!$E$3:$E$10000&amp;DATA!$B$3:$B$10000,DATA!$W$3:$W$10000),"No encontrado"))</f>
        <v/>
      </c>
      <c r="E3206" s="22"/>
      <c r="F3206" s="26" t="str">
        <f aca="false">IF(A3206="","",IFERROR(buscarx(A3206&amp;E3206,DATA!$E$3:$E$10000&amp;DATA!$B$3:$B$10000,DATA!$M$3:$M$10000),"Inactivo"))</f>
        <v/>
      </c>
      <c r="G3206" s="28" t="str">
        <f aca="false">IF(A3206="","",IF(AND(C3206&lt;&gt;"No encontrado",F3206&lt;&gt;"Inactivo"),C3206&amp;" → "&amp;F3206,"Sin transición"))</f>
        <v/>
      </c>
      <c r="H3206" s="26" t="str">
        <f aca="false">IF(A3206="","",IF(D3206="GCIA LINEA SERVICIO DIGITALIDAD Y VENTAS","Chats",IF(OR(D3206="GERENCIA INBOUND LÍNEAS SERVICIO Y VENTA",D3206="GERENCIA INBOUND LINEAS ESPECIALIZADAS"),"Llamadas","Otro")))</f>
        <v/>
      </c>
      <c r="I3206" s="26" t="str">
        <f aca="false">IF(A3206="","",IF(C3206="No encontrado","No","Sí"))</f>
        <v/>
      </c>
      <c r="J3206" s="26" t="str">
        <f aca="false">IF(A3206="","",IF(F3206="Inactivo","No","Sí"))</f>
        <v/>
      </c>
      <c r="K3206" s="26" t="str">
        <f aca="false">IF(A3206="","",IF(AND(I3206="Sí",J3206="Sí"),"Sí","No"))</f>
        <v/>
      </c>
    </row>
    <row r="3207" customFormat="false" ht="15" hidden="false" customHeight="false" outlineLevel="0" collapsed="false">
      <c r="A3207" s="22"/>
      <c r="B3207" s="22"/>
      <c r="C3207" s="23" t="str">
        <f aca="false">IF(A3207="","",IFERROR(buscarx(A3207&amp;B3207,DATA!$E$3:$E$10000&amp;DATA!$B$3:$B$10000,DATA!$M$3:$M$10000),"No encontrado"))</f>
        <v/>
      </c>
      <c r="D3207" s="24" t="str">
        <f aca="false">IF(A3207="","",IFERROR(buscarx(A3207&amp;B3207,DATA!$E$3:$E$10000&amp;DATA!$B$3:$B$10000,DATA!$W$3:$W$10000),"No encontrado"))</f>
        <v/>
      </c>
      <c r="E3207" s="22"/>
      <c r="F3207" s="23" t="str">
        <f aca="false">IF(A3207="","",IFERROR(buscarx(A3207&amp;E3207,DATA!$E$3:$E$10000&amp;DATA!$B$3:$B$10000,DATA!$M$3:$M$10000),"Inactivo"))</f>
        <v/>
      </c>
      <c r="G3207" s="25" t="str">
        <f aca="false">IF(A3207="","",IF(AND(C3207&lt;&gt;"No encontrado",F3207&lt;&gt;"Inactivo"),C3207&amp;" → "&amp;F3207,"Sin transición"))</f>
        <v/>
      </c>
      <c r="H3207" s="23" t="str">
        <f aca="false">IF(A3207="","",IF(D3207="GCIA LINEA SERVICIO DIGITALIDAD Y VENTAS","Chats",IF(OR(D3207="GERENCIA INBOUND LÍNEAS SERVICIO Y VENTA",D3207="GERENCIA INBOUND LINEAS ESPECIALIZADAS"),"Llamadas","Otro")))</f>
        <v/>
      </c>
      <c r="I3207" s="23" t="str">
        <f aca="false">IF(A3207="","",IF(C3207="No encontrado","No","Sí"))</f>
        <v/>
      </c>
      <c r="J3207" s="23" t="str">
        <f aca="false">IF(A3207="","",IF(F3207="Inactivo","No","Sí"))</f>
        <v/>
      </c>
      <c r="K3207" s="23" t="str">
        <f aca="false">IF(A3207="","",IF(AND(I3207="Sí",J3207="Sí"),"Sí","No"))</f>
        <v/>
      </c>
    </row>
    <row r="3208" customFormat="false" ht="15" hidden="false" customHeight="false" outlineLevel="0" collapsed="false">
      <c r="A3208" s="22"/>
      <c r="B3208" s="22"/>
      <c r="C3208" s="26" t="str">
        <f aca="false">IF(A3208="","",IFERROR(buscarx(A3208&amp;B3208,DATA!$E$3:$E$10000&amp;DATA!$B$3:$B$10000,DATA!$M$3:$M$10000),"No encontrado"))</f>
        <v/>
      </c>
      <c r="D3208" s="27" t="str">
        <f aca="false">IF(A3208="","",IFERROR(buscarx(A3208&amp;B3208,DATA!$E$3:$E$10000&amp;DATA!$B$3:$B$10000,DATA!$W$3:$W$10000),"No encontrado"))</f>
        <v/>
      </c>
      <c r="E3208" s="22"/>
      <c r="F3208" s="26" t="str">
        <f aca="false">IF(A3208="","",IFERROR(buscarx(A3208&amp;E3208,DATA!$E$3:$E$10000&amp;DATA!$B$3:$B$10000,DATA!$M$3:$M$10000),"Inactivo"))</f>
        <v/>
      </c>
      <c r="G3208" s="28" t="str">
        <f aca="false">IF(A3208="","",IF(AND(C3208&lt;&gt;"No encontrado",F3208&lt;&gt;"Inactivo"),C3208&amp;" → "&amp;F3208,"Sin transición"))</f>
        <v/>
      </c>
      <c r="H3208" s="26" t="str">
        <f aca="false">IF(A3208="","",IF(D3208="GCIA LINEA SERVICIO DIGITALIDAD Y VENTAS","Chats",IF(OR(D3208="GERENCIA INBOUND LÍNEAS SERVICIO Y VENTA",D3208="GERENCIA INBOUND LINEAS ESPECIALIZADAS"),"Llamadas","Otro")))</f>
        <v/>
      </c>
      <c r="I3208" s="26" t="str">
        <f aca="false">IF(A3208="","",IF(C3208="No encontrado","No","Sí"))</f>
        <v/>
      </c>
      <c r="J3208" s="26" t="str">
        <f aca="false">IF(A3208="","",IF(F3208="Inactivo","No","Sí"))</f>
        <v/>
      </c>
      <c r="K3208" s="26" t="str">
        <f aca="false">IF(A3208="","",IF(AND(I3208="Sí",J3208="Sí"),"Sí","No"))</f>
        <v/>
      </c>
    </row>
    <row r="3209" customFormat="false" ht="15" hidden="false" customHeight="false" outlineLevel="0" collapsed="false">
      <c r="A3209" s="22"/>
      <c r="B3209" s="22"/>
      <c r="C3209" s="23" t="str">
        <f aca="false">IF(A3209="","",IFERROR(buscarx(A3209&amp;B3209,DATA!$E$3:$E$10000&amp;DATA!$B$3:$B$10000,DATA!$M$3:$M$10000),"No encontrado"))</f>
        <v/>
      </c>
      <c r="D3209" s="24" t="str">
        <f aca="false">IF(A3209="","",IFERROR(buscarx(A3209&amp;B3209,DATA!$E$3:$E$10000&amp;DATA!$B$3:$B$10000,DATA!$W$3:$W$10000),"No encontrado"))</f>
        <v/>
      </c>
      <c r="E3209" s="22"/>
      <c r="F3209" s="23" t="str">
        <f aca="false">IF(A3209="","",IFERROR(buscarx(A3209&amp;E3209,DATA!$E$3:$E$10000&amp;DATA!$B$3:$B$10000,DATA!$M$3:$M$10000),"Inactivo"))</f>
        <v/>
      </c>
      <c r="G3209" s="25" t="str">
        <f aca="false">IF(A3209="","",IF(AND(C3209&lt;&gt;"No encontrado",F3209&lt;&gt;"Inactivo"),C3209&amp;" → "&amp;F3209,"Sin transición"))</f>
        <v/>
      </c>
      <c r="H3209" s="23" t="str">
        <f aca="false">IF(A3209="","",IF(D3209="GCIA LINEA SERVICIO DIGITALIDAD Y VENTAS","Chats",IF(OR(D3209="GERENCIA INBOUND LÍNEAS SERVICIO Y VENTA",D3209="GERENCIA INBOUND LINEAS ESPECIALIZADAS"),"Llamadas","Otro")))</f>
        <v/>
      </c>
      <c r="I3209" s="23" t="str">
        <f aca="false">IF(A3209="","",IF(C3209="No encontrado","No","Sí"))</f>
        <v/>
      </c>
      <c r="J3209" s="23" t="str">
        <f aca="false">IF(A3209="","",IF(F3209="Inactivo","No","Sí"))</f>
        <v/>
      </c>
      <c r="K3209" s="23" t="str">
        <f aca="false">IF(A3209="","",IF(AND(I3209="Sí",J3209="Sí"),"Sí","No"))</f>
        <v/>
      </c>
    </row>
    <row r="3210" customFormat="false" ht="15" hidden="false" customHeight="false" outlineLevel="0" collapsed="false">
      <c r="A3210" s="22"/>
      <c r="B3210" s="22"/>
      <c r="C3210" s="26" t="str">
        <f aca="false">IF(A3210="","",IFERROR(buscarx(A3210&amp;B3210,DATA!$E$3:$E$10000&amp;DATA!$B$3:$B$10000,DATA!$M$3:$M$10000),"No encontrado"))</f>
        <v/>
      </c>
      <c r="D3210" s="27" t="str">
        <f aca="false">IF(A3210="","",IFERROR(buscarx(A3210&amp;B3210,DATA!$E$3:$E$10000&amp;DATA!$B$3:$B$10000,DATA!$W$3:$W$10000),"No encontrado"))</f>
        <v/>
      </c>
      <c r="E3210" s="22"/>
      <c r="F3210" s="26" t="str">
        <f aca="false">IF(A3210="","",IFERROR(buscarx(A3210&amp;E3210,DATA!$E$3:$E$10000&amp;DATA!$B$3:$B$10000,DATA!$M$3:$M$10000),"Inactivo"))</f>
        <v/>
      </c>
      <c r="G3210" s="28" t="str">
        <f aca="false">IF(A3210="","",IF(AND(C3210&lt;&gt;"No encontrado",F3210&lt;&gt;"Inactivo"),C3210&amp;" → "&amp;F3210,"Sin transición"))</f>
        <v/>
      </c>
      <c r="H3210" s="26" t="str">
        <f aca="false">IF(A3210="","",IF(D3210="GCIA LINEA SERVICIO DIGITALIDAD Y VENTAS","Chats",IF(OR(D3210="GERENCIA INBOUND LÍNEAS SERVICIO Y VENTA",D3210="GERENCIA INBOUND LINEAS ESPECIALIZADAS"),"Llamadas","Otro")))</f>
        <v/>
      </c>
      <c r="I3210" s="26" t="str">
        <f aca="false">IF(A3210="","",IF(C3210="No encontrado","No","Sí"))</f>
        <v/>
      </c>
      <c r="J3210" s="26" t="str">
        <f aca="false">IF(A3210="","",IF(F3210="Inactivo","No","Sí"))</f>
        <v/>
      </c>
      <c r="K3210" s="26" t="str">
        <f aca="false">IF(A3210="","",IF(AND(I3210="Sí",J3210="Sí"),"Sí","No"))</f>
        <v/>
      </c>
    </row>
    <row r="3211" customFormat="false" ht="15" hidden="false" customHeight="false" outlineLevel="0" collapsed="false">
      <c r="A3211" s="22"/>
      <c r="B3211" s="22"/>
      <c r="C3211" s="23" t="str">
        <f aca="false">IF(A3211="","",IFERROR(buscarx(A3211&amp;B3211,DATA!$E$3:$E$10000&amp;DATA!$B$3:$B$10000,DATA!$M$3:$M$10000),"No encontrado"))</f>
        <v/>
      </c>
      <c r="D3211" s="24" t="str">
        <f aca="false">IF(A3211="","",IFERROR(buscarx(A3211&amp;B3211,DATA!$E$3:$E$10000&amp;DATA!$B$3:$B$10000,DATA!$W$3:$W$10000),"No encontrado"))</f>
        <v/>
      </c>
      <c r="E3211" s="22"/>
      <c r="F3211" s="23" t="str">
        <f aca="false">IF(A3211="","",IFERROR(buscarx(A3211&amp;E3211,DATA!$E$3:$E$10000&amp;DATA!$B$3:$B$10000,DATA!$M$3:$M$10000),"Inactivo"))</f>
        <v/>
      </c>
      <c r="G3211" s="25" t="str">
        <f aca="false">IF(A3211="","",IF(AND(C3211&lt;&gt;"No encontrado",F3211&lt;&gt;"Inactivo"),C3211&amp;" → "&amp;F3211,"Sin transición"))</f>
        <v/>
      </c>
      <c r="H3211" s="23" t="str">
        <f aca="false">IF(A3211="","",IF(D3211="GCIA LINEA SERVICIO DIGITALIDAD Y VENTAS","Chats",IF(OR(D3211="GERENCIA INBOUND LÍNEAS SERVICIO Y VENTA",D3211="GERENCIA INBOUND LINEAS ESPECIALIZADAS"),"Llamadas","Otro")))</f>
        <v/>
      </c>
      <c r="I3211" s="23" t="str">
        <f aca="false">IF(A3211="","",IF(C3211="No encontrado","No","Sí"))</f>
        <v/>
      </c>
      <c r="J3211" s="23" t="str">
        <f aca="false">IF(A3211="","",IF(F3211="Inactivo","No","Sí"))</f>
        <v/>
      </c>
      <c r="K3211" s="23" t="str">
        <f aca="false">IF(A3211="","",IF(AND(I3211="Sí",J3211="Sí"),"Sí","No"))</f>
        <v/>
      </c>
    </row>
    <row r="3212" customFormat="false" ht="15" hidden="false" customHeight="false" outlineLevel="0" collapsed="false">
      <c r="A3212" s="22"/>
      <c r="B3212" s="22"/>
      <c r="C3212" s="26" t="str">
        <f aca="false">IF(A3212="","",IFERROR(buscarx(A3212&amp;B3212,DATA!$E$3:$E$10000&amp;DATA!$B$3:$B$10000,DATA!$M$3:$M$10000),"No encontrado"))</f>
        <v/>
      </c>
      <c r="D3212" s="27" t="str">
        <f aca="false">IF(A3212="","",IFERROR(buscarx(A3212&amp;B3212,DATA!$E$3:$E$10000&amp;DATA!$B$3:$B$10000,DATA!$W$3:$W$10000),"No encontrado"))</f>
        <v/>
      </c>
      <c r="E3212" s="22"/>
      <c r="F3212" s="26" t="str">
        <f aca="false">IF(A3212="","",IFERROR(buscarx(A3212&amp;E3212,DATA!$E$3:$E$10000&amp;DATA!$B$3:$B$10000,DATA!$M$3:$M$10000),"Inactivo"))</f>
        <v/>
      </c>
      <c r="G3212" s="28" t="str">
        <f aca="false">IF(A3212="","",IF(AND(C3212&lt;&gt;"No encontrado",F3212&lt;&gt;"Inactivo"),C3212&amp;" → "&amp;F3212,"Sin transición"))</f>
        <v/>
      </c>
      <c r="H3212" s="26" t="str">
        <f aca="false">IF(A3212="","",IF(D3212="GCIA LINEA SERVICIO DIGITALIDAD Y VENTAS","Chats",IF(OR(D3212="GERENCIA INBOUND LÍNEAS SERVICIO Y VENTA",D3212="GERENCIA INBOUND LINEAS ESPECIALIZADAS"),"Llamadas","Otro")))</f>
        <v/>
      </c>
      <c r="I3212" s="26" t="str">
        <f aca="false">IF(A3212="","",IF(C3212="No encontrado","No","Sí"))</f>
        <v/>
      </c>
      <c r="J3212" s="26" t="str">
        <f aca="false">IF(A3212="","",IF(F3212="Inactivo","No","Sí"))</f>
        <v/>
      </c>
      <c r="K3212" s="26" t="str">
        <f aca="false">IF(A3212="","",IF(AND(I3212="Sí",J3212="Sí"),"Sí","No"))</f>
        <v/>
      </c>
    </row>
    <row r="3213" customFormat="false" ht="15" hidden="false" customHeight="false" outlineLevel="0" collapsed="false">
      <c r="A3213" s="22"/>
      <c r="B3213" s="22"/>
      <c r="C3213" s="23" t="str">
        <f aca="false">IF(A3213="","",IFERROR(buscarx(A3213&amp;B3213,DATA!$E$3:$E$10000&amp;DATA!$B$3:$B$10000,DATA!$M$3:$M$10000),"No encontrado"))</f>
        <v/>
      </c>
      <c r="D3213" s="24" t="str">
        <f aca="false">IF(A3213="","",IFERROR(buscarx(A3213&amp;B3213,DATA!$E$3:$E$10000&amp;DATA!$B$3:$B$10000,DATA!$W$3:$W$10000),"No encontrado"))</f>
        <v/>
      </c>
      <c r="E3213" s="22"/>
      <c r="F3213" s="23" t="str">
        <f aca="false">IF(A3213="","",IFERROR(buscarx(A3213&amp;E3213,DATA!$E$3:$E$10000&amp;DATA!$B$3:$B$10000,DATA!$M$3:$M$10000),"Inactivo"))</f>
        <v/>
      </c>
      <c r="G3213" s="25" t="str">
        <f aca="false">IF(A3213="","",IF(AND(C3213&lt;&gt;"No encontrado",F3213&lt;&gt;"Inactivo"),C3213&amp;" → "&amp;F3213,"Sin transición"))</f>
        <v/>
      </c>
      <c r="H3213" s="23" t="str">
        <f aca="false">IF(A3213="","",IF(D3213="GCIA LINEA SERVICIO DIGITALIDAD Y VENTAS","Chats",IF(OR(D3213="GERENCIA INBOUND LÍNEAS SERVICIO Y VENTA",D3213="GERENCIA INBOUND LINEAS ESPECIALIZADAS"),"Llamadas","Otro")))</f>
        <v/>
      </c>
      <c r="I3213" s="23" t="str">
        <f aca="false">IF(A3213="","",IF(C3213="No encontrado","No","Sí"))</f>
        <v/>
      </c>
      <c r="J3213" s="23" t="str">
        <f aca="false">IF(A3213="","",IF(F3213="Inactivo","No","Sí"))</f>
        <v/>
      </c>
      <c r="K3213" s="23" t="str">
        <f aca="false">IF(A3213="","",IF(AND(I3213="Sí",J3213="Sí"),"Sí","No"))</f>
        <v/>
      </c>
    </row>
    <row r="3214" customFormat="false" ht="15" hidden="false" customHeight="false" outlineLevel="0" collapsed="false">
      <c r="A3214" s="22"/>
      <c r="B3214" s="22"/>
      <c r="C3214" s="26" t="str">
        <f aca="false">IF(A3214="","",IFERROR(buscarx(A3214&amp;B3214,DATA!$E$3:$E$10000&amp;DATA!$B$3:$B$10000,DATA!$M$3:$M$10000),"No encontrado"))</f>
        <v/>
      </c>
      <c r="D3214" s="27" t="str">
        <f aca="false">IF(A3214="","",IFERROR(buscarx(A3214&amp;B3214,DATA!$E$3:$E$10000&amp;DATA!$B$3:$B$10000,DATA!$W$3:$W$10000),"No encontrado"))</f>
        <v/>
      </c>
      <c r="E3214" s="22"/>
      <c r="F3214" s="26" t="str">
        <f aca="false">IF(A3214="","",IFERROR(buscarx(A3214&amp;E3214,DATA!$E$3:$E$10000&amp;DATA!$B$3:$B$10000,DATA!$M$3:$M$10000),"Inactivo"))</f>
        <v/>
      </c>
      <c r="G3214" s="28" t="str">
        <f aca="false">IF(A3214="","",IF(AND(C3214&lt;&gt;"No encontrado",F3214&lt;&gt;"Inactivo"),C3214&amp;" → "&amp;F3214,"Sin transición"))</f>
        <v/>
      </c>
      <c r="H3214" s="26" t="str">
        <f aca="false">IF(A3214="","",IF(D3214="GCIA LINEA SERVICIO DIGITALIDAD Y VENTAS","Chats",IF(OR(D3214="GERENCIA INBOUND LÍNEAS SERVICIO Y VENTA",D3214="GERENCIA INBOUND LINEAS ESPECIALIZADAS"),"Llamadas","Otro")))</f>
        <v/>
      </c>
      <c r="I3214" s="26" t="str">
        <f aca="false">IF(A3214="","",IF(C3214="No encontrado","No","Sí"))</f>
        <v/>
      </c>
      <c r="J3214" s="26" t="str">
        <f aca="false">IF(A3214="","",IF(F3214="Inactivo","No","Sí"))</f>
        <v/>
      </c>
      <c r="K3214" s="26" t="str">
        <f aca="false">IF(A3214="","",IF(AND(I3214="Sí",J3214="Sí"),"Sí","No"))</f>
        <v/>
      </c>
    </row>
    <row r="3215" customFormat="false" ht="15" hidden="false" customHeight="false" outlineLevel="0" collapsed="false">
      <c r="A3215" s="22"/>
      <c r="B3215" s="22"/>
      <c r="C3215" s="23" t="str">
        <f aca="false">IF(A3215="","",IFERROR(buscarx(A3215&amp;B3215,DATA!$E$3:$E$10000&amp;DATA!$B$3:$B$10000,DATA!$M$3:$M$10000),"No encontrado"))</f>
        <v/>
      </c>
      <c r="D3215" s="24" t="str">
        <f aca="false">IF(A3215="","",IFERROR(buscarx(A3215&amp;B3215,DATA!$E$3:$E$10000&amp;DATA!$B$3:$B$10000,DATA!$W$3:$W$10000),"No encontrado"))</f>
        <v/>
      </c>
      <c r="E3215" s="22"/>
      <c r="F3215" s="23" t="str">
        <f aca="false">IF(A3215="","",IFERROR(buscarx(A3215&amp;E3215,DATA!$E$3:$E$10000&amp;DATA!$B$3:$B$10000,DATA!$M$3:$M$10000),"Inactivo"))</f>
        <v/>
      </c>
      <c r="G3215" s="25" t="str">
        <f aca="false">IF(A3215="","",IF(AND(C3215&lt;&gt;"No encontrado",F3215&lt;&gt;"Inactivo"),C3215&amp;" → "&amp;F3215,"Sin transición"))</f>
        <v/>
      </c>
      <c r="H3215" s="23" t="str">
        <f aca="false">IF(A3215="","",IF(D3215="GCIA LINEA SERVICIO DIGITALIDAD Y VENTAS","Chats",IF(OR(D3215="GERENCIA INBOUND LÍNEAS SERVICIO Y VENTA",D3215="GERENCIA INBOUND LINEAS ESPECIALIZADAS"),"Llamadas","Otro")))</f>
        <v/>
      </c>
      <c r="I3215" s="23" t="str">
        <f aca="false">IF(A3215="","",IF(C3215="No encontrado","No","Sí"))</f>
        <v/>
      </c>
      <c r="J3215" s="23" t="str">
        <f aca="false">IF(A3215="","",IF(F3215="Inactivo","No","Sí"))</f>
        <v/>
      </c>
      <c r="K3215" s="23" t="str">
        <f aca="false">IF(A3215="","",IF(AND(I3215="Sí",J3215="Sí"),"Sí","No"))</f>
        <v/>
      </c>
    </row>
    <row r="3216" customFormat="false" ht="15" hidden="false" customHeight="false" outlineLevel="0" collapsed="false">
      <c r="A3216" s="22"/>
      <c r="B3216" s="22"/>
      <c r="C3216" s="26" t="str">
        <f aca="false">IF(A3216="","",IFERROR(buscarx(A3216&amp;B3216,DATA!$E$3:$E$10000&amp;DATA!$B$3:$B$10000,DATA!$M$3:$M$10000),"No encontrado"))</f>
        <v/>
      </c>
      <c r="D3216" s="27" t="str">
        <f aca="false">IF(A3216="","",IFERROR(buscarx(A3216&amp;B3216,DATA!$E$3:$E$10000&amp;DATA!$B$3:$B$10000,DATA!$W$3:$W$10000),"No encontrado"))</f>
        <v/>
      </c>
      <c r="E3216" s="22"/>
      <c r="F3216" s="26" t="str">
        <f aca="false">IF(A3216="","",IFERROR(buscarx(A3216&amp;E3216,DATA!$E$3:$E$10000&amp;DATA!$B$3:$B$10000,DATA!$M$3:$M$10000),"Inactivo"))</f>
        <v/>
      </c>
      <c r="G3216" s="28" t="str">
        <f aca="false">IF(A3216="","",IF(AND(C3216&lt;&gt;"No encontrado",F3216&lt;&gt;"Inactivo"),C3216&amp;" → "&amp;F3216,"Sin transición"))</f>
        <v/>
      </c>
      <c r="H3216" s="26" t="str">
        <f aca="false">IF(A3216="","",IF(D3216="GCIA LINEA SERVICIO DIGITALIDAD Y VENTAS","Chats",IF(OR(D3216="GERENCIA INBOUND LÍNEAS SERVICIO Y VENTA",D3216="GERENCIA INBOUND LINEAS ESPECIALIZADAS"),"Llamadas","Otro")))</f>
        <v/>
      </c>
      <c r="I3216" s="26" t="str">
        <f aca="false">IF(A3216="","",IF(C3216="No encontrado","No","Sí"))</f>
        <v/>
      </c>
      <c r="J3216" s="26" t="str">
        <f aca="false">IF(A3216="","",IF(F3216="Inactivo","No","Sí"))</f>
        <v/>
      </c>
      <c r="K3216" s="26" t="str">
        <f aca="false">IF(A3216="","",IF(AND(I3216="Sí",J3216="Sí"),"Sí","No"))</f>
        <v/>
      </c>
    </row>
    <row r="3217" customFormat="false" ht="15" hidden="false" customHeight="false" outlineLevel="0" collapsed="false">
      <c r="A3217" s="22"/>
      <c r="B3217" s="22"/>
      <c r="C3217" s="23" t="str">
        <f aca="false">IF(A3217="","",IFERROR(buscarx(A3217&amp;B3217,DATA!$E$3:$E$10000&amp;DATA!$B$3:$B$10000,DATA!$M$3:$M$10000),"No encontrado"))</f>
        <v/>
      </c>
      <c r="D3217" s="24" t="str">
        <f aca="false">IF(A3217="","",IFERROR(buscarx(A3217&amp;B3217,DATA!$E$3:$E$10000&amp;DATA!$B$3:$B$10000,DATA!$W$3:$W$10000),"No encontrado"))</f>
        <v/>
      </c>
      <c r="E3217" s="22"/>
      <c r="F3217" s="23" t="str">
        <f aca="false">IF(A3217="","",IFERROR(buscarx(A3217&amp;E3217,DATA!$E$3:$E$10000&amp;DATA!$B$3:$B$10000,DATA!$M$3:$M$10000),"Inactivo"))</f>
        <v/>
      </c>
      <c r="G3217" s="25" t="str">
        <f aca="false">IF(A3217="","",IF(AND(C3217&lt;&gt;"No encontrado",F3217&lt;&gt;"Inactivo"),C3217&amp;" → "&amp;F3217,"Sin transición"))</f>
        <v/>
      </c>
      <c r="H3217" s="23" t="str">
        <f aca="false">IF(A3217="","",IF(D3217="GCIA LINEA SERVICIO DIGITALIDAD Y VENTAS","Chats",IF(OR(D3217="GERENCIA INBOUND LÍNEAS SERVICIO Y VENTA",D3217="GERENCIA INBOUND LINEAS ESPECIALIZADAS"),"Llamadas","Otro")))</f>
        <v/>
      </c>
      <c r="I3217" s="23" t="str">
        <f aca="false">IF(A3217="","",IF(C3217="No encontrado","No","Sí"))</f>
        <v/>
      </c>
      <c r="J3217" s="23" t="str">
        <f aca="false">IF(A3217="","",IF(F3217="Inactivo","No","Sí"))</f>
        <v/>
      </c>
      <c r="K3217" s="23" t="str">
        <f aca="false">IF(A3217="","",IF(AND(I3217="Sí",J3217="Sí"),"Sí","No"))</f>
        <v/>
      </c>
    </row>
    <row r="3218" customFormat="false" ht="15" hidden="false" customHeight="false" outlineLevel="0" collapsed="false">
      <c r="A3218" s="22"/>
      <c r="B3218" s="22"/>
      <c r="C3218" s="26" t="str">
        <f aca="false">IF(A3218="","",IFERROR(buscarx(A3218&amp;B3218,DATA!$E$3:$E$10000&amp;DATA!$B$3:$B$10000,DATA!$M$3:$M$10000),"No encontrado"))</f>
        <v/>
      </c>
      <c r="D3218" s="27" t="str">
        <f aca="false">IF(A3218="","",IFERROR(buscarx(A3218&amp;B3218,DATA!$E$3:$E$10000&amp;DATA!$B$3:$B$10000,DATA!$W$3:$W$10000),"No encontrado"))</f>
        <v/>
      </c>
      <c r="E3218" s="22"/>
      <c r="F3218" s="26" t="str">
        <f aca="false">IF(A3218="","",IFERROR(buscarx(A3218&amp;E3218,DATA!$E$3:$E$10000&amp;DATA!$B$3:$B$10000,DATA!$M$3:$M$10000),"Inactivo"))</f>
        <v/>
      </c>
      <c r="G3218" s="28" t="str">
        <f aca="false">IF(A3218="","",IF(AND(C3218&lt;&gt;"No encontrado",F3218&lt;&gt;"Inactivo"),C3218&amp;" → "&amp;F3218,"Sin transición"))</f>
        <v/>
      </c>
      <c r="H3218" s="26" t="str">
        <f aca="false">IF(A3218="","",IF(D3218="GCIA LINEA SERVICIO DIGITALIDAD Y VENTAS","Chats",IF(OR(D3218="GERENCIA INBOUND LÍNEAS SERVICIO Y VENTA",D3218="GERENCIA INBOUND LINEAS ESPECIALIZADAS"),"Llamadas","Otro")))</f>
        <v/>
      </c>
      <c r="I3218" s="26" t="str">
        <f aca="false">IF(A3218="","",IF(C3218="No encontrado","No","Sí"))</f>
        <v/>
      </c>
      <c r="J3218" s="26" t="str">
        <f aca="false">IF(A3218="","",IF(F3218="Inactivo","No","Sí"))</f>
        <v/>
      </c>
      <c r="K3218" s="26" t="str">
        <f aca="false">IF(A3218="","",IF(AND(I3218="Sí",J3218="Sí"),"Sí","No"))</f>
        <v/>
      </c>
    </row>
    <row r="3219" customFormat="false" ht="15" hidden="false" customHeight="false" outlineLevel="0" collapsed="false">
      <c r="A3219" s="22"/>
      <c r="B3219" s="22"/>
      <c r="C3219" s="23" t="str">
        <f aca="false">IF(A3219="","",IFERROR(buscarx(A3219&amp;B3219,DATA!$E$3:$E$10000&amp;DATA!$B$3:$B$10000,DATA!$M$3:$M$10000),"No encontrado"))</f>
        <v/>
      </c>
      <c r="D3219" s="24" t="str">
        <f aca="false">IF(A3219="","",IFERROR(buscarx(A3219&amp;B3219,DATA!$E$3:$E$10000&amp;DATA!$B$3:$B$10000,DATA!$W$3:$W$10000),"No encontrado"))</f>
        <v/>
      </c>
      <c r="E3219" s="22"/>
      <c r="F3219" s="23" t="str">
        <f aca="false">IF(A3219="","",IFERROR(buscarx(A3219&amp;E3219,DATA!$E$3:$E$10000&amp;DATA!$B$3:$B$10000,DATA!$M$3:$M$10000),"Inactivo"))</f>
        <v/>
      </c>
      <c r="G3219" s="25" t="str">
        <f aca="false">IF(A3219="","",IF(AND(C3219&lt;&gt;"No encontrado",F3219&lt;&gt;"Inactivo"),C3219&amp;" → "&amp;F3219,"Sin transición"))</f>
        <v/>
      </c>
      <c r="H3219" s="23" t="str">
        <f aca="false">IF(A3219="","",IF(D3219="GCIA LINEA SERVICIO DIGITALIDAD Y VENTAS","Chats",IF(OR(D3219="GERENCIA INBOUND LÍNEAS SERVICIO Y VENTA",D3219="GERENCIA INBOUND LINEAS ESPECIALIZADAS"),"Llamadas","Otro")))</f>
        <v/>
      </c>
      <c r="I3219" s="23" t="str">
        <f aca="false">IF(A3219="","",IF(C3219="No encontrado","No","Sí"))</f>
        <v/>
      </c>
      <c r="J3219" s="23" t="str">
        <f aca="false">IF(A3219="","",IF(F3219="Inactivo","No","Sí"))</f>
        <v/>
      </c>
      <c r="K3219" s="23" t="str">
        <f aca="false">IF(A3219="","",IF(AND(I3219="Sí",J3219="Sí"),"Sí","No"))</f>
        <v/>
      </c>
    </row>
    <row r="3220" customFormat="false" ht="15" hidden="false" customHeight="false" outlineLevel="0" collapsed="false">
      <c r="A3220" s="22"/>
      <c r="B3220" s="22"/>
      <c r="C3220" s="26" t="str">
        <f aca="false">IF(A3220="","",IFERROR(buscarx(A3220&amp;B3220,DATA!$E$3:$E$10000&amp;DATA!$B$3:$B$10000,DATA!$M$3:$M$10000),"No encontrado"))</f>
        <v/>
      </c>
      <c r="D3220" s="27" t="str">
        <f aca="false">IF(A3220="","",IFERROR(buscarx(A3220&amp;B3220,DATA!$E$3:$E$10000&amp;DATA!$B$3:$B$10000,DATA!$W$3:$W$10000),"No encontrado"))</f>
        <v/>
      </c>
      <c r="E3220" s="22"/>
      <c r="F3220" s="26" t="str">
        <f aca="false">IF(A3220="","",IFERROR(buscarx(A3220&amp;E3220,DATA!$E$3:$E$10000&amp;DATA!$B$3:$B$10000,DATA!$M$3:$M$10000),"Inactivo"))</f>
        <v/>
      </c>
      <c r="G3220" s="28" t="str">
        <f aca="false">IF(A3220="","",IF(AND(C3220&lt;&gt;"No encontrado",F3220&lt;&gt;"Inactivo"),C3220&amp;" → "&amp;F3220,"Sin transición"))</f>
        <v/>
      </c>
      <c r="H3220" s="26" t="str">
        <f aca="false">IF(A3220="","",IF(D3220="GCIA LINEA SERVICIO DIGITALIDAD Y VENTAS","Chats",IF(OR(D3220="GERENCIA INBOUND LÍNEAS SERVICIO Y VENTA",D3220="GERENCIA INBOUND LINEAS ESPECIALIZADAS"),"Llamadas","Otro")))</f>
        <v/>
      </c>
      <c r="I3220" s="26" t="str">
        <f aca="false">IF(A3220="","",IF(C3220="No encontrado","No","Sí"))</f>
        <v/>
      </c>
      <c r="J3220" s="26" t="str">
        <f aca="false">IF(A3220="","",IF(F3220="Inactivo","No","Sí"))</f>
        <v/>
      </c>
      <c r="K3220" s="26" t="str">
        <f aca="false">IF(A3220="","",IF(AND(I3220="Sí",J3220="Sí"),"Sí","No"))</f>
        <v/>
      </c>
    </row>
    <row r="3221" customFormat="false" ht="15" hidden="false" customHeight="false" outlineLevel="0" collapsed="false">
      <c r="A3221" s="22"/>
      <c r="B3221" s="22"/>
      <c r="C3221" s="23" t="str">
        <f aca="false">IF(A3221="","",IFERROR(buscarx(A3221&amp;B3221,DATA!$E$3:$E$10000&amp;DATA!$B$3:$B$10000,DATA!$M$3:$M$10000),"No encontrado"))</f>
        <v/>
      </c>
      <c r="D3221" s="24" t="str">
        <f aca="false">IF(A3221="","",IFERROR(buscarx(A3221&amp;B3221,DATA!$E$3:$E$10000&amp;DATA!$B$3:$B$10000,DATA!$W$3:$W$10000),"No encontrado"))</f>
        <v/>
      </c>
      <c r="E3221" s="22"/>
      <c r="F3221" s="23" t="str">
        <f aca="false">IF(A3221="","",IFERROR(buscarx(A3221&amp;E3221,DATA!$E$3:$E$10000&amp;DATA!$B$3:$B$10000,DATA!$M$3:$M$10000),"Inactivo"))</f>
        <v/>
      </c>
      <c r="G3221" s="25" t="str">
        <f aca="false">IF(A3221="","",IF(AND(C3221&lt;&gt;"No encontrado",F3221&lt;&gt;"Inactivo"),C3221&amp;" → "&amp;F3221,"Sin transición"))</f>
        <v/>
      </c>
      <c r="H3221" s="23" t="str">
        <f aca="false">IF(A3221="","",IF(D3221="GCIA LINEA SERVICIO DIGITALIDAD Y VENTAS","Chats",IF(OR(D3221="GERENCIA INBOUND LÍNEAS SERVICIO Y VENTA",D3221="GERENCIA INBOUND LINEAS ESPECIALIZADAS"),"Llamadas","Otro")))</f>
        <v/>
      </c>
      <c r="I3221" s="23" t="str">
        <f aca="false">IF(A3221="","",IF(C3221="No encontrado","No","Sí"))</f>
        <v/>
      </c>
      <c r="J3221" s="23" t="str">
        <f aca="false">IF(A3221="","",IF(F3221="Inactivo","No","Sí"))</f>
        <v/>
      </c>
      <c r="K3221" s="23" t="str">
        <f aca="false">IF(A3221="","",IF(AND(I3221="Sí",J3221="Sí"),"Sí","No"))</f>
        <v/>
      </c>
    </row>
    <row r="3222" customFormat="false" ht="15" hidden="false" customHeight="false" outlineLevel="0" collapsed="false">
      <c r="A3222" s="22"/>
      <c r="B3222" s="22"/>
      <c r="C3222" s="26" t="str">
        <f aca="false">IF(A3222="","",IFERROR(buscarx(A3222&amp;B3222,DATA!$E$3:$E$10000&amp;DATA!$B$3:$B$10000,DATA!$M$3:$M$10000),"No encontrado"))</f>
        <v/>
      </c>
      <c r="D3222" s="27" t="str">
        <f aca="false">IF(A3222="","",IFERROR(buscarx(A3222&amp;B3222,DATA!$E$3:$E$10000&amp;DATA!$B$3:$B$10000,DATA!$W$3:$W$10000),"No encontrado"))</f>
        <v/>
      </c>
      <c r="E3222" s="22"/>
      <c r="F3222" s="26" t="str">
        <f aca="false">IF(A3222="","",IFERROR(buscarx(A3222&amp;E3222,DATA!$E$3:$E$10000&amp;DATA!$B$3:$B$10000,DATA!$M$3:$M$10000),"Inactivo"))</f>
        <v/>
      </c>
      <c r="G3222" s="28" t="str">
        <f aca="false">IF(A3222="","",IF(AND(C3222&lt;&gt;"No encontrado",F3222&lt;&gt;"Inactivo"),C3222&amp;" → "&amp;F3222,"Sin transición"))</f>
        <v/>
      </c>
      <c r="H3222" s="26" t="str">
        <f aca="false">IF(A3222="","",IF(D3222="GCIA LINEA SERVICIO DIGITALIDAD Y VENTAS","Chats",IF(OR(D3222="GERENCIA INBOUND LÍNEAS SERVICIO Y VENTA",D3222="GERENCIA INBOUND LINEAS ESPECIALIZADAS"),"Llamadas","Otro")))</f>
        <v/>
      </c>
      <c r="I3222" s="26" t="str">
        <f aca="false">IF(A3222="","",IF(C3222="No encontrado","No","Sí"))</f>
        <v/>
      </c>
      <c r="J3222" s="26" t="str">
        <f aca="false">IF(A3222="","",IF(F3222="Inactivo","No","Sí"))</f>
        <v/>
      </c>
      <c r="K3222" s="26" t="str">
        <f aca="false">IF(A3222="","",IF(AND(I3222="Sí",J3222="Sí"),"Sí","No"))</f>
        <v/>
      </c>
    </row>
    <row r="3223" customFormat="false" ht="15" hidden="false" customHeight="false" outlineLevel="0" collapsed="false">
      <c r="A3223" s="22"/>
      <c r="B3223" s="22"/>
      <c r="C3223" s="23" t="str">
        <f aca="false">IF(A3223="","",IFERROR(buscarx(A3223&amp;B3223,DATA!$E$3:$E$10000&amp;DATA!$B$3:$B$10000,DATA!$M$3:$M$10000),"No encontrado"))</f>
        <v/>
      </c>
      <c r="D3223" s="24" t="str">
        <f aca="false">IF(A3223="","",IFERROR(buscarx(A3223&amp;B3223,DATA!$E$3:$E$10000&amp;DATA!$B$3:$B$10000,DATA!$W$3:$W$10000),"No encontrado"))</f>
        <v/>
      </c>
      <c r="E3223" s="22"/>
      <c r="F3223" s="23" t="str">
        <f aca="false">IF(A3223="","",IFERROR(buscarx(A3223&amp;E3223,DATA!$E$3:$E$10000&amp;DATA!$B$3:$B$10000,DATA!$M$3:$M$10000),"Inactivo"))</f>
        <v/>
      </c>
      <c r="G3223" s="25" t="str">
        <f aca="false">IF(A3223="","",IF(AND(C3223&lt;&gt;"No encontrado",F3223&lt;&gt;"Inactivo"),C3223&amp;" → "&amp;F3223,"Sin transición"))</f>
        <v/>
      </c>
      <c r="H3223" s="23" t="str">
        <f aca="false">IF(A3223="","",IF(D3223="GCIA LINEA SERVICIO DIGITALIDAD Y VENTAS","Chats",IF(OR(D3223="GERENCIA INBOUND LÍNEAS SERVICIO Y VENTA",D3223="GERENCIA INBOUND LINEAS ESPECIALIZADAS"),"Llamadas","Otro")))</f>
        <v/>
      </c>
      <c r="I3223" s="23" t="str">
        <f aca="false">IF(A3223="","",IF(C3223="No encontrado","No","Sí"))</f>
        <v/>
      </c>
      <c r="J3223" s="23" t="str">
        <f aca="false">IF(A3223="","",IF(F3223="Inactivo","No","Sí"))</f>
        <v/>
      </c>
      <c r="K3223" s="23" t="str">
        <f aca="false">IF(A3223="","",IF(AND(I3223="Sí",J3223="Sí"),"Sí","No"))</f>
        <v/>
      </c>
    </row>
    <row r="3224" customFormat="false" ht="15" hidden="false" customHeight="false" outlineLevel="0" collapsed="false">
      <c r="A3224" s="22"/>
      <c r="B3224" s="22"/>
      <c r="C3224" s="26" t="str">
        <f aca="false">IF(A3224="","",IFERROR(buscarx(A3224&amp;B3224,DATA!$E$3:$E$10000&amp;DATA!$B$3:$B$10000,DATA!$M$3:$M$10000),"No encontrado"))</f>
        <v/>
      </c>
      <c r="D3224" s="27" t="str">
        <f aca="false">IF(A3224="","",IFERROR(buscarx(A3224&amp;B3224,DATA!$E$3:$E$10000&amp;DATA!$B$3:$B$10000,DATA!$W$3:$W$10000),"No encontrado"))</f>
        <v/>
      </c>
      <c r="E3224" s="22"/>
      <c r="F3224" s="26" t="str">
        <f aca="false">IF(A3224="","",IFERROR(buscarx(A3224&amp;E3224,DATA!$E$3:$E$10000&amp;DATA!$B$3:$B$10000,DATA!$M$3:$M$10000),"Inactivo"))</f>
        <v/>
      </c>
      <c r="G3224" s="28" t="str">
        <f aca="false">IF(A3224="","",IF(AND(C3224&lt;&gt;"No encontrado",F3224&lt;&gt;"Inactivo"),C3224&amp;" → "&amp;F3224,"Sin transición"))</f>
        <v/>
      </c>
      <c r="H3224" s="26" t="str">
        <f aca="false">IF(A3224="","",IF(D3224="GCIA LINEA SERVICIO DIGITALIDAD Y VENTAS","Chats",IF(OR(D3224="GERENCIA INBOUND LÍNEAS SERVICIO Y VENTA",D3224="GERENCIA INBOUND LINEAS ESPECIALIZADAS"),"Llamadas","Otro")))</f>
        <v/>
      </c>
      <c r="I3224" s="26" t="str">
        <f aca="false">IF(A3224="","",IF(C3224="No encontrado","No","Sí"))</f>
        <v/>
      </c>
      <c r="J3224" s="26" t="str">
        <f aca="false">IF(A3224="","",IF(F3224="Inactivo","No","Sí"))</f>
        <v/>
      </c>
      <c r="K3224" s="26" t="str">
        <f aca="false">IF(A3224="","",IF(AND(I3224="Sí",J3224="Sí"),"Sí","No"))</f>
        <v/>
      </c>
    </row>
    <row r="3225" customFormat="false" ht="15" hidden="false" customHeight="false" outlineLevel="0" collapsed="false">
      <c r="A3225" s="22"/>
      <c r="B3225" s="22"/>
      <c r="C3225" s="23" t="str">
        <f aca="false">IF(A3225="","",IFERROR(buscarx(A3225&amp;B3225,DATA!$E$3:$E$10000&amp;DATA!$B$3:$B$10000,DATA!$M$3:$M$10000),"No encontrado"))</f>
        <v/>
      </c>
      <c r="D3225" s="24" t="str">
        <f aca="false">IF(A3225="","",IFERROR(buscarx(A3225&amp;B3225,DATA!$E$3:$E$10000&amp;DATA!$B$3:$B$10000,DATA!$W$3:$W$10000),"No encontrado"))</f>
        <v/>
      </c>
      <c r="E3225" s="22"/>
      <c r="F3225" s="23" t="str">
        <f aca="false">IF(A3225="","",IFERROR(buscarx(A3225&amp;E3225,DATA!$E$3:$E$10000&amp;DATA!$B$3:$B$10000,DATA!$M$3:$M$10000),"Inactivo"))</f>
        <v/>
      </c>
      <c r="G3225" s="25" t="str">
        <f aca="false">IF(A3225="","",IF(AND(C3225&lt;&gt;"No encontrado",F3225&lt;&gt;"Inactivo"),C3225&amp;" → "&amp;F3225,"Sin transición"))</f>
        <v/>
      </c>
      <c r="H3225" s="23" t="str">
        <f aca="false">IF(A3225="","",IF(D3225="GCIA LINEA SERVICIO DIGITALIDAD Y VENTAS","Chats",IF(OR(D3225="GERENCIA INBOUND LÍNEAS SERVICIO Y VENTA",D3225="GERENCIA INBOUND LINEAS ESPECIALIZADAS"),"Llamadas","Otro")))</f>
        <v/>
      </c>
      <c r="I3225" s="23" t="str">
        <f aca="false">IF(A3225="","",IF(C3225="No encontrado","No","Sí"))</f>
        <v/>
      </c>
      <c r="J3225" s="23" t="str">
        <f aca="false">IF(A3225="","",IF(F3225="Inactivo","No","Sí"))</f>
        <v/>
      </c>
      <c r="K3225" s="23" t="str">
        <f aca="false">IF(A3225="","",IF(AND(I3225="Sí",J3225="Sí"),"Sí","No"))</f>
        <v/>
      </c>
    </row>
    <row r="3226" customFormat="false" ht="15" hidden="false" customHeight="false" outlineLevel="0" collapsed="false">
      <c r="A3226" s="22"/>
      <c r="B3226" s="22"/>
      <c r="C3226" s="26" t="str">
        <f aca="false">IF(A3226="","",IFERROR(buscarx(A3226&amp;B3226,DATA!$E$3:$E$10000&amp;DATA!$B$3:$B$10000,DATA!$M$3:$M$10000),"No encontrado"))</f>
        <v/>
      </c>
      <c r="D3226" s="27" t="str">
        <f aca="false">IF(A3226="","",IFERROR(buscarx(A3226&amp;B3226,DATA!$E$3:$E$10000&amp;DATA!$B$3:$B$10000,DATA!$W$3:$W$10000),"No encontrado"))</f>
        <v/>
      </c>
      <c r="E3226" s="22"/>
      <c r="F3226" s="26" t="str">
        <f aca="false">IF(A3226="","",IFERROR(buscarx(A3226&amp;E3226,DATA!$E$3:$E$10000&amp;DATA!$B$3:$B$10000,DATA!$M$3:$M$10000),"Inactivo"))</f>
        <v/>
      </c>
      <c r="G3226" s="28" t="str">
        <f aca="false">IF(A3226="","",IF(AND(C3226&lt;&gt;"No encontrado",F3226&lt;&gt;"Inactivo"),C3226&amp;" → "&amp;F3226,"Sin transición"))</f>
        <v/>
      </c>
      <c r="H3226" s="26" t="str">
        <f aca="false">IF(A3226="","",IF(D3226="GCIA LINEA SERVICIO DIGITALIDAD Y VENTAS","Chats",IF(OR(D3226="GERENCIA INBOUND LÍNEAS SERVICIO Y VENTA",D3226="GERENCIA INBOUND LINEAS ESPECIALIZADAS"),"Llamadas","Otro")))</f>
        <v/>
      </c>
      <c r="I3226" s="26" t="str">
        <f aca="false">IF(A3226="","",IF(C3226="No encontrado","No","Sí"))</f>
        <v/>
      </c>
      <c r="J3226" s="26" t="str">
        <f aca="false">IF(A3226="","",IF(F3226="Inactivo","No","Sí"))</f>
        <v/>
      </c>
      <c r="K3226" s="26" t="str">
        <f aca="false">IF(A3226="","",IF(AND(I3226="Sí",J3226="Sí"),"Sí","No"))</f>
        <v/>
      </c>
    </row>
    <row r="3227" customFormat="false" ht="15" hidden="false" customHeight="false" outlineLevel="0" collapsed="false">
      <c r="A3227" s="22"/>
      <c r="B3227" s="22"/>
      <c r="C3227" s="23" t="str">
        <f aca="false">IF(A3227="","",IFERROR(buscarx(A3227&amp;B3227,DATA!$E$3:$E$10000&amp;DATA!$B$3:$B$10000,DATA!$M$3:$M$10000),"No encontrado"))</f>
        <v/>
      </c>
      <c r="D3227" s="24" t="str">
        <f aca="false">IF(A3227="","",IFERROR(buscarx(A3227&amp;B3227,DATA!$E$3:$E$10000&amp;DATA!$B$3:$B$10000,DATA!$W$3:$W$10000),"No encontrado"))</f>
        <v/>
      </c>
      <c r="E3227" s="22"/>
      <c r="F3227" s="23" t="str">
        <f aca="false">IF(A3227="","",IFERROR(buscarx(A3227&amp;E3227,DATA!$E$3:$E$10000&amp;DATA!$B$3:$B$10000,DATA!$M$3:$M$10000),"Inactivo"))</f>
        <v/>
      </c>
      <c r="G3227" s="25" t="str">
        <f aca="false">IF(A3227="","",IF(AND(C3227&lt;&gt;"No encontrado",F3227&lt;&gt;"Inactivo"),C3227&amp;" → "&amp;F3227,"Sin transición"))</f>
        <v/>
      </c>
      <c r="H3227" s="23" t="str">
        <f aca="false">IF(A3227="","",IF(D3227="GCIA LINEA SERVICIO DIGITALIDAD Y VENTAS","Chats",IF(OR(D3227="GERENCIA INBOUND LÍNEAS SERVICIO Y VENTA",D3227="GERENCIA INBOUND LINEAS ESPECIALIZADAS"),"Llamadas","Otro")))</f>
        <v/>
      </c>
      <c r="I3227" s="23" t="str">
        <f aca="false">IF(A3227="","",IF(C3227="No encontrado","No","Sí"))</f>
        <v/>
      </c>
      <c r="J3227" s="23" t="str">
        <f aca="false">IF(A3227="","",IF(F3227="Inactivo","No","Sí"))</f>
        <v/>
      </c>
      <c r="K3227" s="23" t="str">
        <f aca="false">IF(A3227="","",IF(AND(I3227="Sí",J3227="Sí"),"Sí","No"))</f>
        <v/>
      </c>
    </row>
    <row r="3228" customFormat="false" ht="15" hidden="false" customHeight="false" outlineLevel="0" collapsed="false">
      <c r="A3228" s="22"/>
      <c r="B3228" s="22"/>
      <c r="C3228" s="26" t="str">
        <f aca="false">IF(A3228="","",IFERROR(buscarx(A3228&amp;B3228,DATA!$E$3:$E$10000&amp;DATA!$B$3:$B$10000,DATA!$M$3:$M$10000),"No encontrado"))</f>
        <v/>
      </c>
      <c r="D3228" s="27" t="str">
        <f aca="false">IF(A3228="","",IFERROR(buscarx(A3228&amp;B3228,DATA!$E$3:$E$10000&amp;DATA!$B$3:$B$10000,DATA!$W$3:$W$10000),"No encontrado"))</f>
        <v/>
      </c>
      <c r="E3228" s="22"/>
      <c r="F3228" s="26" t="str">
        <f aca="false">IF(A3228="","",IFERROR(buscarx(A3228&amp;E3228,DATA!$E$3:$E$10000&amp;DATA!$B$3:$B$10000,DATA!$M$3:$M$10000),"Inactivo"))</f>
        <v/>
      </c>
      <c r="G3228" s="28" t="str">
        <f aca="false">IF(A3228="","",IF(AND(C3228&lt;&gt;"No encontrado",F3228&lt;&gt;"Inactivo"),C3228&amp;" → "&amp;F3228,"Sin transición"))</f>
        <v/>
      </c>
      <c r="H3228" s="26" t="str">
        <f aca="false">IF(A3228="","",IF(D3228="GCIA LINEA SERVICIO DIGITALIDAD Y VENTAS","Chats",IF(OR(D3228="GERENCIA INBOUND LÍNEAS SERVICIO Y VENTA",D3228="GERENCIA INBOUND LINEAS ESPECIALIZADAS"),"Llamadas","Otro")))</f>
        <v/>
      </c>
      <c r="I3228" s="26" t="str">
        <f aca="false">IF(A3228="","",IF(C3228="No encontrado","No","Sí"))</f>
        <v/>
      </c>
      <c r="J3228" s="26" t="str">
        <f aca="false">IF(A3228="","",IF(F3228="Inactivo","No","Sí"))</f>
        <v/>
      </c>
      <c r="K3228" s="26" t="str">
        <f aca="false">IF(A3228="","",IF(AND(I3228="Sí",J3228="Sí"),"Sí","No"))</f>
        <v/>
      </c>
    </row>
    <row r="3229" customFormat="false" ht="15" hidden="false" customHeight="false" outlineLevel="0" collapsed="false">
      <c r="A3229" s="22"/>
      <c r="B3229" s="22"/>
      <c r="C3229" s="23" t="str">
        <f aca="false">IF(A3229="","",IFERROR(buscarx(A3229&amp;B3229,DATA!$E$3:$E$10000&amp;DATA!$B$3:$B$10000,DATA!$M$3:$M$10000),"No encontrado"))</f>
        <v/>
      </c>
      <c r="D3229" s="24" t="str">
        <f aca="false">IF(A3229="","",IFERROR(buscarx(A3229&amp;B3229,DATA!$E$3:$E$10000&amp;DATA!$B$3:$B$10000,DATA!$W$3:$W$10000),"No encontrado"))</f>
        <v/>
      </c>
      <c r="E3229" s="22"/>
      <c r="F3229" s="23" t="str">
        <f aca="false">IF(A3229="","",IFERROR(buscarx(A3229&amp;E3229,DATA!$E$3:$E$10000&amp;DATA!$B$3:$B$10000,DATA!$M$3:$M$10000),"Inactivo"))</f>
        <v/>
      </c>
      <c r="G3229" s="25" t="str">
        <f aca="false">IF(A3229="","",IF(AND(C3229&lt;&gt;"No encontrado",F3229&lt;&gt;"Inactivo"),C3229&amp;" → "&amp;F3229,"Sin transición"))</f>
        <v/>
      </c>
      <c r="H3229" s="23" t="str">
        <f aca="false">IF(A3229="","",IF(D3229="GCIA LINEA SERVICIO DIGITALIDAD Y VENTAS","Chats",IF(OR(D3229="GERENCIA INBOUND LÍNEAS SERVICIO Y VENTA",D3229="GERENCIA INBOUND LINEAS ESPECIALIZADAS"),"Llamadas","Otro")))</f>
        <v/>
      </c>
      <c r="I3229" s="23" t="str">
        <f aca="false">IF(A3229="","",IF(C3229="No encontrado","No","Sí"))</f>
        <v/>
      </c>
      <c r="J3229" s="23" t="str">
        <f aca="false">IF(A3229="","",IF(F3229="Inactivo","No","Sí"))</f>
        <v/>
      </c>
      <c r="K3229" s="23" t="str">
        <f aca="false">IF(A3229="","",IF(AND(I3229="Sí",J3229="Sí"),"Sí","No"))</f>
        <v/>
      </c>
    </row>
    <row r="3230" customFormat="false" ht="15" hidden="false" customHeight="false" outlineLevel="0" collapsed="false">
      <c r="A3230" s="22"/>
      <c r="B3230" s="22"/>
      <c r="C3230" s="26" t="str">
        <f aca="false">IF(A3230="","",IFERROR(buscarx(A3230&amp;B3230,DATA!$E$3:$E$10000&amp;DATA!$B$3:$B$10000,DATA!$M$3:$M$10000),"No encontrado"))</f>
        <v/>
      </c>
      <c r="D3230" s="27" t="str">
        <f aca="false">IF(A3230="","",IFERROR(buscarx(A3230&amp;B3230,DATA!$E$3:$E$10000&amp;DATA!$B$3:$B$10000,DATA!$W$3:$W$10000),"No encontrado"))</f>
        <v/>
      </c>
      <c r="E3230" s="22"/>
      <c r="F3230" s="26" t="str">
        <f aca="false">IF(A3230="","",IFERROR(buscarx(A3230&amp;E3230,DATA!$E$3:$E$10000&amp;DATA!$B$3:$B$10000,DATA!$M$3:$M$10000),"Inactivo"))</f>
        <v/>
      </c>
      <c r="G3230" s="28" t="str">
        <f aca="false">IF(A3230="","",IF(AND(C3230&lt;&gt;"No encontrado",F3230&lt;&gt;"Inactivo"),C3230&amp;" → "&amp;F3230,"Sin transición"))</f>
        <v/>
      </c>
      <c r="H3230" s="26" t="str">
        <f aca="false">IF(A3230="","",IF(D3230="GCIA LINEA SERVICIO DIGITALIDAD Y VENTAS","Chats",IF(OR(D3230="GERENCIA INBOUND LÍNEAS SERVICIO Y VENTA",D3230="GERENCIA INBOUND LINEAS ESPECIALIZADAS"),"Llamadas","Otro")))</f>
        <v/>
      </c>
      <c r="I3230" s="26" t="str">
        <f aca="false">IF(A3230="","",IF(C3230="No encontrado","No","Sí"))</f>
        <v/>
      </c>
      <c r="J3230" s="26" t="str">
        <f aca="false">IF(A3230="","",IF(F3230="Inactivo","No","Sí"))</f>
        <v/>
      </c>
      <c r="K3230" s="26" t="str">
        <f aca="false">IF(A3230="","",IF(AND(I3230="Sí",J3230="Sí"),"Sí","No"))</f>
        <v/>
      </c>
    </row>
    <row r="3231" customFormat="false" ht="15" hidden="false" customHeight="false" outlineLevel="0" collapsed="false">
      <c r="A3231" s="22"/>
      <c r="B3231" s="22"/>
      <c r="C3231" s="23" t="str">
        <f aca="false">IF(A3231="","",IFERROR(buscarx(A3231&amp;B3231,DATA!$E$3:$E$10000&amp;DATA!$B$3:$B$10000,DATA!$M$3:$M$10000),"No encontrado"))</f>
        <v/>
      </c>
      <c r="D3231" s="24" t="str">
        <f aca="false">IF(A3231="","",IFERROR(buscarx(A3231&amp;B3231,DATA!$E$3:$E$10000&amp;DATA!$B$3:$B$10000,DATA!$W$3:$W$10000),"No encontrado"))</f>
        <v/>
      </c>
      <c r="E3231" s="22"/>
      <c r="F3231" s="23" t="str">
        <f aca="false">IF(A3231="","",IFERROR(buscarx(A3231&amp;E3231,DATA!$E$3:$E$10000&amp;DATA!$B$3:$B$10000,DATA!$M$3:$M$10000),"Inactivo"))</f>
        <v/>
      </c>
      <c r="G3231" s="25" t="str">
        <f aca="false">IF(A3231="","",IF(AND(C3231&lt;&gt;"No encontrado",F3231&lt;&gt;"Inactivo"),C3231&amp;" → "&amp;F3231,"Sin transición"))</f>
        <v/>
      </c>
      <c r="H3231" s="23" t="str">
        <f aca="false">IF(A3231="","",IF(D3231="GCIA LINEA SERVICIO DIGITALIDAD Y VENTAS","Chats",IF(OR(D3231="GERENCIA INBOUND LÍNEAS SERVICIO Y VENTA",D3231="GERENCIA INBOUND LINEAS ESPECIALIZADAS"),"Llamadas","Otro")))</f>
        <v/>
      </c>
      <c r="I3231" s="23" t="str">
        <f aca="false">IF(A3231="","",IF(C3231="No encontrado","No","Sí"))</f>
        <v/>
      </c>
      <c r="J3231" s="23" t="str">
        <f aca="false">IF(A3231="","",IF(F3231="Inactivo","No","Sí"))</f>
        <v/>
      </c>
      <c r="K3231" s="23" t="str">
        <f aca="false">IF(A3231="","",IF(AND(I3231="Sí",J3231="Sí"),"Sí","No"))</f>
        <v/>
      </c>
    </row>
    <row r="3232" customFormat="false" ht="15" hidden="false" customHeight="false" outlineLevel="0" collapsed="false">
      <c r="A3232" s="22"/>
      <c r="B3232" s="22"/>
      <c r="C3232" s="26" t="str">
        <f aca="false">IF(A3232="","",IFERROR(buscarx(A3232&amp;B3232,DATA!$E$3:$E$10000&amp;DATA!$B$3:$B$10000,DATA!$M$3:$M$10000),"No encontrado"))</f>
        <v/>
      </c>
      <c r="D3232" s="27" t="str">
        <f aca="false">IF(A3232="","",IFERROR(buscarx(A3232&amp;B3232,DATA!$E$3:$E$10000&amp;DATA!$B$3:$B$10000,DATA!$W$3:$W$10000),"No encontrado"))</f>
        <v/>
      </c>
      <c r="E3232" s="22"/>
      <c r="F3232" s="26" t="str">
        <f aca="false">IF(A3232="","",IFERROR(buscarx(A3232&amp;E3232,DATA!$E$3:$E$10000&amp;DATA!$B$3:$B$10000,DATA!$M$3:$M$10000),"Inactivo"))</f>
        <v/>
      </c>
      <c r="G3232" s="28" t="str">
        <f aca="false">IF(A3232="","",IF(AND(C3232&lt;&gt;"No encontrado",F3232&lt;&gt;"Inactivo"),C3232&amp;" → "&amp;F3232,"Sin transición"))</f>
        <v/>
      </c>
      <c r="H3232" s="26" t="str">
        <f aca="false">IF(A3232="","",IF(D3232="GCIA LINEA SERVICIO DIGITALIDAD Y VENTAS","Chats",IF(OR(D3232="GERENCIA INBOUND LÍNEAS SERVICIO Y VENTA",D3232="GERENCIA INBOUND LINEAS ESPECIALIZADAS"),"Llamadas","Otro")))</f>
        <v/>
      </c>
      <c r="I3232" s="26" t="str">
        <f aca="false">IF(A3232="","",IF(C3232="No encontrado","No","Sí"))</f>
        <v/>
      </c>
      <c r="J3232" s="26" t="str">
        <f aca="false">IF(A3232="","",IF(F3232="Inactivo","No","Sí"))</f>
        <v/>
      </c>
      <c r="K3232" s="26" t="str">
        <f aca="false">IF(A3232="","",IF(AND(I3232="Sí",J3232="Sí"),"Sí","No"))</f>
        <v/>
      </c>
    </row>
    <row r="3233" customFormat="false" ht="15" hidden="false" customHeight="false" outlineLevel="0" collapsed="false">
      <c r="A3233" s="22"/>
      <c r="B3233" s="22"/>
      <c r="C3233" s="23" t="str">
        <f aca="false">IF(A3233="","",IFERROR(buscarx(A3233&amp;B3233,DATA!$E$3:$E$10000&amp;DATA!$B$3:$B$10000,DATA!$M$3:$M$10000),"No encontrado"))</f>
        <v/>
      </c>
      <c r="D3233" s="24" t="str">
        <f aca="false">IF(A3233="","",IFERROR(buscarx(A3233&amp;B3233,DATA!$E$3:$E$10000&amp;DATA!$B$3:$B$10000,DATA!$W$3:$W$10000),"No encontrado"))</f>
        <v/>
      </c>
      <c r="E3233" s="22"/>
      <c r="F3233" s="23" t="str">
        <f aca="false">IF(A3233="","",IFERROR(buscarx(A3233&amp;E3233,DATA!$E$3:$E$10000&amp;DATA!$B$3:$B$10000,DATA!$M$3:$M$10000),"Inactivo"))</f>
        <v/>
      </c>
      <c r="G3233" s="25" t="str">
        <f aca="false">IF(A3233="","",IF(AND(C3233&lt;&gt;"No encontrado",F3233&lt;&gt;"Inactivo"),C3233&amp;" → "&amp;F3233,"Sin transición"))</f>
        <v/>
      </c>
      <c r="H3233" s="23" t="str">
        <f aca="false">IF(A3233="","",IF(D3233="GCIA LINEA SERVICIO DIGITALIDAD Y VENTAS","Chats",IF(OR(D3233="GERENCIA INBOUND LÍNEAS SERVICIO Y VENTA",D3233="GERENCIA INBOUND LINEAS ESPECIALIZADAS"),"Llamadas","Otro")))</f>
        <v/>
      </c>
      <c r="I3233" s="23" t="str">
        <f aca="false">IF(A3233="","",IF(C3233="No encontrado","No","Sí"))</f>
        <v/>
      </c>
      <c r="J3233" s="23" t="str">
        <f aca="false">IF(A3233="","",IF(F3233="Inactivo","No","Sí"))</f>
        <v/>
      </c>
      <c r="K3233" s="23" t="str">
        <f aca="false">IF(A3233="","",IF(AND(I3233="Sí",J3233="Sí"),"Sí","No"))</f>
        <v/>
      </c>
    </row>
    <row r="3234" customFormat="false" ht="15" hidden="false" customHeight="false" outlineLevel="0" collapsed="false">
      <c r="A3234" s="22"/>
      <c r="B3234" s="22"/>
      <c r="C3234" s="26" t="str">
        <f aca="false">IF(A3234="","",IFERROR(buscarx(A3234&amp;B3234,DATA!$E$3:$E$10000&amp;DATA!$B$3:$B$10000,DATA!$M$3:$M$10000),"No encontrado"))</f>
        <v/>
      </c>
      <c r="D3234" s="27" t="str">
        <f aca="false">IF(A3234="","",IFERROR(buscarx(A3234&amp;B3234,DATA!$E$3:$E$10000&amp;DATA!$B$3:$B$10000,DATA!$W$3:$W$10000),"No encontrado"))</f>
        <v/>
      </c>
      <c r="E3234" s="22"/>
      <c r="F3234" s="26" t="str">
        <f aca="false">IF(A3234="","",IFERROR(buscarx(A3234&amp;E3234,DATA!$E$3:$E$10000&amp;DATA!$B$3:$B$10000,DATA!$M$3:$M$10000),"Inactivo"))</f>
        <v/>
      </c>
      <c r="G3234" s="28" t="str">
        <f aca="false">IF(A3234="","",IF(AND(C3234&lt;&gt;"No encontrado",F3234&lt;&gt;"Inactivo"),C3234&amp;" → "&amp;F3234,"Sin transición"))</f>
        <v/>
      </c>
      <c r="H3234" s="26" t="str">
        <f aca="false">IF(A3234="","",IF(D3234="GCIA LINEA SERVICIO DIGITALIDAD Y VENTAS","Chats",IF(OR(D3234="GERENCIA INBOUND LÍNEAS SERVICIO Y VENTA",D3234="GERENCIA INBOUND LINEAS ESPECIALIZADAS"),"Llamadas","Otro")))</f>
        <v/>
      </c>
      <c r="I3234" s="26" t="str">
        <f aca="false">IF(A3234="","",IF(C3234="No encontrado","No","Sí"))</f>
        <v/>
      </c>
      <c r="J3234" s="26" t="str">
        <f aca="false">IF(A3234="","",IF(F3234="Inactivo","No","Sí"))</f>
        <v/>
      </c>
      <c r="K3234" s="26" t="str">
        <f aca="false">IF(A3234="","",IF(AND(I3234="Sí",J3234="Sí"),"Sí","No"))</f>
        <v/>
      </c>
    </row>
    <row r="3235" customFormat="false" ht="15" hidden="false" customHeight="false" outlineLevel="0" collapsed="false">
      <c r="A3235" s="22"/>
      <c r="B3235" s="22"/>
      <c r="C3235" s="23" t="str">
        <f aca="false">IF(A3235="","",IFERROR(buscarx(A3235&amp;B3235,DATA!$E$3:$E$10000&amp;DATA!$B$3:$B$10000,DATA!$M$3:$M$10000),"No encontrado"))</f>
        <v/>
      </c>
      <c r="D3235" s="24" t="str">
        <f aca="false">IF(A3235="","",IFERROR(buscarx(A3235&amp;B3235,DATA!$E$3:$E$10000&amp;DATA!$B$3:$B$10000,DATA!$W$3:$W$10000),"No encontrado"))</f>
        <v/>
      </c>
      <c r="E3235" s="22"/>
      <c r="F3235" s="23" t="str">
        <f aca="false">IF(A3235="","",IFERROR(buscarx(A3235&amp;E3235,DATA!$E$3:$E$10000&amp;DATA!$B$3:$B$10000,DATA!$M$3:$M$10000),"Inactivo"))</f>
        <v/>
      </c>
      <c r="G3235" s="25" t="str">
        <f aca="false">IF(A3235="","",IF(AND(C3235&lt;&gt;"No encontrado",F3235&lt;&gt;"Inactivo"),C3235&amp;" → "&amp;F3235,"Sin transición"))</f>
        <v/>
      </c>
      <c r="H3235" s="23" t="str">
        <f aca="false">IF(A3235="","",IF(D3235="GCIA LINEA SERVICIO DIGITALIDAD Y VENTAS","Chats",IF(OR(D3235="GERENCIA INBOUND LÍNEAS SERVICIO Y VENTA",D3235="GERENCIA INBOUND LINEAS ESPECIALIZADAS"),"Llamadas","Otro")))</f>
        <v/>
      </c>
      <c r="I3235" s="23" t="str">
        <f aca="false">IF(A3235="","",IF(C3235="No encontrado","No","Sí"))</f>
        <v/>
      </c>
      <c r="J3235" s="23" t="str">
        <f aca="false">IF(A3235="","",IF(F3235="Inactivo","No","Sí"))</f>
        <v/>
      </c>
      <c r="K3235" s="23" t="str">
        <f aca="false">IF(A3235="","",IF(AND(I3235="Sí",J3235="Sí"),"Sí","No"))</f>
        <v/>
      </c>
    </row>
    <row r="3236" customFormat="false" ht="15" hidden="false" customHeight="false" outlineLevel="0" collapsed="false">
      <c r="A3236" s="22"/>
      <c r="B3236" s="22"/>
      <c r="C3236" s="26" t="str">
        <f aca="false">IF(A3236="","",IFERROR(buscarx(A3236&amp;B3236,DATA!$E$3:$E$10000&amp;DATA!$B$3:$B$10000,DATA!$M$3:$M$10000),"No encontrado"))</f>
        <v/>
      </c>
      <c r="D3236" s="27" t="str">
        <f aca="false">IF(A3236="","",IFERROR(buscarx(A3236&amp;B3236,DATA!$E$3:$E$10000&amp;DATA!$B$3:$B$10000,DATA!$W$3:$W$10000),"No encontrado"))</f>
        <v/>
      </c>
      <c r="E3236" s="22"/>
      <c r="F3236" s="26" t="str">
        <f aca="false">IF(A3236="","",IFERROR(buscarx(A3236&amp;E3236,DATA!$E$3:$E$10000&amp;DATA!$B$3:$B$10000,DATA!$M$3:$M$10000),"Inactivo"))</f>
        <v/>
      </c>
      <c r="G3236" s="28" t="str">
        <f aca="false">IF(A3236="","",IF(AND(C3236&lt;&gt;"No encontrado",F3236&lt;&gt;"Inactivo"),C3236&amp;" → "&amp;F3236,"Sin transición"))</f>
        <v/>
      </c>
      <c r="H3236" s="26" t="str">
        <f aca="false">IF(A3236="","",IF(D3236="GCIA LINEA SERVICIO DIGITALIDAD Y VENTAS","Chats",IF(OR(D3236="GERENCIA INBOUND LÍNEAS SERVICIO Y VENTA",D3236="GERENCIA INBOUND LINEAS ESPECIALIZADAS"),"Llamadas","Otro")))</f>
        <v/>
      </c>
      <c r="I3236" s="26" t="str">
        <f aca="false">IF(A3236="","",IF(C3236="No encontrado","No","Sí"))</f>
        <v/>
      </c>
      <c r="J3236" s="26" t="str">
        <f aca="false">IF(A3236="","",IF(F3236="Inactivo","No","Sí"))</f>
        <v/>
      </c>
      <c r="K3236" s="26" t="str">
        <f aca="false">IF(A3236="","",IF(AND(I3236="Sí",J3236="Sí"),"Sí","No"))</f>
        <v/>
      </c>
    </row>
    <row r="3237" customFormat="false" ht="15" hidden="false" customHeight="false" outlineLevel="0" collapsed="false">
      <c r="A3237" s="22"/>
      <c r="B3237" s="22"/>
      <c r="C3237" s="23" t="str">
        <f aca="false">IF(A3237="","",IFERROR(buscarx(A3237&amp;B3237,DATA!$E$3:$E$10000&amp;DATA!$B$3:$B$10000,DATA!$M$3:$M$10000),"No encontrado"))</f>
        <v/>
      </c>
      <c r="D3237" s="24" t="str">
        <f aca="false">IF(A3237="","",IFERROR(buscarx(A3237&amp;B3237,DATA!$E$3:$E$10000&amp;DATA!$B$3:$B$10000,DATA!$W$3:$W$10000),"No encontrado"))</f>
        <v/>
      </c>
      <c r="E3237" s="22"/>
      <c r="F3237" s="23" t="str">
        <f aca="false">IF(A3237="","",IFERROR(buscarx(A3237&amp;E3237,DATA!$E$3:$E$10000&amp;DATA!$B$3:$B$10000,DATA!$M$3:$M$10000),"Inactivo"))</f>
        <v/>
      </c>
      <c r="G3237" s="25" t="str">
        <f aca="false">IF(A3237="","",IF(AND(C3237&lt;&gt;"No encontrado",F3237&lt;&gt;"Inactivo"),C3237&amp;" → "&amp;F3237,"Sin transición"))</f>
        <v/>
      </c>
      <c r="H3237" s="23" t="str">
        <f aca="false">IF(A3237="","",IF(D3237="GCIA LINEA SERVICIO DIGITALIDAD Y VENTAS","Chats",IF(OR(D3237="GERENCIA INBOUND LÍNEAS SERVICIO Y VENTA",D3237="GERENCIA INBOUND LINEAS ESPECIALIZADAS"),"Llamadas","Otro")))</f>
        <v/>
      </c>
      <c r="I3237" s="23" t="str">
        <f aca="false">IF(A3237="","",IF(C3237="No encontrado","No","Sí"))</f>
        <v/>
      </c>
      <c r="J3237" s="23" t="str">
        <f aca="false">IF(A3237="","",IF(F3237="Inactivo","No","Sí"))</f>
        <v/>
      </c>
      <c r="K3237" s="23" t="str">
        <f aca="false">IF(A3237="","",IF(AND(I3237="Sí",J3237="Sí"),"Sí","No"))</f>
        <v/>
      </c>
    </row>
    <row r="3238" customFormat="false" ht="15" hidden="false" customHeight="false" outlineLevel="0" collapsed="false">
      <c r="A3238" s="22"/>
      <c r="B3238" s="22"/>
      <c r="C3238" s="26" t="str">
        <f aca="false">IF(A3238="","",IFERROR(buscarx(A3238&amp;B3238,DATA!$E$3:$E$10000&amp;DATA!$B$3:$B$10000,DATA!$M$3:$M$10000),"No encontrado"))</f>
        <v/>
      </c>
      <c r="D3238" s="27" t="str">
        <f aca="false">IF(A3238="","",IFERROR(buscarx(A3238&amp;B3238,DATA!$E$3:$E$10000&amp;DATA!$B$3:$B$10000,DATA!$W$3:$W$10000),"No encontrado"))</f>
        <v/>
      </c>
      <c r="E3238" s="22"/>
      <c r="F3238" s="26" t="str">
        <f aca="false">IF(A3238="","",IFERROR(buscarx(A3238&amp;E3238,DATA!$E$3:$E$10000&amp;DATA!$B$3:$B$10000,DATA!$M$3:$M$10000),"Inactivo"))</f>
        <v/>
      </c>
      <c r="G3238" s="28" t="str">
        <f aca="false">IF(A3238="","",IF(AND(C3238&lt;&gt;"No encontrado",F3238&lt;&gt;"Inactivo"),C3238&amp;" → "&amp;F3238,"Sin transición"))</f>
        <v/>
      </c>
      <c r="H3238" s="26" t="str">
        <f aca="false">IF(A3238="","",IF(D3238="GCIA LINEA SERVICIO DIGITALIDAD Y VENTAS","Chats",IF(OR(D3238="GERENCIA INBOUND LÍNEAS SERVICIO Y VENTA",D3238="GERENCIA INBOUND LINEAS ESPECIALIZADAS"),"Llamadas","Otro")))</f>
        <v/>
      </c>
      <c r="I3238" s="26" t="str">
        <f aca="false">IF(A3238="","",IF(C3238="No encontrado","No","Sí"))</f>
        <v/>
      </c>
      <c r="J3238" s="26" t="str">
        <f aca="false">IF(A3238="","",IF(F3238="Inactivo","No","Sí"))</f>
        <v/>
      </c>
      <c r="K3238" s="26" t="str">
        <f aca="false">IF(A3238="","",IF(AND(I3238="Sí",J3238="Sí"),"Sí","No"))</f>
        <v/>
      </c>
    </row>
    <row r="3239" customFormat="false" ht="15" hidden="false" customHeight="false" outlineLevel="0" collapsed="false">
      <c r="A3239" s="22"/>
      <c r="B3239" s="22"/>
      <c r="C3239" s="23" t="str">
        <f aca="false">IF(A3239="","",IFERROR(buscarx(A3239&amp;B3239,DATA!$E$3:$E$10000&amp;DATA!$B$3:$B$10000,DATA!$M$3:$M$10000),"No encontrado"))</f>
        <v/>
      </c>
      <c r="D3239" s="24" t="str">
        <f aca="false">IF(A3239="","",IFERROR(buscarx(A3239&amp;B3239,DATA!$E$3:$E$10000&amp;DATA!$B$3:$B$10000,DATA!$W$3:$W$10000),"No encontrado"))</f>
        <v/>
      </c>
      <c r="E3239" s="22"/>
      <c r="F3239" s="23" t="str">
        <f aca="false">IF(A3239="","",IFERROR(buscarx(A3239&amp;E3239,DATA!$E$3:$E$10000&amp;DATA!$B$3:$B$10000,DATA!$M$3:$M$10000),"Inactivo"))</f>
        <v/>
      </c>
      <c r="G3239" s="25" t="str">
        <f aca="false">IF(A3239="","",IF(AND(C3239&lt;&gt;"No encontrado",F3239&lt;&gt;"Inactivo"),C3239&amp;" → "&amp;F3239,"Sin transición"))</f>
        <v/>
      </c>
      <c r="H3239" s="23" t="str">
        <f aca="false">IF(A3239="","",IF(D3239="GCIA LINEA SERVICIO DIGITALIDAD Y VENTAS","Chats",IF(OR(D3239="GERENCIA INBOUND LÍNEAS SERVICIO Y VENTA",D3239="GERENCIA INBOUND LINEAS ESPECIALIZADAS"),"Llamadas","Otro")))</f>
        <v/>
      </c>
      <c r="I3239" s="23" t="str">
        <f aca="false">IF(A3239="","",IF(C3239="No encontrado","No","Sí"))</f>
        <v/>
      </c>
      <c r="J3239" s="23" t="str">
        <f aca="false">IF(A3239="","",IF(F3239="Inactivo","No","Sí"))</f>
        <v/>
      </c>
      <c r="K3239" s="23" t="str">
        <f aca="false">IF(A3239="","",IF(AND(I3239="Sí",J3239="Sí"),"Sí","No"))</f>
        <v/>
      </c>
    </row>
    <row r="3240" customFormat="false" ht="15" hidden="false" customHeight="false" outlineLevel="0" collapsed="false">
      <c r="A3240" s="22"/>
      <c r="B3240" s="22"/>
      <c r="C3240" s="26" t="str">
        <f aca="false">IF(A3240="","",IFERROR(buscarx(A3240&amp;B3240,DATA!$E$3:$E$10000&amp;DATA!$B$3:$B$10000,DATA!$M$3:$M$10000),"No encontrado"))</f>
        <v/>
      </c>
      <c r="D3240" s="27" t="str">
        <f aca="false">IF(A3240="","",IFERROR(buscarx(A3240&amp;B3240,DATA!$E$3:$E$10000&amp;DATA!$B$3:$B$10000,DATA!$W$3:$W$10000),"No encontrado"))</f>
        <v/>
      </c>
      <c r="E3240" s="22"/>
      <c r="F3240" s="26" t="str">
        <f aca="false">IF(A3240="","",IFERROR(buscarx(A3240&amp;E3240,DATA!$E$3:$E$10000&amp;DATA!$B$3:$B$10000,DATA!$M$3:$M$10000),"Inactivo"))</f>
        <v/>
      </c>
      <c r="G3240" s="28" t="str">
        <f aca="false">IF(A3240="","",IF(AND(C3240&lt;&gt;"No encontrado",F3240&lt;&gt;"Inactivo"),C3240&amp;" → "&amp;F3240,"Sin transición"))</f>
        <v/>
      </c>
      <c r="H3240" s="26" t="str">
        <f aca="false">IF(A3240="","",IF(D3240="GCIA LINEA SERVICIO DIGITALIDAD Y VENTAS","Chats",IF(OR(D3240="GERENCIA INBOUND LÍNEAS SERVICIO Y VENTA",D3240="GERENCIA INBOUND LINEAS ESPECIALIZADAS"),"Llamadas","Otro")))</f>
        <v/>
      </c>
      <c r="I3240" s="26" t="str">
        <f aca="false">IF(A3240="","",IF(C3240="No encontrado","No","Sí"))</f>
        <v/>
      </c>
      <c r="J3240" s="26" t="str">
        <f aca="false">IF(A3240="","",IF(F3240="Inactivo","No","Sí"))</f>
        <v/>
      </c>
      <c r="K3240" s="26" t="str">
        <f aca="false">IF(A3240="","",IF(AND(I3240="Sí",J3240="Sí"),"Sí","No"))</f>
        <v/>
      </c>
    </row>
    <row r="3241" customFormat="false" ht="15" hidden="false" customHeight="false" outlineLevel="0" collapsed="false">
      <c r="A3241" s="22"/>
      <c r="B3241" s="22"/>
      <c r="C3241" s="23" t="str">
        <f aca="false">IF(A3241="","",IFERROR(buscarx(A3241&amp;B3241,DATA!$E$3:$E$10000&amp;DATA!$B$3:$B$10000,DATA!$M$3:$M$10000),"No encontrado"))</f>
        <v/>
      </c>
      <c r="D3241" s="24" t="str">
        <f aca="false">IF(A3241="","",IFERROR(buscarx(A3241&amp;B3241,DATA!$E$3:$E$10000&amp;DATA!$B$3:$B$10000,DATA!$W$3:$W$10000),"No encontrado"))</f>
        <v/>
      </c>
      <c r="E3241" s="22"/>
      <c r="F3241" s="23" t="str">
        <f aca="false">IF(A3241="","",IFERROR(buscarx(A3241&amp;E3241,DATA!$E$3:$E$10000&amp;DATA!$B$3:$B$10000,DATA!$M$3:$M$10000),"Inactivo"))</f>
        <v/>
      </c>
      <c r="G3241" s="25" t="str">
        <f aca="false">IF(A3241="","",IF(AND(C3241&lt;&gt;"No encontrado",F3241&lt;&gt;"Inactivo"),C3241&amp;" → "&amp;F3241,"Sin transición"))</f>
        <v/>
      </c>
      <c r="H3241" s="23" t="str">
        <f aca="false">IF(A3241="","",IF(D3241="GCIA LINEA SERVICIO DIGITALIDAD Y VENTAS","Chats",IF(OR(D3241="GERENCIA INBOUND LÍNEAS SERVICIO Y VENTA",D3241="GERENCIA INBOUND LINEAS ESPECIALIZADAS"),"Llamadas","Otro")))</f>
        <v/>
      </c>
      <c r="I3241" s="23" t="str">
        <f aca="false">IF(A3241="","",IF(C3241="No encontrado","No","Sí"))</f>
        <v/>
      </c>
      <c r="J3241" s="23" t="str">
        <f aca="false">IF(A3241="","",IF(F3241="Inactivo","No","Sí"))</f>
        <v/>
      </c>
      <c r="K3241" s="23" t="str">
        <f aca="false">IF(A3241="","",IF(AND(I3241="Sí",J3241="Sí"),"Sí","No"))</f>
        <v/>
      </c>
    </row>
    <row r="3242" customFormat="false" ht="15" hidden="false" customHeight="false" outlineLevel="0" collapsed="false">
      <c r="A3242" s="22"/>
      <c r="B3242" s="22"/>
      <c r="C3242" s="26" t="str">
        <f aca="false">IF(A3242="","",IFERROR(buscarx(A3242&amp;B3242,DATA!$E$3:$E$10000&amp;DATA!$B$3:$B$10000,DATA!$M$3:$M$10000),"No encontrado"))</f>
        <v/>
      </c>
      <c r="D3242" s="27" t="str">
        <f aca="false">IF(A3242="","",IFERROR(buscarx(A3242&amp;B3242,DATA!$E$3:$E$10000&amp;DATA!$B$3:$B$10000,DATA!$W$3:$W$10000),"No encontrado"))</f>
        <v/>
      </c>
      <c r="E3242" s="22"/>
      <c r="F3242" s="26" t="str">
        <f aca="false">IF(A3242="","",IFERROR(buscarx(A3242&amp;E3242,DATA!$E$3:$E$10000&amp;DATA!$B$3:$B$10000,DATA!$M$3:$M$10000),"Inactivo"))</f>
        <v/>
      </c>
      <c r="G3242" s="28" t="str">
        <f aca="false">IF(A3242="","",IF(AND(C3242&lt;&gt;"No encontrado",F3242&lt;&gt;"Inactivo"),C3242&amp;" → "&amp;F3242,"Sin transición"))</f>
        <v/>
      </c>
      <c r="H3242" s="26" t="str">
        <f aca="false">IF(A3242="","",IF(D3242="GCIA LINEA SERVICIO DIGITALIDAD Y VENTAS","Chats",IF(OR(D3242="GERENCIA INBOUND LÍNEAS SERVICIO Y VENTA",D3242="GERENCIA INBOUND LINEAS ESPECIALIZADAS"),"Llamadas","Otro")))</f>
        <v/>
      </c>
      <c r="I3242" s="26" t="str">
        <f aca="false">IF(A3242="","",IF(C3242="No encontrado","No","Sí"))</f>
        <v/>
      </c>
      <c r="J3242" s="26" t="str">
        <f aca="false">IF(A3242="","",IF(F3242="Inactivo","No","Sí"))</f>
        <v/>
      </c>
      <c r="K3242" s="26" t="str">
        <f aca="false">IF(A3242="","",IF(AND(I3242="Sí",J3242="Sí"),"Sí","No"))</f>
        <v/>
      </c>
    </row>
    <row r="3243" customFormat="false" ht="15" hidden="false" customHeight="false" outlineLevel="0" collapsed="false">
      <c r="A3243" s="22"/>
      <c r="B3243" s="22"/>
      <c r="C3243" s="23" t="str">
        <f aca="false">IF(A3243="","",IFERROR(buscarx(A3243&amp;B3243,DATA!$E$3:$E$10000&amp;DATA!$B$3:$B$10000,DATA!$M$3:$M$10000),"No encontrado"))</f>
        <v/>
      </c>
      <c r="D3243" s="24" t="str">
        <f aca="false">IF(A3243="","",IFERROR(buscarx(A3243&amp;B3243,DATA!$E$3:$E$10000&amp;DATA!$B$3:$B$10000,DATA!$W$3:$W$10000),"No encontrado"))</f>
        <v/>
      </c>
      <c r="E3243" s="22"/>
      <c r="F3243" s="23" t="str">
        <f aca="false">IF(A3243="","",IFERROR(buscarx(A3243&amp;E3243,DATA!$E$3:$E$10000&amp;DATA!$B$3:$B$10000,DATA!$M$3:$M$10000),"Inactivo"))</f>
        <v/>
      </c>
      <c r="G3243" s="25" t="str">
        <f aca="false">IF(A3243="","",IF(AND(C3243&lt;&gt;"No encontrado",F3243&lt;&gt;"Inactivo"),C3243&amp;" → "&amp;F3243,"Sin transición"))</f>
        <v/>
      </c>
      <c r="H3243" s="23" t="str">
        <f aca="false">IF(A3243="","",IF(D3243="GCIA LINEA SERVICIO DIGITALIDAD Y VENTAS","Chats",IF(OR(D3243="GERENCIA INBOUND LÍNEAS SERVICIO Y VENTA",D3243="GERENCIA INBOUND LINEAS ESPECIALIZADAS"),"Llamadas","Otro")))</f>
        <v/>
      </c>
      <c r="I3243" s="23" t="str">
        <f aca="false">IF(A3243="","",IF(C3243="No encontrado","No","Sí"))</f>
        <v/>
      </c>
      <c r="J3243" s="23" t="str">
        <f aca="false">IF(A3243="","",IF(F3243="Inactivo","No","Sí"))</f>
        <v/>
      </c>
      <c r="K3243" s="23" t="str">
        <f aca="false">IF(A3243="","",IF(AND(I3243="Sí",J3243="Sí"),"Sí","No"))</f>
        <v/>
      </c>
    </row>
    <row r="3244" customFormat="false" ht="15" hidden="false" customHeight="false" outlineLevel="0" collapsed="false">
      <c r="A3244" s="22"/>
      <c r="B3244" s="22"/>
      <c r="C3244" s="26" t="str">
        <f aca="false">IF(A3244="","",IFERROR(buscarx(A3244&amp;B3244,DATA!$E$3:$E$10000&amp;DATA!$B$3:$B$10000,DATA!$M$3:$M$10000),"No encontrado"))</f>
        <v/>
      </c>
      <c r="D3244" s="27" t="str">
        <f aca="false">IF(A3244="","",IFERROR(buscarx(A3244&amp;B3244,DATA!$E$3:$E$10000&amp;DATA!$B$3:$B$10000,DATA!$W$3:$W$10000),"No encontrado"))</f>
        <v/>
      </c>
      <c r="E3244" s="22"/>
      <c r="F3244" s="26" t="str">
        <f aca="false">IF(A3244="","",IFERROR(buscarx(A3244&amp;E3244,DATA!$E$3:$E$10000&amp;DATA!$B$3:$B$10000,DATA!$M$3:$M$10000),"Inactivo"))</f>
        <v/>
      </c>
      <c r="G3244" s="28" t="str">
        <f aca="false">IF(A3244="","",IF(AND(C3244&lt;&gt;"No encontrado",F3244&lt;&gt;"Inactivo"),C3244&amp;" → "&amp;F3244,"Sin transición"))</f>
        <v/>
      </c>
      <c r="H3244" s="26" t="str">
        <f aca="false">IF(A3244="","",IF(D3244="GCIA LINEA SERVICIO DIGITALIDAD Y VENTAS","Chats",IF(OR(D3244="GERENCIA INBOUND LÍNEAS SERVICIO Y VENTA",D3244="GERENCIA INBOUND LINEAS ESPECIALIZADAS"),"Llamadas","Otro")))</f>
        <v/>
      </c>
      <c r="I3244" s="26" t="str">
        <f aca="false">IF(A3244="","",IF(C3244="No encontrado","No","Sí"))</f>
        <v/>
      </c>
      <c r="J3244" s="26" t="str">
        <f aca="false">IF(A3244="","",IF(F3244="Inactivo","No","Sí"))</f>
        <v/>
      </c>
      <c r="K3244" s="26" t="str">
        <f aca="false">IF(A3244="","",IF(AND(I3244="Sí",J3244="Sí"),"Sí","No"))</f>
        <v/>
      </c>
    </row>
    <row r="3245" customFormat="false" ht="15" hidden="false" customHeight="false" outlineLevel="0" collapsed="false">
      <c r="A3245" s="22"/>
      <c r="B3245" s="22"/>
      <c r="C3245" s="23" t="str">
        <f aca="false">IF(A3245="","",IFERROR(buscarx(A3245&amp;B3245,DATA!$E$3:$E$10000&amp;DATA!$B$3:$B$10000,DATA!$M$3:$M$10000),"No encontrado"))</f>
        <v/>
      </c>
      <c r="D3245" s="24" t="str">
        <f aca="false">IF(A3245="","",IFERROR(buscarx(A3245&amp;B3245,DATA!$E$3:$E$10000&amp;DATA!$B$3:$B$10000,DATA!$W$3:$W$10000),"No encontrado"))</f>
        <v/>
      </c>
      <c r="E3245" s="22"/>
      <c r="F3245" s="23" t="str">
        <f aca="false">IF(A3245="","",IFERROR(buscarx(A3245&amp;E3245,DATA!$E$3:$E$10000&amp;DATA!$B$3:$B$10000,DATA!$M$3:$M$10000),"Inactivo"))</f>
        <v/>
      </c>
      <c r="G3245" s="25" t="str">
        <f aca="false">IF(A3245="","",IF(AND(C3245&lt;&gt;"No encontrado",F3245&lt;&gt;"Inactivo"),C3245&amp;" → "&amp;F3245,"Sin transición"))</f>
        <v/>
      </c>
      <c r="H3245" s="23" t="str">
        <f aca="false">IF(A3245="","",IF(D3245="GCIA LINEA SERVICIO DIGITALIDAD Y VENTAS","Chats",IF(OR(D3245="GERENCIA INBOUND LÍNEAS SERVICIO Y VENTA",D3245="GERENCIA INBOUND LINEAS ESPECIALIZADAS"),"Llamadas","Otro")))</f>
        <v/>
      </c>
      <c r="I3245" s="23" t="str">
        <f aca="false">IF(A3245="","",IF(C3245="No encontrado","No","Sí"))</f>
        <v/>
      </c>
      <c r="J3245" s="23" t="str">
        <f aca="false">IF(A3245="","",IF(F3245="Inactivo","No","Sí"))</f>
        <v/>
      </c>
      <c r="K3245" s="23" t="str">
        <f aca="false">IF(A3245="","",IF(AND(I3245="Sí",J3245="Sí"),"Sí","No"))</f>
        <v/>
      </c>
    </row>
    <row r="3246" customFormat="false" ht="15" hidden="false" customHeight="false" outlineLevel="0" collapsed="false">
      <c r="A3246" s="22"/>
      <c r="B3246" s="22"/>
      <c r="C3246" s="26" t="str">
        <f aca="false">IF(A3246="","",IFERROR(buscarx(A3246&amp;B3246,DATA!$E$3:$E$10000&amp;DATA!$B$3:$B$10000,DATA!$M$3:$M$10000),"No encontrado"))</f>
        <v/>
      </c>
      <c r="D3246" s="27" t="str">
        <f aca="false">IF(A3246="","",IFERROR(buscarx(A3246&amp;B3246,DATA!$E$3:$E$10000&amp;DATA!$B$3:$B$10000,DATA!$W$3:$W$10000),"No encontrado"))</f>
        <v/>
      </c>
      <c r="E3246" s="22"/>
      <c r="F3246" s="26" t="str">
        <f aca="false">IF(A3246="","",IFERROR(buscarx(A3246&amp;E3246,DATA!$E$3:$E$10000&amp;DATA!$B$3:$B$10000,DATA!$M$3:$M$10000),"Inactivo"))</f>
        <v/>
      </c>
      <c r="G3246" s="28" t="str">
        <f aca="false">IF(A3246="","",IF(AND(C3246&lt;&gt;"No encontrado",F3246&lt;&gt;"Inactivo"),C3246&amp;" → "&amp;F3246,"Sin transición"))</f>
        <v/>
      </c>
      <c r="H3246" s="26" t="str">
        <f aca="false">IF(A3246="","",IF(D3246="GCIA LINEA SERVICIO DIGITALIDAD Y VENTAS","Chats",IF(OR(D3246="GERENCIA INBOUND LÍNEAS SERVICIO Y VENTA",D3246="GERENCIA INBOUND LINEAS ESPECIALIZADAS"),"Llamadas","Otro")))</f>
        <v/>
      </c>
      <c r="I3246" s="26" t="str">
        <f aca="false">IF(A3246="","",IF(C3246="No encontrado","No","Sí"))</f>
        <v/>
      </c>
      <c r="J3246" s="26" t="str">
        <f aca="false">IF(A3246="","",IF(F3246="Inactivo","No","Sí"))</f>
        <v/>
      </c>
      <c r="K3246" s="26" t="str">
        <f aca="false">IF(A3246="","",IF(AND(I3246="Sí",J3246="Sí"),"Sí","No"))</f>
        <v/>
      </c>
    </row>
    <row r="3247" customFormat="false" ht="15" hidden="false" customHeight="false" outlineLevel="0" collapsed="false">
      <c r="A3247" s="22"/>
      <c r="B3247" s="22"/>
      <c r="C3247" s="23" t="str">
        <f aca="false">IF(A3247="","",IFERROR(buscarx(A3247&amp;B3247,DATA!$E$3:$E$10000&amp;DATA!$B$3:$B$10000,DATA!$M$3:$M$10000),"No encontrado"))</f>
        <v/>
      </c>
      <c r="D3247" s="24" t="str">
        <f aca="false">IF(A3247="","",IFERROR(buscarx(A3247&amp;B3247,DATA!$E$3:$E$10000&amp;DATA!$B$3:$B$10000,DATA!$W$3:$W$10000),"No encontrado"))</f>
        <v/>
      </c>
      <c r="E3247" s="22"/>
      <c r="F3247" s="23" t="str">
        <f aca="false">IF(A3247="","",IFERROR(buscarx(A3247&amp;E3247,DATA!$E$3:$E$10000&amp;DATA!$B$3:$B$10000,DATA!$M$3:$M$10000),"Inactivo"))</f>
        <v/>
      </c>
      <c r="G3247" s="25" t="str">
        <f aca="false">IF(A3247="","",IF(AND(C3247&lt;&gt;"No encontrado",F3247&lt;&gt;"Inactivo"),C3247&amp;" → "&amp;F3247,"Sin transición"))</f>
        <v/>
      </c>
      <c r="H3247" s="23" t="str">
        <f aca="false">IF(A3247="","",IF(D3247="GCIA LINEA SERVICIO DIGITALIDAD Y VENTAS","Chats",IF(OR(D3247="GERENCIA INBOUND LÍNEAS SERVICIO Y VENTA",D3247="GERENCIA INBOUND LINEAS ESPECIALIZADAS"),"Llamadas","Otro")))</f>
        <v/>
      </c>
      <c r="I3247" s="23" t="str">
        <f aca="false">IF(A3247="","",IF(C3247="No encontrado","No","Sí"))</f>
        <v/>
      </c>
      <c r="J3247" s="23" t="str">
        <f aca="false">IF(A3247="","",IF(F3247="Inactivo","No","Sí"))</f>
        <v/>
      </c>
      <c r="K3247" s="23" t="str">
        <f aca="false">IF(A3247="","",IF(AND(I3247="Sí",J3247="Sí"),"Sí","No"))</f>
        <v/>
      </c>
    </row>
    <row r="3248" customFormat="false" ht="15" hidden="false" customHeight="false" outlineLevel="0" collapsed="false">
      <c r="A3248" s="22"/>
      <c r="B3248" s="22"/>
      <c r="C3248" s="26" t="str">
        <f aca="false">IF(A3248="","",IFERROR(buscarx(A3248&amp;B3248,DATA!$E$3:$E$10000&amp;DATA!$B$3:$B$10000,DATA!$M$3:$M$10000),"No encontrado"))</f>
        <v/>
      </c>
      <c r="D3248" s="27" t="str">
        <f aca="false">IF(A3248="","",IFERROR(buscarx(A3248&amp;B3248,DATA!$E$3:$E$10000&amp;DATA!$B$3:$B$10000,DATA!$W$3:$W$10000),"No encontrado"))</f>
        <v/>
      </c>
      <c r="E3248" s="22"/>
      <c r="F3248" s="26" t="str">
        <f aca="false">IF(A3248="","",IFERROR(buscarx(A3248&amp;E3248,DATA!$E$3:$E$10000&amp;DATA!$B$3:$B$10000,DATA!$M$3:$M$10000),"Inactivo"))</f>
        <v/>
      </c>
      <c r="G3248" s="28" t="str">
        <f aca="false">IF(A3248="","",IF(AND(C3248&lt;&gt;"No encontrado",F3248&lt;&gt;"Inactivo"),C3248&amp;" → "&amp;F3248,"Sin transición"))</f>
        <v/>
      </c>
      <c r="H3248" s="26" t="str">
        <f aca="false">IF(A3248="","",IF(D3248="GCIA LINEA SERVICIO DIGITALIDAD Y VENTAS","Chats",IF(OR(D3248="GERENCIA INBOUND LÍNEAS SERVICIO Y VENTA",D3248="GERENCIA INBOUND LINEAS ESPECIALIZADAS"),"Llamadas","Otro")))</f>
        <v/>
      </c>
      <c r="I3248" s="26" t="str">
        <f aca="false">IF(A3248="","",IF(C3248="No encontrado","No","Sí"))</f>
        <v/>
      </c>
      <c r="J3248" s="26" t="str">
        <f aca="false">IF(A3248="","",IF(F3248="Inactivo","No","Sí"))</f>
        <v/>
      </c>
      <c r="K3248" s="26" t="str">
        <f aca="false">IF(A3248="","",IF(AND(I3248="Sí",J3248="Sí"),"Sí","No"))</f>
        <v/>
      </c>
    </row>
    <row r="3249" customFormat="false" ht="15" hidden="false" customHeight="false" outlineLevel="0" collapsed="false">
      <c r="A3249" s="22"/>
      <c r="B3249" s="22"/>
      <c r="C3249" s="23" t="str">
        <f aca="false">IF(A3249="","",IFERROR(buscarx(A3249&amp;B3249,DATA!$E$3:$E$10000&amp;DATA!$B$3:$B$10000,DATA!$M$3:$M$10000),"No encontrado"))</f>
        <v/>
      </c>
      <c r="D3249" s="24" t="str">
        <f aca="false">IF(A3249="","",IFERROR(buscarx(A3249&amp;B3249,DATA!$E$3:$E$10000&amp;DATA!$B$3:$B$10000,DATA!$W$3:$W$10000),"No encontrado"))</f>
        <v/>
      </c>
      <c r="E3249" s="22"/>
      <c r="F3249" s="23" t="str">
        <f aca="false">IF(A3249="","",IFERROR(buscarx(A3249&amp;E3249,DATA!$E$3:$E$10000&amp;DATA!$B$3:$B$10000,DATA!$M$3:$M$10000),"Inactivo"))</f>
        <v/>
      </c>
      <c r="G3249" s="25" t="str">
        <f aca="false">IF(A3249="","",IF(AND(C3249&lt;&gt;"No encontrado",F3249&lt;&gt;"Inactivo"),C3249&amp;" → "&amp;F3249,"Sin transición"))</f>
        <v/>
      </c>
      <c r="H3249" s="23" t="str">
        <f aca="false">IF(A3249="","",IF(D3249="GCIA LINEA SERVICIO DIGITALIDAD Y VENTAS","Chats",IF(OR(D3249="GERENCIA INBOUND LÍNEAS SERVICIO Y VENTA",D3249="GERENCIA INBOUND LINEAS ESPECIALIZADAS"),"Llamadas","Otro")))</f>
        <v/>
      </c>
      <c r="I3249" s="23" t="str">
        <f aca="false">IF(A3249="","",IF(C3249="No encontrado","No","Sí"))</f>
        <v/>
      </c>
      <c r="J3249" s="23" t="str">
        <f aca="false">IF(A3249="","",IF(F3249="Inactivo","No","Sí"))</f>
        <v/>
      </c>
      <c r="K3249" s="23" t="str">
        <f aca="false">IF(A3249="","",IF(AND(I3249="Sí",J3249="Sí"),"Sí","No"))</f>
        <v/>
      </c>
    </row>
    <row r="3250" customFormat="false" ht="15" hidden="false" customHeight="false" outlineLevel="0" collapsed="false">
      <c r="A3250" s="22"/>
      <c r="B3250" s="22"/>
      <c r="C3250" s="26" t="str">
        <f aca="false">IF(A3250="","",IFERROR(buscarx(A3250&amp;B3250,DATA!$E$3:$E$10000&amp;DATA!$B$3:$B$10000,DATA!$M$3:$M$10000),"No encontrado"))</f>
        <v/>
      </c>
      <c r="D3250" s="27" t="str">
        <f aca="false">IF(A3250="","",IFERROR(buscarx(A3250&amp;B3250,DATA!$E$3:$E$10000&amp;DATA!$B$3:$B$10000,DATA!$W$3:$W$10000),"No encontrado"))</f>
        <v/>
      </c>
      <c r="E3250" s="22"/>
      <c r="F3250" s="26" t="str">
        <f aca="false">IF(A3250="","",IFERROR(buscarx(A3250&amp;E3250,DATA!$E$3:$E$10000&amp;DATA!$B$3:$B$10000,DATA!$M$3:$M$10000),"Inactivo"))</f>
        <v/>
      </c>
      <c r="G3250" s="28" t="str">
        <f aca="false">IF(A3250="","",IF(AND(C3250&lt;&gt;"No encontrado",F3250&lt;&gt;"Inactivo"),C3250&amp;" → "&amp;F3250,"Sin transición"))</f>
        <v/>
      </c>
      <c r="H3250" s="26" t="str">
        <f aca="false">IF(A3250="","",IF(D3250="GCIA LINEA SERVICIO DIGITALIDAD Y VENTAS","Chats",IF(OR(D3250="GERENCIA INBOUND LÍNEAS SERVICIO Y VENTA",D3250="GERENCIA INBOUND LINEAS ESPECIALIZADAS"),"Llamadas","Otro")))</f>
        <v/>
      </c>
      <c r="I3250" s="26" t="str">
        <f aca="false">IF(A3250="","",IF(C3250="No encontrado","No","Sí"))</f>
        <v/>
      </c>
      <c r="J3250" s="26" t="str">
        <f aca="false">IF(A3250="","",IF(F3250="Inactivo","No","Sí"))</f>
        <v/>
      </c>
      <c r="K3250" s="26" t="str">
        <f aca="false">IF(A3250="","",IF(AND(I3250="Sí",J3250="Sí"),"Sí","No"))</f>
        <v/>
      </c>
    </row>
    <row r="3251" customFormat="false" ht="15" hidden="false" customHeight="false" outlineLevel="0" collapsed="false">
      <c r="A3251" s="22"/>
      <c r="B3251" s="22"/>
      <c r="C3251" s="23" t="str">
        <f aca="false">IF(A3251="","",IFERROR(buscarx(A3251&amp;B3251,DATA!$E$3:$E$10000&amp;DATA!$B$3:$B$10000,DATA!$M$3:$M$10000),"No encontrado"))</f>
        <v/>
      </c>
      <c r="D3251" s="24" t="str">
        <f aca="false">IF(A3251="","",IFERROR(buscarx(A3251&amp;B3251,DATA!$E$3:$E$10000&amp;DATA!$B$3:$B$10000,DATA!$W$3:$W$10000),"No encontrado"))</f>
        <v/>
      </c>
      <c r="E3251" s="22"/>
      <c r="F3251" s="23" t="str">
        <f aca="false">IF(A3251="","",IFERROR(buscarx(A3251&amp;E3251,DATA!$E$3:$E$10000&amp;DATA!$B$3:$B$10000,DATA!$M$3:$M$10000),"Inactivo"))</f>
        <v/>
      </c>
      <c r="G3251" s="25" t="str">
        <f aca="false">IF(A3251="","",IF(AND(C3251&lt;&gt;"No encontrado",F3251&lt;&gt;"Inactivo"),C3251&amp;" → "&amp;F3251,"Sin transición"))</f>
        <v/>
      </c>
      <c r="H3251" s="23" t="str">
        <f aca="false">IF(A3251="","",IF(D3251="GCIA LINEA SERVICIO DIGITALIDAD Y VENTAS","Chats",IF(OR(D3251="GERENCIA INBOUND LÍNEAS SERVICIO Y VENTA",D3251="GERENCIA INBOUND LINEAS ESPECIALIZADAS"),"Llamadas","Otro")))</f>
        <v/>
      </c>
      <c r="I3251" s="23" t="str">
        <f aca="false">IF(A3251="","",IF(C3251="No encontrado","No","Sí"))</f>
        <v/>
      </c>
      <c r="J3251" s="23" t="str">
        <f aca="false">IF(A3251="","",IF(F3251="Inactivo","No","Sí"))</f>
        <v/>
      </c>
      <c r="K3251" s="23" t="str">
        <f aca="false">IF(A3251="","",IF(AND(I3251="Sí",J3251="Sí"),"Sí","No"))</f>
        <v/>
      </c>
    </row>
    <row r="3252" customFormat="false" ht="15" hidden="false" customHeight="false" outlineLevel="0" collapsed="false">
      <c r="A3252" s="22"/>
      <c r="B3252" s="22"/>
      <c r="C3252" s="26" t="str">
        <f aca="false">IF(A3252="","",IFERROR(buscarx(A3252&amp;B3252,DATA!$E$3:$E$10000&amp;DATA!$B$3:$B$10000,DATA!$M$3:$M$10000),"No encontrado"))</f>
        <v/>
      </c>
      <c r="D3252" s="27" t="str">
        <f aca="false">IF(A3252="","",IFERROR(buscarx(A3252&amp;B3252,DATA!$E$3:$E$10000&amp;DATA!$B$3:$B$10000,DATA!$W$3:$W$10000),"No encontrado"))</f>
        <v/>
      </c>
      <c r="E3252" s="22"/>
      <c r="F3252" s="26" t="str">
        <f aca="false">IF(A3252="","",IFERROR(buscarx(A3252&amp;E3252,DATA!$E$3:$E$10000&amp;DATA!$B$3:$B$10000,DATA!$M$3:$M$10000),"Inactivo"))</f>
        <v/>
      </c>
      <c r="G3252" s="28" t="str">
        <f aca="false">IF(A3252="","",IF(AND(C3252&lt;&gt;"No encontrado",F3252&lt;&gt;"Inactivo"),C3252&amp;" → "&amp;F3252,"Sin transición"))</f>
        <v/>
      </c>
      <c r="H3252" s="26" t="str">
        <f aca="false">IF(A3252="","",IF(D3252="GCIA LINEA SERVICIO DIGITALIDAD Y VENTAS","Chats",IF(OR(D3252="GERENCIA INBOUND LÍNEAS SERVICIO Y VENTA",D3252="GERENCIA INBOUND LINEAS ESPECIALIZADAS"),"Llamadas","Otro")))</f>
        <v/>
      </c>
      <c r="I3252" s="26" t="str">
        <f aca="false">IF(A3252="","",IF(C3252="No encontrado","No","Sí"))</f>
        <v/>
      </c>
      <c r="J3252" s="26" t="str">
        <f aca="false">IF(A3252="","",IF(F3252="Inactivo","No","Sí"))</f>
        <v/>
      </c>
      <c r="K3252" s="26" t="str">
        <f aca="false">IF(A3252="","",IF(AND(I3252="Sí",J3252="Sí"),"Sí","No"))</f>
        <v/>
      </c>
    </row>
    <row r="3253" customFormat="false" ht="15" hidden="false" customHeight="false" outlineLevel="0" collapsed="false">
      <c r="A3253" s="22"/>
      <c r="B3253" s="22"/>
      <c r="C3253" s="23" t="str">
        <f aca="false">IF(A3253="","",IFERROR(buscarx(A3253&amp;B3253,DATA!$E$3:$E$10000&amp;DATA!$B$3:$B$10000,DATA!$M$3:$M$10000),"No encontrado"))</f>
        <v/>
      </c>
      <c r="D3253" s="24" t="str">
        <f aca="false">IF(A3253="","",IFERROR(buscarx(A3253&amp;B3253,DATA!$E$3:$E$10000&amp;DATA!$B$3:$B$10000,DATA!$W$3:$W$10000),"No encontrado"))</f>
        <v/>
      </c>
      <c r="E3253" s="22"/>
      <c r="F3253" s="23" t="str">
        <f aca="false">IF(A3253="","",IFERROR(buscarx(A3253&amp;E3253,DATA!$E$3:$E$10000&amp;DATA!$B$3:$B$10000,DATA!$M$3:$M$10000),"Inactivo"))</f>
        <v/>
      </c>
      <c r="G3253" s="25" t="str">
        <f aca="false">IF(A3253="","",IF(AND(C3253&lt;&gt;"No encontrado",F3253&lt;&gt;"Inactivo"),C3253&amp;" → "&amp;F3253,"Sin transición"))</f>
        <v/>
      </c>
      <c r="H3253" s="23" t="str">
        <f aca="false">IF(A3253="","",IF(D3253="GCIA LINEA SERVICIO DIGITALIDAD Y VENTAS","Chats",IF(OR(D3253="GERENCIA INBOUND LÍNEAS SERVICIO Y VENTA",D3253="GERENCIA INBOUND LINEAS ESPECIALIZADAS"),"Llamadas","Otro")))</f>
        <v/>
      </c>
      <c r="I3253" s="23" t="str">
        <f aca="false">IF(A3253="","",IF(C3253="No encontrado","No","Sí"))</f>
        <v/>
      </c>
      <c r="J3253" s="23" t="str">
        <f aca="false">IF(A3253="","",IF(F3253="Inactivo","No","Sí"))</f>
        <v/>
      </c>
      <c r="K3253" s="23" t="str">
        <f aca="false">IF(A3253="","",IF(AND(I3253="Sí",J3253="Sí"),"Sí","No"))</f>
        <v/>
      </c>
    </row>
    <row r="3254" customFormat="false" ht="15" hidden="false" customHeight="false" outlineLevel="0" collapsed="false">
      <c r="A3254" s="22"/>
      <c r="B3254" s="22"/>
      <c r="C3254" s="26" t="str">
        <f aca="false">IF(A3254="","",IFERROR(buscarx(A3254&amp;B3254,DATA!$E$3:$E$10000&amp;DATA!$B$3:$B$10000,DATA!$M$3:$M$10000),"No encontrado"))</f>
        <v/>
      </c>
      <c r="D3254" s="27" t="str">
        <f aca="false">IF(A3254="","",IFERROR(buscarx(A3254&amp;B3254,DATA!$E$3:$E$10000&amp;DATA!$B$3:$B$10000,DATA!$W$3:$W$10000),"No encontrado"))</f>
        <v/>
      </c>
      <c r="E3254" s="22"/>
      <c r="F3254" s="26" t="str">
        <f aca="false">IF(A3254="","",IFERROR(buscarx(A3254&amp;E3254,DATA!$E$3:$E$10000&amp;DATA!$B$3:$B$10000,DATA!$M$3:$M$10000),"Inactivo"))</f>
        <v/>
      </c>
      <c r="G3254" s="28" t="str">
        <f aca="false">IF(A3254="","",IF(AND(C3254&lt;&gt;"No encontrado",F3254&lt;&gt;"Inactivo"),C3254&amp;" → "&amp;F3254,"Sin transición"))</f>
        <v/>
      </c>
      <c r="H3254" s="26" t="str">
        <f aca="false">IF(A3254="","",IF(D3254="GCIA LINEA SERVICIO DIGITALIDAD Y VENTAS","Chats",IF(OR(D3254="GERENCIA INBOUND LÍNEAS SERVICIO Y VENTA",D3254="GERENCIA INBOUND LINEAS ESPECIALIZADAS"),"Llamadas","Otro")))</f>
        <v/>
      </c>
      <c r="I3254" s="26" t="str">
        <f aca="false">IF(A3254="","",IF(C3254="No encontrado","No","Sí"))</f>
        <v/>
      </c>
      <c r="J3254" s="26" t="str">
        <f aca="false">IF(A3254="","",IF(F3254="Inactivo","No","Sí"))</f>
        <v/>
      </c>
      <c r="K3254" s="26" t="str">
        <f aca="false">IF(A3254="","",IF(AND(I3254="Sí",J3254="Sí"),"Sí","No"))</f>
        <v/>
      </c>
    </row>
    <row r="3255" customFormat="false" ht="15" hidden="false" customHeight="false" outlineLevel="0" collapsed="false">
      <c r="A3255" s="22"/>
      <c r="B3255" s="22"/>
      <c r="C3255" s="23" t="str">
        <f aca="false">IF(A3255="","",IFERROR(buscarx(A3255&amp;B3255,DATA!$E$3:$E$10000&amp;DATA!$B$3:$B$10000,DATA!$M$3:$M$10000),"No encontrado"))</f>
        <v/>
      </c>
      <c r="D3255" s="24" t="str">
        <f aca="false">IF(A3255="","",IFERROR(buscarx(A3255&amp;B3255,DATA!$E$3:$E$10000&amp;DATA!$B$3:$B$10000,DATA!$W$3:$W$10000),"No encontrado"))</f>
        <v/>
      </c>
      <c r="E3255" s="22"/>
      <c r="F3255" s="23" t="str">
        <f aca="false">IF(A3255="","",IFERROR(buscarx(A3255&amp;E3255,DATA!$E$3:$E$10000&amp;DATA!$B$3:$B$10000,DATA!$M$3:$M$10000),"Inactivo"))</f>
        <v/>
      </c>
      <c r="G3255" s="25" t="str">
        <f aca="false">IF(A3255="","",IF(AND(C3255&lt;&gt;"No encontrado",F3255&lt;&gt;"Inactivo"),C3255&amp;" → "&amp;F3255,"Sin transición"))</f>
        <v/>
      </c>
      <c r="H3255" s="23" t="str">
        <f aca="false">IF(A3255="","",IF(D3255="GCIA LINEA SERVICIO DIGITALIDAD Y VENTAS","Chats",IF(OR(D3255="GERENCIA INBOUND LÍNEAS SERVICIO Y VENTA",D3255="GERENCIA INBOUND LINEAS ESPECIALIZADAS"),"Llamadas","Otro")))</f>
        <v/>
      </c>
      <c r="I3255" s="23" t="str">
        <f aca="false">IF(A3255="","",IF(C3255="No encontrado","No","Sí"))</f>
        <v/>
      </c>
      <c r="J3255" s="23" t="str">
        <f aca="false">IF(A3255="","",IF(F3255="Inactivo","No","Sí"))</f>
        <v/>
      </c>
      <c r="K3255" s="23" t="str">
        <f aca="false">IF(A3255="","",IF(AND(I3255="Sí",J3255="Sí"),"Sí","No"))</f>
        <v/>
      </c>
    </row>
    <row r="3256" customFormat="false" ht="15" hidden="false" customHeight="false" outlineLevel="0" collapsed="false">
      <c r="A3256" s="22"/>
      <c r="B3256" s="22"/>
      <c r="C3256" s="26" t="str">
        <f aca="false">IF(A3256="","",IFERROR(buscarx(A3256&amp;B3256,DATA!$E$3:$E$10000&amp;DATA!$B$3:$B$10000,DATA!$M$3:$M$10000),"No encontrado"))</f>
        <v/>
      </c>
      <c r="D3256" s="27" t="str">
        <f aca="false">IF(A3256="","",IFERROR(buscarx(A3256&amp;B3256,DATA!$E$3:$E$10000&amp;DATA!$B$3:$B$10000,DATA!$W$3:$W$10000),"No encontrado"))</f>
        <v/>
      </c>
      <c r="E3256" s="22"/>
      <c r="F3256" s="26" t="str">
        <f aca="false">IF(A3256="","",IFERROR(buscarx(A3256&amp;E3256,DATA!$E$3:$E$10000&amp;DATA!$B$3:$B$10000,DATA!$M$3:$M$10000),"Inactivo"))</f>
        <v/>
      </c>
      <c r="G3256" s="28" t="str">
        <f aca="false">IF(A3256="","",IF(AND(C3256&lt;&gt;"No encontrado",F3256&lt;&gt;"Inactivo"),C3256&amp;" → "&amp;F3256,"Sin transición"))</f>
        <v/>
      </c>
      <c r="H3256" s="26" t="str">
        <f aca="false">IF(A3256="","",IF(D3256="GCIA LINEA SERVICIO DIGITALIDAD Y VENTAS","Chats",IF(OR(D3256="GERENCIA INBOUND LÍNEAS SERVICIO Y VENTA",D3256="GERENCIA INBOUND LINEAS ESPECIALIZADAS"),"Llamadas","Otro")))</f>
        <v/>
      </c>
      <c r="I3256" s="26" t="str">
        <f aca="false">IF(A3256="","",IF(C3256="No encontrado","No","Sí"))</f>
        <v/>
      </c>
      <c r="J3256" s="26" t="str">
        <f aca="false">IF(A3256="","",IF(F3256="Inactivo","No","Sí"))</f>
        <v/>
      </c>
      <c r="K3256" s="26" t="str">
        <f aca="false">IF(A3256="","",IF(AND(I3256="Sí",J3256="Sí"),"Sí","No"))</f>
        <v/>
      </c>
    </row>
    <row r="3257" customFormat="false" ht="15" hidden="false" customHeight="false" outlineLevel="0" collapsed="false">
      <c r="A3257" s="22"/>
      <c r="B3257" s="22"/>
      <c r="C3257" s="23" t="str">
        <f aca="false">IF(A3257="","",IFERROR(buscarx(A3257&amp;B3257,DATA!$E$3:$E$10000&amp;DATA!$B$3:$B$10000,DATA!$M$3:$M$10000),"No encontrado"))</f>
        <v/>
      </c>
      <c r="D3257" s="24" t="str">
        <f aca="false">IF(A3257="","",IFERROR(buscarx(A3257&amp;B3257,DATA!$E$3:$E$10000&amp;DATA!$B$3:$B$10000,DATA!$W$3:$W$10000),"No encontrado"))</f>
        <v/>
      </c>
      <c r="E3257" s="22"/>
      <c r="F3257" s="23" t="str">
        <f aca="false">IF(A3257="","",IFERROR(buscarx(A3257&amp;E3257,DATA!$E$3:$E$10000&amp;DATA!$B$3:$B$10000,DATA!$M$3:$M$10000),"Inactivo"))</f>
        <v/>
      </c>
      <c r="G3257" s="25" t="str">
        <f aca="false">IF(A3257="","",IF(AND(C3257&lt;&gt;"No encontrado",F3257&lt;&gt;"Inactivo"),C3257&amp;" → "&amp;F3257,"Sin transición"))</f>
        <v/>
      </c>
      <c r="H3257" s="23" t="str">
        <f aca="false">IF(A3257="","",IF(D3257="GCIA LINEA SERVICIO DIGITALIDAD Y VENTAS","Chats",IF(OR(D3257="GERENCIA INBOUND LÍNEAS SERVICIO Y VENTA",D3257="GERENCIA INBOUND LINEAS ESPECIALIZADAS"),"Llamadas","Otro")))</f>
        <v/>
      </c>
      <c r="I3257" s="23" t="str">
        <f aca="false">IF(A3257="","",IF(C3257="No encontrado","No","Sí"))</f>
        <v/>
      </c>
      <c r="J3257" s="23" t="str">
        <f aca="false">IF(A3257="","",IF(F3257="Inactivo","No","Sí"))</f>
        <v/>
      </c>
      <c r="K3257" s="23" t="str">
        <f aca="false">IF(A3257="","",IF(AND(I3257="Sí",J3257="Sí"),"Sí","No"))</f>
        <v/>
      </c>
    </row>
    <row r="3258" customFormat="false" ht="15" hidden="false" customHeight="false" outlineLevel="0" collapsed="false">
      <c r="A3258" s="22"/>
      <c r="B3258" s="22"/>
      <c r="C3258" s="26" t="str">
        <f aca="false">IF(A3258="","",IFERROR(buscarx(A3258&amp;B3258,DATA!$E$3:$E$10000&amp;DATA!$B$3:$B$10000,DATA!$M$3:$M$10000),"No encontrado"))</f>
        <v/>
      </c>
      <c r="D3258" s="27" t="str">
        <f aca="false">IF(A3258="","",IFERROR(buscarx(A3258&amp;B3258,DATA!$E$3:$E$10000&amp;DATA!$B$3:$B$10000,DATA!$W$3:$W$10000),"No encontrado"))</f>
        <v/>
      </c>
      <c r="E3258" s="22"/>
      <c r="F3258" s="26" t="str">
        <f aca="false">IF(A3258="","",IFERROR(buscarx(A3258&amp;E3258,DATA!$E$3:$E$10000&amp;DATA!$B$3:$B$10000,DATA!$M$3:$M$10000),"Inactivo"))</f>
        <v/>
      </c>
      <c r="G3258" s="28" t="str">
        <f aca="false">IF(A3258="","",IF(AND(C3258&lt;&gt;"No encontrado",F3258&lt;&gt;"Inactivo"),C3258&amp;" → "&amp;F3258,"Sin transición"))</f>
        <v/>
      </c>
      <c r="H3258" s="26" t="str">
        <f aca="false">IF(A3258="","",IF(D3258="GCIA LINEA SERVICIO DIGITALIDAD Y VENTAS","Chats",IF(OR(D3258="GERENCIA INBOUND LÍNEAS SERVICIO Y VENTA",D3258="GERENCIA INBOUND LINEAS ESPECIALIZADAS"),"Llamadas","Otro")))</f>
        <v/>
      </c>
      <c r="I3258" s="26" t="str">
        <f aca="false">IF(A3258="","",IF(C3258="No encontrado","No","Sí"))</f>
        <v/>
      </c>
      <c r="J3258" s="26" t="str">
        <f aca="false">IF(A3258="","",IF(F3258="Inactivo","No","Sí"))</f>
        <v/>
      </c>
      <c r="K3258" s="26" t="str">
        <f aca="false">IF(A3258="","",IF(AND(I3258="Sí",J3258="Sí"),"Sí","No"))</f>
        <v/>
      </c>
    </row>
    <row r="3259" customFormat="false" ht="15" hidden="false" customHeight="false" outlineLevel="0" collapsed="false">
      <c r="A3259" s="22"/>
      <c r="B3259" s="22"/>
      <c r="C3259" s="23" t="str">
        <f aca="false">IF(A3259="","",IFERROR(buscarx(A3259&amp;B3259,DATA!$E$3:$E$10000&amp;DATA!$B$3:$B$10000,DATA!$M$3:$M$10000),"No encontrado"))</f>
        <v/>
      </c>
      <c r="D3259" s="24" t="str">
        <f aca="false">IF(A3259="","",IFERROR(buscarx(A3259&amp;B3259,DATA!$E$3:$E$10000&amp;DATA!$B$3:$B$10000,DATA!$W$3:$W$10000),"No encontrado"))</f>
        <v/>
      </c>
      <c r="E3259" s="22"/>
      <c r="F3259" s="23" t="str">
        <f aca="false">IF(A3259="","",IFERROR(buscarx(A3259&amp;E3259,DATA!$E$3:$E$10000&amp;DATA!$B$3:$B$10000,DATA!$M$3:$M$10000),"Inactivo"))</f>
        <v/>
      </c>
      <c r="G3259" s="25" t="str">
        <f aca="false">IF(A3259="","",IF(AND(C3259&lt;&gt;"No encontrado",F3259&lt;&gt;"Inactivo"),C3259&amp;" → "&amp;F3259,"Sin transición"))</f>
        <v/>
      </c>
      <c r="H3259" s="23" t="str">
        <f aca="false">IF(A3259="","",IF(D3259="GCIA LINEA SERVICIO DIGITALIDAD Y VENTAS","Chats",IF(OR(D3259="GERENCIA INBOUND LÍNEAS SERVICIO Y VENTA",D3259="GERENCIA INBOUND LINEAS ESPECIALIZADAS"),"Llamadas","Otro")))</f>
        <v/>
      </c>
      <c r="I3259" s="23" t="str">
        <f aca="false">IF(A3259="","",IF(C3259="No encontrado","No","Sí"))</f>
        <v/>
      </c>
      <c r="J3259" s="23" t="str">
        <f aca="false">IF(A3259="","",IF(F3259="Inactivo","No","Sí"))</f>
        <v/>
      </c>
      <c r="K3259" s="23" t="str">
        <f aca="false">IF(A3259="","",IF(AND(I3259="Sí",J3259="Sí"),"Sí","No"))</f>
        <v/>
      </c>
    </row>
    <row r="3260" customFormat="false" ht="15" hidden="false" customHeight="false" outlineLevel="0" collapsed="false">
      <c r="A3260" s="22"/>
      <c r="B3260" s="22"/>
      <c r="C3260" s="26" t="str">
        <f aca="false">IF(A3260="","",IFERROR(buscarx(A3260&amp;B3260,DATA!$E$3:$E$10000&amp;DATA!$B$3:$B$10000,DATA!$M$3:$M$10000),"No encontrado"))</f>
        <v/>
      </c>
      <c r="D3260" s="27" t="str">
        <f aca="false">IF(A3260="","",IFERROR(buscarx(A3260&amp;B3260,DATA!$E$3:$E$10000&amp;DATA!$B$3:$B$10000,DATA!$W$3:$W$10000),"No encontrado"))</f>
        <v/>
      </c>
      <c r="E3260" s="22"/>
      <c r="F3260" s="26" t="str">
        <f aca="false">IF(A3260="","",IFERROR(buscarx(A3260&amp;E3260,DATA!$E$3:$E$10000&amp;DATA!$B$3:$B$10000,DATA!$M$3:$M$10000),"Inactivo"))</f>
        <v/>
      </c>
      <c r="G3260" s="28" t="str">
        <f aca="false">IF(A3260="","",IF(AND(C3260&lt;&gt;"No encontrado",F3260&lt;&gt;"Inactivo"),C3260&amp;" → "&amp;F3260,"Sin transición"))</f>
        <v/>
      </c>
      <c r="H3260" s="26" t="str">
        <f aca="false">IF(A3260="","",IF(D3260="GCIA LINEA SERVICIO DIGITALIDAD Y VENTAS","Chats",IF(OR(D3260="GERENCIA INBOUND LÍNEAS SERVICIO Y VENTA",D3260="GERENCIA INBOUND LINEAS ESPECIALIZADAS"),"Llamadas","Otro")))</f>
        <v/>
      </c>
      <c r="I3260" s="26" t="str">
        <f aca="false">IF(A3260="","",IF(C3260="No encontrado","No","Sí"))</f>
        <v/>
      </c>
      <c r="J3260" s="26" t="str">
        <f aca="false">IF(A3260="","",IF(F3260="Inactivo","No","Sí"))</f>
        <v/>
      </c>
      <c r="K3260" s="26" t="str">
        <f aca="false">IF(A3260="","",IF(AND(I3260="Sí",J3260="Sí"),"Sí","No"))</f>
        <v/>
      </c>
    </row>
    <row r="3261" customFormat="false" ht="15" hidden="false" customHeight="false" outlineLevel="0" collapsed="false">
      <c r="A3261" s="22"/>
      <c r="B3261" s="22"/>
      <c r="C3261" s="23" t="str">
        <f aca="false">IF(A3261="","",IFERROR(buscarx(A3261&amp;B3261,DATA!$E$3:$E$10000&amp;DATA!$B$3:$B$10000,DATA!$M$3:$M$10000),"No encontrado"))</f>
        <v/>
      </c>
      <c r="D3261" s="24" t="str">
        <f aca="false">IF(A3261="","",IFERROR(buscarx(A3261&amp;B3261,DATA!$E$3:$E$10000&amp;DATA!$B$3:$B$10000,DATA!$W$3:$W$10000),"No encontrado"))</f>
        <v/>
      </c>
      <c r="E3261" s="22"/>
      <c r="F3261" s="23" t="str">
        <f aca="false">IF(A3261="","",IFERROR(buscarx(A3261&amp;E3261,DATA!$E$3:$E$10000&amp;DATA!$B$3:$B$10000,DATA!$M$3:$M$10000),"Inactivo"))</f>
        <v/>
      </c>
      <c r="G3261" s="25" t="str">
        <f aca="false">IF(A3261="","",IF(AND(C3261&lt;&gt;"No encontrado",F3261&lt;&gt;"Inactivo"),C3261&amp;" → "&amp;F3261,"Sin transición"))</f>
        <v/>
      </c>
      <c r="H3261" s="23" t="str">
        <f aca="false">IF(A3261="","",IF(D3261="GCIA LINEA SERVICIO DIGITALIDAD Y VENTAS","Chats",IF(OR(D3261="GERENCIA INBOUND LÍNEAS SERVICIO Y VENTA",D3261="GERENCIA INBOUND LINEAS ESPECIALIZADAS"),"Llamadas","Otro")))</f>
        <v/>
      </c>
      <c r="I3261" s="23" t="str">
        <f aca="false">IF(A3261="","",IF(C3261="No encontrado","No","Sí"))</f>
        <v/>
      </c>
      <c r="J3261" s="23" t="str">
        <f aca="false">IF(A3261="","",IF(F3261="Inactivo","No","Sí"))</f>
        <v/>
      </c>
      <c r="K3261" s="23" t="str">
        <f aca="false">IF(A3261="","",IF(AND(I3261="Sí",J3261="Sí"),"Sí","No"))</f>
        <v/>
      </c>
    </row>
    <row r="3262" customFormat="false" ht="15" hidden="false" customHeight="false" outlineLevel="0" collapsed="false">
      <c r="A3262" s="22"/>
      <c r="B3262" s="22"/>
      <c r="C3262" s="26" t="str">
        <f aca="false">IF(A3262="","",IFERROR(buscarx(A3262&amp;B3262,DATA!$E$3:$E$10000&amp;DATA!$B$3:$B$10000,DATA!$M$3:$M$10000),"No encontrado"))</f>
        <v/>
      </c>
      <c r="D3262" s="27" t="str">
        <f aca="false">IF(A3262="","",IFERROR(buscarx(A3262&amp;B3262,DATA!$E$3:$E$10000&amp;DATA!$B$3:$B$10000,DATA!$W$3:$W$10000),"No encontrado"))</f>
        <v/>
      </c>
      <c r="E3262" s="22"/>
      <c r="F3262" s="26" t="str">
        <f aca="false">IF(A3262="","",IFERROR(buscarx(A3262&amp;E3262,DATA!$E$3:$E$10000&amp;DATA!$B$3:$B$10000,DATA!$M$3:$M$10000),"Inactivo"))</f>
        <v/>
      </c>
      <c r="G3262" s="28" t="str">
        <f aca="false">IF(A3262="","",IF(AND(C3262&lt;&gt;"No encontrado",F3262&lt;&gt;"Inactivo"),C3262&amp;" → "&amp;F3262,"Sin transición"))</f>
        <v/>
      </c>
      <c r="H3262" s="26" t="str">
        <f aca="false">IF(A3262="","",IF(D3262="GCIA LINEA SERVICIO DIGITALIDAD Y VENTAS","Chats",IF(OR(D3262="GERENCIA INBOUND LÍNEAS SERVICIO Y VENTA",D3262="GERENCIA INBOUND LINEAS ESPECIALIZADAS"),"Llamadas","Otro")))</f>
        <v/>
      </c>
      <c r="I3262" s="26" t="str">
        <f aca="false">IF(A3262="","",IF(C3262="No encontrado","No","Sí"))</f>
        <v/>
      </c>
      <c r="J3262" s="26" t="str">
        <f aca="false">IF(A3262="","",IF(F3262="Inactivo","No","Sí"))</f>
        <v/>
      </c>
      <c r="K3262" s="26" t="str">
        <f aca="false">IF(A3262="","",IF(AND(I3262="Sí",J3262="Sí"),"Sí","No"))</f>
        <v/>
      </c>
    </row>
    <row r="3263" customFormat="false" ht="15" hidden="false" customHeight="false" outlineLevel="0" collapsed="false">
      <c r="A3263" s="22"/>
      <c r="B3263" s="22"/>
      <c r="C3263" s="23" t="str">
        <f aca="false">IF(A3263="","",IFERROR(buscarx(A3263&amp;B3263,DATA!$E$3:$E$10000&amp;DATA!$B$3:$B$10000,DATA!$M$3:$M$10000),"No encontrado"))</f>
        <v/>
      </c>
      <c r="D3263" s="24" t="str">
        <f aca="false">IF(A3263="","",IFERROR(buscarx(A3263&amp;B3263,DATA!$E$3:$E$10000&amp;DATA!$B$3:$B$10000,DATA!$W$3:$W$10000),"No encontrado"))</f>
        <v/>
      </c>
      <c r="E3263" s="22"/>
      <c r="F3263" s="23" t="str">
        <f aca="false">IF(A3263="","",IFERROR(buscarx(A3263&amp;E3263,DATA!$E$3:$E$10000&amp;DATA!$B$3:$B$10000,DATA!$M$3:$M$10000),"Inactivo"))</f>
        <v/>
      </c>
      <c r="G3263" s="25" t="str">
        <f aca="false">IF(A3263="","",IF(AND(C3263&lt;&gt;"No encontrado",F3263&lt;&gt;"Inactivo"),C3263&amp;" → "&amp;F3263,"Sin transición"))</f>
        <v/>
      </c>
      <c r="H3263" s="23" t="str">
        <f aca="false">IF(A3263="","",IF(D3263="GCIA LINEA SERVICIO DIGITALIDAD Y VENTAS","Chats",IF(OR(D3263="GERENCIA INBOUND LÍNEAS SERVICIO Y VENTA",D3263="GERENCIA INBOUND LINEAS ESPECIALIZADAS"),"Llamadas","Otro")))</f>
        <v/>
      </c>
      <c r="I3263" s="23" t="str">
        <f aca="false">IF(A3263="","",IF(C3263="No encontrado","No","Sí"))</f>
        <v/>
      </c>
      <c r="J3263" s="23" t="str">
        <f aca="false">IF(A3263="","",IF(F3263="Inactivo","No","Sí"))</f>
        <v/>
      </c>
      <c r="K3263" s="23" t="str">
        <f aca="false">IF(A3263="","",IF(AND(I3263="Sí",J3263="Sí"),"Sí","No"))</f>
        <v/>
      </c>
    </row>
    <row r="3264" customFormat="false" ht="15" hidden="false" customHeight="false" outlineLevel="0" collapsed="false">
      <c r="A3264" s="22"/>
      <c r="B3264" s="22"/>
      <c r="C3264" s="26" t="str">
        <f aca="false">IF(A3264="","",IFERROR(buscarx(A3264&amp;B3264,DATA!$E$3:$E$10000&amp;DATA!$B$3:$B$10000,DATA!$M$3:$M$10000),"No encontrado"))</f>
        <v/>
      </c>
      <c r="D3264" s="27" t="str">
        <f aca="false">IF(A3264="","",IFERROR(buscarx(A3264&amp;B3264,DATA!$E$3:$E$10000&amp;DATA!$B$3:$B$10000,DATA!$W$3:$W$10000),"No encontrado"))</f>
        <v/>
      </c>
      <c r="E3264" s="22"/>
      <c r="F3264" s="26" t="str">
        <f aca="false">IF(A3264="","",IFERROR(buscarx(A3264&amp;E3264,DATA!$E$3:$E$10000&amp;DATA!$B$3:$B$10000,DATA!$M$3:$M$10000),"Inactivo"))</f>
        <v/>
      </c>
      <c r="G3264" s="28" t="str">
        <f aca="false">IF(A3264="","",IF(AND(C3264&lt;&gt;"No encontrado",F3264&lt;&gt;"Inactivo"),C3264&amp;" → "&amp;F3264,"Sin transición"))</f>
        <v/>
      </c>
      <c r="H3264" s="26" t="str">
        <f aca="false">IF(A3264="","",IF(D3264="GCIA LINEA SERVICIO DIGITALIDAD Y VENTAS","Chats",IF(OR(D3264="GERENCIA INBOUND LÍNEAS SERVICIO Y VENTA",D3264="GERENCIA INBOUND LINEAS ESPECIALIZADAS"),"Llamadas","Otro")))</f>
        <v/>
      </c>
      <c r="I3264" s="26" t="str">
        <f aca="false">IF(A3264="","",IF(C3264="No encontrado","No","Sí"))</f>
        <v/>
      </c>
      <c r="J3264" s="26" t="str">
        <f aca="false">IF(A3264="","",IF(F3264="Inactivo","No","Sí"))</f>
        <v/>
      </c>
      <c r="K3264" s="26" t="str">
        <f aca="false">IF(A3264="","",IF(AND(I3264="Sí",J3264="Sí"),"Sí","No"))</f>
        <v/>
      </c>
    </row>
    <row r="3265" customFormat="false" ht="15" hidden="false" customHeight="false" outlineLevel="0" collapsed="false">
      <c r="A3265" s="22"/>
      <c r="B3265" s="22"/>
      <c r="C3265" s="23" t="str">
        <f aca="false">IF(A3265="","",IFERROR(buscarx(A3265&amp;B3265,DATA!$E$3:$E$10000&amp;DATA!$B$3:$B$10000,DATA!$M$3:$M$10000),"No encontrado"))</f>
        <v/>
      </c>
      <c r="D3265" s="24" t="str">
        <f aca="false">IF(A3265="","",IFERROR(buscarx(A3265&amp;B3265,DATA!$E$3:$E$10000&amp;DATA!$B$3:$B$10000,DATA!$W$3:$W$10000),"No encontrado"))</f>
        <v/>
      </c>
      <c r="E3265" s="22"/>
      <c r="F3265" s="23" t="str">
        <f aca="false">IF(A3265="","",IFERROR(buscarx(A3265&amp;E3265,DATA!$E$3:$E$10000&amp;DATA!$B$3:$B$10000,DATA!$M$3:$M$10000),"Inactivo"))</f>
        <v/>
      </c>
      <c r="G3265" s="25" t="str">
        <f aca="false">IF(A3265="","",IF(AND(C3265&lt;&gt;"No encontrado",F3265&lt;&gt;"Inactivo"),C3265&amp;" → "&amp;F3265,"Sin transición"))</f>
        <v/>
      </c>
      <c r="H3265" s="23" t="str">
        <f aca="false">IF(A3265="","",IF(D3265="GCIA LINEA SERVICIO DIGITALIDAD Y VENTAS","Chats",IF(OR(D3265="GERENCIA INBOUND LÍNEAS SERVICIO Y VENTA",D3265="GERENCIA INBOUND LINEAS ESPECIALIZADAS"),"Llamadas","Otro")))</f>
        <v/>
      </c>
      <c r="I3265" s="23" t="str">
        <f aca="false">IF(A3265="","",IF(C3265="No encontrado","No","Sí"))</f>
        <v/>
      </c>
      <c r="J3265" s="23" t="str">
        <f aca="false">IF(A3265="","",IF(F3265="Inactivo","No","Sí"))</f>
        <v/>
      </c>
      <c r="K3265" s="23" t="str">
        <f aca="false">IF(A3265="","",IF(AND(I3265="Sí",J3265="Sí"),"Sí","No"))</f>
        <v/>
      </c>
    </row>
    <row r="3266" customFormat="false" ht="15" hidden="false" customHeight="false" outlineLevel="0" collapsed="false">
      <c r="A3266" s="22"/>
      <c r="B3266" s="22"/>
      <c r="C3266" s="26" t="str">
        <f aca="false">IF(A3266="","",IFERROR(buscarx(A3266&amp;B3266,DATA!$E$3:$E$10000&amp;DATA!$B$3:$B$10000,DATA!$M$3:$M$10000),"No encontrado"))</f>
        <v/>
      </c>
      <c r="D3266" s="27" t="str">
        <f aca="false">IF(A3266="","",IFERROR(buscarx(A3266&amp;B3266,DATA!$E$3:$E$10000&amp;DATA!$B$3:$B$10000,DATA!$W$3:$W$10000),"No encontrado"))</f>
        <v/>
      </c>
      <c r="E3266" s="22"/>
      <c r="F3266" s="26" t="str">
        <f aca="false">IF(A3266="","",IFERROR(buscarx(A3266&amp;E3266,DATA!$E$3:$E$10000&amp;DATA!$B$3:$B$10000,DATA!$M$3:$M$10000),"Inactivo"))</f>
        <v/>
      </c>
      <c r="G3266" s="28" t="str">
        <f aca="false">IF(A3266="","",IF(AND(C3266&lt;&gt;"No encontrado",F3266&lt;&gt;"Inactivo"),C3266&amp;" → "&amp;F3266,"Sin transición"))</f>
        <v/>
      </c>
      <c r="H3266" s="26" t="str">
        <f aca="false">IF(A3266="","",IF(D3266="GCIA LINEA SERVICIO DIGITALIDAD Y VENTAS","Chats",IF(OR(D3266="GERENCIA INBOUND LÍNEAS SERVICIO Y VENTA",D3266="GERENCIA INBOUND LINEAS ESPECIALIZADAS"),"Llamadas","Otro")))</f>
        <v/>
      </c>
      <c r="I3266" s="26" t="str">
        <f aca="false">IF(A3266="","",IF(C3266="No encontrado","No","Sí"))</f>
        <v/>
      </c>
      <c r="J3266" s="26" t="str">
        <f aca="false">IF(A3266="","",IF(F3266="Inactivo","No","Sí"))</f>
        <v/>
      </c>
      <c r="K3266" s="26" t="str">
        <f aca="false">IF(A3266="","",IF(AND(I3266="Sí",J3266="Sí"),"Sí","No"))</f>
        <v/>
      </c>
    </row>
    <row r="3267" customFormat="false" ht="15" hidden="false" customHeight="false" outlineLevel="0" collapsed="false">
      <c r="A3267" s="22"/>
      <c r="B3267" s="22"/>
      <c r="C3267" s="23" t="str">
        <f aca="false">IF(A3267="","",IFERROR(buscarx(A3267&amp;B3267,DATA!$E$3:$E$10000&amp;DATA!$B$3:$B$10000,DATA!$M$3:$M$10000),"No encontrado"))</f>
        <v/>
      </c>
      <c r="D3267" s="24" t="str">
        <f aca="false">IF(A3267="","",IFERROR(buscarx(A3267&amp;B3267,DATA!$E$3:$E$10000&amp;DATA!$B$3:$B$10000,DATA!$W$3:$W$10000),"No encontrado"))</f>
        <v/>
      </c>
      <c r="E3267" s="22"/>
      <c r="F3267" s="23" t="str">
        <f aca="false">IF(A3267="","",IFERROR(buscarx(A3267&amp;E3267,DATA!$E$3:$E$10000&amp;DATA!$B$3:$B$10000,DATA!$M$3:$M$10000),"Inactivo"))</f>
        <v/>
      </c>
      <c r="G3267" s="25" t="str">
        <f aca="false">IF(A3267="","",IF(AND(C3267&lt;&gt;"No encontrado",F3267&lt;&gt;"Inactivo"),C3267&amp;" → "&amp;F3267,"Sin transición"))</f>
        <v/>
      </c>
      <c r="H3267" s="23" t="str">
        <f aca="false">IF(A3267="","",IF(D3267="GCIA LINEA SERVICIO DIGITALIDAD Y VENTAS","Chats",IF(OR(D3267="GERENCIA INBOUND LÍNEAS SERVICIO Y VENTA",D3267="GERENCIA INBOUND LINEAS ESPECIALIZADAS"),"Llamadas","Otro")))</f>
        <v/>
      </c>
      <c r="I3267" s="23" t="str">
        <f aca="false">IF(A3267="","",IF(C3267="No encontrado","No","Sí"))</f>
        <v/>
      </c>
      <c r="J3267" s="23" t="str">
        <f aca="false">IF(A3267="","",IF(F3267="Inactivo","No","Sí"))</f>
        <v/>
      </c>
      <c r="K3267" s="23" t="str">
        <f aca="false">IF(A3267="","",IF(AND(I3267="Sí",J3267="Sí"),"Sí","No"))</f>
        <v/>
      </c>
    </row>
    <row r="3268" customFormat="false" ht="15" hidden="false" customHeight="false" outlineLevel="0" collapsed="false">
      <c r="A3268" s="22"/>
      <c r="B3268" s="22"/>
      <c r="C3268" s="26" t="str">
        <f aca="false">IF(A3268="","",IFERROR(buscarx(A3268&amp;B3268,DATA!$E$3:$E$10000&amp;DATA!$B$3:$B$10000,DATA!$M$3:$M$10000),"No encontrado"))</f>
        <v/>
      </c>
      <c r="D3268" s="27" t="str">
        <f aca="false">IF(A3268="","",IFERROR(buscarx(A3268&amp;B3268,DATA!$E$3:$E$10000&amp;DATA!$B$3:$B$10000,DATA!$W$3:$W$10000),"No encontrado"))</f>
        <v/>
      </c>
      <c r="E3268" s="22"/>
      <c r="F3268" s="26" t="str">
        <f aca="false">IF(A3268="","",IFERROR(buscarx(A3268&amp;E3268,DATA!$E$3:$E$10000&amp;DATA!$B$3:$B$10000,DATA!$M$3:$M$10000),"Inactivo"))</f>
        <v/>
      </c>
      <c r="G3268" s="28" t="str">
        <f aca="false">IF(A3268="","",IF(AND(C3268&lt;&gt;"No encontrado",F3268&lt;&gt;"Inactivo"),C3268&amp;" → "&amp;F3268,"Sin transición"))</f>
        <v/>
      </c>
      <c r="H3268" s="26" t="str">
        <f aca="false">IF(A3268="","",IF(D3268="GCIA LINEA SERVICIO DIGITALIDAD Y VENTAS","Chats",IF(OR(D3268="GERENCIA INBOUND LÍNEAS SERVICIO Y VENTA",D3268="GERENCIA INBOUND LINEAS ESPECIALIZADAS"),"Llamadas","Otro")))</f>
        <v/>
      </c>
      <c r="I3268" s="26" t="str">
        <f aca="false">IF(A3268="","",IF(C3268="No encontrado","No","Sí"))</f>
        <v/>
      </c>
      <c r="J3268" s="26" t="str">
        <f aca="false">IF(A3268="","",IF(F3268="Inactivo","No","Sí"))</f>
        <v/>
      </c>
      <c r="K3268" s="26" t="str">
        <f aca="false">IF(A3268="","",IF(AND(I3268="Sí",J3268="Sí"),"Sí","No"))</f>
        <v/>
      </c>
    </row>
    <row r="3269" customFormat="false" ht="15" hidden="false" customHeight="false" outlineLevel="0" collapsed="false">
      <c r="A3269" s="22"/>
      <c r="B3269" s="22"/>
      <c r="C3269" s="23" t="str">
        <f aca="false">IF(A3269="","",IFERROR(buscarx(A3269&amp;B3269,DATA!$E$3:$E$10000&amp;DATA!$B$3:$B$10000,DATA!$M$3:$M$10000),"No encontrado"))</f>
        <v/>
      </c>
      <c r="D3269" s="24" t="str">
        <f aca="false">IF(A3269="","",IFERROR(buscarx(A3269&amp;B3269,DATA!$E$3:$E$10000&amp;DATA!$B$3:$B$10000,DATA!$W$3:$W$10000),"No encontrado"))</f>
        <v/>
      </c>
      <c r="E3269" s="22"/>
      <c r="F3269" s="23" t="str">
        <f aca="false">IF(A3269="","",IFERROR(buscarx(A3269&amp;E3269,DATA!$E$3:$E$10000&amp;DATA!$B$3:$B$10000,DATA!$M$3:$M$10000),"Inactivo"))</f>
        <v/>
      </c>
      <c r="G3269" s="25" t="str">
        <f aca="false">IF(A3269="","",IF(AND(C3269&lt;&gt;"No encontrado",F3269&lt;&gt;"Inactivo"),C3269&amp;" → "&amp;F3269,"Sin transición"))</f>
        <v/>
      </c>
      <c r="H3269" s="23" t="str">
        <f aca="false">IF(A3269="","",IF(D3269="GCIA LINEA SERVICIO DIGITALIDAD Y VENTAS","Chats",IF(OR(D3269="GERENCIA INBOUND LÍNEAS SERVICIO Y VENTA",D3269="GERENCIA INBOUND LINEAS ESPECIALIZADAS"),"Llamadas","Otro")))</f>
        <v/>
      </c>
      <c r="I3269" s="23" t="str">
        <f aca="false">IF(A3269="","",IF(C3269="No encontrado","No","Sí"))</f>
        <v/>
      </c>
      <c r="J3269" s="23" t="str">
        <f aca="false">IF(A3269="","",IF(F3269="Inactivo","No","Sí"))</f>
        <v/>
      </c>
      <c r="K3269" s="23" t="str">
        <f aca="false">IF(A3269="","",IF(AND(I3269="Sí",J3269="Sí"),"Sí","No"))</f>
        <v/>
      </c>
    </row>
    <row r="3270" customFormat="false" ht="15" hidden="false" customHeight="false" outlineLevel="0" collapsed="false">
      <c r="A3270" s="22"/>
      <c r="B3270" s="22"/>
      <c r="C3270" s="26" t="str">
        <f aca="false">IF(A3270="","",IFERROR(buscarx(A3270&amp;B3270,DATA!$E$3:$E$10000&amp;DATA!$B$3:$B$10000,DATA!$M$3:$M$10000),"No encontrado"))</f>
        <v/>
      </c>
      <c r="D3270" s="27" t="str">
        <f aca="false">IF(A3270="","",IFERROR(buscarx(A3270&amp;B3270,DATA!$E$3:$E$10000&amp;DATA!$B$3:$B$10000,DATA!$W$3:$W$10000),"No encontrado"))</f>
        <v/>
      </c>
      <c r="E3270" s="22"/>
      <c r="F3270" s="26" t="str">
        <f aca="false">IF(A3270="","",IFERROR(buscarx(A3270&amp;E3270,DATA!$E$3:$E$10000&amp;DATA!$B$3:$B$10000,DATA!$M$3:$M$10000),"Inactivo"))</f>
        <v/>
      </c>
      <c r="G3270" s="28" t="str">
        <f aca="false">IF(A3270="","",IF(AND(C3270&lt;&gt;"No encontrado",F3270&lt;&gt;"Inactivo"),C3270&amp;" → "&amp;F3270,"Sin transición"))</f>
        <v/>
      </c>
      <c r="H3270" s="26" t="str">
        <f aca="false">IF(A3270="","",IF(D3270="GCIA LINEA SERVICIO DIGITALIDAD Y VENTAS","Chats",IF(OR(D3270="GERENCIA INBOUND LÍNEAS SERVICIO Y VENTA",D3270="GERENCIA INBOUND LINEAS ESPECIALIZADAS"),"Llamadas","Otro")))</f>
        <v/>
      </c>
      <c r="I3270" s="26" t="str">
        <f aca="false">IF(A3270="","",IF(C3270="No encontrado","No","Sí"))</f>
        <v/>
      </c>
      <c r="J3270" s="26" t="str">
        <f aca="false">IF(A3270="","",IF(F3270="Inactivo","No","Sí"))</f>
        <v/>
      </c>
      <c r="K3270" s="26" t="str">
        <f aca="false">IF(A3270="","",IF(AND(I3270="Sí",J3270="Sí"),"Sí","No"))</f>
        <v/>
      </c>
    </row>
    <row r="3271" customFormat="false" ht="15" hidden="false" customHeight="false" outlineLevel="0" collapsed="false">
      <c r="A3271" s="22"/>
      <c r="B3271" s="22"/>
      <c r="C3271" s="23" t="str">
        <f aca="false">IF(A3271="","",IFERROR(buscarx(A3271&amp;B3271,DATA!$E$3:$E$10000&amp;DATA!$B$3:$B$10000,DATA!$M$3:$M$10000),"No encontrado"))</f>
        <v/>
      </c>
      <c r="D3271" s="24" t="str">
        <f aca="false">IF(A3271="","",IFERROR(buscarx(A3271&amp;B3271,DATA!$E$3:$E$10000&amp;DATA!$B$3:$B$10000,DATA!$W$3:$W$10000),"No encontrado"))</f>
        <v/>
      </c>
      <c r="E3271" s="22"/>
      <c r="F3271" s="23" t="str">
        <f aca="false">IF(A3271="","",IFERROR(buscarx(A3271&amp;E3271,DATA!$E$3:$E$10000&amp;DATA!$B$3:$B$10000,DATA!$M$3:$M$10000),"Inactivo"))</f>
        <v/>
      </c>
      <c r="G3271" s="25" t="str">
        <f aca="false">IF(A3271="","",IF(AND(C3271&lt;&gt;"No encontrado",F3271&lt;&gt;"Inactivo"),C3271&amp;" → "&amp;F3271,"Sin transición"))</f>
        <v/>
      </c>
      <c r="H3271" s="23" t="str">
        <f aca="false">IF(A3271="","",IF(D3271="GCIA LINEA SERVICIO DIGITALIDAD Y VENTAS","Chats",IF(OR(D3271="GERENCIA INBOUND LÍNEAS SERVICIO Y VENTA",D3271="GERENCIA INBOUND LINEAS ESPECIALIZADAS"),"Llamadas","Otro")))</f>
        <v/>
      </c>
      <c r="I3271" s="23" t="str">
        <f aca="false">IF(A3271="","",IF(C3271="No encontrado","No","Sí"))</f>
        <v/>
      </c>
      <c r="J3271" s="23" t="str">
        <f aca="false">IF(A3271="","",IF(F3271="Inactivo","No","Sí"))</f>
        <v/>
      </c>
      <c r="K3271" s="23" t="str">
        <f aca="false">IF(A3271="","",IF(AND(I3271="Sí",J3271="Sí"),"Sí","No"))</f>
        <v/>
      </c>
    </row>
    <row r="3272" customFormat="false" ht="15" hidden="false" customHeight="false" outlineLevel="0" collapsed="false">
      <c r="A3272" s="22"/>
      <c r="B3272" s="22"/>
      <c r="C3272" s="26" t="str">
        <f aca="false">IF(A3272="","",IFERROR(buscarx(A3272&amp;B3272,DATA!$E$3:$E$10000&amp;DATA!$B$3:$B$10000,DATA!$M$3:$M$10000),"No encontrado"))</f>
        <v/>
      </c>
      <c r="D3272" s="27" t="str">
        <f aca="false">IF(A3272="","",IFERROR(buscarx(A3272&amp;B3272,DATA!$E$3:$E$10000&amp;DATA!$B$3:$B$10000,DATA!$W$3:$W$10000),"No encontrado"))</f>
        <v/>
      </c>
      <c r="E3272" s="22"/>
      <c r="F3272" s="26" t="str">
        <f aca="false">IF(A3272="","",IFERROR(buscarx(A3272&amp;E3272,DATA!$E$3:$E$10000&amp;DATA!$B$3:$B$10000,DATA!$M$3:$M$10000),"Inactivo"))</f>
        <v/>
      </c>
      <c r="G3272" s="28" t="str">
        <f aca="false">IF(A3272="","",IF(AND(C3272&lt;&gt;"No encontrado",F3272&lt;&gt;"Inactivo"),C3272&amp;" → "&amp;F3272,"Sin transición"))</f>
        <v/>
      </c>
      <c r="H3272" s="26" t="str">
        <f aca="false">IF(A3272="","",IF(D3272="GCIA LINEA SERVICIO DIGITALIDAD Y VENTAS","Chats",IF(OR(D3272="GERENCIA INBOUND LÍNEAS SERVICIO Y VENTA",D3272="GERENCIA INBOUND LINEAS ESPECIALIZADAS"),"Llamadas","Otro")))</f>
        <v/>
      </c>
      <c r="I3272" s="26" t="str">
        <f aca="false">IF(A3272="","",IF(C3272="No encontrado","No","Sí"))</f>
        <v/>
      </c>
      <c r="J3272" s="26" t="str">
        <f aca="false">IF(A3272="","",IF(F3272="Inactivo","No","Sí"))</f>
        <v/>
      </c>
      <c r="K3272" s="26" t="str">
        <f aca="false">IF(A3272="","",IF(AND(I3272="Sí",J3272="Sí"),"Sí","No"))</f>
        <v/>
      </c>
    </row>
    <row r="3273" customFormat="false" ht="15" hidden="false" customHeight="false" outlineLevel="0" collapsed="false">
      <c r="A3273" s="22"/>
      <c r="B3273" s="22"/>
      <c r="C3273" s="23" t="str">
        <f aca="false">IF(A3273="","",IFERROR(buscarx(A3273&amp;B3273,DATA!$E$3:$E$10000&amp;DATA!$B$3:$B$10000,DATA!$M$3:$M$10000),"No encontrado"))</f>
        <v/>
      </c>
      <c r="D3273" s="24" t="str">
        <f aca="false">IF(A3273="","",IFERROR(buscarx(A3273&amp;B3273,DATA!$E$3:$E$10000&amp;DATA!$B$3:$B$10000,DATA!$W$3:$W$10000),"No encontrado"))</f>
        <v/>
      </c>
      <c r="E3273" s="22"/>
      <c r="F3273" s="23" t="str">
        <f aca="false">IF(A3273="","",IFERROR(buscarx(A3273&amp;E3273,DATA!$E$3:$E$10000&amp;DATA!$B$3:$B$10000,DATA!$M$3:$M$10000),"Inactivo"))</f>
        <v/>
      </c>
      <c r="G3273" s="25" t="str">
        <f aca="false">IF(A3273="","",IF(AND(C3273&lt;&gt;"No encontrado",F3273&lt;&gt;"Inactivo"),C3273&amp;" → "&amp;F3273,"Sin transición"))</f>
        <v/>
      </c>
      <c r="H3273" s="23" t="str">
        <f aca="false">IF(A3273="","",IF(D3273="GCIA LINEA SERVICIO DIGITALIDAD Y VENTAS","Chats",IF(OR(D3273="GERENCIA INBOUND LÍNEAS SERVICIO Y VENTA",D3273="GERENCIA INBOUND LINEAS ESPECIALIZADAS"),"Llamadas","Otro")))</f>
        <v/>
      </c>
      <c r="I3273" s="23" t="str">
        <f aca="false">IF(A3273="","",IF(C3273="No encontrado","No","Sí"))</f>
        <v/>
      </c>
      <c r="J3273" s="23" t="str">
        <f aca="false">IF(A3273="","",IF(F3273="Inactivo","No","Sí"))</f>
        <v/>
      </c>
      <c r="K3273" s="23" t="str">
        <f aca="false">IF(A3273="","",IF(AND(I3273="Sí",J3273="Sí"),"Sí","No"))</f>
        <v/>
      </c>
    </row>
    <row r="3274" customFormat="false" ht="15" hidden="false" customHeight="false" outlineLevel="0" collapsed="false">
      <c r="A3274" s="22"/>
      <c r="B3274" s="22"/>
      <c r="C3274" s="26" t="str">
        <f aca="false">IF(A3274="","",IFERROR(buscarx(A3274&amp;B3274,DATA!$E$3:$E$10000&amp;DATA!$B$3:$B$10000,DATA!$M$3:$M$10000),"No encontrado"))</f>
        <v/>
      </c>
      <c r="D3274" s="27" t="str">
        <f aca="false">IF(A3274="","",IFERROR(buscarx(A3274&amp;B3274,DATA!$E$3:$E$10000&amp;DATA!$B$3:$B$10000,DATA!$W$3:$W$10000),"No encontrado"))</f>
        <v/>
      </c>
      <c r="E3274" s="22"/>
      <c r="F3274" s="26" t="str">
        <f aca="false">IF(A3274="","",IFERROR(buscarx(A3274&amp;E3274,DATA!$E$3:$E$10000&amp;DATA!$B$3:$B$10000,DATA!$M$3:$M$10000),"Inactivo"))</f>
        <v/>
      </c>
      <c r="G3274" s="28" t="str">
        <f aca="false">IF(A3274="","",IF(AND(C3274&lt;&gt;"No encontrado",F3274&lt;&gt;"Inactivo"),C3274&amp;" → "&amp;F3274,"Sin transición"))</f>
        <v/>
      </c>
      <c r="H3274" s="26" t="str">
        <f aca="false">IF(A3274="","",IF(D3274="GCIA LINEA SERVICIO DIGITALIDAD Y VENTAS","Chats",IF(OR(D3274="GERENCIA INBOUND LÍNEAS SERVICIO Y VENTA",D3274="GERENCIA INBOUND LINEAS ESPECIALIZADAS"),"Llamadas","Otro")))</f>
        <v/>
      </c>
      <c r="I3274" s="26" t="str">
        <f aca="false">IF(A3274="","",IF(C3274="No encontrado","No","Sí"))</f>
        <v/>
      </c>
      <c r="J3274" s="26" t="str">
        <f aca="false">IF(A3274="","",IF(F3274="Inactivo","No","Sí"))</f>
        <v/>
      </c>
      <c r="K3274" s="26" t="str">
        <f aca="false">IF(A3274="","",IF(AND(I3274="Sí",J3274="Sí"),"Sí","No"))</f>
        <v/>
      </c>
    </row>
    <row r="3275" customFormat="false" ht="15" hidden="false" customHeight="false" outlineLevel="0" collapsed="false">
      <c r="A3275" s="22"/>
      <c r="B3275" s="22"/>
      <c r="C3275" s="23" t="str">
        <f aca="false">IF(A3275="","",IFERROR(buscarx(A3275&amp;B3275,DATA!$E$3:$E$10000&amp;DATA!$B$3:$B$10000,DATA!$M$3:$M$10000),"No encontrado"))</f>
        <v/>
      </c>
      <c r="D3275" s="24" t="str">
        <f aca="false">IF(A3275="","",IFERROR(buscarx(A3275&amp;B3275,DATA!$E$3:$E$10000&amp;DATA!$B$3:$B$10000,DATA!$W$3:$W$10000),"No encontrado"))</f>
        <v/>
      </c>
      <c r="E3275" s="22"/>
      <c r="F3275" s="23" t="str">
        <f aca="false">IF(A3275="","",IFERROR(buscarx(A3275&amp;E3275,DATA!$E$3:$E$10000&amp;DATA!$B$3:$B$10000,DATA!$M$3:$M$10000),"Inactivo"))</f>
        <v/>
      </c>
      <c r="G3275" s="25" t="str">
        <f aca="false">IF(A3275="","",IF(AND(C3275&lt;&gt;"No encontrado",F3275&lt;&gt;"Inactivo"),C3275&amp;" → "&amp;F3275,"Sin transición"))</f>
        <v/>
      </c>
      <c r="H3275" s="23" t="str">
        <f aca="false">IF(A3275="","",IF(D3275="GCIA LINEA SERVICIO DIGITALIDAD Y VENTAS","Chats",IF(OR(D3275="GERENCIA INBOUND LÍNEAS SERVICIO Y VENTA",D3275="GERENCIA INBOUND LINEAS ESPECIALIZADAS"),"Llamadas","Otro")))</f>
        <v/>
      </c>
      <c r="I3275" s="23" t="str">
        <f aca="false">IF(A3275="","",IF(C3275="No encontrado","No","Sí"))</f>
        <v/>
      </c>
      <c r="J3275" s="23" t="str">
        <f aca="false">IF(A3275="","",IF(F3275="Inactivo","No","Sí"))</f>
        <v/>
      </c>
      <c r="K3275" s="23" t="str">
        <f aca="false">IF(A3275="","",IF(AND(I3275="Sí",J3275="Sí"),"Sí","No"))</f>
        <v/>
      </c>
    </row>
    <row r="3276" customFormat="false" ht="15" hidden="false" customHeight="false" outlineLevel="0" collapsed="false">
      <c r="A3276" s="22"/>
      <c r="B3276" s="22"/>
      <c r="C3276" s="26" t="str">
        <f aca="false">IF(A3276="","",IFERROR(buscarx(A3276&amp;B3276,DATA!$E$3:$E$10000&amp;DATA!$B$3:$B$10000,DATA!$M$3:$M$10000),"No encontrado"))</f>
        <v/>
      </c>
      <c r="D3276" s="27" t="str">
        <f aca="false">IF(A3276="","",IFERROR(buscarx(A3276&amp;B3276,DATA!$E$3:$E$10000&amp;DATA!$B$3:$B$10000,DATA!$W$3:$W$10000),"No encontrado"))</f>
        <v/>
      </c>
      <c r="E3276" s="22"/>
      <c r="F3276" s="26" t="str">
        <f aca="false">IF(A3276="","",IFERROR(buscarx(A3276&amp;E3276,DATA!$E$3:$E$10000&amp;DATA!$B$3:$B$10000,DATA!$M$3:$M$10000),"Inactivo"))</f>
        <v/>
      </c>
      <c r="G3276" s="28" t="str">
        <f aca="false">IF(A3276="","",IF(AND(C3276&lt;&gt;"No encontrado",F3276&lt;&gt;"Inactivo"),C3276&amp;" → "&amp;F3276,"Sin transición"))</f>
        <v/>
      </c>
      <c r="H3276" s="26" t="str">
        <f aca="false">IF(A3276="","",IF(D3276="GCIA LINEA SERVICIO DIGITALIDAD Y VENTAS","Chats",IF(OR(D3276="GERENCIA INBOUND LÍNEAS SERVICIO Y VENTA",D3276="GERENCIA INBOUND LINEAS ESPECIALIZADAS"),"Llamadas","Otro")))</f>
        <v/>
      </c>
      <c r="I3276" s="26" t="str">
        <f aca="false">IF(A3276="","",IF(C3276="No encontrado","No","Sí"))</f>
        <v/>
      </c>
      <c r="J3276" s="26" t="str">
        <f aca="false">IF(A3276="","",IF(F3276="Inactivo","No","Sí"))</f>
        <v/>
      </c>
      <c r="K3276" s="26" t="str">
        <f aca="false">IF(A3276="","",IF(AND(I3276="Sí",J3276="Sí"),"Sí","No"))</f>
        <v/>
      </c>
    </row>
    <row r="3277" customFormat="false" ht="15" hidden="false" customHeight="false" outlineLevel="0" collapsed="false">
      <c r="A3277" s="22"/>
      <c r="B3277" s="22"/>
      <c r="C3277" s="23" t="str">
        <f aca="false">IF(A3277="","",IFERROR(buscarx(A3277&amp;B3277,DATA!$E$3:$E$10000&amp;DATA!$B$3:$B$10000,DATA!$M$3:$M$10000),"No encontrado"))</f>
        <v/>
      </c>
      <c r="D3277" s="24" t="str">
        <f aca="false">IF(A3277="","",IFERROR(buscarx(A3277&amp;B3277,DATA!$E$3:$E$10000&amp;DATA!$B$3:$B$10000,DATA!$W$3:$W$10000),"No encontrado"))</f>
        <v/>
      </c>
      <c r="E3277" s="22"/>
      <c r="F3277" s="23" t="str">
        <f aca="false">IF(A3277="","",IFERROR(buscarx(A3277&amp;E3277,DATA!$E$3:$E$10000&amp;DATA!$B$3:$B$10000,DATA!$M$3:$M$10000),"Inactivo"))</f>
        <v/>
      </c>
      <c r="G3277" s="25" t="str">
        <f aca="false">IF(A3277="","",IF(AND(C3277&lt;&gt;"No encontrado",F3277&lt;&gt;"Inactivo"),C3277&amp;" → "&amp;F3277,"Sin transición"))</f>
        <v/>
      </c>
      <c r="H3277" s="23" t="str">
        <f aca="false">IF(A3277="","",IF(D3277="GCIA LINEA SERVICIO DIGITALIDAD Y VENTAS","Chats",IF(OR(D3277="GERENCIA INBOUND LÍNEAS SERVICIO Y VENTA",D3277="GERENCIA INBOUND LINEAS ESPECIALIZADAS"),"Llamadas","Otro")))</f>
        <v/>
      </c>
      <c r="I3277" s="23" t="str">
        <f aca="false">IF(A3277="","",IF(C3277="No encontrado","No","Sí"))</f>
        <v/>
      </c>
      <c r="J3277" s="23" t="str">
        <f aca="false">IF(A3277="","",IF(F3277="Inactivo","No","Sí"))</f>
        <v/>
      </c>
      <c r="K3277" s="23" t="str">
        <f aca="false">IF(A3277="","",IF(AND(I3277="Sí",J3277="Sí"),"Sí","No"))</f>
        <v/>
      </c>
    </row>
    <row r="3278" customFormat="false" ht="15" hidden="false" customHeight="false" outlineLevel="0" collapsed="false">
      <c r="A3278" s="22"/>
      <c r="B3278" s="22"/>
      <c r="C3278" s="26" t="str">
        <f aca="false">IF(A3278="","",IFERROR(buscarx(A3278&amp;B3278,DATA!$E$3:$E$10000&amp;DATA!$B$3:$B$10000,DATA!$M$3:$M$10000),"No encontrado"))</f>
        <v/>
      </c>
      <c r="D3278" s="27" t="str">
        <f aca="false">IF(A3278="","",IFERROR(buscarx(A3278&amp;B3278,DATA!$E$3:$E$10000&amp;DATA!$B$3:$B$10000,DATA!$W$3:$W$10000),"No encontrado"))</f>
        <v/>
      </c>
      <c r="E3278" s="22"/>
      <c r="F3278" s="26" t="str">
        <f aca="false">IF(A3278="","",IFERROR(buscarx(A3278&amp;E3278,DATA!$E$3:$E$10000&amp;DATA!$B$3:$B$10000,DATA!$M$3:$M$10000),"Inactivo"))</f>
        <v/>
      </c>
      <c r="G3278" s="28" t="str">
        <f aca="false">IF(A3278="","",IF(AND(C3278&lt;&gt;"No encontrado",F3278&lt;&gt;"Inactivo"),C3278&amp;" → "&amp;F3278,"Sin transición"))</f>
        <v/>
      </c>
      <c r="H3278" s="26" t="str">
        <f aca="false">IF(A3278="","",IF(D3278="GCIA LINEA SERVICIO DIGITALIDAD Y VENTAS","Chats",IF(OR(D3278="GERENCIA INBOUND LÍNEAS SERVICIO Y VENTA",D3278="GERENCIA INBOUND LINEAS ESPECIALIZADAS"),"Llamadas","Otro")))</f>
        <v/>
      </c>
      <c r="I3278" s="26" t="str">
        <f aca="false">IF(A3278="","",IF(C3278="No encontrado","No","Sí"))</f>
        <v/>
      </c>
      <c r="J3278" s="26" t="str">
        <f aca="false">IF(A3278="","",IF(F3278="Inactivo","No","Sí"))</f>
        <v/>
      </c>
      <c r="K3278" s="26" t="str">
        <f aca="false">IF(A3278="","",IF(AND(I3278="Sí",J3278="Sí"),"Sí","No"))</f>
        <v/>
      </c>
    </row>
    <row r="3279" customFormat="false" ht="15" hidden="false" customHeight="false" outlineLevel="0" collapsed="false">
      <c r="A3279" s="22"/>
      <c r="B3279" s="22"/>
      <c r="C3279" s="23" t="str">
        <f aca="false">IF(A3279="","",IFERROR(buscarx(A3279&amp;B3279,DATA!$E$3:$E$10000&amp;DATA!$B$3:$B$10000,DATA!$M$3:$M$10000),"No encontrado"))</f>
        <v/>
      </c>
      <c r="D3279" s="24" t="str">
        <f aca="false">IF(A3279="","",IFERROR(buscarx(A3279&amp;B3279,DATA!$E$3:$E$10000&amp;DATA!$B$3:$B$10000,DATA!$W$3:$W$10000),"No encontrado"))</f>
        <v/>
      </c>
      <c r="E3279" s="22"/>
      <c r="F3279" s="23" t="str">
        <f aca="false">IF(A3279="","",IFERROR(buscarx(A3279&amp;E3279,DATA!$E$3:$E$10000&amp;DATA!$B$3:$B$10000,DATA!$M$3:$M$10000),"Inactivo"))</f>
        <v/>
      </c>
      <c r="G3279" s="25" t="str">
        <f aca="false">IF(A3279="","",IF(AND(C3279&lt;&gt;"No encontrado",F3279&lt;&gt;"Inactivo"),C3279&amp;" → "&amp;F3279,"Sin transición"))</f>
        <v/>
      </c>
      <c r="H3279" s="23" t="str">
        <f aca="false">IF(A3279="","",IF(D3279="GCIA LINEA SERVICIO DIGITALIDAD Y VENTAS","Chats",IF(OR(D3279="GERENCIA INBOUND LÍNEAS SERVICIO Y VENTA",D3279="GERENCIA INBOUND LINEAS ESPECIALIZADAS"),"Llamadas","Otro")))</f>
        <v/>
      </c>
      <c r="I3279" s="23" t="str">
        <f aca="false">IF(A3279="","",IF(C3279="No encontrado","No","Sí"))</f>
        <v/>
      </c>
      <c r="J3279" s="23" t="str">
        <f aca="false">IF(A3279="","",IF(F3279="Inactivo","No","Sí"))</f>
        <v/>
      </c>
      <c r="K3279" s="23" t="str">
        <f aca="false">IF(A3279="","",IF(AND(I3279="Sí",J3279="Sí"),"Sí","No"))</f>
        <v/>
      </c>
    </row>
    <row r="3280" customFormat="false" ht="15" hidden="false" customHeight="false" outlineLevel="0" collapsed="false">
      <c r="A3280" s="22"/>
      <c r="B3280" s="22"/>
      <c r="C3280" s="26" t="str">
        <f aca="false">IF(A3280="","",IFERROR(buscarx(A3280&amp;B3280,DATA!$E$3:$E$10000&amp;DATA!$B$3:$B$10000,DATA!$M$3:$M$10000),"No encontrado"))</f>
        <v/>
      </c>
      <c r="D3280" s="27" t="str">
        <f aca="false">IF(A3280="","",IFERROR(buscarx(A3280&amp;B3280,DATA!$E$3:$E$10000&amp;DATA!$B$3:$B$10000,DATA!$W$3:$W$10000),"No encontrado"))</f>
        <v/>
      </c>
      <c r="E3280" s="22"/>
      <c r="F3280" s="26" t="str">
        <f aca="false">IF(A3280="","",IFERROR(buscarx(A3280&amp;E3280,DATA!$E$3:$E$10000&amp;DATA!$B$3:$B$10000,DATA!$M$3:$M$10000),"Inactivo"))</f>
        <v/>
      </c>
      <c r="G3280" s="28" t="str">
        <f aca="false">IF(A3280="","",IF(AND(C3280&lt;&gt;"No encontrado",F3280&lt;&gt;"Inactivo"),C3280&amp;" → "&amp;F3280,"Sin transición"))</f>
        <v/>
      </c>
      <c r="H3280" s="26" t="str">
        <f aca="false">IF(A3280="","",IF(D3280="GCIA LINEA SERVICIO DIGITALIDAD Y VENTAS","Chats",IF(OR(D3280="GERENCIA INBOUND LÍNEAS SERVICIO Y VENTA",D3280="GERENCIA INBOUND LINEAS ESPECIALIZADAS"),"Llamadas","Otro")))</f>
        <v/>
      </c>
      <c r="I3280" s="26" t="str">
        <f aca="false">IF(A3280="","",IF(C3280="No encontrado","No","Sí"))</f>
        <v/>
      </c>
      <c r="J3280" s="26" t="str">
        <f aca="false">IF(A3280="","",IF(F3280="Inactivo","No","Sí"))</f>
        <v/>
      </c>
      <c r="K3280" s="26" t="str">
        <f aca="false">IF(A3280="","",IF(AND(I3280="Sí",J3280="Sí"),"Sí","No"))</f>
        <v/>
      </c>
    </row>
    <row r="3281" customFormat="false" ht="15" hidden="false" customHeight="false" outlineLevel="0" collapsed="false">
      <c r="A3281" s="22"/>
      <c r="B3281" s="22"/>
      <c r="C3281" s="23" t="str">
        <f aca="false">IF(A3281="","",IFERROR(buscarx(A3281&amp;B3281,DATA!$E$3:$E$10000&amp;DATA!$B$3:$B$10000,DATA!$M$3:$M$10000),"No encontrado"))</f>
        <v/>
      </c>
      <c r="D3281" s="24" t="str">
        <f aca="false">IF(A3281="","",IFERROR(buscarx(A3281&amp;B3281,DATA!$E$3:$E$10000&amp;DATA!$B$3:$B$10000,DATA!$W$3:$W$10000),"No encontrado"))</f>
        <v/>
      </c>
      <c r="E3281" s="22"/>
      <c r="F3281" s="23" t="str">
        <f aca="false">IF(A3281="","",IFERROR(buscarx(A3281&amp;E3281,DATA!$E$3:$E$10000&amp;DATA!$B$3:$B$10000,DATA!$M$3:$M$10000),"Inactivo"))</f>
        <v/>
      </c>
      <c r="G3281" s="25" t="str">
        <f aca="false">IF(A3281="","",IF(AND(C3281&lt;&gt;"No encontrado",F3281&lt;&gt;"Inactivo"),C3281&amp;" → "&amp;F3281,"Sin transición"))</f>
        <v/>
      </c>
      <c r="H3281" s="23" t="str">
        <f aca="false">IF(A3281="","",IF(D3281="GCIA LINEA SERVICIO DIGITALIDAD Y VENTAS","Chats",IF(OR(D3281="GERENCIA INBOUND LÍNEAS SERVICIO Y VENTA",D3281="GERENCIA INBOUND LINEAS ESPECIALIZADAS"),"Llamadas","Otro")))</f>
        <v/>
      </c>
      <c r="I3281" s="23" t="str">
        <f aca="false">IF(A3281="","",IF(C3281="No encontrado","No","Sí"))</f>
        <v/>
      </c>
      <c r="J3281" s="23" t="str">
        <f aca="false">IF(A3281="","",IF(F3281="Inactivo","No","Sí"))</f>
        <v/>
      </c>
      <c r="K3281" s="23" t="str">
        <f aca="false">IF(A3281="","",IF(AND(I3281="Sí",J3281="Sí"),"Sí","No"))</f>
        <v/>
      </c>
    </row>
    <row r="3282" customFormat="false" ht="15" hidden="false" customHeight="false" outlineLevel="0" collapsed="false">
      <c r="A3282" s="22"/>
      <c r="B3282" s="22"/>
      <c r="C3282" s="26" t="str">
        <f aca="false">IF(A3282="","",IFERROR(buscarx(A3282&amp;B3282,DATA!$E$3:$E$10000&amp;DATA!$B$3:$B$10000,DATA!$M$3:$M$10000),"No encontrado"))</f>
        <v/>
      </c>
      <c r="D3282" s="27" t="str">
        <f aca="false">IF(A3282="","",IFERROR(buscarx(A3282&amp;B3282,DATA!$E$3:$E$10000&amp;DATA!$B$3:$B$10000,DATA!$W$3:$W$10000),"No encontrado"))</f>
        <v/>
      </c>
      <c r="E3282" s="22"/>
      <c r="F3282" s="26" t="str">
        <f aca="false">IF(A3282="","",IFERROR(buscarx(A3282&amp;E3282,DATA!$E$3:$E$10000&amp;DATA!$B$3:$B$10000,DATA!$M$3:$M$10000),"Inactivo"))</f>
        <v/>
      </c>
      <c r="G3282" s="28" t="str">
        <f aca="false">IF(A3282="","",IF(AND(C3282&lt;&gt;"No encontrado",F3282&lt;&gt;"Inactivo"),C3282&amp;" → "&amp;F3282,"Sin transición"))</f>
        <v/>
      </c>
      <c r="H3282" s="26" t="str">
        <f aca="false">IF(A3282="","",IF(D3282="GCIA LINEA SERVICIO DIGITALIDAD Y VENTAS","Chats",IF(OR(D3282="GERENCIA INBOUND LÍNEAS SERVICIO Y VENTA",D3282="GERENCIA INBOUND LINEAS ESPECIALIZADAS"),"Llamadas","Otro")))</f>
        <v/>
      </c>
      <c r="I3282" s="26" t="str">
        <f aca="false">IF(A3282="","",IF(C3282="No encontrado","No","Sí"))</f>
        <v/>
      </c>
      <c r="J3282" s="26" t="str">
        <f aca="false">IF(A3282="","",IF(F3282="Inactivo","No","Sí"))</f>
        <v/>
      </c>
      <c r="K3282" s="26" t="str">
        <f aca="false">IF(A3282="","",IF(AND(I3282="Sí",J3282="Sí"),"Sí","No"))</f>
        <v/>
      </c>
    </row>
    <row r="3283" customFormat="false" ht="15" hidden="false" customHeight="false" outlineLevel="0" collapsed="false">
      <c r="A3283" s="22"/>
      <c r="B3283" s="22"/>
      <c r="C3283" s="23" t="str">
        <f aca="false">IF(A3283="","",IFERROR(buscarx(A3283&amp;B3283,DATA!$E$3:$E$10000&amp;DATA!$B$3:$B$10000,DATA!$M$3:$M$10000),"No encontrado"))</f>
        <v/>
      </c>
      <c r="D3283" s="24" t="str">
        <f aca="false">IF(A3283="","",IFERROR(buscarx(A3283&amp;B3283,DATA!$E$3:$E$10000&amp;DATA!$B$3:$B$10000,DATA!$W$3:$W$10000),"No encontrado"))</f>
        <v/>
      </c>
      <c r="E3283" s="22"/>
      <c r="F3283" s="23" t="str">
        <f aca="false">IF(A3283="","",IFERROR(buscarx(A3283&amp;E3283,DATA!$E$3:$E$10000&amp;DATA!$B$3:$B$10000,DATA!$M$3:$M$10000),"Inactivo"))</f>
        <v/>
      </c>
      <c r="G3283" s="25" t="str">
        <f aca="false">IF(A3283="","",IF(AND(C3283&lt;&gt;"No encontrado",F3283&lt;&gt;"Inactivo"),C3283&amp;" → "&amp;F3283,"Sin transición"))</f>
        <v/>
      </c>
      <c r="H3283" s="23" t="str">
        <f aca="false">IF(A3283="","",IF(D3283="GCIA LINEA SERVICIO DIGITALIDAD Y VENTAS","Chats",IF(OR(D3283="GERENCIA INBOUND LÍNEAS SERVICIO Y VENTA",D3283="GERENCIA INBOUND LINEAS ESPECIALIZADAS"),"Llamadas","Otro")))</f>
        <v/>
      </c>
      <c r="I3283" s="23" t="str">
        <f aca="false">IF(A3283="","",IF(C3283="No encontrado","No","Sí"))</f>
        <v/>
      </c>
      <c r="J3283" s="23" t="str">
        <f aca="false">IF(A3283="","",IF(F3283="Inactivo","No","Sí"))</f>
        <v/>
      </c>
      <c r="K3283" s="23" t="str">
        <f aca="false">IF(A3283="","",IF(AND(I3283="Sí",J3283="Sí"),"Sí","No"))</f>
        <v/>
      </c>
    </row>
    <row r="3284" customFormat="false" ht="15" hidden="false" customHeight="false" outlineLevel="0" collapsed="false">
      <c r="A3284" s="22"/>
      <c r="B3284" s="22"/>
      <c r="C3284" s="26" t="str">
        <f aca="false">IF(A3284="","",IFERROR(buscarx(A3284&amp;B3284,DATA!$E$3:$E$10000&amp;DATA!$B$3:$B$10000,DATA!$M$3:$M$10000),"No encontrado"))</f>
        <v/>
      </c>
      <c r="D3284" s="27" t="str">
        <f aca="false">IF(A3284="","",IFERROR(buscarx(A3284&amp;B3284,DATA!$E$3:$E$10000&amp;DATA!$B$3:$B$10000,DATA!$W$3:$W$10000),"No encontrado"))</f>
        <v/>
      </c>
      <c r="E3284" s="22"/>
      <c r="F3284" s="26" t="str">
        <f aca="false">IF(A3284="","",IFERROR(buscarx(A3284&amp;E3284,DATA!$E$3:$E$10000&amp;DATA!$B$3:$B$10000,DATA!$M$3:$M$10000),"Inactivo"))</f>
        <v/>
      </c>
      <c r="G3284" s="28" t="str">
        <f aca="false">IF(A3284="","",IF(AND(C3284&lt;&gt;"No encontrado",F3284&lt;&gt;"Inactivo"),C3284&amp;" → "&amp;F3284,"Sin transición"))</f>
        <v/>
      </c>
      <c r="H3284" s="26" t="str">
        <f aca="false">IF(A3284="","",IF(D3284="GCIA LINEA SERVICIO DIGITALIDAD Y VENTAS","Chats",IF(OR(D3284="GERENCIA INBOUND LÍNEAS SERVICIO Y VENTA",D3284="GERENCIA INBOUND LINEAS ESPECIALIZADAS"),"Llamadas","Otro")))</f>
        <v/>
      </c>
      <c r="I3284" s="26" t="str">
        <f aca="false">IF(A3284="","",IF(C3284="No encontrado","No","Sí"))</f>
        <v/>
      </c>
      <c r="J3284" s="26" t="str">
        <f aca="false">IF(A3284="","",IF(F3284="Inactivo","No","Sí"))</f>
        <v/>
      </c>
      <c r="K3284" s="26" t="str">
        <f aca="false">IF(A3284="","",IF(AND(I3284="Sí",J3284="Sí"),"Sí","No"))</f>
        <v/>
      </c>
    </row>
    <row r="3285" customFormat="false" ht="15" hidden="false" customHeight="false" outlineLevel="0" collapsed="false">
      <c r="A3285" s="22"/>
      <c r="B3285" s="22"/>
      <c r="C3285" s="23" t="str">
        <f aca="false">IF(A3285="","",IFERROR(buscarx(A3285&amp;B3285,DATA!$E$3:$E$10000&amp;DATA!$B$3:$B$10000,DATA!$M$3:$M$10000),"No encontrado"))</f>
        <v/>
      </c>
      <c r="D3285" s="24" t="str">
        <f aca="false">IF(A3285="","",IFERROR(buscarx(A3285&amp;B3285,DATA!$E$3:$E$10000&amp;DATA!$B$3:$B$10000,DATA!$W$3:$W$10000),"No encontrado"))</f>
        <v/>
      </c>
      <c r="E3285" s="22"/>
      <c r="F3285" s="23" t="str">
        <f aca="false">IF(A3285="","",IFERROR(buscarx(A3285&amp;E3285,DATA!$E$3:$E$10000&amp;DATA!$B$3:$B$10000,DATA!$M$3:$M$10000),"Inactivo"))</f>
        <v/>
      </c>
      <c r="G3285" s="25" t="str">
        <f aca="false">IF(A3285="","",IF(AND(C3285&lt;&gt;"No encontrado",F3285&lt;&gt;"Inactivo"),C3285&amp;" → "&amp;F3285,"Sin transición"))</f>
        <v/>
      </c>
      <c r="H3285" s="23" t="str">
        <f aca="false">IF(A3285="","",IF(D3285="GCIA LINEA SERVICIO DIGITALIDAD Y VENTAS","Chats",IF(OR(D3285="GERENCIA INBOUND LÍNEAS SERVICIO Y VENTA",D3285="GERENCIA INBOUND LINEAS ESPECIALIZADAS"),"Llamadas","Otro")))</f>
        <v/>
      </c>
      <c r="I3285" s="23" t="str">
        <f aca="false">IF(A3285="","",IF(C3285="No encontrado","No","Sí"))</f>
        <v/>
      </c>
      <c r="J3285" s="23" t="str">
        <f aca="false">IF(A3285="","",IF(F3285="Inactivo","No","Sí"))</f>
        <v/>
      </c>
      <c r="K3285" s="23" t="str">
        <f aca="false">IF(A3285="","",IF(AND(I3285="Sí",J3285="Sí"),"Sí","No"))</f>
        <v/>
      </c>
    </row>
    <row r="3286" customFormat="false" ht="15" hidden="false" customHeight="false" outlineLevel="0" collapsed="false">
      <c r="A3286" s="22"/>
      <c r="B3286" s="22"/>
      <c r="C3286" s="26" t="str">
        <f aca="false">IF(A3286="","",IFERROR(buscarx(A3286&amp;B3286,DATA!$E$3:$E$10000&amp;DATA!$B$3:$B$10000,DATA!$M$3:$M$10000),"No encontrado"))</f>
        <v/>
      </c>
      <c r="D3286" s="27" t="str">
        <f aca="false">IF(A3286="","",IFERROR(buscarx(A3286&amp;B3286,DATA!$E$3:$E$10000&amp;DATA!$B$3:$B$10000,DATA!$W$3:$W$10000),"No encontrado"))</f>
        <v/>
      </c>
      <c r="E3286" s="22"/>
      <c r="F3286" s="26" t="str">
        <f aca="false">IF(A3286="","",IFERROR(buscarx(A3286&amp;E3286,DATA!$E$3:$E$10000&amp;DATA!$B$3:$B$10000,DATA!$M$3:$M$10000),"Inactivo"))</f>
        <v/>
      </c>
      <c r="G3286" s="28" t="str">
        <f aca="false">IF(A3286="","",IF(AND(C3286&lt;&gt;"No encontrado",F3286&lt;&gt;"Inactivo"),C3286&amp;" → "&amp;F3286,"Sin transición"))</f>
        <v/>
      </c>
      <c r="H3286" s="26" t="str">
        <f aca="false">IF(A3286="","",IF(D3286="GCIA LINEA SERVICIO DIGITALIDAD Y VENTAS","Chats",IF(OR(D3286="GERENCIA INBOUND LÍNEAS SERVICIO Y VENTA",D3286="GERENCIA INBOUND LINEAS ESPECIALIZADAS"),"Llamadas","Otro")))</f>
        <v/>
      </c>
      <c r="I3286" s="26" t="str">
        <f aca="false">IF(A3286="","",IF(C3286="No encontrado","No","Sí"))</f>
        <v/>
      </c>
      <c r="J3286" s="26" t="str">
        <f aca="false">IF(A3286="","",IF(F3286="Inactivo","No","Sí"))</f>
        <v/>
      </c>
      <c r="K3286" s="26" t="str">
        <f aca="false">IF(A3286="","",IF(AND(I3286="Sí",J3286="Sí"),"Sí","No"))</f>
        <v/>
      </c>
    </row>
    <row r="3287" customFormat="false" ht="15" hidden="false" customHeight="false" outlineLevel="0" collapsed="false">
      <c r="A3287" s="22"/>
      <c r="B3287" s="22"/>
      <c r="C3287" s="23" t="str">
        <f aca="false">IF(A3287="","",IFERROR(buscarx(A3287&amp;B3287,DATA!$E$3:$E$10000&amp;DATA!$B$3:$B$10000,DATA!$M$3:$M$10000),"No encontrado"))</f>
        <v/>
      </c>
      <c r="D3287" s="24" t="str">
        <f aca="false">IF(A3287="","",IFERROR(buscarx(A3287&amp;B3287,DATA!$E$3:$E$10000&amp;DATA!$B$3:$B$10000,DATA!$W$3:$W$10000),"No encontrado"))</f>
        <v/>
      </c>
      <c r="E3287" s="22"/>
      <c r="F3287" s="23" t="str">
        <f aca="false">IF(A3287="","",IFERROR(buscarx(A3287&amp;E3287,DATA!$E$3:$E$10000&amp;DATA!$B$3:$B$10000,DATA!$M$3:$M$10000),"Inactivo"))</f>
        <v/>
      </c>
      <c r="G3287" s="25" t="str">
        <f aca="false">IF(A3287="","",IF(AND(C3287&lt;&gt;"No encontrado",F3287&lt;&gt;"Inactivo"),C3287&amp;" → "&amp;F3287,"Sin transición"))</f>
        <v/>
      </c>
      <c r="H3287" s="23" t="str">
        <f aca="false">IF(A3287="","",IF(D3287="GCIA LINEA SERVICIO DIGITALIDAD Y VENTAS","Chats",IF(OR(D3287="GERENCIA INBOUND LÍNEAS SERVICIO Y VENTA",D3287="GERENCIA INBOUND LINEAS ESPECIALIZADAS"),"Llamadas","Otro")))</f>
        <v/>
      </c>
      <c r="I3287" s="23" t="str">
        <f aca="false">IF(A3287="","",IF(C3287="No encontrado","No","Sí"))</f>
        <v/>
      </c>
      <c r="J3287" s="23" t="str">
        <f aca="false">IF(A3287="","",IF(F3287="Inactivo","No","Sí"))</f>
        <v/>
      </c>
      <c r="K3287" s="23" t="str">
        <f aca="false">IF(A3287="","",IF(AND(I3287="Sí",J3287="Sí"),"Sí","No"))</f>
        <v/>
      </c>
    </row>
    <row r="3288" customFormat="false" ht="15" hidden="false" customHeight="false" outlineLevel="0" collapsed="false">
      <c r="A3288" s="22"/>
      <c r="B3288" s="22"/>
      <c r="C3288" s="26" t="str">
        <f aca="false">IF(A3288="","",IFERROR(buscarx(A3288&amp;B3288,DATA!$E$3:$E$10000&amp;DATA!$B$3:$B$10000,DATA!$M$3:$M$10000),"No encontrado"))</f>
        <v/>
      </c>
      <c r="D3288" s="27" t="str">
        <f aca="false">IF(A3288="","",IFERROR(buscarx(A3288&amp;B3288,DATA!$E$3:$E$10000&amp;DATA!$B$3:$B$10000,DATA!$W$3:$W$10000),"No encontrado"))</f>
        <v/>
      </c>
      <c r="E3288" s="22"/>
      <c r="F3288" s="26" t="str">
        <f aca="false">IF(A3288="","",IFERROR(buscarx(A3288&amp;E3288,DATA!$E$3:$E$10000&amp;DATA!$B$3:$B$10000,DATA!$M$3:$M$10000),"Inactivo"))</f>
        <v/>
      </c>
      <c r="G3288" s="28" t="str">
        <f aca="false">IF(A3288="","",IF(AND(C3288&lt;&gt;"No encontrado",F3288&lt;&gt;"Inactivo"),C3288&amp;" → "&amp;F3288,"Sin transición"))</f>
        <v/>
      </c>
      <c r="H3288" s="26" t="str">
        <f aca="false">IF(A3288="","",IF(D3288="GCIA LINEA SERVICIO DIGITALIDAD Y VENTAS","Chats",IF(OR(D3288="GERENCIA INBOUND LÍNEAS SERVICIO Y VENTA",D3288="GERENCIA INBOUND LINEAS ESPECIALIZADAS"),"Llamadas","Otro")))</f>
        <v/>
      </c>
      <c r="I3288" s="26" t="str">
        <f aca="false">IF(A3288="","",IF(C3288="No encontrado","No","Sí"))</f>
        <v/>
      </c>
      <c r="J3288" s="26" t="str">
        <f aca="false">IF(A3288="","",IF(F3288="Inactivo","No","Sí"))</f>
        <v/>
      </c>
      <c r="K3288" s="26" t="str">
        <f aca="false">IF(A3288="","",IF(AND(I3288="Sí",J3288="Sí"),"Sí","No"))</f>
        <v/>
      </c>
    </row>
    <row r="3289" customFormat="false" ht="15" hidden="false" customHeight="false" outlineLevel="0" collapsed="false">
      <c r="A3289" s="22"/>
      <c r="B3289" s="22"/>
      <c r="C3289" s="23" t="str">
        <f aca="false">IF(A3289="","",IFERROR(buscarx(A3289&amp;B3289,DATA!$E$3:$E$10000&amp;DATA!$B$3:$B$10000,DATA!$M$3:$M$10000),"No encontrado"))</f>
        <v/>
      </c>
      <c r="D3289" s="24" t="str">
        <f aca="false">IF(A3289="","",IFERROR(buscarx(A3289&amp;B3289,DATA!$E$3:$E$10000&amp;DATA!$B$3:$B$10000,DATA!$W$3:$W$10000),"No encontrado"))</f>
        <v/>
      </c>
      <c r="E3289" s="22"/>
      <c r="F3289" s="23" t="str">
        <f aca="false">IF(A3289="","",IFERROR(buscarx(A3289&amp;E3289,DATA!$E$3:$E$10000&amp;DATA!$B$3:$B$10000,DATA!$M$3:$M$10000),"Inactivo"))</f>
        <v/>
      </c>
      <c r="G3289" s="25" t="str">
        <f aca="false">IF(A3289="","",IF(AND(C3289&lt;&gt;"No encontrado",F3289&lt;&gt;"Inactivo"),C3289&amp;" → "&amp;F3289,"Sin transición"))</f>
        <v/>
      </c>
      <c r="H3289" s="23" t="str">
        <f aca="false">IF(A3289="","",IF(D3289="GCIA LINEA SERVICIO DIGITALIDAD Y VENTAS","Chats",IF(OR(D3289="GERENCIA INBOUND LÍNEAS SERVICIO Y VENTA",D3289="GERENCIA INBOUND LINEAS ESPECIALIZADAS"),"Llamadas","Otro")))</f>
        <v/>
      </c>
      <c r="I3289" s="23" t="str">
        <f aca="false">IF(A3289="","",IF(C3289="No encontrado","No","Sí"))</f>
        <v/>
      </c>
      <c r="J3289" s="23" t="str">
        <f aca="false">IF(A3289="","",IF(F3289="Inactivo","No","Sí"))</f>
        <v/>
      </c>
      <c r="K3289" s="23" t="str">
        <f aca="false">IF(A3289="","",IF(AND(I3289="Sí",J3289="Sí"),"Sí","No"))</f>
        <v/>
      </c>
    </row>
    <row r="3290" customFormat="false" ht="15" hidden="false" customHeight="false" outlineLevel="0" collapsed="false">
      <c r="A3290" s="22"/>
      <c r="B3290" s="22"/>
      <c r="C3290" s="26" t="str">
        <f aca="false">IF(A3290="","",IFERROR(buscarx(A3290&amp;B3290,DATA!$E$3:$E$10000&amp;DATA!$B$3:$B$10000,DATA!$M$3:$M$10000),"No encontrado"))</f>
        <v/>
      </c>
      <c r="D3290" s="27" t="str">
        <f aca="false">IF(A3290="","",IFERROR(buscarx(A3290&amp;B3290,DATA!$E$3:$E$10000&amp;DATA!$B$3:$B$10000,DATA!$W$3:$W$10000),"No encontrado"))</f>
        <v/>
      </c>
      <c r="E3290" s="22"/>
      <c r="F3290" s="26" t="str">
        <f aca="false">IF(A3290="","",IFERROR(buscarx(A3290&amp;E3290,DATA!$E$3:$E$10000&amp;DATA!$B$3:$B$10000,DATA!$M$3:$M$10000),"Inactivo"))</f>
        <v/>
      </c>
      <c r="G3290" s="28" t="str">
        <f aca="false">IF(A3290="","",IF(AND(C3290&lt;&gt;"No encontrado",F3290&lt;&gt;"Inactivo"),C3290&amp;" → "&amp;F3290,"Sin transición"))</f>
        <v/>
      </c>
      <c r="H3290" s="26" t="str">
        <f aca="false">IF(A3290="","",IF(D3290="GCIA LINEA SERVICIO DIGITALIDAD Y VENTAS","Chats",IF(OR(D3290="GERENCIA INBOUND LÍNEAS SERVICIO Y VENTA",D3290="GERENCIA INBOUND LINEAS ESPECIALIZADAS"),"Llamadas","Otro")))</f>
        <v/>
      </c>
      <c r="I3290" s="26" t="str">
        <f aca="false">IF(A3290="","",IF(C3290="No encontrado","No","Sí"))</f>
        <v/>
      </c>
      <c r="J3290" s="26" t="str">
        <f aca="false">IF(A3290="","",IF(F3290="Inactivo","No","Sí"))</f>
        <v/>
      </c>
      <c r="K3290" s="26" t="str">
        <f aca="false">IF(A3290="","",IF(AND(I3290="Sí",J3290="Sí"),"Sí","No"))</f>
        <v/>
      </c>
    </row>
    <row r="3291" customFormat="false" ht="15" hidden="false" customHeight="false" outlineLevel="0" collapsed="false">
      <c r="A3291" s="22"/>
      <c r="B3291" s="22"/>
      <c r="C3291" s="23" t="str">
        <f aca="false">IF(A3291="","",IFERROR(buscarx(A3291&amp;B3291,DATA!$E$3:$E$10000&amp;DATA!$B$3:$B$10000,DATA!$M$3:$M$10000),"No encontrado"))</f>
        <v/>
      </c>
      <c r="D3291" s="24" t="str">
        <f aca="false">IF(A3291="","",IFERROR(buscarx(A3291&amp;B3291,DATA!$E$3:$E$10000&amp;DATA!$B$3:$B$10000,DATA!$W$3:$W$10000),"No encontrado"))</f>
        <v/>
      </c>
      <c r="E3291" s="22"/>
      <c r="F3291" s="23" t="str">
        <f aca="false">IF(A3291="","",IFERROR(buscarx(A3291&amp;E3291,DATA!$E$3:$E$10000&amp;DATA!$B$3:$B$10000,DATA!$M$3:$M$10000),"Inactivo"))</f>
        <v/>
      </c>
      <c r="G3291" s="25" t="str">
        <f aca="false">IF(A3291="","",IF(AND(C3291&lt;&gt;"No encontrado",F3291&lt;&gt;"Inactivo"),C3291&amp;" → "&amp;F3291,"Sin transición"))</f>
        <v/>
      </c>
      <c r="H3291" s="23" t="str">
        <f aca="false">IF(A3291="","",IF(D3291="GCIA LINEA SERVICIO DIGITALIDAD Y VENTAS","Chats",IF(OR(D3291="GERENCIA INBOUND LÍNEAS SERVICIO Y VENTA",D3291="GERENCIA INBOUND LINEAS ESPECIALIZADAS"),"Llamadas","Otro")))</f>
        <v/>
      </c>
      <c r="I3291" s="23" t="str">
        <f aca="false">IF(A3291="","",IF(C3291="No encontrado","No","Sí"))</f>
        <v/>
      </c>
      <c r="J3291" s="23" t="str">
        <f aca="false">IF(A3291="","",IF(F3291="Inactivo","No","Sí"))</f>
        <v/>
      </c>
      <c r="K3291" s="23" t="str">
        <f aca="false">IF(A3291="","",IF(AND(I3291="Sí",J3291="Sí"),"Sí","No"))</f>
        <v/>
      </c>
    </row>
    <row r="3292" customFormat="false" ht="15" hidden="false" customHeight="false" outlineLevel="0" collapsed="false">
      <c r="A3292" s="22"/>
      <c r="B3292" s="22"/>
      <c r="C3292" s="26" t="str">
        <f aca="false">IF(A3292="","",IFERROR(buscarx(A3292&amp;B3292,DATA!$E$3:$E$10000&amp;DATA!$B$3:$B$10000,DATA!$M$3:$M$10000),"No encontrado"))</f>
        <v/>
      </c>
      <c r="D3292" s="27" t="str">
        <f aca="false">IF(A3292="","",IFERROR(buscarx(A3292&amp;B3292,DATA!$E$3:$E$10000&amp;DATA!$B$3:$B$10000,DATA!$W$3:$W$10000),"No encontrado"))</f>
        <v/>
      </c>
      <c r="E3292" s="22"/>
      <c r="F3292" s="26" t="str">
        <f aca="false">IF(A3292="","",IFERROR(buscarx(A3292&amp;E3292,DATA!$E$3:$E$10000&amp;DATA!$B$3:$B$10000,DATA!$M$3:$M$10000),"Inactivo"))</f>
        <v/>
      </c>
      <c r="G3292" s="28" t="str">
        <f aca="false">IF(A3292="","",IF(AND(C3292&lt;&gt;"No encontrado",F3292&lt;&gt;"Inactivo"),C3292&amp;" → "&amp;F3292,"Sin transición"))</f>
        <v/>
      </c>
      <c r="H3292" s="26" t="str">
        <f aca="false">IF(A3292="","",IF(D3292="GCIA LINEA SERVICIO DIGITALIDAD Y VENTAS","Chats",IF(OR(D3292="GERENCIA INBOUND LÍNEAS SERVICIO Y VENTA",D3292="GERENCIA INBOUND LINEAS ESPECIALIZADAS"),"Llamadas","Otro")))</f>
        <v/>
      </c>
      <c r="I3292" s="26" t="str">
        <f aca="false">IF(A3292="","",IF(C3292="No encontrado","No","Sí"))</f>
        <v/>
      </c>
      <c r="J3292" s="26" t="str">
        <f aca="false">IF(A3292="","",IF(F3292="Inactivo","No","Sí"))</f>
        <v/>
      </c>
      <c r="K3292" s="26" t="str">
        <f aca="false">IF(A3292="","",IF(AND(I3292="Sí",J3292="Sí"),"Sí","No"))</f>
        <v/>
      </c>
    </row>
    <row r="3293" customFormat="false" ht="15" hidden="false" customHeight="false" outlineLevel="0" collapsed="false">
      <c r="A3293" s="22"/>
      <c r="B3293" s="22"/>
      <c r="C3293" s="23" t="str">
        <f aca="false">IF(A3293="","",IFERROR(buscarx(A3293&amp;B3293,DATA!$E$3:$E$10000&amp;DATA!$B$3:$B$10000,DATA!$M$3:$M$10000),"No encontrado"))</f>
        <v/>
      </c>
      <c r="D3293" s="24" t="str">
        <f aca="false">IF(A3293="","",IFERROR(buscarx(A3293&amp;B3293,DATA!$E$3:$E$10000&amp;DATA!$B$3:$B$10000,DATA!$W$3:$W$10000),"No encontrado"))</f>
        <v/>
      </c>
      <c r="E3293" s="22"/>
      <c r="F3293" s="23" t="str">
        <f aca="false">IF(A3293="","",IFERROR(buscarx(A3293&amp;E3293,DATA!$E$3:$E$10000&amp;DATA!$B$3:$B$10000,DATA!$M$3:$M$10000),"Inactivo"))</f>
        <v/>
      </c>
      <c r="G3293" s="25" t="str">
        <f aca="false">IF(A3293="","",IF(AND(C3293&lt;&gt;"No encontrado",F3293&lt;&gt;"Inactivo"),C3293&amp;" → "&amp;F3293,"Sin transición"))</f>
        <v/>
      </c>
      <c r="H3293" s="23" t="str">
        <f aca="false">IF(A3293="","",IF(D3293="GCIA LINEA SERVICIO DIGITALIDAD Y VENTAS","Chats",IF(OR(D3293="GERENCIA INBOUND LÍNEAS SERVICIO Y VENTA",D3293="GERENCIA INBOUND LINEAS ESPECIALIZADAS"),"Llamadas","Otro")))</f>
        <v/>
      </c>
      <c r="I3293" s="23" t="str">
        <f aca="false">IF(A3293="","",IF(C3293="No encontrado","No","Sí"))</f>
        <v/>
      </c>
      <c r="J3293" s="23" t="str">
        <f aca="false">IF(A3293="","",IF(F3293="Inactivo","No","Sí"))</f>
        <v/>
      </c>
      <c r="K3293" s="23" t="str">
        <f aca="false">IF(A3293="","",IF(AND(I3293="Sí",J3293="Sí"),"Sí","No"))</f>
        <v/>
      </c>
    </row>
    <row r="3294" customFormat="false" ht="15" hidden="false" customHeight="false" outlineLevel="0" collapsed="false">
      <c r="A3294" s="22"/>
      <c r="B3294" s="22"/>
      <c r="C3294" s="26" t="str">
        <f aca="false">IF(A3294="","",IFERROR(buscarx(A3294&amp;B3294,DATA!$E$3:$E$10000&amp;DATA!$B$3:$B$10000,DATA!$M$3:$M$10000),"No encontrado"))</f>
        <v/>
      </c>
      <c r="D3294" s="27" t="str">
        <f aca="false">IF(A3294="","",IFERROR(buscarx(A3294&amp;B3294,DATA!$E$3:$E$10000&amp;DATA!$B$3:$B$10000,DATA!$W$3:$W$10000),"No encontrado"))</f>
        <v/>
      </c>
      <c r="E3294" s="22"/>
      <c r="F3294" s="26" t="str">
        <f aca="false">IF(A3294="","",IFERROR(buscarx(A3294&amp;E3294,DATA!$E$3:$E$10000&amp;DATA!$B$3:$B$10000,DATA!$M$3:$M$10000),"Inactivo"))</f>
        <v/>
      </c>
      <c r="G3294" s="28" t="str">
        <f aca="false">IF(A3294="","",IF(AND(C3294&lt;&gt;"No encontrado",F3294&lt;&gt;"Inactivo"),C3294&amp;" → "&amp;F3294,"Sin transición"))</f>
        <v/>
      </c>
      <c r="H3294" s="26" t="str">
        <f aca="false">IF(A3294="","",IF(D3294="GCIA LINEA SERVICIO DIGITALIDAD Y VENTAS","Chats",IF(OR(D3294="GERENCIA INBOUND LÍNEAS SERVICIO Y VENTA",D3294="GERENCIA INBOUND LINEAS ESPECIALIZADAS"),"Llamadas","Otro")))</f>
        <v/>
      </c>
      <c r="I3294" s="26" t="str">
        <f aca="false">IF(A3294="","",IF(C3294="No encontrado","No","Sí"))</f>
        <v/>
      </c>
      <c r="J3294" s="26" t="str">
        <f aca="false">IF(A3294="","",IF(F3294="Inactivo","No","Sí"))</f>
        <v/>
      </c>
      <c r="K3294" s="26" t="str">
        <f aca="false">IF(A3294="","",IF(AND(I3294="Sí",J3294="Sí"),"Sí","No"))</f>
        <v/>
      </c>
    </row>
    <row r="3295" customFormat="false" ht="15" hidden="false" customHeight="false" outlineLevel="0" collapsed="false">
      <c r="A3295" s="22"/>
      <c r="B3295" s="22"/>
      <c r="C3295" s="23" t="str">
        <f aca="false">IF(A3295="","",IFERROR(buscarx(A3295&amp;B3295,DATA!$E$3:$E$10000&amp;DATA!$B$3:$B$10000,DATA!$M$3:$M$10000),"No encontrado"))</f>
        <v/>
      </c>
      <c r="D3295" s="24" t="str">
        <f aca="false">IF(A3295="","",IFERROR(buscarx(A3295&amp;B3295,DATA!$E$3:$E$10000&amp;DATA!$B$3:$B$10000,DATA!$W$3:$W$10000),"No encontrado"))</f>
        <v/>
      </c>
      <c r="E3295" s="22"/>
      <c r="F3295" s="23" t="str">
        <f aca="false">IF(A3295="","",IFERROR(buscarx(A3295&amp;E3295,DATA!$E$3:$E$10000&amp;DATA!$B$3:$B$10000,DATA!$M$3:$M$10000),"Inactivo"))</f>
        <v/>
      </c>
      <c r="G3295" s="25" t="str">
        <f aca="false">IF(A3295="","",IF(AND(C3295&lt;&gt;"No encontrado",F3295&lt;&gt;"Inactivo"),C3295&amp;" → "&amp;F3295,"Sin transición"))</f>
        <v/>
      </c>
      <c r="H3295" s="23" t="str">
        <f aca="false">IF(A3295="","",IF(D3295="GCIA LINEA SERVICIO DIGITALIDAD Y VENTAS","Chats",IF(OR(D3295="GERENCIA INBOUND LÍNEAS SERVICIO Y VENTA",D3295="GERENCIA INBOUND LINEAS ESPECIALIZADAS"),"Llamadas","Otro")))</f>
        <v/>
      </c>
      <c r="I3295" s="23" t="str">
        <f aca="false">IF(A3295="","",IF(C3295="No encontrado","No","Sí"))</f>
        <v/>
      </c>
      <c r="J3295" s="23" t="str">
        <f aca="false">IF(A3295="","",IF(F3295="Inactivo","No","Sí"))</f>
        <v/>
      </c>
      <c r="K3295" s="23" t="str">
        <f aca="false">IF(A3295="","",IF(AND(I3295="Sí",J3295="Sí"),"Sí","No"))</f>
        <v/>
      </c>
    </row>
    <row r="3296" customFormat="false" ht="15" hidden="false" customHeight="false" outlineLevel="0" collapsed="false">
      <c r="A3296" s="22"/>
      <c r="B3296" s="22"/>
      <c r="C3296" s="26" t="str">
        <f aca="false">IF(A3296="","",IFERROR(buscarx(A3296&amp;B3296,DATA!$E$3:$E$10000&amp;DATA!$B$3:$B$10000,DATA!$M$3:$M$10000),"No encontrado"))</f>
        <v/>
      </c>
      <c r="D3296" s="27" t="str">
        <f aca="false">IF(A3296="","",IFERROR(buscarx(A3296&amp;B3296,DATA!$E$3:$E$10000&amp;DATA!$B$3:$B$10000,DATA!$W$3:$W$10000),"No encontrado"))</f>
        <v/>
      </c>
      <c r="E3296" s="22"/>
      <c r="F3296" s="26" t="str">
        <f aca="false">IF(A3296="","",IFERROR(buscarx(A3296&amp;E3296,DATA!$E$3:$E$10000&amp;DATA!$B$3:$B$10000,DATA!$M$3:$M$10000),"Inactivo"))</f>
        <v/>
      </c>
      <c r="G3296" s="28" t="str">
        <f aca="false">IF(A3296="","",IF(AND(C3296&lt;&gt;"No encontrado",F3296&lt;&gt;"Inactivo"),C3296&amp;" → "&amp;F3296,"Sin transición"))</f>
        <v/>
      </c>
      <c r="H3296" s="26" t="str">
        <f aca="false">IF(A3296="","",IF(D3296="GCIA LINEA SERVICIO DIGITALIDAD Y VENTAS","Chats",IF(OR(D3296="GERENCIA INBOUND LÍNEAS SERVICIO Y VENTA",D3296="GERENCIA INBOUND LINEAS ESPECIALIZADAS"),"Llamadas","Otro")))</f>
        <v/>
      </c>
      <c r="I3296" s="26" t="str">
        <f aca="false">IF(A3296="","",IF(C3296="No encontrado","No","Sí"))</f>
        <v/>
      </c>
      <c r="J3296" s="26" t="str">
        <f aca="false">IF(A3296="","",IF(F3296="Inactivo","No","Sí"))</f>
        <v/>
      </c>
      <c r="K3296" s="26" t="str">
        <f aca="false">IF(A3296="","",IF(AND(I3296="Sí",J3296="Sí"),"Sí","No"))</f>
        <v/>
      </c>
    </row>
    <row r="3297" customFormat="false" ht="15" hidden="false" customHeight="false" outlineLevel="0" collapsed="false">
      <c r="A3297" s="22"/>
      <c r="B3297" s="22"/>
      <c r="C3297" s="23" t="str">
        <f aca="false">IF(A3297="","",IFERROR(buscarx(A3297&amp;B3297,DATA!$E$3:$E$10000&amp;DATA!$B$3:$B$10000,DATA!$M$3:$M$10000),"No encontrado"))</f>
        <v/>
      </c>
      <c r="D3297" s="24" t="str">
        <f aca="false">IF(A3297="","",IFERROR(buscarx(A3297&amp;B3297,DATA!$E$3:$E$10000&amp;DATA!$B$3:$B$10000,DATA!$W$3:$W$10000),"No encontrado"))</f>
        <v/>
      </c>
      <c r="E3297" s="22"/>
      <c r="F3297" s="23" t="str">
        <f aca="false">IF(A3297="","",IFERROR(buscarx(A3297&amp;E3297,DATA!$E$3:$E$10000&amp;DATA!$B$3:$B$10000,DATA!$M$3:$M$10000),"Inactivo"))</f>
        <v/>
      </c>
      <c r="G3297" s="25" t="str">
        <f aca="false">IF(A3297="","",IF(AND(C3297&lt;&gt;"No encontrado",F3297&lt;&gt;"Inactivo"),C3297&amp;" → "&amp;F3297,"Sin transición"))</f>
        <v/>
      </c>
      <c r="H3297" s="23" t="str">
        <f aca="false">IF(A3297="","",IF(D3297="GCIA LINEA SERVICIO DIGITALIDAD Y VENTAS","Chats",IF(OR(D3297="GERENCIA INBOUND LÍNEAS SERVICIO Y VENTA",D3297="GERENCIA INBOUND LINEAS ESPECIALIZADAS"),"Llamadas","Otro")))</f>
        <v/>
      </c>
      <c r="I3297" s="23" t="str">
        <f aca="false">IF(A3297="","",IF(C3297="No encontrado","No","Sí"))</f>
        <v/>
      </c>
      <c r="J3297" s="23" t="str">
        <f aca="false">IF(A3297="","",IF(F3297="Inactivo","No","Sí"))</f>
        <v/>
      </c>
      <c r="K3297" s="23" t="str">
        <f aca="false">IF(A3297="","",IF(AND(I3297="Sí",J3297="Sí"),"Sí","No"))</f>
        <v/>
      </c>
    </row>
    <row r="3298" customFormat="false" ht="15" hidden="false" customHeight="false" outlineLevel="0" collapsed="false">
      <c r="A3298" s="22"/>
      <c r="B3298" s="22"/>
      <c r="C3298" s="26" t="str">
        <f aca="false">IF(A3298="","",IFERROR(buscarx(A3298&amp;B3298,DATA!$E$3:$E$10000&amp;DATA!$B$3:$B$10000,DATA!$M$3:$M$10000),"No encontrado"))</f>
        <v/>
      </c>
      <c r="D3298" s="27" t="str">
        <f aca="false">IF(A3298="","",IFERROR(buscarx(A3298&amp;B3298,DATA!$E$3:$E$10000&amp;DATA!$B$3:$B$10000,DATA!$W$3:$W$10000),"No encontrado"))</f>
        <v/>
      </c>
      <c r="E3298" s="22"/>
      <c r="F3298" s="26" t="str">
        <f aca="false">IF(A3298="","",IFERROR(buscarx(A3298&amp;E3298,DATA!$E$3:$E$10000&amp;DATA!$B$3:$B$10000,DATA!$M$3:$M$10000),"Inactivo"))</f>
        <v/>
      </c>
      <c r="G3298" s="28" t="str">
        <f aca="false">IF(A3298="","",IF(AND(C3298&lt;&gt;"No encontrado",F3298&lt;&gt;"Inactivo"),C3298&amp;" → "&amp;F3298,"Sin transición"))</f>
        <v/>
      </c>
      <c r="H3298" s="26" t="str">
        <f aca="false">IF(A3298="","",IF(D3298="GCIA LINEA SERVICIO DIGITALIDAD Y VENTAS","Chats",IF(OR(D3298="GERENCIA INBOUND LÍNEAS SERVICIO Y VENTA",D3298="GERENCIA INBOUND LINEAS ESPECIALIZADAS"),"Llamadas","Otro")))</f>
        <v/>
      </c>
      <c r="I3298" s="26" t="str">
        <f aca="false">IF(A3298="","",IF(C3298="No encontrado","No","Sí"))</f>
        <v/>
      </c>
      <c r="J3298" s="26" t="str">
        <f aca="false">IF(A3298="","",IF(F3298="Inactivo","No","Sí"))</f>
        <v/>
      </c>
      <c r="K3298" s="26" t="str">
        <f aca="false">IF(A3298="","",IF(AND(I3298="Sí",J3298="Sí"),"Sí","No"))</f>
        <v/>
      </c>
    </row>
    <row r="3299" customFormat="false" ht="15" hidden="false" customHeight="false" outlineLevel="0" collapsed="false">
      <c r="A3299" s="22"/>
      <c r="B3299" s="22"/>
      <c r="C3299" s="23" t="str">
        <f aca="false">IF(A3299="","",IFERROR(buscarx(A3299&amp;B3299,DATA!$E$3:$E$10000&amp;DATA!$B$3:$B$10000,DATA!$M$3:$M$10000),"No encontrado"))</f>
        <v/>
      </c>
      <c r="D3299" s="24" t="str">
        <f aca="false">IF(A3299="","",IFERROR(buscarx(A3299&amp;B3299,DATA!$E$3:$E$10000&amp;DATA!$B$3:$B$10000,DATA!$W$3:$W$10000),"No encontrado"))</f>
        <v/>
      </c>
      <c r="E3299" s="22"/>
      <c r="F3299" s="23" t="str">
        <f aca="false">IF(A3299="","",IFERROR(buscarx(A3299&amp;E3299,DATA!$E$3:$E$10000&amp;DATA!$B$3:$B$10000,DATA!$M$3:$M$10000),"Inactivo"))</f>
        <v/>
      </c>
      <c r="G3299" s="25" t="str">
        <f aca="false">IF(A3299="","",IF(AND(C3299&lt;&gt;"No encontrado",F3299&lt;&gt;"Inactivo"),C3299&amp;" → "&amp;F3299,"Sin transición"))</f>
        <v/>
      </c>
      <c r="H3299" s="23" t="str">
        <f aca="false">IF(A3299="","",IF(D3299="GCIA LINEA SERVICIO DIGITALIDAD Y VENTAS","Chats",IF(OR(D3299="GERENCIA INBOUND LÍNEAS SERVICIO Y VENTA",D3299="GERENCIA INBOUND LINEAS ESPECIALIZADAS"),"Llamadas","Otro")))</f>
        <v/>
      </c>
      <c r="I3299" s="23" t="str">
        <f aca="false">IF(A3299="","",IF(C3299="No encontrado","No","Sí"))</f>
        <v/>
      </c>
      <c r="J3299" s="23" t="str">
        <f aca="false">IF(A3299="","",IF(F3299="Inactivo","No","Sí"))</f>
        <v/>
      </c>
      <c r="K3299" s="23" t="str">
        <f aca="false">IF(A3299="","",IF(AND(I3299="Sí",J3299="Sí"),"Sí","No"))</f>
        <v/>
      </c>
    </row>
    <row r="3300" customFormat="false" ht="15" hidden="false" customHeight="false" outlineLevel="0" collapsed="false">
      <c r="A3300" s="22"/>
      <c r="B3300" s="22"/>
      <c r="C3300" s="26" t="str">
        <f aca="false">IF(A3300="","",IFERROR(buscarx(A3300&amp;B3300,DATA!$E$3:$E$10000&amp;DATA!$B$3:$B$10000,DATA!$M$3:$M$10000),"No encontrado"))</f>
        <v/>
      </c>
      <c r="D3300" s="27" t="str">
        <f aca="false">IF(A3300="","",IFERROR(buscarx(A3300&amp;B3300,DATA!$E$3:$E$10000&amp;DATA!$B$3:$B$10000,DATA!$W$3:$W$10000),"No encontrado"))</f>
        <v/>
      </c>
      <c r="E3300" s="22"/>
      <c r="F3300" s="26" t="str">
        <f aca="false">IF(A3300="","",IFERROR(buscarx(A3300&amp;E3300,DATA!$E$3:$E$10000&amp;DATA!$B$3:$B$10000,DATA!$M$3:$M$10000),"Inactivo"))</f>
        <v/>
      </c>
      <c r="G3300" s="28" t="str">
        <f aca="false">IF(A3300="","",IF(AND(C3300&lt;&gt;"No encontrado",F3300&lt;&gt;"Inactivo"),C3300&amp;" → "&amp;F3300,"Sin transición"))</f>
        <v/>
      </c>
      <c r="H3300" s="26" t="str">
        <f aca="false">IF(A3300="","",IF(D3300="GCIA LINEA SERVICIO DIGITALIDAD Y VENTAS","Chats",IF(OR(D3300="GERENCIA INBOUND LÍNEAS SERVICIO Y VENTA",D3300="GERENCIA INBOUND LINEAS ESPECIALIZADAS"),"Llamadas","Otro")))</f>
        <v/>
      </c>
      <c r="I3300" s="26" t="str">
        <f aca="false">IF(A3300="","",IF(C3300="No encontrado","No","Sí"))</f>
        <v/>
      </c>
      <c r="J3300" s="26" t="str">
        <f aca="false">IF(A3300="","",IF(F3300="Inactivo","No","Sí"))</f>
        <v/>
      </c>
      <c r="K3300" s="26" t="str">
        <f aca="false">IF(A3300="","",IF(AND(I3300="Sí",J3300="Sí"),"Sí","No"))</f>
        <v/>
      </c>
    </row>
    <row r="3301" customFormat="false" ht="15" hidden="false" customHeight="false" outlineLevel="0" collapsed="false">
      <c r="A3301" s="22"/>
      <c r="B3301" s="22"/>
      <c r="C3301" s="23" t="str">
        <f aca="false">IF(A3301="","",IFERROR(buscarx(A3301&amp;B3301,DATA!$E$3:$E$10000&amp;DATA!$B$3:$B$10000,DATA!$M$3:$M$10000),"No encontrado"))</f>
        <v/>
      </c>
      <c r="D3301" s="24" t="str">
        <f aca="false">IF(A3301="","",IFERROR(buscarx(A3301&amp;B3301,DATA!$E$3:$E$10000&amp;DATA!$B$3:$B$10000,DATA!$W$3:$W$10000),"No encontrado"))</f>
        <v/>
      </c>
      <c r="E3301" s="22"/>
      <c r="F3301" s="23" t="str">
        <f aca="false">IF(A3301="","",IFERROR(buscarx(A3301&amp;E3301,DATA!$E$3:$E$10000&amp;DATA!$B$3:$B$10000,DATA!$M$3:$M$10000),"Inactivo"))</f>
        <v/>
      </c>
      <c r="G3301" s="25" t="str">
        <f aca="false">IF(A3301="","",IF(AND(C3301&lt;&gt;"No encontrado",F3301&lt;&gt;"Inactivo"),C3301&amp;" → "&amp;F3301,"Sin transición"))</f>
        <v/>
      </c>
      <c r="H3301" s="23" t="str">
        <f aca="false">IF(A3301="","",IF(D3301="GCIA LINEA SERVICIO DIGITALIDAD Y VENTAS","Chats",IF(OR(D3301="GERENCIA INBOUND LÍNEAS SERVICIO Y VENTA",D3301="GERENCIA INBOUND LINEAS ESPECIALIZADAS"),"Llamadas","Otro")))</f>
        <v/>
      </c>
      <c r="I3301" s="23" t="str">
        <f aca="false">IF(A3301="","",IF(C3301="No encontrado","No","Sí"))</f>
        <v/>
      </c>
      <c r="J3301" s="23" t="str">
        <f aca="false">IF(A3301="","",IF(F3301="Inactivo","No","Sí"))</f>
        <v/>
      </c>
      <c r="K3301" s="23" t="str">
        <f aca="false">IF(A3301="","",IF(AND(I3301="Sí",J3301="Sí"),"Sí","No"))</f>
        <v/>
      </c>
    </row>
    <row r="3302" customFormat="false" ht="15" hidden="false" customHeight="false" outlineLevel="0" collapsed="false">
      <c r="A3302" s="22"/>
      <c r="B3302" s="22"/>
      <c r="C3302" s="26" t="str">
        <f aca="false">IF(A3302="","",IFERROR(buscarx(A3302&amp;B3302,DATA!$E$3:$E$10000&amp;DATA!$B$3:$B$10000,DATA!$M$3:$M$10000),"No encontrado"))</f>
        <v/>
      </c>
      <c r="D3302" s="27" t="str">
        <f aca="false">IF(A3302="","",IFERROR(buscarx(A3302&amp;B3302,DATA!$E$3:$E$10000&amp;DATA!$B$3:$B$10000,DATA!$W$3:$W$10000),"No encontrado"))</f>
        <v/>
      </c>
      <c r="E3302" s="22"/>
      <c r="F3302" s="26" t="str">
        <f aca="false">IF(A3302="","",IFERROR(buscarx(A3302&amp;E3302,DATA!$E$3:$E$10000&amp;DATA!$B$3:$B$10000,DATA!$M$3:$M$10000),"Inactivo"))</f>
        <v/>
      </c>
      <c r="G3302" s="28" t="str">
        <f aca="false">IF(A3302="","",IF(AND(C3302&lt;&gt;"No encontrado",F3302&lt;&gt;"Inactivo"),C3302&amp;" → "&amp;F3302,"Sin transición"))</f>
        <v/>
      </c>
      <c r="H3302" s="26" t="str">
        <f aca="false">IF(A3302="","",IF(D3302="GCIA LINEA SERVICIO DIGITALIDAD Y VENTAS","Chats",IF(OR(D3302="GERENCIA INBOUND LÍNEAS SERVICIO Y VENTA",D3302="GERENCIA INBOUND LINEAS ESPECIALIZADAS"),"Llamadas","Otro")))</f>
        <v/>
      </c>
      <c r="I3302" s="26" t="str">
        <f aca="false">IF(A3302="","",IF(C3302="No encontrado","No","Sí"))</f>
        <v/>
      </c>
      <c r="J3302" s="26" t="str">
        <f aca="false">IF(A3302="","",IF(F3302="Inactivo","No","Sí"))</f>
        <v/>
      </c>
      <c r="K3302" s="26" t="str">
        <f aca="false">IF(A3302="","",IF(AND(I3302="Sí",J3302="Sí"),"Sí","No"))</f>
        <v/>
      </c>
    </row>
    <row r="3303" customFormat="false" ht="15" hidden="false" customHeight="false" outlineLevel="0" collapsed="false">
      <c r="A3303" s="22"/>
      <c r="B3303" s="22"/>
      <c r="C3303" s="23" t="str">
        <f aca="false">IF(A3303="","",IFERROR(buscarx(A3303&amp;B3303,DATA!$E$3:$E$10000&amp;DATA!$B$3:$B$10000,DATA!$M$3:$M$10000),"No encontrado"))</f>
        <v/>
      </c>
      <c r="D3303" s="24" t="str">
        <f aca="false">IF(A3303="","",IFERROR(buscarx(A3303&amp;B3303,DATA!$E$3:$E$10000&amp;DATA!$B$3:$B$10000,DATA!$W$3:$W$10000),"No encontrado"))</f>
        <v/>
      </c>
      <c r="E3303" s="22"/>
      <c r="F3303" s="23" t="str">
        <f aca="false">IF(A3303="","",IFERROR(buscarx(A3303&amp;E3303,DATA!$E$3:$E$10000&amp;DATA!$B$3:$B$10000,DATA!$M$3:$M$10000),"Inactivo"))</f>
        <v/>
      </c>
      <c r="G3303" s="25" t="str">
        <f aca="false">IF(A3303="","",IF(AND(C3303&lt;&gt;"No encontrado",F3303&lt;&gt;"Inactivo"),C3303&amp;" → "&amp;F3303,"Sin transición"))</f>
        <v/>
      </c>
      <c r="H3303" s="23" t="str">
        <f aca="false">IF(A3303="","",IF(D3303="GCIA LINEA SERVICIO DIGITALIDAD Y VENTAS","Chats",IF(OR(D3303="GERENCIA INBOUND LÍNEAS SERVICIO Y VENTA",D3303="GERENCIA INBOUND LINEAS ESPECIALIZADAS"),"Llamadas","Otro")))</f>
        <v/>
      </c>
      <c r="I3303" s="23" t="str">
        <f aca="false">IF(A3303="","",IF(C3303="No encontrado","No","Sí"))</f>
        <v/>
      </c>
      <c r="J3303" s="23" t="str">
        <f aca="false">IF(A3303="","",IF(F3303="Inactivo","No","Sí"))</f>
        <v/>
      </c>
      <c r="K3303" s="23" t="str">
        <f aca="false">IF(A3303="","",IF(AND(I3303="Sí",J3303="Sí"),"Sí","No"))</f>
        <v/>
      </c>
    </row>
    <row r="3304" customFormat="false" ht="15" hidden="false" customHeight="false" outlineLevel="0" collapsed="false">
      <c r="A3304" s="22"/>
      <c r="B3304" s="22"/>
      <c r="C3304" s="26" t="str">
        <f aca="false">IF(A3304="","",IFERROR(buscarx(A3304&amp;B3304,DATA!$E$3:$E$10000&amp;DATA!$B$3:$B$10000,DATA!$M$3:$M$10000),"No encontrado"))</f>
        <v/>
      </c>
      <c r="D3304" s="27" t="str">
        <f aca="false">IF(A3304="","",IFERROR(buscarx(A3304&amp;B3304,DATA!$E$3:$E$10000&amp;DATA!$B$3:$B$10000,DATA!$W$3:$W$10000),"No encontrado"))</f>
        <v/>
      </c>
      <c r="E3304" s="22"/>
      <c r="F3304" s="26" t="str">
        <f aca="false">IF(A3304="","",IFERROR(buscarx(A3304&amp;E3304,DATA!$E$3:$E$10000&amp;DATA!$B$3:$B$10000,DATA!$M$3:$M$10000),"Inactivo"))</f>
        <v/>
      </c>
      <c r="G3304" s="28" t="str">
        <f aca="false">IF(A3304="","",IF(AND(C3304&lt;&gt;"No encontrado",F3304&lt;&gt;"Inactivo"),C3304&amp;" → "&amp;F3304,"Sin transición"))</f>
        <v/>
      </c>
      <c r="H3304" s="26" t="str">
        <f aca="false">IF(A3304="","",IF(D3304="GCIA LINEA SERVICIO DIGITALIDAD Y VENTAS","Chats",IF(OR(D3304="GERENCIA INBOUND LÍNEAS SERVICIO Y VENTA",D3304="GERENCIA INBOUND LINEAS ESPECIALIZADAS"),"Llamadas","Otro")))</f>
        <v/>
      </c>
      <c r="I3304" s="26" t="str">
        <f aca="false">IF(A3304="","",IF(C3304="No encontrado","No","Sí"))</f>
        <v/>
      </c>
      <c r="J3304" s="26" t="str">
        <f aca="false">IF(A3304="","",IF(F3304="Inactivo","No","Sí"))</f>
        <v/>
      </c>
      <c r="K3304" s="26" t="str">
        <f aca="false">IF(A3304="","",IF(AND(I3304="Sí",J3304="Sí"),"Sí","No"))</f>
        <v/>
      </c>
    </row>
    <row r="3305" customFormat="false" ht="15" hidden="false" customHeight="false" outlineLevel="0" collapsed="false">
      <c r="A3305" s="22"/>
      <c r="B3305" s="22"/>
      <c r="C3305" s="23" t="str">
        <f aca="false">IF(A3305="","",IFERROR(buscarx(A3305&amp;B3305,DATA!$E$3:$E$10000&amp;DATA!$B$3:$B$10000,DATA!$M$3:$M$10000),"No encontrado"))</f>
        <v/>
      </c>
      <c r="D3305" s="24" t="str">
        <f aca="false">IF(A3305="","",IFERROR(buscarx(A3305&amp;B3305,DATA!$E$3:$E$10000&amp;DATA!$B$3:$B$10000,DATA!$W$3:$W$10000),"No encontrado"))</f>
        <v/>
      </c>
      <c r="E3305" s="22"/>
      <c r="F3305" s="23" t="str">
        <f aca="false">IF(A3305="","",IFERROR(buscarx(A3305&amp;E3305,DATA!$E$3:$E$10000&amp;DATA!$B$3:$B$10000,DATA!$M$3:$M$10000),"Inactivo"))</f>
        <v/>
      </c>
      <c r="G3305" s="25" t="str">
        <f aca="false">IF(A3305="","",IF(AND(C3305&lt;&gt;"No encontrado",F3305&lt;&gt;"Inactivo"),C3305&amp;" → "&amp;F3305,"Sin transición"))</f>
        <v/>
      </c>
      <c r="H3305" s="23" t="str">
        <f aca="false">IF(A3305="","",IF(D3305="GCIA LINEA SERVICIO DIGITALIDAD Y VENTAS","Chats",IF(OR(D3305="GERENCIA INBOUND LÍNEAS SERVICIO Y VENTA",D3305="GERENCIA INBOUND LINEAS ESPECIALIZADAS"),"Llamadas","Otro")))</f>
        <v/>
      </c>
      <c r="I3305" s="23" t="str">
        <f aca="false">IF(A3305="","",IF(C3305="No encontrado","No","Sí"))</f>
        <v/>
      </c>
      <c r="J3305" s="23" t="str">
        <f aca="false">IF(A3305="","",IF(F3305="Inactivo","No","Sí"))</f>
        <v/>
      </c>
      <c r="K3305" s="23" t="str">
        <f aca="false">IF(A3305="","",IF(AND(I3305="Sí",J3305="Sí"),"Sí","No"))</f>
        <v/>
      </c>
    </row>
    <row r="3306" customFormat="false" ht="15" hidden="false" customHeight="false" outlineLevel="0" collapsed="false">
      <c r="A3306" s="22"/>
      <c r="B3306" s="22"/>
      <c r="C3306" s="26" t="str">
        <f aca="false">IF(A3306="","",IFERROR(buscarx(A3306&amp;B3306,DATA!$E$3:$E$10000&amp;DATA!$B$3:$B$10000,DATA!$M$3:$M$10000),"No encontrado"))</f>
        <v/>
      </c>
      <c r="D3306" s="27" t="str">
        <f aca="false">IF(A3306="","",IFERROR(buscarx(A3306&amp;B3306,DATA!$E$3:$E$10000&amp;DATA!$B$3:$B$10000,DATA!$W$3:$W$10000),"No encontrado"))</f>
        <v/>
      </c>
      <c r="E3306" s="22"/>
      <c r="F3306" s="26" t="str">
        <f aca="false">IF(A3306="","",IFERROR(buscarx(A3306&amp;E3306,DATA!$E$3:$E$10000&amp;DATA!$B$3:$B$10000,DATA!$M$3:$M$10000),"Inactivo"))</f>
        <v/>
      </c>
      <c r="G3306" s="28" t="str">
        <f aca="false">IF(A3306="","",IF(AND(C3306&lt;&gt;"No encontrado",F3306&lt;&gt;"Inactivo"),C3306&amp;" → "&amp;F3306,"Sin transición"))</f>
        <v/>
      </c>
      <c r="H3306" s="26" t="str">
        <f aca="false">IF(A3306="","",IF(D3306="GCIA LINEA SERVICIO DIGITALIDAD Y VENTAS","Chats",IF(OR(D3306="GERENCIA INBOUND LÍNEAS SERVICIO Y VENTA",D3306="GERENCIA INBOUND LINEAS ESPECIALIZADAS"),"Llamadas","Otro")))</f>
        <v/>
      </c>
      <c r="I3306" s="26" t="str">
        <f aca="false">IF(A3306="","",IF(C3306="No encontrado","No","Sí"))</f>
        <v/>
      </c>
      <c r="J3306" s="26" t="str">
        <f aca="false">IF(A3306="","",IF(F3306="Inactivo","No","Sí"))</f>
        <v/>
      </c>
      <c r="K3306" s="26" t="str">
        <f aca="false">IF(A3306="","",IF(AND(I3306="Sí",J3306="Sí"),"Sí","No"))</f>
        <v/>
      </c>
    </row>
    <row r="3307" customFormat="false" ht="15" hidden="false" customHeight="false" outlineLevel="0" collapsed="false">
      <c r="A3307" s="22"/>
      <c r="B3307" s="22"/>
      <c r="C3307" s="23" t="str">
        <f aca="false">IF(A3307="","",IFERROR(buscarx(A3307&amp;B3307,DATA!$E$3:$E$10000&amp;DATA!$B$3:$B$10000,DATA!$M$3:$M$10000),"No encontrado"))</f>
        <v/>
      </c>
      <c r="D3307" s="24" t="str">
        <f aca="false">IF(A3307="","",IFERROR(buscarx(A3307&amp;B3307,DATA!$E$3:$E$10000&amp;DATA!$B$3:$B$10000,DATA!$W$3:$W$10000),"No encontrado"))</f>
        <v/>
      </c>
      <c r="E3307" s="22"/>
      <c r="F3307" s="23" t="str">
        <f aca="false">IF(A3307="","",IFERROR(buscarx(A3307&amp;E3307,DATA!$E$3:$E$10000&amp;DATA!$B$3:$B$10000,DATA!$M$3:$M$10000),"Inactivo"))</f>
        <v/>
      </c>
      <c r="G3307" s="25" t="str">
        <f aca="false">IF(A3307="","",IF(AND(C3307&lt;&gt;"No encontrado",F3307&lt;&gt;"Inactivo"),C3307&amp;" → "&amp;F3307,"Sin transición"))</f>
        <v/>
      </c>
      <c r="H3307" s="23" t="str">
        <f aca="false">IF(A3307="","",IF(D3307="GCIA LINEA SERVICIO DIGITALIDAD Y VENTAS","Chats",IF(OR(D3307="GERENCIA INBOUND LÍNEAS SERVICIO Y VENTA",D3307="GERENCIA INBOUND LINEAS ESPECIALIZADAS"),"Llamadas","Otro")))</f>
        <v/>
      </c>
      <c r="I3307" s="23" t="str">
        <f aca="false">IF(A3307="","",IF(C3307="No encontrado","No","Sí"))</f>
        <v/>
      </c>
      <c r="J3307" s="23" t="str">
        <f aca="false">IF(A3307="","",IF(F3307="Inactivo","No","Sí"))</f>
        <v/>
      </c>
      <c r="K3307" s="23" t="str">
        <f aca="false">IF(A3307="","",IF(AND(I3307="Sí",J3307="Sí"),"Sí","No"))</f>
        <v/>
      </c>
    </row>
    <row r="3308" customFormat="false" ht="15" hidden="false" customHeight="false" outlineLevel="0" collapsed="false">
      <c r="A3308" s="22"/>
      <c r="B3308" s="22"/>
      <c r="C3308" s="26" t="str">
        <f aca="false">IF(A3308="","",IFERROR(buscarx(A3308&amp;B3308,DATA!$E$3:$E$10000&amp;DATA!$B$3:$B$10000,DATA!$M$3:$M$10000),"No encontrado"))</f>
        <v/>
      </c>
      <c r="D3308" s="27" t="str">
        <f aca="false">IF(A3308="","",IFERROR(buscarx(A3308&amp;B3308,DATA!$E$3:$E$10000&amp;DATA!$B$3:$B$10000,DATA!$W$3:$W$10000),"No encontrado"))</f>
        <v/>
      </c>
      <c r="E3308" s="22"/>
      <c r="F3308" s="26" t="str">
        <f aca="false">IF(A3308="","",IFERROR(buscarx(A3308&amp;E3308,DATA!$E$3:$E$10000&amp;DATA!$B$3:$B$10000,DATA!$M$3:$M$10000),"Inactivo"))</f>
        <v/>
      </c>
      <c r="G3308" s="28" t="str">
        <f aca="false">IF(A3308="","",IF(AND(C3308&lt;&gt;"No encontrado",F3308&lt;&gt;"Inactivo"),C3308&amp;" → "&amp;F3308,"Sin transición"))</f>
        <v/>
      </c>
      <c r="H3308" s="26" t="str">
        <f aca="false">IF(A3308="","",IF(D3308="GCIA LINEA SERVICIO DIGITALIDAD Y VENTAS","Chats",IF(OR(D3308="GERENCIA INBOUND LÍNEAS SERVICIO Y VENTA",D3308="GERENCIA INBOUND LINEAS ESPECIALIZADAS"),"Llamadas","Otro")))</f>
        <v/>
      </c>
      <c r="I3308" s="26" t="str">
        <f aca="false">IF(A3308="","",IF(C3308="No encontrado","No","Sí"))</f>
        <v/>
      </c>
      <c r="J3308" s="26" t="str">
        <f aca="false">IF(A3308="","",IF(F3308="Inactivo","No","Sí"))</f>
        <v/>
      </c>
      <c r="K3308" s="26" t="str">
        <f aca="false">IF(A3308="","",IF(AND(I3308="Sí",J3308="Sí"),"Sí","No"))</f>
        <v/>
      </c>
    </row>
    <row r="3309" customFormat="false" ht="15" hidden="false" customHeight="false" outlineLevel="0" collapsed="false">
      <c r="A3309" s="22"/>
      <c r="B3309" s="22"/>
      <c r="C3309" s="23" t="str">
        <f aca="false">IF(A3309="","",IFERROR(buscarx(A3309&amp;B3309,DATA!$E$3:$E$10000&amp;DATA!$B$3:$B$10000,DATA!$M$3:$M$10000),"No encontrado"))</f>
        <v/>
      </c>
      <c r="D3309" s="24" t="str">
        <f aca="false">IF(A3309="","",IFERROR(buscarx(A3309&amp;B3309,DATA!$E$3:$E$10000&amp;DATA!$B$3:$B$10000,DATA!$W$3:$W$10000),"No encontrado"))</f>
        <v/>
      </c>
      <c r="E3309" s="22"/>
      <c r="F3309" s="23" t="str">
        <f aca="false">IF(A3309="","",IFERROR(buscarx(A3309&amp;E3309,DATA!$E$3:$E$10000&amp;DATA!$B$3:$B$10000,DATA!$M$3:$M$10000),"Inactivo"))</f>
        <v/>
      </c>
      <c r="G3309" s="25" t="str">
        <f aca="false">IF(A3309="","",IF(AND(C3309&lt;&gt;"No encontrado",F3309&lt;&gt;"Inactivo"),C3309&amp;" → "&amp;F3309,"Sin transición"))</f>
        <v/>
      </c>
      <c r="H3309" s="23" t="str">
        <f aca="false">IF(A3309="","",IF(D3309="GCIA LINEA SERVICIO DIGITALIDAD Y VENTAS","Chats",IF(OR(D3309="GERENCIA INBOUND LÍNEAS SERVICIO Y VENTA",D3309="GERENCIA INBOUND LINEAS ESPECIALIZADAS"),"Llamadas","Otro")))</f>
        <v/>
      </c>
      <c r="I3309" s="23" t="str">
        <f aca="false">IF(A3309="","",IF(C3309="No encontrado","No","Sí"))</f>
        <v/>
      </c>
      <c r="J3309" s="23" t="str">
        <f aca="false">IF(A3309="","",IF(F3309="Inactivo","No","Sí"))</f>
        <v/>
      </c>
      <c r="K3309" s="23" t="str">
        <f aca="false">IF(A3309="","",IF(AND(I3309="Sí",J3309="Sí"),"Sí","No"))</f>
        <v/>
      </c>
    </row>
    <row r="3310" customFormat="false" ht="15" hidden="false" customHeight="false" outlineLevel="0" collapsed="false">
      <c r="A3310" s="22"/>
      <c r="B3310" s="22"/>
      <c r="C3310" s="26" t="str">
        <f aca="false">IF(A3310="","",IFERROR(buscarx(A3310&amp;B3310,DATA!$E$3:$E$10000&amp;DATA!$B$3:$B$10000,DATA!$M$3:$M$10000),"No encontrado"))</f>
        <v/>
      </c>
      <c r="D3310" s="27" t="str">
        <f aca="false">IF(A3310="","",IFERROR(buscarx(A3310&amp;B3310,DATA!$E$3:$E$10000&amp;DATA!$B$3:$B$10000,DATA!$W$3:$W$10000),"No encontrado"))</f>
        <v/>
      </c>
      <c r="E3310" s="22"/>
      <c r="F3310" s="26" t="str">
        <f aca="false">IF(A3310="","",IFERROR(buscarx(A3310&amp;E3310,DATA!$E$3:$E$10000&amp;DATA!$B$3:$B$10000,DATA!$M$3:$M$10000),"Inactivo"))</f>
        <v/>
      </c>
      <c r="G3310" s="28" t="str">
        <f aca="false">IF(A3310="","",IF(AND(C3310&lt;&gt;"No encontrado",F3310&lt;&gt;"Inactivo"),C3310&amp;" → "&amp;F3310,"Sin transición"))</f>
        <v/>
      </c>
      <c r="H3310" s="26" t="str">
        <f aca="false">IF(A3310="","",IF(D3310="GCIA LINEA SERVICIO DIGITALIDAD Y VENTAS","Chats",IF(OR(D3310="GERENCIA INBOUND LÍNEAS SERVICIO Y VENTA",D3310="GERENCIA INBOUND LINEAS ESPECIALIZADAS"),"Llamadas","Otro")))</f>
        <v/>
      </c>
      <c r="I3310" s="26" t="str">
        <f aca="false">IF(A3310="","",IF(C3310="No encontrado","No","Sí"))</f>
        <v/>
      </c>
      <c r="J3310" s="26" t="str">
        <f aca="false">IF(A3310="","",IF(F3310="Inactivo","No","Sí"))</f>
        <v/>
      </c>
      <c r="K3310" s="26" t="str">
        <f aca="false">IF(A3310="","",IF(AND(I3310="Sí",J3310="Sí"),"Sí","No"))</f>
        <v/>
      </c>
    </row>
    <row r="3311" customFormat="false" ht="15" hidden="false" customHeight="false" outlineLevel="0" collapsed="false">
      <c r="A3311" s="22"/>
      <c r="B3311" s="22"/>
      <c r="C3311" s="23" t="str">
        <f aca="false">IF(A3311="","",IFERROR(buscarx(A3311&amp;B3311,DATA!$E$3:$E$10000&amp;DATA!$B$3:$B$10000,DATA!$M$3:$M$10000),"No encontrado"))</f>
        <v/>
      </c>
      <c r="D3311" s="24" t="str">
        <f aca="false">IF(A3311="","",IFERROR(buscarx(A3311&amp;B3311,DATA!$E$3:$E$10000&amp;DATA!$B$3:$B$10000,DATA!$W$3:$W$10000),"No encontrado"))</f>
        <v/>
      </c>
      <c r="E3311" s="22"/>
      <c r="F3311" s="23" t="str">
        <f aca="false">IF(A3311="","",IFERROR(buscarx(A3311&amp;E3311,DATA!$E$3:$E$10000&amp;DATA!$B$3:$B$10000,DATA!$M$3:$M$10000),"Inactivo"))</f>
        <v/>
      </c>
      <c r="G3311" s="25" t="str">
        <f aca="false">IF(A3311="","",IF(AND(C3311&lt;&gt;"No encontrado",F3311&lt;&gt;"Inactivo"),C3311&amp;" → "&amp;F3311,"Sin transición"))</f>
        <v/>
      </c>
      <c r="H3311" s="23" t="str">
        <f aca="false">IF(A3311="","",IF(D3311="GCIA LINEA SERVICIO DIGITALIDAD Y VENTAS","Chats",IF(OR(D3311="GERENCIA INBOUND LÍNEAS SERVICIO Y VENTA",D3311="GERENCIA INBOUND LINEAS ESPECIALIZADAS"),"Llamadas","Otro")))</f>
        <v/>
      </c>
      <c r="I3311" s="23" t="str">
        <f aca="false">IF(A3311="","",IF(C3311="No encontrado","No","Sí"))</f>
        <v/>
      </c>
      <c r="J3311" s="23" t="str">
        <f aca="false">IF(A3311="","",IF(F3311="Inactivo","No","Sí"))</f>
        <v/>
      </c>
      <c r="K3311" s="23" t="str">
        <f aca="false">IF(A3311="","",IF(AND(I3311="Sí",J3311="Sí"),"Sí","No"))</f>
        <v/>
      </c>
    </row>
    <row r="3312" customFormat="false" ht="15" hidden="false" customHeight="false" outlineLevel="0" collapsed="false">
      <c r="A3312" s="22"/>
      <c r="B3312" s="22"/>
      <c r="C3312" s="26" t="str">
        <f aca="false">IF(A3312="","",IFERROR(buscarx(A3312&amp;B3312,DATA!$E$3:$E$10000&amp;DATA!$B$3:$B$10000,DATA!$M$3:$M$10000),"No encontrado"))</f>
        <v/>
      </c>
      <c r="D3312" s="27" t="str">
        <f aca="false">IF(A3312="","",IFERROR(buscarx(A3312&amp;B3312,DATA!$E$3:$E$10000&amp;DATA!$B$3:$B$10000,DATA!$W$3:$W$10000),"No encontrado"))</f>
        <v/>
      </c>
      <c r="E3312" s="22"/>
      <c r="F3312" s="26" t="str">
        <f aca="false">IF(A3312="","",IFERROR(buscarx(A3312&amp;E3312,DATA!$E$3:$E$10000&amp;DATA!$B$3:$B$10000,DATA!$M$3:$M$10000),"Inactivo"))</f>
        <v/>
      </c>
      <c r="G3312" s="28" t="str">
        <f aca="false">IF(A3312="","",IF(AND(C3312&lt;&gt;"No encontrado",F3312&lt;&gt;"Inactivo"),C3312&amp;" → "&amp;F3312,"Sin transición"))</f>
        <v/>
      </c>
      <c r="H3312" s="26" t="str">
        <f aca="false">IF(A3312="","",IF(D3312="GCIA LINEA SERVICIO DIGITALIDAD Y VENTAS","Chats",IF(OR(D3312="GERENCIA INBOUND LÍNEAS SERVICIO Y VENTA",D3312="GERENCIA INBOUND LINEAS ESPECIALIZADAS"),"Llamadas","Otro")))</f>
        <v/>
      </c>
      <c r="I3312" s="26" t="str">
        <f aca="false">IF(A3312="","",IF(C3312="No encontrado","No","Sí"))</f>
        <v/>
      </c>
      <c r="J3312" s="26" t="str">
        <f aca="false">IF(A3312="","",IF(F3312="Inactivo","No","Sí"))</f>
        <v/>
      </c>
      <c r="K3312" s="26" t="str">
        <f aca="false">IF(A3312="","",IF(AND(I3312="Sí",J3312="Sí"),"Sí","No"))</f>
        <v/>
      </c>
    </row>
    <row r="3313" customFormat="false" ht="15" hidden="false" customHeight="false" outlineLevel="0" collapsed="false">
      <c r="A3313" s="22"/>
      <c r="B3313" s="22"/>
      <c r="C3313" s="23" t="str">
        <f aca="false">IF(A3313="","",IFERROR(buscarx(A3313&amp;B3313,DATA!$E$3:$E$10000&amp;DATA!$B$3:$B$10000,DATA!$M$3:$M$10000),"No encontrado"))</f>
        <v/>
      </c>
      <c r="D3313" s="24" t="str">
        <f aca="false">IF(A3313="","",IFERROR(buscarx(A3313&amp;B3313,DATA!$E$3:$E$10000&amp;DATA!$B$3:$B$10000,DATA!$W$3:$W$10000),"No encontrado"))</f>
        <v/>
      </c>
      <c r="E3313" s="22"/>
      <c r="F3313" s="23" t="str">
        <f aca="false">IF(A3313="","",IFERROR(buscarx(A3313&amp;E3313,DATA!$E$3:$E$10000&amp;DATA!$B$3:$B$10000,DATA!$M$3:$M$10000),"Inactivo"))</f>
        <v/>
      </c>
      <c r="G3313" s="25" t="str">
        <f aca="false">IF(A3313="","",IF(AND(C3313&lt;&gt;"No encontrado",F3313&lt;&gt;"Inactivo"),C3313&amp;" → "&amp;F3313,"Sin transición"))</f>
        <v/>
      </c>
      <c r="H3313" s="23" t="str">
        <f aca="false">IF(A3313="","",IF(D3313="GCIA LINEA SERVICIO DIGITALIDAD Y VENTAS","Chats",IF(OR(D3313="GERENCIA INBOUND LÍNEAS SERVICIO Y VENTA",D3313="GERENCIA INBOUND LINEAS ESPECIALIZADAS"),"Llamadas","Otro")))</f>
        <v/>
      </c>
      <c r="I3313" s="23" t="str">
        <f aca="false">IF(A3313="","",IF(C3313="No encontrado","No","Sí"))</f>
        <v/>
      </c>
      <c r="J3313" s="23" t="str">
        <f aca="false">IF(A3313="","",IF(F3313="Inactivo","No","Sí"))</f>
        <v/>
      </c>
      <c r="K3313" s="23" t="str">
        <f aca="false">IF(A3313="","",IF(AND(I3313="Sí",J3313="Sí"),"Sí","No"))</f>
        <v/>
      </c>
    </row>
    <row r="3314" customFormat="false" ht="15" hidden="false" customHeight="false" outlineLevel="0" collapsed="false">
      <c r="A3314" s="22"/>
      <c r="B3314" s="22"/>
      <c r="C3314" s="26" t="str">
        <f aca="false">IF(A3314="","",IFERROR(buscarx(A3314&amp;B3314,DATA!$E$3:$E$10000&amp;DATA!$B$3:$B$10000,DATA!$M$3:$M$10000),"No encontrado"))</f>
        <v/>
      </c>
      <c r="D3314" s="27" t="str">
        <f aca="false">IF(A3314="","",IFERROR(buscarx(A3314&amp;B3314,DATA!$E$3:$E$10000&amp;DATA!$B$3:$B$10000,DATA!$W$3:$W$10000),"No encontrado"))</f>
        <v/>
      </c>
      <c r="E3314" s="22"/>
      <c r="F3314" s="26" t="str">
        <f aca="false">IF(A3314="","",IFERROR(buscarx(A3314&amp;E3314,DATA!$E$3:$E$10000&amp;DATA!$B$3:$B$10000,DATA!$M$3:$M$10000),"Inactivo"))</f>
        <v/>
      </c>
      <c r="G3314" s="28" t="str">
        <f aca="false">IF(A3314="","",IF(AND(C3314&lt;&gt;"No encontrado",F3314&lt;&gt;"Inactivo"),C3314&amp;" → "&amp;F3314,"Sin transición"))</f>
        <v/>
      </c>
      <c r="H3314" s="26" t="str">
        <f aca="false">IF(A3314="","",IF(D3314="GCIA LINEA SERVICIO DIGITALIDAD Y VENTAS","Chats",IF(OR(D3314="GERENCIA INBOUND LÍNEAS SERVICIO Y VENTA",D3314="GERENCIA INBOUND LINEAS ESPECIALIZADAS"),"Llamadas","Otro")))</f>
        <v/>
      </c>
      <c r="I3314" s="26" t="str">
        <f aca="false">IF(A3314="","",IF(C3314="No encontrado","No","Sí"))</f>
        <v/>
      </c>
      <c r="J3314" s="26" t="str">
        <f aca="false">IF(A3314="","",IF(F3314="Inactivo","No","Sí"))</f>
        <v/>
      </c>
      <c r="K3314" s="26" t="str">
        <f aca="false">IF(A3314="","",IF(AND(I3314="Sí",J3314="Sí"),"Sí","No"))</f>
        <v/>
      </c>
    </row>
    <row r="3315" customFormat="false" ht="15" hidden="false" customHeight="false" outlineLevel="0" collapsed="false">
      <c r="A3315" s="22"/>
      <c r="B3315" s="22"/>
      <c r="C3315" s="23" t="str">
        <f aca="false">IF(A3315="","",IFERROR(buscarx(A3315&amp;B3315,DATA!$E$3:$E$10000&amp;DATA!$B$3:$B$10000,DATA!$M$3:$M$10000),"No encontrado"))</f>
        <v/>
      </c>
      <c r="D3315" s="24" t="str">
        <f aca="false">IF(A3315="","",IFERROR(buscarx(A3315&amp;B3315,DATA!$E$3:$E$10000&amp;DATA!$B$3:$B$10000,DATA!$W$3:$W$10000),"No encontrado"))</f>
        <v/>
      </c>
      <c r="E3315" s="22"/>
      <c r="F3315" s="23" t="str">
        <f aca="false">IF(A3315="","",IFERROR(buscarx(A3315&amp;E3315,DATA!$E$3:$E$10000&amp;DATA!$B$3:$B$10000,DATA!$M$3:$M$10000),"Inactivo"))</f>
        <v/>
      </c>
      <c r="G3315" s="25" t="str">
        <f aca="false">IF(A3315="","",IF(AND(C3315&lt;&gt;"No encontrado",F3315&lt;&gt;"Inactivo"),C3315&amp;" → "&amp;F3315,"Sin transición"))</f>
        <v/>
      </c>
      <c r="H3315" s="23" t="str">
        <f aca="false">IF(A3315="","",IF(D3315="GCIA LINEA SERVICIO DIGITALIDAD Y VENTAS","Chats",IF(OR(D3315="GERENCIA INBOUND LÍNEAS SERVICIO Y VENTA",D3315="GERENCIA INBOUND LINEAS ESPECIALIZADAS"),"Llamadas","Otro")))</f>
        <v/>
      </c>
      <c r="I3315" s="23" t="str">
        <f aca="false">IF(A3315="","",IF(C3315="No encontrado","No","Sí"))</f>
        <v/>
      </c>
      <c r="J3315" s="23" t="str">
        <f aca="false">IF(A3315="","",IF(F3315="Inactivo","No","Sí"))</f>
        <v/>
      </c>
      <c r="K3315" s="23" t="str">
        <f aca="false">IF(A3315="","",IF(AND(I3315="Sí",J3315="Sí"),"Sí","No"))</f>
        <v/>
      </c>
    </row>
    <row r="3316" customFormat="false" ht="15" hidden="false" customHeight="false" outlineLevel="0" collapsed="false">
      <c r="A3316" s="22"/>
      <c r="B3316" s="22"/>
      <c r="C3316" s="26" t="str">
        <f aca="false">IF(A3316="","",IFERROR(buscarx(A3316&amp;B3316,DATA!$E$3:$E$10000&amp;DATA!$B$3:$B$10000,DATA!$M$3:$M$10000),"No encontrado"))</f>
        <v/>
      </c>
      <c r="D3316" s="27" t="str">
        <f aca="false">IF(A3316="","",IFERROR(buscarx(A3316&amp;B3316,DATA!$E$3:$E$10000&amp;DATA!$B$3:$B$10000,DATA!$W$3:$W$10000),"No encontrado"))</f>
        <v/>
      </c>
      <c r="E3316" s="22"/>
      <c r="F3316" s="26" t="str">
        <f aca="false">IF(A3316="","",IFERROR(buscarx(A3316&amp;E3316,DATA!$E$3:$E$10000&amp;DATA!$B$3:$B$10000,DATA!$M$3:$M$10000),"Inactivo"))</f>
        <v/>
      </c>
      <c r="G3316" s="28" t="str">
        <f aca="false">IF(A3316="","",IF(AND(C3316&lt;&gt;"No encontrado",F3316&lt;&gt;"Inactivo"),C3316&amp;" → "&amp;F3316,"Sin transición"))</f>
        <v/>
      </c>
      <c r="H3316" s="26" t="str">
        <f aca="false">IF(A3316="","",IF(D3316="GCIA LINEA SERVICIO DIGITALIDAD Y VENTAS","Chats",IF(OR(D3316="GERENCIA INBOUND LÍNEAS SERVICIO Y VENTA",D3316="GERENCIA INBOUND LINEAS ESPECIALIZADAS"),"Llamadas","Otro")))</f>
        <v/>
      </c>
      <c r="I3316" s="26" t="str">
        <f aca="false">IF(A3316="","",IF(C3316="No encontrado","No","Sí"))</f>
        <v/>
      </c>
      <c r="J3316" s="26" t="str">
        <f aca="false">IF(A3316="","",IF(F3316="Inactivo","No","Sí"))</f>
        <v/>
      </c>
      <c r="K3316" s="26" t="str">
        <f aca="false">IF(A3316="","",IF(AND(I3316="Sí",J3316="Sí"),"Sí","No"))</f>
        <v/>
      </c>
    </row>
    <row r="3317" customFormat="false" ht="15" hidden="false" customHeight="false" outlineLevel="0" collapsed="false">
      <c r="A3317" s="22"/>
      <c r="B3317" s="22"/>
      <c r="C3317" s="23" t="str">
        <f aca="false">IF(A3317="","",IFERROR(buscarx(A3317&amp;B3317,DATA!$E$3:$E$10000&amp;DATA!$B$3:$B$10000,DATA!$M$3:$M$10000),"No encontrado"))</f>
        <v/>
      </c>
      <c r="D3317" s="24" t="str">
        <f aca="false">IF(A3317="","",IFERROR(buscarx(A3317&amp;B3317,DATA!$E$3:$E$10000&amp;DATA!$B$3:$B$10000,DATA!$W$3:$W$10000),"No encontrado"))</f>
        <v/>
      </c>
      <c r="E3317" s="22"/>
      <c r="F3317" s="23" t="str">
        <f aca="false">IF(A3317="","",IFERROR(buscarx(A3317&amp;E3317,DATA!$E$3:$E$10000&amp;DATA!$B$3:$B$10000,DATA!$M$3:$M$10000),"Inactivo"))</f>
        <v/>
      </c>
      <c r="G3317" s="25" t="str">
        <f aca="false">IF(A3317="","",IF(AND(C3317&lt;&gt;"No encontrado",F3317&lt;&gt;"Inactivo"),C3317&amp;" → "&amp;F3317,"Sin transición"))</f>
        <v/>
      </c>
      <c r="H3317" s="23" t="str">
        <f aca="false">IF(A3317="","",IF(D3317="GCIA LINEA SERVICIO DIGITALIDAD Y VENTAS","Chats",IF(OR(D3317="GERENCIA INBOUND LÍNEAS SERVICIO Y VENTA",D3317="GERENCIA INBOUND LINEAS ESPECIALIZADAS"),"Llamadas","Otro")))</f>
        <v/>
      </c>
      <c r="I3317" s="23" t="str">
        <f aca="false">IF(A3317="","",IF(C3317="No encontrado","No","Sí"))</f>
        <v/>
      </c>
      <c r="J3317" s="23" t="str">
        <f aca="false">IF(A3317="","",IF(F3317="Inactivo","No","Sí"))</f>
        <v/>
      </c>
      <c r="K3317" s="23" t="str">
        <f aca="false">IF(A3317="","",IF(AND(I3317="Sí",J3317="Sí"),"Sí","No"))</f>
        <v/>
      </c>
    </row>
    <row r="3318" customFormat="false" ht="15" hidden="false" customHeight="false" outlineLevel="0" collapsed="false">
      <c r="A3318" s="22"/>
      <c r="B3318" s="22"/>
      <c r="C3318" s="26" t="str">
        <f aca="false">IF(A3318="","",IFERROR(buscarx(A3318&amp;B3318,DATA!$E$3:$E$10000&amp;DATA!$B$3:$B$10000,DATA!$M$3:$M$10000),"No encontrado"))</f>
        <v/>
      </c>
      <c r="D3318" s="27" t="str">
        <f aca="false">IF(A3318="","",IFERROR(buscarx(A3318&amp;B3318,DATA!$E$3:$E$10000&amp;DATA!$B$3:$B$10000,DATA!$W$3:$W$10000),"No encontrado"))</f>
        <v/>
      </c>
      <c r="E3318" s="22"/>
      <c r="F3318" s="26" t="str">
        <f aca="false">IF(A3318="","",IFERROR(buscarx(A3318&amp;E3318,DATA!$E$3:$E$10000&amp;DATA!$B$3:$B$10000,DATA!$M$3:$M$10000),"Inactivo"))</f>
        <v/>
      </c>
      <c r="G3318" s="28" t="str">
        <f aca="false">IF(A3318="","",IF(AND(C3318&lt;&gt;"No encontrado",F3318&lt;&gt;"Inactivo"),C3318&amp;" → "&amp;F3318,"Sin transición"))</f>
        <v/>
      </c>
      <c r="H3318" s="26" t="str">
        <f aca="false">IF(A3318="","",IF(D3318="GCIA LINEA SERVICIO DIGITALIDAD Y VENTAS","Chats",IF(OR(D3318="GERENCIA INBOUND LÍNEAS SERVICIO Y VENTA",D3318="GERENCIA INBOUND LINEAS ESPECIALIZADAS"),"Llamadas","Otro")))</f>
        <v/>
      </c>
      <c r="I3318" s="26" t="str">
        <f aca="false">IF(A3318="","",IF(C3318="No encontrado","No","Sí"))</f>
        <v/>
      </c>
      <c r="J3318" s="26" t="str">
        <f aca="false">IF(A3318="","",IF(F3318="Inactivo","No","Sí"))</f>
        <v/>
      </c>
      <c r="K3318" s="26" t="str">
        <f aca="false">IF(A3318="","",IF(AND(I3318="Sí",J3318="Sí"),"Sí","No"))</f>
        <v/>
      </c>
    </row>
    <row r="3319" customFormat="false" ht="15" hidden="false" customHeight="false" outlineLevel="0" collapsed="false">
      <c r="A3319" s="22"/>
      <c r="B3319" s="22"/>
      <c r="C3319" s="23" t="str">
        <f aca="false">IF(A3319="","",IFERROR(buscarx(A3319&amp;B3319,DATA!$E$3:$E$10000&amp;DATA!$B$3:$B$10000,DATA!$M$3:$M$10000),"No encontrado"))</f>
        <v/>
      </c>
      <c r="D3319" s="24" t="str">
        <f aca="false">IF(A3319="","",IFERROR(buscarx(A3319&amp;B3319,DATA!$E$3:$E$10000&amp;DATA!$B$3:$B$10000,DATA!$W$3:$W$10000),"No encontrado"))</f>
        <v/>
      </c>
      <c r="E3319" s="22"/>
      <c r="F3319" s="23" t="str">
        <f aca="false">IF(A3319="","",IFERROR(buscarx(A3319&amp;E3319,DATA!$E$3:$E$10000&amp;DATA!$B$3:$B$10000,DATA!$M$3:$M$10000),"Inactivo"))</f>
        <v/>
      </c>
      <c r="G3319" s="25" t="str">
        <f aca="false">IF(A3319="","",IF(AND(C3319&lt;&gt;"No encontrado",F3319&lt;&gt;"Inactivo"),C3319&amp;" → "&amp;F3319,"Sin transición"))</f>
        <v/>
      </c>
      <c r="H3319" s="23" t="str">
        <f aca="false">IF(A3319="","",IF(D3319="GCIA LINEA SERVICIO DIGITALIDAD Y VENTAS","Chats",IF(OR(D3319="GERENCIA INBOUND LÍNEAS SERVICIO Y VENTA",D3319="GERENCIA INBOUND LINEAS ESPECIALIZADAS"),"Llamadas","Otro")))</f>
        <v/>
      </c>
      <c r="I3319" s="23" t="str">
        <f aca="false">IF(A3319="","",IF(C3319="No encontrado","No","Sí"))</f>
        <v/>
      </c>
      <c r="J3319" s="23" t="str">
        <f aca="false">IF(A3319="","",IF(F3319="Inactivo","No","Sí"))</f>
        <v/>
      </c>
      <c r="K3319" s="23" t="str">
        <f aca="false">IF(A3319="","",IF(AND(I3319="Sí",J3319="Sí"),"Sí","No"))</f>
        <v/>
      </c>
    </row>
    <row r="3320" customFormat="false" ht="15" hidden="false" customHeight="false" outlineLevel="0" collapsed="false">
      <c r="A3320" s="22"/>
      <c r="B3320" s="22"/>
      <c r="C3320" s="26" t="str">
        <f aca="false">IF(A3320="","",IFERROR(buscarx(A3320&amp;B3320,DATA!$E$3:$E$10000&amp;DATA!$B$3:$B$10000,DATA!$M$3:$M$10000),"No encontrado"))</f>
        <v/>
      </c>
      <c r="D3320" s="27" t="str">
        <f aca="false">IF(A3320="","",IFERROR(buscarx(A3320&amp;B3320,DATA!$E$3:$E$10000&amp;DATA!$B$3:$B$10000,DATA!$W$3:$W$10000),"No encontrado"))</f>
        <v/>
      </c>
      <c r="E3320" s="22"/>
      <c r="F3320" s="26" t="str">
        <f aca="false">IF(A3320="","",IFERROR(buscarx(A3320&amp;E3320,DATA!$E$3:$E$10000&amp;DATA!$B$3:$B$10000,DATA!$M$3:$M$10000),"Inactivo"))</f>
        <v/>
      </c>
      <c r="G3320" s="28" t="str">
        <f aca="false">IF(A3320="","",IF(AND(C3320&lt;&gt;"No encontrado",F3320&lt;&gt;"Inactivo"),C3320&amp;" → "&amp;F3320,"Sin transición"))</f>
        <v/>
      </c>
      <c r="H3320" s="26" t="str">
        <f aca="false">IF(A3320="","",IF(D3320="GCIA LINEA SERVICIO DIGITALIDAD Y VENTAS","Chats",IF(OR(D3320="GERENCIA INBOUND LÍNEAS SERVICIO Y VENTA",D3320="GERENCIA INBOUND LINEAS ESPECIALIZADAS"),"Llamadas","Otro")))</f>
        <v/>
      </c>
      <c r="I3320" s="26" t="str">
        <f aca="false">IF(A3320="","",IF(C3320="No encontrado","No","Sí"))</f>
        <v/>
      </c>
      <c r="J3320" s="26" t="str">
        <f aca="false">IF(A3320="","",IF(F3320="Inactivo","No","Sí"))</f>
        <v/>
      </c>
      <c r="K3320" s="26" t="str">
        <f aca="false">IF(A3320="","",IF(AND(I3320="Sí",J3320="Sí"),"Sí","No"))</f>
        <v/>
      </c>
    </row>
    <row r="3321" customFormat="false" ht="15" hidden="false" customHeight="false" outlineLevel="0" collapsed="false">
      <c r="A3321" s="22"/>
      <c r="B3321" s="22"/>
      <c r="C3321" s="23" t="str">
        <f aca="false">IF(A3321="","",IFERROR(buscarx(A3321&amp;B3321,DATA!$E$3:$E$10000&amp;DATA!$B$3:$B$10000,DATA!$M$3:$M$10000),"No encontrado"))</f>
        <v/>
      </c>
      <c r="D3321" s="24" t="str">
        <f aca="false">IF(A3321="","",IFERROR(buscarx(A3321&amp;B3321,DATA!$E$3:$E$10000&amp;DATA!$B$3:$B$10000,DATA!$W$3:$W$10000),"No encontrado"))</f>
        <v/>
      </c>
      <c r="E3321" s="22"/>
      <c r="F3321" s="23" t="str">
        <f aca="false">IF(A3321="","",IFERROR(buscarx(A3321&amp;E3321,DATA!$E$3:$E$10000&amp;DATA!$B$3:$B$10000,DATA!$M$3:$M$10000),"Inactivo"))</f>
        <v/>
      </c>
      <c r="G3321" s="25" t="str">
        <f aca="false">IF(A3321="","",IF(AND(C3321&lt;&gt;"No encontrado",F3321&lt;&gt;"Inactivo"),C3321&amp;" → "&amp;F3321,"Sin transición"))</f>
        <v/>
      </c>
      <c r="H3321" s="23" t="str">
        <f aca="false">IF(A3321="","",IF(D3321="GCIA LINEA SERVICIO DIGITALIDAD Y VENTAS","Chats",IF(OR(D3321="GERENCIA INBOUND LÍNEAS SERVICIO Y VENTA",D3321="GERENCIA INBOUND LINEAS ESPECIALIZADAS"),"Llamadas","Otro")))</f>
        <v/>
      </c>
      <c r="I3321" s="23" t="str">
        <f aca="false">IF(A3321="","",IF(C3321="No encontrado","No","Sí"))</f>
        <v/>
      </c>
      <c r="J3321" s="23" t="str">
        <f aca="false">IF(A3321="","",IF(F3321="Inactivo","No","Sí"))</f>
        <v/>
      </c>
      <c r="K3321" s="23" t="str">
        <f aca="false">IF(A3321="","",IF(AND(I3321="Sí",J3321="Sí"),"Sí","No"))</f>
        <v/>
      </c>
    </row>
    <row r="3322" customFormat="false" ht="15" hidden="false" customHeight="false" outlineLevel="0" collapsed="false">
      <c r="A3322" s="22"/>
      <c r="B3322" s="22"/>
      <c r="C3322" s="26" t="str">
        <f aca="false">IF(A3322="","",IFERROR(buscarx(A3322&amp;B3322,DATA!$E$3:$E$10000&amp;DATA!$B$3:$B$10000,DATA!$M$3:$M$10000),"No encontrado"))</f>
        <v/>
      </c>
      <c r="D3322" s="27" t="str">
        <f aca="false">IF(A3322="","",IFERROR(buscarx(A3322&amp;B3322,DATA!$E$3:$E$10000&amp;DATA!$B$3:$B$10000,DATA!$W$3:$W$10000),"No encontrado"))</f>
        <v/>
      </c>
      <c r="E3322" s="22"/>
      <c r="F3322" s="26" t="str">
        <f aca="false">IF(A3322="","",IFERROR(buscarx(A3322&amp;E3322,DATA!$E$3:$E$10000&amp;DATA!$B$3:$B$10000,DATA!$M$3:$M$10000),"Inactivo"))</f>
        <v/>
      </c>
      <c r="G3322" s="28" t="str">
        <f aca="false">IF(A3322="","",IF(AND(C3322&lt;&gt;"No encontrado",F3322&lt;&gt;"Inactivo"),C3322&amp;" → "&amp;F3322,"Sin transición"))</f>
        <v/>
      </c>
      <c r="H3322" s="26" t="str">
        <f aca="false">IF(A3322="","",IF(D3322="GCIA LINEA SERVICIO DIGITALIDAD Y VENTAS","Chats",IF(OR(D3322="GERENCIA INBOUND LÍNEAS SERVICIO Y VENTA",D3322="GERENCIA INBOUND LINEAS ESPECIALIZADAS"),"Llamadas","Otro")))</f>
        <v/>
      </c>
      <c r="I3322" s="26" t="str">
        <f aca="false">IF(A3322="","",IF(C3322="No encontrado","No","Sí"))</f>
        <v/>
      </c>
      <c r="J3322" s="26" t="str">
        <f aca="false">IF(A3322="","",IF(F3322="Inactivo","No","Sí"))</f>
        <v/>
      </c>
      <c r="K3322" s="26" t="str">
        <f aca="false">IF(A3322="","",IF(AND(I3322="Sí",J3322="Sí"),"Sí","No"))</f>
        <v/>
      </c>
    </row>
    <row r="3323" customFormat="false" ht="15" hidden="false" customHeight="false" outlineLevel="0" collapsed="false">
      <c r="A3323" s="22"/>
      <c r="B3323" s="22"/>
      <c r="C3323" s="23" t="str">
        <f aca="false">IF(A3323="","",IFERROR(buscarx(A3323&amp;B3323,DATA!$E$3:$E$10000&amp;DATA!$B$3:$B$10000,DATA!$M$3:$M$10000),"No encontrado"))</f>
        <v/>
      </c>
      <c r="D3323" s="24" t="str">
        <f aca="false">IF(A3323="","",IFERROR(buscarx(A3323&amp;B3323,DATA!$E$3:$E$10000&amp;DATA!$B$3:$B$10000,DATA!$W$3:$W$10000),"No encontrado"))</f>
        <v/>
      </c>
      <c r="E3323" s="22"/>
      <c r="F3323" s="23" t="str">
        <f aca="false">IF(A3323="","",IFERROR(buscarx(A3323&amp;E3323,DATA!$E$3:$E$10000&amp;DATA!$B$3:$B$10000,DATA!$M$3:$M$10000),"Inactivo"))</f>
        <v/>
      </c>
      <c r="G3323" s="25" t="str">
        <f aca="false">IF(A3323="","",IF(AND(C3323&lt;&gt;"No encontrado",F3323&lt;&gt;"Inactivo"),C3323&amp;" → "&amp;F3323,"Sin transición"))</f>
        <v/>
      </c>
      <c r="H3323" s="23" t="str">
        <f aca="false">IF(A3323="","",IF(D3323="GCIA LINEA SERVICIO DIGITALIDAD Y VENTAS","Chats",IF(OR(D3323="GERENCIA INBOUND LÍNEAS SERVICIO Y VENTA",D3323="GERENCIA INBOUND LINEAS ESPECIALIZADAS"),"Llamadas","Otro")))</f>
        <v/>
      </c>
      <c r="I3323" s="23" t="str">
        <f aca="false">IF(A3323="","",IF(C3323="No encontrado","No","Sí"))</f>
        <v/>
      </c>
      <c r="J3323" s="23" t="str">
        <f aca="false">IF(A3323="","",IF(F3323="Inactivo","No","Sí"))</f>
        <v/>
      </c>
      <c r="K3323" s="23" t="str">
        <f aca="false">IF(A3323="","",IF(AND(I3323="Sí",J3323="Sí"),"Sí","No"))</f>
        <v/>
      </c>
    </row>
    <row r="3324" customFormat="false" ht="15" hidden="false" customHeight="false" outlineLevel="0" collapsed="false">
      <c r="A3324" s="22"/>
      <c r="B3324" s="22"/>
      <c r="C3324" s="26" t="str">
        <f aca="false">IF(A3324="","",IFERROR(buscarx(A3324&amp;B3324,DATA!$E$3:$E$10000&amp;DATA!$B$3:$B$10000,DATA!$M$3:$M$10000),"No encontrado"))</f>
        <v/>
      </c>
      <c r="D3324" s="27" t="str">
        <f aca="false">IF(A3324="","",IFERROR(buscarx(A3324&amp;B3324,DATA!$E$3:$E$10000&amp;DATA!$B$3:$B$10000,DATA!$W$3:$W$10000),"No encontrado"))</f>
        <v/>
      </c>
      <c r="E3324" s="22"/>
      <c r="F3324" s="26" t="str">
        <f aca="false">IF(A3324="","",IFERROR(buscarx(A3324&amp;E3324,DATA!$E$3:$E$10000&amp;DATA!$B$3:$B$10000,DATA!$M$3:$M$10000),"Inactivo"))</f>
        <v/>
      </c>
      <c r="G3324" s="28" t="str">
        <f aca="false">IF(A3324="","",IF(AND(C3324&lt;&gt;"No encontrado",F3324&lt;&gt;"Inactivo"),C3324&amp;" → "&amp;F3324,"Sin transición"))</f>
        <v/>
      </c>
      <c r="H3324" s="26" t="str">
        <f aca="false">IF(A3324="","",IF(D3324="GCIA LINEA SERVICIO DIGITALIDAD Y VENTAS","Chats",IF(OR(D3324="GERENCIA INBOUND LÍNEAS SERVICIO Y VENTA",D3324="GERENCIA INBOUND LINEAS ESPECIALIZADAS"),"Llamadas","Otro")))</f>
        <v/>
      </c>
      <c r="I3324" s="26" t="str">
        <f aca="false">IF(A3324="","",IF(C3324="No encontrado","No","Sí"))</f>
        <v/>
      </c>
      <c r="J3324" s="26" t="str">
        <f aca="false">IF(A3324="","",IF(F3324="Inactivo","No","Sí"))</f>
        <v/>
      </c>
      <c r="K3324" s="26" t="str">
        <f aca="false">IF(A3324="","",IF(AND(I3324="Sí",J3324="Sí"),"Sí","No"))</f>
        <v/>
      </c>
    </row>
    <row r="3325" customFormat="false" ht="15" hidden="false" customHeight="false" outlineLevel="0" collapsed="false">
      <c r="A3325" s="22"/>
      <c r="B3325" s="22"/>
      <c r="C3325" s="23" t="str">
        <f aca="false">IF(A3325="","",IFERROR(buscarx(A3325&amp;B3325,DATA!$E$3:$E$10000&amp;DATA!$B$3:$B$10000,DATA!$M$3:$M$10000),"No encontrado"))</f>
        <v/>
      </c>
      <c r="D3325" s="24" t="str">
        <f aca="false">IF(A3325="","",IFERROR(buscarx(A3325&amp;B3325,DATA!$E$3:$E$10000&amp;DATA!$B$3:$B$10000,DATA!$W$3:$W$10000),"No encontrado"))</f>
        <v/>
      </c>
      <c r="E3325" s="22"/>
      <c r="F3325" s="23" t="str">
        <f aca="false">IF(A3325="","",IFERROR(buscarx(A3325&amp;E3325,DATA!$E$3:$E$10000&amp;DATA!$B$3:$B$10000,DATA!$M$3:$M$10000),"Inactivo"))</f>
        <v/>
      </c>
      <c r="G3325" s="25" t="str">
        <f aca="false">IF(A3325="","",IF(AND(C3325&lt;&gt;"No encontrado",F3325&lt;&gt;"Inactivo"),C3325&amp;" → "&amp;F3325,"Sin transición"))</f>
        <v/>
      </c>
      <c r="H3325" s="23" t="str">
        <f aca="false">IF(A3325="","",IF(D3325="GCIA LINEA SERVICIO DIGITALIDAD Y VENTAS","Chats",IF(OR(D3325="GERENCIA INBOUND LÍNEAS SERVICIO Y VENTA",D3325="GERENCIA INBOUND LINEAS ESPECIALIZADAS"),"Llamadas","Otro")))</f>
        <v/>
      </c>
      <c r="I3325" s="23" t="str">
        <f aca="false">IF(A3325="","",IF(C3325="No encontrado","No","Sí"))</f>
        <v/>
      </c>
      <c r="J3325" s="23" t="str">
        <f aca="false">IF(A3325="","",IF(F3325="Inactivo","No","Sí"))</f>
        <v/>
      </c>
      <c r="K3325" s="23" t="str">
        <f aca="false">IF(A3325="","",IF(AND(I3325="Sí",J3325="Sí"),"Sí","No"))</f>
        <v/>
      </c>
    </row>
    <row r="3326" customFormat="false" ht="15" hidden="false" customHeight="false" outlineLevel="0" collapsed="false">
      <c r="A3326" s="22"/>
      <c r="B3326" s="22"/>
      <c r="C3326" s="26" t="str">
        <f aca="false">IF(A3326="","",IFERROR(buscarx(A3326&amp;B3326,DATA!$E$3:$E$10000&amp;DATA!$B$3:$B$10000,DATA!$M$3:$M$10000),"No encontrado"))</f>
        <v/>
      </c>
      <c r="D3326" s="27" t="str">
        <f aca="false">IF(A3326="","",IFERROR(buscarx(A3326&amp;B3326,DATA!$E$3:$E$10000&amp;DATA!$B$3:$B$10000,DATA!$W$3:$W$10000),"No encontrado"))</f>
        <v/>
      </c>
      <c r="E3326" s="22"/>
      <c r="F3326" s="26" t="str">
        <f aca="false">IF(A3326="","",IFERROR(buscarx(A3326&amp;E3326,DATA!$E$3:$E$10000&amp;DATA!$B$3:$B$10000,DATA!$M$3:$M$10000),"Inactivo"))</f>
        <v/>
      </c>
      <c r="G3326" s="28" t="str">
        <f aca="false">IF(A3326="","",IF(AND(C3326&lt;&gt;"No encontrado",F3326&lt;&gt;"Inactivo"),C3326&amp;" → "&amp;F3326,"Sin transición"))</f>
        <v/>
      </c>
      <c r="H3326" s="26" t="str">
        <f aca="false">IF(A3326="","",IF(D3326="GCIA LINEA SERVICIO DIGITALIDAD Y VENTAS","Chats",IF(OR(D3326="GERENCIA INBOUND LÍNEAS SERVICIO Y VENTA",D3326="GERENCIA INBOUND LINEAS ESPECIALIZADAS"),"Llamadas","Otro")))</f>
        <v/>
      </c>
      <c r="I3326" s="26" t="str">
        <f aca="false">IF(A3326="","",IF(C3326="No encontrado","No","Sí"))</f>
        <v/>
      </c>
      <c r="J3326" s="26" t="str">
        <f aca="false">IF(A3326="","",IF(F3326="Inactivo","No","Sí"))</f>
        <v/>
      </c>
      <c r="K3326" s="26" t="str">
        <f aca="false">IF(A3326="","",IF(AND(I3326="Sí",J3326="Sí"),"Sí","No"))</f>
        <v/>
      </c>
    </row>
    <row r="3327" customFormat="false" ht="15" hidden="false" customHeight="false" outlineLevel="0" collapsed="false">
      <c r="A3327" s="22"/>
      <c r="B3327" s="22"/>
      <c r="C3327" s="23" t="str">
        <f aca="false">IF(A3327="","",IFERROR(buscarx(A3327&amp;B3327,DATA!$E$3:$E$10000&amp;DATA!$B$3:$B$10000,DATA!$M$3:$M$10000),"No encontrado"))</f>
        <v/>
      </c>
      <c r="D3327" s="24" t="str">
        <f aca="false">IF(A3327="","",IFERROR(buscarx(A3327&amp;B3327,DATA!$E$3:$E$10000&amp;DATA!$B$3:$B$10000,DATA!$W$3:$W$10000),"No encontrado"))</f>
        <v/>
      </c>
      <c r="E3327" s="22"/>
      <c r="F3327" s="23" t="str">
        <f aca="false">IF(A3327="","",IFERROR(buscarx(A3327&amp;E3327,DATA!$E$3:$E$10000&amp;DATA!$B$3:$B$10000,DATA!$M$3:$M$10000),"Inactivo"))</f>
        <v/>
      </c>
      <c r="G3327" s="25" t="str">
        <f aca="false">IF(A3327="","",IF(AND(C3327&lt;&gt;"No encontrado",F3327&lt;&gt;"Inactivo"),C3327&amp;" → "&amp;F3327,"Sin transición"))</f>
        <v/>
      </c>
      <c r="H3327" s="23" t="str">
        <f aca="false">IF(A3327="","",IF(D3327="GCIA LINEA SERVICIO DIGITALIDAD Y VENTAS","Chats",IF(OR(D3327="GERENCIA INBOUND LÍNEAS SERVICIO Y VENTA",D3327="GERENCIA INBOUND LINEAS ESPECIALIZADAS"),"Llamadas","Otro")))</f>
        <v/>
      </c>
      <c r="I3327" s="23" t="str">
        <f aca="false">IF(A3327="","",IF(C3327="No encontrado","No","Sí"))</f>
        <v/>
      </c>
      <c r="J3327" s="23" t="str">
        <f aca="false">IF(A3327="","",IF(F3327="Inactivo","No","Sí"))</f>
        <v/>
      </c>
      <c r="K3327" s="23" t="str">
        <f aca="false">IF(A3327="","",IF(AND(I3327="Sí",J3327="Sí"),"Sí","No"))</f>
        <v/>
      </c>
    </row>
    <row r="3328" customFormat="false" ht="15" hidden="false" customHeight="false" outlineLevel="0" collapsed="false">
      <c r="A3328" s="22"/>
      <c r="B3328" s="22"/>
      <c r="C3328" s="26" t="str">
        <f aca="false">IF(A3328="","",IFERROR(buscarx(A3328&amp;B3328,DATA!$E$3:$E$10000&amp;DATA!$B$3:$B$10000,DATA!$M$3:$M$10000),"No encontrado"))</f>
        <v/>
      </c>
      <c r="D3328" s="27" t="str">
        <f aca="false">IF(A3328="","",IFERROR(buscarx(A3328&amp;B3328,DATA!$E$3:$E$10000&amp;DATA!$B$3:$B$10000,DATA!$W$3:$W$10000),"No encontrado"))</f>
        <v/>
      </c>
      <c r="E3328" s="22"/>
      <c r="F3328" s="26" t="str">
        <f aca="false">IF(A3328="","",IFERROR(buscarx(A3328&amp;E3328,DATA!$E$3:$E$10000&amp;DATA!$B$3:$B$10000,DATA!$M$3:$M$10000),"Inactivo"))</f>
        <v/>
      </c>
      <c r="G3328" s="28" t="str">
        <f aca="false">IF(A3328="","",IF(AND(C3328&lt;&gt;"No encontrado",F3328&lt;&gt;"Inactivo"),C3328&amp;" → "&amp;F3328,"Sin transición"))</f>
        <v/>
      </c>
      <c r="H3328" s="26" t="str">
        <f aca="false">IF(A3328="","",IF(D3328="GCIA LINEA SERVICIO DIGITALIDAD Y VENTAS","Chats",IF(OR(D3328="GERENCIA INBOUND LÍNEAS SERVICIO Y VENTA",D3328="GERENCIA INBOUND LINEAS ESPECIALIZADAS"),"Llamadas","Otro")))</f>
        <v/>
      </c>
      <c r="I3328" s="26" t="str">
        <f aca="false">IF(A3328="","",IF(C3328="No encontrado","No","Sí"))</f>
        <v/>
      </c>
      <c r="J3328" s="26" t="str">
        <f aca="false">IF(A3328="","",IF(F3328="Inactivo","No","Sí"))</f>
        <v/>
      </c>
      <c r="K3328" s="26" t="str">
        <f aca="false">IF(A3328="","",IF(AND(I3328="Sí",J3328="Sí"),"Sí","No"))</f>
        <v/>
      </c>
    </row>
    <row r="3329" customFormat="false" ht="15" hidden="false" customHeight="false" outlineLevel="0" collapsed="false">
      <c r="A3329" s="22"/>
      <c r="B3329" s="22"/>
      <c r="C3329" s="23" t="str">
        <f aca="false">IF(A3329="","",IFERROR(buscarx(A3329&amp;B3329,DATA!$E$3:$E$10000&amp;DATA!$B$3:$B$10000,DATA!$M$3:$M$10000),"No encontrado"))</f>
        <v/>
      </c>
      <c r="D3329" s="24" t="str">
        <f aca="false">IF(A3329="","",IFERROR(buscarx(A3329&amp;B3329,DATA!$E$3:$E$10000&amp;DATA!$B$3:$B$10000,DATA!$W$3:$W$10000),"No encontrado"))</f>
        <v/>
      </c>
      <c r="E3329" s="22"/>
      <c r="F3329" s="23" t="str">
        <f aca="false">IF(A3329="","",IFERROR(buscarx(A3329&amp;E3329,DATA!$E$3:$E$10000&amp;DATA!$B$3:$B$10000,DATA!$M$3:$M$10000),"Inactivo"))</f>
        <v/>
      </c>
      <c r="G3329" s="25" t="str">
        <f aca="false">IF(A3329="","",IF(AND(C3329&lt;&gt;"No encontrado",F3329&lt;&gt;"Inactivo"),C3329&amp;" → "&amp;F3329,"Sin transición"))</f>
        <v/>
      </c>
      <c r="H3329" s="23" t="str">
        <f aca="false">IF(A3329="","",IF(D3329="GCIA LINEA SERVICIO DIGITALIDAD Y VENTAS","Chats",IF(OR(D3329="GERENCIA INBOUND LÍNEAS SERVICIO Y VENTA",D3329="GERENCIA INBOUND LINEAS ESPECIALIZADAS"),"Llamadas","Otro")))</f>
        <v/>
      </c>
      <c r="I3329" s="23" t="str">
        <f aca="false">IF(A3329="","",IF(C3329="No encontrado","No","Sí"))</f>
        <v/>
      </c>
      <c r="J3329" s="23" t="str">
        <f aca="false">IF(A3329="","",IF(F3329="Inactivo","No","Sí"))</f>
        <v/>
      </c>
      <c r="K3329" s="23" t="str">
        <f aca="false">IF(A3329="","",IF(AND(I3329="Sí",J3329="Sí"),"Sí","No"))</f>
        <v/>
      </c>
    </row>
    <row r="3330" customFormat="false" ht="15" hidden="false" customHeight="false" outlineLevel="0" collapsed="false">
      <c r="A3330" s="22"/>
      <c r="B3330" s="22"/>
      <c r="C3330" s="26" t="str">
        <f aca="false">IF(A3330="","",IFERROR(buscarx(A3330&amp;B3330,DATA!$E$3:$E$10000&amp;DATA!$B$3:$B$10000,DATA!$M$3:$M$10000),"No encontrado"))</f>
        <v/>
      </c>
      <c r="D3330" s="27" t="str">
        <f aca="false">IF(A3330="","",IFERROR(buscarx(A3330&amp;B3330,DATA!$E$3:$E$10000&amp;DATA!$B$3:$B$10000,DATA!$W$3:$W$10000),"No encontrado"))</f>
        <v/>
      </c>
      <c r="E3330" s="22"/>
      <c r="F3330" s="26" t="str">
        <f aca="false">IF(A3330="","",IFERROR(buscarx(A3330&amp;E3330,DATA!$E$3:$E$10000&amp;DATA!$B$3:$B$10000,DATA!$M$3:$M$10000),"Inactivo"))</f>
        <v/>
      </c>
      <c r="G3330" s="28" t="str">
        <f aca="false">IF(A3330="","",IF(AND(C3330&lt;&gt;"No encontrado",F3330&lt;&gt;"Inactivo"),C3330&amp;" → "&amp;F3330,"Sin transición"))</f>
        <v/>
      </c>
      <c r="H3330" s="26" t="str">
        <f aca="false">IF(A3330="","",IF(D3330="GCIA LINEA SERVICIO DIGITALIDAD Y VENTAS","Chats",IF(OR(D3330="GERENCIA INBOUND LÍNEAS SERVICIO Y VENTA",D3330="GERENCIA INBOUND LINEAS ESPECIALIZADAS"),"Llamadas","Otro")))</f>
        <v/>
      </c>
      <c r="I3330" s="26" t="str">
        <f aca="false">IF(A3330="","",IF(C3330="No encontrado","No","Sí"))</f>
        <v/>
      </c>
      <c r="J3330" s="26" t="str">
        <f aca="false">IF(A3330="","",IF(F3330="Inactivo","No","Sí"))</f>
        <v/>
      </c>
      <c r="K3330" s="26" t="str">
        <f aca="false">IF(A3330="","",IF(AND(I3330="Sí",J3330="Sí"),"Sí","No"))</f>
        <v/>
      </c>
    </row>
    <row r="3331" customFormat="false" ht="15" hidden="false" customHeight="false" outlineLevel="0" collapsed="false">
      <c r="A3331" s="22"/>
      <c r="B3331" s="22"/>
      <c r="C3331" s="23" t="str">
        <f aca="false">IF(A3331="","",IFERROR(buscarx(A3331&amp;B3331,DATA!$E$3:$E$10000&amp;DATA!$B$3:$B$10000,DATA!$M$3:$M$10000),"No encontrado"))</f>
        <v/>
      </c>
      <c r="D3331" s="24" t="str">
        <f aca="false">IF(A3331="","",IFERROR(buscarx(A3331&amp;B3331,DATA!$E$3:$E$10000&amp;DATA!$B$3:$B$10000,DATA!$W$3:$W$10000),"No encontrado"))</f>
        <v/>
      </c>
      <c r="E3331" s="22"/>
      <c r="F3331" s="23" t="str">
        <f aca="false">IF(A3331="","",IFERROR(buscarx(A3331&amp;E3331,DATA!$E$3:$E$10000&amp;DATA!$B$3:$B$10000,DATA!$M$3:$M$10000),"Inactivo"))</f>
        <v/>
      </c>
      <c r="G3331" s="25" t="str">
        <f aca="false">IF(A3331="","",IF(AND(C3331&lt;&gt;"No encontrado",F3331&lt;&gt;"Inactivo"),C3331&amp;" → "&amp;F3331,"Sin transición"))</f>
        <v/>
      </c>
      <c r="H3331" s="23" t="str">
        <f aca="false">IF(A3331="","",IF(D3331="GCIA LINEA SERVICIO DIGITALIDAD Y VENTAS","Chats",IF(OR(D3331="GERENCIA INBOUND LÍNEAS SERVICIO Y VENTA",D3331="GERENCIA INBOUND LINEAS ESPECIALIZADAS"),"Llamadas","Otro")))</f>
        <v/>
      </c>
      <c r="I3331" s="23" t="str">
        <f aca="false">IF(A3331="","",IF(C3331="No encontrado","No","Sí"))</f>
        <v/>
      </c>
      <c r="J3331" s="23" t="str">
        <f aca="false">IF(A3331="","",IF(F3331="Inactivo","No","Sí"))</f>
        <v/>
      </c>
      <c r="K3331" s="23" t="str">
        <f aca="false">IF(A3331="","",IF(AND(I3331="Sí",J3331="Sí"),"Sí","No"))</f>
        <v/>
      </c>
    </row>
    <row r="3332" customFormat="false" ht="15" hidden="false" customHeight="false" outlineLevel="0" collapsed="false">
      <c r="A3332" s="22"/>
      <c r="B3332" s="22"/>
      <c r="C3332" s="26" t="str">
        <f aca="false">IF(A3332="","",IFERROR(buscarx(A3332&amp;B3332,DATA!$E$3:$E$10000&amp;DATA!$B$3:$B$10000,DATA!$M$3:$M$10000),"No encontrado"))</f>
        <v/>
      </c>
      <c r="D3332" s="27" t="str">
        <f aca="false">IF(A3332="","",IFERROR(buscarx(A3332&amp;B3332,DATA!$E$3:$E$10000&amp;DATA!$B$3:$B$10000,DATA!$W$3:$W$10000),"No encontrado"))</f>
        <v/>
      </c>
      <c r="E3332" s="22"/>
      <c r="F3332" s="26" t="str">
        <f aca="false">IF(A3332="","",IFERROR(buscarx(A3332&amp;E3332,DATA!$E$3:$E$10000&amp;DATA!$B$3:$B$10000,DATA!$M$3:$M$10000),"Inactivo"))</f>
        <v/>
      </c>
      <c r="G3332" s="28" t="str">
        <f aca="false">IF(A3332="","",IF(AND(C3332&lt;&gt;"No encontrado",F3332&lt;&gt;"Inactivo"),C3332&amp;" → "&amp;F3332,"Sin transición"))</f>
        <v/>
      </c>
      <c r="H3332" s="26" t="str">
        <f aca="false">IF(A3332="","",IF(D3332="GCIA LINEA SERVICIO DIGITALIDAD Y VENTAS","Chats",IF(OR(D3332="GERENCIA INBOUND LÍNEAS SERVICIO Y VENTA",D3332="GERENCIA INBOUND LINEAS ESPECIALIZADAS"),"Llamadas","Otro")))</f>
        <v/>
      </c>
      <c r="I3332" s="26" t="str">
        <f aca="false">IF(A3332="","",IF(C3332="No encontrado","No","Sí"))</f>
        <v/>
      </c>
      <c r="J3332" s="26" t="str">
        <f aca="false">IF(A3332="","",IF(F3332="Inactivo","No","Sí"))</f>
        <v/>
      </c>
      <c r="K3332" s="26" t="str">
        <f aca="false">IF(A3332="","",IF(AND(I3332="Sí",J3332="Sí"),"Sí","No"))</f>
        <v/>
      </c>
    </row>
    <row r="3333" customFormat="false" ht="15" hidden="false" customHeight="false" outlineLevel="0" collapsed="false">
      <c r="A3333" s="22"/>
      <c r="B3333" s="22"/>
      <c r="C3333" s="23" t="str">
        <f aca="false">IF(A3333="","",IFERROR(buscarx(A3333&amp;B3333,DATA!$E$3:$E$10000&amp;DATA!$B$3:$B$10000,DATA!$M$3:$M$10000),"No encontrado"))</f>
        <v/>
      </c>
      <c r="D3333" s="24" t="str">
        <f aca="false">IF(A3333="","",IFERROR(buscarx(A3333&amp;B3333,DATA!$E$3:$E$10000&amp;DATA!$B$3:$B$10000,DATA!$W$3:$W$10000),"No encontrado"))</f>
        <v/>
      </c>
      <c r="E3333" s="22"/>
      <c r="F3333" s="23" t="str">
        <f aca="false">IF(A3333="","",IFERROR(buscarx(A3333&amp;E3333,DATA!$E$3:$E$10000&amp;DATA!$B$3:$B$10000,DATA!$M$3:$M$10000),"Inactivo"))</f>
        <v/>
      </c>
      <c r="G3333" s="25" t="str">
        <f aca="false">IF(A3333="","",IF(AND(C3333&lt;&gt;"No encontrado",F3333&lt;&gt;"Inactivo"),C3333&amp;" → "&amp;F3333,"Sin transición"))</f>
        <v/>
      </c>
      <c r="H3333" s="23" t="str">
        <f aca="false">IF(A3333="","",IF(D3333="GCIA LINEA SERVICIO DIGITALIDAD Y VENTAS","Chats",IF(OR(D3333="GERENCIA INBOUND LÍNEAS SERVICIO Y VENTA",D3333="GERENCIA INBOUND LINEAS ESPECIALIZADAS"),"Llamadas","Otro")))</f>
        <v/>
      </c>
      <c r="I3333" s="23" t="str">
        <f aca="false">IF(A3333="","",IF(C3333="No encontrado","No","Sí"))</f>
        <v/>
      </c>
      <c r="J3333" s="23" t="str">
        <f aca="false">IF(A3333="","",IF(F3333="Inactivo","No","Sí"))</f>
        <v/>
      </c>
      <c r="K3333" s="23" t="str">
        <f aca="false">IF(A3333="","",IF(AND(I3333="Sí",J3333="Sí"),"Sí","No"))</f>
        <v/>
      </c>
    </row>
    <row r="3334" customFormat="false" ht="15" hidden="false" customHeight="false" outlineLevel="0" collapsed="false">
      <c r="A3334" s="22"/>
      <c r="B3334" s="22"/>
      <c r="C3334" s="26" t="str">
        <f aca="false">IF(A3334="","",IFERROR(buscarx(A3334&amp;B3334,DATA!$E$3:$E$10000&amp;DATA!$B$3:$B$10000,DATA!$M$3:$M$10000),"No encontrado"))</f>
        <v/>
      </c>
      <c r="D3334" s="27" t="str">
        <f aca="false">IF(A3334="","",IFERROR(buscarx(A3334&amp;B3334,DATA!$E$3:$E$10000&amp;DATA!$B$3:$B$10000,DATA!$W$3:$W$10000),"No encontrado"))</f>
        <v/>
      </c>
      <c r="E3334" s="22"/>
      <c r="F3334" s="26" t="str">
        <f aca="false">IF(A3334="","",IFERROR(buscarx(A3334&amp;E3334,DATA!$E$3:$E$10000&amp;DATA!$B$3:$B$10000,DATA!$M$3:$M$10000),"Inactivo"))</f>
        <v/>
      </c>
      <c r="G3334" s="28" t="str">
        <f aca="false">IF(A3334="","",IF(AND(C3334&lt;&gt;"No encontrado",F3334&lt;&gt;"Inactivo"),C3334&amp;" → "&amp;F3334,"Sin transición"))</f>
        <v/>
      </c>
      <c r="H3334" s="26" t="str">
        <f aca="false">IF(A3334="","",IF(D3334="GCIA LINEA SERVICIO DIGITALIDAD Y VENTAS","Chats",IF(OR(D3334="GERENCIA INBOUND LÍNEAS SERVICIO Y VENTA",D3334="GERENCIA INBOUND LINEAS ESPECIALIZADAS"),"Llamadas","Otro")))</f>
        <v/>
      </c>
      <c r="I3334" s="26" t="str">
        <f aca="false">IF(A3334="","",IF(C3334="No encontrado","No","Sí"))</f>
        <v/>
      </c>
      <c r="J3334" s="26" t="str">
        <f aca="false">IF(A3334="","",IF(F3334="Inactivo","No","Sí"))</f>
        <v/>
      </c>
      <c r="K3334" s="26" t="str">
        <f aca="false">IF(A3334="","",IF(AND(I3334="Sí",J3334="Sí"),"Sí","No"))</f>
        <v/>
      </c>
    </row>
    <row r="3335" customFormat="false" ht="15" hidden="false" customHeight="false" outlineLevel="0" collapsed="false">
      <c r="A3335" s="22"/>
      <c r="B3335" s="22"/>
      <c r="C3335" s="23" t="str">
        <f aca="false">IF(A3335="","",IFERROR(buscarx(A3335&amp;B3335,DATA!$E$3:$E$10000&amp;DATA!$B$3:$B$10000,DATA!$M$3:$M$10000),"No encontrado"))</f>
        <v/>
      </c>
      <c r="D3335" s="24" t="str">
        <f aca="false">IF(A3335="","",IFERROR(buscarx(A3335&amp;B3335,DATA!$E$3:$E$10000&amp;DATA!$B$3:$B$10000,DATA!$W$3:$W$10000),"No encontrado"))</f>
        <v/>
      </c>
      <c r="E3335" s="22"/>
      <c r="F3335" s="23" t="str">
        <f aca="false">IF(A3335="","",IFERROR(buscarx(A3335&amp;E3335,DATA!$E$3:$E$10000&amp;DATA!$B$3:$B$10000,DATA!$M$3:$M$10000),"Inactivo"))</f>
        <v/>
      </c>
      <c r="G3335" s="25" t="str">
        <f aca="false">IF(A3335="","",IF(AND(C3335&lt;&gt;"No encontrado",F3335&lt;&gt;"Inactivo"),C3335&amp;" → "&amp;F3335,"Sin transición"))</f>
        <v/>
      </c>
      <c r="H3335" s="23" t="str">
        <f aca="false">IF(A3335="","",IF(D3335="GCIA LINEA SERVICIO DIGITALIDAD Y VENTAS","Chats",IF(OR(D3335="GERENCIA INBOUND LÍNEAS SERVICIO Y VENTA",D3335="GERENCIA INBOUND LINEAS ESPECIALIZADAS"),"Llamadas","Otro")))</f>
        <v/>
      </c>
      <c r="I3335" s="23" t="str">
        <f aca="false">IF(A3335="","",IF(C3335="No encontrado","No","Sí"))</f>
        <v/>
      </c>
      <c r="J3335" s="23" t="str">
        <f aca="false">IF(A3335="","",IF(F3335="Inactivo","No","Sí"))</f>
        <v/>
      </c>
      <c r="K3335" s="23" t="str">
        <f aca="false">IF(A3335="","",IF(AND(I3335="Sí",J3335="Sí"),"Sí","No"))</f>
        <v/>
      </c>
    </row>
    <row r="3336" customFormat="false" ht="15" hidden="false" customHeight="false" outlineLevel="0" collapsed="false">
      <c r="A3336" s="22"/>
      <c r="B3336" s="22"/>
      <c r="C3336" s="26" t="str">
        <f aca="false">IF(A3336="","",IFERROR(buscarx(A3336&amp;B3336,DATA!$E$3:$E$10000&amp;DATA!$B$3:$B$10000,DATA!$M$3:$M$10000),"No encontrado"))</f>
        <v/>
      </c>
      <c r="D3336" s="27" t="str">
        <f aca="false">IF(A3336="","",IFERROR(buscarx(A3336&amp;B3336,DATA!$E$3:$E$10000&amp;DATA!$B$3:$B$10000,DATA!$W$3:$W$10000),"No encontrado"))</f>
        <v/>
      </c>
      <c r="E3336" s="22"/>
      <c r="F3336" s="26" t="str">
        <f aca="false">IF(A3336="","",IFERROR(buscarx(A3336&amp;E3336,DATA!$E$3:$E$10000&amp;DATA!$B$3:$B$10000,DATA!$M$3:$M$10000),"Inactivo"))</f>
        <v/>
      </c>
      <c r="G3336" s="28" t="str">
        <f aca="false">IF(A3336="","",IF(AND(C3336&lt;&gt;"No encontrado",F3336&lt;&gt;"Inactivo"),C3336&amp;" → "&amp;F3336,"Sin transición"))</f>
        <v/>
      </c>
      <c r="H3336" s="26" t="str">
        <f aca="false">IF(A3336="","",IF(D3336="GCIA LINEA SERVICIO DIGITALIDAD Y VENTAS","Chats",IF(OR(D3336="GERENCIA INBOUND LÍNEAS SERVICIO Y VENTA",D3336="GERENCIA INBOUND LINEAS ESPECIALIZADAS"),"Llamadas","Otro")))</f>
        <v/>
      </c>
      <c r="I3336" s="26" t="str">
        <f aca="false">IF(A3336="","",IF(C3336="No encontrado","No","Sí"))</f>
        <v/>
      </c>
      <c r="J3336" s="26" t="str">
        <f aca="false">IF(A3336="","",IF(F3336="Inactivo","No","Sí"))</f>
        <v/>
      </c>
      <c r="K3336" s="26" t="str">
        <f aca="false">IF(A3336="","",IF(AND(I3336="Sí",J3336="Sí"),"Sí","No"))</f>
        <v/>
      </c>
    </row>
    <row r="3337" customFormat="false" ht="15" hidden="false" customHeight="false" outlineLevel="0" collapsed="false">
      <c r="A3337" s="22"/>
      <c r="B3337" s="22"/>
      <c r="C3337" s="23" t="str">
        <f aca="false">IF(A3337="","",IFERROR(buscarx(A3337&amp;B3337,DATA!$E$3:$E$10000&amp;DATA!$B$3:$B$10000,DATA!$M$3:$M$10000),"No encontrado"))</f>
        <v/>
      </c>
      <c r="D3337" s="24" t="str">
        <f aca="false">IF(A3337="","",IFERROR(buscarx(A3337&amp;B3337,DATA!$E$3:$E$10000&amp;DATA!$B$3:$B$10000,DATA!$W$3:$W$10000),"No encontrado"))</f>
        <v/>
      </c>
      <c r="E3337" s="22"/>
      <c r="F3337" s="23" t="str">
        <f aca="false">IF(A3337="","",IFERROR(buscarx(A3337&amp;E3337,DATA!$E$3:$E$10000&amp;DATA!$B$3:$B$10000,DATA!$M$3:$M$10000),"Inactivo"))</f>
        <v/>
      </c>
      <c r="G3337" s="25" t="str">
        <f aca="false">IF(A3337="","",IF(AND(C3337&lt;&gt;"No encontrado",F3337&lt;&gt;"Inactivo"),C3337&amp;" → "&amp;F3337,"Sin transición"))</f>
        <v/>
      </c>
      <c r="H3337" s="23" t="str">
        <f aca="false">IF(A3337="","",IF(D3337="GCIA LINEA SERVICIO DIGITALIDAD Y VENTAS","Chats",IF(OR(D3337="GERENCIA INBOUND LÍNEAS SERVICIO Y VENTA",D3337="GERENCIA INBOUND LINEAS ESPECIALIZADAS"),"Llamadas","Otro")))</f>
        <v/>
      </c>
      <c r="I3337" s="23" t="str">
        <f aca="false">IF(A3337="","",IF(C3337="No encontrado","No","Sí"))</f>
        <v/>
      </c>
      <c r="J3337" s="23" t="str">
        <f aca="false">IF(A3337="","",IF(F3337="Inactivo","No","Sí"))</f>
        <v/>
      </c>
      <c r="K3337" s="23" t="str">
        <f aca="false">IF(A3337="","",IF(AND(I3337="Sí",J3337="Sí"),"Sí","No"))</f>
        <v/>
      </c>
    </row>
    <row r="3338" customFormat="false" ht="15" hidden="false" customHeight="false" outlineLevel="0" collapsed="false">
      <c r="A3338" s="22"/>
      <c r="B3338" s="22"/>
      <c r="C3338" s="26" t="str">
        <f aca="false">IF(A3338="","",IFERROR(buscarx(A3338&amp;B3338,DATA!$E$3:$E$10000&amp;DATA!$B$3:$B$10000,DATA!$M$3:$M$10000),"No encontrado"))</f>
        <v/>
      </c>
      <c r="D3338" s="27" t="str">
        <f aca="false">IF(A3338="","",IFERROR(buscarx(A3338&amp;B3338,DATA!$E$3:$E$10000&amp;DATA!$B$3:$B$10000,DATA!$W$3:$W$10000),"No encontrado"))</f>
        <v/>
      </c>
      <c r="E3338" s="22"/>
      <c r="F3338" s="26" t="str">
        <f aca="false">IF(A3338="","",IFERROR(buscarx(A3338&amp;E3338,DATA!$E$3:$E$10000&amp;DATA!$B$3:$B$10000,DATA!$M$3:$M$10000),"Inactivo"))</f>
        <v/>
      </c>
      <c r="G3338" s="28" t="str">
        <f aca="false">IF(A3338="","",IF(AND(C3338&lt;&gt;"No encontrado",F3338&lt;&gt;"Inactivo"),C3338&amp;" → "&amp;F3338,"Sin transición"))</f>
        <v/>
      </c>
      <c r="H3338" s="26" t="str">
        <f aca="false">IF(A3338="","",IF(D3338="GCIA LINEA SERVICIO DIGITALIDAD Y VENTAS","Chats",IF(OR(D3338="GERENCIA INBOUND LÍNEAS SERVICIO Y VENTA",D3338="GERENCIA INBOUND LINEAS ESPECIALIZADAS"),"Llamadas","Otro")))</f>
        <v/>
      </c>
      <c r="I3338" s="26" t="str">
        <f aca="false">IF(A3338="","",IF(C3338="No encontrado","No","Sí"))</f>
        <v/>
      </c>
      <c r="J3338" s="26" t="str">
        <f aca="false">IF(A3338="","",IF(F3338="Inactivo","No","Sí"))</f>
        <v/>
      </c>
      <c r="K3338" s="26" t="str">
        <f aca="false">IF(A3338="","",IF(AND(I3338="Sí",J3338="Sí"),"Sí","No"))</f>
        <v/>
      </c>
    </row>
    <row r="3339" customFormat="false" ht="15" hidden="false" customHeight="false" outlineLevel="0" collapsed="false">
      <c r="A3339" s="22"/>
      <c r="B3339" s="22"/>
      <c r="C3339" s="23" t="str">
        <f aca="false">IF(A3339="","",IFERROR(buscarx(A3339&amp;B3339,DATA!$E$3:$E$10000&amp;DATA!$B$3:$B$10000,DATA!$M$3:$M$10000),"No encontrado"))</f>
        <v/>
      </c>
      <c r="D3339" s="24" t="str">
        <f aca="false">IF(A3339="","",IFERROR(buscarx(A3339&amp;B3339,DATA!$E$3:$E$10000&amp;DATA!$B$3:$B$10000,DATA!$W$3:$W$10000),"No encontrado"))</f>
        <v/>
      </c>
      <c r="E3339" s="22"/>
      <c r="F3339" s="23" t="str">
        <f aca="false">IF(A3339="","",IFERROR(buscarx(A3339&amp;E3339,DATA!$E$3:$E$10000&amp;DATA!$B$3:$B$10000,DATA!$M$3:$M$10000),"Inactivo"))</f>
        <v/>
      </c>
      <c r="G3339" s="25" t="str">
        <f aca="false">IF(A3339="","",IF(AND(C3339&lt;&gt;"No encontrado",F3339&lt;&gt;"Inactivo"),C3339&amp;" → "&amp;F3339,"Sin transición"))</f>
        <v/>
      </c>
      <c r="H3339" s="23" t="str">
        <f aca="false">IF(A3339="","",IF(D3339="GCIA LINEA SERVICIO DIGITALIDAD Y VENTAS","Chats",IF(OR(D3339="GERENCIA INBOUND LÍNEAS SERVICIO Y VENTA",D3339="GERENCIA INBOUND LINEAS ESPECIALIZADAS"),"Llamadas","Otro")))</f>
        <v/>
      </c>
      <c r="I3339" s="23" t="str">
        <f aca="false">IF(A3339="","",IF(C3339="No encontrado","No","Sí"))</f>
        <v/>
      </c>
      <c r="J3339" s="23" t="str">
        <f aca="false">IF(A3339="","",IF(F3339="Inactivo","No","Sí"))</f>
        <v/>
      </c>
      <c r="K3339" s="23" t="str">
        <f aca="false">IF(A3339="","",IF(AND(I3339="Sí",J3339="Sí"),"Sí","No"))</f>
        <v/>
      </c>
    </row>
    <row r="3340" customFormat="false" ht="15" hidden="false" customHeight="false" outlineLevel="0" collapsed="false">
      <c r="A3340" s="22"/>
      <c r="B3340" s="22"/>
      <c r="C3340" s="26" t="str">
        <f aca="false">IF(A3340="","",IFERROR(buscarx(A3340&amp;B3340,DATA!$E$3:$E$10000&amp;DATA!$B$3:$B$10000,DATA!$M$3:$M$10000),"No encontrado"))</f>
        <v/>
      </c>
      <c r="D3340" s="27" t="str">
        <f aca="false">IF(A3340="","",IFERROR(buscarx(A3340&amp;B3340,DATA!$E$3:$E$10000&amp;DATA!$B$3:$B$10000,DATA!$W$3:$W$10000),"No encontrado"))</f>
        <v/>
      </c>
      <c r="E3340" s="22"/>
      <c r="F3340" s="26" t="str">
        <f aca="false">IF(A3340="","",IFERROR(buscarx(A3340&amp;E3340,DATA!$E$3:$E$10000&amp;DATA!$B$3:$B$10000,DATA!$M$3:$M$10000),"Inactivo"))</f>
        <v/>
      </c>
      <c r="G3340" s="28" t="str">
        <f aca="false">IF(A3340="","",IF(AND(C3340&lt;&gt;"No encontrado",F3340&lt;&gt;"Inactivo"),C3340&amp;" → "&amp;F3340,"Sin transición"))</f>
        <v/>
      </c>
      <c r="H3340" s="26" t="str">
        <f aca="false">IF(A3340="","",IF(D3340="GCIA LINEA SERVICIO DIGITALIDAD Y VENTAS","Chats",IF(OR(D3340="GERENCIA INBOUND LÍNEAS SERVICIO Y VENTA",D3340="GERENCIA INBOUND LINEAS ESPECIALIZADAS"),"Llamadas","Otro")))</f>
        <v/>
      </c>
      <c r="I3340" s="26" t="str">
        <f aca="false">IF(A3340="","",IF(C3340="No encontrado","No","Sí"))</f>
        <v/>
      </c>
      <c r="J3340" s="26" t="str">
        <f aca="false">IF(A3340="","",IF(F3340="Inactivo","No","Sí"))</f>
        <v/>
      </c>
      <c r="K3340" s="26" t="str">
        <f aca="false">IF(A3340="","",IF(AND(I3340="Sí",J3340="Sí"),"Sí","No"))</f>
        <v/>
      </c>
    </row>
    <row r="3341" customFormat="false" ht="15" hidden="false" customHeight="false" outlineLevel="0" collapsed="false">
      <c r="A3341" s="22"/>
      <c r="B3341" s="22"/>
      <c r="C3341" s="23" t="str">
        <f aca="false">IF(A3341="","",IFERROR(buscarx(A3341&amp;B3341,DATA!$E$3:$E$10000&amp;DATA!$B$3:$B$10000,DATA!$M$3:$M$10000),"No encontrado"))</f>
        <v/>
      </c>
      <c r="D3341" s="24" t="str">
        <f aca="false">IF(A3341="","",IFERROR(buscarx(A3341&amp;B3341,DATA!$E$3:$E$10000&amp;DATA!$B$3:$B$10000,DATA!$W$3:$W$10000),"No encontrado"))</f>
        <v/>
      </c>
      <c r="E3341" s="22"/>
      <c r="F3341" s="23" t="str">
        <f aca="false">IF(A3341="","",IFERROR(buscarx(A3341&amp;E3341,DATA!$E$3:$E$10000&amp;DATA!$B$3:$B$10000,DATA!$M$3:$M$10000),"Inactivo"))</f>
        <v/>
      </c>
      <c r="G3341" s="25" t="str">
        <f aca="false">IF(A3341="","",IF(AND(C3341&lt;&gt;"No encontrado",F3341&lt;&gt;"Inactivo"),C3341&amp;" → "&amp;F3341,"Sin transición"))</f>
        <v/>
      </c>
      <c r="H3341" s="23" t="str">
        <f aca="false">IF(A3341="","",IF(D3341="GCIA LINEA SERVICIO DIGITALIDAD Y VENTAS","Chats",IF(OR(D3341="GERENCIA INBOUND LÍNEAS SERVICIO Y VENTA",D3341="GERENCIA INBOUND LINEAS ESPECIALIZADAS"),"Llamadas","Otro")))</f>
        <v/>
      </c>
      <c r="I3341" s="23" t="str">
        <f aca="false">IF(A3341="","",IF(C3341="No encontrado","No","Sí"))</f>
        <v/>
      </c>
      <c r="J3341" s="23" t="str">
        <f aca="false">IF(A3341="","",IF(F3341="Inactivo","No","Sí"))</f>
        <v/>
      </c>
      <c r="K3341" s="23" t="str">
        <f aca="false">IF(A3341="","",IF(AND(I3341="Sí",J3341="Sí"),"Sí","No"))</f>
        <v/>
      </c>
    </row>
    <row r="3342" customFormat="false" ht="15" hidden="false" customHeight="false" outlineLevel="0" collapsed="false">
      <c r="A3342" s="22"/>
      <c r="B3342" s="22"/>
      <c r="C3342" s="26" t="str">
        <f aca="false">IF(A3342="","",IFERROR(buscarx(A3342&amp;B3342,DATA!$E$3:$E$10000&amp;DATA!$B$3:$B$10000,DATA!$M$3:$M$10000),"No encontrado"))</f>
        <v/>
      </c>
      <c r="D3342" s="27" t="str">
        <f aca="false">IF(A3342="","",IFERROR(buscarx(A3342&amp;B3342,DATA!$E$3:$E$10000&amp;DATA!$B$3:$B$10000,DATA!$W$3:$W$10000),"No encontrado"))</f>
        <v/>
      </c>
      <c r="E3342" s="22"/>
      <c r="F3342" s="26" t="str">
        <f aca="false">IF(A3342="","",IFERROR(buscarx(A3342&amp;E3342,DATA!$E$3:$E$10000&amp;DATA!$B$3:$B$10000,DATA!$M$3:$M$10000),"Inactivo"))</f>
        <v/>
      </c>
      <c r="G3342" s="28" t="str">
        <f aca="false">IF(A3342="","",IF(AND(C3342&lt;&gt;"No encontrado",F3342&lt;&gt;"Inactivo"),C3342&amp;" → "&amp;F3342,"Sin transición"))</f>
        <v/>
      </c>
      <c r="H3342" s="26" t="str">
        <f aca="false">IF(A3342="","",IF(D3342="GCIA LINEA SERVICIO DIGITALIDAD Y VENTAS","Chats",IF(OR(D3342="GERENCIA INBOUND LÍNEAS SERVICIO Y VENTA",D3342="GERENCIA INBOUND LINEAS ESPECIALIZADAS"),"Llamadas","Otro")))</f>
        <v/>
      </c>
      <c r="I3342" s="26" t="str">
        <f aca="false">IF(A3342="","",IF(C3342="No encontrado","No","Sí"))</f>
        <v/>
      </c>
      <c r="J3342" s="26" t="str">
        <f aca="false">IF(A3342="","",IF(F3342="Inactivo","No","Sí"))</f>
        <v/>
      </c>
      <c r="K3342" s="26" t="str">
        <f aca="false">IF(A3342="","",IF(AND(I3342="Sí",J3342="Sí"),"Sí","No"))</f>
        <v/>
      </c>
    </row>
    <row r="3343" customFormat="false" ht="15" hidden="false" customHeight="false" outlineLevel="0" collapsed="false">
      <c r="A3343" s="22"/>
      <c r="B3343" s="22"/>
      <c r="C3343" s="23" t="str">
        <f aca="false">IF(A3343="","",IFERROR(buscarx(A3343&amp;B3343,DATA!$E$3:$E$10000&amp;DATA!$B$3:$B$10000,DATA!$M$3:$M$10000),"No encontrado"))</f>
        <v/>
      </c>
      <c r="D3343" s="24" t="str">
        <f aca="false">IF(A3343="","",IFERROR(buscarx(A3343&amp;B3343,DATA!$E$3:$E$10000&amp;DATA!$B$3:$B$10000,DATA!$W$3:$W$10000),"No encontrado"))</f>
        <v/>
      </c>
      <c r="E3343" s="22"/>
      <c r="F3343" s="23" t="str">
        <f aca="false">IF(A3343="","",IFERROR(buscarx(A3343&amp;E3343,DATA!$E$3:$E$10000&amp;DATA!$B$3:$B$10000,DATA!$M$3:$M$10000),"Inactivo"))</f>
        <v/>
      </c>
      <c r="G3343" s="25" t="str">
        <f aca="false">IF(A3343="","",IF(AND(C3343&lt;&gt;"No encontrado",F3343&lt;&gt;"Inactivo"),C3343&amp;" → "&amp;F3343,"Sin transición"))</f>
        <v/>
      </c>
      <c r="H3343" s="23" t="str">
        <f aca="false">IF(A3343="","",IF(D3343="GCIA LINEA SERVICIO DIGITALIDAD Y VENTAS","Chats",IF(OR(D3343="GERENCIA INBOUND LÍNEAS SERVICIO Y VENTA",D3343="GERENCIA INBOUND LINEAS ESPECIALIZADAS"),"Llamadas","Otro")))</f>
        <v/>
      </c>
      <c r="I3343" s="23" t="str">
        <f aca="false">IF(A3343="","",IF(C3343="No encontrado","No","Sí"))</f>
        <v/>
      </c>
      <c r="J3343" s="23" t="str">
        <f aca="false">IF(A3343="","",IF(F3343="Inactivo","No","Sí"))</f>
        <v/>
      </c>
      <c r="K3343" s="23" t="str">
        <f aca="false">IF(A3343="","",IF(AND(I3343="Sí",J3343="Sí"),"Sí","No"))</f>
        <v/>
      </c>
    </row>
    <row r="3344" customFormat="false" ht="15" hidden="false" customHeight="false" outlineLevel="0" collapsed="false">
      <c r="A3344" s="22"/>
      <c r="B3344" s="22"/>
      <c r="C3344" s="26" t="str">
        <f aca="false">IF(A3344="","",IFERROR(buscarx(A3344&amp;B3344,DATA!$E$3:$E$10000&amp;DATA!$B$3:$B$10000,DATA!$M$3:$M$10000),"No encontrado"))</f>
        <v/>
      </c>
      <c r="D3344" s="27" t="str">
        <f aca="false">IF(A3344="","",IFERROR(buscarx(A3344&amp;B3344,DATA!$E$3:$E$10000&amp;DATA!$B$3:$B$10000,DATA!$W$3:$W$10000),"No encontrado"))</f>
        <v/>
      </c>
      <c r="E3344" s="22"/>
      <c r="F3344" s="26" t="str">
        <f aca="false">IF(A3344="","",IFERROR(buscarx(A3344&amp;E3344,DATA!$E$3:$E$10000&amp;DATA!$B$3:$B$10000,DATA!$M$3:$M$10000),"Inactivo"))</f>
        <v/>
      </c>
      <c r="G3344" s="28" t="str">
        <f aca="false">IF(A3344="","",IF(AND(C3344&lt;&gt;"No encontrado",F3344&lt;&gt;"Inactivo"),C3344&amp;" → "&amp;F3344,"Sin transición"))</f>
        <v/>
      </c>
      <c r="H3344" s="26" t="str">
        <f aca="false">IF(A3344="","",IF(D3344="GCIA LINEA SERVICIO DIGITALIDAD Y VENTAS","Chats",IF(OR(D3344="GERENCIA INBOUND LÍNEAS SERVICIO Y VENTA",D3344="GERENCIA INBOUND LINEAS ESPECIALIZADAS"),"Llamadas","Otro")))</f>
        <v/>
      </c>
      <c r="I3344" s="26" t="str">
        <f aca="false">IF(A3344="","",IF(C3344="No encontrado","No","Sí"))</f>
        <v/>
      </c>
      <c r="J3344" s="26" t="str">
        <f aca="false">IF(A3344="","",IF(F3344="Inactivo","No","Sí"))</f>
        <v/>
      </c>
      <c r="K3344" s="26" t="str">
        <f aca="false">IF(A3344="","",IF(AND(I3344="Sí",J3344="Sí"),"Sí","No"))</f>
        <v/>
      </c>
    </row>
    <row r="3345" customFormat="false" ht="15" hidden="false" customHeight="false" outlineLevel="0" collapsed="false">
      <c r="A3345" s="22"/>
      <c r="B3345" s="22"/>
      <c r="C3345" s="23" t="str">
        <f aca="false">IF(A3345="","",IFERROR(buscarx(A3345&amp;B3345,DATA!$E$3:$E$10000&amp;DATA!$B$3:$B$10000,DATA!$M$3:$M$10000),"No encontrado"))</f>
        <v/>
      </c>
      <c r="D3345" s="24" t="str">
        <f aca="false">IF(A3345="","",IFERROR(buscarx(A3345&amp;B3345,DATA!$E$3:$E$10000&amp;DATA!$B$3:$B$10000,DATA!$W$3:$W$10000),"No encontrado"))</f>
        <v/>
      </c>
      <c r="E3345" s="22"/>
      <c r="F3345" s="23" t="str">
        <f aca="false">IF(A3345="","",IFERROR(buscarx(A3345&amp;E3345,DATA!$E$3:$E$10000&amp;DATA!$B$3:$B$10000,DATA!$M$3:$M$10000),"Inactivo"))</f>
        <v/>
      </c>
      <c r="G3345" s="25" t="str">
        <f aca="false">IF(A3345="","",IF(AND(C3345&lt;&gt;"No encontrado",F3345&lt;&gt;"Inactivo"),C3345&amp;" → "&amp;F3345,"Sin transición"))</f>
        <v/>
      </c>
      <c r="H3345" s="23" t="str">
        <f aca="false">IF(A3345="","",IF(D3345="GCIA LINEA SERVICIO DIGITALIDAD Y VENTAS","Chats",IF(OR(D3345="GERENCIA INBOUND LÍNEAS SERVICIO Y VENTA",D3345="GERENCIA INBOUND LINEAS ESPECIALIZADAS"),"Llamadas","Otro")))</f>
        <v/>
      </c>
      <c r="I3345" s="23" t="str">
        <f aca="false">IF(A3345="","",IF(C3345="No encontrado","No","Sí"))</f>
        <v/>
      </c>
      <c r="J3345" s="23" t="str">
        <f aca="false">IF(A3345="","",IF(F3345="Inactivo","No","Sí"))</f>
        <v/>
      </c>
      <c r="K3345" s="23" t="str">
        <f aca="false">IF(A3345="","",IF(AND(I3345="Sí",J3345="Sí"),"Sí","No"))</f>
        <v/>
      </c>
    </row>
    <row r="3346" customFormat="false" ht="15" hidden="false" customHeight="false" outlineLevel="0" collapsed="false">
      <c r="A3346" s="22"/>
      <c r="B3346" s="22"/>
      <c r="C3346" s="26" t="str">
        <f aca="false">IF(A3346="","",IFERROR(buscarx(A3346&amp;B3346,DATA!$E$3:$E$10000&amp;DATA!$B$3:$B$10000,DATA!$M$3:$M$10000),"No encontrado"))</f>
        <v/>
      </c>
      <c r="D3346" s="27" t="str">
        <f aca="false">IF(A3346="","",IFERROR(buscarx(A3346&amp;B3346,DATA!$E$3:$E$10000&amp;DATA!$B$3:$B$10000,DATA!$W$3:$W$10000),"No encontrado"))</f>
        <v/>
      </c>
      <c r="E3346" s="22"/>
      <c r="F3346" s="26" t="str">
        <f aca="false">IF(A3346="","",IFERROR(buscarx(A3346&amp;E3346,DATA!$E$3:$E$10000&amp;DATA!$B$3:$B$10000,DATA!$M$3:$M$10000),"Inactivo"))</f>
        <v/>
      </c>
      <c r="G3346" s="28" t="str">
        <f aca="false">IF(A3346="","",IF(AND(C3346&lt;&gt;"No encontrado",F3346&lt;&gt;"Inactivo"),C3346&amp;" → "&amp;F3346,"Sin transición"))</f>
        <v/>
      </c>
      <c r="H3346" s="26" t="str">
        <f aca="false">IF(A3346="","",IF(D3346="GCIA LINEA SERVICIO DIGITALIDAD Y VENTAS","Chats",IF(OR(D3346="GERENCIA INBOUND LÍNEAS SERVICIO Y VENTA",D3346="GERENCIA INBOUND LINEAS ESPECIALIZADAS"),"Llamadas","Otro")))</f>
        <v/>
      </c>
      <c r="I3346" s="26" t="str">
        <f aca="false">IF(A3346="","",IF(C3346="No encontrado","No","Sí"))</f>
        <v/>
      </c>
      <c r="J3346" s="26" t="str">
        <f aca="false">IF(A3346="","",IF(F3346="Inactivo","No","Sí"))</f>
        <v/>
      </c>
      <c r="K3346" s="26" t="str">
        <f aca="false">IF(A3346="","",IF(AND(I3346="Sí",J3346="Sí"),"Sí","No"))</f>
        <v/>
      </c>
    </row>
    <row r="3347" customFormat="false" ht="15" hidden="false" customHeight="false" outlineLevel="0" collapsed="false">
      <c r="A3347" s="22"/>
      <c r="B3347" s="22"/>
      <c r="C3347" s="23" t="str">
        <f aca="false">IF(A3347="","",IFERROR(buscarx(A3347&amp;B3347,DATA!$E$3:$E$10000&amp;DATA!$B$3:$B$10000,DATA!$M$3:$M$10000),"No encontrado"))</f>
        <v/>
      </c>
      <c r="D3347" s="24" t="str">
        <f aca="false">IF(A3347="","",IFERROR(buscarx(A3347&amp;B3347,DATA!$E$3:$E$10000&amp;DATA!$B$3:$B$10000,DATA!$W$3:$W$10000),"No encontrado"))</f>
        <v/>
      </c>
      <c r="E3347" s="22"/>
      <c r="F3347" s="23" t="str">
        <f aca="false">IF(A3347="","",IFERROR(buscarx(A3347&amp;E3347,DATA!$E$3:$E$10000&amp;DATA!$B$3:$B$10000,DATA!$M$3:$M$10000),"Inactivo"))</f>
        <v/>
      </c>
      <c r="G3347" s="25" t="str">
        <f aca="false">IF(A3347="","",IF(AND(C3347&lt;&gt;"No encontrado",F3347&lt;&gt;"Inactivo"),C3347&amp;" → "&amp;F3347,"Sin transición"))</f>
        <v/>
      </c>
      <c r="H3347" s="23" t="str">
        <f aca="false">IF(A3347="","",IF(D3347="GCIA LINEA SERVICIO DIGITALIDAD Y VENTAS","Chats",IF(OR(D3347="GERENCIA INBOUND LÍNEAS SERVICIO Y VENTA",D3347="GERENCIA INBOUND LINEAS ESPECIALIZADAS"),"Llamadas","Otro")))</f>
        <v/>
      </c>
      <c r="I3347" s="23" t="str">
        <f aca="false">IF(A3347="","",IF(C3347="No encontrado","No","Sí"))</f>
        <v/>
      </c>
      <c r="J3347" s="23" t="str">
        <f aca="false">IF(A3347="","",IF(F3347="Inactivo","No","Sí"))</f>
        <v/>
      </c>
      <c r="K3347" s="23" t="str">
        <f aca="false">IF(A3347="","",IF(AND(I3347="Sí",J3347="Sí"),"Sí","No"))</f>
        <v/>
      </c>
    </row>
    <row r="3348" customFormat="false" ht="15" hidden="false" customHeight="false" outlineLevel="0" collapsed="false">
      <c r="A3348" s="22"/>
      <c r="B3348" s="22"/>
      <c r="C3348" s="26" t="str">
        <f aca="false">IF(A3348="","",IFERROR(buscarx(A3348&amp;B3348,DATA!$E$3:$E$10000&amp;DATA!$B$3:$B$10000,DATA!$M$3:$M$10000),"No encontrado"))</f>
        <v/>
      </c>
      <c r="D3348" s="27" t="str">
        <f aca="false">IF(A3348="","",IFERROR(buscarx(A3348&amp;B3348,DATA!$E$3:$E$10000&amp;DATA!$B$3:$B$10000,DATA!$W$3:$W$10000),"No encontrado"))</f>
        <v/>
      </c>
      <c r="E3348" s="22"/>
      <c r="F3348" s="26" t="str">
        <f aca="false">IF(A3348="","",IFERROR(buscarx(A3348&amp;E3348,DATA!$E$3:$E$10000&amp;DATA!$B$3:$B$10000,DATA!$M$3:$M$10000),"Inactivo"))</f>
        <v/>
      </c>
      <c r="G3348" s="28" t="str">
        <f aca="false">IF(A3348="","",IF(AND(C3348&lt;&gt;"No encontrado",F3348&lt;&gt;"Inactivo"),C3348&amp;" → "&amp;F3348,"Sin transición"))</f>
        <v/>
      </c>
      <c r="H3348" s="26" t="str">
        <f aca="false">IF(A3348="","",IF(D3348="GCIA LINEA SERVICIO DIGITALIDAD Y VENTAS","Chats",IF(OR(D3348="GERENCIA INBOUND LÍNEAS SERVICIO Y VENTA",D3348="GERENCIA INBOUND LINEAS ESPECIALIZADAS"),"Llamadas","Otro")))</f>
        <v/>
      </c>
      <c r="I3348" s="26" t="str">
        <f aca="false">IF(A3348="","",IF(C3348="No encontrado","No","Sí"))</f>
        <v/>
      </c>
      <c r="J3348" s="26" t="str">
        <f aca="false">IF(A3348="","",IF(F3348="Inactivo","No","Sí"))</f>
        <v/>
      </c>
      <c r="K3348" s="26" t="str">
        <f aca="false">IF(A3348="","",IF(AND(I3348="Sí",J3348="Sí"),"Sí","No"))</f>
        <v/>
      </c>
    </row>
    <row r="3349" customFormat="false" ht="15" hidden="false" customHeight="false" outlineLevel="0" collapsed="false">
      <c r="A3349" s="22"/>
      <c r="B3349" s="22"/>
      <c r="C3349" s="23" t="str">
        <f aca="false">IF(A3349="","",IFERROR(buscarx(A3349&amp;B3349,DATA!$E$3:$E$10000&amp;DATA!$B$3:$B$10000,DATA!$M$3:$M$10000),"No encontrado"))</f>
        <v/>
      </c>
      <c r="D3349" s="24" t="str">
        <f aca="false">IF(A3349="","",IFERROR(buscarx(A3349&amp;B3349,DATA!$E$3:$E$10000&amp;DATA!$B$3:$B$10000,DATA!$W$3:$W$10000),"No encontrado"))</f>
        <v/>
      </c>
      <c r="E3349" s="22"/>
      <c r="F3349" s="23" t="str">
        <f aca="false">IF(A3349="","",IFERROR(buscarx(A3349&amp;E3349,DATA!$E$3:$E$10000&amp;DATA!$B$3:$B$10000,DATA!$M$3:$M$10000),"Inactivo"))</f>
        <v/>
      </c>
      <c r="G3349" s="25" t="str">
        <f aca="false">IF(A3349="","",IF(AND(C3349&lt;&gt;"No encontrado",F3349&lt;&gt;"Inactivo"),C3349&amp;" → "&amp;F3349,"Sin transición"))</f>
        <v/>
      </c>
      <c r="H3349" s="23" t="str">
        <f aca="false">IF(A3349="","",IF(D3349="GCIA LINEA SERVICIO DIGITALIDAD Y VENTAS","Chats",IF(OR(D3349="GERENCIA INBOUND LÍNEAS SERVICIO Y VENTA",D3349="GERENCIA INBOUND LINEAS ESPECIALIZADAS"),"Llamadas","Otro")))</f>
        <v/>
      </c>
      <c r="I3349" s="23" t="str">
        <f aca="false">IF(A3349="","",IF(C3349="No encontrado","No","Sí"))</f>
        <v/>
      </c>
      <c r="J3349" s="23" t="str">
        <f aca="false">IF(A3349="","",IF(F3349="Inactivo","No","Sí"))</f>
        <v/>
      </c>
      <c r="K3349" s="23" t="str">
        <f aca="false">IF(A3349="","",IF(AND(I3349="Sí",J3349="Sí"),"Sí","No"))</f>
        <v/>
      </c>
    </row>
    <row r="3350" customFormat="false" ht="15" hidden="false" customHeight="false" outlineLevel="0" collapsed="false">
      <c r="A3350" s="22"/>
      <c r="B3350" s="22"/>
      <c r="C3350" s="26" t="str">
        <f aca="false">IF(A3350="","",IFERROR(buscarx(A3350&amp;B3350,DATA!$E$3:$E$10000&amp;DATA!$B$3:$B$10000,DATA!$M$3:$M$10000),"No encontrado"))</f>
        <v/>
      </c>
      <c r="D3350" s="27" t="str">
        <f aca="false">IF(A3350="","",IFERROR(buscarx(A3350&amp;B3350,DATA!$E$3:$E$10000&amp;DATA!$B$3:$B$10000,DATA!$W$3:$W$10000),"No encontrado"))</f>
        <v/>
      </c>
      <c r="E3350" s="22"/>
      <c r="F3350" s="26" t="str">
        <f aca="false">IF(A3350="","",IFERROR(buscarx(A3350&amp;E3350,DATA!$E$3:$E$10000&amp;DATA!$B$3:$B$10000,DATA!$M$3:$M$10000),"Inactivo"))</f>
        <v/>
      </c>
      <c r="G3350" s="28" t="str">
        <f aca="false">IF(A3350="","",IF(AND(C3350&lt;&gt;"No encontrado",F3350&lt;&gt;"Inactivo"),C3350&amp;" → "&amp;F3350,"Sin transición"))</f>
        <v/>
      </c>
      <c r="H3350" s="26" t="str">
        <f aca="false">IF(A3350="","",IF(D3350="GCIA LINEA SERVICIO DIGITALIDAD Y VENTAS","Chats",IF(OR(D3350="GERENCIA INBOUND LÍNEAS SERVICIO Y VENTA",D3350="GERENCIA INBOUND LINEAS ESPECIALIZADAS"),"Llamadas","Otro")))</f>
        <v/>
      </c>
      <c r="I3350" s="26" t="str">
        <f aca="false">IF(A3350="","",IF(C3350="No encontrado","No","Sí"))</f>
        <v/>
      </c>
      <c r="J3350" s="26" t="str">
        <f aca="false">IF(A3350="","",IF(F3350="Inactivo","No","Sí"))</f>
        <v/>
      </c>
      <c r="K3350" s="26" t="str">
        <f aca="false">IF(A3350="","",IF(AND(I3350="Sí",J3350="Sí"),"Sí","No"))</f>
        <v/>
      </c>
    </row>
    <row r="3351" customFormat="false" ht="15" hidden="false" customHeight="false" outlineLevel="0" collapsed="false">
      <c r="A3351" s="22"/>
      <c r="B3351" s="22"/>
      <c r="C3351" s="23" t="str">
        <f aca="false">IF(A3351="","",IFERROR(buscarx(A3351&amp;B3351,DATA!$E$3:$E$10000&amp;DATA!$B$3:$B$10000,DATA!$M$3:$M$10000),"No encontrado"))</f>
        <v/>
      </c>
      <c r="D3351" s="24" t="str">
        <f aca="false">IF(A3351="","",IFERROR(buscarx(A3351&amp;B3351,DATA!$E$3:$E$10000&amp;DATA!$B$3:$B$10000,DATA!$W$3:$W$10000),"No encontrado"))</f>
        <v/>
      </c>
      <c r="E3351" s="22"/>
      <c r="F3351" s="23" t="str">
        <f aca="false">IF(A3351="","",IFERROR(buscarx(A3351&amp;E3351,DATA!$E$3:$E$10000&amp;DATA!$B$3:$B$10000,DATA!$M$3:$M$10000),"Inactivo"))</f>
        <v/>
      </c>
      <c r="G3351" s="25" t="str">
        <f aca="false">IF(A3351="","",IF(AND(C3351&lt;&gt;"No encontrado",F3351&lt;&gt;"Inactivo"),C3351&amp;" → "&amp;F3351,"Sin transición"))</f>
        <v/>
      </c>
      <c r="H3351" s="23" t="str">
        <f aca="false">IF(A3351="","",IF(D3351="GCIA LINEA SERVICIO DIGITALIDAD Y VENTAS","Chats",IF(OR(D3351="GERENCIA INBOUND LÍNEAS SERVICIO Y VENTA",D3351="GERENCIA INBOUND LINEAS ESPECIALIZADAS"),"Llamadas","Otro")))</f>
        <v/>
      </c>
      <c r="I3351" s="23" t="str">
        <f aca="false">IF(A3351="","",IF(C3351="No encontrado","No","Sí"))</f>
        <v/>
      </c>
      <c r="J3351" s="23" t="str">
        <f aca="false">IF(A3351="","",IF(F3351="Inactivo","No","Sí"))</f>
        <v/>
      </c>
      <c r="K3351" s="23" t="str">
        <f aca="false">IF(A3351="","",IF(AND(I3351="Sí",J3351="Sí"),"Sí","No"))</f>
        <v/>
      </c>
    </row>
    <row r="3352" customFormat="false" ht="15" hidden="false" customHeight="false" outlineLevel="0" collapsed="false">
      <c r="A3352" s="22"/>
      <c r="B3352" s="22"/>
      <c r="C3352" s="26" t="str">
        <f aca="false">IF(A3352="","",IFERROR(buscarx(A3352&amp;B3352,DATA!$E$3:$E$10000&amp;DATA!$B$3:$B$10000,DATA!$M$3:$M$10000),"No encontrado"))</f>
        <v/>
      </c>
      <c r="D3352" s="27" t="str">
        <f aca="false">IF(A3352="","",IFERROR(buscarx(A3352&amp;B3352,DATA!$E$3:$E$10000&amp;DATA!$B$3:$B$10000,DATA!$W$3:$W$10000),"No encontrado"))</f>
        <v/>
      </c>
      <c r="E3352" s="22"/>
      <c r="F3352" s="26" t="str">
        <f aca="false">IF(A3352="","",IFERROR(buscarx(A3352&amp;E3352,DATA!$E$3:$E$10000&amp;DATA!$B$3:$B$10000,DATA!$M$3:$M$10000),"Inactivo"))</f>
        <v/>
      </c>
      <c r="G3352" s="28" t="str">
        <f aca="false">IF(A3352="","",IF(AND(C3352&lt;&gt;"No encontrado",F3352&lt;&gt;"Inactivo"),C3352&amp;" → "&amp;F3352,"Sin transición"))</f>
        <v/>
      </c>
      <c r="H3352" s="26" t="str">
        <f aca="false">IF(A3352="","",IF(D3352="GCIA LINEA SERVICIO DIGITALIDAD Y VENTAS","Chats",IF(OR(D3352="GERENCIA INBOUND LÍNEAS SERVICIO Y VENTA",D3352="GERENCIA INBOUND LINEAS ESPECIALIZADAS"),"Llamadas","Otro")))</f>
        <v/>
      </c>
      <c r="I3352" s="26" t="str">
        <f aca="false">IF(A3352="","",IF(C3352="No encontrado","No","Sí"))</f>
        <v/>
      </c>
      <c r="J3352" s="26" t="str">
        <f aca="false">IF(A3352="","",IF(F3352="Inactivo","No","Sí"))</f>
        <v/>
      </c>
      <c r="K3352" s="26" t="str">
        <f aca="false">IF(A3352="","",IF(AND(I3352="Sí",J3352="Sí"),"Sí","No"))</f>
        <v/>
      </c>
    </row>
    <row r="3353" customFormat="false" ht="15" hidden="false" customHeight="false" outlineLevel="0" collapsed="false">
      <c r="A3353" s="22"/>
      <c r="B3353" s="22"/>
      <c r="C3353" s="23" t="str">
        <f aca="false">IF(A3353="","",IFERROR(buscarx(A3353&amp;B3353,DATA!$E$3:$E$10000&amp;DATA!$B$3:$B$10000,DATA!$M$3:$M$10000),"No encontrado"))</f>
        <v/>
      </c>
      <c r="D3353" s="24" t="str">
        <f aca="false">IF(A3353="","",IFERROR(buscarx(A3353&amp;B3353,DATA!$E$3:$E$10000&amp;DATA!$B$3:$B$10000,DATA!$W$3:$W$10000),"No encontrado"))</f>
        <v/>
      </c>
      <c r="E3353" s="22"/>
      <c r="F3353" s="23" t="str">
        <f aca="false">IF(A3353="","",IFERROR(buscarx(A3353&amp;E3353,DATA!$E$3:$E$10000&amp;DATA!$B$3:$B$10000,DATA!$M$3:$M$10000),"Inactivo"))</f>
        <v/>
      </c>
      <c r="G3353" s="25" t="str">
        <f aca="false">IF(A3353="","",IF(AND(C3353&lt;&gt;"No encontrado",F3353&lt;&gt;"Inactivo"),C3353&amp;" → "&amp;F3353,"Sin transición"))</f>
        <v/>
      </c>
      <c r="H3353" s="23" t="str">
        <f aca="false">IF(A3353="","",IF(D3353="GCIA LINEA SERVICIO DIGITALIDAD Y VENTAS","Chats",IF(OR(D3353="GERENCIA INBOUND LÍNEAS SERVICIO Y VENTA",D3353="GERENCIA INBOUND LINEAS ESPECIALIZADAS"),"Llamadas","Otro")))</f>
        <v/>
      </c>
      <c r="I3353" s="23" t="str">
        <f aca="false">IF(A3353="","",IF(C3353="No encontrado","No","Sí"))</f>
        <v/>
      </c>
      <c r="J3353" s="23" t="str">
        <f aca="false">IF(A3353="","",IF(F3353="Inactivo","No","Sí"))</f>
        <v/>
      </c>
      <c r="K3353" s="23" t="str">
        <f aca="false">IF(A3353="","",IF(AND(I3353="Sí",J3353="Sí"),"Sí","No"))</f>
        <v/>
      </c>
    </row>
    <row r="3354" customFormat="false" ht="15" hidden="false" customHeight="false" outlineLevel="0" collapsed="false">
      <c r="A3354" s="22"/>
      <c r="B3354" s="22"/>
      <c r="C3354" s="26" t="str">
        <f aca="false">IF(A3354="","",IFERROR(buscarx(A3354&amp;B3354,DATA!$E$3:$E$10000&amp;DATA!$B$3:$B$10000,DATA!$M$3:$M$10000),"No encontrado"))</f>
        <v/>
      </c>
      <c r="D3354" s="27" t="str">
        <f aca="false">IF(A3354="","",IFERROR(buscarx(A3354&amp;B3354,DATA!$E$3:$E$10000&amp;DATA!$B$3:$B$10000,DATA!$W$3:$W$10000),"No encontrado"))</f>
        <v/>
      </c>
      <c r="E3354" s="22"/>
      <c r="F3354" s="26" t="str">
        <f aca="false">IF(A3354="","",IFERROR(buscarx(A3354&amp;E3354,DATA!$E$3:$E$10000&amp;DATA!$B$3:$B$10000,DATA!$M$3:$M$10000),"Inactivo"))</f>
        <v/>
      </c>
      <c r="G3354" s="28" t="str">
        <f aca="false">IF(A3354="","",IF(AND(C3354&lt;&gt;"No encontrado",F3354&lt;&gt;"Inactivo"),C3354&amp;" → "&amp;F3354,"Sin transición"))</f>
        <v/>
      </c>
      <c r="H3354" s="26" t="str">
        <f aca="false">IF(A3354="","",IF(D3354="GCIA LINEA SERVICIO DIGITALIDAD Y VENTAS","Chats",IF(OR(D3354="GERENCIA INBOUND LÍNEAS SERVICIO Y VENTA",D3354="GERENCIA INBOUND LINEAS ESPECIALIZADAS"),"Llamadas","Otro")))</f>
        <v/>
      </c>
      <c r="I3354" s="26" t="str">
        <f aca="false">IF(A3354="","",IF(C3354="No encontrado","No","Sí"))</f>
        <v/>
      </c>
      <c r="J3354" s="26" t="str">
        <f aca="false">IF(A3354="","",IF(F3354="Inactivo","No","Sí"))</f>
        <v/>
      </c>
      <c r="K3354" s="26" t="str">
        <f aca="false">IF(A3354="","",IF(AND(I3354="Sí",J3354="Sí"),"Sí","No"))</f>
        <v/>
      </c>
    </row>
    <row r="3355" customFormat="false" ht="15" hidden="false" customHeight="false" outlineLevel="0" collapsed="false">
      <c r="A3355" s="22"/>
      <c r="B3355" s="22"/>
      <c r="C3355" s="23" t="str">
        <f aca="false">IF(A3355="","",IFERROR(buscarx(A3355&amp;B3355,DATA!$E$3:$E$10000&amp;DATA!$B$3:$B$10000,DATA!$M$3:$M$10000),"No encontrado"))</f>
        <v/>
      </c>
      <c r="D3355" s="24" t="str">
        <f aca="false">IF(A3355="","",IFERROR(buscarx(A3355&amp;B3355,DATA!$E$3:$E$10000&amp;DATA!$B$3:$B$10000,DATA!$W$3:$W$10000),"No encontrado"))</f>
        <v/>
      </c>
      <c r="E3355" s="22"/>
      <c r="F3355" s="23" t="str">
        <f aca="false">IF(A3355="","",IFERROR(buscarx(A3355&amp;E3355,DATA!$E$3:$E$10000&amp;DATA!$B$3:$B$10000,DATA!$M$3:$M$10000),"Inactivo"))</f>
        <v/>
      </c>
      <c r="G3355" s="25" t="str">
        <f aca="false">IF(A3355="","",IF(AND(C3355&lt;&gt;"No encontrado",F3355&lt;&gt;"Inactivo"),C3355&amp;" → "&amp;F3355,"Sin transición"))</f>
        <v/>
      </c>
      <c r="H3355" s="23" t="str">
        <f aca="false">IF(A3355="","",IF(D3355="GCIA LINEA SERVICIO DIGITALIDAD Y VENTAS","Chats",IF(OR(D3355="GERENCIA INBOUND LÍNEAS SERVICIO Y VENTA",D3355="GERENCIA INBOUND LINEAS ESPECIALIZADAS"),"Llamadas","Otro")))</f>
        <v/>
      </c>
      <c r="I3355" s="23" t="str">
        <f aca="false">IF(A3355="","",IF(C3355="No encontrado","No","Sí"))</f>
        <v/>
      </c>
      <c r="J3355" s="23" t="str">
        <f aca="false">IF(A3355="","",IF(F3355="Inactivo","No","Sí"))</f>
        <v/>
      </c>
      <c r="K3355" s="23" t="str">
        <f aca="false">IF(A3355="","",IF(AND(I3355="Sí",J3355="Sí"),"Sí","No"))</f>
        <v/>
      </c>
    </row>
    <row r="3356" customFormat="false" ht="15" hidden="false" customHeight="false" outlineLevel="0" collapsed="false">
      <c r="A3356" s="22"/>
      <c r="B3356" s="22"/>
      <c r="C3356" s="26" t="str">
        <f aca="false">IF(A3356="","",IFERROR(buscarx(A3356&amp;B3356,DATA!$E$3:$E$10000&amp;DATA!$B$3:$B$10000,DATA!$M$3:$M$10000),"No encontrado"))</f>
        <v/>
      </c>
      <c r="D3356" s="27" t="str">
        <f aca="false">IF(A3356="","",IFERROR(buscarx(A3356&amp;B3356,DATA!$E$3:$E$10000&amp;DATA!$B$3:$B$10000,DATA!$W$3:$W$10000),"No encontrado"))</f>
        <v/>
      </c>
      <c r="E3356" s="22"/>
      <c r="F3356" s="26" t="str">
        <f aca="false">IF(A3356="","",IFERROR(buscarx(A3356&amp;E3356,DATA!$E$3:$E$10000&amp;DATA!$B$3:$B$10000,DATA!$M$3:$M$10000),"Inactivo"))</f>
        <v/>
      </c>
      <c r="G3356" s="28" t="str">
        <f aca="false">IF(A3356="","",IF(AND(C3356&lt;&gt;"No encontrado",F3356&lt;&gt;"Inactivo"),C3356&amp;" → "&amp;F3356,"Sin transición"))</f>
        <v/>
      </c>
      <c r="H3356" s="26" t="str">
        <f aca="false">IF(A3356="","",IF(D3356="GCIA LINEA SERVICIO DIGITALIDAD Y VENTAS","Chats",IF(OR(D3356="GERENCIA INBOUND LÍNEAS SERVICIO Y VENTA",D3356="GERENCIA INBOUND LINEAS ESPECIALIZADAS"),"Llamadas","Otro")))</f>
        <v/>
      </c>
      <c r="I3356" s="26" t="str">
        <f aca="false">IF(A3356="","",IF(C3356="No encontrado","No","Sí"))</f>
        <v/>
      </c>
      <c r="J3356" s="26" t="str">
        <f aca="false">IF(A3356="","",IF(F3356="Inactivo","No","Sí"))</f>
        <v/>
      </c>
      <c r="K3356" s="26" t="str">
        <f aca="false">IF(A3356="","",IF(AND(I3356="Sí",J3356="Sí"),"Sí","No"))</f>
        <v/>
      </c>
    </row>
    <row r="3357" customFormat="false" ht="15" hidden="false" customHeight="false" outlineLevel="0" collapsed="false">
      <c r="A3357" s="22"/>
      <c r="B3357" s="22"/>
      <c r="C3357" s="23" t="str">
        <f aca="false">IF(A3357="","",IFERROR(buscarx(A3357&amp;B3357,DATA!$E$3:$E$10000&amp;DATA!$B$3:$B$10000,DATA!$M$3:$M$10000),"No encontrado"))</f>
        <v/>
      </c>
      <c r="D3357" s="24" t="str">
        <f aca="false">IF(A3357="","",IFERROR(buscarx(A3357&amp;B3357,DATA!$E$3:$E$10000&amp;DATA!$B$3:$B$10000,DATA!$W$3:$W$10000),"No encontrado"))</f>
        <v/>
      </c>
      <c r="E3357" s="22"/>
      <c r="F3357" s="23" t="str">
        <f aca="false">IF(A3357="","",IFERROR(buscarx(A3357&amp;E3357,DATA!$E$3:$E$10000&amp;DATA!$B$3:$B$10000,DATA!$M$3:$M$10000),"Inactivo"))</f>
        <v/>
      </c>
      <c r="G3357" s="25" t="str">
        <f aca="false">IF(A3357="","",IF(AND(C3357&lt;&gt;"No encontrado",F3357&lt;&gt;"Inactivo"),C3357&amp;" → "&amp;F3357,"Sin transición"))</f>
        <v/>
      </c>
      <c r="H3357" s="23" t="str">
        <f aca="false">IF(A3357="","",IF(D3357="GCIA LINEA SERVICIO DIGITALIDAD Y VENTAS","Chats",IF(OR(D3357="GERENCIA INBOUND LÍNEAS SERVICIO Y VENTA",D3357="GERENCIA INBOUND LINEAS ESPECIALIZADAS"),"Llamadas","Otro")))</f>
        <v/>
      </c>
      <c r="I3357" s="23" t="str">
        <f aca="false">IF(A3357="","",IF(C3357="No encontrado","No","Sí"))</f>
        <v/>
      </c>
      <c r="J3357" s="23" t="str">
        <f aca="false">IF(A3357="","",IF(F3357="Inactivo","No","Sí"))</f>
        <v/>
      </c>
      <c r="K3357" s="23" t="str">
        <f aca="false">IF(A3357="","",IF(AND(I3357="Sí",J3357="Sí"),"Sí","No"))</f>
        <v/>
      </c>
    </row>
    <row r="3358" customFormat="false" ht="15" hidden="false" customHeight="false" outlineLevel="0" collapsed="false">
      <c r="A3358" s="22"/>
      <c r="B3358" s="22"/>
      <c r="C3358" s="26" t="str">
        <f aca="false">IF(A3358="","",IFERROR(buscarx(A3358&amp;B3358,DATA!$E$3:$E$10000&amp;DATA!$B$3:$B$10000,DATA!$M$3:$M$10000),"No encontrado"))</f>
        <v/>
      </c>
      <c r="D3358" s="27" t="str">
        <f aca="false">IF(A3358="","",IFERROR(buscarx(A3358&amp;B3358,DATA!$E$3:$E$10000&amp;DATA!$B$3:$B$10000,DATA!$W$3:$W$10000),"No encontrado"))</f>
        <v/>
      </c>
      <c r="E3358" s="22"/>
      <c r="F3358" s="26" t="str">
        <f aca="false">IF(A3358="","",IFERROR(buscarx(A3358&amp;E3358,DATA!$E$3:$E$10000&amp;DATA!$B$3:$B$10000,DATA!$M$3:$M$10000),"Inactivo"))</f>
        <v/>
      </c>
      <c r="G3358" s="28" t="str">
        <f aca="false">IF(A3358="","",IF(AND(C3358&lt;&gt;"No encontrado",F3358&lt;&gt;"Inactivo"),C3358&amp;" → "&amp;F3358,"Sin transición"))</f>
        <v/>
      </c>
      <c r="H3358" s="26" t="str">
        <f aca="false">IF(A3358="","",IF(D3358="GCIA LINEA SERVICIO DIGITALIDAD Y VENTAS","Chats",IF(OR(D3358="GERENCIA INBOUND LÍNEAS SERVICIO Y VENTA",D3358="GERENCIA INBOUND LINEAS ESPECIALIZADAS"),"Llamadas","Otro")))</f>
        <v/>
      </c>
      <c r="I3358" s="26" t="str">
        <f aca="false">IF(A3358="","",IF(C3358="No encontrado","No","Sí"))</f>
        <v/>
      </c>
      <c r="J3358" s="26" t="str">
        <f aca="false">IF(A3358="","",IF(F3358="Inactivo","No","Sí"))</f>
        <v/>
      </c>
      <c r="K3358" s="26" t="str">
        <f aca="false">IF(A3358="","",IF(AND(I3358="Sí",J3358="Sí"),"Sí","No"))</f>
        <v/>
      </c>
    </row>
    <row r="3359" customFormat="false" ht="15" hidden="false" customHeight="false" outlineLevel="0" collapsed="false">
      <c r="A3359" s="22"/>
      <c r="B3359" s="22"/>
      <c r="C3359" s="23" t="str">
        <f aca="false">IF(A3359="","",IFERROR(buscarx(A3359&amp;B3359,DATA!$E$3:$E$10000&amp;DATA!$B$3:$B$10000,DATA!$M$3:$M$10000),"No encontrado"))</f>
        <v/>
      </c>
      <c r="D3359" s="24" t="str">
        <f aca="false">IF(A3359="","",IFERROR(buscarx(A3359&amp;B3359,DATA!$E$3:$E$10000&amp;DATA!$B$3:$B$10000,DATA!$W$3:$W$10000),"No encontrado"))</f>
        <v/>
      </c>
      <c r="E3359" s="22"/>
      <c r="F3359" s="23" t="str">
        <f aca="false">IF(A3359="","",IFERROR(buscarx(A3359&amp;E3359,DATA!$E$3:$E$10000&amp;DATA!$B$3:$B$10000,DATA!$M$3:$M$10000),"Inactivo"))</f>
        <v/>
      </c>
      <c r="G3359" s="25" t="str">
        <f aca="false">IF(A3359="","",IF(AND(C3359&lt;&gt;"No encontrado",F3359&lt;&gt;"Inactivo"),C3359&amp;" → "&amp;F3359,"Sin transición"))</f>
        <v/>
      </c>
      <c r="H3359" s="23" t="str">
        <f aca="false">IF(A3359="","",IF(D3359="GCIA LINEA SERVICIO DIGITALIDAD Y VENTAS","Chats",IF(OR(D3359="GERENCIA INBOUND LÍNEAS SERVICIO Y VENTA",D3359="GERENCIA INBOUND LINEAS ESPECIALIZADAS"),"Llamadas","Otro")))</f>
        <v/>
      </c>
      <c r="I3359" s="23" t="str">
        <f aca="false">IF(A3359="","",IF(C3359="No encontrado","No","Sí"))</f>
        <v/>
      </c>
      <c r="J3359" s="23" t="str">
        <f aca="false">IF(A3359="","",IF(F3359="Inactivo","No","Sí"))</f>
        <v/>
      </c>
      <c r="K3359" s="23" t="str">
        <f aca="false">IF(A3359="","",IF(AND(I3359="Sí",J3359="Sí"),"Sí","No"))</f>
        <v/>
      </c>
    </row>
    <row r="3360" customFormat="false" ht="15" hidden="false" customHeight="false" outlineLevel="0" collapsed="false">
      <c r="A3360" s="22"/>
      <c r="B3360" s="22"/>
      <c r="C3360" s="26" t="str">
        <f aca="false">IF(A3360="","",IFERROR(buscarx(A3360&amp;B3360,DATA!$E$3:$E$10000&amp;DATA!$B$3:$B$10000,DATA!$M$3:$M$10000),"No encontrado"))</f>
        <v/>
      </c>
      <c r="D3360" s="27" t="str">
        <f aca="false">IF(A3360="","",IFERROR(buscarx(A3360&amp;B3360,DATA!$E$3:$E$10000&amp;DATA!$B$3:$B$10000,DATA!$W$3:$W$10000),"No encontrado"))</f>
        <v/>
      </c>
      <c r="E3360" s="22"/>
      <c r="F3360" s="26" t="str">
        <f aca="false">IF(A3360="","",IFERROR(buscarx(A3360&amp;E3360,DATA!$E$3:$E$10000&amp;DATA!$B$3:$B$10000,DATA!$M$3:$M$10000),"Inactivo"))</f>
        <v/>
      </c>
      <c r="G3360" s="28" t="str">
        <f aca="false">IF(A3360="","",IF(AND(C3360&lt;&gt;"No encontrado",F3360&lt;&gt;"Inactivo"),C3360&amp;" → "&amp;F3360,"Sin transición"))</f>
        <v/>
      </c>
      <c r="H3360" s="26" t="str">
        <f aca="false">IF(A3360="","",IF(D3360="GCIA LINEA SERVICIO DIGITALIDAD Y VENTAS","Chats",IF(OR(D3360="GERENCIA INBOUND LÍNEAS SERVICIO Y VENTA",D3360="GERENCIA INBOUND LINEAS ESPECIALIZADAS"),"Llamadas","Otro")))</f>
        <v/>
      </c>
      <c r="I3360" s="26" t="str">
        <f aca="false">IF(A3360="","",IF(C3360="No encontrado","No","Sí"))</f>
        <v/>
      </c>
      <c r="J3360" s="26" t="str">
        <f aca="false">IF(A3360="","",IF(F3360="Inactivo","No","Sí"))</f>
        <v/>
      </c>
      <c r="K3360" s="26" t="str">
        <f aca="false">IF(A3360="","",IF(AND(I3360="Sí",J3360="Sí"),"Sí","No"))</f>
        <v/>
      </c>
    </row>
    <row r="3361" customFormat="false" ht="15" hidden="false" customHeight="false" outlineLevel="0" collapsed="false">
      <c r="A3361" s="22"/>
      <c r="B3361" s="22"/>
      <c r="C3361" s="23" t="str">
        <f aca="false">IF(A3361="","",IFERROR(buscarx(A3361&amp;B3361,DATA!$E$3:$E$10000&amp;DATA!$B$3:$B$10000,DATA!$M$3:$M$10000),"No encontrado"))</f>
        <v/>
      </c>
      <c r="D3361" s="24" t="str">
        <f aca="false">IF(A3361="","",IFERROR(buscarx(A3361&amp;B3361,DATA!$E$3:$E$10000&amp;DATA!$B$3:$B$10000,DATA!$W$3:$W$10000),"No encontrado"))</f>
        <v/>
      </c>
      <c r="E3361" s="22"/>
      <c r="F3361" s="23" t="str">
        <f aca="false">IF(A3361="","",IFERROR(buscarx(A3361&amp;E3361,DATA!$E$3:$E$10000&amp;DATA!$B$3:$B$10000,DATA!$M$3:$M$10000),"Inactivo"))</f>
        <v/>
      </c>
      <c r="G3361" s="25" t="str">
        <f aca="false">IF(A3361="","",IF(AND(C3361&lt;&gt;"No encontrado",F3361&lt;&gt;"Inactivo"),C3361&amp;" → "&amp;F3361,"Sin transición"))</f>
        <v/>
      </c>
      <c r="H3361" s="23" t="str">
        <f aca="false">IF(A3361="","",IF(D3361="GCIA LINEA SERVICIO DIGITALIDAD Y VENTAS","Chats",IF(OR(D3361="GERENCIA INBOUND LÍNEAS SERVICIO Y VENTA",D3361="GERENCIA INBOUND LINEAS ESPECIALIZADAS"),"Llamadas","Otro")))</f>
        <v/>
      </c>
      <c r="I3361" s="23" t="str">
        <f aca="false">IF(A3361="","",IF(C3361="No encontrado","No","Sí"))</f>
        <v/>
      </c>
      <c r="J3361" s="23" t="str">
        <f aca="false">IF(A3361="","",IF(F3361="Inactivo","No","Sí"))</f>
        <v/>
      </c>
      <c r="K3361" s="23" t="str">
        <f aca="false">IF(A3361="","",IF(AND(I3361="Sí",J3361="Sí"),"Sí","No"))</f>
        <v/>
      </c>
    </row>
    <row r="3362" customFormat="false" ht="15" hidden="false" customHeight="false" outlineLevel="0" collapsed="false">
      <c r="A3362" s="22"/>
      <c r="B3362" s="22"/>
      <c r="C3362" s="26" t="str">
        <f aca="false">IF(A3362="","",IFERROR(buscarx(A3362&amp;B3362,DATA!$E$3:$E$10000&amp;DATA!$B$3:$B$10000,DATA!$M$3:$M$10000),"No encontrado"))</f>
        <v/>
      </c>
      <c r="D3362" s="27" t="str">
        <f aca="false">IF(A3362="","",IFERROR(buscarx(A3362&amp;B3362,DATA!$E$3:$E$10000&amp;DATA!$B$3:$B$10000,DATA!$W$3:$W$10000),"No encontrado"))</f>
        <v/>
      </c>
      <c r="E3362" s="22"/>
      <c r="F3362" s="26" t="str">
        <f aca="false">IF(A3362="","",IFERROR(buscarx(A3362&amp;E3362,DATA!$E$3:$E$10000&amp;DATA!$B$3:$B$10000,DATA!$M$3:$M$10000),"Inactivo"))</f>
        <v/>
      </c>
      <c r="G3362" s="28" t="str">
        <f aca="false">IF(A3362="","",IF(AND(C3362&lt;&gt;"No encontrado",F3362&lt;&gt;"Inactivo"),C3362&amp;" → "&amp;F3362,"Sin transición"))</f>
        <v/>
      </c>
      <c r="H3362" s="26" t="str">
        <f aca="false">IF(A3362="","",IF(D3362="GCIA LINEA SERVICIO DIGITALIDAD Y VENTAS","Chats",IF(OR(D3362="GERENCIA INBOUND LÍNEAS SERVICIO Y VENTA",D3362="GERENCIA INBOUND LINEAS ESPECIALIZADAS"),"Llamadas","Otro")))</f>
        <v/>
      </c>
      <c r="I3362" s="26" t="str">
        <f aca="false">IF(A3362="","",IF(C3362="No encontrado","No","Sí"))</f>
        <v/>
      </c>
      <c r="J3362" s="26" t="str">
        <f aca="false">IF(A3362="","",IF(F3362="Inactivo","No","Sí"))</f>
        <v/>
      </c>
      <c r="K3362" s="26" t="str">
        <f aca="false">IF(A3362="","",IF(AND(I3362="Sí",J3362="Sí"),"Sí","No"))</f>
        <v/>
      </c>
    </row>
    <row r="3363" customFormat="false" ht="15" hidden="false" customHeight="false" outlineLevel="0" collapsed="false">
      <c r="A3363" s="22"/>
      <c r="B3363" s="22"/>
      <c r="C3363" s="23" t="str">
        <f aca="false">IF(A3363="","",IFERROR(buscarx(A3363&amp;B3363,DATA!$E$3:$E$10000&amp;DATA!$B$3:$B$10000,DATA!$M$3:$M$10000),"No encontrado"))</f>
        <v/>
      </c>
      <c r="D3363" s="24" t="str">
        <f aca="false">IF(A3363="","",IFERROR(buscarx(A3363&amp;B3363,DATA!$E$3:$E$10000&amp;DATA!$B$3:$B$10000,DATA!$W$3:$W$10000),"No encontrado"))</f>
        <v/>
      </c>
      <c r="E3363" s="22"/>
      <c r="F3363" s="23" t="str">
        <f aca="false">IF(A3363="","",IFERROR(buscarx(A3363&amp;E3363,DATA!$E$3:$E$10000&amp;DATA!$B$3:$B$10000,DATA!$M$3:$M$10000),"Inactivo"))</f>
        <v/>
      </c>
      <c r="G3363" s="25" t="str">
        <f aca="false">IF(A3363="","",IF(AND(C3363&lt;&gt;"No encontrado",F3363&lt;&gt;"Inactivo"),C3363&amp;" → "&amp;F3363,"Sin transición"))</f>
        <v/>
      </c>
      <c r="H3363" s="23" t="str">
        <f aca="false">IF(A3363="","",IF(D3363="GCIA LINEA SERVICIO DIGITALIDAD Y VENTAS","Chats",IF(OR(D3363="GERENCIA INBOUND LÍNEAS SERVICIO Y VENTA",D3363="GERENCIA INBOUND LINEAS ESPECIALIZADAS"),"Llamadas","Otro")))</f>
        <v/>
      </c>
      <c r="I3363" s="23" t="str">
        <f aca="false">IF(A3363="","",IF(C3363="No encontrado","No","Sí"))</f>
        <v/>
      </c>
      <c r="J3363" s="23" t="str">
        <f aca="false">IF(A3363="","",IF(F3363="Inactivo","No","Sí"))</f>
        <v/>
      </c>
      <c r="K3363" s="23" t="str">
        <f aca="false">IF(A3363="","",IF(AND(I3363="Sí",J3363="Sí"),"Sí","No"))</f>
        <v/>
      </c>
    </row>
    <row r="3364" customFormat="false" ht="15" hidden="false" customHeight="false" outlineLevel="0" collapsed="false">
      <c r="A3364" s="22"/>
      <c r="B3364" s="22"/>
      <c r="C3364" s="26" t="str">
        <f aca="false">IF(A3364="","",IFERROR(buscarx(A3364&amp;B3364,DATA!$E$3:$E$10000&amp;DATA!$B$3:$B$10000,DATA!$M$3:$M$10000),"No encontrado"))</f>
        <v/>
      </c>
      <c r="D3364" s="27" t="str">
        <f aca="false">IF(A3364="","",IFERROR(buscarx(A3364&amp;B3364,DATA!$E$3:$E$10000&amp;DATA!$B$3:$B$10000,DATA!$W$3:$W$10000),"No encontrado"))</f>
        <v/>
      </c>
      <c r="E3364" s="22"/>
      <c r="F3364" s="26" t="str">
        <f aca="false">IF(A3364="","",IFERROR(buscarx(A3364&amp;E3364,DATA!$E$3:$E$10000&amp;DATA!$B$3:$B$10000,DATA!$M$3:$M$10000),"Inactivo"))</f>
        <v/>
      </c>
      <c r="G3364" s="28" t="str">
        <f aca="false">IF(A3364="","",IF(AND(C3364&lt;&gt;"No encontrado",F3364&lt;&gt;"Inactivo"),C3364&amp;" → "&amp;F3364,"Sin transición"))</f>
        <v/>
      </c>
      <c r="H3364" s="26" t="str">
        <f aca="false">IF(A3364="","",IF(D3364="GCIA LINEA SERVICIO DIGITALIDAD Y VENTAS","Chats",IF(OR(D3364="GERENCIA INBOUND LÍNEAS SERVICIO Y VENTA",D3364="GERENCIA INBOUND LINEAS ESPECIALIZADAS"),"Llamadas","Otro")))</f>
        <v/>
      </c>
      <c r="I3364" s="26" t="str">
        <f aca="false">IF(A3364="","",IF(C3364="No encontrado","No","Sí"))</f>
        <v/>
      </c>
      <c r="J3364" s="26" t="str">
        <f aca="false">IF(A3364="","",IF(F3364="Inactivo","No","Sí"))</f>
        <v/>
      </c>
      <c r="K3364" s="26" t="str">
        <f aca="false">IF(A3364="","",IF(AND(I3364="Sí",J3364="Sí"),"Sí","No"))</f>
        <v/>
      </c>
    </row>
    <row r="3365" customFormat="false" ht="15" hidden="false" customHeight="false" outlineLevel="0" collapsed="false">
      <c r="A3365" s="22"/>
      <c r="B3365" s="22"/>
      <c r="C3365" s="23" t="str">
        <f aca="false">IF(A3365="","",IFERROR(buscarx(A3365&amp;B3365,DATA!$E$3:$E$10000&amp;DATA!$B$3:$B$10000,DATA!$M$3:$M$10000),"No encontrado"))</f>
        <v/>
      </c>
      <c r="D3365" s="24" t="str">
        <f aca="false">IF(A3365="","",IFERROR(buscarx(A3365&amp;B3365,DATA!$E$3:$E$10000&amp;DATA!$B$3:$B$10000,DATA!$W$3:$W$10000),"No encontrado"))</f>
        <v/>
      </c>
      <c r="E3365" s="22"/>
      <c r="F3365" s="23" t="str">
        <f aca="false">IF(A3365="","",IFERROR(buscarx(A3365&amp;E3365,DATA!$E$3:$E$10000&amp;DATA!$B$3:$B$10000,DATA!$M$3:$M$10000),"Inactivo"))</f>
        <v/>
      </c>
      <c r="G3365" s="25" t="str">
        <f aca="false">IF(A3365="","",IF(AND(C3365&lt;&gt;"No encontrado",F3365&lt;&gt;"Inactivo"),C3365&amp;" → "&amp;F3365,"Sin transición"))</f>
        <v/>
      </c>
      <c r="H3365" s="23" t="str">
        <f aca="false">IF(A3365="","",IF(D3365="GCIA LINEA SERVICIO DIGITALIDAD Y VENTAS","Chats",IF(OR(D3365="GERENCIA INBOUND LÍNEAS SERVICIO Y VENTA",D3365="GERENCIA INBOUND LINEAS ESPECIALIZADAS"),"Llamadas","Otro")))</f>
        <v/>
      </c>
      <c r="I3365" s="23" t="str">
        <f aca="false">IF(A3365="","",IF(C3365="No encontrado","No","Sí"))</f>
        <v/>
      </c>
      <c r="J3365" s="23" t="str">
        <f aca="false">IF(A3365="","",IF(F3365="Inactivo","No","Sí"))</f>
        <v/>
      </c>
      <c r="K3365" s="23" t="str">
        <f aca="false">IF(A3365="","",IF(AND(I3365="Sí",J3365="Sí"),"Sí","No"))</f>
        <v/>
      </c>
    </row>
    <row r="3366" customFormat="false" ht="15" hidden="false" customHeight="false" outlineLevel="0" collapsed="false">
      <c r="A3366" s="22"/>
      <c r="B3366" s="22"/>
      <c r="C3366" s="26" t="str">
        <f aca="false">IF(A3366="","",IFERROR(buscarx(A3366&amp;B3366,DATA!$E$3:$E$10000&amp;DATA!$B$3:$B$10000,DATA!$M$3:$M$10000),"No encontrado"))</f>
        <v/>
      </c>
      <c r="D3366" s="27" t="str">
        <f aca="false">IF(A3366="","",IFERROR(buscarx(A3366&amp;B3366,DATA!$E$3:$E$10000&amp;DATA!$B$3:$B$10000,DATA!$W$3:$W$10000),"No encontrado"))</f>
        <v/>
      </c>
      <c r="E3366" s="22"/>
      <c r="F3366" s="26" t="str">
        <f aca="false">IF(A3366="","",IFERROR(buscarx(A3366&amp;E3366,DATA!$E$3:$E$10000&amp;DATA!$B$3:$B$10000,DATA!$M$3:$M$10000),"Inactivo"))</f>
        <v/>
      </c>
      <c r="G3366" s="28" t="str">
        <f aca="false">IF(A3366="","",IF(AND(C3366&lt;&gt;"No encontrado",F3366&lt;&gt;"Inactivo"),C3366&amp;" → "&amp;F3366,"Sin transición"))</f>
        <v/>
      </c>
      <c r="H3366" s="26" t="str">
        <f aca="false">IF(A3366="","",IF(D3366="GCIA LINEA SERVICIO DIGITALIDAD Y VENTAS","Chats",IF(OR(D3366="GERENCIA INBOUND LÍNEAS SERVICIO Y VENTA",D3366="GERENCIA INBOUND LINEAS ESPECIALIZADAS"),"Llamadas","Otro")))</f>
        <v/>
      </c>
      <c r="I3366" s="26" t="str">
        <f aca="false">IF(A3366="","",IF(C3366="No encontrado","No","Sí"))</f>
        <v/>
      </c>
      <c r="J3366" s="26" t="str">
        <f aca="false">IF(A3366="","",IF(F3366="Inactivo","No","Sí"))</f>
        <v/>
      </c>
      <c r="K3366" s="26" t="str">
        <f aca="false">IF(A3366="","",IF(AND(I3366="Sí",J3366="Sí"),"Sí","No"))</f>
        <v/>
      </c>
    </row>
    <row r="3367" customFormat="false" ht="15" hidden="false" customHeight="false" outlineLevel="0" collapsed="false">
      <c r="A3367" s="22"/>
      <c r="B3367" s="22"/>
      <c r="C3367" s="23" t="str">
        <f aca="false">IF(A3367="","",IFERROR(buscarx(A3367&amp;B3367,DATA!$E$3:$E$10000&amp;DATA!$B$3:$B$10000,DATA!$M$3:$M$10000),"No encontrado"))</f>
        <v/>
      </c>
      <c r="D3367" s="24" t="str">
        <f aca="false">IF(A3367="","",IFERROR(buscarx(A3367&amp;B3367,DATA!$E$3:$E$10000&amp;DATA!$B$3:$B$10000,DATA!$W$3:$W$10000),"No encontrado"))</f>
        <v/>
      </c>
      <c r="E3367" s="22"/>
      <c r="F3367" s="23" t="str">
        <f aca="false">IF(A3367="","",IFERROR(buscarx(A3367&amp;E3367,DATA!$E$3:$E$10000&amp;DATA!$B$3:$B$10000,DATA!$M$3:$M$10000),"Inactivo"))</f>
        <v/>
      </c>
      <c r="G3367" s="25" t="str">
        <f aca="false">IF(A3367="","",IF(AND(C3367&lt;&gt;"No encontrado",F3367&lt;&gt;"Inactivo"),C3367&amp;" → "&amp;F3367,"Sin transición"))</f>
        <v/>
      </c>
      <c r="H3367" s="23" t="str">
        <f aca="false">IF(A3367="","",IF(D3367="GCIA LINEA SERVICIO DIGITALIDAD Y VENTAS","Chats",IF(OR(D3367="GERENCIA INBOUND LÍNEAS SERVICIO Y VENTA",D3367="GERENCIA INBOUND LINEAS ESPECIALIZADAS"),"Llamadas","Otro")))</f>
        <v/>
      </c>
      <c r="I3367" s="23" t="str">
        <f aca="false">IF(A3367="","",IF(C3367="No encontrado","No","Sí"))</f>
        <v/>
      </c>
      <c r="J3367" s="23" t="str">
        <f aca="false">IF(A3367="","",IF(F3367="Inactivo","No","Sí"))</f>
        <v/>
      </c>
      <c r="K3367" s="23" t="str">
        <f aca="false">IF(A3367="","",IF(AND(I3367="Sí",J3367="Sí"),"Sí","No"))</f>
        <v/>
      </c>
    </row>
    <row r="3368" customFormat="false" ht="15" hidden="false" customHeight="false" outlineLevel="0" collapsed="false">
      <c r="A3368" s="22"/>
      <c r="B3368" s="22"/>
      <c r="C3368" s="26" t="str">
        <f aca="false">IF(A3368="","",IFERROR(buscarx(A3368&amp;B3368,DATA!$E$3:$E$10000&amp;DATA!$B$3:$B$10000,DATA!$M$3:$M$10000),"No encontrado"))</f>
        <v/>
      </c>
      <c r="D3368" s="27" t="str">
        <f aca="false">IF(A3368="","",IFERROR(buscarx(A3368&amp;B3368,DATA!$E$3:$E$10000&amp;DATA!$B$3:$B$10000,DATA!$W$3:$W$10000),"No encontrado"))</f>
        <v/>
      </c>
      <c r="E3368" s="22"/>
      <c r="F3368" s="26" t="str">
        <f aca="false">IF(A3368="","",IFERROR(buscarx(A3368&amp;E3368,DATA!$E$3:$E$10000&amp;DATA!$B$3:$B$10000,DATA!$M$3:$M$10000),"Inactivo"))</f>
        <v/>
      </c>
      <c r="G3368" s="28" t="str">
        <f aca="false">IF(A3368="","",IF(AND(C3368&lt;&gt;"No encontrado",F3368&lt;&gt;"Inactivo"),C3368&amp;" → "&amp;F3368,"Sin transición"))</f>
        <v/>
      </c>
      <c r="H3368" s="26" t="str">
        <f aca="false">IF(A3368="","",IF(D3368="GCIA LINEA SERVICIO DIGITALIDAD Y VENTAS","Chats",IF(OR(D3368="GERENCIA INBOUND LÍNEAS SERVICIO Y VENTA",D3368="GERENCIA INBOUND LINEAS ESPECIALIZADAS"),"Llamadas","Otro")))</f>
        <v/>
      </c>
      <c r="I3368" s="26" t="str">
        <f aca="false">IF(A3368="","",IF(C3368="No encontrado","No","Sí"))</f>
        <v/>
      </c>
      <c r="J3368" s="26" t="str">
        <f aca="false">IF(A3368="","",IF(F3368="Inactivo","No","Sí"))</f>
        <v/>
      </c>
      <c r="K3368" s="26" t="str">
        <f aca="false">IF(A3368="","",IF(AND(I3368="Sí",J3368="Sí"),"Sí","No"))</f>
        <v/>
      </c>
    </row>
    <row r="3369" customFormat="false" ht="15" hidden="false" customHeight="false" outlineLevel="0" collapsed="false">
      <c r="A3369" s="22"/>
      <c r="B3369" s="22"/>
      <c r="C3369" s="23" t="str">
        <f aca="false">IF(A3369="","",IFERROR(buscarx(A3369&amp;B3369,DATA!$E$3:$E$10000&amp;DATA!$B$3:$B$10000,DATA!$M$3:$M$10000),"No encontrado"))</f>
        <v/>
      </c>
      <c r="D3369" s="24" t="str">
        <f aca="false">IF(A3369="","",IFERROR(buscarx(A3369&amp;B3369,DATA!$E$3:$E$10000&amp;DATA!$B$3:$B$10000,DATA!$W$3:$W$10000),"No encontrado"))</f>
        <v/>
      </c>
      <c r="E3369" s="22"/>
      <c r="F3369" s="23" t="str">
        <f aca="false">IF(A3369="","",IFERROR(buscarx(A3369&amp;E3369,DATA!$E$3:$E$10000&amp;DATA!$B$3:$B$10000,DATA!$M$3:$M$10000),"Inactivo"))</f>
        <v/>
      </c>
      <c r="G3369" s="25" t="str">
        <f aca="false">IF(A3369="","",IF(AND(C3369&lt;&gt;"No encontrado",F3369&lt;&gt;"Inactivo"),C3369&amp;" → "&amp;F3369,"Sin transición"))</f>
        <v/>
      </c>
      <c r="H3369" s="23" t="str">
        <f aca="false">IF(A3369="","",IF(D3369="GCIA LINEA SERVICIO DIGITALIDAD Y VENTAS","Chats",IF(OR(D3369="GERENCIA INBOUND LÍNEAS SERVICIO Y VENTA",D3369="GERENCIA INBOUND LINEAS ESPECIALIZADAS"),"Llamadas","Otro")))</f>
        <v/>
      </c>
      <c r="I3369" s="23" t="str">
        <f aca="false">IF(A3369="","",IF(C3369="No encontrado","No","Sí"))</f>
        <v/>
      </c>
      <c r="J3369" s="23" t="str">
        <f aca="false">IF(A3369="","",IF(F3369="Inactivo","No","Sí"))</f>
        <v/>
      </c>
      <c r="K3369" s="23" t="str">
        <f aca="false">IF(A3369="","",IF(AND(I3369="Sí",J3369="Sí"),"Sí","No"))</f>
        <v/>
      </c>
    </row>
    <row r="3370" customFormat="false" ht="15" hidden="false" customHeight="false" outlineLevel="0" collapsed="false">
      <c r="A3370" s="22"/>
      <c r="B3370" s="22"/>
      <c r="C3370" s="26" t="str">
        <f aca="false">IF(A3370="","",IFERROR(buscarx(A3370&amp;B3370,DATA!$E$3:$E$10000&amp;DATA!$B$3:$B$10000,DATA!$M$3:$M$10000),"No encontrado"))</f>
        <v/>
      </c>
      <c r="D3370" s="27" t="str">
        <f aca="false">IF(A3370="","",IFERROR(buscarx(A3370&amp;B3370,DATA!$E$3:$E$10000&amp;DATA!$B$3:$B$10000,DATA!$W$3:$W$10000),"No encontrado"))</f>
        <v/>
      </c>
      <c r="E3370" s="22"/>
      <c r="F3370" s="26" t="str">
        <f aca="false">IF(A3370="","",IFERROR(buscarx(A3370&amp;E3370,DATA!$E$3:$E$10000&amp;DATA!$B$3:$B$10000,DATA!$M$3:$M$10000),"Inactivo"))</f>
        <v/>
      </c>
      <c r="G3370" s="28" t="str">
        <f aca="false">IF(A3370="","",IF(AND(C3370&lt;&gt;"No encontrado",F3370&lt;&gt;"Inactivo"),C3370&amp;" → "&amp;F3370,"Sin transición"))</f>
        <v/>
      </c>
      <c r="H3370" s="26" t="str">
        <f aca="false">IF(A3370="","",IF(D3370="GCIA LINEA SERVICIO DIGITALIDAD Y VENTAS","Chats",IF(OR(D3370="GERENCIA INBOUND LÍNEAS SERVICIO Y VENTA",D3370="GERENCIA INBOUND LINEAS ESPECIALIZADAS"),"Llamadas","Otro")))</f>
        <v/>
      </c>
      <c r="I3370" s="26" t="str">
        <f aca="false">IF(A3370="","",IF(C3370="No encontrado","No","Sí"))</f>
        <v/>
      </c>
      <c r="J3370" s="26" t="str">
        <f aca="false">IF(A3370="","",IF(F3370="Inactivo","No","Sí"))</f>
        <v/>
      </c>
      <c r="K3370" s="26" t="str">
        <f aca="false">IF(A3370="","",IF(AND(I3370="Sí",J3370="Sí"),"Sí","No"))</f>
        <v/>
      </c>
    </row>
    <row r="3371" customFormat="false" ht="15" hidden="false" customHeight="false" outlineLevel="0" collapsed="false">
      <c r="A3371" s="22"/>
      <c r="B3371" s="22"/>
      <c r="C3371" s="23" t="str">
        <f aca="false">IF(A3371="","",IFERROR(buscarx(A3371&amp;B3371,DATA!$E$3:$E$10000&amp;DATA!$B$3:$B$10000,DATA!$M$3:$M$10000),"No encontrado"))</f>
        <v/>
      </c>
      <c r="D3371" s="24" t="str">
        <f aca="false">IF(A3371="","",IFERROR(buscarx(A3371&amp;B3371,DATA!$E$3:$E$10000&amp;DATA!$B$3:$B$10000,DATA!$W$3:$W$10000),"No encontrado"))</f>
        <v/>
      </c>
      <c r="E3371" s="22"/>
      <c r="F3371" s="23" t="str">
        <f aca="false">IF(A3371="","",IFERROR(buscarx(A3371&amp;E3371,DATA!$E$3:$E$10000&amp;DATA!$B$3:$B$10000,DATA!$M$3:$M$10000),"Inactivo"))</f>
        <v/>
      </c>
      <c r="G3371" s="25" t="str">
        <f aca="false">IF(A3371="","",IF(AND(C3371&lt;&gt;"No encontrado",F3371&lt;&gt;"Inactivo"),C3371&amp;" → "&amp;F3371,"Sin transición"))</f>
        <v/>
      </c>
      <c r="H3371" s="23" t="str">
        <f aca="false">IF(A3371="","",IF(D3371="GCIA LINEA SERVICIO DIGITALIDAD Y VENTAS","Chats",IF(OR(D3371="GERENCIA INBOUND LÍNEAS SERVICIO Y VENTA",D3371="GERENCIA INBOUND LINEAS ESPECIALIZADAS"),"Llamadas","Otro")))</f>
        <v/>
      </c>
      <c r="I3371" s="23" t="str">
        <f aca="false">IF(A3371="","",IF(C3371="No encontrado","No","Sí"))</f>
        <v/>
      </c>
      <c r="J3371" s="23" t="str">
        <f aca="false">IF(A3371="","",IF(F3371="Inactivo","No","Sí"))</f>
        <v/>
      </c>
      <c r="K3371" s="23" t="str">
        <f aca="false">IF(A3371="","",IF(AND(I3371="Sí",J3371="Sí"),"Sí","No"))</f>
        <v/>
      </c>
    </row>
    <row r="3372" customFormat="false" ht="15" hidden="false" customHeight="false" outlineLevel="0" collapsed="false">
      <c r="A3372" s="22"/>
      <c r="B3372" s="22"/>
      <c r="C3372" s="26" t="str">
        <f aca="false">IF(A3372="","",IFERROR(buscarx(A3372&amp;B3372,DATA!$E$3:$E$10000&amp;DATA!$B$3:$B$10000,DATA!$M$3:$M$10000),"No encontrado"))</f>
        <v/>
      </c>
      <c r="D3372" s="27" t="str">
        <f aca="false">IF(A3372="","",IFERROR(buscarx(A3372&amp;B3372,DATA!$E$3:$E$10000&amp;DATA!$B$3:$B$10000,DATA!$W$3:$W$10000),"No encontrado"))</f>
        <v/>
      </c>
      <c r="E3372" s="22"/>
      <c r="F3372" s="26" t="str">
        <f aca="false">IF(A3372="","",IFERROR(buscarx(A3372&amp;E3372,DATA!$E$3:$E$10000&amp;DATA!$B$3:$B$10000,DATA!$M$3:$M$10000),"Inactivo"))</f>
        <v/>
      </c>
      <c r="G3372" s="28" t="str">
        <f aca="false">IF(A3372="","",IF(AND(C3372&lt;&gt;"No encontrado",F3372&lt;&gt;"Inactivo"),C3372&amp;" → "&amp;F3372,"Sin transición"))</f>
        <v/>
      </c>
      <c r="H3372" s="26" t="str">
        <f aca="false">IF(A3372="","",IF(D3372="GCIA LINEA SERVICIO DIGITALIDAD Y VENTAS","Chats",IF(OR(D3372="GERENCIA INBOUND LÍNEAS SERVICIO Y VENTA",D3372="GERENCIA INBOUND LINEAS ESPECIALIZADAS"),"Llamadas","Otro")))</f>
        <v/>
      </c>
      <c r="I3372" s="26" t="str">
        <f aca="false">IF(A3372="","",IF(C3372="No encontrado","No","Sí"))</f>
        <v/>
      </c>
      <c r="J3372" s="26" t="str">
        <f aca="false">IF(A3372="","",IF(F3372="Inactivo","No","Sí"))</f>
        <v/>
      </c>
      <c r="K3372" s="26" t="str">
        <f aca="false">IF(A3372="","",IF(AND(I3372="Sí",J3372="Sí"),"Sí","No"))</f>
        <v/>
      </c>
    </row>
    <row r="3373" customFormat="false" ht="15" hidden="false" customHeight="false" outlineLevel="0" collapsed="false">
      <c r="A3373" s="22"/>
      <c r="B3373" s="22"/>
      <c r="C3373" s="23" t="str">
        <f aca="false">IF(A3373="","",IFERROR(buscarx(A3373&amp;B3373,DATA!$E$3:$E$10000&amp;DATA!$B$3:$B$10000,DATA!$M$3:$M$10000),"No encontrado"))</f>
        <v/>
      </c>
      <c r="D3373" s="24" t="str">
        <f aca="false">IF(A3373="","",IFERROR(buscarx(A3373&amp;B3373,DATA!$E$3:$E$10000&amp;DATA!$B$3:$B$10000,DATA!$W$3:$W$10000),"No encontrado"))</f>
        <v/>
      </c>
      <c r="E3373" s="22"/>
      <c r="F3373" s="23" t="str">
        <f aca="false">IF(A3373="","",IFERROR(buscarx(A3373&amp;E3373,DATA!$E$3:$E$10000&amp;DATA!$B$3:$B$10000,DATA!$M$3:$M$10000),"Inactivo"))</f>
        <v/>
      </c>
      <c r="G3373" s="25" t="str">
        <f aca="false">IF(A3373="","",IF(AND(C3373&lt;&gt;"No encontrado",F3373&lt;&gt;"Inactivo"),C3373&amp;" → "&amp;F3373,"Sin transición"))</f>
        <v/>
      </c>
      <c r="H3373" s="23" t="str">
        <f aca="false">IF(A3373="","",IF(D3373="GCIA LINEA SERVICIO DIGITALIDAD Y VENTAS","Chats",IF(OR(D3373="GERENCIA INBOUND LÍNEAS SERVICIO Y VENTA",D3373="GERENCIA INBOUND LINEAS ESPECIALIZADAS"),"Llamadas","Otro")))</f>
        <v/>
      </c>
      <c r="I3373" s="23" t="str">
        <f aca="false">IF(A3373="","",IF(C3373="No encontrado","No","Sí"))</f>
        <v/>
      </c>
      <c r="J3373" s="23" t="str">
        <f aca="false">IF(A3373="","",IF(F3373="Inactivo","No","Sí"))</f>
        <v/>
      </c>
      <c r="K3373" s="23" t="str">
        <f aca="false">IF(A3373="","",IF(AND(I3373="Sí",J3373="Sí"),"Sí","No"))</f>
        <v/>
      </c>
    </row>
    <row r="3374" customFormat="false" ht="15" hidden="false" customHeight="false" outlineLevel="0" collapsed="false">
      <c r="A3374" s="22"/>
      <c r="B3374" s="22"/>
      <c r="C3374" s="26" t="str">
        <f aca="false">IF(A3374="","",IFERROR(buscarx(A3374&amp;B3374,DATA!$E$3:$E$10000&amp;DATA!$B$3:$B$10000,DATA!$M$3:$M$10000),"No encontrado"))</f>
        <v/>
      </c>
      <c r="D3374" s="27" t="str">
        <f aca="false">IF(A3374="","",IFERROR(buscarx(A3374&amp;B3374,DATA!$E$3:$E$10000&amp;DATA!$B$3:$B$10000,DATA!$W$3:$W$10000),"No encontrado"))</f>
        <v/>
      </c>
      <c r="E3374" s="22"/>
      <c r="F3374" s="26" t="str">
        <f aca="false">IF(A3374="","",IFERROR(buscarx(A3374&amp;E3374,DATA!$E$3:$E$10000&amp;DATA!$B$3:$B$10000,DATA!$M$3:$M$10000),"Inactivo"))</f>
        <v/>
      </c>
      <c r="G3374" s="28" t="str">
        <f aca="false">IF(A3374="","",IF(AND(C3374&lt;&gt;"No encontrado",F3374&lt;&gt;"Inactivo"),C3374&amp;" → "&amp;F3374,"Sin transición"))</f>
        <v/>
      </c>
      <c r="H3374" s="26" t="str">
        <f aca="false">IF(A3374="","",IF(D3374="GCIA LINEA SERVICIO DIGITALIDAD Y VENTAS","Chats",IF(OR(D3374="GERENCIA INBOUND LÍNEAS SERVICIO Y VENTA",D3374="GERENCIA INBOUND LINEAS ESPECIALIZADAS"),"Llamadas","Otro")))</f>
        <v/>
      </c>
      <c r="I3374" s="26" t="str">
        <f aca="false">IF(A3374="","",IF(C3374="No encontrado","No","Sí"))</f>
        <v/>
      </c>
      <c r="J3374" s="26" t="str">
        <f aca="false">IF(A3374="","",IF(F3374="Inactivo","No","Sí"))</f>
        <v/>
      </c>
      <c r="K3374" s="26" t="str">
        <f aca="false">IF(A3374="","",IF(AND(I3374="Sí",J3374="Sí"),"Sí","No"))</f>
        <v/>
      </c>
    </row>
    <row r="3375" customFormat="false" ht="15" hidden="false" customHeight="false" outlineLevel="0" collapsed="false">
      <c r="A3375" s="22"/>
      <c r="B3375" s="22"/>
      <c r="C3375" s="23" t="str">
        <f aca="false">IF(A3375="","",IFERROR(buscarx(A3375&amp;B3375,DATA!$E$3:$E$10000&amp;DATA!$B$3:$B$10000,DATA!$M$3:$M$10000),"No encontrado"))</f>
        <v/>
      </c>
      <c r="D3375" s="24" t="str">
        <f aca="false">IF(A3375="","",IFERROR(buscarx(A3375&amp;B3375,DATA!$E$3:$E$10000&amp;DATA!$B$3:$B$10000,DATA!$W$3:$W$10000),"No encontrado"))</f>
        <v/>
      </c>
      <c r="E3375" s="22"/>
      <c r="F3375" s="23" t="str">
        <f aca="false">IF(A3375="","",IFERROR(buscarx(A3375&amp;E3375,DATA!$E$3:$E$10000&amp;DATA!$B$3:$B$10000,DATA!$M$3:$M$10000),"Inactivo"))</f>
        <v/>
      </c>
      <c r="G3375" s="25" t="str">
        <f aca="false">IF(A3375="","",IF(AND(C3375&lt;&gt;"No encontrado",F3375&lt;&gt;"Inactivo"),C3375&amp;" → "&amp;F3375,"Sin transición"))</f>
        <v/>
      </c>
      <c r="H3375" s="23" t="str">
        <f aca="false">IF(A3375="","",IF(D3375="GCIA LINEA SERVICIO DIGITALIDAD Y VENTAS","Chats",IF(OR(D3375="GERENCIA INBOUND LÍNEAS SERVICIO Y VENTA",D3375="GERENCIA INBOUND LINEAS ESPECIALIZADAS"),"Llamadas","Otro")))</f>
        <v/>
      </c>
      <c r="I3375" s="23" t="str">
        <f aca="false">IF(A3375="","",IF(C3375="No encontrado","No","Sí"))</f>
        <v/>
      </c>
      <c r="J3375" s="23" t="str">
        <f aca="false">IF(A3375="","",IF(F3375="Inactivo","No","Sí"))</f>
        <v/>
      </c>
      <c r="K3375" s="23" t="str">
        <f aca="false">IF(A3375="","",IF(AND(I3375="Sí",J3375="Sí"),"Sí","No"))</f>
        <v/>
      </c>
    </row>
    <row r="3376" customFormat="false" ht="15" hidden="false" customHeight="false" outlineLevel="0" collapsed="false">
      <c r="A3376" s="22"/>
      <c r="B3376" s="22"/>
      <c r="C3376" s="26" t="str">
        <f aca="false">IF(A3376="","",IFERROR(buscarx(A3376&amp;B3376,DATA!$E$3:$E$10000&amp;DATA!$B$3:$B$10000,DATA!$M$3:$M$10000),"No encontrado"))</f>
        <v/>
      </c>
      <c r="D3376" s="27" t="str">
        <f aca="false">IF(A3376="","",IFERROR(buscarx(A3376&amp;B3376,DATA!$E$3:$E$10000&amp;DATA!$B$3:$B$10000,DATA!$W$3:$W$10000),"No encontrado"))</f>
        <v/>
      </c>
      <c r="E3376" s="22"/>
      <c r="F3376" s="26" t="str">
        <f aca="false">IF(A3376="","",IFERROR(buscarx(A3376&amp;E3376,DATA!$E$3:$E$10000&amp;DATA!$B$3:$B$10000,DATA!$M$3:$M$10000),"Inactivo"))</f>
        <v/>
      </c>
      <c r="G3376" s="28" t="str">
        <f aca="false">IF(A3376="","",IF(AND(C3376&lt;&gt;"No encontrado",F3376&lt;&gt;"Inactivo"),C3376&amp;" → "&amp;F3376,"Sin transición"))</f>
        <v/>
      </c>
      <c r="H3376" s="26" t="str">
        <f aca="false">IF(A3376="","",IF(D3376="GCIA LINEA SERVICIO DIGITALIDAD Y VENTAS","Chats",IF(OR(D3376="GERENCIA INBOUND LÍNEAS SERVICIO Y VENTA",D3376="GERENCIA INBOUND LINEAS ESPECIALIZADAS"),"Llamadas","Otro")))</f>
        <v/>
      </c>
      <c r="I3376" s="26" t="str">
        <f aca="false">IF(A3376="","",IF(C3376="No encontrado","No","Sí"))</f>
        <v/>
      </c>
      <c r="J3376" s="26" t="str">
        <f aca="false">IF(A3376="","",IF(F3376="Inactivo","No","Sí"))</f>
        <v/>
      </c>
      <c r="K3376" s="26" t="str">
        <f aca="false">IF(A3376="","",IF(AND(I3376="Sí",J3376="Sí"),"Sí","No"))</f>
        <v/>
      </c>
    </row>
    <row r="3377" customFormat="false" ht="15" hidden="false" customHeight="false" outlineLevel="0" collapsed="false">
      <c r="A3377" s="22"/>
      <c r="B3377" s="22"/>
      <c r="C3377" s="23" t="str">
        <f aca="false">IF(A3377="","",IFERROR(buscarx(A3377&amp;B3377,DATA!$E$3:$E$10000&amp;DATA!$B$3:$B$10000,DATA!$M$3:$M$10000),"No encontrado"))</f>
        <v/>
      </c>
      <c r="D3377" s="24" t="str">
        <f aca="false">IF(A3377="","",IFERROR(buscarx(A3377&amp;B3377,DATA!$E$3:$E$10000&amp;DATA!$B$3:$B$10000,DATA!$W$3:$W$10000),"No encontrado"))</f>
        <v/>
      </c>
      <c r="E3377" s="22"/>
      <c r="F3377" s="23" t="str">
        <f aca="false">IF(A3377="","",IFERROR(buscarx(A3377&amp;E3377,DATA!$E$3:$E$10000&amp;DATA!$B$3:$B$10000,DATA!$M$3:$M$10000),"Inactivo"))</f>
        <v/>
      </c>
      <c r="G3377" s="25" t="str">
        <f aca="false">IF(A3377="","",IF(AND(C3377&lt;&gt;"No encontrado",F3377&lt;&gt;"Inactivo"),C3377&amp;" → "&amp;F3377,"Sin transición"))</f>
        <v/>
      </c>
      <c r="H3377" s="23" t="str">
        <f aca="false">IF(A3377="","",IF(D3377="GCIA LINEA SERVICIO DIGITALIDAD Y VENTAS","Chats",IF(OR(D3377="GERENCIA INBOUND LÍNEAS SERVICIO Y VENTA",D3377="GERENCIA INBOUND LINEAS ESPECIALIZADAS"),"Llamadas","Otro")))</f>
        <v/>
      </c>
      <c r="I3377" s="23" t="str">
        <f aca="false">IF(A3377="","",IF(C3377="No encontrado","No","Sí"))</f>
        <v/>
      </c>
      <c r="J3377" s="23" t="str">
        <f aca="false">IF(A3377="","",IF(F3377="Inactivo","No","Sí"))</f>
        <v/>
      </c>
      <c r="K3377" s="23" t="str">
        <f aca="false">IF(A3377="","",IF(AND(I3377="Sí",J3377="Sí"),"Sí","No"))</f>
        <v/>
      </c>
    </row>
    <row r="3378" customFormat="false" ht="15" hidden="false" customHeight="false" outlineLevel="0" collapsed="false">
      <c r="A3378" s="22"/>
      <c r="B3378" s="22"/>
      <c r="C3378" s="26" t="str">
        <f aca="false">IF(A3378="","",IFERROR(buscarx(A3378&amp;B3378,DATA!$E$3:$E$10000&amp;DATA!$B$3:$B$10000,DATA!$M$3:$M$10000),"No encontrado"))</f>
        <v/>
      </c>
      <c r="D3378" s="27" t="str">
        <f aca="false">IF(A3378="","",IFERROR(buscarx(A3378&amp;B3378,DATA!$E$3:$E$10000&amp;DATA!$B$3:$B$10000,DATA!$W$3:$W$10000),"No encontrado"))</f>
        <v/>
      </c>
      <c r="E3378" s="22"/>
      <c r="F3378" s="26" t="str">
        <f aca="false">IF(A3378="","",IFERROR(buscarx(A3378&amp;E3378,DATA!$E$3:$E$10000&amp;DATA!$B$3:$B$10000,DATA!$M$3:$M$10000),"Inactivo"))</f>
        <v/>
      </c>
      <c r="G3378" s="28" t="str">
        <f aca="false">IF(A3378="","",IF(AND(C3378&lt;&gt;"No encontrado",F3378&lt;&gt;"Inactivo"),C3378&amp;" → "&amp;F3378,"Sin transición"))</f>
        <v/>
      </c>
      <c r="H3378" s="26" t="str">
        <f aca="false">IF(A3378="","",IF(D3378="GCIA LINEA SERVICIO DIGITALIDAD Y VENTAS","Chats",IF(OR(D3378="GERENCIA INBOUND LÍNEAS SERVICIO Y VENTA",D3378="GERENCIA INBOUND LINEAS ESPECIALIZADAS"),"Llamadas","Otro")))</f>
        <v/>
      </c>
      <c r="I3378" s="26" t="str">
        <f aca="false">IF(A3378="","",IF(C3378="No encontrado","No","Sí"))</f>
        <v/>
      </c>
      <c r="J3378" s="26" t="str">
        <f aca="false">IF(A3378="","",IF(F3378="Inactivo","No","Sí"))</f>
        <v/>
      </c>
      <c r="K3378" s="26" t="str">
        <f aca="false">IF(A3378="","",IF(AND(I3378="Sí",J3378="Sí"),"Sí","No"))</f>
        <v/>
      </c>
    </row>
    <row r="3379" customFormat="false" ht="15" hidden="false" customHeight="false" outlineLevel="0" collapsed="false">
      <c r="A3379" s="22"/>
      <c r="B3379" s="22"/>
      <c r="C3379" s="23" t="str">
        <f aca="false">IF(A3379="","",IFERROR(buscarx(A3379&amp;B3379,DATA!$E$3:$E$10000&amp;DATA!$B$3:$B$10000,DATA!$M$3:$M$10000),"No encontrado"))</f>
        <v/>
      </c>
      <c r="D3379" s="24" t="str">
        <f aca="false">IF(A3379="","",IFERROR(buscarx(A3379&amp;B3379,DATA!$E$3:$E$10000&amp;DATA!$B$3:$B$10000,DATA!$W$3:$W$10000),"No encontrado"))</f>
        <v/>
      </c>
      <c r="E3379" s="22"/>
      <c r="F3379" s="23" t="str">
        <f aca="false">IF(A3379="","",IFERROR(buscarx(A3379&amp;E3379,DATA!$E$3:$E$10000&amp;DATA!$B$3:$B$10000,DATA!$M$3:$M$10000),"Inactivo"))</f>
        <v/>
      </c>
      <c r="G3379" s="25" t="str">
        <f aca="false">IF(A3379="","",IF(AND(C3379&lt;&gt;"No encontrado",F3379&lt;&gt;"Inactivo"),C3379&amp;" → "&amp;F3379,"Sin transición"))</f>
        <v/>
      </c>
      <c r="H3379" s="23" t="str">
        <f aca="false">IF(A3379="","",IF(D3379="GCIA LINEA SERVICIO DIGITALIDAD Y VENTAS","Chats",IF(OR(D3379="GERENCIA INBOUND LÍNEAS SERVICIO Y VENTA",D3379="GERENCIA INBOUND LINEAS ESPECIALIZADAS"),"Llamadas","Otro")))</f>
        <v/>
      </c>
      <c r="I3379" s="23" t="str">
        <f aca="false">IF(A3379="","",IF(C3379="No encontrado","No","Sí"))</f>
        <v/>
      </c>
      <c r="J3379" s="23" t="str">
        <f aca="false">IF(A3379="","",IF(F3379="Inactivo","No","Sí"))</f>
        <v/>
      </c>
      <c r="K3379" s="23" t="str">
        <f aca="false">IF(A3379="","",IF(AND(I3379="Sí",J3379="Sí"),"Sí","No"))</f>
        <v/>
      </c>
    </row>
    <row r="3380" customFormat="false" ht="15" hidden="false" customHeight="false" outlineLevel="0" collapsed="false">
      <c r="A3380" s="22"/>
      <c r="B3380" s="22"/>
      <c r="C3380" s="26" t="str">
        <f aca="false">IF(A3380="","",IFERROR(buscarx(A3380&amp;B3380,DATA!$E$3:$E$10000&amp;DATA!$B$3:$B$10000,DATA!$M$3:$M$10000),"No encontrado"))</f>
        <v/>
      </c>
      <c r="D3380" s="27" t="str">
        <f aca="false">IF(A3380="","",IFERROR(buscarx(A3380&amp;B3380,DATA!$E$3:$E$10000&amp;DATA!$B$3:$B$10000,DATA!$W$3:$W$10000),"No encontrado"))</f>
        <v/>
      </c>
      <c r="E3380" s="22"/>
      <c r="F3380" s="26" t="str">
        <f aca="false">IF(A3380="","",IFERROR(buscarx(A3380&amp;E3380,DATA!$E$3:$E$10000&amp;DATA!$B$3:$B$10000,DATA!$M$3:$M$10000),"Inactivo"))</f>
        <v/>
      </c>
      <c r="G3380" s="28" t="str">
        <f aca="false">IF(A3380="","",IF(AND(C3380&lt;&gt;"No encontrado",F3380&lt;&gt;"Inactivo"),C3380&amp;" → "&amp;F3380,"Sin transición"))</f>
        <v/>
      </c>
      <c r="H3380" s="26" t="str">
        <f aca="false">IF(A3380="","",IF(D3380="GCIA LINEA SERVICIO DIGITALIDAD Y VENTAS","Chats",IF(OR(D3380="GERENCIA INBOUND LÍNEAS SERVICIO Y VENTA",D3380="GERENCIA INBOUND LINEAS ESPECIALIZADAS"),"Llamadas","Otro")))</f>
        <v/>
      </c>
      <c r="I3380" s="26" t="str">
        <f aca="false">IF(A3380="","",IF(C3380="No encontrado","No","Sí"))</f>
        <v/>
      </c>
      <c r="J3380" s="26" t="str">
        <f aca="false">IF(A3380="","",IF(F3380="Inactivo","No","Sí"))</f>
        <v/>
      </c>
      <c r="K3380" s="26" t="str">
        <f aca="false">IF(A3380="","",IF(AND(I3380="Sí",J3380="Sí"),"Sí","No"))</f>
        <v/>
      </c>
    </row>
    <row r="3381" customFormat="false" ht="15" hidden="false" customHeight="false" outlineLevel="0" collapsed="false">
      <c r="A3381" s="22"/>
      <c r="B3381" s="22"/>
      <c r="C3381" s="23" t="str">
        <f aca="false">IF(A3381="","",IFERROR(buscarx(A3381&amp;B3381,DATA!$E$3:$E$10000&amp;DATA!$B$3:$B$10000,DATA!$M$3:$M$10000),"No encontrado"))</f>
        <v/>
      </c>
      <c r="D3381" s="24" t="str">
        <f aca="false">IF(A3381="","",IFERROR(buscarx(A3381&amp;B3381,DATA!$E$3:$E$10000&amp;DATA!$B$3:$B$10000,DATA!$W$3:$W$10000),"No encontrado"))</f>
        <v/>
      </c>
      <c r="E3381" s="22"/>
      <c r="F3381" s="23" t="str">
        <f aca="false">IF(A3381="","",IFERROR(buscarx(A3381&amp;E3381,DATA!$E$3:$E$10000&amp;DATA!$B$3:$B$10000,DATA!$M$3:$M$10000),"Inactivo"))</f>
        <v/>
      </c>
      <c r="G3381" s="25" t="str">
        <f aca="false">IF(A3381="","",IF(AND(C3381&lt;&gt;"No encontrado",F3381&lt;&gt;"Inactivo"),C3381&amp;" → "&amp;F3381,"Sin transición"))</f>
        <v/>
      </c>
      <c r="H3381" s="23" t="str">
        <f aca="false">IF(A3381="","",IF(D3381="GCIA LINEA SERVICIO DIGITALIDAD Y VENTAS","Chats",IF(OR(D3381="GERENCIA INBOUND LÍNEAS SERVICIO Y VENTA",D3381="GERENCIA INBOUND LINEAS ESPECIALIZADAS"),"Llamadas","Otro")))</f>
        <v/>
      </c>
      <c r="I3381" s="23" t="str">
        <f aca="false">IF(A3381="","",IF(C3381="No encontrado","No","Sí"))</f>
        <v/>
      </c>
      <c r="J3381" s="23" t="str">
        <f aca="false">IF(A3381="","",IF(F3381="Inactivo","No","Sí"))</f>
        <v/>
      </c>
      <c r="K3381" s="23" t="str">
        <f aca="false">IF(A3381="","",IF(AND(I3381="Sí",J3381="Sí"),"Sí","No"))</f>
        <v/>
      </c>
    </row>
    <row r="3382" customFormat="false" ht="15" hidden="false" customHeight="false" outlineLevel="0" collapsed="false">
      <c r="A3382" s="22"/>
      <c r="B3382" s="22"/>
      <c r="C3382" s="26" t="str">
        <f aca="false">IF(A3382="","",IFERROR(buscarx(A3382&amp;B3382,DATA!$E$3:$E$10000&amp;DATA!$B$3:$B$10000,DATA!$M$3:$M$10000),"No encontrado"))</f>
        <v/>
      </c>
      <c r="D3382" s="27" t="str">
        <f aca="false">IF(A3382="","",IFERROR(buscarx(A3382&amp;B3382,DATA!$E$3:$E$10000&amp;DATA!$B$3:$B$10000,DATA!$W$3:$W$10000),"No encontrado"))</f>
        <v/>
      </c>
      <c r="E3382" s="22"/>
      <c r="F3382" s="26" t="str">
        <f aca="false">IF(A3382="","",IFERROR(buscarx(A3382&amp;E3382,DATA!$E$3:$E$10000&amp;DATA!$B$3:$B$10000,DATA!$M$3:$M$10000),"Inactivo"))</f>
        <v/>
      </c>
      <c r="G3382" s="28" t="str">
        <f aca="false">IF(A3382="","",IF(AND(C3382&lt;&gt;"No encontrado",F3382&lt;&gt;"Inactivo"),C3382&amp;" → "&amp;F3382,"Sin transición"))</f>
        <v/>
      </c>
      <c r="H3382" s="26" t="str">
        <f aca="false">IF(A3382="","",IF(D3382="GCIA LINEA SERVICIO DIGITALIDAD Y VENTAS","Chats",IF(OR(D3382="GERENCIA INBOUND LÍNEAS SERVICIO Y VENTA",D3382="GERENCIA INBOUND LINEAS ESPECIALIZADAS"),"Llamadas","Otro")))</f>
        <v/>
      </c>
      <c r="I3382" s="26" t="str">
        <f aca="false">IF(A3382="","",IF(C3382="No encontrado","No","Sí"))</f>
        <v/>
      </c>
      <c r="J3382" s="26" t="str">
        <f aca="false">IF(A3382="","",IF(F3382="Inactivo","No","Sí"))</f>
        <v/>
      </c>
      <c r="K3382" s="26" t="str">
        <f aca="false">IF(A3382="","",IF(AND(I3382="Sí",J3382="Sí"),"Sí","No"))</f>
        <v/>
      </c>
    </row>
    <row r="3383" customFormat="false" ht="15" hidden="false" customHeight="false" outlineLevel="0" collapsed="false">
      <c r="A3383" s="22"/>
      <c r="B3383" s="22"/>
      <c r="C3383" s="23" t="str">
        <f aca="false">IF(A3383="","",IFERROR(buscarx(A3383&amp;B3383,DATA!$E$3:$E$10000&amp;DATA!$B$3:$B$10000,DATA!$M$3:$M$10000),"No encontrado"))</f>
        <v/>
      </c>
      <c r="D3383" s="24" t="str">
        <f aca="false">IF(A3383="","",IFERROR(buscarx(A3383&amp;B3383,DATA!$E$3:$E$10000&amp;DATA!$B$3:$B$10000,DATA!$W$3:$W$10000),"No encontrado"))</f>
        <v/>
      </c>
      <c r="E3383" s="22"/>
      <c r="F3383" s="23" t="str">
        <f aca="false">IF(A3383="","",IFERROR(buscarx(A3383&amp;E3383,DATA!$E$3:$E$10000&amp;DATA!$B$3:$B$10000,DATA!$M$3:$M$10000),"Inactivo"))</f>
        <v/>
      </c>
      <c r="G3383" s="25" t="str">
        <f aca="false">IF(A3383="","",IF(AND(C3383&lt;&gt;"No encontrado",F3383&lt;&gt;"Inactivo"),C3383&amp;" → "&amp;F3383,"Sin transición"))</f>
        <v/>
      </c>
      <c r="H3383" s="23" t="str">
        <f aca="false">IF(A3383="","",IF(D3383="GCIA LINEA SERVICIO DIGITALIDAD Y VENTAS","Chats",IF(OR(D3383="GERENCIA INBOUND LÍNEAS SERVICIO Y VENTA",D3383="GERENCIA INBOUND LINEAS ESPECIALIZADAS"),"Llamadas","Otro")))</f>
        <v/>
      </c>
      <c r="I3383" s="23" t="str">
        <f aca="false">IF(A3383="","",IF(C3383="No encontrado","No","Sí"))</f>
        <v/>
      </c>
      <c r="J3383" s="23" t="str">
        <f aca="false">IF(A3383="","",IF(F3383="Inactivo","No","Sí"))</f>
        <v/>
      </c>
      <c r="K3383" s="23" t="str">
        <f aca="false">IF(A3383="","",IF(AND(I3383="Sí",J3383="Sí"),"Sí","No"))</f>
        <v/>
      </c>
    </row>
    <row r="3384" customFormat="false" ht="15" hidden="false" customHeight="false" outlineLevel="0" collapsed="false">
      <c r="A3384" s="22"/>
      <c r="B3384" s="22"/>
      <c r="C3384" s="26" t="str">
        <f aca="false">IF(A3384="","",IFERROR(buscarx(A3384&amp;B3384,DATA!$E$3:$E$10000&amp;DATA!$B$3:$B$10000,DATA!$M$3:$M$10000),"No encontrado"))</f>
        <v/>
      </c>
      <c r="D3384" s="27" t="str">
        <f aca="false">IF(A3384="","",IFERROR(buscarx(A3384&amp;B3384,DATA!$E$3:$E$10000&amp;DATA!$B$3:$B$10000,DATA!$W$3:$W$10000),"No encontrado"))</f>
        <v/>
      </c>
      <c r="E3384" s="22"/>
      <c r="F3384" s="26" t="str">
        <f aca="false">IF(A3384="","",IFERROR(buscarx(A3384&amp;E3384,DATA!$E$3:$E$10000&amp;DATA!$B$3:$B$10000,DATA!$M$3:$M$10000),"Inactivo"))</f>
        <v/>
      </c>
      <c r="G3384" s="28" t="str">
        <f aca="false">IF(A3384="","",IF(AND(C3384&lt;&gt;"No encontrado",F3384&lt;&gt;"Inactivo"),C3384&amp;" → "&amp;F3384,"Sin transición"))</f>
        <v/>
      </c>
      <c r="H3384" s="26" t="str">
        <f aca="false">IF(A3384="","",IF(D3384="GCIA LINEA SERVICIO DIGITALIDAD Y VENTAS","Chats",IF(OR(D3384="GERENCIA INBOUND LÍNEAS SERVICIO Y VENTA",D3384="GERENCIA INBOUND LINEAS ESPECIALIZADAS"),"Llamadas","Otro")))</f>
        <v/>
      </c>
      <c r="I3384" s="26" t="str">
        <f aca="false">IF(A3384="","",IF(C3384="No encontrado","No","Sí"))</f>
        <v/>
      </c>
      <c r="J3384" s="26" t="str">
        <f aca="false">IF(A3384="","",IF(F3384="Inactivo","No","Sí"))</f>
        <v/>
      </c>
      <c r="K3384" s="26" t="str">
        <f aca="false">IF(A3384="","",IF(AND(I3384="Sí",J3384="Sí"),"Sí","No"))</f>
        <v/>
      </c>
    </row>
    <row r="3385" customFormat="false" ht="15" hidden="false" customHeight="false" outlineLevel="0" collapsed="false">
      <c r="A3385" s="22"/>
      <c r="B3385" s="22"/>
      <c r="C3385" s="23" t="str">
        <f aca="false">IF(A3385="","",IFERROR(buscarx(A3385&amp;B3385,DATA!$E$3:$E$10000&amp;DATA!$B$3:$B$10000,DATA!$M$3:$M$10000),"No encontrado"))</f>
        <v/>
      </c>
      <c r="D3385" s="24" t="str">
        <f aca="false">IF(A3385="","",IFERROR(buscarx(A3385&amp;B3385,DATA!$E$3:$E$10000&amp;DATA!$B$3:$B$10000,DATA!$W$3:$W$10000),"No encontrado"))</f>
        <v/>
      </c>
      <c r="E3385" s="22"/>
      <c r="F3385" s="23" t="str">
        <f aca="false">IF(A3385="","",IFERROR(buscarx(A3385&amp;E3385,DATA!$E$3:$E$10000&amp;DATA!$B$3:$B$10000,DATA!$M$3:$M$10000),"Inactivo"))</f>
        <v/>
      </c>
      <c r="G3385" s="25" t="str">
        <f aca="false">IF(A3385="","",IF(AND(C3385&lt;&gt;"No encontrado",F3385&lt;&gt;"Inactivo"),C3385&amp;" → "&amp;F3385,"Sin transición"))</f>
        <v/>
      </c>
      <c r="H3385" s="23" t="str">
        <f aca="false">IF(A3385="","",IF(D3385="GCIA LINEA SERVICIO DIGITALIDAD Y VENTAS","Chats",IF(OR(D3385="GERENCIA INBOUND LÍNEAS SERVICIO Y VENTA",D3385="GERENCIA INBOUND LINEAS ESPECIALIZADAS"),"Llamadas","Otro")))</f>
        <v/>
      </c>
      <c r="I3385" s="23" t="str">
        <f aca="false">IF(A3385="","",IF(C3385="No encontrado","No","Sí"))</f>
        <v/>
      </c>
      <c r="J3385" s="23" t="str">
        <f aca="false">IF(A3385="","",IF(F3385="Inactivo","No","Sí"))</f>
        <v/>
      </c>
      <c r="K3385" s="23" t="str">
        <f aca="false">IF(A3385="","",IF(AND(I3385="Sí",J3385="Sí"),"Sí","No"))</f>
        <v/>
      </c>
    </row>
    <row r="3386" customFormat="false" ht="15" hidden="false" customHeight="false" outlineLevel="0" collapsed="false">
      <c r="A3386" s="22"/>
      <c r="B3386" s="22"/>
      <c r="C3386" s="26" t="str">
        <f aca="false">IF(A3386="","",IFERROR(buscarx(A3386&amp;B3386,DATA!$E$3:$E$10000&amp;DATA!$B$3:$B$10000,DATA!$M$3:$M$10000),"No encontrado"))</f>
        <v/>
      </c>
      <c r="D3386" s="27" t="str">
        <f aca="false">IF(A3386="","",IFERROR(buscarx(A3386&amp;B3386,DATA!$E$3:$E$10000&amp;DATA!$B$3:$B$10000,DATA!$W$3:$W$10000),"No encontrado"))</f>
        <v/>
      </c>
      <c r="E3386" s="22"/>
      <c r="F3386" s="26" t="str">
        <f aca="false">IF(A3386="","",IFERROR(buscarx(A3386&amp;E3386,DATA!$E$3:$E$10000&amp;DATA!$B$3:$B$10000,DATA!$M$3:$M$10000),"Inactivo"))</f>
        <v/>
      </c>
      <c r="G3386" s="28" t="str">
        <f aca="false">IF(A3386="","",IF(AND(C3386&lt;&gt;"No encontrado",F3386&lt;&gt;"Inactivo"),C3386&amp;" → "&amp;F3386,"Sin transición"))</f>
        <v/>
      </c>
      <c r="H3386" s="26" t="str">
        <f aca="false">IF(A3386="","",IF(D3386="GCIA LINEA SERVICIO DIGITALIDAD Y VENTAS","Chats",IF(OR(D3386="GERENCIA INBOUND LÍNEAS SERVICIO Y VENTA",D3386="GERENCIA INBOUND LINEAS ESPECIALIZADAS"),"Llamadas","Otro")))</f>
        <v/>
      </c>
      <c r="I3386" s="26" t="str">
        <f aca="false">IF(A3386="","",IF(C3386="No encontrado","No","Sí"))</f>
        <v/>
      </c>
      <c r="J3386" s="26" t="str">
        <f aca="false">IF(A3386="","",IF(F3386="Inactivo","No","Sí"))</f>
        <v/>
      </c>
      <c r="K3386" s="26" t="str">
        <f aca="false">IF(A3386="","",IF(AND(I3386="Sí",J3386="Sí"),"Sí","No"))</f>
        <v/>
      </c>
    </row>
    <row r="3387" customFormat="false" ht="15" hidden="false" customHeight="false" outlineLevel="0" collapsed="false">
      <c r="A3387" s="22"/>
      <c r="B3387" s="22"/>
      <c r="C3387" s="23" t="str">
        <f aca="false">IF(A3387="","",IFERROR(buscarx(A3387&amp;B3387,DATA!$E$3:$E$10000&amp;DATA!$B$3:$B$10000,DATA!$M$3:$M$10000),"No encontrado"))</f>
        <v/>
      </c>
      <c r="D3387" s="24" t="str">
        <f aca="false">IF(A3387="","",IFERROR(buscarx(A3387&amp;B3387,DATA!$E$3:$E$10000&amp;DATA!$B$3:$B$10000,DATA!$W$3:$W$10000),"No encontrado"))</f>
        <v/>
      </c>
      <c r="E3387" s="22"/>
      <c r="F3387" s="23" t="str">
        <f aca="false">IF(A3387="","",IFERROR(buscarx(A3387&amp;E3387,DATA!$E$3:$E$10000&amp;DATA!$B$3:$B$10000,DATA!$M$3:$M$10000),"Inactivo"))</f>
        <v/>
      </c>
      <c r="G3387" s="25" t="str">
        <f aca="false">IF(A3387="","",IF(AND(C3387&lt;&gt;"No encontrado",F3387&lt;&gt;"Inactivo"),C3387&amp;" → "&amp;F3387,"Sin transición"))</f>
        <v/>
      </c>
      <c r="H3387" s="23" t="str">
        <f aca="false">IF(A3387="","",IF(D3387="GCIA LINEA SERVICIO DIGITALIDAD Y VENTAS","Chats",IF(OR(D3387="GERENCIA INBOUND LÍNEAS SERVICIO Y VENTA",D3387="GERENCIA INBOUND LINEAS ESPECIALIZADAS"),"Llamadas","Otro")))</f>
        <v/>
      </c>
      <c r="I3387" s="23" t="str">
        <f aca="false">IF(A3387="","",IF(C3387="No encontrado","No","Sí"))</f>
        <v/>
      </c>
      <c r="J3387" s="23" t="str">
        <f aca="false">IF(A3387="","",IF(F3387="Inactivo","No","Sí"))</f>
        <v/>
      </c>
      <c r="K3387" s="23" t="str">
        <f aca="false">IF(A3387="","",IF(AND(I3387="Sí",J3387="Sí"),"Sí","No"))</f>
        <v/>
      </c>
    </row>
    <row r="3388" customFormat="false" ht="15" hidden="false" customHeight="false" outlineLevel="0" collapsed="false">
      <c r="A3388" s="22"/>
      <c r="B3388" s="22"/>
      <c r="C3388" s="26" t="str">
        <f aca="false">IF(A3388="","",IFERROR(buscarx(A3388&amp;B3388,DATA!$E$3:$E$10000&amp;DATA!$B$3:$B$10000,DATA!$M$3:$M$10000),"No encontrado"))</f>
        <v/>
      </c>
      <c r="D3388" s="27" t="str">
        <f aca="false">IF(A3388="","",IFERROR(buscarx(A3388&amp;B3388,DATA!$E$3:$E$10000&amp;DATA!$B$3:$B$10000,DATA!$W$3:$W$10000),"No encontrado"))</f>
        <v/>
      </c>
      <c r="E3388" s="22"/>
      <c r="F3388" s="26" t="str">
        <f aca="false">IF(A3388="","",IFERROR(buscarx(A3388&amp;E3388,DATA!$E$3:$E$10000&amp;DATA!$B$3:$B$10000,DATA!$M$3:$M$10000),"Inactivo"))</f>
        <v/>
      </c>
      <c r="G3388" s="28" t="str">
        <f aca="false">IF(A3388="","",IF(AND(C3388&lt;&gt;"No encontrado",F3388&lt;&gt;"Inactivo"),C3388&amp;" → "&amp;F3388,"Sin transición"))</f>
        <v/>
      </c>
      <c r="H3388" s="26" t="str">
        <f aca="false">IF(A3388="","",IF(D3388="GCIA LINEA SERVICIO DIGITALIDAD Y VENTAS","Chats",IF(OR(D3388="GERENCIA INBOUND LÍNEAS SERVICIO Y VENTA",D3388="GERENCIA INBOUND LINEAS ESPECIALIZADAS"),"Llamadas","Otro")))</f>
        <v/>
      </c>
      <c r="I3388" s="26" t="str">
        <f aca="false">IF(A3388="","",IF(C3388="No encontrado","No","Sí"))</f>
        <v/>
      </c>
      <c r="J3388" s="26" t="str">
        <f aca="false">IF(A3388="","",IF(F3388="Inactivo","No","Sí"))</f>
        <v/>
      </c>
      <c r="K3388" s="26" t="str">
        <f aca="false">IF(A3388="","",IF(AND(I3388="Sí",J3388="Sí"),"Sí","No"))</f>
        <v/>
      </c>
    </row>
    <row r="3389" customFormat="false" ht="15" hidden="false" customHeight="false" outlineLevel="0" collapsed="false">
      <c r="A3389" s="22"/>
      <c r="B3389" s="22"/>
      <c r="C3389" s="23" t="str">
        <f aca="false">IF(A3389="","",IFERROR(buscarx(A3389&amp;B3389,DATA!$E$3:$E$10000&amp;DATA!$B$3:$B$10000,DATA!$M$3:$M$10000),"No encontrado"))</f>
        <v/>
      </c>
      <c r="D3389" s="24" t="str">
        <f aca="false">IF(A3389="","",IFERROR(buscarx(A3389&amp;B3389,DATA!$E$3:$E$10000&amp;DATA!$B$3:$B$10000,DATA!$W$3:$W$10000),"No encontrado"))</f>
        <v/>
      </c>
      <c r="E3389" s="22"/>
      <c r="F3389" s="23" t="str">
        <f aca="false">IF(A3389="","",IFERROR(buscarx(A3389&amp;E3389,DATA!$E$3:$E$10000&amp;DATA!$B$3:$B$10000,DATA!$M$3:$M$10000),"Inactivo"))</f>
        <v/>
      </c>
      <c r="G3389" s="25" t="str">
        <f aca="false">IF(A3389="","",IF(AND(C3389&lt;&gt;"No encontrado",F3389&lt;&gt;"Inactivo"),C3389&amp;" → "&amp;F3389,"Sin transición"))</f>
        <v/>
      </c>
      <c r="H3389" s="23" t="str">
        <f aca="false">IF(A3389="","",IF(D3389="GCIA LINEA SERVICIO DIGITALIDAD Y VENTAS","Chats",IF(OR(D3389="GERENCIA INBOUND LÍNEAS SERVICIO Y VENTA",D3389="GERENCIA INBOUND LINEAS ESPECIALIZADAS"),"Llamadas","Otro")))</f>
        <v/>
      </c>
      <c r="I3389" s="23" t="str">
        <f aca="false">IF(A3389="","",IF(C3389="No encontrado","No","Sí"))</f>
        <v/>
      </c>
      <c r="J3389" s="23" t="str">
        <f aca="false">IF(A3389="","",IF(F3389="Inactivo","No","Sí"))</f>
        <v/>
      </c>
      <c r="K3389" s="23" t="str">
        <f aca="false">IF(A3389="","",IF(AND(I3389="Sí",J3389="Sí"),"Sí","No"))</f>
        <v/>
      </c>
    </row>
    <row r="3390" customFormat="false" ht="15" hidden="false" customHeight="false" outlineLevel="0" collapsed="false">
      <c r="A3390" s="22"/>
      <c r="B3390" s="22"/>
      <c r="C3390" s="26" t="str">
        <f aca="false">IF(A3390="","",IFERROR(buscarx(A3390&amp;B3390,DATA!$E$3:$E$10000&amp;DATA!$B$3:$B$10000,DATA!$M$3:$M$10000),"No encontrado"))</f>
        <v/>
      </c>
      <c r="D3390" s="27" t="str">
        <f aca="false">IF(A3390="","",IFERROR(buscarx(A3390&amp;B3390,DATA!$E$3:$E$10000&amp;DATA!$B$3:$B$10000,DATA!$W$3:$W$10000),"No encontrado"))</f>
        <v/>
      </c>
      <c r="E3390" s="22"/>
      <c r="F3390" s="26" t="str">
        <f aca="false">IF(A3390="","",IFERROR(buscarx(A3390&amp;E3390,DATA!$E$3:$E$10000&amp;DATA!$B$3:$B$10000,DATA!$M$3:$M$10000),"Inactivo"))</f>
        <v/>
      </c>
      <c r="G3390" s="28" t="str">
        <f aca="false">IF(A3390="","",IF(AND(C3390&lt;&gt;"No encontrado",F3390&lt;&gt;"Inactivo"),C3390&amp;" → "&amp;F3390,"Sin transición"))</f>
        <v/>
      </c>
      <c r="H3390" s="26" t="str">
        <f aca="false">IF(A3390="","",IF(D3390="GCIA LINEA SERVICIO DIGITALIDAD Y VENTAS","Chats",IF(OR(D3390="GERENCIA INBOUND LÍNEAS SERVICIO Y VENTA",D3390="GERENCIA INBOUND LINEAS ESPECIALIZADAS"),"Llamadas","Otro")))</f>
        <v/>
      </c>
      <c r="I3390" s="26" t="str">
        <f aca="false">IF(A3390="","",IF(C3390="No encontrado","No","Sí"))</f>
        <v/>
      </c>
      <c r="J3390" s="26" t="str">
        <f aca="false">IF(A3390="","",IF(F3390="Inactivo","No","Sí"))</f>
        <v/>
      </c>
      <c r="K3390" s="26" t="str">
        <f aca="false">IF(A3390="","",IF(AND(I3390="Sí",J3390="Sí"),"Sí","No"))</f>
        <v/>
      </c>
    </row>
    <row r="3391" customFormat="false" ht="15" hidden="false" customHeight="false" outlineLevel="0" collapsed="false">
      <c r="A3391" s="22"/>
      <c r="B3391" s="22"/>
      <c r="C3391" s="23" t="str">
        <f aca="false">IF(A3391="","",IFERROR(buscarx(A3391&amp;B3391,DATA!$E$3:$E$10000&amp;DATA!$B$3:$B$10000,DATA!$M$3:$M$10000),"No encontrado"))</f>
        <v/>
      </c>
      <c r="D3391" s="24" t="str">
        <f aca="false">IF(A3391="","",IFERROR(buscarx(A3391&amp;B3391,DATA!$E$3:$E$10000&amp;DATA!$B$3:$B$10000,DATA!$W$3:$W$10000),"No encontrado"))</f>
        <v/>
      </c>
      <c r="E3391" s="22"/>
      <c r="F3391" s="23" t="str">
        <f aca="false">IF(A3391="","",IFERROR(buscarx(A3391&amp;E3391,DATA!$E$3:$E$10000&amp;DATA!$B$3:$B$10000,DATA!$M$3:$M$10000),"Inactivo"))</f>
        <v/>
      </c>
      <c r="G3391" s="25" t="str">
        <f aca="false">IF(A3391="","",IF(AND(C3391&lt;&gt;"No encontrado",F3391&lt;&gt;"Inactivo"),C3391&amp;" → "&amp;F3391,"Sin transición"))</f>
        <v/>
      </c>
      <c r="H3391" s="23" t="str">
        <f aca="false">IF(A3391="","",IF(D3391="GCIA LINEA SERVICIO DIGITALIDAD Y VENTAS","Chats",IF(OR(D3391="GERENCIA INBOUND LÍNEAS SERVICIO Y VENTA",D3391="GERENCIA INBOUND LINEAS ESPECIALIZADAS"),"Llamadas","Otro")))</f>
        <v/>
      </c>
      <c r="I3391" s="23" t="str">
        <f aca="false">IF(A3391="","",IF(C3391="No encontrado","No","Sí"))</f>
        <v/>
      </c>
      <c r="J3391" s="23" t="str">
        <f aca="false">IF(A3391="","",IF(F3391="Inactivo","No","Sí"))</f>
        <v/>
      </c>
      <c r="K3391" s="23" t="str">
        <f aca="false">IF(A3391="","",IF(AND(I3391="Sí",J3391="Sí"),"Sí","No"))</f>
        <v/>
      </c>
    </row>
    <row r="3392" customFormat="false" ht="15" hidden="false" customHeight="false" outlineLevel="0" collapsed="false">
      <c r="A3392" s="22"/>
      <c r="B3392" s="22"/>
      <c r="C3392" s="26" t="str">
        <f aca="false">IF(A3392="","",IFERROR(buscarx(A3392&amp;B3392,DATA!$E$3:$E$10000&amp;DATA!$B$3:$B$10000,DATA!$M$3:$M$10000),"No encontrado"))</f>
        <v/>
      </c>
      <c r="D3392" s="27" t="str">
        <f aca="false">IF(A3392="","",IFERROR(buscarx(A3392&amp;B3392,DATA!$E$3:$E$10000&amp;DATA!$B$3:$B$10000,DATA!$W$3:$W$10000),"No encontrado"))</f>
        <v/>
      </c>
      <c r="E3392" s="22"/>
      <c r="F3392" s="26" t="str">
        <f aca="false">IF(A3392="","",IFERROR(buscarx(A3392&amp;E3392,DATA!$E$3:$E$10000&amp;DATA!$B$3:$B$10000,DATA!$M$3:$M$10000),"Inactivo"))</f>
        <v/>
      </c>
      <c r="G3392" s="28" t="str">
        <f aca="false">IF(A3392="","",IF(AND(C3392&lt;&gt;"No encontrado",F3392&lt;&gt;"Inactivo"),C3392&amp;" → "&amp;F3392,"Sin transición"))</f>
        <v/>
      </c>
      <c r="H3392" s="26" t="str">
        <f aca="false">IF(A3392="","",IF(D3392="GCIA LINEA SERVICIO DIGITALIDAD Y VENTAS","Chats",IF(OR(D3392="GERENCIA INBOUND LÍNEAS SERVICIO Y VENTA",D3392="GERENCIA INBOUND LINEAS ESPECIALIZADAS"),"Llamadas","Otro")))</f>
        <v/>
      </c>
      <c r="I3392" s="26" t="str">
        <f aca="false">IF(A3392="","",IF(C3392="No encontrado","No","Sí"))</f>
        <v/>
      </c>
      <c r="J3392" s="26" t="str">
        <f aca="false">IF(A3392="","",IF(F3392="Inactivo","No","Sí"))</f>
        <v/>
      </c>
      <c r="K3392" s="26" t="str">
        <f aca="false">IF(A3392="","",IF(AND(I3392="Sí",J3392="Sí"),"Sí","No"))</f>
        <v/>
      </c>
    </row>
    <row r="3393" customFormat="false" ht="15" hidden="false" customHeight="false" outlineLevel="0" collapsed="false">
      <c r="A3393" s="22"/>
      <c r="B3393" s="22"/>
      <c r="C3393" s="23" t="str">
        <f aca="false">IF(A3393="","",IFERROR(buscarx(A3393&amp;B3393,DATA!$E$3:$E$10000&amp;DATA!$B$3:$B$10000,DATA!$M$3:$M$10000),"No encontrado"))</f>
        <v/>
      </c>
      <c r="D3393" s="24" t="str">
        <f aca="false">IF(A3393="","",IFERROR(buscarx(A3393&amp;B3393,DATA!$E$3:$E$10000&amp;DATA!$B$3:$B$10000,DATA!$W$3:$W$10000),"No encontrado"))</f>
        <v/>
      </c>
      <c r="E3393" s="22"/>
      <c r="F3393" s="23" t="str">
        <f aca="false">IF(A3393="","",IFERROR(buscarx(A3393&amp;E3393,DATA!$E$3:$E$10000&amp;DATA!$B$3:$B$10000,DATA!$M$3:$M$10000),"Inactivo"))</f>
        <v/>
      </c>
      <c r="G3393" s="25" t="str">
        <f aca="false">IF(A3393="","",IF(AND(C3393&lt;&gt;"No encontrado",F3393&lt;&gt;"Inactivo"),C3393&amp;" → "&amp;F3393,"Sin transición"))</f>
        <v/>
      </c>
      <c r="H3393" s="23" t="str">
        <f aca="false">IF(A3393="","",IF(D3393="GCIA LINEA SERVICIO DIGITALIDAD Y VENTAS","Chats",IF(OR(D3393="GERENCIA INBOUND LÍNEAS SERVICIO Y VENTA",D3393="GERENCIA INBOUND LINEAS ESPECIALIZADAS"),"Llamadas","Otro")))</f>
        <v/>
      </c>
      <c r="I3393" s="23" t="str">
        <f aca="false">IF(A3393="","",IF(C3393="No encontrado","No","Sí"))</f>
        <v/>
      </c>
      <c r="J3393" s="23" t="str">
        <f aca="false">IF(A3393="","",IF(F3393="Inactivo","No","Sí"))</f>
        <v/>
      </c>
      <c r="K3393" s="23" t="str">
        <f aca="false">IF(A3393="","",IF(AND(I3393="Sí",J3393="Sí"),"Sí","No"))</f>
        <v/>
      </c>
    </row>
    <row r="3394" customFormat="false" ht="15" hidden="false" customHeight="false" outlineLevel="0" collapsed="false">
      <c r="A3394" s="22"/>
      <c r="B3394" s="22"/>
      <c r="C3394" s="26" t="str">
        <f aca="false">IF(A3394="","",IFERROR(buscarx(A3394&amp;B3394,DATA!$E$3:$E$10000&amp;DATA!$B$3:$B$10000,DATA!$M$3:$M$10000),"No encontrado"))</f>
        <v/>
      </c>
      <c r="D3394" s="27" t="str">
        <f aca="false">IF(A3394="","",IFERROR(buscarx(A3394&amp;B3394,DATA!$E$3:$E$10000&amp;DATA!$B$3:$B$10000,DATA!$W$3:$W$10000),"No encontrado"))</f>
        <v/>
      </c>
      <c r="E3394" s="22"/>
      <c r="F3394" s="26" t="str">
        <f aca="false">IF(A3394="","",IFERROR(buscarx(A3394&amp;E3394,DATA!$E$3:$E$10000&amp;DATA!$B$3:$B$10000,DATA!$M$3:$M$10000),"Inactivo"))</f>
        <v/>
      </c>
      <c r="G3394" s="28" t="str">
        <f aca="false">IF(A3394="","",IF(AND(C3394&lt;&gt;"No encontrado",F3394&lt;&gt;"Inactivo"),C3394&amp;" → "&amp;F3394,"Sin transición"))</f>
        <v/>
      </c>
      <c r="H3394" s="26" t="str">
        <f aca="false">IF(A3394="","",IF(D3394="GCIA LINEA SERVICIO DIGITALIDAD Y VENTAS","Chats",IF(OR(D3394="GERENCIA INBOUND LÍNEAS SERVICIO Y VENTA",D3394="GERENCIA INBOUND LINEAS ESPECIALIZADAS"),"Llamadas","Otro")))</f>
        <v/>
      </c>
      <c r="I3394" s="26" t="str">
        <f aca="false">IF(A3394="","",IF(C3394="No encontrado","No","Sí"))</f>
        <v/>
      </c>
      <c r="J3394" s="26" t="str">
        <f aca="false">IF(A3394="","",IF(F3394="Inactivo","No","Sí"))</f>
        <v/>
      </c>
      <c r="K3394" s="26" t="str">
        <f aca="false">IF(A3394="","",IF(AND(I3394="Sí",J3394="Sí"),"Sí","No"))</f>
        <v/>
      </c>
    </row>
    <row r="3395" customFormat="false" ht="15" hidden="false" customHeight="false" outlineLevel="0" collapsed="false">
      <c r="A3395" s="22"/>
      <c r="B3395" s="22"/>
      <c r="C3395" s="23" t="str">
        <f aca="false">IF(A3395="","",IFERROR(buscarx(A3395&amp;B3395,DATA!$E$3:$E$10000&amp;DATA!$B$3:$B$10000,DATA!$M$3:$M$10000),"No encontrado"))</f>
        <v/>
      </c>
      <c r="D3395" s="24" t="str">
        <f aca="false">IF(A3395="","",IFERROR(buscarx(A3395&amp;B3395,DATA!$E$3:$E$10000&amp;DATA!$B$3:$B$10000,DATA!$W$3:$W$10000),"No encontrado"))</f>
        <v/>
      </c>
      <c r="E3395" s="22"/>
      <c r="F3395" s="23" t="str">
        <f aca="false">IF(A3395="","",IFERROR(buscarx(A3395&amp;E3395,DATA!$E$3:$E$10000&amp;DATA!$B$3:$B$10000,DATA!$M$3:$M$10000),"Inactivo"))</f>
        <v/>
      </c>
      <c r="G3395" s="25" t="str">
        <f aca="false">IF(A3395="","",IF(AND(C3395&lt;&gt;"No encontrado",F3395&lt;&gt;"Inactivo"),C3395&amp;" → "&amp;F3395,"Sin transición"))</f>
        <v/>
      </c>
      <c r="H3395" s="23" t="str">
        <f aca="false">IF(A3395="","",IF(D3395="GCIA LINEA SERVICIO DIGITALIDAD Y VENTAS","Chats",IF(OR(D3395="GERENCIA INBOUND LÍNEAS SERVICIO Y VENTA",D3395="GERENCIA INBOUND LINEAS ESPECIALIZADAS"),"Llamadas","Otro")))</f>
        <v/>
      </c>
      <c r="I3395" s="23" t="str">
        <f aca="false">IF(A3395="","",IF(C3395="No encontrado","No","Sí"))</f>
        <v/>
      </c>
      <c r="J3395" s="23" t="str">
        <f aca="false">IF(A3395="","",IF(F3395="Inactivo","No","Sí"))</f>
        <v/>
      </c>
      <c r="K3395" s="23" t="str">
        <f aca="false">IF(A3395="","",IF(AND(I3395="Sí",J3395="Sí"),"Sí","No"))</f>
        <v/>
      </c>
    </row>
    <row r="3396" customFormat="false" ht="15" hidden="false" customHeight="false" outlineLevel="0" collapsed="false">
      <c r="A3396" s="22"/>
      <c r="B3396" s="22"/>
      <c r="C3396" s="26" t="str">
        <f aca="false">IF(A3396="","",IFERROR(buscarx(A3396&amp;B3396,DATA!$E$3:$E$10000&amp;DATA!$B$3:$B$10000,DATA!$M$3:$M$10000),"No encontrado"))</f>
        <v/>
      </c>
      <c r="D3396" s="27" t="str">
        <f aca="false">IF(A3396="","",IFERROR(buscarx(A3396&amp;B3396,DATA!$E$3:$E$10000&amp;DATA!$B$3:$B$10000,DATA!$W$3:$W$10000),"No encontrado"))</f>
        <v/>
      </c>
      <c r="E3396" s="22"/>
      <c r="F3396" s="26" t="str">
        <f aca="false">IF(A3396="","",IFERROR(buscarx(A3396&amp;E3396,DATA!$E$3:$E$10000&amp;DATA!$B$3:$B$10000,DATA!$M$3:$M$10000),"Inactivo"))</f>
        <v/>
      </c>
      <c r="G3396" s="28" t="str">
        <f aca="false">IF(A3396="","",IF(AND(C3396&lt;&gt;"No encontrado",F3396&lt;&gt;"Inactivo"),C3396&amp;" → "&amp;F3396,"Sin transición"))</f>
        <v/>
      </c>
      <c r="H3396" s="26" t="str">
        <f aca="false">IF(A3396="","",IF(D3396="GCIA LINEA SERVICIO DIGITALIDAD Y VENTAS","Chats",IF(OR(D3396="GERENCIA INBOUND LÍNEAS SERVICIO Y VENTA",D3396="GERENCIA INBOUND LINEAS ESPECIALIZADAS"),"Llamadas","Otro")))</f>
        <v/>
      </c>
      <c r="I3396" s="26" t="str">
        <f aca="false">IF(A3396="","",IF(C3396="No encontrado","No","Sí"))</f>
        <v/>
      </c>
      <c r="J3396" s="26" t="str">
        <f aca="false">IF(A3396="","",IF(F3396="Inactivo","No","Sí"))</f>
        <v/>
      </c>
      <c r="K3396" s="26" t="str">
        <f aca="false">IF(A3396="","",IF(AND(I3396="Sí",J3396="Sí"),"Sí","No"))</f>
        <v/>
      </c>
    </row>
    <row r="3397" customFormat="false" ht="15" hidden="false" customHeight="false" outlineLevel="0" collapsed="false">
      <c r="A3397" s="22"/>
      <c r="B3397" s="22"/>
      <c r="C3397" s="23" t="str">
        <f aca="false">IF(A3397="","",IFERROR(buscarx(A3397&amp;B3397,DATA!$E$3:$E$10000&amp;DATA!$B$3:$B$10000,DATA!$M$3:$M$10000),"No encontrado"))</f>
        <v/>
      </c>
      <c r="D3397" s="24" t="str">
        <f aca="false">IF(A3397="","",IFERROR(buscarx(A3397&amp;B3397,DATA!$E$3:$E$10000&amp;DATA!$B$3:$B$10000,DATA!$W$3:$W$10000),"No encontrado"))</f>
        <v/>
      </c>
      <c r="E3397" s="22"/>
      <c r="F3397" s="23" t="str">
        <f aca="false">IF(A3397="","",IFERROR(buscarx(A3397&amp;E3397,DATA!$E$3:$E$10000&amp;DATA!$B$3:$B$10000,DATA!$M$3:$M$10000),"Inactivo"))</f>
        <v/>
      </c>
      <c r="G3397" s="25" t="str">
        <f aca="false">IF(A3397="","",IF(AND(C3397&lt;&gt;"No encontrado",F3397&lt;&gt;"Inactivo"),C3397&amp;" → "&amp;F3397,"Sin transición"))</f>
        <v/>
      </c>
      <c r="H3397" s="23" t="str">
        <f aca="false">IF(A3397="","",IF(D3397="GCIA LINEA SERVICIO DIGITALIDAD Y VENTAS","Chats",IF(OR(D3397="GERENCIA INBOUND LÍNEAS SERVICIO Y VENTA",D3397="GERENCIA INBOUND LINEAS ESPECIALIZADAS"),"Llamadas","Otro")))</f>
        <v/>
      </c>
      <c r="I3397" s="23" t="str">
        <f aca="false">IF(A3397="","",IF(C3397="No encontrado","No","Sí"))</f>
        <v/>
      </c>
      <c r="J3397" s="23" t="str">
        <f aca="false">IF(A3397="","",IF(F3397="Inactivo","No","Sí"))</f>
        <v/>
      </c>
      <c r="K3397" s="23" t="str">
        <f aca="false">IF(A3397="","",IF(AND(I3397="Sí",J3397="Sí"),"Sí","No"))</f>
        <v/>
      </c>
    </row>
    <row r="3398" customFormat="false" ht="15" hidden="false" customHeight="false" outlineLevel="0" collapsed="false">
      <c r="A3398" s="22"/>
      <c r="B3398" s="22"/>
      <c r="C3398" s="26" t="str">
        <f aca="false">IF(A3398="","",IFERROR(buscarx(A3398&amp;B3398,DATA!$E$3:$E$10000&amp;DATA!$B$3:$B$10000,DATA!$M$3:$M$10000),"No encontrado"))</f>
        <v/>
      </c>
      <c r="D3398" s="27" t="str">
        <f aca="false">IF(A3398="","",IFERROR(buscarx(A3398&amp;B3398,DATA!$E$3:$E$10000&amp;DATA!$B$3:$B$10000,DATA!$W$3:$W$10000),"No encontrado"))</f>
        <v/>
      </c>
      <c r="E3398" s="22"/>
      <c r="F3398" s="26" t="str">
        <f aca="false">IF(A3398="","",IFERROR(buscarx(A3398&amp;E3398,DATA!$E$3:$E$10000&amp;DATA!$B$3:$B$10000,DATA!$M$3:$M$10000),"Inactivo"))</f>
        <v/>
      </c>
      <c r="G3398" s="28" t="str">
        <f aca="false">IF(A3398="","",IF(AND(C3398&lt;&gt;"No encontrado",F3398&lt;&gt;"Inactivo"),C3398&amp;" → "&amp;F3398,"Sin transición"))</f>
        <v/>
      </c>
      <c r="H3398" s="26" t="str">
        <f aca="false">IF(A3398="","",IF(D3398="GCIA LINEA SERVICIO DIGITALIDAD Y VENTAS","Chats",IF(OR(D3398="GERENCIA INBOUND LÍNEAS SERVICIO Y VENTA",D3398="GERENCIA INBOUND LINEAS ESPECIALIZADAS"),"Llamadas","Otro")))</f>
        <v/>
      </c>
      <c r="I3398" s="26" t="str">
        <f aca="false">IF(A3398="","",IF(C3398="No encontrado","No","Sí"))</f>
        <v/>
      </c>
      <c r="J3398" s="26" t="str">
        <f aca="false">IF(A3398="","",IF(F3398="Inactivo","No","Sí"))</f>
        <v/>
      </c>
      <c r="K3398" s="26" t="str">
        <f aca="false">IF(A3398="","",IF(AND(I3398="Sí",J3398="Sí"),"Sí","No"))</f>
        <v/>
      </c>
    </row>
    <row r="3399" customFormat="false" ht="15" hidden="false" customHeight="false" outlineLevel="0" collapsed="false">
      <c r="A3399" s="22"/>
      <c r="B3399" s="22"/>
      <c r="C3399" s="23" t="str">
        <f aca="false">IF(A3399="","",IFERROR(buscarx(A3399&amp;B3399,DATA!$E$3:$E$10000&amp;DATA!$B$3:$B$10000,DATA!$M$3:$M$10000),"No encontrado"))</f>
        <v/>
      </c>
      <c r="D3399" s="24" t="str">
        <f aca="false">IF(A3399="","",IFERROR(buscarx(A3399&amp;B3399,DATA!$E$3:$E$10000&amp;DATA!$B$3:$B$10000,DATA!$W$3:$W$10000),"No encontrado"))</f>
        <v/>
      </c>
      <c r="E3399" s="22"/>
      <c r="F3399" s="23" t="str">
        <f aca="false">IF(A3399="","",IFERROR(buscarx(A3399&amp;E3399,DATA!$E$3:$E$10000&amp;DATA!$B$3:$B$10000,DATA!$M$3:$M$10000),"Inactivo"))</f>
        <v/>
      </c>
      <c r="G3399" s="25" t="str">
        <f aca="false">IF(A3399="","",IF(AND(C3399&lt;&gt;"No encontrado",F3399&lt;&gt;"Inactivo"),C3399&amp;" → "&amp;F3399,"Sin transición"))</f>
        <v/>
      </c>
      <c r="H3399" s="23" t="str">
        <f aca="false">IF(A3399="","",IF(D3399="GCIA LINEA SERVICIO DIGITALIDAD Y VENTAS","Chats",IF(OR(D3399="GERENCIA INBOUND LÍNEAS SERVICIO Y VENTA",D3399="GERENCIA INBOUND LINEAS ESPECIALIZADAS"),"Llamadas","Otro")))</f>
        <v/>
      </c>
      <c r="I3399" s="23" t="str">
        <f aca="false">IF(A3399="","",IF(C3399="No encontrado","No","Sí"))</f>
        <v/>
      </c>
      <c r="J3399" s="23" t="str">
        <f aca="false">IF(A3399="","",IF(F3399="Inactivo","No","Sí"))</f>
        <v/>
      </c>
      <c r="K3399" s="23" t="str">
        <f aca="false">IF(A3399="","",IF(AND(I3399="Sí",J3399="Sí"),"Sí","No"))</f>
        <v/>
      </c>
    </row>
    <row r="3400" customFormat="false" ht="15" hidden="false" customHeight="false" outlineLevel="0" collapsed="false">
      <c r="A3400" s="22"/>
      <c r="B3400" s="22"/>
      <c r="C3400" s="26" t="str">
        <f aca="false">IF(A3400="","",IFERROR(buscarx(A3400&amp;B3400,DATA!$E$3:$E$10000&amp;DATA!$B$3:$B$10000,DATA!$M$3:$M$10000),"No encontrado"))</f>
        <v/>
      </c>
      <c r="D3400" s="27" t="str">
        <f aca="false">IF(A3400="","",IFERROR(buscarx(A3400&amp;B3400,DATA!$E$3:$E$10000&amp;DATA!$B$3:$B$10000,DATA!$W$3:$W$10000),"No encontrado"))</f>
        <v/>
      </c>
      <c r="E3400" s="22"/>
      <c r="F3400" s="26" t="str">
        <f aca="false">IF(A3400="","",IFERROR(buscarx(A3400&amp;E3400,DATA!$E$3:$E$10000&amp;DATA!$B$3:$B$10000,DATA!$M$3:$M$10000),"Inactivo"))</f>
        <v/>
      </c>
      <c r="G3400" s="28" t="str">
        <f aca="false">IF(A3400="","",IF(AND(C3400&lt;&gt;"No encontrado",F3400&lt;&gt;"Inactivo"),C3400&amp;" → "&amp;F3400,"Sin transición"))</f>
        <v/>
      </c>
      <c r="H3400" s="26" t="str">
        <f aca="false">IF(A3400="","",IF(D3400="GCIA LINEA SERVICIO DIGITALIDAD Y VENTAS","Chats",IF(OR(D3400="GERENCIA INBOUND LÍNEAS SERVICIO Y VENTA",D3400="GERENCIA INBOUND LINEAS ESPECIALIZADAS"),"Llamadas","Otro")))</f>
        <v/>
      </c>
      <c r="I3400" s="26" t="str">
        <f aca="false">IF(A3400="","",IF(C3400="No encontrado","No","Sí"))</f>
        <v/>
      </c>
      <c r="J3400" s="26" t="str">
        <f aca="false">IF(A3400="","",IF(F3400="Inactivo","No","Sí"))</f>
        <v/>
      </c>
      <c r="K3400" s="26" t="str">
        <f aca="false">IF(A3400="","",IF(AND(I3400="Sí",J3400="Sí"),"Sí","No"))</f>
        <v/>
      </c>
    </row>
    <row r="3401" customFormat="false" ht="15" hidden="false" customHeight="false" outlineLevel="0" collapsed="false">
      <c r="A3401" s="22"/>
      <c r="B3401" s="22"/>
      <c r="C3401" s="23" t="str">
        <f aca="false">IF(A3401="","",IFERROR(buscarx(A3401&amp;B3401,DATA!$E$3:$E$10000&amp;DATA!$B$3:$B$10000,DATA!$M$3:$M$10000),"No encontrado"))</f>
        <v/>
      </c>
      <c r="D3401" s="24" t="str">
        <f aca="false">IF(A3401="","",IFERROR(buscarx(A3401&amp;B3401,DATA!$E$3:$E$10000&amp;DATA!$B$3:$B$10000,DATA!$W$3:$W$10000),"No encontrado"))</f>
        <v/>
      </c>
      <c r="E3401" s="22"/>
      <c r="F3401" s="23" t="str">
        <f aca="false">IF(A3401="","",IFERROR(buscarx(A3401&amp;E3401,DATA!$E$3:$E$10000&amp;DATA!$B$3:$B$10000,DATA!$M$3:$M$10000),"Inactivo"))</f>
        <v/>
      </c>
      <c r="G3401" s="25" t="str">
        <f aca="false">IF(A3401="","",IF(AND(C3401&lt;&gt;"No encontrado",F3401&lt;&gt;"Inactivo"),C3401&amp;" → "&amp;F3401,"Sin transición"))</f>
        <v/>
      </c>
      <c r="H3401" s="23" t="str">
        <f aca="false">IF(A3401="","",IF(D3401="GCIA LINEA SERVICIO DIGITALIDAD Y VENTAS","Chats",IF(OR(D3401="GERENCIA INBOUND LÍNEAS SERVICIO Y VENTA",D3401="GERENCIA INBOUND LINEAS ESPECIALIZADAS"),"Llamadas","Otro")))</f>
        <v/>
      </c>
      <c r="I3401" s="23" t="str">
        <f aca="false">IF(A3401="","",IF(C3401="No encontrado","No","Sí"))</f>
        <v/>
      </c>
      <c r="J3401" s="23" t="str">
        <f aca="false">IF(A3401="","",IF(F3401="Inactivo","No","Sí"))</f>
        <v/>
      </c>
      <c r="K3401" s="23" t="str">
        <f aca="false">IF(A3401="","",IF(AND(I3401="Sí",J3401="Sí"),"Sí","No"))</f>
        <v/>
      </c>
    </row>
    <row r="3402" customFormat="false" ht="15" hidden="false" customHeight="false" outlineLevel="0" collapsed="false">
      <c r="A3402" s="22"/>
      <c r="B3402" s="22"/>
      <c r="C3402" s="26" t="str">
        <f aca="false">IF(A3402="","",IFERROR(buscarx(A3402&amp;B3402,DATA!$E$3:$E$10000&amp;DATA!$B$3:$B$10000,DATA!$M$3:$M$10000),"No encontrado"))</f>
        <v/>
      </c>
      <c r="D3402" s="27" t="str">
        <f aca="false">IF(A3402="","",IFERROR(buscarx(A3402&amp;B3402,DATA!$E$3:$E$10000&amp;DATA!$B$3:$B$10000,DATA!$W$3:$W$10000),"No encontrado"))</f>
        <v/>
      </c>
      <c r="E3402" s="22"/>
      <c r="F3402" s="26" t="str">
        <f aca="false">IF(A3402="","",IFERROR(buscarx(A3402&amp;E3402,DATA!$E$3:$E$10000&amp;DATA!$B$3:$B$10000,DATA!$M$3:$M$10000),"Inactivo"))</f>
        <v/>
      </c>
      <c r="G3402" s="28" t="str">
        <f aca="false">IF(A3402="","",IF(AND(C3402&lt;&gt;"No encontrado",F3402&lt;&gt;"Inactivo"),C3402&amp;" → "&amp;F3402,"Sin transición"))</f>
        <v/>
      </c>
      <c r="H3402" s="26" t="str">
        <f aca="false">IF(A3402="","",IF(D3402="GCIA LINEA SERVICIO DIGITALIDAD Y VENTAS","Chats",IF(OR(D3402="GERENCIA INBOUND LÍNEAS SERVICIO Y VENTA",D3402="GERENCIA INBOUND LINEAS ESPECIALIZADAS"),"Llamadas","Otro")))</f>
        <v/>
      </c>
      <c r="I3402" s="26" t="str">
        <f aca="false">IF(A3402="","",IF(C3402="No encontrado","No","Sí"))</f>
        <v/>
      </c>
      <c r="J3402" s="26" t="str">
        <f aca="false">IF(A3402="","",IF(F3402="Inactivo","No","Sí"))</f>
        <v/>
      </c>
      <c r="K3402" s="26" t="str">
        <f aca="false">IF(A3402="","",IF(AND(I3402="Sí",J3402="Sí"),"Sí","No"))</f>
        <v/>
      </c>
    </row>
    <row r="3403" customFormat="false" ht="15" hidden="false" customHeight="false" outlineLevel="0" collapsed="false">
      <c r="A3403" s="22"/>
      <c r="B3403" s="22"/>
      <c r="C3403" s="23" t="str">
        <f aca="false">IF(A3403="","",IFERROR(buscarx(A3403&amp;B3403,DATA!$E$3:$E$10000&amp;DATA!$B$3:$B$10000,DATA!$M$3:$M$10000),"No encontrado"))</f>
        <v/>
      </c>
      <c r="D3403" s="24" t="str">
        <f aca="false">IF(A3403="","",IFERROR(buscarx(A3403&amp;B3403,DATA!$E$3:$E$10000&amp;DATA!$B$3:$B$10000,DATA!$W$3:$W$10000),"No encontrado"))</f>
        <v/>
      </c>
      <c r="E3403" s="22"/>
      <c r="F3403" s="23" t="str">
        <f aca="false">IF(A3403="","",IFERROR(buscarx(A3403&amp;E3403,DATA!$E$3:$E$10000&amp;DATA!$B$3:$B$10000,DATA!$M$3:$M$10000),"Inactivo"))</f>
        <v/>
      </c>
      <c r="G3403" s="25" t="str">
        <f aca="false">IF(A3403="","",IF(AND(C3403&lt;&gt;"No encontrado",F3403&lt;&gt;"Inactivo"),C3403&amp;" → "&amp;F3403,"Sin transición"))</f>
        <v/>
      </c>
      <c r="H3403" s="23" t="str">
        <f aca="false">IF(A3403="","",IF(D3403="GCIA LINEA SERVICIO DIGITALIDAD Y VENTAS","Chats",IF(OR(D3403="GERENCIA INBOUND LÍNEAS SERVICIO Y VENTA",D3403="GERENCIA INBOUND LINEAS ESPECIALIZADAS"),"Llamadas","Otro")))</f>
        <v/>
      </c>
      <c r="I3403" s="23" t="str">
        <f aca="false">IF(A3403="","",IF(C3403="No encontrado","No","Sí"))</f>
        <v/>
      </c>
      <c r="J3403" s="23" t="str">
        <f aca="false">IF(A3403="","",IF(F3403="Inactivo","No","Sí"))</f>
        <v/>
      </c>
      <c r="K3403" s="23" t="str">
        <f aca="false">IF(A3403="","",IF(AND(I3403="Sí",J3403="Sí"),"Sí","No"))</f>
        <v/>
      </c>
    </row>
    <row r="3404" customFormat="false" ht="15" hidden="false" customHeight="false" outlineLevel="0" collapsed="false">
      <c r="A3404" s="22"/>
      <c r="B3404" s="22"/>
      <c r="C3404" s="26" t="str">
        <f aca="false">IF(A3404="","",IFERROR(buscarx(A3404&amp;B3404,DATA!$E$3:$E$10000&amp;DATA!$B$3:$B$10000,DATA!$M$3:$M$10000),"No encontrado"))</f>
        <v/>
      </c>
      <c r="D3404" s="27" t="str">
        <f aca="false">IF(A3404="","",IFERROR(buscarx(A3404&amp;B3404,DATA!$E$3:$E$10000&amp;DATA!$B$3:$B$10000,DATA!$W$3:$W$10000),"No encontrado"))</f>
        <v/>
      </c>
      <c r="E3404" s="22"/>
      <c r="F3404" s="26" t="str">
        <f aca="false">IF(A3404="","",IFERROR(buscarx(A3404&amp;E3404,DATA!$E$3:$E$10000&amp;DATA!$B$3:$B$10000,DATA!$M$3:$M$10000),"Inactivo"))</f>
        <v/>
      </c>
      <c r="G3404" s="28" t="str">
        <f aca="false">IF(A3404="","",IF(AND(C3404&lt;&gt;"No encontrado",F3404&lt;&gt;"Inactivo"),C3404&amp;" → "&amp;F3404,"Sin transición"))</f>
        <v/>
      </c>
      <c r="H3404" s="26" t="str">
        <f aca="false">IF(A3404="","",IF(D3404="GCIA LINEA SERVICIO DIGITALIDAD Y VENTAS","Chats",IF(OR(D3404="GERENCIA INBOUND LÍNEAS SERVICIO Y VENTA",D3404="GERENCIA INBOUND LINEAS ESPECIALIZADAS"),"Llamadas","Otro")))</f>
        <v/>
      </c>
      <c r="I3404" s="26" t="str">
        <f aca="false">IF(A3404="","",IF(C3404="No encontrado","No","Sí"))</f>
        <v/>
      </c>
      <c r="J3404" s="26" t="str">
        <f aca="false">IF(A3404="","",IF(F3404="Inactivo","No","Sí"))</f>
        <v/>
      </c>
      <c r="K3404" s="26" t="str">
        <f aca="false">IF(A3404="","",IF(AND(I3404="Sí",J3404="Sí"),"Sí","No"))</f>
        <v/>
      </c>
    </row>
    <row r="3405" customFormat="false" ht="15" hidden="false" customHeight="false" outlineLevel="0" collapsed="false">
      <c r="A3405" s="22"/>
      <c r="B3405" s="22"/>
      <c r="C3405" s="23" t="str">
        <f aca="false">IF(A3405="","",IFERROR(buscarx(A3405&amp;B3405,DATA!$E$3:$E$10000&amp;DATA!$B$3:$B$10000,DATA!$M$3:$M$10000),"No encontrado"))</f>
        <v/>
      </c>
      <c r="D3405" s="24" t="str">
        <f aca="false">IF(A3405="","",IFERROR(buscarx(A3405&amp;B3405,DATA!$E$3:$E$10000&amp;DATA!$B$3:$B$10000,DATA!$W$3:$W$10000),"No encontrado"))</f>
        <v/>
      </c>
      <c r="E3405" s="22"/>
      <c r="F3405" s="23" t="str">
        <f aca="false">IF(A3405="","",IFERROR(buscarx(A3405&amp;E3405,DATA!$E$3:$E$10000&amp;DATA!$B$3:$B$10000,DATA!$M$3:$M$10000),"Inactivo"))</f>
        <v/>
      </c>
      <c r="G3405" s="25" t="str">
        <f aca="false">IF(A3405="","",IF(AND(C3405&lt;&gt;"No encontrado",F3405&lt;&gt;"Inactivo"),C3405&amp;" → "&amp;F3405,"Sin transición"))</f>
        <v/>
      </c>
      <c r="H3405" s="23" t="str">
        <f aca="false">IF(A3405="","",IF(D3405="GCIA LINEA SERVICIO DIGITALIDAD Y VENTAS","Chats",IF(OR(D3405="GERENCIA INBOUND LÍNEAS SERVICIO Y VENTA",D3405="GERENCIA INBOUND LINEAS ESPECIALIZADAS"),"Llamadas","Otro")))</f>
        <v/>
      </c>
      <c r="I3405" s="23" t="str">
        <f aca="false">IF(A3405="","",IF(C3405="No encontrado","No","Sí"))</f>
        <v/>
      </c>
      <c r="J3405" s="23" t="str">
        <f aca="false">IF(A3405="","",IF(F3405="Inactivo","No","Sí"))</f>
        <v/>
      </c>
      <c r="K3405" s="23" t="str">
        <f aca="false">IF(A3405="","",IF(AND(I3405="Sí",J3405="Sí"),"Sí","No"))</f>
        <v/>
      </c>
    </row>
    <row r="3406" customFormat="false" ht="15" hidden="false" customHeight="false" outlineLevel="0" collapsed="false">
      <c r="A3406" s="22"/>
      <c r="B3406" s="22"/>
      <c r="C3406" s="26" t="str">
        <f aca="false">IF(A3406="","",IFERROR(buscarx(A3406&amp;B3406,DATA!$E$3:$E$10000&amp;DATA!$B$3:$B$10000,DATA!$M$3:$M$10000),"No encontrado"))</f>
        <v/>
      </c>
      <c r="D3406" s="27" t="str">
        <f aca="false">IF(A3406="","",IFERROR(buscarx(A3406&amp;B3406,DATA!$E$3:$E$10000&amp;DATA!$B$3:$B$10000,DATA!$W$3:$W$10000),"No encontrado"))</f>
        <v/>
      </c>
      <c r="E3406" s="22"/>
      <c r="F3406" s="26" t="str">
        <f aca="false">IF(A3406="","",IFERROR(buscarx(A3406&amp;E3406,DATA!$E$3:$E$10000&amp;DATA!$B$3:$B$10000,DATA!$M$3:$M$10000),"Inactivo"))</f>
        <v/>
      </c>
      <c r="G3406" s="28" t="str">
        <f aca="false">IF(A3406="","",IF(AND(C3406&lt;&gt;"No encontrado",F3406&lt;&gt;"Inactivo"),C3406&amp;" → "&amp;F3406,"Sin transición"))</f>
        <v/>
      </c>
      <c r="H3406" s="26" t="str">
        <f aca="false">IF(A3406="","",IF(D3406="GCIA LINEA SERVICIO DIGITALIDAD Y VENTAS","Chats",IF(OR(D3406="GERENCIA INBOUND LÍNEAS SERVICIO Y VENTA",D3406="GERENCIA INBOUND LINEAS ESPECIALIZADAS"),"Llamadas","Otro")))</f>
        <v/>
      </c>
      <c r="I3406" s="26" t="str">
        <f aca="false">IF(A3406="","",IF(C3406="No encontrado","No","Sí"))</f>
        <v/>
      </c>
      <c r="J3406" s="26" t="str">
        <f aca="false">IF(A3406="","",IF(F3406="Inactivo","No","Sí"))</f>
        <v/>
      </c>
      <c r="K3406" s="26" t="str">
        <f aca="false">IF(A3406="","",IF(AND(I3406="Sí",J3406="Sí"),"Sí","No"))</f>
        <v/>
      </c>
    </row>
    <row r="3407" customFormat="false" ht="15" hidden="false" customHeight="false" outlineLevel="0" collapsed="false">
      <c r="A3407" s="22"/>
      <c r="B3407" s="22"/>
      <c r="C3407" s="23" t="str">
        <f aca="false">IF(A3407="","",IFERROR(buscarx(A3407&amp;B3407,DATA!$E$3:$E$10000&amp;DATA!$B$3:$B$10000,DATA!$M$3:$M$10000),"No encontrado"))</f>
        <v/>
      </c>
      <c r="D3407" s="24" t="str">
        <f aca="false">IF(A3407="","",IFERROR(buscarx(A3407&amp;B3407,DATA!$E$3:$E$10000&amp;DATA!$B$3:$B$10000,DATA!$W$3:$W$10000),"No encontrado"))</f>
        <v/>
      </c>
      <c r="E3407" s="22"/>
      <c r="F3407" s="23" t="str">
        <f aca="false">IF(A3407="","",IFERROR(buscarx(A3407&amp;E3407,DATA!$E$3:$E$10000&amp;DATA!$B$3:$B$10000,DATA!$M$3:$M$10000),"Inactivo"))</f>
        <v/>
      </c>
      <c r="G3407" s="25" t="str">
        <f aca="false">IF(A3407="","",IF(AND(C3407&lt;&gt;"No encontrado",F3407&lt;&gt;"Inactivo"),C3407&amp;" → "&amp;F3407,"Sin transición"))</f>
        <v/>
      </c>
      <c r="H3407" s="23" t="str">
        <f aca="false">IF(A3407="","",IF(D3407="GCIA LINEA SERVICIO DIGITALIDAD Y VENTAS","Chats",IF(OR(D3407="GERENCIA INBOUND LÍNEAS SERVICIO Y VENTA",D3407="GERENCIA INBOUND LINEAS ESPECIALIZADAS"),"Llamadas","Otro")))</f>
        <v/>
      </c>
      <c r="I3407" s="23" t="str">
        <f aca="false">IF(A3407="","",IF(C3407="No encontrado","No","Sí"))</f>
        <v/>
      </c>
      <c r="J3407" s="23" t="str">
        <f aca="false">IF(A3407="","",IF(F3407="Inactivo","No","Sí"))</f>
        <v/>
      </c>
      <c r="K3407" s="23" t="str">
        <f aca="false">IF(A3407="","",IF(AND(I3407="Sí",J3407="Sí"),"Sí","No"))</f>
        <v/>
      </c>
    </row>
    <row r="3408" customFormat="false" ht="15" hidden="false" customHeight="false" outlineLevel="0" collapsed="false">
      <c r="A3408" s="22"/>
      <c r="B3408" s="22"/>
      <c r="C3408" s="26" t="str">
        <f aca="false">IF(A3408="","",IFERROR(buscarx(A3408&amp;B3408,DATA!$E$3:$E$10000&amp;DATA!$B$3:$B$10000,DATA!$M$3:$M$10000),"No encontrado"))</f>
        <v/>
      </c>
      <c r="D3408" s="27" t="str">
        <f aca="false">IF(A3408="","",IFERROR(buscarx(A3408&amp;B3408,DATA!$E$3:$E$10000&amp;DATA!$B$3:$B$10000,DATA!$W$3:$W$10000),"No encontrado"))</f>
        <v/>
      </c>
      <c r="E3408" s="22"/>
      <c r="F3408" s="26" t="str">
        <f aca="false">IF(A3408="","",IFERROR(buscarx(A3408&amp;E3408,DATA!$E$3:$E$10000&amp;DATA!$B$3:$B$10000,DATA!$M$3:$M$10000),"Inactivo"))</f>
        <v/>
      </c>
      <c r="G3408" s="28" t="str">
        <f aca="false">IF(A3408="","",IF(AND(C3408&lt;&gt;"No encontrado",F3408&lt;&gt;"Inactivo"),C3408&amp;" → "&amp;F3408,"Sin transición"))</f>
        <v/>
      </c>
      <c r="H3408" s="26" t="str">
        <f aca="false">IF(A3408="","",IF(D3408="GCIA LINEA SERVICIO DIGITALIDAD Y VENTAS","Chats",IF(OR(D3408="GERENCIA INBOUND LÍNEAS SERVICIO Y VENTA",D3408="GERENCIA INBOUND LINEAS ESPECIALIZADAS"),"Llamadas","Otro")))</f>
        <v/>
      </c>
      <c r="I3408" s="26" t="str">
        <f aca="false">IF(A3408="","",IF(C3408="No encontrado","No","Sí"))</f>
        <v/>
      </c>
      <c r="J3408" s="26" t="str">
        <f aca="false">IF(A3408="","",IF(F3408="Inactivo","No","Sí"))</f>
        <v/>
      </c>
      <c r="K3408" s="26" t="str">
        <f aca="false">IF(A3408="","",IF(AND(I3408="Sí",J3408="Sí"),"Sí","No"))</f>
        <v/>
      </c>
    </row>
    <row r="3409" customFormat="false" ht="15" hidden="false" customHeight="false" outlineLevel="0" collapsed="false">
      <c r="A3409" s="22"/>
      <c r="B3409" s="22"/>
      <c r="C3409" s="23" t="str">
        <f aca="false">IF(A3409="","",IFERROR(buscarx(A3409&amp;B3409,DATA!$E$3:$E$10000&amp;DATA!$B$3:$B$10000,DATA!$M$3:$M$10000),"No encontrado"))</f>
        <v/>
      </c>
      <c r="D3409" s="24" t="str">
        <f aca="false">IF(A3409="","",IFERROR(buscarx(A3409&amp;B3409,DATA!$E$3:$E$10000&amp;DATA!$B$3:$B$10000,DATA!$W$3:$W$10000),"No encontrado"))</f>
        <v/>
      </c>
      <c r="E3409" s="22"/>
      <c r="F3409" s="23" t="str">
        <f aca="false">IF(A3409="","",IFERROR(buscarx(A3409&amp;E3409,DATA!$E$3:$E$10000&amp;DATA!$B$3:$B$10000,DATA!$M$3:$M$10000),"Inactivo"))</f>
        <v/>
      </c>
      <c r="G3409" s="25" t="str">
        <f aca="false">IF(A3409="","",IF(AND(C3409&lt;&gt;"No encontrado",F3409&lt;&gt;"Inactivo"),C3409&amp;" → "&amp;F3409,"Sin transición"))</f>
        <v/>
      </c>
      <c r="H3409" s="23" t="str">
        <f aca="false">IF(A3409="","",IF(D3409="GCIA LINEA SERVICIO DIGITALIDAD Y VENTAS","Chats",IF(OR(D3409="GERENCIA INBOUND LÍNEAS SERVICIO Y VENTA",D3409="GERENCIA INBOUND LINEAS ESPECIALIZADAS"),"Llamadas","Otro")))</f>
        <v/>
      </c>
      <c r="I3409" s="23" t="str">
        <f aca="false">IF(A3409="","",IF(C3409="No encontrado","No","Sí"))</f>
        <v/>
      </c>
      <c r="J3409" s="23" t="str">
        <f aca="false">IF(A3409="","",IF(F3409="Inactivo","No","Sí"))</f>
        <v/>
      </c>
      <c r="K3409" s="23" t="str">
        <f aca="false">IF(A3409="","",IF(AND(I3409="Sí",J3409="Sí"),"Sí","No"))</f>
        <v/>
      </c>
    </row>
    <row r="3410" customFormat="false" ht="15" hidden="false" customHeight="false" outlineLevel="0" collapsed="false">
      <c r="A3410" s="22"/>
      <c r="B3410" s="22"/>
      <c r="C3410" s="26" t="str">
        <f aca="false">IF(A3410="","",IFERROR(buscarx(A3410&amp;B3410,DATA!$E$3:$E$10000&amp;DATA!$B$3:$B$10000,DATA!$M$3:$M$10000),"No encontrado"))</f>
        <v/>
      </c>
      <c r="D3410" s="27" t="str">
        <f aca="false">IF(A3410="","",IFERROR(buscarx(A3410&amp;B3410,DATA!$E$3:$E$10000&amp;DATA!$B$3:$B$10000,DATA!$W$3:$W$10000),"No encontrado"))</f>
        <v/>
      </c>
      <c r="E3410" s="22"/>
      <c r="F3410" s="26" t="str">
        <f aca="false">IF(A3410="","",IFERROR(buscarx(A3410&amp;E3410,DATA!$E$3:$E$10000&amp;DATA!$B$3:$B$10000,DATA!$M$3:$M$10000),"Inactivo"))</f>
        <v/>
      </c>
      <c r="G3410" s="28" t="str">
        <f aca="false">IF(A3410="","",IF(AND(C3410&lt;&gt;"No encontrado",F3410&lt;&gt;"Inactivo"),C3410&amp;" → "&amp;F3410,"Sin transición"))</f>
        <v/>
      </c>
      <c r="H3410" s="26" t="str">
        <f aca="false">IF(A3410="","",IF(D3410="GCIA LINEA SERVICIO DIGITALIDAD Y VENTAS","Chats",IF(OR(D3410="GERENCIA INBOUND LÍNEAS SERVICIO Y VENTA",D3410="GERENCIA INBOUND LINEAS ESPECIALIZADAS"),"Llamadas","Otro")))</f>
        <v/>
      </c>
      <c r="I3410" s="26" t="str">
        <f aca="false">IF(A3410="","",IF(C3410="No encontrado","No","Sí"))</f>
        <v/>
      </c>
      <c r="J3410" s="26" t="str">
        <f aca="false">IF(A3410="","",IF(F3410="Inactivo","No","Sí"))</f>
        <v/>
      </c>
      <c r="K3410" s="26" t="str">
        <f aca="false">IF(A3410="","",IF(AND(I3410="Sí",J3410="Sí"),"Sí","No"))</f>
        <v/>
      </c>
    </row>
    <row r="3411" customFormat="false" ht="15" hidden="false" customHeight="false" outlineLevel="0" collapsed="false">
      <c r="A3411" s="22"/>
      <c r="B3411" s="22"/>
      <c r="C3411" s="23" t="str">
        <f aca="false">IF(A3411="","",IFERROR(buscarx(A3411&amp;B3411,DATA!$E$3:$E$10000&amp;DATA!$B$3:$B$10000,DATA!$M$3:$M$10000),"No encontrado"))</f>
        <v/>
      </c>
      <c r="D3411" s="24" t="str">
        <f aca="false">IF(A3411="","",IFERROR(buscarx(A3411&amp;B3411,DATA!$E$3:$E$10000&amp;DATA!$B$3:$B$10000,DATA!$W$3:$W$10000),"No encontrado"))</f>
        <v/>
      </c>
      <c r="E3411" s="22"/>
      <c r="F3411" s="23" t="str">
        <f aca="false">IF(A3411="","",IFERROR(buscarx(A3411&amp;E3411,DATA!$E$3:$E$10000&amp;DATA!$B$3:$B$10000,DATA!$M$3:$M$10000),"Inactivo"))</f>
        <v/>
      </c>
      <c r="G3411" s="25" t="str">
        <f aca="false">IF(A3411="","",IF(AND(C3411&lt;&gt;"No encontrado",F3411&lt;&gt;"Inactivo"),C3411&amp;" → "&amp;F3411,"Sin transición"))</f>
        <v/>
      </c>
      <c r="H3411" s="23" t="str">
        <f aca="false">IF(A3411="","",IF(D3411="GCIA LINEA SERVICIO DIGITALIDAD Y VENTAS","Chats",IF(OR(D3411="GERENCIA INBOUND LÍNEAS SERVICIO Y VENTA",D3411="GERENCIA INBOUND LINEAS ESPECIALIZADAS"),"Llamadas","Otro")))</f>
        <v/>
      </c>
      <c r="I3411" s="23" t="str">
        <f aca="false">IF(A3411="","",IF(C3411="No encontrado","No","Sí"))</f>
        <v/>
      </c>
      <c r="J3411" s="23" t="str">
        <f aca="false">IF(A3411="","",IF(F3411="Inactivo","No","Sí"))</f>
        <v/>
      </c>
      <c r="K3411" s="23" t="str">
        <f aca="false">IF(A3411="","",IF(AND(I3411="Sí",J3411="Sí"),"Sí","No"))</f>
        <v/>
      </c>
    </row>
    <row r="3412" customFormat="false" ht="15" hidden="false" customHeight="false" outlineLevel="0" collapsed="false">
      <c r="A3412" s="22"/>
      <c r="B3412" s="22"/>
      <c r="C3412" s="26" t="str">
        <f aca="false">IF(A3412="","",IFERROR(buscarx(A3412&amp;B3412,DATA!$E$3:$E$10000&amp;DATA!$B$3:$B$10000,DATA!$M$3:$M$10000),"No encontrado"))</f>
        <v/>
      </c>
      <c r="D3412" s="27" t="str">
        <f aca="false">IF(A3412="","",IFERROR(buscarx(A3412&amp;B3412,DATA!$E$3:$E$10000&amp;DATA!$B$3:$B$10000,DATA!$W$3:$W$10000),"No encontrado"))</f>
        <v/>
      </c>
      <c r="E3412" s="22"/>
      <c r="F3412" s="26" t="str">
        <f aca="false">IF(A3412="","",IFERROR(buscarx(A3412&amp;E3412,DATA!$E$3:$E$10000&amp;DATA!$B$3:$B$10000,DATA!$M$3:$M$10000),"Inactivo"))</f>
        <v/>
      </c>
      <c r="G3412" s="28" t="str">
        <f aca="false">IF(A3412="","",IF(AND(C3412&lt;&gt;"No encontrado",F3412&lt;&gt;"Inactivo"),C3412&amp;" → "&amp;F3412,"Sin transición"))</f>
        <v/>
      </c>
      <c r="H3412" s="26" t="str">
        <f aca="false">IF(A3412="","",IF(D3412="GCIA LINEA SERVICIO DIGITALIDAD Y VENTAS","Chats",IF(OR(D3412="GERENCIA INBOUND LÍNEAS SERVICIO Y VENTA",D3412="GERENCIA INBOUND LINEAS ESPECIALIZADAS"),"Llamadas","Otro")))</f>
        <v/>
      </c>
      <c r="I3412" s="26" t="str">
        <f aca="false">IF(A3412="","",IF(C3412="No encontrado","No","Sí"))</f>
        <v/>
      </c>
      <c r="J3412" s="26" t="str">
        <f aca="false">IF(A3412="","",IF(F3412="Inactivo","No","Sí"))</f>
        <v/>
      </c>
      <c r="K3412" s="26" t="str">
        <f aca="false">IF(A3412="","",IF(AND(I3412="Sí",J3412="Sí"),"Sí","No"))</f>
        <v/>
      </c>
    </row>
    <row r="3413" customFormat="false" ht="15" hidden="false" customHeight="false" outlineLevel="0" collapsed="false">
      <c r="A3413" s="22"/>
      <c r="B3413" s="22"/>
      <c r="C3413" s="23" t="str">
        <f aca="false">IF(A3413="","",IFERROR(buscarx(A3413&amp;B3413,DATA!$E$3:$E$10000&amp;DATA!$B$3:$B$10000,DATA!$M$3:$M$10000),"No encontrado"))</f>
        <v/>
      </c>
      <c r="D3413" s="24" t="str">
        <f aca="false">IF(A3413="","",IFERROR(buscarx(A3413&amp;B3413,DATA!$E$3:$E$10000&amp;DATA!$B$3:$B$10000,DATA!$W$3:$W$10000),"No encontrado"))</f>
        <v/>
      </c>
      <c r="E3413" s="22"/>
      <c r="F3413" s="23" t="str">
        <f aca="false">IF(A3413="","",IFERROR(buscarx(A3413&amp;E3413,DATA!$E$3:$E$10000&amp;DATA!$B$3:$B$10000,DATA!$M$3:$M$10000),"Inactivo"))</f>
        <v/>
      </c>
      <c r="G3413" s="25" t="str">
        <f aca="false">IF(A3413="","",IF(AND(C3413&lt;&gt;"No encontrado",F3413&lt;&gt;"Inactivo"),C3413&amp;" → "&amp;F3413,"Sin transición"))</f>
        <v/>
      </c>
      <c r="H3413" s="23" t="str">
        <f aca="false">IF(A3413="","",IF(D3413="GCIA LINEA SERVICIO DIGITALIDAD Y VENTAS","Chats",IF(OR(D3413="GERENCIA INBOUND LÍNEAS SERVICIO Y VENTA",D3413="GERENCIA INBOUND LINEAS ESPECIALIZADAS"),"Llamadas","Otro")))</f>
        <v/>
      </c>
      <c r="I3413" s="23" t="str">
        <f aca="false">IF(A3413="","",IF(C3413="No encontrado","No","Sí"))</f>
        <v/>
      </c>
      <c r="J3413" s="23" t="str">
        <f aca="false">IF(A3413="","",IF(F3413="Inactivo","No","Sí"))</f>
        <v/>
      </c>
      <c r="K3413" s="23" t="str">
        <f aca="false">IF(A3413="","",IF(AND(I3413="Sí",J3413="Sí"),"Sí","No"))</f>
        <v/>
      </c>
    </row>
    <row r="3414" customFormat="false" ht="15" hidden="false" customHeight="false" outlineLevel="0" collapsed="false">
      <c r="A3414" s="22"/>
      <c r="B3414" s="22"/>
      <c r="C3414" s="26" t="str">
        <f aca="false">IF(A3414="","",IFERROR(buscarx(A3414&amp;B3414,DATA!$E$3:$E$10000&amp;DATA!$B$3:$B$10000,DATA!$M$3:$M$10000),"No encontrado"))</f>
        <v/>
      </c>
      <c r="D3414" s="27" t="str">
        <f aca="false">IF(A3414="","",IFERROR(buscarx(A3414&amp;B3414,DATA!$E$3:$E$10000&amp;DATA!$B$3:$B$10000,DATA!$W$3:$W$10000),"No encontrado"))</f>
        <v/>
      </c>
      <c r="E3414" s="22"/>
      <c r="F3414" s="26" t="str">
        <f aca="false">IF(A3414="","",IFERROR(buscarx(A3414&amp;E3414,DATA!$E$3:$E$10000&amp;DATA!$B$3:$B$10000,DATA!$M$3:$M$10000),"Inactivo"))</f>
        <v/>
      </c>
      <c r="G3414" s="28" t="str">
        <f aca="false">IF(A3414="","",IF(AND(C3414&lt;&gt;"No encontrado",F3414&lt;&gt;"Inactivo"),C3414&amp;" → "&amp;F3414,"Sin transición"))</f>
        <v/>
      </c>
      <c r="H3414" s="26" t="str">
        <f aca="false">IF(A3414="","",IF(D3414="GCIA LINEA SERVICIO DIGITALIDAD Y VENTAS","Chats",IF(OR(D3414="GERENCIA INBOUND LÍNEAS SERVICIO Y VENTA",D3414="GERENCIA INBOUND LINEAS ESPECIALIZADAS"),"Llamadas","Otro")))</f>
        <v/>
      </c>
      <c r="I3414" s="26" t="str">
        <f aca="false">IF(A3414="","",IF(C3414="No encontrado","No","Sí"))</f>
        <v/>
      </c>
      <c r="J3414" s="26" t="str">
        <f aca="false">IF(A3414="","",IF(F3414="Inactivo","No","Sí"))</f>
        <v/>
      </c>
      <c r="K3414" s="26" t="str">
        <f aca="false">IF(A3414="","",IF(AND(I3414="Sí",J3414="Sí"),"Sí","No"))</f>
        <v/>
      </c>
    </row>
    <row r="3415" customFormat="false" ht="15" hidden="false" customHeight="false" outlineLevel="0" collapsed="false">
      <c r="A3415" s="22"/>
      <c r="B3415" s="22"/>
      <c r="C3415" s="23" t="str">
        <f aca="false">IF(A3415="","",IFERROR(buscarx(A3415&amp;B3415,DATA!$E$3:$E$10000&amp;DATA!$B$3:$B$10000,DATA!$M$3:$M$10000),"No encontrado"))</f>
        <v/>
      </c>
      <c r="D3415" s="24" t="str">
        <f aca="false">IF(A3415="","",IFERROR(buscarx(A3415&amp;B3415,DATA!$E$3:$E$10000&amp;DATA!$B$3:$B$10000,DATA!$W$3:$W$10000),"No encontrado"))</f>
        <v/>
      </c>
      <c r="E3415" s="22"/>
      <c r="F3415" s="23" t="str">
        <f aca="false">IF(A3415="","",IFERROR(buscarx(A3415&amp;E3415,DATA!$E$3:$E$10000&amp;DATA!$B$3:$B$10000,DATA!$M$3:$M$10000),"Inactivo"))</f>
        <v/>
      </c>
      <c r="G3415" s="25" t="str">
        <f aca="false">IF(A3415="","",IF(AND(C3415&lt;&gt;"No encontrado",F3415&lt;&gt;"Inactivo"),C3415&amp;" → "&amp;F3415,"Sin transición"))</f>
        <v/>
      </c>
      <c r="H3415" s="23" t="str">
        <f aca="false">IF(A3415="","",IF(D3415="GCIA LINEA SERVICIO DIGITALIDAD Y VENTAS","Chats",IF(OR(D3415="GERENCIA INBOUND LÍNEAS SERVICIO Y VENTA",D3415="GERENCIA INBOUND LINEAS ESPECIALIZADAS"),"Llamadas","Otro")))</f>
        <v/>
      </c>
      <c r="I3415" s="23" t="str">
        <f aca="false">IF(A3415="","",IF(C3415="No encontrado","No","Sí"))</f>
        <v/>
      </c>
      <c r="J3415" s="23" t="str">
        <f aca="false">IF(A3415="","",IF(F3415="Inactivo","No","Sí"))</f>
        <v/>
      </c>
      <c r="K3415" s="23" t="str">
        <f aca="false">IF(A3415="","",IF(AND(I3415="Sí",J3415="Sí"),"Sí","No"))</f>
        <v/>
      </c>
    </row>
    <row r="3416" customFormat="false" ht="15" hidden="false" customHeight="false" outlineLevel="0" collapsed="false">
      <c r="A3416" s="22"/>
      <c r="B3416" s="22"/>
      <c r="C3416" s="26" t="str">
        <f aca="false">IF(A3416="","",IFERROR(buscarx(A3416&amp;B3416,DATA!$E$3:$E$10000&amp;DATA!$B$3:$B$10000,DATA!$M$3:$M$10000),"No encontrado"))</f>
        <v/>
      </c>
      <c r="D3416" s="27" t="str">
        <f aca="false">IF(A3416="","",IFERROR(buscarx(A3416&amp;B3416,DATA!$E$3:$E$10000&amp;DATA!$B$3:$B$10000,DATA!$W$3:$W$10000),"No encontrado"))</f>
        <v/>
      </c>
      <c r="E3416" s="22"/>
      <c r="F3416" s="26" t="str">
        <f aca="false">IF(A3416="","",IFERROR(buscarx(A3416&amp;E3416,DATA!$E$3:$E$10000&amp;DATA!$B$3:$B$10000,DATA!$M$3:$M$10000),"Inactivo"))</f>
        <v/>
      </c>
      <c r="G3416" s="28" t="str">
        <f aca="false">IF(A3416="","",IF(AND(C3416&lt;&gt;"No encontrado",F3416&lt;&gt;"Inactivo"),C3416&amp;" → "&amp;F3416,"Sin transición"))</f>
        <v/>
      </c>
      <c r="H3416" s="26" t="str">
        <f aca="false">IF(A3416="","",IF(D3416="GCIA LINEA SERVICIO DIGITALIDAD Y VENTAS","Chats",IF(OR(D3416="GERENCIA INBOUND LÍNEAS SERVICIO Y VENTA",D3416="GERENCIA INBOUND LINEAS ESPECIALIZADAS"),"Llamadas","Otro")))</f>
        <v/>
      </c>
      <c r="I3416" s="26" t="str">
        <f aca="false">IF(A3416="","",IF(C3416="No encontrado","No","Sí"))</f>
        <v/>
      </c>
      <c r="J3416" s="26" t="str">
        <f aca="false">IF(A3416="","",IF(F3416="Inactivo","No","Sí"))</f>
        <v/>
      </c>
      <c r="K3416" s="26" t="str">
        <f aca="false">IF(A3416="","",IF(AND(I3416="Sí",J3416="Sí"),"Sí","No"))</f>
        <v/>
      </c>
    </row>
    <row r="3417" customFormat="false" ht="15" hidden="false" customHeight="false" outlineLevel="0" collapsed="false">
      <c r="A3417" s="22"/>
      <c r="B3417" s="22"/>
      <c r="C3417" s="23" t="str">
        <f aca="false">IF(A3417="","",IFERROR(buscarx(A3417&amp;B3417,DATA!$E$3:$E$10000&amp;DATA!$B$3:$B$10000,DATA!$M$3:$M$10000),"No encontrado"))</f>
        <v/>
      </c>
      <c r="D3417" s="24" t="str">
        <f aca="false">IF(A3417="","",IFERROR(buscarx(A3417&amp;B3417,DATA!$E$3:$E$10000&amp;DATA!$B$3:$B$10000,DATA!$W$3:$W$10000),"No encontrado"))</f>
        <v/>
      </c>
      <c r="E3417" s="22"/>
      <c r="F3417" s="23" t="str">
        <f aca="false">IF(A3417="","",IFERROR(buscarx(A3417&amp;E3417,DATA!$E$3:$E$10000&amp;DATA!$B$3:$B$10000,DATA!$M$3:$M$10000),"Inactivo"))</f>
        <v/>
      </c>
      <c r="G3417" s="25" t="str">
        <f aca="false">IF(A3417="","",IF(AND(C3417&lt;&gt;"No encontrado",F3417&lt;&gt;"Inactivo"),C3417&amp;" → "&amp;F3417,"Sin transición"))</f>
        <v/>
      </c>
      <c r="H3417" s="23" t="str">
        <f aca="false">IF(A3417="","",IF(D3417="GCIA LINEA SERVICIO DIGITALIDAD Y VENTAS","Chats",IF(OR(D3417="GERENCIA INBOUND LÍNEAS SERVICIO Y VENTA",D3417="GERENCIA INBOUND LINEAS ESPECIALIZADAS"),"Llamadas","Otro")))</f>
        <v/>
      </c>
      <c r="I3417" s="23" t="str">
        <f aca="false">IF(A3417="","",IF(C3417="No encontrado","No","Sí"))</f>
        <v/>
      </c>
      <c r="J3417" s="23" t="str">
        <f aca="false">IF(A3417="","",IF(F3417="Inactivo","No","Sí"))</f>
        <v/>
      </c>
      <c r="K3417" s="23" t="str">
        <f aca="false">IF(A3417="","",IF(AND(I3417="Sí",J3417="Sí"),"Sí","No"))</f>
        <v/>
      </c>
    </row>
    <row r="3418" customFormat="false" ht="15" hidden="false" customHeight="false" outlineLevel="0" collapsed="false">
      <c r="A3418" s="22"/>
      <c r="B3418" s="22"/>
      <c r="C3418" s="26" t="str">
        <f aca="false">IF(A3418="","",IFERROR(buscarx(A3418&amp;B3418,DATA!$E$3:$E$10000&amp;DATA!$B$3:$B$10000,DATA!$M$3:$M$10000),"No encontrado"))</f>
        <v/>
      </c>
      <c r="D3418" s="27" t="str">
        <f aca="false">IF(A3418="","",IFERROR(buscarx(A3418&amp;B3418,DATA!$E$3:$E$10000&amp;DATA!$B$3:$B$10000,DATA!$W$3:$W$10000),"No encontrado"))</f>
        <v/>
      </c>
      <c r="E3418" s="22"/>
      <c r="F3418" s="26" t="str">
        <f aca="false">IF(A3418="","",IFERROR(buscarx(A3418&amp;E3418,DATA!$E$3:$E$10000&amp;DATA!$B$3:$B$10000,DATA!$M$3:$M$10000),"Inactivo"))</f>
        <v/>
      </c>
      <c r="G3418" s="28" t="str">
        <f aca="false">IF(A3418="","",IF(AND(C3418&lt;&gt;"No encontrado",F3418&lt;&gt;"Inactivo"),C3418&amp;" → "&amp;F3418,"Sin transición"))</f>
        <v/>
      </c>
      <c r="H3418" s="26" t="str">
        <f aca="false">IF(A3418="","",IF(D3418="GCIA LINEA SERVICIO DIGITALIDAD Y VENTAS","Chats",IF(OR(D3418="GERENCIA INBOUND LÍNEAS SERVICIO Y VENTA",D3418="GERENCIA INBOUND LINEAS ESPECIALIZADAS"),"Llamadas","Otro")))</f>
        <v/>
      </c>
      <c r="I3418" s="26" t="str">
        <f aca="false">IF(A3418="","",IF(C3418="No encontrado","No","Sí"))</f>
        <v/>
      </c>
      <c r="J3418" s="26" t="str">
        <f aca="false">IF(A3418="","",IF(F3418="Inactivo","No","Sí"))</f>
        <v/>
      </c>
      <c r="K3418" s="26" t="str">
        <f aca="false">IF(A3418="","",IF(AND(I3418="Sí",J3418="Sí"),"Sí","No"))</f>
        <v/>
      </c>
    </row>
    <row r="3419" customFormat="false" ht="15" hidden="false" customHeight="false" outlineLevel="0" collapsed="false">
      <c r="A3419" s="22"/>
      <c r="B3419" s="22"/>
      <c r="C3419" s="23" t="str">
        <f aca="false">IF(A3419="","",IFERROR(buscarx(A3419&amp;B3419,DATA!$E$3:$E$10000&amp;DATA!$B$3:$B$10000,DATA!$M$3:$M$10000),"No encontrado"))</f>
        <v/>
      </c>
      <c r="D3419" s="24" t="str">
        <f aca="false">IF(A3419="","",IFERROR(buscarx(A3419&amp;B3419,DATA!$E$3:$E$10000&amp;DATA!$B$3:$B$10000,DATA!$W$3:$W$10000),"No encontrado"))</f>
        <v/>
      </c>
      <c r="E3419" s="22"/>
      <c r="F3419" s="23" t="str">
        <f aca="false">IF(A3419="","",IFERROR(buscarx(A3419&amp;E3419,DATA!$E$3:$E$10000&amp;DATA!$B$3:$B$10000,DATA!$M$3:$M$10000),"Inactivo"))</f>
        <v/>
      </c>
      <c r="G3419" s="25" t="str">
        <f aca="false">IF(A3419="","",IF(AND(C3419&lt;&gt;"No encontrado",F3419&lt;&gt;"Inactivo"),C3419&amp;" → "&amp;F3419,"Sin transición"))</f>
        <v/>
      </c>
      <c r="H3419" s="23" t="str">
        <f aca="false">IF(A3419="","",IF(D3419="GCIA LINEA SERVICIO DIGITALIDAD Y VENTAS","Chats",IF(OR(D3419="GERENCIA INBOUND LÍNEAS SERVICIO Y VENTA",D3419="GERENCIA INBOUND LINEAS ESPECIALIZADAS"),"Llamadas","Otro")))</f>
        <v/>
      </c>
      <c r="I3419" s="23" t="str">
        <f aca="false">IF(A3419="","",IF(C3419="No encontrado","No","Sí"))</f>
        <v/>
      </c>
      <c r="J3419" s="23" t="str">
        <f aca="false">IF(A3419="","",IF(F3419="Inactivo","No","Sí"))</f>
        <v/>
      </c>
      <c r="K3419" s="23" t="str">
        <f aca="false">IF(A3419="","",IF(AND(I3419="Sí",J3419="Sí"),"Sí","No"))</f>
        <v/>
      </c>
    </row>
    <row r="3420" customFormat="false" ht="15" hidden="false" customHeight="false" outlineLevel="0" collapsed="false">
      <c r="A3420" s="22"/>
      <c r="B3420" s="22"/>
      <c r="C3420" s="26" t="str">
        <f aca="false">IF(A3420="","",IFERROR(buscarx(A3420&amp;B3420,DATA!$E$3:$E$10000&amp;DATA!$B$3:$B$10000,DATA!$M$3:$M$10000),"No encontrado"))</f>
        <v/>
      </c>
      <c r="D3420" s="27" t="str">
        <f aca="false">IF(A3420="","",IFERROR(buscarx(A3420&amp;B3420,DATA!$E$3:$E$10000&amp;DATA!$B$3:$B$10000,DATA!$W$3:$W$10000),"No encontrado"))</f>
        <v/>
      </c>
      <c r="E3420" s="22"/>
      <c r="F3420" s="26" t="str">
        <f aca="false">IF(A3420="","",IFERROR(buscarx(A3420&amp;E3420,DATA!$E$3:$E$10000&amp;DATA!$B$3:$B$10000,DATA!$M$3:$M$10000),"Inactivo"))</f>
        <v/>
      </c>
      <c r="G3420" s="28" t="str">
        <f aca="false">IF(A3420="","",IF(AND(C3420&lt;&gt;"No encontrado",F3420&lt;&gt;"Inactivo"),C3420&amp;" → "&amp;F3420,"Sin transición"))</f>
        <v/>
      </c>
      <c r="H3420" s="26" t="str">
        <f aca="false">IF(A3420="","",IF(D3420="GCIA LINEA SERVICIO DIGITALIDAD Y VENTAS","Chats",IF(OR(D3420="GERENCIA INBOUND LÍNEAS SERVICIO Y VENTA",D3420="GERENCIA INBOUND LINEAS ESPECIALIZADAS"),"Llamadas","Otro")))</f>
        <v/>
      </c>
      <c r="I3420" s="26" t="str">
        <f aca="false">IF(A3420="","",IF(C3420="No encontrado","No","Sí"))</f>
        <v/>
      </c>
      <c r="J3420" s="26" t="str">
        <f aca="false">IF(A3420="","",IF(F3420="Inactivo","No","Sí"))</f>
        <v/>
      </c>
      <c r="K3420" s="26" t="str">
        <f aca="false">IF(A3420="","",IF(AND(I3420="Sí",J3420="Sí"),"Sí","No"))</f>
        <v/>
      </c>
    </row>
    <row r="3421" customFormat="false" ht="15" hidden="false" customHeight="false" outlineLevel="0" collapsed="false">
      <c r="A3421" s="22"/>
      <c r="B3421" s="22"/>
      <c r="C3421" s="23" t="str">
        <f aca="false">IF(A3421="","",IFERROR(buscarx(A3421&amp;B3421,DATA!$E$3:$E$10000&amp;DATA!$B$3:$B$10000,DATA!$M$3:$M$10000),"No encontrado"))</f>
        <v/>
      </c>
      <c r="D3421" s="24" t="str">
        <f aca="false">IF(A3421="","",IFERROR(buscarx(A3421&amp;B3421,DATA!$E$3:$E$10000&amp;DATA!$B$3:$B$10000,DATA!$W$3:$W$10000),"No encontrado"))</f>
        <v/>
      </c>
      <c r="E3421" s="22"/>
      <c r="F3421" s="23" t="str">
        <f aca="false">IF(A3421="","",IFERROR(buscarx(A3421&amp;E3421,DATA!$E$3:$E$10000&amp;DATA!$B$3:$B$10000,DATA!$M$3:$M$10000),"Inactivo"))</f>
        <v/>
      </c>
      <c r="G3421" s="25" t="str">
        <f aca="false">IF(A3421="","",IF(AND(C3421&lt;&gt;"No encontrado",F3421&lt;&gt;"Inactivo"),C3421&amp;" → "&amp;F3421,"Sin transición"))</f>
        <v/>
      </c>
      <c r="H3421" s="23" t="str">
        <f aca="false">IF(A3421="","",IF(D3421="GCIA LINEA SERVICIO DIGITALIDAD Y VENTAS","Chats",IF(OR(D3421="GERENCIA INBOUND LÍNEAS SERVICIO Y VENTA",D3421="GERENCIA INBOUND LINEAS ESPECIALIZADAS"),"Llamadas","Otro")))</f>
        <v/>
      </c>
      <c r="I3421" s="23" t="str">
        <f aca="false">IF(A3421="","",IF(C3421="No encontrado","No","Sí"))</f>
        <v/>
      </c>
      <c r="J3421" s="23" t="str">
        <f aca="false">IF(A3421="","",IF(F3421="Inactivo","No","Sí"))</f>
        <v/>
      </c>
      <c r="K3421" s="23" t="str">
        <f aca="false">IF(A3421="","",IF(AND(I3421="Sí",J3421="Sí"),"Sí","No"))</f>
        <v/>
      </c>
    </row>
    <row r="3422" customFormat="false" ht="15" hidden="false" customHeight="false" outlineLevel="0" collapsed="false">
      <c r="A3422" s="22"/>
      <c r="B3422" s="22"/>
      <c r="C3422" s="26" t="str">
        <f aca="false">IF(A3422="","",IFERROR(buscarx(A3422&amp;B3422,DATA!$E$3:$E$10000&amp;DATA!$B$3:$B$10000,DATA!$M$3:$M$10000),"No encontrado"))</f>
        <v/>
      </c>
      <c r="D3422" s="27" t="str">
        <f aca="false">IF(A3422="","",IFERROR(buscarx(A3422&amp;B3422,DATA!$E$3:$E$10000&amp;DATA!$B$3:$B$10000,DATA!$W$3:$W$10000),"No encontrado"))</f>
        <v/>
      </c>
      <c r="E3422" s="22"/>
      <c r="F3422" s="26" t="str">
        <f aca="false">IF(A3422="","",IFERROR(buscarx(A3422&amp;E3422,DATA!$E$3:$E$10000&amp;DATA!$B$3:$B$10000,DATA!$M$3:$M$10000),"Inactivo"))</f>
        <v/>
      </c>
      <c r="G3422" s="28" t="str">
        <f aca="false">IF(A3422="","",IF(AND(C3422&lt;&gt;"No encontrado",F3422&lt;&gt;"Inactivo"),C3422&amp;" → "&amp;F3422,"Sin transición"))</f>
        <v/>
      </c>
      <c r="H3422" s="26" t="str">
        <f aca="false">IF(A3422="","",IF(D3422="GCIA LINEA SERVICIO DIGITALIDAD Y VENTAS","Chats",IF(OR(D3422="GERENCIA INBOUND LÍNEAS SERVICIO Y VENTA",D3422="GERENCIA INBOUND LINEAS ESPECIALIZADAS"),"Llamadas","Otro")))</f>
        <v/>
      </c>
      <c r="I3422" s="26" t="str">
        <f aca="false">IF(A3422="","",IF(C3422="No encontrado","No","Sí"))</f>
        <v/>
      </c>
      <c r="J3422" s="26" t="str">
        <f aca="false">IF(A3422="","",IF(F3422="Inactivo","No","Sí"))</f>
        <v/>
      </c>
      <c r="K3422" s="26" t="str">
        <f aca="false">IF(A3422="","",IF(AND(I3422="Sí",J3422="Sí"),"Sí","No"))</f>
        <v/>
      </c>
    </row>
    <row r="3423" customFormat="false" ht="15" hidden="false" customHeight="false" outlineLevel="0" collapsed="false">
      <c r="A3423" s="22"/>
      <c r="B3423" s="22"/>
      <c r="C3423" s="23" t="str">
        <f aca="false">IF(A3423="","",IFERROR(buscarx(A3423&amp;B3423,DATA!$E$3:$E$10000&amp;DATA!$B$3:$B$10000,DATA!$M$3:$M$10000),"No encontrado"))</f>
        <v/>
      </c>
      <c r="D3423" s="24" t="str">
        <f aca="false">IF(A3423="","",IFERROR(buscarx(A3423&amp;B3423,DATA!$E$3:$E$10000&amp;DATA!$B$3:$B$10000,DATA!$W$3:$W$10000),"No encontrado"))</f>
        <v/>
      </c>
      <c r="E3423" s="22"/>
      <c r="F3423" s="23" t="str">
        <f aca="false">IF(A3423="","",IFERROR(buscarx(A3423&amp;E3423,DATA!$E$3:$E$10000&amp;DATA!$B$3:$B$10000,DATA!$M$3:$M$10000),"Inactivo"))</f>
        <v/>
      </c>
      <c r="G3423" s="25" t="str">
        <f aca="false">IF(A3423="","",IF(AND(C3423&lt;&gt;"No encontrado",F3423&lt;&gt;"Inactivo"),C3423&amp;" → "&amp;F3423,"Sin transición"))</f>
        <v/>
      </c>
      <c r="H3423" s="23" t="str">
        <f aca="false">IF(A3423="","",IF(D3423="GCIA LINEA SERVICIO DIGITALIDAD Y VENTAS","Chats",IF(OR(D3423="GERENCIA INBOUND LÍNEAS SERVICIO Y VENTA",D3423="GERENCIA INBOUND LINEAS ESPECIALIZADAS"),"Llamadas","Otro")))</f>
        <v/>
      </c>
      <c r="I3423" s="23" t="str">
        <f aca="false">IF(A3423="","",IF(C3423="No encontrado","No","Sí"))</f>
        <v/>
      </c>
      <c r="J3423" s="23" t="str">
        <f aca="false">IF(A3423="","",IF(F3423="Inactivo","No","Sí"))</f>
        <v/>
      </c>
      <c r="K3423" s="23" t="str">
        <f aca="false">IF(A3423="","",IF(AND(I3423="Sí",J3423="Sí"),"Sí","No"))</f>
        <v/>
      </c>
    </row>
    <row r="3424" customFormat="false" ht="15" hidden="false" customHeight="false" outlineLevel="0" collapsed="false">
      <c r="A3424" s="22"/>
      <c r="B3424" s="22"/>
      <c r="C3424" s="26" t="str">
        <f aca="false">IF(A3424="","",IFERROR(buscarx(A3424&amp;B3424,DATA!$E$3:$E$10000&amp;DATA!$B$3:$B$10000,DATA!$M$3:$M$10000),"No encontrado"))</f>
        <v/>
      </c>
      <c r="D3424" s="27" t="str">
        <f aca="false">IF(A3424="","",IFERROR(buscarx(A3424&amp;B3424,DATA!$E$3:$E$10000&amp;DATA!$B$3:$B$10000,DATA!$W$3:$W$10000),"No encontrado"))</f>
        <v/>
      </c>
      <c r="E3424" s="22"/>
      <c r="F3424" s="26" t="str">
        <f aca="false">IF(A3424="","",IFERROR(buscarx(A3424&amp;E3424,DATA!$E$3:$E$10000&amp;DATA!$B$3:$B$10000,DATA!$M$3:$M$10000),"Inactivo"))</f>
        <v/>
      </c>
      <c r="G3424" s="28" t="str">
        <f aca="false">IF(A3424="","",IF(AND(C3424&lt;&gt;"No encontrado",F3424&lt;&gt;"Inactivo"),C3424&amp;" → "&amp;F3424,"Sin transición"))</f>
        <v/>
      </c>
      <c r="H3424" s="26" t="str">
        <f aca="false">IF(A3424="","",IF(D3424="GCIA LINEA SERVICIO DIGITALIDAD Y VENTAS","Chats",IF(OR(D3424="GERENCIA INBOUND LÍNEAS SERVICIO Y VENTA",D3424="GERENCIA INBOUND LINEAS ESPECIALIZADAS"),"Llamadas","Otro")))</f>
        <v/>
      </c>
      <c r="I3424" s="26" t="str">
        <f aca="false">IF(A3424="","",IF(C3424="No encontrado","No","Sí"))</f>
        <v/>
      </c>
      <c r="J3424" s="26" t="str">
        <f aca="false">IF(A3424="","",IF(F3424="Inactivo","No","Sí"))</f>
        <v/>
      </c>
      <c r="K3424" s="26" t="str">
        <f aca="false">IF(A3424="","",IF(AND(I3424="Sí",J3424="Sí"),"Sí","No"))</f>
        <v/>
      </c>
    </row>
    <row r="3425" customFormat="false" ht="15" hidden="false" customHeight="false" outlineLevel="0" collapsed="false">
      <c r="A3425" s="22"/>
      <c r="B3425" s="22"/>
      <c r="C3425" s="23" t="str">
        <f aca="false">IF(A3425="","",IFERROR(buscarx(A3425&amp;B3425,DATA!$E$3:$E$10000&amp;DATA!$B$3:$B$10000,DATA!$M$3:$M$10000),"No encontrado"))</f>
        <v/>
      </c>
      <c r="D3425" s="24" t="str">
        <f aca="false">IF(A3425="","",IFERROR(buscarx(A3425&amp;B3425,DATA!$E$3:$E$10000&amp;DATA!$B$3:$B$10000,DATA!$W$3:$W$10000),"No encontrado"))</f>
        <v/>
      </c>
      <c r="E3425" s="22"/>
      <c r="F3425" s="23" t="str">
        <f aca="false">IF(A3425="","",IFERROR(buscarx(A3425&amp;E3425,DATA!$E$3:$E$10000&amp;DATA!$B$3:$B$10000,DATA!$M$3:$M$10000),"Inactivo"))</f>
        <v/>
      </c>
      <c r="G3425" s="25" t="str">
        <f aca="false">IF(A3425="","",IF(AND(C3425&lt;&gt;"No encontrado",F3425&lt;&gt;"Inactivo"),C3425&amp;" → "&amp;F3425,"Sin transición"))</f>
        <v/>
      </c>
      <c r="H3425" s="23" t="str">
        <f aca="false">IF(A3425="","",IF(D3425="GCIA LINEA SERVICIO DIGITALIDAD Y VENTAS","Chats",IF(OR(D3425="GERENCIA INBOUND LÍNEAS SERVICIO Y VENTA",D3425="GERENCIA INBOUND LINEAS ESPECIALIZADAS"),"Llamadas","Otro")))</f>
        <v/>
      </c>
      <c r="I3425" s="23" t="str">
        <f aca="false">IF(A3425="","",IF(C3425="No encontrado","No","Sí"))</f>
        <v/>
      </c>
      <c r="J3425" s="23" t="str">
        <f aca="false">IF(A3425="","",IF(F3425="Inactivo","No","Sí"))</f>
        <v/>
      </c>
      <c r="K3425" s="23" t="str">
        <f aca="false">IF(A3425="","",IF(AND(I3425="Sí",J3425="Sí"),"Sí","No"))</f>
        <v/>
      </c>
    </row>
    <row r="3426" customFormat="false" ht="15" hidden="false" customHeight="false" outlineLevel="0" collapsed="false">
      <c r="A3426" s="22"/>
      <c r="B3426" s="22"/>
      <c r="C3426" s="26" t="str">
        <f aca="false">IF(A3426="","",IFERROR(buscarx(A3426&amp;B3426,DATA!$E$3:$E$10000&amp;DATA!$B$3:$B$10000,DATA!$M$3:$M$10000),"No encontrado"))</f>
        <v/>
      </c>
      <c r="D3426" s="27" t="str">
        <f aca="false">IF(A3426="","",IFERROR(buscarx(A3426&amp;B3426,DATA!$E$3:$E$10000&amp;DATA!$B$3:$B$10000,DATA!$W$3:$W$10000),"No encontrado"))</f>
        <v/>
      </c>
      <c r="E3426" s="22"/>
      <c r="F3426" s="26" t="str">
        <f aca="false">IF(A3426="","",IFERROR(buscarx(A3426&amp;E3426,DATA!$E$3:$E$10000&amp;DATA!$B$3:$B$10000,DATA!$M$3:$M$10000),"Inactivo"))</f>
        <v/>
      </c>
      <c r="G3426" s="28" t="str">
        <f aca="false">IF(A3426="","",IF(AND(C3426&lt;&gt;"No encontrado",F3426&lt;&gt;"Inactivo"),C3426&amp;" → "&amp;F3426,"Sin transición"))</f>
        <v/>
      </c>
      <c r="H3426" s="26" t="str">
        <f aca="false">IF(A3426="","",IF(D3426="GCIA LINEA SERVICIO DIGITALIDAD Y VENTAS","Chats",IF(OR(D3426="GERENCIA INBOUND LÍNEAS SERVICIO Y VENTA",D3426="GERENCIA INBOUND LINEAS ESPECIALIZADAS"),"Llamadas","Otro")))</f>
        <v/>
      </c>
      <c r="I3426" s="26" t="str">
        <f aca="false">IF(A3426="","",IF(C3426="No encontrado","No","Sí"))</f>
        <v/>
      </c>
      <c r="J3426" s="26" t="str">
        <f aca="false">IF(A3426="","",IF(F3426="Inactivo","No","Sí"))</f>
        <v/>
      </c>
      <c r="K3426" s="26" t="str">
        <f aca="false">IF(A3426="","",IF(AND(I3426="Sí",J3426="Sí"),"Sí","No"))</f>
        <v/>
      </c>
    </row>
    <row r="3427" customFormat="false" ht="15" hidden="false" customHeight="false" outlineLevel="0" collapsed="false">
      <c r="A3427" s="22"/>
      <c r="B3427" s="22"/>
      <c r="C3427" s="23" t="str">
        <f aca="false">IF(A3427="","",IFERROR(buscarx(A3427&amp;B3427,DATA!$E$3:$E$10000&amp;DATA!$B$3:$B$10000,DATA!$M$3:$M$10000),"No encontrado"))</f>
        <v/>
      </c>
      <c r="D3427" s="24" t="str">
        <f aca="false">IF(A3427="","",IFERROR(buscarx(A3427&amp;B3427,DATA!$E$3:$E$10000&amp;DATA!$B$3:$B$10000,DATA!$W$3:$W$10000),"No encontrado"))</f>
        <v/>
      </c>
      <c r="E3427" s="22"/>
      <c r="F3427" s="23" t="str">
        <f aca="false">IF(A3427="","",IFERROR(buscarx(A3427&amp;E3427,DATA!$E$3:$E$10000&amp;DATA!$B$3:$B$10000,DATA!$M$3:$M$10000),"Inactivo"))</f>
        <v/>
      </c>
      <c r="G3427" s="25" t="str">
        <f aca="false">IF(A3427="","",IF(AND(C3427&lt;&gt;"No encontrado",F3427&lt;&gt;"Inactivo"),C3427&amp;" → "&amp;F3427,"Sin transición"))</f>
        <v/>
      </c>
      <c r="H3427" s="23" t="str">
        <f aca="false">IF(A3427="","",IF(D3427="GCIA LINEA SERVICIO DIGITALIDAD Y VENTAS","Chats",IF(OR(D3427="GERENCIA INBOUND LÍNEAS SERVICIO Y VENTA",D3427="GERENCIA INBOUND LINEAS ESPECIALIZADAS"),"Llamadas","Otro")))</f>
        <v/>
      </c>
      <c r="I3427" s="23" t="str">
        <f aca="false">IF(A3427="","",IF(C3427="No encontrado","No","Sí"))</f>
        <v/>
      </c>
      <c r="J3427" s="23" t="str">
        <f aca="false">IF(A3427="","",IF(F3427="Inactivo","No","Sí"))</f>
        <v/>
      </c>
      <c r="K3427" s="23" t="str">
        <f aca="false">IF(A3427="","",IF(AND(I3427="Sí",J3427="Sí"),"Sí","No"))</f>
        <v/>
      </c>
    </row>
    <row r="3428" customFormat="false" ht="15" hidden="false" customHeight="false" outlineLevel="0" collapsed="false">
      <c r="A3428" s="22"/>
      <c r="B3428" s="22"/>
      <c r="C3428" s="26" t="str">
        <f aca="false">IF(A3428="","",IFERROR(buscarx(A3428&amp;B3428,DATA!$E$3:$E$10000&amp;DATA!$B$3:$B$10000,DATA!$M$3:$M$10000),"No encontrado"))</f>
        <v/>
      </c>
      <c r="D3428" s="27" t="str">
        <f aca="false">IF(A3428="","",IFERROR(buscarx(A3428&amp;B3428,DATA!$E$3:$E$10000&amp;DATA!$B$3:$B$10000,DATA!$W$3:$W$10000),"No encontrado"))</f>
        <v/>
      </c>
      <c r="E3428" s="22"/>
      <c r="F3428" s="26" t="str">
        <f aca="false">IF(A3428="","",IFERROR(buscarx(A3428&amp;E3428,DATA!$E$3:$E$10000&amp;DATA!$B$3:$B$10000,DATA!$M$3:$M$10000),"Inactivo"))</f>
        <v/>
      </c>
      <c r="G3428" s="28" t="str">
        <f aca="false">IF(A3428="","",IF(AND(C3428&lt;&gt;"No encontrado",F3428&lt;&gt;"Inactivo"),C3428&amp;" → "&amp;F3428,"Sin transición"))</f>
        <v/>
      </c>
      <c r="H3428" s="26" t="str">
        <f aca="false">IF(A3428="","",IF(D3428="GCIA LINEA SERVICIO DIGITALIDAD Y VENTAS","Chats",IF(OR(D3428="GERENCIA INBOUND LÍNEAS SERVICIO Y VENTA",D3428="GERENCIA INBOUND LINEAS ESPECIALIZADAS"),"Llamadas","Otro")))</f>
        <v/>
      </c>
      <c r="I3428" s="26" t="str">
        <f aca="false">IF(A3428="","",IF(C3428="No encontrado","No","Sí"))</f>
        <v/>
      </c>
      <c r="J3428" s="26" t="str">
        <f aca="false">IF(A3428="","",IF(F3428="Inactivo","No","Sí"))</f>
        <v/>
      </c>
      <c r="K3428" s="26" t="str">
        <f aca="false">IF(A3428="","",IF(AND(I3428="Sí",J3428="Sí"),"Sí","No"))</f>
        <v/>
      </c>
    </row>
    <row r="3429" customFormat="false" ht="15" hidden="false" customHeight="false" outlineLevel="0" collapsed="false">
      <c r="A3429" s="22"/>
      <c r="B3429" s="22"/>
      <c r="C3429" s="23" t="str">
        <f aca="false">IF(A3429="","",IFERROR(buscarx(A3429&amp;B3429,DATA!$E$3:$E$10000&amp;DATA!$B$3:$B$10000,DATA!$M$3:$M$10000),"No encontrado"))</f>
        <v/>
      </c>
      <c r="D3429" s="24" t="str">
        <f aca="false">IF(A3429="","",IFERROR(buscarx(A3429&amp;B3429,DATA!$E$3:$E$10000&amp;DATA!$B$3:$B$10000,DATA!$W$3:$W$10000),"No encontrado"))</f>
        <v/>
      </c>
      <c r="E3429" s="22"/>
      <c r="F3429" s="23" t="str">
        <f aca="false">IF(A3429="","",IFERROR(buscarx(A3429&amp;E3429,DATA!$E$3:$E$10000&amp;DATA!$B$3:$B$10000,DATA!$M$3:$M$10000),"Inactivo"))</f>
        <v/>
      </c>
      <c r="G3429" s="25" t="str">
        <f aca="false">IF(A3429="","",IF(AND(C3429&lt;&gt;"No encontrado",F3429&lt;&gt;"Inactivo"),C3429&amp;" → "&amp;F3429,"Sin transición"))</f>
        <v/>
      </c>
      <c r="H3429" s="23" t="str">
        <f aca="false">IF(A3429="","",IF(D3429="GCIA LINEA SERVICIO DIGITALIDAD Y VENTAS","Chats",IF(OR(D3429="GERENCIA INBOUND LÍNEAS SERVICIO Y VENTA",D3429="GERENCIA INBOUND LINEAS ESPECIALIZADAS"),"Llamadas","Otro")))</f>
        <v/>
      </c>
      <c r="I3429" s="23" t="str">
        <f aca="false">IF(A3429="","",IF(C3429="No encontrado","No","Sí"))</f>
        <v/>
      </c>
      <c r="J3429" s="23" t="str">
        <f aca="false">IF(A3429="","",IF(F3429="Inactivo","No","Sí"))</f>
        <v/>
      </c>
      <c r="K3429" s="23" t="str">
        <f aca="false">IF(A3429="","",IF(AND(I3429="Sí",J3429="Sí"),"Sí","No"))</f>
        <v/>
      </c>
    </row>
    <row r="3430" customFormat="false" ht="15" hidden="false" customHeight="false" outlineLevel="0" collapsed="false">
      <c r="A3430" s="22"/>
      <c r="B3430" s="22"/>
      <c r="C3430" s="26" t="str">
        <f aca="false">IF(A3430="","",IFERROR(buscarx(A3430&amp;B3430,DATA!$E$3:$E$10000&amp;DATA!$B$3:$B$10000,DATA!$M$3:$M$10000),"No encontrado"))</f>
        <v/>
      </c>
      <c r="D3430" s="27" t="str">
        <f aca="false">IF(A3430="","",IFERROR(buscarx(A3430&amp;B3430,DATA!$E$3:$E$10000&amp;DATA!$B$3:$B$10000,DATA!$W$3:$W$10000),"No encontrado"))</f>
        <v/>
      </c>
      <c r="E3430" s="22"/>
      <c r="F3430" s="26" t="str">
        <f aca="false">IF(A3430="","",IFERROR(buscarx(A3430&amp;E3430,DATA!$E$3:$E$10000&amp;DATA!$B$3:$B$10000,DATA!$M$3:$M$10000),"Inactivo"))</f>
        <v/>
      </c>
      <c r="G3430" s="28" t="str">
        <f aca="false">IF(A3430="","",IF(AND(C3430&lt;&gt;"No encontrado",F3430&lt;&gt;"Inactivo"),C3430&amp;" → "&amp;F3430,"Sin transición"))</f>
        <v/>
      </c>
      <c r="H3430" s="26" t="str">
        <f aca="false">IF(A3430="","",IF(D3430="GCIA LINEA SERVICIO DIGITALIDAD Y VENTAS","Chats",IF(OR(D3430="GERENCIA INBOUND LÍNEAS SERVICIO Y VENTA",D3430="GERENCIA INBOUND LINEAS ESPECIALIZADAS"),"Llamadas","Otro")))</f>
        <v/>
      </c>
      <c r="I3430" s="26" t="str">
        <f aca="false">IF(A3430="","",IF(C3430="No encontrado","No","Sí"))</f>
        <v/>
      </c>
      <c r="J3430" s="26" t="str">
        <f aca="false">IF(A3430="","",IF(F3430="Inactivo","No","Sí"))</f>
        <v/>
      </c>
      <c r="K3430" s="26" t="str">
        <f aca="false">IF(A3430="","",IF(AND(I3430="Sí",J3430="Sí"),"Sí","No"))</f>
        <v/>
      </c>
    </row>
    <row r="3431" customFormat="false" ht="15" hidden="false" customHeight="false" outlineLevel="0" collapsed="false">
      <c r="A3431" s="22"/>
      <c r="B3431" s="22"/>
      <c r="C3431" s="23" t="str">
        <f aca="false">IF(A3431="","",IFERROR(buscarx(A3431&amp;B3431,DATA!$E$3:$E$10000&amp;DATA!$B$3:$B$10000,DATA!$M$3:$M$10000),"No encontrado"))</f>
        <v/>
      </c>
      <c r="D3431" s="24" t="str">
        <f aca="false">IF(A3431="","",IFERROR(buscarx(A3431&amp;B3431,DATA!$E$3:$E$10000&amp;DATA!$B$3:$B$10000,DATA!$W$3:$W$10000),"No encontrado"))</f>
        <v/>
      </c>
      <c r="E3431" s="22"/>
      <c r="F3431" s="23" t="str">
        <f aca="false">IF(A3431="","",IFERROR(buscarx(A3431&amp;E3431,DATA!$E$3:$E$10000&amp;DATA!$B$3:$B$10000,DATA!$M$3:$M$10000),"Inactivo"))</f>
        <v/>
      </c>
      <c r="G3431" s="25" t="str">
        <f aca="false">IF(A3431="","",IF(AND(C3431&lt;&gt;"No encontrado",F3431&lt;&gt;"Inactivo"),C3431&amp;" → "&amp;F3431,"Sin transición"))</f>
        <v/>
      </c>
      <c r="H3431" s="23" t="str">
        <f aca="false">IF(A3431="","",IF(D3431="GCIA LINEA SERVICIO DIGITALIDAD Y VENTAS","Chats",IF(OR(D3431="GERENCIA INBOUND LÍNEAS SERVICIO Y VENTA",D3431="GERENCIA INBOUND LINEAS ESPECIALIZADAS"),"Llamadas","Otro")))</f>
        <v/>
      </c>
      <c r="I3431" s="23" t="str">
        <f aca="false">IF(A3431="","",IF(C3431="No encontrado","No","Sí"))</f>
        <v/>
      </c>
      <c r="J3431" s="23" t="str">
        <f aca="false">IF(A3431="","",IF(F3431="Inactivo","No","Sí"))</f>
        <v/>
      </c>
      <c r="K3431" s="23" t="str">
        <f aca="false">IF(A3431="","",IF(AND(I3431="Sí",J3431="Sí"),"Sí","No"))</f>
        <v/>
      </c>
    </row>
    <row r="3432" customFormat="false" ht="15" hidden="false" customHeight="false" outlineLevel="0" collapsed="false">
      <c r="A3432" s="22"/>
      <c r="B3432" s="22"/>
      <c r="C3432" s="26" t="str">
        <f aca="false">IF(A3432="","",IFERROR(buscarx(A3432&amp;B3432,DATA!$E$3:$E$10000&amp;DATA!$B$3:$B$10000,DATA!$M$3:$M$10000),"No encontrado"))</f>
        <v/>
      </c>
      <c r="D3432" s="27" t="str">
        <f aca="false">IF(A3432="","",IFERROR(buscarx(A3432&amp;B3432,DATA!$E$3:$E$10000&amp;DATA!$B$3:$B$10000,DATA!$W$3:$W$10000),"No encontrado"))</f>
        <v/>
      </c>
      <c r="E3432" s="22"/>
      <c r="F3432" s="26" t="str">
        <f aca="false">IF(A3432="","",IFERROR(buscarx(A3432&amp;E3432,DATA!$E$3:$E$10000&amp;DATA!$B$3:$B$10000,DATA!$M$3:$M$10000),"Inactivo"))</f>
        <v/>
      </c>
      <c r="G3432" s="28" t="str">
        <f aca="false">IF(A3432="","",IF(AND(C3432&lt;&gt;"No encontrado",F3432&lt;&gt;"Inactivo"),C3432&amp;" → "&amp;F3432,"Sin transición"))</f>
        <v/>
      </c>
      <c r="H3432" s="26" t="str">
        <f aca="false">IF(A3432="","",IF(D3432="GCIA LINEA SERVICIO DIGITALIDAD Y VENTAS","Chats",IF(OR(D3432="GERENCIA INBOUND LÍNEAS SERVICIO Y VENTA",D3432="GERENCIA INBOUND LINEAS ESPECIALIZADAS"),"Llamadas","Otro")))</f>
        <v/>
      </c>
      <c r="I3432" s="26" t="str">
        <f aca="false">IF(A3432="","",IF(C3432="No encontrado","No","Sí"))</f>
        <v/>
      </c>
      <c r="J3432" s="26" t="str">
        <f aca="false">IF(A3432="","",IF(F3432="Inactivo","No","Sí"))</f>
        <v/>
      </c>
      <c r="K3432" s="26" t="str">
        <f aca="false">IF(A3432="","",IF(AND(I3432="Sí",J3432="Sí"),"Sí","No"))</f>
        <v/>
      </c>
    </row>
    <row r="3433" customFormat="false" ht="15" hidden="false" customHeight="false" outlineLevel="0" collapsed="false">
      <c r="A3433" s="22"/>
      <c r="B3433" s="22"/>
      <c r="C3433" s="23" t="str">
        <f aca="false">IF(A3433="","",IFERROR(buscarx(A3433&amp;B3433,DATA!$E$3:$E$10000&amp;DATA!$B$3:$B$10000,DATA!$M$3:$M$10000),"No encontrado"))</f>
        <v/>
      </c>
      <c r="D3433" s="24" t="str">
        <f aca="false">IF(A3433="","",IFERROR(buscarx(A3433&amp;B3433,DATA!$E$3:$E$10000&amp;DATA!$B$3:$B$10000,DATA!$W$3:$W$10000),"No encontrado"))</f>
        <v/>
      </c>
      <c r="E3433" s="22"/>
      <c r="F3433" s="23" t="str">
        <f aca="false">IF(A3433="","",IFERROR(buscarx(A3433&amp;E3433,DATA!$E$3:$E$10000&amp;DATA!$B$3:$B$10000,DATA!$M$3:$M$10000),"Inactivo"))</f>
        <v/>
      </c>
      <c r="G3433" s="25" t="str">
        <f aca="false">IF(A3433="","",IF(AND(C3433&lt;&gt;"No encontrado",F3433&lt;&gt;"Inactivo"),C3433&amp;" → "&amp;F3433,"Sin transición"))</f>
        <v/>
      </c>
      <c r="H3433" s="23" t="str">
        <f aca="false">IF(A3433="","",IF(D3433="GCIA LINEA SERVICIO DIGITALIDAD Y VENTAS","Chats",IF(OR(D3433="GERENCIA INBOUND LÍNEAS SERVICIO Y VENTA",D3433="GERENCIA INBOUND LINEAS ESPECIALIZADAS"),"Llamadas","Otro")))</f>
        <v/>
      </c>
      <c r="I3433" s="23" t="str">
        <f aca="false">IF(A3433="","",IF(C3433="No encontrado","No","Sí"))</f>
        <v/>
      </c>
      <c r="J3433" s="23" t="str">
        <f aca="false">IF(A3433="","",IF(F3433="Inactivo","No","Sí"))</f>
        <v/>
      </c>
      <c r="K3433" s="23" t="str">
        <f aca="false">IF(A3433="","",IF(AND(I3433="Sí",J3433="Sí"),"Sí","No"))</f>
        <v/>
      </c>
    </row>
    <row r="3434" customFormat="false" ht="15" hidden="false" customHeight="false" outlineLevel="0" collapsed="false">
      <c r="A3434" s="22"/>
      <c r="B3434" s="22"/>
      <c r="C3434" s="26" t="str">
        <f aca="false">IF(A3434="","",IFERROR(buscarx(A3434&amp;B3434,DATA!$E$3:$E$10000&amp;DATA!$B$3:$B$10000,DATA!$M$3:$M$10000),"No encontrado"))</f>
        <v/>
      </c>
      <c r="D3434" s="27" t="str">
        <f aca="false">IF(A3434="","",IFERROR(buscarx(A3434&amp;B3434,DATA!$E$3:$E$10000&amp;DATA!$B$3:$B$10000,DATA!$W$3:$W$10000),"No encontrado"))</f>
        <v/>
      </c>
      <c r="E3434" s="22"/>
      <c r="F3434" s="26" t="str">
        <f aca="false">IF(A3434="","",IFERROR(buscarx(A3434&amp;E3434,DATA!$E$3:$E$10000&amp;DATA!$B$3:$B$10000,DATA!$M$3:$M$10000),"Inactivo"))</f>
        <v/>
      </c>
      <c r="G3434" s="28" t="str">
        <f aca="false">IF(A3434="","",IF(AND(C3434&lt;&gt;"No encontrado",F3434&lt;&gt;"Inactivo"),C3434&amp;" → "&amp;F3434,"Sin transición"))</f>
        <v/>
      </c>
      <c r="H3434" s="26" t="str">
        <f aca="false">IF(A3434="","",IF(D3434="GCIA LINEA SERVICIO DIGITALIDAD Y VENTAS","Chats",IF(OR(D3434="GERENCIA INBOUND LÍNEAS SERVICIO Y VENTA",D3434="GERENCIA INBOUND LINEAS ESPECIALIZADAS"),"Llamadas","Otro")))</f>
        <v/>
      </c>
      <c r="I3434" s="26" t="str">
        <f aca="false">IF(A3434="","",IF(C3434="No encontrado","No","Sí"))</f>
        <v/>
      </c>
      <c r="J3434" s="26" t="str">
        <f aca="false">IF(A3434="","",IF(F3434="Inactivo","No","Sí"))</f>
        <v/>
      </c>
      <c r="K3434" s="26" t="str">
        <f aca="false">IF(A3434="","",IF(AND(I3434="Sí",J3434="Sí"),"Sí","No"))</f>
        <v/>
      </c>
    </row>
    <row r="3435" customFormat="false" ht="15" hidden="false" customHeight="false" outlineLevel="0" collapsed="false">
      <c r="A3435" s="22"/>
      <c r="B3435" s="22"/>
      <c r="C3435" s="23" t="str">
        <f aca="false">IF(A3435="","",IFERROR(buscarx(A3435&amp;B3435,DATA!$E$3:$E$10000&amp;DATA!$B$3:$B$10000,DATA!$M$3:$M$10000),"No encontrado"))</f>
        <v/>
      </c>
      <c r="D3435" s="24" t="str">
        <f aca="false">IF(A3435="","",IFERROR(buscarx(A3435&amp;B3435,DATA!$E$3:$E$10000&amp;DATA!$B$3:$B$10000,DATA!$W$3:$W$10000),"No encontrado"))</f>
        <v/>
      </c>
      <c r="E3435" s="22"/>
      <c r="F3435" s="23" t="str">
        <f aca="false">IF(A3435="","",IFERROR(buscarx(A3435&amp;E3435,DATA!$E$3:$E$10000&amp;DATA!$B$3:$B$10000,DATA!$M$3:$M$10000),"Inactivo"))</f>
        <v/>
      </c>
      <c r="G3435" s="25" t="str">
        <f aca="false">IF(A3435="","",IF(AND(C3435&lt;&gt;"No encontrado",F3435&lt;&gt;"Inactivo"),C3435&amp;" → "&amp;F3435,"Sin transición"))</f>
        <v/>
      </c>
      <c r="H3435" s="23" t="str">
        <f aca="false">IF(A3435="","",IF(D3435="GCIA LINEA SERVICIO DIGITALIDAD Y VENTAS","Chats",IF(OR(D3435="GERENCIA INBOUND LÍNEAS SERVICIO Y VENTA",D3435="GERENCIA INBOUND LINEAS ESPECIALIZADAS"),"Llamadas","Otro")))</f>
        <v/>
      </c>
      <c r="I3435" s="23" t="str">
        <f aca="false">IF(A3435="","",IF(C3435="No encontrado","No","Sí"))</f>
        <v/>
      </c>
      <c r="J3435" s="23" t="str">
        <f aca="false">IF(A3435="","",IF(F3435="Inactivo","No","Sí"))</f>
        <v/>
      </c>
      <c r="K3435" s="23" t="str">
        <f aca="false">IF(A3435="","",IF(AND(I3435="Sí",J3435="Sí"),"Sí","No"))</f>
        <v/>
      </c>
    </row>
    <row r="3436" customFormat="false" ht="15" hidden="false" customHeight="false" outlineLevel="0" collapsed="false">
      <c r="A3436" s="22"/>
      <c r="B3436" s="22"/>
      <c r="C3436" s="26" t="str">
        <f aca="false">IF(A3436="","",IFERROR(buscarx(A3436&amp;B3436,DATA!$E$3:$E$10000&amp;DATA!$B$3:$B$10000,DATA!$M$3:$M$10000),"No encontrado"))</f>
        <v/>
      </c>
      <c r="D3436" s="27" t="str">
        <f aca="false">IF(A3436="","",IFERROR(buscarx(A3436&amp;B3436,DATA!$E$3:$E$10000&amp;DATA!$B$3:$B$10000,DATA!$W$3:$W$10000),"No encontrado"))</f>
        <v/>
      </c>
      <c r="E3436" s="22"/>
      <c r="F3436" s="26" t="str">
        <f aca="false">IF(A3436="","",IFERROR(buscarx(A3436&amp;E3436,DATA!$E$3:$E$10000&amp;DATA!$B$3:$B$10000,DATA!$M$3:$M$10000),"Inactivo"))</f>
        <v/>
      </c>
      <c r="G3436" s="28" t="str">
        <f aca="false">IF(A3436="","",IF(AND(C3436&lt;&gt;"No encontrado",F3436&lt;&gt;"Inactivo"),C3436&amp;" → "&amp;F3436,"Sin transición"))</f>
        <v/>
      </c>
      <c r="H3436" s="26" t="str">
        <f aca="false">IF(A3436="","",IF(D3436="GCIA LINEA SERVICIO DIGITALIDAD Y VENTAS","Chats",IF(OR(D3436="GERENCIA INBOUND LÍNEAS SERVICIO Y VENTA",D3436="GERENCIA INBOUND LINEAS ESPECIALIZADAS"),"Llamadas","Otro")))</f>
        <v/>
      </c>
      <c r="I3436" s="26" t="str">
        <f aca="false">IF(A3436="","",IF(C3436="No encontrado","No","Sí"))</f>
        <v/>
      </c>
      <c r="J3436" s="26" t="str">
        <f aca="false">IF(A3436="","",IF(F3436="Inactivo","No","Sí"))</f>
        <v/>
      </c>
      <c r="K3436" s="26" t="str">
        <f aca="false">IF(A3436="","",IF(AND(I3436="Sí",J3436="Sí"),"Sí","No"))</f>
        <v/>
      </c>
    </row>
    <row r="3437" customFormat="false" ht="15" hidden="false" customHeight="false" outlineLevel="0" collapsed="false">
      <c r="A3437" s="22"/>
      <c r="B3437" s="22"/>
      <c r="C3437" s="23" t="str">
        <f aca="false">IF(A3437="","",IFERROR(buscarx(A3437&amp;B3437,DATA!$E$3:$E$10000&amp;DATA!$B$3:$B$10000,DATA!$M$3:$M$10000),"No encontrado"))</f>
        <v/>
      </c>
      <c r="D3437" s="24" t="str">
        <f aca="false">IF(A3437="","",IFERROR(buscarx(A3437&amp;B3437,DATA!$E$3:$E$10000&amp;DATA!$B$3:$B$10000,DATA!$W$3:$W$10000),"No encontrado"))</f>
        <v/>
      </c>
      <c r="E3437" s="22"/>
      <c r="F3437" s="23" t="str">
        <f aca="false">IF(A3437="","",IFERROR(buscarx(A3437&amp;E3437,DATA!$E$3:$E$10000&amp;DATA!$B$3:$B$10000,DATA!$M$3:$M$10000),"Inactivo"))</f>
        <v/>
      </c>
      <c r="G3437" s="25" t="str">
        <f aca="false">IF(A3437="","",IF(AND(C3437&lt;&gt;"No encontrado",F3437&lt;&gt;"Inactivo"),C3437&amp;" → "&amp;F3437,"Sin transición"))</f>
        <v/>
      </c>
      <c r="H3437" s="23" t="str">
        <f aca="false">IF(A3437="","",IF(D3437="GCIA LINEA SERVICIO DIGITALIDAD Y VENTAS","Chats",IF(OR(D3437="GERENCIA INBOUND LÍNEAS SERVICIO Y VENTA",D3437="GERENCIA INBOUND LINEAS ESPECIALIZADAS"),"Llamadas","Otro")))</f>
        <v/>
      </c>
      <c r="I3437" s="23" t="str">
        <f aca="false">IF(A3437="","",IF(C3437="No encontrado","No","Sí"))</f>
        <v/>
      </c>
      <c r="J3437" s="23" t="str">
        <f aca="false">IF(A3437="","",IF(F3437="Inactivo","No","Sí"))</f>
        <v/>
      </c>
      <c r="K3437" s="23" t="str">
        <f aca="false">IF(A3437="","",IF(AND(I3437="Sí",J3437="Sí"),"Sí","No"))</f>
        <v/>
      </c>
    </row>
    <row r="3438" customFormat="false" ht="15" hidden="false" customHeight="false" outlineLevel="0" collapsed="false">
      <c r="A3438" s="22"/>
      <c r="B3438" s="22"/>
      <c r="C3438" s="26" t="str">
        <f aca="false">IF(A3438="","",IFERROR(buscarx(A3438&amp;B3438,DATA!$E$3:$E$10000&amp;DATA!$B$3:$B$10000,DATA!$M$3:$M$10000),"No encontrado"))</f>
        <v/>
      </c>
      <c r="D3438" s="27" t="str">
        <f aca="false">IF(A3438="","",IFERROR(buscarx(A3438&amp;B3438,DATA!$E$3:$E$10000&amp;DATA!$B$3:$B$10000,DATA!$W$3:$W$10000),"No encontrado"))</f>
        <v/>
      </c>
      <c r="E3438" s="22"/>
      <c r="F3438" s="26" t="str">
        <f aca="false">IF(A3438="","",IFERROR(buscarx(A3438&amp;E3438,DATA!$E$3:$E$10000&amp;DATA!$B$3:$B$10000,DATA!$M$3:$M$10000),"Inactivo"))</f>
        <v/>
      </c>
      <c r="G3438" s="28" t="str">
        <f aca="false">IF(A3438="","",IF(AND(C3438&lt;&gt;"No encontrado",F3438&lt;&gt;"Inactivo"),C3438&amp;" → "&amp;F3438,"Sin transición"))</f>
        <v/>
      </c>
      <c r="H3438" s="26" t="str">
        <f aca="false">IF(A3438="","",IF(D3438="GCIA LINEA SERVICIO DIGITALIDAD Y VENTAS","Chats",IF(OR(D3438="GERENCIA INBOUND LÍNEAS SERVICIO Y VENTA",D3438="GERENCIA INBOUND LINEAS ESPECIALIZADAS"),"Llamadas","Otro")))</f>
        <v/>
      </c>
      <c r="I3438" s="26" t="str">
        <f aca="false">IF(A3438="","",IF(C3438="No encontrado","No","Sí"))</f>
        <v/>
      </c>
      <c r="J3438" s="26" t="str">
        <f aca="false">IF(A3438="","",IF(F3438="Inactivo","No","Sí"))</f>
        <v/>
      </c>
      <c r="K3438" s="26" t="str">
        <f aca="false">IF(A3438="","",IF(AND(I3438="Sí",J3438="Sí"),"Sí","No"))</f>
        <v/>
      </c>
    </row>
    <row r="3439" customFormat="false" ht="15" hidden="false" customHeight="false" outlineLevel="0" collapsed="false">
      <c r="A3439" s="22"/>
      <c r="B3439" s="22"/>
      <c r="C3439" s="23" t="str">
        <f aca="false">IF(A3439="","",IFERROR(buscarx(A3439&amp;B3439,DATA!$E$3:$E$10000&amp;DATA!$B$3:$B$10000,DATA!$M$3:$M$10000),"No encontrado"))</f>
        <v/>
      </c>
      <c r="D3439" s="24" t="str">
        <f aca="false">IF(A3439="","",IFERROR(buscarx(A3439&amp;B3439,DATA!$E$3:$E$10000&amp;DATA!$B$3:$B$10000,DATA!$W$3:$W$10000),"No encontrado"))</f>
        <v/>
      </c>
      <c r="E3439" s="22"/>
      <c r="F3439" s="23" t="str">
        <f aca="false">IF(A3439="","",IFERROR(buscarx(A3439&amp;E3439,DATA!$E$3:$E$10000&amp;DATA!$B$3:$B$10000,DATA!$M$3:$M$10000),"Inactivo"))</f>
        <v/>
      </c>
      <c r="G3439" s="25" t="str">
        <f aca="false">IF(A3439="","",IF(AND(C3439&lt;&gt;"No encontrado",F3439&lt;&gt;"Inactivo"),C3439&amp;" → "&amp;F3439,"Sin transición"))</f>
        <v/>
      </c>
      <c r="H3439" s="23" t="str">
        <f aca="false">IF(A3439="","",IF(D3439="GCIA LINEA SERVICIO DIGITALIDAD Y VENTAS","Chats",IF(OR(D3439="GERENCIA INBOUND LÍNEAS SERVICIO Y VENTA",D3439="GERENCIA INBOUND LINEAS ESPECIALIZADAS"),"Llamadas","Otro")))</f>
        <v/>
      </c>
      <c r="I3439" s="23" t="str">
        <f aca="false">IF(A3439="","",IF(C3439="No encontrado","No","Sí"))</f>
        <v/>
      </c>
      <c r="J3439" s="23" t="str">
        <f aca="false">IF(A3439="","",IF(F3439="Inactivo","No","Sí"))</f>
        <v/>
      </c>
      <c r="K3439" s="23" t="str">
        <f aca="false">IF(A3439="","",IF(AND(I3439="Sí",J3439="Sí"),"Sí","No"))</f>
        <v/>
      </c>
    </row>
    <row r="3440" customFormat="false" ht="15" hidden="false" customHeight="false" outlineLevel="0" collapsed="false">
      <c r="A3440" s="22"/>
      <c r="B3440" s="22"/>
      <c r="C3440" s="26" t="str">
        <f aca="false">IF(A3440="","",IFERROR(buscarx(A3440&amp;B3440,DATA!$E$3:$E$10000&amp;DATA!$B$3:$B$10000,DATA!$M$3:$M$10000),"No encontrado"))</f>
        <v/>
      </c>
      <c r="D3440" s="27" t="str">
        <f aca="false">IF(A3440="","",IFERROR(buscarx(A3440&amp;B3440,DATA!$E$3:$E$10000&amp;DATA!$B$3:$B$10000,DATA!$W$3:$W$10000),"No encontrado"))</f>
        <v/>
      </c>
      <c r="E3440" s="22"/>
      <c r="F3440" s="26" t="str">
        <f aca="false">IF(A3440="","",IFERROR(buscarx(A3440&amp;E3440,DATA!$E$3:$E$10000&amp;DATA!$B$3:$B$10000,DATA!$M$3:$M$10000),"Inactivo"))</f>
        <v/>
      </c>
      <c r="G3440" s="28" t="str">
        <f aca="false">IF(A3440="","",IF(AND(C3440&lt;&gt;"No encontrado",F3440&lt;&gt;"Inactivo"),C3440&amp;" → "&amp;F3440,"Sin transición"))</f>
        <v/>
      </c>
      <c r="H3440" s="26" t="str">
        <f aca="false">IF(A3440="","",IF(D3440="GCIA LINEA SERVICIO DIGITALIDAD Y VENTAS","Chats",IF(OR(D3440="GERENCIA INBOUND LÍNEAS SERVICIO Y VENTA",D3440="GERENCIA INBOUND LINEAS ESPECIALIZADAS"),"Llamadas","Otro")))</f>
        <v/>
      </c>
      <c r="I3440" s="26" t="str">
        <f aca="false">IF(A3440="","",IF(C3440="No encontrado","No","Sí"))</f>
        <v/>
      </c>
      <c r="J3440" s="26" t="str">
        <f aca="false">IF(A3440="","",IF(F3440="Inactivo","No","Sí"))</f>
        <v/>
      </c>
      <c r="K3440" s="26" t="str">
        <f aca="false">IF(A3440="","",IF(AND(I3440="Sí",J3440="Sí"),"Sí","No"))</f>
        <v/>
      </c>
    </row>
    <row r="3441" customFormat="false" ht="15" hidden="false" customHeight="false" outlineLevel="0" collapsed="false">
      <c r="A3441" s="22"/>
      <c r="B3441" s="22"/>
      <c r="C3441" s="23" t="str">
        <f aca="false">IF(A3441="","",IFERROR(buscarx(A3441&amp;B3441,DATA!$E$3:$E$10000&amp;DATA!$B$3:$B$10000,DATA!$M$3:$M$10000),"No encontrado"))</f>
        <v/>
      </c>
      <c r="D3441" s="24" t="str">
        <f aca="false">IF(A3441="","",IFERROR(buscarx(A3441&amp;B3441,DATA!$E$3:$E$10000&amp;DATA!$B$3:$B$10000,DATA!$W$3:$W$10000),"No encontrado"))</f>
        <v/>
      </c>
      <c r="E3441" s="22"/>
      <c r="F3441" s="23" t="str">
        <f aca="false">IF(A3441="","",IFERROR(buscarx(A3441&amp;E3441,DATA!$E$3:$E$10000&amp;DATA!$B$3:$B$10000,DATA!$M$3:$M$10000),"Inactivo"))</f>
        <v/>
      </c>
      <c r="G3441" s="25" t="str">
        <f aca="false">IF(A3441="","",IF(AND(C3441&lt;&gt;"No encontrado",F3441&lt;&gt;"Inactivo"),C3441&amp;" → "&amp;F3441,"Sin transición"))</f>
        <v/>
      </c>
      <c r="H3441" s="23" t="str">
        <f aca="false">IF(A3441="","",IF(D3441="GCIA LINEA SERVICIO DIGITALIDAD Y VENTAS","Chats",IF(OR(D3441="GERENCIA INBOUND LÍNEAS SERVICIO Y VENTA",D3441="GERENCIA INBOUND LINEAS ESPECIALIZADAS"),"Llamadas","Otro")))</f>
        <v/>
      </c>
      <c r="I3441" s="23" t="str">
        <f aca="false">IF(A3441="","",IF(C3441="No encontrado","No","Sí"))</f>
        <v/>
      </c>
      <c r="J3441" s="23" t="str">
        <f aca="false">IF(A3441="","",IF(F3441="Inactivo","No","Sí"))</f>
        <v/>
      </c>
      <c r="K3441" s="23" t="str">
        <f aca="false">IF(A3441="","",IF(AND(I3441="Sí",J3441="Sí"),"Sí","No"))</f>
        <v/>
      </c>
    </row>
    <row r="3442" customFormat="false" ht="15" hidden="false" customHeight="false" outlineLevel="0" collapsed="false">
      <c r="A3442" s="22"/>
      <c r="B3442" s="22"/>
      <c r="C3442" s="26" t="str">
        <f aca="false">IF(A3442="","",IFERROR(buscarx(A3442&amp;B3442,DATA!$E$3:$E$10000&amp;DATA!$B$3:$B$10000,DATA!$M$3:$M$10000),"No encontrado"))</f>
        <v/>
      </c>
      <c r="D3442" s="27" t="str">
        <f aca="false">IF(A3442="","",IFERROR(buscarx(A3442&amp;B3442,DATA!$E$3:$E$10000&amp;DATA!$B$3:$B$10000,DATA!$W$3:$W$10000),"No encontrado"))</f>
        <v/>
      </c>
      <c r="E3442" s="22"/>
      <c r="F3442" s="26" t="str">
        <f aca="false">IF(A3442="","",IFERROR(buscarx(A3442&amp;E3442,DATA!$E$3:$E$10000&amp;DATA!$B$3:$B$10000,DATA!$M$3:$M$10000),"Inactivo"))</f>
        <v/>
      </c>
      <c r="G3442" s="28" t="str">
        <f aca="false">IF(A3442="","",IF(AND(C3442&lt;&gt;"No encontrado",F3442&lt;&gt;"Inactivo"),C3442&amp;" → "&amp;F3442,"Sin transición"))</f>
        <v/>
      </c>
      <c r="H3442" s="26" t="str">
        <f aca="false">IF(A3442="","",IF(D3442="GCIA LINEA SERVICIO DIGITALIDAD Y VENTAS","Chats",IF(OR(D3442="GERENCIA INBOUND LÍNEAS SERVICIO Y VENTA",D3442="GERENCIA INBOUND LINEAS ESPECIALIZADAS"),"Llamadas","Otro")))</f>
        <v/>
      </c>
      <c r="I3442" s="26" t="str">
        <f aca="false">IF(A3442="","",IF(C3442="No encontrado","No","Sí"))</f>
        <v/>
      </c>
      <c r="J3442" s="26" t="str">
        <f aca="false">IF(A3442="","",IF(F3442="Inactivo","No","Sí"))</f>
        <v/>
      </c>
      <c r="K3442" s="26" t="str">
        <f aca="false">IF(A3442="","",IF(AND(I3442="Sí",J3442="Sí"),"Sí","No"))</f>
        <v/>
      </c>
    </row>
    <row r="3443" customFormat="false" ht="15" hidden="false" customHeight="false" outlineLevel="0" collapsed="false">
      <c r="A3443" s="22"/>
      <c r="B3443" s="22"/>
      <c r="C3443" s="23" t="str">
        <f aca="false">IF(A3443="","",IFERROR(buscarx(A3443&amp;B3443,DATA!$E$3:$E$10000&amp;DATA!$B$3:$B$10000,DATA!$M$3:$M$10000),"No encontrado"))</f>
        <v/>
      </c>
      <c r="D3443" s="24" t="str">
        <f aca="false">IF(A3443="","",IFERROR(buscarx(A3443&amp;B3443,DATA!$E$3:$E$10000&amp;DATA!$B$3:$B$10000,DATA!$W$3:$W$10000),"No encontrado"))</f>
        <v/>
      </c>
      <c r="E3443" s="22"/>
      <c r="F3443" s="23" t="str">
        <f aca="false">IF(A3443="","",IFERROR(buscarx(A3443&amp;E3443,DATA!$E$3:$E$10000&amp;DATA!$B$3:$B$10000,DATA!$M$3:$M$10000),"Inactivo"))</f>
        <v/>
      </c>
      <c r="G3443" s="25" t="str">
        <f aca="false">IF(A3443="","",IF(AND(C3443&lt;&gt;"No encontrado",F3443&lt;&gt;"Inactivo"),C3443&amp;" → "&amp;F3443,"Sin transición"))</f>
        <v/>
      </c>
      <c r="H3443" s="23" t="str">
        <f aca="false">IF(A3443="","",IF(D3443="GCIA LINEA SERVICIO DIGITALIDAD Y VENTAS","Chats",IF(OR(D3443="GERENCIA INBOUND LÍNEAS SERVICIO Y VENTA",D3443="GERENCIA INBOUND LINEAS ESPECIALIZADAS"),"Llamadas","Otro")))</f>
        <v/>
      </c>
      <c r="I3443" s="23" t="str">
        <f aca="false">IF(A3443="","",IF(C3443="No encontrado","No","Sí"))</f>
        <v/>
      </c>
      <c r="J3443" s="23" t="str">
        <f aca="false">IF(A3443="","",IF(F3443="Inactivo","No","Sí"))</f>
        <v/>
      </c>
      <c r="K3443" s="23" t="str">
        <f aca="false">IF(A3443="","",IF(AND(I3443="Sí",J3443="Sí"),"Sí","No"))</f>
        <v/>
      </c>
    </row>
    <row r="3444" customFormat="false" ht="15" hidden="false" customHeight="false" outlineLevel="0" collapsed="false">
      <c r="A3444" s="22"/>
      <c r="B3444" s="22"/>
      <c r="C3444" s="26" t="str">
        <f aca="false">IF(A3444="","",IFERROR(buscarx(A3444&amp;B3444,DATA!$E$3:$E$10000&amp;DATA!$B$3:$B$10000,DATA!$M$3:$M$10000),"No encontrado"))</f>
        <v/>
      </c>
      <c r="D3444" s="27" t="str">
        <f aca="false">IF(A3444="","",IFERROR(buscarx(A3444&amp;B3444,DATA!$E$3:$E$10000&amp;DATA!$B$3:$B$10000,DATA!$W$3:$W$10000),"No encontrado"))</f>
        <v/>
      </c>
      <c r="E3444" s="22"/>
      <c r="F3444" s="26" t="str">
        <f aca="false">IF(A3444="","",IFERROR(buscarx(A3444&amp;E3444,DATA!$E$3:$E$10000&amp;DATA!$B$3:$B$10000,DATA!$M$3:$M$10000),"Inactivo"))</f>
        <v/>
      </c>
      <c r="G3444" s="28" t="str">
        <f aca="false">IF(A3444="","",IF(AND(C3444&lt;&gt;"No encontrado",F3444&lt;&gt;"Inactivo"),C3444&amp;" → "&amp;F3444,"Sin transición"))</f>
        <v/>
      </c>
      <c r="H3444" s="26" t="str">
        <f aca="false">IF(A3444="","",IF(D3444="GCIA LINEA SERVICIO DIGITALIDAD Y VENTAS","Chats",IF(OR(D3444="GERENCIA INBOUND LÍNEAS SERVICIO Y VENTA",D3444="GERENCIA INBOUND LINEAS ESPECIALIZADAS"),"Llamadas","Otro")))</f>
        <v/>
      </c>
      <c r="I3444" s="26" t="str">
        <f aca="false">IF(A3444="","",IF(C3444="No encontrado","No","Sí"))</f>
        <v/>
      </c>
      <c r="J3444" s="26" t="str">
        <f aca="false">IF(A3444="","",IF(F3444="Inactivo","No","Sí"))</f>
        <v/>
      </c>
      <c r="K3444" s="26" t="str">
        <f aca="false">IF(A3444="","",IF(AND(I3444="Sí",J3444="Sí"),"Sí","No"))</f>
        <v/>
      </c>
    </row>
    <row r="3445" customFormat="false" ht="15" hidden="false" customHeight="false" outlineLevel="0" collapsed="false">
      <c r="A3445" s="22"/>
      <c r="B3445" s="22"/>
      <c r="C3445" s="23" t="str">
        <f aca="false">IF(A3445="","",IFERROR(buscarx(A3445&amp;B3445,DATA!$E$3:$E$10000&amp;DATA!$B$3:$B$10000,DATA!$M$3:$M$10000),"No encontrado"))</f>
        <v/>
      </c>
      <c r="D3445" s="24" t="str">
        <f aca="false">IF(A3445="","",IFERROR(buscarx(A3445&amp;B3445,DATA!$E$3:$E$10000&amp;DATA!$B$3:$B$10000,DATA!$W$3:$W$10000),"No encontrado"))</f>
        <v/>
      </c>
      <c r="E3445" s="22"/>
      <c r="F3445" s="23" t="str">
        <f aca="false">IF(A3445="","",IFERROR(buscarx(A3445&amp;E3445,DATA!$E$3:$E$10000&amp;DATA!$B$3:$B$10000,DATA!$M$3:$M$10000),"Inactivo"))</f>
        <v/>
      </c>
      <c r="G3445" s="25" t="str">
        <f aca="false">IF(A3445="","",IF(AND(C3445&lt;&gt;"No encontrado",F3445&lt;&gt;"Inactivo"),C3445&amp;" → "&amp;F3445,"Sin transición"))</f>
        <v/>
      </c>
      <c r="H3445" s="23" t="str">
        <f aca="false">IF(A3445="","",IF(D3445="GCIA LINEA SERVICIO DIGITALIDAD Y VENTAS","Chats",IF(OR(D3445="GERENCIA INBOUND LÍNEAS SERVICIO Y VENTA",D3445="GERENCIA INBOUND LINEAS ESPECIALIZADAS"),"Llamadas","Otro")))</f>
        <v/>
      </c>
      <c r="I3445" s="23" t="str">
        <f aca="false">IF(A3445="","",IF(C3445="No encontrado","No","Sí"))</f>
        <v/>
      </c>
      <c r="J3445" s="23" t="str">
        <f aca="false">IF(A3445="","",IF(F3445="Inactivo","No","Sí"))</f>
        <v/>
      </c>
      <c r="K3445" s="23" t="str">
        <f aca="false">IF(A3445="","",IF(AND(I3445="Sí",J3445="Sí"),"Sí","No"))</f>
        <v/>
      </c>
    </row>
    <row r="3446" customFormat="false" ht="15" hidden="false" customHeight="false" outlineLevel="0" collapsed="false">
      <c r="A3446" s="22"/>
      <c r="B3446" s="22"/>
      <c r="C3446" s="26" t="str">
        <f aca="false">IF(A3446="","",IFERROR(buscarx(A3446&amp;B3446,DATA!$E$3:$E$10000&amp;DATA!$B$3:$B$10000,DATA!$M$3:$M$10000),"No encontrado"))</f>
        <v/>
      </c>
      <c r="D3446" s="27" t="str">
        <f aca="false">IF(A3446="","",IFERROR(buscarx(A3446&amp;B3446,DATA!$E$3:$E$10000&amp;DATA!$B$3:$B$10000,DATA!$W$3:$W$10000),"No encontrado"))</f>
        <v/>
      </c>
      <c r="E3446" s="22"/>
      <c r="F3446" s="26" t="str">
        <f aca="false">IF(A3446="","",IFERROR(buscarx(A3446&amp;E3446,DATA!$E$3:$E$10000&amp;DATA!$B$3:$B$10000,DATA!$M$3:$M$10000),"Inactivo"))</f>
        <v/>
      </c>
      <c r="G3446" s="28" t="str">
        <f aca="false">IF(A3446="","",IF(AND(C3446&lt;&gt;"No encontrado",F3446&lt;&gt;"Inactivo"),C3446&amp;" → "&amp;F3446,"Sin transición"))</f>
        <v/>
      </c>
      <c r="H3446" s="26" t="str">
        <f aca="false">IF(A3446="","",IF(D3446="GCIA LINEA SERVICIO DIGITALIDAD Y VENTAS","Chats",IF(OR(D3446="GERENCIA INBOUND LÍNEAS SERVICIO Y VENTA",D3446="GERENCIA INBOUND LINEAS ESPECIALIZADAS"),"Llamadas","Otro")))</f>
        <v/>
      </c>
      <c r="I3446" s="26" t="str">
        <f aca="false">IF(A3446="","",IF(C3446="No encontrado","No","Sí"))</f>
        <v/>
      </c>
      <c r="J3446" s="26" t="str">
        <f aca="false">IF(A3446="","",IF(F3446="Inactivo","No","Sí"))</f>
        <v/>
      </c>
      <c r="K3446" s="26" t="str">
        <f aca="false">IF(A3446="","",IF(AND(I3446="Sí",J3446="Sí"),"Sí","No"))</f>
        <v/>
      </c>
    </row>
    <row r="3447" customFormat="false" ht="15" hidden="false" customHeight="false" outlineLevel="0" collapsed="false">
      <c r="A3447" s="22"/>
      <c r="B3447" s="22"/>
      <c r="C3447" s="23" t="str">
        <f aca="false">IF(A3447="","",IFERROR(buscarx(A3447&amp;B3447,DATA!$E$3:$E$10000&amp;DATA!$B$3:$B$10000,DATA!$M$3:$M$10000),"No encontrado"))</f>
        <v/>
      </c>
      <c r="D3447" s="24" t="str">
        <f aca="false">IF(A3447="","",IFERROR(buscarx(A3447&amp;B3447,DATA!$E$3:$E$10000&amp;DATA!$B$3:$B$10000,DATA!$W$3:$W$10000),"No encontrado"))</f>
        <v/>
      </c>
      <c r="E3447" s="22"/>
      <c r="F3447" s="23" t="str">
        <f aca="false">IF(A3447="","",IFERROR(buscarx(A3447&amp;E3447,DATA!$E$3:$E$10000&amp;DATA!$B$3:$B$10000,DATA!$M$3:$M$10000),"Inactivo"))</f>
        <v/>
      </c>
      <c r="G3447" s="25" t="str">
        <f aca="false">IF(A3447="","",IF(AND(C3447&lt;&gt;"No encontrado",F3447&lt;&gt;"Inactivo"),C3447&amp;" → "&amp;F3447,"Sin transición"))</f>
        <v/>
      </c>
      <c r="H3447" s="23" t="str">
        <f aca="false">IF(A3447="","",IF(D3447="GCIA LINEA SERVICIO DIGITALIDAD Y VENTAS","Chats",IF(OR(D3447="GERENCIA INBOUND LÍNEAS SERVICIO Y VENTA",D3447="GERENCIA INBOUND LINEAS ESPECIALIZADAS"),"Llamadas","Otro")))</f>
        <v/>
      </c>
      <c r="I3447" s="23" t="str">
        <f aca="false">IF(A3447="","",IF(C3447="No encontrado","No","Sí"))</f>
        <v/>
      </c>
      <c r="J3447" s="23" t="str">
        <f aca="false">IF(A3447="","",IF(F3447="Inactivo","No","Sí"))</f>
        <v/>
      </c>
      <c r="K3447" s="23" t="str">
        <f aca="false">IF(A3447="","",IF(AND(I3447="Sí",J3447="Sí"),"Sí","No"))</f>
        <v/>
      </c>
    </row>
    <row r="3448" customFormat="false" ht="15" hidden="false" customHeight="false" outlineLevel="0" collapsed="false">
      <c r="A3448" s="22"/>
      <c r="B3448" s="22"/>
      <c r="C3448" s="26" t="str">
        <f aca="false">IF(A3448="","",IFERROR(buscarx(A3448&amp;B3448,DATA!$E$3:$E$10000&amp;DATA!$B$3:$B$10000,DATA!$M$3:$M$10000),"No encontrado"))</f>
        <v/>
      </c>
      <c r="D3448" s="27" t="str">
        <f aca="false">IF(A3448="","",IFERROR(buscarx(A3448&amp;B3448,DATA!$E$3:$E$10000&amp;DATA!$B$3:$B$10000,DATA!$W$3:$W$10000),"No encontrado"))</f>
        <v/>
      </c>
      <c r="E3448" s="22"/>
      <c r="F3448" s="26" t="str">
        <f aca="false">IF(A3448="","",IFERROR(buscarx(A3448&amp;E3448,DATA!$E$3:$E$10000&amp;DATA!$B$3:$B$10000,DATA!$M$3:$M$10000),"Inactivo"))</f>
        <v/>
      </c>
      <c r="G3448" s="28" t="str">
        <f aca="false">IF(A3448="","",IF(AND(C3448&lt;&gt;"No encontrado",F3448&lt;&gt;"Inactivo"),C3448&amp;" → "&amp;F3448,"Sin transición"))</f>
        <v/>
      </c>
      <c r="H3448" s="26" t="str">
        <f aca="false">IF(A3448="","",IF(D3448="GCIA LINEA SERVICIO DIGITALIDAD Y VENTAS","Chats",IF(OR(D3448="GERENCIA INBOUND LÍNEAS SERVICIO Y VENTA",D3448="GERENCIA INBOUND LINEAS ESPECIALIZADAS"),"Llamadas","Otro")))</f>
        <v/>
      </c>
      <c r="I3448" s="26" t="str">
        <f aca="false">IF(A3448="","",IF(C3448="No encontrado","No","Sí"))</f>
        <v/>
      </c>
      <c r="J3448" s="26" t="str">
        <f aca="false">IF(A3448="","",IF(F3448="Inactivo","No","Sí"))</f>
        <v/>
      </c>
      <c r="K3448" s="26" t="str">
        <f aca="false">IF(A3448="","",IF(AND(I3448="Sí",J3448="Sí"),"Sí","No"))</f>
        <v/>
      </c>
    </row>
    <row r="3449" customFormat="false" ht="15" hidden="false" customHeight="false" outlineLevel="0" collapsed="false">
      <c r="A3449" s="22"/>
      <c r="B3449" s="22"/>
      <c r="C3449" s="23" t="str">
        <f aca="false">IF(A3449="","",IFERROR(buscarx(A3449&amp;B3449,DATA!$E$3:$E$10000&amp;DATA!$B$3:$B$10000,DATA!$M$3:$M$10000),"No encontrado"))</f>
        <v/>
      </c>
      <c r="D3449" s="24" t="str">
        <f aca="false">IF(A3449="","",IFERROR(buscarx(A3449&amp;B3449,DATA!$E$3:$E$10000&amp;DATA!$B$3:$B$10000,DATA!$W$3:$W$10000),"No encontrado"))</f>
        <v/>
      </c>
      <c r="E3449" s="22"/>
      <c r="F3449" s="23" t="str">
        <f aca="false">IF(A3449="","",IFERROR(buscarx(A3449&amp;E3449,DATA!$E$3:$E$10000&amp;DATA!$B$3:$B$10000,DATA!$M$3:$M$10000),"Inactivo"))</f>
        <v/>
      </c>
      <c r="G3449" s="25" t="str">
        <f aca="false">IF(A3449="","",IF(AND(C3449&lt;&gt;"No encontrado",F3449&lt;&gt;"Inactivo"),C3449&amp;" → "&amp;F3449,"Sin transición"))</f>
        <v/>
      </c>
      <c r="H3449" s="23" t="str">
        <f aca="false">IF(A3449="","",IF(D3449="GCIA LINEA SERVICIO DIGITALIDAD Y VENTAS","Chats",IF(OR(D3449="GERENCIA INBOUND LÍNEAS SERVICIO Y VENTA",D3449="GERENCIA INBOUND LINEAS ESPECIALIZADAS"),"Llamadas","Otro")))</f>
        <v/>
      </c>
      <c r="I3449" s="23" t="str">
        <f aca="false">IF(A3449="","",IF(C3449="No encontrado","No","Sí"))</f>
        <v/>
      </c>
      <c r="J3449" s="23" t="str">
        <f aca="false">IF(A3449="","",IF(F3449="Inactivo","No","Sí"))</f>
        <v/>
      </c>
      <c r="K3449" s="23" t="str">
        <f aca="false">IF(A3449="","",IF(AND(I3449="Sí",J3449="Sí"),"Sí","No"))</f>
        <v/>
      </c>
    </row>
    <row r="3450" customFormat="false" ht="15" hidden="false" customHeight="false" outlineLevel="0" collapsed="false">
      <c r="A3450" s="22"/>
      <c r="B3450" s="22"/>
      <c r="C3450" s="26" t="str">
        <f aca="false">IF(A3450="","",IFERROR(buscarx(A3450&amp;B3450,DATA!$E$3:$E$10000&amp;DATA!$B$3:$B$10000,DATA!$M$3:$M$10000),"No encontrado"))</f>
        <v/>
      </c>
      <c r="D3450" s="27" t="str">
        <f aca="false">IF(A3450="","",IFERROR(buscarx(A3450&amp;B3450,DATA!$E$3:$E$10000&amp;DATA!$B$3:$B$10000,DATA!$W$3:$W$10000),"No encontrado"))</f>
        <v/>
      </c>
      <c r="E3450" s="22"/>
      <c r="F3450" s="26" t="str">
        <f aca="false">IF(A3450="","",IFERROR(buscarx(A3450&amp;E3450,DATA!$E$3:$E$10000&amp;DATA!$B$3:$B$10000,DATA!$M$3:$M$10000),"Inactivo"))</f>
        <v/>
      </c>
      <c r="G3450" s="28" t="str">
        <f aca="false">IF(A3450="","",IF(AND(C3450&lt;&gt;"No encontrado",F3450&lt;&gt;"Inactivo"),C3450&amp;" → "&amp;F3450,"Sin transición"))</f>
        <v/>
      </c>
      <c r="H3450" s="26" t="str">
        <f aca="false">IF(A3450="","",IF(D3450="GCIA LINEA SERVICIO DIGITALIDAD Y VENTAS","Chats",IF(OR(D3450="GERENCIA INBOUND LÍNEAS SERVICIO Y VENTA",D3450="GERENCIA INBOUND LINEAS ESPECIALIZADAS"),"Llamadas","Otro")))</f>
        <v/>
      </c>
      <c r="I3450" s="26" t="str">
        <f aca="false">IF(A3450="","",IF(C3450="No encontrado","No","Sí"))</f>
        <v/>
      </c>
      <c r="J3450" s="26" t="str">
        <f aca="false">IF(A3450="","",IF(F3450="Inactivo","No","Sí"))</f>
        <v/>
      </c>
      <c r="K3450" s="26" t="str">
        <f aca="false">IF(A3450="","",IF(AND(I3450="Sí",J3450="Sí"),"Sí","No"))</f>
        <v/>
      </c>
    </row>
    <row r="3451" customFormat="false" ht="15" hidden="false" customHeight="false" outlineLevel="0" collapsed="false">
      <c r="A3451" s="22"/>
      <c r="B3451" s="22"/>
      <c r="C3451" s="23" t="str">
        <f aca="false">IF(A3451="","",IFERROR(buscarx(A3451&amp;B3451,DATA!$E$3:$E$10000&amp;DATA!$B$3:$B$10000,DATA!$M$3:$M$10000),"No encontrado"))</f>
        <v/>
      </c>
      <c r="D3451" s="24" t="str">
        <f aca="false">IF(A3451="","",IFERROR(buscarx(A3451&amp;B3451,DATA!$E$3:$E$10000&amp;DATA!$B$3:$B$10000,DATA!$W$3:$W$10000),"No encontrado"))</f>
        <v/>
      </c>
      <c r="E3451" s="22"/>
      <c r="F3451" s="23" t="str">
        <f aca="false">IF(A3451="","",IFERROR(buscarx(A3451&amp;E3451,DATA!$E$3:$E$10000&amp;DATA!$B$3:$B$10000,DATA!$M$3:$M$10000),"Inactivo"))</f>
        <v/>
      </c>
      <c r="G3451" s="25" t="str">
        <f aca="false">IF(A3451="","",IF(AND(C3451&lt;&gt;"No encontrado",F3451&lt;&gt;"Inactivo"),C3451&amp;" → "&amp;F3451,"Sin transición"))</f>
        <v/>
      </c>
      <c r="H3451" s="23" t="str">
        <f aca="false">IF(A3451="","",IF(D3451="GCIA LINEA SERVICIO DIGITALIDAD Y VENTAS","Chats",IF(OR(D3451="GERENCIA INBOUND LÍNEAS SERVICIO Y VENTA",D3451="GERENCIA INBOUND LINEAS ESPECIALIZADAS"),"Llamadas","Otro")))</f>
        <v/>
      </c>
      <c r="I3451" s="23" t="str">
        <f aca="false">IF(A3451="","",IF(C3451="No encontrado","No","Sí"))</f>
        <v/>
      </c>
      <c r="J3451" s="23" t="str">
        <f aca="false">IF(A3451="","",IF(F3451="Inactivo","No","Sí"))</f>
        <v/>
      </c>
      <c r="K3451" s="23" t="str">
        <f aca="false">IF(A3451="","",IF(AND(I3451="Sí",J3451="Sí"),"Sí","No"))</f>
        <v/>
      </c>
    </row>
    <row r="3452" customFormat="false" ht="15" hidden="false" customHeight="false" outlineLevel="0" collapsed="false">
      <c r="A3452" s="22"/>
      <c r="B3452" s="22"/>
      <c r="C3452" s="26" t="str">
        <f aca="false">IF(A3452="","",IFERROR(buscarx(A3452&amp;B3452,DATA!$E$3:$E$10000&amp;DATA!$B$3:$B$10000,DATA!$M$3:$M$10000),"No encontrado"))</f>
        <v/>
      </c>
      <c r="D3452" s="27" t="str">
        <f aca="false">IF(A3452="","",IFERROR(buscarx(A3452&amp;B3452,DATA!$E$3:$E$10000&amp;DATA!$B$3:$B$10000,DATA!$W$3:$W$10000),"No encontrado"))</f>
        <v/>
      </c>
      <c r="E3452" s="22"/>
      <c r="F3452" s="26" t="str">
        <f aca="false">IF(A3452="","",IFERROR(buscarx(A3452&amp;E3452,DATA!$E$3:$E$10000&amp;DATA!$B$3:$B$10000,DATA!$M$3:$M$10000),"Inactivo"))</f>
        <v/>
      </c>
      <c r="G3452" s="28" t="str">
        <f aca="false">IF(A3452="","",IF(AND(C3452&lt;&gt;"No encontrado",F3452&lt;&gt;"Inactivo"),C3452&amp;" → "&amp;F3452,"Sin transición"))</f>
        <v/>
      </c>
      <c r="H3452" s="26" t="str">
        <f aca="false">IF(A3452="","",IF(D3452="GCIA LINEA SERVICIO DIGITALIDAD Y VENTAS","Chats",IF(OR(D3452="GERENCIA INBOUND LÍNEAS SERVICIO Y VENTA",D3452="GERENCIA INBOUND LINEAS ESPECIALIZADAS"),"Llamadas","Otro")))</f>
        <v/>
      </c>
      <c r="I3452" s="26" t="str">
        <f aca="false">IF(A3452="","",IF(C3452="No encontrado","No","Sí"))</f>
        <v/>
      </c>
      <c r="J3452" s="26" t="str">
        <f aca="false">IF(A3452="","",IF(F3452="Inactivo","No","Sí"))</f>
        <v/>
      </c>
      <c r="K3452" s="26" t="str">
        <f aca="false">IF(A3452="","",IF(AND(I3452="Sí",J3452="Sí"),"Sí","No"))</f>
        <v/>
      </c>
    </row>
    <row r="3453" customFormat="false" ht="15" hidden="false" customHeight="false" outlineLevel="0" collapsed="false">
      <c r="A3453" s="22"/>
      <c r="B3453" s="22"/>
      <c r="C3453" s="23" t="str">
        <f aca="false">IF(A3453="","",IFERROR(buscarx(A3453&amp;B3453,DATA!$E$3:$E$10000&amp;DATA!$B$3:$B$10000,DATA!$M$3:$M$10000),"No encontrado"))</f>
        <v/>
      </c>
      <c r="D3453" s="24" t="str">
        <f aca="false">IF(A3453="","",IFERROR(buscarx(A3453&amp;B3453,DATA!$E$3:$E$10000&amp;DATA!$B$3:$B$10000,DATA!$W$3:$W$10000),"No encontrado"))</f>
        <v/>
      </c>
      <c r="E3453" s="22"/>
      <c r="F3453" s="23" t="str">
        <f aca="false">IF(A3453="","",IFERROR(buscarx(A3453&amp;E3453,DATA!$E$3:$E$10000&amp;DATA!$B$3:$B$10000,DATA!$M$3:$M$10000),"Inactivo"))</f>
        <v/>
      </c>
      <c r="G3453" s="25" t="str">
        <f aca="false">IF(A3453="","",IF(AND(C3453&lt;&gt;"No encontrado",F3453&lt;&gt;"Inactivo"),C3453&amp;" → "&amp;F3453,"Sin transición"))</f>
        <v/>
      </c>
      <c r="H3453" s="23" t="str">
        <f aca="false">IF(A3453="","",IF(D3453="GCIA LINEA SERVICIO DIGITALIDAD Y VENTAS","Chats",IF(OR(D3453="GERENCIA INBOUND LÍNEAS SERVICIO Y VENTA",D3453="GERENCIA INBOUND LINEAS ESPECIALIZADAS"),"Llamadas","Otro")))</f>
        <v/>
      </c>
      <c r="I3453" s="23" t="str">
        <f aca="false">IF(A3453="","",IF(C3453="No encontrado","No","Sí"))</f>
        <v/>
      </c>
      <c r="J3453" s="23" t="str">
        <f aca="false">IF(A3453="","",IF(F3453="Inactivo","No","Sí"))</f>
        <v/>
      </c>
      <c r="K3453" s="23" t="str">
        <f aca="false">IF(A3453="","",IF(AND(I3453="Sí",J3453="Sí"),"Sí","No"))</f>
        <v/>
      </c>
    </row>
    <row r="3454" customFormat="false" ht="15" hidden="false" customHeight="false" outlineLevel="0" collapsed="false">
      <c r="A3454" s="22"/>
      <c r="B3454" s="22"/>
      <c r="C3454" s="26" t="str">
        <f aca="false">IF(A3454="","",IFERROR(buscarx(A3454&amp;B3454,DATA!$E$3:$E$10000&amp;DATA!$B$3:$B$10000,DATA!$M$3:$M$10000),"No encontrado"))</f>
        <v/>
      </c>
      <c r="D3454" s="27" t="str">
        <f aca="false">IF(A3454="","",IFERROR(buscarx(A3454&amp;B3454,DATA!$E$3:$E$10000&amp;DATA!$B$3:$B$10000,DATA!$W$3:$W$10000),"No encontrado"))</f>
        <v/>
      </c>
      <c r="E3454" s="22"/>
      <c r="F3454" s="26" t="str">
        <f aca="false">IF(A3454="","",IFERROR(buscarx(A3454&amp;E3454,DATA!$E$3:$E$10000&amp;DATA!$B$3:$B$10000,DATA!$M$3:$M$10000),"Inactivo"))</f>
        <v/>
      </c>
      <c r="G3454" s="28" t="str">
        <f aca="false">IF(A3454="","",IF(AND(C3454&lt;&gt;"No encontrado",F3454&lt;&gt;"Inactivo"),C3454&amp;" → "&amp;F3454,"Sin transición"))</f>
        <v/>
      </c>
      <c r="H3454" s="26" t="str">
        <f aca="false">IF(A3454="","",IF(D3454="GCIA LINEA SERVICIO DIGITALIDAD Y VENTAS","Chats",IF(OR(D3454="GERENCIA INBOUND LÍNEAS SERVICIO Y VENTA",D3454="GERENCIA INBOUND LINEAS ESPECIALIZADAS"),"Llamadas","Otro")))</f>
        <v/>
      </c>
      <c r="I3454" s="26" t="str">
        <f aca="false">IF(A3454="","",IF(C3454="No encontrado","No","Sí"))</f>
        <v/>
      </c>
      <c r="J3454" s="26" t="str">
        <f aca="false">IF(A3454="","",IF(F3454="Inactivo","No","Sí"))</f>
        <v/>
      </c>
      <c r="K3454" s="26" t="str">
        <f aca="false">IF(A3454="","",IF(AND(I3454="Sí",J3454="Sí"),"Sí","No"))</f>
        <v/>
      </c>
    </row>
    <row r="3455" customFormat="false" ht="15" hidden="false" customHeight="false" outlineLevel="0" collapsed="false">
      <c r="A3455" s="22"/>
      <c r="B3455" s="22"/>
      <c r="C3455" s="23" t="str">
        <f aca="false">IF(A3455="","",IFERROR(buscarx(A3455&amp;B3455,DATA!$E$3:$E$10000&amp;DATA!$B$3:$B$10000,DATA!$M$3:$M$10000),"No encontrado"))</f>
        <v/>
      </c>
      <c r="D3455" s="24" t="str">
        <f aca="false">IF(A3455="","",IFERROR(buscarx(A3455&amp;B3455,DATA!$E$3:$E$10000&amp;DATA!$B$3:$B$10000,DATA!$W$3:$W$10000),"No encontrado"))</f>
        <v/>
      </c>
      <c r="E3455" s="22"/>
      <c r="F3455" s="23" t="str">
        <f aca="false">IF(A3455="","",IFERROR(buscarx(A3455&amp;E3455,DATA!$E$3:$E$10000&amp;DATA!$B$3:$B$10000,DATA!$M$3:$M$10000),"Inactivo"))</f>
        <v/>
      </c>
      <c r="G3455" s="25" t="str">
        <f aca="false">IF(A3455="","",IF(AND(C3455&lt;&gt;"No encontrado",F3455&lt;&gt;"Inactivo"),C3455&amp;" → "&amp;F3455,"Sin transición"))</f>
        <v/>
      </c>
      <c r="H3455" s="23" t="str">
        <f aca="false">IF(A3455="","",IF(D3455="GCIA LINEA SERVICIO DIGITALIDAD Y VENTAS","Chats",IF(OR(D3455="GERENCIA INBOUND LÍNEAS SERVICIO Y VENTA",D3455="GERENCIA INBOUND LINEAS ESPECIALIZADAS"),"Llamadas","Otro")))</f>
        <v/>
      </c>
      <c r="I3455" s="23" t="str">
        <f aca="false">IF(A3455="","",IF(C3455="No encontrado","No","Sí"))</f>
        <v/>
      </c>
      <c r="J3455" s="23" t="str">
        <f aca="false">IF(A3455="","",IF(F3455="Inactivo","No","Sí"))</f>
        <v/>
      </c>
      <c r="K3455" s="23" t="str">
        <f aca="false">IF(A3455="","",IF(AND(I3455="Sí",J3455="Sí"),"Sí","No"))</f>
        <v/>
      </c>
    </row>
    <row r="3456" customFormat="false" ht="15" hidden="false" customHeight="false" outlineLevel="0" collapsed="false">
      <c r="A3456" s="22"/>
      <c r="B3456" s="22"/>
      <c r="C3456" s="26" t="str">
        <f aca="false">IF(A3456="","",IFERROR(buscarx(A3456&amp;B3456,DATA!$E$3:$E$10000&amp;DATA!$B$3:$B$10000,DATA!$M$3:$M$10000),"No encontrado"))</f>
        <v/>
      </c>
      <c r="D3456" s="27" t="str">
        <f aca="false">IF(A3456="","",IFERROR(buscarx(A3456&amp;B3456,DATA!$E$3:$E$10000&amp;DATA!$B$3:$B$10000,DATA!$W$3:$W$10000),"No encontrado"))</f>
        <v/>
      </c>
      <c r="E3456" s="22"/>
      <c r="F3456" s="26" t="str">
        <f aca="false">IF(A3456="","",IFERROR(buscarx(A3456&amp;E3456,DATA!$E$3:$E$10000&amp;DATA!$B$3:$B$10000,DATA!$M$3:$M$10000),"Inactivo"))</f>
        <v/>
      </c>
      <c r="G3456" s="28" t="str">
        <f aca="false">IF(A3456="","",IF(AND(C3456&lt;&gt;"No encontrado",F3456&lt;&gt;"Inactivo"),C3456&amp;" → "&amp;F3456,"Sin transición"))</f>
        <v/>
      </c>
      <c r="H3456" s="26" t="str">
        <f aca="false">IF(A3456="","",IF(D3456="GCIA LINEA SERVICIO DIGITALIDAD Y VENTAS","Chats",IF(OR(D3456="GERENCIA INBOUND LÍNEAS SERVICIO Y VENTA",D3456="GERENCIA INBOUND LINEAS ESPECIALIZADAS"),"Llamadas","Otro")))</f>
        <v/>
      </c>
      <c r="I3456" s="26" t="str">
        <f aca="false">IF(A3456="","",IF(C3456="No encontrado","No","Sí"))</f>
        <v/>
      </c>
      <c r="J3456" s="26" t="str">
        <f aca="false">IF(A3456="","",IF(F3456="Inactivo","No","Sí"))</f>
        <v/>
      </c>
      <c r="K3456" s="26" t="str">
        <f aca="false">IF(A3456="","",IF(AND(I3456="Sí",J3456="Sí"),"Sí","No"))</f>
        <v/>
      </c>
    </row>
    <row r="3457" customFormat="false" ht="15" hidden="false" customHeight="false" outlineLevel="0" collapsed="false">
      <c r="A3457" s="22"/>
      <c r="B3457" s="22"/>
      <c r="C3457" s="23" t="str">
        <f aca="false">IF(A3457="","",IFERROR(buscarx(A3457&amp;B3457,DATA!$E$3:$E$10000&amp;DATA!$B$3:$B$10000,DATA!$M$3:$M$10000),"No encontrado"))</f>
        <v/>
      </c>
      <c r="D3457" s="24" t="str">
        <f aca="false">IF(A3457="","",IFERROR(buscarx(A3457&amp;B3457,DATA!$E$3:$E$10000&amp;DATA!$B$3:$B$10000,DATA!$W$3:$W$10000),"No encontrado"))</f>
        <v/>
      </c>
      <c r="E3457" s="22"/>
      <c r="F3457" s="23" t="str">
        <f aca="false">IF(A3457="","",IFERROR(buscarx(A3457&amp;E3457,DATA!$E$3:$E$10000&amp;DATA!$B$3:$B$10000,DATA!$M$3:$M$10000),"Inactivo"))</f>
        <v/>
      </c>
      <c r="G3457" s="25" t="str">
        <f aca="false">IF(A3457="","",IF(AND(C3457&lt;&gt;"No encontrado",F3457&lt;&gt;"Inactivo"),C3457&amp;" → "&amp;F3457,"Sin transición"))</f>
        <v/>
      </c>
      <c r="H3457" s="23" t="str">
        <f aca="false">IF(A3457="","",IF(D3457="GCIA LINEA SERVICIO DIGITALIDAD Y VENTAS","Chats",IF(OR(D3457="GERENCIA INBOUND LÍNEAS SERVICIO Y VENTA",D3457="GERENCIA INBOUND LINEAS ESPECIALIZADAS"),"Llamadas","Otro")))</f>
        <v/>
      </c>
      <c r="I3457" s="23" t="str">
        <f aca="false">IF(A3457="","",IF(C3457="No encontrado","No","Sí"))</f>
        <v/>
      </c>
      <c r="J3457" s="23" t="str">
        <f aca="false">IF(A3457="","",IF(F3457="Inactivo","No","Sí"))</f>
        <v/>
      </c>
      <c r="K3457" s="23" t="str">
        <f aca="false">IF(A3457="","",IF(AND(I3457="Sí",J3457="Sí"),"Sí","No"))</f>
        <v/>
      </c>
    </row>
    <row r="3458" customFormat="false" ht="15" hidden="false" customHeight="false" outlineLevel="0" collapsed="false">
      <c r="A3458" s="22"/>
      <c r="B3458" s="22"/>
      <c r="C3458" s="26" t="str">
        <f aca="false">IF(A3458="","",IFERROR(buscarx(A3458&amp;B3458,DATA!$E$3:$E$10000&amp;DATA!$B$3:$B$10000,DATA!$M$3:$M$10000),"No encontrado"))</f>
        <v/>
      </c>
      <c r="D3458" s="27" t="str">
        <f aca="false">IF(A3458="","",IFERROR(buscarx(A3458&amp;B3458,DATA!$E$3:$E$10000&amp;DATA!$B$3:$B$10000,DATA!$W$3:$W$10000),"No encontrado"))</f>
        <v/>
      </c>
      <c r="E3458" s="22"/>
      <c r="F3458" s="26" t="str">
        <f aca="false">IF(A3458="","",IFERROR(buscarx(A3458&amp;E3458,DATA!$E$3:$E$10000&amp;DATA!$B$3:$B$10000,DATA!$M$3:$M$10000),"Inactivo"))</f>
        <v/>
      </c>
      <c r="G3458" s="28" t="str">
        <f aca="false">IF(A3458="","",IF(AND(C3458&lt;&gt;"No encontrado",F3458&lt;&gt;"Inactivo"),C3458&amp;" → "&amp;F3458,"Sin transición"))</f>
        <v/>
      </c>
      <c r="H3458" s="26" t="str">
        <f aca="false">IF(A3458="","",IF(D3458="GCIA LINEA SERVICIO DIGITALIDAD Y VENTAS","Chats",IF(OR(D3458="GERENCIA INBOUND LÍNEAS SERVICIO Y VENTA",D3458="GERENCIA INBOUND LINEAS ESPECIALIZADAS"),"Llamadas","Otro")))</f>
        <v/>
      </c>
      <c r="I3458" s="26" t="str">
        <f aca="false">IF(A3458="","",IF(C3458="No encontrado","No","Sí"))</f>
        <v/>
      </c>
      <c r="J3458" s="26" t="str">
        <f aca="false">IF(A3458="","",IF(F3458="Inactivo","No","Sí"))</f>
        <v/>
      </c>
      <c r="K3458" s="26" t="str">
        <f aca="false">IF(A3458="","",IF(AND(I3458="Sí",J3458="Sí"),"Sí","No"))</f>
        <v/>
      </c>
    </row>
    <row r="3459" customFormat="false" ht="15" hidden="false" customHeight="false" outlineLevel="0" collapsed="false">
      <c r="A3459" s="22"/>
      <c r="B3459" s="22"/>
      <c r="C3459" s="23" t="str">
        <f aca="false">IF(A3459="","",IFERROR(buscarx(A3459&amp;B3459,DATA!$E$3:$E$10000&amp;DATA!$B$3:$B$10000,DATA!$M$3:$M$10000),"No encontrado"))</f>
        <v/>
      </c>
      <c r="D3459" s="24" t="str">
        <f aca="false">IF(A3459="","",IFERROR(buscarx(A3459&amp;B3459,DATA!$E$3:$E$10000&amp;DATA!$B$3:$B$10000,DATA!$W$3:$W$10000),"No encontrado"))</f>
        <v/>
      </c>
      <c r="E3459" s="22"/>
      <c r="F3459" s="23" t="str">
        <f aca="false">IF(A3459="","",IFERROR(buscarx(A3459&amp;E3459,DATA!$E$3:$E$10000&amp;DATA!$B$3:$B$10000,DATA!$M$3:$M$10000),"Inactivo"))</f>
        <v/>
      </c>
      <c r="G3459" s="25" t="str">
        <f aca="false">IF(A3459="","",IF(AND(C3459&lt;&gt;"No encontrado",F3459&lt;&gt;"Inactivo"),C3459&amp;" → "&amp;F3459,"Sin transición"))</f>
        <v/>
      </c>
      <c r="H3459" s="23" t="str">
        <f aca="false">IF(A3459="","",IF(D3459="GCIA LINEA SERVICIO DIGITALIDAD Y VENTAS","Chats",IF(OR(D3459="GERENCIA INBOUND LÍNEAS SERVICIO Y VENTA",D3459="GERENCIA INBOUND LINEAS ESPECIALIZADAS"),"Llamadas","Otro")))</f>
        <v/>
      </c>
      <c r="I3459" s="23" t="str">
        <f aca="false">IF(A3459="","",IF(C3459="No encontrado","No","Sí"))</f>
        <v/>
      </c>
      <c r="J3459" s="23" t="str">
        <f aca="false">IF(A3459="","",IF(F3459="Inactivo","No","Sí"))</f>
        <v/>
      </c>
      <c r="K3459" s="23" t="str">
        <f aca="false">IF(A3459="","",IF(AND(I3459="Sí",J3459="Sí"),"Sí","No"))</f>
        <v/>
      </c>
    </row>
    <row r="3460" customFormat="false" ht="15" hidden="false" customHeight="false" outlineLevel="0" collapsed="false">
      <c r="A3460" s="22"/>
      <c r="B3460" s="22"/>
      <c r="C3460" s="26" t="str">
        <f aca="false">IF(A3460="","",IFERROR(buscarx(A3460&amp;B3460,DATA!$E$3:$E$10000&amp;DATA!$B$3:$B$10000,DATA!$M$3:$M$10000),"No encontrado"))</f>
        <v/>
      </c>
      <c r="D3460" s="27" t="str">
        <f aca="false">IF(A3460="","",IFERROR(buscarx(A3460&amp;B3460,DATA!$E$3:$E$10000&amp;DATA!$B$3:$B$10000,DATA!$W$3:$W$10000),"No encontrado"))</f>
        <v/>
      </c>
      <c r="E3460" s="22"/>
      <c r="F3460" s="26" t="str">
        <f aca="false">IF(A3460="","",IFERROR(buscarx(A3460&amp;E3460,DATA!$E$3:$E$10000&amp;DATA!$B$3:$B$10000,DATA!$M$3:$M$10000),"Inactivo"))</f>
        <v/>
      </c>
      <c r="G3460" s="28" t="str">
        <f aca="false">IF(A3460="","",IF(AND(C3460&lt;&gt;"No encontrado",F3460&lt;&gt;"Inactivo"),C3460&amp;" → "&amp;F3460,"Sin transición"))</f>
        <v/>
      </c>
      <c r="H3460" s="26" t="str">
        <f aca="false">IF(A3460="","",IF(D3460="GCIA LINEA SERVICIO DIGITALIDAD Y VENTAS","Chats",IF(OR(D3460="GERENCIA INBOUND LÍNEAS SERVICIO Y VENTA",D3460="GERENCIA INBOUND LINEAS ESPECIALIZADAS"),"Llamadas","Otro")))</f>
        <v/>
      </c>
      <c r="I3460" s="26" t="str">
        <f aca="false">IF(A3460="","",IF(C3460="No encontrado","No","Sí"))</f>
        <v/>
      </c>
      <c r="J3460" s="26" t="str">
        <f aca="false">IF(A3460="","",IF(F3460="Inactivo","No","Sí"))</f>
        <v/>
      </c>
      <c r="K3460" s="26" t="str">
        <f aca="false">IF(A3460="","",IF(AND(I3460="Sí",J3460="Sí"),"Sí","No"))</f>
        <v/>
      </c>
    </row>
    <row r="3461" customFormat="false" ht="15" hidden="false" customHeight="false" outlineLevel="0" collapsed="false">
      <c r="A3461" s="22"/>
      <c r="B3461" s="22"/>
      <c r="C3461" s="23" t="str">
        <f aca="false">IF(A3461="","",IFERROR(buscarx(A3461&amp;B3461,DATA!$E$3:$E$10000&amp;DATA!$B$3:$B$10000,DATA!$M$3:$M$10000),"No encontrado"))</f>
        <v/>
      </c>
      <c r="D3461" s="24" t="str">
        <f aca="false">IF(A3461="","",IFERROR(buscarx(A3461&amp;B3461,DATA!$E$3:$E$10000&amp;DATA!$B$3:$B$10000,DATA!$W$3:$W$10000),"No encontrado"))</f>
        <v/>
      </c>
      <c r="E3461" s="22"/>
      <c r="F3461" s="23" t="str">
        <f aca="false">IF(A3461="","",IFERROR(buscarx(A3461&amp;E3461,DATA!$E$3:$E$10000&amp;DATA!$B$3:$B$10000,DATA!$M$3:$M$10000),"Inactivo"))</f>
        <v/>
      </c>
      <c r="G3461" s="25" t="str">
        <f aca="false">IF(A3461="","",IF(AND(C3461&lt;&gt;"No encontrado",F3461&lt;&gt;"Inactivo"),C3461&amp;" → "&amp;F3461,"Sin transición"))</f>
        <v/>
      </c>
      <c r="H3461" s="23" t="str">
        <f aca="false">IF(A3461="","",IF(D3461="GCIA LINEA SERVICIO DIGITALIDAD Y VENTAS","Chats",IF(OR(D3461="GERENCIA INBOUND LÍNEAS SERVICIO Y VENTA",D3461="GERENCIA INBOUND LINEAS ESPECIALIZADAS"),"Llamadas","Otro")))</f>
        <v/>
      </c>
      <c r="I3461" s="23" t="str">
        <f aca="false">IF(A3461="","",IF(C3461="No encontrado","No","Sí"))</f>
        <v/>
      </c>
      <c r="J3461" s="23" t="str">
        <f aca="false">IF(A3461="","",IF(F3461="Inactivo","No","Sí"))</f>
        <v/>
      </c>
      <c r="K3461" s="23" t="str">
        <f aca="false">IF(A3461="","",IF(AND(I3461="Sí",J3461="Sí"),"Sí","No"))</f>
        <v/>
      </c>
    </row>
    <row r="3462" customFormat="false" ht="15" hidden="false" customHeight="false" outlineLevel="0" collapsed="false">
      <c r="A3462" s="22"/>
      <c r="B3462" s="22"/>
      <c r="C3462" s="26" t="str">
        <f aca="false">IF(A3462="","",IFERROR(buscarx(A3462&amp;B3462,DATA!$E$3:$E$10000&amp;DATA!$B$3:$B$10000,DATA!$M$3:$M$10000),"No encontrado"))</f>
        <v/>
      </c>
      <c r="D3462" s="27" t="str">
        <f aca="false">IF(A3462="","",IFERROR(buscarx(A3462&amp;B3462,DATA!$E$3:$E$10000&amp;DATA!$B$3:$B$10000,DATA!$W$3:$W$10000),"No encontrado"))</f>
        <v/>
      </c>
      <c r="E3462" s="22"/>
      <c r="F3462" s="26" t="str">
        <f aca="false">IF(A3462="","",IFERROR(buscarx(A3462&amp;E3462,DATA!$E$3:$E$10000&amp;DATA!$B$3:$B$10000,DATA!$M$3:$M$10000),"Inactivo"))</f>
        <v/>
      </c>
      <c r="G3462" s="28" t="str">
        <f aca="false">IF(A3462="","",IF(AND(C3462&lt;&gt;"No encontrado",F3462&lt;&gt;"Inactivo"),C3462&amp;" → "&amp;F3462,"Sin transición"))</f>
        <v/>
      </c>
      <c r="H3462" s="26" t="str">
        <f aca="false">IF(A3462="","",IF(D3462="GCIA LINEA SERVICIO DIGITALIDAD Y VENTAS","Chats",IF(OR(D3462="GERENCIA INBOUND LÍNEAS SERVICIO Y VENTA",D3462="GERENCIA INBOUND LINEAS ESPECIALIZADAS"),"Llamadas","Otro")))</f>
        <v/>
      </c>
      <c r="I3462" s="26" t="str">
        <f aca="false">IF(A3462="","",IF(C3462="No encontrado","No","Sí"))</f>
        <v/>
      </c>
      <c r="J3462" s="26" t="str">
        <f aca="false">IF(A3462="","",IF(F3462="Inactivo","No","Sí"))</f>
        <v/>
      </c>
      <c r="K3462" s="26" t="str">
        <f aca="false">IF(A3462="","",IF(AND(I3462="Sí",J3462="Sí"),"Sí","No"))</f>
        <v/>
      </c>
    </row>
    <row r="3463" customFormat="false" ht="15" hidden="false" customHeight="false" outlineLevel="0" collapsed="false">
      <c r="A3463" s="22"/>
      <c r="B3463" s="22"/>
      <c r="C3463" s="23" t="str">
        <f aca="false">IF(A3463="","",IFERROR(buscarx(A3463&amp;B3463,DATA!$E$3:$E$10000&amp;DATA!$B$3:$B$10000,DATA!$M$3:$M$10000),"No encontrado"))</f>
        <v/>
      </c>
      <c r="D3463" s="24" t="str">
        <f aca="false">IF(A3463="","",IFERROR(buscarx(A3463&amp;B3463,DATA!$E$3:$E$10000&amp;DATA!$B$3:$B$10000,DATA!$W$3:$W$10000),"No encontrado"))</f>
        <v/>
      </c>
      <c r="E3463" s="22"/>
      <c r="F3463" s="23" t="str">
        <f aca="false">IF(A3463="","",IFERROR(buscarx(A3463&amp;E3463,DATA!$E$3:$E$10000&amp;DATA!$B$3:$B$10000,DATA!$M$3:$M$10000),"Inactivo"))</f>
        <v/>
      </c>
      <c r="G3463" s="25" t="str">
        <f aca="false">IF(A3463="","",IF(AND(C3463&lt;&gt;"No encontrado",F3463&lt;&gt;"Inactivo"),C3463&amp;" → "&amp;F3463,"Sin transición"))</f>
        <v/>
      </c>
      <c r="H3463" s="23" t="str">
        <f aca="false">IF(A3463="","",IF(D3463="GCIA LINEA SERVICIO DIGITALIDAD Y VENTAS","Chats",IF(OR(D3463="GERENCIA INBOUND LÍNEAS SERVICIO Y VENTA",D3463="GERENCIA INBOUND LINEAS ESPECIALIZADAS"),"Llamadas","Otro")))</f>
        <v/>
      </c>
      <c r="I3463" s="23" t="str">
        <f aca="false">IF(A3463="","",IF(C3463="No encontrado","No","Sí"))</f>
        <v/>
      </c>
      <c r="J3463" s="23" t="str">
        <f aca="false">IF(A3463="","",IF(F3463="Inactivo","No","Sí"))</f>
        <v/>
      </c>
      <c r="K3463" s="23" t="str">
        <f aca="false">IF(A3463="","",IF(AND(I3463="Sí",J3463="Sí"),"Sí","No"))</f>
        <v/>
      </c>
    </row>
    <row r="3464" customFormat="false" ht="15" hidden="false" customHeight="false" outlineLevel="0" collapsed="false">
      <c r="A3464" s="22"/>
      <c r="B3464" s="22"/>
      <c r="C3464" s="26" t="str">
        <f aca="false">IF(A3464="","",IFERROR(buscarx(A3464&amp;B3464,DATA!$E$3:$E$10000&amp;DATA!$B$3:$B$10000,DATA!$M$3:$M$10000),"No encontrado"))</f>
        <v/>
      </c>
      <c r="D3464" s="27" t="str">
        <f aca="false">IF(A3464="","",IFERROR(buscarx(A3464&amp;B3464,DATA!$E$3:$E$10000&amp;DATA!$B$3:$B$10000,DATA!$W$3:$W$10000),"No encontrado"))</f>
        <v/>
      </c>
      <c r="E3464" s="22"/>
      <c r="F3464" s="26" t="str">
        <f aca="false">IF(A3464="","",IFERROR(buscarx(A3464&amp;E3464,DATA!$E$3:$E$10000&amp;DATA!$B$3:$B$10000,DATA!$M$3:$M$10000),"Inactivo"))</f>
        <v/>
      </c>
      <c r="G3464" s="28" t="str">
        <f aca="false">IF(A3464="","",IF(AND(C3464&lt;&gt;"No encontrado",F3464&lt;&gt;"Inactivo"),C3464&amp;" → "&amp;F3464,"Sin transición"))</f>
        <v/>
      </c>
      <c r="H3464" s="26" t="str">
        <f aca="false">IF(A3464="","",IF(D3464="GCIA LINEA SERVICIO DIGITALIDAD Y VENTAS","Chats",IF(OR(D3464="GERENCIA INBOUND LÍNEAS SERVICIO Y VENTA",D3464="GERENCIA INBOUND LINEAS ESPECIALIZADAS"),"Llamadas","Otro")))</f>
        <v/>
      </c>
      <c r="I3464" s="26" t="str">
        <f aca="false">IF(A3464="","",IF(C3464="No encontrado","No","Sí"))</f>
        <v/>
      </c>
      <c r="J3464" s="26" t="str">
        <f aca="false">IF(A3464="","",IF(F3464="Inactivo","No","Sí"))</f>
        <v/>
      </c>
      <c r="K3464" s="26" t="str">
        <f aca="false">IF(A3464="","",IF(AND(I3464="Sí",J3464="Sí"),"Sí","No"))</f>
        <v/>
      </c>
    </row>
    <row r="3465" customFormat="false" ht="15" hidden="false" customHeight="false" outlineLevel="0" collapsed="false">
      <c r="A3465" s="22"/>
      <c r="B3465" s="22"/>
      <c r="C3465" s="23" t="str">
        <f aca="false">IF(A3465="","",IFERROR(buscarx(A3465&amp;B3465,DATA!$E$3:$E$10000&amp;DATA!$B$3:$B$10000,DATA!$M$3:$M$10000),"No encontrado"))</f>
        <v/>
      </c>
      <c r="D3465" s="24" t="str">
        <f aca="false">IF(A3465="","",IFERROR(buscarx(A3465&amp;B3465,DATA!$E$3:$E$10000&amp;DATA!$B$3:$B$10000,DATA!$W$3:$W$10000),"No encontrado"))</f>
        <v/>
      </c>
      <c r="E3465" s="22"/>
      <c r="F3465" s="23" t="str">
        <f aca="false">IF(A3465="","",IFERROR(buscarx(A3465&amp;E3465,DATA!$E$3:$E$10000&amp;DATA!$B$3:$B$10000,DATA!$M$3:$M$10000),"Inactivo"))</f>
        <v/>
      </c>
      <c r="G3465" s="25" t="str">
        <f aca="false">IF(A3465="","",IF(AND(C3465&lt;&gt;"No encontrado",F3465&lt;&gt;"Inactivo"),C3465&amp;" → "&amp;F3465,"Sin transición"))</f>
        <v/>
      </c>
      <c r="H3465" s="23" t="str">
        <f aca="false">IF(A3465="","",IF(D3465="GCIA LINEA SERVICIO DIGITALIDAD Y VENTAS","Chats",IF(OR(D3465="GERENCIA INBOUND LÍNEAS SERVICIO Y VENTA",D3465="GERENCIA INBOUND LINEAS ESPECIALIZADAS"),"Llamadas","Otro")))</f>
        <v/>
      </c>
      <c r="I3465" s="23" t="str">
        <f aca="false">IF(A3465="","",IF(C3465="No encontrado","No","Sí"))</f>
        <v/>
      </c>
      <c r="J3465" s="23" t="str">
        <f aca="false">IF(A3465="","",IF(F3465="Inactivo","No","Sí"))</f>
        <v/>
      </c>
      <c r="K3465" s="23" t="str">
        <f aca="false">IF(A3465="","",IF(AND(I3465="Sí",J3465="Sí"),"Sí","No"))</f>
        <v/>
      </c>
    </row>
    <row r="3466" customFormat="false" ht="15" hidden="false" customHeight="false" outlineLevel="0" collapsed="false">
      <c r="A3466" s="22"/>
      <c r="B3466" s="22"/>
      <c r="C3466" s="26" t="str">
        <f aca="false">IF(A3466="","",IFERROR(buscarx(A3466&amp;B3466,DATA!$E$3:$E$10000&amp;DATA!$B$3:$B$10000,DATA!$M$3:$M$10000),"No encontrado"))</f>
        <v/>
      </c>
      <c r="D3466" s="27" t="str">
        <f aca="false">IF(A3466="","",IFERROR(buscarx(A3466&amp;B3466,DATA!$E$3:$E$10000&amp;DATA!$B$3:$B$10000,DATA!$W$3:$W$10000),"No encontrado"))</f>
        <v/>
      </c>
      <c r="E3466" s="22"/>
      <c r="F3466" s="26" t="str">
        <f aca="false">IF(A3466="","",IFERROR(buscarx(A3466&amp;E3466,DATA!$E$3:$E$10000&amp;DATA!$B$3:$B$10000,DATA!$M$3:$M$10000),"Inactivo"))</f>
        <v/>
      </c>
      <c r="G3466" s="28" t="str">
        <f aca="false">IF(A3466="","",IF(AND(C3466&lt;&gt;"No encontrado",F3466&lt;&gt;"Inactivo"),C3466&amp;" → "&amp;F3466,"Sin transición"))</f>
        <v/>
      </c>
      <c r="H3466" s="26" t="str">
        <f aca="false">IF(A3466="","",IF(D3466="GCIA LINEA SERVICIO DIGITALIDAD Y VENTAS","Chats",IF(OR(D3466="GERENCIA INBOUND LÍNEAS SERVICIO Y VENTA",D3466="GERENCIA INBOUND LINEAS ESPECIALIZADAS"),"Llamadas","Otro")))</f>
        <v/>
      </c>
      <c r="I3466" s="26" t="str">
        <f aca="false">IF(A3466="","",IF(C3466="No encontrado","No","Sí"))</f>
        <v/>
      </c>
      <c r="J3466" s="26" t="str">
        <f aca="false">IF(A3466="","",IF(F3466="Inactivo","No","Sí"))</f>
        <v/>
      </c>
      <c r="K3466" s="26" t="str">
        <f aca="false">IF(A3466="","",IF(AND(I3466="Sí",J3466="Sí"),"Sí","No"))</f>
        <v/>
      </c>
    </row>
    <row r="3467" customFormat="false" ht="15" hidden="false" customHeight="false" outlineLevel="0" collapsed="false">
      <c r="A3467" s="22"/>
      <c r="B3467" s="22"/>
      <c r="C3467" s="23" t="str">
        <f aca="false">IF(A3467="","",IFERROR(buscarx(A3467&amp;B3467,DATA!$E$3:$E$10000&amp;DATA!$B$3:$B$10000,DATA!$M$3:$M$10000),"No encontrado"))</f>
        <v/>
      </c>
      <c r="D3467" s="24" t="str">
        <f aca="false">IF(A3467="","",IFERROR(buscarx(A3467&amp;B3467,DATA!$E$3:$E$10000&amp;DATA!$B$3:$B$10000,DATA!$W$3:$W$10000),"No encontrado"))</f>
        <v/>
      </c>
      <c r="E3467" s="22"/>
      <c r="F3467" s="23" t="str">
        <f aca="false">IF(A3467="","",IFERROR(buscarx(A3467&amp;E3467,DATA!$E$3:$E$10000&amp;DATA!$B$3:$B$10000,DATA!$M$3:$M$10000),"Inactivo"))</f>
        <v/>
      </c>
      <c r="G3467" s="25" t="str">
        <f aca="false">IF(A3467="","",IF(AND(C3467&lt;&gt;"No encontrado",F3467&lt;&gt;"Inactivo"),C3467&amp;" → "&amp;F3467,"Sin transición"))</f>
        <v/>
      </c>
      <c r="H3467" s="23" t="str">
        <f aca="false">IF(A3467="","",IF(D3467="GCIA LINEA SERVICIO DIGITALIDAD Y VENTAS","Chats",IF(OR(D3467="GERENCIA INBOUND LÍNEAS SERVICIO Y VENTA",D3467="GERENCIA INBOUND LINEAS ESPECIALIZADAS"),"Llamadas","Otro")))</f>
        <v/>
      </c>
      <c r="I3467" s="23" t="str">
        <f aca="false">IF(A3467="","",IF(C3467="No encontrado","No","Sí"))</f>
        <v/>
      </c>
      <c r="J3467" s="23" t="str">
        <f aca="false">IF(A3467="","",IF(F3467="Inactivo","No","Sí"))</f>
        <v/>
      </c>
      <c r="K3467" s="23" t="str">
        <f aca="false">IF(A3467="","",IF(AND(I3467="Sí",J3467="Sí"),"Sí","No"))</f>
        <v/>
      </c>
    </row>
    <row r="3468" customFormat="false" ht="15" hidden="false" customHeight="false" outlineLevel="0" collapsed="false">
      <c r="A3468" s="22"/>
      <c r="B3468" s="22"/>
      <c r="C3468" s="26" t="str">
        <f aca="false">IF(A3468="","",IFERROR(buscarx(A3468&amp;B3468,DATA!$E$3:$E$10000&amp;DATA!$B$3:$B$10000,DATA!$M$3:$M$10000),"No encontrado"))</f>
        <v/>
      </c>
      <c r="D3468" s="27" t="str">
        <f aca="false">IF(A3468="","",IFERROR(buscarx(A3468&amp;B3468,DATA!$E$3:$E$10000&amp;DATA!$B$3:$B$10000,DATA!$W$3:$W$10000),"No encontrado"))</f>
        <v/>
      </c>
      <c r="E3468" s="22"/>
      <c r="F3468" s="26" t="str">
        <f aca="false">IF(A3468="","",IFERROR(buscarx(A3468&amp;E3468,DATA!$E$3:$E$10000&amp;DATA!$B$3:$B$10000,DATA!$M$3:$M$10000),"Inactivo"))</f>
        <v/>
      </c>
      <c r="G3468" s="28" t="str">
        <f aca="false">IF(A3468="","",IF(AND(C3468&lt;&gt;"No encontrado",F3468&lt;&gt;"Inactivo"),C3468&amp;" → "&amp;F3468,"Sin transición"))</f>
        <v/>
      </c>
      <c r="H3468" s="26" t="str">
        <f aca="false">IF(A3468="","",IF(D3468="GCIA LINEA SERVICIO DIGITALIDAD Y VENTAS","Chats",IF(OR(D3468="GERENCIA INBOUND LÍNEAS SERVICIO Y VENTA",D3468="GERENCIA INBOUND LINEAS ESPECIALIZADAS"),"Llamadas","Otro")))</f>
        <v/>
      </c>
      <c r="I3468" s="26" t="str">
        <f aca="false">IF(A3468="","",IF(C3468="No encontrado","No","Sí"))</f>
        <v/>
      </c>
      <c r="J3468" s="26" t="str">
        <f aca="false">IF(A3468="","",IF(F3468="Inactivo","No","Sí"))</f>
        <v/>
      </c>
      <c r="K3468" s="26" t="str">
        <f aca="false">IF(A3468="","",IF(AND(I3468="Sí",J3468="Sí"),"Sí","No"))</f>
        <v/>
      </c>
    </row>
    <row r="3469" customFormat="false" ht="15" hidden="false" customHeight="false" outlineLevel="0" collapsed="false">
      <c r="A3469" s="22"/>
      <c r="B3469" s="22"/>
      <c r="C3469" s="23" t="str">
        <f aca="false">IF(A3469="","",IFERROR(buscarx(A3469&amp;B3469,DATA!$E$3:$E$10000&amp;DATA!$B$3:$B$10000,DATA!$M$3:$M$10000),"No encontrado"))</f>
        <v/>
      </c>
      <c r="D3469" s="24" t="str">
        <f aca="false">IF(A3469="","",IFERROR(buscarx(A3469&amp;B3469,DATA!$E$3:$E$10000&amp;DATA!$B$3:$B$10000,DATA!$W$3:$W$10000),"No encontrado"))</f>
        <v/>
      </c>
      <c r="E3469" s="22"/>
      <c r="F3469" s="23" t="str">
        <f aca="false">IF(A3469="","",IFERROR(buscarx(A3469&amp;E3469,DATA!$E$3:$E$10000&amp;DATA!$B$3:$B$10000,DATA!$M$3:$M$10000),"Inactivo"))</f>
        <v/>
      </c>
      <c r="G3469" s="25" t="str">
        <f aca="false">IF(A3469="","",IF(AND(C3469&lt;&gt;"No encontrado",F3469&lt;&gt;"Inactivo"),C3469&amp;" → "&amp;F3469,"Sin transición"))</f>
        <v/>
      </c>
      <c r="H3469" s="23" t="str">
        <f aca="false">IF(A3469="","",IF(D3469="GCIA LINEA SERVICIO DIGITALIDAD Y VENTAS","Chats",IF(OR(D3469="GERENCIA INBOUND LÍNEAS SERVICIO Y VENTA",D3469="GERENCIA INBOUND LINEAS ESPECIALIZADAS"),"Llamadas","Otro")))</f>
        <v/>
      </c>
      <c r="I3469" s="23" t="str">
        <f aca="false">IF(A3469="","",IF(C3469="No encontrado","No","Sí"))</f>
        <v/>
      </c>
      <c r="J3469" s="23" t="str">
        <f aca="false">IF(A3469="","",IF(F3469="Inactivo","No","Sí"))</f>
        <v/>
      </c>
      <c r="K3469" s="23" t="str">
        <f aca="false">IF(A3469="","",IF(AND(I3469="Sí",J3469="Sí"),"Sí","No"))</f>
        <v/>
      </c>
    </row>
    <row r="3470" customFormat="false" ht="15" hidden="false" customHeight="false" outlineLevel="0" collapsed="false">
      <c r="A3470" s="22"/>
      <c r="B3470" s="22"/>
      <c r="C3470" s="26" t="str">
        <f aca="false">IF(A3470="","",IFERROR(buscarx(A3470&amp;B3470,DATA!$E$3:$E$10000&amp;DATA!$B$3:$B$10000,DATA!$M$3:$M$10000),"No encontrado"))</f>
        <v/>
      </c>
      <c r="D3470" s="27" t="str">
        <f aca="false">IF(A3470="","",IFERROR(buscarx(A3470&amp;B3470,DATA!$E$3:$E$10000&amp;DATA!$B$3:$B$10000,DATA!$W$3:$W$10000),"No encontrado"))</f>
        <v/>
      </c>
      <c r="E3470" s="22"/>
      <c r="F3470" s="26" t="str">
        <f aca="false">IF(A3470="","",IFERROR(buscarx(A3470&amp;E3470,DATA!$E$3:$E$10000&amp;DATA!$B$3:$B$10000,DATA!$M$3:$M$10000),"Inactivo"))</f>
        <v/>
      </c>
      <c r="G3470" s="28" t="str">
        <f aca="false">IF(A3470="","",IF(AND(C3470&lt;&gt;"No encontrado",F3470&lt;&gt;"Inactivo"),C3470&amp;" → "&amp;F3470,"Sin transición"))</f>
        <v/>
      </c>
      <c r="H3470" s="26" t="str">
        <f aca="false">IF(A3470="","",IF(D3470="GCIA LINEA SERVICIO DIGITALIDAD Y VENTAS","Chats",IF(OR(D3470="GERENCIA INBOUND LÍNEAS SERVICIO Y VENTA",D3470="GERENCIA INBOUND LINEAS ESPECIALIZADAS"),"Llamadas","Otro")))</f>
        <v/>
      </c>
      <c r="I3470" s="26" t="str">
        <f aca="false">IF(A3470="","",IF(C3470="No encontrado","No","Sí"))</f>
        <v/>
      </c>
      <c r="J3470" s="26" t="str">
        <f aca="false">IF(A3470="","",IF(F3470="Inactivo","No","Sí"))</f>
        <v/>
      </c>
      <c r="K3470" s="26" t="str">
        <f aca="false">IF(A3470="","",IF(AND(I3470="Sí",J3470="Sí"),"Sí","No"))</f>
        <v/>
      </c>
    </row>
    <row r="3471" customFormat="false" ht="15" hidden="false" customHeight="false" outlineLevel="0" collapsed="false">
      <c r="A3471" s="22"/>
      <c r="B3471" s="22"/>
      <c r="C3471" s="23" t="str">
        <f aca="false">IF(A3471="","",IFERROR(buscarx(A3471&amp;B3471,DATA!$E$3:$E$10000&amp;DATA!$B$3:$B$10000,DATA!$M$3:$M$10000),"No encontrado"))</f>
        <v/>
      </c>
      <c r="D3471" s="24" t="str">
        <f aca="false">IF(A3471="","",IFERROR(buscarx(A3471&amp;B3471,DATA!$E$3:$E$10000&amp;DATA!$B$3:$B$10000,DATA!$W$3:$W$10000),"No encontrado"))</f>
        <v/>
      </c>
      <c r="E3471" s="22"/>
      <c r="F3471" s="23" t="str">
        <f aca="false">IF(A3471="","",IFERROR(buscarx(A3471&amp;E3471,DATA!$E$3:$E$10000&amp;DATA!$B$3:$B$10000,DATA!$M$3:$M$10000),"Inactivo"))</f>
        <v/>
      </c>
      <c r="G3471" s="25" t="str">
        <f aca="false">IF(A3471="","",IF(AND(C3471&lt;&gt;"No encontrado",F3471&lt;&gt;"Inactivo"),C3471&amp;" → "&amp;F3471,"Sin transición"))</f>
        <v/>
      </c>
      <c r="H3471" s="23" t="str">
        <f aca="false">IF(A3471="","",IF(D3471="GCIA LINEA SERVICIO DIGITALIDAD Y VENTAS","Chats",IF(OR(D3471="GERENCIA INBOUND LÍNEAS SERVICIO Y VENTA",D3471="GERENCIA INBOUND LINEAS ESPECIALIZADAS"),"Llamadas","Otro")))</f>
        <v/>
      </c>
      <c r="I3471" s="23" t="str">
        <f aca="false">IF(A3471="","",IF(C3471="No encontrado","No","Sí"))</f>
        <v/>
      </c>
      <c r="J3471" s="23" t="str">
        <f aca="false">IF(A3471="","",IF(F3471="Inactivo","No","Sí"))</f>
        <v/>
      </c>
      <c r="K3471" s="23" t="str">
        <f aca="false">IF(A3471="","",IF(AND(I3471="Sí",J3471="Sí"),"Sí","No"))</f>
        <v/>
      </c>
    </row>
    <row r="3472" customFormat="false" ht="15" hidden="false" customHeight="false" outlineLevel="0" collapsed="false">
      <c r="A3472" s="22"/>
      <c r="B3472" s="22"/>
      <c r="C3472" s="26" t="str">
        <f aca="false">IF(A3472="","",IFERROR(buscarx(A3472&amp;B3472,DATA!$E$3:$E$10000&amp;DATA!$B$3:$B$10000,DATA!$M$3:$M$10000),"No encontrado"))</f>
        <v/>
      </c>
      <c r="D3472" s="27" t="str">
        <f aca="false">IF(A3472="","",IFERROR(buscarx(A3472&amp;B3472,DATA!$E$3:$E$10000&amp;DATA!$B$3:$B$10000,DATA!$W$3:$W$10000),"No encontrado"))</f>
        <v/>
      </c>
      <c r="E3472" s="22"/>
      <c r="F3472" s="26" t="str">
        <f aca="false">IF(A3472="","",IFERROR(buscarx(A3472&amp;E3472,DATA!$E$3:$E$10000&amp;DATA!$B$3:$B$10000,DATA!$M$3:$M$10000),"Inactivo"))</f>
        <v/>
      </c>
      <c r="G3472" s="28" t="str">
        <f aca="false">IF(A3472="","",IF(AND(C3472&lt;&gt;"No encontrado",F3472&lt;&gt;"Inactivo"),C3472&amp;" → "&amp;F3472,"Sin transición"))</f>
        <v/>
      </c>
      <c r="H3472" s="26" t="str">
        <f aca="false">IF(A3472="","",IF(D3472="GCIA LINEA SERVICIO DIGITALIDAD Y VENTAS","Chats",IF(OR(D3472="GERENCIA INBOUND LÍNEAS SERVICIO Y VENTA",D3472="GERENCIA INBOUND LINEAS ESPECIALIZADAS"),"Llamadas","Otro")))</f>
        <v/>
      </c>
      <c r="I3472" s="26" t="str">
        <f aca="false">IF(A3472="","",IF(C3472="No encontrado","No","Sí"))</f>
        <v/>
      </c>
      <c r="J3472" s="26" t="str">
        <f aca="false">IF(A3472="","",IF(F3472="Inactivo","No","Sí"))</f>
        <v/>
      </c>
      <c r="K3472" s="26" t="str">
        <f aca="false">IF(A3472="","",IF(AND(I3472="Sí",J3472="Sí"),"Sí","No"))</f>
        <v/>
      </c>
    </row>
    <row r="3473" customFormat="false" ht="15" hidden="false" customHeight="false" outlineLevel="0" collapsed="false">
      <c r="A3473" s="22"/>
      <c r="B3473" s="22"/>
      <c r="C3473" s="23" t="str">
        <f aca="false">IF(A3473="","",IFERROR(buscarx(A3473&amp;B3473,DATA!$E$3:$E$10000&amp;DATA!$B$3:$B$10000,DATA!$M$3:$M$10000),"No encontrado"))</f>
        <v/>
      </c>
      <c r="D3473" s="24" t="str">
        <f aca="false">IF(A3473="","",IFERROR(buscarx(A3473&amp;B3473,DATA!$E$3:$E$10000&amp;DATA!$B$3:$B$10000,DATA!$W$3:$W$10000),"No encontrado"))</f>
        <v/>
      </c>
      <c r="E3473" s="22"/>
      <c r="F3473" s="23" t="str">
        <f aca="false">IF(A3473="","",IFERROR(buscarx(A3473&amp;E3473,DATA!$E$3:$E$10000&amp;DATA!$B$3:$B$10000,DATA!$M$3:$M$10000),"Inactivo"))</f>
        <v/>
      </c>
      <c r="G3473" s="25" t="str">
        <f aca="false">IF(A3473="","",IF(AND(C3473&lt;&gt;"No encontrado",F3473&lt;&gt;"Inactivo"),C3473&amp;" → "&amp;F3473,"Sin transición"))</f>
        <v/>
      </c>
      <c r="H3473" s="23" t="str">
        <f aca="false">IF(A3473="","",IF(D3473="GCIA LINEA SERVICIO DIGITALIDAD Y VENTAS","Chats",IF(OR(D3473="GERENCIA INBOUND LÍNEAS SERVICIO Y VENTA",D3473="GERENCIA INBOUND LINEAS ESPECIALIZADAS"),"Llamadas","Otro")))</f>
        <v/>
      </c>
      <c r="I3473" s="23" t="str">
        <f aca="false">IF(A3473="","",IF(C3473="No encontrado","No","Sí"))</f>
        <v/>
      </c>
      <c r="J3473" s="23" t="str">
        <f aca="false">IF(A3473="","",IF(F3473="Inactivo","No","Sí"))</f>
        <v/>
      </c>
      <c r="K3473" s="23" t="str">
        <f aca="false">IF(A3473="","",IF(AND(I3473="Sí",J3473="Sí"),"Sí","No"))</f>
        <v/>
      </c>
    </row>
    <row r="3474" customFormat="false" ht="15" hidden="false" customHeight="false" outlineLevel="0" collapsed="false">
      <c r="A3474" s="22"/>
      <c r="B3474" s="22"/>
      <c r="C3474" s="26" t="str">
        <f aca="false">IF(A3474="","",IFERROR(buscarx(A3474&amp;B3474,DATA!$E$3:$E$10000&amp;DATA!$B$3:$B$10000,DATA!$M$3:$M$10000),"No encontrado"))</f>
        <v/>
      </c>
      <c r="D3474" s="27" t="str">
        <f aca="false">IF(A3474="","",IFERROR(buscarx(A3474&amp;B3474,DATA!$E$3:$E$10000&amp;DATA!$B$3:$B$10000,DATA!$W$3:$W$10000),"No encontrado"))</f>
        <v/>
      </c>
      <c r="E3474" s="22"/>
      <c r="F3474" s="26" t="str">
        <f aca="false">IF(A3474="","",IFERROR(buscarx(A3474&amp;E3474,DATA!$E$3:$E$10000&amp;DATA!$B$3:$B$10000,DATA!$M$3:$M$10000),"Inactivo"))</f>
        <v/>
      </c>
      <c r="G3474" s="28" t="str">
        <f aca="false">IF(A3474="","",IF(AND(C3474&lt;&gt;"No encontrado",F3474&lt;&gt;"Inactivo"),C3474&amp;" → "&amp;F3474,"Sin transición"))</f>
        <v/>
      </c>
      <c r="H3474" s="26" t="str">
        <f aca="false">IF(A3474="","",IF(D3474="GCIA LINEA SERVICIO DIGITALIDAD Y VENTAS","Chats",IF(OR(D3474="GERENCIA INBOUND LÍNEAS SERVICIO Y VENTA",D3474="GERENCIA INBOUND LINEAS ESPECIALIZADAS"),"Llamadas","Otro")))</f>
        <v/>
      </c>
      <c r="I3474" s="26" t="str">
        <f aca="false">IF(A3474="","",IF(C3474="No encontrado","No","Sí"))</f>
        <v/>
      </c>
      <c r="J3474" s="26" t="str">
        <f aca="false">IF(A3474="","",IF(F3474="Inactivo","No","Sí"))</f>
        <v/>
      </c>
      <c r="K3474" s="26" t="str">
        <f aca="false">IF(A3474="","",IF(AND(I3474="Sí",J3474="Sí"),"Sí","No"))</f>
        <v/>
      </c>
    </row>
    <row r="3475" customFormat="false" ht="15" hidden="false" customHeight="false" outlineLevel="0" collapsed="false">
      <c r="A3475" s="22"/>
      <c r="B3475" s="22"/>
      <c r="C3475" s="23" t="str">
        <f aca="false">IF(A3475="","",IFERROR(buscarx(A3475&amp;B3475,DATA!$E$3:$E$10000&amp;DATA!$B$3:$B$10000,DATA!$M$3:$M$10000),"No encontrado"))</f>
        <v/>
      </c>
      <c r="D3475" s="24" t="str">
        <f aca="false">IF(A3475="","",IFERROR(buscarx(A3475&amp;B3475,DATA!$E$3:$E$10000&amp;DATA!$B$3:$B$10000,DATA!$W$3:$W$10000),"No encontrado"))</f>
        <v/>
      </c>
      <c r="E3475" s="22"/>
      <c r="F3475" s="23" t="str">
        <f aca="false">IF(A3475="","",IFERROR(buscarx(A3475&amp;E3475,DATA!$E$3:$E$10000&amp;DATA!$B$3:$B$10000,DATA!$M$3:$M$10000),"Inactivo"))</f>
        <v/>
      </c>
      <c r="G3475" s="25" t="str">
        <f aca="false">IF(A3475="","",IF(AND(C3475&lt;&gt;"No encontrado",F3475&lt;&gt;"Inactivo"),C3475&amp;" → "&amp;F3475,"Sin transición"))</f>
        <v/>
      </c>
      <c r="H3475" s="23" t="str">
        <f aca="false">IF(A3475="","",IF(D3475="GCIA LINEA SERVICIO DIGITALIDAD Y VENTAS","Chats",IF(OR(D3475="GERENCIA INBOUND LÍNEAS SERVICIO Y VENTA",D3475="GERENCIA INBOUND LINEAS ESPECIALIZADAS"),"Llamadas","Otro")))</f>
        <v/>
      </c>
      <c r="I3475" s="23" t="str">
        <f aca="false">IF(A3475="","",IF(C3475="No encontrado","No","Sí"))</f>
        <v/>
      </c>
      <c r="J3475" s="23" t="str">
        <f aca="false">IF(A3475="","",IF(F3475="Inactivo","No","Sí"))</f>
        <v/>
      </c>
      <c r="K3475" s="23" t="str">
        <f aca="false">IF(A3475="","",IF(AND(I3475="Sí",J3475="Sí"),"Sí","No"))</f>
        <v/>
      </c>
    </row>
    <row r="3476" customFormat="false" ht="15" hidden="false" customHeight="false" outlineLevel="0" collapsed="false">
      <c r="A3476" s="22"/>
      <c r="B3476" s="22"/>
      <c r="C3476" s="26" t="str">
        <f aca="false">IF(A3476="","",IFERROR(buscarx(A3476&amp;B3476,DATA!$E$3:$E$10000&amp;DATA!$B$3:$B$10000,DATA!$M$3:$M$10000),"No encontrado"))</f>
        <v/>
      </c>
      <c r="D3476" s="27" t="str">
        <f aca="false">IF(A3476="","",IFERROR(buscarx(A3476&amp;B3476,DATA!$E$3:$E$10000&amp;DATA!$B$3:$B$10000,DATA!$W$3:$W$10000),"No encontrado"))</f>
        <v/>
      </c>
      <c r="E3476" s="22"/>
      <c r="F3476" s="26" t="str">
        <f aca="false">IF(A3476="","",IFERROR(buscarx(A3476&amp;E3476,DATA!$E$3:$E$10000&amp;DATA!$B$3:$B$10000,DATA!$M$3:$M$10000),"Inactivo"))</f>
        <v/>
      </c>
      <c r="G3476" s="28" t="str">
        <f aca="false">IF(A3476="","",IF(AND(C3476&lt;&gt;"No encontrado",F3476&lt;&gt;"Inactivo"),C3476&amp;" → "&amp;F3476,"Sin transición"))</f>
        <v/>
      </c>
      <c r="H3476" s="26" t="str">
        <f aca="false">IF(A3476="","",IF(D3476="GCIA LINEA SERVICIO DIGITALIDAD Y VENTAS","Chats",IF(OR(D3476="GERENCIA INBOUND LÍNEAS SERVICIO Y VENTA",D3476="GERENCIA INBOUND LINEAS ESPECIALIZADAS"),"Llamadas","Otro")))</f>
        <v/>
      </c>
      <c r="I3476" s="26" t="str">
        <f aca="false">IF(A3476="","",IF(C3476="No encontrado","No","Sí"))</f>
        <v/>
      </c>
      <c r="J3476" s="26" t="str">
        <f aca="false">IF(A3476="","",IF(F3476="Inactivo","No","Sí"))</f>
        <v/>
      </c>
      <c r="K3476" s="26" t="str">
        <f aca="false">IF(A3476="","",IF(AND(I3476="Sí",J3476="Sí"),"Sí","No"))</f>
        <v/>
      </c>
    </row>
    <row r="3477" customFormat="false" ht="15" hidden="false" customHeight="false" outlineLevel="0" collapsed="false">
      <c r="A3477" s="22"/>
      <c r="B3477" s="22"/>
      <c r="C3477" s="23" t="str">
        <f aca="false">IF(A3477="","",IFERROR(buscarx(A3477&amp;B3477,DATA!$E$3:$E$10000&amp;DATA!$B$3:$B$10000,DATA!$M$3:$M$10000),"No encontrado"))</f>
        <v/>
      </c>
      <c r="D3477" s="24" t="str">
        <f aca="false">IF(A3477="","",IFERROR(buscarx(A3477&amp;B3477,DATA!$E$3:$E$10000&amp;DATA!$B$3:$B$10000,DATA!$W$3:$W$10000),"No encontrado"))</f>
        <v/>
      </c>
      <c r="E3477" s="22"/>
      <c r="F3477" s="23" t="str">
        <f aca="false">IF(A3477="","",IFERROR(buscarx(A3477&amp;E3477,DATA!$E$3:$E$10000&amp;DATA!$B$3:$B$10000,DATA!$M$3:$M$10000),"Inactivo"))</f>
        <v/>
      </c>
      <c r="G3477" s="25" t="str">
        <f aca="false">IF(A3477="","",IF(AND(C3477&lt;&gt;"No encontrado",F3477&lt;&gt;"Inactivo"),C3477&amp;" → "&amp;F3477,"Sin transición"))</f>
        <v/>
      </c>
      <c r="H3477" s="23" t="str">
        <f aca="false">IF(A3477="","",IF(D3477="GCIA LINEA SERVICIO DIGITALIDAD Y VENTAS","Chats",IF(OR(D3477="GERENCIA INBOUND LÍNEAS SERVICIO Y VENTA",D3477="GERENCIA INBOUND LINEAS ESPECIALIZADAS"),"Llamadas","Otro")))</f>
        <v/>
      </c>
      <c r="I3477" s="23" t="str">
        <f aca="false">IF(A3477="","",IF(C3477="No encontrado","No","Sí"))</f>
        <v/>
      </c>
      <c r="J3477" s="23" t="str">
        <f aca="false">IF(A3477="","",IF(F3477="Inactivo","No","Sí"))</f>
        <v/>
      </c>
      <c r="K3477" s="23" t="str">
        <f aca="false">IF(A3477="","",IF(AND(I3477="Sí",J3477="Sí"),"Sí","No"))</f>
        <v/>
      </c>
    </row>
    <row r="3478" customFormat="false" ht="15" hidden="false" customHeight="false" outlineLevel="0" collapsed="false">
      <c r="A3478" s="22"/>
      <c r="B3478" s="22"/>
      <c r="C3478" s="26" t="str">
        <f aca="false">IF(A3478="","",IFERROR(buscarx(A3478&amp;B3478,DATA!$E$3:$E$10000&amp;DATA!$B$3:$B$10000,DATA!$M$3:$M$10000),"No encontrado"))</f>
        <v/>
      </c>
      <c r="D3478" s="27" t="str">
        <f aca="false">IF(A3478="","",IFERROR(buscarx(A3478&amp;B3478,DATA!$E$3:$E$10000&amp;DATA!$B$3:$B$10000,DATA!$W$3:$W$10000),"No encontrado"))</f>
        <v/>
      </c>
      <c r="E3478" s="22"/>
      <c r="F3478" s="26" t="str">
        <f aca="false">IF(A3478="","",IFERROR(buscarx(A3478&amp;E3478,DATA!$E$3:$E$10000&amp;DATA!$B$3:$B$10000,DATA!$M$3:$M$10000),"Inactivo"))</f>
        <v/>
      </c>
      <c r="G3478" s="28" t="str">
        <f aca="false">IF(A3478="","",IF(AND(C3478&lt;&gt;"No encontrado",F3478&lt;&gt;"Inactivo"),C3478&amp;" → "&amp;F3478,"Sin transición"))</f>
        <v/>
      </c>
      <c r="H3478" s="26" t="str">
        <f aca="false">IF(A3478="","",IF(D3478="GCIA LINEA SERVICIO DIGITALIDAD Y VENTAS","Chats",IF(OR(D3478="GERENCIA INBOUND LÍNEAS SERVICIO Y VENTA",D3478="GERENCIA INBOUND LINEAS ESPECIALIZADAS"),"Llamadas","Otro")))</f>
        <v/>
      </c>
      <c r="I3478" s="26" t="str">
        <f aca="false">IF(A3478="","",IF(C3478="No encontrado","No","Sí"))</f>
        <v/>
      </c>
      <c r="J3478" s="26" t="str">
        <f aca="false">IF(A3478="","",IF(F3478="Inactivo","No","Sí"))</f>
        <v/>
      </c>
      <c r="K3478" s="26" t="str">
        <f aca="false">IF(A3478="","",IF(AND(I3478="Sí",J3478="Sí"),"Sí","No"))</f>
        <v/>
      </c>
    </row>
    <row r="3479" customFormat="false" ht="15" hidden="false" customHeight="false" outlineLevel="0" collapsed="false">
      <c r="A3479" s="22"/>
      <c r="B3479" s="22"/>
      <c r="C3479" s="23" t="str">
        <f aca="false">IF(A3479="","",IFERROR(buscarx(A3479&amp;B3479,DATA!$E$3:$E$10000&amp;DATA!$B$3:$B$10000,DATA!$M$3:$M$10000),"No encontrado"))</f>
        <v/>
      </c>
      <c r="D3479" s="24" t="str">
        <f aca="false">IF(A3479="","",IFERROR(buscarx(A3479&amp;B3479,DATA!$E$3:$E$10000&amp;DATA!$B$3:$B$10000,DATA!$W$3:$W$10000),"No encontrado"))</f>
        <v/>
      </c>
      <c r="E3479" s="22"/>
      <c r="F3479" s="23" t="str">
        <f aca="false">IF(A3479="","",IFERROR(buscarx(A3479&amp;E3479,DATA!$E$3:$E$10000&amp;DATA!$B$3:$B$10000,DATA!$M$3:$M$10000),"Inactivo"))</f>
        <v/>
      </c>
      <c r="G3479" s="25" t="str">
        <f aca="false">IF(A3479="","",IF(AND(C3479&lt;&gt;"No encontrado",F3479&lt;&gt;"Inactivo"),C3479&amp;" → "&amp;F3479,"Sin transición"))</f>
        <v/>
      </c>
      <c r="H3479" s="23" t="str">
        <f aca="false">IF(A3479="","",IF(D3479="GCIA LINEA SERVICIO DIGITALIDAD Y VENTAS","Chats",IF(OR(D3479="GERENCIA INBOUND LÍNEAS SERVICIO Y VENTA",D3479="GERENCIA INBOUND LINEAS ESPECIALIZADAS"),"Llamadas","Otro")))</f>
        <v/>
      </c>
      <c r="I3479" s="23" t="str">
        <f aca="false">IF(A3479="","",IF(C3479="No encontrado","No","Sí"))</f>
        <v/>
      </c>
      <c r="J3479" s="23" t="str">
        <f aca="false">IF(A3479="","",IF(F3479="Inactivo","No","Sí"))</f>
        <v/>
      </c>
      <c r="K3479" s="23" t="str">
        <f aca="false">IF(A3479="","",IF(AND(I3479="Sí",J3479="Sí"),"Sí","No"))</f>
        <v/>
      </c>
    </row>
    <row r="3480" customFormat="false" ht="15" hidden="false" customHeight="false" outlineLevel="0" collapsed="false">
      <c r="A3480" s="22"/>
      <c r="B3480" s="22"/>
      <c r="C3480" s="26" t="str">
        <f aca="false">IF(A3480="","",IFERROR(buscarx(A3480&amp;B3480,DATA!$E$3:$E$10000&amp;DATA!$B$3:$B$10000,DATA!$M$3:$M$10000),"No encontrado"))</f>
        <v/>
      </c>
      <c r="D3480" s="27" t="str">
        <f aca="false">IF(A3480="","",IFERROR(buscarx(A3480&amp;B3480,DATA!$E$3:$E$10000&amp;DATA!$B$3:$B$10000,DATA!$W$3:$W$10000),"No encontrado"))</f>
        <v/>
      </c>
      <c r="E3480" s="22"/>
      <c r="F3480" s="26" t="str">
        <f aca="false">IF(A3480="","",IFERROR(buscarx(A3480&amp;E3480,DATA!$E$3:$E$10000&amp;DATA!$B$3:$B$10000,DATA!$M$3:$M$10000),"Inactivo"))</f>
        <v/>
      </c>
      <c r="G3480" s="28" t="str">
        <f aca="false">IF(A3480="","",IF(AND(C3480&lt;&gt;"No encontrado",F3480&lt;&gt;"Inactivo"),C3480&amp;" → "&amp;F3480,"Sin transición"))</f>
        <v/>
      </c>
      <c r="H3480" s="26" t="str">
        <f aca="false">IF(A3480="","",IF(D3480="GCIA LINEA SERVICIO DIGITALIDAD Y VENTAS","Chats",IF(OR(D3480="GERENCIA INBOUND LÍNEAS SERVICIO Y VENTA",D3480="GERENCIA INBOUND LINEAS ESPECIALIZADAS"),"Llamadas","Otro")))</f>
        <v/>
      </c>
      <c r="I3480" s="26" t="str">
        <f aca="false">IF(A3480="","",IF(C3480="No encontrado","No","Sí"))</f>
        <v/>
      </c>
      <c r="J3480" s="26" t="str">
        <f aca="false">IF(A3480="","",IF(F3480="Inactivo","No","Sí"))</f>
        <v/>
      </c>
      <c r="K3480" s="26" t="str">
        <f aca="false">IF(A3480="","",IF(AND(I3480="Sí",J3480="Sí"),"Sí","No"))</f>
        <v/>
      </c>
    </row>
    <row r="3481" customFormat="false" ht="15" hidden="false" customHeight="false" outlineLevel="0" collapsed="false">
      <c r="A3481" s="22"/>
      <c r="B3481" s="22"/>
      <c r="C3481" s="23" t="str">
        <f aca="false">IF(A3481="","",IFERROR(buscarx(A3481&amp;B3481,DATA!$E$3:$E$10000&amp;DATA!$B$3:$B$10000,DATA!$M$3:$M$10000),"No encontrado"))</f>
        <v/>
      </c>
      <c r="D3481" s="24" t="str">
        <f aca="false">IF(A3481="","",IFERROR(buscarx(A3481&amp;B3481,DATA!$E$3:$E$10000&amp;DATA!$B$3:$B$10000,DATA!$W$3:$W$10000),"No encontrado"))</f>
        <v/>
      </c>
      <c r="E3481" s="22"/>
      <c r="F3481" s="23" t="str">
        <f aca="false">IF(A3481="","",IFERROR(buscarx(A3481&amp;E3481,DATA!$E$3:$E$10000&amp;DATA!$B$3:$B$10000,DATA!$M$3:$M$10000),"Inactivo"))</f>
        <v/>
      </c>
      <c r="G3481" s="25" t="str">
        <f aca="false">IF(A3481="","",IF(AND(C3481&lt;&gt;"No encontrado",F3481&lt;&gt;"Inactivo"),C3481&amp;" → "&amp;F3481,"Sin transición"))</f>
        <v/>
      </c>
      <c r="H3481" s="23" t="str">
        <f aca="false">IF(A3481="","",IF(D3481="GCIA LINEA SERVICIO DIGITALIDAD Y VENTAS","Chats",IF(OR(D3481="GERENCIA INBOUND LÍNEAS SERVICIO Y VENTA",D3481="GERENCIA INBOUND LINEAS ESPECIALIZADAS"),"Llamadas","Otro")))</f>
        <v/>
      </c>
      <c r="I3481" s="23" t="str">
        <f aca="false">IF(A3481="","",IF(C3481="No encontrado","No","Sí"))</f>
        <v/>
      </c>
      <c r="J3481" s="23" t="str">
        <f aca="false">IF(A3481="","",IF(F3481="Inactivo","No","Sí"))</f>
        <v/>
      </c>
      <c r="K3481" s="23" t="str">
        <f aca="false">IF(A3481="","",IF(AND(I3481="Sí",J3481="Sí"),"Sí","No"))</f>
        <v/>
      </c>
    </row>
    <row r="3482" customFormat="false" ht="15" hidden="false" customHeight="false" outlineLevel="0" collapsed="false">
      <c r="A3482" s="22"/>
      <c r="B3482" s="22"/>
      <c r="C3482" s="26" t="str">
        <f aca="false">IF(A3482="","",IFERROR(buscarx(A3482&amp;B3482,DATA!$E$3:$E$10000&amp;DATA!$B$3:$B$10000,DATA!$M$3:$M$10000),"No encontrado"))</f>
        <v/>
      </c>
      <c r="D3482" s="27" t="str">
        <f aca="false">IF(A3482="","",IFERROR(buscarx(A3482&amp;B3482,DATA!$E$3:$E$10000&amp;DATA!$B$3:$B$10000,DATA!$W$3:$W$10000),"No encontrado"))</f>
        <v/>
      </c>
      <c r="E3482" s="22"/>
      <c r="F3482" s="26" t="str">
        <f aca="false">IF(A3482="","",IFERROR(buscarx(A3482&amp;E3482,DATA!$E$3:$E$10000&amp;DATA!$B$3:$B$10000,DATA!$M$3:$M$10000),"Inactivo"))</f>
        <v/>
      </c>
      <c r="G3482" s="28" t="str">
        <f aca="false">IF(A3482="","",IF(AND(C3482&lt;&gt;"No encontrado",F3482&lt;&gt;"Inactivo"),C3482&amp;" → "&amp;F3482,"Sin transición"))</f>
        <v/>
      </c>
      <c r="H3482" s="26" t="str">
        <f aca="false">IF(A3482="","",IF(D3482="GCIA LINEA SERVICIO DIGITALIDAD Y VENTAS","Chats",IF(OR(D3482="GERENCIA INBOUND LÍNEAS SERVICIO Y VENTA",D3482="GERENCIA INBOUND LINEAS ESPECIALIZADAS"),"Llamadas","Otro")))</f>
        <v/>
      </c>
      <c r="I3482" s="26" t="str">
        <f aca="false">IF(A3482="","",IF(C3482="No encontrado","No","Sí"))</f>
        <v/>
      </c>
      <c r="J3482" s="26" t="str">
        <f aca="false">IF(A3482="","",IF(F3482="Inactivo","No","Sí"))</f>
        <v/>
      </c>
      <c r="K3482" s="26" t="str">
        <f aca="false">IF(A3482="","",IF(AND(I3482="Sí",J3482="Sí"),"Sí","No"))</f>
        <v/>
      </c>
    </row>
    <row r="3483" customFormat="false" ht="15" hidden="false" customHeight="false" outlineLevel="0" collapsed="false">
      <c r="A3483" s="22"/>
      <c r="B3483" s="22"/>
      <c r="C3483" s="23" t="str">
        <f aca="false">IF(A3483="","",IFERROR(buscarx(A3483&amp;B3483,DATA!$E$3:$E$10000&amp;DATA!$B$3:$B$10000,DATA!$M$3:$M$10000),"No encontrado"))</f>
        <v/>
      </c>
      <c r="D3483" s="24" t="str">
        <f aca="false">IF(A3483="","",IFERROR(buscarx(A3483&amp;B3483,DATA!$E$3:$E$10000&amp;DATA!$B$3:$B$10000,DATA!$W$3:$W$10000),"No encontrado"))</f>
        <v/>
      </c>
      <c r="E3483" s="22"/>
      <c r="F3483" s="23" t="str">
        <f aca="false">IF(A3483="","",IFERROR(buscarx(A3483&amp;E3483,DATA!$E$3:$E$10000&amp;DATA!$B$3:$B$10000,DATA!$M$3:$M$10000),"Inactivo"))</f>
        <v/>
      </c>
      <c r="G3483" s="25" t="str">
        <f aca="false">IF(A3483="","",IF(AND(C3483&lt;&gt;"No encontrado",F3483&lt;&gt;"Inactivo"),C3483&amp;" → "&amp;F3483,"Sin transición"))</f>
        <v/>
      </c>
      <c r="H3483" s="23" t="str">
        <f aca="false">IF(A3483="","",IF(D3483="GCIA LINEA SERVICIO DIGITALIDAD Y VENTAS","Chats",IF(OR(D3483="GERENCIA INBOUND LÍNEAS SERVICIO Y VENTA",D3483="GERENCIA INBOUND LINEAS ESPECIALIZADAS"),"Llamadas","Otro")))</f>
        <v/>
      </c>
      <c r="I3483" s="23" t="str">
        <f aca="false">IF(A3483="","",IF(C3483="No encontrado","No","Sí"))</f>
        <v/>
      </c>
      <c r="J3483" s="23" t="str">
        <f aca="false">IF(A3483="","",IF(F3483="Inactivo","No","Sí"))</f>
        <v/>
      </c>
      <c r="K3483" s="23" t="str">
        <f aca="false">IF(A3483="","",IF(AND(I3483="Sí",J3483="Sí"),"Sí","No"))</f>
        <v/>
      </c>
    </row>
    <row r="3484" customFormat="false" ht="15" hidden="false" customHeight="false" outlineLevel="0" collapsed="false">
      <c r="A3484" s="22"/>
      <c r="B3484" s="22"/>
      <c r="C3484" s="26" t="str">
        <f aca="false">IF(A3484="","",IFERROR(buscarx(A3484&amp;B3484,DATA!$E$3:$E$10000&amp;DATA!$B$3:$B$10000,DATA!$M$3:$M$10000),"No encontrado"))</f>
        <v/>
      </c>
      <c r="D3484" s="27" t="str">
        <f aca="false">IF(A3484="","",IFERROR(buscarx(A3484&amp;B3484,DATA!$E$3:$E$10000&amp;DATA!$B$3:$B$10000,DATA!$W$3:$W$10000),"No encontrado"))</f>
        <v/>
      </c>
      <c r="E3484" s="22"/>
      <c r="F3484" s="26" t="str">
        <f aca="false">IF(A3484="","",IFERROR(buscarx(A3484&amp;E3484,DATA!$E$3:$E$10000&amp;DATA!$B$3:$B$10000,DATA!$M$3:$M$10000),"Inactivo"))</f>
        <v/>
      </c>
      <c r="G3484" s="28" t="str">
        <f aca="false">IF(A3484="","",IF(AND(C3484&lt;&gt;"No encontrado",F3484&lt;&gt;"Inactivo"),C3484&amp;" → "&amp;F3484,"Sin transición"))</f>
        <v/>
      </c>
      <c r="H3484" s="26" t="str">
        <f aca="false">IF(A3484="","",IF(D3484="GCIA LINEA SERVICIO DIGITALIDAD Y VENTAS","Chats",IF(OR(D3484="GERENCIA INBOUND LÍNEAS SERVICIO Y VENTA",D3484="GERENCIA INBOUND LINEAS ESPECIALIZADAS"),"Llamadas","Otro")))</f>
        <v/>
      </c>
      <c r="I3484" s="26" t="str">
        <f aca="false">IF(A3484="","",IF(C3484="No encontrado","No","Sí"))</f>
        <v/>
      </c>
      <c r="J3484" s="26" t="str">
        <f aca="false">IF(A3484="","",IF(F3484="Inactivo","No","Sí"))</f>
        <v/>
      </c>
      <c r="K3484" s="26" t="str">
        <f aca="false">IF(A3484="","",IF(AND(I3484="Sí",J3484="Sí"),"Sí","No"))</f>
        <v/>
      </c>
    </row>
    <row r="3485" customFormat="false" ht="15" hidden="false" customHeight="false" outlineLevel="0" collapsed="false">
      <c r="A3485" s="22"/>
      <c r="B3485" s="22"/>
      <c r="C3485" s="23" t="str">
        <f aca="false">IF(A3485="","",IFERROR(buscarx(A3485&amp;B3485,DATA!$E$3:$E$10000&amp;DATA!$B$3:$B$10000,DATA!$M$3:$M$10000),"No encontrado"))</f>
        <v/>
      </c>
      <c r="D3485" s="24" t="str">
        <f aca="false">IF(A3485="","",IFERROR(buscarx(A3485&amp;B3485,DATA!$E$3:$E$10000&amp;DATA!$B$3:$B$10000,DATA!$W$3:$W$10000),"No encontrado"))</f>
        <v/>
      </c>
      <c r="E3485" s="22"/>
      <c r="F3485" s="23" t="str">
        <f aca="false">IF(A3485="","",IFERROR(buscarx(A3485&amp;E3485,DATA!$E$3:$E$10000&amp;DATA!$B$3:$B$10000,DATA!$M$3:$M$10000),"Inactivo"))</f>
        <v/>
      </c>
      <c r="G3485" s="25" t="str">
        <f aca="false">IF(A3485="","",IF(AND(C3485&lt;&gt;"No encontrado",F3485&lt;&gt;"Inactivo"),C3485&amp;" → "&amp;F3485,"Sin transición"))</f>
        <v/>
      </c>
      <c r="H3485" s="23" t="str">
        <f aca="false">IF(A3485="","",IF(D3485="GCIA LINEA SERVICIO DIGITALIDAD Y VENTAS","Chats",IF(OR(D3485="GERENCIA INBOUND LÍNEAS SERVICIO Y VENTA",D3485="GERENCIA INBOUND LINEAS ESPECIALIZADAS"),"Llamadas","Otro")))</f>
        <v/>
      </c>
      <c r="I3485" s="23" t="str">
        <f aca="false">IF(A3485="","",IF(C3485="No encontrado","No","Sí"))</f>
        <v/>
      </c>
      <c r="J3485" s="23" t="str">
        <f aca="false">IF(A3485="","",IF(F3485="Inactivo","No","Sí"))</f>
        <v/>
      </c>
      <c r="K3485" s="23" t="str">
        <f aca="false">IF(A3485="","",IF(AND(I3485="Sí",J3485="Sí"),"Sí","No"))</f>
        <v/>
      </c>
    </row>
    <row r="3486" customFormat="false" ht="15" hidden="false" customHeight="false" outlineLevel="0" collapsed="false">
      <c r="A3486" s="22"/>
      <c r="B3486" s="22"/>
      <c r="C3486" s="26" t="str">
        <f aca="false">IF(A3486="","",IFERROR(buscarx(A3486&amp;B3486,DATA!$E$3:$E$10000&amp;DATA!$B$3:$B$10000,DATA!$M$3:$M$10000),"No encontrado"))</f>
        <v/>
      </c>
      <c r="D3486" s="27" t="str">
        <f aca="false">IF(A3486="","",IFERROR(buscarx(A3486&amp;B3486,DATA!$E$3:$E$10000&amp;DATA!$B$3:$B$10000,DATA!$W$3:$W$10000),"No encontrado"))</f>
        <v/>
      </c>
      <c r="E3486" s="22"/>
      <c r="F3486" s="26" t="str">
        <f aca="false">IF(A3486="","",IFERROR(buscarx(A3486&amp;E3486,DATA!$E$3:$E$10000&amp;DATA!$B$3:$B$10000,DATA!$M$3:$M$10000),"Inactivo"))</f>
        <v/>
      </c>
      <c r="G3486" s="28" t="str">
        <f aca="false">IF(A3486="","",IF(AND(C3486&lt;&gt;"No encontrado",F3486&lt;&gt;"Inactivo"),C3486&amp;" → "&amp;F3486,"Sin transición"))</f>
        <v/>
      </c>
      <c r="H3486" s="26" t="str">
        <f aca="false">IF(A3486="","",IF(D3486="GCIA LINEA SERVICIO DIGITALIDAD Y VENTAS","Chats",IF(OR(D3486="GERENCIA INBOUND LÍNEAS SERVICIO Y VENTA",D3486="GERENCIA INBOUND LINEAS ESPECIALIZADAS"),"Llamadas","Otro")))</f>
        <v/>
      </c>
      <c r="I3486" s="26" t="str">
        <f aca="false">IF(A3486="","",IF(C3486="No encontrado","No","Sí"))</f>
        <v/>
      </c>
      <c r="J3486" s="26" t="str">
        <f aca="false">IF(A3486="","",IF(F3486="Inactivo","No","Sí"))</f>
        <v/>
      </c>
      <c r="K3486" s="26" t="str">
        <f aca="false">IF(A3486="","",IF(AND(I3486="Sí",J3486="Sí"),"Sí","No"))</f>
        <v/>
      </c>
    </row>
    <row r="3487" customFormat="false" ht="15" hidden="false" customHeight="false" outlineLevel="0" collapsed="false">
      <c r="A3487" s="22"/>
      <c r="B3487" s="22"/>
      <c r="C3487" s="23" t="str">
        <f aca="false">IF(A3487="","",IFERROR(buscarx(A3487&amp;B3487,DATA!$E$3:$E$10000&amp;DATA!$B$3:$B$10000,DATA!$M$3:$M$10000),"No encontrado"))</f>
        <v/>
      </c>
      <c r="D3487" s="24" t="str">
        <f aca="false">IF(A3487="","",IFERROR(buscarx(A3487&amp;B3487,DATA!$E$3:$E$10000&amp;DATA!$B$3:$B$10000,DATA!$W$3:$W$10000),"No encontrado"))</f>
        <v/>
      </c>
      <c r="E3487" s="22"/>
      <c r="F3487" s="23" t="str">
        <f aca="false">IF(A3487="","",IFERROR(buscarx(A3487&amp;E3487,DATA!$E$3:$E$10000&amp;DATA!$B$3:$B$10000,DATA!$M$3:$M$10000),"Inactivo"))</f>
        <v/>
      </c>
      <c r="G3487" s="25" t="str">
        <f aca="false">IF(A3487="","",IF(AND(C3487&lt;&gt;"No encontrado",F3487&lt;&gt;"Inactivo"),C3487&amp;" → "&amp;F3487,"Sin transición"))</f>
        <v/>
      </c>
      <c r="H3487" s="23" t="str">
        <f aca="false">IF(A3487="","",IF(D3487="GCIA LINEA SERVICIO DIGITALIDAD Y VENTAS","Chats",IF(OR(D3487="GERENCIA INBOUND LÍNEAS SERVICIO Y VENTA",D3487="GERENCIA INBOUND LINEAS ESPECIALIZADAS"),"Llamadas","Otro")))</f>
        <v/>
      </c>
      <c r="I3487" s="23" t="str">
        <f aca="false">IF(A3487="","",IF(C3487="No encontrado","No","Sí"))</f>
        <v/>
      </c>
      <c r="J3487" s="23" t="str">
        <f aca="false">IF(A3487="","",IF(F3487="Inactivo","No","Sí"))</f>
        <v/>
      </c>
      <c r="K3487" s="23" t="str">
        <f aca="false">IF(A3487="","",IF(AND(I3487="Sí",J3487="Sí"),"Sí","No"))</f>
        <v/>
      </c>
    </row>
    <row r="3488" customFormat="false" ht="15" hidden="false" customHeight="false" outlineLevel="0" collapsed="false">
      <c r="A3488" s="22"/>
      <c r="B3488" s="22"/>
      <c r="C3488" s="26" t="str">
        <f aca="false">IF(A3488="","",IFERROR(buscarx(A3488&amp;B3488,DATA!$E$3:$E$10000&amp;DATA!$B$3:$B$10000,DATA!$M$3:$M$10000),"No encontrado"))</f>
        <v/>
      </c>
      <c r="D3488" s="27" t="str">
        <f aca="false">IF(A3488="","",IFERROR(buscarx(A3488&amp;B3488,DATA!$E$3:$E$10000&amp;DATA!$B$3:$B$10000,DATA!$W$3:$W$10000),"No encontrado"))</f>
        <v/>
      </c>
      <c r="E3488" s="22"/>
      <c r="F3488" s="26" t="str">
        <f aca="false">IF(A3488="","",IFERROR(buscarx(A3488&amp;E3488,DATA!$E$3:$E$10000&amp;DATA!$B$3:$B$10000,DATA!$M$3:$M$10000),"Inactivo"))</f>
        <v/>
      </c>
      <c r="G3488" s="28" t="str">
        <f aca="false">IF(A3488="","",IF(AND(C3488&lt;&gt;"No encontrado",F3488&lt;&gt;"Inactivo"),C3488&amp;" → "&amp;F3488,"Sin transición"))</f>
        <v/>
      </c>
      <c r="H3488" s="26" t="str">
        <f aca="false">IF(A3488="","",IF(D3488="GCIA LINEA SERVICIO DIGITALIDAD Y VENTAS","Chats",IF(OR(D3488="GERENCIA INBOUND LÍNEAS SERVICIO Y VENTA",D3488="GERENCIA INBOUND LINEAS ESPECIALIZADAS"),"Llamadas","Otro")))</f>
        <v/>
      </c>
      <c r="I3488" s="26" t="str">
        <f aca="false">IF(A3488="","",IF(C3488="No encontrado","No","Sí"))</f>
        <v/>
      </c>
      <c r="J3488" s="26" t="str">
        <f aca="false">IF(A3488="","",IF(F3488="Inactivo","No","Sí"))</f>
        <v/>
      </c>
      <c r="K3488" s="26" t="str">
        <f aca="false">IF(A3488="","",IF(AND(I3488="Sí",J3488="Sí"),"Sí","No"))</f>
        <v/>
      </c>
    </row>
    <row r="3489" customFormat="false" ht="15" hidden="false" customHeight="false" outlineLevel="0" collapsed="false">
      <c r="A3489" s="22"/>
      <c r="B3489" s="22"/>
      <c r="C3489" s="23" t="str">
        <f aca="false">IF(A3489="","",IFERROR(buscarx(A3489&amp;B3489,DATA!$E$3:$E$10000&amp;DATA!$B$3:$B$10000,DATA!$M$3:$M$10000),"No encontrado"))</f>
        <v/>
      </c>
      <c r="D3489" s="24" t="str">
        <f aca="false">IF(A3489="","",IFERROR(buscarx(A3489&amp;B3489,DATA!$E$3:$E$10000&amp;DATA!$B$3:$B$10000,DATA!$W$3:$W$10000),"No encontrado"))</f>
        <v/>
      </c>
      <c r="E3489" s="22"/>
      <c r="F3489" s="23" t="str">
        <f aca="false">IF(A3489="","",IFERROR(buscarx(A3489&amp;E3489,DATA!$E$3:$E$10000&amp;DATA!$B$3:$B$10000,DATA!$M$3:$M$10000),"Inactivo"))</f>
        <v/>
      </c>
      <c r="G3489" s="25" t="str">
        <f aca="false">IF(A3489="","",IF(AND(C3489&lt;&gt;"No encontrado",F3489&lt;&gt;"Inactivo"),C3489&amp;" → "&amp;F3489,"Sin transición"))</f>
        <v/>
      </c>
      <c r="H3489" s="23" t="str">
        <f aca="false">IF(A3489="","",IF(D3489="GCIA LINEA SERVICIO DIGITALIDAD Y VENTAS","Chats",IF(OR(D3489="GERENCIA INBOUND LÍNEAS SERVICIO Y VENTA",D3489="GERENCIA INBOUND LINEAS ESPECIALIZADAS"),"Llamadas","Otro")))</f>
        <v/>
      </c>
      <c r="I3489" s="23" t="str">
        <f aca="false">IF(A3489="","",IF(C3489="No encontrado","No","Sí"))</f>
        <v/>
      </c>
      <c r="J3489" s="23" t="str">
        <f aca="false">IF(A3489="","",IF(F3489="Inactivo","No","Sí"))</f>
        <v/>
      </c>
      <c r="K3489" s="23" t="str">
        <f aca="false">IF(A3489="","",IF(AND(I3489="Sí",J3489="Sí"),"Sí","No"))</f>
        <v/>
      </c>
    </row>
    <row r="3490" customFormat="false" ht="15" hidden="false" customHeight="false" outlineLevel="0" collapsed="false">
      <c r="A3490" s="22"/>
      <c r="B3490" s="22"/>
      <c r="C3490" s="26" t="str">
        <f aca="false">IF(A3490="","",IFERROR(buscarx(A3490&amp;B3490,DATA!$E$3:$E$10000&amp;DATA!$B$3:$B$10000,DATA!$M$3:$M$10000),"No encontrado"))</f>
        <v/>
      </c>
      <c r="D3490" s="27" t="str">
        <f aca="false">IF(A3490="","",IFERROR(buscarx(A3490&amp;B3490,DATA!$E$3:$E$10000&amp;DATA!$B$3:$B$10000,DATA!$W$3:$W$10000),"No encontrado"))</f>
        <v/>
      </c>
      <c r="E3490" s="22"/>
      <c r="F3490" s="26" t="str">
        <f aca="false">IF(A3490="","",IFERROR(buscarx(A3490&amp;E3490,DATA!$E$3:$E$10000&amp;DATA!$B$3:$B$10000,DATA!$M$3:$M$10000),"Inactivo"))</f>
        <v/>
      </c>
      <c r="G3490" s="28" t="str">
        <f aca="false">IF(A3490="","",IF(AND(C3490&lt;&gt;"No encontrado",F3490&lt;&gt;"Inactivo"),C3490&amp;" → "&amp;F3490,"Sin transición"))</f>
        <v/>
      </c>
      <c r="H3490" s="26" t="str">
        <f aca="false">IF(A3490="","",IF(D3490="GCIA LINEA SERVICIO DIGITALIDAD Y VENTAS","Chats",IF(OR(D3490="GERENCIA INBOUND LÍNEAS SERVICIO Y VENTA",D3490="GERENCIA INBOUND LINEAS ESPECIALIZADAS"),"Llamadas","Otro")))</f>
        <v/>
      </c>
      <c r="I3490" s="26" t="str">
        <f aca="false">IF(A3490="","",IF(C3490="No encontrado","No","Sí"))</f>
        <v/>
      </c>
      <c r="J3490" s="26" t="str">
        <f aca="false">IF(A3490="","",IF(F3490="Inactivo","No","Sí"))</f>
        <v/>
      </c>
      <c r="K3490" s="26" t="str">
        <f aca="false">IF(A3490="","",IF(AND(I3490="Sí",J3490="Sí"),"Sí","No"))</f>
        <v/>
      </c>
    </row>
    <row r="3491" customFormat="false" ht="15" hidden="false" customHeight="false" outlineLevel="0" collapsed="false">
      <c r="A3491" s="22"/>
      <c r="B3491" s="22"/>
      <c r="C3491" s="23" t="str">
        <f aca="false">IF(A3491="","",IFERROR(buscarx(A3491&amp;B3491,DATA!$E$3:$E$10000&amp;DATA!$B$3:$B$10000,DATA!$M$3:$M$10000),"No encontrado"))</f>
        <v/>
      </c>
      <c r="D3491" s="24" t="str">
        <f aca="false">IF(A3491="","",IFERROR(buscarx(A3491&amp;B3491,DATA!$E$3:$E$10000&amp;DATA!$B$3:$B$10000,DATA!$W$3:$W$10000),"No encontrado"))</f>
        <v/>
      </c>
      <c r="E3491" s="22"/>
      <c r="F3491" s="23" t="str">
        <f aca="false">IF(A3491="","",IFERROR(buscarx(A3491&amp;E3491,DATA!$E$3:$E$10000&amp;DATA!$B$3:$B$10000,DATA!$M$3:$M$10000),"Inactivo"))</f>
        <v/>
      </c>
      <c r="G3491" s="25" t="str">
        <f aca="false">IF(A3491="","",IF(AND(C3491&lt;&gt;"No encontrado",F3491&lt;&gt;"Inactivo"),C3491&amp;" → "&amp;F3491,"Sin transición"))</f>
        <v/>
      </c>
      <c r="H3491" s="23" t="str">
        <f aca="false">IF(A3491="","",IF(D3491="GCIA LINEA SERVICIO DIGITALIDAD Y VENTAS","Chats",IF(OR(D3491="GERENCIA INBOUND LÍNEAS SERVICIO Y VENTA",D3491="GERENCIA INBOUND LINEAS ESPECIALIZADAS"),"Llamadas","Otro")))</f>
        <v/>
      </c>
      <c r="I3491" s="23" t="str">
        <f aca="false">IF(A3491="","",IF(C3491="No encontrado","No","Sí"))</f>
        <v/>
      </c>
      <c r="J3491" s="23" t="str">
        <f aca="false">IF(A3491="","",IF(F3491="Inactivo","No","Sí"))</f>
        <v/>
      </c>
      <c r="K3491" s="23" t="str">
        <f aca="false">IF(A3491="","",IF(AND(I3491="Sí",J3491="Sí"),"Sí","No"))</f>
        <v/>
      </c>
    </row>
    <row r="3492" customFormat="false" ht="15" hidden="false" customHeight="false" outlineLevel="0" collapsed="false">
      <c r="A3492" s="22"/>
      <c r="B3492" s="22"/>
      <c r="C3492" s="26" t="str">
        <f aca="false">IF(A3492="","",IFERROR(buscarx(A3492&amp;B3492,DATA!$E$3:$E$10000&amp;DATA!$B$3:$B$10000,DATA!$M$3:$M$10000),"No encontrado"))</f>
        <v/>
      </c>
      <c r="D3492" s="27" t="str">
        <f aca="false">IF(A3492="","",IFERROR(buscarx(A3492&amp;B3492,DATA!$E$3:$E$10000&amp;DATA!$B$3:$B$10000,DATA!$W$3:$W$10000),"No encontrado"))</f>
        <v/>
      </c>
      <c r="E3492" s="22"/>
      <c r="F3492" s="26" t="str">
        <f aca="false">IF(A3492="","",IFERROR(buscarx(A3492&amp;E3492,DATA!$E$3:$E$10000&amp;DATA!$B$3:$B$10000,DATA!$M$3:$M$10000),"Inactivo"))</f>
        <v/>
      </c>
      <c r="G3492" s="28" t="str">
        <f aca="false">IF(A3492="","",IF(AND(C3492&lt;&gt;"No encontrado",F3492&lt;&gt;"Inactivo"),C3492&amp;" → "&amp;F3492,"Sin transición"))</f>
        <v/>
      </c>
      <c r="H3492" s="26" t="str">
        <f aca="false">IF(A3492="","",IF(D3492="GCIA LINEA SERVICIO DIGITALIDAD Y VENTAS","Chats",IF(OR(D3492="GERENCIA INBOUND LÍNEAS SERVICIO Y VENTA",D3492="GERENCIA INBOUND LINEAS ESPECIALIZADAS"),"Llamadas","Otro")))</f>
        <v/>
      </c>
      <c r="I3492" s="26" t="str">
        <f aca="false">IF(A3492="","",IF(C3492="No encontrado","No","Sí"))</f>
        <v/>
      </c>
      <c r="J3492" s="26" t="str">
        <f aca="false">IF(A3492="","",IF(F3492="Inactivo","No","Sí"))</f>
        <v/>
      </c>
      <c r="K3492" s="26" t="str">
        <f aca="false">IF(A3492="","",IF(AND(I3492="Sí",J3492="Sí"),"Sí","No"))</f>
        <v/>
      </c>
    </row>
    <row r="3493" customFormat="false" ht="15" hidden="false" customHeight="false" outlineLevel="0" collapsed="false">
      <c r="A3493" s="22"/>
      <c r="B3493" s="22"/>
      <c r="C3493" s="23" t="str">
        <f aca="false">IF(A3493="","",IFERROR(buscarx(A3493&amp;B3493,DATA!$E$3:$E$10000&amp;DATA!$B$3:$B$10000,DATA!$M$3:$M$10000),"No encontrado"))</f>
        <v/>
      </c>
      <c r="D3493" s="24" t="str">
        <f aca="false">IF(A3493="","",IFERROR(buscarx(A3493&amp;B3493,DATA!$E$3:$E$10000&amp;DATA!$B$3:$B$10000,DATA!$W$3:$W$10000),"No encontrado"))</f>
        <v/>
      </c>
      <c r="E3493" s="22"/>
      <c r="F3493" s="23" t="str">
        <f aca="false">IF(A3493="","",IFERROR(buscarx(A3493&amp;E3493,DATA!$E$3:$E$10000&amp;DATA!$B$3:$B$10000,DATA!$M$3:$M$10000),"Inactivo"))</f>
        <v/>
      </c>
      <c r="G3493" s="25" t="str">
        <f aca="false">IF(A3493="","",IF(AND(C3493&lt;&gt;"No encontrado",F3493&lt;&gt;"Inactivo"),C3493&amp;" → "&amp;F3493,"Sin transición"))</f>
        <v/>
      </c>
      <c r="H3493" s="23" t="str">
        <f aca="false">IF(A3493="","",IF(D3493="GCIA LINEA SERVICIO DIGITALIDAD Y VENTAS","Chats",IF(OR(D3493="GERENCIA INBOUND LÍNEAS SERVICIO Y VENTA",D3493="GERENCIA INBOUND LINEAS ESPECIALIZADAS"),"Llamadas","Otro")))</f>
        <v/>
      </c>
      <c r="I3493" s="23" t="str">
        <f aca="false">IF(A3493="","",IF(C3493="No encontrado","No","Sí"))</f>
        <v/>
      </c>
      <c r="J3493" s="23" t="str">
        <f aca="false">IF(A3493="","",IF(F3493="Inactivo","No","Sí"))</f>
        <v/>
      </c>
      <c r="K3493" s="23" t="str">
        <f aca="false">IF(A3493="","",IF(AND(I3493="Sí",J3493="Sí"),"Sí","No"))</f>
        <v/>
      </c>
    </row>
    <row r="3494" customFormat="false" ht="15" hidden="false" customHeight="false" outlineLevel="0" collapsed="false">
      <c r="A3494" s="22"/>
      <c r="B3494" s="22"/>
      <c r="C3494" s="26" t="str">
        <f aca="false">IF(A3494="","",IFERROR(buscarx(A3494&amp;B3494,DATA!$E$3:$E$10000&amp;DATA!$B$3:$B$10000,DATA!$M$3:$M$10000),"No encontrado"))</f>
        <v/>
      </c>
      <c r="D3494" s="27" t="str">
        <f aca="false">IF(A3494="","",IFERROR(buscarx(A3494&amp;B3494,DATA!$E$3:$E$10000&amp;DATA!$B$3:$B$10000,DATA!$W$3:$W$10000),"No encontrado"))</f>
        <v/>
      </c>
      <c r="E3494" s="22"/>
      <c r="F3494" s="26" t="str">
        <f aca="false">IF(A3494="","",IFERROR(buscarx(A3494&amp;E3494,DATA!$E$3:$E$10000&amp;DATA!$B$3:$B$10000,DATA!$M$3:$M$10000),"Inactivo"))</f>
        <v/>
      </c>
      <c r="G3494" s="28" t="str">
        <f aca="false">IF(A3494="","",IF(AND(C3494&lt;&gt;"No encontrado",F3494&lt;&gt;"Inactivo"),C3494&amp;" → "&amp;F3494,"Sin transición"))</f>
        <v/>
      </c>
      <c r="H3494" s="26" t="str">
        <f aca="false">IF(A3494="","",IF(D3494="GCIA LINEA SERVICIO DIGITALIDAD Y VENTAS","Chats",IF(OR(D3494="GERENCIA INBOUND LÍNEAS SERVICIO Y VENTA",D3494="GERENCIA INBOUND LINEAS ESPECIALIZADAS"),"Llamadas","Otro")))</f>
        <v/>
      </c>
      <c r="I3494" s="26" t="str">
        <f aca="false">IF(A3494="","",IF(C3494="No encontrado","No","Sí"))</f>
        <v/>
      </c>
      <c r="J3494" s="26" t="str">
        <f aca="false">IF(A3494="","",IF(F3494="Inactivo","No","Sí"))</f>
        <v/>
      </c>
      <c r="K3494" s="26" t="str">
        <f aca="false">IF(A3494="","",IF(AND(I3494="Sí",J3494="Sí"),"Sí","No"))</f>
        <v/>
      </c>
    </row>
    <row r="3495" customFormat="false" ht="15" hidden="false" customHeight="false" outlineLevel="0" collapsed="false">
      <c r="A3495" s="22"/>
      <c r="B3495" s="22"/>
      <c r="C3495" s="23" t="str">
        <f aca="false">IF(A3495="","",IFERROR(buscarx(A3495&amp;B3495,DATA!$E$3:$E$10000&amp;DATA!$B$3:$B$10000,DATA!$M$3:$M$10000),"No encontrado"))</f>
        <v/>
      </c>
      <c r="D3495" s="24" t="str">
        <f aca="false">IF(A3495="","",IFERROR(buscarx(A3495&amp;B3495,DATA!$E$3:$E$10000&amp;DATA!$B$3:$B$10000,DATA!$W$3:$W$10000),"No encontrado"))</f>
        <v/>
      </c>
      <c r="E3495" s="22"/>
      <c r="F3495" s="23" t="str">
        <f aca="false">IF(A3495="","",IFERROR(buscarx(A3495&amp;E3495,DATA!$E$3:$E$10000&amp;DATA!$B$3:$B$10000,DATA!$M$3:$M$10000),"Inactivo"))</f>
        <v/>
      </c>
      <c r="G3495" s="25" t="str">
        <f aca="false">IF(A3495="","",IF(AND(C3495&lt;&gt;"No encontrado",F3495&lt;&gt;"Inactivo"),C3495&amp;" → "&amp;F3495,"Sin transición"))</f>
        <v/>
      </c>
      <c r="H3495" s="23" t="str">
        <f aca="false">IF(A3495="","",IF(D3495="GCIA LINEA SERVICIO DIGITALIDAD Y VENTAS","Chats",IF(OR(D3495="GERENCIA INBOUND LÍNEAS SERVICIO Y VENTA",D3495="GERENCIA INBOUND LINEAS ESPECIALIZADAS"),"Llamadas","Otro")))</f>
        <v/>
      </c>
      <c r="I3495" s="23" t="str">
        <f aca="false">IF(A3495="","",IF(C3495="No encontrado","No","Sí"))</f>
        <v/>
      </c>
      <c r="J3495" s="23" t="str">
        <f aca="false">IF(A3495="","",IF(F3495="Inactivo","No","Sí"))</f>
        <v/>
      </c>
      <c r="K3495" s="23" t="str">
        <f aca="false">IF(A3495="","",IF(AND(I3495="Sí",J3495="Sí"),"Sí","No"))</f>
        <v/>
      </c>
    </row>
    <row r="3496" customFormat="false" ht="15" hidden="false" customHeight="false" outlineLevel="0" collapsed="false">
      <c r="A3496" s="22"/>
      <c r="B3496" s="22"/>
      <c r="C3496" s="26" t="str">
        <f aca="false">IF(A3496="","",IFERROR(buscarx(A3496&amp;B3496,DATA!$E$3:$E$10000&amp;DATA!$B$3:$B$10000,DATA!$M$3:$M$10000),"No encontrado"))</f>
        <v/>
      </c>
      <c r="D3496" s="27" t="str">
        <f aca="false">IF(A3496="","",IFERROR(buscarx(A3496&amp;B3496,DATA!$E$3:$E$10000&amp;DATA!$B$3:$B$10000,DATA!$W$3:$W$10000),"No encontrado"))</f>
        <v/>
      </c>
      <c r="E3496" s="22"/>
      <c r="F3496" s="26" t="str">
        <f aca="false">IF(A3496="","",IFERROR(buscarx(A3496&amp;E3496,DATA!$E$3:$E$10000&amp;DATA!$B$3:$B$10000,DATA!$M$3:$M$10000),"Inactivo"))</f>
        <v/>
      </c>
      <c r="G3496" s="28" t="str">
        <f aca="false">IF(A3496="","",IF(AND(C3496&lt;&gt;"No encontrado",F3496&lt;&gt;"Inactivo"),C3496&amp;" → "&amp;F3496,"Sin transición"))</f>
        <v/>
      </c>
      <c r="H3496" s="26" t="str">
        <f aca="false">IF(A3496="","",IF(D3496="GCIA LINEA SERVICIO DIGITALIDAD Y VENTAS","Chats",IF(OR(D3496="GERENCIA INBOUND LÍNEAS SERVICIO Y VENTA",D3496="GERENCIA INBOUND LINEAS ESPECIALIZADAS"),"Llamadas","Otro")))</f>
        <v/>
      </c>
      <c r="I3496" s="26" t="str">
        <f aca="false">IF(A3496="","",IF(C3496="No encontrado","No","Sí"))</f>
        <v/>
      </c>
      <c r="J3496" s="26" t="str">
        <f aca="false">IF(A3496="","",IF(F3496="Inactivo","No","Sí"))</f>
        <v/>
      </c>
      <c r="K3496" s="26" t="str">
        <f aca="false">IF(A3496="","",IF(AND(I3496="Sí",J3496="Sí"),"Sí","No"))</f>
        <v/>
      </c>
    </row>
    <row r="3497" customFormat="false" ht="15" hidden="false" customHeight="false" outlineLevel="0" collapsed="false">
      <c r="A3497" s="22"/>
      <c r="B3497" s="22"/>
      <c r="C3497" s="23" t="str">
        <f aca="false">IF(A3497="","",IFERROR(buscarx(A3497&amp;B3497,DATA!$E$3:$E$10000&amp;DATA!$B$3:$B$10000,DATA!$M$3:$M$10000),"No encontrado"))</f>
        <v/>
      </c>
      <c r="D3497" s="24" t="str">
        <f aca="false">IF(A3497="","",IFERROR(buscarx(A3497&amp;B3497,DATA!$E$3:$E$10000&amp;DATA!$B$3:$B$10000,DATA!$W$3:$W$10000),"No encontrado"))</f>
        <v/>
      </c>
      <c r="E3497" s="22"/>
      <c r="F3497" s="23" t="str">
        <f aca="false">IF(A3497="","",IFERROR(buscarx(A3497&amp;E3497,DATA!$E$3:$E$10000&amp;DATA!$B$3:$B$10000,DATA!$M$3:$M$10000),"Inactivo"))</f>
        <v/>
      </c>
      <c r="G3497" s="25" t="str">
        <f aca="false">IF(A3497="","",IF(AND(C3497&lt;&gt;"No encontrado",F3497&lt;&gt;"Inactivo"),C3497&amp;" → "&amp;F3497,"Sin transición"))</f>
        <v/>
      </c>
      <c r="H3497" s="23" t="str">
        <f aca="false">IF(A3497="","",IF(D3497="GCIA LINEA SERVICIO DIGITALIDAD Y VENTAS","Chats",IF(OR(D3497="GERENCIA INBOUND LÍNEAS SERVICIO Y VENTA",D3497="GERENCIA INBOUND LINEAS ESPECIALIZADAS"),"Llamadas","Otro")))</f>
        <v/>
      </c>
      <c r="I3497" s="23" t="str">
        <f aca="false">IF(A3497="","",IF(C3497="No encontrado","No","Sí"))</f>
        <v/>
      </c>
      <c r="J3497" s="23" t="str">
        <f aca="false">IF(A3497="","",IF(F3497="Inactivo","No","Sí"))</f>
        <v/>
      </c>
      <c r="K3497" s="23" t="str">
        <f aca="false">IF(A3497="","",IF(AND(I3497="Sí",J3497="Sí"),"Sí","No"))</f>
        <v/>
      </c>
    </row>
    <row r="3498" customFormat="false" ht="15" hidden="false" customHeight="false" outlineLevel="0" collapsed="false">
      <c r="A3498" s="22"/>
      <c r="B3498" s="22"/>
      <c r="C3498" s="26" t="str">
        <f aca="false">IF(A3498="","",IFERROR(buscarx(A3498&amp;B3498,DATA!$E$3:$E$10000&amp;DATA!$B$3:$B$10000,DATA!$M$3:$M$10000),"No encontrado"))</f>
        <v/>
      </c>
      <c r="D3498" s="27" t="str">
        <f aca="false">IF(A3498="","",IFERROR(buscarx(A3498&amp;B3498,DATA!$E$3:$E$10000&amp;DATA!$B$3:$B$10000,DATA!$W$3:$W$10000),"No encontrado"))</f>
        <v/>
      </c>
      <c r="E3498" s="22"/>
      <c r="F3498" s="26" t="str">
        <f aca="false">IF(A3498="","",IFERROR(buscarx(A3498&amp;E3498,DATA!$E$3:$E$10000&amp;DATA!$B$3:$B$10000,DATA!$M$3:$M$10000),"Inactivo"))</f>
        <v/>
      </c>
      <c r="G3498" s="28" t="str">
        <f aca="false">IF(A3498="","",IF(AND(C3498&lt;&gt;"No encontrado",F3498&lt;&gt;"Inactivo"),C3498&amp;" → "&amp;F3498,"Sin transición"))</f>
        <v/>
      </c>
      <c r="H3498" s="26" t="str">
        <f aca="false">IF(A3498="","",IF(D3498="GCIA LINEA SERVICIO DIGITALIDAD Y VENTAS","Chats",IF(OR(D3498="GERENCIA INBOUND LÍNEAS SERVICIO Y VENTA",D3498="GERENCIA INBOUND LINEAS ESPECIALIZADAS"),"Llamadas","Otro")))</f>
        <v/>
      </c>
      <c r="I3498" s="26" t="str">
        <f aca="false">IF(A3498="","",IF(C3498="No encontrado","No","Sí"))</f>
        <v/>
      </c>
      <c r="J3498" s="26" t="str">
        <f aca="false">IF(A3498="","",IF(F3498="Inactivo","No","Sí"))</f>
        <v/>
      </c>
      <c r="K3498" s="26" t="str">
        <f aca="false">IF(A3498="","",IF(AND(I3498="Sí",J3498="Sí"),"Sí","No"))</f>
        <v/>
      </c>
    </row>
    <row r="3499" customFormat="false" ht="15" hidden="false" customHeight="false" outlineLevel="0" collapsed="false">
      <c r="A3499" s="22"/>
      <c r="B3499" s="22"/>
      <c r="C3499" s="23" t="str">
        <f aca="false">IF(A3499="","",IFERROR(buscarx(A3499&amp;B3499,DATA!$E$3:$E$10000&amp;DATA!$B$3:$B$10000,DATA!$M$3:$M$10000),"No encontrado"))</f>
        <v/>
      </c>
      <c r="D3499" s="24" t="str">
        <f aca="false">IF(A3499="","",IFERROR(buscarx(A3499&amp;B3499,DATA!$E$3:$E$10000&amp;DATA!$B$3:$B$10000,DATA!$W$3:$W$10000),"No encontrado"))</f>
        <v/>
      </c>
      <c r="E3499" s="22"/>
      <c r="F3499" s="23" t="str">
        <f aca="false">IF(A3499="","",IFERROR(buscarx(A3499&amp;E3499,DATA!$E$3:$E$10000&amp;DATA!$B$3:$B$10000,DATA!$M$3:$M$10000),"Inactivo"))</f>
        <v/>
      </c>
      <c r="G3499" s="25" t="str">
        <f aca="false">IF(A3499="","",IF(AND(C3499&lt;&gt;"No encontrado",F3499&lt;&gt;"Inactivo"),C3499&amp;" → "&amp;F3499,"Sin transición"))</f>
        <v/>
      </c>
      <c r="H3499" s="23" t="str">
        <f aca="false">IF(A3499="","",IF(D3499="GCIA LINEA SERVICIO DIGITALIDAD Y VENTAS","Chats",IF(OR(D3499="GERENCIA INBOUND LÍNEAS SERVICIO Y VENTA",D3499="GERENCIA INBOUND LINEAS ESPECIALIZADAS"),"Llamadas","Otro")))</f>
        <v/>
      </c>
      <c r="I3499" s="23" t="str">
        <f aca="false">IF(A3499="","",IF(C3499="No encontrado","No","Sí"))</f>
        <v/>
      </c>
      <c r="J3499" s="23" t="str">
        <f aca="false">IF(A3499="","",IF(F3499="Inactivo","No","Sí"))</f>
        <v/>
      </c>
      <c r="K3499" s="23" t="str">
        <f aca="false">IF(A3499="","",IF(AND(I3499="Sí",J3499="Sí"),"Sí","No"))</f>
        <v/>
      </c>
    </row>
    <row r="3500" customFormat="false" ht="15" hidden="false" customHeight="false" outlineLevel="0" collapsed="false">
      <c r="A3500" s="22"/>
      <c r="B3500" s="22"/>
      <c r="C3500" s="26" t="str">
        <f aca="false">IF(A3500="","",IFERROR(buscarx(A3500&amp;B3500,DATA!$E$3:$E$10000&amp;DATA!$B$3:$B$10000,DATA!$M$3:$M$10000),"No encontrado"))</f>
        <v/>
      </c>
      <c r="D3500" s="27" t="str">
        <f aca="false">IF(A3500="","",IFERROR(buscarx(A3500&amp;B3500,DATA!$E$3:$E$10000&amp;DATA!$B$3:$B$10000,DATA!$W$3:$W$10000),"No encontrado"))</f>
        <v/>
      </c>
      <c r="E3500" s="22"/>
      <c r="F3500" s="26" t="str">
        <f aca="false">IF(A3500="","",IFERROR(buscarx(A3500&amp;E3500,DATA!$E$3:$E$10000&amp;DATA!$B$3:$B$10000,DATA!$M$3:$M$10000),"Inactivo"))</f>
        <v/>
      </c>
      <c r="G3500" s="28" t="str">
        <f aca="false">IF(A3500="","",IF(AND(C3500&lt;&gt;"No encontrado",F3500&lt;&gt;"Inactivo"),C3500&amp;" → "&amp;F3500,"Sin transición"))</f>
        <v/>
      </c>
      <c r="H3500" s="26" t="str">
        <f aca="false">IF(A3500="","",IF(D3500="GCIA LINEA SERVICIO DIGITALIDAD Y VENTAS","Chats",IF(OR(D3500="GERENCIA INBOUND LÍNEAS SERVICIO Y VENTA",D3500="GERENCIA INBOUND LINEAS ESPECIALIZADAS"),"Llamadas","Otro")))</f>
        <v/>
      </c>
      <c r="I3500" s="26" t="str">
        <f aca="false">IF(A3500="","",IF(C3500="No encontrado","No","Sí"))</f>
        <v/>
      </c>
      <c r="J3500" s="26" t="str">
        <f aca="false">IF(A3500="","",IF(F3500="Inactivo","No","Sí"))</f>
        <v/>
      </c>
      <c r="K3500" s="26" t="str">
        <f aca="false">IF(A3500="","",IF(AND(I3500="Sí",J3500="Sí"),"Sí","No"))</f>
        <v/>
      </c>
    </row>
    <row r="3501" customFormat="false" ht="15" hidden="false" customHeight="false" outlineLevel="0" collapsed="false">
      <c r="A3501" s="22"/>
      <c r="B3501" s="22"/>
      <c r="C3501" s="23" t="str">
        <f aca="false">IF(A3501="","",IFERROR(buscarx(A3501&amp;B3501,DATA!$E$3:$E$10000&amp;DATA!$B$3:$B$10000,DATA!$M$3:$M$10000),"No encontrado"))</f>
        <v/>
      </c>
      <c r="D3501" s="24" t="str">
        <f aca="false">IF(A3501="","",IFERROR(buscarx(A3501&amp;B3501,DATA!$E$3:$E$10000&amp;DATA!$B$3:$B$10000,DATA!$W$3:$W$10000),"No encontrado"))</f>
        <v/>
      </c>
      <c r="E3501" s="22"/>
      <c r="F3501" s="23" t="str">
        <f aca="false">IF(A3501="","",IFERROR(buscarx(A3501&amp;E3501,DATA!$E$3:$E$10000&amp;DATA!$B$3:$B$10000,DATA!$M$3:$M$10000),"Inactivo"))</f>
        <v/>
      </c>
      <c r="G3501" s="25" t="str">
        <f aca="false">IF(A3501="","",IF(AND(C3501&lt;&gt;"No encontrado",F3501&lt;&gt;"Inactivo"),C3501&amp;" → "&amp;F3501,"Sin transición"))</f>
        <v/>
      </c>
      <c r="H3501" s="23" t="str">
        <f aca="false">IF(A3501="","",IF(D3501="GCIA LINEA SERVICIO DIGITALIDAD Y VENTAS","Chats",IF(OR(D3501="GERENCIA INBOUND LÍNEAS SERVICIO Y VENTA",D3501="GERENCIA INBOUND LINEAS ESPECIALIZADAS"),"Llamadas","Otro")))</f>
        <v/>
      </c>
      <c r="I3501" s="23" t="str">
        <f aca="false">IF(A3501="","",IF(C3501="No encontrado","No","Sí"))</f>
        <v/>
      </c>
      <c r="J3501" s="23" t="str">
        <f aca="false">IF(A3501="","",IF(F3501="Inactivo","No","Sí"))</f>
        <v/>
      </c>
      <c r="K3501" s="23" t="str">
        <f aca="false">IF(A3501="","",IF(AND(I3501="Sí",J3501="Sí"),"Sí","No"))</f>
        <v/>
      </c>
    </row>
    <row r="3502" customFormat="false" ht="15" hidden="false" customHeight="false" outlineLevel="0" collapsed="false">
      <c r="A3502" s="22"/>
      <c r="B3502" s="22"/>
      <c r="C3502" s="26" t="str">
        <f aca="false">IF(A3502="","",IFERROR(buscarx(A3502&amp;B3502,DATA!$E$3:$E$10000&amp;DATA!$B$3:$B$10000,DATA!$M$3:$M$10000),"No encontrado"))</f>
        <v/>
      </c>
      <c r="D3502" s="27" t="str">
        <f aca="false">IF(A3502="","",IFERROR(buscarx(A3502&amp;B3502,DATA!$E$3:$E$10000&amp;DATA!$B$3:$B$10000,DATA!$W$3:$W$10000),"No encontrado"))</f>
        <v/>
      </c>
      <c r="E3502" s="22"/>
      <c r="F3502" s="26" t="str">
        <f aca="false">IF(A3502="","",IFERROR(buscarx(A3502&amp;E3502,DATA!$E$3:$E$10000&amp;DATA!$B$3:$B$10000,DATA!$M$3:$M$10000),"Inactivo"))</f>
        <v/>
      </c>
      <c r="G3502" s="28" t="str">
        <f aca="false">IF(A3502="","",IF(AND(C3502&lt;&gt;"No encontrado",F3502&lt;&gt;"Inactivo"),C3502&amp;" → "&amp;F3502,"Sin transición"))</f>
        <v/>
      </c>
      <c r="H3502" s="26" t="str">
        <f aca="false">IF(A3502="","",IF(D3502="GCIA LINEA SERVICIO DIGITALIDAD Y VENTAS","Chats",IF(OR(D3502="GERENCIA INBOUND LÍNEAS SERVICIO Y VENTA",D3502="GERENCIA INBOUND LINEAS ESPECIALIZADAS"),"Llamadas","Otro")))</f>
        <v/>
      </c>
      <c r="I3502" s="26" t="str">
        <f aca="false">IF(A3502="","",IF(C3502="No encontrado","No","Sí"))</f>
        <v/>
      </c>
      <c r="J3502" s="26" t="str">
        <f aca="false">IF(A3502="","",IF(F3502="Inactivo","No","Sí"))</f>
        <v/>
      </c>
      <c r="K3502" s="26" t="str">
        <f aca="false">IF(A3502="","",IF(AND(I3502="Sí",J3502="Sí"),"Sí","No"))</f>
        <v/>
      </c>
    </row>
    <row r="3503" customFormat="false" ht="15" hidden="false" customHeight="false" outlineLevel="0" collapsed="false">
      <c r="A3503" s="22"/>
      <c r="B3503" s="22"/>
      <c r="C3503" s="23" t="str">
        <f aca="false">IF(A3503="","",IFERROR(buscarx(A3503&amp;B3503,DATA!$E$3:$E$10000&amp;DATA!$B$3:$B$10000,DATA!$M$3:$M$10000),"No encontrado"))</f>
        <v/>
      </c>
      <c r="D3503" s="24" t="str">
        <f aca="false">IF(A3503="","",IFERROR(buscarx(A3503&amp;B3503,DATA!$E$3:$E$10000&amp;DATA!$B$3:$B$10000,DATA!$W$3:$W$10000),"No encontrado"))</f>
        <v/>
      </c>
      <c r="E3503" s="22"/>
      <c r="F3503" s="23" t="str">
        <f aca="false">IF(A3503="","",IFERROR(buscarx(A3503&amp;E3503,DATA!$E$3:$E$10000&amp;DATA!$B$3:$B$10000,DATA!$M$3:$M$10000),"Inactivo"))</f>
        <v/>
      </c>
      <c r="G3503" s="25" t="str">
        <f aca="false">IF(A3503="","",IF(AND(C3503&lt;&gt;"No encontrado",F3503&lt;&gt;"Inactivo"),C3503&amp;" → "&amp;F3503,"Sin transición"))</f>
        <v/>
      </c>
      <c r="H3503" s="23" t="str">
        <f aca="false">IF(A3503="","",IF(D3503="GCIA LINEA SERVICIO DIGITALIDAD Y VENTAS","Chats",IF(OR(D3503="GERENCIA INBOUND LÍNEAS SERVICIO Y VENTA",D3503="GERENCIA INBOUND LINEAS ESPECIALIZADAS"),"Llamadas","Otro")))</f>
        <v/>
      </c>
      <c r="I3503" s="23" t="str">
        <f aca="false">IF(A3503="","",IF(C3503="No encontrado","No","Sí"))</f>
        <v/>
      </c>
      <c r="J3503" s="23" t="str">
        <f aca="false">IF(A3503="","",IF(F3503="Inactivo","No","Sí"))</f>
        <v/>
      </c>
      <c r="K3503" s="23" t="str">
        <f aca="false">IF(A3503="","",IF(AND(I3503="Sí",J3503="Sí"),"Sí","No"))</f>
        <v/>
      </c>
    </row>
    <row r="3504" customFormat="false" ht="15" hidden="false" customHeight="false" outlineLevel="0" collapsed="false">
      <c r="A3504" s="22"/>
      <c r="B3504" s="22"/>
      <c r="C3504" s="26" t="str">
        <f aca="false">IF(A3504="","",IFERROR(buscarx(A3504&amp;B3504,DATA!$E$3:$E$10000&amp;DATA!$B$3:$B$10000,DATA!$M$3:$M$10000),"No encontrado"))</f>
        <v/>
      </c>
      <c r="D3504" s="27" t="str">
        <f aca="false">IF(A3504="","",IFERROR(buscarx(A3504&amp;B3504,DATA!$E$3:$E$10000&amp;DATA!$B$3:$B$10000,DATA!$W$3:$W$10000),"No encontrado"))</f>
        <v/>
      </c>
      <c r="E3504" s="22"/>
      <c r="F3504" s="26" t="str">
        <f aca="false">IF(A3504="","",IFERROR(buscarx(A3504&amp;E3504,DATA!$E$3:$E$10000&amp;DATA!$B$3:$B$10000,DATA!$M$3:$M$10000),"Inactivo"))</f>
        <v/>
      </c>
      <c r="G3504" s="28" t="str">
        <f aca="false">IF(A3504="","",IF(AND(C3504&lt;&gt;"No encontrado",F3504&lt;&gt;"Inactivo"),C3504&amp;" → "&amp;F3504,"Sin transición"))</f>
        <v/>
      </c>
      <c r="H3504" s="26" t="str">
        <f aca="false">IF(A3504="","",IF(D3504="GCIA LINEA SERVICIO DIGITALIDAD Y VENTAS","Chats",IF(OR(D3504="GERENCIA INBOUND LÍNEAS SERVICIO Y VENTA",D3504="GERENCIA INBOUND LINEAS ESPECIALIZADAS"),"Llamadas","Otro")))</f>
        <v/>
      </c>
      <c r="I3504" s="26" t="str">
        <f aca="false">IF(A3504="","",IF(C3504="No encontrado","No","Sí"))</f>
        <v/>
      </c>
      <c r="J3504" s="26" t="str">
        <f aca="false">IF(A3504="","",IF(F3504="Inactivo","No","Sí"))</f>
        <v/>
      </c>
      <c r="K3504" s="26" t="str">
        <f aca="false">IF(A3504="","",IF(AND(I3504="Sí",J3504="Sí"),"Sí","No"))</f>
        <v/>
      </c>
    </row>
    <row r="3505" customFormat="false" ht="15" hidden="false" customHeight="false" outlineLevel="0" collapsed="false">
      <c r="A3505" s="22"/>
      <c r="B3505" s="22"/>
      <c r="C3505" s="23" t="str">
        <f aca="false">IF(A3505="","",IFERROR(buscarx(A3505&amp;B3505,DATA!$E$3:$E$10000&amp;DATA!$B$3:$B$10000,DATA!$M$3:$M$10000),"No encontrado"))</f>
        <v/>
      </c>
      <c r="D3505" s="24" t="str">
        <f aca="false">IF(A3505="","",IFERROR(buscarx(A3505&amp;B3505,DATA!$E$3:$E$10000&amp;DATA!$B$3:$B$10000,DATA!$W$3:$W$10000),"No encontrado"))</f>
        <v/>
      </c>
      <c r="E3505" s="22"/>
      <c r="F3505" s="23" t="str">
        <f aca="false">IF(A3505="","",IFERROR(buscarx(A3505&amp;E3505,DATA!$E$3:$E$10000&amp;DATA!$B$3:$B$10000,DATA!$M$3:$M$10000),"Inactivo"))</f>
        <v/>
      </c>
      <c r="G3505" s="25" t="str">
        <f aca="false">IF(A3505="","",IF(AND(C3505&lt;&gt;"No encontrado",F3505&lt;&gt;"Inactivo"),C3505&amp;" → "&amp;F3505,"Sin transición"))</f>
        <v/>
      </c>
      <c r="H3505" s="23" t="str">
        <f aca="false">IF(A3505="","",IF(D3505="GCIA LINEA SERVICIO DIGITALIDAD Y VENTAS","Chats",IF(OR(D3505="GERENCIA INBOUND LÍNEAS SERVICIO Y VENTA",D3505="GERENCIA INBOUND LINEAS ESPECIALIZADAS"),"Llamadas","Otro")))</f>
        <v/>
      </c>
      <c r="I3505" s="23" t="str">
        <f aca="false">IF(A3505="","",IF(C3505="No encontrado","No","Sí"))</f>
        <v/>
      </c>
      <c r="J3505" s="23" t="str">
        <f aca="false">IF(A3505="","",IF(F3505="Inactivo","No","Sí"))</f>
        <v/>
      </c>
      <c r="K3505" s="23" t="str">
        <f aca="false">IF(A3505="","",IF(AND(I3505="Sí",J3505="Sí"),"Sí","No"))</f>
        <v/>
      </c>
    </row>
    <row r="3506" customFormat="false" ht="15" hidden="false" customHeight="false" outlineLevel="0" collapsed="false">
      <c r="A3506" s="22"/>
      <c r="B3506" s="22"/>
      <c r="C3506" s="26" t="str">
        <f aca="false">IF(A3506="","",IFERROR(buscarx(A3506&amp;B3506,DATA!$E$3:$E$10000&amp;DATA!$B$3:$B$10000,DATA!$M$3:$M$10000),"No encontrado"))</f>
        <v/>
      </c>
      <c r="D3506" s="27" t="str">
        <f aca="false">IF(A3506="","",IFERROR(buscarx(A3506&amp;B3506,DATA!$E$3:$E$10000&amp;DATA!$B$3:$B$10000,DATA!$W$3:$W$10000),"No encontrado"))</f>
        <v/>
      </c>
      <c r="E3506" s="22"/>
      <c r="F3506" s="26" t="str">
        <f aca="false">IF(A3506="","",IFERROR(buscarx(A3506&amp;E3506,DATA!$E$3:$E$10000&amp;DATA!$B$3:$B$10000,DATA!$M$3:$M$10000),"Inactivo"))</f>
        <v/>
      </c>
      <c r="G3506" s="28" t="str">
        <f aca="false">IF(A3506="","",IF(AND(C3506&lt;&gt;"No encontrado",F3506&lt;&gt;"Inactivo"),C3506&amp;" → "&amp;F3506,"Sin transición"))</f>
        <v/>
      </c>
      <c r="H3506" s="26" t="str">
        <f aca="false">IF(A3506="","",IF(D3506="GCIA LINEA SERVICIO DIGITALIDAD Y VENTAS","Chats",IF(OR(D3506="GERENCIA INBOUND LÍNEAS SERVICIO Y VENTA",D3506="GERENCIA INBOUND LINEAS ESPECIALIZADAS"),"Llamadas","Otro")))</f>
        <v/>
      </c>
      <c r="I3506" s="26" t="str">
        <f aca="false">IF(A3506="","",IF(C3506="No encontrado","No","Sí"))</f>
        <v/>
      </c>
      <c r="J3506" s="26" t="str">
        <f aca="false">IF(A3506="","",IF(F3506="Inactivo","No","Sí"))</f>
        <v/>
      </c>
      <c r="K3506" s="26" t="str">
        <f aca="false">IF(A3506="","",IF(AND(I3506="Sí",J3506="Sí"),"Sí","No"))</f>
        <v/>
      </c>
    </row>
    <row r="3507" customFormat="false" ht="15" hidden="false" customHeight="false" outlineLevel="0" collapsed="false">
      <c r="A3507" s="22"/>
      <c r="B3507" s="22"/>
      <c r="C3507" s="23" t="str">
        <f aca="false">IF(A3507="","",IFERROR(buscarx(A3507&amp;B3507,DATA!$E$3:$E$10000&amp;DATA!$B$3:$B$10000,DATA!$M$3:$M$10000),"No encontrado"))</f>
        <v/>
      </c>
      <c r="D3507" s="24" t="str">
        <f aca="false">IF(A3507="","",IFERROR(buscarx(A3507&amp;B3507,DATA!$E$3:$E$10000&amp;DATA!$B$3:$B$10000,DATA!$W$3:$W$10000),"No encontrado"))</f>
        <v/>
      </c>
      <c r="E3507" s="22"/>
      <c r="F3507" s="23" t="str">
        <f aca="false">IF(A3507="","",IFERROR(buscarx(A3507&amp;E3507,DATA!$E$3:$E$10000&amp;DATA!$B$3:$B$10000,DATA!$M$3:$M$10000),"Inactivo"))</f>
        <v/>
      </c>
      <c r="G3507" s="25" t="str">
        <f aca="false">IF(A3507="","",IF(AND(C3507&lt;&gt;"No encontrado",F3507&lt;&gt;"Inactivo"),C3507&amp;" → "&amp;F3507,"Sin transición"))</f>
        <v/>
      </c>
      <c r="H3507" s="23" t="str">
        <f aca="false">IF(A3507="","",IF(D3507="GCIA LINEA SERVICIO DIGITALIDAD Y VENTAS","Chats",IF(OR(D3507="GERENCIA INBOUND LÍNEAS SERVICIO Y VENTA",D3507="GERENCIA INBOUND LINEAS ESPECIALIZADAS"),"Llamadas","Otro")))</f>
        <v/>
      </c>
      <c r="I3507" s="23" t="str">
        <f aca="false">IF(A3507="","",IF(C3507="No encontrado","No","Sí"))</f>
        <v/>
      </c>
      <c r="J3507" s="23" t="str">
        <f aca="false">IF(A3507="","",IF(F3507="Inactivo","No","Sí"))</f>
        <v/>
      </c>
      <c r="K3507" s="23" t="str">
        <f aca="false">IF(A3507="","",IF(AND(I3507="Sí",J3507="Sí"),"Sí","No"))</f>
        <v/>
      </c>
    </row>
    <row r="3508" customFormat="false" ht="15" hidden="false" customHeight="false" outlineLevel="0" collapsed="false">
      <c r="A3508" s="22"/>
      <c r="B3508" s="22"/>
      <c r="C3508" s="26" t="str">
        <f aca="false">IF(A3508="","",IFERROR(buscarx(A3508&amp;B3508,DATA!$E$3:$E$10000&amp;DATA!$B$3:$B$10000,DATA!$M$3:$M$10000),"No encontrado"))</f>
        <v/>
      </c>
      <c r="D3508" s="27" t="str">
        <f aca="false">IF(A3508="","",IFERROR(buscarx(A3508&amp;B3508,DATA!$E$3:$E$10000&amp;DATA!$B$3:$B$10000,DATA!$W$3:$W$10000),"No encontrado"))</f>
        <v/>
      </c>
      <c r="E3508" s="22"/>
      <c r="F3508" s="26" t="str">
        <f aca="false">IF(A3508="","",IFERROR(buscarx(A3508&amp;E3508,DATA!$E$3:$E$10000&amp;DATA!$B$3:$B$10000,DATA!$M$3:$M$10000),"Inactivo"))</f>
        <v/>
      </c>
      <c r="G3508" s="28" t="str">
        <f aca="false">IF(A3508="","",IF(AND(C3508&lt;&gt;"No encontrado",F3508&lt;&gt;"Inactivo"),C3508&amp;" → "&amp;F3508,"Sin transición"))</f>
        <v/>
      </c>
      <c r="H3508" s="26" t="str">
        <f aca="false">IF(A3508="","",IF(D3508="GCIA LINEA SERVICIO DIGITALIDAD Y VENTAS","Chats",IF(OR(D3508="GERENCIA INBOUND LÍNEAS SERVICIO Y VENTA",D3508="GERENCIA INBOUND LINEAS ESPECIALIZADAS"),"Llamadas","Otro")))</f>
        <v/>
      </c>
      <c r="I3508" s="26" t="str">
        <f aca="false">IF(A3508="","",IF(C3508="No encontrado","No","Sí"))</f>
        <v/>
      </c>
      <c r="J3508" s="26" t="str">
        <f aca="false">IF(A3508="","",IF(F3508="Inactivo","No","Sí"))</f>
        <v/>
      </c>
      <c r="K3508" s="26" t="str">
        <f aca="false">IF(A3508="","",IF(AND(I3508="Sí",J3508="Sí"),"Sí","No"))</f>
        <v/>
      </c>
    </row>
    <row r="3509" customFormat="false" ht="15" hidden="false" customHeight="false" outlineLevel="0" collapsed="false">
      <c r="A3509" s="22"/>
      <c r="B3509" s="22"/>
      <c r="C3509" s="23" t="str">
        <f aca="false">IF(A3509="","",IFERROR(buscarx(A3509&amp;B3509,DATA!$E$3:$E$10000&amp;DATA!$B$3:$B$10000,DATA!$M$3:$M$10000),"No encontrado"))</f>
        <v/>
      </c>
      <c r="D3509" s="24" t="str">
        <f aca="false">IF(A3509="","",IFERROR(buscarx(A3509&amp;B3509,DATA!$E$3:$E$10000&amp;DATA!$B$3:$B$10000,DATA!$W$3:$W$10000),"No encontrado"))</f>
        <v/>
      </c>
      <c r="E3509" s="22"/>
      <c r="F3509" s="23" t="str">
        <f aca="false">IF(A3509="","",IFERROR(buscarx(A3509&amp;E3509,DATA!$E$3:$E$10000&amp;DATA!$B$3:$B$10000,DATA!$M$3:$M$10000),"Inactivo"))</f>
        <v/>
      </c>
      <c r="G3509" s="25" t="str">
        <f aca="false">IF(A3509="","",IF(AND(C3509&lt;&gt;"No encontrado",F3509&lt;&gt;"Inactivo"),C3509&amp;" → "&amp;F3509,"Sin transición"))</f>
        <v/>
      </c>
      <c r="H3509" s="23" t="str">
        <f aca="false">IF(A3509="","",IF(D3509="GCIA LINEA SERVICIO DIGITALIDAD Y VENTAS","Chats",IF(OR(D3509="GERENCIA INBOUND LÍNEAS SERVICIO Y VENTA",D3509="GERENCIA INBOUND LINEAS ESPECIALIZADAS"),"Llamadas","Otro")))</f>
        <v/>
      </c>
      <c r="I3509" s="23" t="str">
        <f aca="false">IF(A3509="","",IF(C3509="No encontrado","No","Sí"))</f>
        <v/>
      </c>
      <c r="J3509" s="23" t="str">
        <f aca="false">IF(A3509="","",IF(F3509="Inactivo","No","Sí"))</f>
        <v/>
      </c>
      <c r="K3509" s="23" t="str">
        <f aca="false">IF(A3509="","",IF(AND(I3509="Sí",J3509="Sí"),"Sí","No"))</f>
        <v/>
      </c>
    </row>
    <row r="3510" customFormat="false" ht="15" hidden="false" customHeight="false" outlineLevel="0" collapsed="false">
      <c r="A3510" s="22"/>
      <c r="B3510" s="22"/>
      <c r="C3510" s="26" t="str">
        <f aca="false">IF(A3510="","",IFERROR(buscarx(A3510&amp;B3510,DATA!$E$3:$E$10000&amp;DATA!$B$3:$B$10000,DATA!$M$3:$M$10000),"No encontrado"))</f>
        <v/>
      </c>
      <c r="D3510" s="27" t="str">
        <f aca="false">IF(A3510="","",IFERROR(buscarx(A3510&amp;B3510,DATA!$E$3:$E$10000&amp;DATA!$B$3:$B$10000,DATA!$W$3:$W$10000),"No encontrado"))</f>
        <v/>
      </c>
      <c r="E3510" s="22"/>
      <c r="F3510" s="26" t="str">
        <f aca="false">IF(A3510="","",IFERROR(buscarx(A3510&amp;E3510,DATA!$E$3:$E$10000&amp;DATA!$B$3:$B$10000,DATA!$M$3:$M$10000),"Inactivo"))</f>
        <v/>
      </c>
      <c r="G3510" s="28" t="str">
        <f aca="false">IF(A3510="","",IF(AND(C3510&lt;&gt;"No encontrado",F3510&lt;&gt;"Inactivo"),C3510&amp;" → "&amp;F3510,"Sin transición"))</f>
        <v/>
      </c>
      <c r="H3510" s="26" t="str">
        <f aca="false">IF(A3510="","",IF(D3510="GCIA LINEA SERVICIO DIGITALIDAD Y VENTAS","Chats",IF(OR(D3510="GERENCIA INBOUND LÍNEAS SERVICIO Y VENTA",D3510="GERENCIA INBOUND LINEAS ESPECIALIZADAS"),"Llamadas","Otro")))</f>
        <v/>
      </c>
      <c r="I3510" s="26" t="str">
        <f aca="false">IF(A3510="","",IF(C3510="No encontrado","No","Sí"))</f>
        <v/>
      </c>
      <c r="J3510" s="26" t="str">
        <f aca="false">IF(A3510="","",IF(F3510="Inactivo","No","Sí"))</f>
        <v/>
      </c>
      <c r="K3510" s="26" t="str">
        <f aca="false">IF(A3510="","",IF(AND(I3510="Sí",J3510="Sí"),"Sí","No"))</f>
        <v/>
      </c>
    </row>
    <row r="3511" customFormat="false" ht="15" hidden="false" customHeight="false" outlineLevel="0" collapsed="false">
      <c r="A3511" s="22"/>
      <c r="B3511" s="22"/>
      <c r="C3511" s="23" t="str">
        <f aca="false">IF(A3511="","",IFERROR(buscarx(A3511&amp;B3511,DATA!$E$3:$E$10000&amp;DATA!$B$3:$B$10000,DATA!$M$3:$M$10000),"No encontrado"))</f>
        <v/>
      </c>
      <c r="D3511" s="24" t="str">
        <f aca="false">IF(A3511="","",IFERROR(buscarx(A3511&amp;B3511,DATA!$E$3:$E$10000&amp;DATA!$B$3:$B$10000,DATA!$W$3:$W$10000),"No encontrado"))</f>
        <v/>
      </c>
      <c r="E3511" s="22"/>
      <c r="F3511" s="23" t="str">
        <f aca="false">IF(A3511="","",IFERROR(buscarx(A3511&amp;E3511,DATA!$E$3:$E$10000&amp;DATA!$B$3:$B$10000,DATA!$M$3:$M$10000),"Inactivo"))</f>
        <v/>
      </c>
      <c r="G3511" s="25" t="str">
        <f aca="false">IF(A3511="","",IF(AND(C3511&lt;&gt;"No encontrado",F3511&lt;&gt;"Inactivo"),C3511&amp;" → "&amp;F3511,"Sin transición"))</f>
        <v/>
      </c>
      <c r="H3511" s="23" t="str">
        <f aca="false">IF(A3511="","",IF(D3511="GCIA LINEA SERVICIO DIGITALIDAD Y VENTAS","Chats",IF(OR(D3511="GERENCIA INBOUND LÍNEAS SERVICIO Y VENTA",D3511="GERENCIA INBOUND LINEAS ESPECIALIZADAS"),"Llamadas","Otro")))</f>
        <v/>
      </c>
      <c r="I3511" s="23" t="str">
        <f aca="false">IF(A3511="","",IF(C3511="No encontrado","No","Sí"))</f>
        <v/>
      </c>
      <c r="J3511" s="23" t="str">
        <f aca="false">IF(A3511="","",IF(F3511="Inactivo","No","Sí"))</f>
        <v/>
      </c>
      <c r="K3511" s="23" t="str">
        <f aca="false">IF(A3511="","",IF(AND(I3511="Sí",J3511="Sí"),"Sí","No"))</f>
        <v/>
      </c>
    </row>
    <row r="3512" customFormat="false" ht="15" hidden="false" customHeight="false" outlineLevel="0" collapsed="false">
      <c r="A3512" s="22"/>
      <c r="B3512" s="22"/>
      <c r="C3512" s="26" t="str">
        <f aca="false">IF(A3512="","",IFERROR(buscarx(A3512&amp;B3512,DATA!$E$3:$E$10000&amp;DATA!$B$3:$B$10000,DATA!$M$3:$M$10000),"No encontrado"))</f>
        <v/>
      </c>
      <c r="D3512" s="27" t="str">
        <f aca="false">IF(A3512="","",IFERROR(buscarx(A3512&amp;B3512,DATA!$E$3:$E$10000&amp;DATA!$B$3:$B$10000,DATA!$W$3:$W$10000),"No encontrado"))</f>
        <v/>
      </c>
      <c r="E3512" s="22"/>
      <c r="F3512" s="26" t="str">
        <f aca="false">IF(A3512="","",IFERROR(buscarx(A3512&amp;E3512,DATA!$E$3:$E$10000&amp;DATA!$B$3:$B$10000,DATA!$M$3:$M$10000),"Inactivo"))</f>
        <v/>
      </c>
      <c r="G3512" s="28" t="str">
        <f aca="false">IF(A3512="","",IF(AND(C3512&lt;&gt;"No encontrado",F3512&lt;&gt;"Inactivo"),C3512&amp;" → "&amp;F3512,"Sin transición"))</f>
        <v/>
      </c>
      <c r="H3512" s="26" t="str">
        <f aca="false">IF(A3512="","",IF(D3512="GCIA LINEA SERVICIO DIGITALIDAD Y VENTAS","Chats",IF(OR(D3512="GERENCIA INBOUND LÍNEAS SERVICIO Y VENTA",D3512="GERENCIA INBOUND LINEAS ESPECIALIZADAS"),"Llamadas","Otro")))</f>
        <v/>
      </c>
      <c r="I3512" s="26" t="str">
        <f aca="false">IF(A3512="","",IF(C3512="No encontrado","No","Sí"))</f>
        <v/>
      </c>
      <c r="J3512" s="26" t="str">
        <f aca="false">IF(A3512="","",IF(F3512="Inactivo","No","Sí"))</f>
        <v/>
      </c>
      <c r="K3512" s="26" t="str">
        <f aca="false">IF(A3512="","",IF(AND(I3512="Sí",J3512="Sí"),"Sí","No"))</f>
        <v/>
      </c>
    </row>
    <row r="3513" customFormat="false" ht="15" hidden="false" customHeight="false" outlineLevel="0" collapsed="false">
      <c r="A3513" s="22"/>
      <c r="B3513" s="22"/>
      <c r="C3513" s="23" t="str">
        <f aca="false">IF(A3513="","",IFERROR(buscarx(A3513&amp;B3513,DATA!$E$3:$E$10000&amp;DATA!$B$3:$B$10000,DATA!$M$3:$M$10000),"No encontrado"))</f>
        <v/>
      </c>
      <c r="D3513" s="24" t="str">
        <f aca="false">IF(A3513="","",IFERROR(buscarx(A3513&amp;B3513,DATA!$E$3:$E$10000&amp;DATA!$B$3:$B$10000,DATA!$W$3:$W$10000),"No encontrado"))</f>
        <v/>
      </c>
      <c r="E3513" s="22"/>
      <c r="F3513" s="23" t="str">
        <f aca="false">IF(A3513="","",IFERROR(buscarx(A3513&amp;E3513,DATA!$E$3:$E$10000&amp;DATA!$B$3:$B$10000,DATA!$M$3:$M$10000),"Inactivo"))</f>
        <v/>
      </c>
      <c r="G3513" s="25" t="str">
        <f aca="false">IF(A3513="","",IF(AND(C3513&lt;&gt;"No encontrado",F3513&lt;&gt;"Inactivo"),C3513&amp;" → "&amp;F3513,"Sin transición"))</f>
        <v/>
      </c>
      <c r="H3513" s="23" t="str">
        <f aca="false">IF(A3513="","",IF(D3513="GCIA LINEA SERVICIO DIGITALIDAD Y VENTAS","Chats",IF(OR(D3513="GERENCIA INBOUND LÍNEAS SERVICIO Y VENTA",D3513="GERENCIA INBOUND LINEAS ESPECIALIZADAS"),"Llamadas","Otro")))</f>
        <v/>
      </c>
      <c r="I3513" s="23" t="str">
        <f aca="false">IF(A3513="","",IF(C3513="No encontrado","No","Sí"))</f>
        <v/>
      </c>
      <c r="J3513" s="23" t="str">
        <f aca="false">IF(A3513="","",IF(F3513="Inactivo","No","Sí"))</f>
        <v/>
      </c>
      <c r="K3513" s="23" t="str">
        <f aca="false">IF(A3513="","",IF(AND(I3513="Sí",J3513="Sí"),"Sí","No"))</f>
        <v/>
      </c>
    </row>
    <row r="3514" customFormat="false" ht="15" hidden="false" customHeight="false" outlineLevel="0" collapsed="false">
      <c r="A3514" s="22"/>
      <c r="B3514" s="22"/>
      <c r="C3514" s="26" t="str">
        <f aca="false">IF(A3514="","",IFERROR(buscarx(A3514&amp;B3514,DATA!$E$3:$E$10000&amp;DATA!$B$3:$B$10000,DATA!$M$3:$M$10000),"No encontrado"))</f>
        <v/>
      </c>
      <c r="D3514" s="27" t="str">
        <f aca="false">IF(A3514="","",IFERROR(buscarx(A3514&amp;B3514,DATA!$E$3:$E$10000&amp;DATA!$B$3:$B$10000,DATA!$W$3:$W$10000),"No encontrado"))</f>
        <v/>
      </c>
      <c r="E3514" s="22"/>
      <c r="F3514" s="26" t="str">
        <f aca="false">IF(A3514="","",IFERROR(buscarx(A3514&amp;E3514,DATA!$E$3:$E$10000&amp;DATA!$B$3:$B$10000,DATA!$M$3:$M$10000),"Inactivo"))</f>
        <v/>
      </c>
      <c r="G3514" s="28" t="str">
        <f aca="false">IF(A3514="","",IF(AND(C3514&lt;&gt;"No encontrado",F3514&lt;&gt;"Inactivo"),C3514&amp;" → "&amp;F3514,"Sin transición"))</f>
        <v/>
      </c>
      <c r="H3514" s="26" t="str">
        <f aca="false">IF(A3514="","",IF(D3514="GCIA LINEA SERVICIO DIGITALIDAD Y VENTAS","Chats",IF(OR(D3514="GERENCIA INBOUND LÍNEAS SERVICIO Y VENTA",D3514="GERENCIA INBOUND LINEAS ESPECIALIZADAS"),"Llamadas","Otro")))</f>
        <v/>
      </c>
      <c r="I3514" s="26" t="str">
        <f aca="false">IF(A3514="","",IF(C3514="No encontrado","No","Sí"))</f>
        <v/>
      </c>
      <c r="J3514" s="26" t="str">
        <f aca="false">IF(A3514="","",IF(F3514="Inactivo","No","Sí"))</f>
        <v/>
      </c>
      <c r="K3514" s="26" t="str">
        <f aca="false">IF(A3514="","",IF(AND(I3514="Sí",J3514="Sí"),"Sí","No"))</f>
        <v/>
      </c>
    </row>
    <row r="3515" customFormat="false" ht="15" hidden="false" customHeight="false" outlineLevel="0" collapsed="false">
      <c r="A3515" s="22"/>
      <c r="B3515" s="22"/>
      <c r="C3515" s="23" t="str">
        <f aca="false">IF(A3515="","",IFERROR(buscarx(A3515&amp;B3515,DATA!$E$3:$E$10000&amp;DATA!$B$3:$B$10000,DATA!$M$3:$M$10000),"No encontrado"))</f>
        <v/>
      </c>
      <c r="D3515" s="24" t="str">
        <f aca="false">IF(A3515="","",IFERROR(buscarx(A3515&amp;B3515,DATA!$E$3:$E$10000&amp;DATA!$B$3:$B$10000,DATA!$W$3:$W$10000),"No encontrado"))</f>
        <v/>
      </c>
      <c r="E3515" s="22"/>
      <c r="F3515" s="23" t="str">
        <f aca="false">IF(A3515="","",IFERROR(buscarx(A3515&amp;E3515,DATA!$E$3:$E$10000&amp;DATA!$B$3:$B$10000,DATA!$M$3:$M$10000),"Inactivo"))</f>
        <v/>
      </c>
      <c r="G3515" s="25" t="str">
        <f aca="false">IF(A3515="","",IF(AND(C3515&lt;&gt;"No encontrado",F3515&lt;&gt;"Inactivo"),C3515&amp;" → "&amp;F3515,"Sin transición"))</f>
        <v/>
      </c>
      <c r="H3515" s="23" t="str">
        <f aca="false">IF(A3515="","",IF(D3515="GCIA LINEA SERVICIO DIGITALIDAD Y VENTAS","Chats",IF(OR(D3515="GERENCIA INBOUND LÍNEAS SERVICIO Y VENTA",D3515="GERENCIA INBOUND LINEAS ESPECIALIZADAS"),"Llamadas","Otro")))</f>
        <v/>
      </c>
      <c r="I3515" s="23" t="str">
        <f aca="false">IF(A3515="","",IF(C3515="No encontrado","No","Sí"))</f>
        <v/>
      </c>
      <c r="J3515" s="23" t="str">
        <f aca="false">IF(A3515="","",IF(F3515="Inactivo","No","Sí"))</f>
        <v/>
      </c>
      <c r="K3515" s="23" t="str">
        <f aca="false">IF(A3515="","",IF(AND(I3515="Sí",J3515="Sí"),"Sí","No"))</f>
        <v/>
      </c>
    </row>
    <row r="3516" customFormat="false" ht="15" hidden="false" customHeight="false" outlineLevel="0" collapsed="false">
      <c r="A3516" s="22"/>
      <c r="B3516" s="22"/>
      <c r="C3516" s="26" t="str">
        <f aca="false">IF(A3516="","",IFERROR(buscarx(A3516&amp;B3516,DATA!$E$3:$E$10000&amp;DATA!$B$3:$B$10000,DATA!$M$3:$M$10000),"No encontrado"))</f>
        <v/>
      </c>
      <c r="D3516" s="27" t="str">
        <f aca="false">IF(A3516="","",IFERROR(buscarx(A3516&amp;B3516,DATA!$E$3:$E$10000&amp;DATA!$B$3:$B$10000,DATA!$W$3:$W$10000),"No encontrado"))</f>
        <v/>
      </c>
      <c r="E3516" s="22"/>
      <c r="F3516" s="26" t="str">
        <f aca="false">IF(A3516="","",IFERROR(buscarx(A3516&amp;E3516,DATA!$E$3:$E$10000&amp;DATA!$B$3:$B$10000,DATA!$M$3:$M$10000),"Inactivo"))</f>
        <v/>
      </c>
      <c r="G3516" s="28" t="str">
        <f aca="false">IF(A3516="","",IF(AND(C3516&lt;&gt;"No encontrado",F3516&lt;&gt;"Inactivo"),C3516&amp;" → "&amp;F3516,"Sin transición"))</f>
        <v/>
      </c>
      <c r="H3516" s="26" t="str">
        <f aca="false">IF(A3516="","",IF(D3516="GCIA LINEA SERVICIO DIGITALIDAD Y VENTAS","Chats",IF(OR(D3516="GERENCIA INBOUND LÍNEAS SERVICIO Y VENTA",D3516="GERENCIA INBOUND LINEAS ESPECIALIZADAS"),"Llamadas","Otro")))</f>
        <v/>
      </c>
      <c r="I3516" s="26" t="str">
        <f aca="false">IF(A3516="","",IF(C3516="No encontrado","No","Sí"))</f>
        <v/>
      </c>
      <c r="J3516" s="26" t="str">
        <f aca="false">IF(A3516="","",IF(F3516="Inactivo","No","Sí"))</f>
        <v/>
      </c>
      <c r="K3516" s="26" t="str">
        <f aca="false">IF(A3516="","",IF(AND(I3516="Sí",J3516="Sí"),"Sí","No"))</f>
        <v/>
      </c>
    </row>
    <row r="3517" customFormat="false" ht="15" hidden="false" customHeight="false" outlineLevel="0" collapsed="false">
      <c r="A3517" s="22"/>
      <c r="B3517" s="22"/>
      <c r="C3517" s="23" t="str">
        <f aca="false">IF(A3517="","",IFERROR(buscarx(A3517&amp;B3517,DATA!$E$3:$E$10000&amp;DATA!$B$3:$B$10000,DATA!$M$3:$M$10000),"No encontrado"))</f>
        <v/>
      </c>
      <c r="D3517" s="24" t="str">
        <f aca="false">IF(A3517="","",IFERROR(buscarx(A3517&amp;B3517,DATA!$E$3:$E$10000&amp;DATA!$B$3:$B$10000,DATA!$W$3:$W$10000),"No encontrado"))</f>
        <v/>
      </c>
      <c r="E3517" s="22"/>
      <c r="F3517" s="23" t="str">
        <f aca="false">IF(A3517="","",IFERROR(buscarx(A3517&amp;E3517,DATA!$E$3:$E$10000&amp;DATA!$B$3:$B$10000,DATA!$M$3:$M$10000),"Inactivo"))</f>
        <v/>
      </c>
      <c r="G3517" s="25" t="str">
        <f aca="false">IF(A3517="","",IF(AND(C3517&lt;&gt;"No encontrado",F3517&lt;&gt;"Inactivo"),C3517&amp;" → "&amp;F3517,"Sin transición"))</f>
        <v/>
      </c>
      <c r="H3517" s="23" t="str">
        <f aca="false">IF(A3517="","",IF(D3517="GCIA LINEA SERVICIO DIGITALIDAD Y VENTAS","Chats",IF(OR(D3517="GERENCIA INBOUND LÍNEAS SERVICIO Y VENTA",D3517="GERENCIA INBOUND LINEAS ESPECIALIZADAS"),"Llamadas","Otro")))</f>
        <v/>
      </c>
      <c r="I3517" s="23" t="str">
        <f aca="false">IF(A3517="","",IF(C3517="No encontrado","No","Sí"))</f>
        <v/>
      </c>
      <c r="J3517" s="23" t="str">
        <f aca="false">IF(A3517="","",IF(F3517="Inactivo","No","Sí"))</f>
        <v/>
      </c>
      <c r="K3517" s="23" t="str">
        <f aca="false">IF(A3517="","",IF(AND(I3517="Sí",J3517="Sí"),"Sí","No"))</f>
        <v/>
      </c>
    </row>
    <row r="3518" customFormat="false" ht="15" hidden="false" customHeight="false" outlineLevel="0" collapsed="false">
      <c r="A3518" s="22"/>
      <c r="B3518" s="22"/>
      <c r="C3518" s="26" t="str">
        <f aca="false">IF(A3518="","",IFERROR(buscarx(A3518&amp;B3518,DATA!$E$3:$E$10000&amp;DATA!$B$3:$B$10000,DATA!$M$3:$M$10000),"No encontrado"))</f>
        <v/>
      </c>
      <c r="D3518" s="27" t="str">
        <f aca="false">IF(A3518="","",IFERROR(buscarx(A3518&amp;B3518,DATA!$E$3:$E$10000&amp;DATA!$B$3:$B$10000,DATA!$W$3:$W$10000),"No encontrado"))</f>
        <v/>
      </c>
      <c r="E3518" s="22"/>
      <c r="F3518" s="26" t="str">
        <f aca="false">IF(A3518="","",IFERROR(buscarx(A3518&amp;E3518,DATA!$E$3:$E$10000&amp;DATA!$B$3:$B$10000,DATA!$M$3:$M$10000),"Inactivo"))</f>
        <v/>
      </c>
      <c r="G3518" s="28" t="str">
        <f aca="false">IF(A3518="","",IF(AND(C3518&lt;&gt;"No encontrado",F3518&lt;&gt;"Inactivo"),C3518&amp;" → "&amp;F3518,"Sin transición"))</f>
        <v/>
      </c>
      <c r="H3518" s="26" t="str">
        <f aca="false">IF(A3518="","",IF(D3518="GCIA LINEA SERVICIO DIGITALIDAD Y VENTAS","Chats",IF(OR(D3518="GERENCIA INBOUND LÍNEAS SERVICIO Y VENTA",D3518="GERENCIA INBOUND LINEAS ESPECIALIZADAS"),"Llamadas","Otro")))</f>
        <v/>
      </c>
      <c r="I3518" s="26" t="str">
        <f aca="false">IF(A3518="","",IF(C3518="No encontrado","No","Sí"))</f>
        <v/>
      </c>
      <c r="J3518" s="26" t="str">
        <f aca="false">IF(A3518="","",IF(F3518="Inactivo","No","Sí"))</f>
        <v/>
      </c>
      <c r="K3518" s="26" t="str">
        <f aca="false">IF(A3518="","",IF(AND(I3518="Sí",J3518="Sí"),"Sí","No"))</f>
        <v/>
      </c>
    </row>
    <row r="3519" customFormat="false" ht="15" hidden="false" customHeight="false" outlineLevel="0" collapsed="false">
      <c r="A3519" s="22"/>
      <c r="B3519" s="22"/>
      <c r="C3519" s="23" t="str">
        <f aca="false">IF(A3519="","",IFERROR(buscarx(A3519&amp;B3519,DATA!$E$3:$E$10000&amp;DATA!$B$3:$B$10000,DATA!$M$3:$M$10000),"No encontrado"))</f>
        <v/>
      </c>
      <c r="D3519" s="24" t="str">
        <f aca="false">IF(A3519="","",IFERROR(buscarx(A3519&amp;B3519,DATA!$E$3:$E$10000&amp;DATA!$B$3:$B$10000,DATA!$W$3:$W$10000),"No encontrado"))</f>
        <v/>
      </c>
      <c r="E3519" s="22"/>
      <c r="F3519" s="23" t="str">
        <f aca="false">IF(A3519="","",IFERROR(buscarx(A3519&amp;E3519,DATA!$E$3:$E$10000&amp;DATA!$B$3:$B$10000,DATA!$M$3:$M$10000),"Inactivo"))</f>
        <v/>
      </c>
      <c r="G3519" s="25" t="str">
        <f aca="false">IF(A3519="","",IF(AND(C3519&lt;&gt;"No encontrado",F3519&lt;&gt;"Inactivo"),C3519&amp;" → "&amp;F3519,"Sin transición"))</f>
        <v/>
      </c>
      <c r="H3519" s="23" t="str">
        <f aca="false">IF(A3519="","",IF(D3519="GCIA LINEA SERVICIO DIGITALIDAD Y VENTAS","Chats",IF(OR(D3519="GERENCIA INBOUND LÍNEAS SERVICIO Y VENTA",D3519="GERENCIA INBOUND LINEAS ESPECIALIZADAS"),"Llamadas","Otro")))</f>
        <v/>
      </c>
      <c r="I3519" s="23" t="str">
        <f aca="false">IF(A3519="","",IF(C3519="No encontrado","No","Sí"))</f>
        <v/>
      </c>
      <c r="J3519" s="23" t="str">
        <f aca="false">IF(A3519="","",IF(F3519="Inactivo","No","Sí"))</f>
        <v/>
      </c>
      <c r="K3519" s="23" t="str">
        <f aca="false">IF(A3519="","",IF(AND(I3519="Sí",J3519="Sí"),"Sí","No"))</f>
        <v/>
      </c>
    </row>
    <row r="3520" customFormat="false" ht="15" hidden="false" customHeight="false" outlineLevel="0" collapsed="false">
      <c r="A3520" s="22"/>
      <c r="B3520" s="22"/>
      <c r="C3520" s="26" t="str">
        <f aca="false">IF(A3520="","",IFERROR(buscarx(A3520&amp;B3520,DATA!$E$3:$E$10000&amp;DATA!$B$3:$B$10000,DATA!$M$3:$M$10000),"No encontrado"))</f>
        <v/>
      </c>
      <c r="D3520" s="27" t="str">
        <f aca="false">IF(A3520="","",IFERROR(buscarx(A3520&amp;B3520,DATA!$E$3:$E$10000&amp;DATA!$B$3:$B$10000,DATA!$W$3:$W$10000),"No encontrado"))</f>
        <v/>
      </c>
      <c r="E3520" s="22"/>
      <c r="F3520" s="26" t="str">
        <f aca="false">IF(A3520="","",IFERROR(buscarx(A3520&amp;E3520,DATA!$E$3:$E$10000&amp;DATA!$B$3:$B$10000,DATA!$M$3:$M$10000),"Inactivo"))</f>
        <v/>
      </c>
      <c r="G3520" s="28" t="str">
        <f aca="false">IF(A3520="","",IF(AND(C3520&lt;&gt;"No encontrado",F3520&lt;&gt;"Inactivo"),C3520&amp;" → "&amp;F3520,"Sin transición"))</f>
        <v/>
      </c>
      <c r="H3520" s="26" t="str">
        <f aca="false">IF(A3520="","",IF(D3520="GCIA LINEA SERVICIO DIGITALIDAD Y VENTAS","Chats",IF(OR(D3520="GERENCIA INBOUND LÍNEAS SERVICIO Y VENTA",D3520="GERENCIA INBOUND LINEAS ESPECIALIZADAS"),"Llamadas","Otro")))</f>
        <v/>
      </c>
      <c r="I3520" s="26" t="str">
        <f aca="false">IF(A3520="","",IF(C3520="No encontrado","No","Sí"))</f>
        <v/>
      </c>
      <c r="J3520" s="26" t="str">
        <f aca="false">IF(A3520="","",IF(F3520="Inactivo","No","Sí"))</f>
        <v/>
      </c>
      <c r="K3520" s="26" t="str">
        <f aca="false">IF(A3520="","",IF(AND(I3520="Sí",J3520="Sí"),"Sí","No"))</f>
        <v/>
      </c>
    </row>
    <row r="3521" customFormat="false" ht="15" hidden="false" customHeight="false" outlineLevel="0" collapsed="false">
      <c r="A3521" s="22"/>
      <c r="B3521" s="22"/>
      <c r="C3521" s="23" t="str">
        <f aca="false">IF(A3521="","",IFERROR(buscarx(A3521&amp;B3521,DATA!$E$3:$E$10000&amp;DATA!$B$3:$B$10000,DATA!$M$3:$M$10000),"No encontrado"))</f>
        <v/>
      </c>
      <c r="D3521" s="24" t="str">
        <f aca="false">IF(A3521="","",IFERROR(buscarx(A3521&amp;B3521,DATA!$E$3:$E$10000&amp;DATA!$B$3:$B$10000,DATA!$W$3:$W$10000),"No encontrado"))</f>
        <v/>
      </c>
      <c r="E3521" s="22"/>
      <c r="F3521" s="23" t="str">
        <f aca="false">IF(A3521="","",IFERROR(buscarx(A3521&amp;E3521,DATA!$E$3:$E$10000&amp;DATA!$B$3:$B$10000,DATA!$M$3:$M$10000),"Inactivo"))</f>
        <v/>
      </c>
      <c r="G3521" s="25" t="str">
        <f aca="false">IF(A3521="","",IF(AND(C3521&lt;&gt;"No encontrado",F3521&lt;&gt;"Inactivo"),C3521&amp;" → "&amp;F3521,"Sin transición"))</f>
        <v/>
      </c>
      <c r="H3521" s="23" t="str">
        <f aca="false">IF(A3521="","",IF(D3521="GCIA LINEA SERVICIO DIGITALIDAD Y VENTAS","Chats",IF(OR(D3521="GERENCIA INBOUND LÍNEAS SERVICIO Y VENTA",D3521="GERENCIA INBOUND LINEAS ESPECIALIZADAS"),"Llamadas","Otro")))</f>
        <v/>
      </c>
      <c r="I3521" s="23" t="str">
        <f aca="false">IF(A3521="","",IF(C3521="No encontrado","No","Sí"))</f>
        <v/>
      </c>
      <c r="J3521" s="23" t="str">
        <f aca="false">IF(A3521="","",IF(F3521="Inactivo","No","Sí"))</f>
        <v/>
      </c>
      <c r="K3521" s="23" t="str">
        <f aca="false">IF(A3521="","",IF(AND(I3521="Sí",J3521="Sí"),"Sí","No"))</f>
        <v/>
      </c>
    </row>
    <row r="3522" customFormat="false" ht="15" hidden="false" customHeight="false" outlineLevel="0" collapsed="false">
      <c r="A3522" s="22"/>
      <c r="B3522" s="22"/>
      <c r="C3522" s="26" t="str">
        <f aca="false">IF(A3522="","",IFERROR(buscarx(A3522&amp;B3522,DATA!$E$3:$E$10000&amp;DATA!$B$3:$B$10000,DATA!$M$3:$M$10000),"No encontrado"))</f>
        <v/>
      </c>
      <c r="D3522" s="27" t="str">
        <f aca="false">IF(A3522="","",IFERROR(buscarx(A3522&amp;B3522,DATA!$E$3:$E$10000&amp;DATA!$B$3:$B$10000,DATA!$W$3:$W$10000),"No encontrado"))</f>
        <v/>
      </c>
      <c r="E3522" s="22"/>
      <c r="F3522" s="26" t="str">
        <f aca="false">IF(A3522="","",IFERROR(buscarx(A3522&amp;E3522,DATA!$E$3:$E$10000&amp;DATA!$B$3:$B$10000,DATA!$M$3:$M$10000),"Inactivo"))</f>
        <v/>
      </c>
      <c r="G3522" s="28" t="str">
        <f aca="false">IF(A3522="","",IF(AND(C3522&lt;&gt;"No encontrado",F3522&lt;&gt;"Inactivo"),C3522&amp;" → "&amp;F3522,"Sin transición"))</f>
        <v/>
      </c>
      <c r="H3522" s="26" t="str">
        <f aca="false">IF(A3522="","",IF(D3522="GCIA LINEA SERVICIO DIGITALIDAD Y VENTAS","Chats",IF(OR(D3522="GERENCIA INBOUND LÍNEAS SERVICIO Y VENTA",D3522="GERENCIA INBOUND LINEAS ESPECIALIZADAS"),"Llamadas","Otro")))</f>
        <v/>
      </c>
      <c r="I3522" s="26" t="str">
        <f aca="false">IF(A3522="","",IF(C3522="No encontrado","No","Sí"))</f>
        <v/>
      </c>
      <c r="J3522" s="26" t="str">
        <f aca="false">IF(A3522="","",IF(F3522="Inactivo","No","Sí"))</f>
        <v/>
      </c>
      <c r="K3522" s="26" t="str">
        <f aca="false">IF(A3522="","",IF(AND(I3522="Sí",J3522="Sí"),"Sí","No"))</f>
        <v/>
      </c>
    </row>
    <row r="3523" customFormat="false" ht="15" hidden="false" customHeight="false" outlineLevel="0" collapsed="false">
      <c r="A3523" s="22"/>
      <c r="B3523" s="22"/>
      <c r="C3523" s="23" t="str">
        <f aca="false">IF(A3523="","",IFERROR(buscarx(A3523&amp;B3523,DATA!$E$3:$E$10000&amp;DATA!$B$3:$B$10000,DATA!$M$3:$M$10000),"No encontrado"))</f>
        <v/>
      </c>
      <c r="D3523" s="24" t="str">
        <f aca="false">IF(A3523="","",IFERROR(buscarx(A3523&amp;B3523,DATA!$E$3:$E$10000&amp;DATA!$B$3:$B$10000,DATA!$W$3:$W$10000),"No encontrado"))</f>
        <v/>
      </c>
      <c r="E3523" s="22"/>
      <c r="F3523" s="23" t="str">
        <f aca="false">IF(A3523="","",IFERROR(buscarx(A3523&amp;E3523,DATA!$E$3:$E$10000&amp;DATA!$B$3:$B$10000,DATA!$M$3:$M$10000),"Inactivo"))</f>
        <v/>
      </c>
      <c r="G3523" s="25" t="str">
        <f aca="false">IF(A3523="","",IF(AND(C3523&lt;&gt;"No encontrado",F3523&lt;&gt;"Inactivo"),C3523&amp;" → "&amp;F3523,"Sin transición"))</f>
        <v/>
      </c>
      <c r="H3523" s="23" t="str">
        <f aca="false">IF(A3523="","",IF(D3523="GCIA LINEA SERVICIO DIGITALIDAD Y VENTAS","Chats",IF(OR(D3523="GERENCIA INBOUND LÍNEAS SERVICIO Y VENTA",D3523="GERENCIA INBOUND LINEAS ESPECIALIZADAS"),"Llamadas","Otro")))</f>
        <v/>
      </c>
      <c r="I3523" s="23" t="str">
        <f aca="false">IF(A3523="","",IF(C3523="No encontrado","No","Sí"))</f>
        <v/>
      </c>
      <c r="J3523" s="23" t="str">
        <f aca="false">IF(A3523="","",IF(F3523="Inactivo","No","Sí"))</f>
        <v/>
      </c>
      <c r="K3523" s="23" t="str">
        <f aca="false">IF(A3523="","",IF(AND(I3523="Sí",J3523="Sí"),"Sí","No"))</f>
        <v/>
      </c>
    </row>
    <row r="3524" customFormat="false" ht="15" hidden="false" customHeight="false" outlineLevel="0" collapsed="false">
      <c r="A3524" s="22"/>
      <c r="B3524" s="22"/>
      <c r="C3524" s="26" t="str">
        <f aca="false">IF(A3524="","",IFERROR(buscarx(A3524&amp;B3524,DATA!$E$3:$E$10000&amp;DATA!$B$3:$B$10000,DATA!$M$3:$M$10000),"No encontrado"))</f>
        <v/>
      </c>
      <c r="D3524" s="27" t="str">
        <f aca="false">IF(A3524="","",IFERROR(buscarx(A3524&amp;B3524,DATA!$E$3:$E$10000&amp;DATA!$B$3:$B$10000,DATA!$W$3:$W$10000),"No encontrado"))</f>
        <v/>
      </c>
      <c r="E3524" s="22"/>
      <c r="F3524" s="26" t="str">
        <f aca="false">IF(A3524="","",IFERROR(buscarx(A3524&amp;E3524,DATA!$E$3:$E$10000&amp;DATA!$B$3:$B$10000,DATA!$M$3:$M$10000),"Inactivo"))</f>
        <v/>
      </c>
      <c r="G3524" s="28" t="str">
        <f aca="false">IF(A3524="","",IF(AND(C3524&lt;&gt;"No encontrado",F3524&lt;&gt;"Inactivo"),C3524&amp;" → "&amp;F3524,"Sin transición"))</f>
        <v/>
      </c>
      <c r="H3524" s="26" t="str">
        <f aca="false">IF(A3524="","",IF(D3524="GCIA LINEA SERVICIO DIGITALIDAD Y VENTAS","Chats",IF(OR(D3524="GERENCIA INBOUND LÍNEAS SERVICIO Y VENTA",D3524="GERENCIA INBOUND LINEAS ESPECIALIZADAS"),"Llamadas","Otro")))</f>
        <v/>
      </c>
      <c r="I3524" s="26" t="str">
        <f aca="false">IF(A3524="","",IF(C3524="No encontrado","No","Sí"))</f>
        <v/>
      </c>
      <c r="J3524" s="26" t="str">
        <f aca="false">IF(A3524="","",IF(F3524="Inactivo","No","Sí"))</f>
        <v/>
      </c>
      <c r="K3524" s="26" t="str">
        <f aca="false">IF(A3524="","",IF(AND(I3524="Sí",J3524="Sí"),"Sí","No"))</f>
        <v/>
      </c>
    </row>
    <row r="3525" customFormat="false" ht="15" hidden="false" customHeight="false" outlineLevel="0" collapsed="false">
      <c r="A3525" s="22"/>
      <c r="B3525" s="22"/>
      <c r="C3525" s="23" t="str">
        <f aca="false">IF(A3525="","",IFERROR(buscarx(A3525&amp;B3525,DATA!$E$3:$E$10000&amp;DATA!$B$3:$B$10000,DATA!$M$3:$M$10000),"No encontrado"))</f>
        <v/>
      </c>
      <c r="D3525" s="24" t="str">
        <f aca="false">IF(A3525="","",IFERROR(buscarx(A3525&amp;B3525,DATA!$E$3:$E$10000&amp;DATA!$B$3:$B$10000,DATA!$W$3:$W$10000),"No encontrado"))</f>
        <v/>
      </c>
      <c r="E3525" s="22"/>
      <c r="F3525" s="23" t="str">
        <f aca="false">IF(A3525="","",IFERROR(buscarx(A3525&amp;E3525,DATA!$E$3:$E$10000&amp;DATA!$B$3:$B$10000,DATA!$M$3:$M$10000),"Inactivo"))</f>
        <v/>
      </c>
      <c r="G3525" s="25" t="str">
        <f aca="false">IF(A3525="","",IF(AND(C3525&lt;&gt;"No encontrado",F3525&lt;&gt;"Inactivo"),C3525&amp;" → "&amp;F3525,"Sin transición"))</f>
        <v/>
      </c>
      <c r="H3525" s="23" t="str">
        <f aca="false">IF(A3525="","",IF(D3525="GCIA LINEA SERVICIO DIGITALIDAD Y VENTAS","Chats",IF(OR(D3525="GERENCIA INBOUND LÍNEAS SERVICIO Y VENTA",D3525="GERENCIA INBOUND LINEAS ESPECIALIZADAS"),"Llamadas","Otro")))</f>
        <v/>
      </c>
      <c r="I3525" s="23" t="str">
        <f aca="false">IF(A3525="","",IF(C3525="No encontrado","No","Sí"))</f>
        <v/>
      </c>
      <c r="J3525" s="23" t="str">
        <f aca="false">IF(A3525="","",IF(F3525="Inactivo","No","Sí"))</f>
        <v/>
      </c>
      <c r="K3525" s="23" t="str">
        <f aca="false">IF(A3525="","",IF(AND(I3525="Sí",J3525="Sí"),"Sí","No"))</f>
        <v/>
      </c>
    </row>
    <row r="3526" customFormat="false" ht="15" hidden="false" customHeight="false" outlineLevel="0" collapsed="false">
      <c r="A3526" s="22"/>
      <c r="B3526" s="22"/>
      <c r="C3526" s="26" t="str">
        <f aca="false">IF(A3526="","",IFERROR(buscarx(A3526&amp;B3526,DATA!$E$3:$E$10000&amp;DATA!$B$3:$B$10000,DATA!$M$3:$M$10000),"No encontrado"))</f>
        <v/>
      </c>
      <c r="D3526" s="27" t="str">
        <f aca="false">IF(A3526="","",IFERROR(buscarx(A3526&amp;B3526,DATA!$E$3:$E$10000&amp;DATA!$B$3:$B$10000,DATA!$W$3:$W$10000),"No encontrado"))</f>
        <v/>
      </c>
      <c r="E3526" s="22"/>
      <c r="F3526" s="26" t="str">
        <f aca="false">IF(A3526="","",IFERROR(buscarx(A3526&amp;E3526,DATA!$E$3:$E$10000&amp;DATA!$B$3:$B$10000,DATA!$M$3:$M$10000),"Inactivo"))</f>
        <v/>
      </c>
      <c r="G3526" s="28" t="str">
        <f aca="false">IF(A3526="","",IF(AND(C3526&lt;&gt;"No encontrado",F3526&lt;&gt;"Inactivo"),C3526&amp;" → "&amp;F3526,"Sin transición"))</f>
        <v/>
      </c>
      <c r="H3526" s="26" t="str">
        <f aca="false">IF(A3526="","",IF(D3526="GCIA LINEA SERVICIO DIGITALIDAD Y VENTAS","Chats",IF(OR(D3526="GERENCIA INBOUND LÍNEAS SERVICIO Y VENTA",D3526="GERENCIA INBOUND LINEAS ESPECIALIZADAS"),"Llamadas","Otro")))</f>
        <v/>
      </c>
      <c r="I3526" s="26" t="str">
        <f aca="false">IF(A3526="","",IF(C3526="No encontrado","No","Sí"))</f>
        <v/>
      </c>
      <c r="J3526" s="26" t="str">
        <f aca="false">IF(A3526="","",IF(F3526="Inactivo","No","Sí"))</f>
        <v/>
      </c>
      <c r="K3526" s="26" t="str">
        <f aca="false">IF(A3526="","",IF(AND(I3526="Sí",J3526="Sí"),"Sí","No"))</f>
        <v/>
      </c>
    </row>
    <row r="3527" customFormat="false" ht="15" hidden="false" customHeight="false" outlineLevel="0" collapsed="false">
      <c r="A3527" s="22"/>
      <c r="B3527" s="22"/>
      <c r="C3527" s="23" t="str">
        <f aca="false">IF(A3527="","",IFERROR(buscarx(A3527&amp;B3527,DATA!$E$3:$E$10000&amp;DATA!$B$3:$B$10000,DATA!$M$3:$M$10000),"No encontrado"))</f>
        <v/>
      </c>
      <c r="D3527" s="24" t="str">
        <f aca="false">IF(A3527="","",IFERROR(buscarx(A3527&amp;B3527,DATA!$E$3:$E$10000&amp;DATA!$B$3:$B$10000,DATA!$W$3:$W$10000),"No encontrado"))</f>
        <v/>
      </c>
      <c r="E3527" s="22"/>
      <c r="F3527" s="23" t="str">
        <f aca="false">IF(A3527="","",IFERROR(buscarx(A3527&amp;E3527,DATA!$E$3:$E$10000&amp;DATA!$B$3:$B$10000,DATA!$M$3:$M$10000),"Inactivo"))</f>
        <v/>
      </c>
      <c r="G3527" s="25" t="str">
        <f aca="false">IF(A3527="","",IF(AND(C3527&lt;&gt;"No encontrado",F3527&lt;&gt;"Inactivo"),C3527&amp;" → "&amp;F3527,"Sin transición"))</f>
        <v/>
      </c>
      <c r="H3527" s="23" t="str">
        <f aca="false">IF(A3527="","",IF(D3527="GCIA LINEA SERVICIO DIGITALIDAD Y VENTAS","Chats",IF(OR(D3527="GERENCIA INBOUND LÍNEAS SERVICIO Y VENTA",D3527="GERENCIA INBOUND LINEAS ESPECIALIZADAS"),"Llamadas","Otro")))</f>
        <v/>
      </c>
      <c r="I3527" s="23" t="str">
        <f aca="false">IF(A3527="","",IF(C3527="No encontrado","No","Sí"))</f>
        <v/>
      </c>
      <c r="J3527" s="23" t="str">
        <f aca="false">IF(A3527="","",IF(F3527="Inactivo","No","Sí"))</f>
        <v/>
      </c>
      <c r="K3527" s="23" t="str">
        <f aca="false">IF(A3527="","",IF(AND(I3527="Sí",J3527="Sí"),"Sí","No"))</f>
        <v/>
      </c>
    </row>
    <row r="3528" customFormat="false" ht="15" hidden="false" customHeight="false" outlineLevel="0" collapsed="false">
      <c r="A3528" s="22"/>
      <c r="B3528" s="22"/>
      <c r="C3528" s="26" t="str">
        <f aca="false">IF(A3528="","",IFERROR(buscarx(A3528&amp;B3528,DATA!$E$3:$E$10000&amp;DATA!$B$3:$B$10000,DATA!$M$3:$M$10000),"No encontrado"))</f>
        <v/>
      </c>
      <c r="D3528" s="27" t="str">
        <f aca="false">IF(A3528="","",IFERROR(buscarx(A3528&amp;B3528,DATA!$E$3:$E$10000&amp;DATA!$B$3:$B$10000,DATA!$W$3:$W$10000),"No encontrado"))</f>
        <v/>
      </c>
      <c r="E3528" s="22"/>
      <c r="F3528" s="26" t="str">
        <f aca="false">IF(A3528="","",IFERROR(buscarx(A3528&amp;E3528,DATA!$E$3:$E$10000&amp;DATA!$B$3:$B$10000,DATA!$M$3:$M$10000),"Inactivo"))</f>
        <v/>
      </c>
      <c r="G3528" s="28" t="str">
        <f aca="false">IF(A3528="","",IF(AND(C3528&lt;&gt;"No encontrado",F3528&lt;&gt;"Inactivo"),C3528&amp;" → "&amp;F3528,"Sin transición"))</f>
        <v/>
      </c>
      <c r="H3528" s="26" t="str">
        <f aca="false">IF(A3528="","",IF(D3528="GCIA LINEA SERVICIO DIGITALIDAD Y VENTAS","Chats",IF(OR(D3528="GERENCIA INBOUND LÍNEAS SERVICIO Y VENTA",D3528="GERENCIA INBOUND LINEAS ESPECIALIZADAS"),"Llamadas","Otro")))</f>
        <v/>
      </c>
      <c r="I3528" s="26" t="str">
        <f aca="false">IF(A3528="","",IF(C3528="No encontrado","No","Sí"))</f>
        <v/>
      </c>
      <c r="J3528" s="26" t="str">
        <f aca="false">IF(A3528="","",IF(F3528="Inactivo","No","Sí"))</f>
        <v/>
      </c>
      <c r="K3528" s="26" t="str">
        <f aca="false">IF(A3528="","",IF(AND(I3528="Sí",J3528="Sí"),"Sí","No"))</f>
        <v/>
      </c>
    </row>
    <row r="3529" customFormat="false" ht="15" hidden="false" customHeight="false" outlineLevel="0" collapsed="false">
      <c r="A3529" s="22"/>
      <c r="B3529" s="22"/>
      <c r="C3529" s="23" t="str">
        <f aca="false">IF(A3529="","",IFERROR(buscarx(A3529&amp;B3529,DATA!$E$3:$E$10000&amp;DATA!$B$3:$B$10000,DATA!$M$3:$M$10000),"No encontrado"))</f>
        <v/>
      </c>
      <c r="D3529" s="24" t="str">
        <f aca="false">IF(A3529="","",IFERROR(buscarx(A3529&amp;B3529,DATA!$E$3:$E$10000&amp;DATA!$B$3:$B$10000,DATA!$W$3:$W$10000),"No encontrado"))</f>
        <v/>
      </c>
      <c r="E3529" s="22"/>
      <c r="F3529" s="23" t="str">
        <f aca="false">IF(A3529="","",IFERROR(buscarx(A3529&amp;E3529,DATA!$E$3:$E$10000&amp;DATA!$B$3:$B$10000,DATA!$M$3:$M$10000),"Inactivo"))</f>
        <v/>
      </c>
      <c r="G3529" s="25" t="str">
        <f aca="false">IF(A3529="","",IF(AND(C3529&lt;&gt;"No encontrado",F3529&lt;&gt;"Inactivo"),C3529&amp;" → "&amp;F3529,"Sin transición"))</f>
        <v/>
      </c>
      <c r="H3529" s="23" t="str">
        <f aca="false">IF(A3529="","",IF(D3529="GCIA LINEA SERVICIO DIGITALIDAD Y VENTAS","Chats",IF(OR(D3529="GERENCIA INBOUND LÍNEAS SERVICIO Y VENTA",D3529="GERENCIA INBOUND LINEAS ESPECIALIZADAS"),"Llamadas","Otro")))</f>
        <v/>
      </c>
      <c r="I3529" s="23" t="str">
        <f aca="false">IF(A3529="","",IF(C3529="No encontrado","No","Sí"))</f>
        <v/>
      </c>
      <c r="J3529" s="23" t="str">
        <f aca="false">IF(A3529="","",IF(F3529="Inactivo","No","Sí"))</f>
        <v/>
      </c>
      <c r="K3529" s="23" t="str">
        <f aca="false">IF(A3529="","",IF(AND(I3529="Sí",J3529="Sí"),"Sí","No"))</f>
        <v/>
      </c>
    </row>
    <row r="3530" customFormat="false" ht="15" hidden="false" customHeight="false" outlineLevel="0" collapsed="false">
      <c r="A3530" s="22"/>
      <c r="B3530" s="22"/>
      <c r="C3530" s="26" t="str">
        <f aca="false">IF(A3530="","",IFERROR(buscarx(A3530&amp;B3530,DATA!$E$3:$E$10000&amp;DATA!$B$3:$B$10000,DATA!$M$3:$M$10000),"No encontrado"))</f>
        <v/>
      </c>
      <c r="D3530" s="27" t="str">
        <f aca="false">IF(A3530="","",IFERROR(buscarx(A3530&amp;B3530,DATA!$E$3:$E$10000&amp;DATA!$B$3:$B$10000,DATA!$W$3:$W$10000),"No encontrado"))</f>
        <v/>
      </c>
      <c r="E3530" s="22"/>
      <c r="F3530" s="26" t="str">
        <f aca="false">IF(A3530="","",IFERROR(buscarx(A3530&amp;E3530,DATA!$E$3:$E$10000&amp;DATA!$B$3:$B$10000,DATA!$M$3:$M$10000),"Inactivo"))</f>
        <v/>
      </c>
      <c r="G3530" s="28" t="str">
        <f aca="false">IF(A3530="","",IF(AND(C3530&lt;&gt;"No encontrado",F3530&lt;&gt;"Inactivo"),C3530&amp;" → "&amp;F3530,"Sin transición"))</f>
        <v/>
      </c>
      <c r="H3530" s="26" t="str">
        <f aca="false">IF(A3530="","",IF(D3530="GCIA LINEA SERVICIO DIGITALIDAD Y VENTAS","Chats",IF(OR(D3530="GERENCIA INBOUND LÍNEAS SERVICIO Y VENTA",D3530="GERENCIA INBOUND LINEAS ESPECIALIZADAS"),"Llamadas","Otro")))</f>
        <v/>
      </c>
      <c r="I3530" s="26" t="str">
        <f aca="false">IF(A3530="","",IF(C3530="No encontrado","No","Sí"))</f>
        <v/>
      </c>
      <c r="J3530" s="26" t="str">
        <f aca="false">IF(A3530="","",IF(F3530="Inactivo","No","Sí"))</f>
        <v/>
      </c>
      <c r="K3530" s="26" t="str">
        <f aca="false">IF(A3530="","",IF(AND(I3530="Sí",J3530="Sí"),"Sí","No"))</f>
        <v/>
      </c>
    </row>
    <row r="3531" customFormat="false" ht="15" hidden="false" customHeight="false" outlineLevel="0" collapsed="false">
      <c r="A3531" s="22"/>
      <c r="B3531" s="22"/>
      <c r="C3531" s="23" t="str">
        <f aca="false">IF(A3531="","",IFERROR(buscarx(A3531&amp;B3531,DATA!$E$3:$E$10000&amp;DATA!$B$3:$B$10000,DATA!$M$3:$M$10000),"No encontrado"))</f>
        <v/>
      </c>
      <c r="D3531" s="24" t="str">
        <f aca="false">IF(A3531="","",IFERROR(buscarx(A3531&amp;B3531,DATA!$E$3:$E$10000&amp;DATA!$B$3:$B$10000,DATA!$W$3:$W$10000),"No encontrado"))</f>
        <v/>
      </c>
      <c r="E3531" s="22"/>
      <c r="F3531" s="23" t="str">
        <f aca="false">IF(A3531="","",IFERROR(buscarx(A3531&amp;E3531,DATA!$E$3:$E$10000&amp;DATA!$B$3:$B$10000,DATA!$M$3:$M$10000),"Inactivo"))</f>
        <v/>
      </c>
      <c r="G3531" s="25" t="str">
        <f aca="false">IF(A3531="","",IF(AND(C3531&lt;&gt;"No encontrado",F3531&lt;&gt;"Inactivo"),C3531&amp;" → "&amp;F3531,"Sin transición"))</f>
        <v/>
      </c>
      <c r="H3531" s="23" t="str">
        <f aca="false">IF(A3531="","",IF(D3531="GCIA LINEA SERVICIO DIGITALIDAD Y VENTAS","Chats",IF(OR(D3531="GERENCIA INBOUND LÍNEAS SERVICIO Y VENTA",D3531="GERENCIA INBOUND LINEAS ESPECIALIZADAS"),"Llamadas","Otro")))</f>
        <v/>
      </c>
      <c r="I3531" s="23" t="str">
        <f aca="false">IF(A3531="","",IF(C3531="No encontrado","No","Sí"))</f>
        <v/>
      </c>
      <c r="J3531" s="23" t="str">
        <f aca="false">IF(A3531="","",IF(F3531="Inactivo","No","Sí"))</f>
        <v/>
      </c>
      <c r="K3531" s="23" t="str">
        <f aca="false">IF(A3531="","",IF(AND(I3531="Sí",J3531="Sí"),"Sí","No"))</f>
        <v/>
      </c>
    </row>
    <row r="3532" customFormat="false" ht="15" hidden="false" customHeight="false" outlineLevel="0" collapsed="false">
      <c r="A3532" s="22"/>
      <c r="B3532" s="22"/>
      <c r="C3532" s="26" t="str">
        <f aca="false">IF(A3532="","",IFERROR(buscarx(A3532&amp;B3532,DATA!$E$3:$E$10000&amp;DATA!$B$3:$B$10000,DATA!$M$3:$M$10000),"No encontrado"))</f>
        <v/>
      </c>
      <c r="D3532" s="27" t="str">
        <f aca="false">IF(A3532="","",IFERROR(buscarx(A3532&amp;B3532,DATA!$E$3:$E$10000&amp;DATA!$B$3:$B$10000,DATA!$W$3:$W$10000),"No encontrado"))</f>
        <v/>
      </c>
      <c r="E3532" s="22"/>
      <c r="F3532" s="26" t="str">
        <f aca="false">IF(A3532="","",IFERROR(buscarx(A3532&amp;E3532,DATA!$E$3:$E$10000&amp;DATA!$B$3:$B$10000,DATA!$M$3:$M$10000),"Inactivo"))</f>
        <v/>
      </c>
      <c r="G3532" s="28" t="str">
        <f aca="false">IF(A3532="","",IF(AND(C3532&lt;&gt;"No encontrado",F3532&lt;&gt;"Inactivo"),C3532&amp;" → "&amp;F3532,"Sin transición"))</f>
        <v/>
      </c>
      <c r="H3532" s="26" t="str">
        <f aca="false">IF(A3532="","",IF(D3532="GCIA LINEA SERVICIO DIGITALIDAD Y VENTAS","Chats",IF(OR(D3532="GERENCIA INBOUND LÍNEAS SERVICIO Y VENTA",D3532="GERENCIA INBOUND LINEAS ESPECIALIZADAS"),"Llamadas","Otro")))</f>
        <v/>
      </c>
      <c r="I3532" s="26" t="str">
        <f aca="false">IF(A3532="","",IF(C3532="No encontrado","No","Sí"))</f>
        <v/>
      </c>
      <c r="J3532" s="26" t="str">
        <f aca="false">IF(A3532="","",IF(F3532="Inactivo","No","Sí"))</f>
        <v/>
      </c>
      <c r="K3532" s="26" t="str">
        <f aca="false">IF(A3532="","",IF(AND(I3532="Sí",J3532="Sí"),"Sí","No"))</f>
        <v/>
      </c>
    </row>
    <row r="3533" customFormat="false" ht="15" hidden="false" customHeight="false" outlineLevel="0" collapsed="false">
      <c r="A3533" s="22"/>
      <c r="B3533" s="22"/>
      <c r="C3533" s="23" t="str">
        <f aca="false">IF(A3533="","",IFERROR(buscarx(A3533&amp;B3533,DATA!$E$3:$E$10000&amp;DATA!$B$3:$B$10000,DATA!$M$3:$M$10000),"No encontrado"))</f>
        <v/>
      </c>
      <c r="D3533" s="24" t="str">
        <f aca="false">IF(A3533="","",IFERROR(buscarx(A3533&amp;B3533,DATA!$E$3:$E$10000&amp;DATA!$B$3:$B$10000,DATA!$W$3:$W$10000),"No encontrado"))</f>
        <v/>
      </c>
      <c r="E3533" s="22"/>
      <c r="F3533" s="23" t="str">
        <f aca="false">IF(A3533="","",IFERROR(buscarx(A3533&amp;E3533,DATA!$E$3:$E$10000&amp;DATA!$B$3:$B$10000,DATA!$M$3:$M$10000),"Inactivo"))</f>
        <v/>
      </c>
      <c r="G3533" s="25" t="str">
        <f aca="false">IF(A3533="","",IF(AND(C3533&lt;&gt;"No encontrado",F3533&lt;&gt;"Inactivo"),C3533&amp;" → "&amp;F3533,"Sin transición"))</f>
        <v/>
      </c>
      <c r="H3533" s="23" t="str">
        <f aca="false">IF(A3533="","",IF(D3533="GCIA LINEA SERVICIO DIGITALIDAD Y VENTAS","Chats",IF(OR(D3533="GERENCIA INBOUND LÍNEAS SERVICIO Y VENTA",D3533="GERENCIA INBOUND LINEAS ESPECIALIZADAS"),"Llamadas","Otro")))</f>
        <v/>
      </c>
      <c r="I3533" s="23" t="str">
        <f aca="false">IF(A3533="","",IF(C3533="No encontrado","No","Sí"))</f>
        <v/>
      </c>
      <c r="J3533" s="23" t="str">
        <f aca="false">IF(A3533="","",IF(F3533="Inactivo","No","Sí"))</f>
        <v/>
      </c>
      <c r="K3533" s="23" t="str">
        <f aca="false">IF(A3533="","",IF(AND(I3533="Sí",J3533="Sí"),"Sí","No"))</f>
        <v/>
      </c>
    </row>
    <row r="3534" customFormat="false" ht="15" hidden="false" customHeight="false" outlineLevel="0" collapsed="false">
      <c r="A3534" s="22"/>
      <c r="B3534" s="22"/>
      <c r="C3534" s="26" t="str">
        <f aca="false">IF(A3534="","",IFERROR(buscarx(A3534&amp;B3534,DATA!$E$3:$E$10000&amp;DATA!$B$3:$B$10000,DATA!$M$3:$M$10000),"No encontrado"))</f>
        <v/>
      </c>
      <c r="D3534" s="27" t="str">
        <f aca="false">IF(A3534="","",IFERROR(buscarx(A3534&amp;B3534,DATA!$E$3:$E$10000&amp;DATA!$B$3:$B$10000,DATA!$W$3:$W$10000),"No encontrado"))</f>
        <v/>
      </c>
      <c r="E3534" s="22"/>
      <c r="F3534" s="26" t="str">
        <f aca="false">IF(A3534="","",IFERROR(buscarx(A3534&amp;E3534,DATA!$E$3:$E$10000&amp;DATA!$B$3:$B$10000,DATA!$M$3:$M$10000),"Inactivo"))</f>
        <v/>
      </c>
      <c r="G3534" s="28" t="str">
        <f aca="false">IF(A3534="","",IF(AND(C3534&lt;&gt;"No encontrado",F3534&lt;&gt;"Inactivo"),C3534&amp;" → "&amp;F3534,"Sin transición"))</f>
        <v/>
      </c>
      <c r="H3534" s="26" t="str">
        <f aca="false">IF(A3534="","",IF(D3534="GCIA LINEA SERVICIO DIGITALIDAD Y VENTAS","Chats",IF(OR(D3534="GERENCIA INBOUND LÍNEAS SERVICIO Y VENTA",D3534="GERENCIA INBOUND LINEAS ESPECIALIZADAS"),"Llamadas","Otro")))</f>
        <v/>
      </c>
      <c r="I3534" s="26" t="str">
        <f aca="false">IF(A3534="","",IF(C3534="No encontrado","No","Sí"))</f>
        <v/>
      </c>
      <c r="J3534" s="26" t="str">
        <f aca="false">IF(A3534="","",IF(F3534="Inactivo","No","Sí"))</f>
        <v/>
      </c>
      <c r="K3534" s="26" t="str">
        <f aca="false">IF(A3534="","",IF(AND(I3534="Sí",J3534="Sí"),"Sí","No"))</f>
        <v/>
      </c>
    </row>
    <row r="3535" customFormat="false" ht="15" hidden="false" customHeight="false" outlineLevel="0" collapsed="false">
      <c r="A3535" s="22"/>
      <c r="B3535" s="22"/>
      <c r="C3535" s="23" t="str">
        <f aca="false">IF(A3535="","",IFERROR(buscarx(A3535&amp;B3535,DATA!$E$3:$E$10000&amp;DATA!$B$3:$B$10000,DATA!$M$3:$M$10000),"No encontrado"))</f>
        <v/>
      </c>
      <c r="D3535" s="24" t="str">
        <f aca="false">IF(A3535="","",IFERROR(buscarx(A3535&amp;B3535,DATA!$E$3:$E$10000&amp;DATA!$B$3:$B$10000,DATA!$W$3:$W$10000),"No encontrado"))</f>
        <v/>
      </c>
      <c r="E3535" s="22"/>
      <c r="F3535" s="23" t="str">
        <f aca="false">IF(A3535="","",IFERROR(buscarx(A3535&amp;E3535,DATA!$E$3:$E$10000&amp;DATA!$B$3:$B$10000,DATA!$M$3:$M$10000),"Inactivo"))</f>
        <v/>
      </c>
      <c r="G3535" s="25" t="str">
        <f aca="false">IF(A3535="","",IF(AND(C3535&lt;&gt;"No encontrado",F3535&lt;&gt;"Inactivo"),C3535&amp;" → "&amp;F3535,"Sin transición"))</f>
        <v/>
      </c>
      <c r="H3535" s="23" t="str">
        <f aca="false">IF(A3535="","",IF(D3535="GCIA LINEA SERVICIO DIGITALIDAD Y VENTAS","Chats",IF(OR(D3535="GERENCIA INBOUND LÍNEAS SERVICIO Y VENTA",D3535="GERENCIA INBOUND LINEAS ESPECIALIZADAS"),"Llamadas","Otro")))</f>
        <v/>
      </c>
      <c r="I3535" s="23" t="str">
        <f aca="false">IF(A3535="","",IF(C3535="No encontrado","No","Sí"))</f>
        <v/>
      </c>
      <c r="J3535" s="23" t="str">
        <f aca="false">IF(A3535="","",IF(F3535="Inactivo","No","Sí"))</f>
        <v/>
      </c>
      <c r="K3535" s="23" t="str">
        <f aca="false">IF(A3535="","",IF(AND(I3535="Sí",J3535="Sí"),"Sí","No"))</f>
        <v/>
      </c>
    </row>
    <row r="3536" customFormat="false" ht="15" hidden="false" customHeight="false" outlineLevel="0" collapsed="false">
      <c r="A3536" s="22"/>
      <c r="B3536" s="22"/>
      <c r="C3536" s="26" t="str">
        <f aca="false">IF(A3536="","",IFERROR(buscarx(A3536&amp;B3536,DATA!$E$3:$E$10000&amp;DATA!$B$3:$B$10000,DATA!$M$3:$M$10000),"No encontrado"))</f>
        <v/>
      </c>
      <c r="D3536" s="27" t="str">
        <f aca="false">IF(A3536="","",IFERROR(buscarx(A3536&amp;B3536,DATA!$E$3:$E$10000&amp;DATA!$B$3:$B$10000,DATA!$W$3:$W$10000),"No encontrado"))</f>
        <v/>
      </c>
      <c r="E3536" s="22"/>
      <c r="F3536" s="26" t="str">
        <f aca="false">IF(A3536="","",IFERROR(buscarx(A3536&amp;E3536,DATA!$E$3:$E$10000&amp;DATA!$B$3:$B$10000,DATA!$M$3:$M$10000),"Inactivo"))</f>
        <v/>
      </c>
      <c r="G3536" s="28" t="str">
        <f aca="false">IF(A3536="","",IF(AND(C3536&lt;&gt;"No encontrado",F3536&lt;&gt;"Inactivo"),C3536&amp;" → "&amp;F3536,"Sin transición"))</f>
        <v/>
      </c>
      <c r="H3536" s="26" t="str">
        <f aca="false">IF(A3536="","",IF(D3536="GCIA LINEA SERVICIO DIGITALIDAD Y VENTAS","Chats",IF(OR(D3536="GERENCIA INBOUND LÍNEAS SERVICIO Y VENTA",D3536="GERENCIA INBOUND LINEAS ESPECIALIZADAS"),"Llamadas","Otro")))</f>
        <v/>
      </c>
      <c r="I3536" s="26" t="str">
        <f aca="false">IF(A3536="","",IF(C3536="No encontrado","No","Sí"))</f>
        <v/>
      </c>
      <c r="J3536" s="26" t="str">
        <f aca="false">IF(A3536="","",IF(F3536="Inactivo","No","Sí"))</f>
        <v/>
      </c>
      <c r="K3536" s="26" t="str">
        <f aca="false">IF(A3536="","",IF(AND(I3536="Sí",J3536="Sí"),"Sí","No"))</f>
        <v/>
      </c>
    </row>
    <row r="3537" customFormat="false" ht="15" hidden="false" customHeight="false" outlineLevel="0" collapsed="false">
      <c r="A3537" s="22"/>
      <c r="B3537" s="22"/>
      <c r="C3537" s="23" t="str">
        <f aca="false">IF(A3537="","",IFERROR(buscarx(A3537&amp;B3537,DATA!$E$3:$E$10000&amp;DATA!$B$3:$B$10000,DATA!$M$3:$M$10000),"No encontrado"))</f>
        <v/>
      </c>
      <c r="D3537" s="24" t="str">
        <f aca="false">IF(A3537="","",IFERROR(buscarx(A3537&amp;B3537,DATA!$E$3:$E$10000&amp;DATA!$B$3:$B$10000,DATA!$W$3:$W$10000),"No encontrado"))</f>
        <v/>
      </c>
      <c r="E3537" s="22"/>
      <c r="F3537" s="23" t="str">
        <f aca="false">IF(A3537="","",IFERROR(buscarx(A3537&amp;E3537,DATA!$E$3:$E$10000&amp;DATA!$B$3:$B$10000,DATA!$M$3:$M$10000),"Inactivo"))</f>
        <v/>
      </c>
      <c r="G3537" s="25" t="str">
        <f aca="false">IF(A3537="","",IF(AND(C3537&lt;&gt;"No encontrado",F3537&lt;&gt;"Inactivo"),C3537&amp;" → "&amp;F3537,"Sin transición"))</f>
        <v/>
      </c>
      <c r="H3537" s="23" t="str">
        <f aca="false">IF(A3537="","",IF(D3537="GCIA LINEA SERVICIO DIGITALIDAD Y VENTAS","Chats",IF(OR(D3537="GERENCIA INBOUND LÍNEAS SERVICIO Y VENTA",D3537="GERENCIA INBOUND LINEAS ESPECIALIZADAS"),"Llamadas","Otro")))</f>
        <v/>
      </c>
      <c r="I3537" s="23" t="str">
        <f aca="false">IF(A3537="","",IF(C3537="No encontrado","No","Sí"))</f>
        <v/>
      </c>
      <c r="J3537" s="23" t="str">
        <f aca="false">IF(A3537="","",IF(F3537="Inactivo","No","Sí"))</f>
        <v/>
      </c>
      <c r="K3537" s="23" t="str">
        <f aca="false">IF(A3537="","",IF(AND(I3537="Sí",J3537="Sí"),"Sí","No"))</f>
        <v/>
      </c>
    </row>
    <row r="3538" customFormat="false" ht="15" hidden="false" customHeight="false" outlineLevel="0" collapsed="false">
      <c r="A3538" s="22"/>
      <c r="B3538" s="22"/>
      <c r="C3538" s="26" t="str">
        <f aca="false">IF(A3538="","",IFERROR(buscarx(A3538&amp;B3538,DATA!$E$3:$E$10000&amp;DATA!$B$3:$B$10000,DATA!$M$3:$M$10000),"No encontrado"))</f>
        <v/>
      </c>
      <c r="D3538" s="27" t="str">
        <f aca="false">IF(A3538="","",IFERROR(buscarx(A3538&amp;B3538,DATA!$E$3:$E$10000&amp;DATA!$B$3:$B$10000,DATA!$W$3:$W$10000),"No encontrado"))</f>
        <v/>
      </c>
      <c r="E3538" s="22"/>
      <c r="F3538" s="26" t="str">
        <f aca="false">IF(A3538="","",IFERROR(buscarx(A3538&amp;E3538,DATA!$E$3:$E$10000&amp;DATA!$B$3:$B$10000,DATA!$M$3:$M$10000),"Inactivo"))</f>
        <v/>
      </c>
      <c r="G3538" s="28" t="str">
        <f aca="false">IF(A3538="","",IF(AND(C3538&lt;&gt;"No encontrado",F3538&lt;&gt;"Inactivo"),C3538&amp;" → "&amp;F3538,"Sin transición"))</f>
        <v/>
      </c>
      <c r="H3538" s="26" t="str">
        <f aca="false">IF(A3538="","",IF(D3538="GCIA LINEA SERVICIO DIGITALIDAD Y VENTAS","Chats",IF(OR(D3538="GERENCIA INBOUND LÍNEAS SERVICIO Y VENTA",D3538="GERENCIA INBOUND LINEAS ESPECIALIZADAS"),"Llamadas","Otro")))</f>
        <v/>
      </c>
      <c r="I3538" s="26" t="str">
        <f aca="false">IF(A3538="","",IF(C3538="No encontrado","No","Sí"))</f>
        <v/>
      </c>
      <c r="J3538" s="26" t="str">
        <f aca="false">IF(A3538="","",IF(F3538="Inactivo","No","Sí"))</f>
        <v/>
      </c>
      <c r="K3538" s="26" t="str">
        <f aca="false">IF(A3538="","",IF(AND(I3538="Sí",J3538="Sí"),"Sí","No"))</f>
        <v/>
      </c>
    </row>
    <row r="3539" customFormat="false" ht="15" hidden="false" customHeight="false" outlineLevel="0" collapsed="false">
      <c r="A3539" s="22"/>
      <c r="B3539" s="22"/>
      <c r="C3539" s="23" t="str">
        <f aca="false">IF(A3539="","",IFERROR(buscarx(A3539&amp;B3539,DATA!$E$3:$E$10000&amp;DATA!$B$3:$B$10000,DATA!$M$3:$M$10000),"No encontrado"))</f>
        <v/>
      </c>
      <c r="D3539" s="24" t="str">
        <f aca="false">IF(A3539="","",IFERROR(buscarx(A3539&amp;B3539,DATA!$E$3:$E$10000&amp;DATA!$B$3:$B$10000,DATA!$W$3:$W$10000),"No encontrado"))</f>
        <v/>
      </c>
      <c r="E3539" s="22"/>
      <c r="F3539" s="23" t="str">
        <f aca="false">IF(A3539="","",IFERROR(buscarx(A3539&amp;E3539,DATA!$E$3:$E$10000&amp;DATA!$B$3:$B$10000,DATA!$M$3:$M$10000),"Inactivo"))</f>
        <v/>
      </c>
      <c r="G3539" s="25" t="str">
        <f aca="false">IF(A3539="","",IF(AND(C3539&lt;&gt;"No encontrado",F3539&lt;&gt;"Inactivo"),C3539&amp;" → "&amp;F3539,"Sin transición"))</f>
        <v/>
      </c>
      <c r="H3539" s="23" t="str">
        <f aca="false">IF(A3539="","",IF(D3539="GCIA LINEA SERVICIO DIGITALIDAD Y VENTAS","Chats",IF(OR(D3539="GERENCIA INBOUND LÍNEAS SERVICIO Y VENTA",D3539="GERENCIA INBOUND LINEAS ESPECIALIZADAS"),"Llamadas","Otro")))</f>
        <v/>
      </c>
      <c r="I3539" s="23" t="str">
        <f aca="false">IF(A3539="","",IF(C3539="No encontrado","No","Sí"))</f>
        <v/>
      </c>
      <c r="J3539" s="23" t="str">
        <f aca="false">IF(A3539="","",IF(F3539="Inactivo","No","Sí"))</f>
        <v/>
      </c>
      <c r="K3539" s="23" t="str">
        <f aca="false">IF(A3539="","",IF(AND(I3539="Sí",J3539="Sí"),"Sí","No"))</f>
        <v/>
      </c>
    </row>
    <row r="3540" customFormat="false" ht="15" hidden="false" customHeight="false" outlineLevel="0" collapsed="false">
      <c r="A3540" s="22"/>
      <c r="B3540" s="22"/>
      <c r="C3540" s="26" t="str">
        <f aca="false">IF(A3540="","",IFERROR(buscarx(A3540&amp;B3540,DATA!$E$3:$E$10000&amp;DATA!$B$3:$B$10000,DATA!$M$3:$M$10000),"No encontrado"))</f>
        <v/>
      </c>
      <c r="D3540" s="27" t="str">
        <f aca="false">IF(A3540="","",IFERROR(buscarx(A3540&amp;B3540,DATA!$E$3:$E$10000&amp;DATA!$B$3:$B$10000,DATA!$W$3:$W$10000),"No encontrado"))</f>
        <v/>
      </c>
      <c r="E3540" s="22"/>
      <c r="F3540" s="26" t="str">
        <f aca="false">IF(A3540="","",IFERROR(buscarx(A3540&amp;E3540,DATA!$E$3:$E$10000&amp;DATA!$B$3:$B$10000,DATA!$M$3:$M$10000),"Inactivo"))</f>
        <v/>
      </c>
      <c r="G3540" s="28" t="str">
        <f aca="false">IF(A3540="","",IF(AND(C3540&lt;&gt;"No encontrado",F3540&lt;&gt;"Inactivo"),C3540&amp;" → "&amp;F3540,"Sin transición"))</f>
        <v/>
      </c>
      <c r="H3540" s="26" t="str">
        <f aca="false">IF(A3540="","",IF(D3540="GCIA LINEA SERVICIO DIGITALIDAD Y VENTAS","Chats",IF(OR(D3540="GERENCIA INBOUND LÍNEAS SERVICIO Y VENTA",D3540="GERENCIA INBOUND LINEAS ESPECIALIZADAS"),"Llamadas","Otro")))</f>
        <v/>
      </c>
      <c r="I3540" s="26" t="str">
        <f aca="false">IF(A3540="","",IF(C3540="No encontrado","No","Sí"))</f>
        <v/>
      </c>
      <c r="J3540" s="26" t="str">
        <f aca="false">IF(A3540="","",IF(F3540="Inactivo","No","Sí"))</f>
        <v/>
      </c>
      <c r="K3540" s="26" t="str">
        <f aca="false">IF(A3540="","",IF(AND(I3540="Sí",J3540="Sí"),"Sí","No"))</f>
        <v/>
      </c>
    </row>
    <row r="3541" customFormat="false" ht="15" hidden="false" customHeight="false" outlineLevel="0" collapsed="false">
      <c r="A3541" s="22"/>
      <c r="B3541" s="22"/>
      <c r="C3541" s="23" t="str">
        <f aca="false">IF(A3541="","",IFERROR(buscarx(A3541&amp;B3541,DATA!$E$3:$E$10000&amp;DATA!$B$3:$B$10000,DATA!$M$3:$M$10000),"No encontrado"))</f>
        <v/>
      </c>
      <c r="D3541" s="24" t="str">
        <f aca="false">IF(A3541="","",IFERROR(buscarx(A3541&amp;B3541,DATA!$E$3:$E$10000&amp;DATA!$B$3:$B$10000,DATA!$W$3:$W$10000),"No encontrado"))</f>
        <v/>
      </c>
      <c r="E3541" s="22"/>
      <c r="F3541" s="23" t="str">
        <f aca="false">IF(A3541="","",IFERROR(buscarx(A3541&amp;E3541,DATA!$E$3:$E$10000&amp;DATA!$B$3:$B$10000,DATA!$M$3:$M$10000),"Inactivo"))</f>
        <v/>
      </c>
      <c r="G3541" s="25" t="str">
        <f aca="false">IF(A3541="","",IF(AND(C3541&lt;&gt;"No encontrado",F3541&lt;&gt;"Inactivo"),C3541&amp;" → "&amp;F3541,"Sin transición"))</f>
        <v/>
      </c>
      <c r="H3541" s="23" t="str">
        <f aca="false">IF(A3541="","",IF(D3541="GCIA LINEA SERVICIO DIGITALIDAD Y VENTAS","Chats",IF(OR(D3541="GERENCIA INBOUND LÍNEAS SERVICIO Y VENTA",D3541="GERENCIA INBOUND LINEAS ESPECIALIZADAS"),"Llamadas","Otro")))</f>
        <v/>
      </c>
      <c r="I3541" s="23" t="str">
        <f aca="false">IF(A3541="","",IF(C3541="No encontrado","No","Sí"))</f>
        <v/>
      </c>
      <c r="J3541" s="23" t="str">
        <f aca="false">IF(A3541="","",IF(F3541="Inactivo","No","Sí"))</f>
        <v/>
      </c>
      <c r="K3541" s="23" t="str">
        <f aca="false">IF(A3541="","",IF(AND(I3541="Sí",J3541="Sí"),"Sí","No"))</f>
        <v/>
      </c>
    </row>
    <row r="3542" customFormat="false" ht="15" hidden="false" customHeight="false" outlineLevel="0" collapsed="false">
      <c r="A3542" s="22"/>
      <c r="B3542" s="22"/>
      <c r="C3542" s="26" t="str">
        <f aca="false">IF(A3542="","",IFERROR(buscarx(A3542&amp;B3542,DATA!$E$3:$E$10000&amp;DATA!$B$3:$B$10000,DATA!$M$3:$M$10000),"No encontrado"))</f>
        <v/>
      </c>
      <c r="D3542" s="27" t="str">
        <f aca="false">IF(A3542="","",IFERROR(buscarx(A3542&amp;B3542,DATA!$E$3:$E$10000&amp;DATA!$B$3:$B$10000,DATA!$W$3:$W$10000),"No encontrado"))</f>
        <v/>
      </c>
      <c r="E3542" s="22"/>
      <c r="F3542" s="26" t="str">
        <f aca="false">IF(A3542="","",IFERROR(buscarx(A3542&amp;E3542,DATA!$E$3:$E$10000&amp;DATA!$B$3:$B$10000,DATA!$M$3:$M$10000),"Inactivo"))</f>
        <v/>
      </c>
      <c r="G3542" s="28" t="str">
        <f aca="false">IF(A3542="","",IF(AND(C3542&lt;&gt;"No encontrado",F3542&lt;&gt;"Inactivo"),C3542&amp;" → "&amp;F3542,"Sin transición"))</f>
        <v/>
      </c>
      <c r="H3542" s="26" t="str">
        <f aca="false">IF(A3542="","",IF(D3542="GCIA LINEA SERVICIO DIGITALIDAD Y VENTAS","Chats",IF(OR(D3542="GERENCIA INBOUND LÍNEAS SERVICIO Y VENTA",D3542="GERENCIA INBOUND LINEAS ESPECIALIZADAS"),"Llamadas","Otro")))</f>
        <v/>
      </c>
      <c r="I3542" s="26" t="str">
        <f aca="false">IF(A3542="","",IF(C3542="No encontrado","No","Sí"))</f>
        <v/>
      </c>
      <c r="J3542" s="26" t="str">
        <f aca="false">IF(A3542="","",IF(F3542="Inactivo","No","Sí"))</f>
        <v/>
      </c>
      <c r="K3542" s="26" t="str">
        <f aca="false">IF(A3542="","",IF(AND(I3542="Sí",J3542="Sí"),"Sí","No"))</f>
        <v/>
      </c>
    </row>
    <row r="3543" customFormat="false" ht="15" hidden="false" customHeight="false" outlineLevel="0" collapsed="false">
      <c r="A3543" s="22"/>
      <c r="B3543" s="22"/>
      <c r="C3543" s="23" t="str">
        <f aca="false">IF(A3543="","",IFERROR(buscarx(A3543&amp;B3543,DATA!$E$3:$E$10000&amp;DATA!$B$3:$B$10000,DATA!$M$3:$M$10000),"No encontrado"))</f>
        <v/>
      </c>
      <c r="D3543" s="24" t="str">
        <f aca="false">IF(A3543="","",IFERROR(buscarx(A3543&amp;B3543,DATA!$E$3:$E$10000&amp;DATA!$B$3:$B$10000,DATA!$W$3:$W$10000),"No encontrado"))</f>
        <v/>
      </c>
      <c r="E3543" s="22"/>
      <c r="F3543" s="23" t="str">
        <f aca="false">IF(A3543="","",IFERROR(buscarx(A3543&amp;E3543,DATA!$E$3:$E$10000&amp;DATA!$B$3:$B$10000,DATA!$M$3:$M$10000),"Inactivo"))</f>
        <v/>
      </c>
      <c r="G3543" s="25" t="str">
        <f aca="false">IF(A3543="","",IF(AND(C3543&lt;&gt;"No encontrado",F3543&lt;&gt;"Inactivo"),C3543&amp;" → "&amp;F3543,"Sin transición"))</f>
        <v/>
      </c>
      <c r="H3543" s="23" t="str">
        <f aca="false">IF(A3543="","",IF(D3543="GCIA LINEA SERVICIO DIGITALIDAD Y VENTAS","Chats",IF(OR(D3543="GERENCIA INBOUND LÍNEAS SERVICIO Y VENTA",D3543="GERENCIA INBOUND LINEAS ESPECIALIZADAS"),"Llamadas","Otro")))</f>
        <v/>
      </c>
      <c r="I3543" s="23" t="str">
        <f aca="false">IF(A3543="","",IF(C3543="No encontrado","No","Sí"))</f>
        <v/>
      </c>
      <c r="J3543" s="23" t="str">
        <f aca="false">IF(A3543="","",IF(F3543="Inactivo","No","Sí"))</f>
        <v/>
      </c>
      <c r="K3543" s="23" t="str">
        <f aca="false">IF(A3543="","",IF(AND(I3543="Sí",J3543="Sí"),"Sí","No"))</f>
        <v/>
      </c>
    </row>
    <row r="3544" customFormat="false" ht="15" hidden="false" customHeight="false" outlineLevel="0" collapsed="false">
      <c r="A3544" s="22"/>
      <c r="B3544" s="22"/>
      <c r="C3544" s="26" t="str">
        <f aca="false">IF(A3544="","",IFERROR(buscarx(A3544&amp;B3544,DATA!$E$3:$E$10000&amp;DATA!$B$3:$B$10000,DATA!$M$3:$M$10000),"No encontrado"))</f>
        <v/>
      </c>
      <c r="D3544" s="27" t="str">
        <f aca="false">IF(A3544="","",IFERROR(buscarx(A3544&amp;B3544,DATA!$E$3:$E$10000&amp;DATA!$B$3:$B$10000,DATA!$W$3:$W$10000),"No encontrado"))</f>
        <v/>
      </c>
      <c r="E3544" s="22"/>
      <c r="F3544" s="26" t="str">
        <f aca="false">IF(A3544="","",IFERROR(buscarx(A3544&amp;E3544,DATA!$E$3:$E$10000&amp;DATA!$B$3:$B$10000,DATA!$M$3:$M$10000),"Inactivo"))</f>
        <v/>
      </c>
      <c r="G3544" s="28" t="str">
        <f aca="false">IF(A3544="","",IF(AND(C3544&lt;&gt;"No encontrado",F3544&lt;&gt;"Inactivo"),C3544&amp;" → "&amp;F3544,"Sin transición"))</f>
        <v/>
      </c>
      <c r="H3544" s="26" t="str">
        <f aca="false">IF(A3544="","",IF(D3544="GCIA LINEA SERVICIO DIGITALIDAD Y VENTAS","Chats",IF(OR(D3544="GERENCIA INBOUND LÍNEAS SERVICIO Y VENTA",D3544="GERENCIA INBOUND LINEAS ESPECIALIZADAS"),"Llamadas","Otro")))</f>
        <v/>
      </c>
      <c r="I3544" s="26" t="str">
        <f aca="false">IF(A3544="","",IF(C3544="No encontrado","No","Sí"))</f>
        <v/>
      </c>
      <c r="J3544" s="26" t="str">
        <f aca="false">IF(A3544="","",IF(F3544="Inactivo","No","Sí"))</f>
        <v/>
      </c>
      <c r="K3544" s="26" t="str">
        <f aca="false">IF(A3544="","",IF(AND(I3544="Sí",J3544="Sí"),"Sí","No"))</f>
        <v/>
      </c>
    </row>
    <row r="3545" customFormat="false" ht="15" hidden="false" customHeight="false" outlineLevel="0" collapsed="false">
      <c r="A3545" s="22"/>
      <c r="B3545" s="22"/>
      <c r="C3545" s="23" t="str">
        <f aca="false">IF(A3545="","",IFERROR(buscarx(A3545&amp;B3545,DATA!$E$3:$E$10000&amp;DATA!$B$3:$B$10000,DATA!$M$3:$M$10000),"No encontrado"))</f>
        <v/>
      </c>
      <c r="D3545" s="24" t="str">
        <f aca="false">IF(A3545="","",IFERROR(buscarx(A3545&amp;B3545,DATA!$E$3:$E$10000&amp;DATA!$B$3:$B$10000,DATA!$W$3:$W$10000),"No encontrado"))</f>
        <v/>
      </c>
      <c r="E3545" s="22"/>
      <c r="F3545" s="23" t="str">
        <f aca="false">IF(A3545="","",IFERROR(buscarx(A3545&amp;E3545,DATA!$E$3:$E$10000&amp;DATA!$B$3:$B$10000,DATA!$M$3:$M$10000),"Inactivo"))</f>
        <v/>
      </c>
      <c r="G3545" s="25" t="str">
        <f aca="false">IF(A3545="","",IF(AND(C3545&lt;&gt;"No encontrado",F3545&lt;&gt;"Inactivo"),C3545&amp;" → "&amp;F3545,"Sin transición"))</f>
        <v/>
      </c>
      <c r="H3545" s="23" t="str">
        <f aca="false">IF(A3545="","",IF(D3545="GCIA LINEA SERVICIO DIGITALIDAD Y VENTAS","Chats",IF(OR(D3545="GERENCIA INBOUND LÍNEAS SERVICIO Y VENTA",D3545="GERENCIA INBOUND LINEAS ESPECIALIZADAS"),"Llamadas","Otro")))</f>
        <v/>
      </c>
      <c r="I3545" s="23" t="str">
        <f aca="false">IF(A3545="","",IF(C3545="No encontrado","No","Sí"))</f>
        <v/>
      </c>
      <c r="J3545" s="23" t="str">
        <f aca="false">IF(A3545="","",IF(F3545="Inactivo","No","Sí"))</f>
        <v/>
      </c>
      <c r="K3545" s="23" t="str">
        <f aca="false">IF(A3545="","",IF(AND(I3545="Sí",J3545="Sí"),"Sí","No"))</f>
        <v/>
      </c>
    </row>
    <row r="3546" customFormat="false" ht="15" hidden="false" customHeight="false" outlineLevel="0" collapsed="false">
      <c r="A3546" s="22"/>
      <c r="B3546" s="22"/>
      <c r="C3546" s="26" t="str">
        <f aca="false">IF(A3546="","",IFERROR(buscarx(A3546&amp;B3546,DATA!$E$3:$E$10000&amp;DATA!$B$3:$B$10000,DATA!$M$3:$M$10000),"No encontrado"))</f>
        <v/>
      </c>
      <c r="D3546" s="27" t="str">
        <f aca="false">IF(A3546="","",IFERROR(buscarx(A3546&amp;B3546,DATA!$E$3:$E$10000&amp;DATA!$B$3:$B$10000,DATA!$W$3:$W$10000),"No encontrado"))</f>
        <v/>
      </c>
      <c r="E3546" s="22"/>
      <c r="F3546" s="26" t="str">
        <f aca="false">IF(A3546="","",IFERROR(buscarx(A3546&amp;E3546,DATA!$E$3:$E$10000&amp;DATA!$B$3:$B$10000,DATA!$M$3:$M$10000),"Inactivo"))</f>
        <v/>
      </c>
      <c r="G3546" s="28" t="str">
        <f aca="false">IF(A3546="","",IF(AND(C3546&lt;&gt;"No encontrado",F3546&lt;&gt;"Inactivo"),C3546&amp;" → "&amp;F3546,"Sin transición"))</f>
        <v/>
      </c>
      <c r="H3546" s="26" t="str">
        <f aca="false">IF(A3546="","",IF(D3546="GCIA LINEA SERVICIO DIGITALIDAD Y VENTAS","Chats",IF(OR(D3546="GERENCIA INBOUND LÍNEAS SERVICIO Y VENTA",D3546="GERENCIA INBOUND LINEAS ESPECIALIZADAS"),"Llamadas","Otro")))</f>
        <v/>
      </c>
      <c r="I3546" s="26" t="str">
        <f aca="false">IF(A3546="","",IF(C3546="No encontrado","No","Sí"))</f>
        <v/>
      </c>
      <c r="J3546" s="26" t="str">
        <f aca="false">IF(A3546="","",IF(F3546="Inactivo","No","Sí"))</f>
        <v/>
      </c>
      <c r="K3546" s="26" t="str">
        <f aca="false">IF(A3546="","",IF(AND(I3546="Sí",J3546="Sí"),"Sí","No"))</f>
        <v/>
      </c>
    </row>
    <row r="3547" customFormat="false" ht="15" hidden="false" customHeight="false" outlineLevel="0" collapsed="false">
      <c r="A3547" s="22"/>
      <c r="B3547" s="22"/>
      <c r="C3547" s="23" t="str">
        <f aca="false">IF(A3547="","",IFERROR(buscarx(A3547&amp;B3547,DATA!$E$3:$E$10000&amp;DATA!$B$3:$B$10000,DATA!$M$3:$M$10000),"No encontrado"))</f>
        <v/>
      </c>
      <c r="D3547" s="24" t="str">
        <f aca="false">IF(A3547="","",IFERROR(buscarx(A3547&amp;B3547,DATA!$E$3:$E$10000&amp;DATA!$B$3:$B$10000,DATA!$W$3:$W$10000),"No encontrado"))</f>
        <v/>
      </c>
      <c r="E3547" s="22"/>
      <c r="F3547" s="23" t="str">
        <f aca="false">IF(A3547="","",IFERROR(buscarx(A3547&amp;E3547,DATA!$E$3:$E$10000&amp;DATA!$B$3:$B$10000,DATA!$M$3:$M$10000),"Inactivo"))</f>
        <v/>
      </c>
      <c r="G3547" s="25" t="str">
        <f aca="false">IF(A3547="","",IF(AND(C3547&lt;&gt;"No encontrado",F3547&lt;&gt;"Inactivo"),C3547&amp;" → "&amp;F3547,"Sin transición"))</f>
        <v/>
      </c>
      <c r="H3547" s="23" t="str">
        <f aca="false">IF(A3547="","",IF(D3547="GCIA LINEA SERVICIO DIGITALIDAD Y VENTAS","Chats",IF(OR(D3547="GERENCIA INBOUND LÍNEAS SERVICIO Y VENTA",D3547="GERENCIA INBOUND LINEAS ESPECIALIZADAS"),"Llamadas","Otro")))</f>
        <v/>
      </c>
      <c r="I3547" s="23" t="str">
        <f aca="false">IF(A3547="","",IF(C3547="No encontrado","No","Sí"))</f>
        <v/>
      </c>
      <c r="J3547" s="23" t="str">
        <f aca="false">IF(A3547="","",IF(F3547="Inactivo","No","Sí"))</f>
        <v/>
      </c>
      <c r="K3547" s="23" t="str">
        <f aca="false">IF(A3547="","",IF(AND(I3547="Sí",J3547="Sí"),"Sí","No"))</f>
        <v/>
      </c>
    </row>
    <row r="3548" customFormat="false" ht="15" hidden="false" customHeight="false" outlineLevel="0" collapsed="false">
      <c r="A3548" s="22"/>
      <c r="B3548" s="22"/>
      <c r="C3548" s="26" t="str">
        <f aca="false">IF(A3548="","",IFERROR(buscarx(A3548&amp;B3548,DATA!$E$3:$E$10000&amp;DATA!$B$3:$B$10000,DATA!$M$3:$M$10000),"No encontrado"))</f>
        <v/>
      </c>
      <c r="D3548" s="27" t="str">
        <f aca="false">IF(A3548="","",IFERROR(buscarx(A3548&amp;B3548,DATA!$E$3:$E$10000&amp;DATA!$B$3:$B$10000,DATA!$W$3:$W$10000),"No encontrado"))</f>
        <v/>
      </c>
      <c r="E3548" s="22"/>
      <c r="F3548" s="26" t="str">
        <f aca="false">IF(A3548="","",IFERROR(buscarx(A3548&amp;E3548,DATA!$E$3:$E$10000&amp;DATA!$B$3:$B$10000,DATA!$M$3:$M$10000),"Inactivo"))</f>
        <v/>
      </c>
      <c r="G3548" s="28" t="str">
        <f aca="false">IF(A3548="","",IF(AND(C3548&lt;&gt;"No encontrado",F3548&lt;&gt;"Inactivo"),C3548&amp;" → "&amp;F3548,"Sin transición"))</f>
        <v/>
      </c>
      <c r="H3548" s="26" t="str">
        <f aca="false">IF(A3548="","",IF(D3548="GCIA LINEA SERVICIO DIGITALIDAD Y VENTAS","Chats",IF(OR(D3548="GERENCIA INBOUND LÍNEAS SERVICIO Y VENTA",D3548="GERENCIA INBOUND LINEAS ESPECIALIZADAS"),"Llamadas","Otro")))</f>
        <v/>
      </c>
      <c r="I3548" s="26" t="str">
        <f aca="false">IF(A3548="","",IF(C3548="No encontrado","No","Sí"))</f>
        <v/>
      </c>
      <c r="J3548" s="26" t="str">
        <f aca="false">IF(A3548="","",IF(F3548="Inactivo","No","Sí"))</f>
        <v/>
      </c>
      <c r="K3548" s="26" t="str">
        <f aca="false">IF(A3548="","",IF(AND(I3548="Sí",J3548="Sí"),"Sí","No"))</f>
        <v/>
      </c>
    </row>
    <row r="3549" customFormat="false" ht="15" hidden="false" customHeight="false" outlineLevel="0" collapsed="false">
      <c r="A3549" s="22"/>
      <c r="B3549" s="22"/>
      <c r="C3549" s="23" t="str">
        <f aca="false">IF(A3549="","",IFERROR(buscarx(A3549&amp;B3549,DATA!$E$3:$E$10000&amp;DATA!$B$3:$B$10000,DATA!$M$3:$M$10000),"No encontrado"))</f>
        <v/>
      </c>
      <c r="D3549" s="24" t="str">
        <f aca="false">IF(A3549="","",IFERROR(buscarx(A3549&amp;B3549,DATA!$E$3:$E$10000&amp;DATA!$B$3:$B$10000,DATA!$W$3:$W$10000),"No encontrado"))</f>
        <v/>
      </c>
      <c r="E3549" s="22"/>
      <c r="F3549" s="23" t="str">
        <f aca="false">IF(A3549="","",IFERROR(buscarx(A3549&amp;E3549,DATA!$E$3:$E$10000&amp;DATA!$B$3:$B$10000,DATA!$M$3:$M$10000),"Inactivo"))</f>
        <v/>
      </c>
      <c r="G3549" s="25" t="str">
        <f aca="false">IF(A3549="","",IF(AND(C3549&lt;&gt;"No encontrado",F3549&lt;&gt;"Inactivo"),C3549&amp;" → "&amp;F3549,"Sin transición"))</f>
        <v/>
      </c>
      <c r="H3549" s="23" t="str">
        <f aca="false">IF(A3549="","",IF(D3549="GCIA LINEA SERVICIO DIGITALIDAD Y VENTAS","Chats",IF(OR(D3549="GERENCIA INBOUND LÍNEAS SERVICIO Y VENTA",D3549="GERENCIA INBOUND LINEAS ESPECIALIZADAS"),"Llamadas","Otro")))</f>
        <v/>
      </c>
      <c r="I3549" s="23" t="str">
        <f aca="false">IF(A3549="","",IF(C3549="No encontrado","No","Sí"))</f>
        <v/>
      </c>
      <c r="J3549" s="23" t="str">
        <f aca="false">IF(A3549="","",IF(F3549="Inactivo","No","Sí"))</f>
        <v/>
      </c>
      <c r="K3549" s="23" t="str">
        <f aca="false">IF(A3549="","",IF(AND(I3549="Sí",J3549="Sí"),"Sí","No"))</f>
        <v/>
      </c>
    </row>
    <row r="3550" customFormat="false" ht="15" hidden="false" customHeight="false" outlineLevel="0" collapsed="false">
      <c r="A3550" s="22"/>
      <c r="B3550" s="22"/>
      <c r="C3550" s="26" t="str">
        <f aca="false">IF(A3550="","",IFERROR(buscarx(A3550&amp;B3550,DATA!$E$3:$E$10000&amp;DATA!$B$3:$B$10000,DATA!$M$3:$M$10000),"No encontrado"))</f>
        <v/>
      </c>
      <c r="D3550" s="27" t="str">
        <f aca="false">IF(A3550="","",IFERROR(buscarx(A3550&amp;B3550,DATA!$E$3:$E$10000&amp;DATA!$B$3:$B$10000,DATA!$W$3:$W$10000),"No encontrado"))</f>
        <v/>
      </c>
      <c r="E3550" s="22"/>
      <c r="F3550" s="26" t="str">
        <f aca="false">IF(A3550="","",IFERROR(buscarx(A3550&amp;E3550,DATA!$E$3:$E$10000&amp;DATA!$B$3:$B$10000,DATA!$M$3:$M$10000),"Inactivo"))</f>
        <v/>
      </c>
      <c r="G3550" s="28" t="str">
        <f aca="false">IF(A3550="","",IF(AND(C3550&lt;&gt;"No encontrado",F3550&lt;&gt;"Inactivo"),C3550&amp;" → "&amp;F3550,"Sin transición"))</f>
        <v/>
      </c>
      <c r="H3550" s="26" t="str">
        <f aca="false">IF(A3550="","",IF(D3550="GCIA LINEA SERVICIO DIGITALIDAD Y VENTAS","Chats",IF(OR(D3550="GERENCIA INBOUND LÍNEAS SERVICIO Y VENTA",D3550="GERENCIA INBOUND LINEAS ESPECIALIZADAS"),"Llamadas","Otro")))</f>
        <v/>
      </c>
      <c r="I3550" s="26" t="str">
        <f aca="false">IF(A3550="","",IF(C3550="No encontrado","No","Sí"))</f>
        <v/>
      </c>
      <c r="J3550" s="26" t="str">
        <f aca="false">IF(A3550="","",IF(F3550="Inactivo","No","Sí"))</f>
        <v/>
      </c>
      <c r="K3550" s="26" t="str">
        <f aca="false">IF(A3550="","",IF(AND(I3550="Sí",J3550="Sí"),"Sí","No"))</f>
        <v/>
      </c>
    </row>
    <row r="3551" customFormat="false" ht="15" hidden="false" customHeight="false" outlineLevel="0" collapsed="false">
      <c r="A3551" s="22"/>
      <c r="B3551" s="22"/>
      <c r="C3551" s="23" t="str">
        <f aca="false">IF(A3551="","",IFERROR(buscarx(A3551&amp;B3551,DATA!$E$3:$E$10000&amp;DATA!$B$3:$B$10000,DATA!$M$3:$M$10000),"No encontrado"))</f>
        <v/>
      </c>
      <c r="D3551" s="24" t="str">
        <f aca="false">IF(A3551="","",IFERROR(buscarx(A3551&amp;B3551,DATA!$E$3:$E$10000&amp;DATA!$B$3:$B$10000,DATA!$W$3:$W$10000),"No encontrado"))</f>
        <v/>
      </c>
      <c r="E3551" s="22"/>
      <c r="F3551" s="23" t="str">
        <f aca="false">IF(A3551="","",IFERROR(buscarx(A3551&amp;E3551,DATA!$E$3:$E$10000&amp;DATA!$B$3:$B$10000,DATA!$M$3:$M$10000),"Inactivo"))</f>
        <v/>
      </c>
      <c r="G3551" s="25" t="str">
        <f aca="false">IF(A3551="","",IF(AND(C3551&lt;&gt;"No encontrado",F3551&lt;&gt;"Inactivo"),C3551&amp;" → "&amp;F3551,"Sin transición"))</f>
        <v/>
      </c>
      <c r="H3551" s="23" t="str">
        <f aca="false">IF(A3551="","",IF(D3551="GCIA LINEA SERVICIO DIGITALIDAD Y VENTAS","Chats",IF(OR(D3551="GERENCIA INBOUND LÍNEAS SERVICIO Y VENTA",D3551="GERENCIA INBOUND LINEAS ESPECIALIZADAS"),"Llamadas","Otro")))</f>
        <v/>
      </c>
      <c r="I3551" s="23" t="str">
        <f aca="false">IF(A3551="","",IF(C3551="No encontrado","No","Sí"))</f>
        <v/>
      </c>
      <c r="J3551" s="23" t="str">
        <f aca="false">IF(A3551="","",IF(F3551="Inactivo","No","Sí"))</f>
        <v/>
      </c>
      <c r="K3551" s="23" t="str">
        <f aca="false">IF(A3551="","",IF(AND(I3551="Sí",J3551="Sí"),"Sí","No"))</f>
        <v/>
      </c>
    </row>
    <row r="3552" customFormat="false" ht="15" hidden="false" customHeight="false" outlineLevel="0" collapsed="false">
      <c r="A3552" s="22"/>
      <c r="B3552" s="22"/>
      <c r="C3552" s="26" t="str">
        <f aca="false">IF(A3552="","",IFERROR(buscarx(A3552&amp;B3552,DATA!$E$3:$E$10000&amp;DATA!$B$3:$B$10000,DATA!$M$3:$M$10000),"No encontrado"))</f>
        <v/>
      </c>
      <c r="D3552" s="27" t="str">
        <f aca="false">IF(A3552="","",IFERROR(buscarx(A3552&amp;B3552,DATA!$E$3:$E$10000&amp;DATA!$B$3:$B$10000,DATA!$W$3:$W$10000),"No encontrado"))</f>
        <v/>
      </c>
      <c r="E3552" s="22"/>
      <c r="F3552" s="26" t="str">
        <f aca="false">IF(A3552="","",IFERROR(buscarx(A3552&amp;E3552,DATA!$E$3:$E$10000&amp;DATA!$B$3:$B$10000,DATA!$M$3:$M$10000),"Inactivo"))</f>
        <v/>
      </c>
      <c r="G3552" s="28" t="str">
        <f aca="false">IF(A3552="","",IF(AND(C3552&lt;&gt;"No encontrado",F3552&lt;&gt;"Inactivo"),C3552&amp;" → "&amp;F3552,"Sin transición"))</f>
        <v/>
      </c>
      <c r="H3552" s="26" t="str">
        <f aca="false">IF(A3552="","",IF(D3552="GCIA LINEA SERVICIO DIGITALIDAD Y VENTAS","Chats",IF(OR(D3552="GERENCIA INBOUND LÍNEAS SERVICIO Y VENTA",D3552="GERENCIA INBOUND LINEAS ESPECIALIZADAS"),"Llamadas","Otro")))</f>
        <v/>
      </c>
      <c r="I3552" s="26" t="str">
        <f aca="false">IF(A3552="","",IF(C3552="No encontrado","No","Sí"))</f>
        <v/>
      </c>
      <c r="J3552" s="26" t="str">
        <f aca="false">IF(A3552="","",IF(F3552="Inactivo","No","Sí"))</f>
        <v/>
      </c>
      <c r="K3552" s="26" t="str">
        <f aca="false">IF(A3552="","",IF(AND(I3552="Sí",J3552="Sí"),"Sí","No"))</f>
        <v/>
      </c>
    </row>
    <row r="3553" customFormat="false" ht="15" hidden="false" customHeight="false" outlineLevel="0" collapsed="false">
      <c r="A3553" s="22"/>
      <c r="B3553" s="22"/>
      <c r="C3553" s="23" t="str">
        <f aca="false">IF(A3553="","",IFERROR(buscarx(A3553&amp;B3553,DATA!$E$3:$E$10000&amp;DATA!$B$3:$B$10000,DATA!$M$3:$M$10000),"No encontrado"))</f>
        <v/>
      </c>
      <c r="D3553" s="24" t="str">
        <f aca="false">IF(A3553="","",IFERROR(buscarx(A3553&amp;B3553,DATA!$E$3:$E$10000&amp;DATA!$B$3:$B$10000,DATA!$W$3:$W$10000),"No encontrado"))</f>
        <v/>
      </c>
      <c r="E3553" s="22"/>
      <c r="F3553" s="23" t="str">
        <f aca="false">IF(A3553="","",IFERROR(buscarx(A3553&amp;E3553,DATA!$E$3:$E$10000&amp;DATA!$B$3:$B$10000,DATA!$M$3:$M$10000),"Inactivo"))</f>
        <v/>
      </c>
      <c r="G3553" s="25" t="str">
        <f aca="false">IF(A3553="","",IF(AND(C3553&lt;&gt;"No encontrado",F3553&lt;&gt;"Inactivo"),C3553&amp;" → "&amp;F3553,"Sin transición"))</f>
        <v/>
      </c>
      <c r="H3553" s="23" t="str">
        <f aca="false">IF(A3553="","",IF(D3553="GCIA LINEA SERVICIO DIGITALIDAD Y VENTAS","Chats",IF(OR(D3553="GERENCIA INBOUND LÍNEAS SERVICIO Y VENTA",D3553="GERENCIA INBOUND LINEAS ESPECIALIZADAS"),"Llamadas","Otro")))</f>
        <v/>
      </c>
      <c r="I3553" s="23" t="str">
        <f aca="false">IF(A3553="","",IF(C3553="No encontrado","No","Sí"))</f>
        <v/>
      </c>
      <c r="J3553" s="23" t="str">
        <f aca="false">IF(A3553="","",IF(F3553="Inactivo","No","Sí"))</f>
        <v/>
      </c>
      <c r="K3553" s="23" t="str">
        <f aca="false">IF(A3553="","",IF(AND(I3553="Sí",J3553="Sí"),"Sí","No"))</f>
        <v/>
      </c>
    </row>
    <row r="3554" customFormat="false" ht="15" hidden="false" customHeight="false" outlineLevel="0" collapsed="false">
      <c r="A3554" s="22"/>
      <c r="B3554" s="22"/>
      <c r="C3554" s="26" t="str">
        <f aca="false">IF(A3554="","",IFERROR(buscarx(A3554&amp;B3554,DATA!$E$3:$E$10000&amp;DATA!$B$3:$B$10000,DATA!$M$3:$M$10000),"No encontrado"))</f>
        <v/>
      </c>
      <c r="D3554" s="27" t="str">
        <f aca="false">IF(A3554="","",IFERROR(buscarx(A3554&amp;B3554,DATA!$E$3:$E$10000&amp;DATA!$B$3:$B$10000,DATA!$W$3:$W$10000),"No encontrado"))</f>
        <v/>
      </c>
      <c r="E3554" s="22"/>
      <c r="F3554" s="26" t="str">
        <f aca="false">IF(A3554="","",IFERROR(buscarx(A3554&amp;E3554,DATA!$E$3:$E$10000&amp;DATA!$B$3:$B$10000,DATA!$M$3:$M$10000),"Inactivo"))</f>
        <v/>
      </c>
      <c r="G3554" s="28" t="str">
        <f aca="false">IF(A3554="","",IF(AND(C3554&lt;&gt;"No encontrado",F3554&lt;&gt;"Inactivo"),C3554&amp;" → "&amp;F3554,"Sin transición"))</f>
        <v/>
      </c>
      <c r="H3554" s="26" t="str">
        <f aca="false">IF(A3554="","",IF(D3554="GCIA LINEA SERVICIO DIGITALIDAD Y VENTAS","Chats",IF(OR(D3554="GERENCIA INBOUND LÍNEAS SERVICIO Y VENTA",D3554="GERENCIA INBOUND LINEAS ESPECIALIZADAS"),"Llamadas","Otro")))</f>
        <v/>
      </c>
      <c r="I3554" s="26" t="str">
        <f aca="false">IF(A3554="","",IF(C3554="No encontrado","No","Sí"))</f>
        <v/>
      </c>
      <c r="J3554" s="26" t="str">
        <f aca="false">IF(A3554="","",IF(F3554="Inactivo","No","Sí"))</f>
        <v/>
      </c>
      <c r="K3554" s="26" t="str">
        <f aca="false">IF(A3554="","",IF(AND(I3554="Sí",J3554="Sí"),"Sí","No"))</f>
        <v/>
      </c>
    </row>
    <row r="3555" customFormat="false" ht="15" hidden="false" customHeight="false" outlineLevel="0" collapsed="false">
      <c r="A3555" s="22"/>
      <c r="B3555" s="22"/>
      <c r="C3555" s="23" t="str">
        <f aca="false">IF(A3555="","",IFERROR(buscarx(A3555&amp;B3555,DATA!$E$3:$E$10000&amp;DATA!$B$3:$B$10000,DATA!$M$3:$M$10000),"No encontrado"))</f>
        <v/>
      </c>
      <c r="D3555" s="24" t="str">
        <f aca="false">IF(A3555="","",IFERROR(buscarx(A3555&amp;B3555,DATA!$E$3:$E$10000&amp;DATA!$B$3:$B$10000,DATA!$W$3:$W$10000),"No encontrado"))</f>
        <v/>
      </c>
      <c r="E3555" s="22"/>
      <c r="F3555" s="23" t="str">
        <f aca="false">IF(A3555="","",IFERROR(buscarx(A3555&amp;E3555,DATA!$E$3:$E$10000&amp;DATA!$B$3:$B$10000,DATA!$M$3:$M$10000),"Inactivo"))</f>
        <v/>
      </c>
      <c r="G3555" s="25" t="str">
        <f aca="false">IF(A3555="","",IF(AND(C3555&lt;&gt;"No encontrado",F3555&lt;&gt;"Inactivo"),C3555&amp;" → "&amp;F3555,"Sin transición"))</f>
        <v/>
      </c>
      <c r="H3555" s="23" t="str">
        <f aca="false">IF(A3555="","",IF(D3555="GCIA LINEA SERVICIO DIGITALIDAD Y VENTAS","Chats",IF(OR(D3555="GERENCIA INBOUND LÍNEAS SERVICIO Y VENTA",D3555="GERENCIA INBOUND LINEAS ESPECIALIZADAS"),"Llamadas","Otro")))</f>
        <v/>
      </c>
      <c r="I3555" s="23" t="str">
        <f aca="false">IF(A3555="","",IF(C3555="No encontrado","No","Sí"))</f>
        <v/>
      </c>
      <c r="J3555" s="23" t="str">
        <f aca="false">IF(A3555="","",IF(F3555="Inactivo","No","Sí"))</f>
        <v/>
      </c>
      <c r="K3555" s="23" t="str">
        <f aca="false">IF(A3555="","",IF(AND(I3555="Sí",J3555="Sí"),"Sí","No"))</f>
        <v/>
      </c>
    </row>
    <row r="3556" customFormat="false" ht="15" hidden="false" customHeight="false" outlineLevel="0" collapsed="false">
      <c r="A3556" s="22"/>
      <c r="B3556" s="22"/>
      <c r="C3556" s="26" t="str">
        <f aca="false">IF(A3556="","",IFERROR(buscarx(A3556&amp;B3556,DATA!$E$3:$E$10000&amp;DATA!$B$3:$B$10000,DATA!$M$3:$M$10000),"No encontrado"))</f>
        <v/>
      </c>
      <c r="D3556" s="27" t="str">
        <f aca="false">IF(A3556="","",IFERROR(buscarx(A3556&amp;B3556,DATA!$E$3:$E$10000&amp;DATA!$B$3:$B$10000,DATA!$W$3:$W$10000),"No encontrado"))</f>
        <v/>
      </c>
      <c r="E3556" s="22"/>
      <c r="F3556" s="26" t="str">
        <f aca="false">IF(A3556="","",IFERROR(buscarx(A3556&amp;E3556,DATA!$E$3:$E$10000&amp;DATA!$B$3:$B$10000,DATA!$M$3:$M$10000),"Inactivo"))</f>
        <v/>
      </c>
      <c r="G3556" s="28" t="str">
        <f aca="false">IF(A3556="","",IF(AND(C3556&lt;&gt;"No encontrado",F3556&lt;&gt;"Inactivo"),C3556&amp;" → "&amp;F3556,"Sin transición"))</f>
        <v/>
      </c>
      <c r="H3556" s="26" t="str">
        <f aca="false">IF(A3556="","",IF(D3556="GCIA LINEA SERVICIO DIGITALIDAD Y VENTAS","Chats",IF(OR(D3556="GERENCIA INBOUND LÍNEAS SERVICIO Y VENTA",D3556="GERENCIA INBOUND LINEAS ESPECIALIZADAS"),"Llamadas","Otro")))</f>
        <v/>
      </c>
      <c r="I3556" s="26" t="str">
        <f aca="false">IF(A3556="","",IF(C3556="No encontrado","No","Sí"))</f>
        <v/>
      </c>
      <c r="J3556" s="26" t="str">
        <f aca="false">IF(A3556="","",IF(F3556="Inactivo","No","Sí"))</f>
        <v/>
      </c>
      <c r="K3556" s="26" t="str">
        <f aca="false">IF(A3556="","",IF(AND(I3556="Sí",J3556="Sí"),"Sí","No"))</f>
        <v/>
      </c>
    </row>
    <row r="3557" customFormat="false" ht="15" hidden="false" customHeight="false" outlineLevel="0" collapsed="false">
      <c r="A3557" s="22"/>
      <c r="B3557" s="22"/>
      <c r="C3557" s="23" t="str">
        <f aca="false">IF(A3557="","",IFERROR(buscarx(A3557&amp;B3557,DATA!$E$3:$E$10000&amp;DATA!$B$3:$B$10000,DATA!$M$3:$M$10000),"No encontrado"))</f>
        <v/>
      </c>
      <c r="D3557" s="24" t="str">
        <f aca="false">IF(A3557="","",IFERROR(buscarx(A3557&amp;B3557,DATA!$E$3:$E$10000&amp;DATA!$B$3:$B$10000,DATA!$W$3:$W$10000),"No encontrado"))</f>
        <v/>
      </c>
      <c r="E3557" s="22"/>
      <c r="F3557" s="23" t="str">
        <f aca="false">IF(A3557="","",IFERROR(buscarx(A3557&amp;E3557,DATA!$E$3:$E$10000&amp;DATA!$B$3:$B$10000,DATA!$M$3:$M$10000),"Inactivo"))</f>
        <v/>
      </c>
      <c r="G3557" s="25" t="str">
        <f aca="false">IF(A3557="","",IF(AND(C3557&lt;&gt;"No encontrado",F3557&lt;&gt;"Inactivo"),C3557&amp;" → "&amp;F3557,"Sin transición"))</f>
        <v/>
      </c>
      <c r="H3557" s="23" t="str">
        <f aca="false">IF(A3557="","",IF(D3557="GCIA LINEA SERVICIO DIGITALIDAD Y VENTAS","Chats",IF(OR(D3557="GERENCIA INBOUND LÍNEAS SERVICIO Y VENTA",D3557="GERENCIA INBOUND LINEAS ESPECIALIZADAS"),"Llamadas","Otro")))</f>
        <v/>
      </c>
      <c r="I3557" s="23" t="str">
        <f aca="false">IF(A3557="","",IF(C3557="No encontrado","No","Sí"))</f>
        <v/>
      </c>
      <c r="J3557" s="23" t="str">
        <f aca="false">IF(A3557="","",IF(F3557="Inactivo","No","Sí"))</f>
        <v/>
      </c>
      <c r="K3557" s="23" t="str">
        <f aca="false">IF(A3557="","",IF(AND(I3557="Sí",J3557="Sí"),"Sí","No"))</f>
        <v/>
      </c>
    </row>
    <row r="3558" customFormat="false" ht="15" hidden="false" customHeight="false" outlineLevel="0" collapsed="false">
      <c r="A3558" s="22"/>
      <c r="B3558" s="22"/>
      <c r="C3558" s="26" t="str">
        <f aca="false">IF(A3558="","",IFERROR(buscarx(A3558&amp;B3558,DATA!$E$3:$E$10000&amp;DATA!$B$3:$B$10000,DATA!$M$3:$M$10000),"No encontrado"))</f>
        <v/>
      </c>
      <c r="D3558" s="27" t="str">
        <f aca="false">IF(A3558="","",IFERROR(buscarx(A3558&amp;B3558,DATA!$E$3:$E$10000&amp;DATA!$B$3:$B$10000,DATA!$W$3:$W$10000),"No encontrado"))</f>
        <v/>
      </c>
      <c r="E3558" s="22"/>
      <c r="F3558" s="26" t="str">
        <f aca="false">IF(A3558="","",IFERROR(buscarx(A3558&amp;E3558,DATA!$E$3:$E$10000&amp;DATA!$B$3:$B$10000,DATA!$M$3:$M$10000),"Inactivo"))</f>
        <v/>
      </c>
      <c r="G3558" s="28" t="str">
        <f aca="false">IF(A3558="","",IF(AND(C3558&lt;&gt;"No encontrado",F3558&lt;&gt;"Inactivo"),C3558&amp;" → "&amp;F3558,"Sin transición"))</f>
        <v/>
      </c>
      <c r="H3558" s="26" t="str">
        <f aca="false">IF(A3558="","",IF(D3558="GCIA LINEA SERVICIO DIGITALIDAD Y VENTAS","Chats",IF(OR(D3558="GERENCIA INBOUND LÍNEAS SERVICIO Y VENTA",D3558="GERENCIA INBOUND LINEAS ESPECIALIZADAS"),"Llamadas","Otro")))</f>
        <v/>
      </c>
      <c r="I3558" s="26" t="str">
        <f aca="false">IF(A3558="","",IF(C3558="No encontrado","No","Sí"))</f>
        <v/>
      </c>
      <c r="J3558" s="26" t="str">
        <f aca="false">IF(A3558="","",IF(F3558="Inactivo","No","Sí"))</f>
        <v/>
      </c>
      <c r="K3558" s="26" t="str">
        <f aca="false">IF(A3558="","",IF(AND(I3558="Sí",J3558="Sí"),"Sí","No"))</f>
        <v/>
      </c>
    </row>
    <row r="3559" customFormat="false" ht="15" hidden="false" customHeight="false" outlineLevel="0" collapsed="false">
      <c r="A3559" s="22"/>
      <c r="B3559" s="22"/>
      <c r="C3559" s="23" t="str">
        <f aca="false">IF(A3559="","",IFERROR(buscarx(A3559&amp;B3559,DATA!$E$3:$E$10000&amp;DATA!$B$3:$B$10000,DATA!$M$3:$M$10000),"No encontrado"))</f>
        <v/>
      </c>
      <c r="D3559" s="24" t="str">
        <f aca="false">IF(A3559="","",IFERROR(buscarx(A3559&amp;B3559,DATA!$E$3:$E$10000&amp;DATA!$B$3:$B$10000,DATA!$W$3:$W$10000),"No encontrado"))</f>
        <v/>
      </c>
      <c r="E3559" s="22"/>
      <c r="F3559" s="23" t="str">
        <f aca="false">IF(A3559="","",IFERROR(buscarx(A3559&amp;E3559,DATA!$E$3:$E$10000&amp;DATA!$B$3:$B$10000,DATA!$M$3:$M$10000),"Inactivo"))</f>
        <v/>
      </c>
      <c r="G3559" s="25" t="str">
        <f aca="false">IF(A3559="","",IF(AND(C3559&lt;&gt;"No encontrado",F3559&lt;&gt;"Inactivo"),C3559&amp;" → "&amp;F3559,"Sin transición"))</f>
        <v/>
      </c>
      <c r="H3559" s="23" t="str">
        <f aca="false">IF(A3559="","",IF(D3559="GCIA LINEA SERVICIO DIGITALIDAD Y VENTAS","Chats",IF(OR(D3559="GERENCIA INBOUND LÍNEAS SERVICIO Y VENTA",D3559="GERENCIA INBOUND LINEAS ESPECIALIZADAS"),"Llamadas","Otro")))</f>
        <v/>
      </c>
      <c r="I3559" s="23" t="str">
        <f aca="false">IF(A3559="","",IF(C3559="No encontrado","No","Sí"))</f>
        <v/>
      </c>
      <c r="J3559" s="23" t="str">
        <f aca="false">IF(A3559="","",IF(F3559="Inactivo","No","Sí"))</f>
        <v/>
      </c>
      <c r="K3559" s="23" t="str">
        <f aca="false">IF(A3559="","",IF(AND(I3559="Sí",J3559="Sí"),"Sí","No"))</f>
        <v/>
      </c>
    </row>
    <row r="3560" customFormat="false" ht="15" hidden="false" customHeight="false" outlineLevel="0" collapsed="false">
      <c r="A3560" s="22"/>
      <c r="B3560" s="22"/>
      <c r="C3560" s="26" t="str">
        <f aca="false">IF(A3560="","",IFERROR(buscarx(A3560&amp;B3560,DATA!$E$3:$E$10000&amp;DATA!$B$3:$B$10000,DATA!$M$3:$M$10000),"No encontrado"))</f>
        <v/>
      </c>
      <c r="D3560" s="27" t="str">
        <f aca="false">IF(A3560="","",IFERROR(buscarx(A3560&amp;B3560,DATA!$E$3:$E$10000&amp;DATA!$B$3:$B$10000,DATA!$W$3:$W$10000),"No encontrado"))</f>
        <v/>
      </c>
      <c r="E3560" s="22"/>
      <c r="F3560" s="26" t="str">
        <f aca="false">IF(A3560="","",IFERROR(buscarx(A3560&amp;E3560,DATA!$E$3:$E$10000&amp;DATA!$B$3:$B$10000,DATA!$M$3:$M$10000),"Inactivo"))</f>
        <v/>
      </c>
      <c r="G3560" s="28" t="str">
        <f aca="false">IF(A3560="","",IF(AND(C3560&lt;&gt;"No encontrado",F3560&lt;&gt;"Inactivo"),C3560&amp;" → "&amp;F3560,"Sin transición"))</f>
        <v/>
      </c>
      <c r="H3560" s="26" t="str">
        <f aca="false">IF(A3560="","",IF(D3560="GCIA LINEA SERVICIO DIGITALIDAD Y VENTAS","Chats",IF(OR(D3560="GERENCIA INBOUND LÍNEAS SERVICIO Y VENTA",D3560="GERENCIA INBOUND LINEAS ESPECIALIZADAS"),"Llamadas","Otro")))</f>
        <v/>
      </c>
      <c r="I3560" s="26" t="str">
        <f aca="false">IF(A3560="","",IF(C3560="No encontrado","No","Sí"))</f>
        <v/>
      </c>
      <c r="J3560" s="26" t="str">
        <f aca="false">IF(A3560="","",IF(F3560="Inactivo","No","Sí"))</f>
        <v/>
      </c>
      <c r="K3560" s="26" t="str">
        <f aca="false">IF(A3560="","",IF(AND(I3560="Sí",J3560="Sí"),"Sí","No"))</f>
        <v/>
      </c>
    </row>
    <row r="3561" customFormat="false" ht="15" hidden="false" customHeight="false" outlineLevel="0" collapsed="false">
      <c r="A3561" s="22"/>
      <c r="B3561" s="22"/>
      <c r="C3561" s="23" t="str">
        <f aca="false">IF(A3561="","",IFERROR(buscarx(A3561&amp;B3561,DATA!$E$3:$E$10000&amp;DATA!$B$3:$B$10000,DATA!$M$3:$M$10000),"No encontrado"))</f>
        <v/>
      </c>
      <c r="D3561" s="24" t="str">
        <f aca="false">IF(A3561="","",IFERROR(buscarx(A3561&amp;B3561,DATA!$E$3:$E$10000&amp;DATA!$B$3:$B$10000,DATA!$W$3:$W$10000),"No encontrado"))</f>
        <v/>
      </c>
      <c r="E3561" s="22"/>
      <c r="F3561" s="23" t="str">
        <f aca="false">IF(A3561="","",IFERROR(buscarx(A3561&amp;E3561,DATA!$E$3:$E$10000&amp;DATA!$B$3:$B$10000,DATA!$M$3:$M$10000),"Inactivo"))</f>
        <v/>
      </c>
      <c r="G3561" s="25" t="str">
        <f aca="false">IF(A3561="","",IF(AND(C3561&lt;&gt;"No encontrado",F3561&lt;&gt;"Inactivo"),C3561&amp;" → "&amp;F3561,"Sin transición"))</f>
        <v/>
      </c>
      <c r="H3561" s="23" t="str">
        <f aca="false">IF(A3561="","",IF(D3561="GCIA LINEA SERVICIO DIGITALIDAD Y VENTAS","Chats",IF(OR(D3561="GERENCIA INBOUND LÍNEAS SERVICIO Y VENTA",D3561="GERENCIA INBOUND LINEAS ESPECIALIZADAS"),"Llamadas","Otro")))</f>
        <v/>
      </c>
      <c r="I3561" s="23" t="str">
        <f aca="false">IF(A3561="","",IF(C3561="No encontrado","No","Sí"))</f>
        <v/>
      </c>
      <c r="J3561" s="23" t="str">
        <f aca="false">IF(A3561="","",IF(F3561="Inactivo","No","Sí"))</f>
        <v/>
      </c>
      <c r="K3561" s="23" t="str">
        <f aca="false">IF(A3561="","",IF(AND(I3561="Sí",J3561="Sí"),"Sí","No"))</f>
        <v/>
      </c>
    </row>
    <row r="3562" customFormat="false" ht="15" hidden="false" customHeight="false" outlineLevel="0" collapsed="false">
      <c r="A3562" s="22"/>
      <c r="B3562" s="22"/>
      <c r="C3562" s="26" t="str">
        <f aca="false">IF(A3562="","",IFERROR(buscarx(A3562&amp;B3562,DATA!$E$3:$E$10000&amp;DATA!$B$3:$B$10000,DATA!$M$3:$M$10000),"No encontrado"))</f>
        <v/>
      </c>
      <c r="D3562" s="27" t="str">
        <f aca="false">IF(A3562="","",IFERROR(buscarx(A3562&amp;B3562,DATA!$E$3:$E$10000&amp;DATA!$B$3:$B$10000,DATA!$W$3:$W$10000),"No encontrado"))</f>
        <v/>
      </c>
      <c r="E3562" s="22"/>
      <c r="F3562" s="26" t="str">
        <f aca="false">IF(A3562="","",IFERROR(buscarx(A3562&amp;E3562,DATA!$E$3:$E$10000&amp;DATA!$B$3:$B$10000,DATA!$M$3:$M$10000),"Inactivo"))</f>
        <v/>
      </c>
      <c r="G3562" s="28" t="str">
        <f aca="false">IF(A3562="","",IF(AND(C3562&lt;&gt;"No encontrado",F3562&lt;&gt;"Inactivo"),C3562&amp;" → "&amp;F3562,"Sin transición"))</f>
        <v/>
      </c>
      <c r="H3562" s="26" t="str">
        <f aca="false">IF(A3562="","",IF(D3562="GCIA LINEA SERVICIO DIGITALIDAD Y VENTAS","Chats",IF(OR(D3562="GERENCIA INBOUND LÍNEAS SERVICIO Y VENTA",D3562="GERENCIA INBOUND LINEAS ESPECIALIZADAS"),"Llamadas","Otro")))</f>
        <v/>
      </c>
      <c r="I3562" s="26" t="str">
        <f aca="false">IF(A3562="","",IF(C3562="No encontrado","No","Sí"))</f>
        <v/>
      </c>
      <c r="J3562" s="26" t="str">
        <f aca="false">IF(A3562="","",IF(F3562="Inactivo","No","Sí"))</f>
        <v/>
      </c>
      <c r="K3562" s="26" t="str">
        <f aca="false">IF(A3562="","",IF(AND(I3562="Sí",J3562="Sí"),"Sí","No"))</f>
        <v/>
      </c>
    </row>
    <row r="3563" customFormat="false" ht="15" hidden="false" customHeight="false" outlineLevel="0" collapsed="false">
      <c r="A3563" s="22"/>
      <c r="B3563" s="22"/>
      <c r="C3563" s="23" t="str">
        <f aca="false">IF(A3563="","",IFERROR(buscarx(A3563&amp;B3563,DATA!$E$3:$E$10000&amp;DATA!$B$3:$B$10000,DATA!$M$3:$M$10000),"No encontrado"))</f>
        <v/>
      </c>
      <c r="D3563" s="24" t="str">
        <f aca="false">IF(A3563="","",IFERROR(buscarx(A3563&amp;B3563,DATA!$E$3:$E$10000&amp;DATA!$B$3:$B$10000,DATA!$W$3:$W$10000),"No encontrado"))</f>
        <v/>
      </c>
      <c r="E3563" s="22"/>
      <c r="F3563" s="23" t="str">
        <f aca="false">IF(A3563="","",IFERROR(buscarx(A3563&amp;E3563,DATA!$E$3:$E$10000&amp;DATA!$B$3:$B$10000,DATA!$M$3:$M$10000),"Inactivo"))</f>
        <v/>
      </c>
      <c r="G3563" s="25" t="str">
        <f aca="false">IF(A3563="","",IF(AND(C3563&lt;&gt;"No encontrado",F3563&lt;&gt;"Inactivo"),C3563&amp;" → "&amp;F3563,"Sin transición"))</f>
        <v/>
      </c>
      <c r="H3563" s="23" t="str">
        <f aca="false">IF(A3563="","",IF(D3563="GCIA LINEA SERVICIO DIGITALIDAD Y VENTAS","Chats",IF(OR(D3563="GERENCIA INBOUND LÍNEAS SERVICIO Y VENTA",D3563="GERENCIA INBOUND LINEAS ESPECIALIZADAS"),"Llamadas","Otro")))</f>
        <v/>
      </c>
      <c r="I3563" s="23" t="str">
        <f aca="false">IF(A3563="","",IF(C3563="No encontrado","No","Sí"))</f>
        <v/>
      </c>
      <c r="J3563" s="23" t="str">
        <f aca="false">IF(A3563="","",IF(F3563="Inactivo","No","Sí"))</f>
        <v/>
      </c>
      <c r="K3563" s="23" t="str">
        <f aca="false">IF(A3563="","",IF(AND(I3563="Sí",J3563="Sí"),"Sí","No"))</f>
        <v/>
      </c>
    </row>
    <row r="3564" customFormat="false" ht="15" hidden="false" customHeight="false" outlineLevel="0" collapsed="false">
      <c r="A3564" s="22"/>
      <c r="B3564" s="22"/>
      <c r="C3564" s="26" t="str">
        <f aca="false">IF(A3564="","",IFERROR(buscarx(A3564&amp;B3564,DATA!$E$3:$E$10000&amp;DATA!$B$3:$B$10000,DATA!$M$3:$M$10000),"No encontrado"))</f>
        <v/>
      </c>
      <c r="D3564" s="27" t="str">
        <f aca="false">IF(A3564="","",IFERROR(buscarx(A3564&amp;B3564,DATA!$E$3:$E$10000&amp;DATA!$B$3:$B$10000,DATA!$W$3:$W$10000),"No encontrado"))</f>
        <v/>
      </c>
      <c r="E3564" s="22"/>
      <c r="F3564" s="26" t="str">
        <f aca="false">IF(A3564="","",IFERROR(buscarx(A3564&amp;E3564,DATA!$E$3:$E$10000&amp;DATA!$B$3:$B$10000,DATA!$M$3:$M$10000),"Inactivo"))</f>
        <v/>
      </c>
      <c r="G3564" s="28" t="str">
        <f aca="false">IF(A3564="","",IF(AND(C3564&lt;&gt;"No encontrado",F3564&lt;&gt;"Inactivo"),C3564&amp;" → "&amp;F3564,"Sin transición"))</f>
        <v/>
      </c>
      <c r="H3564" s="26" t="str">
        <f aca="false">IF(A3564="","",IF(D3564="GCIA LINEA SERVICIO DIGITALIDAD Y VENTAS","Chats",IF(OR(D3564="GERENCIA INBOUND LÍNEAS SERVICIO Y VENTA",D3564="GERENCIA INBOUND LINEAS ESPECIALIZADAS"),"Llamadas","Otro")))</f>
        <v/>
      </c>
      <c r="I3564" s="26" t="str">
        <f aca="false">IF(A3564="","",IF(C3564="No encontrado","No","Sí"))</f>
        <v/>
      </c>
      <c r="J3564" s="26" t="str">
        <f aca="false">IF(A3564="","",IF(F3564="Inactivo","No","Sí"))</f>
        <v/>
      </c>
      <c r="K3564" s="26" t="str">
        <f aca="false">IF(A3564="","",IF(AND(I3564="Sí",J3564="Sí"),"Sí","No"))</f>
        <v/>
      </c>
    </row>
    <row r="3565" customFormat="false" ht="15" hidden="false" customHeight="false" outlineLevel="0" collapsed="false">
      <c r="A3565" s="22"/>
      <c r="B3565" s="22"/>
      <c r="C3565" s="23" t="str">
        <f aca="false">IF(A3565="","",IFERROR(buscarx(A3565&amp;B3565,DATA!$E$3:$E$10000&amp;DATA!$B$3:$B$10000,DATA!$M$3:$M$10000),"No encontrado"))</f>
        <v/>
      </c>
      <c r="D3565" s="24" t="str">
        <f aca="false">IF(A3565="","",IFERROR(buscarx(A3565&amp;B3565,DATA!$E$3:$E$10000&amp;DATA!$B$3:$B$10000,DATA!$W$3:$W$10000),"No encontrado"))</f>
        <v/>
      </c>
      <c r="E3565" s="22"/>
      <c r="F3565" s="23" t="str">
        <f aca="false">IF(A3565="","",IFERROR(buscarx(A3565&amp;E3565,DATA!$E$3:$E$10000&amp;DATA!$B$3:$B$10000,DATA!$M$3:$M$10000),"Inactivo"))</f>
        <v/>
      </c>
      <c r="G3565" s="25" t="str">
        <f aca="false">IF(A3565="","",IF(AND(C3565&lt;&gt;"No encontrado",F3565&lt;&gt;"Inactivo"),C3565&amp;" → "&amp;F3565,"Sin transición"))</f>
        <v/>
      </c>
      <c r="H3565" s="23" t="str">
        <f aca="false">IF(A3565="","",IF(D3565="GCIA LINEA SERVICIO DIGITALIDAD Y VENTAS","Chats",IF(OR(D3565="GERENCIA INBOUND LÍNEAS SERVICIO Y VENTA",D3565="GERENCIA INBOUND LINEAS ESPECIALIZADAS"),"Llamadas","Otro")))</f>
        <v/>
      </c>
      <c r="I3565" s="23" t="str">
        <f aca="false">IF(A3565="","",IF(C3565="No encontrado","No","Sí"))</f>
        <v/>
      </c>
      <c r="J3565" s="23" t="str">
        <f aca="false">IF(A3565="","",IF(F3565="Inactivo","No","Sí"))</f>
        <v/>
      </c>
      <c r="K3565" s="23" t="str">
        <f aca="false">IF(A3565="","",IF(AND(I3565="Sí",J3565="Sí"),"Sí","No"))</f>
        <v/>
      </c>
    </row>
    <row r="3566" customFormat="false" ht="15" hidden="false" customHeight="false" outlineLevel="0" collapsed="false">
      <c r="A3566" s="22"/>
      <c r="B3566" s="22"/>
      <c r="C3566" s="26" t="str">
        <f aca="false">IF(A3566="","",IFERROR(buscarx(A3566&amp;B3566,DATA!$E$3:$E$10000&amp;DATA!$B$3:$B$10000,DATA!$M$3:$M$10000),"No encontrado"))</f>
        <v/>
      </c>
      <c r="D3566" s="27" t="str">
        <f aca="false">IF(A3566="","",IFERROR(buscarx(A3566&amp;B3566,DATA!$E$3:$E$10000&amp;DATA!$B$3:$B$10000,DATA!$W$3:$W$10000),"No encontrado"))</f>
        <v/>
      </c>
      <c r="E3566" s="22"/>
      <c r="F3566" s="26" t="str">
        <f aca="false">IF(A3566="","",IFERROR(buscarx(A3566&amp;E3566,DATA!$E$3:$E$10000&amp;DATA!$B$3:$B$10000,DATA!$M$3:$M$10000),"Inactivo"))</f>
        <v/>
      </c>
      <c r="G3566" s="28" t="str">
        <f aca="false">IF(A3566="","",IF(AND(C3566&lt;&gt;"No encontrado",F3566&lt;&gt;"Inactivo"),C3566&amp;" → "&amp;F3566,"Sin transición"))</f>
        <v/>
      </c>
      <c r="H3566" s="26" t="str">
        <f aca="false">IF(A3566="","",IF(D3566="GCIA LINEA SERVICIO DIGITALIDAD Y VENTAS","Chats",IF(OR(D3566="GERENCIA INBOUND LÍNEAS SERVICIO Y VENTA",D3566="GERENCIA INBOUND LINEAS ESPECIALIZADAS"),"Llamadas","Otro")))</f>
        <v/>
      </c>
      <c r="I3566" s="26" t="str">
        <f aca="false">IF(A3566="","",IF(C3566="No encontrado","No","Sí"))</f>
        <v/>
      </c>
      <c r="J3566" s="26" t="str">
        <f aca="false">IF(A3566="","",IF(F3566="Inactivo","No","Sí"))</f>
        <v/>
      </c>
      <c r="K3566" s="26" t="str">
        <f aca="false">IF(A3566="","",IF(AND(I3566="Sí",J3566="Sí"),"Sí","No"))</f>
        <v/>
      </c>
    </row>
    <row r="3567" customFormat="false" ht="15" hidden="false" customHeight="false" outlineLevel="0" collapsed="false">
      <c r="A3567" s="22"/>
      <c r="B3567" s="22"/>
      <c r="C3567" s="23" t="str">
        <f aca="false">IF(A3567="","",IFERROR(buscarx(A3567&amp;B3567,DATA!$E$3:$E$10000&amp;DATA!$B$3:$B$10000,DATA!$M$3:$M$10000),"No encontrado"))</f>
        <v/>
      </c>
      <c r="D3567" s="24" t="str">
        <f aca="false">IF(A3567="","",IFERROR(buscarx(A3567&amp;B3567,DATA!$E$3:$E$10000&amp;DATA!$B$3:$B$10000,DATA!$W$3:$W$10000),"No encontrado"))</f>
        <v/>
      </c>
      <c r="E3567" s="22"/>
      <c r="F3567" s="23" t="str">
        <f aca="false">IF(A3567="","",IFERROR(buscarx(A3567&amp;E3567,DATA!$E$3:$E$10000&amp;DATA!$B$3:$B$10000,DATA!$M$3:$M$10000),"Inactivo"))</f>
        <v/>
      </c>
      <c r="G3567" s="25" t="str">
        <f aca="false">IF(A3567="","",IF(AND(C3567&lt;&gt;"No encontrado",F3567&lt;&gt;"Inactivo"),C3567&amp;" → "&amp;F3567,"Sin transición"))</f>
        <v/>
      </c>
      <c r="H3567" s="23" t="str">
        <f aca="false">IF(A3567="","",IF(D3567="GCIA LINEA SERVICIO DIGITALIDAD Y VENTAS","Chats",IF(OR(D3567="GERENCIA INBOUND LÍNEAS SERVICIO Y VENTA",D3567="GERENCIA INBOUND LINEAS ESPECIALIZADAS"),"Llamadas","Otro")))</f>
        <v/>
      </c>
      <c r="I3567" s="23" t="str">
        <f aca="false">IF(A3567="","",IF(C3567="No encontrado","No","Sí"))</f>
        <v/>
      </c>
      <c r="J3567" s="23" t="str">
        <f aca="false">IF(A3567="","",IF(F3567="Inactivo","No","Sí"))</f>
        <v/>
      </c>
      <c r="K3567" s="23" t="str">
        <f aca="false">IF(A3567="","",IF(AND(I3567="Sí",J3567="Sí"),"Sí","No"))</f>
        <v/>
      </c>
    </row>
    <row r="3568" customFormat="false" ht="15" hidden="false" customHeight="false" outlineLevel="0" collapsed="false">
      <c r="A3568" s="22"/>
      <c r="B3568" s="22"/>
      <c r="C3568" s="26" t="str">
        <f aca="false">IF(A3568="","",IFERROR(buscarx(A3568&amp;B3568,DATA!$E$3:$E$10000&amp;DATA!$B$3:$B$10000,DATA!$M$3:$M$10000),"No encontrado"))</f>
        <v/>
      </c>
      <c r="D3568" s="27" t="str">
        <f aca="false">IF(A3568="","",IFERROR(buscarx(A3568&amp;B3568,DATA!$E$3:$E$10000&amp;DATA!$B$3:$B$10000,DATA!$W$3:$W$10000),"No encontrado"))</f>
        <v/>
      </c>
      <c r="E3568" s="22"/>
      <c r="F3568" s="26" t="str">
        <f aca="false">IF(A3568="","",IFERROR(buscarx(A3568&amp;E3568,DATA!$E$3:$E$10000&amp;DATA!$B$3:$B$10000,DATA!$M$3:$M$10000),"Inactivo"))</f>
        <v/>
      </c>
      <c r="G3568" s="28" t="str">
        <f aca="false">IF(A3568="","",IF(AND(C3568&lt;&gt;"No encontrado",F3568&lt;&gt;"Inactivo"),C3568&amp;" → "&amp;F3568,"Sin transición"))</f>
        <v/>
      </c>
      <c r="H3568" s="26" t="str">
        <f aca="false">IF(A3568="","",IF(D3568="GCIA LINEA SERVICIO DIGITALIDAD Y VENTAS","Chats",IF(OR(D3568="GERENCIA INBOUND LÍNEAS SERVICIO Y VENTA",D3568="GERENCIA INBOUND LINEAS ESPECIALIZADAS"),"Llamadas","Otro")))</f>
        <v/>
      </c>
      <c r="I3568" s="26" t="str">
        <f aca="false">IF(A3568="","",IF(C3568="No encontrado","No","Sí"))</f>
        <v/>
      </c>
      <c r="J3568" s="26" t="str">
        <f aca="false">IF(A3568="","",IF(F3568="Inactivo","No","Sí"))</f>
        <v/>
      </c>
      <c r="K3568" s="26" t="str">
        <f aca="false">IF(A3568="","",IF(AND(I3568="Sí",J3568="Sí"),"Sí","No"))</f>
        <v/>
      </c>
    </row>
    <row r="3569" customFormat="false" ht="15" hidden="false" customHeight="false" outlineLevel="0" collapsed="false">
      <c r="A3569" s="22"/>
      <c r="B3569" s="22"/>
      <c r="C3569" s="23" t="str">
        <f aca="false">IF(A3569="","",IFERROR(buscarx(A3569&amp;B3569,DATA!$E$3:$E$10000&amp;DATA!$B$3:$B$10000,DATA!$M$3:$M$10000),"No encontrado"))</f>
        <v/>
      </c>
      <c r="D3569" s="24" t="str">
        <f aca="false">IF(A3569="","",IFERROR(buscarx(A3569&amp;B3569,DATA!$E$3:$E$10000&amp;DATA!$B$3:$B$10000,DATA!$W$3:$W$10000),"No encontrado"))</f>
        <v/>
      </c>
      <c r="E3569" s="22"/>
      <c r="F3569" s="23" t="str">
        <f aca="false">IF(A3569="","",IFERROR(buscarx(A3569&amp;E3569,DATA!$E$3:$E$10000&amp;DATA!$B$3:$B$10000,DATA!$M$3:$M$10000),"Inactivo"))</f>
        <v/>
      </c>
      <c r="G3569" s="25" t="str">
        <f aca="false">IF(A3569="","",IF(AND(C3569&lt;&gt;"No encontrado",F3569&lt;&gt;"Inactivo"),C3569&amp;" → "&amp;F3569,"Sin transición"))</f>
        <v/>
      </c>
      <c r="H3569" s="23" t="str">
        <f aca="false">IF(A3569="","",IF(D3569="GCIA LINEA SERVICIO DIGITALIDAD Y VENTAS","Chats",IF(OR(D3569="GERENCIA INBOUND LÍNEAS SERVICIO Y VENTA",D3569="GERENCIA INBOUND LINEAS ESPECIALIZADAS"),"Llamadas","Otro")))</f>
        <v/>
      </c>
      <c r="I3569" s="23" t="str">
        <f aca="false">IF(A3569="","",IF(C3569="No encontrado","No","Sí"))</f>
        <v/>
      </c>
      <c r="J3569" s="23" t="str">
        <f aca="false">IF(A3569="","",IF(F3569="Inactivo","No","Sí"))</f>
        <v/>
      </c>
      <c r="K3569" s="23" t="str">
        <f aca="false">IF(A3569="","",IF(AND(I3569="Sí",J3569="Sí"),"Sí","No"))</f>
        <v/>
      </c>
    </row>
    <row r="3570" customFormat="false" ht="15" hidden="false" customHeight="false" outlineLevel="0" collapsed="false">
      <c r="A3570" s="22"/>
      <c r="B3570" s="22"/>
      <c r="C3570" s="26" t="str">
        <f aca="false">IF(A3570="","",IFERROR(buscarx(A3570&amp;B3570,DATA!$E$3:$E$10000&amp;DATA!$B$3:$B$10000,DATA!$M$3:$M$10000),"No encontrado"))</f>
        <v/>
      </c>
      <c r="D3570" s="27" t="str">
        <f aca="false">IF(A3570="","",IFERROR(buscarx(A3570&amp;B3570,DATA!$E$3:$E$10000&amp;DATA!$B$3:$B$10000,DATA!$W$3:$W$10000),"No encontrado"))</f>
        <v/>
      </c>
      <c r="E3570" s="22"/>
      <c r="F3570" s="26" t="str">
        <f aca="false">IF(A3570="","",IFERROR(buscarx(A3570&amp;E3570,DATA!$E$3:$E$10000&amp;DATA!$B$3:$B$10000,DATA!$M$3:$M$10000),"Inactivo"))</f>
        <v/>
      </c>
      <c r="G3570" s="28" t="str">
        <f aca="false">IF(A3570="","",IF(AND(C3570&lt;&gt;"No encontrado",F3570&lt;&gt;"Inactivo"),C3570&amp;" → "&amp;F3570,"Sin transición"))</f>
        <v/>
      </c>
      <c r="H3570" s="26" t="str">
        <f aca="false">IF(A3570="","",IF(D3570="GCIA LINEA SERVICIO DIGITALIDAD Y VENTAS","Chats",IF(OR(D3570="GERENCIA INBOUND LÍNEAS SERVICIO Y VENTA",D3570="GERENCIA INBOUND LINEAS ESPECIALIZADAS"),"Llamadas","Otro")))</f>
        <v/>
      </c>
      <c r="I3570" s="26" t="str">
        <f aca="false">IF(A3570="","",IF(C3570="No encontrado","No","Sí"))</f>
        <v/>
      </c>
      <c r="J3570" s="26" t="str">
        <f aca="false">IF(A3570="","",IF(F3570="Inactivo","No","Sí"))</f>
        <v/>
      </c>
      <c r="K3570" s="26" t="str">
        <f aca="false">IF(A3570="","",IF(AND(I3570="Sí",J3570="Sí"),"Sí","No"))</f>
        <v/>
      </c>
    </row>
    <row r="3571" customFormat="false" ht="15" hidden="false" customHeight="false" outlineLevel="0" collapsed="false">
      <c r="A3571" s="22"/>
      <c r="B3571" s="22"/>
      <c r="C3571" s="23" t="str">
        <f aca="false">IF(A3571="","",IFERROR(buscarx(A3571&amp;B3571,DATA!$E$3:$E$10000&amp;DATA!$B$3:$B$10000,DATA!$M$3:$M$10000),"No encontrado"))</f>
        <v/>
      </c>
      <c r="D3571" s="24" t="str">
        <f aca="false">IF(A3571="","",IFERROR(buscarx(A3571&amp;B3571,DATA!$E$3:$E$10000&amp;DATA!$B$3:$B$10000,DATA!$W$3:$W$10000),"No encontrado"))</f>
        <v/>
      </c>
      <c r="E3571" s="22"/>
      <c r="F3571" s="23" t="str">
        <f aca="false">IF(A3571="","",IFERROR(buscarx(A3571&amp;E3571,DATA!$E$3:$E$10000&amp;DATA!$B$3:$B$10000,DATA!$M$3:$M$10000),"Inactivo"))</f>
        <v/>
      </c>
      <c r="G3571" s="25" t="str">
        <f aca="false">IF(A3571="","",IF(AND(C3571&lt;&gt;"No encontrado",F3571&lt;&gt;"Inactivo"),C3571&amp;" → "&amp;F3571,"Sin transición"))</f>
        <v/>
      </c>
      <c r="H3571" s="23" t="str">
        <f aca="false">IF(A3571="","",IF(D3571="GCIA LINEA SERVICIO DIGITALIDAD Y VENTAS","Chats",IF(OR(D3571="GERENCIA INBOUND LÍNEAS SERVICIO Y VENTA",D3571="GERENCIA INBOUND LINEAS ESPECIALIZADAS"),"Llamadas","Otro")))</f>
        <v/>
      </c>
      <c r="I3571" s="23" t="str">
        <f aca="false">IF(A3571="","",IF(C3571="No encontrado","No","Sí"))</f>
        <v/>
      </c>
      <c r="J3571" s="23" t="str">
        <f aca="false">IF(A3571="","",IF(F3571="Inactivo","No","Sí"))</f>
        <v/>
      </c>
      <c r="K3571" s="23" t="str">
        <f aca="false">IF(A3571="","",IF(AND(I3571="Sí",J3571="Sí"),"Sí","No"))</f>
        <v/>
      </c>
    </row>
    <row r="3572" customFormat="false" ht="15" hidden="false" customHeight="false" outlineLevel="0" collapsed="false">
      <c r="A3572" s="22"/>
      <c r="B3572" s="22"/>
      <c r="C3572" s="26" t="str">
        <f aca="false">IF(A3572="","",IFERROR(buscarx(A3572&amp;B3572,DATA!$E$3:$E$10000&amp;DATA!$B$3:$B$10000,DATA!$M$3:$M$10000),"No encontrado"))</f>
        <v/>
      </c>
      <c r="D3572" s="27" t="str">
        <f aca="false">IF(A3572="","",IFERROR(buscarx(A3572&amp;B3572,DATA!$E$3:$E$10000&amp;DATA!$B$3:$B$10000,DATA!$W$3:$W$10000),"No encontrado"))</f>
        <v/>
      </c>
      <c r="E3572" s="22"/>
      <c r="F3572" s="26" t="str">
        <f aca="false">IF(A3572="","",IFERROR(buscarx(A3572&amp;E3572,DATA!$E$3:$E$10000&amp;DATA!$B$3:$B$10000,DATA!$M$3:$M$10000),"Inactivo"))</f>
        <v/>
      </c>
      <c r="G3572" s="28" t="str">
        <f aca="false">IF(A3572="","",IF(AND(C3572&lt;&gt;"No encontrado",F3572&lt;&gt;"Inactivo"),C3572&amp;" → "&amp;F3572,"Sin transición"))</f>
        <v/>
      </c>
      <c r="H3572" s="26" t="str">
        <f aca="false">IF(A3572="","",IF(D3572="GCIA LINEA SERVICIO DIGITALIDAD Y VENTAS","Chats",IF(OR(D3572="GERENCIA INBOUND LÍNEAS SERVICIO Y VENTA",D3572="GERENCIA INBOUND LINEAS ESPECIALIZADAS"),"Llamadas","Otro")))</f>
        <v/>
      </c>
      <c r="I3572" s="26" t="str">
        <f aca="false">IF(A3572="","",IF(C3572="No encontrado","No","Sí"))</f>
        <v/>
      </c>
      <c r="J3572" s="26" t="str">
        <f aca="false">IF(A3572="","",IF(F3572="Inactivo","No","Sí"))</f>
        <v/>
      </c>
      <c r="K3572" s="26" t="str">
        <f aca="false">IF(A3572="","",IF(AND(I3572="Sí",J3572="Sí"),"Sí","No"))</f>
        <v/>
      </c>
    </row>
    <row r="3573" customFormat="false" ht="15" hidden="false" customHeight="false" outlineLevel="0" collapsed="false">
      <c r="A3573" s="22"/>
      <c r="B3573" s="22"/>
      <c r="C3573" s="23" t="str">
        <f aca="false">IF(A3573="","",IFERROR(buscarx(A3573&amp;B3573,DATA!$E$3:$E$10000&amp;DATA!$B$3:$B$10000,DATA!$M$3:$M$10000),"No encontrado"))</f>
        <v/>
      </c>
      <c r="D3573" s="24" t="str">
        <f aca="false">IF(A3573="","",IFERROR(buscarx(A3573&amp;B3573,DATA!$E$3:$E$10000&amp;DATA!$B$3:$B$10000,DATA!$W$3:$W$10000),"No encontrado"))</f>
        <v/>
      </c>
      <c r="E3573" s="22"/>
      <c r="F3573" s="23" t="str">
        <f aca="false">IF(A3573="","",IFERROR(buscarx(A3573&amp;E3573,DATA!$E$3:$E$10000&amp;DATA!$B$3:$B$10000,DATA!$M$3:$M$10000),"Inactivo"))</f>
        <v/>
      </c>
      <c r="G3573" s="25" t="str">
        <f aca="false">IF(A3573="","",IF(AND(C3573&lt;&gt;"No encontrado",F3573&lt;&gt;"Inactivo"),C3573&amp;" → "&amp;F3573,"Sin transición"))</f>
        <v/>
      </c>
      <c r="H3573" s="23" t="str">
        <f aca="false">IF(A3573="","",IF(D3573="GCIA LINEA SERVICIO DIGITALIDAD Y VENTAS","Chats",IF(OR(D3573="GERENCIA INBOUND LÍNEAS SERVICIO Y VENTA",D3573="GERENCIA INBOUND LINEAS ESPECIALIZADAS"),"Llamadas","Otro")))</f>
        <v/>
      </c>
      <c r="I3573" s="23" t="str">
        <f aca="false">IF(A3573="","",IF(C3573="No encontrado","No","Sí"))</f>
        <v/>
      </c>
      <c r="J3573" s="23" t="str">
        <f aca="false">IF(A3573="","",IF(F3573="Inactivo","No","Sí"))</f>
        <v/>
      </c>
      <c r="K3573" s="23" t="str">
        <f aca="false">IF(A3573="","",IF(AND(I3573="Sí",J3573="Sí"),"Sí","No"))</f>
        <v/>
      </c>
    </row>
    <row r="3574" customFormat="false" ht="15" hidden="false" customHeight="false" outlineLevel="0" collapsed="false">
      <c r="A3574" s="22"/>
      <c r="B3574" s="22"/>
      <c r="C3574" s="26" t="str">
        <f aca="false">IF(A3574="","",IFERROR(buscarx(A3574&amp;B3574,DATA!$E$3:$E$10000&amp;DATA!$B$3:$B$10000,DATA!$M$3:$M$10000),"No encontrado"))</f>
        <v/>
      </c>
      <c r="D3574" s="27" t="str">
        <f aca="false">IF(A3574="","",IFERROR(buscarx(A3574&amp;B3574,DATA!$E$3:$E$10000&amp;DATA!$B$3:$B$10000,DATA!$W$3:$W$10000),"No encontrado"))</f>
        <v/>
      </c>
      <c r="E3574" s="22"/>
      <c r="F3574" s="26" t="str">
        <f aca="false">IF(A3574="","",IFERROR(buscarx(A3574&amp;E3574,DATA!$E$3:$E$10000&amp;DATA!$B$3:$B$10000,DATA!$M$3:$M$10000),"Inactivo"))</f>
        <v/>
      </c>
      <c r="G3574" s="28" t="str">
        <f aca="false">IF(A3574="","",IF(AND(C3574&lt;&gt;"No encontrado",F3574&lt;&gt;"Inactivo"),C3574&amp;" → "&amp;F3574,"Sin transición"))</f>
        <v/>
      </c>
      <c r="H3574" s="26" t="str">
        <f aca="false">IF(A3574="","",IF(D3574="GCIA LINEA SERVICIO DIGITALIDAD Y VENTAS","Chats",IF(OR(D3574="GERENCIA INBOUND LÍNEAS SERVICIO Y VENTA",D3574="GERENCIA INBOUND LINEAS ESPECIALIZADAS"),"Llamadas","Otro")))</f>
        <v/>
      </c>
      <c r="I3574" s="26" t="str">
        <f aca="false">IF(A3574="","",IF(C3574="No encontrado","No","Sí"))</f>
        <v/>
      </c>
      <c r="J3574" s="26" t="str">
        <f aca="false">IF(A3574="","",IF(F3574="Inactivo","No","Sí"))</f>
        <v/>
      </c>
      <c r="K3574" s="26" t="str">
        <f aca="false">IF(A3574="","",IF(AND(I3574="Sí",J3574="Sí"),"Sí","No"))</f>
        <v/>
      </c>
    </row>
    <row r="3575" customFormat="false" ht="15" hidden="false" customHeight="false" outlineLevel="0" collapsed="false">
      <c r="A3575" s="22"/>
      <c r="B3575" s="22"/>
      <c r="C3575" s="23" t="str">
        <f aca="false">IF(A3575="","",IFERROR(buscarx(A3575&amp;B3575,DATA!$E$3:$E$10000&amp;DATA!$B$3:$B$10000,DATA!$M$3:$M$10000),"No encontrado"))</f>
        <v/>
      </c>
      <c r="D3575" s="24" t="str">
        <f aca="false">IF(A3575="","",IFERROR(buscarx(A3575&amp;B3575,DATA!$E$3:$E$10000&amp;DATA!$B$3:$B$10000,DATA!$W$3:$W$10000),"No encontrado"))</f>
        <v/>
      </c>
      <c r="E3575" s="22"/>
      <c r="F3575" s="23" t="str">
        <f aca="false">IF(A3575="","",IFERROR(buscarx(A3575&amp;E3575,DATA!$E$3:$E$10000&amp;DATA!$B$3:$B$10000,DATA!$M$3:$M$10000),"Inactivo"))</f>
        <v/>
      </c>
      <c r="G3575" s="25" t="str">
        <f aca="false">IF(A3575="","",IF(AND(C3575&lt;&gt;"No encontrado",F3575&lt;&gt;"Inactivo"),C3575&amp;" → "&amp;F3575,"Sin transición"))</f>
        <v/>
      </c>
      <c r="H3575" s="23" t="str">
        <f aca="false">IF(A3575="","",IF(D3575="GCIA LINEA SERVICIO DIGITALIDAD Y VENTAS","Chats",IF(OR(D3575="GERENCIA INBOUND LÍNEAS SERVICIO Y VENTA",D3575="GERENCIA INBOUND LINEAS ESPECIALIZADAS"),"Llamadas","Otro")))</f>
        <v/>
      </c>
      <c r="I3575" s="23" t="str">
        <f aca="false">IF(A3575="","",IF(C3575="No encontrado","No","Sí"))</f>
        <v/>
      </c>
      <c r="J3575" s="23" t="str">
        <f aca="false">IF(A3575="","",IF(F3575="Inactivo","No","Sí"))</f>
        <v/>
      </c>
      <c r="K3575" s="23" t="str">
        <f aca="false">IF(A3575="","",IF(AND(I3575="Sí",J3575="Sí"),"Sí","No"))</f>
        <v/>
      </c>
    </row>
    <row r="3576" customFormat="false" ht="15" hidden="false" customHeight="false" outlineLevel="0" collapsed="false">
      <c r="A3576" s="22"/>
      <c r="B3576" s="22"/>
      <c r="C3576" s="26" t="str">
        <f aca="false">IF(A3576="","",IFERROR(buscarx(A3576&amp;B3576,DATA!$E$3:$E$10000&amp;DATA!$B$3:$B$10000,DATA!$M$3:$M$10000),"No encontrado"))</f>
        <v/>
      </c>
      <c r="D3576" s="27" t="str">
        <f aca="false">IF(A3576="","",IFERROR(buscarx(A3576&amp;B3576,DATA!$E$3:$E$10000&amp;DATA!$B$3:$B$10000,DATA!$W$3:$W$10000),"No encontrado"))</f>
        <v/>
      </c>
      <c r="E3576" s="22"/>
      <c r="F3576" s="26" t="str">
        <f aca="false">IF(A3576="","",IFERROR(buscarx(A3576&amp;E3576,DATA!$E$3:$E$10000&amp;DATA!$B$3:$B$10000,DATA!$M$3:$M$10000),"Inactivo"))</f>
        <v/>
      </c>
      <c r="G3576" s="28" t="str">
        <f aca="false">IF(A3576="","",IF(AND(C3576&lt;&gt;"No encontrado",F3576&lt;&gt;"Inactivo"),C3576&amp;" → "&amp;F3576,"Sin transición"))</f>
        <v/>
      </c>
      <c r="H3576" s="26" t="str">
        <f aca="false">IF(A3576="","",IF(D3576="GCIA LINEA SERVICIO DIGITALIDAD Y VENTAS","Chats",IF(OR(D3576="GERENCIA INBOUND LÍNEAS SERVICIO Y VENTA",D3576="GERENCIA INBOUND LINEAS ESPECIALIZADAS"),"Llamadas","Otro")))</f>
        <v/>
      </c>
      <c r="I3576" s="26" t="str">
        <f aca="false">IF(A3576="","",IF(C3576="No encontrado","No","Sí"))</f>
        <v/>
      </c>
      <c r="J3576" s="26" t="str">
        <f aca="false">IF(A3576="","",IF(F3576="Inactivo","No","Sí"))</f>
        <v/>
      </c>
      <c r="K3576" s="26" t="str">
        <f aca="false">IF(A3576="","",IF(AND(I3576="Sí",J3576="Sí"),"Sí","No"))</f>
        <v/>
      </c>
    </row>
    <row r="3577" customFormat="false" ht="15" hidden="false" customHeight="false" outlineLevel="0" collapsed="false">
      <c r="A3577" s="22"/>
      <c r="B3577" s="22"/>
      <c r="C3577" s="23" t="str">
        <f aca="false">IF(A3577="","",IFERROR(buscarx(A3577&amp;B3577,DATA!$E$3:$E$10000&amp;DATA!$B$3:$B$10000,DATA!$M$3:$M$10000),"No encontrado"))</f>
        <v/>
      </c>
      <c r="D3577" s="24" t="str">
        <f aca="false">IF(A3577="","",IFERROR(buscarx(A3577&amp;B3577,DATA!$E$3:$E$10000&amp;DATA!$B$3:$B$10000,DATA!$W$3:$W$10000),"No encontrado"))</f>
        <v/>
      </c>
      <c r="E3577" s="22"/>
      <c r="F3577" s="23" t="str">
        <f aca="false">IF(A3577="","",IFERROR(buscarx(A3577&amp;E3577,DATA!$E$3:$E$10000&amp;DATA!$B$3:$B$10000,DATA!$M$3:$M$10000),"Inactivo"))</f>
        <v/>
      </c>
      <c r="G3577" s="25" t="str">
        <f aca="false">IF(A3577="","",IF(AND(C3577&lt;&gt;"No encontrado",F3577&lt;&gt;"Inactivo"),C3577&amp;" → "&amp;F3577,"Sin transición"))</f>
        <v/>
      </c>
      <c r="H3577" s="23" t="str">
        <f aca="false">IF(A3577="","",IF(D3577="GCIA LINEA SERVICIO DIGITALIDAD Y VENTAS","Chats",IF(OR(D3577="GERENCIA INBOUND LÍNEAS SERVICIO Y VENTA",D3577="GERENCIA INBOUND LINEAS ESPECIALIZADAS"),"Llamadas","Otro")))</f>
        <v/>
      </c>
      <c r="I3577" s="23" t="str">
        <f aca="false">IF(A3577="","",IF(C3577="No encontrado","No","Sí"))</f>
        <v/>
      </c>
      <c r="J3577" s="23" t="str">
        <f aca="false">IF(A3577="","",IF(F3577="Inactivo","No","Sí"))</f>
        <v/>
      </c>
      <c r="K3577" s="23" t="str">
        <f aca="false">IF(A3577="","",IF(AND(I3577="Sí",J3577="Sí"),"Sí","No"))</f>
        <v/>
      </c>
    </row>
    <row r="3578" customFormat="false" ht="15" hidden="false" customHeight="false" outlineLevel="0" collapsed="false">
      <c r="A3578" s="22"/>
      <c r="B3578" s="22"/>
      <c r="C3578" s="26" t="str">
        <f aca="false">IF(A3578="","",IFERROR(buscarx(A3578&amp;B3578,DATA!$E$3:$E$10000&amp;DATA!$B$3:$B$10000,DATA!$M$3:$M$10000),"No encontrado"))</f>
        <v/>
      </c>
      <c r="D3578" s="27" t="str">
        <f aca="false">IF(A3578="","",IFERROR(buscarx(A3578&amp;B3578,DATA!$E$3:$E$10000&amp;DATA!$B$3:$B$10000,DATA!$W$3:$W$10000),"No encontrado"))</f>
        <v/>
      </c>
      <c r="E3578" s="22"/>
      <c r="F3578" s="26" t="str">
        <f aca="false">IF(A3578="","",IFERROR(buscarx(A3578&amp;E3578,DATA!$E$3:$E$10000&amp;DATA!$B$3:$B$10000,DATA!$M$3:$M$10000),"Inactivo"))</f>
        <v/>
      </c>
      <c r="G3578" s="28" t="str">
        <f aca="false">IF(A3578="","",IF(AND(C3578&lt;&gt;"No encontrado",F3578&lt;&gt;"Inactivo"),C3578&amp;" → "&amp;F3578,"Sin transición"))</f>
        <v/>
      </c>
      <c r="H3578" s="26" t="str">
        <f aca="false">IF(A3578="","",IF(D3578="GCIA LINEA SERVICIO DIGITALIDAD Y VENTAS","Chats",IF(OR(D3578="GERENCIA INBOUND LÍNEAS SERVICIO Y VENTA",D3578="GERENCIA INBOUND LINEAS ESPECIALIZADAS"),"Llamadas","Otro")))</f>
        <v/>
      </c>
      <c r="I3578" s="26" t="str">
        <f aca="false">IF(A3578="","",IF(C3578="No encontrado","No","Sí"))</f>
        <v/>
      </c>
      <c r="J3578" s="26" t="str">
        <f aca="false">IF(A3578="","",IF(F3578="Inactivo","No","Sí"))</f>
        <v/>
      </c>
      <c r="K3578" s="26" t="str">
        <f aca="false">IF(A3578="","",IF(AND(I3578="Sí",J3578="Sí"),"Sí","No"))</f>
        <v/>
      </c>
    </row>
    <row r="3579" customFormat="false" ht="15" hidden="false" customHeight="false" outlineLevel="0" collapsed="false">
      <c r="A3579" s="22"/>
      <c r="B3579" s="22"/>
      <c r="C3579" s="23" t="str">
        <f aca="false">IF(A3579="","",IFERROR(buscarx(A3579&amp;B3579,DATA!$E$3:$E$10000&amp;DATA!$B$3:$B$10000,DATA!$M$3:$M$10000),"No encontrado"))</f>
        <v/>
      </c>
      <c r="D3579" s="24" t="str">
        <f aca="false">IF(A3579="","",IFERROR(buscarx(A3579&amp;B3579,DATA!$E$3:$E$10000&amp;DATA!$B$3:$B$10000,DATA!$W$3:$W$10000),"No encontrado"))</f>
        <v/>
      </c>
      <c r="E3579" s="22"/>
      <c r="F3579" s="23" t="str">
        <f aca="false">IF(A3579="","",IFERROR(buscarx(A3579&amp;E3579,DATA!$E$3:$E$10000&amp;DATA!$B$3:$B$10000,DATA!$M$3:$M$10000),"Inactivo"))</f>
        <v/>
      </c>
      <c r="G3579" s="25" t="str">
        <f aca="false">IF(A3579="","",IF(AND(C3579&lt;&gt;"No encontrado",F3579&lt;&gt;"Inactivo"),C3579&amp;" → "&amp;F3579,"Sin transición"))</f>
        <v/>
      </c>
      <c r="H3579" s="23" t="str">
        <f aca="false">IF(A3579="","",IF(D3579="GCIA LINEA SERVICIO DIGITALIDAD Y VENTAS","Chats",IF(OR(D3579="GERENCIA INBOUND LÍNEAS SERVICIO Y VENTA",D3579="GERENCIA INBOUND LINEAS ESPECIALIZADAS"),"Llamadas","Otro")))</f>
        <v/>
      </c>
      <c r="I3579" s="23" t="str">
        <f aca="false">IF(A3579="","",IF(C3579="No encontrado","No","Sí"))</f>
        <v/>
      </c>
      <c r="J3579" s="23" t="str">
        <f aca="false">IF(A3579="","",IF(F3579="Inactivo","No","Sí"))</f>
        <v/>
      </c>
      <c r="K3579" s="23" t="str">
        <f aca="false">IF(A3579="","",IF(AND(I3579="Sí",J3579="Sí"),"Sí","No"))</f>
        <v/>
      </c>
    </row>
    <row r="3580" customFormat="false" ht="15" hidden="false" customHeight="false" outlineLevel="0" collapsed="false">
      <c r="A3580" s="22"/>
      <c r="B3580" s="22"/>
      <c r="C3580" s="26" t="str">
        <f aca="false">IF(A3580="","",IFERROR(buscarx(A3580&amp;B3580,DATA!$E$3:$E$10000&amp;DATA!$B$3:$B$10000,DATA!$M$3:$M$10000),"No encontrado"))</f>
        <v/>
      </c>
      <c r="D3580" s="27" t="str">
        <f aca="false">IF(A3580="","",IFERROR(buscarx(A3580&amp;B3580,DATA!$E$3:$E$10000&amp;DATA!$B$3:$B$10000,DATA!$W$3:$W$10000),"No encontrado"))</f>
        <v/>
      </c>
      <c r="E3580" s="22"/>
      <c r="F3580" s="26" t="str">
        <f aca="false">IF(A3580="","",IFERROR(buscarx(A3580&amp;E3580,DATA!$E$3:$E$10000&amp;DATA!$B$3:$B$10000,DATA!$M$3:$M$10000),"Inactivo"))</f>
        <v/>
      </c>
      <c r="G3580" s="28" t="str">
        <f aca="false">IF(A3580="","",IF(AND(C3580&lt;&gt;"No encontrado",F3580&lt;&gt;"Inactivo"),C3580&amp;" → "&amp;F3580,"Sin transición"))</f>
        <v/>
      </c>
      <c r="H3580" s="26" t="str">
        <f aca="false">IF(A3580="","",IF(D3580="GCIA LINEA SERVICIO DIGITALIDAD Y VENTAS","Chats",IF(OR(D3580="GERENCIA INBOUND LÍNEAS SERVICIO Y VENTA",D3580="GERENCIA INBOUND LINEAS ESPECIALIZADAS"),"Llamadas","Otro")))</f>
        <v/>
      </c>
      <c r="I3580" s="26" t="str">
        <f aca="false">IF(A3580="","",IF(C3580="No encontrado","No","Sí"))</f>
        <v/>
      </c>
      <c r="J3580" s="26" t="str">
        <f aca="false">IF(A3580="","",IF(F3580="Inactivo","No","Sí"))</f>
        <v/>
      </c>
      <c r="K3580" s="26" t="str">
        <f aca="false">IF(A3580="","",IF(AND(I3580="Sí",J3580="Sí"),"Sí","No"))</f>
        <v/>
      </c>
    </row>
    <row r="3581" customFormat="false" ht="15" hidden="false" customHeight="false" outlineLevel="0" collapsed="false">
      <c r="A3581" s="22"/>
      <c r="B3581" s="22"/>
      <c r="C3581" s="23" t="str">
        <f aca="false">IF(A3581="","",IFERROR(buscarx(A3581&amp;B3581,DATA!$E$3:$E$10000&amp;DATA!$B$3:$B$10000,DATA!$M$3:$M$10000),"No encontrado"))</f>
        <v/>
      </c>
      <c r="D3581" s="24" t="str">
        <f aca="false">IF(A3581="","",IFERROR(buscarx(A3581&amp;B3581,DATA!$E$3:$E$10000&amp;DATA!$B$3:$B$10000,DATA!$W$3:$W$10000),"No encontrado"))</f>
        <v/>
      </c>
      <c r="E3581" s="22"/>
      <c r="F3581" s="23" t="str">
        <f aca="false">IF(A3581="","",IFERROR(buscarx(A3581&amp;E3581,DATA!$E$3:$E$10000&amp;DATA!$B$3:$B$10000,DATA!$M$3:$M$10000),"Inactivo"))</f>
        <v/>
      </c>
      <c r="G3581" s="25" t="str">
        <f aca="false">IF(A3581="","",IF(AND(C3581&lt;&gt;"No encontrado",F3581&lt;&gt;"Inactivo"),C3581&amp;" → "&amp;F3581,"Sin transición"))</f>
        <v/>
      </c>
      <c r="H3581" s="23" t="str">
        <f aca="false">IF(A3581="","",IF(D3581="GCIA LINEA SERVICIO DIGITALIDAD Y VENTAS","Chats",IF(OR(D3581="GERENCIA INBOUND LÍNEAS SERVICIO Y VENTA",D3581="GERENCIA INBOUND LINEAS ESPECIALIZADAS"),"Llamadas","Otro")))</f>
        <v/>
      </c>
      <c r="I3581" s="23" t="str">
        <f aca="false">IF(A3581="","",IF(C3581="No encontrado","No","Sí"))</f>
        <v/>
      </c>
      <c r="J3581" s="23" t="str">
        <f aca="false">IF(A3581="","",IF(F3581="Inactivo","No","Sí"))</f>
        <v/>
      </c>
      <c r="K3581" s="23" t="str">
        <f aca="false">IF(A3581="","",IF(AND(I3581="Sí",J3581="Sí"),"Sí","No"))</f>
        <v/>
      </c>
    </row>
    <row r="3582" customFormat="false" ht="15" hidden="false" customHeight="false" outlineLevel="0" collapsed="false">
      <c r="A3582" s="22"/>
      <c r="B3582" s="22"/>
      <c r="C3582" s="26" t="str">
        <f aca="false">IF(A3582="","",IFERROR(buscarx(A3582&amp;B3582,DATA!$E$3:$E$10000&amp;DATA!$B$3:$B$10000,DATA!$M$3:$M$10000),"No encontrado"))</f>
        <v/>
      </c>
      <c r="D3582" s="27" t="str">
        <f aca="false">IF(A3582="","",IFERROR(buscarx(A3582&amp;B3582,DATA!$E$3:$E$10000&amp;DATA!$B$3:$B$10000,DATA!$W$3:$W$10000),"No encontrado"))</f>
        <v/>
      </c>
      <c r="E3582" s="22"/>
      <c r="F3582" s="26" t="str">
        <f aca="false">IF(A3582="","",IFERROR(buscarx(A3582&amp;E3582,DATA!$E$3:$E$10000&amp;DATA!$B$3:$B$10000,DATA!$M$3:$M$10000),"Inactivo"))</f>
        <v/>
      </c>
      <c r="G3582" s="28" t="str">
        <f aca="false">IF(A3582="","",IF(AND(C3582&lt;&gt;"No encontrado",F3582&lt;&gt;"Inactivo"),C3582&amp;" → "&amp;F3582,"Sin transición"))</f>
        <v/>
      </c>
      <c r="H3582" s="26" t="str">
        <f aca="false">IF(A3582="","",IF(D3582="GCIA LINEA SERVICIO DIGITALIDAD Y VENTAS","Chats",IF(OR(D3582="GERENCIA INBOUND LÍNEAS SERVICIO Y VENTA",D3582="GERENCIA INBOUND LINEAS ESPECIALIZADAS"),"Llamadas","Otro")))</f>
        <v/>
      </c>
      <c r="I3582" s="26" t="str">
        <f aca="false">IF(A3582="","",IF(C3582="No encontrado","No","Sí"))</f>
        <v/>
      </c>
      <c r="J3582" s="26" t="str">
        <f aca="false">IF(A3582="","",IF(F3582="Inactivo","No","Sí"))</f>
        <v/>
      </c>
      <c r="K3582" s="26" t="str">
        <f aca="false">IF(A3582="","",IF(AND(I3582="Sí",J3582="Sí"),"Sí","No"))</f>
        <v/>
      </c>
    </row>
    <row r="3583" customFormat="false" ht="15" hidden="false" customHeight="false" outlineLevel="0" collapsed="false">
      <c r="A3583" s="22"/>
      <c r="B3583" s="22"/>
      <c r="C3583" s="23" t="str">
        <f aca="false">IF(A3583="","",IFERROR(buscarx(A3583&amp;B3583,DATA!$E$3:$E$10000&amp;DATA!$B$3:$B$10000,DATA!$M$3:$M$10000),"No encontrado"))</f>
        <v/>
      </c>
      <c r="D3583" s="24" t="str">
        <f aca="false">IF(A3583="","",IFERROR(buscarx(A3583&amp;B3583,DATA!$E$3:$E$10000&amp;DATA!$B$3:$B$10000,DATA!$W$3:$W$10000),"No encontrado"))</f>
        <v/>
      </c>
      <c r="E3583" s="22"/>
      <c r="F3583" s="23" t="str">
        <f aca="false">IF(A3583="","",IFERROR(buscarx(A3583&amp;E3583,DATA!$E$3:$E$10000&amp;DATA!$B$3:$B$10000,DATA!$M$3:$M$10000),"Inactivo"))</f>
        <v/>
      </c>
      <c r="G3583" s="25" t="str">
        <f aca="false">IF(A3583="","",IF(AND(C3583&lt;&gt;"No encontrado",F3583&lt;&gt;"Inactivo"),C3583&amp;" → "&amp;F3583,"Sin transición"))</f>
        <v/>
      </c>
      <c r="H3583" s="23" t="str">
        <f aca="false">IF(A3583="","",IF(D3583="GCIA LINEA SERVICIO DIGITALIDAD Y VENTAS","Chats",IF(OR(D3583="GERENCIA INBOUND LÍNEAS SERVICIO Y VENTA",D3583="GERENCIA INBOUND LINEAS ESPECIALIZADAS"),"Llamadas","Otro")))</f>
        <v/>
      </c>
      <c r="I3583" s="23" t="str">
        <f aca="false">IF(A3583="","",IF(C3583="No encontrado","No","Sí"))</f>
        <v/>
      </c>
      <c r="J3583" s="23" t="str">
        <f aca="false">IF(A3583="","",IF(F3583="Inactivo","No","Sí"))</f>
        <v/>
      </c>
      <c r="K3583" s="23" t="str">
        <f aca="false">IF(A3583="","",IF(AND(I3583="Sí",J3583="Sí"),"Sí","No"))</f>
        <v/>
      </c>
    </row>
    <row r="3584" customFormat="false" ht="15" hidden="false" customHeight="false" outlineLevel="0" collapsed="false">
      <c r="A3584" s="22"/>
      <c r="B3584" s="22"/>
      <c r="C3584" s="26" t="str">
        <f aca="false">IF(A3584="","",IFERROR(buscarx(A3584&amp;B3584,DATA!$E$3:$E$10000&amp;DATA!$B$3:$B$10000,DATA!$M$3:$M$10000),"No encontrado"))</f>
        <v/>
      </c>
      <c r="D3584" s="27" t="str">
        <f aca="false">IF(A3584="","",IFERROR(buscarx(A3584&amp;B3584,DATA!$E$3:$E$10000&amp;DATA!$B$3:$B$10000,DATA!$W$3:$W$10000),"No encontrado"))</f>
        <v/>
      </c>
      <c r="E3584" s="22"/>
      <c r="F3584" s="26" t="str">
        <f aca="false">IF(A3584="","",IFERROR(buscarx(A3584&amp;E3584,DATA!$E$3:$E$10000&amp;DATA!$B$3:$B$10000,DATA!$M$3:$M$10000),"Inactivo"))</f>
        <v/>
      </c>
      <c r="G3584" s="28" t="str">
        <f aca="false">IF(A3584="","",IF(AND(C3584&lt;&gt;"No encontrado",F3584&lt;&gt;"Inactivo"),C3584&amp;" → "&amp;F3584,"Sin transición"))</f>
        <v/>
      </c>
      <c r="H3584" s="26" t="str">
        <f aca="false">IF(A3584="","",IF(D3584="GCIA LINEA SERVICIO DIGITALIDAD Y VENTAS","Chats",IF(OR(D3584="GERENCIA INBOUND LÍNEAS SERVICIO Y VENTA",D3584="GERENCIA INBOUND LINEAS ESPECIALIZADAS"),"Llamadas","Otro")))</f>
        <v/>
      </c>
      <c r="I3584" s="26" t="str">
        <f aca="false">IF(A3584="","",IF(C3584="No encontrado","No","Sí"))</f>
        <v/>
      </c>
      <c r="J3584" s="26" t="str">
        <f aca="false">IF(A3584="","",IF(F3584="Inactivo","No","Sí"))</f>
        <v/>
      </c>
      <c r="K3584" s="26" t="str">
        <f aca="false">IF(A3584="","",IF(AND(I3584="Sí",J3584="Sí"),"Sí","No"))</f>
        <v/>
      </c>
    </row>
    <row r="3585" customFormat="false" ht="15" hidden="false" customHeight="false" outlineLevel="0" collapsed="false">
      <c r="A3585" s="22"/>
      <c r="B3585" s="22"/>
      <c r="C3585" s="23" t="str">
        <f aca="false">IF(A3585="","",IFERROR(buscarx(A3585&amp;B3585,DATA!$E$3:$E$10000&amp;DATA!$B$3:$B$10000,DATA!$M$3:$M$10000),"No encontrado"))</f>
        <v/>
      </c>
      <c r="D3585" s="24" t="str">
        <f aca="false">IF(A3585="","",IFERROR(buscarx(A3585&amp;B3585,DATA!$E$3:$E$10000&amp;DATA!$B$3:$B$10000,DATA!$W$3:$W$10000),"No encontrado"))</f>
        <v/>
      </c>
      <c r="E3585" s="22"/>
      <c r="F3585" s="23" t="str">
        <f aca="false">IF(A3585="","",IFERROR(buscarx(A3585&amp;E3585,DATA!$E$3:$E$10000&amp;DATA!$B$3:$B$10000,DATA!$M$3:$M$10000),"Inactivo"))</f>
        <v/>
      </c>
      <c r="G3585" s="25" t="str">
        <f aca="false">IF(A3585="","",IF(AND(C3585&lt;&gt;"No encontrado",F3585&lt;&gt;"Inactivo"),C3585&amp;" → "&amp;F3585,"Sin transición"))</f>
        <v/>
      </c>
      <c r="H3585" s="23" t="str">
        <f aca="false">IF(A3585="","",IF(D3585="GCIA LINEA SERVICIO DIGITALIDAD Y VENTAS","Chats",IF(OR(D3585="GERENCIA INBOUND LÍNEAS SERVICIO Y VENTA",D3585="GERENCIA INBOUND LINEAS ESPECIALIZADAS"),"Llamadas","Otro")))</f>
        <v/>
      </c>
      <c r="I3585" s="23" t="str">
        <f aca="false">IF(A3585="","",IF(C3585="No encontrado","No","Sí"))</f>
        <v/>
      </c>
      <c r="J3585" s="23" t="str">
        <f aca="false">IF(A3585="","",IF(F3585="Inactivo","No","Sí"))</f>
        <v/>
      </c>
      <c r="K3585" s="23" t="str">
        <f aca="false">IF(A3585="","",IF(AND(I3585="Sí",J3585="Sí"),"Sí","No"))</f>
        <v/>
      </c>
    </row>
    <row r="3586" customFormat="false" ht="15" hidden="false" customHeight="false" outlineLevel="0" collapsed="false">
      <c r="A3586" s="22"/>
      <c r="B3586" s="22"/>
      <c r="C3586" s="26" t="str">
        <f aca="false">IF(A3586="","",IFERROR(buscarx(A3586&amp;B3586,DATA!$E$3:$E$10000&amp;DATA!$B$3:$B$10000,DATA!$M$3:$M$10000),"No encontrado"))</f>
        <v/>
      </c>
      <c r="D3586" s="27" t="str">
        <f aca="false">IF(A3586="","",IFERROR(buscarx(A3586&amp;B3586,DATA!$E$3:$E$10000&amp;DATA!$B$3:$B$10000,DATA!$W$3:$W$10000),"No encontrado"))</f>
        <v/>
      </c>
      <c r="E3586" s="22"/>
      <c r="F3586" s="26" t="str">
        <f aca="false">IF(A3586="","",IFERROR(buscarx(A3586&amp;E3586,DATA!$E$3:$E$10000&amp;DATA!$B$3:$B$10000,DATA!$M$3:$M$10000),"Inactivo"))</f>
        <v/>
      </c>
      <c r="G3586" s="28" t="str">
        <f aca="false">IF(A3586="","",IF(AND(C3586&lt;&gt;"No encontrado",F3586&lt;&gt;"Inactivo"),C3586&amp;" → "&amp;F3586,"Sin transición"))</f>
        <v/>
      </c>
      <c r="H3586" s="26" t="str">
        <f aca="false">IF(A3586="","",IF(D3586="GCIA LINEA SERVICIO DIGITALIDAD Y VENTAS","Chats",IF(OR(D3586="GERENCIA INBOUND LÍNEAS SERVICIO Y VENTA",D3586="GERENCIA INBOUND LINEAS ESPECIALIZADAS"),"Llamadas","Otro")))</f>
        <v/>
      </c>
      <c r="I3586" s="26" t="str">
        <f aca="false">IF(A3586="","",IF(C3586="No encontrado","No","Sí"))</f>
        <v/>
      </c>
      <c r="J3586" s="26" t="str">
        <f aca="false">IF(A3586="","",IF(F3586="Inactivo","No","Sí"))</f>
        <v/>
      </c>
      <c r="K3586" s="26" t="str">
        <f aca="false">IF(A3586="","",IF(AND(I3586="Sí",J3586="Sí"),"Sí","No"))</f>
        <v/>
      </c>
    </row>
    <row r="3587" customFormat="false" ht="15" hidden="false" customHeight="false" outlineLevel="0" collapsed="false">
      <c r="A3587" s="22"/>
      <c r="B3587" s="22"/>
      <c r="C3587" s="23" t="str">
        <f aca="false">IF(A3587="","",IFERROR(buscarx(A3587&amp;B3587,DATA!$E$3:$E$10000&amp;DATA!$B$3:$B$10000,DATA!$M$3:$M$10000),"No encontrado"))</f>
        <v/>
      </c>
      <c r="D3587" s="24" t="str">
        <f aca="false">IF(A3587="","",IFERROR(buscarx(A3587&amp;B3587,DATA!$E$3:$E$10000&amp;DATA!$B$3:$B$10000,DATA!$W$3:$W$10000),"No encontrado"))</f>
        <v/>
      </c>
      <c r="E3587" s="22"/>
      <c r="F3587" s="23" t="str">
        <f aca="false">IF(A3587="","",IFERROR(buscarx(A3587&amp;E3587,DATA!$E$3:$E$10000&amp;DATA!$B$3:$B$10000,DATA!$M$3:$M$10000),"Inactivo"))</f>
        <v/>
      </c>
      <c r="G3587" s="25" t="str">
        <f aca="false">IF(A3587="","",IF(AND(C3587&lt;&gt;"No encontrado",F3587&lt;&gt;"Inactivo"),C3587&amp;" → "&amp;F3587,"Sin transición"))</f>
        <v/>
      </c>
      <c r="H3587" s="23" t="str">
        <f aca="false">IF(A3587="","",IF(D3587="GCIA LINEA SERVICIO DIGITALIDAD Y VENTAS","Chats",IF(OR(D3587="GERENCIA INBOUND LÍNEAS SERVICIO Y VENTA",D3587="GERENCIA INBOUND LINEAS ESPECIALIZADAS"),"Llamadas","Otro")))</f>
        <v/>
      </c>
      <c r="I3587" s="23" t="str">
        <f aca="false">IF(A3587="","",IF(C3587="No encontrado","No","Sí"))</f>
        <v/>
      </c>
      <c r="J3587" s="23" t="str">
        <f aca="false">IF(A3587="","",IF(F3587="Inactivo","No","Sí"))</f>
        <v/>
      </c>
      <c r="K3587" s="23" t="str">
        <f aca="false">IF(A3587="","",IF(AND(I3587="Sí",J3587="Sí"),"Sí","No"))</f>
        <v/>
      </c>
    </row>
    <row r="3588" customFormat="false" ht="15" hidden="false" customHeight="false" outlineLevel="0" collapsed="false">
      <c r="A3588" s="22"/>
      <c r="B3588" s="22"/>
      <c r="C3588" s="26" t="str">
        <f aca="false">IF(A3588="","",IFERROR(buscarx(A3588&amp;B3588,DATA!$E$3:$E$10000&amp;DATA!$B$3:$B$10000,DATA!$M$3:$M$10000),"No encontrado"))</f>
        <v/>
      </c>
      <c r="D3588" s="27" t="str">
        <f aca="false">IF(A3588="","",IFERROR(buscarx(A3588&amp;B3588,DATA!$E$3:$E$10000&amp;DATA!$B$3:$B$10000,DATA!$W$3:$W$10000),"No encontrado"))</f>
        <v/>
      </c>
      <c r="E3588" s="22"/>
      <c r="F3588" s="26" t="str">
        <f aca="false">IF(A3588="","",IFERROR(buscarx(A3588&amp;E3588,DATA!$E$3:$E$10000&amp;DATA!$B$3:$B$10000,DATA!$M$3:$M$10000),"Inactivo"))</f>
        <v/>
      </c>
      <c r="G3588" s="28" t="str">
        <f aca="false">IF(A3588="","",IF(AND(C3588&lt;&gt;"No encontrado",F3588&lt;&gt;"Inactivo"),C3588&amp;" → "&amp;F3588,"Sin transición"))</f>
        <v/>
      </c>
      <c r="H3588" s="26" t="str">
        <f aca="false">IF(A3588="","",IF(D3588="GCIA LINEA SERVICIO DIGITALIDAD Y VENTAS","Chats",IF(OR(D3588="GERENCIA INBOUND LÍNEAS SERVICIO Y VENTA",D3588="GERENCIA INBOUND LINEAS ESPECIALIZADAS"),"Llamadas","Otro")))</f>
        <v/>
      </c>
      <c r="I3588" s="26" t="str">
        <f aca="false">IF(A3588="","",IF(C3588="No encontrado","No","Sí"))</f>
        <v/>
      </c>
      <c r="J3588" s="26" t="str">
        <f aca="false">IF(A3588="","",IF(F3588="Inactivo","No","Sí"))</f>
        <v/>
      </c>
      <c r="K3588" s="26" t="str">
        <f aca="false">IF(A3588="","",IF(AND(I3588="Sí",J3588="Sí"),"Sí","No"))</f>
        <v/>
      </c>
    </row>
    <row r="3589" customFormat="false" ht="15" hidden="false" customHeight="false" outlineLevel="0" collapsed="false">
      <c r="A3589" s="22"/>
      <c r="B3589" s="22"/>
      <c r="C3589" s="23" t="str">
        <f aca="false">IF(A3589="","",IFERROR(buscarx(A3589&amp;B3589,DATA!$E$3:$E$10000&amp;DATA!$B$3:$B$10000,DATA!$M$3:$M$10000),"No encontrado"))</f>
        <v/>
      </c>
      <c r="D3589" s="24" t="str">
        <f aca="false">IF(A3589="","",IFERROR(buscarx(A3589&amp;B3589,DATA!$E$3:$E$10000&amp;DATA!$B$3:$B$10000,DATA!$W$3:$W$10000),"No encontrado"))</f>
        <v/>
      </c>
      <c r="E3589" s="22"/>
      <c r="F3589" s="23" t="str">
        <f aca="false">IF(A3589="","",IFERROR(buscarx(A3589&amp;E3589,DATA!$E$3:$E$10000&amp;DATA!$B$3:$B$10000,DATA!$M$3:$M$10000),"Inactivo"))</f>
        <v/>
      </c>
      <c r="G3589" s="25" t="str">
        <f aca="false">IF(A3589="","",IF(AND(C3589&lt;&gt;"No encontrado",F3589&lt;&gt;"Inactivo"),C3589&amp;" → "&amp;F3589,"Sin transición"))</f>
        <v/>
      </c>
      <c r="H3589" s="23" t="str">
        <f aca="false">IF(A3589="","",IF(D3589="GCIA LINEA SERVICIO DIGITALIDAD Y VENTAS","Chats",IF(OR(D3589="GERENCIA INBOUND LÍNEAS SERVICIO Y VENTA",D3589="GERENCIA INBOUND LINEAS ESPECIALIZADAS"),"Llamadas","Otro")))</f>
        <v/>
      </c>
      <c r="I3589" s="23" t="str">
        <f aca="false">IF(A3589="","",IF(C3589="No encontrado","No","Sí"))</f>
        <v/>
      </c>
      <c r="J3589" s="23" t="str">
        <f aca="false">IF(A3589="","",IF(F3589="Inactivo","No","Sí"))</f>
        <v/>
      </c>
      <c r="K3589" s="23" t="str">
        <f aca="false">IF(A3589="","",IF(AND(I3589="Sí",J3589="Sí"),"Sí","No"))</f>
        <v/>
      </c>
    </row>
    <row r="3590" customFormat="false" ht="15" hidden="false" customHeight="false" outlineLevel="0" collapsed="false">
      <c r="A3590" s="22"/>
      <c r="B3590" s="22"/>
      <c r="C3590" s="26" t="str">
        <f aca="false">IF(A3590="","",IFERROR(buscarx(A3590&amp;B3590,DATA!$E$3:$E$10000&amp;DATA!$B$3:$B$10000,DATA!$M$3:$M$10000),"No encontrado"))</f>
        <v/>
      </c>
      <c r="D3590" s="27" t="str">
        <f aca="false">IF(A3590="","",IFERROR(buscarx(A3590&amp;B3590,DATA!$E$3:$E$10000&amp;DATA!$B$3:$B$10000,DATA!$W$3:$W$10000),"No encontrado"))</f>
        <v/>
      </c>
      <c r="E3590" s="22"/>
      <c r="F3590" s="26" t="str">
        <f aca="false">IF(A3590="","",IFERROR(buscarx(A3590&amp;E3590,DATA!$E$3:$E$10000&amp;DATA!$B$3:$B$10000,DATA!$M$3:$M$10000),"Inactivo"))</f>
        <v/>
      </c>
      <c r="G3590" s="28" t="str">
        <f aca="false">IF(A3590="","",IF(AND(C3590&lt;&gt;"No encontrado",F3590&lt;&gt;"Inactivo"),C3590&amp;" → "&amp;F3590,"Sin transición"))</f>
        <v/>
      </c>
      <c r="H3590" s="26" t="str">
        <f aca="false">IF(A3590="","",IF(D3590="GCIA LINEA SERVICIO DIGITALIDAD Y VENTAS","Chats",IF(OR(D3590="GERENCIA INBOUND LÍNEAS SERVICIO Y VENTA",D3590="GERENCIA INBOUND LINEAS ESPECIALIZADAS"),"Llamadas","Otro")))</f>
        <v/>
      </c>
      <c r="I3590" s="26" t="str">
        <f aca="false">IF(A3590="","",IF(C3590="No encontrado","No","Sí"))</f>
        <v/>
      </c>
      <c r="J3590" s="26" t="str">
        <f aca="false">IF(A3590="","",IF(F3590="Inactivo","No","Sí"))</f>
        <v/>
      </c>
      <c r="K3590" s="26" t="str">
        <f aca="false">IF(A3590="","",IF(AND(I3590="Sí",J3590="Sí"),"Sí","No"))</f>
        <v/>
      </c>
    </row>
    <row r="3591" customFormat="false" ht="15" hidden="false" customHeight="false" outlineLevel="0" collapsed="false">
      <c r="A3591" s="22"/>
      <c r="B3591" s="22"/>
      <c r="C3591" s="23" t="str">
        <f aca="false">IF(A3591="","",IFERROR(buscarx(A3591&amp;B3591,DATA!$E$3:$E$10000&amp;DATA!$B$3:$B$10000,DATA!$M$3:$M$10000),"No encontrado"))</f>
        <v/>
      </c>
      <c r="D3591" s="24" t="str">
        <f aca="false">IF(A3591="","",IFERROR(buscarx(A3591&amp;B3591,DATA!$E$3:$E$10000&amp;DATA!$B$3:$B$10000,DATA!$W$3:$W$10000),"No encontrado"))</f>
        <v/>
      </c>
      <c r="E3591" s="22"/>
      <c r="F3591" s="23" t="str">
        <f aca="false">IF(A3591="","",IFERROR(buscarx(A3591&amp;E3591,DATA!$E$3:$E$10000&amp;DATA!$B$3:$B$10000,DATA!$M$3:$M$10000),"Inactivo"))</f>
        <v/>
      </c>
      <c r="G3591" s="25" t="str">
        <f aca="false">IF(A3591="","",IF(AND(C3591&lt;&gt;"No encontrado",F3591&lt;&gt;"Inactivo"),C3591&amp;" → "&amp;F3591,"Sin transición"))</f>
        <v/>
      </c>
      <c r="H3591" s="23" t="str">
        <f aca="false">IF(A3591="","",IF(D3591="GCIA LINEA SERVICIO DIGITALIDAD Y VENTAS","Chats",IF(OR(D3591="GERENCIA INBOUND LÍNEAS SERVICIO Y VENTA",D3591="GERENCIA INBOUND LINEAS ESPECIALIZADAS"),"Llamadas","Otro")))</f>
        <v/>
      </c>
      <c r="I3591" s="23" t="str">
        <f aca="false">IF(A3591="","",IF(C3591="No encontrado","No","Sí"))</f>
        <v/>
      </c>
      <c r="J3591" s="23" t="str">
        <f aca="false">IF(A3591="","",IF(F3591="Inactivo","No","Sí"))</f>
        <v/>
      </c>
      <c r="K3591" s="23" t="str">
        <f aca="false">IF(A3591="","",IF(AND(I3591="Sí",J3591="Sí"),"Sí","No"))</f>
        <v/>
      </c>
    </row>
    <row r="3592" customFormat="false" ht="15" hidden="false" customHeight="false" outlineLevel="0" collapsed="false">
      <c r="A3592" s="22"/>
      <c r="B3592" s="22"/>
      <c r="C3592" s="26" t="str">
        <f aca="false">IF(A3592="","",IFERROR(buscarx(A3592&amp;B3592,DATA!$E$3:$E$10000&amp;DATA!$B$3:$B$10000,DATA!$M$3:$M$10000),"No encontrado"))</f>
        <v/>
      </c>
      <c r="D3592" s="27" t="str">
        <f aca="false">IF(A3592="","",IFERROR(buscarx(A3592&amp;B3592,DATA!$E$3:$E$10000&amp;DATA!$B$3:$B$10000,DATA!$W$3:$W$10000),"No encontrado"))</f>
        <v/>
      </c>
      <c r="E3592" s="22"/>
      <c r="F3592" s="26" t="str">
        <f aca="false">IF(A3592="","",IFERROR(buscarx(A3592&amp;E3592,DATA!$E$3:$E$10000&amp;DATA!$B$3:$B$10000,DATA!$M$3:$M$10000),"Inactivo"))</f>
        <v/>
      </c>
      <c r="G3592" s="28" t="str">
        <f aca="false">IF(A3592="","",IF(AND(C3592&lt;&gt;"No encontrado",F3592&lt;&gt;"Inactivo"),C3592&amp;" → "&amp;F3592,"Sin transición"))</f>
        <v/>
      </c>
      <c r="H3592" s="26" t="str">
        <f aca="false">IF(A3592="","",IF(D3592="GCIA LINEA SERVICIO DIGITALIDAD Y VENTAS","Chats",IF(OR(D3592="GERENCIA INBOUND LÍNEAS SERVICIO Y VENTA",D3592="GERENCIA INBOUND LINEAS ESPECIALIZADAS"),"Llamadas","Otro")))</f>
        <v/>
      </c>
      <c r="I3592" s="26" t="str">
        <f aca="false">IF(A3592="","",IF(C3592="No encontrado","No","Sí"))</f>
        <v/>
      </c>
      <c r="J3592" s="26" t="str">
        <f aca="false">IF(A3592="","",IF(F3592="Inactivo","No","Sí"))</f>
        <v/>
      </c>
      <c r="K3592" s="26" t="str">
        <f aca="false">IF(A3592="","",IF(AND(I3592="Sí",J3592="Sí"),"Sí","No"))</f>
        <v/>
      </c>
    </row>
    <row r="3593" customFormat="false" ht="15" hidden="false" customHeight="false" outlineLevel="0" collapsed="false">
      <c r="A3593" s="22"/>
      <c r="B3593" s="22"/>
      <c r="C3593" s="23" t="str">
        <f aca="false">IF(A3593="","",IFERROR(buscarx(A3593&amp;B3593,DATA!$E$3:$E$10000&amp;DATA!$B$3:$B$10000,DATA!$M$3:$M$10000),"No encontrado"))</f>
        <v/>
      </c>
      <c r="D3593" s="24" t="str">
        <f aca="false">IF(A3593="","",IFERROR(buscarx(A3593&amp;B3593,DATA!$E$3:$E$10000&amp;DATA!$B$3:$B$10000,DATA!$W$3:$W$10000),"No encontrado"))</f>
        <v/>
      </c>
      <c r="E3593" s="22"/>
      <c r="F3593" s="23" t="str">
        <f aca="false">IF(A3593="","",IFERROR(buscarx(A3593&amp;E3593,DATA!$E$3:$E$10000&amp;DATA!$B$3:$B$10000,DATA!$M$3:$M$10000),"Inactivo"))</f>
        <v/>
      </c>
      <c r="G3593" s="25" t="str">
        <f aca="false">IF(A3593="","",IF(AND(C3593&lt;&gt;"No encontrado",F3593&lt;&gt;"Inactivo"),C3593&amp;" → "&amp;F3593,"Sin transición"))</f>
        <v/>
      </c>
      <c r="H3593" s="23" t="str">
        <f aca="false">IF(A3593="","",IF(D3593="GCIA LINEA SERVICIO DIGITALIDAD Y VENTAS","Chats",IF(OR(D3593="GERENCIA INBOUND LÍNEAS SERVICIO Y VENTA",D3593="GERENCIA INBOUND LINEAS ESPECIALIZADAS"),"Llamadas","Otro")))</f>
        <v/>
      </c>
      <c r="I3593" s="23" t="str">
        <f aca="false">IF(A3593="","",IF(C3593="No encontrado","No","Sí"))</f>
        <v/>
      </c>
      <c r="J3593" s="23" t="str">
        <f aca="false">IF(A3593="","",IF(F3593="Inactivo","No","Sí"))</f>
        <v/>
      </c>
      <c r="K3593" s="23" t="str">
        <f aca="false">IF(A3593="","",IF(AND(I3593="Sí",J3593="Sí"),"Sí","No"))</f>
        <v/>
      </c>
    </row>
    <row r="3594" customFormat="false" ht="15" hidden="false" customHeight="false" outlineLevel="0" collapsed="false">
      <c r="A3594" s="22"/>
      <c r="B3594" s="22"/>
      <c r="C3594" s="26" t="str">
        <f aca="false">IF(A3594="","",IFERROR(buscarx(A3594&amp;B3594,DATA!$E$3:$E$10000&amp;DATA!$B$3:$B$10000,DATA!$M$3:$M$10000),"No encontrado"))</f>
        <v/>
      </c>
      <c r="D3594" s="27" t="str">
        <f aca="false">IF(A3594="","",IFERROR(buscarx(A3594&amp;B3594,DATA!$E$3:$E$10000&amp;DATA!$B$3:$B$10000,DATA!$W$3:$W$10000),"No encontrado"))</f>
        <v/>
      </c>
      <c r="E3594" s="22"/>
      <c r="F3594" s="26" t="str">
        <f aca="false">IF(A3594="","",IFERROR(buscarx(A3594&amp;E3594,DATA!$E$3:$E$10000&amp;DATA!$B$3:$B$10000,DATA!$M$3:$M$10000),"Inactivo"))</f>
        <v/>
      </c>
      <c r="G3594" s="28" t="str">
        <f aca="false">IF(A3594="","",IF(AND(C3594&lt;&gt;"No encontrado",F3594&lt;&gt;"Inactivo"),C3594&amp;" → "&amp;F3594,"Sin transición"))</f>
        <v/>
      </c>
      <c r="H3594" s="26" t="str">
        <f aca="false">IF(A3594="","",IF(D3594="GCIA LINEA SERVICIO DIGITALIDAD Y VENTAS","Chats",IF(OR(D3594="GERENCIA INBOUND LÍNEAS SERVICIO Y VENTA",D3594="GERENCIA INBOUND LINEAS ESPECIALIZADAS"),"Llamadas","Otro")))</f>
        <v/>
      </c>
      <c r="I3594" s="26" t="str">
        <f aca="false">IF(A3594="","",IF(C3594="No encontrado","No","Sí"))</f>
        <v/>
      </c>
      <c r="J3594" s="26" t="str">
        <f aca="false">IF(A3594="","",IF(F3594="Inactivo","No","Sí"))</f>
        <v/>
      </c>
      <c r="K3594" s="26" t="str">
        <f aca="false">IF(A3594="","",IF(AND(I3594="Sí",J3594="Sí"),"Sí","No"))</f>
        <v/>
      </c>
    </row>
    <row r="3595" customFormat="false" ht="15" hidden="false" customHeight="false" outlineLevel="0" collapsed="false">
      <c r="A3595" s="22"/>
      <c r="B3595" s="22"/>
      <c r="C3595" s="23" t="str">
        <f aca="false">IF(A3595="","",IFERROR(buscarx(A3595&amp;B3595,DATA!$E$3:$E$10000&amp;DATA!$B$3:$B$10000,DATA!$M$3:$M$10000),"No encontrado"))</f>
        <v/>
      </c>
      <c r="D3595" s="24" t="str">
        <f aca="false">IF(A3595="","",IFERROR(buscarx(A3595&amp;B3595,DATA!$E$3:$E$10000&amp;DATA!$B$3:$B$10000,DATA!$W$3:$W$10000),"No encontrado"))</f>
        <v/>
      </c>
      <c r="E3595" s="22"/>
      <c r="F3595" s="23" t="str">
        <f aca="false">IF(A3595="","",IFERROR(buscarx(A3595&amp;E3595,DATA!$E$3:$E$10000&amp;DATA!$B$3:$B$10000,DATA!$M$3:$M$10000),"Inactivo"))</f>
        <v/>
      </c>
      <c r="G3595" s="25" t="str">
        <f aca="false">IF(A3595="","",IF(AND(C3595&lt;&gt;"No encontrado",F3595&lt;&gt;"Inactivo"),C3595&amp;" → "&amp;F3595,"Sin transición"))</f>
        <v/>
      </c>
      <c r="H3595" s="23" t="str">
        <f aca="false">IF(A3595="","",IF(D3595="GCIA LINEA SERVICIO DIGITALIDAD Y VENTAS","Chats",IF(OR(D3595="GERENCIA INBOUND LÍNEAS SERVICIO Y VENTA",D3595="GERENCIA INBOUND LINEAS ESPECIALIZADAS"),"Llamadas","Otro")))</f>
        <v/>
      </c>
      <c r="I3595" s="23" t="str">
        <f aca="false">IF(A3595="","",IF(C3595="No encontrado","No","Sí"))</f>
        <v/>
      </c>
      <c r="J3595" s="23" t="str">
        <f aca="false">IF(A3595="","",IF(F3595="Inactivo","No","Sí"))</f>
        <v/>
      </c>
      <c r="K3595" s="23" t="str">
        <f aca="false">IF(A3595="","",IF(AND(I3595="Sí",J3595="Sí"),"Sí","No"))</f>
        <v/>
      </c>
    </row>
    <row r="3596" customFormat="false" ht="15" hidden="false" customHeight="false" outlineLevel="0" collapsed="false">
      <c r="A3596" s="22"/>
      <c r="B3596" s="22"/>
      <c r="C3596" s="26" t="str">
        <f aca="false">IF(A3596="","",IFERROR(buscarx(A3596&amp;B3596,DATA!$E$3:$E$10000&amp;DATA!$B$3:$B$10000,DATA!$M$3:$M$10000),"No encontrado"))</f>
        <v/>
      </c>
      <c r="D3596" s="27" t="str">
        <f aca="false">IF(A3596="","",IFERROR(buscarx(A3596&amp;B3596,DATA!$E$3:$E$10000&amp;DATA!$B$3:$B$10000,DATA!$W$3:$W$10000),"No encontrado"))</f>
        <v/>
      </c>
      <c r="E3596" s="22"/>
      <c r="F3596" s="26" t="str">
        <f aca="false">IF(A3596="","",IFERROR(buscarx(A3596&amp;E3596,DATA!$E$3:$E$10000&amp;DATA!$B$3:$B$10000,DATA!$M$3:$M$10000),"Inactivo"))</f>
        <v/>
      </c>
      <c r="G3596" s="28" t="str">
        <f aca="false">IF(A3596="","",IF(AND(C3596&lt;&gt;"No encontrado",F3596&lt;&gt;"Inactivo"),C3596&amp;" → "&amp;F3596,"Sin transición"))</f>
        <v/>
      </c>
      <c r="H3596" s="26" t="str">
        <f aca="false">IF(A3596="","",IF(D3596="GCIA LINEA SERVICIO DIGITALIDAD Y VENTAS","Chats",IF(OR(D3596="GERENCIA INBOUND LÍNEAS SERVICIO Y VENTA",D3596="GERENCIA INBOUND LINEAS ESPECIALIZADAS"),"Llamadas","Otro")))</f>
        <v/>
      </c>
      <c r="I3596" s="26" t="str">
        <f aca="false">IF(A3596="","",IF(C3596="No encontrado","No","Sí"))</f>
        <v/>
      </c>
      <c r="J3596" s="26" t="str">
        <f aca="false">IF(A3596="","",IF(F3596="Inactivo","No","Sí"))</f>
        <v/>
      </c>
      <c r="K3596" s="26" t="str">
        <f aca="false">IF(A3596="","",IF(AND(I3596="Sí",J3596="Sí"),"Sí","No"))</f>
        <v/>
      </c>
    </row>
    <row r="3597" customFormat="false" ht="15" hidden="false" customHeight="false" outlineLevel="0" collapsed="false">
      <c r="A3597" s="22"/>
      <c r="B3597" s="22"/>
      <c r="C3597" s="23" t="str">
        <f aca="false">IF(A3597="","",IFERROR(buscarx(A3597&amp;B3597,DATA!$E$3:$E$10000&amp;DATA!$B$3:$B$10000,DATA!$M$3:$M$10000),"No encontrado"))</f>
        <v/>
      </c>
      <c r="D3597" s="24" t="str">
        <f aca="false">IF(A3597="","",IFERROR(buscarx(A3597&amp;B3597,DATA!$E$3:$E$10000&amp;DATA!$B$3:$B$10000,DATA!$W$3:$W$10000),"No encontrado"))</f>
        <v/>
      </c>
      <c r="E3597" s="22"/>
      <c r="F3597" s="23" t="str">
        <f aca="false">IF(A3597="","",IFERROR(buscarx(A3597&amp;E3597,DATA!$E$3:$E$10000&amp;DATA!$B$3:$B$10000,DATA!$M$3:$M$10000),"Inactivo"))</f>
        <v/>
      </c>
      <c r="G3597" s="25" t="str">
        <f aca="false">IF(A3597="","",IF(AND(C3597&lt;&gt;"No encontrado",F3597&lt;&gt;"Inactivo"),C3597&amp;" → "&amp;F3597,"Sin transición"))</f>
        <v/>
      </c>
      <c r="H3597" s="23" t="str">
        <f aca="false">IF(A3597="","",IF(D3597="GCIA LINEA SERVICIO DIGITALIDAD Y VENTAS","Chats",IF(OR(D3597="GERENCIA INBOUND LÍNEAS SERVICIO Y VENTA",D3597="GERENCIA INBOUND LINEAS ESPECIALIZADAS"),"Llamadas","Otro")))</f>
        <v/>
      </c>
      <c r="I3597" s="23" t="str">
        <f aca="false">IF(A3597="","",IF(C3597="No encontrado","No","Sí"))</f>
        <v/>
      </c>
      <c r="J3597" s="23" t="str">
        <f aca="false">IF(A3597="","",IF(F3597="Inactivo","No","Sí"))</f>
        <v/>
      </c>
      <c r="K3597" s="23" t="str">
        <f aca="false">IF(A3597="","",IF(AND(I3597="Sí",J3597="Sí"),"Sí","No"))</f>
        <v/>
      </c>
    </row>
    <row r="3598" customFormat="false" ht="15" hidden="false" customHeight="false" outlineLevel="0" collapsed="false">
      <c r="A3598" s="22"/>
      <c r="B3598" s="22"/>
      <c r="C3598" s="26" t="str">
        <f aca="false">IF(A3598="","",IFERROR(buscarx(A3598&amp;B3598,DATA!$E$3:$E$10000&amp;DATA!$B$3:$B$10000,DATA!$M$3:$M$10000),"No encontrado"))</f>
        <v/>
      </c>
      <c r="D3598" s="27" t="str">
        <f aca="false">IF(A3598="","",IFERROR(buscarx(A3598&amp;B3598,DATA!$E$3:$E$10000&amp;DATA!$B$3:$B$10000,DATA!$W$3:$W$10000),"No encontrado"))</f>
        <v/>
      </c>
      <c r="E3598" s="22"/>
      <c r="F3598" s="26" t="str">
        <f aca="false">IF(A3598="","",IFERROR(buscarx(A3598&amp;E3598,DATA!$E$3:$E$10000&amp;DATA!$B$3:$B$10000,DATA!$M$3:$M$10000),"Inactivo"))</f>
        <v/>
      </c>
      <c r="G3598" s="28" t="str">
        <f aca="false">IF(A3598="","",IF(AND(C3598&lt;&gt;"No encontrado",F3598&lt;&gt;"Inactivo"),C3598&amp;" → "&amp;F3598,"Sin transición"))</f>
        <v/>
      </c>
      <c r="H3598" s="26" t="str">
        <f aca="false">IF(A3598="","",IF(D3598="GCIA LINEA SERVICIO DIGITALIDAD Y VENTAS","Chats",IF(OR(D3598="GERENCIA INBOUND LÍNEAS SERVICIO Y VENTA",D3598="GERENCIA INBOUND LINEAS ESPECIALIZADAS"),"Llamadas","Otro")))</f>
        <v/>
      </c>
      <c r="I3598" s="26" t="str">
        <f aca="false">IF(A3598="","",IF(C3598="No encontrado","No","Sí"))</f>
        <v/>
      </c>
      <c r="J3598" s="26" t="str">
        <f aca="false">IF(A3598="","",IF(F3598="Inactivo","No","Sí"))</f>
        <v/>
      </c>
      <c r="K3598" s="26" t="str">
        <f aca="false">IF(A3598="","",IF(AND(I3598="Sí",J3598="Sí"),"Sí","No"))</f>
        <v/>
      </c>
    </row>
    <row r="3599" customFormat="false" ht="15" hidden="false" customHeight="false" outlineLevel="0" collapsed="false">
      <c r="A3599" s="22"/>
      <c r="B3599" s="22"/>
      <c r="C3599" s="23" t="str">
        <f aca="false">IF(A3599="","",IFERROR(buscarx(A3599&amp;B3599,DATA!$E$3:$E$10000&amp;DATA!$B$3:$B$10000,DATA!$M$3:$M$10000),"No encontrado"))</f>
        <v/>
      </c>
      <c r="D3599" s="24" t="str">
        <f aca="false">IF(A3599="","",IFERROR(buscarx(A3599&amp;B3599,DATA!$E$3:$E$10000&amp;DATA!$B$3:$B$10000,DATA!$W$3:$W$10000),"No encontrado"))</f>
        <v/>
      </c>
      <c r="E3599" s="22"/>
      <c r="F3599" s="23" t="str">
        <f aca="false">IF(A3599="","",IFERROR(buscarx(A3599&amp;E3599,DATA!$E$3:$E$10000&amp;DATA!$B$3:$B$10000,DATA!$M$3:$M$10000),"Inactivo"))</f>
        <v/>
      </c>
      <c r="G3599" s="25" t="str">
        <f aca="false">IF(A3599="","",IF(AND(C3599&lt;&gt;"No encontrado",F3599&lt;&gt;"Inactivo"),C3599&amp;" → "&amp;F3599,"Sin transición"))</f>
        <v/>
      </c>
      <c r="H3599" s="23" t="str">
        <f aca="false">IF(A3599="","",IF(D3599="GCIA LINEA SERVICIO DIGITALIDAD Y VENTAS","Chats",IF(OR(D3599="GERENCIA INBOUND LÍNEAS SERVICIO Y VENTA",D3599="GERENCIA INBOUND LINEAS ESPECIALIZADAS"),"Llamadas","Otro")))</f>
        <v/>
      </c>
      <c r="I3599" s="23" t="str">
        <f aca="false">IF(A3599="","",IF(C3599="No encontrado","No","Sí"))</f>
        <v/>
      </c>
      <c r="J3599" s="23" t="str">
        <f aca="false">IF(A3599="","",IF(F3599="Inactivo","No","Sí"))</f>
        <v/>
      </c>
      <c r="K3599" s="23" t="str">
        <f aca="false">IF(A3599="","",IF(AND(I3599="Sí",J3599="Sí"),"Sí","No"))</f>
        <v/>
      </c>
    </row>
    <row r="3600" customFormat="false" ht="15" hidden="false" customHeight="false" outlineLevel="0" collapsed="false">
      <c r="A3600" s="22"/>
      <c r="B3600" s="22"/>
      <c r="C3600" s="26" t="str">
        <f aca="false">IF(A3600="","",IFERROR(buscarx(A3600&amp;B3600,DATA!$E$3:$E$10000&amp;DATA!$B$3:$B$10000,DATA!$M$3:$M$10000),"No encontrado"))</f>
        <v/>
      </c>
      <c r="D3600" s="27" t="str">
        <f aca="false">IF(A3600="","",IFERROR(buscarx(A3600&amp;B3600,DATA!$E$3:$E$10000&amp;DATA!$B$3:$B$10000,DATA!$W$3:$W$10000),"No encontrado"))</f>
        <v/>
      </c>
      <c r="E3600" s="22"/>
      <c r="F3600" s="26" t="str">
        <f aca="false">IF(A3600="","",IFERROR(buscarx(A3600&amp;E3600,DATA!$E$3:$E$10000&amp;DATA!$B$3:$B$10000,DATA!$M$3:$M$10000),"Inactivo"))</f>
        <v/>
      </c>
      <c r="G3600" s="28" t="str">
        <f aca="false">IF(A3600="","",IF(AND(C3600&lt;&gt;"No encontrado",F3600&lt;&gt;"Inactivo"),C3600&amp;" → "&amp;F3600,"Sin transición"))</f>
        <v/>
      </c>
      <c r="H3600" s="26" t="str">
        <f aca="false">IF(A3600="","",IF(D3600="GCIA LINEA SERVICIO DIGITALIDAD Y VENTAS","Chats",IF(OR(D3600="GERENCIA INBOUND LÍNEAS SERVICIO Y VENTA",D3600="GERENCIA INBOUND LINEAS ESPECIALIZADAS"),"Llamadas","Otro")))</f>
        <v/>
      </c>
      <c r="I3600" s="26" t="str">
        <f aca="false">IF(A3600="","",IF(C3600="No encontrado","No","Sí"))</f>
        <v/>
      </c>
      <c r="J3600" s="26" t="str">
        <f aca="false">IF(A3600="","",IF(F3600="Inactivo","No","Sí"))</f>
        <v/>
      </c>
      <c r="K3600" s="26" t="str">
        <f aca="false">IF(A3600="","",IF(AND(I3600="Sí",J3600="Sí"),"Sí","No"))</f>
        <v/>
      </c>
    </row>
    <row r="3601" customFormat="false" ht="15" hidden="false" customHeight="false" outlineLevel="0" collapsed="false">
      <c r="A3601" s="22"/>
      <c r="B3601" s="22"/>
      <c r="C3601" s="23" t="str">
        <f aca="false">IF(A3601="","",IFERROR(buscarx(A3601&amp;B3601,DATA!$E$3:$E$10000&amp;DATA!$B$3:$B$10000,DATA!$M$3:$M$10000),"No encontrado"))</f>
        <v/>
      </c>
      <c r="D3601" s="24" t="str">
        <f aca="false">IF(A3601="","",IFERROR(buscarx(A3601&amp;B3601,DATA!$E$3:$E$10000&amp;DATA!$B$3:$B$10000,DATA!$W$3:$W$10000),"No encontrado"))</f>
        <v/>
      </c>
      <c r="E3601" s="22"/>
      <c r="F3601" s="23" t="str">
        <f aca="false">IF(A3601="","",IFERROR(buscarx(A3601&amp;E3601,DATA!$E$3:$E$10000&amp;DATA!$B$3:$B$10000,DATA!$M$3:$M$10000),"Inactivo"))</f>
        <v/>
      </c>
      <c r="G3601" s="25" t="str">
        <f aca="false">IF(A3601="","",IF(AND(C3601&lt;&gt;"No encontrado",F3601&lt;&gt;"Inactivo"),C3601&amp;" → "&amp;F3601,"Sin transición"))</f>
        <v/>
      </c>
      <c r="H3601" s="23" t="str">
        <f aca="false">IF(A3601="","",IF(D3601="GCIA LINEA SERVICIO DIGITALIDAD Y VENTAS","Chats",IF(OR(D3601="GERENCIA INBOUND LÍNEAS SERVICIO Y VENTA",D3601="GERENCIA INBOUND LINEAS ESPECIALIZADAS"),"Llamadas","Otro")))</f>
        <v/>
      </c>
      <c r="I3601" s="23" t="str">
        <f aca="false">IF(A3601="","",IF(C3601="No encontrado","No","Sí"))</f>
        <v/>
      </c>
      <c r="J3601" s="23" t="str">
        <f aca="false">IF(A3601="","",IF(F3601="Inactivo","No","Sí"))</f>
        <v/>
      </c>
      <c r="K3601" s="23" t="str">
        <f aca="false">IF(A3601="","",IF(AND(I3601="Sí",J3601="Sí"),"Sí","No"))</f>
        <v/>
      </c>
    </row>
    <row r="3602" customFormat="false" ht="15" hidden="false" customHeight="false" outlineLevel="0" collapsed="false">
      <c r="A3602" s="22"/>
      <c r="B3602" s="22"/>
      <c r="C3602" s="26" t="str">
        <f aca="false">IF(A3602="","",IFERROR(buscarx(A3602&amp;B3602,DATA!$E$3:$E$10000&amp;DATA!$B$3:$B$10000,DATA!$M$3:$M$10000),"No encontrado"))</f>
        <v/>
      </c>
      <c r="D3602" s="27" t="str">
        <f aca="false">IF(A3602="","",IFERROR(buscarx(A3602&amp;B3602,DATA!$E$3:$E$10000&amp;DATA!$B$3:$B$10000,DATA!$W$3:$W$10000),"No encontrado"))</f>
        <v/>
      </c>
      <c r="E3602" s="22"/>
      <c r="F3602" s="26" t="str">
        <f aca="false">IF(A3602="","",IFERROR(buscarx(A3602&amp;E3602,DATA!$E$3:$E$10000&amp;DATA!$B$3:$B$10000,DATA!$M$3:$M$10000),"Inactivo"))</f>
        <v/>
      </c>
      <c r="G3602" s="28" t="str">
        <f aca="false">IF(A3602="","",IF(AND(C3602&lt;&gt;"No encontrado",F3602&lt;&gt;"Inactivo"),C3602&amp;" → "&amp;F3602,"Sin transición"))</f>
        <v/>
      </c>
      <c r="H3602" s="26" t="str">
        <f aca="false">IF(A3602="","",IF(D3602="GCIA LINEA SERVICIO DIGITALIDAD Y VENTAS","Chats",IF(OR(D3602="GERENCIA INBOUND LÍNEAS SERVICIO Y VENTA",D3602="GERENCIA INBOUND LINEAS ESPECIALIZADAS"),"Llamadas","Otro")))</f>
        <v/>
      </c>
      <c r="I3602" s="26" t="str">
        <f aca="false">IF(A3602="","",IF(C3602="No encontrado","No","Sí"))</f>
        <v/>
      </c>
      <c r="J3602" s="26" t="str">
        <f aca="false">IF(A3602="","",IF(F3602="Inactivo","No","Sí"))</f>
        <v/>
      </c>
      <c r="K3602" s="26" t="str">
        <f aca="false">IF(A3602="","",IF(AND(I3602="Sí",J3602="Sí"),"Sí","No"))</f>
        <v/>
      </c>
    </row>
    <row r="3603" customFormat="false" ht="15" hidden="false" customHeight="false" outlineLevel="0" collapsed="false">
      <c r="A3603" s="22"/>
      <c r="B3603" s="22"/>
      <c r="C3603" s="23" t="str">
        <f aca="false">IF(A3603="","",IFERROR(buscarx(A3603&amp;B3603,DATA!$E$3:$E$10000&amp;DATA!$B$3:$B$10000,DATA!$M$3:$M$10000),"No encontrado"))</f>
        <v/>
      </c>
      <c r="D3603" s="24" t="str">
        <f aca="false">IF(A3603="","",IFERROR(buscarx(A3603&amp;B3603,DATA!$E$3:$E$10000&amp;DATA!$B$3:$B$10000,DATA!$W$3:$W$10000),"No encontrado"))</f>
        <v/>
      </c>
      <c r="E3603" s="22"/>
      <c r="F3603" s="23" t="str">
        <f aca="false">IF(A3603="","",IFERROR(buscarx(A3603&amp;E3603,DATA!$E$3:$E$10000&amp;DATA!$B$3:$B$10000,DATA!$M$3:$M$10000),"Inactivo"))</f>
        <v/>
      </c>
      <c r="G3603" s="25" t="str">
        <f aca="false">IF(A3603="","",IF(AND(C3603&lt;&gt;"No encontrado",F3603&lt;&gt;"Inactivo"),C3603&amp;" → "&amp;F3603,"Sin transición"))</f>
        <v/>
      </c>
      <c r="H3603" s="23" t="str">
        <f aca="false">IF(A3603="","",IF(D3603="GCIA LINEA SERVICIO DIGITALIDAD Y VENTAS","Chats",IF(OR(D3603="GERENCIA INBOUND LÍNEAS SERVICIO Y VENTA",D3603="GERENCIA INBOUND LINEAS ESPECIALIZADAS"),"Llamadas","Otro")))</f>
        <v/>
      </c>
      <c r="I3603" s="23" t="str">
        <f aca="false">IF(A3603="","",IF(C3603="No encontrado","No","Sí"))</f>
        <v/>
      </c>
      <c r="J3603" s="23" t="str">
        <f aca="false">IF(A3603="","",IF(F3603="Inactivo","No","Sí"))</f>
        <v/>
      </c>
      <c r="K3603" s="23" t="str">
        <f aca="false">IF(A3603="","",IF(AND(I3603="Sí",J3603="Sí"),"Sí","No"))</f>
        <v/>
      </c>
    </row>
    <row r="3604" customFormat="false" ht="15" hidden="false" customHeight="false" outlineLevel="0" collapsed="false">
      <c r="A3604" s="22"/>
      <c r="B3604" s="22"/>
      <c r="C3604" s="26" t="str">
        <f aca="false">IF(A3604="","",IFERROR(buscarx(A3604&amp;B3604,DATA!$E$3:$E$10000&amp;DATA!$B$3:$B$10000,DATA!$M$3:$M$10000),"No encontrado"))</f>
        <v/>
      </c>
      <c r="D3604" s="27" t="str">
        <f aca="false">IF(A3604="","",IFERROR(buscarx(A3604&amp;B3604,DATA!$E$3:$E$10000&amp;DATA!$B$3:$B$10000,DATA!$W$3:$W$10000),"No encontrado"))</f>
        <v/>
      </c>
      <c r="E3604" s="22"/>
      <c r="F3604" s="26" t="str">
        <f aca="false">IF(A3604="","",IFERROR(buscarx(A3604&amp;E3604,DATA!$E$3:$E$10000&amp;DATA!$B$3:$B$10000,DATA!$M$3:$M$10000),"Inactivo"))</f>
        <v/>
      </c>
      <c r="G3604" s="28" t="str">
        <f aca="false">IF(A3604="","",IF(AND(C3604&lt;&gt;"No encontrado",F3604&lt;&gt;"Inactivo"),C3604&amp;" → "&amp;F3604,"Sin transición"))</f>
        <v/>
      </c>
      <c r="H3604" s="26" t="str">
        <f aca="false">IF(A3604="","",IF(D3604="GCIA LINEA SERVICIO DIGITALIDAD Y VENTAS","Chats",IF(OR(D3604="GERENCIA INBOUND LÍNEAS SERVICIO Y VENTA",D3604="GERENCIA INBOUND LINEAS ESPECIALIZADAS"),"Llamadas","Otro")))</f>
        <v/>
      </c>
      <c r="I3604" s="26" t="str">
        <f aca="false">IF(A3604="","",IF(C3604="No encontrado","No","Sí"))</f>
        <v/>
      </c>
      <c r="J3604" s="26" t="str">
        <f aca="false">IF(A3604="","",IF(F3604="Inactivo","No","Sí"))</f>
        <v/>
      </c>
      <c r="K3604" s="26" t="str">
        <f aca="false">IF(A3604="","",IF(AND(I3604="Sí",J3604="Sí"),"Sí","No"))</f>
        <v/>
      </c>
    </row>
    <row r="3605" customFormat="false" ht="15" hidden="false" customHeight="false" outlineLevel="0" collapsed="false">
      <c r="A3605" s="22"/>
      <c r="B3605" s="22"/>
      <c r="C3605" s="23" t="str">
        <f aca="false">IF(A3605="","",IFERROR(buscarx(A3605&amp;B3605,DATA!$E$3:$E$10000&amp;DATA!$B$3:$B$10000,DATA!$M$3:$M$10000),"No encontrado"))</f>
        <v/>
      </c>
      <c r="D3605" s="24" t="str">
        <f aca="false">IF(A3605="","",IFERROR(buscarx(A3605&amp;B3605,DATA!$E$3:$E$10000&amp;DATA!$B$3:$B$10000,DATA!$W$3:$W$10000),"No encontrado"))</f>
        <v/>
      </c>
      <c r="E3605" s="22"/>
      <c r="F3605" s="23" t="str">
        <f aca="false">IF(A3605="","",IFERROR(buscarx(A3605&amp;E3605,DATA!$E$3:$E$10000&amp;DATA!$B$3:$B$10000,DATA!$M$3:$M$10000),"Inactivo"))</f>
        <v/>
      </c>
      <c r="G3605" s="25" t="str">
        <f aca="false">IF(A3605="","",IF(AND(C3605&lt;&gt;"No encontrado",F3605&lt;&gt;"Inactivo"),C3605&amp;" → "&amp;F3605,"Sin transición"))</f>
        <v/>
      </c>
      <c r="H3605" s="23" t="str">
        <f aca="false">IF(A3605="","",IF(D3605="GCIA LINEA SERVICIO DIGITALIDAD Y VENTAS","Chats",IF(OR(D3605="GERENCIA INBOUND LÍNEAS SERVICIO Y VENTA",D3605="GERENCIA INBOUND LINEAS ESPECIALIZADAS"),"Llamadas","Otro")))</f>
        <v/>
      </c>
      <c r="I3605" s="23" t="str">
        <f aca="false">IF(A3605="","",IF(C3605="No encontrado","No","Sí"))</f>
        <v/>
      </c>
      <c r="J3605" s="23" t="str">
        <f aca="false">IF(A3605="","",IF(F3605="Inactivo","No","Sí"))</f>
        <v/>
      </c>
      <c r="K3605" s="23" t="str">
        <f aca="false">IF(A3605="","",IF(AND(I3605="Sí",J3605="Sí"),"Sí","No"))</f>
        <v/>
      </c>
    </row>
    <row r="3606" customFormat="false" ht="15" hidden="false" customHeight="false" outlineLevel="0" collapsed="false">
      <c r="A3606" s="22"/>
      <c r="B3606" s="22"/>
      <c r="C3606" s="26" t="str">
        <f aca="false">IF(A3606="","",IFERROR(buscarx(A3606&amp;B3606,DATA!$E$3:$E$10000&amp;DATA!$B$3:$B$10000,DATA!$M$3:$M$10000),"No encontrado"))</f>
        <v/>
      </c>
      <c r="D3606" s="27" t="str">
        <f aca="false">IF(A3606="","",IFERROR(buscarx(A3606&amp;B3606,DATA!$E$3:$E$10000&amp;DATA!$B$3:$B$10000,DATA!$W$3:$W$10000),"No encontrado"))</f>
        <v/>
      </c>
      <c r="E3606" s="22"/>
      <c r="F3606" s="26" t="str">
        <f aca="false">IF(A3606="","",IFERROR(buscarx(A3606&amp;E3606,DATA!$E$3:$E$10000&amp;DATA!$B$3:$B$10000,DATA!$M$3:$M$10000),"Inactivo"))</f>
        <v/>
      </c>
      <c r="G3606" s="28" t="str">
        <f aca="false">IF(A3606="","",IF(AND(C3606&lt;&gt;"No encontrado",F3606&lt;&gt;"Inactivo"),C3606&amp;" → "&amp;F3606,"Sin transición"))</f>
        <v/>
      </c>
      <c r="H3606" s="26" t="str">
        <f aca="false">IF(A3606="","",IF(D3606="GCIA LINEA SERVICIO DIGITALIDAD Y VENTAS","Chats",IF(OR(D3606="GERENCIA INBOUND LÍNEAS SERVICIO Y VENTA",D3606="GERENCIA INBOUND LINEAS ESPECIALIZADAS"),"Llamadas","Otro")))</f>
        <v/>
      </c>
      <c r="I3606" s="26" t="str">
        <f aca="false">IF(A3606="","",IF(C3606="No encontrado","No","Sí"))</f>
        <v/>
      </c>
      <c r="J3606" s="26" t="str">
        <f aca="false">IF(A3606="","",IF(F3606="Inactivo","No","Sí"))</f>
        <v/>
      </c>
      <c r="K3606" s="26" t="str">
        <f aca="false">IF(A3606="","",IF(AND(I3606="Sí",J3606="Sí"),"Sí","No"))</f>
        <v/>
      </c>
    </row>
    <row r="3607" customFormat="false" ht="15" hidden="false" customHeight="false" outlineLevel="0" collapsed="false">
      <c r="A3607" s="22"/>
      <c r="B3607" s="22"/>
      <c r="C3607" s="23" t="str">
        <f aca="false">IF(A3607="","",IFERROR(buscarx(A3607&amp;B3607,DATA!$E$3:$E$10000&amp;DATA!$B$3:$B$10000,DATA!$M$3:$M$10000),"No encontrado"))</f>
        <v/>
      </c>
      <c r="D3607" s="24" t="str">
        <f aca="false">IF(A3607="","",IFERROR(buscarx(A3607&amp;B3607,DATA!$E$3:$E$10000&amp;DATA!$B$3:$B$10000,DATA!$W$3:$W$10000),"No encontrado"))</f>
        <v/>
      </c>
      <c r="E3607" s="22"/>
      <c r="F3607" s="23" t="str">
        <f aca="false">IF(A3607="","",IFERROR(buscarx(A3607&amp;E3607,DATA!$E$3:$E$10000&amp;DATA!$B$3:$B$10000,DATA!$M$3:$M$10000),"Inactivo"))</f>
        <v/>
      </c>
      <c r="G3607" s="25" t="str">
        <f aca="false">IF(A3607="","",IF(AND(C3607&lt;&gt;"No encontrado",F3607&lt;&gt;"Inactivo"),C3607&amp;" → "&amp;F3607,"Sin transición"))</f>
        <v/>
      </c>
      <c r="H3607" s="23" t="str">
        <f aca="false">IF(A3607="","",IF(D3607="GCIA LINEA SERVICIO DIGITALIDAD Y VENTAS","Chats",IF(OR(D3607="GERENCIA INBOUND LÍNEAS SERVICIO Y VENTA",D3607="GERENCIA INBOUND LINEAS ESPECIALIZADAS"),"Llamadas","Otro")))</f>
        <v/>
      </c>
      <c r="I3607" s="23" t="str">
        <f aca="false">IF(A3607="","",IF(C3607="No encontrado","No","Sí"))</f>
        <v/>
      </c>
      <c r="J3607" s="23" t="str">
        <f aca="false">IF(A3607="","",IF(F3607="Inactivo","No","Sí"))</f>
        <v/>
      </c>
      <c r="K3607" s="23" t="str">
        <f aca="false">IF(A3607="","",IF(AND(I3607="Sí",J3607="Sí"),"Sí","No"))</f>
        <v/>
      </c>
    </row>
    <row r="3608" customFormat="false" ht="15" hidden="false" customHeight="false" outlineLevel="0" collapsed="false">
      <c r="A3608" s="22"/>
      <c r="B3608" s="22"/>
      <c r="C3608" s="26" t="str">
        <f aca="false">IF(A3608="","",IFERROR(buscarx(A3608&amp;B3608,DATA!$E$3:$E$10000&amp;DATA!$B$3:$B$10000,DATA!$M$3:$M$10000),"No encontrado"))</f>
        <v/>
      </c>
      <c r="D3608" s="27" t="str">
        <f aca="false">IF(A3608="","",IFERROR(buscarx(A3608&amp;B3608,DATA!$E$3:$E$10000&amp;DATA!$B$3:$B$10000,DATA!$W$3:$W$10000),"No encontrado"))</f>
        <v/>
      </c>
      <c r="E3608" s="22"/>
      <c r="F3608" s="26" t="str">
        <f aca="false">IF(A3608="","",IFERROR(buscarx(A3608&amp;E3608,DATA!$E$3:$E$10000&amp;DATA!$B$3:$B$10000,DATA!$M$3:$M$10000),"Inactivo"))</f>
        <v/>
      </c>
      <c r="G3608" s="28" t="str">
        <f aca="false">IF(A3608="","",IF(AND(C3608&lt;&gt;"No encontrado",F3608&lt;&gt;"Inactivo"),C3608&amp;" → "&amp;F3608,"Sin transición"))</f>
        <v/>
      </c>
      <c r="H3608" s="26" t="str">
        <f aca="false">IF(A3608="","",IF(D3608="GCIA LINEA SERVICIO DIGITALIDAD Y VENTAS","Chats",IF(OR(D3608="GERENCIA INBOUND LÍNEAS SERVICIO Y VENTA",D3608="GERENCIA INBOUND LINEAS ESPECIALIZADAS"),"Llamadas","Otro")))</f>
        <v/>
      </c>
      <c r="I3608" s="26" t="str">
        <f aca="false">IF(A3608="","",IF(C3608="No encontrado","No","Sí"))</f>
        <v/>
      </c>
      <c r="J3608" s="26" t="str">
        <f aca="false">IF(A3608="","",IF(F3608="Inactivo","No","Sí"))</f>
        <v/>
      </c>
      <c r="K3608" s="26" t="str">
        <f aca="false">IF(A3608="","",IF(AND(I3608="Sí",J3608="Sí"),"Sí","No"))</f>
        <v/>
      </c>
    </row>
    <row r="3609" customFormat="false" ht="15" hidden="false" customHeight="false" outlineLevel="0" collapsed="false">
      <c r="A3609" s="22"/>
      <c r="B3609" s="22"/>
      <c r="C3609" s="23" t="str">
        <f aca="false">IF(A3609="","",IFERROR(buscarx(A3609&amp;B3609,DATA!$E$3:$E$10000&amp;DATA!$B$3:$B$10000,DATA!$M$3:$M$10000),"No encontrado"))</f>
        <v/>
      </c>
      <c r="D3609" s="24" t="str">
        <f aca="false">IF(A3609="","",IFERROR(buscarx(A3609&amp;B3609,DATA!$E$3:$E$10000&amp;DATA!$B$3:$B$10000,DATA!$W$3:$W$10000),"No encontrado"))</f>
        <v/>
      </c>
      <c r="E3609" s="22"/>
      <c r="F3609" s="23" t="str">
        <f aca="false">IF(A3609="","",IFERROR(buscarx(A3609&amp;E3609,DATA!$E$3:$E$10000&amp;DATA!$B$3:$B$10000,DATA!$M$3:$M$10000),"Inactivo"))</f>
        <v/>
      </c>
      <c r="G3609" s="25" t="str">
        <f aca="false">IF(A3609="","",IF(AND(C3609&lt;&gt;"No encontrado",F3609&lt;&gt;"Inactivo"),C3609&amp;" → "&amp;F3609,"Sin transición"))</f>
        <v/>
      </c>
      <c r="H3609" s="23" t="str">
        <f aca="false">IF(A3609="","",IF(D3609="GCIA LINEA SERVICIO DIGITALIDAD Y VENTAS","Chats",IF(OR(D3609="GERENCIA INBOUND LÍNEAS SERVICIO Y VENTA",D3609="GERENCIA INBOUND LINEAS ESPECIALIZADAS"),"Llamadas","Otro")))</f>
        <v/>
      </c>
      <c r="I3609" s="23" t="str">
        <f aca="false">IF(A3609="","",IF(C3609="No encontrado","No","Sí"))</f>
        <v/>
      </c>
      <c r="J3609" s="23" t="str">
        <f aca="false">IF(A3609="","",IF(F3609="Inactivo","No","Sí"))</f>
        <v/>
      </c>
      <c r="K3609" s="23" t="str">
        <f aca="false">IF(A3609="","",IF(AND(I3609="Sí",J3609="Sí"),"Sí","No"))</f>
        <v/>
      </c>
    </row>
    <row r="3610" customFormat="false" ht="15" hidden="false" customHeight="false" outlineLevel="0" collapsed="false">
      <c r="A3610" s="22"/>
      <c r="B3610" s="22"/>
      <c r="C3610" s="26" t="str">
        <f aca="false">IF(A3610="","",IFERROR(buscarx(A3610&amp;B3610,DATA!$E$3:$E$10000&amp;DATA!$B$3:$B$10000,DATA!$M$3:$M$10000),"No encontrado"))</f>
        <v/>
      </c>
      <c r="D3610" s="27" t="str">
        <f aca="false">IF(A3610="","",IFERROR(buscarx(A3610&amp;B3610,DATA!$E$3:$E$10000&amp;DATA!$B$3:$B$10000,DATA!$W$3:$W$10000),"No encontrado"))</f>
        <v/>
      </c>
      <c r="E3610" s="22"/>
      <c r="F3610" s="26" t="str">
        <f aca="false">IF(A3610="","",IFERROR(buscarx(A3610&amp;E3610,DATA!$E$3:$E$10000&amp;DATA!$B$3:$B$10000,DATA!$M$3:$M$10000),"Inactivo"))</f>
        <v/>
      </c>
      <c r="G3610" s="28" t="str">
        <f aca="false">IF(A3610="","",IF(AND(C3610&lt;&gt;"No encontrado",F3610&lt;&gt;"Inactivo"),C3610&amp;" → "&amp;F3610,"Sin transición"))</f>
        <v/>
      </c>
      <c r="H3610" s="26" t="str">
        <f aca="false">IF(A3610="","",IF(D3610="GCIA LINEA SERVICIO DIGITALIDAD Y VENTAS","Chats",IF(OR(D3610="GERENCIA INBOUND LÍNEAS SERVICIO Y VENTA",D3610="GERENCIA INBOUND LINEAS ESPECIALIZADAS"),"Llamadas","Otro")))</f>
        <v/>
      </c>
      <c r="I3610" s="26" t="str">
        <f aca="false">IF(A3610="","",IF(C3610="No encontrado","No","Sí"))</f>
        <v/>
      </c>
      <c r="J3610" s="26" t="str">
        <f aca="false">IF(A3610="","",IF(F3610="Inactivo","No","Sí"))</f>
        <v/>
      </c>
      <c r="K3610" s="26" t="str">
        <f aca="false">IF(A3610="","",IF(AND(I3610="Sí",J3610="Sí"),"Sí","No"))</f>
        <v/>
      </c>
    </row>
    <row r="3611" customFormat="false" ht="15" hidden="false" customHeight="false" outlineLevel="0" collapsed="false">
      <c r="A3611" s="22"/>
      <c r="B3611" s="22"/>
      <c r="C3611" s="23" t="str">
        <f aca="false">IF(A3611="","",IFERROR(buscarx(A3611&amp;B3611,DATA!$E$3:$E$10000&amp;DATA!$B$3:$B$10000,DATA!$M$3:$M$10000),"No encontrado"))</f>
        <v/>
      </c>
      <c r="D3611" s="24" t="str">
        <f aca="false">IF(A3611="","",IFERROR(buscarx(A3611&amp;B3611,DATA!$E$3:$E$10000&amp;DATA!$B$3:$B$10000,DATA!$W$3:$W$10000),"No encontrado"))</f>
        <v/>
      </c>
      <c r="E3611" s="22"/>
      <c r="F3611" s="23" t="str">
        <f aca="false">IF(A3611="","",IFERROR(buscarx(A3611&amp;E3611,DATA!$E$3:$E$10000&amp;DATA!$B$3:$B$10000,DATA!$M$3:$M$10000),"Inactivo"))</f>
        <v/>
      </c>
      <c r="G3611" s="25" t="str">
        <f aca="false">IF(A3611="","",IF(AND(C3611&lt;&gt;"No encontrado",F3611&lt;&gt;"Inactivo"),C3611&amp;" → "&amp;F3611,"Sin transición"))</f>
        <v/>
      </c>
      <c r="H3611" s="23" t="str">
        <f aca="false">IF(A3611="","",IF(D3611="GCIA LINEA SERVICIO DIGITALIDAD Y VENTAS","Chats",IF(OR(D3611="GERENCIA INBOUND LÍNEAS SERVICIO Y VENTA",D3611="GERENCIA INBOUND LINEAS ESPECIALIZADAS"),"Llamadas","Otro")))</f>
        <v/>
      </c>
      <c r="I3611" s="23" t="str">
        <f aca="false">IF(A3611="","",IF(C3611="No encontrado","No","Sí"))</f>
        <v/>
      </c>
      <c r="J3611" s="23" t="str">
        <f aca="false">IF(A3611="","",IF(F3611="Inactivo","No","Sí"))</f>
        <v/>
      </c>
      <c r="K3611" s="23" t="str">
        <f aca="false">IF(A3611="","",IF(AND(I3611="Sí",J3611="Sí"),"Sí","No"))</f>
        <v/>
      </c>
    </row>
    <row r="3612" customFormat="false" ht="15" hidden="false" customHeight="false" outlineLevel="0" collapsed="false">
      <c r="A3612" s="22"/>
      <c r="B3612" s="22"/>
      <c r="C3612" s="26" t="str">
        <f aca="false">IF(A3612="","",IFERROR(buscarx(A3612&amp;B3612,DATA!$E$3:$E$10000&amp;DATA!$B$3:$B$10000,DATA!$M$3:$M$10000),"No encontrado"))</f>
        <v/>
      </c>
      <c r="D3612" s="27" t="str">
        <f aca="false">IF(A3612="","",IFERROR(buscarx(A3612&amp;B3612,DATA!$E$3:$E$10000&amp;DATA!$B$3:$B$10000,DATA!$W$3:$W$10000),"No encontrado"))</f>
        <v/>
      </c>
      <c r="E3612" s="22"/>
      <c r="F3612" s="26" t="str">
        <f aca="false">IF(A3612="","",IFERROR(buscarx(A3612&amp;E3612,DATA!$E$3:$E$10000&amp;DATA!$B$3:$B$10000,DATA!$M$3:$M$10000),"Inactivo"))</f>
        <v/>
      </c>
      <c r="G3612" s="28" t="str">
        <f aca="false">IF(A3612="","",IF(AND(C3612&lt;&gt;"No encontrado",F3612&lt;&gt;"Inactivo"),C3612&amp;" → "&amp;F3612,"Sin transición"))</f>
        <v/>
      </c>
      <c r="H3612" s="26" t="str">
        <f aca="false">IF(A3612="","",IF(D3612="GCIA LINEA SERVICIO DIGITALIDAD Y VENTAS","Chats",IF(OR(D3612="GERENCIA INBOUND LÍNEAS SERVICIO Y VENTA",D3612="GERENCIA INBOUND LINEAS ESPECIALIZADAS"),"Llamadas","Otro")))</f>
        <v/>
      </c>
      <c r="I3612" s="26" t="str">
        <f aca="false">IF(A3612="","",IF(C3612="No encontrado","No","Sí"))</f>
        <v/>
      </c>
      <c r="J3612" s="26" t="str">
        <f aca="false">IF(A3612="","",IF(F3612="Inactivo","No","Sí"))</f>
        <v/>
      </c>
      <c r="K3612" s="26" t="str">
        <f aca="false">IF(A3612="","",IF(AND(I3612="Sí",J3612="Sí"),"Sí","No"))</f>
        <v/>
      </c>
    </row>
    <row r="3613" customFormat="false" ht="15" hidden="false" customHeight="false" outlineLevel="0" collapsed="false">
      <c r="A3613" s="22"/>
      <c r="B3613" s="22"/>
      <c r="C3613" s="23" t="str">
        <f aca="false">IF(A3613="","",IFERROR(buscarx(A3613&amp;B3613,DATA!$E$3:$E$10000&amp;DATA!$B$3:$B$10000,DATA!$M$3:$M$10000),"No encontrado"))</f>
        <v/>
      </c>
      <c r="D3613" s="24" t="str">
        <f aca="false">IF(A3613="","",IFERROR(buscarx(A3613&amp;B3613,DATA!$E$3:$E$10000&amp;DATA!$B$3:$B$10000,DATA!$W$3:$W$10000),"No encontrado"))</f>
        <v/>
      </c>
      <c r="E3613" s="22"/>
      <c r="F3613" s="23" t="str">
        <f aca="false">IF(A3613="","",IFERROR(buscarx(A3613&amp;E3613,DATA!$E$3:$E$10000&amp;DATA!$B$3:$B$10000,DATA!$M$3:$M$10000),"Inactivo"))</f>
        <v/>
      </c>
      <c r="G3613" s="25" t="str">
        <f aca="false">IF(A3613="","",IF(AND(C3613&lt;&gt;"No encontrado",F3613&lt;&gt;"Inactivo"),C3613&amp;" → "&amp;F3613,"Sin transición"))</f>
        <v/>
      </c>
      <c r="H3613" s="23" t="str">
        <f aca="false">IF(A3613="","",IF(D3613="GCIA LINEA SERVICIO DIGITALIDAD Y VENTAS","Chats",IF(OR(D3613="GERENCIA INBOUND LÍNEAS SERVICIO Y VENTA",D3613="GERENCIA INBOUND LINEAS ESPECIALIZADAS"),"Llamadas","Otro")))</f>
        <v/>
      </c>
      <c r="I3613" s="23" t="str">
        <f aca="false">IF(A3613="","",IF(C3613="No encontrado","No","Sí"))</f>
        <v/>
      </c>
      <c r="J3613" s="23" t="str">
        <f aca="false">IF(A3613="","",IF(F3613="Inactivo","No","Sí"))</f>
        <v/>
      </c>
      <c r="K3613" s="23" t="str">
        <f aca="false">IF(A3613="","",IF(AND(I3613="Sí",J3613="Sí"),"Sí","No"))</f>
        <v/>
      </c>
    </row>
    <row r="3614" customFormat="false" ht="15" hidden="false" customHeight="false" outlineLevel="0" collapsed="false">
      <c r="A3614" s="22"/>
      <c r="B3614" s="22"/>
      <c r="C3614" s="26" t="str">
        <f aca="false">IF(A3614="","",IFERROR(buscarx(A3614&amp;B3614,DATA!$E$3:$E$10000&amp;DATA!$B$3:$B$10000,DATA!$M$3:$M$10000),"No encontrado"))</f>
        <v/>
      </c>
      <c r="D3614" s="27" t="str">
        <f aca="false">IF(A3614="","",IFERROR(buscarx(A3614&amp;B3614,DATA!$E$3:$E$10000&amp;DATA!$B$3:$B$10000,DATA!$W$3:$W$10000),"No encontrado"))</f>
        <v/>
      </c>
      <c r="E3614" s="22"/>
      <c r="F3614" s="26" t="str">
        <f aca="false">IF(A3614="","",IFERROR(buscarx(A3614&amp;E3614,DATA!$E$3:$E$10000&amp;DATA!$B$3:$B$10000,DATA!$M$3:$M$10000),"Inactivo"))</f>
        <v/>
      </c>
      <c r="G3614" s="28" t="str">
        <f aca="false">IF(A3614="","",IF(AND(C3614&lt;&gt;"No encontrado",F3614&lt;&gt;"Inactivo"),C3614&amp;" → "&amp;F3614,"Sin transición"))</f>
        <v/>
      </c>
      <c r="H3614" s="26" t="str">
        <f aca="false">IF(A3614="","",IF(D3614="GCIA LINEA SERVICIO DIGITALIDAD Y VENTAS","Chats",IF(OR(D3614="GERENCIA INBOUND LÍNEAS SERVICIO Y VENTA",D3614="GERENCIA INBOUND LINEAS ESPECIALIZADAS"),"Llamadas","Otro")))</f>
        <v/>
      </c>
      <c r="I3614" s="26" t="str">
        <f aca="false">IF(A3614="","",IF(C3614="No encontrado","No","Sí"))</f>
        <v/>
      </c>
      <c r="J3614" s="26" t="str">
        <f aca="false">IF(A3614="","",IF(F3614="Inactivo","No","Sí"))</f>
        <v/>
      </c>
      <c r="K3614" s="26" t="str">
        <f aca="false">IF(A3614="","",IF(AND(I3614="Sí",J3614="Sí"),"Sí","No"))</f>
        <v/>
      </c>
    </row>
    <row r="3615" customFormat="false" ht="15" hidden="false" customHeight="false" outlineLevel="0" collapsed="false">
      <c r="A3615" s="22"/>
      <c r="B3615" s="22"/>
      <c r="C3615" s="23" t="str">
        <f aca="false">IF(A3615="","",IFERROR(buscarx(A3615&amp;B3615,DATA!$E$3:$E$10000&amp;DATA!$B$3:$B$10000,DATA!$M$3:$M$10000),"No encontrado"))</f>
        <v/>
      </c>
      <c r="D3615" s="24" t="str">
        <f aca="false">IF(A3615="","",IFERROR(buscarx(A3615&amp;B3615,DATA!$E$3:$E$10000&amp;DATA!$B$3:$B$10000,DATA!$W$3:$W$10000),"No encontrado"))</f>
        <v/>
      </c>
      <c r="E3615" s="22"/>
      <c r="F3615" s="23" t="str">
        <f aca="false">IF(A3615="","",IFERROR(buscarx(A3615&amp;E3615,DATA!$E$3:$E$10000&amp;DATA!$B$3:$B$10000,DATA!$M$3:$M$10000),"Inactivo"))</f>
        <v/>
      </c>
      <c r="G3615" s="25" t="str">
        <f aca="false">IF(A3615="","",IF(AND(C3615&lt;&gt;"No encontrado",F3615&lt;&gt;"Inactivo"),C3615&amp;" → "&amp;F3615,"Sin transición"))</f>
        <v/>
      </c>
      <c r="H3615" s="23" t="str">
        <f aca="false">IF(A3615="","",IF(D3615="GCIA LINEA SERVICIO DIGITALIDAD Y VENTAS","Chats",IF(OR(D3615="GERENCIA INBOUND LÍNEAS SERVICIO Y VENTA",D3615="GERENCIA INBOUND LINEAS ESPECIALIZADAS"),"Llamadas","Otro")))</f>
        <v/>
      </c>
      <c r="I3615" s="23" t="str">
        <f aca="false">IF(A3615="","",IF(C3615="No encontrado","No","Sí"))</f>
        <v/>
      </c>
      <c r="J3615" s="23" t="str">
        <f aca="false">IF(A3615="","",IF(F3615="Inactivo","No","Sí"))</f>
        <v/>
      </c>
      <c r="K3615" s="23" t="str">
        <f aca="false">IF(A3615="","",IF(AND(I3615="Sí",J3615="Sí"),"Sí","No"))</f>
        <v/>
      </c>
    </row>
    <row r="3616" customFormat="false" ht="15" hidden="false" customHeight="false" outlineLevel="0" collapsed="false">
      <c r="A3616" s="22"/>
      <c r="B3616" s="22"/>
      <c r="C3616" s="26" t="str">
        <f aca="false">IF(A3616="","",IFERROR(buscarx(A3616&amp;B3616,DATA!$E$3:$E$10000&amp;DATA!$B$3:$B$10000,DATA!$M$3:$M$10000),"No encontrado"))</f>
        <v/>
      </c>
      <c r="D3616" s="27" t="str">
        <f aca="false">IF(A3616="","",IFERROR(buscarx(A3616&amp;B3616,DATA!$E$3:$E$10000&amp;DATA!$B$3:$B$10000,DATA!$W$3:$W$10000),"No encontrado"))</f>
        <v/>
      </c>
      <c r="E3616" s="22"/>
      <c r="F3616" s="26" t="str">
        <f aca="false">IF(A3616="","",IFERROR(buscarx(A3616&amp;E3616,DATA!$E$3:$E$10000&amp;DATA!$B$3:$B$10000,DATA!$M$3:$M$10000),"Inactivo"))</f>
        <v/>
      </c>
      <c r="G3616" s="28" t="str">
        <f aca="false">IF(A3616="","",IF(AND(C3616&lt;&gt;"No encontrado",F3616&lt;&gt;"Inactivo"),C3616&amp;" → "&amp;F3616,"Sin transición"))</f>
        <v/>
      </c>
      <c r="H3616" s="26" t="str">
        <f aca="false">IF(A3616="","",IF(D3616="GCIA LINEA SERVICIO DIGITALIDAD Y VENTAS","Chats",IF(OR(D3616="GERENCIA INBOUND LÍNEAS SERVICIO Y VENTA",D3616="GERENCIA INBOUND LINEAS ESPECIALIZADAS"),"Llamadas","Otro")))</f>
        <v/>
      </c>
      <c r="I3616" s="26" t="str">
        <f aca="false">IF(A3616="","",IF(C3616="No encontrado","No","Sí"))</f>
        <v/>
      </c>
      <c r="J3616" s="26" t="str">
        <f aca="false">IF(A3616="","",IF(F3616="Inactivo","No","Sí"))</f>
        <v/>
      </c>
      <c r="K3616" s="26" t="str">
        <f aca="false">IF(A3616="","",IF(AND(I3616="Sí",J3616="Sí"),"Sí","No"))</f>
        <v/>
      </c>
    </row>
    <row r="3617" customFormat="false" ht="15" hidden="false" customHeight="false" outlineLevel="0" collapsed="false">
      <c r="A3617" s="22"/>
      <c r="B3617" s="22"/>
      <c r="C3617" s="23" t="str">
        <f aca="false">IF(A3617="","",IFERROR(buscarx(A3617&amp;B3617,DATA!$E$3:$E$10000&amp;DATA!$B$3:$B$10000,DATA!$M$3:$M$10000),"No encontrado"))</f>
        <v/>
      </c>
      <c r="D3617" s="24" t="str">
        <f aca="false">IF(A3617="","",IFERROR(buscarx(A3617&amp;B3617,DATA!$E$3:$E$10000&amp;DATA!$B$3:$B$10000,DATA!$W$3:$W$10000),"No encontrado"))</f>
        <v/>
      </c>
      <c r="E3617" s="22"/>
      <c r="F3617" s="23" t="str">
        <f aca="false">IF(A3617="","",IFERROR(buscarx(A3617&amp;E3617,DATA!$E$3:$E$10000&amp;DATA!$B$3:$B$10000,DATA!$M$3:$M$10000),"Inactivo"))</f>
        <v/>
      </c>
      <c r="G3617" s="25" t="str">
        <f aca="false">IF(A3617="","",IF(AND(C3617&lt;&gt;"No encontrado",F3617&lt;&gt;"Inactivo"),C3617&amp;" → "&amp;F3617,"Sin transición"))</f>
        <v/>
      </c>
      <c r="H3617" s="23" t="str">
        <f aca="false">IF(A3617="","",IF(D3617="GCIA LINEA SERVICIO DIGITALIDAD Y VENTAS","Chats",IF(OR(D3617="GERENCIA INBOUND LÍNEAS SERVICIO Y VENTA",D3617="GERENCIA INBOUND LINEAS ESPECIALIZADAS"),"Llamadas","Otro")))</f>
        <v/>
      </c>
      <c r="I3617" s="23" t="str">
        <f aca="false">IF(A3617="","",IF(C3617="No encontrado","No","Sí"))</f>
        <v/>
      </c>
      <c r="J3617" s="23" t="str">
        <f aca="false">IF(A3617="","",IF(F3617="Inactivo","No","Sí"))</f>
        <v/>
      </c>
      <c r="K3617" s="23" t="str">
        <f aca="false">IF(A3617="","",IF(AND(I3617="Sí",J3617="Sí"),"Sí","No"))</f>
        <v/>
      </c>
    </row>
    <row r="3618" customFormat="false" ht="15" hidden="false" customHeight="false" outlineLevel="0" collapsed="false">
      <c r="A3618" s="22"/>
      <c r="B3618" s="22"/>
      <c r="C3618" s="26" t="str">
        <f aca="false">IF(A3618="","",IFERROR(buscarx(A3618&amp;B3618,DATA!$E$3:$E$10000&amp;DATA!$B$3:$B$10000,DATA!$M$3:$M$10000),"No encontrado"))</f>
        <v/>
      </c>
      <c r="D3618" s="27" t="str">
        <f aca="false">IF(A3618="","",IFERROR(buscarx(A3618&amp;B3618,DATA!$E$3:$E$10000&amp;DATA!$B$3:$B$10000,DATA!$W$3:$W$10000),"No encontrado"))</f>
        <v/>
      </c>
      <c r="E3618" s="22"/>
      <c r="F3618" s="26" t="str">
        <f aca="false">IF(A3618="","",IFERROR(buscarx(A3618&amp;E3618,DATA!$E$3:$E$10000&amp;DATA!$B$3:$B$10000,DATA!$M$3:$M$10000),"Inactivo"))</f>
        <v/>
      </c>
      <c r="G3618" s="28" t="str">
        <f aca="false">IF(A3618="","",IF(AND(C3618&lt;&gt;"No encontrado",F3618&lt;&gt;"Inactivo"),C3618&amp;" → "&amp;F3618,"Sin transición"))</f>
        <v/>
      </c>
      <c r="H3618" s="26" t="str">
        <f aca="false">IF(A3618="","",IF(D3618="GCIA LINEA SERVICIO DIGITALIDAD Y VENTAS","Chats",IF(OR(D3618="GERENCIA INBOUND LÍNEAS SERVICIO Y VENTA",D3618="GERENCIA INBOUND LINEAS ESPECIALIZADAS"),"Llamadas","Otro")))</f>
        <v/>
      </c>
      <c r="I3618" s="26" t="str">
        <f aca="false">IF(A3618="","",IF(C3618="No encontrado","No","Sí"))</f>
        <v/>
      </c>
      <c r="J3618" s="26" t="str">
        <f aca="false">IF(A3618="","",IF(F3618="Inactivo","No","Sí"))</f>
        <v/>
      </c>
      <c r="K3618" s="26" t="str">
        <f aca="false">IF(A3618="","",IF(AND(I3618="Sí",J3618="Sí"),"Sí","No"))</f>
        <v/>
      </c>
    </row>
    <row r="3619" customFormat="false" ht="15" hidden="false" customHeight="false" outlineLevel="0" collapsed="false">
      <c r="A3619" s="22"/>
      <c r="B3619" s="22"/>
      <c r="C3619" s="23" t="str">
        <f aca="false">IF(A3619="","",IFERROR(buscarx(A3619&amp;B3619,DATA!$E$3:$E$10000&amp;DATA!$B$3:$B$10000,DATA!$M$3:$M$10000),"No encontrado"))</f>
        <v/>
      </c>
      <c r="D3619" s="24" t="str">
        <f aca="false">IF(A3619="","",IFERROR(buscarx(A3619&amp;B3619,DATA!$E$3:$E$10000&amp;DATA!$B$3:$B$10000,DATA!$W$3:$W$10000),"No encontrado"))</f>
        <v/>
      </c>
      <c r="E3619" s="22"/>
      <c r="F3619" s="23" t="str">
        <f aca="false">IF(A3619="","",IFERROR(buscarx(A3619&amp;E3619,DATA!$E$3:$E$10000&amp;DATA!$B$3:$B$10000,DATA!$M$3:$M$10000),"Inactivo"))</f>
        <v/>
      </c>
      <c r="G3619" s="25" t="str">
        <f aca="false">IF(A3619="","",IF(AND(C3619&lt;&gt;"No encontrado",F3619&lt;&gt;"Inactivo"),C3619&amp;" → "&amp;F3619,"Sin transición"))</f>
        <v/>
      </c>
      <c r="H3619" s="23" t="str">
        <f aca="false">IF(A3619="","",IF(D3619="GCIA LINEA SERVICIO DIGITALIDAD Y VENTAS","Chats",IF(OR(D3619="GERENCIA INBOUND LÍNEAS SERVICIO Y VENTA",D3619="GERENCIA INBOUND LINEAS ESPECIALIZADAS"),"Llamadas","Otro")))</f>
        <v/>
      </c>
      <c r="I3619" s="23" t="str">
        <f aca="false">IF(A3619="","",IF(C3619="No encontrado","No","Sí"))</f>
        <v/>
      </c>
      <c r="J3619" s="23" t="str">
        <f aca="false">IF(A3619="","",IF(F3619="Inactivo","No","Sí"))</f>
        <v/>
      </c>
      <c r="K3619" s="23" t="str">
        <f aca="false">IF(A3619="","",IF(AND(I3619="Sí",J3619="Sí"),"Sí","No"))</f>
        <v/>
      </c>
    </row>
    <row r="3620" customFormat="false" ht="15" hidden="false" customHeight="false" outlineLevel="0" collapsed="false">
      <c r="A3620" s="22"/>
      <c r="B3620" s="22"/>
      <c r="C3620" s="26" t="str">
        <f aca="false">IF(A3620="","",IFERROR(buscarx(A3620&amp;B3620,DATA!$E$3:$E$10000&amp;DATA!$B$3:$B$10000,DATA!$M$3:$M$10000),"No encontrado"))</f>
        <v/>
      </c>
      <c r="D3620" s="27" t="str">
        <f aca="false">IF(A3620="","",IFERROR(buscarx(A3620&amp;B3620,DATA!$E$3:$E$10000&amp;DATA!$B$3:$B$10000,DATA!$W$3:$W$10000),"No encontrado"))</f>
        <v/>
      </c>
      <c r="E3620" s="22"/>
      <c r="F3620" s="26" t="str">
        <f aca="false">IF(A3620="","",IFERROR(buscarx(A3620&amp;E3620,DATA!$E$3:$E$10000&amp;DATA!$B$3:$B$10000,DATA!$M$3:$M$10000),"Inactivo"))</f>
        <v/>
      </c>
      <c r="G3620" s="28" t="str">
        <f aca="false">IF(A3620="","",IF(AND(C3620&lt;&gt;"No encontrado",F3620&lt;&gt;"Inactivo"),C3620&amp;" → "&amp;F3620,"Sin transición"))</f>
        <v/>
      </c>
      <c r="H3620" s="26" t="str">
        <f aca="false">IF(A3620="","",IF(D3620="GCIA LINEA SERVICIO DIGITALIDAD Y VENTAS","Chats",IF(OR(D3620="GERENCIA INBOUND LÍNEAS SERVICIO Y VENTA",D3620="GERENCIA INBOUND LINEAS ESPECIALIZADAS"),"Llamadas","Otro")))</f>
        <v/>
      </c>
      <c r="I3620" s="26" t="str">
        <f aca="false">IF(A3620="","",IF(C3620="No encontrado","No","Sí"))</f>
        <v/>
      </c>
      <c r="J3620" s="26" t="str">
        <f aca="false">IF(A3620="","",IF(F3620="Inactivo","No","Sí"))</f>
        <v/>
      </c>
      <c r="K3620" s="26" t="str">
        <f aca="false">IF(A3620="","",IF(AND(I3620="Sí",J3620="Sí"),"Sí","No"))</f>
        <v/>
      </c>
    </row>
    <row r="3621" customFormat="false" ht="15" hidden="false" customHeight="false" outlineLevel="0" collapsed="false">
      <c r="A3621" s="22"/>
      <c r="B3621" s="22"/>
      <c r="C3621" s="23" t="str">
        <f aca="false">IF(A3621="","",IFERROR(buscarx(A3621&amp;B3621,DATA!$E$3:$E$10000&amp;DATA!$B$3:$B$10000,DATA!$M$3:$M$10000),"No encontrado"))</f>
        <v/>
      </c>
      <c r="D3621" s="24" t="str">
        <f aca="false">IF(A3621="","",IFERROR(buscarx(A3621&amp;B3621,DATA!$E$3:$E$10000&amp;DATA!$B$3:$B$10000,DATA!$W$3:$W$10000),"No encontrado"))</f>
        <v/>
      </c>
      <c r="E3621" s="22"/>
      <c r="F3621" s="23" t="str">
        <f aca="false">IF(A3621="","",IFERROR(buscarx(A3621&amp;E3621,DATA!$E$3:$E$10000&amp;DATA!$B$3:$B$10000,DATA!$M$3:$M$10000),"Inactivo"))</f>
        <v/>
      </c>
      <c r="G3621" s="25" t="str">
        <f aca="false">IF(A3621="","",IF(AND(C3621&lt;&gt;"No encontrado",F3621&lt;&gt;"Inactivo"),C3621&amp;" → "&amp;F3621,"Sin transición"))</f>
        <v/>
      </c>
      <c r="H3621" s="23" t="str">
        <f aca="false">IF(A3621="","",IF(D3621="GCIA LINEA SERVICIO DIGITALIDAD Y VENTAS","Chats",IF(OR(D3621="GERENCIA INBOUND LÍNEAS SERVICIO Y VENTA",D3621="GERENCIA INBOUND LINEAS ESPECIALIZADAS"),"Llamadas","Otro")))</f>
        <v/>
      </c>
      <c r="I3621" s="23" t="str">
        <f aca="false">IF(A3621="","",IF(C3621="No encontrado","No","Sí"))</f>
        <v/>
      </c>
      <c r="J3621" s="23" t="str">
        <f aca="false">IF(A3621="","",IF(F3621="Inactivo","No","Sí"))</f>
        <v/>
      </c>
      <c r="K3621" s="23" t="str">
        <f aca="false">IF(A3621="","",IF(AND(I3621="Sí",J3621="Sí"),"Sí","No"))</f>
        <v/>
      </c>
    </row>
    <row r="3622" customFormat="false" ht="15" hidden="false" customHeight="false" outlineLevel="0" collapsed="false">
      <c r="A3622" s="22"/>
      <c r="B3622" s="22"/>
      <c r="C3622" s="26" t="str">
        <f aca="false">IF(A3622="","",IFERROR(buscarx(A3622&amp;B3622,DATA!$E$3:$E$10000&amp;DATA!$B$3:$B$10000,DATA!$M$3:$M$10000),"No encontrado"))</f>
        <v/>
      </c>
      <c r="D3622" s="27" t="str">
        <f aca="false">IF(A3622="","",IFERROR(buscarx(A3622&amp;B3622,DATA!$E$3:$E$10000&amp;DATA!$B$3:$B$10000,DATA!$W$3:$W$10000),"No encontrado"))</f>
        <v/>
      </c>
      <c r="E3622" s="22"/>
      <c r="F3622" s="26" t="str">
        <f aca="false">IF(A3622="","",IFERROR(buscarx(A3622&amp;E3622,DATA!$E$3:$E$10000&amp;DATA!$B$3:$B$10000,DATA!$M$3:$M$10000),"Inactivo"))</f>
        <v/>
      </c>
      <c r="G3622" s="28" t="str">
        <f aca="false">IF(A3622="","",IF(AND(C3622&lt;&gt;"No encontrado",F3622&lt;&gt;"Inactivo"),C3622&amp;" → "&amp;F3622,"Sin transición"))</f>
        <v/>
      </c>
      <c r="H3622" s="26" t="str">
        <f aca="false">IF(A3622="","",IF(D3622="GCIA LINEA SERVICIO DIGITALIDAD Y VENTAS","Chats",IF(OR(D3622="GERENCIA INBOUND LÍNEAS SERVICIO Y VENTA",D3622="GERENCIA INBOUND LINEAS ESPECIALIZADAS"),"Llamadas","Otro")))</f>
        <v/>
      </c>
      <c r="I3622" s="26" t="str">
        <f aca="false">IF(A3622="","",IF(C3622="No encontrado","No","Sí"))</f>
        <v/>
      </c>
      <c r="J3622" s="26" t="str">
        <f aca="false">IF(A3622="","",IF(F3622="Inactivo","No","Sí"))</f>
        <v/>
      </c>
      <c r="K3622" s="26" t="str">
        <f aca="false">IF(A3622="","",IF(AND(I3622="Sí",J3622="Sí"),"Sí","No"))</f>
        <v/>
      </c>
    </row>
    <row r="3623" customFormat="false" ht="15" hidden="false" customHeight="false" outlineLevel="0" collapsed="false">
      <c r="A3623" s="22"/>
      <c r="B3623" s="22"/>
      <c r="C3623" s="23" t="str">
        <f aca="false">IF(A3623="","",IFERROR(buscarx(A3623&amp;B3623,DATA!$E$3:$E$10000&amp;DATA!$B$3:$B$10000,DATA!$M$3:$M$10000),"No encontrado"))</f>
        <v/>
      </c>
      <c r="D3623" s="24" t="str">
        <f aca="false">IF(A3623="","",IFERROR(buscarx(A3623&amp;B3623,DATA!$E$3:$E$10000&amp;DATA!$B$3:$B$10000,DATA!$W$3:$W$10000),"No encontrado"))</f>
        <v/>
      </c>
      <c r="E3623" s="22"/>
      <c r="F3623" s="23" t="str">
        <f aca="false">IF(A3623="","",IFERROR(buscarx(A3623&amp;E3623,DATA!$E$3:$E$10000&amp;DATA!$B$3:$B$10000,DATA!$M$3:$M$10000),"Inactivo"))</f>
        <v/>
      </c>
      <c r="G3623" s="25" t="str">
        <f aca="false">IF(A3623="","",IF(AND(C3623&lt;&gt;"No encontrado",F3623&lt;&gt;"Inactivo"),C3623&amp;" → "&amp;F3623,"Sin transición"))</f>
        <v/>
      </c>
      <c r="H3623" s="23" t="str">
        <f aca="false">IF(A3623="","",IF(D3623="GCIA LINEA SERVICIO DIGITALIDAD Y VENTAS","Chats",IF(OR(D3623="GERENCIA INBOUND LÍNEAS SERVICIO Y VENTA",D3623="GERENCIA INBOUND LINEAS ESPECIALIZADAS"),"Llamadas","Otro")))</f>
        <v/>
      </c>
      <c r="I3623" s="23" t="str">
        <f aca="false">IF(A3623="","",IF(C3623="No encontrado","No","Sí"))</f>
        <v/>
      </c>
      <c r="J3623" s="23" t="str">
        <f aca="false">IF(A3623="","",IF(F3623="Inactivo","No","Sí"))</f>
        <v/>
      </c>
      <c r="K3623" s="23" t="str">
        <f aca="false">IF(A3623="","",IF(AND(I3623="Sí",J3623="Sí"),"Sí","No"))</f>
        <v/>
      </c>
    </row>
    <row r="3624" customFormat="false" ht="15" hidden="false" customHeight="false" outlineLevel="0" collapsed="false">
      <c r="A3624" s="22"/>
      <c r="B3624" s="22"/>
      <c r="C3624" s="26" t="str">
        <f aca="false">IF(A3624="","",IFERROR(buscarx(A3624&amp;B3624,DATA!$E$3:$E$10000&amp;DATA!$B$3:$B$10000,DATA!$M$3:$M$10000),"No encontrado"))</f>
        <v/>
      </c>
      <c r="D3624" s="27" t="str">
        <f aca="false">IF(A3624="","",IFERROR(buscarx(A3624&amp;B3624,DATA!$E$3:$E$10000&amp;DATA!$B$3:$B$10000,DATA!$W$3:$W$10000),"No encontrado"))</f>
        <v/>
      </c>
      <c r="E3624" s="22"/>
      <c r="F3624" s="26" t="str">
        <f aca="false">IF(A3624="","",IFERROR(buscarx(A3624&amp;E3624,DATA!$E$3:$E$10000&amp;DATA!$B$3:$B$10000,DATA!$M$3:$M$10000),"Inactivo"))</f>
        <v/>
      </c>
      <c r="G3624" s="28" t="str">
        <f aca="false">IF(A3624="","",IF(AND(C3624&lt;&gt;"No encontrado",F3624&lt;&gt;"Inactivo"),C3624&amp;" → "&amp;F3624,"Sin transición"))</f>
        <v/>
      </c>
      <c r="H3624" s="26" t="str">
        <f aca="false">IF(A3624="","",IF(D3624="GCIA LINEA SERVICIO DIGITALIDAD Y VENTAS","Chats",IF(OR(D3624="GERENCIA INBOUND LÍNEAS SERVICIO Y VENTA",D3624="GERENCIA INBOUND LINEAS ESPECIALIZADAS"),"Llamadas","Otro")))</f>
        <v/>
      </c>
      <c r="I3624" s="26" t="str">
        <f aca="false">IF(A3624="","",IF(C3624="No encontrado","No","Sí"))</f>
        <v/>
      </c>
      <c r="J3624" s="26" t="str">
        <f aca="false">IF(A3624="","",IF(F3624="Inactivo","No","Sí"))</f>
        <v/>
      </c>
      <c r="K3624" s="26" t="str">
        <f aca="false">IF(A3624="","",IF(AND(I3624="Sí",J3624="Sí"),"Sí","No"))</f>
        <v/>
      </c>
    </row>
    <row r="3625" customFormat="false" ht="15" hidden="false" customHeight="false" outlineLevel="0" collapsed="false">
      <c r="A3625" s="22"/>
      <c r="B3625" s="22"/>
      <c r="C3625" s="23" t="str">
        <f aca="false">IF(A3625="","",IFERROR(buscarx(A3625&amp;B3625,DATA!$E$3:$E$10000&amp;DATA!$B$3:$B$10000,DATA!$M$3:$M$10000),"No encontrado"))</f>
        <v/>
      </c>
      <c r="D3625" s="24" t="str">
        <f aca="false">IF(A3625="","",IFERROR(buscarx(A3625&amp;B3625,DATA!$E$3:$E$10000&amp;DATA!$B$3:$B$10000,DATA!$W$3:$W$10000),"No encontrado"))</f>
        <v/>
      </c>
      <c r="E3625" s="22"/>
      <c r="F3625" s="23" t="str">
        <f aca="false">IF(A3625="","",IFERROR(buscarx(A3625&amp;E3625,DATA!$E$3:$E$10000&amp;DATA!$B$3:$B$10000,DATA!$M$3:$M$10000),"Inactivo"))</f>
        <v/>
      </c>
      <c r="G3625" s="25" t="str">
        <f aca="false">IF(A3625="","",IF(AND(C3625&lt;&gt;"No encontrado",F3625&lt;&gt;"Inactivo"),C3625&amp;" → "&amp;F3625,"Sin transición"))</f>
        <v/>
      </c>
      <c r="H3625" s="23" t="str">
        <f aca="false">IF(A3625="","",IF(D3625="GCIA LINEA SERVICIO DIGITALIDAD Y VENTAS","Chats",IF(OR(D3625="GERENCIA INBOUND LÍNEAS SERVICIO Y VENTA",D3625="GERENCIA INBOUND LINEAS ESPECIALIZADAS"),"Llamadas","Otro")))</f>
        <v/>
      </c>
      <c r="I3625" s="23" t="str">
        <f aca="false">IF(A3625="","",IF(C3625="No encontrado","No","Sí"))</f>
        <v/>
      </c>
      <c r="J3625" s="23" t="str">
        <f aca="false">IF(A3625="","",IF(F3625="Inactivo","No","Sí"))</f>
        <v/>
      </c>
      <c r="K3625" s="23" t="str">
        <f aca="false">IF(A3625="","",IF(AND(I3625="Sí",J3625="Sí"),"Sí","No"))</f>
        <v/>
      </c>
    </row>
    <row r="3626" customFormat="false" ht="15" hidden="false" customHeight="false" outlineLevel="0" collapsed="false">
      <c r="A3626" s="22"/>
      <c r="B3626" s="22"/>
      <c r="C3626" s="26" t="str">
        <f aca="false">IF(A3626="","",IFERROR(buscarx(A3626&amp;B3626,DATA!$E$3:$E$10000&amp;DATA!$B$3:$B$10000,DATA!$M$3:$M$10000),"No encontrado"))</f>
        <v/>
      </c>
      <c r="D3626" s="27" t="str">
        <f aca="false">IF(A3626="","",IFERROR(buscarx(A3626&amp;B3626,DATA!$E$3:$E$10000&amp;DATA!$B$3:$B$10000,DATA!$W$3:$W$10000),"No encontrado"))</f>
        <v/>
      </c>
      <c r="E3626" s="22"/>
      <c r="F3626" s="26" t="str">
        <f aca="false">IF(A3626="","",IFERROR(buscarx(A3626&amp;E3626,DATA!$E$3:$E$10000&amp;DATA!$B$3:$B$10000,DATA!$M$3:$M$10000),"Inactivo"))</f>
        <v/>
      </c>
      <c r="G3626" s="28" t="str">
        <f aca="false">IF(A3626="","",IF(AND(C3626&lt;&gt;"No encontrado",F3626&lt;&gt;"Inactivo"),C3626&amp;" → "&amp;F3626,"Sin transición"))</f>
        <v/>
      </c>
      <c r="H3626" s="26" t="str">
        <f aca="false">IF(A3626="","",IF(D3626="GCIA LINEA SERVICIO DIGITALIDAD Y VENTAS","Chats",IF(OR(D3626="GERENCIA INBOUND LÍNEAS SERVICIO Y VENTA",D3626="GERENCIA INBOUND LINEAS ESPECIALIZADAS"),"Llamadas","Otro")))</f>
        <v/>
      </c>
      <c r="I3626" s="26" t="str">
        <f aca="false">IF(A3626="","",IF(C3626="No encontrado","No","Sí"))</f>
        <v/>
      </c>
      <c r="J3626" s="26" t="str">
        <f aca="false">IF(A3626="","",IF(F3626="Inactivo","No","Sí"))</f>
        <v/>
      </c>
      <c r="K3626" s="26" t="str">
        <f aca="false">IF(A3626="","",IF(AND(I3626="Sí",J3626="Sí"),"Sí","No"))</f>
        <v/>
      </c>
    </row>
    <row r="3627" customFormat="false" ht="15" hidden="false" customHeight="false" outlineLevel="0" collapsed="false">
      <c r="A3627" s="22"/>
      <c r="B3627" s="22"/>
      <c r="C3627" s="23" t="str">
        <f aca="false">IF(A3627="","",IFERROR(buscarx(A3627&amp;B3627,DATA!$E$3:$E$10000&amp;DATA!$B$3:$B$10000,DATA!$M$3:$M$10000),"No encontrado"))</f>
        <v/>
      </c>
      <c r="D3627" s="24" t="str">
        <f aca="false">IF(A3627="","",IFERROR(buscarx(A3627&amp;B3627,DATA!$E$3:$E$10000&amp;DATA!$B$3:$B$10000,DATA!$W$3:$W$10000),"No encontrado"))</f>
        <v/>
      </c>
      <c r="E3627" s="22"/>
      <c r="F3627" s="23" t="str">
        <f aca="false">IF(A3627="","",IFERROR(buscarx(A3627&amp;E3627,DATA!$E$3:$E$10000&amp;DATA!$B$3:$B$10000,DATA!$M$3:$M$10000),"Inactivo"))</f>
        <v/>
      </c>
      <c r="G3627" s="25" t="str">
        <f aca="false">IF(A3627="","",IF(AND(C3627&lt;&gt;"No encontrado",F3627&lt;&gt;"Inactivo"),C3627&amp;" → "&amp;F3627,"Sin transición"))</f>
        <v/>
      </c>
      <c r="H3627" s="23" t="str">
        <f aca="false">IF(A3627="","",IF(D3627="GCIA LINEA SERVICIO DIGITALIDAD Y VENTAS","Chats",IF(OR(D3627="GERENCIA INBOUND LÍNEAS SERVICIO Y VENTA",D3627="GERENCIA INBOUND LINEAS ESPECIALIZADAS"),"Llamadas","Otro")))</f>
        <v/>
      </c>
      <c r="I3627" s="23" t="str">
        <f aca="false">IF(A3627="","",IF(C3627="No encontrado","No","Sí"))</f>
        <v/>
      </c>
      <c r="J3627" s="23" t="str">
        <f aca="false">IF(A3627="","",IF(F3627="Inactivo","No","Sí"))</f>
        <v/>
      </c>
      <c r="K3627" s="23" t="str">
        <f aca="false">IF(A3627="","",IF(AND(I3627="Sí",J3627="Sí"),"Sí","No"))</f>
        <v/>
      </c>
    </row>
    <row r="3628" customFormat="false" ht="15" hidden="false" customHeight="false" outlineLevel="0" collapsed="false">
      <c r="A3628" s="22"/>
      <c r="B3628" s="22"/>
      <c r="C3628" s="26" t="str">
        <f aca="false">IF(A3628="","",IFERROR(buscarx(A3628&amp;B3628,DATA!$E$3:$E$10000&amp;DATA!$B$3:$B$10000,DATA!$M$3:$M$10000),"No encontrado"))</f>
        <v/>
      </c>
      <c r="D3628" s="27" t="str">
        <f aca="false">IF(A3628="","",IFERROR(buscarx(A3628&amp;B3628,DATA!$E$3:$E$10000&amp;DATA!$B$3:$B$10000,DATA!$W$3:$W$10000),"No encontrado"))</f>
        <v/>
      </c>
      <c r="E3628" s="22"/>
      <c r="F3628" s="26" t="str">
        <f aca="false">IF(A3628="","",IFERROR(buscarx(A3628&amp;E3628,DATA!$E$3:$E$10000&amp;DATA!$B$3:$B$10000,DATA!$M$3:$M$10000),"Inactivo"))</f>
        <v/>
      </c>
      <c r="G3628" s="28" t="str">
        <f aca="false">IF(A3628="","",IF(AND(C3628&lt;&gt;"No encontrado",F3628&lt;&gt;"Inactivo"),C3628&amp;" → "&amp;F3628,"Sin transición"))</f>
        <v/>
      </c>
      <c r="H3628" s="26" t="str">
        <f aca="false">IF(A3628="","",IF(D3628="GCIA LINEA SERVICIO DIGITALIDAD Y VENTAS","Chats",IF(OR(D3628="GERENCIA INBOUND LÍNEAS SERVICIO Y VENTA",D3628="GERENCIA INBOUND LINEAS ESPECIALIZADAS"),"Llamadas","Otro")))</f>
        <v/>
      </c>
      <c r="I3628" s="26" t="str">
        <f aca="false">IF(A3628="","",IF(C3628="No encontrado","No","Sí"))</f>
        <v/>
      </c>
      <c r="J3628" s="26" t="str">
        <f aca="false">IF(A3628="","",IF(F3628="Inactivo","No","Sí"))</f>
        <v/>
      </c>
      <c r="K3628" s="26" t="str">
        <f aca="false">IF(A3628="","",IF(AND(I3628="Sí",J3628="Sí"),"Sí","No"))</f>
        <v/>
      </c>
    </row>
    <row r="3629" customFormat="false" ht="15" hidden="false" customHeight="false" outlineLevel="0" collapsed="false">
      <c r="A3629" s="22"/>
      <c r="B3629" s="22"/>
      <c r="C3629" s="23" t="str">
        <f aca="false">IF(A3629="","",IFERROR(buscarx(A3629&amp;B3629,DATA!$E$3:$E$10000&amp;DATA!$B$3:$B$10000,DATA!$M$3:$M$10000),"No encontrado"))</f>
        <v/>
      </c>
      <c r="D3629" s="24" t="str">
        <f aca="false">IF(A3629="","",IFERROR(buscarx(A3629&amp;B3629,DATA!$E$3:$E$10000&amp;DATA!$B$3:$B$10000,DATA!$W$3:$W$10000),"No encontrado"))</f>
        <v/>
      </c>
      <c r="E3629" s="22"/>
      <c r="F3629" s="23" t="str">
        <f aca="false">IF(A3629="","",IFERROR(buscarx(A3629&amp;E3629,DATA!$E$3:$E$10000&amp;DATA!$B$3:$B$10000,DATA!$M$3:$M$10000),"Inactivo"))</f>
        <v/>
      </c>
      <c r="G3629" s="25" t="str">
        <f aca="false">IF(A3629="","",IF(AND(C3629&lt;&gt;"No encontrado",F3629&lt;&gt;"Inactivo"),C3629&amp;" → "&amp;F3629,"Sin transición"))</f>
        <v/>
      </c>
      <c r="H3629" s="23" t="str">
        <f aca="false">IF(A3629="","",IF(D3629="GCIA LINEA SERVICIO DIGITALIDAD Y VENTAS","Chats",IF(OR(D3629="GERENCIA INBOUND LÍNEAS SERVICIO Y VENTA",D3629="GERENCIA INBOUND LINEAS ESPECIALIZADAS"),"Llamadas","Otro")))</f>
        <v/>
      </c>
      <c r="I3629" s="23" t="str">
        <f aca="false">IF(A3629="","",IF(C3629="No encontrado","No","Sí"))</f>
        <v/>
      </c>
      <c r="J3629" s="23" t="str">
        <f aca="false">IF(A3629="","",IF(F3629="Inactivo","No","Sí"))</f>
        <v/>
      </c>
      <c r="K3629" s="23" t="str">
        <f aca="false">IF(A3629="","",IF(AND(I3629="Sí",J3629="Sí"),"Sí","No"))</f>
        <v/>
      </c>
    </row>
    <row r="3630" customFormat="false" ht="15" hidden="false" customHeight="false" outlineLevel="0" collapsed="false">
      <c r="A3630" s="22"/>
      <c r="B3630" s="22"/>
      <c r="C3630" s="26" t="str">
        <f aca="false">IF(A3630="","",IFERROR(buscarx(A3630&amp;B3630,DATA!$E$3:$E$10000&amp;DATA!$B$3:$B$10000,DATA!$M$3:$M$10000),"No encontrado"))</f>
        <v/>
      </c>
      <c r="D3630" s="27" t="str">
        <f aca="false">IF(A3630="","",IFERROR(buscarx(A3630&amp;B3630,DATA!$E$3:$E$10000&amp;DATA!$B$3:$B$10000,DATA!$W$3:$W$10000),"No encontrado"))</f>
        <v/>
      </c>
      <c r="E3630" s="22"/>
      <c r="F3630" s="26" t="str">
        <f aca="false">IF(A3630="","",IFERROR(buscarx(A3630&amp;E3630,DATA!$E$3:$E$10000&amp;DATA!$B$3:$B$10000,DATA!$M$3:$M$10000),"Inactivo"))</f>
        <v/>
      </c>
      <c r="G3630" s="28" t="str">
        <f aca="false">IF(A3630="","",IF(AND(C3630&lt;&gt;"No encontrado",F3630&lt;&gt;"Inactivo"),C3630&amp;" → "&amp;F3630,"Sin transición"))</f>
        <v/>
      </c>
      <c r="H3630" s="26" t="str">
        <f aca="false">IF(A3630="","",IF(D3630="GCIA LINEA SERVICIO DIGITALIDAD Y VENTAS","Chats",IF(OR(D3630="GERENCIA INBOUND LÍNEAS SERVICIO Y VENTA",D3630="GERENCIA INBOUND LINEAS ESPECIALIZADAS"),"Llamadas","Otro")))</f>
        <v/>
      </c>
      <c r="I3630" s="26" t="str">
        <f aca="false">IF(A3630="","",IF(C3630="No encontrado","No","Sí"))</f>
        <v/>
      </c>
      <c r="J3630" s="26" t="str">
        <f aca="false">IF(A3630="","",IF(F3630="Inactivo","No","Sí"))</f>
        <v/>
      </c>
      <c r="K3630" s="26" t="str">
        <f aca="false">IF(A3630="","",IF(AND(I3630="Sí",J3630="Sí"),"Sí","No"))</f>
        <v/>
      </c>
    </row>
    <row r="3631" customFormat="false" ht="15" hidden="false" customHeight="false" outlineLevel="0" collapsed="false">
      <c r="A3631" s="22"/>
      <c r="B3631" s="22"/>
      <c r="C3631" s="23" t="str">
        <f aca="false">IF(A3631="","",IFERROR(buscarx(A3631&amp;B3631,DATA!$E$3:$E$10000&amp;DATA!$B$3:$B$10000,DATA!$M$3:$M$10000),"No encontrado"))</f>
        <v/>
      </c>
      <c r="D3631" s="24" t="str">
        <f aca="false">IF(A3631="","",IFERROR(buscarx(A3631&amp;B3631,DATA!$E$3:$E$10000&amp;DATA!$B$3:$B$10000,DATA!$W$3:$W$10000),"No encontrado"))</f>
        <v/>
      </c>
      <c r="E3631" s="22"/>
      <c r="F3631" s="23" t="str">
        <f aca="false">IF(A3631="","",IFERROR(buscarx(A3631&amp;E3631,DATA!$E$3:$E$10000&amp;DATA!$B$3:$B$10000,DATA!$M$3:$M$10000),"Inactivo"))</f>
        <v/>
      </c>
      <c r="G3631" s="25" t="str">
        <f aca="false">IF(A3631="","",IF(AND(C3631&lt;&gt;"No encontrado",F3631&lt;&gt;"Inactivo"),C3631&amp;" → "&amp;F3631,"Sin transición"))</f>
        <v/>
      </c>
      <c r="H3631" s="23" t="str">
        <f aca="false">IF(A3631="","",IF(D3631="GCIA LINEA SERVICIO DIGITALIDAD Y VENTAS","Chats",IF(OR(D3631="GERENCIA INBOUND LÍNEAS SERVICIO Y VENTA",D3631="GERENCIA INBOUND LINEAS ESPECIALIZADAS"),"Llamadas","Otro")))</f>
        <v/>
      </c>
      <c r="I3631" s="23" t="str">
        <f aca="false">IF(A3631="","",IF(C3631="No encontrado","No","Sí"))</f>
        <v/>
      </c>
      <c r="J3631" s="23" t="str">
        <f aca="false">IF(A3631="","",IF(F3631="Inactivo","No","Sí"))</f>
        <v/>
      </c>
      <c r="K3631" s="23" t="str">
        <f aca="false">IF(A3631="","",IF(AND(I3631="Sí",J3631="Sí"),"Sí","No"))</f>
        <v/>
      </c>
    </row>
    <row r="3632" customFormat="false" ht="15" hidden="false" customHeight="false" outlineLevel="0" collapsed="false">
      <c r="A3632" s="22"/>
      <c r="B3632" s="22"/>
      <c r="C3632" s="26" t="str">
        <f aca="false">IF(A3632="","",IFERROR(buscarx(A3632&amp;B3632,DATA!$E$3:$E$10000&amp;DATA!$B$3:$B$10000,DATA!$M$3:$M$10000),"No encontrado"))</f>
        <v/>
      </c>
      <c r="D3632" s="27" t="str">
        <f aca="false">IF(A3632="","",IFERROR(buscarx(A3632&amp;B3632,DATA!$E$3:$E$10000&amp;DATA!$B$3:$B$10000,DATA!$W$3:$W$10000),"No encontrado"))</f>
        <v/>
      </c>
      <c r="E3632" s="22"/>
      <c r="F3632" s="26" t="str">
        <f aca="false">IF(A3632="","",IFERROR(buscarx(A3632&amp;E3632,DATA!$E$3:$E$10000&amp;DATA!$B$3:$B$10000,DATA!$M$3:$M$10000),"Inactivo"))</f>
        <v/>
      </c>
      <c r="G3632" s="28" t="str">
        <f aca="false">IF(A3632="","",IF(AND(C3632&lt;&gt;"No encontrado",F3632&lt;&gt;"Inactivo"),C3632&amp;" → "&amp;F3632,"Sin transición"))</f>
        <v/>
      </c>
      <c r="H3632" s="26" t="str">
        <f aca="false">IF(A3632="","",IF(D3632="GCIA LINEA SERVICIO DIGITALIDAD Y VENTAS","Chats",IF(OR(D3632="GERENCIA INBOUND LÍNEAS SERVICIO Y VENTA",D3632="GERENCIA INBOUND LINEAS ESPECIALIZADAS"),"Llamadas","Otro")))</f>
        <v/>
      </c>
      <c r="I3632" s="26" t="str">
        <f aca="false">IF(A3632="","",IF(C3632="No encontrado","No","Sí"))</f>
        <v/>
      </c>
      <c r="J3632" s="26" t="str">
        <f aca="false">IF(A3632="","",IF(F3632="Inactivo","No","Sí"))</f>
        <v/>
      </c>
      <c r="K3632" s="26" t="str">
        <f aca="false">IF(A3632="","",IF(AND(I3632="Sí",J3632="Sí"),"Sí","No"))</f>
        <v/>
      </c>
    </row>
    <row r="3633" customFormat="false" ht="15" hidden="false" customHeight="false" outlineLevel="0" collapsed="false">
      <c r="A3633" s="22"/>
      <c r="B3633" s="22"/>
      <c r="C3633" s="23" t="str">
        <f aca="false">IF(A3633="","",IFERROR(buscarx(A3633&amp;B3633,DATA!$E$3:$E$10000&amp;DATA!$B$3:$B$10000,DATA!$M$3:$M$10000),"No encontrado"))</f>
        <v/>
      </c>
      <c r="D3633" s="24" t="str">
        <f aca="false">IF(A3633="","",IFERROR(buscarx(A3633&amp;B3633,DATA!$E$3:$E$10000&amp;DATA!$B$3:$B$10000,DATA!$W$3:$W$10000),"No encontrado"))</f>
        <v/>
      </c>
      <c r="E3633" s="22"/>
      <c r="F3633" s="23" t="str">
        <f aca="false">IF(A3633="","",IFERROR(buscarx(A3633&amp;E3633,DATA!$E$3:$E$10000&amp;DATA!$B$3:$B$10000,DATA!$M$3:$M$10000),"Inactivo"))</f>
        <v/>
      </c>
      <c r="G3633" s="25" t="str">
        <f aca="false">IF(A3633="","",IF(AND(C3633&lt;&gt;"No encontrado",F3633&lt;&gt;"Inactivo"),C3633&amp;" → "&amp;F3633,"Sin transición"))</f>
        <v/>
      </c>
      <c r="H3633" s="23" t="str">
        <f aca="false">IF(A3633="","",IF(D3633="GCIA LINEA SERVICIO DIGITALIDAD Y VENTAS","Chats",IF(OR(D3633="GERENCIA INBOUND LÍNEAS SERVICIO Y VENTA",D3633="GERENCIA INBOUND LINEAS ESPECIALIZADAS"),"Llamadas","Otro")))</f>
        <v/>
      </c>
      <c r="I3633" s="23" t="str">
        <f aca="false">IF(A3633="","",IF(C3633="No encontrado","No","Sí"))</f>
        <v/>
      </c>
      <c r="J3633" s="23" t="str">
        <f aca="false">IF(A3633="","",IF(F3633="Inactivo","No","Sí"))</f>
        <v/>
      </c>
      <c r="K3633" s="23" t="str">
        <f aca="false">IF(A3633="","",IF(AND(I3633="Sí",J3633="Sí"),"Sí","No"))</f>
        <v/>
      </c>
    </row>
    <row r="3634" customFormat="false" ht="15" hidden="false" customHeight="false" outlineLevel="0" collapsed="false">
      <c r="A3634" s="22"/>
      <c r="B3634" s="22"/>
      <c r="C3634" s="26" t="str">
        <f aca="false">IF(A3634="","",IFERROR(buscarx(A3634&amp;B3634,DATA!$E$3:$E$10000&amp;DATA!$B$3:$B$10000,DATA!$M$3:$M$10000),"No encontrado"))</f>
        <v/>
      </c>
      <c r="D3634" s="27" t="str">
        <f aca="false">IF(A3634="","",IFERROR(buscarx(A3634&amp;B3634,DATA!$E$3:$E$10000&amp;DATA!$B$3:$B$10000,DATA!$W$3:$W$10000),"No encontrado"))</f>
        <v/>
      </c>
      <c r="E3634" s="22"/>
      <c r="F3634" s="26" t="str">
        <f aca="false">IF(A3634="","",IFERROR(buscarx(A3634&amp;E3634,DATA!$E$3:$E$10000&amp;DATA!$B$3:$B$10000,DATA!$M$3:$M$10000),"Inactivo"))</f>
        <v/>
      </c>
      <c r="G3634" s="28" t="str">
        <f aca="false">IF(A3634="","",IF(AND(C3634&lt;&gt;"No encontrado",F3634&lt;&gt;"Inactivo"),C3634&amp;" → "&amp;F3634,"Sin transición"))</f>
        <v/>
      </c>
      <c r="H3634" s="26" t="str">
        <f aca="false">IF(A3634="","",IF(D3634="GCIA LINEA SERVICIO DIGITALIDAD Y VENTAS","Chats",IF(OR(D3634="GERENCIA INBOUND LÍNEAS SERVICIO Y VENTA",D3634="GERENCIA INBOUND LINEAS ESPECIALIZADAS"),"Llamadas","Otro")))</f>
        <v/>
      </c>
      <c r="I3634" s="26" t="str">
        <f aca="false">IF(A3634="","",IF(C3634="No encontrado","No","Sí"))</f>
        <v/>
      </c>
      <c r="J3634" s="26" t="str">
        <f aca="false">IF(A3634="","",IF(F3634="Inactivo","No","Sí"))</f>
        <v/>
      </c>
      <c r="K3634" s="26" t="str">
        <f aca="false">IF(A3634="","",IF(AND(I3634="Sí",J3634="Sí"),"Sí","No"))</f>
        <v/>
      </c>
    </row>
    <row r="3635" customFormat="false" ht="15" hidden="false" customHeight="false" outlineLevel="0" collapsed="false">
      <c r="A3635" s="22"/>
      <c r="B3635" s="22"/>
      <c r="C3635" s="23" t="str">
        <f aca="false">IF(A3635="","",IFERROR(buscarx(A3635&amp;B3635,DATA!$E$3:$E$10000&amp;DATA!$B$3:$B$10000,DATA!$M$3:$M$10000),"No encontrado"))</f>
        <v/>
      </c>
      <c r="D3635" s="24" t="str">
        <f aca="false">IF(A3635="","",IFERROR(buscarx(A3635&amp;B3635,DATA!$E$3:$E$10000&amp;DATA!$B$3:$B$10000,DATA!$W$3:$W$10000),"No encontrado"))</f>
        <v/>
      </c>
      <c r="E3635" s="22"/>
      <c r="F3635" s="23" t="str">
        <f aca="false">IF(A3635="","",IFERROR(buscarx(A3635&amp;E3635,DATA!$E$3:$E$10000&amp;DATA!$B$3:$B$10000,DATA!$M$3:$M$10000),"Inactivo"))</f>
        <v/>
      </c>
      <c r="G3635" s="25" t="str">
        <f aca="false">IF(A3635="","",IF(AND(C3635&lt;&gt;"No encontrado",F3635&lt;&gt;"Inactivo"),C3635&amp;" → "&amp;F3635,"Sin transición"))</f>
        <v/>
      </c>
      <c r="H3635" s="23" t="str">
        <f aca="false">IF(A3635="","",IF(D3635="GCIA LINEA SERVICIO DIGITALIDAD Y VENTAS","Chats",IF(OR(D3635="GERENCIA INBOUND LÍNEAS SERVICIO Y VENTA",D3635="GERENCIA INBOUND LINEAS ESPECIALIZADAS"),"Llamadas","Otro")))</f>
        <v/>
      </c>
      <c r="I3635" s="23" t="str">
        <f aca="false">IF(A3635="","",IF(C3635="No encontrado","No","Sí"))</f>
        <v/>
      </c>
      <c r="J3635" s="23" t="str">
        <f aca="false">IF(A3635="","",IF(F3635="Inactivo","No","Sí"))</f>
        <v/>
      </c>
      <c r="K3635" s="23" t="str">
        <f aca="false">IF(A3635="","",IF(AND(I3635="Sí",J3635="Sí"),"Sí","No"))</f>
        <v/>
      </c>
    </row>
    <row r="3636" customFormat="false" ht="15" hidden="false" customHeight="false" outlineLevel="0" collapsed="false">
      <c r="A3636" s="22"/>
      <c r="B3636" s="22"/>
      <c r="C3636" s="26" t="str">
        <f aca="false">IF(A3636="","",IFERROR(buscarx(A3636&amp;B3636,DATA!$E$3:$E$10000&amp;DATA!$B$3:$B$10000,DATA!$M$3:$M$10000),"No encontrado"))</f>
        <v/>
      </c>
      <c r="D3636" s="27" t="str">
        <f aca="false">IF(A3636="","",IFERROR(buscarx(A3636&amp;B3636,DATA!$E$3:$E$10000&amp;DATA!$B$3:$B$10000,DATA!$W$3:$W$10000),"No encontrado"))</f>
        <v/>
      </c>
      <c r="E3636" s="22"/>
      <c r="F3636" s="26" t="str">
        <f aca="false">IF(A3636="","",IFERROR(buscarx(A3636&amp;E3636,DATA!$E$3:$E$10000&amp;DATA!$B$3:$B$10000,DATA!$M$3:$M$10000),"Inactivo"))</f>
        <v/>
      </c>
      <c r="G3636" s="28" t="str">
        <f aca="false">IF(A3636="","",IF(AND(C3636&lt;&gt;"No encontrado",F3636&lt;&gt;"Inactivo"),C3636&amp;" → "&amp;F3636,"Sin transición"))</f>
        <v/>
      </c>
      <c r="H3636" s="26" t="str">
        <f aca="false">IF(A3636="","",IF(D3636="GCIA LINEA SERVICIO DIGITALIDAD Y VENTAS","Chats",IF(OR(D3636="GERENCIA INBOUND LÍNEAS SERVICIO Y VENTA",D3636="GERENCIA INBOUND LINEAS ESPECIALIZADAS"),"Llamadas","Otro")))</f>
        <v/>
      </c>
      <c r="I3636" s="26" t="str">
        <f aca="false">IF(A3636="","",IF(C3636="No encontrado","No","Sí"))</f>
        <v/>
      </c>
      <c r="J3636" s="26" t="str">
        <f aca="false">IF(A3636="","",IF(F3636="Inactivo","No","Sí"))</f>
        <v/>
      </c>
      <c r="K3636" s="26" t="str">
        <f aca="false">IF(A3636="","",IF(AND(I3636="Sí",J3636="Sí"),"Sí","No"))</f>
        <v/>
      </c>
    </row>
    <row r="3637" customFormat="false" ht="15" hidden="false" customHeight="false" outlineLevel="0" collapsed="false">
      <c r="A3637" s="22"/>
      <c r="B3637" s="22"/>
      <c r="C3637" s="23" t="str">
        <f aca="false">IF(A3637="","",IFERROR(buscarx(A3637&amp;B3637,DATA!$E$3:$E$10000&amp;DATA!$B$3:$B$10000,DATA!$M$3:$M$10000),"No encontrado"))</f>
        <v/>
      </c>
      <c r="D3637" s="24" t="str">
        <f aca="false">IF(A3637="","",IFERROR(buscarx(A3637&amp;B3637,DATA!$E$3:$E$10000&amp;DATA!$B$3:$B$10000,DATA!$W$3:$W$10000),"No encontrado"))</f>
        <v/>
      </c>
      <c r="E3637" s="22"/>
      <c r="F3637" s="23" t="str">
        <f aca="false">IF(A3637="","",IFERROR(buscarx(A3637&amp;E3637,DATA!$E$3:$E$10000&amp;DATA!$B$3:$B$10000,DATA!$M$3:$M$10000),"Inactivo"))</f>
        <v/>
      </c>
      <c r="G3637" s="25" t="str">
        <f aca="false">IF(A3637="","",IF(AND(C3637&lt;&gt;"No encontrado",F3637&lt;&gt;"Inactivo"),C3637&amp;" → "&amp;F3637,"Sin transición"))</f>
        <v/>
      </c>
      <c r="H3637" s="23" t="str">
        <f aca="false">IF(A3637="","",IF(D3637="GCIA LINEA SERVICIO DIGITALIDAD Y VENTAS","Chats",IF(OR(D3637="GERENCIA INBOUND LÍNEAS SERVICIO Y VENTA",D3637="GERENCIA INBOUND LINEAS ESPECIALIZADAS"),"Llamadas","Otro")))</f>
        <v/>
      </c>
      <c r="I3637" s="23" t="str">
        <f aca="false">IF(A3637="","",IF(C3637="No encontrado","No","Sí"))</f>
        <v/>
      </c>
      <c r="J3637" s="23" t="str">
        <f aca="false">IF(A3637="","",IF(F3637="Inactivo","No","Sí"))</f>
        <v/>
      </c>
      <c r="K3637" s="23" t="str">
        <f aca="false">IF(A3637="","",IF(AND(I3637="Sí",J3637="Sí"),"Sí","No"))</f>
        <v/>
      </c>
    </row>
    <row r="3638" customFormat="false" ht="15" hidden="false" customHeight="false" outlineLevel="0" collapsed="false">
      <c r="A3638" s="22"/>
      <c r="B3638" s="22"/>
      <c r="C3638" s="26" t="str">
        <f aca="false">IF(A3638="","",IFERROR(buscarx(A3638&amp;B3638,DATA!$E$3:$E$10000&amp;DATA!$B$3:$B$10000,DATA!$M$3:$M$10000),"No encontrado"))</f>
        <v/>
      </c>
      <c r="D3638" s="27" t="str">
        <f aca="false">IF(A3638="","",IFERROR(buscarx(A3638&amp;B3638,DATA!$E$3:$E$10000&amp;DATA!$B$3:$B$10000,DATA!$W$3:$W$10000),"No encontrado"))</f>
        <v/>
      </c>
      <c r="E3638" s="22"/>
      <c r="F3638" s="26" t="str">
        <f aca="false">IF(A3638="","",IFERROR(buscarx(A3638&amp;E3638,DATA!$E$3:$E$10000&amp;DATA!$B$3:$B$10000,DATA!$M$3:$M$10000),"Inactivo"))</f>
        <v/>
      </c>
      <c r="G3638" s="28" t="str">
        <f aca="false">IF(A3638="","",IF(AND(C3638&lt;&gt;"No encontrado",F3638&lt;&gt;"Inactivo"),C3638&amp;" → "&amp;F3638,"Sin transición"))</f>
        <v/>
      </c>
      <c r="H3638" s="26" t="str">
        <f aca="false">IF(A3638="","",IF(D3638="GCIA LINEA SERVICIO DIGITALIDAD Y VENTAS","Chats",IF(OR(D3638="GERENCIA INBOUND LÍNEAS SERVICIO Y VENTA",D3638="GERENCIA INBOUND LINEAS ESPECIALIZADAS"),"Llamadas","Otro")))</f>
        <v/>
      </c>
      <c r="I3638" s="26" t="str">
        <f aca="false">IF(A3638="","",IF(C3638="No encontrado","No","Sí"))</f>
        <v/>
      </c>
      <c r="J3638" s="26" t="str">
        <f aca="false">IF(A3638="","",IF(F3638="Inactivo","No","Sí"))</f>
        <v/>
      </c>
      <c r="K3638" s="26" t="str">
        <f aca="false">IF(A3638="","",IF(AND(I3638="Sí",J3638="Sí"),"Sí","No"))</f>
        <v/>
      </c>
    </row>
    <row r="3639" customFormat="false" ht="15" hidden="false" customHeight="false" outlineLevel="0" collapsed="false">
      <c r="A3639" s="22"/>
      <c r="B3639" s="22"/>
      <c r="C3639" s="23" t="str">
        <f aca="false">IF(A3639="","",IFERROR(buscarx(A3639&amp;B3639,DATA!$E$3:$E$10000&amp;DATA!$B$3:$B$10000,DATA!$M$3:$M$10000),"No encontrado"))</f>
        <v/>
      </c>
      <c r="D3639" s="24" t="str">
        <f aca="false">IF(A3639="","",IFERROR(buscarx(A3639&amp;B3639,DATA!$E$3:$E$10000&amp;DATA!$B$3:$B$10000,DATA!$W$3:$W$10000),"No encontrado"))</f>
        <v/>
      </c>
      <c r="E3639" s="22"/>
      <c r="F3639" s="23" t="str">
        <f aca="false">IF(A3639="","",IFERROR(buscarx(A3639&amp;E3639,DATA!$E$3:$E$10000&amp;DATA!$B$3:$B$10000,DATA!$M$3:$M$10000),"Inactivo"))</f>
        <v/>
      </c>
      <c r="G3639" s="25" t="str">
        <f aca="false">IF(A3639="","",IF(AND(C3639&lt;&gt;"No encontrado",F3639&lt;&gt;"Inactivo"),C3639&amp;" → "&amp;F3639,"Sin transición"))</f>
        <v/>
      </c>
      <c r="H3639" s="23" t="str">
        <f aca="false">IF(A3639="","",IF(D3639="GCIA LINEA SERVICIO DIGITALIDAD Y VENTAS","Chats",IF(OR(D3639="GERENCIA INBOUND LÍNEAS SERVICIO Y VENTA",D3639="GERENCIA INBOUND LINEAS ESPECIALIZADAS"),"Llamadas","Otro")))</f>
        <v/>
      </c>
      <c r="I3639" s="23" t="str">
        <f aca="false">IF(A3639="","",IF(C3639="No encontrado","No","Sí"))</f>
        <v/>
      </c>
      <c r="J3639" s="23" t="str">
        <f aca="false">IF(A3639="","",IF(F3639="Inactivo","No","Sí"))</f>
        <v/>
      </c>
      <c r="K3639" s="23" t="str">
        <f aca="false">IF(A3639="","",IF(AND(I3639="Sí",J3639="Sí"),"Sí","No"))</f>
        <v/>
      </c>
    </row>
    <row r="3640" customFormat="false" ht="15" hidden="false" customHeight="false" outlineLevel="0" collapsed="false">
      <c r="A3640" s="22"/>
      <c r="B3640" s="22"/>
      <c r="C3640" s="26" t="str">
        <f aca="false">IF(A3640="","",IFERROR(buscarx(A3640&amp;B3640,DATA!$E$3:$E$10000&amp;DATA!$B$3:$B$10000,DATA!$M$3:$M$10000),"No encontrado"))</f>
        <v/>
      </c>
      <c r="D3640" s="27" t="str">
        <f aca="false">IF(A3640="","",IFERROR(buscarx(A3640&amp;B3640,DATA!$E$3:$E$10000&amp;DATA!$B$3:$B$10000,DATA!$W$3:$W$10000),"No encontrado"))</f>
        <v/>
      </c>
      <c r="E3640" s="22"/>
      <c r="F3640" s="26" t="str">
        <f aca="false">IF(A3640="","",IFERROR(buscarx(A3640&amp;E3640,DATA!$E$3:$E$10000&amp;DATA!$B$3:$B$10000,DATA!$M$3:$M$10000),"Inactivo"))</f>
        <v/>
      </c>
      <c r="G3640" s="28" t="str">
        <f aca="false">IF(A3640="","",IF(AND(C3640&lt;&gt;"No encontrado",F3640&lt;&gt;"Inactivo"),C3640&amp;" → "&amp;F3640,"Sin transición"))</f>
        <v/>
      </c>
      <c r="H3640" s="26" t="str">
        <f aca="false">IF(A3640="","",IF(D3640="GCIA LINEA SERVICIO DIGITALIDAD Y VENTAS","Chats",IF(OR(D3640="GERENCIA INBOUND LÍNEAS SERVICIO Y VENTA",D3640="GERENCIA INBOUND LINEAS ESPECIALIZADAS"),"Llamadas","Otro")))</f>
        <v/>
      </c>
      <c r="I3640" s="26" t="str">
        <f aca="false">IF(A3640="","",IF(C3640="No encontrado","No","Sí"))</f>
        <v/>
      </c>
      <c r="J3640" s="26" t="str">
        <f aca="false">IF(A3640="","",IF(F3640="Inactivo","No","Sí"))</f>
        <v/>
      </c>
      <c r="K3640" s="26" t="str">
        <f aca="false">IF(A3640="","",IF(AND(I3640="Sí",J3640="Sí"),"Sí","No"))</f>
        <v/>
      </c>
    </row>
    <row r="3641" customFormat="false" ht="15" hidden="false" customHeight="false" outlineLevel="0" collapsed="false">
      <c r="A3641" s="22"/>
      <c r="B3641" s="22"/>
      <c r="C3641" s="23" t="str">
        <f aca="false">IF(A3641="","",IFERROR(buscarx(A3641&amp;B3641,DATA!$E$3:$E$10000&amp;DATA!$B$3:$B$10000,DATA!$M$3:$M$10000),"No encontrado"))</f>
        <v/>
      </c>
      <c r="D3641" s="24" t="str">
        <f aca="false">IF(A3641="","",IFERROR(buscarx(A3641&amp;B3641,DATA!$E$3:$E$10000&amp;DATA!$B$3:$B$10000,DATA!$W$3:$W$10000),"No encontrado"))</f>
        <v/>
      </c>
      <c r="E3641" s="22"/>
      <c r="F3641" s="23" t="str">
        <f aca="false">IF(A3641="","",IFERROR(buscarx(A3641&amp;E3641,DATA!$E$3:$E$10000&amp;DATA!$B$3:$B$10000,DATA!$M$3:$M$10000),"Inactivo"))</f>
        <v/>
      </c>
      <c r="G3641" s="25" t="str">
        <f aca="false">IF(A3641="","",IF(AND(C3641&lt;&gt;"No encontrado",F3641&lt;&gt;"Inactivo"),C3641&amp;" → "&amp;F3641,"Sin transición"))</f>
        <v/>
      </c>
      <c r="H3641" s="23" t="str">
        <f aca="false">IF(A3641="","",IF(D3641="GCIA LINEA SERVICIO DIGITALIDAD Y VENTAS","Chats",IF(OR(D3641="GERENCIA INBOUND LÍNEAS SERVICIO Y VENTA",D3641="GERENCIA INBOUND LINEAS ESPECIALIZADAS"),"Llamadas","Otro")))</f>
        <v/>
      </c>
      <c r="I3641" s="23" t="str">
        <f aca="false">IF(A3641="","",IF(C3641="No encontrado","No","Sí"))</f>
        <v/>
      </c>
      <c r="J3641" s="23" t="str">
        <f aca="false">IF(A3641="","",IF(F3641="Inactivo","No","Sí"))</f>
        <v/>
      </c>
      <c r="K3641" s="23" t="str">
        <f aca="false">IF(A3641="","",IF(AND(I3641="Sí",J3641="Sí"),"Sí","No"))</f>
        <v/>
      </c>
    </row>
    <row r="3642" customFormat="false" ht="15" hidden="false" customHeight="false" outlineLevel="0" collapsed="false">
      <c r="A3642" s="22"/>
      <c r="B3642" s="22"/>
      <c r="C3642" s="26" t="str">
        <f aca="false">IF(A3642="","",IFERROR(buscarx(A3642&amp;B3642,DATA!$E$3:$E$10000&amp;DATA!$B$3:$B$10000,DATA!$M$3:$M$10000),"No encontrado"))</f>
        <v/>
      </c>
      <c r="D3642" s="27" t="str">
        <f aca="false">IF(A3642="","",IFERROR(buscarx(A3642&amp;B3642,DATA!$E$3:$E$10000&amp;DATA!$B$3:$B$10000,DATA!$W$3:$W$10000),"No encontrado"))</f>
        <v/>
      </c>
      <c r="E3642" s="22"/>
      <c r="F3642" s="26" t="str">
        <f aca="false">IF(A3642="","",IFERROR(buscarx(A3642&amp;E3642,DATA!$E$3:$E$10000&amp;DATA!$B$3:$B$10000,DATA!$M$3:$M$10000),"Inactivo"))</f>
        <v/>
      </c>
      <c r="G3642" s="28" t="str">
        <f aca="false">IF(A3642="","",IF(AND(C3642&lt;&gt;"No encontrado",F3642&lt;&gt;"Inactivo"),C3642&amp;" → "&amp;F3642,"Sin transición"))</f>
        <v/>
      </c>
      <c r="H3642" s="26" t="str">
        <f aca="false">IF(A3642="","",IF(D3642="GCIA LINEA SERVICIO DIGITALIDAD Y VENTAS","Chats",IF(OR(D3642="GERENCIA INBOUND LÍNEAS SERVICIO Y VENTA",D3642="GERENCIA INBOUND LINEAS ESPECIALIZADAS"),"Llamadas","Otro")))</f>
        <v/>
      </c>
      <c r="I3642" s="26" t="str">
        <f aca="false">IF(A3642="","",IF(C3642="No encontrado","No","Sí"))</f>
        <v/>
      </c>
      <c r="J3642" s="26" t="str">
        <f aca="false">IF(A3642="","",IF(F3642="Inactivo","No","Sí"))</f>
        <v/>
      </c>
      <c r="K3642" s="26" t="str">
        <f aca="false">IF(A3642="","",IF(AND(I3642="Sí",J3642="Sí"),"Sí","No"))</f>
        <v/>
      </c>
    </row>
    <row r="3643" customFormat="false" ht="15" hidden="false" customHeight="false" outlineLevel="0" collapsed="false">
      <c r="A3643" s="22"/>
      <c r="B3643" s="22"/>
      <c r="C3643" s="23" t="str">
        <f aca="false">IF(A3643="","",IFERROR(buscarx(A3643&amp;B3643,DATA!$E$3:$E$10000&amp;DATA!$B$3:$B$10000,DATA!$M$3:$M$10000),"No encontrado"))</f>
        <v/>
      </c>
      <c r="D3643" s="24" t="str">
        <f aca="false">IF(A3643="","",IFERROR(buscarx(A3643&amp;B3643,DATA!$E$3:$E$10000&amp;DATA!$B$3:$B$10000,DATA!$W$3:$W$10000),"No encontrado"))</f>
        <v/>
      </c>
      <c r="E3643" s="22"/>
      <c r="F3643" s="23" t="str">
        <f aca="false">IF(A3643="","",IFERROR(buscarx(A3643&amp;E3643,DATA!$E$3:$E$10000&amp;DATA!$B$3:$B$10000,DATA!$M$3:$M$10000),"Inactivo"))</f>
        <v/>
      </c>
      <c r="G3643" s="25" t="str">
        <f aca="false">IF(A3643="","",IF(AND(C3643&lt;&gt;"No encontrado",F3643&lt;&gt;"Inactivo"),C3643&amp;" → "&amp;F3643,"Sin transición"))</f>
        <v/>
      </c>
      <c r="H3643" s="23" t="str">
        <f aca="false">IF(A3643="","",IF(D3643="GCIA LINEA SERVICIO DIGITALIDAD Y VENTAS","Chats",IF(OR(D3643="GERENCIA INBOUND LÍNEAS SERVICIO Y VENTA",D3643="GERENCIA INBOUND LINEAS ESPECIALIZADAS"),"Llamadas","Otro")))</f>
        <v/>
      </c>
      <c r="I3643" s="23" t="str">
        <f aca="false">IF(A3643="","",IF(C3643="No encontrado","No","Sí"))</f>
        <v/>
      </c>
      <c r="J3643" s="23" t="str">
        <f aca="false">IF(A3643="","",IF(F3643="Inactivo","No","Sí"))</f>
        <v/>
      </c>
      <c r="K3643" s="23" t="str">
        <f aca="false">IF(A3643="","",IF(AND(I3643="Sí",J3643="Sí"),"Sí","No"))</f>
        <v/>
      </c>
    </row>
    <row r="3644" customFormat="false" ht="15" hidden="false" customHeight="false" outlineLevel="0" collapsed="false">
      <c r="A3644" s="22"/>
      <c r="B3644" s="22"/>
      <c r="C3644" s="26" t="str">
        <f aca="false">IF(A3644="","",IFERROR(buscarx(A3644&amp;B3644,DATA!$E$3:$E$10000&amp;DATA!$B$3:$B$10000,DATA!$M$3:$M$10000),"No encontrado"))</f>
        <v/>
      </c>
      <c r="D3644" s="27" t="str">
        <f aca="false">IF(A3644="","",IFERROR(buscarx(A3644&amp;B3644,DATA!$E$3:$E$10000&amp;DATA!$B$3:$B$10000,DATA!$W$3:$W$10000),"No encontrado"))</f>
        <v/>
      </c>
      <c r="E3644" s="22"/>
      <c r="F3644" s="26" t="str">
        <f aca="false">IF(A3644="","",IFERROR(buscarx(A3644&amp;E3644,DATA!$E$3:$E$10000&amp;DATA!$B$3:$B$10000,DATA!$M$3:$M$10000),"Inactivo"))</f>
        <v/>
      </c>
      <c r="G3644" s="28" t="str">
        <f aca="false">IF(A3644="","",IF(AND(C3644&lt;&gt;"No encontrado",F3644&lt;&gt;"Inactivo"),C3644&amp;" → "&amp;F3644,"Sin transición"))</f>
        <v/>
      </c>
      <c r="H3644" s="26" t="str">
        <f aca="false">IF(A3644="","",IF(D3644="GCIA LINEA SERVICIO DIGITALIDAD Y VENTAS","Chats",IF(OR(D3644="GERENCIA INBOUND LÍNEAS SERVICIO Y VENTA",D3644="GERENCIA INBOUND LINEAS ESPECIALIZADAS"),"Llamadas","Otro")))</f>
        <v/>
      </c>
      <c r="I3644" s="26" t="str">
        <f aca="false">IF(A3644="","",IF(C3644="No encontrado","No","Sí"))</f>
        <v/>
      </c>
      <c r="J3644" s="26" t="str">
        <f aca="false">IF(A3644="","",IF(F3644="Inactivo","No","Sí"))</f>
        <v/>
      </c>
      <c r="K3644" s="26" t="str">
        <f aca="false">IF(A3644="","",IF(AND(I3644="Sí",J3644="Sí"),"Sí","No"))</f>
        <v/>
      </c>
    </row>
    <row r="3645" customFormat="false" ht="15" hidden="false" customHeight="false" outlineLevel="0" collapsed="false">
      <c r="A3645" s="22"/>
      <c r="B3645" s="22"/>
      <c r="C3645" s="23" t="str">
        <f aca="false">IF(A3645="","",IFERROR(buscarx(A3645&amp;B3645,DATA!$E$3:$E$10000&amp;DATA!$B$3:$B$10000,DATA!$M$3:$M$10000),"No encontrado"))</f>
        <v/>
      </c>
      <c r="D3645" s="24" t="str">
        <f aca="false">IF(A3645="","",IFERROR(buscarx(A3645&amp;B3645,DATA!$E$3:$E$10000&amp;DATA!$B$3:$B$10000,DATA!$W$3:$W$10000),"No encontrado"))</f>
        <v/>
      </c>
      <c r="E3645" s="22"/>
      <c r="F3645" s="23" t="str">
        <f aca="false">IF(A3645="","",IFERROR(buscarx(A3645&amp;E3645,DATA!$E$3:$E$10000&amp;DATA!$B$3:$B$10000,DATA!$M$3:$M$10000),"Inactivo"))</f>
        <v/>
      </c>
      <c r="G3645" s="25" t="str">
        <f aca="false">IF(A3645="","",IF(AND(C3645&lt;&gt;"No encontrado",F3645&lt;&gt;"Inactivo"),C3645&amp;" → "&amp;F3645,"Sin transición"))</f>
        <v/>
      </c>
      <c r="H3645" s="23" t="str">
        <f aca="false">IF(A3645="","",IF(D3645="GCIA LINEA SERVICIO DIGITALIDAD Y VENTAS","Chats",IF(OR(D3645="GERENCIA INBOUND LÍNEAS SERVICIO Y VENTA",D3645="GERENCIA INBOUND LINEAS ESPECIALIZADAS"),"Llamadas","Otro")))</f>
        <v/>
      </c>
      <c r="I3645" s="23" t="str">
        <f aca="false">IF(A3645="","",IF(C3645="No encontrado","No","Sí"))</f>
        <v/>
      </c>
      <c r="J3645" s="23" t="str">
        <f aca="false">IF(A3645="","",IF(F3645="Inactivo","No","Sí"))</f>
        <v/>
      </c>
      <c r="K3645" s="23" t="str">
        <f aca="false">IF(A3645="","",IF(AND(I3645="Sí",J3645="Sí"),"Sí","No"))</f>
        <v/>
      </c>
    </row>
    <row r="3646" customFormat="false" ht="15" hidden="false" customHeight="false" outlineLevel="0" collapsed="false">
      <c r="A3646" s="22"/>
      <c r="B3646" s="22"/>
      <c r="C3646" s="26" t="str">
        <f aca="false">IF(A3646="","",IFERROR(buscarx(A3646&amp;B3646,DATA!$E$3:$E$10000&amp;DATA!$B$3:$B$10000,DATA!$M$3:$M$10000),"No encontrado"))</f>
        <v/>
      </c>
      <c r="D3646" s="27" t="str">
        <f aca="false">IF(A3646="","",IFERROR(buscarx(A3646&amp;B3646,DATA!$E$3:$E$10000&amp;DATA!$B$3:$B$10000,DATA!$W$3:$W$10000),"No encontrado"))</f>
        <v/>
      </c>
      <c r="E3646" s="22"/>
      <c r="F3646" s="26" t="str">
        <f aca="false">IF(A3646="","",IFERROR(buscarx(A3646&amp;E3646,DATA!$E$3:$E$10000&amp;DATA!$B$3:$B$10000,DATA!$M$3:$M$10000),"Inactivo"))</f>
        <v/>
      </c>
      <c r="G3646" s="28" t="str">
        <f aca="false">IF(A3646="","",IF(AND(C3646&lt;&gt;"No encontrado",F3646&lt;&gt;"Inactivo"),C3646&amp;" → "&amp;F3646,"Sin transición"))</f>
        <v/>
      </c>
      <c r="H3646" s="26" t="str">
        <f aca="false">IF(A3646="","",IF(D3646="GCIA LINEA SERVICIO DIGITALIDAD Y VENTAS","Chats",IF(OR(D3646="GERENCIA INBOUND LÍNEAS SERVICIO Y VENTA",D3646="GERENCIA INBOUND LINEAS ESPECIALIZADAS"),"Llamadas","Otro")))</f>
        <v/>
      </c>
      <c r="I3646" s="26" t="str">
        <f aca="false">IF(A3646="","",IF(C3646="No encontrado","No","Sí"))</f>
        <v/>
      </c>
      <c r="J3646" s="26" t="str">
        <f aca="false">IF(A3646="","",IF(F3646="Inactivo","No","Sí"))</f>
        <v/>
      </c>
      <c r="K3646" s="26" t="str">
        <f aca="false">IF(A3646="","",IF(AND(I3646="Sí",J3646="Sí"),"Sí","No"))</f>
        <v/>
      </c>
    </row>
    <row r="3647" customFormat="false" ht="15" hidden="false" customHeight="false" outlineLevel="0" collapsed="false">
      <c r="A3647" s="22"/>
      <c r="B3647" s="22"/>
      <c r="C3647" s="23" t="str">
        <f aca="false">IF(A3647="","",IFERROR(buscarx(A3647&amp;B3647,DATA!$E$3:$E$10000&amp;DATA!$B$3:$B$10000,DATA!$M$3:$M$10000),"No encontrado"))</f>
        <v/>
      </c>
      <c r="D3647" s="24" t="str">
        <f aca="false">IF(A3647="","",IFERROR(buscarx(A3647&amp;B3647,DATA!$E$3:$E$10000&amp;DATA!$B$3:$B$10000,DATA!$W$3:$W$10000),"No encontrado"))</f>
        <v/>
      </c>
      <c r="E3647" s="22"/>
      <c r="F3647" s="23" t="str">
        <f aca="false">IF(A3647="","",IFERROR(buscarx(A3647&amp;E3647,DATA!$E$3:$E$10000&amp;DATA!$B$3:$B$10000,DATA!$M$3:$M$10000),"Inactivo"))</f>
        <v/>
      </c>
      <c r="G3647" s="25" t="str">
        <f aca="false">IF(A3647="","",IF(AND(C3647&lt;&gt;"No encontrado",F3647&lt;&gt;"Inactivo"),C3647&amp;" → "&amp;F3647,"Sin transición"))</f>
        <v/>
      </c>
      <c r="H3647" s="23" t="str">
        <f aca="false">IF(A3647="","",IF(D3647="GCIA LINEA SERVICIO DIGITALIDAD Y VENTAS","Chats",IF(OR(D3647="GERENCIA INBOUND LÍNEAS SERVICIO Y VENTA",D3647="GERENCIA INBOUND LINEAS ESPECIALIZADAS"),"Llamadas","Otro")))</f>
        <v/>
      </c>
      <c r="I3647" s="23" t="str">
        <f aca="false">IF(A3647="","",IF(C3647="No encontrado","No","Sí"))</f>
        <v/>
      </c>
      <c r="J3647" s="23" t="str">
        <f aca="false">IF(A3647="","",IF(F3647="Inactivo","No","Sí"))</f>
        <v/>
      </c>
      <c r="K3647" s="23" t="str">
        <f aca="false">IF(A3647="","",IF(AND(I3647="Sí",J3647="Sí"),"Sí","No"))</f>
        <v/>
      </c>
    </row>
    <row r="3648" customFormat="false" ht="15" hidden="false" customHeight="false" outlineLevel="0" collapsed="false">
      <c r="A3648" s="22"/>
      <c r="B3648" s="22"/>
      <c r="C3648" s="26" t="str">
        <f aca="false">IF(A3648="","",IFERROR(buscarx(A3648&amp;B3648,DATA!$E$3:$E$10000&amp;DATA!$B$3:$B$10000,DATA!$M$3:$M$10000),"No encontrado"))</f>
        <v/>
      </c>
      <c r="D3648" s="27" t="str">
        <f aca="false">IF(A3648="","",IFERROR(buscarx(A3648&amp;B3648,DATA!$E$3:$E$10000&amp;DATA!$B$3:$B$10000,DATA!$W$3:$W$10000),"No encontrado"))</f>
        <v/>
      </c>
      <c r="E3648" s="22"/>
      <c r="F3648" s="26" t="str">
        <f aca="false">IF(A3648="","",IFERROR(buscarx(A3648&amp;E3648,DATA!$E$3:$E$10000&amp;DATA!$B$3:$B$10000,DATA!$M$3:$M$10000),"Inactivo"))</f>
        <v/>
      </c>
      <c r="G3648" s="28" t="str">
        <f aca="false">IF(A3648="","",IF(AND(C3648&lt;&gt;"No encontrado",F3648&lt;&gt;"Inactivo"),C3648&amp;" → "&amp;F3648,"Sin transición"))</f>
        <v/>
      </c>
      <c r="H3648" s="26" t="str">
        <f aca="false">IF(A3648="","",IF(D3648="GCIA LINEA SERVICIO DIGITALIDAD Y VENTAS","Chats",IF(OR(D3648="GERENCIA INBOUND LÍNEAS SERVICIO Y VENTA",D3648="GERENCIA INBOUND LINEAS ESPECIALIZADAS"),"Llamadas","Otro")))</f>
        <v/>
      </c>
      <c r="I3648" s="26" t="str">
        <f aca="false">IF(A3648="","",IF(C3648="No encontrado","No","Sí"))</f>
        <v/>
      </c>
      <c r="J3648" s="26" t="str">
        <f aca="false">IF(A3648="","",IF(F3648="Inactivo","No","Sí"))</f>
        <v/>
      </c>
      <c r="K3648" s="26" t="str">
        <f aca="false">IF(A3648="","",IF(AND(I3648="Sí",J3648="Sí"),"Sí","No"))</f>
        <v/>
      </c>
    </row>
    <row r="3649" customFormat="false" ht="15" hidden="false" customHeight="false" outlineLevel="0" collapsed="false">
      <c r="A3649" s="22"/>
      <c r="B3649" s="22"/>
      <c r="C3649" s="23" t="str">
        <f aca="false">IF(A3649="","",IFERROR(buscarx(A3649&amp;B3649,DATA!$E$3:$E$10000&amp;DATA!$B$3:$B$10000,DATA!$M$3:$M$10000),"No encontrado"))</f>
        <v/>
      </c>
      <c r="D3649" s="24" t="str">
        <f aca="false">IF(A3649="","",IFERROR(buscarx(A3649&amp;B3649,DATA!$E$3:$E$10000&amp;DATA!$B$3:$B$10000,DATA!$W$3:$W$10000),"No encontrado"))</f>
        <v/>
      </c>
      <c r="E3649" s="22"/>
      <c r="F3649" s="23" t="str">
        <f aca="false">IF(A3649="","",IFERROR(buscarx(A3649&amp;E3649,DATA!$E$3:$E$10000&amp;DATA!$B$3:$B$10000,DATA!$M$3:$M$10000),"Inactivo"))</f>
        <v/>
      </c>
      <c r="G3649" s="25" t="str">
        <f aca="false">IF(A3649="","",IF(AND(C3649&lt;&gt;"No encontrado",F3649&lt;&gt;"Inactivo"),C3649&amp;" → "&amp;F3649,"Sin transición"))</f>
        <v/>
      </c>
      <c r="H3649" s="23" t="str">
        <f aca="false">IF(A3649="","",IF(D3649="GCIA LINEA SERVICIO DIGITALIDAD Y VENTAS","Chats",IF(OR(D3649="GERENCIA INBOUND LÍNEAS SERVICIO Y VENTA",D3649="GERENCIA INBOUND LINEAS ESPECIALIZADAS"),"Llamadas","Otro")))</f>
        <v/>
      </c>
      <c r="I3649" s="23" t="str">
        <f aca="false">IF(A3649="","",IF(C3649="No encontrado","No","Sí"))</f>
        <v/>
      </c>
      <c r="J3649" s="23" t="str">
        <f aca="false">IF(A3649="","",IF(F3649="Inactivo","No","Sí"))</f>
        <v/>
      </c>
      <c r="K3649" s="23" t="str">
        <f aca="false">IF(A3649="","",IF(AND(I3649="Sí",J3649="Sí"),"Sí","No"))</f>
        <v/>
      </c>
    </row>
    <row r="3650" customFormat="false" ht="15" hidden="false" customHeight="false" outlineLevel="0" collapsed="false">
      <c r="A3650" s="22"/>
      <c r="B3650" s="22"/>
      <c r="C3650" s="26" t="str">
        <f aca="false">IF(A3650="","",IFERROR(buscarx(A3650&amp;B3650,DATA!$E$3:$E$10000&amp;DATA!$B$3:$B$10000,DATA!$M$3:$M$10000),"No encontrado"))</f>
        <v/>
      </c>
      <c r="D3650" s="27" t="str">
        <f aca="false">IF(A3650="","",IFERROR(buscarx(A3650&amp;B3650,DATA!$E$3:$E$10000&amp;DATA!$B$3:$B$10000,DATA!$W$3:$W$10000),"No encontrado"))</f>
        <v/>
      </c>
      <c r="E3650" s="22"/>
      <c r="F3650" s="26" t="str">
        <f aca="false">IF(A3650="","",IFERROR(buscarx(A3650&amp;E3650,DATA!$E$3:$E$10000&amp;DATA!$B$3:$B$10000,DATA!$M$3:$M$10000),"Inactivo"))</f>
        <v/>
      </c>
      <c r="G3650" s="28" t="str">
        <f aca="false">IF(A3650="","",IF(AND(C3650&lt;&gt;"No encontrado",F3650&lt;&gt;"Inactivo"),C3650&amp;" → "&amp;F3650,"Sin transición"))</f>
        <v/>
      </c>
      <c r="H3650" s="26" t="str">
        <f aca="false">IF(A3650="","",IF(D3650="GCIA LINEA SERVICIO DIGITALIDAD Y VENTAS","Chats",IF(OR(D3650="GERENCIA INBOUND LÍNEAS SERVICIO Y VENTA",D3650="GERENCIA INBOUND LINEAS ESPECIALIZADAS"),"Llamadas","Otro")))</f>
        <v/>
      </c>
      <c r="I3650" s="26" t="str">
        <f aca="false">IF(A3650="","",IF(C3650="No encontrado","No","Sí"))</f>
        <v/>
      </c>
      <c r="J3650" s="26" t="str">
        <f aca="false">IF(A3650="","",IF(F3650="Inactivo","No","Sí"))</f>
        <v/>
      </c>
      <c r="K3650" s="26" t="str">
        <f aca="false">IF(A3650="","",IF(AND(I3650="Sí",J3650="Sí"),"Sí","No"))</f>
        <v/>
      </c>
    </row>
    <row r="3651" customFormat="false" ht="15" hidden="false" customHeight="false" outlineLevel="0" collapsed="false">
      <c r="A3651" s="22"/>
      <c r="B3651" s="22"/>
      <c r="C3651" s="23" t="str">
        <f aca="false">IF(A3651="","",IFERROR(buscarx(A3651&amp;B3651,DATA!$E$3:$E$10000&amp;DATA!$B$3:$B$10000,DATA!$M$3:$M$10000),"No encontrado"))</f>
        <v/>
      </c>
      <c r="D3651" s="24" t="str">
        <f aca="false">IF(A3651="","",IFERROR(buscarx(A3651&amp;B3651,DATA!$E$3:$E$10000&amp;DATA!$B$3:$B$10000,DATA!$W$3:$W$10000),"No encontrado"))</f>
        <v/>
      </c>
      <c r="E3651" s="22"/>
      <c r="F3651" s="23" t="str">
        <f aca="false">IF(A3651="","",IFERROR(buscarx(A3651&amp;E3651,DATA!$E$3:$E$10000&amp;DATA!$B$3:$B$10000,DATA!$M$3:$M$10000),"Inactivo"))</f>
        <v/>
      </c>
      <c r="G3651" s="25" t="str">
        <f aca="false">IF(A3651="","",IF(AND(C3651&lt;&gt;"No encontrado",F3651&lt;&gt;"Inactivo"),C3651&amp;" → "&amp;F3651,"Sin transición"))</f>
        <v/>
      </c>
      <c r="H3651" s="23" t="str">
        <f aca="false">IF(A3651="","",IF(D3651="GCIA LINEA SERVICIO DIGITALIDAD Y VENTAS","Chats",IF(OR(D3651="GERENCIA INBOUND LÍNEAS SERVICIO Y VENTA",D3651="GERENCIA INBOUND LINEAS ESPECIALIZADAS"),"Llamadas","Otro")))</f>
        <v/>
      </c>
      <c r="I3651" s="23" t="str">
        <f aca="false">IF(A3651="","",IF(C3651="No encontrado","No","Sí"))</f>
        <v/>
      </c>
      <c r="J3651" s="23" t="str">
        <f aca="false">IF(A3651="","",IF(F3651="Inactivo","No","Sí"))</f>
        <v/>
      </c>
      <c r="K3651" s="23" t="str">
        <f aca="false">IF(A3651="","",IF(AND(I3651="Sí",J3651="Sí"),"Sí","No"))</f>
        <v/>
      </c>
    </row>
    <row r="3652" customFormat="false" ht="15" hidden="false" customHeight="false" outlineLevel="0" collapsed="false">
      <c r="A3652" s="22"/>
      <c r="B3652" s="22"/>
      <c r="C3652" s="26" t="str">
        <f aca="false">IF(A3652="","",IFERROR(buscarx(A3652&amp;B3652,DATA!$E$3:$E$10000&amp;DATA!$B$3:$B$10000,DATA!$M$3:$M$10000),"No encontrado"))</f>
        <v/>
      </c>
      <c r="D3652" s="27" t="str">
        <f aca="false">IF(A3652="","",IFERROR(buscarx(A3652&amp;B3652,DATA!$E$3:$E$10000&amp;DATA!$B$3:$B$10000,DATA!$W$3:$W$10000),"No encontrado"))</f>
        <v/>
      </c>
      <c r="E3652" s="22"/>
      <c r="F3652" s="26" t="str">
        <f aca="false">IF(A3652="","",IFERROR(buscarx(A3652&amp;E3652,DATA!$E$3:$E$10000&amp;DATA!$B$3:$B$10000,DATA!$M$3:$M$10000),"Inactivo"))</f>
        <v/>
      </c>
      <c r="G3652" s="28" t="str">
        <f aca="false">IF(A3652="","",IF(AND(C3652&lt;&gt;"No encontrado",F3652&lt;&gt;"Inactivo"),C3652&amp;" → "&amp;F3652,"Sin transición"))</f>
        <v/>
      </c>
      <c r="H3652" s="26" t="str">
        <f aca="false">IF(A3652="","",IF(D3652="GCIA LINEA SERVICIO DIGITALIDAD Y VENTAS","Chats",IF(OR(D3652="GERENCIA INBOUND LÍNEAS SERVICIO Y VENTA",D3652="GERENCIA INBOUND LINEAS ESPECIALIZADAS"),"Llamadas","Otro")))</f>
        <v/>
      </c>
      <c r="I3652" s="26" t="str">
        <f aca="false">IF(A3652="","",IF(C3652="No encontrado","No","Sí"))</f>
        <v/>
      </c>
      <c r="J3652" s="26" t="str">
        <f aca="false">IF(A3652="","",IF(F3652="Inactivo","No","Sí"))</f>
        <v/>
      </c>
      <c r="K3652" s="26" t="str">
        <f aca="false">IF(A3652="","",IF(AND(I3652="Sí",J3652="Sí"),"Sí","No"))</f>
        <v/>
      </c>
    </row>
    <row r="3653" customFormat="false" ht="15" hidden="false" customHeight="false" outlineLevel="0" collapsed="false">
      <c r="A3653" s="22"/>
      <c r="B3653" s="22"/>
      <c r="C3653" s="23" t="str">
        <f aca="false">IF(A3653="","",IFERROR(buscarx(A3653&amp;B3653,DATA!$E$3:$E$10000&amp;DATA!$B$3:$B$10000,DATA!$M$3:$M$10000),"No encontrado"))</f>
        <v/>
      </c>
      <c r="D3653" s="24" t="str">
        <f aca="false">IF(A3653="","",IFERROR(buscarx(A3653&amp;B3653,DATA!$E$3:$E$10000&amp;DATA!$B$3:$B$10000,DATA!$W$3:$W$10000),"No encontrado"))</f>
        <v/>
      </c>
      <c r="E3653" s="22"/>
      <c r="F3653" s="23" t="str">
        <f aca="false">IF(A3653="","",IFERROR(buscarx(A3653&amp;E3653,DATA!$E$3:$E$10000&amp;DATA!$B$3:$B$10000,DATA!$M$3:$M$10000),"Inactivo"))</f>
        <v/>
      </c>
      <c r="G3653" s="25" t="str">
        <f aca="false">IF(A3653="","",IF(AND(C3653&lt;&gt;"No encontrado",F3653&lt;&gt;"Inactivo"),C3653&amp;" → "&amp;F3653,"Sin transición"))</f>
        <v/>
      </c>
      <c r="H3653" s="23" t="str">
        <f aca="false">IF(A3653="","",IF(D3653="GCIA LINEA SERVICIO DIGITALIDAD Y VENTAS","Chats",IF(OR(D3653="GERENCIA INBOUND LÍNEAS SERVICIO Y VENTA",D3653="GERENCIA INBOUND LINEAS ESPECIALIZADAS"),"Llamadas","Otro")))</f>
        <v/>
      </c>
      <c r="I3653" s="23" t="str">
        <f aca="false">IF(A3653="","",IF(C3653="No encontrado","No","Sí"))</f>
        <v/>
      </c>
      <c r="J3653" s="23" t="str">
        <f aca="false">IF(A3653="","",IF(F3653="Inactivo","No","Sí"))</f>
        <v/>
      </c>
      <c r="K3653" s="23" t="str">
        <f aca="false">IF(A3653="","",IF(AND(I3653="Sí",J3653="Sí"),"Sí","No"))</f>
        <v/>
      </c>
    </row>
    <row r="3654" customFormat="false" ht="15" hidden="false" customHeight="false" outlineLevel="0" collapsed="false">
      <c r="A3654" s="22"/>
      <c r="B3654" s="22"/>
      <c r="C3654" s="26" t="str">
        <f aca="false">IF(A3654="","",IFERROR(buscarx(A3654&amp;B3654,DATA!$E$3:$E$10000&amp;DATA!$B$3:$B$10000,DATA!$M$3:$M$10000),"No encontrado"))</f>
        <v/>
      </c>
      <c r="D3654" s="27" t="str">
        <f aca="false">IF(A3654="","",IFERROR(buscarx(A3654&amp;B3654,DATA!$E$3:$E$10000&amp;DATA!$B$3:$B$10000,DATA!$W$3:$W$10000),"No encontrado"))</f>
        <v/>
      </c>
      <c r="E3654" s="22"/>
      <c r="F3654" s="26" t="str">
        <f aca="false">IF(A3654="","",IFERROR(buscarx(A3654&amp;E3654,DATA!$E$3:$E$10000&amp;DATA!$B$3:$B$10000,DATA!$M$3:$M$10000),"Inactivo"))</f>
        <v/>
      </c>
      <c r="G3654" s="28" t="str">
        <f aca="false">IF(A3654="","",IF(AND(C3654&lt;&gt;"No encontrado",F3654&lt;&gt;"Inactivo"),C3654&amp;" → "&amp;F3654,"Sin transición"))</f>
        <v/>
      </c>
      <c r="H3654" s="26" t="str">
        <f aca="false">IF(A3654="","",IF(D3654="GCIA LINEA SERVICIO DIGITALIDAD Y VENTAS","Chats",IF(OR(D3654="GERENCIA INBOUND LÍNEAS SERVICIO Y VENTA",D3654="GERENCIA INBOUND LINEAS ESPECIALIZADAS"),"Llamadas","Otro")))</f>
        <v/>
      </c>
      <c r="I3654" s="26" t="str">
        <f aca="false">IF(A3654="","",IF(C3654="No encontrado","No","Sí"))</f>
        <v/>
      </c>
      <c r="J3654" s="26" t="str">
        <f aca="false">IF(A3654="","",IF(F3654="Inactivo","No","Sí"))</f>
        <v/>
      </c>
      <c r="K3654" s="26" t="str">
        <f aca="false">IF(A3654="","",IF(AND(I3654="Sí",J3654="Sí"),"Sí","No"))</f>
        <v/>
      </c>
    </row>
    <row r="3655" customFormat="false" ht="15" hidden="false" customHeight="false" outlineLevel="0" collapsed="false">
      <c r="A3655" s="22"/>
      <c r="B3655" s="22"/>
      <c r="C3655" s="23" t="str">
        <f aca="false">IF(A3655="","",IFERROR(buscarx(A3655&amp;B3655,DATA!$E$3:$E$10000&amp;DATA!$B$3:$B$10000,DATA!$M$3:$M$10000),"No encontrado"))</f>
        <v/>
      </c>
      <c r="D3655" s="24" t="str">
        <f aca="false">IF(A3655="","",IFERROR(buscarx(A3655&amp;B3655,DATA!$E$3:$E$10000&amp;DATA!$B$3:$B$10000,DATA!$W$3:$W$10000),"No encontrado"))</f>
        <v/>
      </c>
      <c r="E3655" s="22"/>
      <c r="F3655" s="23" t="str">
        <f aca="false">IF(A3655="","",IFERROR(buscarx(A3655&amp;E3655,DATA!$E$3:$E$10000&amp;DATA!$B$3:$B$10000,DATA!$M$3:$M$10000),"Inactivo"))</f>
        <v/>
      </c>
      <c r="G3655" s="25" t="str">
        <f aca="false">IF(A3655="","",IF(AND(C3655&lt;&gt;"No encontrado",F3655&lt;&gt;"Inactivo"),C3655&amp;" → "&amp;F3655,"Sin transición"))</f>
        <v/>
      </c>
      <c r="H3655" s="23" t="str">
        <f aca="false">IF(A3655="","",IF(D3655="GCIA LINEA SERVICIO DIGITALIDAD Y VENTAS","Chats",IF(OR(D3655="GERENCIA INBOUND LÍNEAS SERVICIO Y VENTA",D3655="GERENCIA INBOUND LINEAS ESPECIALIZADAS"),"Llamadas","Otro")))</f>
        <v/>
      </c>
      <c r="I3655" s="23" t="str">
        <f aca="false">IF(A3655="","",IF(C3655="No encontrado","No","Sí"))</f>
        <v/>
      </c>
      <c r="J3655" s="23" t="str">
        <f aca="false">IF(A3655="","",IF(F3655="Inactivo","No","Sí"))</f>
        <v/>
      </c>
      <c r="K3655" s="23" t="str">
        <f aca="false">IF(A3655="","",IF(AND(I3655="Sí",J3655="Sí"),"Sí","No"))</f>
        <v/>
      </c>
    </row>
    <row r="3656" customFormat="false" ht="15" hidden="false" customHeight="false" outlineLevel="0" collapsed="false">
      <c r="A3656" s="22"/>
      <c r="B3656" s="22"/>
      <c r="C3656" s="26" t="str">
        <f aca="false">IF(A3656="","",IFERROR(buscarx(A3656&amp;B3656,DATA!$E$3:$E$10000&amp;DATA!$B$3:$B$10000,DATA!$M$3:$M$10000),"No encontrado"))</f>
        <v/>
      </c>
      <c r="D3656" s="27" t="str">
        <f aca="false">IF(A3656="","",IFERROR(buscarx(A3656&amp;B3656,DATA!$E$3:$E$10000&amp;DATA!$B$3:$B$10000,DATA!$W$3:$W$10000),"No encontrado"))</f>
        <v/>
      </c>
      <c r="E3656" s="22"/>
      <c r="F3656" s="26" t="str">
        <f aca="false">IF(A3656="","",IFERROR(buscarx(A3656&amp;E3656,DATA!$E$3:$E$10000&amp;DATA!$B$3:$B$10000,DATA!$M$3:$M$10000),"Inactivo"))</f>
        <v/>
      </c>
      <c r="G3656" s="28" t="str">
        <f aca="false">IF(A3656="","",IF(AND(C3656&lt;&gt;"No encontrado",F3656&lt;&gt;"Inactivo"),C3656&amp;" → "&amp;F3656,"Sin transición"))</f>
        <v/>
      </c>
      <c r="H3656" s="26" t="str">
        <f aca="false">IF(A3656="","",IF(D3656="GCIA LINEA SERVICIO DIGITALIDAD Y VENTAS","Chats",IF(OR(D3656="GERENCIA INBOUND LÍNEAS SERVICIO Y VENTA",D3656="GERENCIA INBOUND LINEAS ESPECIALIZADAS"),"Llamadas","Otro")))</f>
        <v/>
      </c>
      <c r="I3656" s="26" t="str">
        <f aca="false">IF(A3656="","",IF(C3656="No encontrado","No","Sí"))</f>
        <v/>
      </c>
      <c r="J3656" s="26" t="str">
        <f aca="false">IF(A3656="","",IF(F3656="Inactivo","No","Sí"))</f>
        <v/>
      </c>
      <c r="K3656" s="26" t="str">
        <f aca="false">IF(A3656="","",IF(AND(I3656="Sí",J3656="Sí"),"Sí","No"))</f>
        <v/>
      </c>
    </row>
    <row r="3657" customFormat="false" ht="15" hidden="false" customHeight="false" outlineLevel="0" collapsed="false">
      <c r="A3657" s="22"/>
      <c r="B3657" s="22"/>
      <c r="C3657" s="23" t="str">
        <f aca="false">IF(A3657="","",IFERROR(buscarx(A3657&amp;B3657,DATA!$E$3:$E$10000&amp;DATA!$B$3:$B$10000,DATA!$M$3:$M$10000),"No encontrado"))</f>
        <v/>
      </c>
      <c r="D3657" s="24" t="str">
        <f aca="false">IF(A3657="","",IFERROR(buscarx(A3657&amp;B3657,DATA!$E$3:$E$10000&amp;DATA!$B$3:$B$10000,DATA!$W$3:$W$10000),"No encontrado"))</f>
        <v/>
      </c>
      <c r="E3657" s="22"/>
      <c r="F3657" s="23" t="str">
        <f aca="false">IF(A3657="","",IFERROR(buscarx(A3657&amp;E3657,DATA!$E$3:$E$10000&amp;DATA!$B$3:$B$10000,DATA!$M$3:$M$10000),"Inactivo"))</f>
        <v/>
      </c>
      <c r="G3657" s="25" t="str">
        <f aca="false">IF(A3657="","",IF(AND(C3657&lt;&gt;"No encontrado",F3657&lt;&gt;"Inactivo"),C3657&amp;" → "&amp;F3657,"Sin transición"))</f>
        <v/>
      </c>
      <c r="H3657" s="23" t="str">
        <f aca="false">IF(A3657="","",IF(D3657="GCIA LINEA SERVICIO DIGITALIDAD Y VENTAS","Chats",IF(OR(D3657="GERENCIA INBOUND LÍNEAS SERVICIO Y VENTA",D3657="GERENCIA INBOUND LINEAS ESPECIALIZADAS"),"Llamadas","Otro")))</f>
        <v/>
      </c>
      <c r="I3657" s="23" t="str">
        <f aca="false">IF(A3657="","",IF(C3657="No encontrado","No","Sí"))</f>
        <v/>
      </c>
      <c r="J3657" s="23" t="str">
        <f aca="false">IF(A3657="","",IF(F3657="Inactivo","No","Sí"))</f>
        <v/>
      </c>
      <c r="K3657" s="23" t="str">
        <f aca="false">IF(A3657="","",IF(AND(I3657="Sí",J3657="Sí"),"Sí","No"))</f>
        <v/>
      </c>
    </row>
    <row r="3658" customFormat="false" ht="15" hidden="false" customHeight="false" outlineLevel="0" collapsed="false">
      <c r="A3658" s="22"/>
      <c r="B3658" s="22"/>
      <c r="C3658" s="26" t="str">
        <f aca="false">IF(A3658="","",IFERROR(buscarx(A3658&amp;B3658,DATA!$E$3:$E$10000&amp;DATA!$B$3:$B$10000,DATA!$M$3:$M$10000),"No encontrado"))</f>
        <v/>
      </c>
      <c r="D3658" s="27" t="str">
        <f aca="false">IF(A3658="","",IFERROR(buscarx(A3658&amp;B3658,DATA!$E$3:$E$10000&amp;DATA!$B$3:$B$10000,DATA!$W$3:$W$10000),"No encontrado"))</f>
        <v/>
      </c>
      <c r="E3658" s="22"/>
      <c r="F3658" s="26" t="str">
        <f aca="false">IF(A3658="","",IFERROR(buscarx(A3658&amp;E3658,DATA!$E$3:$E$10000&amp;DATA!$B$3:$B$10000,DATA!$M$3:$M$10000),"Inactivo"))</f>
        <v/>
      </c>
      <c r="G3658" s="28" t="str">
        <f aca="false">IF(A3658="","",IF(AND(C3658&lt;&gt;"No encontrado",F3658&lt;&gt;"Inactivo"),C3658&amp;" → "&amp;F3658,"Sin transición"))</f>
        <v/>
      </c>
      <c r="H3658" s="26" t="str">
        <f aca="false">IF(A3658="","",IF(D3658="GCIA LINEA SERVICIO DIGITALIDAD Y VENTAS","Chats",IF(OR(D3658="GERENCIA INBOUND LÍNEAS SERVICIO Y VENTA",D3658="GERENCIA INBOUND LINEAS ESPECIALIZADAS"),"Llamadas","Otro")))</f>
        <v/>
      </c>
      <c r="I3658" s="26" t="str">
        <f aca="false">IF(A3658="","",IF(C3658="No encontrado","No","Sí"))</f>
        <v/>
      </c>
      <c r="J3658" s="26" t="str">
        <f aca="false">IF(A3658="","",IF(F3658="Inactivo","No","Sí"))</f>
        <v/>
      </c>
      <c r="K3658" s="26" t="str">
        <f aca="false">IF(A3658="","",IF(AND(I3658="Sí",J3658="Sí"),"Sí","No"))</f>
        <v/>
      </c>
    </row>
    <row r="3659" customFormat="false" ht="15" hidden="false" customHeight="false" outlineLevel="0" collapsed="false">
      <c r="A3659" s="22"/>
      <c r="B3659" s="22"/>
      <c r="C3659" s="23" t="str">
        <f aca="false">IF(A3659="","",IFERROR(buscarx(A3659&amp;B3659,DATA!$E$3:$E$10000&amp;DATA!$B$3:$B$10000,DATA!$M$3:$M$10000),"No encontrado"))</f>
        <v/>
      </c>
      <c r="D3659" s="24" t="str">
        <f aca="false">IF(A3659="","",IFERROR(buscarx(A3659&amp;B3659,DATA!$E$3:$E$10000&amp;DATA!$B$3:$B$10000,DATA!$W$3:$W$10000),"No encontrado"))</f>
        <v/>
      </c>
      <c r="E3659" s="22"/>
      <c r="F3659" s="23" t="str">
        <f aca="false">IF(A3659="","",IFERROR(buscarx(A3659&amp;E3659,DATA!$E$3:$E$10000&amp;DATA!$B$3:$B$10000,DATA!$M$3:$M$10000),"Inactivo"))</f>
        <v/>
      </c>
      <c r="G3659" s="25" t="str">
        <f aca="false">IF(A3659="","",IF(AND(C3659&lt;&gt;"No encontrado",F3659&lt;&gt;"Inactivo"),C3659&amp;" → "&amp;F3659,"Sin transición"))</f>
        <v/>
      </c>
      <c r="H3659" s="23" t="str">
        <f aca="false">IF(A3659="","",IF(D3659="GCIA LINEA SERVICIO DIGITALIDAD Y VENTAS","Chats",IF(OR(D3659="GERENCIA INBOUND LÍNEAS SERVICIO Y VENTA",D3659="GERENCIA INBOUND LINEAS ESPECIALIZADAS"),"Llamadas","Otro")))</f>
        <v/>
      </c>
      <c r="I3659" s="23" t="str">
        <f aca="false">IF(A3659="","",IF(C3659="No encontrado","No","Sí"))</f>
        <v/>
      </c>
      <c r="J3659" s="23" t="str">
        <f aca="false">IF(A3659="","",IF(F3659="Inactivo","No","Sí"))</f>
        <v/>
      </c>
      <c r="K3659" s="23" t="str">
        <f aca="false">IF(A3659="","",IF(AND(I3659="Sí",J3659="Sí"),"Sí","No"))</f>
        <v/>
      </c>
    </row>
    <row r="3660" customFormat="false" ht="15" hidden="false" customHeight="false" outlineLevel="0" collapsed="false">
      <c r="A3660" s="22"/>
      <c r="B3660" s="22"/>
      <c r="C3660" s="26" t="str">
        <f aca="false">IF(A3660="","",IFERROR(buscarx(A3660&amp;B3660,DATA!$E$3:$E$10000&amp;DATA!$B$3:$B$10000,DATA!$M$3:$M$10000),"No encontrado"))</f>
        <v/>
      </c>
      <c r="D3660" s="27" t="str">
        <f aca="false">IF(A3660="","",IFERROR(buscarx(A3660&amp;B3660,DATA!$E$3:$E$10000&amp;DATA!$B$3:$B$10000,DATA!$W$3:$W$10000),"No encontrado"))</f>
        <v/>
      </c>
      <c r="E3660" s="22"/>
      <c r="F3660" s="26" t="str">
        <f aca="false">IF(A3660="","",IFERROR(buscarx(A3660&amp;E3660,DATA!$E$3:$E$10000&amp;DATA!$B$3:$B$10000,DATA!$M$3:$M$10000),"Inactivo"))</f>
        <v/>
      </c>
      <c r="G3660" s="28" t="str">
        <f aca="false">IF(A3660="","",IF(AND(C3660&lt;&gt;"No encontrado",F3660&lt;&gt;"Inactivo"),C3660&amp;" → "&amp;F3660,"Sin transición"))</f>
        <v/>
      </c>
      <c r="H3660" s="26" t="str">
        <f aca="false">IF(A3660="","",IF(D3660="GCIA LINEA SERVICIO DIGITALIDAD Y VENTAS","Chats",IF(OR(D3660="GERENCIA INBOUND LÍNEAS SERVICIO Y VENTA",D3660="GERENCIA INBOUND LINEAS ESPECIALIZADAS"),"Llamadas","Otro")))</f>
        <v/>
      </c>
      <c r="I3660" s="26" t="str">
        <f aca="false">IF(A3660="","",IF(C3660="No encontrado","No","Sí"))</f>
        <v/>
      </c>
      <c r="J3660" s="26" t="str">
        <f aca="false">IF(A3660="","",IF(F3660="Inactivo","No","Sí"))</f>
        <v/>
      </c>
      <c r="K3660" s="26" t="str">
        <f aca="false">IF(A3660="","",IF(AND(I3660="Sí",J3660="Sí"),"Sí","No"))</f>
        <v/>
      </c>
    </row>
    <row r="3661" customFormat="false" ht="15" hidden="false" customHeight="false" outlineLevel="0" collapsed="false">
      <c r="A3661" s="22"/>
      <c r="B3661" s="22"/>
      <c r="C3661" s="23" t="str">
        <f aca="false">IF(A3661="","",IFERROR(buscarx(A3661&amp;B3661,DATA!$E$3:$E$10000&amp;DATA!$B$3:$B$10000,DATA!$M$3:$M$10000),"No encontrado"))</f>
        <v/>
      </c>
      <c r="D3661" s="24" t="str">
        <f aca="false">IF(A3661="","",IFERROR(buscarx(A3661&amp;B3661,DATA!$E$3:$E$10000&amp;DATA!$B$3:$B$10000,DATA!$W$3:$W$10000),"No encontrado"))</f>
        <v/>
      </c>
      <c r="E3661" s="22"/>
      <c r="F3661" s="23" t="str">
        <f aca="false">IF(A3661="","",IFERROR(buscarx(A3661&amp;E3661,DATA!$E$3:$E$10000&amp;DATA!$B$3:$B$10000,DATA!$M$3:$M$10000),"Inactivo"))</f>
        <v/>
      </c>
      <c r="G3661" s="25" t="str">
        <f aca="false">IF(A3661="","",IF(AND(C3661&lt;&gt;"No encontrado",F3661&lt;&gt;"Inactivo"),C3661&amp;" → "&amp;F3661,"Sin transición"))</f>
        <v/>
      </c>
      <c r="H3661" s="23" t="str">
        <f aca="false">IF(A3661="","",IF(D3661="GCIA LINEA SERVICIO DIGITALIDAD Y VENTAS","Chats",IF(OR(D3661="GERENCIA INBOUND LÍNEAS SERVICIO Y VENTA",D3661="GERENCIA INBOUND LINEAS ESPECIALIZADAS"),"Llamadas","Otro")))</f>
        <v/>
      </c>
      <c r="I3661" s="23" t="str">
        <f aca="false">IF(A3661="","",IF(C3661="No encontrado","No","Sí"))</f>
        <v/>
      </c>
      <c r="J3661" s="23" t="str">
        <f aca="false">IF(A3661="","",IF(F3661="Inactivo","No","Sí"))</f>
        <v/>
      </c>
      <c r="K3661" s="23" t="str">
        <f aca="false">IF(A3661="","",IF(AND(I3661="Sí",J3661="Sí"),"Sí","No"))</f>
        <v/>
      </c>
    </row>
    <row r="3662" customFormat="false" ht="15" hidden="false" customHeight="false" outlineLevel="0" collapsed="false">
      <c r="A3662" s="22"/>
      <c r="B3662" s="22"/>
      <c r="C3662" s="26" t="str">
        <f aca="false">IF(A3662="","",IFERROR(buscarx(A3662&amp;B3662,DATA!$E$3:$E$10000&amp;DATA!$B$3:$B$10000,DATA!$M$3:$M$10000),"No encontrado"))</f>
        <v/>
      </c>
      <c r="D3662" s="27" t="str">
        <f aca="false">IF(A3662="","",IFERROR(buscarx(A3662&amp;B3662,DATA!$E$3:$E$10000&amp;DATA!$B$3:$B$10000,DATA!$W$3:$W$10000),"No encontrado"))</f>
        <v/>
      </c>
      <c r="E3662" s="22"/>
      <c r="F3662" s="26" t="str">
        <f aca="false">IF(A3662="","",IFERROR(buscarx(A3662&amp;E3662,DATA!$E$3:$E$10000&amp;DATA!$B$3:$B$10000,DATA!$M$3:$M$10000),"Inactivo"))</f>
        <v/>
      </c>
      <c r="G3662" s="28" t="str">
        <f aca="false">IF(A3662="","",IF(AND(C3662&lt;&gt;"No encontrado",F3662&lt;&gt;"Inactivo"),C3662&amp;" → "&amp;F3662,"Sin transición"))</f>
        <v/>
      </c>
      <c r="H3662" s="26" t="str">
        <f aca="false">IF(A3662="","",IF(D3662="GCIA LINEA SERVICIO DIGITALIDAD Y VENTAS","Chats",IF(OR(D3662="GERENCIA INBOUND LÍNEAS SERVICIO Y VENTA",D3662="GERENCIA INBOUND LINEAS ESPECIALIZADAS"),"Llamadas","Otro")))</f>
        <v/>
      </c>
      <c r="I3662" s="26" t="str">
        <f aca="false">IF(A3662="","",IF(C3662="No encontrado","No","Sí"))</f>
        <v/>
      </c>
      <c r="J3662" s="26" t="str">
        <f aca="false">IF(A3662="","",IF(F3662="Inactivo","No","Sí"))</f>
        <v/>
      </c>
      <c r="K3662" s="26" t="str">
        <f aca="false">IF(A3662="","",IF(AND(I3662="Sí",J3662="Sí"),"Sí","No"))</f>
        <v/>
      </c>
    </row>
    <row r="3663" customFormat="false" ht="15" hidden="false" customHeight="false" outlineLevel="0" collapsed="false">
      <c r="A3663" s="22"/>
      <c r="B3663" s="22"/>
      <c r="C3663" s="23" t="str">
        <f aca="false">IF(A3663="","",IFERROR(buscarx(A3663&amp;B3663,DATA!$E$3:$E$10000&amp;DATA!$B$3:$B$10000,DATA!$M$3:$M$10000),"No encontrado"))</f>
        <v/>
      </c>
      <c r="D3663" s="24" t="str">
        <f aca="false">IF(A3663="","",IFERROR(buscarx(A3663&amp;B3663,DATA!$E$3:$E$10000&amp;DATA!$B$3:$B$10000,DATA!$W$3:$W$10000),"No encontrado"))</f>
        <v/>
      </c>
      <c r="E3663" s="22"/>
      <c r="F3663" s="23" t="str">
        <f aca="false">IF(A3663="","",IFERROR(buscarx(A3663&amp;E3663,DATA!$E$3:$E$10000&amp;DATA!$B$3:$B$10000,DATA!$M$3:$M$10000),"Inactivo"))</f>
        <v/>
      </c>
      <c r="G3663" s="25" t="str">
        <f aca="false">IF(A3663="","",IF(AND(C3663&lt;&gt;"No encontrado",F3663&lt;&gt;"Inactivo"),C3663&amp;" → "&amp;F3663,"Sin transición"))</f>
        <v/>
      </c>
      <c r="H3663" s="23" t="str">
        <f aca="false">IF(A3663="","",IF(D3663="GCIA LINEA SERVICIO DIGITALIDAD Y VENTAS","Chats",IF(OR(D3663="GERENCIA INBOUND LÍNEAS SERVICIO Y VENTA",D3663="GERENCIA INBOUND LINEAS ESPECIALIZADAS"),"Llamadas","Otro")))</f>
        <v/>
      </c>
      <c r="I3663" s="23" t="str">
        <f aca="false">IF(A3663="","",IF(C3663="No encontrado","No","Sí"))</f>
        <v/>
      </c>
      <c r="J3663" s="23" t="str">
        <f aca="false">IF(A3663="","",IF(F3663="Inactivo","No","Sí"))</f>
        <v/>
      </c>
      <c r="K3663" s="23" t="str">
        <f aca="false">IF(A3663="","",IF(AND(I3663="Sí",J3663="Sí"),"Sí","No"))</f>
        <v/>
      </c>
    </row>
    <row r="3664" customFormat="false" ht="15" hidden="false" customHeight="false" outlineLevel="0" collapsed="false">
      <c r="A3664" s="22"/>
      <c r="B3664" s="22"/>
      <c r="C3664" s="26" t="str">
        <f aca="false">IF(A3664="","",IFERROR(buscarx(A3664&amp;B3664,DATA!$E$3:$E$10000&amp;DATA!$B$3:$B$10000,DATA!$M$3:$M$10000),"No encontrado"))</f>
        <v/>
      </c>
      <c r="D3664" s="27" t="str">
        <f aca="false">IF(A3664="","",IFERROR(buscarx(A3664&amp;B3664,DATA!$E$3:$E$10000&amp;DATA!$B$3:$B$10000,DATA!$W$3:$W$10000),"No encontrado"))</f>
        <v/>
      </c>
      <c r="E3664" s="22"/>
      <c r="F3664" s="26" t="str">
        <f aca="false">IF(A3664="","",IFERROR(buscarx(A3664&amp;E3664,DATA!$E$3:$E$10000&amp;DATA!$B$3:$B$10000,DATA!$M$3:$M$10000),"Inactivo"))</f>
        <v/>
      </c>
      <c r="G3664" s="28" t="str">
        <f aca="false">IF(A3664="","",IF(AND(C3664&lt;&gt;"No encontrado",F3664&lt;&gt;"Inactivo"),C3664&amp;" → "&amp;F3664,"Sin transición"))</f>
        <v/>
      </c>
      <c r="H3664" s="26" t="str">
        <f aca="false">IF(A3664="","",IF(D3664="GCIA LINEA SERVICIO DIGITALIDAD Y VENTAS","Chats",IF(OR(D3664="GERENCIA INBOUND LÍNEAS SERVICIO Y VENTA",D3664="GERENCIA INBOUND LINEAS ESPECIALIZADAS"),"Llamadas","Otro")))</f>
        <v/>
      </c>
      <c r="I3664" s="26" t="str">
        <f aca="false">IF(A3664="","",IF(C3664="No encontrado","No","Sí"))</f>
        <v/>
      </c>
      <c r="J3664" s="26" t="str">
        <f aca="false">IF(A3664="","",IF(F3664="Inactivo","No","Sí"))</f>
        <v/>
      </c>
      <c r="K3664" s="26" t="str">
        <f aca="false">IF(A3664="","",IF(AND(I3664="Sí",J3664="Sí"),"Sí","No"))</f>
        <v/>
      </c>
    </row>
    <row r="3665" customFormat="false" ht="15" hidden="false" customHeight="false" outlineLevel="0" collapsed="false">
      <c r="A3665" s="22"/>
      <c r="B3665" s="22"/>
      <c r="C3665" s="23" t="str">
        <f aca="false">IF(A3665="","",IFERROR(buscarx(A3665&amp;B3665,DATA!$E$3:$E$10000&amp;DATA!$B$3:$B$10000,DATA!$M$3:$M$10000),"No encontrado"))</f>
        <v/>
      </c>
      <c r="D3665" s="24" t="str">
        <f aca="false">IF(A3665="","",IFERROR(buscarx(A3665&amp;B3665,DATA!$E$3:$E$10000&amp;DATA!$B$3:$B$10000,DATA!$W$3:$W$10000),"No encontrado"))</f>
        <v/>
      </c>
      <c r="E3665" s="22"/>
      <c r="F3665" s="23" t="str">
        <f aca="false">IF(A3665="","",IFERROR(buscarx(A3665&amp;E3665,DATA!$E$3:$E$10000&amp;DATA!$B$3:$B$10000,DATA!$M$3:$M$10000),"Inactivo"))</f>
        <v/>
      </c>
      <c r="G3665" s="25" t="str">
        <f aca="false">IF(A3665="","",IF(AND(C3665&lt;&gt;"No encontrado",F3665&lt;&gt;"Inactivo"),C3665&amp;" → "&amp;F3665,"Sin transición"))</f>
        <v/>
      </c>
      <c r="H3665" s="23" t="str">
        <f aca="false">IF(A3665="","",IF(D3665="GCIA LINEA SERVICIO DIGITALIDAD Y VENTAS","Chats",IF(OR(D3665="GERENCIA INBOUND LÍNEAS SERVICIO Y VENTA",D3665="GERENCIA INBOUND LINEAS ESPECIALIZADAS"),"Llamadas","Otro")))</f>
        <v/>
      </c>
      <c r="I3665" s="23" t="str">
        <f aca="false">IF(A3665="","",IF(C3665="No encontrado","No","Sí"))</f>
        <v/>
      </c>
      <c r="J3665" s="23" t="str">
        <f aca="false">IF(A3665="","",IF(F3665="Inactivo","No","Sí"))</f>
        <v/>
      </c>
      <c r="K3665" s="23" t="str">
        <f aca="false">IF(A3665="","",IF(AND(I3665="Sí",J3665="Sí"),"Sí","No"))</f>
        <v/>
      </c>
    </row>
    <row r="3666" customFormat="false" ht="15" hidden="false" customHeight="false" outlineLevel="0" collapsed="false">
      <c r="A3666" s="22"/>
      <c r="B3666" s="22"/>
      <c r="C3666" s="26" t="str">
        <f aca="false">IF(A3666="","",IFERROR(buscarx(A3666&amp;B3666,DATA!$E$3:$E$10000&amp;DATA!$B$3:$B$10000,DATA!$M$3:$M$10000),"No encontrado"))</f>
        <v/>
      </c>
      <c r="D3666" s="27" t="str">
        <f aca="false">IF(A3666="","",IFERROR(buscarx(A3666&amp;B3666,DATA!$E$3:$E$10000&amp;DATA!$B$3:$B$10000,DATA!$W$3:$W$10000),"No encontrado"))</f>
        <v/>
      </c>
      <c r="E3666" s="22"/>
      <c r="F3666" s="26" t="str">
        <f aca="false">IF(A3666="","",IFERROR(buscarx(A3666&amp;E3666,DATA!$E$3:$E$10000&amp;DATA!$B$3:$B$10000,DATA!$M$3:$M$10000),"Inactivo"))</f>
        <v/>
      </c>
      <c r="G3666" s="28" t="str">
        <f aca="false">IF(A3666="","",IF(AND(C3666&lt;&gt;"No encontrado",F3666&lt;&gt;"Inactivo"),C3666&amp;" → "&amp;F3666,"Sin transición"))</f>
        <v/>
      </c>
      <c r="H3666" s="26" t="str">
        <f aca="false">IF(A3666="","",IF(D3666="GCIA LINEA SERVICIO DIGITALIDAD Y VENTAS","Chats",IF(OR(D3666="GERENCIA INBOUND LÍNEAS SERVICIO Y VENTA",D3666="GERENCIA INBOUND LINEAS ESPECIALIZADAS"),"Llamadas","Otro")))</f>
        <v/>
      </c>
      <c r="I3666" s="26" t="str">
        <f aca="false">IF(A3666="","",IF(C3666="No encontrado","No","Sí"))</f>
        <v/>
      </c>
      <c r="J3666" s="26" t="str">
        <f aca="false">IF(A3666="","",IF(F3666="Inactivo","No","Sí"))</f>
        <v/>
      </c>
      <c r="K3666" s="26" t="str">
        <f aca="false">IF(A3666="","",IF(AND(I3666="Sí",J3666="Sí"),"Sí","No"))</f>
        <v/>
      </c>
    </row>
    <row r="3667" customFormat="false" ht="15" hidden="false" customHeight="false" outlineLevel="0" collapsed="false">
      <c r="A3667" s="22"/>
      <c r="B3667" s="22"/>
      <c r="C3667" s="23" t="str">
        <f aca="false">IF(A3667="","",IFERROR(buscarx(A3667&amp;B3667,DATA!$E$3:$E$10000&amp;DATA!$B$3:$B$10000,DATA!$M$3:$M$10000),"No encontrado"))</f>
        <v/>
      </c>
      <c r="D3667" s="24" t="str">
        <f aca="false">IF(A3667="","",IFERROR(buscarx(A3667&amp;B3667,DATA!$E$3:$E$10000&amp;DATA!$B$3:$B$10000,DATA!$W$3:$W$10000),"No encontrado"))</f>
        <v/>
      </c>
      <c r="E3667" s="22"/>
      <c r="F3667" s="23" t="str">
        <f aca="false">IF(A3667="","",IFERROR(buscarx(A3667&amp;E3667,DATA!$E$3:$E$10000&amp;DATA!$B$3:$B$10000,DATA!$M$3:$M$10000),"Inactivo"))</f>
        <v/>
      </c>
      <c r="G3667" s="25" t="str">
        <f aca="false">IF(A3667="","",IF(AND(C3667&lt;&gt;"No encontrado",F3667&lt;&gt;"Inactivo"),C3667&amp;" → "&amp;F3667,"Sin transición"))</f>
        <v/>
      </c>
      <c r="H3667" s="23" t="str">
        <f aca="false">IF(A3667="","",IF(D3667="GCIA LINEA SERVICIO DIGITALIDAD Y VENTAS","Chats",IF(OR(D3667="GERENCIA INBOUND LÍNEAS SERVICIO Y VENTA",D3667="GERENCIA INBOUND LINEAS ESPECIALIZADAS"),"Llamadas","Otro")))</f>
        <v/>
      </c>
      <c r="I3667" s="23" t="str">
        <f aca="false">IF(A3667="","",IF(C3667="No encontrado","No","Sí"))</f>
        <v/>
      </c>
      <c r="J3667" s="23" t="str">
        <f aca="false">IF(A3667="","",IF(F3667="Inactivo","No","Sí"))</f>
        <v/>
      </c>
      <c r="K3667" s="23" t="str">
        <f aca="false">IF(A3667="","",IF(AND(I3667="Sí",J3667="Sí"),"Sí","No"))</f>
        <v/>
      </c>
    </row>
    <row r="3668" customFormat="false" ht="15" hidden="false" customHeight="false" outlineLevel="0" collapsed="false">
      <c r="A3668" s="22"/>
      <c r="B3668" s="22"/>
      <c r="C3668" s="26" t="str">
        <f aca="false">IF(A3668="","",IFERROR(buscarx(A3668&amp;B3668,DATA!$E$3:$E$10000&amp;DATA!$B$3:$B$10000,DATA!$M$3:$M$10000),"No encontrado"))</f>
        <v/>
      </c>
      <c r="D3668" s="27" t="str">
        <f aca="false">IF(A3668="","",IFERROR(buscarx(A3668&amp;B3668,DATA!$E$3:$E$10000&amp;DATA!$B$3:$B$10000,DATA!$W$3:$W$10000),"No encontrado"))</f>
        <v/>
      </c>
      <c r="E3668" s="22"/>
      <c r="F3668" s="26" t="str">
        <f aca="false">IF(A3668="","",IFERROR(buscarx(A3668&amp;E3668,DATA!$E$3:$E$10000&amp;DATA!$B$3:$B$10000,DATA!$M$3:$M$10000),"Inactivo"))</f>
        <v/>
      </c>
      <c r="G3668" s="28" t="str">
        <f aca="false">IF(A3668="","",IF(AND(C3668&lt;&gt;"No encontrado",F3668&lt;&gt;"Inactivo"),C3668&amp;" → "&amp;F3668,"Sin transición"))</f>
        <v/>
      </c>
      <c r="H3668" s="26" t="str">
        <f aca="false">IF(A3668="","",IF(D3668="GCIA LINEA SERVICIO DIGITALIDAD Y VENTAS","Chats",IF(OR(D3668="GERENCIA INBOUND LÍNEAS SERVICIO Y VENTA",D3668="GERENCIA INBOUND LINEAS ESPECIALIZADAS"),"Llamadas","Otro")))</f>
        <v/>
      </c>
      <c r="I3668" s="26" t="str">
        <f aca="false">IF(A3668="","",IF(C3668="No encontrado","No","Sí"))</f>
        <v/>
      </c>
      <c r="J3668" s="26" t="str">
        <f aca="false">IF(A3668="","",IF(F3668="Inactivo","No","Sí"))</f>
        <v/>
      </c>
      <c r="K3668" s="26" t="str">
        <f aca="false">IF(A3668="","",IF(AND(I3668="Sí",J3668="Sí"),"Sí","No"))</f>
        <v/>
      </c>
    </row>
    <row r="3669" customFormat="false" ht="15" hidden="false" customHeight="false" outlineLevel="0" collapsed="false">
      <c r="A3669" s="22"/>
      <c r="B3669" s="22"/>
      <c r="C3669" s="23" t="str">
        <f aca="false">IF(A3669="","",IFERROR(buscarx(A3669&amp;B3669,DATA!$E$3:$E$10000&amp;DATA!$B$3:$B$10000,DATA!$M$3:$M$10000),"No encontrado"))</f>
        <v/>
      </c>
      <c r="D3669" s="24" t="str">
        <f aca="false">IF(A3669="","",IFERROR(buscarx(A3669&amp;B3669,DATA!$E$3:$E$10000&amp;DATA!$B$3:$B$10000,DATA!$W$3:$W$10000),"No encontrado"))</f>
        <v/>
      </c>
      <c r="E3669" s="22"/>
      <c r="F3669" s="23" t="str">
        <f aca="false">IF(A3669="","",IFERROR(buscarx(A3669&amp;E3669,DATA!$E$3:$E$10000&amp;DATA!$B$3:$B$10000,DATA!$M$3:$M$10000),"Inactivo"))</f>
        <v/>
      </c>
      <c r="G3669" s="25" t="str">
        <f aca="false">IF(A3669="","",IF(AND(C3669&lt;&gt;"No encontrado",F3669&lt;&gt;"Inactivo"),C3669&amp;" → "&amp;F3669,"Sin transición"))</f>
        <v/>
      </c>
      <c r="H3669" s="23" t="str">
        <f aca="false">IF(A3669="","",IF(D3669="GCIA LINEA SERVICIO DIGITALIDAD Y VENTAS","Chats",IF(OR(D3669="GERENCIA INBOUND LÍNEAS SERVICIO Y VENTA",D3669="GERENCIA INBOUND LINEAS ESPECIALIZADAS"),"Llamadas","Otro")))</f>
        <v/>
      </c>
      <c r="I3669" s="23" t="str">
        <f aca="false">IF(A3669="","",IF(C3669="No encontrado","No","Sí"))</f>
        <v/>
      </c>
      <c r="J3669" s="23" t="str">
        <f aca="false">IF(A3669="","",IF(F3669="Inactivo","No","Sí"))</f>
        <v/>
      </c>
      <c r="K3669" s="23" t="str">
        <f aca="false">IF(A3669="","",IF(AND(I3669="Sí",J3669="Sí"),"Sí","No"))</f>
        <v/>
      </c>
    </row>
    <row r="3670" customFormat="false" ht="15" hidden="false" customHeight="false" outlineLevel="0" collapsed="false">
      <c r="A3670" s="22"/>
      <c r="B3670" s="22"/>
      <c r="C3670" s="26" t="str">
        <f aca="false">IF(A3670="","",IFERROR(buscarx(A3670&amp;B3670,DATA!$E$3:$E$10000&amp;DATA!$B$3:$B$10000,DATA!$M$3:$M$10000),"No encontrado"))</f>
        <v/>
      </c>
      <c r="D3670" s="27" t="str">
        <f aca="false">IF(A3670="","",IFERROR(buscarx(A3670&amp;B3670,DATA!$E$3:$E$10000&amp;DATA!$B$3:$B$10000,DATA!$W$3:$W$10000),"No encontrado"))</f>
        <v/>
      </c>
      <c r="E3670" s="22"/>
      <c r="F3670" s="26" t="str">
        <f aca="false">IF(A3670="","",IFERROR(buscarx(A3670&amp;E3670,DATA!$E$3:$E$10000&amp;DATA!$B$3:$B$10000,DATA!$M$3:$M$10000),"Inactivo"))</f>
        <v/>
      </c>
      <c r="G3670" s="28" t="str">
        <f aca="false">IF(A3670="","",IF(AND(C3670&lt;&gt;"No encontrado",F3670&lt;&gt;"Inactivo"),C3670&amp;" → "&amp;F3670,"Sin transición"))</f>
        <v/>
      </c>
      <c r="H3670" s="26" t="str">
        <f aca="false">IF(A3670="","",IF(D3670="GCIA LINEA SERVICIO DIGITALIDAD Y VENTAS","Chats",IF(OR(D3670="GERENCIA INBOUND LÍNEAS SERVICIO Y VENTA",D3670="GERENCIA INBOUND LINEAS ESPECIALIZADAS"),"Llamadas","Otro")))</f>
        <v/>
      </c>
      <c r="I3670" s="26" t="str">
        <f aca="false">IF(A3670="","",IF(C3670="No encontrado","No","Sí"))</f>
        <v/>
      </c>
      <c r="J3670" s="26" t="str">
        <f aca="false">IF(A3670="","",IF(F3670="Inactivo","No","Sí"))</f>
        <v/>
      </c>
      <c r="K3670" s="26" t="str">
        <f aca="false">IF(A3670="","",IF(AND(I3670="Sí",J3670="Sí"),"Sí","No"))</f>
        <v/>
      </c>
    </row>
    <row r="3671" customFormat="false" ht="15" hidden="false" customHeight="false" outlineLevel="0" collapsed="false">
      <c r="A3671" s="22"/>
      <c r="B3671" s="22"/>
      <c r="C3671" s="23" t="str">
        <f aca="false">IF(A3671="","",IFERROR(buscarx(A3671&amp;B3671,DATA!$E$3:$E$10000&amp;DATA!$B$3:$B$10000,DATA!$M$3:$M$10000),"No encontrado"))</f>
        <v/>
      </c>
      <c r="D3671" s="24" t="str">
        <f aca="false">IF(A3671="","",IFERROR(buscarx(A3671&amp;B3671,DATA!$E$3:$E$10000&amp;DATA!$B$3:$B$10000,DATA!$W$3:$W$10000),"No encontrado"))</f>
        <v/>
      </c>
      <c r="E3671" s="22"/>
      <c r="F3671" s="23" t="str">
        <f aca="false">IF(A3671="","",IFERROR(buscarx(A3671&amp;E3671,DATA!$E$3:$E$10000&amp;DATA!$B$3:$B$10000,DATA!$M$3:$M$10000),"Inactivo"))</f>
        <v/>
      </c>
      <c r="G3671" s="25" t="str">
        <f aca="false">IF(A3671="","",IF(AND(C3671&lt;&gt;"No encontrado",F3671&lt;&gt;"Inactivo"),C3671&amp;" → "&amp;F3671,"Sin transición"))</f>
        <v/>
      </c>
      <c r="H3671" s="23" t="str">
        <f aca="false">IF(A3671="","",IF(D3671="GCIA LINEA SERVICIO DIGITALIDAD Y VENTAS","Chats",IF(OR(D3671="GERENCIA INBOUND LÍNEAS SERVICIO Y VENTA",D3671="GERENCIA INBOUND LINEAS ESPECIALIZADAS"),"Llamadas","Otro")))</f>
        <v/>
      </c>
      <c r="I3671" s="23" t="str">
        <f aca="false">IF(A3671="","",IF(C3671="No encontrado","No","Sí"))</f>
        <v/>
      </c>
      <c r="J3671" s="23" t="str">
        <f aca="false">IF(A3671="","",IF(F3671="Inactivo","No","Sí"))</f>
        <v/>
      </c>
      <c r="K3671" s="23" t="str">
        <f aca="false">IF(A3671="","",IF(AND(I3671="Sí",J3671="Sí"),"Sí","No"))</f>
        <v/>
      </c>
    </row>
    <row r="3672" customFormat="false" ht="15" hidden="false" customHeight="false" outlineLevel="0" collapsed="false">
      <c r="A3672" s="22"/>
      <c r="B3672" s="22"/>
      <c r="C3672" s="26" t="str">
        <f aca="false">IF(A3672="","",IFERROR(buscarx(A3672&amp;B3672,DATA!$E$3:$E$10000&amp;DATA!$B$3:$B$10000,DATA!$M$3:$M$10000),"No encontrado"))</f>
        <v/>
      </c>
      <c r="D3672" s="27" t="str">
        <f aca="false">IF(A3672="","",IFERROR(buscarx(A3672&amp;B3672,DATA!$E$3:$E$10000&amp;DATA!$B$3:$B$10000,DATA!$W$3:$W$10000),"No encontrado"))</f>
        <v/>
      </c>
      <c r="E3672" s="22"/>
      <c r="F3672" s="26" t="str">
        <f aca="false">IF(A3672="","",IFERROR(buscarx(A3672&amp;E3672,DATA!$E$3:$E$10000&amp;DATA!$B$3:$B$10000,DATA!$M$3:$M$10000),"Inactivo"))</f>
        <v/>
      </c>
      <c r="G3672" s="28" t="str">
        <f aca="false">IF(A3672="","",IF(AND(C3672&lt;&gt;"No encontrado",F3672&lt;&gt;"Inactivo"),C3672&amp;" → "&amp;F3672,"Sin transición"))</f>
        <v/>
      </c>
      <c r="H3672" s="26" t="str">
        <f aca="false">IF(A3672="","",IF(D3672="GCIA LINEA SERVICIO DIGITALIDAD Y VENTAS","Chats",IF(OR(D3672="GERENCIA INBOUND LÍNEAS SERVICIO Y VENTA",D3672="GERENCIA INBOUND LINEAS ESPECIALIZADAS"),"Llamadas","Otro")))</f>
        <v/>
      </c>
      <c r="I3672" s="26" t="str">
        <f aca="false">IF(A3672="","",IF(C3672="No encontrado","No","Sí"))</f>
        <v/>
      </c>
      <c r="J3672" s="26" t="str">
        <f aca="false">IF(A3672="","",IF(F3672="Inactivo","No","Sí"))</f>
        <v/>
      </c>
      <c r="K3672" s="26" t="str">
        <f aca="false">IF(A3672="","",IF(AND(I3672="Sí",J3672="Sí"),"Sí","No"))</f>
        <v/>
      </c>
    </row>
    <row r="3673" customFormat="false" ht="15" hidden="false" customHeight="false" outlineLevel="0" collapsed="false">
      <c r="A3673" s="22"/>
      <c r="B3673" s="22"/>
      <c r="C3673" s="23" t="str">
        <f aca="false">IF(A3673="","",IFERROR(buscarx(A3673&amp;B3673,DATA!$E$3:$E$10000&amp;DATA!$B$3:$B$10000,DATA!$M$3:$M$10000),"No encontrado"))</f>
        <v/>
      </c>
      <c r="D3673" s="24" t="str">
        <f aca="false">IF(A3673="","",IFERROR(buscarx(A3673&amp;B3673,DATA!$E$3:$E$10000&amp;DATA!$B$3:$B$10000,DATA!$W$3:$W$10000),"No encontrado"))</f>
        <v/>
      </c>
      <c r="E3673" s="22"/>
      <c r="F3673" s="23" t="str">
        <f aca="false">IF(A3673="","",IFERROR(buscarx(A3673&amp;E3673,DATA!$E$3:$E$10000&amp;DATA!$B$3:$B$10000,DATA!$M$3:$M$10000),"Inactivo"))</f>
        <v/>
      </c>
      <c r="G3673" s="25" t="str">
        <f aca="false">IF(A3673="","",IF(AND(C3673&lt;&gt;"No encontrado",F3673&lt;&gt;"Inactivo"),C3673&amp;" → "&amp;F3673,"Sin transición"))</f>
        <v/>
      </c>
      <c r="H3673" s="23" t="str">
        <f aca="false">IF(A3673="","",IF(D3673="GCIA LINEA SERVICIO DIGITALIDAD Y VENTAS","Chats",IF(OR(D3673="GERENCIA INBOUND LÍNEAS SERVICIO Y VENTA",D3673="GERENCIA INBOUND LINEAS ESPECIALIZADAS"),"Llamadas","Otro")))</f>
        <v/>
      </c>
      <c r="I3673" s="23" t="str">
        <f aca="false">IF(A3673="","",IF(C3673="No encontrado","No","Sí"))</f>
        <v/>
      </c>
      <c r="J3673" s="23" t="str">
        <f aca="false">IF(A3673="","",IF(F3673="Inactivo","No","Sí"))</f>
        <v/>
      </c>
      <c r="K3673" s="23" t="str">
        <f aca="false">IF(A3673="","",IF(AND(I3673="Sí",J3673="Sí"),"Sí","No"))</f>
        <v/>
      </c>
    </row>
    <row r="3674" customFormat="false" ht="15" hidden="false" customHeight="false" outlineLevel="0" collapsed="false">
      <c r="A3674" s="22"/>
      <c r="B3674" s="22"/>
      <c r="C3674" s="26" t="str">
        <f aca="false">IF(A3674="","",IFERROR(buscarx(A3674&amp;B3674,DATA!$E$3:$E$10000&amp;DATA!$B$3:$B$10000,DATA!$M$3:$M$10000),"No encontrado"))</f>
        <v/>
      </c>
      <c r="D3674" s="27" t="str">
        <f aca="false">IF(A3674="","",IFERROR(buscarx(A3674&amp;B3674,DATA!$E$3:$E$10000&amp;DATA!$B$3:$B$10000,DATA!$W$3:$W$10000),"No encontrado"))</f>
        <v/>
      </c>
      <c r="E3674" s="22"/>
      <c r="F3674" s="26" t="str">
        <f aca="false">IF(A3674="","",IFERROR(buscarx(A3674&amp;E3674,DATA!$E$3:$E$10000&amp;DATA!$B$3:$B$10000,DATA!$M$3:$M$10000),"Inactivo"))</f>
        <v/>
      </c>
      <c r="G3674" s="28" t="str">
        <f aca="false">IF(A3674="","",IF(AND(C3674&lt;&gt;"No encontrado",F3674&lt;&gt;"Inactivo"),C3674&amp;" → "&amp;F3674,"Sin transición"))</f>
        <v/>
      </c>
      <c r="H3674" s="26" t="str">
        <f aca="false">IF(A3674="","",IF(D3674="GCIA LINEA SERVICIO DIGITALIDAD Y VENTAS","Chats",IF(OR(D3674="GERENCIA INBOUND LÍNEAS SERVICIO Y VENTA",D3674="GERENCIA INBOUND LINEAS ESPECIALIZADAS"),"Llamadas","Otro")))</f>
        <v/>
      </c>
      <c r="I3674" s="26" t="str">
        <f aca="false">IF(A3674="","",IF(C3674="No encontrado","No","Sí"))</f>
        <v/>
      </c>
      <c r="J3674" s="26" t="str">
        <f aca="false">IF(A3674="","",IF(F3674="Inactivo","No","Sí"))</f>
        <v/>
      </c>
      <c r="K3674" s="26" t="str">
        <f aca="false">IF(A3674="","",IF(AND(I3674="Sí",J3674="Sí"),"Sí","No"))</f>
        <v/>
      </c>
    </row>
    <row r="3675" customFormat="false" ht="15" hidden="false" customHeight="false" outlineLevel="0" collapsed="false">
      <c r="A3675" s="22"/>
      <c r="B3675" s="22"/>
      <c r="C3675" s="23" t="str">
        <f aca="false">IF(A3675="","",IFERROR(buscarx(A3675&amp;B3675,DATA!$E$3:$E$10000&amp;DATA!$B$3:$B$10000,DATA!$M$3:$M$10000),"No encontrado"))</f>
        <v/>
      </c>
      <c r="D3675" s="24" t="str">
        <f aca="false">IF(A3675="","",IFERROR(buscarx(A3675&amp;B3675,DATA!$E$3:$E$10000&amp;DATA!$B$3:$B$10000,DATA!$W$3:$W$10000),"No encontrado"))</f>
        <v/>
      </c>
      <c r="E3675" s="22"/>
      <c r="F3675" s="23" t="str">
        <f aca="false">IF(A3675="","",IFERROR(buscarx(A3675&amp;E3675,DATA!$E$3:$E$10000&amp;DATA!$B$3:$B$10000,DATA!$M$3:$M$10000),"Inactivo"))</f>
        <v/>
      </c>
      <c r="G3675" s="25" t="str">
        <f aca="false">IF(A3675="","",IF(AND(C3675&lt;&gt;"No encontrado",F3675&lt;&gt;"Inactivo"),C3675&amp;" → "&amp;F3675,"Sin transición"))</f>
        <v/>
      </c>
      <c r="H3675" s="23" t="str">
        <f aca="false">IF(A3675="","",IF(D3675="GCIA LINEA SERVICIO DIGITALIDAD Y VENTAS","Chats",IF(OR(D3675="GERENCIA INBOUND LÍNEAS SERVICIO Y VENTA",D3675="GERENCIA INBOUND LINEAS ESPECIALIZADAS"),"Llamadas","Otro")))</f>
        <v/>
      </c>
      <c r="I3675" s="23" t="str">
        <f aca="false">IF(A3675="","",IF(C3675="No encontrado","No","Sí"))</f>
        <v/>
      </c>
      <c r="J3675" s="23" t="str">
        <f aca="false">IF(A3675="","",IF(F3675="Inactivo","No","Sí"))</f>
        <v/>
      </c>
      <c r="K3675" s="23" t="str">
        <f aca="false">IF(A3675="","",IF(AND(I3675="Sí",J3675="Sí"),"Sí","No"))</f>
        <v/>
      </c>
    </row>
    <row r="3676" customFormat="false" ht="15" hidden="false" customHeight="false" outlineLevel="0" collapsed="false">
      <c r="A3676" s="22"/>
      <c r="B3676" s="22"/>
      <c r="C3676" s="26" t="str">
        <f aca="false">IF(A3676="","",IFERROR(buscarx(A3676&amp;B3676,DATA!$E$3:$E$10000&amp;DATA!$B$3:$B$10000,DATA!$M$3:$M$10000),"No encontrado"))</f>
        <v/>
      </c>
      <c r="D3676" s="27" t="str">
        <f aca="false">IF(A3676="","",IFERROR(buscarx(A3676&amp;B3676,DATA!$E$3:$E$10000&amp;DATA!$B$3:$B$10000,DATA!$W$3:$W$10000),"No encontrado"))</f>
        <v/>
      </c>
      <c r="E3676" s="22"/>
      <c r="F3676" s="26" t="str">
        <f aca="false">IF(A3676="","",IFERROR(buscarx(A3676&amp;E3676,DATA!$E$3:$E$10000&amp;DATA!$B$3:$B$10000,DATA!$M$3:$M$10000),"Inactivo"))</f>
        <v/>
      </c>
      <c r="G3676" s="28" t="str">
        <f aca="false">IF(A3676="","",IF(AND(C3676&lt;&gt;"No encontrado",F3676&lt;&gt;"Inactivo"),C3676&amp;" → "&amp;F3676,"Sin transición"))</f>
        <v/>
      </c>
      <c r="H3676" s="26" t="str">
        <f aca="false">IF(A3676="","",IF(D3676="GCIA LINEA SERVICIO DIGITALIDAD Y VENTAS","Chats",IF(OR(D3676="GERENCIA INBOUND LÍNEAS SERVICIO Y VENTA",D3676="GERENCIA INBOUND LINEAS ESPECIALIZADAS"),"Llamadas","Otro")))</f>
        <v/>
      </c>
      <c r="I3676" s="26" t="str">
        <f aca="false">IF(A3676="","",IF(C3676="No encontrado","No","Sí"))</f>
        <v/>
      </c>
      <c r="J3676" s="26" t="str">
        <f aca="false">IF(A3676="","",IF(F3676="Inactivo","No","Sí"))</f>
        <v/>
      </c>
      <c r="K3676" s="26" t="str">
        <f aca="false">IF(A3676="","",IF(AND(I3676="Sí",J3676="Sí"),"Sí","No"))</f>
        <v/>
      </c>
    </row>
    <row r="3677" customFormat="false" ht="15" hidden="false" customHeight="false" outlineLevel="0" collapsed="false">
      <c r="A3677" s="22"/>
      <c r="B3677" s="22"/>
      <c r="C3677" s="23" t="str">
        <f aca="false">IF(A3677="","",IFERROR(buscarx(A3677&amp;B3677,DATA!$E$3:$E$10000&amp;DATA!$B$3:$B$10000,DATA!$M$3:$M$10000),"No encontrado"))</f>
        <v/>
      </c>
      <c r="D3677" s="24" t="str">
        <f aca="false">IF(A3677="","",IFERROR(buscarx(A3677&amp;B3677,DATA!$E$3:$E$10000&amp;DATA!$B$3:$B$10000,DATA!$W$3:$W$10000),"No encontrado"))</f>
        <v/>
      </c>
      <c r="E3677" s="22"/>
      <c r="F3677" s="23" t="str">
        <f aca="false">IF(A3677="","",IFERROR(buscarx(A3677&amp;E3677,DATA!$E$3:$E$10000&amp;DATA!$B$3:$B$10000,DATA!$M$3:$M$10000),"Inactivo"))</f>
        <v/>
      </c>
      <c r="G3677" s="25" t="str">
        <f aca="false">IF(A3677="","",IF(AND(C3677&lt;&gt;"No encontrado",F3677&lt;&gt;"Inactivo"),C3677&amp;" → "&amp;F3677,"Sin transición"))</f>
        <v/>
      </c>
      <c r="H3677" s="23" t="str">
        <f aca="false">IF(A3677="","",IF(D3677="GCIA LINEA SERVICIO DIGITALIDAD Y VENTAS","Chats",IF(OR(D3677="GERENCIA INBOUND LÍNEAS SERVICIO Y VENTA",D3677="GERENCIA INBOUND LINEAS ESPECIALIZADAS"),"Llamadas","Otro")))</f>
        <v/>
      </c>
      <c r="I3677" s="23" t="str">
        <f aca="false">IF(A3677="","",IF(C3677="No encontrado","No","Sí"))</f>
        <v/>
      </c>
      <c r="J3677" s="23" t="str">
        <f aca="false">IF(A3677="","",IF(F3677="Inactivo","No","Sí"))</f>
        <v/>
      </c>
      <c r="K3677" s="23" t="str">
        <f aca="false">IF(A3677="","",IF(AND(I3677="Sí",J3677="Sí"),"Sí","No"))</f>
        <v/>
      </c>
    </row>
    <row r="3678" customFormat="false" ht="15" hidden="false" customHeight="false" outlineLevel="0" collapsed="false">
      <c r="A3678" s="22"/>
      <c r="B3678" s="22"/>
      <c r="C3678" s="26" t="str">
        <f aca="false">IF(A3678="","",IFERROR(buscarx(A3678&amp;B3678,DATA!$E$3:$E$10000&amp;DATA!$B$3:$B$10000,DATA!$M$3:$M$10000),"No encontrado"))</f>
        <v/>
      </c>
      <c r="D3678" s="27" t="str">
        <f aca="false">IF(A3678="","",IFERROR(buscarx(A3678&amp;B3678,DATA!$E$3:$E$10000&amp;DATA!$B$3:$B$10000,DATA!$W$3:$W$10000),"No encontrado"))</f>
        <v/>
      </c>
      <c r="E3678" s="22"/>
      <c r="F3678" s="26" t="str">
        <f aca="false">IF(A3678="","",IFERROR(buscarx(A3678&amp;E3678,DATA!$E$3:$E$10000&amp;DATA!$B$3:$B$10000,DATA!$M$3:$M$10000),"Inactivo"))</f>
        <v/>
      </c>
      <c r="G3678" s="28" t="str">
        <f aca="false">IF(A3678="","",IF(AND(C3678&lt;&gt;"No encontrado",F3678&lt;&gt;"Inactivo"),C3678&amp;" → "&amp;F3678,"Sin transición"))</f>
        <v/>
      </c>
      <c r="H3678" s="26" t="str">
        <f aca="false">IF(A3678="","",IF(D3678="GCIA LINEA SERVICIO DIGITALIDAD Y VENTAS","Chats",IF(OR(D3678="GERENCIA INBOUND LÍNEAS SERVICIO Y VENTA",D3678="GERENCIA INBOUND LINEAS ESPECIALIZADAS"),"Llamadas","Otro")))</f>
        <v/>
      </c>
      <c r="I3678" s="26" t="str">
        <f aca="false">IF(A3678="","",IF(C3678="No encontrado","No","Sí"))</f>
        <v/>
      </c>
      <c r="J3678" s="26" t="str">
        <f aca="false">IF(A3678="","",IF(F3678="Inactivo","No","Sí"))</f>
        <v/>
      </c>
      <c r="K3678" s="26" t="str">
        <f aca="false">IF(A3678="","",IF(AND(I3678="Sí",J3678="Sí"),"Sí","No"))</f>
        <v/>
      </c>
    </row>
    <row r="3679" customFormat="false" ht="15" hidden="false" customHeight="false" outlineLevel="0" collapsed="false">
      <c r="A3679" s="22"/>
      <c r="B3679" s="22"/>
      <c r="C3679" s="23" t="str">
        <f aca="false">IF(A3679="","",IFERROR(buscarx(A3679&amp;B3679,DATA!$E$3:$E$10000&amp;DATA!$B$3:$B$10000,DATA!$M$3:$M$10000),"No encontrado"))</f>
        <v/>
      </c>
      <c r="D3679" s="24" t="str">
        <f aca="false">IF(A3679="","",IFERROR(buscarx(A3679&amp;B3679,DATA!$E$3:$E$10000&amp;DATA!$B$3:$B$10000,DATA!$W$3:$W$10000),"No encontrado"))</f>
        <v/>
      </c>
      <c r="E3679" s="22"/>
      <c r="F3679" s="23" t="str">
        <f aca="false">IF(A3679="","",IFERROR(buscarx(A3679&amp;E3679,DATA!$E$3:$E$10000&amp;DATA!$B$3:$B$10000,DATA!$M$3:$M$10000),"Inactivo"))</f>
        <v/>
      </c>
      <c r="G3679" s="25" t="str">
        <f aca="false">IF(A3679="","",IF(AND(C3679&lt;&gt;"No encontrado",F3679&lt;&gt;"Inactivo"),C3679&amp;" → "&amp;F3679,"Sin transición"))</f>
        <v/>
      </c>
      <c r="H3679" s="23" t="str">
        <f aca="false">IF(A3679="","",IF(D3679="GCIA LINEA SERVICIO DIGITALIDAD Y VENTAS","Chats",IF(OR(D3679="GERENCIA INBOUND LÍNEAS SERVICIO Y VENTA",D3679="GERENCIA INBOUND LINEAS ESPECIALIZADAS"),"Llamadas","Otro")))</f>
        <v/>
      </c>
      <c r="I3679" s="23" t="str">
        <f aca="false">IF(A3679="","",IF(C3679="No encontrado","No","Sí"))</f>
        <v/>
      </c>
      <c r="J3679" s="23" t="str">
        <f aca="false">IF(A3679="","",IF(F3679="Inactivo","No","Sí"))</f>
        <v/>
      </c>
      <c r="K3679" s="23" t="str">
        <f aca="false">IF(A3679="","",IF(AND(I3679="Sí",J3679="Sí"),"Sí","No"))</f>
        <v/>
      </c>
    </row>
    <row r="3680" customFormat="false" ht="15" hidden="false" customHeight="false" outlineLevel="0" collapsed="false">
      <c r="A3680" s="22"/>
      <c r="B3680" s="22"/>
      <c r="C3680" s="26" t="str">
        <f aca="false">IF(A3680="","",IFERROR(buscarx(A3680&amp;B3680,DATA!$E$3:$E$10000&amp;DATA!$B$3:$B$10000,DATA!$M$3:$M$10000),"No encontrado"))</f>
        <v/>
      </c>
      <c r="D3680" s="27" t="str">
        <f aca="false">IF(A3680="","",IFERROR(buscarx(A3680&amp;B3680,DATA!$E$3:$E$10000&amp;DATA!$B$3:$B$10000,DATA!$W$3:$W$10000),"No encontrado"))</f>
        <v/>
      </c>
      <c r="E3680" s="22"/>
      <c r="F3680" s="26" t="str">
        <f aca="false">IF(A3680="","",IFERROR(buscarx(A3680&amp;E3680,DATA!$E$3:$E$10000&amp;DATA!$B$3:$B$10000,DATA!$M$3:$M$10000),"Inactivo"))</f>
        <v/>
      </c>
      <c r="G3680" s="28" t="str">
        <f aca="false">IF(A3680="","",IF(AND(C3680&lt;&gt;"No encontrado",F3680&lt;&gt;"Inactivo"),C3680&amp;" → "&amp;F3680,"Sin transición"))</f>
        <v/>
      </c>
      <c r="H3680" s="26" t="str">
        <f aca="false">IF(A3680="","",IF(D3680="GCIA LINEA SERVICIO DIGITALIDAD Y VENTAS","Chats",IF(OR(D3680="GERENCIA INBOUND LÍNEAS SERVICIO Y VENTA",D3680="GERENCIA INBOUND LINEAS ESPECIALIZADAS"),"Llamadas","Otro")))</f>
        <v/>
      </c>
      <c r="I3680" s="26" t="str">
        <f aca="false">IF(A3680="","",IF(C3680="No encontrado","No","Sí"))</f>
        <v/>
      </c>
      <c r="J3680" s="26" t="str">
        <f aca="false">IF(A3680="","",IF(F3680="Inactivo","No","Sí"))</f>
        <v/>
      </c>
      <c r="K3680" s="26" t="str">
        <f aca="false">IF(A3680="","",IF(AND(I3680="Sí",J3680="Sí"),"Sí","No"))</f>
        <v/>
      </c>
    </row>
    <row r="3681" customFormat="false" ht="15" hidden="false" customHeight="false" outlineLevel="0" collapsed="false">
      <c r="A3681" s="22"/>
      <c r="B3681" s="22"/>
      <c r="C3681" s="23" t="str">
        <f aca="false">IF(A3681="","",IFERROR(buscarx(A3681&amp;B3681,DATA!$E$3:$E$10000&amp;DATA!$B$3:$B$10000,DATA!$M$3:$M$10000),"No encontrado"))</f>
        <v/>
      </c>
      <c r="D3681" s="24" t="str">
        <f aca="false">IF(A3681="","",IFERROR(buscarx(A3681&amp;B3681,DATA!$E$3:$E$10000&amp;DATA!$B$3:$B$10000,DATA!$W$3:$W$10000),"No encontrado"))</f>
        <v/>
      </c>
      <c r="E3681" s="22"/>
      <c r="F3681" s="23" t="str">
        <f aca="false">IF(A3681="","",IFERROR(buscarx(A3681&amp;E3681,DATA!$E$3:$E$10000&amp;DATA!$B$3:$B$10000,DATA!$M$3:$M$10000),"Inactivo"))</f>
        <v/>
      </c>
      <c r="G3681" s="25" t="str">
        <f aca="false">IF(A3681="","",IF(AND(C3681&lt;&gt;"No encontrado",F3681&lt;&gt;"Inactivo"),C3681&amp;" → "&amp;F3681,"Sin transición"))</f>
        <v/>
      </c>
      <c r="H3681" s="23" t="str">
        <f aca="false">IF(A3681="","",IF(D3681="GCIA LINEA SERVICIO DIGITALIDAD Y VENTAS","Chats",IF(OR(D3681="GERENCIA INBOUND LÍNEAS SERVICIO Y VENTA",D3681="GERENCIA INBOUND LINEAS ESPECIALIZADAS"),"Llamadas","Otro")))</f>
        <v/>
      </c>
      <c r="I3681" s="23" t="str">
        <f aca="false">IF(A3681="","",IF(C3681="No encontrado","No","Sí"))</f>
        <v/>
      </c>
      <c r="J3681" s="23" t="str">
        <f aca="false">IF(A3681="","",IF(F3681="Inactivo","No","Sí"))</f>
        <v/>
      </c>
      <c r="K3681" s="23" t="str">
        <f aca="false">IF(A3681="","",IF(AND(I3681="Sí",J3681="Sí"),"Sí","No"))</f>
        <v/>
      </c>
    </row>
    <row r="3682" customFormat="false" ht="15" hidden="false" customHeight="false" outlineLevel="0" collapsed="false">
      <c r="A3682" s="22"/>
      <c r="B3682" s="22"/>
      <c r="C3682" s="26" t="str">
        <f aca="false">IF(A3682="","",IFERROR(buscarx(A3682&amp;B3682,DATA!$E$3:$E$10000&amp;DATA!$B$3:$B$10000,DATA!$M$3:$M$10000),"No encontrado"))</f>
        <v/>
      </c>
      <c r="D3682" s="27" t="str">
        <f aca="false">IF(A3682="","",IFERROR(buscarx(A3682&amp;B3682,DATA!$E$3:$E$10000&amp;DATA!$B$3:$B$10000,DATA!$W$3:$W$10000),"No encontrado"))</f>
        <v/>
      </c>
      <c r="E3682" s="22"/>
      <c r="F3682" s="26" t="str">
        <f aca="false">IF(A3682="","",IFERROR(buscarx(A3682&amp;E3682,DATA!$E$3:$E$10000&amp;DATA!$B$3:$B$10000,DATA!$M$3:$M$10000),"Inactivo"))</f>
        <v/>
      </c>
      <c r="G3682" s="28" t="str">
        <f aca="false">IF(A3682="","",IF(AND(C3682&lt;&gt;"No encontrado",F3682&lt;&gt;"Inactivo"),C3682&amp;" → "&amp;F3682,"Sin transición"))</f>
        <v/>
      </c>
      <c r="H3682" s="26" t="str">
        <f aca="false">IF(A3682="","",IF(D3682="GCIA LINEA SERVICIO DIGITALIDAD Y VENTAS","Chats",IF(OR(D3682="GERENCIA INBOUND LÍNEAS SERVICIO Y VENTA",D3682="GERENCIA INBOUND LINEAS ESPECIALIZADAS"),"Llamadas","Otro")))</f>
        <v/>
      </c>
      <c r="I3682" s="26" t="str">
        <f aca="false">IF(A3682="","",IF(C3682="No encontrado","No","Sí"))</f>
        <v/>
      </c>
      <c r="J3682" s="26" t="str">
        <f aca="false">IF(A3682="","",IF(F3682="Inactivo","No","Sí"))</f>
        <v/>
      </c>
      <c r="K3682" s="26" t="str">
        <f aca="false">IF(A3682="","",IF(AND(I3682="Sí",J3682="Sí"),"Sí","No"))</f>
        <v/>
      </c>
    </row>
    <row r="3683" customFormat="false" ht="15" hidden="false" customHeight="false" outlineLevel="0" collapsed="false">
      <c r="A3683" s="22"/>
      <c r="B3683" s="22"/>
      <c r="C3683" s="23" t="str">
        <f aca="false">IF(A3683="","",IFERROR(buscarx(A3683&amp;B3683,DATA!$E$3:$E$10000&amp;DATA!$B$3:$B$10000,DATA!$M$3:$M$10000),"No encontrado"))</f>
        <v/>
      </c>
      <c r="D3683" s="24" t="str">
        <f aca="false">IF(A3683="","",IFERROR(buscarx(A3683&amp;B3683,DATA!$E$3:$E$10000&amp;DATA!$B$3:$B$10000,DATA!$W$3:$W$10000),"No encontrado"))</f>
        <v/>
      </c>
      <c r="E3683" s="22"/>
      <c r="F3683" s="23" t="str">
        <f aca="false">IF(A3683="","",IFERROR(buscarx(A3683&amp;E3683,DATA!$E$3:$E$10000&amp;DATA!$B$3:$B$10000,DATA!$M$3:$M$10000),"Inactivo"))</f>
        <v/>
      </c>
      <c r="G3683" s="25" t="str">
        <f aca="false">IF(A3683="","",IF(AND(C3683&lt;&gt;"No encontrado",F3683&lt;&gt;"Inactivo"),C3683&amp;" → "&amp;F3683,"Sin transición"))</f>
        <v/>
      </c>
      <c r="H3683" s="23" t="str">
        <f aca="false">IF(A3683="","",IF(D3683="GCIA LINEA SERVICIO DIGITALIDAD Y VENTAS","Chats",IF(OR(D3683="GERENCIA INBOUND LÍNEAS SERVICIO Y VENTA",D3683="GERENCIA INBOUND LINEAS ESPECIALIZADAS"),"Llamadas","Otro")))</f>
        <v/>
      </c>
      <c r="I3683" s="23" t="str">
        <f aca="false">IF(A3683="","",IF(C3683="No encontrado","No","Sí"))</f>
        <v/>
      </c>
      <c r="J3683" s="23" t="str">
        <f aca="false">IF(A3683="","",IF(F3683="Inactivo","No","Sí"))</f>
        <v/>
      </c>
      <c r="K3683" s="23" t="str">
        <f aca="false">IF(A3683="","",IF(AND(I3683="Sí",J3683="Sí"),"Sí","No"))</f>
        <v/>
      </c>
    </row>
    <row r="3684" customFormat="false" ht="15" hidden="false" customHeight="false" outlineLevel="0" collapsed="false">
      <c r="A3684" s="22"/>
      <c r="B3684" s="22"/>
      <c r="C3684" s="26" t="str">
        <f aca="false">IF(A3684="","",IFERROR(buscarx(A3684&amp;B3684,DATA!$E$3:$E$10000&amp;DATA!$B$3:$B$10000,DATA!$M$3:$M$10000),"No encontrado"))</f>
        <v/>
      </c>
      <c r="D3684" s="27" t="str">
        <f aca="false">IF(A3684="","",IFERROR(buscarx(A3684&amp;B3684,DATA!$E$3:$E$10000&amp;DATA!$B$3:$B$10000,DATA!$W$3:$W$10000),"No encontrado"))</f>
        <v/>
      </c>
      <c r="E3684" s="22"/>
      <c r="F3684" s="26" t="str">
        <f aca="false">IF(A3684="","",IFERROR(buscarx(A3684&amp;E3684,DATA!$E$3:$E$10000&amp;DATA!$B$3:$B$10000,DATA!$M$3:$M$10000),"Inactivo"))</f>
        <v/>
      </c>
      <c r="G3684" s="28" t="str">
        <f aca="false">IF(A3684="","",IF(AND(C3684&lt;&gt;"No encontrado",F3684&lt;&gt;"Inactivo"),C3684&amp;" → "&amp;F3684,"Sin transición"))</f>
        <v/>
      </c>
      <c r="H3684" s="26" t="str">
        <f aca="false">IF(A3684="","",IF(D3684="GCIA LINEA SERVICIO DIGITALIDAD Y VENTAS","Chats",IF(OR(D3684="GERENCIA INBOUND LÍNEAS SERVICIO Y VENTA",D3684="GERENCIA INBOUND LINEAS ESPECIALIZADAS"),"Llamadas","Otro")))</f>
        <v/>
      </c>
      <c r="I3684" s="26" t="str">
        <f aca="false">IF(A3684="","",IF(C3684="No encontrado","No","Sí"))</f>
        <v/>
      </c>
      <c r="J3684" s="26" t="str">
        <f aca="false">IF(A3684="","",IF(F3684="Inactivo","No","Sí"))</f>
        <v/>
      </c>
      <c r="K3684" s="26" t="str">
        <f aca="false">IF(A3684="","",IF(AND(I3684="Sí",J3684="Sí"),"Sí","No"))</f>
        <v/>
      </c>
    </row>
    <row r="3685" customFormat="false" ht="15" hidden="false" customHeight="false" outlineLevel="0" collapsed="false">
      <c r="A3685" s="22"/>
      <c r="B3685" s="22"/>
      <c r="C3685" s="23" t="str">
        <f aca="false">IF(A3685="","",IFERROR(buscarx(A3685&amp;B3685,DATA!$E$3:$E$10000&amp;DATA!$B$3:$B$10000,DATA!$M$3:$M$10000),"No encontrado"))</f>
        <v/>
      </c>
      <c r="D3685" s="24" t="str">
        <f aca="false">IF(A3685="","",IFERROR(buscarx(A3685&amp;B3685,DATA!$E$3:$E$10000&amp;DATA!$B$3:$B$10000,DATA!$W$3:$W$10000),"No encontrado"))</f>
        <v/>
      </c>
      <c r="E3685" s="22"/>
      <c r="F3685" s="23" t="str">
        <f aca="false">IF(A3685="","",IFERROR(buscarx(A3685&amp;E3685,DATA!$E$3:$E$10000&amp;DATA!$B$3:$B$10000,DATA!$M$3:$M$10000),"Inactivo"))</f>
        <v/>
      </c>
      <c r="G3685" s="25" t="str">
        <f aca="false">IF(A3685="","",IF(AND(C3685&lt;&gt;"No encontrado",F3685&lt;&gt;"Inactivo"),C3685&amp;" → "&amp;F3685,"Sin transición"))</f>
        <v/>
      </c>
      <c r="H3685" s="23" t="str">
        <f aca="false">IF(A3685="","",IF(D3685="GCIA LINEA SERVICIO DIGITALIDAD Y VENTAS","Chats",IF(OR(D3685="GERENCIA INBOUND LÍNEAS SERVICIO Y VENTA",D3685="GERENCIA INBOUND LINEAS ESPECIALIZADAS"),"Llamadas","Otro")))</f>
        <v/>
      </c>
      <c r="I3685" s="23" t="str">
        <f aca="false">IF(A3685="","",IF(C3685="No encontrado","No","Sí"))</f>
        <v/>
      </c>
      <c r="J3685" s="23" t="str">
        <f aca="false">IF(A3685="","",IF(F3685="Inactivo","No","Sí"))</f>
        <v/>
      </c>
      <c r="K3685" s="23" t="str">
        <f aca="false">IF(A3685="","",IF(AND(I3685="Sí",J3685="Sí"),"Sí","No"))</f>
        <v/>
      </c>
    </row>
    <row r="3686" customFormat="false" ht="15" hidden="false" customHeight="false" outlineLevel="0" collapsed="false">
      <c r="A3686" s="22"/>
      <c r="B3686" s="22"/>
      <c r="C3686" s="26" t="str">
        <f aca="false">IF(A3686="","",IFERROR(buscarx(A3686&amp;B3686,DATA!$E$3:$E$10000&amp;DATA!$B$3:$B$10000,DATA!$M$3:$M$10000),"No encontrado"))</f>
        <v/>
      </c>
      <c r="D3686" s="27" t="str">
        <f aca="false">IF(A3686="","",IFERROR(buscarx(A3686&amp;B3686,DATA!$E$3:$E$10000&amp;DATA!$B$3:$B$10000,DATA!$W$3:$W$10000),"No encontrado"))</f>
        <v/>
      </c>
      <c r="E3686" s="22"/>
      <c r="F3686" s="26" t="str">
        <f aca="false">IF(A3686="","",IFERROR(buscarx(A3686&amp;E3686,DATA!$E$3:$E$10000&amp;DATA!$B$3:$B$10000,DATA!$M$3:$M$10000),"Inactivo"))</f>
        <v/>
      </c>
      <c r="G3686" s="28" t="str">
        <f aca="false">IF(A3686="","",IF(AND(C3686&lt;&gt;"No encontrado",F3686&lt;&gt;"Inactivo"),C3686&amp;" → "&amp;F3686,"Sin transición"))</f>
        <v/>
      </c>
      <c r="H3686" s="26" t="str">
        <f aca="false">IF(A3686="","",IF(D3686="GCIA LINEA SERVICIO DIGITALIDAD Y VENTAS","Chats",IF(OR(D3686="GERENCIA INBOUND LÍNEAS SERVICIO Y VENTA",D3686="GERENCIA INBOUND LINEAS ESPECIALIZADAS"),"Llamadas","Otro")))</f>
        <v/>
      </c>
      <c r="I3686" s="26" t="str">
        <f aca="false">IF(A3686="","",IF(C3686="No encontrado","No","Sí"))</f>
        <v/>
      </c>
      <c r="J3686" s="26" t="str">
        <f aca="false">IF(A3686="","",IF(F3686="Inactivo","No","Sí"))</f>
        <v/>
      </c>
      <c r="K3686" s="26" t="str">
        <f aca="false">IF(A3686="","",IF(AND(I3686="Sí",J3686="Sí"),"Sí","No"))</f>
        <v/>
      </c>
    </row>
    <row r="3687" customFormat="false" ht="15" hidden="false" customHeight="false" outlineLevel="0" collapsed="false">
      <c r="A3687" s="22"/>
      <c r="B3687" s="22"/>
      <c r="C3687" s="23" t="str">
        <f aca="false">IF(A3687="","",IFERROR(buscarx(A3687&amp;B3687,DATA!$E$3:$E$10000&amp;DATA!$B$3:$B$10000,DATA!$M$3:$M$10000),"No encontrado"))</f>
        <v/>
      </c>
      <c r="D3687" s="24" t="str">
        <f aca="false">IF(A3687="","",IFERROR(buscarx(A3687&amp;B3687,DATA!$E$3:$E$10000&amp;DATA!$B$3:$B$10000,DATA!$W$3:$W$10000),"No encontrado"))</f>
        <v/>
      </c>
      <c r="E3687" s="22"/>
      <c r="F3687" s="23" t="str">
        <f aca="false">IF(A3687="","",IFERROR(buscarx(A3687&amp;E3687,DATA!$E$3:$E$10000&amp;DATA!$B$3:$B$10000,DATA!$M$3:$M$10000),"Inactivo"))</f>
        <v/>
      </c>
      <c r="G3687" s="25" t="str">
        <f aca="false">IF(A3687="","",IF(AND(C3687&lt;&gt;"No encontrado",F3687&lt;&gt;"Inactivo"),C3687&amp;" → "&amp;F3687,"Sin transición"))</f>
        <v/>
      </c>
      <c r="H3687" s="23" t="str">
        <f aca="false">IF(A3687="","",IF(D3687="GCIA LINEA SERVICIO DIGITALIDAD Y VENTAS","Chats",IF(OR(D3687="GERENCIA INBOUND LÍNEAS SERVICIO Y VENTA",D3687="GERENCIA INBOUND LINEAS ESPECIALIZADAS"),"Llamadas","Otro")))</f>
        <v/>
      </c>
      <c r="I3687" s="23" t="str">
        <f aca="false">IF(A3687="","",IF(C3687="No encontrado","No","Sí"))</f>
        <v/>
      </c>
      <c r="J3687" s="23" t="str">
        <f aca="false">IF(A3687="","",IF(F3687="Inactivo","No","Sí"))</f>
        <v/>
      </c>
      <c r="K3687" s="23" t="str">
        <f aca="false">IF(A3687="","",IF(AND(I3687="Sí",J3687="Sí"),"Sí","No"))</f>
        <v/>
      </c>
    </row>
    <row r="3688" customFormat="false" ht="15" hidden="false" customHeight="false" outlineLevel="0" collapsed="false">
      <c r="A3688" s="22"/>
      <c r="B3688" s="22"/>
      <c r="C3688" s="26" t="str">
        <f aca="false">IF(A3688="","",IFERROR(buscarx(A3688&amp;B3688,DATA!$E$3:$E$10000&amp;DATA!$B$3:$B$10000,DATA!$M$3:$M$10000),"No encontrado"))</f>
        <v/>
      </c>
      <c r="D3688" s="27" t="str">
        <f aca="false">IF(A3688="","",IFERROR(buscarx(A3688&amp;B3688,DATA!$E$3:$E$10000&amp;DATA!$B$3:$B$10000,DATA!$W$3:$W$10000),"No encontrado"))</f>
        <v/>
      </c>
      <c r="E3688" s="22"/>
      <c r="F3688" s="26" t="str">
        <f aca="false">IF(A3688="","",IFERROR(buscarx(A3688&amp;E3688,DATA!$E$3:$E$10000&amp;DATA!$B$3:$B$10000,DATA!$M$3:$M$10000),"Inactivo"))</f>
        <v/>
      </c>
      <c r="G3688" s="28" t="str">
        <f aca="false">IF(A3688="","",IF(AND(C3688&lt;&gt;"No encontrado",F3688&lt;&gt;"Inactivo"),C3688&amp;" → "&amp;F3688,"Sin transición"))</f>
        <v/>
      </c>
      <c r="H3688" s="26" t="str">
        <f aca="false">IF(A3688="","",IF(D3688="GCIA LINEA SERVICIO DIGITALIDAD Y VENTAS","Chats",IF(OR(D3688="GERENCIA INBOUND LÍNEAS SERVICIO Y VENTA",D3688="GERENCIA INBOUND LINEAS ESPECIALIZADAS"),"Llamadas","Otro")))</f>
        <v/>
      </c>
      <c r="I3688" s="26" t="str">
        <f aca="false">IF(A3688="","",IF(C3688="No encontrado","No","Sí"))</f>
        <v/>
      </c>
      <c r="J3688" s="26" t="str">
        <f aca="false">IF(A3688="","",IF(F3688="Inactivo","No","Sí"))</f>
        <v/>
      </c>
      <c r="K3688" s="26" t="str">
        <f aca="false">IF(A3688="","",IF(AND(I3688="Sí",J3688="Sí"),"Sí","No"))</f>
        <v/>
      </c>
    </row>
    <row r="3689" customFormat="false" ht="15" hidden="false" customHeight="false" outlineLevel="0" collapsed="false">
      <c r="A3689" s="22"/>
      <c r="B3689" s="22"/>
      <c r="C3689" s="23" t="str">
        <f aca="false">IF(A3689="","",IFERROR(buscarx(A3689&amp;B3689,DATA!$E$3:$E$10000&amp;DATA!$B$3:$B$10000,DATA!$M$3:$M$10000),"No encontrado"))</f>
        <v/>
      </c>
      <c r="D3689" s="24" t="str">
        <f aca="false">IF(A3689="","",IFERROR(buscarx(A3689&amp;B3689,DATA!$E$3:$E$10000&amp;DATA!$B$3:$B$10000,DATA!$W$3:$W$10000),"No encontrado"))</f>
        <v/>
      </c>
      <c r="E3689" s="22"/>
      <c r="F3689" s="23" t="str">
        <f aca="false">IF(A3689="","",IFERROR(buscarx(A3689&amp;E3689,DATA!$E$3:$E$10000&amp;DATA!$B$3:$B$10000,DATA!$M$3:$M$10000),"Inactivo"))</f>
        <v/>
      </c>
      <c r="G3689" s="25" t="str">
        <f aca="false">IF(A3689="","",IF(AND(C3689&lt;&gt;"No encontrado",F3689&lt;&gt;"Inactivo"),C3689&amp;" → "&amp;F3689,"Sin transición"))</f>
        <v/>
      </c>
      <c r="H3689" s="23" t="str">
        <f aca="false">IF(A3689="","",IF(D3689="GCIA LINEA SERVICIO DIGITALIDAD Y VENTAS","Chats",IF(OR(D3689="GERENCIA INBOUND LÍNEAS SERVICIO Y VENTA",D3689="GERENCIA INBOUND LINEAS ESPECIALIZADAS"),"Llamadas","Otro")))</f>
        <v/>
      </c>
      <c r="I3689" s="23" t="str">
        <f aca="false">IF(A3689="","",IF(C3689="No encontrado","No","Sí"))</f>
        <v/>
      </c>
      <c r="J3689" s="23" t="str">
        <f aca="false">IF(A3689="","",IF(F3689="Inactivo","No","Sí"))</f>
        <v/>
      </c>
      <c r="K3689" s="23" t="str">
        <f aca="false">IF(A3689="","",IF(AND(I3689="Sí",J3689="Sí"),"Sí","No"))</f>
        <v/>
      </c>
    </row>
    <row r="3690" customFormat="false" ht="15" hidden="false" customHeight="false" outlineLevel="0" collapsed="false">
      <c r="A3690" s="22"/>
      <c r="B3690" s="22"/>
      <c r="C3690" s="26" t="str">
        <f aca="false">IF(A3690="","",IFERROR(buscarx(A3690&amp;B3690,DATA!$E$3:$E$10000&amp;DATA!$B$3:$B$10000,DATA!$M$3:$M$10000),"No encontrado"))</f>
        <v/>
      </c>
      <c r="D3690" s="27" t="str">
        <f aca="false">IF(A3690="","",IFERROR(buscarx(A3690&amp;B3690,DATA!$E$3:$E$10000&amp;DATA!$B$3:$B$10000,DATA!$W$3:$W$10000),"No encontrado"))</f>
        <v/>
      </c>
      <c r="E3690" s="22"/>
      <c r="F3690" s="26" t="str">
        <f aca="false">IF(A3690="","",IFERROR(buscarx(A3690&amp;E3690,DATA!$E$3:$E$10000&amp;DATA!$B$3:$B$10000,DATA!$M$3:$M$10000),"Inactivo"))</f>
        <v/>
      </c>
      <c r="G3690" s="28" t="str">
        <f aca="false">IF(A3690="","",IF(AND(C3690&lt;&gt;"No encontrado",F3690&lt;&gt;"Inactivo"),C3690&amp;" → "&amp;F3690,"Sin transición"))</f>
        <v/>
      </c>
      <c r="H3690" s="26" t="str">
        <f aca="false">IF(A3690="","",IF(D3690="GCIA LINEA SERVICIO DIGITALIDAD Y VENTAS","Chats",IF(OR(D3690="GERENCIA INBOUND LÍNEAS SERVICIO Y VENTA",D3690="GERENCIA INBOUND LINEAS ESPECIALIZADAS"),"Llamadas","Otro")))</f>
        <v/>
      </c>
      <c r="I3690" s="26" t="str">
        <f aca="false">IF(A3690="","",IF(C3690="No encontrado","No","Sí"))</f>
        <v/>
      </c>
      <c r="J3690" s="26" t="str">
        <f aca="false">IF(A3690="","",IF(F3690="Inactivo","No","Sí"))</f>
        <v/>
      </c>
      <c r="K3690" s="26" t="str">
        <f aca="false">IF(A3690="","",IF(AND(I3690="Sí",J3690="Sí"),"Sí","No"))</f>
        <v/>
      </c>
    </row>
    <row r="3691" customFormat="false" ht="15" hidden="false" customHeight="false" outlineLevel="0" collapsed="false">
      <c r="A3691" s="22"/>
      <c r="B3691" s="22"/>
      <c r="C3691" s="23" t="str">
        <f aca="false">IF(A3691="","",IFERROR(buscarx(A3691&amp;B3691,DATA!$E$3:$E$10000&amp;DATA!$B$3:$B$10000,DATA!$M$3:$M$10000),"No encontrado"))</f>
        <v/>
      </c>
      <c r="D3691" s="24" t="str">
        <f aca="false">IF(A3691="","",IFERROR(buscarx(A3691&amp;B3691,DATA!$E$3:$E$10000&amp;DATA!$B$3:$B$10000,DATA!$W$3:$W$10000),"No encontrado"))</f>
        <v/>
      </c>
      <c r="E3691" s="22"/>
      <c r="F3691" s="23" t="str">
        <f aca="false">IF(A3691="","",IFERROR(buscarx(A3691&amp;E3691,DATA!$E$3:$E$10000&amp;DATA!$B$3:$B$10000,DATA!$M$3:$M$10000),"Inactivo"))</f>
        <v/>
      </c>
      <c r="G3691" s="25" t="str">
        <f aca="false">IF(A3691="","",IF(AND(C3691&lt;&gt;"No encontrado",F3691&lt;&gt;"Inactivo"),C3691&amp;" → "&amp;F3691,"Sin transición"))</f>
        <v/>
      </c>
      <c r="H3691" s="23" t="str">
        <f aca="false">IF(A3691="","",IF(D3691="GCIA LINEA SERVICIO DIGITALIDAD Y VENTAS","Chats",IF(OR(D3691="GERENCIA INBOUND LÍNEAS SERVICIO Y VENTA",D3691="GERENCIA INBOUND LINEAS ESPECIALIZADAS"),"Llamadas","Otro")))</f>
        <v/>
      </c>
      <c r="I3691" s="23" t="str">
        <f aca="false">IF(A3691="","",IF(C3691="No encontrado","No","Sí"))</f>
        <v/>
      </c>
      <c r="J3691" s="23" t="str">
        <f aca="false">IF(A3691="","",IF(F3691="Inactivo","No","Sí"))</f>
        <v/>
      </c>
      <c r="K3691" s="23" t="str">
        <f aca="false">IF(A3691="","",IF(AND(I3691="Sí",J3691="Sí"),"Sí","No"))</f>
        <v/>
      </c>
    </row>
    <row r="3692" customFormat="false" ht="15" hidden="false" customHeight="false" outlineLevel="0" collapsed="false">
      <c r="A3692" s="22"/>
      <c r="B3692" s="22"/>
      <c r="C3692" s="26" t="str">
        <f aca="false">IF(A3692="","",IFERROR(buscarx(A3692&amp;B3692,DATA!$E$3:$E$10000&amp;DATA!$B$3:$B$10000,DATA!$M$3:$M$10000),"No encontrado"))</f>
        <v/>
      </c>
      <c r="D3692" s="27" t="str">
        <f aca="false">IF(A3692="","",IFERROR(buscarx(A3692&amp;B3692,DATA!$E$3:$E$10000&amp;DATA!$B$3:$B$10000,DATA!$W$3:$W$10000),"No encontrado"))</f>
        <v/>
      </c>
      <c r="E3692" s="22"/>
      <c r="F3692" s="26" t="str">
        <f aca="false">IF(A3692="","",IFERROR(buscarx(A3692&amp;E3692,DATA!$E$3:$E$10000&amp;DATA!$B$3:$B$10000,DATA!$M$3:$M$10000),"Inactivo"))</f>
        <v/>
      </c>
      <c r="G3692" s="28" t="str">
        <f aca="false">IF(A3692="","",IF(AND(C3692&lt;&gt;"No encontrado",F3692&lt;&gt;"Inactivo"),C3692&amp;" → "&amp;F3692,"Sin transición"))</f>
        <v/>
      </c>
      <c r="H3692" s="26" t="str">
        <f aca="false">IF(A3692="","",IF(D3692="GCIA LINEA SERVICIO DIGITALIDAD Y VENTAS","Chats",IF(OR(D3692="GERENCIA INBOUND LÍNEAS SERVICIO Y VENTA",D3692="GERENCIA INBOUND LINEAS ESPECIALIZADAS"),"Llamadas","Otro")))</f>
        <v/>
      </c>
      <c r="I3692" s="26" t="str">
        <f aca="false">IF(A3692="","",IF(C3692="No encontrado","No","Sí"))</f>
        <v/>
      </c>
      <c r="J3692" s="26" t="str">
        <f aca="false">IF(A3692="","",IF(F3692="Inactivo","No","Sí"))</f>
        <v/>
      </c>
      <c r="K3692" s="26" t="str">
        <f aca="false">IF(A3692="","",IF(AND(I3692="Sí",J3692="Sí"),"Sí","No"))</f>
        <v/>
      </c>
    </row>
    <row r="3693" customFormat="false" ht="15" hidden="false" customHeight="false" outlineLevel="0" collapsed="false">
      <c r="A3693" s="22"/>
      <c r="B3693" s="22"/>
      <c r="C3693" s="23" t="str">
        <f aca="false">IF(A3693="","",IFERROR(buscarx(A3693&amp;B3693,DATA!$E$3:$E$10000&amp;DATA!$B$3:$B$10000,DATA!$M$3:$M$10000),"No encontrado"))</f>
        <v/>
      </c>
      <c r="D3693" s="24" t="str">
        <f aca="false">IF(A3693="","",IFERROR(buscarx(A3693&amp;B3693,DATA!$E$3:$E$10000&amp;DATA!$B$3:$B$10000,DATA!$W$3:$W$10000),"No encontrado"))</f>
        <v/>
      </c>
      <c r="E3693" s="22"/>
      <c r="F3693" s="23" t="str">
        <f aca="false">IF(A3693="","",IFERROR(buscarx(A3693&amp;E3693,DATA!$E$3:$E$10000&amp;DATA!$B$3:$B$10000,DATA!$M$3:$M$10000),"Inactivo"))</f>
        <v/>
      </c>
      <c r="G3693" s="25" t="str">
        <f aca="false">IF(A3693="","",IF(AND(C3693&lt;&gt;"No encontrado",F3693&lt;&gt;"Inactivo"),C3693&amp;" → "&amp;F3693,"Sin transición"))</f>
        <v/>
      </c>
      <c r="H3693" s="23" t="str">
        <f aca="false">IF(A3693="","",IF(D3693="GCIA LINEA SERVICIO DIGITALIDAD Y VENTAS","Chats",IF(OR(D3693="GERENCIA INBOUND LÍNEAS SERVICIO Y VENTA",D3693="GERENCIA INBOUND LINEAS ESPECIALIZADAS"),"Llamadas","Otro")))</f>
        <v/>
      </c>
      <c r="I3693" s="23" t="str">
        <f aca="false">IF(A3693="","",IF(C3693="No encontrado","No","Sí"))</f>
        <v/>
      </c>
      <c r="J3693" s="23" t="str">
        <f aca="false">IF(A3693="","",IF(F3693="Inactivo","No","Sí"))</f>
        <v/>
      </c>
      <c r="K3693" s="23" t="str">
        <f aca="false">IF(A3693="","",IF(AND(I3693="Sí",J3693="Sí"),"Sí","No"))</f>
        <v/>
      </c>
    </row>
    <row r="3694" customFormat="false" ht="15" hidden="false" customHeight="false" outlineLevel="0" collapsed="false">
      <c r="A3694" s="22"/>
      <c r="B3694" s="22"/>
      <c r="C3694" s="26" t="str">
        <f aca="false">IF(A3694="","",IFERROR(buscarx(A3694&amp;B3694,DATA!$E$3:$E$10000&amp;DATA!$B$3:$B$10000,DATA!$M$3:$M$10000),"No encontrado"))</f>
        <v/>
      </c>
      <c r="D3694" s="27" t="str">
        <f aca="false">IF(A3694="","",IFERROR(buscarx(A3694&amp;B3694,DATA!$E$3:$E$10000&amp;DATA!$B$3:$B$10000,DATA!$W$3:$W$10000),"No encontrado"))</f>
        <v/>
      </c>
      <c r="E3694" s="22"/>
      <c r="F3694" s="26" t="str">
        <f aca="false">IF(A3694="","",IFERROR(buscarx(A3694&amp;E3694,DATA!$E$3:$E$10000&amp;DATA!$B$3:$B$10000,DATA!$M$3:$M$10000),"Inactivo"))</f>
        <v/>
      </c>
      <c r="G3694" s="28" t="str">
        <f aca="false">IF(A3694="","",IF(AND(C3694&lt;&gt;"No encontrado",F3694&lt;&gt;"Inactivo"),C3694&amp;" → "&amp;F3694,"Sin transición"))</f>
        <v/>
      </c>
      <c r="H3694" s="26" t="str">
        <f aca="false">IF(A3694="","",IF(D3694="GCIA LINEA SERVICIO DIGITALIDAD Y VENTAS","Chats",IF(OR(D3694="GERENCIA INBOUND LÍNEAS SERVICIO Y VENTA",D3694="GERENCIA INBOUND LINEAS ESPECIALIZADAS"),"Llamadas","Otro")))</f>
        <v/>
      </c>
      <c r="I3694" s="26" t="str">
        <f aca="false">IF(A3694="","",IF(C3694="No encontrado","No","Sí"))</f>
        <v/>
      </c>
      <c r="J3694" s="26" t="str">
        <f aca="false">IF(A3694="","",IF(F3694="Inactivo","No","Sí"))</f>
        <v/>
      </c>
      <c r="K3694" s="26" t="str">
        <f aca="false">IF(A3694="","",IF(AND(I3694="Sí",J3694="Sí"),"Sí","No"))</f>
        <v/>
      </c>
    </row>
    <row r="3695" customFormat="false" ht="15" hidden="false" customHeight="false" outlineLevel="0" collapsed="false">
      <c r="A3695" s="22"/>
      <c r="B3695" s="22"/>
      <c r="C3695" s="23" t="str">
        <f aca="false">IF(A3695="","",IFERROR(buscarx(A3695&amp;B3695,DATA!$E$3:$E$10000&amp;DATA!$B$3:$B$10000,DATA!$M$3:$M$10000),"No encontrado"))</f>
        <v/>
      </c>
      <c r="D3695" s="24" t="str">
        <f aca="false">IF(A3695="","",IFERROR(buscarx(A3695&amp;B3695,DATA!$E$3:$E$10000&amp;DATA!$B$3:$B$10000,DATA!$W$3:$W$10000),"No encontrado"))</f>
        <v/>
      </c>
      <c r="E3695" s="22"/>
      <c r="F3695" s="23" t="str">
        <f aca="false">IF(A3695="","",IFERROR(buscarx(A3695&amp;E3695,DATA!$E$3:$E$10000&amp;DATA!$B$3:$B$10000,DATA!$M$3:$M$10000),"Inactivo"))</f>
        <v/>
      </c>
      <c r="G3695" s="25" t="str">
        <f aca="false">IF(A3695="","",IF(AND(C3695&lt;&gt;"No encontrado",F3695&lt;&gt;"Inactivo"),C3695&amp;" → "&amp;F3695,"Sin transición"))</f>
        <v/>
      </c>
      <c r="H3695" s="23" t="str">
        <f aca="false">IF(A3695="","",IF(D3695="GCIA LINEA SERVICIO DIGITALIDAD Y VENTAS","Chats",IF(OR(D3695="GERENCIA INBOUND LÍNEAS SERVICIO Y VENTA",D3695="GERENCIA INBOUND LINEAS ESPECIALIZADAS"),"Llamadas","Otro")))</f>
        <v/>
      </c>
      <c r="I3695" s="23" t="str">
        <f aca="false">IF(A3695="","",IF(C3695="No encontrado","No","Sí"))</f>
        <v/>
      </c>
      <c r="J3695" s="23" t="str">
        <f aca="false">IF(A3695="","",IF(F3695="Inactivo","No","Sí"))</f>
        <v/>
      </c>
      <c r="K3695" s="23" t="str">
        <f aca="false">IF(A3695="","",IF(AND(I3695="Sí",J3695="Sí"),"Sí","No"))</f>
        <v/>
      </c>
    </row>
    <row r="3696" customFormat="false" ht="15" hidden="false" customHeight="false" outlineLevel="0" collapsed="false">
      <c r="A3696" s="22"/>
      <c r="B3696" s="22"/>
      <c r="C3696" s="26" t="str">
        <f aca="false">IF(A3696="","",IFERROR(buscarx(A3696&amp;B3696,DATA!$E$3:$E$10000&amp;DATA!$B$3:$B$10000,DATA!$M$3:$M$10000),"No encontrado"))</f>
        <v/>
      </c>
      <c r="D3696" s="27" t="str">
        <f aca="false">IF(A3696="","",IFERROR(buscarx(A3696&amp;B3696,DATA!$E$3:$E$10000&amp;DATA!$B$3:$B$10000,DATA!$W$3:$W$10000),"No encontrado"))</f>
        <v/>
      </c>
      <c r="E3696" s="22"/>
      <c r="F3696" s="26" t="str">
        <f aca="false">IF(A3696="","",IFERROR(buscarx(A3696&amp;E3696,DATA!$E$3:$E$10000&amp;DATA!$B$3:$B$10000,DATA!$M$3:$M$10000),"Inactivo"))</f>
        <v/>
      </c>
      <c r="G3696" s="28" t="str">
        <f aca="false">IF(A3696="","",IF(AND(C3696&lt;&gt;"No encontrado",F3696&lt;&gt;"Inactivo"),C3696&amp;" → "&amp;F3696,"Sin transición"))</f>
        <v/>
      </c>
      <c r="H3696" s="26" t="str">
        <f aca="false">IF(A3696="","",IF(D3696="GCIA LINEA SERVICIO DIGITALIDAD Y VENTAS","Chats",IF(OR(D3696="GERENCIA INBOUND LÍNEAS SERVICIO Y VENTA",D3696="GERENCIA INBOUND LINEAS ESPECIALIZADAS"),"Llamadas","Otro")))</f>
        <v/>
      </c>
      <c r="I3696" s="26" t="str">
        <f aca="false">IF(A3696="","",IF(C3696="No encontrado","No","Sí"))</f>
        <v/>
      </c>
      <c r="J3696" s="26" t="str">
        <f aca="false">IF(A3696="","",IF(F3696="Inactivo","No","Sí"))</f>
        <v/>
      </c>
      <c r="K3696" s="26" t="str">
        <f aca="false">IF(A3696="","",IF(AND(I3696="Sí",J3696="Sí"),"Sí","No"))</f>
        <v/>
      </c>
    </row>
    <row r="3697" customFormat="false" ht="15" hidden="false" customHeight="false" outlineLevel="0" collapsed="false">
      <c r="A3697" s="22"/>
      <c r="B3697" s="22"/>
      <c r="C3697" s="23" t="str">
        <f aca="false">IF(A3697="","",IFERROR(buscarx(A3697&amp;B3697,DATA!$E$3:$E$10000&amp;DATA!$B$3:$B$10000,DATA!$M$3:$M$10000),"No encontrado"))</f>
        <v/>
      </c>
      <c r="D3697" s="24" t="str">
        <f aca="false">IF(A3697="","",IFERROR(buscarx(A3697&amp;B3697,DATA!$E$3:$E$10000&amp;DATA!$B$3:$B$10000,DATA!$W$3:$W$10000),"No encontrado"))</f>
        <v/>
      </c>
      <c r="E3697" s="22"/>
      <c r="F3697" s="23" t="str">
        <f aca="false">IF(A3697="","",IFERROR(buscarx(A3697&amp;E3697,DATA!$E$3:$E$10000&amp;DATA!$B$3:$B$10000,DATA!$M$3:$M$10000),"Inactivo"))</f>
        <v/>
      </c>
      <c r="G3697" s="25" t="str">
        <f aca="false">IF(A3697="","",IF(AND(C3697&lt;&gt;"No encontrado",F3697&lt;&gt;"Inactivo"),C3697&amp;" → "&amp;F3697,"Sin transición"))</f>
        <v/>
      </c>
      <c r="H3697" s="23" t="str">
        <f aca="false">IF(A3697="","",IF(D3697="GCIA LINEA SERVICIO DIGITALIDAD Y VENTAS","Chats",IF(OR(D3697="GERENCIA INBOUND LÍNEAS SERVICIO Y VENTA",D3697="GERENCIA INBOUND LINEAS ESPECIALIZADAS"),"Llamadas","Otro")))</f>
        <v/>
      </c>
      <c r="I3697" s="23" t="str">
        <f aca="false">IF(A3697="","",IF(C3697="No encontrado","No","Sí"))</f>
        <v/>
      </c>
      <c r="J3697" s="23" t="str">
        <f aca="false">IF(A3697="","",IF(F3697="Inactivo","No","Sí"))</f>
        <v/>
      </c>
      <c r="K3697" s="23" t="str">
        <f aca="false">IF(A3697="","",IF(AND(I3697="Sí",J3697="Sí"),"Sí","No"))</f>
        <v/>
      </c>
    </row>
    <row r="3698" customFormat="false" ht="15" hidden="false" customHeight="false" outlineLevel="0" collapsed="false">
      <c r="A3698" s="22"/>
      <c r="B3698" s="22"/>
      <c r="C3698" s="26" t="str">
        <f aca="false">IF(A3698="","",IFERROR(buscarx(A3698&amp;B3698,DATA!$E$3:$E$10000&amp;DATA!$B$3:$B$10000,DATA!$M$3:$M$10000),"No encontrado"))</f>
        <v/>
      </c>
      <c r="D3698" s="27" t="str">
        <f aca="false">IF(A3698="","",IFERROR(buscarx(A3698&amp;B3698,DATA!$E$3:$E$10000&amp;DATA!$B$3:$B$10000,DATA!$W$3:$W$10000),"No encontrado"))</f>
        <v/>
      </c>
      <c r="E3698" s="22"/>
      <c r="F3698" s="26" t="str">
        <f aca="false">IF(A3698="","",IFERROR(buscarx(A3698&amp;E3698,DATA!$E$3:$E$10000&amp;DATA!$B$3:$B$10000,DATA!$M$3:$M$10000),"Inactivo"))</f>
        <v/>
      </c>
      <c r="G3698" s="28" t="str">
        <f aca="false">IF(A3698="","",IF(AND(C3698&lt;&gt;"No encontrado",F3698&lt;&gt;"Inactivo"),C3698&amp;" → "&amp;F3698,"Sin transición"))</f>
        <v/>
      </c>
      <c r="H3698" s="26" t="str">
        <f aca="false">IF(A3698="","",IF(D3698="GCIA LINEA SERVICIO DIGITALIDAD Y VENTAS","Chats",IF(OR(D3698="GERENCIA INBOUND LÍNEAS SERVICIO Y VENTA",D3698="GERENCIA INBOUND LINEAS ESPECIALIZADAS"),"Llamadas","Otro")))</f>
        <v/>
      </c>
      <c r="I3698" s="26" t="str">
        <f aca="false">IF(A3698="","",IF(C3698="No encontrado","No","Sí"))</f>
        <v/>
      </c>
      <c r="J3698" s="26" t="str">
        <f aca="false">IF(A3698="","",IF(F3698="Inactivo","No","Sí"))</f>
        <v/>
      </c>
      <c r="K3698" s="26" t="str">
        <f aca="false">IF(A3698="","",IF(AND(I3698="Sí",J3698="Sí"),"Sí","No"))</f>
        <v/>
      </c>
    </row>
    <row r="3699" customFormat="false" ht="15" hidden="false" customHeight="false" outlineLevel="0" collapsed="false">
      <c r="A3699" s="22"/>
      <c r="B3699" s="22"/>
      <c r="C3699" s="23" t="str">
        <f aca="false">IF(A3699="","",IFERROR(buscarx(A3699&amp;B3699,DATA!$E$3:$E$10000&amp;DATA!$B$3:$B$10000,DATA!$M$3:$M$10000),"No encontrado"))</f>
        <v/>
      </c>
      <c r="D3699" s="24" t="str">
        <f aca="false">IF(A3699="","",IFERROR(buscarx(A3699&amp;B3699,DATA!$E$3:$E$10000&amp;DATA!$B$3:$B$10000,DATA!$W$3:$W$10000),"No encontrado"))</f>
        <v/>
      </c>
      <c r="E3699" s="22"/>
      <c r="F3699" s="23" t="str">
        <f aca="false">IF(A3699="","",IFERROR(buscarx(A3699&amp;E3699,DATA!$E$3:$E$10000&amp;DATA!$B$3:$B$10000,DATA!$M$3:$M$10000),"Inactivo"))</f>
        <v/>
      </c>
      <c r="G3699" s="25" t="str">
        <f aca="false">IF(A3699="","",IF(AND(C3699&lt;&gt;"No encontrado",F3699&lt;&gt;"Inactivo"),C3699&amp;" → "&amp;F3699,"Sin transición"))</f>
        <v/>
      </c>
      <c r="H3699" s="23" t="str">
        <f aca="false">IF(A3699="","",IF(D3699="GCIA LINEA SERVICIO DIGITALIDAD Y VENTAS","Chats",IF(OR(D3699="GERENCIA INBOUND LÍNEAS SERVICIO Y VENTA",D3699="GERENCIA INBOUND LINEAS ESPECIALIZADAS"),"Llamadas","Otro")))</f>
        <v/>
      </c>
      <c r="I3699" s="23" t="str">
        <f aca="false">IF(A3699="","",IF(C3699="No encontrado","No","Sí"))</f>
        <v/>
      </c>
      <c r="J3699" s="23" t="str">
        <f aca="false">IF(A3699="","",IF(F3699="Inactivo","No","Sí"))</f>
        <v/>
      </c>
      <c r="K3699" s="23" t="str">
        <f aca="false">IF(A3699="","",IF(AND(I3699="Sí",J3699="Sí"),"Sí","No"))</f>
        <v/>
      </c>
    </row>
    <row r="3700" customFormat="false" ht="15" hidden="false" customHeight="false" outlineLevel="0" collapsed="false">
      <c r="A3700" s="22"/>
      <c r="B3700" s="22"/>
      <c r="C3700" s="26" t="str">
        <f aca="false">IF(A3700="","",IFERROR(buscarx(A3700&amp;B3700,DATA!$E$3:$E$10000&amp;DATA!$B$3:$B$10000,DATA!$M$3:$M$10000),"No encontrado"))</f>
        <v/>
      </c>
      <c r="D3700" s="27" t="str">
        <f aca="false">IF(A3700="","",IFERROR(buscarx(A3700&amp;B3700,DATA!$E$3:$E$10000&amp;DATA!$B$3:$B$10000,DATA!$W$3:$W$10000),"No encontrado"))</f>
        <v/>
      </c>
      <c r="E3700" s="22"/>
      <c r="F3700" s="26" t="str">
        <f aca="false">IF(A3700="","",IFERROR(buscarx(A3700&amp;E3700,DATA!$E$3:$E$10000&amp;DATA!$B$3:$B$10000,DATA!$M$3:$M$10000),"Inactivo"))</f>
        <v/>
      </c>
      <c r="G3700" s="28" t="str">
        <f aca="false">IF(A3700="","",IF(AND(C3700&lt;&gt;"No encontrado",F3700&lt;&gt;"Inactivo"),C3700&amp;" → "&amp;F3700,"Sin transición"))</f>
        <v/>
      </c>
      <c r="H3700" s="26" t="str">
        <f aca="false">IF(A3700="","",IF(D3700="GCIA LINEA SERVICIO DIGITALIDAD Y VENTAS","Chats",IF(OR(D3700="GERENCIA INBOUND LÍNEAS SERVICIO Y VENTA",D3700="GERENCIA INBOUND LINEAS ESPECIALIZADAS"),"Llamadas","Otro")))</f>
        <v/>
      </c>
      <c r="I3700" s="26" t="str">
        <f aca="false">IF(A3700="","",IF(C3700="No encontrado","No","Sí"))</f>
        <v/>
      </c>
      <c r="J3700" s="26" t="str">
        <f aca="false">IF(A3700="","",IF(F3700="Inactivo","No","Sí"))</f>
        <v/>
      </c>
      <c r="K3700" s="26" t="str">
        <f aca="false">IF(A3700="","",IF(AND(I3700="Sí",J3700="Sí"),"Sí","No"))</f>
        <v/>
      </c>
    </row>
    <row r="3701" customFormat="false" ht="15" hidden="false" customHeight="false" outlineLevel="0" collapsed="false">
      <c r="A3701" s="22"/>
      <c r="B3701" s="22"/>
      <c r="C3701" s="23" t="str">
        <f aca="false">IF(A3701="","",IFERROR(buscarx(A3701&amp;B3701,DATA!$E$3:$E$10000&amp;DATA!$B$3:$B$10000,DATA!$M$3:$M$10000),"No encontrado"))</f>
        <v/>
      </c>
      <c r="D3701" s="24" t="str">
        <f aca="false">IF(A3701="","",IFERROR(buscarx(A3701&amp;B3701,DATA!$E$3:$E$10000&amp;DATA!$B$3:$B$10000,DATA!$W$3:$W$10000),"No encontrado"))</f>
        <v/>
      </c>
      <c r="E3701" s="22"/>
      <c r="F3701" s="23" t="str">
        <f aca="false">IF(A3701="","",IFERROR(buscarx(A3701&amp;E3701,DATA!$E$3:$E$10000&amp;DATA!$B$3:$B$10000,DATA!$M$3:$M$10000),"Inactivo"))</f>
        <v/>
      </c>
      <c r="G3701" s="25" t="str">
        <f aca="false">IF(A3701="","",IF(AND(C3701&lt;&gt;"No encontrado",F3701&lt;&gt;"Inactivo"),C3701&amp;" → "&amp;F3701,"Sin transición"))</f>
        <v/>
      </c>
      <c r="H3701" s="23" t="str">
        <f aca="false">IF(A3701="","",IF(D3701="GCIA LINEA SERVICIO DIGITALIDAD Y VENTAS","Chats",IF(OR(D3701="GERENCIA INBOUND LÍNEAS SERVICIO Y VENTA",D3701="GERENCIA INBOUND LINEAS ESPECIALIZADAS"),"Llamadas","Otro")))</f>
        <v/>
      </c>
      <c r="I3701" s="23" t="str">
        <f aca="false">IF(A3701="","",IF(C3701="No encontrado","No","Sí"))</f>
        <v/>
      </c>
      <c r="J3701" s="23" t="str">
        <f aca="false">IF(A3701="","",IF(F3701="Inactivo","No","Sí"))</f>
        <v/>
      </c>
      <c r="K3701" s="23" t="str">
        <f aca="false">IF(A3701="","",IF(AND(I3701="Sí",J3701="Sí"),"Sí","No"))</f>
        <v/>
      </c>
    </row>
    <row r="3702" customFormat="false" ht="15" hidden="false" customHeight="false" outlineLevel="0" collapsed="false">
      <c r="A3702" s="22"/>
      <c r="B3702" s="22"/>
      <c r="C3702" s="26" t="str">
        <f aca="false">IF(A3702="","",IFERROR(buscarx(A3702&amp;B3702,DATA!$E$3:$E$10000&amp;DATA!$B$3:$B$10000,DATA!$M$3:$M$10000),"No encontrado"))</f>
        <v/>
      </c>
      <c r="D3702" s="27" t="str">
        <f aca="false">IF(A3702="","",IFERROR(buscarx(A3702&amp;B3702,DATA!$E$3:$E$10000&amp;DATA!$B$3:$B$10000,DATA!$W$3:$W$10000),"No encontrado"))</f>
        <v/>
      </c>
      <c r="E3702" s="22"/>
      <c r="F3702" s="26" t="str">
        <f aca="false">IF(A3702="","",IFERROR(buscarx(A3702&amp;E3702,DATA!$E$3:$E$10000&amp;DATA!$B$3:$B$10000,DATA!$M$3:$M$10000),"Inactivo"))</f>
        <v/>
      </c>
      <c r="G3702" s="28" t="str">
        <f aca="false">IF(A3702="","",IF(AND(C3702&lt;&gt;"No encontrado",F3702&lt;&gt;"Inactivo"),C3702&amp;" → "&amp;F3702,"Sin transición"))</f>
        <v/>
      </c>
      <c r="H3702" s="26" t="str">
        <f aca="false">IF(A3702="","",IF(D3702="GCIA LINEA SERVICIO DIGITALIDAD Y VENTAS","Chats",IF(OR(D3702="GERENCIA INBOUND LÍNEAS SERVICIO Y VENTA",D3702="GERENCIA INBOUND LINEAS ESPECIALIZADAS"),"Llamadas","Otro")))</f>
        <v/>
      </c>
      <c r="I3702" s="26" t="str">
        <f aca="false">IF(A3702="","",IF(C3702="No encontrado","No","Sí"))</f>
        <v/>
      </c>
      <c r="J3702" s="26" t="str">
        <f aca="false">IF(A3702="","",IF(F3702="Inactivo","No","Sí"))</f>
        <v/>
      </c>
      <c r="K3702" s="26" t="str">
        <f aca="false">IF(A3702="","",IF(AND(I3702="Sí",J3702="Sí"),"Sí","No"))</f>
        <v/>
      </c>
    </row>
    <row r="3703" customFormat="false" ht="15" hidden="false" customHeight="false" outlineLevel="0" collapsed="false">
      <c r="A3703" s="22"/>
      <c r="B3703" s="22"/>
      <c r="C3703" s="23" t="str">
        <f aca="false">IF(A3703="","",IFERROR(buscarx(A3703&amp;B3703,DATA!$E$3:$E$10000&amp;DATA!$B$3:$B$10000,DATA!$M$3:$M$10000),"No encontrado"))</f>
        <v/>
      </c>
      <c r="D3703" s="24" t="str">
        <f aca="false">IF(A3703="","",IFERROR(buscarx(A3703&amp;B3703,DATA!$E$3:$E$10000&amp;DATA!$B$3:$B$10000,DATA!$W$3:$W$10000),"No encontrado"))</f>
        <v/>
      </c>
      <c r="E3703" s="22"/>
      <c r="F3703" s="23" t="str">
        <f aca="false">IF(A3703="","",IFERROR(buscarx(A3703&amp;E3703,DATA!$E$3:$E$10000&amp;DATA!$B$3:$B$10000,DATA!$M$3:$M$10000),"Inactivo"))</f>
        <v/>
      </c>
      <c r="G3703" s="25" t="str">
        <f aca="false">IF(A3703="","",IF(AND(C3703&lt;&gt;"No encontrado",F3703&lt;&gt;"Inactivo"),C3703&amp;" → "&amp;F3703,"Sin transición"))</f>
        <v/>
      </c>
      <c r="H3703" s="23" t="str">
        <f aca="false">IF(A3703="","",IF(D3703="GCIA LINEA SERVICIO DIGITALIDAD Y VENTAS","Chats",IF(OR(D3703="GERENCIA INBOUND LÍNEAS SERVICIO Y VENTA",D3703="GERENCIA INBOUND LINEAS ESPECIALIZADAS"),"Llamadas","Otro")))</f>
        <v/>
      </c>
      <c r="I3703" s="23" t="str">
        <f aca="false">IF(A3703="","",IF(C3703="No encontrado","No","Sí"))</f>
        <v/>
      </c>
      <c r="J3703" s="23" t="str">
        <f aca="false">IF(A3703="","",IF(F3703="Inactivo","No","Sí"))</f>
        <v/>
      </c>
      <c r="K3703" s="23" t="str">
        <f aca="false">IF(A3703="","",IF(AND(I3703="Sí",J3703="Sí"),"Sí","No"))</f>
        <v/>
      </c>
    </row>
    <row r="3704" customFormat="false" ht="15" hidden="false" customHeight="false" outlineLevel="0" collapsed="false">
      <c r="A3704" s="22"/>
      <c r="B3704" s="22"/>
      <c r="C3704" s="26" t="str">
        <f aca="false">IF(A3704="","",IFERROR(buscarx(A3704&amp;B3704,DATA!$E$3:$E$10000&amp;DATA!$B$3:$B$10000,DATA!$M$3:$M$10000),"No encontrado"))</f>
        <v/>
      </c>
      <c r="D3704" s="27" t="str">
        <f aca="false">IF(A3704="","",IFERROR(buscarx(A3704&amp;B3704,DATA!$E$3:$E$10000&amp;DATA!$B$3:$B$10000,DATA!$W$3:$W$10000),"No encontrado"))</f>
        <v/>
      </c>
      <c r="E3704" s="22"/>
      <c r="F3704" s="26" t="str">
        <f aca="false">IF(A3704="","",IFERROR(buscarx(A3704&amp;E3704,DATA!$E$3:$E$10000&amp;DATA!$B$3:$B$10000,DATA!$M$3:$M$10000),"Inactivo"))</f>
        <v/>
      </c>
      <c r="G3704" s="28" t="str">
        <f aca="false">IF(A3704="","",IF(AND(C3704&lt;&gt;"No encontrado",F3704&lt;&gt;"Inactivo"),C3704&amp;" → "&amp;F3704,"Sin transición"))</f>
        <v/>
      </c>
      <c r="H3704" s="26" t="str">
        <f aca="false">IF(A3704="","",IF(D3704="GCIA LINEA SERVICIO DIGITALIDAD Y VENTAS","Chats",IF(OR(D3704="GERENCIA INBOUND LÍNEAS SERVICIO Y VENTA",D3704="GERENCIA INBOUND LINEAS ESPECIALIZADAS"),"Llamadas","Otro")))</f>
        <v/>
      </c>
      <c r="I3704" s="26" t="str">
        <f aca="false">IF(A3704="","",IF(C3704="No encontrado","No","Sí"))</f>
        <v/>
      </c>
      <c r="J3704" s="26" t="str">
        <f aca="false">IF(A3704="","",IF(F3704="Inactivo","No","Sí"))</f>
        <v/>
      </c>
      <c r="K3704" s="26" t="str">
        <f aca="false">IF(A3704="","",IF(AND(I3704="Sí",J3704="Sí"),"Sí","No"))</f>
        <v/>
      </c>
    </row>
    <row r="3705" customFormat="false" ht="15" hidden="false" customHeight="false" outlineLevel="0" collapsed="false">
      <c r="A3705" s="22"/>
      <c r="B3705" s="22"/>
      <c r="C3705" s="23" t="str">
        <f aca="false">IF(A3705="","",IFERROR(buscarx(A3705&amp;B3705,DATA!$E$3:$E$10000&amp;DATA!$B$3:$B$10000,DATA!$M$3:$M$10000),"No encontrado"))</f>
        <v/>
      </c>
      <c r="D3705" s="24" t="str">
        <f aca="false">IF(A3705="","",IFERROR(buscarx(A3705&amp;B3705,DATA!$E$3:$E$10000&amp;DATA!$B$3:$B$10000,DATA!$W$3:$W$10000),"No encontrado"))</f>
        <v/>
      </c>
      <c r="E3705" s="22"/>
      <c r="F3705" s="23" t="str">
        <f aca="false">IF(A3705="","",IFERROR(buscarx(A3705&amp;E3705,DATA!$E$3:$E$10000&amp;DATA!$B$3:$B$10000,DATA!$M$3:$M$10000),"Inactivo"))</f>
        <v/>
      </c>
      <c r="G3705" s="25" t="str">
        <f aca="false">IF(A3705="","",IF(AND(C3705&lt;&gt;"No encontrado",F3705&lt;&gt;"Inactivo"),C3705&amp;" → "&amp;F3705,"Sin transición"))</f>
        <v/>
      </c>
      <c r="H3705" s="23" t="str">
        <f aca="false">IF(A3705="","",IF(D3705="GCIA LINEA SERVICIO DIGITALIDAD Y VENTAS","Chats",IF(OR(D3705="GERENCIA INBOUND LÍNEAS SERVICIO Y VENTA",D3705="GERENCIA INBOUND LINEAS ESPECIALIZADAS"),"Llamadas","Otro")))</f>
        <v/>
      </c>
      <c r="I3705" s="23" t="str">
        <f aca="false">IF(A3705="","",IF(C3705="No encontrado","No","Sí"))</f>
        <v/>
      </c>
      <c r="J3705" s="23" t="str">
        <f aca="false">IF(A3705="","",IF(F3705="Inactivo","No","Sí"))</f>
        <v/>
      </c>
      <c r="K3705" s="23" t="str">
        <f aca="false">IF(A3705="","",IF(AND(I3705="Sí",J3705="Sí"),"Sí","No"))</f>
        <v/>
      </c>
    </row>
    <row r="3706" customFormat="false" ht="15" hidden="false" customHeight="false" outlineLevel="0" collapsed="false">
      <c r="A3706" s="22"/>
      <c r="B3706" s="22"/>
      <c r="C3706" s="26" t="str">
        <f aca="false">IF(A3706="","",IFERROR(buscarx(A3706&amp;B3706,DATA!$E$3:$E$10000&amp;DATA!$B$3:$B$10000,DATA!$M$3:$M$10000),"No encontrado"))</f>
        <v/>
      </c>
      <c r="D3706" s="27" t="str">
        <f aca="false">IF(A3706="","",IFERROR(buscarx(A3706&amp;B3706,DATA!$E$3:$E$10000&amp;DATA!$B$3:$B$10000,DATA!$W$3:$W$10000),"No encontrado"))</f>
        <v/>
      </c>
      <c r="E3706" s="22"/>
      <c r="F3706" s="26" t="str">
        <f aca="false">IF(A3706="","",IFERROR(buscarx(A3706&amp;E3706,DATA!$E$3:$E$10000&amp;DATA!$B$3:$B$10000,DATA!$M$3:$M$10000),"Inactivo"))</f>
        <v/>
      </c>
      <c r="G3706" s="28" t="str">
        <f aca="false">IF(A3706="","",IF(AND(C3706&lt;&gt;"No encontrado",F3706&lt;&gt;"Inactivo"),C3706&amp;" → "&amp;F3706,"Sin transición"))</f>
        <v/>
      </c>
      <c r="H3706" s="26" t="str">
        <f aca="false">IF(A3706="","",IF(D3706="GCIA LINEA SERVICIO DIGITALIDAD Y VENTAS","Chats",IF(OR(D3706="GERENCIA INBOUND LÍNEAS SERVICIO Y VENTA",D3706="GERENCIA INBOUND LINEAS ESPECIALIZADAS"),"Llamadas","Otro")))</f>
        <v/>
      </c>
      <c r="I3706" s="26" t="str">
        <f aca="false">IF(A3706="","",IF(C3706="No encontrado","No","Sí"))</f>
        <v/>
      </c>
      <c r="J3706" s="26" t="str">
        <f aca="false">IF(A3706="","",IF(F3706="Inactivo","No","Sí"))</f>
        <v/>
      </c>
      <c r="K3706" s="26" t="str">
        <f aca="false">IF(A3706="","",IF(AND(I3706="Sí",J3706="Sí"),"Sí","No"))</f>
        <v/>
      </c>
    </row>
    <row r="3707" customFormat="false" ht="15" hidden="false" customHeight="false" outlineLevel="0" collapsed="false">
      <c r="A3707" s="22"/>
      <c r="B3707" s="22"/>
      <c r="C3707" s="23" t="str">
        <f aca="false">IF(A3707="","",IFERROR(buscarx(A3707&amp;B3707,DATA!$E$3:$E$10000&amp;DATA!$B$3:$B$10000,DATA!$M$3:$M$10000),"No encontrado"))</f>
        <v/>
      </c>
      <c r="D3707" s="24" t="str">
        <f aca="false">IF(A3707="","",IFERROR(buscarx(A3707&amp;B3707,DATA!$E$3:$E$10000&amp;DATA!$B$3:$B$10000,DATA!$W$3:$W$10000),"No encontrado"))</f>
        <v/>
      </c>
      <c r="E3707" s="22"/>
      <c r="F3707" s="23" t="str">
        <f aca="false">IF(A3707="","",IFERROR(buscarx(A3707&amp;E3707,DATA!$E$3:$E$10000&amp;DATA!$B$3:$B$10000,DATA!$M$3:$M$10000),"Inactivo"))</f>
        <v/>
      </c>
      <c r="G3707" s="25" t="str">
        <f aca="false">IF(A3707="","",IF(AND(C3707&lt;&gt;"No encontrado",F3707&lt;&gt;"Inactivo"),C3707&amp;" → "&amp;F3707,"Sin transición"))</f>
        <v/>
      </c>
      <c r="H3707" s="23" t="str">
        <f aca="false">IF(A3707="","",IF(D3707="GCIA LINEA SERVICIO DIGITALIDAD Y VENTAS","Chats",IF(OR(D3707="GERENCIA INBOUND LÍNEAS SERVICIO Y VENTA",D3707="GERENCIA INBOUND LINEAS ESPECIALIZADAS"),"Llamadas","Otro")))</f>
        <v/>
      </c>
      <c r="I3707" s="23" t="str">
        <f aca="false">IF(A3707="","",IF(C3707="No encontrado","No","Sí"))</f>
        <v/>
      </c>
      <c r="J3707" s="23" t="str">
        <f aca="false">IF(A3707="","",IF(F3707="Inactivo","No","Sí"))</f>
        <v/>
      </c>
      <c r="K3707" s="23" t="str">
        <f aca="false">IF(A3707="","",IF(AND(I3707="Sí",J3707="Sí"),"Sí","No"))</f>
        <v/>
      </c>
    </row>
    <row r="3708" customFormat="false" ht="15" hidden="false" customHeight="false" outlineLevel="0" collapsed="false">
      <c r="A3708" s="22"/>
      <c r="B3708" s="22"/>
      <c r="C3708" s="26" t="str">
        <f aca="false">IF(A3708="","",IFERROR(buscarx(A3708&amp;B3708,DATA!$E$3:$E$10000&amp;DATA!$B$3:$B$10000,DATA!$M$3:$M$10000),"No encontrado"))</f>
        <v/>
      </c>
      <c r="D3708" s="27" t="str">
        <f aca="false">IF(A3708="","",IFERROR(buscarx(A3708&amp;B3708,DATA!$E$3:$E$10000&amp;DATA!$B$3:$B$10000,DATA!$W$3:$W$10000),"No encontrado"))</f>
        <v/>
      </c>
      <c r="E3708" s="22"/>
      <c r="F3708" s="26" t="str">
        <f aca="false">IF(A3708="","",IFERROR(buscarx(A3708&amp;E3708,DATA!$E$3:$E$10000&amp;DATA!$B$3:$B$10000,DATA!$M$3:$M$10000),"Inactivo"))</f>
        <v/>
      </c>
      <c r="G3708" s="28" t="str">
        <f aca="false">IF(A3708="","",IF(AND(C3708&lt;&gt;"No encontrado",F3708&lt;&gt;"Inactivo"),C3708&amp;" → "&amp;F3708,"Sin transición"))</f>
        <v/>
      </c>
      <c r="H3708" s="26" t="str">
        <f aca="false">IF(A3708="","",IF(D3708="GCIA LINEA SERVICIO DIGITALIDAD Y VENTAS","Chats",IF(OR(D3708="GERENCIA INBOUND LÍNEAS SERVICIO Y VENTA",D3708="GERENCIA INBOUND LINEAS ESPECIALIZADAS"),"Llamadas","Otro")))</f>
        <v/>
      </c>
      <c r="I3708" s="26" t="str">
        <f aca="false">IF(A3708="","",IF(C3708="No encontrado","No","Sí"))</f>
        <v/>
      </c>
      <c r="J3708" s="26" t="str">
        <f aca="false">IF(A3708="","",IF(F3708="Inactivo","No","Sí"))</f>
        <v/>
      </c>
      <c r="K3708" s="26" t="str">
        <f aca="false">IF(A3708="","",IF(AND(I3708="Sí",J3708="Sí"),"Sí","No"))</f>
        <v/>
      </c>
    </row>
    <row r="3709" customFormat="false" ht="15" hidden="false" customHeight="false" outlineLevel="0" collapsed="false">
      <c r="A3709" s="22"/>
      <c r="B3709" s="22"/>
      <c r="C3709" s="23" t="str">
        <f aca="false">IF(A3709="","",IFERROR(buscarx(A3709&amp;B3709,DATA!$E$3:$E$10000&amp;DATA!$B$3:$B$10000,DATA!$M$3:$M$10000),"No encontrado"))</f>
        <v/>
      </c>
      <c r="D3709" s="24" t="str">
        <f aca="false">IF(A3709="","",IFERROR(buscarx(A3709&amp;B3709,DATA!$E$3:$E$10000&amp;DATA!$B$3:$B$10000,DATA!$W$3:$W$10000),"No encontrado"))</f>
        <v/>
      </c>
      <c r="E3709" s="22"/>
      <c r="F3709" s="23" t="str">
        <f aca="false">IF(A3709="","",IFERROR(buscarx(A3709&amp;E3709,DATA!$E$3:$E$10000&amp;DATA!$B$3:$B$10000,DATA!$M$3:$M$10000),"Inactivo"))</f>
        <v/>
      </c>
      <c r="G3709" s="25" t="str">
        <f aca="false">IF(A3709="","",IF(AND(C3709&lt;&gt;"No encontrado",F3709&lt;&gt;"Inactivo"),C3709&amp;" → "&amp;F3709,"Sin transición"))</f>
        <v/>
      </c>
      <c r="H3709" s="23" t="str">
        <f aca="false">IF(A3709="","",IF(D3709="GCIA LINEA SERVICIO DIGITALIDAD Y VENTAS","Chats",IF(OR(D3709="GERENCIA INBOUND LÍNEAS SERVICIO Y VENTA",D3709="GERENCIA INBOUND LINEAS ESPECIALIZADAS"),"Llamadas","Otro")))</f>
        <v/>
      </c>
      <c r="I3709" s="23" t="str">
        <f aca="false">IF(A3709="","",IF(C3709="No encontrado","No","Sí"))</f>
        <v/>
      </c>
      <c r="J3709" s="23" t="str">
        <f aca="false">IF(A3709="","",IF(F3709="Inactivo","No","Sí"))</f>
        <v/>
      </c>
      <c r="K3709" s="23" t="str">
        <f aca="false">IF(A3709="","",IF(AND(I3709="Sí",J3709="Sí"),"Sí","No"))</f>
        <v/>
      </c>
    </row>
    <row r="3710" customFormat="false" ht="15" hidden="false" customHeight="false" outlineLevel="0" collapsed="false">
      <c r="A3710" s="22"/>
      <c r="B3710" s="22"/>
      <c r="C3710" s="26" t="str">
        <f aca="false">IF(A3710="","",IFERROR(buscarx(A3710&amp;B3710,DATA!$E$3:$E$10000&amp;DATA!$B$3:$B$10000,DATA!$M$3:$M$10000),"No encontrado"))</f>
        <v/>
      </c>
      <c r="D3710" s="27" t="str">
        <f aca="false">IF(A3710="","",IFERROR(buscarx(A3710&amp;B3710,DATA!$E$3:$E$10000&amp;DATA!$B$3:$B$10000,DATA!$W$3:$W$10000),"No encontrado"))</f>
        <v/>
      </c>
      <c r="E3710" s="22"/>
      <c r="F3710" s="26" t="str">
        <f aca="false">IF(A3710="","",IFERROR(buscarx(A3710&amp;E3710,DATA!$E$3:$E$10000&amp;DATA!$B$3:$B$10000,DATA!$M$3:$M$10000),"Inactivo"))</f>
        <v/>
      </c>
      <c r="G3710" s="28" t="str">
        <f aca="false">IF(A3710="","",IF(AND(C3710&lt;&gt;"No encontrado",F3710&lt;&gt;"Inactivo"),C3710&amp;" → "&amp;F3710,"Sin transición"))</f>
        <v/>
      </c>
      <c r="H3710" s="26" t="str">
        <f aca="false">IF(A3710="","",IF(D3710="GCIA LINEA SERVICIO DIGITALIDAD Y VENTAS","Chats",IF(OR(D3710="GERENCIA INBOUND LÍNEAS SERVICIO Y VENTA",D3710="GERENCIA INBOUND LINEAS ESPECIALIZADAS"),"Llamadas","Otro")))</f>
        <v/>
      </c>
      <c r="I3710" s="26" t="str">
        <f aca="false">IF(A3710="","",IF(C3710="No encontrado","No","Sí"))</f>
        <v/>
      </c>
      <c r="J3710" s="26" t="str">
        <f aca="false">IF(A3710="","",IF(F3710="Inactivo","No","Sí"))</f>
        <v/>
      </c>
      <c r="K3710" s="26" t="str">
        <f aca="false">IF(A3710="","",IF(AND(I3710="Sí",J3710="Sí"),"Sí","No"))</f>
        <v/>
      </c>
    </row>
    <row r="3711" customFormat="false" ht="15" hidden="false" customHeight="false" outlineLevel="0" collapsed="false">
      <c r="A3711" s="22"/>
      <c r="B3711" s="22"/>
      <c r="C3711" s="23" t="str">
        <f aca="false">IF(A3711="","",IFERROR(buscarx(A3711&amp;B3711,DATA!$E$3:$E$10000&amp;DATA!$B$3:$B$10000,DATA!$M$3:$M$10000),"No encontrado"))</f>
        <v/>
      </c>
      <c r="D3711" s="24" t="str">
        <f aca="false">IF(A3711="","",IFERROR(buscarx(A3711&amp;B3711,DATA!$E$3:$E$10000&amp;DATA!$B$3:$B$10000,DATA!$W$3:$W$10000),"No encontrado"))</f>
        <v/>
      </c>
      <c r="E3711" s="22"/>
      <c r="F3711" s="23" t="str">
        <f aca="false">IF(A3711="","",IFERROR(buscarx(A3711&amp;E3711,DATA!$E$3:$E$10000&amp;DATA!$B$3:$B$10000,DATA!$M$3:$M$10000),"Inactivo"))</f>
        <v/>
      </c>
      <c r="G3711" s="25" t="str">
        <f aca="false">IF(A3711="","",IF(AND(C3711&lt;&gt;"No encontrado",F3711&lt;&gt;"Inactivo"),C3711&amp;" → "&amp;F3711,"Sin transición"))</f>
        <v/>
      </c>
      <c r="H3711" s="23" t="str">
        <f aca="false">IF(A3711="","",IF(D3711="GCIA LINEA SERVICIO DIGITALIDAD Y VENTAS","Chats",IF(OR(D3711="GERENCIA INBOUND LÍNEAS SERVICIO Y VENTA",D3711="GERENCIA INBOUND LINEAS ESPECIALIZADAS"),"Llamadas","Otro")))</f>
        <v/>
      </c>
      <c r="I3711" s="23" t="str">
        <f aca="false">IF(A3711="","",IF(C3711="No encontrado","No","Sí"))</f>
        <v/>
      </c>
      <c r="J3711" s="23" t="str">
        <f aca="false">IF(A3711="","",IF(F3711="Inactivo","No","Sí"))</f>
        <v/>
      </c>
      <c r="K3711" s="23" t="str">
        <f aca="false">IF(A3711="","",IF(AND(I3711="Sí",J3711="Sí"),"Sí","No"))</f>
        <v/>
      </c>
    </row>
    <row r="3712" customFormat="false" ht="15" hidden="false" customHeight="false" outlineLevel="0" collapsed="false">
      <c r="A3712" s="22"/>
      <c r="B3712" s="22"/>
      <c r="C3712" s="26" t="str">
        <f aca="false">IF(A3712="","",IFERROR(buscarx(A3712&amp;B3712,DATA!$E$3:$E$10000&amp;DATA!$B$3:$B$10000,DATA!$M$3:$M$10000),"No encontrado"))</f>
        <v/>
      </c>
      <c r="D3712" s="27" t="str">
        <f aca="false">IF(A3712="","",IFERROR(buscarx(A3712&amp;B3712,DATA!$E$3:$E$10000&amp;DATA!$B$3:$B$10000,DATA!$W$3:$W$10000),"No encontrado"))</f>
        <v/>
      </c>
      <c r="E3712" s="22"/>
      <c r="F3712" s="26" t="str">
        <f aca="false">IF(A3712="","",IFERROR(buscarx(A3712&amp;E3712,DATA!$E$3:$E$10000&amp;DATA!$B$3:$B$10000,DATA!$M$3:$M$10000),"Inactivo"))</f>
        <v/>
      </c>
      <c r="G3712" s="28" t="str">
        <f aca="false">IF(A3712="","",IF(AND(C3712&lt;&gt;"No encontrado",F3712&lt;&gt;"Inactivo"),C3712&amp;" → "&amp;F3712,"Sin transición"))</f>
        <v/>
      </c>
      <c r="H3712" s="26" t="str">
        <f aca="false">IF(A3712="","",IF(D3712="GCIA LINEA SERVICIO DIGITALIDAD Y VENTAS","Chats",IF(OR(D3712="GERENCIA INBOUND LÍNEAS SERVICIO Y VENTA",D3712="GERENCIA INBOUND LINEAS ESPECIALIZADAS"),"Llamadas","Otro")))</f>
        <v/>
      </c>
      <c r="I3712" s="26" t="str">
        <f aca="false">IF(A3712="","",IF(C3712="No encontrado","No","Sí"))</f>
        <v/>
      </c>
      <c r="J3712" s="26" t="str">
        <f aca="false">IF(A3712="","",IF(F3712="Inactivo","No","Sí"))</f>
        <v/>
      </c>
      <c r="K3712" s="26" t="str">
        <f aca="false">IF(A3712="","",IF(AND(I3712="Sí",J3712="Sí"),"Sí","No"))</f>
        <v/>
      </c>
    </row>
    <row r="3713" customFormat="false" ht="15" hidden="false" customHeight="false" outlineLevel="0" collapsed="false">
      <c r="A3713" s="22"/>
      <c r="B3713" s="22"/>
      <c r="C3713" s="23" t="str">
        <f aca="false">IF(A3713="","",IFERROR(buscarx(A3713&amp;B3713,DATA!$E$3:$E$10000&amp;DATA!$B$3:$B$10000,DATA!$M$3:$M$10000),"No encontrado"))</f>
        <v/>
      </c>
      <c r="D3713" s="24" t="str">
        <f aca="false">IF(A3713="","",IFERROR(buscarx(A3713&amp;B3713,DATA!$E$3:$E$10000&amp;DATA!$B$3:$B$10000,DATA!$W$3:$W$10000),"No encontrado"))</f>
        <v/>
      </c>
      <c r="E3713" s="22"/>
      <c r="F3713" s="23" t="str">
        <f aca="false">IF(A3713="","",IFERROR(buscarx(A3713&amp;E3713,DATA!$E$3:$E$10000&amp;DATA!$B$3:$B$10000,DATA!$M$3:$M$10000),"Inactivo"))</f>
        <v/>
      </c>
      <c r="G3713" s="25" t="str">
        <f aca="false">IF(A3713="","",IF(AND(C3713&lt;&gt;"No encontrado",F3713&lt;&gt;"Inactivo"),C3713&amp;" → "&amp;F3713,"Sin transición"))</f>
        <v/>
      </c>
      <c r="H3713" s="23" t="str">
        <f aca="false">IF(A3713="","",IF(D3713="GCIA LINEA SERVICIO DIGITALIDAD Y VENTAS","Chats",IF(OR(D3713="GERENCIA INBOUND LÍNEAS SERVICIO Y VENTA",D3713="GERENCIA INBOUND LINEAS ESPECIALIZADAS"),"Llamadas","Otro")))</f>
        <v/>
      </c>
      <c r="I3713" s="23" t="str">
        <f aca="false">IF(A3713="","",IF(C3713="No encontrado","No","Sí"))</f>
        <v/>
      </c>
      <c r="J3713" s="23" t="str">
        <f aca="false">IF(A3713="","",IF(F3713="Inactivo","No","Sí"))</f>
        <v/>
      </c>
      <c r="K3713" s="23" t="str">
        <f aca="false">IF(A3713="","",IF(AND(I3713="Sí",J3713="Sí"),"Sí","No"))</f>
        <v/>
      </c>
    </row>
    <row r="3714" customFormat="false" ht="15" hidden="false" customHeight="false" outlineLevel="0" collapsed="false">
      <c r="A3714" s="22"/>
      <c r="B3714" s="22"/>
      <c r="C3714" s="26" t="str">
        <f aca="false">IF(A3714="","",IFERROR(buscarx(A3714&amp;B3714,DATA!$E$3:$E$10000&amp;DATA!$B$3:$B$10000,DATA!$M$3:$M$10000),"No encontrado"))</f>
        <v/>
      </c>
      <c r="D3714" s="27" t="str">
        <f aca="false">IF(A3714="","",IFERROR(buscarx(A3714&amp;B3714,DATA!$E$3:$E$10000&amp;DATA!$B$3:$B$10000,DATA!$W$3:$W$10000),"No encontrado"))</f>
        <v/>
      </c>
      <c r="E3714" s="22"/>
      <c r="F3714" s="26" t="str">
        <f aca="false">IF(A3714="","",IFERROR(buscarx(A3714&amp;E3714,DATA!$E$3:$E$10000&amp;DATA!$B$3:$B$10000,DATA!$M$3:$M$10000),"Inactivo"))</f>
        <v/>
      </c>
      <c r="G3714" s="28" t="str">
        <f aca="false">IF(A3714="","",IF(AND(C3714&lt;&gt;"No encontrado",F3714&lt;&gt;"Inactivo"),C3714&amp;" → "&amp;F3714,"Sin transición"))</f>
        <v/>
      </c>
      <c r="H3714" s="26" t="str">
        <f aca="false">IF(A3714="","",IF(D3714="GCIA LINEA SERVICIO DIGITALIDAD Y VENTAS","Chats",IF(OR(D3714="GERENCIA INBOUND LÍNEAS SERVICIO Y VENTA",D3714="GERENCIA INBOUND LINEAS ESPECIALIZADAS"),"Llamadas","Otro")))</f>
        <v/>
      </c>
      <c r="I3714" s="26" t="str">
        <f aca="false">IF(A3714="","",IF(C3714="No encontrado","No","Sí"))</f>
        <v/>
      </c>
      <c r="J3714" s="26" t="str">
        <f aca="false">IF(A3714="","",IF(F3714="Inactivo","No","Sí"))</f>
        <v/>
      </c>
      <c r="K3714" s="26" t="str">
        <f aca="false">IF(A3714="","",IF(AND(I3714="Sí",J3714="Sí"),"Sí","No"))</f>
        <v/>
      </c>
    </row>
    <row r="3715" customFormat="false" ht="15" hidden="false" customHeight="false" outlineLevel="0" collapsed="false">
      <c r="A3715" s="22"/>
      <c r="B3715" s="22"/>
      <c r="C3715" s="23" t="str">
        <f aca="false">IF(A3715="","",IFERROR(buscarx(A3715&amp;B3715,DATA!$E$3:$E$10000&amp;DATA!$B$3:$B$10000,DATA!$M$3:$M$10000),"No encontrado"))</f>
        <v/>
      </c>
      <c r="D3715" s="24" t="str">
        <f aca="false">IF(A3715="","",IFERROR(buscarx(A3715&amp;B3715,DATA!$E$3:$E$10000&amp;DATA!$B$3:$B$10000,DATA!$W$3:$W$10000),"No encontrado"))</f>
        <v/>
      </c>
      <c r="E3715" s="22"/>
      <c r="F3715" s="23" t="str">
        <f aca="false">IF(A3715="","",IFERROR(buscarx(A3715&amp;E3715,DATA!$E$3:$E$10000&amp;DATA!$B$3:$B$10000,DATA!$M$3:$M$10000),"Inactivo"))</f>
        <v/>
      </c>
      <c r="G3715" s="25" t="str">
        <f aca="false">IF(A3715="","",IF(AND(C3715&lt;&gt;"No encontrado",F3715&lt;&gt;"Inactivo"),C3715&amp;" → "&amp;F3715,"Sin transición"))</f>
        <v/>
      </c>
      <c r="H3715" s="23" t="str">
        <f aca="false">IF(A3715="","",IF(D3715="GCIA LINEA SERVICIO DIGITALIDAD Y VENTAS","Chats",IF(OR(D3715="GERENCIA INBOUND LÍNEAS SERVICIO Y VENTA",D3715="GERENCIA INBOUND LINEAS ESPECIALIZADAS"),"Llamadas","Otro")))</f>
        <v/>
      </c>
      <c r="I3715" s="23" t="str">
        <f aca="false">IF(A3715="","",IF(C3715="No encontrado","No","Sí"))</f>
        <v/>
      </c>
      <c r="J3715" s="23" t="str">
        <f aca="false">IF(A3715="","",IF(F3715="Inactivo","No","Sí"))</f>
        <v/>
      </c>
      <c r="K3715" s="23" t="str">
        <f aca="false">IF(A3715="","",IF(AND(I3715="Sí",J3715="Sí"),"Sí","No"))</f>
        <v/>
      </c>
    </row>
    <row r="3716" customFormat="false" ht="15" hidden="false" customHeight="false" outlineLevel="0" collapsed="false">
      <c r="A3716" s="22"/>
      <c r="B3716" s="22"/>
      <c r="C3716" s="26" t="str">
        <f aca="false">IF(A3716="","",IFERROR(buscarx(A3716&amp;B3716,DATA!$E$3:$E$10000&amp;DATA!$B$3:$B$10000,DATA!$M$3:$M$10000),"No encontrado"))</f>
        <v/>
      </c>
      <c r="D3716" s="27" t="str">
        <f aca="false">IF(A3716="","",IFERROR(buscarx(A3716&amp;B3716,DATA!$E$3:$E$10000&amp;DATA!$B$3:$B$10000,DATA!$W$3:$W$10000),"No encontrado"))</f>
        <v/>
      </c>
      <c r="E3716" s="22"/>
      <c r="F3716" s="26" t="str">
        <f aca="false">IF(A3716="","",IFERROR(buscarx(A3716&amp;E3716,DATA!$E$3:$E$10000&amp;DATA!$B$3:$B$10000,DATA!$M$3:$M$10000),"Inactivo"))</f>
        <v/>
      </c>
      <c r="G3716" s="28" t="str">
        <f aca="false">IF(A3716="","",IF(AND(C3716&lt;&gt;"No encontrado",F3716&lt;&gt;"Inactivo"),C3716&amp;" → "&amp;F3716,"Sin transición"))</f>
        <v/>
      </c>
      <c r="H3716" s="26" t="str">
        <f aca="false">IF(A3716="","",IF(D3716="GCIA LINEA SERVICIO DIGITALIDAD Y VENTAS","Chats",IF(OR(D3716="GERENCIA INBOUND LÍNEAS SERVICIO Y VENTA",D3716="GERENCIA INBOUND LINEAS ESPECIALIZADAS"),"Llamadas","Otro")))</f>
        <v/>
      </c>
      <c r="I3716" s="26" t="str">
        <f aca="false">IF(A3716="","",IF(C3716="No encontrado","No","Sí"))</f>
        <v/>
      </c>
      <c r="J3716" s="26" t="str">
        <f aca="false">IF(A3716="","",IF(F3716="Inactivo","No","Sí"))</f>
        <v/>
      </c>
      <c r="K3716" s="26" t="str">
        <f aca="false">IF(A3716="","",IF(AND(I3716="Sí",J3716="Sí"),"Sí","No"))</f>
        <v/>
      </c>
    </row>
    <row r="3717" customFormat="false" ht="15" hidden="false" customHeight="false" outlineLevel="0" collapsed="false">
      <c r="A3717" s="22"/>
      <c r="B3717" s="22"/>
      <c r="C3717" s="23" t="str">
        <f aca="false">IF(A3717="","",IFERROR(buscarx(A3717&amp;B3717,DATA!$E$3:$E$10000&amp;DATA!$B$3:$B$10000,DATA!$M$3:$M$10000),"No encontrado"))</f>
        <v/>
      </c>
      <c r="D3717" s="24" t="str">
        <f aca="false">IF(A3717="","",IFERROR(buscarx(A3717&amp;B3717,DATA!$E$3:$E$10000&amp;DATA!$B$3:$B$10000,DATA!$W$3:$W$10000),"No encontrado"))</f>
        <v/>
      </c>
      <c r="E3717" s="22"/>
      <c r="F3717" s="23" t="str">
        <f aca="false">IF(A3717="","",IFERROR(buscarx(A3717&amp;E3717,DATA!$E$3:$E$10000&amp;DATA!$B$3:$B$10000,DATA!$M$3:$M$10000),"Inactivo"))</f>
        <v/>
      </c>
      <c r="G3717" s="25" t="str">
        <f aca="false">IF(A3717="","",IF(AND(C3717&lt;&gt;"No encontrado",F3717&lt;&gt;"Inactivo"),C3717&amp;" → "&amp;F3717,"Sin transición"))</f>
        <v/>
      </c>
      <c r="H3717" s="23" t="str">
        <f aca="false">IF(A3717="","",IF(D3717="GCIA LINEA SERVICIO DIGITALIDAD Y VENTAS","Chats",IF(OR(D3717="GERENCIA INBOUND LÍNEAS SERVICIO Y VENTA",D3717="GERENCIA INBOUND LINEAS ESPECIALIZADAS"),"Llamadas","Otro")))</f>
        <v/>
      </c>
      <c r="I3717" s="23" t="str">
        <f aca="false">IF(A3717="","",IF(C3717="No encontrado","No","Sí"))</f>
        <v/>
      </c>
      <c r="J3717" s="23" t="str">
        <f aca="false">IF(A3717="","",IF(F3717="Inactivo","No","Sí"))</f>
        <v/>
      </c>
      <c r="K3717" s="23" t="str">
        <f aca="false">IF(A3717="","",IF(AND(I3717="Sí",J3717="Sí"),"Sí","No"))</f>
        <v/>
      </c>
    </row>
    <row r="3718" customFormat="false" ht="15" hidden="false" customHeight="false" outlineLevel="0" collapsed="false">
      <c r="A3718" s="22"/>
      <c r="B3718" s="22"/>
      <c r="C3718" s="26" t="str">
        <f aca="false">IF(A3718="","",IFERROR(buscarx(A3718&amp;B3718,DATA!$E$3:$E$10000&amp;DATA!$B$3:$B$10000,DATA!$M$3:$M$10000),"No encontrado"))</f>
        <v/>
      </c>
      <c r="D3718" s="27" t="str">
        <f aca="false">IF(A3718="","",IFERROR(buscarx(A3718&amp;B3718,DATA!$E$3:$E$10000&amp;DATA!$B$3:$B$10000,DATA!$W$3:$W$10000),"No encontrado"))</f>
        <v/>
      </c>
      <c r="E3718" s="22"/>
      <c r="F3718" s="26" t="str">
        <f aca="false">IF(A3718="","",IFERROR(buscarx(A3718&amp;E3718,DATA!$E$3:$E$10000&amp;DATA!$B$3:$B$10000,DATA!$M$3:$M$10000),"Inactivo"))</f>
        <v/>
      </c>
      <c r="G3718" s="28" t="str">
        <f aca="false">IF(A3718="","",IF(AND(C3718&lt;&gt;"No encontrado",F3718&lt;&gt;"Inactivo"),C3718&amp;" → "&amp;F3718,"Sin transición"))</f>
        <v/>
      </c>
      <c r="H3718" s="26" t="str">
        <f aca="false">IF(A3718="","",IF(D3718="GCIA LINEA SERVICIO DIGITALIDAD Y VENTAS","Chats",IF(OR(D3718="GERENCIA INBOUND LÍNEAS SERVICIO Y VENTA",D3718="GERENCIA INBOUND LINEAS ESPECIALIZADAS"),"Llamadas","Otro")))</f>
        <v/>
      </c>
      <c r="I3718" s="26" t="str">
        <f aca="false">IF(A3718="","",IF(C3718="No encontrado","No","Sí"))</f>
        <v/>
      </c>
      <c r="J3718" s="26" t="str">
        <f aca="false">IF(A3718="","",IF(F3718="Inactivo","No","Sí"))</f>
        <v/>
      </c>
      <c r="K3718" s="26" t="str">
        <f aca="false">IF(A3718="","",IF(AND(I3718="Sí",J3718="Sí"),"Sí","No"))</f>
        <v/>
      </c>
    </row>
    <row r="3719" customFormat="false" ht="15" hidden="false" customHeight="false" outlineLevel="0" collapsed="false">
      <c r="A3719" s="22"/>
      <c r="B3719" s="22"/>
      <c r="C3719" s="23" t="str">
        <f aca="false">IF(A3719="","",IFERROR(buscarx(A3719&amp;B3719,DATA!$E$3:$E$10000&amp;DATA!$B$3:$B$10000,DATA!$M$3:$M$10000),"No encontrado"))</f>
        <v/>
      </c>
      <c r="D3719" s="24" t="str">
        <f aca="false">IF(A3719="","",IFERROR(buscarx(A3719&amp;B3719,DATA!$E$3:$E$10000&amp;DATA!$B$3:$B$10000,DATA!$W$3:$W$10000),"No encontrado"))</f>
        <v/>
      </c>
      <c r="E3719" s="22"/>
      <c r="F3719" s="23" t="str">
        <f aca="false">IF(A3719="","",IFERROR(buscarx(A3719&amp;E3719,DATA!$E$3:$E$10000&amp;DATA!$B$3:$B$10000,DATA!$M$3:$M$10000),"Inactivo"))</f>
        <v/>
      </c>
      <c r="G3719" s="25" t="str">
        <f aca="false">IF(A3719="","",IF(AND(C3719&lt;&gt;"No encontrado",F3719&lt;&gt;"Inactivo"),C3719&amp;" → "&amp;F3719,"Sin transición"))</f>
        <v/>
      </c>
      <c r="H3719" s="23" t="str">
        <f aca="false">IF(A3719="","",IF(D3719="GCIA LINEA SERVICIO DIGITALIDAD Y VENTAS","Chats",IF(OR(D3719="GERENCIA INBOUND LÍNEAS SERVICIO Y VENTA",D3719="GERENCIA INBOUND LINEAS ESPECIALIZADAS"),"Llamadas","Otro")))</f>
        <v/>
      </c>
      <c r="I3719" s="23" t="str">
        <f aca="false">IF(A3719="","",IF(C3719="No encontrado","No","Sí"))</f>
        <v/>
      </c>
      <c r="J3719" s="23" t="str">
        <f aca="false">IF(A3719="","",IF(F3719="Inactivo","No","Sí"))</f>
        <v/>
      </c>
      <c r="K3719" s="23" t="str">
        <f aca="false">IF(A3719="","",IF(AND(I3719="Sí",J3719="Sí"),"Sí","No"))</f>
        <v/>
      </c>
    </row>
    <row r="3720" customFormat="false" ht="15" hidden="false" customHeight="false" outlineLevel="0" collapsed="false">
      <c r="A3720" s="22"/>
      <c r="B3720" s="22"/>
      <c r="C3720" s="26" t="str">
        <f aca="false">IF(A3720="","",IFERROR(buscarx(A3720&amp;B3720,DATA!$E$3:$E$10000&amp;DATA!$B$3:$B$10000,DATA!$M$3:$M$10000),"No encontrado"))</f>
        <v/>
      </c>
      <c r="D3720" s="27" t="str">
        <f aca="false">IF(A3720="","",IFERROR(buscarx(A3720&amp;B3720,DATA!$E$3:$E$10000&amp;DATA!$B$3:$B$10000,DATA!$W$3:$W$10000),"No encontrado"))</f>
        <v/>
      </c>
      <c r="E3720" s="22"/>
      <c r="F3720" s="26" t="str">
        <f aca="false">IF(A3720="","",IFERROR(buscarx(A3720&amp;E3720,DATA!$E$3:$E$10000&amp;DATA!$B$3:$B$10000,DATA!$M$3:$M$10000),"Inactivo"))</f>
        <v/>
      </c>
      <c r="G3720" s="28" t="str">
        <f aca="false">IF(A3720="","",IF(AND(C3720&lt;&gt;"No encontrado",F3720&lt;&gt;"Inactivo"),C3720&amp;" → "&amp;F3720,"Sin transición"))</f>
        <v/>
      </c>
      <c r="H3720" s="26" t="str">
        <f aca="false">IF(A3720="","",IF(D3720="GCIA LINEA SERVICIO DIGITALIDAD Y VENTAS","Chats",IF(OR(D3720="GERENCIA INBOUND LÍNEAS SERVICIO Y VENTA",D3720="GERENCIA INBOUND LINEAS ESPECIALIZADAS"),"Llamadas","Otro")))</f>
        <v/>
      </c>
      <c r="I3720" s="26" t="str">
        <f aca="false">IF(A3720="","",IF(C3720="No encontrado","No","Sí"))</f>
        <v/>
      </c>
      <c r="J3720" s="26" t="str">
        <f aca="false">IF(A3720="","",IF(F3720="Inactivo","No","Sí"))</f>
        <v/>
      </c>
      <c r="K3720" s="26" t="str">
        <f aca="false">IF(A3720="","",IF(AND(I3720="Sí",J3720="Sí"),"Sí","No"))</f>
        <v/>
      </c>
    </row>
    <row r="3721" customFormat="false" ht="15" hidden="false" customHeight="false" outlineLevel="0" collapsed="false">
      <c r="A3721" s="22"/>
      <c r="B3721" s="22"/>
      <c r="C3721" s="23" t="str">
        <f aca="false">IF(A3721="","",IFERROR(buscarx(A3721&amp;B3721,DATA!$E$3:$E$10000&amp;DATA!$B$3:$B$10000,DATA!$M$3:$M$10000),"No encontrado"))</f>
        <v/>
      </c>
      <c r="D3721" s="24" t="str">
        <f aca="false">IF(A3721="","",IFERROR(buscarx(A3721&amp;B3721,DATA!$E$3:$E$10000&amp;DATA!$B$3:$B$10000,DATA!$W$3:$W$10000),"No encontrado"))</f>
        <v/>
      </c>
      <c r="E3721" s="22"/>
      <c r="F3721" s="23" t="str">
        <f aca="false">IF(A3721="","",IFERROR(buscarx(A3721&amp;E3721,DATA!$E$3:$E$10000&amp;DATA!$B$3:$B$10000,DATA!$M$3:$M$10000),"Inactivo"))</f>
        <v/>
      </c>
      <c r="G3721" s="25" t="str">
        <f aca="false">IF(A3721="","",IF(AND(C3721&lt;&gt;"No encontrado",F3721&lt;&gt;"Inactivo"),C3721&amp;" → "&amp;F3721,"Sin transición"))</f>
        <v/>
      </c>
      <c r="H3721" s="23" t="str">
        <f aca="false">IF(A3721="","",IF(D3721="GCIA LINEA SERVICIO DIGITALIDAD Y VENTAS","Chats",IF(OR(D3721="GERENCIA INBOUND LÍNEAS SERVICIO Y VENTA",D3721="GERENCIA INBOUND LINEAS ESPECIALIZADAS"),"Llamadas","Otro")))</f>
        <v/>
      </c>
      <c r="I3721" s="23" t="str">
        <f aca="false">IF(A3721="","",IF(C3721="No encontrado","No","Sí"))</f>
        <v/>
      </c>
      <c r="J3721" s="23" t="str">
        <f aca="false">IF(A3721="","",IF(F3721="Inactivo","No","Sí"))</f>
        <v/>
      </c>
      <c r="K3721" s="23" t="str">
        <f aca="false">IF(A3721="","",IF(AND(I3721="Sí",J3721="Sí"),"Sí","No"))</f>
        <v/>
      </c>
    </row>
    <row r="3722" customFormat="false" ht="15" hidden="false" customHeight="false" outlineLevel="0" collapsed="false">
      <c r="A3722" s="22"/>
      <c r="B3722" s="22"/>
      <c r="C3722" s="26" t="str">
        <f aca="false">IF(A3722="","",IFERROR(buscarx(A3722&amp;B3722,DATA!$E$3:$E$10000&amp;DATA!$B$3:$B$10000,DATA!$M$3:$M$10000),"No encontrado"))</f>
        <v/>
      </c>
      <c r="D3722" s="27" t="str">
        <f aca="false">IF(A3722="","",IFERROR(buscarx(A3722&amp;B3722,DATA!$E$3:$E$10000&amp;DATA!$B$3:$B$10000,DATA!$W$3:$W$10000),"No encontrado"))</f>
        <v/>
      </c>
      <c r="E3722" s="22"/>
      <c r="F3722" s="26" t="str">
        <f aca="false">IF(A3722="","",IFERROR(buscarx(A3722&amp;E3722,DATA!$E$3:$E$10000&amp;DATA!$B$3:$B$10000,DATA!$M$3:$M$10000),"Inactivo"))</f>
        <v/>
      </c>
      <c r="G3722" s="28" t="str">
        <f aca="false">IF(A3722="","",IF(AND(C3722&lt;&gt;"No encontrado",F3722&lt;&gt;"Inactivo"),C3722&amp;" → "&amp;F3722,"Sin transición"))</f>
        <v/>
      </c>
      <c r="H3722" s="26" t="str">
        <f aca="false">IF(A3722="","",IF(D3722="GCIA LINEA SERVICIO DIGITALIDAD Y VENTAS","Chats",IF(OR(D3722="GERENCIA INBOUND LÍNEAS SERVICIO Y VENTA",D3722="GERENCIA INBOUND LINEAS ESPECIALIZADAS"),"Llamadas","Otro")))</f>
        <v/>
      </c>
      <c r="I3722" s="26" t="str">
        <f aca="false">IF(A3722="","",IF(C3722="No encontrado","No","Sí"))</f>
        <v/>
      </c>
      <c r="J3722" s="26" t="str">
        <f aca="false">IF(A3722="","",IF(F3722="Inactivo","No","Sí"))</f>
        <v/>
      </c>
      <c r="K3722" s="26" t="str">
        <f aca="false">IF(A3722="","",IF(AND(I3722="Sí",J3722="Sí"),"Sí","No"))</f>
        <v/>
      </c>
    </row>
    <row r="3723" customFormat="false" ht="15" hidden="false" customHeight="false" outlineLevel="0" collapsed="false">
      <c r="A3723" s="22"/>
      <c r="B3723" s="22"/>
      <c r="C3723" s="23" t="str">
        <f aca="false">IF(A3723="","",IFERROR(buscarx(A3723&amp;B3723,DATA!$E$3:$E$10000&amp;DATA!$B$3:$B$10000,DATA!$M$3:$M$10000),"No encontrado"))</f>
        <v/>
      </c>
      <c r="D3723" s="24" t="str">
        <f aca="false">IF(A3723="","",IFERROR(buscarx(A3723&amp;B3723,DATA!$E$3:$E$10000&amp;DATA!$B$3:$B$10000,DATA!$W$3:$W$10000),"No encontrado"))</f>
        <v/>
      </c>
      <c r="E3723" s="22"/>
      <c r="F3723" s="23" t="str">
        <f aca="false">IF(A3723="","",IFERROR(buscarx(A3723&amp;E3723,DATA!$E$3:$E$10000&amp;DATA!$B$3:$B$10000,DATA!$M$3:$M$10000),"Inactivo"))</f>
        <v/>
      </c>
      <c r="G3723" s="25" t="str">
        <f aca="false">IF(A3723="","",IF(AND(C3723&lt;&gt;"No encontrado",F3723&lt;&gt;"Inactivo"),C3723&amp;" → "&amp;F3723,"Sin transición"))</f>
        <v/>
      </c>
      <c r="H3723" s="23" t="str">
        <f aca="false">IF(A3723="","",IF(D3723="GCIA LINEA SERVICIO DIGITALIDAD Y VENTAS","Chats",IF(OR(D3723="GERENCIA INBOUND LÍNEAS SERVICIO Y VENTA",D3723="GERENCIA INBOUND LINEAS ESPECIALIZADAS"),"Llamadas","Otro")))</f>
        <v/>
      </c>
      <c r="I3723" s="23" t="str">
        <f aca="false">IF(A3723="","",IF(C3723="No encontrado","No","Sí"))</f>
        <v/>
      </c>
      <c r="J3723" s="23" t="str">
        <f aca="false">IF(A3723="","",IF(F3723="Inactivo","No","Sí"))</f>
        <v/>
      </c>
      <c r="K3723" s="23" t="str">
        <f aca="false">IF(A3723="","",IF(AND(I3723="Sí",J3723="Sí"),"Sí","No"))</f>
        <v/>
      </c>
    </row>
    <row r="3724" customFormat="false" ht="15" hidden="false" customHeight="false" outlineLevel="0" collapsed="false">
      <c r="A3724" s="22"/>
      <c r="B3724" s="22"/>
      <c r="C3724" s="26" t="str">
        <f aca="false">IF(A3724="","",IFERROR(buscarx(A3724&amp;B3724,DATA!$E$3:$E$10000&amp;DATA!$B$3:$B$10000,DATA!$M$3:$M$10000),"No encontrado"))</f>
        <v/>
      </c>
      <c r="D3724" s="27" t="str">
        <f aca="false">IF(A3724="","",IFERROR(buscarx(A3724&amp;B3724,DATA!$E$3:$E$10000&amp;DATA!$B$3:$B$10000,DATA!$W$3:$W$10000),"No encontrado"))</f>
        <v/>
      </c>
      <c r="E3724" s="22"/>
      <c r="F3724" s="26" t="str">
        <f aca="false">IF(A3724="","",IFERROR(buscarx(A3724&amp;E3724,DATA!$E$3:$E$10000&amp;DATA!$B$3:$B$10000,DATA!$M$3:$M$10000),"Inactivo"))</f>
        <v/>
      </c>
      <c r="G3724" s="28" t="str">
        <f aca="false">IF(A3724="","",IF(AND(C3724&lt;&gt;"No encontrado",F3724&lt;&gt;"Inactivo"),C3724&amp;" → "&amp;F3724,"Sin transición"))</f>
        <v/>
      </c>
      <c r="H3724" s="26" t="str">
        <f aca="false">IF(A3724="","",IF(D3724="GCIA LINEA SERVICIO DIGITALIDAD Y VENTAS","Chats",IF(OR(D3724="GERENCIA INBOUND LÍNEAS SERVICIO Y VENTA",D3724="GERENCIA INBOUND LINEAS ESPECIALIZADAS"),"Llamadas","Otro")))</f>
        <v/>
      </c>
      <c r="I3724" s="26" t="str">
        <f aca="false">IF(A3724="","",IF(C3724="No encontrado","No","Sí"))</f>
        <v/>
      </c>
      <c r="J3724" s="26" t="str">
        <f aca="false">IF(A3724="","",IF(F3724="Inactivo","No","Sí"))</f>
        <v/>
      </c>
      <c r="K3724" s="26" t="str">
        <f aca="false">IF(A3724="","",IF(AND(I3724="Sí",J3724="Sí"),"Sí","No"))</f>
        <v/>
      </c>
    </row>
    <row r="3725" customFormat="false" ht="15" hidden="false" customHeight="false" outlineLevel="0" collapsed="false">
      <c r="A3725" s="22"/>
      <c r="B3725" s="22"/>
      <c r="C3725" s="23" t="str">
        <f aca="false">IF(A3725="","",IFERROR(buscarx(A3725&amp;B3725,DATA!$E$3:$E$10000&amp;DATA!$B$3:$B$10000,DATA!$M$3:$M$10000),"No encontrado"))</f>
        <v/>
      </c>
      <c r="D3725" s="24" t="str">
        <f aca="false">IF(A3725="","",IFERROR(buscarx(A3725&amp;B3725,DATA!$E$3:$E$10000&amp;DATA!$B$3:$B$10000,DATA!$W$3:$W$10000),"No encontrado"))</f>
        <v/>
      </c>
      <c r="E3725" s="22"/>
      <c r="F3725" s="23" t="str">
        <f aca="false">IF(A3725="","",IFERROR(buscarx(A3725&amp;E3725,DATA!$E$3:$E$10000&amp;DATA!$B$3:$B$10000,DATA!$M$3:$M$10000),"Inactivo"))</f>
        <v/>
      </c>
      <c r="G3725" s="25" t="str">
        <f aca="false">IF(A3725="","",IF(AND(C3725&lt;&gt;"No encontrado",F3725&lt;&gt;"Inactivo"),C3725&amp;" → "&amp;F3725,"Sin transición"))</f>
        <v/>
      </c>
      <c r="H3725" s="23" t="str">
        <f aca="false">IF(A3725="","",IF(D3725="GCIA LINEA SERVICIO DIGITALIDAD Y VENTAS","Chats",IF(OR(D3725="GERENCIA INBOUND LÍNEAS SERVICIO Y VENTA",D3725="GERENCIA INBOUND LINEAS ESPECIALIZADAS"),"Llamadas","Otro")))</f>
        <v/>
      </c>
      <c r="I3725" s="23" t="str">
        <f aca="false">IF(A3725="","",IF(C3725="No encontrado","No","Sí"))</f>
        <v/>
      </c>
      <c r="J3725" s="23" t="str">
        <f aca="false">IF(A3725="","",IF(F3725="Inactivo","No","Sí"))</f>
        <v/>
      </c>
      <c r="K3725" s="23" t="str">
        <f aca="false">IF(A3725="","",IF(AND(I3725="Sí",J3725="Sí"),"Sí","No"))</f>
        <v/>
      </c>
    </row>
    <row r="3726" customFormat="false" ht="15" hidden="false" customHeight="false" outlineLevel="0" collapsed="false">
      <c r="A3726" s="22"/>
      <c r="B3726" s="22"/>
      <c r="C3726" s="26" t="str">
        <f aca="false">IF(A3726="","",IFERROR(buscarx(A3726&amp;B3726,DATA!$E$3:$E$10000&amp;DATA!$B$3:$B$10000,DATA!$M$3:$M$10000),"No encontrado"))</f>
        <v/>
      </c>
      <c r="D3726" s="27" t="str">
        <f aca="false">IF(A3726="","",IFERROR(buscarx(A3726&amp;B3726,DATA!$E$3:$E$10000&amp;DATA!$B$3:$B$10000,DATA!$W$3:$W$10000),"No encontrado"))</f>
        <v/>
      </c>
      <c r="E3726" s="22"/>
      <c r="F3726" s="26" t="str">
        <f aca="false">IF(A3726="","",IFERROR(buscarx(A3726&amp;E3726,DATA!$E$3:$E$10000&amp;DATA!$B$3:$B$10000,DATA!$M$3:$M$10000),"Inactivo"))</f>
        <v/>
      </c>
      <c r="G3726" s="28" t="str">
        <f aca="false">IF(A3726="","",IF(AND(C3726&lt;&gt;"No encontrado",F3726&lt;&gt;"Inactivo"),C3726&amp;" → "&amp;F3726,"Sin transición"))</f>
        <v/>
      </c>
      <c r="H3726" s="26" t="str">
        <f aca="false">IF(A3726="","",IF(D3726="GCIA LINEA SERVICIO DIGITALIDAD Y VENTAS","Chats",IF(OR(D3726="GERENCIA INBOUND LÍNEAS SERVICIO Y VENTA",D3726="GERENCIA INBOUND LINEAS ESPECIALIZADAS"),"Llamadas","Otro")))</f>
        <v/>
      </c>
      <c r="I3726" s="26" t="str">
        <f aca="false">IF(A3726="","",IF(C3726="No encontrado","No","Sí"))</f>
        <v/>
      </c>
      <c r="J3726" s="26" t="str">
        <f aca="false">IF(A3726="","",IF(F3726="Inactivo","No","Sí"))</f>
        <v/>
      </c>
      <c r="K3726" s="26" t="str">
        <f aca="false">IF(A3726="","",IF(AND(I3726="Sí",J3726="Sí"),"Sí","No"))</f>
        <v/>
      </c>
    </row>
    <row r="3727" customFormat="false" ht="15" hidden="false" customHeight="false" outlineLevel="0" collapsed="false">
      <c r="A3727" s="22"/>
      <c r="B3727" s="22"/>
      <c r="C3727" s="23" t="str">
        <f aca="false">IF(A3727="","",IFERROR(buscarx(A3727&amp;B3727,DATA!$E$3:$E$10000&amp;DATA!$B$3:$B$10000,DATA!$M$3:$M$10000),"No encontrado"))</f>
        <v/>
      </c>
      <c r="D3727" s="24" t="str">
        <f aca="false">IF(A3727="","",IFERROR(buscarx(A3727&amp;B3727,DATA!$E$3:$E$10000&amp;DATA!$B$3:$B$10000,DATA!$W$3:$W$10000),"No encontrado"))</f>
        <v/>
      </c>
      <c r="E3727" s="22"/>
      <c r="F3727" s="23" t="str">
        <f aca="false">IF(A3727="","",IFERROR(buscarx(A3727&amp;E3727,DATA!$E$3:$E$10000&amp;DATA!$B$3:$B$10000,DATA!$M$3:$M$10000),"Inactivo"))</f>
        <v/>
      </c>
      <c r="G3727" s="25" t="str">
        <f aca="false">IF(A3727="","",IF(AND(C3727&lt;&gt;"No encontrado",F3727&lt;&gt;"Inactivo"),C3727&amp;" → "&amp;F3727,"Sin transición"))</f>
        <v/>
      </c>
      <c r="H3727" s="23" t="str">
        <f aca="false">IF(A3727="","",IF(D3727="GCIA LINEA SERVICIO DIGITALIDAD Y VENTAS","Chats",IF(OR(D3727="GERENCIA INBOUND LÍNEAS SERVICIO Y VENTA",D3727="GERENCIA INBOUND LINEAS ESPECIALIZADAS"),"Llamadas","Otro")))</f>
        <v/>
      </c>
      <c r="I3727" s="23" t="str">
        <f aca="false">IF(A3727="","",IF(C3727="No encontrado","No","Sí"))</f>
        <v/>
      </c>
      <c r="J3727" s="23" t="str">
        <f aca="false">IF(A3727="","",IF(F3727="Inactivo","No","Sí"))</f>
        <v/>
      </c>
      <c r="K3727" s="23" t="str">
        <f aca="false">IF(A3727="","",IF(AND(I3727="Sí",J3727="Sí"),"Sí","No"))</f>
        <v/>
      </c>
    </row>
    <row r="3728" customFormat="false" ht="15" hidden="false" customHeight="false" outlineLevel="0" collapsed="false">
      <c r="A3728" s="22"/>
      <c r="B3728" s="22"/>
      <c r="C3728" s="26" t="str">
        <f aca="false">IF(A3728="","",IFERROR(buscarx(A3728&amp;B3728,DATA!$E$3:$E$10000&amp;DATA!$B$3:$B$10000,DATA!$M$3:$M$10000),"No encontrado"))</f>
        <v/>
      </c>
      <c r="D3728" s="27" t="str">
        <f aca="false">IF(A3728="","",IFERROR(buscarx(A3728&amp;B3728,DATA!$E$3:$E$10000&amp;DATA!$B$3:$B$10000,DATA!$W$3:$W$10000),"No encontrado"))</f>
        <v/>
      </c>
      <c r="E3728" s="22"/>
      <c r="F3728" s="26" t="str">
        <f aca="false">IF(A3728="","",IFERROR(buscarx(A3728&amp;E3728,DATA!$E$3:$E$10000&amp;DATA!$B$3:$B$10000,DATA!$M$3:$M$10000),"Inactivo"))</f>
        <v/>
      </c>
      <c r="G3728" s="28" t="str">
        <f aca="false">IF(A3728="","",IF(AND(C3728&lt;&gt;"No encontrado",F3728&lt;&gt;"Inactivo"),C3728&amp;" → "&amp;F3728,"Sin transición"))</f>
        <v/>
      </c>
      <c r="H3728" s="26" t="str">
        <f aca="false">IF(A3728="","",IF(D3728="GCIA LINEA SERVICIO DIGITALIDAD Y VENTAS","Chats",IF(OR(D3728="GERENCIA INBOUND LÍNEAS SERVICIO Y VENTA",D3728="GERENCIA INBOUND LINEAS ESPECIALIZADAS"),"Llamadas","Otro")))</f>
        <v/>
      </c>
      <c r="I3728" s="26" t="str">
        <f aca="false">IF(A3728="","",IF(C3728="No encontrado","No","Sí"))</f>
        <v/>
      </c>
      <c r="J3728" s="26" t="str">
        <f aca="false">IF(A3728="","",IF(F3728="Inactivo","No","Sí"))</f>
        <v/>
      </c>
      <c r="K3728" s="26" t="str">
        <f aca="false">IF(A3728="","",IF(AND(I3728="Sí",J3728="Sí"),"Sí","No"))</f>
        <v/>
      </c>
    </row>
    <row r="3729" customFormat="false" ht="15" hidden="false" customHeight="false" outlineLevel="0" collapsed="false">
      <c r="A3729" s="22"/>
      <c r="B3729" s="22"/>
      <c r="C3729" s="23" t="str">
        <f aca="false">IF(A3729="","",IFERROR(buscarx(A3729&amp;B3729,DATA!$E$3:$E$10000&amp;DATA!$B$3:$B$10000,DATA!$M$3:$M$10000),"No encontrado"))</f>
        <v/>
      </c>
      <c r="D3729" s="24" t="str">
        <f aca="false">IF(A3729="","",IFERROR(buscarx(A3729&amp;B3729,DATA!$E$3:$E$10000&amp;DATA!$B$3:$B$10000,DATA!$W$3:$W$10000),"No encontrado"))</f>
        <v/>
      </c>
      <c r="E3729" s="22"/>
      <c r="F3729" s="23" t="str">
        <f aca="false">IF(A3729="","",IFERROR(buscarx(A3729&amp;E3729,DATA!$E$3:$E$10000&amp;DATA!$B$3:$B$10000,DATA!$M$3:$M$10000),"Inactivo"))</f>
        <v/>
      </c>
      <c r="G3729" s="25" t="str">
        <f aca="false">IF(A3729="","",IF(AND(C3729&lt;&gt;"No encontrado",F3729&lt;&gt;"Inactivo"),C3729&amp;" → "&amp;F3729,"Sin transición"))</f>
        <v/>
      </c>
      <c r="H3729" s="23" t="str">
        <f aca="false">IF(A3729="","",IF(D3729="GCIA LINEA SERVICIO DIGITALIDAD Y VENTAS","Chats",IF(OR(D3729="GERENCIA INBOUND LÍNEAS SERVICIO Y VENTA",D3729="GERENCIA INBOUND LINEAS ESPECIALIZADAS"),"Llamadas","Otro")))</f>
        <v/>
      </c>
      <c r="I3729" s="23" t="str">
        <f aca="false">IF(A3729="","",IF(C3729="No encontrado","No","Sí"))</f>
        <v/>
      </c>
      <c r="J3729" s="23" t="str">
        <f aca="false">IF(A3729="","",IF(F3729="Inactivo","No","Sí"))</f>
        <v/>
      </c>
      <c r="K3729" s="23" t="str">
        <f aca="false">IF(A3729="","",IF(AND(I3729="Sí",J3729="Sí"),"Sí","No"))</f>
        <v/>
      </c>
    </row>
    <row r="3730" customFormat="false" ht="15" hidden="false" customHeight="false" outlineLevel="0" collapsed="false">
      <c r="A3730" s="22"/>
      <c r="B3730" s="22"/>
      <c r="C3730" s="26" t="str">
        <f aca="false">IF(A3730="","",IFERROR(buscarx(A3730&amp;B3730,DATA!$E$3:$E$10000&amp;DATA!$B$3:$B$10000,DATA!$M$3:$M$10000),"No encontrado"))</f>
        <v/>
      </c>
      <c r="D3730" s="27" t="str">
        <f aca="false">IF(A3730="","",IFERROR(buscarx(A3730&amp;B3730,DATA!$E$3:$E$10000&amp;DATA!$B$3:$B$10000,DATA!$W$3:$W$10000),"No encontrado"))</f>
        <v/>
      </c>
      <c r="E3730" s="22"/>
      <c r="F3730" s="26" t="str">
        <f aca="false">IF(A3730="","",IFERROR(buscarx(A3730&amp;E3730,DATA!$E$3:$E$10000&amp;DATA!$B$3:$B$10000,DATA!$M$3:$M$10000),"Inactivo"))</f>
        <v/>
      </c>
      <c r="G3730" s="28" t="str">
        <f aca="false">IF(A3730="","",IF(AND(C3730&lt;&gt;"No encontrado",F3730&lt;&gt;"Inactivo"),C3730&amp;" → "&amp;F3730,"Sin transición"))</f>
        <v/>
      </c>
      <c r="H3730" s="26" t="str">
        <f aca="false">IF(A3730="","",IF(D3730="GCIA LINEA SERVICIO DIGITALIDAD Y VENTAS","Chats",IF(OR(D3730="GERENCIA INBOUND LÍNEAS SERVICIO Y VENTA",D3730="GERENCIA INBOUND LINEAS ESPECIALIZADAS"),"Llamadas","Otro")))</f>
        <v/>
      </c>
      <c r="I3730" s="26" t="str">
        <f aca="false">IF(A3730="","",IF(C3730="No encontrado","No","Sí"))</f>
        <v/>
      </c>
      <c r="J3730" s="26" t="str">
        <f aca="false">IF(A3730="","",IF(F3730="Inactivo","No","Sí"))</f>
        <v/>
      </c>
      <c r="K3730" s="26" t="str">
        <f aca="false">IF(A3730="","",IF(AND(I3730="Sí",J3730="Sí"),"Sí","No"))</f>
        <v/>
      </c>
    </row>
    <row r="3731" customFormat="false" ht="15" hidden="false" customHeight="false" outlineLevel="0" collapsed="false">
      <c r="A3731" s="22"/>
      <c r="B3731" s="22"/>
      <c r="C3731" s="23" t="str">
        <f aca="false">IF(A3731="","",IFERROR(buscarx(A3731&amp;B3731,DATA!$E$3:$E$10000&amp;DATA!$B$3:$B$10000,DATA!$M$3:$M$10000),"No encontrado"))</f>
        <v/>
      </c>
      <c r="D3731" s="24" t="str">
        <f aca="false">IF(A3731="","",IFERROR(buscarx(A3731&amp;B3731,DATA!$E$3:$E$10000&amp;DATA!$B$3:$B$10000,DATA!$W$3:$W$10000),"No encontrado"))</f>
        <v/>
      </c>
      <c r="E3731" s="22"/>
      <c r="F3731" s="23" t="str">
        <f aca="false">IF(A3731="","",IFERROR(buscarx(A3731&amp;E3731,DATA!$E$3:$E$10000&amp;DATA!$B$3:$B$10000,DATA!$M$3:$M$10000),"Inactivo"))</f>
        <v/>
      </c>
      <c r="G3731" s="25" t="str">
        <f aca="false">IF(A3731="","",IF(AND(C3731&lt;&gt;"No encontrado",F3731&lt;&gt;"Inactivo"),C3731&amp;" → "&amp;F3731,"Sin transición"))</f>
        <v/>
      </c>
      <c r="H3731" s="23" t="str">
        <f aca="false">IF(A3731="","",IF(D3731="GCIA LINEA SERVICIO DIGITALIDAD Y VENTAS","Chats",IF(OR(D3731="GERENCIA INBOUND LÍNEAS SERVICIO Y VENTA",D3731="GERENCIA INBOUND LINEAS ESPECIALIZADAS"),"Llamadas","Otro")))</f>
        <v/>
      </c>
      <c r="I3731" s="23" t="str">
        <f aca="false">IF(A3731="","",IF(C3731="No encontrado","No","Sí"))</f>
        <v/>
      </c>
      <c r="J3731" s="23" t="str">
        <f aca="false">IF(A3731="","",IF(F3731="Inactivo","No","Sí"))</f>
        <v/>
      </c>
      <c r="K3731" s="23" t="str">
        <f aca="false">IF(A3731="","",IF(AND(I3731="Sí",J3731="Sí"),"Sí","No"))</f>
        <v/>
      </c>
    </row>
    <row r="3732" customFormat="false" ht="15" hidden="false" customHeight="false" outlineLevel="0" collapsed="false">
      <c r="A3732" s="22"/>
      <c r="B3732" s="22"/>
      <c r="C3732" s="26" t="str">
        <f aca="false">IF(A3732="","",IFERROR(buscarx(A3732&amp;B3732,DATA!$E$3:$E$10000&amp;DATA!$B$3:$B$10000,DATA!$M$3:$M$10000),"No encontrado"))</f>
        <v/>
      </c>
      <c r="D3732" s="27" t="str">
        <f aca="false">IF(A3732="","",IFERROR(buscarx(A3732&amp;B3732,DATA!$E$3:$E$10000&amp;DATA!$B$3:$B$10000,DATA!$W$3:$W$10000),"No encontrado"))</f>
        <v/>
      </c>
      <c r="E3732" s="22"/>
      <c r="F3732" s="26" t="str">
        <f aca="false">IF(A3732="","",IFERROR(buscarx(A3732&amp;E3732,DATA!$E$3:$E$10000&amp;DATA!$B$3:$B$10000,DATA!$M$3:$M$10000),"Inactivo"))</f>
        <v/>
      </c>
      <c r="G3732" s="28" t="str">
        <f aca="false">IF(A3732="","",IF(AND(C3732&lt;&gt;"No encontrado",F3732&lt;&gt;"Inactivo"),C3732&amp;" → "&amp;F3732,"Sin transición"))</f>
        <v/>
      </c>
      <c r="H3732" s="26" t="str">
        <f aca="false">IF(A3732="","",IF(D3732="GCIA LINEA SERVICIO DIGITALIDAD Y VENTAS","Chats",IF(OR(D3732="GERENCIA INBOUND LÍNEAS SERVICIO Y VENTA",D3732="GERENCIA INBOUND LINEAS ESPECIALIZADAS"),"Llamadas","Otro")))</f>
        <v/>
      </c>
      <c r="I3732" s="26" t="str">
        <f aca="false">IF(A3732="","",IF(C3732="No encontrado","No","Sí"))</f>
        <v/>
      </c>
      <c r="J3732" s="26" t="str">
        <f aca="false">IF(A3732="","",IF(F3732="Inactivo","No","Sí"))</f>
        <v/>
      </c>
      <c r="K3732" s="26" t="str">
        <f aca="false">IF(A3732="","",IF(AND(I3732="Sí",J3732="Sí"),"Sí","No"))</f>
        <v/>
      </c>
    </row>
    <row r="3733" customFormat="false" ht="15" hidden="false" customHeight="false" outlineLevel="0" collapsed="false">
      <c r="A3733" s="22"/>
      <c r="B3733" s="22"/>
      <c r="C3733" s="23" t="str">
        <f aca="false">IF(A3733="","",IFERROR(buscarx(A3733&amp;B3733,DATA!$E$3:$E$10000&amp;DATA!$B$3:$B$10000,DATA!$M$3:$M$10000),"No encontrado"))</f>
        <v/>
      </c>
      <c r="D3733" s="24" t="str">
        <f aca="false">IF(A3733="","",IFERROR(buscarx(A3733&amp;B3733,DATA!$E$3:$E$10000&amp;DATA!$B$3:$B$10000,DATA!$W$3:$W$10000),"No encontrado"))</f>
        <v/>
      </c>
      <c r="E3733" s="22"/>
      <c r="F3733" s="23" t="str">
        <f aca="false">IF(A3733="","",IFERROR(buscarx(A3733&amp;E3733,DATA!$E$3:$E$10000&amp;DATA!$B$3:$B$10000,DATA!$M$3:$M$10000),"Inactivo"))</f>
        <v/>
      </c>
      <c r="G3733" s="25" t="str">
        <f aca="false">IF(A3733="","",IF(AND(C3733&lt;&gt;"No encontrado",F3733&lt;&gt;"Inactivo"),C3733&amp;" → "&amp;F3733,"Sin transición"))</f>
        <v/>
      </c>
      <c r="H3733" s="23" t="str">
        <f aca="false">IF(A3733="","",IF(D3733="GCIA LINEA SERVICIO DIGITALIDAD Y VENTAS","Chats",IF(OR(D3733="GERENCIA INBOUND LÍNEAS SERVICIO Y VENTA",D3733="GERENCIA INBOUND LINEAS ESPECIALIZADAS"),"Llamadas","Otro")))</f>
        <v/>
      </c>
      <c r="I3733" s="23" t="str">
        <f aca="false">IF(A3733="","",IF(C3733="No encontrado","No","Sí"))</f>
        <v/>
      </c>
      <c r="J3733" s="23" t="str">
        <f aca="false">IF(A3733="","",IF(F3733="Inactivo","No","Sí"))</f>
        <v/>
      </c>
      <c r="K3733" s="23" t="str">
        <f aca="false">IF(A3733="","",IF(AND(I3733="Sí",J3733="Sí"),"Sí","No"))</f>
        <v/>
      </c>
    </row>
    <row r="3734" customFormat="false" ht="15" hidden="false" customHeight="false" outlineLevel="0" collapsed="false">
      <c r="A3734" s="22"/>
      <c r="B3734" s="22"/>
      <c r="C3734" s="26" t="str">
        <f aca="false">IF(A3734="","",IFERROR(buscarx(A3734&amp;B3734,DATA!$E$3:$E$10000&amp;DATA!$B$3:$B$10000,DATA!$M$3:$M$10000),"No encontrado"))</f>
        <v/>
      </c>
      <c r="D3734" s="27" t="str">
        <f aca="false">IF(A3734="","",IFERROR(buscarx(A3734&amp;B3734,DATA!$E$3:$E$10000&amp;DATA!$B$3:$B$10000,DATA!$W$3:$W$10000),"No encontrado"))</f>
        <v/>
      </c>
      <c r="E3734" s="22"/>
      <c r="F3734" s="26" t="str">
        <f aca="false">IF(A3734="","",IFERROR(buscarx(A3734&amp;E3734,DATA!$E$3:$E$10000&amp;DATA!$B$3:$B$10000,DATA!$M$3:$M$10000),"Inactivo"))</f>
        <v/>
      </c>
      <c r="G3734" s="28" t="str">
        <f aca="false">IF(A3734="","",IF(AND(C3734&lt;&gt;"No encontrado",F3734&lt;&gt;"Inactivo"),C3734&amp;" → "&amp;F3734,"Sin transición"))</f>
        <v/>
      </c>
      <c r="H3734" s="26" t="str">
        <f aca="false">IF(A3734="","",IF(D3734="GCIA LINEA SERVICIO DIGITALIDAD Y VENTAS","Chats",IF(OR(D3734="GERENCIA INBOUND LÍNEAS SERVICIO Y VENTA",D3734="GERENCIA INBOUND LINEAS ESPECIALIZADAS"),"Llamadas","Otro")))</f>
        <v/>
      </c>
      <c r="I3734" s="26" t="str">
        <f aca="false">IF(A3734="","",IF(C3734="No encontrado","No","Sí"))</f>
        <v/>
      </c>
      <c r="J3734" s="26" t="str">
        <f aca="false">IF(A3734="","",IF(F3734="Inactivo","No","Sí"))</f>
        <v/>
      </c>
      <c r="K3734" s="26" t="str">
        <f aca="false">IF(A3734="","",IF(AND(I3734="Sí",J3734="Sí"),"Sí","No"))</f>
        <v/>
      </c>
    </row>
    <row r="3735" customFormat="false" ht="15" hidden="false" customHeight="false" outlineLevel="0" collapsed="false">
      <c r="A3735" s="22"/>
      <c r="B3735" s="22"/>
      <c r="C3735" s="23" t="str">
        <f aca="false">IF(A3735="","",IFERROR(buscarx(A3735&amp;B3735,DATA!$E$3:$E$10000&amp;DATA!$B$3:$B$10000,DATA!$M$3:$M$10000),"No encontrado"))</f>
        <v/>
      </c>
      <c r="D3735" s="24" t="str">
        <f aca="false">IF(A3735="","",IFERROR(buscarx(A3735&amp;B3735,DATA!$E$3:$E$10000&amp;DATA!$B$3:$B$10000,DATA!$W$3:$W$10000),"No encontrado"))</f>
        <v/>
      </c>
      <c r="E3735" s="22"/>
      <c r="F3735" s="23" t="str">
        <f aca="false">IF(A3735="","",IFERROR(buscarx(A3735&amp;E3735,DATA!$E$3:$E$10000&amp;DATA!$B$3:$B$10000,DATA!$M$3:$M$10000),"Inactivo"))</f>
        <v/>
      </c>
      <c r="G3735" s="25" t="str">
        <f aca="false">IF(A3735="","",IF(AND(C3735&lt;&gt;"No encontrado",F3735&lt;&gt;"Inactivo"),C3735&amp;" → "&amp;F3735,"Sin transición"))</f>
        <v/>
      </c>
      <c r="H3735" s="23" t="str">
        <f aca="false">IF(A3735="","",IF(D3735="GCIA LINEA SERVICIO DIGITALIDAD Y VENTAS","Chats",IF(OR(D3735="GERENCIA INBOUND LÍNEAS SERVICIO Y VENTA",D3735="GERENCIA INBOUND LINEAS ESPECIALIZADAS"),"Llamadas","Otro")))</f>
        <v/>
      </c>
      <c r="I3735" s="23" t="str">
        <f aca="false">IF(A3735="","",IF(C3735="No encontrado","No","Sí"))</f>
        <v/>
      </c>
      <c r="J3735" s="23" t="str">
        <f aca="false">IF(A3735="","",IF(F3735="Inactivo","No","Sí"))</f>
        <v/>
      </c>
      <c r="K3735" s="23" t="str">
        <f aca="false">IF(A3735="","",IF(AND(I3735="Sí",J3735="Sí"),"Sí","No"))</f>
        <v/>
      </c>
    </row>
    <row r="3736" customFormat="false" ht="15" hidden="false" customHeight="false" outlineLevel="0" collapsed="false">
      <c r="A3736" s="22"/>
      <c r="B3736" s="22"/>
      <c r="C3736" s="26" t="str">
        <f aca="false">IF(A3736="","",IFERROR(buscarx(A3736&amp;B3736,DATA!$E$3:$E$10000&amp;DATA!$B$3:$B$10000,DATA!$M$3:$M$10000),"No encontrado"))</f>
        <v/>
      </c>
      <c r="D3736" s="27" t="str">
        <f aca="false">IF(A3736="","",IFERROR(buscarx(A3736&amp;B3736,DATA!$E$3:$E$10000&amp;DATA!$B$3:$B$10000,DATA!$W$3:$W$10000),"No encontrado"))</f>
        <v/>
      </c>
      <c r="E3736" s="22"/>
      <c r="F3736" s="26" t="str">
        <f aca="false">IF(A3736="","",IFERROR(buscarx(A3736&amp;E3736,DATA!$E$3:$E$10000&amp;DATA!$B$3:$B$10000,DATA!$M$3:$M$10000),"Inactivo"))</f>
        <v/>
      </c>
      <c r="G3736" s="28" t="str">
        <f aca="false">IF(A3736="","",IF(AND(C3736&lt;&gt;"No encontrado",F3736&lt;&gt;"Inactivo"),C3736&amp;" → "&amp;F3736,"Sin transición"))</f>
        <v/>
      </c>
      <c r="H3736" s="26" t="str">
        <f aca="false">IF(A3736="","",IF(D3736="GCIA LINEA SERVICIO DIGITALIDAD Y VENTAS","Chats",IF(OR(D3736="GERENCIA INBOUND LÍNEAS SERVICIO Y VENTA",D3736="GERENCIA INBOUND LINEAS ESPECIALIZADAS"),"Llamadas","Otro")))</f>
        <v/>
      </c>
      <c r="I3736" s="26" t="str">
        <f aca="false">IF(A3736="","",IF(C3736="No encontrado","No","Sí"))</f>
        <v/>
      </c>
      <c r="J3736" s="26" t="str">
        <f aca="false">IF(A3736="","",IF(F3736="Inactivo","No","Sí"))</f>
        <v/>
      </c>
      <c r="K3736" s="26" t="str">
        <f aca="false">IF(A3736="","",IF(AND(I3736="Sí",J3736="Sí"),"Sí","No"))</f>
        <v/>
      </c>
    </row>
    <row r="3737" customFormat="false" ht="15" hidden="false" customHeight="false" outlineLevel="0" collapsed="false">
      <c r="A3737" s="22"/>
      <c r="B3737" s="22"/>
      <c r="C3737" s="23" t="str">
        <f aca="false">IF(A3737="","",IFERROR(buscarx(A3737&amp;B3737,DATA!$E$3:$E$10000&amp;DATA!$B$3:$B$10000,DATA!$M$3:$M$10000),"No encontrado"))</f>
        <v/>
      </c>
      <c r="D3737" s="24" t="str">
        <f aca="false">IF(A3737="","",IFERROR(buscarx(A3737&amp;B3737,DATA!$E$3:$E$10000&amp;DATA!$B$3:$B$10000,DATA!$W$3:$W$10000),"No encontrado"))</f>
        <v/>
      </c>
      <c r="E3737" s="22"/>
      <c r="F3737" s="23" t="str">
        <f aca="false">IF(A3737="","",IFERROR(buscarx(A3737&amp;E3737,DATA!$E$3:$E$10000&amp;DATA!$B$3:$B$10000,DATA!$M$3:$M$10000),"Inactivo"))</f>
        <v/>
      </c>
      <c r="G3737" s="25" t="str">
        <f aca="false">IF(A3737="","",IF(AND(C3737&lt;&gt;"No encontrado",F3737&lt;&gt;"Inactivo"),C3737&amp;" → "&amp;F3737,"Sin transición"))</f>
        <v/>
      </c>
      <c r="H3737" s="23" t="str">
        <f aca="false">IF(A3737="","",IF(D3737="GCIA LINEA SERVICIO DIGITALIDAD Y VENTAS","Chats",IF(OR(D3737="GERENCIA INBOUND LÍNEAS SERVICIO Y VENTA",D3737="GERENCIA INBOUND LINEAS ESPECIALIZADAS"),"Llamadas","Otro")))</f>
        <v/>
      </c>
      <c r="I3737" s="23" t="str">
        <f aca="false">IF(A3737="","",IF(C3737="No encontrado","No","Sí"))</f>
        <v/>
      </c>
      <c r="J3737" s="23" t="str">
        <f aca="false">IF(A3737="","",IF(F3737="Inactivo","No","Sí"))</f>
        <v/>
      </c>
      <c r="K3737" s="23" t="str">
        <f aca="false">IF(A3737="","",IF(AND(I3737="Sí",J3737="Sí"),"Sí","No"))</f>
        <v/>
      </c>
    </row>
    <row r="3738" customFormat="false" ht="15" hidden="false" customHeight="false" outlineLevel="0" collapsed="false">
      <c r="A3738" s="22"/>
      <c r="B3738" s="22"/>
      <c r="C3738" s="26" t="str">
        <f aca="false">IF(A3738="","",IFERROR(buscarx(A3738&amp;B3738,DATA!$E$3:$E$10000&amp;DATA!$B$3:$B$10000,DATA!$M$3:$M$10000),"No encontrado"))</f>
        <v/>
      </c>
      <c r="D3738" s="27" t="str">
        <f aca="false">IF(A3738="","",IFERROR(buscarx(A3738&amp;B3738,DATA!$E$3:$E$10000&amp;DATA!$B$3:$B$10000,DATA!$W$3:$W$10000),"No encontrado"))</f>
        <v/>
      </c>
      <c r="E3738" s="22"/>
      <c r="F3738" s="26" t="str">
        <f aca="false">IF(A3738="","",IFERROR(buscarx(A3738&amp;E3738,DATA!$E$3:$E$10000&amp;DATA!$B$3:$B$10000,DATA!$M$3:$M$10000),"Inactivo"))</f>
        <v/>
      </c>
      <c r="G3738" s="28" t="str">
        <f aca="false">IF(A3738="","",IF(AND(C3738&lt;&gt;"No encontrado",F3738&lt;&gt;"Inactivo"),C3738&amp;" → "&amp;F3738,"Sin transición"))</f>
        <v/>
      </c>
      <c r="H3738" s="26" t="str">
        <f aca="false">IF(A3738="","",IF(D3738="GCIA LINEA SERVICIO DIGITALIDAD Y VENTAS","Chats",IF(OR(D3738="GERENCIA INBOUND LÍNEAS SERVICIO Y VENTA",D3738="GERENCIA INBOUND LINEAS ESPECIALIZADAS"),"Llamadas","Otro")))</f>
        <v/>
      </c>
      <c r="I3738" s="26" t="str">
        <f aca="false">IF(A3738="","",IF(C3738="No encontrado","No","Sí"))</f>
        <v/>
      </c>
      <c r="J3738" s="26" t="str">
        <f aca="false">IF(A3738="","",IF(F3738="Inactivo","No","Sí"))</f>
        <v/>
      </c>
      <c r="K3738" s="26" t="str">
        <f aca="false">IF(A3738="","",IF(AND(I3738="Sí",J3738="Sí"),"Sí","No"))</f>
        <v/>
      </c>
    </row>
    <row r="3739" customFormat="false" ht="15" hidden="false" customHeight="false" outlineLevel="0" collapsed="false">
      <c r="A3739" s="22"/>
      <c r="B3739" s="22"/>
      <c r="C3739" s="23" t="str">
        <f aca="false">IF(A3739="","",IFERROR(buscarx(A3739&amp;B3739,DATA!$E$3:$E$10000&amp;DATA!$B$3:$B$10000,DATA!$M$3:$M$10000),"No encontrado"))</f>
        <v/>
      </c>
      <c r="D3739" s="24" t="str">
        <f aca="false">IF(A3739="","",IFERROR(buscarx(A3739&amp;B3739,DATA!$E$3:$E$10000&amp;DATA!$B$3:$B$10000,DATA!$W$3:$W$10000),"No encontrado"))</f>
        <v/>
      </c>
      <c r="E3739" s="22"/>
      <c r="F3739" s="23" t="str">
        <f aca="false">IF(A3739="","",IFERROR(buscarx(A3739&amp;E3739,DATA!$E$3:$E$10000&amp;DATA!$B$3:$B$10000,DATA!$M$3:$M$10000),"Inactivo"))</f>
        <v/>
      </c>
      <c r="G3739" s="25" t="str">
        <f aca="false">IF(A3739="","",IF(AND(C3739&lt;&gt;"No encontrado",F3739&lt;&gt;"Inactivo"),C3739&amp;" → "&amp;F3739,"Sin transición"))</f>
        <v/>
      </c>
      <c r="H3739" s="23" t="str">
        <f aca="false">IF(A3739="","",IF(D3739="GCIA LINEA SERVICIO DIGITALIDAD Y VENTAS","Chats",IF(OR(D3739="GERENCIA INBOUND LÍNEAS SERVICIO Y VENTA",D3739="GERENCIA INBOUND LINEAS ESPECIALIZADAS"),"Llamadas","Otro")))</f>
        <v/>
      </c>
      <c r="I3739" s="23" t="str">
        <f aca="false">IF(A3739="","",IF(C3739="No encontrado","No","Sí"))</f>
        <v/>
      </c>
      <c r="J3739" s="23" t="str">
        <f aca="false">IF(A3739="","",IF(F3739="Inactivo","No","Sí"))</f>
        <v/>
      </c>
      <c r="K3739" s="23" t="str">
        <f aca="false">IF(A3739="","",IF(AND(I3739="Sí",J3739="Sí"),"Sí","No"))</f>
        <v/>
      </c>
    </row>
    <row r="3740" customFormat="false" ht="15" hidden="false" customHeight="false" outlineLevel="0" collapsed="false">
      <c r="A3740" s="22"/>
      <c r="B3740" s="22"/>
      <c r="C3740" s="26" t="str">
        <f aca="false">IF(A3740="","",IFERROR(buscarx(A3740&amp;B3740,DATA!$E$3:$E$10000&amp;DATA!$B$3:$B$10000,DATA!$M$3:$M$10000),"No encontrado"))</f>
        <v/>
      </c>
      <c r="D3740" s="27" t="str">
        <f aca="false">IF(A3740="","",IFERROR(buscarx(A3740&amp;B3740,DATA!$E$3:$E$10000&amp;DATA!$B$3:$B$10000,DATA!$W$3:$W$10000),"No encontrado"))</f>
        <v/>
      </c>
      <c r="E3740" s="22"/>
      <c r="F3740" s="26" t="str">
        <f aca="false">IF(A3740="","",IFERROR(buscarx(A3740&amp;E3740,DATA!$E$3:$E$10000&amp;DATA!$B$3:$B$10000,DATA!$M$3:$M$10000),"Inactivo"))</f>
        <v/>
      </c>
      <c r="G3740" s="28" t="str">
        <f aca="false">IF(A3740="","",IF(AND(C3740&lt;&gt;"No encontrado",F3740&lt;&gt;"Inactivo"),C3740&amp;" → "&amp;F3740,"Sin transición"))</f>
        <v/>
      </c>
      <c r="H3740" s="26" t="str">
        <f aca="false">IF(A3740="","",IF(D3740="GCIA LINEA SERVICIO DIGITALIDAD Y VENTAS","Chats",IF(OR(D3740="GERENCIA INBOUND LÍNEAS SERVICIO Y VENTA",D3740="GERENCIA INBOUND LINEAS ESPECIALIZADAS"),"Llamadas","Otro")))</f>
        <v/>
      </c>
      <c r="I3740" s="26" t="str">
        <f aca="false">IF(A3740="","",IF(C3740="No encontrado","No","Sí"))</f>
        <v/>
      </c>
      <c r="J3740" s="26" t="str">
        <f aca="false">IF(A3740="","",IF(F3740="Inactivo","No","Sí"))</f>
        <v/>
      </c>
      <c r="K3740" s="26" t="str">
        <f aca="false">IF(A3740="","",IF(AND(I3740="Sí",J3740="Sí"),"Sí","No"))</f>
        <v/>
      </c>
    </row>
    <row r="3741" customFormat="false" ht="15" hidden="false" customHeight="false" outlineLevel="0" collapsed="false">
      <c r="A3741" s="22"/>
      <c r="B3741" s="22"/>
      <c r="C3741" s="23" t="str">
        <f aca="false">IF(A3741="","",IFERROR(buscarx(A3741&amp;B3741,DATA!$E$3:$E$10000&amp;DATA!$B$3:$B$10000,DATA!$M$3:$M$10000),"No encontrado"))</f>
        <v/>
      </c>
      <c r="D3741" s="24" t="str">
        <f aca="false">IF(A3741="","",IFERROR(buscarx(A3741&amp;B3741,DATA!$E$3:$E$10000&amp;DATA!$B$3:$B$10000,DATA!$W$3:$W$10000),"No encontrado"))</f>
        <v/>
      </c>
      <c r="E3741" s="22"/>
      <c r="F3741" s="23" t="str">
        <f aca="false">IF(A3741="","",IFERROR(buscarx(A3741&amp;E3741,DATA!$E$3:$E$10000&amp;DATA!$B$3:$B$10000,DATA!$M$3:$M$10000),"Inactivo"))</f>
        <v/>
      </c>
      <c r="G3741" s="25" t="str">
        <f aca="false">IF(A3741="","",IF(AND(C3741&lt;&gt;"No encontrado",F3741&lt;&gt;"Inactivo"),C3741&amp;" → "&amp;F3741,"Sin transición"))</f>
        <v/>
      </c>
      <c r="H3741" s="23" t="str">
        <f aca="false">IF(A3741="","",IF(D3741="GCIA LINEA SERVICIO DIGITALIDAD Y VENTAS","Chats",IF(OR(D3741="GERENCIA INBOUND LÍNEAS SERVICIO Y VENTA",D3741="GERENCIA INBOUND LINEAS ESPECIALIZADAS"),"Llamadas","Otro")))</f>
        <v/>
      </c>
      <c r="I3741" s="23" t="str">
        <f aca="false">IF(A3741="","",IF(C3741="No encontrado","No","Sí"))</f>
        <v/>
      </c>
      <c r="J3741" s="23" t="str">
        <f aca="false">IF(A3741="","",IF(F3741="Inactivo","No","Sí"))</f>
        <v/>
      </c>
      <c r="K3741" s="23" t="str">
        <f aca="false">IF(A3741="","",IF(AND(I3741="Sí",J3741="Sí"),"Sí","No"))</f>
        <v/>
      </c>
    </row>
    <row r="3742" customFormat="false" ht="15" hidden="false" customHeight="false" outlineLevel="0" collapsed="false">
      <c r="A3742" s="22"/>
      <c r="B3742" s="22"/>
      <c r="C3742" s="26" t="str">
        <f aca="false">IF(A3742="","",IFERROR(buscarx(A3742&amp;B3742,DATA!$E$3:$E$10000&amp;DATA!$B$3:$B$10000,DATA!$M$3:$M$10000),"No encontrado"))</f>
        <v/>
      </c>
      <c r="D3742" s="27" t="str">
        <f aca="false">IF(A3742="","",IFERROR(buscarx(A3742&amp;B3742,DATA!$E$3:$E$10000&amp;DATA!$B$3:$B$10000,DATA!$W$3:$W$10000),"No encontrado"))</f>
        <v/>
      </c>
      <c r="E3742" s="22"/>
      <c r="F3742" s="26" t="str">
        <f aca="false">IF(A3742="","",IFERROR(buscarx(A3742&amp;E3742,DATA!$E$3:$E$10000&amp;DATA!$B$3:$B$10000,DATA!$M$3:$M$10000),"Inactivo"))</f>
        <v/>
      </c>
      <c r="G3742" s="28" t="str">
        <f aca="false">IF(A3742="","",IF(AND(C3742&lt;&gt;"No encontrado",F3742&lt;&gt;"Inactivo"),C3742&amp;" → "&amp;F3742,"Sin transición"))</f>
        <v/>
      </c>
      <c r="H3742" s="26" t="str">
        <f aca="false">IF(A3742="","",IF(D3742="GCIA LINEA SERVICIO DIGITALIDAD Y VENTAS","Chats",IF(OR(D3742="GERENCIA INBOUND LÍNEAS SERVICIO Y VENTA",D3742="GERENCIA INBOUND LINEAS ESPECIALIZADAS"),"Llamadas","Otro")))</f>
        <v/>
      </c>
      <c r="I3742" s="26" t="str">
        <f aca="false">IF(A3742="","",IF(C3742="No encontrado","No","Sí"))</f>
        <v/>
      </c>
      <c r="J3742" s="26" t="str">
        <f aca="false">IF(A3742="","",IF(F3742="Inactivo","No","Sí"))</f>
        <v/>
      </c>
      <c r="K3742" s="26" t="str">
        <f aca="false">IF(A3742="","",IF(AND(I3742="Sí",J3742="Sí"),"Sí","No"))</f>
        <v/>
      </c>
    </row>
    <row r="3743" customFormat="false" ht="15" hidden="false" customHeight="false" outlineLevel="0" collapsed="false">
      <c r="A3743" s="22"/>
      <c r="B3743" s="22"/>
      <c r="C3743" s="23" t="str">
        <f aca="false">IF(A3743="","",IFERROR(buscarx(A3743&amp;B3743,DATA!$E$3:$E$10000&amp;DATA!$B$3:$B$10000,DATA!$M$3:$M$10000),"No encontrado"))</f>
        <v/>
      </c>
      <c r="D3743" s="24" t="str">
        <f aca="false">IF(A3743="","",IFERROR(buscarx(A3743&amp;B3743,DATA!$E$3:$E$10000&amp;DATA!$B$3:$B$10000,DATA!$W$3:$W$10000),"No encontrado"))</f>
        <v/>
      </c>
      <c r="E3743" s="22"/>
      <c r="F3743" s="23" t="str">
        <f aca="false">IF(A3743="","",IFERROR(buscarx(A3743&amp;E3743,DATA!$E$3:$E$10000&amp;DATA!$B$3:$B$10000,DATA!$M$3:$M$10000),"Inactivo"))</f>
        <v/>
      </c>
      <c r="G3743" s="25" t="str">
        <f aca="false">IF(A3743="","",IF(AND(C3743&lt;&gt;"No encontrado",F3743&lt;&gt;"Inactivo"),C3743&amp;" → "&amp;F3743,"Sin transición"))</f>
        <v/>
      </c>
      <c r="H3743" s="23" t="str">
        <f aca="false">IF(A3743="","",IF(D3743="GCIA LINEA SERVICIO DIGITALIDAD Y VENTAS","Chats",IF(OR(D3743="GERENCIA INBOUND LÍNEAS SERVICIO Y VENTA",D3743="GERENCIA INBOUND LINEAS ESPECIALIZADAS"),"Llamadas","Otro")))</f>
        <v/>
      </c>
      <c r="I3743" s="23" t="str">
        <f aca="false">IF(A3743="","",IF(C3743="No encontrado","No","Sí"))</f>
        <v/>
      </c>
      <c r="J3743" s="23" t="str">
        <f aca="false">IF(A3743="","",IF(F3743="Inactivo","No","Sí"))</f>
        <v/>
      </c>
      <c r="K3743" s="23" t="str">
        <f aca="false">IF(A3743="","",IF(AND(I3743="Sí",J3743="Sí"),"Sí","No"))</f>
        <v/>
      </c>
    </row>
    <row r="3744" customFormat="false" ht="15" hidden="false" customHeight="false" outlineLevel="0" collapsed="false">
      <c r="A3744" s="22"/>
      <c r="B3744" s="22"/>
      <c r="C3744" s="26" t="str">
        <f aca="false">IF(A3744="","",IFERROR(buscarx(A3744&amp;B3744,DATA!$E$3:$E$10000&amp;DATA!$B$3:$B$10000,DATA!$M$3:$M$10000),"No encontrado"))</f>
        <v/>
      </c>
      <c r="D3744" s="27" t="str">
        <f aca="false">IF(A3744="","",IFERROR(buscarx(A3744&amp;B3744,DATA!$E$3:$E$10000&amp;DATA!$B$3:$B$10000,DATA!$W$3:$W$10000),"No encontrado"))</f>
        <v/>
      </c>
      <c r="E3744" s="22"/>
      <c r="F3744" s="26" t="str">
        <f aca="false">IF(A3744="","",IFERROR(buscarx(A3744&amp;E3744,DATA!$E$3:$E$10000&amp;DATA!$B$3:$B$10000,DATA!$M$3:$M$10000),"Inactivo"))</f>
        <v/>
      </c>
      <c r="G3744" s="28" t="str">
        <f aca="false">IF(A3744="","",IF(AND(C3744&lt;&gt;"No encontrado",F3744&lt;&gt;"Inactivo"),C3744&amp;" → "&amp;F3744,"Sin transición"))</f>
        <v/>
      </c>
      <c r="H3744" s="26" t="str">
        <f aca="false">IF(A3744="","",IF(D3744="GCIA LINEA SERVICIO DIGITALIDAD Y VENTAS","Chats",IF(OR(D3744="GERENCIA INBOUND LÍNEAS SERVICIO Y VENTA",D3744="GERENCIA INBOUND LINEAS ESPECIALIZADAS"),"Llamadas","Otro")))</f>
        <v/>
      </c>
      <c r="I3744" s="26" t="str">
        <f aca="false">IF(A3744="","",IF(C3744="No encontrado","No","Sí"))</f>
        <v/>
      </c>
      <c r="J3744" s="26" t="str">
        <f aca="false">IF(A3744="","",IF(F3744="Inactivo","No","Sí"))</f>
        <v/>
      </c>
      <c r="K3744" s="26" t="str">
        <f aca="false">IF(A3744="","",IF(AND(I3744="Sí",J3744="Sí"),"Sí","No"))</f>
        <v/>
      </c>
    </row>
    <row r="3745" customFormat="false" ht="15" hidden="false" customHeight="false" outlineLevel="0" collapsed="false">
      <c r="A3745" s="22"/>
      <c r="B3745" s="22"/>
      <c r="C3745" s="23" t="str">
        <f aca="false">IF(A3745="","",IFERROR(buscarx(A3745&amp;B3745,DATA!$E$3:$E$10000&amp;DATA!$B$3:$B$10000,DATA!$M$3:$M$10000),"No encontrado"))</f>
        <v/>
      </c>
      <c r="D3745" s="24" t="str">
        <f aca="false">IF(A3745="","",IFERROR(buscarx(A3745&amp;B3745,DATA!$E$3:$E$10000&amp;DATA!$B$3:$B$10000,DATA!$W$3:$W$10000),"No encontrado"))</f>
        <v/>
      </c>
      <c r="E3745" s="22"/>
      <c r="F3745" s="23" t="str">
        <f aca="false">IF(A3745="","",IFERROR(buscarx(A3745&amp;E3745,DATA!$E$3:$E$10000&amp;DATA!$B$3:$B$10000,DATA!$M$3:$M$10000),"Inactivo"))</f>
        <v/>
      </c>
      <c r="G3745" s="25" t="str">
        <f aca="false">IF(A3745="","",IF(AND(C3745&lt;&gt;"No encontrado",F3745&lt;&gt;"Inactivo"),C3745&amp;" → "&amp;F3745,"Sin transición"))</f>
        <v/>
      </c>
      <c r="H3745" s="23" t="str">
        <f aca="false">IF(A3745="","",IF(D3745="GCIA LINEA SERVICIO DIGITALIDAD Y VENTAS","Chats",IF(OR(D3745="GERENCIA INBOUND LÍNEAS SERVICIO Y VENTA",D3745="GERENCIA INBOUND LINEAS ESPECIALIZADAS"),"Llamadas","Otro")))</f>
        <v/>
      </c>
      <c r="I3745" s="23" t="str">
        <f aca="false">IF(A3745="","",IF(C3745="No encontrado","No","Sí"))</f>
        <v/>
      </c>
      <c r="J3745" s="23" t="str">
        <f aca="false">IF(A3745="","",IF(F3745="Inactivo","No","Sí"))</f>
        <v/>
      </c>
      <c r="K3745" s="23" t="str">
        <f aca="false">IF(A3745="","",IF(AND(I3745="Sí",J3745="Sí"),"Sí","No"))</f>
        <v/>
      </c>
    </row>
    <row r="3746" customFormat="false" ht="15" hidden="false" customHeight="false" outlineLevel="0" collapsed="false">
      <c r="A3746" s="22"/>
      <c r="B3746" s="22"/>
      <c r="C3746" s="26" t="str">
        <f aca="false">IF(A3746="","",IFERROR(buscarx(A3746&amp;B3746,DATA!$E$3:$E$10000&amp;DATA!$B$3:$B$10000,DATA!$M$3:$M$10000),"No encontrado"))</f>
        <v/>
      </c>
      <c r="D3746" s="27" t="str">
        <f aca="false">IF(A3746="","",IFERROR(buscarx(A3746&amp;B3746,DATA!$E$3:$E$10000&amp;DATA!$B$3:$B$10000,DATA!$W$3:$W$10000),"No encontrado"))</f>
        <v/>
      </c>
      <c r="E3746" s="22"/>
      <c r="F3746" s="26" t="str">
        <f aca="false">IF(A3746="","",IFERROR(buscarx(A3746&amp;E3746,DATA!$E$3:$E$10000&amp;DATA!$B$3:$B$10000,DATA!$M$3:$M$10000),"Inactivo"))</f>
        <v/>
      </c>
      <c r="G3746" s="28" t="str">
        <f aca="false">IF(A3746="","",IF(AND(C3746&lt;&gt;"No encontrado",F3746&lt;&gt;"Inactivo"),C3746&amp;" → "&amp;F3746,"Sin transición"))</f>
        <v/>
      </c>
      <c r="H3746" s="26" t="str">
        <f aca="false">IF(A3746="","",IF(D3746="GCIA LINEA SERVICIO DIGITALIDAD Y VENTAS","Chats",IF(OR(D3746="GERENCIA INBOUND LÍNEAS SERVICIO Y VENTA",D3746="GERENCIA INBOUND LINEAS ESPECIALIZADAS"),"Llamadas","Otro")))</f>
        <v/>
      </c>
      <c r="I3746" s="26" t="str">
        <f aca="false">IF(A3746="","",IF(C3746="No encontrado","No","Sí"))</f>
        <v/>
      </c>
      <c r="J3746" s="26" t="str">
        <f aca="false">IF(A3746="","",IF(F3746="Inactivo","No","Sí"))</f>
        <v/>
      </c>
      <c r="K3746" s="26" t="str">
        <f aca="false">IF(A3746="","",IF(AND(I3746="Sí",J3746="Sí"),"Sí","No"))</f>
        <v/>
      </c>
    </row>
    <row r="3747" customFormat="false" ht="15" hidden="false" customHeight="false" outlineLevel="0" collapsed="false">
      <c r="A3747" s="22"/>
      <c r="B3747" s="22"/>
      <c r="C3747" s="23" t="str">
        <f aca="false">IF(A3747="","",IFERROR(buscarx(A3747&amp;B3747,DATA!$E$3:$E$10000&amp;DATA!$B$3:$B$10000,DATA!$M$3:$M$10000),"No encontrado"))</f>
        <v/>
      </c>
      <c r="D3747" s="24" t="str">
        <f aca="false">IF(A3747="","",IFERROR(buscarx(A3747&amp;B3747,DATA!$E$3:$E$10000&amp;DATA!$B$3:$B$10000,DATA!$W$3:$W$10000),"No encontrado"))</f>
        <v/>
      </c>
      <c r="E3747" s="22"/>
      <c r="F3747" s="23" t="str">
        <f aca="false">IF(A3747="","",IFERROR(buscarx(A3747&amp;E3747,DATA!$E$3:$E$10000&amp;DATA!$B$3:$B$10000,DATA!$M$3:$M$10000),"Inactivo"))</f>
        <v/>
      </c>
      <c r="G3747" s="25" t="str">
        <f aca="false">IF(A3747="","",IF(AND(C3747&lt;&gt;"No encontrado",F3747&lt;&gt;"Inactivo"),C3747&amp;" → "&amp;F3747,"Sin transición"))</f>
        <v/>
      </c>
      <c r="H3747" s="23" t="str">
        <f aca="false">IF(A3747="","",IF(D3747="GCIA LINEA SERVICIO DIGITALIDAD Y VENTAS","Chats",IF(OR(D3747="GERENCIA INBOUND LÍNEAS SERVICIO Y VENTA",D3747="GERENCIA INBOUND LINEAS ESPECIALIZADAS"),"Llamadas","Otro")))</f>
        <v/>
      </c>
      <c r="I3747" s="23" t="str">
        <f aca="false">IF(A3747="","",IF(C3747="No encontrado","No","Sí"))</f>
        <v/>
      </c>
      <c r="J3747" s="23" t="str">
        <f aca="false">IF(A3747="","",IF(F3747="Inactivo","No","Sí"))</f>
        <v/>
      </c>
      <c r="K3747" s="23" t="str">
        <f aca="false">IF(A3747="","",IF(AND(I3747="Sí",J3747="Sí"),"Sí","No"))</f>
        <v/>
      </c>
    </row>
    <row r="3748" customFormat="false" ht="15" hidden="false" customHeight="false" outlineLevel="0" collapsed="false">
      <c r="A3748" s="22"/>
      <c r="B3748" s="22"/>
      <c r="C3748" s="26" t="str">
        <f aca="false">IF(A3748="","",IFERROR(buscarx(A3748&amp;B3748,DATA!$E$3:$E$10000&amp;DATA!$B$3:$B$10000,DATA!$M$3:$M$10000),"No encontrado"))</f>
        <v/>
      </c>
      <c r="D3748" s="27" t="str">
        <f aca="false">IF(A3748="","",IFERROR(buscarx(A3748&amp;B3748,DATA!$E$3:$E$10000&amp;DATA!$B$3:$B$10000,DATA!$W$3:$W$10000),"No encontrado"))</f>
        <v/>
      </c>
      <c r="E3748" s="22"/>
      <c r="F3748" s="26" t="str">
        <f aca="false">IF(A3748="","",IFERROR(buscarx(A3748&amp;E3748,DATA!$E$3:$E$10000&amp;DATA!$B$3:$B$10000,DATA!$M$3:$M$10000),"Inactivo"))</f>
        <v/>
      </c>
      <c r="G3748" s="28" t="str">
        <f aca="false">IF(A3748="","",IF(AND(C3748&lt;&gt;"No encontrado",F3748&lt;&gt;"Inactivo"),C3748&amp;" → "&amp;F3748,"Sin transición"))</f>
        <v/>
      </c>
      <c r="H3748" s="26" t="str">
        <f aca="false">IF(A3748="","",IF(D3748="GCIA LINEA SERVICIO DIGITALIDAD Y VENTAS","Chats",IF(OR(D3748="GERENCIA INBOUND LÍNEAS SERVICIO Y VENTA",D3748="GERENCIA INBOUND LINEAS ESPECIALIZADAS"),"Llamadas","Otro")))</f>
        <v/>
      </c>
      <c r="I3748" s="26" t="str">
        <f aca="false">IF(A3748="","",IF(C3748="No encontrado","No","Sí"))</f>
        <v/>
      </c>
      <c r="J3748" s="26" t="str">
        <f aca="false">IF(A3748="","",IF(F3748="Inactivo","No","Sí"))</f>
        <v/>
      </c>
      <c r="K3748" s="26" t="str">
        <f aca="false">IF(A3748="","",IF(AND(I3748="Sí",J3748="Sí"),"Sí","No"))</f>
        <v/>
      </c>
    </row>
    <row r="3749" customFormat="false" ht="15" hidden="false" customHeight="false" outlineLevel="0" collapsed="false">
      <c r="A3749" s="22"/>
      <c r="B3749" s="22"/>
      <c r="C3749" s="23" t="str">
        <f aca="false">IF(A3749="","",IFERROR(buscarx(A3749&amp;B3749,DATA!$E$3:$E$10000&amp;DATA!$B$3:$B$10000,DATA!$M$3:$M$10000),"No encontrado"))</f>
        <v/>
      </c>
      <c r="D3749" s="24" t="str">
        <f aca="false">IF(A3749="","",IFERROR(buscarx(A3749&amp;B3749,DATA!$E$3:$E$10000&amp;DATA!$B$3:$B$10000,DATA!$W$3:$W$10000),"No encontrado"))</f>
        <v/>
      </c>
      <c r="E3749" s="22"/>
      <c r="F3749" s="23" t="str">
        <f aca="false">IF(A3749="","",IFERROR(buscarx(A3749&amp;E3749,DATA!$E$3:$E$10000&amp;DATA!$B$3:$B$10000,DATA!$M$3:$M$10000),"Inactivo"))</f>
        <v/>
      </c>
      <c r="G3749" s="25" t="str">
        <f aca="false">IF(A3749="","",IF(AND(C3749&lt;&gt;"No encontrado",F3749&lt;&gt;"Inactivo"),C3749&amp;" → "&amp;F3749,"Sin transición"))</f>
        <v/>
      </c>
      <c r="H3749" s="23" t="str">
        <f aca="false">IF(A3749="","",IF(D3749="GCIA LINEA SERVICIO DIGITALIDAD Y VENTAS","Chats",IF(OR(D3749="GERENCIA INBOUND LÍNEAS SERVICIO Y VENTA",D3749="GERENCIA INBOUND LINEAS ESPECIALIZADAS"),"Llamadas","Otro")))</f>
        <v/>
      </c>
      <c r="I3749" s="23" t="str">
        <f aca="false">IF(A3749="","",IF(C3749="No encontrado","No","Sí"))</f>
        <v/>
      </c>
      <c r="J3749" s="23" t="str">
        <f aca="false">IF(A3749="","",IF(F3749="Inactivo","No","Sí"))</f>
        <v/>
      </c>
      <c r="K3749" s="23" t="str">
        <f aca="false">IF(A3749="","",IF(AND(I3749="Sí",J3749="Sí"),"Sí","No"))</f>
        <v/>
      </c>
    </row>
    <row r="3750" customFormat="false" ht="15" hidden="false" customHeight="false" outlineLevel="0" collapsed="false">
      <c r="A3750" s="22"/>
      <c r="B3750" s="22"/>
      <c r="C3750" s="26" t="str">
        <f aca="false">IF(A3750="","",IFERROR(buscarx(A3750&amp;B3750,DATA!$E$3:$E$10000&amp;DATA!$B$3:$B$10000,DATA!$M$3:$M$10000),"No encontrado"))</f>
        <v/>
      </c>
      <c r="D3750" s="27" t="str">
        <f aca="false">IF(A3750="","",IFERROR(buscarx(A3750&amp;B3750,DATA!$E$3:$E$10000&amp;DATA!$B$3:$B$10000,DATA!$W$3:$W$10000),"No encontrado"))</f>
        <v/>
      </c>
      <c r="E3750" s="22"/>
      <c r="F3750" s="26" t="str">
        <f aca="false">IF(A3750="","",IFERROR(buscarx(A3750&amp;E3750,DATA!$E$3:$E$10000&amp;DATA!$B$3:$B$10000,DATA!$M$3:$M$10000),"Inactivo"))</f>
        <v/>
      </c>
      <c r="G3750" s="28" t="str">
        <f aca="false">IF(A3750="","",IF(AND(C3750&lt;&gt;"No encontrado",F3750&lt;&gt;"Inactivo"),C3750&amp;" → "&amp;F3750,"Sin transición"))</f>
        <v/>
      </c>
      <c r="H3750" s="26" t="str">
        <f aca="false">IF(A3750="","",IF(D3750="GCIA LINEA SERVICIO DIGITALIDAD Y VENTAS","Chats",IF(OR(D3750="GERENCIA INBOUND LÍNEAS SERVICIO Y VENTA",D3750="GERENCIA INBOUND LINEAS ESPECIALIZADAS"),"Llamadas","Otro")))</f>
        <v/>
      </c>
      <c r="I3750" s="26" t="str">
        <f aca="false">IF(A3750="","",IF(C3750="No encontrado","No","Sí"))</f>
        <v/>
      </c>
      <c r="J3750" s="26" t="str">
        <f aca="false">IF(A3750="","",IF(F3750="Inactivo","No","Sí"))</f>
        <v/>
      </c>
      <c r="K3750" s="26" t="str">
        <f aca="false">IF(A3750="","",IF(AND(I3750="Sí",J3750="Sí"),"Sí","No"))</f>
        <v/>
      </c>
    </row>
    <row r="3751" customFormat="false" ht="15" hidden="false" customHeight="false" outlineLevel="0" collapsed="false">
      <c r="A3751" s="22"/>
      <c r="B3751" s="22"/>
      <c r="C3751" s="23" t="str">
        <f aca="false">IF(A3751="","",IFERROR(buscarx(A3751&amp;B3751,DATA!$E$3:$E$10000&amp;DATA!$B$3:$B$10000,DATA!$M$3:$M$10000),"No encontrado"))</f>
        <v/>
      </c>
      <c r="D3751" s="24" t="str">
        <f aca="false">IF(A3751="","",IFERROR(buscarx(A3751&amp;B3751,DATA!$E$3:$E$10000&amp;DATA!$B$3:$B$10000,DATA!$W$3:$W$10000),"No encontrado"))</f>
        <v/>
      </c>
      <c r="E3751" s="22"/>
      <c r="F3751" s="23" t="str">
        <f aca="false">IF(A3751="","",IFERROR(buscarx(A3751&amp;E3751,DATA!$E$3:$E$10000&amp;DATA!$B$3:$B$10000,DATA!$M$3:$M$10000),"Inactivo"))</f>
        <v/>
      </c>
      <c r="G3751" s="25" t="str">
        <f aca="false">IF(A3751="","",IF(AND(C3751&lt;&gt;"No encontrado",F3751&lt;&gt;"Inactivo"),C3751&amp;" → "&amp;F3751,"Sin transición"))</f>
        <v/>
      </c>
      <c r="H3751" s="23" t="str">
        <f aca="false">IF(A3751="","",IF(D3751="GCIA LINEA SERVICIO DIGITALIDAD Y VENTAS","Chats",IF(OR(D3751="GERENCIA INBOUND LÍNEAS SERVICIO Y VENTA",D3751="GERENCIA INBOUND LINEAS ESPECIALIZADAS"),"Llamadas","Otro")))</f>
        <v/>
      </c>
      <c r="I3751" s="23" t="str">
        <f aca="false">IF(A3751="","",IF(C3751="No encontrado","No","Sí"))</f>
        <v/>
      </c>
      <c r="J3751" s="23" t="str">
        <f aca="false">IF(A3751="","",IF(F3751="Inactivo","No","Sí"))</f>
        <v/>
      </c>
      <c r="K3751" s="23" t="str">
        <f aca="false">IF(A3751="","",IF(AND(I3751="Sí",J3751="Sí"),"Sí","No"))</f>
        <v/>
      </c>
    </row>
    <row r="3752" customFormat="false" ht="15" hidden="false" customHeight="false" outlineLevel="0" collapsed="false">
      <c r="A3752" s="22"/>
      <c r="B3752" s="22"/>
      <c r="C3752" s="26" t="str">
        <f aca="false">IF(A3752="","",IFERROR(buscarx(A3752&amp;B3752,DATA!$E$3:$E$10000&amp;DATA!$B$3:$B$10000,DATA!$M$3:$M$10000),"No encontrado"))</f>
        <v/>
      </c>
      <c r="D3752" s="27" t="str">
        <f aca="false">IF(A3752="","",IFERROR(buscarx(A3752&amp;B3752,DATA!$E$3:$E$10000&amp;DATA!$B$3:$B$10000,DATA!$W$3:$W$10000),"No encontrado"))</f>
        <v/>
      </c>
      <c r="E3752" s="22"/>
      <c r="F3752" s="26" t="str">
        <f aca="false">IF(A3752="","",IFERROR(buscarx(A3752&amp;E3752,DATA!$E$3:$E$10000&amp;DATA!$B$3:$B$10000,DATA!$M$3:$M$10000),"Inactivo"))</f>
        <v/>
      </c>
      <c r="G3752" s="28" t="str">
        <f aca="false">IF(A3752="","",IF(AND(C3752&lt;&gt;"No encontrado",F3752&lt;&gt;"Inactivo"),C3752&amp;" → "&amp;F3752,"Sin transición"))</f>
        <v/>
      </c>
      <c r="H3752" s="26" t="str">
        <f aca="false">IF(A3752="","",IF(D3752="GCIA LINEA SERVICIO DIGITALIDAD Y VENTAS","Chats",IF(OR(D3752="GERENCIA INBOUND LÍNEAS SERVICIO Y VENTA",D3752="GERENCIA INBOUND LINEAS ESPECIALIZADAS"),"Llamadas","Otro")))</f>
        <v/>
      </c>
      <c r="I3752" s="26" t="str">
        <f aca="false">IF(A3752="","",IF(C3752="No encontrado","No","Sí"))</f>
        <v/>
      </c>
      <c r="J3752" s="26" t="str">
        <f aca="false">IF(A3752="","",IF(F3752="Inactivo","No","Sí"))</f>
        <v/>
      </c>
      <c r="K3752" s="26" t="str">
        <f aca="false">IF(A3752="","",IF(AND(I3752="Sí",J3752="Sí"),"Sí","No"))</f>
        <v/>
      </c>
    </row>
    <row r="3753" customFormat="false" ht="15" hidden="false" customHeight="false" outlineLevel="0" collapsed="false">
      <c r="A3753" s="22"/>
      <c r="B3753" s="22"/>
      <c r="C3753" s="23" t="str">
        <f aca="false">IF(A3753="","",IFERROR(buscarx(A3753&amp;B3753,DATA!$E$3:$E$10000&amp;DATA!$B$3:$B$10000,DATA!$M$3:$M$10000),"No encontrado"))</f>
        <v/>
      </c>
      <c r="D3753" s="24" t="str">
        <f aca="false">IF(A3753="","",IFERROR(buscarx(A3753&amp;B3753,DATA!$E$3:$E$10000&amp;DATA!$B$3:$B$10000,DATA!$W$3:$W$10000),"No encontrado"))</f>
        <v/>
      </c>
      <c r="E3753" s="22"/>
      <c r="F3753" s="23" t="str">
        <f aca="false">IF(A3753="","",IFERROR(buscarx(A3753&amp;E3753,DATA!$E$3:$E$10000&amp;DATA!$B$3:$B$10000,DATA!$M$3:$M$10000),"Inactivo"))</f>
        <v/>
      </c>
      <c r="G3753" s="25" t="str">
        <f aca="false">IF(A3753="","",IF(AND(C3753&lt;&gt;"No encontrado",F3753&lt;&gt;"Inactivo"),C3753&amp;" → "&amp;F3753,"Sin transición"))</f>
        <v/>
      </c>
      <c r="H3753" s="23" t="str">
        <f aca="false">IF(A3753="","",IF(D3753="GCIA LINEA SERVICIO DIGITALIDAD Y VENTAS","Chats",IF(OR(D3753="GERENCIA INBOUND LÍNEAS SERVICIO Y VENTA",D3753="GERENCIA INBOUND LINEAS ESPECIALIZADAS"),"Llamadas","Otro")))</f>
        <v/>
      </c>
      <c r="I3753" s="23" t="str">
        <f aca="false">IF(A3753="","",IF(C3753="No encontrado","No","Sí"))</f>
        <v/>
      </c>
      <c r="J3753" s="23" t="str">
        <f aca="false">IF(A3753="","",IF(F3753="Inactivo","No","Sí"))</f>
        <v/>
      </c>
      <c r="K3753" s="23" t="str">
        <f aca="false">IF(A3753="","",IF(AND(I3753="Sí",J3753="Sí"),"Sí","No"))</f>
        <v/>
      </c>
    </row>
    <row r="3754" customFormat="false" ht="15" hidden="false" customHeight="false" outlineLevel="0" collapsed="false">
      <c r="A3754" s="22"/>
      <c r="B3754" s="22"/>
      <c r="C3754" s="26" t="str">
        <f aca="false">IF(A3754="","",IFERROR(buscarx(A3754&amp;B3754,DATA!$E$3:$E$10000&amp;DATA!$B$3:$B$10000,DATA!$M$3:$M$10000),"No encontrado"))</f>
        <v/>
      </c>
      <c r="D3754" s="27" t="str">
        <f aca="false">IF(A3754="","",IFERROR(buscarx(A3754&amp;B3754,DATA!$E$3:$E$10000&amp;DATA!$B$3:$B$10000,DATA!$W$3:$W$10000),"No encontrado"))</f>
        <v/>
      </c>
      <c r="E3754" s="22"/>
      <c r="F3754" s="26" t="str">
        <f aca="false">IF(A3754="","",IFERROR(buscarx(A3754&amp;E3754,DATA!$E$3:$E$10000&amp;DATA!$B$3:$B$10000,DATA!$M$3:$M$10000),"Inactivo"))</f>
        <v/>
      </c>
      <c r="G3754" s="28" t="str">
        <f aca="false">IF(A3754="","",IF(AND(C3754&lt;&gt;"No encontrado",F3754&lt;&gt;"Inactivo"),C3754&amp;" → "&amp;F3754,"Sin transición"))</f>
        <v/>
      </c>
      <c r="H3754" s="26" t="str">
        <f aca="false">IF(A3754="","",IF(D3754="GCIA LINEA SERVICIO DIGITALIDAD Y VENTAS","Chats",IF(OR(D3754="GERENCIA INBOUND LÍNEAS SERVICIO Y VENTA",D3754="GERENCIA INBOUND LINEAS ESPECIALIZADAS"),"Llamadas","Otro")))</f>
        <v/>
      </c>
      <c r="I3754" s="26" t="str">
        <f aca="false">IF(A3754="","",IF(C3754="No encontrado","No","Sí"))</f>
        <v/>
      </c>
      <c r="J3754" s="26" t="str">
        <f aca="false">IF(A3754="","",IF(F3754="Inactivo","No","Sí"))</f>
        <v/>
      </c>
      <c r="K3754" s="26" t="str">
        <f aca="false">IF(A3754="","",IF(AND(I3754="Sí",J3754="Sí"),"Sí","No"))</f>
        <v/>
      </c>
    </row>
    <row r="3755" customFormat="false" ht="15" hidden="false" customHeight="false" outlineLevel="0" collapsed="false">
      <c r="A3755" s="22"/>
      <c r="B3755" s="22"/>
      <c r="C3755" s="23" t="str">
        <f aca="false">IF(A3755="","",IFERROR(buscarx(A3755&amp;B3755,DATA!$E$3:$E$10000&amp;DATA!$B$3:$B$10000,DATA!$M$3:$M$10000),"No encontrado"))</f>
        <v/>
      </c>
      <c r="D3755" s="24" t="str">
        <f aca="false">IF(A3755="","",IFERROR(buscarx(A3755&amp;B3755,DATA!$E$3:$E$10000&amp;DATA!$B$3:$B$10000,DATA!$W$3:$W$10000),"No encontrado"))</f>
        <v/>
      </c>
      <c r="E3755" s="22"/>
      <c r="F3755" s="23" t="str">
        <f aca="false">IF(A3755="","",IFERROR(buscarx(A3755&amp;E3755,DATA!$E$3:$E$10000&amp;DATA!$B$3:$B$10000,DATA!$M$3:$M$10000),"Inactivo"))</f>
        <v/>
      </c>
      <c r="G3755" s="25" t="str">
        <f aca="false">IF(A3755="","",IF(AND(C3755&lt;&gt;"No encontrado",F3755&lt;&gt;"Inactivo"),C3755&amp;" → "&amp;F3755,"Sin transición"))</f>
        <v/>
      </c>
      <c r="H3755" s="23" t="str">
        <f aca="false">IF(A3755="","",IF(D3755="GCIA LINEA SERVICIO DIGITALIDAD Y VENTAS","Chats",IF(OR(D3755="GERENCIA INBOUND LÍNEAS SERVICIO Y VENTA",D3755="GERENCIA INBOUND LINEAS ESPECIALIZADAS"),"Llamadas","Otro")))</f>
        <v/>
      </c>
      <c r="I3755" s="23" t="str">
        <f aca="false">IF(A3755="","",IF(C3755="No encontrado","No","Sí"))</f>
        <v/>
      </c>
      <c r="J3755" s="23" t="str">
        <f aca="false">IF(A3755="","",IF(F3755="Inactivo","No","Sí"))</f>
        <v/>
      </c>
      <c r="K3755" s="23" t="str">
        <f aca="false">IF(A3755="","",IF(AND(I3755="Sí",J3755="Sí"),"Sí","No"))</f>
        <v/>
      </c>
    </row>
    <row r="3756" customFormat="false" ht="15" hidden="false" customHeight="false" outlineLevel="0" collapsed="false">
      <c r="A3756" s="22"/>
      <c r="B3756" s="22"/>
      <c r="C3756" s="26" t="str">
        <f aca="false">IF(A3756="","",IFERROR(buscarx(A3756&amp;B3756,DATA!$E$3:$E$10000&amp;DATA!$B$3:$B$10000,DATA!$M$3:$M$10000),"No encontrado"))</f>
        <v/>
      </c>
      <c r="D3756" s="27" t="str">
        <f aca="false">IF(A3756="","",IFERROR(buscarx(A3756&amp;B3756,DATA!$E$3:$E$10000&amp;DATA!$B$3:$B$10000,DATA!$W$3:$W$10000),"No encontrado"))</f>
        <v/>
      </c>
      <c r="E3756" s="22"/>
      <c r="F3756" s="26" t="str">
        <f aca="false">IF(A3756="","",IFERROR(buscarx(A3756&amp;E3756,DATA!$E$3:$E$10000&amp;DATA!$B$3:$B$10000,DATA!$M$3:$M$10000),"Inactivo"))</f>
        <v/>
      </c>
      <c r="G3756" s="28" t="str">
        <f aca="false">IF(A3756="","",IF(AND(C3756&lt;&gt;"No encontrado",F3756&lt;&gt;"Inactivo"),C3756&amp;" → "&amp;F3756,"Sin transición"))</f>
        <v/>
      </c>
      <c r="H3756" s="26" t="str">
        <f aca="false">IF(A3756="","",IF(D3756="GCIA LINEA SERVICIO DIGITALIDAD Y VENTAS","Chats",IF(OR(D3756="GERENCIA INBOUND LÍNEAS SERVICIO Y VENTA",D3756="GERENCIA INBOUND LINEAS ESPECIALIZADAS"),"Llamadas","Otro")))</f>
        <v/>
      </c>
      <c r="I3756" s="26" t="str">
        <f aca="false">IF(A3756="","",IF(C3756="No encontrado","No","Sí"))</f>
        <v/>
      </c>
      <c r="J3756" s="26" t="str">
        <f aca="false">IF(A3756="","",IF(F3756="Inactivo","No","Sí"))</f>
        <v/>
      </c>
      <c r="K3756" s="26" t="str">
        <f aca="false">IF(A3756="","",IF(AND(I3756="Sí",J3756="Sí"),"Sí","No"))</f>
        <v/>
      </c>
    </row>
    <row r="3757" customFormat="false" ht="15" hidden="false" customHeight="false" outlineLevel="0" collapsed="false">
      <c r="A3757" s="22"/>
      <c r="B3757" s="22"/>
      <c r="C3757" s="23" t="str">
        <f aca="false">IF(A3757="","",IFERROR(buscarx(A3757&amp;B3757,DATA!$E$3:$E$10000&amp;DATA!$B$3:$B$10000,DATA!$M$3:$M$10000),"No encontrado"))</f>
        <v/>
      </c>
      <c r="D3757" s="24" t="str">
        <f aca="false">IF(A3757="","",IFERROR(buscarx(A3757&amp;B3757,DATA!$E$3:$E$10000&amp;DATA!$B$3:$B$10000,DATA!$W$3:$W$10000),"No encontrado"))</f>
        <v/>
      </c>
      <c r="E3757" s="22"/>
      <c r="F3757" s="23" t="str">
        <f aca="false">IF(A3757="","",IFERROR(buscarx(A3757&amp;E3757,DATA!$E$3:$E$10000&amp;DATA!$B$3:$B$10000,DATA!$M$3:$M$10000),"Inactivo"))</f>
        <v/>
      </c>
      <c r="G3757" s="25" t="str">
        <f aca="false">IF(A3757="","",IF(AND(C3757&lt;&gt;"No encontrado",F3757&lt;&gt;"Inactivo"),C3757&amp;" → "&amp;F3757,"Sin transición"))</f>
        <v/>
      </c>
      <c r="H3757" s="23" t="str">
        <f aca="false">IF(A3757="","",IF(D3757="GCIA LINEA SERVICIO DIGITALIDAD Y VENTAS","Chats",IF(OR(D3757="GERENCIA INBOUND LÍNEAS SERVICIO Y VENTA",D3757="GERENCIA INBOUND LINEAS ESPECIALIZADAS"),"Llamadas","Otro")))</f>
        <v/>
      </c>
      <c r="I3757" s="23" t="str">
        <f aca="false">IF(A3757="","",IF(C3757="No encontrado","No","Sí"))</f>
        <v/>
      </c>
      <c r="J3757" s="23" t="str">
        <f aca="false">IF(A3757="","",IF(F3757="Inactivo","No","Sí"))</f>
        <v/>
      </c>
      <c r="K3757" s="23" t="str">
        <f aca="false">IF(A3757="","",IF(AND(I3757="Sí",J3757="Sí"),"Sí","No"))</f>
        <v/>
      </c>
    </row>
    <row r="3758" customFormat="false" ht="15" hidden="false" customHeight="false" outlineLevel="0" collapsed="false">
      <c r="A3758" s="22"/>
      <c r="B3758" s="22"/>
      <c r="C3758" s="26" t="str">
        <f aca="false">IF(A3758="","",IFERROR(buscarx(A3758&amp;B3758,DATA!$E$3:$E$10000&amp;DATA!$B$3:$B$10000,DATA!$M$3:$M$10000),"No encontrado"))</f>
        <v/>
      </c>
      <c r="D3758" s="27" t="str">
        <f aca="false">IF(A3758="","",IFERROR(buscarx(A3758&amp;B3758,DATA!$E$3:$E$10000&amp;DATA!$B$3:$B$10000,DATA!$W$3:$W$10000),"No encontrado"))</f>
        <v/>
      </c>
      <c r="E3758" s="22"/>
      <c r="F3758" s="26" t="str">
        <f aca="false">IF(A3758="","",IFERROR(buscarx(A3758&amp;E3758,DATA!$E$3:$E$10000&amp;DATA!$B$3:$B$10000,DATA!$M$3:$M$10000),"Inactivo"))</f>
        <v/>
      </c>
      <c r="G3758" s="28" t="str">
        <f aca="false">IF(A3758="","",IF(AND(C3758&lt;&gt;"No encontrado",F3758&lt;&gt;"Inactivo"),C3758&amp;" → "&amp;F3758,"Sin transición"))</f>
        <v/>
      </c>
      <c r="H3758" s="26" t="str">
        <f aca="false">IF(A3758="","",IF(D3758="GCIA LINEA SERVICIO DIGITALIDAD Y VENTAS","Chats",IF(OR(D3758="GERENCIA INBOUND LÍNEAS SERVICIO Y VENTA",D3758="GERENCIA INBOUND LINEAS ESPECIALIZADAS"),"Llamadas","Otro")))</f>
        <v/>
      </c>
      <c r="I3758" s="26" t="str">
        <f aca="false">IF(A3758="","",IF(C3758="No encontrado","No","Sí"))</f>
        <v/>
      </c>
      <c r="J3758" s="26" t="str">
        <f aca="false">IF(A3758="","",IF(F3758="Inactivo","No","Sí"))</f>
        <v/>
      </c>
      <c r="K3758" s="26" t="str">
        <f aca="false">IF(A3758="","",IF(AND(I3758="Sí",J3758="Sí"),"Sí","No"))</f>
        <v/>
      </c>
    </row>
    <row r="3759" customFormat="false" ht="15" hidden="false" customHeight="false" outlineLevel="0" collapsed="false">
      <c r="A3759" s="22"/>
      <c r="B3759" s="22"/>
      <c r="C3759" s="23" t="str">
        <f aca="false">IF(A3759="","",IFERROR(buscarx(A3759&amp;B3759,DATA!$E$3:$E$10000&amp;DATA!$B$3:$B$10000,DATA!$M$3:$M$10000),"No encontrado"))</f>
        <v/>
      </c>
      <c r="D3759" s="24" t="str">
        <f aca="false">IF(A3759="","",IFERROR(buscarx(A3759&amp;B3759,DATA!$E$3:$E$10000&amp;DATA!$B$3:$B$10000,DATA!$W$3:$W$10000),"No encontrado"))</f>
        <v/>
      </c>
      <c r="E3759" s="22"/>
      <c r="F3759" s="23" t="str">
        <f aca="false">IF(A3759="","",IFERROR(buscarx(A3759&amp;E3759,DATA!$E$3:$E$10000&amp;DATA!$B$3:$B$10000,DATA!$M$3:$M$10000),"Inactivo"))</f>
        <v/>
      </c>
      <c r="G3759" s="25" t="str">
        <f aca="false">IF(A3759="","",IF(AND(C3759&lt;&gt;"No encontrado",F3759&lt;&gt;"Inactivo"),C3759&amp;" → "&amp;F3759,"Sin transición"))</f>
        <v/>
      </c>
      <c r="H3759" s="23" t="str">
        <f aca="false">IF(A3759="","",IF(D3759="GCIA LINEA SERVICIO DIGITALIDAD Y VENTAS","Chats",IF(OR(D3759="GERENCIA INBOUND LÍNEAS SERVICIO Y VENTA",D3759="GERENCIA INBOUND LINEAS ESPECIALIZADAS"),"Llamadas","Otro")))</f>
        <v/>
      </c>
      <c r="I3759" s="23" t="str">
        <f aca="false">IF(A3759="","",IF(C3759="No encontrado","No","Sí"))</f>
        <v/>
      </c>
      <c r="J3759" s="23" t="str">
        <f aca="false">IF(A3759="","",IF(F3759="Inactivo","No","Sí"))</f>
        <v/>
      </c>
      <c r="K3759" s="23" t="str">
        <f aca="false">IF(A3759="","",IF(AND(I3759="Sí",J3759="Sí"),"Sí","No"))</f>
        <v/>
      </c>
    </row>
    <row r="3760" customFormat="false" ht="15" hidden="false" customHeight="false" outlineLevel="0" collapsed="false">
      <c r="A3760" s="22"/>
      <c r="B3760" s="22"/>
      <c r="C3760" s="26" t="str">
        <f aca="false">IF(A3760="","",IFERROR(buscarx(A3760&amp;B3760,DATA!$E$3:$E$10000&amp;DATA!$B$3:$B$10000,DATA!$M$3:$M$10000),"No encontrado"))</f>
        <v/>
      </c>
      <c r="D3760" s="27" t="str">
        <f aca="false">IF(A3760="","",IFERROR(buscarx(A3760&amp;B3760,DATA!$E$3:$E$10000&amp;DATA!$B$3:$B$10000,DATA!$W$3:$W$10000),"No encontrado"))</f>
        <v/>
      </c>
      <c r="E3760" s="22"/>
      <c r="F3760" s="26" t="str">
        <f aca="false">IF(A3760="","",IFERROR(buscarx(A3760&amp;E3760,DATA!$E$3:$E$10000&amp;DATA!$B$3:$B$10000,DATA!$M$3:$M$10000),"Inactivo"))</f>
        <v/>
      </c>
      <c r="G3760" s="28" t="str">
        <f aca="false">IF(A3760="","",IF(AND(C3760&lt;&gt;"No encontrado",F3760&lt;&gt;"Inactivo"),C3760&amp;" → "&amp;F3760,"Sin transición"))</f>
        <v/>
      </c>
      <c r="H3760" s="26" t="str">
        <f aca="false">IF(A3760="","",IF(D3760="GCIA LINEA SERVICIO DIGITALIDAD Y VENTAS","Chats",IF(OR(D3760="GERENCIA INBOUND LÍNEAS SERVICIO Y VENTA",D3760="GERENCIA INBOUND LINEAS ESPECIALIZADAS"),"Llamadas","Otro")))</f>
        <v/>
      </c>
      <c r="I3760" s="26" t="str">
        <f aca="false">IF(A3760="","",IF(C3760="No encontrado","No","Sí"))</f>
        <v/>
      </c>
      <c r="J3760" s="26" t="str">
        <f aca="false">IF(A3760="","",IF(F3760="Inactivo","No","Sí"))</f>
        <v/>
      </c>
      <c r="K3760" s="26" t="str">
        <f aca="false">IF(A3760="","",IF(AND(I3760="Sí",J3760="Sí"),"Sí","No"))</f>
        <v/>
      </c>
    </row>
    <row r="3761" customFormat="false" ht="15" hidden="false" customHeight="false" outlineLevel="0" collapsed="false">
      <c r="A3761" s="22"/>
      <c r="B3761" s="22"/>
      <c r="C3761" s="23" t="str">
        <f aca="false">IF(A3761="","",IFERROR(buscarx(A3761&amp;B3761,DATA!$E$3:$E$10000&amp;DATA!$B$3:$B$10000,DATA!$M$3:$M$10000),"No encontrado"))</f>
        <v/>
      </c>
      <c r="D3761" s="24" t="str">
        <f aca="false">IF(A3761="","",IFERROR(buscarx(A3761&amp;B3761,DATA!$E$3:$E$10000&amp;DATA!$B$3:$B$10000,DATA!$W$3:$W$10000),"No encontrado"))</f>
        <v/>
      </c>
      <c r="E3761" s="22"/>
      <c r="F3761" s="23" t="str">
        <f aca="false">IF(A3761="","",IFERROR(buscarx(A3761&amp;E3761,DATA!$E$3:$E$10000&amp;DATA!$B$3:$B$10000,DATA!$M$3:$M$10000),"Inactivo"))</f>
        <v/>
      </c>
      <c r="G3761" s="25" t="str">
        <f aca="false">IF(A3761="","",IF(AND(C3761&lt;&gt;"No encontrado",F3761&lt;&gt;"Inactivo"),C3761&amp;" → "&amp;F3761,"Sin transición"))</f>
        <v/>
      </c>
      <c r="H3761" s="23" t="str">
        <f aca="false">IF(A3761="","",IF(D3761="GCIA LINEA SERVICIO DIGITALIDAD Y VENTAS","Chats",IF(OR(D3761="GERENCIA INBOUND LÍNEAS SERVICIO Y VENTA",D3761="GERENCIA INBOUND LINEAS ESPECIALIZADAS"),"Llamadas","Otro")))</f>
        <v/>
      </c>
      <c r="I3761" s="23" t="str">
        <f aca="false">IF(A3761="","",IF(C3761="No encontrado","No","Sí"))</f>
        <v/>
      </c>
      <c r="J3761" s="23" t="str">
        <f aca="false">IF(A3761="","",IF(F3761="Inactivo","No","Sí"))</f>
        <v/>
      </c>
      <c r="K3761" s="23" t="str">
        <f aca="false">IF(A3761="","",IF(AND(I3761="Sí",J3761="Sí"),"Sí","No"))</f>
        <v/>
      </c>
    </row>
    <row r="3762" customFormat="false" ht="15" hidden="false" customHeight="false" outlineLevel="0" collapsed="false">
      <c r="A3762" s="22"/>
      <c r="B3762" s="22"/>
      <c r="C3762" s="26" t="str">
        <f aca="false">IF(A3762="","",IFERROR(buscarx(A3762&amp;B3762,DATA!$E$3:$E$10000&amp;DATA!$B$3:$B$10000,DATA!$M$3:$M$10000),"No encontrado"))</f>
        <v/>
      </c>
      <c r="D3762" s="27" t="str">
        <f aca="false">IF(A3762="","",IFERROR(buscarx(A3762&amp;B3762,DATA!$E$3:$E$10000&amp;DATA!$B$3:$B$10000,DATA!$W$3:$W$10000),"No encontrado"))</f>
        <v/>
      </c>
      <c r="E3762" s="22"/>
      <c r="F3762" s="26" t="str">
        <f aca="false">IF(A3762="","",IFERROR(buscarx(A3762&amp;E3762,DATA!$E$3:$E$10000&amp;DATA!$B$3:$B$10000,DATA!$M$3:$M$10000),"Inactivo"))</f>
        <v/>
      </c>
      <c r="G3762" s="28" t="str">
        <f aca="false">IF(A3762="","",IF(AND(C3762&lt;&gt;"No encontrado",F3762&lt;&gt;"Inactivo"),C3762&amp;" → "&amp;F3762,"Sin transición"))</f>
        <v/>
      </c>
      <c r="H3762" s="26" t="str">
        <f aca="false">IF(A3762="","",IF(D3762="GCIA LINEA SERVICIO DIGITALIDAD Y VENTAS","Chats",IF(OR(D3762="GERENCIA INBOUND LÍNEAS SERVICIO Y VENTA",D3762="GERENCIA INBOUND LINEAS ESPECIALIZADAS"),"Llamadas","Otro")))</f>
        <v/>
      </c>
      <c r="I3762" s="26" t="str">
        <f aca="false">IF(A3762="","",IF(C3762="No encontrado","No","Sí"))</f>
        <v/>
      </c>
      <c r="J3762" s="26" t="str">
        <f aca="false">IF(A3762="","",IF(F3762="Inactivo","No","Sí"))</f>
        <v/>
      </c>
      <c r="K3762" s="26" t="str">
        <f aca="false">IF(A3762="","",IF(AND(I3762="Sí",J3762="Sí"),"Sí","No"))</f>
        <v/>
      </c>
    </row>
    <row r="3763" customFormat="false" ht="15" hidden="false" customHeight="false" outlineLevel="0" collapsed="false">
      <c r="A3763" s="22"/>
      <c r="B3763" s="22"/>
      <c r="C3763" s="23" t="str">
        <f aca="false">IF(A3763="","",IFERROR(buscarx(A3763&amp;B3763,DATA!$E$3:$E$10000&amp;DATA!$B$3:$B$10000,DATA!$M$3:$M$10000),"No encontrado"))</f>
        <v/>
      </c>
      <c r="D3763" s="24" t="str">
        <f aca="false">IF(A3763="","",IFERROR(buscarx(A3763&amp;B3763,DATA!$E$3:$E$10000&amp;DATA!$B$3:$B$10000,DATA!$W$3:$W$10000),"No encontrado"))</f>
        <v/>
      </c>
      <c r="E3763" s="22"/>
      <c r="F3763" s="23" t="str">
        <f aca="false">IF(A3763="","",IFERROR(buscarx(A3763&amp;E3763,DATA!$E$3:$E$10000&amp;DATA!$B$3:$B$10000,DATA!$M$3:$M$10000),"Inactivo"))</f>
        <v/>
      </c>
      <c r="G3763" s="25" t="str">
        <f aca="false">IF(A3763="","",IF(AND(C3763&lt;&gt;"No encontrado",F3763&lt;&gt;"Inactivo"),C3763&amp;" → "&amp;F3763,"Sin transición"))</f>
        <v/>
      </c>
      <c r="H3763" s="23" t="str">
        <f aca="false">IF(A3763="","",IF(D3763="GCIA LINEA SERVICIO DIGITALIDAD Y VENTAS","Chats",IF(OR(D3763="GERENCIA INBOUND LÍNEAS SERVICIO Y VENTA",D3763="GERENCIA INBOUND LINEAS ESPECIALIZADAS"),"Llamadas","Otro")))</f>
        <v/>
      </c>
      <c r="I3763" s="23" t="str">
        <f aca="false">IF(A3763="","",IF(C3763="No encontrado","No","Sí"))</f>
        <v/>
      </c>
      <c r="J3763" s="23" t="str">
        <f aca="false">IF(A3763="","",IF(F3763="Inactivo","No","Sí"))</f>
        <v/>
      </c>
      <c r="K3763" s="23" t="str">
        <f aca="false">IF(A3763="","",IF(AND(I3763="Sí",J3763="Sí"),"Sí","No"))</f>
        <v/>
      </c>
    </row>
    <row r="3764" customFormat="false" ht="15" hidden="false" customHeight="false" outlineLevel="0" collapsed="false">
      <c r="A3764" s="22"/>
      <c r="B3764" s="22"/>
      <c r="C3764" s="26" t="str">
        <f aca="false">IF(A3764="","",IFERROR(buscarx(A3764&amp;B3764,DATA!$E$3:$E$10000&amp;DATA!$B$3:$B$10000,DATA!$M$3:$M$10000),"No encontrado"))</f>
        <v/>
      </c>
      <c r="D3764" s="27" t="str">
        <f aca="false">IF(A3764="","",IFERROR(buscarx(A3764&amp;B3764,DATA!$E$3:$E$10000&amp;DATA!$B$3:$B$10000,DATA!$W$3:$W$10000),"No encontrado"))</f>
        <v/>
      </c>
      <c r="E3764" s="22"/>
      <c r="F3764" s="26" t="str">
        <f aca="false">IF(A3764="","",IFERROR(buscarx(A3764&amp;E3764,DATA!$E$3:$E$10000&amp;DATA!$B$3:$B$10000,DATA!$M$3:$M$10000),"Inactivo"))</f>
        <v/>
      </c>
      <c r="G3764" s="28" t="str">
        <f aca="false">IF(A3764="","",IF(AND(C3764&lt;&gt;"No encontrado",F3764&lt;&gt;"Inactivo"),C3764&amp;" → "&amp;F3764,"Sin transición"))</f>
        <v/>
      </c>
      <c r="H3764" s="26" t="str">
        <f aca="false">IF(A3764="","",IF(D3764="GCIA LINEA SERVICIO DIGITALIDAD Y VENTAS","Chats",IF(OR(D3764="GERENCIA INBOUND LÍNEAS SERVICIO Y VENTA",D3764="GERENCIA INBOUND LINEAS ESPECIALIZADAS"),"Llamadas","Otro")))</f>
        <v/>
      </c>
      <c r="I3764" s="26" t="str">
        <f aca="false">IF(A3764="","",IF(C3764="No encontrado","No","Sí"))</f>
        <v/>
      </c>
      <c r="J3764" s="26" t="str">
        <f aca="false">IF(A3764="","",IF(F3764="Inactivo","No","Sí"))</f>
        <v/>
      </c>
      <c r="K3764" s="26" t="str">
        <f aca="false">IF(A3764="","",IF(AND(I3764="Sí",J3764="Sí"),"Sí","No"))</f>
        <v/>
      </c>
    </row>
    <row r="3765" customFormat="false" ht="15" hidden="false" customHeight="false" outlineLevel="0" collapsed="false">
      <c r="A3765" s="22"/>
      <c r="B3765" s="22"/>
      <c r="C3765" s="23" t="str">
        <f aca="false">IF(A3765="","",IFERROR(buscarx(A3765&amp;B3765,DATA!$E$3:$E$10000&amp;DATA!$B$3:$B$10000,DATA!$M$3:$M$10000),"No encontrado"))</f>
        <v/>
      </c>
      <c r="D3765" s="24" t="str">
        <f aca="false">IF(A3765="","",IFERROR(buscarx(A3765&amp;B3765,DATA!$E$3:$E$10000&amp;DATA!$B$3:$B$10000,DATA!$W$3:$W$10000),"No encontrado"))</f>
        <v/>
      </c>
      <c r="E3765" s="22"/>
      <c r="F3765" s="23" t="str">
        <f aca="false">IF(A3765="","",IFERROR(buscarx(A3765&amp;E3765,DATA!$E$3:$E$10000&amp;DATA!$B$3:$B$10000,DATA!$M$3:$M$10000),"Inactivo"))</f>
        <v/>
      </c>
      <c r="G3765" s="25" t="str">
        <f aca="false">IF(A3765="","",IF(AND(C3765&lt;&gt;"No encontrado",F3765&lt;&gt;"Inactivo"),C3765&amp;" → "&amp;F3765,"Sin transición"))</f>
        <v/>
      </c>
      <c r="H3765" s="23" t="str">
        <f aca="false">IF(A3765="","",IF(D3765="GCIA LINEA SERVICIO DIGITALIDAD Y VENTAS","Chats",IF(OR(D3765="GERENCIA INBOUND LÍNEAS SERVICIO Y VENTA",D3765="GERENCIA INBOUND LINEAS ESPECIALIZADAS"),"Llamadas","Otro")))</f>
        <v/>
      </c>
      <c r="I3765" s="23" t="str">
        <f aca="false">IF(A3765="","",IF(C3765="No encontrado","No","Sí"))</f>
        <v/>
      </c>
      <c r="J3765" s="23" t="str">
        <f aca="false">IF(A3765="","",IF(F3765="Inactivo","No","Sí"))</f>
        <v/>
      </c>
      <c r="K3765" s="23" t="str">
        <f aca="false">IF(A3765="","",IF(AND(I3765="Sí",J3765="Sí"),"Sí","No"))</f>
        <v/>
      </c>
    </row>
    <row r="3766" customFormat="false" ht="15" hidden="false" customHeight="false" outlineLevel="0" collapsed="false">
      <c r="A3766" s="22"/>
      <c r="B3766" s="22"/>
      <c r="C3766" s="26" t="str">
        <f aca="false">IF(A3766="","",IFERROR(buscarx(A3766&amp;B3766,DATA!$E$3:$E$10000&amp;DATA!$B$3:$B$10000,DATA!$M$3:$M$10000),"No encontrado"))</f>
        <v/>
      </c>
      <c r="D3766" s="27" t="str">
        <f aca="false">IF(A3766="","",IFERROR(buscarx(A3766&amp;B3766,DATA!$E$3:$E$10000&amp;DATA!$B$3:$B$10000,DATA!$W$3:$W$10000),"No encontrado"))</f>
        <v/>
      </c>
      <c r="E3766" s="22"/>
      <c r="F3766" s="26" t="str">
        <f aca="false">IF(A3766="","",IFERROR(buscarx(A3766&amp;E3766,DATA!$E$3:$E$10000&amp;DATA!$B$3:$B$10000,DATA!$M$3:$M$10000),"Inactivo"))</f>
        <v/>
      </c>
      <c r="G3766" s="28" t="str">
        <f aca="false">IF(A3766="","",IF(AND(C3766&lt;&gt;"No encontrado",F3766&lt;&gt;"Inactivo"),C3766&amp;" → "&amp;F3766,"Sin transición"))</f>
        <v/>
      </c>
      <c r="H3766" s="26" t="str">
        <f aca="false">IF(A3766="","",IF(D3766="GCIA LINEA SERVICIO DIGITALIDAD Y VENTAS","Chats",IF(OR(D3766="GERENCIA INBOUND LÍNEAS SERVICIO Y VENTA",D3766="GERENCIA INBOUND LINEAS ESPECIALIZADAS"),"Llamadas","Otro")))</f>
        <v/>
      </c>
      <c r="I3766" s="26" t="str">
        <f aca="false">IF(A3766="","",IF(C3766="No encontrado","No","Sí"))</f>
        <v/>
      </c>
      <c r="J3766" s="26" t="str">
        <f aca="false">IF(A3766="","",IF(F3766="Inactivo","No","Sí"))</f>
        <v/>
      </c>
      <c r="K3766" s="26" t="str">
        <f aca="false">IF(A3766="","",IF(AND(I3766="Sí",J3766="Sí"),"Sí","No"))</f>
        <v/>
      </c>
    </row>
    <row r="3767" customFormat="false" ht="15" hidden="false" customHeight="false" outlineLevel="0" collapsed="false">
      <c r="A3767" s="22"/>
      <c r="B3767" s="22"/>
      <c r="C3767" s="23" t="str">
        <f aca="false">IF(A3767="","",IFERROR(buscarx(A3767&amp;B3767,DATA!$E$3:$E$10000&amp;DATA!$B$3:$B$10000,DATA!$M$3:$M$10000),"No encontrado"))</f>
        <v/>
      </c>
      <c r="D3767" s="24" t="str">
        <f aca="false">IF(A3767="","",IFERROR(buscarx(A3767&amp;B3767,DATA!$E$3:$E$10000&amp;DATA!$B$3:$B$10000,DATA!$W$3:$W$10000),"No encontrado"))</f>
        <v/>
      </c>
      <c r="E3767" s="22"/>
      <c r="F3767" s="23" t="str">
        <f aca="false">IF(A3767="","",IFERROR(buscarx(A3767&amp;E3767,DATA!$E$3:$E$10000&amp;DATA!$B$3:$B$10000,DATA!$M$3:$M$10000),"Inactivo"))</f>
        <v/>
      </c>
      <c r="G3767" s="25" t="str">
        <f aca="false">IF(A3767="","",IF(AND(C3767&lt;&gt;"No encontrado",F3767&lt;&gt;"Inactivo"),C3767&amp;" → "&amp;F3767,"Sin transición"))</f>
        <v/>
      </c>
      <c r="H3767" s="23" t="str">
        <f aca="false">IF(A3767="","",IF(D3767="GCIA LINEA SERVICIO DIGITALIDAD Y VENTAS","Chats",IF(OR(D3767="GERENCIA INBOUND LÍNEAS SERVICIO Y VENTA",D3767="GERENCIA INBOUND LINEAS ESPECIALIZADAS"),"Llamadas","Otro")))</f>
        <v/>
      </c>
      <c r="I3767" s="23" t="str">
        <f aca="false">IF(A3767="","",IF(C3767="No encontrado","No","Sí"))</f>
        <v/>
      </c>
      <c r="J3767" s="23" t="str">
        <f aca="false">IF(A3767="","",IF(F3767="Inactivo","No","Sí"))</f>
        <v/>
      </c>
      <c r="K3767" s="23" t="str">
        <f aca="false">IF(A3767="","",IF(AND(I3767="Sí",J3767="Sí"),"Sí","No"))</f>
        <v/>
      </c>
    </row>
    <row r="3768" customFormat="false" ht="15" hidden="false" customHeight="false" outlineLevel="0" collapsed="false">
      <c r="A3768" s="22"/>
      <c r="B3768" s="22"/>
      <c r="C3768" s="26" t="str">
        <f aca="false">IF(A3768="","",IFERROR(buscarx(A3768&amp;B3768,DATA!$E$3:$E$10000&amp;DATA!$B$3:$B$10000,DATA!$M$3:$M$10000),"No encontrado"))</f>
        <v/>
      </c>
      <c r="D3768" s="27" t="str">
        <f aca="false">IF(A3768="","",IFERROR(buscarx(A3768&amp;B3768,DATA!$E$3:$E$10000&amp;DATA!$B$3:$B$10000,DATA!$W$3:$W$10000),"No encontrado"))</f>
        <v/>
      </c>
      <c r="E3768" s="22"/>
      <c r="F3768" s="26" t="str">
        <f aca="false">IF(A3768="","",IFERROR(buscarx(A3768&amp;E3768,DATA!$E$3:$E$10000&amp;DATA!$B$3:$B$10000,DATA!$M$3:$M$10000),"Inactivo"))</f>
        <v/>
      </c>
      <c r="G3768" s="28" t="str">
        <f aca="false">IF(A3768="","",IF(AND(C3768&lt;&gt;"No encontrado",F3768&lt;&gt;"Inactivo"),C3768&amp;" → "&amp;F3768,"Sin transición"))</f>
        <v/>
      </c>
      <c r="H3768" s="26" t="str">
        <f aca="false">IF(A3768="","",IF(D3768="GCIA LINEA SERVICIO DIGITALIDAD Y VENTAS","Chats",IF(OR(D3768="GERENCIA INBOUND LÍNEAS SERVICIO Y VENTA",D3768="GERENCIA INBOUND LINEAS ESPECIALIZADAS"),"Llamadas","Otro")))</f>
        <v/>
      </c>
      <c r="I3768" s="26" t="str">
        <f aca="false">IF(A3768="","",IF(C3768="No encontrado","No","Sí"))</f>
        <v/>
      </c>
      <c r="J3768" s="26" t="str">
        <f aca="false">IF(A3768="","",IF(F3768="Inactivo","No","Sí"))</f>
        <v/>
      </c>
      <c r="K3768" s="26" t="str">
        <f aca="false">IF(A3768="","",IF(AND(I3768="Sí",J3768="Sí"),"Sí","No"))</f>
        <v/>
      </c>
    </row>
    <row r="3769" customFormat="false" ht="15" hidden="false" customHeight="false" outlineLevel="0" collapsed="false">
      <c r="A3769" s="22"/>
      <c r="B3769" s="22"/>
      <c r="C3769" s="23" t="str">
        <f aca="false">IF(A3769="","",IFERROR(buscarx(A3769&amp;B3769,DATA!$E$3:$E$10000&amp;DATA!$B$3:$B$10000,DATA!$M$3:$M$10000),"No encontrado"))</f>
        <v/>
      </c>
      <c r="D3769" s="24" t="str">
        <f aca="false">IF(A3769="","",IFERROR(buscarx(A3769&amp;B3769,DATA!$E$3:$E$10000&amp;DATA!$B$3:$B$10000,DATA!$W$3:$W$10000),"No encontrado"))</f>
        <v/>
      </c>
      <c r="E3769" s="22"/>
      <c r="F3769" s="23" t="str">
        <f aca="false">IF(A3769="","",IFERROR(buscarx(A3769&amp;E3769,DATA!$E$3:$E$10000&amp;DATA!$B$3:$B$10000,DATA!$M$3:$M$10000),"Inactivo"))</f>
        <v/>
      </c>
      <c r="G3769" s="25" t="str">
        <f aca="false">IF(A3769="","",IF(AND(C3769&lt;&gt;"No encontrado",F3769&lt;&gt;"Inactivo"),C3769&amp;" → "&amp;F3769,"Sin transición"))</f>
        <v/>
      </c>
      <c r="H3769" s="23" t="str">
        <f aca="false">IF(A3769="","",IF(D3769="GCIA LINEA SERVICIO DIGITALIDAD Y VENTAS","Chats",IF(OR(D3769="GERENCIA INBOUND LÍNEAS SERVICIO Y VENTA",D3769="GERENCIA INBOUND LINEAS ESPECIALIZADAS"),"Llamadas","Otro")))</f>
        <v/>
      </c>
      <c r="I3769" s="23" t="str">
        <f aca="false">IF(A3769="","",IF(C3769="No encontrado","No","Sí"))</f>
        <v/>
      </c>
      <c r="J3769" s="23" t="str">
        <f aca="false">IF(A3769="","",IF(F3769="Inactivo","No","Sí"))</f>
        <v/>
      </c>
      <c r="K3769" s="23" t="str">
        <f aca="false">IF(A3769="","",IF(AND(I3769="Sí",J3769="Sí"),"Sí","No"))</f>
        <v/>
      </c>
    </row>
    <row r="3770" customFormat="false" ht="15" hidden="false" customHeight="false" outlineLevel="0" collapsed="false">
      <c r="A3770" s="22"/>
      <c r="B3770" s="22"/>
      <c r="C3770" s="26" t="str">
        <f aca="false">IF(A3770="","",IFERROR(buscarx(A3770&amp;B3770,DATA!$E$3:$E$10000&amp;DATA!$B$3:$B$10000,DATA!$M$3:$M$10000),"No encontrado"))</f>
        <v/>
      </c>
      <c r="D3770" s="27" t="str">
        <f aca="false">IF(A3770="","",IFERROR(buscarx(A3770&amp;B3770,DATA!$E$3:$E$10000&amp;DATA!$B$3:$B$10000,DATA!$W$3:$W$10000),"No encontrado"))</f>
        <v/>
      </c>
      <c r="E3770" s="22"/>
      <c r="F3770" s="26" t="str">
        <f aca="false">IF(A3770="","",IFERROR(buscarx(A3770&amp;E3770,DATA!$E$3:$E$10000&amp;DATA!$B$3:$B$10000,DATA!$M$3:$M$10000),"Inactivo"))</f>
        <v/>
      </c>
      <c r="G3770" s="28" t="str">
        <f aca="false">IF(A3770="","",IF(AND(C3770&lt;&gt;"No encontrado",F3770&lt;&gt;"Inactivo"),C3770&amp;" → "&amp;F3770,"Sin transición"))</f>
        <v/>
      </c>
      <c r="H3770" s="26" t="str">
        <f aca="false">IF(A3770="","",IF(D3770="GCIA LINEA SERVICIO DIGITALIDAD Y VENTAS","Chats",IF(OR(D3770="GERENCIA INBOUND LÍNEAS SERVICIO Y VENTA",D3770="GERENCIA INBOUND LINEAS ESPECIALIZADAS"),"Llamadas","Otro")))</f>
        <v/>
      </c>
      <c r="I3770" s="26" t="str">
        <f aca="false">IF(A3770="","",IF(C3770="No encontrado","No","Sí"))</f>
        <v/>
      </c>
      <c r="J3770" s="26" t="str">
        <f aca="false">IF(A3770="","",IF(F3770="Inactivo","No","Sí"))</f>
        <v/>
      </c>
      <c r="K3770" s="26" t="str">
        <f aca="false">IF(A3770="","",IF(AND(I3770="Sí",J3770="Sí"),"Sí","No"))</f>
        <v/>
      </c>
    </row>
    <row r="3771" customFormat="false" ht="15" hidden="false" customHeight="false" outlineLevel="0" collapsed="false">
      <c r="A3771" s="22"/>
      <c r="B3771" s="22"/>
      <c r="C3771" s="23" t="str">
        <f aca="false">IF(A3771="","",IFERROR(buscarx(A3771&amp;B3771,DATA!$E$3:$E$10000&amp;DATA!$B$3:$B$10000,DATA!$M$3:$M$10000),"No encontrado"))</f>
        <v/>
      </c>
      <c r="D3771" s="24" t="str">
        <f aca="false">IF(A3771="","",IFERROR(buscarx(A3771&amp;B3771,DATA!$E$3:$E$10000&amp;DATA!$B$3:$B$10000,DATA!$W$3:$W$10000),"No encontrado"))</f>
        <v/>
      </c>
      <c r="E3771" s="22"/>
      <c r="F3771" s="23" t="str">
        <f aca="false">IF(A3771="","",IFERROR(buscarx(A3771&amp;E3771,DATA!$E$3:$E$10000&amp;DATA!$B$3:$B$10000,DATA!$M$3:$M$10000),"Inactivo"))</f>
        <v/>
      </c>
      <c r="G3771" s="25" t="str">
        <f aca="false">IF(A3771="","",IF(AND(C3771&lt;&gt;"No encontrado",F3771&lt;&gt;"Inactivo"),C3771&amp;" → "&amp;F3771,"Sin transición"))</f>
        <v/>
      </c>
      <c r="H3771" s="23" t="str">
        <f aca="false">IF(A3771="","",IF(D3771="GCIA LINEA SERVICIO DIGITALIDAD Y VENTAS","Chats",IF(OR(D3771="GERENCIA INBOUND LÍNEAS SERVICIO Y VENTA",D3771="GERENCIA INBOUND LINEAS ESPECIALIZADAS"),"Llamadas","Otro")))</f>
        <v/>
      </c>
      <c r="I3771" s="23" t="str">
        <f aca="false">IF(A3771="","",IF(C3771="No encontrado","No","Sí"))</f>
        <v/>
      </c>
      <c r="J3771" s="23" t="str">
        <f aca="false">IF(A3771="","",IF(F3771="Inactivo","No","Sí"))</f>
        <v/>
      </c>
      <c r="K3771" s="23" t="str">
        <f aca="false">IF(A3771="","",IF(AND(I3771="Sí",J3771="Sí"),"Sí","No"))</f>
        <v/>
      </c>
    </row>
    <row r="3772" customFormat="false" ht="15" hidden="false" customHeight="false" outlineLevel="0" collapsed="false">
      <c r="A3772" s="22"/>
      <c r="B3772" s="22"/>
      <c r="C3772" s="26" t="str">
        <f aca="false">IF(A3772="","",IFERROR(buscarx(A3772&amp;B3772,DATA!$E$3:$E$10000&amp;DATA!$B$3:$B$10000,DATA!$M$3:$M$10000),"No encontrado"))</f>
        <v/>
      </c>
      <c r="D3772" s="27" t="str">
        <f aca="false">IF(A3772="","",IFERROR(buscarx(A3772&amp;B3772,DATA!$E$3:$E$10000&amp;DATA!$B$3:$B$10000,DATA!$W$3:$W$10000),"No encontrado"))</f>
        <v/>
      </c>
      <c r="E3772" s="22"/>
      <c r="F3772" s="26" t="str">
        <f aca="false">IF(A3772="","",IFERROR(buscarx(A3772&amp;E3772,DATA!$E$3:$E$10000&amp;DATA!$B$3:$B$10000,DATA!$M$3:$M$10000),"Inactivo"))</f>
        <v/>
      </c>
      <c r="G3772" s="28" t="str">
        <f aca="false">IF(A3772="","",IF(AND(C3772&lt;&gt;"No encontrado",F3772&lt;&gt;"Inactivo"),C3772&amp;" → "&amp;F3772,"Sin transición"))</f>
        <v/>
      </c>
      <c r="H3772" s="26" t="str">
        <f aca="false">IF(A3772="","",IF(D3772="GCIA LINEA SERVICIO DIGITALIDAD Y VENTAS","Chats",IF(OR(D3772="GERENCIA INBOUND LÍNEAS SERVICIO Y VENTA",D3772="GERENCIA INBOUND LINEAS ESPECIALIZADAS"),"Llamadas","Otro")))</f>
        <v/>
      </c>
      <c r="I3772" s="26" t="str">
        <f aca="false">IF(A3772="","",IF(C3772="No encontrado","No","Sí"))</f>
        <v/>
      </c>
      <c r="J3772" s="26" t="str">
        <f aca="false">IF(A3772="","",IF(F3772="Inactivo","No","Sí"))</f>
        <v/>
      </c>
      <c r="K3772" s="26" t="str">
        <f aca="false">IF(A3772="","",IF(AND(I3772="Sí",J3772="Sí"),"Sí","No"))</f>
        <v/>
      </c>
    </row>
    <row r="3773" customFormat="false" ht="15" hidden="false" customHeight="false" outlineLevel="0" collapsed="false">
      <c r="A3773" s="22"/>
      <c r="B3773" s="22"/>
      <c r="C3773" s="23" t="str">
        <f aca="false">IF(A3773="","",IFERROR(buscarx(A3773&amp;B3773,DATA!$E$3:$E$10000&amp;DATA!$B$3:$B$10000,DATA!$M$3:$M$10000),"No encontrado"))</f>
        <v/>
      </c>
      <c r="D3773" s="24" t="str">
        <f aca="false">IF(A3773="","",IFERROR(buscarx(A3773&amp;B3773,DATA!$E$3:$E$10000&amp;DATA!$B$3:$B$10000,DATA!$W$3:$W$10000),"No encontrado"))</f>
        <v/>
      </c>
      <c r="E3773" s="22"/>
      <c r="F3773" s="23" t="str">
        <f aca="false">IF(A3773="","",IFERROR(buscarx(A3773&amp;E3773,DATA!$E$3:$E$10000&amp;DATA!$B$3:$B$10000,DATA!$M$3:$M$10000),"Inactivo"))</f>
        <v/>
      </c>
      <c r="G3773" s="25" t="str">
        <f aca="false">IF(A3773="","",IF(AND(C3773&lt;&gt;"No encontrado",F3773&lt;&gt;"Inactivo"),C3773&amp;" → "&amp;F3773,"Sin transición"))</f>
        <v/>
      </c>
      <c r="H3773" s="23" t="str">
        <f aca="false">IF(A3773="","",IF(D3773="GCIA LINEA SERVICIO DIGITALIDAD Y VENTAS","Chats",IF(OR(D3773="GERENCIA INBOUND LÍNEAS SERVICIO Y VENTA",D3773="GERENCIA INBOUND LINEAS ESPECIALIZADAS"),"Llamadas","Otro")))</f>
        <v/>
      </c>
      <c r="I3773" s="23" t="str">
        <f aca="false">IF(A3773="","",IF(C3773="No encontrado","No","Sí"))</f>
        <v/>
      </c>
      <c r="J3773" s="23" t="str">
        <f aca="false">IF(A3773="","",IF(F3773="Inactivo","No","Sí"))</f>
        <v/>
      </c>
      <c r="K3773" s="23" t="str">
        <f aca="false">IF(A3773="","",IF(AND(I3773="Sí",J3773="Sí"),"Sí","No"))</f>
        <v/>
      </c>
    </row>
    <row r="3774" customFormat="false" ht="15" hidden="false" customHeight="false" outlineLevel="0" collapsed="false">
      <c r="A3774" s="22"/>
      <c r="B3774" s="22"/>
      <c r="C3774" s="26" t="str">
        <f aca="false">IF(A3774="","",IFERROR(buscarx(A3774&amp;B3774,DATA!$E$3:$E$10000&amp;DATA!$B$3:$B$10000,DATA!$M$3:$M$10000),"No encontrado"))</f>
        <v/>
      </c>
      <c r="D3774" s="27" t="str">
        <f aca="false">IF(A3774="","",IFERROR(buscarx(A3774&amp;B3774,DATA!$E$3:$E$10000&amp;DATA!$B$3:$B$10000,DATA!$W$3:$W$10000),"No encontrado"))</f>
        <v/>
      </c>
      <c r="E3774" s="22"/>
      <c r="F3774" s="26" t="str">
        <f aca="false">IF(A3774="","",IFERROR(buscarx(A3774&amp;E3774,DATA!$E$3:$E$10000&amp;DATA!$B$3:$B$10000,DATA!$M$3:$M$10000),"Inactivo"))</f>
        <v/>
      </c>
      <c r="G3774" s="28" t="str">
        <f aca="false">IF(A3774="","",IF(AND(C3774&lt;&gt;"No encontrado",F3774&lt;&gt;"Inactivo"),C3774&amp;" → "&amp;F3774,"Sin transición"))</f>
        <v/>
      </c>
      <c r="H3774" s="26" t="str">
        <f aca="false">IF(A3774="","",IF(D3774="GCIA LINEA SERVICIO DIGITALIDAD Y VENTAS","Chats",IF(OR(D3774="GERENCIA INBOUND LÍNEAS SERVICIO Y VENTA",D3774="GERENCIA INBOUND LINEAS ESPECIALIZADAS"),"Llamadas","Otro")))</f>
        <v/>
      </c>
      <c r="I3774" s="26" t="str">
        <f aca="false">IF(A3774="","",IF(C3774="No encontrado","No","Sí"))</f>
        <v/>
      </c>
      <c r="J3774" s="26" t="str">
        <f aca="false">IF(A3774="","",IF(F3774="Inactivo","No","Sí"))</f>
        <v/>
      </c>
      <c r="K3774" s="26" t="str">
        <f aca="false">IF(A3774="","",IF(AND(I3774="Sí",J3774="Sí"),"Sí","No"))</f>
        <v/>
      </c>
    </row>
    <row r="3775" customFormat="false" ht="15" hidden="false" customHeight="false" outlineLevel="0" collapsed="false">
      <c r="A3775" s="22"/>
      <c r="B3775" s="22"/>
      <c r="C3775" s="23" t="str">
        <f aca="false">IF(A3775="","",IFERROR(buscarx(A3775&amp;B3775,DATA!$E$3:$E$10000&amp;DATA!$B$3:$B$10000,DATA!$M$3:$M$10000),"No encontrado"))</f>
        <v/>
      </c>
      <c r="D3775" s="24" t="str">
        <f aca="false">IF(A3775="","",IFERROR(buscarx(A3775&amp;B3775,DATA!$E$3:$E$10000&amp;DATA!$B$3:$B$10000,DATA!$W$3:$W$10000),"No encontrado"))</f>
        <v/>
      </c>
      <c r="E3775" s="22"/>
      <c r="F3775" s="23" t="str">
        <f aca="false">IF(A3775="","",IFERROR(buscarx(A3775&amp;E3775,DATA!$E$3:$E$10000&amp;DATA!$B$3:$B$10000,DATA!$M$3:$M$10000),"Inactivo"))</f>
        <v/>
      </c>
      <c r="G3775" s="25" t="str">
        <f aca="false">IF(A3775="","",IF(AND(C3775&lt;&gt;"No encontrado",F3775&lt;&gt;"Inactivo"),C3775&amp;" → "&amp;F3775,"Sin transición"))</f>
        <v/>
      </c>
      <c r="H3775" s="23" t="str">
        <f aca="false">IF(A3775="","",IF(D3775="GCIA LINEA SERVICIO DIGITALIDAD Y VENTAS","Chats",IF(OR(D3775="GERENCIA INBOUND LÍNEAS SERVICIO Y VENTA",D3775="GERENCIA INBOUND LINEAS ESPECIALIZADAS"),"Llamadas","Otro")))</f>
        <v/>
      </c>
      <c r="I3775" s="23" t="str">
        <f aca="false">IF(A3775="","",IF(C3775="No encontrado","No","Sí"))</f>
        <v/>
      </c>
      <c r="J3775" s="23" t="str">
        <f aca="false">IF(A3775="","",IF(F3775="Inactivo","No","Sí"))</f>
        <v/>
      </c>
      <c r="K3775" s="23" t="str">
        <f aca="false">IF(A3775="","",IF(AND(I3775="Sí",J3775="Sí"),"Sí","No"))</f>
        <v/>
      </c>
    </row>
    <row r="3776" customFormat="false" ht="15" hidden="false" customHeight="false" outlineLevel="0" collapsed="false">
      <c r="A3776" s="22"/>
      <c r="B3776" s="22"/>
      <c r="C3776" s="26" t="str">
        <f aca="false">IF(A3776="","",IFERROR(buscarx(A3776&amp;B3776,DATA!$E$3:$E$10000&amp;DATA!$B$3:$B$10000,DATA!$M$3:$M$10000),"No encontrado"))</f>
        <v/>
      </c>
      <c r="D3776" s="27" t="str">
        <f aca="false">IF(A3776="","",IFERROR(buscarx(A3776&amp;B3776,DATA!$E$3:$E$10000&amp;DATA!$B$3:$B$10000,DATA!$W$3:$W$10000),"No encontrado"))</f>
        <v/>
      </c>
      <c r="E3776" s="22"/>
      <c r="F3776" s="26" t="str">
        <f aca="false">IF(A3776="","",IFERROR(buscarx(A3776&amp;E3776,DATA!$E$3:$E$10000&amp;DATA!$B$3:$B$10000,DATA!$M$3:$M$10000),"Inactivo"))</f>
        <v/>
      </c>
      <c r="G3776" s="28" t="str">
        <f aca="false">IF(A3776="","",IF(AND(C3776&lt;&gt;"No encontrado",F3776&lt;&gt;"Inactivo"),C3776&amp;" → "&amp;F3776,"Sin transición"))</f>
        <v/>
      </c>
      <c r="H3776" s="26" t="str">
        <f aca="false">IF(A3776="","",IF(D3776="GCIA LINEA SERVICIO DIGITALIDAD Y VENTAS","Chats",IF(OR(D3776="GERENCIA INBOUND LÍNEAS SERVICIO Y VENTA",D3776="GERENCIA INBOUND LINEAS ESPECIALIZADAS"),"Llamadas","Otro")))</f>
        <v/>
      </c>
      <c r="I3776" s="26" t="str">
        <f aca="false">IF(A3776="","",IF(C3776="No encontrado","No","Sí"))</f>
        <v/>
      </c>
      <c r="J3776" s="26" t="str">
        <f aca="false">IF(A3776="","",IF(F3776="Inactivo","No","Sí"))</f>
        <v/>
      </c>
      <c r="K3776" s="26" t="str">
        <f aca="false">IF(A3776="","",IF(AND(I3776="Sí",J3776="Sí"),"Sí","No"))</f>
        <v/>
      </c>
    </row>
    <row r="3777" customFormat="false" ht="15" hidden="false" customHeight="false" outlineLevel="0" collapsed="false">
      <c r="A3777" s="22"/>
      <c r="B3777" s="22"/>
      <c r="C3777" s="23" t="str">
        <f aca="false">IF(A3777="","",IFERROR(buscarx(A3777&amp;B3777,DATA!$E$3:$E$10000&amp;DATA!$B$3:$B$10000,DATA!$M$3:$M$10000),"No encontrado"))</f>
        <v/>
      </c>
      <c r="D3777" s="24" t="str">
        <f aca="false">IF(A3777="","",IFERROR(buscarx(A3777&amp;B3777,DATA!$E$3:$E$10000&amp;DATA!$B$3:$B$10000,DATA!$W$3:$W$10000),"No encontrado"))</f>
        <v/>
      </c>
      <c r="E3777" s="22"/>
      <c r="F3777" s="23" t="str">
        <f aca="false">IF(A3777="","",IFERROR(buscarx(A3777&amp;E3777,DATA!$E$3:$E$10000&amp;DATA!$B$3:$B$10000,DATA!$M$3:$M$10000),"Inactivo"))</f>
        <v/>
      </c>
      <c r="G3777" s="25" t="str">
        <f aca="false">IF(A3777="","",IF(AND(C3777&lt;&gt;"No encontrado",F3777&lt;&gt;"Inactivo"),C3777&amp;" → "&amp;F3777,"Sin transición"))</f>
        <v/>
      </c>
      <c r="H3777" s="23" t="str">
        <f aca="false">IF(A3777="","",IF(D3777="GCIA LINEA SERVICIO DIGITALIDAD Y VENTAS","Chats",IF(OR(D3777="GERENCIA INBOUND LÍNEAS SERVICIO Y VENTA",D3777="GERENCIA INBOUND LINEAS ESPECIALIZADAS"),"Llamadas","Otro")))</f>
        <v/>
      </c>
      <c r="I3777" s="23" t="str">
        <f aca="false">IF(A3777="","",IF(C3777="No encontrado","No","Sí"))</f>
        <v/>
      </c>
      <c r="J3777" s="23" t="str">
        <f aca="false">IF(A3777="","",IF(F3777="Inactivo","No","Sí"))</f>
        <v/>
      </c>
      <c r="K3777" s="23" t="str">
        <f aca="false">IF(A3777="","",IF(AND(I3777="Sí",J3777="Sí"),"Sí","No"))</f>
        <v/>
      </c>
    </row>
    <row r="3778" customFormat="false" ht="15" hidden="false" customHeight="false" outlineLevel="0" collapsed="false">
      <c r="A3778" s="22"/>
      <c r="B3778" s="22"/>
      <c r="C3778" s="26" t="str">
        <f aca="false">IF(A3778="","",IFERROR(buscarx(A3778&amp;B3778,DATA!$E$3:$E$10000&amp;DATA!$B$3:$B$10000,DATA!$M$3:$M$10000),"No encontrado"))</f>
        <v/>
      </c>
      <c r="D3778" s="27" t="str">
        <f aca="false">IF(A3778="","",IFERROR(buscarx(A3778&amp;B3778,DATA!$E$3:$E$10000&amp;DATA!$B$3:$B$10000,DATA!$W$3:$W$10000),"No encontrado"))</f>
        <v/>
      </c>
      <c r="E3778" s="22"/>
      <c r="F3778" s="26" t="str">
        <f aca="false">IF(A3778="","",IFERROR(buscarx(A3778&amp;E3778,DATA!$E$3:$E$10000&amp;DATA!$B$3:$B$10000,DATA!$M$3:$M$10000),"Inactivo"))</f>
        <v/>
      </c>
      <c r="G3778" s="28" t="str">
        <f aca="false">IF(A3778="","",IF(AND(C3778&lt;&gt;"No encontrado",F3778&lt;&gt;"Inactivo"),C3778&amp;" → "&amp;F3778,"Sin transición"))</f>
        <v/>
      </c>
      <c r="H3778" s="26" t="str">
        <f aca="false">IF(A3778="","",IF(D3778="GCIA LINEA SERVICIO DIGITALIDAD Y VENTAS","Chats",IF(OR(D3778="GERENCIA INBOUND LÍNEAS SERVICIO Y VENTA",D3778="GERENCIA INBOUND LINEAS ESPECIALIZADAS"),"Llamadas","Otro")))</f>
        <v/>
      </c>
      <c r="I3778" s="26" t="str">
        <f aca="false">IF(A3778="","",IF(C3778="No encontrado","No","Sí"))</f>
        <v/>
      </c>
      <c r="J3778" s="26" t="str">
        <f aca="false">IF(A3778="","",IF(F3778="Inactivo","No","Sí"))</f>
        <v/>
      </c>
      <c r="K3778" s="26" t="str">
        <f aca="false">IF(A3778="","",IF(AND(I3778="Sí",J3778="Sí"),"Sí","No"))</f>
        <v/>
      </c>
    </row>
    <row r="3779" customFormat="false" ht="15" hidden="false" customHeight="false" outlineLevel="0" collapsed="false">
      <c r="A3779" s="22"/>
      <c r="B3779" s="22"/>
      <c r="C3779" s="23" t="str">
        <f aca="false">IF(A3779="","",IFERROR(buscarx(A3779&amp;B3779,DATA!$E$3:$E$10000&amp;DATA!$B$3:$B$10000,DATA!$M$3:$M$10000),"No encontrado"))</f>
        <v/>
      </c>
      <c r="D3779" s="24" t="str">
        <f aca="false">IF(A3779="","",IFERROR(buscarx(A3779&amp;B3779,DATA!$E$3:$E$10000&amp;DATA!$B$3:$B$10000,DATA!$W$3:$W$10000),"No encontrado"))</f>
        <v/>
      </c>
      <c r="E3779" s="22"/>
      <c r="F3779" s="23" t="str">
        <f aca="false">IF(A3779="","",IFERROR(buscarx(A3779&amp;E3779,DATA!$E$3:$E$10000&amp;DATA!$B$3:$B$10000,DATA!$M$3:$M$10000),"Inactivo"))</f>
        <v/>
      </c>
      <c r="G3779" s="25" t="str">
        <f aca="false">IF(A3779="","",IF(AND(C3779&lt;&gt;"No encontrado",F3779&lt;&gt;"Inactivo"),C3779&amp;" → "&amp;F3779,"Sin transición"))</f>
        <v/>
      </c>
      <c r="H3779" s="23" t="str">
        <f aca="false">IF(A3779="","",IF(D3779="GCIA LINEA SERVICIO DIGITALIDAD Y VENTAS","Chats",IF(OR(D3779="GERENCIA INBOUND LÍNEAS SERVICIO Y VENTA",D3779="GERENCIA INBOUND LINEAS ESPECIALIZADAS"),"Llamadas","Otro")))</f>
        <v/>
      </c>
      <c r="I3779" s="23" t="str">
        <f aca="false">IF(A3779="","",IF(C3779="No encontrado","No","Sí"))</f>
        <v/>
      </c>
      <c r="J3779" s="23" t="str">
        <f aca="false">IF(A3779="","",IF(F3779="Inactivo","No","Sí"))</f>
        <v/>
      </c>
      <c r="K3779" s="23" t="str">
        <f aca="false">IF(A3779="","",IF(AND(I3779="Sí",J3779="Sí"),"Sí","No"))</f>
        <v/>
      </c>
    </row>
    <row r="3780" customFormat="false" ht="15" hidden="false" customHeight="false" outlineLevel="0" collapsed="false">
      <c r="A3780" s="22"/>
      <c r="B3780" s="22"/>
      <c r="C3780" s="26" t="str">
        <f aca="false">IF(A3780="","",IFERROR(buscarx(A3780&amp;B3780,DATA!$E$3:$E$10000&amp;DATA!$B$3:$B$10000,DATA!$M$3:$M$10000),"No encontrado"))</f>
        <v/>
      </c>
      <c r="D3780" s="27" t="str">
        <f aca="false">IF(A3780="","",IFERROR(buscarx(A3780&amp;B3780,DATA!$E$3:$E$10000&amp;DATA!$B$3:$B$10000,DATA!$W$3:$W$10000),"No encontrado"))</f>
        <v/>
      </c>
      <c r="E3780" s="22"/>
      <c r="F3780" s="26" t="str">
        <f aca="false">IF(A3780="","",IFERROR(buscarx(A3780&amp;E3780,DATA!$E$3:$E$10000&amp;DATA!$B$3:$B$10000,DATA!$M$3:$M$10000),"Inactivo"))</f>
        <v/>
      </c>
      <c r="G3780" s="28" t="str">
        <f aca="false">IF(A3780="","",IF(AND(C3780&lt;&gt;"No encontrado",F3780&lt;&gt;"Inactivo"),C3780&amp;" → "&amp;F3780,"Sin transición"))</f>
        <v/>
      </c>
      <c r="H3780" s="26" t="str">
        <f aca="false">IF(A3780="","",IF(D3780="GCIA LINEA SERVICIO DIGITALIDAD Y VENTAS","Chats",IF(OR(D3780="GERENCIA INBOUND LÍNEAS SERVICIO Y VENTA",D3780="GERENCIA INBOUND LINEAS ESPECIALIZADAS"),"Llamadas","Otro")))</f>
        <v/>
      </c>
      <c r="I3780" s="26" t="str">
        <f aca="false">IF(A3780="","",IF(C3780="No encontrado","No","Sí"))</f>
        <v/>
      </c>
      <c r="J3780" s="26" t="str">
        <f aca="false">IF(A3780="","",IF(F3780="Inactivo","No","Sí"))</f>
        <v/>
      </c>
      <c r="K3780" s="26" t="str">
        <f aca="false">IF(A3780="","",IF(AND(I3780="Sí",J3780="Sí"),"Sí","No"))</f>
        <v/>
      </c>
    </row>
    <row r="3781" customFormat="false" ht="15" hidden="false" customHeight="false" outlineLevel="0" collapsed="false">
      <c r="A3781" s="22"/>
      <c r="B3781" s="22"/>
      <c r="C3781" s="23" t="str">
        <f aca="false">IF(A3781="","",IFERROR(buscarx(A3781&amp;B3781,DATA!$E$3:$E$10000&amp;DATA!$B$3:$B$10000,DATA!$M$3:$M$10000),"No encontrado"))</f>
        <v/>
      </c>
      <c r="D3781" s="24" t="str">
        <f aca="false">IF(A3781="","",IFERROR(buscarx(A3781&amp;B3781,DATA!$E$3:$E$10000&amp;DATA!$B$3:$B$10000,DATA!$W$3:$W$10000),"No encontrado"))</f>
        <v/>
      </c>
      <c r="E3781" s="22"/>
      <c r="F3781" s="23" t="str">
        <f aca="false">IF(A3781="","",IFERROR(buscarx(A3781&amp;E3781,DATA!$E$3:$E$10000&amp;DATA!$B$3:$B$10000,DATA!$M$3:$M$10000),"Inactivo"))</f>
        <v/>
      </c>
      <c r="G3781" s="25" t="str">
        <f aca="false">IF(A3781="","",IF(AND(C3781&lt;&gt;"No encontrado",F3781&lt;&gt;"Inactivo"),C3781&amp;" → "&amp;F3781,"Sin transición"))</f>
        <v/>
      </c>
      <c r="H3781" s="23" t="str">
        <f aca="false">IF(A3781="","",IF(D3781="GCIA LINEA SERVICIO DIGITALIDAD Y VENTAS","Chats",IF(OR(D3781="GERENCIA INBOUND LÍNEAS SERVICIO Y VENTA",D3781="GERENCIA INBOUND LINEAS ESPECIALIZADAS"),"Llamadas","Otro")))</f>
        <v/>
      </c>
      <c r="I3781" s="23" t="str">
        <f aca="false">IF(A3781="","",IF(C3781="No encontrado","No","Sí"))</f>
        <v/>
      </c>
      <c r="J3781" s="23" t="str">
        <f aca="false">IF(A3781="","",IF(F3781="Inactivo","No","Sí"))</f>
        <v/>
      </c>
      <c r="K3781" s="23" t="str">
        <f aca="false">IF(A3781="","",IF(AND(I3781="Sí",J3781="Sí"),"Sí","No"))</f>
        <v/>
      </c>
    </row>
    <row r="3782" customFormat="false" ht="15" hidden="false" customHeight="false" outlineLevel="0" collapsed="false">
      <c r="A3782" s="22"/>
      <c r="B3782" s="22"/>
      <c r="C3782" s="26" t="str">
        <f aca="false">IF(A3782="","",IFERROR(buscarx(A3782&amp;B3782,DATA!$E$3:$E$10000&amp;DATA!$B$3:$B$10000,DATA!$M$3:$M$10000),"No encontrado"))</f>
        <v/>
      </c>
      <c r="D3782" s="27" t="str">
        <f aca="false">IF(A3782="","",IFERROR(buscarx(A3782&amp;B3782,DATA!$E$3:$E$10000&amp;DATA!$B$3:$B$10000,DATA!$W$3:$W$10000),"No encontrado"))</f>
        <v/>
      </c>
      <c r="E3782" s="22"/>
      <c r="F3782" s="26" t="str">
        <f aca="false">IF(A3782="","",IFERROR(buscarx(A3782&amp;E3782,DATA!$E$3:$E$10000&amp;DATA!$B$3:$B$10000,DATA!$M$3:$M$10000),"Inactivo"))</f>
        <v/>
      </c>
      <c r="G3782" s="28" t="str">
        <f aca="false">IF(A3782="","",IF(AND(C3782&lt;&gt;"No encontrado",F3782&lt;&gt;"Inactivo"),C3782&amp;" → "&amp;F3782,"Sin transición"))</f>
        <v/>
      </c>
      <c r="H3782" s="26" t="str">
        <f aca="false">IF(A3782="","",IF(D3782="GCIA LINEA SERVICIO DIGITALIDAD Y VENTAS","Chats",IF(OR(D3782="GERENCIA INBOUND LÍNEAS SERVICIO Y VENTA",D3782="GERENCIA INBOUND LINEAS ESPECIALIZADAS"),"Llamadas","Otro")))</f>
        <v/>
      </c>
      <c r="I3782" s="26" t="str">
        <f aca="false">IF(A3782="","",IF(C3782="No encontrado","No","Sí"))</f>
        <v/>
      </c>
      <c r="J3782" s="26" t="str">
        <f aca="false">IF(A3782="","",IF(F3782="Inactivo","No","Sí"))</f>
        <v/>
      </c>
      <c r="K3782" s="26" t="str">
        <f aca="false">IF(A3782="","",IF(AND(I3782="Sí",J3782="Sí"),"Sí","No"))</f>
        <v/>
      </c>
    </row>
    <row r="3783" customFormat="false" ht="15" hidden="false" customHeight="false" outlineLevel="0" collapsed="false">
      <c r="A3783" s="22"/>
      <c r="B3783" s="22"/>
      <c r="C3783" s="23" t="str">
        <f aca="false">IF(A3783="","",IFERROR(buscarx(A3783&amp;B3783,DATA!$E$3:$E$10000&amp;DATA!$B$3:$B$10000,DATA!$M$3:$M$10000),"No encontrado"))</f>
        <v/>
      </c>
      <c r="D3783" s="24" t="str">
        <f aca="false">IF(A3783="","",IFERROR(buscarx(A3783&amp;B3783,DATA!$E$3:$E$10000&amp;DATA!$B$3:$B$10000,DATA!$W$3:$W$10000),"No encontrado"))</f>
        <v/>
      </c>
      <c r="E3783" s="22"/>
      <c r="F3783" s="23" t="str">
        <f aca="false">IF(A3783="","",IFERROR(buscarx(A3783&amp;E3783,DATA!$E$3:$E$10000&amp;DATA!$B$3:$B$10000,DATA!$M$3:$M$10000),"Inactivo"))</f>
        <v/>
      </c>
      <c r="G3783" s="25" t="str">
        <f aca="false">IF(A3783="","",IF(AND(C3783&lt;&gt;"No encontrado",F3783&lt;&gt;"Inactivo"),C3783&amp;" → "&amp;F3783,"Sin transición"))</f>
        <v/>
      </c>
      <c r="H3783" s="23" t="str">
        <f aca="false">IF(A3783="","",IF(D3783="GCIA LINEA SERVICIO DIGITALIDAD Y VENTAS","Chats",IF(OR(D3783="GERENCIA INBOUND LÍNEAS SERVICIO Y VENTA",D3783="GERENCIA INBOUND LINEAS ESPECIALIZADAS"),"Llamadas","Otro")))</f>
        <v/>
      </c>
      <c r="I3783" s="23" t="str">
        <f aca="false">IF(A3783="","",IF(C3783="No encontrado","No","Sí"))</f>
        <v/>
      </c>
      <c r="J3783" s="23" t="str">
        <f aca="false">IF(A3783="","",IF(F3783="Inactivo","No","Sí"))</f>
        <v/>
      </c>
      <c r="K3783" s="23" t="str">
        <f aca="false">IF(A3783="","",IF(AND(I3783="Sí",J3783="Sí"),"Sí","No"))</f>
        <v/>
      </c>
    </row>
    <row r="3784" customFormat="false" ht="15" hidden="false" customHeight="false" outlineLevel="0" collapsed="false">
      <c r="A3784" s="22"/>
      <c r="B3784" s="22"/>
      <c r="C3784" s="26" t="str">
        <f aca="false">IF(A3784="","",IFERROR(buscarx(A3784&amp;B3784,DATA!$E$3:$E$10000&amp;DATA!$B$3:$B$10000,DATA!$M$3:$M$10000),"No encontrado"))</f>
        <v/>
      </c>
      <c r="D3784" s="27" t="str">
        <f aca="false">IF(A3784="","",IFERROR(buscarx(A3784&amp;B3784,DATA!$E$3:$E$10000&amp;DATA!$B$3:$B$10000,DATA!$W$3:$W$10000),"No encontrado"))</f>
        <v/>
      </c>
      <c r="E3784" s="22"/>
      <c r="F3784" s="26" t="str">
        <f aca="false">IF(A3784="","",IFERROR(buscarx(A3784&amp;E3784,DATA!$E$3:$E$10000&amp;DATA!$B$3:$B$10000,DATA!$M$3:$M$10000),"Inactivo"))</f>
        <v/>
      </c>
      <c r="G3784" s="28" t="str">
        <f aca="false">IF(A3784="","",IF(AND(C3784&lt;&gt;"No encontrado",F3784&lt;&gt;"Inactivo"),C3784&amp;" → "&amp;F3784,"Sin transición"))</f>
        <v/>
      </c>
      <c r="H3784" s="26" t="str">
        <f aca="false">IF(A3784="","",IF(D3784="GCIA LINEA SERVICIO DIGITALIDAD Y VENTAS","Chats",IF(OR(D3784="GERENCIA INBOUND LÍNEAS SERVICIO Y VENTA",D3784="GERENCIA INBOUND LINEAS ESPECIALIZADAS"),"Llamadas","Otro")))</f>
        <v/>
      </c>
      <c r="I3784" s="26" t="str">
        <f aca="false">IF(A3784="","",IF(C3784="No encontrado","No","Sí"))</f>
        <v/>
      </c>
      <c r="J3784" s="26" t="str">
        <f aca="false">IF(A3784="","",IF(F3784="Inactivo","No","Sí"))</f>
        <v/>
      </c>
      <c r="K3784" s="26" t="str">
        <f aca="false">IF(A3784="","",IF(AND(I3784="Sí",J3784="Sí"),"Sí","No"))</f>
        <v/>
      </c>
    </row>
    <row r="3785" customFormat="false" ht="15" hidden="false" customHeight="false" outlineLevel="0" collapsed="false">
      <c r="A3785" s="22"/>
      <c r="B3785" s="22"/>
      <c r="C3785" s="23" t="str">
        <f aca="false">IF(A3785="","",IFERROR(buscarx(A3785&amp;B3785,DATA!$E$3:$E$10000&amp;DATA!$B$3:$B$10000,DATA!$M$3:$M$10000),"No encontrado"))</f>
        <v/>
      </c>
      <c r="D3785" s="24" t="str">
        <f aca="false">IF(A3785="","",IFERROR(buscarx(A3785&amp;B3785,DATA!$E$3:$E$10000&amp;DATA!$B$3:$B$10000,DATA!$W$3:$W$10000),"No encontrado"))</f>
        <v/>
      </c>
      <c r="E3785" s="22"/>
      <c r="F3785" s="23" t="str">
        <f aca="false">IF(A3785="","",IFERROR(buscarx(A3785&amp;E3785,DATA!$E$3:$E$10000&amp;DATA!$B$3:$B$10000,DATA!$M$3:$M$10000),"Inactivo"))</f>
        <v/>
      </c>
      <c r="G3785" s="25" t="str">
        <f aca="false">IF(A3785="","",IF(AND(C3785&lt;&gt;"No encontrado",F3785&lt;&gt;"Inactivo"),C3785&amp;" → "&amp;F3785,"Sin transición"))</f>
        <v/>
      </c>
      <c r="H3785" s="23" t="str">
        <f aca="false">IF(A3785="","",IF(D3785="GCIA LINEA SERVICIO DIGITALIDAD Y VENTAS","Chats",IF(OR(D3785="GERENCIA INBOUND LÍNEAS SERVICIO Y VENTA",D3785="GERENCIA INBOUND LINEAS ESPECIALIZADAS"),"Llamadas","Otro")))</f>
        <v/>
      </c>
      <c r="I3785" s="23" t="str">
        <f aca="false">IF(A3785="","",IF(C3785="No encontrado","No","Sí"))</f>
        <v/>
      </c>
      <c r="J3785" s="23" t="str">
        <f aca="false">IF(A3785="","",IF(F3785="Inactivo","No","Sí"))</f>
        <v/>
      </c>
      <c r="K3785" s="23" t="str">
        <f aca="false">IF(A3785="","",IF(AND(I3785="Sí",J3785="Sí"),"Sí","No"))</f>
        <v/>
      </c>
    </row>
    <row r="3786" customFormat="false" ht="15" hidden="false" customHeight="false" outlineLevel="0" collapsed="false">
      <c r="A3786" s="22"/>
      <c r="B3786" s="22"/>
      <c r="C3786" s="26" t="str">
        <f aca="false">IF(A3786="","",IFERROR(buscarx(A3786&amp;B3786,DATA!$E$3:$E$10000&amp;DATA!$B$3:$B$10000,DATA!$M$3:$M$10000),"No encontrado"))</f>
        <v/>
      </c>
      <c r="D3786" s="27" t="str">
        <f aca="false">IF(A3786="","",IFERROR(buscarx(A3786&amp;B3786,DATA!$E$3:$E$10000&amp;DATA!$B$3:$B$10000,DATA!$W$3:$W$10000),"No encontrado"))</f>
        <v/>
      </c>
      <c r="E3786" s="22"/>
      <c r="F3786" s="26" t="str">
        <f aca="false">IF(A3786="","",IFERROR(buscarx(A3786&amp;E3786,DATA!$E$3:$E$10000&amp;DATA!$B$3:$B$10000,DATA!$M$3:$M$10000),"Inactivo"))</f>
        <v/>
      </c>
      <c r="G3786" s="28" t="str">
        <f aca="false">IF(A3786="","",IF(AND(C3786&lt;&gt;"No encontrado",F3786&lt;&gt;"Inactivo"),C3786&amp;" → "&amp;F3786,"Sin transición"))</f>
        <v/>
      </c>
      <c r="H3786" s="26" t="str">
        <f aca="false">IF(A3786="","",IF(D3786="GCIA LINEA SERVICIO DIGITALIDAD Y VENTAS","Chats",IF(OR(D3786="GERENCIA INBOUND LÍNEAS SERVICIO Y VENTA",D3786="GERENCIA INBOUND LINEAS ESPECIALIZADAS"),"Llamadas","Otro")))</f>
        <v/>
      </c>
      <c r="I3786" s="26" t="str">
        <f aca="false">IF(A3786="","",IF(C3786="No encontrado","No","Sí"))</f>
        <v/>
      </c>
      <c r="J3786" s="26" t="str">
        <f aca="false">IF(A3786="","",IF(F3786="Inactivo","No","Sí"))</f>
        <v/>
      </c>
      <c r="K3786" s="26" t="str">
        <f aca="false">IF(A3786="","",IF(AND(I3786="Sí",J3786="Sí"),"Sí","No"))</f>
        <v/>
      </c>
    </row>
    <row r="3787" customFormat="false" ht="15" hidden="false" customHeight="false" outlineLevel="0" collapsed="false">
      <c r="A3787" s="22"/>
      <c r="B3787" s="22"/>
      <c r="C3787" s="23" t="str">
        <f aca="false">IF(A3787="","",IFERROR(buscarx(A3787&amp;B3787,DATA!$E$3:$E$10000&amp;DATA!$B$3:$B$10000,DATA!$M$3:$M$10000),"No encontrado"))</f>
        <v/>
      </c>
      <c r="D3787" s="24" t="str">
        <f aca="false">IF(A3787="","",IFERROR(buscarx(A3787&amp;B3787,DATA!$E$3:$E$10000&amp;DATA!$B$3:$B$10000,DATA!$W$3:$W$10000),"No encontrado"))</f>
        <v/>
      </c>
      <c r="E3787" s="22"/>
      <c r="F3787" s="23" t="str">
        <f aca="false">IF(A3787="","",IFERROR(buscarx(A3787&amp;E3787,DATA!$E$3:$E$10000&amp;DATA!$B$3:$B$10000,DATA!$M$3:$M$10000),"Inactivo"))</f>
        <v/>
      </c>
      <c r="G3787" s="25" t="str">
        <f aca="false">IF(A3787="","",IF(AND(C3787&lt;&gt;"No encontrado",F3787&lt;&gt;"Inactivo"),C3787&amp;" → "&amp;F3787,"Sin transición"))</f>
        <v/>
      </c>
      <c r="H3787" s="23" t="str">
        <f aca="false">IF(A3787="","",IF(D3787="GCIA LINEA SERVICIO DIGITALIDAD Y VENTAS","Chats",IF(OR(D3787="GERENCIA INBOUND LÍNEAS SERVICIO Y VENTA",D3787="GERENCIA INBOUND LINEAS ESPECIALIZADAS"),"Llamadas","Otro")))</f>
        <v/>
      </c>
      <c r="I3787" s="23" t="str">
        <f aca="false">IF(A3787="","",IF(C3787="No encontrado","No","Sí"))</f>
        <v/>
      </c>
      <c r="J3787" s="23" t="str">
        <f aca="false">IF(A3787="","",IF(F3787="Inactivo","No","Sí"))</f>
        <v/>
      </c>
      <c r="K3787" s="23" t="str">
        <f aca="false">IF(A3787="","",IF(AND(I3787="Sí",J3787="Sí"),"Sí","No"))</f>
        <v/>
      </c>
    </row>
    <row r="3788" customFormat="false" ht="15" hidden="false" customHeight="false" outlineLevel="0" collapsed="false">
      <c r="A3788" s="22"/>
      <c r="B3788" s="22"/>
      <c r="C3788" s="26" t="str">
        <f aca="false">IF(A3788="","",IFERROR(buscarx(A3788&amp;B3788,DATA!$E$3:$E$10000&amp;DATA!$B$3:$B$10000,DATA!$M$3:$M$10000),"No encontrado"))</f>
        <v/>
      </c>
      <c r="D3788" s="27" t="str">
        <f aca="false">IF(A3788="","",IFERROR(buscarx(A3788&amp;B3788,DATA!$E$3:$E$10000&amp;DATA!$B$3:$B$10000,DATA!$W$3:$W$10000),"No encontrado"))</f>
        <v/>
      </c>
      <c r="E3788" s="22"/>
      <c r="F3788" s="26" t="str">
        <f aca="false">IF(A3788="","",IFERROR(buscarx(A3788&amp;E3788,DATA!$E$3:$E$10000&amp;DATA!$B$3:$B$10000,DATA!$M$3:$M$10000),"Inactivo"))</f>
        <v/>
      </c>
      <c r="G3788" s="28" t="str">
        <f aca="false">IF(A3788="","",IF(AND(C3788&lt;&gt;"No encontrado",F3788&lt;&gt;"Inactivo"),C3788&amp;" → "&amp;F3788,"Sin transición"))</f>
        <v/>
      </c>
      <c r="H3788" s="26" t="str">
        <f aca="false">IF(A3788="","",IF(D3788="GCIA LINEA SERVICIO DIGITALIDAD Y VENTAS","Chats",IF(OR(D3788="GERENCIA INBOUND LÍNEAS SERVICIO Y VENTA",D3788="GERENCIA INBOUND LINEAS ESPECIALIZADAS"),"Llamadas","Otro")))</f>
        <v/>
      </c>
      <c r="I3788" s="26" t="str">
        <f aca="false">IF(A3788="","",IF(C3788="No encontrado","No","Sí"))</f>
        <v/>
      </c>
      <c r="J3788" s="26" t="str">
        <f aca="false">IF(A3788="","",IF(F3788="Inactivo","No","Sí"))</f>
        <v/>
      </c>
      <c r="K3788" s="26" t="str">
        <f aca="false">IF(A3788="","",IF(AND(I3788="Sí",J3788="Sí"),"Sí","No"))</f>
        <v/>
      </c>
    </row>
    <row r="3789" customFormat="false" ht="15" hidden="false" customHeight="false" outlineLevel="0" collapsed="false">
      <c r="A3789" s="22"/>
      <c r="B3789" s="22"/>
      <c r="C3789" s="23" t="str">
        <f aca="false">IF(A3789="","",IFERROR(buscarx(A3789&amp;B3789,DATA!$E$3:$E$10000&amp;DATA!$B$3:$B$10000,DATA!$M$3:$M$10000),"No encontrado"))</f>
        <v/>
      </c>
      <c r="D3789" s="24" t="str">
        <f aca="false">IF(A3789="","",IFERROR(buscarx(A3789&amp;B3789,DATA!$E$3:$E$10000&amp;DATA!$B$3:$B$10000,DATA!$W$3:$W$10000),"No encontrado"))</f>
        <v/>
      </c>
      <c r="E3789" s="22"/>
      <c r="F3789" s="23" t="str">
        <f aca="false">IF(A3789="","",IFERROR(buscarx(A3789&amp;E3789,DATA!$E$3:$E$10000&amp;DATA!$B$3:$B$10000,DATA!$M$3:$M$10000),"Inactivo"))</f>
        <v/>
      </c>
      <c r="G3789" s="25" t="str">
        <f aca="false">IF(A3789="","",IF(AND(C3789&lt;&gt;"No encontrado",F3789&lt;&gt;"Inactivo"),C3789&amp;" → "&amp;F3789,"Sin transición"))</f>
        <v/>
      </c>
      <c r="H3789" s="23" t="str">
        <f aca="false">IF(A3789="","",IF(D3789="GCIA LINEA SERVICIO DIGITALIDAD Y VENTAS","Chats",IF(OR(D3789="GERENCIA INBOUND LÍNEAS SERVICIO Y VENTA",D3789="GERENCIA INBOUND LINEAS ESPECIALIZADAS"),"Llamadas","Otro")))</f>
        <v/>
      </c>
      <c r="I3789" s="23" t="str">
        <f aca="false">IF(A3789="","",IF(C3789="No encontrado","No","Sí"))</f>
        <v/>
      </c>
      <c r="J3789" s="23" t="str">
        <f aca="false">IF(A3789="","",IF(F3789="Inactivo","No","Sí"))</f>
        <v/>
      </c>
      <c r="K3789" s="23" t="str">
        <f aca="false">IF(A3789="","",IF(AND(I3789="Sí",J3789="Sí"),"Sí","No"))</f>
        <v/>
      </c>
    </row>
    <row r="3790" customFormat="false" ht="15" hidden="false" customHeight="false" outlineLevel="0" collapsed="false">
      <c r="A3790" s="22"/>
      <c r="B3790" s="22"/>
      <c r="C3790" s="26" t="str">
        <f aca="false">IF(A3790="","",IFERROR(buscarx(A3790&amp;B3790,DATA!$E$3:$E$10000&amp;DATA!$B$3:$B$10000,DATA!$M$3:$M$10000),"No encontrado"))</f>
        <v/>
      </c>
      <c r="D3790" s="27" t="str">
        <f aca="false">IF(A3790="","",IFERROR(buscarx(A3790&amp;B3790,DATA!$E$3:$E$10000&amp;DATA!$B$3:$B$10000,DATA!$W$3:$W$10000),"No encontrado"))</f>
        <v/>
      </c>
      <c r="E3790" s="22"/>
      <c r="F3790" s="26" t="str">
        <f aca="false">IF(A3790="","",IFERROR(buscarx(A3790&amp;E3790,DATA!$E$3:$E$10000&amp;DATA!$B$3:$B$10000,DATA!$M$3:$M$10000),"Inactivo"))</f>
        <v/>
      </c>
      <c r="G3790" s="28" t="str">
        <f aca="false">IF(A3790="","",IF(AND(C3790&lt;&gt;"No encontrado",F3790&lt;&gt;"Inactivo"),C3790&amp;" → "&amp;F3790,"Sin transición"))</f>
        <v/>
      </c>
      <c r="H3790" s="26" t="str">
        <f aca="false">IF(A3790="","",IF(D3790="GCIA LINEA SERVICIO DIGITALIDAD Y VENTAS","Chats",IF(OR(D3790="GERENCIA INBOUND LÍNEAS SERVICIO Y VENTA",D3790="GERENCIA INBOUND LINEAS ESPECIALIZADAS"),"Llamadas","Otro")))</f>
        <v/>
      </c>
      <c r="I3790" s="26" t="str">
        <f aca="false">IF(A3790="","",IF(C3790="No encontrado","No","Sí"))</f>
        <v/>
      </c>
      <c r="J3790" s="26" t="str">
        <f aca="false">IF(A3790="","",IF(F3790="Inactivo","No","Sí"))</f>
        <v/>
      </c>
      <c r="K3790" s="26" t="str">
        <f aca="false">IF(A3790="","",IF(AND(I3790="Sí",J3790="Sí"),"Sí","No"))</f>
        <v/>
      </c>
    </row>
    <row r="3791" customFormat="false" ht="15" hidden="false" customHeight="false" outlineLevel="0" collapsed="false">
      <c r="A3791" s="22"/>
      <c r="B3791" s="22"/>
      <c r="C3791" s="23" t="str">
        <f aca="false">IF(A3791="","",IFERROR(buscarx(A3791&amp;B3791,DATA!$E$3:$E$10000&amp;DATA!$B$3:$B$10000,DATA!$M$3:$M$10000),"No encontrado"))</f>
        <v/>
      </c>
      <c r="D3791" s="24" t="str">
        <f aca="false">IF(A3791="","",IFERROR(buscarx(A3791&amp;B3791,DATA!$E$3:$E$10000&amp;DATA!$B$3:$B$10000,DATA!$W$3:$W$10000),"No encontrado"))</f>
        <v/>
      </c>
      <c r="E3791" s="22"/>
      <c r="F3791" s="23" t="str">
        <f aca="false">IF(A3791="","",IFERROR(buscarx(A3791&amp;E3791,DATA!$E$3:$E$10000&amp;DATA!$B$3:$B$10000,DATA!$M$3:$M$10000),"Inactivo"))</f>
        <v/>
      </c>
      <c r="G3791" s="25" t="str">
        <f aca="false">IF(A3791="","",IF(AND(C3791&lt;&gt;"No encontrado",F3791&lt;&gt;"Inactivo"),C3791&amp;" → "&amp;F3791,"Sin transición"))</f>
        <v/>
      </c>
      <c r="H3791" s="23" t="str">
        <f aca="false">IF(A3791="","",IF(D3791="GCIA LINEA SERVICIO DIGITALIDAD Y VENTAS","Chats",IF(OR(D3791="GERENCIA INBOUND LÍNEAS SERVICIO Y VENTA",D3791="GERENCIA INBOUND LINEAS ESPECIALIZADAS"),"Llamadas","Otro")))</f>
        <v/>
      </c>
      <c r="I3791" s="23" t="str">
        <f aca="false">IF(A3791="","",IF(C3791="No encontrado","No","Sí"))</f>
        <v/>
      </c>
      <c r="J3791" s="23" t="str">
        <f aca="false">IF(A3791="","",IF(F3791="Inactivo","No","Sí"))</f>
        <v/>
      </c>
      <c r="K3791" s="23" t="str">
        <f aca="false">IF(A3791="","",IF(AND(I3791="Sí",J3791="Sí"),"Sí","No"))</f>
        <v/>
      </c>
    </row>
    <row r="3792" customFormat="false" ht="15" hidden="false" customHeight="false" outlineLevel="0" collapsed="false">
      <c r="A3792" s="22"/>
      <c r="B3792" s="22"/>
      <c r="C3792" s="26" t="str">
        <f aca="false">IF(A3792="","",IFERROR(buscarx(A3792&amp;B3792,DATA!$E$3:$E$10000&amp;DATA!$B$3:$B$10000,DATA!$M$3:$M$10000),"No encontrado"))</f>
        <v/>
      </c>
      <c r="D3792" s="27" t="str">
        <f aca="false">IF(A3792="","",IFERROR(buscarx(A3792&amp;B3792,DATA!$E$3:$E$10000&amp;DATA!$B$3:$B$10000,DATA!$W$3:$W$10000),"No encontrado"))</f>
        <v/>
      </c>
      <c r="E3792" s="22"/>
      <c r="F3792" s="26" t="str">
        <f aca="false">IF(A3792="","",IFERROR(buscarx(A3792&amp;E3792,DATA!$E$3:$E$10000&amp;DATA!$B$3:$B$10000,DATA!$M$3:$M$10000),"Inactivo"))</f>
        <v/>
      </c>
      <c r="G3792" s="28" t="str">
        <f aca="false">IF(A3792="","",IF(AND(C3792&lt;&gt;"No encontrado",F3792&lt;&gt;"Inactivo"),C3792&amp;" → "&amp;F3792,"Sin transición"))</f>
        <v/>
      </c>
      <c r="H3792" s="26" t="str">
        <f aca="false">IF(A3792="","",IF(D3792="GCIA LINEA SERVICIO DIGITALIDAD Y VENTAS","Chats",IF(OR(D3792="GERENCIA INBOUND LÍNEAS SERVICIO Y VENTA",D3792="GERENCIA INBOUND LINEAS ESPECIALIZADAS"),"Llamadas","Otro")))</f>
        <v/>
      </c>
      <c r="I3792" s="26" t="str">
        <f aca="false">IF(A3792="","",IF(C3792="No encontrado","No","Sí"))</f>
        <v/>
      </c>
      <c r="J3792" s="26" t="str">
        <f aca="false">IF(A3792="","",IF(F3792="Inactivo","No","Sí"))</f>
        <v/>
      </c>
      <c r="K3792" s="26" t="str">
        <f aca="false">IF(A3792="","",IF(AND(I3792="Sí",J3792="Sí"),"Sí","No"))</f>
        <v/>
      </c>
    </row>
    <row r="3793" customFormat="false" ht="15" hidden="false" customHeight="false" outlineLevel="0" collapsed="false">
      <c r="A3793" s="22"/>
      <c r="B3793" s="22"/>
      <c r="C3793" s="23" t="str">
        <f aca="false">IF(A3793="","",IFERROR(buscarx(A3793&amp;B3793,DATA!$E$3:$E$10000&amp;DATA!$B$3:$B$10000,DATA!$M$3:$M$10000),"No encontrado"))</f>
        <v/>
      </c>
      <c r="D3793" s="24" t="str">
        <f aca="false">IF(A3793="","",IFERROR(buscarx(A3793&amp;B3793,DATA!$E$3:$E$10000&amp;DATA!$B$3:$B$10000,DATA!$W$3:$W$10000),"No encontrado"))</f>
        <v/>
      </c>
      <c r="E3793" s="22"/>
      <c r="F3793" s="23" t="str">
        <f aca="false">IF(A3793="","",IFERROR(buscarx(A3793&amp;E3793,DATA!$E$3:$E$10000&amp;DATA!$B$3:$B$10000,DATA!$M$3:$M$10000),"Inactivo"))</f>
        <v/>
      </c>
      <c r="G3793" s="25" t="str">
        <f aca="false">IF(A3793="","",IF(AND(C3793&lt;&gt;"No encontrado",F3793&lt;&gt;"Inactivo"),C3793&amp;" → "&amp;F3793,"Sin transición"))</f>
        <v/>
      </c>
      <c r="H3793" s="23" t="str">
        <f aca="false">IF(A3793="","",IF(D3793="GCIA LINEA SERVICIO DIGITALIDAD Y VENTAS","Chats",IF(OR(D3793="GERENCIA INBOUND LÍNEAS SERVICIO Y VENTA",D3793="GERENCIA INBOUND LINEAS ESPECIALIZADAS"),"Llamadas","Otro")))</f>
        <v/>
      </c>
      <c r="I3793" s="23" t="str">
        <f aca="false">IF(A3793="","",IF(C3793="No encontrado","No","Sí"))</f>
        <v/>
      </c>
      <c r="J3793" s="23" t="str">
        <f aca="false">IF(A3793="","",IF(F3793="Inactivo","No","Sí"))</f>
        <v/>
      </c>
      <c r="K3793" s="23" t="str">
        <f aca="false">IF(A3793="","",IF(AND(I3793="Sí",J3793="Sí"),"Sí","No"))</f>
        <v/>
      </c>
    </row>
    <row r="3794" customFormat="false" ht="15" hidden="false" customHeight="false" outlineLevel="0" collapsed="false">
      <c r="A3794" s="22"/>
      <c r="B3794" s="22"/>
      <c r="C3794" s="26" t="str">
        <f aca="false">IF(A3794="","",IFERROR(buscarx(A3794&amp;B3794,DATA!$E$3:$E$10000&amp;DATA!$B$3:$B$10000,DATA!$M$3:$M$10000),"No encontrado"))</f>
        <v/>
      </c>
      <c r="D3794" s="27" t="str">
        <f aca="false">IF(A3794="","",IFERROR(buscarx(A3794&amp;B3794,DATA!$E$3:$E$10000&amp;DATA!$B$3:$B$10000,DATA!$W$3:$W$10000),"No encontrado"))</f>
        <v/>
      </c>
      <c r="E3794" s="22"/>
      <c r="F3794" s="26" t="str">
        <f aca="false">IF(A3794="","",IFERROR(buscarx(A3794&amp;E3794,DATA!$E$3:$E$10000&amp;DATA!$B$3:$B$10000,DATA!$M$3:$M$10000),"Inactivo"))</f>
        <v/>
      </c>
      <c r="G3794" s="28" t="str">
        <f aca="false">IF(A3794="","",IF(AND(C3794&lt;&gt;"No encontrado",F3794&lt;&gt;"Inactivo"),C3794&amp;" → "&amp;F3794,"Sin transición"))</f>
        <v/>
      </c>
      <c r="H3794" s="26" t="str">
        <f aca="false">IF(A3794="","",IF(D3794="GCIA LINEA SERVICIO DIGITALIDAD Y VENTAS","Chats",IF(OR(D3794="GERENCIA INBOUND LÍNEAS SERVICIO Y VENTA",D3794="GERENCIA INBOUND LINEAS ESPECIALIZADAS"),"Llamadas","Otro")))</f>
        <v/>
      </c>
      <c r="I3794" s="26" t="str">
        <f aca="false">IF(A3794="","",IF(C3794="No encontrado","No","Sí"))</f>
        <v/>
      </c>
      <c r="J3794" s="26" t="str">
        <f aca="false">IF(A3794="","",IF(F3794="Inactivo","No","Sí"))</f>
        <v/>
      </c>
      <c r="K3794" s="26" t="str">
        <f aca="false">IF(A3794="","",IF(AND(I3794="Sí",J3794="Sí"),"Sí","No"))</f>
        <v/>
      </c>
    </row>
    <row r="3795" customFormat="false" ht="15" hidden="false" customHeight="false" outlineLevel="0" collapsed="false">
      <c r="A3795" s="22"/>
      <c r="B3795" s="22"/>
      <c r="C3795" s="23" t="str">
        <f aca="false">IF(A3795="","",IFERROR(buscarx(A3795&amp;B3795,DATA!$E$3:$E$10000&amp;DATA!$B$3:$B$10000,DATA!$M$3:$M$10000),"No encontrado"))</f>
        <v/>
      </c>
      <c r="D3795" s="24" t="str">
        <f aca="false">IF(A3795="","",IFERROR(buscarx(A3795&amp;B3795,DATA!$E$3:$E$10000&amp;DATA!$B$3:$B$10000,DATA!$W$3:$W$10000),"No encontrado"))</f>
        <v/>
      </c>
      <c r="E3795" s="22"/>
      <c r="F3795" s="23" t="str">
        <f aca="false">IF(A3795="","",IFERROR(buscarx(A3795&amp;E3795,DATA!$E$3:$E$10000&amp;DATA!$B$3:$B$10000,DATA!$M$3:$M$10000),"Inactivo"))</f>
        <v/>
      </c>
      <c r="G3795" s="25" t="str">
        <f aca="false">IF(A3795="","",IF(AND(C3795&lt;&gt;"No encontrado",F3795&lt;&gt;"Inactivo"),C3795&amp;" → "&amp;F3795,"Sin transición"))</f>
        <v/>
      </c>
      <c r="H3795" s="23" t="str">
        <f aca="false">IF(A3795="","",IF(D3795="GCIA LINEA SERVICIO DIGITALIDAD Y VENTAS","Chats",IF(OR(D3795="GERENCIA INBOUND LÍNEAS SERVICIO Y VENTA",D3795="GERENCIA INBOUND LINEAS ESPECIALIZADAS"),"Llamadas","Otro")))</f>
        <v/>
      </c>
      <c r="I3795" s="23" t="str">
        <f aca="false">IF(A3795="","",IF(C3795="No encontrado","No","Sí"))</f>
        <v/>
      </c>
      <c r="J3795" s="23" t="str">
        <f aca="false">IF(A3795="","",IF(F3795="Inactivo","No","Sí"))</f>
        <v/>
      </c>
      <c r="K3795" s="23" t="str">
        <f aca="false">IF(A3795="","",IF(AND(I3795="Sí",J3795="Sí"),"Sí","No"))</f>
        <v/>
      </c>
    </row>
    <row r="3796" customFormat="false" ht="15" hidden="false" customHeight="false" outlineLevel="0" collapsed="false">
      <c r="A3796" s="22"/>
      <c r="B3796" s="22"/>
      <c r="C3796" s="26" t="str">
        <f aca="false">IF(A3796="","",IFERROR(buscarx(A3796&amp;B3796,DATA!$E$3:$E$10000&amp;DATA!$B$3:$B$10000,DATA!$M$3:$M$10000),"No encontrado"))</f>
        <v/>
      </c>
      <c r="D3796" s="27" t="str">
        <f aca="false">IF(A3796="","",IFERROR(buscarx(A3796&amp;B3796,DATA!$E$3:$E$10000&amp;DATA!$B$3:$B$10000,DATA!$W$3:$W$10000),"No encontrado"))</f>
        <v/>
      </c>
      <c r="E3796" s="22"/>
      <c r="F3796" s="26" t="str">
        <f aca="false">IF(A3796="","",IFERROR(buscarx(A3796&amp;E3796,DATA!$E$3:$E$10000&amp;DATA!$B$3:$B$10000,DATA!$M$3:$M$10000),"Inactivo"))</f>
        <v/>
      </c>
      <c r="G3796" s="28" t="str">
        <f aca="false">IF(A3796="","",IF(AND(C3796&lt;&gt;"No encontrado",F3796&lt;&gt;"Inactivo"),C3796&amp;" → "&amp;F3796,"Sin transición"))</f>
        <v/>
      </c>
      <c r="H3796" s="26" t="str">
        <f aca="false">IF(A3796="","",IF(D3796="GCIA LINEA SERVICIO DIGITALIDAD Y VENTAS","Chats",IF(OR(D3796="GERENCIA INBOUND LÍNEAS SERVICIO Y VENTA",D3796="GERENCIA INBOUND LINEAS ESPECIALIZADAS"),"Llamadas","Otro")))</f>
        <v/>
      </c>
      <c r="I3796" s="26" t="str">
        <f aca="false">IF(A3796="","",IF(C3796="No encontrado","No","Sí"))</f>
        <v/>
      </c>
      <c r="J3796" s="26" t="str">
        <f aca="false">IF(A3796="","",IF(F3796="Inactivo","No","Sí"))</f>
        <v/>
      </c>
      <c r="K3796" s="26" t="str">
        <f aca="false">IF(A3796="","",IF(AND(I3796="Sí",J3796="Sí"),"Sí","No"))</f>
        <v/>
      </c>
    </row>
    <row r="3797" customFormat="false" ht="15" hidden="false" customHeight="false" outlineLevel="0" collapsed="false">
      <c r="A3797" s="22"/>
      <c r="B3797" s="22"/>
      <c r="C3797" s="23" t="str">
        <f aca="false">IF(A3797="","",IFERROR(buscarx(A3797&amp;B3797,DATA!$E$3:$E$10000&amp;DATA!$B$3:$B$10000,DATA!$M$3:$M$10000),"No encontrado"))</f>
        <v/>
      </c>
      <c r="D3797" s="24" t="str">
        <f aca="false">IF(A3797="","",IFERROR(buscarx(A3797&amp;B3797,DATA!$E$3:$E$10000&amp;DATA!$B$3:$B$10000,DATA!$W$3:$W$10000),"No encontrado"))</f>
        <v/>
      </c>
      <c r="E3797" s="22"/>
      <c r="F3797" s="23" t="str">
        <f aca="false">IF(A3797="","",IFERROR(buscarx(A3797&amp;E3797,DATA!$E$3:$E$10000&amp;DATA!$B$3:$B$10000,DATA!$M$3:$M$10000),"Inactivo"))</f>
        <v/>
      </c>
      <c r="G3797" s="25" t="str">
        <f aca="false">IF(A3797="","",IF(AND(C3797&lt;&gt;"No encontrado",F3797&lt;&gt;"Inactivo"),C3797&amp;" → "&amp;F3797,"Sin transición"))</f>
        <v/>
      </c>
      <c r="H3797" s="23" t="str">
        <f aca="false">IF(A3797="","",IF(D3797="GCIA LINEA SERVICIO DIGITALIDAD Y VENTAS","Chats",IF(OR(D3797="GERENCIA INBOUND LÍNEAS SERVICIO Y VENTA",D3797="GERENCIA INBOUND LINEAS ESPECIALIZADAS"),"Llamadas","Otro")))</f>
        <v/>
      </c>
      <c r="I3797" s="23" t="str">
        <f aca="false">IF(A3797="","",IF(C3797="No encontrado","No","Sí"))</f>
        <v/>
      </c>
      <c r="J3797" s="23" t="str">
        <f aca="false">IF(A3797="","",IF(F3797="Inactivo","No","Sí"))</f>
        <v/>
      </c>
      <c r="K3797" s="23" t="str">
        <f aca="false">IF(A3797="","",IF(AND(I3797="Sí",J3797="Sí"),"Sí","No"))</f>
        <v/>
      </c>
    </row>
    <row r="3798" customFormat="false" ht="15" hidden="false" customHeight="false" outlineLevel="0" collapsed="false">
      <c r="A3798" s="22"/>
      <c r="B3798" s="22"/>
      <c r="C3798" s="26" t="str">
        <f aca="false">IF(A3798="","",IFERROR(buscarx(A3798&amp;B3798,DATA!$E$3:$E$10000&amp;DATA!$B$3:$B$10000,DATA!$M$3:$M$10000),"No encontrado"))</f>
        <v/>
      </c>
      <c r="D3798" s="27" t="str">
        <f aca="false">IF(A3798="","",IFERROR(buscarx(A3798&amp;B3798,DATA!$E$3:$E$10000&amp;DATA!$B$3:$B$10000,DATA!$W$3:$W$10000),"No encontrado"))</f>
        <v/>
      </c>
      <c r="E3798" s="22"/>
      <c r="F3798" s="26" t="str">
        <f aca="false">IF(A3798="","",IFERROR(buscarx(A3798&amp;E3798,DATA!$E$3:$E$10000&amp;DATA!$B$3:$B$10000,DATA!$M$3:$M$10000),"Inactivo"))</f>
        <v/>
      </c>
      <c r="G3798" s="28" t="str">
        <f aca="false">IF(A3798="","",IF(AND(C3798&lt;&gt;"No encontrado",F3798&lt;&gt;"Inactivo"),C3798&amp;" → "&amp;F3798,"Sin transición"))</f>
        <v/>
      </c>
      <c r="H3798" s="26" t="str">
        <f aca="false">IF(A3798="","",IF(D3798="GCIA LINEA SERVICIO DIGITALIDAD Y VENTAS","Chats",IF(OR(D3798="GERENCIA INBOUND LÍNEAS SERVICIO Y VENTA",D3798="GERENCIA INBOUND LINEAS ESPECIALIZADAS"),"Llamadas","Otro")))</f>
        <v/>
      </c>
      <c r="I3798" s="26" t="str">
        <f aca="false">IF(A3798="","",IF(C3798="No encontrado","No","Sí"))</f>
        <v/>
      </c>
      <c r="J3798" s="26" t="str">
        <f aca="false">IF(A3798="","",IF(F3798="Inactivo","No","Sí"))</f>
        <v/>
      </c>
      <c r="K3798" s="26" t="str">
        <f aca="false">IF(A3798="","",IF(AND(I3798="Sí",J3798="Sí"),"Sí","No"))</f>
        <v/>
      </c>
    </row>
    <row r="3799" customFormat="false" ht="15" hidden="false" customHeight="false" outlineLevel="0" collapsed="false">
      <c r="A3799" s="22"/>
      <c r="B3799" s="22"/>
      <c r="C3799" s="23" t="str">
        <f aca="false">IF(A3799="","",IFERROR(buscarx(A3799&amp;B3799,DATA!$E$3:$E$10000&amp;DATA!$B$3:$B$10000,DATA!$M$3:$M$10000),"No encontrado"))</f>
        <v/>
      </c>
      <c r="D3799" s="24" t="str">
        <f aca="false">IF(A3799="","",IFERROR(buscarx(A3799&amp;B3799,DATA!$E$3:$E$10000&amp;DATA!$B$3:$B$10000,DATA!$W$3:$W$10000),"No encontrado"))</f>
        <v/>
      </c>
      <c r="E3799" s="22"/>
      <c r="F3799" s="23" t="str">
        <f aca="false">IF(A3799="","",IFERROR(buscarx(A3799&amp;E3799,DATA!$E$3:$E$10000&amp;DATA!$B$3:$B$10000,DATA!$M$3:$M$10000),"Inactivo"))</f>
        <v/>
      </c>
      <c r="G3799" s="25" t="str">
        <f aca="false">IF(A3799="","",IF(AND(C3799&lt;&gt;"No encontrado",F3799&lt;&gt;"Inactivo"),C3799&amp;" → "&amp;F3799,"Sin transición"))</f>
        <v/>
      </c>
      <c r="H3799" s="23" t="str">
        <f aca="false">IF(A3799="","",IF(D3799="GCIA LINEA SERVICIO DIGITALIDAD Y VENTAS","Chats",IF(OR(D3799="GERENCIA INBOUND LÍNEAS SERVICIO Y VENTA",D3799="GERENCIA INBOUND LINEAS ESPECIALIZADAS"),"Llamadas","Otro")))</f>
        <v/>
      </c>
      <c r="I3799" s="23" t="str">
        <f aca="false">IF(A3799="","",IF(C3799="No encontrado","No","Sí"))</f>
        <v/>
      </c>
      <c r="J3799" s="23" t="str">
        <f aca="false">IF(A3799="","",IF(F3799="Inactivo","No","Sí"))</f>
        <v/>
      </c>
      <c r="K3799" s="23" t="str">
        <f aca="false">IF(A3799="","",IF(AND(I3799="Sí",J3799="Sí"),"Sí","No"))</f>
        <v/>
      </c>
    </row>
    <row r="3800" customFormat="false" ht="15" hidden="false" customHeight="false" outlineLevel="0" collapsed="false">
      <c r="A3800" s="22"/>
      <c r="B3800" s="22"/>
      <c r="C3800" s="26" t="str">
        <f aca="false">IF(A3800="","",IFERROR(buscarx(A3800&amp;B3800,DATA!$E$3:$E$10000&amp;DATA!$B$3:$B$10000,DATA!$M$3:$M$10000),"No encontrado"))</f>
        <v/>
      </c>
      <c r="D3800" s="27" t="str">
        <f aca="false">IF(A3800="","",IFERROR(buscarx(A3800&amp;B3800,DATA!$E$3:$E$10000&amp;DATA!$B$3:$B$10000,DATA!$W$3:$W$10000),"No encontrado"))</f>
        <v/>
      </c>
      <c r="E3800" s="22"/>
      <c r="F3800" s="26" t="str">
        <f aca="false">IF(A3800="","",IFERROR(buscarx(A3800&amp;E3800,DATA!$E$3:$E$10000&amp;DATA!$B$3:$B$10000,DATA!$M$3:$M$10000),"Inactivo"))</f>
        <v/>
      </c>
      <c r="G3800" s="28" t="str">
        <f aca="false">IF(A3800="","",IF(AND(C3800&lt;&gt;"No encontrado",F3800&lt;&gt;"Inactivo"),C3800&amp;" → "&amp;F3800,"Sin transición"))</f>
        <v/>
      </c>
      <c r="H3800" s="26" t="str">
        <f aca="false">IF(A3800="","",IF(D3800="GCIA LINEA SERVICIO DIGITALIDAD Y VENTAS","Chats",IF(OR(D3800="GERENCIA INBOUND LÍNEAS SERVICIO Y VENTA",D3800="GERENCIA INBOUND LINEAS ESPECIALIZADAS"),"Llamadas","Otro")))</f>
        <v/>
      </c>
      <c r="I3800" s="26" t="str">
        <f aca="false">IF(A3800="","",IF(C3800="No encontrado","No","Sí"))</f>
        <v/>
      </c>
      <c r="J3800" s="26" t="str">
        <f aca="false">IF(A3800="","",IF(F3800="Inactivo","No","Sí"))</f>
        <v/>
      </c>
      <c r="K3800" s="26" t="str">
        <f aca="false">IF(A3800="","",IF(AND(I3800="Sí",J3800="Sí"),"Sí","No"))</f>
        <v/>
      </c>
    </row>
    <row r="3801" customFormat="false" ht="15" hidden="false" customHeight="false" outlineLevel="0" collapsed="false">
      <c r="A3801" s="22"/>
      <c r="B3801" s="22"/>
      <c r="C3801" s="23" t="str">
        <f aca="false">IF(A3801="","",IFERROR(buscarx(A3801&amp;B3801,DATA!$E$3:$E$10000&amp;DATA!$B$3:$B$10000,DATA!$M$3:$M$10000),"No encontrado"))</f>
        <v/>
      </c>
      <c r="D3801" s="24" t="str">
        <f aca="false">IF(A3801="","",IFERROR(buscarx(A3801&amp;B3801,DATA!$E$3:$E$10000&amp;DATA!$B$3:$B$10000,DATA!$W$3:$W$10000),"No encontrado"))</f>
        <v/>
      </c>
      <c r="E3801" s="22"/>
      <c r="F3801" s="23" t="str">
        <f aca="false">IF(A3801="","",IFERROR(buscarx(A3801&amp;E3801,DATA!$E$3:$E$10000&amp;DATA!$B$3:$B$10000,DATA!$M$3:$M$10000),"Inactivo"))</f>
        <v/>
      </c>
      <c r="G3801" s="25" t="str">
        <f aca="false">IF(A3801="","",IF(AND(C3801&lt;&gt;"No encontrado",F3801&lt;&gt;"Inactivo"),C3801&amp;" → "&amp;F3801,"Sin transición"))</f>
        <v/>
      </c>
      <c r="H3801" s="23" t="str">
        <f aca="false">IF(A3801="","",IF(D3801="GCIA LINEA SERVICIO DIGITALIDAD Y VENTAS","Chats",IF(OR(D3801="GERENCIA INBOUND LÍNEAS SERVICIO Y VENTA",D3801="GERENCIA INBOUND LINEAS ESPECIALIZADAS"),"Llamadas","Otro")))</f>
        <v/>
      </c>
      <c r="I3801" s="23" t="str">
        <f aca="false">IF(A3801="","",IF(C3801="No encontrado","No","Sí"))</f>
        <v/>
      </c>
      <c r="J3801" s="23" t="str">
        <f aca="false">IF(A3801="","",IF(F3801="Inactivo","No","Sí"))</f>
        <v/>
      </c>
      <c r="K3801" s="23" t="str">
        <f aca="false">IF(A3801="","",IF(AND(I3801="Sí",J3801="Sí"),"Sí","No"))</f>
        <v/>
      </c>
    </row>
    <row r="3802" customFormat="false" ht="15" hidden="false" customHeight="false" outlineLevel="0" collapsed="false">
      <c r="A3802" s="22"/>
      <c r="B3802" s="22"/>
      <c r="C3802" s="26" t="str">
        <f aca="false">IF(A3802="","",IFERROR(buscarx(A3802&amp;B3802,DATA!$E$3:$E$10000&amp;DATA!$B$3:$B$10000,DATA!$M$3:$M$10000),"No encontrado"))</f>
        <v/>
      </c>
      <c r="D3802" s="27" t="str">
        <f aca="false">IF(A3802="","",IFERROR(buscarx(A3802&amp;B3802,DATA!$E$3:$E$10000&amp;DATA!$B$3:$B$10000,DATA!$W$3:$W$10000),"No encontrado"))</f>
        <v/>
      </c>
      <c r="E3802" s="22"/>
      <c r="F3802" s="26" t="str">
        <f aca="false">IF(A3802="","",IFERROR(buscarx(A3802&amp;E3802,DATA!$E$3:$E$10000&amp;DATA!$B$3:$B$10000,DATA!$M$3:$M$10000),"Inactivo"))</f>
        <v/>
      </c>
      <c r="G3802" s="28" t="str">
        <f aca="false">IF(A3802="","",IF(AND(C3802&lt;&gt;"No encontrado",F3802&lt;&gt;"Inactivo"),C3802&amp;" → "&amp;F3802,"Sin transición"))</f>
        <v/>
      </c>
      <c r="H3802" s="26" t="str">
        <f aca="false">IF(A3802="","",IF(D3802="GCIA LINEA SERVICIO DIGITALIDAD Y VENTAS","Chats",IF(OR(D3802="GERENCIA INBOUND LÍNEAS SERVICIO Y VENTA",D3802="GERENCIA INBOUND LINEAS ESPECIALIZADAS"),"Llamadas","Otro")))</f>
        <v/>
      </c>
      <c r="I3802" s="26" t="str">
        <f aca="false">IF(A3802="","",IF(C3802="No encontrado","No","Sí"))</f>
        <v/>
      </c>
      <c r="J3802" s="26" t="str">
        <f aca="false">IF(A3802="","",IF(F3802="Inactivo","No","Sí"))</f>
        <v/>
      </c>
      <c r="K3802" s="26" t="str">
        <f aca="false">IF(A3802="","",IF(AND(I3802="Sí",J3802="Sí"),"Sí","No"))</f>
        <v/>
      </c>
    </row>
    <row r="3803" customFormat="false" ht="15" hidden="false" customHeight="false" outlineLevel="0" collapsed="false">
      <c r="A3803" s="22"/>
      <c r="B3803" s="22"/>
      <c r="C3803" s="23" t="str">
        <f aca="false">IF(A3803="","",IFERROR(buscarx(A3803&amp;B3803,DATA!$E$3:$E$10000&amp;DATA!$B$3:$B$10000,DATA!$M$3:$M$10000),"No encontrado"))</f>
        <v/>
      </c>
      <c r="D3803" s="24" t="str">
        <f aca="false">IF(A3803="","",IFERROR(buscarx(A3803&amp;B3803,DATA!$E$3:$E$10000&amp;DATA!$B$3:$B$10000,DATA!$W$3:$W$10000),"No encontrado"))</f>
        <v/>
      </c>
      <c r="E3803" s="22"/>
      <c r="F3803" s="23" t="str">
        <f aca="false">IF(A3803="","",IFERROR(buscarx(A3803&amp;E3803,DATA!$E$3:$E$10000&amp;DATA!$B$3:$B$10000,DATA!$M$3:$M$10000),"Inactivo"))</f>
        <v/>
      </c>
      <c r="G3803" s="25" t="str">
        <f aca="false">IF(A3803="","",IF(AND(C3803&lt;&gt;"No encontrado",F3803&lt;&gt;"Inactivo"),C3803&amp;" → "&amp;F3803,"Sin transición"))</f>
        <v/>
      </c>
      <c r="H3803" s="23" t="str">
        <f aca="false">IF(A3803="","",IF(D3803="GCIA LINEA SERVICIO DIGITALIDAD Y VENTAS","Chats",IF(OR(D3803="GERENCIA INBOUND LÍNEAS SERVICIO Y VENTA",D3803="GERENCIA INBOUND LINEAS ESPECIALIZADAS"),"Llamadas","Otro")))</f>
        <v/>
      </c>
      <c r="I3803" s="23" t="str">
        <f aca="false">IF(A3803="","",IF(C3803="No encontrado","No","Sí"))</f>
        <v/>
      </c>
      <c r="J3803" s="23" t="str">
        <f aca="false">IF(A3803="","",IF(F3803="Inactivo","No","Sí"))</f>
        <v/>
      </c>
      <c r="K3803" s="23" t="str">
        <f aca="false">IF(A3803="","",IF(AND(I3803="Sí",J3803="Sí"),"Sí","No"))</f>
        <v/>
      </c>
    </row>
    <row r="3804" customFormat="false" ht="15" hidden="false" customHeight="false" outlineLevel="0" collapsed="false">
      <c r="A3804" s="22"/>
      <c r="B3804" s="22"/>
      <c r="C3804" s="26" t="str">
        <f aca="false">IF(A3804="","",IFERROR(buscarx(A3804&amp;B3804,DATA!$E$3:$E$10000&amp;DATA!$B$3:$B$10000,DATA!$M$3:$M$10000),"No encontrado"))</f>
        <v/>
      </c>
      <c r="D3804" s="27" t="str">
        <f aca="false">IF(A3804="","",IFERROR(buscarx(A3804&amp;B3804,DATA!$E$3:$E$10000&amp;DATA!$B$3:$B$10000,DATA!$W$3:$W$10000),"No encontrado"))</f>
        <v/>
      </c>
      <c r="E3804" s="22"/>
      <c r="F3804" s="26" t="str">
        <f aca="false">IF(A3804="","",IFERROR(buscarx(A3804&amp;E3804,DATA!$E$3:$E$10000&amp;DATA!$B$3:$B$10000,DATA!$M$3:$M$10000),"Inactivo"))</f>
        <v/>
      </c>
      <c r="G3804" s="28" t="str">
        <f aca="false">IF(A3804="","",IF(AND(C3804&lt;&gt;"No encontrado",F3804&lt;&gt;"Inactivo"),C3804&amp;" → "&amp;F3804,"Sin transición"))</f>
        <v/>
      </c>
      <c r="H3804" s="26" t="str">
        <f aca="false">IF(A3804="","",IF(D3804="GCIA LINEA SERVICIO DIGITALIDAD Y VENTAS","Chats",IF(OR(D3804="GERENCIA INBOUND LÍNEAS SERVICIO Y VENTA",D3804="GERENCIA INBOUND LINEAS ESPECIALIZADAS"),"Llamadas","Otro")))</f>
        <v/>
      </c>
      <c r="I3804" s="26" t="str">
        <f aca="false">IF(A3804="","",IF(C3804="No encontrado","No","Sí"))</f>
        <v/>
      </c>
      <c r="J3804" s="26" t="str">
        <f aca="false">IF(A3804="","",IF(F3804="Inactivo","No","Sí"))</f>
        <v/>
      </c>
      <c r="K3804" s="26" t="str">
        <f aca="false">IF(A3804="","",IF(AND(I3804="Sí",J3804="Sí"),"Sí","No"))</f>
        <v/>
      </c>
    </row>
    <row r="3805" customFormat="false" ht="15" hidden="false" customHeight="false" outlineLevel="0" collapsed="false">
      <c r="A3805" s="22"/>
      <c r="B3805" s="22"/>
      <c r="C3805" s="23" t="str">
        <f aca="false">IF(A3805="","",IFERROR(buscarx(A3805&amp;B3805,DATA!$E$3:$E$10000&amp;DATA!$B$3:$B$10000,DATA!$M$3:$M$10000),"No encontrado"))</f>
        <v/>
      </c>
      <c r="D3805" s="24" t="str">
        <f aca="false">IF(A3805="","",IFERROR(buscarx(A3805&amp;B3805,DATA!$E$3:$E$10000&amp;DATA!$B$3:$B$10000,DATA!$W$3:$W$10000),"No encontrado"))</f>
        <v/>
      </c>
      <c r="E3805" s="22"/>
      <c r="F3805" s="23" t="str">
        <f aca="false">IF(A3805="","",IFERROR(buscarx(A3805&amp;E3805,DATA!$E$3:$E$10000&amp;DATA!$B$3:$B$10000,DATA!$M$3:$M$10000),"Inactivo"))</f>
        <v/>
      </c>
      <c r="G3805" s="25" t="str">
        <f aca="false">IF(A3805="","",IF(AND(C3805&lt;&gt;"No encontrado",F3805&lt;&gt;"Inactivo"),C3805&amp;" → "&amp;F3805,"Sin transición"))</f>
        <v/>
      </c>
      <c r="H3805" s="23" t="str">
        <f aca="false">IF(A3805="","",IF(D3805="GCIA LINEA SERVICIO DIGITALIDAD Y VENTAS","Chats",IF(OR(D3805="GERENCIA INBOUND LÍNEAS SERVICIO Y VENTA",D3805="GERENCIA INBOUND LINEAS ESPECIALIZADAS"),"Llamadas","Otro")))</f>
        <v/>
      </c>
      <c r="I3805" s="23" t="str">
        <f aca="false">IF(A3805="","",IF(C3805="No encontrado","No","Sí"))</f>
        <v/>
      </c>
      <c r="J3805" s="23" t="str">
        <f aca="false">IF(A3805="","",IF(F3805="Inactivo","No","Sí"))</f>
        <v/>
      </c>
      <c r="K3805" s="23" t="str">
        <f aca="false">IF(A3805="","",IF(AND(I3805="Sí",J3805="Sí"),"Sí","No"))</f>
        <v/>
      </c>
    </row>
    <row r="3806" customFormat="false" ht="15" hidden="false" customHeight="false" outlineLevel="0" collapsed="false">
      <c r="A3806" s="22"/>
      <c r="B3806" s="22"/>
      <c r="C3806" s="26" t="str">
        <f aca="false">IF(A3806="","",IFERROR(buscarx(A3806&amp;B3806,DATA!$E$3:$E$10000&amp;DATA!$B$3:$B$10000,DATA!$M$3:$M$10000),"No encontrado"))</f>
        <v/>
      </c>
      <c r="D3806" s="27" t="str">
        <f aca="false">IF(A3806="","",IFERROR(buscarx(A3806&amp;B3806,DATA!$E$3:$E$10000&amp;DATA!$B$3:$B$10000,DATA!$W$3:$W$10000),"No encontrado"))</f>
        <v/>
      </c>
      <c r="E3806" s="22"/>
      <c r="F3806" s="26" t="str">
        <f aca="false">IF(A3806="","",IFERROR(buscarx(A3806&amp;E3806,DATA!$E$3:$E$10000&amp;DATA!$B$3:$B$10000,DATA!$M$3:$M$10000),"Inactivo"))</f>
        <v/>
      </c>
      <c r="G3806" s="28" t="str">
        <f aca="false">IF(A3806="","",IF(AND(C3806&lt;&gt;"No encontrado",F3806&lt;&gt;"Inactivo"),C3806&amp;" → "&amp;F3806,"Sin transición"))</f>
        <v/>
      </c>
      <c r="H3806" s="26" t="str">
        <f aca="false">IF(A3806="","",IF(D3806="GCIA LINEA SERVICIO DIGITALIDAD Y VENTAS","Chats",IF(OR(D3806="GERENCIA INBOUND LÍNEAS SERVICIO Y VENTA",D3806="GERENCIA INBOUND LINEAS ESPECIALIZADAS"),"Llamadas","Otro")))</f>
        <v/>
      </c>
      <c r="I3806" s="26" t="str">
        <f aca="false">IF(A3806="","",IF(C3806="No encontrado","No","Sí"))</f>
        <v/>
      </c>
      <c r="J3806" s="26" t="str">
        <f aca="false">IF(A3806="","",IF(F3806="Inactivo","No","Sí"))</f>
        <v/>
      </c>
      <c r="K3806" s="26" t="str">
        <f aca="false">IF(A3806="","",IF(AND(I3806="Sí",J3806="Sí"),"Sí","No"))</f>
        <v/>
      </c>
    </row>
    <row r="3807" customFormat="false" ht="15" hidden="false" customHeight="false" outlineLevel="0" collapsed="false">
      <c r="A3807" s="22"/>
      <c r="B3807" s="22"/>
      <c r="C3807" s="23" t="str">
        <f aca="false">IF(A3807="","",IFERROR(buscarx(A3807&amp;B3807,DATA!$E$3:$E$10000&amp;DATA!$B$3:$B$10000,DATA!$M$3:$M$10000),"No encontrado"))</f>
        <v/>
      </c>
      <c r="D3807" s="24" t="str">
        <f aca="false">IF(A3807="","",IFERROR(buscarx(A3807&amp;B3807,DATA!$E$3:$E$10000&amp;DATA!$B$3:$B$10000,DATA!$W$3:$W$10000),"No encontrado"))</f>
        <v/>
      </c>
      <c r="E3807" s="22"/>
      <c r="F3807" s="23" t="str">
        <f aca="false">IF(A3807="","",IFERROR(buscarx(A3807&amp;E3807,DATA!$E$3:$E$10000&amp;DATA!$B$3:$B$10000,DATA!$M$3:$M$10000),"Inactivo"))</f>
        <v/>
      </c>
      <c r="G3807" s="25" t="str">
        <f aca="false">IF(A3807="","",IF(AND(C3807&lt;&gt;"No encontrado",F3807&lt;&gt;"Inactivo"),C3807&amp;" → "&amp;F3807,"Sin transición"))</f>
        <v/>
      </c>
      <c r="H3807" s="23" t="str">
        <f aca="false">IF(A3807="","",IF(D3807="GCIA LINEA SERVICIO DIGITALIDAD Y VENTAS","Chats",IF(OR(D3807="GERENCIA INBOUND LÍNEAS SERVICIO Y VENTA",D3807="GERENCIA INBOUND LINEAS ESPECIALIZADAS"),"Llamadas","Otro")))</f>
        <v/>
      </c>
      <c r="I3807" s="23" t="str">
        <f aca="false">IF(A3807="","",IF(C3807="No encontrado","No","Sí"))</f>
        <v/>
      </c>
      <c r="J3807" s="23" t="str">
        <f aca="false">IF(A3807="","",IF(F3807="Inactivo","No","Sí"))</f>
        <v/>
      </c>
      <c r="K3807" s="23" t="str">
        <f aca="false">IF(A3807="","",IF(AND(I3807="Sí",J3807="Sí"),"Sí","No"))</f>
        <v/>
      </c>
    </row>
    <row r="3808" customFormat="false" ht="15" hidden="false" customHeight="false" outlineLevel="0" collapsed="false">
      <c r="A3808" s="22"/>
      <c r="B3808" s="22"/>
      <c r="C3808" s="26" t="str">
        <f aca="false">IF(A3808="","",IFERROR(buscarx(A3808&amp;B3808,DATA!$E$3:$E$10000&amp;DATA!$B$3:$B$10000,DATA!$M$3:$M$10000),"No encontrado"))</f>
        <v/>
      </c>
      <c r="D3808" s="27" t="str">
        <f aca="false">IF(A3808="","",IFERROR(buscarx(A3808&amp;B3808,DATA!$E$3:$E$10000&amp;DATA!$B$3:$B$10000,DATA!$W$3:$W$10000),"No encontrado"))</f>
        <v/>
      </c>
      <c r="E3808" s="22"/>
      <c r="F3808" s="26" t="str">
        <f aca="false">IF(A3808="","",IFERROR(buscarx(A3808&amp;E3808,DATA!$E$3:$E$10000&amp;DATA!$B$3:$B$10000,DATA!$M$3:$M$10000),"Inactivo"))</f>
        <v/>
      </c>
      <c r="G3808" s="28" t="str">
        <f aca="false">IF(A3808="","",IF(AND(C3808&lt;&gt;"No encontrado",F3808&lt;&gt;"Inactivo"),C3808&amp;" → "&amp;F3808,"Sin transición"))</f>
        <v/>
      </c>
      <c r="H3808" s="26" t="str">
        <f aca="false">IF(A3808="","",IF(D3808="GCIA LINEA SERVICIO DIGITALIDAD Y VENTAS","Chats",IF(OR(D3808="GERENCIA INBOUND LÍNEAS SERVICIO Y VENTA",D3808="GERENCIA INBOUND LINEAS ESPECIALIZADAS"),"Llamadas","Otro")))</f>
        <v/>
      </c>
      <c r="I3808" s="26" t="str">
        <f aca="false">IF(A3808="","",IF(C3808="No encontrado","No","Sí"))</f>
        <v/>
      </c>
      <c r="J3808" s="26" t="str">
        <f aca="false">IF(A3808="","",IF(F3808="Inactivo","No","Sí"))</f>
        <v/>
      </c>
      <c r="K3808" s="26" t="str">
        <f aca="false">IF(A3808="","",IF(AND(I3808="Sí",J3808="Sí"),"Sí","No"))</f>
        <v/>
      </c>
    </row>
    <row r="3809" customFormat="false" ht="15" hidden="false" customHeight="false" outlineLevel="0" collapsed="false">
      <c r="A3809" s="22"/>
      <c r="B3809" s="22"/>
      <c r="C3809" s="23" t="str">
        <f aca="false">IF(A3809="","",IFERROR(buscarx(A3809&amp;B3809,DATA!$E$3:$E$10000&amp;DATA!$B$3:$B$10000,DATA!$M$3:$M$10000),"No encontrado"))</f>
        <v/>
      </c>
      <c r="D3809" s="24" t="str">
        <f aca="false">IF(A3809="","",IFERROR(buscarx(A3809&amp;B3809,DATA!$E$3:$E$10000&amp;DATA!$B$3:$B$10000,DATA!$W$3:$W$10000),"No encontrado"))</f>
        <v/>
      </c>
      <c r="E3809" s="22"/>
      <c r="F3809" s="23" t="str">
        <f aca="false">IF(A3809="","",IFERROR(buscarx(A3809&amp;E3809,DATA!$E$3:$E$10000&amp;DATA!$B$3:$B$10000,DATA!$M$3:$M$10000),"Inactivo"))</f>
        <v/>
      </c>
      <c r="G3809" s="25" t="str">
        <f aca="false">IF(A3809="","",IF(AND(C3809&lt;&gt;"No encontrado",F3809&lt;&gt;"Inactivo"),C3809&amp;" → "&amp;F3809,"Sin transición"))</f>
        <v/>
      </c>
      <c r="H3809" s="23" t="str">
        <f aca="false">IF(A3809="","",IF(D3809="GCIA LINEA SERVICIO DIGITALIDAD Y VENTAS","Chats",IF(OR(D3809="GERENCIA INBOUND LÍNEAS SERVICIO Y VENTA",D3809="GERENCIA INBOUND LINEAS ESPECIALIZADAS"),"Llamadas","Otro")))</f>
        <v/>
      </c>
      <c r="I3809" s="23" t="str">
        <f aca="false">IF(A3809="","",IF(C3809="No encontrado","No","Sí"))</f>
        <v/>
      </c>
      <c r="J3809" s="23" t="str">
        <f aca="false">IF(A3809="","",IF(F3809="Inactivo","No","Sí"))</f>
        <v/>
      </c>
      <c r="K3809" s="23" t="str">
        <f aca="false">IF(A3809="","",IF(AND(I3809="Sí",J3809="Sí"),"Sí","No"))</f>
        <v/>
      </c>
    </row>
    <row r="3810" customFormat="false" ht="15" hidden="false" customHeight="false" outlineLevel="0" collapsed="false">
      <c r="A3810" s="22"/>
      <c r="B3810" s="22"/>
      <c r="C3810" s="26" t="str">
        <f aca="false">IF(A3810="","",IFERROR(buscarx(A3810&amp;B3810,DATA!$E$3:$E$10000&amp;DATA!$B$3:$B$10000,DATA!$M$3:$M$10000),"No encontrado"))</f>
        <v/>
      </c>
      <c r="D3810" s="27" t="str">
        <f aca="false">IF(A3810="","",IFERROR(buscarx(A3810&amp;B3810,DATA!$E$3:$E$10000&amp;DATA!$B$3:$B$10000,DATA!$W$3:$W$10000),"No encontrado"))</f>
        <v/>
      </c>
      <c r="E3810" s="22"/>
      <c r="F3810" s="26" t="str">
        <f aca="false">IF(A3810="","",IFERROR(buscarx(A3810&amp;E3810,DATA!$E$3:$E$10000&amp;DATA!$B$3:$B$10000,DATA!$M$3:$M$10000),"Inactivo"))</f>
        <v/>
      </c>
      <c r="G3810" s="28" t="str">
        <f aca="false">IF(A3810="","",IF(AND(C3810&lt;&gt;"No encontrado",F3810&lt;&gt;"Inactivo"),C3810&amp;" → "&amp;F3810,"Sin transición"))</f>
        <v/>
      </c>
      <c r="H3810" s="26" t="str">
        <f aca="false">IF(A3810="","",IF(D3810="GCIA LINEA SERVICIO DIGITALIDAD Y VENTAS","Chats",IF(OR(D3810="GERENCIA INBOUND LÍNEAS SERVICIO Y VENTA",D3810="GERENCIA INBOUND LINEAS ESPECIALIZADAS"),"Llamadas","Otro")))</f>
        <v/>
      </c>
      <c r="I3810" s="26" t="str">
        <f aca="false">IF(A3810="","",IF(C3810="No encontrado","No","Sí"))</f>
        <v/>
      </c>
      <c r="J3810" s="26" t="str">
        <f aca="false">IF(A3810="","",IF(F3810="Inactivo","No","Sí"))</f>
        <v/>
      </c>
      <c r="K3810" s="26" t="str">
        <f aca="false">IF(A3810="","",IF(AND(I3810="Sí",J3810="Sí"),"Sí","No"))</f>
        <v/>
      </c>
    </row>
    <row r="3811" customFormat="false" ht="15" hidden="false" customHeight="false" outlineLevel="0" collapsed="false">
      <c r="A3811" s="22"/>
      <c r="B3811" s="22"/>
      <c r="C3811" s="23" t="str">
        <f aca="false">IF(A3811="","",IFERROR(buscarx(A3811&amp;B3811,DATA!$E$3:$E$10000&amp;DATA!$B$3:$B$10000,DATA!$M$3:$M$10000),"No encontrado"))</f>
        <v/>
      </c>
      <c r="D3811" s="24" t="str">
        <f aca="false">IF(A3811="","",IFERROR(buscarx(A3811&amp;B3811,DATA!$E$3:$E$10000&amp;DATA!$B$3:$B$10000,DATA!$W$3:$W$10000),"No encontrado"))</f>
        <v/>
      </c>
      <c r="E3811" s="22"/>
      <c r="F3811" s="23" t="str">
        <f aca="false">IF(A3811="","",IFERROR(buscarx(A3811&amp;E3811,DATA!$E$3:$E$10000&amp;DATA!$B$3:$B$10000,DATA!$M$3:$M$10000),"Inactivo"))</f>
        <v/>
      </c>
      <c r="G3811" s="25" t="str">
        <f aca="false">IF(A3811="","",IF(AND(C3811&lt;&gt;"No encontrado",F3811&lt;&gt;"Inactivo"),C3811&amp;" → "&amp;F3811,"Sin transición"))</f>
        <v/>
      </c>
      <c r="H3811" s="23" t="str">
        <f aca="false">IF(A3811="","",IF(D3811="GCIA LINEA SERVICIO DIGITALIDAD Y VENTAS","Chats",IF(OR(D3811="GERENCIA INBOUND LÍNEAS SERVICIO Y VENTA",D3811="GERENCIA INBOUND LINEAS ESPECIALIZADAS"),"Llamadas","Otro")))</f>
        <v/>
      </c>
      <c r="I3811" s="23" t="str">
        <f aca="false">IF(A3811="","",IF(C3811="No encontrado","No","Sí"))</f>
        <v/>
      </c>
      <c r="J3811" s="23" t="str">
        <f aca="false">IF(A3811="","",IF(F3811="Inactivo","No","Sí"))</f>
        <v/>
      </c>
      <c r="K3811" s="23" t="str">
        <f aca="false">IF(A3811="","",IF(AND(I3811="Sí",J3811="Sí"),"Sí","No"))</f>
        <v/>
      </c>
    </row>
    <row r="3812" customFormat="false" ht="15" hidden="false" customHeight="false" outlineLevel="0" collapsed="false">
      <c r="A3812" s="22"/>
      <c r="B3812" s="22"/>
      <c r="C3812" s="26" t="str">
        <f aca="false">IF(A3812="","",IFERROR(buscarx(A3812&amp;B3812,DATA!$E$3:$E$10000&amp;DATA!$B$3:$B$10000,DATA!$M$3:$M$10000),"No encontrado"))</f>
        <v/>
      </c>
      <c r="D3812" s="27" t="str">
        <f aca="false">IF(A3812="","",IFERROR(buscarx(A3812&amp;B3812,DATA!$E$3:$E$10000&amp;DATA!$B$3:$B$10000,DATA!$W$3:$W$10000),"No encontrado"))</f>
        <v/>
      </c>
      <c r="E3812" s="22"/>
      <c r="F3812" s="26" t="str">
        <f aca="false">IF(A3812="","",IFERROR(buscarx(A3812&amp;E3812,DATA!$E$3:$E$10000&amp;DATA!$B$3:$B$10000,DATA!$M$3:$M$10000),"Inactivo"))</f>
        <v/>
      </c>
      <c r="G3812" s="28" t="str">
        <f aca="false">IF(A3812="","",IF(AND(C3812&lt;&gt;"No encontrado",F3812&lt;&gt;"Inactivo"),C3812&amp;" → "&amp;F3812,"Sin transición"))</f>
        <v/>
      </c>
      <c r="H3812" s="26" t="str">
        <f aca="false">IF(A3812="","",IF(D3812="GCIA LINEA SERVICIO DIGITALIDAD Y VENTAS","Chats",IF(OR(D3812="GERENCIA INBOUND LÍNEAS SERVICIO Y VENTA",D3812="GERENCIA INBOUND LINEAS ESPECIALIZADAS"),"Llamadas","Otro")))</f>
        <v/>
      </c>
      <c r="I3812" s="26" t="str">
        <f aca="false">IF(A3812="","",IF(C3812="No encontrado","No","Sí"))</f>
        <v/>
      </c>
      <c r="J3812" s="26" t="str">
        <f aca="false">IF(A3812="","",IF(F3812="Inactivo","No","Sí"))</f>
        <v/>
      </c>
      <c r="K3812" s="26" t="str">
        <f aca="false">IF(A3812="","",IF(AND(I3812="Sí",J3812="Sí"),"Sí","No"))</f>
        <v/>
      </c>
    </row>
    <row r="3813" customFormat="false" ht="15" hidden="false" customHeight="false" outlineLevel="0" collapsed="false">
      <c r="A3813" s="22"/>
      <c r="B3813" s="22"/>
      <c r="C3813" s="23" t="str">
        <f aca="false">IF(A3813="","",IFERROR(buscarx(A3813&amp;B3813,DATA!$E$3:$E$10000&amp;DATA!$B$3:$B$10000,DATA!$M$3:$M$10000),"No encontrado"))</f>
        <v/>
      </c>
      <c r="D3813" s="24" t="str">
        <f aca="false">IF(A3813="","",IFERROR(buscarx(A3813&amp;B3813,DATA!$E$3:$E$10000&amp;DATA!$B$3:$B$10000,DATA!$W$3:$W$10000),"No encontrado"))</f>
        <v/>
      </c>
      <c r="E3813" s="22"/>
      <c r="F3813" s="23" t="str">
        <f aca="false">IF(A3813="","",IFERROR(buscarx(A3813&amp;E3813,DATA!$E$3:$E$10000&amp;DATA!$B$3:$B$10000,DATA!$M$3:$M$10000),"Inactivo"))</f>
        <v/>
      </c>
      <c r="G3813" s="25" t="str">
        <f aca="false">IF(A3813="","",IF(AND(C3813&lt;&gt;"No encontrado",F3813&lt;&gt;"Inactivo"),C3813&amp;" → "&amp;F3813,"Sin transición"))</f>
        <v/>
      </c>
      <c r="H3813" s="23" t="str">
        <f aca="false">IF(A3813="","",IF(D3813="GCIA LINEA SERVICIO DIGITALIDAD Y VENTAS","Chats",IF(OR(D3813="GERENCIA INBOUND LÍNEAS SERVICIO Y VENTA",D3813="GERENCIA INBOUND LINEAS ESPECIALIZADAS"),"Llamadas","Otro")))</f>
        <v/>
      </c>
      <c r="I3813" s="23" t="str">
        <f aca="false">IF(A3813="","",IF(C3813="No encontrado","No","Sí"))</f>
        <v/>
      </c>
      <c r="J3813" s="23" t="str">
        <f aca="false">IF(A3813="","",IF(F3813="Inactivo","No","Sí"))</f>
        <v/>
      </c>
      <c r="K3813" s="23" t="str">
        <f aca="false">IF(A3813="","",IF(AND(I3813="Sí",J3813="Sí"),"Sí","No"))</f>
        <v/>
      </c>
    </row>
    <row r="3814" customFormat="false" ht="15" hidden="false" customHeight="false" outlineLevel="0" collapsed="false">
      <c r="A3814" s="22"/>
      <c r="B3814" s="22"/>
      <c r="C3814" s="26" t="str">
        <f aca="false">IF(A3814="","",IFERROR(buscarx(A3814&amp;B3814,DATA!$E$3:$E$10000&amp;DATA!$B$3:$B$10000,DATA!$M$3:$M$10000),"No encontrado"))</f>
        <v/>
      </c>
      <c r="D3814" s="27" t="str">
        <f aca="false">IF(A3814="","",IFERROR(buscarx(A3814&amp;B3814,DATA!$E$3:$E$10000&amp;DATA!$B$3:$B$10000,DATA!$W$3:$W$10000),"No encontrado"))</f>
        <v/>
      </c>
      <c r="E3814" s="22"/>
      <c r="F3814" s="26" t="str">
        <f aca="false">IF(A3814="","",IFERROR(buscarx(A3814&amp;E3814,DATA!$E$3:$E$10000&amp;DATA!$B$3:$B$10000,DATA!$M$3:$M$10000),"Inactivo"))</f>
        <v/>
      </c>
      <c r="G3814" s="28" t="str">
        <f aca="false">IF(A3814="","",IF(AND(C3814&lt;&gt;"No encontrado",F3814&lt;&gt;"Inactivo"),C3814&amp;" → "&amp;F3814,"Sin transición"))</f>
        <v/>
      </c>
      <c r="H3814" s="26" t="str">
        <f aca="false">IF(A3814="","",IF(D3814="GCIA LINEA SERVICIO DIGITALIDAD Y VENTAS","Chats",IF(OR(D3814="GERENCIA INBOUND LÍNEAS SERVICIO Y VENTA",D3814="GERENCIA INBOUND LINEAS ESPECIALIZADAS"),"Llamadas","Otro")))</f>
        <v/>
      </c>
      <c r="I3814" s="26" t="str">
        <f aca="false">IF(A3814="","",IF(C3814="No encontrado","No","Sí"))</f>
        <v/>
      </c>
      <c r="J3814" s="26" t="str">
        <f aca="false">IF(A3814="","",IF(F3814="Inactivo","No","Sí"))</f>
        <v/>
      </c>
      <c r="K3814" s="26" t="str">
        <f aca="false">IF(A3814="","",IF(AND(I3814="Sí",J3814="Sí"),"Sí","No"))</f>
        <v/>
      </c>
    </row>
    <row r="3815" customFormat="false" ht="15" hidden="false" customHeight="false" outlineLevel="0" collapsed="false">
      <c r="A3815" s="22"/>
      <c r="B3815" s="22"/>
      <c r="C3815" s="23" t="str">
        <f aca="false">IF(A3815="","",IFERROR(buscarx(A3815&amp;B3815,DATA!$E$3:$E$10000&amp;DATA!$B$3:$B$10000,DATA!$M$3:$M$10000),"No encontrado"))</f>
        <v/>
      </c>
      <c r="D3815" s="24" t="str">
        <f aca="false">IF(A3815="","",IFERROR(buscarx(A3815&amp;B3815,DATA!$E$3:$E$10000&amp;DATA!$B$3:$B$10000,DATA!$W$3:$W$10000),"No encontrado"))</f>
        <v/>
      </c>
      <c r="E3815" s="22"/>
      <c r="F3815" s="23" t="str">
        <f aca="false">IF(A3815="","",IFERROR(buscarx(A3815&amp;E3815,DATA!$E$3:$E$10000&amp;DATA!$B$3:$B$10000,DATA!$M$3:$M$10000),"Inactivo"))</f>
        <v/>
      </c>
      <c r="G3815" s="25" t="str">
        <f aca="false">IF(A3815="","",IF(AND(C3815&lt;&gt;"No encontrado",F3815&lt;&gt;"Inactivo"),C3815&amp;" → "&amp;F3815,"Sin transición"))</f>
        <v/>
      </c>
      <c r="H3815" s="23" t="str">
        <f aca="false">IF(A3815="","",IF(D3815="GCIA LINEA SERVICIO DIGITALIDAD Y VENTAS","Chats",IF(OR(D3815="GERENCIA INBOUND LÍNEAS SERVICIO Y VENTA",D3815="GERENCIA INBOUND LINEAS ESPECIALIZADAS"),"Llamadas","Otro")))</f>
        <v/>
      </c>
      <c r="I3815" s="23" t="str">
        <f aca="false">IF(A3815="","",IF(C3815="No encontrado","No","Sí"))</f>
        <v/>
      </c>
      <c r="J3815" s="23" t="str">
        <f aca="false">IF(A3815="","",IF(F3815="Inactivo","No","Sí"))</f>
        <v/>
      </c>
      <c r="K3815" s="23" t="str">
        <f aca="false">IF(A3815="","",IF(AND(I3815="Sí",J3815="Sí"),"Sí","No"))</f>
        <v/>
      </c>
    </row>
    <row r="3816" customFormat="false" ht="15" hidden="false" customHeight="false" outlineLevel="0" collapsed="false">
      <c r="A3816" s="22"/>
      <c r="B3816" s="22"/>
      <c r="C3816" s="26" t="str">
        <f aca="false">IF(A3816="","",IFERROR(buscarx(A3816&amp;B3816,DATA!$E$3:$E$10000&amp;DATA!$B$3:$B$10000,DATA!$M$3:$M$10000),"No encontrado"))</f>
        <v/>
      </c>
      <c r="D3816" s="27" t="str">
        <f aca="false">IF(A3816="","",IFERROR(buscarx(A3816&amp;B3816,DATA!$E$3:$E$10000&amp;DATA!$B$3:$B$10000,DATA!$W$3:$W$10000),"No encontrado"))</f>
        <v/>
      </c>
      <c r="E3816" s="22"/>
      <c r="F3816" s="26" t="str">
        <f aca="false">IF(A3816="","",IFERROR(buscarx(A3816&amp;E3816,DATA!$E$3:$E$10000&amp;DATA!$B$3:$B$10000,DATA!$M$3:$M$10000),"Inactivo"))</f>
        <v/>
      </c>
      <c r="G3816" s="28" t="str">
        <f aca="false">IF(A3816="","",IF(AND(C3816&lt;&gt;"No encontrado",F3816&lt;&gt;"Inactivo"),C3816&amp;" → "&amp;F3816,"Sin transición"))</f>
        <v/>
      </c>
      <c r="H3816" s="26" t="str">
        <f aca="false">IF(A3816="","",IF(D3816="GCIA LINEA SERVICIO DIGITALIDAD Y VENTAS","Chats",IF(OR(D3816="GERENCIA INBOUND LÍNEAS SERVICIO Y VENTA",D3816="GERENCIA INBOUND LINEAS ESPECIALIZADAS"),"Llamadas","Otro")))</f>
        <v/>
      </c>
      <c r="I3816" s="26" t="str">
        <f aca="false">IF(A3816="","",IF(C3816="No encontrado","No","Sí"))</f>
        <v/>
      </c>
      <c r="J3816" s="26" t="str">
        <f aca="false">IF(A3816="","",IF(F3816="Inactivo","No","Sí"))</f>
        <v/>
      </c>
      <c r="K3816" s="26" t="str">
        <f aca="false">IF(A3816="","",IF(AND(I3816="Sí",J3816="Sí"),"Sí","No"))</f>
        <v/>
      </c>
    </row>
    <row r="3817" customFormat="false" ht="15" hidden="false" customHeight="false" outlineLevel="0" collapsed="false">
      <c r="A3817" s="22"/>
      <c r="B3817" s="22"/>
      <c r="C3817" s="23" t="str">
        <f aca="false">IF(A3817="","",IFERROR(buscarx(A3817&amp;B3817,DATA!$E$3:$E$10000&amp;DATA!$B$3:$B$10000,DATA!$M$3:$M$10000),"No encontrado"))</f>
        <v/>
      </c>
      <c r="D3817" s="24" t="str">
        <f aca="false">IF(A3817="","",IFERROR(buscarx(A3817&amp;B3817,DATA!$E$3:$E$10000&amp;DATA!$B$3:$B$10000,DATA!$W$3:$W$10000),"No encontrado"))</f>
        <v/>
      </c>
      <c r="E3817" s="22"/>
      <c r="F3817" s="23" t="str">
        <f aca="false">IF(A3817="","",IFERROR(buscarx(A3817&amp;E3817,DATA!$E$3:$E$10000&amp;DATA!$B$3:$B$10000,DATA!$M$3:$M$10000),"Inactivo"))</f>
        <v/>
      </c>
      <c r="G3817" s="25" t="str">
        <f aca="false">IF(A3817="","",IF(AND(C3817&lt;&gt;"No encontrado",F3817&lt;&gt;"Inactivo"),C3817&amp;" → "&amp;F3817,"Sin transición"))</f>
        <v/>
      </c>
      <c r="H3817" s="23" t="str">
        <f aca="false">IF(A3817="","",IF(D3817="GCIA LINEA SERVICIO DIGITALIDAD Y VENTAS","Chats",IF(OR(D3817="GERENCIA INBOUND LÍNEAS SERVICIO Y VENTA",D3817="GERENCIA INBOUND LINEAS ESPECIALIZADAS"),"Llamadas","Otro")))</f>
        <v/>
      </c>
      <c r="I3817" s="23" t="str">
        <f aca="false">IF(A3817="","",IF(C3817="No encontrado","No","Sí"))</f>
        <v/>
      </c>
      <c r="J3817" s="23" t="str">
        <f aca="false">IF(A3817="","",IF(F3817="Inactivo","No","Sí"))</f>
        <v/>
      </c>
      <c r="K3817" s="23" t="str">
        <f aca="false">IF(A3817="","",IF(AND(I3817="Sí",J3817="Sí"),"Sí","No"))</f>
        <v/>
      </c>
    </row>
    <row r="3818" customFormat="false" ht="15" hidden="false" customHeight="false" outlineLevel="0" collapsed="false">
      <c r="A3818" s="22"/>
      <c r="B3818" s="22"/>
      <c r="C3818" s="26" t="str">
        <f aca="false">IF(A3818="","",IFERROR(buscarx(A3818&amp;B3818,DATA!$E$3:$E$10000&amp;DATA!$B$3:$B$10000,DATA!$M$3:$M$10000),"No encontrado"))</f>
        <v/>
      </c>
      <c r="D3818" s="27" t="str">
        <f aca="false">IF(A3818="","",IFERROR(buscarx(A3818&amp;B3818,DATA!$E$3:$E$10000&amp;DATA!$B$3:$B$10000,DATA!$W$3:$W$10000),"No encontrado"))</f>
        <v/>
      </c>
      <c r="E3818" s="22"/>
      <c r="F3818" s="26" t="str">
        <f aca="false">IF(A3818="","",IFERROR(buscarx(A3818&amp;E3818,DATA!$E$3:$E$10000&amp;DATA!$B$3:$B$10000,DATA!$M$3:$M$10000),"Inactivo"))</f>
        <v/>
      </c>
      <c r="G3818" s="28" t="str">
        <f aca="false">IF(A3818="","",IF(AND(C3818&lt;&gt;"No encontrado",F3818&lt;&gt;"Inactivo"),C3818&amp;" → "&amp;F3818,"Sin transición"))</f>
        <v/>
      </c>
      <c r="H3818" s="26" t="str">
        <f aca="false">IF(A3818="","",IF(D3818="GCIA LINEA SERVICIO DIGITALIDAD Y VENTAS","Chats",IF(OR(D3818="GERENCIA INBOUND LÍNEAS SERVICIO Y VENTA",D3818="GERENCIA INBOUND LINEAS ESPECIALIZADAS"),"Llamadas","Otro")))</f>
        <v/>
      </c>
      <c r="I3818" s="26" t="str">
        <f aca="false">IF(A3818="","",IF(C3818="No encontrado","No","Sí"))</f>
        <v/>
      </c>
      <c r="J3818" s="26" t="str">
        <f aca="false">IF(A3818="","",IF(F3818="Inactivo","No","Sí"))</f>
        <v/>
      </c>
      <c r="K3818" s="26" t="str">
        <f aca="false">IF(A3818="","",IF(AND(I3818="Sí",J3818="Sí"),"Sí","No"))</f>
        <v/>
      </c>
    </row>
    <row r="3819" customFormat="false" ht="15" hidden="false" customHeight="false" outlineLevel="0" collapsed="false">
      <c r="A3819" s="22"/>
      <c r="B3819" s="22"/>
      <c r="C3819" s="23" t="str">
        <f aca="false">IF(A3819="","",IFERROR(buscarx(A3819&amp;B3819,DATA!$E$3:$E$10000&amp;DATA!$B$3:$B$10000,DATA!$M$3:$M$10000),"No encontrado"))</f>
        <v/>
      </c>
      <c r="D3819" s="24" t="str">
        <f aca="false">IF(A3819="","",IFERROR(buscarx(A3819&amp;B3819,DATA!$E$3:$E$10000&amp;DATA!$B$3:$B$10000,DATA!$W$3:$W$10000),"No encontrado"))</f>
        <v/>
      </c>
      <c r="E3819" s="22"/>
      <c r="F3819" s="23" t="str">
        <f aca="false">IF(A3819="","",IFERROR(buscarx(A3819&amp;E3819,DATA!$E$3:$E$10000&amp;DATA!$B$3:$B$10000,DATA!$M$3:$M$10000),"Inactivo"))</f>
        <v/>
      </c>
      <c r="G3819" s="25" t="str">
        <f aca="false">IF(A3819="","",IF(AND(C3819&lt;&gt;"No encontrado",F3819&lt;&gt;"Inactivo"),C3819&amp;" → "&amp;F3819,"Sin transición"))</f>
        <v/>
      </c>
      <c r="H3819" s="23" t="str">
        <f aca="false">IF(A3819="","",IF(D3819="GCIA LINEA SERVICIO DIGITALIDAD Y VENTAS","Chats",IF(OR(D3819="GERENCIA INBOUND LÍNEAS SERVICIO Y VENTA",D3819="GERENCIA INBOUND LINEAS ESPECIALIZADAS"),"Llamadas","Otro")))</f>
        <v/>
      </c>
      <c r="I3819" s="23" t="str">
        <f aca="false">IF(A3819="","",IF(C3819="No encontrado","No","Sí"))</f>
        <v/>
      </c>
      <c r="J3819" s="23" t="str">
        <f aca="false">IF(A3819="","",IF(F3819="Inactivo","No","Sí"))</f>
        <v/>
      </c>
      <c r="K3819" s="23" t="str">
        <f aca="false">IF(A3819="","",IF(AND(I3819="Sí",J3819="Sí"),"Sí","No"))</f>
        <v/>
      </c>
    </row>
    <row r="3820" customFormat="false" ht="15" hidden="false" customHeight="false" outlineLevel="0" collapsed="false">
      <c r="A3820" s="22"/>
      <c r="B3820" s="22"/>
      <c r="C3820" s="26" t="str">
        <f aca="false">IF(A3820="","",IFERROR(buscarx(A3820&amp;B3820,DATA!$E$3:$E$10000&amp;DATA!$B$3:$B$10000,DATA!$M$3:$M$10000),"No encontrado"))</f>
        <v/>
      </c>
      <c r="D3820" s="27" t="str">
        <f aca="false">IF(A3820="","",IFERROR(buscarx(A3820&amp;B3820,DATA!$E$3:$E$10000&amp;DATA!$B$3:$B$10000,DATA!$W$3:$W$10000),"No encontrado"))</f>
        <v/>
      </c>
      <c r="E3820" s="22"/>
      <c r="F3820" s="26" t="str">
        <f aca="false">IF(A3820="","",IFERROR(buscarx(A3820&amp;E3820,DATA!$E$3:$E$10000&amp;DATA!$B$3:$B$10000,DATA!$M$3:$M$10000),"Inactivo"))</f>
        <v/>
      </c>
      <c r="G3820" s="28" t="str">
        <f aca="false">IF(A3820="","",IF(AND(C3820&lt;&gt;"No encontrado",F3820&lt;&gt;"Inactivo"),C3820&amp;" → "&amp;F3820,"Sin transición"))</f>
        <v/>
      </c>
      <c r="H3820" s="26" t="str">
        <f aca="false">IF(A3820="","",IF(D3820="GCIA LINEA SERVICIO DIGITALIDAD Y VENTAS","Chats",IF(OR(D3820="GERENCIA INBOUND LÍNEAS SERVICIO Y VENTA",D3820="GERENCIA INBOUND LINEAS ESPECIALIZADAS"),"Llamadas","Otro")))</f>
        <v/>
      </c>
      <c r="I3820" s="26" t="str">
        <f aca="false">IF(A3820="","",IF(C3820="No encontrado","No","Sí"))</f>
        <v/>
      </c>
      <c r="J3820" s="26" t="str">
        <f aca="false">IF(A3820="","",IF(F3820="Inactivo","No","Sí"))</f>
        <v/>
      </c>
      <c r="K3820" s="26" t="str">
        <f aca="false">IF(A3820="","",IF(AND(I3820="Sí",J3820="Sí"),"Sí","No"))</f>
        <v/>
      </c>
    </row>
    <row r="3821" customFormat="false" ht="15" hidden="false" customHeight="false" outlineLevel="0" collapsed="false">
      <c r="A3821" s="22"/>
      <c r="B3821" s="22"/>
      <c r="C3821" s="23" t="str">
        <f aca="false">IF(A3821="","",IFERROR(buscarx(A3821&amp;B3821,DATA!$E$3:$E$10000&amp;DATA!$B$3:$B$10000,DATA!$M$3:$M$10000),"No encontrado"))</f>
        <v/>
      </c>
      <c r="D3821" s="24" t="str">
        <f aca="false">IF(A3821="","",IFERROR(buscarx(A3821&amp;B3821,DATA!$E$3:$E$10000&amp;DATA!$B$3:$B$10000,DATA!$W$3:$W$10000),"No encontrado"))</f>
        <v/>
      </c>
      <c r="E3821" s="22"/>
      <c r="F3821" s="23" t="str">
        <f aca="false">IF(A3821="","",IFERROR(buscarx(A3821&amp;E3821,DATA!$E$3:$E$10000&amp;DATA!$B$3:$B$10000,DATA!$M$3:$M$10000),"Inactivo"))</f>
        <v/>
      </c>
      <c r="G3821" s="25" t="str">
        <f aca="false">IF(A3821="","",IF(AND(C3821&lt;&gt;"No encontrado",F3821&lt;&gt;"Inactivo"),C3821&amp;" → "&amp;F3821,"Sin transición"))</f>
        <v/>
      </c>
      <c r="H3821" s="23" t="str">
        <f aca="false">IF(A3821="","",IF(D3821="GCIA LINEA SERVICIO DIGITALIDAD Y VENTAS","Chats",IF(OR(D3821="GERENCIA INBOUND LÍNEAS SERVICIO Y VENTA",D3821="GERENCIA INBOUND LINEAS ESPECIALIZADAS"),"Llamadas","Otro")))</f>
        <v/>
      </c>
      <c r="I3821" s="23" t="str">
        <f aca="false">IF(A3821="","",IF(C3821="No encontrado","No","Sí"))</f>
        <v/>
      </c>
      <c r="J3821" s="23" t="str">
        <f aca="false">IF(A3821="","",IF(F3821="Inactivo","No","Sí"))</f>
        <v/>
      </c>
      <c r="K3821" s="23" t="str">
        <f aca="false">IF(A3821="","",IF(AND(I3821="Sí",J3821="Sí"),"Sí","No"))</f>
        <v/>
      </c>
    </row>
    <row r="3822" customFormat="false" ht="15" hidden="false" customHeight="false" outlineLevel="0" collapsed="false">
      <c r="A3822" s="22"/>
      <c r="B3822" s="22"/>
      <c r="C3822" s="26" t="str">
        <f aca="false">IF(A3822="","",IFERROR(buscarx(A3822&amp;B3822,DATA!$E$3:$E$10000&amp;DATA!$B$3:$B$10000,DATA!$M$3:$M$10000),"No encontrado"))</f>
        <v/>
      </c>
      <c r="D3822" s="27" t="str">
        <f aca="false">IF(A3822="","",IFERROR(buscarx(A3822&amp;B3822,DATA!$E$3:$E$10000&amp;DATA!$B$3:$B$10000,DATA!$W$3:$W$10000),"No encontrado"))</f>
        <v/>
      </c>
      <c r="E3822" s="22"/>
      <c r="F3822" s="26" t="str">
        <f aca="false">IF(A3822="","",IFERROR(buscarx(A3822&amp;E3822,DATA!$E$3:$E$10000&amp;DATA!$B$3:$B$10000,DATA!$M$3:$M$10000),"Inactivo"))</f>
        <v/>
      </c>
      <c r="G3822" s="28" t="str">
        <f aca="false">IF(A3822="","",IF(AND(C3822&lt;&gt;"No encontrado",F3822&lt;&gt;"Inactivo"),C3822&amp;" → "&amp;F3822,"Sin transición"))</f>
        <v/>
      </c>
      <c r="H3822" s="26" t="str">
        <f aca="false">IF(A3822="","",IF(D3822="GCIA LINEA SERVICIO DIGITALIDAD Y VENTAS","Chats",IF(OR(D3822="GERENCIA INBOUND LÍNEAS SERVICIO Y VENTA",D3822="GERENCIA INBOUND LINEAS ESPECIALIZADAS"),"Llamadas","Otro")))</f>
        <v/>
      </c>
      <c r="I3822" s="26" t="str">
        <f aca="false">IF(A3822="","",IF(C3822="No encontrado","No","Sí"))</f>
        <v/>
      </c>
      <c r="J3822" s="26" t="str">
        <f aca="false">IF(A3822="","",IF(F3822="Inactivo","No","Sí"))</f>
        <v/>
      </c>
      <c r="K3822" s="26" t="str">
        <f aca="false">IF(A3822="","",IF(AND(I3822="Sí",J3822="Sí"),"Sí","No"))</f>
        <v/>
      </c>
    </row>
    <row r="3823" customFormat="false" ht="15" hidden="false" customHeight="false" outlineLevel="0" collapsed="false">
      <c r="A3823" s="22"/>
      <c r="B3823" s="22"/>
      <c r="C3823" s="23" t="str">
        <f aca="false">IF(A3823="","",IFERROR(buscarx(A3823&amp;B3823,DATA!$E$3:$E$10000&amp;DATA!$B$3:$B$10000,DATA!$M$3:$M$10000),"No encontrado"))</f>
        <v/>
      </c>
      <c r="D3823" s="24" t="str">
        <f aca="false">IF(A3823="","",IFERROR(buscarx(A3823&amp;B3823,DATA!$E$3:$E$10000&amp;DATA!$B$3:$B$10000,DATA!$W$3:$W$10000),"No encontrado"))</f>
        <v/>
      </c>
      <c r="E3823" s="22"/>
      <c r="F3823" s="23" t="str">
        <f aca="false">IF(A3823="","",IFERROR(buscarx(A3823&amp;E3823,DATA!$E$3:$E$10000&amp;DATA!$B$3:$B$10000,DATA!$M$3:$M$10000),"Inactivo"))</f>
        <v/>
      </c>
      <c r="G3823" s="25" t="str">
        <f aca="false">IF(A3823="","",IF(AND(C3823&lt;&gt;"No encontrado",F3823&lt;&gt;"Inactivo"),C3823&amp;" → "&amp;F3823,"Sin transición"))</f>
        <v/>
      </c>
      <c r="H3823" s="23" t="str">
        <f aca="false">IF(A3823="","",IF(D3823="GCIA LINEA SERVICIO DIGITALIDAD Y VENTAS","Chats",IF(OR(D3823="GERENCIA INBOUND LÍNEAS SERVICIO Y VENTA",D3823="GERENCIA INBOUND LINEAS ESPECIALIZADAS"),"Llamadas","Otro")))</f>
        <v/>
      </c>
      <c r="I3823" s="23" t="str">
        <f aca="false">IF(A3823="","",IF(C3823="No encontrado","No","Sí"))</f>
        <v/>
      </c>
      <c r="J3823" s="23" t="str">
        <f aca="false">IF(A3823="","",IF(F3823="Inactivo","No","Sí"))</f>
        <v/>
      </c>
      <c r="K3823" s="23" t="str">
        <f aca="false">IF(A3823="","",IF(AND(I3823="Sí",J3823="Sí"),"Sí","No"))</f>
        <v/>
      </c>
    </row>
    <row r="3824" customFormat="false" ht="15" hidden="false" customHeight="false" outlineLevel="0" collapsed="false">
      <c r="A3824" s="22"/>
      <c r="B3824" s="22"/>
      <c r="C3824" s="26" t="str">
        <f aca="false">IF(A3824="","",IFERROR(buscarx(A3824&amp;B3824,DATA!$E$3:$E$10000&amp;DATA!$B$3:$B$10000,DATA!$M$3:$M$10000),"No encontrado"))</f>
        <v/>
      </c>
      <c r="D3824" s="27" t="str">
        <f aca="false">IF(A3824="","",IFERROR(buscarx(A3824&amp;B3824,DATA!$E$3:$E$10000&amp;DATA!$B$3:$B$10000,DATA!$W$3:$W$10000),"No encontrado"))</f>
        <v/>
      </c>
      <c r="E3824" s="22"/>
      <c r="F3824" s="26" t="str">
        <f aca="false">IF(A3824="","",IFERROR(buscarx(A3824&amp;E3824,DATA!$E$3:$E$10000&amp;DATA!$B$3:$B$10000,DATA!$M$3:$M$10000),"Inactivo"))</f>
        <v/>
      </c>
      <c r="G3824" s="28" t="str">
        <f aca="false">IF(A3824="","",IF(AND(C3824&lt;&gt;"No encontrado",F3824&lt;&gt;"Inactivo"),C3824&amp;" → "&amp;F3824,"Sin transición"))</f>
        <v/>
      </c>
      <c r="H3824" s="26" t="str">
        <f aca="false">IF(A3824="","",IF(D3824="GCIA LINEA SERVICIO DIGITALIDAD Y VENTAS","Chats",IF(OR(D3824="GERENCIA INBOUND LÍNEAS SERVICIO Y VENTA",D3824="GERENCIA INBOUND LINEAS ESPECIALIZADAS"),"Llamadas","Otro")))</f>
        <v/>
      </c>
      <c r="I3824" s="26" t="str">
        <f aca="false">IF(A3824="","",IF(C3824="No encontrado","No","Sí"))</f>
        <v/>
      </c>
      <c r="J3824" s="26" t="str">
        <f aca="false">IF(A3824="","",IF(F3824="Inactivo","No","Sí"))</f>
        <v/>
      </c>
      <c r="K3824" s="26" t="str">
        <f aca="false">IF(A3824="","",IF(AND(I3824="Sí",J3824="Sí"),"Sí","No"))</f>
        <v/>
      </c>
    </row>
    <row r="3825" customFormat="false" ht="15" hidden="false" customHeight="false" outlineLevel="0" collapsed="false">
      <c r="A3825" s="22"/>
      <c r="B3825" s="22"/>
      <c r="C3825" s="23" t="str">
        <f aca="false">IF(A3825="","",IFERROR(buscarx(A3825&amp;B3825,DATA!$E$3:$E$10000&amp;DATA!$B$3:$B$10000,DATA!$M$3:$M$10000),"No encontrado"))</f>
        <v/>
      </c>
      <c r="D3825" s="24" t="str">
        <f aca="false">IF(A3825="","",IFERROR(buscarx(A3825&amp;B3825,DATA!$E$3:$E$10000&amp;DATA!$B$3:$B$10000,DATA!$W$3:$W$10000),"No encontrado"))</f>
        <v/>
      </c>
      <c r="E3825" s="22"/>
      <c r="F3825" s="23" t="str">
        <f aca="false">IF(A3825="","",IFERROR(buscarx(A3825&amp;E3825,DATA!$E$3:$E$10000&amp;DATA!$B$3:$B$10000,DATA!$M$3:$M$10000),"Inactivo"))</f>
        <v/>
      </c>
      <c r="G3825" s="25" t="str">
        <f aca="false">IF(A3825="","",IF(AND(C3825&lt;&gt;"No encontrado",F3825&lt;&gt;"Inactivo"),C3825&amp;" → "&amp;F3825,"Sin transición"))</f>
        <v/>
      </c>
      <c r="H3825" s="23" t="str">
        <f aca="false">IF(A3825="","",IF(D3825="GCIA LINEA SERVICIO DIGITALIDAD Y VENTAS","Chats",IF(OR(D3825="GERENCIA INBOUND LÍNEAS SERVICIO Y VENTA",D3825="GERENCIA INBOUND LINEAS ESPECIALIZADAS"),"Llamadas","Otro")))</f>
        <v/>
      </c>
      <c r="I3825" s="23" t="str">
        <f aca="false">IF(A3825="","",IF(C3825="No encontrado","No","Sí"))</f>
        <v/>
      </c>
      <c r="J3825" s="23" t="str">
        <f aca="false">IF(A3825="","",IF(F3825="Inactivo","No","Sí"))</f>
        <v/>
      </c>
      <c r="K3825" s="23" t="str">
        <f aca="false">IF(A3825="","",IF(AND(I3825="Sí",J3825="Sí"),"Sí","No"))</f>
        <v/>
      </c>
    </row>
    <row r="3826" customFormat="false" ht="15" hidden="false" customHeight="false" outlineLevel="0" collapsed="false">
      <c r="A3826" s="22"/>
      <c r="B3826" s="22"/>
      <c r="C3826" s="26" t="str">
        <f aca="false">IF(A3826="","",IFERROR(buscarx(A3826&amp;B3826,DATA!$E$3:$E$10000&amp;DATA!$B$3:$B$10000,DATA!$M$3:$M$10000),"No encontrado"))</f>
        <v/>
      </c>
      <c r="D3826" s="27" t="str">
        <f aca="false">IF(A3826="","",IFERROR(buscarx(A3826&amp;B3826,DATA!$E$3:$E$10000&amp;DATA!$B$3:$B$10000,DATA!$W$3:$W$10000),"No encontrado"))</f>
        <v/>
      </c>
      <c r="E3826" s="22"/>
      <c r="F3826" s="26" t="str">
        <f aca="false">IF(A3826="","",IFERROR(buscarx(A3826&amp;E3826,DATA!$E$3:$E$10000&amp;DATA!$B$3:$B$10000,DATA!$M$3:$M$10000),"Inactivo"))</f>
        <v/>
      </c>
      <c r="G3826" s="28" t="str">
        <f aca="false">IF(A3826="","",IF(AND(C3826&lt;&gt;"No encontrado",F3826&lt;&gt;"Inactivo"),C3826&amp;" → "&amp;F3826,"Sin transición"))</f>
        <v/>
      </c>
      <c r="H3826" s="26" t="str">
        <f aca="false">IF(A3826="","",IF(D3826="GCIA LINEA SERVICIO DIGITALIDAD Y VENTAS","Chats",IF(OR(D3826="GERENCIA INBOUND LÍNEAS SERVICIO Y VENTA",D3826="GERENCIA INBOUND LINEAS ESPECIALIZADAS"),"Llamadas","Otro")))</f>
        <v/>
      </c>
      <c r="I3826" s="26" t="str">
        <f aca="false">IF(A3826="","",IF(C3826="No encontrado","No","Sí"))</f>
        <v/>
      </c>
      <c r="J3826" s="26" t="str">
        <f aca="false">IF(A3826="","",IF(F3826="Inactivo","No","Sí"))</f>
        <v/>
      </c>
      <c r="K3826" s="26" t="str">
        <f aca="false">IF(A3826="","",IF(AND(I3826="Sí",J3826="Sí"),"Sí","No"))</f>
        <v/>
      </c>
    </row>
    <row r="3827" customFormat="false" ht="15" hidden="false" customHeight="false" outlineLevel="0" collapsed="false">
      <c r="A3827" s="22"/>
      <c r="B3827" s="22"/>
      <c r="C3827" s="23" t="str">
        <f aca="false">IF(A3827="","",IFERROR(buscarx(A3827&amp;B3827,DATA!$E$3:$E$10000&amp;DATA!$B$3:$B$10000,DATA!$M$3:$M$10000),"No encontrado"))</f>
        <v/>
      </c>
      <c r="D3827" s="24" t="str">
        <f aca="false">IF(A3827="","",IFERROR(buscarx(A3827&amp;B3827,DATA!$E$3:$E$10000&amp;DATA!$B$3:$B$10000,DATA!$W$3:$W$10000),"No encontrado"))</f>
        <v/>
      </c>
      <c r="E3827" s="22"/>
      <c r="F3827" s="23" t="str">
        <f aca="false">IF(A3827="","",IFERROR(buscarx(A3827&amp;E3827,DATA!$E$3:$E$10000&amp;DATA!$B$3:$B$10000,DATA!$M$3:$M$10000),"Inactivo"))</f>
        <v/>
      </c>
      <c r="G3827" s="25" t="str">
        <f aca="false">IF(A3827="","",IF(AND(C3827&lt;&gt;"No encontrado",F3827&lt;&gt;"Inactivo"),C3827&amp;" → "&amp;F3827,"Sin transición"))</f>
        <v/>
      </c>
      <c r="H3827" s="23" t="str">
        <f aca="false">IF(A3827="","",IF(D3827="GCIA LINEA SERVICIO DIGITALIDAD Y VENTAS","Chats",IF(OR(D3827="GERENCIA INBOUND LÍNEAS SERVICIO Y VENTA",D3827="GERENCIA INBOUND LINEAS ESPECIALIZADAS"),"Llamadas","Otro")))</f>
        <v/>
      </c>
      <c r="I3827" s="23" t="str">
        <f aca="false">IF(A3827="","",IF(C3827="No encontrado","No","Sí"))</f>
        <v/>
      </c>
      <c r="J3827" s="23" t="str">
        <f aca="false">IF(A3827="","",IF(F3827="Inactivo","No","Sí"))</f>
        <v/>
      </c>
      <c r="K3827" s="23" t="str">
        <f aca="false">IF(A3827="","",IF(AND(I3827="Sí",J3827="Sí"),"Sí","No"))</f>
        <v/>
      </c>
    </row>
    <row r="3828" customFormat="false" ht="15" hidden="false" customHeight="false" outlineLevel="0" collapsed="false">
      <c r="A3828" s="22"/>
      <c r="B3828" s="22"/>
      <c r="C3828" s="26" t="str">
        <f aca="false">IF(A3828="","",IFERROR(buscarx(A3828&amp;B3828,DATA!$E$3:$E$10000&amp;DATA!$B$3:$B$10000,DATA!$M$3:$M$10000),"No encontrado"))</f>
        <v/>
      </c>
      <c r="D3828" s="27" t="str">
        <f aca="false">IF(A3828="","",IFERROR(buscarx(A3828&amp;B3828,DATA!$E$3:$E$10000&amp;DATA!$B$3:$B$10000,DATA!$W$3:$W$10000),"No encontrado"))</f>
        <v/>
      </c>
      <c r="E3828" s="22"/>
      <c r="F3828" s="26" t="str">
        <f aca="false">IF(A3828="","",IFERROR(buscarx(A3828&amp;E3828,DATA!$E$3:$E$10000&amp;DATA!$B$3:$B$10000,DATA!$M$3:$M$10000),"Inactivo"))</f>
        <v/>
      </c>
      <c r="G3828" s="28" t="str">
        <f aca="false">IF(A3828="","",IF(AND(C3828&lt;&gt;"No encontrado",F3828&lt;&gt;"Inactivo"),C3828&amp;" → "&amp;F3828,"Sin transición"))</f>
        <v/>
      </c>
      <c r="H3828" s="26" t="str">
        <f aca="false">IF(A3828="","",IF(D3828="GCIA LINEA SERVICIO DIGITALIDAD Y VENTAS","Chats",IF(OR(D3828="GERENCIA INBOUND LÍNEAS SERVICIO Y VENTA",D3828="GERENCIA INBOUND LINEAS ESPECIALIZADAS"),"Llamadas","Otro")))</f>
        <v/>
      </c>
      <c r="I3828" s="26" t="str">
        <f aca="false">IF(A3828="","",IF(C3828="No encontrado","No","Sí"))</f>
        <v/>
      </c>
      <c r="J3828" s="26" t="str">
        <f aca="false">IF(A3828="","",IF(F3828="Inactivo","No","Sí"))</f>
        <v/>
      </c>
      <c r="K3828" s="26" t="str">
        <f aca="false">IF(A3828="","",IF(AND(I3828="Sí",J3828="Sí"),"Sí","No"))</f>
        <v/>
      </c>
    </row>
    <row r="3829" customFormat="false" ht="15" hidden="false" customHeight="false" outlineLevel="0" collapsed="false">
      <c r="A3829" s="22"/>
      <c r="B3829" s="22"/>
      <c r="C3829" s="23" t="str">
        <f aca="false">IF(A3829="","",IFERROR(buscarx(A3829&amp;B3829,DATA!$E$3:$E$10000&amp;DATA!$B$3:$B$10000,DATA!$M$3:$M$10000),"No encontrado"))</f>
        <v/>
      </c>
      <c r="D3829" s="24" t="str">
        <f aca="false">IF(A3829="","",IFERROR(buscarx(A3829&amp;B3829,DATA!$E$3:$E$10000&amp;DATA!$B$3:$B$10000,DATA!$W$3:$W$10000),"No encontrado"))</f>
        <v/>
      </c>
      <c r="E3829" s="22"/>
      <c r="F3829" s="23" t="str">
        <f aca="false">IF(A3829="","",IFERROR(buscarx(A3829&amp;E3829,DATA!$E$3:$E$10000&amp;DATA!$B$3:$B$10000,DATA!$M$3:$M$10000),"Inactivo"))</f>
        <v/>
      </c>
      <c r="G3829" s="25" t="str">
        <f aca="false">IF(A3829="","",IF(AND(C3829&lt;&gt;"No encontrado",F3829&lt;&gt;"Inactivo"),C3829&amp;" → "&amp;F3829,"Sin transición"))</f>
        <v/>
      </c>
      <c r="H3829" s="23" t="str">
        <f aca="false">IF(A3829="","",IF(D3829="GCIA LINEA SERVICIO DIGITALIDAD Y VENTAS","Chats",IF(OR(D3829="GERENCIA INBOUND LÍNEAS SERVICIO Y VENTA",D3829="GERENCIA INBOUND LINEAS ESPECIALIZADAS"),"Llamadas","Otro")))</f>
        <v/>
      </c>
      <c r="I3829" s="23" t="str">
        <f aca="false">IF(A3829="","",IF(C3829="No encontrado","No","Sí"))</f>
        <v/>
      </c>
      <c r="J3829" s="23" t="str">
        <f aca="false">IF(A3829="","",IF(F3829="Inactivo","No","Sí"))</f>
        <v/>
      </c>
      <c r="K3829" s="23" t="str">
        <f aca="false">IF(A3829="","",IF(AND(I3829="Sí",J3829="Sí"),"Sí","No"))</f>
        <v/>
      </c>
    </row>
    <row r="3830" customFormat="false" ht="15" hidden="false" customHeight="false" outlineLevel="0" collapsed="false">
      <c r="A3830" s="22"/>
      <c r="B3830" s="22"/>
      <c r="C3830" s="26" t="str">
        <f aca="false">IF(A3830="","",IFERROR(buscarx(A3830&amp;B3830,DATA!$E$3:$E$10000&amp;DATA!$B$3:$B$10000,DATA!$M$3:$M$10000),"No encontrado"))</f>
        <v/>
      </c>
      <c r="D3830" s="27" t="str">
        <f aca="false">IF(A3830="","",IFERROR(buscarx(A3830&amp;B3830,DATA!$E$3:$E$10000&amp;DATA!$B$3:$B$10000,DATA!$W$3:$W$10000),"No encontrado"))</f>
        <v/>
      </c>
      <c r="E3830" s="22"/>
      <c r="F3830" s="26" t="str">
        <f aca="false">IF(A3830="","",IFERROR(buscarx(A3830&amp;E3830,DATA!$E$3:$E$10000&amp;DATA!$B$3:$B$10000,DATA!$M$3:$M$10000),"Inactivo"))</f>
        <v/>
      </c>
      <c r="G3830" s="28" t="str">
        <f aca="false">IF(A3830="","",IF(AND(C3830&lt;&gt;"No encontrado",F3830&lt;&gt;"Inactivo"),C3830&amp;" → "&amp;F3830,"Sin transición"))</f>
        <v/>
      </c>
      <c r="H3830" s="26" t="str">
        <f aca="false">IF(A3830="","",IF(D3830="GCIA LINEA SERVICIO DIGITALIDAD Y VENTAS","Chats",IF(OR(D3830="GERENCIA INBOUND LÍNEAS SERVICIO Y VENTA",D3830="GERENCIA INBOUND LINEAS ESPECIALIZADAS"),"Llamadas","Otro")))</f>
        <v/>
      </c>
      <c r="I3830" s="26" t="str">
        <f aca="false">IF(A3830="","",IF(C3830="No encontrado","No","Sí"))</f>
        <v/>
      </c>
      <c r="J3830" s="26" t="str">
        <f aca="false">IF(A3830="","",IF(F3830="Inactivo","No","Sí"))</f>
        <v/>
      </c>
      <c r="K3830" s="26" t="str">
        <f aca="false">IF(A3830="","",IF(AND(I3830="Sí",J3830="Sí"),"Sí","No"))</f>
        <v/>
      </c>
    </row>
    <row r="3831" customFormat="false" ht="15" hidden="false" customHeight="false" outlineLevel="0" collapsed="false">
      <c r="A3831" s="22"/>
      <c r="B3831" s="22"/>
      <c r="C3831" s="23" t="str">
        <f aca="false">IF(A3831="","",IFERROR(buscarx(A3831&amp;B3831,DATA!$E$3:$E$10000&amp;DATA!$B$3:$B$10000,DATA!$M$3:$M$10000),"No encontrado"))</f>
        <v/>
      </c>
      <c r="D3831" s="24" t="str">
        <f aca="false">IF(A3831="","",IFERROR(buscarx(A3831&amp;B3831,DATA!$E$3:$E$10000&amp;DATA!$B$3:$B$10000,DATA!$W$3:$W$10000),"No encontrado"))</f>
        <v/>
      </c>
      <c r="E3831" s="22"/>
      <c r="F3831" s="23" t="str">
        <f aca="false">IF(A3831="","",IFERROR(buscarx(A3831&amp;E3831,DATA!$E$3:$E$10000&amp;DATA!$B$3:$B$10000,DATA!$M$3:$M$10000),"Inactivo"))</f>
        <v/>
      </c>
      <c r="G3831" s="25" t="str">
        <f aca="false">IF(A3831="","",IF(AND(C3831&lt;&gt;"No encontrado",F3831&lt;&gt;"Inactivo"),C3831&amp;" → "&amp;F3831,"Sin transición"))</f>
        <v/>
      </c>
      <c r="H3831" s="23" t="str">
        <f aca="false">IF(A3831="","",IF(D3831="GCIA LINEA SERVICIO DIGITALIDAD Y VENTAS","Chats",IF(OR(D3831="GERENCIA INBOUND LÍNEAS SERVICIO Y VENTA",D3831="GERENCIA INBOUND LINEAS ESPECIALIZADAS"),"Llamadas","Otro")))</f>
        <v/>
      </c>
      <c r="I3831" s="23" t="str">
        <f aca="false">IF(A3831="","",IF(C3831="No encontrado","No","Sí"))</f>
        <v/>
      </c>
      <c r="J3831" s="23" t="str">
        <f aca="false">IF(A3831="","",IF(F3831="Inactivo","No","Sí"))</f>
        <v/>
      </c>
      <c r="K3831" s="23" t="str">
        <f aca="false">IF(A3831="","",IF(AND(I3831="Sí",J3831="Sí"),"Sí","No"))</f>
        <v/>
      </c>
    </row>
    <row r="3832" customFormat="false" ht="15" hidden="false" customHeight="false" outlineLevel="0" collapsed="false">
      <c r="A3832" s="22"/>
      <c r="B3832" s="22"/>
      <c r="C3832" s="26" t="str">
        <f aca="false">IF(A3832="","",IFERROR(buscarx(A3832&amp;B3832,DATA!$E$3:$E$10000&amp;DATA!$B$3:$B$10000,DATA!$M$3:$M$10000),"No encontrado"))</f>
        <v/>
      </c>
      <c r="D3832" s="27" t="str">
        <f aca="false">IF(A3832="","",IFERROR(buscarx(A3832&amp;B3832,DATA!$E$3:$E$10000&amp;DATA!$B$3:$B$10000,DATA!$W$3:$W$10000),"No encontrado"))</f>
        <v/>
      </c>
      <c r="E3832" s="22"/>
      <c r="F3832" s="26" t="str">
        <f aca="false">IF(A3832="","",IFERROR(buscarx(A3832&amp;E3832,DATA!$E$3:$E$10000&amp;DATA!$B$3:$B$10000,DATA!$M$3:$M$10000),"Inactivo"))</f>
        <v/>
      </c>
      <c r="G3832" s="28" t="str">
        <f aca="false">IF(A3832="","",IF(AND(C3832&lt;&gt;"No encontrado",F3832&lt;&gt;"Inactivo"),C3832&amp;" → "&amp;F3832,"Sin transición"))</f>
        <v/>
      </c>
      <c r="H3832" s="26" t="str">
        <f aca="false">IF(A3832="","",IF(D3832="GCIA LINEA SERVICIO DIGITALIDAD Y VENTAS","Chats",IF(OR(D3832="GERENCIA INBOUND LÍNEAS SERVICIO Y VENTA",D3832="GERENCIA INBOUND LINEAS ESPECIALIZADAS"),"Llamadas","Otro")))</f>
        <v/>
      </c>
      <c r="I3832" s="26" t="str">
        <f aca="false">IF(A3832="","",IF(C3832="No encontrado","No","Sí"))</f>
        <v/>
      </c>
      <c r="J3832" s="26" t="str">
        <f aca="false">IF(A3832="","",IF(F3832="Inactivo","No","Sí"))</f>
        <v/>
      </c>
      <c r="K3832" s="26" t="str">
        <f aca="false">IF(A3832="","",IF(AND(I3832="Sí",J3832="Sí"),"Sí","No"))</f>
        <v/>
      </c>
    </row>
    <row r="3833" customFormat="false" ht="15" hidden="false" customHeight="false" outlineLevel="0" collapsed="false">
      <c r="A3833" s="22"/>
      <c r="B3833" s="22"/>
      <c r="C3833" s="23" t="str">
        <f aca="false">IF(A3833="","",IFERROR(buscarx(A3833&amp;B3833,DATA!$E$3:$E$10000&amp;DATA!$B$3:$B$10000,DATA!$M$3:$M$10000),"No encontrado"))</f>
        <v/>
      </c>
      <c r="D3833" s="24" t="str">
        <f aca="false">IF(A3833="","",IFERROR(buscarx(A3833&amp;B3833,DATA!$E$3:$E$10000&amp;DATA!$B$3:$B$10000,DATA!$W$3:$W$10000),"No encontrado"))</f>
        <v/>
      </c>
      <c r="E3833" s="22"/>
      <c r="F3833" s="23" t="str">
        <f aca="false">IF(A3833="","",IFERROR(buscarx(A3833&amp;E3833,DATA!$E$3:$E$10000&amp;DATA!$B$3:$B$10000,DATA!$M$3:$M$10000),"Inactivo"))</f>
        <v/>
      </c>
      <c r="G3833" s="25" t="str">
        <f aca="false">IF(A3833="","",IF(AND(C3833&lt;&gt;"No encontrado",F3833&lt;&gt;"Inactivo"),C3833&amp;" → "&amp;F3833,"Sin transición"))</f>
        <v/>
      </c>
      <c r="H3833" s="23" t="str">
        <f aca="false">IF(A3833="","",IF(D3833="GCIA LINEA SERVICIO DIGITALIDAD Y VENTAS","Chats",IF(OR(D3833="GERENCIA INBOUND LÍNEAS SERVICIO Y VENTA",D3833="GERENCIA INBOUND LINEAS ESPECIALIZADAS"),"Llamadas","Otro")))</f>
        <v/>
      </c>
      <c r="I3833" s="23" t="str">
        <f aca="false">IF(A3833="","",IF(C3833="No encontrado","No","Sí"))</f>
        <v/>
      </c>
      <c r="J3833" s="23" t="str">
        <f aca="false">IF(A3833="","",IF(F3833="Inactivo","No","Sí"))</f>
        <v/>
      </c>
      <c r="K3833" s="23" t="str">
        <f aca="false">IF(A3833="","",IF(AND(I3833="Sí",J3833="Sí"),"Sí","No"))</f>
        <v/>
      </c>
    </row>
    <row r="3834" customFormat="false" ht="15" hidden="false" customHeight="false" outlineLevel="0" collapsed="false">
      <c r="A3834" s="22"/>
      <c r="B3834" s="22"/>
      <c r="C3834" s="26" t="str">
        <f aca="false">IF(A3834="","",IFERROR(buscarx(A3834&amp;B3834,DATA!$E$3:$E$10000&amp;DATA!$B$3:$B$10000,DATA!$M$3:$M$10000),"No encontrado"))</f>
        <v/>
      </c>
      <c r="D3834" s="27" t="str">
        <f aca="false">IF(A3834="","",IFERROR(buscarx(A3834&amp;B3834,DATA!$E$3:$E$10000&amp;DATA!$B$3:$B$10000,DATA!$W$3:$W$10000),"No encontrado"))</f>
        <v/>
      </c>
      <c r="E3834" s="22"/>
      <c r="F3834" s="26" t="str">
        <f aca="false">IF(A3834="","",IFERROR(buscarx(A3834&amp;E3834,DATA!$E$3:$E$10000&amp;DATA!$B$3:$B$10000,DATA!$M$3:$M$10000),"Inactivo"))</f>
        <v/>
      </c>
      <c r="G3834" s="28" t="str">
        <f aca="false">IF(A3834="","",IF(AND(C3834&lt;&gt;"No encontrado",F3834&lt;&gt;"Inactivo"),C3834&amp;" → "&amp;F3834,"Sin transición"))</f>
        <v/>
      </c>
      <c r="H3834" s="26" t="str">
        <f aca="false">IF(A3834="","",IF(D3834="GCIA LINEA SERVICIO DIGITALIDAD Y VENTAS","Chats",IF(OR(D3834="GERENCIA INBOUND LÍNEAS SERVICIO Y VENTA",D3834="GERENCIA INBOUND LINEAS ESPECIALIZADAS"),"Llamadas","Otro")))</f>
        <v/>
      </c>
      <c r="I3834" s="26" t="str">
        <f aca="false">IF(A3834="","",IF(C3834="No encontrado","No","Sí"))</f>
        <v/>
      </c>
      <c r="J3834" s="26" t="str">
        <f aca="false">IF(A3834="","",IF(F3834="Inactivo","No","Sí"))</f>
        <v/>
      </c>
      <c r="K3834" s="26" t="str">
        <f aca="false">IF(A3834="","",IF(AND(I3834="Sí",J3834="Sí"),"Sí","No"))</f>
        <v/>
      </c>
    </row>
    <row r="3835" customFormat="false" ht="15" hidden="false" customHeight="false" outlineLevel="0" collapsed="false">
      <c r="A3835" s="22"/>
      <c r="B3835" s="22"/>
      <c r="C3835" s="23" t="str">
        <f aca="false">IF(A3835="","",IFERROR(buscarx(A3835&amp;B3835,DATA!$E$3:$E$10000&amp;DATA!$B$3:$B$10000,DATA!$M$3:$M$10000),"No encontrado"))</f>
        <v/>
      </c>
      <c r="D3835" s="24" t="str">
        <f aca="false">IF(A3835="","",IFERROR(buscarx(A3835&amp;B3835,DATA!$E$3:$E$10000&amp;DATA!$B$3:$B$10000,DATA!$W$3:$W$10000),"No encontrado"))</f>
        <v/>
      </c>
      <c r="E3835" s="22"/>
      <c r="F3835" s="23" t="str">
        <f aca="false">IF(A3835="","",IFERROR(buscarx(A3835&amp;E3835,DATA!$E$3:$E$10000&amp;DATA!$B$3:$B$10000,DATA!$M$3:$M$10000),"Inactivo"))</f>
        <v/>
      </c>
      <c r="G3835" s="25" t="str">
        <f aca="false">IF(A3835="","",IF(AND(C3835&lt;&gt;"No encontrado",F3835&lt;&gt;"Inactivo"),C3835&amp;" → "&amp;F3835,"Sin transición"))</f>
        <v/>
      </c>
      <c r="H3835" s="23" t="str">
        <f aca="false">IF(A3835="","",IF(D3835="GCIA LINEA SERVICIO DIGITALIDAD Y VENTAS","Chats",IF(OR(D3835="GERENCIA INBOUND LÍNEAS SERVICIO Y VENTA",D3835="GERENCIA INBOUND LINEAS ESPECIALIZADAS"),"Llamadas","Otro")))</f>
        <v/>
      </c>
      <c r="I3835" s="23" t="str">
        <f aca="false">IF(A3835="","",IF(C3835="No encontrado","No","Sí"))</f>
        <v/>
      </c>
      <c r="J3835" s="23" t="str">
        <f aca="false">IF(A3835="","",IF(F3835="Inactivo","No","Sí"))</f>
        <v/>
      </c>
      <c r="K3835" s="23" t="str">
        <f aca="false">IF(A3835="","",IF(AND(I3835="Sí",J3835="Sí"),"Sí","No"))</f>
        <v/>
      </c>
    </row>
    <row r="3836" customFormat="false" ht="15" hidden="false" customHeight="false" outlineLevel="0" collapsed="false">
      <c r="A3836" s="22"/>
      <c r="B3836" s="22"/>
      <c r="C3836" s="26" t="str">
        <f aca="false">IF(A3836="","",IFERROR(buscarx(A3836&amp;B3836,DATA!$E$3:$E$10000&amp;DATA!$B$3:$B$10000,DATA!$M$3:$M$10000),"No encontrado"))</f>
        <v/>
      </c>
      <c r="D3836" s="27" t="str">
        <f aca="false">IF(A3836="","",IFERROR(buscarx(A3836&amp;B3836,DATA!$E$3:$E$10000&amp;DATA!$B$3:$B$10000,DATA!$W$3:$W$10000),"No encontrado"))</f>
        <v/>
      </c>
      <c r="E3836" s="22"/>
      <c r="F3836" s="26" t="str">
        <f aca="false">IF(A3836="","",IFERROR(buscarx(A3836&amp;E3836,DATA!$E$3:$E$10000&amp;DATA!$B$3:$B$10000,DATA!$M$3:$M$10000),"Inactivo"))</f>
        <v/>
      </c>
      <c r="G3836" s="28" t="str">
        <f aca="false">IF(A3836="","",IF(AND(C3836&lt;&gt;"No encontrado",F3836&lt;&gt;"Inactivo"),C3836&amp;" → "&amp;F3836,"Sin transición"))</f>
        <v/>
      </c>
      <c r="H3836" s="26" t="str">
        <f aca="false">IF(A3836="","",IF(D3836="GCIA LINEA SERVICIO DIGITALIDAD Y VENTAS","Chats",IF(OR(D3836="GERENCIA INBOUND LÍNEAS SERVICIO Y VENTA",D3836="GERENCIA INBOUND LINEAS ESPECIALIZADAS"),"Llamadas","Otro")))</f>
        <v/>
      </c>
      <c r="I3836" s="26" t="str">
        <f aca="false">IF(A3836="","",IF(C3836="No encontrado","No","Sí"))</f>
        <v/>
      </c>
      <c r="J3836" s="26" t="str">
        <f aca="false">IF(A3836="","",IF(F3836="Inactivo","No","Sí"))</f>
        <v/>
      </c>
      <c r="K3836" s="26" t="str">
        <f aca="false">IF(A3836="","",IF(AND(I3836="Sí",J3836="Sí"),"Sí","No"))</f>
        <v/>
      </c>
    </row>
    <row r="3837" customFormat="false" ht="15" hidden="false" customHeight="false" outlineLevel="0" collapsed="false">
      <c r="A3837" s="22"/>
      <c r="B3837" s="22"/>
      <c r="C3837" s="23" t="str">
        <f aca="false">IF(A3837="","",IFERROR(buscarx(A3837&amp;B3837,DATA!$E$3:$E$10000&amp;DATA!$B$3:$B$10000,DATA!$M$3:$M$10000),"No encontrado"))</f>
        <v/>
      </c>
      <c r="D3837" s="24" t="str">
        <f aca="false">IF(A3837="","",IFERROR(buscarx(A3837&amp;B3837,DATA!$E$3:$E$10000&amp;DATA!$B$3:$B$10000,DATA!$W$3:$W$10000),"No encontrado"))</f>
        <v/>
      </c>
      <c r="E3837" s="22"/>
      <c r="F3837" s="23" t="str">
        <f aca="false">IF(A3837="","",IFERROR(buscarx(A3837&amp;E3837,DATA!$E$3:$E$10000&amp;DATA!$B$3:$B$10000,DATA!$M$3:$M$10000),"Inactivo"))</f>
        <v/>
      </c>
      <c r="G3837" s="25" t="str">
        <f aca="false">IF(A3837="","",IF(AND(C3837&lt;&gt;"No encontrado",F3837&lt;&gt;"Inactivo"),C3837&amp;" → "&amp;F3837,"Sin transición"))</f>
        <v/>
      </c>
      <c r="H3837" s="23" t="str">
        <f aca="false">IF(A3837="","",IF(D3837="GCIA LINEA SERVICIO DIGITALIDAD Y VENTAS","Chats",IF(OR(D3837="GERENCIA INBOUND LÍNEAS SERVICIO Y VENTA",D3837="GERENCIA INBOUND LINEAS ESPECIALIZADAS"),"Llamadas","Otro")))</f>
        <v/>
      </c>
      <c r="I3837" s="23" t="str">
        <f aca="false">IF(A3837="","",IF(C3837="No encontrado","No","Sí"))</f>
        <v/>
      </c>
      <c r="J3837" s="23" t="str">
        <f aca="false">IF(A3837="","",IF(F3837="Inactivo","No","Sí"))</f>
        <v/>
      </c>
      <c r="K3837" s="23" t="str">
        <f aca="false">IF(A3837="","",IF(AND(I3837="Sí",J3837="Sí"),"Sí","No"))</f>
        <v/>
      </c>
    </row>
    <row r="3838" customFormat="false" ht="15" hidden="false" customHeight="false" outlineLevel="0" collapsed="false">
      <c r="A3838" s="22"/>
      <c r="B3838" s="22"/>
      <c r="C3838" s="26" t="str">
        <f aca="false">IF(A3838="","",IFERROR(buscarx(A3838&amp;B3838,DATA!$E$3:$E$10000&amp;DATA!$B$3:$B$10000,DATA!$M$3:$M$10000),"No encontrado"))</f>
        <v/>
      </c>
      <c r="D3838" s="27" t="str">
        <f aca="false">IF(A3838="","",IFERROR(buscarx(A3838&amp;B3838,DATA!$E$3:$E$10000&amp;DATA!$B$3:$B$10000,DATA!$W$3:$W$10000),"No encontrado"))</f>
        <v/>
      </c>
      <c r="E3838" s="22"/>
      <c r="F3838" s="26" t="str">
        <f aca="false">IF(A3838="","",IFERROR(buscarx(A3838&amp;E3838,DATA!$E$3:$E$10000&amp;DATA!$B$3:$B$10000,DATA!$M$3:$M$10000),"Inactivo"))</f>
        <v/>
      </c>
      <c r="G3838" s="28" t="str">
        <f aca="false">IF(A3838="","",IF(AND(C3838&lt;&gt;"No encontrado",F3838&lt;&gt;"Inactivo"),C3838&amp;" → "&amp;F3838,"Sin transición"))</f>
        <v/>
      </c>
      <c r="H3838" s="26" t="str">
        <f aca="false">IF(A3838="","",IF(D3838="GCIA LINEA SERVICIO DIGITALIDAD Y VENTAS","Chats",IF(OR(D3838="GERENCIA INBOUND LÍNEAS SERVICIO Y VENTA",D3838="GERENCIA INBOUND LINEAS ESPECIALIZADAS"),"Llamadas","Otro")))</f>
        <v/>
      </c>
      <c r="I3838" s="26" t="str">
        <f aca="false">IF(A3838="","",IF(C3838="No encontrado","No","Sí"))</f>
        <v/>
      </c>
      <c r="J3838" s="26" t="str">
        <f aca="false">IF(A3838="","",IF(F3838="Inactivo","No","Sí"))</f>
        <v/>
      </c>
      <c r="K3838" s="26" t="str">
        <f aca="false">IF(A3838="","",IF(AND(I3838="Sí",J3838="Sí"),"Sí","No"))</f>
        <v/>
      </c>
    </row>
    <row r="3839" customFormat="false" ht="15" hidden="false" customHeight="false" outlineLevel="0" collapsed="false">
      <c r="A3839" s="22"/>
      <c r="B3839" s="22"/>
      <c r="C3839" s="23" t="str">
        <f aca="false">IF(A3839="","",IFERROR(buscarx(A3839&amp;B3839,DATA!$E$3:$E$10000&amp;DATA!$B$3:$B$10000,DATA!$M$3:$M$10000),"No encontrado"))</f>
        <v/>
      </c>
      <c r="D3839" s="24" t="str">
        <f aca="false">IF(A3839="","",IFERROR(buscarx(A3839&amp;B3839,DATA!$E$3:$E$10000&amp;DATA!$B$3:$B$10000,DATA!$W$3:$W$10000),"No encontrado"))</f>
        <v/>
      </c>
      <c r="E3839" s="22"/>
      <c r="F3839" s="23" t="str">
        <f aca="false">IF(A3839="","",IFERROR(buscarx(A3839&amp;E3839,DATA!$E$3:$E$10000&amp;DATA!$B$3:$B$10000,DATA!$M$3:$M$10000),"Inactivo"))</f>
        <v/>
      </c>
      <c r="G3839" s="25" t="str">
        <f aca="false">IF(A3839="","",IF(AND(C3839&lt;&gt;"No encontrado",F3839&lt;&gt;"Inactivo"),C3839&amp;" → "&amp;F3839,"Sin transición"))</f>
        <v/>
      </c>
      <c r="H3839" s="23" t="str">
        <f aca="false">IF(A3839="","",IF(D3839="GCIA LINEA SERVICIO DIGITALIDAD Y VENTAS","Chats",IF(OR(D3839="GERENCIA INBOUND LÍNEAS SERVICIO Y VENTA",D3839="GERENCIA INBOUND LINEAS ESPECIALIZADAS"),"Llamadas","Otro")))</f>
        <v/>
      </c>
      <c r="I3839" s="23" t="str">
        <f aca="false">IF(A3839="","",IF(C3839="No encontrado","No","Sí"))</f>
        <v/>
      </c>
      <c r="J3839" s="23" t="str">
        <f aca="false">IF(A3839="","",IF(F3839="Inactivo","No","Sí"))</f>
        <v/>
      </c>
      <c r="K3839" s="23" t="str">
        <f aca="false">IF(A3839="","",IF(AND(I3839="Sí",J3839="Sí"),"Sí","No"))</f>
        <v/>
      </c>
    </row>
    <row r="3840" customFormat="false" ht="15" hidden="false" customHeight="false" outlineLevel="0" collapsed="false">
      <c r="A3840" s="22"/>
      <c r="B3840" s="22"/>
      <c r="C3840" s="26" t="str">
        <f aca="false">IF(A3840="","",IFERROR(buscarx(A3840&amp;B3840,DATA!$E$3:$E$10000&amp;DATA!$B$3:$B$10000,DATA!$M$3:$M$10000),"No encontrado"))</f>
        <v/>
      </c>
      <c r="D3840" s="27" t="str">
        <f aca="false">IF(A3840="","",IFERROR(buscarx(A3840&amp;B3840,DATA!$E$3:$E$10000&amp;DATA!$B$3:$B$10000,DATA!$W$3:$W$10000),"No encontrado"))</f>
        <v/>
      </c>
      <c r="E3840" s="22"/>
      <c r="F3840" s="26" t="str">
        <f aca="false">IF(A3840="","",IFERROR(buscarx(A3840&amp;E3840,DATA!$E$3:$E$10000&amp;DATA!$B$3:$B$10000,DATA!$M$3:$M$10000),"Inactivo"))</f>
        <v/>
      </c>
      <c r="G3840" s="28" t="str">
        <f aca="false">IF(A3840="","",IF(AND(C3840&lt;&gt;"No encontrado",F3840&lt;&gt;"Inactivo"),C3840&amp;" → "&amp;F3840,"Sin transición"))</f>
        <v/>
      </c>
      <c r="H3840" s="26" t="str">
        <f aca="false">IF(A3840="","",IF(D3840="GCIA LINEA SERVICIO DIGITALIDAD Y VENTAS","Chats",IF(OR(D3840="GERENCIA INBOUND LÍNEAS SERVICIO Y VENTA",D3840="GERENCIA INBOUND LINEAS ESPECIALIZADAS"),"Llamadas","Otro")))</f>
        <v/>
      </c>
      <c r="I3840" s="26" t="str">
        <f aca="false">IF(A3840="","",IF(C3840="No encontrado","No","Sí"))</f>
        <v/>
      </c>
      <c r="J3840" s="26" t="str">
        <f aca="false">IF(A3840="","",IF(F3840="Inactivo","No","Sí"))</f>
        <v/>
      </c>
      <c r="K3840" s="26" t="str">
        <f aca="false">IF(A3840="","",IF(AND(I3840="Sí",J3840="Sí"),"Sí","No"))</f>
        <v/>
      </c>
    </row>
    <row r="3841" customFormat="false" ht="15" hidden="false" customHeight="false" outlineLevel="0" collapsed="false">
      <c r="A3841" s="22"/>
      <c r="B3841" s="22"/>
      <c r="C3841" s="23" t="str">
        <f aca="false">IF(A3841="","",IFERROR(buscarx(A3841&amp;B3841,DATA!$E$3:$E$10000&amp;DATA!$B$3:$B$10000,DATA!$M$3:$M$10000),"No encontrado"))</f>
        <v/>
      </c>
      <c r="D3841" s="24" t="str">
        <f aca="false">IF(A3841="","",IFERROR(buscarx(A3841&amp;B3841,DATA!$E$3:$E$10000&amp;DATA!$B$3:$B$10000,DATA!$W$3:$W$10000),"No encontrado"))</f>
        <v/>
      </c>
      <c r="E3841" s="22"/>
      <c r="F3841" s="23" t="str">
        <f aca="false">IF(A3841="","",IFERROR(buscarx(A3841&amp;E3841,DATA!$E$3:$E$10000&amp;DATA!$B$3:$B$10000,DATA!$M$3:$M$10000),"Inactivo"))</f>
        <v/>
      </c>
      <c r="G3841" s="25" t="str">
        <f aca="false">IF(A3841="","",IF(AND(C3841&lt;&gt;"No encontrado",F3841&lt;&gt;"Inactivo"),C3841&amp;" → "&amp;F3841,"Sin transición"))</f>
        <v/>
      </c>
      <c r="H3841" s="23" t="str">
        <f aca="false">IF(A3841="","",IF(D3841="GCIA LINEA SERVICIO DIGITALIDAD Y VENTAS","Chats",IF(OR(D3841="GERENCIA INBOUND LÍNEAS SERVICIO Y VENTA",D3841="GERENCIA INBOUND LINEAS ESPECIALIZADAS"),"Llamadas","Otro")))</f>
        <v/>
      </c>
      <c r="I3841" s="23" t="str">
        <f aca="false">IF(A3841="","",IF(C3841="No encontrado","No","Sí"))</f>
        <v/>
      </c>
      <c r="J3841" s="23" t="str">
        <f aca="false">IF(A3841="","",IF(F3841="Inactivo","No","Sí"))</f>
        <v/>
      </c>
      <c r="K3841" s="23" t="str">
        <f aca="false">IF(A3841="","",IF(AND(I3841="Sí",J3841="Sí"),"Sí","No"))</f>
        <v/>
      </c>
    </row>
    <row r="3842" customFormat="false" ht="15" hidden="false" customHeight="false" outlineLevel="0" collapsed="false">
      <c r="A3842" s="22"/>
      <c r="B3842" s="22"/>
      <c r="C3842" s="26" t="str">
        <f aca="false">IF(A3842="","",IFERROR(buscarx(A3842&amp;B3842,DATA!$E$3:$E$10000&amp;DATA!$B$3:$B$10000,DATA!$M$3:$M$10000),"No encontrado"))</f>
        <v/>
      </c>
      <c r="D3842" s="27" t="str">
        <f aca="false">IF(A3842="","",IFERROR(buscarx(A3842&amp;B3842,DATA!$E$3:$E$10000&amp;DATA!$B$3:$B$10000,DATA!$W$3:$W$10000),"No encontrado"))</f>
        <v/>
      </c>
      <c r="E3842" s="22"/>
      <c r="F3842" s="26" t="str">
        <f aca="false">IF(A3842="","",IFERROR(buscarx(A3842&amp;E3842,DATA!$E$3:$E$10000&amp;DATA!$B$3:$B$10000,DATA!$M$3:$M$10000),"Inactivo"))</f>
        <v/>
      </c>
      <c r="G3842" s="28" t="str">
        <f aca="false">IF(A3842="","",IF(AND(C3842&lt;&gt;"No encontrado",F3842&lt;&gt;"Inactivo"),C3842&amp;" → "&amp;F3842,"Sin transición"))</f>
        <v/>
      </c>
      <c r="H3842" s="26" t="str">
        <f aca="false">IF(A3842="","",IF(D3842="GCIA LINEA SERVICIO DIGITALIDAD Y VENTAS","Chats",IF(OR(D3842="GERENCIA INBOUND LÍNEAS SERVICIO Y VENTA",D3842="GERENCIA INBOUND LINEAS ESPECIALIZADAS"),"Llamadas","Otro")))</f>
        <v/>
      </c>
      <c r="I3842" s="26" t="str">
        <f aca="false">IF(A3842="","",IF(C3842="No encontrado","No","Sí"))</f>
        <v/>
      </c>
      <c r="J3842" s="26" t="str">
        <f aca="false">IF(A3842="","",IF(F3842="Inactivo","No","Sí"))</f>
        <v/>
      </c>
      <c r="K3842" s="26" t="str">
        <f aca="false">IF(A3842="","",IF(AND(I3842="Sí",J3842="Sí"),"Sí","No"))</f>
        <v/>
      </c>
    </row>
    <row r="3843" customFormat="false" ht="15" hidden="false" customHeight="false" outlineLevel="0" collapsed="false">
      <c r="A3843" s="22"/>
      <c r="B3843" s="22"/>
      <c r="C3843" s="23" t="str">
        <f aca="false">IF(A3843="","",IFERROR(buscarx(A3843&amp;B3843,DATA!$E$3:$E$10000&amp;DATA!$B$3:$B$10000,DATA!$M$3:$M$10000),"No encontrado"))</f>
        <v/>
      </c>
      <c r="D3843" s="24" t="str">
        <f aca="false">IF(A3843="","",IFERROR(buscarx(A3843&amp;B3843,DATA!$E$3:$E$10000&amp;DATA!$B$3:$B$10000,DATA!$W$3:$W$10000),"No encontrado"))</f>
        <v/>
      </c>
      <c r="E3843" s="22"/>
      <c r="F3843" s="23" t="str">
        <f aca="false">IF(A3843="","",IFERROR(buscarx(A3843&amp;E3843,DATA!$E$3:$E$10000&amp;DATA!$B$3:$B$10000,DATA!$M$3:$M$10000),"Inactivo"))</f>
        <v/>
      </c>
      <c r="G3843" s="25" t="str">
        <f aca="false">IF(A3843="","",IF(AND(C3843&lt;&gt;"No encontrado",F3843&lt;&gt;"Inactivo"),C3843&amp;" → "&amp;F3843,"Sin transición"))</f>
        <v/>
      </c>
      <c r="H3843" s="23" t="str">
        <f aca="false">IF(A3843="","",IF(D3843="GCIA LINEA SERVICIO DIGITALIDAD Y VENTAS","Chats",IF(OR(D3843="GERENCIA INBOUND LÍNEAS SERVICIO Y VENTA",D3843="GERENCIA INBOUND LINEAS ESPECIALIZADAS"),"Llamadas","Otro")))</f>
        <v/>
      </c>
      <c r="I3843" s="23" t="str">
        <f aca="false">IF(A3843="","",IF(C3843="No encontrado","No","Sí"))</f>
        <v/>
      </c>
      <c r="J3843" s="23" t="str">
        <f aca="false">IF(A3843="","",IF(F3843="Inactivo","No","Sí"))</f>
        <v/>
      </c>
      <c r="K3843" s="23" t="str">
        <f aca="false">IF(A3843="","",IF(AND(I3843="Sí",J3843="Sí"),"Sí","No"))</f>
        <v/>
      </c>
    </row>
    <row r="3844" customFormat="false" ht="15" hidden="false" customHeight="false" outlineLevel="0" collapsed="false">
      <c r="A3844" s="22"/>
      <c r="B3844" s="22"/>
      <c r="C3844" s="26" t="str">
        <f aca="false">IF(A3844="","",IFERROR(buscarx(A3844&amp;B3844,DATA!$E$3:$E$10000&amp;DATA!$B$3:$B$10000,DATA!$M$3:$M$10000),"No encontrado"))</f>
        <v/>
      </c>
      <c r="D3844" s="27" t="str">
        <f aca="false">IF(A3844="","",IFERROR(buscarx(A3844&amp;B3844,DATA!$E$3:$E$10000&amp;DATA!$B$3:$B$10000,DATA!$W$3:$W$10000),"No encontrado"))</f>
        <v/>
      </c>
      <c r="E3844" s="22"/>
      <c r="F3844" s="26" t="str">
        <f aca="false">IF(A3844="","",IFERROR(buscarx(A3844&amp;E3844,DATA!$E$3:$E$10000&amp;DATA!$B$3:$B$10000,DATA!$M$3:$M$10000),"Inactivo"))</f>
        <v/>
      </c>
      <c r="G3844" s="28" t="str">
        <f aca="false">IF(A3844="","",IF(AND(C3844&lt;&gt;"No encontrado",F3844&lt;&gt;"Inactivo"),C3844&amp;" → "&amp;F3844,"Sin transición"))</f>
        <v/>
      </c>
      <c r="H3844" s="26" t="str">
        <f aca="false">IF(A3844="","",IF(D3844="GCIA LINEA SERVICIO DIGITALIDAD Y VENTAS","Chats",IF(OR(D3844="GERENCIA INBOUND LÍNEAS SERVICIO Y VENTA",D3844="GERENCIA INBOUND LINEAS ESPECIALIZADAS"),"Llamadas","Otro")))</f>
        <v/>
      </c>
      <c r="I3844" s="26" t="str">
        <f aca="false">IF(A3844="","",IF(C3844="No encontrado","No","Sí"))</f>
        <v/>
      </c>
      <c r="J3844" s="26" t="str">
        <f aca="false">IF(A3844="","",IF(F3844="Inactivo","No","Sí"))</f>
        <v/>
      </c>
      <c r="K3844" s="26" t="str">
        <f aca="false">IF(A3844="","",IF(AND(I3844="Sí",J3844="Sí"),"Sí","No"))</f>
        <v/>
      </c>
    </row>
    <row r="3845" customFormat="false" ht="15" hidden="false" customHeight="false" outlineLevel="0" collapsed="false">
      <c r="A3845" s="22"/>
      <c r="B3845" s="22"/>
      <c r="C3845" s="23" t="str">
        <f aca="false">IF(A3845="","",IFERROR(buscarx(A3845&amp;B3845,DATA!$E$3:$E$10000&amp;DATA!$B$3:$B$10000,DATA!$M$3:$M$10000),"No encontrado"))</f>
        <v/>
      </c>
      <c r="D3845" s="24" t="str">
        <f aca="false">IF(A3845="","",IFERROR(buscarx(A3845&amp;B3845,DATA!$E$3:$E$10000&amp;DATA!$B$3:$B$10000,DATA!$W$3:$W$10000),"No encontrado"))</f>
        <v/>
      </c>
      <c r="E3845" s="22"/>
      <c r="F3845" s="23" t="str">
        <f aca="false">IF(A3845="","",IFERROR(buscarx(A3845&amp;E3845,DATA!$E$3:$E$10000&amp;DATA!$B$3:$B$10000,DATA!$M$3:$M$10000),"Inactivo"))</f>
        <v/>
      </c>
      <c r="G3845" s="25" t="str">
        <f aca="false">IF(A3845="","",IF(AND(C3845&lt;&gt;"No encontrado",F3845&lt;&gt;"Inactivo"),C3845&amp;" → "&amp;F3845,"Sin transición"))</f>
        <v/>
      </c>
      <c r="H3845" s="23" t="str">
        <f aca="false">IF(A3845="","",IF(D3845="GCIA LINEA SERVICIO DIGITALIDAD Y VENTAS","Chats",IF(OR(D3845="GERENCIA INBOUND LÍNEAS SERVICIO Y VENTA",D3845="GERENCIA INBOUND LINEAS ESPECIALIZADAS"),"Llamadas","Otro")))</f>
        <v/>
      </c>
      <c r="I3845" s="23" t="str">
        <f aca="false">IF(A3845="","",IF(C3845="No encontrado","No","Sí"))</f>
        <v/>
      </c>
      <c r="J3845" s="23" t="str">
        <f aca="false">IF(A3845="","",IF(F3845="Inactivo","No","Sí"))</f>
        <v/>
      </c>
      <c r="K3845" s="23" t="str">
        <f aca="false">IF(A3845="","",IF(AND(I3845="Sí",J3845="Sí"),"Sí","No"))</f>
        <v/>
      </c>
    </row>
    <row r="3846" customFormat="false" ht="15" hidden="false" customHeight="false" outlineLevel="0" collapsed="false">
      <c r="A3846" s="22"/>
      <c r="B3846" s="22"/>
      <c r="C3846" s="26" t="str">
        <f aca="false">IF(A3846="","",IFERROR(buscarx(A3846&amp;B3846,DATA!$E$3:$E$10000&amp;DATA!$B$3:$B$10000,DATA!$M$3:$M$10000),"No encontrado"))</f>
        <v/>
      </c>
      <c r="D3846" s="27" t="str">
        <f aca="false">IF(A3846="","",IFERROR(buscarx(A3846&amp;B3846,DATA!$E$3:$E$10000&amp;DATA!$B$3:$B$10000,DATA!$W$3:$W$10000),"No encontrado"))</f>
        <v/>
      </c>
      <c r="E3846" s="22"/>
      <c r="F3846" s="26" t="str">
        <f aca="false">IF(A3846="","",IFERROR(buscarx(A3846&amp;E3846,DATA!$E$3:$E$10000&amp;DATA!$B$3:$B$10000,DATA!$M$3:$M$10000),"Inactivo"))</f>
        <v/>
      </c>
      <c r="G3846" s="28" t="str">
        <f aca="false">IF(A3846="","",IF(AND(C3846&lt;&gt;"No encontrado",F3846&lt;&gt;"Inactivo"),C3846&amp;" → "&amp;F3846,"Sin transición"))</f>
        <v/>
      </c>
      <c r="H3846" s="26" t="str">
        <f aca="false">IF(A3846="","",IF(D3846="GCIA LINEA SERVICIO DIGITALIDAD Y VENTAS","Chats",IF(OR(D3846="GERENCIA INBOUND LÍNEAS SERVICIO Y VENTA",D3846="GERENCIA INBOUND LINEAS ESPECIALIZADAS"),"Llamadas","Otro")))</f>
        <v/>
      </c>
      <c r="I3846" s="26" t="str">
        <f aca="false">IF(A3846="","",IF(C3846="No encontrado","No","Sí"))</f>
        <v/>
      </c>
      <c r="J3846" s="26" t="str">
        <f aca="false">IF(A3846="","",IF(F3846="Inactivo","No","Sí"))</f>
        <v/>
      </c>
      <c r="K3846" s="26" t="str">
        <f aca="false">IF(A3846="","",IF(AND(I3846="Sí",J3846="Sí"),"Sí","No"))</f>
        <v/>
      </c>
    </row>
    <row r="3847" customFormat="false" ht="15" hidden="false" customHeight="false" outlineLevel="0" collapsed="false">
      <c r="A3847" s="22"/>
      <c r="B3847" s="22"/>
      <c r="C3847" s="23" t="str">
        <f aca="false">IF(A3847="","",IFERROR(buscarx(A3847&amp;B3847,DATA!$E$3:$E$10000&amp;DATA!$B$3:$B$10000,DATA!$M$3:$M$10000),"No encontrado"))</f>
        <v/>
      </c>
      <c r="D3847" s="24" t="str">
        <f aca="false">IF(A3847="","",IFERROR(buscarx(A3847&amp;B3847,DATA!$E$3:$E$10000&amp;DATA!$B$3:$B$10000,DATA!$W$3:$W$10000),"No encontrado"))</f>
        <v/>
      </c>
      <c r="E3847" s="22"/>
      <c r="F3847" s="23" t="str">
        <f aca="false">IF(A3847="","",IFERROR(buscarx(A3847&amp;E3847,DATA!$E$3:$E$10000&amp;DATA!$B$3:$B$10000,DATA!$M$3:$M$10000),"Inactivo"))</f>
        <v/>
      </c>
      <c r="G3847" s="25" t="str">
        <f aca="false">IF(A3847="","",IF(AND(C3847&lt;&gt;"No encontrado",F3847&lt;&gt;"Inactivo"),C3847&amp;" → "&amp;F3847,"Sin transición"))</f>
        <v/>
      </c>
      <c r="H3847" s="23" t="str">
        <f aca="false">IF(A3847="","",IF(D3847="GCIA LINEA SERVICIO DIGITALIDAD Y VENTAS","Chats",IF(OR(D3847="GERENCIA INBOUND LÍNEAS SERVICIO Y VENTA",D3847="GERENCIA INBOUND LINEAS ESPECIALIZADAS"),"Llamadas","Otro")))</f>
        <v/>
      </c>
      <c r="I3847" s="23" t="str">
        <f aca="false">IF(A3847="","",IF(C3847="No encontrado","No","Sí"))</f>
        <v/>
      </c>
      <c r="J3847" s="23" t="str">
        <f aca="false">IF(A3847="","",IF(F3847="Inactivo","No","Sí"))</f>
        <v/>
      </c>
      <c r="K3847" s="23" t="str">
        <f aca="false">IF(A3847="","",IF(AND(I3847="Sí",J3847="Sí"),"Sí","No"))</f>
        <v/>
      </c>
    </row>
    <row r="3848" customFormat="false" ht="15" hidden="false" customHeight="false" outlineLevel="0" collapsed="false">
      <c r="A3848" s="22"/>
      <c r="B3848" s="22"/>
      <c r="C3848" s="26" t="str">
        <f aca="false">IF(A3848="","",IFERROR(buscarx(A3848&amp;B3848,DATA!$E$3:$E$10000&amp;DATA!$B$3:$B$10000,DATA!$M$3:$M$10000),"No encontrado"))</f>
        <v/>
      </c>
      <c r="D3848" s="27" t="str">
        <f aca="false">IF(A3848="","",IFERROR(buscarx(A3848&amp;B3848,DATA!$E$3:$E$10000&amp;DATA!$B$3:$B$10000,DATA!$W$3:$W$10000),"No encontrado"))</f>
        <v/>
      </c>
      <c r="E3848" s="22"/>
      <c r="F3848" s="26" t="str">
        <f aca="false">IF(A3848="","",IFERROR(buscarx(A3848&amp;E3848,DATA!$E$3:$E$10000&amp;DATA!$B$3:$B$10000,DATA!$M$3:$M$10000),"Inactivo"))</f>
        <v/>
      </c>
      <c r="G3848" s="28" t="str">
        <f aca="false">IF(A3848="","",IF(AND(C3848&lt;&gt;"No encontrado",F3848&lt;&gt;"Inactivo"),C3848&amp;" → "&amp;F3848,"Sin transición"))</f>
        <v/>
      </c>
      <c r="H3848" s="26" t="str">
        <f aca="false">IF(A3848="","",IF(D3848="GCIA LINEA SERVICIO DIGITALIDAD Y VENTAS","Chats",IF(OR(D3848="GERENCIA INBOUND LÍNEAS SERVICIO Y VENTA",D3848="GERENCIA INBOUND LINEAS ESPECIALIZADAS"),"Llamadas","Otro")))</f>
        <v/>
      </c>
      <c r="I3848" s="26" t="str">
        <f aca="false">IF(A3848="","",IF(C3848="No encontrado","No","Sí"))</f>
        <v/>
      </c>
      <c r="J3848" s="26" t="str">
        <f aca="false">IF(A3848="","",IF(F3848="Inactivo","No","Sí"))</f>
        <v/>
      </c>
      <c r="K3848" s="26" t="str">
        <f aca="false">IF(A3848="","",IF(AND(I3848="Sí",J3848="Sí"),"Sí","No"))</f>
        <v/>
      </c>
    </row>
    <row r="3849" customFormat="false" ht="15" hidden="false" customHeight="false" outlineLevel="0" collapsed="false">
      <c r="A3849" s="22"/>
      <c r="B3849" s="22"/>
      <c r="C3849" s="23" t="str">
        <f aca="false">IF(A3849="","",IFERROR(buscarx(A3849&amp;B3849,DATA!$E$3:$E$10000&amp;DATA!$B$3:$B$10000,DATA!$M$3:$M$10000),"No encontrado"))</f>
        <v/>
      </c>
      <c r="D3849" s="24" t="str">
        <f aca="false">IF(A3849="","",IFERROR(buscarx(A3849&amp;B3849,DATA!$E$3:$E$10000&amp;DATA!$B$3:$B$10000,DATA!$W$3:$W$10000),"No encontrado"))</f>
        <v/>
      </c>
      <c r="E3849" s="22"/>
      <c r="F3849" s="23" t="str">
        <f aca="false">IF(A3849="","",IFERROR(buscarx(A3849&amp;E3849,DATA!$E$3:$E$10000&amp;DATA!$B$3:$B$10000,DATA!$M$3:$M$10000),"Inactivo"))</f>
        <v/>
      </c>
      <c r="G3849" s="25" t="str">
        <f aca="false">IF(A3849="","",IF(AND(C3849&lt;&gt;"No encontrado",F3849&lt;&gt;"Inactivo"),C3849&amp;" → "&amp;F3849,"Sin transición"))</f>
        <v/>
      </c>
      <c r="H3849" s="23" t="str">
        <f aca="false">IF(A3849="","",IF(D3849="GCIA LINEA SERVICIO DIGITALIDAD Y VENTAS","Chats",IF(OR(D3849="GERENCIA INBOUND LÍNEAS SERVICIO Y VENTA",D3849="GERENCIA INBOUND LINEAS ESPECIALIZADAS"),"Llamadas","Otro")))</f>
        <v/>
      </c>
      <c r="I3849" s="23" t="str">
        <f aca="false">IF(A3849="","",IF(C3849="No encontrado","No","Sí"))</f>
        <v/>
      </c>
      <c r="J3849" s="23" t="str">
        <f aca="false">IF(A3849="","",IF(F3849="Inactivo","No","Sí"))</f>
        <v/>
      </c>
      <c r="K3849" s="23" t="str">
        <f aca="false">IF(A3849="","",IF(AND(I3849="Sí",J3849="Sí"),"Sí","No"))</f>
        <v/>
      </c>
    </row>
    <row r="3850" customFormat="false" ht="15" hidden="false" customHeight="false" outlineLevel="0" collapsed="false">
      <c r="A3850" s="22"/>
      <c r="B3850" s="22"/>
      <c r="C3850" s="26" t="str">
        <f aca="false">IF(A3850="","",IFERROR(buscarx(A3850&amp;B3850,DATA!$E$3:$E$10000&amp;DATA!$B$3:$B$10000,DATA!$M$3:$M$10000),"No encontrado"))</f>
        <v/>
      </c>
      <c r="D3850" s="27" t="str">
        <f aca="false">IF(A3850="","",IFERROR(buscarx(A3850&amp;B3850,DATA!$E$3:$E$10000&amp;DATA!$B$3:$B$10000,DATA!$W$3:$W$10000),"No encontrado"))</f>
        <v/>
      </c>
      <c r="E3850" s="22"/>
      <c r="F3850" s="26" t="str">
        <f aca="false">IF(A3850="","",IFERROR(buscarx(A3850&amp;E3850,DATA!$E$3:$E$10000&amp;DATA!$B$3:$B$10000,DATA!$M$3:$M$10000),"Inactivo"))</f>
        <v/>
      </c>
      <c r="G3850" s="28" t="str">
        <f aca="false">IF(A3850="","",IF(AND(C3850&lt;&gt;"No encontrado",F3850&lt;&gt;"Inactivo"),C3850&amp;" → "&amp;F3850,"Sin transición"))</f>
        <v/>
      </c>
      <c r="H3850" s="26" t="str">
        <f aca="false">IF(A3850="","",IF(D3850="GCIA LINEA SERVICIO DIGITALIDAD Y VENTAS","Chats",IF(OR(D3850="GERENCIA INBOUND LÍNEAS SERVICIO Y VENTA",D3850="GERENCIA INBOUND LINEAS ESPECIALIZADAS"),"Llamadas","Otro")))</f>
        <v/>
      </c>
      <c r="I3850" s="26" t="str">
        <f aca="false">IF(A3850="","",IF(C3850="No encontrado","No","Sí"))</f>
        <v/>
      </c>
      <c r="J3850" s="26" t="str">
        <f aca="false">IF(A3850="","",IF(F3850="Inactivo","No","Sí"))</f>
        <v/>
      </c>
      <c r="K3850" s="26" t="str">
        <f aca="false">IF(A3850="","",IF(AND(I3850="Sí",J3850="Sí"),"Sí","No"))</f>
        <v/>
      </c>
    </row>
    <row r="3851" customFormat="false" ht="15" hidden="false" customHeight="false" outlineLevel="0" collapsed="false">
      <c r="A3851" s="22"/>
      <c r="B3851" s="22"/>
      <c r="C3851" s="23" t="str">
        <f aca="false">IF(A3851="","",IFERROR(buscarx(A3851&amp;B3851,DATA!$E$3:$E$10000&amp;DATA!$B$3:$B$10000,DATA!$M$3:$M$10000),"No encontrado"))</f>
        <v/>
      </c>
      <c r="D3851" s="24" t="str">
        <f aca="false">IF(A3851="","",IFERROR(buscarx(A3851&amp;B3851,DATA!$E$3:$E$10000&amp;DATA!$B$3:$B$10000,DATA!$W$3:$W$10000),"No encontrado"))</f>
        <v/>
      </c>
      <c r="E3851" s="22"/>
      <c r="F3851" s="23" t="str">
        <f aca="false">IF(A3851="","",IFERROR(buscarx(A3851&amp;E3851,DATA!$E$3:$E$10000&amp;DATA!$B$3:$B$10000,DATA!$M$3:$M$10000),"Inactivo"))</f>
        <v/>
      </c>
      <c r="G3851" s="25" t="str">
        <f aca="false">IF(A3851="","",IF(AND(C3851&lt;&gt;"No encontrado",F3851&lt;&gt;"Inactivo"),C3851&amp;" → "&amp;F3851,"Sin transición"))</f>
        <v/>
      </c>
      <c r="H3851" s="23" t="str">
        <f aca="false">IF(A3851="","",IF(D3851="GCIA LINEA SERVICIO DIGITALIDAD Y VENTAS","Chats",IF(OR(D3851="GERENCIA INBOUND LÍNEAS SERVICIO Y VENTA",D3851="GERENCIA INBOUND LINEAS ESPECIALIZADAS"),"Llamadas","Otro")))</f>
        <v/>
      </c>
      <c r="I3851" s="23" t="str">
        <f aca="false">IF(A3851="","",IF(C3851="No encontrado","No","Sí"))</f>
        <v/>
      </c>
      <c r="J3851" s="23" t="str">
        <f aca="false">IF(A3851="","",IF(F3851="Inactivo","No","Sí"))</f>
        <v/>
      </c>
      <c r="K3851" s="23" t="str">
        <f aca="false">IF(A3851="","",IF(AND(I3851="Sí",J3851="Sí"),"Sí","No"))</f>
        <v/>
      </c>
    </row>
    <row r="3852" customFormat="false" ht="15" hidden="false" customHeight="false" outlineLevel="0" collapsed="false">
      <c r="A3852" s="22"/>
      <c r="B3852" s="22"/>
      <c r="C3852" s="26" t="str">
        <f aca="false">IF(A3852="","",IFERROR(buscarx(A3852&amp;B3852,DATA!$E$3:$E$10000&amp;DATA!$B$3:$B$10000,DATA!$M$3:$M$10000),"No encontrado"))</f>
        <v/>
      </c>
      <c r="D3852" s="27" t="str">
        <f aca="false">IF(A3852="","",IFERROR(buscarx(A3852&amp;B3852,DATA!$E$3:$E$10000&amp;DATA!$B$3:$B$10000,DATA!$W$3:$W$10000),"No encontrado"))</f>
        <v/>
      </c>
      <c r="E3852" s="22"/>
      <c r="F3852" s="26" t="str">
        <f aca="false">IF(A3852="","",IFERROR(buscarx(A3852&amp;E3852,DATA!$E$3:$E$10000&amp;DATA!$B$3:$B$10000,DATA!$M$3:$M$10000),"Inactivo"))</f>
        <v/>
      </c>
      <c r="G3852" s="28" t="str">
        <f aca="false">IF(A3852="","",IF(AND(C3852&lt;&gt;"No encontrado",F3852&lt;&gt;"Inactivo"),C3852&amp;" → "&amp;F3852,"Sin transición"))</f>
        <v/>
      </c>
      <c r="H3852" s="26" t="str">
        <f aca="false">IF(A3852="","",IF(D3852="GCIA LINEA SERVICIO DIGITALIDAD Y VENTAS","Chats",IF(OR(D3852="GERENCIA INBOUND LÍNEAS SERVICIO Y VENTA",D3852="GERENCIA INBOUND LINEAS ESPECIALIZADAS"),"Llamadas","Otro")))</f>
        <v/>
      </c>
      <c r="I3852" s="26" t="str">
        <f aca="false">IF(A3852="","",IF(C3852="No encontrado","No","Sí"))</f>
        <v/>
      </c>
      <c r="J3852" s="26" t="str">
        <f aca="false">IF(A3852="","",IF(F3852="Inactivo","No","Sí"))</f>
        <v/>
      </c>
      <c r="K3852" s="26" t="str">
        <f aca="false">IF(A3852="","",IF(AND(I3852="Sí",J3852="Sí"),"Sí","No"))</f>
        <v/>
      </c>
    </row>
    <row r="3853" customFormat="false" ht="15" hidden="false" customHeight="false" outlineLevel="0" collapsed="false">
      <c r="A3853" s="22"/>
      <c r="B3853" s="22"/>
      <c r="C3853" s="23" t="str">
        <f aca="false">IF(A3853="","",IFERROR(buscarx(A3853&amp;B3853,DATA!$E$3:$E$10000&amp;DATA!$B$3:$B$10000,DATA!$M$3:$M$10000),"No encontrado"))</f>
        <v/>
      </c>
      <c r="D3853" s="24" t="str">
        <f aca="false">IF(A3853="","",IFERROR(buscarx(A3853&amp;B3853,DATA!$E$3:$E$10000&amp;DATA!$B$3:$B$10000,DATA!$W$3:$W$10000),"No encontrado"))</f>
        <v/>
      </c>
      <c r="E3853" s="22"/>
      <c r="F3853" s="23" t="str">
        <f aca="false">IF(A3853="","",IFERROR(buscarx(A3853&amp;E3853,DATA!$E$3:$E$10000&amp;DATA!$B$3:$B$10000,DATA!$M$3:$M$10000),"Inactivo"))</f>
        <v/>
      </c>
      <c r="G3853" s="25" t="str">
        <f aca="false">IF(A3853="","",IF(AND(C3853&lt;&gt;"No encontrado",F3853&lt;&gt;"Inactivo"),C3853&amp;" → "&amp;F3853,"Sin transición"))</f>
        <v/>
      </c>
      <c r="H3853" s="23" t="str">
        <f aca="false">IF(A3853="","",IF(D3853="GCIA LINEA SERVICIO DIGITALIDAD Y VENTAS","Chats",IF(OR(D3853="GERENCIA INBOUND LÍNEAS SERVICIO Y VENTA",D3853="GERENCIA INBOUND LINEAS ESPECIALIZADAS"),"Llamadas","Otro")))</f>
        <v/>
      </c>
      <c r="I3853" s="23" t="str">
        <f aca="false">IF(A3853="","",IF(C3853="No encontrado","No","Sí"))</f>
        <v/>
      </c>
      <c r="J3853" s="23" t="str">
        <f aca="false">IF(A3853="","",IF(F3853="Inactivo","No","Sí"))</f>
        <v/>
      </c>
      <c r="K3853" s="23" t="str">
        <f aca="false">IF(A3853="","",IF(AND(I3853="Sí",J3853="Sí"),"Sí","No"))</f>
        <v/>
      </c>
    </row>
    <row r="3854" customFormat="false" ht="15" hidden="false" customHeight="false" outlineLevel="0" collapsed="false">
      <c r="A3854" s="22"/>
      <c r="B3854" s="22"/>
      <c r="C3854" s="26" t="str">
        <f aca="false">IF(A3854="","",IFERROR(buscarx(A3854&amp;B3854,DATA!$E$3:$E$10000&amp;DATA!$B$3:$B$10000,DATA!$M$3:$M$10000),"No encontrado"))</f>
        <v/>
      </c>
      <c r="D3854" s="27" t="str">
        <f aca="false">IF(A3854="","",IFERROR(buscarx(A3854&amp;B3854,DATA!$E$3:$E$10000&amp;DATA!$B$3:$B$10000,DATA!$W$3:$W$10000),"No encontrado"))</f>
        <v/>
      </c>
      <c r="E3854" s="22"/>
      <c r="F3854" s="26" t="str">
        <f aca="false">IF(A3854="","",IFERROR(buscarx(A3854&amp;E3854,DATA!$E$3:$E$10000&amp;DATA!$B$3:$B$10000,DATA!$M$3:$M$10000),"Inactivo"))</f>
        <v/>
      </c>
      <c r="G3854" s="28" t="str">
        <f aca="false">IF(A3854="","",IF(AND(C3854&lt;&gt;"No encontrado",F3854&lt;&gt;"Inactivo"),C3854&amp;" → "&amp;F3854,"Sin transición"))</f>
        <v/>
      </c>
      <c r="H3854" s="26" t="str">
        <f aca="false">IF(A3854="","",IF(D3854="GCIA LINEA SERVICIO DIGITALIDAD Y VENTAS","Chats",IF(OR(D3854="GERENCIA INBOUND LÍNEAS SERVICIO Y VENTA",D3854="GERENCIA INBOUND LINEAS ESPECIALIZADAS"),"Llamadas","Otro")))</f>
        <v/>
      </c>
      <c r="I3854" s="26" t="str">
        <f aca="false">IF(A3854="","",IF(C3854="No encontrado","No","Sí"))</f>
        <v/>
      </c>
      <c r="J3854" s="26" t="str">
        <f aca="false">IF(A3854="","",IF(F3854="Inactivo","No","Sí"))</f>
        <v/>
      </c>
      <c r="K3854" s="26" t="str">
        <f aca="false">IF(A3854="","",IF(AND(I3854="Sí",J3854="Sí"),"Sí","No"))</f>
        <v/>
      </c>
    </row>
    <row r="3855" customFormat="false" ht="15" hidden="false" customHeight="false" outlineLevel="0" collapsed="false">
      <c r="A3855" s="22"/>
      <c r="B3855" s="22"/>
      <c r="C3855" s="23" t="str">
        <f aca="false">IF(A3855="","",IFERROR(buscarx(A3855&amp;B3855,DATA!$E$3:$E$10000&amp;DATA!$B$3:$B$10000,DATA!$M$3:$M$10000),"No encontrado"))</f>
        <v/>
      </c>
      <c r="D3855" s="24" t="str">
        <f aca="false">IF(A3855="","",IFERROR(buscarx(A3855&amp;B3855,DATA!$E$3:$E$10000&amp;DATA!$B$3:$B$10000,DATA!$W$3:$W$10000),"No encontrado"))</f>
        <v/>
      </c>
      <c r="E3855" s="22"/>
      <c r="F3855" s="23" t="str">
        <f aca="false">IF(A3855="","",IFERROR(buscarx(A3855&amp;E3855,DATA!$E$3:$E$10000&amp;DATA!$B$3:$B$10000,DATA!$M$3:$M$10000),"Inactivo"))</f>
        <v/>
      </c>
      <c r="G3855" s="25" t="str">
        <f aca="false">IF(A3855="","",IF(AND(C3855&lt;&gt;"No encontrado",F3855&lt;&gt;"Inactivo"),C3855&amp;" → "&amp;F3855,"Sin transición"))</f>
        <v/>
      </c>
      <c r="H3855" s="23" t="str">
        <f aca="false">IF(A3855="","",IF(D3855="GCIA LINEA SERVICIO DIGITALIDAD Y VENTAS","Chats",IF(OR(D3855="GERENCIA INBOUND LÍNEAS SERVICIO Y VENTA",D3855="GERENCIA INBOUND LINEAS ESPECIALIZADAS"),"Llamadas","Otro")))</f>
        <v/>
      </c>
      <c r="I3855" s="23" t="str">
        <f aca="false">IF(A3855="","",IF(C3855="No encontrado","No","Sí"))</f>
        <v/>
      </c>
      <c r="J3855" s="23" t="str">
        <f aca="false">IF(A3855="","",IF(F3855="Inactivo","No","Sí"))</f>
        <v/>
      </c>
      <c r="K3855" s="23" t="str">
        <f aca="false">IF(A3855="","",IF(AND(I3855="Sí",J3855="Sí"),"Sí","No"))</f>
        <v/>
      </c>
    </row>
    <row r="3856" customFormat="false" ht="15" hidden="false" customHeight="false" outlineLevel="0" collapsed="false">
      <c r="A3856" s="22"/>
      <c r="B3856" s="22"/>
      <c r="C3856" s="26" t="str">
        <f aca="false">IF(A3856="","",IFERROR(buscarx(A3856&amp;B3856,DATA!$E$3:$E$10000&amp;DATA!$B$3:$B$10000,DATA!$M$3:$M$10000),"No encontrado"))</f>
        <v/>
      </c>
      <c r="D3856" s="27" t="str">
        <f aca="false">IF(A3856="","",IFERROR(buscarx(A3856&amp;B3856,DATA!$E$3:$E$10000&amp;DATA!$B$3:$B$10000,DATA!$W$3:$W$10000),"No encontrado"))</f>
        <v/>
      </c>
      <c r="E3856" s="22"/>
      <c r="F3856" s="26" t="str">
        <f aca="false">IF(A3856="","",IFERROR(buscarx(A3856&amp;E3856,DATA!$E$3:$E$10000&amp;DATA!$B$3:$B$10000,DATA!$M$3:$M$10000),"Inactivo"))</f>
        <v/>
      </c>
      <c r="G3856" s="28" t="str">
        <f aca="false">IF(A3856="","",IF(AND(C3856&lt;&gt;"No encontrado",F3856&lt;&gt;"Inactivo"),C3856&amp;" → "&amp;F3856,"Sin transición"))</f>
        <v/>
      </c>
      <c r="H3856" s="26" t="str">
        <f aca="false">IF(A3856="","",IF(D3856="GCIA LINEA SERVICIO DIGITALIDAD Y VENTAS","Chats",IF(OR(D3856="GERENCIA INBOUND LÍNEAS SERVICIO Y VENTA",D3856="GERENCIA INBOUND LINEAS ESPECIALIZADAS"),"Llamadas","Otro")))</f>
        <v/>
      </c>
      <c r="I3856" s="26" t="str">
        <f aca="false">IF(A3856="","",IF(C3856="No encontrado","No","Sí"))</f>
        <v/>
      </c>
      <c r="J3856" s="26" t="str">
        <f aca="false">IF(A3856="","",IF(F3856="Inactivo","No","Sí"))</f>
        <v/>
      </c>
      <c r="K3856" s="26" t="str">
        <f aca="false">IF(A3856="","",IF(AND(I3856="Sí",J3856="Sí"),"Sí","No"))</f>
        <v/>
      </c>
    </row>
    <row r="3857" customFormat="false" ht="15" hidden="false" customHeight="false" outlineLevel="0" collapsed="false">
      <c r="A3857" s="22"/>
      <c r="B3857" s="22"/>
      <c r="C3857" s="23" t="str">
        <f aca="false">IF(A3857="","",IFERROR(buscarx(A3857&amp;B3857,DATA!$E$3:$E$10000&amp;DATA!$B$3:$B$10000,DATA!$M$3:$M$10000),"No encontrado"))</f>
        <v/>
      </c>
      <c r="D3857" s="24" t="str">
        <f aca="false">IF(A3857="","",IFERROR(buscarx(A3857&amp;B3857,DATA!$E$3:$E$10000&amp;DATA!$B$3:$B$10000,DATA!$W$3:$W$10000),"No encontrado"))</f>
        <v/>
      </c>
      <c r="E3857" s="22"/>
      <c r="F3857" s="23" t="str">
        <f aca="false">IF(A3857="","",IFERROR(buscarx(A3857&amp;E3857,DATA!$E$3:$E$10000&amp;DATA!$B$3:$B$10000,DATA!$M$3:$M$10000),"Inactivo"))</f>
        <v/>
      </c>
      <c r="G3857" s="25" t="str">
        <f aca="false">IF(A3857="","",IF(AND(C3857&lt;&gt;"No encontrado",F3857&lt;&gt;"Inactivo"),C3857&amp;" → "&amp;F3857,"Sin transición"))</f>
        <v/>
      </c>
      <c r="H3857" s="23" t="str">
        <f aca="false">IF(A3857="","",IF(D3857="GCIA LINEA SERVICIO DIGITALIDAD Y VENTAS","Chats",IF(OR(D3857="GERENCIA INBOUND LÍNEAS SERVICIO Y VENTA",D3857="GERENCIA INBOUND LINEAS ESPECIALIZADAS"),"Llamadas","Otro")))</f>
        <v/>
      </c>
      <c r="I3857" s="23" t="str">
        <f aca="false">IF(A3857="","",IF(C3857="No encontrado","No","Sí"))</f>
        <v/>
      </c>
      <c r="J3857" s="23" t="str">
        <f aca="false">IF(A3857="","",IF(F3857="Inactivo","No","Sí"))</f>
        <v/>
      </c>
      <c r="K3857" s="23" t="str">
        <f aca="false">IF(A3857="","",IF(AND(I3857="Sí",J3857="Sí"),"Sí","No"))</f>
        <v/>
      </c>
    </row>
    <row r="3858" customFormat="false" ht="15" hidden="false" customHeight="false" outlineLevel="0" collapsed="false">
      <c r="A3858" s="22"/>
      <c r="B3858" s="22"/>
      <c r="C3858" s="26" t="str">
        <f aca="false">IF(A3858="","",IFERROR(buscarx(A3858&amp;B3858,DATA!$E$3:$E$10000&amp;DATA!$B$3:$B$10000,DATA!$M$3:$M$10000),"No encontrado"))</f>
        <v/>
      </c>
      <c r="D3858" s="27" t="str">
        <f aca="false">IF(A3858="","",IFERROR(buscarx(A3858&amp;B3858,DATA!$E$3:$E$10000&amp;DATA!$B$3:$B$10000,DATA!$W$3:$W$10000),"No encontrado"))</f>
        <v/>
      </c>
      <c r="E3858" s="22"/>
      <c r="F3858" s="26" t="str">
        <f aca="false">IF(A3858="","",IFERROR(buscarx(A3858&amp;E3858,DATA!$E$3:$E$10000&amp;DATA!$B$3:$B$10000,DATA!$M$3:$M$10000),"Inactivo"))</f>
        <v/>
      </c>
      <c r="G3858" s="28" t="str">
        <f aca="false">IF(A3858="","",IF(AND(C3858&lt;&gt;"No encontrado",F3858&lt;&gt;"Inactivo"),C3858&amp;" → "&amp;F3858,"Sin transición"))</f>
        <v/>
      </c>
      <c r="H3858" s="26" t="str">
        <f aca="false">IF(A3858="","",IF(D3858="GCIA LINEA SERVICIO DIGITALIDAD Y VENTAS","Chats",IF(OR(D3858="GERENCIA INBOUND LÍNEAS SERVICIO Y VENTA",D3858="GERENCIA INBOUND LINEAS ESPECIALIZADAS"),"Llamadas","Otro")))</f>
        <v/>
      </c>
      <c r="I3858" s="26" t="str">
        <f aca="false">IF(A3858="","",IF(C3858="No encontrado","No","Sí"))</f>
        <v/>
      </c>
      <c r="J3858" s="26" t="str">
        <f aca="false">IF(A3858="","",IF(F3858="Inactivo","No","Sí"))</f>
        <v/>
      </c>
      <c r="K3858" s="26" t="str">
        <f aca="false">IF(A3858="","",IF(AND(I3858="Sí",J3858="Sí"),"Sí","No"))</f>
        <v/>
      </c>
    </row>
    <row r="3859" customFormat="false" ht="15" hidden="false" customHeight="false" outlineLevel="0" collapsed="false">
      <c r="A3859" s="22"/>
      <c r="B3859" s="22"/>
      <c r="C3859" s="23" t="str">
        <f aca="false">IF(A3859="","",IFERROR(buscarx(A3859&amp;B3859,DATA!$E$3:$E$10000&amp;DATA!$B$3:$B$10000,DATA!$M$3:$M$10000),"No encontrado"))</f>
        <v/>
      </c>
      <c r="D3859" s="24" t="str">
        <f aca="false">IF(A3859="","",IFERROR(buscarx(A3859&amp;B3859,DATA!$E$3:$E$10000&amp;DATA!$B$3:$B$10000,DATA!$W$3:$W$10000),"No encontrado"))</f>
        <v/>
      </c>
      <c r="E3859" s="22"/>
      <c r="F3859" s="23" t="str">
        <f aca="false">IF(A3859="","",IFERROR(buscarx(A3859&amp;E3859,DATA!$E$3:$E$10000&amp;DATA!$B$3:$B$10000,DATA!$M$3:$M$10000),"Inactivo"))</f>
        <v/>
      </c>
      <c r="G3859" s="25" t="str">
        <f aca="false">IF(A3859="","",IF(AND(C3859&lt;&gt;"No encontrado",F3859&lt;&gt;"Inactivo"),C3859&amp;" → "&amp;F3859,"Sin transición"))</f>
        <v/>
      </c>
      <c r="H3859" s="23" t="str">
        <f aca="false">IF(A3859="","",IF(D3859="GCIA LINEA SERVICIO DIGITALIDAD Y VENTAS","Chats",IF(OR(D3859="GERENCIA INBOUND LÍNEAS SERVICIO Y VENTA",D3859="GERENCIA INBOUND LINEAS ESPECIALIZADAS"),"Llamadas","Otro")))</f>
        <v/>
      </c>
      <c r="I3859" s="23" t="str">
        <f aca="false">IF(A3859="","",IF(C3859="No encontrado","No","Sí"))</f>
        <v/>
      </c>
      <c r="J3859" s="23" t="str">
        <f aca="false">IF(A3859="","",IF(F3859="Inactivo","No","Sí"))</f>
        <v/>
      </c>
      <c r="K3859" s="23" t="str">
        <f aca="false">IF(A3859="","",IF(AND(I3859="Sí",J3859="Sí"),"Sí","No"))</f>
        <v/>
      </c>
    </row>
    <row r="3860" customFormat="false" ht="15" hidden="false" customHeight="false" outlineLevel="0" collapsed="false">
      <c r="A3860" s="22"/>
      <c r="B3860" s="22"/>
      <c r="C3860" s="26" t="str">
        <f aca="false">IF(A3860="","",IFERROR(buscarx(A3860&amp;B3860,DATA!$E$3:$E$10000&amp;DATA!$B$3:$B$10000,DATA!$M$3:$M$10000),"No encontrado"))</f>
        <v/>
      </c>
      <c r="D3860" s="27" t="str">
        <f aca="false">IF(A3860="","",IFERROR(buscarx(A3860&amp;B3860,DATA!$E$3:$E$10000&amp;DATA!$B$3:$B$10000,DATA!$W$3:$W$10000),"No encontrado"))</f>
        <v/>
      </c>
      <c r="E3860" s="22"/>
      <c r="F3860" s="26" t="str">
        <f aca="false">IF(A3860="","",IFERROR(buscarx(A3860&amp;E3860,DATA!$E$3:$E$10000&amp;DATA!$B$3:$B$10000,DATA!$M$3:$M$10000),"Inactivo"))</f>
        <v/>
      </c>
      <c r="G3860" s="28" t="str">
        <f aca="false">IF(A3860="","",IF(AND(C3860&lt;&gt;"No encontrado",F3860&lt;&gt;"Inactivo"),C3860&amp;" → "&amp;F3860,"Sin transición"))</f>
        <v/>
      </c>
      <c r="H3860" s="26" t="str">
        <f aca="false">IF(A3860="","",IF(D3860="GCIA LINEA SERVICIO DIGITALIDAD Y VENTAS","Chats",IF(OR(D3860="GERENCIA INBOUND LÍNEAS SERVICIO Y VENTA",D3860="GERENCIA INBOUND LINEAS ESPECIALIZADAS"),"Llamadas","Otro")))</f>
        <v/>
      </c>
      <c r="I3860" s="26" t="str">
        <f aca="false">IF(A3860="","",IF(C3860="No encontrado","No","Sí"))</f>
        <v/>
      </c>
      <c r="J3860" s="26" t="str">
        <f aca="false">IF(A3860="","",IF(F3860="Inactivo","No","Sí"))</f>
        <v/>
      </c>
      <c r="K3860" s="26" t="str">
        <f aca="false">IF(A3860="","",IF(AND(I3860="Sí",J3860="Sí"),"Sí","No"))</f>
        <v/>
      </c>
    </row>
    <row r="3861" customFormat="false" ht="15" hidden="false" customHeight="false" outlineLevel="0" collapsed="false">
      <c r="A3861" s="22"/>
      <c r="B3861" s="22"/>
      <c r="C3861" s="23" t="str">
        <f aca="false">IF(A3861="","",IFERROR(buscarx(A3861&amp;B3861,DATA!$E$3:$E$10000&amp;DATA!$B$3:$B$10000,DATA!$M$3:$M$10000),"No encontrado"))</f>
        <v/>
      </c>
      <c r="D3861" s="24" t="str">
        <f aca="false">IF(A3861="","",IFERROR(buscarx(A3861&amp;B3861,DATA!$E$3:$E$10000&amp;DATA!$B$3:$B$10000,DATA!$W$3:$W$10000),"No encontrado"))</f>
        <v/>
      </c>
      <c r="E3861" s="22"/>
      <c r="F3861" s="23" t="str">
        <f aca="false">IF(A3861="","",IFERROR(buscarx(A3861&amp;E3861,DATA!$E$3:$E$10000&amp;DATA!$B$3:$B$10000,DATA!$M$3:$M$10000),"Inactivo"))</f>
        <v/>
      </c>
      <c r="G3861" s="25" t="str">
        <f aca="false">IF(A3861="","",IF(AND(C3861&lt;&gt;"No encontrado",F3861&lt;&gt;"Inactivo"),C3861&amp;" → "&amp;F3861,"Sin transición"))</f>
        <v/>
      </c>
      <c r="H3861" s="23" t="str">
        <f aca="false">IF(A3861="","",IF(D3861="GCIA LINEA SERVICIO DIGITALIDAD Y VENTAS","Chats",IF(OR(D3861="GERENCIA INBOUND LÍNEAS SERVICIO Y VENTA",D3861="GERENCIA INBOUND LINEAS ESPECIALIZADAS"),"Llamadas","Otro")))</f>
        <v/>
      </c>
      <c r="I3861" s="23" t="str">
        <f aca="false">IF(A3861="","",IF(C3861="No encontrado","No","Sí"))</f>
        <v/>
      </c>
      <c r="J3861" s="23" t="str">
        <f aca="false">IF(A3861="","",IF(F3861="Inactivo","No","Sí"))</f>
        <v/>
      </c>
      <c r="K3861" s="23" t="str">
        <f aca="false">IF(A3861="","",IF(AND(I3861="Sí",J3861="Sí"),"Sí","No"))</f>
        <v/>
      </c>
    </row>
    <row r="3862" customFormat="false" ht="15" hidden="false" customHeight="false" outlineLevel="0" collapsed="false">
      <c r="A3862" s="22"/>
      <c r="B3862" s="22"/>
      <c r="C3862" s="26" t="str">
        <f aca="false">IF(A3862="","",IFERROR(buscarx(A3862&amp;B3862,DATA!$E$3:$E$10000&amp;DATA!$B$3:$B$10000,DATA!$M$3:$M$10000),"No encontrado"))</f>
        <v/>
      </c>
      <c r="D3862" s="27" t="str">
        <f aca="false">IF(A3862="","",IFERROR(buscarx(A3862&amp;B3862,DATA!$E$3:$E$10000&amp;DATA!$B$3:$B$10000,DATA!$W$3:$W$10000),"No encontrado"))</f>
        <v/>
      </c>
      <c r="E3862" s="22"/>
      <c r="F3862" s="26" t="str">
        <f aca="false">IF(A3862="","",IFERROR(buscarx(A3862&amp;E3862,DATA!$E$3:$E$10000&amp;DATA!$B$3:$B$10000,DATA!$M$3:$M$10000),"Inactivo"))</f>
        <v/>
      </c>
      <c r="G3862" s="28" t="str">
        <f aca="false">IF(A3862="","",IF(AND(C3862&lt;&gt;"No encontrado",F3862&lt;&gt;"Inactivo"),C3862&amp;" → "&amp;F3862,"Sin transición"))</f>
        <v/>
      </c>
      <c r="H3862" s="26" t="str">
        <f aca="false">IF(A3862="","",IF(D3862="GCIA LINEA SERVICIO DIGITALIDAD Y VENTAS","Chats",IF(OR(D3862="GERENCIA INBOUND LÍNEAS SERVICIO Y VENTA",D3862="GERENCIA INBOUND LINEAS ESPECIALIZADAS"),"Llamadas","Otro")))</f>
        <v/>
      </c>
      <c r="I3862" s="26" t="str">
        <f aca="false">IF(A3862="","",IF(C3862="No encontrado","No","Sí"))</f>
        <v/>
      </c>
      <c r="J3862" s="26" t="str">
        <f aca="false">IF(A3862="","",IF(F3862="Inactivo","No","Sí"))</f>
        <v/>
      </c>
      <c r="K3862" s="26" t="str">
        <f aca="false">IF(A3862="","",IF(AND(I3862="Sí",J3862="Sí"),"Sí","No"))</f>
        <v/>
      </c>
    </row>
    <row r="3863" customFormat="false" ht="15" hidden="false" customHeight="false" outlineLevel="0" collapsed="false">
      <c r="A3863" s="22"/>
      <c r="B3863" s="22"/>
      <c r="C3863" s="23" t="str">
        <f aca="false">IF(A3863="","",IFERROR(buscarx(A3863&amp;B3863,DATA!$E$3:$E$10000&amp;DATA!$B$3:$B$10000,DATA!$M$3:$M$10000),"No encontrado"))</f>
        <v/>
      </c>
      <c r="D3863" s="24" t="str">
        <f aca="false">IF(A3863="","",IFERROR(buscarx(A3863&amp;B3863,DATA!$E$3:$E$10000&amp;DATA!$B$3:$B$10000,DATA!$W$3:$W$10000),"No encontrado"))</f>
        <v/>
      </c>
      <c r="E3863" s="22"/>
      <c r="F3863" s="23" t="str">
        <f aca="false">IF(A3863="","",IFERROR(buscarx(A3863&amp;E3863,DATA!$E$3:$E$10000&amp;DATA!$B$3:$B$10000,DATA!$M$3:$M$10000),"Inactivo"))</f>
        <v/>
      </c>
      <c r="G3863" s="25" t="str">
        <f aca="false">IF(A3863="","",IF(AND(C3863&lt;&gt;"No encontrado",F3863&lt;&gt;"Inactivo"),C3863&amp;" → "&amp;F3863,"Sin transición"))</f>
        <v/>
      </c>
      <c r="H3863" s="23" t="str">
        <f aca="false">IF(A3863="","",IF(D3863="GCIA LINEA SERVICIO DIGITALIDAD Y VENTAS","Chats",IF(OR(D3863="GERENCIA INBOUND LÍNEAS SERVICIO Y VENTA",D3863="GERENCIA INBOUND LINEAS ESPECIALIZADAS"),"Llamadas","Otro")))</f>
        <v/>
      </c>
      <c r="I3863" s="23" t="str">
        <f aca="false">IF(A3863="","",IF(C3863="No encontrado","No","Sí"))</f>
        <v/>
      </c>
      <c r="J3863" s="23" t="str">
        <f aca="false">IF(A3863="","",IF(F3863="Inactivo","No","Sí"))</f>
        <v/>
      </c>
      <c r="K3863" s="23" t="str">
        <f aca="false">IF(A3863="","",IF(AND(I3863="Sí",J3863="Sí"),"Sí","No"))</f>
        <v/>
      </c>
    </row>
    <row r="3864" customFormat="false" ht="15" hidden="false" customHeight="false" outlineLevel="0" collapsed="false">
      <c r="A3864" s="22"/>
      <c r="B3864" s="22"/>
      <c r="C3864" s="26" t="str">
        <f aca="false">IF(A3864="","",IFERROR(buscarx(A3864&amp;B3864,DATA!$E$3:$E$10000&amp;DATA!$B$3:$B$10000,DATA!$M$3:$M$10000),"No encontrado"))</f>
        <v/>
      </c>
      <c r="D3864" s="27" t="str">
        <f aca="false">IF(A3864="","",IFERROR(buscarx(A3864&amp;B3864,DATA!$E$3:$E$10000&amp;DATA!$B$3:$B$10000,DATA!$W$3:$W$10000),"No encontrado"))</f>
        <v/>
      </c>
      <c r="E3864" s="22"/>
      <c r="F3864" s="26" t="str">
        <f aca="false">IF(A3864="","",IFERROR(buscarx(A3864&amp;E3864,DATA!$E$3:$E$10000&amp;DATA!$B$3:$B$10000,DATA!$M$3:$M$10000),"Inactivo"))</f>
        <v/>
      </c>
      <c r="G3864" s="28" t="str">
        <f aca="false">IF(A3864="","",IF(AND(C3864&lt;&gt;"No encontrado",F3864&lt;&gt;"Inactivo"),C3864&amp;" → "&amp;F3864,"Sin transición"))</f>
        <v/>
      </c>
      <c r="H3864" s="26" t="str">
        <f aca="false">IF(A3864="","",IF(D3864="GCIA LINEA SERVICIO DIGITALIDAD Y VENTAS","Chats",IF(OR(D3864="GERENCIA INBOUND LÍNEAS SERVICIO Y VENTA",D3864="GERENCIA INBOUND LINEAS ESPECIALIZADAS"),"Llamadas","Otro")))</f>
        <v/>
      </c>
      <c r="I3864" s="26" t="str">
        <f aca="false">IF(A3864="","",IF(C3864="No encontrado","No","Sí"))</f>
        <v/>
      </c>
      <c r="J3864" s="26" t="str">
        <f aca="false">IF(A3864="","",IF(F3864="Inactivo","No","Sí"))</f>
        <v/>
      </c>
      <c r="K3864" s="26" t="str">
        <f aca="false">IF(A3864="","",IF(AND(I3864="Sí",J3864="Sí"),"Sí","No"))</f>
        <v/>
      </c>
    </row>
    <row r="3865" customFormat="false" ht="15" hidden="false" customHeight="false" outlineLevel="0" collapsed="false">
      <c r="A3865" s="22"/>
      <c r="B3865" s="22"/>
      <c r="C3865" s="23" t="str">
        <f aca="false">IF(A3865="","",IFERROR(buscarx(A3865&amp;B3865,DATA!$E$3:$E$10000&amp;DATA!$B$3:$B$10000,DATA!$M$3:$M$10000),"No encontrado"))</f>
        <v/>
      </c>
      <c r="D3865" s="24" t="str">
        <f aca="false">IF(A3865="","",IFERROR(buscarx(A3865&amp;B3865,DATA!$E$3:$E$10000&amp;DATA!$B$3:$B$10000,DATA!$W$3:$W$10000),"No encontrado"))</f>
        <v/>
      </c>
      <c r="E3865" s="22"/>
      <c r="F3865" s="23" t="str">
        <f aca="false">IF(A3865="","",IFERROR(buscarx(A3865&amp;E3865,DATA!$E$3:$E$10000&amp;DATA!$B$3:$B$10000,DATA!$M$3:$M$10000),"Inactivo"))</f>
        <v/>
      </c>
      <c r="G3865" s="25" t="str">
        <f aca="false">IF(A3865="","",IF(AND(C3865&lt;&gt;"No encontrado",F3865&lt;&gt;"Inactivo"),C3865&amp;" → "&amp;F3865,"Sin transición"))</f>
        <v/>
      </c>
      <c r="H3865" s="23" t="str">
        <f aca="false">IF(A3865="","",IF(D3865="GCIA LINEA SERVICIO DIGITALIDAD Y VENTAS","Chats",IF(OR(D3865="GERENCIA INBOUND LÍNEAS SERVICIO Y VENTA",D3865="GERENCIA INBOUND LINEAS ESPECIALIZADAS"),"Llamadas","Otro")))</f>
        <v/>
      </c>
      <c r="I3865" s="23" t="str">
        <f aca="false">IF(A3865="","",IF(C3865="No encontrado","No","Sí"))</f>
        <v/>
      </c>
      <c r="J3865" s="23" t="str">
        <f aca="false">IF(A3865="","",IF(F3865="Inactivo","No","Sí"))</f>
        <v/>
      </c>
      <c r="K3865" s="23" t="str">
        <f aca="false">IF(A3865="","",IF(AND(I3865="Sí",J3865="Sí"),"Sí","No"))</f>
        <v/>
      </c>
    </row>
    <row r="3866" customFormat="false" ht="15" hidden="false" customHeight="false" outlineLevel="0" collapsed="false">
      <c r="A3866" s="22"/>
      <c r="B3866" s="22"/>
      <c r="C3866" s="26" t="str">
        <f aca="false">IF(A3866="","",IFERROR(buscarx(A3866&amp;B3866,DATA!$E$3:$E$10000&amp;DATA!$B$3:$B$10000,DATA!$M$3:$M$10000),"No encontrado"))</f>
        <v/>
      </c>
      <c r="D3866" s="27" t="str">
        <f aca="false">IF(A3866="","",IFERROR(buscarx(A3866&amp;B3866,DATA!$E$3:$E$10000&amp;DATA!$B$3:$B$10000,DATA!$W$3:$W$10000),"No encontrado"))</f>
        <v/>
      </c>
      <c r="E3866" s="22"/>
      <c r="F3866" s="26" t="str">
        <f aca="false">IF(A3866="","",IFERROR(buscarx(A3866&amp;E3866,DATA!$E$3:$E$10000&amp;DATA!$B$3:$B$10000,DATA!$M$3:$M$10000),"Inactivo"))</f>
        <v/>
      </c>
      <c r="G3866" s="28" t="str">
        <f aca="false">IF(A3866="","",IF(AND(C3866&lt;&gt;"No encontrado",F3866&lt;&gt;"Inactivo"),C3866&amp;" → "&amp;F3866,"Sin transición"))</f>
        <v/>
      </c>
      <c r="H3866" s="26" t="str">
        <f aca="false">IF(A3866="","",IF(D3866="GCIA LINEA SERVICIO DIGITALIDAD Y VENTAS","Chats",IF(OR(D3866="GERENCIA INBOUND LÍNEAS SERVICIO Y VENTA",D3866="GERENCIA INBOUND LINEAS ESPECIALIZADAS"),"Llamadas","Otro")))</f>
        <v/>
      </c>
      <c r="I3866" s="26" t="str">
        <f aca="false">IF(A3866="","",IF(C3866="No encontrado","No","Sí"))</f>
        <v/>
      </c>
      <c r="J3866" s="26" t="str">
        <f aca="false">IF(A3866="","",IF(F3866="Inactivo","No","Sí"))</f>
        <v/>
      </c>
      <c r="K3866" s="26" t="str">
        <f aca="false">IF(A3866="","",IF(AND(I3866="Sí",J3866="Sí"),"Sí","No"))</f>
        <v/>
      </c>
    </row>
    <row r="3867" customFormat="false" ht="15" hidden="false" customHeight="false" outlineLevel="0" collapsed="false">
      <c r="A3867" s="22"/>
      <c r="B3867" s="22"/>
      <c r="C3867" s="23" t="str">
        <f aca="false">IF(A3867="","",IFERROR(buscarx(A3867&amp;B3867,DATA!$E$3:$E$10000&amp;DATA!$B$3:$B$10000,DATA!$M$3:$M$10000),"No encontrado"))</f>
        <v/>
      </c>
      <c r="D3867" s="24" t="str">
        <f aca="false">IF(A3867="","",IFERROR(buscarx(A3867&amp;B3867,DATA!$E$3:$E$10000&amp;DATA!$B$3:$B$10000,DATA!$W$3:$W$10000),"No encontrado"))</f>
        <v/>
      </c>
      <c r="E3867" s="22"/>
      <c r="F3867" s="23" t="str">
        <f aca="false">IF(A3867="","",IFERROR(buscarx(A3867&amp;E3867,DATA!$E$3:$E$10000&amp;DATA!$B$3:$B$10000,DATA!$M$3:$M$10000),"Inactivo"))</f>
        <v/>
      </c>
      <c r="G3867" s="25" t="str">
        <f aca="false">IF(A3867="","",IF(AND(C3867&lt;&gt;"No encontrado",F3867&lt;&gt;"Inactivo"),C3867&amp;" → "&amp;F3867,"Sin transición"))</f>
        <v/>
      </c>
      <c r="H3867" s="23" t="str">
        <f aca="false">IF(A3867="","",IF(D3867="GCIA LINEA SERVICIO DIGITALIDAD Y VENTAS","Chats",IF(OR(D3867="GERENCIA INBOUND LÍNEAS SERVICIO Y VENTA",D3867="GERENCIA INBOUND LINEAS ESPECIALIZADAS"),"Llamadas","Otro")))</f>
        <v/>
      </c>
      <c r="I3867" s="23" t="str">
        <f aca="false">IF(A3867="","",IF(C3867="No encontrado","No","Sí"))</f>
        <v/>
      </c>
      <c r="J3867" s="23" t="str">
        <f aca="false">IF(A3867="","",IF(F3867="Inactivo","No","Sí"))</f>
        <v/>
      </c>
      <c r="K3867" s="23" t="str">
        <f aca="false">IF(A3867="","",IF(AND(I3867="Sí",J3867="Sí"),"Sí","No"))</f>
        <v/>
      </c>
    </row>
    <row r="3868" customFormat="false" ht="15" hidden="false" customHeight="false" outlineLevel="0" collapsed="false">
      <c r="A3868" s="22"/>
      <c r="B3868" s="22"/>
      <c r="C3868" s="26" t="str">
        <f aca="false">IF(A3868="","",IFERROR(buscarx(A3868&amp;B3868,DATA!$E$3:$E$10000&amp;DATA!$B$3:$B$10000,DATA!$M$3:$M$10000),"No encontrado"))</f>
        <v/>
      </c>
      <c r="D3868" s="27" t="str">
        <f aca="false">IF(A3868="","",IFERROR(buscarx(A3868&amp;B3868,DATA!$E$3:$E$10000&amp;DATA!$B$3:$B$10000,DATA!$W$3:$W$10000),"No encontrado"))</f>
        <v/>
      </c>
      <c r="E3868" s="22"/>
      <c r="F3868" s="26" t="str">
        <f aca="false">IF(A3868="","",IFERROR(buscarx(A3868&amp;E3868,DATA!$E$3:$E$10000&amp;DATA!$B$3:$B$10000,DATA!$M$3:$M$10000),"Inactivo"))</f>
        <v/>
      </c>
      <c r="G3868" s="28" t="str">
        <f aca="false">IF(A3868="","",IF(AND(C3868&lt;&gt;"No encontrado",F3868&lt;&gt;"Inactivo"),C3868&amp;" → "&amp;F3868,"Sin transición"))</f>
        <v/>
      </c>
      <c r="H3868" s="26" t="str">
        <f aca="false">IF(A3868="","",IF(D3868="GCIA LINEA SERVICIO DIGITALIDAD Y VENTAS","Chats",IF(OR(D3868="GERENCIA INBOUND LÍNEAS SERVICIO Y VENTA",D3868="GERENCIA INBOUND LINEAS ESPECIALIZADAS"),"Llamadas","Otro")))</f>
        <v/>
      </c>
      <c r="I3868" s="26" t="str">
        <f aca="false">IF(A3868="","",IF(C3868="No encontrado","No","Sí"))</f>
        <v/>
      </c>
      <c r="J3868" s="26" t="str">
        <f aca="false">IF(A3868="","",IF(F3868="Inactivo","No","Sí"))</f>
        <v/>
      </c>
      <c r="K3868" s="26" t="str">
        <f aca="false">IF(A3868="","",IF(AND(I3868="Sí",J3868="Sí"),"Sí","No"))</f>
        <v/>
      </c>
    </row>
    <row r="3869" customFormat="false" ht="15" hidden="false" customHeight="false" outlineLevel="0" collapsed="false">
      <c r="A3869" s="22"/>
      <c r="B3869" s="22"/>
      <c r="C3869" s="23" t="str">
        <f aca="false">IF(A3869="","",IFERROR(buscarx(A3869&amp;B3869,DATA!$E$3:$E$10000&amp;DATA!$B$3:$B$10000,DATA!$M$3:$M$10000),"No encontrado"))</f>
        <v/>
      </c>
      <c r="D3869" s="24" t="str">
        <f aca="false">IF(A3869="","",IFERROR(buscarx(A3869&amp;B3869,DATA!$E$3:$E$10000&amp;DATA!$B$3:$B$10000,DATA!$W$3:$W$10000),"No encontrado"))</f>
        <v/>
      </c>
      <c r="E3869" s="22"/>
      <c r="F3869" s="23" t="str">
        <f aca="false">IF(A3869="","",IFERROR(buscarx(A3869&amp;E3869,DATA!$E$3:$E$10000&amp;DATA!$B$3:$B$10000,DATA!$M$3:$M$10000),"Inactivo"))</f>
        <v/>
      </c>
      <c r="G3869" s="25" t="str">
        <f aca="false">IF(A3869="","",IF(AND(C3869&lt;&gt;"No encontrado",F3869&lt;&gt;"Inactivo"),C3869&amp;" → "&amp;F3869,"Sin transición"))</f>
        <v/>
      </c>
      <c r="H3869" s="23" t="str">
        <f aca="false">IF(A3869="","",IF(D3869="GCIA LINEA SERVICIO DIGITALIDAD Y VENTAS","Chats",IF(OR(D3869="GERENCIA INBOUND LÍNEAS SERVICIO Y VENTA",D3869="GERENCIA INBOUND LINEAS ESPECIALIZADAS"),"Llamadas","Otro")))</f>
        <v/>
      </c>
      <c r="I3869" s="23" t="str">
        <f aca="false">IF(A3869="","",IF(C3869="No encontrado","No","Sí"))</f>
        <v/>
      </c>
      <c r="J3869" s="23" t="str">
        <f aca="false">IF(A3869="","",IF(F3869="Inactivo","No","Sí"))</f>
        <v/>
      </c>
      <c r="K3869" s="23" t="str">
        <f aca="false">IF(A3869="","",IF(AND(I3869="Sí",J3869="Sí"),"Sí","No"))</f>
        <v/>
      </c>
    </row>
    <row r="3870" customFormat="false" ht="15" hidden="false" customHeight="false" outlineLevel="0" collapsed="false">
      <c r="A3870" s="22"/>
      <c r="B3870" s="22"/>
      <c r="C3870" s="26" t="str">
        <f aca="false">IF(A3870="","",IFERROR(buscarx(A3870&amp;B3870,DATA!$E$3:$E$10000&amp;DATA!$B$3:$B$10000,DATA!$M$3:$M$10000),"No encontrado"))</f>
        <v/>
      </c>
      <c r="D3870" s="27" t="str">
        <f aca="false">IF(A3870="","",IFERROR(buscarx(A3870&amp;B3870,DATA!$E$3:$E$10000&amp;DATA!$B$3:$B$10000,DATA!$W$3:$W$10000),"No encontrado"))</f>
        <v/>
      </c>
      <c r="E3870" s="22"/>
      <c r="F3870" s="26" t="str">
        <f aca="false">IF(A3870="","",IFERROR(buscarx(A3870&amp;E3870,DATA!$E$3:$E$10000&amp;DATA!$B$3:$B$10000,DATA!$M$3:$M$10000),"Inactivo"))</f>
        <v/>
      </c>
      <c r="G3870" s="28" t="str">
        <f aca="false">IF(A3870="","",IF(AND(C3870&lt;&gt;"No encontrado",F3870&lt;&gt;"Inactivo"),C3870&amp;" → "&amp;F3870,"Sin transición"))</f>
        <v/>
      </c>
      <c r="H3870" s="26" t="str">
        <f aca="false">IF(A3870="","",IF(D3870="GCIA LINEA SERVICIO DIGITALIDAD Y VENTAS","Chats",IF(OR(D3870="GERENCIA INBOUND LÍNEAS SERVICIO Y VENTA",D3870="GERENCIA INBOUND LINEAS ESPECIALIZADAS"),"Llamadas","Otro")))</f>
        <v/>
      </c>
      <c r="I3870" s="26" t="str">
        <f aca="false">IF(A3870="","",IF(C3870="No encontrado","No","Sí"))</f>
        <v/>
      </c>
      <c r="J3870" s="26" t="str">
        <f aca="false">IF(A3870="","",IF(F3870="Inactivo","No","Sí"))</f>
        <v/>
      </c>
      <c r="K3870" s="26" t="str">
        <f aca="false">IF(A3870="","",IF(AND(I3870="Sí",J3870="Sí"),"Sí","No"))</f>
        <v/>
      </c>
    </row>
    <row r="3871" customFormat="false" ht="15" hidden="false" customHeight="false" outlineLevel="0" collapsed="false">
      <c r="A3871" s="22"/>
      <c r="B3871" s="22"/>
      <c r="C3871" s="23" t="str">
        <f aca="false">IF(A3871="","",IFERROR(buscarx(A3871&amp;B3871,DATA!$E$3:$E$10000&amp;DATA!$B$3:$B$10000,DATA!$M$3:$M$10000),"No encontrado"))</f>
        <v/>
      </c>
      <c r="D3871" s="24" t="str">
        <f aca="false">IF(A3871="","",IFERROR(buscarx(A3871&amp;B3871,DATA!$E$3:$E$10000&amp;DATA!$B$3:$B$10000,DATA!$W$3:$W$10000),"No encontrado"))</f>
        <v/>
      </c>
      <c r="E3871" s="22"/>
      <c r="F3871" s="23" t="str">
        <f aca="false">IF(A3871="","",IFERROR(buscarx(A3871&amp;E3871,DATA!$E$3:$E$10000&amp;DATA!$B$3:$B$10000,DATA!$M$3:$M$10000),"Inactivo"))</f>
        <v/>
      </c>
      <c r="G3871" s="25" t="str">
        <f aca="false">IF(A3871="","",IF(AND(C3871&lt;&gt;"No encontrado",F3871&lt;&gt;"Inactivo"),C3871&amp;" → "&amp;F3871,"Sin transición"))</f>
        <v/>
      </c>
      <c r="H3871" s="23" t="str">
        <f aca="false">IF(A3871="","",IF(D3871="GCIA LINEA SERVICIO DIGITALIDAD Y VENTAS","Chats",IF(OR(D3871="GERENCIA INBOUND LÍNEAS SERVICIO Y VENTA",D3871="GERENCIA INBOUND LINEAS ESPECIALIZADAS"),"Llamadas","Otro")))</f>
        <v/>
      </c>
      <c r="I3871" s="23" t="str">
        <f aca="false">IF(A3871="","",IF(C3871="No encontrado","No","Sí"))</f>
        <v/>
      </c>
      <c r="J3871" s="23" t="str">
        <f aca="false">IF(A3871="","",IF(F3871="Inactivo","No","Sí"))</f>
        <v/>
      </c>
      <c r="K3871" s="23" t="str">
        <f aca="false">IF(A3871="","",IF(AND(I3871="Sí",J3871="Sí"),"Sí","No"))</f>
        <v/>
      </c>
    </row>
    <row r="3872" customFormat="false" ht="15" hidden="false" customHeight="false" outlineLevel="0" collapsed="false">
      <c r="A3872" s="22"/>
      <c r="B3872" s="22"/>
      <c r="C3872" s="26" t="str">
        <f aca="false">IF(A3872="","",IFERROR(buscarx(A3872&amp;B3872,DATA!$E$3:$E$10000&amp;DATA!$B$3:$B$10000,DATA!$M$3:$M$10000),"No encontrado"))</f>
        <v/>
      </c>
      <c r="D3872" s="27" t="str">
        <f aca="false">IF(A3872="","",IFERROR(buscarx(A3872&amp;B3872,DATA!$E$3:$E$10000&amp;DATA!$B$3:$B$10000,DATA!$W$3:$W$10000),"No encontrado"))</f>
        <v/>
      </c>
      <c r="E3872" s="22"/>
      <c r="F3872" s="26" t="str">
        <f aca="false">IF(A3872="","",IFERROR(buscarx(A3872&amp;E3872,DATA!$E$3:$E$10000&amp;DATA!$B$3:$B$10000,DATA!$M$3:$M$10000),"Inactivo"))</f>
        <v/>
      </c>
      <c r="G3872" s="28" t="str">
        <f aca="false">IF(A3872="","",IF(AND(C3872&lt;&gt;"No encontrado",F3872&lt;&gt;"Inactivo"),C3872&amp;" → "&amp;F3872,"Sin transición"))</f>
        <v/>
      </c>
      <c r="H3872" s="26" t="str">
        <f aca="false">IF(A3872="","",IF(D3872="GCIA LINEA SERVICIO DIGITALIDAD Y VENTAS","Chats",IF(OR(D3872="GERENCIA INBOUND LÍNEAS SERVICIO Y VENTA",D3872="GERENCIA INBOUND LINEAS ESPECIALIZADAS"),"Llamadas","Otro")))</f>
        <v/>
      </c>
      <c r="I3872" s="26" t="str">
        <f aca="false">IF(A3872="","",IF(C3872="No encontrado","No","Sí"))</f>
        <v/>
      </c>
      <c r="J3872" s="26" t="str">
        <f aca="false">IF(A3872="","",IF(F3872="Inactivo","No","Sí"))</f>
        <v/>
      </c>
      <c r="K3872" s="26" t="str">
        <f aca="false">IF(A3872="","",IF(AND(I3872="Sí",J3872="Sí"),"Sí","No"))</f>
        <v/>
      </c>
    </row>
    <row r="3873" customFormat="false" ht="15" hidden="false" customHeight="false" outlineLevel="0" collapsed="false">
      <c r="A3873" s="22"/>
      <c r="B3873" s="22"/>
      <c r="C3873" s="23" t="str">
        <f aca="false">IF(A3873="","",IFERROR(buscarx(A3873&amp;B3873,DATA!$E$3:$E$10000&amp;DATA!$B$3:$B$10000,DATA!$M$3:$M$10000),"No encontrado"))</f>
        <v/>
      </c>
      <c r="D3873" s="24" t="str">
        <f aca="false">IF(A3873="","",IFERROR(buscarx(A3873&amp;B3873,DATA!$E$3:$E$10000&amp;DATA!$B$3:$B$10000,DATA!$W$3:$W$10000),"No encontrado"))</f>
        <v/>
      </c>
      <c r="E3873" s="22"/>
      <c r="F3873" s="23" t="str">
        <f aca="false">IF(A3873="","",IFERROR(buscarx(A3873&amp;E3873,DATA!$E$3:$E$10000&amp;DATA!$B$3:$B$10000,DATA!$M$3:$M$10000),"Inactivo"))</f>
        <v/>
      </c>
      <c r="G3873" s="25" t="str">
        <f aca="false">IF(A3873="","",IF(AND(C3873&lt;&gt;"No encontrado",F3873&lt;&gt;"Inactivo"),C3873&amp;" → "&amp;F3873,"Sin transición"))</f>
        <v/>
      </c>
      <c r="H3873" s="23" t="str">
        <f aca="false">IF(A3873="","",IF(D3873="GCIA LINEA SERVICIO DIGITALIDAD Y VENTAS","Chats",IF(OR(D3873="GERENCIA INBOUND LÍNEAS SERVICIO Y VENTA",D3873="GERENCIA INBOUND LINEAS ESPECIALIZADAS"),"Llamadas","Otro")))</f>
        <v/>
      </c>
      <c r="I3873" s="23" t="str">
        <f aca="false">IF(A3873="","",IF(C3873="No encontrado","No","Sí"))</f>
        <v/>
      </c>
      <c r="J3873" s="23" t="str">
        <f aca="false">IF(A3873="","",IF(F3873="Inactivo","No","Sí"))</f>
        <v/>
      </c>
      <c r="K3873" s="23" t="str">
        <f aca="false">IF(A3873="","",IF(AND(I3873="Sí",J3873="Sí"),"Sí","No"))</f>
        <v/>
      </c>
    </row>
    <row r="3874" customFormat="false" ht="15" hidden="false" customHeight="false" outlineLevel="0" collapsed="false">
      <c r="A3874" s="22"/>
      <c r="B3874" s="22"/>
      <c r="C3874" s="26" t="str">
        <f aca="false">IF(A3874="","",IFERROR(buscarx(A3874&amp;B3874,DATA!$E$3:$E$10000&amp;DATA!$B$3:$B$10000,DATA!$M$3:$M$10000),"No encontrado"))</f>
        <v/>
      </c>
      <c r="D3874" s="27" t="str">
        <f aca="false">IF(A3874="","",IFERROR(buscarx(A3874&amp;B3874,DATA!$E$3:$E$10000&amp;DATA!$B$3:$B$10000,DATA!$W$3:$W$10000),"No encontrado"))</f>
        <v/>
      </c>
      <c r="E3874" s="22"/>
      <c r="F3874" s="26" t="str">
        <f aca="false">IF(A3874="","",IFERROR(buscarx(A3874&amp;E3874,DATA!$E$3:$E$10000&amp;DATA!$B$3:$B$10000,DATA!$M$3:$M$10000),"Inactivo"))</f>
        <v/>
      </c>
      <c r="G3874" s="28" t="str">
        <f aca="false">IF(A3874="","",IF(AND(C3874&lt;&gt;"No encontrado",F3874&lt;&gt;"Inactivo"),C3874&amp;" → "&amp;F3874,"Sin transición"))</f>
        <v/>
      </c>
      <c r="H3874" s="26" t="str">
        <f aca="false">IF(A3874="","",IF(D3874="GCIA LINEA SERVICIO DIGITALIDAD Y VENTAS","Chats",IF(OR(D3874="GERENCIA INBOUND LÍNEAS SERVICIO Y VENTA",D3874="GERENCIA INBOUND LINEAS ESPECIALIZADAS"),"Llamadas","Otro")))</f>
        <v/>
      </c>
      <c r="I3874" s="26" t="str">
        <f aca="false">IF(A3874="","",IF(C3874="No encontrado","No","Sí"))</f>
        <v/>
      </c>
      <c r="J3874" s="26" t="str">
        <f aca="false">IF(A3874="","",IF(F3874="Inactivo","No","Sí"))</f>
        <v/>
      </c>
      <c r="K3874" s="26" t="str">
        <f aca="false">IF(A3874="","",IF(AND(I3874="Sí",J3874="Sí"),"Sí","No"))</f>
        <v/>
      </c>
    </row>
    <row r="3875" customFormat="false" ht="15" hidden="false" customHeight="false" outlineLevel="0" collapsed="false">
      <c r="A3875" s="22"/>
      <c r="B3875" s="22"/>
      <c r="C3875" s="23" t="str">
        <f aca="false">IF(A3875="","",IFERROR(buscarx(A3875&amp;B3875,DATA!$E$3:$E$10000&amp;DATA!$B$3:$B$10000,DATA!$M$3:$M$10000),"No encontrado"))</f>
        <v/>
      </c>
      <c r="D3875" s="24" t="str">
        <f aca="false">IF(A3875="","",IFERROR(buscarx(A3875&amp;B3875,DATA!$E$3:$E$10000&amp;DATA!$B$3:$B$10000,DATA!$W$3:$W$10000),"No encontrado"))</f>
        <v/>
      </c>
      <c r="E3875" s="22"/>
      <c r="F3875" s="23" t="str">
        <f aca="false">IF(A3875="","",IFERROR(buscarx(A3875&amp;E3875,DATA!$E$3:$E$10000&amp;DATA!$B$3:$B$10000,DATA!$M$3:$M$10000),"Inactivo"))</f>
        <v/>
      </c>
      <c r="G3875" s="25" t="str">
        <f aca="false">IF(A3875="","",IF(AND(C3875&lt;&gt;"No encontrado",F3875&lt;&gt;"Inactivo"),C3875&amp;" → "&amp;F3875,"Sin transición"))</f>
        <v/>
      </c>
      <c r="H3875" s="23" t="str">
        <f aca="false">IF(A3875="","",IF(D3875="GCIA LINEA SERVICIO DIGITALIDAD Y VENTAS","Chats",IF(OR(D3875="GERENCIA INBOUND LÍNEAS SERVICIO Y VENTA",D3875="GERENCIA INBOUND LINEAS ESPECIALIZADAS"),"Llamadas","Otro")))</f>
        <v/>
      </c>
      <c r="I3875" s="23" t="str">
        <f aca="false">IF(A3875="","",IF(C3875="No encontrado","No","Sí"))</f>
        <v/>
      </c>
      <c r="J3875" s="23" t="str">
        <f aca="false">IF(A3875="","",IF(F3875="Inactivo","No","Sí"))</f>
        <v/>
      </c>
      <c r="K3875" s="23" t="str">
        <f aca="false">IF(A3875="","",IF(AND(I3875="Sí",J3875="Sí"),"Sí","No"))</f>
        <v/>
      </c>
    </row>
    <row r="3876" customFormat="false" ht="15" hidden="false" customHeight="false" outlineLevel="0" collapsed="false">
      <c r="A3876" s="22"/>
      <c r="B3876" s="22"/>
      <c r="C3876" s="26" t="str">
        <f aca="false">IF(A3876="","",IFERROR(buscarx(A3876&amp;B3876,DATA!$E$3:$E$10000&amp;DATA!$B$3:$B$10000,DATA!$M$3:$M$10000),"No encontrado"))</f>
        <v/>
      </c>
      <c r="D3876" s="27" t="str">
        <f aca="false">IF(A3876="","",IFERROR(buscarx(A3876&amp;B3876,DATA!$E$3:$E$10000&amp;DATA!$B$3:$B$10000,DATA!$W$3:$W$10000),"No encontrado"))</f>
        <v/>
      </c>
      <c r="E3876" s="22"/>
      <c r="F3876" s="26" t="str">
        <f aca="false">IF(A3876="","",IFERROR(buscarx(A3876&amp;E3876,DATA!$E$3:$E$10000&amp;DATA!$B$3:$B$10000,DATA!$M$3:$M$10000),"Inactivo"))</f>
        <v/>
      </c>
      <c r="G3876" s="28" t="str">
        <f aca="false">IF(A3876="","",IF(AND(C3876&lt;&gt;"No encontrado",F3876&lt;&gt;"Inactivo"),C3876&amp;" → "&amp;F3876,"Sin transición"))</f>
        <v/>
      </c>
      <c r="H3876" s="26" t="str">
        <f aca="false">IF(A3876="","",IF(D3876="GCIA LINEA SERVICIO DIGITALIDAD Y VENTAS","Chats",IF(OR(D3876="GERENCIA INBOUND LÍNEAS SERVICIO Y VENTA",D3876="GERENCIA INBOUND LINEAS ESPECIALIZADAS"),"Llamadas","Otro")))</f>
        <v/>
      </c>
      <c r="I3876" s="26" t="str">
        <f aca="false">IF(A3876="","",IF(C3876="No encontrado","No","Sí"))</f>
        <v/>
      </c>
      <c r="J3876" s="26" t="str">
        <f aca="false">IF(A3876="","",IF(F3876="Inactivo","No","Sí"))</f>
        <v/>
      </c>
      <c r="K3876" s="26" t="str">
        <f aca="false">IF(A3876="","",IF(AND(I3876="Sí",J3876="Sí"),"Sí","No"))</f>
        <v/>
      </c>
    </row>
    <row r="3877" customFormat="false" ht="15" hidden="false" customHeight="false" outlineLevel="0" collapsed="false">
      <c r="A3877" s="22"/>
      <c r="B3877" s="22"/>
      <c r="C3877" s="23" t="str">
        <f aca="false">IF(A3877="","",IFERROR(buscarx(A3877&amp;B3877,DATA!$E$3:$E$10000&amp;DATA!$B$3:$B$10000,DATA!$M$3:$M$10000),"No encontrado"))</f>
        <v/>
      </c>
      <c r="D3877" s="24" t="str">
        <f aca="false">IF(A3877="","",IFERROR(buscarx(A3877&amp;B3877,DATA!$E$3:$E$10000&amp;DATA!$B$3:$B$10000,DATA!$W$3:$W$10000),"No encontrado"))</f>
        <v/>
      </c>
      <c r="E3877" s="22"/>
      <c r="F3877" s="23" t="str">
        <f aca="false">IF(A3877="","",IFERROR(buscarx(A3877&amp;E3877,DATA!$E$3:$E$10000&amp;DATA!$B$3:$B$10000,DATA!$M$3:$M$10000),"Inactivo"))</f>
        <v/>
      </c>
      <c r="G3877" s="25" t="str">
        <f aca="false">IF(A3877="","",IF(AND(C3877&lt;&gt;"No encontrado",F3877&lt;&gt;"Inactivo"),C3877&amp;" → "&amp;F3877,"Sin transición"))</f>
        <v/>
      </c>
      <c r="H3877" s="23" t="str">
        <f aca="false">IF(A3877="","",IF(D3877="GCIA LINEA SERVICIO DIGITALIDAD Y VENTAS","Chats",IF(OR(D3877="GERENCIA INBOUND LÍNEAS SERVICIO Y VENTA",D3877="GERENCIA INBOUND LINEAS ESPECIALIZADAS"),"Llamadas","Otro")))</f>
        <v/>
      </c>
      <c r="I3877" s="23" t="str">
        <f aca="false">IF(A3877="","",IF(C3877="No encontrado","No","Sí"))</f>
        <v/>
      </c>
      <c r="J3877" s="23" t="str">
        <f aca="false">IF(A3877="","",IF(F3877="Inactivo","No","Sí"))</f>
        <v/>
      </c>
      <c r="K3877" s="23" t="str">
        <f aca="false">IF(A3877="","",IF(AND(I3877="Sí",J3877="Sí"),"Sí","No"))</f>
        <v/>
      </c>
    </row>
    <row r="3878" customFormat="false" ht="15" hidden="false" customHeight="false" outlineLevel="0" collapsed="false">
      <c r="A3878" s="22"/>
      <c r="B3878" s="22"/>
      <c r="C3878" s="26" t="str">
        <f aca="false">IF(A3878="","",IFERROR(buscarx(A3878&amp;B3878,DATA!$E$3:$E$10000&amp;DATA!$B$3:$B$10000,DATA!$M$3:$M$10000),"No encontrado"))</f>
        <v/>
      </c>
      <c r="D3878" s="27" t="str">
        <f aca="false">IF(A3878="","",IFERROR(buscarx(A3878&amp;B3878,DATA!$E$3:$E$10000&amp;DATA!$B$3:$B$10000,DATA!$W$3:$W$10000),"No encontrado"))</f>
        <v/>
      </c>
      <c r="E3878" s="22"/>
      <c r="F3878" s="26" t="str">
        <f aca="false">IF(A3878="","",IFERROR(buscarx(A3878&amp;E3878,DATA!$E$3:$E$10000&amp;DATA!$B$3:$B$10000,DATA!$M$3:$M$10000),"Inactivo"))</f>
        <v/>
      </c>
      <c r="G3878" s="28" t="str">
        <f aca="false">IF(A3878="","",IF(AND(C3878&lt;&gt;"No encontrado",F3878&lt;&gt;"Inactivo"),C3878&amp;" → "&amp;F3878,"Sin transición"))</f>
        <v/>
      </c>
      <c r="H3878" s="26" t="str">
        <f aca="false">IF(A3878="","",IF(D3878="GCIA LINEA SERVICIO DIGITALIDAD Y VENTAS","Chats",IF(OR(D3878="GERENCIA INBOUND LÍNEAS SERVICIO Y VENTA",D3878="GERENCIA INBOUND LINEAS ESPECIALIZADAS"),"Llamadas","Otro")))</f>
        <v/>
      </c>
      <c r="I3878" s="26" t="str">
        <f aca="false">IF(A3878="","",IF(C3878="No encontrado","No","Sí"))</f>
        <v/>
      </c>
      <c r="J3878" s="26" t="str">
        <f aca="false">IF(A3878="","",IF(F3878="Inactivo","No","Sí"))</f>
        <v/>
      </c>
      <c r="K3878" s="26" t="str">
        <f aca="false">IF(A3878="","",IF(AND(I3878="Sí",J3878="Sí"),"Sí","No"))</f>
        <v/>
      </c>
    </row>
    <row r="3879" customFormat="false" ht="15" hidden="false" customHeight="false" outlineLevel="0" collapsed="false">
      <c r="A3879" s="22"/>
      <c r="B3879" s="22"/>
      <c r="C3879" s="23" t="str">
        <f aca="false">IF(A3879="","",IFERROR(buscarx(A3879&amp;B3879,DATA!$E$3:$E$10000&amp;DATA!$B$3:$B$10000,DATA!$M$3:$M$10000),"No encontrado"))</f>
        <v/>
      </c>
      <c r="D3879" s="24" t="str">
        <f aca="false">IF(A3879="","",IFERROR(buscarx(A3879&amp;B3879,DATA!$E$3:$E$10000&amp;DATA!$B$3:$B$10000,DATA!$W$3:$W$10000),"No encontrado"))</f>
        <v/>
      </c>
      <c r="E3879" s="22"/>
      <c r="F3879" s="23" t="str">
        <f aca="false">IF(A3879="","",IFERROR(buscarx(A3879&amp;E3879,DATA!$E$3:$E$10000&amp;DATA!$B$3:$B$10000,DATA!$M$3:$M$10000),"Inactivo"))</f>
        <v/>
      </c>
      <c r="G3879" s="25" t="str">
        <f aca="false">IF(A3879="","",IF(AND(C3879&lt;&gt;"No encontrado",F3879&lt;&gt;"Inactivo"),C3879&amp;" → "&amp;F3879,"Sin transición"))</f>
        <v/>
      </c>
      <c r="H3879" s="23" t="str">
        <f aca="false">IF(A3879="","",IF(D3879="GCIA LINEA SERVICIO DIGITALIDAD Y VENTAS","Chats",IF(OR(D3879="GERENCIA INBOUND LÍNEAS SERVICIO Y VENTA",D3879="GERENCIA INBOUND LINEAS ESPECIALIZADAS"),"Llamadas","Otro")))</f>
        <v/>
      </c>
      <c r="I3879" s="23" t="str">
        <f aca="false">IF(A3879="","",IF(C3879="No encontrado","No","Sí"))</f>
        <v/>
      </c>
      <c r="J3879" s="23" t="str">
        <f aca="false">IF(A3879="","",IF(F3879="Inactivo","No","Sí"))</f>
        <v/>
      </c>
      <c r="K3879" s="23" t="str">
        <f aca="false">IF(A3879="","",IF(AND(I3879="Sí",J3879="Sí"),"Sí","No"))</f>
        <v/>
      </c>
    </row>
    <row r="3880" customFormat="false" ht="15" hidden="false" customHeight="false" outlineLevel="0" collapsed="false">
      <c r="A3880" s="22"/>
      <c r="B3880" s="22"/>
      <c r="C3880" s="26" t="str">
        <f aca="false">IF(A3880="","",IFERROR(buscarx(A3880&amp;B3880,DATA!$E$3:$E$10000&amp;DATA!$B$3:$B$10000,DATA!$M$3:$M$10000),"No encontrado"))</f>
        <v/>
      </c>
      <c r="D3880" s="27" t="str">
        <f aca="false">IF(A3880="","",IFERROR(buscarx(A3880&amp;B3880,DATA!$E$3:$E$10000&amp;DATA!$B$3:$B$10000,DATA!$W$3:$W$10000),"No encontrado"))</f>
        <v/>
      </c>
      <c r="E3880" s="22"/>
      <c r="F3880" s="26" t="str">
        <f aca="false">IF(A3880="","",IFERROR(buscarx(A3880&amp;E3880,DATA!$E$3:$E$10000&amp;DATA!$B$3:$B$10000,DATA!$M$3:$M$10000),"Inactivo"))</f>
        <v/>
      </c>
      <c r="G3880" s="28" t="str">
        <f aca="false">IF(A3880="","",IF(AND(C3880&lt;&gt;"No encontrado",F3880&lt;&gt;"Inactivo"),C3880&amp;" → "&amp;F3880,"Sin transición"))</f>
        <v/>
      </c>
      <c r="H3880" s="26" t="str">
        <f aca="false">IF(A3880="","",IF(D3880="GCIA LINEA SERVICIO DIGITALIDAD Y VENTAS","Chats",IF(OR(D3880="GERENCIA INBOUND LÍNEAS SERVICIO Y VENTA",D3880="GERENCIA INBOUND LINEAS ESPECIALIZADAS"),"Llamadas","Otro")))</f>
        <v/>
      </c>
      <c r="I3880" s="26" t="str">
        <f aca="false">IF(A3880="","",IF(C3880="No encontrado","No","Sí"))</f>
        <v/>
      </c>
      <c r="J3880" s="26" t="str">
        <f aca="false">IF(A3880="","",IF(F3880="Inactivo","No","Sí"))</f>
        <v/>
      </c>
      <c r="K3880" s="26" t="str">
        <f aca="false">IF(A3880="","",IF(AND(I3880="Sí",J3880="Sí"),"Sí","No"))</f>
        <v/>
      </c>
    </row>
    <row r="3881" customFormat="false" ht="15" hidden="false" customHeight="false" outlineLevel="0" collapsed="false">
      <c r="A3881" s="22"/>
      <c r="B3881" s="22"/>
      <c r="C3881" s="23" t="str">
        <f aca="false">IF(A3881="","",IFERROR(buscarx(A3881&amp;B3881,DATA!$E$3:$E$10000&amp;DATA!$B$3:$B$10000,DATA!$M$3:$M$10000),"No encontrado"))</f>
        <v/>
      </c>
      <c r="D3881" s="24" t="str">
        <f aca="false">IF(A3881="","",IFERROR(buscarx(A3881&amp;B3881,DATA!$E$3:$E$10000&amp;DATA!$B$3:$B$10000,DATA!$W$3:$W$10000),"No encontrado"))</f>
        <v/>
      </c>
      <c r="E3881" s="22"/>
      <c r="F3881" s="23" t="str">
        <f aca="false">IF(A3881="","",IFERROR(buscarx(A3881&amp;E3881,DATA!$E$3:$E$10000&amp;DATA!$B$3:$B$10000,DATA!$M$3:$M$10000),"Inactivo"))</f>
        <v/>
      </c>
      <c r="G3881" s="25" t="str">
        <f aca="false">IF(A3881="","",IF(AND(C3881&lt;&gt;"No encontrado",F3881&lt;&gt;"Inactivo"),C3881&amp;" → "&amp;F3881,"Sin transición"))</f>
        <v/>
      </c>
      <c r="H3881" s="23" t="str">
        <f aca="false">IF(A3881="","",IF(D3881="GCIA LINEA SERVICIO DIGITALIDAD Y VENTAS","Chats",IF(OR(D3881="GERENCIA INBOUND LÍNEAS SERVICIO Y VENTA",D3881="GERENCIA INBOUND LINEAS ESPECIALIZADAS"),"Llamadas","Otro")))</f>
        <v/>
      </c>
      <c r="I3881" s="23" t="str">
        <f aca="false">IF(A3881="","",IF(C3881="No encontrado","No","Sí"))</f>
        <v/>
      </c>
      <c r="J3881" s="23" t="str">
        <f aca="false">IF(A3881="","",IF(F3881="Inactivo","No","Sí"))</f>
        <v/>
      </c>
      <c r="K3881" s="23" t="str">
        <f aca="false">IF(A3881="","",IF(AND(I3881="Sí",J3881="Sí"),"Sí","No"))</f>
        <v/>
      </c>
    </row>
    <row r="3882" customFormat="false" ht="15" hidden="false" customHeight="false" outlineLevel="0" collapsed="false">
      <c r="A3882" s="22"/>
      <c r="B3882" s="22"/>
      <c r="C3882" s="26" t="str">
        <f aca="false">IF(A3882="","",IFERROR(buscarx(A3882&amp;B3882,DATA!$E$3:$E$10000&amp;DATA!$B$3:$B$10000,DATA!$M$3:$M$10000),"No encontrado"))</f>
        <v/>
      </c>
      <c r="D3882" s="27" t="str">
        <f aca="false">IF(A3882="","",IFERROR(buscarx(A3882&amp;B3882,DATA!$E$3:$E$10000&amp;DATA!$B$3:$B$10000,DATA!$W$3:$W$10000),"No encontrado"))</f>
        <v/>
      </c>
      <c r="E3882" s="22"/>
      <c r="F3882" s="26" t="str">
        <f aca="false">IF(A3882="","",IFERROR(buscarx(A3882&amp;E3882,DATA!$E$3:$E$10000&amp;DATA!$B$3:$B$10000,DATA!$M$3:$M$10000),"Inactivo"))</f>
        <v/>
      </c>
      <c r="G3882" s="28" t="str">
        <f aca="false">IF(A3882="","",IF(AND(C3882&lt;&gt;"No encontrado",F3882&lt;&gt;"Inactivo"),C3882&amp;" → "&amp;F3882,"Sin transición"))</f>
        <v/>
      </c>
      <c r="H3882" s="26" t="str">
        <f aca="false">IF(A3882="","",IF(D3882="GCIA LINEA SERVICIO DIGITALIDAD Y VENTAS","Chats",IF(OR(D3882="GERENCIA INBOUND LÍNEAS SERVICIO Y VENTA",D3882="GERENCIA INBOUND LINEAS ESPECIALIZADAS"),"Llamadas","Otro")))</f>
        <v/>
      </c>
      <c r="I3882" s="26" t="str">
        <f aca="false">IF(A3882="","",IF(C3882="No encontrado","No","Sí"))</f>
        <v/>
      </c>
      <c r="J3882" s="26" t="str">
        <f aca="false">IF(A3882="","",IF(F3882="Inactivo","No","Sí"))</f>
        <v/>
      </c>
      <c r="K3882" s="26" t="str">
        <f aca="false">IF(A3882="","",IF(AND(I3882="Sí",J3882="Sí"),"Sí","No"))</f>
        <v/>
      </c>
    </row>
    <row r="3883" customFormat="false" ht="15" hidden="false" customHeight="false" outlineLevel="0" collapsed="false">
      <c r="A3883" s="22"/>
      <c r="B3883" s="22"/>
      <c r="C3883" s="23" t="str">
        <f aca="false">IF(A3883="","",IFERROR(buscarx(A3883&amp;B3883,DATA!$E$3:$E$10000&amp;DATA!$B$3:$B$10000,DATA!$M$3:$M$10000),"No encontrado"))</f>
        <v/>
      </c>
      <c r="D3883" s="24" t="str">
        <f aca="false">IF(A3883="","",IFERROR(buscarx(A3883&amp;B3883,DATA!$E$3:$E$10000&amp;DATA!$B$3:$B$10000,DATA!$W$3:$W$10000),"No encontrado"))</f>
        <v/>
      </c>
      <c r="E3883" s="22"/>
      <c r="F3883" s="23" t="str">
        <f aca="false">IF(A3883="","",IFERROR(buscarx(A3883&amp;E3883,DATA!$E$3:$E$10000&amp;DATA!$B$3:$B$10000,DATA!$M$3:$M$10000),"Inactivo"))</f>
        <v/>
      </c>
      <c r="G3883" s="25" t="str">
        <f aca="false">IF(A3883="","",IF(AND(C3883&lt;&gt;"No encontrado",F3883&lt;&gt;"Inactivo"),C3883&amp;" → "&amp;F3883,"Sin transición"))</f>
        <v/>
      </c>
      <c r="H3883" s="23" t="str">
        <f aca="false">IF(A3883="","",IF(D3883="GCIA LINEA SERVICIO DIGITALIDAD Y VENTAS","Chats",IF(OR(D3883="GERENCIA INBOUND LÍNEAS SERVICIO Y VENTA",D3883="GERENCIA INBOUND LINEAS ESPECIALIZADAS"),"Llamadas","Otro")))</f>
        <v/>
      </c>
      <c r="I3883" s="23" t="str">
        <f aca="false">IF(A3883="","",IF(C3883="No encontrado","No","Sí"))</f>
        <v/>
      </c>
      <c r="J3883" s="23" t="str">
        <f aca="false">IF(A3883="","",IF(F3883="Inactivo","No","Sí"))</f>
        <v/>
      </c>
      <c r="K3883" s="23" t="str">
        <f aca="false">IF(A3883="","",IF(AND(I3883="Sí",J3883="Sí"),"Sí","No"))</f>
        <v/>
      </c>
    </row>
    <row r="3884" customFormat="false" ht="15" hidden="false" customHeight="false" outlineLevel="0" collapsed="false">
      <c r="A3884" s="22"/>
      <c r="B3884" s="22"/>
      <c r="C3884" s="26" t="str">
        <f aca="false">IF(A3884="","",IFERROR(buscarx(A3884&amp;B3884,DATA!$E$3:$E$10000&amp;DATA!$B$3:$B$10000,DATA!$M$3:$M$10000),"No encontrado"))</f>
        <v/>
      </c>
      <c r="D3884" s="27" t="str">
        <f aca="false">IF(A3884="","",IFERROR(buscarx(A3884&amp;B3884,DATA!$E$3:$E$10000&amp;DATA!$B$3:$B$10000,DATA!$W$3:$W$10000),"No encontrado"))</f>
        <v/>
      </c>
      <c r="E3884" s="22"/>
      <c r="F3884" s="26" t="str">
        <f aca="false">IF(A3884="","",IFERROR(buscarx(A3884&amp;E3884,DATA!$E$3:$E$10000&amp;DATA!$B$3:$B$10000,DATA!$M$3:$M$10000),"Inactivo"))</f>
        <v/>
      </c>
      <c r="G3884" s="28" t="str">
        <f aca="false">IF(A3884="","",IF(AND(C3884&lt;&gt;"No encontrado",F3884&lt;&gt;"Inactivo"),C3884&amp;" → "&amp;F3884,"Sin transición"))</f>
        <v/>
      </c>
      <c r="H3884" s="26" t="str">
        <f aca="false">IF(A3884="","",IF(D3884="GCIA LINEA SERVICIO DIGITALIDAD Y VENTAS","Chats",IF(OR(D3884="GERENCIA INBOUND LÍNEAS SERVICIO Y VENTA",D3884="GERENCIA INBOUND LINEAS ESPECIALIZADAS"),"Llamadas","Otro")))</f>
        <v/>
      </c>
      <c r="I3884" s="26" t="str">
        <f aca="false">IF(A3884="","",IF(C3884="No encontrado","No","Sí"))</f>
        <v/>
      </c>
      <c r="J3884" s="26" t="str">
        <f aca="false">IF(A3884="","",IF(F3884="Inactivo","No","Sí"))</f>
        <v/>
      </c>
      <c r="K3884" s="26" t="str">
        <f aca="false">IF(A3884="","",IF(AND(I3884="Sí",J3884="Sí"),"Sí","No"))</f>
        <v/>
      </c>
    </row>
    <row r="3885" customFormat="false" ht="15" hidden="false" customHeight="false" outlineLevel="0" collapsed="false">
      <c r="A3885" s="22"/>
      <c r="B3885" s="22"/>
      <c r="C3885" s="23" t="str">
        <f aca="false">IF(A3885="","",IFERROR(buscarx(A3885&amp;B3885,DATA!$E$3:$E$10000&amp;DATA!$B$3:$B$10000,DATA!$M$3:$M$10000),"No encontrado"))</f>
        <v/>
      </c>
      <c r="D3885" s="24" t="str">
        <f aca="false">IF(A3885="","",IFERROR(buscarx(A3885&amp;B3885,DATA!$E$3:$E$10000&amp;DATA!$B$3:$B$10000,DATA!$W$3:$W$10000),"No encontrado"))</f>
        <v/>
      </c>
      <c r="E3885" s="22"/>
      <c r="F3885" s="23" t="str">
        <f aca="false">IF(A3885="","",IFERROR(buscarx(A3885&amp;E3885,DATA!$E$3:$E$10000&amp;DATA!$B$3:$B$10000,DATA!$M$3:$M$10000),"Inactivo"))</f>
        <v/>
      </c>
      <c r="G3885" s="25" t="str">
        <f aca="false">IF(A3885="","",IF(AND(C3885&lt;&gt;"No encontrado",F3885&lt;&gt;"Inactivo"),C3885&amp;" → "&amp;F3885,"Sin transición"))</f>
        <v/>
      </c>
      <c r="H3885" s="23" t="str">
        <f aca="false">IF(A3885="","",IF(D3885="GCIA LINEA SERVICIO DIGITALIDAD Y VENTAS","Chats",IF(OR(D3885="GERENCIA INBOUND LÍNEAS SERVICIO Y VENTA",D3885="GERENCIA INBOUND LINEAS ESPECIALIZADAS"),"Llamadas","Otro")))</f>
        <v/>
      </c>
      <c r="I3885" s="23" t="str">
        <f aca="false">IF(A3885="","",IF(C3885="No encontrado","No","Sí"))</f>
        <v/>
      </c>
      <c r="J3885" s="23" t="str">
        <f aca="false">IF(A3885="","",IF(F3885="Inactivo","No","Sí"))</f>
        <v/>
      </c>
      <c r="K3885" s="23" t="str">
        <f aca="false">IF(A3885="","",IF(AND(I3885="Sí",J3885="Sí"),"Sí","No"))</f>
        <v/>
      </c>
    </row>
    <row r="3886" customFormat="false" ht="15" hidden="false" customHeight="false" outlineLevel="0" collapsed="false">
      <c r="A3886" s="22"/>
      <c r="B3886" s="22"/>
      <c r="C3886" s="26" t="str">
        <f aca="false">IF(A3886="","",IFERROR(buscarx(A3886&amp;B3886,DATA!$E$3:$E$10000&amp;DATA!$B$3:$B$10000,DATA!$M$3:$M$10000),"No encontrado"))</f>
        <v/>
      </c>
      <c r="D3886" s="27" t="str">
        <f aca="false">IF(A3886="","",IFERROR(buscarx(A3886&amp;B3886,DATA!$E$3:$E$10000&amp;DATA!$B$3:$B$10000,DATA!$W$3:$W$10000),"No encontrado"))</f>
        <v/>
      </c>
      <c r="E3886" s="22"/>
      <c r="F3886" s="26" t="str">
        <f aca="false">IF(A3886="","",IFERROR(buscarx(A3886&amp;E3886,DATA!$E$3:$E$10000&amp;DATA!$B$3:$B$10000,DATA!$M$3:$M$10000),"Inactivo"))</f>
        <v/>
      </c>
      <c r="G3886" s="28" t="str">
        <f aca="false">IF(A3886="","",IF(AND(C3886&lt;&gt;"No encontrado",F3886&lt;&gt;"Inactivo"),C3886&amp;" → "&amp;F3886,"Sin transición"))</f>
        <v/>
      </c>
      <c r="H3886" s="26" t="str">
        <f aca="false">IF(A3886="","",IF(D3886="GCIA LINEA SERVICIO DIGITALIDAD Y VENTAS","Chats",IF(OR(D3886="GERENCIA INBOUND LÍNEAS SERVICIO Y VENTA",D3886="GERENCIA INBOUND LINEAS ESPECIALIZADAS"),"Llamadas","Otro")))</f>
        <v/>
      </c>
      <c r="I3886" s="26" t="str">
        <f aca="false">IF(A3886="","",IF(C3886="No encontrado","No","Sí"))</f>
        <v/>
      </c>
      <c r="J3886" s="26" t="str">
        <f aca="false">IF(A3886="","",IF(F3886="Inactivo","No","Sí"))</f>
        <v/>
      </c>
      <c r="K3886" s="26" t="str">
        <f aca="false">IF(A3886="","",IF(AND(I3886="Sí",J3886="Sí"),"Sí","No"))</f>
        <v/>
      </c>
    </row>
    <row r="3887" customFormat="false" ht="15" hidden="false" customHeight="false" outlineLevel="0" collapsed="false">
      <c r="A3887" s="22"/>
      <c r="B3887" s="22"/>
      <c r="C3887" s="23" t="str">
        <f aca="false">IF(A3887="","",IFERROR(buscarx(A3887&amp;B3887,DATA!$E$3:$E$10000&amp;DATA!$B$3:$B$10000,DATA!$M$3:$M$10000),"No encontrado"))</f>
        <v/>
      </c>
      <c r="D3887" s="24" t="str">
        <f aca="false">IF(A3887="","",IFERROR(buscarx(A3887&amp;B3887,DATA!$E$3:$E$10000&amp;DATA!$B$3:$B$10000,DATA!$W$3:$W$10000),"No encontrado"))</f>
        <v/>
      </c>
      <c r="E3887" s="22"/>
      <c r="F3887" s="23" t="str">
        <f aca="false">IF(A3887="","",IFERROR(buscarx(A3887&amp;E3887,DATA!$E$3:$E$10000&amp;DATA!$B$3:$B$10000,DATA!$M$3:$M$10000),"Inactivo"))</f>
        <v/>
      </c>
      <c r="G3887" s="25" t="str">
        <f aca="false">IF(A3887="","",IF(AND(C3887&lt;&gt;"No encontrado",F3887&lt;&gt;"Inactivo"),C3887&amp;" → "&amp;F3887,"Sin transición"))</f>
        <v/>
      </c>
      <c r="H3887" s="23" t="str">
        <f aca="false">IF(A3887="","",IF(D3887="GCIA LINEA SERVICIO DIGITALIDAD Y VENTAS","Chats",IF(OR(D3887="GERENCIA INBOUND LÍNEAS SERVICIO Y VENTA",D3887="GERENCIA INBOUND LINEAS ESPECIALIZADAS"),"Llamadas","Otro")))</f>
        <v/>
      </c>
      <c r="I3887" s="23" t="str">
        <f aca="false">IF(A3887="","",IF(C3887="No encontrado","No","Sí"))</f>
        <v/>
      </c>
      <c r="J3887" s="23" t="str">
        <f aca="false">IF(A3887="","",IF(F3887="Inactivo","No","Sí"))</f>
        <v/>
      </c>
      <c r="K3887" s="23" t="str">
        <f aca="false">IF(A3887="","",IF(AND(I3887="Sí",J3887="Sí"),"Sí","No"))</f>
        <v/>
      </c>
    </row>
    <row r="3888" customFormat="false" ht="15" hidden="false" customHeight="false" outlineLevel="0" collapsed="false">
      <c r="A3888" s="22"/>
      <c r="B3888" s="22"/>
      <c r="C3888" s="26" t="str">
        <f aca="false">IF(A3888="","",IFERROR(buscarx(A3888&amp;B3888,DATA!$E$3:$E$10000&amp;DATA!$B$3:$B$10000,DATA!$M$3:$M$10000),"No encontrado"))</f>
        <v/>
      </c>
      <c r="D3888" s="27" t="str">
        <f aca="false">IF(A3888="","",IFERROR(buscarx(A3888&amp;B3888,DATA!$E$3:$E$10000&amp;DATA!$B$3:$B$10000,DATA!$W$3:$W$10000),"No encontrado"))</f>
        <v/>
      </c>
      <c r="E3888" s="22"/>
      <c r="F3888" s="26" t="str">
        <f aca="false">IF(A3888="","",IFERROR(buscarx(A3888&amp;E3888,DATA!$E$3:$E$10000&amp;DATA!$B$3:$B$10000,DATA!$M$3:$M$10000),"Inactivo"))</f>
        <v/>
      </c>
      <c r="G3888" s="28" t="str">
        <f aca="false">IF(A3888="","",IF(AND(C3888&lt;&gt;"No encontrado",F3888&lt;&gt;"Inactivo"),C3888&amp;" → "&amp;F3888,"Sin transición"))</f>
        <v/>
      </c>
      <c r="H3888" s="26" t="str">
        <f aca="false">IF(A3888="","",IF(D3888="GCIA LINEA SERVICIO DIGITALIDAD Y VENTAS","Chats",IF(OR(D3888="GERENCIA INBOUND LÍNEAS SERVICIO Y VENTA",D3888="GERENCIA INBOUND LINEAS ESPECIALIZADAS"),"Llamadas","Otro")))</f>
        <v/>
      </c>
      <c r="I3888" s="26" t="str">
        <f aca="false">IF(A3888="","",IF(C3888="No encontrado","No","Sí"))</f>
        <v/>
      </c>
      <c r="J3888" s="26" t="str">
        <f aca="false">IF(A3888="","",IF(F3888="Inactivo","No","Sí"))</f>
        <v/>
      </c>
      <c r="K3888" s="26" t="str">
        <f aca="false">IF(A3888="","",IF(AND(I3888="Sí",J3888="Sí"),"Sí","No"))</f>
        <v/>
      </c>
    </row>
    <row r="3889" customFormat="false" ht="15" hidden="false" customHeight="false" outlineLevel="0" collapsed="false">
      <c r="A3889" s="22"/>
      <c r="B3889" s="22"/>
      <c r="C3889" s="23" t="str">
        <f aca="false">IF(A3889="","",IFERROR(buscarx(A3889&amp;B3889,DATA!$E$3:$E$10000&amp;DATA!$B$3:$B$10000,DATA!$M$3:$M$10000),"No encontrado"))</f>
        <v/>
      </c>
      <c r="D3889" s="24" t="str">
        <f aca="false">IF(A3889="","",IFERROR(buscarx(A3889&amp;B3889,DATA!$E$3:$E$10000&amp;DATA!$B$3:$B$10000,DATA!$W$3:$W$10000),"No encontrado"))</f>
        <v/>
      </c>
      <c r="E3889" s="22"/>
      <c r="F3889" s="23" t="str">
        <f aca="false">IF(A3889="","",IFERROR(buscarx(A3889&amp;E3889,DATA!$E$3:$E$10000&amp;DATA!$B$3:$B$10000,DATA!$M$3:$M$10000),"Inactivo"))</f>
        <v/>
      </c>
      <c r="G3889" s="25" t="str">
        <f aca="false">IF(A3889="","",IF(AND(C3889&lt;&gt;"No encontrado",F3889&lt;&gt;"Inactivo"),C3889&amp;" → "&amp;F3889,"Sin transición"))</f>
        <v/>
      </c>
      <c r="H3889" s="23" t="str">
        <f aca="false">IF(A3889="","",IF(D3889="GCIA LINEA SERVICIO DIGITALIDAD Y VENTAS","Chats",IF(OR(D3889="GERENCIA INBOUND LÍNEAS SERVICIO Y VENTA",D3889="GERENCIA INBOUND LINEAS ESPECIALIZADAS"),"Llamadas","Otro")))</f>
        <v/>
      </c>
      <c r="I3889" s="23" t="str">
        <f aca="false">IF(A3889="","",IF(C3889="No encontrado","No","Sí"))</f>
        <v/>
      </c>
      <c r="J3889" s="23" t="str">
        <f aca="false">IF(A3889="","",IF(F3889="Inactivo","No","Sí"))</f>
        <v/>
      </c>
      <c r="K3889" s="23" t="str">
        <f aca="false">IF(A3889="","",IF(AND(I3889="Sí",J3889="Sí"),"Sí","No"))</f>
        <v/>
      </c>
    </row>
    <row r="3890" customFormat="false" ht="15" hidden="false" customHeight="false" outlineLevel="0" collapsed="false">
      <c r="A3890" s="22"/>
      <c r="B3890" s="22"/>
      <c r="C3890" s="26" t="str">
        <f aca="false">IF(A3890="","",IFERROR(buscarx(A3890&amp;B3890,DATA!$E$3:$E$10000&amp;DATA!$B$3:$B$10000,DATA!$M$3:$M$10000),"No encontrado"))</f>
        <v/>
      </c>
      <c r="D3890" s="27" t="str">
        <f aca="false">IF(A3890="","",IFERROR(buscarx(A3890&amp;B3890,DATA!$E$3:$E$10000&amp;DATA!$B$3:$B$10000,DATA!$W$3:$W$10000),"No encontrado"))</f>
        <v/>
      </c>
      <c r="E3890" s="22"/>
      <c r="F3890" s="26" t="str">
        <f aca="false">IF(A3890="","",IFERROR(buscarx(A3890&amp;E3890,DATA!$E$3:$E$10000&amp;DATA!$B$3:$B$10000,DATA!$M$3:$M$10000),"Inactivo"))</f>
        <v/>
      </c>
      <c r="G3890" s="28" t="str">
        <f aca="false">IF(A3890="","",IF(AND(C3890&lt;&gt;"No encontrado",F3890&lt;&gt;"Inactivo"),C3890&amp;" → "&amp;F3890,"Sin transición"))</f>
        <v/>
      </c>
      <c r="H3890" s="26" t="str">
        <f aca="false">IF(A3890="","",IF(D3890="GCIA LINEA SERVICIO DIGITALIDAD Y VENTAS","Chats",IF(OR(D3890="GERENCIA INBOUND LÍNEAS SERVICIO Y VENTA",D3890="GERENCIA INBOUND LINEAS ESPECIALIZADAS"),"Llamadas","Otro")))</f>
        <v/>
      </c>
      <c r="I3890" s="26" t="str">
        <f aca="false">IF(A3890="","",IF(C3890="No encontrado","No","Sí"))</f>
        <v/>
      </c>
      <c r="J3890" s="26" t="str">
        <f aca="false">IF(A3890="","",IF(F3890="Inactivo","No","Sí"))</f>
        <v/>
      </c>
      <c r="K3890" s="26" t="str">
        <f aca="false">IF(A3890="","",IF(AND(I3890="Sí",J3890="Sí"),"Sí","No"))</f>
        <v/>
      </c>
    </row>
    <row r="3891" customFormat="false" ht="15" hidden="false" customHeight="false" outlineLevel="0" collapsed="false">
      <c r="A3891" s="22"/>
      <c r="B3891" s="22"/>
      <c r="C3891" s="23" t="str">
        <f aca="false">IF(A3891="","",IFERROR(buscarx(A3891&amp;B3891,DATA!$E$3:$E$10000&amp;DATA!$B$3:$B$10000,DATA!$M$3:$M$10000),"No encontrado"))</f>
        <v/>
      </c>
      <c r="D3891" s="24" t="str">
        <f aca="false">IF(A3891="","",IFERROR(buscarx(A3891&amp;B3891,DATA!$E$3:$E$10000&amp;DATA!$B$3:$B$10000,DATA!$W$3:$W$10000),"No encontrado"))</f>
        <v/>
      </c>
      <c r="E3891" s="22"/>
      <c r="F3891" s="23" t="str">
        <f aca="false">IF(A3891="","",IFERROR(buscarx(A3891&amp;E3891,DATA!$E$3:$E$10000&amp;DATA!$B$3:$B$10000,DATA!$M$3:$M$10000),"Inactivo"))</f>
        <v/>
      </c>
      <c r="G3891" s="25" t="str">
        <f aca="false">IF(A3891="","",IF(AND(C3891&lt;&gt;"No encontrado",F3891&lt;&gt;"Inactivo"),C3891&amp;" → "&amp;F3891,"Sin transición"))</f>
        <v/>
      </c>
      <c r="H3891" s="23" t="str">
        <f aca="false">IF(A3891="","",IF(D3891="GCIA LINEA SERVICIO DIGITALIDAD Y VENTAS","Chats",IF(OR(D3891="GERENCIA INBOUND LÍNEAS SERVICIO Y VENTA",D3891="GERENCIA INBOUND LINEAS ESPECIALIZADAS"),"Llamadas","Otro")))</f>
        <v/>
      </c>
      <c r="I3891" s="23" t="str">
        <f aca="false">IF(A3891="","",IF(C3891="No encontrado","No","Sí"))</f>
        <v/>
      </c>
      <c r="J3891" s="23" t="str">
        <f aca="false">IF(A3891="","",IF(F3891="Inactivo","No","Sí"))</f>
        <v/>
      </c>
      <c r="K3891" s="23" t="str">
        <f aca="false">IF(A3891="","",IF(AND(I3891="Sí",J3891="Sí"),"Sí","No"))</f>
        <v/>
      </c>
    </row>
    <row r="3892" customFormat="false" ht="15" hidden="false" customHeight="false" outlineLevel="0" collapsed="false">
      <c r="A3892" s="22"/>
      <c r="B3892" s="22"/>
      <c r="C3892" s="26" t="str">
        <f aca="false">IF(A3892="","",IFERROR(buscarx(A3892&amp;B3892,DATA!$E$3:$E$10000&amp;DATA!$B$3:$B$10000,DATA!$M$3:$M$10000),"No encontrado"))</f>
        <v/>
      </c>
      <c r="D3892" s="27" t="str">
        <f aca="false">IF(A3892="","",IFERROR(buscarx(A3892&amp;B3892,DATA!$E$3:$E$10000&amp;DATA!$B$3:$B$10000,DATA!$W$3:$W$10000),"No encontrado"))</f>
        <v/>
      </c>
      <c r="E3892" s="22"/>
      <c r="F3892" s="26" t="str">
        <f aca="false">IF(A3892="","",IFERROR(buscarx(A3892&amp;E3892,DATA!$E$3:$E$10000&amp;DATA!$B$3:$B$10000,DATA!$M$3:$M$10000),"Inactivo"))</f>
        <v/>
      </c>
      <c r="G3892" s="28" t="str">
        <f aca="false">IF(A3892="","",IF(AND(C3892&lt;&gt;"No encontrado",F3892&lt;&gt;"Inactivo"),C3892&amp;" → "&amp;F3892,"Sin transición"))</f>
        <v/>
      </c>
      <c r="H3892" s="26" t="str">
        <f aca="false">IF(A3892="","",IF(D3892="GCIA LINEA SERVICIO DIGITALIDAD Y VENTAS","Chats",IF(OR(D3892="GERENCIA INBOUND LÍNEAS SERVICIO Y VENTA",D3892="GERENCIA INBOUND LINEAS ESPECIALIZADAS"),"Llamadas","Otro")))</f>
        <v/>
      </c>
      <c r="I3892" s="26" t="str">
        <f aca="false">IF(A3892="","",IF(C3892="No encontrado","No","Sí"))</f>
        <v/>
      </c>
      <c r="J3892" s="26" t="str">
        <f aca="false">IF(A3892="","",IF(F3892="Inactivo","No","Sí"))</f>
        <v/>
      </c>
      <c r="K3892" s="26" t="str">
        <f aca="false">IF(A3892="","",IF(AND(I3892="Sí",J3892="Sí"),"Sí","No"))</f>
        <v/>
      </c>
    </row>
    <row r="3893" customFormat="false" ht="15" hidden="false" customHeight="false" outlineLevel="0" collapsed="false">
      <c r="A3893" s="22"/>
      <c r="B3893" s="22"/>
      <c r="C3893" s="23" t="str">
        <f aca="false">IF(A3893="","",IFERROR(buscarx(A3893&amp;B3893,DATA!$E$3:$E$10000&amp;DATA!$B$3:$B$10000,DATA!$M$3:$M$10000),"No encontrado"))</f>
        <v/>
      </c>
      <c r="D3893" s="24" t="str">
        <f aca="false">IF(A3893="","",IFERROR(buscarx(A3893&amp;B3893,DATA!$E$3:$E$10000&amp;DATA!$B$3:$B$10000,DATA!$W$3:$W$10000),"No encontrado"))</f>
        <v/>
      </c>
      <c r="E3893" s="22"/>
      <c r="F3893" s="23" t="str">
        <f aca="false">IF(A3893="","",IFERROR(buscarx(A3893&amp;E3893,DATA!$E$3:$E$10000&amp;DATA!$B$3:$B$10000,DATA!$M$3:$M$10000),"Inactivo"))</f>
        <v/>
      </c>
      <c r="G3893" s="25" t="str">
        <f aca="false">IF(A3893="","",IF(AND(C3893&lt;&gt;"No encontrado",F3893&lt;&gt;"Inactivo"),C3893&amp;" → "&amp;F3893,"Sin transición"))</f>
        <v/>
      </c>
      <c r="H3893" s="23" t="str">
        <f aca="false">IF(A3893="","",IF(D3893="GCIA LINEA SERVICIO DIGITALIDAD Y VENTAS","Chats",IF(OR(D3893="GERENCIA INBOUND LÍNEAS SERVICIO Y VENTA",D3893="GERENCIA INBOUND LINEAS ESPECIALIZADAS"),"Llamadas","Otro")))</f>
        <v/>
      </c>
      <c r="I3893" s="23" t="str">
        <f aca="false">IF(A3893="","",IF(C3893="No encontrado","No","Sí"))</f>
        <v/>
      </c>
      <c r="J3893" s="23" t="str">
        <f aca="false">IF(A3893="","",IF(F3893="Inactivo","No","Sí"))</f>
        <v/>
      </c>
      <c r="K3893" s="23" t="str">
        <f aca="false">IF(A3893="","",IF(AND(I3893="Sí",J3893="Sí"),"Sí","No"))</f>
        <v/>
      </c>
    </row>
    <row r="3894" customFormat="false" ht="15" hidden="false" customHeight="false" outlineLevel="0" collapsed="false">
      <c r="A3894" s="22"/>
      <c r="B3894" s="22"/>
      <c r="C3894" s="26" t="str">
        <f aca="false">IF(A3894="","",IFERROR(buscarx(A3894&amp;B3894,DATA!$E$3:$E$10000&amp;DATA!$B$3:$B$10000,DATA!$M$3:$M$10000),"No encontrado"))</f>
        <v/>
      </c>
      <c r="D3894" s="27" t="str">
        <f aca="false">IF(A3894="","",IFERROR(buscarx(A3894&amp;B3894,DATA!$E$3:$E$10000&amp;DATA!$B$3:$B$10000,DATA!$W$3:$W$10000),"No encontrado"))</f>
        <v/>
      </c>
      <c r="E3894" s="22"/>
      <c r="F3894" s="26" t="str">
        <f aca="false">IF(A3894="","",IFERROR(buscarx(A3894&amp;E3894,DATA!$E$3:$E$10000&amp;DATA!$B$3:$B$10000,DATA!$M$3:$M$10000),"Inactivo"))</f>
        <v/>
      </c>
      <c r="G3894" s="28" t="str">
        <f aca="false">IF(A3894="","",IF(AND(C3894&lt;&gt;"No encontrado",F3894&lt;&gt;"Inactivo"),C3894&amp;" → "&amp;F3894,"Sin transición"))</f>
        <v/>
      </c>
      <c r="H3894" s="26" t="str">
        <f aca="false">IF(A3894="","",IF(D3894="GCIA LINEA SERVICIO DIGITALIDAD Y VENTAS","Chats",IF(OR(D3894="GERENCIA INBOUND LÍNEAS SERVICIO Y VENTA",D3894="GERENCIA INBOUND LINEAS ESPECIALIZADAS"),"Llamadas","Otro")))</f>
        <v/>
      </c>
      <c r="I3894" s="26" t="str">
        <f aca="false">IF(A3894="","",IF(C3894="No encontrado","No","Sí"))</f>
        <v/>
      </c>
      <c r="J3894" s="26" t="str">
        <f aca="false">IF(A3894="","",IF(F3894="Inactivo","No","Sí"))</f>
        <v/>
      </c>
      <c r="K3894" s="26" t="str">
        <f aca="false">IF(A3894="","",IF(AND(I3894="Sí",J3894="Sí"),"Sí","No"))</f>
        <v/>
      </c>
    </row>
    <row r="3895" customFormat="false" ht="15" hidden="false" customHeight="false" outlineLevel="0" collapsed="false">
      <c r="A3895" s="22"/>
      <c r="B3895" s="22"/>
      <c r="C3895" s="23" t="str">
        <f aca="false">IF(A3895="","",IFERROR(buscarx(A3895&amp;B3895,DATA!$E$3:$E$10000&amp;DATA!$B$3:$B$10000,DATA!$M$3:$M$10000),"No encontrado"))</f>
        <v/>
      </c>
      <c r="D3895" s="24" t="str">
        <f aca="false">IF(A3895="","",IFERROR(buscarx(A3895&amp;B3895,DATA!$E$3:$E$10000&amp;DATA!$B$3:$B$10000,DATA!$W$3:$W$10000),"No encontrado"))</f>
        <v/>
      </c>
      <c r="E3895" s="22"/>
      <c r="F3895" s="23" t="str">
        <f aca="false">IF(A3895="","",IFERROR(buscarx(A3895&amp;E3895,DATA!$E$3:$E$10000&amp;DATA!$B$3:$B$10000,DATA!$M$3:$M$10000),"Inactivo"))</f>
        <v/>
      </c>
      <c r="G3895" s="25" t="str">
        <f aca="false">IF(A3895="","",IF(AND(C3895&lt;&gt;"No encontrado",F3895&lt;&gt;"Inactivo"),C3895&amp;" → "&amp;F3895,"Sin transición"))</f>
        <v/>
      </c>
      <c r="H3895" s="23" t="str">
        <f aca="false">IF(A3895="","",IF(D3895="GCIA LINEA SERVICIO DIGITALIDAD Y VENTAS","Chats",IF(OR(D3895="GERENCIA INBOUND LÍNEAS SERVICIO Y VENTA",D3895="GERENCIA INBOUND LINEAS ESPECIALIZADAS"),"Llamadas","Otro")))</f>
        <v/>
      </c>
      <c r="I3895" s="23" t="str">
        <f aca="false">IF(A3895="","",IF(C3895="No encontrado","No","Sí"))</f>
        <v/>
      </c>
      <c r="J3895" s="23" t="str">
        <f aca="false">IF(A3895="","",IF(F3895="Inactivo","No","Sí"))</f>
        <v/>
      </c>
      <c r="K3895" s="23" t="str">
        <f aca="false">IF(A3895="","",IF(AND(I3895="Sí",J3895="Sí"),"Sí","No"))</f>
        <v/>
      </c>
    </row>
    <row r="3896" customFormat="false" ht="15" hidden="false" customHeight="false" outlineLevel="0" collapsed="false">
      <c r="A3896" s="22"/>
      <c r="B3896" s="22"/>
      <c r="C3896" s="26" t="str">
        <f aca="false">IF(A3896="","",IFERROR(buscarx(A3896&amp;B3896,DATA!$E$3:$E$10000&amp;DATA!$B$3:$B$10000,DATA!$M$3:$M$10000),"No encontrado"))</f>
        <v/>
      </c>
      <c r="D3896" s="27" t="str">
        <f aca="false">IF(A3896="","",IFERROR(buscarx(A3896&amp;B3896,DATA!$E$3:$E$10000&amp;DATA!$B$3:$B$10000,DATA!$W$3:$W$10000),"No encontrado"))</f>
        <v/>
      </c>
      <c r="E3896" s="22"/>
      <c r="F3896" s="26" t="str">
        <f aca="false">IF(A3896="","",IFERROR(buscarx(A3896&amp;E3896,DATA!$E$3:$E$10000&amp;DATA!$B$3:$B$10000,DATA!$M$3:$M$10000),"Inactivo"))</f>
        <v/>
      </c>
      <c r="G3896" s="28" t="str">
        <f aca="false">IF(A3896="","",IF(AND(C3896&lt;&gt;"No encontrado",F3896&lt;&gt;"Inactivo"),C3896&amp;" → "&amp;F3896,"Sin transición"))</f>
        <v/>
      </c>
      <c r="H3896" s="26" t="str">
        <f aca="false">IF(A3896="","",IF(D3896="GCIA LINEA SERVICIO DIGITALIDAD Y VENTAS","Chats",IF(OR(D3896="GERENCIA INBOUND LÍNEAS SERVICIO Y VENTA",D3896="GERENCIA INBOUND LINEAS ESPECIALIZADAS"),"Llamadas","Otro")))</f>
        <v/>
      </c>
      <c r="I3896" s="26" t="str">
        <f aca="false">IF(A3896="","",IF(C3896="No encontrado","No","Sí"))</f>
        <v/>
      </c>
      <c r="J3896" s="26" t="str">
        <f aca="false">IF(A3896="","",IF(F3896="Inactivo","No","Sí"))</f>
        <v/>
      </c>
      <c r="K3896" s="26" t="str">
        <f aca="false">IF(A3896="","",IF(AND(I3896="Sí",J3896="Sí"),"Sí","No"))</f>
        <v/>
      </c>
    </row>
    <row r="3897" customFormat="false" ht="15" hidden="false" customHeight="false" outlineLevel="0" collapsed="false">
      <c r="A3897" s="22"/>
      <c r="B3897" s="22"/>
      <c r="C3897" s="23" t="str">
        <f aca="false">IF(A3897="","",IFERROR(buscarx(A3897&amp;B3897,DATA!$E$3:$E$10000&amp;DATA!$B$3:$B$10000,DATA!$M$3:$M$10000),"No encontrado"))</f>
        <v/>
      </c>
      <c r="D3897" s="24" t="str">
        <f aca="false">IF(A3897="","",IFERROR(buscarx(A3897&amp;B3897,DATA!$E$3:$E$10000&amp;DATA!$B$3:$B$10000,DATA!$W$3:$W$10000),"No encontrado"))</f>
        <v/>
      </c>
      <c r="E3897" s="22"/>
      <c r="F3897" s="23" t="str">
        <f aca="false">IF(A3897="","",IFERROR(buscarx(A3897&amp;E3897,DATA!$E$3:$E$10000&amp;DATA!$B$3:$B$10000,DATA!$M$3:$M$10000),"Inactivo"))</f>
        <v/>
      </c>
      <c r="G3897" s="25" t="str">
        <f aca="false">IF(A3897="","",IF(AND(C3897&lt;&gt;"No encontrado",F3897&lt;&gt;"Inactivo"),C3897&amp;" → "&amp;F3897,"Sin transición"))</f>
        <v/>
      </c>
      <c r="H3897" s="23" t="str">
        <f aca="false">IF(A3897="","",IF(D3897="GCIA LINEA SERVICIO DIGITALIDAD Y VENTAS","Chats",IF(OR(D3897="GERENCIA INBOUND LÍNEAS SERVICIO Y VENTA",D3897="GERENCIA INBOUND LINEAS ESPECIALIZADAS"),"Llamadas","Otro")))</f>
        <v/>
      </c>
      <c r="I3897" s="23" t="str">
        <f aca="false">IF(A3897="","",IF(C3897="No encontrado","No","Sí"))</f>
        <v/>
      </c>
      <c r="J3897" s="23" t="str">
        <f aca="false">IF(A3897="","",IF(F3897="Inactivo","No","Sí"))</f>
        <v/>
      </c>
      <c r="K3897" s="23" t="str">
        <f aca="false">IF(A3897="","",IF(AND(I3897="Sí",J3897="Sí"),"Sí","No"))</f>
        <v/>
      </c>
    </row>
    <row r="3898" customFormat="false" ht="15" hidden="false" customHeight="false" outlineLevel="0" collapsed="false">
      <c r="A3898" s="22"/>
      <c r="B3898" s="22"/>
      <c r="C3898" s="26" t="str">
        <f aca="false">IF(A3898="","",IFERROR(buscarx(A3898&amp;B3898,DATA!$E$3:$E$10000&amp;DATA!$B$3:$B$10000,DATA!$M$3:$M$10000),"No encontrado"))</f>
        <v/>
      </c>
      <c r="D3898" s="27" t="str">
        <f aca="false">IF(A3898="","",IFERROR(buscarx(A3898&amp;B3898,DATA!$E$3:$E$10000&amp;DATA!$B$3:$B$10000,DATA!$W$3:$W$10000),"No encontrado"))</f>
        <v/>
      </c>
      <c r="E3898" s="22"/>
      <c r="F3898" s="26" t="str">
        <f aca="false">IF(A3898="","",IFERROR(buscarx(A3898&amp;E3898,DATA!$E$3:$E$10000&amp;DATA!$B$3:$B$10000,DATA!$M$3:$M$10000),"Inactivo"))</f>
        <v/>
      </c>
      <c r="G3898" s="28" t="str">
        <f aca="false">IF(A3898="","",IF(AND(C3898&lt;&gt;"No encontrado",F3898&lt;&gt;"Inactivo"),C3898&amp;" → "&amp;F3898,"Sin transición"))</f>
        <v/>
      </c>
      <c r="H3898" s="26" t="str">
        <f aca="false">IF(A3898="","",IF(D3898="GCIA LINEA SERVICIO DIGITALIDAD Y VENTAS","Chats",IF(OR(D3898="GERENCIA INBOUND LÍNEAS SERVICIO Y VENTA",D3898="GERENCIA INBOUND LINEAS ESPECIALIZADAS"),"Llamadas","Otro")))</f>
        <v/>
      </c>
      <c r="I3898" s="26" t="str">
        <f aca="false">IF(A3898="","",IF(C3898="No encontrado","No","Sí"))</f>
        <v/>
      </c>
      <c r="J3898" s="26" t="str">
        <f aca="false">IF(A3898="","",IF(F3898="Inactivo","No","Sí"))</f>
        <v/>
      </c>
      <c r="K3898" s="26" t="str">
        <f aca="false">IF(A3898="","",IF(AND(I3898="Sí",J3898="Sí"),"Sí","No"))</f>
        <v/>
      </c>
    </row>
    <row r="3899" customFormat="false" ht="15" hidden="false" customHeight="false" outlineLevel="0" collapsed="false">
      <c r="A3899" s="22"/>
      <c r="B3899" s="22"/>
      <c r="C3899" s="23" t="str">
        <f aca="false">IF(A3899="","",IFERROR(buscarx(A3899&amp;B3899,DATA!$E$3:$E$10000&amp;DATA!$B$3:$B$10000,DATA!$M$3:$M$10000),"No encontrado"))</f>
        <v/>
      </c>
      <c r="D3899" s="24" t="str">
        <f aca="false">IF(A3899="","",IFERROR(buscarx(A3899&amp;B3899,DATA!$E$3:$E$10000&amp;DATA!$B$3:$B$10000,DATA!$W$3:$W$10000),"No encontrado"))</f>
        <v/>
      </c>
      <c r="E3899" s="22"/>
      <c r="F3899" s="23" t="str">
        <f aca="false">IF(A3899="","",IFERROR(buscarx(A3899&amp;E3899,DATA!$E$3:$E$10000&amp;DATA!$B$3:$B$10000,DATA!$M$3:$M$10000),"Inactivo"))</f>
        <v/>
      </c>
      <c r="G3899" s="25" t="str">
        <f aca="false">IF(A3899="","",IF(AND(C3899&lt;&gt;"No encontrado",F3899&lt;&gt;"Inactivo"),C3899&amp;" → "&amp;F3899,"Sin transición"))</f>
        <v/>
      </c>
      <c r="H3899" s="23" t="str">
        <f aca="false">IF(A3899="","",IF(D3899="GCIA LINEA SERVICIO DIGITALIDAD Y VENTAS","Chats",IF(OR(D3899="GERENCIA INBOUND LÍNEAS SERVICIO Y VENTA",D3899="GERENCIA INBOUND LINEAS ESPECIALIZADAS"),"Llamadas","Otro")))</f>
        <v/>
      </c>
      <c r="I3899" s="23" t="str">
        <f aca="false">IF(A3899="","",IF(C3899="No encontrado","No","Sí"))</f>
        <v/>
      </c>
      <c r="J3899" s="23" t="str">
        <f aca="false">IF(A3899="","",IF(F3899="Inactivo","No","Sí"))</f>
        <v/>
      </c>
      <c r="K3899" s="23" t="str">
        <f aca="false">IF(A3899="","",IF(AND(I3899="Sí",J3899="Sí"),"Sí","No"))</f>
        <v/>
      </c>
    </row>
    <row r="3900" customFormat="false" ht="15" hidden="false" customHeight="false" outlineLevel="0" collapsed="false">
      <c r="A3900" s="22"/>
      <c r="B3900" s="22"/>
      <c r="C3900" s="26" t="str">
        <f aca="false">IF(A3900="","",IFERROR(buscarx(A3900&amp;B3900,DATA!$E$3:$E$10000&amp;DATA!$B$3:$B$10000,DATA!$M$3:$M$10000),"No encontrado"))</f>
        <v/>
      </c>
      <c r="D3900" s="27" t="str">
        <f aca="false">IF(A3900="","",IFERROR(buscarx(A3900&amp;B3900,DATA!$E$3:$E$10000&amp;DATA!$B$3:$B$10000,DATA!$W$3:$W$10000),"No encontrado"))</f>
        <v/>
      </c>
      <c r="E3900" s="22"/>
      <c r="F3900" s="26" t="str">
        <f aca="false">IF(A3900="","",IFERROR(buscarx(A3900&amp;E3900,DATA!$E$3:$E$10000&amp;DATA!$B$3:$B$10000,DATA!$M$3:$M$10000),"Inactivo"))</f>
        <v/>
      </c>
      <c r="G3900" s="28" t="str">
        <f aca="false">IF(A3900="","",IF(AND(C3900&lt;&gt;"No encontrado",F3900&lt;&gt;"Inactivo"),C3900&amp;" → "&amp;F3900,"Sin transición"))</f>
        <v/>
      </c>
      <c r="H3900" s="26" t="str">
        <f aca="false">IF(A3900="","",IF(D3900="GCIA LINEA SERVICIO DIGITALIDAD Y VENTAS","Chats",IF(OR(D3900="GERENCIA INBOUND LÍNEAS SERVICIO Y VENTA",D3900="GERENCIA INBOUND LINEAS ESPECIALIZADAS"),"Llamadas","Otro")))</f>
        <v/>
      </c>
      <c r="I3900" s="26" t="str">
        <f aca="false">IF(A3900="","",IF(C3900="No encontrado","No","Sí"))</f>
        <v/>
      </c>
      <c r="J3900" s="26" t="str">
        <f aca="false">IF(A3900="","",IF(F3900="Inactivo","No","Sí"))</f>
        <v/>
      </c>
      <c r="K3900" s="26" t="str">
        <f aca="false">IF(A3900="","",IF(AND(I3900="Sí",J3900="Sí"),"Sí","No"))</f>
        <v/>
      </c>
    </row>
    <row r="3901" customFormat="false" ht="15" hidden="false" customHeight="false" outlineLevel="0" collapsed="false">
      <c r="A3901" s="22"/>
      <c r="B3901" s="22"/>
      <c r="C3901" s="23" t="str">
        <f aca="false">IF(A3901="","",IFERROR(buscarx(A3901&amp;B3901,DATA!$E$3:$E$10000&amp;DATA!$B$3:$B$10000,DATA!$M$3:$M$10000),"No encontrado"))</f>
        <v/>
      </c>
      <c r="D3901" s="24" t="str">
        <f aca="false">IF(A3901="","",IFERROR(buscarx(A3901&amp;B3901,DATA!$E$3:$E$10000&amp;DATA!$B$3:$B$10000,DATA!$W$3:$W$10000),"No encontrado"))</f>
        <v/>
      </c>
      <c r="E3901" s="22"/>
      <c r="F3901" s="23" t="str">
        <f aca="false">IF(A3901="","",IFERROR(buscarx(A3901&amp;E3901,DATA!$E$3:$E$10000&amp;DATA!$B$3:$B$10000,DATA!$M$3:$M$10000),"Inactivo"))</f>
        <v/>
      </c>
      <c r="G3901" s="25" t="str">
        <f aca="false">IF(A3901="","",IF(AND(C3901&lt;&gt;"No encontrado",F3901&lt;&gt;"Inactivo"),C3901&amp;" → "&amp;F3901,"Sin transición"))</f>
        <v/>
      </c>
      <c r="H3901" s="23" t="str">
        <f aca="false">IF(A3901="","",IF(D3901="GCIA LINEA SERVICIO DIGITALIDAD Y VENTAS","Chats",IF(OR(D3901="GERENCIA INBOUND LÍNEAS SERVICIO Y VENTA",D3901="GERENCIA INBOUND LINEAS ESPECIALIZADAS"),"Llamadas","Otro")))</f>
        <v/>
      </c>
      <c r="I3901" s="23" t="str">
        <f aca="false">IF(A3901="","",IF(C3901="No encontrado","No","Sí"))</f>
        <v/>
      </c>
      <c r="J3901" s="23" t="str">
        <f aca="false">IF(A3901="","",IF(F3901="Inactivo","No","Sí"))</f>
        <v/>
      </c>
      <c r="K3901" s="23" t="str">
        <f aca="false">IF(A3901="","",IF(AND(I3901="Sí",J3901="Sí"),"Sí","No"))</f>
        <v/>
      </c>
    </row>
    <row r="3902" customFormat="false" ht="15" hidden="false" customHeight="false" outlineLevel="0" collapsed="false">
      <c r="A3902" s="22"/>
      <c r="B3902" s="22"/>
      <c r="C3902" s="26" t="str">
        <f aca="false">IF(A3902="","",IFERROR(buscarx(A3902&amp;B3902,DATA!$E$3:$E$10000&amp;DATA!$B$3:$B$10000,DATA!$M$3:$M$10000),"No encontrado"))</f>
        <v/>
      </c>
      <c r="D3902" s="27" t="str">
        <f aca="false">IF(A3902="","",IFERROR(buscarx(A3902&amp;B3902,DATA!$E$3:$E$10000&amp;DATA!$B$3:$B$10000,DATA!$W$3:$W$10000),"No encontrado"))</f>
        <v/>
      </c>
      <c r="E3902" s="22"/>
      <c r="F3902" s="26" t="str">
        <f aca="false">IF(A3902="","",IFERROR(buscarx(A3902&amp;E3902,DATA!$E$3:$E$10000&amp;DATA!$B$3:$B$10000,DATA!$M$3:$M$10000),"Inactivo"))</f>
        <v/>
      </c>
      <c r="G3902" s="28" t="str">
        <f aca="false">IF(A3902="","",IF(AND(C3902&lt;&gt;"No encontrado",F3902&lt;&gt;"Inactivo"),C3902&amp;" → "&amp;F3902,"Sin transición"))</f>
        <v/>
      </c>
      <c r="H3902" s="26" t="str">
        <f aca="false">IF(A3902="","",IF(D3902="GCIA LINEA SERVICIO DIGITALIDAD Y VENTAS","Chats",IF(OR(D3902="GERENCIA INBOUND LÍNEAS SERVICIO Y VENTA",D3902="GERENCIA INBOUND LINEAS ESPECIALIZADAS"),"Llamadas","Otro")))</f>
        <v/>
      </c>
      <c r="I3902" s="26" t="str">
        <f aca="false">IF(A3902="","",IF(C3902="No encontrado","No","Sí"))</f>
        <v/>
      </c>
      <c r="J3902" s="26" t="str">
        <f aca="false">IF(A3902="","",IF(F3902="Inactivo","No","Sí"))</f>
        <v/>
      </c>
      <c r="K3902" s="26" t="str">
        <f aca="false">IF(A3902="","",IF(AND(I3902="Sí",J3902="Sí"),"Sí","No"))</f>
        <v/>
      </c>
    </row>
    <row r="3903" customFormat="false" ht="15" hidden="false" customHeight="false" outlineLevel="0" collapsed="false">
      <c r="A3903" s="22"/>
      <c r="B3903" s="22"/>
      <c r="C3903" s="23" t="str">
        <f aca="false">IF(A3903="","",IFERROR(buscarx(A3903&amp;B3903,DATA!$E$3:$E$10000&amp;DATA!$B$3:$B$10000,DATA!$M$3:$M$10000),"No encontrado"))</f>
        <v/>
      </c>
      <c r="D3903" s="24" t="str">
        <f aca="false">IF(A3903="","",IFERROR(buscarx(A3903&amp;B3903,DATA!$E$3:$E$10000&amp;DATA!$B$3:$B$10000,DATA!$W$3:$W$10000),"No encontrado"))</f>
        <v/>
      </c>
      <c r="E3903" s="22"/>
      <c r="F3903" s="23" t="str">
        <f aca="false">IF(A3903="","",IFERROR(buscarx(A3903&amp;E3903,DATA!$E$3:$E$10000&amp;DATA!$B$3:$B$10000,DATA!$M$3:$M$10000),"Inactivo"))</f>
        <v/>
      </c>
      <c r="G3903" s="25" t="str">
        <f aca="false">IF(A3903="","",IF(AND(C3903&lt;&gt;"No encontrado",F3903&lt;&gt;"Inactivo"),C3903&amp;" → "&amp;F3903,"Sin transición"))</f>
        <v/>
      </c>
      <c r="H3903" s="23" t="str">
        <f aca="false">IF(A3903="","",IF(D3903="GCIA LINEA SERVICIO DIGITALIDAD Y VENTAS","Chats",IF(OR(D3903="GERENCIA INBOUND LÍNEAS SERVICIO Y VENTA",D3903="GERENCIA INBOUND LINEAS ESPECIALIZADAS"),"Llamadas","Otro")))</f>
        <v/>
      </c>
      <c r="I3903" s="23" t="str">
        <f aca="false">IF(A3903="","",IF(C3903="No encontrado","No","Sí"))</f>
        <v/>
      </c>
      <c r="J3903" s="23" t="str">
        <f aca="false">IF(A3903="","",IF(F3903="Inactivo","No","Sí"))</f>
        <v/>
      </c>
      <c r="K3903" s="23" t="str">
        <f aca="false">IF(A3903="","",IF(AND(I3903="Sí",J3903="Sí"),"Sí","No"))</f>
        <v/>
      </c>
    </row>
    <row r="3904" customFormat="false" ht="15" hidden="false" customHeight="false" outlineLevel="0" collapsed="false">
      <c r="A3904" s="22"/>
      <c r="B3904" s="22"/>
      <c r="C3904" s="26" t="str">
        <f aca="false">IF(A3904="","",IFERROR(buscarx(A3904&amp;B3904,DATA!$E$3:$E$10000&amp;DATA!$B$3:$B$10000,DATA!$M$3:$M$10000),"No encontrado"))</f>
        <v/>
      </c>
      <c r="D3904" s="27" t="str">
        <f aca="false">IF(A3904="","",IFERROR(buscarx(A3904&amp;B3904,DATA!$E$3:$E$10000&amp;DATA!$B$3:$B$10000,DATA!$W$3:$W$10000),"No encontrado"))</f>
        <v/>
      </c>
      <c r="E3904" s="22"/>
      <c r="F3904" s="26" t="str">
        <f aca="false">IF(A3904="","",IFERROR(buscarx(A3904&amp;E3904,DATA!$E$3:$E$10000&amp;DATA!$B$3:$B$10000,DATA!$M$3:$M$10000),"Inactivo"))</f>
        <v/>
      </c>
      <c r="G3904" s="28" t="str">
        <f aca="false">IF(A3904="","",IF(AND(C3904&lt;&gt;"No encontrado",F3904&lt;&gt;"Inactivo"),C3904&amp;" → "&amp;F3904,"Sin transición"))</f>
        <v/>
      </c>
      <c r="H3904" s="26" t="str">
        <f aca="false">IF(A3904="","",IF(D3904="GCIA LINEA SERVICIO DIGITALIDAD Y VENTAS","Chats",IF(OR(D3904="GERENCIA INBOUND LÍNEAS SERVICIO Y VENTA",D3904="GERENCIA INBOUND LINEAS ESPECIALIZADAS"),"Llamadas","Otro")))</f>
        <v/>
      </c>
      <c r="I3904" s="26" t="str">
        <f aca="false">IF(A3904="","",IF(C3904="No encontrado","No","Sí"))</f>
        <v/>
      </c>
      <c r="J3904" s="26" t="str">
        <f aca="false">IF(A3904="","",IF(F3904="Inactivo","No","Sí"))</f>
        <v/>
      </c>
      <c r="K3904" s="26" t="str">
        <f aca="false">IF(A3904="","",IF(AND(I3904="Sí",J3904="Sí"),"Sí","No"))</f>
        <v/>
      </c>
    </row>
    <row r="3905" customFormat="false" ht="15" hidden="false" customHeight="false" outlineLevel="0" collapsed="false">
      <c r="A3905" s="22"/>
      <c r="B3905" s="22"/>
      <c r="C3905" s="23" t="str">
        <f aca="false">IF(A3905="","",IFERROR(buscarx(A3905&amp;B3905,DATA!$E$3:$E$10000&amp;DATA!$B$3:$B$10000,DATA!$M$3:$M$10000),"No encontrado"))</f>
        <v/>
      </c>
      <c r="D3905" s="24" t="str">
        <f aca="false">IF(A3905="","",IFERROR(buscarx(A3905&amp;B3905,DATA!$E$3:$E$10000&amp;DATA!$B$3:$B$10000,DATA!$W$3:$W$10000),"No encontrado"))</f>
        <v/>
      </c>
      <c r="E3905" s="22"/>
      <c r="F3905" s="23" t="str">
        <f aca="false">IF(A3905="","",IFERROR(buscarx(A3905&amp;E3905,DATA!$E$3:$E$10000&amp;DATA!$B$3:$B$10000,DATA!$M$3:$M$10000),"Inactivo"))</f>
        <v/>
      </c>
      <c r="G3905" s="25" t="str">
        <f aca="false">IF(A3905="","",IF(AND(C3905&lt;&gt;"No encontrado",F3905&lt;&gt;"Inactivo"),C3905&amp;" → "&amp;F3905,"Sin transición"))</f>
        <v/>
      </c>
      <c r="H3905" s="23" t="str">
        <f aca="false">IF(A3905="","",IF(D3905="GCIA LINEA SERVICIO DIGITALIDAD Y VENTAS","Chats",IF(OR(D3905="GERENCIA INBOUND LÍNEAS SERVICIO Y VENTA",D3905="GERENCIA INBOUND LINEAS ESPECIALIZADAS"),"Llamadas","Otro")))</f>
        <v/>
      </c>
      <c r="I3905" s="23" t="str">
        <f aca="false">IF(A3905="","",IF(C3905="No encontrado","No","Sí"))</f>
        <v/>
      </c>
      <c r="J3905" s="23" t="str">
        <f aca="false">IF(A3905="","",IF(F3905="Inactivo","No","Sí"))</f>
        <v/>
      </c>
      <c r="K3905" s="23" t="str">
        <f aca="false">IF(A3905="","",IF(AND(I3905="Sí",J3905="Sí"),"Sí","No"))</f>
        <v/>
      </c>
    </row>
    <row r="3906" customFormat="false" ht="15" hidden="false" customHeight="false" outlineLevel="0" collapsed="false">
      <c r="A3906" s="22"/>
      <c r="B3906" s="22"/>
      <c r="C3906" s="26" t="str">
        <f aca="false">IF(A3906="","",IFERROR(buscarx(A3906&amp;B3906,DATA!$E$3:$E$10000&amp;DATA!$B$3:$B$10000,DATA!$M$3:$M$10000),"No encontrado"))</f>
        <v/>
      </c>
      <c r="D3906" s="27" t="str">
        <f aca="false">IF(A3906="","",IFERROR(buscarx(A3906&amp;B3906,DATA!$E$3:$E$10000&amp;DATA!$B$3:$B$10000,DATA!$W$3:$W$10000),"No encontrado"))</f>
        <v/>
      </c>
      <c r="E3906" s="22"/>
      <c r="F3906" s="26" t="str">
        <f aca="false">IF(A3906="","",IFERROR(buscarx(A3906&amp;E3906,DATA!$E$3:$E$10000&amp;DATA!$B$3:$B$10000,DATA!$M$3:$M$10000),"Inactivo"))</f>
        <v/>
      </c>
      <c r="G3906" s="28" t="str">
        <f aca="false">IF(A3906="","",IF(AND(C3906&lt;&gt;"No encontrado",F3906&lt;&gt;"Inactivo"),C3906&amp;" → "&amp;F3906,"Sin transición"))</f>
        <v/>
      </c>
      <c r="H3906" s="26" t="str">
        <f aca="false">IF(A3906="","",IF(D3906="GCIA LINEA SERVICIO DIGITALIDAD Y VENTAS","Chats",IF(OR(D3906="GERENCIA INBOUND LÍNEAS SERVICIO Y VENTA",D3906="GERENCIA INBOUND LINEAS ESPECIALIZADAS"),"Llamadas","Otro")))</f>
        <v/>
      </c>
      <c r="I3906" s="26" t="str">
        <f aca="false">IF(A3906="","",IF(C3906="No encontrado","No","Sí"))</f>
        <v/>
      </c>
      <c r="J3906" s="26" t="str">
        <f aca="false">IF(A3906="","",IF(F3906="Inactivo","No","Sí"))</f>
        <v/>
      </c>
      <c r="K3906" s="26" t="str">
        <f aca="false">IF(A3906="","",IF(AND(I3906="Sí",J3906="Sí"),"Sí","No"))</f>
        <v/>
      </c>
    </row>
    <row r="3907" customFormat="false" ht="15" hidden="false" customHeight="false" outlineLevel="0" collapsed="false">
      <c r="A3907" s="22"/>
      <c r="B3907" s="22"/>
      <c r="C3907" s="23" t="str">
        <f aca="false">IF(A3907="","",IFERROR(buscarx(A3907&amp;B3907,DATA!$E$3:$E$10000&amp;DATA!$B$3:$B$10000,DATA!$M$3:$M$10000),"No encontrado"))</f>
        <v/>
      </c>
      <c r="D3907" s="24" t="str">
        <f aca="false">IF(A3907="","",IFERROR(buscarx(A3907&amp;B3907,DATA!$E$3:$E$10000&amp;DATA!$B$3:$B$10000,DATA!$W$3:$W$10000),"No encontrado"))</f>
        <v/>
      </c>
      <c r="E3907" s="22"/>
      <c r="F3907" s="23" t="str">
        <f aca="false">IF(A3907="","",IFERROR(buscarx(A3907&amp;E3907,DATA!$E$3:$E$10000&amp;DATA!$B$3:$B$10000,DATA!$M$3:$M$10000),"Inactivo"))</f>
        <v/>
      </c>
      <c r="G3907" s="25" t="str">
        <f aca="false">IF(A3907="","",IF(AND(C3907&lt;&gt;"No encontrado",F3907&lt;&gt;"Inactivo"),C3907&amp;" → "&amp;F3907,"Sin transición"))</f>
        <v/>
      </c>
      <c r="H3907" s="23" t="str">
        <f aca="false">IF(A3907="","",IF(D3907="GCIA LINEA SERVICIO DIGITALIDAD Y VENTAS","Chats",IF(OR(D3907="GERENCIA INBOUND LÍNEAS SERVICIO Y VENTA",D3907="GERENCIA INBOUND LINEAS ESPECIALIZADAS"),"Llamadas","Otro")))</f>
        <v/>
      </c>
      <c r="I3907" s="23" t="str">
        <f aca="false">IF(A3907="","",IF(C3907="No encontrado","No","Sí"))</f>
        <v/>
      </c>
      <c r="J3907" s="23" t="str">
        <f aca="false">IF(A3907="","",IF(F3907="Inactivo","No","Sí"))</f>
        <v/>
      </c>
      <c r="K3907" s="23" t="str">
        <f aca="false">IF(A3907="","",IF(AND(I3907="Sí",J3907="Sí"),"Sí","No"))</f>
        <v/>
      </c>
    </row>
    <row r="3908" customFormat="false" ht="15" hidden="false" customHeight="false" outlineLevel="0" collapsed="false">
      <c r="A3908" s="22"/>
      <c r="B3908" s="22"/>
      <c r="C3908" s="26" t="str">
        <f aca="false">IF(A3908="","",IFERROR(buscarx(A3908&amp;B3908,DATA!$E$3:$E$10000&amp;DATA!$B$3:$B$10000,DATA!$M$3:$M$10000),"No encontrado"))</f>
        <v/>
      </c>
      <c r="D3908" s="27" t="str">
        <f aca="false">IF(A3908="","",IFERROR(buscarx(A3908&amp;B3908,DATA!$E$3:$E$10000&amp;DATA!$B$3:$B$10000,DATA!$W$3:$W$10000),"No encontrado"))</f>
        <v/>
      </c>
      <c r="E3908" s="22"/>
      <c r="F3908" s="26" t="str">
        <f aca="false">IF(A3908="","",IFERROR(buscarx(A3908&amp;E3908,DATA!$E$3:$E$10000&amp;DATA!$B$3:$B$10000,DATA!$M$3:$M$10000),"Inactivo"))</f>
        <v/>
      </c>
      <c r="G3908" s="28" t="str">
        <f aca="false">IF(A3908="","",IF(AND(C3908&lt;&gt;"No encontrado",F3908&lt;&gt;"Inactivo"),C3908&amp;" → "&amp;F3908,"Sin transición"))</f>
        <v/>
      </c>
      <c r="H3908" s="26" t="str">
        <f aca="false">IF(A3908="","",IF(D3908="GCIA LINEA SERVICIO DIGITALIDAD Y VENTAS","Chats",IF(OR(D3908="GERENCIA INBOUND LÍNEAS SERVICIO Y VENTA",D3908="GERENCIA INBOUND LINEAS ESPECIALIZADAS"),"Llamadas","Otro")))</f>
        <v/>
      </c>
      <c r="I3908" s="26" t="str">
        <f aca="false">IF(A3908="","",IF(C3908="No encontrado","No","Sí"))</f>
        <v/>
      </c>
      <c r="J3908" s="26" t="str">
        <f aca="false">IF(A3908="","",IF(F3908="Inactivo","No","Sí"))</f>
        <v/>
      </c>
      <c r="K3908" s="26" t="str">
        <f aca="false">IF(A3908="","",IF(AND(I3908="Sí",J3908="Sí"),"Sí","No"))</f>
        <v/>
      </c>
    </row>
    <row r="3909" customFormat="false" ht="15" hidden="false" customHeight="false" outlineLevel="0" collapsed="false">
      <c r="A3909" s="22"/>
      <c r="B3909" s="22"/>
      <c r="C3909" s="23" t="str">
        <f aca="false">IF(A3909="","",IFERROR(buscarx(A3909&amp;B3909,DATA!$E$3:$E$10000&amp;DATA!$B$3:$B$10000,DATA!$M$3:$M$10000),"No encontrado"))</f>
        <v/>
      </c>
      <c r="D3909" s="24" t="str">
        <f aca="false">IF(A3909="","",IFERROR(buscarx(A3909&amp;B3909,DATA!$E$3:$E$10000&amp;DATA!$B$3:$B$10000,DATA!$W$3:$W$10000),"No encontrado"))</f>
        <v/>
      </c>
      <c r="E3909" s="22"/>
      <c r="F3909" s="23" t="str">
        <f aca="false">IF(A3909="","",IFERROR(buscarx(A3909&amp;E3909,DATA!$E$3:$E$10000&amp;DATA!$B$3:$B$10000,DATA!$M$3:$M$10000),"Inactivo"))</f>
        <v/>
      </c>
      <c r="G3909" s="25" t="str">
        <f aca="false">IF(A3909="","",IF(AND(C3909&lt;&gt;"No encontrado",F3909&lt;&gt;"Inactivo"),C3909&amp;" → "&amp;F3909,"Sin transición"))</f>
        <v/>
      </c>
      <c r="H3909" s="23" t="str">
        <f aca="false">IF(A3909="","",IF(D3909="GCIA LINEA SERVICIO DIGITALIDAD Y VENTAS","Chats",IF(OR(D3909="GERENCIA INBOUND LÍNEAS SERVICIO Y VENTA",D3909="GERENCIA INBOUND LINEAS ESPECIALIZADAS"),"Llamadas","Otro")))</f>
        <v/>
      </c>
      <c r="I3909" s="23" t="str">
        <f aca="false">IF(A3909="","",IF(C3909="No encontrado","No","Sí"))</f>
        <v/>
      </c>
      <c r="J3909" s="23" t="str">
        <f aca="false">IF(A3909="","",IF(F3909="Inactivo","No","Sí"))</f>
        <v/>
      </c>
      <c r="K3909" s="23" t="str">
        <f aca="false">IF(A3909="","",IF(AND(I3909="Sí",J3909="Sí"),"Sí","No"))</f>
        <v/>
      </c>
    </row>
    <row r="3910" customFormat="false" ht="15" hidden="false" customHeight="false" outlineLevel="0" collapsed="false">
      <c r="A3910" s="22"/>
      <c r="B3910" s="22"/>
      <c r="C3910" s="26" t="str">
        <f aca="false">IF(A3910="","",IFERROR(buscarx(A3910&amp;B3910,DATA!$E$3:$E$10000&amp;DATA!$B$3:$B$10000,DATA!$M$3:$M$10000),"No encontrado"))</f>
        <v/>
      </c>
      <c r="D3910" s="27" t="str">
        <f aca="false">IF(A3910="","",IFERROR(buscarx(A3910&amp;B3910,DATA!$E$3:$E$10000&amp;DATA!$B$3:$B$10000,DATA!$W$3:$W$10000),"No encontrado"))</f>
        <v/>
      </c>
      <c r="E3910" s="22"/>
      <c r="F3910" s="26" t="str">
        <f aca="false">IF(A3910="","",IFERROR(buscarx(A3910&amp;E3910,DATA!$E$3:$E$10000&amp;DATA!$B$3:$B$10000,DATA!$M$3:$M$10000),"Inactivo"))</f>
        <v/>
      </c>
      <c r="G3910" s="28" t="str">
        <f aca="false">IF(A3910="","",IF(AND(C3910&lt;&gt;"No encontrado",F3910&lt;&gt;"Inactivo"),C3910&amp;" → "&amp;F3910,"Sin transición"))</f>
        <v/>
      </c>
      <c r="H3910" s="26" t="str">
        <f aca="false">IF(A3910="","",IF(D3910="GCIA LINEA SERVICIO DIGITALIDAD Y VENTAS","Chats",IF(OR(D3910="GERENCIA INBOUND LÍNEAS SERVICIO Y VENTA",D3910="GERENCIA INBOUND LINEAS ESPECIALIZADAS"),"Llamadas","Otro")))</f>
        <v/>
      </c>
      <c r="I3910" s="26" t="str">
        <f aca="false">IF(A3910="","",IF(C3910="No encontrado","No","Sí"))</f>
        <v/>
      </c>
      <c r="J3910" s="26" t="str">
        <f aca="false">IF(A3910="","",IF(F3910="Inactivo","No","Sí"))</f>
        <v/>
      </c>
      <c r="K3910" s="26" t="str">
        <f aca="false">IF(A3910="","",IF(AND(I3910="Sí",J3910="Sí"),"Sí","No"))</f>
        <v/>
      </c>
    </row>
    <row r="3911" customFormat="false" ht="15" hidden="false" customHeight="false" outlineLevel="0" collapsed="false">
      <c r="A3911" s="22"/>
      <c r="B3911" s="22"/>
      <c r="C3911" s="23" t="str">
        <f aca="false">IF(A3911="","",IFERROR(buscarx(A3911&amp;B3911,DATA!$E$3:$E$10000&amp;DATA!$B$3:$B$10000,DATA!$M$3:$M$10000),"No encontrado"))</f>
        <v/>
      </c>
      <c r="D3911" s="24" t="str">
        <f aca="false">IF(A3911="","",IFERROR(buscarx(A3911&amp;B3911,DATA!$E$3:$E$10000&amp;DATA!$B$3:$B$10000,DATA!$W$3:$W$10000),"No encontrado"))</f>
        <v/>
      </c>
      <c r="E3911" s="22"/>
      <c r="F3911" s="23" t="str">
        <f aca="false">IF(A3911="","",IFERROR(buscarx(A3911&amp;E3911,DATA!$E$3:$E$10000&amp;DATA!$B$3:$B$10000,DATA!$M$3:$M$10000),"Inactivo"))</f>
        <v/>
      </c>
      <c r="G3911" s="25" t="str">
        <f aca="false">IF(A3911="","",IF(AND(C3911&lt;&gt;"No encontrado",F3911&lt;&gt;"Inactivo"),C3911&amp;" → "&amp;F3911,"Sin transición"))</f>
        <v/>
      </c>
      <c r="H3911" s="23" t="str">
        <f aca="false">IF(A3911="","",IF(D3911="GCIA LINEA SERVICIO DIGITALIDAD Y VENTAS","Chats",IF(OR(D3911="GERENCIA INBOUND LÍNEAS SERVICIO Y VENTA",D3911="GERENCIA INBOUND LINEAS ESPECIALIZADAS"),"Llamadas","Otro")))</f>
        <v/>
      </c>
      <c r="I3911" s="23" t="str">
        <f aca="false">IF(A3911="","",IF(C3911="No encontrado","No","Sí"))</f>
        <v/>
      </c>
      <c r="J3911" s="23" t="str">
        <f aca="false">IF(A3911="","",IF(F3911="Inactivo","No","Sí"))</f>
        <v/>
      </c>
      <c r="K3911" s="23" t="str">
        <f aca="false">IF(A3911="","",IF(AND(I3911="Sí",J3911="Sí"),"Sí","No"))</f>
        <v/>
      </c>
    </row>
    <row r="3912" customFormat="false" ht="15" hidden="false" customHeight="false" outlineLevel="0" collapsed="false">
      <c r="A3912" s="22"/>
      <c r="B3912" s="22"/>
      <c r="C3912" s="26" t="str">
        <f aca="false">IF(A3912="","",IFERROR(buscarx(A3912&amp;B3912,DATA!$E$3:$E$10000&amp;DATA!$B$3:$B$10000,DATA!$M$3:$M$10000),"No encontrado"))</f>
        <v/>
      </c>
      <c r="D3912" s="27" t="str">
        <f aca="false">IF(A3912="","",IFERROR(buscarx(A3912&amp;B3912,DATA!$E$3:$E$10000&amp;DATA!$B$3:$B$10000,DATA!$W$3:$W$10000),"No encontrado"))</f>
        <v/>
      </c>
      <c r="E3912" s="22"/>
      <c r="F3912" s="26" t="str">
        <f aca="false">IF(A3912="","",IFERROR(buscarx(A3912&amp;E3912,DATA!$E$3:$E$10000&amp;DATA!$B$3:$B$10000,DATA!$M$3:$M$10000),"Inactivo"))</f>
        <v/>
      </c>
      <c r="G3912" s="28" t="str">
        <f aca="false">IF(A3912="","",IF(AND(C3912&lt;&gt;"No encontrado",F3912&lt;&gt;"Inactivo"),C3912&amp;" → "&amp;F3912,"Sin transición"))</f>
        <v/>
      </c>
      <c r="H3912" s="26" t="str">
        <f aca="false">IF(A3912="","",IF(D3912="GCIA LINEA SERVICIO DIGITALIDAD Y VENTAS","Chats",IF(OR(D3912="GERENCIA INBOUND LÍNEAS SERVICIO Y VENTA",D3912="GERENCIA INBOUND LINEAS ESPECIALIZADAS"),"Llamadas","Otro")))</f>
        <v/>
      </c>
      <c r="I3912" s="26" t="str">
        <f aca="false">IF(A3912="","",IF(C3912="No encontrado","No","Sí"))</f>
        <v/>
      </c>
      <c r="J3912" s="26" t="str">
        <f aca="false">IF(A3912="","",IF(F3912="Inactivo","No","Sí"))</f>
        <v/>
      </c>
      <c r="K3912" s="26" t="str">
        <f aca="false">IF(A3912="","",IF(AND(I3912="Sí",J3912="Sí"),"Sí","No"))</f>
        <v/>
      </c>
    </row>
    <row r="3913" customFormat="false" ht="15" hidden="false" customHeight="false" outlineLevel="0" collapsed="false">
      <c r="A3913" s="22"/>
      <c r="B3913" s="22"/>
      <c r="C3913" s="23" t="str">
        <f aca="false">IF(A3913="","",IFERROR(buscarx(A3913&amp;B3913,DATA!$E$3:$E$10000&amp;DATA!$B$3:$B$10000,DATA!$M$3:$M$10000),"No encontrado"))</f>
        <v/>
      </c>
      <c r="D3913" s="24" t="str">
        <f aca="false">IF(A3913="","",IFERROR(buscarx(A3913&amp;B3913,DATA!$E$3:$E$10000&amp;DATA!$B$3:$B$10000,DATA!$W$3:$W$10000),"No encontrado"))</f>
        <v/>
      </c>
      <c r="E3913" s="22"/>
      <c r="F3913" s="23" t="str">
        <f aca="false">IF(A3913="","",IFERROR(buscarx(A3913&amp;E3913,DATA!$E$3:$E$10000&amp;DATA!$B$3:$B$10000,DATA!$M$3:$M$10000),"Inactivo"))</f>
        <v/>
      </c>
      <c r="G3913" s="25" t="str">
        <f aca="false">IF(A3913="","",IF(AND(C3913&lt;&gt;"No encontrado",F3913&lt;&gt;"Inactivo"),C3913&amp;" → "&amp;F3913,"Sin transición"))</f>
        <v/>
      </c>
      <c r="H3913" s="23" t="str">
        <f aca="false">IF(A3913="","",IF(D3913="GCIA LINEA SERVICIO DIGITALIDAD Y VENTAS","Chats",IF(OR(D3913="GERENCIA INBOUND LÍNEAS SERVICIO Y VENTA",D3913="GERENCIA INBOUND LINEAS ESPECIALIZADAS"),"Llamadas","Otro")))</f>
        <v/>
      </c>
      <c r="I3913" s="23" t="str">
        <f aca="false">IF(A3913="","",IF(C3913="No encontrado","No","Sí"))</f>
        <v/>
      </c>
      <c r="J3913" s="23" t="str">
        <f aca="false">IF(A3913="","",IF(F3913="Inactivo","No","Sí"))</f>
        <v/>
      </c>
      <c r="K3913" s="23" t="str">
        <f aca="false">IF(A3913="","",IF(AND(I3913="Sí",J3913="Sí"),"Sí","No"))</f>
        <v/>
      </c>
    </row>
    <row r="3914" customFormat="false" ht="15" hidden="false" customHeight="false" outlineLevel="0" collapsed="false">
      <c r="A3914" s="22"/>
      <c r="B3914" s="22"/>
      <c r="C3914" s="26" t="str">
        <f aca="false">IF(A3914="","",IFERROR(buscarx(A3914&amp;B3914,DATA!$E$3:$E$10000&amp;DATA!$B$3:$B$10000,DATA!$M$3:$M$10000),"No encontrado"))</f>
        <v/>
      </c>
      <c r="D3914" s="27" t="str">
        <f aca="false">IF(A3914="","",IFERROR(buscarx(A3914&amp;B3914,DATA!$E$3:$E$10000&amp;DATA!$B$3:$B$10000,DATA!$W$3:$W$10000),"No encontrado"))</f>
        <v/>
      </c>
      <c r="E3914" s="22"/>
      <c r="F3914" s="26" t="str">
        <f aca="false">IF(A3914="","",IFERROR(buscarx(A3914&amp;E3914,DATA!$E$3:$E$10000&amp;DATA!$B$3:$B$10000,DATA!$M$3:$M$10000),"Inactivo"))</f>
        <v/>
      </c>
      <c r="G3914" s="28" t="str">
        <f aca="false">IF(A3914="","",IF(AND(C3914&lt;&gt;"No encontrado",F3914&lt;&gt;"Inactivo"),C3914&amp;" → "&amp;F3914,"Sin transición"))</f>
        <v/>
      </c>
      <c r="H3914" s="26" t="str">
        <f aca="false">IF(A3914="","",IF(D3914="GCIA LINEA SERVICIO DIGITALIDAD Y VENTAS","Chats",IF(OR(D3914="GERENCIA INBOUND LÍNEAS SERVICIO Y VENTA",D3914="GERENCIA INBOUND LINEAS ESPECIALIZADAS"),"Llamadas","Otro")))</f>
        <v/>
      </c>
      <c r="I3914" s="26" t="str">
        <f aca="false">IF(A3914="","",IF(C3914="No encontrado","No","Sí"))</f>
        <v/>
      </c>
      <c r="J3914" s="26" t="str">
        <f aca="false">IF(A3914="","",IF(F3914="Inactivo","No","Sí"))</f>
        <v/>
      </c>
      <c r="K3914" s="26" t="str">
        <f aca="false">IF(A3914="","",IF(AND(I3914="Sí",J3914="Sí"),"Sí","No"))</f>
        <v/>
      </c>
    </row>
    <row r="3915" customFormat="false" ht="15" hidden="false" customHeight="false" outlineLevel="0" collapsed="false">
      <c r="A3915" s="22"/>
      <c r="B3915" s="22"/>
      <c r="C3915" s="23" t="str">
        <f aca="false">IF(A3915="","",IFERROR(buscarx(A3915&amp;B3915,DATA!$E$3:$E$10000&amp;DATA!$B$3:$B$10000,DATA!$M$3:$M$10000),"No encontrado"))</f>
        <v/>
      </c>
      <c r="D3915" s="24" t="str">
        <f aca="false">IF(A3915="","",IFERROR(buscarx(A3915&amp;B3915,DATA!$E$3:$E$10000&amp;DATA!$B$3:$B$10000,DATA!$W$3:$W$10000),"No encontrado"))</f>
        <v/>
      </c>
      <c r="E3915" s="22"/>
      <c r="F3915" s="23" t="str">
        <f aca="false">IF(A3915="","",IFERROR(buscarx(A3915&amp;E3915,DATA!$E$3:$E$10000&amp;DATA!$B$3:$B$10000,DATA!$M$3:$M$10000),"Inactivo"))</f>
        <v/>
      </c>
      <c r="G3915" s="25" t="str">
        <f aca="false">IF(A3915="","",IF(AND(C3915&lt;&gt;"No encontrado",F3915&lt;&gt;"Inactivo"),C3915&amp;" → "&amp;F3915,"Sin transición"))</f>
        <v/>
      </c>
      <c r="H3915" s="23" t="str">
        <f aca="false">IF(A3915="","",IF(D3915="GCIA LINEA SERVICIO DIGITALIDAD Y VENTAS","Chats",IF(OR(D3915="GERENCIA INBOUND LÍNEAS SERVICIO Y VENTA",D3915="GERENCIA INBOUND LINEAS ESPECIALIZADAS"),"Llamadas","Otro")))</f>
        <v/>
      </c>
      <c r="I3915" s="23" t="str">
        <f aca="false">IF(A3915="","",IF(C3915="No encontrado","No","Sí"))</f>
        <v/>
      </c>
      <c r="J3915" s="23" t="str">
        <f aca="false">IF(A3915="","",IF(F3915="Inactivo","No","Sí"))</f>
        <v/>
      </c>
      <c r="K3915" s="23" t="str">
        <f aca="false">IF(A3915="","",IF(AND(I3915="Sí",J3915="Sí"),"Sí","No"))</f>
        <v/>
      </c>
    </row>
    <row r="3916" customFormat="false" ht="15" hidden="false" customHeight="false" outlineLevel="0" collapsed="false">
      <c r="A3916" s="22"/>
      <c r="B3916" s="22"/>
      <c r="C3916" s="26" t="str">
        <f aca="false">IF(A3916="","",IFERROR(buscarx(A3916&amp;B3916,DATA!$E$3:$E$10000&amp;DATA!$B$3:$B$10000,DATA!$M$3:$M$10000),"No encontrado"))</f>
        <v/>
      </c>
      <c r="D3916" s="27" t="str">
        <f aca="false">IF(A3916="","",IFERROR(buscarx(A3916&amp;B3916,DATA!$E$3:$E$10000&amp;DATA!$B$3:$B$10000,DATA!$W$3:$W$10000),"No encontrado"))</f>
        <v/>
      </c>
      <c r="E3916" s="22"/>
      <c r="F3916" s="26" t="str">
        <f aca="false">IF(A3916="","",IFERROR(buscarx(A3916&amp;E3916,DATA!$E$3:$E$10000&amp;DATA!$B$3:$B$10000,DATA!$M$3:$M$10000),"Inactivo"))</f>
        <v/>
      </c>
      <c r="G3916" s="28" t="str">
        <f aca="false">IF(A3916="","",IF(AND(C3916&lt;&gt;"No encontrado",F3916&lt;&gt;"Inactivo"),C3916&amp;" → "&amp;F3916,"Sin transición"))</f>
        <v/>
      </c>
      <c r="H3916" s="26" t="str">
        <f aca="false">IF(A3916="","",IF(D3916="GCIA LINEA SERVICIO DIGITALIDAD Y VENTAS","Chats",IF(OR(D3916="GERENCIA INBOUND LÍNEAS SERVICIO Y VENTA",D3916="GERENCIA INBOUND LINEAS ESPECIALIZADAS"),"Llamadas","Otro")))</f>
        <v/>
      </c>
      <c r="I3916" s="26" t="str">
        <f aca="false">IF(A3916="","",IF(C3916="No encontrado","No","Sí"))</f>
        <v/>
      </c>
      <c r="J3916" s="26" t="str">
        <f aca="false">IF(A3916="","",IF(F3916="Inactivo","No","Sí"))</f>
        <v/>
      </c>
      <c r="K3916" s="26" t="str">
        <f aca="false">IF(A3916="","",IF(AND(I3916="Sí",J3916="Sí"),"Sí","No"))</f>
        <v/>
      </c>
    </row>
    <row r="3917" customFormat="false" ht="15" hidden="false" customHeight="false" outlineLevel="0" collapsed="false">
      <c r="A3917" s="22"/>
      <c r="B3917" s="22"/>
      <c r="C3917" s="23" t="str">
        <f aca="false">IF(A3917="","",IFERROR(buscarx(A3917&amp;B3917,DATA!$E$3:$E$10000&amp;DATA!$B$3:$B$10000,DATA!$M$3:$M$10000),"No encontrado"))</f>
        <v/>
      </c>
      <c r="D3917" s="24" t="str">
        <f aca="false">IF(A3917="","",IFERROR(buscarx(A3917&amp;B3917,DATA!$E$3:$E$10000&amp;DATA!$B$3:$B$10000,DATA!$W$3:$W$10000),"No encontrado"))</f>
        <v/>
      </c>
      <c r="E3917" s="22"/>
      <c r="F3917" s="23" t="str">
        <f aca="false">IF(A3917="","",IFERROR(buscarx(A3917&amp;E3917,DATA!$E$3:$E$10000&amp;DATA!$B$3:$B$10000,DATA!$M$3:$M$10000),"Inactivo"))</f>
        <v/>
      </c>
      <c r="G3917" s="25" t="str">
        <f aca="false">IF(A3917="","",IF(AND(C3917&lt;&gt;"No encontrado",F3917&lt;&gt;"Inactivo"),C3917&amp;" → "&amp;F3917,"Sin transición"))</f>
        <v/>
      </c>
      <c r="H3917" s="23" t="str">
        <f aca="false">IF(A3917="","",IF(D3917="GCIA LINEA SERVICIO DIGITALIDAD Y VENTAS","Chats",IF(OR(D3917="GERENCIA INBOUND LÍNEAS SERVICIO Y VENTA",D3917="GERENCIA INBOUND LINEAS ESPECIALIZADAS"),"Llamadas","Otro")))</f>
        <v/>
      </c>
      <c r="I3917" s="23" t="str">
        <f aca="false">IF(A3917="","",IF(C3917="No encontrado","No","Sí"))</f>
        <v/>
      </c>
      <c r="J3917" s="23" t="str">
        <f aca="false">IF(A3917="","",IF(F3917="Inactivo","No","Sí"))</f>
        <v/>
      </c>
      <c r="K3917" s="23" t="str">
        <f aca="false">IF(A3917="","",IF(AND(I3917="Sí",J3917="Sí"),"Sí","No"))</f>
        <v/>
      </c>
    </row>
    <row r="3918" customFormat="false" ht="15" hidden="false" customHeight="false" outlineLevel="0" collapsed="false">
      <c r="A3918" s="22"/>
      <c r="B3918" s="22"/>
      <c r="C3918" s="26" t="str">
        <f aca="false">IF(A3918="","",IFERROR(buscarx(A3918&amp;B3918,DATA!$E$3:$E$10000&amp;DATA!$B$3:$B$10000,DATA!$M$3:$M$10000),"No encontrado"))</f>
        <v/>
      </c>
      <c r="D3918" s="27" t="str">
        <f aca="false">IF(A3918="","",IFERROR(buscarx(A3918&amp;B3918,DATA!$E$3:$E$10000&amp;DATA!$B$3:$B$10000,DATA!$W$3:$W$10000),"No encontrado"))</f>
        <v/>
      </c>
      <c r="E3918" s="22"/>
      <c r="F3918" s="26" t="str">
        <f aca="false">IF(A3918="","",IFERROR(buscarx(A3918&amp;E3918,DATA!$E$3:$E$10000&amp;DATA!$B$3:$B$10000,DATA!$M$3:$M$10000),"Inactivo"))</f>
        <v/>
      </c>
      <c r="G3918" s="28" t="str">
        <f aca="false">IF(A3918="","",IF(AND(C3918&lt;&gt;"No encontrado",F3918&lt;&gt;"Inactivo"),C3918&amp;" → "&amp;F3918,"Sin transición"))</f>
        <v/>
      </c>
      <c r="H3918" s="26" t="str">
        <f aca="false">IF(A3918="","",IF(D3918="GCIA LINEA SERVICIO DIGITALIDAD Y VENTAS","Chats",IF(OR(D3918="GERENCIA INBOUND LÍNEAS SERVICIO Y VENTA",D3918="GERENCIA INBOUND LINEAS ESPECIALIZADAS"),"Llamadas","Otro")))</f>
        <v/>
      </c>
      <c r="I3918" s="26" t="str">
        <f aca="false">IF(A3918="","",IF(C3918="No encontrado","No","Sí"))</f>
        <v/>
      </c>
      <c r="J3918" s="26" t="str">
        <f aca="false">IF(A3918="","",IF(F3918="Inactivo","No","Sí"))</f>
        <v/>
      </c>
      <c r="K3918" s="26" t="str">
        <f aca="false">IF(A3918="","",IF(AND(I3918="Sí",J3918="Sí"),"Sí","No"))</f>
        <v/>
      </c>
    </row>
    <row r="3919" customFormat="false" ht="15" hidden="false" customHeight="false" outlineLevel="0" collapsed="false">
      <c r="A3919" s="22"/>
      <c r="B3919" s="22"/>
      <c r="C3919" s="23" t="str">
        <f aca="false">IF(A3919="","",IFERROR(buscarx(A3919&amp;B3919,DATA!$E$3:$E$10000&amp;DATA!$B$3:$B$10000,DATA!$M$3:$M$10000),"No encontrado"))</f>
        <v/>
      </c>
      <c r="D3919" s="24" t="str">
        <f aca="false">IF(A3919="","",IFERROR(buscarx(A3919&amp;B3919,DATA!$E$3:$E$10000&amp;DATA!$B$3:$B$10000,DATA!$W$3:$W$10000),"No encontrado"))</f>
        <v/>
      </c>
      <c r="E3919" s="22"/>
      <c r="F3919" s="23" t="str">
        <f aca="false">IF(A3919="","",IFERROR(buscarx(A3919&amp;E3919,DATA!$E$3:$E$10000&amp;DATA!$B$3:$B$10000,DATA!$M$3:$M$10000),"Inactivo"))</f>
        <v/>
      </c>
      <c r="G3919" s="25" t="str">
        <f aca="false">IF(A3919="","",IF(AND(C3919&lt;&gt;"No encontrado",F3919&lt;&gt;"Inactivo"),C3919&amp;" → "&amp;F3919,"Sin transición"))</f>
        <v/>
      </c>
      <c r="H3919" s="23" t="str">
        <f aca="false">IF(A3919="","",IF(D3919="GCIA LINEA SERVICIO DIGITALIDAD Y VENTAS","Chats",IF(OR(D3919="GERENCIA INBOUND LÍNEAS SERVICIO Y VENTA",D3919="GERENCIA INBOUND LINEAS ESPECIALIZADAS"),"Llamadas","Otro")))</f>
        <v/>
      </c>
      <c r="I3919" s="23" t="str">
        <f aca="false">IF(A3919="","",IF(C3919="No encontrado","No","Sí"))</f>
        <v/>
      </c>
      <c r="J3919" s="23" t="str">
        <f aca="false">IF(A3919="","",IF(F3919="Inactivo","No","Sí"))</f>
        <v/>
      </c>
      <c r="K3919" s="23" t="str">
        <f aca="false">IF(A3919="","",IF(AND(I3919="Sí",J3919="Sí"),"Sí","No"))</f>
        <v/>
      </c>
    </row>
    <row r="3920" customFormat="false" ht="15" hidden="false" customHeight="false" outlineLevel="0" collapsed="false">
      <c r="A3920" s="22"/>
      <c r="B3920" s="22"/>
      <c r="C3920" s="26" t="str">
        <f aca="false">IF(A3920="","",IFERROR(buscarx(A3920&amp;B3920,DATA!$E$3:$E$10000&amp;DATA!$B$3:$B$10000,DATA!$M$3:$M$10000),"No encontrado"))</f>
        <v/>
      </c>
      <c r="D3920" s="27" t="str">
        <f aca="false">IF(A3920="","",IFERROR(buscarx(A3920&amp;B3920,DATA!$E$3:$E$10000&amp;DATA!$B$3:$B$10000,DATA!$W$3:$W$10000),"No encontrado"))</f>
        <v/>
      </c>
      <c r="E3920" s="22"/>
      <c r="F3920" s="26" t="str">
        <f aca="false">IF(A3920="","",IFERROR(buscarx(A3920&amp;E3920,DATA!$E$3:$E$10000&amp;DATA!$B$3:$B$10000,DATA!$M$3:$M$10000),"Inactivo"))</f>
        <v/>
      </c>
      <c r="G3920" s="28" t="str">
        <f aca="false">IF(A3920="","",IF(AND(C3920&lt;&gt;"No encontrado",F3920&lt;&gt;"Inactivo"),C3920&amp;" → "&amp;F3920,"Sin transición"))</f>
        <v/>
      </c>
      <c r="H3920" s="26" t="str">
        <f aca="false">IF(A3920="","",IF(D3920="GCIA LINEA SERVICIO DIGITALIDAD Y VENTAS","Chats",IF(OR(D3920="GERENCIA INBOUND LÍNEAS SERVICIO Y VENTA",D3920="GERENCIA INBOUND LINEAS ESPECIALIZADAS"),"Llamadas","Otro")))</f>
        <v/>
      </c>
      <c r="I3920" s="26" t="str">
        <f aca="false">IF(A3920="","",IF(C3920="No encontrado","No","Sí"))</f>
        <v/>
      </c>
      <c r="J3920" s="26" t="str">
        <f aca="false">IF(A3920="","",IF(F3920="Inactivo","No","Sí"))</f>
        <v/>
      </c>
      <c r="K3920" s="26" t="str">
        <f aca="false">IF(A3920="","",IF(AND(I3920="Sí",J3920="Sí"),"Sí","No"))</f>
        <v/>
      </c>
    </row>
    <row r="3921" customFormat="false" ht="15" hidden="false" customHeight="false" outlineLevel="0" collapsed="false">
      <c r="A3921" s="22"/>
      <c r="B3921" s="22"/>
      <c r="C3921" s="23" t="str">
        <f aca="false">IF(A3921="","",IFERROR(buscarx(A3921&amp;B3921,DATA!$E$3:$E$10000&amp;DATA!$B$3:$B$10000,DATA!$M$3:$M$10000),"No encontrado"))</f>
        <v/>
      </c>
      <c r="D3921" s="24" t="str">
        <f aca="false">IF(A3921="","",IFERROR(buscarx(A3921&amp;B3921,DATA!$E$3:$E$10000&amp;DATA!$B$3:$B$10000,DATA!$W$3:$W$10000),"No encontrado"))</f>
        <v/>
      </c>
      <c r="E3921" s="22"/>
      <c r="F3921" s="23" t="str">
        <f aca="false">IF(A3921="","",IFERROR(buscarx(A3921&amp;E3921,DATA!$E$3:$E$10000&amp;DATA!$B$3:$B$10000,DATA!$M$3:$M$10000),"Inactivo"))</f>
        <v/>
      </c>
      <c r="G3921" s="25" t="str">
        <f aca="false">IF(A3921="","",IF(AND(C3921&lt;&gt;"No encontrado",F3921&lt;&gt;"Inactivo"),C3921&amp;" → "&amp;F3921,"Sin transición"))</f>
        <v/>
      </c>
      <c r="H3921" s="23" t="str">
        <f aca="false">IF(A3921="","",IF(D3921="GCIA LINEA SERVICIO DIGITALIDAD Y VENTAS","Chats",IF(OR(D3921="GERENCIA INBOUND LÍNEAS SERVICIO Y VENTA",D3921="GERENCIA INBOUND LINEAS ESPECIALIZADAS"),"Llamadas","Otro")))</f>
        <v/>
      </c>
      <c r="I3921" s="23" t="str">
        <f aca="false">IF(A3921="","",IF(C3921="No encontrado","No","Sí"))</f>
        <v/>
      </c>
      <c r="J3921" s="23" t="str">
        <f aca="false">IF(A3921="","",IF(F3921="Inactivo","No","Sí"))</f>
        <v/>
      </c>
      <c r="K3921" s="23" t="str">
        <f aca="false">IF(A3921="","",IF(AND(I3921="Sí",J3921="Sí"),"Sí","No"))</f>
        <v/>
      </c>
    </row>
    <row r="3922" customFormat="false" ht="15" hidden="false" customHeight="false" outlineLevel="0" collapsed="false">
      <c r="A3922" s="22"/>
      <c r="B3922" s="22"/>
      <c r="C3922" s="26" t="str">
        <f aca="false">IF(A3922="","",IFERROR(buscarx(A3922&amp;B3922,DATA!$E$3:$E$10000&amp;DATA!$B$3:$B$10000,DATA!$M$3:$M$10000),"No encontrado"))</f>
        <v/>
      </c>
      <c r="D3922" s="27" t="str">
        <f aca="false">IF(A3922="","",IFERROR(buscarx(A3922&amp;B3922,DATA!$E$3:$E$10000&amp;DATA!$B$3:$B$10000,DATA!$W$3:$W$10000),"No encontrado"))</f>
        <v/>
      </c>
      <c r="E3922" s="22"/>
      <c r="F3922" s="26" t="str">
        <f aca="false">IF(A3922="","",IFERROR(buscarx(A3922&amp;E3922,DATA!$E$3:$E$10000&amp;DATA!$B$3:$B$10000,DATA!$M$3:$M$10000),"Inactivo"))</f>
        <v/>
      </c>
      <c r="G3922" s="28" t="str">
        <f aca="false">IF(A3922="","",IF(AND(C3922&lt;&gt;"No encontrado",F3922&lt;&gt;"Inactivo"),C3922&amp;" → "&amp;F3922,"Sin transición"))</f>
        <v/>
      </c>
      <c r="H3922" s="26" t="str">
        <f aca="false">IF(A3922="","",IF(D3922="GCIA LINEA SERVICIO DIGITALIDAD Y VENTAS","Chats",IF(OR(D3922="GERENCIA INBOUND LÍNEAS SERVICIO Y VENTA",D3922="GERENCIA INBOUND LINEAS ESPECIALIZADAS"),"Llamadas","Otro")))</f>
        <v/>
      </c>
      <c r="I3922" s="26" t="str">
        <f aca="false">IF(A3922="","",IF(C3922="No encontrado","No","Sí"))</f>
        <v/>
      </c>
      <c r="J3922" s="26" t="str">
        <f aca="false">IF(A3922="","",IF(F3922="Inactivo","No","Sí"))</f>
        <v/>
      </c>
      <c r="K3922" s="26" t="str">
        <f aca="false">IF(A3922="","",IF(AND(I3922="Sí",J3922="Sí"),"Sí","No"))</f>
        <v/>
      </c>
    </row>
    <row r="3923" customFormat="false" ht="15" hidden="false" customHeight="false" outlineLevel="0" collapsed="false">
      <c r="A3923" s="22"/>
      <c r="B3923" s="22"/>
      <c r="C3923" s="23" t="str">
        <f aca="false">IF(A3923="","",IFERROR(buscarx(A3923&amp;B3923,DATA!$E$3:$E$10000&amp;DATA!$B$3:$B$10000,DATA!$M$3:$M$10000),"No encontrado"))</f>
        <v/>
      </c>
      <c r="D3923" s="24" t="str">
        <f aca="false">IF(A3923="","",IFERROR(buscarx(A3923&amp;B3923,DATA!$E$3:$E$10000&amp;DATA!$B$3:$B$10000,DATA!$W$3:$W$10000),"No encontrado"))</f>
        <v/>
      </c>
      <c r="E3923" s="22"/>
      <c r="F3923" s="23" t="str">
        <f aca="false">IF(A3923="","",IFERROR(buscarx(A3923&amp;E3923,DATA!$E$3:$E$10000&amp;DATA!$B$3:$B$10000,DATA!$M$3:$M$10000),"Inactivo"))</f>
        <v/>
      </c>
      <c r="G3923" s="25" t="str">
        <f aca="false">IF(A3923="","",IF(AND(C3923&lt;&gt;"No encontrado",F3923&lt;&gt;"Inactivo"),C3923&amp;" → "&amp;F3923,"Sin transición"))</f>
        <v/>
      </c>
      <c r="H3923" s="23" t="str">
        <f aca="false">IF(A3923="","",IF(D3923="GCIA LINEA SERVICIO DIGITALIDAD Y VENTAS","Chats",IF(OR(D3923="GERENCIA INBOUND LÍNEAS SERVICIO Y VENTA",D3923="GERENCIA INBOUND LINEAS ESPECIALIZADAS"),"Llamadas","Otro")))</f>
        <v/>
      </c>
      <c r="I3923" s="23" t="str">
        <f aca="false">IF(A3923="","",IF(C3923="No encontrado","No","Sí"))</f>
        <v/>
      </c>
      <c r="J3923" s="23" t="str">
        <f aca="false">IF(A3923="","",IF(F3923="Inactivo","No","Sí"))</f>
        <v/>
      </c>
      <c r="K3923" s="23" t="str">
        <f aca="false">IF(A3923="","",IF(AND(I3923="Sí",J3923="Sí"),"Sí","No"))</f>
        <v/>
      </c>
    </row>
    <row r="3924" customFormat="false" ht="15" hidden="false" customHeight="false" outlineLevel="0" collapsed="false">
      <c r="A3924" s="22"/>
      <c r="B3924" s="22"/>
      <c r="C3924" s="26" t="str">
        <f aca="false">IF(A3924="","",IFERROR(buscarx(A3924&amp;B3924,DATA!$E$3:$E$10000&amp;DATA!$B$3:$B$10000,DATA!$M$3:$M$10000),"No encontrado"))</f>
        <v/>
      </c>
      <c r="D3924" s="27" t="str">
        <f aca="false">IF(A3924="","",IFERROR(buscarx(A3924&amp;B3924,DATA!$E$3:$E$10000&amp;DATA!$B$3:$B$10000,DATA!$W$3:$W$10000),"No encontrado"))</f>
        <v/>
      </c>
      <c r="E3924" s="22"/>
      <c r="F3924" s="26" t="str">
        <f aca="false">IF(A3924="","",IFERROR(buscarx(A3924&amp;E3924,DATA!$E$3:$E$10000&amp;DATA!$B$3:$B$10000,DATA!$M$3:$M$10000),"Inactivo"))</f>
        <v/>
      </c>
      <c r="G3924" s="28" t="str">
        <f aca="false">IF(A3924="","",IF(AND(C3924&lt;&gt;"No encontrado",F3924&lt;&gt;"Inactivo"),C3924&amp;" → "&amp;F3924,"Sin transición"))</f>
        <v/>
      </c>
      <c r="H3924" s="26" t="str">
        <f aca="false">IF(A3924="","",IF(D3924="GCIA LINEA SERVICIO DIGITALIDAD Y VENTAS","Chats",IF(OR(D3924="GERENCIA INBOUND LÍNEAS SERVICIO Y VENTA",D3924="GERENCIA INBOUND LINEAS ESPECIALIZADAS"),"Llamadas","Otro")))</f>
        <v/>
      </c>
      <c r="I3924" s="26" t="str">
        <f aca="false">IF(A3924="","",IF(C3924="No encontrado","No","Sí"))</f>
        <v/>
      </c>
      <c r="J3924" s="26" t="str">
        <f aca="false">IF(A3924="","",IF(F3924="Inactivo","No","Sí"))</f>
        <v/>
      </c>
      <c r="K3924" s="26" t="str">
        <f aca="false">IF(A3924="","",IF(AND(I3924="Sí",J3924="Sí"),"Sí","No"))</f>
        <v/>
      </c>
    </row>
    <row r="3925" customFormat="false" ht="15" hidden="false" customHeight="false" outlineLevel="0" collapsed="false">
      <c r="A3925" s="22"/>
      <c r="B3925" s="22"/>
      <c r="C3925" s="23" t="str">
        <f aca="false">IF(A3925="","",IFERROR(buscarx(A3925&amp;B3925,DATA!$E$3:$E$10000&amp;DATA!$B$3:$B$10000,DATA!$M$3:$M$10000),"No encontrado"))</f>
        <v/>
      </c>
      <c r="D3925" s="24" t="str">
        <f aca="false">IF(A3925="","",IFERROR(buscarx(A3925&amp;B3925,DATA!$E$3:$E$10000&amp;DATA!$B$3:$B$10000,DATA!$W$3:$W$10000),"No encontrado"))</f>
        <v/>
      </c>
      <c r="E3925" s="22"/>
      <c r="F3925" s="23" t="str">
        <f aca="false">IF(A3925="","",IFERROR(buscarx(A3925&amp;E3925,DATA!$E$3:$E$10000&amp;DATA!$B$3:$B$10000,DATA!$M$3:$M$10000),"Inactivo"))</f>
        <v/>
      </c>
      <c r="G3925" s="25" t="str">
        <f aca="false">IF(A3925="","",IF(AND(C3925&lt;&gt;"No encontrado",F3925&lt;&gt;"Inactivo"),C3925&amp;" → "&amp;F3925,"Sin transición"))</f>
        <v/>
      </c>
      <c r="H3925" s="23" t="str">
        <f aca="false">IF(A3925="","",IF(D3925="GCIA LINEA SERVICIO DIGITALIDAD Y VENTAS","Chats",IF(OR(D3925="GERENCIA INBOUND LÍNEAS SERVICIO Y VENTA",D3925="GERENCIA INBOUND LINEAS ESPECIALIZADAS"),"Llamadas","Otro")))</f>
        <v/>
      </c>
      <c r="I3925" s="23" t="str">
        <f aca="false">IF(A3925="","",IF(C3925="No encontrado","No","Sí"))</f>
        <v/>
      </c>
      <c r="J3925" s="23" t="str">
        <f aca="false">IF(A3925="","",IF(F3925="Inactivo","No","Sí"))</f>
        <v/>
      </c>
      <c r="K3925" s="23" t="str">
        <f aca="false">IF(A3925="","",IF(AND(I3925="Sí",J3925="Sí"),"Sí","No"))</f>
        <v/>
      </c>
    </row>
    <row r="3926" customFormat="false" ht="15" hidden="false" customHeight="false" outlineLevel="0" collapsed="false">
      <c r="A3926" s="22"/>
      <c r="B3926" s="22"/>
      <c r="C3926" s="26" t="str">
        <f aca="false">IF(A3926="","",IFERROR(buscarx(A3926&amp;B3926,DATA!$E$3:$E$10000&amp;DATA!$B$3:$B$10000,DATA!$M$3:$M$10000),"No encontrado"))</f>
        <v/>
      </c>
      <c r="D3926" s="27" t="str">
        <f aca="false">IF(A3926="","",IFERROR(buscarx(A3926&amp;B3926,DATA!$E$3:$E$10000&amp;DATA!$B$3:$B$10000,DATA!$W$3:$W$10000),"No encontrado"))</f>
        <v/>
      </c>
      <c r="E3926" s="22"/>
      <c r="F3926" s="26" t="str">
        <f aca="false">IF(A3926="","",IFERROR(buscarx(A3926&amp;E3926,DATA!$E$3:$E$10000&amp;DATA!$B$3:$B$10000,DATA!$M$3:$M$10000),"Inactivo"))</f>
        <v/>
      </c>
      <c r="G3926" s="28" t="str">
        <f aca="false">IF(A3926="","",IF(AND(C3926&lt;&gt;"No encontrado",F3926&lt;&gt;"Inactivo"),C3926&amp;" → "&amp;F3926,"Sin transición"))</f>
        <v/>
      </c>
      <c r="H3926" s="26" t="str">
        <f aca="false">IF(A3926="","",IF(D3926="GCIA LINEA SERVICIO DIGITALIDAD Y VENTAS","Chats",IF(OR(D3926="GERENCIA INBOUND LÍNEAS SERVICIO Y VENTA",D3926="GERENCIA INBOUND LINEAS ESPECIALIZADAS"),"Llamadas","Otro")))</f>
        <v/>
      </c>
      <c r="I3926" s="26" t="str">
        <f aca="false">IF(A3926="","",IF(C3926="No encontrado","No","Sí"))</f>
        <v/>
      </c>
      <c r="J3926" s="26" t="str">
        <f aca="false">IF(A3926="","",IF(F3926="Inactivo","No","Sí"))</f>
        <v/>
      </c>
      <c r="K3926" s="26" t="str">
        <f aca="false">IF(A3926="","",IF(AND(I3926="Sí",J3926="Sí"),"Sí","No"))</f>
        <v/>
      </c>
    </row>
    <row r="3927" customFormat="false" ht="15" hidden="false" customHeight="false" outlineLevel="0" collapsed="false">
      <c r="A3927" s="22"/>
      <c r="B3927" s="22"/>
      <c r="C3927" s="23" t="str">
        <f aca="false">IF(A3927="","",IFERROR(buscarx(A3927&amp;B3927,DATA!$E$3:$E$10000&amp;DATA!$B$3:$B$10000,DATA!$M$3:$M$10000),"No encontrado"))</f>
        <v/>
      </c>
      <c r="D3927" s="24" t="str">
        <f aca="false">IF(A3927="","",IFERROR(buscarx(A3927&amp;B3927,DATA!$E$3:$E$10000&amp;DATA!$B$3:$B$10000,DATA!$W$3:$W$10000),"No encontrado"))</f>
        <v/>
      </c>
      <c r="E3927" s="22"/>
      <c r="F3927" s="23" t="str">
        <f aca="false">IF(A3927="","",IFERROR(buscarx(A3927&amp;E3927,DATA!$E$3:$E$10000&amp;DATA!$B$3:$B$10000,DATA!$M$3:$M$10000),"Inactivo"))</f>
        <v/>
      </c>
      <c r="G3927" s="25" t="str">
        <f aca="false">IF(A3927="","",IF(AND(C3927&lt;&gt;"No encontrado",F3927&lt;&gt;"Inactivo"),C3927&amp;" → "&amp;F3927,"Sin transición"))</f>
        <v/>
      </c>
      <c r="H3927" s="23" t="str">
        <f aca="false">IF(A3927="","",IF(D3927="GCIA LINEA SERVICIO DIGITALIDAD Y VENTAS","Chats",IF(OR(D3927="GERENCIA INBOUND LÍNEAS SERVICIO Y VENTA",D3927="GERENCIA INBOUND LINEAS ESPECIALIZADAS"),"Llamadas","Otro")))</f>
        <v/>
      </c>
      <c r="I3927" s="23" t="str">
        <f aca="false">IF(A3927="","",IF(C3927="No encontrado","No","Sí"))</f>
        <v/>
      </c>
      <c r="J3927" s="23" t="str">
        <f aca="false">IF(A3927="","",IF(F3927="Inactivo","No","Sí"))</f>
        <v/>
      </c>
      <c r="K3927" s="23" t="str">
        <f aca="false">IF(A3927="","",IF(AND(I3927="Sí",J3927="Sí"),"Sí","No"))</f>
        <v/>
      </c>
    </row>
    <row r="3928" customFormat="false" ht="15" hidden="false" customHeight="false" outlineLevel="0" collapsed="false">
      <c r="A3928" s="22"/>
      <c r="B3928" s="22"/>
      <c r="C3928" s="26" t="str">
        <f aca="false">IF(A3928="","",IFERROR(buscarx(A3928&amp;B3928,DATA!$E$3:$E$10000&amp;DATA!$B$3:$B$10000,DATA!$M$3:$M$10000),"No encontrado"))</f>
        <v/>
      </c>
      <c r="D3928" s="27" t="str">
        <f aca="false">IF(A3928="","",IFERROR(buscarx(A3928&amp;B3928,DATA!$E$3:$E$10000&amp;DATA!$B$3:$B$10000,DATA!$W$3:$W$10000),"No encontrado"))</f>
        <v/>
      </c>
      <c r="E3928" s="22"/>
      <c r="F3928" s="26" t="str">
        <f aca="false">IF(A3928="","",IFERROR(buscarx(A3928&amp;E3928,DATA!$E$3:$E$10000&amp;DATA!$B$3:$B$10000,DATA!$M$3:$M$10000),"Inactivo"))</f>
        <v/>
      </c>
      <c r="G3928" s="28" t="str">
        <f aca="false">IF(A3928="","",IF(AND(C3928&lt;&gt;"No encontrado",F3928&lt;&gt;"Inactivo"),C3928&amp;" → "&amp;F3928,"Sin transición"))</f>
        <v/>
      </c>
      <c r="H3928" s="26" t="str">
        <f aca="false">IF(A3928="","",IF(D3928="GCIA LINEA SERVICIO DIGITALIDAD Y VENTAS","Chats",IF(OR(D3928="GERENCIA INBOUND LÍNEAS SERVICIO Y VENTA",D3928="GERENCIA INBOUND LINEAS ESPECIALIZADAS"),"Llamadas","Otro")))</f>
        <v/>
      </c>
      <c r="I3928" s="26" t="str">
        <f aca="false">IF(A3928="","",IF(C3928="No encontrado","No","Sí"))</f>
        <v/>
      </c>
      <c r="J3928" s="26" t="str">
        <f aca="false">IF(A3928="","",IF(F3928="Inactivo","No","Sí"))</f>
        <v/>
      </c>
      <c r="K3928" s="26" t="str">
        <f aca="false">IF(A3928="","",IF(AND(I3928="Sí",J3928="Sí"),"Sí","No"))</f>
        <v/>
      </c>
    </row>
    <row r="3929" customFormat="false" ht="15" hidden="false" customHeight="false" outlineLevel="0" collapsed="false">
      <c r="A3929" s="22"/>
      <c r="B3929" s="22"/>
      <c r="C3929" s="23" t="str">
        <f aca="false">IF(A3929="","",IFERROR(buscarx(A3929&amp;B3929,DATA!$E$3:$E$10000&amp;DATA!$B$3:$B$10000,DATA!$M$3:$M$10000),"No encontrado"))</f>
        <v/>
      </c>
      <c r="D3929" s="24" t="str">
        <f aca="false">IF(A3929="","",IFERROR(buscarx(A3929&amp;B3929,DATA!$E$3:$E$10000&amp;DATA!$B$3:$B$10000,DATA!$W$3:$W$10000),"No encontrado"))</f>
        <v/>
      </c>
      <c r="E3929" s="22"/>
      <c r="F3929" s="23" t="str">
        <f aca="false">IF(A3929="","",IFERROR(buscarx(A3929&amp;E3929,DATA!$E$3:$E$10000&amp;DATA!$B$3:$B$10000,DATA!$M$3:$M$10000),"Inactivo"))</f>
        <v/>
      </c>
      <c r="G3929" s="25" t="str">
        <f aca="false">IF(A3929="","",IF(AND(C3929&lt;&gt;"No encontrado",F3929&lt;&gt;"Inactivo"),C3929&amp;" → "&amp;F3929,"Sin transición"))</f>
        <v/>
      </c>
      <c r="H3929" s="23" t="str">
        <f aca="false">IF(A3929="","",IF(D3929="GCIA LINEA SERVICIO DIGITALIDAD Y VENTAS","Chats",IF(OR(D3929="GERENCIA INBOUND LÍNEAS SERVICIO Y VENTA",D3929="GERENCIA INBOUND LINEAS ESPECIALIZADAS"),"Llamadas","Otro")))</f>
        <v/>
      </c>
      <c r="I3929" s="23" t="str">
        <f aca="false">IF(A3929="","",IF(C3929="No encontrado","No","Sí"))</f>
        <v/>
      </c>
      <c r="J3929" s="23" t="str">
        <f aca="false">IF(A3929="","",IF(F3929="Inactivo","No","Sí"))</f>
        <v/>
      </c>
      <c r="K3929" s="23" t="str">
        <f aca="false">IF(A3929="","",IF(AND(I3929="Sí",J3929="Sí"),"Sí","No"))</f>
        <v/>
      </c>
    </row>
    <row r="3930" customFormat="false" ht="15" hidden="false" customHeight="false" outlineLevel="0" collapsed="false">
      <c r="A3930" s="22"/>
      <c r="B3930" s="22"/>
      <c r="C3930" s="26" t="str">
        <f aca="false">IF(A3930="","",IFERROR(buscarx(A3930&amp;B3930,DATA!$E$3:$E$10000&amp;DATA!$B$3:$B$10000,DATA!$M$3:$M$10000),"No encontrado"))</f>
        <v/>
      </c>
      <c r="D3930" s="27" t="str">
        <f aca="false">IF(A3930="","",IFERROR(buscarx(A3930&amp;B3930,DATA!$E$3:$E$10000&amp;DATA!$B$3:$B$10000,DATA!$W$3:$W$10000),"No encontrado"))</f>
        <v/>
      </c>
      <c r="E3930" s="22"/>
      <c r="F3930" s="26" t="str">
        <f aca="false">IF(A3930="","",IFERROR(buscarx(A3930&amp;E3930,DATA!$E$3:$E$10000&amp;DATA!$B$3:$B$10000,DATA!$M$3:$M$10000),"Inactivo"))</f>
        <v/>
      </c>
      <c r="G3930" s="28" t="str">
        <f aca="false">IF(A3930="","",IF(AND(C3930&lt;&gt;"No encontrado",F3930&lt;&gt;"Inactivo"),C3930&amp;" → "&amp;F3930,"Sin transición"))</f>
        <v/>
      </c>
      <c r="H3930" s="26" t="str">
        <f aca="false">IF(A3930="","",IF(D3930="GCIA LINEA SERVICIO DIGITALIDAD Y VENTAS","Chats",IF(OR(D3930="GERENCIA INBOUND LÍNEAS SERVICIO Y VENTA",D3930="GERENCIA INBOUND LINEAS ESPECIALIZADAS"),"Llamadas","Otro")))</f>
        <v/>
      </c>
      <c r="I3930" s="26" t="str">
        <f aca="false">IF(A3930="","",IF(C3930="No encontrado","No","Sí"))</f>
        <v/>
      </c>
      <c r="J3930" s="26" t="str">
        <f aca="false">IF(A3930="","",IF(F3930="Inactivo","No","Sí"))</f>
        <v/>
      </c>
      <c r="K3930" s="26" t="str">
        <f aca="false">IF(A3930="","",IF(AND(I3930="Sí",J3930="Sí"),"Sí","No"))</f>
        <v/>
      </c>
    </row>
    <row r="3931" customFormat="false" ht="15" hidden="false" customHeight="false" outlineLevel="0" collapsed="false">
      <c r="A3931" s="22"/>
      <c r="B3931" s="22"/>
      <c r="C3931" s="23" t="str">
        <f aca="false">IF(A3931="","",IFERROR(buscarx(A3931&amp;B3931,DATA!$E$3:$E$10000&amp;DATA!$B$3:$B$10000,DATA!$M$3:$M$10000),"No encontrado"))</f>
        <v/>
      </c>
      <c r="D3931" s="24" t="str">
        <f aca="false">IF(A3931="","",IFERROR(buscarx(A3931&amp;B3931,DATA!$E$3:$E$10000&amp;DATA!$B$3:$B$10000,DATA!$W$3:$W$10000),"No encontrado"))</f>
        <v/>
      </c>
      <c r="E3931" s="22"/>
      <c r="F3931" s="23" t="str">
        <f aca="false">IF(A3931="","",IFERROR(buscarx(A3931&amp;E3931,DATA!$E$3:$E$10000&amp;DATA!$B$3:$B$10000,DATA!$M$3:$M$10000),"Inactivo"))</f>
        <v/>
      </c>
      <c r="G3931" s="25" t="str">
        <f aca="false">IF(A3931="","",IF(AND(C3931&lt;&gt;"No encontrado",F3931&lt;&gt;"Inactivo"),C3931&amp;" → "&amp;F3931,"Sin transición"))</f>
        <v/>
      </c>
      <c r="H3931" s="23" t="str">
        <f aca="false">IF(A3931="","",IF(D3931="GCIA LINEA SERVICIO DIGITALIDAD Y VENTAS","Chats",IF(OR(D3931="GERENCIA INBOUND LÍNEAS SERVICIO Y VENTA",D3931="GERENCIA INBOUND LINEAS ESPECIALIZADAS"),"Llamadas","Otro")))</f>
        <v/>
      </c>
      <c r="I3931" s="23" t="str">
        <f aca="false">IF(A3931="","",IF(C3931="No encontrado","No","Sí"))</f>
        <v/>
      </c>
      <c r="J3931" s="23" t="str">
        <f aca="false">IF(A3931="","",IF(F3931="Inactivo","No","Sí"))</f>
        <v/>
      </c>
      <c r="K3931" s="23" t="str">
        <f aca="false">IF(A3931="","",IF(AND(I3931="Sí",J3931="Sí"),"Sí","No"))</f>
        <v/>
      </c>
    </row>
    <row r="3932" customFormat="false" ht="15" hidden="false" customHeight="false" outlineLevel="0" collapsed="false">
      <c r="A3932" s="22"/>
      <c r="B3932" s="22"/>
      <c r="C3932" s="26" t="str">
        <f aca="false">IF(A3932="","",IFERROR(buscarx(A3932&amp;B3932,DATA!$E$3:$E$10000&amp;DATA!$B$3:$B$10000,DATA!$M$3:$M$10000),"No encontrado"))</f>
        <v/>
      </c>
      <c r="D3932" s="27" t="str">
        <f aca="false">IF(A3932="","",IFERROR(buscarx(A3932&amp;B3932,DATA!$E$3:$E$10000&amp;DATA!$B$3:$B$10000,DATA!$W$3:$W$10000),"No encontrado"))</f>
        <v/>
      </c>
      <c r="E3932" s="22"/>
      <c r="F3932" s="26" t="str">
        <f aca="false">IF(A3932="","",IFERROR(buscarx(A3932&amp;E3932,DATA!$E$3:$E$10000&amp;DATA!$B$3:$B$10000,DATA!$M$3:$M$10000),"Inactivo"))</f>
        <v/>
      </c>
      <c r="G3932" s="28" t="str">
        <f aca="false">IF(A3932="","",IF(AND(C3932&lt;&gt;"No encontrado",F3932&lt;&gt;"Inactivo"),C3932&amp;" → "&amp;F3932,"Sin transición"))</f>
        <v/>
      </c>
      <c r="H3932" s="26" t="str">
        <f aca="false">IF(A3932="","",IF(D3932="GCIA LINEA SERVICIO DIGITALIDAD Y VENTAS","Chats",IF(OR(D3932="GERENCIA INBOUND LÍNEAS SERVICIO Y VENTA",D3932="GERENCIA INBOUND LINEAS ESPECIALIZADAS"),"Llamadas","Otro")))</f>
        <v/>
      </c>
      <c r="I3932" s="26" t="str">
        <f aca="false">IF(A3932="","",IF(C3932="No encontrado","No","Sí"))</f>
        <v/>
      </c>
      <c r="J3932" s="26" t="str">
        <f aca="false">IF(A3932="","",IF(F3932="Inactivo","No","Sí"))</f>
        <v/>
      </c>
      <c r="K3932" s="26" t="str">
        <f aca="false">IF(A3932="","",IF(AND(I3932="Sí",J3932="Sí"),"Sí","No"))</f>
        <v/>
      </c>
    </row>
    <row r="3933" customFormat="false" ht="15" hidden="false" customHeight="false" outlineLevel="0" collapsed="false">
      <c r="A3933" s="22"/>
      <c r="B3933" s="22"/>
      <c r="C3933" s="23" t="str">
        <f aca="false">IF(A3933="","",IFERROR(buscarx(A3933&amp;B3933,DATA!$E$3:$E$10000&amp;DATA!$B$3:$B$10000,DATA!$M$3:$M$10000),"No encontrado"))</f>
        <v/>
      </c>
      <c r="D3933" s="24" t="str">
        <f aca="false">IF(A3933="","",IFERROR(buscarx(A3933&amp;B3933,DATA!$E$3:$E$10000&amp;DATA!$B$3:$B$10000,DATA!$W$3:$W$10000),"No encontrado"))</f>
        <v/>
      </c>
      <c r="E3933" s="22"/>
      <c r="F3933" s="23" t="str">
        <f aca="false">IF(A3933="","",IFERROR(buscarx(A3933&amp;E3933,DATA!$E$3:$E$10000&amp;DATA!$B$3:$B$10000,DATA!$M$3:$M$10000),"Inactivo"))</f>
        <v/>
      </c>
      <c r="G3933" s="25" t="str">
        <f aca="false">IF(A3933="","",IF(AND(C3933&lt;&gt;"No encontrado",F3933&lt;&gt;"Inactivo"),C3933&amp;" → "&amp;F3933,"Sin transición"))</f>
        <v/>
      </c>
      <c r="H3933" s="23" t="str">
        <f aca="false">IF(A3933="","",IF(D3933="GCIA LINEA SERVICIO DIGITALIDAD Y VENTAS","Chats",IF(OR(D3933="GERENCIA INBOUND LÍNEAS SERVICIO Y VENTA",D3933="GERENCIA INBOUND LINEAS ESPECIALIZADAS"),"Llamadas","Otro")))</f>
        <v/>
      </c>
      <c r="I3933" s="23" t="str">
        <f aca="false">IF(A3933="","",IF(C3933="No encontrado","No","Sí"))</f>
        <v/>
      </c>
      <c r="J3933" s="23" t="str">
        <f aca="false">IF(A3933="","",IF(F3933="Inactivo","No","Sí"))</f>
        <v/>
      </c>
      <c r="K3933" s="23" t="str">
        <f aca="false">IF(A3933="","",IF(AND(I3933="Sí",J3933="Sí"),"Sí","No"))</f>
        <v/>
      </c>
    </row>
    <row r="3934" customFormat="false" ht="15" hidden="false" customHeight="false" outlineLevel="0" collapsed="false">
      <c r="A3934" s="22"/>
      <c r="B3934" s="22"/>
      <c r="C3934" s="26" t="str">
        <f aca="false">IF(A3934="","",IFERROR(buscarx(A3934&amp;B3934,DATA!$E$3:$E$10000&amp;DATA!$B$3:$B$10000,DATA!$M$3:$M$10000),"No encontrado"))</f>
        <v/>
      </c>
      <c r="D3934" s="27" t="str">
        <f aca="false">IF(A3934="","",IFERROR(buscarx(A3934&amp;B3934,DATA!$E$3:$E$10000&amp;DATA!$B$3:$B$10000,DATA!$W$3:$W$10000),"No encontrado"))</f>
        <v/>
      </c>
      <c r="E3934" s="22"/>
      <c r="F3934" s="26" t="str">
        <f aca="false">IF(A3934="","",IFERROR(buscarx(A3934&amp;E3934,DATA!$E$3:$E$10000&amp;DATA!$B$3:$B$10000,DATA!$M$3:$M$10000),"Inactivo"))</f>
        <v/>
      </c>
      <c r="G3934" s="28" t="str">
        <f aca="false">IF(A3934="","",IF(AND(C3934&lt;&gt;"No encontrado",F3934&lt;&gt;"Inactivo"),C3934&amp;" → "&amp;F3934,"Sin transición"))</f>
        <v/>
      </c>
      <c r="H3934" s="26" t="str">
        <f aca="false">IF(A3934="","",IF(D3934="GCIA LINEA SERVICIO DIGITALIDAD Y VENTAS","Chats",IF(OR(D3934="GERENCIA INBOUND LÍNEAS SERVICIO Y VENTA",D3934="GERENCIA INBOUND LINEAS ESPECIALIZADAS"),"Llamadas","Otro")))</f>
        <v/>
      </c>
      <c r="I3934" s="26" t="str">
        <f aca="false">IF(A3934="","",IF(C3934="No encontrado","No","Sí"))</f>
        <v/>
      </c>
      <c r="J3934" s="26" t="str">
        <f aca="false">IF(A3934="","",IF(F3934="Inactivo","No","Sí"))</f>
        <v/>
      </c>
      <c r="K3934" s="26" t="str">
        <f aca="false">IF(A3934="","",IF(AND(I3934="Sí",J3934="Sí"),"Sí","No"))</f>
        <v/>
      </c>
    </row>
    <row r="3935" customFormat="false" ht="15" hidden="false" customHeight="false" outlineLevel="0" collapsed="false">
      <c r="A3935" s="22"/>
      <c r="B3935" s="22"/>
      <c r="C3935" s="23" t="str">
        <f aca="false">IF(A3935="","",IFERROR(buscarx(A3935&amp;B3935,DATA!$E$3:$E$10000&amp;DATA!$B$3:$B$10000,DATA!$M$3:$M$10000),"No encontrado"))</f>
        <v/>
      </c>
      <c r="D3935" s="24" t="str">
        <f aca="false">IF(A3935="","",IFERROR(buscarx(A3935&amp;B3935,DATA!$E$3:$E$10000&amp;DATA!$B$3:$B$10000,DATA!$W$3:$W$10000),"No encontrado"))</f>
        <v/>
      </c>
      <c r="E3935" s="22"/>
      <c r="F3935" s="23" t="str">
        <f aca="false">IF(A3935="","",IFERROR(buscarx(A3935&amp;E3935,DATA!$E$3:$E$10000&amp;DATA!$B$3:$B$10000,DATA!$M$3:$M$10000),"Inactivo"))</f>
        <v/>
      </c>
      <c r="G3935" s="25" t="str">
        <f aca="false">IF(A3935="","",IF(AND(C3935&lt;&gt;"No encontrado",F3935&lt;&gt;"Inactivo"),C3935&amp;" → "&amp;F3935,"Sin transición"))</f>
        <v/>
      </c>
      <c r="H3935" s="23" t="str">
        <f aca="false">IF(A3935="","",IF(D3935="GCIA LINEA SERVICIO DIGITALIDAD Y VENTAS","Chats",IF(OR(D3935="GERENCIA INBOUND LÍNEAS SERVICIO Y VENTA",D3935="GERENCIA INBOUND LINEAS ESPECIALIZADAS"),"Llamadas","Otro")))</f>
        <v/>
      </c>
      <c r="I3935" s="23" t="str">
        <f aca="false">IF(A3935="","",IF(C3935="No encontrado","No","Sí"))</f>
        <v/>
      </c>
      <c r="J3935" s="23" t="str">
        <f aca="false">IF(A3935="","",IF(F3935="Inactivo","No","Sí"))</f>
        <v/>
      </c>
      <c r="K3935" s="23" t="str">
        <f aca="false">IF(A3935="","",IF(AND(I3935="Sí",J3935="Sí"),"Sí","No"))</f>
        <v/>
      </c>
    </row>
    <row r="3936" customFormat="false" ht="15" hidden="false" customHeight="false" outlineLevel="0" collapsed="false">
      <c r="A3936" s="22"/>
      <c r="B3936" s="22"/>
      <c r="C3936" s="26" t="str">
        <f aca="false">IF(A3936="","",IFERROR(buscarx(A3936&amp;B3936,DATA!$E$3:$E$10000&amp;DATA!$B$3:$B$10000,DATA!$M$3:$M$10000),"No encontrado"))</f>
        <v/>
      </c>
      <c r="D3936" s="27" t="str">
        <f aca="false">IF(A3936="","",IFERROR(buscarx(A3936&amp;B3936,DATA!$E$3:$E$10000&amp;DATA!$B$3:$B$10000,DATA!$W$3:$W$10000),"No encontrado"))</f>
        <v/>
      </c>
      <c r="E3936" s="22"/>
      <c r="F3936" s="26" t="str">
        <f aca="false">IF(A3936="","",IFERROR(buscarx(A3936&amp;E3936,DATA!$E$3:$E$10000&amp;DATA!$B$3:$B$10000,DATA!$M$3:$M$10000),"Inactivo"))</f>
        <v/>
      </c>
      <c r="G3936" s="28" t="str">
        <f aca="false">IF(A3936="","",IF(AND(C3936&lt;&gt;"No encontrado",F3936&lt;&gt;"Inactivo"),C3936&amp;" → "&amp;F3936,"Sin transición"))</f>
        <v/>
      </c>
      <c r="H3936" s="26" t="str">
        <f aca="false">IF(A3936="","",IF(D3936="GCIA LINEA SERVICIO DIGITALIDAD Y VENTAS","Chats",IF(OR(D3936="GERENCIA INBOUND LÍNEAS SERVICIO Y VENTA",D3936="GERENCIA INBOUND LINEAS ESPECIALIZADAS"),"Llamadas","Otro")))</f>
        <v/>
      </c>
      <c r="I3936" s="26" t="str">
        <f aca="false">IF(A3936="","",IF(C3936="No encontrado","No","Sí"))</f>
        <v/>
      </c>
      <c r="J3936" s="26" t="str">
        <f aca="false">IF(A3936="","",IF(F3936="Inactivo","No","Sí"))</f>
        <v/>
      </c>
      <c r="K3936" s="26" t="str">
        <f aca="false">IF(A3936="","",IF(AND(I3936="Sí",J3936="Sí"),"Sí","No"))</f>
        <v/>
      </c>
    </row>
    <row r="3937" customFormat="false" ht="15" hidden="false" customHeight="false" outlineLevel="0" collapsed="false">
      <c r="A3937" s="22"/>
      <c r="B3937" s="22"/>
      <c r="C3937" s="23" t="str">
        <f aca="false">IF(A3937="","",IFERROR(buscarx(A3937&amp;B3937,DATA!$E$3:$E$10000&amp;DATA!$B$3:$B$10000,DATA!$M$3:$M$10000),"No encontrado"))</f>
        <v/>
      </c>
      <c r="D3937" s="24" t="str">
        <f aca="false">IF(A3937="","",IFERROR(buscarx(A3937&amp;B3937,DATA!$E$3:$E$10000&amp;DATA!$B$3:$B$10000,DATA!$W$3:$W$10000),"No encontrado"))</f>
        <v/>
      </c>
      <c r="E3937" s="22"/>
      <c r="F3937" s="23" t="str">
        <f aca="false">IF(A3937="","",IFERROR(buscarx(A3937&amp;E3937,DATA!$E$3:$E$10000&amp;DATA!$B$3:$B$10000,DATA!$M$3:$M$10000),"Inactivo"))</f>
        <v/>
      </c>
      <c r="G3937" s="25" t="str">
        <f aca="false">IF(A3937="","",IF(AND(C3937&lt;&gt;"No encontrado",F3937&lt;&gt;"Inactivo"),C3937&amp;" → "&amp;F3937,"Sin transición"))</f>
        <v/>
      </c>
      <c r="H3937" s="23" t="str">
        <f aca="false">IF(A3937="","",IF(D3937="GCIA LINEA SERVICIO DIGITALIDAD Y VENTAS","Chats",IF(OR(D3937="GERENCIA INBOUND LÍNEAS SERVICIO Y VENTA",D3937="GERENCIA INBOUND LINEAS ESPECIALIZADAS"),"Llamadas","Otro")))</f>
        <v/>
      </c>
      <c r="I3937" s="23" t="str">
        <f aca="false">IF(A3937="","",IF(C3937="No encontrado","No","Sí"))</f>
        <v/>
      </c>
      <c r="J3937" s="23" t="str">
        <f aca="false">IF(A3937="","",IF(F3937="Inactivo","No","Sí"))</f>
        <v/>
      </c>
      <c r="K3937" s="23" t="str">
        <f aca="false">IF(A3937="","",IF(AND(I3937="Sí",J3937="Sí"),"Sí","No"))</f>
        <v/>
      </c>
    </row>
    <row r="3938" customFormat="false" ht="15" hidden="false" customHeight="false" outlineLevel="0" collapsed="false">
      <c r="A3938" s="22"/>
      <c r="B3938" s="22"/>
      <c r="C3938" s="26" t="str">
        <f aca="false">IF(A3938="","",IFERROR(buscarx(A3938&amp;B3938,DATA!$E$3:$E$10000&amp;DATA!$B$3:$B$10000,DATA!$M$3:$M$10000),"No encontrado"))</f>
        <v/>
      </c>
      <c r="D3938" s="27" t="str">
        <f aca="false">IF(A3938="","",IFERROR(buscarx(A3938&amp;B3938,DATA!$E$3:$E$10000&amp;DATA!$B$3:$B$10000,DATA!$W$3:$W$10000),"No encontrado"))</f>
        <v/>
      </c>
      <c r="E3938" s="22"/>
      <c r="F3938" s="26" t="str">
        <f aca="false">IF(A3938="","",IFERROR(buscarx(A3938&amp;E3938,DATA!$E$3:$E$10000&amp;DATA!$B$3:$B$10000,DATA!$M$3:$M$10000),"Inactivo"))</f>
        <v/>
      </c>
      <c r="G3938" s="28" t="str">
        <f aca="false">IF(A3938="","",IF(AND(C3938&lt;&gt;"No encontrado",F3938&lt;&gt;"Inactivo"),C3938&amp;" → "&amp;F3938,"Sin transición"))</f>
        <v/>
      </c>
      <c r="H3938" s="26" t="str">
        <f aca="false">IF(A3938="","",IF(D3938="GCIA LINEA SERVICIO DIGITALIDAD Y VENTAS","Chats",IF(OR(D3938="GERENCIA INBOUND LÍNEAS SERVICIO Y VENTA",D3938="GERENCIA INBOUND LINEAS ESPECIALIZADAS"),"Llamadas","Otro")))</f>
        <v/>
      </c>
      <c r="I3938" s="26" t="str">
        <f aca="false">IF(A3938="","",IF(C3938="No encontrado","No","Sí"))</f>
        <v/>
      </c>
      <c r="J3938" s="26" t="str">
        <f aca="false">IF(A3938="","",IF(F3938="Inactivo","No","Sí"))</f>
        <v/>
      </c>
      <c r="K3938" s="26" t="str">
        <f aca="false">IF(A3938="","",IF(AND(I3938="Sí",J3938="Sí"),"Sí","No"))</f>
        <v/>
      </c>
    </row>
    <row r="3939" customFormat="false" ht="15" hidden="false" customHeight="false" outlineLevel="0" collapsed="false">
      <c r="A3939" s="22"/>
      <c r="B3939" s="22"/>
      <c r="C3939" s="23" t="str">
        <f aca="false">IF(A3939="","",IFERROR(buscarx(A3939&amp;B3939,DATA!$E$3:$E$10000&amp;DATA!$B$3:$B$10000,DATA!$M$3:$M$10000),"No encontrado"))</f>
        <v/>
      </c>
      <c r="D3939" s="24" t="str">
        <f aca="false">IF(A3939="","",IFERROR(buscarx(A3939&amp;B3939,DATA!$E$3:$E$10000&amp;DATA!$B$3:$B$10000,DATA!$W$3:$W$10000),"No encontrado"))</f>
        <v/>
      </c>
      <c r="E3939" s="22"/>
      <c r="F3939" s="23" t="str">
        <f aca="false">IF(A3939="","",IFERROR(buscarx(A3939&amp;E3939,DATA!$E$3:$E$10000&amp;DATA!$B$3:$B$10000,DATA!$M$3:$M$10000),"Inactivo"))</f>
        <v/>
      </c>
      <c r="G3939" s="25" t="str">
        <f aca="false">IF(A3939="","",IF(AND(C3939&lt;&gt;"No encontrado",F3939&lt;&gt;"Inactivo"),C3939&amp;" → "&amp;F3939,"Sin transición"))</f>
        <v/>
      </c>
      <c r="H3939" s="23" t="str">
        <f aca="false">IF(A3939="","",IF(D3939="GCIA LINEA SERVICIO DIGITALIDAD Y VENTAS","Chats",IF(OR(D3939="GERENCIA INBOUND LÍNEAS SERVICIO Y VENTA",D3939="GERENCIA INBOUND LINEAS ESPECIALIZADAS"),"Llamadas","Otro")))</f>
        <v/>
      </c>
      <c r="I3939" s="23" t="str">
        <f aca="false">IF(A3939="","",IF(C3939="No encontrado","No","Sí"))</f>
        <v/>
      </c>
      <c r="J3939" s="23" t="str">
        <f aca="false">IF(A3939="","",IF(F3939="Inactivo","No","Sí"))</f>
        <v/>
      </c>
      <c r="K3939" s="23" t="str">
        <f aca="false">IF(A3939="","",IF(AND(I3939="Sí",J3939="Sí"),"Sí","No"))</f>
        <v/>
      </c>
    </row>
    <row r="3940" customFormat="false" ht="15" hidden="false" customHeight="false" outlineLevel="0" collapsed="false">
      <c r="A3940" s="22"/>
      <c r="B3940" s="22"/>
      <c r="C3940" s="26" t="str">
        <f aca="false">IF(A3940="","",IFERROR(buscarx(A3940&amp;B3940,DATA!$E$3:$E$10000&amp;DATA!$B$3:$B$10000,DATA!$M$3:$M$10000),"No encontrado"))</f>
        <v/>
      </c>
      <c r="D3940" s="27" t="str">
        <f aca="false">IF(A3940="","",IFERROR(buscarx(A3940&amp;B3940,DATA!$E$3:$E$10000&amp;DATA!$B$3:$B$10000,DATA!$W$3:$W$10000),"No encontrado"))</f>
        <v/>
      </c>
      <c r="E3940" s="22"/>
      <c r="F3940" s="26" t="str">
        <f aca="false">IF(A3940="","",IFERROR(buscarx(A3940&amp;E3940,DATA!$E$3:$E$10000&amp;DATA!$B$3:$B$10000,DATA!$M$3:$M$10000),"Inactivo"))</f>
        <v/>
      </c>
      <c r="G3940" s="28" t="str">
        <f aca="false">IF(A3940="","",IF(AND(C3940&lt;&gt;"No encontrado",F3940&lt;&gt;"Inactivo"),C3940&amp;" → "&amp;F3940,"Sin transición"))</f>
        <v/>
      </c>
      <c r="H3940" s="26" t="str">
        <f aca="false">IF(A3940="","",IF(D3940="GCIA LINEA SERVICIO DIGITALIDAD Y VENTAS","Chats",IF(OR(D3940="GERENCIA INBOUND LÍNEAS SERVICIO Y VENTA",D3940="GERENCIA INBOUND LINEAS ESPECIALIZADAS"),"Llamadas","Otro")))</f>
        <v/>
      </c>
      <c r="I3940" s="26" t="str">
        <f aca="false">IF(A3940="","",IF(C3940="No encontrado","No","Sí"))</f>
        <v/>
      </c>
      <c r="J3940" s="26" t="str">
        <f aca="false">IF(A3940="","",IF(F3940="Inactivo","No","Sí"))</f>
        <v/>
      </c>
      <c r="K3940" s="26" t="str">
        <f aca="false">IF(A3940="","",IF(AND(I3940="Sí",J3940="Sí"),"Sí","No"))</f>
        <v/>
      </c>
    </row>
    <row r="3941" customFormat="false" ht="15" hidden="false" customHeight="false" outlineLevel="0" collapsed="false">
      <c r="A3941" s="22"/>
      <c r="B3941" s="22"/>
      <c r="C3941" s="23" t="str">
        <f aca="false">IF(A3941="","",IFERROR(buscarx(A3941&amp;B3941,DATA!$E$3:$E$10000&amp;DATA!$B$3:$B$10000,DATA!$M$3:$M$10000),"No encontrado"))</f>
        <v/>
      </c>
      <c r="D3941" s="24" t="str">
        <f aca="false">IF(A3941="","",IFERROR(buscarx(A3941&amp;B3941,DATA!$E$3:$E$10000&amp;DATA!$B$3:$B$10000,DATA!$W$3:$W$10000),"No encontrado"))</f>
        <v/>
      </c>
      <c r="E3941" s="22"/>
      <c r="F3941" s="23" t="str">
        <f aca="false">IF(A3941="","",IFERROR(buscarx(A3941&amp;E3941,DATA!$E$3:$E$10000&amp;DATA!$B$3:$B$10000,DATA!$M$3:$M$10000),"Inactivo"))</f>
        <v/>
      </c>
      <c r="G3941" s="25" t="str">
        <f aca="false">IF(A3941="","",IF(AND(C3941&lt;&gt;"No encontrado",F3941&lt;&gt;"Inactivo"),C3941&amp;" → "&amp;F3941,"Sin transición"))</f>
        <v/>
      </c>
      <c r="H3941" s="23" t="str">
        <f aca="false">IF(A3941="","",IF(D3941="GCIA LINEA SERVICIO DIGITALIDAD Y VENTAS","Chats",IF(OR(D3941="GERENCIA INBOUND LÍNEAS SERVICIO Y VENTA",D3941="GERENCIA INBOUND LINEAS ESPECIALIZADAS"),"Llamadas","Otro")))</f>
        <v/>
      </c>
      <c r="I3941" s="23" t="str">
        <f aca="false">IF(A3941="","",IF(C3941="No encontrado","No","Sí"))</f>
        <v/>
      </c>
      <c r="J3941" s="23" t="str">
        <f aca="false">IF(A3941="","",IF(F3941="Inactivo","No","Sí"))</f>
        <v/>
      </c>
      <c r="K3941" s="23" t="str">
        <f aca="false">IF(A3941="","",IF(AND(I3941="Sí",J3941="Sí"),"Sí","No"))</f>
        <v/>
      </c>
    </row>
    <row r="3942" customFormat="false" ht="15" hidden="false" customHeight="false" outlineLevel="0" collapsed="false">
      <c r="A3942" s="22"/>
      <c r="B3942" s="22"/>
      <c r="C3942" s="26" t="str">
        <f aca="false">IF(A3942="","",IFERROR(buscarx(A3942&amp;B3942,DATA!$E$3:$E$10000&amp;DATA!$B$3:$B$10000,DATA!$M$3:$M$10000),"No encontrado"))</f>
        <v/>
      </c>
      <c r="D3942" s="27" t="str">
        <f aca="false">IF(A3942="","",IFERROR(buscarx(A3942&amp;B3942,DATA!$E$3:$E$10000&amp;DATA!$B$3:$B$10000,DATA!$W$3:$W$10000),"No encontrado"))</f>
        <v/>
      </c>
      <c r="E3942" s="22"/>
      <c r="F3942" s="26" t="str">
        <f aca="false">IF(A3942="","",IFERROR(buscarx(A3942&amp;E3942,DATA!$E$3:$E$10000&amp;DATA!$B$3:$B$10000,DATA!$M$3:$M$10000),"Inactivo"))</f>
        <v/>
      </c>
      <c r="G3942" s="28" t="str">
        <f aca="false">IF(A3942="","",IF(AND(C3942&lt;&gt;"No encontrado",F3942&lt;&gt;"Inactivo"),C3942&amp;" → "&amp;F3942,"Sin transición"))</f>
        <v/>
      </c>
      <c r="H3942" s="26" t="str">
        <f aca="false">IF(A3942="","",IF(D3942="GCIA LINEA SERVICIO DIGITALIDAD Y VENTAS","Chats",IF(OR(D3942="GERENCIA INBOUND LÍNEAS SERVICIO Y VENTA",D3942="GERENCIA INBOUND LINEAS ESPECIALIZADAS"),"Llamadas","Otro")))</f>
        <v/>
      </c>
      <c r="I3942" s="26" t="str">
        <f aca="false">IF(A3942="","",IF(C3942="No encontrado","No","Sí"))</f>
        <v/>
      </c>
      <c r="J3942" s="26" t="str">
        <f aca="false">IF(A3942="","",IF(F3942="Inactivo","No","Sí"))</f>
        <v/>
      </c>
      <c r="K3942" s="26" t="str">
        <f aca="false">IF(A3942="","",IF(AND(I3942="Sí",J3942="Sí"),"Sí","No"))</f>
        <v/>
      </c>
    </row>
    <row r="3943" customFormat="false" ht="15" hidden="false" customHeight="false" outlineLevel="0" collapsed="false">
      <c r="A3943" s="22"/>
      <c r="B3943" s="22"/>
      <c r="C3943" s="23" t="str">
        <f aca="false">IF(A3943="","",IFERROR(buscarx(A3943&amp;B3943,DATA!$E$3:$E$10000&amp;DATA!$B$3:$B$10000,DATA!$M$3:$M$10000),"No encontrado"))</f>
        <v/>
      </c>
      <c r="D3943" s="24" t="str">
        <f aca="false">IF(A3943="","",IFERROR(buscarx(A3943&amp;B3943,DATA!$E$3:$E$10000&amp;DATA!$B$3:$B$10000,DATA!$W$3:$W$10000),"No encontrado"))</f>
        <v/>
      </c>
      <c r="E3943" s="22"/>
      <c r="F3943" s="23" t="str">
        <f aca="false">IF(A3943="","",IFERROR(buscarx(A3943&amp;E3943,DATA!$E$3:$E$10000&amp;DATA!$B$3:$B$10000,DATA!$M$3:$M$10000),"Inactivo"))</f>
        <v/>
      </c>
      <c r="G3943" s="25" t="str">
        <f aca="false">IF(A3943="","",IF(AND(C3943&lt;&gt;"No encontrado",F3943&lt;&gt;"Inactivo"),C3943&amp;" → "&amp;F3943,"Sin transición"))</f>
        <v/>
      </c>
      <c r="H3943" s="23" t="str">
        <f aca="false">IF(A3943="","",IF(D3943="GCIA LINEA SERVICIO DIGITALIDAD Y VENTAS","Chats",IF(OR(D3943="GERENCIA INBOUND LÍNEAS SERVICIO Y VENTA",D3943="GERENCIA INBOUND LINEAS ESPECIALIZADAS"),"Llamadas","Otro")))</f>
        <v/>
      </c>
      <c r="I3943" s="23" t="str">
        <f aca="false">IF(A3943="","",IF(C3943="No encontrado","No","Sí"))</f>
        <v/>
      </c>
      <c r="J3943" s="23" t="str">
        <f aca="false">IF(A3943="","",IF(F3943="Inactivo","No","Sí"))</f>
        <v/>
      </c>
      <c r="K3943" s="23" t="str">
        <f aca="false">IF(A3943="","",IF(AND(I3943="Sí",J3943="Sí"),"Sí","No"))</f>
        <v/>
      </c>
    </row>
    <row r="3944" customFormat="false" ht="15" hidden="false" customHeight="false" outlineLevel="0" collapsed="false">
      <c r="A3944" s="22"/>
      <c r="B3944" s="22"/>
      <c r="C3944" s="26" t="str">
        <f aca="false">IF(A3944="","",IFERROR(buscarx(A3944&amp;B3944,DATA!$E$3:$E$10000&amp;DATA!$B$3:$B$10000,DATA!$M$3:$M$10000),"No encontrado"))</f>
        <v/>
      </c>
      <c r="D3944" s="27" t="str">
        <f aca="false">IF(A3944="","",IFERROR(buscarx(A3944&amp;B3944,DATA!$E$3:$E$10000&amp;DATA!$B$3:$B$10000,DATA!$W$3:$W$10000),"No encontrado"))</f>
        <v/>
      </c>
      <c r="E3944" s="22"/>
      <c r="F3944" s="26" t="str">
        <f aca="false">IF(A3944="","",IFERROR(buscarx(A3944&amp;E3944,DATA!$E$3:$E$10000&amp;DATA!$B$3:$B$10000,DATA!$M$3:$M$10000),"Inactivo"))</f>
        <v/>
      </c>
      <c r="G3944" s="28" t="str">
        <f aca="false">IF(A3944="","",IF(AND(C3944&lt;&gt;"No encontrado",F3944&lt;&gt;"Inactivo"),C3944&amp;" → "&amp;F3944,"Sin transición"))</f>
        <v/>
      </c>
      <c r="H3944" s="26" t="str">
        <f aca="false">IF(A3944="","",IF(D3944="GCIA LINEA SERVICIO DIGITALIDAD Y VENTAS","Chats",IF(OR(D3944="GERENCIA INBOUND LÍNEAS SERVICIO Y VENTA",D3944="GERENCIA INBOUND LINEAS ESPECIALIZADAS"),"Llamadas","Otro")))</f>
        <v/>
      </c>
      <c r="I3944" s="26" t="str">
        <f aca="false">IF(A3944="","",IF(C3944="No encontrado","No","Sí"))</f>
        <v/>
      </c>
      <c r="J3944" s="26" t="str">
        <f aca="false">IF(A3944="","",IF(F3944="Inactivo","No","Sí"))</f>
        <v/>
      </c>
      <c r="K3944" s="26" t="str">
        <f aca="false">IF(A3944="","",IF(AND(I3944="Sí",J3944="Sí"),"Sí","No"))</f>
        <v/>
      </c>
    </row>
    <row r="3945" customFormat="false" ht="15" hidden="false" customHeight="false" outlineLevel="0" collapsed="false">
      <c r="A3945" s="22"/>
      <c r="B3945" s="22"/>
      <c r="C3945" s="23" t="str">
        <f aca="false">IF(A3945="","",IFERROR(buscarx(A3945&amp;B3945,DATA!$E$3:$E$10000&amp;DATA!$B$3:$B$10000,DATA!$M$3:$M$10000),"No encontrado"))</f>
        <v/>
      </c>
      <c r="D3945" s="24" t="str">
        <f aca="false">IF(A3945="","",IFERROR(buscarx(A3945&amp;B3945,DATA!$E$3:$E$10000&amp;DATA!$B$3:$B$10000,DATA!$W$3:$W$10000),"No encontrado"))</f>
        <v/>
      </c>
      <c r="E3945" s="22"/>
      <c r="F3945" s="23" t="str">
        <f aca="false">IF(A3945="","",IFERROR(buscarx(A3945&amp;E3945,DATA!$E$3:$E$10000&amp;DATA!$B$3:$B$10000,DATA!$M$3:$M$10000),"Inactivo"))</f>
        <v/>
      </c>
      <c r="G3945" s="25" t="str">
        <f aca="false">IF(A3945="","",IF(AND(C3945&lt;&gt;"No encontrado",F3945&lt;&gt;"Inactivo"),C3945&amp;" → "&amp;F3945,"Sin transición"))</f>
        <v/>
      </c>
      <c r="H3945" s="23" t="str">
        <f aca="false">IF(A3945="","",IF(D3945="GCIA LINEA SERVICIO DIGITALIDAD Y VENTAS","Chats",IF(OR(D3945="GERENCIA INBOUND LÍNEAS SERVICIO Y VENTA",D3945="GERENCIA INBOUND LINEAS ESPECIALIZADAS"),"Llamadas","Otro")))</f>
        <v/>
      </c>
      <c r="I3945" s="23" t="str">
        <f aca="false">IF(A3945="","",IF(C3945="No encontrado","No","Sí"))</f>
        <v/>
      </c>
      <c r="J3945" s="23" t="str">
        <f aca="false">IF(A3945="","",IF(F3945="Inactivo","No","Sí"))</f>
        <v/>
      </c>
      <c r="K3945" s="23" t="str">
        <f aca="false">IF(A3945="","",IF(AND(I3945="Sí",J3945="Sí"),"Sí","No"))</f>
        <v/>
      </c>
    </row>
    <row r="3946" customFormat="false" ht="15" hidden="false" customHeight="false" outlineLevel="0" collapsed="false">
      <c r="A3946" s="22"/>
      <c r="B3946" s="22"/>
      <c r="C3946" s="26" t="str">
        <f aca="false">IF(A3946="","",IFERROR(buscarx(A3946&amp;B3946,DATA!$E$3:$E$10000&amp;DATA!$B$3:$B$10000,DATA!$M$3:$M$10000),"No encontrado"))</f>
        <v/>
      </c>
      <c r="D3946" s="27" t="str">
        <f aca="false">IF(A3946="","",IFERROR(buscarx(A3946&amp;B3946,DATA!$E$3:$E$10000&amp;DATA!$B$3:$B$10000,DATA!$W$3:$W$10000),"No encontrado"))</f>
        <v/>
      </c>
      <c r="E3946" s="22"/>
      <c r="F3946" s="26" t="str">
        <f aca="false">IF(A3946="","",IFERROR(buscarx(A3946&amp;E3946,DATA!$E$3:$E$10000&amp;DATA!$B$3:$B$10000,DATA!$M$3:$M$10000),"Inactivo"))</f>
        <v/>
      </c>
      <c r="G3946" s="28" t="str">
        <f aca="false">IF(A3946="","",IF(AND(C3946&lt;&gt;"No encontrado",F3946&lt;&gt;"Inactivo"),C3946&amp;" → "&amp;F3946,"Sin transición"))</f>
        <v/>
      </c>
      <c r="H3946" s="26" t="str">
        <f aca="false">IF(A3946="","",IF(D3946="GCIA LINEA SERVICIO DIGITALIDAD Y VENTAS","Chats",IF(OR(D3946="GERENCIA INBOUND LÍNEAS SERVICIO Y VENTA",D3946="GERENCIA INBOUND LINEAS ESPECIALIZADAS"),"Llamadas","Otro")))</f>
        <v/>
      </c>
      <c r="I3946" s="26" t="str">
        <f aca="false">IF(A3946="","",IF(C3946="No encontrado","No","Sí"))</f>
        <v/>
      </c>
      <c r="J3946" s="26" t="str">
        <f aca="false">IF(A3946="","",IF(F3946="Inactivo","No","Sí"))</f>
        <v/>
      </c>
      <c r="K3946" s="26" t="str">
        <f aca="false">IF(A3946="","",IF(AND(I3946="Sí",J3946="Sí"),"Sí","No"))</f>
        <v/>
      </c>
    </row>
    <row r="3947" customFormat="false" ht="15" hidden="false" customHeight="false" outlineLevel="0" collapsed="false">
      <c r="A3947" s="22"/>
      <c r="B3947" s="22"/>
      <c r="C3947" s="23" t="str">
        <f aca="false">IF(A3947="","",IFERROR(buscarx(A3947&amp;B3947,DATA!$E$3:$E$10000&amp;DATA!$B$3:$B$10000,DATA!$M$3:$M$10000),"No encontrado"))</f>
        <v/>
      </c>
      <c r="D3947" s="24" t="str">
        <f aca="false">IF(A3947="","",IFERROR(buscarx(A3947&amp;B3947,DATA!$E$3:$E$10000&amp;DATA!$B$3:$B$10000,DATA!$W$3:$W$10000),"No encontrado"))</f>
        <v/>
      </c>
      <c r="E3947" s="22"/>
      <c r="F3947" s="23" t="str">
        <f aca="false">IF(A3947="","",IFERROR(buscarx(A3947&amp;E3947,DATA!$E$3:$E$10000&amp;DATA!$B$3:$B$10000,DATA!$M$3:$M$10000),"Inactivo"))</f>
        <v/>
      </c>
      <c r="G3947" s="25" t="str">
        <f aca="false">IF(A3947="","",IF(AND(C3947&lt;&gt;"No encontrado",F3947&lt;&gt;"Inactivo"),C3947&amp;" → "&amp;F3947,"Sin transición"))</f>
        <v/>
      </c>
      <c r="H3947" s="23" t="str">
        <f aca="false">IF(A3947="","",IF(D3947="GCIA LINEA SERVICIO DIGITALIDAD Y VENTAS","Chats",IF(OR(D3947="GERENCIA INBOUND LÍNEAS SERVICIO Y VENTA",D3947="GERENCIA INBOUND LINEAS ESPECIALIZADAS"),"Llamadas","Otro")))</f>
        <v/>
      </c>
      <c r="I3947" s="23" t="str">
        <f aca="false">IF(A3947="","",IF(C3947="No encontrado","No","Sí"))</f>
        <v/>
      </c>
      <c r="J3947" s="23" t="str">
        <f aca="false">IF(A3947="","",IF(F3947="Inactivo","No","Sí"))</f>
        <v/>
      </c>
      <c r="K3947" s="23" t="str">
        <f aca="false">IF(A3947="","",IF(AND(I3947="Sí",J3947="Sí"),"Sí","No"))</f>
        <v/>
      </c>
    </row>
    <row r="3948" customFormat="false" ht="15" hidden="false" customHeight="false" outlineLevel="0" collapsed="false">
      <c r="A3948" s="22"/>
      <c r="B3948" s="22"/>
      <c r="C3948" s="26" t="str">
        <f aca="false">IF(A3948="","",IFERROR(buscarx(A3948&amp;B3948,DATA!$E$3:$E$10000&amp;DATA!$B$3:$B$10000,DATA!$M$3:$M$10000),"No encontrado"))</f>
        <v/>
      </c>
      <c r="D3948" s="27" t="str">
        <f aca="false">IF(A3948="","",IFERROR(buscarx(A3948&amp;B3948,DATA!$E$3:$E$10000&amp;DATA!$B$3:$B$10000,DATA!$W$3:$W$10000),"No encontrado"))</f>
        <v/>
      </c>
      <c r="E3948" s="22"/>
      <c r="F3948" s="26" t="str">
        <f aca="false">IF(A3948="","",IFERROR(buscarx(A3948&amp;E3948,DATA!$E$3:$E$10000&amp;DATA!$B$3:$B$10000,DATA!$M$3:$M$10000),"Inactivo"))</f>
        <v/>
      </c>
      <c r="G3948" s="28" t="str">
        <f aca="false">IF(A3948="","",IF(AND(C3948&lt;&gt;"No encontrado",F3948&lt;&gt;"Inactivo"),C3948&amp;" → "&amp;F3948,"Sin transición"))</f>
        <v/>
      </c>
      <c r="H3948" s="26" t="str">
        <f aca="false">IF(A3948="","",IF(D3948="GCIA LINEA SERVICIO DIGITALIDAD Y VENTAS","Chats",IF(OR(D3948="GERENCIA INBOUND LÍNEAS SERVICIO Y VENTA",D3948="GERENCIA INBOUND LINEAS ESPECIALIZADAS"),"Llamadas","Otro")))</f>
        <v/>
      </c>
      <c r="I3948" s="26" t="str">
        <f aca="false">IF(A3948="","",IF(C3948="No encontrado","No","Sí"))</f>
        <v/>
      </c>
      <c r="J3948" s="26" t="str">
        <f aca="false">IF(A3948="","",IF(F3948="Inactivo","No","Sí"))</f>
        <v/>
      </c>
      <c r="K3948" s="26" t="str">
        <f aca="false">IF(A3948="","",IF(AND(I3948="Sí",J3948="Sí"),"Sí","No"))</f>
        <v/>
      </c>
    </row>
    <row r="3949" customFormat="false" ht="15" hidden="false" customHeight="false" outlineLevel="0" collapsed="false">
      <c r="A3949" s="22"/>
      <c r="B3949" s="22"/>
      <c r="C3949" s="23" t="str">
        <f aca="false">IF(A3949="","",IFERROR(buscarx(A3949&amp;B3949,DATA!$E$3:$E$10000&amp;DATA!$B$3:$B$10000,DATA!$M$3:$M$10000),"No encontrado"))</f>
        <v/>
      </c>
      <c r="D3949" s="24" t="str">
        <f aca="false">IF(A3949="","",IFERROR(buscarx(A3949&amp;B3949,DATA!$E$3:$E$10000&amp;DATA!$B$3:$B$10000,DATA!$W$3:$W$10000),"No encontrado"))</f>
        <v/>
      </c>
      <c r="E3949" s="22"/>
      <c r="F3949" s="23" t="str">
        <f aca="false">IF(A3949="","",IFERROR(buscarx(A3949&amp;E3949,DATA!$E$3:$E$10000&amp;DATA!$B$3:$B$10000,DATA!$M$3:$M$10000),"Inactivo"))</f>
        <v/>
      </c>
      <c r="G3949" s="25" t="str">
        <f aca="false">IF(A3949="","",IF(AND(C3949&lt;&gt;"No encontrado",F3949&lt;&gt;"Inactivo"),C3949&amp;" → "&amp;F3949,"Sin transición"))</f>
        <v/>
      </c>
      <c r="H3949" s="23" t="str">
        <f aca="false">IF(A3949="","",IF(D3949="GCIA LINEA SERVICIO DIGITALIDAD Y VENTAS","Chats",IF(OR(D3949="GERENCIA INBOUND LÍNEAS SERVICIO Y VENTA",D3949="GERENCIA INBOUND LINEAS ESPECIALIZADAS"),"Llamadas","Otro")))</f>
        <v/>
      </c>
      <c r="I3949" s="23" t="str">
        <f aca="false">IF(A3949="","",IF(C3949="No encontrado","No","Sí"))</f>
        <v/>
      </c>
      <c r="J3949" s="23" t="str">
        <f aca="false">IF(A3949="","",IF(F3949="Inactivo","No","Sí"))</f>
        <v/>
      </c>
      <c r="K3949" s="23" t="str">
        <f aca="false">IF(A3949="","",IF(AND(I3949="Sí",J3949="Sí"),"Sí","No"))</f>
        <v/>
      </c>
    </row>
    <row r="3950" customFormat="false" ht="15" hidden="false" customHeight="false" outlineLevel="0" collapsed="false">
      <c r="A3950" s="22"/>
      <c r="B3950" s="22"/>
      <c r="C3950" s="26" t="str">
        <f aca="false">IF(A3950="","",IFERROR(buscarx(A3950&amp;B3950,DATA!$E$3:$E$10000&amp;DATA!$B$3:$B$10000,DATA!$M$3:$M$10000),"No encontrado"))</f>
        <v/>
      </c>
      <c r="D3950" s="27" t="str">
        <f aca="false">IF(A3950="","",IFERROR(buscarx(A3950&amp;B3950,DATA!$E$3:$E$10000&amp;DATA!$B$3:$B$10000,DATA!$W$3:$W$10000),"No encontrado"))</f>
        <v/>
      </c>
      <c r="E3950" s="22"/>
      <c r="F3950" s="26" t="str">
        <f aca="false">IF(A3950="","",IFERROR(buscarx(A3950&amp;E3950,DATA!$E$3:$E$10000&amp;DATA!$B$3:$B$10000,DATA!$M$3:$M$10000),"Inactivo"))</f>
        <v/>
      </c>
      <c r="G3950" s="28" t="str">
        <f aca="false">IF(A3950="","",IF(AND(C3950&lt;&gt;"No encontrado",F3950&lt;&gt;"Inactivo"),C3950&amp;" → "&amp;F3950,"Sin transición"))</f>
        <v/>
      </c>
      <c r="H3950" s="26" t="str">
        <f aca="false">IF(A3950="","",IF(D3950="GCIA LINEA SERVICIO DIGITALIDAD Y VENTAS","Chats",IF(OR(D3950="GERENCIA INBOUND LÍNEAS SERVICIO Y VENTA",D3950="GERENCIA INBOUND LINEAS ESPECIALIZADAS"),"Llamadas","Otro")))</f>
        <v/>
      </c>
      <c r="I3950" s="26" t="str">
        <f aca="false">IF(A3950="","",IF(C3950="No encontrado","No","Sí"))</f>
        <v/>
      </c>
      <c r="J3950" s="26" t="str">
        <f aca="false">IF(A3950="","",IF(F3950="Inactivo","No","Sí"))</f>
        <v/>
      </c>
      <c r="K3950" s="26" t="str">
        <f aca="false">IF(A3950="","",IF(AND(I3950="Sí",J3950="Sí"),"Sí","No"))</f>
        <v/>
      </c>
    </row>
    <row r="3951" customFormat="false" ht="15" hidden="false" customHeight="false" outlineLevel="0" collapsed="false">
      <c r="A3951" s="22"/>
      <c r="B3951" s="22"/>
      <c r="C3951" s="23" t="str">
        <f aca="false">IF(A3951="","",IFERROR(buscarx(A3951&amp;B3951,DATA!$E$3:$E$10000&amp;DATA!$B$3:$B$10000,DATA!$M$3:$M$10000),"No encontrado"))</f>
        <v/>
      </c>
      <c r="D3951" s="24" t="str">
        <f aca="false">IF(A3951="","",IFERROR(buscarx(A3951&amp;B3951,DATA!$E$3:$E$10000&amp;DATA!$B$3:$B$10000,DATA!$W$3:$W$10000),"No encontrado"))</f>
        <v/>
      </c>
      <c r="E3951" s="22"/>
      <c r="F3951" s="23" t="str">
        <f aca="false">IF(A3951="","",IFERROR(buscarx(A3951&amp;E3951,DATA!$E$3:$E$10000&amp;DATA!$B$3:$B$10000,DATA!$M$3:$M$10000),"Inactivo"))</f>
        <v/>
      </c>
      <c r="G3951" s="25" t="str">
        <f aca="false">IF(A3951="","",IF(AND(C3951&lt;&gt;"No encontrado",F3951&lt;&gt;"Inactivo"),C3951&amp;" → "&amp;F3951,"Sin transición"))</f>
        <v/>
      </c>
      <c r="H3951" s="23" t="str">
        <f aca="false">IF(A3951="","",IF(D3951="GCIA LINEA SERVICIO DIGITALIDAD Y VENTAS","Chats",IF(OR(D3951="GERENCIA INBOUND LÍNEAS SERVICIO Y VENTA",D3951="GERENCIA INBOUND LINEAS ESPECIALIZADAS"),"Llamadas","Otro")))</f>
        <v/>
      </c>
      <c r="I3951" s="23" t="str">
        <f aca="false">IF(A3951="","",IF(C3951="No encontrado","No","Sí"))</f>
        <v/>
      </c>
      <c r="J3951" s="23" t="str">
        <f aca="false">IF(A3951="","",IF(F3951="Inactivo","No","Sí"))</f>
        <v/>
      </c>
      <c r="K3951" s="23" t="str">
        <f aca="false">IF(A3951="","",IF(AND(I3951="Sí",J3951="Sí"),"Sí","No"))</f>
        <v/>
      </c>
    </row>
    <row r="3952" customFormat="false" ht="15" hidden="false" customHeight="false" outlineLevel="0" collapsed="false">
      <c r="A3952" s="22"/>
      <c r="B3952" s="22"/>
      <c r="C3952" s="26" t="str">
        <f aca="false">IF(A3952="","",IFERROR(buscarx(A3952&amp;B3952,DATA!$E$3:$E$10000&amp;DATA!$B$3:$B$10000,DATA!$M$3:$M$10000),"No encontrado"))</f>
        <v/>
      </c>
      <c r="D3952" s="27" t="str">
        <f aca="false">IF(A3952="","",IFERROR(buscarx(A3952&amp;B3952,DATA!$E$3:$E$10000&amp;DATA!$B$3:$B$10000,DATA!$W$3:$W$10000),"No encontrado"))</f>
        <v/>
      </c>
      <c r="E3952" s="22"/>
      <c r="F3952" s="26" t="str">
        <f aca="false">IF(A3952="","",IFERROR(buscarx(A3952&amp;E3952,DATA!$E$3:$E$10000&amp;DATA!$B$3:$B$10000,DATA!$M$3:$M$10000),"Inactivo"))</f>
        <v/>
      </c>
      <c r="G3952" s="28" t="str">
        <f aca="false">IF(A3952="","",IF(AND(C3952&lt;&gt;"No encontrado",F3952&lt;&gt;"Inactivo"),C3952&amp;" → "&amp;F3952,"Sin transición"))</f>
        <v/>
      </c>
      <c r="H3952" s="26" t="str">
        <f aca="false">IF(A3952="","",IF(D3952="GCIA LINEA SERVICIO DIGITALIDAD Y VENTAS","Chats",IF(OR(D3952="GERENCIA INBOUND LÍNEAS SERVICIO Y VENTA",D3952="GERENCIA INBOUND LINEAS ESPECIALIZADAS"),"Llamadas","Otro")))</f>
        <v/>
      </c>
      <c r="I3952" s="26" t="str">
        <f aca="false">IF(A3952="","",IF(C3952="No encontrado","No","Sí"))</f>
        <v/>
      </c>
      <c r="J3952" s="26" t="str">
        <f aca="false">IF(A3952="","",IF(F3952="Inactivo","No","Sí"))</f>
        <v/>
      </c>
      <c r="K3952" s="26" t="str">
        <f aca="false">IF(A3952="","",IF(AND(I3952="Sí",J3952="Sí"),"Sí","No"))</f>
        <v/>
      </c>
    </row>
    <row r="3953" customFormat="false" ht="15" hidden="false" customHeight="false" outlineLevel="0" collapsed="false">
      <c r="A3953" s="22"/>
      <c r="B3953" s="22"/>
      <c r="C3953" s="23" t="str">
        <f aca="false">IF(A3953="","",IFERROR(buscarx(A3953&amp;B3953,DATA!$E$3:$E$10000&amp;DATA!$B$3:$B$10000,DATA!$M$3:$M$10000),"No encontrado"))</f>
        <v/>
      </c>
      <c r="D3953" s="24" t="str">
        <f aca="false">IF(A3953="","",IFERROR(buscarx(A3953&amp;B3953,DATA!$E$3:$E$10000&amp;DATA!$B$3:$B$10000,DATA!$W$3:$W$10000),"No encontrado"))</f>
        <v/>
      </c>
      <c r="E3953" s="22"/>
      <c r="F3953" s="23" t="str">
        <f aca="false">IF(A3953="","",IFERROR(buscarx(A3953&amp;E3953,DATA!$E$3:$E$10000&amp;DATA!$B$3:$B$10000,DATA!$M$3:$M$10000),"Inactivo"))</f>
        <v/>
      </c>
      <c r="G3953" s="25" t="str">
        <f aca="false">IF(A3953="","",IF(AND(C3953&lt;&gt;"No encontrado",F3953&lt;&gt;"Inactivo"),C3953&amp;" → "&amp;F3953,"Sin transición"))</f>
        <v/>
      </c>
      <c r="H3953" s="23" t="str">
        <f aca="false">IF(A3953="","",IF(D3953="GCIA LINEA SERVICIO DIGITALIDAD Y VENTAS","Chats",IF(OR(D3953="GERENCIA INBOUND LÍNEAS SERVICIO Y VENTA",D3953="GERENCIA INBOUND LINEAS ESPECIALIZADAS"),"Llamadas","Otro")))</f>
        <v/>
      </c>
      <c r="I3953" s="23" t="str">
        <f aca="false">IF(A3953="","",IF(C3953="No encontrado","No","Sí"))</f>
        <v/>
      </c>
      <c r="J3953" s="23" t="str">
        <f aca="false">IF(A3953="","",IF(F3953="Inactivo","No","Sí"))</f>
        <v/>
      </c>
      <c r="K3953" s="23" t="str">
        <f aca="false">IF(A3953="","",IF(AND(I3953="Sí",J3953="Sí"),"Sí","No"))</f>
        <v/>
      </c>
    </row>
    <row r="3954" customFormat="false" ht="15" hidden="false" customHeight="false" outlineLevel="0" collapsed="false">
      <c r="A3954" s="22"/>
      <c r="B3954" s="22"/>
      <c r="C3954" s="26" t="str">
        <f aca="false">IF(A3954="","",IFERROR(buscarx(A3954&amp;B3954,DATA!$E$3:$E$10000&amp;DATA!$B$3:$B$10000,DATA!$M$3:$M$10000),"No encontrado"))</f>
        <v/>
      </c>
      <c r="D3954" s="27" t="str">
        <f aca="false">IF(A3954="","",IFERROR(buscarx(A3954&amp;B3954,DATA!$E$3:$E$10000&amp;DATA!$B$3:$B$10000,DATA!$W$3:$W$10000),"No encontrado"))</f>
        <v/>
      </c>
      <c r="E3954" s="22"/>
      <c r="F3954" s="26" t="str">
        <f aca="false">IF(A3954="","",IFERROR(buscarx(A3954&amp;E3954,DATA!$E$3:$E$10000&amp;DATA!$B$3:$B$10000,DATA!$M$3:$M$10000),"Inactivo"))</f>
        <v/>
      </c>
      <c r="G3954" s="28" t="str">
        <f aca="false">IF(A3954="","",IF(AND(C3954&lt;&gt;"No encontrado",F3954&lt;&gt;"Inactivo"),C3954&amp;" → "&amp;F3954,"Sin transición"))</f>
        <v/>
      </c>
      <c r="H3954" s="26" t="str">
        <f aca="false">IF(A3954="","",IF(D3954="GCIA LINEA SERVICIO DIGITALIDAD Y VENTAS","Chats",IF(OR(D3954="GERENCIA INBOUND LÍNEAS SERVICIO Y VENTA",D3954="GERENCIA INBOUND LINEAS ESPECIALIZADAS"),"Llamadas","Otro")))</f>
        <v/>
      </c>
      <c r="I3954" s="26" t="str">
        <f aca="false">IF(A3954="","",IF(C3954="No encontrado","No","Sí"))</f>
        <v/>
      </c>
      <c r="J3954" s="26" t="str">
        <f aca="false">IF(A3954="","",IF(F3954="Inactivo","No","Sí"))</f>
        <v/>
      </c>
      <c r="K3954" s="26" t="str">
        <f aca="false">IF(A3954="","",IF(AND(I3954="Sí",J3954="Sí"),"Sí","No"))</f>
        <v/>
      </c>
    </row>
    <row r="3955" customFormat="false" ht="15" hidden="false" customHeight="false" outlineLevel="0" collapsed="false">
      <c r="A3955" s="22"/>
      <c r="B3955" s="22"/>
      <c r="C3955" s="23" t="str">
        <f aca="false">IF(A3955="","",IFERROR(buscarx(A3955&amp;B3955,DATA!$E$3:$E$10000&amp;DATA!$B$3:$B$10000,DATA!$M$3:$M$10000),"No encontrado"))</f>
        <v/>
      </c>
      <c r="D3955" s="24" t="str">
        <f aca="false">IF(A3955="","",IFERROR(buscarx(A3955&amp;B3955,DATA!$E$3:$E$10000&amp;DATA!$B$3:$B$10000,DATA!$W$3:$W$10000),"No encontrado"))</f>
        <v/>
      </c>
      <c r="E3955" s="22"/>
      <c r="F3955" s="23" t="str">
        <f aca="false">IF(A3955="","",IFERROR(buscarx(A3955&amp;E3955,DATA!$E$3:$E$10000&amp;DATA!$B$3:$B$10000,DATA!$M$3:$M$10000),"Inactivo"))</f>
        <v/>
      </c>
      <c r="G3955" s="25" t="str">
        <f aca="false">IF(A3955="","",IF(AND(C3955&lt;&gt;"No encontrado",F3955&lt;&gt;"Inactivo"),C3955&amp;" → "&amp;F3955,"Sin transición"))</f>
        <v/>
      </c>
      <c r="H3955" s="23" t="str">
        <f aca="false">IF(A3955="","",IF(D3955="GCIA LINEA SERVICIO DIGITALIDAD Y VENTAS","Chats",IF(OR(D3955="GERENCIA INBOUND LÍNEAS SERVICIO Y VENTA",D3955="GERENCIA INBOUND LINEAS ESPECIALIZADAS"),"Llamadas","Otro")))</f>
        <v/>
      </c>
      <c r="I3955" s="23" t="str">
        <f aca="false">IF(A3955="","",IF(C3955="No encontrado","No","Sí"))</f>
        <v/>
      </c>
      <c r="J3955" s="23" t="str">
        <f aca="false">IF(A3955="","",IF(F3955="Inactivo","No","Sí"))</f>
        <v/>
      </c>
      <c r="K3955" s="23" t="str">
        <f aca="false">IF(A3955="","",IF(AND(I3955="Sí",J3955="Sí"),"Sí","No"))</f>
        <v/>
      </c>
    </row>
    <row r="3956" customFormat="false" ht="15" hidden="false" customHeight="false" outlineLevel="0" collapsed="false">
      <c r="A3956" s="22"/>
      <c r="B3956" s="22"/>
      <c r="C3956" s="26" t="str">
        <f aca="false">IF(A3956="","",IFERROR(buscarx(A3956&amp;B3956,DATA!$E$3:$E$10000&amp;DATA!$B$3:$B$10000,DATA!$M$3:$M$10000),"No encontrado"))</f>
        <v/>
      </c>
      <c r="D3956" s="27" t="str">
        <f aca="false">IF(A3956="","",IFERROR(buscarx(A3956&amp;B3956,DATA!$E$3:$E$10000&amp;DATA!$B$3:$B$10000,DATA!$W$3:$W$10000),"No encontrado"))</f>
        <v/>
      </c>
      <c r="E3956" s="22"/>
      <c r="F3956" s="26" t="str">
        <f aca="false">IF(A3956="","",IFERROR(buscarx(A3956&amp;E3956,DATA!$E$3:$E$10000&amp;DATA!$B$3:$B$10000,DATA!$M$3:$M$10000),"Inactivo"))</f>
        <v/>
      </c>
      <c r="G3956" s="28" t="str">
        <f aca="false">IF(A3956="","",IF(AND(C3956&lt;&gt;"No encontrado",F3956&lt;&gt;"Inactivo"),C3956&amp;" → "&amp;F3956,"Sin transición"))</f>
        <v/>
      </c>
      <c r="H3956" s="26" t="str">
        <f aca="false">IF(A3956="","",IF(D3956="GCIA LINEA SERVICIO DIGITALIDAD Y VENTAS","Chats",IF(OR(D3956="GERENCIA INBOUND LÍNEAS SERVICIO Y VENTA",D3956="GERENCIA INBOUND LINEAS ESPECIALIZADAS"),"Llamadas","Otro")))</f>
        <v/>
      </c>
      <c r="I3956" s="26" t="str">
        <f aca="false">IF(A3956="","",IF(C3956="No encontrado","No","Sí"))</f>
        <v/>
      </c>
      <c r="J3956" s="26" t="str">
        <f aca="false">IF(A3956="","",IF(F3956="Inactivo","No","Sí"))</f>
        <v/>
      </c>
      <c r="K3956" s="26" t="str">
        <f aca="false">IF(A3956="","",IF(AND(I3956="Sí",J3956="Sí"),"Sí","No"))</f>
        <v/>
      </c>
    </row>
    <row r="3957" customFormat="false" ht="15" hidden="false" customHeight="false" outlineLevel="0" collapsed="false">
      <c r="A3957" s="22"/>
      <c r="B3957" s="22"/>
      <c r="C3957" s="23" t="str">
        <f aca="false">IF(A3957="","",IFERROR(buscarx(A3957&amp;B3957,DATA!$E$3:$E$10000&amp;DATA!$B$3:$B$10000,DATA!$M$3:$M$10000),"No encontrado"))</f>
        <v/>
      </c>
      <c r="D3957" s="24" t="str">
        <f aca="false">IF(A3957="","",IFERROR(buscarx(A3957&amp;B3957,DATA!$E$3:$E$10000&amp;DATA!$B$3:$B$10000,DATA!$W$3:$W$10000),"No encontrado"))</f>
        <v/>
      </c>
      <c r="E3957" s="22"/>
      <c r="F3957" s="23" t="str">
        <f aca="false">IF(A3957="","",IFERROR(buscarx(A3957&amp;E3957,DATA!$E$3:$E$10000&amp;DATA!$B$3:$B$10000,DATA!$M$3:$M$10000),"Inactivo"))</f>
        <v/>
      </c>
      <c r="G3957" s="25" t="str">
        <f aca="false">IF(A3957="","",IF(AND(C3957&lt;&gt;"No encontrado",F3957&lt;&gt;"Inactivo"),C3957&amp;" → "&amp;F3957,"Sin transición"))</f>
        <v/>
      </c>
      <c r="H3957" s="23" t="str">
        <f aca="false">IF(A3957="","",IF(D3957="GCIA LINEA SERVICIO DIGITALIDAD Y VENTAS","Chats",IF(OR(D3957="GERENCIA INBOUND LÍNEAS SERVICIO Y VENTA",D3957="GERENCIA INBOUND LINEAS ESPECIALIZADAS"),"Llamadas","Otro")))</f>
        <v/>
      </c>
      <c r="I3957" s="23" t="str">
        <f aca="false">IF(A3957="","",IF(C3957="No encontrado","No","Sí"))</f>
        <v/>
      </c>
      <c r="J3957" s="23" t="str">
        <f aca="false">IF(A3957="","",IF(F3957="Inactivo","No","Sí"))</f>
        <v/>
      </c>
      <c r="K3957" s="23" t="str">
        <f aca="false">IF(A3957="","",IF(AND(I3957="Sí",J3957="Sí"),"Sí","No"))</f>
        <v/>
      </c>
    </row>
    <row r="3958" customFormat="false" ht="15" hidden="false" customHeight="false" outlineLevel="0" collapsed="false">
      <c r="A3958" s="22"/>
      <c r="B3958" s="22"/>
      <c r="C3958" s="26" t="str">
        <f aca="false">IF(A3958="","",IFERROR(buscarx(A3958&amp;B3958,DATA!$E$3:$E$10000&amp;DATA!$B$3:$B$10000,DATA!$M$3:$M$10000),"No encontrado"))</f>
        <v/>
      </c>
      <c r="D3958" s="27" t="str">
        <f aca="false">IF(A3958="","",IFERROR(buscarx(A3958&amp;B3958,DATA!$E$3:$E$10000&amp;DATA!$B$3:$B$10000,DATA!$W$3:$W$10000),"No encontrado"))</f>
        <v/>
      </c>
      <c r="E3958" s="22"/>
      <c r="F3958" s="26" t="str">
        <f aca="false">IF(A3958="","",IFERROR(buscarx(A3958&amp;E3958,DATA!$E$3:$E$10000&amp;DATA!$B$3:$B$10000,DATA!$M$3:$M$10000),"Inactivo"))</f>
        <v/>
      </c>
      <c r="G3958" s="28" t="str">
        <f aca="false">IF(A3958="","",IF(AND(C3958&lt;&gt;"No encontrado",F3958&lt;&gt;"Inactivo"),C3958&amp;" → "&amp;F3958,"Sin transición"))</f>
        <v/>
      </c>
      <c r="H3958" s="26" t="str">
        <f aca="false">IF(A3958="","",IF(D3958="GCIA LINEA SERVICIO DIGITALIDAD Y VENTAS","Chats",IF(OR(D3958="GERENCIA INBOUND LÍNEAS SERVICIO Y VENTA",D3958="GERENCIA INBOUND LINEAS ESPECIALIZADAS"),"Llamadas","Otro")))</f>
        <v/>
      </c>
      <c r="I3958" s="26" t="str">
        <f aca="false">IF(A3958="","",IF(C3958="No encontrado","No","Sí"))</f>
        <v/>
      </c>
      <c r="J3958" s="26" t="str">
        <f aca="false">IF(A3958="","",IF(F3958="Inactivo","No","Sí"))</f>
        <v/>
      </c>
      <c r="K3958" s="26" t="str">
        <f aca="false">IF(A3958="","",IF(AND(I3958="Sí",J3958="Sí"),"Sí","No"))</f>
        <v/>
      </c>
    </row>
    <row r="3959" customFormat="false" ht="15" hidden="false" customHeight="false" outlineLevel="0" collapsed="false">
      <c r="A3959" s="22"/>
      <c r="B3959" s="22"/>
      <c r="C3959" s="23" t="str">
        <f aca="false">IF(A3959="","",IFERROR(buscarx(A3959&amp;B3959,DATA!$E$3:$E$10000&amp;DATA!$B$3:$B$10000,DATA!$M$3:$M$10000),"No encontrado"))</f>
        <v/>
      </c>
      <c r="D3959" s="24" t="str">
        <f aca="false">IF(A3959="","",IFERROR(buscarx(A3959&amp;B3959,DATA!$E$3:$E$10000&amp;DATA!$B$3:$B$10000,DATA!$W$3:$W$10000),"No encontrado"))</f>
        <v/>
      </c>
      <c r="E3959" s="22"/>
      <c r="F3959" s="23" t="str">
        <f aca="false">IF(A3959="","",IFERROR(buscarx(A3959&amp;E3959,DATA!$E$3:$E$10000&amp;DATA!$B$3:$B$10000,DATA!$M$3:$M$10000),"Inactivo"))</f>
        <v/>
      </c>
      <c r="G3959" s="25" t="str">
        <f aca="false">IF(A3959="","",IF(AND(C3959&lt;&gt;"No encontrado",F3959&lt;&gt;"Inactivo"),C3959&amp;" → "&amp;F3959,"Sin transición"))</f>
        <v/>
      </c>
      <c r="H3959" s="23" t="str">
        <f aca="false">IF(A3959="","",IF(D3959="GCIA LINEA SERVICIO DIGITALIDAD Y VENTAS","Chats",IF(OR(D3959="GERENCIA INBOUND LÍNEAS SERVICIO Y VENTA",D3959="GERENCIA INBOUND LINEAS ESPECIALIZADAS"),"Llamadas","Otro")))</f>
        <v/>
      </c>
      <c r="I3959" s="23" t="str">
        <f aca="false">IF(A3959="","",IF(C3959="No encontrado","No","Sí"))</f>
        <v/>
      </c>
      <c r="J3959" s="23" t="str">
        <f aca="false">IF(A3959="","",IF(F3959="Inactivo","No","Sí"))</f>
        <v/>
      </c>
      <c r="K3959" s="23" t="str">
        <f aca="false">IF(A3959="","",IF(AND(I3959="Sí",J3959="Sí"),"Sí","No"))</f>
        <v/>
      </c>
    </row>
    <row r="3960" customFormat="false" ht="15" hidden="false" customHeight="false" outlineLevel="0" collapsed="false">
      <c r="A3960" s="22"/>
      <c r="B3960" s="22"/>
      <c r="C3960" s="26" t="str">
        <f aca="false">IF(A3960="","",IFERROR(buscarx(A3960&amp;B3960,DATA!$E$3:$E$10000&amp;DATA!$B$3:$B$10000,DATA!$M$3:$M$10000),"No encontrado"))</f>
        <v/>
      </c>
      <c r="D3960" s="27" t="str">
        <f aca="false">IF(A3960="","",IFERROR(buscarx(A3960&amp;B3960,DATA!$E$3:$E$10000&amp;DATA!$B$3:$B$10000,DATA!$W$3:$W$10000),"No encontrado"))</f>
        <v/>
      </c>
      <c r="E3960" s="22"/>
      <c r="F3960" s="26" t="str">
        <f aca="false">IF(A3960="","",IFERROR(buscarx(A3960&amp;E3960,DATA!$E$3:$E$10000&amp;DATA!$B$3:$B$10000,DATA!$M$3:$M$10000),"Inactivo"))</f>
        <v/>
      </c>
      <c r="G3960" s="28" t="str">
        <f aca="false">IF(A3960="","",IF(AND(C3960&lt;&gt;"No encontrado",F3960&lt;&gt;"Inactivo"),C3960&amp;" → "&amp;F3960,"Sin transición"))</f>
        <v/>
      </c>
      <c r="H3960" s="26" t="str">
        <f aca="false">IF(A3960="","",IF(D3960="GCIA LINEA SERVICIO DIGITALIDAD Y VENTAS","Chats",IF(OR(D3960="GERENCIA INBOUND LÍNEAS SERVICIO Y VENTA",D3960="GERENCIA INBOUND LINEAS ESPECIALIZADAS"),"Llamadas","Otro")))</f>
        <v/>
      </c>
      <c r="I3960" s="26" t="str">
        <f aca="false">IF(A3960="","",IF(C3960="No encontrado","No","Sí"))</f>
        <v/>
      </c>
      <c r="J3960" s="26" t="str">
        <f aca="false">IF(A3960="","",IF(F3960="Inactivo","No","Sí"))</f>
        <v/>
      </c>
      <c r="K3960" s="26" t="str">
        <f aca="false">IF(A3960="","",IF(AND(I3960="Sí",J3960="Sí"),"Sí","No"))</f>
        <v/>
      </c>
    </row>
    <row r="3961" customFormat="false" ht="15" hidden="false" customHeight="false" outlineLevel="0" collapsed="false">
      <c r="A3961" s="22"/>
      <c r="B3961" s="22"/>
      <c r="C3961" s="23" t="str">
        <f aca="false">IF(A3961="","",IFERROR(buscarx(A3961&amp;B3961,DATA!$E$3:$E$10000&amp;DATA!$B$3:$B$10000,DATA!$M$3:$M$10000),"No encontrado"))</f>
        <v/>
      </c>
      <c r="D3961" s="24" t="str">
        <f aca="false">IF(A3961="","",IFERROR(buscarx(A3961&amp;B3961,DATA!$E$3:$E$10000&amp;DATA!$B$3:$B$10000,DATA!$W$3:$W$10000),"No encontrado"))</f>
        <v/>
      </c>
      <c r="E3961" s="22"/>
      <c r="F3961" s="23" t="str">
        <f aca="false">IF(A3961="","",IFERROR(buscarx(A3961&amp;E3961,DATA!$E$3:$E$10000&amp;DATA!$B$3:$B$10000,DATA!$M$3:$M$10000),"Inactivo"))</f>
        <v/>
      </c>
      <c r="G3961" s="25" t="str">
        <f aca="false">IF(A3961="","",IF(AND(C3961&lt;&gt;"No encontrado",F3961&lt;&gt;"Inactivo"),C3961&amp;" → "&amp;F3961,"Sin transición"))</f>
        <v/>
      </c>
      <c r="H3961" s="23" t="str">
        <f aca="false">IF(A3961="","",IF(D3961="GCIA LINEA SERVICIO DIGITALIDAD Y VENTAS","Chats",IF(OR(D3961="GERENCIA INBOUND LÍNEAS SERVICIO Y VENTA",D3961="GERENCIA INBOUND LINEAS ESPECIALIZADAS"),"Llamadas","Otro")))</f>
        <v/>
      </c>
      <c r="I3961" s="23" t="str">
        <f aca="false">IF(A3961="","",IF(C3961="No encontrado","No","Sí"))</f>
        <v/>
      </c>
      <c r="J3961" s="23" t="str">
        <f aca="false">IF(A3961="","",IF(F3961="Inactivo","No","Sí"))</f>
        <v/>
      </c>
      <c r="K3961" s="23" t="str">
        <f aca="false">IF(A3961="","",IF(AND(I3961="Sí",J3961="Sí"),"Sí","No"))</f>
        <v/>
      </c>
    </row>
    <row r="3962" customFormat="false" ht="15" hidden="false" customHeight="false" outlineLevel="0" collapsed="false">
      <c r="A3962" s="22"/>
      <c r="B3962" s="22"/>
      <c r="C3962" s="26" t="str">
        <f aca="false">IF(A3962="","",IFERROR(buscarx(A3962&amp;B3962,DATA!$E$3:$E$10000&amp;DATA!$B$3:$B$10000,DATA!$M$3:$M$10000),"No encontrado"))</f>
        <v/>
      </c>
      <c r="D3962" s="27" t="str">
        <f aca="false">IF(A3962="","",IFERROR(buscarx(A3962&amp;B3962,DATA!$E$3:$E$10000&amp;DATA!$B$3:$B$10000,DATA!$W$3:$W$10000),"No encontrado"))</f>
        <v/>
      </c>
      <c r="E3962" s="22"/>
      <c r="F3962" s="26" t="str">
        <f aca="false">IF(A3962="","",IFERROR(buscarx(A3962&amp;E3962,DATA!$E$3:$E$10000&amp;DATA!$B$3:$B$10000,DATA!$M$3:$M$10000),"Inactivo"))</f>
        <v/>
      </c>
      <c r="G3962" s="28" t="str">
        <f aca="false">IF(A3962="","",IF(AND(C3962&lt;&gt;"No encontrado",F3962&lt;&gt;"Inactivo"),C3962&amp;" → "&amp;F3962,"Sin transición"))</f>
        <v/>
      </c>
      <c r="H3962" s="26" t="str">
        <f aca="false">IF(A3962="","",IF(D3962="GCIA LINEA SERVICIO DIGITALIDAD Y VENTAS","Chats",IF(OR(D3962="GERENCIA INBOUND LÍNEAS SERVICIO Y VENTA",D3962="GERENCIA INBOUND LINEAS ESPECIALIZADAS"),"Llamadas","Otro")))</f>
        <v/>
      </c>
      <c r="I3962" s="26" t="str">
        <f aca="false">IF(A3962="","",IF(C3962="No encontrado","No","Sí"))</f>
        <v/>
      </c>
      <c r="J3962" s="26" t="str">
        <f aca="false">IF(A3962="","",IF(F3962="Inactivo","No","Sí"))</f>
        <v/>
      </c>
      <c r="K3962" s="26" t="str">
        <f aca="false">IF(A3962="","",IF(AND(I3962="Sí",J3962="Sí"),"Sí","No"))</f>
        <v/>
      </c>
    </row>
    <row r="3963" customFormat="false" ht="15" hidden="false" customHeight="false" outlineLevel="0" collapsed="false">
      <c r="A3963" s="22"/>
      <c r="B3963" s="22"/>
      <c r="C3963" s="23" t="str">
        <f aca="false">IF(A3963="","",IFERROR(buscarx(A3963&amp;B3963,DATA!$E$3:$E$10000&amp;DATA!$B$3:$B$10000,DATA!$M$3:$M$10000),"No encontrado"))</f>
        <v/>
      </c>
      <c r="D3963" s="24" t="str">
        <f aca="false">IF(A3963="","",IFERROR(buscarx(A3963&amp;B3963,DATA!$E$3:$E$10000&amp;DATA!$B$3:$B$10000,DATA!$W$3:$W$10000),"No encontrado"))</f>
        <v/>
      </c>
      <c r="E3963" s="22"/>
      <c r="F3963" s="23" t="str">
        <f aca="false">IF(A3963="","",IFERROR(buscarx(A3963&amp;E3963,DATA!$E$3:$E$10000&amp;DATA!$B$3:$B$10000,DATA!$M$3:$M$10000),"Inactivo"))</f>
        <v/>
      </c>
      <c r="G3963" s="25" t="str">
        <f aca="false">IF(A3963="","",IF(AND(C3963&lt;&gt;"No encontrado",F3963&lt;&gt;"Inactivo"),C3963&amp;" → "&amp;F3963,"Sin transición"))</f>
        <v/>
      </c>
      <c r="H3963" s="23" t="str">
        <f aca="false">IF(A3963="","",IF(D3963="GCIA LINEA SERVICIO DIGITALIDAD Y VENTAS","Chats",IF(OR(D3963="GERENCIA INBOUND LÍNEAS SERVICIO Y VENTA",D3963="GERENCIA INBOUND LINEAS ESPECIALIZADAS"),"Llamadas","Otro")))</f>
        <v/>
      </c>
      <c r="I3963" s="23" t="str">
        <f aca="false">IF(A3963="","",IF(C3963="No encontrado","No","Sí"))</f>
        <v/>
      </c>
      <c r="J3963" s="23" t="str">
        <f aca="false">IF(A3963="","",IF(F3963="Inactivo","No","Sí"))</f>
        <v/>
      </c>
      <c r="K3963" s="23" t="str">
        <f aca="false">IF(A3963="","",IF(AND(I3963="Sí",J3963="Sí"),"Sí","No"))</f>
        <v/>
      </c>
    </row>
    <row r="3964" customFormat="false" ht="15" hidden="false" customHeight="false" outlineLevel="0" collapsed="false">
      <c r="A3964" s="22"/>
      <c r="B3964" s="22"/>
      <c r="C3964" s="26" t="str">
        <f aca="false">IF(A3964="","",IFERROR(buscarx(A3964&amp;B3964,DATA!$E$3:$E$10000&amp;DATA!$B$3:$B$10000,DATA!$M$3:$M$10000),"No encontrado"))</f>
        <v/>
      </c>
      <c r="D3964" s="27" t="str">
        <f aca="false">IF(A3964="","",IFERROR(buscarx(A3964&amp;B3964,DATA!$E$3:$E$10000&amp;DATA!$B$3:$B$10000,DATA!$W$3:$W$10000),"No encontrado"))</f>
        <v/>
      </c>
      <c r="E3964" s="22"/>
      <c r="F3964" s="26" t="str">
        <f aca="false">IF(A3964="","",IFERROR(buscarx(A3964&amp;E3964,DATA!$E$3:$E$10000&amp;DATA!$B$3:$B$10000,DATA!$M$3:$M$10000),"Inactivo"))</f>
        <v/>
      </c>
      <c r="G3964" s="28" t="str">
        <f aca="false">IF(A3964="","",IF(AND(C3964&lt;&gt;"No encontrado",F3964&lt;&gt;"Inactivo"),C3964&amp;" → "&amp;F3964,"Sin transición"))</f>
        <v/>
      </c>
      <c r="H3964" s="26" t="str">
        <f aca="false">IF(A3964="","",IF(D3964="GCIA LINEA SERVICIO DIGITALIDAD Y VENTAS","Chats",IF(OR(D3964="GERENCIA INBOUND LÍNEAS SERVICIO Y VENTA",D3964="GERENCIA INBOUND LINEAS ESPECIALIZADAS"),"Llamadas","Otro")))</f>
        <v/>
      </c>
      <c r="I3964" s="26" t="str">
        <f aca="false">IF(A3964="","",IF(C3964="No encontrado","No","Sí"))</f>
        <v/>
      </c>
      <c r="J3964" s="26" t="str">
        <f aca="false">IF(A3964="","",IF(F3964="Inactivo","No","Sí"))</f>
        <v/>
      </c>
      <c r="K3964" s="26" t="str">
        <f aca="false">IF(A3964="","",IF(AND(I3964="Sí",J3964="Sí"),"Sí","No"))</f>
        <v/>
      </c>
    </row>
    <row r="3965" customFormat="false" ht="15" hidden="false" customHeight="false" outlineLevel="0" collapsed="false">
      <c r="A3965" s="22"/>
      <c r="B3965" s="22"/>
      <c r="C3965" s="23" t="str">
        <f aca="false">IF(A3965="","",IFERROR(buscarx(A3965&amp;B3965,DATA!$E$3:$E$10000&amp;DATA!$B$3:$B$10000,DATA!$M$3:$M$10000),"No encontrado"))</f>
        <v/>
      </c>
      <c r="D3965" s="24" t="str">
        <f aca="false">IF(A3965="","",IFERROR(buscarx(A3965&amp;B3965,DATA!$E$3:$E$10000&amp;DATA!$B$3:$B$10000,DATA!$W$3:$W$10000),"No encontrado"))</f>
        <v/>
      </c>
      <c r="E3965" s="22"/>
      <c r="F3965" s="23" t="str">
        <f aca="false">IF(A3965="","",IFERROR(buscarx(A3965&amp;E3965,DATA!$E$3:$E$10000&amp;DATA!$B$3:$B$10000,DATA!$M$3:$M$10000),"Inactivo"))</f>
        <v/>
      </c>
      <c r="G3965" s="25" t="str">
        <f aca="false">IF(A3965="","",IF(AND(C3965&lt;&gt;"No encontrado",F3965&lt;&gt;"Inactivo"),C3965&amp;" → "&amp;F3965,"Sin transición"))</f>
        <v/>
      </c>
      <c r="H3965" s="23" t="str">
        <f aca="false">IF(A3965="","",IF(D3965="GCIA LINEA SERVICIO DIGITALIDAD Y VENTAS","Chats",IF(OR(D3965="GERENCIA INBOUND LÍNEAS SERVICIO Y VENTA",D3965="GERENCIA INBOUND LINEAS ESPECIALIZADAS"),"Llamadas","Otro")))</f>
        <v/>
      </c>
      <c r="I3965" s="23" t="str">
        <f aca="false">IF(A3965="","",IF(C3965="No encontrado","No","Sí"))</f>
        <v/>
      </c>
      <c r="J3965" s="23" t="str">
        <f aca="false">IF(A3965="","",IF(F3965="Inactivo","No","Sí"))</f>
        <v/>
      </c>
      <c r="K3965" s="23" t="str">
        <f aca="false">IF(A3965="","",IF(AND(I3965="Sí",J3965="Sí"),"Sí","No"))</f>
        <v/>
      </c>
    </row>
    <row r="3966" customFormat="false" ht="15" hidden="false" customHeight="false" outlineLevel="0" collapsed="false">
      <c r="A3966" s="22"/>
      <c r="B3966" s="22"/>
      <c r="C3966" s="26" t="str">
        <f aca="false">IF(A3966="","",IFERROR(buscarx(A3966&amp;B3966,DATA!$E$3:$E$10000&amp;DATA!$B$3:$B$10000,DATA!$M$3:$M$10000),"No encontrado"))</f>
        <v/>
      </c>
      <c r="D3966" s="27" t="str">
        <f aca="false">IF(A3966="","",IFERROR(buscarx(A3966&amp;B3966,DATA!$E$3:$E$10000&amp;DATA!$B$3:$B$10000,DATA!$W$3:$W$10000),"No encontrado"))</f>
        <v/>
      </c>
      <c r="E3966" s="22"/>
      <c r="F3966" s="26" t="str">
        <f aca="false">IF(A3966="","",IFERROR(buscarx(A3966&amp;E3966,DATA!$E$3:$E$10000&amp;DATA!$B$3:$B$10000,DATA!$M$3:$M$10000),"Inactivo"))</f>
        <v/>
      </c>
      <c r="G3966" s="28" t="str">
        <f aca="false">IF(A3966="","",IF(AND(C3966&lt;&gt;"No encontrado",F3966&lt;&gt;"Inactivo"),C3966&amp;" → "&amp;F3966,"Sin transición"))</f>
        <v/>
      </c>
      <c r="H3966" s="26" t="str">
        <f aca="false">IF(A3966="","",IF(D3966="GCIA LINEA SERVICIO DIGITALIDAD Y VENTAS","Chats",IF(OR(D3966="GERENCIA INBOUND LÍNEAS SERVICIO Y VENTA",D3966="GERENCIA INBOUND LINEAS ESPECIALIZADAS"),"Llamadas","Otro")))</f>
        <v/>
      </c>
      <c r="I3966" s="26" t="str">
        <f aca="false">IF(A3966="","",IF(C3966="No encontrado","No","Sí"))</f>
        <v/>
      </c>
      <c r="J3966" s="26" t="str">
        <f aca="false">IF(A3966="","",IF(F3966="Inactivo","No","Sí"))</f>
        <v/>
      </c>
      <c r="K3966" s="26" t="str">
        <f aca="false">IF(A3966="","",IF(AND(I3966="Sí",J3966="Sí"),"Sí","No"))</f>
        <v/>
      </c>
    </row>
    <row r="3967" customFormat="false" ht="15" hidden="false" customHeight="false" outlineLevel="0" collapsed="false">
      <c r="A3967" s="22"/>
      <c r="B3967" s="22"/>
      <c r="C3967" s="23" t="str">
        <f aca="false">IF(A3967="","",IFERROR(buscarx(A3967&amp;B3967,DATA!$E$3:$E$10000&amp;DATA!$B$3:$B$10000,DATA!$M$3:$M$10000),"No encontrado"))</f>
        <v/>
      </c>
      <c r="D3967" s="24" t="str">
        <f aca="false">IF(A3967="","",IFERROR(buscarx(A3967&amp;B3967,DATA!$E$3:$E$10000&amp;DATA!$B$3:$B$10000,DATA!$W$3:$W$10000),"No encontrado"))</f>
        <v/>
      </c>
      <c r="E3967" s="22"/>
      <c r="F3967" s="23" t="str">
        <f aca="false">IF(A3967="","",IFERROR(buscarx(A3967&amp;E3967,DATA!$E$3:$E$10000&amp;DATA!$B$3:$B$10000,DATA!$M$3:$M$10000),"Inactivo"))</f>
        <v/>
      </c>
      <c r="G3967" s="25" t="str">
        <f aca="false">IF(A3967="","",IF(AND(C3967&lt;&gt;"No encontrado",F3967&lt;&gt;"Inactivo"),C3967&amp;" → "&amp;F3967,"Sin transición"))</f>
        <v/>
      </c>
      <c r="H3967" s="23" t="str">
        <f aca="false">IF(A3967="","",IF(D3967="GCIA LINEA SERVICIO DIGITALIDAD Y VENTAS","Chats",IF(OR(D3967="GERENCIA INBOUND LÍNEAS SERVICIO Y VENTA",D3967="GERENCIA INBOUND LINEAS ESPECIALIZADAS"),"Llamadas","Otro")))</f>
        <v/>
      </c>
      <c r="I3967" s="23" t="str">
        <f aca="false">IF(A3967="","",IF(C3967="No encontrado","No","Sí"))</f>
        <v/>
      </c>
      <c r="J3967" s="23" t="str">
        <f aca="false">IF(A3967="","",IF(F3967="Inactivo","No","Sí"))</f>
        <v/>
      </c>
      <c r="K3967" s="23" t="str">
        <f aca="false">IF(A3967="","",IF(AND(I3967="Sí",J3967="Sí"),"Sí","No"))</f>
        <v/>
      </c>
    </row>
    <row r="3968" customFormat="false" ht="15" hidden="false" customHeight="false" outlineLevel="0" collapsed="false">
      <c r="A3968" s="22"/>
      <c r="B3968" s="22"/>
      <c r="C3968" s="26" t="str">
        <f aca="false">IF(A3968="","",IFERROR(buscarx(A3968&amp;B3968,DATA!$E$3:$E$10000&amp;DATA!$B$3:$B$10000,DATA!$M$3:$M$10000),"No encontrado"))</f>
        <v/>
      </c>
      <c r="D3968" s="27" t="str">
        <f aca="false">IF(A3968="","",IFERROR(buscarx(A3968&amp;B3968,DATA!$E$3:$E$10000&amp;DATA!$B$3:$B$10000,DATA!$W$3:$W$10000),"No encontrado"))</f>
        <v/>
      </c>
      <c r="E3968" s="22"/>
      <c r="F3968" s="26" t="str">
        <f aca="false">IF(A3968="","",IFERROR(buscarx(A3968&amp;E3968,DATA!$E$3:$E$10000&amp;DATA!$B$3:$B$10000,DATA!$M$3:$M$10000),"Inactivo"))</f>
        <v/>
      </c>
      <c r="G3968" s="28" t="str">
        <f aca="false">IF(A3968="","",IF(AND(C3968&lt;&gt;"No encontrado",F3968&lt;&gt;"Inactivo"),C3968&amp;" → "&amp;F3968,"Sin transición"))</f>
        <v/>
      </c>
      <c r="H3968" s="26" t="str">
        <f aca="false">IF(A3968="","",IF(D3968="GCIA LINEA SERVICIO DIGITALIDAD Y VENTAS","Chats",IF(OR(D3968="GERENCIA INBOUND LÍNEAS SERVICIO Y VENTA",D3968="GERENCIA INBOUND LINEAS ESPECIALIZADAS"),"Llamadas","Otro")))</f>
        <v/>
      </c>
      <c r="I3968" s="26" t="str">
        <f aca="false">IF(A3968="","",IF(C3968="No encontrado","No","Sí"))</f>
        <v/>
      </c>
      <c r="J3968" s="26" t="str">
        <f aca="false">IF(A3968="","",IF(F3968="Inactivo","No","Sí"))</f>
        <v/>
      </c>
      <c r="K3968" s="26" t="str">
        <f aca="false">IF(A3968="","",IF(AND(I3968="Sí",J3968="Sí"),"Sí","No"))</f>
        <v/>
      </c>
    </row>
    <row r="3969" customFormat="false" ht="15" hidden="false" customHeight="false" outlineLevel="0" collapsed="false">
      <c r="A3969" s="22"/>
      <c r="B3969" s="22"/>
      <c r="C3969" s="23" t="str">
        <f aca="false">IF(A3969="","",IFERROR(buscarx(A3969&amp;B3969,DATA!$E$3:$E$10000&amp;DATA!$B$3:$B$10000,DATA!$M$3:$M$10000),"No encontrado"))</f>
        <v/>
      </c>
      <c r="D3969" s="24" t="str">
        <f aca="false">IF(A3969="","",IFERROR(buscarx(A3969&amp;B3969,DATA!$E$3:$E$10000&amp;DATA!$B$3:$B$10000,DATA!$W$3:$W$10000),"No encontrado"))</f>
        <v/>
      </c>
      <c r="E3969" s="22"/>
      <c r="F3969" s="23" t="str">
        <f aca="false">IF(A3969="","",IFERROR(buscarx(A3969&amp;E3969,DATA!$E$3:$E$10000&amp;DATA!$B$3:$B$10000,DATA!$M$3:$M$10000),"Inactivo"))</f>
        <v/>
      </c>
      <c r="G3969" s="25" t="str">
        <f aca="false">IF(A3969="","",IF(AND(C3969&lt;&gt;"No encontrado",F3969&lt;&gt;"Inactivo"),C3969&amp;" → "&amp;F3969,"Sin transición"))</f>
        <v/>
      </c>
      <c r="H3969" s="23" t="str">
        <f aca="false">IF(A3969="","",IF(D3969="GCIA LINEA SERVICIO DIGITALIDAD Y VENTAS","Chats",IF(OR(D3969="GERENCIA INBOUND LÍNEAS SERVICIO Y VENTA",D3969="GERENCIA INBOUND LINEAS ESPECIALIZADAS"),"Llamadas","Otro")))</f>
        <v/>
      </c>
      <c r="I3969" s="23" t="str">
        <f aca="false">IF(A3969="","",IF(C3969="No encontrado","No","Sí"))</f>
        <v/>
      </c>
      <c r="J3969" s="23" t="str">
        <f aca="false">IF(A3969="","",IF(F3969="Inactivo","No","Sí"))</f>
        <v/>
      </c>
      <c r="K3969" s="23" t="str">
        <f aca="false">IF(A3969="","",IF(AND(I3969="Sí",J3969="Sí"),"Sí","No"))</f>
        <v/>
      </c>
    </row>
    <row r="3970" customFormat="false" ht="15" hidden="false" customHeight="false" outlineLevel="0" collapsed="false">
      <c r="A3970" s="22"/>
      <c r="B3970" s="22"/>
      <c r="C3970" s="26" t="str">
        <f aca="false">IF(A3970="","",IFERROR(buscarx(A3970&amp;B3970,DATA!$E$3:$E$10000&amp;DATA!$B$3:$B$10000,DATA!$M$3:$M$10000),"No encontrado"))</f>
        <v/>
      </c>
      <c r="D3970" s="27" t="str">
        <f aca="false">IF(A3970="","",IFERROR(buscarx(A3970&amp;B3970,DATA!$E$3:$E$10000&amp;DATA!$B$3:$B$10000,DATA!$W$3:$W$10000),"No encontrado"))</f>
        <v/>
      </c>
      <c r="E3970" s="22"/>
      <c r="F3970" s="26" t="str">
        <f aca="false">IF(A3970="","",IFERROR(buscarx(A3970&amp;E3970,DATA!$E$3:$E$10000&amp;DATA!$B$3:$B$10000,DATA!$M$3:$M$10000),"Inactivo"))</f>
        <v/>
      </c>
      <c r="G3970" s="28" t="str">
        <f aca="false">IF(A3970="","",IF(AND(C3970&lt;&gt;"No encontrado",F3970&lt;&gt;"Inactivo"),C3970&amp;" → "&amp;F3970,"Sin transición"))</f>
        <v/>
      </c>
      <c r="H3970" s="26" t="str">
        <f aca="false">IF(A3970="","",IF(D3970="GCIA LINEA SERVICIO DIGITALIDAD Y VENTAS","Chats",IF(OR(D3970="GERENCIA INBOUND LÍNEAS SERVICIO Y VENTA",D3970="GERENCIA INBOUND LINEAS ESPECIALIZADAS"),"Llamadas","Otro")))</f>
        <v/>
      </c>
      <c r="I3970" s="26" t="str">
        <f aca="false">IF(A3970="","",IF(C3970="No encontrado","No","Sí"))</f>
        <v/>
      </c>
      <c r="J3970" s="26" t="str">
        <f aca="false">IF(A3970="","",IF(F3970="Inactivo","No","Sí"))</f>
        <v/>
      </c>
      <c r="K3970" s="26" t="str">
        <f aca="false">IF(A3970="","",IF(AND(I3970="Sí",J3970="Sí"),"Sí","No"))</f>
        <v/>
      </c>
    </row>
    <row r="3971" customFormat="false" ht="15" hidden="false" customHeight="false" outlineLevel="0" collapsed="false">
      <c r="A3971" s="22"/>
      <c r="B3971" s="22"/>
      <c r="C3971" s="23" t="str">
        <f aca="false">IF(A3971="","",IFERROR(buscarx(A3971&amp;B3971,DATA!$E$3:$E$10000&amp;DATA!$B$3:$B$10000,DATA!$M$3:$M$10000),"No encontrado"))</f>
        <v/>
      </c>
      <c r="D3971" s="24" t="str">
        <f aca="false">IF(A3971="","",IFERROR(buscarx(A3971&amp;B3971,DATA!$E$3:$E$10000&amp;DATA!$B$3:$B$10000,DATA!$W$3:$W$10000),"No encontrado"))</f>
        <v/>
      </c>
      <c r="E3971" s="22"/>
      <c r="F3971" s="23" t="str">
        <f aca="false">IF(A3971="","",IFERROR(buscarx(A3971&amp;E3971,DATA!$E$3:$E$10000&amp;DATA!$B$3:$B$10000,DATA!$M$3:$M$10000),"Inactivo"))</f>
        <v/>
      </c>
      <c r="G3971" s="25" t="str">
        <f aca="false">IF(A3971="","",IF(AND(C3971&lt;&gt;"No encontrado",F3971&lt;&gt;"Inactivo"),C3971&amp;" → "&amp;F3971,"Sin transición"))</f>
        <v/>
      </c>
      <c r="H3971" s="23" t="str">
        <f aca="false">IF(A3971="","",IF(D3971="GCIA LINEA SERVICIO DIGITALIDAD Y VENTAS","Chats",IF(OR(D3971="GERENCIA INBOUND LÍNEAS SERVICIO Y VENTA",D3971="GERENCIA INBOUND LINEAS ESPECIALIZADAS"),"Llamadas","Otro")))</f>
        <v/>
      </c>
      <c r="I3971" s="23" t="str">
        <f aca="false">IF(A3971="","",IF(C3971="No encontrado","No","Sí"))</f>
        <v/>
      </c>
      <c r="J3971" s="23" t="str">
        <f aca="false">IF(A3971="","",IF(F3971="Inactivo","No","Sí"))</f>
        <v/>
      </c>
      <c r="K3971" s="23" t="str">
        <f aca="false">IF(A3971="","",IF(AND(I3971="Sí",J3971="Sí"),"Sí","No"))</f>
        <v/>
      </c>
    </row>
    <row r="3972" customFormat="false" ht="15" hidden="false" customHeight="false" outlineLevel="0" collapsed="false">
      <c r="A3972" s="22"/>
      <c r="B3972" s="22"/>
      <c r="C3972" s="26" t="str">
        <f aca="false">IF(A3972="","",IFERROR(buscarx(A3972&amp;B3972,DATA!$E$3:$E$10000&amp;DATA!$B$3:$B$10000,DATA!$M$3:$M$10000),"No encontrado"))</f>
        <v/>
      </c>
      <c r="D3972" s="27" t="str">
        <f aca="false">IF(A3972="","",IFERROR(buscarx(A3972&amp;B3972,DATA!$E$3:$E$10000&amp;DATA!$B$3:$B$10000,DATA!$W$3:$W$10000),"No encontrado"))</f>
        <v/>
      </c>
      <c r="E3972" s="22"/>
      <c r="F3972" s="26" t="str">
        <f aca="false">IF(A3972="","",IFERROR(buscarx(A3972&amp;E3972,DATA!$E$3:$E$10000&amp;DATA!$B$3:$B$10000,DATA!$M$3:$M$10000),"Inactivo"))</f>
        <v/>
      </c>
      <c r="G3972" s="28" t="str">
        <f aca="false">IF(A3972="","",IF(AND(C3972&lt;&gt;"No encontrado",F3972&lt;&gt;"Inactivo"),C3972&amp;" → "&amp;F3972,"Sin transición"))</f>
        <v/>
      </c>
      <c r="H3972" s="26" t="str">
        <f aca="false">IF(A3972="","",IF(D3972="GCIA LINEA SERVICIO DIGITALIDAD Y VENTAS","Chats",IF(OR(D3972="GERENCIA INBOUND LÍNEAS SERVICIO Y VENTA",D3972="GERENCIA INBOUND LINEAS ESPECIALIZADAS"),"Llamadas","Otro")))</f>
        <v/>
      </c>
      <c r="I3972" s="26" t="str">
        <f aca="false">IF(A3972="","",IF(C3972="No encontrado","No","Sí"))</f>
        <v/>
      </c>
      <c r="J3972" s="26" t="str">
        <f aca="false">IF(A3972="","",IF(F3972="Inactivo","No","Sí"))</f>
        <v/>
      </c>
      <c r="K3972" s="26" t="str">
        <f aca="false">IF(A3972="","",IF(AND(I3972="Sí",J3972="Sí"),"Sí","No"))</f>
        <v/>
      </c>
    </row>
    <row r="3973" customFormat="false" ht="15" hidden="false" customHeight="false" outlineLevel="0" collapsed="false">
      <c r="A3973" s="22"/>
      <c r="B3973" s="22"/>
      <c r="C3973" s="23" t="str">
        <f aca="false">IF(A3973="","",IFERROR(buscarx(A3973&amp;B3973,DATA!$E$3:$E$10000&amp;DATA!$B$3:$B$10000,DATA!$M$3:$M$10000),"No encontrado"))</f>
        <v/>
      </c>
      <c r="D3973" s="24" t="str">
        <f aca="false">IF(A3973="","",IFERROR(buscarx(A3973&amp;B3973,DATA!$E$3:$E$10000&amp;DATA!$B$3:$B$10000,DATA!$W$3:$W$10000),"No encontrado"))</f>
        <v/>
      </c>
      <c r="E3973" s="22"/>
      <c r="F3973" s="23" t="str">
        <f aca="false">IF(A3973="","",IFERROR(buscarx(A3973&amp;E3973,DATA!$E$3:$E$10000&amp;DATA!$B$3:$B$10000,DATA!$M$3:$M$10000),"Inactivo"))</f>
        <v/>
      </c>
      <c r="G3973" s="25" t="str">
        <f aca="false">IF(A3973="","",IF(AND(C3973&lt;&gt;"No encontrado",F3973&lt;&gt;"Inactivo"),C3973&amp;" → "&amp;F3973,"Sin transición"))</f>
        <v/>
      </c>
      <c r="H3973" s="23" t="str">
        <f aca="false">IF(A3973="","",IF(D3973="GCIA LINEA SERVICIO DIGITALIDAD Y VENTAS","Chats",IF(OR(D3973="GERENCIA INBOUND LÍNEAS SERVICIO Y VENTA",D3973="GERENCIA INBOUND LINEAS ESPECIALIZADAS"),"Llamadas","Otro")))</f>
        <v/>
      </c>
      <c r="I3973" s="23" t="str">
        <f aca="false">IF(A3973="","",IF(C3973="No encontrado","No","Sí"))</f>
        <v/>
      </c>
      <c r="J3973" s="23" t="str">
        <f aca="false">IF(A3973="","",IF(F3973="Inactivo","No","Sí"))</f>
        <v/>
      </c>
      <c r="K3973" s="23" t="str">
        <f aca="false">IF(A3973="","",IF(AND(I3973="Sí",J3973="Sí"),"Sí","No"))</f>
        <v/>
      </c>
    </row>
    <row r="3974" customFormat="false" ht="15" hidden="false" customHeight="false" outlineLevel="0" collapsed="false">
      <c r="A3974" s="22"/>
      <c r="B3974" s="22"/>
      <c r="C3974" s="26" t="str">
        <f aca="false">IF(A3974="","",IFERROR(buscarx(A3974&amp;B3974,DATA!$E$3:$E$10000&amp;DATA!$B$3:$B$10000,DATA!$M$3:$M$10000),"No encontrado"))</f>
        <v/>
      </c>
      <c r="D3974" s="27" t="str">
        <f aca="false">IF(A3974="","",IFERROR(buscarx(A3974&amp;B3974,DATA!$E$3:$E$10000&amp;DATA!$B$3:$B$10000,DATA!$W$3:$W$10000),"No encontrado"))</f>
        <v/>
      </c>
      <c r="E3974" s="22"/>
      <c r="F3974" s="26" t="str">
        <f aca="false">IF(A3974="","",IFERROR(buscarx(A3974&amp;E3974,DATA!$E$3:$E$10000&amp;DATA!$B$3:$B$10000,DATA!$M$3:$M$10000),"Inactivo"))</f>
        <v/>
      </c>
      <c r="G3974" s="28" t="str">
        <f aca="false">IF(A3974="","",IF(AND(C3974&lt;&gt;"No encontrado",F3974&lt;&gt;"Inactivo"),C3974&amp;" → "&amp;F3974,"Sin transición"))</f>
        <v/>
      </c>
      <c r="H3974" s="26" t="str">
        <f aca="false">IF(A3974="","",IF(D3974="GCIA LINEA SERVICIO DIGITALIDAD Y VENTAS","Chats",IF(OR(D3974="GERENCIA INBOUND LÍNEAS SERVICIO Y VENTA",D3974="GERENCIA INBOUND LINEAS ESPECIALIZADAS"),"Llamadas","Otro")))</f>
        <v/>
      </c>
      <c r="I3974" s="26" t="str">
        <f aca="false">IF(A3974="","",IF(C3974="No encontrado","No","Sí"))</f>
        <v/>
      </c>
      <c r="J3974" s="26" t="str">
        <f aca="false">IF(A3974="","",IF(F3974="Inactivo","No","Sí"))</f>
        <v/>
      </c>
      <c r="K3974" s="26" t="str">
        <f aca="false">IF(A3974="","",IF(AND(I3974="Sí",J3974="Sí"),"Sí","No"))</f>
        <v/>
      </c>
    </row>
    <row r="3975" customFormat="false" ht="15" hidden="false" customHeight="false" outlineLevel="0" collapsed="false">
      <c r="A3975" s="22"/>
      <c r="B3975" s="22"/>
      <c r="C3975" s="23" t="str">
        <f aca="false">IF(A3975="","",IFERROR(buscarx(A3975&amp;B3975,DATA!$E$3:$E$10000&amp;DATA!$B$3:$B$10000,DATA!$M$3:$M$10000),"No encontrado"))</f>
        <v/>
      </c>
      <c r="D3975" s="24" t="str">
        <f aca="false">IF(A3975="","",IFERROR(buscarx(A3975&amp;B3975,DATA!$E$3:$E$10000&amp;DATA!$B$3:$B$10000,DATA!$W$3:$W$10000),"No encontrado"))</f>
        <v/>
      </c>
      <c r="E3975" s="22"/>
      <c r="F3975" s="23" t="str">
        <f aca="false">IF(A3975="","",IFERROR(buscarx(A3975&amp;E3975,DATA!$E$3:$E$10000&amp;DATA!$B$3:$B$10000,DATA!$M$3:$M$10000),"Inactivo"))</f>
        <v/>
      </c>
      <c r="G3975" s="25" t="str">
        <f aca="false">IF(A3975="","",IF(AND(C3975&lt;&gt;"No encontrado",F3975&lt;&gt;"Inactivo"),C3975&amp;" → "&amp;F3975,"Sin transición"))</f>
        <v/>
      </c>
      <c r="H3975" s="23" t="str">
        <f aca="false">IF(A3975="","",IF(D3975="GCIA LINEA SERVICIO DIGITALIDAD Y VENTAS","Chats",IF(OR(D3975="GERENCIA INBOUND LÍNEAS SERVICIO Y VENTA",D3975="GERENCIA INBOUND LINEAS ESPECIALIZADAS"),"Llamadas","Otro")))</f>
        <v/>
      </c>
      <c r="I3975" s="23" t="str">
        <f aca="false">IF(A3975="","",IF(C3975="No encontrado","No","Sí"))</f>
        <v/>
      </c>
      <c r="J3975" s="23" t="str">
        <f aca="false">IF(A3975="","",IF(F3975="Inactivo","No","Sí"))</f>
        <v/>
      </c>
      <c r="K3975" s="23" t="str">
        <f aca="false">IF(A3975="","",IF(AND(I3975="Sí",J3975="Sí"),"Sí","No"))</f>
        <v/>
      </c>
    </row>
    <row r="3976" customFormat="false" ht="15" hidden="false" customHeight="false" outlineLevel="0" collapsed="false">
      <c r="A3976" s="22"/>
      <c r="B3976" s="22"/>
      <c r="C3976" s="26" t="str">
        <f aca="false">IF(A3976="","",IFERROR(buscarx(A3976&amp;B3976,DATA!$E$3:$E$10000&amp;DATA!$B$3:$B$10000,DATA!$M$3:$M$10000),"No encontrado"))</f>
        <v/>
      </c>
      <c r="D3976" s="27" t="str">
        <f aca="false">IF(A3976="","",IFERROR(buscarx(A3976&amp;B3976,DATA!$E$3:$E$10000&amp;DATA!$B$3:$B$10000,DATA!$W$3:$W$10000),"No encontrado"))</f>
        <v/>
      </c>
      <c r="E3976" s="22"/>
      <c r="F3976" s="26" t="str">
        <f aca="false">IF(A3976="","",IFERROR(buscarx(A3976&amp;E3976,DATA!$E$3:$E$10000&amp;DATA!$B$3:$B$10000,DATA!$M$3:$M$10000),"Inactivo"))</f>
        <v/>
      </c>
      <c r="G3976" s="28" t="str">
        <f aca="false">IF(A3976="","",IF(AND(C3976&lt;&gt;"No encontrado",F3976&lt;&gt;"Inactivo"),C3976&amp;" → "&amp;F3976,"Sin transición"))</f>
        <v/>
      </c>
      <c r="H3976" s="26" t="str">
        <f aca="false">IF(A3976="","",IF(D3976="GCIA LINEA SERVICIO DIGITALIDAD Y VENTAS","Chats",IF(OR(D3976="GERENCIA INBOUND LÍNEAS SERVICIO Y VENTA",D3976="GERENCIA INBOUND LINEAS ESPECIALIZADAS"),"Llamadas","Otro")))</f>
        <v/>
      </c>
      <c r="I3976" s="26" t="str">
        <f aca="false">IF(A3976="","",IF(C3976="No encontrado","No","Sí"))</f>
        <v/>
      </c>
      <c r="J3976" s="26" t="str">
        <f aca="false">IF(A3976="","",IF(F3976="Inactivo","No","Sí"))</f>
        <v/>
      </c>
      <c r="K3976" s="26" t="str">
        <f aca="false">IF(A3976="","",IF(AND(I3976="Sí",J3976="Sí"),"Sí","No"))</f>
        <v/>
      </c>
    </row>
    <row r="3977" customFormat="false" ht="15" hidden="false" customHeight="false" outlineLevel="0" collapsed="false">
      <c r="A3977" s="22"/>
      <c r="B3977" s="22"/>
      <c r="C3977" s="23" t="str">
        <f aca="false">IF(A3977="","",IFERROR(buscarx(A3977&amp;B3977,DATA!$E$3:$E$10000&amp;DATA!$B$3:$B$10000,DATA!$M$3:$M$10000),"No encontrado"))</f>
        <v/>
      </c>
      <c r="D3977" s="24" t="str">
        <f aca="false">IF(A3977="","",IFERROR(buscarx(A3977&amp;B3977,DATA!$E$3:$E$10000&amp;DATA!$B$3:$B$10000,DATA!$W$3:$W$10000),"No encontrado"))</f>
        <v/>
      </c>
      <c r="E3977" s="22"/>
      <c r="F3977" s="23" t="str">
        <f aca="false">IF(A3977="","",IFERROR(buscarx(A3977&amp;E3977,DATA!$E$3:$E$10000&amp;DATA!$B$3:$B$10000,DATA!$M$3:$M$10000),"Inactivo"))</f>
        <v/>
      </c>
      <c r="G3977" s="25" t="str">
        <f aca="false">IF(A3977="","",IF(AND(C3977&lt;&gt;"No encontrado",F3977&lt;&gt;"Inactivo"),C3977&amp;" → "&amp;F3977,"Sin transición"))</f>
        <v/>
      </c>
      <c r="H3977" s="23" t="str">
        <f aca="false">IF(A3977="","",IF(D3977="GCIA LINEA SERVICIO DIGITALIDAD Y VENTAS","Chats",IF(OR(D3977="GERENCIA INBOUND LÍNEAS SERVICIO Y VENTA",D3977="GERENCIA INBOUND LINEAS ESPECIALIZADAS"),"Llamadas","Otro")))</f>
        <v/>
      </c>
      <c r="I3977" s="23" t="str">
        <f aca="false">IF(A3977="","",IF(C3977="No encontrado","No","Sí"))</f>
        <v/>
      </c>
      <c r="J3977" s="23" t="str">
        <f aca="false">IF(A3977="","",IF(F3977="Inactivo","No","Sí"))</f>
        <v/>
      </c>
      <c r="K3977" s="23" t="str">
        <f aca="false">IF(A3977="","",IF(AND(I3977="Sí",J3977="Sí"),"Sí","No"))</f>
        <v/>
      </c>
    </row>
    <row r="3978" customFormat="false" ht="15" hidden="false" customHeight="false" outlineLevel="0" collapsed="false">
      <c r="A3978" s="22"/>
      <c r="B3978" s="22"/>
      <c r="C3978" s="26" t="str">
        <f aca="false">IF(A3978="","",IFERROR(buscarx(A3978&amp;B3978,DATA!$E$3:$E$10000&amp;DATA!$B$3:$B$10000,DATA!$M$3:$M$10000),"No encontrado"))</f>
        <v/>
      </c>
      <c r="D3978" s="27" t="str">
        <f aca="false">IF(A3978="","",IFERROR(buscarx(A3978&amp;B3978,DATA!$E$3:$E$10000&amp;DATA!$B$3:$B$10000,DATA!$W$3:$W$10000),"No encontrado"))</f>
        <v/>
      </c>
      <c r="E3978" s="22"/>
      <c r="F3978" s="26" t="str">
        <f aca="false">IF(A3978="","",IFERROR(buscarx(A3978&amp;E3978,DATA!$E$3:$E$10000&amp;DATA!$B$3:$B$10000,DATA!$M$3:$M$10000),"Inactivo"))</f>
        <v/>
      </c>
      <c r="G3978" s="28" t="str">
        <f aca="false">IF(A3978="","",IF(AND(C3978&lt;&gt;"No encontrado",F3978&lt;&gt;"Inactivo"),C3978&amp;" → "&amp;F3978,"Sin transición"))</f>
        <v/>
      </c>
      <c r="H3978" s="26" t="str">
        <f aca="false">IF(A3978="","",IF(D3978="GCIA LINEA SERVICIO DIGITALIDAD Y VENTAS","Chats",IF(OR(D3978="GERENCIA INBOUND LÍNEAS SERVICIO Y VENTA",D3978="GERENCIA INBOUND LINEAS ESPECIALIZADAS"),"Llamadas","Otro")))</f>
        <v/>
      </c>
      <c r="I3978" s="26" t="str">
        <f aca="false">IF(A3978="","",IF(C3978="No encontrado","No","Sí"))</f>
        <v/>
      </c>
      <c r="J3978" s="26" t="str">
        <f aca="false">IF(A3978="","",IF(F3978="Inactivo","No","Sí"))</f>
        <v/>
      </c>
      <c r="K3978" s="26" t="str">
        <f aca="false">IF(A3978="","",IF(AND(I3978="Sí",J3978="Sí"),"Sí","No"))</f>
        <v/>
      </c>
    </row>
    <row r="3979" customFormat="false" ht="15" hidden="false" customHeight="false" outlineLevel="0" collapsed="false">
      <c r="A3979" s="22"/>
      <c r="B3979" s="22"/>
      <c r="C3979" s="23" t="str">
        <f aca="false">IF(A3979="","",IFERROR(buscarx(A3979&amp;B3979,DATA!$E$3:$E$10000&amp;DATA!$B$3:$B$10000,DATA!$M$3:$M$10000),"No encontrado"))</f>
        <v/>
      </c>
      <c r="D3979" s="24" t="str">
        <f aca="false">IF(A3979="","",IFERROR(buscarx(A3979&amp;B3979,DATA!$E$3:$E$10000&amp;DATA!$B$3:$B$10000,DATA!$W$3:$W$10000),"No encontrado"))</f>
        <v/>
      </c>
      <c r="E3979" s="22"/>
      <c r="F3979" s="23" t="str">
        <f aca="false">IF(A3979="","",IFERROR(buscarx(A3979&amp;E3979,DATA!$E$3:$E$10000&amp;DATA!$B$3:$B$10000,DATA!$M$3:$M$10000),"Inactivo"))</f>
        <v/>
      </c>
      <c r="G3979" s="25" t="str">
        <f aca="false">IF(A3979="","",IF(AND(C3979&lt;&gt;"No encontrado",F3979&lt;&gt;"Inactivo"),C3979&amp;" → "&amp;F3979,"Sin transición"))</f>
        <v/>
      </c>
      <c r="H3979" s="23" t="str">
        <f aca="false">IF(A3979="","",IF(D3979="GCIA LINEA SERVICIO DIGITALIDAD Y VENTAS","Chats",IF(OR(D3979="GERENCIA INBOUND LÍNEAS SERVICIO Y VENTA",D3979="GERENCIA INBOUND LINEAS ESPECIALIZADAS"),"Llamadas","Otro")))</f>
        <v/>
      </c>
      <c r="I3979" s="23" t="str">
        <f aca="false">IF(A3979="","",IF(C3979="No encontrado","No","Sí"))</f>
        <v/>
      </c>
      <c r="J3979" s="23" t="str">
        <f aca="false">IF(A3979="","",IF(F3979="Inactivo","No","Sí"))</f>
        <v/>
      </c>
      <c r="K3979" s="23" t="str">
        <f aca="false">IF(A3979="","",IF(AND(I3979="Sí",J3979="Sí"),"Sí","No"))</f>
        <v/>
      </c>
    </row>
    <row r="3980" customFormat="false" ht="15" hidden="false" customHeight="false" outlineLevel="0" collapsed="false">
      <c r="A3980" s="22"/>
      <c r="B3980" s="22"/>
      <c r="C3980" s="26" t="str">
        <f aca="false">IF(A3980="","",IFERROR(buscarx(A3980&amp;B3980,DATA!$E$3:$E$10000&amp;DATA!$B$3:$B$10000,DATA!$M$3:$M$10000),"No encontrado"))</f>
        <v/>
      </c>
      <c r="D3980" s="27" t="str">
        <f aca="false">IF(A3980="","",IFERROR(buscarx(A3980&amp;B3980,DATA!$E$3:$E$10000&amp;DATA!$B$3:$B$10000,DATA!$W$3:$W$10000),"No encontrado"))</f>
        <v/>
      </c>
      <c r="E3980" s="22"/>
      <c r="F3980" s="26" t="str">
        <f aca="false">IF(A3980="","",IFERROR(buscarx(A3980&amp;E3980,DATA!$E$3:$E$10000&amp;DATA!$B$3:$B$10000,DATA!$M$3:$M$10000),"Inactivo"))</f>
        <v/>
      </c>
      <c r="G3980" s="28" t="str">
        <f aca="false">IF(A3980="","",IF(AND(C3980&lt;&gt;"No encontrado",F3980&lt;&gt;"Inactivo"),C3980&amp;" → "&amp;F3980,"Sin transición"))</f>
        <v/>
      </c>
      <c r="H3980" s="26" t="str">
        <f aca="false">IF(A3980="","",IF(D3980="GCIA LINEA SERVICIO DIGITALIDAD Y VENTAS","Chats",IF(OR(D3980="GERENCIA INBOUND LÍNEAS SERVICIO Y VENTA",D3980="GERENCIA INBOUND LINEAS ESPECIALIZADAS"),"Llamadas","Otro")))</f>
        <v/>
      </c>
      <c r="I3980" s="26" t="str">
        <f aca="false">IF(A3980="","",IF(C3980="No encontrado","No","Sí"))</f>
        <v/>
      </c>
      <c r="J3980" s="26" t="str">
        <f aca="false">IF(A3980="","",IF(F3980="Inactivo","No","Sí"))</f>
        <v/>
      </c>
      <c r="K3980" s="26" t="str">
        <f aca="false">IF(A3980="","",IF(AND(I3980="Sí",J3980="Sí"),"Sí","No"))</f>
        <v/>
      </c>
    </row>
    <row r="3981" customFormat="false" ht="15" hidden="false" customHeight="false" outlineLevel="0" collapsed="false">
      <c r="A3981" s="22"/>
      <c r="B3981" s="22"/>
      <c r="C3981" s="23" t="str">
        <f aca="false">IF(A3981="","",IFERROR(buscarx(A3981&amp;B3981,DATA!$E$3:$E$10000&amp;DATA!$B$3:$B$10000,DATA!$M$3:$M$10000),"No encontrado"))</f>
        <v/>
      </c>
      <c r="D3981" s="24" t="str">
        <f aca="false">IF(A3981="","",IFERROR(buscarx(A3981&amp;B3981,DATA!$E$3:$E$10000&amp;DATA!$B$3:$B$10000,DATA!$W$3:$W$10000),"No encontrado"))</f>
        <v/>
      </c>
      <c r="E3981" s="22"/>
      <c r="F3981" s="23" t="str">
        <f aca="false">IF(A3981="","",IFERROR(buscarx(A3981&amp;E3981,DATA!$E$3:$E$10000&amp;DATA!$B$3:$B$10000,DATA!$M$3:$M$10000),"Inactivo"))</f>
        <v/>
      </c>
      <c r="G3981" s="25" t="str">
        <f aca="false">IF(A3981="","",IF(AND(C3981&lt;&gt;"No encontrado",F3981&lt;&gt;"Inactivo"),C3981&amp;" → "&amp;F3981,"Sin transición"))</f>
        <v/>
      </c>
      <c r="H3981" s="23" t="str">
        <f aca="false">IF(A3981="","",IF(D3981="GCIA LINEA SERVICIO DIGITALIDAD Y VENTAS","Chats",IF(OR(D3981="GERENCIA INBOUND LÍNEAS SERVICIO Y VENTA",D3981="GERENCIA INBOUND LINEAS ESPECIALIZADAS"),"Llamadas","Otro")))</f>
        <v/>
      </c>
      <c r="I3981" s="23" t="str">
        <f aca="false">IF(A3981="","",IF(C3981="No encontrado","No","Sí"))</f>
        <v/>
      </c>
      <c r="J3981" s="23" t="str">
        <f aca="false">IF(A3981="","",IF(F3981="Inactivo","No","Sí"))</f>
        <v/>
      </c>
      <c r="K3981" s="23" t="str">
        <f aca="false">IF(A3981="","",IF(AND(I3981="Sí",J3981="Sí"),"Sí","No"))</f>
        <v/>
      </c>
    </row>
    <row r="3982" customFormat="false" ht="15" hidden="false" customHeight="false" outlineLevel="0" collapsed="false">
      <c r="A3982" s="22"/>
      <c r="B3982" s="22"/>
      <c r="C3982" s="26" t="str">
        <f aca="false">IF(A3982="","",IFERROR(buscarx(A3982&amp;B3982,DATA!$E$3:$E$10000&amp;DATA!$B$3:$B$10000,DATA!$M$3:$M$10000),"No encontrado"))</f>
        <v/>
      </c>
      <c r="D3982" s="27" t="str">
        <f aca="false">IF(A3982="","",IFERROR(buscarx(A3982&amp;B3982,DATA!$E$3:$E$10000&amp;DATA!$B$3:$B$10000,DATA!$W$3:$W$10000),"No encontrado"))</f>
        <v/>
      </c>
      <c r="E3982" s="22"/>
      <c r="F3982" s="26" t="str">
        <f aca="false">IF(A3982="","",IFERROR(buscarx(A3982&amp;E3982,DATA!$E$3:$E$10000&amp;DATA!$B$3:$B$10000,DATA!$M$3:$M$10000),"Inactivo"))</f>
        <v/>
      </c>
      <c r="G3982" s="28" t="str">
        <f aca="false">IF(A3982="","",IF(AND(C3982&lt;&gt;"No encontrado",F3982&lt;&gt;"Inactivo"),C3982&amp;" → "&amp;F3982,"Sin transición"))</f>
        <v/>
      </c>
      <c r="H3982" s="26" t="str">
        <f aca="false">IF(A3982="","",IF(D3982="GCIA LINEA SERVICIO DIGITALIDAD Y VENTAS","Chats",IF(OR(D3982="GERENCIA INBOUND LÍNEAS SERVICIO Y VENTA",D3982="GERENCIA INBOUND LINEAS ESPECIALIZADAS"),"Llamadas","Otro")))</f>
        <v/>
      </c>
      <c r="I3982" s="26" t="str">
        <f aca="false">IF(A3982="","",IF(C3982="No encontrado","No","Sí"))</f>
        <v/>
      </c>
      <c r="J3982" s="26" t="str">
        <f aca="false">IF(A3982="","",IF(F3982="Inactivo","No","Sí"))</f>
        <v/>
      </c>
      <c r="K3982" s="26" t="str">
        <f aca="false">IF(A3982="","",IF(AND(I3982="Sí",J3982="Sí"),"Sí","No"))</f>
        <v/>
      </c>
    </row>
    <row r="3983" customFormat="false" ht="15" hidden="false" customHeight="false" outlineLevel="0" collapsed="false">
      <c r="A3983" s="22"/>
      <c r="B3983" s="22"/>
      <c r="C3983" s="23" t="str">
        <f aca="false">IF(A3983="","",IFERROR(buscarx(A3983&amp;B3983,DATA!$E$3:$E$10000&amp;DATA!$B$3:$B$10000,DATA!$M$3:$M$10000),"No encontrado"))</f>
        <v/>
      </c>
      <c r="D3983" s="24" t="str">
        <f aca="false">IF(A3983="","",IFERROR(buscarx(A3983&amp;B3983,DATA!$E$3:$E$10000&amp;DATA!$B$3:$B$10000,DATA!$W$3:$W$10000),"No encontrado"))</f>
        <v/>
      </c>
      <c r="E3983" s="22"/>
      <c r="F3983" s="23" t="str">
        <f aca="false">IF(A3983="","",IFERROR(buscarx(A3983&amp;E3983,DATA!$E$3:$E$10000&amp;DATA!$B$3:$B$10000,DATA!$M$3:$M$10000),"Inactivo"))</f>
        <v/>
      </c>
      <c r="G3983" s="25" t="str">
        <f aca="false">IF(A3983="","",IF(AND(C3983&lt;&gt;"No encontrado",F3983&lt;&gt;"Inactivo"),C3983&amp;" → "&amp;F3983,"Sin transición"))</f>
        <v/>
      </c>
      <c r="H3983" s="23" t="str">
        <f aca="false">IF(A3983="","",IF(D3983="GCIA LINEA SERVICIO DIGITALIDAD Y VENTAS","Chats",IF(OR(D3983="GERENCIA INBOUND LÍNEAS SERVICIO Y VENTA",D3983="GERENCIA INBOUND LINEAS ESPECIALIZADAS"),"Llamadas","Otro")))</f>
        <v/>
      </c>
      <c r="I3983" s="23" t="str">
        <f aca="false">IF(A3983="","",IF(C3983="No encontrado","No","Sí"))</f>
        <v/>
      </c>
      <c r="J3983" s="23" t="str">
        <f aca="false">IF(A3983="","",IF(F3983="Inactivo","No","Sí"))</f>
        <v/>
      </c>
      <c r="K3983" s="23" t="str">
        <f aca="false">IF(A3983="","",IF(AND(I3983="Sí",J3983="Sí"),"Sí","No"))</f>
        <v/>
      </c>
    </row>
    <row r="3984" customFormat="false" ht="15" hidden="false" customHeight="false" outlineLevel="0" collapsed="false">
      <c r="A3984" s="22"/>
      <c r="B3984" s="22"/>
      <c r="C3984" s="26" t="str">
        <f aca="false">IF(A3984="","",IFERROR(buscarx(A3984&amp;B3984,DATA!$E$3:$E$10000&amp;DATA!$B$3:$B$10000,DATA!$M$3:$M$10000),"No encontrado"))</f>
        <v/>
      </c>
      <c r="D3984" s="27" t="str">
        <f aca="false">IF(A3984="","",IFERROR(buscarx(A3984&amp;B3984,DATA!$E$3:$E$10000&amp;DATA!$B$3:$B$10000,DATA!$W$3:$W$10000),"No encontrado"))</f>
        <v/>
      </c>
      <c r="E3984" s="22"/>
      <c r="F3984" s="26" t="str">
        <f aca="false">IF(A3984="","",IFERROR(buscarx(A3984&amp;E3984,DATA!$E$3:$E$10000&amp;DATA!$B$3:$B$10000,DATA!$M$3:$M$10000),"Inactivo"))</f>
        <v/>
      </c>
      <c r="G3984" s="28" t="str">
        <f aca="false">IF(A3984="","",IF(AND(C3984&lt;&gt;"No encontrado",F3984&lt;&gt;"Inactivo"),C3984&amp;" → "&amp;F3984,"Sin transición"))</f>
        <v/>
      </c>
      <c r="H3984" s="26" t="str">
        <f aca="false">IF(A3984="","",IF(D3984="GCIA LINEA SERVICIO DIGITALIDAD Y VENTAS","Chats",IF(OR(D3984="GERENCIA INBOUND LÍNEAS SERVICIO Y VENTA",D3984="GERENCIA INBOUND LINEAS ESPECIALIZADAS"),"Llamadas","Otro")))</f>
        <v/>
      </c>
      <c r="I3984" s="26" t="str">
        <f aca="false">IF(A3984="","",IF(C3984="No encontrado","No","Sí"))</f>
        <v/>
      </c>
      <c r="J3984" s="26" t="str">
        <f aca="false">IF(A3984="","",IF(F3984="Inactivo","No","Sí"))</f>
        <v/>
      </c>
      <c r="K3984" s="26" t="str">
        <f aca="false">IF(A3984="","",IF(AND(I3984="Sí",J3984="Sí"),"Sí","No"))</f>
        <v/>
      </c>
    </row>
    <row r="3985" customFormat="false" ht="15" hidden="false" customHeight="false" outlineLevel="0" collapsed="false">
      <c r="A3985" s="22"/>
      <c r="B3985" s="22"/>
      <c r="C3985" s="23" t="str">
        <f aca="false">IF(A3985="","",IFERROR(buscarx(A3985&amp;B3985,DATA!$E$3:$E$10000&amp;DATA!$B$3:$B$10000,DATA!$M$3:$M$10000),"No encontrado"))</f>
        <v/>
      </c>
      <c r="D3985" s="24" t="str">
        <f aca="false">IF(A3985="","",IFERROR(buscarx(A3985&amp;B3985,DATA!$E$3:$E$10000&amp;DATA!$B$3:$B$10000,DATA!$W$3:$W$10000),"No encontrado"))</f>
        <v/>
      </c>
      <c r="E3985" s="22"/>
      <c r="F3985" s="23" t="str">
        <f aca="false">IF(A3985="","",IFERROR(buscarx(A3985&amp;E3985,DATA!$E$3:$E$10000&amp;DATA!$B$3:$B$10000,DATA!$M$3:$M$10000),"Inactivo"))</f>
        <v/>
      </c>
      <c r="G3985" s="25" t="str">
        <f aca="false">IF(A3985="","",IF(AND(C3985&lt;&gt;"No encontrado",F3985&lt;&gt;"Inactivo"),C3985&amp;" → "&amp;F3985,"Sin transición"))</f>
        <v/>
      </c>
      <c r="H3985" s="23" t="str">
        <f aca="false">IF(A3985="","",IF(D3985="GCIA LINEA SERVICIO DIGITALIDAD Y VENTAS","Chats",IF(OR(D3985="GERENCIA INBOUND LÍNEAS SERVICIO Y VENTA",D3985="GERENCIA INBOUND LINEAS ESPECIALIZADAS"),"Llamadas","Otro")))</f>
        <v/>
      </c>
      <c r="I3985" s="23" t="str">
        <f aca="false">IF(A3985="","",IF(C3985="No encontrado","No","Sí"))</f>
        <v/>
      </c>
      <c r="J3985" s="23" t="str">
        <f aca="false">IF(A3985="","",IF(F3985="Inactivo","No","Sí"))</f>
        <v/>
      </c>
      <c r="K3985" s="23" t="str">
        <f aca="false">IF(A3985="","",IF(AND(I3985="Sí",J3985="Sí"),"Sí","No"))</f>
        <v/>
      </c>
    </row>
    <row r="3986" customFormat="false" ht="15" hidden="false" customHeight="false" outlineLevel="0" collapsed="false">
      <c r="A3986" s="22"/>
      <c r="B3986" s="22"/>
      <c r="C3986" s="26" t="str">
        <f aca="false">IF(A3986="","",IFERROR(buscarx(A3986&amp;B3986,DATA!$E$3:$E$10000&amp;DATA!$B$3:$B$10000,DATA!$M$3:$M$10000),"No encontrado"))</f>
        <v/>
      </c>
      <c r="D3986" s="27" t="str">
        <f aca="false">IF(A3986="","",IFERROR(buscarx(A3986&amp;B3986,DATA!$E$3:$E$10000&amp;DATA!$B$3:$B$10000,DATA!$W$3:$W$10000),"No encontrado"))</f>
        <v/>
      </c>
      <c r="E3986" s="22"/>
      <c r="F3986" s="26" t="str">
        <f aca="false">IF(A3986="","",IFERROR(buscarx(A3986&amp;E3986,DATA!$E$3:$E$10000&amp;DATA!$B$3:$B$10000,DATA!$M$3:$M$10000),"Inactivo"))</f>
        <v/>
      </c>
      <c r="G3986" s="28" t="str">
        <f aca="false">IF(A3986="","",IF(AND(C3986&lt;&gt;"No encontrado",F3986&lt;&gt;"Inactivo"),C3986&amp;" → "&amp;F3986,"Sin transición"))</f>
        <v/>
      </c>
      <c r="H3986" s="26" t="str">
        <f aca="false">IF(A3986="","",IF(D3986="GCIA LINEA SERVICIO DIGITALIDAD Y VENTAS","Chats",IF(OR(D3986="GERENCIA INBOUND LÍNEAS SERVICIO Y VENTA",D3986="GERENCIA INBOUND LINEAS ESPECIALIZADAS"),"Llamadas","Otro")))</f>
        <v/>
      </c>
      <c r="I3986" s="26" t="str">
        <f aca="false">IF(A3986="","",IF(C3986="No encontrado","No","Sí"))</f>
        <v/>
      </c>
      <c r="J3986" s="26" t="str">
        <f aca="false">IF(A3986="","",IF(F3986="Inactivo","No","Sí"))</f>
        <v/>
      </c>
      <c r="K3986" s="26" t="str">
        <f aca="false">IF(A3986="","",IF(AND(I3986="Sí",J3986="Sí"),"Sí","No"))</f>
        <v/>
      </c>
    </row>
    <row r="3987" customFormat="false" ht="15" hidden="false" customHeight="false" outlineLevel="0" collapsed="false">
      <c r="A3987" s="22"/>
      <c r="B3987" s="22"/>
      <c r="C3987" s="23" t="str">
        <f aca="false">IF(A3987="","",IFERROR(buscarx(A3987&amp;B3987,DATA!$E$3:$E$10000&amp;DATA!$B$3:$B$10000,DATA!$M$3:$M$10000),"No encontrado"))</f>
        <v/>
      </c>
      <c r="D3987" s="24" t="str">
        <f aca="false">IF(A3987="","",IFERROR(buscarx(A3987&amp;B3987,DATA!$E$3:$E$10000&amp;DATA!$B$3:$B$10000,DATA!$W$3:$W$10000),"No encontrado"))</f>
        <v/>
      </c>
      <c r="E3987" s="22"/>
      <c r="F3987" s="23" t="str">
        <f aca="false">IF(A3987="","",IFERROR(buscarx(A3987&amp;E3987,DATA!$E$3:$E$10000&amp;DATA!$B$3:$B$10000,DATA!$M$3:$M$10000),"Inactivo"))</f>
        <v/>
      </c>
      <c r="G3987" s="25" t="str">
        <f aca="false">IF(A3987="","",IF(AND(C3987&lt;&gt;"No encontrado",F3987&lt;&gt;"Inactivo"),C3987&amp;" → "&amp;F3987,"Sin transición"))</f>
        <v/>
      </c>
      <c r="H3987" s="23" t="str">
        <f aca="false">IF(A3987="","",IF(D3987="GCIA LINEA SERVICIO DIGITALIDAD Y VENTAS","Chats",IF(OR(D3987="GERENCIA INBOUND LÍNEAS SERVICIO Y VENTA",D3987="GERENCIA INBOUND LINEAS ESPECIALIZADAS"),"Llamadas","Otro")))</f>
        <v/>
      </c>
      <c r="I3987" s="23" t="str">
        <f aca="false">IF(A3987="","",IF(C3987="No encontrado","No","Sí"))</f>
        <v/>
      </c>
      <c r="J3987" s="23" t="str">
        <f aca="false">IF(A3987="","",IF(F3987="Inactivo","No","Sí"))</f>
        <v/>
      </c>
      <c r="K3987" s="23" t="str">
        <f aca="false">IF(A3987="","",IF(AND(I3987="Sí",J3987="Sí"),"Sí","No"))</f>
        <v/>
      </c>
    </row>
    <row r="3988" customFormat="false" ht="15" hidden="false" customHeight="false" outlineLevel="0" collapsed="false">
      <c r="A3988" s="22"/>
      <c r="B3988" s="22"/>
      <c r="C3988" s="26" t="str">
        <f aca="false">IF(A3988="","",IFERROR(buscarx(A3988&amp;B3988,DATA!$E$3:$E$10000&amp;DATA!$B$3:$B$10000,DATA!$M$3:$M$10000),"No encontrado"))</f>
        <v/>
      </c>
      <c r="D3988" s="27" t="str">
        <f aca="false">IF(A3988="","",IFERROR(buscarx(A3988&amp;B3988,DATA!$E$3:$E$10000&amp;DATA!$B$3:$B$10000,DATA!$W$3:$W$10000),"No encontrado"))</f>
        <v/>
      </c>
      <c r="E3988" s="22"/>
      <c r="F3988" s="26" t="str">
        <f aca="false">IF(A3988="","",IFERROR(buscarx(A3988&amp;E3988,DATA!$E$3:$E$10000&amp;DATA!$B$3:$B$10000,DATA!$M$3:$M$10000),"Inactivo"))</f>
        <v/>
      </c>
      <c r="G3988" s="28" t="str">
        <f aca="false">IF(A3988="","",IF(AND(C3988&lt;&gt;"No encontrado",F3988&lt;&gt;"Inactivo"),C3988&amp;" → "&amp;F3988,"Sin transición"))</f>
        <v/>
      </c>
      <c r="H3988" s="26" t="str">
        <f aca="false">IF(A3988="","",IF(D3988="GCIA LINEA SERVICIO DIGITALIDAD Y VENTAS","Chats",IF(OR(D3988="GERENCIA INBOUND LÍNEAS SERVICIO Y VENTA",D3988="GERENCIA INBOUND LINEAS ESPECIALIZADAS"),"Llamadas","Otro")))</f>
        <v/>
      </c>
      <c r="I3988" s="26" t="str">
        <f aca="false">IF(A3988="","",IF(C3988="No encontrado","No","Sí"))</f>
        <v/>
      </c>
      <c r="J3988" s="26" t="str">
        <f aca="false">IF(A3988="","",IF(F3988="Inactivo","No","Sí"))</f>
        <v/>
      </c>
      <c r="K3988" s="26" t="str">
        <f aca="false">IF(A3988="","",IF(AND(I3988="Sí",J3988="Sí"),"Sí","No"))</f>
        <v/>
      </c>
    </row>
    <row r="3989" customFormat="false" ht="15" hidden="false" customHeight="false" outlineLevel="0" collapsed="false">
      <c r="A3989" s="22"/>
      <c r="B3989" s="22"/>
      <c r="C3989" s="23" t="str">
        <f aca="false">IF(A3989="","",IFERROR(buscarx(A3989&amp;B3989,DATA!$E$3:$E$10000&amp;DATA!$B$3:$B$10000,DATA!$M$3:$M$10000),"No encontrado"))</f>
        <v/>
      </c>
      <c r="D3989" s="24" t="str">
        <f aca="false">IF(A3989="","",IFERROR(buscarx(A3989&amp;B3989,DATA!$E$3:$E$10000&amp;DATA!$B$3:$B$10000,DATA!$W$3:$W$10000),"No encontrado"))</f>
        <v/>
      </c>
      <c r="E3989" s="22"/>
      <c r="F3989" s="23" t="str">
        <f aca="false">IF(A3989="","",IFERROR(buscarx(A3989&amp;E3989,DATA!$E$3:$E$10000&amp;DATA!$B$3:$B$10000,DATA!$M$3:$M$10000),"Inactivo"))</f>
        <v/>
      </c>
      <c r="G3989" s="25" t="str">
        <f aca="false">IF(A3989="","",IF(AND(C3989&lt;&gt;"No encontrado",F3989&lt;&gt;"Inactivo"),C3989&amp;" → "&amp;F3989,"Sin transición"))</f>
        <v/>
      </c>
      <c r="H3989" s="23" t="str">
        <f aca="false">IF(A3989="","",IF(D3989="GCIA LINEA SERVICIO DIGITALIDAD Y VENTAS","Chats",IF(OR(D3989="GERENCIA INBOUND LÍNEAS SERVICIO Y VENTA",D3989="GERENCIA INBOUND LINEAS ESPECIALIZADAS"),"Llamadas","Otro")))</f>
        <v/>
      </c>
      <c r="I3989" s="23" t="str">
        <f aca="false">IF(A3989="","",IF(C3989="No encontrado","No","Sí"))</f>
        <v/>
      </c>
      <c r="J3989" s="23" t="str">
        <f aca="false">IF(A3989="","",IF(F3989="Inactivo","No","Sí"))</f>
        <v/>
      </c>
      <c r="K3989" s="23" t="str">
        <f aca="false">IF(A3989="","",IF(AND(I3989="Sí",J3989="Sí"),"Sí","No"))</f>
        <v/>
      </c>
    </row>
    <row r="3990" customFormat="false" ht="15" hidden="false" customHeight="false" outlineLevel="0" collapsed="false">
      <c r="A3990" s="22"/>
      <c r="B3990" s="22"/>
      <c r="C3990" s="26" t="str">
        <f aca="false">IF(A3990="","",IFERROR(buscarx(A3990&amp;B3990,DATA!$E$3:$E$10000&amp;DATA!$B$3:$B$10000,DATA!$M$3:$M$10000),"No encontrado"))</f>
        <v/>
      </c>
      <c r="D3990" s="27" t="str">
        <f aca="false">IF(A3990="","",IFERROR(buscarx(A3990&amp;B3990,DATA!$E$3:$E$10000&amp;DATA!$B$3:$B$10000,DATA!$W$3:$W$10000),"No encontrado"))</f>
        <v/>
      </c>
      <c r="E3990" s="22"/>
      <c r="F3990" s="26" t="str">
        <f aca="false">IF(A3990="","",IFERROR(buscarx(A3990&amp;E3990,DATA!$E$3:$E$10000&amp;DATA!$B$3:$B$10000,DATA!$M$3:$M$10000),"Inactivo"))</f>
        <v/>
      </c>
      <c r="G3990" s="28" t="str">
        <f aca="false">IF(A3990="","",IF(AND(C3990&lt;&gt;"No encontrado",F3990&lt;&gt;"Inactivo"),C3990&amp;" → "&amp;F3990,"Sin transición"))</f>
        <v/>
      </c>
      <c r="H3990" s="26" t="str">
        <f aca="false">IF(A3990="","",IF(D3990="GCIA LINEA SERVICIO DIGITALIDAD Y VENTAS","Chats",IF(OR(D3990="GERENCIA INBOUND LÍNEAS SERVICIO Y VENTA",D3990="GERENCIA INBOUND LINEAS ESPECIALIZADAS"),"Llamadas","Otro")))</f>
        <v/>
      </c>
      <c r="I3990" s="26" t="str">
        <f aca="false">IF(A3990="","",IF(C3990="No encontrado","No","Sí"))</f>
        <v/>
      </c>
      <c r="J3990" s="26" t="str">
        <f aca="false">IF(A3990="","",IF(F3990="Inactivo","No","Sí"))</f>
        <v/>
      </c>
      <c r="K3990" s="26" t="str">
        <f aca="false">IF(A3990="","",IF(AND(I3990="Sí",J3990="Sí"),"Sí","No"))</f>
        <v/>
      </c>
    </row>
    <row r="3991" customFormat="false" ht="15" hidden="false" customHeight="false" outlineLevel="0" collapsed="false">
      <c r="A3991" s="22"/>
      <c r="B3991" s="22"/>
      <c r="C3991" s="23" t="str">
        <f aca="false">IF(A3991="","",IFERROR(buscarx(A3991&amp;B3991,DATA!$E$3:$E$10000&amp;DATA!$B$3:$B$10000,DATA!$M$3:$M$10000),"No encontrado"))</f>
        <v/>
      </c>
      <c r="D3991" s="24" t="str">
        <f aca="false">IF(A3991="","",IFERROR(buscarx(A3991&amp;B3991,DATA!$E$3:$E$10000&amp;DATA!$B$3:$B$10000,DATA!$W$3:$W$10000),"No encontrado"))</f>
        <v/>
      </c>
      <c r="E3991" s="22"/>
      <c r="F3991" s="23" t="str">
        <f aca="false">IF(A3991="","",IFERROR(buscarx(A3991&amp;E3991,DATA!$E$3:$E$10000&amp;DATA!$B$3:$B$10000,DATA!$M$3:$M$10000),"Inactivo"))</f>
        <v/>
      </c>
      <c r="G3991" s="25" t="str">
        <f aca="false">IF(A3991="","",IF(AND(C3991&lt;&gt;"No encontrado",F3991&lt;&gt;"Inactivo"),C3991&amp;" → "&amp;F3991,"Sin transición"))</f>
        <v/>
      </c>
      <c r="H3991" s="23" t="str">
        <f aca="false">IF(A3991="","",IF(D3991="GCIA LINEA SERVICIO DIGITALIDAD Y VENTAS","Chats",IF(OR(D3991="GERENCIA INBOUND LÍNEAS SERVICIO Y VENTA",D3991="GERENCIA INBOUND LINEAS ESPECIALIZADAS"),"Llamadas","Otro")))</f>
        <v/>
      </c>
      <c r="I3991" s="23" t="str">
        <f aca="false">IF(A3991="","",IF(C3991="No encontrado","No","Sí"))</f>
        <v/>
      </c>
      <c r="J3991" s="23" t="str">
        <f aca="false">IF(A3991="","",IF(F3991="Inactivo","No","Sí"))</f>
        <v/>
      </c>
      <c r="K3991" s="23" t="str">
        <f aca="false">IF(A3991="","",IF(AND(I3991="Sí",J3991="Sí"),"Sí","No"))</f>
        <v/>
      </c>
    </row>
    <row r="3992" customFormat="false" ht="15" hidden="false" customHeight="false" outlineLevel="0" collapsed="false">
      <c r="A3992" s="22"/>
      <c r="B3992" s="22"/>
      <c r="C3992" s="26" t="str">
        <f aca="false">IF(A3992="","",IFERROR(buscarx(A3992&amp;B3992,DATA!$E$3:$E$10000&amp;DATA!$B$3:$B$10000,DATA!$M$3:$M$10000),"No encontrado"))</f>
        <v/>
      </c>
      <c r="D3992" s="27" t="str">
        <f aca="false">IF(A3992="","",IFERROR(buscarx(A3992&amp;B3992,DATA!$E$3:$E$10000&amp;DATA!$B$3:$B$10000,DATA!$W$3:$W$10000),"No encontrado"))</f>
        <v/>
      </c>
      <c r="E3992" s="22"/>
      <c r="F3992" s="26" t="str">
        <f aca="false">IF(A3992="","",IFERROR(buscarx(A3992&amp;E3992,DATA!$E$3:$E$10000&amp;DATA!$B$3:$B$10000,DATA!$M$3:$M$10000),"Inactivo"))</f>
        <v/>
      </c>
      <c r="G3992" s="28" t="str">
        <f aca="false">IF(A3992="","",IF(AND(C3992&lt;&gt;"No encontrado",F3992&lt;&gt;"Inactivo"),C3992&amp;" → "&amp;F3992,"Sin transición"))</f>
        <v/>
      </c>
      <c r="H3992" s="26" t="str">
        <f aca="false">IF(A3992="","",IF(D3992="GCIA LINEA SERVICIO DIGITALIDAD Y VENTAS","Chats",IF(OR(D3992="GERENCIA INBOUND LÍNEAS SERVICIO Y VENTA",D3992="GERENCIA INBOUND LINEAS ESPECIALIZADAS"),"Llamadas","Otro")))</f>
        <v/>
      </c>
      <c r="I3992" s="26" t="str">
        <f aca="false">IF(A3992="","",IF(C3992="No encontrado","No","Sí"))</f>
        <v/>
      </c>
      <c r="J3992" s="26" t="str">
        <f aca="false">IF(A3992="","",IF(F3992="Inactivo","No","Sí"))</f>
        <v/>
      </c>
      <c r="K3992" s="26" t="str">
        <f aca="false">IF(A3992="","",IF(AND(I3992="Sí",J3992="Sí"),"Sí","No"))</f>
        <v/>
      </c>
    </row>
    <row r="3993" customFormat="false" ht="15" hidden="false" customHeight="false" outlineLevel="0" collapsed="false">
      <c r="A3993" s="22"/>
      <c r="B3993" s="22"/>
      <c r="C3993" s="23" t="str">
        <f aca="false">IF(A3993="","",IFERROR(buscarx(A3993&amp;B3993,DATA!$E$3:$E$10000&amp;DATA!$B$3:$B$10000,DATA!$M$3:$M$10000),"No encontrado"))</f>
        <v/>
      </c>
      <c r="D3993" s="24" t="str">
        <f aca="false">IF(A3993="","",IFERROR(buscarx(A3993&amp;B3993,DATA!$E$3:$E$10000&amp;DATA!$B$3:$B$10000,DATA!$W$3:$W$10000),"No encontrado"))</f>
        <v/>
      </c>
      <c r="E3993" s="22"/>
      <c r="F3993" s="23" t="str">
        <f aca="false">IF(A3993="","",IFERROR(buscarx(A3993&amp;E3993,DATA!$E$3:$E$10000&amp;DATA!$B$3:$B$10000,DATA!$M$3:$M$10000),"Inactivo"))</f>
        <v/>
      </c>
      <c r="G3993" s="25" t="str">
        <f aca="false">IF(A3993="","",IF(AND(C3993&lt;&gt;"No encontrado",F3993&lt;&gt;"Inactivo"),C3993&amp;" → "&amp;F3993,"Sin transición"))</f>
        <v/>
      </c>
      <c r="H3993" s="23" t="str">
        <f aca="false">IF(A3993="","",IF(D3993="GCIA LINEA SERVICIO DIGITALIDAD Y VENTAS","Chats",IF(OR(D3993="GERENCIA INBOUND LÍNEAS SERVICIO Y VENTA",D3993="GERENCIA INBOUND LINEAS ESPECIALIZADAS"),"Llamadas","Otro")))</f>
        <v/>
      </c>
      <c r="I3993" s="23" t="str">
        <f aca="false">IF(A3993="","",IF(C3993="No encontrado","No","Sí"))</f>
        <v/>
      </c>
      <c r="J3993" s="23" t="str">
        <f aca="false">IF(A3993="","",IF(F3993="Inactivo","No","Sí"))</f>
        <v/>
      </c>
      <c r="K3993" s="23" t="str">
        <f aca="false">IF(A3993="","",IF(AND(I3993="Sí",J3993="Sí"),"Sí","No"))</f>
        <v/>
      </c>
    </row>
    <row r="3994" customFormat="false" ht="15" hidden="false" customHeight="false" outlineLevel="0" collapsed="false">
      <c r="A3994" s="22"/>
      <c r="B3994" s="22"/>
      <c r="C3994" s="26" t="str">
        <f aca="false">IF(A3994="","",IFERROR(buscarx(A3994&amp;B3994,DATA!$E$3:$E$10000&amp;DATA!$B$3:$B$10000,DATA!$M$3:$M$10000),"No encontrado"))</f>
        <v/>
      </c>
      <c r="D3994" s="27" t="str">
        <f aca="false">IF(A3994="","",IFERROR(buscarx(A3994&amp;B3994,DATA!$E$3:$E$10000&amp;DATA!$B$3:$B$10000,DATA!$W$3:$W$10000),"No encontrado"))</f>
        <v/>
      </c>
      <c r="E3994" s="22"/>
      <c r="F3994" s="26" t="str">
        <f aca="false">IF(A3994="","",IFERROR(buscarx(A3994&amp;E3994,DATA!$E$3:$E$10000&amp;DATA!$B$3:$B$10000,DATA!$M$3:$M$10000),"Inactivo"))</f>
        <v/>
      </c>
      <c r="G3994" s="28" t="str">
        <f aca="false">IF(A3994="","",IF(AND(C3994&lt;&gt;"No encontrado",F3994&lt;&gt;"Inactivo"),C3994&amp;" → "&amp;F3994,"Sin transición"))</f>
        <v/>
      </c>
      <c r="H3994" s="26" t="str">
        <f aca="false">IF(A3994="","",IF(D3994="GCIA LINEA SERVICIO DIGITALIDAD Y VENTAS","Chats",IF(OR(D3994="GERENCIA INBOUND LÍNEAS SERVICIO Y VENTA",D3994="GERENCIA INBOUND LINEAS ESPECIALIZADAS"),"Llamadas","Otro")))</f>
        <v/>
      </c>
      <c r="I3994" s="26" t="str">
        <f aca="false">IF(A3994="","",IF(C3994="No encontrado","No","Sí"))</f>
        <v/>
      </c>
      <c r="J3994" s="26" t="str">
        <f aca="false">IF(A3994="","",IF(F3994="Inactivo","No","Sí"))</f>
        <v/>
      </c>
      <c r="K3994" s="26" t="str">
        <f aca="false">IF(A3994="","",IF(AND(I3994="Sí",J3994="Sí"),"Sí","No"))</f>
        <v/>
      </c>
    </row>
    <row r="3995" customFormat="false" ht="15" hidden="false" customHeight="false" outlineLevel="0" collapsed="false">
      <c r="A3995" s="22"/>
      <c r="B3995" s="22"/>
      <c r="C3995" s="23" t="str">
        <f aca="false">IF(A3995="","",IFERROR(buscarx(A3995&amp;B3995,DATA!$E$3:$E$10000&amp;DATA!$B$3:$B$10000,DATA!$M$3:$M$10000),"No encontrado"))</f>
        <v/>
      </c>
      <c r="D3995" s="24" t="str">
        <f aca="false">IF(A3995="","",IFERROR(buscarx(A3995&amp;B3995,DATA!$E$3:$E$10000&amp;DATA!$B$3:$B$10000,DATA!$W$3:$W$10000),"No encontrado"))</f>
        <v/>
      </c>
      <c r="E3995" s="22"/>
      <c r="F3995" s="23" t="str">
        <f aca="false">IF(A3995="","",IFERROR(buscarx(A3995&amp;E3995,DATA!$E$3:$E$10000&amp;DATA!$B$3:$B$10000,DATA!$M$3:$M$10000),"Inactivo"))</f>
        <v/>
      </c>
      <c r="G3995" s="25" t="str">
        <f aca="false">IF(A3995="","",IF(AND(C3995&lt;&gt;"No encontrado",F3995&lt;&gt;"Inactivo"),C3995&amp;" → "&amp;F3995,"Sin transición"))</f>
        <v/>
      </c>
      <c r="H3995" s="23" t="str">
        <f aca="false">IF(A3995="","",IF(D3995="GCIA LINEA SERVICIO DIGITALIDAD Y VENTAS","Chats",IF(OR(D3995="GERENCIA INBOUND LÍNEAS SERVICIO Y VENTA",D3995="GERENCIA INBOUND LINEAS ESPECIALIZADAS"),"Llamadas","Otro")))</f>
        <v/>
      </c>
      <c r="I3995" s="23" t="str">
        <f aca="false">IF(A3995="","",IF(C3995="No encontrado","No","Sí"))</f>
        <v/>
      </c>
      <c r="J3995" s="23" t="str">
        <f aca="false">IF(A3995="","",IF(F3995="Inactivo","No","Sí"))</f>
        <v/>
      </c>
      <c r="K3995" s="23" t="str">
        <f aca="false">IF(A3995="","",IF(AND(I3995="Sí",J3995="Sí"),"Sí","No"))</f>
        <v/>
      </c>
    </row>
    <row r="3996" customFormat="false" ht="15" hidden="false" customHeight="false" outlineLevel="0" collapsed="false">
      <c r="A3996" s="22"/>
      <c r="B3996" s="22"/>
      <c r="C3996" s="26" t="str">
        <f aca="false">IF(A3996="","",IFERROR(buscarx(A3996&amp;B3996,DATA!$E$3:$E$10000&amp;DATA!$B$3:$B$10000,DATA!$M$3:$M$10000),"No encontrado"))</f>
        <v/>
      </c>
      <c r="D3996" s="27" t="str">
        <f aca="false">IF(A3996="","",IFERROR(buscarx(A3996&amp;B3996,DATA!$E$3:$E$10000&amp;DATA!$B$3:$B$10000,DATA!$W$3:$W$10000),"No encontrado"))</f>
        <v/>
      </c>
      <c r="E3996" s="22"/>
      <c r="F3996" s="26" t="str">
        <f aca="false">IF(A3996="","",IFERROR(buscarx(A3996&amp;E3996,DATA!$E$3:$E$10000&amp;DATA!$B$3:$B$10000,DATA!$M$3:$M$10000),"Inactivo"))</f>
        <v/>
      </c>
      <c r="G3996" s="28" t="str">
        <f aca="false">IF(A3996="","",IF(AND(C3996&lt;&gt;"No encontrado",F3996&lt;&gt;"Inactivo"),C3996&amp;" → "&amp;F3996,"Sin transición"))</f>
        <v/>
      </c>
      <c r="H3996" s="26" t="str">
        <f aca="false">IF(A3996="","",IF(D3996="GCIA LINEA SERVICIO DIGITALIDAD Y VENTAS","Chats",IF(OR(D3996="GERENCIA INBOUND LÍNEAS SERVICIO Y VENTA",D3996="GERENCIA INBOUND LINEAS ESPECIALIZADAS"),"Llamadas","Otro")))</f>
        <v/>
      </c>
      <c r="I3996" s="26" t="str">
        <f aca="false">IF(A3996="","",IF(C3996="No encontrado","No","Sí"))</f>
        <v/>
      </c>
      <c r="J3996" s="26" t="str">
        <f aca="false">IF(A3996="","",IF(F3996="Inactivo","No","Sí"))</f>
        <v/>
      </c>
      <c r="K3996" s="26" t="str">
        <f aca="false">IF(A3996="","",IF(AND(I3996="Sí",J3996="Sí"),"Sí","No"))</f>
        <v/>
      </c>
    </row>
    <row r="3997" customFormat="false" ht="15" hidden="false" customHeight="false" outlineLevel="0" collapsed="false">
      <c r="A3997" s="22"/>
      <c r="B3997" s="22"/>
      <c r="C3997" s="23" t="str">
        <f aca="false">IF(A3997="","",IFERROR(buscarx(A3997&amp;B3997,DATA!$E$3:$E$10000&amp;DATA!$B$3:$B$10000,DATA!$M$3:$M$10000),"No encontrado"))</f>
        <v/>
      </c>
      <c r="D3997" s="24" t="str">
        <f aca="false">IF(A3997="","",IFERROR(buscarx(A3997&amp;B3997,DATA!$E$3:$E$10000&amp;DATA!$B$3:$B$10000,DATA!$W$3:$W$10000),"No encontrado"))</f>
        <v/>
      </c>
      <c r="E3997" s="22"/>
      <c r="F3997" s="23" t="str">
        <f aca="false">IF(A3997="","",IFERROR(buscarx(A3997&amp;E3997,DATA!$E$3:$E$10000&amp;DATA!$B$3:$B$10000,DATA!$M$3:$M$10000),"Inactivo"))</f>
        <v/>
      </c>
      <c r="G3997" s="25" t="str">
        <f aca="false">IF(A3997="","",IF(AND(C3997&lt;&gt;"No encontrado",F3997&lt;&gt;"Inactivo"),C3997&amp;" → "&amp;F3997,"Sin transición"))</f>
        <v/>
      </c>
      <c r="H3997" s="23" t="str">
        <f aca="false">IF(A3997="","",IF(D3997="GCIA LINEA SERVICIO DIGITALIDAD Y VENTAS","Chats",IF(OR(D3997="GERENCIA INBOUND LÍNEAS SERVICIO Y VENTA",D3997="GERENCIA INBOUND LINEAS ESPECIALIZADAS"),"Llamadas","Otro")))</f>
        <v/>
      </c>
      <c r="I3997" s="23" t="str">
        <f aca="false">IF(A3997="","",IF(C3997="No encontrado","No","Sí"))</f>
        <v/>
      </c>
      <c r="J3997" s="23" t="str">
        <f aca="false">IF(A3997="","",IF(F3997="Inactivo","No","Sí"))</f>
        <v/>
      </c>
      <c r="K3997" s="23" t="str">
        <f aca="false">IF(A3997="","",IF(AND(I3997="Sí",J3997="Sí"),"Sí","No"))</f>
        <v/>
      </c>
    </row>
    <row r="3998" customFormat="false" ht="15" hidden="false" customHeight="false" outlineLevel="0" collapsed="false">
      <c r="A3998" s="22"/>
      <c r="B3998" s="22"/>
      <c r="C3998" s="26" t="str">
        <f aca="false">IF(A3998="","",IFERROR(buscarx(A3998&amp;B3998,DATA!$E$3:$E$10000&amp;DATA!$B$3:$B$10000,DATA!$M$3:$M$10000),"No encontrado"))</f>
        <v/>
      </c>
      <c r="D3998" s="27" t="str">
        <f aca="false">IF(A3998="","",IFERROR(buscarx(A3998&amp;B3998,DATA!$E$3:$E$10000&amp;DATA!$B$3:$B$10000,DATA!$W$3:$W$10000),"No encontrado"))</f>
        <v/>
      </c>
      <c r="E3998" s="22"/>
      <c r="F3998" s="26" t="str">
        <f aca="false">IF(A3998="","",IFERROR(buscarx(A3998&amp;E3998,DATA!$E$3:$E$10000&amp;DATA!$B$3:$B$10000,DATA!$M$3:$M$10000),"Inactivo"))</f>
        <v/>
      </c>
      <c r="G3998" s="28" t="str">
        <f aca="false">IF(A3998="","",IF(AND(C3998&lt;&gt;"No encontrado",F3998&lt;&gt;"Inactivo"),C3998&amp;" → "&amp;F3998,"Sin transición"))</f>
        <v/>
      </c>
      <c r="H3998" s="26" t="str">
        <f aca="false">IF(A3998="","",IF(D3998="GCIA LINEA SERVICIO DIGITALIDAD Y VENTAS","Chats",IF(OR(D3998="GERENCIA INBOUND LÍNEAS SERVICIO Y VENTA",D3998="GERENCIA INBOUND LINEAS ESPECIALIZADAS"),"Llamadas","Otro")))</f>
        <v/>
      </c>
      <c r="I3998" s="26" t="str">
        <f aca="false">IF(A3998="","",IF(C3998="No encontrado","No","Sí"))</f>
        <v/>
      </c>
      <c r="J3998" s="26" t="str">
        <f aca="false">IF(A3998="","",IF(F3998="Inactivo","No","Sí"))</f>
        <v/>
      </c>
      <c r="K3998" s="26" t="str">
        <f aca="false">IF(A3998="","",IF(AND(I3998="Sí",J3998="Sí"),"Sí","No"))</f>
        <v/>
      </c>
    </row>
    <row r="3999" customFormat="false" ht="15" hidden="false" customHeight="false" outlineLevel="0" collapsed="false">
      <c r="A3999" s="22"/>
      <c r="B3999" s="22"/>
      <c r="C3999" s="23" t="str">
        <f aca="false">IF(A3999="","",IFERROR(buscarx(A3999&amp;B3999,DATA!$E$3:$E$10000&amp;DATA!$B$3:$B$10000,DATA!$M$3:$M$10000),"No encontrado"))</f>
        <v/>
      </c>
      <c r="D3999" s="24" t="str">
        <f aca="false">IF(A3999="","",IFERROR(buscarx(A3999&amp;B3999,DATA!$E$3:$E$10000&amp;DATA!$B$3:$B$10000,DATA!$W$3:$W$10000),"No encontrado"))</f>
        <v/>
      </c>
      <c r="E3999" s="22"/>
      <c r="F3999" s="23" t="str">
        <f aca="false">IF(A3999="","",IFERROR(buscarx(A3999&amp;E3999,DATA!$E$3:$E$10000&amp;DATA!$B$3:$B$10000,DATA!$M$3:$M$10000),"Inactivo"))</f>
        <v/>
      </c>
      <c r="G3999" s="25" t="str">
        <f aca="false">IF(A3999="","",IF(AND(C3999&lt;&gt;"No encontrado",F3999&lt;&gt;"Inactivo"),C3999&amp;" → "&amp;F3999,"Sin transición"))</f>
        <v/>
      </c>
      <c r="H3999" s="23" t="str">
        <f aca="false">IF(A3999="","",IF(D3999="GCIA LINEA SERVICIO DIGITALIDAD Y VENTAS","Chats",IF(OR(D3999="GERENCIA INBOUND LÍNEAS SERVICIO Y VENTA",D3999="GERENCIA INBOUND LINEAS ESPECIALIZADAS"),"Llamadas","Otro")))</f>
        <v/>
      </c>
      <c r="I3999" s="23" t="str">
        <f aca="false">IF(A3999="","",IF(C3999="No encontrado","No","Sí"))</f>
        <v/>
      </c>
      <c r="J3999" s="23" t="str">
        <f aca="false">IF(A3999="","",IF(F3999="Inactivo","No","Sí"))</f>
        <v/>
      </c>
      <c r="K3999" s="23" t="str">
        <f aca="false">IF(A3999="","",IF(AND(I3999="Sí",J3999="Sí"),"Sí","No"))</f>
        <v/>
      </c>
    </row>
    <row r="4000" customFormat="false" ht="15" hidden="false" customHeight="false" outlineLevel="0" collapsed="false">
      <c r="A4000" s="22"/>
      <c r="B4000" s="22"/>
      <c r="C4000" s="26" t="str">
        <f aca="false">IF(A4000="","",IFERROR(buscarx(A4000&amp;B4000,DATA!$E$3:$E$10000&amp;DATA!$B$3:$B$10000,DATA!$M$3:$M$10000),"No encontrado"))</f>
        <v/>
      </c>
      <c r="D4000" s="27" t="str">
        <f aca="false">IF(A4000="","",IFERROR(buscarx(A4000&amp;B4000,DATA!$E$3:$E$10000&amp;DATA!$B$3:$B$10000,DATA!$W$3:$W$10000),"No encontrado"))</f>
        <v/>
      </c>
      <c r="E4000" s="22"/>
      <c r="F4000" s="26" t="str">
        <f aca="false">IF(A4000="","",IFERROR(buscarx(A4000&amp;E4000,DATA!$E$3:$E$10000&amp;DATA!$B$3:$B$10000,DATA!$M$3:$M$10000),"Inactivo"))</f>
        <v/>
      </c>
      <c r="G4000" s="28" t="str">
        <f aca="false">IF(A4000="","",IF(AND(C4000&lt;&gt;"No encontrado",F4000&lt;&gt;"Inactivo"),C4000&amp;" → "&amp;F4000,"Sin transición"))</f>
        <v/>
      </c>
      <c r="H4000" s="26" t="str">
        <f aca="false">IF(A4000="","",IF(D4000="GCIA LINEA SERVICIO DIGITALIDAD Y VENTAS","Chats",IF(OR(D4000="GERENCIA INBOUND LÍNEAS SERVICIO Y VENTA",D4000="GERENCIA INBOUND LINEAS ESPECIALIZADAS"),"Llamadas","Otro")))</f>
        <v/>
      </c>
      <c r="I4000" s="26" t="str">
        <f aca="false">IF(A4000="","",IF(C4000="No encontrado","No","Sí"))</f>
        <v/>
      </c>
      <c r="J4000" s="26" t="str">
        <f aca="false">IF(A4000="","",IF(F4000="Inactivo","No","Sí"))</f>
        <v/>
      </c>
      <c r="K4000" s="26" t="str">
        <f aca="false">IF(A4000="","",IF(AND(I4000="Sí",J4000="Sí"),"Sí","No"))</f>
        <v/>
      </c>
    </row>
    <row r="4001" customFormat="false" ht="15" hidden="false" customHeight="false" outlineLevel="0" collapsed="false">
      <c r="A4001" s="22"/>
      <c r="B4001" s="22"/>
      <c r="C4001" s="23" t="str">
        <f aca="false">IF(A4001="","",IFERROR(buscarx(A4001&amp;B4001,DATA!$E$3:$E$10000&amp;DATA!$B$3:$B$10000,DATA!$M$3:$M$10000),"No encontrado"))</f>
        <v/>
      </c>
      <c r="D4001" s="24" t="str">
        <f aca="false">IF(A4001="","",IFERROR(buscarx(A4001&amp;B4001,DATA!$E$3:$E$10000&amp;DATA!$B$3:$B$10000,DATA!$W$3:$W$10000),"No encontrado"))</f>
        <v/>
      </c>
      <c r="E4001" s="22"/>
      <c r="F4001" s="23" t="str">
        <f aca="false">IF(A4001="","",IFERROR(buscarx(A4001&amp;E4001,DATA!$E$3:$E$10000&amp;DATA!$B$3:$B$10000,DATA!$M$3:$M$10000),"Inactivo"))</f>
        <v/>
      </c>
      <c r="G4001" s="25" t="str">
        <f aca="false">IF(A4001="","",IF(AND(C4001&lt;&gt;"No encontrado",F4001&lt;&gt;"Inactivo"),C4001&amp;" → "&amp;F4001,"Sin transición"))</f>
        <v/>
      </c>
      <c r="H4001" s="23" t="str">
        <f aca="false">IF(A4001="","",IF(D4001="GCIA LINEA SERVICIO DIGITALIDAD Y VENTAS","Chats",IF(OR(D4001="GERENCIA INBOUND LÍNEAS SERVICIO Y VENTA",D4001="GERENCIA INBOUND LINEAS ESPECIALIZADAS"),"Llamadas","Otro")))</f>
        <v/>
      </c>
      <c r="I4001" s="23" t="str">
        <f aca="false">IF(A4001="","",IF(C4001="No encontrado","No","Sí"))</f>
        <v/>
      </c>
      <c r="J4001" s="23" t="str">
        <f aca="false">IF(A4001="","",IF(F4001="Inactivo","No","Sí"))</f>
        <v/>
      </c>
      <c r="K4001" s="23" t="str">
        <f aca="false">IF(A4001="","",IF(AND(I4001="Sí",J4001="Sí"),"Sí","No"))</f>
        <v/>
      </c>
    </row>
    <row r="4002" customFormat="false" ht="15" hidden="false" customHeight="false" outlineLevel="0" collapsed="false">
      <c r="A4002" s="22"/>
      <c r="B4002" s="22"/>
      <c r="C4002" s="26" t="str">
        <f aca="false">IF(A4002="","",IFERROR(buscarx(A4002&amp;B4002,DATA!$E$3:$E$10000&amp;DATA!$B$3:$B$10000,DATA!$M$3:$M$10000),"No encontrado"))</f>
        <v/>
      </c>
      <c r="D4002" s="27" t="str">
        <f aca="false">IF(A4002="","",IFERROR(buscarx(A4002&amp;B4002,DATA!$E$3:$E$10000&amp;DATA!$B$3:$B$10000,DATA!$W$3:$W$10000),"No encontrado"))</f>
        <v/>
      </c>
      <c r="E4002" s="22"/>
      <c r="F4002" s="26" t="str">
        <f aca="false">IF(A4002="","",IFERROR(buscarx(A4002&amp;E4002,DATA!$E$3:$E$10000&amp;DATA!$B$3:$B$10000,DATA!$M$3:$M$10000),"Inactivo"))</f>
        <v/>
      </c>
      <c r="G4002" s="28" t="str">
        <f aca="false">IF(A4002="","",IF(AND(C4002&lt;&gt;"No encontrado",F4002&lt;&gt;"Inactivo"),C4002&amp;" → "&amp;F4002,"Sin transición"))</f>
        <v/>
      </c>
      <c r="H4002" s="26" t="str">
        <f aca="false">IF(A4002="","",IF(D4002="GCIA LINEA SERVICIO DIGITALIDAD Y VENTAS","Chats",IF(OR(D4002="GERENCIA INBOUND LÍNEAS SERVICIO Y VENTA",D4002="GERENCIA INBOUND LINEAS ESPECIALIZADAS"),"Llamadas","Otro")))</f>
        <v/>
      </c>
      <c r="I4002" s="26" t="str">
        <f aca="false">IF(A4002="","",IF(C4002="No encontrado","No","Sí"))</f>
        <v/>
      </c>
      <c r="J4002" s="26" t="str">
        <f aca="false">IF(A4002="","",IF(F4002="Inactivo","No","Sí"))</f>
        <v/>
      </c>
      <c r="K4002" s="26" t="str">
        <f aca="false">IF(A4002="","",IF(AND(I4002="Sí",J4002="Sí"),"Sí","No"))</f>
        <v/>
      </c>
    </row>
    <row r="4003" customFormat="false" ht="15" hidden="false" customHeight="false" outlineLevel="0" collapsed="false">
      <c r="A4003" s="22"/>
      <c r="B4003" s="22"/>
      <c r="C4003" s="23" t="str">
        <f aca="false">IF(A4003="","",IFERROR(buscarx(A4003&amp;B4003,DATA!$E$3:$E$10000&amp;DATA!$B$3:$B$10000,DATA!$M$3:$M$10000),"No encontrado"))</f>
        <v/>
      </c>
      <c r="D4003" s="24" t="str">
        <f aca="false">IF(A4003="","",IFERROR(buscarx(A4003&amp;B4003,DATA!$E$3:$E$10000&amp;DATA!$B$3:$B$10000,DATA!$W$3:$W$10000),"No encontrado"))</f>
        <v/>
      </c>
      <c r="E4003" s="22"/>
      <c r="F4003" s="23" t="str">
        <f aca="false">IF(A4003="","",IFERROR(buscarx(A4003&amp;E4003,DATA!$E$3:$E$10000&amp;DATA!$B$3:$B$10000,DATA!$M$3:$M$10000),"Inactivo"))</f>
        <v/>
      </c>
      <c r="G4003" s="25" t="str">
        <f aca="false">IF(A4003="","",IF(AND(C4003&lt;&gt;"No encontrado",F4003&lt;&gt;"Inactivo"),C4003&amp;" → "&amp;F4003,"Sin transición"))</f>
        <v/>
      </c>
      <c r="H4003" s="23" t="str">
        <f aca="false">IF(A4003="","",IF(D4003="GCIA LINEA SERVICIO DIGITALIDAD Y VENTAS","Chats",IF(OR(D4003="GERENCIA INBOUND LÍNEAS SERVICIO Y VENTA",D4003="GERENCIA INBOUND LINEAS ESPECIALIZADAS"),"Llamadas","Otro")))</f>
        <v/>
      </c>
      <c r="I4003" s="23" t="str">
        <f aca="false">IF(A4003="","",IF(C4003="No encontrado","No","Sí"))</f>
        <v/>
      </c>
      <c r="J4003" s="23" t="str">
        <f aca="false">IF(A4003="","",IF(F4003="Inactivo","No","Sí"))</f>
        <v/>
      </c>
      <c r="K4003" s="23" t="str">
        <f aca="false">IF(A4003="","",IF(AND(I4003="Sí",J4003="Sí"),"Sí","No"))</f>
        <v/>
      </c>
    </row>
    <row r="4004" customFormat="false" ht="15" hidden="false" customHeight="false" outlineLevel="0" collapsed="false">
      <c r="A4004" s="22"/>
      <c r="B4004" s="22"/>
      <c r="C4004" s="26" t="str">
        <f aca="false">IF(A4004="","",IFERROR(buscarx(A4004&amp;B4004,DATA!$E$3:$E$10000&amp;DATA!$B$3:$B$10000,DATA!$M$3:$M$10000),"No encontrado"))</f>
        <v/>
      </c>
      <c r="D4004" s="27" t="str">
        <f aca="false">IF(A4004="","",IFERROR(buscarx(A4004&amp;B4004,DATA!$E$3:$E$10000&amp;DATA!$B$3:$B$10000,DATA!$W$3:$W$10000),"No encontrado"))</f>
        <v/>
      </c>
      <c r="E4004" s="22"/>
      <c r="F4004" s="26" t="str">
        <f aca="false">IF(A4004="","",IFERROR(buscarx(A4004&amp;E4004,DATA!$E$3:$E$10000&amp;DATA!$B$3:$B$10000,DATA!$M$3:$M$10000),"Inactivo"))</f>
        <v/>
      </c>
      <c r="G4004" s="28" t="str">
        <f aca="false">IF(A4004="","",IF(AND(C4004&lt;&gt;"No encontrado",F4004&lt;&gt;"Inactivo"),C4004&amp;" → "&amp;F4004,"Sin transición"))</f>
        <v/>
      </c>
      <c r="H4004" s="26" t="str">
        <f aca="false">IF(A4004="","",IF(D4004="GCIA LINEA SERVICIO DIGITALIDAD Y VENTAS","Chats",IF(OR(D4004="GERENCIA INBOUND LÍNEAS SERVICIO Y VENTA",D4004="GERENCIA INBOUND LINEAS ESPECIALIZADAS"),"Llamadas","Otro")))</f>
        <v/>
      </c>
      <c r="I4004" s="26" t="str">
        <f aca="false">IF(A4004="","",IF(C4004="No encontrado","No","Sí"))</f>
        <v/>
      </c>
      <c r="J4004" s="26" t="str">
        <f aca="false">IF(A4004="","",IF(F4004="Inactivo","No","Sí"))</f>
        <v/>
      </c>
      <c r="K4004" s="26" t="str">
        <f aca="false">IF(A4004="","",IF(AND(I4004="Sí",J4004="Sí"),"Sí","No"))</f>
        <v/>
      </c>
    </row>
    <row r="4005" customFormat="false" ht="15" hidden="false" customHeight="false" outlineLevel="0" collapsed="false">
      <c r="A4005" s="22"/>
      <c r="B4005" s="22"/>
      <c r="C4005" s="23" t="str">
        <f aca="false">IF(A4005="","",IFERROR(buscarx(A4005&amp;B4005,DATA!$E$3:$E$10000&amp;DATA!$B$3:$B$10000,DATA!$M$3:$M$10000),"No encontrado"))</f>
        <v/>
      </c>
      <c r="D4005" s="24" t="str">
        <f aca="false">IF(A4005="","",IFERROR(buscarx(A4005&amp;B4005,DATA!$E$3:$E$10000&amp;DATA!$B$3:$B$10000,DATA!$W$3:$W$10000),"No encontrado"))</f>
        <v/>
      </c>
      <c r="E4005" s="22"/>
      <c r="F4005" s="23" t="str">
        <f aca="false">IF(A4005="","",IFERROR(buscarx(A4005&amp;E4005,DATA!$E$3:$E$10000&amp;DATA!$B$3:$B$10000,DATA!$M$3:$M$10000),"Inactivo"))</f>
        <v/>
      </c>
      <c r="G4005" s="25" t="str">
        <f aca="false">IF(A4005="","",IF(AND(C4005&lt;&gt;"No encontrado",F4005&lt;&gt;"Inactivo"),C4005&amp;" → "&amp;F4005,"Sin transición"))</f>
        <v/>
      </c>
      <c r="H4005" s="23" t="str">
        <f aca="false">IF(A4005="","",IF(D4005="GCIA LINEA SERVICIO DIGITALIDAD Y VENTAS","Chats",IF(OR(D4005="GERENCIA INBOUND LÍNEAS SERVICIO Y VENTA",D4005="GERENCIA INBOUND LINEAS ESPECIALIZADAS"),"Llamadas","Otro")))</f>
        <v/>
      </c>
      <c r="I4005" s="23" t="str">
        <f aca="false">IF(A4005="","",IF(C4005="No encontrado","No","Sí"))</f>
        <v/>
      </c>
      <c r="J4005" s="23" t="str">
        <f aca="false">IF(A4005="","",IF(F4005="Inactivo","No","Sí"))</f>
        <v/>
      </c>
      <c r="K4005" s="23" t="str">
        <f aca="false">IF(A4005="","",IF(AND(I4005="Sí",J4005="Sí"),"Sí","No"))</f>
        <v/>
      </c>
    </row>
    <row r="4006" customFormat="false" ht="15" hidden="false" customHeight="false" outlineLevel="0" collapsed="false">
      <c r="A4006" s="22"/>
      <c r="B4006" s="22"/>
      <c r="C4006" s="26" t="str">
        <f aca="false">IF(A4006="","",IFERROR(buscarx(A4006&amp;B4006,DATA!$E$3:$E$10000&amp;DATA!$B$3:$B$10000,DATA!$M$3:$M$10000),"No encontrado"))</f>
        <v/>
      </c>
      <c r="D4006" s="27" t="str">
        <f aca="false">IF(A4006="","",IFERROR(buscarx(A4006&amp;B4006,DATA!$E$3:$E$10000&amp;DATA!$B$3:$B$10000,DATA!$W$3:$W$10000),"No encontrado"))</f>
        <v/>
      </c>
      <c r="E4006" s="22"/>
      <c r="F4006" s="26" t="str">
        <f aca="false">IF(A4006="","",IFERROR(buscarx(A4006&amp;E4006,DATA!$E$3:$E$10000&amp;DATA!$B$3:$B$10000,DATA!$M$3:$M$10000),"Inactivo"))</f>
        <v/>
      </c>
      <c r="G4006" s="28" t="str">
        <f aca="false">IF(A4006="","",IF(AND(C4006&lt;&gt;"No encontrado",F4006&lt;&gt;"Inactivo"),C4006&amp;" → "&amp;F4006,"Sin transición"))</f>
        <v/>
      </c>
      <c r="H4006" s="26" t="str">
        <f aca="false">IF(A4006="","",IF(D4006="GCIA LINEA SERVICIO DIGITALIDAD Y VENTAS","Chats",IF(OR(D4006="GERENCIA INBOUND LÍNEAS SERVICIO Y VENTA",D4006="GERENCIA INBOUND LINEAS ESPECIALIZADAS"),"Llamadas","Otro")))</f>
        <v/>
      </c>
      <c r="I4006" s="26" t="str">
        <f aca="false">IF(A4006="","",IF(C4006="No encontrado","No","Sí"))</f>
        <v/>
      </c>
      <c r="J4006" s="26" t="str">
        <f aca="false">IF(A4006="","",IF(F4006="Inactivo","No","Sí"))</f>
        <v/>
      </c>
      <c r="K4006" s="26" t="str">
        <f aca="false">IF(A4006="","",IF(AND(I4006="Sí",J4006="Sí"),"Sí","No"))</f>
        <v/>
      </c>
    </row>
    <row r="4007" customFormat="false" ht="15" hidden="false" customHeight="false" outlineLevel="0" collapsed="false">
      <c r="A4007" s="22"/>
      <c r="B4007" s="22"/>
      <c r="C4007" s="23" t="str">
        <f aca="false">IF(A4007="","",IFERROR(buscarx(A4007&amp;B4007,DATA!$E$3:$E$10000&amp;DATA!$B$3:$B$10000,DATA!$M$3:$M$10000),"No encontrado"))</f>
        <v/>
      </c>
      <c r="D4007" s="24" t="str">
        <f aca="false">IF(A4007="","",IFERROR(buscarx(A4007&amp;B4007,DATA!$E$3:$E$10000&amp;DATA!$B$3:$B$10000,DATA!$W$3:$W$10000),"No encontrado"))</f>
        <v/>
      </c>
      <c r="E4007" s="22"/>
      <c r="F4007" s="23" t="str">
        <f aca="false">IF(A4007="","",IFERROR(buscarx(A4007&amp;E4007,DATA!$E$3:$E$10000&amp;DATA!$B$3:$B$10000,DATA!$M$3:$M$10000),"Inactivo"))</f>
        <v/>
      </c>
      <c r="G4007" s="25" t="str">
        <f aca="false">IF(A4007="","",IF(AND(C4007&lt;&gt;"No encontrado",F4007&lt;&gt;"Inactivo"),C4007&amp;" → "&amp;F4007,"Sin transición"))</f>
        <v/>
      </c>
      <c r="H4007" s="23" t="str">
        <f aca="false">IF(A4007="","",IF(D4007="GCIA LINEA SERVICIO DIGITALIDAD Y VENTAS","Chats",IF(OR(D4007="GERENCIA INBOUND LÍNEAS SERVICIO Y VENTA",D4007="GERENCIA INBOUND LINEAS ESPECIALIZADAS"),"Llamadas","Otro")))</f>
        <v/>
      </c>
      <c r="I4007" s="23" t="str">
        <f aca="false">IF(A4007="","",IF(C4007="No encontrado","No","Sí"))</f>
        <v/>
      </c>
      <c r="J4007" s="23" t="str">
        <f aca="false">IF(A4007="","",IF(F4007="Inactivo","No","Sí"))</f>
        <v/>
      </c>
      <c r="K4007" s="23" t="str">
        <f aca="false">IF(A4007="","",IF(AND(I4007="Sí",J4007="Sí"),"Sí","No"))</f>
        <v/>
      </c>
    </row>
    <row r="4008" customFormat="false" ht="15" hidden="false" customHeight="false" outlineLevel="0" collapsed="false">
      <c r="A4008" s="22"/>
      <c r="B4008" s="22"/>
      <c r="C4008" s="26" t="str">
        <f aca="false">IF(A4008="","",IFERROR(buscarx(A4008&amp;B4008,DATA!$E$3:$E$10000&amp;DATA!$B$3:$B$10000,DATA!$M$3:$M$10000),"No encontrado"))</f>
        <v/>
      </c>
      <c r="D4008" s="27" t="str">
        <f aca="false">IF(A4008="","",IFERROR(buscarx(A4008&amp;B4008,DATA!$E$3:$E$10000&amp;DATA!$B$3:$B$10000,DATA!$W$3:$W$10000),"No encontrado"))</f>
        <v/>
      </c>
      <c r="E4008" s="22"/>
      <c r="F4008" s="26" t="str">
        <f aca="false">IF(A4008="","",IFERROR(buscarx(A4008&amp;E4008,DATA!$E$3:$E$10000&amp;DATA!$B$3:$B$10000,DATA!$M$3:$M$10000),"Inactivo"))</f>
        <v/>
      </c>
      <c r="G4008" s="28" t="str">
        <f aca="false">IF(A4008="","",IF(AND(C4008&lt;&gt;"No encontrado",F4008&lt;&gt;"Inactivo"),C4008&amp;" → "&amp;F4008,"Sin transición"))</f>
        <v/>
      </c>
      <c r="H4008" s="26" t="str">
        <f aca="false">IF(A4008="","",IF(D4008="GCIA LINEA SERVICIO DIGITALIDAD Y VENTAS","Chats",IF(OR(D4008="GERENCIA INBOUND LÍNEAS SERVICIO Y VENTA",D4008="GERENCIA INBOUND LINEAS ESPECIALIZADAS"),"Llamadas","Otro")))</f>
        <v/>
      </c>
      <c r="I4008" s="26" t="str">
        <f aca="false">IF(A4008="","",IF(C4008="No encontrado","No","Sí"))</f>
        <v/>
      </c>
      <c r="J4008" s="26" t="str">
        <f aca="false">IF(A4008="","",IF(F4008="Inactivo","No","Sí"))</f>
        <v/>
      </c>
      <c r="K4008" s="26" t="str">
        <f aca="false">IF(A4008="","",IF(AND(I4008="Sí",J4008="Sí"),"Sí","No"))</f>
        <v/>
      </c>
    </row>
    <row r="4009" customFormat="false" ht="15" hidden="false" customHeight="false" outlineLevel="0" collapsed="false">
      <c r="A4009" s="22"/>
      <c r="B4009" s="22"/>
      <c r="C4009" s="23" t="str">
        <f aca="false">IF(A4009="","",IFERROR(buscarx(A4009&amp;B4009,DATA!$E$3:$E$10000&amp;DATA!$B$3:$B$10000,DATA!$M$3:$M$10000),"No encontrado"))</f>
        <v/>
      </c>
      <c r="D4009" s="24" t="str">
        <f aca="false">IF(A4009="","",IFERROR(buscarx(A4009&amp;B4009,DATA!$E$3:$E$10000&amp;DATA!$B$3:$B$10000,DATA!$W$3:$W$10000),"No encontrado"))</f>
        <v/>
      </c>
      <c r="E4009" s="22"/>
      <c r="F4009" s="23" t="str">
        <f aca="false">IF(A4009="","",IFERROR(buscarx(A4009&amp;E4009,DATA!$E$3:$E$10000&amp;DATA!$B$3:$B$10000,DATA!$M$3:$M$10000),"Inactivo"))</f>
        <v/>
      </c>
      <c r="G4009" s="25" t="str">
        <f aca="false">IF(A4009="","",IF(AND(C4009&lt;&gt;"No encontrado",F4009&lt;&gt;"Inactivo"),C4009&amp;" → "&amp;F4009,"Sin transición"))</f>
        <v/>
      </c>
      <c r="H4009" s="23" t="str">
        <f aca="false">IF(A4009="","",IF(D4009="GCIA LINEA SERVICIO DIGITALIDAD Y VENTAS","Chats",IF(OR(D4009="GERENCIA INBOUND LÍNEAS SERVICIO Y VENTA",D4009="GERENCIA INBOUND LINEAS ESPECIALIZADAS"),"Llamadas","Otro")))</f>
        <v/>
      </c>
      <c r="I4009" s="23" t="str">
        <f aca="false">IF(A4009="","",IF(C4009="No encontrado","No","Sí"))</f>
        <v/>
      </c>
      <c r="J4009" s="23" t="str">
        <f aca="false">IF(A4009="","",IF(F4009="Inactivo","No","Sí"))</f>
        <v/>
      </c>
      <c r="K4009" s="23" t="str">
        <f aca="false">IF(A4009="","",IF(AND(I4009="Sí",J4009="Sí"),"Sí","No"))</f>
        <v/>
      </c>
    </row>
    <row r="4010" customFormat="false" ht="15" hidden="false" customHeight="false" outlineLevel="0" collapsed="false">
      <c r="A4010" s="22"/>
      <c r="B4010" s="22"/>
      <c r="C4010" s="26" t="str">
        <f aca="false">IF(A4010="","",IFERROR(buscarx(A4010&amp;B4010,DATA!$E$3:$E$10000&amp;DATA!$B$3:$B$10000,DATA!$M$3:$M$10000),"No encontrado"))</f>
        <v/>
      </c>
      <c r="D4010" s="27" t="str">
        <f aca="false">IF(A4010="","",IFERROR(buscarx(A4010&amp;B4010,DATA!$E$3:$E$10000&amp;DATA!$B$3:$B$10000,DATA!$W$3:$W$10000),"No encontrado"))</f>
        <v/>
      </c>
      <c r="E4010" s="22"/>
      <c r="F4010" s="26" t="str">
        <f aca="false">IF(A4010="","",IFERROR(buscarx(A4010&amp;E4010,DATA!$E$3:$E$10000&amp;DATA!$B$3:$B$10000,DATA!$M$3:$M$10000),"Inactivo"))</f>
        <v/>
      </c>
      <c r="G4010" s="28" t="str">
        <f aca="false">IF(A4010="","",IF(AND(C4010&lt;&gt;"No encontrado",F4010&lt;&gt;"Inactivo"),C4010&amp;" → "&amp;F4010,"Sin transición"))</f>
        <v/>
      </c>
      <c r="H4010" s="26" t="str">
        <f aca="false">IF(A4010="","",IF(D4010="GCIA LINEA SERVICIO DIGITALIDAD Y VENTAS","Chats",IF(OR(D4010="GERENCIA INBOUND LÍNEAS SERVICIO Y VENTA",D4010="GERENCIA INBOUND LINEAS ESPECIALIZADAS"),"Llamadas","Otro")))</f>
        <v/>
      </c>
      <c r="I4010" s="26" t="str">
        <f aca="false">IF(A4010="","",IF(C4010="No encontrado","No","Sí"))</f>
        <v/>
      </c>
      <c r="J4010" s="26" t="str">
        <f aca="false">IF(A4010="","",IF(F4010="Inactivo","No","Sí"))</f>
        <v/>
      </c>
      <c r="K4010" s="26" t="str">
        <f aca="false">IF(A4010="","",IF(AND(I4010="Sí",J4010="Sí"),"Sí","No"))</f>
        <v/>
      </c>
    </row>
    <row r="4011" customFormat="false" ht="15" hidden="false" customHeight="false" outlineLevel="0" collapsed="false">
      <c r="A4011" s="22"/>
      <c r="B4011" s="22"/>
      <c r="C4011" s="23" t="str">
        <f aca="false">IF(A4011="","",IFERROR(buscarx(A4011&amp;B4011,DATA!$E$3:$E$10000&amp;DATA!$B$3:$B$10000,DATA!$M$3:$M$10000),"No encontrado"))</f>
        <v/>
      </c>
      <c r="D4011" s="24" t="str">
        <f aca="false">IF(A4011="","",IFERROR(buscarx(A4011&amp;B4011,DATA!$E$3:$E$10000&amp;DATA!$B$3:$B$10000,DATA!$W$3:$W$10000),"No encontrado"))</f>
        <v/>
      </c>
      <c r="E4011" s="22"/>
      <c r="F4011" s="23" t="str">
        <f aca="false">IF(A4011="","",IFERROR(buscarx(A4011&amp;E4011,DATA!$E$3:$E$10000&amp;DATA!$B$3:$B$10000,DATA!$M$3:$M$10000),"Inactivo"))</f>
        <v/>
      </c>
      <c r="G4011" s="25" t="str">
        <f aca="false">IF(A4011="","",IF(AND(C4011&lt;&gt;"No encontrado",F4011&lt;&gt;"Inactivo"),C4011&amp;" → "&amp;F4011,"Sin transición"))</f>
        <v/>
      </c>
      <c r="H4011" s="23" t="str">
        <f aca="false">IF(A4011="","",IF(D4011="GCIA LINEA SERVICIO DIGITALIDAD Y VENTAS","Chats",IF(OR(D4011="GERENCIA INBOUND LÍNEAS SERVICIO Y VENTA",D4011="GERENCIA INBOUND LINEAS ESPECIALIZADAS"),"Llamadas","Otro")))</f>
        <v/>
      </c>
      <c r="I4011" s="23" t="str">
        <f aca="false">IF(A4011="","",IF(C4011="No encontrado","No","Sí"))</f>
        <v/>
      </c>
      <c r="J4011" s="23" t="str">
        <f aca="false">IF(A4011="","",IF(F4011="Inactivo","No","Sí"))</f>
        <v/>
      </c>
      <c r="K4011" s="23" t="str">
        <f aca="false">IF(A4011="","",IF(AND(I4011="Sí",J4011="Sí"),"Sí","No"))</f>
        <v/>
      </c>
    </row>
    <row r="4012" customFormat="false" ht="15" hidden="false" customHeight="false" outlineLevel="0" collapsed="false">
      <c r="A4012" s="22"/>
      <c r="B4012" s="22"/>
      <c r="C4012" s="26" t="str">
        <f aca="false">IF(A4012="","",IFERROR(buscarx(A4012&amp;B4012,DATA!$E$3:$E$10000&amp;DATA!$B$3:$B$10000,DATA!$M$3:$M$10000),"No encontrado"))</f>
        <v/>
      </c>
      <c r="D4012" s="27" t="str">
        <f aca="false">IF(A4012="","",IFERROR(buscarx(A4012&amp;B4012,DATA!$E$3:$E$10000&amp;DATA!$B$3:$B$10000,DATA!$W$3:$W$10000),"No encontrado"))</f>
        <v/>
      </c>
      <c r="E4012" s="22"/>
      <c r="F4012" s="26" t="str">
        <f aca="false">IF(A4012="","",IFERROR(buscarx(A4012&amp;E4012,DATA!$E$3:$E$10000&amp;DATA!$B$3:$B$10000,DATA!$M$3:$M$10000),"Inactivo"))</f>
        <v/>
      </c>
      <c r="G4012" s="28" t="str">
        <f aca="false">IF(A4012="","",IF(AND(C4012&lt;&gt;"No encontrado",F4012&lt;&gt;"Inactivo"),C4012&amp;" → "&amp;F4012,"Sin transición"))</f>
        <v/>
      </c>
      <c r="H4012" s="26" t="str">
        <f aca="false">IF(A4012="","",IF(D4012="GCIA LINEA SERVICIO DIGITALIDAD Y VENTAS","Chats",IF(OR(D4012="GERENCIA INBOUND LÍNEAS SERVICIO Y VENTA",D4012="GERENCIA INBOUND LINEAS ESPECIALIZADAS"),"Llamadas","Otro")))</f>
        <v/>
      </c>
      <c r="I4012" s="26" t="str">
        <f aca="false">IF(A4012="","",IF(C4012="No encontrado","No","Sí"))</f>
        <v/>
      </c>
      <c r="J4012" s="26" t="str">
        <f aca="false">IF(A4012="","",IF(F4012="Inactivo","No","Sí"))</f>
        <v/>
      </c>
      <c r="K4012" s="26" t="str">
        <f aca="false">IF(A4012="","",IF(AND(I4012="Sí",J4012="Sí"),"Sí","No"))</f>
        <v/>
      </c>
    </row>
    <row r="4013" customFormat="false" ht="15" hidden="false" customHeight="false" outlineLevel="0" collapsed="false">
      <c r="A4013" s="22"/>
      <c r="B4013" s="22"/>
      <c r="C4013" s="23" t="str">
        <f aca="false">IF(A4013="","",IFERROR(buscarx(A4013&amp;B4013,DATA!$E$3:$E$10000&amp;DATA!$B$3:$B$10000,DATA!$M$3:$M$10000),"No encontrado"))</f>
        <v/>
      </c>
      <c r="D4013" s="24" t="str">
        <f aca="false">IF(A4013="","",IFERROR(buscarx(A4013&amp;B4013,DATA!$E$3:$E$10000&amp;DATA!$B$3:$B$10000,DATA!$W$3:$W$10000),"No encontrado"))</f>
        <v/>
      </c>
      <c r="E4013" s="22"/>
      <c r="F4013" s="23" t="str">
        <f aca="false">IF(A4013="","",IFERROR(buscarx(A4013&amp;E4013,DATA!$E$3:$E$10000&amp;DATA!$B$3:$B$10000,DATA!$M$3:$M$10000),"Inactivo"))</f>
        <v/>
      </c>
      <c r="G4013" s="25" t="str">
        <f aca="false">IF(A4013="","",IF(AND(C4013&lt;&gt;"No encontrado",F4013&lt;&gt;"Inactivo"),C4013&amp;" → "&amp;F4013,"Sin transición"))</f>
        <v/>
      </c>
      <c r="H4013" s="23" t="str">
        <f aca="false">IF(A4013="","",IF(D4013="GCIA LINEA SERVICIO DIGITALIDAD Y VENTAS","Chats",IF(OR(D4013="GERENCIA INBOUND LÍNEAS SERVICIO Y VENTA",D4013="GERENCIA INBOUND LINEAS ESPECIALIZADAS"),"Llamadas","Otro")))</f>
        <v/>
      </c>
      <c r="I4013" s="23" t="str">
        <f aca="false">IF(A4013="","",IF(C4013="No encontrado","No","Sí"))</f>
        <v/>
      </c>
      <c r="J4013" s="23" t="str">
        <f aca="false">IF(A4013="","",IF(F4013="Inactivo","No","Sí"))</f>
        <v/>
      </c>
      <c r="K4013" s="23" t="str">
        <f aca="false">IF(A4013="","",IF(AND(I4013="Sí",J4013="Sí"),"Sí","No"))</f>
        <v/>
      </c>
    </row>
    <row r="4014" customFormat="false" ht="15" hidden="false" customHeight="false" outlineLevel="0" collapsed="false">
      <c r="A4014" s="22"/>
      <c r="B4014" s="22"/>
      <c r="C4014" s="26" t="str">
        <f aca="false">IF(A4014="","",IFERROR(buscarx(A4014&amp;B4014,DATA!$E$3:$E$10000&amp;DATA!$B$3:$B$10000,DATA!$M$3:$M$10000),"No encontrado"))</f>
        <v/>
      </c>
      <c r="D4014" s="27" t="str">
        <f aca="false">IF(A4014="","",IFERROR(buscarx(A4014&amp;B4014,DATA!$E$3:$E$10000&amp;DATA!$B$3:$B$10000,DATA!$W$3:$W$10000),"No encontrado"))</f>
        <v/>
      </c>
      <c r="E4014" s="22"/>
      <c r="F4014" s="26" t="str">
        <f aca="false">IF(A4014="","",IFERROR(buscarx(A4014&amp;E4014,DATA!$E$3:$E$10000&amp;DATA!$B$3:$B$10000,DATA!$M$3:$M$10000),"Inactivo"))</f>
        <v/>
      </c>
      <c r="G4014" s="28" t="str">
        <f aca="false">IF(A4014="","",IF(AND(C4014&lt;&gt;"No encontrado",F4014&lt;&gt;"Inactivo"),C4014&amp;" → "&amp;F4014,"Sin transición"))</f>
        <v/>
      </c>
      <c r="H4014" s="26" t="str">
        <f aca="false">IF(A4014="","",IF(D4014="GCIA LINEA SERVICIO DIGITALIDAD Y VENTAS","Chats",IF(OR(D4014="GERENCIA INBOUND LÍNEAS SERVICIO Y VENTA",D4014="GERENCIA INBOUND LINEAS ESPECIALIZADAS"),"Llamadas","Otro")))</f>
        <v/>
      </c>
      <c r="I4014" s="26" t="str">
        <f aca="false">IF(A4014="","",IF(C4014="No encontrado","No","Sí"))</f>
        <v/>
      </c>
      <c r="J4014" s="26" t="str">
        <f aca="false">IF(A4014="","",IF(F4014="Inactivo","No","Sí"))</f>
        <v/>
      </c>
      <c r="K4014" s="26" t="str">
        <f aca="false">IF(A4014="","",IF(AND(I4014="Sí",J4014="Sí"),"Sí","No"))</f>
        <v/>
      </c>
    </row>
    <row r="4015" customFormat="false" ht="15" hidden="false" customHeight="false" outlineLevel="0" collapsed="false">
      <c r="A4015" s="22"/>
      <c r="B4015" s="22"/>
      <c r="C4015" s="23" t="str">
        <f aca="false">IF(A4015="","",IFERROR(buscarx(A4015&amp;B4015,DATA!$E$3:$E$10000&amp;DATA!$B$3:$B$10000,DATA!$M$3:$M$10000),"No encontrado"))</f>
        <v/>
      </c>
      <c r="D4015" s="24" t="str">
        <f aca="false">IF(A4015="","",IFERROR(buscarx(A4015&amp;B4015,DATA!$E$3:$E$10000&amp;DATA!$B$3:$B$10000,DATA!$W$3:$W$10000),"No encontrado"))</f>
        <v/>
      </c>
      <c r="E4015" s="22"/>
      <c r="F4015" s="23" t="str">
        <f aca="false">IF(A4015="","",IFERROR(buscarx(A4015&amp;E4015,DATA!$E$3:$E$10000&amp;DATA!$B$3:$B$10000,DATA!$M$3:$M$10000),"Inactivo"))</f>
        <v/>
      </c>
      <c r="G4015" s="25" t="str">
        <f aca="false">IF(A4015="","",IF(AND(C4015&lt;&gt;"No encontrado",F4015&lt;&gt;"Inactivo"),C4015&amp;" → "&amp;F4015,"Sin transición"))</f>
        <v/>
      </c>
      <c r="H4015" s="23" t="str">
        <f aca="false">IF(A4015="","",IF(D4015="GCIA LINEA SERVICIO DIGITALIDAD Y VENTAS","Chats",IF(OR(D4015="GERENCIA INBOUND LÍNEAS SERVICIO Y VENTA",D4015="GERENCIA INBOUND LINEAS ESPECIALIZADAS"),"Llamadas","Otro")))</f>
        <v/>
      </c>
      <c r="I4015" s="23" t="str">
        <f aca="false">IF(A4015="","",IF(C4015="No encontrado","No","Sí"))</f>
        <v/>
      </c>
      <c r="J4015" s="23" t="str">
        <f aca="false">IF(A4015="","",IF(F4015="Inactivo","No","Sí"))</f>
        <v/>
      </c>
      <c r="K4015" s="23" t="str">
        <f aca="false">IF(A4015="","",IF(AND(I4015="Sí",J4015="Sí"),"Sí","No"))</f>
        <v/>
      </c>
    </row>
    <row r="4016" customFormat="false" ht="15" hidden="false" customHeight="false" outlineLevel="0" collapsed="false">
      <c r="A4016" s="22"/>
      <c r="B4016" s="22"/>
      <c r="C4016" s="26" t="str">
        <f aca="false">IF(A4016="","",IFERROR(buscarx(A4016&amp;B4016,DATA!$E$3:$E$10000&amp;DATA!$B$3:$B$10000,DATA!$M$3:$M$10000),"No encontrado"))</f>
        <v/>
      </c>
      <c r="D4016" s="27" t="str">
        <f aca="false">IF(A4016="","",IFERROR(buscarx(A4016&amp;B4016,DATA!$E$3:$E$10000&amp;DATA!$B$3:$B$10000,DATA!$W$3:$W$10000),"No encontrado"))</f>
        <v/>
      </c>
      <c r="E4016" s="22"/>
      <c r="F4016" s="26" t="str">
        <f aca="false">IF(A4016="","",IFERROR(buscarx(A4016&amp;E4016,DATA!$E$3:$E$10000&amp;DATA!$B$3:$B$10000,DATA!$M$3:$M$10000),"Inactivo"))</f>
        <v/>
      </c>
      <c r="G4016" s="28" t="str">
        <f aca="false">IF(A4016="","",IF(AND(C4016&lt;&gt;"No encontrado",F4016&lt;&gt;"Inactivo"),C4016&amp;" → "&amp;F4016,"Sin transición"))</f>
        <v/>
      </c>
      <c r="H4016" s="26" t="str">
        <f aca="false">IF(A4016="","",IF(D4016="GCIA LINEA SERVICIO DIGITALIDAD Y VENTAS","Chats",IF(OR(D4016="GERENCIA INBOUND LÍNEAS SERVICIO Y VENTA",D4016="GERENCIA INBOUND LINEAS ESPECIALIZADAS"),"Llamadas","Otro")))</f>
        <v/>
      </c>
      <c r="I4016" s="26" t="str">
        <f aca="false">IF(A4016="","",IF(C4016="No encontrado","No","Sí"))</f>
        <v/>
      </c>
      <c r="J4016" s="26" t="str">
        <f aca="false">IF(A4016="","",IF(F4016="Inactivo","No","Sí"))</f>
        <v/>
      </c>
      <c r="K4016" s="26" t="str">
        <f aca="false">IF(A4016="","",IF(AND(I4016="Sí",J4016="Sí"),"Sí","No"))</f>
        <v/>
      </c>
    </row>
    <row r="4017" customFormat="false" ht="15" hidden="false" customHeight="false" outlineLevel="0" collapsed="false">
      <c r="A4017" s="22"/>
      <c r="B4017" s="22"/>
      <c r="C4017" s="23" t="str">
        <f aca="false">IF(A4017="","",IFERROR(buscarx(A4017&amp;B4017,DATA!$E$3:$E$10000&amp;DATA!$B$3:$B$10000,DATA!$M$3:$M$10000),"No encontrado"))</f>
        <v/>
      </c>
      <c r="D4017" s="24" t="str">
        <f aca="false">IF(A4017="","",IFERROR(buscarx(A4017&amp;B4017,DATA!$E$3:$E$10000&amp;DATA!$B$3:$B$10000,DATA!$W$3:$W$10000),"No encontrado"))</f>
        <v/>
      </c>
      <c r="E4017" s="22"/>
      <c r="F4017" s="23" t="str">
        <f aca="false">IF(A4017="","",IFERROR(buscarx(A4017&amp;E4017,DATA!$E$3:$E$10000&amp;DATA!$B$3:$B$10000,DATA!$M$3:$M$10000),"Inactivo"))</f>
        <v/>
      </c>
      <c r="G4017" s="25" t="str">
        <f aca="false">IF(A4017="","",IF(AND(C4017&lt;&gt;"No encontrado",F4017&lt;&gt;"Inactivo"),C4017&amp;" → "&amp;F4017,"Sin transición"))</f>
        <v/>
      </c>
      <c r="H4017" s="23" t="str">
        <f aca="false">IF(A4017="","",IF(D4017="GCIA LINEA SERVICIO DIGITALIDAD Y VENTAS","Chats",IF(OR(D4017="GERENCIA INBOUND LÍNEAS SERVICIO Y VENTA",D4017="GERENCIA INBOUND LINEAS ESPECIALIZADAS"),"Llamadas","Otro")))</f>
        <v/>
      </c>
      <c r="I4017" s="23" t="str">
        <f aca="false">IF(A4017="","",IF(C4017="No encontrado","No","Sí"))</f>
        <v/>
      </c>
      <c r="J4017" s="23" t="str">
        <f aca="false">IF(A4017="","",IF(F4017="Inactivo","No","Sí"))</f>
        <v/>
      </c>
      <c r="K4017" s="23" t="str">
        <f aca="false">IF(A4017="","",IF(AND(I4017="Sí",J4017="Sí"),"Sí","No"))</f>
        <v/>
      </c>
    </row>
    <row r="4018" customFormat="false" ht="15" hidden="false" customHeight="false" outlineLevel="0" collapsed="false">
      <c r="A4018" s="22"/>
      <c r="B4018" s="22"/>
      <c r="C4018" s="26" t="str">
        <f aca="false">IF(A4018="","",IFERROR(buscarx(A4018&amp;B4018,DATA!$E$3:$E$10000&amp;DATA!$B$3:$B$10000,DATA!$M$3:$M$10000),"No encontrado"))</f>
        <v/>
      </c>
      <c r="D4018" s="27" t="str">
        <f aca="false">IF(A4018="","",IFERROR(buscarx(A4018&amp;B4018,DATA!$E$3:$E$10000&amp;DATA!$B$3:$B$10000,DATA!$W$3:$W$10000),"No encontrado"))</f>
        <v/>
      </c>
      <c r="E4018" s="22"/>
      <c r="F4018" s="26" t="str">
        <f aca="false">IF(A4018="","",IFERROR(buscarx(A4018&amp;E4018,DATA!$E$3:$E$10000&amp;DATA!$B$3:$B$10000,DATA!$M$3:$M$10000),"Inactivo"))</f>
        <v/>
      </c>
      <c r="G4018" s="28" t="str">
        <f aca="false">IF(A4018="","",IF(AND(C4018&lt;&gt;"No encontrado",F4018&lt;&gt;"Inactivo"),C4018&amp;" → "&amp;F4018,"Sin transición"))</f>
        <v/>
      </c>
      <c r="H4018" s="26" t="str">
        <f aca="false">IF(A4018="","",IF(D4018="GCIA LINEA SERVICIO DIGITALIDAD Y VENTAS","Chats",IF(OR(D4018="GERENCIA INBOUND LÍNEAS SERVICIO Y VENTA",D4018="GERENCIA INBOUND LINEAS ESPECIALIZADAS"),"Llamadas","Otro")))</f>
        <v/>
      </c>
      <c r="I4018" s="26" t="str">
        <f aca="false">IF(A4018="","",IF(C4018="No encontrado","No","Sí"))</f>
        <v/>
      </c>
      <c r="J4018" s="26" t="str">
        <f aca="false">IF(A4018="","",IF(F4018="Inactivo","No","Sí"))</f>
        <v/>
      </c>
      <c r="K4018" s="26" t="str">
        <f aca="false">IF(A4018="","",IF(AND(I4018="Sí",J4018="Sí"),"Sí","No"))</f>
        <v/>
      </c>
    </row>
    <row r="4019" customFormat="false" ht="15" hidden="false" customHeight="false" outlineLevel="0" collapsed="false">
      <c r="A4019" s="22"/>
      <c r="B4019" s="22"/>
      <c r="C4019" s="23" t="str">
        <f aca="false">IF(A4019="","",IFERROR(buscarx(A4019&amp;B4019,DATA!$E$3:$E$10000&amp;DATA!$B$3:$B$10000,DATA!$M$3:$M$10000),"No encontrado"))</f>
        <v/>
      </c>
      <c r="D4019" s="24" t="str">
        <f aca="false">IF(A4019="","",IFERROR(buscarx(A4019&amp;B4019,DATA!$E$3:$E$10000&amp;DATA!$B$3:$B$10000,DATA!$W$3:$W$10000),"No encontrado"))</f>
        <v/>
      </c>
      <c r="E4019" s="22"/>
      <c r="F4019" s="23" t="str">
        <f aca="false">IF(A4019="","",IFERROR(buscarx(A4019&amp;E4019,DATA!$E$3:$E$10000&amp;DATA!$B$3:$B$10000,DATA!$M$3:$M$10000),"Inactivo"))</f>
        <v/>
      </c>
      <c r="G4019" s="25" t="str">
        <f aca="false">IF(A4019="","",IF(AND(C4019&lt;&gt;"No encontrado",F4019&lt;&gt;"Inactivo"),C4019&amp;" → "&amp;F4019,"Sin transición"))</f>
        <v/>
      </c>
      <c r="H4019" s="23" t="str">
        <f aca="false">IF(A4019="","",IF(D4019="GCIA LINEA SERVICIO DIGITALIDAD Y VENTAS","Chats",IF(OR(D4019="GERENCIA INBOUND LÍNEAS SERVICIO Y VENTA",D4019="GERENCIA INBOUND LINEAS ESPECIALIZADAS"),"Llamadas","Otro")))</f>
        <v/>
      </c>
      <c r="I4019" s="23" t="str">
        <f aca="false">IF(A4019="","",IF(C4019="No encontrado","No","Sí"))</f>
        <v/>
      </c>
      <c r="J4019" s="23" t="str">
        <f aca="false">IF(A4019="","",IF(F4019="Inactivo","No","Sí"))</f>
        <v/>
      </c>
      <c r="K4019" s="23" t="str">
        <f aca="false">IF(A4019="","",IF(AND(I4019="Sí",J4019="Sí"),"Sí","No"))</f>
        <v/>
      </c>
    </row>
    <row r="4020" customFormat="false" ht="15" hidden="false" customHeight="false" outlineLevel="0" collapsed="false">
      <c r="A4020" s="22"/>
      <c r="B4020" s="22"/>
      <c r="C4020" s="26" t="str">
        <f aca="false">IF(A4020="","",IFERROR(buscarx(A4020&amp;B4020,DATA!$E$3:$E$10000&amp;DATA!$B$3:$B$10000,DATA!$M$3:$M$10000),"No encontrado"))</f>
        <v/>
      </c>
      <c r="D4020" s="27" t="str">
        <f aca="false">IF(A4020="","",IFERROR(buscarx(A4020&amp;B4020,DATA!$E$3:$E$10000&amp;DATA!$B$3:$B$10000,DATA!$W$3:$W$10000),"No encontrado"))</f>
        <v/>
      </c>
      <c r="E4020" s="22"/>
      <c r="F4020" s="26" t="str">
        <f aca="false">IF(A4020="","",IFERROR(buscarx(A4020&amp;E4020,DATA!$E$3:$E$10000&amp;DATA!$B$3:$B$10000,DATA!$M$3:$M$10000),"Inactivo"))</f>
        <v/>
      </c>
      <c r="G4020" s="28" t="str">
        <f aca="false">IF(A4020="","",IF(AND(C4020&lt;&gt;"No encontrado",F4020&lt;&gt;"Inactivo"),C4020&amp;" → "&amp;F4020,"Sin transición"))</f>
        <v/>
      </c>
      <c r="H4020" s="26" t="str">
        <f aca="false">IF(A4020="","",IF(D4020="GCIA LINEA SERVICIO DIGITALIDAD Y VENTAS","Chats",IF(OR(D4020="GERENCIA INBOUND LÍNEAS SERVICIO Y VENTA",D4020="GERENCIA INBOUND LINEAS ESPECIALIZADAS"),"Llamadas","Otro")))</f>
        <v/>
      </c>
      <c r="I4020" s="26" t="str">
        <f aca="false">IF(A4020="","",IF(C4020="No encontrado","No","Sí"))</f>
        <v/>
      </c>
      <c r="J4020" s="26" t="str">
        <f aca="false">IF(A4020="","",IF(F4020="Inactivo","No","Sí"))</f>
        <v/>
      </c>
      <c r="K4020" s="26" t="str">
        <f aca="false">IF(A4020="","",IF(AND(I4020="Sí",J4020="Sí"),"Sí","No"))</f>
        <v/>
      </c>
    </row>
    <row r="4021" customFormat="false" ht="15" hidden="false" customHeight="false" outlineLevel="0" collapsed="false">
      <c r="A4021" s="22"/>
      <c r="B4021" s="22"/>
      <c r="C4021" s="23" t="str">
        <f aca="false">IF(A4021="","",IFERROR(buscarx(A4021&amp;B4021,DATA!$E$3:$E$10000&amp;DATA!$B$3:$B$10000,DATA!$M$3:$M$10000),"No encontrado"))</f>
        <v/>
      </c>
      <c r="D4021" s="24" t="str">
        <f aca="false">IF(A4021="","",IFERROR(buscarx(A4021&amp;B4021,DATA!$E$3:$E$10000&amp;DATA!$B$3:$B$10000,DATA!$W$3:$W$10000),"No encontrado"))</f>
        <v/>
      </c>
      <c r="E4021" s="22"/>
      <c r="F4021" s="23" t="str">
        <f aca="false">IF(A4021="","",IFERROR(buscarx(A4021&amp;E4021,DATA!$E$3:$E$10000&amp;DATA!$B$3:$B$10000,DATA!$M$3:$M$10000),"Inactivo"))</f>
        <v/>
      </c>
      <c r="G4021" s="25" t="str">
        <f aca="false">IF(A4021="","",IF(AND(C4021&lt;&gt;"No encontrado",F4021&lt;&gt;"Inactivo"),C4021&amp;" → "&amp;F4021,"Sin transición"))</f>
        <v/>
      </c>
      <c r="H4021" s="23" t="str">
        <f aca="false">IF(A4021="","",IF(D4021="GCIA LINEA SERVICIO DIGITALIDAD Y VENTAS","Chats",IF(OR(D4021="GERENCIA INBOUND LÍNEAS SERVICIO Y VENTA",D4021="GERENCIA INBOUND LINEAS ESPECIALIZADAS"),"Llamadas","Otro")))</f>
        <v/>
      </c>
      <c r="I4021" s="23" t="str">
        <f aca="false">IF(A4021="","",IF(C4021="No encontrado","No","Sí"))</f>
        <v/>
      </c>
      <c r="J4021" s="23" t="str">
        <f aca="false">IF(A4021="","",IF(F4021="Inactivo","No","Sí"))</f>
        <v/>
      </c>
      <c r="K4021" s="23" t="str">
        <f aca="false">IF(A4021="","",IF(AND(I4021="Sí",J4021="Sí"),"Sí","No"))</f>
        <v/>
      </c>
    </row>
    <row r="4022" customFormat="false" ht="15" hidden="false" customHeight="false" outlineLevel="0" collapsed="false">
      <c r="A4022" s="22"/>
      <c r="B4022" s="22"/>
      <c r="C4022" s="26" t="str">
        <f aca="false">IF(A4022="","",IFERROR(buscarx(A4022&amp;B4022,DATA!$E$3:$E$10000&amp;DATA!$B$3:$B$10000,DATA!$M$3:$M$10000),"No encontrado"))</f>
        <v/>
      </c>
      <c r="D4022" s="27" t="str">
        <f aca="false">IF(A4022="","",IFERROR(buscarx(A4022&amp;B4022,DATA!$E$3:$E$10000&amp;DATA!$B$3:$B$10000,DATA!$W$3:$W$10000),"No encontrado"))</f>
        <v/>
      </c>
      <c r="E4022" s="22"/>
      <c r="F4022" s="26" t="str">
        <f aca="false">IF(A4022="","",IFERROR(buscarx(A4022&amp;E4022,DATA!$E$3:$E$10000&amp;DATA!$B$3:$B$10000,DATA!$M$3:$M$10000),"Inactivo"))</f>
        <v/>
      </c>
      <c r="G4022" s="28" t="str">
        <f aca="false">IF(A4022="","",IF(AND(C4022&lt;&gt;"No encontrado",F4022&lt;&gt;"Inactivo"),C4022&amp;" → "&amp;F4022,"Sin transición"))</f>
        <v/>
      </c>
      <c r="H4022" s="26" t="str">
        <f aca="false">IF(A4022="","",IF(D4022="GCIA LINEA SERVICIO DIGITALIDAD Y VENTAS","Chats",IF(OR(D4022="GERENCIA INBOUND LÍNEAS SERVICIO Y VENTA",D4022="GERENCIA INBOUND LINEAS ESPECIALIZADAS"),"Llamadas","Otro")))</f>
        <v/>
      </c>
      <c r="I4022" s="26" t="str">
        <f aca="false">IF(A4022="","",IF(C4022="No encontrado","No","Sí"))</f>
        <v/>
      </c>
      <c r="J4022" s="26" t="str">
        <f aca="false">IF(A4022="","",IF(F4022="Inactivo","No","Sí"))</f>
        <v/>
      </c>
      <c r="K4022" s="26" t="str">
        <f aca="false">IF(A4022="","",IF(AND(I4022="Sí",J4022="Sí"),"Sí","No"))</f>
        <v/>
      </c>
    </row>
    <row r="4023" customFormat="false" ht="15" hidden="false" customHeight="false" outlineLevel="0" collapsed="false">
      <c r="A4023" s="22"/>
      <c r="B4023" s="22"/>
      <c r="C4023" s="23" t="str">
        <f aca="false">IF(A4023="","",IFERROR(buscarx(A4023&amp;B4023,DATA!$E$3:$E$10000&amp;DATA!$B$3:$B$10000,DATA!$M$3:$M$10000),"No encontrado"))</f>
        <v/>
      </c>
      <c r="D4023" s="24" t="str">
        <f aca="false">IF(A4023="","",IFERROR(buscarx(A4023&amp;B4023,DATA!$E$3:$E$10000&amp;DATA!$B$3:$B$10000,DATA!$W$3:$W$10000),"No encontrado"))</f>
        <v/>
      </c>
      <c r="E4023" s="22"/>
      <c r="F4023" s="23" t="str">
        <f aca="false">IF(A4023="","",IFERROR(buscarx(A4023&amp;E4023,DATA!$E$3:$E$10000&amp;DATA!$B$3:$B$10000,DATA!$M$3:$M$10000),"Inactivo"))</f>
        <v/>
      </c>
      <c r="G4023" s="25" t="str">
        <f aca="false">IF(A4023="","",IF(AND(C4023&lt;&gt;"No encontrado",F4023&lt;&gt;"Inactivo"),C4023&amp;" → "&amp;F4023,"Sin transición"))</f>
        <v/>
      </c>
      <c r="H4023" s="23" t="str">
        <f aca="false">IF(A4023="","",IF(D4023="GCIA LINEA SERVICIO DIGITALIDAD Y VENTAS","Chats",IF(OR(D4023="GERENCIA INBOUND LÍNEAS SERVICIO Y VENTA",D4023="GERENCIA INBOUND LINEAS ESPECIALIZADAS"),"Llamadas","Otro")))</f>
        <v/>
      </c>
      <c r="I4023" s="23" t="str">
        <f aca="false">IF(A4023="","",IF(C4023="No encontrado","No","Sí"))</f>
        <v/>
      </c>
      <c r="J4023" s="23" t="str">
        <f aca="false">IF(A4023="","",IF(F4023="Inactivo","No","Sí"))</f>
        <v/>
      </c>
      <c r="K4023" s="23" t="str">
        <f aca="false">IF(A4023="","",IF(AND(I4023="Sí",J4023="Sí"),"Sí","No"))</f>
        <v/>
      </c>
    </row>
    <row r="4024" customFormat="false" ht="15" hidden="false" customHeight="false" outlineLevel="0" collapsed="false">
      <c r="A4024" s="22"/>
      <c r="B4024" s="22"/>
      <c r="C4024" s="26" t="str">
        <f aca="false">IF(A4024="","",IFERROR(buscarx(A4024&amp;B4024,DATA!$E$3:$E$10000&amp;DATA!$B$3:$B$10000,DATA!$M$3:$M$10000),"No encontrado"))</f>
        <v/>
      </c>
      <c r="D4024" s="27" t="str">
        <f aca="false">IF(A4024="","",IFERROR(buscarx(A4024&amp;B4024,DATA!$E$3:$E$10000&amp;DATA!$B$3:$B$10000,DATA!$W$3:$W$10000),"No encontrado"))</f>
        <v/>
      </c>
      <c r="E4024" s="22"/>
      <c r="F4024" s="26" t="str">
        <f aca="false">IF(A4024="","",IFERROR(buscarx(A4024&amp;E4024,DATA!$E$3:$E$10000&amp;DATA!$B$3:$B$10000,DATA!$M$3:$M$10000),"Inactivo"))</f>
        <v/>
      </c>
      <c r="G4024" s="28" t="str">
        <f aca="false">IF(A4024="","",IF(AND(C4024&lt;&gt;"No encontrado",F4024&lt;&gt;"Inactivo"),C4024&amp;" → "&amp;F4024,"Sin transición"))</f>
        <v/>
      </c>
      <c r="H4024" s="26" t="str">
        <f aca="false">IF(A4024="","",IF(D4024="GCIA LINEA SERVICIO DIGITALIDAD Y VENTAS","Chats",IF(OR(D4024="GERENCIA INBOUND LÍNEAS SERVICIO Y VENTA",D4024="GERENCIA INBOUND LINEAS ESPECIALIZADAS"),"Llamadas","Otro")))</f>
        <v/>
      </c>
      <c r="I4024" s="26" t="str">
        <f aca="false">IF(A4024="","",IF(C4024="No encontrado","No","Sí"))</f>
        <v/>
      </c>
      <c r="J4024" s="26" t="str">
        <f aca="false">IF(A4024="","",IF(F4024="Inactivo","No","Sí"))</f>
        <v/>
      </c>
      <c r="K4024" s="26" t="str">
        <f aca="false">IF(A4024="","",IF(AND(I4024="Sí",J4024="Sí"),"Sí","No"))</f>
        <v/>
      </c>
    </row>
    <row r="4025" customFormat="false" ht="15" hidden="false" customHeight="false" outlineLevel="0" collapsed="false">
      <c r="A4025" s="22"/>
      <c r="B4025" s="22"/>
      <c r="C4025" s="23" t="str">
        <f aca="false">IF(A4025="","",IFERROR(buscarx(A4025&amp;B4025,DATA!$E$3:$E$10000&amp;DATA!$B$3:$B$10000,DATA!$M$3:$M$10000),"No encontrado"))</f>
        <v/>
      </c>
      <c r="D4025" s="24" t="str">
        <f aca="false">IF(A4025="","",IFERROR(buscarx(A4025&amp;B4025,DATA!$E$3:$E$10000&amp;DATA!$B$3:$B$10000,DATA!$W$3:$W$10000),"No encontrado"))</f>
        <v/>
      </c>
      <c r="E4025" s="22"/>
      <c r="F4025" s="23" t="str">
        <f aca="false">IF(A4025="","",IFERROR(buscarx(A4025&amp;E4025,DATA!$E$3:$E$10000&amp;DATA!$B$3:$B$10000,DATA!$M$3:$M$10000),"Inactivo"))</f>
        <v/>
      </c>
      <c r="G4025" s="25" t="str">
        <f aca="false">IF(A4025="","",IF(AND(C4025&lt;&gt;"No encontrado",F4025&lt;&gt;"Inactivo"),C4025&amp;" → "&amp;F4025,"Sin transición"))</f>
        <v/>
      </c>
      <c r="H4025" s="23" t="str">
        <f aca="false">IF(A4025="","",IF(D4025="GCIA LINEA SERVICIO DIGITALIDAD Y VENTAS","Chats",IF(OR(D4025="GERENCIA INBOUND LÍNEAS SERVICIO Y VENTA",D4025="GERENCIA INBOUND LINEAS ESPECIALIZADAS"),"Llamadas","Otro")))</f>
        <v/>
      </c>
      <c r="I4025" s="23" t="str">
        <f aca="false">IF(A4025="","",IF(C4025="No encontrado","No","Sí"))</f>
        <v/>
      </c>
      <c r="J4025" s="23" t="str">
        <f aca="false">IF(A4025="","",IF(F4025="Inactivo","No","Sí"))</f>
        <v/>
      </c>
      <c r="K4025" s="23" t="str">
        <f aca="false">IF(A4025="","",IF(AND(I4025="Sí",J4025="Sí"),"Sí","No"))</f>
        <v/>
      </c>
    </row>
    <row r="4026" customFormat="false" ht="15" hidden="false" customHeight="false" outlineLevel="0" collapsed="false">
      <c r="A4026" s="22"/>
      <c r="B4026" s="22"/>
      <c r="C4026" s="26" t="str">
        <f aca="false">IF(A4026="","",IFERROR(buscarx(A4026&amp;B4026,DATA!$E$3:$E$10000&amp;DATA!$B$3:$B$10000,DATA!$M$3:$M$10000),"No encontrado"))</f>
        <v/>
      </c>
      <c r="D4026" s="27" t="str">
        <f aca="false">IF(A4026="","",IFERROR(buscarx(A4026&amp;B4026,DATA!$E$3:$E$10000&amp;DATA!$B$3:$B$10000,DATA!$W$3:$W$10000),"No encontrado"))</f>
        <v/>
      </c>
      <c r="E4026" s="22"/>
      <c r="F4026" s="26" t="str">
        <f aca="false">IF(A4026="","",IFERROR(buscarx(A4026&amp;E4026,DATA!$E$3:$E$10000&amp;DATA!$B$3:$B$10000,DATA!$M$3:$M$10000),"Inactivo"))</f>
        <v/>
      </c>
      <c r="G4026" s="28" t="str">
        <f aca="false">IF(A4026="","",IF(AND(C4026&lt;&gt;"No encontrado",F4026&lt;&gt;"Inactivo"),C4026&amp;" → "&amp;F4026,"Sin transición"))</f>
        <v/>
      </c>
      <c r="H4026" s="26" t="str">
        <f aca="false">IF(A4026="","",IF(D4026="GCIA LINEA SERVICIO DIGITALIDAD Y VENTAS","Chats",IF(OR(D4026="GERENCIA INBOUND LÍNEAS SERVICIO Y VENTA",D4026="GERENCIA INBOUND LINEAS ESPECIALIZADAS"),"Llamadas","Otro")))</f>
        <v/>
      </c>
      <c r="I4026" s="26" t="str">
        <f aca="false">IF(A4026="","",IF(C4026="No encontrado","No","Sí"))</f>
        <v/>
      </c>
      <c r="J4026" s="26" t="str">
        <f aca="false">IF(A4026="","",IF(F4026="Inactivo","No","Sí"))</f>
        <v/>
      </c>
      <c r="K4026" s="26" t="str">
        <f aca="false">IF(A4026="","",IF(AND(I4026="Sí",J4026="Sí"),"Sí","No"))</f>
        <v/>
      </c>
    </row>
    <row r="4027" customFormat="false" ht="15" hidden="false" customHeight="false" outlineLevel="0" collapsed="false">
      <c r="A4027" s="22"/>
      <c r="B4027" s="22"/>
      <c r="C4027" s="23" t="str">
        <f aca="false">IF(A4027="","",IFERROR(buscarx(A4027&amp;B4027,DATA!$E$3:$E$10000&amp;DATA!$B$3:$B$10000,DATA!$M$3:$M$10000),"No encontrado"))</f>
        <v/>
      </c>
      <c r="D4027" s="24" t="str">
        <f aca="false">IF(A4027="","",IFERROR(buscarx(A4027&amp;B4027,DATA!$E$3:$E$10000&amp;DATA!$B$3:$B$10000,DATA!$W$3:$W$10000),"No encontrado"))</f>
        <v/>
      </c>
      <c r="E4027" s="22"/>
      <c r="F4027" s="23" t="str">
        <f aca="false">IF(A4027="","",IFERROR(buscarx(A4027&amp;E4027,DATA!$E$3:$E$10000&amp;DATA!$B$3:$B$10000,DATA!$M$3:$M$10000),"Inactivo"))</f>
        <v/>
      </c>
      <c r="G4027" s="25" t="str">
        <f aca="false">IF(A4027="","",IF(AND(C4027&lt;&gt;"No encontrado",F4027&lt;&gt;"Inactivo"),C4027&amp;" → "&amp;F4027,"Sin transición"))</f>
        <v/>
      </c>
      <c r="H4027" s="23" t="str">
        <f aca="false">IF(A4027="","",IF(D4027="GCIA LINEA SERVICIO DIGITALIDAD Y VENTAS","Chats",IF(OR(D4027="GERENCIA INBOUND LÍNEAS SERVICIO Y VENTA",D4027="GERENCIA INBOUND LINEAS ESPECIALIZADAS"),"Llamadas","Otro")))</f>
        <v/>
      </c>
      <c r="I4027" s="23" t="str">
        <f aca="false">IF(A4027="","",IF(C4027="No encontrado","No","Sí"))</f>
        <v/>
      </c>
      <c r="J4027" s="23" t="str">
        <f aca="false">IF(A4027="","",IF(F4027="Inactivo","No","Sí"))</f>
        <v/>
      </c>
      <c r="K4027" s="23" t="str">
        <f aca="false">IF(A4027="","",IF(AND(I4027="Sí",J4027="Sí"),"Sí","No"))</f>
        <v/>
      </c>
    </row>
    <row r="4028" customFormat="false" ht="15" hidden="false" customHeight="false" outlineLevel="0" collapsed="false">
      <c r="A4028" s="22"/>
      <c r="B4028" s="22"/>
      <c r="C4028" s="26" t="str">
        <f aca="false">IF(A4028="","",IFERROR(buscarx(A4028&amp;B4028,DATA!$E$3:$E$10000&amp;DATA!$B$3:$B$10000,DATA!$M$3:$M$10000),"No encontrado"))</f>
        <v/>
      </c>
      <c r="D4028" s="27" t="str">
        <f aca="false">IF(A4028="","",IFERROR(buscarx(A4028&amp;B4028,DATA!$E$3:$E$10000&amp;DATA!$B$3:$B$10000,DATA!$W$3:$W$10000),"No encontrado"))</f>
        <v/>
      </c>
      <c r="E4028" s="22"/>
      <c r="F4028" s="26" t="str">
        <f aca="false">IF(A4028="","",IFERROR(buscarx(A4028&amp;E4028,DATA!$E$3:$E$10000&amp;DATA!$B$3:$B$10000,DATA!$M$3:$M$10000),"Inactivo"))</f>
        <v/>
      </c>
      <c r="G4028" s="28" t="str">
        <f aca="false">IF(A4028="","",IF(AND(C4028&lt;&gt;"No encontrado",F4028&lt;&gt;"Inactivo"),C4028&amp;" → "&amp;F4028,"Sin transición"))</f>
        <v/>
      </c>
      <c r="H4028" s="26" t="str">
        <f aca="false">IF(A4028="","",IF(D4028="GCIA LINEA SERVICIO DIGITALIDAD Y VENTAS","Chats",IF(OR(D4028="GERENCIA INBOUND LÍNEAS SERVICIO Y VENTA",D4028="GERENCIA INBOUND LINEAS ESPECIALIZADAS"),"Llamadas","Otro")))</f>
        <v/>
      </c>
      <c r="I4028" s="26" t="str">
        <f aca="false">IF(A4028="","",IF(C4028="No encontrado","No","Sí"))</f>
        <v/>
      </c>
      <c r="J4028" s="26" t="str">
        <f aca="false">IF(A4028="","",IF(F4028="Inactivo","No","Sí"))</f>
        <v/>
      </c>
      <c r="K4028" s="26" t="str">
        <f aca="false">IF(A4028="","",IF(AND(I4028="Sí",J4028="Sí"),"Sí","No"))</f>
        <v/>
      </c>
    </row>
    <row r="4029" customFormat="false" ht="15" hidden="false" customHeight="false" outlineLevel="0" collapsed="false">
      <c r="A4029" s="22"/>
      <c r="B4029" s="22"/>
      <c r="C4029" s="23" t="str">
        <f aca="false">IF(A4029="","",IFERROR(buscarx(A4029&amp;B4029,DATA!$E$3:$E$10000&amp;DATA!$B$3:$B$10000,DATA!$M$3:$M$10000),"No encontrado"))</f>
        <v/>
      </c>
      <c r="D4029" s="24" t="str">
        <f aca="false">IF(A4029="","",IFERROR(buscarx(A4029&amp;B4029,DATA!$E$3:$E$10000&amp;DATA!$B$3:$B$10000,DATA!$W$3:$W$10000),"No encontrado"))</f>
        <v/>
      </c>
      <c r="E4029" s="22"/>
      <c r="F4029" s="23" t="str">
        <f aca="false">IF(A4029="","",IFERROR(buscarx(A4029&amp;E4029,DATA!$E$3:$E$10000&amp;DATA!$B$3:$B$10000,DATA!$M$3:$M$10000),"Inactivo"))</f>
        <v/>
      </c>
      <c r="G4029" s="25" t="str">
        <f aca="false">IF(A4029="","",IF(AND(C4029&lt;&gt;"No encontrado",F4029&lt;&gt;"Inactivo"),C4029&amp;" → "&amp;F4029,"Sin transición"))</f>
        <v/>
      </c>
      <c r="H4029" s="23" t="str">
        <f aca="false">IF(A4029="","",IF(D4029="GCIA LINEA SERVICIO DIGITALIDAD Y VENTAS","Chats",IF(OR(D4029="GERENCIA INBOUND LÍNEAS SERVICIO Y VENTA",D4029="GERENCIA INBOUND LINEAS ESPECIALIZADAS"),"Llamadas","Otro")))</f>
        <v/>
      </c>
      <c r="I4029" s="23" t="str">
        <f aca="false">IF(A4029="","",IF(C4029="No encontrado","No","Sí"))</f>
        <v/>
      </c>
      <c r="J4029" s="23" t="str">
        <f aca="false">IF(A4029="","",IF(F4029="Inactivo","No","Sí"))</f>
        <v/>
      </c>
      <c r="K4029" s="23" t="str">
        <f aca="false">IF(A4029="","",IF(AND(I4029="Sí",J4029="Sí"),"Sí","No"))</f>
        <v/>
      </c>
    </row>
    <row r="4030" customFormat="false" ht="15" hidden="false" customHeight="false" outlineLevel="0" collapsed="false">
      <c r="A4030" s="22"/>
      <c r="B4030" s="22"/>
      <c r="C4030" s="26" t="str">
        <f aca="false">IF(A4030="","",IFERROR(buscarx(A4030&amp;B4030,DATA!$E$3:$E$10000&amp;DATA!$B$3:$B$10000,DATA!$M$3:$M$10000),"No encontrado"))</f>
        <v/>
      </c>
      <c r="D4030" s="27" t="str">
        <f aca="false">IF(A4030="","",IFERROR(buscarx(A4030&amp;B4030,DATA!$E$3:$E$10000&amp;DATA!$B$3:$B$10000,DATA!$W$3:$W$10000),"No encontrado"))</f>
        <v/>
      </c>
      <c r="E4030" s="22"/>
      <c r="F4030" s="26" t="str">
        <f aca="false">IF(A4030="","",IFERROR(buscarx(A4030&amp;E4030,DATA!$E$3:$E$10000&amp;DATA!$B$3:$B$10000,DATA!$M$3:$M$10000),"Inactivo"))</f>
        <v/>
      </c>
      <c r="G4030" s="28" t="str">
        <f aca="false">IF(A4030="","",IF(AND(C4030&lt;&gt;"No encontrado",F4030&lt;&gt;"Inactivo"),C4030&amp;" → "&amp;F4030,"Sin transición"))</f>
        <v/>
      </c>
      <c r="H4030" s="26" t="str">
        <f aca="false">IF(A4030="","",IF(D4030="GCIA LINEA SERVICIO DIGITALIDAD Y VENTAS","Chats",IF(OR(D4030="GERENCIA INBOUND LÍNEAS SERVICIO Y VENTA",D4030="GERENCIA INBOUND LINEAS ESPECIALIZADAS"),"Llamadas","Otro")))</f>
        <v/>
      </c>
      <c r="I4030" s="26" t="str">
        <f aca="false">IF(A4030="","",IF(C4030="No encontrado","No","Sí"))</f>
        <v/>
      </c>
      <c r="J4030" s="26" t="str">
        <f aca="false">IF(A4030="","",IF(F4030="Inactivo","No","Sí"))</f>
        <v/>
      </c>
      <c r="K4030" s="26" t="str">
        <f aca="false">IF(A4030="","",IF(AND(I4030="Sí",J4030="Sí"),"Sí","No"))</f>
        <v/>
      </c>
    </row>
    <row r="4031" customFormat="false" ht="15" hidden="false" customHeight="false" outlineLevel="0" collapsed="false">
      <c r="A4031" s="22"/>
      <c r="B4031" s="22"/>
      <c r="C4031" s="23" t="str">
        <f aca="false">IF(A4031="","",IFERROR(buscarx(A4031&amp;B4031,DATA!$E$3:$E$10000&amp;DATA!$B$3:$B$10000,DATA!$M$3:$M$10000),"No encontrado"))</f>
        <v/>
      </c>
      <c r="D4031" s="24" t="str">
        <f aca="false">IF(A4031="","",IFERROR(buscarx(A4031&amp;B4031,DATA!$E$3:$E$10000&amp;DATA!$B$3:$B$10000,DATA!$W$3:$W$10000),"No encontrado"))</f>
        <v/>
      </c>
      <c r="E4031" s="22"/>
      <c r="F4031" s="23" t="str">
        <f aca="false">IF(A4031="","",IFERROR(buscarx(A4031&amp;E4031,DATA!$E$3:$E$10000&amp;DATA!$B$3:$B$10000,DATA!$M$3:$M$10000),"Inactivo"))</f>
        <v/>
      </c>
      <c r="G4031" s="25" t="str">
        <f aca="false">IF(A4031="","",IF(AND(C4031&lt;&gt;"No encontrado",F4031&lt;&gt;"Inactivo"),C4031&amp;" → "&amp;F4031,"Sin transición"))</f>
        <v/>
      </c>
      <c r="H4031" s="23" t="str">
        <f aca="false">IF(A4031="","",IF(D4031="GCIA LINEA SERVICIO DIGITALIDAD Y VENTAS","Chats",IF(OR(D4031="GERENCIA INBOUND LÍNEAS SERVICIO Y VENTA",D4031="GERENCIA INBOUND LINEAS ESPECIALIZADAS"),"Llamadas","Otro")))</f>
        <v/>
      </c>
      <c r="I4031" s="23" t="str">
        <f aca="false">IF(A4031="","",IF(C4031="No encontrado","No","Sí"))</f>
        <v/>
      </c>
      <c r="J4031" s="23" t="str">
        <f aca="false">IF(A4031="","",IF(F4031="Inactivo","No","Sí"))</f>
        <v/>
      </c>
      <c r="K4031" s="23" t="str">
        <f aca="false">IF(A4031="","",IF(AND(I4031="Sí",J4031="Sí"),"Sí","No"))</f>
        <v/>
      </c>
    </row>
    <row r="4032" customFormat="false" ht="15" hidden="false" customHeight="false" outlineLevel="0" collapsed="false">
      <c r="A4032" s="22"/>
      <c r="B4032" s="22"/>
      <c r="C4032" s="26" t="str">
        <f aca="false">IF(A4032="","",IFERROR(buscarx(A4032&amp;B4032,DATA!$E$3:$E$10000&amp;DATA!$B$3:$B$10000,DATA!$M$3:$M$10000),"No encontrado"))</f>
        <v/>
      </c>
      <c r="D4032" s="27" t="str">
        <f aca="false">IF(A4032="","",IFERROR(buscarx(A4032&amp;B4032,DATA!$E$3:$E$10000&amp;DATA!$B$3:$B$10000,DATA!$W$3:$W$10000),"No encontrado"))</f>
        <v/>
      </c>
      <c r="E4032" s="22"/>
      <c r="F4032" s="26" t="str">
        <f aca="false">IF(A4032="","",IFERROR(buscarx(A4032&amp;E4032,DATA!$E$3:$E$10000&amp;DATA!$B$3:$B$10000,DATA!$M$3:$M$10000),"Inactivo"))</f>
        <v/>
      </c>
      <c r="G4032" s="28" t="str">
        <f aca="false">IF(A4032="","",IF(AND(C4032&lt;&gt;"No encontrado",F4032&lt;&gt;"Inactivo"),C4032&amp;" → "&amp;F4032,"Sin transición"))</f>
        <v/>
      </c>
      <c r="H4032" s="26" t="str">
        <f aca="false">IF(A4032="","",IF(D4032="GCIA LINEA SERVICIO DIGITALIDAD Y VENTAS","Chats",IF(OR(D4032="GERENCIA INBOUND LÍNEAS SERVICIO Y VENTA",D4032="GERENCIA INBOUND LINEAS ESPECIALIZADAS"),"Llamadas","Otro")))</f>
        <v/>
      </c>
      <c r="I4032" s="26" t="str">
        <f aca="false">IF(A4032="","",IF(C4032="No encontrado","No","Sí"))</f>
        <v/>
      </c>
      <c r="J4032" s="26" t="str">
        <f aca="false">IF(A4032="","",IF(F4032="Inactivo","No","Sí"))</f>
        <v/>
      </c>
      <c r="K4032" s="26" t="str">
        <f aca="false">IF(A4032="","",IF(AND(I4032="Sí",J4032="Sí"),"Sí","No"))</f>
        <v/>
      </c>
    </row>
    <row r="4033" customFormat="false" ht="15" hidden="false" customHeight="false" outlineLevel="0" collapsed="false">
      <c r="A4033" s="22"/>
      <c r="B4033" s="22"/>
      <c r="C4033" s="23" t="str">
        <f aca="false">IF(A4033="","",IFERROR(buscarx(A4033&amp;B4033,DATA!$E$3:$E$10000&amp;DATA!$B$3:$B$10000,DATA!$M$3:$M$10000),"No encontrado"))</f>
        <v/>
      </c>
      <c r="D4033" s="24" t="str">
        <f aca="false">IF(A4033="","",IFERROR(buscarx(A4033&amp;B4033,DATA!$E$3:$E$10000&amp;DATA!$B$3:$B$10000,DATA!$W$3:$W$10000),"No encontrado"))</f>
        <v/>
      </c>
      <c r="E4033" s="22"/>
      <c r="F4033" s="23" t="str">
        <f aca="false">IF(A4033="","",IFERROR(buscarx(A4033&amp;E4033,DATA!$E$3:$E$10000&amp;DATA!$B$3:$B$10000,DATA!$M$3:$M$10000),"Inactivo"))</f>
        <v/>
      </c>
      <c r="G4033" s="25" t="str">
        <f aca="false">IF(A4033="","",IF(AND(C4033&lt;&gt;"No encontrado",F4033&lt;&gt;"Inactivo"),C4033&amp;" → "&amp;F4033,"Sin transición"))</f>
        <v/>
      </c>
      <c r="H4033" s="23" t="str">
        <f aca="false">IF(A4033="","",IF(D4033="GCIA LINEA SERVICIO DIGITALIDAD Y VENTAS","Chats",IF(OR(D4033="GERENCIA INBOUND LÍNEAS SERVICIO Y VENTA",D4033="GERENCIA INBOUND LINEAS ESPECIALIZADAS"),"Llamadas","Otro")))</f>
        <v/>
      </c>
      <c r="I4033" s="23" t="str">
        <f aca="false">IF(A4033="","",IF(C4033="No encontrado","No","Sí"))</f>
        <v/>
      </c>
      <c r="J4033" s="23" t="str">
        <f aca="false">IF(A4033="","",IF(F4033="Inactivo","No","Sí"))</f>
        <v/>
      </c>
      <c r="K4033" s="23" t="str">
        <f aca="false">IF(A4033="","",IF(AND(I4033="Sí",J4033="Sí"),"Sí","No"))</f>
        <v/>
      </c>
    </row>
    <row r="4034" customFormat="false" ht="15" hidden="false" customHeight="false" outlineLevel="0" collapsed="false">
      <c r="A4034" s="22"/>
      <c r="B4034" s="22"/>
      <c r="C4034" s="26" t="str">
        <f aca="false">IF(A4034="","",IFERROR(buscarx(A4034&amp;B4034,DATA!$E$3:$E$10000&amp;DATA!$B$3:$B$10000,DATA!$M$3:$M$10000),"No encontrado"))</f>
        <v/>
      </c>
      <c r="D4034" s="27" t="str">
        <f aca="false">IF(A4034="","",IFERROR(buscarx(A4034&amp;B4034,DATA!$E$3:$E$10000&amp;DATA!$B$3:$B$10000,DATA!$W$3:$W$10000),"No encontrado"))</f>
        <v/>
      </c>
      <c r="E4034" s="22"/>
      <c r="F4034" s="26" t="str">
        <f aca="false">IF(A4034="","",IFERROR(buscarx(A4034&amp;E4034,DATA!$E$3:$E$10000&amp;DATA!$B$3:$B$10000,DATA!$M$3:$M$10000),"Inactivo"))</f>
        <v/>
      </c>
      <c r="G4034" s="28" t="str">
        <f aca="false">IF(A4034="","",IF(AND(C4034&lt;&gt;"No encontrado",F4034&lt;&gt;"Inactivo"),C4034&amp;" → "&amp;F4034,"Sin transición"))</f>
        <v/>
      </c>
      <c r="H4034" s="26" t="str">
        <f aca="false">IF(A4034="","",IF(D4034="GCIA LINEA SERVICIO DIGITALIDAD Y VENTAS","Chats",IF(OR(D4034="GERENCIA INBOUND LÍNEAS SERVICIO Y VENTA",D4034="GERENCIA INBOUND LINEAS ESPECIALIZADAS"),"Llamadas","Otro")))</f>
        <v/>
      </c>
      <c r="I4034" s="26" t="str">
        <f aca="false">IF(A4034="","",IF(C4034="No encontrado","No","Sí"))</f>
        <v/>
      </c>
      <c r="J4034" s="26" t="str">
        <f aca="false">IF(A4034="","",IF(F4034="Inactivo","No","Sí"))</f>
        <v/>
      </c>
      <c r="K4034" s="26" t="str">
        <f aca="false">IF(A4034="","",IF(AND(I4034="Sí",J4034="Sí"),"Sí","No"))</f>
        <v/>
      </c>
    </row>
    <row r="4035" customFormat="false" ht="15" hidden="false" customHeight="false" outlineLevel="0" collapsed="false">
      <c r="A4035" s="22"/>
      <c r="B4035" s="22"/>
      <c r="C4035" s="23" t="str">
        <f aca="false">IF(A4035="","",IFERROR(buscarx(A4035&amp;B4035,DATA!$E$3:$E$10000&amp;DATA!$B$3:$B$10000,DATA!$M$3:$M$10000),"No encontrado"))</f>
        <v/>
      </c>
      <c r="D4035" s="24" t="str">
        <f aca="false">IF(A4035="","",IFERROR(buscarx(A4035&amp;B4035,DATA!$E$3:$E$10000&amp;DATA!$B$3:$B$10000,DATA!$W$3:$W$10000),"No encontrado"))</f>
        <v/>
      </c>
      <c r="E4035" s="22"/>
      <c r="F4035" s="23" t="str">
        <f aca="false">IF(A4035="","",IFERROR(buscarx(A4035&amp;E4035,DATA!$E$3:$E$10000&amp;DATA!$B$3:$B$10000,DATA!$M$3:$M$10000),"Inactivo"))</f>
        <v/>
      </c>
      <c r="G4035" s="25" t="str">
        <f aca="false">IF(A4035="","",IF(AND(C4035&lt;&gt;"No encontrado",F4035&lt;&gt;"Inactivo"),C4035&amp;" → "&amp;F4035,"Sin transición"))</f>
        <v/>
      </c>
      <c r="H4035" s="23" t="str">
        <f aca="false">IF(A4035="","",IF(D4035="GCIA LINEA SERVICIO DIGITALIDAD Y VENTAS","Chats",IF(OR(D4035="GERENCIA INBOUND LÍNEAS SERVICIO Y VENTA",D4035="GERENCIA INBOUND LINEAS ESPECIALIZADAS"),"Llamadas","Otro")))</f>
        <v/>
      </c>
      <c r="I4035" s="23" t="str">
        <f aca="false">IF(A4035="","",IF(C4035="No encontrado","No","Sí"))</f>
        <v/>
      </c>
      <c r="J4035" s="23" t="str">
        <f aca="false">IF(A4035="","",IF(F4035="Inactivo","No","Sí"))</f>
        <v/>
      </c>
      <c r="K4035" s="23" t="str">
        <f aca="false">IF(A4035="","",IF(AND(I4035="Sí",J4035="Sí"),"Sí","No"))</f>
        <v/>
      </c>
    </row>
    <row r="4036" customFormat="false" ht="15" hidden="false" customHeight="false" outlineLevel="0" collapsed="false">
      <c r="A4036" s="22"/>
      <c r="B4036" s="22"/>
      <c r="C4036" s="26" t="str">
        <f aca="false">IF(A4036="","",IFERROR(buscarx(A4036&amp;B4036,DATA!$E$3:$E$10000&amp;DATA!$B$3:$B$10000,DATA!$M$3:$M$10000),"No encontrado"))</f>
        <v/>
      </c>
      <c r="D4036" s="27" t="str">
        <f aca="false">IF(A4036="","",IFERROR(buscarx(A4036&amp;B4036,DATA!$E$3:$E$10000&amp;DATA!$B$3:$B$10000,DATA!$W$3:$W$10000),"No encontrado"))</f>
        <v/>
      </c>
      <c r="E4036" s="22"/>
      <c r="F4036" s="26" t="str">
        <f aca="false">IF(A4036="","",IFERROR(buscarx(A4036&amp;E4036,DATA!$E$3:$E$10000&amp;DATA!$B$3:$B$10000,DATA!$M$3:$M$10000),"Inactivo"))</f>
        <v/>
      </c>
      <c r="G4036" s="28" t="str">
        <f aca="false">IF(A4036="","",IF(AND(C4036&lt;&gt;"No encontrado",F4036&lt;&gt;"Inactivo"),C4036&amp;" → "&amp;F4036,"Sin transición"))</f>
        <v/>
      </c>
      <c r="H4036" s="26" t="str">
        <f aca="false">IF(A4036="","",IF(D4036="GCIA LINEA SERVICIO DIGITALIDAD Y VENTAS","Chats",IF(OR(D4036="GERENCIA INBOUND LÍNEAS SERVICIO Y VENTA",D4036="GERENCIA INBOUND LINEAS ESPECIALIZADAS"),"Llamadas","Otro")))</f>
        <v/>
      </c>
      <c r="I4036" s="26" t="str">
        <f aca="false">IF(A4036="","",IF(C4036="No encontrado","No","Sí"))</f>
        <v/>
      </c>
      <c r="J4036" s="26" t="str">
        <f aca="false">IF(A4036="","",IF(F4036="Inactivo","No","Sí"))</f>
        <v/>
      </c>
      <c r="K4036" s="26" t="str">
        <f aca="false">IF(A4036="","",IF(AND(I4036="Sí",J4036="Sí"),"Sí","No"))</f>
        <v/>
      </c>
    </row>
    <row r="4037" customFormat="false" ht="15" hidden="false" customHeight="false" outlineLevel="0" collapsed="false">
      <c r="A4037" s="22"/>
      <c r="B4037" s="22"/>
      <c r="C4037" s="23" t="str">
        <f aca="false">IF(A4037="","",IFERROR(buscarx(A4037&amp;B4037,DATA!$E$3:$E$10000&amp;DATA!$B$3:$B$10000,DATA!$M$3:$M$10000),"No encontrado"))</f>
        <v/>
      </c>
      <c r="D4037" s="24" t="str">
        <f aca="false">IF(A4037="","",IFERROR(buscarx(A4037&amp;B4037,DATA!$E$3:$E$10000&amp;DATA!$B$3:$B$10000,DATA!$W$3:$W$10000),"No encontrado"))</f>
        <v/>
      </c>
      <c r="E4037" s="22"/>
      <c r="F4037" s="23" t="str">
        <f aca="false">IF(A4037="","",IFERROR(buscarx(A4037&amp;E4037,DATA!$E$3:$E$10000&amp;DATA!$B$3:$B$10000,DATA!$M$3:$M$10000),"Inactivo"))</f>
        <v/>
      </c>
      <c r="G4037" s="25" t="str">
        <f aca="false">IF(A4037="","",IF(AND(C4037&lt;&gt;"No encontrado",F4037&lt;&gt;"Inactivo"),C4037&amp;" → "&amp;F4037,"Sin transición"))</f>
        <v/>
      </c>
      <c r="H4037" s="23" t="str">
        <f aca="false">IF(A4037="","",IF(D4037="GCIA LINEA SERVICIO DIGITALIDAD Y VENTAS","Chats",IF(OR(D4037="GERENCIA INBOUND LÍNEAS SERVICIO Y VENTA",D4037="GERENCIA INBOUND LINEAS ESPECIALIZADAS"),"Llamadas","Otro")))</f>
        <v/>
      </c>
      <c r="I4037" s="23" t="str">
        <f aca="false">IF(A4037="","",IF(C4037="No encontrado","No","Sí"))</f>
        <v/>
      </c>
      <c r="J4037" s="23" t="str">
        <f aca="false">IF(A4037="","",IF(F4037="Inactivo","No","Sí"))</f>
        <v/>
      </c>
      <c r="K4037" s="23" t="str">
        <f aca="false">IF(A4037="","",IF(AND(I4037="Sí",J4037="Sí"),"Sí","No"))</f>
        <v/>
      </c>
    </row>
    <row r="4038" customFormat="false" ht="15" hidden="false" customHeight="false" outlineLevel="0" collapsed="false">
      <c r="A4038" s="22"/>
      <c r="B4038" s="22"/>
      <c r="C4038" s="26" t="str">
        <f aca="false">IF(A4038="","",IFERROR(buscarx(A4038&amp;B4038,DATA!$E$3:$E$10000&amp;DATA!$B$3:$B$10000,DATA!$M$3:$M$10000),"No encontrado"))</f>
        <v/>
      </c>
      <c r="D4038" s="27" t="str">
        <f aca="false">IF(A4038="","",IFERROR(buscarx(A4038&amp;B4038,DATA!$E$3:$E$10000&amp;DATA!$B$3:$B$10000,DATA!$W$3:$W$10000),"No encontrado"))</f>
        <v/>
      </c>
      <c r="E4038" s="22"/>
      <c r="F4038" s="26" t="str">
        <f aca="false">IF(A4038="","",IFERROR(buscarx(A4038&amp;E4038,DATA!$E$3:$E$10000&amp;DATA!$B$3:$B$10000,DATA!$M$3:$M$10000),"Inactivo"))</f>
        <v/>
      </c>
      <c r="G4038" s="28" t="str">
        <f aca="false">IF(A4038="","",IF(AND(C4038&lt;&gt;"No encontrado",F4038&lt;&gt;"Inactivo"),C4038&amp;" → "&amp;F4038,"Sin transición"))</f>
        <v/>
      </c>
      <c r="H4038" s="26" t="str">
        <f aca="false">IF(A4038="","",IF(D4038="GCIA LINEA SERVICIO DIGITALIDAD Y VENTAS","Chats",IF(OR(D4038="GERENCIA INBOUND LÍNEAS SERVICIO Y VENTA",D4038="GERENCIA INBOUND LINEAS ESPECIALIZADAS"),"Llamadas","Otro")))</f>
        <v/>
      </c>
      <c r="I4038" s="26" t="str">
        <f aca="false">IF(A4038="","",IF(C4038="No encontrado","No","Sí"))</f>
        <v/>
      </c>
      <c r="J4038" s="26" t="str">
        <f aca="false">IF(A4038="","",IF(F4038="Inactivo","No","Sí"))</f>
        <v/>
      </c>
      <c r="K4038" s="26" t="str">
        <f aca="false">IF(A4038="","",IF(AND(I4038="Sí",J4038="Sí"),"Sí","No"))</f>
        <v/>
      </c>
    </row>
    <row r="4039" customFormat="false" ht="15" hidden="false" customHeight="false" outlineLevel="0" collapsed="false">
      <c r="A4039" s="22"/>
      <c r="B4039" s="22"/>
      <c r="C4039" s="23" t="str">
        <f aca="false">IF(A4039="","",IFERROR(buscarx(A4039&amp;B4039,DATA!$E$3:$E$10000&amp;DATA!$B$3:$B$10000,DATA!$M$3:$M$10000),"No encontrado"))</f>
        <v/>
      </c>
      <c r="D4039" s="24" t="str">
        <f aca="false">IF(A4039="","",IFERROR(buscarx(A4039&amp;B4039,DATA!$E$3:$E$10000&amp;DATA!$B$3:$B$10000,DATA!$W$3:$W$10000),"No encontrado"))</f>
        <v/>
      </c>
      <c r="E4039" s="22"/>
      <c r="F4039" s="23" t="str">
        <f aca="false">IF(A4039="","",IFERROR(buscarx(A4039&amp;E4039,DATA!$E$3:$E$10000&amp;DATA!$B$3:$B$10000,DATA!$M$3:$M$10000),"Inactivo"))</f>
        <v/>
      </c>
      <c r="G4039" s="25" t="str">
        <f aca="false">IF(A4039="","",IF(AND(C4039&lt;&gt;"No encontrado",F4039&lt;&gt;"Inactivo"),C4039&amp;" → "&amp;F4039,"Sin transición"))</f>
        <v/>
      </c>
      <c r="H4039" s="23" t="str">
        <f aca="false">IF(A4039="","",IF(D4039="GCIA LINEA SERVICIO DIGITALIDAD Y VENTAS","Chats",IF(OR(D4039="GERENCIA INBOUND LÍNEAS SERVICIO Y VENTA",D4039="GERENCIA INBOUND LINEAS ESPECIALIZADAS"),"Llamadas","Otro")))</f>
        <v/>
      </c>
      <c r="I4039" s="23" t="str">
        <f aca="false">IF(A4039="","",IF(C4039="No encontrado","No","Sí"))</f>
        <v/>
      </c>
      <c r="J4039" s="23" t="str">
        <f aca="false">IF(A4039="","",IF(F4039="Inactivo","No","Sí"))</f>
        <v/>
      </c>
      <c r="K4039" s="23" t="str">
        <f aca="false">IF(A4039="","",IF(AND(I4039="Sí",J4039="Sí"),"Sí","No"))</f>
        <v/>
      </c>
    </row>
    <row r="4040" customFormat="false" ht="15" hidden="false" customHeight="false" outlineLevel="0" collapsed="false">
      <c r="A4040" s="22"/>
      <c r="B4040" s="22"/>
      <c r="C4040" s="26" t="str">
        <f aca="false">IF(A4040="","",IFERROR(buscarx(A4040&amp;B4040,DATA!$E$3:$E$10000&amp;DATA!$B$3:$B$10000,DATA!$M$3:$M$10000),"No encontrado"))</f>
        <v/>
      </c>
      <c r="D4040" s="27" t="str">
        <f aca="false">IF(A4040="","",IFERROR(buscarx(A4040&amp;B4040,DATA!$E$3:$E$10000&amp;DATA!$B$3:$B$10000,DATA!$W$3:$W$10000),"No encontrado"))</f>
        <v/>
      </c>
      <c r="E4040" s="22"/>
      <c r="F4040" s="26" t="str">
        <f aca="false">IF(A4040="","",IFERROR(buscarx(A4040&amp;E4040,DATA!$E$3:$E$10000&amp;DATA!$B$3:$B$10000,DATA!$M$3:$M$10000),"Inactivo"))</f>
        <v/>
      </c>
      <c r="G4040" s="28" t="str">
        <f aca="false">IF(A4040="","",IF(AND(C4040&lt;&gt;"No encontrado",F4040&lt;&gt;"Inactivo"),C4040&amp;" → "&amp;F4040,"Sin transición"))</f>
        <v/>
      </c>
      <c r="H4040" s="26" t="str">
        <f aca="false">IF(A4040="","",IF(D4040="GCIA LINEA SERVICIO DIGITALIDAD Y VENTAS","Chats",IF(OR(D4040="GERENCIA INBOUND LÍNEAS SERVICIO Y VENTA",D4040="GERENCIA INBOUND LINEAS ESPECIALIZADAS"),"Llamadas","Otro")))</f>
        <v/>
      </c>
      <c r="I4040" s="26" t="str">
        <f aca="false">IF(A4040="","",IF(C4040="No encontrado","No","Sí"))</f>
        <v/>
      </c>
      <c r="J4040" s="26" t="str">
        <f aca="false">IF(A4040="","",IF(F4040="Inactivo","No","Sí"))</f>
        <v/>
      </c>
      <c r="K4040" s="26" t="str">
        <f aca="false">IF(A4040="","",IF(AND(I4040="Sí",J4040="Sí"),"Sí","No"))</f>
        <v/>
      </c>
    </row>
    <row r="4041" customFormat="false" ht="15" hidden="false" customHeight="false" outlineLevel="0" collapsed="false">
      <c r="A4041" s="22"/>
      <c r="B4041" s="22"/>
      <c r="C4041" s="23" t="str">
        <f aca="false">IF(A4041="","",IFERROR(buscarx(A4041&amp;B4041,DATA!$E$3:$E$10000&amp;DATA!$B$3:$B$10000,DATA!$M$3:$M$10000),"No encontrado"))</f>
        <v/>
      </c>
      <c r="D4041" s="24" t="str">
        <f aca="false">IF(A4041="","",IFERROR(buscarx(A4041&amp;B4041,DATA!$E$3:$E$10000&amp;DATA!$B$3:$B$10000,DATA!$W$3:$W$10000),"No encontrado"))</f>
        <v/>
      </c>
      <c r="E4041" s="22"/>
      <c r="F4041" s="23" t="str">
        <f aca="false">IF(A4041="","",IFERROR(buscarx(A4041&amp;E4041,DATA!$E$3:$E$10000&amp;DATA!$B$3:$B$10000,DATA!$M$3:$M$10000),"Inactivo"))</f>
        <v/>
      </c>
      <c r="G4041" s="25" t="str">
        <f aca="false">IF(A4041="","",IF(AND(C4041&lt;&gt;"No encontrado",F4041&lt;&gt;"Inactivo"),C4041&amp;" → "&amp;F4041,"Sin transición"))</f>
        <v/>
      </c>
      <c r="H4041" s="23" t="str">
        <f aca="false">IF(A4041="","",IF(D4041="GCIA LINEA SERVICIO DIGITALIDAD Y VENTAS","Chats",IF(OR(D4041="GERENCIA INBOUND LÍNEAS SERVICIO Y VENTA",D4041="GERENCIA INBOUND LINEAS ESPECIALIZADAS"),"Llamadas","Otro")))</f>
        <v/>
      </c>
      <c r="I4041" s="23" t="str">
        <f aca="false">IF(A4041="","",IF(C4041="No encontrado","No","Sí"))</f>
        <v/>
      </c>
      <c r="J4041" s="23" t="str">
        <f aca="false">IF(A4041="","",IF(F4041="Inactivo","No","Sí"))</f>
        <v/>
      </c>
      <c r="K4041" s="23" t="str">
        <f aca="false">IF(A4041="","",IF(AND(I4041="Sí",J4041="Sí"),"Sí","No"))</f>
        <v/>
      </c>
    </row>
    <row r="4042" customFormat="false" ht="15" hidden="false" customHeight="false" outlineLevel="0" collapsed="false">
      <c r="A4042" s="22"/>
      <c r="B4042" s="22"/>
      <c r="C4042" s="26" t="str">
        <f aca="false">IF(A4042="","",IFERROR(buscarx(A4042&amp;B4042,DATA!$E$3:$E$10000&amp;DATA!$B$3:$B$10000,DATA!$M$3:$M$10000),"No encontrado"))</f>
        <v/>
      </c>
      <c r="D4042" s="27" t="str">
        <f aca="false">IF(A4042="","",IFERROR(buscarx(A4042&amp;B4042,DATA!$E$3:$E$10000&amp;DATA!$B$3:$B$10000,DATA!$W$3:$W$10000),"No encontrado"))</f>
        <v/>
      </c>
      <c r="E4042" s="22"/>
      <c r="F4042" s="26" t="str">
        <f aca="false">IF(A4042="","",IFERROR(buscarx(A4042&amp;E4042,DATA!$E$3:$E$10000&amp;DATA!$B$3:$B$10000,DATA!$M$3:$M$10000),"Inactivo"))</f>
        <v/>
      </c>
      <c r="G4042" s="28" t="str">
        <f aca="false">IF(A4042="","",IF(AND(C4042&lt;&gt;"No encontrado",F4042&lt;&gt;"Inactivo"),C4042&amp;" → "&amp;F4042,"Sin transición"))</f>
        <v/>
      </c>
      <c r="H4042" s="26" t="str">
        <f aca="false">IF(A4042="","",IF(D4042="GCIA LINEA SERVICIO DIGITALIDAD Y VENTAS","Chats",IF(OR(D4042="GERENCIA INBOUND LÍNEAS SERVICIO Y VENTA",D4042="GERENCIA INBOUND LINEAS ESPECIALIZADAS"),"Llamadas","Otro")))</f>
        <v/>
      </c>
      <c r="I4042" s="26" t="str">
        <f aca="false">IF(A4042="","",IF(C4042="No encontrado","No","Sí"))</f>
        <v/>
      </c>
      <c r="J4042" s="26" t="str">
        <f aca="false">IF(A4042="","",IF(F4042="Inactivo","No","Sí"))</f>
        <v/>
      </c>
      <c r="K4042" s="26" t="str">
        <f aca="false">IF(A4042="","",IF(AND(I4042="Sí",J4042="Sí"),"Sí","No"))</f>
        <v/>
      </c>
    </row>
    <row r="4043" customFormat="false" ht="15" hidden="false" customHeight="false" outlineLevel="0" collapsed="false">
      <c r="A4043" s="22"/>
      <c r="B4043" s="22"/>
      <c r="C4043" s="23" t="str">
        <f aca="false">IF(A4043="","",IFERROR(buscarx(A4043&amp;B4043,DATA!$E$3:$E$10000&amp;DATA!$B$3:$B$10000,DATA!$M$3:$M$10000),"No encontrado"))</f>
        <v/>
      </c>
      <c r="D4043" s="24" t="str">
        <f aca="false">IF(A4043="","",IFERROR(buscarx(A4043&amp;B4043,DATA!$E$3:$E$10000&amp;DATA!$B$3:$B$10000,DATA!$W$3:$W$10000),"No encontrado"))</f>
        <v/>
      </c>
      <c r="E4043" s="22"/>
      <c r="F4043" s="23" t="str">
        <f aca="false">IF(A4043="","",IFERROR(buscarx(A4043&amp;E4043,DATA!$E$3:$E$10000&amp;DATA!$B$3:$B$10000,DATA!$M$3:$M$10000),"Inactivo"))</f>
        <v/>
      </c>
      <c r="G4043" s="25" t="str">
        <f aca="false">IF(A4043="","",IF(AND(C4043&lt;&gt;"No encontrado",F4043&lt;&gt;"Inactivo"),C4043&amp;" → "&amp;F4043,"Sin transición"))</f>
        <v/>
      </c>
      <c r="H4043" s="23" t="str">
        <f aca="false">IF(A4043="","",IF(D4043="GCIA LINEA SERVICIO DIGITALIDAD Y VENTAS","Chats",IF(OR(D4043="GERENCIA INBOUND LÍNEAS SERVICIO Y VENTA",D4043="GERENCIA INBOUND LINEAS ESPECIALIZADAS"),"Llamadas","Otro")))</f>
        <v/>
      </c>
      <c r="I4043" s="23" t="str">
        <f aca="false">IF(A4043="","",IF(C4043="No encontrado","No","Sí"))</f>
        <v/>
      </c>
      <c r="J4043" s="23" t="str">
        <f aca="false">IF(A4043="","",IF(F4043="Inactivo","No","Sí"))</f>
        <v/>
      </c>
      <c r="K4043" s="23" t="str">
        <f aca="false">IF(A4043="","",IF(AND(I4043="Sí",J4043="Sí"),"Sí","No"))</f>
        <v/>
      </c>
    </row>
    <row r="4044" customFormat="false" ht="15" hidden="false" customHeight="false" outlineLevel="0" collapsed="false">
      <c r="A4044" s="22"/>
      <c r="B4044" s="22"/>
      <c r="C4044" s="26" t="str">
        <f aca="false">IF(A4044="","",IFERROR(buscarx(A4044&amp;B4044,DATA!$E$3:$E$10000&amp;DATA!$B$3:$B$10000,DATA!$M$3:$M$10000),"No encontrado"))</f>
        <v/>
      </c>
      <c r="D4044" s="27" t="str">
        <f aca="false">IF(A4044="","",IFERROR(buscarx(A4044&amp;B4044,DATA!$E$3:$E$10000&amp;DATA!$B$3:$B$10000,DATA!$W$3:$W$10000),"No encontrado"))</f>
        <v/>
      </c>
      <c r="E4044" s="22"/>
      <c r="F4044" s="26" t="str">
        <f aca="false">IF(A4044="","",IFERROR(buscarx(A4044&amp;E4044,DATA!$E$3:$E$10000&amp;DATA!$B$3:$B$10000,DATA!$M$3:$M$10000),"Inactivo"))</f>
        <v/>
      </c>
      <c r="G4044" s="28" t="str">
        <f aca="false">IF(A4044="","",IF(AND(C4044&lt;&gt;"No encontrado",F4044&lt;&gt;"Inactivo"),C4044&amp;" → "&amp;F4044,"Sin transición"))</f>
        <v/>
      </c>
      <c r="H4044" s="26" t="str">
        <f aca="false">IF(A4044="","",IF(D4044="GCIA LINEA SERVICIO DIGITALIDAD Y VENTAS","Chats",IF(OR(D4044="GERENCIA INBOUND LÍNEAS SERVICIO Y VENTA",D4044="GERENCIA INBOUND LINEAS ESPECIALIZADAS"),"Llamadas","Otro")))</f>
        <v/>
      </c>
      <c r="I4044" s="26" t="str">
        <f aca="false">IF(A4044="","",IF(C4044="No encontrado","No","Sí"))</f>
        <v/>
      </c>
      <c r="J4044" s="26" t="str">
        <f aca="false">IF(A4044="","",IF(F4044="Inactivo","No","Sí"))</f>
        <v/>
      </c>
      <c r="K4044" s="26" t="str">
        <f aca="false">IF(A4044="","",IF(AND(I4044="Sí",J4044="Sí"),"Sí","No"))</f>
        <v/>
      </c>
    </row>
    <row r="4045" customFormat="false" ht="15" hidden="false" customHeight="false" outlineLevel="0" collapsed="false">
      <c r="A4045" s="22"/>
      <c r="B4045" s="22"/>
      <c r="C4045" s="23" t="str">
        <f aca="false">IF(A4045="","",IFERROR(buscarx(A4045&amp;B4045,DATA!$E$3:$E$10000&amp;DATA!$B$3:$B$10000,DATA!$M$3:$M$10000),"No encontrado"))</f>
        <v/>
      </c>
      <c r="D4045" s="24" t="str">
        <f aca="false">IF(A4045="","",IFERROR(buscarx(A4045&amp;B4045,DATA!$E$3:$E$10000&amp;DATA!$B$3:$B$10000,DATA!$W$3:$W$10000),"No encontrado"))</f>
        <v/>
      </c>
      <c r="E4045" s="22"/>
      <c r="F4045" s="23" t="str">
        <f aca="false">IF(A4045="","",IFERROR(buscarx(A4045&amp;E4045,DATA!$E$3:$E$10000&amp;DATA!$B$3:$B$10000,DATA!$M$3:$M$10000),"Inactivo"))</f>
        <v/>
      </c>
      <c r="G4045" s="25" t="str">
        <f aca="false">IF(A4045="","",IF(AND(C4045&lt;&gt;"No encontrado",F4045&lt;&gt;"Inactivo"),C4045&amp;" → "&amp;F4045,"Sin transición"))</f>
        <v/>
      </c>
      <c r="H4045" s="23" t="str">
        <f aca="false">IF(A4045="","",IF(D4045="GCIA LINEA SERVICIO DIGITALIDAD Y VENTAS","Chats",IF(OR(D4045="GERENCIA INBOUND LÍNEAS SERVICIO Y VENTA",D4045="GERENCIA INBOUND LINEAS ESPECIALIZADAS"),"Llamadas","Otro")))</f>
        <v/>
      </c>
      <c r="I4045" s="23" t="str">
        <f aca="false">IF(A4045="","",IF(C4045="No encontrado","No","Sí"))</f>
        <v/>
      </c>
      <c r="J4045" s="23" t="str">
        <f aca="false">IF(A4045="","",IF(F4045="Inactivo","No","Sí"))</f>
        <v/>
      </c>
      <c r="K4045" s="23" t="str">
        <f aca="false">IF(A4045="","",IF(AND(I4045="Sí",J4045="Sí"),"Sí","No"))</f>
        <v/>
      </c>
    </row>
    <row r="4046" customFormat="false" ht="15" hidden="false" customHeight="false" outlineLevel="0" collapsed="false">
      <c r="A4046" s="22"/>
      <c r="B4046" s="22"/>
      <c r="C4046" s="26" t="str">
        <f aca="false">IF(A4046="","",IFERROR(buscarx(A4046&amp;B4046,DATA!$E$3:$E$10000&amp;DATA!$B$3:$B$10000,DATA!$M$3:$M$10000),"No encontrado"))</f>
        <v/>
      </c>
      <c r="D4046" s="27" t="str">
        <f aca="false">IF(A4046="","",IFERROR(buscarx(A4046&amp;B4046,DATA!$E$3:$E$10000&amp;DATA!$B$3:$B$10000,DATA!$W$3:$W$10000),"No encontrado"))</f>
        <v/>
      </c>
      <c r="E4046" s="22"/>
      <c r="F4046" s="26" t="str">
        <f aca="false">IF(A4046="","",IFERROR(buscarx(A4046&amp;E4046,DATA!$E$3:$E$10000&amp;DATA!$B$3:$B$10000,DATA!$M$3:$M$10000),"Inactivo"))</f>
        <v/>
      </c>
      <c r="G4046" s="28" t="str">
        <f aca="false">IF(A4046="","",IF(AND(C4046&lt;&gt;"No encontrado",F4046&lt;&gt;"Inactivo"),C4046&amp;" → "&amp;F4046,"Sin transición"))</f>
        <v/>
      </c>
      <c r="H4046" s="26" t="str">
        <f aca="false">IF(A4046="","",IF(D4046="GCIA LINEA SERVICIO DIGITALIDAD Y VENTAS","Chats",IF(OR(D4046="GERENCIA INBOUND LÍNEAS SERVICIO Y VENTA",D4046="GERENCIA INBOUND LINEAS ESPECIALIZADAS"),"Llamadas","Otro")))</f>
        <v/>
      </c>
      <c r="I4046" s="26" t="str">
        <f aca="false">IF(A4046="","",IF(C4046="No encontrado","No","Sí"))</f>
        <v/>
      </c>
      <c r="J4046" s="26" t="str">
        <f aca="false">IF(A4046="","",IF(F4046="Inactivo","No","Sí"))</f>
        <v/>
      </c>
      <c r="K4046" s="26" t="str">
        <f aca="false">IF(A4046="","",IF(AND(I4046="Sí",J4046="Sí"),"Sí","No"))</f>
        <v/>
      </c>
    </row>
    <row r="4047" customFormat="false" ht="15" hidden="false" customHeight="false" outlineLevel="0" collapsed="false">
      <c r="A4047" s="22"/>
      <c r="B4047" s="22"/>
      <c r="C4047" s="23" t="str">
        <f aca="false">IF(A4047="","",IFERROR(buscarx(A4047&amp;B4047,DATA!$E$3:$E$10000&amp;DATA!$B$3:$B$10000,DATA!$M$3:$M$10000),"No encontrado"))</f>
        <v/>
      </c>
      <c r="D4047" s="24" t="str">
        <f aca="false">IF(A4047="","",IFERROR(buscarx(A4047&amp;B4047,DATA!$E$3:$E$10000&amp;DATA!$B$3:$B$10000,DATA!$W$3:$W$10000),"No encontrado"))</f>
        <v/>
      </c>
      <c r="E4047" s="22"/>
      <c r="F4047" s="23" t="str">
        <f aca="false">IF(A4047="","",IFERROR(buscarx(A4047&amp;E4047,DATA!$E$3:$E$10000&amp;DATA!$B$3:$B$10000,DATA!$M$3:$M$10000),"Inactivo"))</f>
        <v/>
      </c>
      <c r="G4047" s="25" t="str">
        <f aca="false">IF(A4047="","",IF(AND(C4047&lt;&gt;"No encontrado",F4047&lt;&gt;"Inactivo"),C4047&amp;" → "&amp;F4047,"Sin transición"))</f>
        <v/>
      </c>
      <c r="H4047" s="23" t="str">
        <f aca="false">IF(A4047="","",IF(D4047="GCIA LINEA SERVICIO DIGITALIDAD Y VENTAS","Chats",IF(OR(D4047="GERENCIA INBOUND LÍNEAS SERVICIO Y VENTA",D4047="GERENCIA INBOUND LINEAS ESPECIALIZADAS"),"Llamadas","Otro")))</f>
        <v/>
      </c>
      <c r="I4047" s="23" t="str">
        <f aca="false">IF(A4047="","",IF(C4047="No encontrado","No","Sí"))</f>
        <v/>
      </c>
      <c r="J4047" s="23" t="str">
        <f aca="false">IF(A4047="","",IF(F4047="Inactivo","No","Sí"))</f>
        <v/>
      </c>
      <c r="K4047" s="23" t="str">
        <f aca="false">IF(A4047="","",IF(AND(I4047="Sí",J4047="Sí"),"Sí","No"))</f>
        <v/>
      </c>
    </row>
    <row r="4048" customFormat="false" ht="15" hidden="false" customHeight="false" outlineLevel="0" collapsed="false">
      <c r="A4048" s="22"/>
      <c r="B4048" s="22"/>
      <c r="C4048" s="26" t="str">
        <f aca="false">IF(A4048="","",IFERROR(buscarx(A4048&amp;B4048,DATA!$E$3:$E$10000&amp;DATA!$B$3:$B$10000,DATA!$M$3:$M$10000),"No encontrado"))</f>
        <v/>
      </c>
      <c r="D4048" s="27" t="str">
        <f aca="false">IF(A4048="","",IFERROR(buscarx(A4048&amp;B4048,DATA!$E$3:$E$10000&amp;DATA!$B$3:$B$10000,DATA!$W$3:$W$10000),"No encontrado"))</f>
        <v/>
      </c>
      <c r="E4048" s="22"/>
      <c r="F4048" s="26" t="str">
        <f aca="false">IF(A4048="","",IFERROR(buscarx(A4048&amp;E4048,DATA!$E$3:$E$10000&amp;DATA!$B$3:$B$10000,DATA!$M$3:$M$10000),"Inactivo"))</f>
        <v/>
      </c>
      <c r="G4048" s="28" t="str">
        <f aca="false">IF(A4048="","",IF(AND(C4048&lt;&gt;"No encontrado",F4048&lt;&gt;"Inactivo"),C4048&amp;" → "&amp;F4048,"Sin transición"))</f>
        <v/>
      </c>
      <c r="H4048" s="26" t="str">
        <f aca="false">IF(A4048="","",IF(D4048="GCIA LINEA SERVICIO DIGITALIDAD Y VENTAS","Chats",IF(OR(D4048="GERENCIA INBOUND LÍNEAS SERVICIO Y VENTA",D4048="GERENCIA INBOUND LINEAS ESPECIALIZADAS"),"Llamadas","Otro")))</f>
        <v/>
      </c>
      <c r="I4048" s="26" t="str">
        <f aca="false">IF(A4048="","",IF(C4048="No encontrado","No","Sí"))</f>
        <v/>
      </c>
      <c r="J4048" s="26" t="str">
        <f aca="false">IF(A4048="","",IF(F4048="Inactivo","No","Sí"))</f>
        <v/>
      </c>
      <c r="K4048" s="26" t="str">
        <f aca="false">IF(A4048="","",IF(AND(I4048="Sí",J4048="Sí"),"Sí","No"))</f>
        <v/>
      </c>
    </row>
    <row r="4049" customFormat="false" ht="15" hidden="false" customHeight="false" outlineLevel="0" collapsed="false">
      <c r="A4049" s="22"/>
      <c r="B4049" s="22"/>
      <c r="C4049" s="23" t="str">
        <f aca="false">IF(A4049="","",IFERROR(buscarx(A4049&amp;B4049,DATA!$E$3:$E$10000&amp;DATA!$B$3:$B$10000,DATA!$M$3:$M$10000),"No encontrado"))</f>
        <v/>
      </c>
      <c r="D4049" s="24" t="str">
        <f aca="false">IF(A4049="","",IFERROR(buscarx(A4049&amp;B4049,DATA!$E$3:$E$10000&amp;DATA!$B$3:$B$10000,DATA!$W$3:$W$10000),"No encontrado"))</f>
        <v/>
      </c>
      <c r="E4049" s="22"/>
      <c r="F4049" s="23" t="str">
        <f aca="false">IF(A4049="","",IFERROR(buscarx(A4049&amp;E4049,DATA!$E$3:$E$10000&amp;DATA!$B$3:$B$10000,DATA!$M$3:$M$10000),"Inactivo"))</f>
        <v/>
      </c>
      <c r="G4049" s="25" t="str">
        <f aca="false">IF(A4049="","",IF(AND(C4049&lt;&gt;"No encontrado",F4049&lt;&gt;"Inactivo"),C4049&amp;" → "&amp;F4049,"Sin transición"))</f>
        <v/>
      </c>
      <c r="H4049" s="23" t="str">
        <f aca="false">IF(A4049="","",IF(D4049="GCIA LINEA SERVICIO DIGITALIDAD Y VENTAS","Chats",IF(OR(D4049="GERENCIA INBOUND LÍNEAS SERVICIO Y VENTA",D4049="GERENCIA INBOUND LINEAS ESPECIALIZADAS"),"Llamadas","Otro")))</f>
        <v/>
      </c>
      <c r="I4049" s="23" t="str">
        <f aca="false">IF(A4049="","",IF(C4049="No encontrado","No","Sí"))</f>
        <v/>
      </c>
      <c r="J4049" s="23" t="str">
        <f aca="false">IF(A4049="","",IF(F4049="Inactivo","No","Sí"))</f>
        <v/>
      </c>
      <c r="K4049" s="23" t="str">
        <f aca="false">IF(A4049="","",IF(AND(I4049="Sí",J4049="Sí"),"Sí","No"))</f>
        <v/>
      </c>
    </row>
    <row r="4050" customFormat="false" ht="15" hidden="false" customHeight="false" outlineLevel="0" collapsed="false">
      <c r="A4050" s="22"/>
      <c r="B4050" s="22"/>
      <c r="C4050" s="26" t="str">
        <f aca="false">IF(A4050="","",IFERROR(buscarx(A4050&amp;B4050,DATA!$E$3:$E$10000&amp;DATA!$B$3:$B$10000,DATA!$M$3:$M$10000),"No encontrado"))</f>
        <v/>
      </c>
      <c r="D4050" s="27" t="str">
        <f aca="false">IF(A4050="","",IFERROR(buscarx(A4050&amp;B4050,DATA!$E$3:$E$10000&amp;DATA!$B$3:$B$10000,DATA!$W$3:$W$10000),"No encontrado"))</f>
        <v/>
      </c>
      <c r="E4050" s="22"/>
      <c r="F4050" s="26" t="str">
        <f aca="false">IF(A4050="","",IFERROR(buscarx(A4050&amp;E4050,DATA!$E$3:$E$10000&amp;DATA!$B$3:$B$10000,DATA!$M$3:$M$10000),"Inactivo"))</f>
        <v/>
      </c>
      <c r="G4050" s="28" t="str">
        <f aca="false">IF(A4050="","",IF(AND(C4050&lt;&gt;"No encontrado",F4050&lt;&gt;"Inactivo"),C4050&amp;" → "&amp;F4050,"Sin transición"))</f>
        <v/>
      </c>
      <c r="H4050" s="26" t="str">
        <f aca="false">IF(A4050="","",IF(D4050="GCIA LINEA SERVICIO DIGITALIDAD Y VENTAS","Chats",IF(OR(D4050="GERENCIA INBOUND LÍNEAS SERVICIO Y VENTA",D4050="GERENCIA INBOUND LINEAS ESPECIALIZADAS"),"Llamadas","Otro")))</f>
        <v/>
      </c>
      <c r="I4050" s="26" t="str">
        <f aca="false">IF(A4050="","",IF(C4050="No encontrado","No","Sí"))</f>
        <v/>
      </c>
      <c r="J4050" s="26" t="str">
        <f aca="false">IF(A4050="","",IF(F4050="Inactivo","No","Sí"))</f>
        <v/>
      </c>
      <c r="K4050" s="26" t="str">
        <f aca="false">IF(A4050="","",IF(AND(I4050="Sí",J4050="Sí"),"Sí","No"))</f>
        <v/>
      </c>
    </row>
    <row r="4051" customFormat="false" ht="15" hidden="false" customHeight="false" outlineLevel="0" collapsed="false">
      <c r="A4051" s="22"/>
      <c r="B4051" s="22"/>
      <c r="C4051" s="23" t="str">
        <f aca="false">IF(A4051="","",IFERROR(buscarx(A4051&amp;B4051,DATA!$E$3:$E$10000&amp;DATA!$B$3:$B$10000,DATA!$M$3:$M$10000),"No encontrado"))</f>
        <v/>
      </c>
      <c r="D4051" s="24" t="str">
        <f aca="false">IF(A4051="","",IFERROR(buscarx(A4051&amp;B4051,DATA!$E$3:$E$10000&amp;DATA!$B$3:$B$10000,DATA!$W$3:$W$10000),"No encontrado"))</f>
        <v/>
      </c>
      <c r="E4051" s="22"/>
      <c r="F4051" s="23" t="str">
        <f aca="false">IF(A4051="","",IFERROR(buscarx(A4051&amp;E4051,DATA!$E$3:$E$10000&amp;DATA!$B$3:$B$10000,DATA!$M$3:$M$10000),"Inactivo"))</f>
        <v/>
      </c>
      <c r="G4051" s="25" t="str">
        <f aca="false">IF(A4051="","",IF(AND(C4051&lt;&gt;"No encontrado",F4051&lt;&gt;"Inactivo"),C4051&amp;" → "&amp;F4051,"Sin transición"))</f>
        <v/>
      </c>
      <c r="H4051" s="23" t="str">
        <f aca="false">IF(A4051="","",IF(D4051="GCIA LINEA SERVICIO DIGITALIDAD Y VENTAS","Chats",IF(OR(D4051="GERENCIA INBOUND LÍNEAS SERVICIO Y VENTA",D4051="GERENCIA INBOUND LINEAS ESPECIALIZADAS"),"Llamadas","Otro")))</f>
        <v/>
      </c>
      <c r="I4051" s="23" t="str">
        <f aca="false">IF(A4051="","",IF(C4051="No encontrado","No","Sí"))</f>
        <v/>
      </c>
      <c r="J4051" s="23" t="str">
        <f aca="false">IF(A4051="","",IF(F4051="Inactivo","No","Sí"))</f>
        <v/>
      </c>
      <c r="K4051" s="23" t="str">
        <f aca="false">IF(A4051="","",IF(AND(I4051="Sí",J4051="Sí"),"Sí","No"))</f>
        <v/>
      </c>
    </row>
    <row r="4052" customFormat="false" ht="15" hidden="false" customHeight="false" outlineLevel="0" collapsed="false">
      <c r="A4052" s="22"/>
      <c r="B4052" s="22"/>
      <c r="C4052" s="26" t="str">
        <f aca="false">IF(A4052="","",IFERROR(buscarx(A4052&amp;B4052,DATA!$E$3:$E$10000&amp;DATA!$B$3:$B$10000,DATA!$M$3:$M$10000),"No encontrado"))</f>
        <v/>
      </c>
      <c r="D4052" s="27" t="str">
        <f aca="false">IF(A4052="","",IFERROR(buscarx(A4052&amp;B4052,DATA!$E$3:$E$10000&amp;DATA!$B$3:$B$10000,DATA!$W$3:$W$10000),"No encontrado"))</f>
        <v/>
      </c>
      <c r="E4052" s="22"/>
      <c r="F4052" s="26" t="str">
        <f aca="false">IF(A4052="","",IFERROR(buscarx(A4052&amp;E4052,DATA!$E$3:$E$10000&amp;DATA!$B$3:$B$10000,DATA!$M$3:$M$10000),"Inactivo"))</f>
        <v/>
      </c>
      <c r="G4052" s="28" t="str">
        <f aca="false">IF(A4052="","",IF(AND(C4052&lt;&gt;"No encontrado",F4052&lt;&gt;"Inactivo"),C4052&amp;" → "&amp;F4052,"Sin transición"))</f>
        <v/>
      </c>
      <c r="H4052" s="26" t="str">
        <f aca="false">IF(A4052="","",IF(D4052="GCIA LINEA SERVICIO DIGITALIDAD Y VENTAS","Chats",IF(OR(D4052="GERENCIA INBOUND LÍNEAS SERVICIO Y VENTA",D4052="GERENCIA INBOUND LINEAS ESPECIALIZADAS"),"Llamadas","Otro")))</f>
        <v/>
      </c>
      <c r="I4052" s="26" t="str">
        <f aca="false">IF(A4052="","",IF(C4052="No encontrado","No","Sí"))</f>
        <v/>
      </c>
      <c r="J4052" s="26" t="str">
        <f aca="false">IF(A4052="","",IF(F4052="Inactivo","No","Sí"))</f>
        <v/>
      </c>
      <c r="K4052" s="26" t="str">
        <f aca="false">IF(A4052="","",IF(AND(I4052="Sí",J4052="Sí"),"Sí","No"))</f>
        <v/>
      </c>
    </row>
    <row r="4053" customFormat="false" ht="15" hidden="false" customHeight="false" outlineLevel="0" collapsed="false">
      <c r="A4053" s="22"/>
      <c r="B4053" s="22"/>
      <c r="C4053" s="23" t="str">
        <f aca="false">IF(A4053="","",IFERROR(buscarx(A4053&amp;B4053,DATA!$E$3:$E$10000&amp;DATA!$B$3:$B$10000,DATA!$M$3:$M$10000),"No encontrado"))</f>
        <v/>
      </c>
      <c r="D4053" s="24" t="str">
        <f aca="false">IF(A4053="","",IFERROR(buscarx(A4053&amp;B4053,DATA!$E$3:$E$10000&amp;DATA!$B$3:$B$10000,DATA!$W$3:$W$10000),"No encontrado"))</f>
        <v/>
      </c>
      <c r="E4053" s="22"/>
      <c r="F4053" s="23" t="str">
        <f aca="false">IF(A4053="","",IFERROR(buscarx(A4053&amp;E4053,DATA!$E$3:$E$10000&amp;DATA!$B$3:$B$10000,DATA!$M$3:$M$10000),"Inactivo"))</f>
        <v/>
      </c>
      <c r="G4053" s="25" t="str">
        <f aca="false">IF(A4053="","",IF(AND(C4053&lt;&gt;"No encontrado",F4053&lt;&gt;"Inactivo"),C4053&amp;" → "&amp;F4053,"Sin transición"))</f>
        <v/>
      </c>
      <c r="H4053" s="23" t="str">
        <f aca="false">IF(A4053="","",IF(D4053="GCIA LINEA SERVICIO DIGITALIDAD Y VENTAS","Chats",IF(OR(D4053="GERENCIA INBOUND LÍNEAS SERVICIO Y VENTA",D4053="GERENCIA INBOUND LINEAS ESPECIALIZADAS"),"Llamadas","Otro")))</f>
        <v/>
      </c>
      <c r="I4053" s="23" t="str">
        <f aca="false">IF(A4053="","",IF(C4053="No encontrado","No","Sí"))</f>
        <v/>
      </c>
      <c r="J4053" s="23" t="str">
        <f aca="false">IF(A4053="","",IF(F4053="Inactivo","No","Sí"))</f>
        <v/>
      </c>
      <c r="K4053" s="23" t="str">
        <f aca="false">IF(A4053="","",IF(AND(I4053="Sí",J4053="Sí"),"Sí","No"))</f>
        <v/>
      </c>
    </row>
    <row r="4054" customFormat="false" ht="15" hidden="false" customHeight="false" outlineLevel="0" collapsed="false">
      <c r="A4054" s="22"/>
      <c r="B4054" s="22"/>
      <c r="C4054" s="26" t="str">
        <f aca="false">IF(A4054="","",IFERROR(buscarx(A4054&amp;B4054,DATA!$E$3:$E$10000&amp;DATA!$B$3:$B$10000,DATA!$M$3:$M$10000),"No encontrado"))</f>
        <v/>
      </c>
      <c r="D4054" s="27" t="str">
        <f aca="false">IF(A4054="","",IFERROR(buscarx(A4054&amp;B4054,DATA!$E$3:$E$10000&amp;DATA!$B$3:$B$10000,DATA!$W$3:$W$10000),"No encontrado"))</f>
        <v/>
      </c>
      <c r="E4054" s="22"/>
      <c r="F4054" s="26" t="str">
        <f aca="false">IF(A4054="","",IFERROR(buscarx(A4054&amp;E4054,DATA!$E$3:$E$10000&amp;DATA!$B$3:$B$10000,DATA!$M$3:$M$10000),"Inactivo"))</f>
        <v/>
      </c>
      <c r="G4054" s="28" t="str">
        <f aca="false">IF(A4054="","",IF(AND(C4054&lt;&gt;"No encontrado",F4054&lt;&gt;"Inactivo"),C4054&amp;" → "&amp;F4054,"Sin transición"))</f>
        <v/>
      </c>
      <c r="H4054" s="26" t="str">
        <f aca="false">IF(A4054="","",IF(D4054="GCIA LINEA SERVICIO DIGITALIDAD Y VENTAS","Chats",IF(OR(D4054="GERENCIA INBOUND LÍNEAS SERVICIO Y VENTA",D4054="GERENCIA INBOUND LINEAS ESPECIALIZADAS"),"Llamadas","Otro")))</f>
        <v/>
      </c>
      <c r="I4054" s="26" t="str">
        <f aca="false">IF(A4054="","",IF(C4054="No encontrado","No","Sí"))</f>
        <v/>
      </c>
      <c r="J4054" s="26" t="str">
        <f aca="false">IF(A4054="","",IF(F4054="Inactivo","No","Sí"))</f>
        <v/>
      </c>
      <c r="K4054" s="26" t="str">
        <f aca="false">IF(A4054="","",IF(AND(I4054="Sí",J4054="Sí"),"Sí","No"))</f>
        <v/>
      </c>
    </row>
    <row r="4055" customFormat="false" ht="15" hidden="false" customHeight="false" outlineLevel="0" collapsed="false">
      <c r="A4055" s="22"/>
      <c r="B4055" s="22"/>
      <c r="C4055" s="23" t="str">
        <f aca="false">IF(A4055="","",IFERROR(buscarx(A4055&amp;B4055,DATA!$E$3:$E$10000&amp;DATA!$B$3:$B$10000,DATA!$M$3:$M$10000),"No encontrado"))</f>
        <v/>
      </c>
      <c r="D4055" s="24" t="str">
        <f aca="false">IF(A4055="","",IFERROR(buscarx(A4055&amp;B4055,DATA!$E$3:$E$10000&amp;DATA!$B$3:$B$10000,DATA!$W$3:$W$10000),"No encontrado"))</f>
        <v/>
      </c>
      <c r="E4055" s="22"/>
      <c r="F4055" s="23" t="str">
        <f aca="false">IF(A4055="","",IFERROR(buscarx(A4055&amp;E4055,DATA!$E$3:$E$10000&amp;DATA!$B$3:$B$10000,DATA!$M$3:$M$10000),"Inactivo"))</f>
        <v/>
      </c>
      <c r="G4055" s="25" t="str">
        <f aca="false">IF(A4055="","",IF(AND(C4055&lt;&gt;"No encontrado",F4055&lt;&gt;"Inactivo"),C4055&amp;" → "&amp;F4055,"Sin transición"))</f>
        <v/>
      </c>
      <c r="H4055" s="23" t="str">
        <f aca="false">IF(A4055="","",IF(D4055="GCIA LINEA SERVICIO DIGITALIDAD Y VENTAS","Chats",IF(OR(D4055="GERENCIA INBOUND LÍNEAS SERVICIO Y VENTA",D4055="GERENCIA INBOUND LINEAS ESPECIALIZADAS"),"Llamadas","Otro")))</f>
        <v/>
      </c>
      <c r="I4055" s="23" t="str">
        <f aca="false">IF(A4055="","",IF(C4055="No encontrado","No","Sí"))</f>
        <v/>
      </c>
      <c r="J4055" s="23" t="str">
        <f aca="false">IF(A4055="","",IF(F4055="Inactivo","No","Sí"))</f>
        <v/>
      </c>
      <c r="K4055" s="23" t="str">
        <f aca="false">IF(A4055="","",IF(AND(I4055="Sí",J4055="Sí"),"Sí","No"))</f>
        <v/>
      </c>
    </row>
    <row r="4056" customFormat="false" ht="15" hidden="false" customHeight="false" outlineLevel="0" collapsed="false">
      <c r="A4056" s="22"/>
      <c r="B4056" s="22"/>
      <c r="C4056" s="26" t="str">
        <f aca="false">IF(A4056="","",IFERROR(buscarx(A4056&amp;B4056,DATA!$E$3:$E$10000&amp;DATA!$B$3:$B$10000,DATA!$M$3:$M$10000),"No encontrado"))</f>
        <v/>
      </c>
      <c r="D4056" s="27" t="str">
        <f aca="false">IF(A4056="","",IFERROR(buscarx(A4056&amp;B4056,DATA!$E$3:$E$10000&amp;DATA!$B$3:$B$10000,DATA!$W$3:$W$10000),"No encontrado"))</f>
        <v/>
      </c>
      <c r="E4056" s="22"/>
      <c r="F4056" s="26" t="str">
        <f aca="false">IF(A4056="","",IFERROR(buscarx(A4056&amp;E4056,DATA!$E$3:$E$10000&amp;DATA!$B$3:$B$10000,DATA!$M$3:$M$10000),"Inactivo"))</f>
        <v/>
      </c>
      <c r="G4056" s="28" t="str">
        <f aca="false">IF(A4056="","",IF(AND(C4056&lt;&gt;"No encontrado",F4056&lt;&gt;"Inactivo"),C4056&amp;" → "&amp;F4056,"Sin transición"))</f>
        <v/>
      </c>
      <c r="H4056" s="26" t="str">
        <f aca="false">IF(A4056="","",IF(D4056="GCIA LINEA SERVICIO DIGITALIDAD Y VENTAS","Chats",IF(OR(D4056="GERENCIA INBOUND LÍNEAS SERVICIO Y VENTA",D4056="GERENCIA INBOUND LINEAS ESPECIALIZADAS"),"Llamadas","Otro")))</f>
        <v/>
      </c>
      <c r="I4056" s="26" t="str">
        <f aca="false">IF(A4056="","",IF(C4056="No encontrado","No","Sí"))</f>
        <v/>
      </c>
      <c r="J4056" s="26" t="str">
        <f aca="false">IF(A4056="","",IF(F4056="Inactivo","No","Sí"))</f>
        <v/>
      </c>
      <c r="K4056" s="26" t="str">
        <f aca="false">IF(A4056="","",IF(AND(I4056="Sí",J4056="Sí"),"Sí","No"))</f>
        <v/>
      </c>
    </row>
    <row r="4057" customFormat="false" ht="15" hidden="false" customHeight="false" outlineLevel="0" collapsed="false">
      <c r="A4057" s="22"/>
      <c r="B4057" s="22"/>
      <c r="C4057" s="23" t="str">
        <f aca="false">IF(A4057="","",IFERROR(buscarx(A4057&amp;B4057,DATA!$E$3:$E$10000&amp;DATA!$B$3:$B$10000,DATA!$M$3:$M$10000),"No encontrado"))</f>
        <v/>
      </c>
      <c r="D4057" s="24" t="str">
        <f aca="false">IF(A4057="","",IFERROR(buscarx(A4057&amp;B4057,DATA!$E$3:$E$10000&amp;DATA!$B$3:$B$10000,DATA!$W$3:$W$10000),"No encontrado"))</f>
        <v/>
      </c>
      <c r="E4057" s="22"/>
      <c r="F4057" s="23" t="str">
        <f aca="false">IF(A4057="","",IFERROR(buscarx(A4057&amp;E4057,DATA!$E$3:$E$10000&amp;DATA!$B$3:$B$10000,DATA!$M$3:$M$10000),"Inactivo"))</f>
        <v/>
      </c>
      <c r="G4057" s="25" t="str">
        <f aca="false">IF(A4057="","",IF(AND(C4057&lt;&gt;"No encontrado",F4057&lt;&gt;"Inactivo"),C4057&amp;" → "&amp;F4057,"Sin transición"))</f>
        <v/>
      </c>
      <c r="H4057" s="23" t="str">
        <f aca="false">IF(A4057="","",IF(D4057="GCIA LINEA SERVICIO DIGITALIDAD Y VENTAS","Chats",IF(OR(D4057="GERENCIA INBOUND LÍNEAS SERVICIO Y VENTA",D4057="GERENCIA INBOUND LINEAS ESPECIALIZADAS"),"Llamadas","Otro")))</f>
        <v/>
      </c>
      <c r="I4057" s="23" t="str">
        <f aca="false">IF(A4057="","",IF(C4057="No encontrado","No","Sí"))</f>
        <v/>
      </c>
      <c r="J4057" s="23" t="str">
        <f aca="false">IF(A4057="","",IF(F4057="Inactivo","No","Sí"))</f>
        <v/>
      </c>
      <c r="K4057" s="23" t="str">
        <f aca="false">IF(A4057="","",IF(AND(I4057="Sí",J4057="Sí"),"Sí","No"))</f>
        <v/>
      </c>
    </row>
    <row r="4058" customFormat="false" ht="15" hidden="false" customHeight="false" outlineLevel="0" collapsed="false">
      <c r="A4058" s="22"/>
      <c r="B4058" s="22"/>
      <c r="C4058" s="26" t="str">
        <f aca="false">IF(A4058="","",IFERROR(buscarx(A4058&amp;B4058,DATA!$E$3:$E$10000&amp;DATA!$B$3:$B$10000,DATA!$M$3:$M$10000),"No encontrado"))</f>
        <v/>
      </c>
      <c r="D4058" s="27" t="str">
        <f aca="false">IF(A4058="","",IFERROR(buscarx(A4058&amp;B4058,DATA!$E$3:$E$10000&amp;DATA!$B$3:$B$10000,DATA!$W$3:$W$10000),"No encontrado"))</f>
        <v/>
      </c>
      <c r="E4058" s="22"/>
      <c r="F4058" s="26" t="str">
        <f aca="false">IF(A4058="","",IFERROR(buscarx(A4058&amp;E4058,DATA!$E$3:$E$10000&amp;DATA!$B$3:$B$10000,DATA!$M$3:$M$10000),"Inactivo"))</f>
        <v/>
      </c>
      <c r="G4058" s="28" t="str">
        <f aca="false">IF(A4058="","",IF(AND(C4058&lt;&gt;"No encontrado",F4058&lt;&gt;"Inactivo"),C4058&amp;" → "&amp;F4058,"Sin transición"))</f>
        <v/>
      </c>
      <c r="H4058" s="26" t="str">
        <f aca="false">IF(A4058="","",IF(D4058="GCIA LINEA SERVICIO DIGITALIDAD Y VENTAS","Chats",IF(OR(D4058="GERENCIA INBOUND LÍNEAS SERVICIO Y VENTA",D4058="GERENCIA INBOUND LINEAS ESPECIALIZADAS"),"Llamadas","Otro")))</f>
        <v/>
      </c>
      <c r="I4058" s="26" t="str">
        <f aca="false">IF(A4058="","",IF(C4058="No encontrado","No","Sí"))</f>
        <v/>
      </c>
      <c r="J4058" s="26" t="str">
        <f aca="false">IF(A4058="","",IF(F4058="Inactivo","No","Sí"))</f>
        <v/>
      </c>
      <c r="K4058" s="26" t="str">
        <f aca="false">IF(A4058="","",IF(AND(I4058="Sí",J4058="Sí"),"Sí","No"))</f>
        <v/>
      </c>
    </row>
    <row r="4059" customFormat="false" ht="15" hidden="false" customHeight="false" outlineLevel="0" collapsed="false">
      <c r="A4059" s="22"/>
      <c r="B4059" s="22"/>
      <c r="C4059" s="23" t="str">
        <f aca="false">IF(A4059="","",IFERROR(buscarx(A4059&amp;B4059,DATA!$E$3:$E$10000&amp;DATA!$B$3:$B$10000,DATA!$M$3:$M$10000),"No encontrado"))</f>
        <v/>
      </c>
      <c r="D4059" s="24" t="str">
        <f aca="false">IF(A4059="","",IFERROR(buscarx(A4059&amp;B4059,DATA!$E$3:$E$10000&amp;DATA!$B$3:$B$10000,DATA!$W$3:$W$10000),"No encontrado"))</f>
        <v/>
      </c>
      <c r="E4059" s="22"/>
      <c r="F4059" s="23" t="str">
        <f aca="false">IF(A4059="","",IFERROR(buscarx(A4059&amp;E4059,DATA!$E$3:$E$10000&amp;DATA!$B$3:$B$10000,DATA!$M$3:$M$10000),"Inactivo"))</f>
        <v/>
      </c>
      <c r="G4059" s="25" t="str">
        <f aca="false">IF(A4059="","",IF(AND(C4059&lt;&gt;"No encontrado",F4059&lt;&gt;"Inactivo"),C4059&amp;" → "&amp;F4059,"Sin transición"))</f>
        <v/>
      </c>
      <c r="H4059" s="23" t="str">
        <f aca="false">IF(A4059="","",IF(D4059="GCIA LINEA SERVICIO DIGITALIDAD Y VENTAS","Chats",IF(OR(D4059="GERENCIA INBOUND LÍNEAS SERVICIO Y VENTA",D4059="GERENCIA INBOUND LINEAS ESPECIALIZADAS"),"Llamadas","Otro")))</f>
        <v/>
      </c>
      <c r="I4059" s="23" t="str">
        <f aca="false">IF(A4059="","",IF(C4059="No encontrado","No","Sí"))</f>
        <v/>
      </c>
      <c r="J4059" s="23" t="str">
        <f aca="false">IF(A4059="","",IF(F4059="Inactivo","No","Sí"))</f>
        <v/>
      </c>
      <c r="K4059" s="23" t="str">
        <f aca="false">IF(A4059="","",IF(AND(I4059="Sí",J4059="Sí"),"Sí","No"))</f>
        <v/>
      </c>
    </row>
    <row r="4060" customFormat="false" ht="15" hidden="false" customHeight="false" outlineLevel="0" collapsed="false">
      <c r="A4060" s="22"/>
      <c r="B4060" s="22"/>
      <c r="C4060" s="26" t="str">
        <f aca="false">IF(A4060="","",IFERROR(buscarx(A4060&amp;B4060,DATA!$E$3:$E$10000&amp;DATA!$B$3:$B$10000,DATA!$M$3:$M$10000),"No encontrado"))</f>
        <v/>
      </c>
      <c r="D4060" s="27" t="str">
        <f aca="false">IF(A4060="","",IFERROR(buscarx(A4060&amp;B4060,DATA!$E$3:$E$10000&amp;DATA!$B$3:$B$10000,DATA!$W$3:$W$10000),"No encontrado"))</f>
        <v/>
      </c>
      <c r="E4060" s="22"/>
      <c r="F4060" s="26" t="str">
        <f aca="false">IF(A4060="","",IFERROR(buscarx(A4060&amp;E4060,DATA!$E$3:$E$10000&amp;DATA!$B$3:$B$10000,DATA!$M$3:$M$10000),"Inactivo"))</f>
        <v/>
      </c>
      <c r="G4060" s="28" t="str">
        <f aca="false">IF(A4060="","",IF(AND(C4060&lt;&gt;"No encontrado",F4060&lt;&gt;"Inactivo"),C4060&amp;" → "&amp;F4060,"Sin transición"))</f>
        <v/>
      </c>
      <c r="H4060" s="26" t="str">
        <f aca="false">IF(A4060="","",IF(D4060="GCIA LINEA SERVICIO DIGITALIDAD Y VENTAS","Chats",IF(OR(D4060="GERENCIA INBOUND LÍNEAS SERVICIO Y VENTA",D4060="GERENCIA INBOUND LINEAS ESPECIALIZADAS"),"Llamadas","Otro")))</f>
        <v/>
      </c>
      <c r="I4060" s="26" t="str">
        <f aca="false">IF(A4060="","",IF(C4060="No encontrado","No","Sí"))</f>
        <v/>
      </c>
      <c r="J4060" s="26" t="str">
        <f aca="false">IF(A4060="","",IF(F4060="Inactivo","No","Sí"))</f>
        <v/>
      </c>
      <c r="K4060" s="26" t="str">
        <f aca="false">IF(A4060="","",IF(AND(I4060="Sí",J4060="Sí"),"Sí","No"))</f>
        <v/>
      </c>
    </row>
    <row r="4061" customFormat="false" ht="15" hidden="false" customHeight="false" outlineLevel="0" collapsed="false">
      <c r="A4061" s="22"/>
      <c r="B4061" s="22"/>
      <c r="C4061" s="23" t="str">
        <f aca="false">IF(A4061="","",IFERROR(buscarx(A4061&amp;B4061,DATA!$E$3:$E$10000&amp;DATA!$B$3:$B$10000,DATA!$M$3:$M$10000),"No encontrado"))</f>
        <v/>
      </c>
      <c r="D4061" s="24" t="str">
        <f aca="false">IF(A4061="","",IFERROR(buscarx(A4061&amp;B4061,DATA!$E$3:$E$10000&amp;DATA!$B$3:$B$10000,DATA!$W$3:$W$10000),"No encontrado"))</f>
        <v/>
      </c>
      <c r="E4061" s="22"/>
      <c r="F4061" s="23" t="str">
        <f aca="false">IF(A4061="","",IFERROR(buscarx(A4061&amp;E4061,DATA!$E$3:$E$10000&amp;DATA!$B$3:$B$10000,DATA!$M$3:$M$10000),"Inactivo"))</f>
        <v/>
      </c>
      <c r="G4061" s="25" t="str">
        <f aca="false">IF(A4061="","",IF(AND(C4061&lt;&gt;"No encontrado",F4061&lt;&gt;"Inactivo"),C4061&amp;" → "&amp;F4061,"Sin transición"))</f>
        <v/>
      </c>
      <c r="H4061" s="23" t="str">
        <f aca="false">IF(A4061="","",IF(D4061="GCIA LINEA SERVICIO DIGITALIDAD Y VENTAS","Chats",IF(OR(D4061="GERENCIA INBOUND LÍNEAS SERVICIO Y VENTA",D4061="GERENCIA INBOUND LINEAS ESPECIALIZADAS"),"Llamadas","Otro")))</f>
        <v/>
      </c>
      <c r="I4061" s="23" t="str">
        <f aca="false">IF(A4061="","",IF(C4061="No encontrado","No","Sí"))</f>
        <v/>
      </c>
      <c r="J4061" s="23" t="str">
        <f aca="false">IF(A4061="","",IF(F4061="Inactivo","No","Sí"))</f>
        <v/>
      </c>
      <c r="K4061" s="23" t="str">
        <f aca="false">IF(A4061="","",IF(AND(I4061="Sí",J4061="Sí"),"Sí","No"))</f>
        <v/>
      </c>
    </row>
    <row r="4062" customFormat="false" ht="15" hidden="false" customHeight="false" outlineLevel="0" collapsed="false">
      <c r="A4062" s="22"/>
      <c r="B4062" s="22"/>
      <c r="C4062" s="26" t="str">
        <f aca="false">IF(A4062="","",IFERROR(buscarx(A4062&amp;B4062,DATA!$E$3:$E$10000&amp;DATA!$B$3:$B$10000,DATA!$M$3:$M$10000),"No encontrado"))</f>
        <v/>
      </c>
      <c r="D4062" s="27" t="str">
        <f aca="false">IF(A4062="","",IFERROR(buscarx(A4062&amp;B4062,DATA!$E$3:$E$10000&amp;DATA!$B$3:$B$10000,DATA!$W$3:$W$10000),"No encontrado"))</f>
        <v/>
      </c>
      <c r="E4062" s="22"/>
      <c r="F4062" s="26" t="str">
        <f aca="false">IF(A4062="","",IFERROR(buscarx(A4062&amp;E4062,DATA!$E$3:$E$10000&amp;DATA!$B$3:$B$10000,DATA!$M$3:$M$10000),"Inactivo"))</f>
        <v/>
      </c>
      <c r="G4062" s="28" t="str">
        <f aca="false">IF(A4062="","",IF(AND(C4062&lt;&gt;"No encontrado",F4062&lt;&gt;"Inactivo"),C4062&amp;" → "&amp;F4062,"Sin transición"))</f>
        <v/>
      </c>
      <c r="H4062" s="26" t="str">
        <f aca="false">IF(A4062="","",IF(D4062="GCIA LINEA SERVICIO DIGITALIDAD Y VENTAS","Chats",IF(OR(D4062="GERENCIA INBOUND LÍNEAS SERVICIO Y VENTA",D4062="GERENCIA INBOUND LINEAS ESPECIALIZADAS"),"Llamadas","Otro")))</f>
        <v/>
      </c>
      <c r="I4062" s="26" t="str">
        <f aca="false">IF(A4062="","",IF(C4062="No encontrado","No","Sí"))</f>
        <v/>
      </c>
      <c r="J4062" s="26" t="str">
        <f aca="false">IF(A4062="","",IF(F4062="Inactivo","No","Sí"))</f>
        <v/>
      </c>
      <c r="K4062" s="26" t="str">
        <f aca="false">IF(A4062="","",IF(AND(I4062="Sí",J4062="Sí"),"Sí","No"))</f>
        <v/>
      </c>
    </row>
    <row r="4063" customFormat="false" ht="15" hidden="false" customHeight="false" outlineLevel="0" collapsed="false">
      <c r="A4063" s="22"/>
      <c r="B4063" s="22"/>
      <c r="C4063" s="23" t="str">
        <f aca="false">IF(A4063="","",IFERROR(buscarx(A4063&amp;B4063,DATA!$E$3:$E$10000&amp;DATA!$B$3:$B$10000,DATA!$M$3:$M$10000),"No encontrado"))</f>
        <v/>
      </c>
      <c r="D4063" s="24" t="str">
        <f aca="false">IF(A4063="","",IFERROR(buscarx(A4063&amp;B4063,DATA!$E$3:$E$10000&amp;DATA!$B$3:$B$10000,DATA!$W$3:$W$10000),"No encontrado"))</f>
        <v/>
      </c>
      <c r="E4063" s="22"/>
      <c r="F4063" s="23" t="str">
        <f aca="false">IF(A4063="","",IFERROR(buscarx(A4063&amp;E4063,DATA!$E$3:$E$10000&amp;DATA!$B$3:$B$10000,DATA!$M$3:$M$10000),"Inactivo"))</f>
        <v/>
      </c>
      <c r="G4063" s="25" t="str">
        <f aca="false">IF(A4063="","",IF(AND(C4063&lt;&gt;"No encontrado",F4063&lt;&gt;"Inactivo"),C4063&amp;" → "&amp;F4063,"Sin transición"))</f>
        <v/>
      </c>
      <c r="H4063" s="23" t="str">
        <f aca="false">IF(A4063="","",IF(D4063="GCIA LINEA SERVICIO DIGITALIDAD Y VENTAS","Chats",IF(OR(D4063="GERENCIA INBOUND LÍNEAS SERVICIO Y VENTA",D4063="GERENCIA INBOUND LINEAS ESPECIALIZADAS"),"Llamadas","Otro")))</f>
        <v/>
      </c>
      <c r="I4063" s="23" t="str">
        <f aca="false">IF(A4063="","",IF(C4063="No encontrado","No","Sí"))</f>
        <v/>
      </c>
      <c r="J4063" s="23" t="str">
        <f aca="false">IF(A4063="","",IF(F4063="Inactivo","No","Sí"))</f>
        <v/>
      </c>
      <c r="K4063" s="23" t="str">
        <f aca="false">IF(A4063="","",IF(AND(I4063="Sí",J4063="Sí"),"Sí","No"))</f>
        <v/>
      </c>
    </row>
    <row r="4064" customFormat="false" ht="15" hidden="false" customHeight="false" outlineLevel="0" collapsed="false">
      <c r="A4064" s="22"/>
      <c r="B4064" s="22"/>
      <c r="C4064" s="26" t="str">
        <f aca="false">IF(A4064="","",IFERROR(buscarx(A4064&amp;B4064,DATA!$E$3:$E$10000&amp;DATA!$B$3:$B$10000,DATA!$M$3:$M$10000),"No encontrado"))</f>
        <v/>
      </c>
      <c r="D4064" s="27" t="str">
        <f aca="false">IF(A4064="","",IFERROR(buscarx(A4064&amp;B4064,DATA!$E$3:$E$10000&amp;DATA!$B$3:$B$10000,DATA!$W$3:$W$10000),"No encontrado"))</f>
        <v/>
      </c>
      <c r="E4064" s="22"/>
      <c r="F4064" s="26" t="str">
        <f aca="false">IF(A4064="","",IFERROR(buscarx(A4064&amp;E4064,DATA!$E$3:$E$10000&amp;DATA!$B$3:$B$10000,DATA!$M$3:$M$10000),"Inactivo"))</f>
        <v/>
      </c>
      <c r="G4064" s="28" t="str">
        <f aca="false">IF(A4064="","",IF(AND(C4064&lt;&gt;"No encontrado",F4064&lt;&gt;"Inactivo"),C4064&amp;" → "&amp;F4064,"Sin transición"))</f>
        <v/>
      </c>
      <c r="H4064" s="26" t="str">
        <f aca="false">IF(A4064="","",IF(D4064="GCIA LINEA SERVICIO DIGITALIDAD Y VENTAS","Chats",IF(OR(D4064="GERENCIA INBOUND LÍNEAS SERVICIO Y VENTA",D4064="GERENCIA INBOUND LINEAS ESPECIALIZADAS"),"Llamadas","Otro")))</f>
        <v/>
      </c>
      <c r="I4064" s="26" t="str">
        <f aca="false">IF(A4064="","",IF(C4064="No encontrado","No","Sí"))</f>
        <v/>
      </c>
      <c r="J4064" s="26" t="str">
        <f aca="false">IF(A4064="","",IF(F4064="Inactivo","No","Sí"))</f>
        <v/>
      </c>
      <c r="K4064" s="26" t="str">
        <f aca="false">IF(A4064="","",IF(AND(I4064="Sí",J4064="Sí"),"Sí","No"))</f>
        <v/>
      </c>
    </row>
    <row r="4065" customFormat="false" ht="15" hidden="false" customHeight="false" outlineLevel="0" collapsed="false">
      <c r="A4065" s="22"/>
      <c r="B4065" s="22"/>
      <c r="C4065" s="23" t="str">
        <f aca="false">IF(A4065="","",IFERROR(buscarx(A4065&amp;B4065,DATA!$E$3:$E$10000&amp;DATA!$B$3:$B$10000,DATA!$M$3:$M$10000),"No encontrado"))</f>
        <v/>
      </c>
      <c r="D4065" s="24" t="str">
        <f aca="false">IF(A4065="","",IFERROR(buscarx(A4065&amp;B4065,DATA!$E$3:$E$10000&amp;DATA!$B$3:$B$10000,DATA!$W$3:$W$10000),"No encontrado"))</f>
        <v/>
      </c>
      <c r="E4065" s="22"/>
      <c r="F4065" s="23" t="str">
        <f aca="false">IF(A4065="","",IFERROR(buscarx(A4065&amp;E4065,DATA!$E$3:$E$10000&amp;DATA!$B$3:$B$10000,DATA!$M$3:$M$10000),"Inactivo"))</f>
        <v/>
      </c>
      <c r="G4065" s="25" t="str">
        <f aca="false">IF(A4065="","",IF(AND(C4065&lt;&gt;"No encontrado",F4065&lt;&gt;"Inactivo"),C4065&amp;" → "&amp;F4065,"Sin transición"))</f>
        <v/>
      </c>
      <c r="H4065" s="23" t="str">
        <f aca="false">IF(A4065="","",IF(D4065="GCIA LINEA SERVICIO DIGITALIDAD Y VENTAS","Chats",IF(OR(D4065="GERENCIA INBOUND LÍNEAS SERVICIO Y VENTA",D4065="GERENCIA INBOUND LINEAS ESPECIALIZADAS"),"Llamadas","Otro")))</f>
        <v/>
      </c>
      <c r="I4065" s="23" t="str">
        <f aca="false">IF(A4065="","",IF(C4065="No encontrado","No","Sí"))</f>
        <v/>
      </c>
      <c r="J4065" s="23" t="str">
        <f aca="false">IF(A4065="","",IF(F4065="Inactivo","No","Sí"))</f>
        <v/>
      </c>
      <c r="K4065" s="23" t="str">
        <f aca="false">IF(A4065="","",IF(AND(I4065="Sí",J4065="Sí"),"Sí","No"))</f>
        <v/>
      </c>
    </row>
    <row r="4066" customFormat="false" ht="15" hidden="false" customHeight="false" outlineLevel="0" collapsed="false">
      <c r="A4066" s="22"/>
      <c r="B4066" s="22"/>
      <c r="C4066" s="26" t="str">
        <f aca="false">IF(A4066="","",IFERROR(buscarx(A4066&amp;B4066,DATA!$E$3:$E$10000&amp;DATA!$B$3:$B$10000,DATA!$M$3:$M$10000),"No encontrado"))</f>
        <v/>
      </c>
      <c r="D4066" s="27" t="str">
        <f aca="false">IF(A4066="","",IFERROR(buscarx(A4066&amp;B4066,DATA!$E$3:$E$10000&amp;DATA!$B$3:$B$10000,DATA!$W$3:$W$10000),"No encontrado"))</f>
        <v/>
      </c>
      <c r="E4066" s="22"/>
      <c r="F4066" s="26" t="str">
        <f aca="false">IF(A4066="","",IFERROR(buscarx(A4066&amp;E4066,DATA!$E$3:$E$10000&amp;DATA!$B$3:$B$10000,DATA!$M$3:$M$10000),"Inactivo"))</f>
        <v/>
      </c>
      <c r="G4066" s="28" t="str">
        <f aca="false">IF(A4066="","",IF(AND(C4066&lt;&gt;"No encontrado",F4066&lt;&gt;"Inactivo"),C4066&amp;" → "&amp;F4066,"Sin transición"))</f>
        <v/>
      </c>
      <c r="H4066" s="26" t="str">
        <f aca="false">IF(A4066="","",IF(D4066="GCIA LINEA SERVICIO DIGITALIDAD Y VENTAS","Chats",IF(OR(D4066="GERENCIA INBOUND LÍNEAS SERVICIO Y VENTA",D4066="GERENCIA INBOUND LINEAS ESPECIALIZADAS"),"Llamadas","Otro")))</f>
        <v/>
      </c>
      <c r="I4066" s="26" t="str">
        <f aca="false">IF(A4066="","",IF(C4066="No encontrado","No","Sí"))</f>
        <v/>
      </c>
      <c r="J4066" s="26" t="str">
        <f aca="false">IF(A4066="","",IF(F4066="Inactivo","No","Sí"))</f>
        <v/>
      </c>
      <c r="K4066" s="26" t="str">
        <f aca="false">IF(A4066="","",IF(AND(I4066="Sí",J4066="Sí"),"Sí","No"))</f>
        <v/>
      </c>
    </row>
    <row r="4067" customFormat="false" ht="15" hidden="false" customHeight="false" outlineLevel="0" collapsed="false">
      <c r="A4067" s="22"/>
      <c r="B4067" s="22"/>
      <c r="C4067" s="23" t="str">
        <f aca="false">IF(A4067="","",IFERROR(buscarx(A4067&amp;B4067,DATA!$E$3:$E$10000&amp;DATA!$B$3:$B$10000,DATA!$M$3:$M$10000),"No encontrado"))</f>
        <v/>
      </c>
      <c r="D4067" s="24" t="str">
        <f aca="false">IF(A4067="","",IFERROR(buscarx(A4067&amp;B4067,DATA!$E$3:$E$10000&amp;DATA!$B$3:$B$10000,DATA!$W$3:$W$10000),"No encontrado"))</f>
        <v/>
      </c>
      <c r="E4067" s="22"/>
      <c r="F4067" s="23" t="str">
        <f aca="false">IF(A4067="","",IFERROR(buscarx(A4067&amp;E4067,DATA!$E$3:$E$10000&amp;DATA!$B$3:$B$10000,DATA!$M$3:$M$10000),"Inactivo"))</f>
        <v/>
      </c>
      <c r="G4067" s="25" t="str">
        <f aca="false">IF(A4067="","",IF(AND(C4067&lt;&gt;"No encontrado",F4067&lt;&gt;"Inactivo"),C4067&amp;" → "&amp;F4067,"Sin transición"))</f>
        <v/>
      </c>
      <c r="H4067" s="23" t="str">
        <f aca="false">IF(A4067="","",IF(D4067="GCIA LINEA SERVICIO DIGITALIDAD Y VENTAS","Chats",IF(OR(D4067="GERENCIA INBOUND LÍNEAS SERVICIO Y VENTA",D4067="GERENCIA INBOUND LINEAS ESPECIALIZADAS"),"Llamadas","Otro")))</f>
        <v/>
      </c>
      <c r="I4067" s="23" t="str">
        <f aca="false">IF(A4067="","",IF(C4067="No encontrado","No","Sí"))</f>
        <v/>
      </c>
      <c r="J4067" s="23" t="str">
        <f aca="false">IF(A4067="","",IF(F4067="Inactivo","No","Sí"))</f>
        <v/>
      </c>
      <c r="K4067" s="23" t="str">
        <f aca="false">IF(A4067="","",IF(AND(I4067="Sí",J4067="Sí"),"Sí","No"))</f>
        <v/>
      </c>
    </row>
    <row r="4068" customFormat="false" ht="15" hidden="false" customHeight="false" outlineLevel="0" collapsed="false">
      <c r="A4068" s="22"/>
      <c r="B4068" s="22"/>
      <c r="C4068" s="26" t="str">
        <f aca="false">IF(A4068="","",IFERROR(buscarx(A4068&amp;B4068,DATA!$E$3:$E$10000&amp;DATA!$B$3:$B$10000,DATA!$M$3:$M$10000),"No encontrado"))</f>
        <v/>
      </c>
      <c r="D4068" s="27" t="str">
        <f aca="false">IF(A4068="","",IFERROR(buscarx(A4068&amp;B4068,DATA!$E$3:$E$10000&amp;DATA!$B$3:$B$10000,DATA!$W$3:$W$10000),"No encontrado"))</f>
        <v/>
      </c>
      <c r="E4068" s="22"/>
      <c r="F4068" s="26" t="str">
        <f aca="false">IF(A4068="","",IFERROR(buscarx(A4068&amp;E4068,DATA!$E$3:$E$10000&amp;DATA!$B$3:$B$10000,DATA!$M$3:$M$10000),"Inactivo"))</f>
        <v/>
      </c>
      <c r="G4068" s="28" t="str">
        <f aca="false">IF(A4068="","",IF(AND(C4068&lt;&gt;"No encontrado",F4068&lt;&gt;"Inactivo"),C4068&amp;" → "&amp;F4068,"Sin transición"))</f>
        <v/>
      </c>
      <c r="H4068" s="26" t="str">
        <f aca="false">IF(A4068="","",IF(D4068="GCIA LINEA SERVICIO DIGITALIDAD Y VENTAS","Chats",IF(OR(D4068="GERENCIA INBOUND LÍNEAS SERVICIO Y VENTA",D4068="GERENCIA INBOUND LINEAS ESPECIALIZADAS"),"Llamadas","Otro")))</f>
        <v/>
      </c>
      <c r="I4068" s="26" t="str">
        <f aca="false">IF(A4068="","",IF(C4068="No encontrado","No","Sí"))</f>
        <v/>
      </c>
      <c r="J4068" s="26" t="str">
        <f aca="false">IF(A4068="","",IF(F4068="Inactivo","No","Sí"))</f>
        <v/>
      </c>
      <c r="K4068" s="26" t="str">
        <f aca="false">IF(A4068="","",IF(AND(I4068="Sí",J4068="Sí"),"Sí","No"))</f>
        <v/>
      </c>
    </row>
    <row r="4069" customFormat="false" ht="15" hidden="false" customHeight="false" outlineLevel="0" collapsed="false">
      <c r="A4069" s="22"/>
      <c r="B4069" s="22"/>
      <c r="C4069" s="23" t="str">
        <f aca="false">IF(A4069="","",IFERROR(buscarx(A4069&amp;B4069,DATA!$E$3:$E$10000&amp;DATA!$B$3:$B$10000,DATA!$M$3:$M$10000),"No encontrado"))</f>
        <v/>
      </c>
      <c r="D4069" s="24" t="str">
        <f aca="false">IF(A4069="","",IFERROR(buscarx(A4069&amp;B4069,DATA!$E$3:$E$10000&amp;DATA!$B$3:$B$10000,DATA!$W$3:$W$10000),"No encontrado"))</f>
        <v/>
      </c>
      <c r="E4069" s="22"/>
      <c r="F4069" s="23" t="str">
        <f aca="false">IF(A4069="","",IFERROR(buscarx(A4069&amp;E4069,DATA!$E$3:$E$10000&amp;DATA!$B$3:$B$10000,DATA!$M$3:$M$10000),"Inactivo"))</f>
        <v/>
      </c>
      <c r="G4069" s="25" t="str">
        <f aca="false">IF(A4069="","",IF(AND(C4069&lt;&gt;"No encontrado",F4069&lt;&gt;"Inactivo"),C4069&amp;" → "&amp;F4069,"Sin transición"))</f>
        <v/>
      </c>
      <c r="H4069" s="23" t="str">
        <f aca="false">IF(A4069="","",IF(D4069="GCIA LINEA SERVICIO DIGITALIDAD Y VENTAS","Chats",IF(OR(D4069="GERENCIA INBOUND LÍNEAS SERVICIO Y VENTA",D4069="GERENCIA INBOUND LINEAS ESPECIALIZADAS"),"Llamadas","Otro")))</f>
        <v/>
      </c>
      <c r="I4069" s="23" t="str">
        <f aca="false">IF(A4069="","",IF(C4069="No encontrado","No","Sí"))</f>
        <v/>
      </c>
      <c r="J4069" s="23" t="str">
        <f aca="false">IF(A4069="","",IF(F4069="Inactivo","No","Sí"))</f>
        <v/>
      </c>
      <c r="K4069" s="23" t="str">
        <f aca="false">IF(A4069="","",IF(AND(I4069="Sí",J4069="Sí"),"Sí","No"))</f>
        <v/>
      </c>
    </row>
    <row r="4070" customFormat="false" ht="15" hidden="false" customHeight="false" outlineLevel="0" collapsed="false">
      <c r="A4070" s="22"/>
      <c r="B4070" s="22"/>
      <c r="C4070" s="26" t="str">
        <f aca="false">IF(A4070="","",IFERROR(buscarx(A4070&amp;B4070,DATA!$E$3:$E$10000&amp;DATA!$B$3:$B$10000,DATA!$M$3:$M$10000),"No encontrado"))</f>
        <v/>
      </c>
      <c r="D4070" s="27" t="str">
        <f aca="false">IF(A4070="","",IFERROR(buscarx(A4070&amp;B4070,DATA!$E$3:$E$10000&amp;DATA!$B$3:$B$10000,DATA!$W$3:$W$10000),"No encontrado"))</f>
        <v/>
      </c>
      <c r="E4070" s="22"/>
      <c r="F4070" s="26" t="str">
        <f aca="false">IF(A4070="","",IFERROR(buscarx(A4070&amp;E4070,DATA!$E$3:$E$10000&amp;DATA!$B$3:$B$10000,DATA!$M$3:$M$10000),"Inactivo"))</f>
        <v/>
      </c>
      <c r="G4070" s="28" t="str">
        <f aca="false">IF(A4070="","",IF(AND(C4070&lt;&gt;"No encontrado",F4070&lt;&gt;"Inactivo"),C4070&amp;" → "&amp;F4070,"Sin transición"))</f>
        <v/>
      </c>
      <c r="H4070" s="26" t="str">
        <f aca="false">IF(A4070="","",IF(D4070="GCIA LINEA SERVICIO DIGITALIDAD Y VENTAS","Chats",IF(OR(D4070="GERENCIA INBOUND LÍNEAS SERVICIO Y VENTA",D4070="GERENCIA INBOUND LINEAS ESPECIALIZADAS"),"Llamadas","Otro")))</f>
        <v/>
      </c>
      <c r="I4070" s="26" t="str">
        <f aca="false">IF(A4070="","",IF(C4070="No encontrado","No","Sí"))</f>
        <v/>
      </c>
      <c r="J4070" s="26" t="str">
        <f aca="false">IF(A4070="","",IF(F4070="Inactivo","No","Sí"))</f>
        <v/>
      </c>
      <c r="K4070" s="26" t="str">
        <f aca="false">IF(A4070="","",IF(AND(I4070="Sí",J4070="Sí"),"Sí","No"))</f>
        <v/>
      </c>
    </row>
    <row r="4071" customFormat="false" ht="15" hidden="false" customHeight="false" outlineLevel="0" collapsed="false">
      <c r="A4071" s="22"/>
      <c r="B4071" s="22"/>
      <c r="C4071" s="23" t="str">
        <f aca="false">IF(A4071="","",IFERROR(buscarx(A4071&amp;B4071,DATA!$E$3:$E$10000&amp;DATA!$B$3:$B$10000,DATA!$M$3:$M$10000),"No encontrado"))</f>
        <v/>
      </c>
      <c r="D4071" s="24" t="str">
        <f aca="false">IF(A4071="","",IFERROR(buscarx(A4071&amp;B4071,DATA!$E$3:$E$10000&amp;DATA!$B$3:$B$10000,DATA!$W$3:$W$10000),"No encontrado"))</f>
        <v/>
      </c>
      <c r="E4071" s="22"/>
      <c r="F4071" s="23" t="str">
        <f aca="false">IF(A4071="","",IFERROR(buscarx(A4071&amp;E4071,DATA!$E$3:$E$10000&amp;DATA!$B$3:$B$10000,DATA!$M$3:$M$10000),"Inactivo"))</f>
        <v/>
      </c>
      <c r="G4071" s="25" t="str">
        <f aca="false">IF(A4071="","",IF(AND(C4071&lt;&gt;"No encontrado",F4071&lt;&gt;"Inactivo"),C4071&amp;" → "&amp;F4071,"Sin transición"))</f>
        <v/>
      </c>
      <c r="H4071" s="23" t="str">
        <f aca="false">IF(A4071="","",IF(D4071="GCIA LINEA SERVICIO DIGITALIDAD Y VENTAS","Chats",IF(OR(D4071="GERENCIA INBOUND LÍNEAS SERVICIO Y VENTA",D4071="GERENCIA INBOUND LINEAS ESPECIALIZADAS"),"Llamadas","Otro")))</f>
        <v/>
      </c>
      <c r="I4071" s="23" t="str">
        <f aca="false">IF(A4071="","",IF(C4071="No encontrado","No","Sí"))</f>
        <v/>
      </c>
      <c r="J4071" s="23" t="str">
        <f aca="false">IF(A4071="","",IF(F4071="Inactivo","No","Sí"))</f>
        <v/>
      </c>
      <c r="K4071" s="23" t="str">
        <f aca="false">IF(A4071="","",IF(AND(I4071="Sí",J4071="Sí"),"Sí","No"))</f>
        <v/>
      </c>
    </row>
    <row r="4072" customFormat="false" ht="15" hidden="false" customHeight="false" outlineLevel="0" collapsed="false">
      <c r="A4072" s="22"/>
      <c r="B4072" s="22"/>
      <c r="C4072" s="26" t="str">
        <f aca="false">IF(A4072="","",IFERROR(buscarx(A4072&amp;B4072,DATA!$E$3:$E$10000&amp;DATA!$B$3:$B$10000,DATA!$M$3:$M$10000),"No encontrado"))</f>
        <v/>
      </c>
      <c r="D4072" s="27" t="str">
        <f aca="false">IF(A4072="","",IFERROR(buscarx(A4072&amp;B4072,DATA!$E$3:$E$10000&amp;DATA!$B$3:$B$10000,DATA!$W$3:$W$10000),"No encontrado"))</f>
        <v/>
      </c>
      <c r="E4072" s="22"/>
      <c r="F4072" s="26" t="str">
        <f aca="false">IF(A4072="","",IFERROR(buscarx(A4072&amp;E4072,DATA!$E$3:$E$10000&amp;DATA!$B$3:$B$10000,DATA!$M$3:$M$10000),"Inactivo"))</f>
        <v/>
      </c>
      <c r="G4072" s="28" t="str">
        <f aca="false">IF(A4072="","",IF(AND(C4072&lt;&gt;"No encontrado",F4072&lt;&gt;"Inactivo"),C4072&amp;" → "&amp;F4072,"Sin transición"))</f>
        <v/>
      </c>
      <c r="H4072" s="26" t="str">
        <f aca="false">IF(A4072="","",IF(D4072="GCIA LINEA SERVICIO DIGITALIDAD Y VENTAS","Chats",IF(OR(D4072="GERENCIA INBOUND LÍNEAS SERVICIO Y VENTA",D4072="GERENCIA INBOUND LINEAS ESPECIALIZADAS"),"Llamadas","Otro")))</f>
        <v/>
      </c>
      <c r="I4072" s="26" t="str">
        <f aca="false">IF(A4072="","",IF(C4072="No encontrado","No","Sí"))</f>
        <v/>
      </c>
      <c r="J4072" s="26" t="str">
        <f aca="false">IF(A4072="","",IF(F4072="Inactivo","No","Sí"))</f>
        <v/>
      </c>
      <c r="K4072" s="26" t="str">
        <f aca="false">IF(A4072="","",IF(AND(I4072="Sí",J4072="Sí"),"Sí","No"))</f>
        <v/>
      </c>
    </row>
    <row r="4073" customFormat="false" ht="15" hidden="false" customHeight="false" outlineLevel="0" collapsed="false">
      <c r="A4073" s="22"/>
      <c r="B4073" s="22"/>
      <c r="C4073" s="23" t="str">
        <f aca="false">IF(A4073="","",IFERROR(buscarx(A4073&amp;B4073,DATA!$E$3:$E$10000&amp;DATA!$B$3:$B$10000,DATA!$M$3:$M$10000),"No encontrado"))</f>
        <v/>
      </c>
      <c r="D4073" s="24" t="str">
        <f aca="false">IF(A4073="","",IFERROR(buscarx(A4073&amp;B4073,DATA!$E$3:$E$10000&amp;DATA!$B$3:$B$10000,DATA!$W$3:$W$10000),"No encontrado"))</f>
        <v/>
      </c>
      <c r="E4073" s="22"/>
      <c r="F4073" s="23" t="str">
        <f aca="false">IF(A4073="","",IFERROR(buscarx(A4073&amp;E4073,DATA!$E$3:$E$10000&amp;DATA!$B$3:$B$10000,DATA!$M$3:$M$10000),"Inactivo"))</f>
        <v/>
      </c>
      <c r="G4073" s="25" t="str">
        <f aca="false">IF(A4073="","",IF(AND(C4073&lt;&gt;"No encontrado",F4073&lt;&gt;"Inactivo"),C4073&amp;" → "&amp;F4073,"Sin transición"))</f>
        <v/>
      </c>
      <c r="H4073" s="23" t="str">
        <f aca="false">IF(A4073="","",IF(D4073="GCIA LINEA SERVICIO DIGITALIDAD Y VENTAS","Chats",IF(OR(D4073="GERENCIA INBOUND LÍNEAS SERVICIO Y VENTA",D4073="GERENCIA INBOUND LINEAS ESPECIALIZADAS"),"Llamadas","Otro")))</f>
        <v/>
      </c>
      <c r="I4073" s="23" t="str">
        <f aca="false">IF(A4073="","",IF(C4073="No encontrado","No","Sí"))</f>
        <v/>
      </c>
      <c r="J4073" s="23" t="str">
        <f aca="false">IF(A4073="","",IF(F4073="Inactivo","No","Sí"))</f>
        <v/>
      </c>
      <c r="K4073" s="23" t="str">
        <f aca="false">IF(A4073="","",IF(AND(I4073="Sí",J4073="Sí"),"Sí","No"))</f>
        <v/>
      </c>
    </row>
    <row r="4074" customFormat="false" ht="15" hidden="false" customHeight="false" outlineLevel="0" collapsed="false">
      <c r="A4074" s="22"/>
      <c r="B4074" s="22"/>
      <c r="C4074" s="26" t="str">
        <f aca="false">IF(A4074="","",IFERROR(buscarx(A4074&amp;B4074,DATA!$E$3:$E$10000&amp;DATA!$B$3:$B$10000,DATA!$M$3:$M$10000),"No encontrado"))</f>
        <v/>
      </c>
      <c r="D4074" s="27" t="str">
        <f aca="false">IF(A4074="","",IFERROR(buscarx(A4074&amp;B4074,DATA!$E$3:$E$10000&amp;DATA!$B$3:$B$10000,DATA!$W$3:$W$10000),"No encontrado"))</f>
        <v/>
      </c>
      <c r="E4074" s="22"/>
      <c r="F4074" s="26" t="str">
        <f aca="false">IF(A4074="","",IFERROR(buscarx(A4074&amp;E4074,DATA!$E$3:$E$10000&amp;DATA!$B$3:$B$10000,DATA!$M$3:$M$10000),"Inactivo"))</f>
        <v/>
      </c>
      <c r="G4074" s="28" t="str">
        <f aca="false">IF(A4074="","",IF(AND(C4074&lt;&gt;"No encontrado",F4074&lt;&gt;"Inactivo"),C4074&amp;" → "&amp;F4074,"Sin transición"))</f>
        <v/>
      </c>
      <c r="H4074" s="26" t="str">
        <f aca="false">IF(A4074="","",IF(D4074="GCIA LINEA SERVICIO DIGITALIDAD Y VENTAS","Chats",IF(OR(D4074="GERENCIA INBOUND LÍNEAS SERVICIO Y VENTA",D4074="GERENCIA INBOUND LINEAS ESPECIALIZADAS"),"Llamadas","Otro")))</f>
        <v/>
      </c>
      <c r="I4074" s="26" t="str">
        <f aca="false">IF(A4074="","",IF(C4074="No encontrado","No","Sí"))</f>
        <v/>
      </c>
      <c r="J4074" s="26" t="str">
        <f aca="false">IF(A4074="","",IF(F4074="Inactivo","No","Sí"))</f>
        <v/>
      </c>
      <c r="K4074" s="26" t="str">
        <f aca="false">IF(A4074="","",IF(AND(I4074="Sí",J4074="Sí"),"Sí","No"))</f>
        <v/>
      </c>
    </row>
    <row r="4075" customFormat="false" ht="15" hidden="false" customHeight="false" outlineLevel="0" collapsed="false">
      <c r="A4075" s="22"/>
      <c r="B4075" s="22"/>
      <c r="C4075" s="23" t="str">
        <f aca="false">IF(A4075="","",IFERROR(buscarx(A4075&amp;B4075,DATA!$E$3:$E$10000&amp;DATA!$B$3:$B$10000,DATA!$M$3:$M$10000),"No encontrado"))</f>
        <v/>
      </c>
      <c r="D4075" s="24" t="str">
        <f aca="false">IF(A4075="","",IFERROR(buscarx(A4075&amp;B4075,DATA!$E$3:$E$10000&amp;DATA!$B$3:$B$10000,DATA!$W$3:$W$10000),"No encontrado"))</f>
        <v/>
      </c>
      <c r="E4075" s="22"/>
      <c r="F4075" s="23" t="str">
        <f aca="false">IF(A4075="","",IFERROR(buscarx(A4075&amp;E4075,DATA!$E$3:$E$10000&amp;DATA!$B$3:$B$10000,DATA!$M$3:$M$10000),"Inactivo"))</f>
        <v/>
      </c>
      <c r="G4075" s="25" t="str">
        <f aca="false">IF(A4075="","",IF(AND(C4075&lt;&gt;"No encontrado",F4075&lt;&gt;"Inactivo"),C4075&amp;" → "&amp;F4075,"Sin transición"))</f>
        <v/>
      </c>
      <c r="H4075" s="23" t="str">
        <f aca="false">IF(A4075="","",IF(D4075="GCIA LINEA SERVICIO DIGITALIDAD Y VENTAS","Chats",IF(OR(D4075="GERENCIA INBOUND LÍNEAS SERVICIO Y VENTA",D4075="GERENCIA INBOUND LINEAS ESPECIALIZADAS"),"Llamadas","Otro")))</f>
        <v/>
      </c>
      <c r="I4075" s="23" t="str">
        <f aca="false">IF(A4075="","",IF(C4075="No encontrado","No","Sí"))</f>
        <v/>
      </c>
      <c r="J4075" s="23" t="str">
        <f aca="false">IF(A4075="","",IF(F4075="Inactivo","No","Sí"))</f>
        <v/>
      </c>
      <c r="K4075" s="23" t="str">
        <f aca="false">IF(A4075="","",IF(AND(I4075="Sí",J4075="Sí"),"Sí","No"))</f>
        <v/>
      </c>
    </row>
    <row r="4076" customFormat="false" ht="15" hidden="false" customHeight="false" outlineLevel="0" collapsed="false">
      <c r="A4076" s="22"/>
      <c r="B4076" s="22"/>
      <c r="C4076" s="26" t="str">
        <f aca="false">IF(A4076="","",IFERROR(buscarx(A4076&amp;B4076,DATA!$E$3:$E$10000&amp;DATA!$B$3:$B$10000,DATA!$M$3:$M$10000),"No encontrado"))</f>
        <v/>
      </c>
      <c r="D4076" s="27" t="str">
        <f aca="false">IF(A4076="","",IFERROR(buscarx(A4076&amp;B4076,DATA!$E$3:$E$10000&amp;DATA!$B$3:$B$10000,DATA!$W$3:$W$10000),"No encontrado"))</f>
        <v/>
      </c>
      <c r="E4076" s="22"/>
      <c r="F4076" s="26" t="str">
        <f aca="false">IF(A4076="","",IFERROR(buscarx(A4076&amp;E4076,DATA!$E$3:$E$10000&amp;DATA!$B$3:$B$10000,DATA!$M$3:$M$10000),"Inactivo"))</f>
        <v/>
      </c>
      <c r="G4076" s="28" t="str">
        <f aca="false">IF(A4076="","",IF(AND(C4076&lt;&gt;"No encontrado",F4076&lt;&gt;"Inactivo"),C4076&amp;" → "&amp;F4076,"Sin transición"))</f>
        <v/>
      </c>
      <c r="H4076" s="26" t="str">
        <f aca="false">IF(A4076="","",IF(D4076="GCIA LINEA SERVICIO DIGITALIDAD Y VENTAS","Chats",IF(OR(D4076="GERENCIA INBOUND LÍNEAS SERVICIO Y VENTA",D4076="GERENCIA INBOUND LINEAS ESPECIALIZADAS"),"Llamadas","Otro")))</f>
        <v/>
      </c>
      <c r="I4076" s="26" t="str">
        <f aca="false">IF(A4076="","",IF(C4076="No encontrado","No","Sí"))</f>
        <v/>
      </c>
      <c r="J4076" s="26" t="str">
        <f aca="false">IF(A4076="","",IF(F4076="Inactivo","No","Sí"))</f>
        <v/>
      </c>
      <c r="K4076" s="26" t="str">
        <f aca="false">IF(A4076="","",IF(AND(I4076="Sí",J4076="Sí"),"Sí","No"))</f>
        <v/>
      </c>
    </row>
    <row r="4077" customFormat="false" ht="15" hidden="false" customHeight="false" outlineLevel="0" collapsed="false">
      <c r="A4077" s="22"/>
      <c r="B4077" s="22"/>
      <c r="C4077" s="23" t="str">
        <f aca="false">IF(A4077="","",IFERROR(buscarx(A4077&amp;B4077,DATA!$E$3:$E$10000&amp;DATA!$B$3:$B$10000,DATA!$M$3:$M$10000),"No encontrado"))</f>
        <v/>
      </c>
      <c r="D4077" s="24" t="str">
        <f aca="false">IF(A4077="","",IFERROR(buscarx(A4077&amp;B4077,DATA!$E$3:$E$10000&amp;DATA!$B$3:$B$10000,DATA!$W$3:$W$10000),"No encontrado"))</f>
        <v/>
      </c>
      <c r="E4077" s="22"/>
      <c r="F4077" s="23" t="str">
        <f aca="false">IF(A4077="","",IFERROR(buscarx(A4077&amp;E4077,DATA!$E$3:$E$10000&amp;DATA!$B$3:$B$10000,DATA!$M$3:$M$10000),"Inactivo"))</f>
        <v/>
      </c>
      <c r="G4077" s="25" t="str">
        <f aca="false">IF(A4077="","",IF(AND(C4077&lt;&gt;"No encontrado",F4077&lt;&gt;"Inactivo"),C4077&amp;" → "&amp;F4077,"Sin transición"))</f>
        <v/>
      </c>
      <c r="H4077" s="23" t="str">
        <f aca="false">IF(A4077="","",IF(D4077="GCIA LINEA SERVICIO DIGITALIDAD Y VENTAS","Chats",IF(OR(D4077="GERENCIA INBOUND LÍNEAS SERVICIO Y VENTA",D4077="GERENCIA INBOUND LINEAS ESPECIALIZADAS"),"Llamadas","Otro")))</f>
        <v/>
      </c>
      <c r="I4077" s="23" t="str">
        <f aca="false">IF(A4077="","",IF(C4077="No encontrado","No","Sí"))</f>
        <v/>
      </c>
      <c r="J4077" s="23" t="str">
        <f aca="false">IF(A4077="","",IF(F4077="Inactivo","No","Sí"))</f>
        <v/>
      </c>
      <c r="K4077" s="23" t="str">
        <f aca="false">IF(A4077="","",IF(AND(I4077="Sí",J4077="Sí"),"Sí","No"))</f>
        <v/>
      </c>
    </row>
    <row r="4078" customFormat="false" ht="15" hidden="false" customHeight="false" outlineLevel="0" collapsed="false">
      <c r="A4078" s="22"/>
      <c r="B4078" s="22"/>
      <c r="C4078" s="26" t="str">
        <f aca="false">IF(A4078="","",IFERROR(buscarx(A4078&amp;B4078,DATA!$E$3:$E$10000&amp;DATA!$B$3:$B$10000,DATA!$M$3:$M$10000),"No encontrado"))</f>
        <v/>
      </c>
      <c r="D4078" s="27" t="str">
        <f aca="false">IF(A4078="","",IFERROR(buscarx(A4078&amp;B4078,DATA!$E$3:$E$10000&amp;DATA!$B$3:$B$10000,DATA!$W$3:$W$10000),"No encontrado"))</f>
        <v/>
      </c>
      <c r="E4078" s="22"/>
      <c r="F4078" s="26" t="str">
        <f aca="false">IF(A4078="","",IFERROR(buscarx(A4078&amp;E4078,DATA!$E$3:$E$10000&amp;DATA!$B$3:$B$10000,DATA!$M$3:$M$10000),"Inactivo"))</f>
        <v/>
      </c>
      <c r="G4078" s="28" t="str">
        <f aca="false">IF(A4078="","",IF(AND(C4078&lt;&gt;"No encontrado",F4078&lt;&gt;"Inactivo"),C4078&amp;" → "&amp;F4078,"Sin transición"))</f>
        <v/>
      </c>
      <c r="H4078" s="26" t="str">
        <f aca="false">IF(A4078="","",IF(D4078="GCIA LINEA SERVICIO DIGITALIDAD Y VENTAS","Chats",IF(OR(D4078="GERENCIA INBOUND LÍNEAS SERVICIO Y VENTA",D4078="GERENCIA INBOUND LINEAS ESPECIALIZADAS"),"Llamadas","Otro")))</f>
        <v/>
      </c>
      <c r="I4078" s="26" t="str">
        <f aca="false">IF(A4078="","",IF(C4078="No encontrado","No","Sí"))</f>
        <v/>
      </c>
      <c r="J4078" s="26" t="str">
        <f aca="false">IF(A4078="","",IF(F4078="Inactivo","No","Sí"))</f>
        <v/>
      </c>
      <c r="K4078" s="26" t="str">
        <f aca="false">IF(A4078="","",IF(AND(I4078="Sí",J4078="Sí"),"Sí","No"))</f>
        <v/>
      </c>
    </row>
    <row r="4079" customFormat="false" ht="15" hidden="false" customHeight="false" outlineLevel="0" collapsed="false">
      <c r="A4079" s="22"/>
      <c r="B4079" s="22"/>
      <c r="C4079" s="23" t="str">
        <f aca="false">IF(A4079="","",IFERROR(buscarx(A4079&amp;B4079,DATA!$E$3:$E$10000&amp;DATA!$B$3:$B$10000,DATA!$M$3:$M$10000),"No encontrado"))</f>
        <v/>
      </c>
      <c r="D4079" s="24" t="str">
        <f aca="false">IF(A4079="","",IFERROR(buscarx(A4079&amp;B4079,DATA!$E$3:$E$10000&amp;DATA!$B$3:$B$10000,DATA!$W$3:$W$10000),"No encontrado"))</f>
        <v/>
      </c>
      <c r="E4079" s="22"/>
      <c r="F4079" s="23" t="str">
        <f aca="false">IF(A4079="","",IFERROR(buscarx(A4079&amp;E4079,DATA!$E$3:$E$10000&amp;DATA!$B$3:$B$10000,DATA!$M$3:$M$10000),"Inactivo"))</f>
        <v/>
      </c>
      <c r="G4079" s="25" t="str">
        <f aca="false">IF(A4079="","",IF(AND(C4079&lt;&gt;"No encontrado",F4079&lt;&gt;"Inactivo"),C4079&amp;" → "&amp;F4079,"Sin transición"))</f>
        <v/>
      </c>
      <c r="H4079" s="23" t="str">
        <f aca="false">IF(A4079="","",IF(D4079="GCIA LINEA SERVICIO DIGITALIDAD Y VENTAS","Chats",IF(OR(D4079="GERENCIA INBOUND LÍNEAS SERVICIO Y VENTA",D4079="GERENCIA INBOUND LINEAS ESPECIALIZADAS"),"Llamadas","Otro")))</f>
        <v/>
      </c>
      <c r="I4079" s="23" t="str">
        <f aca="false">IF(A4079="","",IF(C4079="No encontrado","No","Sí"))</f>
        <v/>
      </c>
      <c r="J4079" s="23" t="str">
        <f aca="false">IF(A4079="","",IF(F4079="Inactivo","No","Sí"))</f>
        <v/>
      </c>
      <c r="K4079" s="23" t="str">
        <f aca="false">IF(A4079="","",IF(AND(I4079="Sí",J4079="Sí"),"Sí","No"))</f>
        <v/>
      </c>
    </row>
    <row r="4080" customFormat="false" ht="15" hidden="false" customHeight="false" outlineLevel="0" collapsed="false">
      <c r="A4080" s="22"/>
      <c r="B4080" s="22"/>
      <c r="C4080" s="26" t="str">
        <f aca="false">IF(A4080="","",IFERROR(buscarx(A4080&amp;B4080,DATA!$E$3:$E$10000&amp;DATA!$B$3:$B$10000,DATA!$M$3:$M$10000),"No encontrado"))</f>
        <v/>
      </c>
      <c r="D4080" s="27" t="str">
        <f aca="false">IF(A4080="","",IFERROR(buscarx(A4080&amp;B4080,DATA!$E$3:$E$10000&amp;DATA!$B$3:$B$10000,DATA!$W$3:$W$10000),"No encontrado"))</f>
        <v/>
      </c>
      <c r="E4080" s="22"/>
      <c r="F4080" s="26" t="str">
        <f aca="false">IF(A4080="","",IFERROR(buscarx(A4080&amp;E4080,DATA!$E$3:$E$10000&amp;DATA!$B$3:$B$10000,DATA!$M$3:$M$10000),"Inactivo"))</f>
        <v/>
      </c>
      <c r="G4080" s="28" t="str">
        <f aca="false">IF(A4080="","",IF(AND(C4080&lt;&gt;"No encontrado",F4080&lt;&gt;"Inactivo"),C4080&amp;" → "&amp;F4080,"Sin transición"))</f>
        <v/>
      </c>
      <c r="H4080" s="26" t="str">
        <f aca="false">IF(A4080="","",IF(D4080="GCIA LINEA SERVICIO DIGITALIDAD Y VENTAS","Chats",IF(OR(D4080="GERENCIA INBOUND LÍNEAS SERVICIO Y VENTA",D4080="GERENCIA INBOUND LINEAS ESPECIALIZADAS"),"Llamadas","Otro")))</f>
        <v/>
      </c>
      <c r="I4080" s="26" t="str">
        <f aca="false">IF(A4080="","",IF(C4080="No encontrado","No","Sí"))</f>
        <v/>
      </c>
      <c r="J4080" s="26" t="str">
        <f aca="false">IF(A4080="","",IF(F4080="Inactivo","No","Sí"))</f>
        <v/>
      </c>
      <c r="K4080" s="26" t="str">
        <f aca="false">IF(A4080="","",IF(AND(I4080="Sí",J4080="Sí"),"Sí","No"))</f>
        <v/>
      </c>
    </row>
    <row r="4081" customFormat="false" ht="15" hidden="false" customHeight="false" outlineLevel="0" collapsed="false">
      <c r="A4081" s="22"/>
      <c r="B4081" s="22"/>
      <c r="C4081" s="23" t="str">
        <f aca="false">IF(A4081="","",IFERROR(buscarx(A4081&amp;B4081,DATA!$E$3:$E$10000&amp;DATA!$B$3:$B$10000,DATA!$M$3:$M$10000),"No encontrado"))</f>
        <v/>
      </c>
      <c r="D4081" s="24" t="str">
        <f aca="false">IF(A4081="","",IFERROR(buscarx(A4081&amp;B4081,DATA!$E$3:$E$10000&amp;DATA!$B$3:$B$10000,DATA!$W$3:$W$10000),"No encontrado"))</f>
        <v/>
      </c>
      <c r="E4081" s="22"/>
      <c r="F4081" s="23" t="str">
        <f aca="false">IF(A4081="","",IFERROR(buscarx(A4081&amp;E4081,DATA!$E$3:$E$10000&amp;DATA!$B$3:$B$10000,DATA!$M$3:$M$10000),"Inactivo"))</f>
        <v/>
      </c>
      <c r="G4081" s="25" t="str">
        <f aca="false">IF(A4081="","",IF(AND(C4081&lt;&gt;"No encontrado",F4081&lt;&gt;"Inactivo"),C4081&amp;" → "&amp;F4081,"Sin transición"))</f>
        <v/>
      </c>
      <c r="H4081" s="23" t="str">
        <f aca="false">IF(A4081="","",IF(D4081="GCIA LINEA SERVICIO DIGITALIDAD Y VENTAS","Chats",IF(OR(D4081="GERENCIA INBOUND LÍNEAS SERVICIO Y VENTA",D4081="GERENCIA INBOUND LINEAS ESPECIALIZADAS"),"Llamadas","Otro")))</f>
        <v/>
      </c>
      <c r="I4081" s="23" t="str">
        <f aca="false">IF(A4081="","",IF(C4081="No encontrado","No","Sí"))</f>
        <v/>
      </c>
      <c r="J4081" s="23" t="str">
        <f aca="false">IF(A4081="","",IF(F4081="Inactivo","No","Sí"))</f>
        <v/>
      </c>
      <c r="K4081" s="23" t="str">
        <f aca="false">IF(A4081="","",IF(AND(I4081="Sí",J4081="Sí"),"Sí","No"))</f>
        <v/>
      </c>
    </row>
    <row r="4082" customFormat="false" ht="15" hidden="false" customHeight="false" outlineLevel="0" collapsed="false">
      <c r="A4082" s="22"/>
      <c r="B4082" s="22"/>
      <c r="C4082" s="26" t="str">
        <f aca="false">IF(A4082="","",IFERROR(buscarx(A4082&amp;B4082,DATA!$E$3:$E$10000&amp;DATA!$B$3:$B$10000,DATA!$M$3:$M$10000),"No encontrado"))</f>
        <v/>
      </c>
      <c r="D4082" s="27" t="str">
        <f aca="false">IF(A4082="","",IFERROR(buscarx(A4082&amp;B4082,DATA!$E$3:$E$10000&amp;DATA!$B$3:$B$10000,DATA!$W$3:$W$10000),"No encontrado"))</f>
        <v/>
      </c>
      <c r="E4082" s="22"/>
      <c r="F4082" s="26" t="str">
        <f aca="false">IF(A4082="","",IFERROR(buscarx(A4082&amp;E4082,DATA!$E$3:$E$10000&amp;DATA!$B$3:$B$10000,DATA!$M$3:$M$10000),"Inactivo"))</f>
        <v/>
      </c>
      <c r="G4082" s="28" t="str">
        <f aca="false">IF(A4082="","",IF(AND(C4082&lt;&gt;"No encontrado",F4082&lt;&gt;"Inactivo"),C4082&amp;" → "&amp;F4082,"Sin transición"))</f>
        <v/>
      </c>
      <c r="H4082" s="26" t="str">
        <f aca="false">IF(A4082="","",IF(D4082="GCIA LINEA SERVICIO DIGITALIDAD Y VENTAS","Chats",IF(OR(D4082="GERENCIA INBOUND LÍNEAS SERVICIO Y VENTA",D4082="GERENCIA INBOUND LINEAS ESPECIALIZADAS"),"Llamadas","Otro")))</f>
        <v/>
      </c>
      <c r="I4082" s="26" t="str">
        <f aca="false">IF(A4082="","",IF(C4082="No encontrado","No","Sí"))</f>
        <v/>
      </c>
      <c r="J4082" s="26" t="str">
        <f aca="false">IF(A4082="","",IF(F4082="Inactivo","No","Sí"))</f>
        <v/>
      </c>
      <c r="K4082" s="26" t="str">
        <f aca="false">IF(A4082="","",IF(AND(I4082="Sí",J4082="Sí"),"Sí","No"))</f>
        <v/>
      </c>
    </row>
    <row r="4083" customFormat="false" ht="15" hidden="false" customHeight="false" outlineLevel="0" collapsed="false">
      <c r="A4083" s="22"/>
      <c r="B4083" s="22"/>
      <c r="C4083" s="23" t="str">
        <f aca="false">IF(A4083="","",IFERROR(buscarx(A4083&amp;B4083,DATA!$E$3:$E$10000&amp;DATA!$B$3:$B$10000,DATA!$M$3:$M$10000),"No encontrado"))</f>
        <v/>
      </c>
      <c r="D4083" s="24" t="str">
        <f aca="false">IF(A4083="","",IFERROR(buscarx(A4083&amp;B4083,DATA!$E$3:$E$10000&amp;DATA!$B$3:$B$10000,DATA!$W$3:$W$10000),"No encontrado"))</f>
        <v/>
      </c>
      <c r="E4083" s="22"/>
      <c r="F4083" s="23" t="str">
        <f aca="false">IF(A4083="","",IFERROR(buscarx(A4083&amp;E4083,DATA!$E$3:$E$10000&amp;DATA!$B$3:$B$10000,DATA!$M$3:$M$10000),"Inactivo"))</f>
        <v/>
      </c>
      <c r="G4083" s="25" t="str">
        <f aca="false">IF(A4083="","",IF(AND(C4083&lt;&gt;"No encontrado",F4083&lt;&gt;"Inactivo"),C4083&amp;" → "&amp;F4083,"Sin transición"))</f>
        <v/>
      </c>
      <c r="H4083" s="23" t="str">
        <f aca="false">IF(A4083="","",IF(D4083="GCIA LINEA SERVICIO DIGITALIDAD Y VENTAS","Chats",IF(OR(D4083="GERENCIA INBOUND LÍNEAS SERVICIO Y VENTA",D4083="GERENCIA INBOUND LINEAS ESPECIALIZADAS"),"Llamadas","Otro")))</f>
        <v/>
      </c>
      <c r="I4083" s="23" t="str">
        <f aca="false">IF(A4083="","",IF(C4083="No encontrado","No","Sí"))</f>
        <v/>
      </c>
      <c r="J4083" s="23" t="str">
        <f aca="false">IF(A4083="","",IF(F4083="Inactivo","No","Sí"))</f>
        <v/>
      </c>
      <c r="K4083" s="23" t="str">
        <f aca="false">IF(A4083="","",IF(AND(I4083="Sí",J4083="Sí"),"Sí","No"))</f>
        <v/>
      </c>
    </row>
    <row r="4084" customFormat="false" ht="15" hidden="false" customHeight="false" outlineLevel="0" collapsed="false">
      <c r="A4084" s="22"/>
      <c r="B4084" s="22"/>
      <c r="C4084" s="26" t="str">
        <f aca="false">IF(A4084="","",IFERROR(buscarx(A4084&amp;B4084,DATA!$E$3:$E$10000&amp;DATA!$B$3:$B$10000,DATA!$M$3:$M$10000),"No encontrado"))</f>
        <v/>
      </c>
      <c r="D4084" s="27" t="str">
        <f aca="false">IF(A4084="","",IFERROR(buscarx(A4084&amp;B4084,DATA!$E$3:$E$10000&amp;DATA!$B$3:$B$10000,DATA!$W$3:$W$10000),"No encontrado"))</f>
        <v/>
      </c>
      <c r="E4084" s="22"/>
      <c r="F4084" s="26" t="str">
        <f aca="false">IF(A4084="","",IFERROR(buscarx(A4084&amp;E4084,DATA!$E$3:$E$10000&amp;DATA!$B$3:$B$10000,DATA!$M$3:$M$10000),"Inactivo"))</f>
        <v/>
      </c>
      <c r="G4084" s="28" t="str">
        <f aca="false">IF(A4084="","",IF(AND(C4084&lt;&gt;"No encontrado",F4084&lt;&gt;"Inactivo"),C4084&amp;" → "&amp;F4084,"Sin transición"))</f>
        <v/>
      </c>
      <c r="H4084" s="26" t="str">
        <f aca="false">IF(A4084="","",IF(D4084="GCIA LINEA SERVICIO DIGITALIDAD Y VENTAS","Chats",IF(OR(D4084="GERENCIA INBOUND LÍNEAS SERVICIO Y VENTA",D4084="GERENCIA INBOUND LINEAS ESPECIALIZADAS"),"Llamadas","Otro")))</f>
        <v/>
      </c>
      <c r="I4084" s="26" t="str">
        <f aca="false">IF(A4084="","",IF(C4084="No encontrado","No","Sí"))</f>
        <v/>
      </c>
      <c r="J4084" s="26" t="str">
        <f aca="false">IF(A4084="","",IF(F4084="Inactivo","No","Sí"))</f>
        <v/>
      </c>
      <c r="K4084" s="26" t="str">
        <f aca="false">IF(A4084="","",IF(AND(I4084="Sí",J4084="Sí"),"Sí","No"))</f>
        <v/>
      </c>
    </row>
    <row r="4085" customFormat="false" ht="15" hidden="false" customHeight="false" outlineLevel="0" collapsed="false">
      <c r="A4085" s="22"/>
      <c r="B4085" s="22"/>
      <c r="C4085" s="23" t="str">
        <f aca="false">IF(A4085="","",IFERROR(buscarx(A4085&amp;B4085,DATA!$E$3:$E$10000&amp;DATA!$B$3:$B$10000,DATA!$M$3:$M$10000),"No encontrado"))</f>
        <v/>
      </c>
      <c r="D4085" s="24" t="str">
        <f aca="false">IF(A4085="","",IFERROR(buscarx(A4085&amp;B4085,DATA!$E$3:$E$10000&amp;DATA!$B$3:$B$10000,DATA!$W$3:$W$10000),"No encontrado"))</f>
        <v/>
      </c>
      <c r="E4085" s="22"/>
      <c r="F4085" s="23" t="str">
        <f aca="false">IF(A4085="","",IFERROR(buscarx(A4085&amp;E4085,DATA!$E$3:$E$10000&amp;DATA!$B$3:$B$10000,DATA!$M$3:$M$10000),"Inactivo"))</f>
        <v/>
      </c>
      <c r="G4085" s="25" t="str">
        <f aca="false">IF(A4085="","",IF(AND(C4085&lt;&gt;"No encontrado",F4085&lt;&gt;"Inactivo"),C4085&amp;" → "&amp;F4085,"Sin transición"))</f>
        <v/>
      </c>
      <c r="H4085" s="23" t="str">
        <f aca="false">IF(A4085="","",IF(D4085="GCIA LINEA SERVICIO DIGITALIDAD Y VENTAS","Chats",IF(OR(D4085="GERENCIA INBOUND LÍNEAS SERVICIO Y VENTA",D4085="GERENCIA INBOUND LINEAS ESPECIALIZADAS"),"Llamadas","Otro")))</f>
        <v/>
      </c>
      <c r="I4085" s="23" t="str">
        <f aca="false">IF(A4085="","",IF(C4085="No encontrado","No","Sí"))</f>
        <v/>
      </c>
      <c r="J4085" s="23" t="str">
        <f aca="false">IF(A4085="","",IF(F4085="Inactivo","No","Sí"))</f>
        <v/>
      </c>
      <c r="K4085" s="23" t="str">
        <f aca="false">IF(A4085="","",IF(AND(I4085="Sí",J4085="Sí"),"Sí","No"))</f>
        <v/>
      </c>
    </row>
    <row r="4086" customFormat="false" ht="15" hidden="false" customHeight="false" outlineLevel="0" collapsed="false">
      <c r="A4086" s="22"/>
      <c r="B4086" s="22"/>
      <c r="C4086" s="26" t="str">
        <f aca="false">IF(A4086="","",IFERROR(buscarx(A4086&amp;B4086,DATA!$E$3:$E$10000&amp;DATA!$B$3:$B$10000,DATA!$M$3:$M$10000),"No encontrado"))</f>
        <v/>
      </c>
      <c r="D4086" s="27" t="str">
        <f aca="false">IF(A4086="","",IFERROR(buscarx(A4086&amp;B4086,DATA!$E$3:$E$10000&amp;DATA!$B$3:$B$10000,DATA!$W$3:$W$10000),"No encontrado"))</f>
        <v/>
      </c>
      <c r="E4086" s="22"/>
      <c r="F4086" s="26" t="str">
        <f aca="false">IF(A4086="","",IFERROR(buscarx(A4086&amp;E4086,DATA!$E$3:$E$10000&amp;DATA!$B$3:$B$10000,DATA!$M$3:$M$10000),"Inactivo"))</f>
        <v/>
      </c>
      <c r="G4086" s="28" t="str">
        <f aca="false">IF(A4086="","",IF(AND(C4086&lt;&gt;"No encontrado",F4086&lt;&gt;"Inactivo"),C4086&amp;" → "&amp;F4086,"Sin transición"))</f>
        <v/>
      </c>
      <c r="H4086" s="26" t="str">
        <f aca="false">IF(A4086="","",IF(D4086="GCIA LINEA SERVICIO DIGITALIDAD Y VENTAS","Chats",IF(OR(D4086="GERENCIA INBOUND LÍNEAS SERVICIO Y VENTA",D4086="GERENCIA INBOUND LINEAS ESPECIALIZADAS"),"Llamadas","Otro")))</f>
        <v/>
      </c>
      <c r="I4086" s="26" t="str">
        <f aca="false">IF(A4086="","",IF(C4086="No encontrado","No","Sí"))</f>
        <v/>
      </c>
      <c r="J4086" s="26" t="str">
        <f aca="false">IF(A4086="","",IF(F4086="Inactivo","No","Sí"))</f>
        <v/>
      </c>
      <c r="K4086" s="26" t="str">
        <f aca="false">IF(A4086="","",IF(AND(I4086="Sí",J4086="Sí"),"Sí","No"))</f>
        <v/>
      </c>
    </row>
    <row r="4087" customFormat="false" ht="15" hidden="false" customHeight="false" outlineLevel="0" collapsed="false">
      <c r="A4087" s="22"/>
      <c r="B4087" s="22"/>
      <c r="C4087" s="23" t="str">
        <f aca="false">IF(A4087="","",IFERROR(buscarx(A4087&amp;B4087,DATA!$E$3:$E$10000&amp;DATA!$B$3:$B$10000,DATA!$M$3:$M$10000),"No encontrado"))</f>
        <v/>
      </c>
      <c r="D4087" s="24" t="str">
        <f aca="false">IF(A4087="","",IFERROR(buscarx(A4087&amp;B4087,DATA!$E$3:$E$10000&amp;DATA!$B$3:$B$10000,DATA!$W$3:$W$10000),"No encontrado"))</f>
        <v/>
      </c>
      <c r="E4087" s="22"/>
      <c r="F4087" s="23" t="str">
        <f aca="false">IF(A4087="","",IFERROR(buscarx(A4087&amp;E4087,DATA!$E$3:$E$10000&amp;DATA!$B$3:$B$10000,DATA!$M$3:$M$10000),"Inactivo"))</f>
        <v/>
      </c>
      <c r="G4087" s="25" t="str">
        <f aca="false">IF(A4087="","",IF(AND(C4087&lt;&gt;"No encontrado",F4087&lt;&gt;"Inactivo"),C4087&amp;" → "&amp;F4087,"Sin transición"))</f>
        <v/>
      </c>
      <c r="H4087" s="23" t="str">
        <f aca="false">IF(A4087="","",IF(D4087="GCIA LINEA SERVICIO DIGITALIDAD Y VENTAS","Chats",IF(OR(D4087="GERENCIA INBOUND LÍNEAS SERVICIO Y VENTA",D4087="GERENCIA INBOUND LINEAS ESPECIALIZADAS"),"Llamadas","Otro")))</f>
        <v/>
      </c>
      <c r="I4087" s="23" t="str">
        <f aca="false">IF(A4087="","",IF(C4087="No encontrado","No","Sí"))</f>
        <v/>
      </c>
      <c r="J4087" s="23" t="str">
        <f aca="false">IF(A4087="","",IF(F4087="Inactivo","No","Sí"))</f>
        <v/>
      </c>
      <c r="K4087" s="23" t="str">
        <f aca="false">IF(A4087="","",IF(AND(I4087="Sí",J4087="Sí"),"Sí","No"))</f>
        <v/>
      </c>
    </row>
    <row r="4088" customFormat="false" ht="15" hidden="false" customHeight="false" outlineLevel="0" collapsed="false">
      <c r="A4088" s="22"/>
      <c r="B4088" s="22"/>
      <c r="C4088" s="26" t="str">
        <f aca="false">IF(A4088="","",IFERROR(buscarx(A4088&amp;B4088,DATA!$E$3:$E$10000&amp;DATA!$B$3:$B$10000,DATA!$M$3:$M$10000),"No encontrado"))</f>
        <v/>
      </c>
      <c r="D4088" s="27" t="str">
        <f aca="false">IF(A4088="","",IFERROR(buscarx(A4088&amp;B4088,DATA!$E$3:$E$10000&amp;DATA!$B$3:$B$10000,DATA!$W$3:$W$10000),"No encontrado"))</f>
        <v/>
      </c>
      <c r="E4088" s="22"/>
      <c r="F4088" s="26" t="str">
        <f aca="false">IF(A4088="","",IFERROR(buscarx(A4088&amp;E4088,DATA!$E$3:$E$10000&amp;DATA!$B$3:$B$10000,DATA!$M$3:$M$10000),"Inactivo"))</f>
        <v/>
      </c>
      <c r="G4088" s="28" t="str">
        <f aca="false">IF(A4088="","",IF(AND(C4088&lt;&gt;"No encontrado",F4088&lt;&gt;"Inactivo"),C4088&amp;" → "&amp;F4088,"Sin transición"))</f>
        <v/>
      </c>
      <c r="H4088" s="26" t="str">
        <f aca="false">IF(A4088="","",IF(D4088="GCIA LINEA SERVICIO DIGITALIDAD Y VENTAS","Chats",IF(OR(D4088="GERENCIA INBOUND LÍNEAS SERVICIO Y VENTA",D4088="GERENCIA INBOUND LINEAS ESPECIALIZADAS"),"Llamadas","Otro")))</f>
        <v/>
      </c>
      <c r="I4088" s="26" t="str">
        <f aca="false">IF(A4088="","",IF(C4088="No encontrado","No","Sí"))</f>
        <v/>
      </c>
      <c r="J4088" s="26" t="str">
        <f aca="false">IF(A4088="","",IF(F4088="Inactivo","No","Sí"))</f>
        <v/>
      </c>
      <c r="K4088" s="26" t="str">
        <f aca="false">IF(A4088="","",IF(AND(I4088="Sí",J4088="Sí"),"Sí","No"))</f>
        <v/>
      </c>
    </row>
    <row r="4089" customFormat="false" ht="15" hidden="false" customHeight="false" outlineLevel="0" collapsed="false">
      <c r="A4089" s="22"/>
      <c r="B4089" s="22"/>
      <c r="C4089" s="23" t="str">
        <f aca="false">IF(A4089="","",IFERROR(buscarx(A4089&amp;B4089,DATA!$E$3:$E$10000&amp;DATA!$B$3:$B$10000,DATA!$M$3:$M$10000),"No encontrado"))</f>
        <v/>
      </c>
      <c r="D4089" s="24" t="str">
        <f aca="false">IF(A4089="","",IFERROR(buscarx(A4089&amp;B4089,DATA!$E$3:$E$10000&amp;DATA!$B$3:$B$10000,DATA!$W$3:$W$10000),"No encontrado"))</f>
        <v/>
      </c>
      <c r="E4089" s="22"/>
      <c r="F4089" s="23" t="str">
        <f aca="false">IF(A4089="","",IFERROR(buscarx(A4089&amp;E4089,DATA!$E$3:$E$10000&amp;DATA!$B$3:$B$10000,DATA!$M$3:$M$10000),"Inactivo"))</f>
        <v/>
      </c>
      <c r="G4089" s="25" t="str">
        <f aca="false">IF(A4089="","",IF(AND(C4089&lt;&gt;"No encontrado",F4089&lt;&gt;"Inactivo"),C4089&amp;" → "&amp;F4089,"Sin transición"))</f>
        <v/>
      </c>
      <c r="H4089" s="23" t="str">
        <f aca="false">IF(A4089="","",IF(D4089="GCIA LINEA SERVICIO DIGITALIDAD Y VENTAS","Chats",IF(OR(D4089="GERENCIA INBOUND LÍNEAS SERVICIO Y VENTA",D4089="GERENCIA INBOUND LINEAS ESPECIALIZADAS"),"Llamadas","Otro")))</f>
        <v/>
      </c>
      <c r="I4089" s="23" t="str">
        <f aca="false">IF(A4089="","",IF(C4089="No encontrado","No","Sí"))</f>
        <v/>
      </c>
      <c r="J4089" s="23" t="str">
        <f aca="false">IF(A4089="","",IF(F4089="Inactivo","No","Sí"))</f>
        <v/>
      </c>
      <c r="K4089" s="23" t="str">
        <f aca="false">IF(A4089="","",IF(AND(I4089="Sí",J4089="Sí"),"Sí","No"))</f>
        <v/>
      </c>
    </row>
    <row r="4090" customFormat="false" ht="15" hidden="false" customHeight="false" outlineLevel="0" collapsed="false">
      <c r="A4090" s="22"/>
      <c r="B4090" s="22"/>
      <c r="C4090" s="26" t="str">
        <f aca="false">IF(A4090="","",IFERROR(buscarx(A4090&amp;B4090,DATA!$E$3:$E$10000&amp;DATA!$B$3:$B$10000,DATA!$M$3:$M$10000),"No encontrado"))</f>
        <v/>
      </c>
      <c r="D4090" s="27" t="str">
        <f aca="false">IF(A4090="","",IFERROR(buscarx(A4090&amp;B4090,DATA!$E$3:$E$10000&amp;DATA!$B$3:$B$10000,DATA!$W$3:$W$10000),"No encontrado"))</f>
        <v/>
      </c>
      <c r="E4090" s="22"/>
      <c r="F4090" s="26" t="str">
        <f aca="false">IF(A4090="","",IFERROR(buscarx(A4090&amp;E4090,DATA!$E$3:$E$10000&amp;DATA!$B$3:$B$10000,DATA!$M$3:$M$10000),"Inactivo"))</f>
        <v/>
      </c>
      <c r="G4090" s="28" t="str">
        <f aca="false">IF(A4090="","",IF(AND(C4090&lt;&gt;"No encontrado",F4090&lt;&gt;"Inactivo"),C4090&amp;" → "&amp;F4090,"Sin transición"))</f>
        <v/>
      </c>
      <c r="H4090" s="26" t="str">
        <f aca="false">IF(A4090="","",IF(D4090="GCIA LINEA SERVICIO DIGITALIDAD Y VENTAS","Chats",IF(OR(D4090="GERENCIA INBOUND LÍNEAS SERVICIO Y VENTA",D4090="GERENCIA INBOUND LINEAS ESPECIALIZADAS"),"Llamadas","Otro")))</f>
        <v/>
      </c>
      <c r="I4090" s="26" t="str">
        <f aca="false">IF(A4090="","",IF(C4090="No encontrado","No","Sí"))</f>
        <v/>
      </c>
      <c r="J4090" s="26" t="str">
        <f aca="false">IF(A4090="","",IF(F4090="Inactivo","No","Sí"))</f>
        <v/>
      </c>
      <c r="K4090" s="26" t="str">
        <f aca="false">IF(A4090="","",IF(AND(I4090="Sí",J4090="Sí"),"Sí","No"))</f>
        <v/>
      </c>
    </row>
    <row r="4091" customFormat="false" ht="15" hidden="false" customHeight="false" outlineLevel="0" collapsed="false">
      <c r="A4091" s="22"/>
      <c r="B4091" s="22"/>
      <c r="C4091" s="23" t="str">
        <f aca="false">IF(A4091="","",IFERROR(buscarx(A4091&amp;B4091,DATA!$E$3:$E$10000&amp;DATA!$B$3:$B$10000,DATA!$M$3:$M$10000),"No encontrado"))</f>
        <v/>
      </c>
      <c r="D4091" s="24" t="str">
        <f aca="false">IF(A4091="","",IFERROR(buscarx(A4091&amp;B4091,DATA!$E$3:$E$10000&amp;DATA!$B$3:$B$10000,DATA!$W$3:$W$10000),"No encontrado"))</f>
        <v/>
      </c>
      <c r="E4091" s="22"/>
      <c r="F4091" s="23" t="str">
        <f aca="false">IF(A4091="","",IFERROR(buscarx(A4091&amp;E4091,DATA!$E$3:$E$10000&amp;DATA!$B$3:$B$10000,DATA!$M$3:$M$10000),"Inactivo"))</f>
        <v/>
      </c>
      <c r="G4091" s="25" t="str">
        <f aca="false">IF(A4091="","",IF(AND(C4091&lt;&gt;"No encontrado",F4091&lt;&gt;"Inactivo"),C4091&amp;" → "&amp;F4091,"Sin transición"))</f>
        <v/>
      </c>
      <c r="H4091" s="23" t="str">
        <f aca="false">IF(A4091="","",IF(D4091="GCIA LINEA SERVICIO DIGITALIDAD Y VENTAS","Chats",IF(OR(D4091="GERENCIA INBOUND LÍNEAS SERVICIO Y VENTA",D4091="GERENCIA INBOUND LINEAS ESPECIALIZADAS"),"Llamadas","Otro")))</f>
        <v/>
      </c>
      <c r="I4091" s="23" t="str">
        <f aca="false">IF(A4091="","",IF(C4091="No encontrado","No","Sí"))</f>
        <v/>
      </c>
      <c r="J4091" s="23" t="str">
        <f aca="false">IF(A4091="","",IF(F4091="Inactivo","No","Sí"))</f>
        <v/>
      </c>
      <c r="K4091" s="23" t="str">
        <f aca="false">IF(A4091="","",IF(AND(I4091="Sí",J4091="Sí"),"Sí","No"))</f>
        <v/>
      </c>
    </row>
    <row r="4092" customFormat="false" ht="15" hidden="false" customHeight="false" outlineLevel="0" collapsed="false">
      <c r="A4092" s="22"/>
      <c r="B4092" s="22"/>
      <c r="C4092" s="26" t="str">
        <f aca="false">IF(A4092="","",IFERROR(buscarx(A4092&amp;B4092,DATA!$E$3:$E$10000&amp;DATA!$B$3:$B$10000,DATA!$M$3:$M$10000),"No encontrado"))</f>
        <v/>
      </c>
      <c r="D4092" s="27" t="str">
        <f aca="false">IF(A4092="","",IFERROR(buscarx(A4092&amp;B4092,DATA!$E$3:$E$10000&amp;DATA!$B$3:$B$10000,DATA!$W$3:$W$10000),"No encontrado"))</f>
        <v/>
      </c>
      <c r="E4092" s="22"/>
      <c r="F4092" s="26" t="str">
        <f aca="false">IF(A4092="","",IFERROR(buscarx(A4092&amp;E4092,DATA!$E$3:$E$10000&amp;DATA!$B$3:$B$10000,DATA!$M$3:$M$10000),"Inactivo"))</f>
        <v/>
      </c>
      <c r="G4092" s="28" t="str">
        <f aca="false">IF(A4092="","",IF(AND(C4092&lt;&gt;"No encontrado",F4092&lt;&gt;"Inactivo"),C4092&amp;" → "&amp;F4092,"Sin transición"))</f>
        <v/>
      </c>
      <c r="H4092" s="26" t="str">
        <f aca="false">IF(A4092="","",IF(D4092="GCIA LINEA SERVICIO DIGITALIDAD Y VENTAS","Chats",IF(OR(D4092="GERENCIA INBOUND LÍNEAS SERVICIO Y VENTA",D4092="GERENCIA INBOUND LINEAS ESPECIALIZADAS"),"Llamadas","Otro")))</f>
        <v/>
      </c>
      <c r="I4092" s="26" t="str">
        <f aca="false">IF(A4092="","",IF(C4092="No encontrado","No","Sí"))</f>
        <v/>
      </c>
      <c r="J4092" s="26" t="str">
        <f aca="false">IF(A4092="","",IF(F4092="Inactivo","No","Sí"))</f>
        <v/>
      </c>
      <c r="K4092" s="26" t="str">
        <f aca="false">IF(A4092="","",IF(AND(I4092="Sí",J4092="Sí"),"Sí","No"))</f>
        <v/>
      </c>
    </row>
    <row r="4093" customFormat="false" ht="15" hidden="false" customHeight="false" outlineLevel="0" collapsed="false">
      <c r="A4093" s="22"/>
      <c r="B4093" s="22"/>
      <c r="C4093" s="23" t="str">
        <f aca="false">IF(A4093="","",IFERROR(buscarx(A4093&amp;B4093,DATA!$E$3:$E$10000&amp;DATA!$B$3:$B$10000,DATA!$M$3:$M$10000),"No encontrado"))</f>
        <v/>
      </c>
      <c r="D4093" s="24" t="str">
        <f aca="false">IF(A4093="","",IFERROR(buscarx(A4093&amp;B4093,DATA!$E$3:$E$10000&amp;DATA!$B$3:$B$10000,DATA!$W$3:$W$10000),"No encontrado"))</f>
        <v/>
      </c>
      <c r="E4093" s="22"/>
      <c r="F4093" s="23" t="str">
        <f aca="false">IF(A4093="","",IFERROR(buscarx(A4093&amp;E4093,DATA!$E$3:$E$10000&amp;DATA!$B$3:$B$10000,DATA!$M$3:$M$10000),"Inactivo"))</f>
        <v/>
      </c>
      <c r="G4093" s="25" t="str">
        <f aca="false">IF(A4093="","",IF(AND(C4093&lt;&gt;"No encontrado",F4093&lt;&gt;"Inactivo"),C4093&amp;" → "&amp;F4093,"Sin transición"))</f>
        <v/>
      </c>
      <c r="H4093" s="23" t="str">
        <f aca="false">IF(A4093="","",IF(D4093="GCIA LINEA SERVICIO DIGITALIDAD Y VENTAS","Chats",IF(OR(D4093="GERENCIA INBOUND LÍNEAS SERVICIO Y VENTA",D4093="GERENCIA INBOUND LINEAS ESPECIALIZADAS"),"Llamadas","Otro")))</f>
        <v/>
      </c>
      <c r="I4093" s="23" t="str">
        <f aca="false">IF(A4093="","",IF(C4093="No encontrado","No","Sí"))</f>
        <v/>
      </c>
      <c r="J4093" s="23" t="str">
        <f aca="false">IF(A4093="","",IF(F4093="Inactivo","No","Sí"))</f>
        <v/>
      </c>
      <c r="K4093" s="23" t="str">
        <f aca="false">IF(A4093="","",IF(AND(I4093="Sí",J4093="Sí"),"Sí","No"))</f>
        <v/>
      </c>
    </row>
    <row r="4094" customFormat="false" ht="15" hidden="false" customHeight="false" outlineLevel="0" collapsed="false">
      <c r="A4094" s="22"/>
      <c r="B4094" s="22"/>
      <c r="C4094" s="26" t="str">
        <f aca="false">IF(A4094="","",IFERROR(buscarx(A4094&amp;B4094,DATA!$E$3:$E$10000&amp;DATA!$B$3:$B$10000,DATA!$M$3:$M$10000),"No encontrado"))</f>
        <v/>
      </c>
      <c r="D4094" s="27" t="str">
        <f aca="false">IF(A4094="","",IFERROR(buscarx(A4094&amp;B4094,DATA!$E$3:$E$10000&amp;DATA!$B$3:$B$10000,DATA!$W$3:$W$10000),"No encontrado"))</f>
        <v/>
      </c>
      <c r="E4094" s="22"/>
      <c r="F4094" s="26" t="str">
        <f aca="false">IF(A4094="","",IFERROR(buscarx(A4094&amp;E4094,DATA!$E$3:$E$10000&amp;DATA!$B$3:$B$10000,DATA!$M$3:$M$10000),"Inactivo"))</f>
        <v/>
      </c>
      <c r="G4094" s="28" t="str">
        <f aca="false">IF(A4094="","",IF(AND(C4094&lt;&gt;"No encontrado",F4094&lt;&gt;"Inactivo"),C4094&amp;" → "&amp;F4094,"Sin transición"))</f>
        <v/>
      </c>
      <c r="H4094" s="26" t="str">
        <f aca="false">IF(A4094="","",IF(D4094="GCIA LINEA SERVICIO DIGITALIDAD Y VENTAS","Chats",IF(OR(D4094="GERENCIA INBOUND LÍNEAS SERVICIO Y VENTA",D4094="GERENCIA INBOUND LINEAS ESPECIALIZADAS"),"Llamadas","Otro")))</f>
        <v/>
      </c>
      <c r="I4094" s="26" t="str">
        <f aca="false">IF(A4094="","",IF(C4094="No encontrado","No","Sí"))</f>
        <v/>
      </c>
      <c r="J4094" s="26" t="str">
        <f aca="false">IF(A4094="","",IF(F4094="Inactivo","No","Sí"))</f>
        <v/>
      </c>
      <c r="K4094" s="26" t="str">
        <f aca="false">IF(A4094="","",IF(AND(I4094="Sí",J4094="Sí"),"Sí","No"))</f>
        <v/>
      </c>
    </row>
    <row r="4095" customFormat="false" ht="15" hidden="false" customHeight="false" outlineLevel="0" collapsed="false">
      <c r="A4095" s="22"/>
      <c r="B4095" s="22"/>
      <c r="C4095" s="23" t="str">
        <f aca="false">IF(A4095="","",IFERROR(buscarx(A4095&amp;B4095,DATA!$E$3:$E$10000&amp;DATA!$B$3:$B$10000,DATA!$M$3:$M$10000),"No encontrado"))</f>
        <v/>
      </c>
      <c r="D4095" s="24" t="str">
        <f aca="false">IF(A4095="","",IFERROR(buscarx(A4095&amp;B4095,DATA!$E$3:$E$10000&amp;DATA!$B$3:$B$10000,DATA!$W$3:$W$10000),"No encontrado"))</f>
        <v/>
      </c>
      <c r="E4095" s="22"/>
      <c r="F4095" s="23" t="str">
        <f aca="false">IF(A4095="","",IFERROR(buscarx(A4095&amp;E4095,DATA!$E$3:$E$10000&amp;DATA!$B$3:$B$10000,DATA!$M$3:$M$10000),"Inactivo"))</f>
        <v/>
      </c>
      <c r="G4095" s="25" t="str">
        <f aca="false">IF(A4095="","",IF(AND(C4095&lt;&gt;"No encontrado",F4095&lt;&gt;"Inactivo"),C4095&amp;" → "&amp;F4095,"Sin transición"))</f>
        <v/>
      </c>
      <c r="H4095" s="23" t="str">
        <f aca="false">IF(A4095="","",IF(D4095="GCIA LINEA SERVICIO DIGITALIDAD Y VENTAS","Chats",IF(OR(D4095="GERENCIA INBOUND LÍNEAS SERVICIO Y VENTA",D4095="GERENCIA INBOUND LINEAS ESPECIALIZADAS"),"Llamadas","Otro")))</f>
        <v/>
      </c>
      <c r="I4095" s="23" t="str">
        <f aca="false">IF(A4095="","",IF(C4095="No encontrado","No","Sí"))</f>
        <v/>
      </c>
      <c r="J4095" s="23" t="str">
        <f aca="false">IF(A4095="","",IF(F4095="Inactivo","No","Sí"))</f>
        <v/>
      </c>
      <c r="K4095" s="23" t="str">
        <f aca="false">IF(A4095="","",IF(AND(I4095="Sí",J4095="Sí"),"Sí","No"))</f>
        <v/>
      </c>
    </row>
    <row r="4096" customFormat="false" ht="15" hidden="false" customHeight="false" outlineLevel="0" collapsed="false">
      <c r="A4096" s="22"/>
      <c r="B4096" s="22"/>
      <c r="C4096" s="26" t="str">
        <f aca="false">IF(A4096="","",IFERROR(buscarx(A4096&amp;B4096,DATA!$E$3:$E$10000&amp;DATA!$B$3:$B$10000,DATA!$M$3:$M$10000),"No encontrado"))</f>
        <v/>
      </c>
      <c r="D4096" s="27" t="str">
        <f aca="false">IF(A4096="","",IFERROR(buscarx(A4096&amp;B4096,DATA!$E$3:$E$10000&amp;DATA!$B$3:$B$10000,DATA!$W$3:$W$10000),"No encontrado"))</f>
        <v/>
      </c>
      <c r="E4096" s="22"/>
      <c r="F4096" s="26" t="str">
        <f aca="false">IF(A4096="","",IFERROR(buscarx(A4096&amp;E4096,DATA!$E$3:$E$10000&amp;DATA!$B$3:$B$10000,DATA!$M$3:$M$10000),"Inactivo"))</f>
        <v/>
      </c>
      <c r="G4096" s="28" t="str">
        <f aca="false">IF(A4096="","",IF(AND(C4096&lt;&gt;"No encontrado",F4096&lt;&gt;"Inactivo"),C4096&amp;" → "&amp;F4096,"Sin transición"))</f>
        <v/>
      </c>
      <c r="H4096" s="26" t="str">
        <f aca="false">IF(A4096="","",IF(D4096="GCIA LINEA SERVICIO DIGITALIDAD Y VENTAS","Chats",IF(OR(D4096="GERENCIA INBOUND LÍNEAS SERVICIO Y VENTA",D4096="GERENCIA INBOUND LINEAS ESPECIALIZADAS"),"Llamadas","Otro")))</f>
        <v/>
      </c>
      <c r="I4096" s="26" t="str">
        <f aca="false">IF(A4096="","",IF(C4096="No encontrado","No","Sí"))</f>
        <v/>
      </c>
      <c r="J4096" s="26" t="str">
        <f aca="false">IF(A4096="","",IF(F4096="Inactivo","No","Sí"))</f>
        <v/>
      </c>
      <c r="K4096" s="26" t="str">
        <f aca="false">IF(A4096="","",IF(AND(I4096="Sí",J4096="Sí"),"Sí","No"))</f>
        <v/>
      </c>
    </row>
    <row r="4097" customFormat="false" ht="15" hidden="false" customHeight="false" outlineLevel="0" collapsed="false">
      <c r="A4097" s="22"/>
      <c r="B4097" s="22"/>
      <c r="C4097" s="23" t="str">
        <f aca="false">IF(A4097="","",IFERROR(buscarx(A4097&amp;B4097,DATA!$E$3:$E$10000&amp;DATA!$B$3:$B$10000,DATA!$M$3:$M$10000),"No encontrado"))</f>
        <v/>
      </c>
      <c r="D4097" s="24" t="str">
        <f aca="false">IF(A4097="","",IFERROR(buscarx(A4097&amp;B4097,DATA!$E$3:$E$10000&amp;DATA!$B$3:$B$10000,DATA!$W$3:$W$10000),"No encontrado"))</f>
        <v/>
      </c>
      <c r="E4097" s="22"/>
      <c r="F4097" s="23" t="str">
        <f aca="false">IF(A4097="","",IFERROR(buscarx(A4097&amp;E4097,DATA!$E$3:$E$10000&amp;DATA!$B$3:$B$10000,DATA!$M$3:$M$10000),"Inactivo"))</f>
        <v/>
      </c>
      <c r="G4097" s="25" t="str">
        <f aca="false">IF(A4097="","",IF(AND(C4097&lt;&gt;"No encontrado",F4097&lt;&gt;"Inactivo"),C4097&amp;" → "&amp;F4097,"Sin transición"))</f>
        <v/>
      </c>
      <c r="H4097" s="23" t="str">
        <f aca="false">IF(A4097="","",IF(D4097="GCIA LINEA SERVICIO DIGITALIDAD Y VENTAS","Chats",IF(OR(D4097="GERENCIA INBOUND LÍNEAS SERVICIO Y VENTA",D4097="GERENCIA INBOUND LINEAS ESPECIALIZADAS"),"Llamadas","Otro")))</f>
        <v/>
      </c>
      <c r="I4097" s="23" t="str">
        <f aca="false">IF(A4097="","",IF(C4097="No encontrado","No","Sí"))</f>
        <v/>
      </c>
      <c r="J4097" s="23" t="str">
        <f aca="false">IF(A4097="","",IF(F4097="Inactivo","No","Sí"))</f>
        <v/>
      </c>
      <c r="K4097" s="23" t="str">
        <f aca="false">IF(A4097="","",IF(AND(I4097="Sí",J4097="Sí"),"Sí","No"))</f>
        <v/>
      </c>
    </row>
    <row r="4098" customFormat="false" ht="15" hidden="false" customHeight="false" outlineLevel="0" collapsed="false">
      <c r="A4098" s="22"/>
      <c r="B4098" s="22"/>
      <c r="C4098" s="26" t="str">
        <f aca="false">IF(A4098="","",IFERROR(buscarx(A4098&amp;B4098,DATA!$E$3:$E$10000&amp;DATA!$B$3:$B$10000,DATA!$M$3:$M$10000),"No encontrado"))</f>
        <v/>
      </c>
      <c r="D4098" s="27" t="str">
        <f aca="false">IF(A4098="","",IFERROR(buscarx(A4098&amp;B4098,DATA!$E$3:$E$10000&amp;DATA!$B$3:$B$10000,DATA!$W$3:$W$10000),"No encontrado"))</f>
        <v/>
      </c>
      <c r="E4098" s="22"/>
      <c r="F4098" s="26" t="str">
        <f aca="false">IF(A4098="","",IFERROR(buscarx(A4098&amp;E4098,DATA!$E$3:$E$10000&amp;DATA!$B$3:$B$10000,DATA!$M$3:$M$10000),"Inactivo"))</f>
        <v/>
      </c>
      <c r="G4098" s="28" t="str">
        <f aca="false">IF(A4098="","",IF(AND(C4098&lt;&gt;"No encontrado",F4098&lt;&gt;"Inactivo"),C4098&amp;" → "&amp;F4098,"Sin transición"))</f>
        <v/>
      </c>
      <c r="H4098" s="26" t="str">
        <f aca="false">IF(A4098="","",IF(D4098="GCIA LINEA SERVICIO DIGITALIDAD Y VENTAS","Chats",IF(OR(D4098="GERENCIA INBOUND LÍNEAS SERVICIO Y VENTA",D4098="GERENCIA INBOUND LINEAS ESPECIALIZADAS"),"Llamadas","Otro")))</f>
        <v/>
      </c>
      <c r="I4098" s="26" t="str">
        <f aca="false">IF(A4098="","",IF(C4098="No encontrado","No","Sí"))</f>
        <v/>
      </c>
      <c r="J4098" s="26" t="str">
        <f aca="false">IF(A4098="","",IF(F4098="Inactivo","No","Sí"))</f>
        <v/>
      </c>
      <c r="K4098" s="26" t="str">
        <f aca="false">IF(A4098="","",IF(AND(I4098="Sí",J4098="Sí"),"Sí","No"))</f>
        <v/>
      </c>
    </row>
    <row r="4099" customFormat="false" ht="15" hidden="false" customHeight="false" outlineLevel="0" collapsed="false">
      <c r="A4099" s="22"/>
      <c r="B4099" s="22"/>
      <c r="C4099" s="23" t="str">
        <f aca="false">IF(A4099="","",IFERROR(buscarx(A4099&amp;B4099,DATA!$E$3:$E$10000&amp;DATA!$B$3:$B$10000,DATA!$M$3:$M$10000),"No encontrado"))</f>
        <v/>
      </c>
      <c r="D4099" s="24" t="str">
        <f aca="false">IF(A4099="","",IFERROR(buscarx(A4099&amp;B4099,DATA!$E$3:$E$10000&amp;DATA!$B$3:$B$10000,DATA!$W$3:$W$10000),"No encontrado"))</f>
        <v/>
      </c>
      <c r="E4099" s="22"/>
      <c r="F4099" s="23" t="str">
        <f aca="false">IF(A4099="","",IFERROR(buscarx(A4099&amp;E4099,DATA!$E$3:$E$10000&amp;DATA!$B$3:$B$10000,DATA!$M$3:$M$10000),"Inactivo"))</f>
        <v/>
      </c>
      <c r="G4099" s="25" t="str">
        <f aca="false">IF(A4099="","",IF(AND(C4099&lt;&gt;"No encontrado",F4099&lt;&gt;"Inactivo"),C4099&amp;" → "&amp;F4099,"Sin transición"))</f>
        <v/>
      </c>
      <c r="H4099" s="23" t="str">
        <f aca="false">IF(A4099="","",IF(D4099="GCIA LINEA SERVICIO DIGITALIDAD Y VENTAS","Chats",IF(OR(D4099="GERENCIA INBOUND LÍNEAS SERVICIO Y VENTA",D4099="GERENCIA INBOUND LINEAS ESPECIALIZADAS"),"Llamadas","Otro")))</f>
        <v/>
      </c>
      <c r="I4099" s="23" t="str">
        <f aca="false">IF(A4099="","",IF(C4099="No encontrado","No","Sí"))</f>
        <v/>
      </c>
      <c r="J4099" s="23" t="str">
        <f aca="false">IF(A4099="","",IF(F4099="Inactivo","No","Sí"))</f>
        <v/>
      </c>
      <c r="K4099" s="23" t="str">
        <f aca="false">IF(A4099="","",IF(AND(I4099="Sí",J4099="Sí"),"Sí","No"))</f>
        <v/>
      </c>
    </row>
    <row r="4100" customFormat="false" ht="15" hidden="false" customHeight="false" outlineLevel="0" collapsed="false">
      <c r="A4100" s="22"/>
      <c r="B4100" s="22"/>
      <c r="C4100" s="26" t="str">
        <f aca="false">IF(A4100="","",IFERROR(buscarx(A4100&amp;B4100,DATA!$E$3:$E$10000&amp;DATA!$B$3:$B$10000,DATA!$M$3:$M$10000),"No encontrado"))</f>
        <v/>
      </c>
      <c r="D4100" s="27" t="str">
        <f aca="false">IF(A4100="","",IFERROR(buscarx(A4100&amp;B4100,DATA!$E$3:$E$10000&amp;DATA!$B$3:$B$10000,DATA!$W$3:$W$10000),"No encontrado"))</f>
        <v/>
      </c>
      <c r="E4100" s="22"/>
      <c r="F4100" s="26" t="str">
        <f aca="false">IF(A4100="","",IFERROR(buscarx(A4100&amp;E4100,DATA!$E$3:$E$10000&amp;DATA!$B$3:$B$10000,DATA!$M$3:$M$10000),"Inactivo"))</f>
        <v/>
      </c>
      <c r="G4100" s="28" t="str">
        <f aca="false">IF(A4100="","",IF(AND(C4100&lt;&gt;"No encontrado",F4100&lt;&gt;"Inactivo"),C4100&amp;" → "&amp;F4100,"Sin transición"))</f>
        <v/>
      </c>
      <c r="H4100" s="26" t="str">
        <f aca="false">IF(A4100="","",IF(D4100="GCIA LINEA SERVICIO DIGITALIDAD Y VENTAS","Chats",IF(OR(D4100="GERENCIA INBOUND LÍNEAS SERVICIO Y VENTA",D4100="GERENCIA INBOUND LINEAS ESPECIALIZADAS"),"Llamadas","Otro")))</f>
        <v/>
      </c>
      <c r="I4100" s="26" t="str">
        <f aca="false">IF(A4100="","",IF(C4100="No encontrado","No","Sí"))</f>
        <v/>
      </c>
      <c r="J4100" s="26" t="str">
        <f aca="false">IF(A4100="","",IF(F4100="Inactivo","No","Sí"))</f>
        <v/>
      </c>
      <c r="K4100" s="26" t="str">
        <f aca="false">IF(A4100="","",IF(AND(I4100="Sí",J4100="Sí"),"Sí","No"))</f>
        <v/>
      </c>
    </row>
    <row r="4101" customFormat="false" ht="15" hidden="false" customHeight="false" outlineLevel="0" collapsed="false">
      <c r="A4101" s="22"/>
      <c r="B4101" s="22"/>
      <c r="C4101" s="23" t="str">
        <f aca="false">IF(A4101="","",IFERROR(buscarx(A4101&amp;B4101,DATA!$E$3:$E$10000&amp;DATA!$B$3:$B$10000,DATA!$M$3:$M$10000),"No encontrado"))</f>
        <v/>
      </c>
      <c r="D4101" s="24" t="str">
        <f aca="false">IF(A4101="","",IFERROR(buscarx(A4101&amp;B4101,DATA!$E$3:$E$10000&amp;DATA!$B$3:$B$10000,DATA!$W$3:$W$10000),"No encontrado"))</f>
        <v/>
      </c>
      <c r="E4101" s="22"/>
      <c r="F4101" s="23" t="str">
        <f aca="false">IF(A4101="","",IFERROR(buscarx(A4101&amp;E4101,DATA!$E$3:$E$10000&amp;DATA!$B$3:$B$10000,DATA!$M$3:$M$10000),"Inactivo"))</f>
        <v/>
      </c>
      <c r="G4101" s="25" t="str">
        <f aca="false">IF(A4101="","",IF(AND(C4101&lt;&gt;"No encontrado",F4101&lt;&gt;"Inactivo"),C4101&amp;" → "&amp;F4101,"Sin transición"))</f>
        <v/>
      </c>
      <c r="H4101" s="23" t="str">
        <f aca="false">IF(A4101="","",IF(D4101="GCIA LINEA SERVICIO DIGITALIDAD Y VENTAS","Chats",IF(OR(D4101="GERENCIA INBOUND LÍNEAS SERVICIO Y VENTA",D4101="GERENCIA INBOUND LINEAS ESPECIALIZADAS"),"Llamadas","Otro")))</f>
        <v/>
      </c>
      <c r="I4101" s="23" t="str">
        <f aca="false">IF(A4101="","",IF(C4101="No encontrado","No","Sí"))</f>
        <v/>
      </c>
      <c r="J4101" s="23" t="str">
        <f aca="false">IF(A4101="","",IF(F4101="Inactivo","No","Sí"))</f>
        <v/>
      </c>
      <c r="K4101" s="23" t="str">
        <f aca="false">IF(A4101="","",IF(AND(I4101="Sí",J4101="Sí"),"Sí","No"))</f>
        <v/>
      </c>
    </row>
    <row r="4102" customFormat="false" ht="15" hidden="false" customHeight="false" outlineLevel="0" collapsed="false">
      <c r="A4102" s="22"/>
      <c r="B4102" s="22"/>
      <c r="C4102" s="26" t="str">
        <f aca="false">IF(A4102="","",IFERROR(buscarx(A4102&amp;B4102,DATA!$E$3:$E$10000&amp;DATA!$B$3:$B$10000,DATA!$M$3:$M$10000),"No encontrado"))</f>
        <v/>
      </c>
      <c r="D4102" s="27" t="str">
        <f aca="false">IF(A4102="","",IFERROR(buscarx(A4102&amp;B4102,DATA!$E$3:$E$10000&amp;DATA!$B$3:$B$10000,DATA!$W$3:$W$10000),"No encontrado"))</f>
        <v/>
      </c>
      <c r="E4102" s="22"/>
      <c r="F4102" s="26" t="str">
        <f aca="false">IF(A4102="","",IFERROR(buscarx(A4102&amp;E4102,DATA!$E$3:$E$10000&amp;DATA!$B$3:$B$10000,DATA!$M$3:$M$10000),"Inactivo"))</f>
        <v/>
      </c>
      <c r="G4102" s="28" t="str">
        <f aca="false">IF(A4102="","",IF(AND(C4102&lt;&gt;"No encontrado",F4102&lt;&gt;"Inactivo"),C4102&amp;" → "&amp;F4102,"Sin transición"))</f>
        <v/>
      </c>
      <c r="H4102" s="26" t="str">
        <f aca="false">IF(A4102="","",IF(D4102="GCIA LINEA SERVICIO DIGITALIDAD Y VENTAS","Chats",IF(OR(D4102="GERENCIA INBOUND LÍNEAS SERVICIO Y VENTA",D4102="GERENCIA INBOUND LINEAS ESPECIALIZADAS"),"Llamadas","Otro")))</f>
        <v/>
      </c>
      <c r="I4102" s="26" t="str">
        <f aca="false">IF(A4102="","",IF(C4102="No encontrado","No","Sí"))</f>
        <v/>
      </c>
      <c r="J4102" s="26" t="str">
        <f aca="false">IF(A4102="","",IF(F4102="Inactivo","No","Sí"))</f>
        <v/>
      </c>
      <c r="K4102" s="26" t="str">
        <f aca="false">IF(A4102="","",IF(AND(I4102="Sí",J4102="Sí"),"Sí","No"))</f>
        <v/>
      </c>
    </row>
    <row r="4103" customFormat="false" ht="15" hidden="false" customHeight="false" outlineLevel="0" collapsed="false">
      <c r="A4103" s="22"/>
      <c r="B4103" s="22"/>
      <c r="C4103" s="23" t="str">
        <f aca="false">IF(A4103="","",IFERROR(buscarx(A4103&amp;B4103,DATA!$E$3:$E$10000&amp;DATA!$B$3:$B$10000,DATA!$M$3:$M$10000),"No encontrado"))</f>
        <v/>
      </c>
      <c r="D4103" s="24" t="str">
        <f aca="false">IF(A4103="","",IFERROR(buscarx(A4103&amp;B4103,DATA!$E$3:$E$10000&amp;DATA!$B$3:$B$10000,DATA!$W$3:$W$10000),"No encontrado"))</f>
        <v/>
      </c>
      <c r="E4103" s="22"/>
      <c r="F4103" s="23" t="str">
        <f aca="false">IF(A4103="","",IFERROR(buscarx(A4103&amp;E4103,DATA!$E$3:$E$10000&amp;DATA!$B$3:$B$10000,DATA!$M$3:$M$10000),"Inactivo"))</f>
        <v/>
      </c>
      <c r="G4103" s="25" t="str">
        <f aca="false">IF(A4103="","",IF(AND(C4103&lt;&gt;"No encontrado",F4103&lt;&gt;"Inactivo"),C4103&amp;" → "&amp;F4103,"Sin transición"))</f>
        <v/>
      </c>
      <c r="H4103" s="23" t="str">
        <f aca="false">IF(A4103="","",IF(D4103="GCIA LINEA SERVICIO DIGITALIDAD Y VENTAS","Chats",IF(OR(D4103="GERENCIA INBOUND LÍNEAS SERVICIO Y VENTA",D4103="GERENCIA INBOUND LINEAS ESPECIALIZADAS"),"Llamadas","Otro")))</f>
        <v/>
      </c>
      <c r="I4103" s="23" t="str">
        <f aca="false">IF(A4103="","",IF(C4103="No encontrado","No","Sí"))</f>
        <v/>
      </c>
      <c r="J4103" s="23" t="str">
        <f aca="false">IF(A4103="","",IF(F4103="Inactivo","No","Sí"))</f>
        <v/>
      </c>
      <c r="K4103" s="23" t="str">
        <f aca="false">IF(A4103="","",IF(AND(I4103="Sí",J4103="Sí"),"Sí","No"))</f>
        <v/>
      </c>
    </row>
    <row r="4104" customFormat="false" ht="15" hidden="false" customHeight="false" outlineLevel="0" collapsed="false">
      <c r="A4104" s="22"/>
      <c r="B4104" s="22"/>
      <c r="C4104" s="26" t="str">
        <f aca="false">IF(A4104="","",IFERROR(buscarx(A4104&amp;B4104,DATA!$E$3:$E$10000&amp;DATA!$B$3:$B$10000,DATA!$M$3:$M$10000),"No encontrado"))</f>
        <v/>
      </c>
      <c r="D4104" s="27" t="str">
        <f aca="false">IF(A4104="","",IFERROR(buscarx(A4104&amp;B4104,DATA!$E$3:$E$10000&amp;DATA!$B$3:$B$10000,DATA!$W$3:$W$10000),"No encontrado"))</f>
        <v/>
      </c>
      <c r="E4104" s="22"/>
      <c r="F4104" s="26" t="str">
        <f aca="false">IF(A4104="","",IFERROR(buscarx(A4104&amp;E4104,DATA!$E$3:$E$10000&amp;DATA!$B$3:$B$10000,DATA!$M$3:$M$10000),"Inactivo"))</f>
        <v/>
      </c>
      <c r="G4104" s="28" t="str">
        <f aca="false">IF(A4104="","",IF(AND(C4104&lt;&gt;"No encontrado",F4104&lt;&gt;"Inactivo"),C4104&amp;" → "&amp;F4104,"Sin transición"))</f>
        <v/>
      </c>
      <c r="H4104" s="26" t="str">
        <f aca="false">IF(A4104="","",IF(D4104="GCIA LINEA SERVICIO DIGITALIDAD Y VENTAS","Chats",IF(OR(D4104="GERENCIA INBOUND LÍNEAS SERVICIO Y VENTA",D4104="GERENCIA INBOUND LINEAS ESPECIALIZADAS"),"Llamadas","Otro")))</f>
        <v/>
      </c>
      <c r="I4104" s="26" t="str">
        <f aca="false">IF(A4104="","",IF(C4104="No encontrado","No","Sí"))</f>
        <v/>
      </c>
      <c r="J4104" s="26" t="str">
        <f aca="false">IF(A4104="","",IF(F4104="Inactivo","No","Sí"))</f>
        <v/>
      </c>
      <c r="K4104" s="26" t="str">
        <f aca="false">IF(A4104="","",IF(AND(I4104="Sí",J4104="Sí"),"Sí","No"))</f>
        <v/>
      </c>
    </row>
    <row r="4105" customFormat="false" ht="15" hidden="false" customHeight="false" outlineLevel="0" collapsed="false">
      <c r="A4105" s="22"/>
      <c r="B4105" s="22"/>
      <c r="C4105" s="23" t="str">
        <f aca="false">IF(A4105="","",IFERROR(buscarx(A4105&amp;B4105,DATA!$E$3:$E$10000&amp;DATA!$B$3:$B$10000,DATA!$M$3:$M$10000),"No encontrado"))</f>
        <v/>
      </c>
      <c r="D4105" s="24" t="str">
        <f aca="false">IF(A4105="","",IFERROR(buscarx(A4105&amp;B4105,DATA!$E$3:$E$10000&amp;DATA!$B$3:$B$10000,DATA!$W$3:$W$10000),"No encontrado"))</f>
        <v/>
      </c>
      <c r="E4105" s="22"/>
      <c r="F4105" s="23" t="str">
        <f aca="false">IF(A4105="","",IFERROR(buscarx(A4105&amp;E4105,DATA!$E$3:$E$10000&amp;DATA!$B$3:$B$10000,DATA!$M$3:$M$10000),"Inactivo"))</f>
        <v/>
      </c>
      <c r="G4105" s="25" t="str">
        <f aca="false">IF(A4105="","",IF(AND(C4105&lt;&gt;"No encontrado",F4105&lt;&gt;"Inactivo"),C4105&amp;" → "&amp;F4105,"Sin transición"))</f>
        <v/>
      </c>
      <c r="H4105" s="23" t="str">
        <f aca="false">IF(A4105="","",IF(D4105="GCIA LINEA SERVICIO DIGITALIDAD Y VENTAS","Chats",IF(OR(D4105="GERENCIA INBOUND LÍNEAS SERVICIO Y VENTA",D4105="GERENCIA INBOUND LINEAS ESPECIALIZADAS"),"Llamadas","Otro")))</f>
        <v/>
      </c>
      <c r="I4105" s="23" t="str">
        <f aca="false">IF(A4105="","",IF(C4105="No encontrado","No","Sí"))</f>
        <v/>
      </c>
      <c r="J4105" s="23" t="str">
        <f aca="false">IF(A4105="","",IF(F4105="Inactivo","No","Sí"))</f>
        <v/>
      </c>
      <c r="K4105" s="23" t="str">
        <f aca="false">IF(A4105="","",IF(AND(I4105="Sí",J4105="Sí"),"Sí","No"))</f>
        <v/>
      </c>
    </row>
    <row r="4106" customFormat="false" ht="15" hidden="false" customHeight="false" outlineLevel="0" collapsed="false">
      <c r="A4106" s="22"/>
      <c r="B4106" s="22"/>
      <c r="C4106" s="26" t="str">
        <f aca="false">IF(A4106="","",IFERROR(buscarx(A4106&amp;B4106,DATA!$E$3:$E$10000&amp;DATA!$B$3:$B$10000,DATA!$M$3:$M$10000),"No encontrado"))</f>
        <v/>
      </c>
      <c r="D4106" s="27" t="str">
        <f aca="false">IF(A4106="","",IFERROR(buscarx(A4106&amp;B4106,DATA!$E$3:$E$10000&amp;DATA!$B$3:$B$10000,DATA!$W$3:$W$10000),"No encontrado"))</f>
        <v/>
      </c>
      <c r="E4106" s="22"/>
      <c r="F4106" s="26" t="str">
        <f aca="false">IF(A4106="","",IFERROR(buscarx(A4106&amp;E4106,DATA!$E$3:$E$10000&amp;DATA!$B$3:$B$10000,DATA!$M$3:$M$10000),"Inactivo"))</f>
        <v/>
      </c>
      <c r="G4106" s="28" t="str">
        <f aca="false">IF(A4106="","",IF(AND(C4106&lt;&gt;"No encontrado",F4106&lt;&gt;"Inactivo"),C4106&amp;" → "&amp;F4106,"Sin transición"))</f>
        <v/>
      </c>
      <c r="H4106" s="26" t="str">
        <f aca="false">IF(A4106="","",IF(D4106="GCIA LINEA SERVICIO DIGITALIDAD Y VENTAS","Chats",IF(OR(D4106="GERENCIA INBOUND LÍNEAS SERVICIO Y VENTA",D4106="GERENCIA INBOUND LINEAS ESPECIALIZADAS"),"Llamadas","Otro")))</f>
        <v/>
      </c>
      <c r="I4106" s="26" t="str">
        <f aca="false">IF(A4106="","",IF(C4106="No encontrado","No","Sí"))</f>
        <v/>
      </c>
      <c r="J4106" s="26" t="str">
        <f aca="false">IF(A4106="","",IF(F4106="Inactivo","No","Sí"))</f>
        <v/>
      </c>
      <c r="K4106" s="26" t="str">
        <f aca="false">IF(A4106="","",IF(AND(I4106="Sí",J4106="Sí"),"Sí","No"))</f>
        <v/>
      </c>
    </row>
    <row r="4107" customFormat="false" ht="15" hidden="false" customHeight="false" outlineLevel="0" collapsed="false">
      <c r="A4107" s="22"/>
      <c r="B4107" s="22"/>
      <c r="C4107" s="23" t="str">
        <f aca="false">IF(A4107="","",IFERROR(buscarx(A4107&amp;B4107,DATA!$E$3:$E$10000&amp;DATA!$B$3:$B$10000,DATA!$M$3:$M$10000),"No encontrado"))</f>
        <v/>
      </c>
      <c r="D4107" s="24" t="str">
        <f aca="false">IF(A4107="","",IFERROR(buscarx(A4107&amp;B4107,DATA!$E$3:$E$10000&amp;DATA!$B$3:$B$10000,DATA!$W$3:$W$10000),"No encontrado"))</f>
        <v/>
      </c>
      <c r="E4107" s="22"/>
      <c r="F4107" s="23" t="str">
        <f aca="false">IF(A4107="","",IFERROR(buscarx(A4107&amp;E4107,DATA!$E$3:$E$10000&amp;DATA!$B$3:$B$10000,DATA!$M$3:$M$10000),"Inactivo"))</f>
        <v/>
      </c>
      <c r="G4107" s="25" t="str">
        <f aca="false">IF(A4107="","",IF(AND(C4107&lt;&gt;"No encontrado",F4107&lt;&gt;"Inactivo"),C4107&amp;" → "&amp;F4107,"Sin transición"))</f>
        <v/>
      </c>
      <c r="H4107" s="23" t="str">
        <f aca="false">IF(A4107="","",IF(D4107="GCIA LINEA SERVICIO DIGITALIDAD Y VENTAS","Chats",IF(OR(D4107="GERENCIA INBOUND LÍNEAS SERVICIO Y VENTA",D4107="GERENCIA INBOUND LINEAS ESPECIALIZADAS"),"Llamadas","Otro")))</f>
        <v/>
      </c>
      <c r="I4107" s="23" t="str">
        <f aca="false">IF(A4107="","",IF(C4107="No encontrado","No","Sí"))</f>
        <v/>
      </c>
      <c r="J4107" s="23" t="str">
        <f aca="false">IF(A4107="","",IF(F4107="Inactivo","No","Sí"))</f>
        <v/>
      </c>
      <c r="K4107" s="23" t="str">
        <f aca="false">IF(A4107="","",IF(AND(I4107="Sí",J4107="Sí"),"Sí","No"))</f>
        <v/>
      </c>
    </row>
    <row r="4108" customFormat="false" ht="15" hidden="false" customHeight="false" outlineLevel="0" collapsed="false">
      <c r="A4108" s="22"/>
      <c r="B4108" s="22"/>
      <c r="C4108" s="26" t="str">
        <f aca="false">IF(A4108="","",IFERROR(buscarx(A4108&amp;B4108,DATA!$E$3:$E$10000&amp;DATA!$B$3:$B$10000,DATA!$M$3:$M$10000),"No encontrado"))</f>
        <v/>
      </c>
      <c r="D4108" s="27" t="str">
        <f aca="false">IF(A4108="","",IFERROR(buscarx(A4108&amp;B4108,DATA!$E$3:$E$10000&amp;DATA!$B$3:$B$10000,DATA!$W$3:$W$10000),"No encontrado"))</f>
        <v/>
      </c>
      <c r="E4108" s="22"/>
      <c r="F4108" s="26" t="str">
        <f aca="false">IF(A4108="","",IFERROR(buscarx(A4108&amp;E4108,DATA!$E$3:$E$10000&amp;DATA!$B$3:$B$10000,DATA!$M$3:$M$10000),"Inactivo"))</f>
        <v/>
      </c>
      <c r="G4108" s="28" t="str">
        <f aca="false">IF(A4108="","",IF(AND(C4108&lt;&gt;"No encontrado",F4108&lt;&gt;"Inactivo"),C4108&amp;" → "&amp;F4108,"Sin transición"))</f>
        <v/>
      </c>
      <c r="H4108" s="26" t="str">
        <f aca="false">IF(A4108="","",IF(D4108="GCIA LINEA SERVICIO DIGITALIDAD Y VENTAS","Chats",IF(OR(D4108="GERENCIA INBOUND LÍNEAS SERVICIO Y VENTA",D4108="GERENCIA INBOUND LINEAS ESPECIALIZADAS"),"Llamadas","Otro")))</f>
        <v/>
      </c>
      <c r="I4108" s="26" t="str">
        <f aca="false">IF(A4108="","",IF(C4108="No encontrado","No","Sí"))</f>
        <v/>
      </c>
      <c r="J4108" s="26" t="str">
        <f aca="false">IF(A4108="","",IF(F4108="Inactivo","No","Sí"))</f>
        <v/>
      </c>
      <c r="K4108" s="26" t="str">
        <f aca="false">IF(A4108="","",IF(AND(I4108="Sí",J4108="Sí"),"Sí","No"))</f>
        <v/>
      </c>
    </row>
    <row r="4109" customFormat="false" ht="15" hidden="false" customHeight="false" outlineLevel="0" collapsed="false">
      <c r="A4109" s="22"/>
      <c r="B4109" s="22"/>
      <c r="C4109" s="23" t="str">
        <f aca="false">IF(A4109="","",IFERROR(buscarx(A4109&amp;B4109,DATA!$E$3:$E$10000&amp;DATA!$B$3:$B$10000,DATA!$M$3:$M$10000),"No encontrado"))</f>
        <v/>
      </c>
      <c r="D4109" s="24" t="str">
        <f aca="false">IF(A4109="","",IFERROR(buscarx(A4109&amp;B4109,DATA!$E$3:$E$10000&amp;DATA!$B$3:$B$10000,DATA!$W$3:$W$10000),"No encontrado"))</f>
        <v/>
      </c>
      <c r="E4109" s="22"/>
      <c r="F4109" s="23" t="str">
        <f aca="false">IF(A4109="","",IFERROR(buscarx(A4109&amp;E4109,DATA!$E$3:$E$10000&amp;DATA!$B$3:$B$10000,DATA!$M$3:$M$10000),"Inactivo"))</f>
        <v/>
      </c>
      <c r="G4109" s="25" t="str">
        <f aca="false">IF(A4109="","",IF(AND(C4109&lt;&gt;"No encontrado",F4109&lt;&gt;"Inactivo"),C4109&amp;" → "&amp;F4109,"Sin transición"))</f>
        <v/>
      </c>
      <c r="H4109" s="23" t="str">
        <f aca="false">IF(A4109="","",IF(D4109="GCIA LINEA SERVICIO DIGITALIDAD Y VENTAS","Chats",IF(OR(D4109="GERENCIA INBOUND LÍNEAS SERVICIO Y VENTA",D4109="GERENCIA INBOUND LINEAS ESPECIALIZADAS"),"Llamadas","Otro")))</f>
        <v/>
      </c>
      <c r="I4109" s="23" t="str">
        <f aca="false">IF(A4109="","",IF(C4109="No encontrado","No","Sí"))</f>
        <v/>
      </c>
      <c r="J4109" s="23" t="str">
        <f aca="false">IF(A4109="","",IF(F4109="Inactivo","No","Sí"))</f>
        <v/>
      </c>
      <c r="K4109" s="23" t="str">
        <f aca="false">IF(A4109="","",IF(AND(I4109="Sí",J4109="Sí"),"Sí","No"))</f>
        <v/>
      </c>
    </row>
    <row r="4110" customFormat="false" ht="15" hidden="false" customHeight="false" outlineLevel="0" collapsed="false">
      <c r="A4110" s="22"/>
      <c r="B4110" s="22"/>
      <c r="C4110" s="26" t="str">
        <f aca="false">IF(A4110="","",IFERROR(buscarx(A4110&amp;B4110,DATA!$E$3:$E$10000&amp;DATA!$B$3:$B$10000,DATA!$M$3:$M$10000),"No encontrado"))</f>
        <v/>
      </c>
      <c r="D4110" s="27" t="str">
        <f aca="false">IF(A4110="","",IFERROR(buscarx(A4110&amp;B4110,DATA!$E$3:$E$10000&amp;DATA!$B$3:$B$10000,DATA!$W$3:$W$10000),"No encontrado"))</f>
        <v/>
      </c>
      <c r="E4110" s="22"/>
      <c r="F4110" s="26" t="str">
        <f aca="false">IF(A4110="","",IFERROR(buscarx(A4110&amp;E4110,DATA!$E$3:$E$10000&amp;DATA!$B$3:$B$10000,DATA!$M$3:$M$10000),"Inactivo"))</f>
        <v/>
      </c>
      <c r="G4110" s="28" t="str">
        <f aca="false">IF(A4110="","",IF(AND(C4110&lt;&gt;"No encontrado",F4110&lt;&gt;"Inactivo"),C4110&amp;" → "&amp;F4110,"Sin transición"))</f>
        <v/>
      </c>
      <c r="H4110" s="26" t="str">
        <f aca="false">IF(A4110="","",IF(D4110="GCIA LINEA SERVICIO DIGITALIDAD Y VENTAS","Chats",IF(OR(D4110="GERENCIA INBOUND LÍNEAS SERVICIO Y VENTA",D4110="GERENCIA INBOUND LINEAS ESPECIALIZADAS"),"Llamadas","Otro")))</f>
        <v/>
      </c>
      <c r="I4110" s="26" t="str">
        <f aca="false">IF(A4110="","",IF(C4110="No encontrado","No","Sí"))</f>
        <v/>
      </c>
      <c r="J4110" s="26" t="str">
        <f aca="false">IF(A4110="","",IF(F4110="Inactivo","No","Sí"))</f>
        <v/>
      </c>
      <c r="K4110" s="26" t="str">
        <f aca="false">IF(A4110="","",IF(AND(I4110="Sí",J4110="Sí"),"Sí","No"))</f>
        <v/>
      </c>
    </row>
    <row r="4111" customFormat="false" ht="15" hidden="false" customHeight="false" outlineLevel="0" collapsed="false">
      <c r="A4111" s="22"/>
      <c r="B4111" s="22"/>
      <c r="C4111" s="23" t="str">
        <f aca="false">IF(A4111="","",IFERROR(buscarx(A4111&amp;B4111,DATA!$E$3:$E$10000&amp;DATA!$B$3:$B$10000,DATA!$M$3:$M$10000),"No encontrado"))</f>
        <v/>
      </c>
      <c r="D4111" s="24" t="str">
        <f aca="false">IF(A4111="","",IFERROR(buscarx(A4111&amp;B4111,DATA!$E$3:$E$10000&amp;DATA!$B$3:$B$10000,DATA!$W$3:$W$10000),"No encontrado"))</f>
        <v/>
      </c>
      <c r="E4111" s="22"/>
      <c r="F4111" s="23" t="str">
        <f aca="false">IF(A4111="","",IFERROR(buscarx(A4111&amp;E4111,DATA!$E$3:$E$10000&amp;DATA!$B$3:$B$10000,DATA!$M$3:$M$10000),"Inactivo"))</f>
        <v/>
      </c>
      <c r="G4111" s="25" t="str">
        <f aca="false">IF(A4111="","",IF(AND(C4111&lt;&gt;"No encontrado",F4111&lt;&gt;"Inactivo"),C4111&amp;" → "&amp;F4111,"Sin transición"))</f>
        <v/>
      </c>
      <c r="H4111" s="23" t="str">
        <f aca="false">IF(A4111="","",IF(D4111="GCIA LINEA SERVICIO DIGITALIDAD Y VENTAS","Chats",IF(OR(D4111="GERENCIA INBOUND LÍNEAS SERVICIO Y VENTA",D4111="GERENCIA INBOUND LINEAS ESPECIALIZADAS"),"Llamadas","Otro")))</f>
        <v/>
      </c>
      <c r="I4111" s="23" t="str">
        <f aca="false">IF(A4111="","",IF(C4111="No encontrado","No","Sí"))</f>
        <v/>
      </c>
      <c r="J4111" s="23" t="str">
        <f aca="false">IF(A4111="","",IF(F4111="Inactivo","No","Sí"))</f>
        <v/>
      </c>
      <c r="K4111" s="23" t="str">
        <f aca="false">IF(A4111="","",IF(AND(I4111="Sí",J4111="Sí"),"Sí","No"))</f>
        <v/>
      </c>
    </row>
    <row r="4112" customFormat="false" ht="15" hidden="false" customHeight="false" outlineLevel="0" collapsed="false">
      <c r="A4112" s="22"/>
      <c r="B4112" s="22"/>
      <c r="C4112" s="26" t="str">
        <f aca="false">IF(A4112="","",IFERROR(buscarx(A4112&amp;B4112,DATA!$E$3:$E$10000&amp;DATA!$B$3:$B$10000,DATA!$M$3:$M$10000),"No encontrado"))</f>
        <v/>
      </c>
      <c r="D4112" s="27" t="str">
        <f aca="false">IF(A4112="","",IFERROR(buscarx(A4112&amp;B4112,DATA!$E$3:$E$10000&amp;DATA!$B$3:$B$10000,DATA!$W$3:$W$10000),"No encontrado"))</f>
        <v/>
      </c>
      <c r="E4112" s="22"/>
      <c r="F4112" s="26" t="str">
        <f aca="false">IF(A4112="","",IFERROR(buscarx(A4112&amp;E4112,DATA!$E$3:$E$10000&amp;DATA!$B$3:$B$10000,DATA!$M$3:$M$10000),"Inactivo"))</f>
        <v/>
      </c>
      <c r="G4112" s="28" t="str">
        <f aca="false">IF(A4112="","",IF(AND(C4112&lt;&gt;"No encontrado",F4112&lt;&gt;"Inactivo"),C4112&amp;" → "&amp;F4112,"Sin transición"))</f>
        <v/>
      </c>
      <c r="H4112" s="26" t="str">
        <f aca="false">IF(A4112="","",IF(D4112="GCIA LINEA SERVICIO DIGITALIDAD Y VENTAS","Chats",IF(OR(D4112="GERENCIA INBOUND LÍNEAS SERVICIO Y VENTA",D4112="GERENCIA INBOUND LINEAS ESPECIALIZADAS"),"Llamadas","Otro")))</f>
        <v/>
      </c>
      <c r="I4112" s="26" t="str">
        <f aca="false">IF(A4112="","",IF(C4112="No encontrado","No","Sí"))</f>
        <v/>
      </c>
      <c r="J4112" s="26" t="str">
        <f aca="false">IF(A4112="","",IF(F4112="Inactivo","No","Sí"))</f>
        <v/>
      </c>
      <c r="K4112" s="26" t="str">
        <f aca="false">IF(A4112="","",IF(AND(I4112="Sí",J4112="Sí"),"Sí","No"))</f>
        <v/>
      </c>
    </row>
    <row r="4113" customFormat="false" ht="15" hidden="false" customHeight="false" outlineLevel="0" collapsed="false">
      <c r="A4113" s="22"/>
      <c r="B4113" s="22"/>
      <c r="C4113" s="23" t="str">
        <f aca="false">IF(A4113="","",IFERROR(buscarx(A4113&amp;B4113,DATA!$E$3:$E$10000&amp;DATA!$B$3:$B$10000,DATA!$M$3:$M$10000),"No encontrado"))</f>
        <v/>
      </c>
      <c r="D4113" s="24" t="str">
        <f aca="false">IF(A4113="","",IFERROR(buscarx(A4113&amp;B4113,DATA!$E$3:$E$10000&amp;DATA!$B$3:$B$10000,DATA!$W$3:$W$10000),"No encontrado"))</f>
        <v/>
      </c>
      <c r="E4113" s="22"/>
      <c r="F4113" s="23" t="str">
        <f aca="false">IF(A4113="","",IFERROR(buscarx(A4113&amp;E4113,DATA!$E$3:$E$10000&amp;DATA!$B$3:$B$10000,DATA!$M$3:$M$10000),"Inactivo"))</f>
        <v/>
      </c>
      <c r="G4113" s="25" t="str">
        <f aca="false">IF(A4113="","",IF(AND(C4113&lt;&gt;"No encontrado",F4113&lt;&gt;"Inactivo"),C4113&amp;" → "&amp;F4113,"Sin transición"))</f>
        <v/>
      </c>
      <c r="H4113" s="23" t="str">
        <f aca="false">IF(A4113="","",IF(D4113="GCIA LINEA SERVICIO DIGITALIDAD Y VENTAS","Chats",IF(OR(D4113="GERENCIA INBOUND LÍNEAS SERVICIO Y VENTA",D4113="GERENCIA INBOUND LINEAS ESPECIALIZADAS"),"Llamadas","Otro")))</f>
        <v/>
      </c>
      <c r="I4113" s="23" t="str">
        <f aca="false">IF(A4113="","",IF(C4113="No encontrado","No","Sí"))</f>
        <v/>
      </c>
      <c r="J4113" s="23" t="str">
        <f aca="false">IF(A4113="","",IF(F4113="Inactivo","No","Sí"))</f>
        <v/>
      </c>
      <c r="K4113" s="23" t="str">
        <f aca="false">IF(A4113="","",IF(AND(I4113="Sí",J4113="Sí"),"Sí","No"))</f>
        <v/>
      </c>
    </row>
    <row r="4114" customFormat="false" ht="15" hidden="false" customHeight="false" outlineLevel="0" collapsed="false">
      <c r="A4114" s="22"/>
      <c r="B4114" s="22"/>
      <c r="C4114" s="26" t="str">
        <f aca="false">IF(A4114="","",IFERROR(buscarx(A4114&amp;B4114,DATA!$E$3:$E$10000&amp;DATA!$B$3:$B$10000,DATA!$M$3:$M$10000),"No encontrado"))</f>
        <v/>
      </c>
      <c r="D4114" s="27" t="str">
        <f aca="false">IF(A4114="","",IFERROR(buscarx(A4114&amp;B4114,DATA!$E$3:$E$10000&amp;DATA!$B$3:$B$10000,DATA!$W$3:$W$10000),"No encontrado"))</f>
        <v/>
      </c>
      <c r="E4114" s="22"/>
      <c r="F4114" s="26" t="str">
        <f aca="false">IF(A4114="","",IFERROR(buscarx(A4114&amp;E4114,DATA!$E$3:$E$10000&amp;DATA!$B$3:$B$10000,DATA!$M$3:$M$10000),"Inactivo"))</f>
        <v/>
      </c>
      <c r="G4114" s="28" t="str">
        <f aca="false">IF(A4114="","",IF(AND(C4114&lt;&gt;"No encontrado",F4114&lt;&gt;"Inactivo"),C4114&amp;" → "&amp;F4114,"Sin transición"))</f>
        <v/>
      </c>
      <c r="H4114" s="26" t="str">
        <f aca="false">IF(A4114="","",IF(D4114="GCIA LINEA SERVICIO DIGITALIDAD Y VENTAS","Chats",IF(OR(D4114="GERENCIA INBOUND LÍNEAS SERVICIO Y VENTA",D4114="GERENCIA INBOUND LINEAS ESPECIALIZADAS"),"Llamadas","Otro")))</f>
        <v/>
      </c>
      <c r="I4114" s="26" t="str">
        <f aca="false">IF(A4114="","",IF(C4114="No encontrado","No","Sí"))</f>
        <v/>
      </c>
      <c r="J4114" s="26" t="str">
        <f aca="false">IF(A4114="","",IF(F4114="Inactivo","No","Sí"))</f>
        <v/>
      </c>
      <c r="K4114" s="26" t="str">
        <f aca="false">IF(A4114="","",IF(AND(I4114="Sí",J4114="Sí"),"Sí","No"))</f>
        <v/>
      </c>
    </row>
    <row r="4115" customFormat="false" ht="15" hidden="false" customHeight="false" outlineLevel="0" collapsed="false">
      <c r="A4115" s="22"/>
      <c r="B4115" s="22"/>
      <c r="C4115" s="23" t="str">
        <f aca="false">IF(A4115="","",IFERROR(buscarx(A4115&amp;B4115,DATA!$E$3:$E$10000&amp;DATA!$B$3:$B$10000,DATA!$M$3:$M$10000),"No encontrado"))</f>
        <v/>
      </c>
      <c r="D4115" s="24" t="str">
        <f aca="false">IF(A4115="","",IFERROR(buscarx(A4115&amp;B4115,DATA!$E$3:$E$10000&amp;DATA!$B$3:$B$10000,DATA!$W$3:$W$10000),"No encontrado"))</f>
        <v/>
      </c>
      <c r="E4115" s="22"/>
      <c r="F4115" s="23" t="str">
        <f aca="false">IF(A4115="","",IFERROR(buscarx(A4115&amp;E4115,DATA!$E$3:$E$10000&amp;DATA!$B$3:$B$10000,DATA!$M$3:$M$10000),"Inactivo"))</f>
        <v/>
      </c>
      <c r="G4115" s="25" t="str">
        <f aca="false">IF(A4115="","",IF(AND(C4115&lt;&gt;"No encontrado",F4115&lt;&gt;"Inactivo"),C4115&amp;" → "&amp;F4115,"Sin transición"))</f>
        <v/>
      </c>
      <c r="H4115" s="23" t="str">
        <f aca="false">IF(A4115="","",IF(D4115="GCIA LINEA SERVICIO DIGITALIDAD Y VENTAS","Chats",IF(OR(D4115="GERENCIA INBOUND LÍNEAS SERVICIO Y VENTA",D4115="GERENCIA INBOUND LINEAS ESPECIALIZADAS"),"Llamadas","Otro")))</f>
        <v/>
      </c>
      <c r="I4115" s="23" t="str">
        <f aca="false">IF(A4115="","",IF(C4115="No encontrado","No","Sí"))</f>
        <v/>
      </c>
      <c r="J4115" s="23" t="str">
        <f aca="false">IF(A4115="","",IF(F4115="Inactivo","No","Sí"))</f>
        <v/>
      </c>
      <c r="K4115" s="23" t="str">
        <f aca="false">IF(A4115="","",IF(AND(I4115="Sí",J4115="Sí"),"Sí","No"))</f>
        <v/>
      </c>
    </row>
    <row r="4116" customFormat="false" ht="15" hidden="false" customHeight="false" outlineLevel="0" collapsed="false">
      <c r="A4116" s="22"/>
      <c r="B4116" s="22"/>
      <c r="C4116" s="26" t="str">
        <f aca="false">IF(A4116="","",IFERROR(buscarx(A4116&amp;B4116,DATA!$E$3:$E$10000&amp;DATA!$B$3:$B$10000,DATA!$M$3:$M$10000),"No encontrado"))</f>
        <v/>
      </c>
      <c r="D4116" s="27" t="str">
        <f aca="false">IF(A4116="","",IFERROR(buscarx(A4116&amp;B4116,DATA!$E$3:$E$10000&amp;DATA!$B$3:$B$10000,DATA!$W$3:$W$10000),"No encontrado"))</f>
        <v/>
      </c>
      <c r="E4116" s="22"/>
      <c r="F4116" s="26" t="str">
        <f aca="false">IF(A4116="","",IFERROR(buscarx(A4116&amp;E4116,DATA!$E$3:$E$10000&amp;DATA!$B$3:$B$10000,DATA!$M$3:$M$10000),"Inactivo"))</f>
        <v/>
      </c>
      <c r="G4116" s="28" t="str">
        <f aca="false">IF(A4116="","",IF(AND(C4116&lt;&gt;"No encontrado",F4116&lt;&gt;"Inactivo"),C4116&amp;" → "&amp;F4116,"Sin transición"))</f>
        <v/>
      </c>
      <c r="H4116" s="26" t="str">
        <f aca="false">IF(A4116="","",IF(D4116="GCIA LINEA SERVICIO DIGITALIDAD Y VENTAS","Chats",IF(OR(D4116="GERENCIA INBOUND LÍNEAS SERVICIO Y VENTA",D4116="GERENCIA INBOUND LINEAS ESPECIALIZADAS"),"Llamadas","Otro")))</f>
        <v/>
      </c>
      <c r="I4116" s="26" t="str">
        <f aca="false">IF(A4116="","",IF(C4116="No encontrado","No","Sí"))</f>
        <v/>
      </c>
      <c r="J4116" s="26" t="str">
        <f aca="false">IF(A4116="","",IF(F4116="Inactivo","No","Sí"))</f>
        <v/>
      </c>
      <c r="K4116" s="26" t="str">
        <f aca="false">IF(A4116="","",IF(AND(I4116="Sí",J4116="Sí"),"Sí","No"))</f>
        <v/>
      </c>
    </row>
    <row r="4117" customFormat="false" ht="15" hidden="false" customHeight="false" outlineLevel="0" collapsed="false">
      <c r="A4117" s="22"/>
      <c r="B4117" s="22"/>
      <c r="C4117" s="23" t="str">
        <f aca="false">IF(A4117="","",IFERROR(buscarx(A4117&amp;B4117,DATA!$E$3:$E$10000&amp;DATA!$B$3:$B$10000,DATA!$M$3:$M$10000),"No encontrado"))</f>
        <v/>
      </c>
      <c r="D4117" s="24" t="str">
        <f aca="false">IF(A4117="","",IFERROR(buscarx(A4117&amp;B4117,DATA!$E$3:$E$10000&amp;DATA!$B$3:$B$10000,DATA!$W$3:$W$10000),"No encontrado"))</f>
        <v/>
      </c>
      <c r="E4117" s="22"/>
      <c r="F4117" s="23" t="str">
        <f aca="false">IF(A4117="","",IFERROR(buscarx(A4117&amp;E4117,DATA!$E$3:$E$10000&amp;DATA!$B$3:$B$10000,DATA!$M$3:$M$10000),"Inactivo"))</f>
        <v/>
      </c>
      <c r="G4117" s="25" t="str">
        <f aca="false">IF(A4117="","",IF(AND(C4117&lt;&gt;"No encontrado",F4117&lt;&gt;"Inactivo"),C4117&amp;" → "&amp;F4117,"Sin transición"))</f>
        <v/>
      </c>
      <c r="H4117" s="23" t="str">
        <f aca="false">IF(A4117="","",IF(D4117="GCIA LINEA SERVICIO DIGITALIDAD Y VENTAS","Chats",IF(OR(D4117="GERENCIA INBOUND LÍNEAS SERVICIO Y VENTA",D4117="GERENCIA INBOUND LINEAS ESPECIALIZADAS"),"Llamadas","Otro")))</f>
        <v/>
      </c>
      <c r="I4117" s="23" t="str">
        <f aca="false">IF(A4117="","",IF(C4117="No encontrado","No","Sí"))</f>
        <v/>
      </c>
      <c r="J4117" s="23" t="str">
        <f aca="false">IF(A4117="","",IF(F4117="Inactivo","No","Sí"))</f>
        <v/>
      </c>
      <c r="K4117" s="23" t="str">
        <f aca="false">IF(A4117="","",IF(AND(I4117="Sí",J4117="Sí"),"Sí","No"))</f>
        <v/>
      </c>
    </row>
    <row r="4118" customFormat="false" ht="15" hidden="false" customHeight="false" outlineLevel="0" collapsed="false">
      <c r="A4118" s="22"/>
      <c r="B4118" s="22"/>
      <c r="C4118" s="26" t="str">
        <f aca="false">IF(A4118="","",IFERROR(buscarx(A4118&amp;B4118,DATA!$E$3:$E$10000&amp;DATA!$B$3:$B$10000,DATA!$M$3:$M$10000),"No encontrado"))</f>
        <v/>
      </c>
      <c r="D4118" s="27" t="str">
        <f aca="false">IF(A4118="","",IFERROR(buscarx(A4118&amp;B4118,DATA!$E$3:$E$10000&amp;DATA!$B$3:$B$10000,DATA!$W$3:$W$10000),"No encontrado"))</f>
        <v/>
      </c>
      <c r="E4118" s="22"/>
      <c r="F4118" s="26" t="str">
        <f aca="false">IF(A4118="","",IFERROR(buscarx(A4118&amp;E4118,DATA!$E$3:$E$10000&amp;DATA!$B$3:$B$10000,DATA!$M$3:$M$10000),"Inactivo"))</f>
        <v/>
      </c>
      <c r="G4118" s="28" t="str">
        <f aca="false">IF(A4118="","",IF(AND(C4118&lt;&gt;"No encontrado",F4118&lt;&gt;"Inactivo"),C4118&amp;" → "&amp;F4118,"Sin transición"))</f>
        <v/>
      </c>
      <c r="H4118" s="26" t="str">
        <f aca="false">IF(A4118="","",IF(D4118="GCIA LINEA SERVICIO DIGITALIDAD Y VENTAS","Chats",IF(OR(D4118="GERENCIA INBOUND LÍNEAS SERVICIO Y VENTA",D4118="GERENCIA INBOUND LINEAS ESPECIALIZADAS"),"Llamadas","Otro")))</f>
        <v/>
      </c>
      <c r="I4118" s="26" t="str">
        <f aca="false">IF(A4118="","",IF(C4118="No encontrado","No","Sí"))</f>
        <v/>
      </c>
      <c r="J4118" s="26" t="str">
        <f aca="false">IF(A4118="","",IF(F4118="Inactivo","No","Sí"))</f>
        <v/>
      </c>
      <c r="K4118" s="26" t="str">
        <f aca="false">IF(A4118="","",IF(AND(I4118="Sí",J4118="Sí"),"Sí","No"))</f>
        <v/>
      </c>
    </row>
    <row r="4119" customFormat="false" ht="15" hidden="false" customHeight="false" outlineLevel="0" collapsed="false">
      <c r="A4119" s="22"/>
      <c r="B4119" s="22"/>
      <c r="C4119" s="23" t="str">
        <f aca="false">IF(A4119="","",IFERROR(buscarx(A4119&amp;B4119,DATA!$E$3:$E$10000&amp;DATA!$B$3:$B$10000,DATA!$M$3:$M$10000),"No encontrado"))</f>
        <v/>
      </c>
      <c r="D4119" s="24" t="str">
        <f aca="false">IF(A4119="","",IFERROR(buscarx(A4119&amp;B4119,DATA!$E$3:$E$10000&amp;DATA!$B$3:$B$10000,DATA!$W$3:$W$10000),"No encontrado"))</f>
        <v/>
      </c>
      <c r="E4119" s="22"/>
      <c r="F4119" s="23" t="str">
        <f aca="false">IF(A4119="","",IFERROR(buscarx(A4119&amp;E4119,DATA!$E$3:$E$10000&amp;DATA!$B$3:$B$10000,DATA!$M$3:$M$10000),"Inactivo"))</f>
        <v/>
      </c>
      <c r="G4119" s="25" t="str">
        <f aca="false">IF(A4119="","",IF(AND(C4119&lt;&gt;"No encontrado",F4119&lt;&gt;"Inactivo"),C4119&amp;" → "&amp;F4119,"Sin transición"))</f>
        <v/>
      </c>
      <c r="H4119" s="23" t="str">
        <f aca="false">IF(A4119="","",IF(D4119="GCIA LINEA SERVICIO DIGITALIDAD Y VENTAS","Chats",IF(OR(D4119="GERENCIA INBOUND LÍNEAS SERVICIO Y VENTA",D4119="GERENCIA INBOUND LINEAS ESPECIALIZADAS"),"Llamadas","Otro")))</f>
        <v/>
      </c>
      <c r="I4119" s="23" t="str">
        <f aca="false">IF(A4119="","",IF(C4119="No encontrado","No","Sí"))</f>
        <v/>
      </c>
      <c r="J4119" s="23" t="str">
        <f aca="false">IF(A4119="","",IF(F4119="Inactivo","No","Sí"))</f>
        <v/>
      </c>
      <c r="K4119" s="23" t="str">
        <f aca="false">IF(A4119="","",IF(AND(I4119="Sí",J4119="Sí"),"Sí","No"))</f>
        <v/>
      </c>
    </row>
    <row r="4120" customFormat="false" ht="15" hidden="false" customHeight="false" outlineLevel="0" collapsed="false">
      <c r="A4120" s="22"/>
      <c r="B4120" s="22"/>
      <c r="C4120" s="26" t="str">
        <f aca="false">IF(A4120="","",IFERROR(buscarx(A4120&amp;B4120,DATA!$E$3:$E$10000&amp;DATA!$B$3:$B$10000,DATA!$M$3:$M$10000),"No encontrado"))</f>
        <v/>
      </c>
      <c r="D4120" s="27" t="str">
        <f aca="false">IF(A4120="","",IFERROR(buscarx(A4120&amp;B4120,DATA!$E$3:$E$10000&amp;DATA!$B$3:$B$10000,DATA!$W$3:$W$10000),"No encontrado"))</f>
        <v/>
      </c>
      <c r="E4120" s="22"/>
      <c r="F4120" s="26" t="str">
        <f aca="false">IF(A4120="","",IFERROR(buscarx(A4120&amp;E4120,DATA!$E$3:$E$10000&amp;DATA!$B$3:$B$10000,DATA!$M$3:$M$10000),"Inactivo"))</f>
        <v/>
      </c>
      <c r="G4120" s="28" t="str">
        <f aca="false">IF(A4120="","",IF(AND(C4120&lt;&gt;"No encontrado",F4120&lt;&gt;"Inactivo"),C4120&amp;" → "&amp;F4120,"Sin transición"))</f>
        <v/>
      </c>
      <c r="H4120" s="26" t="str">
        <f aca="false">IF(A4120="","",IF(D4120="GCIA LINEA SERVICIO DIGITALIDAD Y VENTAS","Chats",IF(OR(D4120="GERENCIA INBOUND LÍNEAS SERVICIO Y VENTA",D4120="GERENCIA INBOUND LINEAS ESPECIALIZADAS"),"Llamadas","Otro")))</f>
        <v/>
      </c>
      <c r="I4120" s="26" t="str">
        <f aca="false">IF(A4120="","",IF(C4120="No encontrado","No","Sí"))</f>
        <v/>
      </c>
      <c r="J4120" s="26" t="str">
        <f aca="false">IF(A4120="","",IF(F4120="Inactivo","No","Sí"))</f>
        <v/>
      </c>
      <c r="K4120" s="26" t="str">
        <f aca="false">IF(A4120="","",IF(AND(I4120="Sí",J4120="Sí"),"Sí","No"))</f>
        <v/>
      </c>
    </row>
    <row r="4121" customFormat="false" ht="15" hidden="false" customHeight="false" outlineLevel="0" collapsed="false">
      <c r="A4121" s="22"/>
      <c r="B4121" s="22"/>
      <c r="C4121" s="23" t="str">
        <f aca="false">IF(A4121="","",IFERROR(buscarx(A4121&amp;B4121,DATA!$E$3:$E$10000&amp;DATA!$B$3:$B$10000,DATA!$M$3:$M$10000),"No encontrado"))</f>
        <v/>
      </c>
      <c r="D4121" s="24" t="str">
        <f aca="false">IF(A4121="","",IFERROR(buscarx(A4121&amp;B4121,DATA!$E$3:$E$10000&amp;DATA!$B$3:$B$10000,DATA!$W$3:$W$10000),"No encontrado"))</f>
        <v/>
      </c>
      <c r="E4121" s="22"/>
      <c r="F4121" s="23" t="str">
        <f aca="false">IF(A4121="","",IFERROR(buscarx(A4121&amp;E4121,DATA!$E$3:$E$10000&amp;DATA!$B$3:$B$10000,DATA!$M$3:$M$10000),"Inactivo"))</f>
        <v/>
      </c>
      <c r="G4121" s="25" t="str">
        <f aca="false">IF(A4121="","",IF(AND(C4121&lt;&gt;"No encontrado",F4121&lt;&gt;"Inactivo"),C4121&amp;" → "&amp;F4121,"Sin transición"))</f>
        <v/>
      </c>
      <c r="H4121" s="23" t="str">
        <f aca="false">IF(A4121="","",IF(D4121="GCIA LINEA SERVICIO DIGITALIDAD Y VENTAS","Chats",IF(OR(D4121="GERENCIA INBOUND LÍNEAS SERVICIO Y VENTA",D4121="GERENCIA INBOUND LINEAS ESPECIALIZADAS"),"Llamadas","Otro")))</f>
        <v/>
      </c>
      <c r="I4121" s="23" t="str">
        <f aca="false">IF(A4121="","",IF(C4121="No encontrado","No","Sí"))</f>
        <v/>
      </c>
      <c r="J4121" s="23" t="str">
        <f aca="false">IF(A4121="","",IF(F4121="Inactivo","No","Sí"))</f>
        <v/>
      </c>
      <c r="K4121" s="23" t="str">
        <f aca="false">IF(A4121="","",IF(AND(I4121="Sí",J4121="Sí"),"Sí","No"))</f>
        <v/>
      </c>
    </row>
    <row r="4122" customFormat="false" ht="15" hidden="false" customHeight="false" outlineLevel="0" collapsed="false">
      <c r="A4122" s="22"/>
      <c r="B4122" s="22"/>
      <c r="C4122" s="26" t="str">
        <f aca="false">IF(A4122="","",IFERROR(buscarx(A4122&amp;B4122,DATA!$E$3:$E$10000&amp;DATA!$B$3:$B$10000,DATA!$M$3:$M$10000),"No encontrado"))</f>
        <v/>
      </c>
      <c r="D4122" s="27" t="str">
        <f aca="false">IF(A4122="","",IFERROR(buscarx(A4122&amp;B4122,DATA!$E$3:$E$10000&amp;DATA!$B$3:$B$10000,DATA!$W$3:$W$10000),"No encontrado"))</f>
        <v/>
      </c>
      <c r="E4122" s="22"/>
      <c r="F4122" s="26" t="str">
        <f aca="false">IF(A4122="","",IFERROR(buscarx(A4122&amp;E4122,DATA!$E$3:$E$10000&amp;DATA!$B$3:$B$10000,DATA!$M$3:$M$10000),"Inactivo"))</f>
        <v/>
      </c>
      <c r="G4122" s="28" t="str">
        <f aca="false">IF(A4122="","",IF(AND(C4122&lt;&gt;"No encontrado",F4122&lt;&gt;"Inactivo"),C4122&amp;" → "&amp;F4122,"Sin transición"))</f>
        <v/>
      </c>
      <c r="H4122" s="26" t="str">
        <f aca="false">IF(A4122="","",IF(D4122="GCIA LINEA SERVICIO DIGITALIDAD Y VENTAS","Chats",IF(OR(D4122="GERENCIA INBOUND LÍNEAS SERVICIO Y VENTA",D4122="GERENCIA INBOUND LINEAS ESPECIALIZADAS"),"Llamadas","Otro")))</f>
        <v/>
      </c>
      <c r="I4122" s="26" t="str">
        <f aca="false">IF(A4122="","",IF(C4122="No encontrado","No","Sí"))</f>
        <v/>
      </c>
      <c r="J4122" s="26" t="str">
        <f aca="false">IF(A4122="","",IF(F4122="Inactivo","No","Sí"))</f>
        <v/>
      </c>
      <c r="K4122" s="26" t="str">
        <f aca="false">IF(A4122="","",IF(AND(I4122="Sí",J4122="Sí"),"Sí","No"))</f>
        <v/>
      </c>
    </row>
    <row r="4123" customFormat="false" ht="15" hidden="false" customHeight="false" outlineLevel="0" collapsed="false">
      <c r="A4123" s="22"/>
      <c r="B4123" s="22"/>
      <c r="C4123" s="23" t="str">
        <f aca="false">IF(A4123="","",IFERROR(buscarx(A4123&amp;B4123,DATA!$E$3:$E$10000&amp;DATA!$B$3:$B$10000,DATA!$M$3:$M$10000),"No encontrado"))</f>
        <v/>
      </c>
      <c r="D4123" s="24" t="str">
        <f aca="false">IF(A4123="","",IFERROR(buscarx(A4123&amp;B4123,DATA!$E$3:$E$10000&amp;DATA!$B$3:$B$10000,DATA!$W$3:$W$10000),"No encontrado"))</f>
        <v/>
      </c>
      <c r="E4123" s="22"/>
      <c r="F4123" s="23" t="str">
        <f aca="false">IF(A4123="","",IFERROR(buscarx(A4123&amp;E4123,DATA!$E$3:$E$10000&amp;DATA!$B$3:$B$10000,DATA!$M$3:$M$10000),"Inactivo"))</f>
        <v/>
      </c>
      <c r="G4123" s="25" t="str">
        <f aca="false">IF(A4123="","",IF(AND(C4123&lt;&gt;"No encontrado",F4123&lt;&gt;"Inactivo"),C4123&amp;" → "&amp;F4123,"Sin transición"))</f>
        <v/>
      </c>
      <c r="H4123" s="23" t="str">
        <f aca="false">IF(A4123="","",IF(D4123="GCIA LINEA SERVICIO DIGITALIDAD Y VENTAS","Chats",IF(OR(D4123="GERENCIA INBOUND LÍNEAS SERVICIO Y VENTA",D4123="GERENCIA INBOUND LINEAS ESPECIALIZADAS"),"Llamadas","Otro")))</f>
        <v/>
      </c>
      <c r="I4123" s="23" t="str">
        <f aca="false">IF(A4123="","",IF(C4123="No encontrado","No","Sí"))</f>
        <v/>
      </c>
      <c r="J4123" s="23" t="str">
        <f aca="false">IF(A4123="","",IF(F4123="Inactivo","No","Sí"))</f>
        <v/>
      </c>
      <c r="K4123" s="23" t="str">
        <f aca="false">IF(A4123="","",IF(AND(I4123="Sí",J4123="Sí"),"Sí","No"))</f>
        <v/>
      </c>
    </row>
    <row r="4124" customFormat="false" ht="15" hidden="false" customHeight="false" outlineLevel="0" collapsed="false">
      <c r="A4124" s="22"/>
      <c r="B4124" s="22"/>
      <c r="C4124" s="26" t="str">
        <f aca="false">IF(A4124="","",IFERROR(buscarx(A4124&amp;B4124,DATA!$E$3:$E$10000&amp;DATA!$B$3:$B$10000,DATA!$M$3:$M$10000),"No encontrado"))</f>
        <v/>
      </c>
      <c r="D4124" s="27" t="str">
        <f aca="false">IF(A4124="","",IFERROR(buscarx(A4124&amp;B4124,DATA!$E$3:$E$10000&amp;DATA!$B$3:$B$10000,DATA!$W$3:$W$10000),"No encontrado"))</f>
        <v/>
      </c>
      <c r="E4124" s="22"/>
      <c r="F4124" s="26" t="str">
        <f aca="false">IF(A4124="","",IFERROR(buscarx(A4124&amp;E4124,DATA!$E$3:$E$10000&amp;DATA!$B$3:$B$10000,DATA!$M$3:$M$10000),"Inactivo"))</f>
        <v/>
      </c>
      <c r="G4124" s="28" t="str">
        <f aca="false">IF(A4124="","",IF(AND(C4124&lt;&gt;"No encontrado",F4124&lt;&gt;"Inactivo"),C4124&amp;" → "&amp;F4124,"Sin transición"))</f>
        <v/>
      </c>
      <c r="H4124" s="26" t="str">
        <f aca="false">IF(A4124="","",IF(D4124="GCIA LINEA SERVICIO DIGITALIDAD Y VENTAS","Chats",IF(OR(D4124="GERENCIA INBOUND LÍNEAS SERVICIO Y VENTA",D4124="GERENCIA INBOUND LINEAS ESPECIALIZADAS"),"Llamadas","Otro")))</f>
        <v/>
      </c>
      <c r="I4124" s="26" t="str">
        <f aca="false">IF(A4124="","",IF(C4124="No encontrado","No","Sí"))</f>
        <v/>
      </c>
      <c r="J4124" s="26" t="str">
        <f aca="false">IF(A4124="","",IF(F4124="Inactivo","No","Sí"))</f>
        <v/>
      </c>
      <c r="K4124" s="26" t="str">
        <f aca="false">IF(A4124="","",IF(AND(I4124="Sí",J4124="Sí"),"Sí","No"))</f>
        <v/>
      </c>
    </row>
    <row r="4125" customFormat="false" ht="15" hidden="false" customHeight="false" outlineLevel="0" collapsed="false">
      <c r="A4125" s="22"/>
      <c r="B4125" s="22"/>
      <c r="C4125" s="23" t="str">
        <f aca="false">IF(A4125="","",IFERROR(buscarx(A4125&amp;B4125,DATA!$E$3:$E$10000&amp;DATA!$B$3:$B$10000,DATA!$M$3:$M$10000),"No encontrado"))</f>
        <v/>
      </c>
      <c r="D4125" s="24" t="str">
        <f aca="false">IF(A4125="","",IFERROR(buscarx(A4125&amp;B4125,DATA!$E$3:$E$10000&amp;DATA!$B$3:$B$10000,DATA!$W$3:$W$10000),"No encontrado"))</f>
        <v/>
      </c>
      <c r="E4125" s="22"/>
      <c r="F4125" s="23" t="str">
        <f aca="false">IF(A4125="","",IFERROR(buscarx(A4125&amp;E4125,DATA!$E$3:$E$10000&amp;DATA!$B$3:$B$10000,DATA!$M$3:$M$10000),"Inactivo"))</f>
        <v/>
      </c>
      <c r="G4125" s="25" t="str">
        <f aca="false">IF(A4125="","",IF(AND(C4125&lt;&gt;"No encontrado",F4125&lt;&gt;"Inactivo"),C4125&amp;" → "&amp;F4125,"Sin transición"))</f>
        <v/>
      </c>
      <c r="H4125" s="23" t="str">
        <f aca="false">IF(A4125="","",IF(D4125="GCIA LINEA SERVICIO DIGITALIDAD Y VENTAS","Chats",IF(OR(D4125="GERENCIA INBOUND LÍNEAS SERVICIO Y VENTA",D4125="GERENCIA INBOUND LINEAS ESPECIALIZADAS"),"Llamadas","Otro")))</f>
        <v/>
      </c>
      <c r="I4125" s="23" t="str">
        <f aca="false">IF(A4125="","",IF(C4125="No encontrado","No","Sí"))</f>
        <v/>
      </c>
      <c r="J4125" s="23" t="str">
        <f aca="false">IF(A4125="","",IF(F4125="Inactivo","No","Sí"))</f>
        <v/>
      </c>
      <c r="K4125" s="23" t="str">
        <f aca="false">IF(A4125="","",IF(AND(I4125="Sí",J4125="Sí"),"Sí","No"))</f>
        <v/>
      </c>
    </row>
    <row r="4126" customFormat="false" ht="15" hidden="false" customHeight="false" outlineLevel="0" collapsed="false">
      <c r="A4126" s="22"/>
      <c r="B4126" s="22"/>
      <c r="C4126" s="26" t="str">
        <f aca="false">IF(A4126="","",IFERROR(buscarx(A4126&amp;B4126,DATA!$E$3:$E$10000&amp;DATA!$B$3:$B$10000,DATA!$M$3:$M$10000),"No encontrado"))</f>
        <v/>
      </c>
      <c r="D4126" s="27" t="str">
        <f aca="false">IF(A4126="","",IFERROR(buscarx(A4126&amp;B4126,DATA!$E$3:$E$10000&amp;DATA!$B$3:$B$10000,DATA!$W$3:$W$10000),"No encontrado"))</f>
        <v/>
      </c>
      <c r="E4126" s="22"/>
      <c r="F4126" s="26" t="str">
        <f aca="false">IF(A4126="","",IFERROR(buscarx(A4126&amp;E4126,DATA!$E$3:$E$10000&amp;DATA!$B$3:$B$10000,DATA!$M$3:$M$10000),"Inactivo"))</f>
        <v/>
      </c>
      <c r="G4126" s="28" t="str">
        <f aca="false">IF(A4126="","",IF(AND(C4126&lt;&gt;"No encontrado",F4126&lt;&gt;"Inactivo"),C4126&amp;" → "&amp;F4126,"Sin transición"))</f>
        <v/>
      </c>
      <c r="H4126" s="26" t="str">
        <f aca="false">IF(A4126="","",IF(D4126="GCIA LINEA SERVICIO DIGITALIDAD Y VENTAS","Chats",IF(OR(D4126="GERENCIA INBOUND LÍNEAS SERVICIO Y VENTA",D4126="GERENCIA INBOUND LINEAS ESPECIALIZADAS"),"Llamadas","Otro")))</f>
        <v/>
      </c>
      <c r="I4126" s="26" t="str">
        <f aca="false">IF(A4126="","",IF(C4126="No encontrado","No","Sí"))</f>
        <v/>
      </c>
      <c r="J4126" s="26" t="str">
        <f aca="false">IF(A4126="","",IF(F4126="Inactivo","No","Sí"))</f>
        <v/>
      </c>
      <c r="K4126" s="26" t="str">
        <f aca="false">IF(A4126="","",IF(AND(I4126="Sí",J4126="Sí"),"Sí","No"))</f>
        <v/>
      </c>
    </row>
    <row r="4127" customFormat="false" ht="15" hidden="false" customHeight="false" outlineLevel="0" collapsed="false">
      <c r="A4127" s="22"/>
      <c r="B4127" s="22"/>
      <c r="C4127" s="23" t="str">
        <f aca="false">IF(A4127="","",IFERROR(buscarx(A4127&amp;B4127,DATA!$E$3:$E$10000&amp;DATA!$B$3:$B$10000,DATA!$M$3:$M$10000),"No encontrado"))</f>
        <v/>
      </c>
      <c r="D4127" s="24" t="str">
        <f aca="false">IF(A4127="","",IFERROR(buscarx(A4127&amp;B4127,DATA!$E$3:$E$10000&amp;DATA!$B$3:$B$10000,DATA!$W$3:$W$10000),"No encontrado"))</f>
        <v/>
      </c>
      <c r="E4127" s="22"/>
      <c r="F4127" s="23" t="str">
        <f aca="false">IF(A4127="","",IFERROR(buscarx(A4127&amp;E4127,DATA!$E$3:$E$10000&amp;DATA!$B$3:$B$10000,DATA!$M$3:$M$10000),"Inactivo"))</f>
        <v/>
      </c>
      <c r="G4127" s="25" t="str">
        <f aca="false">IF(A4127="","",IF(AND(C4127&lt;&gt;"No encontrado",F4127&lt;&gt;"Inactivo"),C4127&amp;" → "&amp;F4127,"Sin transición"))</f>
        <v/>
      </c>
      <c r="H4127" s="23" t="str">
        <f aca="false">IF(A4127="","",IF(D4127="GCIA LINEA SERVICIO DIGITALIDAD Y VENTAS","Chats",IF(OR(D4127="GERENCIA INBOUND LÍNEAS SERVICIO Y VENTA",D4127="GERENCIA INBOUND LINEAS ESPECIALIZADAS"),"Llamadas","Otro")))</f>
        <v/>
      </c>
      <c r="I4127" s="23" t="str">
        <f aca="false">IF(A4127="","",IF(C4127="No encontrado","No","Sí"))</f>
        <v/>
      </c>
      <c r="J4127" s="23" t="str">
        <f aca="false">IF(A4127="","",IF(F4127="Inactivo","No","Sí"))</f>
        <v/>
      </c>
      <c r="K4127" s="23" t="str">
        <f aca="false">IF(A4127="","",IF(AND(I4127="Sí",J4127="Sí"),"Sí","No"))</f>
        <v/>
      </c>
    </row>
    <row r="4128" customFormat="false" ht="15" hidden="false" customHeight="false" outlineLevel="0" collapsed="false">
      <c r="A4128" s="22"/>
      <c r="B4128" s="22"/>
      <c r="C4128" s="26" t="str">
        <f aca="false">IF(A4128="","",IFERROR(buscarx(A4128&amp;B4128,DATA!$E$3:$E$10000&amp;DATA!$B$3:$B$10000,DATA!$M$3:$M$10000),"No encontrado"))</f>
        <v/>
      </c>
      <c r="D4128" s="27" t="str">
        <f aca="false">IF(A4128="","",IFERROR(buscarx(A4128&amp;B4128,DATA!$E$3:$E$10000&amp;DATA!$B$3:$B$10000,DATA!$W$3:$W$10000),"No encontrado"))</f>
        <v/>
      </c>
      <c r="E4128" s="22"/>
      <c r="F4128" s="26" t="str">
        <f aca="false">IF(A4128="","",IFERROR(buscarx(A4128&amp;E4128,DATA!$E$3:$E$10000&amp;DATA!$B$3:$B$10000,DATA!$M$3:$M$10000),"Inactivo"))</f>
        <v/>
      </c>
      <c r="G4128" s="28" t="str">
        <f aca="false">IF(A4128="","",IF(AND(C4128&lt;&gt;"No encontrado",F4128&lt;&gt;"Inactivo"),C4128&amp;" → "&amp;F4128,"Sin transición"))</f>
        <v/>
      </c>
      <c r="H4128" s="26" t="str">
        <f aca="false">IF(A4128="","",IF(D4128="GCIA LINEA SERVICIO DIGITALIDAD Y VENTAS","Chats",IF(OR(D4128="GERENCIA INBOUND LÍNEAS SERVICIO Y VENTA",D4128="GERENCIA INBOUND LINEAS ESPECIALIZADAS"),"Llamadas","Otro")))</f>
        <v/>
      </c>
      <c r="I4128" s="26" t="str">
        <f aca="false">IF(A4128="","",IF(C4128="No encontrado","No","Sí"))</f>
        <v/>
      </c>
      <c r="J4128" s="26" t="str">
        <f aca="false">IF(A4128="","",IF(F4128="Inactivo","No","Sí"))</f>
        <v/>
      </c>
      <c r="K4128" s="26" t="str">
        <f aca="false">IF(A4128="","",IF(AND(I4128="Sí",J4128="Sí"),"Sí","No"))</f>
        <v/>
      </c>
    </row>
    <row r="4129" customFormat="false" ht="15" hidden="false" customHeight="false" outlineLevel="0" collapsed="false">
      <c r="A4129" s="22"/>
      <c r="B4129" s="22"/>
      <c r="C4129" s="23" t="str">
        <f aca="false">IF(A4129="","",IFERROR(buscarx(A4129&amp;B4129,DATA!$E$3:$E$10000&amp;DATA!$B$3:$B$10000,DATA!$M$3:$M$10000),"No encontrado"))</f>
        <v/>
      </c>
      <c r="D4129" s="24" t="str">
        <f aca="false">IF(A4129="","",IFERROR(buscarx(A4129&amp;B4129,DATA!$E$3:$E$10000&amp;DATA!$B$3:$B$10000,DATA!$W$3:$W$10000),"No encontrado"))</f>
        <v/>
      </c>
      <c r="E4129" s="22"/>
      <c r="F4129" s="23" t="str">
        <f aca="false">IF(A4129="","",IFERROR(buscarx(A4129&amp;E4129,DATA!$E$3:$E$10000&amp;DATA!$B$3:$B$10000,DATA!$M$3:$M$10000),"Inactivo"))</f>
        <v/>
      </c>
      <c r="G4129" s="25" t="str">
        <f aca="false">IF(A4129="","",IF(AND(C4129&lt;&gt;"No encontrado",F4129&lt;&gt;"Inactivo"),C4129&amp;" → "&amp;F4129,"Sin transición"))</f>
        <v/>
      </c>
      <c r="H4129" s="23" t="str">
        <f aca="false">IF(A4129="","",IF(D4129="GCIA LINEA SERVICIO DIGITALIDAD Y VENTAS","Chats",IF(OR(D4129="GERENCIA INBOUND LÍNEAS SERVICIO Y VENTA",D4129="GERENCIA INBOUND LINEAS ESPECIALIZADAS"),"Llamadas","Otro")))</f>
        <v/>
      </c>
      <c r="I4129" s="23" t="str">
        <f aca="false">IF(A4129="","",IF(C4129="No encontrado","No","Sí"))</f>
        <v/>
      </c>
      <c r="J4129" s="23" t="str">
        <f aca="false">IF(A4129="","",IF(F4129="Inactivo","No","Sí"))</f>
        <v/>
      </c>
      <c r="K4129" s="23" t="str">
        <f aca="false">IF(A4129="","",IF(AND(I4129="Sí",J4129="Sí"),"Sí","No"))</f>
        <v/>
      </c>
    </row>
    <row r="4130" customFormat="false" ht="15" hidden="false" customHeight="false" outlineLevel="0" collapsed="false">
      <c r="A4130" s="22"/>
      <c r="B4130" s="22"/>
      <c r="C4130" s="26" t="str">
        <f aca="false">IF(A4130="","",IFERROR(buscarx(A4130&amp;B4130,DATA!$E$3:$E$10000&amp;DATA!$B$3:$B$10000,DATA!$M$3:$M$10000),"No encontrado"))</f>
        <v/>
      </c>
      <c r="D4130" s="27" t="str">
        <f aca="false">IF(A4130="","",IFERROR(buscarx(A4130&amp;B4130,DATA!$E$3:$E$10000&amp;DATA!$B$3:$B$10000,DATA!$W$3:$W$10000),"No encontrado"))</f>
        <v/>
      </c>
      <c r="E4130" s="22"/>
      <c r="F4130" s="26" t="str">
        <f aca="false">IF(A4130="","",IFERROR(buscarx(A4130&amp;E4130,DATA!$E$3:$E$10000&amp;DATA!$B$3:$B$10000,DATA!$M$3:$M$10000),"Inactivo"))</f>
        <v/>
      </c>
      <c r="G4130" s="28" t="str">
        <f aca="false">IF(A4130="","",IF(AND(C4130&lt;&gt;"No encontrado",F4130&lt;&gt;"Inactivo"),C4130&amp;" → "&amp;F4130,"Sin transición"))</f>
        <v/>
      </c>
      <c r="H4130" s="26" t="str">
        <f aca="false">IF(A4130="","",IF(D4130="GCIA LINEA SERVICIO DIGITALIDAD Y VENTAS","Chats",IF(OR(D4130="GERENCIA INBOUND LÍNEAS SERVICIO Y VENTA",D4130="GERENCIA INBOUND LINEAS ESPECIALIZADAS"),"Llamadas","Otro")))</f>
        <v/>
      </c>
      <c r="I4130" s="26" t="str">
        <f aca="false">IF(A4130="","",IF(C4130="No encontrado","No","Sí"))</f>
        <v/>
      </c>
      <c r="J4130" s="26" t="str">
        <f aca="false">IF(A4130="","",IF(F4130="Inactivo","No","Sí"))</f>
        <v/>
      </c>
      <c r="K4130" s="26" t="str">
        <f aca="false">IF(A4130="","",IF(AND(I4130="Sí",J4130="Sí"),"Sí","No"))</f>
        <v/>
      </c>
    </row>
    <row r="4131" customFormat="false" ht="15" hidden="false" customHeight="false" outlineLevel="0" collapsed="false">
      <c r="A4131" s="22"/>
      <c r="B4131" s="22"/>
      <c r="C4131" s="23" t="str">
        <f aca="false">IF(A4131="","",IFERROR(buscarx(A4131&amp;B4131,DATA!$E$3:$E$10000&amp;DATA!$B$3:$B$10000,DATA!$M$3:$M$10000),"No encontrado"))</f>
        <v/>
      </c>
      <c r="D4131" s="24" t="str">
        <f aca="false">IF(A4131="","",IFERROR(buscarx(A4131&amp;B4131,DATA!$E$3:$E$10000&amp;DATA!$B$3:$B$10000,DATA!$W$3:$W$10000),"No encontrado"))</f>
        <v/>
      </c>
      <c r="E4131" s="22"/>
      <c r="F4131" s="23" t="str">
        <f aca="false">IF(A4131="","",IFERROR(buscarx(A4131&amp;E4131,DATA!$E$3:$E$10000&amp;DATA!$B$3:$B$10000,DATA!$M$3:$M$10000),"Inactivo"))</f>
        <v/>
      </c>
      <c r="G4131" s="25" t="str">
        <f aca="false">IF(A4131="","",IF(AND(C4131&lt;&gt;"No encontrado",F4131&lt;&gt;"Inactivo"),C4131&amp;" → "&amp;F4131,"Sin transición"))</f>
        <v/>
      </c>
      <c r="H4131" s="23" t="str">
        <f aca="false">IF(A4131="","",IF(D4131="GCIA LINEA SERVICIO DIGITALIDAD Y VENTAS","Chats",IF(OR(D4131="GERENCIA INBOUND LÍNEAS SERVICIO Y VENTA",D4131="GERENCIA INBOUND LINEAS ESPECIALIZADAS"),"Llamadas","Otro")))</f>
        <v/>
      </c>
      <c r="I4131" s="23" t="str">
        <f aca="false">IF(A4131="","",IF(C4131="No encontrado","No","Sí"))</f>
        <v/>
      </c>
      <c r="J4131" s="23" t="str">
        <f aca="false">IF(A4131="","",IF(F4131="Inactivo","No","Sí"))</f>
        <v/>
      </c>
      <c r="K4131" s="23" t="str">
        <f aca="false">IF(A4131="","",IF(AND(I4131="Sí",J4131="Sí"),"Sí","No"))</f>
        <v/>
      </c>
    </row>
    <row r="4132" customFormat="false" ht="15" hidden="false" customHeight="false" outlineLevel="0" collapsed="false">
      <c r="A4132" s="22"/>
      <c r="B4132" s="22"/>
      <c r="C4132" s="26" t="str">
        <f aca="false">IF(A4132="","",IFERROR(buscarx(A4132&amp;B4132,DATA!$E$3:$E$10000&amp;DATA!$B$3:$B$10000,DATA!$M$3:$M$10000),"No encontrado"))</f>
        <v/>
      </c>
      <c r="D4132" s="27" t="str">
        <f aca="false">IF(A4132="","",IFERROR(buscarx(A4132&amp;B4132,DATA!$E$3:$E$10000&amp;DATA!$B$3:$B$10000,DATA!$W$3:$W$10000),"No encontrado"))</f>
        <v/>
      </c>
      <c r="E4132" s="22"/>
      <c r="F4132" s="26" t="str">
        <f aca="false">IF(A4132="","",IFERROR(buscarx(A4132&amp;E4132,DATA!$E$3:$E$10000&amp;DATA!$B$3:$B$10000,DATA!$M$3:$M$10000),"Inactivo"))</f>
        <v/>
      </c>
      <c r="G4132" s="28" t="str">
        <f aca="false">IF(A4132="","",IF(AND(C4132&lt;&gt;"No encontrado",F4132&lt;&gt;"Inactivo"),C4132&amp;" → "&amp;F4132,"Sin transición"))</f>
        <v/>
      </c>
      <c r="H4132" s="26" t="str">
        <f aca="false">IF(A4132="","",IF(D4132="GCIA LINEA SERVICIO DIGITALIDAD Y VENTAS","Chats",IF(OR(D4132="GERENCIA INBOUND LÍNEAS SERVICIO Y VENTA",D4132="GERENCIA INBOUND LINEAS ESPECIALIZADAS"),"Llamadas","Otro")))</f>
        <v/>
      </c>
      <c r="I4132" s="26" t="str">
        <f aca="false">IF(A4132="","",IF(C4132="No encontrado","No","Sí"))</f>
        <v/>
      </c>
      <c r="J4132" s="26" t="str">
        <f aca="false">IF(A4132="","",IF(F4132="Inactivo","No","Sí"))</f>
        <v/>
      </c>
      <c r="K4132" s="26" t="str">
        <f aca="false">IF(A4132="","",IF(AND(I4132="Sí",J4132="Sí"),"Sí","No"))</f>
        <v/>
      </c>
    </row>
    <row r="4133" customFormat="false" ht="15" hidden="false" customHeight="false" outlineLevel="0" collapsed="false">
      <c r="A4133" s="22"/>
      <c r="B4133" s="22"/>
      <c r="C4133" s="23" t="str">
        <f aca="false">IF(A4133="","",IFERROR(buscarx(A4133&amp;B4133,DATA!$E$3:$E$10000&amp;DATA!$B$3:$B$10000,DATA!$M$3:$M$10000),"No encontrado"))</f>
        <v/>
      </c>
      <c r="D4133" s="24" t="str">
        <f aca="false">IF(A4133="","",IFERROR(buscarx(A4133&amp;B4133,DATA!$E$3:$E$10000&amp;DATA!$B$3:$B$10000,DATA!$W$3:$W$10000),"No encontrado"))</f>
        <v/>
      </c>
      <c r="E4133" s="22"/>
      <c r="F4133" s="23" t="str">
        <f aca="false">IF(A4133="","",IFERROR(buscarx(A4133&amp;E4133,DATA!$E$3:$E$10000&amp;DATA!$B$3:$B$10000,DATA!$M$3:$M$10000),"Inactivo"))</f>
        <v/>
      </c>
      <c r="G4133" s="25" t="str">
        <f aca="false">IF(A4133="","",IF(AND(C4133&lt;&gt;"No encontrado",F4133&lt;&gt;"Inactivo"),C4133&amp;" → "&amp;F4133,"Sin transición"))</f>
        <v/>
      </c>
      <c r="H4133" s="23" t="str">
        <f aca="false">IF(A4133="","",IF(D4133="GCIA LINEA SERVICIO DIGITALIDAD Y VENTAS","Chats",IF(OR(D4133="GERENCIA INBOUND LÍNEAS SERVICIO Y VENTA",D4133="GERENCIA INBOUND LINEAS ESPECIALIZADAS"),"Llamadas","Otro")))</f>
        <v/>
      </c>
      <c r="I4133" s="23" t="str">
        <f aca="false">IF(A4133="","",IF(C4133="No encontrado","No","Sí"))</f>
        <v/>
      </c>
      <c r="J4133" s="23" t="str">
        <f aca="false">IF(A4133="","",IF(F4133="Inactivo","No","Sí"))</f>
        <v/>
      </c>
      <c r="K4133" s="23" t="str">
        <f aca="false">IF(A4133="","",IF(AND(I4133="Sí",J4133="Sí"),"Sí","No"))</f>
        <v/>
      </c>
    </row>
    <row r="4134" customFormat="false" ht="15" hidden="false" customHeight="false" outlineLevel="0" collapsed="false">
      <c r="A4134" s="22"/>
      <c r="B4134" s="22"/>
      <c r="C4134" s="26" t="str">
        <f aca="false">IF(A4134="","",IFERROR(buscarx(A4134&amp;B4134,DATA!$E$3:$E$10000&amp;DATA!$B$3:$B$10000,DATA!$M$3:$M$10000),"No encontrado"))</f>
        <v/>
      </c>
      <c r="D4134" s="27" t="str">
        <f aca="false">IF(A4134="","",IFERROR(buscarx(A4134&amp;B4134,DATA!$E$3:$E$10000&amp;DATA!$B$3:$B$10000,DATA!$W$3:$W$10000),"No encontrado"))</f>
        <v/>
      </c>
      <c r="E4134" s="22"/>
      <c r="F4134" s="26" t="str">
        <f aca="false">IF(A4134="","",IFERROR(buscarx(A4134&amp;E4134,DATA!$E$3:$E$10000&amp;DATA!$B$3:$B$10000,DATA!$M$3:$M$10000),"Inactivo"))</f>
        <v/>
      </c>
      <c r="G4134" s="28" t="str">
        <f aca="false">IF(A4134="","",IF(AND(C4134&lt;&gt;"No encontrado",F4134&lt;&gt;"Inactivo"),C4134&amp;" → "&amp;F4134,"Sin transición"))</f>
        <v/>
      </c>
      <c r="H4134" s="26" t="str">
        <f aca="false">IF(A4134="","",IF(D4134="GCIA LINEA SERVICIO DIGITALIDAD Y VENTAS","Chats",IF(OR(D4134="GERENCIA INBOUND LÍNEAS SERVICIO Y VENTA",D4134="GERENCIA INBOUND LINEAS ESPECIALIZADAS"),"Llamadas","Otro")))</f>
        <v/>
      </c>
      <c r="I4134" s="26" t="str">
        <f aca="false">IF(A4134="","",IF(C4134="No encontrado","No","Sí"))</f>
        <v/>
      </c>
      <c r="J4134" s="26" t="str">
        <f aca="false">IF(A4134="","",IF(F4134="Inactivo","No","Sí"))</f>
        <v/>
      </c>
      <c r="K4134" s="26" t="str">
        <f aca="false">IF(A4134="","",IF(AND(I4134="Sí",J4134="Sí"),"Sí","No"))</f>
        <v/>
      </c>
    </row>
    <row r="4135" customFormat="false" ht="15" hidden="false" customHeight="false" outlineLevel="0" collapsed="false">
      <c r="A4135" s="22"/>
      <c r="B4135" s="22"/>
      <c r="C4135" s="23" t="str">
        <f aca="false">IF(A4135="","",IFERROR(buscarx(A4135&amp;B4135,DATA!$E$3:$E$10000&amp;DATA!$B$3:$B$10000,DATA!$M$3:$M$10000),"No encontrado"))</f>
        <v/>
      </c>
      <c r="D4135" s="24" t="str">
        <f aca="false">IF(A4135="","",IFERROR(buscarx(A4135&amp;B4135,DATA!$E$3:$E$10000&amp;DATA!$B$3:$B$10000,DATA!$W$3:$W$10000),"No encontrado"))</f>
        <v/>
      </c>
      <c r="E4135" s="22"/>
      <c r="F4135" s="23" t="str">
        <f aca="false">IF(A4135="","",IFERROR(buscarx(A4135&amp;E4135,DATA!$E$3:$E$10000&amp;DATA!$B$3:$B$10000,DATA!$M$3:$M$10000),"Inactivo"))</f>
        <v/>
      </c>
      <c r="G4135" s="25" t="str">
        <f aca="false">IF(A4135="","",IF(AND(C4135&lt;&gt;"No encontrado",F4135&lt;&gt;"Inactivo"),C4135&amp;" → "&amp;F4135,"Sin transición"))</f>
        <v/>
      </c>
      <c r="H4135" s="23" t="str">
        <f aca="false">IF(A4135="","",IF(D4135="GCIA LINEA SERVICIO DIGITALIDAD Y VENTAS","Chats",IF(OR(D4135="GERENCIA INBOUND LÍNEAS SERVICIO Y VENTA",D4135="GERENCIA INBOUND LINEAS ESPECIALIZADAS"),"Llamadas","Otro")))</f>
        <v/>
      </c>
      <c r="I4135" s="23" t="str">
        <f aca="false">IF(A4135="","",IF(C4135="No encontrado","No","Sí"))</f>
        <v/>
      </c>
      <c r="J4135" s="23" t="str">
        <f aca="false">IF(A4135="","",IF(F4135="Inactivo","No","Sí"))</f>
        <v/>
      </c>
      <c r="K4135" s="23" t="str">
        <f aca="false">IF(A4135="","",IF(AND(I4135="Sí",J4135="Sí"),"Sí","No"))</f>
        <v/>
      </c>
    </row>
    <row r="4136" customFormat="false" ht="15" hidden="false" customHeight="false" outlineLevel="0" collapsed="false">
      <c r="A4136" s="22"/>
      <c r="B4136" s="22"/>
      <c r="C4136" s="26" t="str">
        <f aca="false">IF(A4136="","",IFERROR(buscarx(A4136&amp;B4136,DATA!$E$3:$E$10000&amp;DATA!$B$3:$B$10000,DATA!$M$3:$M$10000),"No encontrado"))</f>
        <v/>
      </c>
      <c r="D4136" s="27" t="str">
        <f aca="false">IF(A4136="","",IFERROR(buscarx(A4136&amp;B4136,DATA!$E$3:$E$10000&amp;DATA!$B$3:$B$10000,DATA!$W$3:$W$10000),"No encontrado"))</f>
        <v/>
      </c>
      <c r="E4136" s="22"/>
      <c r="F4136" s="26" t="str">
        <f aca="false">IF(A4136="","",IFERROR(buscarx(A4136&amp;E4136,DATA!$E$3:$E$10000&amp;DATA!$B$3:$B$10000,DATA!$M$3:$M$10000),"Inactivo"))</f>
        <v/>
      </c>
      <c r="G4136" s="28" t="str">
        <f aca="false">IF(A4136="","",IF(AND(C4136&lt;&gt;"No encontrado",F4136&lt;&gt;"Inactivo"),C4136&amp;" → "&amp;F4136,"Sin transición"))</f>
        <v/>
      </c>
      <c r="H4136" s="26" t="str">
        <f aca="false">IF(A4136="","",IF(D4136="GCIA LINEA SERVICIO DIGITALIDAD Y VENTAS","Chats",IF(OR(D4136="GERENCIA INBOUND LÍNEAS SERVICIO Y VENTA",D4136="GERENCIA INBOUND LINEAS ESPECIALIZADAS"),"Llamadas","Otro")))</f>
        <v/>
      </c>
      <c r="I4136" s="26" t="str">
        <f aca="false">IF(A4136="","",IF(C4136="No encontrado","No","Sí"))</f>
        <v/>
      </c>
      <c r="J4136" s="26" t="str">
        <f aca="false">IF(A4136="","",IF(F4136="Inactivo","No","Sí"))</f>
        <v/>
      </c>
      <c r="K4136" s="26" t="str">
        <f aca="false">IF(A4136="","",IF(AND(I4136="Sí",J4136="Sí"),"Sí","No"))</f>
        <v/>
      </c>
    </row>
    <row r="4137" customFormat="false" ht="15" hidden="false" customHeight="false" outlineLevel="0" collapsed="false">
      <c r="A4137" s="22"/>
      <c r="B4137" s="22"/>
      <c r="C4137" s="23" t="str">
        <f aca="false">IF(A4137="","",IFERROR(buscarx(A4137&amp;B4137,DATA!$E$3:$E$10000&amp;DATA!$B$3:$B$10000,DATA!$M$3:$M$10000),"No encontrado"))</f>
        <v/>
      </c>
      <c r="D4137" s="24" t="str">
        <f aca="false">IF(A4137="","",IFERROR(buscarx(A4137&amp;B4137,DATA!$E$3:$E$10000&amp;DATA!$B$3:$B$10000,DATA!$W$3:$W$10000),"No encontrado"))</f>
        <v/>
      </c>
      <c r="E4137" s="22"/>
      <c r="F4137" s="23" t="str">
        <f aca="false">IF(A4137="","",IFERROR(buscarx(A4137&amp;E4137,DATA!$E$3:$E$10000&amp;DATA!$B$3:$B$10000,DATA!$M$3:$M$10000),"Inactivo"))</f>
        <v/>
      </c>
      <c r="G4137" s="25" t="str">
        <f aca="false">IF(A4137="","",IF(AND(C4137&lt;&gt;"No encontrado",F4137&lt;&gt;"Inactivo"),C4137&amp;" → "&amp;F4137,"Sin transición"))</f>
        <v/>
      </c>
      <c r="H4137" s="23" t="str">
        <f aca="false">IF(A4137="","",IF(D4137="GCIA LINEA SERVICIO DIGITALIDAD Y VENTAS","Chats",IF(OR(D4137="GERENCIA INBOUND LÍNEAS SERVICIO Y VENTA",D4137="GERENCIA INBOUND LINEAS ESPECIALIZADAS"),"Llamadas","Otro")))</f>
        <v/>
      </c>
      <c r="I4137" s="23" t="str">
        <f aca="false">IF(A4137="","",IF(C4137="No encontrado","No","Sí"))</f>
        <v/>
      </c>
      <c r="J4137" s="23" t="str">
        <f aca="false">IF(A4137="","",IF(F4137="Inactivo","No","Sí"))</f>
        <v/>
      </c>
      <c r="K4137" s="23" t="str">
        <f aca="false">IF(A4137="","",IF(AND(I4137="Sí",J4137="Sí"),"Sí","No"))</f>
        <v/>
      </c>
    </row>
    <row r="4138" customFormat="false" ht="15" hidden="false" customHeight="false" outlineLevel="0" collapsed="false">
      <c r="A4138" s="22"/>
      <c r="B4138" s="22"/>
      <c r="C4138" s="26" t="str">
        <f aca="false">IF(A4138="","",IFERROR(buscarx(A4138&amp;B4138,DATA!$E$3:$E$10000&amp;DATA!$B$3:$B$10000,DATA!$M$3:$M$10000),"No encontrado"))</f>
        <v/>
      </c>
      <c r="D4138" s="27" t="str">
        <f aca="false">IF(A4138="","",IFERROR(buscarx(A4138&amp;B4138,DATA!$E$3:$E$10000&amp;DATA!$B$3:$B$10000,DATA!$W$3:$W$10000),"No encontrado"))</f>
        <v/>
      </c>
      <c r="E4138" s="22"/>
      <c r="F4138" s="26" t="str">
        <f aca="false">IF(A4138="","",IFERROR(buscarx(A4138&amp;E4138,DATA!$E$3:$E$10000&amp;DATA!$B$3:$B$10000,DATA!$M$3:$M$10000),"Inactivo"))</f>
        <v/>
      </c>
      <c r="G4138" s="28" t="str">
        <f aca="false">IF(A4138="","",IF(AND(C4138&lt;&gt;"No encontrado",F4138&lt;&gt;"Inactivo"),C4138&amp;" → "&amp;F4138,"Sin transición"))</f>
        <v/>
      </c>
      <c r="H4138" s="26" t="str">
        <f aca="false">IF(A4138="","",IF(D4138="GCIA LINEA SERVICIO DIGITALIDAD Y VENTAS","Chats",IF(OR(D4138="GERENCIA INBOUND LÍNEAS SERVICIO Y VENTA",D4138="GERENCIA INBOUND LINEAS ESPECIALIZADAS"),"Llamadas","Otro")))</f>
        <v/>
      </c>
      <c r="I4138" s="26" t="str">
        <f aca="false">IF(A4138="","",IF(C4138="No encontrado","No","Sí"))</f>
        <v/>
      </c>
      <c r="J4138" s="26" t="str">
        <f aca="false">IF(A4138="","",IF(F4138="Inactivo","No","Sí"))</f>
        <v/>
      </c>
      <c r="K4138" s="26" t="str">
        <f aca="false">IF(A4138="","",IF(AND(I4138="Sí",J4138="Sí"),"Sí","No"))</f>
        <v/>
      </c>
    </row>
    <row r="4139" customFormat="false" ht="15" hidden="false" customHeight="false" outlineLevel="0" collapsed="false">
      <c r="A4139" s="22"/>
      <c r="B4139" s="22"/>
      <c r="C4139" s="23" t="str">
        <f aca="false">IF(A4139="","",IFERROR(buscarx(A4139&amp;B4139,DATA!$E$3:$E$10000&amp;DATA!$B$3:$B$10000,DATA!$M$3:$M$10000),"No encontrado"))</f>
        <v/>
      </c>
      <c r="D4139" s="24" t="str">
        <f aca="false">IF(A4139="","",IFERROR(buscarx(A4139&amp;B4139,DATA!$E$3:$E$10000&amp;DATA!$B$3:$B$10000,DATA!$W$3:$W$10000),"No encontrado"))</f>
        <v/>
      </c>
      <c r="E4139" s="22"/>
      <c r="F4139" s="23" t="str">
        <f aca="false">IF(A4139="","",IFERROR(buscarx(A4139&amp;E4139,DATA!$E$3:$E$10000&amp;DATA!$B$3:$B$10000,DATA!$M$3:$M$10000),"Inactivo"))</f>
        <v/>
      </c>
      <c r="G4139" s="25" t="str">
        <f aca="false">IF(A4139="","",IF(AND(C4139&lt;&gt;"No encontrado",F4139&lt;&gt;"Inactivo"),C4139&amp;" → "&amp;F4139,"Sin transición"))</f>
        <v/>
      </c>
      <c r="H4139" s="23" t="str">
        <f aca="false">IF(A4139="","",IF(D4139="GCIA LINEA SERVICIO DIGITALIDAD Y VENTAS","Chats",IF(OR(D4139="GERENCIA INBOUND LÍNEAS SERVICIO Y VENTA",D4139="GERENCIA INBOUND LINEAS ESPECIALIZADAS"),"Llamadas","Otro")))</f>
        <v/>
      </c>
      <c r="I4139" s="23" t="str">
        <f aca="false">IF(A4139="","",IF(C4139="No encontrado","No","Sí"))</f>
        <v/>
      </c>
      <c r="J4139" s="23" t="str">
        <f aca="false">IF(A4139="","",IF(F4139="Inactivo","No","Sí"))</f>
        <v/>
      </c>
      <c r="K4139" s="23" t="str">
        <f aca="false">IF(A4139="","",IF(AND(I4139="Sí",J4139="Sí"),"Sí","No"))</f>
        <v/>
      </c>
    </row>
    <row r="4140" customFormat="false" ht="15" hidden="false" customHeight="false" outlineLevel="0" collapsed="false">
      <c r="A4140" s="22"/>
      <c r="B4140" s="22"/>
      <c r="C4140" s="26" t="str">
        <f aca="false">IF(A4140="","",IFERROR(buscarx(A4140&amp;B4140,DATA!$E$3:$E$10000&amp;DATA!$B$3:$B$10000,DATA!$M$3:$M$10000),"No encontrado"))</f>
        <v/>
      </c>
      <c r="D4140" s="27" t="str">
        <f aca="false">IF(A4140="","",IFERROR(buscarx(A4140&amp;B4140,DATA!$E$3:$E$10000&amp;DATA!$B$3:$B$10000,DATA!$W$3:$W$10000),"No encontrado"))</f>
        <v/>
      </c>
      <c r="E4140" s="22"/>
      <c r="F4140" s="26" t="str">
        <f aca="false">IF(A4140="","",IFERROR(buscarx(A4140&amp;E4140,DATA!$E$3:$E$10000&amp;DATA!$B$3:$B$10000,DATA!$M$3:$M$10000),"Inactivo"))</f>
        <v/>
      </c>
      <c r="G4140" s="28" t="str">
        <f aca="false">IF(A4140="","",IF(AND(C4140&lt;&gt;"No encontrado",F4140&lt;&gt;"Inactivo"),C4140&amp;" → "&amp;F4140,"Sin transición"))</f>
        <v/>
      </c>
      <c r="H4140" s="26" t="str">
        <f aca="false">IF(A4140="","",IF(D4140="GCIA LINEA SERVICIO DIGITALIDAD Y VENTAS","Chats",IF(OR(D4140="GERENCIA INBOUND LÍNEAS SERVICIO Y VENTA",D4140="GERENCIA INBOUND LINEAS ESPECIALIZADAS"),"Llamadas","Otro")))</f>
        <v/>
      </c>
      <c r="I4140" s="26" t="str">
        <f aca="false">IF(A4140="","",IF(C4140="No encontrado","No","Sí"))</f>
        <v/>
      </c>
      <c r="J4140" s="26" t="str">
        <f aca="false">IF(A4140="","",IF(F4140="Inactivo","No","Sí"))</f>
        <v/>
      </c>
      <c r="K4140" s="26" t="str">
        <f aca="false">IF(A4140="","",IF(AND(I4140="Sí",J4140="Sí"),"Sí","No"))</f>
        <v/>
      </c>
    </row>
    <row r="4141" customFormat="false" ht="15" hidden="false" customHeight="false" outlineLevel="0" collapsed="false">
      <c r="A4141" s="22"/>
      <c r="B4141" s="22"/>
      <c r="C4141" s="23" t="str">
        <f aca="false">IF(A4141="","",IFERROR(buscarx(A4141&amp;B4141,DATA!$E$3:$E$10000&amp;DATA!$B$3:$B$10000,DATA!$M$3:$M$10000),"No encontrado"))</f>
        <v/>
      </c>
      <c r="D4141" s="24" t="str">
        <f aca="false">IF(A4141="","",IFERROR(buscarx(A4141&amp;B4141,DATA!$E$3:$E$10000&amp;DATA!$B$3:$B$10000,DATA!$W$3:$W$10000),"No encontrado"))</f>
        <v/>
      </c>
      <c r="E4141" s="22"/>
      <c r="F4141" s="23" t="str">
        <f aca="false">IF(A4141="","",IFERROR(buscarx(A4141&amp;E4141,DATA!$E$3:$E$10000&amp;DATA!$B$3:$B$10000,DATA!$M$3:$M$10000),"Inactivo"))</f>
        <v/>
      </c>
      <c r="G4141" s="25" t="str">
        <f aca="false">IF(A4141="","",IF(AND(C4141&lt;&gt;"No encontrado",F4141&lt;&gt;"Inactivo"),C4141&amp;" → "&amp;F4141,"Sin transición"))</f>
        <v/>
      </c>
      <c r="H4141" s="23" t="str">
        <f aca="false">IF(A4141="","",IF(D4141="GCIA LINEA SERVICIO DIGITALIDAD Y VENTAS","Chats",IF(OR(D4141="GERENCIA INBOUND LÍNEAS SERVICIO Y VENTA",D4141="GERENCIA INBOUND LINEAS ESPECIALIZADAS"),"Llamadas","Otro")))</f>
        <v/>
      </c>
      <c r="I4141" s="23" t="str">
        <f aca="false">IF(A4141="","",IF(C4141="No encontrado","No","Sí"))</f>
        <v/>
      </c>
      <c r="J4141" s="23" t="str">
        <f aca="false">IF(A4141="","",IF(F4141="Inactivo","No","Sí"))</f>
        <v/>
      </c>
      <c r="K4141" s="23" t="str">
        <f aca="false">IF(A4141="","",IF(AND(I4141="Sí",J4141="Sí"),"Sí","No"))</f>
        <v/>
      </c>
    </row>
    <row r="4142" customFormat="false" ht="15" hidden="false" customHeight="false" outlineLevel="0" collapsed="false">
      <c r="A4142" s="22"/>
      <c r="B4142" s="22"/>
      <c r="C4142" s="26" t="str">
        <f aca="false">IF(A4142="","",IFERROR(buscarx(A4142&amp;B4142,DATA!$E$3:$E$10000&amp;DATA!$B$3:$B$10000,DATA!$M$3:$M$10000),"No encontrado"))</f>
        <v/>
      </c>
      <c r="D4142" s="27" t="str">
        <f aca="false">IF(A4142="","",IFERROR(buscarx(A4142&amp;B4142,DATA!$E$3:$E$10000&amp;DATA!$B$3:$B$10000,DATA!$W$3:$W$10000),"No encontrado"))</f>
        <v/>
      </c>
      <c r="E4142" s="22"/>
      <c r="F4142" s="26" t="str">
        <f aca="false">IF(A4142="","",IFERROR(buscarx(A4142&amp;E4142,DATA!$E$3:$E$10000&amp;DATA!$B$3:$B$10000,DATA!$M$3:$M$10000),"Inactivo"))</f>
        <v/>
      </c>
      <c r="G4142" s="28" t="str">
        <f aca="false">IF(A4142="","",IF(AND(C4142&lt;&gt;"No encontrado",F4142&lt;&gt;"Inactivo"),C4142&amp;" → "&amp;F4142,"Sin transición"))</f>
        <v/>
      </c>
      <c r="H4142" s="26" t="str">
        <f aca="false">IF(A4142="","",IF(D4142="GCIA LINEA SERVICIO DIGITALIDAD Y VENTAS","Chats",IF(OR(D4142="GERENCIA INBOUND LÍNEAS SERVICIO Y VENTA",D4142="GERENCIA INBOUND LINEAS ESPECIALIZADAS"),"Llamadas","Otro")))</f>
        <v/>
      </c>
      <c r="I4142" s="26" t="str">
        <f aca="false">IF(A4142="","",IF(C4142="No encontrado","No","Sí"))</f>
        <v/>
      </c>
      <c r="J4142" s="26" t="str">
        <f aca="false">IF(A4142="","",IF(F4142="Inactivo","No","Sí"))</f>
        <v/>
      </c>
      <c r="K4142" s="26" t="str">
        <f aca="false">IF(A4142="","",IF(AND(I4142="Sí",J4142="Sí"),"Sí","No"))</f>
        <v/>
      </c>
    </row>
    <row r="4143" customFormat="false" ht="15" hidden="false" customHeight="false" outlineLevel="0" collapsed="false">
      <c r="A4143" s="22"/>
      <c r="B4143" s="22"/>
      <c r="C4143" s="23" t="str">
        <f aca="false">IF(A4143="","",IFERROR(buscarx(A4143&amp;B4143,DATA!$E$3:$E$10000&amp;DATA!$B$3:$B$10000,DATA!$M$3:$M$10000),"No encontrado"))</f>
        <v/>
      </c>
      <c r="D4143" s="24" t="str">
        <f aca="false">IF(A4143="","",IFERROR(buscarx(A4143&amp;B4143,DATA!$E$3:$E$10000&amp;DATA!$B$3:$B$10000,DATA!$W$3:$W$10000),"No encontrado"))</f>
        <v/>
      </c>
      <c r="E4143" s="22"/>
      <c r="F4143" s="23" t="str">
        <f aca="false">IF(A4143="","",IFERROR(buscarx(A4143&amp;E4143,DATA!$E$3:$E$10000&amp;DATA!$B$3:$B$10000,DATA!$M$3:$M$10000),"Inactivo"))</f>
        <v/>
      </c>
      <c r="G4143" s="25" t="str">
        <f aca="false">IF(A4143="","",IF(AND(C4143&lt;&gt;"No encontrado",F4143&lt;&gt;"Inactivo"),C4143&amp;" → "&amp;F4143,"Sin transición"))</f>
        <v/>
      </c>
      <c r="H4143" s="23" t="str">
        <f aca="false">IF(A4143="","",IF(D4143="GCIA LINEA SERVICIO DIGITALIDAD Y VENTAS","Chats",IF(OR(D4143="GERENCIA INBOUND LÍNEAS SERVICIO Y VENTA",D4143="GERENCIA INBOUND LINEAS ESPECIALIZADAS"),"Llamadas","Otro")))</f>
        <v/>
      </c>
      <c r="I4143" s="23" t="str">
        <f aca="false">IF(A4143="","",IF(C4143="No encontrado","No","Sí"))</f>
        <v/>
      </c>
      <c r="J4143" s="23" t="str">
        <f aca="false">IF(A4143="","",IF(F4143="Inactivo","No","Sí"))</f>
        <v/>
      </c>
      <c r="K4143" s="23" t="str">
        <f aca="false">IF(A4143="","",IF(AND(I4143="Sí",J4143="Sí"),"Sí","No"))</f>
        <v/>
      </c>
    </row>
    <row r="4144" customFormat="false" ht="15" hidden="false" customHeight="false" outlineLevel="0" collapsed="false">
      <c r="A4144" s="22"/>
      <c r="B4144" s="22"/>
      <c r="C4144" s="26" t="str">
        <f aca="false">IF(A4144="","",IFERROR(buscarx(A4144&amp;B4144,DATA!$E$3:$E$10000&amp;DATA!$B$3:$B$10000,DATA!$M$3:$M$10000),"No encontrado"))</f>
        <v/>
      </c>
      <c r="D4144" s="27" t="str">
        <f aca="false">IF(A4144="","",IFERROR(buscarx(A4144&amp;B4144,DATA!$E$3:$E$10000&amp;DATA!$B$3:$B$10000,DATA!$W$3:$W$10000),"No encontrado"))</f>
        <v/>
      </c>
      <c r="E4144" s="22"/>
      <c r="F4144" s="26" t="str">
        <f aca="false">IF(A4144="","",IFERROR(buscarx(A4144&amp;E4144,DATA!$E$3:$E$10000&amp;DATA!$B$3:$B$10000,DATA!$M$3:$M$10000),"Inactivo"))</f>
        <v/>
      </c>
      <c r="G4144" s="28" t="str">
        <f aca="false">IF(A4144="","",IF(AND(C4144&lt;&gt;"No encontrado",F4144&lt;&gt;"Inactivo"),C4144&amp;" → "&amp;F4144,"Sin transición"))</f>
        <v/>
      </c>
      <c r="H4144" s="26" t="str">
        <f aca="false">IF(A4144="","",IF(D4144="GCIA LINEA SERVICIO DIGITALIDAD Y VENTAS","Chats",IF(OR(D4144="GERENCIA INBOUND LÍNEAS SERVICIO Y VENTA",D4144="GERENCIA INBOUND LINEAS ESPECIALIZADAS"),"Llamadas","Otro")))</f>
        <v/>
      </c>
      <c r="I4144" s="26" t="str">
        <f aca="false">IF(A4144="","",IF(C4144="No encontrado","No","Sí"))</f>
        <v/>
      </c>
      <c r="J4144" s="26" t="str">
        <f aca="false">IF(A4144="","",IF(F4144="Inactivo","No","Sí"))</f>
        <v/>
      </c>
      <c r="K4144" s="26" t="str">
        <f aca="false">IF(A4144="","",IF(AND(I4144="Sí",J4144="Sí"),"Sí","No"))</f>
        <v/>
      </c>
    </row>
    <row r="4145" customFormat="false" ht="15" hidden="false" customHeight="false" outlineLevel="0" collapsed="false">
      <c r="A4145" s="22"/>
      <c r="B4145" s="22"/>
      <c r="C4145" s="23" t="str">
        <f aca="false">IF(A4145="","",IFERROR(buscarx(A4145&amp;B4145,DATA!$E$3:$E$10000&amp;DATA!$B$3:$B$10000,DATA!$M$3:$M$10000),"No encontrado"))</f>
        <v/>
      </c>
      <c r="D4145" s="24" t="str">
        <f aca="false">IF(A4145="","",IFERROR(buscarx(A4145&amp;B4145,DATA!$E$3:$E$10000&amp;DATA!$B$3:$B$10000,DATA!$W$3:$W$10000),"No encontrado"))</f>
        <v/>
      </c>
      <c r="E4145" s="22"/>
      <c r="F4145" s="23" t="str">
        <f aca="false">IF(A4145="","",IFERROR(buscarx(A4145&amp;E4145,DATA!$E$3:$E$10000&amp;DATA!$B$3:$B$10000,DATA!$M$3:$M$10000),"Inactivo"))</f>
        <v/>
      </c>
      <c r="G4145" s="25" t="str">
        <f aca="false">IF(A4145="","",IF(AND(C4145&lt;&gt;"No encontrado",F4145&lt;&gt;"Inactivo"),C4145&amp;" → "&amp;F4145,"Sin transición"))</f>
        <v/>
      </c>
      <c r="H4145" s="23" t="str">
        <f aca="false">IF(A4145="","",IF(D4145="GCIA LINEA SERVICIO DIGITALIDAD Y VENTAS","Chats",IF(OR(D4145="GERENCIA INBOUND LÍNEAS SERVICIO Y VENTA",D4145="GERENCIA INBOUND LINEAS ESPECIALIZADAS"),"Llamadas","Otro")))</f>
        <v/>
      </c>
      <c r="I4145" s="23" t="str">
        <f aca="false">IF(A4145="","",IF(C4145="No encontrado","No","Sí"))</f>
        <v/>
      </c>
      <c r="J4145" s="23" t="str">
        <f aca="false">IF(A4145="","",IF(F4145="Inactivo","No","Sí"))</f>
        <v/>
      </c>
      <c r="K4145" s="23" t="str">
        <f aca="false">IF(A4145="","",IF(AND(I4145="Sí",J4145="Sí"),"Sí","No"))</f>
        <v/>
      </c>
    </row>
    <row r="4146" customFormat="false" ht="15" hidden="false" customHeight="false" outlineLevel="0" collapsed="false">
      <c r="A4146" s="22"/>
      <c r="B4146" s="22"/>
      <c r="C4146" s="26" t="str">
        <f aca="false">IF(A4146="","",IFERROR(buscarx(A4146&amp;B4146,DATA!$E$3:$E$10000&amp;DATA!$B$3:$B$10000,DATA!$M$3:$M$10000),"No encontrado"))</f>
        <v/>
      </c>
      <c r="D4146" s="27" t="str">
        <f aca="false">IF(A4146="","",IFERROR(buscarx(A4146&amp;B4146,DATA!$E$3:$E$10000&amp;DATA!$B$3:$B$10000,DATA!$W$3:$W$10000),"No encontrado"))</f>
        <v/>
      </c>
      <c r="E4146" s="22"/>
      <c r="F4146" s="26" t="str">
        <f aca="false">IF(A4146="","",IFERROR(buscarx(A4146&amp;E4146,DATA!$E$3:$E$10000&amp;DATA!$B$3:$B$10000,DATA!$M$3:$M$10000),"Inactivo"))</f>
        <v/>
      </c>
      <c r="G4146" s="28" t="str">
        <f aca="false">IF(A4146="","",IF(AND(C4146&lt;&gt;"No encontrado",F4146&lt;&gt;"Inactivo"),C4146&amp;" → "&amp;F4146,"Sin transición"))</f>
        <v/>
      </c>
      <c r="H4146" s="26" t="str">
        <f aca="false">IF(A4146="","",IF(D4146="GCIA LINEA SERVICIO DIGITALIDAD Y VENTAS","Chats",IF(OR(D4146="GERENCIA INBOUND LÍNEAS SERVICIO Y VENTA",D4146="GERENCIA INBOUND LINEAS ESPECIALIZADAS"),"Llamadas","Otro")))</f>
        <v/>
      </c>
      <c r="I4146" s="26" t="str">
        <f aca="false">IF(A4146="","",IF(C4146="No encontrado","No","Sí"))</f>
        <v/>
      </c>
      <c r="J4146" s="26" t="str">
        <f aca="false">IF(A4146="","",IF(F4146="Inactivo","No","Sí"))</f>
        <v/>
      </c>
      <c r="K4146" s="26" t="str">
        <f aca="false">IF(A4146="","",IF(AND(I4146="Sí",J4146="Sí"),"Sí","No"))</f>
        <v/>
      </c>
    </row>
    <row r="4147" customFormat="false" ht="15" hidden="false" customHeight="false" outlineLevel="0" collapsed="false">
      <c r="A4147" s="22"/>
      <c r="B4147" s="22"/>
      <c r="C4147" s="23" t="str">
        <f aca="false">IF(A4147="","",IFERROR(buscarx(A4147&amp;B4147,DATA!$E$3:$E$10000&amp;DATA!$B$3:$B$10000,DATA!$M$3:$M$10000),"No encontrado"))</f>
        <v/>
      </c>
      <c r="D4147" s="24" t="str">
        <f aca="false">IF(A4147="","",IFERROR(buscarx(A4147&amp;B4147,DATA!$E$3:$E$10000&amp;DATA!$B$3:$B$10000,DATA!$W$3:$W$10000),"No encontrado"))</f>
        <v/>
      </c>
      <c r="E4147" s="22"/>
      <c r="F4147" s="23" t="str">
        <f aca="false">IF(A4147="","",IFERROR(buscarx(A4147&amp;E4147,DATA!$E$3:$E$10000&amp;DATA!$B$3:$B$10000,DATA!$M$3:$M$10000),"Inactivo"))</f>
        <v/>
      </c>
      <c r="G4147" s="25" t="str">
        <f aca="false">IF(A4147="","",IF(AND(C4147&lt;&gt;"No encontrado",F4147&lt;&gt;"Inactivo"),C4147&amp;" → "&amp;F4147,"Sin transición"))</f>
        <v/>
      </c>
      <c r="H4147" s="23" t="str">
        <f aca="false">IF(A4147="","",IF(D4147="GCIA LINEA SERVICIO DIGITALIDAD Y VENTAS","Chats",IF(OR(D4147="GERENCIA INBOUND LÍNEAS SERVICIO Y VENTA",D4147="GERENCIA INBOUND LINEAS ESPECIALIZADAS"),"Llamadas","Otro")))</f>
        <v/>
      </c>
      <c r="I4147" s="23" t="str">
        <f aca="false">IF(A4147="","",IF(C4147="No encontrado","No","Sí"))</f>
        <v/>
      </c>
      <c r="J4147" s="23" t="str">
        <f aca="false">IF(A4147="","",IF(F4147="Inactivo","No","Sí"))</f>
        <v/>
      </c>
      <c r="K4147" s="23" t="str">
        <f aca="false">IF(A4147="","",IF(AND(I4147="Sí",J4147="Sí"),"Sí","No"))</f>
        <v/>
      </c>
    </row>
    <row r="4148" customFormat="false" ht="15" hidden="false" customHeight="false" outlineLevel="0" collapsed="false">
      <c r="A4148" s="22"/>
      <c r="B4148" s="22"/>
      <c r="C4148" s="26" t="str">
        <f aca="false">IF(A4148="","",IFERROR(buscarx(A4148&amp;B4148,DATA!$E$3:$E$10000&amp;DATA!$B$3:$B$10000,DATA!$M$3:$M$10000),"No encontrado"))</f>
        <v/>
      </c>
      <c r="D4148" s="27" t="str">
        <f aca="false">IF(A4148="","",IFERROR(buscarx(A4148&amp;B4148,DATA!$E$3:$E$10000&amp;DATA!$B$3:$B$10000,DATA!$W$3:$W$10000),"No encontrado"))</f>
        <v/>
      </c>
      <c r="E4148" s="22"/>
      <c r="F4148" s="26" t="str">
        <f aca="false">IF(A4148="","",IFERROR(buscarx(A4148&amp;E4148,DATA!$E$3:$E$10000&amp;DATA!$B$3:$B$10000,DATA!$M$3:$M$10000),"Inactivo"))</f>
        <v/>
      </c>
      <c r="G4148" s="28" t="str">
        <f aca="false">IF(A4148="","",IF(AND(C4148&lt;&gt;"No encontrado",F4148&lt;&gt;"Inactivo"),C4148&amp;" → "&amp;F4148,"Sin transición"))</f>
        <v/>
      </c>
      <c r="H4148" s="26" t="str">
        <f aca="false">IF(A4148="","",IF(D4148="GCIA LINEA SERVICIO DIGITALIDAD Y VENTAS","Chats",IF(OR(D4148="GERENCIA INBOUND LÍNEAS SERVICIO Y VENTA",D4148="GERENCIA INBOUND LINEAS ESPECIALIZADAS"),"Llamadas","Otro")))</f>
        <v/>
      </c>
      <c r="I4148" s="26" t="str">
        <f aca="false">IF(A4148="","",IF(C4148="No encontrado","No","Sí"))</f>
        <v/>
      </c>
      <c r="J4148" s="26" t="str">
        <f aca="false">IF(A4148="","",IF(F4148="Inactivo","No","Sí"))</f>
        <v/>
      </c>
      <c r="K4148" s="26" t="str">
        <f aca="false">IF(A4148="","",IF(AND(I4148="Sí",J4148="Sí"),"Sí","No"))</f>
        <v/>
      </c>
    </row>
    <row r="4149" customFormat="false" ht="15" hidden="false" customHeight="false" outlineLevel="0" collapsed="false">
      <c r="A4149" s="22"/>
      <c r="B4149" s="22"/>
      <c r="C4149" s="23" t="str">
        <f aca="false">IF(A4149="","",IFERROR(buscarx(A4149&amp;B4149,DATA!$E$3:$E$10000&amp;DATA!$B$3:$B$10000,DATA!$M$3:$M$10000),"No encontrado"))</f>
        <v/>
      </c>
      <c r="D4149" s="24" t="str">
        <f aca="false">IF(A4149="","",IFERROR(buscarx(A4149&amp;B4149,DATA!$E$3:$E$10000&amp;DATA!$B$3:$B$10000,DATA!$W$3:$W$10000),"No encontrado"))</f>
        <v/>
      </c>
      <c r="E4149" s="22"/>
      <c r="F4149" s="23" t="str">
        <f aca="false">IF(A4149="","",IFERROR(buscarx(A4149&amp;E4149,DATA!$E$3:$E$10000&amp;DATA!$B$3:$B$10000,DATA!$M$3:$M$10000),"Inactivo"))</f>
        <v/>
      </c>
      <c r="G4149" s="25" t="str">
        <f aca="false">IF(A4149="","",IF(AND(C4149&lt;&gt;"No encontrado",F4149&lt;&gt;"Inactivo"),C4149&amp;" → "&amp;F4149,"Sin transición"))</f>
        <v/>
      </c>
      <c r="H4149" s="23" t="str">
        <f aca="false">IF(A4149="","",IF(D4149="GCIA LINEA SERVICIO DIGITALIDAD Y VENTAS","Chats",IF(OR(D4149="GERENCIA INBOUND LÍNEAS SERVICIO Y VENTA",D4149="GERENCIA INBOUND LINEAS ESPECIALIZADAS"),"Llamadas","Otro")))</f>
        <v/>
      </c>
      <c r="I4149" s="23" t="str">
        <f aca="false">IF(A4149="","",IF(C4149="No encontrado","No","Sí"))</f>
        <v/>
      </c>
      <c r="J4149" s="23" t="str">
        <f aca="false">IF(A4149="","",IF(F4149="Inactivo","No","Sí"))</f>
        <v/>
      </c>
      <c r="K4149" s="23" t="str">
        <f aca="false">IF(A4149="","",IF(AND(I4149="Sí",J4149="Sí"),"Sí","No"))</f>
        <v/>
      </c>
    </row>
    <row r="4150" customFormat="false" ht="15" hidden="false" customHeight="false" outlineLevel="0" collapsed="false">
      <c r="A4150" s="22"/>
      <c r="B4150" s="22"/>
      <c r="C4150" s="26" t="str">
        <f aca="false">IF(A4150="","",IFERROR(buscarx(A4150&amp;B4150,DATA!$E$3:$E$10000&amp;DATA!$B$3:$B$10000,DATA!$M$3:$M$10000),"No encontrado"))</f>
        <v/>
      </c>
      <c r="D4150" s="27" t="str">
        <f aca="false">IF(A4150="","",IFERROR(buscarx(A4150&amp;B4150,DATA!$E$3:$E$10000&amp;DATA!$B$3:$B$10000,DATA!$W$3:$W$10000),"No encontrado"))</f>
        <v/>
      </c>
      <c r="E4150" s="22"/>
      <c r="F4150" s="26" t="str">
        <f aca="false">IF(A4150="","",IFERROR(buscarx(A4150&amp;E4150,DATA!$E$3:$E$10000&amp;DATA!$B$3:$B$10000,DATA!$M$3:$M$10000),"Inactivo"))</f>
        <v/>
      </c>
      <c r="G4150" s="28" t="str">
        <f aca="false">IF(A4150="","",IF(AND(C4150&lt;&gt;"No encontrado",F4150&lt;&gt;"Inactivo"),C4150&amp;" → "&amp;F4150,"Sin transición"))</f>
        <v/>
      </c>
      <c r="H4150" s="26" t="str">
        <f aca="false">IF(A4150="","",IF(D4150="GCIA LINEA SERVICIO DIGITALIDAD Y VENTAS","Chats",IF(OR(D4150="GERENCIA INBOUND LÍNEAS SERVICIO Y VENTA",D4150="GERENCIA INBOUND LINEAS ESPECIALIZADAS"),"Llamadas","Otro")))</f>
        <v/>
      </c>
      <c r="I4150" s="26" t="str">
        <f aca="false">IF(A4150="","",IF(C4150="No encontrado","No","Sí"))</f>
        <v/>
      </c>
      <c r="J4150" s="26" t="str">
        <f aca="false">IF(A4150="","",IF(F4150="Inactivo","No","Sí"))</f>
        <v/>
      </c>
      <c r="K4150" s="26" t="str">
        <f aca="false">IF(A4150="","",IF(AND(I4150="Sí",J4150="Sí"),"Sí","No"))</f>
        <v/>
      </c>
    </row>
    <row r="4151" customFormat="false" ht="15" hidden="false" customHeight="false" outlineLevel="0" collapsed="false">
      <c r="A4151" s="22"/>
      <c r="B4151" s="22"/>
      <c r="C4151" s="23" t="str">
        <f aca="false">IF(A4151="","",IFERROR(buscarx(A4151&amp;B4151,DATA!$E$3:$E$10000&amp;DATA!$B$3:$B$10000,DATA!$M$3:$M$10000),"No encontrado"))</f>
        <v/>
      </c>
      <c r="D4151" s="24" t="str">
        <f aca="false">IF(A4151="","",IFERROR(buscarx(A4151&amp;B4151,DATA!$E$3:$E$10000&amp;DATA!$B$3:$B$10000,DATA!$W$3:$W$10000),"No encontrado"))</f>
        <v/>
      </c>
      <c r="E4151" s="22"/>
      <c r="F4151" s="23" t="str">
        <f aca="false">IF(A4151="","",IFERROR(buscarx(A4151&amp;E4151,DATA!$E$3:$E$10000&amp;DATA!$B$3:$B$10000,DATA!$M$3:$M$10000),"Inactivo"))</f>
        <v/>
      </c>
      <c r="G4151" s="25" t="str">
        <f aca="false">IF(A4151="","",IF(AND(C4151&lt;&gt;"No encontrado",F4151&lt;&gt;"Inactivo"),C4151&amp;" → "&amp;F4151,"Sin transición"))</f>
        <v/>
      </c>
      <c r="H4151" s="23" t="str">
        <f aca="false">IF(A4151="","",IF(D4151="GCIA LINEA SERVICIO DIGITALIDAD Y VENTAS","Chats",IF(OR(D4151="GERENCIA INBOUND LÍNEAS SERVICIO Y VENTA",D4151="GERENCIA INBOUND LINEAS ESPECIALIZADAS"),"Llamadas","Otro")))</f>
        <v/>
      </c>
      <c r="I4151" s="23" t="str">
        <f aca="false">IF(A4151="","",IF(C4151="No encontrado","No","Sí"))</f>
        <v/>
      </c>
      <c r="J4151" s="23" t="str">
        <f aca="false">IF(A4151="","",IF(F4151="Inactivo","No","Sí"))</f>
        <v/>
      </c>
      <c r="K4151" s="23" t="str">
        <f aca="false">IF(A4151="","",IF(AND(I4151="Sí",J4151="Sí"),"Sí","No"))</f>
        <v/>
      </c>
    </row>
    <row r="4152" customFormat="false" ht="15" hidden="false" customHeight="false" outlineLevel="0" collapsed="false">
      <c r="A4152" s="22"/>
      <c r="B4152" s="22"/>
      <c r="C4152" s="26" t="str">
        <f aca="false">IF(A4152="","",IFERROR(buscarx(A4152&amp;B4152,DATA!$E$3:$E$10000&amp;DATA!$B$3:$B$10000,DATA!$M$3:$M$10000),"No encontrado"))</f>
        <v/>
      </c>
      <c r="D4152" s="27" t="str">
        <f aca="false">IF(A4152="","",IFERROR(buscarx(A4152&amp;B4152,DATA!$E$3:$E$10000&amp;DATA!$B$3:$B$10000,DATA!$W$3:$W$10000),"No encontrado"))</f>
        <v/>
      </c>
      <c r="E4152" s="22"/>
      <c r="F4152" s="26" t="str">
        <f aca="false">IF(A4152="","",IFERROR(buscarx(A4152&amp;E4152,DATA!$E$3:$E$10000&amp;DATA!$B$3:$B$10000,DATA!$M$3:$M$10000),"Inactivo"))</f>
        <v/>
      </c>
      <c r="G4152" s="28" t="str">
        <f aca="false">IF(A4152="","",IF(AND(C4152&lt;&gt;"No encontrado",F4152&lt;&gt;"Inactivo"),C4152&amp;" → "&amp;F4152,"Sin transición"))</f>
        <v/>
      </c>
      <c r="H4152" s="26" t="str">
        <f aca="false">IF(A4152="","",IF(D4152="GCIA LINEA SERVICIO DIGITALIDAD Y VENTAS","Chats",IF(OR(D4152="GERENCIA INBOUND LÍNEAS SERVICIO Y VENTA",D4152="GERENCIA INBOUND LINEAS ESPECIALIZADAS"),"Llamadas","Otro")))</f>
        <v/>
      </c>
      <c r="I4152" s="26" t="str">
        <f aca="false">IF(A4152="","",IF(C4152="No encontrado","No","Sí"))</f>
        <v/>
      </c>
      <c r="J4152" s="26" t="str">
        <f aca="false">IF(A4152="","",IF(F4152="Inactivo","No","Sí"))</f>
        <v/>
      </c>
      <c r="K4152" s="26" t="str">
        <f aca="false">IF(A4152="","",IF(AND(I4152="Sí",J4152="Sí"),"Sí","No"))</f>
        <v/>
      </c>
    </row>
    <row r="4153" customFormat="false" ht="15" hidden="false" customHeight="false" outlineLevel="0" collapsed="false">
      <c r="A4153" s="22"/>
      <c r="B4153" s="22"/>
      <c r="C4153" s="23" t="str">
        <f aca="false">IF(A4153="","",IFERROR(buscarx(A4153&amp;B4153,DATA!$E$3:$E$10000&amp;DATA!$B$3:$B$10000,DATA!$M$3:$M$10000),"No encontrado"))</f>
        <v/>
      </c>
      <c r="D4153" s="24" t="str">
        <f aca="false">IF(A4153="","",IFERROR(buscarx(A4153&amp;B4153,DATA!$E$3:$E$10000&amp;DATA!$B$3:$B$10000,DATA!$W$3:$W$10000),"No encontrado"))</f>
        <v/>
      </c>
      <c r="E4153" s="22"/>
      <c r="F4153" s="23" t="str">
        <f aca="false">IF(A4153="","",IFERROR(buscarx(A4153&amp;E4153,DATA!$E$3:$E$10000&amp;DATA!$B$3:$B$10000,DATA!$M$3:$M$10000),"Inactivo"))</f>
        <v/>
      </c>
      <c r="G4153" s="25" t="str">
        <f aca="false">IF(A4153="","",IF(AND(C4153&lt;&gt;"No encontrado",F4153&lt;&gt;"Inactivo"),C4153&amp;" → "&amp;F4153,"Sin transición"))</f>
        <v/>
      </c>
      <c r="H4153" s="23" t="str">
        <f aca="false">IF(A4153="","",IF(D4153="GCIA LINEA SERVICIO DIGITALIDAD Y VENTAS","Chats",IF(OR(D4153="GERENCIA INBOUND LÍNEAS SERVICIO Y VENTA",D4153="GERENCIA INBOUND LINEAS ESPECIALIZADAS"),"Llamadas","Otro")))</f>
        <v/>
      </c>
      <c r="I4153" s="23" t="str">
        <f aca="false">IF(A4153="","",IF(C4153="No encontrado","No","Sí"))</f>
        <v/>
      </c>
      <c r="J4153" s="23" t="str">
        <f aca="false">IF(A4153="","",IF(F4153="Inactivo","No","Sí"))</f>
        <v/>
      </c>
      <c r="K4153" s="23" t="str">
        <f aca="false">IF(A4153="","",IF(AND(I4153="Sí",J4153="Sí"),"Sí","No"))</f>
        <v/>
      </c>
    </row>
    <row r="4154" customFormat="false" ht="15" hidden="false" customHeight="false" outlineLevel="0" collapsed="false">
      <c r="A4154" s="22"/>
      <c r="B4154" s="22"/>
      <c r="C4154" s="26" t="str">
        <f aca="false">IF(A4154="","",IFERROR(buscarx(A4154&amp;B4154,DATA!$E$3:$E$10000&amp;DATA!$B$3:$B$10000,DATA!$M$3:$M$10000),"No encontrado"))</f>
        <v/>
      </c>
      <c r="D4154" s="27" t="str">
        <f aca="false">IF(A4154="","",IFERROR(buscarx(A4154&amp;B4154,DATA!$E$3:$E$10000&amp;DATA!$B$3:$B$10000,DATA!$W$3:$W$10000),"No encontrado"))</f>
        <v/>
      </c>
      <c r="E4154" s="22"/>
      <c r="F4154" s="26" t="str">
        <f aca="false">IF(A4154="","",IFERROR(buscarx(A4154&amp;E4154,DATA!$E$3:$E$10000&amp;DATA!$B$3:$B$10000,DATA!$M$3:$M$10000),"Inactivo"))</f>
        <v/>
      </c>
      <c r="G4154" s="28" t="str">
        <f aca="false">IF(A4154="","",IF(AND(C4154&lt;&gt;"No encontrado",F4154&lt;&gt;"Inactivo"),C4154&amp;" → "&amp;F4154,"Sin transición"))</f>
        <v/>
      </c>
      <c r="H4154" s="26" t="str">
        <f aca="false">IF(A4154="","",IF(D4154="GCIA LINEA SERVICIO DIGITALIDAD Y VENTAS","Chats",IF(OR(D4154="GERENCIA INBOUND LÍNEAS SERVICIO Y VENTA",D4154="GERENCIA INBOUND LINEAS ESPECIALIZADAS"),"Llamadas","Otro")))</f>
        <v/>
      </c>
      <c r="I4154" s="26" t="str">
        <f aca="false">IF(A4154="","",IF(C4154="No encontrado","No","Sí"))</f>
        <v/>
      </c>
      <c r="J4154" s="26" t="str">
        <f aca="false">IF(A4154="","",IF(F4154="Inactivo","No","Sí"))</f>
        <v/>
      </c>
      <c r="K4154" s="26" t="str">
        <f aca="false">IF(A4154="","",IF(AND(I4154="Sí",J4154="Sí"),"Sí","No"))</f>
        <v/>
      </c>
    </row>
    <row r="4155" customFormat="false" ht="15" hidden="false" customHeight="false" outlineLevel="0" collapsed="false">
      <c r="A4155" s="22"/>
      <c r="B4155" s="22"/>
      <c r="C4155" s="23" t="str">
        <f aca="false">IF(A4155="","",IFERROR(buscarx(A4155&amp;B4155,DATA!$E$3:$E$10000&amp;DATA!$B$3:$B$10000,DATA!$M$3:$M$10000),"No encontrado"))</f>
        <v/>
      </c>
      <c r="D4155" s="24" t="str">
        <f aca="false">IF(A4155="","",IFERROR(buscarx(A4155&amp;B4155,DATA!$E$3:$E$10000&amp;DATA!$B$3:$B$10000,DATA!$W$3:$W$10000),"No encontrado"))</f>
        <v/>
      </c>
      <c r="E4155" s="22"/>
      <c r="F4155" s="23" t="str">
        <f aca="false">IF(A4155="","",IFERROR(buscarx(A4155&amp;E4155,DATA!$E$3:$E$10000&amp;DATA!$B$3:$B$10000,DATA!$M$3:$M$10000),"Inactivo"))</f>
        <v/>
      </c>
      <c r="G4155" s="25" t="str">
        <f aca="false">IF(A4155="","",IF(AND(C4155&lt;&gt;"No encontrado",F4155&lt;&gt;"Inactivo"),C4155&amp;" → "&amp;F4155,"Sin transición"))</f>
        <v/>
      </c>
      <c r="H4155" s="23" t="str">
        <f aca="false">IF(A4155="","",IF(D4155="GCIA LINEA SERVICIO DIGITALIDAD Y VENTAS","Chats",IF(OR(D4155="GERENCIA INBOUND LÍNEAS SERVICIO Y VENTA",D4155="GERENCIA INBOUND LINEAS ESPECIALIZADAS"),"Llamadas","Otro")))</f>
        <v/>
      </c>
      <c r="I4155" s="23" t="str">
        <f aca="false">IF(A4155="","",IF(C4155="No encontrado","No","Sí"))</f>
        <v/>
      </c>
      <c r="J4155" s="23" t="str">
        <f aca="false">IF(A4155="","",IF(F4155="Inactivo","No","Sí"))</f>
        <v/>
      </c>
      <c r="K4155" s="23" t="str">
        <f aca="false">IF(A4155="","",IF(AND(I4155="Sí",J4155="Sí"),"Sí","No"))</f>
        <v/>
      </c>
    </row>
    <row r="4156" customFormat="false" ht="15" hidden="false" customHeight="false" outlineLevel="0" collapsed="false">
      <c r="A4156" s="22"/>
      <c r="B4156" s="22"/>
      <c r="C4156" s="26" t="str">
        <f aca="false">IF(A4156="","",IFERROR(buscarx(A4156&amp;B4156,DATA!$E$3:$E$10000&amp;DATA!$B$3:$B$10000,DATA!$M$3:$M$10000),"No encontrado"))</f>
        <v/>
      </c>
      <c r="D4156" s="27" t="str">
        <f aca="false">IF(A4156="","",IFERROR(buscarx(A4156&amp;B4156,DATA!$E$3:$E$10000&amp;DATA!$B$3:$B$10000,DATA!$W$3:$W$10000),"No encontrado"))</f>
        <v/>
      </c>
      <c r="E4156" s="22"/>
      <c r="F4156" s="26" t="str">
        <f aca="false">IF(A4156="","",IFERROR(buscarx(A4156&amp;E4156,DATA!$E$3:$E$10000&amp;DATA!$B$3:$B$10000,DATA!$M$3:$M$10000),"Inactivo"))</f>
        <v/>
      </c>
      <c r="G4156" s="28" t="str">
        <f aca="false">IF(A4156="","",IF(AND(C4156&lt;&gt;"No encontrado",F4156&lt;&gt;"Inactivo"),C4156&amp;" → "&amp;F4156,"Sin transición"))</f>
        <v/>
      </c>
      <c r="H4156" s="26" t="str">
        <f aca="false">IF(A4156="","",IF(D4156="GCIA LINEA SERVICIO DIGITALIDAD Y VENTAS","Chats",IF(OR(D4156="GERENCIA INBOUND LÍNEAS SERVICIO Y VENTA",D4156="GERENCIA INBOUND LINEAS ESPECIALIZADAS"),"Llamadas","Otro")))</f>
        <v/>
      </c>
      <c r="I4156" s="26" t="str">
        <f aca="false">IF(A4156="","",IF(C4156="No encontrado","No","Sí"))</f>
        <v/>
      </c>
      <c r="J4156" s="26" t="str">
        <f aca="false">IF(A4156="","",IF(F4156="Inactivo","No","Sí"))</f>
        <v/>
      </c>
      <c r="K4156" s="26" t="str">
        <f aca="false">IF(A4156="","",IF(AND(I4156="Sí",J4156="Sí"),"Sí","No"))</f>
        <v/>
      </c>
    </row>
    <row r="4157" customFormat="false" ht="15" hidden="false" customHeight="false" outlineLevel="0" collapsed="false">
      <c r="A4157" s="22"/>
      <c r="B4157" s="22"/>
      <c r="C4157" s="23" t="str">
        <f aca="false">IF(A4157="","",IFERROR(buscarx(A4157&amp;B4157,DATA!$E$3:$E$10000&amp;DATA!$B$3:$B$10000,DATA!$M$3:$M$10000),"No encontrado"))</f>
        <v/>
      </c>
      <c r="D4157" s="24" t="str">
        <f aca="false">IF(A4157="","",IFERROR(buscarx(A4157&amp;B4157,DATA!$E$3:$E$10000&amp;DATA!$B$3:$B$10000,DATA!$W$3:$W$10000),"No encontrado"))</f>
        <v/>
      </c>
      <c r="E4157" s="22"/>
      <c r="F4157" s="23" t="str">
        <f aca="false">IF(A4157="","",IFERROR(buscarx(A4157&amp;E4157,DATA!$E$3:$E$10000&amp;DATA!$B$3:$B$10000,DATA!$M$3:$M$10000),"Inactivo"))</f>
        <v/>
      </c>
      <c r="G4157" s="25" t="str">
        <f aca="false">IF(A4157="","",IF(AND(C4157&lt;&gt;"No encontrado",F4157&lt;&gt;"Inactivo"),C4157&amp;" → "&amp;F4157,"Sin transición"))</f>
        <v/>
      </c>
      <c r="H4157" s="23" t="str">
        <f aca="false">IF(A4157="","",IF(D4157="GCIA LINEA SERVICIO DIGITALIDAD Y VENTAS","Chats",IF(OR(D4157="GERENCIA INBOUND LÍNEAS SERVICIO Y VENTA",D4157="GERENCIA INBOUND LINEAS ESPECIALIZADAS"),"Llamadas","Otro")))</f>
        <v/>
      </c>
      <c r="I4157" s="23" t="str">
        <f aca="false">IF(A4157="","",IF(C4157="No encontrado","No","Sí"))</f>
        <v/>
      </c>
      <c r="J4157" s="23" t="str">
        <f aca="false">IF(A4157="","",IF(F4157="Inactivo","No","Sí"))</f>
        <v/>
      </c>
      <c r="K4157" s="23" t="str">
        <f aca="false">IF(A4157="","",IF(AND(I4157="Sí",J4157="Sí"),"Sí","No"))</f>
        <v/>
      </c>
    </row>
    <row r="4158" customFormat="false" ht="15" hidden="false" customHeight="false" outlineLevel="0" collapsed="false">
      <c r="A4158" s="22"/>
      <c r="B4158" s="22"/>
      <c r="C4158" s="26" t="str">
        <f aca="false">IF(A4158="","",IFERROR(buscarx(A4158&amp;B4158,DATA!$E$3:$E$10000&amp;DATA!$B$3:$B$10000,DATA!$M$3:$M$10000),"No encontrado"))</f>
        <v/>
      </c>
      <c r="D4158" s="27" t="str">
        <f aca="false">IF(A4158="","",IFERROR(buscarx(A4158&amp;B4158,DATA!$E$3:$E$10000&amp;DATA!$B$3:$B$10000,DATA!$W$3:$W$10000),"No encontrado"))</f>
        <v/>
      </c>
      <c r="E4158" s="22"/>
      <c r="F4158" s="26" t="str">
        <f aca="false">IF(A4158="","",IFERROR(buscarx(A4158&amp;E4158,DATA!$E$3:$E$10000&amp;DATA!$B$3:$B$10000,DATA!$M$3:$M$10000),"Inactivo"))</f>
        <v/>
      </c>
      <c r="G4158" s="28" t="str">
        <f aca="false">IF(A4158="","",IF(AND(C4158&lt;&gt;"No encontrado",F4158&lt;&gt;"Inactivo"),C4158&amp;" → "&amp;F4158,"Sin transición"))</f>
        <v/>
      </c>
      <c r="H4158" s="26" t="str">
        <f aca="false">IF(A4158="","",IF(D4158="GCIA LINEA SERVICIO DIGITALIDAD Y VENTAS","Chats",IF(OR(D4158="GERENCIA INBOUND LÍNEAS SERVICIO Y VENTA",D4158="GERENCIA INBOUND LINEAS ESPECIALIZADAS"),"Llamadas","Otro")))</f>
        <v/>
      </c>
      <c r="I4158" s="26" t="str">
        <f aca="false">IF(A4158="","",IF(C4158="No encontrado","No","Sí"))</f>
        <v/>
      </c>
      <c r="J4158" s="26" t="str">
        <f aca="false">IF(A4158="","",IF(F4158="Inactivo","No","Sí"))</f>
        <v/>
      </c>
      <c r="K4158" s="26" t="str">
        <f aca="false">IF(A4158="","",IF(AND(I4158="Sí",J4158="Sí"),"Sí","No"))</f>
        <v/>
      </c>
    </row>
    <row r="4159" customFormat="false" ht="15" hidden="false" customHeight="false" outlineLevel="0" collapsed="false">
      <c r="A4159" s="22"/>
      <c r="B4159" s="22"/>
      <c r="C4159" s="23" t="str">
        <f aca="false">IF(A4159="","",IFERROR(buscarx(A4159&amp;B4159,DATA!$E$3:$E$10000&amp;DATA!$B$3:$B$10000,DATA!$M$3:$M$10000),"No encontrado"))</f>
        <v/>
      </c>
      <c r="D4159" s="24" t="str">
        <f aca="false">IF(A4159="","",IFERROR(buscarx(A4159&amp;B4159,DATA!$E$3:$E$10000&amp;DATA!$B$3:$B$10000,DATA!$W$3:$W$10000),"No encontrado"))</f>
        <v/>
      </c>
      <c r="E4159" s="22"/>
      <c r="F4159" s="23" t="str">
        <f aca="false">IF(A4159="","",IFERROR(buscarx(A4159&amp;E4159,DATA!$E$3:$E$10000&amp;DATA!$B$3:$B$10000,DATA!$M$3:$M$10000),"Inactivo"))</f>
        <v/>
      </c>
      <c r="G4159" s="25" t="str">
        <f aca="false">IF(A4159="","",IF(AND(C4159&lt;&gt;"No encontrado",F4159&lt;&gt;"Inactivo"),C4159&amp;" → "&amp;F4159,"Sin transición"))</f>
        <v/>
      </c>
      <c r="H4159" s="23" t="str">
        <f aca="false">IF(A4159="","",IF(D4159="GCIA LINEA SERVICIO DIGITALIDAD Y VENTAS","Chats",IF(OR(D4159="GERENCIA INBOUND LÍNEAS SERVICIO Y VENTA",D4159="GERENCIA INBOUND LINEAS ESPECIALIZADAS"),"Llamadas","Otro")))</f>
        <v/>
      </c>
      <c r="I4159" s="23" t="str">
        <f aca="false">IF(A4159="","",IF(C4159="No encontrado","No","Sí"))</f>
        <v/>
      </c>
      <c r="J4159" s="23" t="str">
        <f aca="false">IF(A4159="","",IF(F4159="Inactivo","No","Sí"))</f>
        <v/>
      </c>
      <c r="K4159" s="23" t="str">
        <f aca="false">IF(A4159="","",IF(AND(I4159="Sí",J4159="Sí"),"Sí","No"))</f>
        <v/>
      </c>
    </row>
    <row r="4160" customFormat="false" ht="15" hidden="false" customHeight="false" outlineLevel="0" collapsed="false">
      <c r="A4160" s="22"/>
      <c r="B4160" s="22"/>
      <c r="C4160" s="26" t="str">
        <f aca="false">IF(A4160="","",IFERROR(buscarx(A4160&amp;B4160,DATA!$E$3:$E$10000&amp;DATA!$B$3:$B$10000,DATA!$M$3:$M$10000),"No encontrado"))</f>
        <v/>
      </c>
      <c r="D4160" s="27" t="str">
        <f aca="false">IF(A4160="","",IFERROR(buscarx(A4160&amp;B4160,DATA!$E$3:$E$10000&amp;DATA!$B$3:$B$10000,DATA!$W$3:$W$10000),"No encontrado"))</f>
        <v/>
      </c>
      <c r="E4160" s="22"/>
      <c r="F4160" s="26" t="str">
        <f aca="false">IF(A4160="","",IFERROR(buscarx(A4160&amp;E4160,DATA!$E$3:$E$10000&amp;DATA!$B$3:$B$10000,DATA!$M$3:$M$10000),"Inactivo"))</f>
        <v/>
      </c>
      <c r="G4160" s="28" t="str">
        <f aca="false">IF(A4160="","",IF(AND(C4160&lt;&gt;"No encontrado",F4160&lt;&gt;"Inactivo"),C4160&amp;" → "&amp;F4160,"Sin transición"))</f>
        <v/>
      </c>
      <c r="H4160" s="26" t="str">
        <f aca="false">IF(A4160="","",IF(D4160="GCIA LINEA SERVICIO DIGITALIDAD Y VENTAS","Chats",IF(OR(D4160="GERENCIA INBOUND LÍNEAS SERVICIO Y VENTA",D4160="GERENCIA INBOUND LINEAS ESPECIALIZADAS"),"Llamadas","Otro")))</f>
        <v/>
      </c>
      <c r="I4160" s="26" t="str">
        <f aca="false">IF(A4160="","",IF(C4160="No encontrado","No","Sí"))</f>
        <v/>
      </c>
      <c r="J4160" s="26" t="str">
        <f aca="false">IF(A4160="","",IF(F4160="Inactivo","No","Sí"))</f>
        <v/>
      </c>
      <c r="K4160" s="26" t="str">
        <f aca="false">IF(A4160="","",IF(AND(I4160="Sí",J4160="Sí"),"Sí","No"))</f>
        <v/>
      </c>
    </row>
    <row r="4161" customFormat="false" ht="15" hidden="false" customHeight="false" outlineLevel="0" collapsed="false">
      <c r="A4161" s="22"/>
      <c r="B4161" s="22"/>
      <c r="C4161" s="23" t="str">
        <f aca="false">IF(A4161="","",IFERROR(buscarx(A4161&amp;B4161,DATA!$E$3:$E$10000&amp;DATA!$B$3:$B$10000,DATA!$M$3:$M$10000),"No encontrado"))</f>
        <v/>
      </c>
      <c r="D4161" s="24" t="str">
        <f aca="false">IF(A4161="","",IFERROR(buscarx(A4161&amp;B4161,DATA!$E$3:$E$10000&amp;DATA!$B$3:$B$10000,DATA!$W$3:$W$10000),"No encontrado"))</f>
        <v/>
      </c>
      <c r="E4161" s="22"/>
      <c r="F4161" s="23" t="str">
        <f aca="false">IF(A4161="","",IFERROR(buscarx(A4161&amp;E4161,DATA!$E$3:$E$10000&amp;DATA!$B$3:$B$10000,DATA!$M$3:$M$10000),"Inactivo"))</f>
        <v/>
      </c>
      <c r="G4161" s="25" t="str">
        <f aca="false">IF(A4161="","",IF(AND(C4161&lt;&gt;"No encontrado",F4161&lt;&gt;"Inactivo"),C4161&amp;" → "&amp;F4161,"Sin transición"))</f>
        <v/>
      </c>
      <c r="H4161" s="23" t="str">
        <f aca="false">IF(A4161="","",IF(D4161="GCIA LINEA SERVICIO DIGITALIDAD Y VENTAS","Chats",IF(OR(D4161="GERENCIA INBOUND LÍNEAS SERVICIO Y VENTA",D4161="GERENCIA INBOUND LINEAS ESPECIALIZADAS"),"Llamadas","Otro")))</f>
        <v/>
      </c>
      <c r="I4161" s="23" t="str">
        <f aca="false">IF(A4161="","",IF(C4161="No encontrado","No","Sí"))</f>
        <v/>
      </c>
      <c r="J4161" s="23" t="str">
        <f aca="false">IF(A4161="","",IF(F4161="Inactivo","No","Sí"))</f>
        <v/>
      </c>
      <c r="K4161" s="23" t="str">
        <f aca="false">IF(A4161="","",IF(AND(I4161="Sí",J4161="Sí"),"Sí","No"))</f>
        <v/>
      </c>
    </row>
    <row r="4162" customFormat="false" ht="15" hidden="false" customHeight="false" outlineLevel="0" collapsed="false">
      <c r="A4162" s="22"/>
      <c r="B4162" s="22"/>
      <c r="C4162" s="26" t="str">
        <f aca="false">IF(A4162="","",IFERROR(buscarx(A4162&amp;B4162,DATA!$E$3:$E$10000&amp;DATA!$B$3:$B$10000,DATA!$M$3:$M$10000),"No encontrado"))</f>
        <v/>
      </c>
      <c r="D4162" s="27" t="str">
        <f aca="false">IF(A4162="","",IFERROR(buscarx(A4162&amp;B4162,DATA!$E$3:$E$10000&amp;DATA!$B$3:$B$10000,DATA!$W$3:$W$10000),"No encontrado"))</f>
        <v/>
      </c>
      <c r="E4162" s="22"/>
      <c r="F4162" s="26" t="str">
        <f aca="false">IF(A4162="","",IFERROR(buscarx(A4162&amp;E4162,DATA!$E$3:$E$10000&amp;DATA!$B$3:$B$10000,DATA!$M$3:$M$10000),"Inactivo"))</f>
        <v/>
      </c>
      <c r="G4162" s="28" t="str">
        <f aca="false">IF(A4162="","",IF(AND(C4162&lt;&gt;"No encontrado",F4162&lt;&gt;"Inactivo"),C4162&amp;" → "&amp;F4162,"Sin transición"))</f>
        <v/>
      </c>
      <c r="H4162" s="26" t="str">
        <f aca="false">IF(A4162="","",IF(D4162="GCIA LINEA SERVICIO DIGITALIDAD Y VENTAS","Chats",IF(OR(D4162="GERENCIA INBOUND LÍNEAS SERVICIO Y VENTA",D4162="GERENCIA INBOUND LINEAS ESPECIALIZADAS"),"Llamadas","Otro")))</f>
        <v/>
      </c>
      <c r="I4162" s="26" t="str">
        <f aca="false">IF(A4162="","",IF(C4162="No encontrado","No","Sí"))</f>
        <v/>
      </c>
      <c r="J4162" s="26" t="str">
        <f aca="false">IF(A4162="","",IF(F4162="Inactivo","No","Sí"))</f>
        <v/>
      </c>
      <c r="K4162" s="26" t="str">
        <f aca="false">IF(A4162="","",IF(AND(I4162="Sí",J4162="Sí"),"Sí","No"))</f>
        <v/>
      </c>
    </row>
    <row r="4163" customFormat="false" ht="15" hidden="false" customHeight="false" outlineLevel="0" collapsed="false">
      <c r="A4163" s="22"/>
      <c r="B4163" s="22"/>
      <c r="C4163" s="23" t="str">
        <f aca="false">IF(A4163="","",IFERROR(buscarx(A4163&amp;B4163,DATA!$E$3:$E$10000&amp;DATA!$B$3:$B$10000,DATA!$M$3:$M$10000),"No encontrado"))</f>
        <v/>
      </c>
      <c r="D4163" s="24" t="str">
        <f aca="false">IF(A4163="","",IFERROR(buscarx(A4163&amp;B4163,DATA!$E$3:$E$10000&amp;DATA!$B$3:$B$10000,DATA!$W$3:$W$10000),"No encontrado"))</f>
        <v/>
      </c>
      <c r="E4163" s="22"/>
      <c r="F4163" s="23" t="str">
        <f aca="false">IF(A4163="","",IFERROR(buscarx(A4163&amp;E4163,DATA!$E$3:$E$10000&amp;DATA!$B$3:$B$10000,DATA!$M$3:$M$10000),"Inactivo"))</f>
        <v/>
      </c>
      <c r="G4163" s="25" t="str">
        <f aca="false">IF(A4163="","",IF(AND(C4163&lt;&gt;"No encontrado",F4163&lt;&gt;"Inactivo"),C4163&amp;" → "&amp;F4163,"Sin transición"))</f>
        <v/>
      </c>
      <c r="H4163" s="23" t="str">
        <f aca="false">IF(A4163="","",IF(D4163="GCIA LINEA SERVICIO DIGITALIDAD Y VENTAS","Chats",IF(OR(D4163="GERENCIA INBOUND LÍNEAS SERVICIO Y VENTA",D4163="GERENCIA INBOUND LINEAS ESPECIALIZADAS"),"Llamadas","Otro")))</f>
        <v/>
      </c>
      <c r="I4163" s="23" t="str">
        <f aca="false">IF(A4163="","",IF(C4163="No encontrado","No","Sí"))</f>
        <v/>
      </c>
      <c r="J4163" s="23" t="str">
        <f aca="false">IF(A4163="","",IF(F4163="Inactivo","No","Sí"))</f>
        <v/>
      </c>
      <c r="K4163" s="23" t="str">
        <f aca="false">IF(A4163="","",IF(AND(I4163="Sí",J4163="Sí"),"Sí","No"))</f>
        <v/>
      </c>
    </row>
    <row r="4164" customFormat="false" ht="15" hidden="false" customHeight="false" outlineLevel="0" collapsed="false">
      <c r="A4164" s="22"/>
      <c r="B4164" s="22"/>
      <c r="C4164" s="26" t="str">
        <f aca="false">IF(A4164="","",IFERROR(buscarx(A4164&amp;B4164,DATA!$E$3:$E$10000&amp;DATA!$B$3:$B$10000,DATA!$M$3:$M$10000),"No encontrado"))</f>
        <v/>
      </c>
      <c r="D4164" s="27" t="str">
        <f aca="false">IF(A4164="","",IFERROR(buscarx(A4164&amp;B4164,DATA!$E$3:$E$10000&amp;DATA!$B$3:$B$10000,DATA!$W$3:$W$10000),"No encontrado"))</f>
        <v/>
      </c>
      <c r="E4164" s="22"/>
      <c r="F4164" s="26" t="str">
        <f aca="false">IF(A4164="","",IFERROR(buscarx(A4164&amp;E4164,DATA!$E$3:$E$10000&amp;DATA!$B$3:$B$10000,DATA!$M$3:$M$10000),"Inactivo"))</f>
        <v/>
      </c>
      <c r="G4164" s="28" t="str">
        <f aca="false">IF(A4164="","",IF(AND(C4164&lt;&gt;"No encontrado",F4164&lt;&gt;"Inactivo"),C4164&amp;" → "&amp;F4164,"Sin transición"))</f>
        <v/>
      </c>
      <c r="H4164" s="26" t="str">
        <f aca="false">IF(A4164="","",IF(D4164="GCIA LINEA SERVICIO DIGITALIDAD Y VENTAS","Chats",IF(OR(D4164="GERENCIA INBOUND LÍNEAS SERVICIO Y VENTA",D4164="GERENCIA INBOUND LINEAS ESPECIALIZADAS"),"Llamadas","Otro")))</f>
        <v/>
      </c>
      <c r="I4164" s="26" t="str">
        <f aca="false">IF(A4164="","",IF(C4164="No encontrado","No","Sí"))</f>
        <v/>
      </c>
      <c r="J4164" s="26" t="str">
        <f aca="false">IF(A4164="","",IF(F4164="Inactivo","No","Sí"))</f>
        <v/>
      </c>
      <c r="K4164" s="26" t="str">
        <f aca="false">IF(A4164="","",IF(AND(I4164="Sí",J4164="Sí"),"Sí","No"))</f>
        <v/>
      </c>
    </row>
    <row r="4165" customFormat="false" ht="15" hidden="false" customHeight="false" outlineLevel="0" collapsed="false">
      <c r="A4165" s="22"/>
      <c r="B4165" s="22"/>
      <c r="C4165" s="23" t="str">
        <f aca="false">IF(A4165="","",IFERROR(buscarx(A4165&amp;B4165,DATA!$E$3:$E$10000&amp;DATA!$B$3:$B$10000,DATA!$M$3:$M$10000),"No encontrado"))</f>
        <v/>
      </c>
      <c r="D4165" s="24" t="str">
        <f aca="false">IF(A4165="","",IFERROR(buscarx(A4165&amp;B4165,DATA!$E$3:$E$10000&amp;DATA!$B$3:$B$10000,DATA!$W$3:$W$10000),"No encontrado"))</f>
        <v/>
      </c>
      <c r="E4165" s="22"/>
      <c r="F4165" s="23" t="str">
        <f aca="false">IF(A4165="","",IFERROR(buscarx(A4165&amp;E4165,DATA!$E$3:$E$10000&amp;DATA!$B$3:$B$10000,DATA!$M$3:$M$10000),"Inactivo"))</f>
        <v/>
      </c>
      <c r="G4165" s="25" t="str">
        <f aca="false">IF(A4165="","",IF(AND(C4165&lt;&gt;"No encontrado",F4165&lt;&gt;"Inactivo"),C4165&amp;" → "&amp;F4165,"Sin transición"))</f>
        <v/>
      </c>
      <c r="H4165" s="23" t="str">
        <f aca="false">IF(A4165="","",IF(D4165="GCIA LINEA SERVICIO DIGITALIDAD Y VENTAS","Chats",IF(OR(D4165="GERENCIA INBOUND LÍNEAS SERVICIO Y VENTA",D4165="GERENCIA INBOUND LINEAS ESPECIALIZADAS"),"Llamadas","Otro")))</f>
        <v/>
      </c>
      <c r="I4165" s="23" t="str">
        <f aca="false">IF(A4165="","",IF(C4165="No encontrado","No","Sí"))</f>
        <v/>
      </c>
      <c r="J4165" s="23" t="str">
        <f aca="false">IF(A4165="","",IF(F4165="Inactivo","No","Sí"))</f>
        <v/>
      </c>
      <c r="K4165" s="23" t="str">
        <f aca="false">IF(A4165="","",IF(AND(I4165="Sí",J4165="Sí"),"Sí","No"))</f>
        <v/>
      </c>
    </row>
    <row r="4166" customFormat="false" ht="15" hidden="false" customHeight="false" outlineLevel="0" collapsed="false">
      <c r="A4166" s="22"/>
      <c r="B4166" s="22"/>
      <c r="C4166" s="26" t="str">
        <f aca="false">IF(A4166="","",IFERROR(buscarx(A4166&amp;B4166,DATA!$E$3:$E$10000&amp;DATA!$B$3:$B$10000,DATA!$M$3:$M$10000),"No encontrado"))</f>
        <v/>
      </c>
      <c r="D4166" s="27" t="str">
        <f aca="false">IF(A4166="","",IFERROR(buscarx(A4166&amp;B4166,DATA!$E$3:$E$10000&amp;DATA!$B$3:$B$10000,DATA!$W$3:$W$10000),"No encontrado"))</f>
        <v/>
      </c>
      <c r="E4166" s="22"/>
      <c r="F4166" s="26" t="str">
        <f aca="false">IF(A4166="","",IFERROR(buscarx(A4166&amp;E4166,DATA!$E$3:$E$10000&amp;DATA!$B$3:$B$10000,DATA!$M$3:$M$10000),"Inactivo"))</f>
        <v/>
      </c>
      <c r="G4166" s="28" t="str">
        <f aca="false">IF(A4166="","",IF(AND(C4166&lt;&gt;"No encontrado",F4166&lt;&gt;"Inactivo"),C4166&amp;" → "&amp;F4166,"Sin transición"))</f>
        <v/>
      </c>
      <c r="H4166" s="26" t="str">
        <f aca="false">IF(A4166="","",IF(D4166="GCIA LINEA SERVICIO DIGITALIDAD Y VENTAS","Chats",IF(OR(D4166="GERENCIA INBOUND LÍNEAS SERVICIO Y VENTA",D4166="GERENCIA INBOUND LINEAS ESPECIALIZADAS"),"Llamadas","Otro")))</f>
        <v/>
      </c>
      <c r="I4166" s="26" t="str">
        <f aca="false">IF(A4166="","",IF(C4166="No encontrado","No","Sí"))</f>
        <v/>
      </c>
      <c r="J4166" s="26" t="str">
        <f aca="false">IF(A4166="","",IF(F4166="Inactivo","No","Sí"))</f>
        <v/>
      </c>
      <c r="K4166" s="26" t="str">
        <f aca="false">IF(A4166="","",IF(AND(I4166="Sí",J4166="Sí"),"Sí","No"))</f>
        <v/>
      </c>
    </row>
    <row r="4167" customFormat="false" ht="15" hidden="false" customHeight="false" outlineLevel="0" collapsed="false">
      <c r="A4167" s="22"/>
      <c r="B4167" s="22"/>
      <c r="C4167" s="23" t="str">
        <f aca="false">IF(A4167="","",IFERROR(buscarx(A4167&amp;B4167,DATA!$E$3:$E$10000&amp;DATA!$B$3:$B$10000,DATA!$M$3:$M$10000),"No encontrado"))</f>
        <v/>
      </c>
      <c r="D4167" s="24" t="str">
        <f aca="false">IF(A4167="","",IFERROR(buscarx(A4167&amp;B4167,DATA!$E$3:$E$10000&amp;DATA!$B$3:$B$10000,DATA!$W$3:$W$10000),"No encontrado"))</f>
        <v/>
      </c>
      <c r="E4167" s="22"/>
      <c r="F4167" s="23" t="str">
        <f aca="false">IF(A4167="","",IFERROR(buscarx(A4167&amp;E4167,DATA!$E$3:$E$10000&amp;DATA!$B$3:$B$10000,DATA!$M$3:$M$10000),"Inactivo"))</f>
        <v/>
      </c>
      <c r="G4167" s="25" t="str">
        <f aca="false">IF(A4167="","",IF(AND(C4167&lt;&gt;"No encontrado",F4167&lt;&gt;"Inactivo"),C4167&amp;" → "&amp;F4167,"Sin transición"))</f>
        <v/>
      </c>
      <c r="H4167" s="23" t="str">
        <f aca="false">IF(A4167="","",IF(D4167="GCIA LINEA SERVICIO DIGITALIDAD Y VENTAS","Chats",IF(OR(D4167="GERENCIA INBOUND LÍNEAS SERVICIO Y VENTA",D4167="GERENCIA INBOUND LINEAS ESPECIALIZADAS"),"Llamadas","Otro")))</f>
        <v/>
      </c>
      <c r="I4167" s="23" t="str">
        <f aca="false">IF(A4167="","",IF(C4167="No encontrado","No","Sí"))</f>
        <v/>
      </c>
      <c r="J4167" s="23" t="str">
        <f aca="false">IF(A4167="","",IF(F4167="Inactivo","No","Sí"))</f>
        <v/>
      </c>
      <c r="K4167" s="23" t="str">
        <f aca="false">IF(A4167="","",IF(AND(I4167="Sí",J4167="Sí"),"Sí","No"))</f>
        <v/>
      </c>
    </row>
    <row r="4168" customFormat="false" ht="15" hidden="false" customHeight="false" outlineLevel="0" collapsed="false">
      <c r="A4168" s="22"/>
      <c r="B4168" s="22"/>
      <c r="C4168" s="26" t="str">
        <f aca="false">IF(A4168="","",IFERROR(buscarx(A4168&amp;B4168,DATA!$E$3:$E$10000&amp;DATA!$B$3:$B$10000,DATA!$M$3:$M$10000),"No encontrado"))</f>
        <v/>
      </c>
      <c r="D4168" s="27" t="str">
        <f aca="false">IF(A4168="","",IFERROR(buscarx(A4168&amp;B4168,DATA!$E$3:$E$10000&amp;DATA!$B$3:$B$10000,DATA!$W$3:$W$10000),"No encontrado"))</f>
        <v/>
      </c>
      <c r="E4168" s="22"/>
      <c r="F4168" s="26" t="str">
        <f aca="false">IF(A4168="","",IFERROR(buscarx(A4168&amp;E4168,DATA!$E$3:$E$10000&amp;DATA!$B$3:$B$10000,DATA!$M$3:$M$10000),"Inactivo"))</f>
        <v/>
      </c>
      <c r="G4168" s="28" t="str">
        <f aca="false">IF(A4168="","",IF(AND(C4168&lt;&gt;"No encontrado",F4168&lt;&gt;"Inactivo"),C4168&amp;" → "&amp;F4168,"Sin transición"))</f>
        <v/>
      </c>
      <c r="H4168" s="26" t="str">
        <f aca="false">IF(A4168="","",IF(D4168="GCIA LINEA SERVICIO DIGITALIDAD Y VENTAS","Chats",IF(OR(D4168="GERENCIA INBOUND LÍNEAS SERVICIO Y VENTA",D4168="GERENCIA INBOUND LINEAS ESPECIALIZADAS"),"Llamadas","Otro")))</f>
        <v/>
      </c>
      <c r="I4168" s="26" t="str">
        <f aca="false">IF(A4168="","",IF(C4168="No encontrado","No","Sí"))</f>
        <v/>
      </c>
      <c r="J4168" s="26" t="str">
        <f aca="false">IF(A4168="","",IF(F4168="Inactivo","No","Sí"))</f>
        <v/>
      </c>
      <c r="K4168" s="26" t="str">
        <f aca="false">IF(A4168="","",IF(AND(I4168="Sí",J4168="Sí"),"Sí","No"))</f>
        <v/>
      </c>
    </row>
    <row r="4169" customFormat="false" ht="15" hidden="false" customHeight="false" outlineLevel="0" collapsed="false">
      <c r="A4169" s="22"/>
      <c r="B4169" s="22"/>
      <c r="C4169" s="23" t="str">
        <f aca="false">IF(A4169="","",IFERROR(buscarx(A4169&amp;B4169,DATA!$E$3:$E$10000&amp;DATA!$B$3:$B$10000,DATA!$M$3:$M$10000),"No encontrado"))</f>
        <v/>
      </c>
      <c r="D4169" s="24" t="str">
        <f aca="false">IF(A4169="","",IFERROR(buscarx(A4169&amp;B4169,DATA!$E$3:$E$10000&amp;DATA!$B$3:$B$10000,DATA!$W$3:$W$10000),"No encontrado"))</f>
        <v/>
      </c>
      <c r="E4169" s="22"/>
      <c r="F4169" s="23" t="str">
        <f aca="false">IF(A4169="","",IFERROR(buscarx(A4169&amp;E4169,DATA!$E$3:$E$10000&amp;DATA!$B$3:$B$10000,DATA!$M$3:$M$10000),"Inactivo"))</f>
        <v/>
      </c>
      <c r="G4169" s="25" t="str">
        <f aca="false">IF(A4169="","",IF(AND(C4169&lt;&gt;"No encontrado",F4169&lt;&gt;"Inactivo"),C4169&amp;" → "&amp;F4169,"Sin transición"))</f>
        <v/>
      </c>
      <c r="H4169" s="23" t="str">
        <f aca="false">IF(A4169="","",IF(D4169="GCIA LINEA SERVICIO DIGITALIDAD Y VENTAS","Chats",IF(OR(D4169="GERENCIA INBOUND LÍNEAS SERVICIO Y VENTA",D4169="GERENCIA INBOUND LINEAS ESPECIALIZADAS"),"Llamadas","Otro")))</f>
        <v/>
      </c>
      <c r="I4169" s="23" t="str">
        <f aca="false">IF(A4169="","",IF(C4169="No encontrado","No","Sí"))</f>
        <v/>
      </c>
      <c r="J4169" s="23" t="str">
        <f aca="false">IF(A4169="","",IF(F4169="Inactivo","No","Sí"))</f>
        <v/>
      </c>
      <c r="K4169" s="23" t="str">
        <f aca="false">IF(A4169="","",IF(AND(I4169="Sí",J4169="Sí"),"Sí","No"))</f>
        <v/>
      </c>
    </row>
    <row r="4170" customFormat="false" ht="15" hidden="false" customHeight="false" outlineLevel="0" collapsed="false">
      <c r="A4170" s="22"/>
      <c r="B4170" s="22"/>
      <c r="C4170" s="26" t="str">
        <f aca="false">IF(A4170="","",IFERROR(buscarx(A4170&amp;B4170,DATA!$E$3:$E$10000&amp;DATA!$B$3:$B$10000,DATA!$M$3:$M$10000),"No encontrado"))</f>
        <v/>
      </c>
      <c r="D4170" s="27" t="str">
        <f aca="false">IF(A4170="","",IFERROR(buscarx(A4170&amp;B4170,DATA!$E$3:$E$10000&amp;DATA!$B$3:$B$10000,DATA!$W$3:$W$10000),"No encontrado"))</f>
        <v/>
      </c>
      <c r="E4170" s="22"/>
      <c r="F4170" s="26" t="str">
        <f aca="false">IF(A4170="","",IFERROR(buscarx(A4170&amp;E4170,DATA!$E$3:$E$10000&amp;DATA!$B$3:$B$10000,DATA!$M$3:$M$10000),"Inactivo"))</f>
        <v/>
      </c>
      <c r="G4170" s="28" t="str">
        <f aca="false">IF(A4170="","",IF(AND(C4170&lt;&gt;"No encontrado",F4170&lt;&gt;"Inactivo"),C4170&amp;" → "&amp;F4170,"Sin transición"))</f>
        <v/>
      </c>
      <c r="H4170" s="26" t="str">
        <f aca="false">IF(A4170="","",IF(D4170="GCIA LINEA SERVICIO DIGITALIDAD Y VENTAS","Chats",IF(OR(D4170="GERENCIA INBOUND LÍNEAS SERVICIO Y VENTA",D4170="GERENCIA INBOUND LINEAS ESPECIALIZADAS"),"Llamadas","Otro")))</f>
        <v/>
      </c>
      <c r="I4170" s="26" t="str">
        <f aca="false">IF(A4170="","",IF(C4170="No encontrado","No","Sí"))</f>
        <v/>
      </c>
      <c r="J4170" s="26" t="str">
        <f aca="false">IF(A4170="","",IF(F4170="Inactivo","No","Sí"))</f>
        <v/>
      </c>
      <c r="K4170" s="26" t="str">
        <f aca="false">IF(A4170="","",IF(AND(I4170="Sí",J4170="Sí"),"Sí","No"))</f>
        <v/>
      </c>
    </row>
    <row r="4171" customFormat="false" ht="15" hidden="false" customHeight="false" outlineLevel="0" collapsed="false">
      <c r="A4171" s="22"/>
      <c r="B4171" s="22"/>
      <c r="C4171" s="23" t="str">
        <f aca="false">IF(A4171="","",IFERROR(buscarx(A4171&amp;B4171,DATA!$E$3:$E$10000&amp;DATA!$B$3:$B$10000,DATA!$M$3:$M$10000),"No encontrado"))</f>
        <v/>
      </c>
      <c r="D4171" s="24" t="str">
        <f aca="false">IF(A4171="","",IFERROR(buscarx(A4171&amp;B4171,DATA!$E$3:$E$10000&amp;DATA!$B$3:$B$10000,DATA!$W$3:$W$10000),"No encontrado"))</f>
        <v/>
      </c>
      <c r="E4171" s="22"/>
      <c r="F4171" s="23" t="str">
        <f aca="false">IF(A4171="","",IFERROR(buscarx(A4171&amp;E4171,DATA!$E$3:$E$10000&amp;DATA!$B$3:$B$10000,DATA!$M$3:$M$10000),"Inactivo"))</f>
        <v/>
      </c>
      <c r="G4171" s="25" t="str">
        <f aca="false">IF(A4171="","",IF(AND(C4171&lt;&gt;"No encontrado",F4171&lt;&gt;"Inactivo"),C4171&amp;" → "&amp;F4171,"Sin transición"))</f>
        <v/>
      </c>
      <c r="H4171" s="23" t="str">
        <f aca="false">IF(A4171="","",IF(D4171="GCIA LINEA SERVICIO DIGITALIDAD Y VENTAS","Chats",IF(OR(D4171="GERENCIA INBOUND LÍNEAS SERVICIO Y VENTA",D4171="GERENCIA INBOUND LINEAS ESPECIALIZADAS"),"Llamadas","Otro")))</f>
        <v/>
      </c>
      <c r="I4171" s="23" t="str">
        <f aca="false">IF(A4171="","",IF(C4171="No encontrado","No","Sí"))</f>
        <v/>
      </c>
      <c r="J4171" s="23" t="str">
        <f aca="false">IF(A4171="","",IF(F4171="Inactivo","No","Sí"))</f>
        <v/>
      </c>
      <c r="K4171" s="23" t="str">
        <f aca="false">IF(A4171="","",IF(AND(I4171="Sí",J4171="Sí"),"Sí","No"))</f>
        <v/>
      </c>
    </row>
    <row r="4172" customFormat="false" ht="15" hidden="false" customHeight="false" outlineLevel="0" collapsed="false">
      <c r="A4172" s="22"/>
      <c r="B4172" s="22"/>
      <c r="C4172" s="26" t="str">
        <f aca="false">IF(A4172="","",IFERROR(buscarx(A4172&amp;B4172,DATA!$E$3:$E$10000&amp;DATA!$B$3:$B$10000,DATA!$M$3:$M$10000),"No encontrado"))</f>
        <v/>
      </c>
      <c r="D4172" s="27" t="str">
        <f aca="false">IF(A4172="","",IFERROR(buscarx(A4172&amp;B4172,DATA!$E$3:$E$10000&amp;DATA!$B$3:$B$10000,DATA!$W$3:$W$10000),"No encontrado"))</f>
        <v/>
      </c>
      <c r="E4172" s="22"/>
      <c r="F4172" s="26" t="str">
        <f aca="false">IF(A4172="","",IFERROR(buscarx(A4172&amp;E4172,DATA!$E$3:$E$10000&amp;DATA!$B$3:$B$10000,DATA!$M$3:$M$10000),"Inactivo"))</f>
        <v/>
      </c>
      <c r="G4172" s="28" t="str">
        <f aca="false">IF(A4172="","",IF(AND(C4172&lt;&gt;"No encontrado",F4172&lt;&gt;"Inactivo"),C4172&amp;" → "&amp;F4172,"Sin transición"))</f>
        <v/>
      </c>
      <c r="H4172" s="26" t="str">
        <f aca="false">IF(A4172="","",IF(D4172="GCIA LINEA SERVICIO DIGITALIDAD Y VENTAS","Chats",IF(OR(D4172="GERENCIA INBOUND LÍNEAS SERVICIO Y VENTA",D4172="GERENCIA INBOUND LINEAS ESPECIALIZADAS"),"Llamadas","Otro")))</f>
        <v/>
      </c>
      <c r="I4172" s="26" t="str">
        <f aca="false">IF(A4172="","",IF(C4172="No encontrado","No","Sí"))</f>
        <v/>
      </c>
      <c r="J4172" s="26" t="str">
        <f aca="false">IF(A4172="","",IF(F4172="Inactivo","No","Sí"))</f>
        <v/>
      </c>
      <c r="K4172" s="26" t="str">
        <f aca="false">IF(A4172="","",IF(AND(I4172="Sí",J4172="Sí"),"Sí","No"))</f>
        <v/>
      </c>
    </row>
    <row r="4173" customFormat="false" ht="15" hidden="false" customHeight="false" outlineLevel="0" collapsed="false">
      <c r="A4173" s="22"/>
      <c r="B4173" s="22"/>
      <c r="C4173" s="23" t="str">
        <f aca="false">IF(A4173="","",IFERROR(buscarx(A4173&amp;B4173,DATA!$E$3:$E$10000&amp;DATA!$B$3:$B$10000,DATA!$M$3:$M$10000),"No encontrado"))</f>
        <v/>
      </c>
      <c r="D4173" s="24" t="str">
        <f aca="false">IF(A4173="","",IFERROR(buscarx(A4173&amp;B4173,DATA!$E$3:$E$10000&amp;DATA!$B$3:$B$10000,DATA!$W$3:$W$10000),"No encontrado"))</f>
        <v/>
      </c>
      <c r="E4173" s="22"/>
      <c r="F4173" s="23" t="str">
        <f aca="false">IF(A4173="","",IFERROR(buscarx(A4173&amp;E4173,DATA!$E$3:$E$10000&amp;DATA!$B$3:$B$10000,DATA!$M$3:$M$10000),"Inactivo"))</f>
        <v/>
      </c>
      <c r="G4173" s="25" t="str">
        <f aca="false">IF(A4173="","",IF(AND(C4173&lt;&gt;"No encontrado",F4173&lt;&gt;"Inactivo"),C4173&amp;" → "&amp;F4173,"Sin transición"))</f>
        <v/>
      </c>
      <c r="H4173" s="23" t="str">
        <f aca="false">IF(A4173="","",IF(D4173="GCIA LINEA SERVICIO DIGITALIDAD Y VENTAS","Chats",IF(OR(D4173="GERENCIA INBOUND LÍNEAS SERVICIO Y VENTA",D4173="GERENCIA INBOUND LINEAS ESPECIALIZADAS"),"Llamadas","Otro")))</f>
        <v/>
      </c>
      <c r="I4173" s="23" t="str">
        <f aca="false">IF(A4173="","",IF(C4173="No encontrado","No","Sí"))</f>
        <v/>
      </c>
      <c r="J4173" s="23" t="str">
        <f aca="false">IF(A4173="","",IF(F4173="Inactivo","No","Sí"))</f>
        <v/>
      </c>
      <c r="K4173" s="23" t="str">
        <f aca="false">IF(A4173="","",IF(AND(I4173="Sí",J4173="Sí"),"Sí","No"))</f>
        <v/>
      </c>
    </row>
    <row r="4174" customFormat="false" ht="15" hidden="false" customHeight="false" outlineLevel="0" collapsed="false">
      <c r="A4174" s="22"/>
      <c r="B4174" s="22"/>
      <c r="C4174" s="26" t="str">
        <f aca="false">IF(A4174="","",IFERROR(buscarx(A4174&amp;B4174,DATA!$E$3:$E$10000&amp;DATA!$B$3:$B$10000,DATA!$M$3:$M$10000),"No encontrado"))</f>
        <v/>
      </c>
      <c r="D4174" s="27" t="str">
        <f aca="false">IF(A4174="","",IFERROR(buscarx(A4174&amp;B4174,DATA!$E$3:$E$10000&amp;DATA!$B$3:$B$10000,DATA!$W$3:$W$10000),"No encontrado"))</f>
        <v/>
      </c>
      <c r="E4174" s="22"/>
      <c r="F4174" s="26" t="str">
        <f aca="false">IF(A4174="","",IFERROR(buscarx(A4174&amp;E4174,DATA!$E$3:$E$10000&amp;DATA!$B$3:$B$10000,DATA!$M$3:$M$10000),"Inactivo"))</f>
        <v/>
      </c>
      <c r="G4174" s="28" t="str">
        <f aca="false">IF(A4174="","",IF(AND(C4174&lt;&gt;"No encontrado",F4174&lt;&gt;"Inactivo"),C4174&amp;" → "&amp;F4174,"Sin transición"))</f>
        <v/>
      </c>
      <c r="H4174" s="26" t="str">
        <f aca="false">IF(A4174="","",IF(D4174="GCIA LINEA SERVICIO DIGITALIDAD Y VENTAS","Chats",IF(OR(D4174="GERENCIA INBOUND LÍNEAS SERVICIO Y VENTA",D4174="GERENCIA INBOUND LINEAS ESPECIALIZADAS"),"Llamadas","Otro")))</f>
        <v/>
      </c>
      <c r="I4174" s="26" t="str">
        <f aca="false">IF(A4174="","",IF(C4174="No encontrado","No","Sí"))</f>
        <v/>
      </c>
      <c r="J4174" s="26" t="str">
        <f aca="false">IF(A4174="","",IF(F4174="Inactivo","No","Sí"))</f>
        <v/>
      </c>
      <c r="K4174" s="26" t="str">
        <f aca="false">IF(A4174="","",IF(AND(I4174="Sí",J4174="Sí"),"Sí","No"))</f>
        <v/>
      </c>
    </row>
    <row r="4175" customFormat="false" ht="15" hidden="false" customHeight="false" outlineLevel="0" collapsed="false">
      <c r="A4175" s="22"/>
      <c r="B4175" s="22"/>
      <c r="C4175" s="23" t="str">
        <f aca="false">IF(A4175="","",IFERROR(buscarx(A4175&amp;B4175,DATA!$E$3:$E$10000&amp;DATA!$B$3:$B$10000,DATA!$M$3:$M$10000),"No encontrado"))</f>
        <v/>
      </c>
      <c r="D4175" s="24" t="str">
        <f aca="false">IF(A4175="","",IFERROR(buscarx(A4175&amp;B4175,DATA!$E$3:$E$10000&amp;DATA!$B$3:$B$10000,DATA!$W$3:$W$10000),"No encontrado"))</f>
        <v/>
      </c>
      <c r="E4175" s="22"/>
      <c r="F4175" s="23" t="str">
        <f aca="false">IF(A4175="","",IFERROR(buscarx(A4175&amp;E4175,DATA!$E$3:$E$10000&amp;DATA!$B$3:$B$10000,DATA!$M$3:$M$10000),"Inactivo"))</f>
        <v/>
      </c>
      <c r="G4175" s="25" t="str">
        <f aca="false">IF(A4175="","",IF(AND(C4175&lt;&gt;"No encontrado",F4175&lt;&gt;"Inactivo"),C4175&amp;" → "&amp;F4175,"Sin transición"))</f>
        <v/>
      </c>
      <c r="H4175" s="23" t="str">
        <f aca="false">IF(A4175="","",IF(D4175="GCIA LINEA SERVICIO DIGITALIDAD Y VENTAS","Chats",IF(OR(D4175="GERENCIA INBOUND LÍNEAS SERVICIO Y VENTA",D4175="GERENCIA INBOUND LINEAS ESPECIALIZADAS"),"Llamadas","Otro")))</f>
        <v/>
      </c>
      <c r="I4175" s="23" t="str">
        <f aca="false">IF(A4175="","",IF(C4175="No encontrado","No","Sí"))</f>
        <v/>
      </c>
      <c r="J4175" s="23" t="str">
        <f aca="false">IF(A4175="","",IF(F4175="Inactivo","No","Sí"))</f>
        <v/>
      </c>
      <c r="K4175" s="23" t="str">
        <f aca="false">IF(A4175="","",IF(AND(I4175="Sí",J4175="Sí"),"Sí","No"))</f>
        <v/>
      </c>
    </row>
    <row r="4176" customFormat="false" ht="15" hidden="false" customHeight="false" outlineLevel="0" collapsed="false">
      <c r="A4176" s="22"/>
      <c r="B4176" s="22"/>
      <c r="C4176" s="26" t="str">
        <f aca="false">IF(A4176="","",IFERROR(buscarx(A4176&amp;B4176,DATA!$E$3:$E$10000&amp;DATA!$B$3:$B$10000,DATA!$M$3:$M$10000),"No encontrado"))</f>
        <v/>
      </c>
      <c r="D4176" s="27" t="str">
        <f aca="false">IF(A4176="","",IFERROR(buscarx(A4176&amp;B4176,DATA!$E$3:$E$10000&amp;DATA!$B$3:$B$10000,DATA!$W$3:$W$10000),"No encontrado"))</f>
        <v/>
      </c>
      <c r="E4176" s="22"/>
      <c r="F4176" s="26" t="str">
        <f aca="false">IF(A4176="","",IFERROR(buscarx(A4176&amp;E4176,DATA!$E$3:$E$10000&amp;DATA!$B$3:$B$10000,DATA!$M$3:$M$10000),"Inactivo"))</f>
        <v/>
      </c>
      <c r="G4176" s="28" t="str">
        <f aca="false">IF(A4176="","",IF(AND(C4176&lt;&gt;"No encontrado",F4176&lt;&gt;"Inactivo"),C4176&amp;" → "&amp;F4176,"Sin transición"))</f>
        <v/>
      </c>
      <c r="H4176" s="26" t="str">
        <f aca="false">IF(A4176="","",IF(D4176="GCIA LINEA SERVICIO DIGITALIDAD Y VENTAS","Chats",IF(OR(D4176="GERENCIA INBOUND LÍNEAS SERVICIO Y VENTA",D4176="GERENCIA INBOUND LINEAS ESPECIALIZADAS"),"Llamadas","Otro")))</f>
        <v/>
      </c>
      <c r="I4176" s="26" t="str">
        <f aca="false">IF(A4176="","",IF(C4176="No encontrado","No","Sí"))</f>
        <v/>
      </c>
      <c r="J4176" s="26" t="str">
        <f aca="false">IF(A4176="","",IF(F4176="Inactivo","No","Sí"))</f>
        <v/>
      </c>
      <c r="K4176" s="26" t="str">
        <f aca="false">IF(A4176="","",IF(AND(I4176="Sí",J4176="Sí"),"Sí","No"))</f>
        <v/>
      </c>
    </row>
    <row r="4177" customFormat="false" ht="15" hidden="false" customHeight="false" outlineLevel="0" collapsed="false">
      <c r="A4177" s="22"/>
      <c r="B4177" s="22"/>
      <c r="C4177" s="23" t="str">
        <f aca="false">IF(A4177="","",IFERROR(buscarx(A4177&amp;B4177,DATA!$E$3:$E$10000&amp;DATA!$B$3:$B$10000,DATA!$M$3:$M$10000),"No encontrado"))</f>
        <v/>
      </c>
      <c r="D4177" s="24" t="str">
        <f aca="false">IF(A4177="","",IFERROR(buscarx(A4177&amp;B4177,DATA!$E$3:$E$10000&amp;DATA!$B$3:$B$10000,DATA!$W$3:$W$10000),"No encontrado"))</f>
        <v/>
      </c>
      <c r="E4177" s="22"/>
      <c r="F4177" s="23" t="str">
        <f aca="false">IF(A4177="","",IFERROR(buscarx(A4177&amp;E4177,DATA!$E$3:$E$10000&amp;DATA!$B$3:$B$10000,DATA!$M$3:$M$10000),"Inactivo"))</f>
        <v/>
      </c>
      <c r="G4177" s="25" t="str">
        <f aca="false">IF(A4177="","",IF(AND(C4177&lt;&gt;"No encontrado",F4177&lt;&gt;"Inactivo"),C4177&amp;" → "&amp;F4177,"Sin transición"))</f>
        <v/>
      </c>
      <c r="H4177" s="23" t="str">
        <f aca="false">IF(A4177="","",IF(D4177="GCIA LINEA SERVICIO DIGITALIDAD Y VENTAS","Chats",IF(OR(D4177="GERENCIA INBOUND LÍNEAS SERVICIO Y VENTA",D4177="GERENCIA INBOUND LINEAS ESPECIALIZADAS"),"Llamadas","Otro")))</f>
        <v/>
      </c>
      <c r="I4177" s="23" t="str">
        <f aca="false">IF(A4177="","",IF(C4177="No encontrado","No","Sí"))</f>
        <v/>
      </c>
      <c r="J4177" s="23" t="str">
        <f aca="false">IF(A4177="","",IF(F4177="Inactivo","No","Sí"))</f>
        <v/>
      </c>
      <c r="K4177" s="23" t="str">
        <f aca="false">IF(A4177="","",IF(AND(I4177="Sí",J4177="Sí"),"Sí","No"))</f>
        <v/>
      </c>
    </row>
    <row r="4178" customFormat="false" ht="15" hidden="false" customHeight="false" outlineLevel="0" collapsed="false">
      <c r="A4178" s="22"/>
      <c r="B4178" s="22"/>
      <c r="C4178" s="26" t="str">
        <f aca="false">IF(A4178="","",IFERROR(buscarx(A4178&amp;B4178,DATA!$E$3:$E$10000&amp;DATA!$B$3:$B$10000,DATA!$M$3:$M$10000),"No encontrado"))</f>
        <v/>
      </c>
      <c r="D4178" s="27" t="str">
        <f aca="false">IF(A4178="","",IFERROR(buscarx(A4178&amp;B4178,DATA!$E$3:$E$10000&amp;DATA!$B$3:$B$10000,DATA!$W$3:$W$10000),"No encontrado"))</f>
        <v/>
      </c>
      <c r="E4178" s="22"/>
      <c r="F4178" s="26" t="str">
        <f aca="false">IF(A4178="","",IFERROR(buscarx(A4178&amp;E4178,DATA!$E$3:$E$10000&amp;DATA!$B$3:$B$10000,DATA!$M$3:$M$10000),"Inactivo"))</f>
        <v/>
      </c>
      <c r="G4178" s="28" t="str">
        <f aca="false">IF(A4178="","",IF(AND(C4178&lt;&gt;"No encontrado",F4178&lt;&gt;"Inactivo"),C4178&amp;" → "&amp;F4178,"Sin transición"))</f>
        <v/>
      </c>
      <c r="H4178" s="26" t="str">
        <f aca="false">IF(A4178="","",IF(D4178="GCIA LINEA SERVICIO DIGITALIDAD Y VENTAS","Chats",IF(OR(D4178="GERENCIA INBOUND LÍNEAS SERVICIO Y VENTA",D4178="GERENCIA INBOUND LINEAS ESPECIALIZADAS"),"Llamadas","Otro")))</f>
        <v/>
      </c>
      <c r="I4178" s="26" t="str">
        <f aca="false">IF(A4178="","",IF(C4178="No encontrado","No","Sí"))</f>
        <v/>
      </c>
      <c r="J4178" s="26" t="str">
        <f aca="false">IF(A4178="","",IF(F4178="Inactivo","No","Sí"))</f>
        <v/>
      </c>
      <c r="K4178" s="26" t="str">
        <f aca="false">IF(A4178="","",IF(AND(I4178="Sí",J4178="Sí"),"Sí","No"))</f>
        <v/>
      </c>
    </row>
    <row r="4179" customFormat="false" ht="15" hidden="false" customHeight="false" outlineLevel="0" collapsed="false">
      <c r="A4179" s="22"/>
      <c r="B4179" s="22"/>
      <c r="C4179" s="23" t="str">
        <f aca="false">IF(A4179="","",IFERROR(buscarx(A4179&amp;B4179,DATA!$E$3:$E$10000&amp;DATA!$B$3:$B$10000,DATA!$M$3:$M$10000),"No encontrado"))</f>
        <v/>
      </c>
      <c r="D4179" s="24" t="str">
        <f aca="false">IF(A4179="","",IFERROR(buscarx(A4179&amp;B4179,DATA!$E$3:$E$10000&amp;DATA!$B$3:$B$10000,DATA!$W$3:$W$10000),"No encontrado"))</f>
        <v/>
      </c>
      <c r="E4179" s="22"/>
      <c r="F4179" s="23" t="str">
        <f aca="false">IF(A4179="","",IFERROR(buscarx(A4179&amp;E4179,DATA!$E$3:$E$10000&amp;DATA!$B$3:$B$10000,DATA!$M$3:$M$10000),"Inactivo"))</f>
        <v/>
      </c>
      <c r="G4179" s="25" t="str">
        <f aca="false">IF(A4179="","",IF(AND(C4179&lt;&gt;"No encontrado",F4179&lt;&gt;"Inactivo"),C4179&amp;" → "&amp;F4179,"Sin transición"))</f>
        <v/>
      </c>
      <c r="H4179" s="23" t="str">
        <f aca="false">IF(A4179="","",IF(D4179="GCIA LINEA SERVICIO DIGITALIDAD Y VENTAS","Chats",IF(OR(D4179="GERENCIA INBOUND LÍNEAS SERVICIO Y VENTA",D4179="GERENCIA INBOUND LINEAS ESPECIALIZADAS"),"Llamadas","Otro")))</f>
        <v/>
      </c>
      <c r="I4179" s="23" t="str">
        <f aca="false">IF(A4179="","",IF(C4179="No encontrado","No","Sí"))</f>
        <v/>
      </c>
      <c r="J4179" s="23" t="str">
        <f aca="false">IF(A4179="","",IF(F4179="Inactivo","No","Sí"))</f>
        <v/>
      </c>
      <c r="K4179" s="23" t="str">
        <f aca="false">IF(A4179="","",IF(AND(I4179="Sí",J4179="Sí"),"Sí","No"))</f>
        <v/>
      </c>
    </row>
    <row r="4180" customFormat="false" ht="15" hidden="false" customHeight="false" outlineLevel="0" collapsed="false">
      <c r="A4180" s="22"/>
      <c r="B4180" s="22"/>
      <c r="C4180" s="26" t="str">
        <f aca="false">IF(A4180="","",IFERROR(buscarx(A4180&amp;B4180,DATA!$E$3:$E$10000&amp;DATA!$B$3:$B$10000,DATA!$M$3:$M$10000),"No encontrado"))</f>
        <v/>
      </c>
      <c r="D4180" s="27" t="str">
        <f aca="false">IF(A4180="","",IFERROR(buscarx(A4180&amp;B4180,DATA!$E$3:$E$10000&amp;DATA!$B$3:$B$10000,DATA!$W$3:$W$10000),"No encontrado"))</f>
        <v/>
      </c>
      <c r="E4180" s="22"/>
      <c r="F4180" s="26" t="str">
        <f aca="false">IF(A4180="","",IFERROR(buscarx(A4180&amp;E4180,DATA!$E$3:$E$10000&amp;DATA!$B$3:$B$10000,DATA!$M$3:$M$10000),"Inactivo"))</f>
        <v/>
      </c>
      <c r="G4180" s="28" t="str">
        <f aca="false">IF(A4180="","",IF(AND(C4180&lt;&gt;"No encontrado",F4180&lt;&gt;"Inactivo"),C4180&amp;" → "&amp;F4180,"Sin transición"))</f>
        <v/>
      </c>
      <c r="H4180" s="26" t="str">
        <f aca="false">IF(A4180="","",IF(D4180="GCIA LINEA SERVICIO DIGITALIDAD Y VENTAS","Chats",IF(OR(D4180="GERENCIA INBOUND LÍNEAS SERVICIO Y VENTA",D4180="GERENCIA INBOUND LINEAS ESPECIALIZADAS"),"Llamadas","Otro")))</f>
        <v/>
      </c>
      <c r="I4180" s="26" t="str">
        <f aca="false">IF(A4180="","",IF(C4180="No encontrado","No","Sí"))</f>
        <v/>
      </c>
      <c r="J4180" s="26" t="str">
        <f aca="false">IF(A4180="","",IF(F4180="Inactivo","No","Sí"))</f>
        <v/>
      </c>
      <c r="K4180" s="26" t="str">
        <f aca="false">IF(A4180="","",IF(AND(I4180="Sí",J4180="Sí"),"Sí","No"))</f>
        <v/>
      </c>
    </row>
    <row r="4181" customFormat="false" ht="15" hidden="false" customHeight="false" outlineLevel="0" collapsed="false">
      <c r="A4181" s="22"/>
      <c r="B4181" s="22"/>
      <c r="C4181" s="23" t="str">
        <f aca="false">IF(A4181="","",IFERROR(buscarx(A4181&amp;B4181,DATA!$E$3:$E$10000&amp;DATA!$B$3:$B$10000,DATA!$M$3:$M$10000),"No encontrado"))</f>
        <v/>
      </c>
      <c r="D4181" s="24" t="str">
        <f aca="false">IF(A4181="","",IFERROR(buscarx(A4181&amp;B4181,DATA!$E$3:$E$10000&amp;DATA!$B$3:$B$10000,DATA!$W$3:$W$10000),"No encontrado"))</f>
        <v/>
      </c>
      <c r="E4181" s="22"/>
      <c r="F4181" s="23" t="str">
        <f aca="false">IF(A4181="","",IFERROR(buscarx(A4181&amp;E4181,DATA!$E$3:$E$10000&amp;DATA!$B$3:$B$10000,DATA!$M$3:$M$10000),"Inactivo"))</f>
        <v/>
      </c>
      <c r="G4181" s="25" t="str">
        <f aca="false">IF(A4181="","",IF(AND(C4181&lt;&gt;"No encontrado",F4181&lt;&gt;"Inactivo"),C4181&amp;" → "&amp;F4181,"Sin transición"))</f>
        <v/>
      </c>
      <c r="H4181" s="23" t="str">
        <f aca="false">IF(A4181="","",IF(D4181="GCIA LINEA SERVICIO DIGITALIDAD Y VENTAS","Chats",IF(OR(D4181="GERENCIA INBOUND LÍNEAS SERVICIO Y VENTA",D4181="GERENCIA INBOUND LINEAS ESPECIALIZADAS"),"Llamadas","Otro")))</f>
        <v/>
      </c>
      <c r="I4181" s="23" t="str">
        <f aca="false">IF(A4181="","",IF(C4181="No encontrado","No","Sí"))</f>
        <v/>
      </c>
      <c r="J4181" s="23" t="str">
        <f aca="false">IF(A4181="","",IF(F4181="Inactivo","No","Sí"))</f>
        <v/>
      </c>
      <c r="K4181" s="23" t="str">
        <f aca="false">IF(A4181="","",IF(AND(I4181="Sí",J4181="Sí"),"Sí","No"))</f>
        <v/>
      </c>
    </row>
    <row r="4182" customFormat="false" ht="15" hidden="false" customHeight="false" outlineLevel="0" collapsed="false">
      <c r="A4182" s="22"/>
      <c r="B4182" s="22"/>
      <c r="C4182" s="26" t="str">
        <f aca="false">IF(A4182="","",IFERROR(buscarx(A4182&amp;B4182,DATA!$E$3:$E$10000&amp;DATA!$B$3:$B$10000,DATA!$M$3:$M$10000),"No encontrado"))</f>
        <v/>
      </c>
      <c r="D4182" s="27" t="str">
        <f aca="false">IF(A4182="","",IFERROR(buscarx(A4182&amp;B4182,DATA!$E$3:$E$10000&amp;DATA!$B$3:$B$10000,DATA!$W$3:$W$10000),"No encontrado"))</f>
        <v/>
      </c>
      <c r="E4182" s="22"/>
      <c r="F4182" s="26" t="str">
        <f aca="false">IF(A4182="","",IFERROR(buscarx(A4182&amp;E4182,DATA!$E$3:$E$10000&amp;DATA!$B$3:$B$10000,DATA!$M$3:$M$10000),"Inactivo"))</f>
        <v/>
      </c>
      <c r="G4182" s="28" t="str">
        <f aca="false">IF(A4182="","",IF(AND(C4182&lt;&gt;"No encontrado",F4182&lt;&gt;"Inactivo"),C4182&amp;" → "&amp;F4182,"Sin transición"))</f>
        <v/>
      </c>
      <c r="H4182" s="26" t="str">
        <f aca="false">IF(A4182="","",IF(D4182="GCIA LINEA SERVICIO DIGITALIDAD Y VENTAS","Chats",IF(OR(D4182="GERENCIA INBOUND LÍNEAS SERVICIO Y VENTA",D4182="GERENCIA INBOUND LINEAS ESPECIALIZADAS"),"Llamadas","Otro")))</f>
        <v/>
      </c>
      <c r="I4182" s="26" t="str">
        <f aca="false">IF(A4182="","",IF(C4182="No encontrado","No","Sí"))</f>
        <v/>
      </c>
      <c r="J4182" s="26" t="str">
        <f aca="false">IF(A4182="","",IF(F4182="Inactivo","No","Sí"))</f>
        <v/>
      </c>
      <c r="K4182" s="26" t="str">
        <f aca="false">IF(A4182="","",IF(AND(I4182="Sí",J4182="Sí"),"Sí","No"))</f>
        <v/>
      </c>
    </row>
    <row r="4183" customFormat="false" ht="15" hidden="false" customHeight="false" outlineLevel="0" collapsed="false">
      <c r="A4183" s="22"/>
      <c r="B4183" s="22"/>
      <c r="C4183" s="23" t="str">
        <f aca="false">IF(A4183="","",IFERROR(buscarx(A4183&amp;B4183,DATA!$E$3:$E$10000&amp;DATA!$B$3:$B$10000,DATA!$M$3:$M$10000),"No encontrado"))</f>
        <v/>
      </c>
      <c r="D4183" s="24" t="str">
        <f aca="false">IF(A4183="","",IFERROR(buscarx(A4183&amp;B4183,DATA!$E$3:$E$10000&amp;DATA!$B$3:$B$10000,DATA!$W$3:$W$10000),"No encontrado"))</f>
        <v/>
      </c>
      <c r="E4183" s="22"/>
      <c r="F4183" s="23" t="str">
        <f aca="false">IF(A4183="","",IFERROR(buscarx(A4183&amp;E4183,DATA!$E$3:$E$10000&amp;DATA!$B$3:$B$10000,DATA!$M$3:$M$10000),"Inactivo"))</f>
        <v/>
      </c>
      <c r="G4183" s="25" t="str">
        <f aca="false">IF(A4183="","",IF(AND(C4183&lt;&gt;"No encontrado",F4183&lt;&gt;"Inactivo"),C4183&amp;" → "&amp;F4183,"Sin transición"))</f>
        <v/>
      </c>
      <c r="H4183" s="23" t="str">
        <f aca="false">IF(A4183="","",IF(D4183="GCIA LINEA SERVICIO DIGITALIDAD Y VENTAS","Chats",IF(OR(D4183="GERENCIA INBOUND LÍNEAS SERVICIO Y VENTA",D4183="GERENCIA INBOUND LINEAS ESPECIALIZADAS"),"Llamadas","Otro")))</f>
        <v/>
      </c>
      <c r="I4183" s="23" t="str">
        <f aca="false">IF(A4183="","",IF(C4183="No encontrado","No","Sí"))</f>
        <v/>
      </c>
      <c r="J4183" s="23" t="str">
        <f aca="false">IF(A4183="","",IF(F4183="Inactivo","No","Sí"))</f>
        <v/>
      </c>
      <c r="K4183" s="23" t="str">
        <f aca="false">IF(A4183="","",IF(AND(I4183="Sí",J4183="Sí"),"Sí","No"))</f>
        <v/>
      </c>
    </row>
    <row r="4184" customFormat="false" ht="15" hidden="false" customHeight="false" outlineLevel="0" collapsed="false">
      <c r="A4184" s="22"/>
      <c r="B4184" s="22"/>
      <c r="C4184" s="26" t="str">
        <f aca="false">IF(A4184="","",IFERROR(buscarx(A4184&amp;B4184,DATA!$E$3:$E$10000&amp;DATA!$B$3:$B$10000,DATA!$M$3:$M$10000),"No encontrado"))</f>
        <v/>
      </c>
      <c r="D4184" s="27" t="str">
        <f aca="false">IF(A4184="","",IFERROR(buscarx(A4184&amp;B4184,DATA!$E$3:$E$10000&amp;DATA!$B$3:$B$10000,DATA!$W$3:$W$10000),"No encontrado"))</f>
        <v/>
      </c>
      <c r="E4184" s="22"/>
      <c r="F4184" s="26" t="str">
        <f aca="false">IF(A4184="","",IFERROR(buscarx(A4184&amp;E4184,DATA!$E$3:$E$10000&amp;DATA!$B$3:$B$10000,DATA!$M$3:$M$10000),"Inactivo"))</f>
        <v/>
      </c>
      <c r="G4184" s="28" t="str">
        <f aca="false">IF(A4184="","",IF(AND(C4184&lt;&gt;"No encontrado",F4184&lt;&gt;"Inactivo"),C4184&amp;" → "&amp;F4184,"Sin transición"))</f>
        <v/>
      </c>
      <c r="H4184" s="26" t="str">
        <f aca="false">IF(A4184="","",IF(D4184="GCIA LINEA SERVICIO DIGITALIDAD Y VENTAS","Chats",IF(OR(D4184="GERENCIA INBOUND LÍNEAS SERVICIO Y VENTA",D4184="GERENCIA INBOUND LINEAS ESPECIALIZADAS"),"Llamadas","Otro")))</f>
        <v/>
      </c>
      <c r="I4184" s="26" t="str">
        <f aca="false">IF(A4184="","",IF(C4184="No encontrado","No","Sí"))</f>
        <v/>
      </c>
      <c r="J4184" s="26" t="str">
        <f aca="false">IF(A4184="","",IF(F4184="Inactivo","No","Sí"))</f>
        <v/>
      </c>
      <c r="K4184" s="26" t="str">
        <f aca="false">IF(A4184="","",IF(AND(I4184="Sí",J4184="Sí"),"Sí","No"))</f>
        <v/>
      </c>
    </row>
    <row r="4185" customFormat="false" ht="15" hidden="false" customHeight="false" outlineLevel="0" collapsed="false">
      <c r="A4185" s="22"/>
      <c r="B4185" s="22"/>
      <c r="C4185" s="23" t="str">
        <f aca="false">IF(A4185="","",IFERROR(buscarx(A4185&amp;B4185,DATA!$E$3:$E$10000&amp;DATA!$B$3:$B$10000,DATA!$M$3:$M$10000),"No encontrado"))</f>
        <v/>
      </c>
      <c r="D4185" s="24" t="str">
        <f aca="false">IF(A4185="","",IFERROR(buscarx(A4185&amp;B4185,DATA!$E$3:$E$10000&amp;DATA!$B$3:$B$10000,DATA!$W$3:$W$10000),"No encontrado"))</f>
        <v/>
      </c>
      <c r="E4185" s="22"/>
      <c r="F4185" s="23" t="str">
        <f aca="false">IF(A4185="","",IFERROR(buscarx(A4185&amp;E4185,DATA!$E$3:$E$10000&amp;DATA!$B$3:$B$10000,DATA!$M$3:$M$10000),"Inactivo"))</f>
        <v/>
      </c>
      <c r="G4185" s="25" t="str">
        <f aca="false">IF(A4185="","",IF(AND(C4185&lt;&gt;"No encontrado",F4185&lt;&gt;"Inactivo"),C4185&amp;" → "&amp;F4185,"Sin transición"))</f>
        <v/>
      </c>
      <c r="H4185" s="23" t="str">
        <f aca="false">IF(A4185="","",IF(D4185="GCIA LINEA SERVICIO DIGITALIDAD Y VENTAS","Chats",IF(OR(D4185="GERENCIA INBOUND LÍNEAS SERVICIO Y VENTA",D4185="GERENCIA INBOUND LINEAS ESPECIALIZADAS"),"Llamadas","Otro")))</f>
        <v/>
      </c>
      <c r="I4185" s="23" t="str">
        <f aca="false">IF(A4185="","",IF(C4185="No encontrado","No","Sí"))</f>
        <v/>
      </c>
      <c r="J4185" s="23" t="str">
        <f aca="false">IF(A4185="","",IF(F4185="Inactivo","No","Sí"))</f>
        <v/>
      </c>
      <c r="K4185" s="23" t="str">
        <f aca="false">IF(A4185="","",IF(AND(I4185="Sí",J4185="Sí"),"Sí","No"))</f>
        <v/>
      </c>
    </row>
    <row r="4186" customFormat="false" ht="15" hidden="false" customHeight="false" outlineLevel="0" collapsed="false">
      <c r="A4186" s="22"/>
      <c r="B4186" s="22"/>
      <c r="C4186" s="26" t="str">
        <f aca="false">IF(A4186="","",IFERROR(buscarx(A4186&amp;B4186,DATA!$E$3:$E$10000&amp;DATA!$B$3:$B$10000,DATA!$M$3:$M$10000),"No encontrado"))</f>
        <v/>
      </c>
      <c r="D4186" s="27" t="str">
        <f aca="false">IF(A4186="","",IFERROR(buscarx(A4186&amp;B4186,DATA!$E$3:$E$10000&amp;DATA!$B$3:$B$10000,DATA!$W$3:$W$10000),"No encontrado"))</f>
        <v/>
      </c>
      <c r="E4186" s="22"/>
      <c r="F4186" s="26" t="str">
        <f aca="false">IF(A4186="","",IFERROR(buscarx(A4186&amp;E4186,DATA!$E$3:$E$10000&amp;DATA!$B$3:$B$10000,DATA!$M$3:$M$10000),"Inactivo"))</f>
        <v/>
      </c>
      <c r="G4186" s="28" t="str">
        <f aca="false">IF(A4186="","",IF(AND(C4186&lt;&gt;"No encontrado",F4186&lt;&gt;"Inactivo"),C4186&amp;" → "&amp;F4186,"Sin transición"))</f>
        <v/>
      </c>
      <c r="H4186" s="26" t="str">
        <f aca="false">IF(A4186="","",IF(D4186="GCIA LINEA SERVICIO DIGITALIDAD Y VENTAS","Chats",IF(OR(D4186="GERENCIA INBOUND LÍNEAS SERVICIO Y VENTA",D4186="GERENCIA INBOUND LINEAS ESPECIALIZADAS"),"Llamadas","Otro")))</f>
        <v/>
      </c>
      <c r="I4186" s="26" t="str">
        <f aca="false">IF(A4186="","",IF(C4186="No encontrado","No","Sí"))</f>
        <v/>
      </c>
      <c r="J4186" s="26" t="str">
        <f aca="false">IF(A4186="","",IF(F4186="Inactivo","No","Sí"))</f>
        <v/>
      </c>
      <c r="K4186" s="26" t="str">
        <f aca="false">IF(A4186="","",IF(AND(I4186="Sí",J4186="Sí"),"Sí","No"))</f>
        <v/>
      </c>
    </row>
    <row r="4187" customFormat="false" ht="15" hidden="false" customHeight="false" outlineLevel="0" collapsed="false">
      <c r="A4187" s="22"/>
      <c r="B4187" s="22"/>
      <c r="C4187" s="23" t="str">
        <f aca="false">IF(A4187="","",IFERROR(buscarx(A4187&amp;B4187,DATA!$E$3:$E$10000&amp;DATA!$B$3:$B$10000,DATA!$M$3:$M$10000),"No encontrado"))</f>
        <v/>
      </c>
      <c r="D4187" s="24" t="str">
        <f aca="false">IF(A4187="","",IFERROR(buscarx(A4187&amp;B4187,DATA!$E$3:$E$10000&amp;DATA!$B$3:$B$10000,DATA!$W$3:$W$10000),"No encontrado"))</f>
        <v/>
      </c>
      <c r="E4187" s="22"/>
      <c r="F4187" s="23" t="str">
        <f aca="false">IF(A4187="","",IFERROR(buscarx(A4187&amp;E4187,DATA!$E$3:$E$10000&amp;DATA!$B$3:$B$10000,DATA!$M$3:$M$10000),"Inactivo"))</f>
        <v/>
      </c>
      <c r="G4187" s="25" t="str">
        <f aca="false">IF(A4187="","",IF(AND(C4187&lt;&gt;"No encontrado",F4187&lt;&gt;"Inactivo"),C4187&amp;" → "&amp;F4187,"Sin transición"))</f>
        <v/>
      </c>
      <c r="H4187" s="23" t="str">
        <f aca="false">IF(A4187="","",IF(D4187="GCIA LINEA SERVICIO DIGITALIDAD Y VENTAS","Chats",IF(OR(D4187="GERENCIA INBOUND LÍNEAS SERVICIO Y VENTA",D4187="GERENCIA INBOUND LINEAS ESPECIALIZADAS"),"Llamadas","Otro")))</f>
        <v/>
      </c>
      <c r="I4187" s="23" t="str">
        <f aca="false">IF(A4187="","",IF(C4187="No encontrado","No","Sí"))</f>
        <v/>
      </c>
      <c r="J4187" s="23" t="str">
        <f aca="false">IF(A4187="","",IF(F4187="Inactivo","No","Sí"))</f>
        <v/>
      </c>
      <c r="K4187" s="23" t="str">
        <f aca="false">IF(A4187="","",IF(AND(I4187="Sí",J4187="Sí"),"Sí","No"))</f>
        <v/>
      </c>
    </row>
    <row r="4188" customFormat="false" ht="15" hidden="false" customHeight="false" outlineLevel="0" collapsed="false">
      <c r="A4188" s="22"/>
      <c r="B4188" s="22"/>
      <c r="C4188" s="26" t="str">
        <f aca="false">IF(A4188="","",IFERROR(buscarx(A4188&amp;B4188,DATA!$E$3:$E$10000&amp;DATA!$B$3:$B$10000,DATA!$M$3:$M$10000),"No encontrado"))</f>
        <v/>
      </c>
      <c r="D4188" s="27" t="str">
        <f aca="false">IF(A4188="","",IFERROR(buscarx(A4188&amp;B4188,DATA!$E$3:$E$10000&amp;DATA!$B$3:$B$10000,DATA!$W$3:$W$10000),"No encontrado"))</f>
        <v/>
      </c>
      <c r="E4188" s="22"/>
      <c r="F4188" s="26" t="str">
        <f aca="false">IF(A4188="","",IFERROR(buscarx(A4188&amp;E4188,DATA!$E$3:$E$10000&amp;DATA!$B$3:$B$10000,DATA!$M$3:$M$10000),"Inactivo"))</f>
        <v/>
      </c>
      <c r="G4188" s="28" t="str">
        <f aca="false">IF(A4188="","",IF(AND(C4188&lt;&gt;"No encontrado",F4188&lt;&gt;"Inactivo"),C4188&amp;" → "&amp;F4188,"Sin transición"))</f>
        <v/>
      </c>
      <c r="H4188" s="26" t="str">
        <f aca="false">IF(A4188="","",IF(D4188="GCIA LINEA SERVICIO DIGITALIDAD Y VENTAS","Chats",IF(OR(D4188="GERENCIA INBOUND LÍNEAS SERVICIO Y VENTA",D4188="GERENCIA INBOUND LINEAS ESPECIALIZADAS"),"Llamadas","Otro")))</f>
        <v/>
      </c>
      <c r="I4188" s="26" t="str">
        <f aca="false">IF(A4188="","",IF(C4188="No encontrado","No","Sí"))</f>
        <v/>
      </c>
      <c r="J4188" s="26" t="str">
        <f aca="false">IF(A4188="","",IF(F4188="Inactivo","No","Sí"))</f>
        <v/>
      </c>
      <c r="K4188" s="26" t="str">
        <f aca="false">IF(A4188="","",IF(AND(I4188="Sí",J4188="Sí"),"Sí","No"))</f>
        <v/>
      </c>
    </row>
    <row r="4189" customFormat="false" ht="15" hidden="false" customHeight="false" outlineLevel="0" collapsed="false">
      <c r="A4189" s="22"/>
      <c r="B4189" s="22"/>
      <c r="C4189" s="23" t="str">
        <f aca="false">IF(A4189="","",IFERROR(buscarx(A4189&amp;B4189,DATA!$E$3:$E$10000&amp;DATA!$B$3:$B$10000,DATA!$M$3:$M$10000),"No encontrado"))</f>
        <v/>
      </c>
      <c r="D4189" s="24" t="str">
        <f aca="false">IF(A4189="","",IFERROR(buscarx(A4189&amp;B4189,DATA!$E$3:$E$10000&amp;DATA!$B$3:$B$10000,DATA!$W$3:$W$10000),"No encontrado"))</f>
        <v/>
      </c>
      <c r="E4189" s="22"/>
      <c r="F4189" s="23" t="str">
        <f aca="false">IF(A4189="","",IFERROR(buscarx(A4189&amp;E4189,DATA!$E$3:$E$10000&amp;DATA!$B$3:$B$10000,DATA!$M$3:$M$10000),"Inactivo"))</f>
        <v/>
      </c>
      <c r="G4189" s="25" t="str">
        <f aca="false">IF(A4189="","",IF(AND(C4189&lt;&gt;"No encontrado",F4189&lt;&gt;"Inactivo"),C4189&amp;" → "&amp;F4189,"Sin transición"))</f>
        <v/>
      </c>
      <c r="H4189" s="23" t="str">
        <f aca="false">IF(A4189="","",IF(D4189="GCIA LINEA SERVICIO DIGITALIDAD Y VENTAS","Chats",IF(OR(D4189="GERENCIA INBOUND LÍNEAS SERVICIO Y VENTA",D4189="GERENCIA INBOUND LINEAS ESPECIALIZADAS"),"Llamadas","Otro")))</f>
        <v/>
      </c>
      <c r="I4189" s="23" t="str">
        <f aca="false">IF(A4189="","",IF(C4189="No encontrado","No","Sí"))</f>
        <v/>
      </c>
      <c r="J4189" s="23" t="str">
        <f aca="false">IF(A4189="","",IF(F4189="Inactivo","No","Sí"))</f>
        <v/>
      </c>
      <c r="K4189" s="23" t="str">
        <f aca="false">IF(A4189="","",IF(AND(I4189="Sí",J4189="Sí"),"Sí","No"))</f>
        <v/>
      </c>
    </row>
    <row r="4190" customFormat="false" ht="15" hidden="false" customHeight="false" outlineLevel="0" collapsed="false">
      <c r="A4190" s="22"/>
      <c r="B4190" s="22"/>
      <c r="C4190" s="26" t="str">
        <f aca="false">IF(A4190="","",IFERROR(buscarx(A4190&amp;B4190,DATA!$E$3:$E$10000&amp;DATA!$B$3:$B$10000,DATA!$M$3:$M$10000),"No encontrado"))</f>
        <v/>
      </c>
      <c r="D4190" s="27" t="str">
        <f aca="false">IF(A4190="","",IFERROR(buscarx(A4190&amp;B4190,DATA!$E$3:$E$10000&amp;DATA!$B$3:$B$10000,DATA!$W$3:$W$10000),"No encontrado"))</f>
        <v/>
      </c>
      <c r="E4190" s="22"/>
      <c r="F4190" s="26" t="str">
        <f aca="false">IF(A4190="","",IFERROR(buscarx(A4190&amp;E4190,DATA!$E$3:$E$10000&amp;DATA!$B$3:$B$10000,DATA!$M$3:$M$10000),"Inactivo"))</f>
        <v/>
      </c>
      <c r="G4190" s="28" t="str">
        <f aca="false">IF(A4190="","",IF(AND(C4190&lt;&gt;"No encontrado",F4190&lt;&gt;"Inactivo"),C4190&amp;" → "&amp;F4190,"Sin transición"))</f>
        <v/>
      </c>
      <c r="H4190" s="26" t="str">
        <f aca="false">IF(A4190="","",IF(D4190="GCIA LINEA SERVICIO DIGITALIDAD Y VENTAS","Chats",IF(OR(D4190="GERENCIA INBOUND LÍNEAS SERVICIO Y VENTA",D4190="GERENCIA INBOUND LINEAS ESPECIALIZADAS"),"Llamadas","Otro")))</f>
        <v/>
      </c>
      <c r="I4190" s="26" t="str">
        <f aca="false">IF(A4190="","",IF(C4190="No encontrado","No","Sí"))</f>
        <v/>
      </c>
      <c r="J4190" s="26" t="str">
        <f aca="false">IF(A4190="","",IF(F4190="Inactivo","No","Sí"))</f>
        <v/>
      </c>
      <c r="K4190" s="26" t="str">
        <f aca="false">IF(A4190="","",IF(AND(I4190="Sí",J4190="Sí"),"Sí","No"))</f>
        <v/>
      </c>
    </row>
    <row r="4191" customFormat="false" ht="15" hidden="false" customHeight="false" outlineLevel="0" collapsed="false">
      <c r="A4191" s="22"/>
      <c r="B4191" s="22"/>
      <c r="C4191" s="23" t="str">
        <f aca="false">IF(A4191="","",IFERROR(buscarx(A4191&amp;B4191,DATA!$E$3:$E$10000&amp;DATA!$B$3:$B$10000,DATA!$M$3:$M$10000),"No encontrado"))</f>
        <v/>
      </c>
      <c r="D4191" s="24" t="str">
        <f aca="false">IF(A4191="","",IFERROR(buscarx(A4191&amp;B4191,DATA!$E$3:$E$10000&amp;DATA!$B$3:$B$10000,DATA!$W$3:$W$10000),"No encontrado"))</f>
        <v/>
      </c>
      <c r="E4191" s="22"/>
      <c r="F4191" s="23" t="str">
        <f aca="false">IF(A4191="","",IFERROR(buscarx(A4191&amp;E4191,DATA!$E$3:$E$10000&amp;DATA!$B$3:$B$10000,DATA!$M$3:$M$10000),"Inactivo"))</f>
        <v/>
      </c>
      <c r="G4191" s="25" t="str">
        <f aca="false">IF(A4191="","",IF(AND(C4191&lt;&gt;"No encontrado",F4191&lt;&gt;"Inactivo"),C4191&amp;" → "&amp;F4191,"Sin transición"))</f>
        <v/>
      </c>
      <c r="H4191" s="23" t="str">
        <f aca="false">IF(A4191="","",IF(D4191="GCIA LINEA SERVICIO DIGITALIDAD Y VENTAS","Chats",IF(OR(D4191="GERENCIA INBOUND LÍNEAS SERVICIO Y VENTA",D4191="GERENCIA INBOUND LINEAS ESPECIALIZADAS"),"Llamadas","Otro")))</f>
        <v/>
      </c>
      <c r="I4191" s="23" t="str">
        <f aca="false">IF(A4191="","",IF(C4191="No encontrado","No","Sí"))</f>
        <v/>
      </c>
      <c r="J4191" s="23" t="str">
        <f aca="false">IF(A4191="","",IF(F4191="Inactivo","No","Sí"))</f>
        <v/>
      </c>
      <c r="K4191" s="23" t="str">
        <f aca="false">IF(A4191="","",IF(AND(I4191="Sí",J4191="Sí"),"Sí","No"))</f>
        <v/>
      </c>
    </row>
    <row r="4192" customFormat="false" ht="15" hidden="false" customHeight="false" outlineLevel="0" collapsed="false">
      <c r="A4192" s="22"/>
      <c r="B4192" s="22"/>
      <c r="C4192" s="26" t="str">
        <f aca="false">IF(A4192="","",IFERROR(buscarx(A4192&amp;B4192,DATA!$E$3:$E$10000&amp;DATA!$B$3:$B$10000,DATA!$M$3:$M$10000),"No encontrado"))</f>
        <v/>
      </c>
      <c r="D4192" s="27" t="str">
        <f aca="false">IF(A4192="","",IFERROR(buscarx(A4192&amp;B4192,DATA!$E$3:$E$10000&amp;DATA!$B$3:$B$10000,DATA!$W$3:$W$10000),"No encontrado"))</f>
        <v/>
      </c>
      <c r="E4192" s="22"/>
      <c r="F4192" s="26" t="str">
        <f aca="false">IF(A4192="","",IFERROR(buscarx(A4192&amp;E4192,DATA!$E$3:$E$10000&amp;DATA!$B$3:$B$10000,DATA!$M$3:$M$10000),"Inactivo"))</f>
        <v/>
      </c>
      <c r="G4192" s="28" t="str">
        <f aca="false">IF(A4192="","",IF(AND(C4192&lt;&gt;"No encontrado",F4192&lt;&gt;"Inactivo"),C4192&amp;" → "&amp;F4192,"Sin transición"))</f>
        <v/>
      </c>
      <c r="H4192" s="26" t="str">
        <f aca="false">IF(A4192="","",IF(D4192="GCIA LINEA SERVICIO DIGITALIDAD Y VENTAS","Chats",IF(OR(D4192="GERENCIA INBOUND LÍNEAS SERVICIO Y VENTA",D4192="GERENCIA INBOUND LINEAS ESPECIALIZADAS"),"Llamadas","Otro")))</f>
        <v/>
      </c>
      <c r="I4192" s="26" t="str">
        <f aca="false">IF(A4192="","",IF(C4192="No encontrado","No","Sí"))</f>
        <v/>
      </c>
      <c r="J4192" s="26" t="str">
        <f aca="false">IF(A4192="","",IF(F4192="Inactivo","No","Sí"))</f>
        <v/>
      </c>
      <c r="K4192" s="26" t="str">
        <f aca="false">IF(A4192="","",IF(AND(I4192="Sí",J4192="Sí"),"Sí","No"))</f>
        <v/>
      </c>
    </row>
    <row r="4193" customFormat="false" ht="15" hidden="false" customHeight="false" outlineLevel="0" collapsed="false">
      <c r="A4193" s="22"/>
      <c r="B4193" s="22"/>
      <c r="C4193" s="23" t="str">
        <f aca="false">IF(A4193="","",IFERROR(buscarx(A4193&amp;B4193,DATA!$E$3:$E$10000&amp;DATA!$B$3:$B$10000,DATA!$M$3:$M$10000),"No encontrado"))</f>
        <v/>
      </c>
      <c r="D4193" s="24" t="str">
        <f aca="false">IF(A4193="","",IFERROR(buscarx(A4193&amp;B4193,DATA!$E$3:$E$10000&amp;DATA!$B$3:$B$10000,DATA!$W$3:$W$10000),"No encontrado"))</f>
        <v/>
      </c>
      <c r="E4193" s="22"/>
      <c r="F4193" s="23" t="str">
        <f aca="false">IF(A4193="","",IFERROR(buscarx(A4193&amp;E4193,DATA!$E$3:$E$10000&amp;DATA!$B$3:$B$10000,DATA!$M$3:$M$10000),"Inactivo"))</f>
        <v/>
      </c>
      <c r="G4193" s="25" t="str">
        <f aca="false">IF(A4193="","",IF(AND(C4193&lt;&gt;"No encontrado",F4193&lt;&gt;"Inactivo"),C4193&amp;" → "&amp;F4193,"Sin transición"))</f>
        <v/>
      </c>
      <c r="H4193" s="23" t="str">
        <f aca="false">IF(A4193="","",IF(D4193="GCIA LINEA SERVICIO DIGITALIDAD Y VENTAS","Chats",IF(OR(D4193="GERENCIA INBOUND LÍNEAS SERVICIO Y VENTA",D4193="GERENCIA INBOUND LINEAS ESPECIALIZADAS"),"Llamadas","Otro")))</f>
        <v/>
      </c>
      <c r="I4193" s="23" t="str">
        <f aca="false">IF(A4193="","",IF(C4193="No encontrado","No","Sí"))</f>
        <v/>
      </c>
      <c r="J4193" s="23" t="str">
        <f aca="false">IF(A4193="","",IF(F4193="Inactivo","No","Sí"))</f>
        <v/>
      </c>
      <c r="K4193" s="23" t="str">
        <f aca="false">IF(A4193="","",IF(AND(I4193="Sí",J4193="Sí"),"Sí","No"))</f>
        <v/>
      </c>
    </row>
    <row r="4194" customFormat="false" ht="15" hidden="false" customHeight="false" outlineLevel="0" collapsed="false">
      <c r="A4194" s="22"/>
      <c r="B4194" s="22"/>
      <c r="C4194" s="26" t="str">
        <f aca="false">IF(A4194="","",IFERROR(buscarx(A4194&amp;B4194,DATA!$E$3:$E$10000&amp;DATA!$B$3:$B$10000,DATA!$M$3:$M$10000),"No encontrado"))</f>
        <v/>
      </c>
      <c r="D4194" s="27" t="str">
        <f aca="false">IF(A4194="","",IFERROR(buscarx(A4194&amp;B4194,DATA!$E$3:$E$10000&amp;DATA!$B$3:$B$10000,DATA!$W$3:$W$10000),"No encontrado"))</f>
        <v/>
      </c>
      <c r="E4194" s="22"/>
      <c r="F4194" s="26" t="str">
        <f aca="false">IF(A4194="","",IFERROR(buscarx(A4194&amp;E4194,DATA!$E$3:$E$10000&amp;DATA!$B$3:$B$10000,DATA!$M$3:$M$10000),"Inactivo"))</f>
        <v/>
      </c>
      <c r="G4194" s="28" t="str">
        <f aca="false">IF(A4194="","",IF(AND(C4194&lt;&gt;"No encontrado",F4194&lt;&gt;"Inactivo"),C4194&amp;" → "&amp;F4194,"Sin transición"))</f>
        <v/>
      </c>
      <c r="H4194" s="26" t="str">
        <f aca="false">IF(A4194="","",IF(D4194="GCIA LINEA SERVICIO DIGITALIDAD Y VENTAS","Chats",IF(OR(D4194="GERENCIA INBOUND LÍNEAS SERVICIO Y VENTA",D4194="GERENCIA INBOUND LINEAS ESPECIALIZADAS"),"Llamadas","Otro")))</f>
        <v/>
      </c>
      <c r="I4194" s="26" t="str">
        <f aca="false">IF(A4194="","",IF(C4194="No encontrado","No","Sí"))</f>
        <v/>
      </c>
      <c r="J4194" s="26" t="str">
        <f aca="false">IF(A4194="","",IF(F4194="Inactivo","No","Sí"))</f>
        <v/>
      </c>
      <c r="K4194" s="26" t="str">
        <f aca="false">IF(A4194="","",IF(AND(I4194="Sí",J4194="Sí"),"Sí","No"))</f>
        <v/>
      </c>
    </row>
    <row r="4195" customFormat="false" ht="15" hidden="false" customHeight="false" outlineLevel="0" collapsed="false">
      <c r="A4195" s="22"/>
      <c r="B4195" s="22"/>
      <c r="C4195" s="23" t="str">
        <f aca="false">IF(A4195="","",IFERROR(buscarx(A4195&amp;B4195,DATA!$E$3:$E$10000&amp;DATA!$B$3:$B$10000,DATA!$M$3:$M$10000),"No encontrado"))</f>
        <v/>
      </c>
      <c r="D4195" s="24" t="str">
        <f aca="false">IF(A4195="","",IFERROR(buscarx(A4195&amp;B4195,DATA!$E$3:$E$10000&amp;DATA!$B$3:$B$10000,DATA!$W$3:$W$10000),"No encontrado"))</f>
        <v/>
      </c>
      <c r="E4195" s="22"/>
      <c r="F4195" s="23" t="str">
        <f aca="false">IF(A4195="","",IFERROR(buscarx(A4195&amp;E4195,DATA!$E$3:$E$10000&amp;DATA!$B$3:$B$10000,DATA!$M$3:$M$10000),"Inactivo"))</f>
        <v/>
      </c>
      <c r="G4195" s="25" t="str">
        <f aca="false">IF(A4195="","",IF(AND(C4195&lt;&gt;"No encontrado",F4195&lt;&gt;"Inactivo"),C4195&amp;" → "&amp;F4195,"Sin transición"))</f>
        <v/>
      </c>
      <c r="H4195" s="23" t="str">
        <f aca="false">IF(A4195="","",IF(D4195="GCIA LINEA SERVICIO DIGITALIDAD Y VENTAS","Chats",IF(OR(D4195="GERENCIA INBOUND LÍNEAS SERVICIO Y VENTA",D4195="GERENCIA INBOUND LINEAS ESPECIALIZADAS"),"Llamadas","Otro")))</f>
        <v/>
      </c>
      <c r="I4195" s="23" t="str">
        <f aca="false">IF(A4195="","",IF(C4195="No encontrado","No","Sí"))</f>
        <v/>
      </c>
      <c r="J4195" s="23" t="str">
        <f aca="false">IF(A4195="","",IF(F4195="Inactivo","No","Sí"))</f>
        <v/>
      </c>
      <c r="K4195" s="23" t="str">
        <f aca="false">IF(A4195="","",IF(AND(I4195="Sí",J4195="Sí"),"Sí","No"))</f>
        <v/>
      </c>
    </row>
    <row r="4196" customFormat="false" ht="15" hidden="false" customHeight="false" outlineLevel="0" collapsed="false">
      <c r="A4196" s="22"/>
      <c r="B4196" s="22"/>
      <c r="C4196" s="26" t="str">
        <f aca="false">IF(A4196="","",IFERROR(buscarx(A4196&amp;B4196,DATA!$E$3:$E$10000&amp;DATA!$B$3:$B$10000,DATA!$M$3:$M$10000),"No encontrado"))</f>
        <v/>
      </c>
      <c r="D4196" s="27" t="str">
        <f aca="false">IF(A4196="","",IFERROR(buscarx(A4196&amp;B4196,DATA!$E$3:$E$10000&amp;DATA!$B$3:$B$10000,DATA!$W$3:$W$10000),"No encontrado"))</f>
        <v/>
      </c>
      <c r="E4196" s="22"/>
      <c r="F4196" s="26" t="str">
        <f aca="false">IF(A4196="","",IFERROR(buscarx(A4196&amp;E4196,DATA!$E$3:$E$10000&amp;DATA!$B$3:$B$10000,DATA!$M$3:$M$10000),"Inactivo"))</f>
        <v/>
      </c>
      <c r="G4196" s="28" t="str">
        <f aca="false">IF(A4196="","",IF(AND(C4196&lt;&gt;"No encontrado",F4196&lt;&gt;"Inactivo"),C4196&amp;" → "&amp;F4196,"Sin transición"))</f>
        <v/>
      </c>
      <c r="H4196" s="26" t="str">
        <f aca="false">IF(A4196="","",IF(D4196="GCIA LINEA SERVICIO DIGITALIDAD Y VENTAS","Chats",IF(OR(D4196="GERENCIA INBOUND LÍNEAS SERVICIO Y VENTA",D4196="GERENCIA INBOUND LINEAS ESPECIALIZADAS"),"Llamadas","Otro")))</f>
        <v/>
      </c>
      <c r="I4196" s="26" t="str">
        <f aca="false">IF(A4196="","",IF(C4196="No encontrado","No","Sí"))</f>
        <v/>
      </c>
      <c r="J4196" s="26" t="str">
        <f aca="false">IF(A4196="","",IF(F4196="Inactivo","No","Sí"))</f>
        <v/>
      </c>
      <c r="K4196" s="26" t="str">
        <f aca="false">IF(A4196="","",IF(AND(I4196="Sí",J4196="Sí"),"Sí","No"))</f>
        <v/>
      </c>
    </row>
    <row r="4197" customFormat="false" ht="15" hidden="false" customHeight="false" outlineLevel="0" collapsed="false">
      <c r="A4197" s="22"/>
      <c r="B4197" s="22"/>
      <c r="C4197" s="23" t="str">
        <f aca="false">IF(A4197="","",IFERROR(buscarx(A4197&amp;B4197,DATA!$E$3:$E$10000&amp;DATA!$B$3:$B$10000,DATA!$M$3:$M$10000),"No encontrado"))</f>
        <v/>
      </c>
      <c r="D4197" s="24" t="str">
        <f aca="false">IF(A4197="","",IFERROR(buscarx(A4197&amp;B4197,DATA!$E$3:$E$10000&amp;DATA!$B$3:$B$10000,DATA!$W$3:$W$10000),"No encontrado"))</f>
        <v/>
      </c>
      <c r="E4197" s="22"/>
      <c r="F4197" s="23" t="str">
        <f aca="false">IF(A4197="","",IFERROR(buscarx(A4197&amp;E4197,DATA!$E$3:$E$10000&amp;DATA!$B$3:$B$10000,DATA!$M$3:$M$10000),"Inactivo"))</f>
        <v/>
      </c>
      <c r="G4197" s="25" t="str">
        <f aca="false">IF(A4197="","",IF(AND(C4197&lt;&gt;"No encontrado",F4197&lt;&gt;"Inactivo"),C4197&amp;" → "&amp;F4197,"Sin transición"))</f>
        <v/>
      </c>
      <c r="H4197" s="23" t="str">
        <f aca="false">IF(A4197="","",IF(D4197="GCIA LINEA SERVICIO DIGITALIDAD Y VENTAS","Chats",IF(OR(D4197="GERENCIA INBOUND LÍNEAS SERVICIO Y VENTA",D4197="GERENCIA INBOUND LINEAS ESPECIALIZADAS"),"Llamadas","Otro")))</f>
        <v/>
      </c>
      <c r="I4197" s="23" t="str">
        <f aca="false">IF(A4197="","",IF(C4197="No encontrado","No","Sí"))</f>
        <v/>
      </c>
      <c r="J4197" s="23" t="str">
        <f aca="false">IF(A4197="","",IF(F4197="Inactivo","No","Sí"))</f>
        <v/>
      </c>
      <c r="K4197" s="23" t="str">
        <f aca="false">IF(A4197="","",IF(AND(I4197="Sí",J4197="Sí"),"Sí","No"))</f>
        <v/>
      </c>
    </row>
    <row r="4198" customFormat="false" ht="15" hidden="false" customHeight="false" outlineLevel="0" collapsed="false">
      <c r="A4198" s="22"/>
      <c r="B4198" s="22"/>
      <c r="C4198" s="26" t="str">
        <f aca="false">IF(A4198="","",IFERROR(buscarx(A4198&amp;B4198,DATA!$E$3:$E$10000&amp;DATA!$B$3:$B$10000,DATA!$M$3:$M$10000),"No encontrado"))</f>
        <v/>
      </c>
      <c r="D4198" s="27" t="str">
        <f aca="false">IF(A4198="","",IFERROR(buscarx(A4198&amp;B4198,DATA!$E$3:$E$10000&amp;DATA!$B$3:$B$10000,DATA!$W$3:$W$10000),"No encontrado"))</f>
        <v/>
      </c>
      <c r="E4198" s="22"/>
      <c r="F4198" s="26" t="str">
        <f aca="false">IF(A4198="","",IFERROR(buscarx(A4198&amp;E4198,DATA!$E$3:$E$10000&amp;DATA!$B$3:$B$10000,DATA!$M$3:$M$10000),"Inactivo"))</f>
        <v/>
      </c>
      <c r="G4198" s="28" t="str">
        <f aca="false">IF(A4198="","",IF(AND(C4198&lt;&gt;"No encontrado",F4198&lt;&gt;"Inactivo"),C4198&amp;" → "&amp;F4198,"Sin transición"))</f>
        <v/>
      </c>
      <c r="H4198" s="26" t="str">
        <f aca="false">IF(A4198="","",IF(D4198="GCIA LINEA SERVICIO DIGITALIDAD Y VENTAS","Chats",IF(OR(D4198="GERENCIA INBOUND LÍNEAS SERVICIO Y VENTA",D4198="GERENCIA INBOUND LINEAS ESPECIALIZADAS"),"Llamadas","Otro")))</f>
        <v/>
      </c>
      <c r="I4198" s="26" t="str">
        <f aca="false">IF(A4198="","",IF(C4198="No encontrado","No","Sí"))</f>
        <v/>
      </c>
      <c r="J4198" s="26" t="str">
        <f aca="false">IF(A4198="","",IF(F4198="Inactivo","No","Sí"))</f>
        <v/>
      </c>
      <c r="K4198" s="26" t="str">
        <f aca="false">IF(A4198="","",IF(AND(I4198="Sí",J4198="Sí"),"Sí","No"))</f>
        <v/>
      </c>
    </row>
    <row r="4199" customFormat="false" ht="15" hidden="false" customHeight="false" outlineLevel="0" collapsed="false">
      <c r="A4199" s="22"/>
      <c r="B4199" s="22"/>
      <c r="C4199" s="23" t="str">
        <f aca="false">IF(A4199="","",IFERROR(buscarx(A4199&amp;B4199,DATA!$E$3:$E$10000&amp;DATA!$B$3:$B$10000,DATA!$M$3:$M$10000),"No encontrado"))</f>
        <v/>
      </c>
      <c r="D4199" s="24" t="str">
        <f aca="false">IF(A4199="","",IFERROR(buscarx(A4199&amp;B4199,DATA!$E$3:$E$10000&amp;DATA!$B$3:$B$10000,DATA!$W$3:$W$10000),"No encontrado"))</f>
        <v/>
      </c>
      <c r="E4199" s="22"/>
      <c r="F4199" s="23" t="str">
        <f aca="false">IF(A4199="","",IFERROR(buscarx(A4199&amp;E4199,DATA!$E$3:$E$10000&amp;DATA!$B$3:$B$10000,DATA!$M$3:$M$10000),"Inactivo"))</f>
        <v/>
      </c>
      <c r="G4199" s="25" t="str">
        <f aca="false">IF(A4199="","",IF(AND(C4199&lt;&gt;"No encontrado",F4199&lt;&gt;"Inactivo"),C4199&amp;" → "&amp;F4199,"Sin transición"))</f>
        <v/>
      </c>
      <c r="H4199" s="23" t="str">
        <f aca="false">IF(A4199="","",IF(D4199="GCIA LINEA SERVICIO DIGITALIDAD Y VENTAS","Chats",IF(OR(D4199="GERENCIA INBOUND LÍNEAS SERVICIO Y VENTA",D4199="GERENCIA INBOUND LINEAS ESPECIALIZADAS"),"Llamadas","Otro")))</f>
        <v/>
      </c>
      <c r="I4199" s="23" t="str">
        <f aca="false">IF(A4199="","",IF(C4199="No encontrado","No","Sí"))</f>
        <v/>
      </c>
      <c r="J4199" s="23" t="str">
        <f aca="false">IF(A4199="","",IF(F4199="Inactivo","No","Sí"))</f>
        <v/>
      </c>
      <c r="K4199" s="23" t="str">
        <f aca="false">IF(A4199="","",IF(AND(I4199="Sí",J4199="Sí"),"Sí","No"))</f>
        <v/>
      </c>
    </row>
    <row r="4200" customFormat="false" ht="15" hidden="false" customHeight="false" outlineLevel="0" collapsed="false">
      <c r="A4200" s="22"/>
      <c r="B4200" s="22"/>
      <c r="C4200" s="26" t="str">
        <f aca="false">IF(A4200="","",IFERROR(buscarx(A4200&amp;B4200,DATA!$E$3:$E$10000&amp;DATA!$B$3:$B$10000,DATA!$M$3:$M$10000),"No encontrado"))</f>
        <v/>
      </c>
      <c r="D4200" s="27" t="str">
        <f aca="false">IF(A4200="","",IFERROR(buscarx(A4200&amp;B4200,DATA!$E$3:$E$10000&amp;DATA!$B$3:$B$10000,DATA!$W$3:$W$10000),"No encontrado"))</f>
        <v/>
      </c>
      <c r="E4200" s="22"/>
      <c r="F4200" s="26" t="str">
        <f aca="false">IF(A4200="","",IFERROR(buscarx(A4200&amp;E4200,DATA!$E$3:$E$10000&amp;DATA!$B$3:$B$10000,DATA!$M$3:$M$10000),"Inactivo"))</f>
        <v/>
      </c>
      <c r="G4200" s="28" t="str">
        <f aca="false">IF(A4200="","",IF(AND(C4200&lt;&gt;"No encontrado",F4200&lt;&gt;"Inactivo"),C4200&amp;" → "&amp;F4200,"Sin transición"))</f>
        <v/>
      </c>
      <c r="H4200" s="26" t="str">
        <f aca="false">IF(A4200="","",IF(D4200="GCIA LINEA SERVICIO DIGITALIDAD Y VENTAS","Chats",IF(OR(D4200="GERENCIA INBOUND LÍNEAS SERVICIO Y VENTA",D4200="GERENCIA INBOUND LINEAS ESPECIALIZADAS"),"Llamadas","Otro")))</f>
        <v/>
      </c>
      <c r="I4200" s="26" t="str">
        <f aca="false">IF(A4200="","",IF(C4200="No encontrado","No","Sí"))</f>
        <v/>
      </c>
      <c r="J4200" s="26" t="str">
        <f aca="false">IF(A4200="","",IF(F4200="Inactivo","No","Sí"))</f>
        <v/>
      </c>
      <c r="K4200" s="26" t="str">
        <f aca="false">IF(A4200="","",IF(AND(I4200="Sí",J4200="Sí"),"Sí","No"))</f>
        <v/>
      </c>
    </row>
    <row r="4201" customFormat="false" ht="15" hidden="false" customHeight="false" outlineLevel="0" collapsed="false">
      <c r="A4201" s="22"/>
      <c r="B4201" s="22"/>
      <c r="C4201" s="23" t="str">
        <f aca="false">IF(A4201="","",IFERROR(buscarx(A4201&amp;B4201,DATA!$E$3:$E$10000&amp;DATA!$B$3:$B$10000,DATA!$M$3:$M$10000),"No encontrado"))</f>
        <v/>
      </c>
      <c r="D4201" s="24" t="str">
        <f aca="false">IF(A4201="","",IFERROR(buscarx(A4201&amp;B4201,DATA!$E$3:$E$10000&amp;DATA!$B$3:$B$10000,DATA!$W$3:$W$10000),"No encontrado"))</f>
        <v/>
      </c>
      <c r="E4201" s="22"/>
      <c r="F4201" s="23" t="str">
        <f aca="false">IF(A4201="","",IFERROR(buscarx(A4201&amp;E4201,DATA!$E$3:$E$10000&amp;DATA!$B$3:$B$10000,DATA!$M$3:$M$10000),"Inactivo"))</f>
        <v/>
      </c>
      <c r="G4201" s="25" t="str">
        <f aca="false">IF(A4201="","",IF(AND(C4201&lt;&gt;"No encontrado",F4201&lt;&gt;"Inactivo"),C4201&amp;" → "&amp;F4201,"Sin transición"))</f>
        <v/>
      </c>
      <c r="H4201" s="23" t="str">
        <f aca="false">IF(A4201="","",IF(D4201="GCIA LINEA SERVICIO DIGITALIDAD Y VENTAS","Chats",IF(OR(D4201="GERENCIA INBOUND LÍNEAS SERVICIO Y VENTA",D4201="GERENCIA INBOUND LINEAS ESPECIALIZADAS"),"Llamadas","Otro")))</f>
        <v/>
      </c>
      <c r="I4201" s="23" t="str">
        <f aca="false">IF(A4201="","",IF(C4201="No encontrado","No","Sí"))</f>
        <v/>
      </c>
      <c r="J4201" s="23" t="str">
        <f aca="false">IF(A4201="","",IF(F4201="Inactivo","No","Sí"))</f>
        <v/>
      </c>
      <c r="K4201" s="23" t="str">
        <f aca="false">IF(A4201="","",IF(AND(I4201="Sí",J4201="Sí"),"Sí","No"))</f>
        <v/>
      </c>
    </row>
    <row r="4202" customFormat="false" ht="15" hidden="false" customHeight="false" outlineLevel="0" collapsed="false">
      <c r="A4202" s="22"/>
      <c r="B4202" s="22"/>
      <c r="C4202" s="26" t="str">
        <f aca="false">IF(A4202="","",IFERROR(buscarx(A4202&amp;B4202,DATA!$E$3:$E$10000&amp;DATA!$B$3:$B$10000,DATA!$M$3:$M$10000),"No encontrado"))</f>
        <v/>
      </c>
      <c r="D4202" s="27" t="str">
        <f aca="false">IF(A4202="","",IFERROR(buscarx(A4202&amp;B4202,DATA!$E$3:$E$10000&amp;DATA!$B$3:$B$10000,DATA!$W$3:$W$10000),"No encontrado"))</f>
        <v/>
      </c>
      <c r="E4202" s="22"/>
      <c r="F4202" s="26" t="str">
        <f aca="false">IF(A4202="","",IFERROR(buscarx(A4202&amp;E4202,DATA!$E$3:$E$10000&amp;DATA!$B$3:$B$10000,DATA!$M$3:$M$10000),"Inactivo"))</f>
        <v/>
      </c>
      <c r="G4202" s="28" t="str">
        <f aca="false">IF(A4202="","",IF(AND(C4202&lt;&gt;"No encontrado",F4202&lt;&gt;"Inactivo"),C4202&amp;" → "&amp;F4202,"Sin transición"))</f>
        <v/>
      </c>
      <c r="H4202" s="26" t="str">
        <f aca="false">IF(A4202="","",IF(D4202="GCIA LINEA SERVICIO DIGITALIDAD Y VENTAS","Chats",IF(OR(D4202="GERENCIA INBOUND LÍNEAS SERVICIO Y VENTA",D4202="GERENCIA INBOUND LINEAS ESPECIALIZADAS"),"Llamadas","Otro")))</f>
        <v/>
      </c>
      <c r="I4202" s="26" t="str">
        <f aca="false">IF(A4202="","",IF(C4202="No encontrado","No","Sí"))</f>
        <v/>
      </c>
      <c r="J4202" s="26" t="str">
        <f aca="false">IF(A4202="","",IF(F4202="Inactivo","No","Sí"))</f>
        <v/>
      </c>
      <c r="K4202" s="26" t="str">
        <f aca="false">IF(A4202="","",IF(AND(I4202="Sí",J4202="Sí"),"Sí","No"))</f>
        <v/>
      </c>
    </row>
    <row r="4203" customFormat="false" ht="15" hidden="false" customHeight="false" outlineLevel="0" collapsed="false">
      <c r="A4203" s="22"/>
      <c r="B4203" s="22"/>
      <c r="C4203" s="23" t="str">
        <f aca="false">IF(A4203="","",IFERROR(buscarx(A4203&amp;B4203,DATA!$E$3:$E$10000&amp;DATA!$B$3:$B$10000,DATA!$M$3:$M$10000),"No encontrado"))</f>
        <v/>
      </c>
      <c r="D4203" s="24" t="str">
        <f aca="false">IF(A4203="","",IFERROR(buscarx(A4203&amp;B4203,DATA!$E$3:$E$10000&amp;DATA!$B$3:$B$10000,DATA!$W$3:$W$10000),"No encontrado"))</f>
        <v/>
      </c>
      <c r="E4203" s="22"/>
      <c r="F4203" s="23" t="str">
        <f aca="false">IF(A4203="","",IFERROR(buscarx(A4203&amp;E4203,DATA!$E$3:$E$10000&amp;DATA!$B$3:$B$10000,DATA!$M$3:$M$10000),"Inactivo"))</f>
        <v/>
      </c>
      <c r="G4203" s="25" t="str">
        <f aca="false">IF(A4203="","",IF(AND(C4203&lt;&gt;"No encontrado",F4203&lt;&gt;"Inactivo"),C4203&amp;" → "&amp;F4203,"Sin transición"))</f>
        <v/>
      </c>
      <c r="H4203" s="23" t="str">
        <f aca="false">IF(A4203="","",IF(D4203="GCIA LINEA SERVICIO DIGITALIDAD Y VENTAS","Chats",IF(OR(D4203="GERENCIA INBOUND LÍNEAS SERVICIO Y VENTA",D4203="GERENCIA INBOUND LINEAS ESPECIALIZADAS"),"Llamadas","Otro")))</f>
        <v/>
      </c>
      <c r="I4203" s="23" t="str">
        <f aca="false">IF(A4203="","",IF(C4203="No encontrado","No","Sí"))</f>
        <v/>
      </c>
      <c r="J4203" s="23" t="str">
        <f aca="false">IF(A4203="","",IF(F4203="Inactivo","No","Sí"))</f>
        <v/>
      </c>
      <c r="K4203" s="23" t="str">
        <f aca="false">IF(A4203="","",IF(AND(I4203="Sí",J4203="Sí"),"Sí","No"))</f>
        <v/>
      </c>
    </row>
    <row r="4204" customFormat="false" ht="15" hidden="false" customHeight="false" outlineLevel="0" collapsed="false">
      <c r="A4204" s="22"/>
      <c r="B4204" s="22"/>
      <c r="C4204" s="26" t="str">
        <f aca="false">IF(A4204="","",IFERROR(buscarx(A4204&amp;B4204,DATA!$E$3:$E$10000&amp;DATA!$B$3:$B$10000,DATA!$M$3:$M$10000),"No encontrado"))</f>
        <v/>
      </c>
      <c r="D4204" s="27" t="str">
        <f aca="false">IF(A4204="","",IFERROR(buscarx(A4204&amp;B4204,DATA!$E$3:$E$10000&amp;DATA!$B$3:$B$10000,DATA!$W$3:$W$10000),"No encontrado"))</f>
        <v/>
      </c>
      <c r="E4204" s="22"/>
      <c r="F4204" s="26" t="str">
        <f aca="false">IF(A4204="","",IFERROR(buscarx(A4204&amp;E4204,DATA!$E$3:$E$10000&amp;DATA!$B$3:$B$10000,DATA!$M$3:$M$10000),"Inactivo"))</f>
        <v/>
      </c>
      <c r="G4204" s="28" t="str">
        <f aca="false">IF(A4204="","",IF(AND(C4204&lt;&gt;"No encontrado",F4204&lt;&gt;"Inactivo"),C4204&amp;" → "&amp;F4204,"Sin transición"))</f>
        <v/>
      </c>
      <c r="H4204" s="26" t="str">
        <f aca="false">IF(A4204="","",IF(D4204="GCIA LINEA SERVICIO DIGITALIDAD Y VENTAS","Chats",IF(OR(D4204="GERENCIA INBOUND LÍNEAS SERVICIO Y VENTA",D4204="GERENCIA INBOUND LINEAS ESPECIALIZADAS"),"Llamadas","Otro")))</f>
        <v/>
      </c>
      <c r="I4204" s="26" t="str">
        <f aca="false">IF(A4204="","",IF(C4204="No encontrado","No","Sí"))</f>
        <v/>
      </c>
      <c r="J4204" s="26" t="str">
        <f aca="false">IF(A4204="","",IF(F4204="Inactivo","No","Sí"))</f>
        <v/>
      </c>
      <c r="K4204" s="26" t="str">
        <f aca="false">IF(A4204="","",IF(AND(I4204="Sí",J4204="Sí"),"Sí","No"))</f>
        <v/>
      </c>
    </row>
    <row r="4205" customFormat="false" ht="15" hidden="false" customHeight="false" outlineLevel="0" collapsed="false">
      <c r="A4205" s="22"/>
      <c r="B4205" s="22"/>
      <c r="C4205" s="23" t="str">
        <f aca="false">IF(A4205="","",IFERROR(buscarx(A4205&amp;B4205,DATA!$E$3:$E$10000&amp;DATA!$B$3:$B$10000,DATA!$M$3:$M$10000),"No encontrado"))</f>
        <v/>
      </c>
      <c r="D4205" s="24" t="str">
        <f aca="false">IF(A4205="","",IFERROR(buscarx(A4205&amp;B4205,DATA!$E$3:$E$10000&amp;DATA!$B$3:$B$10000,DATA!$W$3:$W$10000),"No encontrado"))</f>
        <v/>
      </c>
      <c r="E4205" s="22"/>
      <c r="F4205" s="23" t="str">
        <f aca="false">IF(A4205="","",IFERROR(buscarx(A4205&amp;E4205,DATA!$E$3:$E$10000&amp;DATA!$B$3:$B$10000,DATA!$M$3:$M$10000),"Inactivo"))</f>
        <v/>
      </c>
      <c r="G4205" s="25" t="str">
        <f aca="false">IF(A4205="","",IF(AND(C4205&lt;&gt;"No encontrado",F4205&lt;&gt;"Inactivo"),C4205&amp;" → "&amp;F4205,"Sin transición"))</f>
        <v/>
      </c>
      <c r="H4205" s="23" t="str">
        <f aca="false">IF(A4205="","",IF(D4205="GCIA LINEA SERVICIO DIGITALIDAD Y VENTAS","Chats",IF(OR(D4205="GERENCIA INBOUND LÍNEAS SERVICIO Y VENTA",D4205="GERENCIA INBOUND LINEAS ESPECIALIZADAS"),"Llamadas","Otro")))</f>
        <v/>
      </c>
      <c r="I4205" s="23" t="str">
        <f aca="false">IF(A4205="","",IF(C4205="No encontrado","No","Sí"))</f>
        <v/>
      </c>
      <c r="J4205" s="23" t="str">
        <f aca="false">IF(A4205="","",IF(F4205="Inactivo","No","Sí"))</f>
        <v/>
      </c>
      <c r="K4205" s="23" t="str">
        <f aca="false">IF(A4205="","",IF(AND(I4205="Sí",J4205="Sí"),"Sí","No"))</f>
        <v/>
      </c>
    </row>
    <row r="4206" customFormat="false" ht="15" hidden="false" customHeight="false" outlineLevel="0" collapsed="false">
      <c r="A4206" s="22"/>
      <c r="B4206" s="22"/>
      <c r="C4206" s="26" t="str">
        <f aca="false">IF(A4206="","",IFERROR(buscarx(A4206&amp;B4206,DATA!$E$3:$E$10000&amp;DATA!$B$3:$B$10000,DATA!$M$3:$M$10000),"No encontrado"))</f>
        <v/>
      </c>
      <c r="D4206" s="27" t="str">
        <f aca="false">IF(A4206="","",IFERROR(buscarx(A4206&amp;B4206,DATA!$E$3:$E$10000&amp;DATA!$B$3:$B$10000,DATA!$W$3:$W$10000),"No encontrado"))</f>
        <v/>
      </c>
      <c r="E4206" s="22"/>
      <c r="F4206" s="26" t="str">
        <f aca="false">IF(A4206="","",IFERROR(buscarx(A4206&amp;E4206,DATA!$E$3:$E$10000&amp;DATA!$B$3:$B$10000,DATA!$M$3:$M$10000),"Inactivo"))</f>
        <v/>
      </c>
      <c r="G4206" s="28" t="str">
        <f aca="false">IF(A4206="","",IF(AND(C4206&lt;&gt;"No encontrado",F4206&lt;&gt;"Inactivo"),C4206&amp;" → "&amp;F4206,"Sin transición"))</f>
        <v/>
      </c>
      <c r="H4206" s="26" t="str">
        <f aca="false">IF(A4206="","",IF(D4206="GCIA LINEA SERVICIO DIGITALIDAD Y VENTAS","Chats",IF(OR(D4206="GERENCIA INBOUND LÍNEAS SERVICIO Y VENTA",D4206="GERENCIA INBOUND LINEAS ESPECIALIZADAS"),"Llamadas","Otro")))</f>
        <v/>
      </c>
      <c r="I4206" s="26" t="str">
        <f aca="false">IF(A4206="","",IF(C4206="No encontrado","No","Sí"))</f>
        <v/>
      </c>
      <c r="J4206" s="26" t="str">
        <f aca="false">IF(A4206="","",IF(F4206="Inactivo","No","Sí"))</f>
        <v/>
      </c>
      <c r="K4206" s="26" t="str">
        <f aca="false">IF(A4206="","",IF(AND(I4206="Sí",J4206="Sí"),"Sí","No"))</f>
        <v/>
      </c>
    </row>
    <row r="4207" customFormat="false" ht="15" hidden="false" customHeight="false" outlineLevel="0" collapsed="false">
      <c r="A4207" s="22"/>
      <c r="B4207" s="22"/>
      <c r="C4207" s="23" t="str">
        <f aca="false">IF(A4207="","",IFERROR(buscarx(A4207&amp;B4207,DATA!$E$3:$E$10000&amp;DATA!$B$3:$B$10000,DATA!$M$3:$M$10000),"No encontrado"))</f>
        <v/>
      </c>
      <c r="D4207" s="24" t="str">
        <f aca="false">IF(A4207="","",IFERROR(buscarx(A4207&amp;B4207,DATA!$E$3:$E$10000&amp;DATA!$B$3:$B$10000,DATA!$W$3:$W$10000),"No encontrado"))</f>
        <v/>
      </c>
      <c r="E4207" s="22"/>
      <c r="F4207" s="23" t="str">
        <f aca="false">IF(A4207="","",IFERROR(buscarx(A4207&amp;E4207,DATA!$E$3:$E$10000&amp;DATA!$B$3:$B$10000,DATA!$M$3:$M$10000),"Inactivo"))</f>
        <v/>
      </c>
      <c r="G4207" s="25" t="str">
        <f aca="false">IF(A4207="","",IF(AND(C4207&lt;&gt;"No encontrado",F4207&lt;&gt;"Inactivo"),C4207&amp;" → "&amp;F4207,"Sin transición"))</f>
        <v/>
      </c>
      <c r="H4207" s="23" t="str">
        <f aca="false">IF(A4207="","",IF(D4207="GCIA LINEA SERVICIO DIGITALIDAD Y VENTAS","Chats",IF(OR(D4207="GERENCIA INBOUND LÍNEAS SERVICIO Y VENTA",D4207="GERENCIA INBOUND LINEAS ESPECIALIZADAS"),"Llamadas","Otro")))</f>
        <v/>
      </c>
      <c r="I4207" s="23" t="str">
        <f aca="false">IF(A4207="","",IF(C4207="No encontrado","No","Sí"))</f>
        <v/>
      </c>
      <c r="J4207" s="23" t="str">
        <f aca="false">IF(A4207="","",IF(F4207="Inactivo","No","Sí"))</f>
        <v/>
      </c>
      <c r="K4207" s="23" t="str">
        <f aca="false">IF(A4207="","",IF(AND(I4207="Sí",J4207="Sí"),"Sí","No"))</f>
        <v/>
      </c>
    </row>
    <row r="4208" customFormat="false" ht="15" hidden="false" customHeight="false" outlineLevel="0" collapsed="false">
      <c r="A4208" s="22"/>
      <c r="B4208" s="22"/>
      <c r="C4208" s="26" t="str">
        <f aca="false">IF(A4208="","",IFERROR(buscarx(A4208&amp;B4208,DATA!$E$3:$E$10000&amp;DATA!$B$3:$B$10000,DATA!$M$3:$M$10000),"No encontrado"))</f>
        <v/>
      </c>
      <c r="D4208" s="27" t="str">
        <f aca="false">IF(A4208="","",IFERROR(buscarx(A4208&amp;B4208,DATA!$E$3:$E$10000&amp;DATA!$B$3:$B$10000,DATA!$W$3:$W$10000),"No encontrado"))</f>
        <v/>
      </c>
      <c r="E4208" s="22"/>
      <c r="F4208" s="26" t="str">
        <f aca="false">IF(A4208="","",IFERROR(buscarx(A4208&amp;E4208,DATA!$E$3:$E$10000&amp;DATA!$B$3:$B$10000,DATA!$M$3:$M$10000),"Inactivo"))</f>
        <v/>
      </c>
      <c r="G4208" s="28" t="str">
        <f aca="false">IF(A4208="","",IF(AND(C4208&lt;&gt;"No encontrado",F4208&lt;&gt;"Inactivo"),C4208&amp;" → "&amp;F4208,"Sin transición"))</f>
        <v/>
      </c>
      <c r="H4208" s="26" t="str">
        <f aca="false">IF(A4208="","",IF(D4208="GCIA LINEA SERVICIO DIGITALIDAD Y VENTAS","Chats",IF(OR(D4208="GERENCIA INBOUND LÍNEAS SERVICIO Y VENTA",D4208="GERENCIA INBOUND LINEAS ESPECIALIZADAS"),"Llamadas","Otro")))</f>
        <v/>
      </c>
      <c r="I4208" s="26" t="str">
        <f aca="false">IF(A4208="","",IF(C4208="No encontrado","No","Sí"))</f>
        <v/>
      </c>
      <c r="J4208" s="26" t="str">
        <f aca="false">IF(A4208="","",IF(F4208="Inactivo","No","Sí"))</f>
        <v/>
      </c>
      <c r="K4208" s="26" t="str">
        <f aca="false">IF(A4208="","",IF(AND(I4208="Sí",J4208="Sí"),"Sí","No"))</f>
        <v/>
      </c>
    </row>
    <row r="4209" customFormat="false" ht="15" hidden="false" customHeight="false" outlineLevel="0" collapsed="false">
      <c r="A4209" s="22"/>
      <c r="B4209" s="22"/>
      <c r="C4209" s="23" t="str">
        <f aca="false">IF(A4209="","",IFERROR(buscarx(A4209&amp;B4209,DATA!$E$3:$E$10000&amp;DATA!$B$3:$B$10000,DATA!$M$3:$M$10000),"No encontrado"))</f>
        <v/>
      </c>
      <c r="D4209" s="24" t="str">
        <f aca="false">IF(A4209="","",IFERROR(buscarx(A4209&amp;B4209,DATA!$E$3:$E$10000&amp;DATA!$B$3:$B$10000,DATA!$W$3:$W$10000),"No encontrado"))</f>
        <v/>
      </c>
      <c r="E4209" s="22"/>
      <c r="F4209" s="23" t="str">
        <f aca="false">IF(A4209="","",IFERROR(buscarx(A4209&amp;E4209,DATA!$E$3:$E$10000&amp;DATA!$B$3:$B$10000,DATA!$M$3:$M$10000),"Inactivo"))</f>
        <v/>
      </c>
      <c r="G4209" s="25" t="str">
        <f aca="false">IF(A4209="","",IF(AND(C4209&lt;&gt;"No encontrado",F4209&lt;&gt;"Inactivo"),C4209&amp;" → "&amp;F4209,"Sin transición"))</f>
        <v/>
      </c>
      <c r="H4209" s="23" t="str">
        <f aca="false">IF(A4209="","",IF(D4209="GCIA LINEA SERVICIO DIGITALIDAD Y VENTAS","Chats",IF(OR(D4209="GERENCIA INBOUND LÍNEAS SERVICIO Y VENTA",D4209="GERENCIA INBOUND LINEAS ESPECIALIZADAS"),"Llamadas","Otro")))</f>
        <v/>
      </c>
      <c r="I4209" s="23" t="str">
        <f aca="false">IF(A4209="","",IF(C4209="No encontrado","No","Sí"))</f>
        <v/>
      </c>
      <c r="J4209" s="23" t="str">
        <f aca="false">IF(A4209="","",IF(F4209="Inactivo","No","Sí"))</f>
        <v/>
      </c>
      <c r="K4209" s="23" t="str">
        <f aca="false">IF(A4209="","",IF(AND(I4209="Sí",J4209="Sí"),"Sí","No"))</f>
        <v/>
      </c>
    </row>
    <row r="4210" customFormat="false" ht="15" hidden="false" customHeight="false" outlineLevel="0" collapsed="false">
      <c r="A4210" s="22"/>
      <c r="B4210" s="22"/>
      <c r="C4210" s="26" t="str">
        <f aca="false">IF(A4210="","",IFERROR(buscarx(A4210&amp;B4210,DATA!$E$3:$E$10000&amp;DATA!$B$3:$B$10000,DATA!$M$3:$M$10000),"No encontrado"))</f>
        <v/>
      </c>
      <c r="D4210" s="27" t="str">
        <f aca="false">IF(A4210="","",IFERROR(buscarx(A4210&amp;B4210,DATA!$E$3:$E$10000&amp;DATA!$B$3:$B$10000,DATA!$W$3:$W$10000),"No encontrado"))</f>
        <v/>
      </c>
      <c r="E4210" s="22"/>
      <c r="F4210" s="26" t="str">
        <f aca="false">IF(A4210="","",IFERROR(buscarx(A4210&amp;E4210,DATA!$E$3:$E$10000&amp;DATA!$B$3:$B$10000,DATA!$M$3:$M$10000),"Inactivo"))</f>
        <v/>
      </c>
      <c r="G4210" s="28" t="str">
        <f aca="false">IF(A4210="","",IF(AND(C4210&lt;&gt;"No encontrado",F4210&lt;&gt;"Inactivo"),C4210&amp;" → "&amp;F4210,"Sin transición"))</f>
        <v/>
      </c>
      <c r="H4210" s="26" t="str">
        <f aca="false">IF(A4210="","",IF(D4210="GCIA LINEA SERVICIO DIGITALIDAD Y VENTAS","Chats",IF(OR(D4210="GERENCIA INBOUND LÍNEAS SERVICIO Y VENTA",D4210="GERENCIA INBOUND LINEAS ESPECIALIZADAS"),"Llamadas","Otro")))</f>
        <v/>
      </c>
      <c r="I4210" s="26" t="str">
        <f aca="false">IF(A4210="","",IF(C4210="No encontrado","No","Sí"))</f>
        <v/>
      </c>
      <c r="J4210" s="26" t="str">
        <f aca="false">IF(A4210="","",IF(F4210="Inactivo","No","Sí"))</f>
        <v/>
      </c>
      <c r="K4210" s="26" t="str">
        <f aca="false">IF(A4210="","",IF(AND(I4210="Sí",J4210="Sí"),"Sí","No"))</f>
        <v/>
      </c>
    </row>
    <row r="4211" customFormat="false" ht="15" hidden="false" customHeight="false" outlineLevel="0" collapsed="false">
      <c r="A4211" s="22"/>
      <c r="B4211" s="22"/>
      <c r="C4211" s="23" t="str">
        <f aca="false">IF(A4211="","",IFERROR(buscarx(A4211&amp;B4211,DATA!$E$3:$E$10000&amp;DATA!$B$3:$B$10000,DATA!$M$3:$M$10000),"No encontrado"))</f>
        <v/>
      </c>
      <c r="D4211" s="24" t="str">
        <f aca="false">IF(A4211="","",IFERROR(buscarx(A4211&amp;B4211,DATA!$E$3:$E$10000&amp;DATA!$B$3:$B$10000,DATA!$W$3:$W$10000),"No encontrado"))</f>
        <v/>
      </c>
      <c r="E4211" s="22"/>
      <c r="F4211" s="23" t="str">
        <f aca="false">IF(A4211="","",IFERROR(buscarx(A4211&amp;E4211,DATA!$E$3:$E$10000&amp;DATA!$B$3:$B$10000,DATA!$M$3:$M$10000),"Inactivo"))</f>
        <v/>
      </c>
      <c r="G4211" s="25" t="str">
        <f aca="false">IF(A4211="","",IF(AND(C4211&lt;&gt;"No encontrado",F4211&lt;&gt;"Inactivo"),C4211&amp;" → "&amp;F4211,"Sin transición"))</f>
        <v/>
      </c>
      <c r="H4211" s="23" t="str">
        <f aca="false">IF(A4211="","",IF(D4211="GCIA LINEA SERVICIO DIGITALIDAD Y VENTAS","Chats",IF(OR(D4211="GERENCIA INBOUND LÍNEAS SERVICIO Y VENTA",D4211="GERENCIA INBOUND LINEAS ESPECIALIZADAS"),"Llamadas","Otro")))</f>
        <v/>
      </c>
      <c r="I4211" s="23" t="str">
        <f aca="false">IF(A4211="","",IF(C4211="No encontrado","No","Sí"))</f>
        <v/>
      </c>
      <c r="J4211" s="23" t="str">
        <f aca="false">IF(A4211="","",IF(F4211="Inactivo","No","Sí"))</f>
        <v/>
      </c>
      <c r="K4211" s="23" t="str">
        <f aca="false">IF(A4211="","",IF(AND(I4211="Sí",J4211="Sí"),"Sí","No"))</f>
        <v/>
      </c>
    </row>
    <row r="4212" customFormat="false" ht="15" hidden="false" customHeight="false" outlineLevel="0" collapsed="false">
      <c r="A4212" s="22"/>
      <c r="B4212" s="22"/>
      <c r="C4212" s="26" t="str">
        <f aca="false">IF(A4212="","",IFERROR(buscarx(A4212&amp;B4212,DATA!$E$3:$E$10000&amp;DATA!$B$3:$B$10000,DATA!$M$3:$M$10000),"No encontrado"))</f>
        <v/>
      </c>
      <c r="D4212" s="27" t="str">
        <f aca="false">IF(A4212="","",IFERROR(buscarx(A4212&amp;B4212,DATA!$E$3:$E$10000&amp;DATA!$B$3:$B$10000,DATA!$W$3:$W$10000),"No encontrado"))</f>
        <v/>
      </c>
      <c r="E4212" s="22"/>
      <c r="F4212" s="26" t="str">
        <f aca="false">IF(A4212="","",IFERROR(buscarx(A4212&amp;E4212,DATA!$E$3:$E$10000&amp;DATA!$B$3:$B$10000,DATA!$M$3:$M$10000),"Inactivo"))</f>
        <v/>
      </c>
      <c r="G4212" s="28" t="str">
        <f aca="false">IF(A4212="","",IF(AND(C4212&lt;&gt;"No encontrado",F4212&lt;&gt;"Inactivo"),C4212&amp;" → "&amp;F4212,"Sin transición"))</f>
        <v/>
      </c>
      <c r="H4212" s="26" t="str">
        <f aca="false">IF(A4212="","",IF(D4212="GCIA LINEA SERVICIO DIGITALIDAD Y VENTAS","Chats",IF(OR(D4212="GERENCIA INBOUND LÍNEAS SERVICIO Y VENTA",D4212="GERENCIA INBOUND LINEAS ESPECIALIZADAS"),"Llamadas","Otro")))</f>
        <v/>
      </c>
      <c r="I4212" s="26" t="str">
        <f aca="false">IF(A4212="","",IF(C4212="No encontrado","No","Sí"))</f>
        <v/>
      </c>
      <c r="J4212" s="26" t="str">
        <f aca="false">IF(A4212="","",IF(F4212="Inactivo","No","Sí"))</f>
        <v/>
      </c>
      <c r="K4212" s="26" t="str">
        <f aca="false">IF(A4212="","",IF(AND(I4212="Sí",J4212="Sí"),"Sí","No"))</f>
        <v/>
      </c>
    </row>
    <row r="4213" customFormat="false" ht="15" hidden="false" customHeight="false" outlineLevel="0" collapsed="false">
      <c r="A4213" s="22"/>
      <c r="B4213" s="22"/>
      <c r="C4213" s="23" t="str">
        <f aca="false">IF(A4213="","",IFERROR(buscarx(A4213&amp;B4213,DATA!$E$3:$E$10000&amp;DATA!$B$3:$B$10000,DATA!$M$3:$M$10000),"No encontrado"))</f>
        <v/>
      </c>
      <c r="D4213" s="24" t="str">
        <f aca="false">IF(A4213="","",IFERROR(buscarx(A4213&amp;B4213,DATA!$E$3:$E$10000&amp;DATA!$B$3:$B$10000,DATA!$W$3:$W$10000),"No encontrado"))</f>
        <v/>
      </c>
      <c r="E4213" s="22"/>
      <c r="F4213" s="23" t="str">
        <f aca="false">IF(A4213="","",IFERROR(buscarx(A4213&amp;E4213,DATA!$E$3:$E$10000&amp;DATA!$B$3:$B$10000,DATA!$M$3:$M$10000),"Inactivo"))</f>
        <v/>
      </c>
      <c r="G4213" s="25" t="str">
        <f aca="false">IF(A4213="","",IF(AND(C4213&lt;&gt;"No encontrado",F4213&lt;&gt;"Inactivo"),C4213&amp;" → "&amp;F4213,"Sin transición"))</f>
        <v/>
      </c>
      <c r="H4213" s="23" t="str">
        <f aca="false">IF(A4213="","",IF(D4213="GCIA LINEA SERVICIO DIGITALIDAD Y VENTAS","Chats",IF(OR(D4213="GERENCIA INBOUND LÍNEAS SERVICIO Y VENTA",D4213="GERENCIA INBOUND LINEAS ESPECIALIZADAS"),"Llamadas","Otro")))</f>
        <v/>
      </c>
      <c r="I4213" s="23" t="str">
        <f aca="false">IF(A4213="","",IF(C4213="No encontrado","No","Sí"))</f>
        <v/>
      </c>
      <c r="J4213" s="23" t="str">
        <f aca="false">IF(A4213="","",IF(F4213="Inactivo","No","Sí"))</f>
        <v/>
      </c>
      <c r="K4213" s="23" t="str">
        <f aca="false">IF(A4213="","",IF(AND(I4213="Sí",J4213="Sí"),"Sí","No"))</f>
        <v/>
      </c>
    </row>
    <row r="4214" customFormat="false" ht="15" hidden="false" customHeight="false" outlineLevel="0" collapsed="false">
      <c r="A4214" s="22"/>
      <c r="B4214" s="22"/>
      <c r="C4214" s="26" t="str">
        <f aca="false">IF(A4214="","",IFERROR(buscarx(A4214&amp;B4214,DATA!$E$3:$E$10000&amp;DATA!$B$3:$B$10000,DATA!$M$3:$M$10000),"No encontrado"))</f>
        <v/>
      </c>
      <c r="D4214" s="27" t="str">
        <f aca="false">IF(A4214="","",IFERROR(buscarx(A4214&amp;B4214,DATA!$E$3:$E$10000&amp;DATA!$B$3:$B$10000,DATA!$W$3:$W$10000),"No encontrado"))</f>
        <v/>
      </c>
      <c r="E4214" s="22"/>
      <c r="F4214" s="26" t="str">
        <f aca="false">IF(A4214="","",IFERROR(buscarx(A4214&amp;E4214,DATA!$E$3:$E$10000&amp;DATA!$B$3:$B$10000,DATA!$M$3:$M$10000),"Inactivo"))</f>
        <v/>
      </c>
      <c r="G4214" s="28" t="str">
        <f aca="false">IF(A4214="","",IF(AND(C4214&lt;&gt;"No encontrado",F4214&lt;&gt;"Inactivo"),C4214&amp;" → "&amp;F4214,"Sin transición"))</f>
        <v/>
      </c>
      <c r="H4214" s="26" t="str">
        <f aca="false">IF(A4214="","",IF(D4214="GCIA LINEA SERVICIO DIGITALIDAD Y VENTAS","Chats",IF(OR(D4214="GERENCIA INBOUND LÍNEAS SERVICIO Y VENTA",D4214="GERENCIA INBOUND LINEAS ESPECIALIZADAS"),"Llamadas","Otro")))</f>
        <v/>
      </c>
      <c r="I4214" s="26" t="str">
        <f aca="false">IF(A4214="","",IF(C4214="No encontrado","No","Sí"))</f>
        <v/>
      </c>
      <c r="J4214" s="26" t="str">
        <f aca="false">IF(A4214="","",IF(F4214="Inactivo","No","Sí"))</f>
        <v/>
      </c>
      <c r="K4214" s="26" t="str">
        <f aca="false">IF(A4214="","",IF(AND(I4214="Sí",J4214="Sí"),"Sí","No"))</f>
        <v/>
      </c>
    </row>
    <row r="4215" customFormat="false" ht="15" hidden="false" customHeight="false" outlineLevel="0" collapsed="false">
      <c r="A4215" s="22"/>
      <c r="B4215" s="22"/>
      <c r="C4215" s="23" t="str">
        <f aca="false">IF(A4215="","",IFERROR(buscarx(A4215&amp;B4215,DATA!$E$3:$E$10000&amp;DATA!$B$3:$B$10000,DATA!$M$3:$M$10000),"No encontrado"))</f>
        <v/>
      </c>
      <c r="D4215" s="24" t="str">
        <f aca="false">IF(A4215="","",IFERROR(buscarx(A4215&amp;B4215,DATA!$E$3:$E$10000&amp;DATA!$B$3:$B$10000,DATA!$W$3:$W$10000),"No encontrado"))</f>
        <v/>
      </c>
      <c r="E4215" s="22"/>
      <c r="F4215" s="23" t="str">
        <f aca="false">IF(A4215="","",IFERROR(buscarx(A4215&amp;E4215,DATA!$E$3:$E$10000&amp;DATA!$B$3:$B$10000,DATA!$M$3:$M$10000),"Inactivo"))</f>
        <v/>
      </c>
      <c r="G4215" s="25" t="str">
        <f aca="false">IF(A4215="","",IF(AND(C4215&lt;&gt;"No encontrado",F4215&lt;&gt;"Inactivo"),C4215&amp;" → "&amp;F4215,"Sin transición"))</f>
        <v/>
      </c>
      <c r="H4215" s="23" t="str">
        <f aca="false">IF(A4215="","",IF(D4215="GCIA LINEA SERVICIO DIGITALIDAD Y VENTAS","Chats",IF(OR(D4215="GERENCIA INBOUND LÍNEAS SERVICIO Y VENTA",D4215="GERENCIA INBOUND LINEAS ESPECIALIZADAS"),"Llamadas","Otro")))</f>
        <v/>
      </c>
      <c r="I4215" s="23" t="str">
        <f aca="false">IF(A4215="","",IF(C4215="No encontrado","No","Sí"))</f>
        <v/>
      </c>
      <c r="J4215" s="23" t="str">
        <f aca="false">IF(A4215="","",IF(F4215="Inactivo","No","Sí"))</f>
        <v/>
      </c>
      <c r="K4215" s="23" t="str">
        <f aca="false">IF(A4215="","",IF(AND(I4215="Sí",J4215="Sí"),"Sí","No"))</f>
        <v/>
      </c>
    </row>
    <row r="4216" customFormat="false" ht="15" hidden="false" customHeight="false" outlineLevel="0" collapsed="false">
      <c r="A4216" s="22"/>
      <c r="B4216" s="22"/>
      <c r="C4216" s="26" t="str">
        <f aca="false">IF(A4216="","",IFERROR(buscarx(A4216&amp;B4216,DATA!$E$3:$E$10000&amp;DATA!$B$3:$B$10000,DATA!$M$3:$M$10000),"No encontrado"))</f>
        <v/>
      </c>
      <c r="D4216" s="27" t="str">
        <f aca="false">IF(A4216="","",IFERROR(buscarx(A4216&amp;B4216,DATA!$E$3:$E$10000&amp;DATA!$B$3:$B$10000,DATA!$W$3:$W$10000),"No encontrado"))</f>
        <v/>
      </c>
      <c r="E4216" s="22"/>
      <c r="F4216" s="26" t="str">
        <f aca="false">IF(A4216="","",IFERROR(buscarx(A4216&amp;E4216,DATA!$E$3:$E$10000&amp;DATA!$B$3:$B$10000,DATA!$M$3:$M$10000),"Inactivo"))</f>
        <v/>
      </c>
      <c r="G4216" s="28" t="str">
        <f aca="false">IF(A4216="","",IF(AND(C4216&lt;&gt;"No encontrado",F4216&lt;&gt;"Inactivo"),C4216&amp;" → "&amp;F4216,"Sin transición"))</f>
        <v/>
      </c>
      <c r="H4216" s="26" t="str">
        <f aca="false">IF(A4216="","",IF(D4216="GCIA LINEA SERVICIO DIGITALIDAD Y VENTAS","Chats",IF(OR(D4216="GERENCIA INBOUND LÍNEAS SERVICIO Y VENTA",D4216="GERENCIA INBOUND LINEAS ESPECIALIZADAS"),"Llamadas","Otro")))</f>
        <v/>
      </c>
      <c r="I4216" s="26" t="str">
        <f aca="false">IF(A4216="","",IF(C4216="No encontrado","No","Sí"))</f>
        <v/>
      </c>
      <c r="J4216" s="26" t="str">
        <f aca="false">IF(A4216="","",IF(F4216="Inactivo","No","Sí"))</f>
        <v/>
      </c>
      <c r="K4216" s="26" t="str">
        <f aca="false">IF(A4216="","",IF(AND(I4216="Sí",J4216="Sí"),"Sí","No"))</f>
        <v/>
      </c>
    </row>
    <row r="4217" customFormat="false" ht="15" hidden="false" customHeight="false" outlineLevel="0" collapsed="false">
      <c r="A4217" s="22"/>
      <c r="B4217" s="22"/>
      <c r="C4217" s="23" t="str">
        <f aca="false">IF(A4217="","",IFERROR(buscarx(A4217&amp;B4217,DATA!$E$3:$E$10000&amp;DATA!$B$3:$B$10000,DATA!$M$3:$M$10000),"No encontrado"))</f>
        <v/>
      </c>
      <c r="D4217" s="24" t="str">
        <f aca="false">IF(A4217="","",IFERROR(buscarx(A4217&amp;B4217,DATA!$E$3:$E$10000&amp;DATA!$B$3:$B$10000,DATA!$W$3:$W$10000),"No encontrado"))</f>
        <v/>
      </c>
      <c r="E4217" s="22"/>
      <c r="F4217" s="23" t="str">
        <f aca="false">IF(A4217="","",IFERROR(buscarx(A4217&amp;E4217,DATA!$E$3:$E$10000&amp;DATA!$B$3:$B$10000,DATA!$M$3:$M$10000),"Inactivo"))</f>
        <v/>
      </c>
      <c r="G4217" s="25" t="str">
        <f aca="false">IF(A4217="","",IF(AND(C4217&lt;&gt;"No encontrado",F4217&lt;&gt;"Inactivo"),C4217&amp;" → "&amp;F4217,"Sin transición"))</f>
        <v/>
      </c>
      <c r="H4217" s="23" t="str">
        <f aca="false">IF(A4217="","",IF(D4217="GCIA LINEA SERVICIO DIGITALIDAD Y VENTAS","Chats",IF(OR(D4217="GERENCIA INBOUND LÍNEAS SERVICIO Y VENTA",D4217="GERENCIA INBOUND LINEAS ESPECIALIZADAS"),"Llamadas","Otro")))</f>
        <v/>
      </c>
      <c r="I4217" s="23" t="str">
        <f aca="false">IF(A4217="","",IF(C4217="No encontrado","No","Sí"))</f>
        <v/>
      </c>
      <c r="J4217" s="23" t="str">
        <f aca="false">IF(A4217="","",IF(F4217="Inactivo","No","Sí"))</f>
        <v/>
      </c>
      <c r="K4217" s="23" t="str">
        <f aca="false">IF(A4217="","",IF(AND(I4217="Sí",J4217="Sí"),"Sí","No"))</f>
        <v/>
      </c>
    </row>
    <row r="4218" customFormat="false" ht="15" hidden="false" customHeight="false" outlineLevel="0" collapsed="false">
      <c r="A4218" s="22"/>
      <c r="B4218" s="22"/>
      <c r="C4218" s="26" t="str">
        <f aca="false">IF(A4218="","",IFERROR(buscarx(A4218&amp;B4218,DATA!$E$3:$E$10000&amp;DATA!$B$3:$B$10000,DATA!$M$3:$M$10000),"No encontrado"))</f>
        <v/>
      </c>
      <c r="D4218" s="27" t="str">
        <f aca="false">IF(A4218="","",IFERROR(buscarx(A4218&amp;B4218,DATA!$E$3:$E$10000&amp;DATA!$B$3:$B$10000,DATA!$W$3:$W$10000),"No encontrado"))</f>
        <v/>
      </c>
      <c r="E4218" s="22"/>
      <c r="F4218" s="26" t="str">
        <f aca="false">IF(A4218="","",IFERROR(buscarx(A4218&amp;E4218,DATA!$E$3:$E$10000&amp;DATA!$B$3:$B$10000,DATA!$M$3:$M$10000),"Inactivo"))</f>
        <v/>
      </c>
      <c r="G4218" s="28" t="str">
        <f aca="false">IF(A4218="","",IF(AND(C4218&lt;&gt;"No encontrado",F4218&lt;&gt;"Inactivo"),C4218&amp;" → "&amp;F4218,"Sin transición"))</f>
        <v/>
      </c>
      <c r="H4218" s="26" t="str">
        <f aca="false">IF(A4218="","",IF(D4218="GCIA LINEA SERVICIO DIGITALIDAD Y VENTAS","Chats",IF(OR(D4218="GERENCIA INBOUND LÍNEAS SERVICIO Y VENTA",D4218="GERENCIA INBOUND LINEAS ESPECIALIZADAS"),"Llamadas","Otro")))</f>
        <v/>
      </c>
      <c r="I4218" s="26" t="str">
        <f aca="false">IF(A4218="","",IF(C4218="No encontrado","No","Sí"))</f>
        <v/>
      </c>
      <c r="J4218" s="26" t="str">
        <f aca="false">IF(A4218="","",IF(F4218="Inactivo","No","Sí"))</f>
        <v/>
      </c>
      <c r="K4218" s="26" t="str">
        <f aca="false">IF(A4218="","",IF(AND(I4218="Sí",J4218="Sí"),"Sí","No"))</f>
        <v/>
      </c>
    </row>
    <row r="4219" customFormat="false" ht="15" hidden="false" customHeight="false" outlineLevel="0" collapsed="false">
      <c r="A4219" s="22"/>
      <c r="B4219" s="22"/>
      <c r="C4219" s="23" t="str">
        <f aca="false">IF(A4219="","",IFERROR(buscarx(A4219&amp;B4219,DATA!$E$3:$E$10000&amp;DATA!$B$3:$B$10000,DATA!$M$3:$M$10000),"No encontrado"))</f>
        <v/>
      </c>
      <c r="D4219" s="24" t="str">
        <f aca="false">IF(A4219="","",IFERROR(buscarx(A4219&amp;B4219,DATA!$E$3:$E$10000&amp;DATA!$B$3:$B$10000,DATA!$W$3:$W$10000),"No encontrado"))</f>
        <v/>
      </c>
      <c r="E4219" s="22"/>
      <c r="F4219" s="23" t="str">
        <f aca="false">IF(A4219="","",IFERROR(buscarx(A4219&amp;E4219,DATA!$E$3:$E$10000&amp;DATA!$B$3:$B$10000,DATA!$M$3:$M$10000),"Inactivo"))</f>
        <v/>
      </c>
      <c r="G4219" s="25" t="str">
        <f aca="false">IF(A4219="","",IF(AND(C4219&lt;&gt;"No encontrado",F4219&lt;&gt;"Inactivo"),C4219&amp;" → "&amp;F4219,"Sin transición"))</f>
        <v/>
      </c>
      <c r="H4219" s="23" t="str">
        <f aca="false">IF(A4219="","",IF(D4219="GCIA LINEA SERVICIO DIGITALIDAD Y VENTAS","Chats",IF(OR(D4219="GERENCIA INBOUND LÍNEAS SERVICIO Y VENTA",D4219="GERENCIA INBOUND LINEAS ESPECIALIZADAS"),"Llamadas","Otro")))</f>
        <v/>
      </c>
      <c r="I4219" s="23" t="str">
        <f aca="false">IF(A4219="","",IF(C4219="No encontrado","No","Sí"))</f>
        <v/>
      </c>
      <c r="J4219" s="23" t="str">
        <f aca="false">IF(A4219="","",IF(F4219="Inactivo","No","Sí"))</f>
        <v/>
      </c>
      <c r="K4219" s="23" t="str">
        <f aca="false">IF(A4219="","",IF(AND(I4219="Sí",J4219="Sí"),"Sí","No"))</f>
        <v/>
      </c>
    </row>
    <row r="4220" customFormat="false" ht="15" hidden="false" customHeight="false" outlineLevel="0" collapsed="false">
      <c r="A4220" s="22"/>
      <c r="B4220" s="22"/>
      <c r="C4220" s="26" t="str">
        <f aca="false">IF(A4220="","",IFERROR(buscarx(A4220&amp;B4220,DATA!$E$3:$E$10000&amp;DATA!$B$3:$B$10000,DATA!$M$3:$M$10000),"No encontrado"))</f>
        <v/>
      </c>
      <c r="D4220" s="27" t="str">
        <f aca="false">IF(A4220="","",IFERROR(buscarx(A4220&amp;B4220,DATA!$E$3:$E$10000&amp;DATA!$B$3:$B$10000,DATA!$W$3:$W$10000),"No encontrado"))</f>
        <v/>
      </c>
      <c r="E4220" s="22"/>
      <c r="F4220" s="26" t="str">
        <f aca="false">IF(A4220="","",IFERROR(buscarx(A4220&amp;E4220,DATA!$E$3:$E$10000&amp;DATA!$B$3:$B$10000,DATA!$M$3:$M$10000),"Inactivo"))</f>
        <v/>
      </c>
      <c r="G4220" s="28" t="str">
        <f aca="false">IF(A4220="","",IF(AND(C4220&lt;&gt;"No encontrado",F4220&lt;&gt;"Inactivo"),C4220&amp;" → "&amp;F4220,"Sin transición"))</f>
        <v/>
      </c>
      <c r="H4220" s="26" t="str">
        <f aca="false">IF(A4220="","",IF(D4220="GCIA LINEA SERVICIO DIGITALIDAD Y VENTAS","Chats",IF(OR(D4220="GERENCIA INBOUND LÍNEAS SERVICIO Y VENTA",D4220="GERENCIA INBOUND LINEAS ESPECIALIZADAS"),"Llamadas","Otro")))</f>
        <v/>
      </c>
      <c r="I4220" s="26" t="str">
        <f aca="false">IF(A4220="","",IF(C4220="No encontrado","No","Sí"))</f>
        <v/>
      </c>
      <c r="J4220" s="26" t="str">
        <f aca="false">IF(A4220="","",IF(F4220="Inactivo","No","Sí"))</f>
        <v/>
      </c>
      <c r="K4220" s="26" t="str">
        <f aca="false">IF(A4220="","",IF(AND(I4220="Sí",J4220="Sí"),"Sí","No"))</f>
        <v/>
      </c>
    </row>
    <row r="4221" customFormat="false" ht="15" hidden="false" customHeight="false" outlineLevel="0" collapsed="false">
      <c r="A4221" s="22"/>
      <c r="B4221" s="22"/>
      <c r="C4221" s="23" t="str">
        <f aca="false">IF(A4221="","",IFERROR(buscarx(A4221&amp;B4221,DATA!$E$3:$E$10000&amp;DATA!$B$3:$B$10000,DATA!$M$3:$M$10000),"No encontrado"))</f>
        <v/>
      </c>
      <c r="D4221" s="24" t="str">
        <f aca="false">IF(A4221="","",IFERROR(buscarx(A4221&amp;B4221,DATA!$E$3:$E$10000&amp;DATA!$B$3:$B$10000,DATA!$W$3:$W$10000),"No encontrado"))</f>
        <v/>
      </c>
      <c r="E4221" s="22"/>
      <c r="F4221" s="23" t="str">
        <f aca="false">IF(A4221="","",IFERROR(buscarx(A4221&amp;E4221,DATA!$E$3:$E$10000&amp;DATA!$B$3:$B$10000,DATA!$M$3:$M$10000),"Inactivo"))</f>
        <v/>
      </c>
      <c r="G4221" s="25" t="str">
        <f aca="false">IF(A4221="","",IF(AND(C4221&lt;&gt;"No encontrado",F4221&lt;&gt;"Inactivo"),C4221&amp;" → "&amp;F4221,"Sin transición"))</f>
        <v/>
      </c>
      <c r="H4221" s="23" t="str">
        <f aca="false">IF(A4221="","",IF(D4221="GCIA LINEA SERVICIO DIGITALIDAD Y VENTAS","Chats",IF(OR(D4221="GERENCIA INBOUND LÍNEAS SERVICIO Y VENTA",D4221="GERENCIA INBOUND LINEAS ESPECIALIZADAS"),"Llamadas","Otro")))</f>
        <v/>
      </c>
      <c r="I4221" s="23" t="str">
        <f aca="false">IF(A4221="","",IF(C4221="No encontrado","No","Sí"))</f>
        <v/>
      </c>
      <c r="J4221" s="23" t="str">
        <f aca="false">IF(A4221="","",IF(F4221="Inactivo","No","Sí"))</f>
        <v/>
      </c>
      <c r="K4221" s="23" t="str">
        <f aca="false">IF(A4221="","",IF(AND(I4221="Sí",J4221="Sí"),"Sí","No"))</f>
        <v/>
      </c>
    </row>
    <row r="4222" customFormat="false" ht="15" hidden="false" customHeight="false" outlineLevel="0" collapsed="false">
      <c r="A4222" s="22"/>
      <c r="B4222" s="22"/>
      <c r="C4222" s="26" t="str">
        <f aca="false">IF(A4222="","",IFERROR(buscarx(A4222&amp;B4222,DATA!$E$3:$E$10000&amp;DATA!$B$3:$B$10000,DATA!$M$3:$M$10000),"No encontrado"))</f>
        <v/>
      </c>
      <c r="D4222" s="27" t="str">
        <f aca="false">IF(A4222="","",IFERROR(buscarx(A4222&amp;B4222,DATA!$E$3:$E$10000&amp;DATA!$B$3:$B$10000,DATA!$W$3:$W$10000),"No encontrado"))</f>
        <v/>
      </c>
      <c r="E4222" s="22"/>
      <c r="F4222" s="26" t="str">
        <f aca="false">IF(A4222="","",IFERROR(buscarx(A4222&amp;E4222,DATA!$E$3:$E$10000&amp;DATA!$B$3:$B$10000,DATA!$M$3:$M$10000),"Inactivo"))</f>
        <v/>
      </c>
      <c r="G4222" s="28" t="str">
        <f aca="false">IF(A4222="","",IF(AND(C4222&lt;&gt;"No encontrado",F4222&lt;&gt;"Inactivo"),C4222&amp;" → "&amp;F4222,"Sin transición"))</f>
        <v/>
      </c>
      <c r="H4222" s="26" t="str">
        <f aca="false">IF(A4222="","",IF(D4222="GCIA LINEA SERVICIO DIGITALIDAD Y VENTAS","Chats",IF(OR(D4222="GERENCIA INBOUND LÍNEAS SERVICIO Y VENTA",D4222="GERENCIA INBOUND LINEAS ESPECIALIZADAS"),"Llamadas","Otro")))</f>
        <v/>
      </c>
      <c r="I4222" s="26" t="str">
        <f aca="false">IF(A4222="","",IF(C4222="No encontrado","No","Sí"))</f>
        <v/>
      </c>
      <c r="J4222" s="26" t="str">
        <f aca="false">IF(A4222="","",IF(F4222="Inactivo","No","Sí"))</f>
        <v/>
      </c>
      <c r="K4222" s="26" t="str">
        <f aca="false">IF(A4222="","",IF(AND(I4222="Sí",J4222="Sí"),"Sí","No"))</f>
        <v/>
      </c>
    </row>
    <row r="4223" customFormat="false" ht="15" hidden="false" customHeight="false" outlineLevel="0" collapsed="false">
      <c r="A4223" s="22"/>
      <c r="B4223" s="22"/>
      <c r="C4223" s="23" t="str">
        <f aca="false">IF(A4223="","",IFERROR(buscarx(A4223&amp;B4223,DATA!$E$3:$E$10000&amp;DATA!$B$3:$B$10000,DATA!$M$3:$M$10000),"No encontrado"))</f>
        <v/>
      </c>
      <c r="D4223" s="24" t="str">
        <f aca="false">IF(A4223="","",IFERROR(buscarx(A4223&amp;B4223,DATA!$E$3:$E$10000&amp;DATA!$B$3:$B$10000,DATA!$W$3:$W$10000),"No encontrado"))</f>
        <v/>
      </c>
      <c r="E4223" s="22"/>
      <c r="F4223" s="23" t="str">
        <f aca="false">IF(A4223="","",IFERROR(buscarx(A4223&amp;E4223,DATA!$E$3:$E$10000&amp;DATA!$B$3:$B$10000,DATA!$M$3:$M$10000),"Inactivo"))</f>
        <v/>
      </c>
      <c r="G4223" s="25" t="str">
        <f aca="false">IF(A4223="","",IF(AND(C4223&lt;&gt;"No encontrado",F4223&lt;&gt;"Inactivo"),C4223&amp;" → "&amp;F4223,"Sin transición"))</f>
        <v/>
      </c>
      <c r="H4223" s="23" t="str">
        <f aca="false">IF(A4223="","",IF(D4223="GCIA LINEA SERVICIO DIGITALIDAD Y VENTAS","Chats",IF(OR(D4223="GERENCIA INBOUND LÍNEAS SERVICIO Y VENTA",D4223="GERENCIA INBOUND LINEAS ESPECIALIZADAS"),"Llamadas","Otro")))</f>
        <v/>
      </c>
      <c r="I4223" s="23" t="str">
        <f aca="false">IF(A4223="","",IF(C4223="No encontrado","No","Sí"))</f>
        <v/>
      </c>
      <c r="J4223" s="23" t="str">
        <f aca="false">IF(A4223="","",IF(F4223="Inactivo","No","Sí"))</f>
        <v/>
      </c>
      <c r="K4223" s="23" t="str">
        <f aca="false">IF(A4223="","",IF(AND(I4223="Sí",J4223="Sí"),"Sí","No"))</f>
        <v/>
      </c>
    </row>
    <row r="4224" customFormat="false" ht="15" hidden="false" customHeight="false" outlineLevel="0" collapsed="false">
      <c r="A4224" s="22"/>
      <c r="B4224" s="22"/>
      <c r="C4224" s="26" t="str">
        <f aca="false">IF(A4224="","",IFERROR(buscarx(A4224&amp;B4224,DATA!$E$3:$E$10000&amp;DATA!$B$3:$B$10000,DATA!$M$3:$M$10000),"No encontrado"))</f>
        <v/>
      </c>
      <c r="D4224" s="27" t="str">
        <f aca="false">IF(A4224="","",IFERROR(buscarx(A4224&amp;B4224,DATA!$E$3:$E$10000&amp;DATA!$B$3:$B$10000,DATA!$W$3:$W$10000),"No encontrado"))</f>
        <v/>
      </c>
      <c r="E4224" s="22"/>
      <c r="F4224" s="26" t="str">
        <f aca="false">IF(A4224="","",IFERROR(buscarx(A4224&amp;E4224,DATA!$E$3:$E$10000&amp;DATA!$B$3:$B$10000,DATA!$M$3:$M$10000),"Inactivo"))</f>
        <v/>
      </c>
      <c r="G4224" s="28" t="str">
        <f aca="false">IF(A4224="","",IF(AND(C4224&lt;&gt;"No encontrado",F4224&lt;&gt;"Inactivo"),C4224&amp;" → "&amp;F4224,"Sin transición"))</f>
        <v/>
      </c>
      <c r="H4224" s="26" t="str">
        <f aca="false">IF(A4224="","",IF(D4224="GCIA LINEA SERVICIO DIGITALIDAD Y VENTAS","Chats",IF(OR(D4224="GERENCIA INBOUND LÍNEAS SERVICIO Y VENTA",D4224="GERENCIA INBOUND LINEAS ESPECIALIZADAS"),"Llamadas","Otro")))</f>
        <v/>
      </c>
      <c r="I4224" s="26" t="str">
        <f aca="false">IF(A4224="","",IF(C4224="No encontrado","No","Sí"))</f>
        <v/>
      </c>
      <c r="J4224" s="26" t="str">
        <f aca="false">IF(A4224="","",IF(F4224="Inactivo","No","Sí"))</f>
        <v/>
      </c>
      <c r="K4224" s="26" t="str">
        <f aca="false">IF(A4224="","",IF(AND(I4224="Sí",J4224="Sí"),"Sí","No"))</f>
        <v/>
      </c>
    </row>
    <row r="4225" customFormat="false" ht="15" hidden="false" customHeight="false" outlineLevel="0" collapsed="false">
      <c r="A4225" s="22"/>
      <c r="B4225" s="22"/>
      <c r="C4225" s="23" t="str">
        <f aca="false">IF(A4225="","",IFERROR(buscarx(A4225&amp;B4225,DATA!$E$3:$E$10000&amp;DATA!$B$3:$B$10000,DATA!$M$3:$M$10000),"No encontrado"))</f>
        <v/>
      </c>
      <c r="D4225" s="24" t="str">
        <f aca="false">IF(A4225="","",IFERROR(buscarx(A4225&amp;B4225,DATA!$E$3:$E$10000&amp;DATA!$B$3:$B$10000,DATA!$W$3:$W$10000),"No encontrado"))</f>
        <v/>
      </c>
      <c r="E4225" s="22"/>
      <c r="F4225" s="23" t="str">
        <f aca="false">IF(A4225="","",IFERROR(buscarx(A4225&amp;E4225,DATA!$E$3:$E$10000&amp;DATA!$B$3:$B$10000,DATA!$M$3:$M$10000),"Inactivo"))</f>
        <v/>
      </c>
      <c r="G4225" s="25" t="str">
        <f aca="false">IF(A4225="","",IF(AND(C4225&lt;&gt;"No encontrado",F4225&lt;&gt;"Inactivo"),C4225&amp;" → "&amp;F4225,"Sin transición"))</f>
        <v/>
      </c>
      <c r="H4225" s="23" t="str">
        <f aca="false">IF(A4225="","",IF(D4225="GCIA LINEA SERVICIO DIGITALIDAD Y VENTAS","Chats",IF(OR(D4225="GERENCIA INBOUND LÍNEAS SERVICIO Y VENTA",D4225="GERENCIA INBOUND LINEAS ESPECIALIZADAS"),"Llamadas","Otro")))</f>
        <v/>
      </c>
      <c r="I4225" s="23" t="str">
        <f aca="false">IF(A4225="","",IF(C4225="No encontrado","No","Sí"))</f>
        <v/>
      </c>
      <c r="J4225" s="23" t="str">
        <f aca="false">IF(A4225="","",IF(F4225="Inactivo","No","Sí"))</f>
        <v/>
      </c>
      <c r="K4225" s="23" t="str">
        <f aca="false">IF(A4225="","",IF(AND(I4225="Sí",J4225="Sí"),"Sí","No"))</f>
        <v/>
      </c>
    </row>
    <row r="4226" customFormat="false" ht="15" hidden="false" customHeight="false" outlineLevel="0" collapsed="false">
      <c r="A4226" s="22"/>
      <c r="B4226" s="22"/>
      <c r="C4226" s="26" t="str">
        <f aca="false">IF(A4226="","",IFERROR(buscarx(A4226&amp;B4226,DATA!$E$3:$E$10000&amp;DATA!$B$3:$B$10000,DATA!$M$3:$M$10000),"No encontrado"))</f>
        <v/>
      </c>
      <c r="D4226" s="27" t="str">
        <f aca="false">IF(A4226="","",IFERROR(buscarx(A4226&amp;B4226,DATA!$E$3:$E$10000&amp;DATA!$B$3:$B$10000,DATA!$W$3:$W$10000),"No encontrado"))</f>
        <v/>
      </c>
      <c r="E4226" s="22"/>
      <c r="F4226" s="26" t="str">
        <f aca="false">IF(A4226="","",IFERROR(buscarx(A4226&amp;E4226,DATA!$E$3:$E$10000&amp;DATA!$B$3:$B$10000,DATA!$M$3:$M$10000),"Inactivo"))</f>
        <v/>
      </c>
      <c r="G4226" s="28" t="str">
        <f aca="false">IF(A4226="","",IF(AND(C4226&lt;&gt;"No encontrado",F4226&lt;&gt;"Inactivo"),C4226&amp;" → "&amp;F4226,"Sin transición"))</f>
        <v/>
      </c>
      <c r="H4226" s="26" t="str">
        <f aca="false">IF(A4226="","",IF(D4226="GCIA LINEA SERVICIO DIGITALIDAD Y VENTAS","Chats",IF(OR(D4226="GERENCIA INBOUND LÍNEAS SERVICIO Y VENTA",D4226="GERENCIA INBOUND LINEAS ESPECIALIZADAS"),"Llamadas","Otro")))</f>
        <v/>
      </c>
      <c r="I4226" s="26" t="str">
        <f aca="false">IF(A4226="","",IF(C4226="No encontrado","No","Sí"))</f>
        <v/>
      </c>
      <c r="J4226" s="26" t="str">
        <f aca="false">IF(A4226="","",IF(F4226="Inactivo","No","Sí"))</f>
        <v/>
      </c>
      <c r="K4226" s="26" t="str">
        <f aca="false">IF(A4226="","",IF(AND(I4226="Sí",J4226="Sí"),"Sí","No"))</f>
        <v/>
      </c>
    </row>
    <row r="4227" customFormat="false" ht="15" hidden="false" customHeight="false" outlineLevel="0" collapsed="false">
      <c r="A4227" s="22"/>
      <c r="B4227" s="22"/>
      <c r="C4227" s="23" t="str">
        <f aca="false">IF(A4227="","",IFERROR(buscarx(A4227&amp;B4227,DATA!$E$3:$E$10000&amp;DATA!$B$3:$B$10000,DATA!$M$3:$M$10000),"No encontrado"))</f>
        <v/>
      </c>
      <c r="D4227" s="24" t="str">
        <f aca="false">IF(A4227="","",IFERROR(buscarx(A4227&amp;B4227,DATA!$E$3:$E$10000&amp;DATA!$B$3:$B$10000,DATA!$W$3:$W$10000),"No encontrado"))</f>
        <v/>
      </c>
      <c r="E4227" s="22"/>
      <c r="F4227" s="23" t="str">
        <f aca="false">IF(A4227="","",IFERROR(buscarx(A4227&amp;E4227,DATA!$E$3:$E$10000&amp;DATA!$B$3:$B$10000,DATA!$M$3:$M$10000),"Inactivo"))</f>
        <v/>
      </c>
      <c r="G4227" s="25" t="str">
        <f aca="false">IF(A4227="","",IF(AND(C4227&lt;&gt;"No encontrado",F4227&lt;&gt;"Inactivo"),C4227&amp;" → "&amp;F4227,"Sin transición"))</f>
        <v/>
      </c>
      <c r="H4227" s="23" t="str">
        <f aca="false">IF(A4227="","",IF(D4227="GCIA LINEA SERVICIO DIGITALIDAD Y VENTAS","Chats",IF(OR(D4227="GERENCIA INBOUND LÍNEAS SERVICIO Y VENTA",D4227="GERENCIA INBOUND LINEAS ESPECIALIZADAS"),"Llamadas","Otro")))</f>
        <v/>
      </c>
      <c r="I4227" s="23" t="str">
        <f aca="false">IF(A4227="","",IF(C4227="No encontrado","No","Sí"))</f>
        <v/>
      </c>
      <c r="J4227" s="23" t="str">
        <f aca="false">IF(A4227="","",IF(F4227="Inactivo","No","Sí"))</f>
        <v/>
      </c>
      <c r="K4227" s="23" t="str">
        <f aca="false">IF(A4227="","",IF(AND(I4227="Sí",J4227="Sí"),"Sí","No"))</f>
        <v/>
      </c>
    </row>
    <row r="4228" customFormat="false" ht="15" hidden="false" customHeight="false" outlineLevel="0" collapsed="false">
      <c r="A4228" s="22"/>
      <c r="B4228" s="22"/>
      <c r="C4228" s="26" t="str">
        <f aca="false">IF(A4228="","",IFERROR(buscarx(A4228&amp;B4228,DATA!$E$3:$E$10000&amp;DATA!$B$3:$B$10000,DATA!$M$3:$M$10000),"No encontrado"))</f>
        <v/>
      </c>
      <c r="D4228" s="27" t="str">
        <f aca="false">IF(A4228="","",IFERROR(buscarx(A4228&amp;B4228,DATA!$E$3:$E$10000&amp;DATA!$B$3:$B$10000,DATA!$W$3:$W$10000),"No encontrado"))</f>
        <v/>
      </c>
      <c r="E4228" s="22"/>
      <c r="F4228" s="26" t="str">
        <f aca="false">IF(A4228="","",IFERROR(buscarx(A4228&amp;E4228,DATA!$E$3:$E$10000&amp;DATA!$B$3:$B$10000,DATA!$M$3:$M$10000),"Inactivo"))</f>
        <v/>
      </c>
      <c r="G4228" s="28" t="str">
        <f aca="false">IF(A4228="","",IF(AND(C4228&lt;&gt;"No encontrado",F4228&lt;&gt;"Inactivo"),C4228&amp;" → "&amp;F4228,"Sin transición"))</f>
        <v/>
      </c>
      <c r="H4228" s="26" t="str">
        <f aca="false">IF(A4228="","",IF(D4228="GCIA LINEA SERVICIO DIGITALIDAD Y VENTAS","Chats",IF(OR(D4228="GERENCIA INBOUND LÍNEAS SERVICIO Y VENTA",D4228="GERENCIA INBOUND LINEAS ESPECIALIZADAS"),"Llamadas","Otro")))</f>
        <v/>
      </c>
      <c r="I4228" s="26" t="str">
        <f aca="false">IF(A4228="","",IF(C4228="No encontrado","No","Sí"))</f>
        <v/>
      </c>
      <c r="J4228" s="26" t="str">
        <f aca="false">IF(A4228="","",IF(F4228="Inactivo","No","Sí"))</f>
        <v/>
      </c>
      <c r="K4228" s="26" t="str">
        <f aca="false">IF(A4228="","",IF(AND(I4228="Sí",J4228="Sí"),"Sí","No"))</f>
        <v/>
      </c>
    </row>
    <row r="4229" customFormat="false" ht="15" hidden="false" customHeight="false" outlineLevel="0" collapsed="false">
      <c r="A4229" s="22"/>
      <c r="B4229" s="22"/>
      <c r="C4229" s="23" t="str">
        <f aca="false">IF(A4229="","",IFERROR(buscarx(A4229&amp;B4229,DATA!$E$3:$E$10000&amp;DATA!$B$3:$B$10000,DATA!$M$3:$M$10000),"No encontrado"))</f>
        <v/>
      </c>
      <c r="D4229" s="24" t="str">
        <f aca="false">IF(A4229="","",IFERROR(buscarx(A4229&amp;B4229,DATA!$E$3:$E$10000&amp;DATA!$B$3:$B$10000,DATA!$W$3:$W$10000),"No encontrado"))</f>
        <v/>
      </c>
      <c r="E4229" s="22"/>
      <c r="F4229" s="23" t="str">
        <f aca="false">IF(A4229="","",IFERROR(buscarx(A4229&amp;E4229,DATA!$E$3:$E$10000&amp;DATA!$B$3:$B$10000,DATA!$M$3:$M$10000),"Inactivo"))</f>
        <v/>
      </c>
      <c r="G4229" s="25" t="str">
        <f aca="false">IF(A4229="","",IF(AND(C4229&lt;&gt;"No encontrado",F4229&lt;&gt;"Inactivo"),C4229&amp;" → "&amp;F4229,"Sin transición"))</f>
        <v/>
      </c>
      <c r="H4229" s="23" t="str">
        <f aca="false">IF(A4229="","",IF(D4229="GCIA LINEA SERVICIO DIGITALIDAD Y VENTAS","Chats",IF(OR(D4229="GERENCIA INBOUND LÍNEAS SERVICIO Y VENTA",D4229="GERENCIA INBOUND LINEAS ESPECIALIZADAS"),"Llamadas","Otro")))</f>
        <v/>
      </c>
      <c r="I4229" s="23" t="str">
        <f aca="false">IF(A4229="","",IF(C4229="No encontrado","No","Sí"))</f>
        <v/>
      </c>
      <c r="J4229" s="23" t="str">
        <f aca="false">IF(A4229="","",IF(F4229="Inactivo","No","Sí"))</f>
        <v/>
      </c>
      <c r="K4229" s="23" t="str">
        <f aca="false">IF(A4229="","",IF(AND(I4229="Sí",J4229="Sí"),"Sí","No"))</f>
        <v/>
      </c>
    </row>
    <row r="4230" customFormat="false" ht="15" hidden="false" customHeight="false" outlineLevel="0" collapsed="false">
      <c r="A4230" s="22"/>
      <c r="B4230" s="22"/>
      <c r="C4230" s="26" t="str">
        <f aca="false">IF(A4230="","",IFERROR(buscarx(A4230&amp;B4230,DATA!$E$3:$E$10000&amp;DATA!$B$3:$B$10000,DATA!$M$3:$M$10000),"No encontrado"))</f>
        <v/>
      </c>
      <c r="D4230" s="27" t="str">
        <f aca="false">IF(A4230="","",IFERROR(buscarx(A4230&amp;B4230,DATA!$E$3:$E$10000&amp;DATA!$B$3:$B$10000,DATA!$W$3:$W$10000),"No encontrado"))</f>
        <v/>
      </c>
      <c r="E4230" s="22"/>
      <c r="F4230" s="26" t="str">
        <f aca="false">IF(A4230="","",IFERROR(buscarx(A4230&amp;E4230,DATA!$E$3:$E$10000&amp;DATA!$B$3:$B$10000,DATA!$M$3:$M$10000),"Inactivo"))</f>
        <v/>
      </c>
      <c r="G4230" s="28" t="str">
        <f aca="false">IF(A4230="","",IF(AND(C4230&lt;&gt;"No encontrado",F4230&lt;&gt;"Inactivo"),C4230&amp;" → "&amp;F4230,"Sin transición"))</f>
        <v/>
      </c>
      <c r="H4230" s="26" t="str">
        <f aca="false">IF(A4230="","",IF(D4230="GCIA LINEA SERVICIO DIGITALIDAD Y VENTAS","Chats",IF(OR(D4230="GERENCIA INBOUND LÍNEAS SERVICIO Y VENTA",D4230="GERENCIA INBOUND LINEAS ESPECIALIZADAS"),"Llamadas","Otro")))</f>
        <v/>
      </c>
      <c r="I4230" s="26" t="str">
        <f aca="false">IF(A4230="","",IF(C4230="No encontrado","No","Sí"))</f>
        <v/>
      </c>
      <c r="J4230" s="26" t="str">
        <f aca="false">IF(A4230="","",IF(F4230="Inactivo","No","Sí"))</f>
        <v/>
      </c>
      <c r="K4230" s="26" t="str">
        <f aca="false">IF(A4230="","",IF(AND(I4230="Sí",J4230="Sí"),"Sí","No"))</f>
        <v/>
      </c>
    </row>
    <row r="4231" customFormat="false" ht="15" hidden="false" customHeight="false" outlineLevel="0" collapsed="false">
      <c r="A4231" s="22"/>
      <c r="B4231" s="22"/>
      <c r="C4231" s="23" t="str">
        <f aca="false">IF(A4231="","",IFERROR(buscarx(A4231&amp;B4231,DATA!$E$3:$E$10000&amp;DATA!$B$3:$B$10000,DATA!$M$3:$M$10000),"No encontrado"))</f>
        <v/>
      </c>
      <c r="D4231" s="24" t="str">
        <f aca="false">IF(A4231="","",IFERROR(buscarx(A4231&amp;B4231,DATA!$E$3:$E$10000&amp;DATA!$B$3:$B$10000,DATA!$W$3:$W$10000),"No encontrado"))</f>
        <v/>
      </c>
      <c r="E4231" s="22"/>
      <c r="F4231" s="23" t="str">
        <f aca="false">IF(A4231="","",IFERROR(buscarx(A4231&amp;E4231,DATA!$E$3:$E$10000&amp;DATA!$B$3:$B$10000,DATA!$M$3:$M$10000),"Inactivo"))</f>
        <v/>
      </c>
      <c r="G4231" s="25" t="str">
        <f aca="false">IF(A4231="","",IF(AND(C4231&lt;&gt;"No encontrado",F4231&lt;&gt;"Inactivo"),C4231&amp;" → "&amp;F4231,"Sin transición"))</f>
        <v/>
      </c>
      <c r="H4231" s="23" t="str">
        <f aca="false">IF(A4231="","",IF(D4231="GCIA LINEA SERVICIO DIGITALIDAD Y VENTAS","Chats",IF(OR(D4231="GERENCIA INBOUND LÍNEAS SERVICIO Y VENTA",D4231="GERENCIA INBOUND LINEAS ESPECIALIZADAS"),"Llamadas","Otro")))</f>
        <v/>
      </c>
      <c r="I4231" s="23" t="str">
        <f aca="false">IF(A4231="","",IF(C4231="No encontrado","No","Sí"))</f>
        <v/>
      </c>
      <c r="J4231" s="23" t="str">
        <f aca="false">IF(A4231="","",IF(F4231="Inactivo","No","Sí"))</f>
        <v/>
      </c>
      <c r="K4231" s="23" t="str">
        <f aca="false">IF(A4231="","",IF(AND(I4231="Sí",J4231="Sí"),"Sí","No"))</f>
        <v/>
      </c>
    </row>
    <row r="4232" customFormat="false" ht="15" hidden="false" customHeight="false" outlineLevel="0" collapsed="false">
      <c r="A4232" s="22"/>
      <c r="B4232" s="22"/>
      <c r="C4232" s="26" t="str">
        <f aca="false">IF(A4232="","",IFERROR(buscarx(A4232&amp;B4232,DATA!$E$3:$E$10000&amp;DATA!$B$3:$B$10000,DATA!$M$3:$M$10000),"No encontrado"))</f>
        <v/>
      </c>
      <c r="D4232" s="27" t="str">
        <f aca="false">IF(A4232="","",IFERROR(buscarx(A4232&amp;B4232,DATA!$E$3:$E$10000&amp;DATA!$B$3:$B$10000,DATA!$W$3:$W$10000),"No encontrado"))</f>
        <v/>
      </c>
      <c r="E4232" s="22"/>
      <c r="F4232" s="26" t="str">
        <f aca="false">IF(A4232="","",IFERROR(buscarx(A4232&amp;E4232,DATA!$E$3:$E$10000&amp;DATA!$B$3:$B$10000,DATA!$M$3:$M$10000),"Inactivo"))</f>
        <v/>
      </c>
      <c r="G4232" s="28" t="str">
        <f aca="false">IF(A4232="","",IF(AND(C4232&lt;&gt;"No encontrado",F4232&lt;&gt;"Inactivo"),C4232&amp;" → "&amp;F4232,"Sin transición"))</f>
        <v/>
      </c>
      <c r="H4232" s="26" t="str">
        <f aca="false">IF(A4232="","",IF(D4232="GCIA LINEA SERVICIO DIGITALIDAD Y VENTAS","Chats",IF(OR(D4232="GERENCIA INBOUND LÍNEAS SERVICIO Y VENTA",D4232="GERENCIA INBOUND LINEAS ESPECIALIZADAS"),"Llamadas","Otro")))</f>
        <v/>
      </c>
      <c r="I4232" s="26" t="str">
        <f aca="false">IF(A4232="","",IF(C4232="No encontrado","No","Sí"))</f>
        <v/>
      </c>
      <c r="J4232" s="26" t="str">
        <f aca="false">IF(A4232="","",IF(F4232="Inactivo","No","Sí"))</f>
        <v/>
      </c>
      <c r="K4232" s="26" t="str">
        <f aca="false">IF(A4232="","",IF(AND(I4232="Sí",J4232="Sí"),"Sí","No"))</f>
        <v/>
      </c>
    </row>
    <row r="4233" customFormat="false" ht="15" hidden="false" customHeight="false" outlineLevel="0" collapsed="false">
      <c r="A4233" s="22"/>
      <c r="B4233" s="22"/>
      <c r="C4233" s="23" t="str">
        <f aca="false">IF(A4233="","",IFERROR(buscarx(A4233&amp;B4233,DATA!$E$3:$E$10000&amp;DATA!$B$3:$B$10000,DATA!$M$3:$M$10000),"No encontrado"))</f>
        <v/>
      </c>
      <c r="D4233" s="24" t="str">
        <f aca="false">IF(A4233="","",IFERROR(buscarx(A4233&amp;B4233,DATA!$E$3:$E$10000&amp;DATA!$B$3:$B$10000,DATA!$W$3:$W$10000),"No encontrado"))</f>
        <v/>
      </c>
      <c r="E4233" s="22"/>
      <c r="F4233" s="23" t="str">
        <f aca="false">IF(A4233="","",IFERROR(buscarx(A4233&amp;E4233,DATA!$E$3:$E$10000&amp;DATA!$B$3:$B$10000,DATA!$M$3:$M$10000),"Inactivo"))</f>
        <v/>
      </c>
      <c r="G4233" s="25" t="str">
        <f aca="false">IF(A4233="","",IF(AND(C4233&lt;&gt;"No encontrado",F4233&lt;&gt;"Inactivo"),C4233&amp;" → "&amp;F4233,"Sin transición"))</f>
        <v/>
      </c>
      <c r="H4233" s="23" t="str">
        <f aca="false">IF(A4233="","",IF(D4233="GCIA LINEA SERVICIO DIGITALIDAD Y VENTAS","Chats",IF(OR(D4233="GERENCIA INBOUND LÍNEAS SERVICIO Y VENTA",D4233="GERENCIA INBOUND LINEAS ESPECIALIZADAS"),"Llamadas","Otro")))</f>
        <v/>
      </c>
      <c r="I4233" s="23" t="str">
        <f aca="false">IF(A4233="","",IF(C4233="No encontrado","No","Sí"))</f>
        <v/>
      </c>
      <c r="J4233" s="23" t="str">
        <f aca="false">IF(A4233="","",IF(F4233="Inactivo","No","Sí"))</f>
        <v/>
      </c>
      <c r="K4233" s="23" t="str">
        <f aca="false">IF(A4233="","",IF(AND(I4233="Sí",J4233="Sí"),"Sí","No"))</f>
        <v/>
      </c>
    </row>
    <row r="4234" customFormat="false" ht="15" hidden="false" customHeight="false" outlineLevel="0" collapsed="false">
      <c r="A4234" s="22"/>
      <c r="B4234" s="22"/>
      <c r="C4234" s="26" t="str">
        <f aca="false">IF(A4234="","",IFERROR(buscarx(A4234&amp;B4234,DATA!$E$3:$E$10000&amp;DATA!$B$3:$B$10000,DATA!$M$3:$M$10000),"No encontrado"))</f>
        <v/>
      </c>
      <c r="D4234" s="27" t="str">
        <f aca="false">IF(A4234="","",IFERROR(buscarx(A4234&amp;B4234,DATA!$E$3:$E$10000&amp;DATA!$B$3:$B$10000,DATA!$W$3:$W$10000),"No encontrado"))</f>
        <v/>
      </c>
      <c r="E4234" s="22"/>
      <c r="F4234" s="26" t="str">
        <f aca="false">IF(A4234="","",IFERROR(buscarx(A4234&amp;E4234,DATA!$E$3:$E$10000&amp;DATA!$B$3:$B$10000,DATA!$M$3:$M$10000),"Inactivo"))</f>
        <v/>
      </c>
      <c r="G4234" s="28" t="str">
        <f aca="false">IF(A4234="","",IF(AND(C4234&lt;&gt;"No encontrado",F4234&lt;&gt;"Inactivo"),C4234&amp;" → "&amp;F4234,"Sin transición"))</f>
        <v/>
      </c>
      <c r="H4234" s="26" t="str">
        <f aca="false">IF(A4234="","",IF(D4234="GCIA LINEA SERVICIO DIGITALIDAD Y VENTAS","Chats",IF(OR(D4234="GERENCIA INBOUND LÍNEAS SERVICIO Y VENTA",D4234="GERENCIA INBOUND LINEAS ESPECIALIZADAS"),"Llamadas","Otro")))</f>
        <v/>
      </c>
      <c r="I4234" s="26" t="str">
        <f aca="false">IF(A4234="","",IF(C4234="No encontrado","No","Sí"))</f>
        <v/>
      </c>
      <c r="J4234" s="26" t="str">
        <f aca="false">IF(A4234="","",IF(F4234="Inactivo","No","Sí"))</f>
        <v/>
      </c>
      <c r="K4234" s="26" t="str">
        <f aca="false">IF(A4234="","",IF(AND(I4234="Sí",J4234="Sí"),"Sí","No"))</f>
        <v/>
      </c>
    </row>
    <row r="4235" customFormat="false" ht="15" hidden="false" customHeight="false" outlineLevel="0" collapsed="false">
      <c r="A4235" s="22"/>
      <c r="B4235" s="22"/>
      <c r="C4235" s="23" t="str">
        <f aca="false">IF(A4235="","",IFERROR(buscarx(A4235&amp;B4235,DATA!$E$3:$E$10000&amp;DATA!$B$3:$B$10000,DATA!$M$3:$M$10000),"No encontrado"))</f>
        <v/>
      </c>
      <c r="D4235" s="24" t="str">
        <f aca="false">IF(A4235="","",IFERROR(buscarx(A4235&amp;B4235,DATA!$E$3:$E$10000&amp;DATA!$B$3:$B$10000,DATA!$W$3:$W$10000),"No encontrado"))</f>
        <v/>
      </c>
      <c r="E4235" s="22"/>
      <c r="F4235" s="23" t="str">
        <f aca="false">IF(A4235="","",IFERROR(buscarx(A4235&amp;E4235,DATA!$E$3:$E$10000&amp;DATA!$B$3:$B$10000,DATA!$M$3:$M$10000),"Inactivo"))</f>
        <v/>
      </c>
      <c r="G4235" s="25" t="str">
        <f aca="false">IF(A4235="","",IF(AND(C4235&lt;&gt;"No encontrado",F4235&lt;&gt;"Inactivo"),C4235&amp;" → "&amp;F4235,"Sin transición"))</f>
        <v/>
      </c>
      <c r="H4235" s="23" t="str">
        <f aca="false">IF(A4235="","",IF(D4235="GCIA LINEA SERVICIO DIGITALIDAD Y VENTAS","Chats",IF(OR(D4235="GERENCIA INBOUND LÍNEAS SERVICIO Y VENTA",D4235="GERENCIA INBOUND LINEAS ESPECIALIZADAS"),"Llamadas","Otro")))</f>
        <v/>
      </c>
      <c r="I4235" s="23" t="str">
        <f aca="false">IF(A4235="","",IF(C4235="No encontrado","No","Sí"))</f>
        <v/>
      </c>
      <c r="J4235" s="23" t="str">
        <f aca="false">IF(A4235="","",IF(F4235="Inactivo","No","Sí"))</f>
        <v/>
      </c>
      <c r="K4235" s="23" t="str">
        <f aca="false">IF(A4235="","",IF(AND(I4235="Sí",J4235="Sí"),"Sí","No"))</f>
        <v/>
      </c>
    </row>
    <row r="4236" customFormat="false" ht="15" hidden="false" customHeight="false" outlineLevel="0" collapsed="false">
      <c r="A4236" s="22"/>
      <c r="B4236" s="22"/>
      <c r="C4236" s="26" t="str">
        <f aca="false">IF(A4236="","",IFERROR(buscarx(A4236&amp;B4236,DATA!$E$3:$E$10000&amp;DATA!$B$3:$B$10000,DATA!$M$3:$M$10000),"No encontrado"))</f>
        <v/>
      </c>
      <c r="D4236" s="27" t="str">
        <f aca="false">IF(A4236="","",IFERROR(buscarx(A4236&amp;B4236,DATA!$E$3:$E$10000&amp;DATA!$B$3:$B$10000,DATA!$W$3:$W$10000),"No encontrado"))</f>
        <v/>
      </c>
      <c r="E4236" s="22"/>
      <c r="F4236" s="26" t="str">
        <f aca="false">IF(A4236="","",IFERROR(buscarx(A4236&amp;E4236,DATA!$E$3:$E$10000&amp;DATA!$B$3:$B$10000,DATA!$M$3:$M$10000),"Inactivo"))</f>
        <v/>
      </c>
      <c r="G4236" s="28" t="str">
        <f aca="false">IF(A4236="","",IF(AND(C4236&lt;&gt;"No encontrado",F4236&lt;&gt;"Inactivo"),C4236&amp;" → "&amp;F4236,"Sin transición"))</f>
        <v/>
      </c>
      <c r="H4236" s="26" t="str">
        <f aca="false">IF(A4236="","",IF(D4236="GCIA LINEA SERVICIO DIGITALIDAD Y VENTAS","Chats",IF(OR(D4236="GERENCIA INBOUND LÍNEAS SERVICIO Y VENTA",D4236="GERENCIA INBOUND LINEAS ESPECIALIZADAS"),"Llamadas","Otro")))</f>
        <v/>
      </c>
      <c r="I4236" s="26" t="str">
        <f aca="false">IF(A4236="","",IF(C4236="No encontrado","No","Sí"))</f>
        <v/>
      </c>
      <c r="J4236" s="26" t="str">
        <f aca="false">IF(A4236="","",IF(F4236="Inactivo","No","Sí"))</f>
        <v/>
      </c>
      <c r="K4236" s="26" t="str">
        <f aca="false">IF(A4236="","",IF(AND(I4236="Sí",J4236="Sí"),"Sí","No"))</f>
        <v/>
      </c>
    </row>
    <row r="4237" customFormat="false" ht="15" hidden="false" customHeight="false" outlineLevel="0" collapsed="false">
      <c r="A4237" s="22"/>
      <c r="B4237" s="22"/>
      <c r="C4237" s="23" t="str">
        <f aca="false">IF(A4237="","",IFERROR(buscarx(A4237&amp;B4237,DATA!$E$3:$E$10000&amp;DATA!$B$3:$B$10000,DATA!$M$3:$M$10000),"No encontrado"))</f>
        <v/>
      </c>
      <c r="D4237" s="24" t="str">
        <f aca="false">IF(A4237="","",IFERROR(buscarx(A4237&amp;B4237,DATA!$E$3:$E$10000&amp;DATA!$B$3:$B$10000,DATA!$W$3:$W$10000),"No encontrado"))</f>
        <v/>
      </c>
      <c r="E4237" s="22"/>
      <c r="F4237" s="23" t="str">
        <f aca="false">IF(A4237="","",IFERROR(buscarx(A4237&amp;E4237,DATA!$E$3:$E$10000&amp;DATA!$B$3:$B$10000,DATA!$M$3:$M$10000),"Inactivo"))</f>
        <v/>
      </c>
      <c r="G4237" s="25" t="str">
        <f aca="false">IF(A4237="","",IF(AND(C4237&lt;&gt;"No encontrado",F4237&lt;&gt;"Inactivo"),C4237&amp;" → "&amp;F4237,"Sin transición"))</f>
        <v/>
      </c>
      <c r="H4237" s="23" t="str">
        <f aca="false">IF(A4237="","",IF(D4237="GCIA LINEA SERVICIO DIGITALIDAD Y VENTAS","Chats",IF(OR(D4237="GERENCIA INBOUND LÍNEAS SERVICIO Y VENTA",D4237="GERENCIA INBOUND LINEAS ESPECIALIZADAS"),"Llamadas","Otro")))</f>
        <v/>
      </c>
      <c r="I4237" s="23" t="str">
        <f aca="false">IF(A4237="","",IF(C4237="No encontrado","No","Sí"))</f>
        <v/>
      </c>
      <c r="J4237" s="23" t="str">
        <f aca="false">IF(A4237="","",IF(F4237="Inactivo","No","Sí"))</f>
        <v/>
      </c>
      <c r="K4237" s="23" t="str">
        <f aca="false">IF(A4237="","",IF(AND(I4237="Sí",J4237="Sí"),"Sí","No"))</f>
        <v/>
      </c>
    </row>
    <row r="4238" customFormat="false" ht="15" hidden="false" customHeight="false" outlineLevel="0" collapsed="false">
      <c r="A4238" s="22"/>
      <c r="B4238" s="22"/>
      <c r="C4238" s="26" t="str">
        <f aca="false">IF(A4238="","",IFERROR(buscarx(A4238&amp;B4238,DATA!$E$3:$E$10000&amp;DATA!$B$3:$B$10000,DATA!$M$3:$M$10000),"No encontrado"))</f>
        <v/>
      </c>
      <c r="D4238" s="27" t="str">
        <f aca="false">IF(A4238="","",IFERROR(buscarx(A4238&amp;B4238,DATA!$E$3:$E$10000&amp;DATA!$B$3:$B$10000,DATA!$W$3:$W$10000),"No encontrado"))</f>
        <v/>
      </c>
      <c r="E4238" s="22"/>
      <c r="F4238" s="26" t="str">
        <f aca="false">IF(A4238="","",IFERROR(buscarx(A4238&amp;E4238,DATA!$E$3:$E$10000&amp;DATA!$B$3:$B$10000,DATA!$M$3:$M$10000),"Inactivo"))</f>
        <v/>
      </c>
      <c r="G4238" s="28" t="str">
        <f aca="false">IF(A4238="","",IF(AND(C4238&lt;&gt;"No encontrado",F4238&lt;&gt;"Inactivo"),C4238&amp;" → "&amp;F4238,"Sin transición"))</f>
        <v/>
      </c>
      <c r="H4238" s="26" t="str">
        <f aca="false">IF(A4238="","",IF(D4238="GCIA LINEA SERVICIO DIGITALIDAD Y VENTAS","Chats",IF(OR(D4238="GERENCIA INBOUND LÍNEAS SERVICIO Y VENTA",D4238="GERENCIA INBOUND LINEAS ESPECIALIZADAS"),"Llamadas","Otro")))</f>
        <v/>
      </c>
      <c r="I4238" s="26" t="str">
        <f aca="false">IF(A4238="","",IF(C4238="No encontrado","No","Sí"))</f>
        <v/>
      </c>
      <c r="J4238" s="26" t="str">
        <f aca="false">IF(A4238="","",IF(F4238="Inactivo","No","Sí"))</f>
        <v/>
      </c>
      <c r="K4238" s="26" t="str">
        <f aca="false">IF(A4238="","",IF(AND(I4238="Sí",J4238="Sí"),"Sí","No"))</f>
        <v/>
      </c>
    </row>
    <row r="4239" customFormat="false" ht="15" hidden="false" customHeight="false" outlineLevel="0" collapsed="false">
      <c r="A4239" s="22"/>
      <c r="B4239" s="22"/>
      <c r="C4239" s="23" t="str">
        <f aca="false">IF(A4239="","",IFERROR(buscarx(A4239&amp;B4239,DATA!$E$3:$E$10000&amp;DATA!$B$3:$B$10000,DATA!$M$3:$M$10000),"No encontrado"))</f>
        <v/>
      </c>
      <c r="D4239" s="24" t="str">
        <f aca="false">IF(A4239="","",IFERROR(buscarx(A4239&amp;B4239,DATA!$E$3:$E$10000&amp;DATA!$B$3:$B$10000,DATA!$W$3:$W$10000),"No encontrado"))</f>
        <v/>
      </c>
      <c r="E4239" s="22"/>
      <c r="F4239" s="23" t="str">
        <f aca="false">IF(A4239="","",IFERROR(buscarx(A4239&amp;E4239,DATA!$E$3:$E$10000&amp;DATA!$B$3:$B$10000,DATA!$M$3:$M$10000),"Inactivo"))</f>
        <v/>
      </c>
      <c r="G4239" s="25" t="str">
        <f aca="false">IF(A4239="","",IF(AND(C4239&lt;&gt;"No encontrado",F4239&lt;&gt;"Inactivo"),C4239&amp;" → "&amp;F4239,"Sin transición"))</f>
        <v/>
      </c>
      <c r="H4239" s="23" t="str">
        <f aca="false">IF(A4239="","",IF(D4239="GCIA LINEA SERVICIO DIGITALIDAD Y VENTAS","Chats",IF(OR(D4239="GERENCIA INBOUND LÍNEAS SERVICIO Y VENTA",D4239="GERENCIA INBOUND LINEAS ESPECIALIZADAS"),"Llamadas","Otro")))</f>
        <v/>
      </c>
      <c r="I4239" s="23" t="str">
        <f aca="false">IF(A4239="","",IF(C4239="No encontrado","No","Sí"))</f>
        <v/>
      </c>
      <c r="J4239" s="23" t="str">
        <f aca="false">IF(A4239="","",IF(F4239="Inactivo","No","Sí"))</f>
        <v/>
      </c>
      <c r="K4239" s="23" t="str">
        <f aca="false">IF(A4239="","",IF(AND(I4239="Sí",J4239="Sí"),"Sí","No"))</f>
        <v/>
      </c>
    </row>
    <row r="4240" customFormat="false" ht="15" hidden="false" customHeight="false" outlineLevel="0" collapsed="false">
      <c r="A4240" s="22"/>
      <c r="B4240" s="22"/>
      <c r="C4240" s="26" t="str">
        <f aca="false">IF(A4240="","",IFERROR(buscarx(A4240&amp;B4240,DATA!$E$3:$E$10000&amp;DATA!$B$3:$B$10000,DATA!$M$3:$M$10000),"No encontrado"))</f>
        <v/>
      </c>
      <c r="D4240" s="27" t="str">
        <f aca="false">IF(A4240="","",IFERROR(buscarx(A4240&amp;B4240,DATA!$E$3:$E$10000&amp;DATA!$B$3:$B$10000,DATA!$W$3:$W$10000),"No encontrado"))</f>
        <v/>
      </c>
      <c r="E4240" s="22"/>
      <c r="F4240" s="26" t="str">
        <f aca="false">IF(A4240="","",IFERROR(buscarx(A4240&amp;E4240,DATA!$E$3:$E$10000&amp;DATA!$B$3:$B$10000,DATA!$M$3:$M$10000),"Inactivo"))</f>
        <v/>
      </c>
      <c r="G4240" s="28" t="str">
        <f aca="false">IF(A4240="","",IF(AND(C4240&lt;&gt;"No encontrado",F4240&lt;&gt;"Inactivo"),C4240&amp;" → "&amp;F4240,"Sin transición"))</f>
        <v/>
      </c>
      <c r="H4240" s="26" t="str">
        <f aca="false">IF(A4240="","",IF(D4240="GCIA LINEA SERVICIO DIGITALIDAD Y VENTAS","Chats",IF(OR(D4240="GERENCIA INBOUND LÍNEAS SERVICIO Y VENTA",D4240="GERENCIA INBOUND LINEAS ESPECIALIZADAS"),"Llamadas","Otro")))</f>
        <v/>
      </c>
      <c r="I4240" s="26" t="str">
        <f aca="false">IF(A4240="","",IF(C4240="No encontrado","No","Sí"))</f>
        <v/>
      </c>
      <c r="J4240" s="26" t="str">
        <f aca="false">IF(A4240="","",IF(F4240="Inactivo","No","Sí"))</f>
        <v/>
      </c>
      <c r="K4240" s="26" t="str">
        <f aca="false">IF(A4240="","",IF(AND(I4240="Sí",J4240="Sí"),"Sí","No"))</f>
        <v/>
      </c>
    </row>
    <row r="4241" customFormat="false" ht="15" hidden="false" customHeight="false" outlineLevel="0" collapsed="false">
      <c r="A4241" s="22"/>
      <c r="B4241" s="22"/>
      <c r="C4241" s="23" t="str">
        <f aca="false">IF(A4241="","",IFERROR(buscarx(A4241&amp;B4241,DATA!$E$3:$E$10000&amp;DATA!$B$3:$B$10000,DATA!$M$3:$M$10000),"No encontrado"))</f>
        <v/>
      </c>
      <c r="D4241" s="24" t="str">
        <f aca="false">IF(A4241="","",IFERROR(buscarx(A4241&amp;B4241,DATA!$E$3:$E$10000&amp;DATA!$B$3:$B$10000,DATA!$W$3:$W$10000),"No encontrado"))</f>
        <v/>
      </c>
      <c r="E4241" s="22"/>
      <c r="F4241" s="23" t="str">
        <f aca="false">IF(A4241="","",IFERROR(buscarx(A4241&amp;E4241,DATA!$E$3:$E$10000&amp;DATA!$B$3:$B$10000,DATA!$M$3:$M$10000),"Inactivo"))</f>
        <v/>
      </c>
      <c r="G4241" s="25" t="str">
        <f aca="false">IF(A4241="","",IF(AND(C4241&lt;&gt;"No encontrado",F4241&lt;&gt;"Inactivo"),C4241&amp;" → "&amp;F4241,"Sin transición"))</f>
        <v/>
      </c>
      <c r="H4241" s="23" t="str">
        <f aca="false">IF(A4241="","",IF(D4241="GCIA LINEA SERVICIO DIGITALIDAD Y VENTAS","Chats",IF(OR(D4241="GERENCIA INBOUND LÍNEAS SERVICIO Y VENTA",D4241="GERENCIA INBOUND LINEAS ESPECIALIZADAS"),"Llamadas","Otro")))</f>
        <v/>
      </c>
      <c r="I4241" s="23" t="str">
        <f aca="false">IF(A4241="","",IF(C4241="No encontrado","No","Sí"))</f>
        <v/>
      </c>
      <c r="J4241" s="23" t="str">
        <f aca="false">IF(A4241="","",IF(F4241="Inactivo","No","Sí"))</f>
        <v/>
      </c>
      <c r="K4241" s="23" t="str">
        <f aca="false">IF(A4241="","",IF(AND(I4241="Sí",J4241="Sí"),"Sí","No"))</f>
        <v/>
      </c>
    </row>
    <row r="4242" customFormat="false" ht="15" hidden="false" customHeight="false" outlineLevel="0" collapsed="false">
      <c r="A4242" s="22"/>
      <c r="B4242" s="22"/>
      <c r="C4242" s="26" t="str">
        <f aca="false">IF(A4242="","",IFERROR(buscarx(A4242&amp;B4242,DATA!$E$3:$E$10000&amp;DATA!$B$3:$B$10000,DATA!$M$3:$M$10000),"No encontrado"))</f>
        <v/>
      </c>
      <c r="D4242" s="27" t="str">
        <f aca="false">IF(A4242="","",IFERROR(buscarx(A4242&amp;B4242,DATA!$E$3:$E$10000&amp;DATA!$B$3:$B$10000,DATA!$W$3:$W$10000),"No encontrado"))</f>
        <v/>
      </c>
      <c r="E4242" s="22"/>
      <c r="F4242" s="26" t="str">
        <f aca="false">IF(A4242="","",IFERROR(buscarx(A4242&amp;E4242,DATA!$E$3:$E$10000&amp;DATA!$B$3:$B$10000,DATA!$M$3:$M$10000),"Inactivo"))</f>
        <v/>
      </c>
      <c r="G4242" s="28" t="str">
        <f aca="false">IF(A4242="","",IF(AND(C4242&lt;&gt;"No encontrado",F4242&lt;&gt;"Inactivo"),C4242&amp;" → "&amp;F4242,"Sin transición"))</f>
        <v/>
      </c>
      <c r="H4242" s="26" t="str">
        <f aca="false">IF(A4242="","",IF(D4242="GCIA LINEA SERVICIO DIGITALIDAD Y VENTAS","Chats",IF(OR(D4242="GERENCIA INBOUND LÍNEAS SERVICIO Y VENTA",D4242="GERENCIA INBOUND LINEAS ESPECIALIZADAS"),"Llamadas","Otro")))</f>
        <v/>
      </c>
      <c r="I4242" s="26" t="str">
        <f aca="false">IF(A4242="","",IF(C4242="No encontrado","No","Sí"))</f>
        <v/>
      </c>
      <c r="J4242" s="26" t="str">
        <f aca="false">IF(A4242="","",IF(F4242="Inactivo","No","Sí"))</f>
        <v/>
      </c>
      <c r="K4242" s="26" t="str">
        <f aca="false">IF(A4242="","",IF(AND(I4242="Sí",J4242="Sí"),"Sí","No"))</f>
        <v/>
      </c>
    </row>
    <row r="4243" customFormat="false" ht="15" hidden="false" customHeight="false" outlineLevel="0" collapsed="false">
      <c r="A4243" s="22"/>
      <c r="B4243" s="22"/>
      <c r="C4243" s="23" t="str">
        <f aca="false">IF(A4243="","",IFERROR(buscarx(A4243&amp;B4243,DATA!$E$3:$E$10000&amp;DATA!$B$3:$B$10000,DATA!$M$3:$M$10000),"No encontrado"))</f>
        <v/>
      </c>
      <c r="D4243" s="24" t="str">
        <f aca="false">IF(A4243="","",IFERROR(buscarx(A4243&amp;B4243,DATA!$E$3:$E$10000&amp;DATA!$B$3:$B$10000,DATA!$W$3:$W$10000),"No encontrado"))</f>
        <v/>
      </c>
      <c r="E4243" s="22"/>
      <c r="F4243" s="23" t="str">
        <f aca="false">IF(A4243="","",IFERROR(buscarx(A4243&amp;E4243,DATA!$E$3:$E$10000&amp;DATA!$B$3:$B$10000,DATA!$M$3:$M$10000),"Inactivo"))</f>
        <v/>
      </c>
      <c r="G4243" s="25" t="str">
        <f aca="false">IF(A4243="","",IF(AND(C4243&lt;&gt;"No encontrado",F4243&lt;&gt;"Inactivo"),C4243&amp;" → "&amp;F4243,"Sin transición"))</f>
        <v/>
      </c>
      <c r="H4243" s="23" t="str">
        <f aca="false">IF(A4243="","",IF(D4243="GCIA LINEA SERVICIO DIGITALIDAD Y VENTAS","Chats",IF(OR(D4243="GERENCIA INBOUND LÍNEAS SERVICIO Y VENTA",D4243="GERENCIA INBOUND LINEAS ESPECIALIZADAS"),"Llamadas","Otro")))</f>
        <v/>
      </c>
      <c r="I4243" s="23" t="str">
        <f aca="false">IF(A4243="","",IF(C4243="No encontrado","No","Sí"))</f>
        <v/>
      </c>
      <c r="J4243" s="23" t="str">
        <f aca="false">IF(A4243="","",IF(F4243="Inactivo","No","Sí"))</f>
        <v/>
      </c>
      <c r="K4243" s="23" t="str">
        <f aca="false">IF(A4243="","",IF(AND(I4243="Sí",J4243="Sí"),"Sí","No"))</f>
        <v/>
      </c>
    </row>
    <row r="4244" customFormat="false" ht="15" hidden="false" customHeight="false" outlineLevel="0" collapsed="false">
      <c r="A4244" s="22"/>
      <c r="B4244" s="22"/>
      <c r="C4244" s="26" t="str">
        <f aca="false">IF(A4244="","",IFERROR(buscarx(A4244&amp;B4244,DATA!$E$3:$E$10000&amp;DATA!$B$3:$B$10000,DATA!$M$3:$M$10000),"No encontrado"))</f>
        <v/>
      </c>
      <c r="D4244" s="27" t="str">
        <f aca="false">IF(A4244="","",IFERROR(buscarx(A4244&amp;B4244,DATA!$E$3:$E$10000&amp;DATA!$B$3:$B$10000,DATA!$W$3:$W$10000),"No encontrado"))</f>
        <v/>
      </c>
      <c r="E4244" s="22"/>
      <c r="F4244" s="26" t="str">
        <f aca="false">IF(A4244="","",IFERROR(buscarx(A4244&amp;E4244,DATA!$E$3:$E$10000&amp;DATA!$B$3:$B$10000,DATA!$M$3:$M$10000),"Inactivo"))</f>
        <v/>
      </c>
      <c r="G4244" s="28" t="str">
        <f aca="false">IF(A4244="","",IF(AND(C4244&lt;&gt;"No encontrado",F4244&lt;&gt;"Inactivo"),C4244&amp;" → "&amp;F4244,"Sin transición"))</f>
        <v/>
      </c>
      <c r="H4244" s="26" t="str">
        <f aca="false">IF(A4244="","",IF(D4244="GCIA LINEA SERVICIO DIGITALIDAD Y VENTAS","Chats",IF(OR(D4244="GERENCIA INBOUND LÍNEAS SERVICIO Y VENTA",D4244="GERENCIA INBOUND LINEAS ESPECIALIZADAS"),"Llamadas","Otro")))</f>
        <v/>
      </c>
      <c r="I4244" s="26" t="str">
        <f aca="false">IF(A4244="","",IF(C4244="No encontrado","No","Sí"))</f>
        <v/>
      </c>
      <c r="J4244" s="26" t="str">
        <f aca="false">IF(A4244="","",IF(F4244="Inactivo","No","Sí"))</f>
        <v/>
      </c>
      <c r="K4244" s="26" t="str">
        <f aca="false">IF(A4244="","",IF(AND(I4244="Sí",J4244="Sí"),"Sí","No"))</f>
        <v/>
      </c>
    </row>
    <row r="4245" customFormat="false" ht="15" hidden="false" customHeight="false" outlineLevel="0" collapsed="false">
      <c r="A4245" s="22"/>
      <c r="B4245" s="22"/>
      <c r="C4245" s="23" t="str">
        <f aca="false">IF(A4245="","",IFERROR(buscarx(A4245&amp;B4245,DATA!$E$3:$E$10000&amp;DATA!$B$3:$B$10000,DATA!$M$3:$M$10000),"No encontrado"))</f>
        <v/>
      </c>
      <c r="D4245" s="24" t="str">
        <f aca="false">IF(A4245="","",IFERROR(buscarx(A4245&amp;B4245,DATA!$E$3:$E$10000&amp;DATA!$B$3:$B$10000,DATA!$W$3:$W$10000),"No encontrado"))</f>
        <v/>
      </c>
      <c r="E4245" s="22"/>
      <c r="F4245" s="23" t="str">
        <f aca="false">IF(A4245="","",IFERROR(buscarx(A4245&amp;E4245,DATA!$E$3:$E$10000&amp;DATA!$B$3:$B$10000,DATA!$M$3:$M$10000),"Inactivo"))</f>
        <v/>
      </c>
      <c r="G4245" s="25" t="str">
        <f aca="false">IF(A4245="","",IF(AND(C4245&lt;&gt;"No encontrado",F4245&lt;&gt;"Inactivo"),C4245&amp;" → "&amp;F4245,"Sin transición"))</f>
        <v/>
      </c>
      <c r="H4245" s="23" t="str">
        <f aca="false">IF(A4245="","",IF(D4245="GCIA LINEA SERVICIO DIGITALIDAD Y VENTAS","Chats",IF(OR(D4245="GERENCIA INBOUND LÍNEAS SERVICIO Y VENTA",D4245="GERENCIA INBOUND LINEAS ESPECIALIZADAS"),"Llamadas","Otro")))</f>
        <v/>
      </c>
      <c r="I4245" s="23" t="str">
        <f aca="false">IF(A4245="","",IF(C4245="No encontrado","No","Sí"))</f>
        <v/>
      </c>
      <c r="J4245" s="23" t="str">
        <f aca="false">IF(A4245="","",IF(F4245="Inactivo","No","Sí"))</f>
        <v/>
      </c>
      <c r="K4245" s="23" t="str">
        <f aca="false">IF(A4245="","",IF(AND(I4245="Sí",J4245="Sí"),"Sí","No"))</f>
        <v/>
      </c>
    </row>
    <row r="4246" customFormat="false" ht="15" hidden="false" customHeight="false" outlineLevel="0" collapsed="false">
      <c r="A4246" s="22"/>
      <c r="B4246" s="22"/>
      <c r="C4246" s="26" t="str">
        <f aca="false">IF(A4246="","",IFERROR(buscarx(A4246&amp;B4246,DATA!$E$3:$E$10000&amp;DATA!$B$3:$B$10000,DATA!$M$3:$M$10000),"No encontrado"))</f>
        <v/>
      </c>
      <c r="D4246" s="27" t="str">
        <f aca="false">IF(A4246="","",IFERROR(buscarx(A4246&amp;B4246,DATA!$E$3:$E$10000&amp;DATA!$B$3:$B$10000,DATA!$W$3:$W$10000),"No encontrado"))</f>
        <v/>
      </c>
      <c r="E4246" s="22"/>
      <c r="F4246" s="26" t="str">
        <f aca="false">IF(A4246="","",IFERROR(buscarx(A4246&amp;E4246,DATA!$E$3:$E$10000&amp;DATA!$B$3:$B$10000,DATA!$M$3:$M$10000),"Inactivo"))</f>
        <v/>
      </c>
      <c r="G4246" s="28" t="str">
        <f aca="false">IF(A4246="","",IF(AND(C4246&lt;&gt;"No encontrado",F4246&lt;&gt;"Inactivo"),C4246&amp;" → "&amp;F4246,"Sin transición"))</f>
        <v/>
      </c>
      <c r="H4246" s="26" t="str">
        <f aca="false">IF(A4246="","",IF(D4246="GCIA LINEA SERVICIO DIGITALIDAD Y VENTAS","Chats",IF(OR(D4246="GERENCIA INBOUND LÍNEAS SERVICIO Y VENTA",D4246="GERENCIA INBOUND LINEAS ESPECIALIZADAS"),"Llamadas","Otro")))</f>
        <v/>
      </c>
      <c r="I4246" s="26" t="str">
        <f aca="false">IF(A4246="","",IF(C4246="No encontrado","No","Sí"))</f>
        <v/>
      </c>
      <c r="J4246" s="26" t="str">
        <f aca="false">IF(A4246="","",IF(F4246="Inactivo","No","Sí"))</f>
        <v/>
      </c>
      <c r="K4246" s="26" t="str">
        <f aca="false">IF(A4246="","",IF(AND(I4246="Sí",J4246="Sí"),"Sí","No"))</f>
        <v/>
      </c>
    </row>
    <row r="4247" customFormat="false" ht="15" hidden="false" customHeight="false" outlineLevel="0" collapsed="false">
      <c r="A4247" s="22"/>
      <c r="B4247" s="22"/>
      <c r="C4247" s="23" t="str">
        <f aca="false">IF(A4247="","",IFERROR(buscarx(A4247&amp;B4247,DATA!$E$3:$E$10000&amp;DATA!$B$3:$B$10000,DATA!$M$3:$M$10000),"No encontrado"))</f>
        <v/>
      </c>
      <c r="D4247" s="24" t="str">
        <f aca="false">IF(A4247="","",IFERROR(buscarx(A4247&amp;B4247,DATA!$E$3:$E$10000&amp;DATA!$B$3:$B$10000,DATA!$W$3:$W$10000),"No encontrado"))</f>
        <v/>
      </c>
      <c r="E4247" s="22"/>
      <c r="F4247" s="23" t="str">
        <f aca="false">IF(A4247="","",IFERROR(buscarx(A4247&amp;E4247,DATA!$E$3:$E$10000&amp;DATA!$B$3:$B$10000,DATA!$M$3:$M$10000),"Inactivo"))</f>
        <v/>
      </c>
      <c r="G4247" s="25" t="str">
        <f aca="false">IF(A4247="","",IF(AND(C4247&lt;&gt;"No encontrado",F4247&lt;&gt;"Inactivo"),C4247&amp;" → "&amp;F4247,"Sin transición"))</f>
        <v/>
      </c>
      <c r="H4247" s="23" t="str">
        <f aca="false">IF(A4247="","",IF(D4247="GCIA LINEA SERVICIO DIGITALIDAD Y VENTAS","Chats",IF(OR(D4247="GERENCIA INBOUND LÍNEAS SERVICIO Y VENTA",D4247="GERENCIA INBOUND LINEAS ESPECIALIZADAS"),"Llamadas","Otro")))</f>
        <v/>
      </c>
      <c r="I4247" s="23" t="str">
        <f aca="false">IF(A4247="","",IF(C4247="No encontrado","No","Sí"))</f>
        <v/>
      </c>
      <c r="J4247" s="23" t="str">
        <f aca="false">IF(A4247="","",IF(F4247="Inactivo","No","Sí"))</f>
        <v/>
      </c>
      <c r="K4247" s="23" t="str">
        <f aca="false">IF(A4247="","",IF(AND(I4247="Sí",J4247="Sí"),"Sí","No"))</f>
        <v/>
      </c>
    </row>
    <row r="4248" customFormat="false" ht="15" hidden="false" customHeight="false" outlineLevel="0" collapsed="false">
      <c r="A4248" s="22"/>
      <c r="B4248" s="22"/>
      <c r="C4248" s="26" t="str">
        <f aca="false">IF(A4248="","",IFERROR(buscarx(A4248&amp;B4248,DATA!$E$3:$E$10000&amp;DATA!$B$3:$B$10000,DATA!$M$3:$M$10000),"No encontrado"))</f>
        <v/>
      </c>
      <c r="D4248" s="27" t="str">
        <f aca="false">IF(A4248="","",IFERROR(buscarx(A4248&amp;B4248,DATA!$E$3:$E$10000&amp;DATA!$B$3:$B$10000,DATA!$W$3:$W$10000),"No encontrado"))</f>
        <v/>
      </c>
      <c r="E4248" s="22"/>
      <c r="F4248" s="26" t="str">
        <f aca="false">IF(A4248="","",IFERROR(buscarx(A4248&amp;E4248,DATA!$E$3:$E$10000&amp;DATA!$B$3:$B$10000,DATA!$M$3:$M$10000),"Inactivo"))</f>
        <v/>
      </c>
      <c r="G4248" s="28" t="str">
        <f aca="false">IF(A4248="","",IF(AND(C4248&lt;&gt;"No encontrado",F4248&lt;&gt;"Inactivo"),C4248&amp;" → "&amp;F4248,"Sin transición"))</f>
        <v/>
      </c>
      <c r="H4248" s="26" t="str">
        <f aca="false">IF(A4248="","",IF(D4248="GCIA LINEA SERVICIO DIGITALIDAD Y VENTAS","Chats",IF(OR(D4248="GERENCIA INBOUND LÍNEAS SERVICIO Y VENTA",D4248="GERENCIA INBOUND LINEAS ESPECIALIZADAS"),"Llamadas","Otro")))</f>
        <v/>
      </c>
      <c r="I4248" s="26" t="str">
        <f aca="false">IF(A4248="","",IF(C4248="No encontrado","No","Sí"))</f>
        <v/>
      </c>
      <c r="J4248" s="26" t="str">
        <f aca="false">IF(A4248="","",IF(F4248="Inactivo","No","Sí"))</f>
        <v/>
      </c>
      <c r="K4248" s="26" t="str">
        <f aca="false">IF(A4248="","",IF(AND(I4248="Sí",J4248="Sí"),"Sí","No"))</f>
        <v/>
      </c>
    </row>
    <row r="4249" customFormat="false" ht="15" hidden="false" customHeight="false" outlineLevel="0" collapsed="false">
      <c r="A4249" s="22"/>
      <c r="B4249" s="22"/>
      <c r="C4249" s="23" t="str">
        <f aca="false">IF(A4249="","",IFERROR(buscarx(A4249&amp;B4249,DATA!$E$3:$E$10000&amp;DATA!$B$3:$B$10000,DATA!$M$3:$M$10000),"No encontrado"))</f>
        <v/>
      </c>
      <c r="D4249" s="24" t="str">
        <f aca="false">IF(A4249="","",IFERROR(buscarx(A4249&amp;B4249,DATA!$E$3:$E$10000&amp;DATA!$B$3:$B$10000,DATA!$W$3:$W$10000),"No encontrado"))</f>
        <v/>
      </c>
      <c r="E4249" s="22"/>
      <c r="F4249" s="23" t="str">
        <f aca="false">IF(A4249="","",IFERROR(buscarx(A4249&amp;E4249,DATA!$E$3:$E$10000&amp;DATA!$B$3:$B$10000,DATA!$M$3:$M$10000),"Inactivo"))</f>
        <v/>
      </c>
      <c r="G4249" s="25" t="str">
        <f aca="false">IF(A4249="","",IF(AND(C4249&lt;&gt;"No encontrado",F4249&lt;&gt;"Inactivo"),C4249&amp;" → "&amp;F4249,"Sin transición"))</f>
        <v/>
      </c>
      <c r="H4249" s="23" t="str">
        <f aca="false">IF(A4249="","",IF(D4249="GCIA LINEA SERVICIO DIGITALIDAD Y VENTAS","Chats",IF(OR(D4249="GERENCIA INBOUND LÍNEAS SERVICIO Y VENTA",D4249="GERENCIA INBOUND LINEAS ESPECIALIZADAS"),"Llamadas","Otro")))</f>
        <v/>
      </c>
      <c r="I4249" s="23" t="str">
        <f aca="false">IF(A4249="","",IF(C4249="No encontrado","No","Sí"))</f>
        <v/>
      </c>
      <c r="J4249" s="23" t="str">
        <f aca="false">IF(A4249="","",IF(F4249="Inactivo","No","Sí"))</f>
        <v/>
      </c>
      <c r="K4249" s="23" t="str">
        <f aca="false">IF(A4249="","",IF(AND(I4249="Sí",J4249="Sí"),"Sí","No"))</f>
        <v/>
      </c>
    </row>
    <row r="4250" customFormat="false" ht="15" hidden="false" customHeight="false" outlineLevel="0" collapsed="false">
      <c r="A4250" s="22"/>
      <c r="B4250" s="22"/>
      <c r="C4250" s="26" t="str">
        <f aca="false">IF(A4250="","",IFERROR(buscarx(A4250&amp;B4250,DATA!$E$3:$E$10000&amp;DATA!$B$3:$B$10000,DATA!$M$3:$M$10000),"No encontrado"))</f>
        <v/>
      </c>
      <c r="D4250" s="27" t="str">
        <f aca="false">IF(A4250="","",IFERROR(buscarx(A4250&amp;B4250,DATA!$E$3:$E$10000&amp;DATA!$B$3:$B$10000,DATA!$W$3:$W$10000),"No encontrado"))</f>
        <v/>
      </c>
      <c r="E4250" s="22"/>
      <c r="F4250" s="26" t="str">
        <f aca="false">IF(A4250="","",IFERROR(buscarx(A4250&amp;E4250,DATA!$E$3:$E$10000&amp;DATA!$B$3:$B$10000,DATA!$M$3:$M$10000),"Inactivo"))</f>
        <v/>
      </c>
      <c r="G4250" s="28" t="str">
        <f aca="false">IF(A4250="","",IF(AND(C4250&lt;&gt;"No encontrado",F4250&lt;&gt;"Inactivo"),C4250&amp;" → "&amp;F4250,"Sin transición"))</f>
        <v/>
      </c>
      <c r="H4250" s="26" t="str">
        <f aca="false">IF(A4250="","",IF(D4250="GCIA LINEA SERVICIO DIGITALIDAD Y VENTAS","Chats",IF(OR(D4250="GERENCIA INBOUND LÍNEAS SERVICIO Y VENTA",D4250="GERENCIA INBOUND LINEAS ESPECIALIZADAS"),"Llamadas","Otro")))</f>
        <v/>
      </c>
      <c r="I4250" s="26" t="str">
        <f aca="false">IF(A4250="","",IF(C4250="No encontrado","No","Sí"))</f>
        <v/>
      </c>
      <c r="J4250" s="26" t="str">
        <f aca="false">IF(A4250="","",IF(F4250="Inactivo","No","Sí"))</f>
        <v/>
      </c>
      <c r="K4250" s="26" t="str">
        <f aca="false">IF(A4250="","",IF(AND(I4250="Sí",J4250="Sí"),"Sí","No"))</f>
        <v/>
      </c>
    </row>
    <row r="4251" customFormat="false" ht="15" hidden="false" customHeight="false" outlineLevel="0" collapsed="false">
      <c r="A4251" s="22"/>
      <c r="B4251" s="22"/>
      <c r="C4251" s="23" t="str">
        <f aca="false">IF(A4251="","",IFERROR(buscarx(A4251&amp;B4251,DATA!$E$3:$E$10000&amp;DATA!$B$3:$B$10000,DATA!$M$3:$M$10000),"No encontrado"))</f>
        <v/>
      </c>
      <c r="D4251" s="24" t="str">
        <f aca="false">IF(A4251="","",IFERROR(buscarx(A4251&amp;B4251,DATA!$E$3:$E$10000&amp;DATA!$B$3:$B$10000,DATA!$W$3:$W$10000),"No encontrado"))</f>
        <v/>
      </c>
      <c r="E4251" s="22"/>
      <c r="F4251" s="23" t="str">
        <f aca="false">IF(A4251="","",IFERROR(buscarx(A4251&amp;E4251,DATA!$E$3:$E$10000&amp;DATA!$B$3:$B$10000,DATA!$M$3:$M$10000),"Inactivo"))</f>
        <v/>
      </c>
      <c r="G4251" s="25" t="str">
        <f aca="false">IF(A4251="","",IF(AND(C4251&lt;&gt;"No encontrado",F4251&lt;&gt;"Inactivo"),C4251&amp;" → "&amp;F4251,"Sin transición"))</f>
        <v/>
      </c>
      <c r="H4251" s="23" t="str">
        <f aca="false">IF(A4251="","",IF(D4251="GCIA LINEA SERVICIO DIGITALIDAD Y VENTAS","Chats",IF(OR(D4251="GERENCIA INBOUND LÍNEAS SERVICIO Y VENTA",D4251="GERENCIA INBOUND LINEAS ESPECIALIZADAS"),"Llamadas","Otro")))</f>
        <v/>
      </c>
      <c r="I4251" s="23" t="str">
        <f aca="false">IF(A4251="","",IF(C4251="No encontrado","No","Sí"))</f>
        <v/>
      </c>
      <c r="J4251" s="23" t="str">
        <f aca="false">IF(A4251="","",IF(F4251="Inactivo","No","Sí"))</f>
        <v/>
      </c>
      <c r="K4251" s="23" t="str">
        <f aca="false">IF(A4251="","",IF(AND(I4251="Sí",J4251="Sí"),"Sí","No"))</f>
        <v/>
      </c>
    </row>
    <row r="4252" customFormat="false" ht="15" hidden="false" customHeight="false" outlineLevel="0" collapsed="false">
      <c r="A4252" s="22"/>
      <c r="B4252" s="22"/>
      <c r="C4252" s="26" t="str">
        <f aca="false">IF(A4252="","",IFERROR(buscarx(A4252&amp;B4252,DATA!$E$3:$E$10000&amp;DATA!$B$3:$B$10000,DATA!$M$3:$M$10000),"No encontrado"))</f>
        <v/>
      </c>
      <c r="D4252" s="27" t="str">
        <f aca="false">IF(A4252="","",IFERROR(buscarx(A4252&amp;B4252,DATA!$E$3:$E$10000&amp;DATA!$B$3:$B$10000,DATA!$W$3:$W$10000),"No encontrado"))</f>
        <v/>
      </c>
      <c r="E4252" s="22"/>
      <c r="F4252" s="26" t="str">
        <f aca="false">IF(A4252="","",IFERROR(buscarx(A4252&amp;E4252,DATA!$E$3:$E$10000&amp;DATA!$B$3:$B$10000,DATA!$M$3:$M$10000),"Inactivo"))</f>
        <v/>
      </c>
      <c r="G4252" s="28" t="str">
        <f aca="false">IF(A4252="","",IF(AND(C4252&lt;&gt;"No encontrado",F4252&lt;&gt;"Inactivo"),C4252&amp;" → "&amp;F4252,"Sin transición"))</f>
        <v/>
      </c>
      <c r="H4252" s="26" t="str">
        <f aca="false">IF(A4252="","",IF(D4252="GCIA LINEA SERVICIO DIGITALIDAD Y VENTAS","Chats",IF(OR(D4252="GERENCIA INBOUND LÍNEAS SERVICIO Y VENTA",D4252="GERENCIA INBOUND LINEAS ESPECIALIZADAS"),"Llamadas","Otro")))</f>
        <v/>
      </c>
      <c r="I4252" s="26" t="str">
        <f aca="false">IF(A4252="","",IF(C4252="No encontrado","No","Sí"))</f>
        <v/>
      </c>
      <c r="J4252" s="26" t="str">
        <f aca="false">IF(A4252="","",IF(F4252="Inactivo","No","Sí"))</f>
        <v/>
      </c>
      <c r="K4252" s="26" t="str">
        <f aca="false">IF(A4252="","",IF(AND(I4252="Sí",J4252="Sí"),"Sí","No"))</f>
        <v/>
      </c>
    </row>
    <row r="4253" customFormat="false" ht="15" hidden="false" customHeight="false" outlineLevel="0" collapsed="false">
      <c r="A4253" s="22"/>
      <c r="B4253" s="22"/>
      <c r="C4253" s="23" t="str">
        <f aca="false">IF(A4253="","",IFERROR(buscarx(A4253&amp;B4253,DATA!$E$3:$E$10000&amp;DATA!$B$3:$B$10000,DATA!$M$3:$M$10000),"No encontrado"))</f>
        <v/>
      </c>
      <c r="D4253" s="24" t="str">
        <f aca="false">IF(A4253="","",IFERROR(buscarx(A4253&amp;B4253,DATA!$E$3:$E$10000&amp;DATA!$B$3:$B$10000,DATA!$W$3:$W$10000),"No encontrado"))</f>
        <v/>
      </c>
      <c r="E4253" s="22"/>
      <c r="F4253" s="23" t="str">
        <f aca="false">IF(A4253="","",IFERROR(buscarx(A4253&amp;E4253,DATA!$E$3:$E$10000&amp;DATA!$B$3:$B$10000,DATA!$M$3:$M$10000),"Inactivo"))</f>
        <v/>
      </c>
      <c r="G4253" s="25" t="str">
        <f aca="false">IF(A4253="","",IF(AND(C4253&lt;&gt;"No encontrado",F4253&lt;&gt;"Inactivo"),C4253&amp;" → "&amp;F4253,"Sin transición"))</f>
        <v/>
      </c>
      <c r="H4253" s="23" t="str">
        <f aca="false">IF(A4253="","",IF(D4253="GCIA LINEA SERVICIO DIGITALIDAD Y VENTAS","Chats",IF(OR(D4253="GERENCIA INBOUND LÍNEAS SERVICIO Y VENTA",D4253="GERENCIA INBOUND LINEAS ESPECIALIZADAS"),"Llamadas","Otro")))</f>
        <v/>
      </c>
      <c r="I4253" s="23" t="str">
        <f aca="false">IF(A4253="","",IF(C4253="No encontrado","No","Sí"))</f>
        <v/>
      </c>
      <c r="J4253" s="23" t="str">
        <f aca="false">IF(A4253="","",IF(F4253="Inactivo","No","Sí"))</f>
        <v/>
      </c>
      <c r="K4253" s="23" t="str">
        <f aca="false">IF(A4253="","",IF(AND(I4253="Sí",J4253="Sí"),"Sí","No"))</f>
        <v/>
      </c>
    </row>
    <row r="4254" customFormat="false" ht="15" hidden="false" customHeight="false" outlineLevel="0" collapsed="false">
      <c r="A4254" s="22"/>
      <c r="B4254" s="22"/>
      <c r="C4254" s="26" t="str">
        <f aca="false">IF(A4254="","",IFERROR(buscarx(A4254&amp;B4254,DATA!$E$3:$E$10000&amp;DATA!$B$3:$B$10000,DATA!$M$3:$M$10000),"No encontrado"))</f>
        <v/>
      </c>
      <c r="D4254" s="27" t="str">
        <f aca="false">IF(A4254="","",IFERROR(buscarx(A4254&amp;B4254,DATA!$E$3:$E$10000&amp;DATA!$B$3:$B$10000,DATA!$W$3:$W$10000),"No encontrado"))</f>
        <v/>
      </c>
      <c r="E4254" s="22"/>
      <c r="F4254" s="26" t="str">
        <f aca="false">IF(A4254="","",IFERROR(buscarx(A4254&amp;E4254,DATA!$E$3:$E$10000&amp;DATA!$B$3:$B$10000,DATA!$M$3:$M$10000),"Inactivo"))</f>
        <v/>
      </c>
      <c r="G4254" s="28" t="str">
        <f aca="false">IF(A4254="","",IF(AND(C4254&lt;&gt;"No encontrado",F4254&lt;&gt;"Inactivo"),C4254&amp;" → "&amp;F4254,"Sin transición"))</f>
        <v/>
      </c>
      <c r="H4254" s="26" t="str">
        <f aca="false">IF(A4254="","",IF(D4254="GCIA LINEA SERVICIO DIGITALIDAD Y VENTAS","Chats",IF(OR(D4254="GERENCIA INBOUND LÍNEAS SERVICIO Y VENTA",D4254="GERENCIA INBOUND LINEAS ESPECIALIZADAS"),"Llamadas","Otro")))</f>
        <v/>
      </c>
      <c r="I4254" s="26" t="str">
        <f aca="false">IF(A4254="","",IF(C4254="No encontrado","No","Sí"))</f>
        <v/>
      </c>
      <c r="J4254" s="26" t="str">
        <f aca="false">IF(A4254="","",IF(F4254="Inactivo","No","Sí"))</f>
        <v/>
      </c>
      <c r="K4254" s="26" t="str">
        <f aca="false">IF(A4254="","",IF(AND(I4254="Sí",J4254="Sí"),"Sí","No"))</f>
        <v/>
      </c>
    </row>
    <row r="4255" customFormat="false" ht="15" hidden="false" customHeight="false" outlineLevel="0" collapsed="false">
      <c r="A4255" s="22"/>
      <c r="B4255" s="22"/>
      <c r="C4255" s="23" t="str">
        <f aca="false">IF(A4255="","",IFERROR(buscarx(A4255&amp;B4255,DATA!$E$3:$E$10000&amp;DATA!$B$3:$B$10000,DATA!$M$3:$M$10000),"No encontrado"))</f>
        <v/>
      </c>
      <c r="D4255" s="24" t="str">
        <f aca="false">IF(A4255="","",IFERROR(buscarx(A4255&amp;B4255,DATA!$E$3:$E$10000&amp;DATA!$B$3:$B$10000,DATA!$W$3:$W$10000),"No encontrado"))</f>
        <v/>
      </c>
      <c r="E4255" s="22"/>
      <c r="F4255" s="23" t="str">
        <f aca="false">IF(A4255="","",IFERROR(buscarx(A4255&amp;E4255,DATA!$E$3:$E$10000&amp;DATA!$B$3:$B$10000,DATA!$M$3:$M$10000),"Inactivo"))</f>
        <v/>
      </c>
      <c r="G4255" s="25" t="str">
        <f aca="false">IF(A4255="","",IF(AND(C4255&lt;&gt;"No encontrado",F4255&lt;&gt;"Inactivo"),C4255&amp;" → "&amp;F4255,"Sin transición"))</f>
        <v/>
      </c>
      <c r="H4255" s="23" t="str">
        <f aca="false">IF(A4255="","",IF(D4255="GCIA LINEA SERVICIO DIGITALIDAD Y VENTAS","Chats",IF(OR(D4255="GERENCIA INBOUND LÍNEAS SERVICIO Y VENTA",D4255="GERENCIA INBOUND LINEAS ESPECIALIZADAS"),"Llamadas","Otro")))</f>
        <v/>
      </c>
      <c r="I4255" s="23" t="str">
        <f aca="false">IF(A4255="","",IF(C4255="No encontrado","No","Sí"))</f>
        <v/>
      </c>
      <c r="J4255" s="23" t="str">
        <f aca="false">IF(A4255="","",IF(F4255="Inactivo","No","Sí"))</f>
        <v/>
      </c>
      <c r="K4255" s="23" t="str">
        <f aca="false">IF(A4255="","",IF(AND(I4255="Sí",J4255="Sí"),"Sí","No"))</f>
        <v/>
      </c>
    </row>
    <row r="4256" customFormat="false" ht="15" hidden="false" customHeight="false" outlineLevel="0" collapsed="false">
      <c r="A4256" s="22"/>
      <c r="B4256" s="22"/>
      <c r="C4256" s="26" t="str">
        <f aca="false">IF(A4256="","",IFERROR(buscarx(A4256&amp;B4256,DATA!$E$3:$E$10000&amp;DATA!$B$3:$B$10000,DATA!$M$3:$M$10000),"No encontrado"))</f>
        <v/>
      </c>
      <c r="D4256" s="27" t="str">
        <f aca="false">IF(A4256="","",IFERROR(buscarx(A4256&amp;B4256,DATA!$E$3:$E$10000&amp;DATA!$B$3:$B$10000,DATA!$W$3:$W$10000),"No encontrado"))</f>
        <v/>
      </c>
      <c r="E4256" s="22"/>
      <c r="F4256" s="26" t="str">
        <f aca="false">IF(A4256="","",IFERROR(buscarx(A4256&amp;E4256,DATA!$E$3:$E$10000&amp;DATA!$B$3:$B$10000,DATA!$M$3:$M$10000),"Inactivo"))</f>
        <v/>
      </c>
      <c r="G4256" s="28" t="str">
        <f aca="false">IF(A4256="","",IF(AND(C4256&lt;&gt;"No encontrado",F4256&lt;&gt;"Inactivo"),C4256&amp;" → "&amp;F4256,"Sin transición"))</f>
        <v/>
      </c>
      <c r="H4256" s="26" t="str">
        <f aca="false">IF(A4256="","",IF(D4256="GCIA LINEA SERVICIO DIGITALIDAD Y VENTAS","Chats",IF(OR(D4256="GERENCIA INBOUND LÍNEAS SERVICIO Y VENTA",D4256="GERENCIA INBOUND LINEAS ESPECIALIZADAS"),"Llamadas","Otro")))</f>
        <v/>
      </c>
      <c r="I4256" s="26" t="str">
        <f aca="false">IF(A4256="","",IF(C4256="No encontrado","No","Sí"))</f>
        <v/>
      </c>
      <c r="J4256" s="26" t="str">
        <f aca="false">IF(A4256="","",IF(F4256="Inactivo","No","Sí"))</f>
        <v/>
      </c>
      <c r="K4256" s="26" t="str">
        <f aca="false">IF(A4256="","",IF(AND(I4256="Sí",J4256="Sí"),"Sí","No"))</f>
        <v/>
      </c>
    </row>
    <row r="4257" customFormat="false" ht="15" hidden="false" customHeight="false" outlineLevel="0" collapsed="false">
      <c r="A4257" s="22"/>
      <c r="B4257" s="22"/>
      <c r="C4257" s="23" t="str">
        <f aca="false">IF(A4257="","",IFERROR(buscarx(A4257&amp;B4257,DATA!$E$3:$E$10000&amp;DATA!$B$3:$B$10000,DATA!$M$3:$M$10000),"No encontrado"))</f>
        <v/>
      </c>
      <c r="D4257" s="24" t="str">
        <f aca="false">IF(A4257="","",IFERROR(buscarx(A4257&amp;B4257,DATA!$E$3:$E$10000&amp;DATA!$B$3:$B$10000,DATA!$W$3:$W$10000),"No encontrado"))</f>
        <v/>
      </c>
      <c r="E4257" s="22"/>
      <c r="F4257" s="23" t="str">
        <f aca="false">IF(A4257="","",IFERROR(buscarx(A4257&amp;E4257,DATA!$E$3:$E$10000&amp;DATA!$B$3:$B$10000,DATA!$M$3:$M$10000),"Inactivo"))</f>
        <v/>
      </c>
      <c r="G4257" s="25" t="str">
        <f aca="false">IF(A4257="","",IF(AND(C4257&lt;&gt;"No encontrado",F4257&lt;&gt;"Inactivo"),C4257&amp;" → "&amp;F4257,"Sin transición"))</f>
        <v/>
      </c>
      <c r="H4257" s="23" t="str">
        <f aca="false">IF(A4257="","",IF(D4257="GCIA LINEA SERVICIO DIGITALIDAD Y VENTAS","Chats",IF(OR(D4257="GERENCIA INBOUND LÍNEAS SERVICIO Y VENTA",D4257="GERENCIA INBOUND LINEAS ESPECIALIZADAS"),"Llamadas","Otro")))</f>
        <v/>
      </c>
      <c r="I4257" s="23" t="str">
        <f aca="false">IF(A4257="","",IF(C4257="No encontrado","No","Sí"))</f>
        <v/>
      </c>
      <c r="J4257" s="23" t="str">
        <f aca="false">IF(A4257="","",IF(F4257="Inactivo","No","Sí"))</f>
        <v/>
      </c>
      <c r="K4257" s="23" t="str">
        <f aca="false">IF(A4257="","",IF(AND(I4257="Sí",J4257="Sí"),"Sí","No"))</f>
        <v/>
      </c>
    </row>
    <row r="4258" customFormat="false" ht="15" hidden="false" customHeight="false" outlineLevel="0" collapsed="false">
      <c r="A4258" s="22"/>
      <c r="B4258" s="22"/>
      <c r="C4258" s="26" t="str">
        <f aca="false">IF(A4258="","",IFERROR(buscarx(A4258&amp;B4258,DATA!$E$3:$E$10000&amp;DATA!$B$3:$B$10000,DATA!$M$3:$M$10000),"No encontrado"))</f>
        <v/>
      </c>
      <c r="D4258" s="27" t="str">
        <f aca="false">IF(A4258="","",IFERROR(buscarx(A4258&amp;B4258,DATA!$E$3:$E$10000&amp;DATA!$B$3:$B$10000,DATA!$W$3:$W$10000),"No encontrado"))</f>
        <v/>
      </c>
      <c r="E4258" s="22"/>
      <c r="F4258" s="26" t="str">
        <f aca="false">IF(A4258="","",IFERROR(buscarx(A4258&amp;E4258,DATA!$E$3:$E$10000&amp;DATA!$B$3:$B$10000,DATA!$M$3:$M$10000),"Inactivo"))</f>
        <v/>
      </c>
      <c r="G4258" s="28" t="str">
        <f aca="false">IF(A4258="","",IF(AND(C4258&lt;&gt;"No encontrado",F4258&lt;&gt;"Inactivo"),C4258&amp;" → "&amp;F4258,"Sin transición"))</f>
        <v/>
      </c>
      <c r="H4258" s="26" t="str">
        <f aca="false">IF(A4258="","",IF(D4258="GCIA LINEA SERVICIO DIGITALIDAD Y VENTAS","Chats",IF(OR(D4258="GERENCIA INBOUND LÍNEAS SERVICIO Y VENTA",D4258="GERENCIA INBOUND LINEAS ESPECIALIZADAS"),"Llamadas","Otro")))</f>
        <v/>
      </c>
      <c r="I4258" s="26" t="str">
        <f aca="false">IF(A4258="","",IF(C4258="No encontrado","No","Sí"))</f>
        <v/>
      </c>
      <c r="J4258" s="26" t="str">
        <f aca="false">IF(A4258="","",IF(F4258="Inactivo","No","Sí"))</f>
        <v/>
      </c>
      <c r="K4258" s="26" t="str">
        <f aca="false">IF(A4258="","",IF(AND(I4258="Sí",J4258="Sí"),"Sí","No"))</f>
        <v/>
      </c>
    </row>
    <row r="4259" customFormat="false" ht="15" hidden="false" customHeight="false" outlineLevel="0" collapsed="false">
      <c r="A4259" s="22"/>
      <c r="B4259" s="22"/>
      <c r="C4259" s="23" t="str">
        <f aca="false">IF(A4259="","",IFERROR(buscarx(A4259&amp;B4259,DATA!$E$3:$E$10000&amp;DATA!$B$3:$B$10000,DATA!$M$3:$M$10000),"No encontrado"))</f>
        <v/>
      </c>
      <c r="D4259" s="24" t="str">
        <f aca="false">IF(A4259="","",IFERROR(buscarx(A4259&amp;B4259,DATA!$E$3:$E$10000&amp;DATA!$B$3:$B$10000,DATA!$W$3:$W$10000),"No encontrado"))</f>
        <v/>
      </c>
      <c r="E4259" s="22"/>
      <c r="F4259" s="23" t="str">
        <f aca="false">IF(A4259="","",IFERROR(buscarx(A4259&amp;E4259,DATA!$E$3:$E$10000&amp;DATA!$B$3:$B$10000,DATA!$M$3:$M$10000),"Inactivo"))</f>
        <v/>
      </c>
      <c r="G4259" s="25" t="str">
        <f aca="false">IF(A4259="","",IF(AND(C4259&lt;&gt;"No encontrado",F4259&lt;&gt;"Inactivo"),C4259&amp;" → "&amp;F4259,"Sin transición"))</f>
        <v/>
      </c>
      <c r="H4259" s="23" t="str">
        <f aca="false">IF(A4259="","",IF(D4259="GCIA LINEA SERVICIO DIGITALIDAD Y VENTAS","Chats",IF(OR(D4259="GERENCIA INBOUND LÍNEAS SERVICIO Y VENTA",D4259="GERENCIA INBOUND LINEAS ESPECIALIZADAS"),"Llamadas","Otro")))</f>
        <v/>
      </c>
      <c r="I4259" s="23" t="str">
        <f aca="false">IF(A4259="","",IF(C4259="No encontrado","No","Sí"))</f>
        <v/>
      </c>
      <c r="J4259" s="23" t="str">
        <f aca="false">IF(A4259="","",IF(F4259="Inactivo","No","Sí"))</f>
        <v/>
      </c>
      <c r="K4259" s="23" t="str">
        <f aca="false">IF(A4259="","",IF(AND(I4259="Sí",J4259="Sí"),"Sí","No"))</f>
        <v/>
      </c>
    </row>
    <row r="4260" customFormat="false" ht="15" hidden="false" customHeight="false" outlineLevel="0" collapsed="false">
      <c r="A4260" s="22"/>
      <c r="B4260" s="22"/>
      <c r="C4260" s="26" t="str">
        <f aca="false">IF(A4260="","",IFERROR(buscarx(A4260&amp;B4260,DATA!$E$3:$E$10000&amp;DATA!$B$3:$B$10000,DATA!$M$3:$M$10000),"No encontrado"))</f>
        <v/>
      </c>
      <c r="D4260" s="27" t="str">
        <f aca="false">IF(A4260="","",IFERROR(buscarx(A4260&amp;B4260,DATA!$E$3:$E$10000&amp;DATA!$B$3:$B$10000,DATA!$W$3:$W$10000),"No encontrado"))</f>
        <v/>
      </c>
      <c r="E4260" s="22"/>
      <c r="F4260" s="26" t="str">
        <f aca="false">IF(A4260="","",IFERROR(buscarx(A4260&amp;E4260,DATA!$E$3:$E$10000&amp;DATA!$B$3:$B$10000,DATA!$M$3:$M$10000),"Inactivo"))</f>
        <v/>
      </c>
      <c r="G4260" s="28" t="str">
        <f aca="false">IF(A4260="","",IF(AND(C4260&lt;&gt;"No encontrado",F4260&lt;&gt;"Inactivo"),C4260&amp;" → "&amp;F4260,"Sin transición"))</f>
        <v/>
      </c>
      <c r="H4260" s="26" t="str">
        <f aca="false">IF(A4260="","",IF(D4260="GCIA LINEA SERVICIO DIGITALIDAD Y VENTAS","Chats",IF(OR(D4260="GERENCIA INBOUND LÍNEAS SERVICIO Y VENTA",D4260="GERENCIA INBOUND LINEAS ESPECIALIZADAS"),"Llamadas","Otro")))</f>
        <v/>
      </c>
      <c r="I4260" s="26" t="str">
        <f aca="false">IF(A4260="","",IF(C4260="No encontrado","No","Sí"))</f>
        <v/>
      </c>
      <c r="J4260" s="26" t="str">
        <f aca="false">IF(A4260="","",IF(F4260="Inactivo","No","Sí"))</f>
        <v/>
      </c>
      <c r="K4260" s="26" t="str">
        <f aca="false">IF(A4260="","",IF(AND(I4260="Sí",J4260="Sí"),"Sí","No"))</f>
        <v/>
      </c>
    </row>
    <row r="4261" customFormat="false" ht="15" hidden="false" customHeight="false" outlineLevel="0" collapsed="false">
      <c r="A4261" s="22"/>
      <c r="B4261" s="22"/>
      <c r="C4261" s="23" t="str">
        <f aca="false">IF(A4261="","",IFERROR(buscarx(A4261&amp;B4261,DATA!$E$3:$E$10000&amp;DATA!$B$3:$B$10000,DATA!$M$3:$M$10000),"No encontrado"))</f>
        <v/>
      </c>
      <c r="D4261" s="24" t="str">
        <f aca="false">IF(A4261="","",IFERROR(buscarx(A4261&amp;B4261,DATA!$E$3:$E$10000&amp;DATA!$B$3:$B$10000,DATA!$W$3:$W$10000),"No encontrado"))</f>
        <v/>
      </c>
      <c r="E4261" s="22"/>
      <c r="F4261" s="23" t="str">
        <f aca="false">IF(A4261="","",IFERROR(buscarx(A4261&amp;E4261,DATA!$E$3:$E$10000&amp;DATA!$B$3:$B$10000,DATA!$M$3:$M$10000),"Inactivo"))</f>
        <v/>
      </c>
      <c r="G4261" s="25" t="str">
        <f aca="false">IF(A4261="","",IF(AND(C4261&lt;&gt;"No encontrado",F4261&lt;&gt;"Inactivo"),C4261&amp;" → "&amp;F4261,"Sin transición"))</f>
        <v/>
      </c>
      <c r="H4261" s="23" t="str">
        <f aca="false">IF(A4261="","",IF(D4261="GCIA LINEA SERVICIO DIGITALIDAD Y VENTAS","Chats",IF(OR(D4261="GERENCIA INBOUND LÍNEAS SERVICIO Y VENTA",D4261="GERENCIA INBOUND LINEAS ESPECIALIZADAS"),"Llamadas","Otro")))</f>
        <v/>
      </c>
      <c r="I4261" s="23" t="str">
        <f aca="false">IF(A4261="","",IF(C4261="No encontrado","No","Sí"))</f>
        <v/>
      </c>
      <c r="J4261" s="23" t="str">
        <f aca="false">IF(A4261="","",IF(F4261="Inactivo","No","Sí"))</f>
        <v/>
      </c>
      <c r="K4261" s="23" t="str">
        <f aca="false">IF(A4261="","",IF(AND(I4261="Sí",J4261="Sí"),"Sí","No"))</f>
        <v/>
      </c>
    </row>
    <row r="4262" customFormat="false" ht="15" hidden="false" customHeight="false" outlineLevel="0" collapsed="false">
      <c r="A4262" s="22"/>
      <c r="B4262" s="22"/>
      <c r="C4262" s="26" t="str">
        <f aca="false">IF(A4262="","",IFERROR(buscarx(A4262&amp;B4262,DATA!$E$3:$E$10000&amp;DATA!$B$3:$B$10000,DATA!$M$3:$M$10000),"No encontrado"))</f>
        <v/>
      </c>
      <c r="D4262" s="27" t="str">
        <f aca="false">IF(A4262="","",IFERROR(buscarx(A4262&amp;B4262,DATA!$E$3:$E$10000&amp;DATA!$B$3:$B$10000,DATA!$W$3:$W$10000),"No encontrado"))</f>
        <v/>
      </c>
      <c r="E4262" s="22"/>
      <c r="F4262" s="26" t="str">
        <f aca="false">IF(A4262="","",IFERROR(buscarx(A4262&amp;E4262,DATA!$E$3:$E$10000&amp;DATA!$B$3:$B$10000,DATA!$M$3:$M$10000),"Inactivo"))</f>
        <v/>
      </c>
      <c r="G4262" s="28" t="str">
        <f aca="false">IF(A4262="","",IF(AND(C4262&lt;&gt;"No encontrado",F4262&lt;&gt;"Inactivo"),C4262&amp;" → "&amp;F4262,"Sin transición"))</f>
        <v/>
      </c>
      <c r="H4262" s="26" t="str">
        <f aca="false">IF(A4262="","",IF(D4262="GCIA LINEA SERVICIO DIGITALIDAD Y VENTAS","Chats",IF(OR(D4262="GERENCIA INBOUND LÍNEAS SERVICIO Y VENTA",D4262="GERENCIA INBOUND LINEAS ESPECIALIZADAS"),"Llamadas","Otro")))</f>
        <v/>
      </c>
      <c r="I4262" s="26" t="str">
        <f aca="false">IF(A4262="","",IF(C4262="No encontrado","No","Sí"))</f>
        <v/>
      </c>
      <c r="J4262" s="26" t="str">
        <f aca="false">IF(A4262="","",IF(F4262="Inactivo","No","Sí"))</f>
        <v/>
      </c>
      <c r="K4262" s="26" t="str">
        <f aca="false">IF(A4262="","",IF(AND(I4262="Sí",J4262="Sí"),"Sí","No"))</f>
        <v/>
      </c>
    </row>
    <row r="4263" customFormat="false" ht="15" hidden="false" customHeight="false" outlineLevel="0" collapsed="false">
      <c r="A4263" s="22"/>
      <c r="B4263" s="22"/>
      <c r="C4263" s="23" t="str">
        <f aca="false">IF(A4263="","",IFERROR(buscarx(A4263&amp;B4263,DATA!$E$3:$E$10000&amp;DATA!$B$3:$B$10000,DATA!$M$3:$M$10000),"No encontrado"))</f>
        <v/>
      </c>
      <c r="D4263" s="24" t="str">
        <f aca="false">IF(A4263="","",IFERROR(buscarx(A4263&amp;B4263,DATA!$E$3:$E$10000&amp;DATA!$B$3:$B$10000,DATA!$W$3:$W$10000),"No encontrado"))</f>
        <v/>
      </c>
      <c r="E4263" s="22"/>
      <c r="F4263" s="23" t="str">
        <f aca="false">IF(A4263="","",IFERROR(buscarx(A4263&amp;E4263,DATA!$E$3:$E$10000&amp;DATA!$B$3:$B$10000,DATA!$M$3:$M$10000),"Inactivo"))</f>
        <v/>
      </c>
      <c r="G4263" s="25" t="str">
        <f aca="false">IF(A4263="","",IF(AND(C4263&lt;&gt;"No encontrado",F4263&lt;&gt;"Inactivo"),C4263&amp;" → "&amp;F4263,"Sin transición"))</f>
        <v/>
      </c>
      <c r="H4263" s="23" t="str">
        <f aca="false">IF(A4263="","",IF(D4263="GCIA LINEA SERVICIO DIGITALIDAD Y VENTAS","Chats",IF(OR(D4263="GERENCIA INBOUND LÍNEAS SERVICIO Y VENTA",D4263="GERENCIA INBOUND LINEAS ESPECIALIZADAS"),"Llamadas","Otro")))</f>
        <v/>
      </c>
      <c r="I4263" s="23" t="str">
        <f aca="false">IF(A4263="","",IF(C4263="No encontrado","No","Sí"))</f>
        <v/>
      </c>
      <c r="J4263" s="23" t="str">
        <f aca="false">IF(A4263="","",IF(F4263="Inactivo","No","Sí"))</f>
        <v/>
      </c>
      <c r="K4263" s="23" t="str">
        <f aca="false">IF(A4263="","",IF(AND(I4263="Sí",J4263="Sí"),"Sí","No"))</f>
        <v/>
      </c>
    </row>
    <row r="4264" customFormat="false" ht="15" hidden="false" customHeight="false" outlineLevel="0" collapsed="false">
      <c r="A4264" s="22"/>
      <c r="B4264" s="22"/>
      <c r="C4264" s="26" t="str">
        <f aca="false">IF(A4264="","",IFERROR(buscarx(A4264&amp;B4264,DATA!$E$3:$E$10000&amp;DATA!$B$3:$B$10000,DATA!$M$3:$M$10000),"No encontrado"))</f>
        <v/>
      </c>
      <c r="D4264" s="27" t="str">
        <f aca="false">IF(A4264="","",IFERROR(buscarx(A4264&amp;B4264,DATA!$E$3:$E$10000&amp;DATA!$B$3:$B$10000,DATA!$W$3:$W$10000),"No encontrado"))</f>
        <v/>
      </c>
      <c r="E4264" s="22"/>
      <c r="F4264" s="26" t="str">
        <f aca="false">IF(A4264="","",IFERROR(buscarx(A4264&amp;E4264,DATA!$E$3:$E$10000&amp;DATA!$B$3:$B$10000,DATA!$M$3:$M$10000),"Inactivo"))</f>
        <v/>
      </c>
      <c r="G4264" s="28" t="str">
        <f aca="false">IF(A4264="","",IF(AND(C4264&lt;&gt;"No encontrado",F4264&lt;&gt;"Inactivo"),C4264&amp;" → "&amp;F4264,"Sin transición"))</f>
        <v/>
      </c>
      <c r="H4264" s="26" t="str">
        <f aca="false">IF(A4264="","",IF(D4264="GCIA LINEA SERVICIO DIGITALIDAD Y VENTAS","Chats",IF(OR(D4264="GERENCIA INBOUND LÍNEAS SERVICIO Y VENTA",D4264="GERENCIA INBOUND LINEAS ESPECIALIZADAS"),"Llamadas","Otro")))</f>
        <v/>
      </c>
      <c r="I4264" s="26" t="str">
        <f aca="false">IF(A4264="","",IF(C4264="No encontrado","No","Sí"))</f>
        <v/>
      </c>
      <c r="J4264" s="26" t="str">
        <f aca="false">IF(A4264="","",IF(F4264="Inactivo","No","Sí"))</f>
        <v/>
      </c>
      <c r="K4264" s="26" t="str">
        <f aca="false">IF(A4264="","",IF(AND(I4264="Sí",J4264="Sí"),"Sí","No"))</f>
        <v/>
      </c>
    </row>
    <row r="4265" customFormat="false" ht="15" hidden="false" customHeight="false" outlineLevel="0" collapsed="false">
      <c r="A4265" s="22"/>
      <c r="B4265" s="22"/>
      <c r="C4265" s="23" t="str">
        <f aca="false">IF(A4265="","",IFERROR(buscarx(A4265&amp;B4265,DATA!$E$3:$E$10000&amp;DATA!$B$3:$B$10000,DATA!$M$3:$M$10000),"No encontrado"))</f>
        <v/>
      </c>
      <c r="D4265" s="24" t="str">
        <f aca="false">IF(A4265="","",IFERROR(buscarx(A4265&amp;B4265,DATA!$E$3:$E$10000&amp;DATA!$B$3:$B$10000,DATA!$W$3:$W$10000),"No encontrado"))</f>
        <v/>
      </c>
      <c r="E4265" s="22"/>
      <c r="F4265" s="23" t="str">
        <f aca="false">IF(A4265="","",IFERROR(buscarx(A4265&amp;E4265,DATA!$E$3:$E$10000&amp;DATA!$B$3:$B$10000,DATA!$M$3:$M$10000),"Inactivo"))</f>
        <v/>
      </c>
      <c r="G4265" s="25" t="str">
        <f aca="false">IF(A4265="","",IF(AND(C4265&lt;&gt;"No encontrado",F4265&lt;&gt;"Inactivo"),C4265&amp;" → "&amp;F4265,"Sin transición"))</f>
        <v/>
      </c>
      <c r="H4265" s="23" t="str">
        <f aca="false">IF(A4265="","",IF(D4265="GCIA LINEA SERVICIO DIGITALIDAD Y VENTAS","Chats",IF(OR(D4265="GERENCIA INBOUND LÍNEAS SERVICIO Y VENTA",D4265="GERENCIA INBOUND LINEAS ESPECIALIZADAS"),"Llamadas","Otro")))</f>
        <v/>
      </c>
      <c r="I4265" s="23" t="str">
        <f aca="false">IF(A4265="","",IF(C4265="No encontrado","No","Sí"))</f>
        <v/>
      </c>
      <c r="J4265" s="23" t="str">
        <f aca="false">IF(A4265="","",IF(F4265="Inactivo","No","Sí"))</f>
        <v/>
      </c>
      <c r="K4265" s="23" t="str">
        <f aca="false">IF(A4265="","",IF(AND(I4265="Sí",J4265="Sí"),"Sí","No"))</f>
        <v/>
      </c>
    </row>
    <row r="4266" customFormat="false" ht="15" hidden="false" customHeight="false" outlineLevel="0" collapsed="false">
      <c r="A4266" s="22"/>
      <c r="B4266" s="22"/>
      <c r="C4266" s="26" t="str">
        <f aca="false">IF(A4266="","",IFERROR(buscarx(A4266&amp;B4266,DATA!$E$3:$E$10000&amp;DATA!$B$3:$B$10000,DATA!$M$3:$M$10000),"No encontrado"))</f>
        <v/>
      </c>
      <c r="D4266" s="27" t="str">
        <f aca="false">IF(A4266="","",IFERROR(buscarx(A4266&amp;B4266,DATA!$E$3:$E$10000&amp;DATA!$B$3:$B$10000,DATA!$W$3:$W$10000),"No encontrado"))</f>
        <v/>
      </c>
      <c r="E4266" s="22"/>
      <c r="F4266" s="26" t="str">
        <f aca="false">IF(A4266="","",IFERROR(buscarx(A4266&amp;E4266,DATA!$E$3:$E$10000&amp;DATA!$B$3:$B$10000,DATA!$M$3:$M$10000),"Inactivo"))</f>
        <v/>
      </c>
      <c r="G4266" s="28" t="str">
        <f aca="false">IF(A4266="","",IF(AND(C4266&lt;&gt;"No encontrado",F4266&lt;&gt;"Inactivo"),C4266&amp;" → "&amp;F4266,"Sin transición"))</f>
        <v/>
      </c>
      <c r="H4266" s="26" t="str">
        <f aca="false">IF(A4266="","",IF(D4266="GCIA LINEA SERVICIO DIGITALIDAD Y VENTAS","Chats",IF(OR(D4266="GERENCIA INBOUND LÍNEAS SERVICIO Y VENTA",D4266="GERENCIA INBOUND LINEAS ESPECIALIZADAS"),"Llamadas","Otro")))</f>
        <v/>
      </c>
      <c r="I4266" s="26" t="str">
        <f aca="false">IF(A4266="","",IF(C4266="No encontrado","No","Sí"))</f>
        <v/>
      </c>
      <c r="J4266" s="26" t="str">
        <f aca="false">IF(A4266="","",IF(F4266="Inactivo","No","Sí"))</f>
        <v/>
      </c>
      <c r="K4266" s="26" t="str">
        <f aca="false">IF(A4266="","",IF(AND(I4266="Sí",J4266="Sí"),"Sí","No"))</f>
        <v/>
      </c>
    </row>
    <row r="4267" customFormat="false" ht="15" hidden="false" customHeight="false" outlineLevel="0" collapsed="false">
      <c r="A4267" s="22"/>
      <c r="B4267" s="22"/>
      <c r="C4267" s="23" t="str">
        <f aca="false">IF(A4267="","",IFERROR(buscarx(A4267&amp;B4267,DATA!$E$3:$E$10000&amp;DATA!$B$3:$B$10000,DATA!$M$3:$M$10000),"No encontrado"))</f>
        <v/>
      </c>
      <c r="D4267" s="24" t="str">
        <f aca="false">IF(A4267="","",IFERROR(buscarx(A4267&amp;B4267,DATA!$E$3:$E$10000&amp;DATA!$B$3:$B$10000,DATA!$W$3:$W$10000),"No encontrado"))</f>
        <v/>
      </c>
      <c r="E4267" s="22"/>
      <c r="F4267" s="23" t="str">
        <f aca="false">IF(A4267="","",IFERROR(buscarx(A4267&amp;E4267,DATA!$E$3:$E$10000&amp;DATA!$B$3:$B$10000,DATA!$M$3:$M$10000),"Inactivo"))</f>
        <v/>
      </c>
      <c r="G4267" s="25" t="str">
        <f aca="false">IF(A4267="","",IF(AND(C4267&lt;&gt;"No encontrado",F4267&lt;&gt;"Inactivo"),C4267&amp;" → "&amp;F4267,"Sin transición"))</f>
        <v/>
      </c>
      <c r="H4267" s="23" t="str">
        <f aca="false">IF(A4267="","",IF(D4267="GCIA LINEA SERVICIO DIGITALIDAD Y VENTAS","Chats",IF(OR(D4267="GERENCIA INBOUND LÍNEAS SERVICIO Y VENTA",D4267="GERENCIA INBOUND LINEAS ESPECIALIZADAS"),"Llamadas","Otro")))</f>
        <v/>
      </c>
      <c r="I4267" s="23" t="str">
        <f aca="false">IF(A4267="","",IF(C4267="No encontrado","No","Sí"))</f>
        <v/>
      </c>
      <c r="J4267" s="23" t="str">
        <f aca="false">IF(A4267="","",IF(F4267="Inactivo","No","Sí"))</f>
        <v/>
      </c>
      <c r="K4267" s="23" t="str">
        <f aca="false">IF(A4267="","",IF(AND(I4267="Sí",J4267="Sí"),"Sí","No"))</f>
        <v/>
      </c>
    </row>
    <row r="4268" customFormat="false" ht="15" hidden="false" customHeight="false" outlineLevel="0" collapsed="false">
      <c r="A4268" s="22"/>
      <c r="B4268" s="22"/>
      <c r="C4268" s="26" t="str">
        <f aca="false">IF(A4268="","",IFERROR(buscarx(A4268&amp;B4268,DATA!$E$3:$E$10000&amp;DATA!$B$3:$B$10000,DATA!$M$3:$M$10000),"No encontrado"))</f>
        <v/>
      </c>
      <c r="D4268" s="27" t="str">
        <f aca="false">IF(A4268="","",IFERROR(buscarx(A4268&amp;B4268,DATA!$E$3:$E$10000&amp;DATA!$B$3:$B$10000,DATA!$W$3:$W$10000),"No encontrado"))</f>
        <v/>
      </c>
      <c r="E4268" s="22"/>
      <c r="F4268" s="26" t="str">
        <f aca="false">IF(A4268="","",IFERROR(buscarx(A4268&amp;E4268,DATA!$E$3:$E$10000&amp;DATA!$B$3:$B$10000,DATA!$M$3:$M$10000),"Inactivo"))</f>
        <v/>
      </c>
      <c r="G4268" s="28" t="str">
        <f aca="false">IF(A4268="","",IF(AND(C4268&lt;&gt;"No encontrado",F4268&lt;&gt;"Inactivo"),C4268&amp;" → "&amp;F4268,"Sin transición"))</f>
        <v/>
      </c>
      <c r="H4268" s="26" t="str">
        <f aca="false">IF(A4268="","",IF(D4268="GCIA LINEA SERVICIO DIGITALIDAD Y VENTAS","Chats",IF(OR(D4268="GERENCIA INBOUND LÍNEAS SERVICIO Y VENTA",D4268="GERENCIA INBOUND LINEAS ESPECIALIZADAS"),"Llamadas","Otro")))</f>
        <v/>
      </c>
      <c r="I4268" s="26" t="str">
        <f aca="false">IF(A4268="","",IF(C4268="No encontrado","No","Sí"))</f>
        <v/>
      </c>
      <c r="J4268" s="26" t="str">
        <f aca="false">IF(A4268="","",IF(F4268="Inactivo","No","Sí"))</f>
        <v/>
      </c>
      <c r="K4268" s="26" t="str">
        <f aca="false">IF(A4268="","",IF(AND(I4268="Sí",J4268="Sí"),"Sí","No"))</f>
        <v/>
      </c>
    </row>
    <row r="4269" customFormat="false" ht="15" hidden="false" customHeight="false" outlineLevel="0" collapsed="false">
      <c r="A4269" s="22"/>
      <c r="B4269" s="22"/>
      <c r="C4269" s="23" t="str">
        <f aca="false">IF(A4269="","",IFERROR(buscarx(A4269&amp;B4269,DATA!$E$3:$E$10000&amp;DATA!$B$3:$B$10000,DATA!$M$3:$M$10000),"No encontrado"))</f>
        <v/>
      </c>
      <c r="D4269" s="24" t="str">
        <f aca="false">IF(A4269="","",IFERROR(buscarx(A4269&amp;B4269,DATA!$E$3:$E$10000&amp;DATA!$B$3:$B$10000,DATA!$W$3:$W$10000),"No encontrado"))</f>
        <v/>
      </c>
      <c r="E4269" s="22"/>
      <c r="F4269" s="23" t="str">
        <f aca="false">IF(A4269="","",IFERROR(buscarx(A4269&amp;E4269,DATA!$E$3:$E$10000&amp;DATA!$B$3:$B$10000,DATA!$M$3:$M$10000),"Inactivo"))</f>
        <v/>
      </c>
      <c r="G4269" s="25" t="str">
        <f aca="false">IF(A4269="","",IF(AND(C4269&lt;&gt;"No encontrado",F4269&lt;&gt;"Inactivo"),C4269&amp;" → "&amp;F4269,"Sin transición"))</f>
        <v/>
      </c>
      <c r="H4269" s="23" t="str">
        <f aca="false">IF(A4269="","",IF(D4269="GCIA LINEA SERVICIO DIGITALIDAD Y VENTAS","Chats",IF(OR(D4269="GERENCIA INBOUND LÍNEAS SERVICIO Y VENTA",D4269="GERENCIA INBOUND LINEAS ESPECIALIZADAS"),"Llamadas","Otro")))</f>
        <v/>
      </c>
      <c r="I4269" s="23" t="str">
        <f aca="false">IF(A4269="","",IF(C4269="No encontrado","No","Sí"))</f>
        <v/>
      </c>
      <c r="J4269" s="23" t="str">
        <f aca="false">IF(A4269="","",IF(F4269="Inactivo","No","Sí"))</f>
        <v/>
      </c>
      <c r="K4269" s="23" t="str">
        <f aca="false">IF(A4269="","",IF(AND(I4269="Sí",J4269="Sí"),"Sí","No"))</f>
        <v/>
      </c>
    </row>
    <row r="4270" customFormat="false" ht="15" hidden="false" customHeight="false" outlineLevel="0" collapsed="false">
      <c r="A4270" s="22"/>
      <c r="B4270" s="22"/>
      <c r="C4270" s="26" t="str">
        <f aca="false">IF(A4270="","",IFERROR(buscarx(A4270&amp;B4270,DATA!$E$3:$E$10000&amp;DATA!$B$3:$B$10000,DATA!$M$3:$M$10000),"No encontrado"))</f>
        <v/>
      </c>
      <c r="D4270" s="27" t="str">
        <f aca="false">IF(A4270="","",IFERROR(buscarx(A4270&amp;B4270,DATA!$E$3:$E$10000&amp;DATA!$B$3:$B$10000,DATA!$W$3:$W$10000),"No encontrado"))</f>
        <v/>
      </c>
      <c r="E4270" s="22"/>
      <c r="F4270" s="26" t="str">
        <f aca="false">IF(A4270="","",IFERROR(buscarx(A4270&amp;E4270,DATA!$E$3:$E$10000&amp;DATA!$B$3:$B$10000,DATA!$M$3:$M$10000),"Inactivo"))</f>
        <v/>
      </c>
      <c r="G4270" s="28" t="str">
        <f aca="false">IF(A4270="","",IF(AND(C4270&lt;&gt;"No encontrado",F4270&lt;&gt;"Inactivo"),C4270&amp;" → "&amp;F4270,"Sin transición"))</f>
        <v/>
      </c>
      <c r="H4270" s="26" t="str">
        <f aca="false">IF(A4270="","",IF(D4270="GCIA LINEA SERVICIO DIGITALIDAD Y VENTAS","Chats",IF(OR(D4270="GERENCIA INBOUND LÍNEAS SERVICIO Y VENTA",D4270="GERENCIA INBOUND LINEAS ESPECIALIZADAS"),"Llamadas","Otro")))</f>
        <v/>
      </c>
      <c r="I4270" s="26" t="str">
        <f aca="false">IF(A4270="","",IF(C4270="No encontrado","No","Sí"))</f>
        <v/>
      </c>
      <c r="J4270" s="26" t="str">
        <f aca="false">IF(A4270="","",IF(F4270="Inactivo","No","Sí"))</f>
        <v/>
      </c>
      <c r="K4270" s="26" t="str">
        <f aca="false">IF(A4270="","",IF(AND(I4270="Sí",J4270="Sí"),"Sí","No"))</f>
        <v/>
      </c>
    </row>
    <row r="4271" customFormat="false" ht="15" hidden="false" customHeight="false" outlineLevel="0" collapsed="false">
      <c r="A4271" s="22"/>
      <c r="B4271" s="22"/>
      <c r="C4271" s="23" t="str">
        <f aca="false">IF(A4271="","",IFERROR(buscarx(A4271&amp;B4271,DATA!$E$3:$E$10000&amp;DATA!$B$3:$B$10000,DATA!$M$3:$M$10000),"No encontrado"))</f>
        <v/>
      </c>
      <c r="D4271" s="24" t="str">
        <f aca="false">IF(A4271="","",IFERROR(buscarx(A4271&amp;B4271,DATA!$E$3:$E$10000&amp;DATA!$B$3:$B$10000,DATA!$W$3:$W$10000),"No encontrado"))</f>
        <v/>
      </c>
      <c r="E4271" s="22"/>
      <c r="F4271" s="23" t="str">
        <f aca="false">IF(A4271="","",IFERROR(buscarx(A4271&amp;E4271,DATA!$E$3:$E$10000&amp;DATA!$B$3:$B$10000,DATA!$M$3:$M$10000),"Inactivo"))</f>
        <v/>
      </c>
      <c r="G4271" s="25" t="str">
        <f aca="false">IF(A4271="","",IF(AND(C4271&lt;&gt;"No encontrado",F4271&lt;&gt;"Inactivo"),C4271&amp;" → "&amp;F4271,"Sin transición"))</f>
        <v/>
      </c>
      <c r="H4271" s="23" t="str">
        <f aca="false">IF(A4271="","",IF(D4271="GCIA LINEA SERVICIO DIGITALIDAD Y VENTAS","Chats",IF(OR(D4271="GERENCIA INBOUND LÍNEAS SERVICIO Y VENTA",D4271="GERENCIA INBOUND LINEAS ESPECIALIZADAS"),"Llamadas","Otro")))</f>
        <v/>
      </c>
      <c r="I4271" s="23" t="str">
        <f aca="false">IF(A4271="","",IF(C4271="No encontrado","No","Sí"))</f>
        <v/>
      </c>
      <c r="J4271" s="23" t="str">
        <f aca="false">IF(A4271="","",IF(F4271="Inactivo","No","Sí"))</f>
        <v/>
      </c>
      <c r="K4271" s="23" t="str">
        <f aca="false">IF(A4271="","",IF(AND(I4271="Sí",J4271="Sí"),"Sí","No"))</f>
        <v/>
      </c>
    </row>
    <row r="4272" customFormat="false" ht="15" hidden="false" customHeight="false" outlineLevel="0" collapsed="false">
      <c r="A4272" s="22"/>
      <c r="B4272" s="22"/>
      <c r="C4272" s="26" t="str">
        <f aca="false">IF(A4272="","",IFERROR(buscarx(A4272&amp;B4272,DATA!$E$3:$E$10000&amp;DATA!$B$3:$B$10000,DATA!$M$3:$M$10000),"No encontrado"))</f>
        <v/>
      </c>
      <c r="D4272" s="27" t="str">
        <f aca="false">IF(A4272="","",IFERROR(buscarx(A4272&amp;B4272,DATA!$E$3:$E$10000&amp;DATA!$B$3:$B$10000,DATA!$W$3:$W$10000),"No encontrado"))</f>
        <v/>
      </c>
      <c r="E4272" s="22"/>
      <c r="F4272" s="26" t="str">
        <f aca="false">IF(A4272="","",IFERROR(buscarx(A4272&amp;E4272,DATA!$E$3:$E$10000&amp;DATA!$B$3:$B$10000,DATA!$M$3:$M$10000),"Inactivo"))</f>
        <v/>
      </c>
      <c r="G4272" s="28" t="str">
        <f aca="false">IF(A4272="","",IF(AND(C4272&lt;&gt;"No encontrado",F4272&lt;&gt;"Inactivo"),C4272&amp;" → "&amp;F4272,"Sin transición"))</f>
        <v/>
      </c>
      <c r="H4272" s="26" t="str">
        <f aca="false">IF(A4272="","",IF(D4272="GCIA LINEA SERVICIO DIGITALIDAD Y VENTAS","Chats",IF(OR(D4272="GERENCIA INBOUND LÍNEAS SERVICIO Y VENTA",D4272="GERENCIA INBOUND LINEAS ESPECIALIZADAS"),"Llamadas","Otro")))</f>
        <v/>
      </c>
      <c r="I4272" s="26" t="str">
        <f aca="false">IF(A4272="","",IF(C4272="No encontrado","No","Sí"))</f>
        <v/>
      </c>
      <c r="J4272" s="26" t="str">
        <f aca="false">IF(A4272="","",IF(F4272="Inactivo","No","Sí"))</f>
        <v/>
      </c>
      <c r="K4272" s="26" t="str">
        <f aca="false">IF(A4272="","",IF(AND(I4272="Sí",J4272="Sí"),"Sí","No"))</f>
        <v/>
      </c>
    </row>
    <row r="4273" customFormat="false" ht="15" hidden="false" customHeight="false" outlineLevel="0" collapsed="false">
      <c r="A4273" s="22"/>
      <c r="B4273" s="22"/>
      <c r="C4273" s="23" t="str">
        <f aca="false">IF(A4273="","",IFERROR(buscarx(A4273&amp;B4273,DATA!$E$3:$E$10000&amp;DATA!$B$3:$B$10000,DATA!$M$3:$M$10000),"No encontrado"))</f>
        <v/>
      </c>
      <c r="D4273" s="24" t="str">
        <f aca="false">IF(A4273="","",IFERROR(buscarx(A4273&amp;B4273,DATA!$E$3:$E$10000&amp;DATA!$B$3:$B$10000,DATA!$W$3:$W$10000),"No encontrado"))</f>
        <v/>
      </c>
      <c r="E4273" s="22"/>
      <c r="F4273" s="23" t="str">
        <f aca="false">IF(A4273="","",IFERROR(buscarx(A4273&amp;E4273,DATA!$E$3:$E$10000&amp;DATA!$B$3:$B$10000,DATA!$M$3:$M$10000),"Inactivo"))</f>
        <v/>
      </c>
      <c r="G4273" s="25" t="str">
        <f aca="false">IF(A4273="","",IF(AND(C4273&lt;&gt;"No encontrado",F4273&lt;&gt;"Inactivo"),C4273&amp;" → "&amp;F4273,"Sin transición"))</f>
        <v/>
      </c>
      <c r="H4273" s="23" t="str">
        <f aca="false">IF(A4273="","",IF(D4273="GCIA LINEA SERVICIO DIGITALIDAD Y VENTAS","Chats",IF(OR(D4273="GERENCIA INBOUND LÍNEAS SERVICIO Y VENTA",D4273="GERENCIA INBOUND LINEAS ESPECIALIZADAS"),"Llamadas","Otro")))</f>
        <v/>
      </c>
      <c r="I4273" s="23" t="str">
        <f aca="false">IF(A4273="","",IF(C4273="No encontrado","No","Sí"))</f>
        <v/>
      </c>
      <c r="J4273" s="23" t="str">
        <f aca="false">IF(A4273="","",IF(F4273="Inactivo","No","Sí"))</f>
        <v/>
      </c>
      <c r="K4273" s="23" t="str">
        <f aca="false">IF(A4273="","",IF(AND(I4273="Sí",J4273="Sí"),"Sí","No"))</f>
        <v/>
      </c>
    </row>
    <row r="4274" customFormat="false" ht="15" hidden="false" customHeight="false" outlineLevel="0" collapsed="false">
      <c r="A4274" s="22"/>
      <c r="B4274" s="22"/>
      <c r="C4274" s="26" t="str">
        <f aca="false">IF(A4274="","",IFERROR(buscarx(A4274&amp;B4274,DATA!$E$3:$E$10000&amp;DATA!$B$3:$B$10000,DATA!$M$3:$M$10000),"No encontrado"))</f>
        <v/>
      </c>
      <c r="D4274" s="27" t="str">
        <f aca="false">IF(A4274="","",IFERROR(buscarx(A4274&amp;B4274,DATA!$E$3:$E$10000&amp;DATA!$B$3:$B$10000,DATA!$W$3:$W$10000),"No encontrado"))</f>
        <v/>
      </c>
      <c r="E4274" s="22"/>
      <c r="F4274" s="26" t="str">
        <f aca="false">IF(A4274="","",IFERROR(buscarx(A4274&amp;E4274,DATA!$E$3:$E$10000&amp;DATA!$B$3:$B$10000,DATA!$M$3:$M$10000),"Inactivo"))</f>
        <v/>
      </c>
      <c r="G4274" s="28" t="str">
        <f aca="false">IF(A4274="","",IF(AND(C4274&lt;&gt;"No encontrado",F4274&lt;&gt;"Inactivo"),C4274&amp;" → "&amp;F4274,"Sin transición"))</f>
        <v/>
      </c>
      <c r="H4274" s="26" t="str">
        <f aca="false">IF(A4274="","",IF(D4274="GCIA LINEA SERVICIO DIGITALIDAD Y VENTAS","Chats",IF(OR(D4274="GERENCIA INBOUND LÍNEAS SERVICIO Y VENTA",D4274="GERENCIA INBOUND LINEAS ESPECIALIZADAS"),"Llamadas","Otro")))</f>
        <v/>
      </c>
      <c r="I4274" s="26" t="str">
        <f aca="false">IF(A4274="","",IF(C4274="No encontrado","No","Sí"))</f>
        <v/>
      </c>
      <c r="J4274" s="26" t="str">
        <f aca="false">IF(A4274="","",IF(F4274="Inactivo","No","Sí"))</f>
        <v/>
      </c>
      <c r="K4274" s="26" t="str">
        <f aca="false">IF(A4274="","",IF(AND(I4274="Sí",J4274="Sí"),"Sí","No"))</f>
        <v/>
      </c>
    </row>
    <row r="4275" customFormat="false" ht="15" hidden="false" customHeight="false" outlineLevel="0" collapsed="false">
      <c r="A4275" s="22"/>
      <c r="B4275" s="22"/>
      <c r="C4275" s="23" t="str">
        <f aca="false">IF(A4275="","",IFERROR(buscarx(A4275&amp;B4275,DATA!$E$3:$E$10000&amp;DATA!$B$3:$B$10000,DATA!$M$3:$M$10000),"No encontrado"))</f>
        <v/>
      </c>
      <c r="D4275" s="24" t="str">
        <f aca="false">IF(A4275="","",IFERROR(buscarx(A4275&amp;B4275,DATA!$E$3:$E$10000&amp;DATA!$B$3:$B$10000,DATA!$W$3:$W$10000),"No encontrado"))</f>
        <v/>
      </c>
      <c r="E4275" s="22"/>
      <c r="F4275" s="23" t="str">
        <f aca="false">IF(A4275="","",IFERROR(buscarx(A4275&amp;E4275,DATA!$E$3:$E$10000&amp;DATA!$B$3:$B$10000,DATA!$M$3:$M$10000),"Inactivo"))</f>
        <v/>
      </c>
      <c r="G4275" s="25" t="str">
        <f aca="false">IF(A4275="","",IF(AND(C4275&lt;&gt;"No encontrado",F4275&lt;&gt;"Inactivo"),C4275&amp;" → "&amp;F4275,"Sin transición"))</f>
        <v/>
      </c>
      <c r="H4275" s="23" t="str">
        <f aca="false">IF(A4275="","",IF(D4275="GCIA LINEA SERVICIO DIGITALIDAD Y VENTAS","Chats",IF(OR(D4275="GERENCIA INBOUND LÍNEAS SERVICIO Y VENTA",D4275="GERENCIA INBOUND LINEAS ESPECIALIZADAS"),"Llamadas","Otro")))</f>
        <v/>
      </c>
      <c r="I4275" s="23" t="str">
        <f aca="false">IF(A4275="","",IF(C4275="No encontrado","No","Sí"))</f>
        <v/>
      </c>
      <c r="J4275" s="23" t="str">
        <f aca="false">IF(A4275="","",IF(F4275="Inactivo","No","Sí"))</f>
        <v/>
      </c>
      <c r="K4275" s="23" t="str">
        <f aca="false">IF(A4275="","",IF(AND(I4275="Sí",J4275="Sí"),"Sí","No"))</f>
        <v/>
      </c>
    </row>
    <row r="4276" customFormat="false" ht="15" hidden="false" customHeight="false" outlineLevel="0" collapsed="false">
      <c r="A4276" s="22"/>
      <c r="B4276" s="22"/>
      <c r="C4276" s="26" t="str">
        <f aca="false">IF(A4276="","",IFERROR(buscarx(A4276&amp;B4276,DATA!$E$3:$E$10000&amp;DATA!$B$3:$B$10000,DATA!$M$3:$M$10000),"No encontrado"))</f>
        <v/>
      </c>
      <c r="D4276" s="27" t="str">
        <f aca="false">IF(A4276="","",IFERROR(buscarx(A4276&amp;B4276,DATA!$E$3:$E$10000&amp;DATA!$B$3:$B$10000,DATA!$W$3:$W$10000),"No encontrado"))</f>
        <v/>
      </c>
      <c r="E4276" s="22"/>
      <c r="F4276" s="26" t="str">
        <f aca="false">IF(A4276="","",IFERROR(buscarx(A4276&amp;E4276,DATA!$E$3:$E$10000&amp;DATA!$B$3:$B$10000,DATA!$M$3:$M$10000),"Inactivo"))</f>
        <v/>
      </c>
      <c r="G4276" s="28" t="str">
        <f aca="false">IF(A4276="","",IF(AND(C4276&lt;&gt;"No encontrado",F4276&lt;&gt;"Inactivo"),C4276&amp;" → "&amp;F4276,"Sin transición"))</f>
        <v/>
      </c>
      <c r="H4276" s="26" t="str">
        <f aca="false">IF(A4276="","",IF(D4276="GCIA LINEA SERVICIO DIGITALIDAD Y VENTAS","Chats",IF(OR(D4276="GERENCIA INBOUND LÍNEAS SERVICIO Y VENTA",D4276="GERENCIA INBOUND LINEAS ESPECIALIZADAS"),"Llamadas","Otro")))</f>
        <v/>
      </c>
      <c r="I4276" s="26" t="str">
        <f aca="false">IF(A4276="","",IF(C4276="No encontrado","No","Sí"))</f>
        <v/>
      </c>
      <c r="J4276" s="26" t="str">
        <f aca="false">IF(A4276="","",IF(F4276="Inactivo","No","Sí"))</f>
        <v/>
      </c>
      <c r="K4276" s="26" t="str">
        <f aca="false">IF(A4276="","",IF(AND(I4276="Sí",J4276="Sí"),"Sí","No"))</f>
        <v/>
      </c>
    </row>
    <row r="4277" customFormat="false" ht="15" hidden="false" customHeight="false" outlineLevel="0" collapsed="false">
      <c r="A4277" s="22"/>
      <c r="B4277" s="22"/>
      <c r="C4277" s="23" t="str">
        <f aca="false">IF(A4277="","",IFERROR(buscarx(A4277&amp;B4277,DATA!$E$3:$E$10000&amp;DATA!$B$3:$B$10000,DATA!$M$3:$M$10000),"No encontrado"))</f>
        <v/>
      </c>
      <c r="D4277" s="24" t="str">
        <f aca="false">IF(A4277="","",IFERROR(buscarx(A4277&amp;B4277,DATA!$E$3:$E$10000&amp;DATA!$B$3:$B$10000,DATA!$W$3:$W$10000),"No encontrado"))</f>
        <v/>
      </c>
      <c r="E4277" s="22"/>
      <c r="F4277" s="23" t="str">
        <f aca="false">IF(A4277="","",IFERROR(buscarx(A4277&amp;E4277,DATA!$E$3:$E$10000&amp;DATA!$B$3:$B$10000,DATA!$M$3:$M$10000),"Inactivo"))</f>
        <v/>
      </c>
      <c r="G4277" s="25" t="str">
        <f aca="false">IF(A4277="","",IF(AND(C4277&lt;&gt;"No encontrado",F4277&lt;&gt;"Inactivo"),C4277&amp;" → "&amp;F4277,"Sin transición"))</f>
        <v/>
      </c>
      <c r="H4277" s="23" t="str">
        <f aca="false">IF(A4277="","",IF(D4277="GCIA LINEA SERVICIO DIGITALIDAD Y VENTAS","Chats",IF(OR(D4277="GERENCIA INBOUND LÍNEAS SERVICIO Y VENTA",D4277="GERENCIA INBOUND LINEAS ESPECIALIZADAS"),"Llamadas","Otro")))</f>
        <v/>
      </c>
      <c r="I4277" s="23" t="str">
        <f aca="false">IF(A4277="","",IF(C4277="No encontrado","No","Sí"))</f>
        <v/>
      </c>
      <c r="J4277" s="23" t="str">
        <f aca="false">IF(A4277="","",IF(F4277="Inactivo","No","Sí"))</f>
        <v/>
      </c>
      <c r="K4277" s="23" t="str">
        <f aca="false">IF(A4277="","",IF(AND(I4277="Sí",J4277="Sí"),"Sí","No"))</f>
        <v/>
      </c>
    </row>
    <row r="4278" customFormat="false" ht="15" hidden="false" customHeight="false" outlineLevel="0" collapsed="false">
      <c r="A4278" s="22"/>
      <c r="B4278" s="22"/>
      <c r="C4278" s="26" t="str">
        <f aca="false">IF(A4278="","",IFERROR(buscarx(A4278&amp;B4278,DATA!$E$3:$E$10000&amp;DATA!$B$3:$B$10000,DATA!$M$3:$M$10000),"No encontrado"))</f>
        <v/>
      </c>
      <c r="D4278" s="27" t="str">
        <f aca="false">IF(A4278="","",IFERROR(buscarx(A4278&amp;B4278,DATA!$E$3:$E$10000&amp;DATA!$B$3:$B$10000,DATA!$W$3:$W$10000),"No encontrado"))</f>
        <v/>
      </c>
      <c r="E4278" s="22"/>
      <c r="F4278" s="26" t="str">
        <f aca="false">IF(A4278="","",IFERROR(buscarx(A4278&amp;E4278,DATA!$E$3:$E$10000&amp;DATA!$B$3:$B$10000,DATA!$M$3:$M$10000),"Inactivo"))</f>
        <v/>
      </c>
      <c r="G4278" s="28" t="str">
        <f aca="false">IF(A4278="","",IF(AND(C4278&lt;&gt;"No encontrado",F4278&lt;&gt;"Inactivo"),C4278&amp;" → "&amp;F4278,"Sin transición"))</f>
        <v/>
      </c>
      <c r="H4278" s="26" t="str">
        <f aca="false">IF(A4278="","",IF(D4278="GCIA LINEA SERVICIO DIGITALIDAD Y VENTAS","Chats",IF(OR(D4278="GERENCIA INBOUND LÍNEAS SERVICIO Y VENTA",D4278="GERENCIA INBOUND LINEAS ESPECIALIZADAS"),"Llamadas","Otro")))</f>
        <v/>
      </c>
      <c r="I4278" s="26" t="str">
        <f aca="false">IF(A4278="","",IF(C4278="No encontrado","No","Sí"))</f>
        <v/>
      </c>
      <c r="J4278" s="26" t="str">
        <f aca="false">IF(A4278="","",IF(F4278="Inactivo","No","Sí"))</f>
        <v/>
      </c>
      <c r="K4278" s="26" t="str">
        <f aca="false">IF(A4278="","",IF(AND(I4278="Sí",J4278="Sí"),"Sí","No"))</f>
        <v/>
      </c>
    </row>
    <row r="4279" customFormat="false" ht="15" hidden="false" customHeight="false" outlineLevel="0" collapsed="false">
      <c r="A4279" s="22"/>
      <c r="B4279" s="22"/>
      <c r="C4279" s="23" t="str">
        <f aca="false">IF(A4279="","",IFERROR(buscarx(A4279&amp;B4279,DATA!$E$3:$E$10000&amp;DATA!$B$3:$B$10000,DATA!$M$3:$M$10000),"No encontrado"))</f>
        <v/>
      </c>
      <c r="D4279" s="24" t="str">
        <f aca="false">IF(A4279="","",IFERROR(buscarx(A4279&amp;B4279,DATA!$E$3:$E$10000&amp;DATA!$B$3:$B$10000,DATA!$W$3:$W$10000),"No encontrado"))</f>
        <v/>
      </c>
      <c r="E4279" s="22"/>
      <c r="F4279" s="23" t="str">
        <f aca="false">IF(A4279="","",IFERROR(buscarx(A4279&amp;E4279,DATA!$E$3:$E$10000&amp;DATA!$B$3:$B$10000,DATA!$M$3:$M$10000),"Inactivo"))</f>
        <v/>
      </c>
      <c r="G4279" s="25" t="str">
        <f aca="false">IF(A4279="","",IF(AND(C4279&lt;&gt;"No encontrado",F4279&lt;&gt;"Inactivo"),C4279&amp;" → "&amp;F4279,"Sin transición"))</f>
        <v/>
      </c>
      <c r="H4279" s="23" t="str">
        <f aca="false">IF(A4279="","",IF(D4279="GCIA LINEA SERVICIO DIGITALIDAD Y VENTAS","Chats",IF(OR(D4279="GERENCIA INBOUND LÍNEAS SERVICIO Y VENTA",D4279="GERENCIA INBOUND LINEAS ESPECIALIZADAS"),"Llamadas","Otro")))</f>
        <v/>
      </c>
      <c r="I4279" s="23" t="str">
        <f aca="false">IF(A4279="","",IF(C4279="No encontrado","No","Sí"))</f>
        <v/>
      </c>
      <c r="J4279" s="23" t="str">
        <f aca="false">IF(A4279="","",IF(F4279="Inactivo","No","Sí"))</f>
        <v/>
      </c>
      <c r="K4279" s="23" t="str">
        <f aca="false">IF(A4279="","",IF(AND(I4279="Sí",J4279="Sí"),"Sí","No"))</f>
        <v/>
      </c>
    </row>
    <row r="4280" customFormat="false" ht="15" hidden="false" customHeight="false" outlineLevel="0" collapsed="false">
      <c r="A4280" s="22"/>
      <c r="B4280" s="22"/>
      <c r="C4280" s="26" t="str">
        <f aca="false">IF(A4280="","",IFERROR(buscarx(A4280&amp;B4280,DATA!$E$3:$E$10000&amp;DATA!$B$3:$B$10000,DATA!$M$3:$M$10000),"No encontrado"))</f>
        <v/>
      </c>
      <c r="D4280" s="27" t="str">
        <f aca="false">IF(A4280="","",IFERROR(buscarx(A4280&amp;B4280,DATA!$E$3:$E$10000&amp;DATA!$B$3:$B$10000,DATA!$W$3:$W$10000),"No encontrado"))</f>
        <v/>
      </c>
      <c r="E4280" s="22"/>
      <c r="F4280" s="26" t="str">
        <f aca="false">IF(A4280="","",IFERROR(buscarx(A4280&amp;E4280,DATA!$E$3:$E$10000&amp;DATA!$B$3:$B$10000,DATA!$M$3:$M$10000),"Inactivo"))</f>
        <v/>
      </c>
      <c r="G4280" s="28" t="str">
        <f aca="false">IF(A4280="","",IF(AND(C4280&lt;&gt;"No encontrado",F4280&lt;&gt;"Inactivo"),C4280&amp;" → "&amp;F4280,"Sin transición"))</f>
        <v/>
      </c>
      <c r="H4280" s="26" t="str">
        <f aca="false">IF(A4280="","",IF(D4280="GCIA LINEA SERVICIO DIGITALIDAD Y VENTAS","Chats",IF(OR(D4280="GERENCIA INBOUND LÍNEAS SERVICIO Y VENTA",D4280="GERENCIA INBOUND LINEAS ESPECIALIZADAS"),"Llamadas","Otro")))</f>
        <v/>
      </c>
      <c r="I4280" s="26" t="str">
        <f aca="false">IF(A4280="","",IF(C4280="No encontrado","No","Sí"))</f>
        <v/>
      </c>
      <c r="J4280" s="26" t="str">
        <f aca="false">IF(A4280="","",IF(F4280="Inactivo","No","Sí"))</f>
        <v/>
      </c>
      <c r="K4280" s="26" t="str">
        <f aca="false">IF(A4280="","",IF(AND(I4280="Sí",J4280="Sí"),"Sí","No"))</f>
        <v/>
      </c>
    </row>
    <row r="4281" customFormat="false" ht="15" hidden="false" customHeight="false" outlineLevel="0" collapsed="false">
      <c r="A4281" s="22"/>
      <c r="B4281" s="22"/>
      <c r="C4281" s="23" t="str">
        <f aca="false">IF(A4281="","",IFERROR(buscarx(A4281&amp;B4281,DATA!$E$3:$E$10000&amp;DATA!$B$3:$B$10000,DATA!$M$3:$M$10000),"No encontrado"))</f>
        <v/>
      </c>
      <c r="D4281" s="24" t="str">
        <f aca="false">IF(A4281="","",IFERROR(buscarx(A4281&amp;B4281,DATA!$E$3:$E$10000&amp;DATA!$B$3:$B$10000,DATA!$W$3:$W$10000),"No encontrado"))</f>
        <v/>
      </c>
      <c r="E4281" s="22"/>
      <c r="F4281" s="23" t="str">
        <f aca="false">IF(A4281="","",IFERROR(buscarx(A4281&amp;E4281,DATA!$E$3:$E$10000&amp;DATA!$B$3:$B$10000,DATA!$M$3:$M$10000),"Inactivo"))</f>
        <v/>
      </c>
      <c r="G4281" s="25" t="str">
        <f aca="false">IF(A4281="","",IF(AND(C4281&lt;&gt;"No encontrado",F4281&lt;&gt;"Inactivo"),C4281&amp;" → "&amp;F4281,"Sin transición"))</f>
        <v/>
      </c>
      <c r="H4281" s="23" t="str">
        <f aca="false">IF(A4281="","",IF(D4281="GCIA LINEA SERVICIO DIGITALIDAD Y VENTAS","Chats",IF(OR(D4281="GERENCIA INBOUND LÍNEAS SERVICIO Y VENTA",D4281="GERENCIA INBOUND LINEAS ESPECIALIZADAS"),"Llamadas","Otro")))</f>
        <v/>
      </c>
      <c r="I4281" s="23" t="str">
        <f aca="false">IF(A4281="","",IF(C4281="No encontrado","No","Sí"))</f>
        <v/>
      </c>
      <c r="J4281" s="23" t="str">
        <f aca="false">IF(A4281="","",IF(F4281="Inactivo","No","Sí"))</f>
        <v/>
      </c>
      <c r="K4281" s="23" t="str">
        <f aca="false">IF(A4281="","",IF(AND(I4281="Sí",J4281="Sí"),"Sí","No"))</f>
        <v/>
      </c>
    </row>
    <row r="4282" customFormat="false" ht="15" hidden="false" customHeight="false" outlineLevel="0" collapsed="false">
      <c r="A4282" s="22"/>
      <c r="B4282" s="22"/>
      <c r="C4282" s="26" t="str">
        <f aca="false">IF(A4282="","",IFERROR(buscarx(A4282&amp;B4282,DATA!$E$3:$E$10000&amp;DATA!$B$3:$B$10000,DATA!$M$3:$M$10000),"No encontrado"))</f>
        <v/>
      </c>
      <c r="D4282" s="27" t="str">
        <f aca="false">IF(A4282="","",IFERROR(buscarx(A4282&amp;B4282,DATA!$E$3:$E$10000&amp;DATA!$B$3:$B$10000,DATA!$W$3:$W$10000),"No encontrado"))</f>
        <v/>
      </c>
      <c r="E4282" s="22"/>
      <c r="F4282" s="26" t="str">
        <f aca="false">IF(A4282="","",IFERROR(buscarx(A4282&amp;E4282,DATA!$E$3:$E$10000&amp;DATA!$B$3:$B$10000,DATA!$M$3:$M$10000),"Inactivo"))</f>
        <v/>
      </c>
      <c r="G4282" s="28" t="str">
        <f aca="false">IF(A4282="","",IF(AND(C4282&lt;&gt;"No encontrado",F4282&lt;&gt;"Inactivo"),C4282&amp;" → "&amp;F4282,"Sin transición"))</f>
        <v/>
      </c>
      <c r="H4282" s="26" t="str">
        <f aca="false">IF(A4282="","",IF(D4282="GCIA LINEA SERVICIO DIGITALIDAD Y VENTAS","Chats",IF(OR(D4282="GERENCIA INBOUND LÍNEAS SERVICIO Y VENTA",D4282="GERENCIA INBOUND LINEAS ESPECIALIZADAS"),"Llamadas","Otro")))</f>
        <v/>
      </c>
      <c r="I4282" s="26" t="str">
        <f aca="false">IF(A4282="","",IF(C4282="No encontrado","No","Sí"))</f>
        <v/>
      </c>
      <c r="J4282" s="26" t="str">
        <f aca="false">IF(A4282="","",IF(F4282="Inactivo","No","Sí"))</f>
        <v/>
      </c>
      <c r="K4282" s="26" t="str">
        <f aca="false">IF(A4282="","",IF(AND(I4282="Sí",J4282="Sí"),"Sí","No"))</f>
        <v/>
      </c>
    </row>
    <row r="4283" customFormat="false" ht="15" hidden="false" customHeight="false" outlineLevel="0" collapsed="false">
      <c r="A4283" s="22"/>
      <c r="B4283" s="22"/>
      <c r="C4283" s="23" t="str">
        <f aca="false">IF(A4283="","",IFERROR(buscarx(A4283&amp;B4283,DATA!$E$3:$E$10000&amp;DATA!$B$3:$B$10000,DATA!$M$3:$M$10000),"No encontrado"))</f>
        <v/>
      </c>
      <c r="D4283" s="24" t="str">
        <f aca="false">IF(A4283="","",IFERROR(buscarx(A4283&amp;B4283,DATA!$E$3:$E$10000&amp;DATA!$B$3:$B$10000,DATA!$W$3:$W$10000),"No encontrado"))</f>
        <v/>
      </c>
      <c r="E4283" s="22"/>
      <c r="F4283" s="23" t="str">
        <f aca="false">IF(A4283="","",IFERROR(buscarx(A4283&amp;E4283,DATA!$E$3:$E$10000&amp;DATA!$B$3:$B$10000,DATA!$M$3:$M$10000),"Inactivo"))</f>
        <v/>
      </c>
      <c r="G4283" s="25" t="str">
        <f aca="false">IF(A4283="","",IF(AND(C4283&lt;&gt;"No encontrado",F4283&lt;&gt;"Inactivo"),C4283&amp;" → "&amp;F4283,"Sin transición"))</f>
        <v/>
      </c>
      <c r="H4283" s="23" t="str">
        <f aca="false">IF(A4283="","",IF(D4283="GCIA LINEA SERVICIO DIGITALIDAD Y VENTAS","Chats",IF(OR(D4283="GERENCIA INBOUND LÍNEAS SERVICIO Y VENTA",D4283="GERENCIA INBOUND LINEAS ESPECIALIZADAS"),"Llamadas","Otro")))</f>
        <v/>
      </c>
      <c r="I4283" s="23" t="str">
        <f aca="false">IF(A4283="","",IF(C4283="No encontrado","No","Sí"))</f>
        <v/>
      </c>
      <c r="J4283" s="23" t="str">
        <f aca="false">IF(A4283="","",IF(F4283="Inactivo","No","Sí"))</f>
        <v/>
      </c>
      <c r="K4283" s="23" t="str">
        <f aca="false">IF(A4283="","",IF(AND(I4283="Sí",J4283="Sí"),"Sí","No"))</f>
        <v/>
      </c>
    </row>
    <row r="4284" customFormat="false" ht="15" hidden="false" customHeight="false" outlineLevel="0" collapsed="false">
      <c r="A4284" s="22"/>
      <c r="B4284" s="22"/>
      <c r="C4284" s="26" t="str">
        <f aca="false">IF(A4284="","",IFERROR(buscarx(A4284&amp;B4284,DATA!$E$3:$E$10000&amp;DATA!$B$3:$B$10000,DATA!$M$3:$M$10000),"No encontrado"))</f>
        <v/>
      </c>
      <c r="D4284" s="27" t="str">
        <f aca="false">IF(A4284="","",IFERROR(buscarx(A4284&amp;B4284,DATA!$E$3:$E$10000&amp;DATA!$B$3:$B$10000,DATA!$W$3:$W$10000),"No encontrado"))</f>
        <v/>
      </c>
      <c r="E4284" s="22"/>
      <c r="F4284" s="26" t="str">
        <f aca="false">IF(A4284="","",IFERROR(buscarx(A4284&amp;E4284,DATA!$E$3:$E$10000&amp;DATA!$B$3:$B$10000,DATA!$M$3:$M$10000),"Inactivo"))</f>
        <v/>
      </c>
      <c r="G4284" s="28" t="str">
        <f aca="false">IF(A4284="","",IF(AND(C4284&lt;&gt;"No encontrado",F4284&lt;&gt;"Inactivo"),C4284&amp;" → "&amp;F4284,"Sin transición"))</f>
        <v/>
      </c>
      <c r="H4284" s="26" t="str">
        <f aca="false">IF(A4284="","",IF(D4284="GCIA LINEA SERVICIO DIGITALIDAD Y VENTAS","Chats",IF(OR(D4284="GERENCIA INBOUND LÍNEAS SERVICIO Y VENTA",D4284="GERENCIA INBOUND LINEAS ESPECIALIZADAS"),"Llamadas","Otro")))</f>
        <v/>
      </c>
      <c r="I4284" s="26" t="str">
        <f aca="false">IF(A4284="","",IF(C4284="No encontrado","No","Sí"))</f>
        <v/>
      </c>
      <c r="J4284" s="26" t="str">
        <f aca="false">IF(A4284="","",IF(F4284="Inactivo","No","Sí"))</f>
        <v/>
      </c>
      <c r="K4284" s="26" t="str">
        <f aca="false">IF(A4284="","",IF(AND(I4284="Sí",J4284="Sí"),"Sí","No"))</f>
        <v/>
      </c>
    </row>
    <row r="4285" customFormat="false" ht="15" hidden="false" customHeight="false" outlineLevel="0" collapsed="false">
      <c r="A4285" s="22"/>
      <c r="B4285" s="22"/>
      <c r="C4285" s="23" t="str">
        <f aca="false">IF(A4285="","",IFERROR(buscarx(A4285&amp;B4285,DATA!$E$3:$E$10000&amp;DATA!$B$3:$B$10000,DATA!$M$3:$M$10000),"No encontrado"))</f>
        <v/>
      </c>
      <c r="D4285" s="24" t="str">
        <f aca="false">IF(A4285="","",IFERROR(buscarx(A4285&amp;B4285,DATA!$E$3:$E$10000&amp;DATA!$B$3:$B$10000,DATA!$W$3:$W$10000),"No encontrado"))</f>
        <v/>
      </c>
      <c r="E4285" s="22"/>
      <c r="F4285" s="23" t="str">
        <f aca="false">IF(A4285="","",IFERROR(buscarx(A4285&amp;E4285,DATA!$E$3:$E$10000&amp;DATA!$B$3:$B$10000,DATA!$M$3:$M$10000),"Inactivo"))</f>
        <v/>
      </c>
      <c r="G4285" s="25" t="str">
        <f aca="false">IF(A4285="","",IF(AND(C4285&lt;&gt;"No encontrado",F4285&lt;&gt;"Inactivo"),C4285&amp;" → "&amp;F4285,"Sin transición"))</f>
        <v/>
      </c>
      <c r="H4285" s="23" t="str">
        <f aca="false">IF(A4285="","",IF(D4285="GCIA LINEA SERVICIO DIGITALIDAD Y VENTAS","Chats",IF(OR(D4285="GERENCIA INBOUND LÍNEAS SERVICIO Y VENTA",D4285="GERENCIA INBOUND LINEAS ESPECIALIZADAS"),"Llamadas","Otro")))</f>
        <v/>
      </c>
      <c r="I4285" s="23" t="str">
        <f aca="false">IF(A4285="","",IF(C4285="No encontrado","No","Sí"))</f>
        <v/>
      </c>
      <c r="J4285" s="23" t="str">
        <f aca="false">IF(A4285="","",IF(F4285="Inactivo","No","Sí"))</f>
        <v/>
      </c>
      <c r="K4285" s="23" t="str">
        <f aca="false">IF(A4285="","",IF(AND(I4285="Sí",J4285="Sí"),"Sí","No"))</f>
        <v/>
      </c>
    </row>
    <row r="4286" customFormat="false" ht="15" hidden="false" customHeight="false" outlineLevel="0" collapsed="false">
      <c r="A4286" s="22"/>
      <c r="B4286" s="22"/>
      <c r="C4286" s="26" t="str">
        <f aca="false">IF(A4286="","",IFERROR(buscarx(A4286&amp;B4286,DATA!$E$3:$E$10000&amp;DATA!$B$3:$B$10000,DATA!$M$3:$M$10000),"No encontrado"))</f>
        <v/>
      </c>
      <c r="D4286" s="27" t="str">
        <f aca="false">IF(A4286="","",IFERROR(buscarx(A4286&amp;B4286,DATA!$E$3:$E$10000&amp;DATA!$B$3:$B$10000,DATA!$W$3:$W$10000),"No encontrado"))</f>
        <v/>
      </c>
      <c r="E4286" s="22"/>
      <c r="F4286" s="26" t="str">
        <f aca="false">IF(A4286="","",IFERROR(buscarx(A4286&amp;E4286,DATA!$E$3:$E$10000&amp;DATA!$B$3:$B$10000,DATA!$M$3:$M$10000),"Inactivo"))</f>
        <v/>
      </c>
      <c r="G4286" s="28" t="str">
        <f aca="false">IF(A4286="","",IF(AND(C4286&lt;&gt;"No encontrado",F4286&lt;&gt;"Inactivo"),C4286&amp;" → "&amp;F4286,"Sin transición"))</f>
        <v/>
      </c>
      <c r="H4286" s="26" t="str">
        <f aca="false">IF(A4286="","",IF(D4286="GCIA LINEA SERVICIO DIGITALIDAD Y VENTAS","Chats",IF(OR(D4286="GERENCIA INBOUND LÍNEAS SERVICIO Y VENTA",D4286="GERENCIA INBOUND LINEAS ESPECIALIZADAS"),"Llamadas","Otro")))</f>
        <v/>
      </c>
      <c r="I4286" s="26" t="str">
        <f aca="false">IF(A4286="","",IF(C4286="No encontrado","No","Sí"))</f>
        <v/>
      </c>
      <c r="J4286" s="26" t="str">
        <f aca="false">IF(A4286="","",IF(F4286="Inactivo","No","Sí"))</f>
        <v/>
      </c>
      <c r="K4286" s="26" t="str">
        <f aca="false">IF(A4286="","",IF(AND(I4286="Sí",J4286="Sí"),"Sí","No"))</f>
        <v/>
      </c>
    </row>
    <row r="4287" customFormat="false" ht="15" hidden="false" customHeight="false" outlineLevel="0" collapsed="false">
      <c r="A4287" s="22"/>
      <c r="B4287" s="22"/>
      <c r="C4287" s="23" t="str">
        <f aca="false">IF(A4287="","",IFERROR(buscarx(A4287&amp;B4287,DATA!$E$3:$E$10000&amp;DATA!$B$3:$B$10000,DATA!$M$3:$M$10000),"No encontrado"))</f>
        <v/>
      </c>
      <c r="D4287" s="24" t="str">
        <f aca="false">IF(A4287="","",IFERROR(buscarx(A4287&amp;B4287,DATA!$E$3:$E$10000&amp;DATA!$B$3:$B$10000,DATA!$W$3:$W$10000),"No encontrado"))</f>
        <v/>
      </c>
      <c r="E4287" s="22"/>
      <c r="F4287" s="23" t="str">
        <f aca="false">IF(A4287="","",IFERROR(buscarx(A4287&amp;E4287,DATA!$E$3:$E$10000&amp;DATA!$B$3:$B$10000,DATA!$M$3:$M$10000),"Inactivo"))</f>
        <v/>
      </c>
      <c r="G4287" s="25" t="str">
        <f aca="false">IF(A4287="","",IF(AND(C4287&lt;&gt;"No encontrado",F4287&lt;&gt;"Inactivo"),C4287&amp;" → "&amp;F4287,"Sin transición"))</f>
        <v/>
      </c>
      <c r="H4287" s="23" t="str">
        <f aca="false">IF(A4287="","",IF(D4287="GCIA LINEA SERVICIO DIGITALIDAD Y VENTAS","Chats",IF(OR(D4287="GERENCIA INBOUND LÍNEAS SERVICIO Y VENTA",D4287="GERENCIA INBOUND LINEAS ESPECIALIZADAS"),"Llamadas","Otro")))</f>
        <v/>
      </c>
      <c r="I4287" s="23" t="str">
        <f aca="false">IF(A4287="","",IF(C4287="No encontrado","No","Sí"))</f>
        <v/>
      </c>
      <c r="J4287" s="23" t="str">
        <f aca="false">IF(A4287="","",IF(F4287="Inactivo","No","Sí"))</f>
        <v/>
      </c>
      <c r="K4287" s="23" t="str">
        <f aca="false">IF(A4287="","",IF(AND(I4287="Sí",J4287="Sí"),"Sí","No"))</f>
        <v/>
      </c>
    </row>
    <row r="4288" customFormat="false" ht="15" hidden="false" customHeight="false" outlineLevel="0" collapsed="false">
      <c r="A4288" s="22"/>
      <c r="B4288" s="22"/>
      <c r="C4288" s="26" t="str">
        <f aca="false">IF(A4288="","",IFERROR(buscarx(A4288&amp;B4288,DATA!$E$3:$E$10000&amp;DATA!$B$3:$B$10000,DATA!$M$3:$M$10000),"No encontrado"))</f>
        <v/>
      </c>
      <c r="D4288" s="27" t="str">
        <f aca="false">IF(A4288="","",IFERROR(buscarx(A4288&amp;B4288,DATA!$E$3:$E$10000&amp;DATA!$B$3:$B$10000,DATA!$W$3:$W$10000),"No encontrado"))</f>
        <v/>
      </c>
      <c r="E4288" s="22"/>
      <c r="F4288" s="26" t="str">
        <f aca="false">IF(A4288="","",IFERROR(buscarx(A4288&amp;E4288,DATA!$E$3:$E$10000&amp;DATA!$B$3:$B$10000,DATA!$M$3:$M$10000),"Inactivo"))</f>
        <v/>
      </c>
      <c r="G4288" s="28" t="str">
        <f aca="false">IF(A4288="","",IF(AND(C4288&lt;&gt;"No encontrado",F4288&lt;&gt;"Inactivo"),C4288&amp;" → "&amp;F4288,"Sin transición"))</f>
        <v/>
      </c>
      <c r="H4288" s="26" t="str">
        <f aca="false">IF(A4288="","",IF(D4288="GCIA LINEA SERVICIO DIGITALIDAD Y VENTAS","Chats",IF(OR(D4288="GERENCIA INBOUND LÍNEAS SERVICIO Y VENTA",D4288="GERENCIA INBOUND LINEAS ESPECIALIZADAS"),"Llamadas","Otro")))</f>
        <v/>
      </c>
      <c r="I4288" s="26" t="str">
        <f aca="false">IF(A4288="","",IF(C4288="No encontrado","No","Sí"))</f>
        <v/>
      </c>
      <c r="J4288" s="26" t="str">
        <f aca="false">IF(A4288="","",IF(F4288="Inactivo","No","Sí"))</f>
        <v/>
      </c>
      <c r="K4288" s="26" t="str">
        <f aca="false">IF(A4288="","",IF(AND(I4288="Sí",J4288="Sí"),"Sí","No"))</f>
        <v/>
      </c>
    </row>
    <row r="4289" customFormat="false" ht="15" hidden="false" customHeight="false" outlineLevel="0" collapsed="false">
      <c r="A4289" s="22"/>
      <c r="B4289" s="22"/>
      <c r="C4289" s="23" t="str">
        <f aca="false">IF(A4289="","",IFERROR(buscarx(A4289&amp;B4289,DATA!$E$3:$E$10000&amp;DATA!$B$3:$B$10000,DATA!$M$3:$M$10000),"No encontrado"))</f>
        <v/>
      </c>
      <c r="D4289" s="24" t="str">
        <f aca="false">IF(A4289="","",IFERROR(buscarx(A4289&amp;B4289,DATA!$E$3:$E$10000&amp;DATA!$B$3:$B$10000,DATA!$W$3:$W$10000),"No encontrado"))</f>
        <v/>
      </c>
      <c r="E4289" s="22"/>
      <c r="F4289" s="23" t="str">
        <f aca="false">IF(A4289="","",IFERROR(buscarx(A4289&amp;E4289,DATA!$E$3:$E$10000&amp;DATA!$B$3:$B$10000,DATA!$M$3:$M$10000),"Inactivo"))</f>
        <v/>
      </c>
      <c r="G4289" s="25" t="str">
        <f aca="false">IF(A4289="","",IF(AND(C4289&lt;&gt;"No encontrado",F4289&lt;&gt;"Inactivo"),C4289&amp;" → "&amp;F4289,"Sin transición"))</f>
        <v/>
      </c>
      <c r="H4289" s="23" t="str">
        <f aca="false">IF(A4289="","",IF(D4289="GCIA LINEA SERVICIO DIGITALIDAD Y VENTAS","Chats",IF(OR(D4289="GERENCIA INBOUND LÍNEAS SERVICIO Y VENTA",D4289="GERENCIA INBOUND LINEAS ESPECIALIZADAS"),"Llamadas","Otro")))</f>
        <v/>
      </c>
      <c r="I4289" s="23" t="str">
        <f aca="false">IF(A4289="","",IF(C4289="No encontrado","No","Sí"))</f>
        <v/>
      </c>
      <c r="J4289" s="23" t="str">
        <f aca="false">IF(A4289="","",IF(F4289="Inactivo","No","Sí"))</f>
        <v/>
      </c>
      <c r="K4289" s="23" t="str">
        <f aca="false">IF(A4289="","",IF(AND(I4289="Sí",J4289="Sí"),"Sí","No"))</f>
        <v/>
      </c>
    </row>
    <row r="4290" customFormat="false" ht="15" hidden="false" customHeight="false" outlineLevel="0" collapsed="false">
      <c r="A4290" s="22"/>
      <c r="B4290" s="22"/>
      <c r="C4290" s="26" t="str">
        <f aca="false">IF(A4290="","",IFERROR(buscarx(A4290&amp;B4290,DATA!$E$3:$E$10000&amp;DATA!$B$3:$B$10000,DATA!$M$3:$M$10000),"No encontrado"))</f>
        <v/>
      </c>
      <c r="D4290" s="27" t="str">
        <f aca="false">IF(A4290="","",IFERROR(buscarx(A4290&amp;B4290,DATA!$E$3:$E$10000&amp;DATA!$B$3:$B$10000,DATA!$W$3:$W$10000),"No encontrado"))</f>
        <v/>
      </c>
      <c r="E4290" s="22"/>
      <c r="F4290" s="26" t="str">
        <f aca="false">IF(A4290="","",IFERROR(buscarx(A4290&amp;E4290,DATA!$E$3:$E$10000&amp;DATA!$B$3:$B$10000,DATA!$M$3:$M$10000),"Inactivo"))</f>
        <v/>
      </c>
      <c r="G4290" s="28" t="str">
        <f aca="false">IF(A4290="","",IF(AND(C4290&lt;&gt;"No encontrado",F4290&lt;&gt;"Inactivo"),C4290&amp;" → "&amp;F4290,"Sin transición"))</f>
        <v/>
      </c>
      <c r="H4290" s="26" t="str">
        <f aca="false">IF(A4290="","",IF(D4290="GCIA LINEA SERVICIO DIGITALIDAD Y VENTAS","Chats",IF(OR(D4290="GERENCIA INBOUND LÍNEAS SERVICIO Y VENTA",D4290="GERENCIA INBOUND LINEAS ESPECIALIZADAS"),"Llamadas","Otro")))</f>
        <v/>
      </c>
      <c r="I4290" s="26" t="str">
        <f aca="false">IF(A4290="","",IF(C4290="No encontrado","No","Sí"))</f>
        <v/>
      </c>
      <c r="J4290" s="26" t="str">
        <f aca="false">IF(A4290="","",IF(F4290="Inactivo","No","Sí"))</f>
        <v/>
      </c>
      <c r="K4290" s="26" t="str">
        <f aca="false">IF(A4290="","",IF(AND(I4290="Sí",J4290="Sí"),"Sí","No"))</f>
        <v/>
      </c>
    </row>
    <row r="4291" customFormat="false" ht="15" hidden="false" customHeight="false" outlineLevel="0" collapsed="false">
      <c r="A4291" s="22"/>
      <c r="B4291" s="22"/>
      <c r="C4291" s="23" t="str">
        <f aca="false">IF(A4291="","",IFERROR(buscarx(A4291&amp;B4291,DATA!$E$3:$E$10000&amp;DATA!$B$3:$B$10000,DATA!$M$3:$M$10000),"No encontrado"))</f>
        <v/>
      </c>
      <c r="D4291" s="24" t="str">
        <f aca="false">IF(A4291="","",IFERROR(buscarx(A4291&amp;B4291,DATA!$E$3:$E$10000&amp;DATA!$B$3:$B$10000,DATA!$W$3:$W$10000),"No encontrado"))</f>
        <v/>
      </c>
      <c r="E4291" s="22"/>
      <c r="F4291" s="23" t="str">
        <f aca="false">IF(A4291="","",IFERROR(buscarx(A4291&amp;E4291,DATA!$E$3:$E$10000&amp;DATA!$B$3:$B$10000,DATA!$M$3:$M$10000),"Inactivo"))</f>
        <v/>
      </c>
      <c r="G4291" s="25" t="str">
        <f aca="false">IF(A4291="","",IF(AND(C4291&lt;&gt;"No encontrado",F4291&lt;&gt;"Inactivo"),C4291&amp;" → "&amp;F4291,"Sin transición"))</f>
        <v/>
      </c>
      <c r="H4291" s="23" t="str">
        <f aca="false">IF(A4291="","",IF(D4291="GCIA LINEA SERVICIO DIGITALIDAD Y VENTAS","Chats",IF(OR(D4291="GERENCIA INBOUND LÍNEAS SERVICIO Y VENTA",D4291="GERENCIA INBOUND LINEAS ESPECIALIZADAS"),"Llamadas","Otro")))</f>
        <v/>
      </c>
      <c r="I4291" s="23" t="str">
        <f aca="false">IF(A4291="","",IF(C4291="No encontrado","No","Sí"))</f>
        <v/>
      </c>
      <c r="J4291" s="23" t="str">
        <f aca="false">IF(A4291="","",IF(F4291="Inactivo","No","Sí"))</f>
        <v/>
      </c>
      <c r="K4291" s="23" t="str">
        <f aca="false">IF(A4291="","",IF(AND(I4291="Sí",J4291="Sí"),"Sí","No"))</f>
        <v/>
      </c>
    </row>
    <row r="4292" customFormat="false" ht="15" hidden="false" customHeight="false" outlineLevel="0" collapsed="false">
      <c r="A4292" s="22"/>
      <c r="B4292" s="22"/>
      <c r="C4292" s="26" t="str">
        <f aca="false">IF(A4292="","",IFERROR(buscarx(A4292&amp;B4292,DATA!$E$3:$E$10000&amp;DATA!$B$3:$B$10000,DATA!$M$3:$M$10000),"No encontrado"))</f>
        <v/>
      </c>
      <c r="D4292" s="27" t="str">
        <f aca="false">IF(A4292="","",IFERROR(buscarx(A4292&amp;B4292,DATA!$E$3:$E$10000&amp;DATA!$B$3:$B$10000,DATA!$W$3:$W$10000),"No encontrado"))</f>
        <v/>
      </c>
      <c r="E4292" s="22"/>
      <c r="F4292" s="26" t="str">
        <f aca="false">IF(A4292="","",IFERROR(buscarx(A4292&amp;E4292,DATA!$E$3:$E$10000&amp;DATA!$B$3:$B$10000,DATA!$M$3:$M$10000),"Inactivo"))</f>
        <v/>
      </c>
      <c r="G4292" s="28" t="str">
        <f aca="false">IF(A4292="","",IF(AND(C4292&lt;&gt;"No encontrado",F4292&lt;&gt;"Inactivo"),C4292&amp;" → "&amp;F4292,"Sin transición"))</f>
        <v/>
      </c>
      <c r="H4292" s="26" t="str">
        <f aca="false">IF(A4292="","",IF(D4292="GCIA LINEA SERVICIO DIGITALIDAD Y VENTAS","Chats",IF(OR(D4292="GERENCIA INBOUND LÍNEAS SERVICIO Y VENTA",D4292="GERENCIA INBOUND LINEAS ESPECIALIZADAS"),"Llamadas","Otro")))</f>
        <v/>
      </c>
      <c r="I4292" s="26" t="str">
        <f aca="false">IF(A4292="","",IF(C4292="No encontrado","No","Sí"))</f>
        <v/>
      </c>
      <c r="J4292" s="26" t="str">
        <f aca="false">IF(A4292="","",IF(F4292="Inactivo","No","Sí"))</f>
        <v/>
      </c>
      <c r="K4292" s="26" t="str">
        <f aca="false">IF(A4292="","",IF(AND(I4292="Sí",J4292="Sí"),"Sí","No"))</f>
        <v/>
      </c>
    </row>
    <row r="4293" customFormat="false" ht="15" hidden="false" customHeight="false" outlineLevel="0" collapsed="false">
      <c r="A4293" s="22"/>
      <c r="B4293" s="22"/>
      <c r="C4293" s="23" t="str">
        <f aca="false">IF(A4293="","",IFERROR(buscarx(A4293&amp;B4293,DATA!$E$3:$E$10000&amp;DATA!$B$3:$B$10000,DATA!$M$3:$M$10000),"No encontrado"))</f>
        <v/>
      </c>
      <c r="D4293" s="24" t="str">
        <f aca="false">IF(A4293="","",IFERROR(buscarx(A4293&amp;B4293,DATA!$E$3:$E$10000&amp;DATA!$B$3:$B$10000,DATA!$W$3:$W$10000),"No encontrado"))</f>
        <v/>
      </c>
      <c r="E4293" s="22"/>
      <c r="F4293" s="23" t="str">
        <f aca="false">IF(A4293="","",IFERROR(buscarx(A4293&amp;E4293,DATA!$E$3:$E$10000&amp;DATA!$B$3:$B$10000,DATA!$M$3:$M$10000),"Inactivo"))</f>
        <v/>
      </c>
      <c r="G4293" s="25" t="str">
        <f aca="false">IF(A4293="","",IF(AND(C4293&lt;&gt;"No encontrado",F4293&lt;&gt;"Inactivo"),C4293&amp;" → "&amp;F4293,"Sin transición"))</f>
        <v/>
      </c>
      <c r="H4293" s="23" t="str">
        <f aca="false">IF(A4293="","",IF(D4293="GCIA LINEA SERVICIO DIGITALIDAD Y VENTAS","Chats",IF(OR(D4293="GERENCIA INBOUND LÍNEAS SERVICIO Y VENTA",D4293="GERENCIA INBOUND LINEAS ESPECIALIZADAS"),"Llamadas","Otro")))</f>
        <v/>
      </c>
      <c r="I4293" s="23" t="str">
        <f aca="false">IF(A4293="","",IF(C4293="No encontrado","No","Sí"))</f>
        <v/>
      </c>
      <c r="J4293" s="23" t="str">
        <f aca="false">IF(A4293="","",IF(F4293="Inactivo","No","Sí"))</f>
        <v/>
      </c>
      <c r="K4293" s="23" t="str">
        <f aca="false">IF(A4293="","",IF(AND(I4293="Sí",J4293="Sí"),"Sí","No"))</f>
        <v/>
      </c>
    </row>
    <row r="4294" customFormat="false" ht="15" hidden="false" customHeight="false" outlineLevel="0" collapsed="false">
      <c r="A4294" s="22"/>
      <c r="B4294" s="22"/>
      <c r="C4294" s="26" t="str">
        <f aca="false">IF(A4294="","",IFERROR(buscarx(A4294&amp;B4294,DATA!$E$3:$E$10000&amp;DATA!$B$3:$B$10000,DATA!$M$3:$M$10000),"No encontrado"))</f>
        <v/>
      </c>
      <c r="D4294" s="27" t="str">
        <f aca="false">IF(A4294="","",IFERROR(buscarx(A4294&amp;B4294,DATA!$E$3:$E$10000&amp;DATA!$B$3:$B$10000,DATA!$W$3:$W$10000),"No encontrado"))</f>
        <v/>
      </c>
      <c r="E4294" s="22"/>
      <c r="F4294" s="26" t="str">
        <f aca="false">IF(A4294="","",IFERROR(buscarx(A4294&amp;E4294,DATA!$E$3:$E$10000&amp;DATA!$B$3:$B$10000,DATA!$M$3:$M$10000),"Inactivo"))</f>
        <v/>
      </c>
      <c r="G4294" s="28" t="str">
        <f aca="false">IF(A4294="","",IF(AND(C4294&lt;&gt;"No encontrado",F4294&lt;&gt;"Inactivo"),C4294&amp;" → "&amp;F4294,"Sin transición"))</f>
        <v/>
      </c>
      <c r="H4294" s="26" t="str">
        <f aca="false">IF(A4294="","",IF(D4294="GCIA LINEA SERVICIO DIGITALIDAD Y VENTAS","Chats",IF(OR(D4294="GERENCIA INBOUND LÍNEAS SERVICIO Y VENTA",D4294="GERENCIA INBOUND LINEAS ESPECIALIZADAS"),"Llamadas","Otro")))</f>
        <v/>
      </c>
      <c r="I4294" s="26" t="str">
        <f aca="false">IF(A4294="","",IF(C4294="No encontrado","No","Sí"))</f>
        <v/>
      </c>
      <c r="J4294" s="26" t="str">
        <f aca="false">IF(A4294="","",IF(F4294="Inactivo","No","Sí"))</f>
        <v/>
      </c>
      <c r="K4294" s="26" t="str">
        <f aca="false">IF(A4294="","",IF(AND(I4294="Sí",J4294="Sí"),"Sí","No"))</f>
        <v/>
      </c>
    </row>
    <row r="4295" customFormat="false" ht="15" hidden="false" customHeight="false" outlineLevel="0" collapsed="false">
      <c r="A4295" s="22"/>
      <c r="B4295" s="22"/>
      <c r="C4295" s="23" t="str">
        <f aca="false">IF(A4295="","",IFERROR(buscarx(A4295&amp;B4295,DATA!$E$3:$E$10000&amp;DATA!$B$3:$B$10000,DATA!$M$3:$M$10000),"No encontrado"))</f>
        <v/>
      </c>
      <c r="D4295" s="24" t="str">
        <f aca="false">IF(A4295="","",IFERROR(buscarx(A4295&amp;B4295,DATA!$E$3:$E$10000&amp;DATA!$B$3:$B$10000,DATA!$W$3:$W$10000),"No encontrado"))</f>
        <v/>
      </c>
      <c r="E4295" s="22"/>
      <c r="F4295" s="23" t="str">
        <f aca="false">IF(A4295="","",IFERROR(buscarx(A4295&amp;E4295,DATA!$E$3:$E$10000&amp;DATA!$B$3:$B$10000,DATA!$M$3:$M$10000),"Inactivo"))</f>
        <v/>
      </c>
      <c r="G4295" s="25" t="str">
        <f aca="false">IF(A4295="","",IF(AND(C4295&lt;&gt;"No encontrado",F4295&lt;&gt;"Inactivo"),C4295&amp;" → "&amp;F4295,"Sin transición"))</f>
        <v/>
      </c>
      <c r="H4295" s="23" t="str">
        <f aca="false">IF(A4295="","",IF(D4295="GCIA LINEA SERVICIO DIGITALIDAD Y VENTAS","Chats",IF(OR(D4295="GERENCIA INBOUND LÍNEAS SERVICIO Y VENTA",D4295="GERENCIA INBOUND LINEAS ESPECIALIZADAS"),"Llamadas","Otro")))</f>
        <v/>
      </c>
      <c r="I4295" s="23" t="str">
        <f aca="false">IF(A4295="","",IF(C4295="No encontrado","No","Sí"))</f>
        <v/>
      </c>
      <c r="J4295" s="23" t="str">
        <f aca="false">IF(A4295="","",IF(F4295="Inactivo","No","Sí"))</f>
        <v/>
      </c>
      <c r="K4295" s="23" t="str">
        <f aca="false">IF(A4295="","",IF(AND(I4295="Sí",J4295="Sí"),"Sí","No"))</f>
        <v/>
      </c>
    </row>
    <row r="4296" customFormat="false" ht="15" hidden="false" customHeight="false" outlineLevel="0" collapsed="false">
      <c r="A4296" s="22"/>
      <c r="B4296" s="22"/>
      <c r="C4296" s="26" t="str">
        <f aca="false">IF(A4296="","",IFERROR(buscarx(A4296&amp;B4296,DATA!$E$3:$E$10000&amp;DATA!$B$3:$B$10000,DATA!$M$3:$M$10000),"No encontrado"))</f>
        <v/>
      </c>
      <c r="D4296" s="27" t="str">
        <f aca="false">IF(A4296="","",IFERROR(buscarx(A4296&amp;B4296,DATA!$E$3:$E$10000&amp;DATA!$B$3:$B$10000,DATA!$W$3:$W$10000),"No encontrado"))</f>
        <v/>
      </c>
      <c r="E4296" s="22"/>
      <c r="F4296" s="26" t="str">
        <f aca="false">IF(A4296="","",IFERROR(buscarx(A4296&amp;E4296,DATA!$E$3:$E$10000&amp;DATA!$B$3:$B$10000,DATA!$M$3:$M$10000),"Inactivo"))</f>
        <v/>
      </c>
      <c r="G4296" s="28" t="str">
        <f aca="false">IF(A4296="","",IF(AND(C4296&lt;&gt;"No encontrado",F4296&lt;&gt;"Inactivo"),C4296&amp;" → "&amp;F4296,"Sin transición"))</f>
        <v/>
      </c>
      <c r="H4296" s="26" t="str">
        <f aca="false">IF(A4296="","",IF(D4296="GCIA LINEA SERVICIO DIGITALIDAD Y VENTAS","Chats",IF(OR(D4296="GERENCIA INBOUND LÍNEAS SERVICIO Y VENTA",D4296="GERENCIA INBOUND LINEAS ESPECIALIZADAS"),"Llamadas","Otro")))</f>
        <v/>
      </c>
      <c r="I4296" s="26" t="str">
        <f aca="false">IF(A4296="","",IF(C4296="No encontrado","No","Sí"))</f>
        <v/>
      </c>
      <c r="J4296" s="26" t="str">
        <f aca="false">IF(A4296="","",IF(F4296="Inactivo","No","Sí"))</f>
        <v/>
      </c>
      <c r="K4296" s="26" t="str">
        <f aca="false">IF(A4296="","",IF(AND(I4296="Sí",J4296="Sí"),"Sí","No"))</f>
        <v/>
      </c>
    </row>
    <row r="4297" customFormat="false" ht="15" hidden="false" customHeight="false" outlineLevel="0" collapsed="false">
      <c r="A4297" s="22"/>
      <c r="B4297" s="22"/>
      <c r="C4297" s="23" t="str">
        <f aca="false">IF(A4297="","",IFERROR(buscarx(A4297&amp;B4297,DATA!$E$3:$E$10000&amp;DATA!$B$3:$B$10000,DATA!$M$3:$M$10000),"No encontrado"))</f>
        <v/>
      </c>
      <c r="D4297" s="24" t="str">
        <f aca="false">IF(A4297="","",IFERROR(buscarx(A4297&amp;B4297,DATA!$E$3:$E$10000&amp;DATA!$B$3:$B$10000,DATA!$W$3:$W$10000),"No encontrado"))</f>
        <v/>
      </c>
      <c r="E4297" s="22"/>
      <c r="F4297" s="23" t="str">
        <f aca="false">IF(A4297="","",IFERROR(buscarx(A4297&amp;E4297,DATA!$E$3:$E$10000&amp;DATA!$B$3:$B$10000,DATA!$M$3:$M$10000),"Inactivo"))</f>
        <v/>
      </c>
      <c r="G4297" s="25" t="str">
        <f aca="false">IF(A4297="","",IF(AND(C4297&lt;&gt;"No encontrado",F4297&lt;&gt;"Inactivo"),C4297&amp;" → "&amp;F4297,"Sin transición"))</f>
        <v/>
      </c>
      <c r="H4297" s="23" t="str">
        <f aca="false">IF(A4297="","",IF(D4297="GCIA LINEA SERVICIO DIGITALIDAD Y VENTAS","Chats",IF(OR(D4297="GERENCIA INBOUND LÍNEAS SERVICIO Y VENTA",D4297="GERENCIA INBOUND LINEAS ESPECIALIZADAS"),"Llamadas","Otro")))</f>
        <v/>
      </c>
      <c r="I4297" s="23" t="str">
        <f aca="false">IF(A4297="","",IF(C4297="No encontrado","No","Sí"))</f>
        <v/>
      </c>
      <c r="J4297" s="23" t="str">
        <f aca="false">IF(A4297="","",IF(F4297="Inactivo","No","Sí"))</f>
        <v/>
      </c>
      <c r="K4297" s="23" t="str">
        <f aca="false">IF(A4297="","",IF(AND(I4297="Sí",J4297="Sí"),"Sí","No"))</f>
        <v/>
      </c>
    </row>
    <row r="4298" customFormat="false" ht="15" hidden="false" customHeight="false" outlineLevel="0" collapsed="false">
      <c r="A4298" s="22"/>
      <c r="B4298" s="22"/>
      <c r="C4298" s="26" t="str">
        <f aca="false">IF(A4298="","",IFERROR(buscarx(A4298&amp;B4298,DATA!$E$3:$E$10000&amp;DATA!$B$3:$B$10000,DATA!$M$3:$M$10000),"No encontrado"))</f>
        <v/>
      </c>
      <c r="D4298" s="27" t="str">
        <f aca="false">IF(A4298="","",IFERROR(buscarx(A4298&amp;B4298,DATA!$E$3:$E$10000&amp;DATA!$B$3:$B$10000,DATA!$W$3:$W$10000),"No encontrado"))</f>
        <v/>
      </c>
      <c r="E4298" s="22"/>
      <c r="F4298" s="26" t="str">
        <f aca="false">IF(A4298="","",IFERROR(buscarx(A4298&amp;E4298,DATA!$E$3:$E$10000&amp;DATA!$B$3:$B$10000,DATA!$M$3:$M$10000),"Inactivo"))</f>
        <v/>
      </c>
      <c r="G4298" s="28" t="str">
        <f aca="false">IF(A4298="","",IF(AND(C4298&lt;&gt;"No encontrado",F4298&lt;&gt;"Inactivo"),C4298&amp;" → "&amp;F4298,"Sin transición"))</f>
        <v/>
      </c>
      <c r="H4298" s="26" t="str">
        <f aca="false">IF(A4298="","",IF(D4298="GCIA LINEA SERVICIO DIGITALIDAD Y VENTAS","Chats",IF(OR(D4298="GERENCIA INBOUND LÍNEAS SERVICIO Y VENTA",D4298="GERENCIA INBOUND LINEAS ESPECIALIZADAS"),"Llamadas","Otro")))</f>
        <v/>
      </c>
      <c r="I4298" s="26" t="str">
        <f aca="false">IF(A4298="","",IF(C4298="No encontrado","No","Sí"))</f>
        <v/>
      </c>
      <c r="J4298" s="26" t="str">
        <f aca="false">IF(A4298="","",IF(F4298="Inactivo","No","Sí"))</f>
        <v/>
      </c>
      <c r="K4298" s="26" t="str">
        <f aca="false">IF(A4298="","",IF(AND(I4298="Sí",J4298="Sí"),"Sí","No"))</f>
        <v/>
      </c>
    </row>
    <row r="4299" customFormat="false" ht="15" hidden="false" customHeight="false" outlineLevel="0" collapsed="false">
      <c r="A4299" s="22"/>
      <c r="B4299" s="22"/>
      <c r="C4299" s="23" t="str">
        <f aca="false">IF(A4299="","",IFERROR(buscarx(A4299&amp;B4299,DATA!$E$3:$E$10000&amp;DATA!$B$3:$B$10000,DATA!$M$3:$M$10000),"No encontrado"))</f>
        <v/>
      </c>
      <c r="D4299" s="24" t="str">
        <f aca="false">IF(A4299="","",IFERROR(buscarx(A4299&amp;B4299,DATA!$E$3:$E$10000&amp;DATA!$B$3:$B$10000,DATA!$W$3:$W$10000),"No encontrado"))</f>
        <v/>
      </c>
      <c r="E4299" s="22"/>
      <c r="F4299" s="23" t="str">
        <f aca="false">IF(A4299="","",IFERROR(buscarx(A4299&amp;E4299,DATA!$E$3:$E$10000&amp;DATA!$B$3:$B$10000,DATA!$M$3:$M$10000),"Inactivo"))</f>
        <v/>
      </c>
      <c r="G4299" s="25" t="str">
        <f aca="false">IF(A4299="","",IF(AND(C4299&lt;&gt;"No encontrado",F4299&lt;&gt;"Inactivo"),C4299&amp;" → "&amp;F4299,"Sin transición"))</f>
        <v/>
      </c>
      <c r="H4299" s="23" t="str">
        <f aca="false">IF(A4299="","",IF(D4299="GCIA LINEA SERVICIO DIGITALIDAD Y VENTAS","Chats",IF(OR(D4299="GERENCIA INBOUND LÍNEAS SERVICIO Y VENTA",D4299="GERENCIA INBOUND LINEAS ESPECIALIZADAS"),"Llamadas","Otro")))</f>
        <v/>
      </c>
      <c r="I4299" s="23" t="str">
        <f aca="false">IF(A4299="","",IF(C4299="No encontrado","No","Sí"))</f>
        <v/>
      </c>
      <c r="J4299" s="23" t="str">
        <f aca="false">IF(A4299="","",IF(F4299="Inactivo","No","Sí"))</f>
        <v/>
      </c>
      <c r="K4299" s="23" t="str">
        <f aca="false">IF(A4299="","",IF(AND(I4299="Sí",J4299="Sí"),"Sí","No"))</f>
        <v/>
      </c>
    </row>
    <row r="4300" customFormat="false" ht="15" hidden="false" customHeight="false" outlineLevel="0" collapsed="false">
      <c r="A4300" s="22"/>
      <c r="B4300" s="22"/>
      <c r="C4300" s="26" t="str">
        <f aca="false">IF(A4300="","",IFERROR(buscarx(A4300&amp;B4300,DATA!$E$3:$E$10000&amp;DATA!$B$3:$B$10000,DATA!$M$3:$M$10000),"No encontrado"))</f>
        <v/>
      </c>
      <c r="D4300" s="27" t="str">
        <f aca="false">IF(A4300="","",IFERROR(buscarx(A4300&amp;B4300,DATA!$E$3:$E$10000&amp;DATA!$B$3:$B$10000,DATA!$W$3:$W$10000),"No encontrado"))</f>
        <v/>
      </c>
      <c r="E4300" s="22"/>
      <c r="F4300" s="26" t="str">
        <f aca="false">IF(A4300="","",IFERROR(buscarx(A4300&amp;E4300,DATA!$E$3:$E$10000&amp;DATA!$B$3:$B$10000,DATA!$M$3:$M$10000),"Inactivo"))</f>
        <v/>
      </c>
      <c r="G4300" s="28" t="str">
        <f aca="false">IF(A4300="","",IF(AND(C4300&lt;&gt;"No encontrado",F4300&lt;&gt;"Inactivo"),C4300&amp;" → "&amp;F4300,"Sin transición"))</f>
        <v/>
      </c>
      <c r="H4300" s="26" t="str">
        <f aca="false">IF(A4300="","",IF(D4300="GCIA LINEA SERVICIO DIGITALIDAD Y VENTAS","Chats",IF(OR(D4300="GERENCIA INBOUND LÍNEAS SERVICIO Y VENTA",D4300="GERENCIA INBOUND LINEAS ESPECIALIZADAS"),"Llamadas","Otro")))</f>
        <v/>
      </c>
      <c r="I4300" s="26" t="str">
        <f aca="false">IF(A4300="","",IF(C4300="No encontrado","No","Sí"))</f>
        <v/>
      </c>
      <c r="J4300" s="26" t="str">
        <f aca="false">IF(A4300="","",IF(F4300="Inactivo","No","Sí"))</f>
        <v/>
      </c>
      <c r="K4300" s="26" t="str">
        <f aca="false">IF(A4300="","",IF(AND(I4300="Sí",J4300="Sí"),"Sí","No"))</f>
        <v/>
      </c>
    </row>
    <row r="4301" customFormat="false" ht="15" hidden="false" customHeight="false" outlineLevel="0" collapsed="false">
      <c r="A4301" s="22"/>
      <c r="B4301" s="22"/>
      <c r="C4301" s="23" t="str">
        <f aca="false">IF(A4301="","",IFERROR(buscarx(A4301&amp;B4301,DATA!$E$3:$E$10000&amp;DATA!$B$3:$B$10000,DATA!$M$3:$M$10000),"No encontrado"))</f>
        <v/>
      </c>
      <c r="D4301" s="24" t="str">
        <f aca="false">IF(A4301="","",IFERROR(buscarx(A4301&amp;B4301,DATA!$E$3:$E$10000&amp;DATA!$B$3:$B$10000,DATA!$W$3:$W$10000),"No encontrado"))</f>
        <v/>
      </c>
      <c r="E4301" s="22"/>
      <c r="F4301" s="23" t="str">
        <f aca="false">IF(A4301="","",IFERROR(buscarx(A4301&amp;E4301,DATA!$E$3:$E$10000&amp;DATA!$B$3:$B$10000,DATA!$M$3:$M$10000),"Inactivo"))</f>
        <v/>
      </c>
      <c r="G4301" s="25" t="str">
        <f aca="false">IF(A4301="","",IF(AND(C4301&lt;&gt;"No encontrado",F4301&lt;&gt;"Inactivo"),C4301&amp;" → "&amp;F4301,"Sin transición"))</f>
        <v/>
      </c>
      <c r="H4301" s="23" t="str">
        <f aca="false">IF(A4301="","",IF(D4301="GCIA LINEA SERVICIO DIGITALIDAD Y VENTAS","Chats",IF(OR(D4301="GERENCIA INBOUND LÍNEAS SERVICIO Y VENTA",D4301="GERENCIA INBOUND LINEAS ESPECIALIZADAS"),"Llamadas","Otro")))</f>
        <v/>
      </c>
      <c r="I4301" s="23" t="str">
        <f aca="false">IF(A4301="","",IF(C4301="No encontrado","No","Sí"))</f>
        <v/>
      </c>
      <c r="J4301" s="23" t="str">
        <f aca="false">IF(A4301="","",IF(F4301="Inactivo","No","Sí"))</f>
        <v/>
      </c>
      <c r="K4301" s="23" t="str">
        <f aca="false">IF(A4301="","",IF(AND(I4301="Sí",J4301="Sí"),"Sí","No"))</f>
        <v/>
      </c>
    </row>
    <row r="4302" customFormat="false" ht="15" hidden="false" customHeight="false" outlineLevel="0" collapsed="false">
      <c r="A4302" s="22"/>
      <c r="B4302" s="22"/>
      <c r="C4302" s="26" t="str">
        <f aca="false">IF(A4302="","",IFERROR(buscarx(A4302&amp;B4302,DATA!$E$3:$E$10000&amp;DATA!$B$3:$B$10000,DATA!$M$3:$M$10000),"No encontrado"))</f>
        <v/>
      </c>
      <c r="D4302" s="27" t="str">
        <f aca="false">IF(A4302="","",IFERROR(buscarx(A4302&amp;B4302,DATA!$E$3:$E$10000&amp;DATA!$B$3:$B$10000,DATA!$W$3:$W$10000),"No encontrado"))</f>
        <v/>
      </c>
      <c r="E4302" s="22"/>
      <c r="F4302" s="26" t="str">
        <f aca="false">IF(A4302="","",IFERROR(buscarx(A4302&amp;E4302,DATA!$E$3:$E$10000&amp;DATA!$B$3:$B$10000,DATA!$M$3:$M$10000),"Inactivo"))</f>
        <v/>
      </c>
      <c r="G4302" s="28" t="str">
        <f aca="false">IF(A4302="","",IF(AND(C4302&lt;&gt;"No encontrado",F4302&lt;&gt;"Inactivo"),C4302&amp;" → "&amp;F4302,"Sin transición"))</f>
        <v/>
      </c>
      <c r="H4302" s="26" t="str">
        <f aca="false">IF(A4302="","",IF(D4302="GCIA LINEA SERVICIO DIGITALIDAD Y VENTAS","Chats",IF(OR(D4302="GERENCIA INBOUND LÍNEAS SERVICIO Y VENTA",D4302="GERENCIA INBOUND LINEAS ESPECIALIZADAS"),"Llamadas","Otro")))</f>
        <v/>
      </c>
      <c r="I4302" s="26" t="str">
        <f aca="false">IF(A4302="","",IF(C4302="No encontrado","No","Sí"))</f>
        <v/>
      </c>
      <c r="J4302" s="26" t="str">
        <f aca="false">IF(A4302="","",IF(F4302="Inactivo","No","Sí"))</f>
        <v/>
      </c>
      <c r="K4302" s="26" t="str">
        <f aca="false">IF(A4302="","",IF(AND(I4302="Sí",J4302="Sí"),"Sí","No"))</f>
        <v/>
      </c>
    </row>
    <row r="4303" customFormat="false" ht="15" hidden="false" customHeight="false" outlineLevel="0" collapsed="false">
      <c r="A4303" s="22"/>
      <c r="B4303" s="22"/>
      <c r="C4303" s="23" t="str">
        <f aca="false">IF(A4303="","",IFERROR(buscarx(A4303&amp;B4303,DATA!$E$3:$E$10000&amp;DATA!$B$3:$B$10000,DATA!$M$3:$M$10000),"No encontrado"))</f>
        <v/>
      </c>
      <c r="D4303" s="24" t="str">
        <f aca="false">IF(A4303="","",IFERROR(buscarx(A4303&amp;B4303,DATA!$E$3:$E$10000&amp;DATA!$B$3:$B$10000,DATA!$W$3:$W$10000),"No encontrado"))</f>
        <v/>
      </c>
      <c r="E4303" s="22"/>
      <c r="F4303" s="23" t="str">
        <f aca="false">IF(A4303="","",IFERROR(buscarx(A4303&amp;E4303,DATA!$E$3:$E$10000&amp;DATA!$B$3:$B$10000,DATA!$M$3:$M$10000),"Inactivo"))</f>
        <v/>
      </c>
      <c r="G4303" s="25" t="str">
        <f aca="false">IF(A4303="","",IF(AND(C4303&lt;&gt;"No encontrado",F4303&lt;&gt;"Inactivo"),C4303&amp;" → "&amp;F4303,"Sin transición"))</f>
        <v/>
      </c>
      <c r="H4303" s="23" t="str">
        <f aca="false">IF(A4303="","",IF(D4303="GCIA LINEA SERVICIO DIGITALIDAD Y VENTAS","Chats",IF(OR(D4303="GERENCIA INBOUND LÍNEAS SERVICIO Y VENTA",D4303="GERENCIA INBOUND LINEAS ESPECIALIZADAS"),"Llamadas","Otro")))</f>
        <v/>
      </c>
      <c r="I4303" s="23" t="str">
        <f aca="false">IF(A4303="","",IF(C4303="No encontrado","No","Sí"))</f>
        <v/>
      </c>
      <c r="J4303" s="23" t="str">
        <f aca="false">IF(A4303="","",IF(F4303="Inactivo","No","Sí"))</f>
        <v/>
      </c>
      <c r="K4303" s="23" t="str">
        <f aca="false">IF(A4303="","",IF(AND(I4303="Sí",J4303="Sí"),"Sí","No"))</f>
        <v/>
      </c>
    </row>
    <row r="4304" customFormat="false" ht="15" hidden="false" customHeight="false" outlineLevel="0" collapsed="false">
      <c r="A4304" s="22"/>
      <c r="B4304" s="22"/>
      <c r="C4304" s="26" t="str">
        <f aca="false">IF(A4304="","",IFERROR(buscarx(A4304&amp;B4304,DATA!$E$3:$E$10000&amp;DATA!$B$3:$B$10000,DATA!$M$3:$M$10000),"No encontrado"))</f>
        <v/>
      </c>
      <c r="D4304" s="27" t="str">
        <f aca="false">IF(A4304="","",IFERROR(buscarx(A4304&amp;B4304,DATA!$E$3:$E$10000&amp;DATA!$B$3:$B$10000,DATA!$W$3:$W$10000),"No encontrado"))</f>
        <v/>
      </c>
      <c r="E4304" s="22"/>
      <c r="F4304" s="26" t="str">
        <f aca="false">IF(A4304="","",IFERROR(buscarx(A4304&amp;E4304,DATA!$E$3:$E$10000&amp;DATA!$B$3:$B$10000,DATA!$M$3:$M$10000),"Inactivo"))</f>
        <v/>
      </c>
      <c r="G4304" s="28" t="str">
        <f aca="false">IF(A4304="","",IF(AND(C4304&lt;&gt;"No encontrado",F4304&lt;&gt;"Inactivo"),C4304&amp;" → "&amp;F4304,"Sin transición"))</f>
        <v/>
      </c>
      <c r="H4304" s="26" t="str">
        <f aca="false">IF(A4304="","",IF(D4304="GCIA LINEA SERVICIO DIGITALIDAD Y VENTAS","Chats",IF(OR(D4304="GERENCIA INBOUND LÍNEAS SERVICIO Y VENTA",D4304="GERENCIA INBOUND LINEAS ESPECIALIZADAS"),"Llamadas","Otro")))</f>
        <v/>
      </c>
      <c r="I4304" s="26" t="str">
        <f aca="false">IF(A4304="","",IF(C4304="No encontrado","No","Sí"))</f>
        <v/>
      </c>
      <c r="J4304" s="26" t="str">
        <f aca="false">IF(A4304="","",IF(F4304="Inactivo","No","Sí"))</f>
        <v/>
      </c>
      <c r="K4304" s="26" t="str">
        <f aca="false">IF(A4304="","",IF(AND(I4304="Sí",J4304="Sí"),"Sí","No"))</f>
        <v/>
      </c>
    </row>
    <row r="4305" customFormat="false" ht="15" hidden="false" customHeight="false" outlineLevel="0" collapsed="false">
      <c r="A4305" s="22"/>
      <c r="B4305" s="22"/>
      <c r="C4305" s="23" t="str">
        <f aca="false">IF(A4305="","",IFERROR(buscarx(A4305&amp;B4305,DATA!$E$3:$E$10000&amp;DATA!$B$3:$B$10000,DATA!$M$3:$M$10000),"No encontrado"))</f>
        <v/>
      </c>
      <c r="D4305" s="24" t="str">
        <f aca="false">IF(A4305="","",IFERROR(buscarx(A4305&amp;B4305,DATA!$E$3:$E$10000&amp;DATA!$B$3:$B$10000,DATA!$W$3:$W$10000),"No encontrado"))</f>
        <v/>
      </c>
      <c r="E4305" s="22"/>
      <c r="F4305" s="23" t="str">
        <f aca="false">IF(A4305="","",IFERROR(buscarx(A4305&amp;E4305,DATA!$E$3:$E$10000&amp;DATA!$B$3:$B$10000,DATA!$M$3:$M$10000),"Inactivo"))</f>
        <v/>
      </c>
      <c r="G4305" s="25" t="str">
        <f aca="false">IF(A4305="","",IF(AND(C4305&lt;&gt;"No encontrado",F4305&lt;&gt;"Inactivo"),C4305&amp;" → "&amp;F4305,"Sin transición"))</f>
        <v/>
      </c>
      <c r="H4305" s="23" t="str">
        <f aca="false">IF(A4305="","",IF(D4305="GCIA LINEA SERVICIO DIGITALIDAD Y VENTAS","Chats",IF(OR(D4305="GERENCIA INBOUND LÍNEAS SERVICIO Y VENTA",D4305="GERENCIA INBOUND LINEAS ESPECIALIZADAS"),"Llamadas","Otro")))</f>
        <v/>
      </c>
      <c r="I4305" s="23" t="str">
        <f aca="false">IF(A4305="","",IF(C4305="No encontrado","No","Sí"))</f>
        <v/>
      </c>
      <c r="J4305" s="23" t="str">
        <f aca="false">IF(A4305="","",IF(F4305="Inactivo","No","Sí"))</f>
        <v/>
      </c>
      <c r="K4305" s="23" t="str">
        <f aca="false">IF(A4305="","",IF(AND(I4305="Sí",J4305="Sí"),"Sí","No"))</f>
        <v/>
      </c>
    </row>
    <row r="4306" customFormat="false" ht="15" hidden="false" customHeight="false" outlineLevel="0" collapsed="false">
      <c r="A4306" s="22"/>
      <c r="B4306" s="22"/>
      <c r="C4306" s="26" t="str">
        <f aca="false">IF(A4306="","",IFERROR(buscarx(A4306&amp;B4306,DATA!$E$3:$E$10000&amp;DATA!$B$3:$B$10000,DATA!$M$3:$M$10000),"No encontrado"))</f>
        <v/>
      </c>
      <c r="D4306" s="27" t="str">
        <f aca="false">IF(A4306="","",IFERROR(buscarx(A4306&amp;B4306,DATA!$E$3:$E$10000&amp;DATA!$B$3:$B$10000,DATA!$W$3:$W$10000),"No encontrado"))</f>
        <v/>
      </c>
      <c r="E4306" s="22"/>
      <c r="F4306" s="26" t="str">
        <f aca="false">IF(A4306="","",IFERROR(buscarx(A4306&amp;E4306,DATA!$E$3:$E$10000&amp;DATA!$B$3:$B$10000,DATA!$M$3:$M$10000),"Inactivo"))</f>
        <v/>
      </c>
      <c r="G4306" s="28" t="str">
        <f aca="false">IF(A4306="","",IF(AND(C4306&lt;&gt;"No encontrado",F4306&lt;&gt;"Inactivo"),C4306&amp;" → "&amp;F4306,"Sin transición"))</f>
        <v/>
      </c>
      <c r="H4306" s="26" t="str">
        <f aca="false">IF(A4306="","",IF(D4306="GCIA LINEA SERVICIO DIGITALIDAD Y VENTAS","Chats",IF(OR(D4306="GERENCIA INBOUND LÍNEAS SERVICIO Y VENTA",D4306="GERENCIA INBOUND LINEAS ESPECIALIZADAS"),"Llamadas","Otro")))</f>
        <v/>
      </c>
      <c r="I4306" s="26" t="str">
        <f aca="false">IF(A4306="","",IF(C4306="No encontrado","No","Sí"))</f>
        <v/>
      </c>
      <c r="J4306" s="26" t="str">
        <f aca="false">IF(A4306="","",IF(F4306="Inactivo","No","Sí"))</f>
        <v/>
      </c>
      <c r="K4306" s="26" t="str">
        <f aca="false">IF(A4306="","",IF(AND(I4306="Sí",J4306="Sí"),"Sí","No"))</f>
        <v/>
      </c>
    </row>
    <row r="4307" customFormat="false" ht="15" hidden="false" customHeight="false" outlineLevel="0" collapsed="false">
      <c r="A4307" s="22"/>
      <c r="B4307" s="22"/>
      <c r="C4307" s="23" t="str">
        <f aca="false">IF(A4307="","",IFERROR(buscarx(A4307&amp;B4307,DATA!$E$3:$E$10000&amp;DATA!$B$3:$B$10000,DATA!$M$3:$M$10000),"No encontrado"))</f>
        <v/>
      </c>
      <c r="D4307" s="24" t="str">
        <f aca="false">IF(A4307="","",IFERROR(buscarx(A4307&amp;B4307,DATA!$E$3:$E$10000&amp;DATA!$B$3:$B$10000,DATA!$W$3:$W$10000),"No encontrado"))</f>
        <v/>
      </c>
      <c r="E4307" s="22"/>
      <c r="F4307" s="23" t="str">
        <f aca="false">IF(A4307="","",IFERROR(buscarx(A4307&amp;E4307,DATA!$E$3:$E$10000&amp;DATA!$B$3:$B$10000,DATA!$M$3:$M$10000),"Inactivo"))</f>
        <v/>
      </c>
      <c r="G4307" s="25" t="str">
        <f aca="false">IF(A4307="","",IF(AND(C4307&lt;&gt;"No encontrado",F4307&lt;&gt;"Inactivo"),C4307&amp;" → "&amp;F4307,"Sin transición"))</f>
        <v/>
      </c>
      <c r="H4307" s="23" t="str">
        <f aca="false">IF(A4307="","",IF(D4307="GCIA LINEA SERVICIO DIGITALIDAD Y VENTAS","Chats",IF(OR(D4307="GERENCIA INBOUND LÍNEAS SERVICIO Y VENTA",D4307="GERENCIA INBOUND LINEAS ESPECIALIZADAS"),"Llamadas","Otro")))</f>
        <v/>
      </c>
      <c r="I4307" s="23" t="str">
        <f aca="false">IF(A4307="","",IF(C4307="No encontrado","No","Sí"))</f>
        <v/>
      </c>
      <c r="J4307" s="23" t="str">
        <f aca="false">IF(A4307="","",IF(F4307="Inactivo","No","Sí"))</f>
        <v/>
      </c>
      <c r="K4307" s="23" t="str">
        <f aca="false">IF(A4307="","",IF(AND(I4307="Sí",J4307="Sí"),"Sí","No"))</f>
        <v/>
      </c>
    </row>
    <row r="4308" customFormat="false" ht="15" hidden="false" customHeight="false" outlineLevel="0" collapsed="false">
      <c r="A4308" s="22"/>
      <c r="B4308" s="22"/>
      <c r="C4308" s="26" t="str">
        <f aca="false">IF(A4308="","",IFERROR(buscarx(A4308&amp;B4308,DATA!$E$3:$E$10000&amp;DATA!$B$3:$B$10000,DATA!$M$3:$M$10000),"No encontrado"))</f>
        <v/>
      </c>
      <c r="D4308" s="27" t="str">
        <f aca="false">IF(A4308="","",IFERROR(buscarx(A4308&amp;B4308,DATA!$E$3:$E$10000&amp;DATA!$B$3:$B$10000,DATA!$W$3:$W$10000),"No encontrado"))</f>
        <v/>
      </c>
      <c r="E4308" s="22"/>
      <c r="F4308" s="26" t="str">
        <f aca="false">IF(A4308="","",IFERROR(buscarx(A4308&amp;E4308,DATA!$E$3:$E$10000&amp;DATA!$B$3:$B$10000,DATA!$M$3:$M$10000),"Inactivo"))</f>
        <v/>
      </c>
      <c r="G4308" s="28" t="str">
        <f aca="false">IF(A4308="","",IF(AND(C4308&lt;&gt;"No encontrado",F4308&lt;&gt;"Inactivo"),C4308&amp;" → "&amp;F4308,"Sin transición"))</f>
        <v/>
      </c>
      <c r="H4308" s="26" t="str">
        <f aca="false">IF(A4308="","",IF(D4308="GCIA LINEA SERVICIO DIGITALIDAD Y VENTAS","Chats",IF(OR(D4308="GERENCIA INBOUND LÍNEAS SERVICIO Y VENTA",D4308="GERENCIA INBOUND LINEAS ESPECIALIZADAS"),"Llamadas","Otro")))</f>
        <v/>
      </c>
      <c r="I4308" s="26" t="str">
        <f aca="false">IF(A4308="","",IF(C4308="No encontrado","No","Sí"))</f>
        <v/>
      </c>
      <c r="J4308" s="26" t="str">
        <f aca="false">IF(A4308="","",IF(F4308="Inactivo","No","Sí"))</f>
        <v/>
      </c>
      <c r="K4308" s="26" t="str">
        <f aca="false">IF(A4308="","",IF(AND(I4308="Sí",J4308="Sí"),"Sí","No"))</f>
        <v/>
      </c>
    </row>
    <row r="4309" customFormat="false" ht="15" hidden="false" customHeight="false" outlineLevel="0" collapsed="false">
      <c r="A4309" s="22"/>
      <c r="B4309" s="22"/>
      <c r="C4309" s="23" t="str">
        <f aca="false">IF(A4309="","",IFERROR(buscarx(A4309&amp;B4309,DATA!$E$3:$E$10000&amp;DATA!$B$3:$B$10000,DATA!$M$3:$M$10000),"No encontrado"))</f>
        <v/>
      </c>
      <c r="D4309" s="24" t="str">
        <f aca="false">IF(A4309="","",IFERROR(buscarx(A4309&amp;B4309,DATA!$E$3:$E$10000&amp;DATA!$B$3:$B$10000,DATA!$W$3:$W$10000),"No encontrado"))</f>
        <v/>
      </c>
      <c r="E4309" s="22"/>
      <c r="F4309" s="23" t="str">
        <f aca="false">IF(A4309="","",IFERROR(buscarx(A4309&amp;E4309,DATA!$E$3:$E$10000&amp;DATA!$B$3:$B$10000,DATA!$M$3:$M$10000),"Inactivo"))</f>
        <v/>
      </c>
      <c r="G4309" s="25" t="str">
        <f aca="false">IF(A4309="","",IF(AND(C4309&lt;&gt;"No encontrado",F4309&lt;&gt;"Inactivo"),C4309&amp;" → "&amp;F4309,"Sin transición"))</f>
        <v/>
      </c>
      <c r="H4309" s="23" t="str">
        <f aca="false">IF(A4309="","",IF(D4309="GCIA LINEA SERVICIO DIGITALIDAD Y VENTAS","Chats",IF(OR(D4309="GERENCIA INBOUND LÍNEAS SERVICIO Y VENTA",D4309="GERENCIA INBOUND LINEAS ESPECIALIZADAS"),"Llamadas","Otro")))</f>
        <v/>
      </c>
      <c r="I4309" s="23" t="str">
        <f aca="false">IF(A4309="","",IF(C4309="No encontrado","No","Sí"))</f>
        <v/>
      </c>
      <c r="J4309" s="23" t="str">
        <f aca="false">IF(A4309="","",IF(F4309="Inactivo","No","Sí"))</f>
        <v/>
      </c>
      <c r="K4309" s="23" t="str">
        <f aca="false">IF(A4309="","",IF(AND(I4309="Sí",J4309="Sí"),"Sí","No"))</f>
        <v/>
      </c>
    </row>
    <row r="4310" customFormat="false" ht="15" hidden="false" customHeight="false" outlineLevel="0" collapsed="false">
      <c r="A4310" s="22"/>
      <c r="B4310" s="22"/>
      <c r="C4310" s="26" t="str">
        <f aca="false">IF(A4310="","",IFERROR(buscarx(A4310&amp;B4310,DATA!$E$3:$E$10000&amp;DATA!$B$3:$B$10000,DATA!$M$3:$M$10000),"No encontrado"))</f>
        <v/>
      </c>
      <c r="D4310" s="27" t="str">
        <f aca="false">IF(A4310="","",IFERROR(buscarx(A4310&amp;B4310,DATA!$E$3:$E$10000&amp;DATA!$B$3:$B$10000,DATA!$W$3:$W$10000),"No encontrado"))</f>
        <v/>
      </c>
      <c r="E4310" s="22"/>
      <c r="F4310" s="26" t="str">
        <f aca="false">IF(A4310="","",IFERROR(buscarx(A4310&amp;E4310,DATA!$E$3:$E$10000&amp;DATA!$B$3:$B$10000,DATA!$M$3:$M$10000),"Inactivo"))</f>
        <v/>
      </c>
      <c r="G4310" s="28" t="str">
        <f aca="false">IF(A4310="","",IF(AND(C4310&lt;&gt;"No encontrado",F4310&lt;&gt;"Inactivo"),C4310&amp;" → "&amp;F4310,"Sin transición"))</f>
        <v/>
      </c>
      <c r="H4310" s="26" t="str">
        <f aca="false">IF(A4310="","",IF(D4310="GCIA LINEA SERVICIO DIGITALIDAD Y VENTAS","Chats",IF(OR(D4310="GERENCIA INBOUND LÍNEAS SERVICIO Y VENTA",D4310="GERENCIA INBOUND LINEAS ESPECIALIZADAS"),"Llamadas","Otro")))</f>
        <v/>
      </c>
      <c r="I4310" s="26" t="str">
        <f aca="false">IF(A4310="","",IF(C4310="No encontrado","No","Sí"))</f>
        <v/>
      </c>
      <c r="J4310" s="26" t="str">
        <f aca="false">IF(A4310="","",IF(F4310="Inactivo","No","Sí"))</f>
        <v/>
      </c>
      <c r="K4310" s="26" t="str">
        <f aca="false">IF(A4310="","",IF(AND(I4310="Sí",J4310="Sí"),"Sí","No"))</f>
        <v/>
      </c>
    </row>
    <row r="4311" customFormat="false" ht="15" hidden="false" customHeight="false" outlineLevel="0" collapsed="false">
      <c r="A4311" s="22"/>
      <c r="B4311" s="22"/>
      <c r="C4311" s="23" t="str">
        <f aca="false">IF(A4311="","",IFERROR(buscarx(A4311&amp;B4311,DATA!$E$3:$E$10000&amp;DATA!$B$3:$B$10000,DATA!$M$3:$M$10000),"No encontrado"))</f>
        <v/>
      </c>
      <c r="D4311" s="24" t="str">
        <f aca="false">IF(A4311="","",IFERROR(buscarx(A4311&amp;B4311,DATA!$E$3:$E$10000&amp;DATA!$B$3:$B$10000,DATA!$W$3:$W$10000),"No encontrado"))</f>
        <v/>
      </c>
      <c r="E4311" s="22"/>
      <c r="F4311" s="23" t="str">
        <f aca="false">IF(A4311="","",IFERROR(buscarx(A4311&amp;E4311,DATA!$E$3:$E$10000&amp;DATA!$B$3:$B$10000,DATA!$M$3:$M$10000),"Inactivo"))</f>
        <v/>
      </c>
      <c r="G4311" s="25" t="str">
        <f aca="false">IF(A4311="","",IF(AND(C4311&lt;&gt;"No encontrado",F4311&lt;&gt;"Inactivo"),C4311&amp;" → "&amp;F4311,"Sin transición"))</f>
        <v/>
      </c>
      <c r="H4311" s="23" t="str">
        <f aca="false">IF(A4311="","",IF(D4311="GCIA LINEA SERVICIO DIGITALIDAD Y VENTAS","Chats",IF(OR(D4311="GERENCIA INBOUND LÍNEAS SERVICIO Y VENTA",D4311="GERENCIA INBOUND LINEAS ESPECIALIZADAS"),"Llamadas","Otro")))</f>
        <v/>
      </c>
      <c r="I4311" s="23" t="str">
        <f aca="false">IF(A4311="","",IF(C4311="No encontrado","No","Sí"))</f>
        <v/>
      </c>
      <c r="J4311" s="23" t="str">
        <f aca="false">IF(A4311="","",IF(F4311="Inactivo","No","Sí"))</f>
        <v/>
      </c>
      <c r="K4311" s="23" t="str">
        <f aca="false">IF(A4311="","",IF(AND(I4311="Sí",J4311="Sí"),"Sí","No"))</f>
        <v/>
      </c>
    </row>
    <row r="4312" customFormat="false" ht="15" hidden="false" customHeight="false" outlineLevel="0" collapsed="false">
      <c r="A4312" s="22"/>
      <c r="B4312" s="22"/>
      <c r="C4312" s="26" t="str">
        <f aca="false">IF(A4312="","",IFERROR(buscarx(A4312&amp;B4312,DATA!$E$3:$E$10000&amp;DATA!$B$3:$B$10000,DATA!$M$3:$M$10000),"No encontrado"))</f>
        <v/>
      </c>
      <c r="D4312" s="27" t="str">
        <f aca="false">IF(A4312="","",IFERROR(buscarx(A4312&amp;B4312,DATA!$E$3:$E$10000&amp;DATA!$B$3:$B$10000,DATA!$W$3:$W$10000),"No encontrado"))</f>
        <v/>
      </c>
      <c r="E4312" s="22"/>
      <c r="F4312" s="26" t="str">
        <f aca="false">IF(A4312="","",IFERROR(buscarx(A4312&amp;E4312,DATA!$E$3:$E$10000&amp;DATA!$B$3:$B$10000,DATA!$M$3:$M$10000),"Inactivo"))</f>
        <v/>
      </c>
      <c r="G4312" s="28" t="str">
        <f aca="false">IF(A4312="","",IF(AND(C4312&lt;&gt;"No encontrado",F4312&lt;&gt;"Inactivo"),C4312&amp;" → "&amp;F4312,"Sin transición"))</f>
        <v/>
      </c>
      <c r="H4312" s="26" t="str">
        <f aca="false">IF(A4312="","",IF(D4312="GCIA LINEA SERVICIO DIGITALIDAD Y VENTAS","Chats",IF(OR(D4312="GERENCIA INBOUND LÍNEAS SERVICIO Y VENTA",D4312="GERENCIA INBOUND LINEAS ESPECIALIZADAS"),"Llamadas","Otro")))</f>
        <v/>
      </c>
      <c r="I4312" s="26" t="str">
        <f aca="false">IF(A4312="","",IF(C4312="No encontrado","No","Sí"))</f>
        <v/>
      </c>
      <c r="J4312" s="26" t="str">
        <f aca="false">IF(A4312="","",IF(F4312="Inactivo","No","Sí"))</f>
        <v/>
      </c>
      <c r="K4312" s="26" t="str">
        <f aca="false">IF(A4312="","",IF(AND(I4312="Sí",J4312="Sí"),"Sí","No"))</f>
        <v/>
      </c>
    </row>
    <row r="4313" customFormat="false" ht="15" hidden="false" customHeight="false" outlineLevel="0" collapsed="false">
      <c r="A4313" s="22"/>
      <c r="B4313" s="22"/>
      <c r="C4313" s="23" t="str">
        <f aca="false">IF(A4313="","",IFERROR(buscarx(A4313&amp;B4313,DATA!$E$3:$E$10000&amp;DATA!$B$3:$B$10000,DATA!$M$3:$M$10000),"No encontrado"))</f>
        <v/>
      </c>
      <c r="D4313" s="24" t="str">
        <f aca="false">IF(A4313="","",IFERROR(buscarx(A4313&amp;B4313,DATA!$E$3:$E$10000&amp;DATA!$B$3:$B$10000,DATA!$W$3:$W$10000),"No encontrado"))</f>
        <v/>
      </c>
      <c r="E4313" s="22"/>
      <c r="F4313" s="23" t="str">
        <f aca="false">IF(A4313="","",IFERROR(buscarx(A4313&amp;E4313,DATA!$E$3:$E$10000&amp;DATA!$B$3:$B$10000,DATA!$M$3:$M$10000),"Inactivo"))</f>
        <v/>
      </c>
      <c r="G4313" s="25" t="str">
        <f aca="false">IF(A4313="","",IF(AND(C4313&lt;&gt;"No encontrado",F4313&lt;&gt;"Inactivo"),C4313&amp;" → "&amp;F4313,"Sin transición"))</f>
        <v/>
      </c>
      <c r="H4313" s="23" t="str">
        <f aca="false">IF(A4313="","",IF(D4313="GCIA LINEA SERVICIO DIGITALIDAD Y VENTAS","Chats",IF(OR(D4313="GERENCIA INBOUND LÍNEAS SERVICIO Y VENTA",D4313="GERENCIA INBOUND LINEAS ESPECIALIZADAS"),"Llamadas","Otro")))</f>
        <v/>
      </c>
      <c r="I4313" s="23" t="str">
        <f aca="false">IF(A4313="","",IF(C4313="No encontrado","No","Sí"))</f>
        <v/>
      </c>
      <c r="J4313" s="23" t="str">
        <f aca="false">IF(A4313="","",IF(F4313="Inactivo","No","Sí"))</f>
        <v/>
      </c>
      <c r="K4313" s="23" t="str">
        <f aca="false">IF(A4313="","",IF(AND(I4313="Sí",J4313="Sí"),"Sí","No"))</f>
        <v/>
      </c>
    </row>
    <row r="4314" customFormat="false" ht="15" hidden="false" customHeight="false" outlineLevel="0" collapsed="false">
      <c r="A4314" s="22"/>
      <c r="B4314" s="22"/>
      <c r="C4314" s="26" t="str">
        <f aca="false">IF(A4314="","",IFERROR(buscarx(A4314&amp;B4314,DATA!$E$3:$E$10000&amp;DATA!$B$3:$B$10000,DATA!$M$3:$M$10000),"No encontrado"))</f>
        <v/>
      </c>
      <c r="D4314" s="27" t="str">
        <f aca="false">IF(A4314="","",IFERROR(buscarx(A4314&amp;B4314,DATA!$E$3:$E$10000&amp;DATA!$B$3:$B$10000,DATA!$W$3:$W$10000),"No encontrado"))</f>
        <v/>
      </c>
      <c r="E4314" s="22"/>
      <c r="F4314" s="26" t="str">
        <f aca="false">IF(A4314="","",IFERROR(buscarx(A4314&amp;E4314,DATA!$E$3:$E$10000&amp;DATA!$B$3:$B$10000,DATA!$M$3:$M$10000),"Inactivo"))</f>
        <v/>
      </c>
      <c r="G4314" s="28" t="str">
        <f aca="false">IF(A4314="","",IF(AND(C4314&lt;&gt;"No encontrado",F4314&lt;&gt;"Inactivo"),C4314&amp;" → "&amp;F4314,"Sin transición"))</f>
        <v/>
      </c>
      <c r="H4314" s="26" t="str">
        <f aca="false">IF(A4314="","",IF(D4314="GCIA LINEA SERVICIO DIGITALIDAD Y VENTAS","Chats",IF(OR(D4314="GERENCIA INBOUND LÍNEAS SERVICIO Y VENTA",D4314="GERENCIA INBOUND LINEAS ESPECIALIZADAS"),"Llamadas","Otro")))</f>
        <v/>
      </c>
      <c r="I4314" s="26" t="str">
        <f aca="false">IF(A4314="","",IF(C4314="No encontrado","No","Sí"))</f>
        <v/>
      </c>
      <c r="J4314" s="26" t="str">
        <f aca="false">IF(A4314="","",IF(F4314="Inactivo","No","Sí"))</f>
        <v/>
      </c>
      <c r="K4314" s="26" t="str">
        <f aca="false">IF(A4314="","",IF(AND(I4314="Sí",J4314="Sí"),"Sí","No"))</f>
        <v/>
      </c>
    </row>
    <row r="4315" customFormat="false" ht="15" hidden="false" customHeight="false" outlineLevel="0" collapsed="false">
      <c r="A4315" s="22"/>
      <c r="B4315" s="22"/>
      <c r="C4315" s="23" t="str">
        <f aca="false">IF(A4315="","",IFERROR(buscarx(A4315&amp;B4315,DATA!$E$3:$E$10000&amp;DATA!$B$3:$B$10000,DATA!$M$3:$M$10000),"No encontrado"))</f>
        <v/>
      </c>
      <c r="D4315" s="24" t="str">
        <f aca="false">IF(A4315="","",IFERROR(buscarx(A4315&amp;B4315,DATA!$E$3:$E$10000&amp;DATA!$B$3:$B$10000,DATA!$W$3:$W$10000),"No encontrado"))</f>
        <v/>
      </c>
      <c r="E4315" s="22"/>
      <c r="F4315" s="23" t="str">
        <f aca="false">IF(A4315="","",IFERROR(buscarx(A4315&amp;E4315,DATA!$E$3:$E$10000&amp;DATA!$B$3:$B$10000,DATA!$M$3:$M$10000),"Inactivo"))</f>
        <v/>
      </c>
      <c r="G4315" s="25" t="str">
        <f aca="false">IF(A4315="","",IF(AND(C4315&lt;&gt;"No encontrado",F4315&lt;&gt;"Inactivo"),C4315&amp;" → "&amp;F4315,"Sin transición"))</f>
        <v/>
      </c>
      <c r="H4315" s="23" t="str">
        <f aca="false">IF(A4315="","",IF(D4315="GCIA LINEA SERVICIO DIGITALIDAD Y VENTAS","Chats",IF(OR(D4315="GERENCIA INBOUND LÍNEAS SERVICIO Y VENTA",D4315="GERENCIA INBOUND LINEAS ESPECIALIZADAS"),"Llamadas","Otro")))</f>
        <v/>
      </c>
      <c r="I4315" s="23" t="str">
        <f aca="false">IF(A4315="","",IF(C4315="No encontrado","No","Sí"))</f>
        <v/>
      </c>
      <c r="J4315" s="23" t="str">
        <f aca="false">IF(A4315="","",IF(F4315="Inactivo","No","Sí"))</f>
        <v/>
      </c>
      <c r="K4315" s="23" t="str">
        <f aca="false">IF(A4315="","",IF(AND(I4315="Sí",J4315="Sí"),"Sí","No"))</f>
        <v/>
      </c>
    </row>
    <row r="4316" customFormat="false" ht="15" hidden="false" customHeight="false" outlineLevel="0" collapsed="false">
      <c r="A4316" s="22"/>
      <c r="B4316" s="22"/>
      <c r="C4316" s="26" t="str">
        <f aca="false">IF(A4316="","",IFERROR(buscarx(A4316&amp;B4316,DATA!$E$3:$E$10000&amp;DATA!$B$3:$B$10000,DATA!$M$3:$M$10000),"No encontrado"))</f>
        <v/>
      </c>
      <c r="D4316" s="27" t="str">
        <f aca="false">IF(A4316="","",IFERROR(buscarx(A4316&amp;B4316,DATA!$E$3:$E$10000&amp;DATA!$B$3:$B$10000,DATA!$W$3:$W$10000),"No encontrado"))</f>
        <v/>
      </c>
      <c r="E4316" s="22"/>
      <c r="F4316" s="26" t="str">
        <f aca="false">IF(A4316="","",IFERROR(buscarx(A4316&amp;E4316,DATA!$E$3:$E$10000&amp;DATA!$B$3:$B$10000,DATA!$M$3:$M$10000),"Inactivo"))</f>
        <v/>
      </c>
      <c r="G4316" s="28" t="str">
        <f aca="false">IF(A4316="","",IF(AND(C4316&lt;&gt;"No encontrado",F4316&lt;&gt;"Inactivo"),C4316&amp;" → "&amp;F4316,"Sin transición"))</f>
        <v/>
      </c>
      <c r="H4316" s="26" t="str">
        <f aca="false">IF(A4316="","",IF(D4316="GCIA LINEA SERVICIO DIGITALIDAD Y VENTAS","Chats",IF(OR(D4316="GERENCIA INBOUND LÍNEAS SERVICIO Y VENTA",D4316="GERENCIA INBOUND LINEAS ESPECIALIZADAS"),"Llamadas","Otro")))</f>
        <v/>
      </c>
      <c r="I4316" s="26" t="str">
        <f aca="false">IF(A4316="","",IF(C4316="No encontrado","No","Sí"))</f>
        <v/>
      </c>
      <c r="J4316" s="26" t="str">
        <f aca="false">IF(A4316="","",IF(F4316="Inactivo","No","Sí"))</f>
        <v/>
      </c>
      <c r="K4316" s="26" t="str">
        <f aca="false">IF(A4316="","",IF(AND(I4316="Sí",J4316="Sí"),"Sí","No"))</f>
        <v/>
      </c>
    </row>
    <row r="4317" customFormat="false" ht="15" hidden="false" customHeight="false" outlineLevel="0" collapsed="false">
      <c r="A4317" s="22"/>
      <c r="B4317" s="22"/>
      <c r="C4317" s="23" t="str">
        <f aca="false">IF(A4317="","",IFERROR(buscarx(A4317&amp;B4317,DATA!$E$3:$E$10000&amp;DATA!$B$3:$B$10000,DATA!$M$3:$M$10000),"No encontrado"))</f>
        <v/>
      </c>
      <c r="D4317" s="24" t="str">
        <f aca="false">IF(A4317="","",IFERROR(buscarx(A4317&amp;B4317,DATA!$E$3:$E$10000&amp;DATA!$B$3:$B$10000,DATA!$W$3:$W$10000),"No encontrado"))</f>
        <v/>
      </c>
      <c r="E4317" s="22"/>
      <c r="F4317" s="23" t="str">
        <f aca="false">IF(A4317="","",IFERROR(buscarx(A4317&amp;E4317,DATA!$E$3:$E$10000&amp;DATA!$B$3:$B$10000,DATA!$M$3:$M$10000),"Inactivo"))</f>
        <v/>
      </c>
      <c r="G4317" s="25" t="str">
        <f aca="false">IF(A4317="","",IF(AND(C4317&lt;&gt;"No encontrado",F4317&lt;&gt;"Inactivo"),C4317&amp;" → "&amp;F4317,"Sin transición"))</f>
        <v/>
      </c>
      <c r="H4317" s="23" t="str">
        <f aca="false">IF(A4317="","",IF(D4317="GCIA LINEA SERVICIO DIGITALIDAD Y VENTAS","Chats",IF(OR(D4317="GERENCIA INBOUND LÍNEAS SERVICIO Y VENTA",D4317="GERENCIA INBOUND LINEAS ESPECIALIZADAS"),"Llamadas","Otro")))</f>
        <v/>
      </c>
      <c r="I4317" s="23" t="str">
        <f aca="false">IF(A4317="","",IF(C4317="No encontrado","No","Sí"))</f>
        <v/>
      </c>
      <c r="J4317" s="23" t="str">
        <f aca="false">IF(A4317="","",IF(F4317="Inactivo","No","Sí"))</f>
        <v/>
      </c>
      <c r="K4317" s="23" t="str">
        <f aca="false">IF(A4317="","",IF(AND(I4317="Sí",J4317="Sí"),"Sí","No"))</f>
        <v/>
      </c>
    </row>
    <row r="4318" customFormat="false" ht="15" hidden="false" customHeight="false" outlineLevel="0" collapsed="false">
      <c r="A4318" s="22"/>
      <c r="B4318" s="22"/>
      <c r="C4318" s="26" t="str">
        <f aca="false">IF(A4318="","",IFERROR(buscarx(A4318&amp;B4318,DATA!$E$3:$E$10000&amp;DATA!$B$3:$B$10000,DATA!$M$3:$M$10000),"No encontrado"))</f>
        <v/>
      </c>
      <c r="D4318" s="27" t="str">
        <f aca="false">IF(A4318="","",IFERROR(buscarx(A4318&amp;B4318,DATA!$E$3:$E$10000&amp;DATA!$B$3:$B$10000,DATA!$W$3:$W$10000),"No encontrado"))</f>
        <v/>
      </c>
      <c r="E4318" s="22"/>
      <c r="F4318" s="26" t="str">
        <f aca="false">IF(A4318="","",IFERROR(buscarx(A4318&amp;E4318,DATA!$E$3:$E$10000&amp;DATA!$B$3:$B$10000,DATA!$M$3:$M$10000),"Inactivo"))</f>
        <v/>
      </c>
      <c r="G4318" s="28" t="str">
        <f aca="false">IF(A4318="","",IF(AND(C4318&lt;&gt;"No encontrado",F4318&lt;&gt;"Inactivo"),C4318&amp;" → "&amp;F4318,"Sin transición"))</f>
        <v/>
      </c>
      <c r="H4318" s="26" t="str">
        <f aca="false">IF(A4318="","",IF(D4318="GCIA LINEA SERVICIO DIGITALIDAD Y VENTAS","Chats",IF(OR(D4318="GERENCIA INBOUND LÍNEAS SERVICIO Y VENTA",D4318="GERENCIA INBOUND LINEAS ESPECIALIZADAS"),"Llamadas","Otro")))</f>
        <v/>
      </c>
      <c r="I4318" s="26" t="str">
        <f aca="false">IF(A4318="","",IF(C4318="No encontrado","No","Sí"))</f>
        <v/>
      </c>
      <c r="J4318" s="26" t="str">
        <f aca="false">IF(A4318="","",IF(F4318="Inactivo","No","Sí"))</f>
        <v/>
      </c>
      <c r="K4318" s="26" t="str">
        <f aca="false">IF(A4318="","",IF(AND(I4318="Sí",J4318="Sí"),"Sí","No"))</f>
        <v/>
      </c>
    </row>
    <row r="4319" customFormat="false" ht="15" hidden="false" customHeight="false" outlineLevel="0" collapsed="false">
      <c r="A4319" s="22"/>
      <c r="B4319" s="22"/>
      <c r="C4319" s="23" t="str">
        <f aca="false">IF(A4319="","",IFERROR(buscarx(A4319&amp;B4319,DATA!$E$3:$E$10000&amp;DATA!$B$3:$B$10000,DATA!$M$3:$M$10000),"No encontrado"))</f>
        <v/>
      </c>
      <c r="D4319" s="24" t="str">
        <f aca="false">IF(A4319="","",IFERROR(buscarx(A4319&amp;B4319,DATA!$E$3:$E$10000&amp;DATA!$B$3:$B$10000,DATA!$W$3:$W$10000),"No encontrado"))</f>
        <v/>
      </c>
      <c r="E4319" s="22"/>
      <c r="F4319" s="23" t="str">
        <f aca="false">IF(A4319="","",IFERROR(buscarx(A4319&amp;E4319,DATA!$E$3:$E$10000&amp;DATA!$B$3:$B$10000,DATA!$M$3:$M$10000),"Inactivo"))</f>
        <v/>
      </c>
      <c r="G4319" s="25" t="str">
        <f aca="false">IF(A4319="","",IF(AND(C4319&lt;&gt;"No encontrado",F4319&lt;&gt;"Inactivo"),C4319&amp;" → "&amp;F4319,"Sin transición"))</f>
        <v/>
      </c>
      <c r="H4319" s="23" t="str">
        <f aca="false">IF(A4319="","",IF(D4319="GCIA LINEA SERVICIO DIGITALIDAD Y VENTAS","Chats",IF(OR(D4319="GERENCIA INBOUND LÍNEAS SERVICIO Y VENTA",D4319="GERENCIA INBOUND LINEAS ESPECIALIZADAS"),"Llamadas","Otro")))</f>
        <v/>
      </c>
      <c r="I4319" s="23" t="str">
        <f aca="false">IF(A4319="","",IF(C4319="No encontrado","No","Sí"))</f>
        <v/>
      </c>
      <c r="J4319" s="23" t="str">
        <f aca="false">IF(A4319="","",IF(F4319="Inactivo","No","Sí"))</f>
        <v/>
      </c>
      <c r="K4319" s="23" t="str">
        <f aca="false">IF(A4319="","",IF(AND(I4319="Sí",J4319="Sí"),"Sí","No"))</f>
        <v/>
      </c>
    </row>
    <row r="4320" customFormat="false" ht="15" hidden="false" customHeight="false" outlineLevel="0" collapsed="false">
      <c r="A4320" s="22"/>
      <c r="B4320" s="22"/>
      <c r="C4320" s="26" t="str">
        <f aca="false">IF(A4320="","",IFERROR(buscarx(A4320&amp;B4320,DATA!$E$3:$E$10000&amp;DATA!$B$3:$B$10000,DATA!$M$3:$M$10000),"No encontrado"))</f>
        <v/>
      </c>
      <c r="D4320" s="27" t="str">
        <f aca="false">IF(A4320="","",IFERROR(buscarx(A4320&amp;B4320,DATA!$E$3:$E$10000&amp;DATA!$B$3:$B$10000,DATA!$W$3:$W$10000),"No encontrado"))</f>
        <v/>
      </c>
      <c r="E4320" s="22"/>
      <c r="F4320" s="26" t="str">
        <f aca="false">IF(A4320="","",IFERROR(buscarx(A4320&amp;E4320,DATA!$E$3:$E$10000&amp;DATA!$B$3:$B$10000,DATA!$M$3:$M$10000),"Inactivo"))</f>
        <v/>
      </c>
      <c r="G4320" s="28" t="str">
        <f aca="false">IF(A4320="","",IF(AND(C4320&lt;&gt;"No encontrado",F4320&lt;&gt;"Inactivo"),C4320&amp;" → "&amp;F4320,"Sin transición"))</f>
        <v/>
      </c>
      <c r="H4320" s="26" t="str">
        <f aca="false">IF(A4320="","",IF(D4320="GCIA LINEA SERVICIO DIGITALIDAD Y VENTAS","Chats",IF(OR(D4320="GERENCIA INBOUND LÍNEAS SERVICIO Y VENTA",D4320="GERENCIA INBOUND LINEAS ESPECIALIZADAS"),"Llamadas","Otro")))</f>
        <v/>
      </c>
      <c r="I4320" s="26" t="str">
        <f aca="false">IF(A4320="","",IF(C4320="No encontrado","No","Sí"))</f>
        <v/>
      </c>
      <c r="J4320" s="26" t="str">
        <f aca="false">IF(A4320="","",IF(F4320="Inactivo","No","Sí"))</f>
        <v/>
      </c>
      <c r="K4320" s="26" t="str">
        <f aca="false">IF(A4320="","",IF(AND(I4320="Sí",J4320="Sí"),"Sí","No"))</f>
        <v/>
      </c>
    </row>
    <row r="4321" customFormat="false" ht="15" hidden="false" customHeight="false" outlineLevel="0" collapsed="false">
      <c r="A4321" s="22"/>
      <c r="B4321" s="22"/>
      <c r="C4321" s="23" t="str">
        <f aca="false">IF(A4321="","",IFERROR(buscarx(A4321&amp;B4321,DATA!$E$3:$E$10000&amp;DATA!$B$3:$B$10000,DATA!$M$3:$M$10000),"No encontrado"))</f>
        <v/>
      </c>
      <c r="D4321" s="24" t="str">
        <f aca="false">IF(A4321="","",IFERROR(buscarx(A4321&amp;B4321,DATA!$E$3:$E$10000&amp;DATA!$B$3:$B$10000,DATA!$W$3:$W$10000),"No encontrado"))</f>
        <v/>
      </c>
      <c r="E4321" s="22"/>
      <c r="F4321" s="23" t="str">
        <f aca="false">IF(A4321="","",IFERROR(buscarx(A4321&amp;E4321,DATA!$E$3:$E$10000&amp;DATA!$B$3:$B$10000,DATA!$M$3:$M$10000),"Inactivo"))</f>
        <v/>
      </c>
      <c r="G4321" s="25" t="str">
        <f aca="false">IF(A4321="","",IF(AND(C4321&lt;&gt;"No encontrado",F4321&lt;&gt;"Inactivo"),C4321&amp;" → "&amp;F4321,"Sin transición"))</f>
        <v/>
      </c>
      <c r="H4321" s="23" t="str">
        <f aca="false">IF(A4321="","",IF(D4321="GCIA LINEA SERVICIO DIGITALIDAD Y VENTAS","Chats",IF(OR(D4321="GERENCIA INBOUND LÍNEAS SERVICIO Y VENTA",D4321="GERENCIA INBOUND LINEAS ESPECIALIZADAS"),"Llamadas","Otro")))</f>
        <v/>
      </c>
      <c r="I4321" s="23" t="str">
        <f aca="false">IF(A4321="","",IF(C4321="No encontrado","No","Sí"))</f>
        <v/>
      </c>
      <c r="J4321" s="23" t="str">
        <f aca="false">IF(A4321="","",IF(F4321="Inactivo","No","Sí"))</f>
        <v/>
      </c>
      <c r="K4321" s="23" t="str">
        <f aca="false">IF(A4321="","",IF(AND(I4321="Sí",J4321="Sí"),"Sí","No"))</f>
        <v/>
      </c>
    </row>
    <row r="4322" customFormat="false" ht="15" hidden="false" customHeight="false" outlineLevel="0" collapsed="false">
      <c r="A4322" s="22"/>
      <c r="B4322" s="22"/>
      <c r="C4322" s="26" t="str">
        <f aca="false">IF(A4322="","",IFERROR(buscarx(A4322&amp;B4322,DATA!$E$3:$E$10000&amp;DATA!$B$3:$B$10000,DATA!$M$3:$M$10000),"No encontrado"))</f>
        <v/>
      </c>
      <c r="D4322" s="27" t="str">
        <f aca="false">IF(A4322="","",IFERROR(buscarx(A4322&amp;B4322,DATA!$E$3:$E$10000&amp;DATA!$B$3:$B$10000,DATA!$W$3:$W$10000),"No encontrado"))</f>
        <v/>
      </c>
      <c r="E4322" s="22"/>
      <c r="F4322" s="26" t="str">
        <f aca="false">IF(A4322="","",IFERROR(buscarx(A4322&amp;E4322,DATA!$E$3:$E$10000&amp;DATA!$B$3:$B$10000,DATA!$M$3:$M$10000),"Inactivo"))</f>
        <v/>
      </c>
      <c r="G4322" s="28" t="str">
        <f aca="false">IF(A4322="","",IF(AND(C4322&lt;&gt;"No encontrado",F4322&lt;&gt;"Inactivo"),C4322&amp;" → "&amp;F4322,"Sin transición"))</f>
        <v/>
      </c>
      <c r="H4322" s="26" t="str">
        <f aca="false">IF(A4322="","",IF(D4322="GCIA LINEA SERVICIO DIGITALIDAD Y VENTAS","Chats",IF(OR(D4322="GERENCIA INBOUND LÍNEAS SERVICIO Y VENTA",D4322="GERENCIA INBOUND LINEAS ESPECIALIZADAS"),"Llamadas","Otro")))</f>
        <v/>
      </c>
      <c r="I4322" s="26" t="str">
        <f aca="false">IF(A4322="","",IF(C4322="No encontrado","No","Sí"))</f>
        <v/>
      </c>
      <c r="J4322" s="26" t="str">
        <f aca="false">IF(A4322="","",IF(F4322="Inactivo","No","Sí"))</f>
        <v/>
      </c>
      <c r="K4322" s="26" t="str">
        <f aca="false">IF(A4322="","",IF(AND(I4322="Sí",J4322="Sí"),"Sí","No"))</f>
        <v/>
      </c>
    </row>
    <row r="4323" customFormat="false" ht="15" hidden="false" customHeight="false" outlineLevel="0" collapsed="false">
      <c r="A4323" s="22"/>
      <c r="B4323" s="22"/>
      <c r="C4323" s="23" t="str">
        <f aca="false">IF(A4323="","",IFERROR(buscarx(A4323&amp;B4323,DATA!$E$3:$E$10000&amp;DATA!$B$3:$B$10000,DATA!$M$3:$M$10000),"No encontrado"))</f>
        <v/>
      </c>
      <c r="D4323" s="24" t="str">
        <f aca="false">IF(A4323="","",IFERROR(buscarx(A4323&amp;B4323,DATA!$E$3:$E$10000&amp;DATA!$B$3:$B$10000,DATA!$W$3:$W$10000),"No encontrado"))</f>
        <v/>
      </c>
      <c r="E4323" s="22"/>
      <c r="F4323" s="23" t="str">
        <f aca="false">IF(A4323="","",IFERROR(buscarx(A4323&amp;E4323,DATA!$E$3:$E$10000&amp;DATA!$B$3:$B$10000,DATA!$M$3:$M$10000),"Inactivo"))</f>
        <v/>
      </c>
      <c r="G4323" s="25" t="str">
        <f aca="false">IF(A4323="","",IF(AND(C4323&lt;&gt;"No encontrado",F4323&lt;&gt;"Inactivo"),C4323&amp;" → "&amp;F4323,"Sin transición"))</f>
        <v/>
      </c>
      <c r="H4323" s="23" t="str">
        <f aca="false">IF(A4323="","",IF(D4323="GCIA LINEA SERVICIO DIGITALIDAD Y VENTAS","Chats",IF(OR(D4323="GERENCIA INBOUND LÍNEAS SERVICIO Y VENTA",D4323="GERENCIA INBOUND LINEAS ESPECIALIZADAS"),"Llamadas","Otro")))</f>
        <v/>
      </c>
      <c r="I4323" s="23" t="str">
        <f aca="false">IF(A4323="","",IF(C4323="No encontrado","No","Sí"))</f>
        <v/>
      </c>
      <c r="J4323" s="23" t="str">
        <f aca="false">IF(A4323="","",IF(F4323="Inactivo","No","Sí"))</f>
        <v/>
      </c>
      <c r="K4323" s="23" t="str">
        <f aca="false">IF(A4323="","",IF(AND(I4323="Sí",J4323="Sí"),"Sí","No"))</f>
        <v/>
      </c>
    </row>
    <row r="4324" customFormat="false" ht="15" hidden="false" customHeight="false" outlineLevel="0" collapsed="false">
      <c r="A4324" s="22"/>
      <c r="B4324" s="22"/>
      <c r="C4324" s="26" t="str">
        <f aca="false">IF(A4324="","",IFERROR(buscarx(A4324&amp;B4324,DATA!$E$3:$E$10000&amp;DATA!$B$3:$B$10000,DATA!$M$3:$M$10000),"No encontrado"))</f>
        <v/>
      </c>
      <c r="D4324" s="27" t="str">
        <f aca="false">IF(A4324="","",IFERROR(buscarx(A4324&amp;B4324,DATA!$E$3:$E$10000&amp;DATA!$B$3:$B$10000,DATA!$W$3:$W$10000),"No encontrado"))</f>
        <v/>
      </c>
      <c r="E4324" s="22"/>
      <c r="F4324" s="26" t="str">
        <f aca="false">IF(A4324="","",IFERROR(buscarx(A4324&amp;E4324,DATA!$E$3:$E$10000&amp;DATA!$B$3:$B$10000,DATA!$M$3:$M$10000),"Inactivo"))</f>
        <v/>
      </c>
      <c r="G4324" s="28" t="str">
        <f aca="false">IF(A4324="","",IF(AND(C4324&lt;&gt;"No encontrado",F4324&lt;&gt;"Inactivo"),C4324&amp;" → "&amp;F4324,"Sin transición"))</f>
        <v/>
      </c>
      <c r="H4324" s="26" t="str">
        <f aca="false">IF(A4324="","",IF(D4324="GCIA LINEA SERVICIO DIGITALIDAD Y VENTAS","Chats",IF(OR(D4324="GERENCIA INBOUND LÍNEAS SERVICIO Y VENTA",D4324="GERENCIA INBOUND LINEAS ESPECIALIZADAS"),"Llamadas","Otro")))</f>
        <v/>
      </c>
      <c r="I4324" s="26" t="str">
        <f aca="false">IF(A4324="","",IF(C4324="No encontrado","No","Sí"))</f>
        <v/>
      </c>
      <c r="J4324" s="26" t="str">
        <f aca="false">IF(A4324="","",IF(F4324="Inactivo","No","Sí"))</f>
        <v/>
      </c>
      <c r="K4324" s="26" t="str">
        <f aca="false">IF(A4324="","",IF(AND(I4324="Sí",J4324="Sí"),"Sí","No"))</f>
        <v/>
      </c>
    </row>
    <row r="4325" customFormat="false" ht="15" hidden="false" customHeight="false" outlineLevel="0" collapsed="false">
      <c r="A4325" s="22"/>
      <c r="B4325" s="22"/>
      <c r="C4325" s="23" t="str">
        <f aca="false">IF(A4325="","",IFERROR(buscarx(A4325&amp;B4325,DATA!$E$3:$E$10000&amp;DATA!$B$3:$B$10000,DATA!$M$3:$M$10000),"No encontrado"))</f>
        <v/>
      </c>
      <c r="D4325" s="24" t="str">
        <f aca="false">IF(A4325="","",IFERROR(buscarx(A4325&amp;B4325,DATA!$E$3:$E$10000&amp;DATA!$B$3:$B$10000,DATA!$W$3:$W$10000),"No encontrado"))</f>
        <v/>
      </c>
      <c r="E4325" s="22"/>
      <c r="F4325" s="23" t="str">
        <f aca="false">IF(A4325="","",IFERROR(buscarx(A4325&amp;E4325,DATA!$E$3:$E$10000&amp;DATA!$B$3:$B$10000,DATA!$M$3:$M$10000),"Inactivo"))</f>
        <v/>
      </c>
      <c r="G4325" s="25" t="str">
        <f aca="false">IF(A4325="","",IF(AND(C4325&lt;&gt;"No encontrado",F4325&lt;&gt;"Inactivo"),C4325&amp;" → "&amp;F4325,"Sin transición"))</f>
        <v/>
      </c>
      <c r="H4325" s="23" t="str">
        <f aca="false">IF(A4325="","",IF(D4325="GCIA LINEA SERVICIO DIGITALIDAD Y VENTAS","Chats",IF(OR(D4325="GERENCIA INBOUND LÍNEAS SERVICIO Y VENTA",D4325="GERENCIA INBOUND LINEAS ESPECIALIZADAS"),"Llamadas","Otro")))</f>
        <v/>
      </c>
      <c r="I4325" s="23" t="str">
        <f aca="false">IF(A4325="","",IF(C4325="No encontrado","No","Sí"))</f>
        <v/>
      </c>
      <c r="J4325" s="23" t="str">
        <f aca="false">IF(A4325="","",IF(F4325="Inactivo","No","Sí"))</f>
        <v/>
      </c>
      <c r="K4325" s="23" t="str">
        <f aca="false">IF(A4325="","",IF(AND(I4325="Sí",J4325="Sí"),"Sí","No"))</f>
        <v/>
      </c>
    </row>
    <row r="4326" customFormat="false" ht="15" hidden="false" customHeight="false" outlineLevel="0" collapsed="false">
      <c r="A4326" s="22"/>
      <c r="B4326" s="22"/>
      <c r="C4326" s="26" t="str">
        <f aca="false">IF(A4326="","",IFERROR(buscarx(A4326&amp;B4326,DATA!$E$3:$E$10000&amp;DATA!$B$3:$B$10000,DATA!$M$3:$M$10000),"No encontrado"))</f>
        <v/>
      </c>
      <c r="D4326" s="27" t="str">
        <f aca="false">IF(A4326="","",IFERROR(buscarx(A4326&amp;B4326,DATA!$E$3:$E$10000&amp;DATA!$B$3:$B$10000,DATA!$W$3:$W$10000),"No encontrado"))</f>
        <v/>
      </c>
      <c r="E4326" s="22"/>
      <c r="F4326" s="26" t="str">
        <f aca="false">IF(A4326="","",IFERROR(buscarx(A4326&amp;E4326,DATA!$E$3:$E$10000&amp;DATA!$B$3:$B$10000,DATA!$M$3:$M$10000),"Inactivo"))</f>
        <v/>
      </c>
      <c r="G4326" s="28" t="str">
        <f aca="false">IF(A4326="","",IF(AND(C4326&lt;&gt;"No encontrado",F4326&lt;&gt;"Inactivo"),C4326&amp;" → "&amp;F4326,"Sin transición"))</f>
        <v/>
      </c>
      <c r="H4326" s="26" t="str">
        <f aca="false">IF(A4326="","",IF(D4326="GCIA LINEA SERVICIO DIGITALIDAD Y VENTAS","Chats",IF(OR(D4326="GERENCIA INBOUND LÍNEAS SERVICIO Y VENTA",D4326="GERENCIA INBOUND LINEAS ESPECIALIZADAS"),"Llamadas","Otro")))</f>
        <v/>
      </c>
      <c r="I4326" s="26" t="str">
        <f aca="false">IF(A4326="","",IF(C4326="No encontrado","No","Sí"))</f>
        <v/>
      </c>
      <c r="J4326" s="26" t="str">
        <f aca="false">IF(A4326="","",IF(F4326="Inactivo","No","Sí"))</f>
        <v/>
      </c>
      <c r="K4326" s="26" t="str">
        <f aca="false">IF(A4326="","",IF(AND(I4326="Sí",J4326="Sí"),"Sí","No"))</f>
        <v/>
      </c>
    </row>
    <row r="4327" customFormat="false" ht="15" hidden="false" customHeight="false" outlineLevel="0" collapsed="false">
      <c r="A4327" s="22"/>
      <c r="B4327" s="22"/>
      <c r="C4327" s="23" t="str">
        <f aca="false">IF(A4327="","",IFERROR(buscarx(A4327&amp;B4327,DATA!$E$3:$E$10000&amp;DATA!$B$3:$B$10000,DATA!$M$3:$M$10000),"No encontrado"))</f>
        <v/>
      </c>
      <c r="D4327" s="24" t="str">
        <f aca="false">IF(A4327="","",IFERROR(buscarx(A4327&amp;B4327,DATA!$E$3:$E$10000&amp;DATA!$B$3:$B$10000,DATA!$W$3:$W$10000),"No encontrado"))</f>
        <v/>
      </c>
      <c r="E4327" s="22"/>
      <c r="F4327" s="23" t="str">
        <f aca="false">IF(A4327="","",IFERROR(buscarx(A4327&amp;E4327,DATA!$E$3:$E$10000&amp;DATA!$B$3:$B$10000,DATA!$M$3:$M$10000),"Inactivo"))</f>
        <v/>
      </c>
      <c r="G4327" s="25" t="str">
        <f aca="false">IF(A4327="","",IF(AND(C4327&lt;&gt;"No encontrado",F4327&lt;&gt;"Inactivo"),C4327&amp;" → "&amp;F4327,"Sin transición"))</f>
        <v/>
      </c>
      <c r="H4327" s="23" t="str">
        <f aca="false">IF(A4327="","",IF(D4327="GCIA LINEA SERVICIO DIGITALIDAD Y VENTAS","Chats",IF(OR(D4327="GERENCIA INBOUND LÍNEAS SERVICIO Y VENTA",D4327="GERENCIA INBOUND LINEAS ESPECIALIZADAS"),"Llamadas","Otro")))</f>
        <v/>
      </c>
      <c r="I4327" s="23" t="str">
        <f aca="false">IF(A4327="","",IF(C4327="No encontrado","No","Sí"))</f>
        <v/>
      </c>
      <c r="J4327" s="23" t="str">
        <f aca="false">IF(A4327="","",IF(F4327="Inactivo","No","Sí"))</f>
        <v/>
      </c>
      <c r="K4327" s="23" t="str">
        <f aca="false">IF(A4327="","",IF(AND(I4327="Sí",J4327="Sí"),"Sí","No"))</f>
        <v/>
      </c>
    </row>
    <row r="4328" customFormat="false" ht="15" hidden="false" customHeight="false" outlineLevel="0" collapsed="false">
      <c r="A4328" s="22"/>
      <c r="B4328" s="22"/>
      <c r="C4328" s="26" t="str">
        <f aca="false">IF(A4328="","",IFERROR(buscarx(A4328&amp;B4328,DATA!$E$3:$E$10000&amp;DATA!$B$3:$B$10000,DATA!$M$3:$M$10000),"No encontrado"))</f>
        <v/>
      </c>
      <c r="D4328" s="27" t="str">
        <f aca="false">IF(A4328="","",IFERROR(buscarx(A4328&amp;B4328,DATA!$E$3:$E$10000&amp;DATA!$B$3:$B$10000,DATA!$W$3:$W$10000),"No encontrado"))</f>
        <v/>
      </c>
      <c r="E4328" s="22"/>
      <c r="F4328" s="26" t="str">
        <f aca="false">IF(A4328="","",IFERROR(buscarx(A4328&amp;E4328,DATA!$E$3:$E$10000&amp;DATA!$B$3:$B$10000,DATA!$M$3:$M$10000),"Inactivo"))</f>
        <v/>
      </c>
      <c r="G4328" s="28" t="str">
        <f aca="false">IF(A4328="","",IF(AND(C4328&lt;&gt;"No encontrado",F4328&lt;&gt;"Inactivo"),C4328&amp;" → "&amp;F4328,"Sin transición"))</f>
        <v/>
      </c>
      <c r="H4328" s="26" t="str">
        <f aca="false">IF(A4328="","",IF(D4328="GCIA LINEA SERVICIO DIGITALIDAD Y VENTAS","Chats",IF(OR(D4328="GERENCIA INBOUND LÍNEAS SERVICIO Y VENTA",D4328="GERENCIA INBOUND LINEAS ESPECIALIZADAS"),"Llamadas","Otro")))</f>
        <v/>
      </c>
      <c r="I4328" s="26" t="str">
        <f aca="false">IF(A4328="","",IF(C4328="No encontrado","No","Sí"))</f>
        <v/>
      </c>
      <c r="J4328" s="26" t="str">
        <f aca="false">IF(A4328="","",IF(F4328="Inactivo","No","Sí"))</f>
        <v/>
      </c>
      <c r="K4328" s="26" t="str">
        <f aca="false">IF(A4328="","",IF(AND(I4328="Sí",J4328="Sí"),"Sí","No"))</f>
        <v/>
      </c>
    </row>
    <row r="4329" customFormat="false" ht="15" hidden="false" customHeight="false" outlineLevel="0" collapsed="false">
      <c r="A4329" s="22"/>
      <c r="B4329" s="22"/>
      <c r="C4329" s="23" t="str">
        <f aca="false">IF(A4329="","",IFERROR(buscarx(A4329&amp;B4329,DATA!$E$3:$E$10000&amp;DATA!$B$3:$B$10000,DATA!$M$3:$M$10000),"No encontrado"))</f>
        <v/>
      </c>
      <c r="D4329" s="24" t="str">
        <f aca="false">IF(A4329="","",IFERROR(buscarx(A4329&amp;B4329,DATA!$E$3:$E$10000&amp;DATA!$B$3:$B$10000,DATA!$W$3:$W$10000),"No encontrado"))</f>
        <v/>
      </c>
      <c r="E4329" s="22"/>
      <c r="F4329" s="23" t="str">
        <f aca="false">IF(A4329="","",IFERROR(buscarx(A4329&amp;E4329,DATA!$E$3:$E$10000&amp;DATA!$B$3:$B$10000,DATA!$M$3:$M$10000),"Inactivo"))</f>
        <v/>
      </c>
      <c r="G4329" s="25" t="str">
        <f aca="false">IF(A4329="","",IF(AND(C4329&lt;&gt;"No encontrado",F4329&lt;&gt;"Inactivo"),C4329&amp;" → "&amp;F4329,"Sin transición"))</f>
        <v/>
      </c>
      <c r="H4329" s="23" t="str">
        <f aca="false">IF(A4329="","",IF(D4329="GCIA LINEA SERVICIO DIGITALIDAD Y VENTAS","Chats",IF(OR(D4329="GERENCIA INBOUND LÍNEAS SERVICIO Y VENTA",D4329="GERENCIA INBOUND LINEAS ESPECIALIZADAS"),"Llamadas","Otro")))</f>
        <v/>
      </c>
      <c r="I4329" s="23" t="str">
        <f aca="false">IF(A4329="","",IF(C4329="No encontrado","No","Sí"))</f>
        <v/>
      </c>
      <c r="J4329" s="23" t="str">
        <f aca="false">IF(A4329="","",IF(F4329="Inactivo","No","Sí"))</f>
        <v/>
      </c>
      <c r="K4329" s="23" t="str">
        <f aca="false">IF(A4329="","",IF(AND(I4329="Sí",J4329="Sí"),"Sí","No"))</f>
        <v/>
      </c>
    </row>
    <row r="4330" customFormat="false" ht="15" hidden="false" customHeight="false" outlineLevel="0" collapsed="false">
      <c r="A4330" s="22"/>
      <c r="B4330" s="22"/>
      <c r="C4330" s="26" t="str">
        <f aca="false">IF(A4330="","",IFERROR(buscarx(A4330&amp;B4330,DATA!$E$3:$E$10000&amp;DATA!$B$3:$B$10000,DATA!$M$3:$M$10000),"No encontrado"))</f>
        <v/>
      </c>
      <c r="D4330" s="27" t="str">
        <f aca="false">IF(A4330="","",IFERROR(buscarx(A4330&amp;B4330,DATA!$E$3:$E$10000&amp;DATA!$B$3:$B$10000,DATA!$W$3:$W$10000),"No encontrado"))</f>
        <v/>
      </c>
      <c r="E4330" s="22"/>
      <c r="F4330" s="26" t="str">
        <f aca="false">IF(A4330="","",IFERROR(buscarx(A4330&amp;E4330,DATA!$E$3:$E$10000&amp;DATA!$B$3:$B$10000,DATA!$M$3:$M$10000),"Inactivo"))</f>
        <v/>
      </c>
      <c r="G4330" s="28" t="str">
        <f aca="false">IF(A4330="","",IF(AND(C4330&lt;&gt;"No encontrado",F4330&lt;&gt;"Inactivo"),C4330&amp;" → "&amp;F4330,"Sin transición"))</f>
        <v/>
      </c>
      <c r="H4330" s="26" t="str">
        <f aca="false">IF(A4330="","",IF(D4330="GCIA LINEA SERVICIO DIGITALIDAD Y VENTAS","Chats",IF(OR(D4330="GERENCIA INBOUND LÍNEAS SERVICIO Y VENTA",D4330="GERENCIA INBOUND LINEAS ESPECIALIZADAS"),"Llamadas","Otro")))</f>
        <v/>
      </c>
      <c r="I4330" s="26" t="str">
        <f aca="false">IF(A4330="","",IF(C4330="No encontrado","No","Sí"))</f>
        <v/>
      </c>
      <c r="J4330" s="26" t="str">
        <f aca="false">IF(A4330="","",IF(F4330="Inactivo","No","Sí"))</f>
        <v/>
      </c>
      <c r="K4330" s="26" t="str">
        <f aca="false">IF(A4330="","",IF(AND(I4330="Sí",J4330="Sí"),"Sí","No"))</f>
        <v/>
      </c>
    </row>
    <row r="4331" customFormat="false" ht="15" hidden="false" customHeight="false" outlineLevel="0" collapsed="false">
      <c r="A4331" s="22"/>
      <c r="B4331" s="22"/>
      <c r="C4331" s="23" t="str">
        <f aca="false">IF(A4331="","",IFERROR(buscarx(A4331&amp;B4331,DATA!$E$3:$E$10000&amp;DATA!$B$3:$B$10000,DATA!$M$3:$M$10000),"No encontrado"))</f>
        <v/>
      </c>
      <c r="D4331" s="24" t="str">
        <f aca="false">IF(A4331="","",IFERROR(buscarx(A4331&amp;B4331,DATA!$E$3:$E$10000&amp;DATA!$B$3:$B$10000,DATA!$W$3:$W$10000),"No encontrado"))</f>
        <v/>
      </c>
      <c r="E4331" s="22"/>
      <c r="F4331" s="23" t="str">
        <f aca="false">IF(A4331="","",IFERROR(buscarx(A4331&amp;E4331,DATA!$E$3:$E$10000&amp;DATA!$B$3:$B$10000,DATA!$M$3:$M$10000),"Inactivo"))</f>
        <v/>
      </c>
      <c r="G4331" s="25" t="str">
        <f aca="false">IF(A4331="","",IF(AND(C4331&lt;&gt;"No encontrado",F4331&lt;&gt;"Inactivo"),C4331&amp;" → "&amp;F4331,"Sin transición"))</f>
        <v/>
      </c>
      <c r="H4331" s="23" t="str">
        <f aca="false">IF(A4331="","",IF(D4331="GCIA LINEA SERVICIO DIGITALIDAD Y VENTAS","Chats",IF(OR(D4331="GERENCIA INBOUND LÍNEAS SERVICIO Y VENTA",D4331="GERENCIA INBOUND LINEAS ESPECIALIZADAS"),"Llamadas","Otro")))</f>
        <v/>
      </c>
      <c r="I4331" s="23" t="str">
        <f aca="false">IF(A4331="","",IF(C4331="No encontrado","No","Sí"))</f>
        <v/>
      </c>
      <c r="J4331" s="23" t="str">
        <f aca="false">IF(A4331="","",IF(F4331="Inactivo","No","Sí"))</f>
        <v/>
      </c>
      <c r="K4331" s="23" t="str">
        <f aca="false">IF(A4331="","",IF(AND(I4331="Sí",J4331="Sí"),"Sí","No"))</f>
        <v/>
      </c>
    </row>
    <row r="4332" customFormat="false" ht="15" hidden="false" customHeight="false" outlineLevel="0" collapsed="false">
      <c r="A4332" s="22"/>
      <c r="B4332" s="22"/>
      <c r="C4332" s="26" t="str">
        <f aca="false">IF(A4332="","",IFERROR(buscarx(A4332&amp;B4332,DATA!$E$3:$E$10000&amp;DATA!$B$3:$B$10000,DATA!$M$3:$M$10000),"No encontrado"))</f>
        <v/>
      </c>
      <c r="D4332" s="27" t="str">
        <f aca="false">IF(A4332="","",IFERROR(buscarx(A4332&amp;B4332,DATA!$E$3:$E$10000&amp;DATA!$B$3:$B$10000,DATA!$W$3:$W$10000),"No encontrado"))</f>
        <v/>
      </c>
      <c r="E4332" s="22"/>
      <c r="F4332" s="26" t="str">
        <f aca="false">IF(A4332="","",IFERROR(buscarx(A4332&amp;E4332,DATA!$E$3:$E$10000&amp;DATA!$B$3:$B$10000,DATA!$M$3:$M$10000),"Inactivo"))</f>
        <v/>
      </c>
      <c r="G4332" s="28" t="str">
        <f aca="false">IF(A4332="","",IF(AND(C4332&lt;&gt;"No encontrado",F4332&lt;&gt;"Inactivo"),C4332&amp;" → "&amp;F4332,"Sin transición"))</f>
        <v/>
      </c>
      <c r="H4332" s="26" t="str">
        <f aca="false">IF(A4332="","",IF(D4332="GCIA LINEA SERVICIO DIGITALIDAD Y VENTAS","Chats",IF(OR(D4332="GERENCIA INBOUND LÍNEAS SERVICIO Y VENTA",D4332="GERENCIA INBOUND LINEAS ESPECIALIZADAS"),"Llamadas","Otro")))</f>
        <v/>
      </c>
      <c r="I4332" s="26" t="str">
        <f aca="false">IF(A4332="","",IF(C4332="No encontrado","No","Sí"))</f>
        <v/>
      </c>
      <c r="J4332" s="26" t="str">
        <f aca="false">IF(A4332="","",IF(F4332="Inactivo","No","Sí"))</f>
        <v/>
      </c>
      <c r="K4332" s="26" t="str">
        <f aca="false">IF(A4332="","",IF(AND(I4332="Sí",J4332="Sí"),"Sí","No"))</f>
        <v/>
      </c>
    </row>
    <row r="4333" customFormat="false" ht="15" hidden="false" customHeight="false" outlineLevel="0" collapsed="false">
      <c r="A4333" s="22"/>
      <c r="B4333" s="22"/>
      <c r="C4333" s="23" t="str">
        <f aca="false">IF(A4333="","",IFERROR(buscarx(A4333&amp;B4333,DATA!$E$3:$E$10000&amp;DATA!$B$3:$B$10000,DATA!$M$3:$M$10000),"No encontrado"))</f>
        <v/>
      </c>
      <c r="D4333" s="24" t="str">
        <f aca="false">IF(A4333="","",IFERROR(buscarx(A4333&amp;B4333,DATA!$E$3:$E$10000&amp;DATA!$B$3:$B$10000,DATA!$W$3:$W$10000),"No encontrado"))</f>
        <v/>
      </c>
      <c r="E4333" s="22"/>
      <c r="F4333" s="23" t="str">
        <f aca="false">IF(A4333="","",IFERROR(buscarx(A4333&amp;E4333,DATA!$E$3:$E$10000&amp;DATA!$B$3:$B$10000,DATA!$M$3:$M$10000),"Inactivo"))</f>
        <v/>
      </c>
      <c r="G4333" s="25" t="str">
        <f aca="false">IF(A4333="","",IF(AND(C4333&lt;&gt;"No encontrado",F4333&lt;&gt;"Inactivo"),C4333&amp;" → "&amp;F4333,"Sin transición"))</f>
        <v/>
      </c>
      <c r="H4333" s="23" t="str">
        <f aca="false">IF(A4333="","",IF(D4333="GCIA LINEA SERVICIO DIGITALIDAD Y VENTAS","Chats",IF(OR(D4333="GERENCIA INBOUND LÍNEAS SERVICIO Y VENTA",D4333="GERENCIA INBOUND LINEAS ESPECIALIZADAS"),"Llamadas","Otro")))</f>
        <v/>
      </c>
      <c r="I4333" s="23" t="str">
        <f aca="false">IF(A4333="","",IF(C4333="No encontrado","No","Sí"))</f>
        <v/>
      </c>
      <c r="J4333" s="23" t="str">
        <f aca="false">IF(A4333="","",IF(F4333="Inactivo","No","Sí"))</f>
        <v/>
      </c>
      <c r="K4333" s="23" t="str">
        <f aca="false">IF(A4333="","",IF(AND(I4333="Sí",J4333="Sí"),"Sí","No"))</f>
        <v/>
      </c>
    </row>
    <row r="4334" customFormat="false" ht="15" hidden="false" customHeight="false" outlineLevel="0" collapsed="false">
      <c r="A4334" s="22"/>
      <c r="B4334" s="22"/>
      <c r="C4334" s="26" t="str">
        <f aca="false">IF(A4334="","",IFERROR(buscarx(A4334&amp;B4334,DATA!$E$3:$E$10000&amp;DATA!$B$3:$B$10000,DATA!$M$3:$M$10000),"No encontrado"))</f>
        <v/>
      </c>
      <c r="D4334" s="27" t="str">
        <f aca="false">IF(A4334="","",IFERROR(buscarx(A4334&amp;B4334,DATA!$E$3:$E$10000&amp;DATA!$B$3:$B$10000,DATA!$W$3:$W$10000),"No encontrado"))</f>
        <v/>
      </c>
      <c r="E4334" s="22"/>
      <c r="F4334" s="26" t="str">
        <f aca="false">IF(A4334="","",IFERROR(buscarx(A4334&amp;E4334,DATA!$E$3:$E$10000&amp;DATA!$B$3:$B$10000,DATA!$M$3:$M$10000),"Inactivo"))</f>
        <v/>
      </c>
      <c r="G4334" s="28" t="str">
        <f aca="false">IF(A4334="","",IF(AND(C4334&lt;&gt;"No encontrado",F4334&lt;&gt;"Inactivo"),C4334&amp;" → "&amp;F4334,"Sin transición"))</f>
        <v/>
      </c>
      <c r="H4334" s="26" t="str">
        <f aca="false">IF(A4334="","",IF(D4334="GCIA LINEA SERVICIO DIGITALIDAD Y VENTAS","Chats",IF(OR(D4334="GERENCIA INBOUND LÍNEAS SERVICIO Y VENTA",D4334="GERENCIA INBOUND LINEAS ESPECIALIZADAS"),"Llamadas","Otro")))</f>
        <v/>
      </c>
      <c r="I4334" s="26" t="str">
        <f aca="false">IF(A4334="","",IF(C4334="No encontrado","No","Sí"))</f>
        <v/>
      </c>
      <c r="J4334" s="26" t="str">
        <f aca="false">IF(A4334="","",IF(F4334="Inactivo","No","Sí"))</f>
        <v/>
      </c>
      <c r="K4334" s="26" t="str">
        <f aca="false">IF(A4334="","",IF(AND(I4334="Sí",J4334="Sí"),"Sí","No"))</f>
        <v/>
      </c>
    </row>
    <row r="4335" customFormat="false" ht="15" hidden="false" customHeight="false" outlineLevel="0" collapsed="false">
      <c r="A4335" s="22"/>
      <c r="B4335" s="22"/>
      <c r="C4335" s="23" t="str">
        <f aca="false">IF(A4335="","",IFERROR(buscarx(A4335&amp;B4335,DATA!$E$3:$E$10000&amp;DATA!$B$3:$B$10000,DATA!$M$3:$M$10000),"No encontrado"))</f>
        <v/>
      </c>
      <c r="D4335" s="24" t="str">
        <f aca="false">IF(A4335="","",IFERROR(buscarx(A4335&amp;B4335,DATA!$E$3:$E$10000&amp;DATA!$B$3:$B$10000,DATA!$W$3:$W$10000),"No encontrado"))</f>
        <v/>
      </c>
      <c r="E4335" s="22"/>
      <c r="F4335" s="23" t="str">
        <f aca="false">IF(A4335="","",IFERROR(buscarx(A4335&amp;E4335,DATA!$E$3:$E$10000&amp;DATA!$B$3:$B$10000,DATA!$M$3:$M$10000),"Inactivo"))</f>
        <v/>
      </c>
      <c r="G4335" s="25" t="str">
        <f aca="false">IF(A4335="","",IF(AND(C4335&lt;&gt;"No encontrado",F4335&lt;&gt;"Inactivo"),C4335&amp;" → "&amp;F4335,"Sin transición"))</f>
        <v/>
      </c>
      <c r="H4335" s="23" t="str">
        <f aca="false">IF(A4335="","",IF(D4335="GCIA LINEA SERVICIO DIGITALIDAD Y VENTAS","Chats",IF(OR(D4335="GERENCIA INBOUND LÍNEAS SERVICIO Y VENTA",D4335="GERENCIA INBOUND LINEAS ESPECIALIZADAS"),"Llamadas","Otro")))</f>
        <v/>
      </c>
      <c r="I4335" s="23" t="str">
        <f aca="false">IF(A4335="","",IF(C4335="No encontrado","No","Sí"))</f>
        <v/>
      </c>
      <c r="J4335" s="23" t="str">
        <f aca="false">IF(A4335="","",IF(F4335="Inactivo","No","Sí"))</f>
        <v/>
      </c>
      <c r="K4335" s="23" t="str">
        <f aca="false">IF(A4335="","",IF(AND(I4335="Sí",J4335="Sí"),"Sí","No"))</f>
        <v/>
      </c>
    </row>
    <row r="4336" customFormat="false" ht="15" hidden="false" customHeight="false" outlineLevel="0" collapsed="false">
      <c r="A4336" s="22"/>
      <c r="B4336" s="22"/>
      <c r="C4336" s="26" t="str">
        <f aca="false">IF(A4336="","",IFERROR(buscarx(A4336&amp;B4336,DATA!$E$3:$E$10000&amp;DATA!$B$3:$B$10000,DATA!$M$3:$M$10000),"No encontrado"))</f>
        <v/>
      </c>
      <c r="D4336" s="27" t="str">
        <f aca="false">IF(A4336="","",IFERROR(buscarx(A4336&amp;B4336,DATA!$E$3:$E$10000&amp;DATA!$B$3:$B$10000,DATA!$W$3:$W$10000),"No encontrado"))</f>
        <v/>
      </c>
      <c r="E4336" s="22"/>
      <c r="F4336" s="26" t="str">
        <f aca="false">IF(A4336="","",IFERROR(buscarx(A4336&amp;E4336,DATA!$E$3:$E$10000&amp;DATA!$B$3:$B$10000,DATA!$M$3:$M$10000),"Inactivo"))</f>
        <v/>
      </c>
      <c r="G4336" s="28" t="str">
        <f aca="false">IF(A4336="","",IF(AND(C4336&lt;&gt;"No encontrado",F4336&lt;&gt;"Inactivo"),C4336&amp;" → "&amp;F4336,"Sin transición"))</f>
        <v/>
      </c>
      <c r="H4336" s="26" t="str">
        <f aca="false">IF(A4336="","",IF(D4336="GCIA LINEA SERVICIO DIGITALIDAD Y VENTAS","Chats",IF(OR(D4336="GERENCIA INBOUND LÍNEAS SERVICIO Y VENTA",D4336="GERENCIA INBOUND LINEAS ESPECIALIZADAS"),"Llamadas","Otro")))</f>
        <v/>
      </c>
      <c r="I4336" s="26" t="str">
        <f aca="false">IF(A4336="","",IF(C4336="No encontrado","No","Sí"))</f>
        <v/>
      </c>
      <c r="J4336" s="26" t="str">
        <f aca="false">IF(A4336="","",IF(F4336="Inactivo","No","Sí"))</f>
        <v/>
      </c>
      <c r="K4336" s="26" t="str">
        <f aca="false">IF(A4336="","",IF(AND(I4336="Sí",J4336="Sí"),"Sí","No"))</f>
        <v/>
      </c>
    </row>
    <row r="4337" customFormat="false" ht="15" hidden="false" customHeight="false" outlineLevel="0" collapsed="false">
      <c r="A4337" s="22"/>
      <c r="B4337" s="22"/>
      <c r="C4337" s="23" t="str">
        <f aca="false">IF(A4337="","",IFERROR(buscarx(A4337&amp;B4337,DATA!$E$3:$E$10000&amp;DATA!$B$3:$B$10000,DATA!$M$3:$M$10000),"No encontrado"))</f>
        <v/>
      </c>
      <c r="D4337" s="24" t="str">
        <f aca="false">IF(A4337="","",IFERROR(buscarx(A4337&amp;B4337,DATA!$E$3:$E$10000&amp;DATA!$B$3:$B$10000,DATA!$W$3:$W$10000),"No encontrado"))</f>
        <v/>
      </c>
      <c r="E4337" s="22"/>
      <c r="F4337" s="23" t="str">
        <f aca="false">IF(A4337="","",IFERROR(buscarx(A4337&amp;E4337,DATA!$E$3:$E$10000&amp;DATA!$B$3:$B$10000,DATA!$M$3:$M$10000),"Inactivo"))</f>
        <v/>
      </c>
      <c r="G4337" s="25" t="str">
        <f aca="false">IF(A4337="","",IF(AND(C4337&lt;&gt;"No encontrado",F4337&lt;&gt;"Inactivo"),C4337&amp;" → "&amp;F4337,"Sin transición"))</f>
        <v/>
      </c>
      <c r="H4337" s="23" t="str">
        <f aca="false">IF(A4337="","",IF(D4337="GCIA LINEA SERVICIO DIGITALIDAD Y VENTAS","Chats",IF(OR(D4337="GERENCIA INBOUND LÍNEAS SERVICIO Y VENTA",D4337="GERENCIA INBOUND LINEAS ESPECIALIZADAS"),"Llamadas","Otro")))</f>
        <v/>
      </c>
      <c r="I4337" s="23" t="str">
        <f aca="false">IF(A4337="","",IF(C4337="No encontrado","No","Sí"))</f>
        <v/>
      </c>
      <c r="J4337" s="23" t="str">
        <f aca="false">IF(A4337="","",IF(F4337="Inactivo","No","Sí"))</f>
        <v/>
      </c>
      <c r="K4337" s="23" t="str">
        <f aca="false">IF(A4337="","",IF(AND(I4337="Sí",J4337="Sí"),"Sí","No"))</f>
        <v/>
      </c>
    </row>
    <row r="4338" customFormat="false" ht="15" hidden="false" customHeight="false" outlineLevel="0" collapsed="false">
      <c r="A4338" s="22"/>
      <c r="B4338" s="22"/>
      <c r="C4338" s="26" t="str">
        <f aca="false">IF(A4338="","",IFERROR(buscarx(A4338&amp;B4338,DATA!$E$3:$E$10000&amp;DATA!$B$3:$B$10000,DATA!$M$3:$M$10000),"No encontrado"))</f>
        <v/>
      </c>
      <c r="D4338" s="27" t="str">
        <f aca="false">IF(A4338="","",IFERROR(buscarx(A4338&amp;B4338,DATA!$E$3:$E$10000&amp;DATA!$B$3:$B$10000,DATA!$W$3:$W$10000),"No encontrado"))</f>
        <v/>
      </c>
      <c r="E4338" s="22"/>
      <c r="F4338" s="26" t="str">
        <f aca="false">IF(A4338="","",IFERROR(buscarx(A4338&amp;E4338,DATA!$E$3:$E$10000&amp;DATA!$B$3:$B$10000,DATA!$M$3:$M$10000),"Inactivo"))</f>
        <v/>
      </c>
      <c r="G4338" s="28" t="str">
        <f aca="false">IF(A4338="","",IF(AND(C4338&lt;&gt;"No encontrado",F4338&lt;&gt;"Inactivo"),C4338&amp;" → "&amp;F4338,"Sin transición"))</f>
        <v/>
      </c>
      <c r="H4338" s="26" t="str">
        <f aca="false">IF(A4338="","",IF(D4338="GCIA LINEA SERVICIO DIGITALIDAD Y VENTAS","Chats",IF(OR(D4338="GERENCIA INBOUND LÍNEAS SERVICIO Y VENTA",D4338="GERENCIA INBOUND LINEAS ESPECIALIZADAS"),"Llamadas","Otro")))</f>
        <v/>
      </c>
      <c r="I4338" s="26" t="str">
        <f aca="false">IF(A4338="","",IF(C4338="No encontrado","No","Sí"))</f>
        <v/>
      </c>
      <c r="J4338" s="26" t="str">
        <f aca="false">IF(A4338="","",IF(F4338="Inactivo","No","Sí"))</f>
        <v/>
      </c>
      <c r="K4338" s="26" t="str">
        <f aca="false">IF(A4338="","",IF(AND(I4338="Sí",J4338="Sí"),"Sí","No"))</f>
        <v/>
      </c>
    </row>
    <row r="4339" customFormat="false" ht="15" hidden="false" customHeight="false" outlineLevel="0" collapsed="false">
      <c r="A4339" s="22"/>
      <c r="B4339" s="22"/>
      <c r="C4339" s="23" t="str">
        <f aca="false">IF(A4339="","",IFERROR(buscarx(A4339&amp;B4339,DATA!$E$3:$E$10000&amp;DATA!$B$3:$B$10000,DATA!$M$3:$M$10000),"No encontrado"))</f>
        <v/>
      </c>
      <c r="D4339" s="24" t="str">
        <f aca="false">IF(A4339="","",IFERROR(buscarx(A4339&amp;B4339,DATA!$E$3:$E$10000&amp;DATA!$B$3:$B$10000,DATA!$W$3:$W$10000),"No encontrado"))</f>
        <v/>
      </c>
      <c r="E4339" s="22"/>
      <c r="F4339" s="23" t="str">
        <f aca="false">IF(A4339="","",IFERROR(buscarx(A4339&amp;E4339,DATA!$E$3:$E$10000&amp;DATA!$B$3:$B$10000,DATA!$M$3:$M$10000),"Inactivo"))</f>
        <v/>
      </c>
      <c r="G4339" s="25" t="str">
        <f aca="false">IF(A4339="","",IF(AND(C4339&lt;&gt;"No encontrado",F4339&lt;&gt;"Inactivo"),C4339&amp;" → "&amp;F4339,"Sin transición"))</f>
        <v/>
      </c>
      <c r="H4339" s="23" t="str">
        <f aca="false">IF(A4339="","",IF(D4339="GCIA LINEA SERVICIO DIGITALIDAD Y VENTAS","Chats",IF(OR(D4339="GERENCIA INBOUND LÍNEAS SERVICIO Y VENTA",D4339="GERENCIA INBOUND LINEAS ESPECIALIZADAS"),"Llamadas","Otro")))</f>
        <v/>
      </c>
      <c r="I4339" s="23" t="str">
        <f aca="false">IF(A4339="","",IF(C4339="No encontrado","No","Sí"))</f>
        <v/>
      </c>
      <c r="J4339" s="23" t="str">
        <f aca="false">IF(A4339="","",IF(F4339="Inactivo","No","Sí"))</f>
        <v/>
      </c>
      <c r="K4339" s="23" t="str">
        <f aca="false">IF(A4339="","",IF(AND(I4339="Sí",J4339="Sí"),"Sí","No"))</f>
        <v/>
      </c>
    </row>
    <row r="4340" customFormat="false" ht="15" hidden="false" customHeight="false" outlineLevel="0" collapsed="false">
      <c r="A4340" s="22"/>
      <c r="B4340" s="22"/>
      <c r="C4340" s="26" t="str">
        <f aca="false">IF(A4340="","",IFERROR(buscarx(A4340&amp;B4340,DATA!$E$3:$E$10000&amp;DATA!$B$3:$B$10000,DATA!$M$3:$M$10000),"No encontrado"))</f>
        <v/>
      </c>
      <c r="D4340" s="27" t="str">
        <f aca="false">IF(A4340="","",IFERROR(buscarx(A4340&amp;B4340,DATA!$E$3:$E$10000&amp;DATA!$B$3:$B$10000,DATA!$W$3:$W$10000),"No encontrado"))</f>
        <v/>
      </c>
      <c r="E4340" s="22"/>
      <c r="F4340" s="26" t="str">
        <f aca="false">IF(A4340="","",IFERROR(buscarx(A4340&amp;E4340,DATA!$E$3:$E$10000&amp;DATA!$B$3:$B$10000,DATA!$M$3:$M$10000),"Inactivo"))</f>
        <v/>
      </c>
      <c r="G4340" s="28" t="str">
        <f aca="false">IF(A4340="","",IF(AND(C4340&lt;&gt;"No encontrado",F4340&lt;&gt;"Inactivo"),C4340&amp;" → "&amp;F4340,"Sin transición"))</f>
        <v/>
      </c>
      <c r="H4340" s="26" t="str">
        <f aca="false">IF(A4340="","",IF(D4340="GCIA LINEA SERVICIO DIGITALIDAD Y VENTAS","Chats",IF(OR(D4340="GERENCIA INBOUND LÍNEAS SERVICIO Y VENTA",D4340="GERENCIA INBOUND LINEAS ESPECIALIZADAS"),"Llamadas","Otro")))</f>
        <v/>
      </c>
      <c r="I4340" s="26" t="str">
        <f aca="false">IF(A4340="","",IF(C4340="No encontrado","No","Sí"))</f>
        <v/>
      </c>
      <c r="J4340" s="26" t="str">
        <f aca="false">IF(A4340="","",IF(F4340="Inactivo","No","Sí"))</f>
        <v/>
      </c>
      <c r="K4340" s="26" t="str">
        <f aca="false">IF(A4340="","",IF(AND(I4340="Sí",J4340="Sí"),"Sí","No"))</f>
        <v/>
      </c>
    </row>
    <row r="4341" customFormat="false" ht="15" hidden="false" customHeight="false" outlineLevel="0" collapsed="false">
      <c r="A4341" s="22"/>
      <c r="B4341" s="22"/>
      <c r="C4341" s="23" t="str">
        <f aca="false">IF(A4341="","",IFERROR(buscarx(A4341&amp;B4341,DATA!$E$3:$E$10000&amp;DATA!$B$3:$B$10000,DATA!$M$3:$M$10000),"No encontrado"))</f>
        <v/>
      </c>
      <c r="D4341" s="24" t="str">
        <f aca="false">IF(A4341="","",IFERROR(buscarx(A4341&amp;B4341,DATA!$E$3:$E$10000&amp;DATA!$B$3:$B$10000,DATA!$W$3:$W$10000),"No encontrado"))</f>
        <v/>
      </c>
      <c r="E4341" s="22"/>
      <c r="F4341" s="23" t="str">
        <f aca="false">IF(A4341="","",IFERROR(buscarx(A4341&amp;E4341,DATA!$E$3:$E$10000&amp;DATA!$B$3:$B$10000,DATA!$M$3:$M$10000),"Inactivo"))</f>
        <v/>
      </c>
      <c r="G4341" s="25" t="str">
        <f aca="false">IF(A4341="","",IF(AND(C4341&lt;&gt;"No encontrado",F4341&lt;&gt;"Inactivo"),C4341&amp;" → "&amp;F4341,"Sin transición"))</f>
        <v/>
      </c>
      <c r="H4341" s="23" t="str">
        <f aca="false">IF(A4341="","",IF(D4341="GCIA LINEA SERVICIO DIGITALIDAD Y VENTAS","Chats",IF(OR(D4341="GERENCIA INBOUND LÍNEAS SERVICIO Y VENTA",D4341="GERENCIA INBOUND LINEAS ESPECIALIZADAS"),"Llamadas","Otro")))</f>
        <v/>
      </c>
      <c r="I4341" s="23" t="str">
        <f aca="false">IF(A4341="","",IF(C4341="No encontrado","No","Sí"))</f>
        <v/>
      </c>
      <c r="J4341" s="23" t="str">
        <f aca="false">IF(A4341="","",IF(F4341="Inactivo","No","Sí"))</f>
        <v/>
      </c>
      <c r="K4341" s="23" t="str">
        <f aca="false">IF(A4341="","",IF(AND(I4341="Sí",J4341="Sí"),"Sí","No"))</f>
        <v/>
      </c>
    </row>
    <row r="4342" customFormat="false" ht="15" hidden="false" customHeight="false" outlineLevel="0" collapsed="false">
      <c r="A4342" s="22"/>
      <c r="B4342" s="22"/>
      <c r="C4342" s="26" t="str">
        <f aca="false">IF(A4342="","",IFERROR(buscarx(A4342&amp;B4342,DATA!$E$3:$E$10000&amp;DATA!$B$3:$B$10000,DATA!$M$3:$M$10000),"No encontrado"))</f>
        <v/>
      </c>
      <c r="D4342" s="27" t="str">
        <f aca="false">IF(A4342="","",IFERROR(buscarx(A4342&amp;B4342,DATA!$E$3:$E$10000&amp;DATA!$B$3:$B$10000,DATA!$W$3:$W$10000),"No encontrado"))</f>
        <v/>
      </c>
      <c r="E4342" s="22"/>
      <c r="F4342" s="26" t="str">
        <f aca="false">IF(A4342="","",IFERROR(buscarx(A4342&amp;E4342,DATA!$E$3:$E$10000&amp;DATA!$B$3:$B$10000,DATA!$M$3:$M$10000),"Inactivo"))</f>
        <v/>
      </c>
      <c r="G4342" s="28" t="str">
        <f aca="false">IF(A4342="","",IF(AND(C4342&lt;&gt;"No encontrado",F4342&lt;&gt;"Inactivo"),C4342&amp;" → "&amp;F4342,"Sin transición"))</f>
        <v/>
      </c>
      <c r="H4342" s="26" t="str">
        <f aca="false">IF(A4342="","",IF(D4342="GCIA LINEA SERVICIO DIGITALIDAD Y VENTAS","Chats",IF(OR(D4342="GERENCIA INBOUND LÍNEAS SERVICIO Y VENTA",D4342="GERENCIA INBOUND LINEAS ESPECIALIZADAS"),"Llamadas","Otro")))</f>
        <v/>
      </c>
      <c r="I4342" s="26" t="str">
        <f aca="false">IF(A4342="","",IF(C4342="No encontrado","No","Sí"))</f>
        <v/>
      </c>
      <c r="J4342" s="26" t="str">
        <f aca="false">IF(A4342="","",IF(F4342="Inactivo","No","Sí"))</f>
        <v/>
      </c>
      <c r="K4342" s="26" t="str">
        <f aca="false">IF(A4342="","",IF(AND(I4342="Sí",J4342="Sí"),"Sí","No"))</f>
        <v/>
      </c>
    </row>
    <row r="4343" customFormat="false" ht="15" hidden="false" customHeight="false" outlineLevel="0" collapsed="false">
      <c r="A4343" s="22"/>
      <c r="B4343" s="22"/>
      <c r="C4343" s="23" t="str">
        <f aca="false">IF(A4343="","",IFERROR(buscarx(A4343&amp;B4343,DATA!$E$3:$E$10000&amp;DATA!$B$3:$B$10000,DATA!$M$3:$M$10000),"No encontrado"))</f>
        <v/>
      </c>
      <c r="D4343" s="24" t="str">
        <f aca="false">IF(A4343="","",IFERROR(buscarx(A4343&amp;B4343,DATA!$E$3:$E$10000&amp;DATA!$B$3:$B$10000,DATA!$W$3:$W$10000),"No encontrado"))</f>
        <v/>
      </c>
      <c r="E4343" s="22"/>
      <c r="F4343" s="23" t="str">
        <f aca="false">IF(A4343="","",IFERROR(buscarx(A4343&amp;E4343,DATA!$E$3:$E$10000&amp;DATA!$B$3:$B$10000,DATA!$M$3:$M$10000),"Inactivo"))</f>
        <v/>
      </c>
      <c r="G4343" s="25" t="str">
        <f aca="false">IF(A4343="","",IF(AND(C4343&lt;&gt;"No encontrado",F4343&lt;&gt;"Inactivo"),C4343&amp;" → "&amp;F4343,"Sin transición"))</f>
        <v/>
      </c>
      <c r="H4343" s="23" t="str">
        <f aca="false">IF(A4343="","",IF(D4343="GCIA LINEA SERVICIO DIGITALIDAD Y VENTAS","Chats",IF(OR(D4343="GERENCIA INBOUND LÍNEAS SERVICIO Y VENTA",D4343="GERENCIA INBOUND LINEAS ESPECIALIZADAS"),"Llamadas","Otro")))</f>
        <v/>
      </c>
      <c r="I4343" s="23" t="str">
        <f aca="false">IF(A4343="","",IF(C4343="No encontrado","No","Sí"))</f>
        <v/>
      </c>
      <c r="J4343" s="23" t="str">
        <f aca="false">IF(A4343="","",IF(F4343="Inactivo","No","Sí"))</f>
        <v/>
      </c>
      <c r="K4343" s="23" t="str">
        <f aca="false">IF(A4343="","",IF(AND(I4343="Sí",J4343="Sí"),"Sí","No"))</f>
        <v/>
      </c>
    </row>
    <row r="4344" customFormat="false" ht="15" hidden="false" customHeight="false" outlineLevel="0" collapsed="false">
      <c r="A4344" s="22"/>
      <c r="B4344" s="22"/>
      <c r="C4344" s="26" t="str">
        <f aca="false">IF(A4344="","",IFERROR(buscarx(A4344&amp;B4344,DATA!$E$3:$E$10000&amp;DATA!$B$3:$B$10000,DATA!$M$3:$M$10000),"No encontrado"))</f>
        <v/>
      </c>
      <c r="D4344" s="27" t="str">
        <f aca="false">IF(A4344="","",IFERROR(buscarx(A4344&amp;B4344,DATA!$E$3:$E$10000&amp;DATA!$B$3:$B$10000,DATA!$W$3:$W$10000),"No encontrado"))</f>
        <v/>
      </c>
      <c r="E4344" s="22"/>
      <c r="F4344" s="26" t="str">
        <f aca="false">IF(A4344="","",IFERROR(buscarx(A4344&amp;E4344,DATA!$E$3:$E$10000&amp;DATA!$B$3:$B$10000,DATA!$M$3:$M$10000),"Inactivo"))</f>
        <v/>
      </c>
      <c r="G4344" s="28" t="str">
        <f aca="false">IF(A4344="","",IF(AND(C4344&lt;&gt;"No encontrado",F4344&lt;&gt;"Inactivo"),C4344&amp;" → "&amp;F4344,"Sin transición"))</f>
        <v/>
      </c>
      <c r="H4344" s="26" t="str">
        <f aca="false">IF(A4344="","",IF(D4344="GCIA LINEA SERVICIO DIGITALIDAD Y VENTAS","Chats",IF(OR(D4344="GERENCIA INBOUND LÍNEAS SERVICIO Y VENTA",D4344="GERENCIA INBOUND LINEAS ESPECIALIZADAS"),"Llamadas","Otro")))</f>
        <v/>
      </c>
      <c r="I4344" s="26" t="str">
        <f aca="false">IF(A4344="","",IF(C4344="No encontrado","No","Sí"))</f>
        <v/>
      </c>
      <c r="J4344" s="26" t="str">
        <f aca="false">IF(A4344="","",IF(F4344="Inactivo","No","Sí"))</f>
        <v/>
      </c>
      <c r="K4344" s="26" t="str">
        <f aca="false">IF(A4344="","",IF(AND(I4344="Sí",J4344="Sí"),"Sí","No"))</f>
        <v/>
      </c>
    </row>
    <row r="4345" customFormat="false" ht="15" hidden="false" customHeight="false" outlineLevel="0" collapsed="false">
      <c r="A4345" s="22"/>
      <c r="B4345" s="22"/>
      <c r="C4345" s="23" t="str">
        <f aca="false">IF(A4345="","",IFERROR(buscarx(A4345&amp;B4345,DATA!$E$3:$E$10000&amp;DATA!$B$3:$B$10000,DATA!$M$3:$M$10000),"No encontrado"))</f>
        <v/>
      </c>
      <c r="D4345" s="24" t="str">
        <f aca="false">IF(A4345="","",IFERROR(buscarx(A4345&amp;B4345,DATA!$E$3:$E$10000&amp;DATA!$B$3:$B$10000,DATA!$W$3:$W$10000),"No encontrado"))</f>
        <v/>
      </c>
      <c r="E4345" s="22"/>
      <c r="F4345" s="23" t="str">
        <f aca="false">IF(A4345="","",IFERROR(buscarx(A4345&amp;E4345,DATA!$E$3:$E$10000&amp;DATA!$B$3:$B$10000,DATA!$M$3:$M$10000),"Inactivo"))</f>
        <v/>
      </c>
      <c r="G4345" s="25" t="str">
        <f aca="false">IF(A4345="","",IF(AND(C4345&lt;&gt;"No encontrado",F4345&lt;&gt;"Inactivo"),C4345&amp;" → "&amp;F4345,"Sin transición"))</f>
        <v/>
      </c>
      <c r="H4345" s="23" t="str">
        <f aca="false">IF(A4345="","",IF(D4345="GCIA LINEA SERVICIO DIGITALIDAD Y VENTAS","Chats",IF(OR(D4345="GERENCIA INBOUND LÍNEAS SERVICIO Y VENTA",D4345="GERENCIA INBOUND LINEAS ESPECIALIZADAS"),"Llamadas","Otro")))</f>
        <v/>
      </c>
      <c r="I4345" s="23" t="str">
        <f aca="false">IF(A4345="","",IF(C4345="No encontrado","No","Sí"))</f>
        <v/>
      </c>
      <c r="J4345" s="23" t="str">
        <f aca="false">IF(A4345="","",IF(F4345="Inactivo","No","Sí"))</f>
        <v/>
      </c>
      <c r="K4345" s="23" t="str">
        <f aca="false">IF(A4345="","",IF(AND(I4345="Sí",J4345="Sí"),"Sí","No"))</f>
        <v/>
      </c>
    </row>
    <row r="4346" customFormat="false" ht="15" hidden="false" customHeight="false" outlineLevel="0" collapsed="false">
      <c r="A4346" s="22"/>
      <c r="B4346" s="22"/>
      <c r="C4346" s="26" t="str">
        <f aca="false">IF(A4346="","",IFERROR(buscarx(A4346&amp;B4346,DATA!$E$3:$E$10000&amp;DATA!$B$3:$B$10000,DATA!$M$3:$M$10000),"No encontrado"))</f>
        <v/>
      </c>
      <c r="D4346" s="27" t="str">
        <f aca="false">IF(A4346="","",IFERROR(buscarx(A4346&amp;B4346,DATA!$E$3:$E$10000&amp;DATA!$B$3:$B$10000,DATA!$W$3:$W$10000),"No encontrado"))</f>
        <v/>
      </c>
      <c r="E4346" s="22"/>
      <c r="F4346" s="26" t="str">
        <f aca="false">IF(A4346="","",IFERROR(buscarx(A4346&amp;E4346,DATA!$E$3:$E$10000&amp;DATA!$B$3:$B$10000,DATA!$M$3:$M$10000),"Inactivo"))</f>
        <v/>
      </c>
      <c r="G4346" s="28" t="str">
        <f aca="false">IF(A4346="","",IF(AND(C4346&lt;&gt;"No encontrado",F4346&lt;&gt;"Inactivo"),C4346&amp;" → "&amp;F4346,"Sin transición"))</f>
        <v/>
      </c>
      <c r="H4346" s="26" t="str">
        <f aca="false">IF(A4346="","",IF(D4346="GCIA LINEA SERVICIO DIGITALIDAD Y VENTAS","Chats",IF(OR(D4346="GERENCIA INBOUND LÍNEAS SERVICIO Y VENTA",D4346="GERENCIA INBOUND LINEAS ESPECIALIZADAS"),"Llamadas","Otro")))</f>
        <v/>
      </c>
      <c r="I4346" s="26" t="str">
        <f aca="false">IF(A4346="","",IF(C4346="No encontrado","No","Sí"))</f>
        <v/>
      </c>
      <c r="J4346" s="26" t="str">
        <f aca="false">IF(A4346="","",IF(F4346="Inactivo","No","Sí"))</f>
        <v/>
      </c>
      <c r="K4346" s="26" t="str">
        <f aca="false">IF(A4346="","",IF(AND(I4346="Sí",J4346="Sí"),"Sí","No"))</f>
        <v/>
      </c>
    </row>
    <row r="4347" customFormat="false" ht="15" hidden="false" customHeight="false" outlineLevel="0" collapsed="false">
      <c r="A4347" s="22"/>
      <c r="B4347" s="22"/>
      <c r="C4347" s="23" t="str">
        <f aca="false">IF(A4347="","",IFERROR(buscarx(A4347&amp;B4347,DATA!$E$3:$E$10000&amp;DATA!$B$3:$B$10000,DATA!$M$3:$M$10000),"No encontrado"))</f>
        <v/>
      </c>
      <c r="D4347" s="24" t="str">
        <f aca="false">IF(A4347="","",IFERROR(buscarx(A4347&amp;B4347,DATA!$E$3:$E$10000&amp;DATA!$B$3:$B$10000,DATA!$W$3:$W$10000),"No encontrado"))</f>
        <v/>
      </c>
      <c r="E4347" s="22"/>
      <c r="F4347" s="23" t="str">
        <f aca="false">IF(A4347="","",IFERROR(buscarx(A4347&amp;E4347,DATA!$E$3:$E$10000&amp;DATA!$B$3:$B$10000,DATA!$M$3:$M$10000),"Inactivo"))</f>
        <v/>
      </c>
      <c r="G4347" s="25" t="str">
        <f aca="false">IF(A4347="","",IF(AND(C4347&lt;&gt;"No encontrado",F4347&lt;&gt;"Inactivo"),C4347&amp;" → "&amp;F4347,"Sin transición"))</f>
        <v/>
      </c>
      <c r="H4347" s="23" t="str">
        <f aca="false">IF(A4347="","",IF(D4347="GCIA LINEA SERVICIO DIGITALIDAD Y VENTAS","Chats",IF(OR(D4347="GERENCIA INBOUND LÍNEAS SERVICIO Y VENTA",D4347="GERENCIA INBOUND LINEAS ESPECIALIZADAS"),"Llamadas","Otro")))</f>
        <v/>
      </c>
      <c r="I4347" s="23" t="str">
        <f aca="false">IF(A4347="","",IF(C4347="No encontrado","No","Sí"))</f>
        <v/>
      </c>
      <c r="J4347" s="23" t="str">
        <f aca="false">IF(A4347="","",IF(F4347="Inactivo","No","Sí"))</f>
        <v/>
      </c>
      <c r="K4347" s="23" t="str">
        <f aca="false">IF(A4347="","",IF(AND(I4347="Sí",J4347="Sí"),"Sí","No"))</f>
        <v/>
      </c>
    </row>
    <row r="4348" customFormat="false" ht="15" hidden="false" customHeight="false" outlineLevel="0" collapsed="false">
      <c r="A4348" s="22"/>
      <c r="B4348" s="22"/>
      <c r="C4348" s="26" t="str">
        <f aca="false">IF(A4348="","",IFERROR(buscarx(A4348&amp;B4348,DATA!$E$3:$E$10000&amp;DATA!$B$3:$B$10000,DATA!$M$3:$M$10000),"No encontrado"))</f>
        <v/>
      </c>
      <c r="D4348" s="27" t="str">
        <f aca="false">IF(A4348="","",IFERROR(buscarx(A4348&amp;B4348,DATA!$E$3:$E$10000&amp;DATA!$B$3:$B$10000,DATA!$W$3:$W$10000),"No encontrado"))</f>
        <v/>
      </c>
      <c r="E4348" s="22"/>
      <c r="F4348" s="26" t="str">
        <f aca="false">IF(A4348="","",IFERROR(buscarx(A4348&amp;E4348,DATA!$E$3:$E$10000&amp;DATA!$B$3:$B$10000,DATA!$M$3:$M$10000),"Inactivo"))</f>
        <v/>
      </c>
      <c r="G4348" s="28" t="str">
        <f aca="false">IF(A4348="","",IF(AND(C4348&lt;&gt;"No encontrado",F4348&lt;&gt;"Inactivo"),C4348&amp;" → "&amp;F4348,"Sin transición"))</f>
        <v/>
      </c>
      <c r="H4348" s="26" t="str">
        <f aca="false">IF(A4348="","",IF(D4348="GCIA LINEA SERVICIO DIGITALIDAD Y VENTAS","Chats",IF(OR(D4348="GERENCIA INBOUND LÍNEAS SERVICIO Y VENTA",D4348="GERENCIA INBOUND LINEAS ESPECIALIZADAS"),"Llamadas","Otro")))</f>
        <v/>
      </c>
      <c r="I4348" s="26" t="str">
        <f aca="false">IF(A4348="","",IF(C4348="No encontrado","No","Sí"))</f>
        <v/>
      </c>
      <c r="J4348" s="26" t="str">
        <f aca="false">IF(A4348="","",IF(F4348="Inactivo","No","Sí"))</f>
        <v/>
      </c>
      <c r="K4348" s="26" t="str">
        <f aca="false">IF(A4348="","",IF(AND(I4348="Sí",J4348="Sí"),"Sí","No"))</f>
        <v/>
      </c>
    </row>
    <row r="4349" customFormat="false" ht="15" hidden="false" customHeight="false" outlineLevel="0" collapsed="false">
      <c r="A4349" s="22"/>
      <c r="B4349" s="22"/>
      <c r="C4349" s="23" t="str">
        <f aca="false">IF(A4349="","",IFERROR(buscarx(A4349&amp;B4349,DATA!$E$3:$E$10000&amp;DATA!$B$3:$B$10000,DATA!$M$3:$M$10000),"No encontrado"))</f>
        <v/>
      </c>
      <c r="D4349" s="24" t="str">
        <f aca="false">IF(A4349="","",IFERROR(buscarx(A4349&amp;B4349,DATA!$E$3:$E$10000&amp;DATA!$B$3:$B$10000,DATA!$W$3:$W$10000),"No encontrado"))</f>
        <v/>
      </c>
      <c r="E4349" s="22"/>
      <c r="F4349" s="23" t="str">
        <f aca="false">IF(A4349="","",IFERROR(buscarx(A4349&amp;E4349,DATA!$E$3:$E$10000&amp;DATA!$B$3:$B$10000,DATA!$M$3:$M$10000),"Inactivo"))</f>
        <v/>
      </c>
      <c r="G4349" s="25" t="str">
        <f aca="false">IF(A4349="","",IF(AND(C4349&lt;&gt;"No encontrado",F4349&lt;&gt;"Inactivo"),C4349&amp;" → "&amp;F4349,"Sin transición"))</f>
        <v/>
      </c>
      <c r="H4349" s="23" t="str">
        <f aca="false">IF(A4349="","",IF(D4349="GCIA LINEA SERVICIO DIGITALIDAD Y VENTAS","Chats",IF(OR(D4349="GERENCIA INBOUND LÍNEAS SERVICIO Y VENTA",D4349="GERENCIA INBOUND LINEAS ESPECIALIZADAS"),"Llamadas","Otro")))</f>
        <v/>
      </c>
      <c r="I4349" s="23" t="str">
        <f aca="false">IF(A4349="","",IF(C4349="No encontrado","No","Sí"))</f>
        <v/>
      </c>
      <c r="J4349" s="23" t="str">
        <f aca="false">IF(A4349="","",IF(F4349="Inactivo","No","Sí"))</f>
        <v/>
      </c>
      <c r="K4349" s="23" t="str">
        <f aca="false">IF(A4349="","",IF(AND(I4349="Sí",J4349="Sí"),"Sí","No"))</f>
        <v/>
      </c>
    </row>
    <row r="4350" customFormat="false" ht="15" hidden="false" customHeight="false" outlineLevel="0" collapsed="false">
      <c r="A4350" s="22"/>
      <c r="B4350" s="22"/>
      <c r="C4350" s="26" t="str">
        <f aca="false">IF(A4350="","",IFERROR(buscarx(A4350&amp;B4350,DATA!$E$3:$E$10000&amp;DATA!$B$3:$B$10000,DATA!$M$3:$M$10000),"No encontrado"))</f>
        <v/>
      </c>
      <c r="D4350" s="27" t="str">
        <f aca="false">IF(A4350="","",IFERROR(buscarx(A4350&amp;B4350,DATA!$E$3:$E$10000&amp;DATA!$B$3:$B$10000,DATA!$W$3:$W$10000),"No encontrado"))</f>
        <v/>
      </c>
      <c r="E4350" s="22"/>
      <c r="F4350" s="26" t="str">
        <f aca="false">IF(A4350="","",IFERROR(buscarx(A4350&amp;E4350,DATA!$E$3:$E$10000&amp;DATA!$B$3:$B$10000,DATA!$M$3:$M$10000),"Inactivo"))</f>
        <v/>
      </c>
      <c r="G4350" s="28" t="str">
        <f aca="false">IF(A4350="","",IF(AND(C4350&lt;&gt;"No encontrado",F4350&lt;&gt;"Inactivo"),C4350&amp;" → "&amp;F4350,"Sin transición"))</f>
        <v/>
      </c>
      <c r="H4350" s="26" t="str">
        <f aca="false">IF(A4350="","",IF(D4350="GCIA LINEA SERVICIO DIGITALIDAD Y VENTAS","Chats",IF(OR(D4350="GERENCIA INBOUND LÍNEAS SERVICIO Y VENTA",D4350="GERENCIA INBOUND LINEAS ESPECIALIZADAS"),"Llamadas","Otro")))</f>
        <v/>
      </c>
      <c r="I4350" s="26" t="str">
        <f aca="false">IF(A4350="","",IF(C4350="No encontrado","No","Sí"))</f>
        <v/>
      </c>
      <c r="J4350" s="26" t="str">
        <f aca="false">IF(A4350="","",IF(F4350="Inactivo","No","Sí"))</f>
        <v/>
      </c>
      <c r="K4350" s="26" t="str">
        <f aca="false">IF(A4350="","",IF(AND(I4350="Sí",J4350="Sí"),"Sí","No"))</f>
        <v/>
      </c>
    </row>
    <row r="4351" customFormat="false" ht="15" hidden="false" customHeight="false" outlineLevel="0" collapsed="false">
      <c r="A4351" s="22"/>
      <c r="B4351" s="22"/>
      <c r="C4351" s="23" t="str">
        <f aca="false">IF(A4351="","",IFERROR(buscarx(A4351&amp;B4351,DATA!$E$3:$E$10000&amp;DATA!$B$3:$B$10000,DATA!$M$3:$M$10000),"No encontrado"))</f>
        <v/>
      </c>
      <c r="D4351" s="24" t="str">
        <f aca="false">IF(A4351="","",IFERROR(buscarx(A4351&amp;B4351,DATA!$E$3:$E$10000&amp;DATA!$B$3:$B$10000,DATA!$W$3:$W$10000),"No encontrado"))</f>
        <v/>
      </c>
      <c r="E4351" s="22"/>
      <c r="F4351" s="23" t="str">
        <f aca="false">IF(A4351="","",IFERROR(buscarx(A4351&amp;E4351,DATA!$E$3:$E$10000&amp;DATA!$B$3:$B$10000,DATA!$M$3:$M$10000),"Inactivo"))</f>
        <v/>
      </c>
      <c r="G4351" s="25" t="str">
        <f aca="false">IF(A4351="","",IF(AND(C4351&lt;&gt;"No encontrado",F4351&lt;&gt;"Inactivo"),C4351&amp;" → "&amp;F4351,"Sin transición"))</f>
        <v/>
      </c>
      <c r="H4351" s="23" t="str">
        <f aca="false">IF(A4351="","",IF(D4351="GCIA LINEA SERVICIO DIGITALIDAD Y VENTAS","Chats",IF(OR(D4351="GERENCIA INBOUND LÍNEAS SERVICIO Y VENTA",D4351="GERENCIA INBOUND LINEAS ESPECIALIZADAS"),"Llamadas","Otro")))</f>
        <v/>
      </c>
      <c r="I4351" s="23" t="str">
        <f aca="false">IF(A4351="","",IF(C4351="No encontrado","No","Sí"))</f>
        <v/>
      </c>
      <c r="J4351" s="23" t="str">
        <f aca="false">IF(A4351="","",IF(F4351="Inactivo","No","Sí"))</f>
        <v/>
      </c>
      <c r="K4351" s="23" t="str">
        <f aca="false">IF(A4351="","",IF(AND(I4351="Sí",J4351="Sí"),"Sí","No"))</f>
        <v/>
      </c>
    </row>
    <row r="4352" customFormat="false" ht="15" hidden="false" customHeight="false" outlineLevel="0" collapsed="false">
      <c r="A4352" s="22"/>
      <c r="B4352" s="22"/>
      <c r="C4352" s="26" t="str">
        <f aca="false">IF(A4352="","",IFERROR(buscarx(A4352&amp;B4352,DATA!$E$3:$E$10000&amp;DATA!$B$3:$B$10000,DATA!$M$3:$M$10000),"No encontrado"))</f>
        <v/>
      </c>
      <c r="D4352" s="27" t="str">
        <f aca="false">IF(A4352="","",IFERROR(buscarx(A4352&amp;B4352,DATA!$E$3:$E$10000&amp;DATA!$B$3:$B$10000,DATA!$W$3:$W$10000),"No encontrado"))</f>
        <v/>
      </c>
      <c r="E4352" s="22"/>
      <c r="F4352" s="26" t="str">
        <f aca="false">IF(A4352="","",IFERROR(buscarx(A4352&amp;E4352,DATA!$E$3:$E$10000&amp;DATA!$B$3:$B$10000,DATA!$M$3:$M$10000),"Inactivo"))</f>
        <v/>
      </c>
      <c r="G4352" s="28" t="str">
        <f aca="false">IF(A4352="","",IF(AND(C4352&lt;&gt;"No encontrado",F4352&lt;&gt;"Inactivo"),C4352&amp;" → "&amp;F4352,"Sin transición"))</f>
        <v/>
      </c>
      <c r="H4352" s="26" t="str">
        <f aca="false">IF(A4352="","",IF(D4352="GCIA LINEA SERVICIO DIGITALIDAD Y VENTAS","Chats",IF(OR(D4352="GERENCIA INBOUND LÍNEAS SERVICIO Y VENTA",D4352="GERENCIA INBOUND LINEAS ESPECIALIZADAS"),"Llamadas","Otro")))</f>
        <v/>
      </c>
      <c r="I4352" s="26" t="str">
        <f aca="false">IF(A4352="","",IF(C4352="No encontrado","No","Sí"))</f>
        <v/>
      </c>
      <c r="J4352" s="26" t="str">
        <f aca="false">IF(A4352="","",IF(F4352="Inactivo","No","Sí"))</f>
        <v/>
      </c>
      <c r="K4352" s="26" t="str">
        <f aca="false">IF(A4352="","",IF(AND(I4352="Sí",J4352="Sí"),"Sí","No"))</f>
        <v/>
      </c>
    </row>
    <row r="4353" customFormat="false" ht="15" hidden="false" customHeight="false" outlineLevel="0" collapsed="false">
      <c r="A4353" s="22"/>
      <c r="B4353" s="22"/>
      <c r="C4353" s="23" t="str">
        <f aca="false">IF(A4353="","",IFERROR(buscarx(A4353&amp;B4353,DATA!$E$3:$E$10000&amp;DATA!$B$3:$B$10000,DATA!$M$3:$M$10000),"No encontrado"))</f>
        <v/>
      </c>
      <c r="D4353" s="24" t="str">
        <f aca="false">IF(A4353="","",IFERROR(buscarx(A4353&amp;B4353,DATA!$E$3:$E$10000&amp;DATA!$B$3:$B$10000,DATA!$W$3:$W$10000),"No encontrado"))</f>
        <v/>
      </c>
      <c r="E4353" s="22"/>
      <c r="F4353" s="23" t="str">
        <f aca="false">IF(A4353="","",IFERROR(buscarx(A4353&amp;E4353,DATA!$E$3:$E$10000&amp;DATA!$B$3:$B$10000,DATA!$M$3:$M$10000),"Inactivo"))</f>
        <v/>
      </c>
      <c r="G4353" s="25" t="str">
        <f aca="false">IF(A4353="","",IF(AND(C4353&lt;&gt;"No encontrado",F4353&lt;&gt;"Inactivo"),C4353&amp;" → "&amp;F4353,"Sin transición"))</f>
        <v/>
      </c>
      <c r="H4353" s="23" t="str">
        <f aca="false">IF(A4353="","",IF(D4353="GCIA LINEA SERVICIO DIGITALIDAD Y VENTAS","Chats",IF(OR(D4353="GERENCIA INBOUND LÍNEAS SERVICIO Y VENTA",D4353="GERENCIA INBOUND LINEAS ESPECIALIZADAS"),"Llamadas","Otro")))</f>
        <v/>
      </c>
      <c r="I4353" s="23" t="str">
        <f aca="false">IF(A4353="","",IF(C4353="No encontrado","No","Sí"))</f>
        <v/>
      </c>
      <c r="J4353" s="23" t="str">
        <f aca="false">IF(A4353="","",IF(F4353="Inactivo","No","Sí"))</f>
        <v/>
      </c>
      <c r="K4353" s="23" t="str">
        <f aca="false">IF(A4353="","",IF(AND(I4353="Sí",J4353="Sí"),"Sí","No"))</f>
        <v/>
      </c>
    </row>
    <row r="4354" customFormat="false" ht="15" hidden="false" customHeight="false" outlineLevel="0" collapsed="false">
      <c r="A4354" s="22"/>
      <c r="B4354" s="22"/>
      <c r="C4354" s="26" t="str">
        <f aca="false">IF(A4354="","",IFERROR(buscarx(A4354&amp;B4354,DATA!$E$3:$E$10000&amp;DATA!$B$3:$B$10000,DATA!$M$3:$M$10000),"No encontrado"))</f>
        <v/>
      </c>
      <c r="D4354" s="27" t="str">
        <f aca="false">IF(A4354="","",IFERROR(buscarx(A4354&amp;B4354,DATA!$E$3:$E$10000&amp;DATA!$B$3:$B$10000,DATA!$W$3:$W$10000),"No encontrado"))</f>
        <v/>
      </c>
      <c r="E4354" s="22"/>
      <c r="F4354" s="26" t="str">
        <f aca="false">IF(A4354="","",IFERROR(buscarx(A4354&amp;E4354,DATA!$E$3:$E$10000&amp;DATA!$B$3:$B$10000,DATA!$M$3:$M$10000),"Inactivo"))</f>
        <v/>
      </c>
      <c r="G4354" s="28" t="str">
        <f aca="false">IF(A4354="","",IF(AND(C4354&lt;&gt;"No encontrado",F4354&lt;&gt;"Inactivo"),C4354&amp;" → "&amp;F4354,"Sin transición"))</f>
        <v/>
      </c>
      <c r="H4354" s="26" t="str">
        <f aca="false">IF(A4354="","",IF(D4354="GCIA LINEA SERVICIO DIGITALIDAD Y VENTAS","Chats",IF(OR(D4354="GERENCIA INBOUND LÍNEAS SERVICIO Y VENTA",D4354="GERENCIA INBOUND LINEAS ESPECIALIZADAS"),"Llamadas","Otro")))</f>
        <v/>
      </c>
      <c r="I4354" s="26" t="str">
        <f aca="false">IF(A4354="","",IF(C4354="No encontrado","No","Sí"))</f>
        <v/>
      </c>
      <c r="J4354" s="26" t="str">
        <f aca="false">IF(A4354="","",IF(F4354="Inactivo","No","Sí"))</f>
        <v/>
      </c>
      <c r="K4354" s="26" t="str">
        <f aca="false">IF(A4354="","",IF(AND(I4354="Sí",J4354="Sí"),"Sí","No"))</f>
        <v/>
      </c>
    </row>
    <row r="4355" customFormat="false" ht="15" hidden="false" customHeight="false" outlineLevel="0" collapsed="false">
      <c r="A4355" s="22"/>
      <c r="B4355" s="22"/>
      <c r="C4355" s="23" t="str">
        <f aca="false">IF(A4355="","",IFERROR(buscarx(A4355&amp;B4355,DATA!$E$3:$E$10000&amp;DATA!$B$3:$B$10000,DATA!$M$3:$M$10000),"No encontrado"))</f>
        <v/>
      </c>
      <c r="D4355" s="24" t="str">
        <f aca="false">IF(A4355="","",IFERROR(buscarx(A4355&amp;B4355,DATA!$E$3:$E$10000&amp;DATA!$B$3:$B$10000,DATA!$W$3:$W$10000),"No encontrado"))</f>
        <v/>
      </c>
      <c r="E4355" s="22"/>
      <c r="F4355" s="23" t="str">
        <f aca="false">IF(A4355="","",IFERROR(buscarx(A4355&amp;E4355,DATA!$E$3:$E$10000&amp;DATA!$B$3:$B$10000,DATA!$M$3:$M$10000),"Inactivo"))</f>
        <v/>
      </c>
      <c r="G4355" s="25" t="str">
        <f aca="false">IF(A4355="","",IF(AND(C4355&lt;&gt;"No encontrado",F4355&lt;&gt;"Inactivo"),C4355&amp;" → "&amp;F4355,"Sin transición"))</f>
        <v/>
      </c>
      <c r="H4355" s="23" t="str">
        <f aca="false">IF(A4355="","",IF(D4355="GCIA LINEA SERVICIO DIGITALIDAD Y VENTAS","Chats",IF(OR(D4355="GERENCIA INBOUND LÍNEAS SERVICIO Y VENTA",D4355="GERENCIA INBOUND LINEAS ESPECIALIZADAS"),"Llamadas","Otro")))</f>
        <v/>
      </c>
      <c r="I4355" s="23" t="str">
        <f aca="false">IF(A4355="","",IF(C4355="No encontrado","No","Sí"))</f>
        <v/>
      </c>
      <c r="J4355" s="23" t="str">
        <f aca="false">IF(A4355="","",IF(F4355="Inactivo","No","Sí"))</f>
        <v/>
      </c>
      <c r="K4355" s="23" t="str">
        <f aca="false">IF(A4355="","",IF(AND(I4355="Sí",J4355="Sí"),"Sí","No"))</f>
        <v/>
      </c>
    </row>
    <row r="4356" customFormat="false" ht="15" hidden="false" customHeight="false" outlineLevel="0" collapsed="false">
      <c r="A4356" s="22"/>
      <c r="B4356" s="22"/>
      <c r="C4356" s="26" t="str">
        <f aca="false">IF(A4356="","",IFERROR(buscarx(A4356&amp;B4356,DATA!$E$3:$E$10000&amp;DATA!$B$3:$B$10000,DATA!$M$3:$M$10000),"No encontrado"))</f>
        <v/>
      </c>
      <c r="D4356" s="27" t="str">
        <f aca="false">IF(A4356="","",IFERROR(buscarx(A4356&amp;B4356,DATA!$E$3:$E$10000&amp;DATA!$B$3:$B$10000,DATA!$W$3:$W$10000),"No encontrado"))</f>
        <v/>
      </c>
      <c r="E4356" s="22"/>
      <c r="F4356" s="26" t="str">
        <f aca="false">IF(A4356="","",IFERROR(buscarx(A4356&amp;E4356,DATA!$E$3:$E$10000&amp;DATA!$B$3:$B$10000,DATA!$M$3:$M$10000),"Inactivo"))</f>
        <v/>
      </c>
      <c r="G4356" s="28" t="str">
        <f aca="false">IF(A4356="","",IF(AND(C4356&lt;&gt;"No encontrado",F4356&lt;&gt;"Inactivo"),C4356&amp;" → "&amp;F4356,"Sin transición"))</f>
        <v/>
      </c>
      <c r="H4356" s="26" t="str">
        <f aca="false">IF(A4356="","",IF(D4356="GCIA LINEA SERVICIO DIGITALIDAD Y VENTAS","Chats",IF(OR(D4356="GERENCIA INBOUND LÍNEAS SERVICIO Y VENTA",D4356="GERENCIA INBOUND LINEAS ESPECIALIZADAS"),"Llamadas","Otro")))</f>
        <v/>
      </c>
      <c r="I4356" s="26" t="str">
        <f aca="false">IF(A4356="","",IF(C4356="No encontrado","No","Sí"))</f>
        <v/>
      </c>
      <c r="J4356" s="26" t="str">
        <f aca="false">IF(A4356="","",IF(F4356="Inactivo","No","Sí"))</f>
        <v/>
      </c>
      <c r="K4356" s="26" t="str">
        <f aca="false">IF(A4356="","",IF(AND(I4356="Sí",J4356="Sí"),"Sí","No"))</f>
        <v/>
      </c>
    </row>
    <row r="4357" customFormat="false" ht="15" hidden="false" customHeight="false" outlineLevel="0" collapsed="false">
      <c r="A4357" s="22"/>
      <c r="B4357" s="22"/>
      <c r="C4357" s="23" t="str">
        <f aca="false">IF(A4357="","",IFERROR(buscarx(A4357&amp;B4357,DATA!$E$3:$E$10000&amp;DATA!$B$3:$B$10000,DATA!$M$3:$M$10000),"No encontrado"))</f>
        <v/>
      </c>
      <c r="D4357" s="24" t="str">
        <f aca="false">IF(A4357="","",IFERROR(buscarx(A4357&amp;B4357,DATA!$E$3:$E$10000&amp;DATA!$B$3:$B$10000,DATA!$W$3:$W$10000),"No encontrado"))</f>
        <v/>
      </c>
      <c r="E4357" s="22"/>
      <c r="F4357" s="23" t="str">
        <f aca="false">IF(A4357="","",IFERROR(buscarx(A4357&amp;E4357,DATA!$E$3:$E$10000&amp;DATA!$B$3:$B$10000,DATA!$M$3:$M$10000),"Inactivo"))</f>
        <v/>
      </c>
      <c r="G4357" s="25" t="str">
        <f aca="false">IF(A4357="","",IF(AND(C4357&lt;&gt;"No encontrado",F4357&lt;&gt;"Inactivo"),C4357&amp;" → "&amp;F4357,"Sin transición"))</f>
        <v/>
      </c>
      <c r="H4357" s="23" t="str">
        <f aca="false">IF(A4357="","",IF(D4357="GCIA LINEA SERVICIO DIGITALIDAD Y VENTAS","Chats",IF(OR(D4357="GERENCIA INBOUND LÍNEAS SERVICIO Y VENTA",D4357="GERENCIA INBOUND LINEAS ESPECIALIZADAS"),"Llamadas","Otro")))</f>
        <v/>
      </c>
      <c r="I4357" s="23" t="str">
        <f aca="false">IF(A4357="","",IF(C4357="No encontrado","No","Sí"))</f>
        <v/>
      </c>
      <c r="J4357" s="23" t="str">
        <f aca="false">IF(A4357="","",IF(F4357="Inactivo","No","Sí"))</f>
        <v/>
      </c>
      <c r="K4357" s="23" t="str">
        <f aca="false">IF(A4357="","",IF(AND(I4357="Sí",J4357="Sí"),"Sí","No"))</f>
        <v/>
      </c>
    </row>
    <row r="4358" customFormat="false" ht="15" hidden="false" customHeight="false" outlineLevel="0" collapsed="false">
      <c r="A4358" s="22"/>
      <c r="B4358" s="22"/>
      <c r="C4358" s="26" t="str">
        <f aca="false">IF(A4358="","",IFERROR(buscarx(A4358&amp;B4358,DATA!$E$3:$E$10000&amp;DATA!$B$3:$B$10000,DATA!$M$3:$M$10000),"No encontrado"))</f>
        <v/>
      </c>
      <c r="D4358" s="27" t="str">
        <f aca="false">IF(A4358="","",IFERROR(buscarx(A4358&amp;B4358,DATA!$E$3:$E$10000&amp;DATA!$B$3:$B$10000,DATA!$W$3:$W$10000),"No encontrado"))</f>
        <v/>
      </c>
      <c r="E4358" s="22"/>
      <c r="F4358" s="26" t="str">
        <f aca="false">IF(A4358="","",IFERROR(buscarx(A4358&amp;E4358,DATA!$E$3:$E$10000&amp;DATA!$B$3:$B$10000,DATA!$M$3:$M$10000),"Inactivo"))</f>
        <v/>
      </c>
      <c r="G4358" s="28" t="str">
        <f aca="false">IF(A4358="","",IF(AND(C4358&lt;&gt;"No encontrado",F4358&lt;&gt;"Inactivo"),C4358&amp;" → "&amp;F4358,"Sin transición"))</f>
        <v/>
      </c>
      <c r="H4358" s="26" t="str">
        <f aca="false">IF(A4358="","",IF(D4358="GCIA LINEA SERVICIO DIGITALIDAD Y VENTAS","Chats",IF(OR(D4358="GERENCIA INBOUND LÍNEAS SERVICIO Y VENTA",D4358="GERENCIA INBOUND LINEAS ESPECIALIZADAS"),"Llamadas","Otro")))</f>
        <v/>
      </c>
      <c r="I4358" s="26" t="str">
        <f aca="false">IF(A4358="","",IF(C4358="No encontrado","No","Sí"))</f>
        <v/>
      </c>
      <c r="J4358" s="26" t="str">
        <f aca="false">IF(A4358="","",IF(F4358="Inactivo","No","Sí"))</f>
        <v/>
      </c>
      <c r="K4358" s="26" t="str">
        <f aca="false">IF(A4358="","",IF(AND(I4358="Sí",J4358="Sí"),"Sí","No"))</f>
        <v/>
      </c>
    </row>
    <row r="4359" customFormat="false" ht="15" hidden="false" customHeight="false" outlineLevel="0" collapsed="false">
      <c r="A4359" s="22"/>
      <c r="B4359" s="22"/>
      <c r="C4359" s="23" t="str">
        <f aca="false">IF(A4359="","",IFERROR(buscarx(A4359&amp;B4359,DATA!$E$3:$E$10000&amp;DATA!$B$3:$B$10000,DATA!$M$3:$M$10000),"No encontrado"))</f>
        <v/>
      </c>
      <c r="D4359" s="24" t="str">
        <f aca="false">IF(A4359="","",IFERROR(buscarx(A4359&amp;B4359,DATA!$E$3:$E$10000&amp;DATA!$B$3:$B$10000,DATA!$W$3:$W$10000),"No encontrado"))</f>
        <v/>
      </c>
      <c r="E4359" s="22"/>
      <c r="F4359" s="23" t="str">
        <f aca="false">IF(A4359="","",IFERROR(buscarx(A4359&amp;E4359,DATA!$E$3:$E$10000&amp;DATA!$B$3:$B$10000,DATA!$M$3:$M$10000),"Inactivo"))</f>
        <v/>
      </c>
      <c r="G4359" s="25" t="str">
        <f aca="false">IF(A4359="","",IF(AND(C4359&lt;&gt;"No encontrado",F4359&lt;&gt;"Inactivo"),C4359&amp;" → "&amp;F4359,"Sin transición"))</f>
        <v/>
      </c>
      <c r="H4359" s="23" t="str">
        <f aca="false">IF(A4359="","",IF(D4359="GCIA LINEA SERVICIO DIGITALIDAD Y VENTAS","Chats",IF(OR(D4359="GERENCIA INBOUND LÍNEAS SERVICIO Y VENTA",D4359="GERENCIA INBOUND LINEAS ESPECIALIZADAS"),"Llamadas","Otro")))</f>
        <v/>
      </c>
      <c r="I4359" s="23" t="str">
        <f aca="false">IF(A4359="","",IF(C4359="No encontrado","No","Sí"))</f>
        <v/>
      </c>
      <c r="J4359" s="23" t="str">
        <f aca="false">IF(A4359="","",IF(F4359="Inactivo","No","Sí"))</f>
        <v/>
      </c>
      <c r="K4359" s="23" t="str">
        <f aca="false">IF(A4359="","",IF(AND(I4359="Sí",J4359="Sí"),"Sí","No"))</f>
        <v/>
      </c>
    </row>
    <row r="4360" customFormat="false" ht="15" hidden="false" customHeight="false" outlineLevel="0" collapsed="false">
      <c r="A4360" s="22"/>
      <c r="B4360" s="22"/>
      <c r="C4360" s="26" t="str">
        <f aca="false">IF(A4360="","",IFERROR(buscarx(A4360&amp;B4360,DATA!$E$3:$E$10000&amp;DATA!$B$3:$B$10000,DATA!$M$3:$M$10000),"No encontrado"))</f>
        <v/>
      </c>
      <c r="D4360" s="27" t="str">
        <f aca="false">IF(A4360="","",IFERROR(buscarx(A4360&amp;B4360,DATA!$E$3:$E$10000&amp;DATA!$B$3:$B$10000,DATA!$W$3:$W$10000),"No encontrado"))</f>
        <v/>
      </c>
      <c r="E4360" s="22"/>
      <c r="F4360" s="26" t="str">
        <f aca="false">IF(A4360="","",IFERROR(buscarx(A4360&amp;E4360,DATA!$E$3:$E$10000&amp;DATA!$B$3:$B$10000,DATA!$M$3:$M$10000),"Inactivo"))</f>
        <v/>
      </c>
      <c r="G4360" s="28" t="str">
        <f aca="false">IF(A4360="","",IF(AND(C4360&lt;&gt;"No encontrado",F4360&lt;&gt;"Inactivo"),C4360&amp;" → "&amp;F4360,"Sin transición"))</f>
        <v/>
      </c>
      <c r="H4360" s="26" t="str">
        <f aca="false">IF(A4360="","",IF(D4360="GCIA LINEA SERVICIO DIGITALIDAD Y VENTAS","Chats",IF(OR(D4360="GERENCIA INBOUND LÍNEAS SERVICIO Y VENTA",D4360="GERENCIA INBOUND LINEAS ESPECIALIZADAS"),"Llamadas","Otro")))</f>
        <v/>
      </c>
      <c r="I4360" s="26" t="str">
        <f aca="false">IF(A4360="","",IF(C4360="No encontrado","No","Sí"))</f>
        <v/>
      </c>
      <c r="J4360" s="26" t="str">
        <f aca="false">IF(A4360="","",IF(F4360="Inactivo","No","Sí"))</f>
        <v/>
      </c>
      <c r="K4360" s="26" t="str">
        <f aca="false">IF(A4360="","",IF(AND(I4360="Sí",J4360="Sí"),"Sí","No"))</f>
        <v/>
      </c>
    </row>
    <row r="4361" customFormat="false" ht="15" hidden="false" customHeight="false" outlineLevel="0" collapsed="false">
      <c r="A4361" s="22"/>
      <c r="B4361" s="22"/>
      <c r="C4361" s="23" t="str">
        <f aca="false">IF(A4361="","",IFERROR(buscarx(A4361&amp;B4361,DATA!$E$3:$E$10000&amp;DATA!$B$3:$B$10000,DATA!$M$3:$M$10000),"No encontrado"))</f>
        <v/>
      </c>
      <c r="D4361" s="24" t="str">
        <f aca="false">IF(A4361="","",IFERROR(buscarx(A4361&amp;B4361,DATA!$E$3:$E$10000&amp;DATA!$B$3:$B$10000,DATA!$W$3:$W$10000),"No encontrado"))</f>
        <v/>
      </c>
      <c r="E4361" s="22"/>
      <c r="F4361" s="23" t="str">
        <f aca="false">IF(A4361="","",IFERROR(buscarx(A4361&amp;E4361,DATA!$E$3:$E$10000&amp;DATA!$B$3:$B$10000,DATA!$M$3:$M$10000),"Inactivo"))</f>
        <v/>
      </c>
      <c r="G4361" s="25" t="str">
        <f aca="false">IF(A4361="","",IF(AND(C4361&lt;&gt;"No encontrado",F4361&lt;&gt;"Inactivo"),C4361&amp;" → "&amp;F4361,"Sin transición"))</f>
        <v/>
      </c>
      <c r="H4361" s="23" t="str">
        <f aca="false">IF(A4361="","",IF(D4361="GCIA LINEA SERVICIO DIGITALIDAD Y VENTAS","Chats",IF(OR(D4361="GERENCIA INBOUND LÍNEAS SERVICIO Y VENTA",D4361="GERENCIA INBOUND LINEAS ESPECIALIZADAS"),"Llamadas","Otro")))</f>
        <v/>
      </c>
      <c r="I4361" s="23" t="str">
        <f aca="false">IF(A4361="","",IF(C4361="No encontrado","No","Sí"))</f>
        <v/>
      </c>
      <c r="J4361" s="23" t="str">
        <f aca="false">IF(A4361="","",IF(F4361="Inactivo","No","Sí"))</f>
        <v/>
      </c>
      <c r="K4361" s="23" t="str">
        <f aca="false">IF(A4361="","",IF(AND(I4361="Sí",J4361="Sí"),"Sí","No"))</f>
        <v/>
      </c>
    </row>
    <row r="4362" customFormat="false" ht="15" hidden="false" customHeight="false" outlineLevel="0" collapsed="false">
      <c r="A4362" s="22"/>
      <c r="B4362" s="22"/>
      <c r="C4362" s="26" t="str">
        <f aca="false">IF(A4362="","",IFERROR(buscarx(A4362&amp;B4362,DATA!$E$3:$E$10000&amp;DATA!$B$3:$B$10000,DATA!$M$3:$M$10000),"No encontrado"))</f>
        <v/>
      </c>
      <c r="D4362" s="27" t="str">
        <f aca="false">IF(A4362="","",IFERROR(buscarx(A4362&amp;B4362,DATA!$E$3:$E$10000&amp;DATA!$B$3:$B$10000,DATA!$W$3:$W$10000),"No encontrado"))</f>
        <v/>
      </c>
      <c r="E4362" s="22"/>
      <c r="F4362" s="26" t="str">
        <f aca="false">IF(A4362="","",IFERROR(buscarx(A4362&amp;E4362,DATA!$E$3:$E$10000&amp;DATA!$B$3:$B$10000,DATA!$M$3:$M$10000),"Inactivo"))</f>
        <v/>
      </c>
      <c r="G4362" s="28" t="str">
        <f aca="false">IF(A4362="","",IF(AND(C4362&lt;&gt;"No encontrado",F4362&lt;&gt;"Inactivo"),C4362&amp;" → "&amp;F4362,"Sin transición"))</f>
        <v/>
      </c>
      <c r="H4362" s="26" t="str">
        <f aca="false">IF(A4362="","",IF(D4362="GCIA LINEA SERVICIO DIGITALIDAD Y VENTAS","Chats",IF(OR(D4362="GERENCIA INBOUND LÍNEAS SERVICIO Y VENTA",D4362="GERENCIA INBOUND LINEAS ESPECIALIZADAS"),"Llamadas","Otro")))</f>
        <v/>
      </c>
      <c r="I4362" s="26" t="str">
        <f aca="false">IF(A4362="","",IF(C4362="No encontrado","No","Sí"))</f>
        <v/>
      </c>
      <c r="J4362" s="26" t="str">
        <f aca="false">IF(A4362="","",IF(F4362="Inactivo","No","Sí"))</f>
        <v/>
      </c>
      <c r="K4362" s="26" t="str">
        <f aca="false">IF(A4362="","",IF(AND(I4362="Sí",J4362="Sí"),"Sí","No"))</f>
        <v/>
      </c>
    </row>
    <row r="4363" customFormat="false" ht="15" hidden="false" customHeight="false" outlineLevel="0" collapsed="false">
      <c r="A4363" s="22"/>
      <c r="B4363" s="22"/>
      <c r="C4363" s="23" t="str">
        <f aca="false">IF(A4363="","",IFERROR(buscarx(A4363&amp;B4363,DATA!$E$3:$E$10000&amp;DATA!$B$3:$B$10000,DATA!$M$3:$M$10000),"No encontrado"))</f>
        <v/>
      </c>
      <c r="D4363" s="24" t="str">
        <f aca="false">IF(A4363="","",IFERROR(buscarx(A4363&amp;B4363,DATA!$E$3:$E$10000&amp;DATA!$B$3:$B$10000,DATA!$W$3:$W$10000),"No encontrado"))</f>
        <v/>
      </c>
      <c r="E4363" s="22"/>
      <c r="F4363" s="23" t="str">
        <f aca="false">IF(A4363="","",IFERROR(buscarx(A4363&amp;E4363,DATA!$E$3:$E$10000&amp;DATA!$B$3:$B$10000,DATA!$M$3:$M$10000),"Inactivo"))</f>
        <v/>
      </c>
      <c r="G4363" s="25" t="str">
        <f aca="false">IF(A4363="","",IF(AND(C4363&lt;&gt;"No encontrado",F4363&lt;&gt;"Inactivo"),C4363&amp;" → "&amp;F4363,"Sin transición"))</f>
        <v/>
      </c>
      <c r="H4363" s="23" t="str">
        <f aca="false">IF(A4363="","",IF(D4363="GCIA LINEA SERVICIO DIGITALIDAD Y VENTAS","Chats",IF(OR(D4363="GERENCIA INBOUND LÍNEAS SERVICIO Y VENTA",D4363="GERENCIA INBOUND LINEAS ESPECIALIZADAS"),"Llamadas","Otro")))</f>
        <v/>
      </c>
      <c r="I4363" s="23" t="str">
        <f aca="false">IF(A4363="","",IF(C4363="No encontrado","No","Sí"))</f>
        <v/>
      </c>
      <c r="J4363" s="23" t="str">
        <f aca="false">IF(A4363="","",IF(F4363="Inactivo","No","Sí"))</f>
        <v/>
      </c>
      <c r="K4363" s="23" t="str">
        <f aca="false">IF(A4363="","",IF(AND(I4363="Sí",J4363="Sí"),"Sí","No"))</f>
        <v/>
      </c>
    </row>
    <row r="4364" customFormat="false" ht="15" hidden="false" customHeight="false" outlineLevel="0" collapsed="false">
      <c r="A4364" s="22"/>
      <c r="B4364" s="22"/>
      <c r="C4364" s="26" t="str">
        <f aca="false">IF(A4364="","",IFERROR(buscarx(A4364&amp;B4364,DATA!$E$3:$E$10000&amp;DATA!$B$3:$B$10000,DATA!$M$3:$M$10000),"No encontrado"))</f>
        <v/>
      </c>
      <c r="D4364" s="27" t="str">
        <f aca="false">IF(A4364="","",IFERROR(buscarx(A4364&amp;B4364,DATA!$E$3:$E$10000&amp;DATA!$B$3:$B$10000,DATA!$W$3:$W$10000),"No encontrado"))</f>
        <v/>
      </c>
      <c r="E4364" s="22"/>
      <c r="F4364" s="26" t="str">
        <f aca="false">IF(A4364="","",IFERROR(buscarx(A4364&amp;E4364,DATA!$E$3:$E$10000&amp;DATA!$B$3:$B$10000,DATA!$M$3:$M$10000),"Inactivo"))</f>
        <v/>
      </c>
      <c r="G4364" s="28" t="str">
        <f aca="false">IF(A4364="","",IF(AND(C4364&lt;&gt;"No encontrado",F4364&lt;&gt;"Inactivo"),C4364&amp;" → "&amp;F4364,"Sin transición"))</f>
        <v/>
      </c>
      <c r="H4364" s="26" t="str">
        <f aca="false">IF(A4364="","",IF(D4364="GCIA LINEA SERVICIO DIGITALIDAD Y VENTAS","Chats",IF(OR(D4364="GERENCIA INBOUND LÍNEAS SERVICIO Y VENTA",D4364="GERENCIA INBOUND LINEAS ESPECIALIZADAS"),"Llamadas","Otro")))</f>
        <v/>
      </c>
      <c r="I4364" s="26" t="str">
        <f aca="false">IF(A4364="","",IF(C4364="No encontrado","No","Sí"))</f>
        <v/>
      </c>
      <c r="J4364" s="26" t="str">
        <f aca="false">IF(A4364="","",IF(F4364="Inactivo","No","Sí"))</f>
        <v/>
      </c>
      <c r="K4364" s="26" t="str">
        <f aca="false">IF(A4364="","",IF(AND(I4364="Sí",J4364="Sí"),"Sí","No"))</f>
        <v/>
      </c>
    </row>
    <row r="4365" customFormat="false" ht="15" hidden="false" customHeight="false" outlineLevel="0" collapsed="false">
      <c r="A4365" s="22"/>
      <c r="B4365" s="22"/>
      <c r="C4365" s="23" t="str">
        <f aca="false">IF(A4365="","",IFERROR(buscarx(A4365&amp;B4365,DATA!$E$3:$E$10000&amp;DATA!$B$3:$B$10000,DATA!$M$3:$M$10000),"No encontrado"))</f>
        <v/>
      </c>
      <c r="D4365" s="24" t="str">
        <f aca="false">IF(A4365="","",IFERROR(buscarx(A4365&amp;B4365,DATA!$E$3:$E$10000&amp;DATA!$B$3:$B$10000,DATA!$W$3:$W$10000),"No encontrado"))</f>
        <v/>
      </c>
      <c r="E4365" s="22"/>
      <c r="F4365" s="23" t="str">
        <f aca="false">IF(A4365="","",IFERROR(buscarx(A4365&amp;E4365,DATA!$E$3:$E$10000&amp;DATA!$B$3:$B$10000,DATA!$M$3:$M$10000),"Inactivo"))</f>
        <v/>
      </c>
      <c r="G4365" s="25" t="str">
        <f aca="false">IF(A4365="","",IF(AND(C4365&lt;&gt;"No encontrado",F4365&lt;&gt;"Inactivo"),C4365&amp;" → "&amp;F4365,"Sin transición"))</f>
        <v/>
      </c>
      <c r="H4365" s="23" t="str">
        <f aca="false">IF(A4365="","",IF(D4365="GCIA LINEA SERVICIO DIGITALIDAD Y VENTAS","Chats",IF(OR(D4365="GERENCIA INBOUND LÍNEAS SERVICIO Y VENTA",D4365="GERENCIA INBOUND LINEAS ESPECIALIZADAS"),"Llamadas","Otro")))</f>
        <v/>
      </c>
      <c r="I4365" s="23" t="str">
        <f aca="false">IF(A4365="","",IF(C4365="No encontrado","No","Sí"))</f>
        <v/>
      </c>
      <c r="J4365" s="23" t="str">
        <f aca="false">IF(A4365="","",IF(F4365="Inactivo","No","Sí"))</f>
        <v/>
      </c>
      <c r="K4365" s="23" t="str">
        <f aca="false">IF(A4365="","",IF(AND(I4365="Sí",J4365="Sí"),"Sí","No"))</f>
        <v/>
      </c>
    </row>
    <row r="4366" customFormat="false" ht="15" hidden="false" customHeight="false" outlineLevel="0" collapsed="false">
      <c r="A4366" s="22"/>
      <c r="B4366" s="22"/>
      <c r="C4366" s="26" t="str">
        <f aca="false">IF(A4366="","",IFERROR(buscarx(A4366&amp;B4366,DATA!$E$3:$E$10000&amp;DATA!$B$3:$B$10000,DATA!$M$3:$M$10000),"No encontrado"))</f>
        <v/>
      </c>
      <c r="D4366" s="27" t="str">
        <f aca="false">IF(A4366="","",IFERROR(buscarx(A4366&amp;B4366,DATA!$E$3:$E$10000&amp;DATA!$B$3:$B$10000,DATA!$W$3:$W$10000),"No encontrado"))</f>
        <v/>
      </c>
      <c r="E4366" s="22"/>
      <c r="F4366" s="26" t="str">
        <f aca="false">IF(A4366="","",IFERROR(buscarx(A4366&amp;E4366,DATA!$E$3:$E$10000&amp;DATA!$B$3:$B$10000,DATA!$M$3:$M$10000),"Inactivo"))</f>
        <v/>
      </c>
      <c r="G4366" s="28" t="str">
        <f aca="false">IF(A4366="","",IF(AND(C4366&lt;&gt;"No encontrado",F4366&lt;&gt;"Inactivo"),C4366&amp;" → "&amp;F4366,"Sin transición"))</f>
        <v/>
      </c>
      <c r="H4366" s="26" t="str">
        <f aca="false">IF(A4366="","",IF(D4366="GCIA LINEA SERVICIO DIGITALIDAD Y VENTAS","Chats",IF(OR(D4366="GERENCIA INBOUND LÍNEAS SERVICIO Y VENTA",D4366="GERENCIA INBOUND LINEAS ESPECIALIZADAS"),"Llamadas","Otro")))</f>
        <v/>
      </c>
      <c r="I4366" s="26" t="str">
        <f aca="false">IF(A4366="","",IF(C4366="No encontrado","No","Sí"))</f>
        <v/>
      </c>
      <c r="J4366" s="26" t="str">
        <f aca="false">IF(A4366="","",IF(F4366="Inactivo","No","Sí"))</f>
        <v/>
      </c>
      <c r="K4366" s="26" t="str">
        <f aca="false">IF(A4366="","",IF(AND(I4366="Sí",J4366="Sí"),"Sí","No"))</f>
        <v/>
      </c>
    </row>
    <row r="4367" customFormat="false" ht="15" hidden="false" customHeight="false" outlineLevel="0" collapsed="false">
      <c r="A4367" s="22"/>
      <c r="B4367" s="22"/>
      <c r="C4367" s="23" t="str">
        <f aca="false">IF(A4367="","",IFERROR(buscarx(A4367&amp;B4367,DATA!$E$3:$E$10000&amp;DATA!$B$3:$B$10000,DATA!$M$3:$M$10000),"No encontrado"))</f>
        <v/>
      </c>
      <c r="D4367" s="24" t="str">
        <f aca="false">IF(A4367="","",IFERROR(buscarx(A4367&amp;B4367,DATA!$E$3:$E$10000&amp;DATA!$B$3:$B$10000,DATA!$W$3:$W$10000),"No encontrado"))</f>
        <v/>
      </c>
      <c r="E4367" s="22"/>
      <c r="F4367" s="23" t="str">
        <f aca="false">IF(A4367="","",IFERROR(buscarx(A4367&amp;E4367,DATA!$E$3:$E$10000&amp;DATA!$B$3:$B$10000,DATA!$M$3:$M$10000),"Inactivo"))</f>
        <v/>
      </c>
      <c r="G4367" s="25" t="str">
        <f aca="false">IF(A4367="","",IF(AND(C4367&lt;&gt;"No encontrado",F4367&lt;&gt;"Inactivo"),C4367&amp;" → "&amp;F4367,"Sin transición"))</f>
        <v/>
      </c>
      <c r="H4367" s="23" t="str">
        <f aca="false">IF(A4367="","",IF(D4367="GCIA LINEA SERVICIO DIGITALIDAD Y VENTAS","Chats",IF(OR(D4367="GERENCIA INBOUND LÍNEAS SERVICIO Y VENTA",D4367="GERENCIA INBOUND LINEAS ESPECIALIZADAS"),"Llamadas","Otro")))</f>
        <v/>
      </c>
      <c r="I4367" s="23" t="str">
        <f aca="false">IF(A4367="","",IF(C4367="No encontrado","No","Sí"))</f>
        <v/>
      </c>
      <c r="J4367" s="23" t="str">
        <f aca="false">IF(A4367="","",IF(F4367="Inactivo","No","Sí"))</f>
        <v/>
      </c>
      <c r="K4367" s="23" t="str">
        <f aca="false">IF(A4367="","",IF(AND(I4367="Sí",J4367="Sí"),"Sí","No"))</f>
        <v/>
      </c>
    </row>
    <row r="4368" customFormat="false" ht="15" hidden="false" customHeight="false" outlineLevel="0" collapsed="false">
      <c r="A4368" s="22"/>
      <c r="B4368" s="22"/>
      <c r="C4368" s="26" t="str">
        <f aca="false">IF(A4368="","",IFERROR(buscarx(A4368&amp;B4368,DATA!$E$3:$E$10000&amp;DATA!$B$3:$B$10000,DATA!$M$3:$M$10000),"No encontrado"))</f>
        <v/>
      </c>
      <c r="D4368" s="27" t="str">
        <f aca="false">IF(A4368="","",IFERROR(buscarx(A4368&amp;B4368,DATA!$E$3:$E$10000&amp;DATA!$B$3:$B$10000,DATA!$W$3:$W$10000),"No encontrado"))</f>
        <v/>
      </c>
      <c r="E4368" s="22"/>
      <c r="F4368" s="26" t="str">
        <f aca="false">IF(A4368="","",IFERROR(buscarx(A4368&amp;E4368,DATA!$E$3:$E$10000&amp;DATA!$B$3:$B$10000,DATA!$M$3:$M$10000),"Inactivo"))</f>
        <v/>
      </c>
      <c r="G4368" s="28" t="str">
        <f aca="false">IF(A4368="","",IF(AND(C4368&lt;&gt;"No encontrado",F4368&lt;&gt;"Inactivo"),C4368&amp;" → "&amp;F4368,"Sin transición"))</f>
        <v/>
      </c>
      <c r="H4368" s="26" t="str">
        <f aca="false">IF(A4368="","",IF(D4368="GCIA LINEA SERVICIO DIGITALIDAD Y VENTAS","Chats",IF(OR(D4368="GERENCIA INBOUND LÍNEAS SERVICIO Y VENTA",D4368="GERENCIA INBOUND LINEAS ESPECIALIZADAS"),"Llamadas","Otro")))</f>
        <v/>
      </c>
      <c r="I4368" s="26" t="str">
        <f aca="false">IF(A4368="","",IF(C4368="No encontrado","No","Sí"))</f>
        <v/>
      </c>
      <c r="J4368" s="26" t="str">
        <f aca="false">IF(A4368="","",IF(F4368="Inactivo","No","Sí"))</f>
        <v/>
      </c>
      <c r="K4368" s="26" t="str">
        <f aca="false">IF(A4368="","",IF(AND(I4368="Sí",J4368="Sí"),"Sí","No"))</f>
        <v/>
      </c>
    </row>
    <row r="4369" customFormat="false" ht="15" hidden="false" customHeight="false" outlineLevel="0" collapsed="false">
      <c r="A4369" s="22"/>
      <c r="B4369" s="22"/>
      <c r="C4369" s="23" t="str">
        <f aca="false">IF(A4369="","",IFERROR(buscarx(A4369&amp;B4369,DATA!$E$3:$E$10000&amp;DATA!$B$3:$B$10000,DATA!$M$3:$M$10000),"No encontrado"))</f>
        <v/>
      </c>
      <c r="D4369" s="24" t="str">
        <f aca="false">IF(A4369="","",IFERROR(buscarx(A4369&amp;B4369,DATA!$E$3:$E$10000&amp;DATA!$B$3:$B$10000,DATA!$W$3:$W$10000),"No encontrado"))</f>
        <v/>
      </c>
      <c r="E4369" s="22"/>
      <c r="F4369" s="23" t="str">
        <f aca="false">IF(A4369="","",IFERROR(buscarx(A4369&amp;E4369,DATA!$E$3:$E$10000&amp;DATA!$B$3:$B$10000,DATA!$M$3:$M$10000),"Inactivo"))</f>
        <v/>
      </c>
      <c r="G4369" s="25" t="str">
        <f aca="false">IF(A4369="","",IF(AND(C4369&lt;&gt;"No encontrado",F4369&lt;&gt;"Inactivo"),C4369&amp;" → "&amp;F4369,"Sin transición"))</f>
        <v/>
      </c>
      <c r="H4369" s="23" t="str">
        <f aca="false">IF(A4369="","",IF(D4369="GCIA LINEA SERVICIO DIGITALIDAD Y VENTAS","Chats",IF(OR(D4369="GERENCIA INBOUND LÍNEAS SERVICIO Y VENTA",D4369="GERENCIA INBOUND LINEAS ESPECIALIZADAS"),"Llamadas","Otro")))</f>
        <v/>
      </c>
      <c r="I4369" s="23" t="str">
        <f aca="false">IF(A4369="","",IF(C4369="No encontrado","No","Sí"))</f>
        <v/>
      </c>
      <c r="J4369" s="23" t="str">
        <f aca="false">IF(A4369="","",IF(F4369="Inactivo","No","Sí"))</f>
        <v/>
      </c>
      <c r="K4369" s="23" t="str">
        <f aca="false">IF(A4369="","",IF(AND(I4369="Sí",J4369="Sí"),"Sí","No"))</f>
        <v/>
      </c>
    </row>
    <row r="4370" customFormat="false" ht="15" hidden="false" customHeight="false" outlineLevel="0" collapsed="false">
      <c r="A4370" s="22"/>
      <c r="B4370" s="22"/>
      <c r="C4370" s="26" t="str">
        <f aca="false">IF(A4370="","",IFERROR(buscarx(A4370&amp;B4370,DATA!$E$3:$E$10000&amp;DATA!$B$3:$B$10000,DATA!$M$3:$M$10000),"No encontrado"))</f>
        <v/>
      </c>
      <c r="D4370" s="27" t="str">
        <f aca="false">IF(A4370="","",IFERROR(buscarx(A4370&amp;B4370,DATA!$E$3:$E$10000&amp;DATA!$B$3:$B$10000,DATA!$W$3:$W$10000),"No encontrado"))</f>
        <v/>
      </c>
      <c r="E4370" s="22"/>
      <c r="F4370" s="26" t="str">
        <f aca="false">IF(A4370="","",IFERROR(buscarx(A4370&amp;E4370,DATA!$E$3:$E$10000&amp;DATA!$B$3:$B$10000,DATA!$M$3:$M$10000),"Inactivo"))</f>
        <v/>
      </c>
      <c r="G4370" s="28" t="str">
        <f aca="false">IF(A4370="","",IF(AND(C4370&lt;&gt;"No encontrado",F4370&lt;&gt;"Inactivo"),C4370&amp;" → "&amp;F4370,"Sin transición"))</f>
        <v/>
      </c>
      <c r="H4370" s="26" t="str">
        <f aca="false">IF(A4370="","",IF(D4370="GCIA LINEA SERVICIO DIGITALIDAD Y VENTAS","Chats",IF(OR(D4370="GERENCIA INBOUND LÍNEAS SERVICIO Y VENTA",D4370="GERENCIA INBOUND LINEAS ESPECIALIZADAS"),"Llamadas","Otro")))</f>
        <v/>
      </c>
      <c r="I4370" s="26" t="str">
        <f aca="false">IF(A4370="","",IF(C4370="No encontrado","No","Sí"))</f>
        <v/>
      </c>
      <c r="J4370" s="26" t="str">
        <f aca="false">IF(A4370="","",IF(F4370="Inactivo","No","Sí"))</f>
        <v/>
      </c>
      <c r="K4370" s="26" t="str">
        <f aca="false">IF(A4370="","",IF(AND(I4370="Sí",J4370="Sí"),"Sí","No"))</f>
        <v/>
      </c>
    </row>
    <row r="4371" customFormat="false" ht="15" hidden="false" customHeight="false" outlineLevel="0" collapsed="false">
      <c r="A4371" s="22"/>
      <c r="B4371" s="22"/>
      <c r="C4371" s="23" t="str">
        <f aca="false">IF(A4371="","",IFERROR(buscarx(A4371&amp;B4371,DATA!$E$3:$E$10000&amp;DATA!$B$3:$B$10000,DATA!$M$3:$M$10000),"No encontrado"))</f>
        <v/>
      </c>
      <c r="D4371" s="24" t="str">
        <f aca="false">IF(A4371="","",IFERROR(buscarx(A4371&amp;B4371,DATA!$E$3:$E$10000&amp;DATA!$B$3:$B$10000,DATA!$W$3:$W$10000),"No encontrado"))</f>
        <v/>
      </c>
      <c r="E4371" s="22"/>
      <c r="F4371" s="23" t="str">
        <f aca="false">IF(A4371="","",IFERROR(buscarx(A4371&amp;E4371,DATA!$E$3:$E$10000&amp;DATA!$B$3:$B$10000,DATA!$M$3:$M$10000),"Inactivo"))</f>
        <v/>
      </c>
      <c r="G4371" s="25" t="str">
        <f aca="false">IF(A4371="","",IF(AND(C4371&lt;&gt;"No encontrado",F4371&lt;&gt;"Inactivo"),C4371&amp;" → "&amp;F4371,"Sin transición"))</f>
        <v/>
      </c>
      <c r="H4371" s="23" t="str">
        <f aca="false">IF(A4371="","",IF(D4371="GCIA LINEA SERVICIO DIGITALIDAD Y VENTAS","Chats",IF(OR(D4371="GERENCIA INBOUND LÍNEAS SERVICIO Y VENTA",D4371="GERENCIA INBOUND LINEAS ESPECIALIZADAS"),"Llamadas","Otro")))</f>
        <v/>
      </c>
      <c r="I4371" s="23" t="str">
        <f aca="false">IF(A4371="","",IF(C4371="No encontrado","No","Sí"))</f>
        <v/>
      </c>
      <c r="J4371" s="23" t="str">
        <f aca="false">IF(A4371="","",IF(F4371="Inactivo","No","Sí"))</f>
        <v/>
      </c>
      <c r="K4371" s="23" t="str">
        <f aca="false">IF(A4371="","",IF(AND(I4371="Sí",J4371="Sí"),"Sí","No"))</f>
        <v/>
      </c>
    </row>
    <row r="4372" customFormat="false" ht="15" hidden="false" customHeight="false" outlineLevel="0" collapsed="false">
      <c r="A4372" s="22"/>
      <c r="B4372" s="22"/>
      <c r="C4372" s="26" t="str">
        <f aca="false">IF(A4372="","",IFERROR(buscarx(A4372&amp;B4372,DATA!$E$3:$E$10000&amp;DATA!$B$3:$B$10000,DATA!$M$3:$M$10000),"No encontrado"))</f>
        <v/>
      </c>
      <c r="D4372" s="27" t="str">
        <f aca="false">IF(A4372="","",IFERROR(buscarx(A4372&amp;B4372,DATA!$E$3:$E$10000&amp;DATA!$B$3:$B$10000,DATA!$W$3:$W$10000),"No encontrado"))</f>
        <v/>
      </c>
      <c r="E4372" s="22"/>
      <c r="F4372" s="26" t="str">
        <f aca="false">IF(A4372="","",IFERROR(buscarx(A4372&amp;E4372,DATA!$E$3:$E$10000&amp;DATA!$B$3:$B$10000,DATA!$M$3:$M$10000),"Inactivo"))</f>
        <v/>
      </c>
      <c r="G4372" s="28" t="str">
        <f aca="false">IF(A4372="","",IF(AND(C4372&lt;&gt;"No encontrado",F4372&lt;&gt;"Inactivo"),C4372&amp;" → "&amp;F4372,"Sin transición"))</f>
        <v/>
      </c>
      <c r="H4372" s="26" t="str">
        <f aca="false">IF(A4372="","",IF(D4372="GCIA LINEA SERVICIO DIGITALIDAD Y VENTAS","Chats",IF(OR(D4372="GERENCIA INBOUND LÍNEAS SERVICIO Y VENTA",D4372="GERENCIA INBOUND LINEAS ESPECIALIZADAS"),"Llamadas","Otro")))</f>
        <v/>
      </c>
      <c r="I4372" s="26" t="str">
        <f aca="false">IF(A4372="","",IF(C4372="No encontrado","No","Sí"))</f>
        <v/>
      </c>
      <c r="J4372" s="26" t="str">
        <f aca="false">IF(A4372="","",IF(F4372="Inactivo","No","Sí"))</f>
        <v/>
      </c>
      <c r="K4372" s="26" t="str">
        <f aca="false">IF(A4372="","",IF(AND(I4372="Sí",J4372="Sí"),"Sí","No"))</f>
        <v/>
      </c>
    </row>
    <row r="4373" customFormat="false" ht="15" hidden="false" customHeight="false" outlineLevel="0" collapsed="false">
      <c r="A4373" s="22"/>
      <c r="B4373" s="22"/>
      <c r="C4373" s="23" t="str">
        <f aca="false">IF(A4373="","",IFERROR(buscarx(A4373&amp;B4373,DATA!$E$3:$E$10000&amp;DATA!$B$3:$B$10000,DATA!$M$3:$M$10000),"No encontrado"))</f>
        <v/>
      </c>
      <c r="D4373" s="24" t="str">
        <f aca="false">IF(A4373="","",IFERROR(buscarx(A4373&amp;B4373,DATA!$E$3:$E$10000&amp;DATA!$B$3:$B$10000,DATA!$W$3:$W$10000),"No encontrado"))</f>
        <v/>
      </c>
      <c r="E4373" s="22"/>
      <c r="F4373" s="23" t="str">
        <f aca="false">IF(A4373="","",IFERROR(buscarx(A4373&amp;E4373,DATA!$E$3:$E$10000&amp;DATA!$B$3:$B$10000,DATA!$M$3:$M$10000),"Inactivo"))</f>
        <v/>
      </c>
      <c r="G4373" s="25" t="str">
        <f aca="false">IF(A4373="","",IF(AND(C4373&lt;&gt;"No encontrado",F4373&lt;&gt;"Inactivo"),C4373&amp;" → "&amp;F4373,"Sin transición"))</f>
        <v/>
      </c>
      <c r="H4373" s="23" t="str">
        <f aca="false">IF(A4373="","",IF(D4373="GCIA LINEA SERVICIO DIGITALIDAD Y VENTAS","Chats",IF(OR(D4373="GERENCIA INBOUND LÍNEAS SERVICIO Y VENTA",D4373="GERENCIA INBOUND LINEAS ESPECIALIZADAS"),"Llamadas","Otro")))</f>
        <v/>
      </c>
      <c r="I4373" s="23" t="str">
        <f aca="false">IF(A4373="","",IF(C4373="No encontrado","No","Sí"))</f>
        <v/>
      </c>
      <c r="J4373" s="23" t="str">
        <f aca="false">IF(A4373="","",IF(F4373="Inactivo","No","Sí"))</f>
        <v/>
      </c>
      <c r="K4373" s="23" t="str">
        <f aca="false">IF(A4373="","",IF(AND(I4373="Sí",J4373="Sí"),"Sí","No"))</f>
        <v/>
      </c>
    </row>
    <row r="4374" customFormat="false" ht="15" hidden="false" customHeight="false" outlineLevel="0" collapsed="false">
      <c r="A4374" s="22"/>
      <c r="B4374" s="22"/>
      <c r="C4374" s="26" t="str">
        <f aca="false">IF(A4374="","",IFERROR(buscarx(A4374&amp;B4374,DATA!$E$3:$E$10000&amp;DATA!$B$3:$B$10000,DATA!$M$3:$M$10000),"No encontrado"))</f>
        <v/>
      </c>
      <c r="D4374" s="27" t="str">
        <f aca="false">IF(A4374="","",IFERROR(buscarx(A4374&amp;B4374,DATA!$E$3:$E$10000&amp;DATA!$B$3:$B$10000,DATA!$W$3:$W$10000),"No encontrado"))</f>
        <v/>
      </c>
      <c r="E4374" s="22"/>
      <c r="F4374" s="26" t="str">
        <f aca="false">IF(A4374="","",IFERROR(buscarx(A4374&amp;E4374,DATA!$E$3:$E$10000&amp;DATA!$B$3:$B$10000,DATA!$M$3:$M$10000),"Inactivo"))</f>
        <v/>
      </c>
      <c r="G4374" s="28" t="str">
        <f aca="false">IF(A4374="","",IF(AND(C4374&lt;&gt;"No encontrado",F4374&lt;&gt;"Inactivo"),C4374&amp;" → "&amp;F4374,"Sin transición"))</f>
        <v/>
      </c>
      <c r="H4374" s="26" t="str">
        <f aca="false">IF(A4374="","",IF(D4374="GCIA LINEA SERVICIO DIGITALIDAD Y VENTAS","Chats",IF(OR(D4374="GERENCIA INBOUND LÍNEAS SERVICIO Y VENTA",D4374="GERENCIA INBOUND LINEAS ESPECIALIZADAS"),"Llamadas","Otro")))</f>
        <v/>
      </c>
      <c r="I4374" s="26" t="str">
        <f aca="false">IF(A4374="","",IF(C4374="No encontrado","No","Sí"))</f>
        <v/>
      </c>
      <c r="J4374" s="26" t="str">
        <f aca="false">IF(A4374="","",IF(F4374="Inactivo","No","Sí"))</f>
        <v/>
      </c>
      <c r="K4374" s="26" t="str">
        <f aca="false">IF(A4374="","",IF(AND(I4374="Sí",J4374="Sí"),"Sí","No"))</f>
        <v/>
      </c>
    </row>
    <row r="4375" customFormat="false" ht="15" hidden="false" customHeight="false" outlineLevel="0" collapsed="false">
      <c r="A4375" s="22"/>
      <c r="B4375" s="22"/>
      <c r="C4375" s="23" t="str">
        <f aca="false">IF(A4375="","",IFERROR(buscarx(A4375&amp;B4375,DATA!$E$3:$E$10000&amp;DATA!$B$3:$B$10000,DATA!$M$3:$M$10000),"No encontrado"))</f>
        <v/>
      </c>
      <c r="D4375" s="24" t="str">
        <f aca="false">IF(A4375="","",IFERROR(buscarx(A4375&amp;B4375,DATA!$E$3:$E$10000&amp;DATA!$B$3:$B$10000,DATA!$W$3:$W$10000),"No encontrado"))</f>
        <v/>
      </c>
      <c r="E4375" s="22"/>
      <c r="F4375" s="23" t="str">
        <f aca="false">IF(A4375="","",IFERROR(buscarx(A4375&amp;E4375,DATA!$E$3:$E$10000&amp;DATA!$B$3:$B$10000,DATA!$M$3:$M$10000),"Inactivo"))</f>
        <v/>
      </c>
      <c r="G4375" s="25" t="str">
        <f aca="false">IF(A4375="","",IF(AND(C4375&lt;&gt;"No encontrado",F4375&lt;&gt;"Inactivo"),C4375&amp;" → "&amp;F4375,"Sin transición"))</f>
        <v/>
      </c>
      <c r="H4375" s="23" t="str">
        <f aca="false">IF(A4375="","",IF(D4375="GCIA LINEA SERVICIO DIGITALIDAD Y VENTAS","Chats",IF(OR(D4375="GERENCIA INBOUND LÍNEAS SERVICIO Y VENTA",D4375="GERENCIA INBOUND LINEAS ESPECIALIZADAS"),"Llamadas","Otro")))</f>
        <v/>
      </c>
      <c r="I4375" s="23" t="str">
        <f aca="false">IF(A4375="","",IF(C4375="No encontrado","No","Sí"))</f>
        <v/>
      </c>
      <c r="J4375" s="23" t="str">
        <f aca="false">IF(A4375="","",IF(F4375="Inactivo","No","Sí"))</f>
        <v/>
      </c>
      <c r="K4375" s="23" t="str">
        <f aca="false">IF(A4375="","",IF(AND(I4375="Sí",J4375="Sí"),"Sí","No"))</f>
        <v/>
      </c>
    </row>
    <row r="4376" customFormat="false" ht="15" hidden="false" customHeight="false" outlineLevel="0" collapsed="false">
      <c r="A4376" s="22"/>
      <c r="B4376" s="22"/>
      <c r="C4376" s="26" t="str">
        <f aca="false">IF(A4376="","",IFERROR(buscarx(A4376&amp;B4376,DATA!$E$3:$E$10000&amp;DATA!$B$3:$B$10000,DATA!$M$3:$M$10000),"No encontrado"))</f>
        <v/>
      </c>
      <c r="D4376" s="27" t="str">
        <f aca="false">IF(A4376="","",IFERROR(buscarx(A4376&amp;B4376,DATA!$E$3:$E$10000&amp;DATA!$B$3:$B$10000,DATA!$W$3:$W$10000),"No encontrado"))</f>
        <v/>
      </c>
      <c r="E4376" s="22"/>
      <c r="F4376" s="26" t="str">
        <f aca="false">IF(A4376="","",IFERROR(buscarx(A4376&amp;E4376,DATA!$E$3:$E$10000&amp;DATA!$B$3:$B$10000,DATA!$M$3:$M$10000),"Inactivo"))</f>
        <v/>
      </c>
      <c r="G4376" s="28" t="str">
        <f aca="false">IF(A4376="","",IF(AND(C4376&lt;&gt;"No encontrado",F4376&lt;&gt;"Inactivo"),C4376&amp;" → "&amp;F4376,"Sin transición"))</f>
        <v/>
      </c>
      <c r="H4376" s="26" t="str">
        <f aca="false">IF(A4376="","",IF(D4376="GCIA LINEA SERVICIO DIGITALIDAD Y VENTAS","Chats",IF(OR(D4376="GERENCIA INBOUND LÍNEAS SERVICIO Y VENTA",D4376="GERENCIA INBOUND LINEAS ESPECIALIZADAS"),"Llamadas","Otro")))</f>
        <v/>
      </c>
      <c r="I4376" s="26" t="str">
        <f aca="false">IF(A4376="","",IF(C4376="No encontrado","No","Sí"))</f>
        <v/>
      </c>
      <c r="J4376" s="26" t="str">
        <f aca="false">IF(A4376="","",IF(F4376="Inactivo","No","Sí"))</f>
        <v/>
      </c>
      <c r="K4376" s="26" t="str">
        <f aca="false">IF(A4376="","",IF(AND(I4376="Sí",J4376="Sí"),"Sí","No"))</f>
        <v/>
      </c>
    </row>
    <row r="4377" customFormat="false" ht="15" hidden="false" customHeight="false" outlineLevel="0" collapsed="false">
      <c r="A4377" s="22"/>
      <c r="B4377" s="22"/>
      <c r="C4377" s="23" t="str">
        <f aca="false">IF(A4377="","",IFERROR(buscarx(A4377&amp;B4377,DATA!$E$3:$E$10000&amp;DATA!$B$3:$B$10000,DATA!$M$3:$M$10000),"No encontrado"))</f>
        <v/>
      </c>
      <c r="D4377" s="24" t="str">
        <f aca="false">IF(A4377="","",IFERROR(buscarx(A4377&amp;B4377,DATA!$E$3:$E$10000&amp;DATA!$B$3:$B$10000,DATA!$W$3:$W$10000),"No encontrado"))</f>
        <v/>
      </c>
      <c r="E4377" s="22"/>
      <c r="F4377" s="23" t="str">
        <f aca="false">IF(A4377="","",IFERROR(buscarx(A4377&amp;E4377,DATA!$E$3:$E$10000&amp;DATA!$B$3:$B$10000,DATA!$M$3:$M$10000),"Inactivo"))</f>
        <v/>
      </c>
      <c r="G4377" s="25" t="str">
        <f aca="false">IF(A4377="","",IF(AND(C4377&lt;&gt;"No encontrado",F4377&lt;&gt;"Inactivo"),C4377&amp;" → "&amp;F4377,"Sin transición"))</f>
        <v/>
      </c>
      <c r="H4377" s="23" t="str">
        <f aca="false">IF(A4377="","",IF(D4377="GCIA LINEA SERVICIO DIGITALIDAD Y VENTAS","Chats",IF(OR(D4377="GERENCIA INBOUND LÍNEAS SERVICIO Y VENTA",D4377="GERENCIA INBOUND LINEAS ESPECIALIZADAS"),"Llamadas","Otro")))</f>
        <v/>
      </c>
      <c r="I4377" s="23" t="str">
        <f aca="false">IF(A4377="","",IF(C4377="No encontrado","No","Sí"))</f>
        <v/>
      </c>
      <c r="J4377" s="23" t="str">
        <f aca="false">IF(A4377="","",IF(F4377="Inactivo","No","Sí"))</f>
        <v/>
      </c>
      <c r="K4377" s="23" t="str">
        <f aca="false">IF(A4377="","",IF(AND(I4377="Sí",J4377="Sí"),"Sí","No"))</f>
        <v/>
      </c>
    </row>
    <row r="4378" customFormat="false" ht="15" hidden="false" customHeight="false" outlineLevel="0" collapsed="false">
      <c r="A4378" s="22"/>
      <c r="B4378" s="22"/>
      <c r="C4378" s="26" t="str">
        <f aca="false">IF(A4378="","",IFERROR(buscarx(A4378&amp;B4378,DATA!$E$3:$E$10000&amp;DATA!$B$3:$B$10000,DATA!$M$3:$M$10000),"No encontrado"))</f>
        <v/>
      </c>
      <c r="D4378" s="27" t="str">
        <f aca="false">IF(A4378="","",IFERROR(buscarx(A4378&amp;B4378,DATA!$E$3:$E$10000&amp;DATA!$B$3:$B$10000,DATA!$W$3:$W$10000),"No encontrado"))</f>
        <v/>
      </c>
      <c r="E4378" s="22"/>
      <c r="F4378" s="26" t="str">
        <f aca="false">IF(A4378="","",IFERROR(buscarx(A4378&amp;E4378,DATA!$E$3:$E$10000&amp;DATA!$B$3:$B$10000,DATA!$M$3:$M$10000),"Inactivo"))</f>
        <v/>
      </c>
      <c r="G4378" s="28" t="str">
        <f aca="false">IF(A4378="","",IF(AND(C4378&lt;&gt;"No encontrado",F4378&lt;&gt;"Inactivo"),C4378&amp;" → "&amp;F4378,"Sin transición"))</f>
        <v/>
      </c>
      <c r="H4378" s="26" t="str">
        <f aca="false">IF(A4378="","",IF(D4378="GCIA LINEA SERVICIO DIGITALIDAD Y VENTAS","Chats",IF(OR(D4378="GERENCIA INBOUND LÍNEAS SERVICIO Y VENTA",D4378="GERENCIA INBOUND LINEAS ESPECIALIZADAS"),"Llamadas","Otro")))</f>
        <v/>
      </c>
      <c r="I4378" s="26" t="str">
        <f aca="false">IF(A4378="","",IF(C4378="No encontrado","No","Sí"))</f>
        <v/>
      </c>
      <c r="J4378" s="26" t="str">
        <f aca="false">IF(A4378="","",IF(F4378="Inactivo","No","Sí"))</f>
        <v/>
      </c>
      <c r="K4378" s="26" t="str">
        <f aca="false">IF(A4378="","",IF(AND(I4378="Sí",J4378="Sí"),"Sí","No"))</f>
        <v/>
      </c>
    </row>
    <row r="4379" customFormat="false" ht="15" hidden="false" customHeight="false" outlineLevel="0" collapsed="false">
      <c r="A4379" s="22"/>
      <c r="B4379" s="22"/>
      <c r="C4379" s="23" t="str">
        <f aca="false">IF(A4379="","",IFERROR(buscarx(A4379&amp;B4379,DATA!$E$3:$E$10000&amp;DATA!$B$3:$B$10000,DATA!$M$3:$M$10000),"No encontrado"))</f>
        <v/>
      </c>
      <c r="D4379" s="24" t="str">
        <f aca="false">IF(A4379="","",IFERROR(buscarx(A4379&amp;B4379,DATA!$E$3:$E$10000&amp;DATA!$B$3:$B$10000,DATA!$W$3:$W$10000),"No encontrado"))</f>
        <v/>
      </c>
      <c r="E4379" s="22"/>
      <c r="F4379" s="23" t="str">
        <f aca="false">IF(A4379="","",IFERROR(buscarx(A4379&amp;E4379,DATA!$E$3:$E$10000&amp;DATA!$B$3:$B$10000,DATA!$M$3:$M$10000),"Inactivo"))</f>
        <v/>
      </c>
      <c r="G4379" s="25" t="str">
        <f aca="false">IF(A4379="","",IF(AND(C4379&lt;&gt;"No encontrado",F4379&lt;&gt;"Inactivo"),C4379&amp;" → "&amp;F4379,"Sin transición"))</f>
        <v/>
      </c>
      <c r="H4379" s="23" t="str">
        <f aca="false">IF(A4379="","",IF(D4379="GCIA LINEA SERVICIO DIGITALIDAD Y VENTAS","Chats",IF(OR(D4379="GERENCIA INBOUND LÍNEAS SERVICIO Y VENTA",D4379="GERENCIA INBOUND LINEAS ESPECIALIZADAS"),"Llamadas","Otro")))</f>
        <v/>
      </c>
      <c r="I4379" s="23" t="str">
        <f aca="false">IF(A4379="","",IF(C4379="No encontrado","No","Sí"))</f>
        <v/>
      </c>
      <c r="J4379" s="23" t="str">
        <f aca="false">IF(A4379="","",IF(F4379="Inactivo","No","Sí"))</f>
        <v/>
      </c>
      <c r="K4379" s="23" t="str">
        <f aca="false">IF(A4379="","",IF(AND(I4379="Sí",J4379="Sí"),"Sí","No"))</f>
        <v/>
      </c>
    </row>
    <row r="4380" customFormat="false" ht="15" hidden="false" customHeight="false" outlineLevel="0" collapsed="false">
      <c r="A4380" s="22"/>
      <c r="B4380" s="22"/>
      <c r="C4380" s="26" t="str">
        <f aca="false">IF(A4380="","",IFERROR(buscarx(A4380&amp;B4380,DATA!$E$3:$E$10000&amp;DATA!$B$3:$B$10000,DATA!$M$3:$M$10000),"No encontrado"))</f>
        <v/>
      </c>
      <c r="D4380" s="27" t="str">
        <f aca="false">IF(A4380="","",IFERROR(buscarx(A4380&amp;B4380,DATA!$E$3:$E$10000&amp;DATA!$B$3:$B$10000,DATA!$W$3:$W$10000),"No encontrado"))</f>
        <v/>
      </c>
      <c r="E4380" s="22"/>
      <c r="F4380" s="26" t="str">
        <f aca="false">IF(A4380="","",IFERROR(buscarx(A4380&amp;E4380,DATA!$E$3:$E$10000&amp;DATA!$B$3:$B$10000,DATA!$M$3:$M$10000),"Inactivo"))</f>
        <v/>
      </c>
      <c r="G4380" s="28" t="str">
        <f aca="false">IF(A4380="","",IF(AND(C4380&lt;&gt;"No encontrado",F4380&lt;&gt;"Inactivo"),C4380&amp;" → "&amp;F4380,"Sin transición"))</f>
        <v/>
      </c>
      <c r="H4380" s="26" t="str">
        <f aca="false">IF(A4380="","",IF(D4380="GCIA LINEA SERVICIO DIGITALIDAD Y VENTAS","Chats",IF(OR(D4380="GERENCIA INBOUND LÍNEAS SERVICIO Y VENTA",D4380="GERENCIA INBOUND LINEAS ESPECIALIZADAS"),"Llamadas","Otro")))</f>
        <v/>
      </c>
      <c r="I4380" s="26" t="str">
        <f aca="false">IF(A4380="","",IF(C4380="No encontrado","No","Sí"))</f>
        <v/>
      </c>
      <c r="J4380" s="26" t="str">
        <f aca="false">IF(A4380="","",IF(F4380="Inactivo","No","Sí"))</f>
        <v/>
      </c>
      <c r="K4380" s="26" t="str">
        <f aca="false">IF(A4380="","",IF(AND(I4380="Sí",J4380="Sí"),"Sí","No"))</f>
        <v/>
      </c>
    </row>
    <row r="4381" customFormat="false" ht="15" hidden="false" customHeight="false" outlineLevel="0" collapsed="false">
      <c r="A4381" s="22"/>
      <c r="B4381" s="22"/>
      <c r="C4381" s="23" t="str">
        <f aca="false">IF(A4381="","",IFERROR(buscarx(A4381&amp;B4381,DATA!$E$3:$E$10000&amp;DATA!$B$3:$B$10000,DATA!$M$3:$M$10000),"No encontrado"))</f>
        <v/>
      </c>
      <c r="D4381" s="24" t="str">
        <f aca="false">IF(A4381="","",IFERROR(buscarx(A4381&amp;B4381,DATA!$E$3:$E$10000&amp;DATA!$B$3:$B$10000,DATA!$W$3:$W$10000),"No encontrado"))</f>
        <v/>
      </c>
      <c r="E4381" s="22"/>
      <c r="F4381" s="23" t="str">
        <f aca="false">IF(A4381="","",IFERROR(buscarx(A4381&amp;E4381,DATA!$E$3:$E$10000&amp;DATA!$B$3:$B$10000,DATA!$M$3:$M$10000),"Inactivo"))</f>
        <v/>
      </c>
      <c r="G4381" s="25" t="str">
        <f aca="false">IF(A4381="","",IF(AND(C4381&lt;&gt;"No encontrado",F4381&lt;&gt;"Inactivo"),C4381&amp;" → "&amp;F4381,"Sin transición"))</f>
        <v/>
      </c>
      <c r="H4381" s="23" t="str">
        <f aca="false">IF(A4381="","",IF(D4381="GCIA LINEA SERVICIO DIGITALIDAD Y VENTAS","Chats",IF(OR(D4381="GERENCIA INBOUND LÍNEAS SERVICIO Y VENTA",D4381="GERENCIA INBOUND LINEAS ESPECIALIZADAS"),"Llamadas","Otro")))</f>
        <v/>
      </c>
      <c r="I4381" s="23" t="str">
        <f aca="false">IF(A4381="","",IF(C4381="No encontrado","No","Sí"))</f>
        <v/>
      </c>
      <c r="J4381" s="23" t="str">
        <f aca="false">IF(A4381="","",IF(F4381="Inactivo","No","Sí"))</f>
        <v/>
      </c>
      <c r="K4381" s="23" t="str">
        <f aca="false">IF(A4381="","",IF(AND(I4381="Sí",J4381="Sí"),"Sí","No"))</f>
        <v/>
      </c>
    </row>
    <row r="4382" customFormat="false" ht="15" hidden="false" customHeight="false" outlineLevel="0" collapsed="false">
      <c r="A4382" s="22"/>
      <c r="B4382" s="22"/>
      <c r="C4382" s="26" t="str">
        <f aca="false">IF(A4382="","",IFERROR(buscarx(A4382&amp;B4382,DATA!$E$3:$E$10000&amp;DATA!$B$3:$B$10000,DATA!$M$3:$M$10000),"No encontrado"))</f>
        <v/>
      </c>
      <c r="D4382" s="27" t="str">
        <f aca="false">IF(A4382="","",IFERROR(buscarx(A4382&amp;B4382,DATA!$E$3:$E$10000&amp;DATA!$B$3:$B$10000,DATA!$W$3:$W$10000),"No encontrado"))</f>
        <v/>
      </c>
      <c r="E4382" s="22"/>
      <c r="F4382" s="26" t="str">
        <f aca="false">IF(A4382="","",IFERROR(buscarx(A4382&amp;E4382,DATA!$E$3:$E$10000&amp;DATA!$B$3:$B$10000,DATA!$M$3:$M$10000),"Inactivo"))</f>
        <v/>
      </c>
      <c r="G4382" s="28" t="str">
        <f aca="false">IF(A4382="","",IF(AND(C4382&lt;&gt;"No encontrado",F4382&lt;&gt;"Inactivo"),C4382&amp;" → "&amp;F4382,"Sin transición"))</f>
        <v/>
      </c>
      <c r="H4382" s="26" t="str">
        <f aca="false">IF(A4382="","",IF(D4382="GCIA LINEA SERVICIO DIGITALIDAD Y VENTAS","Chats",IF(OR(D4382="GERENCIA INBOUND LÍNEAS SERVICIO Y VENTA",D4382="GERENCIA INBOUND LINEAS ESPECIALIZADAS"),"Llamadas","Otro")))</f>
        <v/>
      </c>
      <c r="I4382" s="26" t="str">
        <f aca="false">IF(A4382="","",IF(C4382="No encontrado","No","Sí"))</f>
        <v/>
      </c>
      <c r="J4382" s="26" t="str">
        <f aca="false">IF(A4382="","",IF(F4382="Inactivo","No","Sí"))</f>
        <v/>
      </c>
      <c r="K4382" s="26" t="str">
        <f aca="false">IF(A4382="","",IF(AND(I4382="Sí",J4382="Sí"),"Sí","No"))</f>
        <v/>
      </c>
    </row>
    <row r="4383" customFormat="false" ht="15" hidden="false" customHeight="false" outlineLevel="0" collapsed="false">
      <c r="A4383" s="22"/>
      <c r="B4383" s="22"/>
      <c r="C4383" s="23" t="str">
        <f aca="false">IF(A4383="","",IFERROR(buscarx(A4383&amp;B4383,DATA!$E$3:$E$10000&amp;DATA!$B$3:$B$10000,DATA!$M$3:$M$10000),"No encontrado"))</f>
        <v/>
      </c>
      <c r="D4383" s="24" t="str">
        <f aca="false">IF(A4383="","",IFERROR(buscarx(A4383&amp;B4383,DATA!$E$3:$E$10000&amp;DATA!$B$3:$B$10000,DATA!$W$3:$W$10000),"No encontrado"))</f>
        <v/>
      </c>
      <c r="E4383" s="22"/>
      <c r="F4383" s="23" t="str">
        <f aca="false">IF(A4383="","",IFERROR(buscarx(A4383&amp;E4383,DATA!$E$3:$E$10000&amp;DATA!$B$3:$B$10000,DATA!$M$3:$M$10000),"Inactivo"))</f>
        <v/>
      </c>
      <c r="G4383" s="25" t="str">
        <f aca="false">IF(A4383="","",IF(AND(C4383&lt;&gt;"No encontrado",F4383&lt;&gt;"Inactivo"),C4383&amp;" → "&amp;F4383,"Sin transición"))</f>
        <v/>
      </c>
      <c r="H4383" s="23" t="str">
        <f aca="false">IF(A4383="","",IF(D4383="GCIA LINEA SERVICIO DIGITALIDAD Y VENTAS","Chats",IF(OR(D4383="GERENCIA INBOUND LÍNEAS SERVICIO Y VENTA",D4383="GERENCIA INBOUND LINEAS ESPECIALIZADAS"),"Llamadas","Otro")))</f>
        <v/>
      </c>
      <c r="I4383" s="23" t="str">
        <f aca="false">IF(A4383="","",IF(C4383="No encontrado","No","Sí"))</f>
        <v/>
      </c>
      <c r="J4383" s="23" t="str">
        <f aca="false">IF(A4383="","",IF(F4383="Inactivo","No","Sí"))</f>
        <v/>
      </c>
      <c r="K4383" s="23" t="str">
        <f aca="false">IF(A4383="","",IF(AND(I4383="Sí",J4383="Sí"),"Sí","No"))</f>
        <v/>
      </c>
    </row>
    <row r="4384" customFormat="false" ht="15" hidden="false" customHeight="false" outlineLevel="0" collapsed="false">
      <c r="A4384" s="22"/>
      <c r="B4384" s="22"/>
      <c r="C4384" s="26" t="str">
        <f aca="false">IF(A4384="","",IFERROR(buscarx(A4384&amp;B4384,DATA!$E$3:$E$10000&amp;DATA!$B$3:$B$10000,DATA!$M$3:$M$10000),"No encontrado"))</f>
        <v/>
      </c>
      <c r="D4384" s="27" t="str">
        <f aca="false">IF(A4384="","",IFERROR(buscarx(A4384&amp;B4384,DATA!$E$3:$E$10000&amp;DATA!$B$3:$B$10000,DATA!$W$3:$W$10000),"No encontrado"))</f>
        <v/>
      </c>
      <c r="E4384" s="22"/>
      <c r="F4384" s="26" t="str">
        <f aca="false">IF(A4384="","",IFERROR(buscarx(A4384&amp;E4384,DATA!$E$3:$E$10000&amp;DATA!$B$3:$B$10000,DATA!$M$3:$M$10000),"Inactivo"))</f>
        <v/>
      </c>
      <c r="G4384" s="28" t="str">
        <f aca="false">IF(A4384="","",IF(AND(C4384&lt;&gt;"No encontrado",F4384&lt;&gt;"Inactivo"),C4384&amp;" → "&amp;F4384,"Sin transición"))</f>
        <v/>
      </c>
      <c r="H4384" s="26" t="str">
        <f aca="false">IF(A4384="","",IF(D4384="GCIA LINEA SERVICIO DIGITALIDAD Y VENTAS","Chats",IF(OR(D4384="GERENCIA INBOUND LÍNEAS SERVICIO Y VENTA",D4384="GERENCIA INBOUND LINEAS ESPECIALIZADAS"),"Llamadas","Otro")))</f>
        <v/>
      </c>
      <c r="I4384" s="26" t="str">
        <f aca="false">IF(A4384="","",IF(C4384="No encontrado","No","Sí"))</f>
        <v/>
      </c>
      <c r="J4384" s="26" t="str">
        <f aca="false">IF(A4384="","",IF(F4384="Inactivo","No","Sí"))</f>
        <v/>
      </c>
      <c r="K4384" s="26" t="str">
        <f aca="false">IF(A4384="","",IF(AND(I4384="Sí",J4384="Sí"),"Sí","No"))</f>
        <v/>
      </c>
    </row>
    <row r="4385" customFormat="false" ht="15" hidden="false" customHeight="false" outlineLevel="0" collapsed="false">
      <c r="A4385" s="22"/>
      <c r="B4385" s="22"/>
      <c r="C4385" s="23" t="str">
        <f aca="false">IF(A4385="","",IFERROR(buscarx(A4385&amp;B4385,DATA!$E$3:$E$10000&amp;DATA!$B$3:$B$10000,DATA!$M$3:$M$10000),"No encontrado"))</f>
        <v/>
      </c>
      <c r="D4385" s="24" t="str">
        <f aca="false">IF(A4385="","",IFERROR(buscarx(A4385&amp;B4385,DATA!$E$3:$E$10000&amp;DATA!$B$3:$B$10000,DATA!$W$3:$W$10000),"No encontrado"))</f>
        <v/>
      </c>
      <c r="E4385" s="22"/>
      <c r="F4385" s="23" t="str">
        <f aca="false">IF(A4385="","",IFERROR(buscarx(A4385&amp;E4385,DATA!$E$3:$E$10000&amp;DATA!$B$3:$B$10000,DATA!$M$3:$M$10000),"Inactivo"))</f>
        <v/>
      </c>
      <c r="G4385" s="25" t="str">
        <f aca="false">IF(A4385="","",IF(AND(C4385&lt;&gt;"No encontrado",F4385&lt;&gt;"Inactivo"),C4385&amp;" → "&amp;F4385,"Sin transición"))</f>
        <v/>
      </c>
      <c r="H4385" s="23" t="str">
        <f aca="false">IF(A4385="","",IF(D4385="GCIA LINEA SERVICIO DIGITALIDAD Y VENTAS","Chats",IF(OR(D4385="GERENCIA INBOUND LÍNEAS SERVICIO Y VENTA",D4385="GERENCIA INBOUND LINEAS ESPECIALIZADAS"),"Llamadas","Otro")))</f>
        <v/>
      </c>
      <c r="I4385" s="23" t="str">
        <f aca="false">IF(A4385="","",IF(C4385="No encontrado","No","Sí"))</f>
        <v/>
      </c>
      <c r="J4385" s="23" t="str">
        <f aca="false">IF(A4385="","",IF(F4385="Inactivo","No","Sí"))</f>
        <v/>
      </c>
      <c r="K4385" s="23" t="str">
        <f aca="false">IF(A4385="","",IF(AND(I4385="Sí",J4385="Sí"),"Sí","No"))</f>
        <v/>
      </c>
    </row>
    <row r="4386" customFormat="false" ht="15" hidden="false" customHeight="false" outlineLevel="0" collapsed="false">
      <c r="A4386" s="22"/>
      <c r="B4386" s="22"/>
      <c r="C4386" s="26" t="str">
        <f aca="false">IF(A4386="","",IFERROR(buscarx(A4386&amp;B4386,DATA!$E$3:$E$10000&amp;DATA!$B$3:$B$10000,DATA!$M$3:$M$10000),"No encontrado"))</f>
        <v/>
      </c>
      <c r="D4386" s="27" t="str">
        <f aca="false">IF(A4386="","",IFERROR(buscarx(A4386&amp;B4386,DATA!$E$3:$E$10000&amp;DATA!$B$3:$B$10000,DATA!$W$3:$W$10000),"No encontrado"))</f>
        <v/>
      </c>
      <c r="E4386" s="22"/>
      <c r="F4386" s="26" t="str">
        <f aca="false">IF(A4386="","",IFERROR(buscarx(A4386&amp;E4386,DATA!$E$3:$E$10000&amp;DATA!$B$3:$B$10000,DATA!$M$3:$M$10000),"Inactivo"))</f>
        <v/>
      </c>
      <c r="G4386" s="28" t="str">
        <f aca="false">IF(A4386="","",IF(AND(C4386&lt;&gt;"No encontrado",F4386&lt;&gt;"Inactivo"),C4386&amp;" → "&amp;F4386,"Sin transición"))</f>
        <v/>
      </c>
      <c r="H4386" s="26" t="str">
        <f aca="false">IF(A4386="","",IF(D4386="GCIA LINEA SERVICIO DIGITALIDAD Y VENTAS","Chats",IF(OR(D4386="GERENCIA INBOUND LÍNEAS SERVICIO Y VENTA",D4386="GERENCIA INBOUND LINEAS ESPECIALIZADAS"),"Llamadas","Otro")))</f>
        <v/>
      </c>
      <c r="I4386" s="26" t="str">
        <f aca="false">IF(A4386="","",IF(C4386="No encontrado","No","Sí"))</f>
        <v/>
      </c>
      <c r="J4386" s="26" t="str">
        <f aca="false">IF(A4386="","",IF(F4386="Inactivo","No","Sí"))</f>
        <v/>
      </c>
      <c r="K4386" s="26" t="str">
        <f aca="false">IF(A4386="","",IF(AND(I4386="Sí",J4386="Sí"),"Sí","No"))</f>
        <v/>
      </c>
    </row>
    <row r="4387" customFormat="false" ht="15" hidden="false" customHeight="false" outlineLevel="0" collapsed="false">
      <c r="A4387" s="22"/>
      <c r="B4387" s="22"/>
      <c r="C4387" s="23" t="str">
        <f aca="false">IF(A4387="","",IFERROR(buscarx(A4387&amp;B4387,DATA!$E$3:$E$10000&amp;DATA!$B$3:$B$10000,DATA!$M$3:$M$10000),"No encontrado"))</f>
        <v/>
      </c>
      <c r="D4387" s="24" t="str">
        <f aca="false">IF(A4387="","",IFERROR(buscarx(A4387&amp;B4387,DATA!$E$3:$E$10000&amp;DATA!$B$3:$B$10000,DATA!$W$3:$W$10000),"No encontrado"))</f>
        <v/>
      </c>
      <c r="E4387" s="22"/>
      <c r="F4387" s="23" t="str">
        <f aca="false">IF(A4387="","",IFERROR(buscarx(A4387&amp;E4387,DATA!$E$3:$E$10000&amp;DATA!$B$3:$B$10000,DATA!$M$3:$M$10000),"Inactivo"))</f>
        <v/>
      </c>
      <c r="G4387" s="25" t="str">
        <f aca="false">IF(A4387="","",IF(AND(C4387&lt;&gt;"No encontrado",F4387&lt;&gt;"Inactivo"),C4387&amp;" → "&amp;F4387,"Sin transición"))</f>
        <v/>
      </c>
      <c r="H4387" s="23" t="str">
        <f aca="false">IF(A4387="","",IF(D4387="GCIA LINEA SERVICIO DIGITALIDAD Y VENTAS","Chats",IF(OR(D4387="GERENCIA INBOUND LÍNEAS SERVICIO Y VENTA",D4387="GERENCIA INBOUND LINEAS ESPECIALIZADAS"),"Llamadas","Otro")))</f>
        <v/>
      </c>
      <c r="I4387" s="23" t="str">
        <f aca="false">IF(A4387="","",IF(C4387="No encontrado","No","Sí"))</f>
        <v/>
      </c>
      <c r="J4387" s="23" t="str">
        <f aca="false">IF(A4387="","",IF(F4387="Inactivo","No","Sí"))</f>
        <v/>
      </c>
      <c r="K4387" s="23" t="str">
        <f aca="false">IF(A4387="","",IF(AND(I4387="Sí",J4387="Sí"),"Sí","No"))</f>
        <v/>
      </c>
    </row>
    <row r="4388" customFormat="false" ht="15" hidden="false" customHeight="false" outlineLevel="0" collapsed="false">
      <c r="A4388" s="22"/>
      <c r="B4388" s="22"/>
      <c r="C4388" s="26" t="str">
        <f aca="false">IF(A4388="","",IFERROR(buscarx(A4388&amp;B4388,DATA!$E$3:$E$10000&amp;DATA!$B$3:$B$10000,DATA!$M$3:$M$10000),"No encontrado"))</f>
        <v/>
      </c>
      <c r="D4388" s="27" t="str">
        <f aca="false">IF(A4388="","",IFERROR(buscarx(A4388&amp;B4388,DATA!$E$3:$E$10000&amp;DATA!$B$3:$B$10000,DATA!$W$3:$W$10000),"No encontrado"))</f>
        <v/>
      </c>
      <c r="E4388" s="22"/>
      <c r="F4388" s="26" t="str">
        <f aca="false">IF(A4388="","",IFERROR(buscarx(A4388&amp;E4388,DATA!$E$3:$E$10000&amp;DATA!$B$3:$B$10000,DATA!$M$3:$M$10000),"Inactivo"))</f>
        <v/>
      </c>
      <c r="G4388" s="28" t="str">
        <f aca="false">IF(A4388="","",IF(AND(C4388&lt;&gt;"No encontrado",F4388&lt;&gt;"Inactivo"),C4388&amp;" → "&amp;F4388,"Sin transición"))</f>
        <v/>
      </c>
      <c r="H4388" s="26" t="str">
        <f aca="false">IF(A4388="","",IF(D4388="GCIA LINEA SERVICIO DIGITALIDAD Y VENTAS","Chats",IF(OR(D4388="GERENCIA INBOUND LÍNEAS SERVICIO Y VENTA",D4388="GERENCIA INBOUND LINEAS ESPECIALIZADAS"),"Llamadas","Otro")))</f>
        <v/>
      </c>
      <c r="I4388" s="26" t="str">
        <f aca="false">IF(A4388="","",IF(C4388="No encontrado","No","Sí"))</f>
        <v/>
      </c>
      <c r="J4388" s="26" t="str">
        <f aca="false">IF(A4388="","",IF(F4388="Inactivo","No","Sí"))</f>
        <v/>
      </c>
      <c r="K4388" s="26" t="str">
        <f aca="false">IF(A4388="","",IF(AND(I4388="Sí",J4388="Sí"),"Sí","No"))</f>
        <v/>
      </c>
    </row>
    <row r="4389" customFormat="false" ht="15" hidden="false" customHeight="false" outlineLevel="0" collapsed="false">
      <c r="A4389" s="22"/>
      <c r="B4389" s="22"/>
      <c r="C4389" s="23" t="str">
        <f aca="false">IF(A4389="","",IFERROR(buscarx(A4389&amp;B4389,DATA!$E$3:$E$10000&amp;DATA!$B$3:$B$10000,DATA!$M$3:$M$10000),"No encontrado"))</f>
        <v/>
      </c>
      <c r="D4389" s="24" t="str">
        <f aca="false">IF(A4389="","",IFERROR(buscarx(A4389&amp;B4389,DATA!$E$3:$E$10000&amp;DATA!$B$3:$B$10000,DATA!$W$3:$W$10000),"No encontrado"))</f>
        <v/>
      </c>
      <c r="E4389" s="22"/>
      <c r="F4389" s="23" t="str">
        <f aca="false">IF(A4389="","",IFERROR(buscarx(A4389&amp;E4389,DATA!$E$3:$E$10000&amp;DATA!$B$3:$B$10000,DATA!$M$3:$M$10000),"Inactivo"))</f>
        <v/>
      </c>
      <c r="G4389" s="25" t="str">
        <f aca="false">IF(A4389="","",IF(AND(C4389&lt;&gt;"No encontrado",F4389&lt;&gt;"Inactivo"),C4389&amp;" → "&amp;F4389,"Sin transición"))</f>
        <v/>
      </c>
      <c r="H4389" s="23" t="str">
        <f aca="false">IF(A4389="","",IF(D4389="GCIA LINEA SERVICIO DIGITALIDAD Y VENTAS","Chats",IF(OR(D4389="GERENCIA INBOUND LÍNEAS SERVICIO Y VENTA",D4389="GERENCIA INBOUND LINEAS ESPECIALIZADAS"),"Llamadas","Otro")))</f>
        <v/>
      </c>
      <c r="I4389" s="23" t="str">
        <f aca="false">IF(A4389="","",IF(C4389="No encontrado","No","Sí"))</f>
        <v/>
      </c>
      <c r="J4389" s="23" t="str">
        <f aca="false">IF(A4389="","",IF(F4389="Inactivo","No","Sí"))</f>
        <v/>
      </c>
      <c r="K4389" s="23" t="str">
        <f aca="false">IF(A4389="","",IF(AND(I4389="Sí",J4389="Sí"),"Sí","No"))</f>
        <v/>
      </c>
    </row>
    <row r="4390" customFormat="false" ht="15" hidden="false" customHeight="false" outlineLevel="0" collapsed="false">
      <c r="A4390" s="22"/>
      <c r="B4390" s="22"/>
      <c r="C4390" s="26" t="str">
        <f aca="false">IF(A4390="","",IFERROR(buscarx(A4390&amp;B4390,DATA!$E$3:$E$10000&amp;DATA!$B$3:$B$10000,DATA!$M$3:$M$10000),"No encontrado"))</f>
        <v/>
      </c>
      <c r="D4390" s="27" t="str">
        <f aca="false">IF(A4390="","",IFERROR(buscarx(A4390&amp;B4390,DATA!$E$3:$E$10000&amp;DATA!$B$3:$B$10000,DATA!$W$3:$W$10000),"No encontrado"))</f>
        <v/>
      </c>
      <c r="E4390" s="22"/>
      <c r="F4390" s="26" t="str">
        <f aca="false">IF(A4390="","",IFERROR(buscarx(A4390&amp;E4390,DATA!$E$3:$E$10000&amp;DATA!$B$3:$B$10000,DATA!$M$3:$M$10000),"Inactivo"))</f>
        <v/>
      </c>
      <c r="G4390" s="28" t="str">
        <f aca="false">IF(A4390="","",IF(AND(C4390&lt;&gt;"No encontrado",F4390&lt;&gt;"Inactivo"),C4390&amp;" → "&amp;F4390,"Sin transición"))</f>
        <v/>
      </c>
      <c r="H4390" s="26" t="str">
        <f aca="false">IF(A4390="","",IF(D4390="GCIA LINEA SERVICIO DIGITALIDAD Y VENTAS","Chats",IF(OR(D4390="GERENCIA INBOUND LÍNEAS SERVICIO Y VENTA",D4390="GERENCIA INBOUND LINEAS ESPECIALIZADAS"),"Llamadas","Otro")))</f>
        <v/>
      </c>
      <c r="I4390" s="26" t="str">
        <f aca="false">IF(A4390="","",IF(C4390="No encontrado","No","Sí"))</f>
        <v/>
      </c>
      <c r="J4390" s="26" t="str">
        <f aca="false">IF(A4390="","",IF(F4390="Inactivo","No","Sí"))</f>
        <v/>
      </c>
      <c r="K4390" s="26" t="str">
        <f aca="false">IF(A4390="","",IF(AND(I4390="Sí",J4390="Sí"),"Sí","No"))</f>
        <v/>
      </c>
    </row>
    <row r="4391" customFormat="false" ht="15" hidden="false" customHeight="false" outlineLevel="0" collapsed="false">
      <c r="A4391" s="22"/>
      <c r="B4391" s="22"/>
      <c r="C4391" s="23" t="str">
        <f aca="false">IF(A4391="","",IFERROR(buscarx(A4391&amp;B4391,DATA!$E$3:$E$10000&amp;DATA!$B$3:$B$10000,DATA!$M$3:$M$10000),"No encontrado"))</f>
        <v/>
      </c>
      <c r="D4391" s="24" t="str">
        <f aca="false">IF(A4391="","",IFERROR(buscarx(A4391&amp;B4391,DATA!$E$3:$E$10000&amp;DATA!$B$3:$B$10000,DATA!$W$3:$W$10000),"No encontrado"))</f>
        <v/>
      </c>
      <c r="E4391" s="22"/>
      <c r="F4391" s="23" t="str">
        <f aca="false">IF(A4391="","",IFERROR(buscarx(A4391&amp;E4391,DATA!$E$3:$E$10000&amp;DATA!$B$3:$B$10000,DATA!$M$3:$M$10000),"Inactivo"))</f>
        <v/>
      </c>
      <c r="G4391" s="25" t="str">
        <f aca="false">IF(A4391="","",IF(AND(C4391&lt;&gt;"No encontrado",F4391&lt;&gt;"Inactivo"),C4391&amp;" → "&amp;F4391,"Sin transición"))</f>
        <v/>
      </c>
      <c r="H4391" s="23" t="str">
        <f aca="false">IF(A4391="","",IF(D4391="GCIA LINEA SERVICIO DIGITALIDAD Y VENTAS","Chats",IF(OR(D4391="GERENCIA INBOUND LÍNEAS SERVICIO Y VENTA",D4391="GERENCIA INBOUND LINEAS ESPECIALIZADAS"),"Llamadas","Otro")))</f>
        <v/>
      </c>
      <c r="I4391" s="23" t="str">
        <f aca="false">IF(A4391="","",IF(C4391="No encontrado","No","Sí"))</f>
        <v/>
      </c>
      <c r="J4391" s="23" t="str">
        <f aca="false">IF(A4391="","",IF(F4391="Inactivo","No","Sí"))</f>
        <v/>
      </c>
      <c r="K4391" s="23" t="str">
        <f aca="false">IF(A4391="","",IF(AND(I4391="Sí",J4391="Sí"),"Sí","No"))</f>
        <v/>
      </c>
    </row>
    <row r="4392" customFormat="false" ht="15" hidden="false" customHeight="false" outlineLevel="0" collapsed="false">
      <c r="A4392" s="22"/>
      <c r="B4392" s="22"/>
      <c r="C4392" s="26" t="str">
        <f aca="false">IF(A4392="","",IFERROR(buscarx(A4392&amp;B4392,DATA!$E$3:$E$10000&amp;DATA!$B$3:$B$10000,DATA!$M$3:$M$10000),"No encontrado"))</f>
        <v/>
      </c>
      <c r="D4392" s="27" t="str">
        <f aca="false">IF(A4392="","",IFERROR(buscarx(A4392&amp;B4392,DATA!$E$3:$E$10000&amp;DATA!$B$3:$B$10000,DATA!$W$3:$W$10000),"No encontrado"))</f>
        <v/>
      </c>
      <c r="E4392" s="22"/>
      <c r="F4392" s="26" t="str">
        <f aca="false">IF(A4392="","",IFERROR(buscarx(A4392&amp;E4392,DATA!$E$3:$E$10000&amp;DATA!$B$3:$B$10000,DATA!$M$3:$M$10000),"Inactivo"))</f>
        <v/>
      </c>
      <c r="G4392" s="28" t="str">
        <f aca="false">IF(A4392="","",IF(AND(C4392&lt;&gt;"No encontrado",F4392&lt;&gt;"Inactivo"),C4392&amp;" → "&amp;F4392,"Sin transición"))</f>
        <v/>
      </c>
      <c r="H4392" s="26" t="str">
        <f aca="false">IF(A4392="","",IF(D4392="GCIA LINEA SERVICIO DIGITALIDAD Y VENTAS","Chats",IF(OR(D4392="GERENCIA INBOUND LÍNEAS SERVICIO Y VENTA",D4392="GERENCIA INBOUND LINEAS ESPECIALIZADAS"),"Llamadas","Otro")))</f>
        <v/>
      </c>
      <c r="I4392" s="26" t="str">
        <f aca="false">IF(A4392="","",IF(C4392="No encontrado","No","Sí"))</f>
        <v/>
      </c>
      <c r="J4392" s="26" t="str">
        <f aca="false">IF(A4392="","",IF(F4392="Inactivo","No","Sí"))</f>
        <v/>
      </c>
      <c r="K4392" s="26" t="str">
        <f aca="false">IF(A4392="","",IF(AND(I4392="Sí",J4392="Sí"),"Sí","No"))</f>
        <v/>
      </c>
    </row>
    <row r="4393" customFormat="false" ht="15" hidden="false" customHeight="false" outlineLevel="0" collapsed="false">
      <c r="A4393" s="22"/>
      <c r="B4393" s="22"/>
      <c r="C4393" s="23" t="str">
        <f aca="false">IF(A4393="","",IFERROR(buscarx(A4393&amp;B4393,DATA!$E$3:$E$10000&amp;DATA!$B$3:$B$10000,DATA!$M$3:$M$10000),"No encontrado"))</f>
        <v/>
      </c>
      <c r="D4393" s="24" t="str">
        <f aca="false">IF(A4393="","",IFERROR(buscarx(A4393&amp;B4393,DATA!$E$3:$E$10000&amp;DATA!$B$3:$B$10000,DATA!$W$3:$W$10000),"No encontrado"))</f>
        <v/>
      </c>
      <c r="E4393" s="22"/>
      <c r="F4393" s="23" t="str">
        <f aca="false">IF(A4393="","",IFERROR(buscarx(A4393&amp;E4393,DATA!$E$3:$E$10000&amp;DATA!$B$3:$B$10000,DATA!$M$3:$M$10000),"Inactivo"))</f>
        <v/>
      </c>
      <c r="G4393" s="25" t="str">
        <f aca="false">IF(A4393="","",IF(AND(C4393&lt;&gt;"No encontrado",F4393&lt;&gt;"Inactivo"),C4393&amp;" → "&amp;F4393,"Sin transición"))</f>
        <v/>
      </c>
      <c r="H4393" s="23" t="str">
        <f aca="false">IF(A4393="","",IF(D4393="GCIA LINEA SERVICIO DIGITALIDAD Y VENTAS","Chats",IF(OR(D4393="GERENCIA INBOUND LÍNEAS SERVICIO Y VENTA",D4393="GERENCIA INBOUND LINEAS ESPECIALIZADAS"),"Llamadas","Otro")))</f>
        <v/>
      </c>
      <c r="I4393" s="23" t="str">
        <f aca="false">IF(A4393="","",IF(C4393="No encontrado","No","Sí"))</f>
        <v/>
      </c>
      <c r="J4393" s="23" t="str">
        <f aca="false">IF(A4393="","",IF(F4393="Inactivo","No","Sí"))</f>
        <v/>
      </c>
      <c r="K4393" s="23" t="str">
        <f aca="false">IF(A4393="","",IF(AND(I4393="Sí",J4393="Sí"),"Sí","No"))</f>
        <v/>
      </c>
    </row>
    <row r="4394" customFormat="false" ht="15" hidden="false" customHeight="false" outlineLevel="0" collapsed="false">
      <c r="A4394" s="22"/>
      <c r="B4394" s="22"/>
      <c r="C4394" s="26" t="str">
        <f aca="false">IF(A4394="","",IFERROR(buscarx(A4394&amp;B4394,DATA!$E$3:$E$10000&amp;DATA!$B$3:$B$10000,DATA!$M$3:$M$10000),"No encontrado"))</f>
        <v/>
      </c>
      <c r="D4394" s="27" t="str">
        <f aca="false">IF(A4394="","",IFERROR(buscarx(A4394&amp;B4394,DATA!$E$3:$E$10000&amp;DATA!$B$3:$B$10000,DATA!$W$3:$W$10000),"No encontrado"))</f>
        <v/>
      </c>
      <c r="E4394" s="22"/>
      <c r="F4394" s="26" t="str">
        <f aca="false">IF(A4394="","",IFERROR(buscarx(A4394&amp;E4394,DATA!$E$3:$E$10000&amp;DATA!$B$3:$B$10000,DATA!$M$3:$M$10000),"Inactivo"))</f>
        <v/>
      </c>
      <c r="G4394" s="28" t="str">
        <f aca="false">IF(A4394="","",IF(AND(C4394&lt;&gt;"No encontrado",F4394&lt;&gt;"Inactivo"),C4394&amp;" → "&amp;F4394,"Sin transición"))</f>
        <v/>
      </c>
      <c r="H4394" s="26" t="str">
        <f aca="false">IF(A4394="","",IF(D4394="GCIA LINEA SERVICIO DIGITALIDAD Y VENTAS","Chats",IF(OR(D4394="GERENCIA INBOUND LÍNEAS SERVICIO Y VENTA",D4394="GERENCIA INBOUND LINEAS ESPECIALIZADAS"),"Llamadas","Otro")))</f>
        <v/>
      </c>
      <c r="I4394" s="26" t="str">
        <f aca="false">IF(A4394="","",IF(C4394="No encontrado","No","Sí"))</f>
        <v/>
      </c>
      <c r="J4394" s="26" t="str">
        <f aca="false">IF(A4394="","",IF(F4394="Inactivo","No","Sí"))</f>
        <v/>
      </c>
      <c r="K4394" s="26" t="str">
        <f aca="false">IF(A4394="","",IF(AND(I4394="Sí",J4394="Sí"),"Sí","No"))</f>
        <v/>
      </c>
    </row>
    <row r="4395" customFormat="false" ht="15" hidden="false" customHeight="false" outlineLevel="0" collapsed="false">
      <c r="A4395" s="22"/>
      <c r="B4395" s="22"/>
      <c r="C4395" s="23" t="str">
        <f aca="false">IF(A4395="","",IFERROR(buscarx(A4395&amp;B4395,DATA!$E$3:$E$10000&amp;DATA!$B$3:$B$10000,DATA!$M$3:$M$10000),"No encontrado"))</f>
        <v/>
      </c>
      <c r="D4395" s="24" t="str">
        <f aca="false">IF(A4395="","",IFERROR(buscarx(A4395&amp;B4395,DATA!$E$3:$E$10000&amp;DATA!$B$3:$B$10000,DATA!$W$3:$W$10000),"No encontrado"))</f>
        <v/>
      </c>
      <c r="E4395" s="22"/>
      <c r="F4395" s="23" t="str">
        <f aca="false">IF(A4395="","",IFERROR(buscarx(A4395&amp;E4395,DATA!$E$3:$E$10000&amp;DATA!$B$3:$B$10000,DATA!$M$3:$M$10000),"Inactivo"))</f>
        <v/>
      </c>
      <c r="G4395" s="25" t="str">
        <f aca="false">IF(A4395="","",IF(AND(C4395&lt;&gt;"No encontrado",F4395&lt;&gt;"Inactivo"),C4395&amp;" → "&amp;F4395,"Sin transición"))</f>
        <v/>
      </c>
      <c r="H4395" s="23" t="str">
        <f aca="false">IF(A4395="","",IF(D4395="GCIA LINEA SERVICIO DIGITALIDAD Y VENTAS","Chats",IF(OR(D4395="GERENCIA INBOUND LÍNEAS SERVICIO Y VENTA",D4395="GERENCIA INBOUND LINEAS ESPECIALIZADAS"),"Llamadas","Otro")))</f>
        <v/>
      </c>
      <c r="I4395" s="23" t="str">
        <f aca="false">IF(A4395="","",IF(C4395="No encontrado","No","Sí"))</f>
        <v/>
      </c>
      <c r="J4395" s="23" t="str">
        <f aca="false">IF(A4395="","",IF(F4395="Inactivo","No","Sí"))</f>
        <v/>
      </c>
      <c r="K4395" s="23" t="str">
        <f aca="false">IF(A4395="","",IF(AND(I4395="Sí",J4395="Sí"),"Sí","No"))</f>
        <v/>
      </c>
    </row>
    <row r="4396" customFormat="false" ht="15" hidden="false" customHeight="false" outlineLevel="0" collapsed="false">
      <c r="A4396" s="22"/>
      <c r="B4396" s="22"/>
      <c r="C4396" s="26" t="str">
        <f aca="false">IF(A4396="","",IFERROR(buscarx(A4396&amp;B4396,DATA!$E$3:$E$10000&amp;DATA!$B$3:$B$10000,DATA!$M$3:$M$10000),"No encontrado"))</f>
        <v/>
      </c>
      <c r="D4396" s="27" t="str">
        <f aca="false">IF(A4396="","",IFERROR(buscarx(A4396&amp;B4396,DATA!$E$3:$E$10000&amp;DATA!$B$3:$B$10000,DATA!$W$3:$W$10000),"No encontrado"))</f>
        <v/>
      </c>
      <c r="E4396" s="22"/>
      <c r="F4396" s="26" t="str">
        <f aca="false">IF(A4396="","",IFERROR(buscarx(A4396&amp;E4396,DATA!$E$3:$E$10000&amp;DATA!$B$3:$B$10000,DATA!$M$3:$M$10000),"Inactivo"))</f>
        <v/>
      </c>
      <c r="G4396" s="28" t="str">
        <f aca="false">IF(A4396="","",IF(AND(C4396&lt;&gt;"No encontrado",F4396&lt;&gt;"Inactivo"),C4396&amp;" → "&amp;F4396,"Sin transición"))</f>
        <v/>
      </c>
      <c r="H4396" s="26" t="str">
        <f aca="false">IF(A4396="","",IF(D4396="GCIA LINEA SERVICIO DIGITALIDAD Y VENTAS","Chats",IF(OR(D4396="GERENCIA INBOUND LÍNEAS SERVICIO Y VENTA",D4396="GERENCIA INBOUND LINEAS ESPECIALIZADAS"),"Llamadas","Otro")))</f>
        <v/>
      </c>
      <c r="I4396" s="26" t="str">
        <f aca="false">IF(A4396="","",IF(C4396="No encontrado","No","Sí"))</f>
        <v/>
      </c>
      <c r="J4396" s="26" t="str">
        <f aca="false">IF(A4396="","",IF(F4396="Inactivo","No","Sí"))</f>
        <v/>
      </c>
      <c r="K4396" s="26" t="str">
        <f aca="false">IF(A4396="","",IF(AND(I4396="Sí",J4396="Sí"),"Sí","No"))</f>
        <v/>
      </c>
    </row>
    <row r="4397" customFormat="false" ht="15" hidden="false" customHeight="false" outlineLevel="0" collapsed="false">
      <c r="A4397" s="22"/>
      <c r="B4397" s="22"/>
      <c r="C4397" s="23" t="str">
        <f aca="false">IF(A4397="","",IFERROR(buscarx(A4397&amp;B4397,DATA!$E$3:$E$10000&amp;DATA!$B$3:$B$10000,DATA!$M$3:$M$10000),"No encontrado"))</f>
        <v/>
      </c>
      <c r="D4397" s="24" t="str">
        <f aca="false">IF(A4397="","",IFERROR(buscarx(A4397&amp;B4397,DATA!$E$3:$E$10000&amp;DATA!$B$3:$B$10000,DATA!$W$3:$W$10000),"No encontrado"))</f>
        <v/>
      </c>
      <c r="E4397" s="22"/>
      <c r="F4397" s="23" t="str">
        <f aca="false">IF(A4397="","",IFERROR(buscarx(A4397&amp;E4397,DATA!$E$3:$E$10000&amp;DATA!$B$3:$B$10000,DATA!$M$3:$M$10000),"Inactivo"))</f>
        <v/>
      </c>
      <c r="G4397" s="25" t="str">
        <f aca="false">IF(A4397="","",IF(AND(C4397&lt;&gt;"No encontrado",F4397&lt;&gt;"Inactivo"),C4397&amp;" → "&amp;F4397,"Sin transición"))</f>
        <v/>
      </c>
      <c r="H4397" s="23" t="str">
        <f aca="false">IF(A4397="","",IF(D4397="GCIA LINEA SERVICIO DIGITALIDAD Y VENTAS","Chats",IF(OR(D4397="GERENCIA INBOUND LÍNEAS SERVICIO Y VENTA",D4397="GERENCIA INBOUND LINEAS ESPECIALIZADAS"),"Llamadas","Otro")))</f>
        <v/>
      </c>
      <c r="I4397" s="23" t="str">
        <f aca="false">IF(A4397="","",IF(C4397="No encontrado","No","Sí"))</f>
        <v/>
      </c>
      <c r="J4397" s="23" t="str">
        <f aca="false">IF(A4397="","",IF(F4397="Inactivo","No","Sí"))</f>
        <v/>
      </c>
      <c r="K4397" s="23" t="str">
        <f aca="false">IF(A4397="","",IF(AND(I4397="Sí",J4397="Sí"),"Sí","No"))</f>
        <v/>
      </c>
    </row>
    <row r="4398" customFormat="false" ht="15" hidden="false" customHeight="false" outlineLevel="0" collapsed="false">
      <c r="A4398" s="22"/>
      <c r="B4398" s="22"/>
      <c r="C4398" s="26" t="str">
        <f aca="false">IF(A4398="","",IFERROR(buscarx(A4398&amp;B4398,DATA!$E$3:$E$10000&amp;DATA!$B$3:$B$10000,DATA!$M$3:$M$10000),"No encontrado"))</f>
        <v/>
      </c>
      <c r="D4398" s="27" t="str">
        <f aca="false">IF(A4398="","",IFERROR(buscarx(A4398&amp;B4398,DATA!$E$3:$E$10000&amp;DATA!$B$3:$B$10000,DATA!$W$3:$W$10000),"No encontrado"))</f>
        <v/>
      </c>
      <c r="E4398" s="22"/>
      <c r="F4398" s="26" t="str">
        <f aca="false">IF(A4398="","",IFERROR(buscarx(A4398&amp;E4398,DATA!$E$3:$E$10000&amp;DATA!$B$3:$B$10000,DATA!$M$3:$M$10000),"Inactivo"))</f>
        <v/>
      </c>
      <c r="G4398" s="28" t="str">
        <f aca="false">IF(A4398="","",IF(AND(C4398&lt;&gt;"No encontrado",F4398&lt;&gt;"Inactivo"),C4398&amp;" → "&amp;F4398,"Sin transición"))</f>
        <v/>
      </c>
      <c r="H4398" s="26" t="str">
        <f aca="false">IF(A4398="","",IF(D4398="GCIA LINEA SERVICIO DIGITALIDAD Y VENTAS","Chats",IF(OR(D4398="GERENCIA INBOUND LÍNEAS SERVICIO Y VENTA",D4398="GERENCIA INBOUND LINEAS ESPECIALIZADAS"),"Llamadas","Otro")))</f>
        <v/>
      </c>
      <c r="I4398" s="26" t="str">
        <f aca="false">IF(A4398="","",IF(C4398="No encontrado","No","Sí"))</f>
        <v/>
      </c>
      <c r="J4398" s="26" t="str">
        <f aca="false">IF(A4398="","",IF(F4398="Inactivo","No","Sí"))</f>
        <v/>
      </c>
      <c r="K4398" s="26" t="str">
        <f aca="false">IF(A4398="","",IF(AND(I4398="Sí",J4398="Sí"),"Sí","No"))</f>
        <v/>
      </c>
    </row>
    <row r="4399" customFormat="false" ht="15" hidden="false" customHeight="false" outlineLevel="0" collapsed="false">
      <c r="A4399" s="22"/>
      <c r="B4399" s="22"/>
      <c r="C4399" s="23" t="str">
        <f aca="false">IF(A4399="","",IFERROR(buscarx(A4399&amp;B4399,DATA!$E$3:$E$10000&amp;DATA!$B$3:$B$10000,DATA!$M$3:$M$10000),"No encontrado"))</f>
        <v/>
      </c>
      <c r="D4399" s="24" t="str">
        <f aca="false">IF(A4399="","",IFERROR(buscarx(A4399&amp;B4399,DATA!$E$3:$E$10000&amp;DATA!$B$3:$B$10000,DATA!$W$3:$W$10000),"No encontrado"))</f>
        <v/>
      </c>
      <c r="E4399" s="22"/>
      <c r="F4399" s="23" t="str">
        <f aca="false">IF(A4399="","",IFERROR(buscarx(A4399&amp;E4399,DATA!$E$3:$E$10000&amp;DATA!$B$3:$B$10000,DATA!$M$3:$M$10000),"Inactivo"))</f>
        <v/>
      </c>
      <c r="G4399" s="25" t="str">
        <f aca="false">IF(A4399="","",IF(AND(C4399&lt;&gt;"No encontrado",F4399&lt;&gt;"Inactivo"),C4399&amp;" → "&amp;F4399,"Sin transición"))</f>
        <v/>
      </c>
      <c r="H4399" s="23" t="str">
        <f aca="false">IF(A4399="","",IF(D4399="GCIA LINEA SERVICIO DIGITALIDAD Y VENTAS","Chats",IF(OR(D4399="GERENCIA INBOUND LÍNEAS SERVICIO Y VENTA",D4399="GERENCIA INBOUND LINEAS ESPECIALIZADAS"),"Llamadas","Otro")))</f>
        <v/>
      </c>
      <c r="I4399" s="23" t="str">
        <f aca="false">IF(A4399="","",IF(C4399="No encontrado","No","Sí"))</f>
        <v/>
      </c>
      <c r="J4399" s="23" t="str">
        <f aca="false">IF(A4399="","",IF(F4399="Inactivo","No","Sí"))</f>
        <v/>
      </c>
      <c r="K4399" s="23" t="str">
        <f aca="false">IF(A4399="","",IF(AND(I4399="Sí",J4399="Sí"),"Sí","No"))</f>
        <v/>
      </c>
    </row>
    <row r="4400" customFormat="false" ht="15" hidden="false" customHeight="false" outlineLevel="0" collapsed="false">
      <c r="A4400" s="22"/>
      <c r="B4400" s="22"/>
      <c r="C4400" s="26" t="str">
        <f aca="false">IF(A4400="","",IFERROR(buscarx(A4400&amp;B4400,DATA!$E$3:$E$10000&amp;DATA!$B$3:$B$10000,DATA!$M$3:$M$10000),"No encontrado"))</f>
        <v/>
      </c>
      <c r="D4400" s="27" t="str">
        <f aca="false">IF(A4400="","",IFERROR(buscarx(A4400&amp;B4400,DATA!$E$3:$E$10000&amp;DATA!$B$3:$B$10000,DATA!$W$3:$W$10000),"No encontrado"))</f>
        <v/>
      </c>
      <c r="E4400" s="22"/>
      <c r="F4400" s="26" t="str">
        <f aca="false">IF(A4400="","",IFERROR(buscarx(A4400&amp;E4400,DATA!$E$3:$E$10000&amp;DATA!$B$3:$B$10000,DATA!$M$3:$M$10000),"Inactivo"))</f>
        <v/>
      </c>
      <c r="G4400" s="28" t="str">
        <f aca="false">IF(A4400="","",IF(AND(C4400&lt;&gt;"No encontrado",F4400&lt;&gt;"Inactivo"),C4400&amp;" → "&amp;F4400,"Sin transición"))</f>
        <v/>
      </c>
      <c r="H4400" s="26" t="str">
        <f aca="false">IF(A4400="","",IF(D4400="GCIA LINEA SERVICIO DIGITALIDAD Y VENTAS","Chats",IF(OR(D4400="GERENCIA INBOUND LÍNEAS SERVICIO Y VENTA",D4400="GERENCIA INBOUND LINEAS ESPECIALIZADAS"),"Llamadas","Otro")))</f>
        <v/>
      </c>
      <c r="I4400" s="26" t="str">
        <f aca="false">IF(A4400="","",IF(C4400="No encontrado","No","Sí"))</f>
        <v/>
      </c>
      <c r="J4400" s="26" t="str">
        <f aca="false">IF(A4400="","",IF(F4400="Inactivo","No","Sí"))</f>
        <v/>
      </c>
      <c r="K4400" s="26" t="str">
        <f aca="false">IF(A4400="","",IF(AND(I4400="Sí",J4400="Sí"),"Sí","No"))</f>
        <v/>
      </c>
    </row>
    <row r="4401" customFormat="false" ht="15" hidden="false" customHeight="false" outlineLevel="0" collapsed="false">
      <c r="A4401" s="22"/>
      <c r="B4401" s="22"/>
      <c r="C4401" s="23" t="str">
        <f aca="false">IF(A4401="","",IFERROR(buscarx(A4401&amp;B4401,DATA!$E$3:$E$10000&amp;DATA!$B$3:$B$10000,DATA!$M$3:$M$10000),"No encontrado"))</f>
        <v/>
      </c>
      <c r="D4401" s="24" t="str">
        <f aca="false">IF(A4401="","",IFERROR(buscarx(A4401&amp;B4401,DATA!$E$3:$E$10000&amp;DATA!$B$3:$B$10000,DATA!$W$3:$W$10000),"No encontrado"))</f>
        <v/>
      </c>
      <c r="E4401" s="22"/>
      <c r="F4401" s="23" t="str">
        <f aca="false">IF(A4401="","",IFERROR(buscarx(A4401&amp;E4401,DATA!$E$3:$E$10000&amp;DATA!$B$3:$B$10000,DATA!$M$3:$M$10000),"Inactivo"))</f>
        <v/>
      </c>
      <c r="G4401" s="25" t="str">
        <f aca="false">IF(A4401="","",IF(AND(C4401&lt;&gt;"No encontrado",F4401&lt;&gt;"Inactivo"),C4401&amp;" → "&amp;F4401,"Sin transición"))</f>
        <v/>
      </c>
      <c r="H4401" s="23" t="str">
        <f aca="false">IF(A4401="","",IF(D4401="GCIA LINEA SERVICIO DIGITALIDAD Y VENTAS","Chats",IF(OR(D4401="GERENCIA INBOUND LÍNEAS SERVICIO Y VENTA",D4401="GERENCIA INBOUND LINEAS ESPECIALIZADAS"),"Llamadas","Otro")))</f>
        <v/>
      </c>
      <c r="I4401" s="23" t="str">
        <f aca="false">IF(A4401="","",IF(C4401="No encontrado","No","Sí"))</f>
        <v/>
      </c>
      <c r="J4401" s="23" t="str">
        <f aca="false">IF(A4401="","",IF(F4401="Inactivo","No","Sí"))</f>
        <v/>
      </c>
      <c r="K4401" s="23" t="str">
        <f aca="false">IF(A4401="","",IF(AND(I4401="Sí",J4401="Sí"),"Sí","No"))</f>
        <v/>
      </c>
    </row>
    <row r="4402" customFormat="false" ht="15" hidden="false" customHeight="false" outlineLevel="0" collapsed="false">
      <c r="A4402" s="22"/>
      <c r="B4402" s="22"/>
      <c r="C4402" s="26" t="str">
        <f aca="false">IF(A4402="","",IFERROR(buscarx(A4402&amp;B4402,DATA!$E$3:$E$10000&amp;DATA!$B$3:$B$10000,DATA!$M$3:$M$10000),"No encontrado"))</f>
        <v/>
      </c>
      <c r="D4402" s="27" t="str">
        <f aca="false">IF(A4402="","",IFERROR(buscarx(A4402&amp;B4402,DATA!$E$3:$E$10000&amp;DATA!$B$3:$B$10000,DATA!$W$3:$W$10000),"No encontrado"))</f>
        <v/>
      </c>
      <c r="E4402" s="22"/>
      <c r="F4402" s="26" t="str">
        <f aca="false">IF(A4402="","",IFERROR(buscarx(A4402&amp;E4402,DATA!$E$3:$E$10000&amp;DATA!$B$3:$B$10000,DATA!$M$3:$M$10000),"Inactivo"))</f>
        <v/>
      </c>
      <c r="G4402" s="28" t="str">
        <f aca="false">IF(A4402="","",IF(AND(C4402&lt;&gt;"No encontrado",F4402&lt;&gt;"Inactivo"),C4402&amp;" → "&amp;F4402,"Sin transición"))</f>
        <v/>
      </c>
      <c r="H4402" s="26" t="str">
        <f aca="false">IF(A4402="","",IF(D4402="GCIA LINEA SERVICIO DIGITALIDAD Y VENTAS","Chats",IF(OR(D4402="GERENCIA INBOUND LÍNEAS SERVICIO Y VENTA",D4402="GERENCIA INBOUND LINEAS ESPECIALIZADAS"),"Llamadas","Otro")))</f>
        <v/>
      </c>
      <c r="I4402" s="26" t="str">
        <f aca="false">IF(A4402="","",IF(C4402="No encontrado","No","Sí"))</f>
        <v/>
      </c>
      <c r="J4402" s="26" t="str">
        <f aca="false">IF(A4402="","",IF(F4402="Inactivo","No","Sí"))</f>
        <v/>
      </c>
      <c r="K4402" s="26" t="str">
        <f aca="false">IF(A4402="","",IF(AND(I4402="Sí",J4402="Sí"),"Sí","No"))</f>
        <v/>
      </c>
    </row>
    <row r="4403" customFormat="false" ht="15" hidden="false" customHeight="false" outlineLevel="0" collapsed="false">
      <c r="A4403" s="22"/>
      <c r="B4403" s="22"/>
      <c r="C4403" s="23" t="str">
        <f aca="false">IF(A4403="","",IFERROR(buscarx(A4403&amp;B4403,DATA!$E$3:$E$10000&amp;DATA!$B$3:$B$10000,DATA!$M$3:$M$10000),"No encontrado"))</f>
        <v/>
      </c>
      <c r="D4403" s="24" t="str">
        <f aca="false">IF(A4403="","",IFERROR(buscarx(A4403&amp;B4403,DATA!$E$3:$E$10000&amp;DATA!$B$3:$B$10000,DATA!$W$3:$W$10000),"No encontrado"))</f>
        <v/>
      </c>
      <c r="E4403" s="22"/>
      <c r="F4403" s="23" t="str">
        <f aca="false">IF(A4403="","",IFERROR(buscarx(A4403&amp;E4403,DATA!$E$3:$E$10000&amp;DATA!$B$3:$B$10000,DATA!$M$3:$M$10000),"Inactivo"))</f>
        <v/>
      </c>
      <c r="G4403" s="25" t="str">
        <f aca="false">IF(A4403="","",IF(AND(C4403&lt;&gt;"No encontrado",F4403&lt;&gt;"Inactivo"),C4403&amp;" → "&amp;F4403,"Sin transición"))</f>
        <v/>
      </c>
      <c r="H4403" s="23" t="str">
        <f aca="false">IF(A4403="","",IF(D4403="GCIA LINEA SERVICIO DIGITALIDAD Y VENTAS","Chats",IF(OR(D4403="GERENCIA INBOUND LÍNEAS SERVICIO Y VENTA",D4403="GERENCIA INBOUND LINEAS ESPECIALIZADAS"),"Llamadas","Otro")))</f>
        <v/>
      </c>
      <c r="I4403" s="23" t="str">
        <f aca="false">IF(A4403="","",IF(C4403="No encontrado","No","Sí"))</f>
        <v/>
      </c>
      <c r="J4403" s="23" t="str">
        <f aca="false">IF(A4403="","",IF(F4403="Inactivo","No","Sí"))</f>
        <v/>
      </c>
      <c r="K4403" s="23" t="str">
        <f aca="false">IF(A4403="","",IF(AND(I4403="Sí",J4403="Sí"),"Sí","No"))</f>
        <v/>
      </c>
    </row>
    <row r="4404" customFormat="false" ht="15" hidden="false" customHeight="false" outlineLevel="0" collapsed="false">
      <c r="A4404" s="22"/>
      <c r="B4404" s="22"/>
      <c r="C4404" s="26" t="str">
        <f aca="false">IF(A4404="","",IFERROR(buscarx(A4404&amp;B4404,DATA!$E$3:$E$10000&amp;DATA!$B$3:$B$10000,DATA!$M$3:$M$10000),"No encontrado"))</f>
        <v/>
      </c>
      <c r="D4404" s="27" t="str">
        <f aca="false">IF(A4404="","",IFERROR(buscarx(A4404&amp;B4404,DATA!$E$3:$E$10000&amp;DATA!$B$3:$B$10000,DATA!$W$3:$W$10000),"No encontrado"))</f>
        <v/>
      </c>
      <c r="E4404" s="22"/>
      <c r="F4404" s="26" t="str">
        <f aca="false">IF(A4404="","",IFERROR(buscarx(A4404&amp;E4404,DATA!$E$3:$E$10000&amp;DATA!$B$3:$B$10000,DATA!$M$3:$M$10000),"Inactivo"))</f>
        <v/>
      </c>
      <c r="G4404" s="28" t="str">
        <f aca="false">IF(A4404="","",IF(AND(C4404&lt;&gt;"No encontrado",F4404&lt;&gt;"Inactivo"),C4404&amp;" → "&amp;F4404,"Sin transición"))</f>
        <v/>
      </c>
      <c r="H4404" s="26" t="str">
        <f aca="false">IF(A4404="","",IF(D4404="GCIA LINEA SERVICIO DIGITALIDAD Y VENTAS","Chats",IF(OR(D4404="GERENCIA INBOUND LÍNEAS SERVICIO Y VENTA",D4404="GERENCIA INBOUND LINEAS ESPECIALIZADAS"),"Llamadas","Otro")))</f>
        <v/>
      </c>
      <c r="I4404" s="26" t="str">
        <f aca="false">IF(A4404="","",IF(C4404="No encontrado","No","Sí"))</f>
        <v/>
      </c>
      <c r="J4404" s="26" t="str">
        <f aca="false">IF(A4404="","",IF(F4404="Inactivo","No","Sí"))</f>
        <v/>
      </c>
      <c r="K4404" s="26" t="str">
        <f aca="false">IF(A4404="","",IF(AND(I4404="Sí",J4404="Sí"),"Sí","No"))</f>
        <v/>
      </c>
    </row>
    <row r="4405" customFormat="false" ht="15" hidden="false" customHeight="false" outlineLevel="0" collapsed="false">
      <c r="A4405" s="22"/>
      <c r="B4405" s="22"/>
      <c r="C4405" s="23" t="str">
        <f aca="false">IF(A4405="","",IFERROR(buscarx(A4405&amp;B4405,DATA!$E$3:$E$10000&amp;DATA!$B$3:$B$10000,DATA!$M$3:$M$10000),"No encontrado"))</f>
        <v/>
      </c>
      <c r="D4405" s="24" t="str">
        <f aca="false">IF(A4405="","",IFERROR(buscarx(A4405&amp;B4405,DATA!$E$3:$E$10000&amp;DATA!$B$3:$B$10000,DATA!$W$3:$W$10000),"No encontrado"))</f>
        <v/>
      </c>
      <c r="E4405" s="22"/>
      <c r="F4405" s="23" t="str">
        <f aca="false">IF(A4405="","",IFERROR(buscarx(A4405&amp;E4405,DATA!$E$3:$E$10000&amp;DATA!$B$3:$B$10000,DATA!$M$3:$M$10000),"Inactivo"))</f>
        <v/>
      </c>
      <c r="G4405" s="25" t="str">
        <f aca="false">IF(A4405="","",IF(AND(C4405&lt;&gt;"No encontrado",F4405&lt;&gt;"Inactivo"),C4405&amp;" → "&amp;F4405,"Sin transición"))</f>
        <v/>
      </c>
      <c r="H4405" s="23" t="str">
        <f aca="false">IF(A4405="","",IF(D4405="GCIA LINEA SERVICIO DIGITALIDAD Y VENTAS","Chats",IF(OR(D4405="GERENCIA INBOUND LÍNEAS SERVICIO Y VENTA",D4405="GERENCIA INBOUND LINEAS ESPECIALIZADAS"),"Llamadas","Otro")))</f>
        <v/>
      </c>
      <c r="I4405" s="23" t="str">
        <f aca="false">IF(A4405="","",IF(C4405="No encontrado","No","Sí"))</f>
        <v/>
      </c>
      <c r="J4405" s="23" t="str">
        <f aca="false">IF(A4405="","",IF(F4405="Inactivo","No","Sí"))</f>
        <v/>
      </c>
      <c r="K4405" s="23" t="str">
        <f aca="false">IF(A4405="","",IF(AND(I4405="Sí",J4405="Sí"),"Sí","No"))</f>
        <v/>
      </c>
    </row>
    <row r="4406" customFormat="false" ht="15" hidden="false" customHeight="false" outlineLevel="0" collapsed="false">
      <c r="A4406" s="22"/>
      <c r="B4406" s="22"/>
      <c r="C4406" s="26" t="str">
        <f aca="false">IF(A4406="","",IFERROR(buscarx(A4406&amp;B4406,DATA!$E$3:$E$10000&amp;DATA!$B$3:$B$10000,DATA!$M$3:$M$10000),"No encontrado"))</f>
        <v/>
      </c>
      <c r="D4406" s="27" t="str">
        <f aca="false">IF(A4406="","",IFERROR(buscarx(A4406&amp;B4406,DATA!$E$3:$E$10000&amp;DATA!$B$3:$B$10000,DATA!$W$3:$W$10000),"No encontrado"))</f>
        <v/>
      </c>
      <c r="E4406" s="22"/>
      <c r="F4406" s="26" t="str">
        <f aca="false">IF(A4406="","",IFERROR(buscarx(A4406&amp;E4406,DATA!$E$3:$E$10000&amp;DATA!$B$3:$B$10000,DATA!$M$3:$M$10000),"Inactivo"))</f>
        <v/>
      </c>
      <c r="G4406" s="28" t="str">
        <f aca="false">IF(A4406="","",IF(AND(C4406&lt;&gt;"No encontrado",F4406&lt;&gt;"Inactivo"),C4406&amp;" → "&amp;F4406,"Sin transición"))</f>
        <v/>
      </c>
      <c r="H4406" s="26" t="str">
        <f aca="false">IF(A4406="","",IF(D4406="GCIA LINEA SERVICIO DIGITALIDAD Y VENTAS","Chats",IF(OR(D4406="GERENCIA INBOUND LÍNEAS SERVICIO Y VENTA",D4406="GERENCIA INBOUND LINEAS ESPECIALIZADAS"),"Llamadas","Otro")))</f>
        <v/>
      </c>
      <c r="I4406" s="26" t="str">
        <f aca="false">IF(A4406="","",IF(C4406="No encontrado","No","Sí"))</f>
        <v/>
      </c>
      <c r="J4406" s="26" t="str">
        <f aca="false">IF(A4406="","",IF(F4406="Inactivo","No","Sí"))</f>
        <v/>
      </c>
      <c r="K4406" s="26" t="str">
        <f aca="false">IF(A4406="","",IF(AND(I4406="Sí",J4406="Sí"),"Sí","No"))</f>
        <v/>
      </c>
    </row>
    <row r="4407" customFormat="false" ht="15" hidden="false" customHeight="false" outlineLevel="0" collapsed="false">
      <c r="A4407" s="22"/>
      <c r="B4407" s="22"/>
      <c r="C4407" s="23" t="str">
        <f aca="false">IF(A4407="","",IFERROR(buscarx(A4407&amp;B4407,DATA!$E$3:$E$10000&amp;DATA!$B$3:$B$10000,DATA!$M$3:$M$10000),"No encontrado"))</f>
        <v/>
      </c>
      <c r="D4407" s="24" t="str">
        <f aca="false">IF(A4407="","",IFERROR(buscarx(A4407&amp;B4407,DATA!$E$3:$E$10000&amp;DATA!$B$3:$B$10000,DATA!$W$3:$W$10000),"No encontrado"))</f>
        <v/>
      </c>
      <c r="E4407" s="22"/>
      <c r="F4407" s="23" t="str">
        <f aca="false">IF(A4407="","",IFERROR(buscarx(A4407&amp;E4407,DATA!$E$3:$E$10000&amp;DATA!$B$3:$B$10000,DATA!$M$3:$M$10000),"Inactivo"))</f>
        <v/>
      </c>
      <c r="G4407" s="25" t="str">
        <f aca="false">IF(A4407="","",IF(AND(C4407&lt;&gt;"No encontrado",F4407&lt;&gt;"Inactivo"),C4407&amp;" → "&amp;F4407,"Sin transición"))</f>
        <v/>
      </c>
      <c r="H4407" s="23" t="str">
        <f aca="false">IF(A4407="","",IF(D4407="GCIA LINEA SERVICIO DIGITALIDAD Y VENTAS","Chats",IF(OR(D4407="GERENCIA INBOUND LÍNEAS SERVICIO Y VENTA",D4407="GERENCIA INBOUND LINEAS ESPECIALIZADAS"),"Llamadas","Otro")))</f>
        <v/>
      </c>
      <c r="I4407" s="23" t="str">
        <f aca="false">IF(A4407="","",IF(C4407="No encontrado","No","Sí"))</f>
        <v/>
      </c>
      <c r="J4407" s="23" t="str">
        <f aca="false">IF(A4407="","",IF(F4407="Inactivo","No","Sí"))</f>
        <v/>
      </c>
      <c r="K4407" s="23" t="str">
        <f aca="false">IF(A4407="","",IF(AND(I4407="Sí",J4407="Sí"),"Sí","No"))</f>
        <v/>
      </c>
    </row>
    <row r="4408" customFormat="false" ht="15" hidden="false" customHeight="false" outlineLevel="0" collapsed="false">
      <c r="A4408" s="22"/>
      <c r="B4408" s="22"/>
      <c r="C4408" s="26" t="str">
        <f aca="false">IF(A4408="","",IFERROR(buscarx(A4408&amp;B4408,DATA!$E$3:$E$10000&amp;DATA!$B$3:$B$10000,DATA!$M$3:$M$10000),"No encontrado"))</f>
        <v/>
      </c>
      <c r="D4408" s="27" t="str">
        <f aca="false">IF(A4408="","",IFERROR(buscarx(A4408&amp;B4408,DATA!$E$3:$E$10000&amp;DATA!$B$3:$B$10000,DATA!$W$3:$W$10000),"No encontrado"))</f>
        <v/>
      </c>
      <c r="E4408" s="22"/>
      <c r="F4408" s="26" t="str">
        <f aca="false">IF(A4408="","",IFERROR(buscarx(A4408&amp;E4408,DATA!$E$3:$E$10000&amp;DATA!$B$3:$B$10000,DATA!$M$3:$M$10000),"Inactivo"))</f>
        <v/>
      </c>
      <c r="G4408" s="28" t="str">
        <f aca="false">IF(A4408="","",IF(AND(C4408&lt;&gt;"No encontrado",F4408&lt;&gt;"Inactivo"),C4408&amp;" → "&amp;F4408,"Sin transición"))</f>
        <v/>
      </c>
      <c r="H4408" s="26" t="str">
        <f aca="false">IF(A4408="","",IF(D4408="GCIA LINEA SERVICIO DIGITALIDAD Y VENTAS","Chats",IF(OR(D4408="GERENCIA INBOUND LÍNEAS SERVICIO Y VENTA",D4408="GERENCIA INBOUND LINEAS ESPECIALIZADAS"),"Llamadas","Otro")))</f>
        <v/>
      </c>
      <c r="I4408" s="26" t="str">
        <f aca="false">IF(A4408="","",IF(C4408="No encontrado","No","Sí"))</f>
        <v/>
      </c>
      <c r="J4408" s="26" t="str">
        <f aca="false">IF(A4408="","",IF(F4408="Inactivo","No","Sí"))</f>
        <v/>
      </c>
      <c r="K4408" s="26" t="str">
        <f aca="false">IF(A4408="","",IF(AND(I4408="Sí",J4408="Sí"),"Sí","No"))</f>
        <v/>
      </c>
    </row>
    <row r="4409" customFormat="false" ht="15" hidden="false" customHeight="false" outlineLevel="0" collapsed="false">
      <c r="A4409" s="22"/>
      <c r="B4409" s="22"/>
      <c r="C4409" s="23" t="str">
        <f aca="false">IF(A4409="","",IFERROR(buscarx(A4409&amp;B4409,DATA!$E$3:$E$10000&amp;DATA!$B$3:$B$10000,DATA!$M$3:$M$10000),"No encontrado"))</f>
        <v/>
      </c>
      <c r="D4409" s="24" t="str">
        <f aca="false">IF(A4409="","",IFERROR(buscarx(A4409&amp;B4409,DATA!$E$3:$E$10000&amp;DATA!$B$3:$B$10000,DATA!$W$3:$W$10000),"No encontrado"))</f>
        <v/>
      </c>
      <c r="E4409" s="22"/>
      <c r="F4409" s="23" t="str">
        <f aca="false">IF(A4409="","",IFERROR(buscarx(A4409&amp;E4409,DATA!$E$3:$E$10000&amp;DATA!$B$3:$B$10000,DATA!$M$3:$M$10000),"Inactivo"))</f>
        <v/>
      </c>
      <c r="G4409" s="25" t="str">
        <f aca="false">IF(A4409="","",IF(AND(C4409&lt;&gt;"No encontrado",F4409&lt;&gt;"Inactivo"),C4409&amp;" → "&amp;F4409,"Sin transición"))</f>
        <v/>
      </c>
      <c r="H4409" s="23" t="str">
        <f aca="false">IF(A4409="","",IF(D4409="GCIA LINEA SERVICIO DIGITALIDAD Y VENTAS","Chats",IF(OR(D4409="GERENCIA INBOUND LÍNEAS SERVICIO Y VENTA",D4409="GERENCIA INBOUND LINEAS ESPECIALIZADAS"),"Llamadas","Otro")))</f>
        <v/>
      </c>
      <c r="I4409" s="23" t="str">
        <f aca="false">IF(A4409="","",IF(C4409="No encontrado","No","Sí"))</f>
        <v/>
      </c>
      <c r="J4409" s="23" t="str">
        <f aca="false">IF(A4409="","",IF(F4409="Inactivo","No","Sí"))</f>
        <v/>
      </c>
      <c r="K4409" s="23" t="str">
        <f aca="false">IF(A4409="","",IF(AND(I4409="Sí",J4409="Sí"),"Sí","No"))</f>
        <v/>
      </c>
    </row>
    <row r="4410" customFormat="false" ht="15" hidden="false" customHeight="false" outlineLevel="0" collapsed="false">
      <c r="A4410" s="22"/>
      <c r="B4410" s="22"/>
      <c r="C4410" s="26" t="str">
        <f aca="false">IF(A4410="","",IFERROR(buscarx(A4410&amp;B4410,DATA!$E$3:$E$10000&amp;DATA!$B$3:$B$10000,DATA!$M$3:$M$10000),"No encontrado"))</f>
        <v/>
      </c>
      <c r="D4410" s="27" t="str">
        <f aca="false">IF(A4410="","",IFERROR(buscarx(A4410&amp;B4410,DATA!$E$3:$E$10000&amp;DATA!$B$3:$B$10000,DATA!$W$3:$W$10000),"No encontrado"))</f>
        <v/>
      </c>
      <c r="E4410" s="22"/>
      <c r="F4410" s="26" t="str">
        <f aca="false">IF(A4410="","",IFERROR(buscarx(A4410&amp;E4410,DATA!$E$3:$E$10000&amp;DATA!$B$3:$B$10000,DATA!$M$3:$M$10000),"Inactivo"))</f>
        <v/>
      </c>
      <c r="G4410" s="28" t="str">
        <f aca="false">IF(A4410="","",IF(AND(C4410&lt;&gt;"No encontrado",F4410&lt;&gt;"Inactivo"),C4410&amp;" → "&amp;F4410,"Sin transición"))</f>
        <v/>
      </c>
      <c r="H4410" s="26" t="str">
        <f aca="false">IF(A4410="","",IF(D4410="GCIA LINEA SERVICIO DIGITALIDAD Y VENTAS","Chats",IF(OR(D4410="GERENCIA INBOUND LÍNEAS SERVICIO Y VENTA",D4410="GERENCIA INBOUND LINEAS ESPECIALIZADAS"),"Llamadas","Otro")))</f>
        <v/>
      </c>
      <c r="I4410" s="26" t="str">
        <f aca="false">IF(A4410="","",IF(C4410="No encontrado","No","Sí"))</f>
        <v/>
      </c>
      <c r="J4410" s="26" t="str">
        <f aca="false">IF(A4410="","",IF(F4410="Inactivo","No","Sí"))</f>
        <v/>
      </c>
      <c r="K4410" s="26" t="str">
        <f aca="false">IF(A4410="","",IF(AND(I4410="Sí",J4410="Sí"),"Sí","No"))</f>
        <v/>
      </c>
    </row>
    <row r="4411" customFormat="false" ht="15" hidden="false" customHeight="false" outlineLevel="0" collapsed="false">
      <c r="A4411" s="22"/>
      <c r="B4411" s="22"/>
      <c r="C4411" s="23" t="str">
        <f aca="false">IF(A4411="","",IFERROR(buscarx(A4411&amp;B4411,DATA!$E$3:$E$10000&amp;DATA!$B$3:$B$10000,DATA!$M$3:$M$10000),"No encontrado"))</f>
        <v/>
      </c>
      <c r="D4411" s="24" t="str">
        <f aca="false">IF(A4411="","",IFERROR(buscarx(A4411&amp;B4411,DATA!$E$3:$E$10000&amp;DATA!$B$3:$B$10000,DATA!$W$3:$W$10000),"No encontrado"))</f>
        <v/>
      </c>
      <c r="E4411" s="22"/>
      <c r="F4411" s="23" t="str">
        <f aca="false">IF(A4411="","",IFERROR(buscarx(A4411&amp;E4411,DATA!$E$3:$E$10000&amp;DATA!$B$3:$B$10000,DATA!$M$3:$M$10000),"Inactivo"))</f>
        <v/>
      </c>
      <c r="G4411" s="25" t="str">
        <f aca="false">IF(A4411="","",IF(AND(C4411&lt;&gt;"No encontrado",F4411&lt;&gt;"Inactivo"),C4411&amp;" → "&amp;F4411,"Sin transición"))</f>
        <v/>
      </c>
      <c r="H4411" s="23" t="str">
        <f aca="false">IF(A4411="","",IF(D4411="GCIA LINEA SERVICIO DIGITALIDAD Y VENTAS","Chats",IF(OR(D4411="GERENCIA INBOUND LÍNEAS SERVICIO Y VENTA",D4411="GERENCIA INBOUND LINEAS ESPECIALIZADAS"),"Llamadas","Otro")))</f>
        <v/>
      </c>
      <c r="I4411" s="23" t="str">
        <f aca="false">IF(A4411="","",IF(C4411="No encontrado","No","Sí"))</f>
        <v/>
      </c>
      <c r="J4411" s="23" t="str">
        <f aca="false">IF(A4411="","",IF(F4411="Inactivo","No","Sí"))</f>
        <v/>
      </c>
      <c r="K4411" s="23" t="str">
        <f aca="false">IF(A4411="","",IF(AND(I4411="Sí",J4411="Sí"),"Sí","No"))</f>
        <v/>
      </c>
    </row>
    <row r="4412" customFormat="false" ht="15" hidden="false" customHeight="false" outlineLevel="0" collapsed="false">
      <c r="A4412" s="22"/>
      <c r="B4412" s="22"/>
      <c r="C4412" s="26" t="str">
        <f aca="false">IF(A4412="","",IFERROR(buscarx(A4412&amp;B4412,DATA!$E$3:$E$10000&amp;DATA!$B$3:$B$10000,DATA!$M$3:$M$10000),"No encontrado"))</f>
        <v/>
      </c>
      <c r="D4412" s="27" t="str">
        <f aca="false">IF(A4412="","",IFERROR(buscarx(A4412&amp;B4412,DATA!$E$3:$E$10000&amp;DATA!$B$3:$B$10000,DATA!$W$3:$W$10000),"No encontrado"))</f>
        <v/>
      </c>
      <c r="E4412" s="22"/>
      <c r="F4412" s="26" t="str">
        <f aca="false">IF(A4412="","",IFERROR(buscarx(A4412&amp;E4412,DATA!$E$3:$E$10000&amp;DATA!$B$3:$B$10000,DATA!$M$3:$M$10000),"Inactivo"))</f>
        <v/>
      </c>
      <c r="G4412" s="28" t="str">
        <f aca="false">IF(A4412="","",IF(AND(C4412&lt;&gt;"No encontrado",F4412&lt;&gt;"Inactivo"),C4412&amp;" → "&amp;F4412,"Sin transición"))</f>
        <v/>
      </c>
      <c r="H4412" s="26" t="str">
        <f aca="false">IF(A4412="","",IF(D4412="GCIA LINEA SERVICIO DIGITALIDAD Y VENTAS","Chats",IF(OR(D4412="GERENCIA INBOUND LÍNEAS SERVICIO Y VENTA",D4412="GERENCIA INBOUND LINEAS ESPECIALIZADAS"),"Llamadas","Otro")))</f>
        <v/>
      </c>
      <c r="I4412" s="26" t="str">
        <f aca="false">IF(A4412="","",IF(C4412="No encontrado","No","Sí"))</f>
        <v/>
      </c>
      <c r="J4412" s="26" t="str">
        <f aca="false">IF(A4412="","",IF(F4412="Inactivo","No","Sí"))</f>
        <v/>
      </c>
      <c r="K4412" s="26" t="str">
        <f aca="false">IF(A4412="","",IF(AND(I4412="Sí",J4412="Sí"),"Sí","No"))</f>
        <v/>
      </c>
    </row>
    <row r="4413" customFormat="false" ht="15" hidden="false" customHeight="false" outlineLevel="0" collapsed="false">
      <c r="A4413" s="22"/>
      <c r="B4413" s="22"/>
      <c r="C4413" s="23" t="str">
        <f aca="false">IF(A4413="","",IFERROR(buscarx(A4413&amp;B4413,DATA!$E$3:$E$10000&amp;DATA!$B$3:$B$10000,DATA!$M$3:$M$10000),"No encontrado"))</f>
        <v/>
      </c>
      <c r="D4413" s="24" t="str">
        <f aca="false">IF(A4413="","",IFERROR(buscarx(A4413&amp;B4413,DATA!$E$3:$E$10000&amp;DATA!$B$3:$B$10000,DATA!$W$3:$W$10000),"No encontrado"))</f>
        <v/>
      </c>
      <c r="E4413" s="22"/>
      <c r="F4413" s="23" t="str">
        <f aca="false">IF(A4413="","",IFERROR(buscarx(A4413&amp;E4413,DATA!$E$3:$E$10000&amp;DATA!$B$3:$B$10000,DATA!$M$3:$M$10000),"Inactivo"))</f>
        <v/>
      </c>
      <c r="G4413" s="25" t="str">
        <f aca="false">IF(A4413="","",IF(AND(C4413&lt;&gt;"No encontrado",F4413&lt;&gt;"Inactivo"),C4413&amp;" → "&amp;F4413,"Sin transición"))</f>
        <v/>
      </c>
      <c r="H4413" s="23" t="str">
        <f aca="false">IF(A4413="","",IF(D4413="GCIA LINEA SERVICIO DIGITALIDAD Y VENTAS","Chats",IF(OR(D4413="GERENCIA INBOUND LÍNEAS SERVICIO Y VENTA",D4413="GERENCIA INBOUND LINEAS ESPECIALIZADAS"),"Llamadas","Otro")))</f>
        <v/>
      </c>
      <c r="I4413" s="23" t="str">
        <f aca="false">IF(A4413="","",IF(C4413="No encontrado","No","Sí"))</f>
        <v/>
      </c>
      <c r="J4413" s="23" t="str">
        <f aca="false">IF(A4413="","",IF(F4413="Inactivo","No","Sí"))</f>
        <v/>
      </c>
      <c r="K4413" s="23" t="str">
        <f aca="false">IF(A4413="","",IF(AND(I4413="Sí",J4413="Sí"),"Sí","No"))</f>
        <v/>
      </c>
    </row>
    <row r="4414" customFormat="false" ht="15" hidden="false" customHeight="false" outlineLevel="0" collapsed="false">
      <c r="A4414" s="22"/>
      <c r="B4414" s="22"/>
      <c r="C4414" s="26" t="str">
        <f aca="false">IF(A4414="","",IFERROR(buscarx(A4414&amp;B4414,DATA!$E$3:$E$10000&amp;DATA!$B$3:$B$10000,DATA!$M$3:$M$10000),"No encontrado"))</f>
        <v/>
      </c>
      <c r="D4414" s="27" t="str">
        <f aca="false">IF(A4414="","",IFERROR(buscarx(A4414&amp;B4414,DATA!$E$3:$E$10000&amp;DATA!$B$3:$B$10000,DATA!$W$3:$W$10000),"No encontrado"))</f>
        <v/>
      </c>
      <c r="E4414" s="22"/>
      <c r="F4414" s="26" t="str">
        <f aca="false">IF(A4414="","",IFERROR(buscarx(A4414&amp;E4414,DATA!$E$3:$E$10000&amp;DATA!$B$3:$B$10000,DATA!$M$3:$M$10000),"Inactivo"))</f>
        <v/>
      </c>
      <c r="G4414" s="28" t="str">
        <f aca="false">IF(A4414="","",IF(AND(C4414&lt;&gt;"No encontrado",F4414&lt;&gt;"Inactivo"),C4414&amp;" → "&amp;F4414,"Sin transición"))</f>
        <v/>
      </c>
      <c r="H4414" s="26" t="str">
        <f aca="false">IF(A4414="","",IF(D4414="GCIA LINEA SERVICIO DIGITALIDAD Y VENTAS","Chats",IF(OR(D4414="GERENCIA INBOUND LÍNEAS SERVICIO Y VENTA",D4414="GERENCIA INBOUND LINEAS ESPECIALIZADAS"),"Llamadas","Otro")))</f>
        <v/>
      </c>
      <c r="I4414" s="26" t="str">
        <f aca="false">IF(A4414="","",IF(C4414="No encontrado","No","Sí"))</f>
        <v/>
      </c>
      <c r="J4414" s="26" t="str">
        <f aca="false">IF(A4414="","",IF(F4414="Inactivo","No","Sí"))</f>
        <v/>
      </c>
      <c r="K4414" s="26" t="str">
        <f aca="false">IF(A4414="","",IF(AND(I4414="Sí",J4414="Sí"),"Sí","No"))</f>
        <v/>
      </c>
    </row>
    <row r="4415" customFormat="false" ht="15" hidden="false" customHeight="false" outlineLevel="0" collapsed="false">
      <c r="A4415" s="22"/>
      <c r="B4415" s="22"/>
      <c r="C4415" s="23" t="str">
        <f aca="false">IF(A4415="","",IFERROR(buscarx(A4415&amp;B4415,DATA!$E$3:$E$10000&amp;DATA!$B$3:$B$10000,DATA!$M$3:$M$10000),"No encontrado"))</f>
        <v/>
      </c>
      <c r="D4415" s="24" t="str">
        <f aca="false">IF(A4415="","",IFERROR(buscarx(A4415&amp;B4415,DATA!$E$3:$E$10000&amp;DATA!$B$3:$B$10000,DATA!$W$3:$W$10000),"No encontrado"))</f>
        <v/>
      </c>
      <c r="E4415" s="22"/>
      <c r="F4415" s="23" t="str">
        <f aca="false">IF(A4415="","",IFERROR(buscarx(A4415&amp;E4415,DATA!$E$3:$E$10000&amp;DATA!$B$3:$B$10000,DATA!$M$3:$M$10000),"Inactivo"))</f>
        <v/>
      </c>
      <c r="G4415" s="25" t="str">
        <f aca="false">IF(A4415="","",IF(AND(C4415&lt;&gt;"No encontrado",F4415&lt;&gt;"Inactivo"),C4415&amp;" → "&amp;F4415,"Sin transición"))</f>
        <v/>
      </c>
      <c r="H4415" s="23" t="str">
        <f aca="false">IF(A4415="","",IF(D4415="GCIA LINEA SERVICIO DIGITALIDAD Y VENTAS","Chats",IF(OR(D4415="GERENCIA INBOUND LÍNEAS SERVICIO Y VENTA",D4415="GERENCIA INBOUND LINEAS ESPECIALIZADAS"),"Llamadas","Otro")))</f>
        <v/>
      </c>
      <c r="I4415" s="23" t="str">
        <f aca="false">IF(A4415="","",IF(C4415="No encontrado","No","Sí"))</f>
        <v/>
      </c>
      <c r="J4415" s="23" t="str">
        <f aca="false">IF(A4415="","",IF(F4415="Inactivo","No","Sí"))</f>
        <v/>
      </c>
      <c r="K4415" s="23" t="str">
        <f aca="false">IF(A4415="","",IF(AND(I4415="Sí",J4415="Sí"),"Sí","No"))</f>
        <v/>
      </c>
    </row>
    <row r="4416" customFormat="false" ht="15" hidden="false" customHeight="false" outlineLevel="0" collapsed="false">
      <c r="A4416" s="22"/>
      <c r="B4416" s="22"/>
      <c r="C4416" s="26" t="str">
        <f aca="false">IF(A4416="","",IFERROR(buscarx(A4416&amp;B4416,DATA!$E$3:$E$10000&amp;DATA!$B$3:$B$10000,DATA!$M$3:$M$10000),"No encontrado"))</f>
        <v/>
      </c>
      <c r="D4416" s="27" t="str">
        <f aca="false">IF(A4416="","",IFERROR(buscarx(A4416&amp;B4416,DATA!$E$3:$E$10000&amp;DATA!$B$3:$B$10000,DATA!$W$3:$W$10000),"No encontrado"))</f>
        <v/>
      </c>
      <c r="E4416" s="22"/>
      <c r="F4416" s="26" t="str">
        <f aca="false">IF(A4416="","",IFERROR(buscarx(A4416&amp;E4416,DATA!$E$3:$E$10000&amp;DATA!$B$3:$B$10000,DATA!$M$3:$M$10000),"Inactivo"))</f>
        <v/>
      </c>
      <c r="G4416" s="28" t="str">
        <f aca="false">IF(A4416="","",IF(AND(C4416&lt;&gt;"No encontrado",F4416&lt;&gt;"Inactivo"),C4416&amp;" → "&amp;F4416,"Sin transición"))</f>
        <v/>
      </c>
      <c r="H4416" s="26" t="str">
        <f aca="false">IF(A4416="","",IF(D4416="GCIA LINEA SERVICIO DIGITALIDAD Y VENTAS","Chats",IF(OR(D4416="GERENCIA INBOUND LÍNEAS SERVICIO Y VENTA",D4416="GERENCIA INBOUND LINEAS ESPECIALIZADAS"),"Llamadas","Otro")))</f>
        <v/>
      </c>
      <c r="I4416" s="26" t="str">
        <f aca="false">IF(A4416="","",IF(C4416="No encontrado","No","Sí"))</f>
        <v/>
      </c>
      <c r="J4416" s="26" t="str">
        <f aca="false">IF(A4416="","",IF(F4416="Inactivo","No","Sí"))</f>
        <v/>
      </c>
      <c r="K4416" s="26" t="str">
        <f aca="false">IF(A4416="","",IF(AND(I4416="Sí",J4416="Sí"),"Sí","No"))</f>
        <v/>
      </c>
    </row>
    <row r="4417" customFormat="false" ht="15" hidden="false" customHeight="false" outlineLevel="0" collapsed="false">
      <c r="A4417" s="22"/>
      <c r="B4417" s="22"/>
      <c r="C4417" s="23" t="str">
        <f aca="false">IF(A4417="","",IFERROR(buscarx(A4417&amp;B4417,DATA!$E$3:$E$10000&amp;DATA!$B$3:$B$10000,DATA!$M$3:$M$10000),"No encontrado"))</f>
        <v/>
      </c>
      <c r="D4417" s="24" t="str">
        <f aca="false">IF(A4417="","",IFERROR(buscarx(A4417&amp;B4417,DATA!$E$3:$E$10000&amp;DATA!$B$3:$B$10000,DATA!$W$3:$W$10000),"No encontrado"))</f>
        <v/>
      </c>
      <c r="E4417" s="22"/>
      <c r="F4417" s="23" t="str">
        <f aca="false">IF(A4417="","",IFERROR(buscarx(A4417&amp;E4417,DATA!$E$3:$E$10000&amp;DATA!$B$3:$B$10000,DATA!$M$3:$M$10000),"Inactivo"))</f>
        <v/>
      </c>
      <c r="G4417" s="25" t="str">
        <f aca="false">IF(A4417="","",IF(AND(C4417&lt;&gt;"No encontrado",F4417&lt;&gt;"Inactivo"),C4417&amp;" → "&amp;F4417,"Sin transición"))</f>
        <v/>
      </c>
      <c r="H4417" s="23" t="str">
        <f aca="false">IF(A4417="","",IF(D4417="GCIA LINEA SERVICIO DIGITALIDAD Y VENTAS","Chats",IF(OR(D4417="GERENCIA INBOUND LÍNEAS SERVICIO Y VENTA",D4417="GERENCIA INBOUND LINEAS ESPECIALIZADAS"),"Llamadas","Otro")))</f>
        <v/>
      </c>
      <c r="I4417" s="23" t="str">
        <f aca="false">IF(A4417="","",IF(C4417="No encontrado","No","Sí"))</f>
        <v/>
      </c>
      <c r="J4417" s="23" t="str">
        <f aca="false">IF(A4417="","",IF(F4417="Inactivo","No","Sí"))</f>
        <v/>
      </c>
      <c r="K4417" s="23" t="str">
        <f aca="false">IF(A4417="","",IF(AND(I4417="Sí",J4417="Sí"),"Sí","No"))</f>
        <v/>
      </c>
    </row>
    <row r="4418" customFormat="false" ht="15" hidden="false" customHeight="false" outlineLevel="0" collapsed="false">
      <c r="A4418" s="22"/>
      <c r="B4418" s="22"/>
      <c r="C4418" s="26" t="str">
        <f aca="false">IF(A4418="","",IFERROR(buscarx(A4418&amp;B4418,DATA!$E$3:$E$10000&amp;DATA!$B$3:$B$10000,DATA!$M$3:$M$10000),"No encontrado"))</f>
        <v/>
      </c>
      <c r="D4418" s="27" t="str">
        <f aca="false">IF(A4418="","",IFERROR(buscarx(A4418&amp;B4418,DATA!$E$3:$E$10000&amp;DATA!$B$3:$B$10000,DATA!$W$3:$W$10000),"No encontrado"))</f>
        <v/>
      </c>
      <c r="E4418" s="22"/>
      <c r="F4418" s="26" t="str">
        <f aca="false">IF(A4418="","",IFERROR(buscarx(A4418&amp;E4418,DATA!$E$3:$E$10000&amp;DATA!$B$3:$B$10000,DATA!$M$3:$M$10000),"Inactivo"))</f>
        <v/>
      </c>
      <c r="G4418" s="28" t="str">
        <f aca="false">IF(A4418="","",IF(AND(C4418&lt;&gt;"No encontrado",F4418&lt;&gt;"Inactivo"),C4418&amp;" → "&amp;F4418,"Sin transición"))</f>
        <v/>
      </c>
      <c r="H4418" s="26" t="str">
        <f aca="false">IF(A4418="","",IF(D4418="GCIA LINEA SERVICIO DIGITALIDAD Y VENTAS","Chats",IF(OR(D4418="GERENCIA INBOUND LÍNEAS SERVICIO Y VENTA",D4418="GERENCIA INBOUND LINEAS ESPECIALIZADAS"),"Llamadas","Otro")))</f>
        <v/>
      </c>
      <c r="I4418" s="26" t="str">
        <f aca="false">IF(A4418="","",IF(C4418="No encontrado","No","Sí"))</f>
        <v/>
      </c>
      <c r="J4418" s="26" t="str">
        <f aca="false">IF(A4418="","",IF(F4418="Inactivo","No","Sí"))</f>
        <v/>
      </c>
      <c r="K4418" s="26" t="str">
        <f aca="false">IF(A4418="","",IF(AND(I4418="Sí",J4418="Sí"),"Sí","No"))</f>
        <v/>
      </c>
    </row>
    <row r="4419" customFormat="false" ht="15" hidden="false" customHeight="false" outlineLevel="0" collapsed="false">
      <c r="A4419" s="22"/>
      <c r="B4419" s="22"/>
      <c r="C4419" s="23" t="str">
        <f aca="false">IF(A4419="","",IFERROR(buscarx(A4419&amp;B4419,DATA!$E$3:$E$10000&amp;DATA!$B$3:$B$10000,DATA!$M$3:$M$10000),"No encontrado"))</f>
        <v/>
      </c>
      <c r="D4419" s="24" t="str">
        <f aca="false">IF(A4419="","",IFERROR(buscarx(A4419&amp;B4419,DATA!$E$3:$E$10000&amp;DATA!$B$3:$B$10000,DATA!$W$3:$W$10000),"No encontrado"))</f>
        <v/>
      </c>
      <c r="E4419" s="22"/>
      <c r="F4419" s="23" t="str">
        <f aca="false">IF(A4419="","",IFERROR(buscarx(A4419&amp;E4419,DATA!$E$3:$E$10000&amp;DATA!$B$3:$B$10000,DATA!$M$3:$M$10000),"Inactivo"))</f>
        <v/>
      </c>
      <c r="G4419" s="25" t="str">
        <f aca="false">IF(A4419="","",IF(AND(C4419&lt;&gt;"No encontrado",F4419&lt;&gt;"Inactivo"),C4419&amp;" → "&amp;F4419,"Sin transición"))</f>
        <v/>
      </c>
      <c r="H4419" s="23" t="str">
        <f aca="false">IF(A4419="","",IF(D4419="GCIA LINEA SERVICIO DIGITALIDAD Y VENTAS","Chats",IF(OR(D4419="GERENCIA INBOUND LÍNEAS SERVICIO Y VENTA",D4419="GERENCIA INBOUND LINEAS ESPECIALIZADAS"),"Llamadas","Otro")))</f>
        <v/>
      </c>
      <c r="I4419" s="23" t="str">
        <f aca="false">IF(A4419="","",IF(C4419="No encontrado","No","Sí"))</f>
        <v/>
      </c>
      <c r="J4419" s="23" t="str">
        <f aca="false">IF(A4419="","",IF(F4419="Inactivo","No","Sí"))</f>
        <v/>
      </c>
      <c r="K4419" s="23" t="str">
        <f aca="false">IF(A4419="","",IF(AND(I4419="Sí",J4419="Sí"),"Sí","No"))</f>
        <v/>
      </c>
    </row>
    <row r="4420" customFormat="false" ht="15" hidden="false" customHeight="false" outlineLevel="0" collapsed="false">
      <c r="A4420" s="22"/>
      <c r="B4420" s="22"/>
      <c r="C4420" s="26" t="str">
        <f aca="false">IF(A4420="","",IFERROR(buscarx(A4420&amp;B4420,DATA!$E$3:$E$10000&amp;DATA!$B$3:$B$10000,DATA!$M$3:$M$10000),"No encontrado"))</f>
        <v/>
      </c>
      <c r="D4420" s="27" t="str">
        <f aca="false">IF(A4420="","",IFERROR(buscarx(A4420&amp;B4420,DATA!$E$3:$E$10000&amp;DATA!$B$3:$B$10000,DATA!$W$3:$W$10000),"No encontrado"))</f>
        <v/>
      </c>
      <c r="E4420" s="22"/>
      <c r="F4420" s="26" t="str">
        <f aca="false">IF(A4420="","",IFERROR(buscarx(A4420&amp;E4420,DATA!$E$3:$E$10000&amp;DATA!$B$3:$B$10000,DATA!$M$3:$M$10000),"Inactivo"))</f>
        <v/>
      </c>
      <c r="G4420" s="28" t="str">
        <f aca="false">IF(A4420="","",IF(AND(C4420&lt;&gt;"No encontrado",F4420&lt;&gt;"Inactivo"),C4420&amp;" → "&amp;F4420,"Sin transición"))</f>
        <v/>
      </c>
      <c r="H4420" s="26" t="str">
        <f aca="false">IF(A4420="","",IF(D4420="GCIA LINEA SERVICIO DIGITALIDAD Y VENTAS","Chats",IF(OR(D4420="GERENCIA INBOUND LÍNEAS SERVICIO Y VENTA",D4420="GERENCIA INBOUND LINEAS ESPECIALIZADAS"),"Llamadas","Otro")))</f>
        <v/>
      </c>
      <c r="I4420" s="26" t="str">
        <f aca="false">IF(A4420="","",IF(C4420="No encontrado","No","Sí"))</f>
        <v/>
      </c>
      <c r="J4420" s="26" t="str">
        <f aca="false">IF(A4420="","",IF(F4420="Inactivo","No","Sí"))</f>
        <v/>
      </c>
      <c r="K4420" s="26" t="str">
        <f aca="false">IF(A4420="","",IF(AND(I4420="Sí",J4420="Sí"),"Sí","No"))</f>
        <v/>
      </c>
    </row>
    <row r="4421" customFormat="false" ht="15" hidden="false" customHeight="false" outlineLevel="0" collapsed="false">
      <c r="A4421" s="22"/>
      <c r="B4421" s="22"/>
      <c r="C4421" s="23" t="str">
        <f aca="false">IF(A4421="","",IFERROR(buscarx(A4421&amp;B4421,DATA!$E$3:$E$10000&amp;DATA!$B$3:$B$10000,DATA!$M$3:$M$10000),"No encontrado"))</f>
        <v/>
      </c>
      <c r="D4421" s="24" t="str">
        <f aca="false">IF(A4421="","",IFERROR(buscarx(A4421&amp;B4421,DATA!$E$3:$E$10000&amp;DATA!$B$3:$B$10000,DATA!$W$3:$W$10000),"No encontrado"))</f>
        <v/>
      </c>
      <c r="E4421" s="22"/>
      <c r="F4421" s="23" t="str">
        <f aca="false">IF(A4421="","",IFERROR(buscarx(A4421&amp;E4421,DATA!$E$3:$E$10000&amp;DATA!$B$3:$B$10000,DATA!$M$3:$M$10000),"Inactivo"))</f>
        <v/>
      </c>
      <c r="G4421" s="25" t="str">
        <f aca="false">IF(A4421="","",IF(AND(C4421&lt;&gt;"No encontrado",F4421&lt;&gt;"Inactivo"),C4421&amp;" → "&amp;F4421,"Sin transición"))</f>
        <v/>
      </c>
      <c r="H4421" s="23" t="str">
        <f aca="false">IF(A4421="","",IF(D4421="GCIA LINEA SERVICIO DIGITALIDAD Y VENTAS","Chats",IF(OR(D4421="GERENCIA INBOUND LÍNEAS SERVICIO Y VENTA",D4421="GERENCIA INBOUND LINEAS ESPECIALIZADAS"),"Llamadas","Otro")))</f>
        <v/>
      </c>
      <c r="I4421" s="23" t="str">
        <f aca="false">IF(A4421="","",IF(C4421="No encontrado","No","Sí"))</f>
        <v/>
      </c>
      <c r="J4421" s="23" t="str">
        <f aca="false">IF(A4421="","",IF(F4421="Inactivo","No","Sí"))</f>
        <v/>
      </c>
      <c r="K4421" s="23" t="str">
        <f aca="false">IF(A4421="","",IF(AND(I4421="Sí",J4421="Sí"),"Sí","No"))</f>
        <v/>
      </c>
    </row>
    <row r="4422" customFormat="false" ht="15" hidden="false" customHeight="false" outlineLevel="0" collapsed="false">
      <c r="A4422" s="22"/>
      <c r="B4422" s="22"/>
      <c r="C4422" s="26" t="str">
        <f aca="false">IF(A4422="","",IFERROR(buscarx(A4422&amp;B4422,DATA!$E$3:$E$10000&amp;DATA!$B$3:$B$10000,DATA!$M$3:$M$10000),"No encontrado"))</f>
        <v/>
      </c>
      <c r="D4422" s="27" t="str">
        <f aca="false">IF(A4422="","",IFERROR(buscarx(A4422&amp;B4422,DATA!$E$3:$E$10000&amp;DATA!$B$3:$B$10000,DATA!$W$3:$W$10000),"No encontrado"))</f>
        <v/>
      </c>
      <c r="E4422" s="22"/>
      <c r="F4422" s="26" t="str">
        <f aca="false">IF(A4422="","",IFERROR(buscarx(A4422&amp;E4422,DATA!$E$3:$E$10000&amp;DATA!$B$3:$B$10000,DATA!$M$3:$M$10000),"Inactivo"))</f>
        <v/>
      </c>
      <c r="G4422" s="28" t="str">
        <f aca="false">IF(A4422="","",IF(AND(C4422&lt;&gt;"No encontrado",F4422&lt;&gt;"Inactivo"),C4422&amp;" → "&amp;F4422,"Sin transición"))</f>
        <v/>
      </c>
      <c r="H4422" s="26" t="str">
        <f aca="false">IF(A4422="","",IF(D4422="GCIA LINEA SERVICIO DIGITALIDAD Y VENTAS","Chats",IF(OR(D4422="GERENCIA INBOUND LÍNEAS SERVICIO Y VENTA",D4422="GERENCIA INBOUND LINEAS ESPECIALIZADAS"),"Llamadas","Otro")))</f>
        <v/>
      </c>
      <c r="I4422" s="26" t="str">
        <f aca="false">IF(A4422="","",IF(C4422="No encontrado","No","Sí"))</f>
        <v/>
      </c>
      <c r="J4422" s="26" t="str">
        <f aca="false">IF(A4422="","",IF(F4422="Inactivo","No","Sí"))</f>
        <v/>
      </c>
      <c r="K4422" s="26" t="str">
        <f aca="false">IF(A4422="","",IF(AND(I4422="Sí",J4422="Sí"),"Sí","No"))</f>
        <v/>
      </c>
    </row>
    <row r="4423" customFormat="false" ht="15" hidden="false" customHeight="false" outlineLevel="0" collapsed="false">
      <c r="A4423" s="22"/>
      <c r="B4423" s="22"/>
      <c r="C4423" s="23" t="str">
        <f aca="false">IF(A4423="","",IFERROR(buscarx(A4423&amp;B4423,DATA!$E$3:$E$10000&amp;DATA!$B$3:$B$10000,DATA!$M$3:$M$10000),"No encontrado"))</f>
        <v/>
      </c>
      <c r="D4423" s="24" t="str">
        <f aca="false">IF(A4423="","",IFERROR(buscarx(A4423&amp;B4423,DATA!$E$3:$E$10000&amp;DATA!$B$3:$B$10000,DATA!$W$3:$W$10000),"No encontrado"))</f>
        <v/>
      </c>
      <c r="E4423" s="22"/>
      <c r="F4423" s="23" t="str">
        <f aca="false">IF(A4423="","",IFERROR(buscarx(A4423&amp;E4423,DATA!$E$3:$E$10000&amp;DATA!$B$3:$B$10000,DATA!$M$3:$M$10000),"Inactivo"))</f>
        <v/>
      </c>
      <c r="G4423" s="25" t="str">
        <f aca="false">IF(A4423="","",IF(AND(C4423&lt;&gt;"No encontrado",F4423&lt;&gt;"Inactivo"),C4423&amp;" → "&amp;F4423,"Sin transición"))</f>
        <v/>
      </c>
      <c r="H4423" s="23" t="str">
        <f aca="false">IF(A4423="","",IF(D4423="GCIA LINEA SERVICIO DIGITALIDAD Y VENTAS","Chats",IF(OR(D4423="GERENCIA INBOUND LÍNEAS SERVICIO Y VENTA",D4423="GERENCIA INBOUND LINEAS ESPECIALIZADAS"),"Llamadas","Otro")))</f>
        <v/>
      </c>
      <c r="I4423" s="23" t="str">
        <f aca="false">IF(A4423="","",IF(C4423="No encontrado","No","Sí"))</f>
        <v/>
      </c>
      <c r="J4423" s="23" t="str">
        <f aca="false">IF(A4423="","",IF(F4423="Inactivo","No","Sí"))</f>
        <v/>
      </c>
      <c r="K4423" s="23" t="str">
        <f aca="false">IF(A4423="","",IF(AND(I4423="Sí",J4423="Sí"),"Sí","No"))</f>
        <v/>
      </c>
    </row>
    <row r="4424" customFormat="false" ht="15" hidden="false" customHeight="false" outlineLevel="0" collapsed="false">
      <c r="A4424" s="22"/>
      <c r="B4424" s="22"/>
      <c r="C4424" s="26" t="str">
        <f aca="false">IF(A4424="","",IFERROR(buscarx(A4424&amp;B4424,DATA!$E$3:$E$10000&amp;DATA!$B$3:$B$10000,DATA!$M$3:$M$10000),"No encontrado"))</f>
        <v/>
      </c>
      <c r="D4424" s="27" t="str">
        <f aca="false">IF(A4424="","",IFERROR(buscarx(A4424&amp;B4424,DATA!$E$3:$E$10000&amp;DATA!$B$3:$B$10000,DATA!$W$3:$W$10000),"No encontrado"))</f>
        <v/>
      </c>
      <c r="E4424" s="22"/>
      <c r="F4424" s="26" t="str">
        <f aca="false">IF(A4424="","",IFERROR(buscarx(A4424&amp;E4424,DATA!$E$3:$E$10000&amp;DATA!$B$3:$B$10000,DATA!$M$3:$M$10000),"Inactivo"))</f>
        <v/>
      </c>
      <c r="G4424" s="28" t="str">
        <f aca="false">IF(A4424="","",IF(AND(C4424&lt;&gt;"No encontrado",F4424&lt;&gt;"Inactivo"),C4424&amp;" → "&amp;F4424,"Sin transición"))</f>
        <v/>
      </c>
      <c r="H4424" s="26" t="str">
        <f aca="false">IF(A4424="","",IF(D4424="GCIA LINEA SERVICIO DIGITALIDAD Y VENTAS","Chats",IF(OR(D4424="GERENCIA INBOUND LÍNEAS SERVICIO Y VENTA",D4424="GERENCIA INBOUND LINEAS ESPECIALIZADAS"),"Llamadas","Otro")))</f>
        <v/>
      </c>
      <c r="I4424" s="26" t="str">
        <f aca="false">IF(A4424="","",IF(C4424="No encontrado","No","Sí"))</f>
        <v/>
      </c>
      <c r="J4424" s="26" t="str">
        <f aca="false">IF(A4424="","",IF(F4424="Inactivo","No","Sí"))</f>
        <v/>
      </c>
      <c r="K4424" s="26" t="str">
        <f aca="false">IF(A4424="","",IF(AND(I4424="Sí",J4424="Sí"),"Sí","No"))</f>
        <v/>
      </c>
    </row>
    <row r="4425" customFormat="false" ht="15" hidden="false" customHeight="false" outlineLevel="0" collapsed="false">
      <c r="A4425" s="22"/>
      <c r="B4425" s="22"/>
      <c r="C4425" s="23" t="str">
        <f aca="false">IF(A4425="","",IFERROR(buscarx(A4425&amp;B4425,DATA!$E$3:$E$10000&amp;DATA!$B$3:$B$10000,DATA!$M$3:$M$10000),"No encontrado"))</f>
        <v/>
      </c>
      <c r="D4425" s="24" t="str">
        <f aca="false">IF(A4425="","",IFERROR(buscarx(A4425&amp;B4425,DATA!$E$3:$E$10000&amp;DATA!$B$3:$B$10000,DATA!$W$3:$W$10000),"No encontrado"))</f>
        <v/>
      </c>
      <c r="E4425" s="22"/>
      <c r="F4425" s="23" t="str">
        <f aca="false">IF(A4425="","",IFERROR(buscarx(A4425&amp;E4425,DATA!$E$3:$E$10000&amp;DATA!$B$3:$B$10000,DATA!$M$3:$M$10000),"Inactivo"))</f>
        <v/>
      </c>
      <c r="G4425" s="25" t="str">
        <f aca="false">IF(A4425="","",IF(AND(C4425&lt;&gt;"No encontrado",F4425&lt;&gt;"Inactivo"),C4425&amp;" → "&amp;F4425,"Sin transición"))</f>
        <v/>
      </c>
      <c r="H4425" s="23" t="str">
        <f aca="false">IF(A4425="","",IF(D4425="GCIA LINEA SERVICIO DIGITALIDAD Y VENTAS","Chats",IF(OR(D4425="GERENCIA INBOUND LÍNEAS SERVICIO Y VENTA",D4425="GERENCIA INBOUND LINEAS ESPECIALIZADAS"),"Llamadas","Otro")))</f>
        <v/>
      </c>
      <c r="I4425" s="23" t="str">
        <f aca="false">IF(A4425="","",IF(C4425="No encontrado","No","Sí"))</f>
        <v/>
      </c>
      <c r="J4425" s="23" t="str">
        <f aca="false">IF(A4425="","",IF(F4425="Inactivo","No","Sí"))</f>
        <v/>
      </c>
      <c r="K4425" s="23" t="str">
        <f aca="false">IF(A4425="","",IF(AND(I4425="Sí",J4425="Sí"),"Sí","No"))</f>
        <v/>
      </c>
    </row>
    <row r="4426" customFormat="false" ht="15" hidden="false" customHeight="false" outlineLevel="0" collapsed="false">
      <c r="A4426" s="22"/>
      <c r="B4426" s="22"/>
      <c r="C4426" s="26" t="str">
        <f aca="false">IF(A4426="","",IFERROR(buscarx(A4426&amp;B4426,DATA!$E$3:$E$10000&amp;DATA!$B$3:$B$10000,DATA!$M$3:$M$10000),"No encontrado"))</f>
        <v/>
      </c>
      <c r="D4426" s="27" t="str">
        <f aca="false">IF(A4426="","",IFERROR(buscarx(A4426&amp;B4426,DATA!$E$3:$E$10000&amp;DATA!$B$3:$B$10000,DATA!$W$3:$W$10000),"No encontrado"))</f>
        <v/>
      </c>
      <c r="E4426" s="22"/>
      <c r="F4426" s="26" t="str">
        <f aca="false">IF(A4426="","",IFERROR(buscarx(A4426&amp;E4426,DATA!$E$3:$E$10000&amp;DATA!$B$3:$B$10000,DATA!$M$3:$M$10000),"Inactivo"))</f>
        <v/>
      </c>
      <c r="G4426" s="28" t="str">
        <f aca="false">IF(A4426="","",IF(AND(C4426&lt;&gt;"No encontrado",F4426&lt;&gt;"Inactivo"),C4426&amp;" → "&amp;F4426,"Sin transición"))</f>
        <v/>
      </c>
      <c r="H4426" s="26" t="str">
        <f aca="false">IF(A4426="","",IF(D4426="GCIA LINEA SERVICIO DIGITALIDAD Y VENTAS","Chats",IF(OR(D4426="GERENCIA INBOUND LÍNEAS SERVICIO Y VENTA",D4426="GERENCIA INBOUND LINEAS ESPECIALIZADAS"),"Llamadas","Otro")))</f>
        <v/>
      </c>
      <c r="I4426" s="26" t="str">
        <f aca="false">IF(A4426="","",IF(C4426="No encontrado","No","Sí"))</f>
        <v/>
      </c>
      <c r="J4426" s="26" t="str">
        <f aca="false">IF(A4426="","",IF(F4426="Inactivo","No","Sí"))</f>
        <v/>
      </c>
      <c r="K4426" s="26" t="str">
        <f aca="false">IF(A4426="","",IF(AND(I4426="Sí",J4426="Sí"),"Sí","No"))</f>
        <v/>
      </c>
    </row>
    <row r="4427" customFormat="false" ht="15" hidden="false" customHeight="false" outlineLevel="0" collapsed="false">
      <c r="A4427" s="22"/>
      <c r="B4427" s="22"/>
      <c r="C4427" s="23" t="str">
        <f aca="false">IF(A4427="","",IFERROR(buscarx(A4427&amp;B4427,DATA!$E$3:$E$10000&amp;DATA!$B$3:$B$10000,DATA!$M$3:$M$10000),"No encontrado"))</f>
        <v/>
      </c>
      <c r="D4427" s="24" t="str">
        <f aca="false">IF(A4427="","",IFERROR(buscarx(A4427&amp;B4427,DATA!$E$3:$E$10000&amp;DATA!$B$3:$B$10000,DATA!$W$3:$W$10000),"No encontrado"))</f>
        <v/>
      </c>
      <c r="E4427" s="22"/>
      <c r="F4427" s="23" t="str">
        <f aca="false">IF(A4427="","",IFERROR(buscarx(A4427&amp;E4427,DATA!$E$3:$E$10000&amp;DATA!$B$3:$B$10000,DATA!$M$3:$M$10000),"Inactivo"))</f>
        <v/>
      </c>
      <c r="G4427" s="25" t="str">
        <f aca="false">IF(A4427="","",IF(AND(C4427&lt;&gt;"No encontrado",F4427&lt;&gt;"Inactivo"),C4427&amp;" → "&amp;F4427,"Sin transición"))</f>
        <v/>
      </c>
      <c r="H4427" s="23" t="str">
        <f aca="false">IF(A4427="","",IF(D4427="GCIA LINEA SERVICIO DIGITALIDAD Y VENTAS","Chats",IF(OR(D4427="GERENCIA INBOUND LÍNEAS SERVICIO Y VENTA",D4427="GERENCIA INBOUND LINEAS ESPECIALIZADAS"),"Llamadas","Otro")))</f>
        <v/>
      </c>
      <c r="I4427" s="23" t="str">
        <f aca="false">IF(A4427="","",IF(C4427="No encontrado","No","Sí"))</f>
        <v/>
      </c>
      <c r="J4427" s="23" t="str">
        <f aca="false">IF(A4427="","",IF(F4427="Inactivo","No","Sí"))</f>
        <v/>
      </c>
      <c r="K4427" s="23" t="str">
        <f aca="false">IF(A4427="","",IF(AND(I4427="Sí",J4427="Sí"),"Sí","No"))</f>
        <v/>
      </c>
    </row>
    <row r="4428" customFormat="false" ht="15" hidden="false" customHeight="false" outlineLevel="0" collapsed="false">
      <c r="A4428" s="22"/>
      <c r="B4428" s="22"/>
      <c r="C4428" s="26" t="str">
        <f aca="false">IF(A4428="","",IFERROR(buscarx(A4428&amp;B4428,DATA!$E$3:$E$10000&amp;DATA!$B$3:$B$10000,DATA!$M$3:$M$10000),"No encontrado"))</f>
        <v/>
      </c>
      <c r="D4428" s="27" t="str">
        <f aca="false">IF(A4428="","",IFERROR(buscarx(A4428&amp;B4428,DATA!$E$3:$E$10000&amp;DATA!$B$3:$B$10000,DATA!$W$3:$W$10000),"No encontrado"))</f>
        <v/>
      </c>
      <c r="E4428" s="22"/>
      <c r="F4428" s="26" t="str">
        <f aca="false">IF(A4428="","",IFERROR(buscarx(A4428&amp;E4428,DATA!$E$3:$E$10000&amp;DATA!$B$3:$B$10000,DATA!$M$3:$M$10000),"Inactivo"))</f>
        <v/>
      </c>
      <c r="G4428" s="28" t="str">
        <f aca="false">IF(A4428="","",IF(AND(C4428&lt;&gt;"No encontrado",F4428&lt;&gt;"Inactivo"),C4428&amp;" → "&amp;F4428,"Sin transición"))</f>
        <v/>
      </c>
      <c r="H4428" s="26" t="str">
        <f aca="false">IF(A4428="","",IF(D4428="GCIA LINEA SERVICIO DIGITALIDAD Y VENTAS","Chats",IF(OR(D4428="GERENCIA INBOUND LÍNEAS SERVICIO Y VENTA",D4428="GERENCIA INBOUND LINEAS ESPECIALIZADAS"),"Llamadas","Otro")))</f>
        <v/>
      </c>
      <c r="I4428" s="26" t="str">
        <f aca="false">IF(A4428="","",IF(C4428="No encontrado","No","Sí"))</f>
        <v/>
      </c>
      <c r="J4428" s="26" t="str">
        <f aca="false">IF(A4428="","",IF(F4428="Inactivo","No","Sí"))</f>
        <v/>
      </c>
      <c r="K4428" s="26" t="str">
        <f aca="false">IF(A4428="","",IF(AND(I4428="Sí",J4428="Sí"),"Sí","No"))</f>
        <v/>
      </c>
    </row>
    <row r="4429" customFormat="false" ht="15" hidden="false" customHeight="false" outlineLevel="0" collapsed="false">
      <c r="A4429" s="22"/>
      <c r="B4429" s="22"/>
      <c r="C4429" s="23" t="str">
        <f aca="false">IF(A4429="","",IFERROR(buscarx(A4429&amp;B4429,DATA!$E$3:$E$10000&amp;DATA!$B$3:$B$10000,DATA!$M$3:$M$10000),"No encontrado"))</f>
        <v/>
      </c>
      <c r="D4429" s="24" t="str">
        <f aca="false">IF(A4429="","",IFERROR(buscarx(A4429&amp;B4429,DATA!$E$3:$E$10000&amp;DATA!$B$3:$B$10000,DATA!$W$3:$W$10000),"No encontrado"))</f>
        <v/>
      </c>
      <c r="E4429" s="22"/>
      <c r="F4429" s="23" t="str">
        <f aca="false">IF(A4429="","",IFERROR(buscarx(A4429&amp;E4429,DATA!$E$3:$E$10000&amp;DATA!$B$3:$B$10000,DATA!$M$3:$M$10000),"Inactivo"))</f>
        <v/>
      </c>
      <c r="G4429" s="25" t="str">
        <f aca="false">IF(A4429="","",IF(AND(C4429&lt;&gt;"No encontrado",F4429&lt;&gt;"Inactivo"),C4429&amp;" → "&amp;F4429,"Sin transición"))</f>
        <v/>
      </c>
      <c r="H4429" s="23" t="str">
        <f aca="false">IF(A4429="","",IF(D4429="GCIA LINEA SERVICIO DIGITALIDAD Y VENTAS","Chats",IF(OR(D4429="GERENCIA INBOUND LÍNEAS SERVICIO Y VENTA",D4429="GERENCIA INBOUND LINEAS ESPECIALIZADAS"),"Llamadas","Otro")))</f>
        <v/>
      </c>
      <c r="I4429" s="23" t="str">
        <f aca="false">IF(A4429="","",IF(C4429="No encontrado","No","Sí"))</f>
        <v/>
      </c>
      <c r="J4429" s="23" t="str">
        <f aca="false">IF(A4429="","",IF(F4429="Inactivo","No","Sí"))</f>
        <v/>
      </c>
      <c r="K4429" s="23" t="str">
        <f aca="false">IF(A4429="","",IF(AND(I4429="Sí",J4429="Sí"),"Sí","No"))</f>
        <v/>
      </c>
    </row>
    <row r="4430" customFormat="false" ht="15" hidden="false" customHeight="false" outlineLevel="0" collapsed="false">
      <c r="A4430" s="22"/>
      <c r="B4430" s="22"/>
      <c r="C4430" s="26" t="str">
        <f aca="false">IF(A4430="","",IFERROR(buscarx(A4430&amp;B4430,DATA!$E$3:$E$10000&amp;DATA!$B$3:$B$10000,DATA!$M$3:$M$10000),"No encontrado"))</f>
        <v/>
      </c>
      <c r="D4430" s="27" t="str">
        <f aca="false">IF(A4430="","",IFERROR(buscarx(A4430&amp;B4430,DATA!$E$3:$E$10000&amp;DATA!$B$3:$B$10000,DATA!$W$3:$W$10000),"No encontrado"))</f>
        <v/>
      </c>
      <c r="E4430" s="22"/>
      <c r="F4430" s="26" t="str">
        <f aca="false">IF(A4430="","",IFERROR(buscarx(A4430&amp;E4430,DATA!$E$3:$E$10000&amp;DATA!$B$3:$B$10000,DATA!$M$3:$M$10000),"Inactivo"))</f>
        <v/>
      </c>
      <c r="G4430" s="28" t="str">
        <f aca="false">IF(A4430="","",IF(AND(C4430&lt;&gt;"No encontrado",F4430&lt;&gt;"Inactivo"),C4430&amp;" → "&amp;F4430,"Sin transición"))</f>
        <v/>
      </c>
      <c r="H4430" s="26" t="str">
        <f aca="false">IF(A4430="","",IF(D4430="GCIA LINEA SERVICIO DIGITALIDAD Y VENTAS","Chats",IF(OR(D4430="GERENCIA INBOUND LÍNEAS SERVICIO Y VENTA",D4430="GERENCIA INBOUND LINEAS ESPECIALIZADAS"),"Llamadas","Otro")))</f>
        <v/>
      </c>
      <c r="I4430" s="26" t="str">
        <f aca="false">IF(A4430="","",IF(C4430="No encontrado","No","Sí"))</f>
        <v/>
      </c>
      <c r="J4430" s="26" t="str">
        <f aca="false">IF(A4430="","",IF(F4430="Inactivo","No","Sí"))</f>
        <v/>
      </c>
      <c r="K4430" s="26" t="str">
        <f aca="false">IF(A4430="","",IF(AND(I4430="Sí",J4430="Sí"),"Sí","No"))</f>
        <v/>
      </c>
    </row>
    <row r="4431" customFormat="false" ht="15" hidden="false" customHeight="false" outlineLevel="0" collapsed="false">
      <c r="A4431" s="22"/>
      <c r="B4431" s="22"/>
      <c r="C4431" s="23" t="str">
        <f aca="false">IF(A4431="","",IFERROR(buscarx(A4431&amp;B4431,DATA!$E$3:$E$10000&amp;DATA!$B$3:$B$10000,DATA!$M$3:$M$10000),"No encontrado"))</f>
        <v/>
      </c>
      <c r="D4431" s="24" t="str">
        <f aca="false">IF(A4431="","",IFERROR(buscarx(A4431&amp;B4431,DATA!$E$3:$E$10000&amp;DATA!$B$3:$B$10000,DATA!$W$3:$W$10000),"No encontrado"))</f>
        <v/>
      </c>
      <c r="E4431" s="22"/>
      <c r="F4431" s="23" t="str">
        <f aca="false">IF(A4431="","",IFERROR(buscarx(A4431&amp;E4431,DATA!$E$3:$E$10000&amp;DATA!$B$3:$B$10000,DATA!$M$3:$M$10000),"Inactivo"))</f>
        <v/>
      </c>
      <c r="G4431" s="25" t="str">
        <f aca="false">IF(A4431="","",IF(AND(C4431&lt;&gt;"No encontrado",F4431&lt;&gt;"Inactivo"),C4431&amp;" → "&amp;F4431,"Sin transición"))</f>
        <v/>
      </c>
      <c r="H4431" s="23" t="str">
        <f aca="false">IF(A4431="","",IF(D4431="GCIA LINEA SERVICIO DIGITALIDAD Y VENTAS","Chats",IF(OR(D4431="GERENCIA INBOUND LÍNEAS SERVICIO Y VENTA",D4431="GERENCIA INBOUND LINEAS ESPECIALIZADAS"),"Llamadas","Otro")))</f>
        <v/>
      </c>
      <c r="I4431" s="23" t="str">
        <f aca="false">IF(A4431="","",IF(C4431="No encontrado","No","Sí"))</f>
        <v/>
      </c>
      <c r="J4431" s="23" t="str">
        <f aca="false">IF(A4431="","",IF(F4431="Inactivo","No","Sí"))</f>
        <v/>
      </c>
      <c r="K4431" s="23" t="str">
        <f aca="false">IF(A4431="","",IF(AND(I4431="Sí",J4431="Sí"),"Sí","No"))</f>
        <v/>
      </c>
    </row>
    <row r="4432" customFormat="false" ht="15" hidden="false" customHeight="false" outlineLevel="0" collapsed="false">
      <c r="A4432" s="22"/>
      <c r="B4432" s="22"/>
      <c r="C4432" s="26" t="str">
        <f aca="false">IF(A4432="","",IFERROR(buscarx(A4432&amp;B4432,DATA!$E$3:$E$10000&amp;DATA!$B$3:$B$10000,DATA!$M$3:$M$10000),"No encontrado"))</f>
        <v/>
      </c>
      <c r="D4432" s="27" t="str">
        <f aca="false">IF(A4432="","",IFERROR(buscarx(A4432&amp;B4432,DATA!$E$3:$E$10000&amp;DATA!$B$3:$B$10000,DATA!$W$3:$W$10000),"No encontrado"))</f>
        <v/>
      </c>
      <c r="E4432" s="22"/>
      <c r="F4432" s="26" t="str">
        <f aca="false">IF(A4432="","",IFERROR(buscarx(A4432&amp;E4432,DATA!$E$3:$E$10000&amp;DATA!$B$3:$B$10000,DATA!$M$3:$M$10000),"Inactivo"))</f>
        <v/>
      </c>
      <c r="G4432" s="28" t="str">
        <f aca="false">IF(A4432="","",IF(AND(C4432&lt;&gt;"No encontrado",F4432&lt;&gt;"Inactivo"),C4432&amp;" → "&amp;F4432,"Sin transición"))</f>
        <v/>
      </c>
      <c r="H4432" s="26" t="str">
        <f aca="false">IF(A4432="","",IF(D4432="GCIA LINEA SERVICIO DIGITALIDAD Y VENTAS","Chats",IF(OR(D4432="GERENCIA INBOUND LÍNEAS SERVICIO Y VENTA",D4432="GERENCIA INBOUND LINEAS ESPECIALIZADAS"),"Llamadas","Otro")))</f>
        <v/>
      </c>
      <c r="I4432" s="26" t="str">
        <f aca="false">IF(A4432="","",IF(C4432="No encontrado","No","Sí"))</f>
        <v/>
      </c>
      <c r="J4432" s="26" t="str">
        <f aca="false">IF(A4432="","",IF(F4432="Inactivo","No","Sí"))</f>
        <v/>
      </c>
      <c r="K4432" s="26" t="str">
        <f aca="false">IF(A4432="","",IF(AND(I4432="Sí",J4432="Sí"),"Sí","No"))</f>
        <v/>
      </c>
    </row>
    <row r="4433" customFormat="false" ht="15" hidden="false" customHeight="false" outlineLevel="0" collapsed="false">
      <c r="A4433" s="22"/>
      <c r="B4433" s="22"/>
      <c r="C4433" s="23" t="str">
        <f aca="false">IF(A4433="","",IFERROR(buscarx(A4433&amp;B4433,DATA!$E$3:$E$10000&amp;DATA!$B$3:$B$10000,DATA!$M$3:$M$10000),"No encontrado"))</f>
        <v/>
      </c>
      <c r="D4433" s="24" t="str">
        <f aca="false">IF(A4433="","",IFERROR(buscarx(A4433&amp;B4433,DATA!$E$3:$E$10000&amp;DATA!$B$3:$B$10000,DATA!$W$3:$W$10000),"No encontrado"))</f>
        <v/>
      </c>
      <c r="E4433" s="22"/>
      <c r="F4433" s="23" t="str">
        <f aca="false">IF(A4433="","",IFERROR(buscarx(A4433&amp;E4433,DATA!$E$3:$E$10000&amp;DATA!$B$3:$B$10000,DATA!$M$3:$M$10000),"Inactivo"))</f>
        <v/>
      </c>
      <c r="G4433" s="25" t="str">
        <f aca="false">IF(A4433="","",IF(AND(C4433&lt;&gt;"No encontrado",F4433&lt;&gt;"Inactivo"),C4433&amp;" → "&amp;F4433,"Sin transición"))</f>
        <v/>
      </c>
      <c r="H4433" s="23" t="str">
        <f aca="false">IF(A4433="","",IF(D4433="GCIA LINEA SERVICIO DIGITALIDAD Y VENTAS","Chats",IF(OR(D4433="GERENCIA INBOUND LÍNEAS SERVICIO Y VENTA",D4433="GERENCIA INBOUND LINEAS ESPECIALIZADAS"),"Llamadas","Otro")))</f>
        <v/>
      </c>
      <c r="I4433" s="23" t="str">
        <f aca="false">IF(A4433="","",IF(C4433="No encontrado","No","Sí"))</f>
        <v/>
      </c>
      <c r="J4433" s="23" t="str">
        <f aca="false">IF(A4433="","",IF(F4433="Inactivo","No","Sí"))</f>
        <v/>
      </c>
      <c r="K4433" s="23" t="str">
        <f aca="false">IF(A4433="","",IF(AND(I4433="Sí",J4433="Sí"),"Sí","No"))</f>
        <v/>
      </c>
    </row>
    <row r="4434" customFormat="false" ht="15" hidden="false" customHeight="false" outlineLevel="0" collapsed="false">
      <c r="A4434" s="22"/>
      <c r="B4434" s="22"/>
      <c r="C4434" s="26" t="str">
        <f aca="false">IF(A4434="","",IFERROR(buscarx(A4434&amp;B4434,DATA!$E$3:$E$10000&amp;DATA!$B$3:$B$10000,DATA!$M$3:$M$10000),"No encontrado"))</f>
        <v/>
      </c>
      <c r="D4434" s="27" t="str">
        <f aca="false">IF(A4434="","",IFERROR(buscarx(A4434&amp;B4434,DATA!$E$3:$E$10000&amp;DATA!$B$3:$B$10000,DATA!$W$3:$W$10000),"No encontrado"))</f>
        <v/>
      </c>
      <c r="E4434" s="22"/>
      <c r="F4434" s="26" t="str">
        <f aca="false">IF(A4434="","",IFERROR(buscarx(A4434&amp;E4434,DATA!$E$3:$E$10000&amp;DATA!$B$3:$B$10000,DATA!$M$3:$M$10000),"Inactivo"))</f>
        <v/>
      </c>
      <c r="G4434" s="28" t="str">
        <f aca="false">IF(A4434="","",IF(AND(C4434&lt;&gt;"No encontrado",F4434&lt;&gt;"Inactivo"),C4434&amp;" → "&amp;F4434,"Sin transición"))</f>
        <v/>
      </c>
      <c r="H4434" s="26" t="str">
        <f aca="false">IF(A4434="","",IF(D4434="GCIA LINEA SERVICIO DIGITALIDAD Y VENTAS","Chats",IF(OR(D4434="GERENCIA INBOUND LÍNEAS SERVICIO Y VENTA",D4434="GERENCIA INBOUND LINEAS ESPECIALIZADAS"),"Llamadas","Otro")))</f>
        <v/>
      </c>
      <c r="I4434" s="26" t="str">
        <f aca="false">IF(A4434="","",IF(C4434="No encontrado","No","Sí"))</f>
        <v/>
      </c>
      <c r="J4434" s="26" t="str">
        <f aca="false">IF(A4434="","",IF(F4434="Inactivo","No","Sí"))</f>
        <v/>
      </c>
      <c r="K4434" s="26" t="str">
        <f aca="false">IF(A4434="","",IF(AND(I4434="Sí",J4434="Sí"),"Sí","No"))</f>
        <v/>
      </c>
    </row>
    <row r="4435" customFormat="false" ht="15" hidden="false" customHeight="false" outlineLevel="0" collapsed="false">
      <c r="A4435" s="22"/>
      <c r="B4435" s="22"/>
      <c r="C4435" s="23" t="str">
        <f aca="false">IF(A4435="","",IFERROR(buscarx(A4435&amp;B4435,DATA!$E$3:$E$10000&amp;DATA!$B$3:$B$10000,DATA!$M$3:$M$10000),"No encontrado"))</f>
        <v/>
      </c>
      <c r="D4435" s="24" t="str">
        <f aca="false">IF(A4435="","",IFERROR(buscarx(A4435&amp;B4435,DATA!$E$3:$E$10000&amp;DATA!$B$3:$B$10000,DATA!$W$3:$W$10000),"No encontrado"))</f>
        <v/>
      </c>
      <c r="E4435" s="22"/>
      <c r="F4435" s="23" t="str">
        <f aca="false">IF(A4435="","",IFERROR(buscarx(A4435&amp;E4435,DATA!$E$3:$E$10000&amp;DATA!$B$3:$B$10000,DATA!$M$3:$M$10000),"Inactivo"))</f>
        <v/>
      </c>
      <c r="G4435" s="25" t="str">
        <f aca="false">IF(A4435="","",IF(AND(C4435&lt;&gt;"No encontrado",F4435&lt;&gt;"Inactivo"),C4435&amp;" → "&amp;F4435,"Sin transición"))</f>
        <v/>
      </c>
      <c r="H4435" s="23" t="str">
        <f aca="false">IF(A4435="","",IF(D4435="GCIA LINEA SERVICIO DIGITALIDAD Y VENTAS","Chats",IF(OR(D4435="GERENCIA INBOUND LÍNEAS SERVICIO Y VENTA",D4435="GERENCIA INBOUND LINEAS ESPECIALIZADAS"),"Llamadas","Otro")))</f>
        <v/>
      </c>
      <c r="I4435" s="23" t="str">
        <f aca="false">IF(A4435="","",IF(C4435="No encontrado","No","Sí"))</f>
        <v/>
      </c>
      <c r="J4435" s="23" t="str">
        <f aca="false">IF(A4435="","",IF(F4435="Inactivo","No","Sí"))</f>
        <v/>
      </c>
      <c r="K4435" s="23" t="str">
        <f aca="false">IF(A4435="","",IF(AND(I4435="Sí",J4435="Sí"),"Sí","No"))</f>
        <v/>
      </c>
    </row>
    <row r="4436" customFormat="false" ht="15" hidden="false" customHeight="false" outlineLevel="0" collapsed="false">
      <c r="A4436" s="22"/>
      <c r="B4436" s="22"/>
      <c r="C4436" s="26" t="str">
        <f aca="false">IF(A4436="","",IFERROR(buscarx(A4436&amp;B4436,DATA!$E$3:$E$10000&amp;DATA!$B$3:$B$10000,DATA!$M$3:$M$10000),"No encontrado"))</f>
        <v/>
      </c>
      <c r="D4436" s="27" t="str">
        <f aca="false">IF(A4436="","",IFERROR(buscarx(A4436&amp;B4436,DATA!$E$3:$E$10000&amp;DATA!$B$3:$B$10000,DATA!$W$3:$W$10000),"No encontrado"))</f>
        <v/>
      </c>
      <c r="E4436" s="22"/>
      <c r="F4436" s="26" t="str">
        <f aca="false">IF(A4436="","",IFERROR(buscarx(A4436&amp;E4436,DATA!$E$3:$E$10000&amp;DATA!$B$3:$B$10000,DATA!$M$3:$M$10000),"Inactivo"))</f>
        <v/>
      </c>
      <c r="G4436" s="28" t="str">
        <f aca="false">IF(A4436="","",IF(AND(C4436&lt;&gt;"No encontrado",F4436&lt;&gt;"Inactivo"),C4436&amp;" → "&amp;F4436,"Sin transición"))</f>
        <v/>
      </c>
      <c r="H4436" s="26" t="str">
        <f aca="false">IF(A4436="","",IF(D4436="GCIA LINEA SERVICIO DIGITALIDAD Y VENTAS","Chats",IF(OR(D4436="GERENCIA INBOUND LÍNEAS SERVICIO Y VENTA",D4436="GERENCIA INBOUND LINEAS ESPECIALIZADAS"),"Llamadas","Otro")))</f>
        <v/>
      </c>
      <c r="I4436" s="26" t="str">
        <f aca="false">IF(A4436="","",IF(C4436="No encontrado","No","Sí"))</f>
        <v/>
      </c>
      <c r="J4436" s="26" t="str">
        <f aca="false">IF(A4436="","",IF(F4436="Inactivo","No","Sí"))</f>
        <v/>
      </c>
      <c r="K4436" s="26" t="str">
        <f aca="false">IF(A4436="","",IF(AND(I4436="Sí",J4436="Sí"),"Sí","No"))</f>
        <v/>
      </c>
    </row>
    <row r="4437" customFormat="false" ht="15" hidden="false" customHeight="false" outlineLevel="0" collapsed="false">
      <c r="A4437" s="22"/>
      <c r="B4437" s="22"/>
      <c r="C4437" s="23" t="str">
        <f aca="false">IF(A4437="","",IFERROR(buscarx(A4437&amp;B4437,DATA!$E$3:$E$10000&amp;DATA!$B$3:$B$10000,DATA!$M$3:$M$10000),"No encontrado"))</f>
        <v/>
      </c>
      <c r="D4437" s="24" t="str">
        <f aca="false">IF(A4437="","",IFERROR(buscarx(A4437&amp;B4437,DATA!$E$3:$E$10000&amp;DATA!$B$3:$B$10000,DATA!$W$3:$W$10000),"No encontrado"))</f>
        <v/>
      </c>
      <c r="E4437" s="22"/>
      <c r="F4437" s="23" t="str">
        <f aca="false">IF(A4437="","",IFERROR(buscarx(A4437&amp;E4437,DATA!$E$3:$E$10000&amp;DATA!$B$3:$B$10000,DATA!$M$3:$M$10000),"Inactivo"))</f>
        <v/>
      </c>
      <c r="G4437" s="25" t="str">
        <f aca="false">IF(A4437="","",IF(AND(C4437&lt;&gt;"No encontrado",F4437&lt;&gt;"Inactivo"),C4437&amp;" → "&amp;F4437,"Sin transición"))</f>
        <v/>
      </c>
      <c r="H4437" s="23" t="str">
        <f aca="false">IF(A4437="","",IF(D4437="GCIA LINEA SERVICIO DIGITALIDAD Y VENTAS","Chats",IF(OR(D4437="GERENCIA INBOUND LÍNEAS SERVICIO Y VENTA",D4437="GERENCIA INBOUND LINEAS ESPECIALIZADAS"),"Llamadas","Otro")))</f>
        <v/>
      </c>
      <c r="I4437" s="23" t="str">
        <f aca="false">IF(A4437="","",IF(C4437="No encontrado","No","Sí"))</f>
        <v/>
      </c>
      <c r="J4437" s="23" t="str">
        <f aca="false">IF(A4437="","",IF(F4437="Inactivo","No","Sí"))</f>
        <v/>
      </c>
      <c r="K4437" s="23" t="str">
        <f aca="false">IF(A4437="","",IF(AND(I4437="Sí",J4437="Sí"),"Sí","No"))</f>
        <v/>
      </c>
    </row>
    <row r="4438" customFormat="false" ht="15" hidden="false" customHeight="false" outlineLevel="0" collapsed="false">
      <c r="A4438" s="22"/>
      <c r="B4438" s="22"/>
      <c r="C4438" s="26" t="str">
        <f aca="false">IF(A4438="","",IFERROR(buscarx(A4438&amp;B4438,DATA!$E$3:$E$10000&amp;DATA!$B$3:$B$10000,DATA!$M$3:$M$10000),"No encontrado"))</f>
        <v/>
      </c>
      <c r="D4438" s="27" t="str">
        <f aca="false">IF(A4438="","",IFERROR(buscarx(A4438&amp;B4438,DATA!$E$3:$E$10000&amp;DATA!$B$3:$B$10000,DATA!$W$3:$W$10000),"No encontrado"))</f>
        <v/>
      </c>
      <c r="E4438" s="22"/>
      <c r="F4438" s="26" t="str">
        <f aca="false">IF(A4438="","",IFERROR(buscarx(A4438&amp;E4438,DATA!$E$3:$E$10000&amp;DATA!$B$3:$B$10000,DATA!$M$3:$M$10000),"Inactivo"))</f>
        <v/>
      </c>
      <c r="G4438" s="28" t="str">
        <f aca="false">IF(A4438="","",IF(AND(C4438&lt;&gt;"No encontrado",F4438&lt;&gt;"Inactivo"),C4438&amp;" → "&amp;F4438,"Sin transición"))</f>
        <v/>
      </c>
      <c r="H4438" s="26" t="str">
        <f aca="false">IF(A4438="","",IF(D4438="GCIA LINEA SERVICIO DIGITALIDAD Y VENTAS","Chats",IF(OR(D4438="GERENCIA INBOUND LÍNEAS SERVICIO Y VENTA",D4438="GERENCIA INBOUND LINEAS ESPECIALIZADAS"),"Llamadas","Otro")))</f>
        <v/>
      </c>
      <c r="I4438" s="26" t="str">
        <f aca="false">IF(A4438="","",IF(C4438="No encontrado","No","Sí"))</f>
        <v/>
      </c>
      <c r="J4438" s="26" t="str">
        <f aca="false">IF(A4438="","",IF(F4438="Inactivo","No","Sí"))</f>
        <v/>
      </c>
      <c r="K4438" s="26" t="str">
        <f aca="false">IF(A4438="","",IF(AND(I4438="Sí",J4438="Sí"),"Sí","No"))</f>
        <v/>
      </c>
    </row>
    <row r="4439" customFormat="false" ht="15" hidden="false" customHeight="false" outlineLevel="0" collapsed="false">
      <c r="A4439" s="22"/>
      <c r="B4439" s="22"/>
      <c r="C4439" s="23" t="str">
        <f aca="false">IF(A4439="","",IFERROR(buscarx(A4439&amp;B4439,DATA!$E$3:$E$10000&amp;DATA!$B$3:$B$10000,DATA!$M$3:$M$10000),"No encontrado"))</f>
        <v/>
      </c>
      <c r="D4439" s="24" t="str">
        <f aca="false">IF(A4439="","",IFERROR(buscarx(A4439&amp;B4439,DATA!$E$3:$E$10000&amp;DATA!$B$3:$B$10000,DATA!$W$3:$W$10000),"No encontrado"))</f>
        <v/>
      </c>
      <c r="E4439" s="22"/>
      <c r="F4439" s="23" t="str">
        <f aca="false">IF(A4439="","",IFERROR(buscarx(A4439&amp;E4439,DATA!$E$3:$E$10000&amp;DATA!$B$3:$B$10000,DATA!$M$3:$M$10000),"Inactivo"))</f>
        <v/>
      </c>
      <c r="G4439" s="25" t="str">
        <f aca="false">IF(A4439="","",IF(AND(C4439&lt;&gt;"No encontrado",F4439&lt;&gt;"Inactivo"),C4439&amp;" → "&amp;F4439,"Sin transición"))</f>
        <v/>
      </c>
      <c r="H4439" s="23" t="str">
        <f aca="false">IF(A4439="","",IF(D4439="GCIA LINEA SERVICIO DIGITALIDAD Y VENTAS","Chats",IF(OR(D4439="GERENCIA INBOUND LÍNEAS SERVICIO Y VENTA",D4439="GERENCIA INBOUND LINEAS ESPECIALIZADAS"),"Llamadas","Otro")))</f>
        <v/>
      </c>
      <c r="I4439" s="23" t="str">
        <f aca="false">IF(A4439="","",IF(C4439="No encontrado","No","Sí"))</f>
        <v/>
      </c>
      <c r="J4439" s="23" t="str">
        <f aca="false">IF(A4439="","",IF(F4439="Inactivo","No","Sí"))</f>
        <v/>
      </c>
      <c r="K4439" s="23" t="str">
        <f aca="false">IF(A4439="","",IF(AND(I4439="Sí",J4439="Sí"),"Sí","No"))</f>
        <v/>
      </c>
    </row>
    <row r="4440" customFormat="false" ht="15" hidden="false" customHeight="false" outlineLevel="0" collapsed="false">
      <c r="A4440" s="22"/>
      <c r="B4440" s="22"/>
      <c r="C4440" s="26" t="str">
        <f aca="false">IF(A4440="","",IFERROR(buscarx(A4440&amp;B4440,DATA!$E$3:$E$10000&amp;DATA!$B$3:$B$10000,DATA!$M$3:$M$10000),"No encontrado"))</f>
        <v/>
      </c>
      <c r="D4440" s="27" t="str">
        <f aca="false">IF(A4440="","",IFERROR(buscarx(A4440&amp;B4440,DATA!$E$3:$E$10000&amp;DATA!$B$3:$B$10000,DATA!$W$3:$W$10000),"No encontrado"))</f>
        <v/>
      </c>
      <c r="E4440" s="22"/>
      <c r="F4440" s="26" t="str">
        <f aca="false">IF(A4440="","",IFERROR(buscarx(A4440&amp;E4440,DATA!$E$3:$E$10000&amp;DATA!$B$3:$B$10000,DATA!$M$3:$M$10000),"Inactivo"))</f>
        <v/>
      </c>
      <c r="G4440" s="28" t="str">
        <f aca="false">IF(A4440="","",IF(AND(C4440&lt;&gt;"No encontrado",F4440&lt;&gt;"Inactivo"),C4440&amp;" → "&amp;F4440,"Sin transición"))</f>
        <v/>
      </c>
      <c r="H4440" s="26" t="str">
        <f aca="false">IF(A4440="","",IF(D4440="GCIA LINEA SERVICIO DIGITALIDAD Y VENTAS","Chats",IF(OR(D4440="GERENCIA INBOUND LÍNEAS SERVICIO Y VENTA",D4440="GERENCIA INBOUND LINEAS ESPECIALIZADAS"),"Llamadas","Otro")))</f>
        <v/>
      </c>
      <c r="I4440" s="26" t="str">
        <f aca="false">IF(A4440="","",IF(C4440="No encontrado","No","Sí"))</f>
        <v/>
      </c>
      <c r="J4440" s="26" t="str">
        <f aca="false">IF(A4440="","",IF(F4440="Inactivo","No","Sí"))</f>
        <v/>
      </c>
      <c r="K4440" s="26" t="str">
        <f aca="false">IF(A4440="","",IF(AND(I4440="Sí",J4440="Sí"),"Sí","No"))</f>
        <v/>
      </c>
    </row>
    <row r="4441" customFormat="false" ht="15" hidden="false" customHeight="false" outlineLevel="0" collapsed="false">
      <c r="A4441" s="22"/>
      <c r="B4441" s="22"/>
      <c r="C4441" s="23" t="str">
        <f aca="false">IF(A4441="","",IFERROR(buscarx(A4441&amp;B4441,DATA!$E$3:$E$10000&amp;DATA!$B$3:$B$10000,DATA!$M$3:$M$10000),"No encontrado"))</f>
        <v/>
      </c>
      <c r="D4441" s="24" t="str">
        <f aca="false">IF(A4441="","",IFERROR(buscarx(A4441&amp;B4441,DATA!$E$3:$E$10000&amp;DATA!$B$3:$B$10000,DATA!$W$3:$W$10000),"No encontrado"))</f>
        <v/>
      </c>
      <c r="E4441" s="22"/>
      <c r="F4441" s="23" t="str">
        <f aca="false">IF(A4441="","",IFERROR(buscarx(A4441&amp;E4441,DATA!$E$3:$E$10000&amp;DATA!$B$3:$B$10000,DATA!$M$3:$M$10000),"Inactivo"))</f>
        <v/>
      </c>
      <c r="G4441" s="25" t="str">
        <f aca="false">IF(A4441="","",IF(AND(C4441&lt;&gt;"No encontrado",F4441&lt;&gt;"Inactivo"),C4441&amp;" → "&amp;F4441,"Sin transición"))</f>
        <v/>
      </c>
      <c r="H4441" s="23" t="str">
        <f aca="false">IF(A4441="","",IF(D4441="GCIA LINEA SERVICIO DIGITALIDAD Y VENTAS","Chats",IF(OR(D4441="GERENCIA INBOUND LÍNEAS SERVICIO Y VENTA",D4441="GERENCIA INBOUND LINEAS ESPECIALIZADAS"),"Llamadas","Otro")))</f>
        <v/>
      </c>
      <c r="I4441" s="23" t="str">
        <f aca="false">IF(A4441="","",IF(C4441="No encontrado","No","Sí"))</f>
        <v/>
      </c>
      <c r="J4441" s="23" t="str">
        <f aca="false">IF(A4441="","",IF(F4441="Inactivo","No","Sí"))</f>
        <v/>
      </c>
      <c r="K4441" s="23" t="str">
        <f aca="false">IF(A4441="","",IF(AND(I4441="Sí",J4441="Sí"),"Sí","No"))</f>
        <v/>
      </c>
    </row>
    <row r="4442" customFormat="false" ht="15" hidden="false" customHeight="false" outlineLevel="0" collapsed="false">
      <c r="A4442" s="22"/>
      <c r="B4442" s="22"/>
      <c r="C4442" s="26" t="str">
        <f aca="false">IF(A4442="","",IFERROR(buscarx(A4442&amp;B4442,DATA!$E$3:$E$10000&amp;DATA!$B$3:$B$10000,DATA!$M$3:$M$10000),"No encontrado"))</f>
        <v/>
      </c>
      <c r="D4442" s="27" t="str">
        <f aca="false">IF(A4442="","",IFERROR(buscarx(A4442&amp;B4442,DATA!$E$3:$E$10000&amp;DATA!$B$3:$B$10000,DATA!$W$3:$W$10000),"No encontrado"))</f>
        <v/>
      </c>
      <c r="E4442" s="22"/>
      <c r="F4442" s="26" t="str">
        <f aca="false">IF(A4442="","",IFERROR(buscarx(A4442&amp;E4442,DATA!$E$3:$E$10000&amp;DATA!$B$3:$B$10000,DATA!$M$3:$M$10000),"Inactivo"))</f>
        <v/>
      </c>
      <c r="G4442" s="28" t="str">
        <f aca="false">IF(A4442="","",IF(AND(C4442&lt;&gt;"No encontrado",F4442&lt;&gt;"Inactivo"),C4442&amp;" → "&amp;F4442,"Sin transición"))</f>
        <v/>
      </c>
      <c r="H4442" s="26" t="str">
        <f aca="false">IF(A4442="","",IF(D4442="GCIA LINEA SERVICIO DIGITALIDAD Y VENTAS","Chats",IF(OR(D4442="GERENCIA INBOUND LÍNEAS SERVICIO Y VENTA",D4442="GERENCIA INBOUND LINEAS ESPECIALIZADAS"),"Llamadas","Otro")))</f>
        <v/>
      </c>
      <c r="I4442" s="26" t="str">
        <f aca="false">IF(A4442="","",IF(C4442="No encontrado","No","Sí"))</f>
        <v/>
      </c>
      <c r="J4442" s="26" t="str">
        <f aca="false">IF(A4442="","",IF(F4442="Inactivo","No","Sí"))</f>
        <v/>
      </c>
      <c r="K4442" s="26" t="str">
        <f aca="false">IF(A4442="","",IF(AND(I4442="Sí",J4442="Sí"),"Sí","No"))</f>
        <v/>
      </c>
    </row>
    <row r="4443" customFormat="false" ht="15" hidden="false" customHeight="false" outlineLevel="0" collapsed="false">
      <c r="A4443" s="22"/>
      <c r="B4443" s="22"/>
      <c r="C4443" s="23" t="str">
        <f aca="false">IF(A4443="","",IFERROR(buscarx(A4443&amp;B4443,DATA!$E$3:$E$10000&amp;DATA!$B$3:$B$10000,DATA!$M$3:$M$10000),"No encontrado"))</f>
        <v/>
      </c>
      <c r="D4443" s="24" t="str">
        <f aca="false">IF(A4443="","",IFERROR(buscarx(A4443&amp;B4443,DATA!$E$3:$E$10000&amp;DATA!$B$3:$B$10000,DATA!$W$3:$W$10000),"No encontrado"))</f>
        <v/>
      </c>
      <c r="E4443" s="22"/>
      <c r="F4443" s="23" t="str">
        <f aca="false">IF(A4443="","",IFERROR(buscarx(A4443&amp;E4443,DATA!$E$3:$E$10000&amp;DATA!$B$3:$B$10000,DATA!$M$3:$M$10000),"Inactivo"))</f>
        <v/>
      </c>
      <c r="G4443" s="25" t="str">
        <f aca="false">IF(A4443="","",IF(AND(C4443&lt;&gt;"No encontrado",F4443&lt;&gt;"Inactivo"),C4443&amp;" → "&amp;F4443,"Sin transición"))</f>
        <v/>
      </c>
      <c r="H4443" s="23" t="str">
        <f aca="false">IF(A4443="","",IF(D4443="GCIA LINEA SERVICIO DIGITALIDAD Y VENTAS","Chats",IF(OR(D4443="GERENCIA INBOUND LÍNEAS SERVICIO Y VENTA",D4443="GERENCIA INBOUND LINEAS ESPECIALIZADAS"),"Llamadas","Otro")))</f>
        <v/>
      </c>
      <c r="I4443" s="23" t="str">
        <f aca="false">IF(A4443="","",IF(C4443="No encontrado","No","Sí"))</f>
        <v/>
      </c>
      <c r="J4443" s="23" t="str">
        <f aca="false">IF(A4443="","",IF(F4443="Inactivo","No","Sí"))</f>
        <v/>
      </c>
      <c r="K4443" s="23" t="str">
        <f aca="false">IF(A4443="","",IF(AND(I4443="Sí",J4443="Sí"),"Sí","No"))</f>
        <v/>
      </c>
    </row>
    <row r="4444" customFormat="false" ht="15" hidden="false" customHeight="false" outlineLevel="0" collapsed="false">
      <c r="A4444" s="22"/>
      <c r="B4444" s="22"/>
      <c r="C4444" s="26" t="str">
        <f aca="false">IF(A4444="","",IFERROR(buscarx(A4444&amp;B4444,DATA!$E$3:$E$10000&amp;DATA!$B$3:$B$10000,DATA!$M$3:$M$10000),"No encontrado"))</f>
        <v/>
      </c>
      <c r="D4444" s="27" t="str">
        <f aca="false">IF(A4444="","",IFERROR(buscarx(A4444&amp;B4444,DATA!$E$3:$E$10000&amp;DATA!$B$3:$B$10000,DATA!$W$3:$W$10000),"No encontrado"))</f>
        <v/>
      </c>
      <c r="E4444" s="22"/>
      <c r="F4444" s="26" t="str">
        <f aca="false">IF(A4444="","",IFERROR(buscarx(A4444&amp;E4444,DATA!$E$3:$E$10000&amp;DATA!$B$3:$B$10000,DATA!$M$3:$M$10000),"Inactivo"))</f>
        <v/>
      </c>
      <c r="G4444" s="28" t="str">
        <f aca="false">IF(A4444="","",IF(AND(C4444&lt;&gt;"No encontrado",F4444&lt;&gt;"Inactivo"),C4444&amp;" → "&amp;F4444,"Sin transición"))</f>
        <v/>
      </c>
      <c r="H4444" s="26" t="str">
        <f aca="false">IF(A4444="","",IF(D4444="GCIA LINEA SERVICIO DIGITALIDAD Y VENTAS","Chats",IF(OR(D4444="GERENCIA INBOUND LÍNEAS SERVICIO Y VENTA",D4444="GERENCIA INBOUND LINEAS ESPECIALIZADAS"),"Llamadas","Otro")))</f>
        <v/>
      </c>
      <c r="I4444" s="26" t="str">
        <f aca="false">IF(A4444="","",IF(C4444="No encontrado","No","Sí"))</f>
        <v/>
      </c>
      <c r="J4444" s="26" t="str">
        <f aca="false">IF(A4444="","",IF(F4444="Inactivo","No","Sí"))</f>
        <v/>
      </c>
      <c r="K4444" s="26" t="str">
        <f aca="false">IF(A4444="","",IF(AND(I4444="Sí",J4444="Sí"),"Sí","No"))</f>
        <v/>
      </c>
    </row>
    <row r="4445" customFormat="false" ht="15" hidden="false" customHeight="false" outlineLevel="0" collapsed="false">
      <c r="A4445" s="22"/>
      <c r="B4445" s="22"/>
      <c r="C4445" s="23" t="str">
        <f aca="false">IF(A4445="","",IFERROR(buscarx(A4445&amp;B4445,DATA!$E$3:$E$10000&amp;DATA!$B$3:$B$10000,DATA!$M$3:$M$10000),"No encontrado"))</f>
        <v/>
      </c>
      <c r="D4445" s="24" t="str">
        <f aca="false">IF(A4445="","",IFERROR(buscarx(A4445&amp;B4445,DATA!$E$3:$E$10000&amp;DATA!$B$3:$B$10000,DATA!$W$3:$W$10000),"No encontrado"))</f>
        <v/>
      </c>
      <c r="E4445" s="22"/>
      <c r="F4445" s="23" t="str">
        <f aca="false">IF(A4445="","",IFERROR(buscarx(A4445&amp;E4445,DATA!$E$3:$E$10000&amp;DATA!$B$3:$B$10000,DATA!$M$3:$M$10000),"Inactivo"))</f>
        <v/>
      </c>
      <c r="G4445" s="25" t="str">
        <f aca="false">IF(A4445="","",IF(AND(C4445&lt;&gt;"No encontrado",F4445&lt;&gt;"Inactivo"),C4445&amp;" → "&amp;F4445,"Sin transición"))</f>
        <v/>
      </c>
      <c r="H4445" s="23" t="str">
        <f aca="false">IF(A4445="","",IF(D4445="GCIA LINEA SERVICIO DIGITALIDAD Y VENTAS","Chats",IF(OR(D4445="GERENCIA INBOUND LÍNEAS SERVICIO Y VENTA",D4445="GERENCIA INBOUND LINEAS ESPECIALIZADAS"),"Llamadas","Otro")))</f>
        <v/>
      </c>
      <c r="I4445" s="23" t="str">
        <f aca="false">IF(A4445="","",IF(C4445="No encontrado","No","Sí"))</f>
        <v/>
      </c>
      <c r="J4445" s="23" t="str">
        <f aca="false">IF(A4445="","",IF(F4445="Inactivo","No","Sí"))</f>
        <v/>
      </c>
      <c r="K4445" s="23" t="str">
        <f aca="false">IF(A4445="","",IF(AND(I4445="Sí",J4445="Sí"),"Sí","No"))</f>
        <v/>
      </c>
    </row>
    <row r="4446" customFormat="false" ht="15" hidden="false" customHeight="false" outlineLevel="0" collapsed="false">
      <c r="A4446" s="22"/>
      <c r="B4446" s="22"/>
      <c r="C4446" s="26" t="str">
        <f aca="false">IF(A4446="","",IFERROR(buscarx(A4446&amp;B4446,DATA!$E$3:$E$10000&amp;DATA!$B$3:$B$10000,DATA!$M$3:$M$10000),"No encontrado"))</f>
        <v/>
      </c>
      <c r="D4446" s="27" t="str">
        <f aca="false">IF(A4446="","",IFERROR(buscarx(A4446&amp;B4446,DATA!$E$3:$E$10000&amp;DATA!$B$3:$B$10000,DATA!$W$3:$W$10000),"No encontrado"))</f>
        <v/>
      </c>
      <c r="E4446" s="22"/>
      <c r="F4446" s="26" t="str">
        <f aca="false">IF(A4446="","",IFERROR(buscarx(A4446&amp;E4446,DATA!$E$3:$E$10000&amp;DATA!$B$3:$B$10000,DATA!$M$3:$M$10000),"Inactivo"))</f>
        <v/>
      </c>
      <c r="G4446" s="28" t="str">
        <f aca="false">IF(A4446="","",IF(AND(C4446&lt;&gt;"No encontrado",F4446&lt;&gt;"Inactivo"),C4446&amp;" → "&amp;F4446,"Sin transición"))</f>
        <v/>
      </c>
      <c r="H4446" s="26" t="str">
        <f aca="false">IF(A4446="","",IF(D4446="GCIA LINEA SERVICIO DIGITALIDAD Y VENTAS","Chats",IF(OR(D4446="GERENCIA INBOUND LÍNEAS SERVICIO Y VENTA",D4446="GERENCIA INBOUND LINEAS ESPECIALIZADAS"),"Llamadas","Otro")))</f>
        <v/>
      </c>
      <c r="I4446" s="26" t="str">
        <f aca="false">IF(A4446="","",IF(C4446="No encontrado","No","Sí"))</f>
        <v/>
      </c>
      <c r="J4446" s="26" t="str">
        <f aca="false">IF(A4446="","",IF(F4446="Inactivo","No","Sí"))</f>
        <v/>
      </c>
      <c r="K4446" s="26" t="str">
        <f aca="false">IF(A4446="","",IF(AND(I4446="Sí",J4446="Sí"),"Sí","No"))</f>
        <v/>
      </c>
    </row>
    <row r="4447" customFormat="false" ht="15" hidden="false" customHeight="false" outlineLevel="0" collapsed="false">
      <c r="A4447" s="22"/>
      <c r="B4447" s="22"/>
      <c r="C4447" s="23" t="str">
        <f aca="false">IF(A4447="","",IFERROR(buscarx(A4447&amp;B4447,DATA!$E$3:$E$10000&amp;DATA!$B$3:$B$10000,DATA!$M$3:$M$10000),"No encontrado"))</f>
        <v/>
      </c>
      <c r="D4447" s="24" t="str">
        <f aca="false">IF(A4447="","",IFERROR(buscarx(A4447&amp;B4447,DATA!$E$3:$E$10000&amp;DATA!$B$3:$B$10000,DATA!$W$3:$W$10000),"No encontrado"))</f>
        <v/>
      </c>
      <c r="E4447" s="22"/>
      <c r="F4447" s="23" t="str">
        <f aca="false">IF(A4447="","",IFERROR(buscarx(A4447&amp;E4447,DATA!$E$3:$E$10000&amp;DATA!$B$3:$B$10000,DATA!$M$3:$M$10000),"Inactivo"))</f>
        <v/>
      </c>
      <c r="G4447" s="25" t="str">
        <f aca="false">IF(A4447="","",IF(AND(C4447&lt;&gt;"No encontrado",F4447&lt;&gt;"Inactivo"),C4447&amp;" → "&amp;F4447,"Sin transición"))</f>
        <v/>
      </c>
      <c r="H4447" s="23" t="str">
        <f aca="false">IF(A4447="","",IF(D4447="GCIA LINEA SERVICIO DIGITALIDAD Y VENTAS","Chats",IF(OR(D4447="GERENCIA INBOUND LÍNEAS SERVICIO Y VENTA",D4447="GERENCIA INBOUND LINEAS ESPECIALIZADAS"),"Llamadas","Otro")))</f>
        <v/>
      </c>
      <c r="I4447" s="23" t="str">
        <f aca="false">IF(A4447="","",IF(C4447="No encontrado","No","Sí"))</f>
        <v/>
      </c>
      <c r="J4447" s="23" t="str">
        <f aca="false">IF(A4447="","",IF(F4447="Inactivo","No","Sí"))</f>
        <v/>
      </c>
      <c r="K4447" s="23" t="str">
        <f aca="false">IF(A4447="","",IF(AND(I4447="Sí",J4447="Sí"),"Sí","No"))</f>
        <v/>
      </c>
    </row>
    <row r="4448" customFormat="false" ht="15" hidden="false" customHeight="false" outlineLevel="0" collapsed="false">
      <c r="A4448" s="22"/>
      <c r="B4448" s="22"/>
      <c r="C4448" s="26" t="str">
        <f aca="false">IF(A4448="","",IFERROR(buscarx(A4448&amp;B4448,DATA!$E$3:$E$10000&amp;DATA!$B$3:$B$10000,DATA!$M$3:$M$10000),"No encontrado"))</f>
        <v/>
      </c>
      <c r="D4448" s="27" t="str">
        <f aca="false">IF(A4448="","",IFERROR(buscarx(A4448&amp;B4448,DATA!$E$3:$E$10000&amp;DATA!$B$3:$B$10000,DATA!$W$3:$W$10000),"No encontrado"))</f>
        <v/>
      </c>
      <c r="E4448" s="22"/>
      <c r="F4448" s="26" t="str">
        <f aca="false">IF(A4448="","",IFERROR(buscarx(A4448&amp;E4448,DATA!$E$3:$E$10000&amp;DATA!$B$3:$B$10000,DATA!$M$3:$M$10000),"Inactivo"))</f>
        <v/>
      </c>
      <c r="G4448" s="28" t="str">
        <f aca="false">IF(A4448="","",IF(AND(C4448&lt;&gt;"No encontrado",F4448&lt;&gt;"Inactivo"),C4448&amp;" → "&amp;F4448,"Sin transición"))</f>
        <v/>
      </c>
      <c r="H4448" s="26" t="str">
        <f aca="false">IF(A4448="","",IF(D4448="GCIA LINEA SERVICIO DIGITALIDAD Y VENTAS","Chats",IF(OR(D4448="GERENCIA INBOUND LÍNEAS SERVICIO Y VENTA",D4448="GERENCIA INBOUND LINEAS ESPECIALIZADAS"),"Llamadas","Otro")))</f>
        <v/>
      </c>
      <c r="I4448" s="26" t="str">
        <f aca="false">IF(A4448="","",IF(C4448="No encontrado","No","Sí"))</f>
        <v/>
      </c>
      <c r="J4448" s="26" t="str">
        <f aca="false">IF(A4448="","",IF(F4448="Inactivo","No","Sí"))</f>
        <v/>
      </c>
      <c r="K4448" s="26" t="str">
        <f aca="false">IF(A4448="","",IF(AND(I4448="Sí",J4448="Sí"),"Sí","No"))</f>
        <v/>
      </c>
    </row>
    <row r="4449" customFormat="false" ht="15" hidden="false" customHeight="false" outlineLevel="0" collapsed="false">
      <c r="A4449" s="22"/>
      <c r="B4449" s="22"/>
      <c r="C4449" s="23" t="str">
        <f aca="false">IF(A4449="","",IFERROR(buscarx(A4449&amp;B4449,DATA!$E$3:$E$10000&amp;DATA!$B$3:$B$10000,DATA!$M$3:$M$10000),"No encontrado"))</f>
        <v/>
      </c>
      <c r="D4449" s="24" t="str">
        <f aca="false">IF(A4449="","",IFERROR(buscarx(A4449&amp;B4449,DATA!$E$3:$E$10000&amp;DATA!$B$3:$B$10000,DATA!$W$3:$W$10000),"No encontrado"))</f>
        <v/>
      </c>
      <c r="E4449" s="22"/>
      <c r="F4449" s="23" t="str">
        <f aca="false">IF(A4449="","",IFERROR(buscarx(A4449&amp;E4449,DATA!$E$3:$E$10000&amp;DATA!$B$3:$B$10000,DATA!$M$3:$M$10000),"Inactivo"))</f>
        <v/>
      </c>
      <c r="G4449" s="25" t="str">
        <f aca="false">IF(A4449="","",IF(AND(C4449&lt;&gt;"No encontrado",F4449&lt;&gt;"Inactivo"),C4449&amp;" → "&amp;F4449,"Sin transición"))</f>
        <v/>
      </c>
      <c r="H4449" s="23" t="str">
        <f aca="false">IF(A4449="","",IF(D4449="GCIA LINEA SERVICIO DIGITALIDAD Y VENTAS","Chats",IF(OR(D4449="GERENCIA INBOUND LÍNEAS SERVICIO Y VENTA",D4449="GERENCIA INBOUND LINEAS ESPECIALIZADAS"),"Llamadas","Otro")))</f>
        <v/>
      </c>
      <c r="I4449" s="23" t="str">
        <f aca="false">IF(A4449="","",IF(C4449="No encontrado","No","Sí"))</f>
        <v/>
      </c>
      <c r="J4449" s="23" t="str">
        <f aca="false">IF(A4449="","",IF(F4449="Inactivo","No","Sí"))</f>
        <v/>
      </c>
      <c r="K4449" s="23" t="str">
        <f aca="false">IF(A4449="","",IF(AND(I4449="Sí",J4449="Sí"),"Sí","No"))</f>
        <v/>
      </c>
    </row>
    <row r="4450" customFormat="false" ht="15" hidden="false" customHeight="false" outlineLevel="0" collapsed="false">
      <c r="A4450" s="22"/>
      <c r="B4450" s="22"/>
      <c r="C4450" s="26" t="str">
        <f aca="false">IF(A4450="","",IFERROR(buscarx(A4450&amp;B4450,DATA!$E$3:$E$10000&amp;DATA!$B$3:$B$10000,DATA!$M$3:$M$10000),"No encontrado"))</f>
        <v/>
      </c>
      <c r="D4450" s="27" t="str">
        <f aca="false">IF(A4450="","",IFERROR(buscarx(A4450&amp;B4450,DATA!$E$3:$E$10000&amp;DATA!$B$3:$B$10000,DATA!$W$3:$W$10000),"No encontrado"))</f>
        <v/>
      </c>
      <c r="E4450" s="22"/>
      <c r="F4450" s="26" t="str">
        <f aca="false">IF(A4450="","",IFERROR(buscarx(A4450&amp;E4450,DATA!$E$3:$E$10000&amp;DATA!$B$3:$B$10000,DATA!$M$3:$M$10000),"Inactivo"))</f>
        <v/>
      </c>
      <c r="G4450" s="28" t="str">
        <f aca="false">IF(A4450="","",IF(AND(C4450&lt;&gt;"No encontrado",F4450&lt;&gt;"Inactivo"),C4450&amp;" → "&amp;F4450,"Sin transición"))</f>
        <v/>
      </c>
      <c r="H4450" s="26" t="str">
        <f aca="false">IF(A4450="","",IF(D4450="GCIA LINEA SERVICIO DIGITALIDAD Y VENTAS","Chats",IF(OR(D4450="GERENCIA INBOUND LÍNEAS SERVICIO Y VENTA",D4450="GERENCIA INBOUND LINEAS ESPECIALIZADAS"),"Llamadas","Otro")))</f>
        <v/>
      </c>
      <c r="I4450" s="26" t="str">
        <f aca="false">IF(A4450="","",IF(C4450="No encontrado","No","Sí"))</f>
        <v/>
      </c>
      <c r="J4450" s="26" t="str">
        <f aca="false">IF(A4450="","",IF(F4450="Inactivo","No","Sí"))</f>
        <v/>
      </c>
      <c r="K4450" s="26" t="str">
        <f aca="false">IF(A4450="","",IF(AND(I4450="Sí",J4450="Sí"),"Sí","No"))</f>
        <v/>
      </c>
    </row>
    <row r="4451" customFormat="false" ht="15" hidden="false" customHeight="false" outlineLevel="0" collapsed="false">
      <c r="A4451" s="22"/>
      <c r="B4451" s="22"/>
      <c r="C4451" s="23" t="str">
        <f aca="false">IF(A4451="","",IFERROR(buscarx(A4451&amp;B4451,DATA!$E$3:$E$10000&amp;DATA!$B$3:$B$10000,DATA!$M$3:$M$10000),"No encontrado"))</f>
        <v/>
      </c>
      <c r="D4451" s="24" t="str">
        <f aca="false">IF(A4451="","",IFERROR(buscarx(A4451&amp;B4451,DATA!$E$3:$E$10000&amp;DATA!$B$3:$B$10000,DATA!$W$3:$W$10000),"No encontrado"))</f>
        <v/>
      </c>
      <c r="E4451" s="22"/>
      <c r="F4451" s="23" t="str">
        <f aca="false">IF(A4451="","",IFERROR(buscarx(A4451&amp;E4451,DATA!$E$3:$E$10000&amp;DATA!$B$3:$B$10000,DATA!$M$3:$M$10000),"Inactivo"))</f>
        <v/>
      </c>
      <c r="G4451" s="25" t="str">
        <f aca="false">IF(A4451="","",IF(AND(C4451&lt;&gt;"No encontrado",F4451&lt;&gt;"Inactivo"),C4451&amp;" → "&amp;F4451,"Sin transición"))</f>
        <v/>
      </c>
      <c r="H4451" s="23" t="str">
        <f aca="false">IF(A4451="","",IF(D4451="GCIA LINEA SERVICIO DIGITALIDAD Y VENTAS","Chats",IF(OR(D4451="GERENCIA INBOUND LÍNEAS SERVICIO Y VENTA",D4451="GERENCIA INBOUND LINEAS ESPECIALIZADAS"),"Llamadas","Otro")))</f>
        <v/>
      </c>
      <c r="I4451" s="23" t="str">
        <f aca="false">IF(A4451="","",IF(C4451="No encontrado","No","Sí"))</f>
        <v/>
      </c>
      <c r="J4451" s="23" t="str">
        <f aca="false">IF(A4451="","",IF(F4451="Inactivo","No","Sí"))</f>
        <v/>
      </c>
      <c r="K4451" s="23" t="str">
        <f aca="false">IF(A4451="","",IF(AND(I4451="Sí",J4451="Sí"),"Sí","No"))</f>
        <v/>
      </c>
    </row>
    <row r="4452" customFormat="false" ht="15" hidden="false" customHeight="false" outlineLevel="0" collapsed="false">
      <c r="A4452" s="22"/>
      <c r="B4452" s="22"/>
      <c r="C4452" s="26" t="str">
        <f aca="false">IF(A4452="","",IFERROR(buscarx(A4452&amp;B4452,DATA!$E$3:$E$10000&amp;DATA!$B$3:$B$10000,DATA!$M$3:$M$10000),"No encontrado"))</f>
        <v/>
      </c>
      <c r="D4452" s="27" t="str">
        <f aca="false">IF(A4452="","",IFERROR(buscarx(A4452&amp;B4452,DATA!$E$3:$E$10000&amp;DATA!$B$3:$B$10000,DATA!$W$3:$W$10000),"No encontrado"))</f>
        <v/>
      </c>
      <c r="E4452" s="22"/>
      <c r="F4452" s="26" t="str">
        <f aca="false">IF(A4452="","",IFERROR(buscarx(A4452&amp;E4452,DATA!$E$3:$E$10000&amp;DATA!$B$3:$B$10000,DATA!$M$3:$M$10000),"Inactivo"))</f>
        <v/>
      </c>
      <c r="G4452" s="28" t="str">
        <f aca="false">IF(A4452="","",IF(AND(C4452&lt;&gt;"No encontrado",F4452&lt;&gt;"Inactivo"),C4452&amp;" → "&amp;F4452,"Sin transición"))</f>
        <v/>
      </c>
      <c r="H4452" s="26" t="str">
        <f aca="false">IF(A4452="","",IF(D4452="GCIA LINEA SERVICIO DIGITALIDAD Y VENTAS","Chats",IF(OR(D4452="GERENCIA INBOUND LÍNEAS SERVICIO Y VENTA",D4452="GERENCIA INBOUND LINEAS ESPECIALIZADAS"),"Llamadas","Otro")))</f>
        <v/>
      </c>
      <c r="I4452" s="26" t="str">
        <f aca="false">IF(A4452="","",IF(C4452="No encontrado","No","Sí"))</f>
        <v/>
      </c>
      <c r="J4452" s="26" t="str">
        <f aca="false">IF(A4452="","",IF(F4452="Inactivo","No","Sí"))</f>
        <v/>
      </c>
      <c r="K4452" s="26" t="str">
        <f aca="false">IF(A4452="","",IF(AND(I4452="Sí",J4452="Sí"),"Sí","No"))</f>
        <v/>
      </c>
    </row>
    <row r="4453" customFormat="false" ht="15" hidden="false" customHeight="false" outlineLevel="0" collapsed="false">
      <c r="A4453" s="22"/>
      <c r="B4453" s="22"/>
      <c r="C4453" s="23" t="str">
        <f aca="false">IF(A4453="","",IFERROR(buscarx(A4453&amp;B4453,DATA!$E$3:$E$10000&amp;DATA!$B$3:$B$10000,DATA!$M$3:$M$10000),"No encontrado"))</f>
        <v/>
      </c>
      <c r="D4453" s="24" t="str">
        <f aca="false">IF(A4453="","",IFERROR(buscarx(A4453&amp;B4453,DATA!$E$3:$E$10000&amp;DATA!$B$3:$B$10000,DATA!$W$3:$W$10000),"No encontrado"))</f>
        <v/>
      </c>
      <c r="E4453" s="22"/>
      <c r="F4453" s="23" t="str">
        <f aca="false">IF(A4453="","",IFERROR(buscarx(A4453&amp;E4453,DATA!$E$3:$E$10000&amp;DATA!$B$3:$B$10000,DATA!$M$3:$M$10000),"Inactivo"))</f>
        <v/>
      </c>
      <c r="G4453" s="25" t="str">
        <f aca="false">IF(A4453="","",IF(AND(C4453&lt;&gt;"No encontrado",F4453&lt;&gt;"Inactivo"),C4453&amp;" → "&amp;F4453,"Sin transición"))</f>
        <v/>
      </c>
      <c r="H4453" s="23" t="str">
        <f aca="false">IF(A4453="","",IF(D4453="GCIA LINEA SERVICIO DIGITALIDAD Y VENTAS","Chats",IF(OR(D4453="GERENCIA INBOUND LÍNEAS SERVICIO Y VENTA",D4453="GERENCIA INBOUND LINEAS ESPECIALIZADAS"),"Llamadas","Otro")))</f>
        <v/>
      </c>
      <c r="I4453" s="23" t="str">
        <f aca="false">IF(A4453="","",IF(C4453="No encontrado","No","Sí"))</f>
        <v/>
      </c>
      <c r="J4453" s="23" t="str">
        <f aca="false">IF(A4453="","",IF(F4453="Inactivo","No","Sí"))</f>
        <v/>
      </c>
      <c r="K4453" s="23" t="str">
        <f aca="false">IF(A4453="","",IF(AND(I4453="Sí",J4453="Sí"),"Sí","No"))</f>
        <v/>
      </c>
    </row>
    <row r="4454" customFormat="false" ht="15" hidden="false" customHeight="false" outlineLevel="0" collapsed="false">
      <c r="A4454" s="22"/>
      <c r="B4454" s="22"/>
      <c r="C4454" s="26" t="str">
        <f aca="false">IF(A4454="","",IFERROR(buscarx(A4454&amp;B4454,DATA!$E$3:$E$10000&amp;DATA!$B$3:$B$10000,DATA!$M$3:$M$10000),"No encontrado"))</f>
        <v/>
      </c>
      <c r="D4454" s="27" t="str">
        <f aca="false">IF(A4454="","",IFERROR(buscarx(A4454&amp;B4454,DATA!$E$3:$E$10000&amp;DATA!$B$3:$B$10000,DATA!$W$3:$W$10000),"No encontrado"))</f>
        <v/>
      </c>
      <c r="E4454" s="22"/>
      <c r="F4454" s="26" t="str">
        <f aca="false">IF(A4454="","",IFERROR(buscarx(A4454&amp;E4454,DATA!$E$3:$E$10000&amp;DATA!$B$3:$B$10000,DATA!$M$3:$M$10000),"Inactivo"))</f>
        <v/>
      </c>
      <c r="G4454" s="28" t="str">
        <f aca="false">IF(A4454="","",IF(AND(C4454&lt;&gt;"No encontrado",F4454&lt;&gt;"Inactivo"),C4454&amp;" → "&amp;F4454,"Sin transición"))</f>
        <v/>
      </c>
      <c r="H4454" s="26" t="str">
        <f aca="false">IF(A4454="","",IF(D4454="GCIA LINEA SERVICIO DIGITALIDAD Y VENTAS","Chats",IF(OR(D4454="GERENCIA INBOUND LÍNEAS SERVICIO Y VENTA",D4454="GERENCIA INBOUND LINEAS ESPECIALIZADAS"),"Llamadas","Otro")))</f>
        <v/>
      </c>
      <c r="I4454" s="26" t="str">
        <f aca="false">IF(A4454="","",IF(C4454="No encontrado","No","Sí"))</f>
        <v/>
      </c>
      <c r="J4454" s="26" t="str">
        <f aca="false">IF(A4454="","",IF(F4454="Inactivo","No","Sí"))</f>
        <v/>
      </c>
      <c r="K4454" s="26" t="str">
        <f aca="false">IF(A4454="","",IF(AND(I4454="Sí",J4454="Sí"),"Sí","No"))</f>
        <v/>
      </c>
    </row>
    <row r="4455" customFormat="false" ht="15" hidden="false" customHeight="false" outlineLevel="0" collapsed="false">
      <c r="A4455" s="22"/>
      <c r="B4455" s="22"/>
      <c r="C4455" s="23" t="str">
        <f aca="false">IF(A4455="","",IFERROR(buscarx(A4455&amp;B4455,DATA!$E$3:$E$10000&amp;DATA!$B$3:$B$10000,DATA!$M$3:$M$10000),"No encontrado"))</f>
        <v/>
      </c>
      <c r="D4455" s="24" t="str">
        <f aca="false">IF(A4455="","",IFERROR(buscarx(A4455&amp;B4455,DATA!$E$3:$E$10000&amp;DATA!$B$3:$B$10000,DATA!$W$3:$W$10000),"No encontrado"))</f>
        <v/>
      </c>
      <c r="E4455" s="22"/>
      <c r="F4455" s="23" t="str">
        <f aca="false">IF(A4455="","",IFERROR(buscarx(A4455&amp;E4455,DATA!$E$3:$E$10000&amp;DATA!$B$3:$B$10000,DATA!$M$3:$M$10000),"Inactivo"))</f>
        <v/>
      </c>
      <c r="G4455" s="25" t="str">
        <f aca="false">IF(A4455="","",IF(AND(C4455&lt;&gt;"No encontrado",F4455&lt;&gt;"Inactivo"),C4455&amp;" → "&amp;F4455,"Sin transición"))</f>
        <v/>
      </c>
      <c r="H4455" s="23" t="str">
        <f aca="false">IF(A4455="","",IF(D4455="GCIA LINEA SERVICIO DIGITALIDAD Y VENTAS","Chats",IF(OR(D4455="GERENCIA INBOUND LÍNEAS SERVICIO Y VENTA",D4455="GERENCIA INBOUND LINEAS ESPECIALIZADAS"),"Llamadas","Otro")))</f>
        <v/>
      </c>
      <c r="I4455" s="23" t="str">
        <f aca="false">IF(A4455="","",IF(C4455="No encontrado","No","Sí"))</f>
        <v/>
      </c>
      <c r="J4455" s="23" t="str">
        <f aca="false">IF(A4455="","",IF(F4455="Inactivo","No","Sí"))</f>
        <v/>
      </c>
      <c r="K4455" s="23" t="str">
        <f aca="false">IF(A4455="","",IF(AND(I4455="Sí",J4455="Sí"),"Sí","No"))</f>
        <v/>
      </c>
    </row>
    <row r="4456" customFormat="false" ht="15" hidden="false" customHeight="false" outlineLevel="0" collapsed="false">
      <c r="A4456" s="22"/>
      <c r="B4456" s="22"/>
      <c r="C4456" s="26" t="str">
        <f aca="false">IF(A4456="","",IFERROR(buscarx(A4456&amp;B4456,DATA!$E$3:$E$10000&amp;DATA!$B$3:$B$10000,DATA!$M$3:$M$10000),"No encontrado"))</f>
        <v/>
      </c>
      <c r="D4456" s="27" t="str">
        <f aca="false">IF(A4456="","",IFERROR(buscarx(A4456&amp;B4456,DATA!$E$3:$E$10000&amp;DATA!$B$3:$B$10000,DATA!$W$3:$W$10000),"No encontrado"))</f>
        <v/>
      </c>
      <c r="E4456" s="22"/>
      <c r="F4456" s="26" t="str">
        <f aca="false">IF(A4456="","",IFERROR(buscarx(A4456&amp;E4456,DATA!$E$3:$E$10000&amp;DATA!$B$3:$B$10000,DATA!$M$3:$M$10000),"Inactivo"))</f>
        <v/>
      </c>
      <c r="G4456" s="28" t="str">
        <f aca="false">IF(A4456="","",IF(AND(C4456&lt;&gt;"No encontrado",F4456&lt;&gt;"Inactivo"),C4456&amp;" → "&amp;F4456,"Sin transición"))</f>
        <v/>
      </c>
      <c r="H4456" s="26" t="str">
        <f aca="false">IF(A4456="","",IF(D4456="GCIA LINEA SERVICIO DIGITALIDAD Y VENTAS","Chats",IF(OR(D4456="GERENCIA INBOUND LÍNEAS SERVICIO Y VENTA",D4456="GERENCIA INBOUND LINEAS ESPECIALIZADAS"),"Llamadas","Otro")))</f>
        <v/>
      </c>
      <c r="I4456" s="26" t="str">
        <f aca="false">IF(A4456="","",IF(C4456="No encontrado","No","Sí"))</f>
        <v/>
      </c>
      <c r="J4456" s="26" t="str">
        <f aca="false">IF(A4456="","",IF(F4456="Inactivo","No","Sí"))</f>
        <v/>
      </c>
      <c r="K4456" s="26" t="str">
        <f aca="false">IF(A4456="","",IF(AND(I4456="Sí",J4456="Sí"),"Sí","No"))</f>
        <v/>
      </c>
    </row>
    <row r="4457" customFormat="false" ht="15" hidden="false" customHeight="false" outlineLevel="0" collapsed="false">
      <c r="A4457" s="22"/>
      <c r="B4457" s="22"/>
      <c r="C4457" s="23" t="str">
        <f aca="false">IF(A4457="","",IFERROR(buscarx(A4457&amp;B4457,DATA!$E$3:$E$10000&amp;DATA!$B$3:$B$10000,DATA!$M$3:$M$10000),"No encontrado"))</f>
        <v/>
      </c>
      <c r="D4457" s="24" t="str">
        <f aca="false">IF(A4457="","",IFERROR(buscarx(A4457&amp;B4457,DATA!$E$3:$E$10000&amp;DATA!$B$3:$B$10000,DATA!$W$3:$W$10000),"No encontrado"))</f>
        <v/>
      </c>
      <c r="E4457" s="22"/>
      <c r="F4457" s="23" t="str">
        <f aca="false">IF(A4457="","",IFERROR(buscarx(A4457&amp;E4457,DATA!$E$3:$E$10000&amp;DATA!$B$3:$B$10000,DATA!$M$3:$M$10000),"Inactivo"))</f>
        <v/>
      </c>
      <c r="G4457" s="25" t="str">
        <f aca="false">IF(A4457="","",IF(AND(C4457&lt;&gt;"No encontrado",F4457&lt;&gt;"Inactivo"),C4457&amp;" → "&amp;F4457,"Sin transición"))</f>
        <v/>
      </c>
      <c r="H4457" s="23" t="str">
        <f aca="false">IF(A4457="","",IF(D4457="GCIA LINEA SERVICIO DIGITALIDAD Y VENTAS","Chats",IF(OR(D4457="GERENCIA INBOUND LÍNEAS SERVICIO Y VENTA",D4457="GERENCIA INBOUND LINEAS ESPECIALIZADAS"),"Llamadas","Otro")))</f>
        <v/>
      </c>
      <c r="I4457" s="23" t="str">
        <f aca="false">IF(A4457="","",IF(C4457="No encontrado","No","Sí"))</f>
        <v/>
      </c>
      <c r="J4457" s="23" t="str">
        <f aca="false">IF(A4457="","",IF(F4457="Inactivo","No","Sí"))</f>
        <v/>
      </c>
      <c r="K4457" s="23" t="str">
        <f aca="false">IF(A4457="","",IF(AND(I4457="Sí",J4457="Sí"),"Sí","No"))</f>
        <v/>
      </c>
    </row>
    <row r="4458" customFormat="false" ht="15" hidden="false" customHeight="false" outlineLevel="0" collapsed="false">
      <c r="A4458" s="22"/>
      <c r="B4458" s="22"/>
      <c r="C4458" s="26" t="str">
        <f aca="false">IF(A4458="","",IFERROR(buscarx(A4458&amp;B4458,DATA!$E$3:$E$10000&amp;DATA!$B$3:$B$10000,DATA!$M$3:$M$10000),"No encontrado"))</f>
        <v/>
      </c>
      <c r="D4458" s="27" t="str">
        <f aca="false">IF(A4458="","",IFERROR(buscarx(A4458&amp;B4458,DATA!$E$3:$E$10000&amp;DATA!$B$3:$B$10000,DATA!$W$3:$W$10000),"No encontrado"))</f>
        <v/>
      </c>
      <c r="E4458" s="22"/>
      <c r="F4458" s="26" t="str">
        <f aca="false">IF(A4458="","",IFERROR(buscarx(A4458&amp;E4458,DATA!$E$3:$E$10000&amp;DATA!$B$3:$B$10000,DATA!$M$3:$M$10000),"Inactivo"))</f>
        <v/>
      </c>
      <c r="G4458" s="28" t="str">
        <f aca="false">IF(A4458="","",IF(AND(C4458&lt;&gt;"No encontrado",F4458&lt;&gt;"Inactivo"),C4458&amp;" → "&amp;F4458,"Sin transición"))</f>
        <v/>
      </c>
      <c r="H4458" s="26" t="str">
        <f aca="false">IF(A4458="","",IF(D4458="GCIA LINEA SERVICIO DIGITALIDAD Y VENTAS","Chats",IF(OR(D4458="GERENCIA INBOUND LÍNEAS SERVICIO Y VENTA",D4458="GERENCIA INBOUND LINEAS ESPECIALIZADAS"),"Llamadas","Otro")))</f>
        <v/>
      </c>
      <c r="I4458" s="26" t="str">
        <f aca="false">IF(A4458="","",IF(C4458="No encontrado","No","Sí"))</f>
        <v/>
      </c>
      <c r="J4458" s="26" t="str">
        <f aca="false">IF(A4458="","",IF(F4458="Inactivo","No","Sí"))</f>
        <v/>
      </c>
      <c r="K4458" s="26" t="str">
        <f aca="false">IF(A4458="","",IF(AND(I4458="Sí",J4458="Sí"),"Sí","No"))</f>
        <v/>
      </c>
    </row>
    <row r="4459" customFormat="false" ht="15" hidden="false" customHeight="false" outlineLevel="0" collapsed="false">
      <c r="A4459" s="22"/>
      <c r="B4459" s="22"/>
      <c r="C4459" s="23" t="str">
        <f aca="false">IF(A4459="","",IFERROR(buscarx(A4459&amp;B4459,DATA!$E$3:$E$10000&amp;DATA!$B$3:$B$10000,DATA!$M$3:$M$10000),"No encontrado"))</f>
        <v/>
      </c>
      <c r="D4459" s="24" t="str">
        <f aca="false">IF(A4459="","",IFERROR(buscarx(A4459&amp;B4459,DATA!$E$3:$E$10000&amp;DATA!$B$3:$B$10000,DATA!$W$3:$W$10000),"No encontrado"))</f>
        <v/>
      </c>
      <c r="E4459" s="22"/>
      <c r="F4459" s="23" t="str">
        <f aca="false">IF(A4459="","",IFERROR(buscarx(A4459&amp;E4459,DATA!$E$3:$E$10000&amp;DATA!$B$3:$B$10000,DATA!$M$3:$M$10000),"Inactivo"))</f>
        <v/>
      </c>
      <c r="G4459" s="25" t="str">
        <f aca="false">IF(A4459="","",IF(AND(C4459&lt;&gt;"No encontrado",F4459&lt;&gt;"Inactivo"),C4459&amp;" → "&amp;F4459,"Sin transición"))</f>
        <v/>
      </c>
      <c r="H4459" s="23" t="str">
        <f aca="false">IF(A4459="","",IF(D4459="GCIA LINEA SERVICIO DIGITALIDAD Y VENTAS","Chats",IF(OR(D4459="GERENCIA INBOUND LÍNEAS SERVICIO Y VENTA",D4459="GERENCIA INBOUND LINEAS ESPECIALIZADAS"),"Llamadas","Otro")))</f>
        <v/>
      </c>
      <c r="I4459" s="23" t="str">
        <f aca="false">IF(A4459="","",IF(C4459="No encontrado","No","Sí"))</f>
        <v/>
      </c>
      <c r="J4459" s="23" t="str">
        <f aca="false">IF(A4459="","",IF(F4459="Inactivo","No","Sí"))</f>
        <v/>
      </c>
      <c r="K4459" s="23" t="str">
        <f aca="false">IF(A4459="","",IF(AND(I4459="Sí",J4459="Sí"),"Sí","No"))</f>
        <v/>
      </c>
    </row>
    <row r="4460" customFormat="false" ht="15" hidden="false" customHeight="false" outlineLevel="0" collapsed="false">
      <c r="A4460" s="22"/>
      <c r="B4460" s="22"/>
      <c r="C4460" s="26" t="str">
        <f aca="false">IF(A4460="","",IFERROR(buscarx(A4460&amp;B4460,DATA!$E$3:$E$10000&amp;DATA!$B$3:$B$10000,DATA!$M$3:$M$10000),"No encontrado"))</f>
        <v/>
      </c>
      <c r="D4460" s="27" t="str">
        <f aca="false">IF(A4460="","",IFERROR(buscarx(A4460&amp;B4460,DATA!$E$3:$E$10000&amp;DATA!$B$3:$B$10000,DATA!$W$3:$W$10000),"No encontrado"))</f>
        <v/>
      </c>
      <c r="E4460" s="22"/>
      <c r="F4460" s="26" t="str">
        <f aca="false">IF(A4460="","",IFERROR(buscarx(A4460&amp;E4460,DATA!$E$3:$E$10000&amp;DATA!$B$3:$B$10000,DATA!$M$3:$M$10000),"Inactivo"))</f>
        <v/>
      </c>
      <c r="G4460" s="28" t="str">
        <f aca="false">IF(A4460="","",IF(AND(C4460&lt;&gt;"No encontrado",F4460&lt;&gt;"Inactivo"),C4460&amp;" → "&amp;F4460,"Sin transición"))</f>
        <v/>
      </c>
      <c r="H4460" s="26" t="str">
        <f aca="false">IF(A4460="","",IF(D4460="GCIA LINEA SERVICIO DIGITALIDAD Y VENTAS","Chats",IF(OR(D4460="GERENCIA INBOUND LÍNEAS SERVICIO Y VENTA",D4460="GERENCIA INBOUND LINEAS ESPECIALIZADAS"),"Llamadas","Otro")))</f>
        <v/>
      </c>
      <c r="I4460" s="26" t="str">
        <f aca="false">IF(A4460="","",IF(C4460="No encontrado","No","Sí"))</f>
        <v/>
      </c>
      <c r="J4460" s="26" t="str">
        <f aca="false">IF(A4460="","",IF(F4460="Inactivo","No","Sí"))</f>
        <v/>
      </c>
      <c r="K4460" s="26" t="str">
        <f aca="false">IF(A4460="","",IF(AND(I4460="Sí",J4460="Sí"),"Sí","No"))</f>
        <v/>
      </c>
    </row>
    <row r="4461" customFormat="false" ht="15" hidden="false" customHeight="false" outlineLevel="0" collapsed="false">
      <c r="A4461" s="22"/>
      <c r="B4461" s="22"/>
      <c r="C4461" s="23" t="str">
        <f aca="false">IF(A4461="","",IFERROR(buscarx(A4461&amp;B4461,DATA!$E$3:$E$10000&amp;DATA!$B$3:$B$10000,DATA!$M$3:$M$10000),"No encontrado"))</f>
        <v/>
      </c>
      <c r="D4461" s="24" t="str">
        <f aca="false">IF(A4461="","",IFERROR(buscarx(A4461&amp;B4461,DATA!$E$3:$E$10000&amp;DATA!$B$3:$B$10000,DATA!$W$3:$W$10000),"No encontrado"))</f>
        <v/>
      </c>
      <c r="E4461" s="22"/>
      <c r="F4461" s="23" t="str">
        <f aca="false">IF(A4461="","",IFERROR(buscarx(A4461&amp;E4461,DATA!$E$3:$E$10000&amp;DATA!$B$3:$B$10000,DATA!$M$3:$M$10000),"Inactivo"))</f>
        <v/>
      </c>
      <c r="G4461" s="25" t="str">
        <f aca="false">IF(A4461="","",IF(AND(C4461&lt;&gt;"No encontrado",F4461&lt;&gt;"Inactivo"),C4461&amp;" → "&amp;F4461,"Sin transición"))</f>
        <v/>
      </c>
      <c r="H4461" s="23" t="str">
        <f aca="false">IF(A4461="","",IF(D4461="GCIA LINEA SERVICIO DIGITALIDAD Y VENTAS","Chats",IF(OR(D4461="GERENCIA INBOUND LÍNEAS SERVICIO Y VENTA",D4461="GERENCIA INBOUND LINEAS ESPECIALIZADAS"),"Llamadas","Otro")))</f>
        <v/>
      </c>
      <c r="I4461" s="23" t="str">
        <f aca="false">IF(A4461="","",IF(C4461="No encontrado","No","Sí"))</f>
        <v/>
      </c>
      <c r="J4461" s="23" t="str">
        <f aca="false">IF(A4461="","",IF(F4461="Inactivo","No","Sí"))</f>
        <v/>
      </c>
      <c r="K4461" s="23" t="str">
        <f aca="false">IF(A4461="","",IF(AND(I4461="Sí",J4461="Sí"),"Sí","No"))</f>
        <v/>
      </c>
    </row>
    <row r="4462" customFormat="false" ht="15" hidden="false" customHeight="false" outlineLevel="0" collapsed="false">
      <c r="A4462" s="22"/>
      <c r="B4462" s="22"/>
      <c r="C4462" s="26" t="str">
        <f aca="false">IF(A4462="","",IFERROR(buscarx(A4462&amp;B4462,DATA!$E$3:$E$10000&amp;DATA!$B$3:$B$10000,DATA!$M$3:$M$10000),"No encontrado"))</f>
        <v/>
      </c>
      <c r="D4462" s="27" t="str">
        <f aca="false">IF(A4462="","",IFERROR(buscarx(A4462&amp;B4462,DATA!$E$3:$E$10000&amp;DATA!$B$3:$B$10000,DATA!$W$3:$W$10000),"No encontrado"))</f>
        <v/>
      </c>
      <c r="E4462" s="22"/>
      <c r="F4462" s="26" t="str">
        <f aca="false">IF(A4462="","",IFERROR(buscarx(A4462&amp;E4462,DATA!$E$3:$E$10000&amp;DATA!$B$3:$B$10000,DATA!$M$3:$M$10000),"Inactivo"))</f>
        <v/>
      </c>
      <c r="G4462" s="28" t="str">
        <f aca="false">IF(A4462="","",IF(AND(C4462&lt;&gt;"No encontrado",F4462&lt;&gt;"Inactivo"),C4462&amp;" → "&amp;F4462,"Sin transición"))</f>
        <v/>
      </c>
      <c r="H4462" s="26" t="str">
        <f aca="false">IF(A4462="","",IF(D4462="GCIA LINEA SERVICIO DIGITALIDAD Y VENTAS","Chats",IF(OR(D4462="GERENCIA INBOUND LÍNEAS SERVICIO Y VENTA",D4462="GERENCIA INBOUND LINEAS ESPECIALIZADAS"),"Llamadas","Otro")))</f>
        <v/>
      </c>
      <c r="I4462" s="26" t="str">
        <f aca="false">IF(A4462="","",IF(C4462="No encontrado","No","Sí"))</f>
        <v/>
      </c>
      <c r="J4462" s="26" t="str">
        <f aca="false">IF(A4462="","",IF(F4462="Inactivo","No","Sí"))</f>
        <v/>
      </c>
      <c r="K4462" s="26" t="str">
        <f aca="false">IF(A4462="","",IF(AND(I4462="Sí",J4462="Sí"),"Sí","No"))</f>
        <v/>
      </c>
    </row>
    <row r="4463" customFormat="false" ht="15" hidden="false" customHeight="false" outlineLevel="0" collapsed="false">
      <c r="A4463" s="22"/>
      <c r="B4463" s="22"/>
      <c r="C4463" s="23" t="str">
        <f aca="false">IF(A4463="","",IFERROR(buscarx(A4463&amp;B4463,DATA!$E$3:$E$10000&amp;DATA!$B$3:$B$10000,DATA!$M$3:$M$10000),"No encontrado"))</f>
        <v/>
      </c>
      <c r="D4463" s="24" t="str">
        <f aca="false">IF(A4463="","",IFERROR(buscarx(A4463&amp;B4463,DATA!$E$3:$E$10000&amp;DATA!$B$3:$B$10000,DATA!$W$3:$W$10000),"No encontrado"))</f>
        <v/>
      </c>
      <c r="E4463" s="22"/>
      <c r="F4463" s="23" t="str">
        <f aca="false">IF(A4463="","",IFERROR(buscarx(A4463&amp;E4463,DATA!$E$3:$E$10000&amp;DATA!$B$3:$B$10000,DATA!$M$3:$M$10000),"Inactivo"))</f>
        <v/>
      </c>
      <c r="G4463" s="25" t="str">
        <f aca="false">IF(A4463="","",IF(AND(C4463&lt;&gt;"No encontrado",F4463&lt;&gt;"Inactivo"),C4463&amp;" → "&amp;F4463,"Sin transición"))</f>
        <v/>
      </c>
      <c r="H4463" s="23" t="str">
        <f aca="false">IF(A4463="","",IF(D4463="GCIA LINEA SERVICIO DIGITALIDAD Y VENTAS","Chats",IF(OR(D4463="GERENCIA INBOUND LÍNEAS SERVICIO Y VENTA",D4463="GERENCIA INBOUND LINEAS ESPECIALIZADAS"),"Llamadas","Otro")))</f>
        <v/>
      </c>
      <c r="I4463" s="23" t="str">
        <f aca="false">IF(A4463="","",IF(C4463="No encontrado","No","Sí"))</f>
        <v/>
      </c>
      <c r="J4463" s="23" t="str">
        <f aca="false">IF(A4463="","",IF(F4463="Inactivo","No","Sí"))</f>
        <v/>
      </c>
      <c r="K4463" s="23" t="str">
        <f aca="false">IF(A4463="","",IF(AND(I4463="Sí",J4463="Sí"),"Sí","No"))</f>
        <v/>
      </c>
    </row>
    <row r="4464" customFormat="false" ht="15" hidden="false" customHeight="false" outlineLevel="0" collapsed="false">
      <c r="A4464" s="22"/>
      <c r="B4464" s="22"/>
      <c r="C4464" s="26" t="str">
        <f aca="false">IF(A4464="","",IFERROR(buscarx(A4464&amp;B4464,DATA!$E$3:$E$10000&amp;DATA!$B$3:$B$10000,DATA!$M$3:$M$10000),"No encontrado"))</f>
        <v/>
      </c>
      <c r="D4464" s="27" t="str">
        <f aca="false">IF(A4464="","",IFERROR(buscarx(A4464&amp;B4464,DATA!$E$3:$E$10000&amp;DATA!$B$3:$B$10000,DATA!$W$3:$W$10000),"No encontrado"))</f>
        <v/>
      </c>
      <c r="E4464" s="22"/>
      <c r="F4464" s="26" t="str">
        <f aca="false">IF(A4464="","",IFERROR(buscarx(A4464&amp;E4464,DATA!$E$3:$E$10000&amp;DATA!$B$3:$B$10000,DATA!$M$3:$M$10000),"Inactivo"))</f>
        <v/>
      </c>
      <c r="G4464" s="28" t="str">
        <f aca="false">IF(A4464="","",IF(AND(C4464&lt;&gt;"No encontrado",F4464&lt;&gt;"Inactivo"),C4464&amp;" → "&amp;F4464,"Sin transición"))</f>
        <v/>
      </c>
      <c r="H4464" s="26" t="str">
        <f aca="false">IF(A4464="","",IF(D4464="GCIA LINEA SERVICIO DIGITALIDAD Y VENTAS","Chats",IF(OR(D4464="GERENCIA INBOUND LÍNEAS SERVICIO Y VENTA",D4464="GERENCIA INBOUND LINEAS ESPECIALIZADAS"),"Llamadas","Otro")))</f>
        <v/>
      </c>
      <c r="I4464" s="26" t="str">
        <f aca="false">IF(A4464="","",IF(C4464="No encontrado","No","Sí"))</f>
        <v/>
      </c>
      <c r="J4464" s="26" t="str">
        <f aca="false">IF(A4464="","",IF(F4464="Inactivo","No","Sí"))</f>
        <v/>
      </c>
      <c r="K4464" s="26" t="str">
        <f aca="false">IF(A4464="","",IF(AND(I4464="Sí",J4464="Sí"),"Sí","No"))</f>
        <v/>
      </c>
    </row>
    <row r="4465" customFormat="false" ht="15" hidden="false" customHeight="false" outlineLevel="0" collapsed="false">
      <c r="A4465" s="22"/>
      <c r="B4465" s="22"/>
      <c r="C4465" s="23" t="str">
        <f aca="false">IF(A4465="","",IFERROR(buscarx(A4465&amp;B4465,DATA!$E$3:$E$10000&amp;DATA!$B$3:$B$10000,DATA!$M$3:$M$10000),"No encontrado"))</f>
        <v/>
      </c>
      <c r="D4465" s="24" t="str">
        <f aca="false">IF(A4465="","",IFERROR(buscarx(A4465&amp;B4465,DATA!$E$3:$E$10000&amp;DATA!$B$3:$B$10000,DATA!$W$3:$W$10000),"No encontrado"))</f>
        <v/>
      </c>
      <c r="E4465" s="22"/>
      <c r="F4465" s="23" t="str">
        <f aca="false">IF(A4465="","",IFERROR(buscarx(A4465&amp;E4465,DATA!$E$3:$E$10000&amp;DATA!$B$3:$B$10000,DATA!$M$3:$M$10000),"Inactivo"))</f>
        <v/>
      </c>
      <c r="G4465" s="25" t="str">
        <f aca="false">IF(A4465="","",IF(AND(C4465&lt;&gt;"No encontrado",F4465&lt;&gt;"Inactivo"),C4465&amp;" → "&amp;F4465,"Sin transición"))</f>
        <v/>
      </c>
      <c r="H4465" s="23" t="str">
        <f aca="false">IF(A4465="","",IF(D4465="GCIA LINEA SERVICIO DIGITALIDAD Y VENTAS","Chats",IF(OR(D4465="GERENCIA INBOUND LÍNEAS SERVICIO Y VENTA",D4465="GERENCIA INBOUND LINEAS ESPECIALIZADAS"),"Llamadas","Otro")))</f>
        <v/>
      </c>
      <c r="I4465" s="23" t="str">
        <f aca="false">IF(A4465="","",IF(C4465="No encontrado","No","Sí"))</f>
        <v/>
      </c>
      <c r="J4465" s="23" t="str">
        <f aca="false">IF(A4465="","",IF(F4465="Inactivo","No","Sí"))</f>
        <v/>
      </c>
      <c r="K4465" s="23" t="str">
        <f aca="false">IF(A4465="","",IF(AND(I4465="Sí",J4465="Sí"),"Sí","No"))</f>
        <v/>
      </c>
    </row>
    <row r="4466" customFormat="false" ht="15" hidden="false" customHeight="false" outlineLevel="0" collapsed="false">
      <c r="A4466" s="22"/>
      <c r="B4466" s="22"/>
      <c r="C4466" s="26" t="str">
        <f aca="false">IF(A4466="","",IFERROR(buscarx(A4466&amp;B4466,DATA!$E$3:$E$10000&amp;DATA!$B$3:$B$10000,DATA!$M$3:$M$10000),"No encontrado"))</f>
        <v/>
      </c>
      <c r="D4466" s="27" t="str">
        <f aca="false">IF(A4466="","",IFERROR(buscarx(A4466&amp;B4466,DATA!$E$3:$E$10000&amp;DATA!$B$3:$B$10000,DATA!$W$3:$W$10000),"No encontrado"))</f>
        <v/>
      </c>
      <c r="E4466" s="22"/>
      <c r="F4466" s="26" t="str">
        <f aca="false">IF(A4466="","",IFERROR(buscarx(A4466&amp;E4466,DATA!$E$3:$E$10000&amp;DATA!$B$3:$B$10000,DATA!$M$3:$M$10000),"Inactivo"))</f>
        <v/>
      </c>
      <c r="G4466" s="28" t="str">
        <f aca="false">IF(A4466="","",IF(AND(C4466&lt;&gt;"No encontrado",F4466&lt;&gt;"Inactivo"),C4466&amp;" → "&amp;F4466,"Sin transición"))</f>
        <v/>
      </c>
      <c r="H4466" s="26" t="str">
        <f aca="false">IF(A4466="","",IF(D4466="GCIA LINEA SERVICIO DIGITALIDAD Y VENTAS","Chats",IF(OR(D4466="GERENCIA INBOUND LÍNEAS SERVICIO Y VENTA",D4466="GERENCIA INBOUND LINEAS ESPECIALIZADAS"),"Llamadas","Otro")))</f>
        <v/>
      </c>
      <c r="I4466" s="26" t="str">
        <f aca="false">IF(A4466="","",IF(C4466="No encontrado","No","Sí"))</f>
        <v/>
      </c>
      <c r="J4466" s="26" t="str">
        <f aca="false">IF(A4466="","",IF(F4466="Inactivo","No","Sí"))</f>
        <v/>
      </c>
      <c r="K4466" s="26" t="str">
        <f aca="false">IF(A4466="","",IF(AND(I4466="Sí",J4466="Sí"),"Sí","No"))</f>
        <v/>
      </c>
    </row>
    <row r="4467" customFormat="false" ht="15" hidden="false" customHeight="false" outlineLevel="0" collapsed="false">
      <c r="A4467" s="22"/>
      <c r="B4467" s="22"/>
      <c r="C4467" s="23" t="str">
        <f aca="false">IF(A4467="","",IFERROR(buscarx(A4467&amp;B4467,DATA!$E$3:$E$10000&amp;DATA!$B$3:$B$10000,DATA!$M$3:$M$10000),"No encontrado"))</f>
        <v/>
      </c>
      <c r="D4467" s="24" t="str">
        <f aca="false">IF(A4467="","",IFERROR(buscarx(A4467&amp;B4467,DATA!$E$3:$E$10000&amp;DATA!$B$3:$B$10000,DATA!$W$3:$W$10000),"No encontrado"))</f>
        <v/>
      </c>
      <c r="E4467" s="22"/>
      <c r="F4467" s="23" t="str">
        <f aca="false">IF(A4467="","",IFERROR(buscarx(A4467&amp;E4467,DATA!$E$3:$E$10000&amp;DATA!$B$3:$B$10000,DATA!$M$3:$M$10000),"Inactivo"))</f>
        <v/>
      </c>
      <c r="G4467" s="25" t="str">
        <f aca="false">IF(A4467="","",IF(AND(C4467&lt;&gt;"No encontrado",F4467&lt;&gt;"Inactivo"),C4467&amp;" → "&amp;F4467,"Sin transición"))</f>
        <v/>
      </c>
      <c r="H4467" s="23" t="str">
        <f aca="false">IF(A4467="","",IF(D4467="GCIA LINEA SERVICIO DIGITALIDAD Y VENTAS","Chats",IF(OR(D4467="GERENCIA INBOUND LÍNEAS SERVICIO Y VENTA",D4467="GERENCIA INBOUND LINEAS ESPECIALIZADAS"),"Llamadas","Otro")))</f>
        <v/>
      </c>
      <c r="I4467" s="23" t="str">
        <f aca="false">IF(A4467="","",IF(C4467="No encontrado","No","Sí"))</f>
        <v/>
      </c>
      <c r="J4467" s="23" t="str">
        <f aca="false">IF(A4467="","",IF(F4467="Inactivo","No","Sí"))</f>
        <v/>
      </c>
      <c r="K4467" s="23" t="str">
        <f aca="false">IF(A4467="","",IF(AND(I4467="Sí",J4467="Sí"),"Sí","No"))</f>
        <v/>
      </c>
    </row>
    <row r="4468" customFormat="false" ht="15" hidden="false" customHeight="false" outlineLevel="0" collapsed="false">
      <c r="A4468" s="22"/>
      <c r="B4468" s="22"/>
      <c r="C4468" s="26" t="str">
        <f aca="false">IF(A4468="","",IFERROR(buscarx(A4468&amp;B4468,DATA!$E$3:$E$10000&amp;DATA!$B$3:$B$10000,DATA!$M$3:$M$10000),"No encontrado"))</f>
        <v/>
      </c>
      <c r="D4468" s="27" t="str">
        <f aca="false">IF(A4468="","",IFERROR(buscarx(A4468&amp;B4468,DATA!$E$3:$E$10000&amp;DATA!$B$3:$B$10000,DATA!$W$3:$W$10000),"No encontrado"))</f>
        <v/>
      </c>
      <c r="E4468" s="22"/>
      <c r="F4468" s="26" t="str">
        <f aca="false">IF(A4468="","",IFERROR(buscarx(A4468&amp;E4468,DATA!$E$3:$E$10000&amp;DATA!$B$3:$B$10000,DATA!$M$3:$M$10000),"Inactivo"))</f>
        <v/>
      </c>
      <c r="G4468" s="28" t="str">
        <f aca="false">IF(A4468="","",IF(AND(C4468&lt;&gt;"No encontrado",F4468&lt;&gt;"Inactivo"),C4468&amp;" → "&amp;F4468,"Sin transición"))</f>
        <v/>
      </c>
      <c r="H4468" s="26" t="str">
        <f aca="false">IF(A4468="","",IF(D4468="GCIA LINEA SERVICIO DIGITALIDAD Y VENTAS","Chats",IF(OR(D4468="GERENCIA INBOUND LÍNEAS SERVICIO Y VENTA",D4468="GERENCIA INBOUND LINEAS ESPECIALIZADAS"),"Llamadas","Otro")))</f>
        <v/>
      </c>
      <c r="I4468" s="26" t="str">
        <f aca="false">IF(A4468="","",IF(C4468="No encontrado","No","Sí"))</f>
        <v/>
      </c>
      <c r="J4468" s="26" t="str">
        <f aca="false">IF(A4468="","",IF(F4468="Inactivo","No","Sí"))</f>
        <v/>
      </c>
      <c r="K4468" s="26" t="str">
        <f aca="false">IF(A4468="","",IF(AND(I4468="Sí",J4468="Sí"),"Sí","No"))</f>
        <v/>
      </c>
    </row>
    <row r="4469" customFormat="false" ht="15" hidden="false" customHeight="false" outlineLevel="0" collapsed="false">
      <c r="A4469" s="22"/>
      <c r="B4469" s="22"/>
      <c r="C4469" s="23" t="str">
        <f aca="false">IF(A4469="","",IFERROR(buscarx(A4469&amp;B4469,DATA!$E$3:$E$10000&amp;DATA!$B$3:$B$10000,DATA!$M$3:$M$10000),"No encontrado"))</f>
        <v/>
      </c>
      <c r="D4469" s="24" t="str">
        <f aca="false">IF(A4469="","",IFERROR(buscarx(A4469&amp;B4469,DATA!$E$3:$E$10000&amp;DATA!$B$3:$B$10000,DATA!$W$3:$W$10000),"No encontrado"))</f>
        <v/>
      </c>
      <c r="E4469" s="22"/>
      <c r="F4469" s="23" t="str">
        <f aca="false">IF(A4469="","",IFERROR(buscarx(A4469&amp;E4469,DATA!$E$3:$E$10000&amp;DATA!$B$3:$B$10000,DATA!$M$3:$M$10000),"Inactivo"))</f>
        <v/>
      </c>
      <c r="G4469" s="25" t="str">
        <f aca="false">IF(A4469="","",IF(AND(C4469&lt;&gt;"No encontrado",F4469&lt;&gt;"Inactivo"),C4469&amp;" → "&amp;F4469,"Sin transición"))</f>
        <v/>
      </c>
      <c r="H4469" s="23" t="str">
        <f aca="false">IF(A4469="","",IF(D4469="GCIA LINEA SERVICIO DIGITALIDAD Y VENTAS","Chats",IF(OR(D4469="GERENCIA INBOUND LÍNEAS SERVICIO Y VENTA",D4469="GERENCIA INBOUND LINEAS ESPECIALIZADAS"),"Llamadas","Otro")))</f>
        <v/>
      </c>
      <c r="I4469" s="23" t="str">
        <f aca="false">IF(A4469="","",IF(C4469="No encontrado","No","Sí"))</f>
        <v/>
      </c>
      <c r="J4469" s="23" t="str">
        <f aca="false">IF(A4469="","",IF(F4469="Inactivo","No","Sí"))</f>
        <v/>
      </c>
      <c r="K4469" s="23" t="str">
        <f aca="false">IF(A4469="","",IF(AND(I4469="Sí",J4469="Sí"),"Sí","No"))</f>
        <v/>
      </c>
    </row>
    <row r="4470" customFormat="false" ht="15" hidden="false" customHeight="false" outlineLevel="0" collapsed="false">
      <c r="A4470" s="22"/>
      <c r="B4470" s="22"/>
      <c r="C4470" s="26" t="str">
        <f aca="false">IF(A4470="","",IFERROR(buscarx(A4470&amp;B4470,DATA!$E$3:$E$10000&amp;DATA!$B$3:$B$10000,DATA!$M$3:$M$10000),"No encontrado"))</f>
        <v/>
      </c>
      <c r="D4470" s="27" t="str">
        <f aca="false">IF(A4470="","",IFERROR(buscarx(A4470&amp;B4470,DATA!$E$3:$E$10000&amp;DATA!$B$3:$B$10000,DATA!$W$3:$W$10000),"No encontrado"))</f>
        <v/>
      </c>
      <c r="E4470" s="22"/>
      <c r="F4470" s="26" t="str">
        <f aca="false">IF(A4470="","",IFERROR(buscarx(A4470&amp;E4470,DATA!$E$3:$E$10000&amp;DATA!$B$3:$B$10000,DATA!$M$3:$M$10000),"Inactivo"))</f>
        <v/>
      </c>
      <c r="G4470" s="28" t="str">
        <f aca="false">IF(A4470="","",IF(AND(C4470&lt;&gt;"No encontrado",F4470&lt;&gt;"Inactivo"),C4470&amp;" → "&amp;F4470,"Sin transición"))</f>
        <v/>
      </c>
      <c r="H4470" s="26" t="str">
        <f aca="false">IF(A4470="","",IF(D4470="GCIA LINEA SERVICIO DIGITALIDAD Y VENTAS","Chats",IF(OR(D4470="GERENCIA INBOUND LÍNEAS SERVICIO Y VENTA",D4470="GERENCIA INBOUND LINEAS ESPECIALIZADAS"),"Llamadas","Otro")))</f>
        <v/>
      </c>
      <c r="I4470" s="26" t="str">
        <f aca="false">IF(A4470="","",IF(C4470="No encontrado","No","Sí"))</f>
        <v/>
      </c>
      <c r="J4470" s="26" t="str">
        <f aca="false">IF(A4470="","",IF(F4470="Inactivo","No","Sí"))</f>
        <v/>
      </c>
      <c r="K4470" s="26" t="str">
        <f aca="false">IF(A4470="","",IF(AND(I4470="Sí",J4470="Sí"),"Sí","No"))</f>
        <v/>
      </c>
    </row>
    <row r="4471" customFormat="false" ht="15" hidden="false" customHeight="false" outlineLevel="0" collapsed="false">
      <c r="A4471" s="22"/>
      <c r="B4471" s="22"/>
      <c r="C4471" s="23" t="str">
        <f aca="false">IF(A4471="","",IFERROR(buscarx(A4471&amp;B4471,DATA!$E$3:$E$10000&amp;DATA!$B$3:$B$10000,DATA!$M$3:$M$10000),"No encontrado"))</f>
        <v/>
      </c>
      <c r="D4471" s="24" t="str">
        <f aca="false">IF(A4471="","",IFERROR(buscarx(A4471&amp;B4471,DATA!$E$3:$E$10000&amp;DATA!$B$3:$B$10000,DATA!$W$3:$W$10000),"No encontrado"))</f>
        <v/>
      </c>
      <c r="E4471" s="22"/>
      <c r="F4471" s="23" t="str">
        <f aca="false">IF(A4471="","",IFERROR(buscarx(A4471&amp;E4471,DATA!$E$3:$E$10000&amp;DATA!$B$3:$B$10000,DATA!$M$3:$M$10000),"Inactivo"))</f>
        <v/>
      </c>
      <c r="G4471" s="25" t="str">
        <f aca="false">IF(A4471="","",IF(AND(C4471&lt;&gt;"No encontrado",F4471&lt;&gt;"Inactivo"),C4471&amp;" → "&amp;F4471,"Sin transición"))</f>
        <v/>
      </c>
      <c r="H4471" s="23" t="str">
        <f aca="false">IF(A4471="","",IF(D4471="GCIA LINEA SERVICIO DIGITALIDAD Y VENTAS","Chats",IF(OR(D4471="GERENCIA INBOUND LÍNEAS SERVICIO Y VENTA",D4471="GERENCIA INBOUND LINEAS ESPECIALIZADAS"),"Llamadas","Otro")))</f>
        <v/>
      </c>
      <c r="I4471" s="23" t="str">
        <f aca="false">IF(A4471="","",IF(C4471="No encontrado","No","Sí"))</f>
        <v/>
      </c>
      <c r="J4471" s="23" t="str">
        <f aca="false">IF(A4471="","",IF(F4471="Inactivo","No","Sí"))</f>
        <v/>
      </c>
      <c r="K4471" s="23" t="str">
        <f aca="false">IF(A4471="","",IF(AND(I4471="Sí",J4471="Sí"),"Sí","No"))</f>
        <v/>
      </c>
    </row>
    <row r="4472" customFormat="false" ht="15" hidden="false" customHeight="false" outlineLevel="0" collapsed="false">
      <c r="A4472" s="22"/>
      <c r="B4472" s="22"/>
      <c r="C4472" s="26" t="str">
        <f aca="false">IF(A4472="","",IFERROR(buscarx(A4472&amp;B4472,DATA!$E$3:$E$10000&amp;DATA!$B$3:$B$10000,DATA!$M$3:$M$10000),"No encontrado"))</f>
        <v/>
      </c>
      <c r="D4472" s="27" t="str">
        <f aca="false">IF(A4472="","",IFERROR(buscarx(A4472&amp;B4472,DATA!$E$3:$E$10000&amp;DATA!$B$3:$B$10000,DATA!$W$3:$W$10000),"No encontrado"))</f>
        <v/>
      </c>
      <c r="E4472" s="22"/>
      <c r="F4472" s="26" t="str">
        <f aca="false">IF(A4472="","",IFERROR(buscarx(A4472&amp;E4472,DATA!$E$3:$E$10000&amp;DATA!$B$3:$B$10000,DATA!$M$3:$M$10000),"Inactivo"))</f>
        <v/>
      </c>
      <c r="G4472" s="28" t="str">
        <f aca="false">IF(A4472="","",IF(AND(C4472&lt;&gt;"No encontrado",F4472&lt;&gt;"Inactivo"),C4472&amp;" → "&amp;F4472,"Sin transición"))</f>
        <v/>
      </c>
      <c r="H4472" s="26" t="str">
        <f aca="false">IF(A4472="","",IF(D4472="GCIA LINEA SERVICIO DIGITALIDAD Y VENTAS","Chats",IF(OR(D4472="GERENCIA INBOUND LÍNEAS SERVICIO Y VENTA",D4472="GERENCIA INBOUND LINEAS ESPECIALIZADAS"),"Llamadas","Otro")))</f>
        <v/>
      </c>
      <c r="I4472" s="26" t="str">
        <f aca="false">IF(A4472="","",IF(C4472="No encontrado","No","Sí"))</f>
        <v/>
      </c>
      <c r="J4472" s="26" t="str">
        <f aca="false">IF(A4472="","",IF(F4472="Inactivo","No","Sí"))</f>
        <v/>
      </c>
      <c r="K4472" s="26" t="str">
        <f aca="false">IF(A4472="","",IF(AND(I4472="Sí",J4472="Sí"),"Sí","No"))</f>
        <v/>
      </c>
    </row>
    <row r="4473" customFormat="false" ht="15" hidden="false" customHeight="false" outlineLevel="0" collapsed="false">
      <c r="A4473" s="22"/>
      <c r="B4473" s="22"/>
      <c r="C4473" s="23" t="str">
        <f aca="false">IF(A4473="","",IFERROR(buscarx(A4473&amp;B4473,DATA!$E$3:$E$10000&amp;DATA!$B$3:$B$10000,DATA!$M$3:$M$10000),"No encontrado"))</f>
        <v/>
      </c>
      <c r="D4473" s="24" t="str">
        <f aca="false">IF(A4473="","",IFERROR(buscarx(A4473&amp;B4473,DATA!$E$3:$E$10000&amp;DATA!$B$3:$B$10000,DATA!$W$3:$W$10000),"No encontrado"))</f>
        <v/>
      </c>
      <c r="E4473" s="22"/>
      <c r="F4473" s="23" t="str">
        <f aca="false">IF(A4473="","",IFERROR(buscarx(A4473&amp;E4473,DATA!$E$3:$E$10000&amp;DATA!$B$3:$B$10000,DATA!$M$3:$M$10000),"Inactivo"))</f>
        <v/>
      </c>
      <c r="G4473" s="25" t="str">
        <f aca="false">IF(A4473="","",IF(AND(C4473&lt;&gt;"No encontrado",F4473&lt;&gt;"Inactivo"),C4473&amp;" → "&amp;F4473,"Sin transición"))</f>
        <v/>
      </c>
      <c r="H4473" s="23" t="str">
        <f aca="false">IF(A4473="","",IF(D4473="GCIA LINEA SERVICIO DIGITALIDAD Y VENTAS","Chats",IF(OR(D4473="GERENCIA INBOUND LÍNEAS SERVICIO Y VENTA",D4473="GERENCIA INBOUND LINEAS ESPECIALIZADAS"),"Llamadas","Otro")))</f>
        <v/>
      </c>
      <c r="I4473" s="23" t="str">
        <f aca="false">IF(A4473="","",IF(C4473="No encontrado","No","Sí"))</f>
        <v/>
      </c>
      <c r="J4473" s="23" t="str">
        <f aca="false">IF(A4473="","",IF(F4473="Inactivo","No","Sí"))</f>
        <v/>
      </c>
      <c r="K4473" s="23" t="str">
        <f aca="false">IF(A4473="","",IF(AND(I4473="Sí",J4473="Sí"),"Sí","No"))</f>
        <v/>
      </c>
    </row>
    <row r="4474" customFormat="false" ht="15" hidden="false" customHeight="false" outlineLevel="0" collapsed="false">
      <c r="A4474" s="22"/>
      <c r="B4474" s="22"/>
      <c r="C4474" s="26" t="str">
        <f aca="false">IF(A4474="","",IFERROR(buscarx(A4474&amp;B4474,DATA!$E$3:$E$10000&amp;DATA!$B$3:$B$10000,DATA!$M$3:$M$10000),"No encontrado"))</f>
        <v/>
      </c>
      <c r="D4474" s="27" t="str">
        <f aca="false">IF(A4474="","",IFERROR(buscarx(A4474&amp;B4474,DATA!$E$3:$E$10000&amp;DATA!$B$3:$B$10000,DATA!$W$3:$W$10000),"No encontrado"))</f>
        <v/>
      </c>
      <c r="E4474" s="22"/>
      <c r="F4474" s="26" t="str">
        <f aca="false">IF(A4474="","",IFERROR(buscarx(A4474&amp;E4474,DATA!$E$3:$E$10000&amp;DATA!$B$3:$B$10000,DATA!$M$3:$M$10000),"Inactivo"))</f>
        <v/>
      </c>
      <c r="G4474" s="28" t="str">
        <f aca="false">IF(A4474="","",IF(AND(C4474&lt;&gt;"No encontrado",F4474&lt;&gt;"Inactivo"),C4474&amp;" → "&amp;F4474,"Sin transición"))</f>
        <v/>
      </c>
      <c r="H4474" s="26" t="str">
        <f aca="false">IF(A4474="","",IF(D4474="GCIA LINEA SERVICIO DIGITALIDAD Y VENTAS","Chats",IF(OR(D4474="GERENCIA INBOUND LÍNEAS SERVICIO Y VENTA",D4474="GERENCIA INBOUND LINEAS ESPECIALIZADAS"),"Llamadas","Otro")))</f>
        <v/>
      </c>
      <c r="I4474" s="26" t="str">
        <f aca="false">IF(A4474="","",IF(C4474="No encontrado","No","Sí"))</f>
        <v/>
      </c>
      <c r="J4474" s="26" t="str">
        <f aca="false">IF(A4474="","",IF(F4474="Inactivo","No","Sí"))</f>
        <v/>
      </c>
      <c r="K4474" s="26" t="str">
        <f aca="false">IF(A4474="","",IF(AND(I4474="Sí",J4474="Sí"),"Sí","No"))</f>
        <v/>
      </c>
    </row>
    <row r="4475" customFormat="false" ht="15" hidden="false" customHeight="false" outlineLevel="0" collapsed="false">
      <c r="A4475" s="22"/>
      <c r="B4475" s="22"/>
      <c r="C4475" s="23" t="str">
        <f aca="false">IF(A4475="","",IFERROR(buscarx(A4475&amp;B4475,DATA!$E$3:$E$10000&amp;DATA!$B$3:$B$10000,DATA!$M$3:$M$10000),"No encontrado"))</f>
        <v/>
      </c>
      <c r="D4475" s="24" t="str">
        <f aca="false">IF(A4475="","",IFERROR(buscarx(A4475&amp;B4475,DATA!$E$3:$E$10000&amp;DATA!$B$3:$B$10000,DATA!$W$3:$W$10000),"No encontrado"))</f>
        <v/>
      </c>
      <c r="E4475" s="22"/>
      <c r="F4475" s="23" t="str">
        <f aca="false">IF(A4475="","",IFERROR(buscarx(A4475&amp;E4475,DATA!$E$3:$E$10000&amp;DATA!$B$3:$B$10000,DATA!$M$3:$M$10000),"Inactivo"))</f>
        <v/>
      </c>
      <c r="G4475" s="25" t="str">
        <f aca="false">IF(A4475="","",IF(AND(C4475&lt;&gt;"No encontrado",F4475&lt;&gt;"Inactivo"),C4475&amp;" → "&amp;F4475,"Sin transición"))</f>
        <v/>
      </c>
      <c r="H4475" s="23" t="str">
        <f aca="false">IF(A4475="","",IF(D4475="GCIA LINEA SERVICIO DIGITALIDAD Y VENTAS","Chats",IF(OR(D4475="GERENCIA INBOUND LÍNEAS SERVICIO Y VENTA",D4475="GERENCIA INBOUND LINEAS ESPECIALIZADAS"),"Llamadas","Otro")))</f>
        <v/>
      </c>
      <c r="I4475" s="23" t="str">
        <f aca="false">IF(A4475="","",IF(C4475="No encontrado","No","Sí"))</f>
        <v/>
      </c>
      <c r="J4475" s="23" t="str">
        <f aca="false">IF(A4475="","",IF(F4475="Inactivo","No","Sí"))</f>
        <v/>
      </c>
      <c r="K4475" s="23" t="str">
        <f aca="false">IF(A4475="","",IF(AND(I4475="Sí",J4475="Sí"),"Sí","No"))</f>
        <v/>
      </c>
    </row>
    <row r="4476" customFormat="false" ht="15" hidden="false" customHeight="false" outlineLevel="0" collapsed="false">
      <c r="A4476" s="22"/>
      <c r="B4476" s="22"/>
      <c r="C4476" s="26" t="str">
        <f aca="false">IF(A4476="","",IFERROR(buscarx(A4476&amp;B4476,DATA!$E$3:$E$10000&amp;DATA!$B$3:$B$10000,DATA!$M$3:$M$10000),"No encontrado"))</f>
        <v/>
      </c>
      <c r="D4476" s="27" t="str">
        <f aca="false">IF(A4476="","",IFERROR(buscarx(A4476&amp;B4476,DATA!$E$3:$E$10000&amp;DATA!$B$3:$B$10000,DATA!$W$3:$W$10000),"No encontrado"))</f>
        <v/>
      </c>
      <c r="E4476" s="22"/>
      <c r="F4476" s="26" t="str">
        <f aca="false">IF(A4476="","",IFERROR(buscarx(A4476&amp;E4476,DATA!$E$3:$E$10000&amp;DATA!$B$3:$B$10000,DATA!$M$3:$M$10000),"Inactivo"))</f>
        <v/>
      </c>
      <c r="G4476" s="28" t="str">
        <f aca="false">IF(A4476="","",IF(AND(C4476&lt;&gt;"No encontrado",F4476&lt;&gt;"Inactivo"),C4476&amp;" → "&amp;F4476,"Sin transición"))</f>
        <v/>
      </c>
      <c r="H4476" s="26" t="str">
        <f aca="false">IF(A4476="","",IF(D4476="GCIA LINEA SERVICIO DIGITALIDAD Y VENTAS","Chats",IF(OR(D4476="GERENCIA INBOUND LÍNEAS SERVICIO Y VENTA",D4476="GERENCIA INBOUND LINEAS ESPECIALIZADAS"),"Llamadas","Otro")))</f>
        <v/>
      </c>
      <c r="I4476" s="26" t="str">
        <f aca="false">IF(A4476="","",IF(C4476="No encontrado","No","Sí"))</f>
        <v/>
      </c>
      <c r="J4476" s="26" t="str">
        <f aca="false">IF(A4476="","",IF(F4476="Inactivo","No","Sí"))</f>
        <v/>
      </c>
      <c r="K4476" s="26" t="str">
        <f aca="false">IF(A4476="","",IF(AND(I4476="Sí",J4476="Sí"),"Sí","No"))</f>
        <v/>
      </c>
    </row>
    <row r="4477" customFormat="false" ht="15" hidden="false" customHeight="false" outlineLevel="0" collapsed="false">
      <c r="A4477" s="22"/>
      <c r="B4477" s="22"/>
      <c r="C4477" s="23" t="str">
        <f aca="false">IF(A4477="","",IFERROR(buscarx(A4477&amp;B4477,DATA!$E$3:$E$10000&amp;DATA!$B$3:$B$10000,DATA!$M$3:$M$10000),"No encontrado"))</f>
        <v/>
      </c>
      <c r="D4477" s="24" t="str">
        <f aca="false">IF(A4477="","",IFERROR(buscarx(A4477&amp;B4477,DATA!$E$3:$E$10000&amp;DATA!$B$3:$B$10000,DATA!$W$3:$W$10000),"No encontrado"))</f>
        <v/>
      </c>
      <c r="E4477" s="22"/>
      <c r="F4477" s="23" t="str">
        <f aca="false">IF(A4477="","",IFERROR(buscarx(A4477&amp;E4477,DATA!$E$3:$E$10000&amp;DATA!$B$3:$B$10000,DATA!$M$3:$M$10000),"Inactivo"))</f>
        <v/>
      </c>
      <c r="G4477" s="25" t="str">
        <f aca="false">IF(A4477="","",IF(AND(C4477&lt;&gt;"No encontrado",F4477&lt;&gt;"Inactivo"),C4477&amp;" → "&amp;F4477,"Sin transición"))</f>
        <v/>
      </c>
      <c r="H4477" s="23" t="str">
        <f aca="false">IF(A4477="","",IF(D4477="GCIA LINEA SERVICIO DIGITALIDAD Y VENTAS","Chats",IF(OR(D4477="GERENCIA INBOUND LÍNEAS SERVICIO Y VENTA",D4477="GERENCIA INBOUND LINEAS ESPECIALIZADAS"),"Llamadas","Otro")))</f>
        <v/>
      </c>
      <c r="I4477" s="23" t="str">
        <f aca="false">IF(A4477="","",IF(C4477="No encontrado","No","Sí"))</f>
        <v/>
      </c>
      <c r="J4477" s="23" t="str">
        <f aca="false">IF(A4477="","",IF(F4477="Inactivo","No","Sí"))</f>
        <v/>
      </c>
      <c r="K4477" s="23" t="str">
        <f aca="false">IF(A4477="","",IF(AND(I4477="Sí",J4477="Sí"),"Sí","No"))</f>
        <v/>
      </c>
    </row>
    <row r="4478" customFormat="false" ht="15" hidden="false" customHeight="false" outlineLevel="0" collapsed="false">
      <c r="A4478" s="22"/>
      <c r="B4478" s="22"/>
      <c r="C4478" s="26" t="str">
        <f aca="false">IF(A4478="","",IFERROR(buscarx(A4478&amp;B4478,DATA!$E$3:$E$10000&amp;DATA!$B$3:$B$10000,DATA!$M$3:$M$10000),"No encontrado"))</f>
        <v/>
      </c>
      <c r="D4478" s="27" t="str">
        <f aca="false">IF(A4478="","",IFERROR(buscarx(A4478&amp;B4478,DATA!$E$3:$E$10000&amp;DATA!$B$3:$B$10000,DATA!$W$3:$W$10000),"No encontrado"))</f>
        <v/>
      </c>
      <c r="E4478" s="22"/>
      <c r="F4478" s="26" t="str">
        <f aca="false">IF(A4478="","",IFERROR(buscarx(A4478&amp;E4478,DATA!$E$3:$E$10000&amp;DATA!$B$3:$B$10000,DATA!$M$3:$M$10000),"Inactivo"))</f>
        <v/>
      </c>
      <c r="G4478" s="28" t="str">
        <f aca="false">IF(A4478="","",IF(AND(C4478&lt;&gt;"No encontrado",F4478&lt;&gt;"Inactivo"),C4478&amp;" → "&amp;F4478,"Sin transición"))</f>
        <v/>
      </c>
      <c r="H4478" s="26" t="str">
        <f aca="false">IF(A4478="","",IF(D4478="GCIA LINEA SERVICIO DIGITALIDAD Y VENTAS","Chats",IF(OR(D4478="GERENCIA INBOUND LÍNEAS SERVICIO Y VENTA",D4478="GERENCIA INBOUND LINEAS ESPECIALIZADAS"),"Llamadas","Otro")))</f>
        <v/>
      </c>
      <c r="I4478" s="26" t="str">
        <f aca="false">IF(A4478="","",IF(C4478="No encontrado","No","Sí"))</f>
        <v/>
      </c>
      <c r="J4478" s="26" t="str">
        <f aca="false">IF(A4478="","",IF(F4478="Inactivo","No","Sí"))</f>
        <v/>
      </c>
      <c r="K4478" s="26" t="str">
        <f aca="false">IF(A4478="","",IF(AND(I4478="Sí",J4478="Sí"),"Sí","No"))</f>
        <v/>
      </c>
    </row>
    <row r="4479" customFormat="false" ht="15" hidden="false" customHeight="false" outlineLevel="0" collapsed="false">
      <c r="A4479" s="22"/>
      <c r="B4479" s="22"/>
      <c r="C4479" s="23" t="str">
        <f aca="false">IF(A4479="","",IFERROR(buscarx(A4479&amp;B4479,DATA!$E$3:$E$10000&amp;DATA!$B$3:$B$10000,DATA!$M$3:$M$10000),"No encontrado"))</f>
        <v/>
      </c>
      <c r="D4479" s="24" t="str">
        <f aca="false">IF(A4479="","",IFERROR(buscarx(A4479&amp;B4479,DATA!$E$3:$E$10000&amp;DATA!$B$3:$B$10000,DATA!$W$3:$W$10000),"No encontrado"))</f>
        <v/>
      </c>
      <c r="E4479" s="22"/>
      <c r="F4479" s="23" t="str">
        <f aca="false">IF(A4479="","",IFERROR(buscarx(A4479&amp;E4479,DATA!$E$3:$E$10000&amp;DATA!$B$3:$B$10000,DATA!$M$3:$M$10000),"Inactivo"))</f>
        <v/>
      </c>
      <c r="G4479" s="25" t="str">
        <f aca="false">IF(A4479="","",IF(AND(C4479&lt;&gt;"No encontrado",F4479&lt;&gt;"Inactivo"),C4479&amp;" → "&amp;F4479,"Sin transición"))</f>
        <v/>
      </c>
      <c r="H4479" s="23" t="str">
        <f aca="false">IF(A4479="","",IF(D4479="GCIA LINEA SERVICIO DIGITALIDAD Y VENTAS","Chats",IF(OR(D4479="GERENCIA INBOUND LÍNEAS SERVICIO Y VENTA",D4479="GERENCIA INBOUND LINEAS ESPECIALIZADAS"),"Llamadas","Otro")))</f>
        <v/>
      </c>
      <c r="I4479" s="23" t="str">
        <f aca="false">IF(A4479="","",IF(C4479="No encontrado","No","Sí"))</f>
        <v/>
      </c>
      <c r="J4479" s="23" t="str">
        <f aca="false">IF(A4479="","",IF(F4479="Inactivo","No","Sí"))</f>
        <v/>
      </c>
      <c r="K4479" s="23" t="str">
        <f aca="false">IF(A4479="","",IF(AND(I4479="Sí",J4479="Sí"),"Sí","No"))</f>
        <v/>
      </c>
    </row>
    <row r="4480" customFormat="false" ht="15" hidden="false" customHeight="false" outlineLevel="0" collapsed="false">
      <c r="A4480" s="22"/>
      <c r="B4480" s="22"/>
      <c r="C4480" s="26" t="str">
        <f aca="false">IF(A4480="","",IFERROR(buscarx(A4480&amp;B4480,DATA!$E$3:$E$10000&amp;DATA!$B$3:$B$10000,DATA!$M$3:$M$10000),"No encontrado"))</f>
        <v/>
      </c>
      <c r="D4480" s="27" t="str">
        <f aca="false">IF(A4480="","",IFERROR(buscarx(A4480&amp;B4480,DATA!$E$3:$E$10000&amp;DATA!$B$3:$B$10000,DATA!$W$3:$W$10000),"No encontrado"))</f>
        <v/>
      </c>
      <c r="E4480" s="22"/>
      <c r="F4480" s="26" t="str">
        <f aca="false">IF(A4480="","",IFERROR(buscarx(A4480&amp;E4480,DATA!$E$3:$E$10000&amp;DATA!$B$3:$B$10000,DATA!$M$3:$M$10000),"Inactivo"))</f>
        <v/>
      </c>
      <c r="G4480" s="28" t="str">
        <f aca="false">IF(A4480="","",IF(AND(C4480&lt;&gt;"No encontrado",F4480&lt;&gt;"Inactivo"),C4480&amp;" → "&amp;F4480,"Sin transición"))</f>
        <v/>
      </c>
      <c r="H4480" s="26" t="str">
        <f aca="false">IF(A4480="","",IF(D4480="GCIA LINEA SERVICIO DIGITALIDAD Y VENTAS","Chats",IF(OR(D4480="GERENCIA INBOUND LÍNEAS SERVICIO Y VENTA",D4480="GERENCIA INBOUND LINEAS ESPECIALIZADAS"),"Llamadas","Otro")))</f>
        <v/>
      </c>
      <c r="I4480" s="26" t="str">
        <f aca="false">IF(A4480="","",IF(C4480="No encontrado","No","Sí"))</f>
        <v/>
      </c>
      <c r="J4480" s="26" t="str">
        <f aca="false">IF(A4480="","",IF(F4480="Inactivo","No","Sí"))</f>
        <v/>
      </c>
      <c r="K4480" s="26" t="str">
        <f aca="false">IF(A4480="","",IF(AND(I4480="Sí",J4480="Sí"),"Sí","No"))</f>
        <v/>
      </c>
    </row>
    <row r="4481" customFormat="false" ht="15" hidden="false" customHeight="false" outlineLevel="0" collapsed="false">
      <c r="A4481" s="22"/>
      <c r="B4481" s="22"/>
      <c r="C4481" s="23" t="str">
        <f aca="false">IF(A4481="","",IFERROR(buscarx(A4481&amp;B4481,DATA!$E$3:$E$10000&amp;DATA!$B$3:$B$10000,DATA!$M$3:$M$10000),"No encontrado"))</f>
        <v/>
      </c>
      <c r="D4481" s="24" t="str">
        <f aca="false">IF(A4481="","",IFERROR(buscarx(A4481&amp;B4481,DATA!$E$3:$E$10000&amp;DATA!$B$3:$B$10000,DATA!$W$3:$W$10000),"No encontrado"))</f>
        <v/>
      </c>
      <c r="E4481" s="22"/>
      <c r="F4481" s="23" t="str">
        <f aca="false">IF(A4481="","",IFERROR(buscarx(A4481&amp;E4481,DATA!$E$3:$E$10000&amp;DATA!$B$3:$B$10000,DATA!$M$3:$M$10000),"Inactivo"))</f>
        <v/>
      </c>
      <c r="G4481" s="25" t="str">
        <f aca="false">IF(A4481="","",IF(AND(C4481&lt;&gt;"No encontrado",F4481&lt;&gt;"Inactivo"),C4481&amp;" → "&amp;F4481,"Sin transición"))</f>
        <v/>
      </c>
      <c r="H4481" s="23" t="str">
        <f aca="false">IF(A4481="","",IF(D4481="GCIA LINEA SERVICIO DIGITALIDAD Y VENTAS","Chats",IF(OR(D4481="GERENCIA INBOUND LÍNEAS SERVICIO Y VENTA",D4481="GERENCIA INBOUND LINEAS ESPECIALIZADAS"),"Llamadas","Otro")))</f>
        <v/>
      </c>
      <c r="I4481" s="23" t="str">
        <f aca="false">IF(A4481="","",IF(C4481="No encontrado","No","Sí"))</f>
        <v/>
      </c>
      <c r="J4481" s="23" t="str">
        <f aca="false">IF(A4481="","",IF(F4481="Inactivo","No","Sí"))</f>
        <v/>
      </c>
      <c r="K4481" s="23" t="str">
        <f aca="false">IF(A4481="","",IF(AND(I4481="Sí",J4481="Sí"),"Sí","No"))</f>
        <v/>
      </c>
    </row>
    <row r="4482" customFormat="false" ht="15" hidden="false" customHeight="false" outlineLevel="0" collapsed="false">
      <c r="A4482" s="22"/>
      <c r="B4482" s="22"/>
      <c r="C4482" s="26" t="str">
        <f aca="false">IF(A4482="","",IFERROR(buscarx(A4482&amp;B4482,DATA!$E$3:$E$10000&amp;DATA!$B$3:$B$10000,DATA!$M$3:$M$10000),"No encontrado"))</f>
        <v/>
      </c>
      <c r="D4482" s="27" t="str">
        <f aca="false">IF(A4482="","",IFERROR(buscarx(A4482&amp;B4482,DATA!$E$3:$E$10000&amp;DATA!$B$3:$B$10000,DATA!$W$3:$W$10000),"No encontrado"))</f>
        <v/>
      </c>
      <c r="E4482" s="22"/>
      <c r="F4482" s="26" t="str">
        <f aca="false">IF(A4482="","",IFERROR(buscarx(A4482&amp;E4482,DATA!$E$3:$E$10000&amp;DATA!$B$3:$B$10000,DATA!$M$3:$M$10000),"Inactivo"))</f>
        <v/>
      </c>
      <c r="G4482" s="28" t="str">
        <f aca="false">IF(A4482="","",IF(AND(C4482&lt;&gt;"No encontrado",F4482&lt;&gt;"Inactivo"),C4482&amp;" → "&amp;F4482,"Sin transición"))</f>
        <v/>
      </c>
      <c r="H4482" s="26" t="str">
        <f aca="false">IF(A4482="","",IF(D4482="GCIA LINEA SERVICIO DIGITALIDAD Y VENTAS","Chats",IF(OR(D4482="GERENCIA INBOUND LÍNEAS SERVICIO Y VENTA",D4482="GERENCIA INBOUND LINEAS ESPECIALIZADAS"),"Llamadas","Otro")))</f>
        <v/>
      </c>
      <c r="I4482" s="26" t="str">
        <f aca="false">IF(A4482="","",IF(C4482="No encontrado","No","Sí"))</f>
        <v/>
      </c>
      <c r="J4482" s="26" t="str">
        <f aca="false">IF(A4482="","",IF(F4482="Inactivo","No","Sí"))</f>
        <v/>
      </c>
      <c r="K4482" s="26" t="str">
        <f aca="false">IF(A4482="","",IF(AND(I4482="Sí",J4482="Sí"),"Sí","No"))</f>
        <v/>
      </c>
    </row>
    <row r="4483" customFormat="false" ht="15" hidden="false" customHeight="false" outlineLevel="0" collapsed="false">
      <c r="A4483" s="22"/>
      <c r="B4483" s="22"/>
      <c r="C4483" s="23" t="str">
        <f aca="false">IF(A4483="","",IFERROR(buscarx(A4483&amp;B4483,DATA!$E$3:$E$10000&amp;DATA!$B$3:$B$10000,DATA!$M$3:$M$10000),"No encontrado"))</f>
        <v/>
      </c>
      <c r="D4483" s="24" t="str">
        <f aca="false">IF(A4483="","",IFERROR(buscarx(A4483&amp;B4483,DATA!$E$3:$E$10000&amp;DATA!$B$3:$B$10000,DATA!$W$3:$W$10000),"No encontrado"))</f>
        <v/>
      </c>
      <c r="E4483" s="22"/>
      <c r="F4483" s="23" t="str">
        <f aca="false">IF(A4483="","",IFERROR(buscarx(A4483&amp;E4483,DATA!$E$3:$E$10000&amp;DATA!$B$3:$B$10000,DATA!$M$3:$M$10000),"Inactivo"))</f>
        <v/>
      </c>
      <c r="G4483" s="25" t="str">
        <f aca="false">IF(A4483="","",IF(AND(C4483&lt;&gt;"No encontrado",F4483&lt;&gt;"Inactivo"),C4483&amp;" → "&amp;F4483,"Sin transición"))</f>
        <v/>
      </c>
      <c r="H4483" s="23" t="str">
        <f aca="false">IF(A4483="","",IF(D4483="GCIA LINEA SERVICIO DIGITALIDAD Y VENTAS","Chats",IF(OR(D4483="GERENCIA INBOUND LÍNEAS SERVICIO Y VENTA",D4483="GERENCIA INBOUND LINEAS ESPECIALIZADAS"),"Llamadas","Otro")))</f>
        <v/>
      </c>
      <c r="I4483" s="23" t="str">
        <f aca="false">IF(A4483="","",IF(C4483="No encontrado","No","Sí"))</f>
        <v/>
      </c>
      <c r="J4483" s="23" t="str">
        <f aca="false">IF(A4483="","",IF(F4483="Inactivo","No","Sí"))</f>
        <v/>
      </c>
      <c r="K4483" s="23" t="str">
        <f aca="false">IF(A4483="","",IF(AND(I4483="Sí",J4483="Sí"),"Sí","No"))</f>
        <v/>
      </c>
    </row>
    <row r="4484" customFormat="false" ht="15" hidden="false" customHeight="false" outlineLevel="0" collapsed="false">
      <c r="A4484" s="22"/>
      <c r="B4484" s="22"/>
      <c r="C4484" s="26" t="str">
        <f aca="false">IF(A4484="","",IFERROR(buscarx(A4484&amp;B4484,DATA!$E$3:$E$10000&amp;DATA!$B$3:$B$10000,DATA!$M$3:$M$10000),"No encontrado"))</f>
        <v/>
      </c>
      <c r="D4484" s="27" t="str">
        <f aca="false">IF(A4484="","",IFERROR(buscarx(A4484&amp;B4484,DATA!$E$3:$E$10000&amp;DATA!$B$3:$B$10000,DATA!$W$3:$W$10000),"No encontrado"))</f>
        <v/>
      </c>
      <c r="E4484" s="22"/>
      <c r="F4484" s="26" t="str">
        <f aca="false">IF(A4484="","",IFERROR(buscarx(A4484&amp;E4484,DATA!$E$3:$E$10000&amp;DATA!$B$3:$B$10000,DATA!$M$3:$M$10000),"Inactivo"))</f>
        <v/>
      </c>
      <c r="G4484" s="28" t="str">
        <f aca="false">IF(A4484="","",IF(AND(C4484&lt;&gt;"No encontrado",F4484&lt;&gt;"Inactivo"),C4484&amp;" → "&amp;F4484,"Sin transición"))</f>
        <v/>
      </c>
      <c r="H4484" s="26" t="str">
        <f aca="false">IF(A4484="","",IF(D4484="GCIA LINEA SERVICIO DIGITALIDAD Y VENTAS","Chats",IF(OR(D4484="GERENCIA INBOUND LÍNEAS SERVICIO Y VENTA",D4484="GERENCIA INBOUND LINEAS ESPECIALIZADAS"),"Llamadas","Otro")))</f>
        <v/>
      </c>
      <c r="I4484" s="26" t="str">
        <f aca="false">IF(A4484="","",IF(C4484="No encontrado","No","Sí"))</f>
        <v/>
      </c>
      <c r="J4484" s="26" t="str">
        <f aca="false">IF(A4484="","",IF(F4484="Inactivo","No","Sí"))</f>
        <v/>
      </c>
      <c r="K4484" s="26" t="str">
        <f aca="false">IF(A4484="","",IF(AND(I4484="Sí",J4484="Sí"),"Sí","No"))</f>
        <v/>
      </c>
    </row>
    <row r="4485" customFormat="false" ht="15" hidden="false" customHeight="false" outlineLevel="0" collapsed="false">
      <c r="A4485" s="22"/>
      <c r="B4485" s="22"/>
      <c r="C4485" s="23" t="str">
        <f aca="false">IF(A4485="","",IFERROR(buscarx(A4485&amp;B4485,DATA!$E$3:$E$10000&amp;DATA!$B$3:$B$10000,DATA!$M$3:$M$10000),"No encontrado"))</f>
        <v/>
      </c>
      <c r="D4485" s="24" t="str">
        <f aca="false">IF(A4485="","",IFERROR(buscarx(A4485&amp;B4485,DATA!$E$3:$E$10000&amp;DATA!$B$3:$B$10000,DATA!$W$3:$W$10000),"No encontrado"))</f>
        <v/>
      </c>
      <c r="E4485" s="22"/>
      <c r="F4485" s="23" t="str">
        <f aca="false">IF(A4485="","",IFERROR(buscarx(A4485&amp;E4485,DATA!$E$3:$E$10000&amp;DATA!$B$3:$B$10000,DATA!$M$3:$M$10000),"Inactivo"))</f>
        <v/>
      </c>
      <c r="G4485" s="25" t="str">
        <f aca="false">IF(A4485="","",IF(AND(C4485&lt;&gt;"No encontrado",F4485&lt;&gt;"Inactivo"),C4485&amp;" → "&amp;F4485,"Sin transición"))</f>
        <v/>
      </c>
      <c r="H4485" s="23" t="str">
        <f aca="false">IF(A4485="","",IF(D4485="GCIA LINEA SERVICIO DIGITALIDAD Y VENTAS","Chats",IF(OR(D4485="GERENCIA INBOUND LÍNEAS SERVICIO Y VENTA",D4485="GERENCIA INBOUND LINEAS ESPECIALIZADAS"),"Llamadas","Otro")))</f>
        <v/>
      </c>
      <c r="I4485" s="23" t="str">
        <f aca="false">IF(A4485="","",IF(C4485="No encontrado","No","Sí"))</f>
        <v/>
      </c>
      <c r="J4485" s="23" t="str">
        <f aca="false">IF(A4485="","",IF(F4485="Inactivo","No","Sí"))</f>
        <v/>
      </c>
      <c r="K4485" s="23" t="str">
        <f aca="false">IF(A4485="","",IF(AND(I4485="Sí",J4485="Sí"),"Sí","No"))</f>
        <v/>
      </c>
    </row>
    <row r="4486" customFormat="false" ht="15" hidden="false" customHeight="false" outlineLevel="0" collapsed="false">
      <c r="A4486" s="22"/>
      <c r="B4486" s="22"/>
      <c r="C4486" s="26" t="str">
        <f aca="false">IF(A4486="","",IFERROR(buscarx(A4486&amp;B4486,DATA!$E$3:$E$10000&amp;DATA!$B$3:$B$10000,DATA!$M$3:$M$10000),"No encontrado"))</f>
        <v/>
      </c>
      <c r="D4486" s="27" t="str">
        <f aca="false">IF(A4486="","",IFERROR(buscarx(A4486&amp;B4486,DATA!$E$3:$E$10000&amp;DATA!$B$3:$B$10000,DATA!$W$3:$W$10000),"No encontrado"))</f>
        <v/>
      </c>
      <c r="E4486" s="22"/>
      <c r="F4486" s="26" t="str">
        <f aca="false">IF(A4486="","",IFERROR(buscarx(A4486&amp;E4486,DATA!$E$3:$E$10000&amp;DATA!$B$3:$B$10000,DATA!$M$3:$M$10000),"Inactivo"))</f>
        <v/>
      </c>
      <c r="G4486" s="28" t="str">
        <f aca="false">IF(A4486="","",IF(AND(C4486&lt;&gt;"No encontrado",F4486&lt;&gt;"Inactivo"),C4486&amp;" → "&amp;F4486,"Sin transición"))</f>
        <v/>
      </c>
      <c r="H4486" s="26" t="str">
        <f aca="false">IF(A4486="","",IF(D4486="GCIA LINEA SERVICIO DIGITALIDAD Y VENTAS","Chats",IF(OR(D4486="GERENCIA INBOUND LÍNEAS SERVICIO Y VENTA",D4486="GERENCIA INBOUND LINEAS ESPECIALIZADAS"),"Llamadas","Otro")))</f>
        <v/>
      </c>
      <c r="I4486" s="26" t="str">
        <f aca="false">IF(A4486="","",IF(C4486="No encontrado","No","Sí"))</f>
        <v/>
      </c>
      <c r="J4486" s="26" t="str">
        <f aca="false">IF(A4486="","",IF(F4486="Inactivo","No","Sí"))</f>
        <v/>
      </c>
      <c r="K4486" s="26" t="str">
        <f aca="false">IF(A4486="","",IF(AND(I4486="Sí",J4486="Sí"),"Sí","No"))</f>
        <v/>
      </c>
    </row>
    <row r="4487" customFormat="false" ht="15" hidden="false" customHeight="false" outlineLevel="0" collapsed="false">
      <c r="A4487" s="22"/>
      <c r="B4487" s="22"/>
      <c r="C4487" s="23" t="str">
        <f aca="false">IF(A4487="","",IFERROR(buscarx(A4487&amp;B4487,DATA!$E$3:$E$10000&amp;DATA!$B$3:$B$10000,DATA!$M$3:$M$10000),"No encontrado"))</f>
        <v/>
      </c>
      <c r="D4487" s="24" t="str">
        <f aca="false">IF(A4487="","",IFERROR(buscarx(A4487&amp;B4487,DATA!$E$3:$E$10000&amp;DATA!$B$3:$B$10000,DATA!$W$3:$W$10000),"No encontrado"))</f>
        <v/>
      </c>
      <c r="E4487" s="22"/>
      <c r="F4487" s="23" t="str">
        <f aca="false">IF(A4487="","",IFERROR(buscarx(A4487&amp;E4487,DATA!$E$3:$E$10000&amp;DATA!$B$3:$B$10000,DATA!$M$3:$M$10000),"Inactivo"))</f>
        <v/>
      </c>
      <c r="G4487" s="25" t="str">
        <f aca="false">IF(A4487="","",IF(AND(C4487&lt;&gt;"No encontrado",F4487&lt;&gt;"Inactivo"),C4487&amp;" → "&amp;F4487,"Sin transición"))</f>
        <v/>
      </c>
      <c r="H4487" s="23" t="str">
        <f aca="false">IF(A4487="","",IF(D4487="GCIA LINEA SERVICIO DIGITALIDAD Y VENTAS","Chats",IF(OR(D4487="GERENCIA INBOUND LÍNEAS SERVICIO Y VENTA",D4487="GERENCIA INBOUND LINEAS ESPECIALIZADAS"),"Llamadas","Otro")))</f>
        <v/>
      </c>
      <c r="I4487" s="23" t="str">
        <f aca="false">IF(A4487="","",IF(C4487="No encontrado","No","Sí"))</f>
        <v/>
      </c>
      <c r="J4487" s="23" t="str">
        <f aca="false">IF(A4487="","",IF(F4487="Inactivo","No","Sí"))</f>
        <v/>
      </c>
      <c r="K4487" s="23" t="str">
        <f aca="false">IF(A4487="","",IF(AND(I4487="Sí",J4487="Sí"),"Sí","No"))</f>
        <v/>
      </c>
    </row>
    <row r="4488" customFormat="false" ht="15" hidden="false" customHeight="false" outlineLevel="0" collapsed="false">
      <c r="A4488" s="22"/>
      <c r="B4488" s="22"/>
      <c r="C4488" s="26" t="str">
        <f aca="false">IF(A4488="","",IFERROR(buscarx(A4488&amp;B4488,DATA!$E$3:$E$10000&amp;DATA!$B$3:$B$10000,DATA!$M$3:$M$10000),"No encontrado"))</f>
        <v/>
      </c>
      <c r="D4488" s="27" t="str">
        <f aca="false">IF(A4488="","",IFERROR(buscarx(A4488&amp;B4488,DATA!$E$3:$E$10000&amp;DATA!$B$3:$B$10000,DATA!$W$3:$W$10000),"No encontrado"))</f>
        <v/>
      </c>
      <c r="E4488" s="22"/>
      <c r="F4488" s="26" t="str">
        <f aca="false">IF(A4488="","",IFERROR(buscarx(A4488&amp;E4488,DATA!$E$3:$E$10000&amp;DATA!$B$3:$B$10000,DATA!$M$3:$M$10000),"Inactivo"))</f>
        <v/>
      </c>
      <c r="G4488" s="28" t="str">
        <f aca="false">IF(A4488="","",IF(AND(C4488&lt;&gt;"No encontrado",F4488&lt;&gt;"Inactivo"),C4488&amp;" → "&amp;F4488,"Sin transición"))</f>
        <v/>
      </c>
      <c r="H4488" s="26" t="str">
        <f aca="false">IF(A4488="","",IF(D4488="GCIA LINEA SERVICIO DIGITALIDAD Y VENTAS","Chats",IF(OR(D4488="GERENCIA INBOUND LÍNEAS SERVICIO Y VENTA",D4488="GERENCIA INBOUND LINEAS ESPECIALIZADAS"),"Llamadas","Otro")))</f>
        <v/>
      </c>
      <c r="I4488" s="26" t="str">
        <f aca="false">IF(A4488="","",IF(C4488="No encontrado","No","Sí"))</f>
        <v/>
      </c>
      <c r="J4488" s="26" t="str">
        <f aca="false">IF(A4488="","",IF(F4488="Inactivo","No","Sí"))</f>
        <v/>
      </c>
      <c r="K4488" s="26" t="str">
        <f aca="false">IF(A4488="","",IF(AND(I4488="Sí",J4488="Sí"),"Sí","No"))</f>
        <v/>
      </c>
    </row>
    <row r="4489" customFormat="false" ht="15" hidden="false" customHeight="false" outlineLevel="0" collapsed="false">
      <c r="A4489" s="22"/>
      <c r="B4489" s="22"/>
      <c r="C4489" s="23" t="str">
        <f aca="false">IF(A4489="","",IFERROR(buscarx(A4489&amp;B4489,DATA!$E$3:$E$10000&amp;DATA!$B$3:$B$10000,DATA!$M$3:$M$10000),"No encontrado"))</f>
        <v/>
      </c>
      <c r="D4489" s="24" t="str">
        <f aca="false">IF(A4489="","",IFERROR(buscarx(A4489&amp;B4489,DATA!$E$3:$E$10000&amp;DATA!$B$3:$B$10000,DATA!$W$3:$W$10000),"No encontrado"))</f>
        <v/>
      </c>
      <c r="E4489" s="22"/>
      <c r="F4489" s="23" t="str">
        <f aca="false">IF(A4489="","",IFERROR(buscarx(A4489&amp;E4489,DATA!$E$3:$E$10000&amp;DATA!$B$3:$B$10000,DATA!$M$3:$M$10000),"Inactivo"))</f>
        <v/>
      </c>
      <c r="G4489" s="25" t="str">
        <f aca="false">IF(A4489="","",IF(AND(C4489&lt;&gt;"No encontrado",F4489&lt;&gt;"Inactivo"),C4489&amp;" → "&amp;F4489,"Sin transición"))</f>
        <v/>
      </c>
      <c r="H4489" s="23" t="str">
        <f aca="false">IF(A4489="","",IF(D4489="GCIA LINEA SERVICIO DIGITALIDAD Y VENTAS","Chats",IF(OR(D4489="GERENCIA INBOUND LÍNEAS SERVICIO Y VENTA",D4489="GERENCIA INBOUND LINEAS ESPECIALIZADAS"),"Llamadas","Otro")))</f>
        <v/>
      </c>
      <c r="I4489" s="23" t="str">
        <f aca="false">IF(A4489="","",IF(C4489="No encontrado","No","Sí"))</f>
        <v/>
      </c>
      <c r="J4489" s="23" t="str">
        <f aca="false">IF(A4489="","",IF(F4489="Inactivo","No","Sí"))</f>
        <v/>
      </c>
      <c r="K4489" s="23" t="str">
        <f aca="false">IF(A4489="","",IF(AND(I4489="Sí",J4489="Sí"),"Sí","No"))</f>
        <v/>
      </c>
    </row>
    <row r="4490" customFormat="false" ht="15" hidden="false" customHeight="false" outlineLevel="0" collapsed="false">
      <c r="A4490" s="22"/>
      <c r="B4490" s="22"/>
      <c r="C4490" s="26" t="str">
        <f aca="false">IF(A4490="","",IFERROR(buscarx(A4490&amp;B4490,DATA!$E$3:$E$10000&amp;DATA!$B$3:$B$10000,DATA!$M$3:$M$10000),"No encontrado"))</f>
        <v/>
      </c>
      <c r="D4490" s="27" t="str">
        <f aca="false">IF(A4490="","",IFERROR(buscarx(A4490&amp;B4490,DATA!$E$3:$E$10000&amp;DATA!$B$3:$B$10000,DATA!$W$3:$W$10000),"No encontrado"))</f>
        <v/>
      </c>
      <c r="E4490" s="22"/>
      <c r="F4490" s="26" t="str">
        <f aca="false">IF(A4490="","",IFERROR(buscarx(A4490&amp;E4490,DATA!$E$3:$E$10000&amp;DATA!$B$3:$B$10000,DATA!$M$3:$M$10000),"Inactivo"))</f>
        <v/>
      </c>
      <c r="G4490" s="28" t="str">
        <f aca="false">IF(A4490="","",IF(AND(C4490&lt;&gt;"No encontrado",F4490&lt;&gt;"Inactivo"),C4490&amp;" → "&amp;F4490,"Sin transición"))</f>
        <v/>
      </c>
      <c r="H4490" s="26" t="str">
        <f aca="false">IF(A4490="","",IF(D4490="GCIA LINEA SERVICIO DIGITALIDAD Y VENTAS","Chats",IF(OR(D4490="GERENCIA INBOUND LÍNEAS SERVICIO Y VENTA",D4490="GERENCIA INBOUND LINEAS ESPECIALIZADAS"),"Llamadas","Otro")))</f>
        <v/>
      </c>
      <c r="I4490" s="26" t="str">
        <f aca="false">IF(A4490="","",IF(C4490="No encontrado","No","Sí"))</f>
        <v/>
      </c>
      <c r="J4490" s="26" t="str">
        <f aca="false">IF(A4490="","",IF(F4490="Inactivo","No","Sí"))</f>
        <v/>
      </c>
      <c r="K4490" s="26" t="str">
        <f aca="false">IF(A4490="","",IF(AND(I4490="Sí",J4490="Sí"),"Sí","No"))</f>
        <v/>
      </c>
    </row>
    <row r="4491" customFormat="false" ht="15" hidden="false" customHeight="false" outlineLevel="0" collapsed="false">
      <c r="A4491" s="22"/>
      <c r="B4491" s="22"/>
      <c r="C4491" s="23" t="str">
        <f aca="false">IF(A4491="","",IFERROR(buscarx(A4491&amp;B4491,DATA!$E$3:$E$10000&amp;DATA!$B$3:$B$10000,DATA!$M$3:$M$10000),"No encontrado"))</f>
        <v/>
      </c>
      <c r="D4491" s="24" t="str">
        <f aca="false">IF(A4491="","",IFERROR(buscarx(A4491&amp;B4491,DATA!$E$3:$E$10000&amp;DATA!$B$3:$B$10000,DATA!$W$3:$W$10000),"No encontrado"))</f>
        <v/>
      </c>
      <c r="E4491" s="22"/>
      <c r="F4491" s="23" t="str">
        <f aca="false">IF(A4491="","",IFERROR(buscarx(A4491&amp;E4491,DATA!$E$3:$E$10000&amp;DATA!$B$3:$B$10000,DATA!$M$3:$M$10000),"Inactivo"))</f>
        <v/>
      </c>
      <c r="G4491" s="25" t="str">
        <f aca="false">IF(A4491="","",IF(AND(C4491&lt;&gt;"No encontrado",F4491&lt;&gt;"Inactivo"),C4491&amp;" → "&amp;F4491,"Sin transición"))</f>
        <v/>
      </c>
      <c r="H4491" s="23" t="str">
        <f aca="false">IF(A4491="","",IF(D4491="GCIA LINEA SERVICIO DIGITALIDAD Y VENTAS","Chats",IF(OR(D4491="GERENCIA INBOUND LÍNEAS SERVICIO Y VENTA",D4491="GERENCIA INBOUND LINEAS ESPECIALIZADAS"),"Llamadas","Otro")))</f>
        <v/>
      </c>
      <c r="I4491" s="23" t="str">
        <f aca="false">IF(A4491="","",IF(C4491="No encontrado","No","Sí"))</f>
        <v/>
      </c>
      <c r="J4491" s="23" t="str">
        <f aca="false">IF(A4491="","",IF(F4491="Inactivo","No","Sí"))</f>
        <v/>
      </c>
      <c r="K4491" s="23" t="str">
        <f aca="false">IF(A4491="","",IF(AND(I4491="Sí",J4491="Sí"),"Sí","No"))</f>
        <v/>
      </c>
    </row>
    <row r="4492" customFormat="false" ht="15" hidden="false" customHeight="false" outlineLevel="0" collapsed="false">
      <c r="A4492" s="22"/>
      <c r="B4492" s="22"/>
      <c r="C4492" s="26" t="str">
        <f aca="false">IF(A4492="","",IFERROR(buscarx(A4492&amp;B4492,DATA!$E$3:$E$10000&amp;DATA!$B$3:$B$10000,DATA!$M$3:$M$10000),"No encontrado"))</f>
        <v/>
      </c>
      <c r="D4492" s="27" t="str">
        <f aca="false">IF(A4492="","",IFERROR(buscarx(A4492&amp;B4492,DATA!$E$3:$E$10000&amp;DATA!$B$3:$B$10000,DATA!$W$3:$W$10000),"No encontrado"))</f>
        <v/>
      </c>
      <c r="E4492" s="22"/>
      <c r="F4492" s="26" t="str">
        <f aca="false">IF(A4492="","",IFERROR(buscarx(A4492&amp;E4492,DATA!$E$3:$E$10000&amp;DATA!$B$3:$B$10000,DATA!$M$3:$M$10000),"Inactivo"))</f>
        <v/>
      </c>
      <c r="G4492" s="28" t="str">
        <f aca="false">IF(A4492="","",IF(AND(C4492&lt;&gt;"No encontrado",F4492&lt;&gt;"Inactivo"),C4492&amp;" → "&amp;F4492,"Sin transición"))</f>
        <v/>
      </c>
      <c r="H4492" s="26" t="str">
        <f aca="false">IF(A4492="","",IF(D4492="GCIA LINEA SERVICIO DIGITALIDAD Y VENTAS","Chats",IF(OR(D4492="GERENCIA INBOUND LÍNEAS SERVICIO Y VENTA",D4492="GERENCIA INBOUND LINEAS ESPECIALIZADAS"),"Llamadas","Otro")))</f>
        <v/>
      </c>
      <c r="I4492" s="26" t="str">
        <f aca="false">IF(A4492="","",IF(C4492="No encontrado","No","Sí"))</f>
        <v/>
      </c>
      <c r="J4492" s="26" t="str">
        <f aca="false">IF(A4492="","",IF(F4492="Inactivo","No","Sí"))</f>
        <v/>
      </c>
      <c r="K4492" s="26" t="str">
        <f aca="false">IF(A4492="","",IF(AND(I4492="Sí",J4492="Sí"),"Sí","No"))</f>
        <v/>
      </c>
    </row>
    <row r="4493" customFormat="false" ht="15" hidden="false" customHeight="false" outlineLevel="0" collapsed="false">
      <c r="A4493" s="22"/>
      <c r="B4493" s="22"/>
      <c r="C4493" s="23" t="str">
        <f aca="false">IF(A4493="","",IFERROR(buscarx(A4493&amp;B4493,DATA!$E$3:$E$10000&amp;DATA!$B$3:$B$10000,DATA!$M$3:$M$10000),"No encontrado"))</f>
        <v/>
      </c>
      <c r="D4493" s="24" t="str">
        <f aca="false">IF(A4493="","",IFERROR(buscarx(A4493&amp;B4493,DATA!$E$3:$E$10000&amp;DATA!$B$3:$B$10000,DATA!$W$3:$W$10000),"No encontrado"))</f>
        <v/>
      </c>
      <c r="E4493" s="22"/>
      <c r="F4493" s="23" t="str">
        <f aca="false">IF(A4493="","",IFERROR(buscarx(A4493&amp;E4493,DATA!$E$3:$E$10000&amp;DATA!$B$3:$B$10000,DATA!$M$3:$M$10000),"Inactivo"))</f>
        <v/>
      </c>
      <c r="G4493" s="25" t="str">
        <f aca="false">IF(A4493="","",IF(AND(C4493&lt;&gt;"No encontrado",F4493&lt;&gt;"Inactivo"),C4493&amp;" → "&amp;F4493,"Sin transición"))</f>
        <v/>
      </c>
      <c r="H4493" s="23" t="str">
        <f aca="false">IF(A4493="","",IF(D4493="GCIA LINEA SERVICIO DIGITALIDAD Y VENTAS","Chats",IF(OR(D4493="GERENCIA INBOUND LÍNEAS SERVICIO Y VENTA",D4493="GERENCIA INBOUND LINEAS ESPECIALIZADAS"),"Llamadas","Otro")))</f>
        <v/>
      </c>
      <c r="I4493" s="23" t="str">
        <f aca="false">IF(A4493="","",IF(C4493="No encontrado","No","Sí"))</f>
        <v/>
      </c>
      <c r="J4493" s="23" t="str">
        <f aca="false">IF(A4493="","",IF(F4493="Inactivo","No","Sí"))</f>
        <v/>
      </c>
      <c r="K4493" s="23" t="str">
        <f aca="false">IF(A4493="","",IF(AND(I4493="Sí",J4493="Sí"),"Sí","No"))</f>
        <v/>
      </c>
    </row>
    <row r="4494" customFormat="false" ht="15" hidden="false" customHeight="false" outlineLevel="0" collapsed="false">
      <c r="A4494" s="22"/>
      <c r="B4494" s="22"/>
      <c r="C4494" s="26" t="str">
        <f aca="false">IF(A4494="","",IFERROR(buscarx(A4494&amp;B4494,DATA!$E$3:$E$10000&amp;DATA!$B$3:$B$10000,DATA!$M$3:$M$10000),"No encontrado"))</f>
        <v/>
      </c>
      <c r="D4494" s="27" t="str">
        <f aca="false">IF(A4494="","",IFERROR(buscarx(A4494&amp;B4494,DATA!$E$3:$E$10000&amp;DATA!$B$3:$B$10000,DATA!$W$3:$W$10000),"No encontrado"))</f>
        <v/>
      </c>
      <c r="E4494" s="22"/>
      <c r="F4494" s="26" t="str">
        <f aca="false">IF(A4494="","",IFERROR(buscarx(A4494&amp;E4494,DATA!$E$3:$E$10000&amp;DATA!$B$3:$B$10000,DATA!$M$3:$M$10000),"Inactivo"))</f>
        <v/>
      </c>
      <c r="G4494" s="28" t="str">
        <f aca="false">IF(A4494="","",IF(AND(C4494&lt;&gt;"No encontrado",F4494&lt;&gt;"Inactivo"),C4494&amp;" → "&amp;F4494,"Sin transición"))</f>
        <v/>
      </c>
      <c r="H4494" s="26" t="str">
        <f aca="false">IF(A4494="","",IF(D4494="GCIA LINEA SERVICIO DIGITALIDAD Y VENTAS","Chats",IF(OR(D4494="GERENCIA INBOUND LÍNEAS SERVICIO Y VENTA",D4494="GERENCIA INBOUND LINEAS ESPECIALIZADAS"),"Llamadas","Otro")))</f>
        <v/>
      </c>
      <c r="I4494" s="26" t="str">
        <f aca="false">IF(A4494="","",IF(C4494="No encontrado","No","Sí"))</f>
        <v/>
      </c>
      <c r="J4494" s="26" t="str">
        <f aca="false">IF(A4494="","",IF(F4494="Inactivo","No","Sí"))</f>
        <v/>
      </c>
      <c r="K4494" s="26" t="str">
        <f aca="false">IF(A4494="","",IF(AND(I4494="Sí",J4494="Sí"),"Sí","No"))</f>
        <v/>
      </c>
    </row>
    <row r="4495" customFormat="false" ht="15" hidden="false" customHeight="false" outlineLevel="0" collapsed="false">
      <c r="A4495" s="22"/>
      <c r="B4495" s="22"/>
      <c r="C4495" s="23" t="str">
        <f aca="false">IF(A4495="","",IFERROR(buscarx(A4495&amp;B4495,DATA!$E$3:$E$10000&amp;DATA!$B$3:$B$10000,DATA!$M$3:$M$10000),"No encontrado"))</f>
        <v/>
      </c>
      <c r="D4495" s="24" t="str">
        <f aca="false">IF(A4495="","",IFERROR(buscarx(A4495&amp;B4495,DATA!$E$3:$E$10000&amp;DATA!$B$3:$B$10000,DATA!$W$3:$W$10000),"No encontrado"))</f>
        <v/>
      </c>
      <c r="E4495" s="22"/>
      <c r="F4495" s="23" t="str">
        <f aca="false">IF(A4495="","",IFERROR(buscarx(A4495&amp;E4495,DATA!$E$3:$E$10000&amp;DATA!$B$3:$B$10000,DATA!$M$3:$M$10000),"Inactivo"))</f>
        <v/>
      </c>
      <c r="G4495" s="25" t="str">
        <f aca="false">IF(A4495="","",IF(AND(C4495&lt;&gt;"No encontrado",F4495&lt;&gt;"Inactivo"),C4495&amp;" → "&amp;F4495,"Sin transición"))</f>
        <v/>
      </c>
      <c r="H4495" s="23" t="str">
        <f aca="false">IF(A4495="","",IF(D4495="GCIA LINEA SERVICIO DIGITALIDAD Y VENTAS","Chats",IF(OR(D4495="GERENCIA INBOUND LÍNEAS SERVICIO Y VENTA",D4495="GERENCIA INBOUND LINEAS ESPECIALIZADAS"),"Llamadas","Otro")))</f>
        <v/>
      </c>
      <c r="I4495" s="23" t="str">
        <f aca="false">IF(A4495="","",IF(C4495="No encontrado","No","Sí"))</f>
        <v/>
      </c>
      <c r="J4495" s="23" t="str">
        <f aca="false">IF(A4495="","",IF(F4495="Inactivo","No","Sí"))</f>
        <v/>
      </c>
      <c r="K4495" s="23" t="str">
        <f aca="false">IF(A4495="","",IF(AND(I4495="Sí",J4495="Sí"),"Sí","No"))</f>
        <v/>
      </c>
    </row>
    <row r="4496" customFormat="false" ht="15" hidden="false" customHeight="false" outlineLevel="0" collapsed="false">
      <c r="A4496" s="22"/>
      <c r="B4496" s="22"/>
      <c r="C4496" s="26" t="str">
        <f aca="false">IF(A4496="","",IFERROR(buscarx(A4496&amp;B4496,DATA!$E$3:$E$10000&amp;DATA!$B$3:$B$10000,DATA!$M$3:$M$10000),"No encontrado"))</f>
        <v/>
      </c>
      <c r="D4496" s="27" t="str">
        <f aca="false">IF(A4496="","",IFERROR(buscarx(A4496&amp;B4496,DATA!$E$3:$E$10000&amp;DATA!$B$3:$B$10000,DATA!$W$3:$W$10000),"No encontrado"))</f>
        <v/>
      </c>
      <c r="E4496" s="22"/>
      <c r="F4496" s="26" t="str">
        <f aca="false">IF(A4496="","",IFERROR(buscarx(A4496&amp;E4496,DATA!$E$3:$E$10000&amp;DATA!$B$3:$B$10000,DATA!$M$3:$M$10000),"Inactivo"))</f>
        <v/>
      </c>
      <c r="G4496" s="28" t="str">
        <f aca="false">IF(A4496="","",IF(AND(C4496&lt;&gt;"No encontrado",F4496&lt;&gt;"Inactivo"),C4496&amp;" → "&amp;F4496,"Sin transición"))</f>
        <v/>
      </c>
      <c r="H4496" s="26" t="str">
        <f aca="false">IF(A4496="","",IF(D4496="GCIA LINEA SERVICIO DIGITALIDAD Y VENTAS","Chats",IF(OR(D4496="GERENCIA INBOUND LÍNEAS SERVICIO Y VENTA",D4496="GERENCIA INBOUND LINEAS ESPECIALIZADAS"),"Llamadas","Otro")))</f>
        <v/>
      </c>
      <c r="I4496" s="26" t="str">
        <f aca="false">IF(A4496="","",IF(C4496="No encontrado","No","Sí"))</f>
        <v/>
      </c>
      <c r="J4496" s="26" t="str">
        <f aca="false">IF(A4496="","",IF(F4496="Inactivo","No","Sí"))</f>
        <v/>
      </c>
      <c r="K4496" s="26" t="str">
        <f aca="false">IF(A4496="","",IF(AND(I4496="Sí",J4496="Sí"),"Sí","No"))</f>
        <v/>
      </c>
    </row>
    <row r="4497" customFormat="false" ht="15" hidden="false" customHeight="false" outlineLevel="0" collapsed="false">
      <c r="A4497" s="22"/>
      <c r="B4497" s="22"/>
      <c r="C4497" s="23" t="str">
        <f aca="false">IF(A4497="","",IFERROR(buscarx(A4497&amp;B4497,DATA!$E$3:$E$10000&amp;DATA!$B$3:$B$10000,DATA!$M$3:$M$10000),"No encontrado"))</f>
        <v/>
      </c>
      <c r="D4497" s="24" t="str">
        <f aca="false">IF(A4497="","",IFERROR(buscarx(A4497&amp;B4497,DATA!$E$3:$E$10000&amp;DATA!$B$3:$B$10000,DATA!$W$3:$W$10000),"No encontrado"))</f>
        <v/>
      </c>
      <c r="E4497" s="22"/>
      <c r="F4497" s="23" t="str">
        <f aca="false">IF(A4497="","",IFERROR(buscarx(A4497&amp;E4497,DATA!$E$3:$E$10000&amp;DATA!$B$3:$B$10000,DATA!$M$3:$M$10000),"Inactivo"))</f>
        <v/>
      </c>
      <c r="G4497" s="25" t="str">
        <f aca="false">IF(A4497="","",IF(AND(C4497&lt;&gt;"No encontrado",F4497&lt;&gt;"Inactivo"),C4497&amp;" → "&amp;F4497,"Sin transición"))</f>
        <v/>
      </c>
      <c r="H4497" s="23" t="str">
        <f aca="false">IF(A4497="","",IF(D4497="GCIA LINEA SERVICIO DIGITALIDAD Y VENTAS","Chats",IF(OR(D4497="GERENCIA INBOUND LÍNEAS SERVICIO Y VENTA",D4497="GERENCIA INBOUND LINEAS ESPECIALIZADAS"),"Llamadas","Otro")))</f>
        <v/>
      </c>
      <c r="I4497" s="23" t="str">
        <f aca="false">IF(A4497="","",IF(C4497="No encontrado","No","Sí"))</f>
        <v/>
      </c>
      <c r="J4497" s="23" t="str">
        <f aca="false">IF(A4497="","",IF(F4497="Inactivo","No","Sí"))</f>
        <v/>
      </c>
      <c r="K4497" s="23" t="str">
        <f aca="false">IF(A4497="","",IF(AND(I4497="Sí",J4497="Sí"),"Sí","No"))</f>
        <v/>
      </c>
    </row>
    <row r="4498" customFormat="false" ht="15" hidden="false" customHeight="false" outlineLevel="0" collapsed="false">
      <c r="A4498" s="22"/>
      <c r="B4498" s="22"/>
      <c r="C4498" s="26" t="str">
        <f aca="false">IF(A4498="","",IFERROR(buscarx(A4498&amp;B4498,DATA!$E$3:$E$10000&amp;DATA!$B$3:$B$10000,DATA!$M$3:$M$10000),"No encontrado"))</f>
        <v/>
      </c>
      <c r="D4498" s="27" t="str">
        <f aca="false">IF(A4498="","",IFERROR(buscarx(A4498&amp;B4498,DATA!$E$3:$E$10000&amp;DATA!$B$3:$B$10000,DATA!$W$3:$W$10000),"No encontrado"))</f>
        <v/>
      </c>
      <c r="E4498" s="22"/>
      <c r="F4498" s="26" t="str">
        <f aca="false">IF(A4498="","",IFERROR(buscarx(A4498&amp;E4498,DATA!$E$3:$E$10000&amp;DATA!$B$3:$B$10000,DATA!$M$3:$M$10000),"Inactivo"))</f>
        <v/>
      </c>
      <c r="G4498" s="28" t="str">
        <f aca="false">IF(A4498="","",IF(AND(C4498&lt;&gt;"No encontrado",F4498&lt;&gt;"Inactivo"),C4498&amp;" → "&amp;F4498,"Sin transición"))</f>
        <v/>
      </c>
      <c r="H4498" s="26" t="str">
        <f aca="false">IF(A4498="","",IF(D4498="GCIA LINEA SERVICIO DIGITALIDAD Y VENTAS","Chats",IF(OR(D4498="GERENCIA INBOUND LÍNEAS SERVICIO Y VENTA",D4498="GERENCIA INBOUND LINEAS ESPECIALIZADAS"),"Llamadas","Otro")))</f>
        <v/>
      </c>
      <c r="I4498" s="26" t="str">
        <f aca="false">IF(A4498="","",IF(C4498="No encontrado","No","Sí"))</f>
        <v/>
      </c>
      <c r="J4498" s="26" t="str">
        <f aca="false">IF(A4498="","",IF(F4498="Inactivo","No","Sí"))</f>
        <v/>
      </c>
      <c r="K4498" s="26" t="str">
        <f aca="false">IF(A4498="","",IF(AND(I4498="Sí",J4498="Sí"),"Sí","No"))</f>
        <v/>
      </c>
    </row>
    <row r="4499" customFormat="false" ht="15" hidden="false" customHeight="false" outlineLevel="0" collapsed="false">
      <c r="A4499" s="22"/>
      <c r="B4499" s="22"/>
      <c r="C4499" s="23" t="str">
        <f aca="false">IF(A4499="","",IFERROR(buscarx(A4499&amp;B4499,DATA!$E$3:$E$10000&amp;DATA!$B$3:$B$10000,DATA!$M$3:$M$10000),"No encontrado"))</f>
        <v/>
      </c>
      <c r="D4499" s="24" t="str">
        <f aca="false">IF(A4499="","",IFERROR(buscarx(A4499&amp;B4499,DATA!$E$3:$E$10000&amp;DATA!$B$3:$B$10000,DATA!$W$3:$W$10000),"No encontrado"))</f>
        <v/>
      </c>
      <c r="E4499" s="22"/>
      <c r="F4499" s="23" t="str">
        <f aca="false">IF(A4499="","",IFERROR(buscarx(A4499&amp;E4499,DATA!$E$3:$E$10000&amp;DATA!$B$3:$B$10000,DATA!$M$3:$M$10000),"Inactivo"))</f>
        <v/>
      </c>
      <c r="G4499" s="25" t="str">
        <f aca="false">IF(A4499="","",IF(AND(C4499&lt;&gt;"No encontrado",F4499&lt;&gt;"Inactivo"),C4499&amp;" → "&amp;F4499,"Sin transición"))</f>
        <v/>
      </c>
      <c r="H4499" s="23" t="str">
        <f aca="false">IF(A4499="","",IF(D4499="GCIA LINEA SERVICIO DIGITALIDAD Y VENTAS","Chats",IF(OR(D4499="GERENCIA INBOUND LÍNEAS SERVICIO Y VENTA",D4499="GERENCIA INBOUND LINEAS ESPECIALIZADAS"),"Llamadas","Otro")))</f>
        <v/>
      </c>
      <c r="I4499" s="23" t="str">
        <f aca="false">IF(A4499="","",IF(C4499="No encontrado","No","Sí"))</f>
        <v/>
      </c>
      <c r="J4499" s="23" t="str">
        <f aca="false">IF(A4499="","",IF(F4499="Inactivo","No","Sí"))</f>
        <v/>
      </c>
      <c r="K4499" s="23" t="str">
        <f aca="false">IF(A4499="","",IF(AND(I4499="Sí",J4499="Sí"),"Sí","No"))</f>
        <v/>
      </c>
    </row>
    <row r="4500" customFormat="false" ht="15" hidden="false" customHeight="false" outlineLevel="0" collapsed="false">
      <c r="A4500" s="22"/>
      <c r="B4500" s="22"/>
      <c r="C4500" s="26" t="str">
        <f aca="false">IF(A4500="","",IFERROR(buscarx(A4500&amp;B4500,DATA!$E$3:$E$10000&amp;DATA!$B$3:$B$10000,DATA!$M$3:$M$10000),"No encontrado"))</f>
        <v/>
      </c>
      <c r="D4500" s="27" t="str">
        <f aca="false">IF(A4500="","",IFERROR(buscarx(A4500&amp;B4500,DATA!$E$3:$E$10000&amp;DATA!$B$3:$B$10000,DATA!$W$3:$W$10000),"No encontrado"))</f>
        <v/>
      </c>
      <c r="E4500" s="22"/>
      <c r="F4500" s="26" t="str">
        <f aca="false">IF(A4500="","",IFERROR(buscarx(A4500&amp;E4500,DATA!$E$3:$E$10000&amp;DATA!$B$3:$B$10000,DATA!$M$3:$M$10000),"Inactivo"))</f>
        <v/>
      </c>
      <c r="G4500" s="28" t="str">
        <f aca="false">IF(A4500="","",IF(AND(C4500&lt;&gt;"No encontrado",F4500&lt;&gt;"Inactivo"),C4500&amp;" → "&amp;F4500,"Sin transición"))</f>
        <v/>
      </c>
      <c r="H4500" s="26" t="str">
        <f aca="false">IF(A4500="","",IF(D4500="GCIA LINEA SERVICIO DIGITALIDAD Y VENTAS","Chats",IF(OR(D4500="GERENCIA INBOUND LÍNEAS SERVICIO Y VENTA",D4500="GERENCIA INBOUND LINEAS ESPECIALIZADAS"),"Llamadas","Otro")))</f>
        <v/>
      </c>
      <c r="I4500" s="26" t="str">
        <f aca="false">IF(A4500="","",IF(C4500="No encontrado","No","Sí"))</f>
        <v/>
      </c>
      <c r="J4500" s="26" t="str">
        <f aca="false">IF(A4500="","",IF(F4500="Inactivo","No","Sí"))</f>
        <v/>
      </c>
      <c r="K4500" s="26" t="str">
        <f aca="false">IF(A4500="","",IF(AND(I4500="Sí",J4500="Sí"),"Sí","No"))</f>
        <v/>
      </c>
    </row>
    <row r="4501" customFormat="false" ht="15" hidden="false" customHeight="false" outlineLevel="0" collapsed="false">
      <c r="A4501" s="22"/>
      <c r="B4501" s="22"/>
      <c r="C4501" s="23" t="str">
        <f aca="false">IF(A4501="","",IFERROR(buscarx(A4501&amp;B4501,DATA!$E$3:$E$10000&amp;DATA!$B$3:$B$10000,DATA!$M$3:$M$10000),"No encontrado"))</f>
        <v/>
      </c>
      <c r="D4501" s="24" t="str">
        <f aca="false">IF(A4501="","",IFERROR(buscarx(A4501&amp;B4501,DATA!$E$3:$E$10000&amp;DATA!$B$3:$B$10000,DATA!$W$3:$W$10000),"No encontrado"))</f>
        <v/>
      </c>
      <c r="E4501" s="22"/>
      <c r="F4501" s="23" t="str">
        <f aca="false">IF(A4501="","",IFERROR(buscarx(A4501&amp;E4501,DATA!$E$3:$E$10000&amp;DATA!$B$3:$B$10000,DATA!$M$3:$M$10000),"Inactivo"))</f>
        <v/>
      </c>
      <c r="G4501" s="25" t="str">
        <f aca="false">IF(A4501="","",IF(AND(C4501&lt;&gt;"No encontrado",F4501&lt;&gt;"Inactivo"),C4501&amp;" → "&amp;F4501,"Sin transición"))</f>
        <v/>
      </c>
      <c r="H4501" s="23" t="str">
        <f aca="false">IF(A4501="","",IF(D4501="GCIA LINEA SERVICIO DIGITALIDAD Y VENTAS","Chats",IF(OR(D4501="GERENCIA INBOUND LÍNEAS SERVICIO Y VENTA",D4501="GERENCIA INBOUND LINEAS ESPECIALIZADAS"),"Llamadas","Otro")))</f>
        <v/>
      </c>
      <c r="I4501" s="23" t="str">
        <f aca="false">IF(A4501="","",IF(C4501="No encontrado","No","Sí"))</f>
        <v/>
      </c>
      <c r="J4501" s="23" t="str">
        <f aca="false">IF(A4501="","",IF(F4501="Inactivo","No","Sí"))</f>
        <v/>
      </c>
      <c r="K4501" s="23" t="str">
        <f aca="false">IF(A4501="","",IF(AND(I4501="Sí",J4501="Sí"),"Sí","No"))</f>
        <v/>
      </c>
    </row>
    <row r="4502" customFormat="false" ht="15" hidden="false" customHeight="false" outlineLevel="0" collapsed="false">
      <c r="A4502" s="22"/>
      <c r="B4502" s="22"/>
      <c r="C4502" s="26" t="str">
        <f aca="false">IF(A4502="","",IFERROR(buscarx(A4502&amp;B4502,DATA!$E$3:$E$10000&amp;DATA!$B$3:$B$10000,DATA!$M$3:$M$10000),"No encontrado"))</f>
        <v/>
      </c>
      <c r="D4502" s="27" t="str">
        <f aca="false">IF(A4502="","",IFERROR(buscarx(A4502&amp;B4502,DATA!$E$3:$E$10000&amp;DATA!$B$3:$B$10000,DATA!$W$3:$W$10000),"No encontrado"))</f>
        <v/>
      </c>
      <c r="E4502" s="22"/>
      <c r="F4502" s="26" t="str">
        <f aca="false">IF(A4502="","",IFERROR(buscarx(A4502&amp;E4502,DATA!$E$3:$E$10000&amp;DATA!$B$3:$B$10000,DATA!$M$3:$M$10000),"Inactivo"))</f>
        <v/>
      </c>
      <c r="G4502" s="28" t="str">
        <f aca="false">IF(A4502="","",IF(AND(C4502&lt;&gt;"No encontrado",F4502&lt;&gt;"Inactivo"),C4502&amp;" → "&amp;F4502,"Sin transición"))</f>
        <v/>
      </c>
      <c r="H4502" s="26" t="str">
        <f aca="false">IF(A4502="","",IF(D4502="GCIA LINEA SERVICIO DIGITALIDAD Y VENTAS","Chats",IF(OR(D4502="GERENCIA INBOUND LÍNEAS SERVICIO Y VENTA",D4502="GERENCIA INBOUND LINEAS ESPECIALIZADAS"),"Llamadas","Otro")))</f>
        <v/>
      </c>
      <c r="I4502" s="26" t="str">
        <f aca="false">IF(A4502="","",IF(C4502="No encontrado","No","Sí"))</f>
        <v/>
      </c>
      <c r="J4502" s="26" t="str">
        <f aca="false">IF(A4502="","",IF(F4502="Inactivo","No","Sí"))</f>
        <v/>
      </c>
      <c r="K4502" s="26" t="str">
        <f aca="false">IF(A4502="","",IF(AND(I4502="Sí",J4502="Sí"),"Sí","No"))</f>
        <v/>
      </c>
    </row>
    <row r="4503" customFormat="false" ht="15" hidden="false" customHeight="false" outlineLevel="0" collapsed="false">
      <c r="A4503" s="22"/>
      <c r="B4503" s="22"/>
      <c r="C4503" s="23" t="str">
        <f aca="false">IF(A4503="","",IFERROR(buscarx(A4503&amp;B4503,DATA!$E$3:$E$10000&amp;DATA!$B$3:$B$10000,DATA!$M$3:$M$10000),"No encontrado"))</f>
        <v/>
      </c>
      <c r="D4503" s="24" t="str">
        <f aca="false">IF(A4503="","",IFERROR(buscarx(A4503&amp;B4503,DATA!$E$3:$E$10000&amp;DATA!$B$3:$B$10000,DATA!$W$3:$W$10000),"No encontrado"))</f>
        <v/>
      </c>
      <c r="E4503" s="22"/>
      <c r="F4503" s="23" t="str">
        <f aca="false">IF(A4503="","",IFERROR(buscarx(A4503&amp;E4503,DATA!$E$3:$E$10000&amp;DATA!$B$3:$B$10000,DATA!$M$3:$M$10000),"Inactivo"))</f>
        <v/>
      </c>
      <c r="G4503" s="25" t="str">
        <f aca="false">IF(A4503="","",IF(AND(C4503&lt;&gt;"No encontrado",F4503&lt;&gt;"Inactivo"),C4503&amp;" → "&amp;F4503,"Sin transición"))</f>
        <v/>
      </c>
      <c r="H4503" s="23" t="str">
        <f aca="false">IF(A4503="","",IF(D4503="GCIA LINEA SERVICIO DIGITALIDAD Y VENTAS","Chats",IF(OR(D4503="GERENCIA INBOUND LÍNEAS SERVICIO Y VENTA",D4503="GERENCIA INBOUND LINEAS ESPECIALIZADAS"),"Llamadas","Otro")))</f>
        <v/>
      </c>
      <c r="I4503" s="23" t="str">
        <f aca="false">IF(A4503="","",IF(C4503="No encontrado","No","Sí"))</f>
        <v/>
      </c>
      <c r="J4503" s="23" t="str">
        <f aca="false">IF(A4503="","",IF(F4503="Inactivo","No","Sí"))</f>
        <v/>
      </c>
      <c r="K4503" s="23" t="str">
        <f aca="false">IF(A4503="","",IF(AND(I4503="Sí",J4503="Sí"),"Sí","No"))</f>
        <v/>
      </c>
    </row>
    <row r="4504" customFormat="false" ht="15" hidden="false" customHeight="false" outlineLevel="0" collapsed="false">
      <c r="A4504" s="22"/>
      <c r="B4504" s="22"/>
      <c r="C4504" s="26" t="str">
        <f aca="false">IF(A4504="","",IFERROR(buscarx(A4504&amp;B4504,DATA!$E$3:$E$10000&amp;DATA!$B$3:$B$10000,DATA!$M$3:$M$10000),"No encontrado"))</f>
        <v/>
      </c>
      <c r="D4504" s="27" t="str">
        <f aca="false">IF(A4504="","",IFERROR(buscarx(A4504&amp;B4504,DATA!$E$3:$E$10000&amp;DATA!$B$3:$B$10000,DATA!$W$3:$W$10000),"No encontrado"))</f>
        <v/>
      </c>
      <c r="E4504" s="22"/>
      <c r="F4504" s="26" t="str">
        <f aca="false">IF(A4504="","",IFERROR(buscarx(A4504&amp;E4504,DATA!$E$3:$E$10000&amp;DATA!$B$3:$B$10000,DATA!$M$3:$M$10000),"Inactivo"))</f>
        <v/>
      </c>
      <c r="G4504" s="28" t="str">
        <f aca="false">IF(A4504="","",IF(AND(C4504&lt;&gt;"No encontrado",F4504&lt;&gt;"Inactivo"),C4504&amp;" → "&amp;F4504,"Sin transición"))</f>
        <v/>
      </c>
      <c r="H4504" s="26" t="str">
        <f aca="false">IF(A4504="","",IF(D4504="GCIA LINEA SERVICIO DIGITALIDAD Y VENTAS","Chats",IF(OR(D4504="GERENCIA INBOUND LÍNEAS SERVICIO Y VENTA",D4504="GERENCIA INBOUND LINEAS ESPECIALIZADAS"),"Llamadas","Otro")))</f>
        <v/>
      </c>
      <c r="I4504" s="26" t="str">
        <f aca="false">IF(A4504="","",IF(C4504="No encontrado","No","Sí"))</f>
        <v/>
      </c>
      <c r="J4504" s="26" t="str">
        <f aca="false">IF(A4504="","",IF(F4504="Inactivo","No","Sí"))</f>
        <v/>
      </c>
      <c r="K4504" s="26" t="str">
        <f aca="false">IF(A4504="","",IF(AND(I4504="Sí",J4504="Sí"),"Sí","No"))</f>
        <v/>
      </c>
    </row>
    <row r="4505" customFormat="false" ht="15" hidden="false" customHeight="false" outlineLevel="0" collapsed="false">
      <c r="A4505" s="22"/>
      <c r="B4505" s="22"/>
      <c r="C4505" s="23" t="str">
        <f aca="false">IF(A4505="","",IFERROR(buscarx(A4505&amp;B4505,DATA!$E$3:$E$10000&amp;DATA!$B$3:$B$10000,DATA!$M$3:$M$10000),"No encontrado"))</f>
        <v/>
      </c>
      <c r="D4505" s="24" t="str">
        <f aca="false">IF(A4505="","",IFERROR(buscarx(A4505&amp;B4505,DATA!$E$3:$E$10000&amp;DATA!$B$3:$B$10000,DATA!$W$3:$W$10000),"No encontrado"))</f>
        <v/>
      </c>
      <c r="E4505" s="22"/>
      <c r="F4505" s="23" t="str">
        <f aca="false">IF(A4505="","",IFERROR(buscarx(A4505&amp;E4505,DATA!$E$3:$E$10000&amp;DATA!$B$3:$B$10000,DATA!$M$3:$M$10000),"Inactivo"))</f>
        <v/>
      </c>
      <c r="G4505" s="25" t="str">
        <f aca="false">IF(A4505="","",IF(AND(C4505&lt;&gt;"No encontrado",F4505&lt;&gt;"Inactivo"),C4505&amp;" → "&amp;F4505,"Sin transición"))</f>
        <v/>
      </c>
      <c r="H4505" s="23" t="str">
        <f aca="false">IF(A4505="","",IF(D4505="GCIA LINEA SERVICIO DIGITALIDAD Y VENTAS","Chats",IF(OR(D4505="GERENCIA INBOUND LÍNEAS SERVICIO Y VENTA",D4505="GERENCIA INBOUND LINEAS ESPECIALIZADAS"),"Llamadas","Otro")))</f>
        <v/>
      </c>
      <c r="I4505" s="23" t="str">
        <f aca="false">IF(A4505="","",IF(C4505="No encontrado","No","Sí"))</f>
        <v/>
      </c>
      <c r="J4505" s="23" t="str">
        <f aca="false">IF(A4505="","",IF(F4505="Inactivo","No","Sí"))</f>
        <v/>
      </c>
      <c r="K4505" s="23" t="str">
        <f aca="false">IF(A4505="","",IF(AND(I4505="Sí",J4505="Sí"),"Sí","No"))</f>
        <v/>
      </c>
    </row>
    <row r="4506" customFormat="false" ht="15" hidden="false" customHeight="false" outlineLevel="0" collapsed="false">
      <c r="A4506" s="22"/>
      <c r="B4506" s="22"/>
      <c r="C4506" s="26" t="str">
        <f aca="false">IF(A4506="","",IFERROR(buscarx(A4506&amp;B4506,DATA!$E$3:$E$10000&amp;DATA!$B$3:$B$10000,DATA!$M$3:$M$10000),"No encontrado"))</f>
        <v/>
      </c>
      <c r="D4506" s="27" t="str">
        <f aca="false">IF(A4506="","",IFERROR(buscarx(A4506&amp;B4506,DATA!$E$3:$E$10000&amp;DATA!$B$3:$B$10000,DATA!$W$3:$W$10000),"No encontrado"))</f>
        <v/>
      </c>
      <c r="E4506" s="22"/>
      <c r="F4506" s="26" t="str">
        <f aca="false">IF(A4506="","",IFERROR(buscarx(A4506&amp;E4506,DATA!$E$3:$E$10000&amp;DATA!$B$3:$B$10000,DATA!$M$3:$M$10000),"Inactivo"))</f>
        <v/>
      </c>
      <c r="G4506" s="28" t="str">
        <f aca="false">IF(A4506="","",IF(AND(C4506&lt;&gt;"No encontrado",F4506&lt;&gt;"Inactivo"),C4506&amp;" → "&amp;F4506,"Sin transición"))</f>
        <v/>
      </c>
      <c r="H4506" s="26" t="str">
        <f aca="false">IF(A4506="","",IF(D4506="GCIA LINEA SERVICIO DIGITALIDAD Y VENTAS","Chats",IF(OR(D4506="GERENCIA INBOUND LÍNEAS SERVICIO Y VENTA",D4506="GERENCIA INBOUND LINEAS ESPECIALIZADAS"),"Llamadas","Otro")))</f>
        <v/>
      </c>
      <c r="I4506" s="26" t="str">
        <f aca="false">IF(A4506="","",IF(C4506="No encontrado","No","Sí"))</f>
        <v/>
      </c>
      <c r="J4506" s="26" t="str">
        <f aca="false">IF(A4506="","",IF(F4506="Inactivo","No","Sí"))</f>
        <v/>
      </c>
      <c r="K4506" s="26" t="str">
        <f aca="false">IF(A4506="","",IF(AND(I4506="Sí",J4506="Sí"),"Sí","No"))</f>
        <v/>
      </c>
    </row>
    <row r="4507" customFormat="false" ht="15" hidden="false" customHeight="false" outlineLevel="0" collapsed="false">
      <c r="A4507" s="22"/>
      <c r="B4507" s="22"/>
      <c r="C4507" s="23" t="str">
        <f aca="false">IF(A4507="","",IFERROR(buscarx(A4507&amp;B4507,DATA!$E$3:$E$10000&amp;DATA!$B$3:$B$10000,DATA!$M$3:$M$10000),"No encontrado"))</f>
        <v/>
      </c>
      <c r="D4507" s="24" t="str">
        <f aca="false">IF(A4507="","",IFERROR(buscarx(A4507&amp;B4507,DATA!$E$3:$E$10000&amp;DATA!$B$3:$B$10000,DATA!$W$3:$W$10000),"No encontrado"))</f>
        <v/>
      </c>
      <c r="E4507" s="22"/>
      <c r="F4507" s="23" t="str">
        <f aca="false">IF(A4507="","",IFERROR(buscarx(A4507&amp;E4507,DATA!$E$3:$E$10000&amp;DATA!$B$3:$B$10000,DATA!$M$3:$M$10000),"Inactivo"))</f>
        <v/>
      </c>
      <c r="G4507" s="25" t="str">
        <f aca="false">IF(A4507="","",IF(AND(C4507&lt;&gt;"No encontrado",F4507&lt;&gt;"Inactivo"),C4507&amp;" → "&amp;F4507,"Sin transición"))</f>
        <v/>
      </c>
      <c r="H4507" s="23" t="str">
        <f aca="false">IF(A4507="","",IF(D4507="GCIA LINEA SERVICIO DIGITALIDAD Y VENTAS","Chats",IF(OR(D4507="GERENCIA INBOUND LÍNEAS SERVICIO Y VENTA",D4507="GERENCIA INBOUND LINEAS ESPECIALIZADAS"),"Llamadas","Otro")))</f>
        <v/>
      </c>
      <c r="I4507" s="23" t="str">
        <f aca="false">IF(A4507="","",IF(C4507="No encontrado","No","Sí"))</f>
        <v/>
      </c>
      <c r="J4507" s="23" t="str">
        <f aca="false">IF(A4507="","",IF(F4507="Inactivo","No","Sí"))</f>
        <v/>
      </c>
      <c r="K4507" s="23" t="str">
        <f aca="false">IF(A4507="","",IF(AND(I4507="Sí",J4507="Sí"),"Sí","No"))</f>
        <v/>
      </c>
    </row>
    <row r="4508" customFormat="false" ht="15" hidden="false" customHeight="false" outlineLevel="0" collapsed="false">
      <c r="A4508" s="22"/>
      <c r="B4508" s="22"/>
      <c r="C4508" s="26" t="str">
        <f aca="false">IF(A4508="","",IFERROR(buscarx(A4508&amp;B4508,DATA!$E$3:$E$10000&amp;DATA!$B$3:$B$10000,DATA!$M$3:$M$10000),"No encontrado"))</f>
        <v/>
      </c>
      <c r="D4508" s="27" t="str">
        <f aca="false">IF(A4508="","",IFERROR(buscarx(A4508&amp;B4508,DATA!$E$3:$E$10000&amp;DATA!$B$3:$B$10000,DATA!$W$3:$W$10000),"No encontrado"))</f>
        <v/>
      </c>
      <c r="E4508" s="22"/>
      <c r="F4508" s="26" t="str">
        <f aca="false">IF(A4508="","",IFERROR(buscarx(A4508&amp;E4508,DATA!$E$3:$E$10000&amp;DATA!$B$3:$B$10000,DATA!$M$3:$M$10000),"Inactivo"))</f>
        <v/>
      </c>
      <c r="G4508" s="28" t="str">
        <f aca="false">IF(A4508="","",IF(AND(C4508&lt;&gt;"No encontrado",F4508&lt;&gt;"Inactivo"),C4508&amp;" → "&amp;F4508,"Sin transición"))</f>
        <v/>
      </c>
      <c r="H4508" s="26" t="str">
        <f aca="false">IF(A4508="","",IF(D4508="GCIA LINEA SERVICIO DIGITALIDAD Y VENTAS","Chats",IF(OR(D4508="GERENCIA INBOUND LÍNEAS SERVICIO Y VENTA",D4508="GERENCIA INBOUND LINEAS ESPECIALIZADAS"),"Llamadas","Otro")))</f>
        <v/>
      </c>
      <c r="I4508" s="26" t="str">
        <f aca="false">IF(A4508="","",IF(C4508="No encontrado","No","Sí"))</f>
        <v/>
      </c>
      <c r="J4508" s="26" t="str">
        <f aca="false">IF(A4508="","",IF(F4508="Inactivo","No","Sí"))</f>
        <v/>
      </c>
      <c r="K4508" s="26" t="str">
        <f aca="false">IF(A4508="","",IF(AND(I4508="Sí",J4508="Sí"),"Sí","No"))</f>
        <v/>
      </c>
    </row>
    <row r="4509" customFormat="false" ht="15" hidden="false" customHeight="false" outlineLevel="0" collapsed="false">
      <c r="A4509" s="22"/>
      <c r="B4509" s="22"/>
      <c r="C4509" s="23" t="str">
        <f aca="false">IF(A4509="","",IFERROR(buscarx(A4509&amp;B4509,DATA!$E$3:$E$10000&amp;DATA!$B$3:$B$10000,DATA!$M$3:$M$10000),"No encontrado"))</f>
        <v/>
      </c>
      <c r="D4509" s="24" t="str">
        <f aca="false">IF(A4509="","",IFERROR(buscarx(A4509&amp;B4509,DATA!$E$3:$E$10000&amp;DATA!$B$3:$B$10000,DATA!$W$3:$W$10000),"No encontrado"))</f>
        <v/>
      </c>
      <c r="E4509" s="22"/>
      <c r="F4509" s="23" t="str">
        <f aca="false">IF(A4509="","",IFERROR(buscarx(A4509&amp;E4509,DATA!$E$3:$E$10000&amp;DATA!$B$3:$B$10000,DATA!$M$3:$M$10000),"Inactivo"))</f>
        <v/>
      </c>
      <c r="G4509" s="25" t="str">
        <f aca="false">IF(A4509="","",IF(AND(C4509&lt;&gt;"No encontrado",F4509&lt;&gt;"Inactivo"),C4509&amp;" → "&amp;F4509,"Sin transición"))</f>
        <v/>
      </c>
      <c r="H4509" s="23" t="str">
        <f aca="false">IF(A4509="","",IF(D4509="GCIA LINEA SERVICIO DIGITALIDAD Y VENTAS","Chats",IF(OR(D4509="GERENCIA INBOUND LÍNEAS SERVICIO Y VENTA",D4509="GERENCIA INBOUND LINEAS ESPECIALIZADAS"),"Llamadas","Otro")))</f>
        <v/>
      </c>
      <c r="I4509" s="23" t="str">
        <f aca="false">IF(A4509="","",IF(C4509="No encontrado","No","Sí"))</f>
        <v/>
      </c>
      <c r="J4509" s="23" t="str">
        <f aca="false">IF(A4509="","",IF(F4509="Inactivo","No","Sí"))</f>
        <v/>
      </c>
      <c r="K4509" s="23" t="str">
        <f aca="false">IF(A4509="","",IF(AND(I4509="Sí",J4509="Sí"),"Sí","No"))</f>
        <v/>
      </c>
    </row>
    <row r="4510" customFormat="false" ht="15" hidden="false" customHeight="false" outlineLevel="0" collapsed="false">
      <c r="A4510" s="22"/>
      <c r="B4510" s="22"/>
      <c r="C4510" s="26" t="str">
        <f aca="false">IF(A4510="","",IFERROR(buscarx(A4510&amp;B4510,DATA!$E$3:$E$10000&amp;DATA!$B$3:$B$10000,DATA!$M$3:$M$10000),"No encontrado"))</f>
        <v/>
      </c>
      <c r="D4510" s="27" t="str">
        <f aca="false">IF(A4510="","",IFERROR(buscarx(A4510&amp;B4510,DATA!$E$3:$E$10000&amp;DATA!$B$3:$B$10000,DATA!$W$3:$W$10000),"No encontrado"))</f>
        <v/>
      </c>
      <c r="E4510" s="22"/>
      <c r="F4510" s="26" t="str">
        <f aca="false">IF(A4510="","",IFERROR(buscarx(A4510&amp;E4510,DATA!$E$3:$E$10000&amp;DATA!$B$3:$B$10000,DATA!$M$3:$M$10000),"Inactivo"))</f>
        <v/>
      </c>
      <c r="G4510" s="28" t="str">
        <f aca="false">IF(A4510="","",IF(AND(C4510&lt;&gt;"No encontrado",F4510&lt;&gt;"Inactivo"),C4510&amp;" → "&amp;F4510,"Sin transición"))</f>
        <v/>
      </c>
      <c r="H4510" s="26" t="str">
        <f aca="false">IF(A4510="","",IF(D4510="GCIA LINEA SERVICIO DIGITALIDAD Y VENTAS","Chats",IF(OR(D4510="GERENCIA INBOUND LÍNEAS SERVICIO Y VENTA",D4510="GERENCIA INBOUND LINEAS ESPECIALIZADAS"),"Llamadas","Otro")))</f>
        <v/>
      </c>
      <c r="I4510" s="26" t="str">
        <f aca="false">IF(A4510="","",IF(C4510="No encontrado","No","Sí"))</f>
        <v/>
      </c>
      <c r="J4510" s="26" t="str">
        <f aca="false">IF(A4510="","",IF(F4510="Inactivo","No","Sí"))</f>
        <v/>
      </c>
      <c r="K4510" s="26" t="str">
        <f aca="false">IF(A4510="","",IF(AND(I4510="Sí",J4510="Sí"),"Sí","No"))</f>
        <v/>
      </c>
    </row>
    <row r="4511" customFormat="false" ht="15" hidden="false" customHeight="false" outlineLevel="0" collapsed="false">
      <c r="A4511" s="22"/>
      <c r="B4511" s="22"/>
      <c r="C4511" s="23" t="str">
        <f aca="false">IF(A4511="","",IFERROR(buscarx(A4511&amp;B4511,DATA!$E$3:$E$10000&amp;DATA!$B$3:$B$10000,DATA!$M$3:$M$10000),"No encontrado"))</f>
        <v/>
      </c>
      <c r="D4511" s="24" t="str">
        <f aca="false">IF(A4511="","",IFERROR(buscarx(A4511&amp;B4511,DATA!$E$3:$E$10000&amp;DATA!$B$3:$B$10000,DATA!$W$3:$W$10000),"No encontrado"))</f>
        <v/>
      </c>
      <c r="E4511" s="22"/>
      <c r="F4511" s="23" t="str">
        <f aca="false">IF(A4511="","",IFERROR(buscarx(A4511&amp;E4511,DATA!$E$3:$E$10000&amp;DATA!$B$3:$B$10000,DATA!$M$3:$M$10000),"Inactivo"))</f>
        <v/>
      </c>
      <c r="G4511" s="25" t="str">
        <f aca="false">IF(A4511="","",IF(AND(C4511&lt;&gt;"No encontrado",F4511&lt;&gt;"Inactivo"),C4511&amp;" → "&amp;F4511,"Sin transición"))</f>
        <v/>
      </c>
      <c r="H4511" s="23" t="str">
        <f aca="false">IF(A4511="","",IF(D4511="GCIA LINEA SERVICIO DIGITALIDAD Y VENTAS","Chats",IF(OR(D4511="GERENCIA INBOUND LÍNEAS SERVICIO Y VENTA",D4511="GERENCIA INBOUND LINEAS ESPECIALIZADAS"),"Llamadas","Otro")))</f>
        <v/>
      </c>
      <c r="I4511" s="23" t="str">
        <f aca="false">IF(A4511="","",IF(C4511="No encontrado","No","Sí"))</f>
        <v/>
      </c>
      <c r="J4511" s="23" t="str">
        <f aca="false">IF(A4511="","",IF(F4511="Inactivo","No","Sí"))</f>
        <v/>
      </c>
      <c r="K4511" s="23" t="str">
        <f aca="false">IF(A4511="","",IF(AND(I4511="Sí",J4511="Sí"),"Sí","No"))</f>
        <v/>
      </c>
    </row>
    <row r="4512" customFormat="false" ht="15" hidden="false" customHeight="false" outlineLevel="0" collapsed="false">
      <c r="A4512" s="22"/>
      <c r="B4512" s="22"/>
      <c r="C4512" s="26" t="str">
        <f aca="false">IF(A4512="","",IFERROR(buscarx(A4512&amp;B4512,DATA!$E$3:$E$10000&amp;DATA!$B$3:$B$10000,DATA!$M$3:$M$10000),"No encontrado"))</f>
        <v/>
      </c>
      <c r="D4512" s="27" t="str">
        <f aca="false">IF(A4512="","",IFERROR(buscarx(A4512&amp;B4512,DATA!$E$3:$E$10000&amp;DATA!$B$3:$B$10000,DATA!$W$3:$W$10000),"No encontrado"))</f>
        <v/>
      </c>
      <c r="E4512" s="22"/>
      <c r="F4512" s="26" t="str">
        <f aca="false">IF(A4512="","",IFERROR(buscarx(A4512&amp;E4512,DATA!$E$3:$E$10000&amp;DATA!$B$3:$B$10000,DATA!$M$3:$M$10000),"Inactivo"))</f>
        <v/>
      </c>
      <c r="G4512" s="28" t="str">
        <f aca="false">IF(A4512="","",IF(AND(C4512&lt;&gt;"No encontrado",F4512&lt;&gt;"Inactivo"),C4512&amp;" → "&amp;F4512,"Sin transición"))</f>
        <v/>
      </c>
      <c r="H4512" s="26" t="str">
        <f aca="false">IF(A4512="","",IF(D4512="GCIA LINEA SERVICIO DIGITALIDAD Y VENTAS","Chats",IF(OR(D4512="GERENCIA INBOUND LÍNEAS SERVICIO Y VENTA",D4512="GERENCIA INBOUND LINEAS ESPECIALIZADAS"),"Llamadas","Otro")))</f>
        <v/>
      </c>
      <c r="I4512" s="26" t="str">
        <f aca="false">IF(A4512="","",IF(C4512="No encontrado","No","Sí"))</f>
        <v/>
      </c>
      <c r="J4512" s="26" t="str">
        <f aca="false">IF(A4512="","",IF(F4512="Inactivo","No","Sí"))</f>
        <v/>
      </c>
      <c r="K4512" s="26" t="str">
        <f aca="false">IF(A4512="","",IF(AND(I4512="Sí",J4512="Sí"),"Sí","No"))</f>
        <v/>
      </c>
    </row>
    <row r="4513" customFormat="false" ht="15" hidden="false" customHeight="false" outlineLevel="0" collapsed="false">
      <c r="A4513" s="22"/>
      <c r="B4513" s="22"/>
      <c r="C4513" s="23" t="str">
        <f aca="false">IF(A4513="","",IFERROR(buscarx(A4513&amp;B4513,DATA!$E$3:$E$10000&amp;DATA!$B$3:$B$10000,DATA!$M$3:$M$10000),"No encontrado"))</f>
        <v/>
      </c>
      <c r="D4513" s="24" t="str">
        <f aca="false">IF(A4513="","",IFERROR(buscarx(A4513&amp;B4513,DATA!$E$3:$E$10000&amp;DATA!$B$3:$B$10000,DATA!$W$3:$W$10000),"No encontrado"))</f>
        <v/>
      </c>
      <c r="E4513" s="22"/>
      <c r="F4513" s="23" t="str">
        <f aca="false">IF(A4513="","",IFERROR(buscarx(A4513&amp;E4513,DATA!$E$3:$E$10000&amp;DATA!$B$3:$B$10000,DATA!$M$3:$M$10000),"Inactivo"))</f>
        <v/>
      </c>
      <c r="G4513" s="25" t="str">
        <f aca="false">IF(A4513="","",IF(AND(C4513&lt;&gt;"No encontrado",F4513&lt;&gt;"Inactivo"),C4513&amp;" → "&amp;F4513,"Sin transición"))</f>
        <v/>
      </c>
      <c r="H4513" s="23" t="str">
        <f aca="false">IF(A4513="","",IF(D4513="GCIA LINEA SERVICIO DIGITALIDAD Y VENTAS","Chats",IF(OR(D4513="GERENCIA INBOUND LÍNEAS SERVICIO Y VENTA",D4513="GERENCIA INBOUND LINEAS ESPECIALIZADAS"),"Llamadas","Otro")))</f>
        <v/>
      </c>
      <c r="I4513" s="23" t="str">
        <f aca="false">IF(A4513="","",IF(C4513="No encontrado","No","Sí"))</f>
        <v/>
      </c>
      <c r="J4513" s="23" t="str">
        <f aca="false">IF(A4513="","",IF(F4513="Inactivo","No","Sí"))</f>
        <v/>
      </c>
      <c r="K4513" s="23" t="str">
        <f aca="false">IF(A4513="","",IF(AND(I4513="Sí",J4513="Sí"),"Sí","No"))</f>
        <v/>
      </c>
    </row>
    <row r="4514" customFormat="false" ht="15" hidden="false" customHeight="false" outlineLevel="0" collapsed="false">
      <c r="A4514" s="22"/>
      <c r="B4514" s="22"/>
      <c r="C4514" s="26" t="str">
        <f aca="false">IF(A4514="","",IFERROR(buscarx(A4514&amp;B4514,DATA!$E$3:$E$10000&amp;DATA!$B$3:$B$10000,DATA!$M$3:$M$10000),"No encontrado"))</f>
        <v/>
      </c>
      <c r="D4514" s="27" t="str">
        <f aca="false">IF(A4514="","",IFERROR(buscarx(A4514&amp;B4514,DATA!$E$3:$E$10000&amp;DATA!$B$3:$B$10000,DATA!$W$3:$W$10000),"No encontrado"))</f>
        <v/>
      </c>
      <c r="E4514" s="22"/>
      <c r="F4514" s="26" t="str">
        <f aca="false">IF(A4514="","",IFERROR(buscarx(A4514&amp;E4514,DATA!$E$3:$E$10000&amp;DATA!$B$3:$B$10000,DATA!$M$3:$M$10000),"Inactivo"))</f>
        <v/>
      </c>
      <c r="G4514" s="28" t="str">
        <f aca="false">IF(A4514="","",IF(AND(C4514&lt;&gt;"No encontrado",F4514&lt;&gt;"Inactivo"),C4514&amp;" → "&amp;F4514,"Sin transición"))</f>
        <v/>
      </c>
      <c r="H4514" s="26" t="str">
        <f aca="false">IF(A4514="","",IF(D4514="GCIA LINEA SERVICIO DIGITALIDAD Y VENTAS","Chats",IF(OR(D4514="GERENCIA INBOUND LÍNEAS SERVICIO Y VENTA",D4514="GERENCIA INBOUND LINEAS ESPECIALIZADAS"),"Llamadas","Otro")))</f>
        <v/>
      </c>
      <c r="I4514" s="26" t="str">
        <f aca="false">IF(A4514="","",IF(C4514="No encontrado","No","Sí"))</f>
        <v/>
      </c>
      <c r="J4514" s="26" t="str">
        <f aca="false">IF(A4514="","",IF(F4514="Inactivo","No","Sí"))</f>
        <v/>
      </c>
      <c r="K4514" s="26" t="str">
        <f aca="false">IF(A4514="","",IF(AND(I4514="Sí",J4514="Sí"),"Sí","No"))</f>
        <v/>
      </c>
    </row>
    <row r="4515" customFormat="false" ht="15" hidden="false" customHeight="false" outlineLevel="0" collapsed="false">
      <c r="A4515" s="22"/>
      <c r="B4515" s="22"/>
      <c r="C4515" s="23" t="str">
        <f aca="false">IF(A4515="","",IFERROR(buscarx(A4515&amp;B4515,DATA!$E$3:$E$10000&amp;DATA!$B$3:$B$10000,DATA!$M$3:$M$10000),"No encontrado"))</f>
        <v/>
      </c>
      <c r="D4515" s="24" t="str">
        <f aca="false">IF(A4515="","",IFERROR(buscarx(A4515&amp;B4515,DATA!$E$3:$E$10000&amp;DATA!$B$3:$B$10000,DATA!$W$3:$W$10000),"No encontrado"))</f>
        <v/>
      </c>
      <c r="E4515" s="22"/>
      <c r="F4515" s="23" t="str">
        <f aca="false">IF(A4515="","",IFERROR(buscarx(A4515&amp;E4515,DATA!$E$3:$E$10000&amp;DATA!$B$3:$B$10000,DATA!$M$3:$M$10000),"Inactivo"))</f>
        <v/>
      </c>
      <c r="G4515" s="25" t="str">
        <f aca="false">IF(A4515="","",IF(AND(C4515&lt;&gt;"No encontrado",F4515&lt;&gt;"Inactivo"),C4515&amp;" → "&amp;F4515,"Sin transición"))</f>
        <v/>
      </c>
      <c r="H4515" s="23" t="str">
        <f aca="false">IF(A4515="","",IF(D4515="GCIA LINEA SERVICIO DIGITALIDAD Y VENTAS","Chats",IF(OR(D4515="GERENCIA INBOUND LÍNEAS SERVICIO Y VENTA",D4515="GERENCIA INBOUND LINEAS ESPECIALIZADAS"),"Llamadas","Otro")))</f>
        <v/>
      </c>
      <c r="I4515" s="23" t="str">
        <f aca="false">IF(A4515="","",IF(C4515="No encontrado","No","Sí"))</f>
        <v/>
      </c>
      <c r="J4515" s="23" t="str">
        <f aca="false">IF(A4515="","",IF(F4515="Inactivo","No","Sí"))</f>
        <v/>
      </c>
      <c r="K4515" s="23" t="str">
        <f aca="false">IF(A4515="","",IF(AND(I4515="Sí",J4515="Sí"),"Sí","No"))</f>
        <v/>
      </c>
    </row>
    <row r="4516" customFormat="false" ht="15" hidden="false" customHeight="false" outlineLevel="0" collapsed="false">
      <c r="A4516" s="22"/>
      <c r="B4516" s="22"/>
      <c r="C4516" s="26" t="str">
        <f aca="false">IF(A4516="","",IFERROR(buscarx(A4516&amp;B4516,DATA!$E$3:$E$10000&amp;DATA!$B$3:$B$10000,DATA!$M$3:$M$10000),"No encontrado"))</f>
        <v/>
      </c>
      <c r="D4516" s="27" t="str">
        <f aca="false">IF(A4516="","",IFERROR(buscarx(A4516&amp;B4516,DATA!$E$3:$E$10000&amp;DATA!$B$3:$B$10000,DATA!$W$3:$W$10000),"No encontrado"))</f>
        <v/>
      </c>
      <c r="E4516" s="22"/>
      <c r="F4516" s="26" t="str">
        <f aca="false">IF(A4516="","",IFERROR(buscarx(A4516&amp;E4516,DATA!$E$3:$E$10000&amp;DATA!$B$3:$B$10000,DATA!$M$3:$M$10000),"Inactivo"))</f>
        <v/>
      </c>
      <c r="G4516" s="28" t="str">
        <f aca="false">IF(A4516="","",IF(AND(C4516&lt;&gt;"No encontrado",F4516&lt;&gt;"Inactivo"),C4516&amp;" → "&amp;F4516,"Sin transición"))</f>
        <v/>
      </c>
      <c r="H4516" s="26" t="str">
        <f aca="false">IF(A4516="","",IF(D4516="GCIA LINEA SERVICIO DIGITALIDAD Y VENTAS","Chats",IF(OR(D4516="GERENCIA INBOUND LÍNEAS SERVICIO Y VENTA",D4516="GERENCIA INBOUND LINEAS ESPECIALIZADAS"),"Llamadas","Otro")))</f>
        <v/>
      </c>
      <c r="I4516" s="26" t="str">
        <f aca="false">IF(A4516="","",IF(C4516="No encontrado","No","Sí"))</f>
        <v/>
      </c>
      <c r="J4516" s="26" t="str">
        <f aca="false">IF(A4516="","",IF(F4516="Inactivo","No","Sí"))</f>
        <v/>
      </c>
      <c r="K4516" s="26" t="str">
        <f aca="false">IF(A4516="","",IF(AND(I4516="Sí",J4516="Sí"),"Sí","No"))</f>
        <v/>
      </c>
    </row>
    <row r="4517" customFormat="false" ht="15" hidden="false" customHeight="false" outlineLevel="0" collapsed="false">
      <c r="A4517" s="22"/>
      <c r="B4517" s="22"/>
      <c r="C4517" s="23" t="str">
        <f aca="false">IF(A4517="","",IFERROR(buscarx(A4517&amp;B4517,DATA!$E$3:$E$10000&amp;DATA!$B$3:$B$10000,DATA!$M$3:$M$10000),"No encontrado"))</f>
        <v/>
      </c>
      <c r="D4517" s="24" t="str">
        <f aca="false">IF(A4517="","",IFERROR(buscarx(A4517&amp;B4517,DATA!$E$3:$E$10000&amp;DATA!$B$3:$B$10000,DATA!$W$3:$W$10000),"No encontrado"))</f>
        <v/>
      </c>
      <c r="E4517" s="22"/>
      <c r="F4517" s="23" t="str">
        <f aca="false">IF(A4517="","",IFERROR(buscarx(A4517&amp;E4517,DATA!$E$3:$E$10000&amp;DATA!$B$3:$B$10000,DATA!$M$3:$M$10000),"Inactivo"))</f>
        <v/>
      </c>
      <c r="G4517" s="25" t="str">
        <f aca="false">IF(A4517="","",IF(AND(C4517&lt;&gt;"No encontrado",F4517&lt;&gt;"Inactivo"),C4517&amp;" → "&amp;F4517,"Sin transición"))</f>
        <v/>
      </c>
      <c r="H4517" s="23" t="str">
        <f aca="false">IF(A4517="","",IF(D4517="GCIA LINEA SERVICIO DIGITALIDAD Y VENTAS","Chats",IF(OR(D4517="GERENCIA INBOUND LÍNEAS SERVICIO Y VENTA",D4517="GERENCIA INBOUND LINEAS ESPECIALIZADAS"),"Llamadas","Otro")))</f>
        <v/>
      </c>
      <c r="I4517" s="23" t="str">
        <f aca="false">IF(A4517="","",IF(C4517="No encontrado","No","Sí"))</f>
        <v/>
      </c>
      <c r="J4517" s="23" t="str">
        <f aca="false">IF(A4517="","",IF(F4517="Inactivo","No","Sí"))</f>
        <v/>
      </c>
      <c r="K4517" s="23" t="str">
        <f aca="false">IF(A4517="","",IF(AND(I4517="Sí",J4517="Sí"),"Sí","No"))</f>
        <v/>
      </c>
    </row>
    <row r="4518" customFormat="false" ht="15" hidden="false" customHeight="false" outlineLevel="0" collapsed="false">
      <c r="A4518" s="22"/>
      <c r="B4518" s="22"/>
      <c r="C4518" s="26" t="str">
        <f aca="false">IF(A4518="","",IFERROR(buscarx(A4518&amp;B4518,DATA!$E$3:$E$10000&amp;DATA!$B$3:$B$10000,DATA!$M$3:$M$10000),"No encontrado"))</f>
        <v/>
      </c>
      <c r="D4518" s="27" t="str">
        <f aca="false">IF(A4518="","",IFERROR(buscarx(A4518&amp;B4518,DATA!$E$3:$E$10000&amp;DATA!$B$3:$B$10000,DATA!$W$3:$W$10000),"No encontrado"))</f>
        <v/>
      </c>
      <c r="E4518" s="22"/>
      <c r="F4518" s="26" t="str">
        <f aca="false">IF(A4518="","",IFERROR(buscarx(A4518&amp;E4518,DATA!$E$3:$E$10000&amp;DATA!$B$3:$B$10000,DATA!$M$3:$M$10000),"Inactivo"))</f>
        <v/>
      </c>
      <c r="G4518" s="28" t="str">
        <f aca="false">IF(A4518="","",IF(AND(C4518&lt;&gt;"No encontrado",F4518&lt;&gt;"Inactivo"),C4518&amp;" → "&amp;F4518,"Sin transición"))</f>
        <v/>
      </c>
      <c r="H4518" s="26" t="str">
        <f aca="false">IF(A4518="","",IF(D4518="GCIA LINEA SERVICIO DIGITALIDAD Y VENTAS","Chats",IF(OR(D4518="GERENCIA INBOUND LÍNEAS SERVICIO Y VENTA",D4518="GERENCIA INBOUND LINEAS ESPECIALIZADAS"),"Llamadas","Otro")))</f>
        <v/>
      </c>
      <c r="I4518" s="26" t="str">
        <f aca="false">IF(A4518="","",IF(C4518="No encontrado","No","Sí"))</f>
        <v/>
      </c>
      <c r="J4518" s="26" t="str">
        <f aca="false">IF(A4518="","",IF(F4518="Inactivo","No","Sí"))</f>
        <v/>
      </c>
      <c r="K4518" s="26" t="str">
        <f aca="false">IF(A4518="","",IF(AND(I4518="Sí",J4518="Sí"),"Sí","No"))</f>
        <v/>
      </c>
    </row>
    <row r="4519" customFormat="false" ht="15" hidden="false" customHeight="false" outlineLevel="0" collapsed="false">
      <c r="A4519" s="22"/>
      <c r="B4519" s="22"/>
      <c r="C4519" s="23" t="str">
        <f aca="false">IF(A4519="","",IFERROR(buscarx(A4519&amp;B4519,DATA!$E$3:$E$10000&amp;DATA!$B$3:$B$10000,DATA!$M$3:$M$10000),"No encontrado"))</f>
        <v/>
      </c>
      <c r="D4519" s="24" t="str">
        <f aca="false">IF(A4519="","",IFERROR(buscarx(A4519&amp;B4519,DATA!$E$3:$E$10000&amp;DATA!$B$3:$B$10000,DATA!$W$3:$W$10000),"No encontrado"))</f>
        <v/>
      </c>
      <c r="E4519" s="22"/>
      <c r="F4519" s="23" t="str">
        <f aca="false">IF(A4519="","",IFERROR(buscarx(A4519&amp;E4519,DATA!$E$3:$E$10000&amp;DATA!$B$3:$B$10000,DATA!$M$3:$M$10000),"Inactivo"))</f>
        <v/>
      </c>
      <c r="G4519" s="25" t="str">
        <f aca="false">IF(A4519="","",IF(AND(C4519&lt;&gt;"No encontrado",F4519&lt;&gt;"Inactivo"),C4519&amp;" → "&amp;F4519,"Sin transición"))</f>
        <v/>
      </c>
      <c r="H4519" s="23" t="str">
        <f aca="false">IF(A4519="","",IF(D4519="GCIA LINEA SERVICIO DIGITALIDAD Y VENTAS","Chats",IF(OR(D4519="GERENCIA INBOUND LÍNEAS SERVICIO Y VENTA",D4519="GERENCIA INBOUND LINEAS ESPECIALIZADAS"),"Llamadas","Otro")))</f>
        <v/>
      </c>
      <c r="I4519" s="23" t="str">
        <f aca="false">IF(A4519="","",IF(C4519="No encontrado","No","Sí"))</f>
        <v/>
      </c>
      <c r="J4519" s="23" t="str">
        <f aca="false">IF(A4519="","",IF(F4519="Inactivo","No","Sí"))</f>
        <v/>
      </c>
      <c r="K4519" s="23" t="str">
        <f aca="false">IF(A4519="","",IF(AND(I4519="Sí",J4519="Sí"),"Sí","No"))</f>
        <v/>
      </c>
    </row>
    <row r="4520" customFormat="false" ht="15" hidden="false" customHeight="false" outlineLevel="0" collapsed="false">
      <c r="A4520" s="22"/>
      <c r="B4520" s="22"/>
      <c r="C4520" s="26" t="str">
        <f aca="false">IF(A4520="","",IFERROR(buscarx(A4520&amp;B4520,DATA!$E$3:$E$10000&amp;DATA!$B$3:$B$10000,DATA!$M$3:$M$10000),"No encontrado"))</f>
        <v/>
      </c>
      <c r="D4520" s="27" t="str">
        <f aca="false">IF(A4520="","",IFERROR(buscarx(A4520&amp;B4520,DATA!$E$3:$E$10000&amp;DATA!$B$3:$B$10000,DATA!$W$3:$W$10000),"No encontrado"))</f>
        <v/>
      </c>
      <c r="E4520" s="22"/>
      <c r="F4520" s="26" t="str">
        <f aca="false">IF(A4520="","",IFERROR(buscarx(A4520&amp;E4520,DATA!$E$3:$E$10000&amp;DATA!$B$3:$B$10000,DATA!$M$3:$M$10000),"Inactivo"))</f>
        <v/>
      </c>
      <c r="G4520" s="28" t="str">
        <f aca="false">IF(A4520="","",IF(AND(C4520&lt;&gt;"No encontrado",F4520&lt;&gt;"Inactivo"),C4520&amp;" → "&amp;F4520,"Sin transición"))</f>
        <v/>
      </c>
      <c r="H4520" s="26" t="str">
        <f aca="false">IF(A4520="","",IF(D4520="GCIA LINEA SERVICIO DIGITALIDAD Y VENTAS","Chats",IF(OR(D4520="GERENCIA INBOUND LÍNEAS SERVICIO Y VENTA",D4520="GERENCIA INBOUND LINEAS ESPECIALIZADAS"),"Llamadas","Otro")))</f>
        <v/>
      </c>
      <c r="I4520" s="26" t="str">
        <f aca="false">IF(A4520="","",IF(C4520="No encontrado","No","Sí"))</f>
        <v/>
      </c>
      <c r="J4520" s="26" t="str">
        <f aca="false">IF(A4520="","",IF(F4520="Inactivo","No","Sí"))</f>
        <v/>
      </c>
      <c r="K4520" s="26" t="str">
        <f aca="false">IF(A4520="","",IF(AND(I4520="Sí",J4520="Sí"),"Sí","No"))</f>
        <v/>
      </c>
    </row>
    <row r="4521" customFormat="false" ht="15" hidden="false" customHeight="false" outlineLevel="0" collapsed="false">
      <c r="A4521" s="22"/>
      <c r="B4521" s="22"/>
      <c r="C4521" s="23" t="str">
        <f aca="false">IF(A4521="","",IFERROR(buscarx(A4521&amp;B4521,DATA!$E$3:$E$10000&amp;DATA!$B$3:$B$10000,DATA!$M$3:$M$10000),"No encontrado"))</f>
        <v/>
      </c>
      <c r="D4521" s="24" t="str">
        <f aca="false">IF(A4521="","",IFERROR(buscarx(A4521&amp;B4521,DATA!$E$3:$E$10000&amp;DATA!$B$3:$B$10000,DATA!$W$3:$W$10000),"No encontrado"))</f>
        <v/>
      </c>
      <c r="E4521" s="22"/>
      <c r="F4521" s="23" t="str">
        <f aca="false">IF(A4521="","",IFERROR(buscarx(A4521&amp;E4521,DATA!$E$3:$E$10000&amp;DATA!$B$3:$B$10000,DATA!$M$3:$M$10000),"Inactivo"))</f>
        <v/>
      </c>
      <c r="G4521" s="25" t="str">
        <f aca="false">IF(A4521="","",IF(AND(C4521&lt;&gt;"No encontrado",F4521&lt;&gt;"Inactivo"),C4521&amp;" → "&amp;F4521,"Sin transición"))</f>
        <v/>
      </c>
      <c r="H4521" s="23" t="str">
        <f aca="false">IF(A4521="","",IF(D4521="GCIA LINEA SERVICIO DIGITALIDAD Y VENTAS","Chats",IF(OR(D4521="GERENCIA INBOUND LÍNEAS SERVICIO Y VENTA",D4521="GERENCIA INBOUND LINEAS ESPECIALIZADAS"),"Llamadas","Otro")))</f>
        <v/>
      </c>
      <c r="I4521" s="23" t="str">
        <f aca="false">IF(A4521="","",IF(C4521="No encontrado","No","Sí"))</f>
        <v/>
      </c>
      <c r="J4521" s="23" t="str">
        <f aca="false">IF(A4521="","",IF(F4521="Inactivo","No","Sí"))</f>
        <v/>
      </c>
      <c r="K4521" s="23" t="str">
        <f aca="false">IF(A4521="","",IF(AND(I4521="Sí",J4521="Sí"),"Sí","No"))</f>
        <v/>
      </c>
    </row>
    <row r="4522" customFormat="false" ht="15" hidden="false" customHeight="false" outlineLevel="0" collapsed="false">
      <c r="A4522" s="22"/>
      <c r="B4522" s="22"/>
      <c r="C4522" s="26" t="str">
        <f aca="false">IF(A4522="","",IFERROR(buscarx(A4522&amp;B4522,DATA!$E$3:$E$10000&amp;DATA!$B$3:$B$10000,DATA!$M$3:$M$10000),"No encontrado"))</f>
        <v/>
      </c>
      <c r="D4522" s="27" t="str">
        <f aca="false">IF(A4522="","",IFERROR(buscarx(A4522&amp;B4522,DATA!$E$3:$E$10000&amp;DATA!$B$3:$B$10000,DATA!$W$3:$W$10000),"No encontrado"))</f>
        <v/>
      </c>
      <c r="E4522" s="22"/>
      <c r="F4522" s="26" t="str">
        <f aca="false">IF(A4522="","",IFERROR(buscarx(A4522&amp;E4522,DATA!$E$3:$E$10000&amp;DATA!$B$3:$B$10000,DATA!$M$3:$M$10000),"Inactivo"))</f>
        <v/>
      </c>
      <c r="G4522" s="28" t="str">
        <f aca="false">IF(A4522="","",IF(AND(C4522&lt;&gt;"No encontrado",F4522&lt;&gt;"Inactivo"),C4522&amp;" → "&amp;F4522,"Sin transición"))</f>
        <v/>
      </c>
      <c r="H4522" s="26" t="str">
        <f aca="false">IF(A4522="","",IF(D4522="GCIA LINEA SERVICIO DIGITALIDAD Y VENTAS","Chats",IF(OR(D4522="GERENCIA INBOUND LÍNEAS SERVICIO Y VENTA",D4522="GERENCIA INBOUND LINEAS ESPECIALIZADAS"),"Llamadas","Otro")))</f>
        <v/>
      </c>
      <c r="I4522" s="26" t="str">
        <f aca="false">IF(A4522="","",IF(C4522="No encontrado","No","Sí"))</f>
        <v/>
      </c>
      <c r="J4522" s="26" t="str">
        <f aca="false">IF(A4522="","",IF(F4522="Inactivo","No","Sí"))</f>
        <v/>
      </c>
      <c r="K4522" s="26" t="str">
        <f aca="false">IF(A4522="","",IF(AND(I4522="Sí",J4522="Sí"),"Sí","No"))</f>
        <v/>
      </c>
    </row>
    <row r="4523" customFormat="false" ht="15" hidden="false" customHeight="false" outlineLevel="0" collapsed="false">
      <c r="A4523" s="22"/>
      <c r="B4523" s="22"/>
      <c r="C4523" s="23" t="str">
        <f aca="false">IF(A4523="","",IFERROR(buscarx(A4523&amp;B4523,DATA!$E$3:$E$10000&amp;DATA!$B$3:$B$10000,DATA!$M$3:$M$10000),"No encontrado"))</f>
        <v/>
      </c>
      <c r="D4523" s="24" t="str">
        <f aca="false">IF(A4523="","",IFERROR(buscarx(A4523&amp;B4523,DATA!$E$3:$E$10000&amp;DATA!$B$3:$B$10000,DATA!$W$3:$W$10000),"No encontrado"))</f>
        <v/>
      </c>
      <c r="E4523" s="22"/>
      <c r="F4523" s="23" t="str">
        <f aca="false">IF(A4523="","",IFERROR(buscarx(A4523&amp;E4523,DATA!$E$3:$E$10000&amp;DATA!$B$3:$B$10000,DATA!$M$3:$M$10000),"Inactivo"))</f>
        <v/>
      </c>
      <c r="G4523" s="25" t="str">
        <f aca="false">IF(A4523="","",IF(AND(C4523&lt;&gt;"No encontrado",F4523&lt;&gt;"Inactivo"),C4523&amp;" → "&amp;F4523,"Sin transición"))</f>
        <v/>
      </c>
      <c r="H4523" s="23" t="str">
        <f aca="false">IF(A4523="","",IF(D4523="GCIA LINEA SERVICIO DIGITALIDAD Y VENTAS","Chats",IF(OR(D4523="GERENCIA INBOUND LÍNEAS SERVICIO Y VENTA",D4523="GERENCIA INBOUND LINEAS ESPECIALIZADAS"),"Llamadas","Otro")))</f>
        <v/>
      </c>
      <c r="I4523" s="23" t="str">
        <f aca="false">IF(A4523="","",IF(C4523="No encontrado","No","Sí"))</f>
        <v/>
      </c>
      <c r="J4523" s="23" t="str">
        <f aca="false">IF(A4523="","",IF(F4523="Inactivo","No","Sí"))</f>
        <v/>
      </c>
      <c r="K4523" s="23" t="str">
        <f aca="false">IF(A4523="","",IF(AND(I4523="Sí",J4523="Sí"),"Sí","No"))</f>
        <v/>
      </c>
    </row>
    <row r="4524" customFormat="false" ht="15" hidden="false" customHeight="false" outlineLevel="0" collapsed="false">
      <c r="A4524" s="22"/>
      <c r="B4524" s="22"/>
      <c r="C4524" s="26" t="str">
        <f aca="false">IF(A4524="","",IFERROR(buscarx(A4524&amp;B4524,DATA!$E$3:$E$10000&amp;DATA!$B$3:$B$10000,DATA!$M$3:$M$10000),"No encontrado"))</f>
        <v/>
      </c>
      <c r="D4524" s="27" t="str">
        <f aca="false">IF(A4524="","",IFERROR(buscarx(A4524&amp;B4524,DATA!$E$3:$E$10000&amp;DATA!$B$3:$B$10000,DATA!$W$3:$W$10000),"No encontrado"))</f>
        <v/>
      </c>
      <c r="E4524" s="22"/>
      <c r="F4524" s="26" t="str">
        <f aca="false">IF(A4524="","",IFERROR(buscarx(A4524&amp;E4524,DATA!$E$3:$E$10000&amp;DATA!$B$3:$B$10000,DATA!$M$3:$M$10000),"Inactivo"))</f>
        <v/>
      </c>
      <c r="G4524" s="28" t="str">
        <f aca="false">IF(A4524="","",IF(AND(C4524&lt;&gt;"No encontrado",F4524&lt;&gt;"Inactivo"),C4524&amp;" → "&amp;F4524,"Sin transición"))</f>
        <v/>
      </c>
      <c r="H4524" s="26" t="str">
        <f aca="false">IF(A4524="","",IF(D4524="GCIA LINEA SERVICIO DIGITALIDAD Y VENTAS","Chats",IF(OR(D4524="GERENCIA INBOUND LÍNEAS SERVICIO Y VENTA",D4524="GERENCIA INBOUND LINEAS ESPECIALIZADAS"),"Llamadas","Otro")))</f>
        <v/>
      </c>
      <c r="I4524" s="26" t="str">
        <f aca="false">IF(A4524="","",IF(C4524="No encontrado","No","Sí"))</f>
        <v/>
      </c>
      <c r="J4524" s="26" t="str">
        <f aca="false">IF(A4524="","",IF(F4524="Inactivo","No","Sí"))</f>
        <v/>
      </c>
      <c r="K4524" s="26" t="str">
        <f aca="false">IF(A4524="","",IF(AND(I4524="Sí",J4524="Sí"),"Sí","No"))</f>
        <v/>
      </c>
    </row>
    <row r="4525" customFormat="false" ht="15" hidden="false" customHeight="false" outlineLevel="0" collapsed="false">
      <c r="A4525" s="22"/>
      <c r="B4525" s="22"/>
      <c r="C4525" s="23" t="str">
        <f aca="false">IF(A4525="","",IFERROR(buscarx(A4525&amp;B4525,DATA!$E$3:$E$10000&amp;DATA!$B$3:$B$10000,DATA!$M$3:$M$10000),"No encontrado"))</f>
        <v/>
      </c>
      <c r="D4525" s="24" t="str">
        <f aca="false">IF(A4525="","",IFERROR(buscarx(A4525&amp;B4525,DATA!$E$3:$E$10000&amp;DATA!$B$3:$B$10000,DATA!$W$3:$W$10000),"No encontrado"))</f>
        <v/>
      </c>
      <c r="E4525" s="22"/>
      <c r="F4525" s="23" t="str">
        <f aca="false">IF(A4525="","",IFERROR(buscarx(A4525&amp;E4525,DATA!$E$3:$E$10000&amp;DATA!$B$3:$B$10000,DATA!$M$3:$M$10000),"Inactivo"))</f>
        <v/>
      </c>
      <c r="G4525" s="25" t="str">
        <f aca="false">IF(A4525="","",IF(AND(C4525&lt;&gt;"No encontrado",F4525&lt;&gt;"Inactivo"),C4525&amp;" → "&amp;F4525,"Sin transición"))</f>
        <v/>
      </c>
      <c r="H4525" s="23" t="str">
        <f aca="false">IF(A4525="","",IF(D4525="GCIA LINEA SERVICIO DIGITALIDAD Y VENTAS","Chats",IF(OR(D4525="GERENCIA INBOUND LÍNEAS SERVICIO Y VENTA",D4525="GERENCIA INBOUND LINEAS ESPECIALIZADAS"),"Llamadas","Otro")))</f>
        <v/>
      </c>
      <c r="I4525" s="23" t="str">
        <f aca="false">IF(A4525="","",IF(C4525="No encontrado","No","Sí"))</f>
        <v/>
      </c>
      <c r="J4525" s="23" t="str">
        <f aca="false">IF(A4525="","",IF(F4525="Inactivo","No","Sí"))</f>
        <v/>
      </c>
      <c r="K4525" s="23" t="str">
        <f aca="false">IF(A4525="","",IF(AND(I4525="Sí",J4525="Sí"),"Sí","No"))</f>
        <v/>
      </c>
    </row>
    <row r="4526" customFormat="false" ht="15" hidden="false" customHeight="false" outlineLevel="0" collapsed="false">
      <c r="A4526" s="22"/>
      <c r="B4526" s="22"/>
      <c r="C4526" s="26" t="str">
        <f aca="false">IF(A4526="","",IFERROR(buscarx(A4526&amp;B4526,DATA!$E$3:$E$10000&amp;DATA!$B$3:$B$10000,DATA!$M$3:$M$10000),"No encontrado"))</f>
        <v/>
      </c>
      <c r="D4526" s="27" t="str">
        <f aca="false">IF(A4526="","",IFERROR(buscarx(A4526&amp;B4526,DATA!$E$3:$E$10000&amp;DATA!$B$3:$B$10000,DATA!$W$3:$W$10000),"No encontrado"))</f>
        <v/>
      </c>
      <c r="E4526" s="22"/>
      <c r="F4526" s="26" t="str">
        <f aca="false">IF(A4526="","",IFERROR(buscarx(A4526&amp;E4526,DATA!$E$3:$E$10000&amp;DATA!$B$3:$B$10000,DATA!$M$3:$M$10000),"Inactivo"))</f>
        <v/>
      </c>
      <c r="G4526" s="28" t="str">
        <f aca="false">IF(A4526="","",IF(AND(C4526&lt;&gt;"No encontrado",F4526&lt;&gt;"Inactivo"),C4526&amp;" → "&amp;F4526,"Sin transición"))</f>
        <v/>
      </c>
      <c r="H4526" s="26" t="str">
        <f aca="false">IF(A4526="","",IF(D4526="GCIA LINEA SERVICIO DIGITALIDAD Y VENTAS","Chats",IF(OR(D4526="GERENCIA INBOUND LÍNEAS SERVICIO Y VENTA",D4526="GERENCIA INBOUND LINEAS ESPECIALIZADAS"),"Llamadas","Otro")))</f>
        <v/>
      </c>
      <c r="I4526" s="26" t="str">
        <f aca="false">IF(A4526="","",IF(C4526="No encontrado","No","Sí"))</f>
        <v/>
      </c>
      <c r="J4526" s="26" t="str">
        <f aca="false">IF(A4526="","",IF(F4526="Inactivo","No","Sí"))</f>
        <v/>
      </c>
      <c r="K4526" s="26" t="str">
        <f aca="false">IF(A4526="","",IF(AND(I4526="Sí",J4526="Sí"),"Sí","No"))</f>
        <v/>
      </c>
    </row>
    <row r="4527" customFormat="false" ht="15" hidden="false" customHeight="false" outlineLevel="0" collapsed="false">
      <c r="A4527" s="22"/>
      <c r="B4527" s="22"/>
      <c r="C4527" s="23" t="str">
        <f aca="false">IF(A4527="","",IFERROR(buscarx(A4527&amp;B4527,DATA!$E$3:$E$10000&amp;DATA!$B$3:$B$10000,DATA!$M$3:$M$10000),"No encontrado"))</f>
        <v/>
      </c>
      <c r="D4527" s="24" t="str">
        <f aca="false">IF(A4527="","",IFERROR(buscarx(A4527&amp;B4527,DATA!$E$3:$E$10000&amp;DATA!$B$3:$B$10000,DATA!$W$3:$W$10000),"No encontrado"))</f>
        <v/>
      </c>
      <c r="E4527" s="22"/>
      <c r="F4527" s="23" t="str">
        <f aca="false">IF(A4527="","",IFERROR(buscarx(A4527&amp;E4527,DATA!$E$3:$E$10000&amp;DATA!$B$3:$B$10000,DATA!$M$3:$M$10000),"Inactivo"))</f>
        <v/>
      </c>
      <c r="G4527" s="25" t="str">
        <f aca="false">IF(A4527="","",IF(AND(C4527&lt;&gt;"No encontrado",F4527&lt;&gt;"Inactivo"),C4527&amp;" → "&amp;F4527,"Sin transición"))</f>
        <v/>
      </c>
      <c r="H4527" s="23" t="str">
        <f aca="false">IF(A4527="","",IF(D4527="GCIA LINEA SERVICIO DIGITALIDAD Y VENTAS","Chats",IF(OR(D4527="GERENCIA INBOUND LÍNEAS SERVICIO Y VENTA",D4527="GERENCIA INBOUND LINEAS ESPECIALIZADAS"),"Llamadas","Otro")))</f>
        <v/>
      </c>
      <c r="I4527" s="23" t="str">
        <f aca="false">IF(A4527="","",IF(C4527="No encontrado","No","Sí"))</f>
        <v/>
      </c>
      <c r="J4527" s="23" t="str">
        <f aca="false">IF(A4527="","",IF(F4527="Inactivo","No","Sí"))</f>
        <v/>
      </c>
      <c r="K4527" s="23" t="str">
        <f aca="false">IF(A4527="","",IF(AND(I4527="Sí",J4527="Sí"),"Sí","No"))</f>
        <v/>
      </c>
    </row>
    <row r="4528" customFormat="false" ht="15" hidden="false" customHeight="false" outlineLevel="0" collapsed="false">
      <c r="A4528" s="22"/>
      <c r="B4528" s="22"/>
      <c r="C4528" s="26" t="str">
        <f aca="false">IF(A4528="","",IFERROR(buscarx(A4528&amp;B4528,DATA!$E$3:$E$10000&amp;DATA!$B$3:$B$10000,DATA!$M$3:$M$10000),"No encontrado"))</f>
        <v/>
      </c>
      <c r="D4528" s="27" t="str">
        <f aca="false">IF(A4528="","",IFERROR(buscarx(A4528&amp;B4528,DATA!$E$3:$E$10000&amp;DATA!$B$3:$B$10000,DATA!$W$3:$W$10000),"No encontrado"))</f>
        <v/>
      </c>
      <c r="E4528" s="22"/>
      <c r="F4528" s="26" t="str">
        <f aca="false">IF(A4528="","",IFERROR(buscarx(A4528&amp;E4528,DATA!$E$3:$E$10000&amp;DATA!$B$3:$B$10000,DATA!$M$3:$M$10000),"Inactivo"))</f>
        <v/>
      </c>
      <c r="G4528" s="28" t="str">
        <f aca="false">IF(A4528="","",IF(AND(C4528&lt;&gt;"No encontrado",F4528&lt;&gt;"Inactivo"),C4528&amp;" → "&amp;F4528,"Sin transición"))</f>
        <v/>
      </c>
      <c r="H4528" s="26" t="str">
        <f aca="false">IF(A4528="","",IF(D4528="GCIA LINEA SERVICIO DIGITALIDAD Y VENTAS","Chats",IF(OR(D4528="GERENCIA INBOUND LÍNEAS SERVICIO Y VENTA",D4528="GERENCIA INBOUND LINEAS ESPECIALIZADAS"),"Llamadas","Otro")))</f>
        <v/>
      </c>
      <c r="I4528" s="26" t="str">
        <f aca="false">IF(A4528="","",IF(C4528="No encontrado","No","Sí"))</f>
        <v/>
      </c>
      <c r="J4528" s="26" t="str">
        <f aca="false">IF(A4528="","",IF(F4528="Inactivo","No","Sí"))</f>
        <v/>
      </c>
      <c r="K4528" s="26" t="str">
        <f aca="false">IF(A4528="","",IF(AND(I4528="Sí",J4528="Sí"),"Sí","No"))</f>
        <v/>
      </c>
    </row>
    <row r="4529" customFormat="false" ht="15" hidden="false" customHeight="false" outlineLevel="0" collapsed="false">
      <c r="A4529" s="22"/>
      <c r="B4529" s="22"/>
      <c r="C4529" s="23" t="str">
        <f aca="false">IF(A4529="","",IFERROR(buscarx(A4529&amp;B4529,DATA!$E$3:$E$10000&amp;DATA!$B$3:$B$10000,DATA!$M$3:$M$10000),"No encontrado"))</f>
        <v/>
      </c>
      <c r="D4529" s="24" t="str">
        <f aca="false">IF(A4529="","",IFERROR(buscarx(A4529&amp;B4529,DATA!$E$3:$E$10000&amp;DATA!$B$3:$B$10000,DATA!$W$3:$W$10000),"No encontrado"))</f>
        <v/>
      </c>
      <c r="E4529" s="22"/>
      <c r="F4529" s="23" t="str">
        <f aca="false">IF(A4529="","",IFERROR(buscarx(A4529&amp;E4529,DATA!$E$3:$E$10000&amp;DATA!$B$3:$B$10000,DATA!$M$3:$M$10000),"Inactivo"))</f>
        <v/>
      </c>
      <c r="G4529" s="25" t="str">
        <f aca="false">IF(A4529="","",IF(AND(C4529&lt;&gt;"No encontrado",F4529&lt;&gt;"Inactivo"),C4529&amp;" → "&amp;F4529,"Sin transición"))</f>
        <v/>
      </c>
      <c r="H4529" s="23" t="str">
        <f aca="false">IF(A4529="","",IF(D4529="GCIA LINEA SERVICIO DIGITALIDAD Y VENTAS","Chats",IF(OR(D4529="GERENCIA INBOUND LÍNEAS SERVICIO Y VENTA",D4529="GERENCIA INBOUND LINEAS ESPECIALIZADAS"),"Llamadas","Otro")))</f>
        <v/>
      </c>
      <c r="I4529" s="23" t="str">
        <f aca="false">IF(A4529="","",IF(C4529="No encontrado","No","Sí"))</f>
        <v/>
      </c>
      <c r="J4529" s="23" t="str">
        <f aca="false">IF(A4529="","",IF(F4529="Inactivo","No","Sí"))</f>
        <v/>
      </c>
      <c r="K4529" s="23" t="str">
        <f aca="false">IF(A4529="","",IF(AND(I4529="Sí",J4529="Sí"),"Sí","No"))</f>
        <v/>
      </c>
    </row>
    <row r="4530" customFormat="false" ht="15" hidden="false" customHeight="false" outlineLevel="0" collapsed="false">
      <c r="A4530" s="22"/>
      <c r="B4530" s="22"/>
      <c r="C4530" s="26" t="str">
        <f aca="false">IF(A4530="","",IFERROR(buscarx(A4530&amp;B4530,DATA!$E$3:$E$10000&amp;DATA!$B$3:$B$10000,DATA!$M$3:$M$10000),"No encontrado"))</f>
        <v/>
      </c>
      <c r="D4530" s="27" t="str">
        <f aca="false">IF(A4530="","",IFERROR(buscarx(A4530&amp;B4530,DATA!$E$3:$E$10000&amp;DATA!$B$3:$B$10000,DATA!$W$3:$W$10000),"No encontrado"))</f>
        <v/>
      </c>
      <c r="E4530" s="22"/>
      <c r="F4530" s="26" t="str">
        <f aca="false">IF(A4530="","",IFERROR(buscarx(A4530&amp;E4530,DATA!$E$3:$E$10000&amp;DATA!$B$3:$B$10000,DATA!$M$3:$M$10000),"Inactivo"))</f>
        <v/>
      </c>
      <c r="G4530" s="28" t="str">
        <f aca="false">IF(A4530="","",IF(AND(C4530&lt;&gt;"No encontrado",F4530&lt;&gt;"Inactivo"),C4530&amp;" → "&amp;F4530,"Sin transición"))</f>
        <v/>
      </c>
      <c r="H4530" s="26" t="str">
        <f aca="false">IF(A4530="","",IF(D4530="GCIA LINEA SERVICIO DIGITALIDAD Y VENTAS","Chats",IF(OR(D4530="GERENCIA INBOUND LÍNEAS SERVICIO Y VENTA",D4530="GERENCIA INBOUND LINEAS ESPECIALIZADAS"),"Llamadas","Otro")))</f>
        <v/>
      </c>
      <c r="I4530" s="26" t="str">
        <f aca="false">IF(A4530="","",IF(C4530="No encontrado","No","Sí"))</f>
        <v/>
      </c>
      <c r="J4530" s="26" t="str">
        <f aca="false">IF(A4530="","",IF(F4530="Inactivo","No","Sí"))</f>
        <v/>
      </c>
      <c r="K4530" s="26" t="str">
        <f aca="false">IF(A4530="","",IF(AND(I4530="Sí",J4530="Sí"),"Sí","No"))</f>
        <v/>
      </c>
    </row>
    <row r="4531" customFormat="false" ht="15" hidden="false" customHeight="false" outlineLevel="0" collapsed="false">
      <c r="A4531" s="22"/>
      <c r="B4531" s="22"/>
      <c r="C4531" s="23" t="str">
        <f aca="false">IF(A4531="","",IFERROR(buscarx(A4531&amp;B4531,DATA!$E$3:$E$10000&amp;DATA!$B$3:$B$10000,DATA!$M$3:$M$10000),"No encontrado"))</f>
        <v/>
      </c>
      <c r="D4531" s="24" t="str">
        <f aca="false">IF(A4531="","",IFERROR(buscarx(A4531&amp;B4531,DATA!$E$3:$E$10000&amp;DATA!$B$3:$B$10000,DATA!$W$3:$W$10000),"No encontrado"))</f>
        <v/>
      </c>
      <c r="E4531" s="22"/>
      <c r="F4531" s="23" t="str">
        <f aca="false">IF(A4531="","",IFERROR(buscarx(A4531&amp;E4531,DATA!$E$3:$E$10000&amp;DATA!$B$3:$B$10000,DATA!$M$3:$M$10000),"Inactivo"))</f>
        <v/>
      </c>
      <c r="G4531" s="25" t="str">
        <f aca="false">IF(A4531="","",IF(AND(C4531&lt;&gt;"No encontrado",F4531&lt;&gt;"Inactivo"),C4531&amp;" → "&amp;F4531,"Sin transición"))</f>
        <v/>
      </c>
      <c r="H4531" s="23" t="str">
        <f aca="false">IF(A4531="","",IF(D4531="GCIA LINEA SERVICIO DIGITALIDAD Y VENTAS","Chats",IF(OR(D4531="GERENCIA INBOUND LÍNEAS SERVICIO Y VENTA",D4531="GERENCIA INBOUND LINEAS ESPECIALIZADAS"),"Llamadas","Otro")))</f>
        <v/>
      </c>
      <c r="I4531" s="23" t="str">
        <f aca="false">IF(A4531="","",IF(C4531="No encontrado","No","Sí"))</f>
        <v/>
      </c>
      <c r="J4531" s="23" t="str">
        <f aca="false">IF(A4531="","",IF(F4531="Inactivo","No","Sí"))</f>
        <v/>
      </c>
      <c r="K4531" s="23" t="str">
        <f aca="false">IF(A4531="","",IF(AND(I4531="Sí",J4531="Sí"),"Sí","No"))</f>
        <v/>
      </c>
    </row>
    <row r="4532" customFormat="false" ht="15" hidden="false" customHeight="false" outlineLevel="0" collapsed="false">
      <c r="A4532" s="22"/>
      <c r="B4532" s="22"/>
      <c r="C4532" s="26" t="str">
        <f aca="false">IF(A4532="","",IFERROR(buscarx(A4532&amp;B4532,DATA!$E$3:$E$10000&amp;DATA!$B$3:$B$10000,DATA!$M$3:$M$10000),"No encontrado"))</f>
        <v/>
      </c>
      <c r="D4532" s="27" t="str">
        <f aca="false">IF(A4532="","",IFERROR(buscarx(A4532&amp;B4532,DATA!$E$3:$E$10000&amp;DATA!$B$3:$B$10000,DATA!$W$3:$W$10000),"No encontrado"))</f>
        <v/>
      </c>
      <c r="E4532" s="22"/>
      <c r="F4532" s="26" t="str">
        <f aca="false">IF(A4532="","",IFERROR(buscarx(A4532&amp;E4532,DATA!$E$3:$E$10000&amp;DATA!$B$3:$B$10000,DATA!$M$3:$M$10000),"Inactivo"))</f>
        <v/>
      </c>
      <c r="G4532" s="28" t="str">
        <f aca="false">IF(A4532="","",IF(AND(C4532&lt;&gt;"No encontrado",F4532&lt;&gt;"Inactivo"),C4532&amp;" → "&amp;F4532,"Sin transición"))</f>
        <v/>
      </c>
      <c r="H4532" s="26" t="str">
        <f aca="false">IF(A4532="","",IF(D4532="GCIA LINEA SERVICIO DIGITALIDAD Y VENTAS","Chats",IF(OR(D4532="GERENCIA INBOUND LÍNEAS SERVICIO Y VENTA",D4532="GERENCIA INBOUND LINEAS ESPECIALIZADAS"),"Llamadas","Otro")))</f>
        <v/>
      </c>
      <c r="I4532" s="26" t="str">
        <f aca="false">IF(A4532="","",IF(C4532="No encontrado","No","Sí"))</f>
        <v/>
      </c>
      <c r="J4532" s="26" t="str">
        <f aca="false">IF(A4532="","",IF(F4532="Inactivo","No","Sí"))</f>
        <v/>
      </c>
      <c r="K4532" s="26" t="str">
        <f aca="false">IF(A4532="","",IF(AND(I4532="Sí",J4532="Sí"),"Sí","No"))</f>
        <v/>
      </c>
    </row>
    <row r="4533" customFormat="false" ht="15" hidden="false" customHeight="false" outlineLevel="0" collapsed="false">
      <c r="A4533" s="22"/>
      <c r="B4533" s="22"/>
      <c r="C4533" s="23" t="str">
        <f aca="false">IF(A4533="","",IFERROR(buscarx(A4533&amp;B4533,DATA!$E$3:$E$10000&amp;DATA!$B$3:$B$10000,DATA!$M$3:$M$10000),"No encontrado"))</f>
        <v/>
      </c>
      <c r="D4533" s="24" t="str">
        <f aca="false">IF(A4533="","",IFERROR(buscarx(A4533&amp;B4533,DATA!$E$3:$E$10000&amp;DATA!$B$3:$B$10000,DATA!$W$3:$W$10000),"No encontrado"))</f>
        <v/>
      </c>
      <c r="E4533" s="22"/>
      <c r="F4533" s="23" t="str">
        <f aca="false">IF(A4533="","",IFERROR(buscarx(A4533&amp;E4533,DATA!$E$3:$E$10000&amp;DATA!$B$3:$B$10000,DATA!$M$3:$M$10000),"Inactivo"))</f>
        <v/>
      </c>
      <c r="G4533" s="25" t="str">
        <f aca="false">IF(A4533="","",IF(AND(C4533&lt;&gt;"No encontrado",F4533&lt;&gt;"Inactivo"),C4533&amp;" → "&amp;F4533,"Sin transición"))</f>
        <v/>
      </c>
      <c r="H4533" s="23" t="str">
        <f aca="false">IF(A4533="","",IF(D4533="GCIA LINEA SERVICIO DIGITALIDAD Y VENTAS","Chats",IF(OR(D4533="GERENCIA INBOUND LÍNEAS SERVICIO Y VENTA",D4533="GERENCIA INBOUND LINEAS ESPECIALIZADAS"),"Llamadas","Otro")))</f>
        <v/>
      </c>
      <c r="I4533" s="23" t="str">
        <f aca="false">IF(A4533="","",IF(C4533="No encontrado","No","Sí"))</f>
        <v/>
      </c>
      <c r="J4533" s="23" t="str">
        <f aca="false">IF(A4533="","",IF(F4533="Inactivo","No","Sí"))</f>
        <v/>
      </c>
      <c r="K4533" s="23" t="str">
        <f aca="false">IF(A4533="","",IF(AND(I4533="Sí",J4533="Sí"),"Sí","No"))</f>
        <v/>
      </c>
    </row>
    <row r="4534" customFormat="false" ht="15" hidden="false" customHeight="false" outlineLevel="0" collapsed="false">
      <c r="A4534" s="22"/>
      <c r="B4534" s="22"/>
      <c r="C4534" s="26" t="str">
        <f aca="false">IF(A4534="","",IFERROR(buscarx(A4534&amp;B4534,DATA!$E$3:$E$10000&amp;DATA!$B$3:$B$10000,DATA!$M$3:$M$10000),"No encontrado"))</f>
        <v/>
      </c>
      <c r="D4534" s="27" t="str">
        <f aca="false">IF(A4534="","",IFERROR(buscarx(A4534&amp;B4534,DATA!$E$3:$E$10000&amp;DATA!$B$3:$B$10000,DATA!$W$3:$W$10000),"No encontrado"))</f>
        <v/>
      </c>
      <c r="E4534" s="22"/>
      <c r="F4534" s="26" t="str">
        <f aca="false">IF(A4534="","",IFERROR(buscarx(A4534&amp;E4534,DATA!$E$3:$E$10000&amp;DATA!$B$3:$B$10000,DATA!$M$3:$M$10000),"Inactivo"))</f>
        <v/>
      </c>
      <c r="G4534" s="28" t="str">
        <f aca="false">IF(A4534="","",IF(AND(C4534&lt;&gt;"No encontrado",F4534&lt;&gt;"Inactivo"),C4534&amp;" → "&amp;F4534,"Sin transición"))</f>
        <v/>
      </c>
      <c r="H4534" s="26" t="str">
        <f aca="false">IF(A4534="","",IF(D4534="GCIA LINEA SERVICIO DIGITALIDAD Y VENTAS","Chats",IF(OR(D4534="GERENCIA INBOUND LÍNEAS SERVICIO Y VENTA",D4534="GERENCIA INBOUND LINEAS ESPECIALIZADAS"),"Llamadas","Otro")))</f>
        <v/>
      </c>
      <c r="I4534" s="26" t="str">
        <f aca="false">IF(A4534="","",IF(C4534="No encontrado","No","Sí"))</f>
        <v/>
      </c>
      <c r="J4534" s="26" t="str">
        <f aca="false">IF(A4534="","",IF(F4534="Inactivo","No","Sí"))</f>
        <v/>
      </c>
      <c r="K4534" s="26" t="str">
        <f aca="false">IF(A4534="","",IF(AND(I4534="Sí",J4534="Sí"),"Sí","No"))</f>
        <v/>
      </c>
    </row>
    <row r="4535" customFormat="false" ht="15" hidden="false" customHeight="false" outlineLevel="0" collapsed="false">
      <c r="A4535" s="22"/>
      <c r="B4535" s="22"/>
      <c r="C4535" s="23" t="str">
        <f aca="false">IF(A4535="","",IFERROR(buscarx(A4535&amp;B4535,DATA!$E$3:$E$10000&amp;DATA!$B$3:$B$10000,DATA!$M$3:$M$10000),"No encontrado"))</f>
        <v/>
      </c>
      <c r="D4535" s="24" t="str">
        <f aca="false">IF(A4535="","",IFERROR(buscarx(A4535&amp;B4535,DATA!$E$3:$E$10000&amp;DATA!$B$3:$B$10000,DATA!$W$3:$W$10000),"No encontrado"))</f>
        <v/>
      </c>
      <c r="E4535" s="22"/>
      <c r="F4535" s="23" t="str">
        <f aca="false">IF(A4535="","",IFERROR(buscarx(A4535&amp;E4535,DATA!$E$3:$E$10000&amp;DATA!$B$3:$B$10000,DATA!$M$3:$M$10000),"Inactivo"))</f>
        <v/>
      </c>
      <c r="G4535" s="25" t="str">
        <f aca="false">IF(A4535="","",IF(AND(C4535&lt;&gt;"No encontrado",F4535&lt;&gt;"Inactivo"),C4535&amp;" → "&amp;F4535,"Sin transición"))</f>
        <v/>
      </c>
      <c r="H4535" s="23" t="str">
        <f aca="false">IF(A4535="","",IF(D4535="GCIA LINEA SERVICIO DIGITALIDAD Y VENTAS","Chats",IF(OR(D4535="GERENCIA INBOUND LÍNEAS SERVICIO Y VENTA",D4535="GERENCIA INBOUND LINEAS ESPECIALIZADAS"),"Llamadas","Otro")))</f>
        <v/>
      </c>
      <c r="I4535" s="23" t="str">
        <f aca="false">IF(A4535="","",IF(C4535="No encontrado","No","Sí"))</f>
        <v/>
      </c>
      <c r="J4535" s="23" t="str">
        <f aca="false">IF(A4535="","",IF(F4535="Inactivo","No","Sí"))</f>
        <v/>
      </c>
      <c r="K4535" s="23" t="str">
        <f aca="false">IF(A4535="","",IF(AND(I4535="Sí",J4535="Sí"),"Sí","No"))</f>
        <v/>
      </c>
    </row>
    <row r="4536" customFormat="false" ht="15" hidden="false" customHeight="false" outlineLevel="0" collapsed="false">
      <c r="A4536" s="22"/>
      <c r="B4536" s="22"/>
      <c r="C4536" s="26" t="str">
        <f aca="false">IF(A4536="","",IFERROR(buscarx(A4536&amp;B4536,DATA!$E$3:$E$10000&amp;DATA!$B$3:$B$10000,DATA!$M$3:$M$10000),"No encontrado"))</f>
        <v/>
      </c>
      <c r="D4536" s="27" t="str">
        <f aca="false">IF(A4536="","",IFERROR(buscarx(A4536&amp;B4536,DATA!$E$3:$E$10000&amp;DATA!$B$3:$B$10000,DATA!$W$3:$W$10000),"No encontrado"))</f>
        <v/>
      </c>
      <c r="E4536" s="22"/>
      <c r="F4536" s="26" t="str">
        <f aca="false">IF(A4536="","",IFERROR(buscarx(A4536&amp;E4536,DATA!$E$3:$E$10000&amp;DATA!$B$3:$B$10000,DATA!$M$3:$M$10000),"Inactivo"))</f>
        <v/>
      </c>
      <c r="G4536" s="28" t="str">
        <f aca="false">IF(A4536="","",IF(AND(C4536&lt;&gt;"No encontrado",F4536&lt;&gt;"Inactivo"),C4536&amp;" → "&amp;F4536,"Sin transición"))</f>
        <v/>
      </c>
      <c r="H4536" s="26" t="str">
        <f aca="false">IF(A4536="","",IF(D4536="GCIA LINEA SERVICIO DIGITALIDAD Y VENTAS","Chats",IF(OR(D4536="GERENCIA INBOUND LÍNEAS SERVICIO Y VENTA",D4536="GERENCIA INBOUND LINEAS ESPECIALIZADAS"),"Llamadas","Otro")))</f>
        <v/>
      </c>
      <c r="I4536" s="26" t="str">
        <f aca="false">IF(A4536="","",IF(C4536="No encontrado","No","Sí"))</f>
        <v/>
      </c>
      <c r="J4536" s="26" t="str">
        <f aca="false">IF(A4536="","",IF(F4536="Inactivo","No","Sí"))</f>
        <v/>
      </c>
      <c r="K4536" s="26" t="str">
        <f aca="false">IF(A4536="","",IF(AND(I4536="Sí",J4536="Sí"),"Sí","No"))</f>
        <v/>
      </c>
    </row>
    <row r="4537" customFormat="false" ht="15" hidden="false" customHeight="false" outlineLevel="0" collapsed="false">
      <c r="A4537" s="22"/>
      <c r="B4537" s="22"/>
      <c r="C4537" s="23" t="str">
        <f aca="false">IF(A4537="","",IFERROR(buscarx(A4537&amp;B4537,DATA!$E$3:$E$10000&amp;DATA!$B$3:$B$10000,DATA!$M$3:$M$10000),"No encontrado"))</f>
        <v/>
      </c>
      <c r="D4537" s="24" t="str">
        <f aca="false">IF(A4537="","",IFERROR(buscarx(A4537&amp;B4537,DATA!$E$3:$E$10000&amp;DATA!$B$3:$B$10000,DATA!$W$3:$W$10000),"No encontrado"))</f>
        <v/>
      </c>
      <c r="E4537" s="22"/>
      <c r="F4537" s="23" t="str">
        <f aca="false">IF(A4537="","",IFERROR(buscarx(A4537&amp;E4537,DATA!$E$3:$E$10000&amp;DATA!$B$3:$B$10000,DATA!$M$3:$M$10000),"Inactivo"))</f>
        <v/>
      </c>
      <c r="G4537" s="25" t="str">
        <f aca="false">IF(A4537="","",IF(AND(C4537&lt;&gt;"No encontrado",F4537&lt;&gt;"Inactivo"),C4537&amp;" → "&amp;F4537,"Sin transición"))</f>
        <v/>
      </c>
      <c r="H4537" s="23" t="str">
        <f aca="false">IF(A4537="","",IF(D4537="GCIA LINEA SERVICIO DIGITALIDAD Y VENTAS","Chats",IF(OR(D4537="GERENCIA INBOUND LÍNEAS SERVICIO Y VENTA",D4537="GERENCIA INBOUND LINEAS ESPECIALIZADAS"),"Llamadas","Otro")))</f>
        <v/>
      </c>
      <c r="I4537" s="23" t="str">
        <f aca="false">IF(A4537="","",IF(C4537="No encontrado","No","Sí"))</f>
        <v/>
      </c>
      <c r="J4537" s="23" t="str">
        <f aca="false">IF(A4537="","",IF(F4537="Inactivo","No","Sí"))</f>
        <v/>
      </c>
      <c r="K4537" s="23" t="str">
        <f aca="false">IF(A4537="","",IF(AND(I4537="Sí",J4537="Sí"),"Sí","No"))</f>
        <v/>
      </c>
    </row>
    <row r="4538" customFormat="false" ht="15" hidden="false" customHeight="false" outlineLevel="0" collapsed="false">
      <c r="A4538" s="22"/>
      <c r="B4538" s="22"/>
      <c r="C4538" s="26" t="str">
        <f aca="false">IF(A4538="","",IFERROR(buscarx(A4538&amp;B4538,DATA!$E$3:$E$10000&amp;DATA!$B$3:$B$10000,DATA!$M$3:$M$10000),"No encontrado"))</f>
        <v/>
      </c>
      <c r="D4538" s="27" t="str">
        <f aca="false">IF(A4538="","",IFERROR(buscarx(A4538&amp;B4538,DATA!$E$3:$E$10000&amp;DATA!$B$3:$B$10000,DATA!$W$3:$W$10000),"No encontrado"))</f>
        <v/>
      </c>
      <c r="E4538" s="22"/>
      <c r="F4538" s="26" t="str">
        <f aca="false">IF(A4538="","",IFERROR(buscarx(A4538&amp;E4538,DATA!$E$3:$E$10000&amp;DATA!$B$3:$B$10000,DATA!$M$3:$M$10000),"Inactivo"))</f>
        <v/>
      </c>
      <c r="G4538" s="28" t="str">
        <f aca="false">IF(A4538="","",IF(AND(C4538&lt;&gt;"No encontrado",F4538&lt;&gt;"Inactivo"),C4538&amp;" → "&amp;F4538,"Sin transición"))</f>
        <v/>
      </c>
      <c r="H4538" s="26" t="str">
        <f aca="false">IF(A4538="","",IF(D4538="GCIA LINEA SERVICIO DIGITALIDAD Y VENTAS","Chats",IF(OR(D4538="GERENCIA INBOUND LÍNEAS SERVICIO Y VENTA",D4538="GERENCIA INBOUND LINEAS ESPECIALIZADAS"),"Llamadas","Otro")))</f>
        <v/>
      </c>
      <c r="I4538" s="26" t="str">
        <f aca="false">IF(A4538="","",IF(C4538="No encontrado","No","Sí"))</f>
        <v/>
      </c>
      <c r="J4538" s="26" t="str">
        <f aca="false">IF(A4538="","",IF(F4538="Inactivo","No","Sí"))</f>
        <v/>
      </c>
      <c r="K4538" s="26" t="str">
        <f aca="false">IF(A4538="","",IF(AND(I4538="Sí",J4538="Sí"),"Sí","No"))</f>
        <v/>
      </c>
    </row>
    <row r="4539" customFormat="false" ht="15" hidden="false" customHeight="false" outlineLevel="0" collapsed="false">
      <c r="A4539" s="22"/>
      <c r="B4539" s="22"/>
      <c r="C4539" s="23" t="str">
        <f aca="false">IF(A4539="","",IFERROR(buscarx(A4539&amp;B4539,DATA!$E$3:$E$10000&amp;DATA!$B$3:$B$10000,DATA!$M$3:$M$10000),"No encontrado"))</f>
        <v/>
      </c>
      <c r="D4539" s="24" t="str">
        <f aca="false">IF(A4539="","",IFERROR(buscarx(A4539&amp;B4539,DATA!$E$3:$E$10000&amp;DATA!$B$3:$B$10000,DATA!$W$3:$W$10000),"No encontrado"))</f>
        <v/>
      </c>
      <c r="E4539" s="22"/>
      <c r="F4539" s="23" t="str">
        <f aca="false">IF(A4539="","",IFERROR(buscarx(A4539&amp;E4539,DATA!$E$3:$E$10000&amp;DATA!$B$3:$B$10000,DATA!$M$3:$M$10000),"Inactivo"))</f>
        <v/>
      </c>
      <c r="G4539" s="25" t="str">
        <f aca="false">IF(A4539="","",IF(AND(C4539&lt;&gt;"No encontrado",F4539&lt;&gt;"Inactivo"),C4539&amp;" → "&amp;F4539,"Sin transición"))</f>
        <v/>
      </c>
      <c r="H4539" s="23" t="str">
        <f aca="false">IF(A4539="","",IF(D4539="GCIA LINEA SERVICIO DIGITALIDAD Y VENTAS","Chats",IF(OR(D4539="GERENCIA INBOUND LÍNEAS SERVICIO Y VENTA",D4539="GERENCIA INBOUND LINEAS ESPECIALIZADAS"),"Llamadas","Otro")))</f>
        <v/>
      </c>
      <c r="I4539" s="23" t="str">
        <f aca="false">IF(A4539="","",IF(C4539="No encontrado","No","Sí"))</f>
        <v/>
      </c>
      <c r="J4539" s="23" t="str">
        <f aca="false">IF(A4539="","",IF(F4539="Inactivo","No","Sí"))</f>
        <v/>
      </c>
      <c r="K4539" s="23" t="str">
        <f aca="false">IF(A4539="","",IF(AND(I4539="Sí",J4539="Sí"),"Sí","No"))</f>
        <v/>
      </c>
    </row>
    <row r="4540" customFormat="false" ht="15" hidden="false" customHeight="false" outlineLevel="0" collapsed="false">
      <c r="A4540" s="22"/>
      <c r="B4540" s="22"/>
      <c r="C4540" s="26" t="str">
        <f aca="false">IF(A4540="","",IFERROR(buscarx(A4540&amp;B4540,DATA!$E$3:$E$10000&amp;DATA!$B$3:$B$10000,DATA!$M$3:$M$10000),"No encontrado"))</f>
        <v/>
      </c>
      <c r="D4540" s="27" t="str">
        <f aca="false">IF(A4540="","",IFERROR(buscarx(A4540&amp;B4540,DATA!$E$3:$E$10000&amp;DATA!$B$3:$B$10000,DATA!$W$3:$W$10000),"No encontrado"))</f>
        <v/>
      </c>
      <c r="E4540" s="22"/>
      <c r="F4540" s="26" t="str">
        <f aca="false">IF(A4540="","",IFERROR(buscarx(A4540&amp;E4540,DATA!$E$3:$E$10000&amp;DATA!$B$3:$B$10000,DATA!$M$3:$M$10000),"Inactivo"))</f>
        <v/>
      </c>
      <c r="G4540" s="28" t="str">
        <f aca="false">IF(A4540="","",IF(AND(C4540&lt;&gt;"No encontrado",F4540&lt;&gt;"Inactivo"),C4540&amp;" → "&amp;F4540,"Sin transición"))</f>
        <v/>
      </c>
      <c r="H4540" s="26" t="str">
        <f aca="false">IF(A4540="","",IF(D4540="GCIA LINEA SERVICIO DIGITALIDAD Y VENTAS","Chats",IF(OR(D4540="GERENCIA INBOUND LÍNEAS SERVICIO Y VENTA",D4540="GERENCIA INBOUND LINEAS ESPECIALIZADAS"),"Llamadas","Otro")))</f>
        <v/>
      </c>
      <c r="I4540" s="26" t="str">
        <f aca="false">IF(A4540="","",IF(C4540="No encontrado","No","Sí"))</f>
        <v/>
      </c>
      <c r="J4540" s="26" t="str">
        <f aca="false">IF(A4540="","",IF(F4540="Inactivo","No","Sí"))</f>
        <v/>
      </c>
      <c r="K4540" s="26" t="str">
        <f aca="false">IF(A4540="","",IF(AND(I4540="Sí",J4540="Sí"),"Sí","No"))</f>
        <v/>
      </c>
    </row>
    <row r="4541" customFormat="false" ht="15" hidden="false" customHeight="false" outlineLevel="0" collapsed="false">
      <c r="A4541" s="22"/>
      <c r="B4541" s="22"/>
      <c r="C4541" s="23" t="str">
        <f aca="false">IF(A4541="","",IFERROR(buscarx(A4541&amp;B4541,DATA!$E$3:$E$10000&amp;DATA!$B$3:$B$10000,DATA!$M$3:$M$10000),"No encontrado"))</f>
        <v/>
      </c>
      <c r="D4541" s="24" t="str">
        <f aca="false">IF(A4541="","",IFERROR(buscarx(A4541&amp;B4541,DATA!$E$3:$E$10000&amp;DATA!$B$3:$B$10000,DATA!$W$3:$W$10000),"No encontrado"))</f>
        <v/>
      </c>
      <c r="E4541" s="22"/>
      <c r="F4541" s="23" t="str">
        <f aca="false">IF(A4541="","",IFERROR(buscarx(A4541&amp;E4541,DATA!$E$3:$E$10000&amp;DATA!$B$3:$B$10000,DATA!$M$3:$M$10000),"Inactivo"))</f>
        <v/>
      </c>
      <c r="G4541" s="25" t="str">
        <f aca="false">IF(A4541="","",IF(AND(C4541&lt;&gt;"No encontrado",F4541&lt;&gt;"Inactivo"),C4541&amp;" → "&amp;F4541,"Sin transición"))</f>
        <v/>
      </c>
      <c r="H4541" s="23" t="str">
        <f aca="false">IF(A4541="","",IF(D4541="GCIA LINEA SERVICIO DIGITALIDAD Y VENTAS","Chats",IF(OR(D4541="GERENCIA INBOUND LÍNEAS SERVICIO Y VENTA",D4541="GERENCIA INBOUND LINEAS ESPECIALIZADAS"),"Llamadas","Otro")))</f>
        <v/>
      </c>
      <c r="I4541" s="23" t="str">
        <f aca="false">IF(A4541="","",IF(C4541="No encontrado","No","Sí"))</f>
        <v/>
      </c>
      <c r="J4541" s="23" t="str">
        <f aca="false">IF(A4541="","",IF(F4541="Inactivo","No","Sí"))</f>
        <v/>
      </c>
      <c r="K4541" s="23" t="str">
        <f aca="false">IF(A4541="","",IF(AND(I4541="Sí",J4541="Sí"),"Sí","No"))</f>
        <v/>
      </c>
    </row>
    <row r="4542" customFormat="false" ht="15" hidden="false" customHeight="false" outlineLevel="0" collapsed="false">
      <c r="A4542" s="22"/>
      <c r="B4542" s="22"/>
      <c r="C4542" s="26" t="str">
        <f aca="false">IF(A4542="","",IFERROR(buscarx(A4542&amp;B4542,DATA!$E$3:$E$10000&amp;DATA!$B$3:$B$10000,DATA!$M$3:$M$10000),"No encontrado"))</f>
        <v/>
      </c>
      <c r="D4542" s="27" t="str">
        <f aca="false">IF(A4542="","",IFERROR(buscarx(A4542&amp;B4542,DATA!$E$3:$E$10000&amp;DATA!$B$3:$B$10000,DATA!$W$3:$W$10000),"No encontrado"))</f>
        <v/>
      </c>
      <c r="E4542" s="22"/>
      <c r="F4542" s="26" t="str">
        <f aca="false">IF(A4542="","",IFERROR(buscarx(A4542&amp;E4542,DATA!$E$3:$E$10000&amp;DATA!$B$3:$B$10000,DATA!$M$3:$M$10000),"Inactivo"))</f>
        <v/>
      </c>
      <c r="G4542" s="28" t="str">
        <f aca="false">IF(A4542="","",IF(AND(C4542&lt;&gt;"No encontrado",F4542&lt;&gt;"Inactivo"),C4542&amp;" → "&amp;F4542,"Sin transición"))</f>
        <v/>
      </c>
      <c r="H4542" s="26" t="str">
        <f aca="false">IF(A4542="","",IF(D4542="GCIA LINEA SERVICIO DIGITALIDAD Y VENTAS","Chats",IF(OR(D4542="GERENCIA INBOUND LÍNEAS SERVICIO Y VENTA",D4542="GERENCIA INBOUND LINEAS ESPECIALIZADAS"),"Llamadas","Otro")))</f>
        <v/>
      </c>
      <c r="I4542" s="26" t="str">
        <f aca="false">IF(A4542="","",IF(C4542="No encontrado","No","Sí"))</f>
        <v/>
      </c>
      <c r="J4542" s="26" t="str">
        <f aca="false">IF(A4542="","",IF(F4542="Inactivo","No","Sí"))</f>
        <v/>
      </c>
      <c r="K4542" s="26" t="str">
        <f aca="false">IF(A4542="","",IF(AND(I4542="Sí",J4542="Sí"),"Sí","No"))</f>
        <v/>
      </c>
    </row>
    <row r="4543" customFormat="false" ht="15" hidden="false" customHeight="false" outlineLevel="0" collapsed="false">
      <c r="A4543" s="22"/>
      <c r="B4543" s="22"/>
      <c r="C4543" s="23" t="str">
        <f aca="false">IF(A4543="","",IFERROR(buscarx(A4543&amp;B4543,DATA!$E$3:$E$10000&amp;DATA!$B$3:$B$10000,DATA!$M$3:$M$10000),"No encontrado"))</f>
        <v/>
      </c>
      <c r="D4543" s="24" t="str">
        <f aca="false">IF(A4543="","",IFERROR(buscarx(A4543&amp;B4543,DATA!$E$3:$E$10000&amp;DATA!$B$3:$B$10000,DATA!$W$3:$W$10000),"No encontrado"))</f>
        <v/>
      </c>
      <c r="E4543" s="22"/>
      <c r="F4543" s="23" t="str">
        <f aca="false">IF(A4543="","",IFERROR(buscarx(A4543&amp;E4543,DATA!$E$3:$E$10000&amp;DATA!$B$3:$B$10000,DATA!$M$3:$M$10000),"Inactivo"))</f>
        <v/>
      </c>
      <c r="G4543" s="25" t="str">
        <f aca="false">IF(A4543="","",IF(AND(C4543&lt;&gt;"No encontrado",F4543&lt;&gt;"Inactivo"),C4543&amp;" → "&amp;F4543,"Sin transición"))</f>
        <v/>
      </c>
      <c r="H4543" s="23" t="str">
        <f aca="false">IF(A4543="","",IF(D4543="GCIA LINEA SERVICIO DIGITALIDAD Y VENTAS","Chats",IF(OR(D4543="GERENCIA INBOUND LÍNEAS SERVICIO Y VENTA",D4543="GERENCIA INBOUND LINEAS ESPECIALIZADAS"),"Llamadas","Otro")))</f>
        <v/>
      </c>
      <c r="I4543" s="23" t="str">
        <f aca="false">IF(A4543="","",IF(C4543="No encontrado","No","Sí"))</f>
        <v/>
      </c>
      <c r="J4543" s="23" t="str">
        <f aca="false">IF(A4543="","",IF(F4543="Inactivo","No","Sí"))</f>
        <v/>
      </c>
      <c r="K4543" s="23" t="str">
        <f aca="false">IF(A4543="","",IF(AND(I4543="Sí",J4543="Sí"),"Sí","No"))</f>
        <v/>
      </c>
    </row>
    <row r="4544" customFormat="false" ht="15" hidden="false" customHeight="false" outlineLevel="0" collapsed="false">
      <c r="A4544" s="22"/>
      <c r="B4544" s="22"/>
      <c r="C4544" s="26" t="str">
        <f aca="false">IF(A4544="","",IFERROR(buscarx(A4544&amp;B4544,DATA!$E$3:$E$10000&amp;DATA!$B$3:$B$10000,DATA!$M$3:$M$10000),"No encontrado"))</f>
        <v/>
      </c>
      <c r="D4544" s="27" t="str">
        <f aca="false">IF(A4544="","",IFERROR(buscarx(A4544&amp;B4544,DATA!$E$3:$E$10000&amp;DATA!$B$3:$B$10000,DATA!$W$3:$W$10000),"No encontrado"))</f>
        <v/>
      </c>
      <c r="E4544" s="22"/>
      <c r="F4544" s="26" t="str">
        <f aca="false">IF(A4544="","",IFERROR(buscarx(A4544&amp;E4544,DATA!$E$3:$E$10000&amp;DATA!$B$3:$B$10000,DATA!$M$3:$M$10000),"Inactivo"))</f>
        <v/>
      </c>
      <c r="G4544" s="28" t="str">
        <f aca="false">IF(A4544="","",IF(AND(C4544&lt;&gt;"No encontrado",F4544&lt;&gt;"Inactivo"),C4544&amp;" → "&amp;F4544,"Sin transición"))</f>
        <v/>
      </c>
      <c r="H4544" s="26" t="str">
        <f aca="false">IF(A4544="","",IF(D4544="GCIA LINEA SERVICIO DIGITALIDAD Y VENTAS","Chats",IF(OR(D4544="GERENCIA INBOUND LÍNEAS SERVICIO Y VENTA",D4544="GERENCIA INBOUND LINEAS ESPECIALIZADAS"),"Llamadas","Otro")))</f>
        <v/>
      </c>
      <c r="I4544" s="26" t="str">
        <f aca="false">IF(A4544="","",IF(C4544="No encontrado","No","Sí"))</f>
        <v/>
      </c>
      <c r="J4544" s="26" t="str">
        <f aca="false">IF(A4544="","",IF(F4544="Inactivo","No","Sí"))</f>
        <v/>
      </c>
      <c r="K4544" s="26" t="str">
        <f aca="false">IF(A4544="","",IF(AND(I4544="Sí",J4544="Sí"),"Sí","No"))</f>
        <v/>
      </c>
    </row>
    <row r="4545" customFormat="false" ht="15" hidden="false" customHeight="false" outlineLevel="0" collapsed="false">
      <c r="A4545" s="22"/>
      <c r="B4545" s="22"/>
      <c r="C4545" s="23" t="str">
        <f aca="false">IF(A4545="","",IFERROR(buscarx(A4545&amp;B4545,DATA!$E$3:$E$10000&amp;DATA!$B$3:$B$10000,DATA!$M$3:$M$10000),"No encontrado"))</f>
        <v/>
      </c>
      <c r="D4545" s="24" t="str">
        <f aca="false">IF(A4545="","",IFERROR(buscarx(A4545&amp;B4545,DATA!$E$3:$E$10000&amp;DATA!$B$3:$B$10000,DATA!$W$3:$W$10000),"No encontrado"))</f>
        <v/>
      </c>
      <c r="E4545" s="22"/>
      <c r="F4545" s="23" t="str">
        <f aca="false">IF(A4545="","",IFERROR(buscarx(A4545&amp;E4545,DATA!$E$3:$E$10000&amp;DATA!$B$3:$B$10000,DATA!$M$3:$M$10000),"Inactivo"))</f>
        <v/>
      </c>
      <c r="G4545" s="25" t="str">
        <f aca="false">IF(A4545="","",IF(AND(C4545&lt;&gt;"No encontrado",F4545&lt;&gt;"Inactivo"),C4545&amp;" → "&amp;F4545,"Sin transición"))</f>
        <v/>
      </c>
      <c r="H4545" s="23" t="str">
        <f aca="false">IF(A4545="","",IF(D4545="GCIA LINEA SERVICIO DIGITALIDAD Y VENTAS","Chats",IF(OR(D4545="GERENCIA INBOUND LÍNEAS SERVICIO Y VENTA",D4545="GERENCIA INBOUND LINEAS ESPECIALIZADAS"),"Llamadas","Otro")))</f>
        <v/>
      </c>
      <c r="I4545" s="23" t="str">
        <f aca="false">IF(A4545="","",IF(C4545="No encontrado","No","Sí"))</f>
        <v/>
      </c>
      <c r="J4545" s="23" t="str">
        <f aca="false">IF(A4545="","",IF(F4545="Inactivo","No","Sí"))</f>
        <v/>
      </c>
      <c r="K4545" s="23" t="str">
        <f aca="false">IF(A4545="","",IF(AND(I4545="Sí",J4545="Sí"),"Sí","No"))</f>
        <v/>
      </c>
    </row>
    <row r="4546" customFormat="false" ht="15" hidden="false" customHeight="false" outlineLevel="0" collapsed="false">
      <c r="A4546" s="22"/>
      <c r="B4546" s="22"/>
      <c r="C4546" s="26" t="str">
        <f aca="false">IF(A4546="","",IFERROR(buscarx(A4546&amp;B4546,DATA!$E$3:$E$10000&amp;DATA!$B$3:$B$10000,DATA!$M$3:$M$10000),"No encontrado"))</f>
        <v/>
      </c>
      <c r="D4546" s="27" t="str">
        <f aca="false">IF(A4546="","",IFERROR(buscarx(A4546&amp;B4546,DATA!$E$3:$E$10000&amp;DATA!$B$3:$B$10000,DATA!$W$3:$W$10000),"No encontrado"))</f>
        <v/>
      </c>
      <c r="E4546" s="22"/>
      <c r="F4546" s="26" t="str">
        <f aca="false">IF(A4546="","",IFERROR(buscarx(A4546&amp;E4546,DATA!$E$3:$E$10000&amp;DATA!$B$3:$B$10000,DATA!$M$3:$M$10000),"Inactivo"))</f>
        <v/>
      </c>
      <c r="G4546" s="28" t="str">
        <f aca="false">IF(A4546="","",IF(AND(C4546&lt;&gt;"No encontrado",F4546&lt;&gt;"Inactivo"),C4546&amp;" → "&amp;F4546,"Sin transición"))</f>
        <v/>
      </c>
      <c r="H4546" s="26" t="str">
        <f aca="false">IF(A4546="","",IF(D4546="GCIA LINEA SERVICIO DIGITALIDAD Y VENTAS","Chats",IF(OR(D4546="GERENCIA INBOUND LÍNEAS SERVICIO Y VENTA",D4546="GERENCIA INBOUND LINEAS ESPECIALIZADAS"),"Llamadas","Otro")))</f>
        <v/>
      </c>
      <c r="I4546" s="26" t="str">
        <f aca="false">IF(A4546="","",IF(C4546="No encontrado","No","Sí"))</f>
        <v/>
      </c>
      <c r="J4546" s="26" t="str">
        <f aca="false">IF(A4546="","",IF(F4546="Inactivo","No","Sí"))</f>
        <v/>
      </c>
      <c r="K4546" s="26" t="str">
        <f aca="false">IF(A4546="","",IF(AND(I4546="Sí",J4546="Sí"),"Sí","No"))</f>
        <v/>
      </c>
    </row>
    <row r="4547" customFormat="false" ht="15" hidden="false" customHeight="false" outlineLevel="0" collapsed="false">
      <c r="A4547" s="22"/>
      <c r="B4547" s="22"/>
      <c r="C4547" s="23" t="str">
        <f aca="false">IF(A4547="","",IFERROR(buscarx(A4547&amp;B4547,DATA!$E$3:$E$10000&amp;DATA!$B$3:$B$10000,DATA!$M$3:$M$10000),"No encontrado"))</f>
        <v/>
      </c>
      <c r="D4547" s="24" t="str">
        <f aca="false">IF(A4547="","",IFERROR(buscarx(A4547&amp;B4547,DATA!$E$3:$E$10000&amp;DATA!$B$3:$B$10000,DATA!$W$3:$W$10000),"No encontrado"))</f>
        <v/>
      </c>
      <c r="E4547" s="22"/>
      <c r="F4547" s="23" t="str">
        <f aca="false">IF(A4547="","",IFERROR(buscarx(A4547&amp;E4547,DATA!$E$3:$E$10000&amp;DATA!$B$3:$B$10000,DATA!$M$3:$M$10000),"Inactivo"))</f>
        <v/>
      </c>
      <c r="G4547" s="25" t="str">
        <f aca="false">IF(A4547="","",IF(AND(C4547&lt;&gt;"No encontrado",F4547&lt;&gt;"Inactivo"),C4547&amp;" → "&amp;F4547,"Sin transición"))</f>
        <v/>
      </c>
      <c r="H4547" s="23" t="str">
        <f aca="false">IF(A4547="","",IF(D4547="GCIA LINEA SERVICIO DIGITALIDAD Y VENTAS","Chats",IF(OR(D4547="GERENCIA INBOUND LÍNEAS SERVICIO Y VENTA",D4547="GERENCIA INBOUND LINEAS ESPECIALIZADAS"),"Llamadas","Otro")))</f>
        <v/>
      </c>
      <c r="I4547" s="23" t="str">
        <f aca="false">IF(A4547="","",IF(C4547="No encontrado","No","Sí"))</f>
        <v/>
      </c>
      <c r="J4547" s="23" t="str">
        <f aca="false">IF(A4547="","",IF(F4547="Inactivo","No","Sí"))</f>
        <v/>
      </c>
      <c r="K4547" s="23" t="str">
        <f aca="false">IF(A4547="","",IF(AND(I4547="Sí",J4547="Sí"),"Sí","No"))</f>
        <v/>
      </c>
    </row>
    <row r="4548" customFormat="false" ht="15" hidden="false" customHeight="false" outlineLevel="0" collapsed="false">
      <c r="A4548" s="22"/>
      <c r="B4548" s="22"/>
      <c r="C4548" s="26" t="str">
        <f aca="false">IF(A4548="","",IFERROR(buscarx(A4548&amp;B4548,DATA!$E$3:$E$10000&amp;DATA!$B$3:$B$10000,DATA!$M$3:$M$10000),"No encontrado"))</f>
        <v/>
      </c>
      <c r="D4548" s="27" t="str">
        <f aca="false">IF(A4548="","",IFERROR(buscarx(A4548&amp;B4548,DATA!$E$3:$E$10000&amp;DATA!$B$3:$B$10000,DATA!$W$3:$W$10000),"No encontrado"))</f>
        <v/>
      </c>
      <c r="E4548" s="22"/>
      <c r="F4548" s="26" t="str">
        <f aca="false">IF(A4548="","",IFERROR(buscarx(A4548&amp;E4548,DATA!$E$3:$E$10000&amp;DATA!$B$3:$B$10000,DATA!$M$3:$M$10000),"Inactivo"))</f>
        <v/>
      </c>
      <c r="G4548" s="28" t="str">
        <f aca="false">IF(A4548="","",IF(AND(C4548&lt;&gt;"No encontrado",F4548&lt;&gt;"Inactivo"),C4548&amp;" → "&amp;F4548,"Sin transición"))</f>
        <v/>
      </c>
      <c r="H4548" s="26" t="str">
        <f aca="false">IF(A4548="","",IF(D4548="GCIA LINEA SERVICIO DIGITALIDAD Y VENTAS","Chats",IF(OR(D4548="GERENCIA INBOUND LÍNEAS SERVICIO Y VENTA",D4548="GERENCIA INBOUND LINEAS ESPECIALIZADAS"),"Llamadas","Otro")))</f>
        <v/>
      </c>
      <c r="I4548" s="26" t="str">
        <f aca="false">IF(A4548="","",IF(C4548="No encontrado","No","Sí"))</f>
        <v/>
      </c>
      <c r="J4548" s="26" t="str">
        <f aca="false">IF(A4548="","",IF(F4548="Inactivo","No","Sí"))</f>
        <v/>
      </c>
      <c r="K4548" s="26" t="str">
        <f aca="false">IF(A4548="","",IF(AND(I4548="Sí",J4548="Sí"),"Sí","No"))</f>
        <v/>
      </c>
    </row>
    <row r="4549" customFormat="false" ht="15" hidden="false" customHeight="false" outlineLevel="0" collapsed="false">
      <c r="A4549" s="22"/>
      <c r="B4549" s="22"/>
      <c r="C4549" s="23" t="str">
        <f aca="false">IF(A4549="","",IFERROR(buscarx(A4549&amp;B4549,DATA!$E$3:$E$10000&amp;DATA!$B$3:$B$10000,DATA!$M$3:$M$10000),"No encontrado"))</f>
        <v/>
      </c>
      <c r="D4549" s="24" t="str">
        <f aca="false">IF(A4549="","",IFERROR(buscarx(A4549&amp;B4549,DATA!$E$3:$E$10000&amp;DATA!$B$3:$B$10000,DATA!$W$3:$W$10000),"No encontrado"))</f>
        <v/>
      </c>
      <c r="E4549" s="22"/>
      <c r="F4549" s="23" t="str">
        <f aca="false">IF(A4549="","",IFERROR(buscarx(A4549&amp;E4549,DATA!$E$3:$E$10000&amp;DATA!$B$3:$B$10000,DATA!$M$3:$M$10000),"Inactivo"))</f>
        <v/>
      </c>
      <c r="G4549" s="25" t="str">
        <f aca="false">IF(A4549="","",IF(AND(C4549&lt;&gt;"No encontrado",F4549&lt;&gt;"Inactivo"),C4549&amp;" → "&amp;F4549,"Sin transición"))</f>
        <v/>
      </c>
      <c r="H4549" s="23" t="str">
        <f aca="false">IF(A4549="","",IF(D4549="GCIA LINEA SERVICIO DIGITALIDAD Y VENTAS","Chats",IF(OR(D4549="GERENCIA INBOUND LÍNEAS SERVICIO Y VENTA",D4549="GERENCIA INBOUND LINEAS ESPECIALIZADAS"),"Llamadas","Otro")))</f>
        <v/>
      </c>
      <c r="I4549" s="23" t="str">
        <f aca="false">IF(A4549="","",IF(C4549="No encontrado","No","Sí"))</f>
        <v/>
      </c>
      <c r="J4549" s="23" t="str">
        <f aca="false">IF(A4549="","",IF(F4549="Inactivo","No","Sí"))</f>
        <v/>
      </c>
      <c r="K4549" s="23" t="str">
        <f aca="false">IF(A4549="","",IF(AND(I4549="Sí",J4549="Sí"),"Sí","No"))</f>
        <v/>
      </c>
    </row>
    <row r="4550" customFormat="false" ht="15" hidden="false" customHeight="false" outlineLevel="0" collapsed="false">
      <c r="A4550" s="22"/>
      <c r="B4550" s="22"/>
      <c r="C4550" s="26" t="str">
        <f aca="false">IF(A4550="","",IFERROR(buscarx(A4550&amp;B4550,DATA!$E$3:$E$10000&amp;DATA!$B$3:$B$10000,DATA!$M$3:$M$10000),"No encontrado"))</f>
        <v/>
      </c>
      <c r="D4550" s="27" t="str">
        <f aca="false">IF(A4550="","",IFERROR(buscarx(A4550&amp;B4550,DATA!$E$3:$E$10000&amp;DATA!$B$3:$B$10000,DATA!$W$3:$W$10000),"No encontrado"))</f>
        <v/>
      </c>
      <c r="E4550" s="22"/>
      <c r="F4550" s="26" t="str">
        <f aca="false">IF(A4550="","",IFERROR(buscarx(A4550&amp;E4550,DATA!$E$3:$E$10000&amp;DATA!$B$3:$B$10000,DATA!$M$3:$M$10000),"Inactivo"))</f>
        <v/>
      </c>
      <c r="G4550" s="28" t="str">
        <f aca="false">IF(A4550="","",IF(AND(C4550&lt;&gt;"No encontrado",F4550&lt;&gt;"Inactivo"),C4550&amp;" → "&amp;F4550,"Sin transición"))</f>
        <v/>
      </c>
      <c r="H4550" s="26" t="str">
        <f aca="false">IF(A4550="","",IF(D4550="GCIA LINEA SERVICIO DIGITALIDAD Y VENTAS","Chats",IF(OR(D4550="GERENCIA INBOUND LÍNEAS SERVICIO Y VENTA",D4550="GERENCIA INBOUND LINEAS ESPECIALIZADAS"),"Llamadas","Otro")))</f>
        <v/>
      </c>
      <c r="I4550" s="26" t="str">
        <f aca="false">IF(A4550="","",IF(C4550="No encontrado","No","Sí"))</f>
        <v/>
      </c>
      <c r="J4550" s="26" t="str">
        <f aca="false">IF(A4550="","",IF(F4550="Inactivo","No","Sí"))</f>
        <v/>
      </c>
      <c r="K4550" s="26" t="str">
        <f aca="false">IF(A4550="","",IF(AND(I4550="Sí",J4550="Sí"),"Sí","No"))</f>
        <v/>
      </c>
    </row>
    <row r="4551" customFormat="false" ht="15" hidden="false" customHeight="false" outlineLevel="0" collapsed="false">
      <c r="A4551" s="22"/>
      <c r="B4551" s="22"/>
      <c r="C4551" s="23" t="str">
        <f aca="false">IF(A4551="","",IFERROR(buscarx(A4551&amp;B4551,DATA!$E$3:$E$10000&amp;DATA!$B$3:$B$10000,DATA!$M$3:$M$10000),"No encontrado"))</f>
        <v/>
      </c>
      <c r="D4551" s="24" t="str">
        <f aca="false">IF(A4551="","",IFERROR(buscarx(A4551&amp;B4551,DATA!$E$3:$E$10000&amp;DATA!$B$3:$B$10000,DATA!$W$3:$W$10000),"No encontrado"))</f>
        <v/>
      </c>
      <c r="E4551" s="22"/>
      <c r="F4551" s="23" t="str">
        <f aca="false">IF(A4551="","",IFERROR(buscarx(A4551&amp;E4551,DATA!$E$3:$E$10000&amp;DATA!$B$3:$B$10000,DATA!$M$3:$M$10000),"Inactivo"))</f>
        <v/>
      </c>
      <c r="G4551" s="25" t="str">
        <f aca="false">IF(A4551="","",IF(AND(C4551&lt;&gt;"No encontrado",F4551&lt;&gt;"Inactivo"),C4551&amp;" → "&amp;F4551,"Sin transición"))</f>
        <v/>
      </c>
      <c r="H4551" s="23" t="str">
        <f aca="false">IF(A4551="","",IF(D4551="GCIA LINEA SERVICIO DIGITALIDAD Y VENTAS","Chats",IF(OR(D4551="GERENCIA INBOUND LÍNEAS SERVICIO Y VENTA",D4551="GERENCIA INBOUND LINEAS ESPECIALIZADAS"),"Llamadas","Otro")))</f>
        <v/>
      </c>
      <c r="I4551" s="23" t="str">
        <f aca="false">IF(A4551="","",IF(C4551="No encontrado","No","Sí"))</f>
        <v/>
      </c>
      <c r="J4551" s="23" t="str">
        <f aca="false">IF(A4551="","",IF(F4551="Inactivo","No","Sí"))</f>
        <v/>
      </c>
      <c r="K4551" s="23" t="str">
        <f aca="false">IF(A4551="","",IF(AND(I4551="Sí",J4551="Sí"),"Sí","No"))</f>
        <v/>
      </c>
    </row>
    <row r="4552" customFormat="false" ht="15" hidden="false" customHeight="false" outlineLevel="0" collapsed="false">
      <c r="A4552" s="22"/>
      <c r="B4552" s="22"/>
      <c r="C4552" s="26" t="str">
        <f aca="false">IF(A4552="","",IFERROR(buscarx(A4552&amp;B4552,DATA!$E$3:$E$10000&amp;DATA!$B$3:$B$10000,DATA!$M$3:$M$10000),"No encontrado"))</f>
        <v/>
      </c>
      <c r="D4552" s="27" t="str">
        <f aca="false">IF(A4552="","",IFERROR(buscarx(A4552&amp;B4552,DATA!$E$3:$E$10000&amp;DATA!$B$3:$B$10000,DATA!$W$3:$W$10000),"No encontrado"))</f>
        <v/>
      </c>
      <c r="E4552" s="22"/>
      <c r="F4552" s="26" t="str">
        <f aca="false">IF(A4552="","",IFERROR(buscarx(A4552&amp;E4552,DATA!$E$3:$E$10000&amp;DATA!$B$3:$B$10000,DATA!$M$3:$M$10000),"Inactivo"))</f>
        <v/>
      </c>
      <c r="G4552" s="28" t="str">
        <f aca="false">IF(A4552="","",IF(AND(C4552&lt;&gt;"No encontrado",F4552&lt;&gt;"Inactivo"),C4552&amp;" → "&amp;F4552,"Sin transición"))</f>
        <v/>
      </c>
      <c r="H4552" s="26" t="str">
        <f aca="false">IF(A4552="","",IF(D4552="GCIA LINEA SERVICIO DIGITALIDAD Y VENTAS","Chats",IF(OR(D4552="GERENCIA INBOUND LÍNEAS SERVICIO Y VENTA",D4552="GERENCIA INBOUND LINEAS ESPECIALIZADAS"),"Llamadas","Otro")))</f>
        <v/>
      </c>
      <c r="I4552" s="26" t="str">
        <f aca="false">IF(A4552="","",IF(C4552="No encontrado","No","Sí"))</f>
        <v/>
      </c>
      <c r="J4552" s="26" t="str">
        <f aca="false">IF(A4552="","",IF(F4552="Inactivo","No","Sí"))</f>
        <v/>
      </c>
      <c r="K4552" s="26" t="str">
        <f aca="false">IF(A4552="","",IF(AND(I4552="Sí",J4552="Sí"),"Sí","No"))</f>
        <v/>
      </c>
    </row>
    <row r="4553" customFormat="false" ht="15" hidden="false" customHeight="false" outlineLevel="0" collapsed="false">
      <c r="A4553" s="22"/>
      <c r="B4553" s="22"/>
      <c r="C4553" s="23" t="str">
        <f aca="false">IF(A4553="","",IFERROR(buscarx(A4553&amp;B4553,DATA!$E$3:$E$10000&amp;DATA!$B$3:$B$10000,DATA!$M$3:$M$10000),"No encontrado"))</f>
        <v/>
      </c>
      <c r="D4553" s="24" t="str">
        <f aca="false">IF(A4553="","",IFERROR(buscarx(A4553&amp;B4553,DATA!$E$3:$E$10000&amp;DATA!$B$3:$B$10000,DATA!$W$3:$W$10000),"No encontrado"))</f>
        <v/>
      </c>
      <c r="E4553" s="22"/>
      <c r="F4553" s="23" t="str">
        <f aca="false">IF(A4553="","",IFERROR(buscarx(A4553&amp;E4553,DATA!$E$3:$E$10000&amp;DATA!$B$3:$B$10000,DATA!$M$3:$M$10000),"Inactivo"))</f>
        <v/>
      </c>
      <c r="G4553" s="25" t="str">
        <f aca="false">IF(A4553="","",IF(AND(C4553&lt;&gt;"No encontrado",F4553&lt;&gt;"Inactivo"),C4553&amp;" → "&amp;F4553,"Sin transición"))</f>
        <v/>
      </c>
      <c r="H4553" s="23" t="str">
        <f aca="false">IF(A4553="","",IF(D4553="GCIA LINEA SERVICIO DIGITALIDAD Y VENTAS","Chats",IF(OR(D4553="GERENCIA INBOUND LÍNEAS SERVICIO Y VENTA",D4553="GERENCIA INBOUND LINEAS ESPECIALIZADAS"),"Llamadas","Otro")))</f>
        <v/>
      </c>
      <c r="I4553" s="23" t="str">
        <f aca="false">IF(A4553="","",IF(C4553="No encontrado","No","Sí"))</f>
        <v/>
      </c>
      <c r="J4553" s="23" t="str">
        <f aca="false">IF(A4553="","",IF(F4553="Inactivo","No","Sí"))</f>
        <v/>
      </c>
      <c r="K4553" s="23" t="str">
        <f aca="false">IF(A4553="","",IF(AND(I4553="Sí",J4553="Sí"),"Sí","No"))</f>
        <v/>
      </c>
    </row>
    <row r="4554" customFormat="false" ht="15" hidden="false" customHeight="false" outlineLevel="0" collapsed="false">
      <c r="A4554" s="22"/>
      <c r="B4554" s="22"/>
      <c r="C4554" s="26" t="str">
        <f aca="false">IF(A4554="","",IFERROR(buscarx(A4554&amp;B4554,DATA!$E$3:$E$10000&amp;DATA!$B$3:$B$10000,DATA!$M$3:$M$10000),"No encontrado"))</f>
        <v/>
      </c>
      <c r="D4554" s="27" t="str">
        <f aca="false">IF(A4554="","",IFERROR(buscarx(A4554&amp;B4554,DATA!$E$3:$E$10000&amp;DATA!$B$3:$B$10000,DATA!$W$3:$W$10000),"No encontrado"))</f>
        <v/>
      </c>
      <c r="E4554" s="22"/>
      <c r="F4554" s="26" t="str">
        <f aca="false">IF(A4554="","",IFERROR(buscarx(A4554&amp;E4554,DATA!$E$3:$E$10000&amp;DATA!$B$3:$B$10000,DATA!$M$3:$M$10000),"Inactivo"))</f>
        <v/>
      </c>
      <c r="G4554" s="28" t="str">
        <f aca="false">IF(A4554="","",IF(AND(C4554&lt;&gt;"No encontrado",F4554&lt;&gt;"Inactivo"),C4554&amp;" → "&amp;F4554,"Sin transición"))</f>
        <v/>
      </c>
      <c r="H4554" s="26" t="str">
        <f aca="false">IF(A4554="","",IF(D4554="GCIA LINEA SERVICIO DIGITALIDAD Y VENTAS","Chats",IF(OR(D4554="GERENCIA INBOUND LÍNEAS SERVICIO Y VENTA",D4554="GERENCIA INBOUND LINEAS ESPECIALIZADAS"),"Llamadas","Otro")))</f>
        <v/>
      </c>
      <c r="I4554" s="26" t="str">
        <f aca="false">IF(A4554="","",IF(C4554="No encontrado","No","Sí"))</f>
        <v/>
      </c>
      <c r="J4554" s="26" t="str">
        <f aca="false">IF(A4554="","",IF(F4554="Inactivo","No","Sí"))</f>
        <v/>
      </c>
      <c r="K4554" s="26" t="str">
        <f aca="false">IF(A4554="","",IF(AND(I4554="Sí",J4554="Sí"),"Sí","No"))</f>
        <v/>
      </c>
    </row>
    <row r="4555" customFormat="false" ht="15" hidden="false" customHeight="false" outlineLevel="0" collapsed="false">
      <c r="A4555" s="22"/>
      <c r="B4555" s="22"/>
      <c r="C4555" s="23" t="str">
        <f aca="false">IF(A4555="","",IFERROR(buscarx(A4555&amp;B4555,DATA!$E$3:$E$10000&amp;DATA!$B$3:$B$10000,DATA!$M$3:$M$10000),"No encontrado"))</f>
        <v/>
      </c>
      <c r="D4555" s="24" t="str">
        <f aca="false">IF(A4555="","",IFERROR(buscarx(A4555&amp;B4555,DATA!$E$3:$E$10000&amp;DATA!$B$3:$B$10000,DATA!$W$3:$W$10000),"No encontrado"))</f>
        <v/>
      </c>
      <c r="E4555" s="22"/>
      <c r="F4555" s="23" t="str">
        <f aca="false">IF(A4555="","",IFERROR(buscarx(A4555&amp;E4555,DATA!$E$3:$E$10000&amp;DATA!$B$3:$B$10000,DATA!$M$3:$M$10000),"Inactivo"))</f>
        <v/>
      </c>
      <c r="G4555" s="25" t="str">
        <f aca="false">IF(A4555="","",IF(AND(C4555&lt;&gt;"No encontrado",F4555&lt;&gt;"Inactivo"),C4555&amp;" → "&amp;F4555,"Sin transición"))</f>
        <v/>
      </c>
      <c r="H4555" s="23" t="str">
        <f aca="false">IF(A4555="","",IF(D4555="GCIA LINEA SERVICIO DIGITALIDAD Y VENTAS","Chats",IF(OR(D4555="GERENCIA INBOUND LÍNEAS SERVICIO Y VENTA",D4555="GERENCIA INBOUND LINEAS ESPECIALIZADAS"),"Llamadas","Otro")))</f>
        <v/>
      </c>
      <c r="I4555" s="23" t="str">
        <f aca="false">IF(A4555="","",IF(C4555="No encontrado","No","Sí"))</f>
        <v/>
      </c>
      <c r="J4555" s="23" t="str">
        <f aca="false">IF(A4555="","",IF(F4555="Inactivo","No","Sí"))</f>
        <v/>
      </c>
      <c r="K4555" s="23" t="str">
        <f aca="false">IF(A4555="","",IF(AND(I4555="Sí",J4555="Sí"),"Sí","No"))</f>
        <v/>
      </c>
    </row>
    <row r="4556" customFormat="false" ht="15" hidden="false" customHeight="false" outlineLevel="0" collapsed="false">
      <c r="A4556" s="22"/>
      <c r="B4556" s="22"/>
      <c r="C4556" s="26" t="str">
        <f aca="false">IF(A4556="","",IFERROR(buscarx(A4556&amp;B4556,DATA!$E$3:$E$10000&amp;DATA!$B$3:$B$10000,DATA!$M$3:$M$10000),"No encontrado"))</f>
        <v/>
      </c>
      <c r="D4556" s="27" t="str">
        <f aca="false">IF(A4556="","",IFERROR(buscarx(A4556&amp;B4556,DATA!$E$3:$E$10000&amp;DATA!$B$3:$B$10000,DATA!$W$3:$W$10000),"No encontrado"))</f>
        <v/>
      </c>
      <c r="E4556" s="22"/>
      <c r="F4556" s="26" t="str">
        <f aca="false">IF(A4556="","",IFERROR(buscarx(A4556&amp;E4556,DATA!$E$3:$E$10000&amp;DATA!$B$3:$B$10000,DATA!$M$3:$M$10000),"Inactivo"))</f>
        <v/>
      </c>
      <c r="G4556" s="28" t="str">
        <f aca="false">IF(A4556="","",IF(AND(C4556&lt;&gt;"No encontrado",F4556&lt;&gt;"Inactivo"),C4556&amp;" → "&amp;F4556,"Sin transición"))</f>
        <v/>
      </c>
      <c r="H4556" s="26" t="str">
        <f aca="false">IF(A4556="","",IF(D4556="GCIA LINEA SERVICIO DIGITALIDAD Y VENTAS","Chats",IF(OR(D4556="GERENCIA INBOUND LÍNEAS SERVICIO Y VENTA",D4556="GERENCIA INBOUND LINEAS ESPECIALIZADAS"),"Llamadas","Otro")))</f>
        <v/>
      </c>
      <c r="I4556" s="26" t="str">
        <f aca="false">IF(A4556="","",IF(C4556="No encontrado","No","Sí"))</f>
        <v/>
      </c>
      <c r="J4556" s="26" t="str">
        <f aca="false">IF(A4556="","",IF(F4556="Inactivo","No","Sí"))</f>
        <v/>
      </c>
      <c r="K4556" s="26" t="str">
        <f aca="false">IF(A4556="","",IF(AND(I4556="Sí",J4556="Sí"),"Sí","No"))</f>
        <v/>
      </c>
    </row>
    <row r="4557" customFormat="false" ht="15" hidden="false" customHeight="false" outlineLevel="0" collapsed="false">
      <c r="A4557" s="22"/>
      <c r="B4557" s="22"/>
      <c r="C4557" s="23" t="str">
        <f aca="false">IF(A4557="","",IFERROR(buscarx(A4557&amp;B4557,DATA!$E$3:$E$10000&amp;DATA!$B$3:$B$10000,DATA!$M$3:$M$10000),"No encontrado"))</f>
        <v/>
      </c>
      <c r="D4557" s="24" t="str">
        <f aca="false">IF(A4557="","",IFERROR(buscarx(A4557&amp;B4557,DATA!$E$3:$E$10000&amp;DATA!$B$3:$B$10000,DATA!$W$3:$W$10000),"No encontrado"))</f>
        <v/>
      </c>
      <c r="E4557" s="22"/>
      <c r="F4557" s="23" t="str">
        <f aca="false">IF(A4557="","",IFERROR(buscarx(A4557&amp;E4557,DATA!$E$3:$E$10000&amp;DATA!$B$3:$B$10000,DATA!$M$3:$M$10000),"Inactivo"))</f>
        <v/>
      </c>
      <c r="G4557" s="25" t="str">
        <f aca="false">IF(A4557="","",IF(AND(C4557&lt;&gt;"No encontrado",F4557&lt;&gt;"Inactivo"),C4557&amp;" → "&amp;F4557,"Sin transición"))</f>
        <v/>
      </c>
      <c r="H4557" s="23" t="str">
        <f aca="false">IF(A4557="","",IF(D4557="GCIA LINEA SERVICIO DIGITALIDAD Y VENTAS","Chats",IF(OR(D4557="GERENCIA INBOUND LÍNEAS SERVICIO Y VENTA",D4557="GERENCIA INBOUND LINEAS ESPECIALIZADAS"),"Llamadas","Otro")))</f>
        <v/>
      </c>
      <c r="I4557" s="23" t="str">
        <f aca="false">IF(A4557="","",IF(C4557="No encontrado","No","Sí"))</f>
        <v/>
      </c>
      <c r="J4557" s="23" t="str">
        <f aca="false">IF(A4557="","",IF(F4557="Inactivo","No","Sí"))</f>
        <v/>
      </c>
      <c r="K4557" s="23" t="str">
        <f aca="false">IF(A4557="","",IF(AND(I4557="Sí",J4557="Sí"),"Sí","No"))</f>
        <v/>
      </c>
    </row>
    <row r="4558" customFormat="false" ht="15" hidden="false" customHeight="false" outlineLevel="0" collapsed="false">
      <c r="A4558" s="22"/>
      <c r="B4558" s="22"/>
      <c r="C4558" s="26" t="str">
        <f aca="false">IF(A4558="","",IFERROR(buscarx(A4558&amp;B4558,DATA!$E$3:$E$10000&amp;DATA!$B$3:$B$10000,DATA!$M$3:$M$10000),"No encontrado"))</f>
        <v/>
      </c>
      <c r="D4558" s="27" t="str">
        <f aca="false">IF(A4558="","",IFERROR(buscarx(A4558&amp;B4558,DATA!$E$3:$E$10000&amp;DATA!$B$3:$B$10000,DATA!$W$3:$W$10000),"No encontrado"))</f>
        <v/>
      </c>
      <c r="E4558" s="22"/>
      <c r="F4558" s="26" t="str">
        <f aca="false">IF(A4558="","",IFERROR(buscarx(A4558&amp;E4558,DATA!$E$3:$E$10000&amp;DATA!$B$3:$B$10000,DATA!$M$3:$M$10000),"Inactivo"))</f>
        <v/>
      </c>
      <c r="G4558" s="28" t="str">
        <f aca="false">IF(A4558="","",IF(AND(C4558&lt;&gt;"No encontrado",F4558&lt;&gt;"Inactivo"),C4558&amp;" → "&amp;F4558,"Sin transición"))</f>
        <v/>
      </c>
      <c r="H4558" s="26" t="str">
        <f aca="false">IF(A4558="","",IF(D4558="GCIA LINEA SERVICIO DIGITALIDAD Y VENTAS","Chats",IF(OR(D4558="GERENCIA INBOUND LÍNEAS SERVICIO Y VENTA",D4558="GERENCIA INBOUND LINEAS ESPECIALIZADAS"),"Llamadas","Otro")))</f>
        <v/>
      </c>
      <c r="I4558" s="26" t="str">
        <f aca="false">IF(A4558="","",IF(C4558="No encontrado","No","Sí"))</f>
        <v/>
      </c>
      <c r="J4558" s="26" t="str">
        <f aca="false">IF(A4558="","",IF(F4558="Inactivo","No","Sí"))</f>
        <v/>
      </c>
      <c r="K4558" s="26" t="str">
        <f aca="false">IF(A4558="","",IF(AND(I4558="Sí",J4558="Sí"),"Sí","No"))</f>
        <v/>
      </c>
    </row>
    <row r="4559" customFormat="false" ht="15" hidden="false" customHeight="false" outlineLevel="0" collapsed="false">
      <c r="A4559" s="22"/>
      <c r="B4559" s="22"/>
      <c r="C4559" s="23" t="str">
        <f aca="false">IF(A4559="","",IFERROR(buscarx(A4559&amp;B4559,DATA!$E$3:$E$10000&amp;DATA!$B$3:$B$10000,DATA!$M$3:$M$10000),"No encontrado"))</f>
        <v/>
      </c>
      <c r="D4559" s="24" t="str">
        <f aca="false">IF(A4559="","",IFERROR(buscarx(A4559&amp;B4559,DATA!$E$3:$E$10000&amp;DATA!$B$3:$B$10000,DATA!$W$3:$W$10000),"No encontrado"))</f>
        <v/>
      </c>
      <c r="E4559" s="22"/>
      <c r="F4559" s="23" t="str">
        <f aca="false">IF(A4559="","",IFERROR(buscarx(A4559&amp;E4559,DATA!$E$3:$E$10000&amp;DATA!$B$3:$B$10000,DATA!$M$3:$M$10000),"Inactivo"))</f>
        <v/>
      </c>
      <c r="G4559" s="25" t="str">
        <f aca="false">IF(A4559="","",IF(AND(C4559&lt;&gt;"No encontrado",F4559&lt;&gt;"Inactivo"),C4559&amp;" → "&amp;F4559,"Sin transición"))</f>
        <v/>
      </c>
      <c r="H4559" s="23" t="str">
        <f aca="false">IF(A4559="","",IF(D4559="GCIA LINEA SERVICIO DIGITALIDAD Y VENTAS","Chats",IF(OR(D4559="GERENCIA INBOUND LÍNEAS SERVICIO Y VENTA",D4559="GERENCIA INBOUND LINEAS ESPECIALIZADAS"),"Llamadas","Otro")))</f>
        <v/>
      </c>
      <c r="I4559" s="23" t="str">
        <f aca="false">IF(A4559="","",IF(C4559="No encontrado","No","Sí"))</f>
        <v/>
      </c>
      <c r="J4559" s="23" t="str">
        <f aca="false">IF(A4559="","",IF(F4559="Inactivo","No","Sí"))</f>
        <v/>
      </c>
      <c r="K4559" s="23" t="str">
        <f aca="false">IF(A4559="","",IF(AND(I4559="Sí",J4559="Sí"),"Sí","No"))</f>
        <v/>
      </c>
    </row>
    <row r="4560" customFormat="false" ht="15" hidden="false" customHeight="false" outlineLevel="0" collapsed="false">
      <c r="A4560" s="22"/>
      <c r="B4560" s="22"/>
      <c r="C4560" s="26" t="str">
        <f aca="false">IF(A4560="","",IFERROR(buscarx(A4560&amp;B4560,DATA!$E$3:$E$10000&amp;DATA!$B$3:$B$10000,DATA!$M$3:$M$10000),"No encontrado"))</f>
        <v/>
      </c>
      <c r="D4560" s="27" t="str">
        <f aca="false">IF(A4560="","",IFERROR(buscarx(A4560&amp;B4560,DATA!$E$3:$E$10000&amp;DATA!$B$3:$B$10000,DATA!$W$3:$W$10000),"No encontrado"))</f>
        <v/>
      </c>
      <c r="E4560" s="22"/>
      <c r="F4560" s="26" t="str">
        <f aca="false">IF(A4560="","",IFERROR(buscarx(A4560&amp;E4560,DATA!$E$3:$E$10000&amp;DATA!$B$3:$B$10000,DATA!$M$3:$M$10000),"Inactivo"))</f>
        <v/>
      </c>
      <c r="G4560" s="28" t="str">
        <f aca="false">IF(A4560="","",IF(AND(C4560&lt;&gt;"No encontrado",F4560&lt;&gt;"Inactivo"),C4560&amp;" → "&amp;F4560,"Sin transición"))</f>
        <v/>
      </c>
      <c r="H4560" s="26" t="str">
        <f aca="false">IF(A4560="","",IF(D4560="GCIA LINEA SERVICIO DIGITALIDAD Y VENTAS","Chats",IF(OR(D4560="GERENCIA INBOUND LÍNEAS SERVICIO Y VENTA",D4560="GERENCIA INBOUND LINEAS ESPECIALIZADAS"),"Llamadas","Otro")))</f>
        <v/>
      </c>
      <c r="I4560" s="26" t="str">
        <f aca="false">IF(A4560="","",IF(C4560="No encontrado","No","Sí"))</f>
        <v/>
      </c>
      <c r="J4560" s="26" t="str">
        <f aca="false">IF(A4560="","",IF(F4560="Inactivo","No","Sí"))</f>
        <v/>
      </c>
      <c r="K4560" s="26" t="str">
        <f aca="false">IF(A4560="","",IF(AND(I4560="Sí",J4560="Sí"),"Sí","No"))</f>
        <v/>
      </c>
    </row>
    <row r="4561" customFormat="false" ht="15" hidden="false" customHeight="false" outlineLevel="0" collapsed="false">
      <c r="A4561" s="22"/>
      <c r="B4561" s="22"/>
      <c r="C4561" s="23" t="str">
        <f aca="false">IF(A4561="","",IFERROR(buscarx(A4561&amp;B4561,DATA!$E$3:$E$10000&amp;DATA!$B$3:$B$10000,DATA!$M$3:$M$10000),"No encontrado"))</f>
        <v/>
      </c>
      <c r="D4561" s="24" t="str">
        <f aca="false">IF(A4561="","",IFERROR(buscarx(A4561&amp;B4561,DATA!$E$3:$E$10000&amp;DATA!$B$3:$B$10000,DATA!$W$3:$W$10000),"No encontrado"))</f>
        <v/>
      </c>
      <c r="E4561" s="22"/>
      <c r="F4561" s="23" t="str">
        <f aca="false">IF(A4561="","",IFERROR(buscarx(A4561&amp;E4561,DATA!$E$3:$E$10000&amp;DATA!$B$3:$B$10000,DATA!$M$3:$M$10000),"Inactivo"))</f>
        <v/>
      </c>
      <c r="G4561" s="25" t="str">
        <f aca="false">IF(A4561="","",IF(AND(C4561&lt;&gt;"No encontrado",F4561&lt;&gt;"Inactivo"),C4561&amp;" → "&amp;F4561,"Sin transición"))</f>
        <v/>
      </c>
      <c r="H4561" s="23" t="str">
        <f aca="false">IF(A4561="","",IF(D4561="GCIA LINEA SERVICIO DIGITALIDAD Y VENTAS","Chats",IF(OR(D4561="GERENCIA INBOUND LÍNEAS SERVICIO Y VENTA",D4561="GERENCIA INBOUND LINEAS ESPECIALIZADAS"),"Llamadas","Otro")))</f>
        <v/>
      </c>
      <c r="I4561" s="23" t="str">
        <f aca="false">IF(A4561="","",IF(C4561="No encontrado","No","Sí"))</f>
        <v/>
      </c>
      <c r="J4561" s="23" t="str">
        <f aca="false">IF(A4561="","",IF(F4561="Inactivo","No","Sí"))</f>
        <v/>
      </c>
      <c r="K4561" s="23" t="str">
        <f aca="false">IF(A4561="","",IF(AND(I4561="Sí",J4561="Sí"),"Sí","No"))</f>
        <v/>
      </c>
    </row>
    <row r="4562" customFormat="false" ht="15" hidden="false" customHeight="false" outlineLevel="0" collapsed="false">
      <c r="A4562" s="22"/>
      <c r="B4562" s="22"/>
      <c r="C4562" s="26" t="str">
        <f aca="false">IF(A4562="","",IFERROR(buscarx(A4562&amp;B4562,DATA!$E$3:$E$10000&amp;DATA!$B$3:$B$10000,DATA!$M$3:$M$10000),"No encontrado"))</f>
        <v/>
      </c>
      <c r="D4562" s="27" t="str">
        <f aca="false">IF(A4562="","",IFERROR(buscarx(A4562&amp;B4562,DATA!$E$3:$E$10000&amp;DATA!$B$3:$B$10000,DATA!$W$3:$W$10000),"No encontrado"))</f>
        <v/>
      </c>
      <c r="E4562" s="22"/>
      <c r="F4562" s="26" t="str">
        <f aca="false">IF(A4562="","",IFERROR(buscarx(A4562&amp;E4562,DATA!$E$3:$E$10000&amp;DATA!$B$3:$B$10000,DATA!$M$3:$M$10000),"Inactivo"))</f>
        <v/>
      </c>
      <c r="G4562" s="28" t="str">
        <f aca="false">IF(A4562="","",IF(AND(C4562&lt;&gt;"No encontrado",F4562&lt;&gt;"Inactivo"),C4562&amp;" → "&amp;F4562,"Sin transición"))</f>
        <v/>
      </c>
      <c r="H4562" s="26" t="str">
        <f aca="false">IF(A4562="","",IF(D4562="GCIA LINEA SERVICIO DIGITALIDAD Y VENTAS","Chats",IF(OR(D4562="GERENCIA INBOUND LÍNEAS SERVICIO Y VENTA",D4562="GERENCIA INBOUND LINEAS ESPECIALIZADAS"),"Llamadas","Otro")))</f>
        <v/>
      </c>
      <c r="I4562" s="26" t="str">
        <f aca="false">IF(A4562="","",IF(C4562="No encontrado","No","Sí"))</f>
        <v/>
      </c>
      <c r="J4562" s="26" t="str">
        <f aca="false">IF(A4562="","",IF(F4562="Inactivo","No","Sí"))</f>
        <v/>
      </c>
      <c r="K4562" s="26" t="str">
        <f aca="false">IF(A4562="","",IF(AND(I4562="Sí",J4562="Sí"),"Sí","No"))</f>
        <v/>
      </c>
    </row>
    <row r="4563" customFormat="false" ht="15" hidden="false" customHeight="false" outlineLevel="0" collapsed="false">
      <c r="A4563" s="22"/>
      <c r="B4563" s="22"/>
      <c r="C4563" s="23" t="str">
        <f aca="false">IF(A4563="","",IFERROR(buscarx(A4563&amp;B4563,DATA!$E$3:$E$10000&amp;DATA!$B$3:$B$10000,DATA!$M$3:$M$10000),"No encontrado"))</f>
        <v/>
      </c>
      <c r="D4563" s="24" t="str">
        <f aca="false">IF(A4563="","",IFERROR(buscarx(A4563&amp;B4563,DATA!$E$3:$E$10000&amp;DATA!$B$3:$B$10000,DATA!$W$3:$W$10000),"No encontrado"))</f>
        <v/>
      </c>
      <c r="E4563" s="22"/>
      <c r="F4563" s="23" t="str">
        <f aca="false">IF(A4563="","",IFERROR(buscarx(A4563&amp;E4563,DATA!$E$3:$E$10000&amp;DATA!$B$3:$B$10000,DATA!$M$3:$M$10000),"Inactivo"))</f>
        <v/>
      </c>
      <c r="G4563" s="25" t="str">
        <f aca="false">IF(A4563="","",IF(AND(C4563&lt;&gt;"No encontrado",F4563&lt;&gt;"Inactivo"),C4563&amp;" → "&amp;F4563,"Sin transición"))</f>
        <v/>
      </c>
      <c r="H4563" s="23" t="str">
        <f aca="false">IF(A4563="","",IF(D4563="GCIA LINEA SERVICIO DIGITALIDAD Y VENTAS","Chats",IF(OR(D4563="GERENCIA INBOUND LÍNEAS SERVICIO Y VENTA",D4563="GERENCIA INBOUND LINEAS ESPECIALIZADAS"),"Llamadas","Otro")))</f>
        <v/>
      </c>
      <c r="I4563" s="23" t="str">
        <f aca="false">IF(A4563="","",IF(C4563="No encontrado","No","Sí"))</f>
        <v/>
      </c>
      <c r="J4563" s="23" t="str">
        <f aca="false">IF(A4563="","",IF(F4563="Inactivo","No","Sí"))</f>
        <v/>
      </c>
      <c r="K4563" s="23" t="str">
        <f aca="false">IF(A4563="","",IF(AND(I4563="Sí",J4563="Sí"),"Sí","No"))</f>
        <v/>
      </c>
    </row>
    <row r="4564" customFormat="false" ht="15" hidden="false" customHeight="false" outlineLevel="0" collapsed="false">
      <c r="A4564" s="22"/>
      <c r="B4564" s="22"/>
      <c r="C4564" s="26" t="str">
        <f aca="false">IF(A4564="","",IFERROR(buscarx(A4564&amp;B4564,DATA!$E$3:$E$10000&amp;DATA!$B$3:$B$10000,DATA!$M$3:$M$10000),"No encontrado"))</f>
        <v/>
      </c>
      <c r="D4564" s="27" t="str">
        <f aca="false">IF(A4564="","",IFERROR(buscarx(A4564&amp;B4564,DATA!$E$3:$E$10000&amp;DATA!$B$3:$B$10000,DATA!$W$3:$W$10000),"No encontrado"))</f>
        <v/>
      </c>
      <c r="E4564" s="22"/>
      <c r="F4564" s="26" t="str">
        <f aca="false">IF(A4564="","",IFERROR(buscarx(A4564&amp;E4564,DATA!$E$3:$E$10000&amp;DATA!$B$3:$B$10000,DATA!$M$3:$M$10000),"Inactivo"))</f>
        <v/>
      </c>
      <c r="G4564" s="28" t="str">
        <f aca="false">IF(A4564="","",IF(AND(C4564&lt;&gt;"No encontrado",F4564&lt;&gt;"Inactivo"),C4564&amp;" → "&amp;F4564,"Sin transición"))</f>
        <v/>
      </c>
      <c r="H4564" s="26" t="str">
        <f aca="false">IF(A4564="","",IF(D4564="GCIA LINEA SERVICIO DIGITALIDAD Y VENTAS","Chats",IF(OR(D4564="GERENCIA INBOUND LÍNEAS SERVICIO Y VENTA",D4564="GERENCIA INBOUND LINEAS ESPECIALIZADAS"),"Llamadas","Otro")))</f>
        <v/>
      </c>
      <c r="I4564" s="26" t="str">
        <f aca="false">IF(A4564="","",IF(C4564="No encontrado","No","Sí"))</f>
        <v/>
      </c>
      <c r="J4564" s="26" t="str">
        <f aca="false">IF(A4564="","",IF(F4564="Inactivo","No","Sí"))</f>
        <v/>
      </c>
      <c r="K4564" s="26" t="str">
        <f aca="false">IF(A4564="","",IF(AND(I4564="Sí",J4564="Sí"),"Sí","No"))</f>
        <v/>
      </c>
    </row>
    <row r="4565" customFormat="false" ht="15" hidden="false" customHeight="false" outlineLevel="0" collapsed="false">
      <c r="A4565" s="22"/>
      <c r="B4565" s="22"/>
      <c r="C4565" s="23" t="str">
        <f aca="false">IF(A4565="","",IFERROR(buscarx(A4565&amp;B4565,DATA!$E$3:$E$10000&amp;DATA!$B$3:$B$10000,DATA!$M$3:$M$10000),"No encontrado"))</f>
        <v/>
      </c>
      <c r="D4565" s="24" t="str">
        <f aca="false">IF(A4565="","",IFERROR(buscarx(A4565&amp;B4565,DATA!$E$3:$E$10000&amp;DATA!$B$3:$B$10000,DATA!$W$3:$W$10000),"No encontrado"))</f>
        <v/>
      </c>
      <c r="E4565" s="22"/>
      <c r="F4565" s="23" t="str">
        <f aca="false">IF(A4565="","",IFERROR(buscarx(A4565&amp;E4565,DATA!$E$3:$E$10000&amp;DATA!$B$3:$B$10000,DATA!$M$3:$M$10000),"Inactivo"))</f>
        <v/>
      </c>
      <c r="G4565" s="25" t="str">
        <f aca="false">IF(A4565="","",IF(AND(C4565&lt;&gt;"No encontrado",F4565&lt;&gt;"Inactivo"),C4565&amp;" → "&amp;F4565,"Sin transición"))</f>
        <v/>
      </c>
      <c r="H4565" s="23" t="str">
        <f aca="false">IF(A4565="","",IF(D4565="GCIA LINEA SERVICIO DIGITALIDAD Y VENTAS","Chats",IF(OR(D4565="GERENCIA INBOUND LÍNEAS SERVICIO Y VENTA",D4565="GERENCIA INBOUND LINEAS ESPECIALIZADAS"),"Llamadas","Otro")))</f>
        <v/>
      </c>
      <c r="I4565" s="23" t="str">
        <f aca="false">IF(A4565="","",IF(C4565="No encontrado","No","Sí"))</f>
        <v/>
      </c>
      <c r="J4565" s="23" t="str">
        <f aca="false">IF(A4565="","",IF(F4565="Inactivo","No","Sí"))</f>
        <v/>
      </c>
      <c r="K4565" s="23" t="str">
        <f aca="false">IF(A4565="","",IF(AND(I4565="Sí",J4565="Sí"),"Sí","No"))</f>
        <v/>
      </c>
    </row>
    <row r="4566" customFormat="false" ht="15" hidden="false" customHeight="false" outlineLevel="0" collapsed="false">
      <c r="A4566" s="22"/>
      <c r="B4566" s="22"/>
      <c r="C4566" s="26" t="str">
        <f aca="false">IF(A4566="","",IFERROR(buscarx(A4566&amp;B4566,DATA!$E$3:$E$10000&amp;DATA!$B$3:$B$10000,DATA!$M$3:$M$10000),"No encontrado"))</f>
        <v/>
      </c>
      <c r="D4566" s="27" t="str">
        <f aca="false">IF(A4566="","",IFERROR(buscarx(A4566&amp;B4566,DATA!$E$3:$E$10000&amp;DATA!$B$3:$B$10000,DATA!$W$3:$W$10000),"No encontrado"))</f>
        <v/>
      </c>
      <c r="E4566" s="22"/>
      <c r="F4566" s="26" t="str">
        <f aca="false">IF(A4566="","",IFERROR(buscarx(A4566&amp;E4566,DATA!$E$3:$E$10000&amp;DATA!$B$3:$B$10000,DATA!$M$3:$M$10000),"Inactivo"))</f>
        <v/>
      </c>
      <c r="G4566" s="28" t="str">
        <f aca="false">IF(A4566="","",IF(AND(C4566&lt;&gt;"No encontrado",F4566&lt;&gt;"Inactivo"),C4566&amp;" → "&amp;F4566,"Sin transición"))</f>
        <v/>
      </c>
      <c r="H4566" s="26" t="str">
        <f aca="false">IF(A4566="","",IF(D4566="GCIA LINEA SERVICIO DIGITALIDAD Y VENTAS","Chats",IF(OR(D4566="GERENCIA INBOUND LÍNEAS SERVICIO Y VENTA",D4566="GERENCIA INBOUND LINEAS ESPECIALIZADAS"),"Llamadas","Otro")))</f>
        <v/>
      </c>
      <c r="I4566" s="26" t="str">
        <f aca="false">IF(A4566="","",IF(C4566="No encontrado","No","Sí"))</f>
        <v/>
      </c>
      <c r="J4566" s="26" t="str">
        <f aca="false">IF(A4566="","",IF(F4566="Inactivo","No","Sí"))</f>
        <v/>
      </c>
      <c r="K4566" s="26" t="str">
        <f aca="false">IF(A4566="","",IF(AND(I4566="Sí",J4566="Sí"),"Sí","No"))</f>
        <v/>
      </c>
    </row>
    <row r="4567" customFormat="false" ht="15" hidden="false" customHeight="false" outlineLevel="0" collapsed="false">
      <c r="A4567" s="22"/>
      <c r="B4567" s="22"/>
      <c r="C4567" s="23" t="str">
        <f aca="false">IF(A4567="","",IFERROR(buscarx(A4567&amp;B4567,DATA!$E$3:$E$10000&amp;DATA!$B$3:$B$10000,DATA!$M$3:$M$10000),"No encontrado"))</f>
        <v/>
      </c>
      <c r="D4567" s="24" t="str">
        <f aca="false">IF(A4567="","",IFERROR(buscarx(A4567&amp;B4567,DATA!$E$3:$E$10000&amp;DATA!$B$3:$B$10000,DATA!$W$3:$W$10000),"No encontrado"))</f>
        <v/>
      </c>
      <c r="E4567" s="22"/>
      <c r="F4567" s="23" t="str">
        <f aca="false">IF(A4567="","",IFERROR(buscarx(A4567&amp;E4567,DATA!$E$3:$E$10000&amp;DATA!$B$3:$B$10000,DATA!$M$3:$M$10000),"Inactivo"))</f>
        <v/>
      </c>
      <c r="G4567" s="25" t="str">
        <f aca="false">IF(A4567="","",IF(AND(C4567&lt;&gt;"No encontrado",F4567&lt;&gt;"Inactivo"),C4567&amp;" → "&amp;F4567,"Sin transición"))</f>
        <v/>
      </c>
      <c r="H4567" s="23" t="str">
        <f aca="false">IF(A4567="","",IF(D4567="GCIA LINEA SERVICIO DIGITALIDAD Y VENTAS","Chats",IF(OR(D4567="GERENCIA INBOUND LÍNEAS SERVICIO Y VENTA",D4567="GERENCIA INBOUND LINEAS ESPECIALIZADAS"),"Llamadas","Otro")))</f>
        <v/>
      </c>
      <c r="I4567" s="23" t="str">
        <f aca="false">IF(A4567="","",IF(C4567="No encontrado","No","Sí"))</f>
        <v/>
      </c>
      <c r="J4567" s="23" t="str">
        <f aca="false">IF(A4567="","",IF(F4567="Inactivo","No","Sí"))</f>
        <v/>
      </c>
      <c r="K4567" s="23" t="str">
        <f aca="false">IF(A4567="","",IF(AND(I4567="Sí",J4567="Sí"),"Sí","No"))</f>
        <v/>
      </c>
    </row>
    <row r="4568" customFormat="false" ht="15" hidden="false" customHeight="false" outlineLevel="0" collapsed="false">
      <c r="A4568" s="22"/>
      <c r="B4568" s="22"/>
      <c r="C4568" s="26" t="str">
        <f aca="false">IF(A4568="","",IFERROR(buscarx(A4568&amp;B4568,DATA!$E$3:$E$10000&amp;DATA!$B$3:$B$10000,DATA!$M$3:$M$10000),"No encontrado"))</f>
        <v/>
      </c>
      <c r="D4568" s="27" t="str">
        <f aca="false">IF(A4568="","",IFERROR(buscarx(A4568&amp;B4568,DATA!$E$3:$E$10000&amp;DATA!$B$3:$B$10000,DATA!$W$3:$W$10000),"No encontrado"))</f>
        <v/>
      </c>
      <c r="E4568" s="22"/>
      <c r="F4568" s="26" t="str">
        <f aca="false">IF(A4568="","",IFERROR(buscarx(A4568&amp;E4568,DATA!$E$3:$E$10000&amp;DATA!$B$3:$B$10000,DATA!$M$3:$M$10000),"Inactivo"))</f>
        <v/>
      </c>
      <c r="G4568" s="28" t="str">
        <f aca="false">IF(A4568="","",IF(AND(C4568&lt;&gt;"No encontrado",F4568&lt;&gt;"Inactivo"),C4568&amp;" → "&amp;F4568,"Sin transición"))</f>
        <v/>
      </c>
      <c r="H4568" s="26" t="str">
        <f aca="false">IF(A4568="","",IF(D4568="GCIA LINEA SERVICIO DIGITALIDAD Y VENTAS","Chats",IF(OR(D4568="GERENCIA INBOUND LÍNEAS SERVICIO Y VENTA",D4568="GERENCIA INBOUND LINEAS ESPECIALIZADAS"),"Llamadas","Otro")))</f>
        <v/>
      </c>
      <c r="I4568" s="26" t="str">
        <f aca="false">IF(A4568="","",IF(C4568="No encontrado","No","Sí"))</f>
        <v/>
      </c>
      <c r="J4568" s="26" t="str">
        <f aca="false">IF(A4568="","",IF(F4568="Inactivo","No","Sí"))</f>
        <v/>
      </c>
      <c r="K4568" s="26" t="str">
        <f aca="false">IF(A4568="","",IF(AND(I4568="Sí",J4568="Sí"),"Sí","No"))</f>
        <v/>
      </c>
    </row>
    <row r="4569" customFormat="false" ht="15" hidden="false" customHeight="false" outlineLevel="0" collapsed="false">
      <c r="A4569" s="22"/>
      <c r="B4569" s="22"/>
      <c r="C4569" s="23" t="str">
        <f aca="false">IF(A4569="","",IFERROR(buscarx(A4569&amp;B4569,DATA!$E$3:$E$10000&amp;DATA!$B$3:$B$10000,DATA!$M$3:$M$10000),"No encontrado"))</f>
        <v/>
      </c>
      <c r="D4569" s="24" t="str">
        <f aca="false">IF(A4569="","",IFERROR(buscarx(A4569&amp;B4569,DATA!$E$3:$E$10000&amp;DATA!$B$3:$B$10000,DATA!$W$3:$W$10000),"No encontrado"))</f>
        <v/>
      </c>
      <c r="E4569" s="22"/>
      <c r="F4569" s="23" t="str">
        <f aca="false">IF(A4569="","",IFERROR(buscarx(A4569&amp;E4569,DATA!$E$3:$E$10000&amp;DATA!$B$3:$B$10000,DATA!$M$3:$M$10000),"Inactivo"))</f>
        <v/>
      </c>
      <c r="G4569" s="25" t="str">
        <f aca="false">IF(A4569="","",IF(AND(C4569&lt;&gt;"No encontrado",F4569&lt;&gt;"Inactivo"),C4569&amp;" → "&amp;F4569,"Sin transición"))</f>
        <v/>
      </c>
      <c r="H4569" s="23" t="str">
        <f aca="false">IF(A4569="","",IF(D4569="GCIA LINEA SERVICIO DIGITALIDAD Y VENTAS","Chats",IF(OR(D4569="GERENCIA INBOUND LÍNEAS SERVICIO Y VENTA",D4569="GERENCIA INBOUND LINEAS ESPECIALIZADAS"),"Llamadas","Otro")))</f>
        <v/>
      </c>
      <c r="I4569" s="23" t="str">
        <f aca="false">IF(A4569="","",IF(C4569="No encontrado","No","Sí"))</f>
        <v/>
      </c>
      <c r="J4569" s="23" t="str">
        <f aca="false">IF(A4569="","",IF(F4569="Inactivo","No","Sí"))</f>
        <v/>
      </c>
      <c r="K4569" s="23" t="str">
        <f aca="false">IF(A4569="","",IF(AND(I4569="Sí",J4569="Sí"),"Sí","No"))</f>
        <v/>
      </c>
    </row>
    <row r="4570" customFormat="false" ht="15" hidden="false" customHeight="false" outlineLevel="0" collapsed="false">
      <c r="A4570" s="22"/>
      <c r="B4570" s="22"/>
      <c r="C4570" s="26" t="str">
        <f aca="false">IF(A4570="","",IFERROR(buscarx(A4570&amp;B4570,DATA!$E$3:$E$10000&amp;DATA!$B$3:$B$10000,DATA!$M$3:$M$10000),"No encontrado"))</f>
        <v/>
      </c>
      <c r="D4570" s="27" t="str">
        <f aca="false">IF(A4570="","",IFERROR(buscarx(A4570&amp;B4570,DATA!$E$3:$E$10000&amp;DATA!$B$3:$B$10000,DATA!$W$3:$W$10000),"No encontrado"))</f>
        <v/>
      </c>
      <c r="E4570" s="22"/>
      <c r="F4570" s="26" t="str">
        <f aca="false">IF(A4570="","",IFERROR(buscarx(A4570&amp;E4570,DATA!$E$3:$E$10000&amp;DATA!$B$3:$B$10000,DATA!$M$3:$M$10000),"Inactivo"))</f>
        <v/>
      </c>
      <c r="G4570" s="28" t="str">
        <f aca="false">IF(A4570="","",IF(AND(C4570&lt;&gt;"No encontrado",F4570&lt;&gt;"Inactivo"),C4570&amp;" → "&amp;F4570,"Sin transición"))</f>
        <v/>
      </c>
      <c r="H4570" s="26" t="str">
        <f aca="false">IF(A4570="","",IF(D4570="GCIA LINEA SERVICIO DIGITALIDAD Y VENTAS","Chats",IF(OR(D4570="GERENCIA INBOUND LÍNEAS SERVICIO Y VENTA",D4570="GERENCIA INBOUND LINEAS ESPECIALIZADAS"),"Llamadas","Otro")))</f>
        <v/>
      </c>
      <c r="I4570" s="26" t="str">
        <f aca="false">IF(A4570="","",IF(C4570="No encontrado","No","Sí"))</f>
        <v/>
      </c>
      <c r="J4570" s="26" t="str">
        <f aca="false">IF(A4570="","",IF(F4570="Inactivo","No","Sí"))</f>
        <v/>
      </c>
      <c r="K4570" s="26" t="str">
        <f aca="false">IF(A4570="","",IF(AND(I4570="Sí",J4570="Sí"),"Sí","No"))</f>
        <v/>
      </c>
    </row>
    <row r="4571" customFormat="false" ht="15" hidden="false" customHeight="false" outlineLevel="0" collapsed="false">
      <c r="A4571" s="22"/>
      <c r="B4571" s="22"/>
      <c r="C4571" s="23" t="str">
        <f aca="false">IF(A4571="","",IFERROR(buscarx(A4571&amp;B4571,DATA!$E$3:$E$10000&amp;DATA!$B$3:$B$10000,DATA!$M$3:$M$10000),"No encontrado"))</f>
        <v/>
      </c>
      <c r="D4571" s="24" t="str">
        <f aca="false">IF(A4571="","",IFERROR(buscarx(A4571&amp;B4571,DATA!$E$3:$E$10000&amp;DATA!$B$3:$B$10000,DATA!$W$3:$W$10000),"No encontrado"))</f>
        <v/>
      </c>
      <c r="E4571" s="22"/>
      <c r="F4571" s="23" t="str">
        <f aca="false">IF(A4571="","",IFERROR(buscarx(A4571&amp;E4571,DATA!$E$3:$E$10000&amp;DATA!$B$3:$B$10000,DATA!$M$3:$M$10000),"Inactivo"))</f>
        <v/>
      </c>
      <c r="G4571" s="25" t="str">
        <f aca="false">IF(A4571="","",IF(AND(C4571&lt;&gt;"No encontrado",F4571&lt;&gt;"Inactivo"),C4571&amp;" → "&amp;F4571,"Sin transición"))</f>
        <v/>
      </c>
      <c r="H4571" s="23" t="str">
        <f aca="false">IF(A4571="","",IF(D4571="GCIA LINEA SERVICIO DIGITALIDAD Y VENTAS","Chats",IF(OR(D4571="GERENCIA INBOUND LÍNEAS SERVICIO Y VENTA",D4571="GERENCIA INBOUND LINEAS ESPECIALIZADAS"),"Llamadas","Otro")))</f>
        <v/>
      </c>
      <c r="I4571" s="23" t="str">
        <f aca="false">IF(A4571="","",IF(C4571="No encontrado","No","Sí"))</f>
        <v/>
      </c>
      <c r="J4571" s="23" t="str">
        <f aca="false">IF(A4571="","",IF(F4571="Inactivo","No","Sí"))</f>
        <v/>
      </c>
      <c r="K4571" s="23" t="str">
        <f aca="false">IF(A4571="","",IF(AND(I4571="Sí",J4571="Sí"),"Sí","No"))</f>
        <v/>
      </c>
    </row>
    <row r="4572" customFormat="false" ht="15" hidden="false" customHeight="false" outlineLevel="0" collapsed="false">
      <c r="A4572" s="22"/>
      <c r="B4572" s="22"/>
      <c r="C4572" s="26" t="str">
        <f aca="false">IF(A4572="","",IFERROR(buscarx(A4572&amp;B4572,DATA!$E$3:$E$10000&amp;DATA!$B$3:$B$10000,DATA!$M$3:$M$10000),"No encontrado"))</f>
        <v/>
      </c>
      <c r="D4572" s="27" t="str">
        <f aca="false">IF(A4572="","",IFERROR(buscarx(A4572&amp;B4572,DATA!$E$3:$E$10000&amp;DATA!$B$3:$B$10000,DATA!$W$3:$W$10000),"No encontrado"))</f>
        <v/>
      </c>
      <c r="E4572" s="22"/>
      <c r="F4572" s="26" t="str">
        <f aca="false">IF(A4572="","",IFERROR(buscarx(A4572&amp;E4572,DATA!$E$3:$E$10000&amp;DATA!$B$3:$B$10000,DATA!$M$3:$M$10000),"Inactivo"))</f>
        <v/>
      </c>
      <c r="G4572" s="28" t="str">
        <f aca="false">IF(A4572="","",IF(AND(C4572&lt;&gt;"No encontrado",F4572&lt;&gt;"Inactivo"),C4572&amp;" → "&amp;F4572,"Sin transición"))</f>
        <v/>
      </c>
      <c r="H4572" s="26" t="str">
        <f aca="false">IF(A4572="","",IF(D4572="GCIA LINEA SERVICIO DIGITALIDAD Y VENTAS","Chats",IF(OR(D4572="GERENCIA INBOUND LÍNEAS SERVICIO Y VENTA",D4572="GERENCIA INBOUND LINEAS ESPECIALIZADAS"),"Llamadas","Otro")))</f>
        <v/>
      </c>
      <c r="I4572" s="26" t="str">
        <f aca="false">IF(A4572="","",IF(C4572="No encontrado","No","Sí"))</f>
        <v/>
      </c>
      <c r="J4572" s="26" t="str">
        <f aca="false">IF(A4572="","",IF(F4572="Inactivo","No","Sí"))</f>
        <v/>
      </c>
      <c r="K4572" s="26" t="str">
        <f aca="false">IF(A4572="","",IF(AND(I4572="Sí",J4572="Sí"),"Sí","No"))</f>
        <v/>
      </c>
    </row>
    <row r="4573" customFormat="false" ht="15" hidden="false" customHeight="false" outlineLevel="0" collapsed="false">
      <c r="A4573" s="22"/>
      <c r="B4573" s="22"/>
      <c r="C4573" s="23" t="str">
        <f aca="false">IF(A4573="","",IFERROR(buscarx(A4573&amp;B4573,DATA!$E$3:$E$10000&amp;DATA!$B$3:$B$10000,DATA!$M$3:$M$10000),"No encontrado"))</f>
        <v/>
      </c>
      <c r="D4573" s="24" t="str">
        <f aca="false">IF(A4573="","",IFERROR(buscarx(A4573&amp;B4573,DATA!$E$3:$E$10000&amp;DATA!$B$3:$B$10000,DATA!$W$3:$W$10000),"No encontrado"))</f>
        <v/>
      </c>
      <c r="E4573" s="22"/>
      <c r="F4573" s="23" t="str">
        <f aca="false">IF(A4573="","",IFERROR(buscarx(A4573&amp;E4573,DATA!$E$3:$E$10000&amp;DATA!$B$3:$B$10000,DATA!$M$3:$M$10000),"Inactivo"))</f>
        <v/>
      </c>
      <c r="G4573" s="25" t="str">
        <f aca="false">IF(A4573="","",IF(AND(C4573&lt;&gt;"No encontrado",F4573&lt;&gt;"Inactivo"),C4573&amp;" → "&amp;F4573,"Sin transición"))</f>
        <v/>
      </c>
      <c r="H4573" s="23" t="str">
        <f aca="false">IF(A4573="","",IF(D4573="GCIA LINEA SERVICIO DIGITALIDAD Y VENTAS","Chats",IF(OR(D4573="GERENCIA INBOUND LÍNEAS SERVICIO Y VENTA",D4573="GERENCIA INBOUND LINEAS ESPECIALIZADAS"),"Llamadas","Otro")))</f>
        <v/>
      </c>
      <c r="I4573" s="23" t="str">
        <f aca="false">IF(A4573="","",IF(C4573="No encontrado","No","Sí"))</f>
        <v/>
      </c>
      <c r="J4573" s="23" t="str">
        <f aca="false">IF(A4573="","",IF(F4573="Inactivo","No","Sí"))</f>
        <v/>
      </c>
      <c r="K4573" s="23" t="str">
        <f aca="false">IF(A4573="","",IF(AND(I4573="Sí",J4573="Sí"),"Sí","No"))</f>
        <v/>
      </c>
    </row>
    <row r="4574" customFormat="false" ht="15" hidden="false" customHeight="false" outlineLevel="0" collapsed="false">
      <c r="A4574" s="22"/>
      <c r="B4574" s="22"/>
      <c r="C4574" s="26" t="str">
        <f aca="false">IF(A4574="","",IFERROR(buscarx(A4574&amp;B4574,DATA!$E$3:$E$10000&amp;DATA!$B$3:$B$10000,DATA!$M$3:$M$10000),"No encontrado"))</f>
        <v/>
      </c>
      <c r="D4574" s="27" t="str">
        <f aca="false">IF(A4574="","",IFERROR(buscarx(A4574&amp;B4574,DATA!$E$3:$E$10000&amp;DATA!$B$3:$B$10000,DATA!$W$3:$W$10000),"No encontrado"))</f>
        <v/>
      </c>
      <c r="E4574" s="22"/>
      <c r="F4574" s="26" t="str">
        <f aca="false">IF(A4574="","",IFERROR(buscarx(A4574&amp;E4574,DATA!$E$3:$E$10000&amp;DATA!$B$3:$B$10000,DATA!$M$3:$M$10000),"Inactivo"))</f>
        <v/>
      </c>
      <c r="G4574" s="28" t="str">
        <f aca="false">IF(A4574="","",IF(AND(C4574&lt;&gt;"No encontrado",F4574&lt;&gt;"Inactivo"),C4574&amp;" → "&amp;F4574,"Sin transición"))</f>
        <v/>
      </c>
      <c r="H4574" s="26" t="str">
        <f aca="false">IF(A4574="","",IF(D4574="GCIA LINEA SERVICIO DIGITALIDAD Y VENTAS","Chats",IF(OR(D4574="GERENCIA INBOUND LÍNEAS SERVICIO Y VENTA",D4574="GERENCIA INBOUND LINEAS ESPECIALIZADAS"),"Llamadas","Otro")))</f>
        <v/>
      </c>
      <c r="I4574" s="26" t="str">
        <f aca="false">IF(A4574="","",IF(C4574="No encontrado","No","Sí"))</f>
        <v/>
      </c>
      <c r="J4574" s="26" t="str">
        <f aca="false">IF(A4574="","",IF(F4574="Inactivo","No","Sí"))</f>
        <v/>
      </c>
      <c r="K4574" s="26" t="str">
        <f aca="false">IF(A4574="","",IF(AND(I4574="Sí",J4574="Sí"),"Sí","No"))</f>
        <v/>
      </c>
    </row>
    <row r="4575" customFormat="false" ht="15" hidden="false" customHeight="false" outlineLevel="0" collapsed="false">
      <c r="A4575" s="22"/>
      <c r="B4575" s="22"/>
      <c r="C4575" s="23" t="str">
        <f aca="false">IF(A4575="","",IFERROR(buscarx(A4575&amp;B4575,DATA!$E$3:$E$10000&amp;DATA!$B$3:$B$10000,DATA!$M$3:$M$10000),"No encontrado"))</f>
        <v/>
      </c>
      <c r="D4575" s="24" t="str">
        <f aca="false">IF(A4575="","",IFERROR(buscarx(A4575&amp;B4575,DATA!$E$3:$E$10000&amp;DATA!$B$3:$B$10000,DATA!$W$3:$W$10000),"No encontrado"))</f>
        <v/>
      </c>
      <c r="E4575" s="22"/>
      <c r="F4575" s="23" t="str">
        <f aca="false">IF(A4575="","",IFERROR(buscarx(A4575&amp;E4575,DATA!$E$3:$E$10000&amp;DATA!$B$3:$B$10000,DATA!$M$3:$M$10000),"Inactivo"))</f>
        <v/>
      </c>
      <c r="G4575" s="25" t="str">
        <f aca="false">IF(A4575="","",IF(AND(C4575&lt;&gt;"No encontrado",F4575&lt;&gt;"Inactivo"),C4575&amp;" → "&amp;F4575,"Sin transición"))</f>
        <v/>
      </c>
      <c r="H4575" s="23" t="str">
        <f aca="false">IF(A4575="","",IF(D4575="GCIA LINEA SERVICIO DIGITALIDAD Y VENTAS","Chats",IF(OR(D4575="GERENCIA INBOUND LÍNEAS SERVICIO Y VENTA",D4575="GERENCIA INBOUND LINEAS ESPECIALIZADAS"),"Llamadas","Otro")))</f>
        <v/>
      </c>
      <c r="I4575" s="23" t="str">
        <f aca="false">IF(A4575="","",IF(C4575="No encontrado","No","Sí"))</f>
        <v/>
      </c>
      <c r="J4575" s="23" t="str">
        <f aca="false">IF(A4575="","",IF(F4575="Inactivo","No","Sí"))</f>
        <v/>
      </c>
      <c r="K4575" s="23" t="str">
        <f aca="false">IF(A4575="","",IF(AND(I4575="Sí",J4575="Sí"),"Sí","No"))</f>
        <v/>
      </c>
    </row>
    <row r="4576" customFormat="false" ht="15" hidden="false" customHeight="false" outlineLevel="0" collapsed="false">
      <c r="A4576" s="22"/>
      <c r="B4576" s="22"/>
      <c r="C4576" s="26" t="str">
        <f aca="false">IF(A4576="","",IFERROR(buscarx(A4576&amp;B4576,DATA!$E$3:$E$10000&amp;DATA!$B$3:$B$10000,DATA!$M$3:$M$10000),"No encontrado"))</f>
        <v/>
      </c>
      <c r="D4576" s="27" t="str">
        <f aca="false">IF(A4576="","",IFERROR(buscarx(A4576&amp;B4576,DATA!$E$3:$E$10000&amp;DATA!$B$3:$B$10000,DATA!$W$3:$W$10000),"No encontrado"))</f>
        <v/>
      </c>
      <c r="E4576" s="22"/>
      <c r="F4576" s="26" t="str">
        <f aca="false">IF(A4576="","",IFERROR(buscarx(A4576&amp;E4576,DATA!$E$3:$E$10000&amp;DATA!$B$3:$B$10000,DATA!$M$3:$M$10000),"Inactivo"))</f>
        <v/>
      </c>
      <c r="G4576" s="28" t="str">
        <f aca="false">IF(A4576="","",IF(AND(C4576&lt;&gt;"No encontrado",F4576&lt;&gt;"Inactivo"),C4576&amp;" → "&amp;F4576,"Sin transición"))</f>
        <v/>
      </c>
      <c r="H4576" s="26" t="str">
        <f aca="false">IF(A4576="","",IF(D4576="GCIA LINEA SERVICIO DIGITALIDAD Y VENTAS","Chats",IF(OR(D4576="GERENCIA INBOUND LÍNEAS SERVICIO Y VENTA",D4576="GERENCIA INBOUND LINEAS ESPECIALIZADAS"),"Llamadas","Otro")))</f>
        <v/>
      </c>
      <c r="I4576" s="26" t="str">
        <f aca="false">IF(A4576="","",IF(C4576="No encontrado","No","Sí"))</f>
        <v/>
      </c>
      <c r="J4576" s="26" t="str">
        <f aca="false">IF(A4576="","",IF(F4576="Inactivo","No","Sí"))</f>
        <v/>
      </c>
      <c r="K4576" s="26" t="str">
        <f aca="false">IF(A4576="","",IF(AND(I4576="Sí",J4576="Sí"),"Sí","No"))</f>
        <v/>
      </c>
    </row>
    <row r="4577" customFormat="false" ht="15" hidden="false" customHeight="false" outlineLevel="0" collapsed="false">
      <c r="A4577" s="22"/>
      <c r="B4577" s="22"/>
      <c r="C4577" s="23" t="str">
        <f aca="false">IF(A4577="","",IFERROR(buscarx(A4577&amp;B4577,DATA!$E$3:$E$10000&amp;DATA!$B$3:$B$10000,DATA!$M$3:$M$10000),"No encontrado"))</f>
        <v/>
      </c>
      <c r="D4577" s="24" t="str">
        <f aca="false">IF(A4577="","",IFERROR(buscarx(A4577&amp;B4577,DATA!$E$3:$E$10000&amp;DATA!$B$3:$B$10000,DATA!$W$3:$W$10000),"No encontrado"))</f>
        <v/>
      </c>
      <c r="E4577" s="22"/>
      <c r="F4577" s="23" t="str">
        <f aca="false">IF(A4577="","",IFERROR(buscarx(A4577&amp;E4577,DATA!$E$3:$E$10000&amp;DATA!$B$3:$B$10000,DATA!$M$3:$M$10000),"Inactivo"))</f>
        <v/>
      </c>
      <c r="G4577" s="25" t="str">
        <f aca="false">IF(A4577="","",IF(AND(C4577&lt;&gt;"No encontrado",F4577&lt;&gt;"Inactivo"),C4577&amp;" → "&amp;F4577,"Sin transición"))</f>
        <v/>
      </c>
      <c r="H4577" s="23" t="str">
        <f aca="false">IF(A4577="","",IF(D4577="GCIA LINEA SERVICIO DIGITALIDAD Y VENTAS","Chats",IF(OR(D4577="GERENCIA INBOUND LÍNEAS SERVICIO Y VENTA",D4577="GERENCIA INBOUND LINEAS ESPECIALIZADAS"),"Llamadas","Otro")))</f>
        <v/>
      </c>
      <c r="I4577" s="23" t="str">
        <f aca="false">IF(A4577="","",IF(C4577="No encontrado","No","Sí"))</f>
        <v/>
      </c>
      <c r="J4577" s="23" t="str">
        <f aca="false">IF(A4577="","",IF(F4577="Inactivo","No","Sí"))</f>
        <v/>
      </c>
      <c r="K4577" s="23" t="str">
        <f aca="false">IF(A4577="","",IF(AND(I4577="Sí",J4577="Sí"),"Sí","No"))</f>
        <v/>
      </c>
    </row>
    <row r="4578" customFormat="false" ht="15" hidden="false" customHeight="false" outlineLevel="0" collapsed="false">
      <c r="A4578" s="22"/>
      <c r="B4578" s="22"/>
      <c r="C4578" s="26" t="str">
        <f aca="false">IF(A4578="","",IFERROR(buscarx(A4578&amp;B4578,DATA!$E$3:$E$10000&amp;DATA!$B$3:$B$10000,DATA!$M$3:$M$10000),"No encontrado"))</f>
        <v/>
      </c>
      <c r="D4578" s="27" t="str">
        <f aca="false">IF(A4578="","",IFERROR(buscarx(A4578&amp;B4578,DATA!$E$3:$E$10000&amp;DATA!$B$3:$B$10000,DATA!$W$3:$W$10000),"No encontrado"))</f>
        <v/>
      </c>
      <c r="E4578" s="22"/>
      <c r="F4578" s="26" t="str">
        <f aca="false">IF(A4578="","",IFERROR(buscarx(A4578&amp;E4578,DATA!$E$3:$E$10000&amp;DATA!$B$3:$B$10000,DATA!$M$3:$M$10000),"Inactivo"))</f>
        <v/>
      </c>
      <c r="G4578" s="28" t="str">
        <f aca="false">IF(A4578="","",IF(AND(C4578&lt;&gt;"No encontrado",F4578&lt;&gt;"Inactivo"),C4578&amp;" → "&amp;F4578,"Sin transición"))</f>
        <v/>
      </c>
      <c r="H4578" s="26" t="str">
        <f aca="false">IF(A4578="","",IF(D4578="GCIA LINEA SERVICIO DIGITALIDAD Y VENTAS","Chats",IF(OR(D4578="GERENCIA INBOUND LÍNEAS SERVICIO Y VENTA",D4578="GERENCIA INBOUND LINEAS ESPECIALIZADAS"),"Llamadas","Otro")))</f>
        <v/>
      </c>
      <c r="I4578" s="26" t="str">
        <f aca="false">IF(A4578="","",IF(C4578="No encontrado","No","Sí"))</f>
        <v/>
      </c>
      <c r="J4578" s="26" t="str">
        <f aca="false">IF(A4578="","",IF(F4578="Inactivo","No","Sí"))</f>
        <v/>
      </c>
      <c r="K4578" s="26" t="str">
        <f aca="false">IF(A4578="","",IF(AND(I4578="Sí",J4578="Sí"),"Sí","No"))</f>
        <v/>
      </c>
    </row>
    <row r="4579" customFormat="false" ht="15" hidden="false" customHeight="false" outlineLevel="0" collapsed="false">
      <c r="A4579" s="22"/>
      <c r="B4579" s="22"/>
      <c r="C4579" s="23" t="str">
        <f aca="false">IF(A4579="","",IFERROR(buscarx(A4579&amp;B4579,DATA!$E$3:$E$10000&amp;DATA!$B$3:$B$10000,DATA!$M$3:$M$10000),"No encontrado"))</f>
        <v/>
      </c>
      <c r="D4579" s="24" t="str">
        <f aca="false">IF(A4579="","",IFERROR(buscarx(A4579&amp;B4579,DATA!$E$3:$E$10000&amp;DATA!$B$3:$B$10000,DATA!$W$3:$W$10000),"No encontrado"))</f>
        <v/>
      </c>
      <c r="E4579" s="22"/>
      <c r="F4579" s="23" t="str">
        <f aca="false">IF(A4579="","",IFERROR(buscarx(A4579&amp;E4579,DATA!$E$3:$E$10000&amp;DATA!$B$3:$B$10000,DATA!$M$3:$M$10000),"Inactivo"))</f>
        <v/>
      </c>
      <c r="G4579" s="25" t="str">
        <f aca="false">IF(A4579="","",IF(AND(C4579&lt;&gt;"No encontrado",F4579&lt;&gt;"Inactivo"),C4579&amp;" → "&amp;F4579,"Sin transición"))</f>
        <v/>
      </c>
      <c r="H4579" s="23" t="str">
        <f aca="false">IF(A4579="","",IF(D4579="GCIA LINEA SERVICIO DIGITALIDAD Y VENTAS","Chats",IF(OR(D4579="GERENCIA INBOUND LÍNEAS SERVICIO Y VENTA",D4579="GERENCIA INBOUND LINEAS ESPECIALIZADAS"),"Llamadas","Otro")))</f>
        <v/>
      </c>
      <c r="I4579" s="23" t="str">
        <f aca="false">IF(A4579="","",IF(C4579="No encontrado","No","Sí"))</f>
        <v/>
      </c>
      <c r="J4579" s="23" t="str">
        <f aca="false">IF(A4579="","",IF(F4579="Inactivo","No","Sí"))</f>
        <v/>
      </c>
      <c r="K4579" s="23" t="str">
        <f aca="false">IF(A4579="","",IF(AND(I4579="Sí",J4579="Sí"),"Sí","No"))</f>
        <v/>
      </c>
    </row>
    <row r="4580" customFormat="false" ht="15" hidden="false" customHeight="false" outlineLevel="0" collapsed="false">
      <c r="A4580" s="22"/>
      <c r="B4580" s="22"/>
      <c r="C4580" s="26" t="str">
        <f aca="false">IF(A4580="","",IFERROR(buscarx(A4580&amp;B4580,DATA!$E$3:$E$10000&amp;DATA!$B$3:$B$10000,DATA!$M$3:$M$10000),"No encontrado"))</f>
        <v/>
      </c>
      <c r="D4580" s="27" t="str">
        <f aca="false">IF(A4580="","",IFERROR(buscarx(A4580&amp;B4580,DATA!$E$3:$E$10000&amp;DATA!$B$3:$B$10000,DATA!$W$3:$W$10000),"No encontrado"))</f>
        <v/>
      </c>
      <c r="E4580" s="22"/>
      <c r="F4580" s="26" t="str">
        <f aca="false">IF(A4580="","",IFERROR(buscarx(A4580&amp;E4580,DATA!$E$3:$E$10000&amp;DATA!$B$3:$B$10000,DATA!$M$3:$M$10000),"Inactivo"))</f>
        <v/>
      </c>
      <c r="G4580" s="28" t="str">
        <f aca="false">IF(A4580="","",IF(AND(C4580&lt;&gt;"No encontrado",F4580&lt;&gt;"Inactivo"),C4580&amp;" → "&amp;F4580,"Sin transición"))</f>
        <v/>
      </c>
      <c r="H4580" s="26" t="str">
        <f aca="false">IF(A4580="","",IF(D4580="GCIA LINEA SERVICIO DIGITALIDAD Y VENTAS","Chats",IF(OR(D4580="GERENCIA INBOUND LÍNEAS SERVICIO Y VENTA",D4580="GERENCIA INBOUND LINEAS ESPECIALIZADAS"),"Llamadas","Otro")))</f>
        <v/>
      </c>
      <c r="I4580" s="26" t="str">
        <f aca="false">IF(A4580="","",IF(C4580="No encontrado","No","Sí"))</f>
        <v/>
      </c>
      <c r="J4580" s="26" t="str">
        <f aca="false">IF(A4580="","",IF(F4580="Inactivo","No","Sí"))</f>
        <v/>
      </c>
      <c r="K4580" s="26" t="str">
        <f aca="false">IF(A4580="","",IF(AND(I4580="Sí",J4580="Sí"),"Sí","No"))</f>
        <v/>
      </c>
    </row>
    <row r="4581" customFormat="false" ht="15" hidden="false" customHeight="false" outlineLevel="0" collapsed="false">
      <c r="A4581" s="22"/>
      <c r="B4581" s="22"/>
      <c r="C4581" s="23" t="str">
        <f aca="false">IF(A4581="","",IFERROR(buscarx(A4581&amp;B4581,DATA!$E$3:$E$10000&amp;DATA!$B$3:$B$10000,DATA!$M$3:$M$10000),"No encontrado"))</f>
        <v/>
      </c>
      <c r="D4581" s="24" t="str">
        <f aca="false">IF(A4581="","",IFERROR(buscarx(A4581&amp;B4581,DATA!$E$3:$E$10000&amp;DATA!$B$3:$B$10000,DATA!$W$3:$W$10000),"No encontrado"))</f>
        <v/>
      </c>
      <c r="E4581" s="22"/>
      <c r="F4581" s="23" t="str">
        <f aca="false">IF(A4581="","",IFERROR(buscarx(A4581&amp;E4581,DATA!$E$3:$E$10000&amp;DATA!$B$3:$B$10000,DATA!$M$3:$M$10000),"Inactivo"))</f>
        <v/>
      </c>
      <c r="G4581" s="25" t="str">
        <f aca="false">IF(A4581="","",IF(AND(C4581&lt;&gt;"No encontrado",F4581&lt;&gt;"Inactivo"),C4581&amp;" → "&amp;F4581,"Sin transición"))</f>
        <v/>
      </c>
      <c r="H4581" s="23" t="str">
        <f aca="false">IF(A4581="","",IF(D4581="GCIA LINEA SERVICIO DIGITALIDAD Y VENTAS","Chats",IF(OR(D4581="GERENCIA INBOUND LÍNEAS SERVICIO Y VENTA",D4581="GERENCIA INBOUND LINEAS ESPECIALIZADAS"),"Llamadas","Otro")))</f>
        <v/>
      </c>
      <c r="I4581" s="23" t="str">
        <f aca="false">IF(A4581="","",IF(C4581="No encontrado","No","Sí"))</f>
        <v/>
      </c>
      <c r="J4581" s="23" t="str">
        <f aca="false">IF(A4581="","",IF(F4581="Inactivo","No","Sí"))</f>
        <v/>
      </c>
      <c r="K4581" s="23" t="str">
        <f aca="false">IF(A4581="","",IF(AND(I4581="Sí",J4581="Sí"),"Sí","No"))</f>
        <v/>
      </c>
    </row>
    <row r="4582" customFormat="false" ht="15" hidden="false" customHeight="false" outlineLevel="0" collapsed="false">
      <c r="A4582" s="22"/>
      <c r="B4582" s="22"/>
      <c r="C4582" s="26" t="str">
        <f aca="false">IF(A4582="","",IFERROR(buscarx(A4582&amp;B4582,DATA!$E$3:$E$10000&amp;DATA!$B$3:$B$10000,DATA!$M$3:$M$10000),"No encontrado"))</f>
        <v/>
      </c>
      <c r="D4582" s="27" t="str">
        <f aca="false">IF(A4582="","",IFERROR(buscarx(A4582&amp;B4582,DATA!$E$3:$E$10000&amp;DATA!$B$3:$B$10000,DATA!$W$3:$W$10000),"No encontrado"))</f>
        <v/>
      </c>
      <c r="E4582" s="22"/>
      <c r="F4582" s="26" t="str">
        <f aca="false">IF(A4582="","",IFERROR(buscarx(A4582&amp;E4582,DATA!$E$3:$E$10000&amp;DATA!$B$3:$B$10000,DATA!$M$3:$M$10000),"Inactivo"))</f>
        <v/>
      </c>
      <c r="G4582" s="28" t="str">
        <f aca="false">IF(A4582="","",IF(AND(C4582&lt;&gt;"No encontrado",F4582&lt;&gt;"Inactivo"),C4582&amp;" → "&amp;F4582,"Sin transición"))</f>
        <v/>
      </c>
      <c r="H4582" s="26" t="str">
        <f aca="false">IF(A4582="","",IF(D4582="GCIA LINEA SERVICIO DIGITALIDAD Y VENTAS","Chats",IF(OR(D4582="GERENCIA INBOUND LÍNEAS SERVICIO Y VENTA",D4582="GERENCIA INBOUND LINEAS ESPECIALIZADAS"),"Llamadas","Otro")))</f>
        <v/>
      </c>
      <c r="I4582" s="26" t="str">
        <f aca="false">IF(A4582="","",IF(C4582="No encontrado","No","Sí"))</f>
        <v/>
      </c>
      <c r="J4582" s="26" t="str">
        <f aca="false">IF(A4582="","",IF(F4582="Inactivo","No","Sí"))</f>
        <v/>
      </c>
      <c r="K4582" s="26" t="str">
        <f aca="false">IF(A4582="","",IF(AND(I4582="Sí",J4582="Sí"),"Sí","No"))</f>
        <v/>
      </c>
    </row>
    <row r="4583" customFormat="false" ht="15" hidden="false" customHeight="false" outlineLevel="0" collapsed="false">
      <c r="A4583" s="22"/>
      <c r="B4583" s="22"/>
      <c r="C4583" s="23" t="str">
        <f aca="false">IF(A4583="","",IFERROR(buscarx(A4583&amp;B4583,DATA!$E$3:$E$10000&amp;DATA!$B$3:$B$10000,DATA!$M$3:$M$10000),"No encontrado"))</f>
        <v/>
      </c>
      <c r="D4583" s="24" t="str">
        <f aca="false">IF(A4583="","",IFERROR(buscarx(A4583&amp;B4583,DATA!$E$3:$E$10000&amp;DATA!$B$3:$B$10000,DATA!$W$3:$W$10000),"No encontrado"))</f>
        <v/>
      </c>
      <c r="E4583" s="22"/>
      <c r="F4583" s="23" t="str">
        <f aca="false">IF(A4583="","",IFERROR(buscarx(A4583&amp;E4583,DATA!$E$3:$E$10000&amp;DATA!$B$3:$B$10000,DATA!$M$3:$M$10000),"Inactivo"))</f>
        <v/>
      </c>
      <c r="G4583" s="25" t="str">
        <f aca="false">IF(A4583="","",IF(AND(C4583&lt;&gt;"No encontrado",F4583&lt;&gt;"Inactivo"),C4583&amp;" → "&amp;F4583,"Sin transición"))</f>
        <v/>
      </c>
      <c r="H4583" s="23" t="str">
        <f aca="false">IF(A4583="","",IF(D4583="GCIA LINEA SERVICIO DIGITALIDAD Y VENTAS","Chats",IF(OR(D4583="GERENCIA INBOUND LÍNEAS SERVICIO Y VENTA",D4583="GERENCIA INBOUND LINEAS ESPECIALIZADAS"),"Llamadas","Otro")))</f>
        <v/>
      </c>
      <c r="I4583" s="23" t="str">
        <f aca="false">IF(A4583="","",IF(C4583="No encontrado","No","Sí"))</f>
        <v/>
      </c>
      <c r="J4583" s="23" t="str">
        <f aca="false">IF(A4583="","",IF(F4583="Inactivo","No","Sí"))</f>
        <v/>
      </c>
      <c r="K4583" s="23" t="str">
        <f aca="false">IF(A4583="","",IF(AND(I4583="Sí",J4583="Sí"),"Sí","No"))</f>
        <v/>
      </c>
    </row>
    <row r="4584" customFormat="false" ht="15" hidden="false" customHeight="false" outlineLevel="0" collapsed="false">
      <c r="A4584" s="22"/>
      <c r="B4584" s="22"/>
      <c r="C4584" s="26" t="str">
        <f aca="false">IF(A4584="","",IFERROR(buscarx(A4584&amp;B4584,DATA!$E$3:$E$10000&amp;DATA!$B$3:$B$10000,DATA!$M$3:$M$10000),"No encontrado"))</f>
        <v/>
      </c>
      <c r="D4584" s="27" t="str">
        <f aca="false">IF(A4584="","",IFERROR(buscarx(A4584&amp;B4584,DATA!$E$3:$E$10000&amp;DATA!$B$3:$B$10000,DATA!$W$3:$W$10000),"No encontrado"))</f>
        <v/>
      </c>
      <c r="E4584" s="22"/>
      <c r="F4584" s="26" t="str">
        <f aca="false">IF(A4584="","",IFERROR(buscarx(A4584&amp;E4584,DATA!$E$3:$E$10000&amp;DATA!$B$3:$B$10000,DATA!$M$3:$M$10000),"Inactivo"))</f>
        <v/>
      </c>
      <c r="G4584" s="28" t="str">
        <f aca="false">IF(A4584="","",IF(AND(C4584&lt;&gt;"No encontrado",F4584&lt;&gt;"Inactivo"),C4584&amp;" → "&amp;F4584,"Sin transición"))</f>
        <v/>
      </c>
      <c r="H4584" s="26" t="str">
        <f aca="false">IF(A4584="","",IF(D4584="GCIA LINEA SERVICIO DIGITALIDAD Y VENTAS","Chats",IF(OR(D4584="GERENCIA INBOUND LÍNEAS SERVICIO Y VENTA",D4584="GERENCIA INBOUND LINEAS ESPECIALIZADAS"),"Llamadas","Otro")))</f>
        <v/>
      </c>
      <c r="I4584" s="26" t="str">
        <f aca="false">IF(A4584="","",IF(C4584="No encontrado","No","Sí"))</f>
        <v/>
      </c>
      <c r="J4584" s="26" t="str">
        <f aca="false">IF(A4584="","",IF(F4584="Inactivo","No","Sí"))</f>
        <v/>
      </c>
      <c r="K4584" s="26" t="str">
        <f aca="false">IF(A4584="","",IF(AND(I4584="Sí",J4584="Sí"),"Sí","No"))</f>
        <v/>
      </c>
    </row>
    <row r="4585" customFormat="false" ht="15" hidden="false" customHeight="false" outlineLevel="0" collapsed="false">
      <c r="A4585" s="22"/>
      <c r="B4585" s="22"/>
      <c r="C4585" s="23" t="str">
        <f aca="false">IF(A4585="","",IFERROR(buscarx(A4585&amp;B4585,DATA!$E$3:$E$10000&amp;DATA!$B$3:$B$10000,DATA!$M$3:$M$10000),"No encontrado"))</f>
        <v/>
      </c>
      <c r="D4585" s="24" t="str">
        <f aca="false">IF(A4585="","",IFERROR(buscarx(A4585&amp;B4585,DATA!$E$3:$E$10000&amp;DATA!$B$3:$B$10000,DATA!$W$3:$W$10000),"No encontrado"))</f>
        <v/>
      </c>
      <c r="E4585" s="22"/>
      <c r="F4585" s="23" t="str">
        <f aca="false">IF(A4585="","",IFERROR(buscarx(A4585&amp;E4585,DATA!$E$3:$E$10000&amp;DATA!$B$3:$B$10000,DATA!$M$3:$M$10000),"Inactivo"))</f>
        <v/>
      </c>
      <c r="G4585" s="25" t="str">
        <f aca="false">IF(A4585="","",IF(AND(C4585&lt;&gt;"No encontrado",F4585&lt;&gt;"Inactivo"),C4585&amp;" → "&amp;F4585,"Sin transición"))</f>
        <v/>
      </c>
      <c r="H4585" s="23" t="str">
        <f aca="false">IF(A4585="","",IF(D4585="GCIA LINEA SERVICIO DIGITALIDAD Y VENTAS","Chats",IF(OR(D4585="GERENCIA INBOUND LÍNEAS SERVICIO Y VENTA",D4585="GERENCIA INBOUND LINEAS ESPECIALIZADAS"),"Llamadas","Otro")))</f>
        <v/>
      </c>
      <c r="I4585" s="23" t="str">
        <f aca="false">IF(A4585="","",IF(C4585="No encontrado","No","Sí"))</f>
        <v/>
      </c>
      <c r="J4585" s="23" t="str">
        <f aca="false">IF(A4585="","",IF(F4585="Inactivo","No","Sí"))</f>
        <v/>
      </c>
      <c r="K4585" s="23" t="str">
        <f aca="false">IF(A4585="","",IF(AND(I4585="Sí",J4585="Sí"),"Sí","No"))</f>
        <v/>
      </c>
    </row>
    <row r="4586" customFormat="false" ht="15" hidden="false" customHeight="false" outlineLevel="0" collapsed="false">
      <c r="A4586" s="22"/>
      <c r="B4586" s="22"/>
      <c r="C4586" s="26" t="str">
        <f aca="false">IF(A4586="","",IFERROR(buscarx(A4586&amp;B4586,DATA!$E$3:$E$10000&amp;DATA!$B$3:$B$10000,DATA!$M$3:$M$10000),"No encontrado"))</f>
        <v/>
      </c>
      <c r="D4586" s="27" t="str">
        <f aca="false">IF(A4586="","",IFERROR(buscarx(A4586&amp;B4586,DATA!$E$3:$E$10000&amp;DATA!$B$3:$B$10000,DATA!$W$3:$W$10000),"No encontrado"))</f>
        <v/>
      </c>
      <c r="E4586" s="22"/>
      <c r="F4586" s="26" t="str">
        <f aca="false">IF(A4586="","",IFERROR(buscarx(A4586&amp;E4586,DATA!$E$3:$E$10000&amp;DATA!$B$3:$B$10000,DATA!$M$3:$M$10000),"Inactivo"))</f>
        <v/>
      </c>
      <c r="G4586" s="28" t="str">
        <f aca="false">IF(A4586="","",IF(AND(C4586&lt;&gt;"No encontrado",F4586&lt;&gt;"Inactivo"),C4586&amp;" → "&amp;F4586,"Sin transición"))</f>
        <v/>
      </c>
      <c r="H4586" s="26" t="str">
        <f aca="false">IF(A4586="","",IF(D4586="GCIA LINEA SERVICIO DIGITALIDAD Y VENTAS","Chats",IF(OR(D4586="GERENCIA INBOUND LÍNEAS SERVICIO Y VENTA",D4586="GERENCIA INBOUND LINEAS ESPECIALIZADAS"),"Llamadas","Otro")))</f>
        <v/>
      </c>
      <c r="I4586" s="26" t="str">
        <f aca="false">IF(A4586="","",IF(C4586="No encontrado","No","Sí"))</f>
        <v/>
      </c>
      <c r="J4586" s="26" t="str">
        <f aca="false">IF(A4586="","",IF(F4586="Inactivo","No","Sí"))</f>
        <v/>
      </c>
      <c r="K4586" s="26" t="str">
        <f aca="false">IF(A4586="","",IF(AND(I4586="Sí",J4586="Sí"),"Sí","No"))</f>
        <v/>
      </c>
    </row>
    <row r="4587" customFormat="false" ht="15" hidden="false" customHeight="false" outlineLevel="0" collapsed="false">
      <c r="A4587" s="22"/>
      <c r="B4587" s="22"/>
      <c r="C4587" s="23" t="str">
        <f aca="false">IF(A4587="","",IFERROR(buscarx(A4587&amp;B4587,DATA!$E$3:$E$10000&amp;DATA!$B$3:$B$10000,DATA!$M$3:$M$10000),"No encontrado"))</f>
        <v/>
      </c>
      <c r="D4587" s="24" t="str">
        <f aca="false">IF(A4587="","",IFERROR(buscarx(A4587&amp;B4587,DATA!$E$3:$E$10000&amp;DATA!$B$3:$B$10000,DATA!$W$3:$W$10000),"No encontrado"))</f>
        <v/>
      </c>
      <c r="E4587" s="22"/>
      <c r="F4587" s="23" t="str">
        <f aca="false">IF(A4587="","",IFERROR(buscarx(A4587&amp;E4587,DATA!$E$3:$E$10000&amp;DATA!$B$3:$B$10000,DATA!$M$3:$M$10000),"Inactivo"))</f>
        <v/>
      </c>
      <c r="G4587" s="25" t="str">
        <f aca="false">IF(A4587="","",IF(AND(C4587&lt;&gt;"No encontrado",F4587&lt;&gt;"Inactivo"),C4587&amp;" → "&amp;F4587,"Sin transición"))</f>
        <v/>
      </c>
      <c r="H4587" s="23" t="str">
        <f aca="false">IF(A4587="","",IF(D4587="GCIA LINEA SERVICIO DIGITALIDAD Y VENTAS","Chats",IF(OR(D4587="GERENCIA INBOUND LÍNEAS SERVICIO Y VENTA",D4587="GERENCIA INBOUND LINEAS ESPECIALIZADAS"),"Llamadas","Otro")))</f>
        <v/>
      </c>
      <c r="I4587" s="23" t="str">
        <f aca="false">IF(A4587="","",IF(C4587="No encontrado","No","Sí"))</f>
        <v/>
      </c>
      <c r="J4587" s="23" t="str">
        <f aca="false">IF(A4587="","",IF(F4587="Inactivo","No","Sí"))</f>
        <v/>
      </c>
      <c r="K4587" s="23" t="str">
        <f aca="false">IF(A4587="","",IF(AND(I4587="Sí",J4587="Sí"),"Sí","No"))</f>
        <v/>
      </c>
    </row>
    <row r="4588" customFormat="false" ht="15" hidden="false" customHeight="false" outlineLevel="0" collapsed="false">
      <c r="A4588" s="22"/>
      <c r="B4588" s="22"/>
      <c r="C4588" s="26" t="str">
        <f aca="false">IF(A4588="","",IFERROR(buscarx(A4588&amp;B4588,DATA!$E$3:$E$10000&amp;DATA!$B$3:$B$10000,DATA!$M$3:$M$10000),"No encontrado"))</f>
        <v/>
      </c>
      <c r="D4588" s="27" t="str">
        <f aca="false">IF(A4588="","",IFERROR(buscarx(A4588&amp;B4588,DATA!$E$3:$E$10000&amp;DATA!$B$3:$B$10000,DATA!$W$3:$W$10000),"No encontrado"))</f>
        <v/>
      </c>
      <c r="E4588" s="22"/>
      <c r="F4588" s="26" t="str">
        <f aca="false">IF(A4588="","",IFERROR(buscarx(A4588&amp;E4588,DATA!$E$3:$E$10000&amp;DATA!$B$3:$B$10000,DATA!$M$3:$M$10000),"Inactivo"))</f>
        <v/>
      </c>
      <c r="G4588" s="28" t="str">
        <f aca="false">IF(A4588="","",IF(AND(C4588&lt;&gt;"No encontrado",F4588&lt;&gt;"Inactivo"),C4588&amp;" → "&amp;F4588,"Sin transición"))</f>
        <v/>
      </c>
      <c r="H4588" s="26" t="str">
        <f aca="false">IF(A4588="","",IF(D4588="GCIA LINEA SERVICIO DIGITALIDAD Y VENTAS","Chats",IF(OR(D4588="GERENCIA INBOUND LÍNEAS SERVICIO Y VENTA",D4588="GERENCIA INBOUND LINEAS ESPECIALIZADAS"),"Llamadas","Otro")))</f>
        <v/>
      </c>
      <c r="I4588" s="26" t="str">
        <f aca="false">IF(A4588="","",IF(C4588="No encontrado","No","Sí"))</f>
        <v/>
      </c>
      <c r="J4588" s="26" t="str">
        <f aca="false">IF(A4588="","",IF(F4588="Inactivo","No","Sí"))</f>
        <v/>
      </c>
      <c r="K4588" s="26" t="str">
        <f aca="false">IF(A4588="","",IF(AND(I4588="Sí",J4588="Sí"),"Sí","No"))</f>
        <v/>
      </c>
    </row>
    <row r="4589" customFormat="false" ht="15" hidden="false" customHeight="false" outlineLevel="0" collapsed="false">
      <c r="A4589" s="22"/>
      <c r="B4589" s="22"/>
      <c r="C4589" s="23" t="str">
        <f aca="false">IF(A4589="","",IFERROR(buscarx(A4589&amp;B4589,DATA!$E$3:$E$10000&amp;DATA!$B$3:$B$10000,DATA!$M$3:$M$10000),"No encontrado"))</f>
        <v/>
      </c>
      <c r="D4589" s="24" t="str">
        <f aca="false">IF(A4589="","",IFERROR(buscarx(A4589&amp;B4589,DATA!$E$3:$E$10000&amp;DATA!$B$3:$B$10000,DATA!$W$3:$W$10000),"No encontrado"))</f>
        <v/>
      </c>
      <c r="E4589" s="22"/>
      <c r="F4589" s="23" t="str">
        <f aca="false">IF(A4589="","",IFERROR(buscarx(A4589&amp;E4589,DATA!$E$3:$E$10000&amp;DATA!$B$3:$B$10000,DATA!$M$3:$M$10000),"Inactivo"))</f>
        <v/>
      </c>
      <c r="G4589" s="25" t="str">
        <f aca="false">IF(A4589="","",IF(AND(C4589&lt;&gt;"No encontrado",F4589&lt;&gt;"Inactivo"),C4589&amp;" → "&amp;F4589,"Sin transición"))</f>
        <v/>
      </c>
      <c r="H4589" s="23" t="str">
        <f aca="false">IF(A4589="","",IF(D4589="GCIA LINEA SERVICIO DIGITALIDAD Y VENTAS","Chats",IF(OR(D4589="GERENCIA INBOUND LÍNEAS SERVICIO Y VENTA",D4589="GERENCIA INBOUND LINEAS ESPECIALIZADAS"),"Llamadas","Otro")))</f>
        <v/>
      </c>
      <c r="I4589" s="23" t="str">
        <f aca="false">IF(A4589="","",IF(C4589="No encontrado","No","Sí"))</f>
        <v/>
      </c>
      <c r="J4589" s="23" t="str">
        <f aca="false">IF(A4589="","",IF(F4589="Inactivo","No","Sí"))</f>
        <v/>
      </c>
      <c r="K4589" s="23" t="str">
        <f aca="false">IF(A4589="","",IF(AND(I4589="Sí",J4589="Sí"),"Sí","No"))</f>
        <v/>
      </c>
    </row>
    <row r="4590" customFormat="false" ht="15" hidden="false" customHeight="false" outlineLevel="0" collapsed="false">
      <c r="A4590" s="22"/>
      <c r="B4590" s="22"/>
      <c r="C4590" s="26" t="str">
        <f aca="false">IF(A4590="","",IFERROR(buscarx(A4590&amp;B4590,DATA!$E$3:$E$10000&amp;DATA!$B$3:$B$10000,DATA!$M$3:$M$10000),"No encontrado"))</f>
        <v/>
      </c>
      <c r="D4590" s="27" t="str">
        <f aca="false">IF(A4590="","",IFERROR(buscarx(A4590&amp;B4590,DATA!$E$3:$E$10000&amp;DATA!$B$3:$B$10000,DATA!$W$3:$W$10000),"No encontrado"))</f>
        <v/>
      </c>
      <c r="E4590" s="22"/>
      <c r="F4590" s="26" t="str">
        <f aca="false">IF(A4590="","",IFERROR(buscarx(A4590&amp;E4590,DATA!$E$3:$E$10000&amp;DATA!$B$3:$B$10000,DATA!$M$3:$M$10000),"Inactivo"))</f>
        <v/>
      </c>
      <c r="G4590" s="28" t="str">
        <f aca="false">IF(A4590="","",IF(AND(C4590&lt;&gt;"No encontrado",F4590&lt;&gt;"Inactivo"),C4590&amp;" → "&amp;F4590,"Sin transición"))</f>
        <v/>
      </c>
      <c r="H4590" s="26" t="str">
        <f aca="false">IF(A4590="","",IF(D4590="GCIA LINEA SERVICIO DIGITALIDAD Y VENTAS","Chats",IF(OR(D4590="GERENCIA INBOUND LÍNEAS SERVICIO Y VENTA",D4590="GERENCIA INBOUND LINEAS ESPECIALIZADAS"),"Llamadas","Otro")))</f>
        <v/>
      </c>
      <c r="I4590" s="26" t="str">
        <f aca="false">IF(A4590="","",IF(C4590="No encontrado","No","Sí"))</f>
        <v/>
      </c>
      <c r="J4590" s="26" t="str">
        <f aca="false">IF(A4590="","",IF(F4590="Inactivo","No","Sí"))</f>
        <v/>
      </c>
      <c r="K4590" s="26" t="str">
        <f aca="false">IF(A4590="","",IF(AND(I4590="Sí",J4590="Sí"),"Sí","No"))</f>
        <v/>
      </c>
    </row>
    <row r="4591" customFormat="false" ht="15" hidden="false" customHeight="false" outlineLevel="0" collapsed="false">
      <c r="A4591" s="22"/>
      <c r="B4591" s="22"/>
      <c r="C4591" s="23" t="str">
        <f aca="false">IF(A4591="","",IFERROR(buscarx(A4591&amp;B4591,DATA!$E$3:$E$10000&amp;DATA!$B$3:$B$10000,DATA!$M$3:$M$10000),"No encontrado"))</f>
        <v/>
      </c>
      <c r="D4591" s="24" t="str">
        <f aca="false">IF(A4591="","",IFERROR(buscarx(A4591&amp;B4591,DATA!$E$3:$E$10000&amp;DATA!$B$3:$B$10000,DATA!$W$3:$W$10000),"No encontrado"))</f>
        <v/>
      </c>
      <c r="E4591" s="22"/>
      <c r="F4591" s="23" t="str">
        <f aca="false">IF(A4591="","",IFERROR(buscarx(A4591&amp;E4591,DATA!$E$3:$E$10000&amp;DATA!$B$3:$B$10000,DATA!$M$3:$M$10000),"Inactivo"))</f>
        <v/>
      </c>
      <c r="G4591" s="25" t="str">
        <f aca="false">IF(A4591="","",IF(AND(C4591&lt;&gt;"No encontrado",F4591&lt;&gt;"Inactivo"),C4591&amp;" → "&amp;F4591,"Sin transición"))</f>
        <v/>
      </c>
      <c r="H4591" s="23" t="str">
        <f aca="false">IF(A4591="","",IF(D4591="GCIA LINEA SERVICIO DIGITALIDAD Y VENTAS","Chats",IF(OR(D4591="GERENCIA INBOUND LÍNEAS SERVICIO Y VENTA",D4591="GERENCIA INBOUND LINEAS ESPECIALIZADAS"),"Llamadas","Otro")))</f>
        <v/>
      </c>
      <c r="I4591" s="23" t="str">
        <f aca="false">IF(A4591="","",IF(C4591="No encontrado","No","Sí"))</f>
        <v/>
      </c>
      <c r="J4591" s="23" t="str">
        <f aca="false">IF(A4591="","",IF(F4591="Inactivo","No","Sí"))</f>
        <v/>
      </c>
      <c r="K4591" s="23" t="str">
        <f aca="false">IF(A4591="","",IF(AND(I4591="Sí",J4591="Sí"),"Sí","No"))</f>
        <v/>
      </c>
    </row>
    <row r="4592" customFormat="false" ht="15" hidden="false" customHeight="false" outlineLevel="0" collapsed="false">
      <c r="A4592" s="22"/>
      <c r="B4592" s="22"/>
      <c r="C4592" s="26" t="str">
        <f aca="false">IF(A4592="","",IFERROR(buscarx(A4592&amp;B4592,DATA!$E$3:$E$10000&amp;DATA!$B$3:$B$10000,DATA!$M$3:$M$10000),"No encontrado"))</f>
        <v/>
      </c>
      <c r="D4592" s="27" t="str">
        <f aca="false">IF(A4592="","",IFERROR(buscarx(A4592&amp;B4592,DATA!$E$3:$E$10000&amp;DATA!$B$3:$B$10000,DATA!$W$3:$W$10000),"No encontrado"))</f>
        <v/>
      </c>
      <c r="E4592" s="22"/>
      <c r="F4592" s="26" t="str">
        <f aca="false">IF(A4592="","",IFERROR(buscarx(A4592&amp;E4592,DATA!$E$3:$E$10000&amp;DATA!$B$3:$B$10000,DATA!$M$3:$M$10000),"Inactivo"))</f>
        <v/>
      </c>
      <c r="G4592" s="28" t="str">
        <f aca="false">IF(A4592="","",IF(AND(C4592&lt;&gt;"No encontrado",F4592&lt;&gt;"Inactivo"),C4592&amp;" → "&amp;F4592,"Sin transición"))</f>
        <v/>
      </c>
      <c r="H4592" s="26" t="str">
        <f aca="false">IF(A4592="","",IF(D4592="GCIA LINEA SERVICIO DIGITALIDAD Y VENTAS","Chats",IF(OR(D4592="GERENCIA INBOUND LÍNEAS SERVICIO Y VENTA",D4592="GERENCIA INBOUND LINEAS ESPECIALIZADAS"),"Llamadas","Otro")))</f>
        <v/>
      </c>
      <c r="I4592" s="26" t="str">
        <f aca="false">IF(A4592="","",IF(C4592="No encontrado","No","Sí"))</f>
        <v/>
      </c>
      <c r="J4592" s="26" t="str">
        <f aca="false">IF(A4592="","",IF(F4592="Inactivo","No","Sí"))</f>
        <v/>
      </c>
      <c r="K4592" s="26" t="str">
        <f aca="false">IF(A4592="","",IF(AND(I4592="Sí",J4592="Sí"),"Sí","No"))</f>
        <v/>
      </c>
    </row>
    <row r="4593" customFormat="false" ht="15" hidden="false" customHeight="false" outlineLevel="0" collapsed="false">
      <c r="A4593" s="22"/>
      <c r="B4593" s="22"/>
      <c r="C4593" s="23" t="str">
        <f aca="false">IF(A4593="","",IFERROR(buscarx(A4593&amp;B4593,DATA!$E$3:$E$10000&amp;DATA!$B$3:$B$10000,DATA!$M$3:$M$10000),"No encontrado"))</f>
        <v/>
      </c>
      <c r="D4593" s="24" t="str">
        <f aca="false">IF(A4593="","",IFERROR(buscarx(A4593&amp;B4593,DATA!$E$3:$E$10000&amp;DATA!$B$3:$B$10000,DATA!$W$3:$W$10000),"No encontrado"))</f>
        <v/>
      </c>
      <c r="E4593" s="22"/>
      <c r="F4593" s="23" t="str">
        <f aca="false">IF(A4593="","",IFERROR(buscarx(A4593&amp;E4593,DATA!$E$3:$E$10000&amp;DATA!$B$3:$B$10000,DATA!$M$3:$M$10000),"Inactivo"))</f>
        <v/>
      </c>
      <c r="G4593" s="25" t="str">
        <f aca="false">IF(A4593="","",IF(AND(C4593&lt;&gt;"No encontrado",F4593&lt;&gt;"Inactivo"),C4593&amp;" → "&amp;F4593,"Sin transición"))</f>
        <v/>
      </c>
      <c r="H4593" s="23" t="str">
        <f aca="false">IF(A4593="","",IF(D4593="GCIA LINEA SERVICIO DIGITALIDAD Y VENTAS","Chats",IF(OR(D4593="GERENCIA INBOUND LÍNEAS SERVICIO Y VENTA",D4593="GERENCIA INBOUND LINEAS ESPECIALIZADAS"),"Llamadas","Otro")))</f>
        <v/>
      </c>
      <c r="I4593" s="23" t="str">
        <f aca="false">IF(A4593="","",IF(C4593="No encontrado","No","Sí"))</f>
        <v/>
      </c>
      <c r="J4593" s="23" t="str">
        <f aca="false">IF(A4593="","",IF(F4593="Inactivo","No","Sí"))</f>
        <v/>
      </c>
      <c r="K4593" s="23" t="str">
        <f aca="false">IF(A4593="","",IF(AND(I4593="Sí",J4593="Sí"),"Sí","No"))</f>
        <v/>
      </c>
    </row>
    <row r="4594" customFormat="false" ht="15" hidden="false" customHeight="false" outlineLevel="0" collapsed="false">
      <c r="A4594" s="22"/>
      <c r="B4594" s="22"/>
      <c r="C4594" s="26" t="str">
        <f aca="false">IF(A4594="","",IFERROR(buscarx(A4594&amp;B4594,DATA!$E$3:$E$10000&amp;DATA!$B$3:$B$10000,DATA!$M$3:$M$10000),"No encontrado"))</f>
        <v/>
      </c>
      <c r="D4594" s="27" t="str">
        <f aca="false">IF(A4594="","",IFERROR(buscarx(A4594&amp;B4594,DATA!$E$3:$E$10000&amp;DATA!$B$3:$B$10000,DATA!$W$3:$W$10000),"No encontrado"))</f>
        <v/>
      </c>
      <c r="E4594" s="22"/>
      <c r="F4594" s="26" t="str">
        <f aca="false">IF(A4594="","",IFERROR(buscarx(A4594&amp;E4594,DATA!$E$3:$E$10000&amp;DATA!$B$3:$B$10000,DATA!$M$3:$M$10000),"Inactivo"))</f>
        <v/>
      </c>
      <c r="G4594" s="28" t="str">
        <f aca="false">IF(A4594="","",IF(AND(C4594&lt;&gt;"No encontrado",F4594&lt;&gt;"Inactivo"),C4594&amp;" → "&amp;F4594,"Sin transición"))</f>
        <v/>
      </c>
      <c r="H4594" s="26" t="str">
        <f aca="false">IF(A4594="","",IF(D4594="GCIA LINEA SERVICIO DIGITALIDAD Y VENTAS","Chats",IF(OR(D4594="GERENCIA INBOUND LÍNEAS SERVICIO Y VENTA",D4594="GERENCIA INBOUND LINEAS ESPECIALIZADAS"),"Llamadas","Otro")))</f>
        <v/>
      </c>
      <c r="I4594" s="26" t="str">
        <f aca="false">IF(A4594="","",IF(C4594="No encontrado","No","Sí"))</f>
        <v/>
      </c>
      <c r="J4594" s="26" t="str">
        <f aca="false">IF(A4594="","",IF(F4594="Inactivo","No","Sí"))</f>
        <v/>
      </c>
      <c r="K4594" s="26" t="str">
        <f aca="false">IF(A4594="","",IF(AND(I4594="Sí",J4594="Sí"),"Sí","No"))</f>
        <v/>
      </c>
    </row>
    <row r="4595" customFormat="false" ht="15" hidden="false" customHeight="false" outlineLevel="0" collapsed="false">
      <c r="A4595" s="22"/>
      <c r="B4595" s="22"/>
      <c r="C4595" s="23" t="str">
        <f aca="false">IF(A4595="","",IFERROR(buscarx(A4595&amp;B4595,DATA!$E$3:$E$10000&amp;DATA!$B$3:$B$10000,DATA!$M$3:$M$10000),"No encontrado"))</f>
        <v/>
      </c>
      <c r="D4595" s="24" t="str">
        <f aca="false">IF(A4595="","",IFERROR(buscarx(A4595&amp;B4595,DATA!$E$3:$E$10000&amp;DATA!$B$3:$B$10000,DATA!$W$3:$W$10000),"No encontrado"))</f>
        <v/>
      </c>
      <c r="E4595" s="22"/>
      <c r="F4595" s="23" t="str">
        <f aca="false">IF(A4595="","",IFERROR(buscarx(A4595&amp;E4595,DATA!$E$3:$E$10000&amp;DATA!$B$3:$B$10000,DATA!$M$3:$M$10000),"Inactivo"))</f>
        <v/>
      </c>
      <c r="G4595" s="25" t="str">
        <f aca="false">IF(A4595="","",IF(AND(C4595&lt;&gt;"No encontrado",F4595&lt;&gt;"Inactivo"),C4595&amp;" → "&amp;F4595,"Sin transición"))</f>
        <v/>
      </c>
      <c r="H4595" s="23" t="str">
        <f aca="false">IF(A4595="","",IF(D4595="GCIA LINEA SERVICIO DIGITALIDAD Y VENTAS","Chats",IF(OR(D4595="GERENCIA INBOUND LÍNEAS SERVICIO Y VENTA",D4595="GERENCIA INBOUND LINEAS ESPECIALIZADAS"),"Llamadas","Otro")))</f>
        <v/>
      </c>
      <c r="I4595" s="23" t="str">
        <f aca="false">IF(A4595="","",IF(C4595="No encontrado","No","Sí"))</f>
        <v/>
      </c>
      <c r="J4595" s="23" t="str">
        <f aca="false">IF(A4595="","",IF(F4595="Inactivo","No","Sí"))</f>
        <v/>
      </c>
      <c r="K4595" s="23" t="str">
        <f aca="false">IF(A4595="","",IF(AND(I4595="Sí",J4595="Sí"),"Sí","No"))</f>
        <v/>
      </c>
    </row>
    <row r="4596" customFormat="false" ht="15" hidden="false" customHeight="false" outlineLevel="0" collapsed="false">
      <c r="A4596" s="22"/>
      <c r="B4596" s="22"/>
      <c r="C4596" s="26" t="str">
        <f aca="false">IF(A4596="","",IFERROR(buscarx(A4596&amp;B4596,DATA!$E$3:$E$10000&amp;DATA!$B$3:$B$10000,DATA!$M$3:$M$10000),"No encontrado"))</f>
        <v/>
      </c>
      <c r="D4596" s="27" t="str">
        <f aca="false">IF(A4596="","",IFERROR(buscarx(A4596&amp;B4596,DATA!$E$3:$E$10000&amp;DATA!$B$3:$B$10000,DATA!$W$3:$W$10000),"No encontrado"))</f>
        <v/>
      </c>
      <c r="E4596" s="22"/>
      <c r="F4596" s="26" t="str">
        <f aca="false">IF(A4596="","",IFERROR(buscarx(A4596&amp;E4596,DATA!$E$3:$E$10000&amp;DATA!$B$3:$B$10000,DATA!$M$3:$M$10000),"Inactivo"))</f>
        <v/>
      </c>
      <c r="G4596" s="28" t="str">
        <f aca="false">IF(A4596="","",IF(AND(C4596&lt;&gt;"No encontrado",F4596&lt;&gt;"Inactivo"),C4596&amp;" → "&amp;F4596,"Sin transición"))</f>
        <v/>
      </c>
      <c r="H4596" s="26" t="str">
        <f aca="false">IF(A4596="","",IF(D4596="GCIA LINEA SERVICIO DIGITALIDAD Y VENTAS","Chats",IF(OR(D4596="GERENCIA INBOUND LÍNEAS SERVICIO Y VENTA",D4596="GERENCIA INBOUND LINEAS ESPECIALIZADAS"),"Llamadas","Otro")))</f>
        <v/>
      </c>
      <c r="I4596" s="26" t="str">
        <f aca="false">IF(A4596="","",IF(C4596="No encontrado","No","Sí"))</f>
        <v/>
      </c>
      <c r="J4596" s="26" t="str">
        <f aca="false">IF(A4596="","",IF(F4596="Inactivo","No","Sí"))</f>
        <v/>
      </c>
      <c r="K4596" s="26" t="str">
        <f aca="false">IF(A4596="","",IF(AND(I4596="Sí",J4596="Sí"),"Sí","No"))</f>
        <v/>
      </c>
    </row>
    <row r="4597" customFormat="false" ht="15" hidden="false" customHeight="false" outlineLevel="0" collapsed="false">
      <c r="A4597" s="22"/>
      <c r="B4597" s="22"/>
      <c r="C4597" s="23" t="str">
        <f aca="false">IF(A4597="","",IFERROR(buscarx(A4597&amp;B4597,DATA!$E$3:$E$10000&amp;DATA!$B$3:$B$10000,DATA!$M$3:$M$10000),"No encontrado"))</f>
        <v/>
      </c>
      <c r="D4597" s="24" t="str">
        <f aca="false">IF(A4597="","",IFERROR(buscarx(A4597&amp;B4597,DATA!$E$3:$E$10000&amp;DATA!$B$3:$B$10000,DATA!$W$3:$W$10000),"No encontrado"))</f>
        <v/>
      </c>
      <c r="E4597" s="22"/>
      <c r="F4597" s="23" t="str">
        <f aca="false">IF(A4597="","",IFERROR(buscarx(A4597&amp;E4597,DATA!$E$3:$E$10000&amp;DATA!$B$3:$B$10000,DATA!$M$3:$M$10000),"Inactivo"))</f>
        <v/>
      </c>
      <c r="G4597" s="25" t="str">
        <f aca="false">IF(A4597="","",IF(AND(C4597&lt;&gt;"No encontrado",F4597&lt;&gt;"Inactivo"),C4597&amp;" → "&amp;F4597,"Sin transición"))</f>
        <v/>
      </c>
      <c r="H4597" s="23" t="str">
        <f aca="false">IF(A4597="","",IF(D4597="GCIA LINEA SERVICIO DIGITALIDAD Y VENTAS","Chats",IF(OR(D4597="GERENCIA INBOUND LÍNEAS SERVICIO Y VENTA",D4597="GERENCIA INBOUND LINEAS ESPECIALIZADAS"),"Llamadas","Otro")))</f>
        <v/>
      </c>
      <c r="I4597" s="23" t="str">
        <f aca="false">IF(A4597="","",IF(C4597="No encontrado","No","Sí"))</f>
        <v/>
      </c>
      <c r="J4597" s="23" t="str">
        <f aca="false">IF(A4597="","",IF(F4597="Inactivo","No","Sí"))</f>
        <v/>
      </c>
      <c r="K4597" s="23" t="str">
        <f aca="false">IF(A4597="","",IF(AND(I4597="Sí",J4597="Sí"),"Sí","No"))</f>
        <v/>
      </c>
    </row>
    <row r="4598" customFormat="false" ht="15" hidden="false" customHeight="false" outlineLevel="0" collapsed="false">
      <c r="A4598" s="22"/>
      <c r="B4598" s="22"/>
      <c r="C4598" s="26" t="str">
        <f aca="false">IF(A4598="","",IFERROR(buscarx(A4598&amp;B4598,DATA!$E$3:$E$10000&amp;DATA!$B$3:$B$10000,DATA!$M$3:$M$10000),"No encontrado"))</f>
        <v/>
      </c>
      <c r="D4598" s="27" t="str">
        <f aca="false">IF(A4598="","",IFERROR(buscarx(A4598&amp;B4598,DATA!$E$3:$E$10000&amp;DATA!$B$3:$B$10000,DATA!$W$3:$W$10000),"No encontrado"))</f>
        <v/>
      </c>
      <c r="E4598" s="22"/>
      <c r="F4598" s="26" t="str">
        <f aca="false">IF(A4598="","",IFERROR(buscarx(A4598&amp;E4598,DATA!$E$3:$E$10000&amp;DATA!$B$3:$B$10000,DATA!$M$3:$M$10000),"Inactivo"))</f>
        <v/>
      </c>
      <c r="G4598" s="28" t="str">
        <f aca="false">IF(A4598="","",IF(AND(C4598&lt;&gt;"No encontrado",F4598&lt;&gt;"Inactivo"),C4598&amp;" → "&amp;F4598,"Sin transición"))</f>
        <v/>
      </c>
      <c r="H4598" s="26" t="str">
        <f aca="false">IF(A4598="","",IF(D4598="GCIA LINEA SERVICIO DIGITALIDAD Y VENTAS","Chats",IF(OR(D4598="GERENCIA INBOUND LÍNEAS SERVICIO Y VENTA",D4598="GERENCIA INBOUND LINEAS ESPECIALIZADAS"),"Llamadas","Otro")))</f>
        <v/>
      </c>
      <c r="I4598" s="26" t="str">
        <f aca="false">IF(A4598="","",IF(C4598="No encontrado","No","Sí"))</f>
        <v/>
      </c>
      <c r="J4598" s="26" t="str">
        <f aca="false">IF(A4598="","",IF(F4598="Inactivo","No","Sí"))</f>
        <v/>
      </c>
      <c r="K4598" s="26" t="str">
        <f aca="false">IF(A4598="","",IF(AND(I4598="Sí",J4598="Sí"),"Sí","No"))</f>
        <v/>
      </c>
    </row>
    <row r="4599" customFormat="false" ht="15" hidden="false" customHeight="false" outlineLevel="0" collapsed="false">
      <c r="A4599" s="22"/>
      <c r="B4599" s="22"/>
      <c r="C4599" s="23" t="str">
        <f aca="false">IF(A4599="","",IFERROR(buscarx(A4599&amp;B4599,DATA!$E$3:$E$10000&amp;DATA!$B$3:$B$10000,DATA!$M$3:$M$10000),"No encontrado"))</f>
        <v/>
      </c>
      <c r="D4599" s="24" t="str">
        <f aca="false">IF(A4599="","",IFERROR(buscarx(A4599&amp;B4599,DATA!$E$3:$E$10000&amp;DATA!$B$3:$B$10000,DATA!$W$3:$W$10000),"No encontrado"))</f>
        <v/>
      </c>
      <c r="E4599" s="22"/>
      <c r="F4599" s="23" t="str">
        <f aca="false">IF(A4599="","",IFERROR(buscarx(A4599&amp;E4599,DATA!$E$3:$E$10000&amp;DATA!$B$3:$B$10000,DATA!$M$3:$M$10000),"Inactivo"))</f>
        <v/>
      </c>
      <c r="G4599" s="25" t="str">
        <f aca="false">IF(A4599="","",IF(AND(C4599&lt;&gt;"No encontrado",F4599&lt;&gt;"Inactivo"),C4599&amp;" → "&amp;F4599,"Sin transición"))</f>
        <v/>
      </c>
      <c r="H4599" s="23" t="str">
        <f aca="false">IF(A4599="","",IF(D4599="GCIA LINEA SERVICIO DIGITALIDAD Y VENTAS","Chats",IF(OR(D4599="GERENCIA INBOUND LÍNEAS SERVICIO Y VENTA",D4599="GERENCIA INBOUND LINEAS ESPECIALIZADAS"),"Llamadas","Otro")))</f>
        <v/>
      </c>
      <c r="I4599" s="23" t="str">
        <f aca="false">IF(A4599="","",IF(C4599="No encontrado","No","Sí"))</f>
        <v/>
      </c>
      <c r="J4599" s="23" t="str">
        <f aca="false">IF(A4599="","",IF(F4599="Inactivo","No","Sí"))</f>
        <v/>
      </c>
      <c r="K4599" s="23" t="str">
        <f aca="false">IF(A4599="","",IF(AND(I4599="Sí",J4599="Sí"),"Sí","No"))</f>
        <v/>
      </c>
    </row>
    <row r="4600" customFormat="false" ht="15" hidden="false" customHeight="false" outlineLevel="0" collapsed="false">
      <c r="A4600" s="22"/>
      <c r="B4600" s="22"/>
      <c r="C4600" s="26" t="str">
        <f aca="false">IF(A4600="","",IFERROR(buscarx(A4600&amp;B4600,DATA!$E$3:$E$10000&amp;DATA!$B$3:$B$10000,DATA!$M$3:$M$10000),"No encontrado"))</f>
        <v/>
      </c>
      <c r="D4600" s="27" t="str">
        <f aca="false">IF(A4600="","",IFERROR(buscarx(A4600&amp;B4600,DATA!$E$3:$E$10000&amp;DATA!$B$3:$B$10000,DATA!$W$3:$W$10000),"No encontrado"))</f>
        <v/>
      </c>
      <c r="E4600" s="22"/>
      <c r="F4600" s="26" t="str">
        <f aca="false">IF(A4600="","",IFERROR(buscarx(A4600&amp;E4600,DATA!$E$3:$E$10000&amp;DATA!$B$3:$B$10000,DATA!$M$3:$M$10000),"Inactivo"))</f>
        <v/>
      </c>
      <c r="G4600" s="28" t="str">
        <f aca="false">IF(A4600="","",IF(AND(C4600&lt;&gt;"No encontrado",F4600&lt;&gt;"Inactivo"),C4600&amp;" → "&amp;F4600,"Sin transición"))</f>
        <v/>
      </c>
      <c r="H4600" s="26" t="str">
        <f aca="false">IF(A4600="","",IF(D4600="GCIA LINEA SERVICIO DIGITALIDAD Y VENTAS","Chats",IF(OR(D4600="GERENCIA INBOUND LÍNEAS SERVICIO Y VENTA",D4600="GERENCIA INBOUND LINEAS ESPECIALIZADAS"),"Llamadas","Otro")))</f>
        <v/>
      </c>
      <c r="I4600" s="26" t="str">
        <f aca="false">IF(A4600="","",IF(C4600="No encontrado","No","Sí"))</f>
        <v/>
      </c>
      <c r="J4600" s="26" t="str">
        <f aca="false">IF(A4600="","",IF(F4600="Inactivo","No","Sí"))</f>
        <v/>
      </c>
      <c r="K4600" s="26" t="str">
        <f aca="false">IF(A4600="","",IF(AND(I4600="Sí",J4600="Sí"),"Sí","No"))</f>
        <v/>
      </c>
    </row>
    <row r="4601" customFormat="false" ht="15" hidden="false" customHeight="false" outlineLevel="0" collapsed="false">
      <c r="A4601" s="22"/>
      <c r="B4601" s="22"/>
      <c r="C4601" s="23" t="str">
        <f aca="false">IF(A4601="","",IFERROR(buscarx(A4601&amp;B4601,DATA!$E$3:$E$10000&amp;DATA!$B$3:$B$10000,DATA!$M$3:$M$10000),"No encontrado"))</f>
        <v/>
      </c>
      <c r="D4601" s="24" t="str">
        <f aca="false">IF(A4601="","",IFERROR(buscarx(A4601&amp;B4601,DATA!$E$3:$E$10000&amp;DATA!$B$3:$B$10000,DATA!$W$3:$W$10000),"No encontrado"))</f>
        <v/>
      </c>
      <c r="E4601" s="22"/>
      <c r="F4601" s="23" t="str">
        <f aca="false">IF(A4601="","",IFERROR(buscarx(A4601&amp;E4601,DATA!$E$3:$E$10000&amp;DATA!$B$3:$B$10000,DATA!$M$3:$M$10000),"Inactivo"))</f>
        <v/>
      </c>
      <c r="G4601" s="25" t="str">
        <f aca="false">IF(A4601="","",IF(AND(C4601&lt;&gt;"No encontrado",F4601&lt;&gt;"Inactivo"),C4601&amp;" → "&amp;F4601,"Sin transición"))</f>
        <v/>
      </c>
      <c r="H4601" s="23" t="str">
        <f aca="false">IF(A4601="","",IF(D4601="GCIA LINEA SERVICIO DIGITALIDAD Y VENTAS","Chats",IF(OR(D4601="GERENCIA INBOUND LÍNEAS SERVICIO Y VENTA",D4601="GERENCIA INBOUND LINEAS ESPECIALIZADAS"),"Llamadas","Otro")))</f>
        <v/>
      </c>
      <c r="I4601" s="23" t="str">
        <f aca="false">IF(A4601="","",IF(C4601="No encontrado","No","Sí"))</f>
        <v/>
      </c>
      <c r="J4601" s="23" t="str">
        <f aca="false">IF(A4601="","",IF(F4601="Inactivo","No","Sí"))</f>
        <v/>
      </c>
      <c r="K4601" s="23" t="str">
        <f aca="false">IF(A4601="","",IF(AND(I4601="Sí",J4601="Sí"),"Sí","No"))</f>
        <v/>
      </c>
    </row>
    <row r="4602" customFormat="false" ht="15" hidden="false" customHeight="false" outlineLevel="0" collapsed="false">
      <c r="A4602" s="22"/>
      <c r="B4602" s="22"/>
      <c r="C4602" s="26" t="str">
        <f aca="false">IF(A4602="","",IFERROR(buscarx(A4602&amp;B4602,DATA!$E$3:$E$10000&amp;DATA!$B$3:$B$10000,DATA!$M$3:$M$10000),"No encontrado"))</f>
        <v/>
      </c>
      <c r="D4602" s="27" t="str">
        <f aca="false">IF(A4602="","",IFERROR(buscarx(A4602&amp;B4602,DATA!$E$3:$E$10000&amp;DATA!$B$3:$B$10000,DATA!$W$3:$W$10000),"No encontrado"))</f>
        <v/>
      </c>
      <c r="E4602" s="22"/>
      <c r="F4602" s="26" t="str">
        <f aca="false">IF(A4602="","",IFERROR(buscarx(A4602&amp;E4602,DATA!$E$3:$E$10000&amp;DATA!$B$3:$B$10000,DATA!$M$3:$M$10000),"Inactivo"))</f>
        <v/>
      </c>
      <c r="G4602" s="28" t="str">
        <f aca="false">IF(A4602="","",IF(AND(C4602&lt;&gt;"No encontrado",F4602&lt;&gt;"Inactivo"),C4602&amp;" → "&amp;F4602,"Sin transición"))</f>
        <v/>
      </c>
      <c r="H4602" s="26" t="str">
        <f aca="false">IF(A4602="","",IF(D4602="GCIA LINEA SERVICIO DIGITALIDAD Y VENTAS","Chats",IF(OR(D4602="GERENCIA INBOUND LÍNEAS SERVICIO Y VENTA",D4602="GERENCIA INBOUND LINEAS ESPECIALIZADAS"),"Llamadas","Otro")))</f>
        <v/>
      </c>
      <c r="I4602" s="26" t="str">
        <f aca="false">IF(A4602="","",IF(C4602="No encontrado","No","Sí"))</f>
        <v/>
      </c>
      <c r="J4602" s="26" t="str">
        <f aca="false">IF(A4602="","",IF(F4602="Inactivo","No","Sí"))</f>
        <v/>
      </c>
      <c r="K4602" s="26" t="str">
        <f aca="false">IF(A4602="","",IF(AND(I4602="Sí",J4602="Sí"),"Sí","No"))</f>
        <v/>
      </c>
    </row>
    <row r="4603" customFormat="false" ht="15" hidden="false" customHeight="false" outlineLevel="0" collapsed="false">
      <c r="A4603" s="22"/>
      <c r="B4603" s="22"/>
      <c r="C4603" s="23" t="str">
        <f aca="false">IF(A4603="","",IFERROR(buscarx(A4603&amp;B4603,DATA!$E$3:$E$10000&amp;DATA!$B$3:$B$10000,DATA!$M$3:$M$10000),"No encontrado"))</f>
        <v/>
      </c>
      <c r="D4603" s="24" t="str">
        <f aca="false">IF(A4603="","",IFERROR(buscarx(A4603&amp;B4603,DATA!$E$3:$E$10000&amp;DATA!$B$3:$B$10000,DATA!$W$3:$W$10000),"No encontrado"))</f>
        <v/>
      </c>
      <c r="E4603" s="22"/>
      <c r="F4603" s="23" t="str">
        <f aca="false">IF(A4603="","",IFERROR(buscarx(A4603&amp;E4603,DATA!$E$3:$E$10000&amp;DATA!$B$3:$B$10000,DATA!$M$3:$M$10000),"Inactivo"))</f>
        <v/>
      </c>
      <c r="G4603" s="25" t="str">
        <f aca="false">IF(A4603="","",IF(AND(C4603&lt;&gt;"No encontrado",F4603&lt;&gt;"Inactivo"),C4603&amp;" → "&amp;F4603,"Sin transición"))</f>
        <v/>
      </c>
      <c r="H4603" s="23" t="str">
        <f aca="false">IF(A4603="","",IF(D4603="GCIA LINEA SERVICIO DIGITALIDAD Y VENTAS","Chats",IF(OR(D4603="GERENCIA INBOUND LÍNEAS SERVICIO Y VENTA",D4603="GERENCIA INBOUND LINEAS ESPECIALIZADAS"),"Llamadas","Otro")))</f>
        <v/>
      </c>
      <c r="I4603" s="23" t="str">
        <f aca="false">IF(A4603="","",IF(C4603="No encontrado","No","Sí"))</f>
        <v/>
      </c>
      <c r="J4603" s="23" t="str">
        <f aca="false">IF(A4603="","",IF(F4603="Inactivo","No","Sí"))</f>
        <v/>
      </c>
      <c r="K4603" s="23" t="str">
        <f aca="false">IF(A4603="","",IF(AND(I4603="Sí",J4603="Sí"),"Sí","No"))</f>
        <v/>
      </c>
    </row>
    <row r="4604" customFormat="false" ht="15" hidden="false" customHeight="false" outlineLevel="0" collapsed="false">
      <c r="A4604" s="22"/>
      <c r="B4604" s="22"/>
      <c r="C4604" s="26" t="str">
        <f aca="false">IF(A4604="","",IFERROR(buscarx(A4604&amp;B4604,DATA!$E$3:$E$10000&amp;DATA!$B$3:$B$10000,DATA!$M$3:$M$10000),"No encontrado"))</f>
        <v/>
      </c>
      <c r="D4604" s="27" t="str">
        <f aca="false">IF(A4604="","",IFERROR(buscarx(A4604&amp;B4604,DATA!$E$3:$E$10000&amp;DATA!$B$3:$B$10000,DATA!$W$3:$W$10000),"No encontrado"))</f>
        <v/>
      </c>
      <c r="E4604" s="22"/>
      <c r="F4604" s="26" t="str">
        <f aca="false">IF(A4604="","",IFERROR(buscarx(A4604&amp;E4604,DATA!$E$3:$E$10000&amp;DATA!$B$3:$B$10000,DATA!$M$3:$M$10000),"Inactivo"))</f>
        <v/>
      </c>
      <c r="G4604" s="28" t="str">
        <f aca="false">IF(A4604="","",IF(AND(C4604&lt;&gt;"No encontrado",F4604&lt;&gt;"Inactivo"),C4604&amp;" → "&amp;F4604,"Sin transición"))</f>
        <v/>
      </c>
      <c r="H4604" s="26" t="str">
        <f aca="false">IF(A4604="","",IF(D4604="GCIA LINEA SERVICIO DIGITALIDAD Y VENTAS","Chats",IF(OR(D4604="GERENCIA INBOUND LÍNEAS SERVICIO Y VENTA",D4604="GERENCIA INBOUND LINEAS ESPECIALIZADAS"),"Llamadas","Otro")))</f>
        <v/>
      </c>
      <c r="I4604" s="26" t="str">
        <f aca="false">IF(A4604="","",IF(C4604="No encontrado","No","Sí"))</f>
        <v/>
      </c>
      <c r="J4604" s="26" t="str">
        <f aca="false">IF(A4604="","",IF(F4604="Inactivo","No","Sí"))</f>
        <v/>
      </c>
      <c r="K4604" s="26" t="str">
        <f aca="false">IF(A4604="","",IF(AND(I4604="Sí",J4604="Sí"),"Sí","No"))</f>
        <v/>
      </c>
    </row>
    <row r="4605" customFormat="false" ht="15" hidden="false" customHeight="false" outlineLevel="0" collapsed="false">
      <c r="A4605" s="22"/>
      <c r="B4605" s="22"/>
      <c r="C4605" s="23" t="str">
        <f aca="false">IF(A4605="","",IFERROR(buscarx(A4605&amp;B4605,DATA!$E$3:$E$10000&amp;DATA!$B$3:$B$10000,DATA!$M$3:$M$10000),"No encontrado"))</f>
        <v/>
      </c>
      <c r="D4605" s="24" t="str">
        <f aca="false">IF(A4605="","",IFERROR(buscarx(A4605&amp;B4605,DATA!$E$3:$E$10000&amp;DATA!$B$3:$B$10000,DATA!$W$3:$W$10000),"No encontrado"))</f>
        <v/>
      </c>
      <c r="E4605" s="22"/>
      <c r="F4605" s="23" t="str">
        <f aca="false">IF(A4605="","",IFERROR(buscarx(A4605&amp;E4605,DATA!$E$3:$E$10000&amp;DATA!$B$3:$B$10000,DATA!$M$3:$M$10000),"Inactivo"))</f>
        <v/>
      </c>
      <c r="G4605" s="25" t="str">
        <f aca="false">IF(A4605="","",IF(AND(C4605&lt;&gt;"No encontrado",F4605&lt;&gt;"Inactivo"),C4605&amp;" → "&amp;F4605,"Sin transición"))</f>
        <v/>
      </c>
      <c r="H4605" s="23" t="str">
        <f aca="false">IF(A4605="","",IF(D4605="GCIA LINEA SERVICIO DIGITALIDAD Y VENTAS","Chats",IF(OR(D4605="GERENCIA INBOUND LÍNEAS SERVICIO Y VENTA",D4605="GERENCIA INBOUND LINEAS ESPECIALIZADAS"),"Llamadas","Otro")))</f>
        <v/>
      </c>
      <c r="I4605" s="23" t="str">
        <f aca="false">IF(A4605="","",IF(C4605="No encontrado","No","Sí"))</f>
        <v/>
      </c>
      <c r="J4605" s="23" t="str">
        <f aca="false">IF(A4605="","",IF(F4605="Inactivo","No","Sí"))</f>
        <v/>
      </c>
      <c r="K4605" s="23" t="str">
        <f aca="false">IF(A4605="","",IF(AND(I4605="Sí",J4605="Sí"),"Sí","No"))</f>
        <v/>
      </c>
    </row>
    <row r="4606" customFormat="false" ht="15" hidden="false" customHeight="false" outlineLevel="0" collapsed="false">
      <c r="A4606" s="22"/>
      <c r="B4606" s="22"/>
      <c r="C4606" s="26" t="str">
        <f aca="false">IF(A4606="","",IFERROR(buscarx(A4606&amp;B4606,DATA!$E$3:$E$10000&amp;DATA!$B$3:$B$10000,DATA!$M$3:$M$10000),"No encontrado"))</f>
        <v/>
      </c>
      <c r="D4606" s="27" t="str">
        <f aca="false">IF(A4606="","",IFERROR(buscarx(A4606&amp;B4606,DATA!$E$3:$E$10000&amp;DATA!$B$3:$B$10000,DATA!$W$3:$W$10000),"No encontrado"))</f>
        <v/>
      </c>
      <c r="E4606" s="22"/>
      <c r="F4606" s="26" t="str">
        <f aca="false">IF(A4606="","",IFERROR(buscarx(A4606&amp;E4606,DATA!$E$3:$E$10000&amp;DATA!$B$3:$B$10000,DATA!$M$3:$M$10000),"Inactivo"))</f>
        <v/>
      </c>
      <c r="G4606" s="28" t="str">
        <f aca="false">IF(A4606="","",IF(AND(C4606&lt;&gt;"No encontrado",F4606&lt;&gt;"Inactivo"),C4606&amp;" → "&amp;F4606,"Sin transición"))</f>
        <v/>
      </c>
      <c r="H4606" s="26" t="str">
        <f aca="false">IF(A4606="","",IF(D4606="GCIA LINEA SERVICIO DIGITALIDAD Y VENTAS","Chats",IF(OR(D4606="GERENCIA INBOUND LÍNEAS SERVICIO Y VENTA",D4606="GERENCIA INBOUND LINEAS ESPECIALIZADAS"),"Llamadas","Otro")))</f>
        <v/>
      </c>
      <c r="I4606" s="26" t="str">
        <f aca="false">IF(A4606="","",IF(C4606="No encontrado","No","Sí"))</f>
        <v/>
      </c>
      <c r="J4606" s="26" t="str">
        <f aca="false">IF(A4606="","",IF(F4606="Inactivo","No","Sí"))</f>
        <v/>
      </c>
      <c r="K4606" s="26" t="str">
        <f aca="false">IF(A4606="","",IF(AND(I4606="Sí",J4606="Sí"),"Sí","No"))</f>
        <v/>
      </c>
    </row>
    <row r="4607" customFormat="false" ht="15" hidden="false" customHeight="false" outlineLevel="0" collapsed="false">
      <c r="A4607" s="22"/>
      <c r="B4607" s="22"/>
      <c r="C4607" s="23" t="str">
        <f aca="false">IF(A4607="","",IFERROR(buscarx(A4607&amp;B4607,DATA!$E$3:$E$10000&amp;DATA!$B$3:$B$10000,DATA!$M$3:$M$10000),"No encontrado"))</f>
        <v/>
      </c>
      <c r="D4607" s="24" t="str">
        <f aca="false">IF(A4607="","",IFERROR(buscarx(A4607&amp;B4607,DATA!$E$3:$E$10000&amp;DATA!$B$3:$B$10000,DATA!$W$3:$W$10000),"No encontrado"))</f>
        <v/>
      </c>
      <c r="E4607" s="22"/>
      <c r="F4607" s="23" t="str">
        <f aca="false">IF(A4607="","",IFERROR(buscarx(A4607&amp;E4607,DATA!$E$3:$E$10000&amp;DATA!$B$3:$B$10000,DATA!$M$3:$M$10000),"Inactivo"))</f>
        <v/>
      </c>
      <c r="G4607" s="25" t="str">
        <f aca="false">IF(A4607="","",IF(AND(C4607&lt;&gt;"No encontrado",F4607&lt;&gt;"Inactivo"),C4607&amp;" → "&amp;F4607,"Sin transición"))</f>
        <v/>
      </c>
      <c r="H4607" s="23" t="str">
        <f aca="false">IF(A4607="","",IF(D4607="GCIA LINEA SERVICIO DIGITALIDAD Y VENTAS","Chats",IF(OR(D4607="GERENCIA INBOUND LÍNEAS SERVICIO Y VENTA",D4607="GERENCIA INBOUND LINEAS ESPECIALIZADAS"),"Llamadas","Otro")))</f>
        <v/>
      </c>
      <c r="I4607" s="23" t="str">
        <f aca="false">IF(A4607="","",IF(C4607="No encontrado","No","Sí"))</f>
        <v/>
      </c>
      <c r="J4607" s="23" t="str">
        <f aca="false">IF(A4607="","",IF(F4607="Inactivo","No","Sí"))</f>
        <v/>
      </c>
      <c r="K4607" s="23" t="str">
        <f aca="false">IF(A4607="","",IF(AND(I4607="Sí",J4607="Sí"),"Sí","No"))</f>
        <v/>
      </c>
    </row>
    <row r="4608" customFormat="false" ht="15" hidden="false" customHeight="false" outlineLevel="0" collapsed="false">
      <c r="A4608" s="22"/>
      <c r="B4608" s="22"/>
      <c r="C4608" s="26" t="str">
        <f aca="false">IF(A4608="","",IFERROR(buscarx(A4608&amp;B4608,DATA!$E$3:$E$10000&amp;DATA!$B$3:$B$10000,DATA!$M$3:$M$10000),"No encontrado"))</f>
        <v/>
      </c>
      <c r="D4608" s="27" t="str">
        <f aca="false">IF(A4608="","",IFERROR(buscarx(A4608&amp;B4608,DATA!$E$3:$E$10000&amp;DATA!$B$3:$B$10000,DATA!$W$3:$W$10000),"No encontrado"))</f>
        <v/>
      </c>
      <c r="E4608" s="22"/>
      <c r="F4608" s="26" t="str">
        <f aca="false">IF(A4608="","",IFERROR(buscarx(A4608&amp;E4608,DATA!$E$3:$E$10000&amp;DATA!$B$3:$B$10000,DATA!$M$3:$M$10000),"Inactivo"))</f>
        <v/>
      </c>
      <c r="G4608" s="28" t="str">
        <f aca="false">IF(A4608="","",IF(AND(C4608&lt;&gt;"No encontrado",F4608&lt;&gt;"Inactivo"),C4608&amp;" → "&amp;F4608,"Sin transición"))</f>
        <v/>
      </c>
      <c r="H4608" s="26" t="str">
        <f aca="false">IF(A4608="","",IF(D4608="GCIA LINEA SERVICIO DIGITALIDAD Y VENTAS","Chats",IF(OR(D4608="GERENCIA INBOUND LÍNEAS SERVICIO Y VENTA",D4608="GERENCIA INBOUND LINEAS ESPECIALIZADAS"),"Llamadas","Otro")))</f>
        <v/>
      </c>
      <c r="I4608" s="26" t="str">
        <f aca="false">IF(A4608="","",IF(C4608="No encontrado","No","Sí"))</f>
        <v/>
      </c>
      <c r="J4608" s="26" t="str">
        <f aca="false">IF(A4608="","",IF(F4608="Inactivo","No","Sí"))</f>
        <v/>
      </c>
      <c r="K4608" s="26" t="str">
        <f aca="false">IF(A4608="","",IF(AND(I4608="Sí",J4608="Sí"),"Sí","No"))</f>
        <v/>
      </c>
    </row>
    <row r="4609" customFormat="false" ht="15" hidden="false" customHeight="false" outlineLevel="0" collapsed="false">
      <c r="A4609" s="22"/>
      <c r="B4609" s="22"/>
      <c r="C4609" s="23" t="str">
        <f aca="false">IF(A4609="","",IFERROR(buscarx(A4609&amp;B4609,DATA!$E$3:$E$10000&amp;DATA!$B$3:$B$10000,DATA!$M$3:$M$10000),"No encontrado"))</f>
        <v/>
      </c>
      <c r="D4609" s="24" t="str">
        <f aca="false">IF(A4609="","",IFERROR(buscarx(A4609&amp;B4609,DATA!$E$3:$E$10000&amp;DATA!$B$3:$B$10000,DATA!$W$3:$W$10000),"No encontrado"))</f>
        <v/>
      </c>
      <c r="E4609" s="22"/>
      <c r="F4609" s="23" t="str">
        <f aca="false">IF(A4609="","",IFERROR(buscarx(A4609&amp;E4609,DATA!$E$3:$E$10000&amp;DATA!$B$3:$B$10000,DATA!$M$3:$M$10000),"Inactivo"))</f>
        <v/>
      </c>
      <c r="G4609" s="25" t="str">
        <f aca="false">IF(A4609="","",IF(AND(C4609&lt;&gt;"No encontrado",F4609&lt;&gt;"Inactivo"),C4609&amp;" → "&amp;F4609,"Sin transición"))</f>
        <v/>
      </c>
      <c r="H4609" s="23" t="str">
        <f aca="false">IF(A4609="","",IF(D4609="GCIA LINEA SERVICIO DIGITALIDAD Y VENTAS","Chats",IF(OR(D4609="GERENCIA INBOUND LÍNEAS SERVICIO Y VENTA",D4609="GERENCIA INBOUND LINEAS ESPECIALIZADAS"),"Llamadas","Otro")))</f>
        <v/>
      </c>
      <c r="I4609" s="23" t="str">
        <f aca="false">IF(A4609="","",IF(C4609="No encontrado","No","Sí"))</f>
        <v/>
      </c>
      <c r="J4609" s="23" t="str">
        <f aca="false">IF(A4609="","",IF(F4609="Inactivo","No","Sí"))</f>
        <v/>
      </c>
      <c r="K4609" s="23" t="str">
        <f aca="false">IF(A4609="","",IF(AND(I4609="Sí",J4609="Sí"),"Sí","No"))</f>
        <v/>
      </c>
    </row>
    <row r="4610" customFormat="false" ht="15" hidden="false" customHeight="false" outlineLevel="0" collapsed="false">
      <c r="A4610" s="22"/>
      <c r="B4610" s="22"/>
      <c r="C4610" s="26" t="str">
        <f aca="false">IF(A4610="","",IFERROR(buscarx(A4610&amp;B4610,DATA!$E$3:$E$10000&amp;DATA!$B$3:$B$10000,DATA!$M$3:$M$10000),"No encontrado"))</f>
        <v/>
      </c>
      <c r="D4610" s="27" t="str">
        <f aca="false">IF(A4610="","",IFERROR(buscarx(A4610&amp;B4610,DATA!$E$3:$E$10000&amp;DATA!$B$3:$B$10000,DATA!$W$3:$W$10000),"No encontrado"))</f>
        <v/>
      </c>
      <c r="E4610" s="22"/>
      <c r="F4610" s="26" t="str">
        <f aca="false">IF(A4610="","",IFERROR(buscarx(A4610&amp;E4610,DATA!$E$3:$E$10000&amp;DATA!$B$3:$B$10000,DATA!$M$3:$M$10000),"Inactivo"))</f>
        <v/>
      </c>
      <c r="G4610" s="28" t="str">
        <f aca="false">IF(A4610="","",IF(AND(C4610&lt;&gt;"No encontrado",F4610&lt;&gt;"Inactivo"),C4610&amp;" → "&amp;F4610,"Sin transición"))</f>
        <v/>
      </c>
      <c r="H4610" s="26" t="str">
        <f aca="false">IF(A4610="","",IF(D4610="GCIA LINEA SERVICIO DIGITALIDAD Y VENTAS","Chats",IF(OR(D4610="GERENCIA INBOUND LÍNEAS SERVICIO Y VENTA",D4610="GERENCIA INBOUND LINEAS ESPECIALIZADAS"),"Llamadas","Otro")))</f>
        <v/>
      </c>
      <c r="I4610" s="26" t="str">
        <f aca="false">IF(A4610="","",IF(C4610="No encontrado","No","Sí"))</f>
        <v/>
      </c>
      <c r="J4610" s="26" t="str">
        <f aca="false">IF(A4610="","",IF(F4610="Inactivo","No","Sí"))</f>
        <v/>
      </c>
      <c r="K4610" s="26" t="str">
        <f aca="false">IF(A4610="","",IF(AND(I4610="Sí",J4610="Sí"),"Sí","No"))</f>
        <v/>
      </c>
    </row>
    <row r="4611" customFormat="false" ht="15" hidden="false" customHeight="false" outlineLevel="0" collapsed="false">
      <c r="A4611" s="22"/>
      <c r="B4611" s="22"/>
      <c r="C4611" s="23" t="str">
        <f aca="false">IF(A4611="","",IFERROR(buscarx(A4611&amp;B4611,DATA!$E$3:$E$10000&amp;DATA!$B$3:$B$10000,DATA!$M$3:$M$10000),"No encontrado"))</f>
        <v/>
      </c>
      <c r="D4611" s="24" t="str">
        <f aca="false">IF(A4611="","",IFERROR(buscarx(A4611&amp;B4611,DATA!$E$3:$E$10000&amp;DATA!$B$3:$B$10000,DATA!$W$3:$W$10000),"No encontrado"))</f>
        <v/>
      </c>
      <c r="E4611" s="22"/>
      <c r="F4611" s="23" t="str">
        <f aca="false">IF(A4611="","",IFERROR(buscarx(A4611&amp;E4611,DATA!$E$3:$E$10000&amp;DATA!$B$3:$B$10000,DATA!$M$3:$M$10000),"Inactivo"))</f>
        <v/>
      </c>
      <c r="G4611" s="25" t="str">
        <f aca="false">IF(A4611="","",IF(AND(C4611&lt;&gt;"No encontrado",F4611&lt;&gt;"Inactivo"),C4611&amp;" → "&amp;F4611,"Sin transición"))</f>
        <v/>
      </c>
      <c r="H4611" s="23" t="str">
        <f aca="false">IF(A4611="","",IF(D4611="GCIA LINEA SERVICIO DIGITALIDAD Y VENTAS","Chats",IF(OR(D4611="GERENCIA INBOUND LÍNEAS SERVICIO Y VENTA",D4611="GERENCIA INBOUND LINEAS ESPECIALIZADAS"),"Llamadas","Otro")))</f>
        <v/>
      </c>
      <c r="I4611" s="23" t="str">
        <f aca="false">IF(A4611="","",IF(C4611="No encontrado","No","Sí"))</f>
        <v/>
      </c>
      <c r="J4611" s="23" t="str">
        <f aca="false">IF(A4611="","",IF(F4611="Inactivo","No","Sí"))</f>
        <v/>
      </c>
      <c r="K4611" s="23" t="str">
        <f aca="false">IF(A4611="","",IF(AND(I4611="Sí",J4611="Sí"),"Sí","No"))</f>
        <v/>
      </c>
    </row>
    <row r="4612" customFormat="false" ht="15" hidden="false" customHeight="false" outlineLevel="0" collapsed="false">
      <c r="A4612" s="22"/>
      <c r="B4612" s="22"/>
      <c r="C4612" s="26" t="str">
        <f aca="false">IF(A4612="","",IFERROR(buscarx(A4612&amp;B4612,DATA!$E$3:$E$10000&amp;DATA!$B$3:$B$10000,DATA!$M$3:$M$10000),"No encontrado"))</f>
        <v/>
      </c>
      <c r="D4612" s="27" t="str">
        <f aca="false">IF(A4612="","",IFERROR(buscarx(A4612&amp;B4612,DATA!$E$3:$E$10000&amp;DATA!$B$3:$B$10000,DATA!$W$3:$W$10000),"No encontrado"))</f>
        <v/>
      </c>
      <c r="E4612" s="22"/>
      <c r="F4612" s="26" t="str">
        <f aca="false">IF(A4612="","",IFERROR(buscarx(A4612&amp;E4612,DATA!$E$3:$E$10000&amp;DATA!$B$3:$B$10000,DATA!$M$3:$M$10000),"Inactivo"))</f>
        <v/>
      </c>
      <c r="G4612" s="28" t="str">
        <f aca="false">IF(A4612="","",IF(AND(C4612&lt;&gt;"No encontrado",F4612&lt;&gt;"Inactivo"),C4612&amp;" → "&amp;F4612,"Sin transición"))</f>
        <v/>
      </c>
      <c r="H4612" s="26" t="str">
        <f aca="false">IF(A4612="","",IF(D4612="GCIA LINEA SERVICIO DIGITALIDAD Y VENTAS","Chats",IF(OR(D4612="GERENCIA INBOUND LÍNEAS SERVICIO Y VENTA",D4612="GERENCIA INBOUND LINEAS ESPECIALIZADAS"),"Llamadas","Otro")))</f>
        <v/>
      </c>
      <c r="I4612" s="26" t="str">
        <f aca="false">IF(A4612="","",IF(C4612="No encontrado","No","Sí"))</f>
        <v/>
      </c>
      <c r="J4612" s="26" t="str">
        <f aca="false">IF(A4612="","",IF(F4612="Inactivo","No","Sí"))</f>
        <v/>
      </c>
      <c r="K4612" s="26" t="str">
        <f aca="false">IF(A4612="","",IF(AND(I4612="Sí",J4612="Sí"),"Sí","No"))</f>
        <v/>
      </c>
    </row>
    <row r="4613" customFormat="false" ht="15" hidden="false" customHeight="false" outlineLevel="0" collapsed="false">
      <c r="A4613" s="22"/>
      <c r="B4613" s="22"/>
      <c r="C4613" s="23" t="str">
        <f aca="false">IF(A4613="","",IFERROR(buscarx(A4613&amp;B4613,DATA!$E$3:$E$10000&amp;DATA!$B$3:$B$10000,DATA!$M$3:$M$10000),"No encontrado"))</f>
        <v/>
      </c>
      <c r="D4613" s="24" t="str">
        <f aca="false">IF(A4613="","",IFERROR(buscarx(A4613&amp;B4613,DATA!$E$3:$E$10000&amp;DATA!$B$3:$B$10000,DATA!$W$3:$W$10000),"No encontrado"))</f>
        <v/>
      </c>
      <c r="E4613" s="22"/>
      <c r="F4613" s="23" t="str">
        <f aca="false">IF(A4613="","",IFERROR(buscarx(A4613&amp;E4613,DATA!$E$3:$E$10000&amp;DATA!$B$3:$B$10000,DATA!$M$3:$M$10000),"Inactivo"))</f>
        <v/>
      </c>
      <c r="G4613" s="25" t="str">
        <f aca="false">IF(A4613="","",IF(AND(C4613&lt;&gt;"No encontrado",F4613&lt;&gt;"Inactivo"),C4613&amp;" → "&amp;F4613,"Sin transición"))</f>
        <v/>
      </c>
      <c r="H4613" s="23" t="str">
        <f aca="false">IF(A4613="","",IF(D4613="GCIA LINEA SERVICIO DIGITALIDAD Y VENTAS","Chats",IF(OR(D4613="GERENCIA INBOUND LÍNEAS SERVICIO Y VENTA",D4613="GERENCIA INBOUND LINEAS ESPECIALIZADAS"),"Llamadas","Otro")))</f>
        <v/>
      </c>
      <c r="I4613" s="23" t="str">
        <f aca="false">IF(A4613="","",IF(C4613="No encontrado","No","Sí"))</f>
        <v/>
      </c>
      <c r="J4613" s="23" t="str">
        <f aca="false">IF(A4613="","",IF(F4613="Inactivo","No","Sí"))</f>
        <v/>
      </c>
      <c r="K4613" s="23" t="str">
        <f aca="false">IF(A4613="","",IF(AND(I4613="Sí",J4613="Sí"),"Sí","No"))</f>
        <v/>
      </c>
    </row>
    <row r="4614" customFormat="false" ht="15" hidden="false" customHeight="false" outlineLevel="0" collapsed="false">
      <c r="A4614" s="22"/>
      <c r="B4614" s="22"/>
      <c r="C4614" s="26" t="str">
        <f aca="false">IF(A4614="","",IFERROR(buscarx(A4614&amp;B4614,DATA!$E$3:$E$10000&amp;DATA!$B$3:$B$10000,DATA!$M$3:$M$10000),"No encontrado"))</f>
        <v/>
      </c>
      <c r="D4614" s="27" t="str">
        <f aca="false">IF(A4614="","",IFERROR(buscarx(A4614&amp;B4614,DATA!$E$3:$E$10000&amp;DATA!$B$3:$B$10000,DATA!$W$3:$W$10000),"No encontrado"))</f>
        <v/>
      </c>
      <c r="E4614" s="22"/>
      <c r="F4614" s="26" t="str">
        <f aca="false">IF(A4614="","",IFERROR(buscarx(A4614&amp;E4614,DATA!$E$3:$E$10000&amp;DATA!$B$3:$B$10000,DATA!$M$3:$M$10000),"Inactivo"))</f>
        <v/>
      </c>
      <c r="G4614" s="28" t="str">
        <f aca="false">IF(A4614="","",IF(AND(C4614&lt;&gt;"No encontrado",F4614&lt;&gt;"Inactivo"),C4614&amp;" → "&amp;F4614,"Sin transición"))</f>
        <v/>
      </c>
      <c r="H4614" s="26" t="str">
        <f aca="false">IF(A4614="","",IF(D4614="GCIA LINEA SERVICIO DIGITALIDAD Y VENTAS","Chats",IF(OR(D4614="GERENCIA INBOUND LÍNEAS SERVICIO Y VENTA",D4614="GERENCIA INBOUND LINEAS ESPECIALIZADAS"),"Llamadas","Otro")))</f>
        <v/>
      </c>
      <c r="I4614" s="26" t="str">
        <f aca="false">IF(A4614="","",IF(C4614="No encontrado","No","Sí"))</f>
        <v/>
      </c>
      <c r="J4614" s="26" t="str">
        <f aca="false">IF(A4614="","",IF(F4614="Inactivo","No","Sí"))</f>
        <v/>
      </c>
      <c r="K4614" s="26" t="str">
        <f aca="false">IF(A4614="","",IF(AND(I4614="Sí",J4614="Sí"),"Sí","No"))</f>
        <v/>
      </c>
    </row>
    <row r="4615" customFormat="false" ht="15" hidden="false" customHeight="false" outlineLevel="0" collapsed="false">
      <c r="A4615" s="22"/>
      <c r="B4615" s="22"/>
      <c r="C4615" s="23" t="str">
        <f aca="false">IF(A4615="","",IFERROR(buscarx(A4615&amp;B4615,DATA!$E$3:$E$10000&amp;DATA!$B$3:$B$10000,DATA!$M$3:$M$10000),"No encontrado"))</f>
        <v/>
      </c>
      <c r="D4615" s="24" t="str">
        <f aca="false">IF(A4615="","",IFERROR(buscarx(A4615&amp;B4615,DATA!$E$3:$E$10000&amp;DATA!$B$3:$B$10000,DATA!$W$3:$W$10000),"No encontrado"))</f>
        <v/>
      </c>
      <c r="E4615" s="22"/>
      <c r="F4615" s="23" t="str">
        <f aca="false">IF(A4615="","",IFERROR(buscarx(A4615&amp;E4615,DATA!$E$3:$E$10000&amp;DATA!$B$3:$B$10000,DATA!$M$3:$M$10000),"Inactivo"))</f>
        <v/>
      </c>
      <c r="G4615" s="25" t="str">
        <f aca="false">IF(A4615="","",IF(AND(C4615&lt;&gt;"No encontrado",F4615&lt;&gt;"Inactivo"),C4615&amp;" → "&amp;F4615,"Sin transición"))</f>
        <v/>
      </c>
      <c r="H4615" s="23" t="str">
        <f aca="false">IF(A4615="","",IF(D4615="GCIA LINEA SERVICIO DIGITALIDAD Y VENTAS","Chats",IF(OR(D4615="GERENCIA INBOUND LÍNEAS SERVICIO Y VENTA",D4615="GERENCIA INBOUND LINEAS ESPECIALIZADAS"),"Llamadas","Otro")))</f>
        <v/>
      </c>
      <c r="I4615" s="23" t="str">
        <f aca="false">IF(A4615="","",IF(C4615="No encontrado","No","Sí"))</f>
        <v/>
      </c>
      <c r="J4615" s="23" t="str">
        <f aca="false">IF(A4615="","",IF(F4615="Inactivo","No","Sí"))</f>
        <v/>
      </c>
      <c r="K4615" s="23" t="str">
        <f aca="false">IF(A4615="","",IF(AND(I4615="Sí",J4615="Sí"),"Sí","No"))</f>
        <v/>
      </c>
    </row>
    <row r="4616" customFormat="false" ht="15" hidden="false" customHeight="false" outlineLevel="0" collapsed="false">
      <c r="A4616" s="22"/>
      <c r="B4616" s="22"/>
      <c r="C4616" s="26" t="str">
        <f aca="false">IF(A4616="","",IFERROR(buscarx(A4616&amp;B4616,DATA!$E$3:$E$10000&amp;DATA!$B$3:$B$10000,DATA!$M$3:$M$10000),"No encontrado"))</f>
        <v/>
      </c>
      <c r="D4616" s="27" t="str">
        <f aca="false">IF(A4616="","",IFERROR(buscarx(A4616&amp;B4616,DATA!$E$3:$E$10000&amp;DATA!$B$3:$B$10000,DATA!$W$3:$W$10000),"No encontrado"))</f>
        <v/>
      </c>
      <c r="E4616" s="22"/>
      <c r="F4616" s="26" t="str">
        <f aca="false">IF(A4616="","",IFERROR(buscarx(A4616&amp;E4616,DATA!$E$3:$E$10000&amp;DATA!$B$3:$B$10000,DATA!$M$3:$M$10000),"Inactivo"))</f>
        <v/>
      </c>
      <c r="G4616" s="28" t="str">
        <f aca="false">IF(A4616="","",IF(AND(C4616&lt;&gt;"No encontrado",F4616&lt;&gt;"Inactivo"),C4616&amp;" → "&amp;F4616,"Sin transición"))</f>
        <v/>
      </c>
      <c r="H4616" s="26" t="str">
        <f aca="false">IF(A4616="","",IF(D4616="GCIA LINEA SERVICIO DIGITALIDAD Y VENTAS","Chats",IF(OR(D4616="GERENCIA INBOUND LÍNEAS SERVICIO Y VENTA",D4616="GERENCIA INBOUND LINEAS ESPECIALIZADAS"),"Llamadas","Otro")))</f>
        <v/>
      </c>
      <c r="I4616" s="26" t="str">
        <f aca="false">IF(A4616="","",IF(C4616="No encontrado","No","Sí"))</f>
        <v/>
      </c>
      <c r="J4616" s="26" t="str">
        <f aca="false">IF(A4616="","",IF(F4616="Inactivo","No","Sí"))</f>
        <v/>
      </c>
      <c r="K4616" s="26" t="str">
        <f aca="false">IF(A4616="","",IF(AND(I4616="Sí",J4616="Sí"),"Sí","No"))</f>
        <v/>
      </c>
    </row>
    <row r="4617" customFormat="false" ht="15" hidden="false" customHeight="false" outlineLevel="0" collapsed="false">
      <c r="A4617" s="22"/>
      <c r="B4617" s="22"/>
      <c r="C4617" s="23" t="str">
        <f aca="false">IF(A4617="","",IFERROR(buscarx(A4617&amp;B4617,DATA!$E$3:$E$10000&amp;DATA!$B$3:$B$10000,DATA!$M$3:$M$10000),"No encontrado"))</f>
        <v/>
      </c>
      <c r="D4617" s="24" t="str">
        <f aca="false">IF(A4617="","",IFERROR(buscarx(A4617&amp;B4617,DATA!$E$3:$E$10000&amp;DATA!$B$3:$B$10000,DATA!$W$3:$W$10000),"No encontrado"))</f>
        <v/>
      </c>
      <c r="E4617" s="22"/>
      <c r="F4617" s="23" t="str">
        <f aca="false">IF(A4617="","",IFERROR(buscarx(A4617&amp;E4617,DATA!$E$3:$E$10000&amp;DATA!$B$3:$B$10000,DATA!$M$3:$M$10000),"Inactivo"))</f>
        <v/>
      </c>
      <c r="G4617" s="25" t="str">
        <f aca="false">IF(A4617="","",IF(AND(C4617&lt;&gt;"No encontrado",F4617&lt;&gt;"Inactivo"),C4617&amp;" → "&amp;F4617,"Sin transición"))</f>
        <v/>
      </c>
      <c r="H4617" s="23" t="str">
        <f aca="false">IF(A4617="","",IF(D4617="GCIA LINEA SERVICIO DIGITALIDAD Y VENTAS","Chats",IF(OR(D4617="GERENCIA INBOUND LÍNEAS SERVICIO Y VENTA",D4617="GERENCIA INBOUND LINEAS ESPECIALIZADAS"),"Llamadas","Otro")))</f>
        <v/>
      </c>
      <c r="I4617" s="23" t="str">
        <f aca="false">IF(A4617="","",IF(C4617="No encontrado","No","Sí"))</f>
        <v/>
      </c>
      <c r="J4617" s="23" t="str">
        <f aca="false">IF(A4617="","",IF(F4617="Inactivo","No","Sí"))</f>
        <v/>
      </c>
      <c r="K4617" s="23" t="str">
        <f aca="false">IF(A4617="","",IF(AND(I4617="Sí",J4617="Sí"),"Sí","No"))</f>
        <v/>
      </c>
    </row>
    <row r="4618" customFormat="false" ht="15" hidden="false" customHeight="false" outlineLevel="0" collapsed="false">
      <c r="A4618" s="22"/>
      <c r="B4618" s="22"/>
      <c r="C4618" s="26" t="str">
        <f aca="false">IF(A4618="","",IFERROR(buscarx(A4618&amp;B4618,DATA!$E$3:$E$10000&amp;DATA!$B$3:$B$10000,DATA!$M$3:$M$10000),"No encontrado"))</f>
        <v/>
      </c>
      <c r="D4618" s="27" t="str">
        <f aca="false">IF(A4618="","",IFERROR(buscarx(A4618&amp;B4618,DATA!$E$3:$E$10000&amp;DATA!$B$3:$B$10000,DATA!$W$3:$W$10000),"No encontrado"))</f>
        <v/>
      </c>
      <c r="E4618" s="22"/>
      <c r="F4618" s="26" t="str">
        <f aca="false">IF(A4618="","",IFERROR(buscarx(A4618&amp;E4618,DATA!$E$3:$E$10000&amp;DATA!$B$3:$B$10000,DATA!$M$3:$M$10000),"Inactivo"))</f>
        <v/>
      </c>
      <c r="G4618" s="28" t="str">
        <f aca="false">IF(A4618="","",IF(AND(C4618&lt;&gt;"No encontrado",F4618&lt;&gt;"Inactivo"),C4618&amp;" → "&amp;F4618,"Sin transición"))</f>
        <v/>
      </c>
      <c r="H4618" s="26" t="str">
        <f aca="false">IF(A4618="","",IF(D4618="GCIA LINEA SERVICIO DIGITALIDAD Y VENTAS","Chats",IF(OR(D4618="GERENCIA INBOUND LÍNEAS SERVICIO Y VENTA",D4618="GERENCIA INBOUND LINEAS ESPECIALIZADAS"),"Llamadas","Otro")))</f>
        <v/>
      </c>
      <c r="I4618" s="26" t="str">
        <f aca="false">IF(A4618="","",IF(C4618="No encontrado","No","Sí"))</f>
        <v/>
      </c>
      <c r="J4618" s="26" t="str">
        <f aca="false">IF(A4618="","",IF(F4618="Inactivo","No","Sí"))</f>
        <v/>
      </c>
      <c r="K4618" s="26" t="str">
        <f aca="false">IF(A4618="","",IF(AND(I4618="Sí",J4618="Sí"),"Sí","No"))</f>
        <v/>
      </c>
    </row>
    <row r="4619" customFormat="false" ht="15" hidden="false" customHeight="false" outlineLevel="0" collapsed="false">
      <c r="A4619" s="22"/>
      <c r="B4619" s="22"/>
      <c r="C4619" s="23" t="str">
        <f aca="false">IF(A4619="","",IFERROR(buscarx(A4619&amp;B4619,DATA!$E$3:$E$10000&amp;DATA!$B$3:$B$10000,DATA!$M$3:$M$10000),"No encontrado"))</f>
        <v/>
      </c>
      <c r="D4619" s="24" t="str">
        <f aca="false">IF(A4619="","",IFERROR(buscarx(A4619&amp;B4619,DATA!$E$3:$E$10000&amp;DATA!$B$3:$B$10000,DATA!$W$3:$W$10000),"No encontrado"))</f>
        <v/>
      </c>
      <c r="E4619" s="22"/>
      <c r="F4619" s="23" t="str">
        <f aca="false">IF(A4619="","",IFERROR(buscarx(A4619&amp;E4619,DATA!$E$3:$E$10000&amp;DATA!$B$3:$B$10000,DATA!$M$3:$M$10000),"Inactivo"))</f>
        <v/>
      </c>
      <c r="G4619" s="25" t="str">
        <f aca="false">IF(A4619="","",IF(AND(C4619&lt;&gt;"No encontrado",F4619&lt;&gt;"Inactivo"),C4619&amp;" → "&amp;F4619,"Sin transición"))</f>
        <v/>
      </c>
      <c r="H4619" s="23" t="str">
        <f aca="false">IF(A4619="","",IF(D4619="GCIA LINEA SERVICIO DIGITALIDAD Y VENTAS","Chats",IF(OR(D4619="GERENCIA INBOUND LÍNEAS SERVICIO Y VENTA",D4619="GERENCIA INBOUND LINEAS ESPECIALIZADAS"),"Llamadas","Otro")))</f>
        <v/>
      </c>
      <c r="I4619" s="23" t="str">
        <f aca="false">IF(A4619="","",IF(C4619="No encontrado","No","Sí"))</f>
        <v/>
      </c>
      <c r="J4619" s="23" t="str">
        <f aca="false">IF(A4619="","",IF(F4619="Inactivo","No","Sí"))</f>
        <v/>
      </c>
      <c r="K4619" s="23" t="str">
        <f aca="false">IF(A4619="","",IF(AND(I4619="Sí",J4619="Sí"),"Sí","No"))</f>
        <v/>
      </c>
    </row>
    <row r="4620" customFormat="false" ht="15" hidden="false" customHeight="false" outlineLevel="0" collapsed="false">
      <c r="A4620" s="22"/>
      <c r="B4620" s="22"/>
      <c r="C4620" s="26" t="str">
        <f aca="false">IF(A4620="","",IFERROR(buscarx(A4620&amp;B4620,DATA!$E$3:$E$10000&amp;DATA!$B$3:$B$10000,DATA!$M$3:$M$10000),"No encontrado"))</f>
        <v/>
      </c>
      <c r="D4620" s="27" t="str">
        <f aca="false">IF(A4620="","",IFERROR(buscarx(A4620&amp;B4620,DATA!$E$3:$E$10000&amp;DATA!$B$3:$B$10000,DATA!$W$3:$W$10000),"No encontrado"))</f>
        <v/>
      </c>
      <c r="E4620" s="22"/>
      <c r="F4620" s="26" t="str">
        <f aca="false">IF(A4620="","",IFERROR(buscarx(A4620&amp;E4620,DATA!$E$3:$E$10000&amp;DATA!$B$3:$B$10000,DATA!$M$3:$M$10000),"Inactivo"))</f>
        <v/>
      </c>
      <c r="G4620" s="28" t="str">
        <f aca="false">IF(A4620="","",IF(AND(C4620&lt;&gt;"No encontrado",F4620&lt;&gt;"Inactivo"),C4620&amp;" → "&amp;F4620,"Sin transición"))</f>
        <v/>
      </c>
      <c r="H4620" s="26" t="str">
        <f aca="false">IF(A4620="","",IF(D4620="GCIA LINEA SERVICIO DIGITALIDAD Y VENTAS","Chats",IF(OR(D4620="GERENCIA INBOUND LÍNEAS SERVICIO Y VENTA",D4620="GERENCIA INBOUND LINEAS ESPECIALIZADAS"),"Llamadas","Otro")))</f>
        <v/>
      </c>
      <c r="I4620" s="26" t="str">
        <f aca="false">IF(A4620="","",IF(C4620="No encontrado","No","Sí"))</f>
        <v/>
      </c>
      <c r="J4620" s="26" t="str">
        <f aca="false">IF(A4620="","",IF(F4620="Inactivo","No","Sí"))</f>
        <v/>
      </c>
      <c r="K4620" s="26" t="str">
        <f aca="false">IF(A4620="","",IF(AND(I4620="Sí",J4620="Sí"),"Sí","No"))</f>
        <v/>
      </c>
    </row>
    <row r="4621" customFormat="false" ht="15" hidden="false" customHeight="false" outlineLevel="0" collapsed="false">
      <c r="A4621" s="22"/>
      <c r="B4621" s="22"/>
      <c r="C4621" s="23" t="str">
        <f aca="false">IF(A4621="","",IFERROR(buscarx(A4621&amp;B4621,DATA!$E$3:$E$10000&amp;DATA!$B$3:$B$10000,DATA!$M$3:$M$10000),"No encontrado"))</f>
        <v/>
      </c>
      <c r="D4621" s="24" t="str">
        <f aca="false">IF(A4621="","",IFERROR(buscarx(A4621&amp;B4621,DATA!$E$3:$E$10000&amp;DATA!$B$3:$B$10000,DATA!$W$3:$W$10000),"No encontrado"))</f>
        <v/>
      </c>
      <c r="E4621" s="22"/>
      <c r="F4621" s="23" t="str">
        <f aca="false">IF(A4621="","",IFERROR(buscarx(A4621&amp;E4621,DATA!$E$3:$E$10000&amp;DATA!$B$3:$B$10000,DATA!$M$3:$M$10000),"Inactivo"))</f>
        <v/>
      </c>
      <c r="G4621" s="25" t="str">
        <f aca="false">IF(A4621="","",IF(AND(C4621&lt;&gt;"No encontrado",F4621&lt;&gt;"Inactivo"),C4621&amp;" → "&amp;F4621,"Sin transición"))</f>
        <v/>
      </c>
      <c r="H4621" s="23" t="str">
        <f aca="false">IF(A4621="","",IF(D4621="GCIA LINEA SERVICIO DIGITALIDAD Y VENTAS","Chats",IF(OR(D4621="GERENCIA INBOUND LÍNEAS SERVICIO Y VENTA",D4621="GERENCIA INBOUND LINEAS ESPECIALIZADAS"),"Llamadas","Otro")))</f>
        <v/>
      </c>
      <c r="I4621" s="23" t="str">
        <f aca="false">IF(A4621="","",IF(C4621="No encontrado","No","Sí"))</f>
        <v/>
      </c>
      <c r="J4621" s="23" t="str">
        <f aca="false">IF(A4621="","",IF(F4621="Inactivo","No","Sí"))</f>
        <v/>
      </c>
      <c r="K4621" s="23" t="str">
        <f aca="false">IF(A4621="","",IF(AND(I4621="Sí",J4621="Sí"),"Sí","No"))</f>
        <v/>
      </c>
    </row>
    <row r="4622" customFormat="false" ht="15" hidden="false" customHeight="false" outlineLevel="0" collapsed="false">
      <c r="A4622" s="22"/>
      <c r="B4622" s="22"/>
      <c r="C4622" s="26" t="str">
        <f aca="false">IF(A4622="","",IFERROR(buscarx(A4622&amp;B4622,DATA!$E$3:$E$10000&amp;DATA!$B$3:$B$10000,DATA!$M$3:$M$10000),"No encontrado"))</f>
        <v/>
      </c>
      <c r="D4622" s="27" t="str">
        <f aca="false">IF(A4622="","",IFERROR(buscarx(A4622&amp;B4622,DATA!$E$3:$E$10000&amp;DATA!$B$3:$B$10000,DATA!$W$3:$W$10000),"No encontrado"))</f>
        <v/>
      </c>
      <c r="E4622" s="22"/>
      <c r="F4622" s="26" t="str">
        <f aca="false">IF(A4622="","",IFERROR(buscarx(A4622&amp;E4622,DATA!$E$3:$E$10000&amp;DATA!$B$3:$B$10000,DATA!$M$3:$M$10000),"Inactivo"))</f>
        <v/>
      </c>
      <c r="G4622" s="28" t="str">
        <f aca="false">IF(A4622="","",IF(AND(C4622&lt;&gt;"No encontrado",F4622&lt;&gt;"Inactivo"),C4622&amp;" → "&amp;F4622,"Sin transición"))</f>
        <v/>
      </c>
      <c r="H4622" s="26" t="str">
        <f aca="false">IF(A4622="","",IF(D4622="GCIA LINEA SERVICIO DIGITALIDAD Y VENTAS","Chats",IF(OR(D4622="GERENCIA INBOUND LÍNEAS SERVICIO Y VENTA",D4622="GERENCIA INBOUND LINEAS ESPECIALIZADAS"),"Llamadas","Otro")))</f>
        <v/>
      </c>
      <c r="I4622" s="26" t="str">
        <f aca="false">IF(A4622="","",IF(C4622="No encontrado","No","Sí"))</f>
        <v/>
      </c>
      <c r="J4622" s="26" t="str">
        <f aca="false">IF(A4622="","",IF(F4622="Inactivo","No","Sí"))</f>
        <v/>
      </c>
      <c r="K4622" s="26" t="str">
        <f aca="false">IF(A4622="","",IF(AND(I4622="Sí",J4622="Sí"),"Sí","No"))</f>
        <v/>
      </c>
    </row>
    <row r="4623" customFormat="false" ht="15" hidden="false" customHeight="false" outlineLevel="0" collapsed="false">
      <c r="A4623" s="22"/>
      <c r="B4623" s="22"/>
      <c r="C4623" s="23" t="str">
        <f aca="false">IF(A4623="","",IFERROR(buscarx(A4623&amp;B4623,DATA!$E$3:$E$10000&amp;DATA!$B$3:$B$10000,DATA!$M$3:$M$10000),"No encontrado"))</f>
        <v/>
      </c>
      <c r="D4623" s="24" t="str">
        <f aca="false">IF(A4623="","",IFERROR(buscarx(A4623&amp;B4623,DATA!$E$3:$E$10000&amp;DATA!$B$3:$B$10000,DATA!$W$3:$W$10000),"No encontrado"))</f>
        <v/>
      </c>
      <c r="E4623" s="22"/>
      <c r="F4623" s="23" t="str">
        <f aca="false">IF(A4623="","",IFERROR(buscarx(A4623&amp;E4623,DATA!$E$3:$E$10000&amp;DATA!$B$3:$B$10000,DATA!$M$3:$M$10000),"Inactivo"))</f>
        <v/>
      </c>
      <c r="G4623" s="25" t="str">
        <f aca="false">IF(A4623="","",IF(AND(C4623&lt;&gt;"No encontrado",F4623&lt;&gt;"Inactivo"),C4623&amp;" → "&amp;F4623,"Sin transición"))</f>
        <v/>
      </c>
      <c r="H4623" s="23" t="str">
        <f aca="false">IF(A4623="","",IF(D4623="GCIA LINEA SERVICIO DIGITALIDAD Y VENTAS","Chats",IF(OR(D4623="GERENCIA INBOUND LÍNEAS SERVICIO Y VENTA",D4623="GERENCIA INBOUND LINEAS ESPECIALIZADAS"),"Llamadas","Otro")))</f>
        <v/>
      </c>
      <c r="I4623" s="23" t="str">
        <f aca="false">IF(A4623="","",IF(C4623="No encontrado","No","Sí"))</f>
        <v/>
      </c>
      <c r="J4623" s="23" t="str">
        <f aca="false">IF(A4623="","",IF(F4623="Inactivo","No","Sí"))</f>
        <v/>
      </c>
      <c r="K4623" s="23" t="str">
        <f aca="false">IF(A4623="","",IF(AND(I4623="Sí",J4623="Sí"),"Sí","No"))</f>
        <v/>
      </c>
    </row>
    <row r="4624" customFormat="false" ht="15" hidden="false" customHeight="false" outlineLevel="0" collapsed="false">
      <c r="A4624" s="22"/>
      <c r="B4624" s="22"/>
      <c r="C4624" s="26" t="str">
        <f aca="false">IF(A4624="","",IFERROR(buscarx(A4624&amp;B4624,DATA!$E$3:$E$10000&amp;DATA!$B$3:$B$10000,DATA!$M$3:$M$10000),"No encontrado"))</f>
        <v/>
      </c>
      <c r="D4624" s="27" t="str">
        <f aca="false">IF(A4624="","",IFERROR(buscarx(A4624&amp;B4624,DATA!$E$3:$E$10000&amp;DATA!$B$3:$B$10000,DATA!$W$3:$W$10000),"No encontrado"))</f>
        <v/>
      </c>
      <c r="E4624" s="22"/>
      <c r="F4624" s="26" t="str">
        <f aca="false">IF(A4624="","",IFERROR(buscarx(A4624&amp;E4624,DATA!$E$3:$E$10000&amp;DATA!$B$3:$B$10000,DATA!$M$3:$M$10000),"Inactivo"))</f>
        <v/>
      </c>
      <c r="G4624" s="28" t="str">
        <f aca="false">IF(A4624="","",IF(AND(C4624&lt;&gt;"No encontrado",F4624&lt;&gt;"Inactivo"),C4624&amp;" → "&amp;F4624,"Sin transición"))</f>
        <v/>
      </c>
      <c r="H4624" s="26" t="str">
        <f aca="false">IF(A4624="","",IF(D4624="GCIA LINEA SERVICIO DIGITALIDAD Y VENTAS","Chats",IF(OR(D4624="GERENCIA INBOUND LÍNEAS SERVICIO Y VENTA",D4624="GERENCIA INBOUND LINEAS ESPECIALIZADAS"),"Llamadas","Otro")))</f>
        <v/>
      </c>
      <c r="I4624" s="26" t="str">
        <f aca="false">IF(A4624="","",IF(C4624="No encontrado","No","Sí"))</f>
        <v/>
      </c>
      <c r="J4624" s="26" t="str">
        <f aca="false">IF(A4624="","",IF(F4624="Inactivo","No","Sí"))</f>
        <v/>
      </c>
      <c r="K4624" s="26" t="str">
        <f aca="false">IF(A4624="","",IF(AND(I4624="Sí",J4624="Sí"),"Sí","No"))</f>
        <v/>
      </c>
    </row>
    <row r="4625" customFormat="false" ht="15" hidden="false" customHeight="false" outlineLevel="0" collapsed="false">
      <c r="A4625" s="22"/>
      <c r="B4625" s="22"/>
      <c r="C4625" s="23" t="str">
        <f aca="false">IF(A4625="","",IFERROR(buscarx(A4625&amp;B4625,DATA!$E$3:$E$10000&amp;DATA!$B$3:$B$10000,DATA!$M$3:$M$10000),"No encontrado"))</f>
        <v/>
      </c>
      <c r="D4625" s="24" t="str">
        <f aca="false">IF(A4625="","",IFERROR(buscarx(A4625&amp;B4625,DATA!$E$3:$E$10000&amp;DATA!$B$3:$B$10000,DATA!$W$3:$W$10000),"No encontrado"))</f>
        <v/>
      </c>
      <c r="E4625" s="22"/>
      <c r="F4625" s="23" t="str">
        <f aca="false">IF(A4625="","",IFERROR(buscarx(A4625&amp;E4625,DATA!$E$3:$E$10000&amp;DATA!$B$3:$B$10000,DATA!$M$3:$M$10000),"Inactivo"))</f>
        <v/>
      </c>
      <c r="G4625" s="25" t="str">
        <f aca="false">IF(A4625="","",IF(AND(C4625&lt;&gt;"No encontrado",F4625&lt;&gt;"Inactivo"),C4625&amp;" → "&amp;F4625,"Sin transición"))</f>
        <v/>
      </c>
      <c r="H4625" s="23" t="str">
        <f aca="false">IF(A4625="","",IF(D4625="GCIA LINEA SERVICIO DIGITALIDAD Y VENTAS","Chats",IF(OR(D4625="GERENCIA INBOUND LÍNEAS SERVICIO Y VENTA",D4625="GERENCIA INBOUND LINEAS ESPECIALIZADAS"),"Llamadas","Otro")))</f>
        <v/>
      </c>
      <c r="I4625" s="23" t="str">
        <f aca="false">IF(A4625="","",IF(C4625="No encontrado","No","Sí"))</f>
        <v/>
      </c>
      <c r="J4625" s="23" t="str">
        <f aca="false">IF(A4625="","",IF(F4625="Inactivo","No","Sí"))</f>
        <v/>
      </c>
      <c r="K4625" s="23" t="str">
        <f aca="false">IF(A4625="","",IF(AND(I4625="Sí",J4625="Sí"),"Sí","No"))</f>
        <v/>
      </c>
    </row>
    <row r="4626" customFormat="false" ht="15" hidden="false" customHeight="false" outlineLevel="0" collapsed="false">
      <c r="A4626" s="22"/>
      <c r="B4626" s="22"/>
      <c r="C4626" s="26" t="str">
        <f aca="false">IF(A4626="","",IFERROR(buscarx(A4626&amp;B4626,DATA!$E$3:$E$10000&amp;DATA!$B$3:$B$10000,DATA!$M$3:$M$10000),"No encontrado"))</f>
        <v/>
      </c>
      <c r="D4626" s="27" t="str">
        <f aca="false">IF(A4626="","",IFERROR(buscarx(A4626&amp;B4626,DATA!$E$3:$E$10000&amp;DATA!$B$3:$B$10000,DATA!$W$3:$W$10000),"No encontrado"))</f>
        <v/>
      </c>
      <c r="E4626" s="22"/>
      <c r="F4626" s="26" t="str">
        <f aca="false">IF(A4626="","",IFERROR(buscarx(A4626&amp;E4626,DATA!$E$3:$E$10000&amp;DATA!$B$3:$B$10000,DATA!$M$3:$M$10000),"Inactivo"))</f>
        <v/>
      </c>
      <c r="G4626" s="28" t="str">
        <f aca="false">IF(A4626="","",IF(AND(C4626&lt;&gt;"No encontrado",F4626&lt;&gt;"Inactivo"),C4626&amp;" → "&amp;F4626,"Sin transición"))</f>
        <v/>
      </c>
      <c r="H4626" s="26" t="str">
        <f aca="false">IF(A4626="","",IF(D4626="GCIA LINEA SERVICIO DIGITALIDAD Y VENTAS","Chats",IF(OR(D4626="GERENCIA INBOUND LÍNEAS SERVICIO Y VENTA",D4626="GERENCIA INBOUND LINEAS ESPECIALIZADAS"),"Llamadas","Otro")))</f>
        <v/>
      </c>
      <c r="I4626" s="26" t="str">
        <f aca="false">IF(A4626="","",IF(C4626="No encontrado","No","Sí"))</f>
        <v/>
      </c>
      <c r="J4626" s="26" t="str">
        <f aca="false">IF(A4626="","",IF(F4626="Inactivo","No","Sí"))</f>
        <v/>
      </c>
      <c r="K4626" s="26" t="str">
        <f aca="false">IF(A4626="","",IF(AND(I4626="Sí",J4626="Sí"),"Sí","No"))</f>
        <v/>
      </c>
    </row>
    <row r="4627" customFormat="false" ht="15" hidden="false" customHeight="false" outlineLevel="0" collapsed="false">
      <c r="A4627" s="22"/>
      <c r="B4627" s="22"/>
      <c r="C4627" s="23" t="str">
        <f aca="false">IF(A4627="","",IFERROR(buscarx(A4627&amp;B4627,DATA!$E$3:$E$10000&amp;DATA!$B$3:$B$10000,DATA!$M$3:$M$10000),"No encontrado"))</f>
        <v/>
      </c>
      <c r="D4627" s="24" t="str">
        <f aca="false">IF(A4627="","",IFERROR(buscarx(A4627&amp;B4627,DATA!$E$3:$E$10000&amp;DATA!$B$3:$B$10000,DATA!$W$3:$W$10000),"No encontrado"))</f>
        <v/>
      </c>
      <c r="E4627" s="22"/>
      <c r="F4627" s="23" t="str">
        <f aca="false">IF(A4627="","",IFERROR(buscarx(A4627&amp;E4627,DATA!$E$3:$E$10000&amp;DATA!$B$3:$B$10000,DATA!$M$3:$M$10000),"Inactivo"))</f>
        <v/>
      </c>
      <c r="G4627" s="25" t="str">
        <f aca="false">IF(A4627="","",IF(AND(C4627&lt;&gt;"No encontrado",F4627&lt;&gt;"Inactivo"),C4627&amp;" → "&amp;F4627,"Sin transición"))</f>
        <v/>
      </c>
      <c r="H4627" s="23" t="str">
        <f aca="false">IF(A4627="","",IF(D4627="GCIA LINEA SERVICIO DIGITALIDAD Y VENTAS","Chats",IF(OR(D4627="GERENCIA INBOUND LÍNEAS SERVICIO Y VENTA",D4627="GERENCIA INBOUND LINEAS ESPECIALIZADAS"),"Llamadas","Otro")))</f>
        <v/>
      </c>
      <c r="I4627" s="23" t="str">
        <f aca="false">IF(A4627="","",IF(C4627="No encontrado","No","Sí"))</f>
        <v/>
      </c>
      <c r="J4627" s="23" t="str">
        <f aca="false">IF(A4627="","",IF(F4627="Inactivo","No","Sí"))</f>
        <v/>
      </c>
      <c r="K4627" s="23" t="str">
        <f aca="false">IF(A4627="","",IF(AND(I4627="Sí",J4627="Sí"),"Sí","No"))</f>
        <v/>
      </c>
    </row>
    <row r="4628" customFormat="false" ht="15" hidden="false" customHeight="false" outlineLevel="0" collapsed="false">
      <c r="A4628" s="22"/>
      <c r="B4628" s="22"/>
      <c r="C4628" s="26" t="str">
        <f aca="false">IF(A4628="","",IFERROR(buscarx(A4628&amp;B4628,DATA!$E$3:$E$10000&amp;DATA!$B$3:$B$10000,DATA!$M$3:$M$10000),"No encontrado"))</f>
        <v/>
      </c>
      <c r="D4628" s="27" t="str">
        <f aca="false">IF(A4628="","",IFERROR(buscarx(A4628&amp;B4628,DATA!$E$3:$E$10000&amp;DATA!$B$3:$B$10000,DATA!$W$3:$W$10000),"No encontrado"))</f>
        <v/>
      </c>
      <c r="E4628" s="22"/>
      <c r="F4628" s="26" t="str">
        <f aca="false">IF(A4628="","",IFERROR(buscarx(A4628&amp;E4628,DATA!$E$3:$E$10000&amp;DATA!$B$3:$B$10000,DATA!$M$3:$M$10000),"Inactivo"))</f>
        <v/>
      </c>
      <c r="G4628" s="28" t="str">
        <f aca="false">IF(A4628="","",IF(AND(C4628&lt;&gt;"No encontrado",F4628&lt;&gt;"Inactivo"),C4628&amp;" → "&amp;F4628,"Sin transición"))</f>
        <v/>
      </c>
      <c r="H4628" s="26" t="str">
        <f aca="false">IF(A4628="","",IF(D4628="GCIA LINEA SERVICIO DIGITALIDAD Y VENTAS","Chats",IF(OR(D4628="GERENCIA INBOUND LÍNEAS SERVICIO Y VENTA",D4628="GERENCIA INBOUND LINEAS ESPECIALIZADAS"),"Llamadas","Otro")))</f>
        <v/>
      </c>
      <c r="I4628" s="26" t="str">
        <f aca="false">IF(A4628="","",IF(C4628="No encontrado","No","Sí"))</f>
        <v/>
      </c>
      <c r="J4628" s="26" t="str">
        <f aca="false">IF(A4628="","",IF(F4628="Inactivo","No","Sí"))</f>
        <v/>
      </c>
      <c r="K4628" s="26" t="str">
        <f aca="false">IF(A4628="","",IF(AND(I4628="Sí",J4628="Sí"),"Sí","No"))</f>
        <v/>
      </c>
    </row>
    <row r="4629" customFormat="false" ht="15" hidden="false" customHeight="false" outlineLevel="0" collapsed="false">
      <c r="A4629" s="22"/>
      <c r="B4629" s="22"/>
      <c r="C4629" s="23" t="str">
        <f aca="false">IF(A4629="","",IFERROR(buscarx(A4629&amp;B4629,DATA!$E$3:$E$10000&amp;DATA!$B$3:$B$10000,DATA!$M$3:$M$10000),"No encontrado"))</f>
        <v/>
      </c>
      <c r="D4629" s="24" t="str">
        <f aca="false">IF(A4629="","",IFERROR(buscarx(A4629&amp;B4629,DATA!$E$3:$E$10000&amp;DATA!$B$3:$B$10000,DATA!$W$3:$W$10000),"No encontrado"))</f>
        <v/>
      </c>
      <c r="E4629" s="22"/>
      <c r="F4629" s="23" t="str">
        <f aca="false">IF(A4629="","",IFERROR(buscarx(A4629&amp;E4629,DATA!$E$3:$E$10000&amp;DATA!$B$3:$B$10000,DATA!$M$3:$M$10000),"Inactivo"))</f>
        <v/>
      </c>
      <c r="G4629" s="25" t="str">
        <f aca="false">IF(A4629="","",IF(AND(C4629&lt;&gt;"No encontrado",F4629&lt;&gt;"Inactivo"),C4629&amp;" → "&amp;F4629,"Sin transición"))</f>
        <v/>
      </c>
      <c r="H4629" s="23" t="str">
        <f aca="false">IF(A4629="","",IF(D4629="GCIA LINEA SERVICIO DIGITALIDAD Y VENTAS","Chats",IF(OR(D4629="GERENCIA INBOUND LÍNEAS SERVICIO Y VENTA",D4629="GERENCIA INBOUND LINEAS ESPECIALIZADAS"),"Llamadas","Otro")))</f>
        <v/>
      </c>
      <c r="I4629" s="23" t="str">
        <f aca="false">IF(A4629="","",IF(C4629="No encontrado","No","Sí"))</f>
        <v/>
      </c>
      <c r="J4629" s="23" t="str">
        <f aca="false">IF(A4629="","",IF(F4629="Inactivo","No","Sí"))</f>
        <v/>
      </c>
      <c r="K4629" s="23" t="str">
        <f aca="false">IF(A4629="","",IF(AND(I4629="Sí",J4629="Sí"),"Sí","No"))</f>
        <v/>
      </c>
    </row>
    <row r="4630" customFormat="false" ht="15" hidden="false" customHeight="false" outlineLevel="0" collapsed="false">
      <c r="A4630" s="22"/>
      <c r="B4630" s="22"/>
      <c r="C4630" s="26" t="str">
        <f aca="false">IF(A4630="","",IFERROR(buscarx(A4630&amp;B4630,DATA!$E$3:$E$10000&amp;DATA!$B$3:$B$10000,DATA!$M$3:$M$10000),"No encontrado"))</f>
        <v/>
      </c>
      <c r="D4630" s="27" t="str">
        <f aca="false">IF(A4630="","",IFERROR(buscarx(A4630&amp;B4630,DATA!$E$3:$E$10000&amp;DATA!$B$3:$B$10000,DATA!$W$3:$W$10000),"No encontrado"))</f>
        <v/>
      </c>
      <c r="E4630" s="22"/>
      <c r="F4630" s="26" t="str">
        <f aca="false">IF(A4630="","",IFERROR(buscarx(A4630&amp;E4630,DATA!$E$3:$E$10000&amp;DATA!$B$3:$B$10000,DATA!$M$3:$M$10000),"Inactivo"))</f>
        <v/>
      </c>
      <c r="G4630" s="28" t="str">
        <f aca="false">IF(A4630="","",IF(AND(C4630&lt;&gt;"No encontrado",F4630&lt;&gt;"Inactivo"),C4630&amp;" → "&amp;F4630,"Sin transición"))</f>
        <v/>
      </c>
      <c r="H4630" s="26" t="str">
        <f aca="false">IF(A4630="","",IF(D4630="GCIA LINEA SERVICIO DIGITALIDAD Y VENTAS","Chats",IF(OR(D4630="GERENCIA INBOUND LÍNEAS SERVICIO Y VENTA",D4630="GERENCIA INBOUND LINEAS ESPECIALIZADAS"),"Llamadas","Otro")))</f>
        <v/>
      </c>
      <c r="I4630" s="26" t="str">
        <f aca="false">IF(A4630="","",IF(C4630="No encontrado","No","Sí"))</f>
        <v/>
      </c>
      <c r="J4630" s="26" t="str">
        <f aca="false">IF(A4630="","",IF(F4630="Inactivo","No","Sí"))</f>
        <v/>
      </c>
      <c r="K4630" s="26" t="str">
        <f aca="false">IF(A4630="","",IF(AND(I4630="Sí",J4630="Sí"),"Sí","No"))</f>
        <v/>
      </c>
    </row>
    <row r="4631" customFormat="false" ht="15" hidden="false" customHeight="false" outlineLevel="0" collapsed="false">
      <c r="A4631" s="22"/>
      <c r="B4631" s="22"/>
      <c r="C4631" s="23" t="str">
        <f aca="false">IF(A4631="","",IFERROR(buscarx(A4631&amp;B4631,DATA!$E$3:$E$10000&amp;DATA!$B$3:$B$10000,DATA!$M$3:$M$10000),"No encontrado"))</f>
        <v/>
      </c>
      <c r="D4631" s="24" t="str">
        <f aca="false">IF(A4631="","",IFERROR(buscarx(A4631&amp;B4631,DATA!$E$3:$E$10000&amp;DATA!$B$3:$B$10000,DATA!$W$3:$W$10000),"No encontrado"))</f>
        <v/>
      </c>
      <c r="E4631" s="22"/>
      <c r="F4631" s="23" t="str">
        <f aca="false">IF(A4631="","",IFERROR(buscarx(A4631&amp;E4631,DATA!$E$3:$E$10000&amp;DATA!$B$3:$B$10000,DATA!$M$3:$M$10000),"Inactivo"))</f>
        <v/>
      </c>
      <c r="G4631" s="25" t="str">
        <f aca="false">IF(A4631="","",IF(AND(C4631&lt;&gt;"No encontrado",F4631&lt;&gt;"Inactivo"),C4631&amp;" → "&amp;F4631,"Sin transición"))</f>
        <v/>
      </c>
      <c r="H4631" s="23" t="str">
        <f aca="false">IF(A4631="","",IF(D4631="GCIA LINEA SERVICIO DIGITALIDAD Y VENTAS","Chats",IF(OR(D4631="GERENCIA INBOUND LÍNEAS SERVICIO Y VENTA",D4631="GERENCIA INBOUND LINEAS ESPECIALIZADAS"),"Llamadas","Otro")))</f>
        <v/>
      </c>
      <c r="I4631" s="23" t="str">
        <f aca="false">IF(A4631="","",IF(C4631="No encontrado","No","Sí"))</f>
        <v/>
      </c>
      <c r="J4631" s="23" t="str">
        <f aca="false">IF(A4631="","",IF(F4631="Inactivo","No","Sí"))</f>
        <v/>
      </c>
      <c r="K4631" s="23" t="str">
        <f aca="false">IF(A4631="","",IF(AND(I4631="Sí",J4631="Sí"),"Sí","No"))</f>
        <v/>
      </c>
    </row>
    <row r="4632" customFormat="false" ht="15" hidden="false" customHeight="false" outlineLevel="0" collapsed="false">
      <c r="A4632" s="22"/>
      <c r="B4632" s="22"/>
      <c r="C4632" s="26" t="str">
        <f aca="false">IF(A4632="","",IFERROR(buscarx(A4632&amp;B4632,DATA!$E$3:$E$10000&amp;DATA!$B$3:$B$10000,DATA!$M$3:$M$10000),"No encontrado"))</f>
        <v/>
      </c>
      <c r="D4632" s="27" t="str">
        <f aca="false">IF(A4632="","",IFERROR(buscarx(A4632&amp;B4632,DATA!$E$3:$E$10000&amp;DATA!$B$3:$B$10000,DATA!$W$3:$W$10000),"No encontrado"))</f>
        <v/>
      </c>
      <c r="E4632" s="22"/>
      <c r="F4632" s="26" t="str">
        <f aca="false">IF(A4632="","",IFERROR(buscarx(A4632&amp;E4632,DATA!$E$3:$E$10000&amp;DATA!$B$3:$B$10000,DATA!$M$3:$M$10000),"Inactivo"))</f>
        <v/>
      </c>
      <c r="G4632" s="28" t="str">
        <f aca="false">IF(A4632="","",IF(AND(C4632&lt;&gt;"No encontrado",F4632&lt;&gt;"Inactivo"),C4632&amp;" → "&amp;F4632,"Sin transición"))</f>
        <v/>
      </c>
      <c r="H4632" s="26" t="str">
        <f aca="false">IF(A4632="","",IF(D4632="GCIA LINEA SERVICIO DIGITALIDAD Y VENTAS","Chats",IF(OR(D4632="GERENCIA INBOUND LÍNEAS SERVICIO Y VENTA",D4632="GERENCIA INBOUND LINEAS ESPECIALIZADAS"),"Llamadas","Otro")))</f>
        <v/>
      </c>
      <c r="I4632" s="26" t="str">
        <f aca="false">IF(A4632="","",IF(C4632="No encontrado","No","Sí"))</f>
        <v/>
      </c>
      <c r="J4632" s="26" t="str">
        <f aca="false">IF(A4632="","",IF(F4632="Inactivo","No","Sí"))</f>
        <v/>
      </c>
      <c r="K4632" s="26" t="str">
        <f aca="false">IF(A4632="","",IF(AND(I4632="Sí",J4632="Sí"),"Sí","No"))</f>
        <v/>
      </c>
    </row>
    <row r="4633" customFormat="false" ht="15" hidden="false" customHeight="false" outlineLevel="0" collapsed="false">
      <c r="A4633" s="22"/>
      <c r="B4633" s="22"/>
      <c r="C4633" s="23" t="str">
        <f aca="false">IF(A4633="","",IFERROR(buscarx(A4633&amp;B4633,DATA!$E$3:$E$10000&amp;DATA!$B$3:$B$10000,DATA!$M$3:$M$10000),"No encontrado"))</f>
        <v/>
      </c>
      <c r="D4633" s="24" t="str">
        <f aca="false">IF(A4633="","",IFERROR(buscarx(A4633&amp;B4633,DATA!$E$3:$E$10000&amp;DATA!$B$3:$B$10000,DATA!$W$3:$W$10000),"No encontrado"))</f>
        <v/>
      </c>
      <c r="E4633" s="22"/>
      <c r="F4633" s="23" t="str">
        <f aca="false">IF(A4633="","",IFERROR(buscarx(A4633&amp;E4633,DATA!$E$3:$E$10000&amp;DATA!$B$3:$B$10000,DATA!$M$3:$M$10000),"Inactivo"))</f>
        <v/>
      </c>
      <c r="G4633" s="25" t="str">
        <f aca="false">IF(A4633="","",IF(AND(C4633&lt;&gt;"No encontrado",F4633&lt;&gt;"Inactivo"),C4633&amp;" → "&amp;F4633,"Sin transición"))</f>
        <v/>
      </c>
      <c r="H4633" s="23" t="str">
        <f aca="false">IF(A4633="","",IF(D4633="GCIA LINEA SERVICIO DIGITALIDAD Y VENTAS","Chats",IF(OR(D4633="GERENCIA INBOUND LÍNEAS SERVICIO Y VENTA",D4633="GERENCIA INBOUND LINEAS ESPECIALIZADAS"),"Llamadas","Otro")))</f>
        <v/>
      </c>
      <c r="I4633" s="23" t="str">
        <f aca="false">IF(A4633="","",IF(C4633="No encontrado","No","Sí"))</f>
        <v/>
      </c>
      <c r="J4633" s="23" t="str">
        <f aca="false">IF(A4633="","",IF(F4633="Inactivo","No","Sí"))</f>
        <v/>
      </c>
      <c r="K4633" s="23" t="str">
        <f aca="false">IF(A4633="","",IF(AND(I4633="Sí",J4633="Sí"),"Sí","No"))</f>
        <v/>
      </c>
    </row>
    <row r="4634" customFormat="false" ht="15" hidden="false" customHeight="false" outlineLevel="0" collapsed="false">
      <c r="A4634" s="22"/>
      <c r="B4634" s="22"/>
      <c r="C4634" s="26" t="str">
        <f aca="false">IF(A4634="","",IFERROR(buscarx(A4634&amp;B4634,DATA!$E$3:$E$10000&amp;DATA!$B$3:$B$10000,DATA!$M$3:$M$10000),"No encontrado"))</f>
        <v/>
      </c>
      <c r="D4634" s="27" t="str">
        <f aca="false">IF(A4634="","",IFERROR(buscarx(A4634&amp;B4634,DATA!$E$3:$E$10000&amp;DATA!$B$3:$B$10000,DATA!$W$3:$W$10000),"No encontrado"))</f>
        <v/>
      </c>
      <c r="E4634" s="22"/>
      <c r="F4634" s="26" t="str">
        <f aca="false">IF(A4634="","",IFERROR(buscarx(A4634&amp;E4634,DATA!$E$3:$E$10000&amp;DATA!$B$3:$B$10000,DATA!$M$3:$M$10000),"Inactivo"))</f>
        <v/>
      </c>
      <c r="G4634" s="28" t="str">
        <f aca="false">IF(A4634="","",IF(AND(C4634&lt;&gt;"No encontrado",F4634&lt;&gt;"Inactivo"),C4634&amp;" → "&amp;F4634,"Sin transición"))</f>
        <v/>
      </c>
      <c r="H4634" s="26" t="str">
        <f aca="false">IF(A4634="","",IF(D4634="GCIA LINEA SERVICIO DIGITALIDAD Y VENTAS","Chats",IF(OR(D4634="GERENCIA INBOUND LÍNEAS SERVICIO Y VENTA",D4634="GERENCIA INBOUND LINEAS ESPECIALIZADAS"),"Llamadas","Otro")))</f>
        <v/>
      </c>
      <c r="I4634" s="26" t="str">
        <f aca="false">IF(A4634="","",IF(C4634="No encontrado","No","Sí"))</f>
        <v/>
      </c>
      <c r="J4634" s="26" t="str">
        <f aca="false">IF(A4634="","",IF(F4634="Inactivo","No","Sí"))</f>
        <v/>
      </c>
      <c r="K4634" s="26" t="str">
        <f aca="false">IF(A4634="","",IF(AND(I4634="Sí",J4634="Sí"),"Sí","No"))</f>
        <v/>
      </c>
    </row>
    <row r="4635" customFormat="false" ht="15" hidden="false" customHeight="false" outlineLevel="0" collapsed="false">
      <c r="A4635" s="22"/>
      <c r="B4635" s="22"/>
      <c r="C4635" s="23" t="str">
        <f aca="false">IF(A4635="","",IFERROR(buscarx(A4635&amp;B4635,DATA!$E$3:$E$10000&amp;DATA!$B$3:$B$10000,DATA!$M$3:$M$10000),"No encontrado"))</f>
        <v/>
      </c>
      <c r="D4635" s="24" t="str">
        <f aca="false">IF(A4635="","",IFERROR(buscarx(A4635&amp;B4635,DATA!$E$3:$E$10000&amp;DATA!$B$3:$B$10000,DATA!$W$3:$W$10000),"No encontrado"))</f>
        <v/>
      </c>
      <c r="E4635" s="22"/>
      <c r="F4635" s="23" t="str">
        <f aca="false">IF(A4635="","",IFERROR(buscarx(A4635&amp;E4635,DATA!$E$3:$E$10000&amp;DATA!$B$3:$B$10000,DATA!$M$3:$M$10000),"Inactivo"))</f>
        <v/>
      </c>
      <c r="G4635" s="25" t="str">
        <f aca="false">IF(A4635="","",IF(AND(C4635&lt;&gt;"No encontrado",F4635&lt;&gt;"Inactivo"),C4635&amp;" → "&amp;F4635,"Sin transición"))</f>
        <v/>
      </c>
      <c r="H4635" s="23" t="str">
        <f aca="false">IF(A4635="","",IF(D4635="GCIA LINEA SERVICIO DIGITALIDAD Y VENTAS","Chats",IF(OR(D4635="GERENCIA INBOUND LÍNEAS SERVICIO Y VENTA",D4635="GERENCIA INBOUND LINEAS ESPECIALIZADAS"),"Llamadas","Otro")))</f>
        <v/>
      </c>
      <c r="I4635" s="23" t="str">
        <f aca="false">IF(A4635="","",IF(C4635="No encontrado","No","Sí"))</f>
        <v/>
      </c>
      <c r="J4635" s="23" t="str">
        <f aca="false">IF(A4635="","",IF(F4635="Inactivo","No","Sí"))</f>
        <v/>
      </c>
      <c r="K4635" s="23" t="str">
        <f aca="false">IF(A4635="","",IF(AND(I4635="Sí",J4635="Sí"),"Sí","No"))</f>
        <v/>
      </c>
    </row>
    <row r="4636" customFormat="false" ht="15" hidden="false" customHeight="false" outlineLevel="0" collapsed="false">
      <c r="A4636" s="22"/>
      <c r="B4636" s="22"/>
      <c r="C4636" s="26" t="str">
        <f aca="false">IF(A4636="","",IFERROR(buscarx(A4636&amp;B4636,DATA!$E$3:$E$10000&amp;DATA!$B$3:$B$10000,DATA!$M$3:$M$10000),"No encontrado"))</f>
        <v/>
      </c>
      <c r="D4636" s="27" t="str">
        <f aca="false">IF(A4636="","",IFERROR(buscarx(A4636&amp;B4636,DATA!$E$3:$E$10000&amp;DATA!$B$3:$B$10000,DATA!$W$3:$W$10000),"No encontrado"))</f>
        <v/>
      </c>
      <c r="E4636" s="22"/>
      <c r="F4636" s="26" t="str">
        <f aca="false">IF(A4636="","",IFERROR(buscarx(A4636&amp;E4636,DATA!$E$3:$E$10000&amp;DATA!$B$3:$B$10000,DATA!$M$3:$M$10000),"Inactivo"))</f>
        <v/>
      </c>
      <c r="G4636" s="28" t="str">
        <f aca="false">IF(A4636="","",IF(AND(C4636&lt;&gt;"No encontrado",F4636&lt;&gt;"Inactivo"),C4636&amp;" → "&amp;F4636,"Sin transición"))</f>
        <v/>
      </c>
      <c r="H4636" s="26" t="str">
        <f aca="false">IF(A4636="","",IF(D4636="GCIA LINEA SERVICIO DIGITALIDAD Y VENTAS","Chats",IF(OR(D4636="GERENCIA INBOUND LÍNEAS SERVICIO Y VENTA",D4636="GERENCIA INBOUND LINEAS ESPECIALIZADAS"),"Llamadas","Otro")))</f>
        <v/>
      </c>
      <c r="I4636" s="26" t="str">
        <f aca="false">IF(A4636="","",IF(C4636="No encontrado","No","Sí"))</f>
        <v/>
      </c>
      <c r="J4636" s="26" t="str">
        <f aca="false">IF(A4636="","",IF(F4636="Inactivo","No","Sí"))</f>
        <v/>
      </c>
      <c r="K4636" s="26" t="str">
        <f aca="false">IF(A4636="","",IF(AND(I4636="Sí",J4636="Sí"),"Sí","No"))</f>
        <v/>
      </c>
    </row>
    <row r="4637" customFormat="false" ht="15" hidden="false" customHeight="false" outlineLevel="0" collapsed="false">
      <c r="A4637" s="22"/>
      <c r="B4637" s="22"/>
      <c r="C4637" s="23" t="str">
        <f aca="false">IF(A4637="","",IFERROR(buscarx(A4637&amp;B4637,DATA!$E$3:$E$10000&amp;DATA!$B$3:$B$10000,DATA!$M$3:$M$10000),"No encontrado"))</f>
        <v/>
      </c>
      <c r="D4637" s="24" t="str">
        <f aca="false">IF(A4637="","",IFERROR(buscarx(A4637&amp;B4637,DATA!$E$3:$E$10000&amp;DATA!$B$3:$B$10000,DATA!$W$3:$W$10000),"No encontrado"))</f>
        <v/>
      </c>
      <c r="E4637" s="22"/>
      <c r="F4637" s="23" t="str">
        <f aca="false">IF(A4637="","",IFERROR(buscarx(A4637&amp;E4637,DATA!$E$3:$E$10000&amp;DATA!$B$3:$B$10000,DATA!$M$3:$M$10000),"Inactivo"))</f>
        <v/>
      </c>
      <c r="G4637" s="25" t="str">
        <f aca="false">IF(A4637="","",IF(AND(C4637&lt;&gt;"No encontrado",F4637&lt;&gt;"Inactivo"),C4637&amp;" → "&amp;F4637,"Sin transición"))</f>
        <v/>
      </c>
      <c r="H4637" s="23" t="str">
        <f aca="false">IF(A4637="","",IF(D4637="GCIA LINEA SERVICIO DIGITALIDAD Y VENTAS","Chats",IF(OR(D4637="GERENCIA INBOUND LÍNEAS SERVICIO Y VENTA",D4637="GERENCIA INBOUND LINEAS ESPECIALIZADAS"),"Llamadas","Otro")))</f>
        <v/>
      </c>
      <c r="I4637" s="23" t="str">
        <f aca="false">IF(A4637="","",IF(C4637="No encontrado","No","Sí"))</f>
        <v/>
      </c>
      <c r="J4637" s="23" t="str">
        <f aca="false">IF(A4637="","",IF(F4637="Inactivo","No","Sí"))</f>
        <v/>
      </c>
      <c r="K4637" s="23" t="str">
        <f aca="false">IF(A4637="","",IF(AND(I4637="Sí",J4637="Sí"),"Sí","No"))</f>
        <v/>
      </c>
    </row>
    <row r="4638" customFormat="false" ht="15" hidden="false" customHeight="false" outlineLevel="0" collapsed="false">
      <c r="A4638" s="22"/>
      <c r="B4638" s="22"/>
      <c r="C4638" s="26" t="str">
        <f aca="false">IF(A4638="","",IFERROR(buscarx(A4638&amp;B4638,DATA!$E$3:$E$10000&amp;DATA!$B$3:$B$10000,DATA!$M$3:$M$10000),"No encontrado"))</f>
        <v/>
      </c>
      <c r="D4638" s="27" t="str">
        <f aca="false">IF(A4638="","",IFERROR(buscarx(A4638&amp;B4638,DATA!$E$3:$E$10000&amp;DATA!$B$3:$B$10000,DATA!$W$3:$W$10000),"No encontrado"))</f>
        <v/>
      </c>
      <c r="E4638" s="22"/>
      <c r="F4638" s="26" t="str">
        <f aca="false">IF(A4638="","",IFERROR(buscarx(A4638&amp;E4638,DATA!$E$3:$E$10000&amp;DATA!$B$3:$B$10000,DATA!$M$3:$M$10000),"Inactivo"))</f>
        <v/>
      </c>
      <c r="G4638" s="28" t="str">
        <f aca="false">IF(A4638="","",IF(AND(C4638&lt;&gt;"No encontrado",F4638&lt;&gt;"Inactivo"),C4638&amp;" → "&amp;F4638,"Sin transición"))</f>
        <v/>
      </c>
      <c r="H4638" s="26" t="str">
        <f aca="false">IF(A4638="","",IF(D4638="GCIA LINEA SERVICIO DIGITALIDAD Y VENTAS","Chats",IF(OR(D4638="GERENCIA INBOUND LÍNEAS SERVICIO Y VENTA",D4638="GERENCIA INBOUND LINEAS ESPECIALIZADAS"),"Llamadas","Otro")))</f>
        <v/>
      </c>
      <c r="I4638" s="26" t="str">
        <f aca="false">IF(A4638="","",IF(C4638="No encontrado","No","Sí"))</f>
        <v/>
      </c>
      <c r="J4638" s="26" t="str">
        <f aca="false">IF(A4638="","",IF(F4638="Inactivo","No","Sí"))</f>
        <v/>
      </c>
      <c r="K4638" s="26" t="str">
        <f aca="false">IF(A4638="","",IF(AND(I4638="Sí",J4638="Sí"),"Sí","No"))</f>
        <v/>
      </c>
    </row>
    <row r="4639" customFormat="false" ht="15" hidden="false" customHeight="false" outlineLevel="0" collapsed="false">
      <c r="A4639" s="22"/>
      <c r="B4639" s="22"/>
      <c r="C4639" s="23" t="str">
        <f aca="false">IF(A4639="","",IFERROR(buscarx(A4639&amp;B4639,DATA!$E$3:$E$10000&amp;DATA!$B$3:$B$10000,DATA!$M$3:$M$10000),"No encontrado"))</f>
        <v/>
      </c>
      <c r="D4639" s="24" t="str">
        <f aca="false">IF(A4639="","",IFERROR(buscarx(A4639&amp;B4639,DATA!$E$3:$E$10000&amp;DATA!$B$3:$B$10000,DATA!$W$3:$W$10000),"No encontrado"))</f>
        <v/>
      </c>
      <c r="E4639" s="22"/>
      <c r="F4639" s="23" t="str">
        <f aca="false">IF(A4639="","",IFERROR(buscarx(A4639&amp;E4639,DATA!$E$3:$E$10000&amp;DATA!$B$3:$B$10000,DATA!$M$3:$M$10000),"Inactivo"))</f>
        <v/>
      </c>
      <c r="G4639" s="25" t="str">
        <f aca="false">IF(A4639="","",IF(AND(C4639&lt;&gt;"No encontrado",F4639&lt;&gt;"Inactivo"),C4639&amp;" → "&amp;F4639,"Sin transición"))</f>
        <v/>
      </c>
      <c r="H4639" s="23" t="str">
        <f aca="false">IF(A4639="","",IF(D4639="GCIA LINEA SERVICIO DIGITALIDAD Y VENTAS","Chats",IF(OR(D4639="GERENCIA INBOUND LÍNEAS SERVICIO Y VENTA",D4639="GERENCIA INBOUND LINEAS ESPECIALIZADAS"),"Llamadas","Otro")))</f>
        <v/>
      </c>
      <c r="I4639" s="23" t="str">
        <f aca="false">IF(A4639="","",IF(C4639="No encontrado","No","Sí"))</f>
        <v/>
      </c>
      <c r="J4639" s="23" t="str">
        <f aca="false">IF(A4639="","",IF(F4639="Inactivo","No","Sí"))</f>
        <v/>
      </c>
      <c r="K4639" s="23" t="str">
        <f aca="false">IF(A4639="","",IF(AND(I4639="Sí",J4639="Sí"),"Sí","No"))</f>
        <v/>
      </c>
    </row>
    <row r="4640" customFormat="false" ht="15" hidden="false" customHeight="false" outlineLevel="0" collapsed="false">
      <c r="A4640" s="22"/>
      <c r="B4640" s="22"/>
      <c r="C4640" s="26" t="str">
        <f aca="false">IF(A4640="","",IFERROR(buscarx(A4640&amp;B4640,DATA!$E$3:$E$10000&amp;DATA!$B$3:$B$10000,DATA!$M$3:$M$10000),"No encontrado"))</f>
        <v/>
      </c>
      <c r="D4640" s="27" t="str">
        <f aca="false">IF(A4640="","",IFERROR(buscarx(A4640&amp;B4640,DATA!$E$3:$E$10000&amp;DATA!$B$3:$B$10000,DATA!$W$3:$W$10000),"No encontrado"))</f>
        <v/>
      </c>
      <c r="E4640" s="22"/>
      <c r="F4640" s="26" t="str">
        <f aca="false">IF(A4640="","",IFERROR(buscarx(A4640&amp;E4640,DATA!$E$3:$E$10000&amp;DATA!$B$3:$B$10000,DATA!$M$3:$M$10000),"Inactivo"))</f>
        <v/>
      </c>
      <c r="G4640" s="28" t="str">
        <f aca="false">IF(A4640="","",IF(AND(C4640&lt;&gt;"No encontrado",F4640&lt;&gt;"Inactivo"),C4640&amp;" → "&amp;F4640,"Sin transición"))</f>
        <v/>
      </c>
      <c r="H4640" s="26" t="str">
        <f aca="false">IF(A4640="","",IF(D4640="GCIA LINEA SERVICIO DIGITALIDAD Y VENTAS","Chats",IF(OR(D4640="GERENCIA INBOUND LÍNEAS SERVICIO Y VENTA",D4640="GERENCIA INBOUND LINEAS ESPECIALIZADAS"),"Llamadas","Otro")))</f>
        <v/>
      </c>
      <c r="I4640" s="26" t="str">
        <f aca="false">IF(A4640="","",IF(C4640="No encontrado","No","Sí"))</f>
        <v/>
      </c>
      <c r="J4640" s="26" t="str">
        <f aca="false">IF(A4640="","",IF(F4640="Inactivo","No","Sí"))</f>
        <v/>
      </c>
      <c r="K4640" s="26" t="str">
        <f aca="false">IF(A4640="","",IF(AND(I4640="Sí",J4640="Sí"),"Sí","No"))</f>
        <v/>
      </c>
    </row>
    <row r="4641" customFormat="false" ht="15" hidden="false" customHeight="false" outlineLevel="0" collapsed="false">
      <c r="A4641" s="22"/>
      <c r="B4641" s="22"/>
      <c r="C4641" s="23" t="str">
        <f aca="false">IF(A4641="","",IFERROR(buscarx(A4641&amp;B4641,DATA!$E$3:$E$10000&amp;DATA!$B$3:$B$10000,DATA!$M$3:$M$10000),"No encontrado"))</f>
        <v/>
      </c>
      <c r="D4641" s="24" t="str">
        <f aca="false">IF(A4641="","",IFERROR(buscarx(A4641&amp;B4641,DATA!$E$3:$E$10000&amp;DATA!$B$3:$B$10000,DATA!$W$3:$W$10000),"No encontrado"))</f>
        <v/>
      </c>
      <c r="E4641" s="22"/>
      <c r="F4641" s="23" t="str">
        <f aca="false">IF(A4641="","",IFERROR(buscarx(A4641&amp;E4641,DATA!$E$3:$E$10000&amp;DATA!$B$3:$B$10000,DATA!$M$3:$M$10000),"Inactivo"))</f>
        <v/>
      </c>
      <c r="G4641" s="25" t="str">
        <f aca="false">IF(A4641="","",IF(AND(C4641&lt;&gt;"No encontrado",F4641&lt;&gt;"Inactivo"),C4641&amp;" → "&amp;F4641,"Sin transición"))</f>
        <v/>
      </c>
      <c r="H4641" s="23" t="str">
        <f aca="false">IF(A4641="","",IF(D4641="GCIA LINEA SERVICIO DIGITALIDAD Y VENTAS","Chats",IF(OR(D4641="GERENCIA INBOUND LÍNEAS SERVICIO Y VENTA",D4641="GERENCIA INBOUND LINEAS ESPECIALIZADAS"),"Llamadas","Otro")))</f>
        <v/>
      </c>
      <c r="I4641" s="23" t="str">
        <f aca="false">IF(A4641="","",IF(C4641="No encontrado","No","Sí"))</f>
        <v/>
      </c>
      <c r="J4641" s="23" t="str">
        <f aca="false">IF(A4641="","",IF(F4641="Inactivo","No","Sí"))</f>
        <v/>
      </c>
      <c r="K4641" s="23" t="str">
        <f aca="false">IF(A4641="","",IF(AND(I4641="Sí",J4641="Sí"),"Sí","No"))</f>
        <v/>
      </c>
    </row>
    <row r="4642" customFormat="false" ht="15" hidden="false" customHeight="false" outlineLevel="0" collapsed="false">
      <c r="A4642" s="22"/>
      <c r="B4642" s="22"/>
      <c r="C4642" s="26" t="str">
        <f aca="false">IF(A4642="","",IFERROR(buscarx(A4642&amp;B4642,DATA!$E$3:$E$10000&amp;DATA!$B$3:$B$10000,DATA!$M$3:$M$10000),"No encontrado"))</f>
        <v/>
      </c>
      <c r="D4642" s="27" t="str">
        <f aca="false">IF(A4642="","",IFERROR(buscarx(A4642&amp;B4642,DATA!$E$3:$E$10000&amp;DATA!$B$3:$B$10000,DATA!$W$3:$W$10000),"No encontrado"))</f>
        <v/>
      </c>
      <c r="E4642" s="22"/>
      <c r="F4642" s="26" t="str">
        <f aca="false">IF(A4642="","",IFERROR(buscarx(A4642&amp;E4642,DATA!$E$3:$E$10000&amp;DATA!$B$3:$B$10000,DATA!$M$3:$M$10000),"Inactivo"))</f>
        <v/>
      </c>
      <c r="G4642" s="28" t="str">
        <f aca="false">IF(A4642="","",IF(AND(C4642&lt;&gt;"No encontrado",F4642&lt;&gt;"Inactivo"),C4642&amp;" → "&amp;F4642,"Sin transición"))</f>
        <v/>
      </c>
      <c r="H4642" s="26" t="str">
        <f aca="false">IF(A4642="","",IF(D4642="GCIA LINEA SERVICIO DIGITALIDAD Y VENTAS","Chats",IF(OR(D4642="GERENCIA INBOUND LÍNEAS SERVICIO Y VENTA",D4642="GERENCIA INBOUND LINEAS ESPECIALIZADAS"),"Llamadas","Otro")))</f>
        <v/>
      </c>
      <c r="I4642" s="26" t="str">
        <f aca="false">IF(A4642="","",IF(C4642="No encontrado","No","Sí"))</f>
        <v/>
      </c>
      <c r="J4642" s="26" t="str">
        <f aca="false">IF(A4642="","",IF(F4642="Inactivo","No","Sí"))</f>
        <v/>
      </c>
      <c r="K4642" s="26" t="str">
        <f aca="false">IF(A4642="","",IF(AND(I4642="Sí",J4642="Sí"),"Sí","No"))</f>
        <v/>
      </c>
    </row>
    <row r="4643" customFormat="false" ht="15" hidden="false" customHeight="false" outlineLevel="0" collapsed="false">
      <c r="A4643" s="22"/>
      <c r="B4643" s="22"/>
      <c r="C4643" s="23" t="str">
        <f aca="false">IF(A4643="","",IFERROR(buscarx(A4643&amp;B4643,DATA!$E$3:$E$10000&amp;DATA!$B$3:$B$10000,DATA!$M$3:$M$10000),"No encontrado"))</f>
        <v/>
      </c>
      <c r="D4643" s="24" t="str">
        <f aca="false">IF(A4643="","",IFERROR(buscarx(A4643&amp;B4643,DATA!$E$3:$E$10000&amp;DATA!$B$3:$B$10000,DATA!$W$3:$W$10000),"No encontrado"))</f>
        <v/>
      </c>
      <c r="E4643" s="22"/>
      <c r="F4643" s="23" t="str">
        <f aca="false">IF(A4643="","",IFERROR(buscarx(A4643&amp;E4643,DATA!$E$3:$E$10000&amp;DATA!$B$3:$B$10000,DATA!$M$3:$M$10000),"Inactivo"))</f>
        <v/>
      </c>
      <c r="G4643" s="25" t="str">
        <f aca="false">IF(A4643="","",IF(AND(C4643&lt;&gt;"No encontrado",F4643&lt;&gt;"Inactivo"),C4643&amp;" → "&amp;F4643,"Sin transición"))</f>
        <v/>
      </c>
      <c r="H4643" s="23" t="str">
        <f aca="false">IF(A4643="","",IF(D4643="GCIA LINEA SERVICIO DIGITALIDAD Y VENTAS","Chats",IF(OR(D4643="GERENCIA INBOUND LÍNEAS SERVICIO Y VENTA",D4643="GERENCIA INBOUND LINEAS ESPECIALIZADAS"),"Llamadas","Otro")))</f>
        <v/>
      </c>
      <c r="I4643" s="23" t="str">
        <f aca="false">IF(A4643="","",IF(C4643="No encontrado","No","Sí"))</f>
        <v/>
      </c>
      <c r="J4643" s="23" t="str">
        <f aca="false">IF(A4643="","",IF(F4643="Inactivo","No","Sí"))</f>
        <v/>
      </c>
      <c r="K4643" s="23" t="str">
        <f aca="false">IF(A4643="","",IF(AND(I4643="Sí",J4643="Sí"),"Sí","No"))</f>
        <v/>
      </c>
    </row>
    <row r="4644" customFormat="false" ht="15" hidden="false" customHeight="false" outlineLevel="0" collapsed="false">
      <c r="A4644" s="22"/>
      <c r="B4644" s="22"/>
      <c r="C4644" s="26" t="str">
        <f aca="false">IF(A4644="","",IFERROR(buscarx(A4644&amp;B4644,DATA!$E$3:$E$10000&amp;DATA!$B$3:$B$10000,DATA!$M$3:$M$10000),"No encontrado"))</f>
        <v/>
      </c>
      <c r="D4644" s="27" t="str">
        <f aca="false">IF(A4644="","",IFERROR(buscarx(A4644&amp;B4644,DATA!$E$3:$E$10000&amp;DATA!$B$3:$B$10000,DATA!$W$3:$W$10000),"No encontrado"))</f>
        <v/>
      </c>
      <c r="E4644" s="22"/>
      <c r="F4644" s="26" t="str">
        <f aca="false">IF(A4644="","",IFERROR(buscarx(A4644&amp;E4644,DATA!$E$3:$E$10000&amp;DATA!$B$3:$B$10000,DATA!$M$3:$M$10000),"Inactivo"))</f>
        <v/>
      </c>
      <c r="G4644" s="28" t="str">
        <f aca="false">IF(A4644="","",IF(AND(C4644&lt;&gt;"No encontrado",F4644&lt;&gt;"Inactivo"),C4644&amp;" → "&amp;F4644,"Sin transición"))</f>
        <v/>
      </c>
      <c r="H4644" s="26" t="str">
        <f aca="false">IF(A4644="","",IF(D4644="GCIA LINEA SERVICIO DIGITALIDAD Y VENTAS","Chats",IF(OR(D4644="GERENCIA INBOUND LÍNEAS SERVICIO Y VENTA",D4644="GERENCIA INBOUND LINEAS ESPECIALIZADAS"),"Llamadas","Otro")))</f>
        <v/>
      </c>
      <c r="I4644" s="26" t="str">
        <f aca="false">IF(A4644="","",IF(C4644="No encontrado","No","Sí"))</f>
        <v/>
      </c>
      <c r="J4644" s="26" t="str">
        <f aca="false">IF(A4644="","",IF(F4644="Inactivo","No","Sí"))</f>
        <v/>
      </c>
      <c r="K4644" s="26" t="str">
        <f aca="false">IF(A4644="","",IF(AND(I4644="Sí",J4644="Sí"),"Sí","No"))</f>
        <v/>
      </c>
    </row>
    <row r="4645" customFormat="false" ht="15" hidden="false" customHeight="false" outlineLevel="0" collapsed="false">
      <c r="A4645" s="22"/>
      <c r="B4645" s="22"/>
      <c r="C4645" s="23" t="str">
        <f aca="false">IF(A4645="","",IFERROR(buscarx(A4645&amp;B4645,DATA!$E$3:$E$10000&amp;DATA!$B$3:$B$10000,DATA!$M$3:$M$10000),"No encontrado"))</f>
        <v/>
      </c>
      <c r="D4645" s="24" t="str">
        <f aca="false">IF(A4645="","",IFERROR(buscarx(A4645&amp;B4645,DATA!$E$3:$E$10000&amp;DATA!$B$3:$B$10000,DATA!$W$3:$W$10000),"No encontrado"))</f>
        <v/>
      </c>
      <c r="E4645" s="22"/>
      <c r="F4645" s="23" t="str">
        <f aca="false">IF(A4645="","",IFERROR(buscarx(A4645&amp;E4645,DATA!$E$3:$E$10000&amp;DATA!$B$3:$B$10000,DATA!$M$3:$M$10000),"Inactivo"))</f>
        <v/>
      </c>
      <c r="G4645" s="25" t="str">
        <f aca="false">IF(A4645="","",IF(AND(C4645&lt;&gt;"No encontrado",F4645&lt;&gt;"Inactivo"),C4645&amp;" → "&amp;F4645,"Sin transición"))</f>
        <v/>
      </c>
      <c r="H4645" s="23" t="str">
        <f aca="false">IF(A4645="","",IF(D4645="GCIA LINEA SERVICIO DIGITALIDAD Y VENTAS","Chats",IF(OR(D4645="GERENCIA INBOUND LÍNEAS SERVICIO Y VENTA",D4645="GERENCIA INBOUND LINEAS ESPECIALIZADAS"),"Llamadas","Otro")))</f>
        <v/>
      </c>
      <c r="I4645" s="23" t="str">
        <f aca="false">IF(A4645="","",IF(C4645="No encontrado","No","Sí"))</f>
        <v/>
      </c>
      <c r="J4645" s="23" t="str">
        <f aca="false">IF(A4645="","",IF(F4645="Inactivo","No","Sí"))</f>
        <v/>
      </c>
      <c r="K4645" s="23" t="str">
        <f aca="false">IF(A4645="","",IF(AND(I4645="Sí",J4645="Sí"),"Sí","No"))</f>
        <v/>
      </c>
    </row>
    <row r="4646" customFormat="false" ht="15" hidden="false" customHeight="false" outlineLevel="0" collapsed="false">
      <c r="A4646" s="22"/>
      <c r="B4646" s="22"/>
      <c r="C4646" s="26" t="str">
        <f aca="false">IF(A4646="","",IFERROR(buscarx(A4646&amp;B4646,DATA!$E$3:$E$10000&amp;DATA!$B$3:$B$10000,DATA!$M$3:$M$10000),"No encontrado"))</f>
        <v/>
      </c>
      <c r="D4646" s="27" t="str">
        <f aca="false">IF(A4646="","",IFERROR(buscarx(A4646&amp;B4646,DATA!$E$3:$E$10000&amp;DATA!$B$3:$B$10000,DATA!$W$3:$W$10000),"No encontrado"))</f>
        <v/>
      </c>
      <c r="E4646" s="22"/>
      <c r="F4646" s="26" t="str">
        <f aca="false">IF(A4646="","",IFERROR(buscarx(A4646&amp;E4646,DATA!$E$3:$E$10000&amp;DATA!$B$3:$B$10000,DATA!$M$3:$M$10000),"Inactivo"))</f>
        <v/>
      </c>
      <c r="G4646" s="28" t="str">
        <f aca="false">IF(A4646="","",IF(AND(C4646&lt;&gt;"No encontrado",F4646&lt;&gt;"Inactivo"),C4646&amp;" → "&amp;F4646,"Sin transición"))</f>
        <v/>
      </c>
      <c r="H4646" s="26" t="str">
        <f aca="false">IF(A4646="","",IF(D4646="GCIA LINEA SERVICIO DIGITALIDAD Y VENTAS","Chats",IF(OR(D4646="GERENCIA INBOUND LÍNEAS SERVICIO Y VENTA",D4646="GERENCIA INBOUND LINEAS ESPECIALIZADAS"),"Llamadas","Otro")))</f>
        <v/>
      </c>
      <c r="I4646" s="26" t="str">
        <f aca="false">IF(A4646="","",IF(C4646="No encontrado","No","Sí"))</f>
        <v/>
      </c>
      <c r="J4646" s="26" t="str">
        <f aca="false">IF(A4646="","",IF(F4646="Inactivo","No","Sí"))</f>
        <v/>
      </c>
      <c r="K4646" s="26" t="str">
        <f aca="false">IF(A4646="","",IF(AND(I4646="Sí",J4646="Sí"),"Sí","No"))</f>
        <v/>
      </c>
    </row>
    <row r="4647" customFormat="false" ht="15" hidden="false" customHeight="false" outlineLevel="0" collapsed="false">
      <c r="A4647" s="22"/>
      <c r="B4647" s="22"/>
      <c r="C4647" s="23" t="str">
        <f aca="false">IF(A4647="","",IFERROR(buscarx(A4647&amp;B4647,DATA!$E$3:$E$10000&amp;DATA!$B$3:$B$10000,DATA!$M$3:$M$10000),"No encontrado"))</f>
        <v/>
      </c>
      <c r="D4647" s="24" t="str">
        <f aca="false">IF(A4647="","",IFERROR(buscarx(A4647&amp;B4647,DATA!$E$3:$E$10000&amp;DATA!$B$3:$B$10000,DATA!$W$3:$W$10000),"No encontrado"))</f>
        <v/>
      </c>
      <c r="E4647" s="22"/>
      <c r="F4647" s="23" t="str">
        <f aca="false">IF(A4647="","",IFERROR(buscarx(A4647&amp;E4647,DATA!$E$3:$E$10000&amp;DATA!$B$3:$B$10000,DATA!$M$3:$M$10000),"Inactivo"))</f>
        <v/>
      </c>
      <c r="G4647" s="25" t="str">
        <f aca="false">IF(A4647="","",IF(AND(C4647&lt;&gt;"No encontrado",F4647&lt;&gt;"Inactivo"),C4647&amp;" → "&amp;F4647,"Sin transición"))</f>
        <v/>
      </c>
      <c r="H4647" s="23" t="str">
        <f aca="false">IF(A4647="","",IF(D4647="GCIA LINEA SERVICIO DIGITALIDAD Y VENTAS","Chats",IF(OR(D4647="GERENCIA INBOUND LÍNEAS SERVICIO Y VENTA",D4647="GERENCIA INBOUND LINEAS ESPECIALIZADAS"),"Llamadas","Otro")))</f>
        <v/>
      </c>
      <c r="I4647" s="23" t="str">
        <f aca="false">IF(A4647="","",IF(C4647="No encontrado","No","Sí"))</f>
        <v/>
      </c>
      <c r="J4647" s="23" t="str">
        <f aca="false">IF(A4647="","",IF(F4647="Inactivo","No","Sí"))</f>
        <v/>
      </c>
      <c r="K4647" s="23" t="str">
        <f aca="false">IF(A4647="","",IF(AND(I4647="Sí",J4647="Sí"),"Sí","No"))</f>
        <v/>
      </c>
    </row>
    <row r="4648" customFormat="false" ht="15" hidden="false" customHeight="false" outlineLevel="0" collapsed="false">
      <c r="A4648" s="22"/>
      <c r="B4648" s="22"/>
      <c r="C4648" s="26" t="str">
        <f aca="false">IF(A4648="","",IFERROR(buscarx(A4648&amp;B4648,DATA!$E$3:$E$10000&amp;DATA!$B$3:$B$10000,DATA!$M$3:$M$10000),"No encontrado"))</f>
        <v/>
      </c>
      <c r="D4648" s="27" t="str">
        <f aca="false">IF(A4648="","",IFERROR(buscarx(A4648&amp;B4648,DATA!$E$3:$E$10000&amp;DATA!$B$3:$B$10000,DATA!$W$3:$W$10000),"No encontrado"))</f>
        <v/>
      </c>
      <c r="E4648" s="22"/>
      <c r="F4648" s="26" t="str">
        <f aca="false">IF(A4648="","",IFERROR(buscarx(A4648&amp;E4648,DATA!$E$3:$E$10000&amp;DATA!$B$3:$B$10000,DATA!$M$3:$M$10000),"Inactivo"))</f>
        <v/>
      </c>
      <c r="G4648" s="28" t="str">
        <f aca="false">IF(A4648="","",IF(AND(C4648&lt;&gt;"No encontrado",F4648&lt;&gt;"Inactivo"),C4648&amp;" → "&amp;F4648,"Sin transición"))</f>
        <v/>
      </c>
      <c r="H4648" s="26" t="str">
        <f aca="false">IF(A4648="","",IF(D4648="GCIA LINEA SERVICIO DIGITALIDAD Y VENTAS","Chats",IF(OR(D4648="GERENCIA INBOUND LÍNEAS SERVICIO Y VENTA",D4648="GERENCIA INBOUND LINEAS ESPECIALIZADAS"),"Llamadas","Otro")))</f>
        <v/>
      </c>
      <c r="I4648" s="26" t="str">
        <f aca="false">IF(A4648="","",IF(C4648="No encontrado","No","Sí"))</f>
        <v/>
      </c>
      <c r="J4648" s="26" t="str">
        <f aca="false">IF(A4648="","",IF(F4648="Inactivo","No","Sí"))</f>
        <v/>
      </c>
      <c r="K4648" s="26" t="str">
        <f aca="false">IF(A4648="","",IF(AND(I4648="Sí",J4648="Sí"),"Sí","No"))</f>
        <v/>
      </c>
    </row>
    <row r="4649" customFormat="false" ht="15" hidden="false" customHeight="false" outlineLevel="0" collapsed="false">
      <c r="A4649" s="22"/>
      <c r="B4649" s="22"/>
      <c r="C4649" s="23" t="str">
        <f aca="false">IF(A4649="","",IFERROR(buscarx(A4649&amp;B4649,DATA!$E$3:$E$10000&amp;DATA!$B$3:$B$10000,DATA!$M$3:$M$10000),"No encontrado"))</f>
        <v/>
      </c>
      <c r="D4649" s="24" t="str">
        <f aca="false">IF(A4649="","",IFERROR(buscarx(A4649&amp;B4649,DATA!$E$3:$E$10000&amp;DATA!$B$3:$B$10000,DATA!$W$3:$W$10000),"No encontrado"))</f>
        <v/>
      </c>
      <c r="E4649" s="22"/>
      <c r="F4649" s="23" t="str">
        <f aca="false">IF(A4649="","",IFERROR(buscarx(A4649&amp;E4649,DATA!$E$3:$E$10000&amp;DATA!$B$3:$B$10000,DATA!$M$3:$M$10000),"Inactivo"))</f>
        <v/>
      </c>
      <c r="G4649" s="25" t="str">
        <f aca="false">IF(A4649="","",IF(AND(C4649&lt;&gt;"No encontrado",F4649&lt;&gt;"Inactivo"),C4649&amp;" → "&amp;F4649,"Sin transición"))</f>
        <v/>
      </c>
      <c r="H4649" s="23" t="str">
        <f aca="false">IF(A4649="","",IF(D4649="GCIA LINEA SERVICIO DIGITALIDAD Y VENTAS","Chats",IF(OR(D4649="GERENCIA INBOUND LÍNEAS SERVICIO Y VENTA",D4649="GERENCIA INBOUND LINEAS ESPECIALIZADAS"),"Llamadas","Otro")))</f>
        <v/>
      </c>
      <c r="I4649" s="23" t="str">
        <f aca="false">IF(A4649="","",IF(C4649="No encontrado","No","Sí"))</f>
        <v/>
      </c>
      <c r="J4649" s="23" t="str">
        <f aca="false">IF(A4649="","",IF(F4649="Inactivo","No","Sí"))</f>
        <v/>
      </c>
      <c r="K4649" s="23" t="str">
        <f aca="false">IF(A4649="","",IF(AND(I4649="Sí",J4649="Sí"),"Sí","No"))</f>
        <v/>
      </c>
    </row>
    <row r="4650" customFormat="false" ht="15" hidden="false" customHeight="false" outlineLevel="0" collapsed="false">
      <c r="A4650" s="22"/>
      <c r="B4650" s="22"/>
      <c r="C4650" s="26" t="str">
        <f aca="false">IF(A4650="","",IFERROR(buscarx(A4650&amp;B4650,DATA!$E$3:$E$10000&amp;DATA!$B$3:$B$10000,DATA!$M$3:$M$10000),"No encontrado"))</f>
        <v/>
      </c>
      <c r="D4650" s="27" t="str">
        <f aca="false">IF(A4650="","",IFERROR(buscarx(A4650&amp;B4650,DATA!$E$3:$E$10000&amp;DATA!$B$3:$B$10000,DATA!$W$3:$W$10000),"No encontrado"))</f>
        <v/>
      </c>
      <c r="E4650" s="22"/>
      <c r="F4650" s="26" t="str">
        <f aca="false">IF(A4650="","",IFERROR(buscarx(A4650&amp;E4650,DATA!$E$3:$E$10000&amp;DATA!$B$3:$B$10000,DATA!$M$3:$M$10000),"Inactivo"))</f>
        <v/>
      </c>
      <c r="G4650" s="28" t="str">
        <f aca="false">IF(A4650="","",IF(AND(C4650&lt;&gt;"No encontrado",F4650&lt;&gt;"Inactivo"),C4650&amp;" → "&amp;F4650,"Sin transición"))</f>
        <v/>
      </c>
      <c r="H4650" s="26" t="str">
        <f aca="false">IF(A4650="","",IF(D4650="GCIA LINEA SERVICIO DIGITALIDAD Y VENTAS","Chats",IF(OR(D4650="GERENCIA INBOUND LÍNEAS SERVICIO Y VENTA",D4650="GERENCIA INBOUND LINEAS ESPECIALIZADAS"),"Llamadas","Otro")))</f>
        <v/>
      </c>
      <c r="I4650" s="26" t="str">
        <f aca="false">IF(A4650="","",IF(C4650="No encontrado","No","Sí"))</f>
        <v/>
      </c>
      <c r="J4650" s="26" t="str">
        <f aca="false">IF(A4650="","",IF(F4650="Inactivo","No","Sí"))</f>
        <v/>
      </c>
      <c r="K4650" s="26" t="str">
        <f aca="false">IF(A4650="","",IF(AND(I4650="Sí",J4650="Sí"),"Sí","No"))</f>
        <v/>
      </c>
    </row>
    <row r="4651" customFormat="false" ht="15" hidden="false" customHeight="false" outlineLevel="0" collapsed="false">
      <c r="A4651" s="22"/>
      <c r="B4651" s="22"/>
      <c r="C4651" s="23" t="str">
        <f aca="false">IF(A4651="","",IFERROR(buscarx(A4651&amp;B4651,DATA!$E$3:$E$10000&amp;DATA!$B$3:$B$10000,DATA!$M$3:$M$10000),"No encontrado"))</f>
        <v/>
      </c>
      <c r="D4651" s="24" t="str">
        <f aca="false">IF(A4651="","",IFERROR(buscarx(A4651&amp;B4651,DATA!$E$3:$E$10000&amp;DATA!$B$3:$B$10000,DATA!$W$3:$W$10000),"No encontrado"))</f>
        <v/>
      </c>
      <c r="E4651" s="22"/>
      <c r="F4651" s="23" t="str">
        <f aca="false">IF(A4651="","",IFERROR(buscarx(A4651&amp;E4651,DATA!$E$3:$E$10000&amp;DATA!$B$3:$B$10000,DATA!$M$3:$M$10000),"Inactivo"))</f>
        <v/>
      </c>
      <c r="G4651" s="25" t="str">
        <f aca="false">IF(A4651="","",IF(AND(C4651&lt;&gt;"No encontrado",F4651&lt;&gt;"Inactivo"),C4651&amp;" → "&amp;F4651,"Sin transición"))</f>
        <v/>
      </c>
      <c r="H4651" s="23" t="str">
        <f aca="false">IF(A4651="","",IF(D4651="GCIA LINEA SERVICIO DIGITALIDAD Y VENTAS","Chats",IF(OR(D4651="GERENCIA INBOUND LÍNEAS SERVICIO Y VENTA",D4651="GERENCIA INBOUND LINEAS ESPECIALIZADAS"),"Llamadas","Otro")))</f>
        <v/>
      </c>
      <c r="I4651" s="23" t="str">
        <f aca="false">IF(A4651="","",IF(C4651="No encontrado","No","Sí"))</f>
        <v/>
      </c>
      <c r="J4651" s="23" t="str">
        <f aca="false">IF(A4651="","",IF(F4651="Inactivo","No","Sí"))</f>
        <v/>
      </c>
      <c r="K4651" s="23" t="str">
        <f aca="false">IF(A4651="","",IF(AND(I4651="Sí",J4651="Sí"),"Sí","No"))</f>
        <v/>
      </c>
    </row>
    <row r="4652" customFormat="false" ht="15" hidden="false" customHeight="false" outlineLevel="0" collapsed="false">
      <c r="A4652" s="22"/>
      <c r="B4652" s="22"/>
      <c r="C4652" s="26" t="str">
        <f aca="false">IF(A4652="","",IFERROR(buscarx(A4652&amp;B4652,DATA!$E$3:$E$10000&amp;DATA!$B$3:$B$10000,DATA!$M$3:$M$10000),"No encontrado"))</f>
        <v/>
      </c>
      <c r="D4652" s="27" t="str">
        <f aca="false">IF(A4652="","",IFERROR(buscarx(A4652&amp;B4652,DATA!$E$3:$E$10000&amp;DATA!$B$3:$B$10000,DATA!$W$3:$W$10000),"No encontrado"))</f>
        <v/>
      </c>
      <c r="E4652" s="22"/>
      <c r="F4652" s="26" t="str">
        <f aca="false">IF(A4652="","",IFERROR(buscarx(A4652&amp;E4652,DATA!$E$3:$E$10000&amp;DATA!$B$3:$B$10000,DATA!$M$3:$M$10000),"Inactivo"))</f>
        <v/>
      </c>
      <c r="G4652" s="28" t="str">
        <f aca="false">IF(A4652="","",IF(AND(C4652&lt;&gt;"No encontrado",F4652&lt;&gt;"Inactivo"),C4652&amp;" → "&amp;F4652,"Sin transición"))</f>
        <v/>
      </c>
      <c r="H4652" s="26" t="str">
        <f aca="false">IF(A4652="","",IF(D4652="GCIA LINEA SERVICIO DIGITALIDAD Y VENTAS","Chats",IF(OR(D4652="GERENCIA INBOUND LÍNEAS SERVICIO Y VENTA",D4652="GERENCIA INBOUND LINEAS ESPECIALIZADAS"),"Llamadas","Otro")))</f>
        <v/>
      </c>
      <c r="I4652" s="26" t="str">
        <f aca="false">IF(A4652="","",IF(C4652="No encontrado","No","Sí"))</f>
        <v/>
      </c>
      <c r="J4652" s="26" t="str">
        <f aca="false">IF(A4652="","",IF(F4652="Inactivo","No","Sí"))</f>
        <v/>
      </c>
      <c r="K4652" s="26" t="str">
        <f aca="false">IF(A4652="","",IF(AND(I4652="Sí",J4652="Sí"),"Sí","No"))</f>
        <v/>
      </c>
    </row>
    <row r="4653" customFormat="false" ht="15" hidden="false" customHeight="false" outlineLevel="0" collapsed="false">
      <c r="A4653" s="22"/>
      <c r="B4653" s="22"/>
      <c r="C4653" s="23" t="str">
        <f aca="false">IF(A4653="","",IFERROR(buscarx(A4653&amp;B4653,DATA!$E$3:$E$10000&amp;DATA!$B$3:$B$10000,DATA!$M$3:$M$10000),"No encontrado"))</f>
        <v/>
      </c>
      <c r="D4653" s="24" t="str">
        <f aca="false">IF(A4653="","",IFERROR(buscarx(A4653&amp;B4653,DATA!$E$3:$E$10000&amp;DATA!$B$3:$B$10000,DATA!$W$3:$W$10000),"No encontrado"))</f>
        <v/>
      </c>
      <c r="E4653" s="22"/>
      <c r="F4653" s="23" t="str">
        <f aca="false">IF(A4653="","",IFERROR(buscarx(A4653&amp;E4653,DATA!$E$3:$E$10000&amp;DATA!$B$3:$B$10000,DATA!$M$3:$M$10000),"Inactivo"))</f>
        <v/>
      </c>
      <c r="G4653" s="25" t="str">
        <f aca="false">IF(A4653="","",IF(AND(C4653&lt;&gt;"No encontrado",F4653&lt;&gt;"Inactivo"),C4653&amp;" → "&amp;F4653,"Sin transición"))</f>
        <v/>
      </c>
      <c r="H4653" s="23" t="str">
        <f aca="false">IF(A4653="","",IF(D4653="GCIA LINEA SERVICIO DIGITALIDAD Y VENTAS","Chats",IF(OR(D4653="GERENCIA INBOUND LÍNEAS SERVICIO Y VENTA",D4653="GERENCIA INBOUND LINEAS ESPECIALIZADAS"),"Llamadas","Otro")))</f>
        <v/>
      </c>
      <c r="I4653" s="23" t="str">
        <f aca="false">IF(A4653="","",IF(C4653="No encontrado","No","Sí"))</f>
        <v/>
      </c>
      <c r="J4653" s="23" t="str">
        <f aca="false">IF(A4653="","",IF(F4653="Inactivo","No","Sí"))</f>
        <v/>
      </c>
      <c r="K4653" s="23" t="str">
        <f aca="false">IF(A4653="","",IF(AND(I4653="Sí",J4653="Sí"),"Sí","No"))</f>
        <v/>
      </c>
    </row>
    <row r="4654" customFormat="false" ht="15" hidden="false" customHeight="false" outlineLevel="0" collapsed="false">
      <c r="A4654" s="22"/>
      <c r="B4654" s="22"/>
      <c r="C4654" s="26" t="str">
        <f aca="false">IF(A4654="","",IFERROR(buscarx(A4654&amp;B4654,DATA!$E$3:$E$10000&amp;DATA!$B$3:$B$10000,DATA!$M$3:$M$10000),"No encontrado"))</f>
        <v/>
      </c>
      <c r="D4654" s="27" t="str">
        <f aca="false">IF(A4654="","",IFERROR(buscarx(A4654&amp;B4654,DATA!$E$3:$E$10000&amp;DATA!$B$3:$B$10000,DATA!$W$3:$W$10000),"No encontrado"))</f>
        <v/>
      </c>
      <c r="E4654" s="22"/>
      <c r="F4654" s="26" t="str">
        <f aca="false">IF(A4654="","",IFERROR(buscarx(A4654&amp;E4654,DATA!$E$3:$E$10000&amp;DATA!$B$3:$B$10000,DATA!$M$3:$M$10000),"Inactivo"))</f>
        <v/>
      </c>
      <c r="G4654" s="28" t="str">
        <f aca="false">IF(A4654="","",IF(AND(C4654&lt;&gt;"No encontrado",F4654&lt;&gt;"Inactivo"),C4654&amp;" → "&amp;F4654,"Sin transición"))</f>
        <v/>
      </c>
      <c r="H4654" s="26" t="str">
        <f aca="false">IF(A4654="","",IF(D4654="GCIA LINEA SERVICIO DIGITALIDAD Y VENTAS","Chats",IF(OR(D4654="GERENCIA INBOUND LÍNEAS SERVICIO Y VENTA",D4654="GERENCIA INBOUND LINEAS ESPECIALIZADAS"),"Llamadas","Otro")))</f>
        <v/>
      </c>
      <c r="I4654" s="26" t="str">
        <f aca="false">IF(A4654="","",IF(C4654="No encontrado","No","Sí"))</f>
        <v/>
      </c>
      <c r="J4654" s="26" t="str">
        <f aca="false">IF(A4654="","",IF(F4654="Inactivo","No","Sí"))</f>
        <v/>
      </c>
      <c r="K4654" s="26" t="str">
        <f aca="false">IF(A4654="","",IF(AND(I4654="Sí",J4654="Sí"),"Sí","No"))</f>
        <v/>
      </c>
    </row>
    <row r="4655" customFormat="false" ht="15" hidden="false" customHeight="false" outlineLevel="0" collapsed="false">
      <c r="A4655" s="22"/>
      <c r="B4655" s="22"/>
      <c r="C4655" s="23" t="str">
        <f aca="false">IF(A4655="","",IFERROR(buscarx(A4655&amp;B4655,DATA!$E$3:$E$10000&amp;DATA!$B$3:$B$10000,DATA!$M$3:$M$10000),"No encontrado"))</f>
        <v/>
      </c>
      <c r="D4655" s="24" t="str">
        <f aca="false">IF(A4655="","",IFERROR(buscarx(A4655&amp;B4655,DATA!$E$3:$E$10000&amp;DATA!$B$3:$B$10000,DATA!$W$3:$W$10000),"No encontrado"))</f>
        <v/>
      </c>
      <c r="E4655" s="22"/>
      <c r="F4655" s="23" t="str">
        <f aca="false">IF(A4655="","",IFERROR(buscarx(A4655&amp;E4655,DATA!$E$3:$E$10000&amp;DATA!$B$3:$B$10000,DATA!$M$3:$M$10000),"Inactivo"))</f>
        <v/>
      </c>
      <c r="G4655" s="25" t="str">
        <f aca="false">IF(A4655="","",IF(AND(C4655&lt;&gt;"No encontrado",F4655&lt;&gt;"Inactivo"),C4655&amp;" → "&amp;F4655,"Sin transición"))</f>
        <v/>
      </c>
      <c r="H4655" s="23" t="str">
        <f aca="false">IF(A4655="","",IF(D4655="GCIA LINEA SERVICIO DIGITALIDAD Y VENTAS","Chats",IF(OR(D4655="GERENCIA INBOUND LÍNEAS SERVICIO Y VENTA",D4655="GERENCIA INBOUND LINEAS ESPECIALIZADAS"),"Llamadas","Otro")))</f>
        <v/>
      </c>
      <c r="I4655" s="23" t="str">
        <f aca="false">IF(A4655="","",IF(C4655="No encontrado","No","Sí"))</f>
        <v/>
      </c>
      <c r="J4655" s="23" t="str">
        <f aca="false">IF(A4655="","",IF(F4655="Inactivo","No","Sí"))</f>
        <v/>
      </c>
      <c r="K4655" s="23" t="str">
        <f aca="false">IF(A4655="","",IF(AND(I4655="Sí",J4655="Sí"),"Sí","No"))</f>
        <v/>
      </c>
    </row>
    <row r="4656" customFormat="false" ht="15" hidden="false" customHeight="false" outlineLevel="0" collapsed="false">
      <c r="A4656" s="22"/>
      <c r="B4656" s="22"/>
      <c r="C4656" s="26" t="str">
        <f aca="false">IF(A4656="","",IFERROR(buscarx(A4656&amp;B4656,DATA!$E$3:$E$10000&amp;DATA!$B$3:$B$10000,DATA!$M$3:$M$10000),"No encontrado"))</f>
        <v/>
      </c>
      <c r="D4656" s="27" t="str">
        <f aca="false">IF(A4656="","",IFERROR(buscarx(A4656&amp;B4656,DATA!$E$3:$E$10000&amp;DATA!$B$3:$B$10000,DATA!$W$3:$W$10000),"No encontrado"))</f>
        <v/>
      </c>
      <c r="E4656" s="22"/>
      <c r="F4656" s="26" t="str">
        <f aca="false">IF(A4656="","",IFERROR(buscarx(A4656&amp;E4656,DATA!$E$3:$E$10000&amp;DATA!$B$3:$B$10000,DATA!$M$3:$M$10000),"Inactivo"))</f>
        <v/>
      </c>
      <c r="G4656" s="28" t="str">
        <f aca="false">IF(A4656="","",IF(AND(C4656&lt;&gt;"No encontrado",F4656&lt;&gt;"Inactivo"),C4656&amp;" → "&amp;F4656,"Sin transición"))</f>
        <v/>
      </c>
      <c r="H4656" s="26" t="str">
        <f aca="false">IF(A4656="","",IF(D4656="GCIA LINEA SERVICIO DIGITALIDAD Y VENTAS","Chats",IF(OR(D4656="GERENCIA INBOUND LÍNEAS SERVICIO Y VENTA",D4656="GERENCIA INBOUND LINEAS ESPECIALIZADAS"),"Llamadas","Otro")))</f>
        <v/>
      </c>
      <c r="I4656" s="26" t="str">
        <f aca="false">IF(A4656="","",IF(C4656="No encontrado","No","Sí"))</f>
        <v/>
      </c>
      <c r="J4656" s="26" t="str">
        <f aca="false">IF(A4656="","",IF(F4656="Inactivo","No","Sí"))</f>
        <v/>
      </c>
      <c r="K4656" s="26" t="str">
        <f aca="false">IF(A4656="","",IF(AND(I4656="Sí",J4656="Sí"),"Sí","No"))</f>
        <v/>
      </c>
    </row>
    <row r="4657" customFormat="false" ht="15" hidden="false" customHeight="false" outlineLevel="0" collapsed="false">
      <c r="A4657" s="22"/>
      <c r="B4657" s="22"/>
      <c r="C4657" s="23" t="str">
        <f aca="false">IF(A4657="","",IFERROR(buscarx(A4657&amp;B4657,DATA!$E$3:$E$10000&amp;DATA!$B$3:$B$10000,DATA!$M$3:$M$10000),"No encontrado"))</f>
        <v/>
      </c>
      <c r="D4657" s="24" t="str">
        <f aca="false">IF(A4657="","",IFERROR(buscarx(A4657&amp;B4657,DATA!$E$3:$E$10000&amp;DATA!$B$3:$B$10000,DATA!$W$3:$W$10000),"No encontrado"))</f>
        <v/>
      </c>
      <c r="E4657" s="22"/>
      <c r="F4657" s="23" t="str">
        <f aca="false">IF(A4657="","",IFERROR(buscarx(A4657&amp;E4657,DATA!$E$3:$E$10000&amp;DATA!$B$3:$B$10000,DATA!$M$3:$M$10000),"Inactivo"))</f>
        <v/>
      </c>
      <c r="G4657" s="25" t="str">
        <f aca="false">IF(A4657="","",IF(AND(C4657&lt;&gt;"No encontrado",F4657&lt;&gt;"Inactivo"),C4657&amp;" → "&amp;F4657,"Sin transición"))</f>
        <v/>
      </c>
      <c r="H4657" s="23" t="str">
        <f aca="false">IF(A4657="","",IF(D4657="GCIA LINEA SERVICIO DIGITALIDAD Y VENTAS","Chats",IF(OR(D4657="GERENCIA INBOUND LÍNEAS SERVICIO Y VENTA",D4657="GERENCIA INBOUND LINEAS ESPECIALIZADAS"),"Llamadas","Otro")))</f>
        <v/>
      </c>
      <c r="I4657" s="23" t="str">
        <f aca="false">IF(A4657="","",IF(C4657="No encontrado","No","Sí"))</f>
        <v/>
      </c>
      <c r="J4657" s="23" t="str">
        <f aca="false">IF(A4657="","",IF(F4657="Inactivo","No","Sí"))</f>
        <v/>
      </c>
      <c r="K4657" s="23" t="str">
        <f aca="false">IF(A4657="","",IF(AND(I4657="Sí",J4657="Sí"),"Sí","No"))</f>
        <v/>
      </c>
    </row>
    <row r="4658" customFormat="false" ht="15" hidden="false" customHeight="false" outlineLevel="0" collapsed="false">
      <c r="A4658" s="22"/>
      <c r="B4658" s="22"/>
      <c r="C4658" s="26" t="str">
        <f aca="false">IF(A4658="","",IFERROR(buscarx(A4658&amp;B4658,DATA!$E$3:$E$10000&amp;DATA!$B$3:$B$10000,DATA!$M$3:$M$10000),"No encontrado"))</f>
        <v/>
      </c>
      <c r="D4658" s="27" t="str">
        <f aca="false">IF(A4658="","",IFERROR(buscarx(A4658&amp;B4658,DATA!$E$3:$E$10000&amp;DATA!$B$3:$B$10000,DATA!$W$3:$W$10000),"No encontrado"))</f>
        <v/>
      </c>
      <c r="E4658" s="22"/>
      <c r="F4658" s="26" t="str">
        <f aca="false">IF(A4658="","",IFERROR(buscarx(A4658&amp;E4658,DATA!$E$3:$E$10000&amp;DATA!$B$3:$B$10000,DATA!$M$3:$M$10000),"Inactivo"))</f>
        <v/>
      </c>
      <c r="G4658" s="28" t="str">
        <f aca="false">IF(A4658="","",IF(AND(C4658&lt;&gt;"No encontrado",F4658&lt;&gt;"Inactivo"),C4658&amp;" → "&amp;F4658,"Sin transición"))</f>
        <v/>
      </c>
      <c r="H4658" s="26" t="str">
        <f aca="false">IF(A4658="","",IF(D4658="GCIA LINEA SERVICIO DIGITALIDAD Y VENTAS","Chats",IF(OR(D4658="GERENCIA INBOUND LÍNEAS SERVICIO Y VENTA",D4658="GERENCIA INBOUND LINEAS ESPECIALIZADAS"),"Llamadas","Otro")))</f>
        <v/>
      </c>
      <c r="I4658" s="26" t="str">
        <f aca="false">IF(A4658="","",IF(C4658="No encontrado","No","Sí"))</f>
        <v/>
      </c>
      <c r="J4658" s="26" t="str">
        <f aca="false">IF(A4658="","",IF(F4658="Inactivo","No","Sí"))</f>
        <v/>
      </c>
      <c r="K4658" s="26" t="str">
        <f aca="false">IF(A4658="","",IF(AND(I4658="Sí",J4658="Sí"),"Sí","No"))</f>
        <v/>
      </c>
    </row>
    <row r="4659" customFormat="false" ht="15" hidden="false" customHeight="false" outlineLevel="0" collapsed="false">
      <c r="A4659" s="22"/>
      <c r="B4659" s="22"/>
      <c r="C4659" s="23" t="str">
        <f aca="false">IF(A4659="","",IFERROR(buscarx(A4659&amp;B4659,DATA!$E$3:$E$10000&amp;DATA!$B$3:$B$10000,DATA!$M$3:$M$10000),"No encontrado"))</f>
        <v/>
      </c>
      <c r="D4659" s="24" t="str">
        <f aca="false">IF(A4659="","",IFERROR(buscarx(A4659&amp;B4659,DATA!$E$3:$E$10000&amp;DATA!$B$3:$B$10000,DATA!$W$3:$W$10000),"No encontrado"))</f>
        <v/>
      </c>
      <c r="E4659" s="22"/>
      <c r="F4659" s="23" t="str">
        <f aca="false">IF(A4659="","",IFERROR(buscarx(A4659&amp;E4659,DATA!$E$3:$E$10000&amp;DATA!$B$3:$B$10000,DATA!$M$3:$M$10000),"Inactivo"))</f>
        <v/>
      </c>
      <c r="G4659" s="25" t="str">
        <f aca="false">IF(A4659="","",IF(AND(C4659&lt;&gt;"No encontrado",F4659&lt;&gt;"Inactivo"),C4659&amp;" → "&amp;F4659,"Sin transición"))</f>
        <v/>
      </c>
      <c r="H4659" s="23" t="str">
        <f aca="false">IF(A4659="","",IF(D4659="GCIA LINEA SERVICIO DIGITALIDAD Y VENTAS","Chats",IF(OR(D4659="GERENCIA INBOUND LÍNEAS SERVICIO Y VENTA",D4659="GERENCIA INBOUND LINEAS ESPECIALIZADAS"),"Llamadas","Otro")))</f>
        <v/>
      </c>
      <c r="I4659" s="23" t="str">
        <f aca="false">IF(A4659="","",IF(C4659="No encontrado","No","Sí"))</f>
        <v/>
      </c>
      <c r="J4659" s="23" t="str">
        <f aca="false">IF(A4659="","",IF(F4659="Inactivo","No","Sí"))</f>
        <v/>
      </c>
      <c r="K4659" s="23" t="str">
        <f aca="false">IF(A4659="","",IF(AND(I4659="Sí",J4659="Sí"),"Sí","No"))</f>
        <v/>
      </c>
    </row>
    <row r="4660" customFormat="false" ht="15" hidden="false" customHeight="false" outlineLevel="0" collapsed="false">
      <c r="A4660" s="22"/>
      <c r="B4660" s="22"/>
      <c r="C4660" s="26" t="str">
        <f aca="false">IF(A4660="","",IFERROR(buscarx(A4660&amp;B4660,DATA!$E$3:$E$10000&amp;DATA!$B$3:$B$10000,DATA!$M$3:$M$10000),"No encontrado"))</f>
        <v/>
      </c>
      <c r="D4660" s="27" t="str">
        <f aca="false">IF(A4660="","",IFERROR(buscarx(A4660&amp;B4660,DATA!$E$3:$E$10000&amp;DATA!$B$3:$B$10000,DATA!$W$3:$W$10000),"No encontrado"))</f>
        <v/>
      </c>
      <c r="E4660" s="22"/>
      <c r="F4660" s="26" t="str">
        <f aca="false">IF(A4660="","",IFERROR(buscarx(A4660&amp;E4660,DATA!$E$3:$E$10000&amp;DATA!$B$3:$B$10000,DATA!$M$3:$M$10000),"Inactivo"))</f>
        <v/>
      </c>
      <c r="G4660" s="28" t="str">
        <f aca="false">IF(A4660="","",IF(AND(C4660&lt;&gt;"No encontrado",F4660&lt;&gt;"Inactivo"),C4660&amp;" → "&amp;F4660,"Sin transición"))</f>
        <v/>
      </c>
      <c r="H4660" s="26" t="str">
        <f aca="false">IF(A4660="","",IF(D4660="GCIA LINEA SERVICIO DIGITALIDAD Y VENTAS","Chats",IF(OR(D4660="GERENCIA INBOUND LÍNEAS SERVICIO Y VENTA",D4660="GERENCIA INBOUND LINEAS ESPECIALIZADAS"),"Llamadas","Otro")))</f>
        <v/>
      </c>
      <c r="I4660" s="26" t="str">
        <f aca="false">IF(A4660="","",IF(C4660="No encontrado","No","Sí"))</f>
        <v/>
      </c>
      <c r="J4660" s="26" t="str">
        <f aca="false">IF(A4660="","",IF(F4660="Inactivo","No","Sí"))</f>
        <v/>
      </c>
      <c r="K4660" s="26" t="str">
        <f aca="false">IF(A4660="","",IF(AND(I4660="Sí",J4660="Sí"),"Sí","No"))</f>
        <v/>
      </c>
    </row>
    <row r="4661" customFormat="false" ht="15" hidden="false" customHeight="false" outlineLevel="0" collapsed="false">
      <c r="A4661" s="22"/>
      <c r="B4661" s="22"/>
      <c r="C4661" s="23" t="str">
        <f aca="false">IF(A4661="","",IFERROR(buscarx(A4661&amp;B4661,DATA!$E$3:$E$10000&amp;DATA!$B$3:$B$10000,DATA!$M$3:$M$10000),"No encontrado"))</f>
        <v/>
      </c>
      <c r="D4661" s="24" t="str">
        <f aca="false">IF(A4661="","",IFERROR(buscarx(A4661&amp;B4661,DATA!$E$3:$E$10000&amp;DATA!$B$3:$B$10000,DATA!$W$3:$W$10000),"No encontrado"))</f>
        <v/>
      </c>
      <c r="E4661" s="22"/>
      <c r="F4661" s="23" t="str">
        <f aca="false">IF(A4661="","",IFERROR(buscarx(A4661&amp;E4661,DATA!$E$3:$E$10000&amp;DATA!$B$3:$B$10000,DATA!$M$3:$M$10000),"Inactivo"))</f>
        <v/>
      </c>
      <c r="G4661" s="25" t="str">
        <f aca="false">IF(A4661="","",IF(AND(C4661&lt;&gt;"No encontrado",F4661&lt;&gt;"Inactivo"),C4661&amp;" → "&amp;F4661,"Sin transición"))</f>
        <v/>
      </c>
      <c r="H4661" s="23" t="str">
        <f aca="false">IF(A4661="","",IF(D4661="GCIA LINEA SERVICIO DIGITALIDAD Y VENTAS","Chats",IF(OR(D4661="GERENCIA INBOUND LÍNEAS SERVICIO Y VENTA",D4661="GERENCIA INBOUND LINEAS ESPECIALIZADAS"),"Llamadas","Otro")))</f>
        <v/>
      </c>
      <c r="I4661" s="23" t="str">
        <f aca="false">IF(A4661="","",IF(C4661="No encontrado","No","Sí"))</f>
        <v/>
      </c>
      <c r="J4661" s="23" t="str">
        <f aca="false">IF(A4661="","",IF(F4661="Inactivo","No","Sí"))</f>
        <v/>
      </c>
      <c r="K4661" s="23" t="str">
        <f aca="false">IF(A4661="","",IF(AND(I4661="Sí",J4661="Sí"),"Sí","No"))</f>
        <v/>
      </c>
    </row>
    <row r="4662" customFormat="false" ht="15" hidden="false" customHeight="false" outlineLevel="0" collapsed="false">
      <c r="A4662" s="22"/>
      <c r="B4662" s="22"/>
      <c r="C4662" s="26" t="str">
        <f aca="false">IF(A4662="","",IFERROR(buscarx(A4662&amp;B4662,DATA!$E$3:$E$10000&amp;DATA!$B$3:$B$10000,DATA!$M$3:$M$10000),"No encontrado"))</f>
        <v/>
      </c>
      <c r="D4662" s="27" t="str">
        <f aca="false">IF(A4662="","",IFERROR(buscarx(A4662&amp;B4662,DATA!$E$3:$E$10000&amp;DATA!$B$3:$B$10000,DATA!$W$3:$W$10000),"No encontrado"))</f>
        <v/>
      </c>
      <c r="E4662" s="22"/>
      <c r="F4662" s="26" t="str">
        <f aca="false">IF(A4662="","",IFERROR(buscarx(A4662&amp;E4662,DATA!$E$3:$E$10000&amp;DATA!$B$3:$B$10000,DATA!$M$3:$M$10000),"Inactivo"))</f>
        <v/>
      </c>
      <c r="G4662" s="28" t="str">
        <f aca="false">IF(A4662="","",IF(AND(C4662&lt;&gt;"No encontrado",F4662&lt;&gt;"Inactivo"),C4662&amp;" → "&amp;F4662,"Sin transición"))</f>
        <v/>
      </c>
      <c r="H4662" s="26" t="str">
        <f aca="false">IF(A4662="","",IF(D4662="GCIA LINEA SERVICIO DIGITALIDAD Y VENTAS","Chats",IF(OR(D4662="GERENCIA INBOUND LÍNEAS SERVICIO Y VENTA",D4662="GERENCIA INBOUND LINEAS ESPECIALIZADAS"),"Llamadas","Otro")))</f>
        <v/>
      </c>
      <c r="I4662" s="26" t="str">
        <f aca="false">IF(A4662="","",IF(C4662="No encontrado","No","Sí"))</f>
        <v/>
      </c>
      <c r="J4662" s="26" t="str">
        <f aca="false">IF(A4662="","",IF(F4662="Inactivo","No","Sí"))</f>
        <v/>
      </c>
      <c r="K4662" s="26" t="str">
        <f aca="false">IF(A4662="","",IF(AND(I4662="Sí",J4662="Sí"),"Sí","No"))</f>
        <v/>
      </c>
    </row>
    <row r="4663" customFormat="false" ht="15" hidden="false" customHeight="false" outlineLevel="0" collapsed="false">
      <c r="A4663" s="22"/>
      <c r="B4663" s="22"/>
      <c r="C4663" s="23" t="str">
        <f aca="false">IF(A4663="","",IFERROR(buscarx(A4663&amp;B4663,DATA!$E$3:$E$10000&amp;DATA!$B$3:$B$10000,DATA!$M$3:$M$10000),"No encontrado"))</f>
        <v/>
      </c>
      <c r="D4663" s="24" t="str">
        <f aca="false">IF(A4663="","",IFERROR(buscarx(A4663&amp;B4663,DATA!$E$3:$E$10000&amp;DATA!$B$3:$B$10000,DATA!$W$3:$W$10000),"No encontrado"))</f>
        <v/>
      </c>
      <c r="E4663" s="22"/>
      <c r="F4663" s="23" t="str">
        <f aca="false">IF(A4663="","",IFERROR(buscarx(A4663&amp;E4663,DATA!$E$3:$E$10000&amp;DATA!$B$3:$B$10000,DATA!$M$3:$M$10000),"Inactivo"))</f>
        <v/>
      </c>
      <c r="G4663" s="25" t="str">
        <f aca="false">IF(A4663="","",IF(AND(C4663&lt;&gt;"No encontrado",F4663&lt;&gt;"Inactivo"),C4663&amp;" → "&amp;F4663,"Sin transición"))</f>
        <v/>
      </c>
      <c r="H4663" s="23" t="str">
        <f aca="false">IF(A4663="","",IF(D4663="GCIA LINEA SERVICIO DIGITALIDAD Y VENTAS","Chats",IF(OR(D4663="GERENCIA INBOUND LÍNEAS SERVICIO Y VENTA",D4663="GERENCIA INBOUND LINEAS ESPECIALIZADAS"),"Llamadas","Otro")))</f>
        <v/>
      </c>
      <c r="I4663" s="23" t="str">
        <f aca="false">IF(A4663="","",IF(C4663="No encontrado","No","Sí"))</f>
        <v/>
      </c>
      <c r="J4663" s="23" t="str">
        <f aca="false">IF(A4663="","",IF(F4663="Inactivo","No","Sí"))</f>
        <v/>
      </c>
      <c r="K4663" s="23" t="str">
        <f aca="false">IF(A4663="","",IF(AND(I4663="Sí",J4663="Sí"),"Sí","No"))</f>
        <v/>
      </c>
    </row>
    <row r="4664" customFormat="false" ht="15" hidden="false" customHeight="false" outlineLevel="0" collapsed="false">
      <c r="A4664" s="22"/>
      <c r="B4664" s="22"/>
      <c r="C4664" s="26" t="str">
        <f aca="false">IF(A4664="","",IFERROR(buscarx(A4664&amp;B4664,DATA!$E$3:$E$10000&amp;DATA!$B$3:$B$10000,DATA!$M$3:$M$10000),"No encontrado"))</f>
        <v/>
      </c>
      <c r="D4664" s="27" t="str">
        <f aca="false">IF(A4664="","",IFERROR(buscarx(A4664&amp;B4664,DATA!$E$3:$E$10000&amp;DATA!$B$3:$B$10000,DATA!$W$3:$W$10000),"No encontrado"))</f>
        <v/>
      </c>
      <c r="E4664" s="22"/>
      <c r="F4664" s="26" t="str">
        <f aca="false">IF(A4664="","",IFERROR(buscarx(A4664&amp;E4664,DATA!$E$3:$E$10000&amp;DATA!$B$3:$B$10000,DATA!$M$3:$M$10000),"Inactivo"))</f>
        <v/>
      </c>
      <c r="G4664" s="28" t="str">
        <f aca="false">IF(A4664="","",IF(AND(C4664&lt;&gt;"No encontrado",F4664&lt;&gt;"Inactivo"),C4664&amp;" → "&amp;F4664,"Sin transición"))</f>
        <v/>
      </c>
      <c r="H4664" s="26" t="str">
        <f aca="false">IF(A4664="","",IF(D4664="GCIA LINEA SERVICIO DIGITALIDAD Y VENTAS","Chats",IF(OR(D4664="GERENCIA INBOUND LÍNEAS SERVICIO Y VENTA",D4664="GERENCIA INBOUND LINEAS ESPECIALIZADAS"),"Llamadas","Otro")))</f>
        <v/>
      </c>
      <c r="I4664" s="26" t="str">
        <f aca="false">IF(A4664="","",IF(C4664="No encontrado","No","Sí"))</f>
        <v/>
      </c>
      <c r="J4664" s="26" t="str">
        <f aca="false">IF(A4664="","",IF(F4664="Inactivo","No","Sí"))</f>
        <v/>
      </c>
      <c r="K4664" s="26" t="str">
        <f aca="false">IF(A4664="","",IF(AND(I4664="Sí",J4664="Sí"),"Sí","No"))</f>
        <v/>
      </c>
    </row>
    <row r="4665" customFormat="false" ht="15" hidden="false" customHeight="false" outlineLevel="0" collapsed="false">
      <c r="A4665" s="22"/>
      <c r="B4665" s="22"/>
      <c r="C4665" s="23" t="str">
        <f aca="false">IF(A4665="","",IFERROR(buscarx(A4665&amp;B4665,DATA!$E$3:$E$10000&amp;DATA!$B$3:$B$10000,DATA!$M$3:$M$10000),"No encontrado"))</f>
        <v/>
      </c>
      <c r="D4665" s="24" t="str">
        <f aca="false">IF(A4665="","",IFERROR(buscarx(A4665&amp;B4665,DATA!$E$3:$E$10000&amp;DATA!$B$3:$B$10000,DATA!$W$3:$W$10000),"No encontrado"))</f>
        <v/>
      </c>
      <c r="E4665" s="22"/>
      <c r="F4665" s="23" t="str">
        <f aca="false">IF(A4665="","",IFERROR(buscarx(A4665&amp;E4665,DATA!$E$3:$E$10000&amp;DATA!$B$3:$B$10000,DATA!$M$3:$M$10000),"Inactivo"))</f>
        <v/>
      </c>
      <c r="G4665" s="25" t="str">
        <f aca="false">IF(A4665="","",IF(AND(C4665&lt;&gt;"No encontrado",F4665&lt;&gt;"Inactivo"),C4665&amp;" → "&amp;F4665,"Sin transición"))</f>
        <v/>
      </c>
      <c r="H4665" s="23" t="str">
        <f aca="false">IF(A4665="","",IF(D4665="GCIA LINEA SERVICIO DIGITALIDAD Y VENTAS","Chats",IF(OR(D4665="GERENCIA INBOUND LÍNEAS SERVICIO Y VENTA",D4665="GERENCIA INBOUND LINEAS ESPECIALIZADAS"),"Llamadas","Otro")))</f>
        <v/>
      </c>
      <c r="I4665" s="23" t="str">
        <f aca="false">IF(A4665="","",IF(C4665="No encontrado","No","Sí"))</f>
        <v/>
      </c>
      <c r="J4665" s="23" t="str">
        <f aca="false">IF(A4665="","",IF(F4665="Inactivo","No","Sí"))</f>
        <v/>
      </c>
      <c r="K4665" s="23" t="str">
        <f aca="false">IF(A4665="","",IF(AND(I4665="Sí",J4665="Sí"),"Sí","No"))</f>
        <v/>
      </c>
    </row>
    <row r="4666" customFormat="false" ht="15" hidden="false" customHeight="false" outlineLevel="0" collapsed="false">
      <c r="A4666" s="22"/>
      <c r="B4666" s="22"/>
      <c r="C4666" s="26" t="str">
        <f aca="false">IF(A4666="","",IFERROR(buscarx(A4666&amp;B4666,DATA!$E$3:$E$10000&amp;DATA!$B$3:$B$10000,DATA!$M$3:$M$10000),"No encontrado"))</f>
        <v/>
      </c>
      <c r="D4666" s="27" t="str">
        <f aca="false">IF(A4666="","",IFERROR(buscarx(A4666&amp;B4666,DATA!$E$3:$E$10000&amp;DATA!$B$3:$B$10000,DATA!$W$3:$W$10000),"No encontrado"))</f>
        <v/>
      </c>
      <c r="E4666" s="22"/>
      <c r="F4666" s="26" t="str">
        <f aca="false">IF(A4666="","",IFERROR(buscarx(A4666&amp;E4666,DATA!$E$3:$E$10000&amp;DATA!$B$3:$B$10000,DATA!$M$3:$M$10000),"Inactivo"))</f>
        <v/>
      </c>
      <c r="G4666" s="28" t="str">
        <f aca="false">IF(A4666="","",IF(AND(C4666&lt;&gt;"No encontrado",F4666&lt;&gt;"Inactivo"),C4666&amp;" → "&amp;F4666,"Sin transición"))</f>
        <v/>
      </c>
      <c r="H4666" s="26" t="str">
        <f aca="false">IF(A4666="","",IF(D4666="GCIA LINEA SERVICIO DIGITALIDAD Y VENTAS","Chats",IF(OR(D4666="GERENCIA INBOUND LÍNEAS SERVICIO Y VENTA",D4666="GERENCIA INBOUND LINEAS ESPECIALIZADAS"),"Llamadas","Otro")))</f>
        <v/>
      </c>
      <c r="I4666" s="26" t="str">
        <f aca="false">IF(A4666="","",IF(C4666="No encontrado","No","Sí"))</f>
        <v/>
      </c>
      <c r="J4666" s="26" t="str">
        <f aca="false">IF(A4666="","",IF(F4666="Inactivo","No","Sí"))</f>
        <v/>
      </c>
      <c r="K4666" s="26" t="str">
        <f aca="false">IF(A4666="","",IF(AND(I4666="Sí",J4666="Sí"),"Sí","No"))</f>
        <v/>
      </c>
    </row>
    <row r="4667" customFormat="false" ht="15" hidden="false" customHeight="false" outlineLevel="0" collapsed="false">
      <c r="A4667" s="22"/>
      <c r="B4667" s="22"/>
      <c r="C4667" s="23" t="str">
        <f aca="false">IF(A4667="","",IFERROR(buscarx(A4667&amp;B4667,DATA!$E$3:$E$10000&amp;DATA!$B$3:$B$10000,DATA!$M$3:$M$10000),"No encontrado"))</f>
        <v/>
      </c>
      <c r="D4667" s="24" t="str">
        <f aca="false">IF(A4667="","",IFERROR(buscarx(A4667&amp;B4667,DATA!$E$3:$E$10000&amp;DATA!$B$3:$B$10000,DATA!$W$3:$W$10000),"No encontrado"))</f>
        <v/>
      </c>
      <c r="E4667" s="22"/>
      <c r="F4667" s="23" t="str">
        <f aca="false">IF(A4667="","",IFERROR(buscarx(A4667&amp;E4667,DATA!$E$3:$E$10000&amp;DATA!$B$3:$B$10000,DATA!$M$3:$M$10000),"Inactivo"))</f>
        <v/>
      </c>
      <c r="G4667" s="25" t="str">
        <f aca="false">IF(A4667="","",IF(AND(C4667&lt;&gt;"No encontrado",F4667&lt;&gt;"Inactivo"),C4667&amp;" → "&amp;F4667,"Sin transición"))</f>
        <v/>
      </c>
      <c r="H4667" s="23" t="str">
        <f aca="false">IF(A4667="","",IF(D4667="GCIA LINEA SERVICIO DIGITALIDAD Y VENTAS","Chats",IF(OR(D4667="GERENCIA INBOUND LÍNEAS SERVICIO Y VENTA",D4667="GERENCIA INBOUND LINEAS ESPECIALIZADAS"),"Llamadas","Otro")))</f>
        <v/>
      </c>
      <c r="I4667" s="23" t="str">
        <f aca="false">IF(A4667="","",IF(C4667="No encontrado","No","Sí"))</f>
        <v/>
      </c>
      <c r="J4667" s="23" t="str">
        <f aca="false">IF(A4667="","",IF(F4667="Inactivo","No","Sí"))</f>
        <v/>
      </c>
      <c r="K4667" s="23" t="str">
        <f aca="false">IF(A4667="","",IF(AND(I4667="Sí",J4667="Sí"),"Sí","No"))</f>
        <v/>
      </c>
    </row>
    <row r="4668" customFormat="false" ht="15" hidden="false" customHeight="false" outlineLevel="0" collapsed="false">
      <c r="A4668" s="22"/>
      <c r="B4668" s="22"/>
      <c r="C4668" s="26" t="str">
        <f aca="false">IF(A4668="","",IFERROR(buscarx(A4668&amp;B4668,DATA!$E$3:$E$10000&amp;DATA!$B$3:$B$10000,DATA!$M$3:$M$10000),"No encontrado"))</f>
        <v/>
      </c>
      <c r="D4668" s="27" t="str">
        <f aca="false">IF(A4668="","",IFERROR(buscarx(A4668&amp;B4668,DATA!$E$3:$E$10000&amp;DATA!$B$3:$B$10000,DATA!$W$3:$W$10000),"No encontrado"))</f>
        <v/>
      </c>
      <c r="E4668" s="22"/>
      <c r="F4668" s="26" t="str">
        <f aca="false">IF(A4668="","",IFERROR(buscarx(A4668&amp;E4668,DATA!$E$3:$E$10000&amp;DATA!$B$3:$B$10000,DATA!$M$3:$M$10000),"Inactivo"))</f>
        <v/>
      </c>
      <c r="G4668" s="28" t="str">
        <f aca="false">IF(A4668="","",IF(AND(C4668&lt;&gt;"No encontrado",F4668&lt;&gt;"Inactivo"),C4668&amp;" → "&amp;F4668,"Sin transición"))</f>
        <v/>
      </c>
      <c r="H4668" s="26" t="str">
        <f aca="false">IF(A4668="","",IF(D4668="GCIA LINEA SERVICIO DIGITALIDAD Y VENTAS","Chats",IF(OR(D4668="GERENCIA INBOUND LÍNEAS SERVICIO Y VENTA",D4668="GERENCIA INBOUND LINEAS ESPECIALIZADAS"),"Llamadas","Otro")))</f>
        <v/>
      </c>
      <c r="I4668" s="26" t="str">
        <f aca="false">IF(A4668="","",IF(C4668="No encontrado","No","Sí"))</f>
        <v/>
      </c>
      <c r="J4668" s="26" t="str">
        <f aca="false">IF(A4668="","",IF(F4668="Inactivo","No","Sí"))</f>
        <v/>
      </c>
      <c r="K4668" s="26" t="str">
        <f aca="false">IF(A4668="","",IF(AND(I4668="Sí",J4668="Sí"),"Sí","No"))</f>
        <v/>
      </c>
    </row>
    <row r="4669" customFormat="false" ht="15" hidden="false" customHeight="false" outlineLevel="0" collapsed="false">
      <c r="A4669" s="22"/>
      <c r="B4669" s="22"/>
      <c r="C4669" s="23" t="str">
        <f aca="false">IF(A4669="","",IFERROR(buscarx(A4669&amp;B4669,DATA!$E$3:$E$10000&amp;DATA!$B$3:$B$10000,DATA!$M$3:$M$10000),"No encontrado"))</f>
        <v/>
      </c>
      <c r="D4669" s="24" t="str">
        <f aca="false">IF(A4669="","",IFERROR(buscarx(A4669&amp;B4669,DATA!$E$3:$E$10000&amp;DATA!$B$3:$B$10000,DATA!$W$3:$W$10000),"No encontrado"))</f>
        <v/>
      </c>
      <c r="E4669" s="22"/>
      <c r="F4669" s="23" t="str">
        <f aca="false">IF(A4669="","",IFERROR(buscarx(A4669&amp;E4669,DATA!$E$3:$E$10000&amp;DATA!$B$3:$B$10000,DATA!$M$3:$M$10000),"Inactivo"))</f>
        <v/>
      </c>
      <c r="G4669" s="25" t="str">
        <f aca="false">IF(A4669="","",IF(AND(C4669&lt;&gt;"No encontrado",F4669&lt;&gt;"Inactivo"),C4669&amp;" → "&amp;F4669,"Sin transición"))</f>
        <v/>
      </c>
      <c r="H4669" s="23" t="str">
        <f aca="false">IF(A4669="","",IF(D4669="GCIA LINEA SERVICIO DIGITALIDAD Y VENTAS","Chats",IF(OR(D4669="GERENCIA INBOUND LÍNEAS SERVICIO Y VENTA",D4669="GERENCIA INBOUND LINEAS ESPECIALIZADAS"),"Llamadas","Otro")))</f>
        <v/>
      </c>
      <c r="I4669" s="23" t="str">
        <f aca="false">IF(A4669="","",IF(C4669="No encontrado","No","Sí"))</f>
        <v/>
      </c>
      <c r="J4669" s="23" t="str">
        <f aca="false">IF(A4669="","",IF(F4669="Inactivo","No","Sí"))</f>
        <v/>
      </c>
      <c r="K4669" s="23" t="str">
        <f aca="false">IF(A4669="","",IF(AND(I4669="Sí",J4669="Sí"),"Sí","No"))</f>
        <v/>
      </c>
    </row>
    <row r="4670" customFormat="false" ht="15" hidden="false" customHeight="false" outlineLevel="0" collapsed="false">
      <c r="A4670" s="22"/>
      <c r="B4670" s="22"/>
      <c r="C4670" s="26" t="str">
        <f aca="false">IF(A4670="","",IFERROR(buscarx(A4670&amp;B4670,DATA!$E$3:$E$10000&amp;DATA!$B$3:$B$10000,DATA!$M$3:$M$10000),"No encontrado"))</f>
        <v/>
      </c>
      <c r="D4670" s="27" t="str">
        <f aca="false">IF(A4670="","",IFERROR(buscarx(A4670&amp;B4670,DATA!$E$3:$E$10000&amp;DATA!$B$3:$B$10000,DATA!$W$3:$W$10000),"No encontrado"))</f>
        <v/>
      </c>
      <c r="E4670" s="22"/>
      <c r="F4670" s="26" t="str">
        <f aca="false">IF(A4670="","",IFERROR(buscarx(A4670&amp;E4670,DATA!$E$3:$E$10000&amp;DATA!$B$3:$B$10000,DATA!$M$3:$M$10000),"Inactivo"))</f>
        <v/>
      </c>
      <c r="G4670" s="28" t="str">
        <f aca="false">IF(A4670="","",IF(AND(C4670&lt;&gt;"No encontrado",F4670&lt;&gt;"Inactivo"),C4670&amp;" → "&amp;F4670,"Sin transición"))</f>
        <v/>
      </c>
      <c r="H4670" s="26" t="str">
        <f aca="false">IF(A4670="","",IF(D4670="GCIA LINEA SERVICIO DIGITALIDAD Y VENTAS","Chats",IF(OR(D4670="GERENCIA INBOUND LÍNEAS SERVICIO Y VENTA",D4670="GERENCIA INBOUND LINEAS ESPECIALIZADAS"),"Llamadas","Otro")))</f>
        <v/>
      </c>
      <c r="I4670" s="26" t="str">
        <f aca="false">IF(A4670="","",IF(C4670="No encontrado","No","Sí"))</f>
        <v/>
      </c>
      <c r="J4670" s="26" t="str">
        <f aca="false">IF(A4670="","",IF(F4670="Inactivo","No","Sí"))</f>
        <v/>
      </c>
      <c r="K4670" s="26" t="str">
        <f aca="false">IF(A4670="","",IF(AND(I4670="Sí",J4670="Sí"),"Sí","No"))</f>
        <v/>
      </c>
    </row>
    <row r="4671" customFormat="false" ht="15" hidden="false" customHeight="false" outlineLevel="0" collapsed="false">
      <c r="A4671" s="22"/>
      <c r="B4671" s="22"/>
      <c r="C4671" s="23" t="str">
        <f aca="false">IF(A4671="","",IFERROR(buscarx(A4671&amp;B4671,DATA!$E$3:$E$10000&amp;DATA!$B$3:$B$10000,DATA!$M$3:$M$10000),"No encontrado"))</f>
        <v/>
      </c>
      <c r="D4671" s="24" t="str">
        <f aca="false">IF(A4671="","",IFERROR(buscarx(A4671&amp;B4671,DATA!$E$3:$E$10000&amp;DATA!$B$3:$B$10000,DATA!$W$3:$W$10000),"No encontrado"))</f>
        <v/>
      </c>
      <c r="E4671" s="22"/>
      <c r="F4671" s="23" t="str">
        <f aca="false">IF(A4671="","",IFERROR(buscarx(A4671&amp;E4671,DATA!$E$3:$E$10000&amp;DATA!$B$3:$B$10000,DATA!$M$3:$M$10000),"Inactivo"))</f>
        <v/>
      </c>
      <c r="G4671" s="25" t="str">
        <f aca="false">IF(A4671="","",IF(AND(C4671&lt;&gt;"No encontrado",F4671&lt;&gt;"Inactivo"),C4671&amp;" → "&amp;F4671,"Sin transición"))</f>
        <v/>
      </c>
      <c r="H4671" s="23" t="str">
        <f aca="false">IF(A4671="","",IF(D4671="GCIA LINEA SERVICIO DIGITALIDAD Y VENTAS","Chats",IF(OR(D4671="GERENCIA INBOUND LÍNEAS SERVICIO Y VENTA",D4671="GERENCIA INBOUND LINEAS ESPECIALIZADAS"),"Llamadas","Otro")))</f>
        <v/>
      </c>
      <c r="I4671" s="23" t="str">
        <f aca="false">IF(A4671="","",IF(C4671="No encontrado","No","Sí"))</f>
        <v/>
      </c>
      <c r="J4671" s="23" t="str">
        <f aca="false">IF(A4671="","",IF(F4671="Inactivo","No","Sí"))</f>
        <v/>
      </c>
      <c r="K4671" s="23" t="str">
        <f aca="false">IF(A4671="","",IF(AND(I4671="Sí",J4671="Sí"),"Sí","No"))</f>
        <v/>
      </c>
    </row>
    <row r="4672" customFormat="false" ht="15" hidden="false" customHeight="false" outlineLevel="0" collapsed="false">
      <c r="A4672" s="22"/>
      <c r="B4672" s="22"/>
      <c r="C4672" s="26" t="str">
        <f aca="false">IF(A4672="","",IFERROR(buscarx(A4672&amp;B4672,DATA!$E$3:$E$10000&amp;DATA!$B$3:$B$10000,DATA!$M$3:$M$10000),"No encontrado"))</f>
        <v/>
      </c>
      <c r="D4672" s="27" t="str">
        <f aca="false">IF(A4672="","",IFERROR(buscarx(A4672&amp;B4672,DATA!$E$3:$E$10000&amp;DATA!$B$3:$B$10000,DATA!$W$3:$W$10000),"No encontrado"))</f>
        <v/>
      </c>
      <c r="E4672" s="22"/>
      <c r="F4672" s="26" t="str">
        <f aca="false">IF(A4672="","",IFERROR(buscarx(A4672&amp;E4672,DATA!$E$3:$E$10000&amp;DATA!$B$3:$B$10000,DATA!$M$3:$M$10000),"Inactivo"))</f>
        <v/>
      </c>
      <c r="G4672" s="28" t="str">
        <f aca="false">IF(A4672="","",IF(AND(C4672&lt;&gt;"No encontrado",F4672&lt;&gt;"Inactivo"),C4672&amp;" → "&amp;F4672,"Sin transición"))</f>
        <v/>
      </c>
      <c r="H4672" s="26" t="str">
        <f aca="false">IF(A4672="","",IF(D4672="GCIA LINEA SERVICIO DIGITALIDAD Y VENTAS","Chats",IF(OR(D4672="GERENCIA INBOUND LÍNEAS SERVICIO Y VENTA",D4672="GERENCIA INBOUND LINEAS ESPECIALIZADAS"),"Llamadas","Otro")))</f>
        <v/>
      </c>
      <c r="I4672" s="26" t="str">
        <f aca="false">IF(A4672="","",IF(C4672="No encontrado","No","Sí"))</f>
        <v/>
      </c>
      <c r="J4672" s="26" t="str">
        <f aca="false">IF(A4672="","",IF(F4672="Inactivo","No","Sí"))</f>
        <v/>
      </c>
      <c r="K4672" s="26" t="str">
        <f aca="false">IF(A4672="","",IF(AND(I4672="Sí",J4672="Sí"),"Sí","No"))</f>
        <v/>
      </c>
    </row>
    <row r="4673" customFormat="false" ht="15" hidden="false" customHeight="false" outlineLevel="0" collapsed="false">
      <c r="A4673" s="22"/>
      <c r="B4673" s="22"/>
      <c r="C4673" s="23" t="str">
        <f aca="false">IF(A4673="","",IFERROR(buscarx(A4673&amp;B4673,DATA!$E$3:$E$10000&amp;DATA!$B$3:$B$10000,DATA!$M$3:$M$10000),"No encontrado"))</f>
        <v/>
      </c>
      <c r="D4673" s="24" t="str">
        <f aca="false">IF(A4673="","",IFERROR(buscarx(A4673&amp;B4673,DATA!$E$3:$E$10000&amp;DATA!$B$3:$B$10000,DATA!$W$3:$W$10000),"No encontrado"))</f>
        <v/>
      </c>
      <c r="E4673" s="22"/>
      <c r="F4673" s="23" t="str">
        <f aca="false">IF(A4673="","",IFERROR(buscarx(A4673&amp;E4673,DATA!$E$3:$E$10000&amp;DATA!$B$3:$B$10000,DATA!$M$3:$M$10000),"Inactivo"))</f>
        <v/>
      </c>
      <c r="G4673" s="25" t="str">
        <f aca="false">IF(A4673="","",IF(AND(C4673&lt;&gt;"No encontrado",F4673&lt;&gt;"Inactivo"),C4673&amp;" → "&amp;F4673,"Sin transición"))</f>
        <v/>
      </c>
      <c r="H4673" s="23" t="str">
        <f aca="false">IF(A4673="","",IF(D4673="GCIA LINEA SERVICIO DIGITALIDAD Y VENTAS","Chats",IF(OR(D4673="GERENCIA INBOUND LÍNEAS SERVICIO Y VENTA",D4673="GERENCIA INBOUND LINEAS ESPECIALIZADAS"),"Llamadas","Otro")))</f>
        <v/>
      </c>
      <c r="I4673" s="23" t="str">
        <f aca="false">IF(A4673="","",IF(C4673="No encontrado","No","Sí"))</f>
        <v/>
      </c>
      <c r="J4673" s="23" t="str">
        <f aca="false">IF(A4673="","",IF(F4673="Inactivo","No","Sí"))</f>
        <v/>
      </c>
      <c r="K4673" s="23" t="str">
        <f aca="false">IF(A4673="","",IF(AND(I4673="Sí",J4673="Sí"),"Sí","No"))</f>
        <v/>
      </c>
    </row>
    <row r="4674" customFormat="false" ht="15" hidden="false" customHeight="false" outlineLevel="0" collapsed="false">
      <c r="A4674" s="22"/>
      <c r="B4674" s="22"/>
      <c r="C4674" s="26" t="str">
        <f aca="false">IF(A4674="","",IFERROR(buscarx(A4674&amp;B4674,DATA!$E$3:$E$10000&amp;DATA!$B$3:$B$10000,DATA!$M$3:$M$10000),"No encontrado"))</f>
        <v/>
      </c>
      <c r="D4674" s="27" t="str">
        <f aca="false">IF(A4674="","",IFERROR(buscarx(A4674&amp;B4674,DATA!$E$3:$E$10000&amp;DATA!$B$3:$B$10000,DATA!$W$3:$W$10000),"No encontrado"))</f>
        <v/>
      </c>
      <c r="E4674" s="22"/>
      <c r="F4674" s="26" t="str">
        <f aca="false">IF(A4674="","",IFERROR(buscarx(A4674&amp;E4674,DATA!$E$3:$E$10000&amp;DATA!$B$3:$B$10000,DATA!$M$3:$M$10000),"Inactivo"))</f>
        <v/>
      </c>
      <c r="G4674" s="28" t="str">
        <f aca="false">IF(A4674="","",IF(AND(C4674&lt;&gt;"No encontrado",F4674&lt;&gt;"Inactivo"),C4674&amp;" → "&amp;F4674,"Sin transición"))</f>
        <v/>
      </c>
      <c r="H4674" s="26" t="str">
        <f aca="false">IF(A4674="","",IF(D4674="GCIA LINEA SERVICIO DIGITALIDAD Y VENTAS","Chats",IF(OR(D4674="GERENCIA INBOUND LÍNEAS SERVICIO Y VENTA",D4674="GERENCIA INBOUND LINEAS ESPECIALIZADAS"),"Llamadas","Otro")))</f>
        <v/>
      </c>
      <c r="I4674" s="26" t="str">
        <f aca="false">IF(A4674="","",IF(C4674="No encontrado","No","Sí"))</f>
        <v/>
      </c>
      <c r="J4674" s="26" t="str">
        <f aca="false">IF(A4674="","",IF(F4674="Inactivo","No","Sí"))</f>
        <v/>
      </c>
      <c r="K4674" s="26" t="str">
        <f aca="false">IF(A4674="","",IF(AND(I4674="Sí",J4674="Sí"),"Sí","No"))</f>
        <v/>
      </c>
    </row>
    <row r="4675" customFormat="false" ht="15" hidden="false" customHeight="false" outlineLevel="0" collapsed="false">
      <c r="A4675" s="22"/>
      <c r="B4675" s="22"/>
      <c r="C4675" s="23" t="str">
        <f aca="false">IF(A4675="","",IFERROR(buscarx(A4675&amp;B4675,DATA!$E$3:$E$10000&amp;DATA!$B$3:$B$10000,DATA!$M$3:$M$10000),"No encontrado"))</f>
        <v/>
      </c>
      <c r="D4675" s="24" t="str">
        <f aca="false">IF(A4675="","",IFERROR(buscarx(A4675&amp;B4675,DATA!$E$3:$E$10000&amp;DATA!$B$3:$B$10000,DATA!$W$3:$W$10000),"No encontrado"))</f>
        <v/>
      </c>
      <c r="E4675" s="22"/>
      <c r="F4675" s="23" t="str">
        <f aca="false">IF(A4675="","",IFERROR(buscarx(A4675&amp;E4675,DATA!$E$3:$E$10000&amp;DATA!$B$3:$B$10000,DATA!$M$3:$M$10000),"Inactivo"))</f>
        <v/>
      </c>
      <c r="G4675" s="25" t="str">
        <f aca="false">IF(A4675="","",IF(AND(C4675&lt;&gt;"No encontrado",F4675&lt;&gt;"Inactivo"),C4675&amp;" → "&amp;F4675,"Sin transición"))</f>
        <v/>
      </c>
      <c r="H4675" s="23" t="str">
        <f aca="false">IF(A4675="","",IF(D4675="GCIA LINEA SERVICIO DIGITALIDAD Y VENTAS","Chats",IF(OR(D4675="GERENCIA INBOUND LÍNEAS SERVICIO Y VENTA",D4675="GERENCIA INBOUND LINEAS ESPECIALIZADAS"),"Llamadas","Otro")))</f>
        <v/>
      </c>
      <c r="I4675" s="23" t="str">
        <f aca="false">IF(A4675="","",IF(C4675="No encontrado","No","Sí"))</f>
        <v/>
      </c>
      <c r="J4675" s="23" t="str">
        <f aca="false">IF(A4675="","",IF(F4675="Inactivo","No","Sí"))</f>
        <v/>
      </c>
      <c r="K4675" s="23" t="str">
        <f aca="false">IF(A4675="","",IF(AND(I4675="Sí",J4675="Sí"),"Sí","No"))</f>
        <v/>
      </c>
    </row>
    <row r="4676" customFormat="false" ht="15" hidden="false" customHeight="false" outlineLevel="0" collapsed="false">
      <c r="A4676" s="22"/>
      <c r="B4676" s="22"/>
      <c r="C4676" s="26" t="str">
        <f aca="false">IF(A4676="","",IFERROR(buscarx(A4676&amp;B4676,DATA!$E$3:$E$10000&amp;DATA!$B$3:$B$10000,DATA!$M$3:$M$10000),"No encontrado"))</f>
        <v/>
      </c>
      <c r="D4676" s="27" t="str">
        <f aca="false">IF(A4676="","",IFERROR(buscarx(A4676&amp;B4676,DATA!$E$3:$E$10000&amp;DATA!$B$3:$B$10000,DATA!$W$3:$W$10000),"No encontrado"))</f>
        <v/>
      </c>
      <c r="E4676" s="22"/>
      <c r="F4676" s="26" t="str">
        <f aca="false">IF(A4676="","",IFERROR(buscarx(A4676&amp;E4676,DATA!$E$3:$E$10000&amp;DATA!$B$3:$B$10000,DATA!$M$3:$M$10000),"Inactivo"))</f>
        <v/>
      </c>
      <c r="G4676" s="28" t="str">
        <f aca="false">IF(A4676="","",IF(AND(C4676&lt;&gt;"No encontrado",F4676&lt;&gt;"Inactivo"),C4676&amp;" → "&amp;F4676,"Sin transición"))</f>
        <v/>
      </c>
      <c r="H4676" s="26" t="str">
        <f aca="false">IF(A4676="","",IF(D4676="GCIA LINEA SERVICIO DIGITALIDAD Y VENTAS","Chats",IF(OR(D4676="GERENCIA INBOUND LÍNEAS SERVICIO Y VENTA",D4676="GERENCIA INBOUND LINEAS ESPECIALIZADAS"),"Llamadas","Otro")))</f>
        <v/>
      </c>
      <c r="I4676" s="26" t="str">
        <f aca="false">IF(A4676="","",IF(C4676="No encontrado","No","Sí"))</f>
        <v/>
      </c>
      <c r="J4676" s="26" t="str">
        <f aca="false">IF(A4676="","",IF(F4676="Inactivo","No","Sí"))</f>
        <v/>
      </c>
      <c r="K4676" s="26" t="str">
        <f aca="false">IF(A4676="","",IF(AND(I4676="Sí",J4676="Sí"),"Sí","No"))</f>
        <v/>
      </c>
    </row>
    <row r="4677" customFormat="false" ht="15" hidden="false" customHeight="false" outlineLevel="0" collapsed="false">
      <c r="A4677" s="22"/>
      <c r="B4677" s="22"/>
      <c r="C4677" s="23" t="str">
        <f aca="false">IF(A4677="","",IFERROR(buscarx(A4677&amp;B4677,DATA!$E$3:$E$10000&amp;DATA!$B$3:$B$10000,DATA!$M$3:$M$10000),"No encontrado"))</f>
        <v/>
      </c>
      <c r="D4677" s="24" t="str">
        <f aca="false">IF(A4677="","",IFERROR(buscarx(A4677&amp;B4677,DATA!$E$3:$E$10000&amp;DATA!$B$3:$B$10000,DATA!$W$3:$W$10000),"No encontrado"))</f>
        <v/>
      </c>
      <c r="E4677" s="22"/>
      <c r="F4677" s="23" t="str">
        <f aca="false">IF(A4677="","",IFERROR(buscarx(A4677&amp;E4677,DATA!$E$3:$E$10000&amp;DATA!$B$3:$B$10000,DATA!$M$3:$M$10000),"Inactivo"))</f>
        <v/>
      </c>
      <c r="G4677" s="25" t="str">
        <f aca="false">IF(A4677="","",IF(AND(C4677&lt;&gt;"No encontrado",F4677&lt;&gt;"Inactivo"),C4677&amp;" → "&amp;F4677,"Sin transición"))</f>
        <v/>
      </c>
      <c r="H4677" s="23" t="str">
        <f aca="false">IF(A4677="","",IF(D4677="GCIA LINEA SERVICIO DIGITALIDAD Y VENTAS","Chats",IF(OR(D4677="GERENCIA INBOUND LÍNEAS SERVICIO Y VENTA",D4677="GERENCIA INBOUND LINEAS ESPECIALIZADAS"),"Llamadas","Otro")))</f>
        <v/>
      </c>
      <c r="I4677" s="23" t="str">
        <f aca="false">IF(A4677="","",IF(C4677="No encontrado","No","Sí"))</f>
        <v/>
      </c>
      <c r="J4677" s="23" t="str">
        <f aca="false">IF(A4677="","",IF(F4677="Inactivo","No","Sí"))</f>
        <v/>
      </c>
      <c r="K4677" s="23" t="str">
        <f aca="false">IF(A4677="","",IF(AND(I4677="Sí",J4677="Sí"),"Sí","No"))</f>
        <v/>
      </c>
    </row>
    <row r="4678" customFormat="false" ht="15" hidden="false" customHeight="false" outlineLevel="0" collapsed="false">
      <c r="A4678" s="22"/>
      <c r="B4678" s="22"/>
      <c r="C4678" s="26" t="str">
        <f aca="false">IF(A4678="","",IFERROR(buscarx(A4678&amp;B4678,DATA!$E$3:$E$10000&amp;DATA!$B$3:$B$10000,DATA!$M$3:$M$10000),"No encontrado"))</f>
        <v/>
      </c>
      <c r="D4678" s="27" t="str">
        <f aca="false">IF(A4678="","",IFERROR(buscarx(A4678&amp;B4678,DATA!$E$3:$E$10000&amp;DATA!$B$3:$B$10000,DATA!$W$3:$W$10000),"No encontrado"))</f>
        <v/>
      </c>
      <c r="E4678" s="22"/>
      <c r="F4678" s="26" t="str">
        <f aca="false">IF(A4678="","",IFERROR(buscarx(A4678&amp;E4678,DATA!$E$3:$E$10000&amp;DATA!$B$3:$B$10000,DATA!$M$3:$M$10000),"Inactivo"))</f>
        <v/>
      </c>
      <c r="G4678" s="28" t="str">
        <f aca="false">IF(A4678="","",IF(AND(C4678&lt;&gt;"No encontrado",F4678&lt;&gt;"Inactivo"),C4678&amp;" → "&amp;F4678,"Sin transición"))</f>
        <v/>
      </c>
      <c r="H4678" s="26" t="str">
        <f aca="false">IF(A4678="","",IF(D4678="GCIA LINEA SERVICIO DIGITALIDAD Y VENTAS","Chats",IF(OR(D4678="GERENCIA INBOUND LÍNEAS SERVICIO Y VENTA",D4678="GERENCIA INBOUND LINEAS ESPECIALIZADAS"),"Llamadas","Otro")))</f>
        <v/>
      </c>
      <c r="I4678" s="26" t="str">
        <f aca="false">IF(A4678="","",IF(C4678="No encontrado","No","Sí"))</f>
        <v/>
      </c>
      <c r="J4678" s="26" t="str">
        <f aca="false">IF(A4678="","",IF(F4678="Inactivo","No","Sí"))</f>
        <v/>
      </c>
      <c r="K4678" s="26" t="str">
        <f aca="false">IF(A4678="","",IF(AND(I4678="Sí",J4678="Sí"),"Sí","No"))</f>
        <v/>
      </c>
    </row>
    <row r="4679" customFormat="false" ht="15" hidden="false" customHeight="false" outlineLevel="0" collapsed="false">
      <c r="A4679" s="22"/>
      <c r="B4679" s="22"/>
      <c r="C4679" s="23" t="str">
        <f aca="false">IF(A4679="","",IFERROR(buscarx(A4679&amp;B4679,DATA!$E$3:$E$10000&amp;DATA!$B$3:$B$10000,DATA!$M$3:$M$10000),"No encontrado"))</f>
        <v/>
      </c>
      <c r="D4679" s="24" t="str">
        <f aca="false">IF(A4679="","",IFERROR(buscarx(A4679&amp;B4679,DATA!$E$3:$E$10000&amp;DATA!$B$3:$B$10000,DATA!$W$3:$W$10000),"No encontrado"))</f>
        <v/>
      </c>
      <c r="E4679" s="22"/>
      <c r="F4679" s="23" t="str">
        <f aca="false">IF(A4679="","",IFERROR(buscarx(A4679&amp;E4679,DATA!$E$3:$E$10000&amp;DATA!$B$3:$B$10000,DATA!$M$3:$M$10000),"Inactivo"))</f>
        <v/>
      </c>
      <c r="G4679" s="25" t="str">
        <f aca="false">IF(A4679="","",IF(AND(C4679&lt;&gt;"No encontrado",F4679&lt;&gt;"Inactivo"),C4679&amp;" → "&amp;F4679,"Sin transición"))</f>
        <v/>
      </c>
      <c r="H4679" s="23" t="str">
        <f aca="false">IF(A4679="","",IF(D4679="GCIA LINEA SERVICIO DIGITALIDAD Y VENTAS","Chats",IF(OR(D4679="GERENCIA INBOUND LÍNEAS SERVICIO Y VENTA",D4679="GERENCIA INBOUND LINEAS ESPECIALIZADAS"),"Llamadas","Otro")))</f>
        <v/>
      </c>
      <c r="I4679" s="23" t="str">
        <f aca="false">IF(A4679="","",IF(C4679="No encontrado","No","Sí"))</f>
        <v/>
      </c>
      <c r="J4679" s="23" t="str">
        <f aca="false">IF(A4679="","",IF(F4679="Inactivo","No","Sí"))</f>
        <v/>
      </c>
      <c r="K4679" s="23" t="str">
        <f aca="false">IF(A4679="","",IF(AND(I4679="Sí",J4679="Sí"),"Sí","No"))</f>
        <v/>
      </c>
    </row>
    <row r="4680" customFormat="false" ht="15" hidden="false" customHeight="false" outlineLevel="0" collapsed="false">
      <c r="A4680" s="22"/>
      <c r="B4680" s="22"/>
      <c r="C4680" s="26" t="str">
        <f aca="false">IF(A4680="","",IFERROR(buscarx(A4680&amp;B4680,DATA!$E$3:$E$10000&amp;DATA!$B$3:$B$10000,DATA!$M$3:$M$10000),"No encontrado"))</f>
        <v/>
      </c>
      <c r="D4680" s="27" t="str">
        <f aca="false">IF(A4680="","",IFERROR(buscarx(A4680&amp;B4680,DATA!$E$3:$E$10000&amp;DATA!$B$3:$B$10000,DATA!$W$3:$W$10000),"No encontrado"))</f>
        <v/>
      </c>
      <c r="E4680" s="22"/>
      <c r="F4680" s="26" t="str">
        <f aca="false">IF(A4680="","",IFERROR(buscarx(A4680&amp;E4680,DATA!$E$3:$E$10000&amp;DATA!$B$3:$B$10000,DATA!$M$3:$M$10000),"Inactivo"))</f>
        <v/>
      </c>
      <c r="G4680" s="28" t="str">
        <f aca="false">IF(A4680="","",IF(AND(C4680&lt;&gt;"No encontrado",F4680&lt;&gt;"Inactivo"),C4680&amp;" → "&amp;F4680,"Sin transición"))</f>
        <v/>
      </c>
      <c r="H4680" s="26" t="str">
        <f aca="false">IF(A4680="","",IF(D4680="GCIA LINEA SERVICIO DIGITALIDAD Y VENTAS","Chats",IF(OR(D4680="GERENCIA INBOUND LÍNEAS SERVICIO Y VENTA",D4680="GERENCIA INBOUND LINEAS ESPECIALIZADAS"),"Llamadas","Otro")))</f>
        <v/>
      </c>
      <c r="I4680" s="26" t="str">
        <f aca="false">IF(A4680="","",IF(C4680="No encontrado","No","Sí"))</f>
        <v/>
      </c>
      <c r="J4680" s="26" t="str">
        <f aca="false">IF(A4680="","",IF(F4680="Inactivo","No","Sí"))</f>
        <v/>
      </c>
      <c r="K4680" s="26" t="str">
        <f aca="false">IF(A4680="","",IF(AND(I4680="Sí",J4680="Sí"),"Sí","No"))</f>
        <v/>
      </c>
    </row>
    <row r="4681" customFormat="false" ht="15" hidden="false" customHeight="false" outlineLevel="0" collapsed="false">
      <c r="A4681" s="22"/>
      <c r="B4681" s="22"/>
      <c r="C4681" s="23" t="str">
        <f aca="false">IF(A4681="","",IFERROR(buscarx(A4681&amp;B4681,DATA!$E$3:$E$10000&amp;DATA!$B$3:$B$10000,DATA!$M$3:$M$10000),"No encontrado"))</f>
        <v/>
      </c>
      <c r="D4681" s="24" t="str">
        <f aca="false">IF(A4681="","",IFERROR(buscarx(A4681&amp;B4681,DATA!$E$3:$E$10000&amp;DATA!$B$3:$B$10000,DATA!$W$3:$W$10000),"No encontrado"))</f>
        <v/>
      </c>
      <c r="E4681" s="22"/>
      <c r="F4681" s="23" t="str">
        <f aca="false">IF(A4681="","",IFERROR(buscarx(A4681&amp;E4681,DATA!$E$3:$E$10000&amp;DATA!$B$3:$B$10000,DATA!$M$3:$M$10000),"Inactivo"))</f>
        <v/>
      </c>
      <c r="G4681" s="25" t="str">
        <f aca="false">IF(A4681="","",IF(AND(C4681&lt;&gt;"No encontrado",F4681&lt;&gt;"Inactivo"),C4681&amp;" → "&amp;F4681,"Sin transición"))</f>
        <v/>
      </c>
      <c r="H4681" s="23" t="str">
        <f aca="false">IF(A4681="","",IF(D4681="GCIA LINEA SERVICIO DIGITALIDAD Y VENTAS","Chats",IF(OR(D4681="GERENCIA INBOUND LÍNEAS SERVICIO Y VENTA",D4681="GERENCIA INBOUND LINEAS ESPECIALIZADAS"),"Llamadas","Otro")))</f>
        <v/>
      </c>
      <c r="I4681" s="23" t="str">
        <f aca="false">IF(A4681="","",IF(C4681="No encontrado","No","Sí"))</f>
        <v/>
      </c>
      <c r="J4681" s="23" t="str">
        <f aca="false">IF(A4681="","",IF(F4681="Inactivo","No","Sí"))</f>
        <v/>
      </c>
      <c r="K4681" s="23" t="str">
        <f aca="false">IF(A4681="","",IF(AND(I4681="Sí",J4681="Sí"),"Sí","No"))</f>
        <v/>
      </c>
    </row>
    <row r="4682" customFormat="false" ht="15" hidden="false" customHeight="false" outlineLevel="0" collapsed="false">
      <c r="A4682" s="22"/>
      <c r="B4682" s="22"/>
      <c r="C4682" s="26" t="str">
        <f aca="false">IF(A4682="","",IFERROR(buscarx(A4682&amp;B4682,DATA!$E$3:$E$10000&amp;DATA!$B$3:$B$10000,DATA!$M$3:$M$10000),"No encontrado"))</f>
        <v/>
      </c>
      <c r="D4682" s="27" t="str">
        <f aca="false">IF(A4682="","",IFERROR(buscarx(A4682&amp;B4682,DATA!$E$3:$E$10000&amp;DATA!$B$3:$B$10000,DATA!$W$3:$W$10000),"No encontrado"))</f>
        <v/>
      </c>
      <c r="E4682" s="22"/>
      <c r="F4682" s="26" t="str">
        <f aca="false">IF(A4682="","",IFERROR(buscarx(A4682&amp;E4682,DATA!$E$3:$E$10000&amp;DATA!$B$3:$B$10000,DATA!$M$3:$M$10000),"Inactivo"))</f>
        <v/>
      </c>
      <c r="G4682" s="28" t="str">
        <f aca="false">IF(A4682="","",IF(AND(C4682&lt;&gt;"No encontrado",F4682&lt;&gt;"Inactivo"),C4682&amp;" → "&amp;F4682,"Sin transición"))</f>
        <v/>
      </c>
      <c r="H4682" s="26" t="str">
        <f aca="false">IF(A4682="","",IF(D4682="GCIA LINEA SERVICIO DIGITALIDAD Y VENTAS","Chats",IF(OR(D4682="GERENCIA INBOUND LÍNEAS SERVICIO Y VENTA",D4682="GERENCIA INBOUND LINEAS ESPECIALIZADAS"),"Llamadas","Otro")))</f>
        <v/>
      </c>
      <c r="I4682" s="26" t="str">
        <f aca="false">IF(A4682="","",IF(C4682="No encontrado","No","Sí"))</f>
        <v/>
      </c>
      <c r="J4682" s="26" t="str">
        <f aca="false">IF(A4682="","",IF(F4682="Inactivo","No","Sí"))</f>
        <v/>
      </c>
      <c r="K4682" s="26" t="str">
        <f aca="false">IF(A4682="","",IF(AND(I4682="Sí",J4682="Sí"),"Sí","No"))</f>
        <v/>
      </c>
    </row>
    <row r="4683" customFormat="false" ht="15" hidden="false" customHeight="false" outlineLevel="0" collapsed="false">
      <c r="A4683" s="22"/>
      <c r="B4683" s="22"/>
      <c r="C4683" s="23" t="str">
        <f aca="false">IF(A4683="","",IFERROR(buscarx(A4683&amp;B4683,DATA!$E$3:$E$10000&amp;DATA!$B$3:$B$10000,DATA!$M$3:$M$10000),"No encontrado"))</f>
        <v/>
      </c>
      <c r="D4683" s="24" t="str">
        <f aca="false">IF(A4683="","",IFERROR(buscarx(A4683&amp;B4683,DATA!$E$3:$E$10000&amp;DATA!$B$3:$B$10000,DATA!$W$3:$W$10000),"No encontrado"))</f>
        <v/>
      </c>
      <c r="E4683" s="22"/>
      <c r="F4683" s="23" t="str">
        <f aca="false">IF(A4683="","",IFERROR(buscarx(A4683&amp;E4683,DATA!$E$3:$E$10000&amp;DATA!$B$3:$B$10000,DATA!$M$3:$M$10000),"Inactivo"))</f>
        <v/>
      </c>
      <c r="G4683" s="25" t="str">
        <f aca="false">IF(A4683="","",IF(AND(C4683&lt;&gt;"No encontrado",F4683&lt;&gt;"Inactivo"),C4683&amp;" → "&amp;F4683,"Sin transición"))</f>
        <v/>
      </c>
      <c r="H4683" s="23" t="str">
        <f aca="false">IF(A4683="","",IF(D4683="GCIA LINEA SERVICIO DIGITALIDAD Y VENTAS","Chats",IF(OR(D4683="GERENCIA INBOUND LÍNEAS SERVICIO Y VENTA",D4683="GERENCIA INBOUND LINEAS ESPECIALIZADAS"),"Llamadas","Otro")))</f>
        <v/>
      </c>
      <c r="I4683" s="23" t="str">
        <f aca="false">IF(A4683="","",IF(C4683="No encontrado","No","Sí"))</f>
        <v/>
      </c>
      <c r="J4683" s="23" t="str">
        <f aca="false">IF(A4683="","",IF(F4683="Inactivo","No","Sí"))</f>
        <v/>
      </c>
      <c r="K4683" s="23" t="str">
        <f aca="false">IF(A4683="","",IF(AND(I4683="Sí",J4683="Sí"),"Sí","No"))</f>
        <v/>
      </c>
    </row>
    <row r="4684" customFormat="false" ht="15" hidden="false" customHeight="false" outlineLevel="0" collapsed="false">
      <c r="A4684" s="22"/>
      <c r="B4684" s="22"/>
      <c r="C4684" s="26" t="str">
        <f aca="false">IF(A4684="","",IFERROR(buscarx(A4684&amp;B4684,DATA!$E$3:$E$10000&amp;DATA!$B$3:$B$10000,DATA!$M$3:$M$10000),"No encontrado"))</f>
        <v/>
      </c>
      <c r="D4684" s="27" t="str">
        <f aca="false">IF(A4684="","",IFERROR(buscarx(A4684&amp;B4684,DATA!$E$3:$E$10000&amp;DATA!$B$3:$B$10000,DATA!$W$3:$W$10000),"No encontrado"))</f>
        <v/>
      </c>
      <c r="E4684" s="22"/>
      <c r="F4684" s="26" t="str">
        <f aca="false">IF(A4684="","",IFERROR(buscarx(A4684&amp;E4684,DATA!$E$3:$E$10000&amp;DATA!$B$3:$B$10000,DATA!$M$3:$M$10000),"Inactivo"))</f>
        <v/>
      </c>
      <c r="G4684" s="28" t="str">
        <f aca="false">IF(A4684="","",IF(AND(C4684&lt;&gt;"No encontrado",F4684&lt;&gt;"Inactivo"),C4684&amp;" → "&amp;F4684,"Sin transición"))</f>
        <v/>
      </c>
      <c r="H4684" s="26" t="str">
        <f aca="false">IF(A4684="","",IF(D4684="GCIA LINEA SERVICIO DIGITALIDAD Y VENTAS","Chats",IF(OR(D4684="GERENCIA INBOUND LÍNEAS SERVICIO Y VENTA",D4684="GERENCIA INBOUND LINEAS ESPECIALIZADAS"),"Llamadas","Otro")))</f>
        <v/>
      </c>
      <c r="I4684" s="26" t="str">
        <f aca="false">IF(A4684="","",IF(C4684="No encontrado","No","Sí"))</f>
        <v/>
      </c>
      <c r="J4684" s="26" t="str">
        <f aca="false">IF(A4684="","",IF(F4684="Inactivo","No","Sí"))</f>
        <v/>
      </c>
      <c r="K4684" s="26" t="str">
        <f aca="false">IF(A4684="","",IF(AND(I4684="Sí",J4684="Sí"),"Sí","No"))</f>
        <v/>
      </c>
    </row>
    <row r="4685" customFormat="false" ht="15" hidden="false" customHeight="false" outlineLevel="0" collapsed="false">
      <c r="A4685" s="22"/>
      <c r="B4685" s="22"/>
      <c r="C4685" s="23" t="str">
        <f aca="false">IF(A4685="","",IFERROR(buscarx(A4685&amp;B4685,DATA!$E$3:$E$10000&amp;DATA!$B$3:$B$10000,DATA!$M$3:$M$10000),"No encontrado"))</f>
        <v/>
      </c>
      <c r="D4685" s="24" t="str">
        <f aca="false">IF(A4685="","",IFERROR(buscarx(A4685&amp;B4685,DATA!$E$3:$E$10000&amp;DATA!$B$3:$B$10000,DATA!$W$3:$W$10000),"No encontrado"))</f>
        <v/>
      </c>
      <c r="E4685" s="22"/>
      <c r="F4685" s="23" t="str">
        <f aca="false">IF(A4685="","",IFERROR(buscarx(A4685&amp;E4685,DATA!$E$3:$E$10000&amp;DATA!$B$3:$B$10000,DATA!$M$3:$M$10000),"Inactivo"))</f>
        <v/>
      </c>
      <c r="G4685" s="25" t="str">
        <f aca="false">IF(A4685="","",IF(AND(C4685&lt;&gt;"No encontrado",F4685&lt;&gt;"Inactivo"),C4685&amp;" → "&amp;F4685,"Sin transición"))</f>
        <v/>
      </c>
      <c r="H4685" s="23" t="str">
        <f aca="false">IF(A4685="","",IF(D4685="GCIA LINEA SERVICIO DIGITALIDAD Y VENTAS","Chats",IF(OR(D4685="GERENCIA INBOUND LÍNEAS SERVICIO Y VENTA",D4685="GERENCIA INBOUND LINEAS ESPECIALIZADAS"),"Llamadas","Otro")))</f>
        <v/>
      </c>
      <c r="I4685" s="23" t="str">
        <f aca="false">IF(A4685="","",IF(C4685="No encontrado","No","Sí"))</f>
        <v/>
      </c>
      <c r="J4685" s="23" t="str">
        <f aca="false">IF(A4685="","",IF(F4685="Inactivo","No","Sí"))</f>
        <v/>
      </c>
      <c r="K4685" s="23" t="str">
        <f aca="false">IF(A4685="","",IF(AND(I4685="Sí",J4685="Sí"),"Sí","No"))</f>
        <v/>
      </c>
    </row>
    <row r="4686" customFormat="false" ht="15" hidden="false" customHeight="false" outlineLevel="0" collapsed="false">
      <c r="A4686" s="22"/>
      <c r="B4686" s="22"/>
      <c r="C4686" s="26" t="str">
        <f aca="false">IF(A4686="","",IFERROR(buscarx(A4686&amp;B4686,DATA!$E$3:$E$10000&amp;DATA!$B$3:$B$10000,DATA!$M$3:$M$10000),"No encontrado"))</f>
        <v/>
      </c>
      <c r="D4686" s="27" t="str">
        <f aca="false">IF(A4686="","",IFERROR(buscarx(A4686&amp;B4686,DATA!$E$3:$E$10000&amp;DATA!$B$3:$B$10000,DATA!$W$3:$W$10000),"No encontrado"))</f>
        <v/>
      </c>
      <c r="E4686" s="22"/>
      <c r="F4686" s="26" t="str">
        <f aca="false">IF(A4686="","",IFERROR(buscarx(A4686&amp;E4686,DATA!$E$3:$E$10000&amp;DATA!$B$3:$B$10000,DATA!$M$3:$M$10000),"Inactivo"))</f>
        <v/>
      </c>
      <c r="G4686" s="28" t="str">
        <f aca="false">IF(A4686="","",IF(AND(C4686&lt;&gt;"No encontrado",F4686&lt;&gt;"Inactivo"),C4686&amp;" → "&amp;F4686,"Sin transición"))</f>
        <v/>
      </c>
      <c r="H4686" s="26" t="str">
        <f aca="false">IF(A4686="","",IF(D4686="GCIA LINEA SERVICIO DIGITALIDAD Y VENTAS","Chats",IF(OR(D4686="GERENCIA INBOUND LÍNEAS SERVICIO Y VENTA",D4686="GERENCIA INBOUND LINEAS ESPECIALIZADAS"),"Llamadas","Otro")))</f>
        <v/>
      </c>
      <c r="I4686" s="26" t="str">
        <f aca="false">IF(A4686="","",IF(C4686="No encontrado","No","Sí"))</f>
        <v/>
      </c>
      <c r="J4686" s="26" t="str">
        <f aca="false">IF(A4686="","",IF(F4686="Inactivo","No","Sí"))</f>
        <v/>
      </c>
      <c r="K4686" s="26" t="str">
        <f aca="false">IF(A4686="","",IF(AND(I4686="Sí",J4686="Sí"),"Sí","No"))</f>
        <v/>
      </c>
    </row>
    <row r="4687" customFormat="false" ht="15" hidden="false" customHeight="false" outlineLevel="0" collapsed="false">
      <c r="A4687" s="22"/>
      <c r="B4687" s="22"/>
      <c r="C4687" s="23" t="str">
        <f aca="false">IF(A4687="","",IFERROR(buscarx(A4687&amp;B4687,DATA!$E$3:$E$10000&amp;DATA!$B$3:$B$10000,DATA!$M$3:$M$10000),"No encontrado"))</f>
        <v/>
      </c>
      <c r="D4687" s="24" t="str">
        <f aca="false">IF(A4687="","",IFERROR(buscarx(A4687&amp;B4687,DATA!$E$3:$E$10000&amp;DATA!$B$3:$B$10000,DATA!$W$3:$W$10000),"No encontrado"))</f>
        <v/>
      </c>
      <c r="E4687" s="22"/>
      <c r="F4687" s="23" t="str">
        <f aca="false">IF(A4687="","",IFERROR(buscarx(A4687&amp;E4687,DATA!$E$3:$E$10000&amp;DATA!$B$3:$B$10000,DATA!$M$3:$M$10000),"Inactivo"))</f>
        <v/>
      </c>
      <c r="G4687" s="25" t="str">
        <f aca="false">IF(A4687="","",IF(AND(C4687&lt;&gt;"No encontrado",F4687&lt;&gt;"Inactivo"),C4687&amp;" → "&amp;F4687,"Sin transición"))</f>
        <v/>
      </c>
      <c r="H4687" s="23" t="str">
        <f aca="false">IF(A4687="","",IF(D4687="GCIA LINEA SERVICIO DIGITALIDAD Y VENTAS","Chats",IF(OR(D4687="GERENCIA INBOUND LÍNEAS SERVICIO Y VENTA",D4687="GERENCIA INBOUND LINEAS ESPECIALIZADAS"),"Llamadas","Otro")))</f>
        <v/>
      </c>
      <c r="I4687" s="23" t="str">
        <f aca="false">IF(A4687="","",IF(C4687="No encontrado","No","Sí"))</f>
        <v/>
      </c>
      <c r="J4687" s="23" t="str">
        <f aca="false">IF(A4687="","",IF(F4687="Inactivo","No","Sí"))</f>
        <v/>
      </c>
      <c r="K4687" s="23" t="str">
        <f aca="false">IF(A4687="","",IF(AND(I4687="Sí",J4687="Sí"),"Sí","No"))</f>
        <v/>
      </c>
    </row>
    <row r="4688" customFormat="false" ht="15" hidden="false" customHeight="false" outlineLevel="0" collapsed="false">
      <c r="A4688" s="22"/>
      <c r="B4688" s="22"/>
      <c r="C4688" s="26" t="str">
        <f aca="false">IF(A4688="","",IFERROR(buscarx(A4688&amp;B4688,DATA!$E$3:$E$10000&amp;DATA!$B$3:$B$10000,DATA!$M$3:$M$10000),"No encontrado"))</f>
        <v/>
      </c>
      <c r="D4688" s="27" t="str">
        <f aca="false">IF(A4688="","",IFERROR(buscarx(A4688&amp;B4688,DATA!$E$3:$E$10000&amp;DATA!$B$3:$B$10000,DATA!$W$3:$W$10000),"No encontrado"))</f>
        <v/>
      </c>
      <c r="E4688" s="22"/>
      <c r="F4688" s="26" t="str">
        <f aca="false">IF(A4688="","",IFERROR(buscarx(A4688&amp;E4688,DATA!$E$3:$E$10000&amp;DATA!$B$3:$B$10000,DATA!$M$3:$M$10000),"Inactivo"))</f>
        <v/>
      </c>
      <c r="G4688" s="28" t="str">
        <f aca="false">IF(A4688="","",IF(AND(C4688&lt;&gt;"No encontrado",F4688&lt;&gt;"Inactivo"),C4688&amp;" → "&amp;F4688,"Sin transición"))</f>
        <v/>
      </c>
      <c r="H4688" s="26" t="str">
        <f aca="false">IF(A4688="","",IF(D4688="GCIA LINEA SERVICIO DIGITALIDAD Y VENTAS","Chats",IF(OR(D4688="GERENCIA INBOUND LÍNEAS SERVICIO Y VENTA",D4688="GERENCIA INBOUND LINEAS ESPECIALIZADAS"),"Llamadas","Otro")))</f>
        <v/>
      </c>
      <c r="I4688" s="26" t="str">
        <f aca="false">IF(A4688="","",IF(C4688="No encontrado","No","Sí"))</f>
        <v/>
      </c>
      <c r="J4688" s="26" t="str">
        <f aca="false">IF(A4688="","",IF(F4688="Inactivo","No","Sí"))</f>
        <v/>
      </c>
      <c r="K4688" s="26" t="str">
        <f aca="false">IF(A4688="","",IF(AND(I4688="Sí",J4688="Sí"),"Sí","No"))</f>
        <v/>
      </c>
    </row>
    <row r="4689" customFormat="false" ht="15" hidden="false" customHeight="false" outlineLevel="0" collapsed="false">
      <c r="A4689" s="22"/>
      <c r="B4689" s="22"/>
      <c r="C4689" s="23" t="str">
        <f aca="false">IF(A4689="","",IFERROR(buscarx(A4689&amp;B4689,DATA!$E$3:$E$10000&amp;DATA!$B$3:$B$10000,DATA!$M$3:$M$10000),"No encontrado"))</f>
        <v/>
      </c>
      <c r="D4689" s="24" t="str">
        <f aca="false">IF(A4689="","",IFERROR(buscarx(A4689&amp;B4689,DATA!$E$3:$E$10000&amp;DATA!$B$3:$B$10000,DATA!$W$3:$W$10000),"No encontrado"))</f>
        <v/>
      </c>
      <c r="E4689" s="22"/>
      <c r="F4689" s="23" t="str">
        <f aca="false">IF(A4689="","",IFERROR(buscarx(A4689&amp;E4689,DATA!$E$3:$E$10000&amp;DATA!$B$3:$B$10000,DATA!$M$3:$M$10000),"Inactivo"))</f>
        <v/>
      </c>
      <c r="G4689" s="25" t="str">
        <f aca="false">IF(A4689="","",IF(AND(C4689&lt;&gt;"No encontrado",F4689&lt;&gt;"Inactivo"),C4689&amp;" → "&amp;F4689,"Sin transición"))</f>
        <v/>
      </c>
      <c r="H4689" s="23" t="str">
        <f aca="false">IF(A4689="","",IF(D4689="GCIA LINEA SERVICIO DIGITALIDAD Y VENTAS","Chats",IF(OR(D4689="GERENCIA INBOUND LÍNEAS SERVICIO Y VENTA",D4689="GERENCIA INBOUND LINEAS ESPECIALIZADAS"),"Llamadas","Otro")))</f>
        <v/>
      </c>
      <c r="I4689" s="23" t="str">
        <f aca="false">IF(A4689="","",IF(C4689="No encontrado","No","Sí"))</f>
        <v/>
      </c>
      <c r="J4689" s="23" t="str">
        <f aca="false">IF(A4689="","",IF(F4689="Inactivo","No","Sí"))</f>
        <v/>
      </c>
      <c r="K4689" s="23" t="str">
        <f aca="false">IF(A4689="","",IF(AND(I4689="Sí",J4689="Sí"),"Sí","No"))</f>
        <v/>
      </c>
    </row>
    <row r="4690" customFormat="false" ht="15" hidden="false" customHeight="false" outlineLevel="0" collapsed="false">
      <c r="A4690" s="22"/>
      <c r="B4690" s="22"/>
      <c r="C4690" s="26" t="str">
        <f aca="false">IF(A4690="","",IFERROR(buscarx(A4690&amp;B4690,DATA!$E$3:$E$10000&amp;DATA!$B$3:$B$10000,DATA!$M$3:$M$10000),"No encontrado"))</f>
        <v/>
      </c>
      <c r="D4690" s="27" t="str">
        <f aca="false">IF(A4690="","",IFERROR(buscarx(A4690&amp;B4690,DATA!$E$3:$E$10000&amp;DATA!$B$3:$B$10000,DATA!$W$3:$W$10000),"No encontrado"))</f>
        <v/>
      </c>
      <c r="E4690" s="22"/>
      <c r="F4690" s="26" t="str">
        <f aca="false">IF(A4690="","",IFERROR(buscarx(A4690&amp;E4690,DATA!$E$3:$E$10000&amp;DATA!$B$3:$B$10000,DATA!$M$3:$M$10000),"Inactivo"))</f>
        <v/>
      </c>
      <c r="G4690" s="28" t="str">
        <f aca="false">IF(A4690="","",IF(AND(C4690&lt;&gt;"No encontrado",F4690&lt;&gt;"Inactivo"),C4690&amp;" → "&amp;F4690,"Sin transición"))</f>
        <v/>
      </c>
      <c r="H4690" s="26" t="str">
        <f aca="false">IF(A4690="","",IF(D4690="GCIA LINEA SERVICIO DIGITALIDAD Y VENTAS","Chats",IF(OR(D4690="GERENCIA INBOUND LÍNEAS SERVICIO Y VENTA",D4690="GERENCIA INBOUND LINEAS ESPECIALIZADAS"),"Llamadas","Otro")))</f>
        <v/>
      </c>
      <c r="I4690" s="26" t="str">
        <f aca="false">IF(A4690="","",IF(C4690="No encontrado","No","Sí"))</f>
        <v/>
      </c>
      <c r="J4690" s="26" t="str">
        <f aca="false">IF(A4690="","",IF(F4690="Inactivo","No","Sí"))</f>
        <v/>
      </c>
      <c r="K4690" s="26" t="str">
        <f aca="false">IF(A4690="","",IF(AND(I4690="Sí",J4690="Sí"),"Sí","No"))</f>
        <v/>
      </c>
    </row>
    <row r="4691" customFormat="false" ht="15" hidden="false" customHeight="false" outlineLevel="0" collapsed="false">
      <c r="A4691" s="22"/>
      <c r="B4691" s="22"/>
      <c r="C4691" s="23" t="str">
        <f aca="false">IF(A4691="","",IFERROR(buscarx(A4691&amp;B4691,DATA!$E$3:$E$10000&amp;DATA!$B$3:$B$10000,DATA!$M$3:$M$10000),"No encontrado"))</f>
        <v/>
      </c>
      <c r="D4691" s="24" t="str">
        <f aca="false">IF(A4691="","",IFERROR(buscarx(A4691&amp;B4691,DATA!$E$3:$E$10000&amp;DATA!$B$3:$B$10000,DATA!$W$3:$W$10000),"No encontrado"))</f>
        <v/>
      </c>
      <c r="E4691" s="22"/>
      <c r="F4691" s="23" t="str">
        <f aca="false">IF(A4691="","",IFERROR(buscarx(A4691&amp;E4691,DATA!$E$3:$E$10000&amp;DATA!$B$3:$B$10000,DATA!$M$3:$M$10000),"Inactivo"))</f>
        <v/>
      </c>
      <c r="G4691" s="25" t="str">
        <f aca="false">IF(A4691="","",IF(AND(C4691&lt;&gt;"No encontrado",F4691&lt;&gt;"Inactivo"),C4691&amp;" → "&amp;F4691,"Sin transición"))</f>
        <v/>
      </c>
      <c r="H4691" s="23" t="str">
        <f aca="false">IF(A4691="","",IF(D4691="GCIA LINEA SERVICIO DIGITALIDAD Y VENTAS","Chats",IF(OR(D4691="GERENCIA INBOUND LÍNEAS SERVICIO Y VENTA",D4691="GERENCIA INBOUND LINEAS ESPECIALIZADAS"),"Llamadas","Otro")))</f>
        <v/>
      </c>
      <c r="I4691" s="23" t="str">
        <f aca="false">IF(A4691="","",IF(C4691="No encontrado","No","Sí"))</f>
        <v/>
      </c>
      <c r="J4691" s="23" t="str">
        <f aca="false">IF(A4691="","",IF(F4691="Inactivo","No","Sí"))</f>
        <v/>
      </c>
      <c r="K4691" s="23" t="str">
        <f aca="false">IF(A4691="","",IF(AND(I4691="Sí",J4691="Sí"),"Sí","No"))</f>
        <v/>
      </c>
    </row>
    <row r="4692" customFormat="false" ht="15" hidden="false" customHeight="false" outlineLevel="0" collapsed="false">
      <c r="A4692" s="22"/>
      <c r="B4692" s="22"/>
      <c r="C4692" s="26" t="str">
        <f aca="false">IF(A4692="","",IFERROR(buscarx(A4692&amp;B4692,DATA!$E$3:$E$10000&amp;DATA!$B$3:$B$10000,DATA!$M$3:$M$10000),"No encontrado"))</f>
        <v/>
      </c>
      <c r="D4692" s="27" t="str">
        <f aca="false">IF(A4692="","",IFERROR(buscarx(A4692&amp;B4692,DATA!$E$3:$E$10000&amp;DATA!$B$3:$B$10000,DATA!$W$3:$W$10000),"No encontrado"))</f>
        <v/>
      </c>
      <c r="E4692" s="22"/>
      <c r="F4692" s="26" t="str">
        <f aca="false">IF(A4692="","",IFERROR(buscarx(A4692&amp;E4692,DATA!$E$3:$E$10000&amp;DATA!$B$3:$B$10000,DATA!$M$3:$M$10000),"Inactivo"))</f>
        <v/>
      </c>
      <c r="G4692" s="28" t="str">
        <f aca="false">IF(A4692="","",IF(AND(C4692&lt;&gt;"No encontrado",F4692&lt;&gt;"Inactivo"),C4692&amp;" → "&amp;F4692,"Sin transición"))</f>
        <v/>
      </c>
      <c r="H4692" s="26" t="str">
        <f aca="false">IF(A4692="","",IF(D4692="GCIA LINEA SERVICIO DIGITALIDAD Y VENTAS","Chats",IF(OR(D4692="GERENCIA INBOUND LÍNEAS SERVICIO Y VENTA",D4692="GERENCIA INBOUND LINEAS ESPECIALIZADAS"),"Llamadas","Otro")))</f>
        <v/>
      </c>
      <c r="I4692" s="26" t="str">
        <f aca="false">IF(A4692="","",IF(C4692="No encontrado","No","Sí"))</f>
        <v/>
      </c>
      <c r="J4692" s="26" t="str">
        <f aca="false">IF(A4692="","",IF(F4692="Inactivo","No","Sí"))</f>
        <v/>
      </c>
      <c r="K4692" s="26" t="str">
        <f aca="false">IF(A4692="","",IF(AND(I4692="Sí",J4692="Sí"),"Sí","No"))</f>
        <v/>
      </c>
    </row>
    <row r="4693" customFormat="false" ht="15" hidden="false" customHeight="false" outlineLevel="0" collapsed="false">
      <c r="A4693" s="22"/>
      <c r="B4693" s="22"/>
      <c r="C4693" s="23" t="str">
        <f aca="false">IF(A4693="","",IFERROR(buscarx(A4693&amp;B4693,DATA!$E$3:$E$10000&amp;DATA!$B$3:$B$10000,DATA!$M$3:$M$10000),"No encontrado"))</f>
        <v/>
      </c>
      <c r="D4693" s="24" t="str">
        <f aca="false">IF(A4693="","",IFERROR(buscarx(A4693&amp;B4693,DATA!$E$3:$E$10000&amp;DATA!$B$3:$B$10000,DATA!$W$3:$W$10000),"No encontrado"))</f>
        <v/>
      </c>
      <c r="E4693" s="22"/>
      <c r="F4693" s="23" t="str">
        <f aca="false">IF(A4693="","",IFERROR(buscarx(A4693&amp;E4693,DATA!$E$3:$E$10000&amp;DATA!$B$3:$B$10000,DATA!$M$3:$M$10000),"Inactivo"))</f>
        <v/>
      </c>
      <c r="G4693" s="25" t="str">
        <f aca="false">IF(A4693="","",IF(AND(C4693&lt;&gt;"No encontrado",F4693&lt;&gt;"Inactivo"),C4693&amp;" → "&amp;F4693,"Sin transición"))</f>
        <v/>
      </c>
      <c r="H4693" s="23" t="str">
        <f aca="false">IF(A4693="","",IF(D4693="GCIA LINEA SERVICIO DIGITALIDAD Y VENTAS","Chats",IF(OR(D4693="GERENCIA INBOUND LÍNEAS SERVICIO Y VENTA",D4693="GERENCIA INBOUND LINEAS ESPECIALIZADAS"),"Llamadas","Otro")))</f>
        <v/>
      </c>
      <c r="I4693" s="23" t="str">
        <f aca="false">IF(A4693="","",IF(C4693="No encontrado","No","Sí"))</f>
        <v/>
      </c>
      <c r="J4693" s="23" t="str">
        <f aca="false">IF(A4693="","",IF(F4693="Inactivo","No","Sí"))</f>
        <v/>
      </c>
      <c r="K4693" s="23" t="str">
        <f aca="false">IF(A4693="","",IF(AND(I4693="Sí",J4693="Sí"),"Sí","No"))</f>
        <v/>
      </c>
    </row>
    <row r="4694" customFormat="false" ht="15" hidden="false" customHeight="false" outlineLevel="0" collapsed="false">
      <c r="A4694" s="22"/>
      <c r="B4694" s="22"/>
      <c r="C4694" s="26" t="str">
        <f aca="false">IF(A4694="","",IFERROR(buscarx(A4694&amp;B4694,DATA!$E$3:$E$10000&amp;DATA!$B$3:$B$10000,DATA!$M$3:$M$10000),"No encontrado"))</f>
        <v/>
      </c>
      <c r="D4694" s="27" t="str">
        <f aca="false">IF(A4694="","",IFERROR(buscarx(A4694&amp;B4694,DATA!$E$3:$E$10000&amp;DATA!$B$3:$B$10000,DATA!$W$3:$W$10000),"No encontrado"))</f>
        <v/>
      </c>
      <c r="E4694" s="22"/>
      <c r="F4694" s="26" t="str">
        <f aca="false">IF(A4694="","",IFERROR(buscarx(A4694&amp;E4694,DATA!$E$3:$E$10000&amp;DATA!$B$3:$B$10000,DATA!$M$3:$M$10000),"Inactivo"))</f>
        <v/>
      </c>
      <c r="G4694" s="28" t="str">
        <f aca="false">IF(A4694="","",IF(AND(C4694&lt;&gt;"No encontrado",F4694&lt;&gt;"Inactivo"),C4694&amp;" → "&amp;F4694,"Sin transición"))</f>
        <v/>
      </c>
      <c r="H4694" s="26" t="str">
        <f aca="false">IF(A4694="","",IF(D4694="GCIA LINEA SERVICIO DIGITALIDAD Y VENTAS","Chats",IF(OR(D4694="GERENCIA INBOUND LÍNEAS SERVICIO Y VENTA",D4694="GERENCIA INBOUND LINEAS ESPECIALIZADAS"),"Llamadas","Otro")))</f>
        <v/>
      </c>
      <c r="I4694" s="26" t="str">
        <f aca="false">IF(A4694="","",IF(C4694="No encontrado","No","Sí"))</f>
        <v/>
      </c>
      <c r="J4694" s="26" t="str">
        <f aca="false">IF(A4694="","",IF(F4694="Inactivo","No","Sí"))</f>
        <v/>
      </c>
      <c r="K4694" s="26" t="str">
        <f aca="false">IF(A4694="","",IF(AND(I4694="Sí",J4694="Sí"),"Sí","No"))</f>
        <v/>
      </c>
    </row>
    <row r="4695" customFormat="false" ht="15" hidden="false" customHeight="false" outlineLevel="0" collapsed="false">
      <c r="A4695" s="22"/>
      <c r="B4695" s="22"/>
      <c r="C4695" s="23" t="str">
        <f aca="false">IF(A4695="","",IFERROR(buscarx(A4695&amp;B4695,DATA!$E$3:$E$10000&amp;DATA!$B$3:$B$10000,DATA!$M$3:$M$10000),"No encontrado"))</f>
        <v/>
      </c>
      <c r="D4695" s="24" t="str">
        <f aca="false">IF(A4695="","",IFERROR(buscarx(A4695&amp;B4695,DATA!$E$3:$E$10000&amp;DATA!$B$3:$B$10000,DATA!$W$3:$W$10000),"No encontrado"))</f>
        <v/>
      </c>
      <c r="E4695" s="22"/>
      <c r="F4695" s="23" t="str">
        <f aca="false">IF(A4695="","",IFERROR(buscarx(A4695&amp;E4695,DATA!$E$3:$E$10000&amp;DATA!$B$3:$B$10000,DATA!$M$3:$M$10000),"Inactivo"))</f>
        <v/>
      </c>
      <c r="G4695" s="25" t="str">
        <f aca="false">IF(A4695="","",IF(AND(C4695&lt;&gt;"No encontrado",F4695&lt;&gt;"Inactivo"),C4695&amp;" → "&amp;F4695,"Sin transición"))</f>
        <v/>
      </c>
      <c r="H4695" s="23" t="str">
        <f aca="false">IF(A4695="","",IF(D4695="GCIA LINEA SERVICIO DIGITALIDAD Y VENTAS","Chats",IF(OR(D4695="GERENCIA INBOUND LÍNEAS SERVICIO Y VENTA",D4695="GERENCIA INBOUND LINEAS ESPECIALIZADAS"),"Llamadas","Otro")))</f>
        <v/>
      </c>
      <c r="I4695" s="23" t="str">
        <f aca="false">IF(A4695="","",IF(C4695="No encontrado","No","Sí"))</f>
        <v/>
      </c>
      <c r="J4695" s="23" t="str">
        <f aca="false">IF(A4695="","",IF(F4695="Inactivo","No","Sí"))</f>
        <v/>
      </c>
      <c r="K4695" s="23" t="str">
        <f aca="false">IF(A4695="","",IF(AND(I4695="Sí",J4695="Sí"),"Sí","No"))</f>
        <v/>
      </c>
    </row>
    <row r="4696" customFormat="false" ht="15" hidden="false" customHeight="false" outlineLevel="0" collapsed="false">
      <c r="A4696" s="22"/>
      <c r="B4696" s="22"/>
      <c r="C4696" s="26" t="str">
        <f aca="false">IF(A4696="","",IFERROR(buscarx(A4696&amp;B4696,DATA!$E$3:$E$10000&amp;DATA!$B$3:$B$10000,DATA!$M$3:$M$10000),"No encontrado"))</f>
        <v/>
      </c>
      <c r="D4696" s="27" t="str">
        <f aca="false">IF(A4696="","",IFERROR(buscarx(A4696&amp;B4696,DATA!$E$3:$E$10000&amp;DATA!$B$3:$B$10000,DATA!$W$3:$W$10000),"No encontrado"))</f>
        <v/>
      </c>
      <c r="E4696" s="22"/>
      <c r="F4696" s="26" t="str">
        <f aca="false">IF(A4696="","",IFERROR(buscarx(A4696&amp;E4696,DATA!$E$3:$E$10000&amp;DATA!$B$3:$B$10000,DATA!$M$3:$M$10000),"Inactivo"))</f>
        <v/>
      </c>
      <c r="G4696" s="28" t="str">
        <f aca="false">IF(A4696="","",IF(AND(C4696&lt;&gt;"No encontrado",F4696&lt;&gt;"Inactivo"),C4696&amp;" → "&amp;F4696,"Sin transición"))</f>
        <v/>
      </c>
      <c r="H4696" s="26" t="str">
        <f aca="false">IF(A4696="","",IF(D4696="GCIA LINEA SERVICIO DIGITALIDAD Y VENTAS","Chats",IF(OR(D4696="GERENCIA INBOUND LÍNEAS SERVICIO Y VENTA",D4696="GERENCIA INBOUND LINEAS ESPECIALIZADAS"),"Llamadas","Otro")))</f>
        <v/>
      </c>
      <c r="I4696" s="26" t="str">
        <f aca="false">IF(A4696="","",IF(C4696="No encontrado","No","Sí"))</f>
        <v/>
      </c>
      <c r="J4696" s="26" t="str">
        <f aca="false">IF(A4696="","",IF(F4696="Inactivo","No","Sí"))</f>
        <v/>
      </c>
      <c r="K4696" s="26" t="str">
        <f aca="false">IF(A4696="","",IF(AND(I4696="Sí",J4696="Sí"),"Sí","No"))</f>
        <v/>
      </c>
    </row>
    <row r="4697" customFormat="false" ht="15" hidden="false" customHeight="false" outlineLevel="0" collapsed="false">
      <c r="A4697" s="22"/>
      <c r="B4697" s="22"/>
      <c r="C4697" s="23" t="str">
        <f aca="false">IF(A4697="","",IFERROR(buscarx(A4697&amp;B4697,DATA!$E$3:$E$10000&amp;DATA!$B$3:$B$10000,DATA!$M$3:$M$10000),"No encontrado"))</f>
        <v/>
      </c>
      <c r="D4697" s="24" t="str">
        <f aca="false">IF(A4697="","",IFERROR(buscarx(A4697&amp;B4697,DATA!$E$3:$E$10000&amp;DATA!$B$3:$B$10000,DATA!$W$3:$W$10000),"No encontrado"))</f>
        <v/>
      </c>
      <c r="E4697" s="22"/>
      <c r="F4697" s="23" t="str">
        <f aca="false">IF(A4697="","",IFERROR(buscarx(A4697&amp;E4697,DATA!$E$3:$E$10000&amp;DATA!$B$3:$B$10000,DATA!$M$3:$M$10000),"Inactivo"))</f>
        <v/>
      </c>
      <c r="G4697" s="25" t="str">
        <f aca="false">IF(A4697="","",IF(AND(C4697&lt;&gt;"No encontrado",F4697&lt;&gt;"Inactivo"),C4697&amp;" → "&amp;F4697,"Sin transición"))</f>
        <v/>
      </c>
      <c r="H4697" s="23" t="str">
        <f aca="false">IF(A4697="","",IF(D4697="GCIA LINEA SERVICIO DIGITALIDAD Y VENTAS","Chats",IF(OR(D4697="GERENCIA INBOUND LÍNEAS SERVICIO Y VENTA",D4697="GERENCIA INBOUND LINEAS ESPECIALIZADAS"),"Llamadas","Otro")))</f>
        <v/>
      </c>
      <c r="I4697" s="23" t="str">
        <f aca="false">IF(A4697="","",IF(C4697="No encontrado","No","Sí"))</f>
        <v/>
      </c>
      <c r="J4697" s="23" t="str">
        <f aca="false">IF(A4697="","",IF(F4697="Inactivo","No","Sí"))</f>
        <v/>
      </c>
      <c r="K4697" s="23" t="str">
        <f aca="false">IF(A4697="","",IF(AND(I4697="Sí",J4697="Sí"),"Sí","No"))</f>
        <v/>
      </c>
    </row>
    <row r="4698" customFormat="false" ht="15" hidden="false" customHeight="false" outlineLevel="0" collapsed="false">
      <c r="A4698" s="22"/>
      <c r="B4698" s="22"/>
      <c r="C4698" s="26" t="str">
        <f aca="false">IF(A4698="","",IFERROR(buscarx(A4698&amp;B4698,DATA!$E$3:$E$10000&amp;DATA!$B$3:$B$10000,DATA!$M$3:$M$10000),"No encontrado"))</f>
        <v/>
      </c>
      <c r="D4698" s="27" t="str">
        <f aca="false">IF(A4698="","",IFERROR(buscarx(A4698&amp;B4698,DATA!$E$3:$E$10000&amp;DATA!$B$3:$B$10000,DATA!$W$3:$W$10000),"No encontrado"))</f>
        <v/>
      </c>
      <c r="E4698" s="22"/>
      <c r="F4698" s="26" t="str">
        <f aca="false">IF(A4698="","",IFERROR(buscarx(A4698&amp;E4698,DATA!$E$3:$E$10000&amp;DATA!$B$3:$B$10000,DATA!$M$3:$M$10000),"Inactivo"))</f>
        <v/>
      </c>
      <c r="G4698" s="28" t="str">
        <f aca="false">IF(A4698="","",IF(AND(C4698&lt;&gt;"No encontrado",F4698&lt;&gt;"Inactivo"),C4698&amp;" → "&amp;F4698,"Sin transición"))</f>
        <v/>
      </c>
      <c r="H4698" s="26" t="str">
        <f aca="false">IF(A4698="","",IF(D4698="GCIA LINEA SERVICIO DIGITALIDAD Y VENTAS","Chats",IF(OR(D4698="GERENCIA INBOUND LÍNEAS SERVICIO Y VENTA",D4698="GERENCIA INBOUND LINEAS ESPECIALIZADAS"),"Llamadas","Otro")))</f>
        <v/>
      </c>
      <c r="I4698" s="26" t="str">
        <f aca="false">IF(A4698="","",IF(C4698="No encontrado","No","Sí"))</f>
        <v/>
      </c>
      <c r="J4698" s="26" t="str">
        <f aca="false">IF(A4698="","",IF(F4698="Inactivo","No","Sí"))</f>
        <v/>
      </c>
      <c r="K4698" s="26" t="str">
        <f aca="false">IF(A4698="","",IF(AND(I4698="Sí",J4698="Sí"),"Sí","No"))</f>
        <v/>
      </c>
    </row>
    <row r="4699" customFormat="false" ht="15" hidden="false" customHeight="false" outlineLevel="0" collapsed="false">
      <c r="A4699" s="22"/>
      <c r="B4699" s="22"/>
      <c r="C4699" s="23" t="str">
        <f aca="false">IF(A4699="","",IFERROR(buscarx(A4699&amp;B4699,DATA!$E$3:$E$10000&amp;DATA!$B$3:$B$10000,DATA!$M$3:$M$10000),"No encontrado"))</f>
        <v/>
      </c>
      <c r="D4699" s="24" t="str">
        <f aca="false">IF(A4699="","",IFERROR(buscarx(A4699&amp;B4699,DATA!$E$3:$E$10000&amp;DATA!$B$3:$B$10000,DATA!$W$3:$W$10000),"No encontrado"))</f>
        <v/>
      </c>
      <c r="E4699" s="22"/>
      <c r="F4699" s="23" t="str">
        <f aca="false">IF(A4699="","",IFERROR(buscarx(A4699&amp;E4699,DATA!$E$3:$E$10000&amp;DATA!$B$3:$B$10000,DATA!$M$3:$M$10000),"Inactivo"))</f>
        <v/>
      </c>
      <c r="G4699" s="25" t="str">
        <f aca="false">IF(A4699="","",IF(AND(C4699&lt;&gt;"No encontrado",F4699&lt;&gt;"Inactivo"),C4699&amp;" → "&amp;F4699,"Sin transición"))</f>
        <v/>
      </c>
      <c r="H4699" s="23" t="str">
        <f aca="false">IF(A4699="","",IF(D4699="GCIA LINEA SERVICIO DIGITALIDAD Y VENTAS","Chats",IF(OR(D4699="GERENCIA INBOUND LÍNEAS SERVICIO Y VENTA",D4699="GERENCIA INBOUND LINEAS ESPECIALIZADAS"),"Llamadas","Otro")))</f>
        <v/>
      </c>
      <c r="I4699" s="23" t="str">
        <f aca="false">IF(A4699="","",IF(C4699="No encontrado","No","Sí"))</f>
        <v/>
      </c>
      <c r="J4699" s="23" t="str">
        <f aca="false">IF(A4699="","",IF(F4699="Inactivo","No","Sí"))</f>
        <v/>
      </c>
      <c r="K4699" s="23" t="str">
        <f aca="false">IF(A4699="","",IF(AND(I4699="Sí",J4699="Sí"),"Sí","No"))</f>
        <v/>
      </c>
    </row>
    <row r="4700" customFormat="false" ht="15" hidden="false" customHeight="false" outlineLevel="0" collapsed="false">
      <c r="A4700" s="22"/>
      <c r="B4700" s="22"/>
      <c r="C4700" s="26" t="str">
        <f aca="false">IF(A4700="","",IFERROR(buscarx(A4700&amp;B4700,DATA!$E$3:$E$10000&amp;DATA!$B$3:$B$10000,DATA!$M$3:$M$10000),"No encontrado"))</f>
        <v/>
      </c>
      <c r="D4700" s="27" t="str">
        <f aca="false">IF(A4700="","",IFERROR(buscarx(A4700&amp;B4700,DATA!$E$3:$E$10000&amp;DATA!$B$3:$B$10000,DATA!$W$3:$W$10000),"No encontrado"))</f>
        <v/>
      </c>
      <c r="E4700" s="22"/>
      <c r="F4700" s="26" t="str">
        <f aca="false">IF(A4700="","",IFERROR(buscarx(A4700&amp;E4700,DATA!$E$3:$E$10000&amp;DATA!$B$3:$B$10000,DATA!$M$3:$M$10000),"Inactivo"))</f>
        <v/>
      </c>
      <c r="G4700" s="28" t="str">
        <f aca="false">IF(A4700="","",IF(AND(C4700&lt;&gt;"No encontrado",F4700&lt;&gt;"Inactivo"),C4700&amp;" → "&amp;F4700,"Sin transición"))</f>
        <v/>
      </c>
      <c r="H4700" s="26" t="str">
        <f aca="false">IF(A4700="","",IF(D4700="GCIA LINEA SERVICIO DIGITALIDAD Y VENTAS","Chats",IF(OR(D4700="GERENCIA INBOUND LÍNEAS SERVICIO Y VENTA",D4700="GERENCIA INBOUND LINEAS ESPECIALIZADAS"),"Llamadas","Otro")))</f>
        <v/>
      </c>
      <c r="I4700" s="26" t="str">
        <f aca="false">IF(A4700="","",IF(C4700="No encontrado","No","Sí"))</f>
        <v/>
      </c>
      <c r="J4700" s="26" t="str">
        <f aca="false">IF(A4700="","",IF(F4700="Inactivo","No","Sí"))</f>
        <v/>
      </c>
      <c r="K4700" s="26" t="str">
        <f aca="false">IF(A4700="","",IF(AND(I4700="Sí",J4700="Sí"),"Sí","No"))</f>
        <v/>
      </c>
    </row>
    <row r="4701" customFormat="false" ht="15" hidden="false" customHeight="false" outlineLevel="0" collapsed="false">
      <c r="A4701" s="22"/>
      <c r="B4701" s="22"/>
      <c r="C4701" s="23" t="str">
        <f aca="false">IF(A4701="","",IFERROR(buscarx(A4701&amp;B4701,DATA!$E$3:$E$10000&amp;DATA!$B$3:$B$10000,DATA!$M$3:$M$10000),"No encontrado"))</f>
        <v/>
      </c>
      <c r="D4701" s="24" t="str">
        <f aca="false">IF(A4701="","",IFERROR(buscarx(A4701&amp;B4701,DATA!$E$3:$E$10000&amp;DATA!$B$3:$B$10000,DATA!$W$3:$W$10000),"No encontrado"))</f>
        <v/>
      </c>
      <c r="E4701" s="22"/>
      <c r="F4701" s="23" t="str">
        <f aca="false">IF(A4701="","",IFERROR(buscarx(A4701&amp;E4701,DATA!$E$3:$E$10000&amp;DATA!$B$3:$B$10000,DATA!$M$3:$M$10000),"Inactivo"))</f>
        <v/>
      </c>
      <c r="G4701" s="25" t="str">
        <f aca="false">IF(A4701="","",IF(AND(C4701&lt;&gt;"No encontrado",F4701&lt;&gt;"Inactivo"),C4701&amp;" → "&amp;F4701,"Sin transición"))</f>
        <v/>
      </c>
      <c r="H4701" s="23" t="str">
        <f aca="false">IF(A4701="","",IF(D4701="GCIA LINEA SERVICIO DIGITALIDAD Y VENTAS","Chats",IF(OR(D4701="GERENCIA INBOUND LÍNEAS SERVICIO Y VENTA",D4701="GERENCIA INBOUND LINEAS ESPECIALIZADAS"),"Llamadas","Otro")))</f>
        <v/>
      </c>
      <c r="I4701" s="23" t="str">
        <f aca="false">IF(A4701="","",IF(C4701="No encontrado","No","Sí"))</f>
        <v/>
      </c>
      <c r="J4701" s="23" t="str">
        <f aca="false">IF(A4701="","",IF(F4701="Inactivo","No","Sí"))</f>
        <v/>
      </c>
      <c r="K4701" s="23" t="str">
        <f aca="false">IF(A4701="","",IF(AND(I4701="Sí",J4701="Sí"),"Sí","No"))</f>
        <v/>
      </c>
    </row>
    <row r="4702" customFormat="false" ht="15" hidden="false" customHeight="false" outlineLevel="0" collapsed="false">
      <c r="A4702" s="22"/>
      <c r="B4702" s="22"/>
      <c r="C4702" s="26" t="str">
        <f aca="false">IF(A4702="","",IFERROR(buscarx(A4702&amp;B4702,DATA!$E$3:$E$10000&amp;DATA!$B$3:$B$10000,DATA!$M$3:$M$10000),"No encontrado"))</f>
        <v/>
      </c>
      <c r="D4702" s="27" t="str">
        <f aca="false">IF(A4702="","",IFERROR(buscarx(A4702&amp;B4702,DATA!$E$3:$E$10000&amp;DATA!$B$3:$B$10000,DATA!$W$3:$W$10000),"No encontrado"))</f>
        <v/>
      </c>
      <c r="E4702" s="22"/>
      <c r="F4702" s="26" t="str">
        <f aca="false">IF(A4702="","",IFERROR(buscarx(A4702&amp;E4702,DATA!$E$3:$E$10000&amp;DATA!$B$3:$B$10000,DATA!$M$3:$M$10000),"Inactivo"))</f>
        <v/>
      </c>
      <c r="G4702" s="28" t="str">
        <f aca="false">IF(A4702="","",IF(AND(C4702&lt;&gt;"No encontrado",F4702&lt;&gt;"Inactivo"),C4702&amp;" → "&amp;F4702,"Sin transición"))</f>
        <v/>
      </c>
      <c r="H4702" s="26" t="str">
        <f aca="false">IF(A4702="","",IF(D4702="GCIA LINEA SERVICIO DIGITALIDAD Y VENTAS","Chats",IF(OR(D4702="GERENCIA INBOUND LÍNEAS SERVICIO Y VENTA",D4702="GERENCIA INBOUND LINEAS ESPECIALIZADAS"),"Llamadas","Otro")))</f>
        <v/>
      </c>
      <c r="I4702" s="26" t="str">
        <f aca="false">IF(A4702="","",IF(C4702="No encontrado","No","Sí"))</f>
        <v/>
      </c>
      <c r="J4702" s="26" t="str">
        <f aca="false">IF(A4702="","",IF(F4702="Inactivo","No","Sí"))</f>
        <v/>
      </c>
      <c r="K4702" s="26" t="str">
        <f aca="false">IF(A4702="","",IF(AND(I4702="Sí",J4702="Sí"),"Sí","No"))</f>
        <v/>
      </c>
    </row>
    <row r="4703" customFormat="false" ht="15" hidden="false" customHeight="false" outlineLevel="0" collapsed="false">
      <c r="A4703" s="22"/>
      <c r="B4703" s="22"/>
      <c r="C4703" s="23" t="str">
        <f aca="false">IF(A4703="","",IFERROR(buscarx(A4703&amp;B4703,DATA!$E$3:$E$10000&amp;DATA!$B$3:$B$10000,DATA!$M$3:$M$10000),"No encontrado"))</f>
        <v/>
      </c>
      <c r="D4703" s="24" t="str">
        <f aca="false">IF(A4703="","",IFERROR(buscarx(A4703&amp;B4703,DATA!$E$3:$E$10000&amp;DATA!$B$3:$B$10000,DATA!$W$3:$W$10000),"No encontrado"))</f>
        <v/>
      </c>
      <c r="E4703" s="22"/>
      <c r="F4703" s="23" t="str">
        <f aca="false">IF(A4703="","",IFERROR(buscarx(A4703&amp;E4703,DATA!$E$3:$E$10000&amp;DATA!$B$3:$B$10000,DATA!$M$3:$M$10000),"Inactivo"))</f>
        <v/>
      </c>
      <c r="G4703" s="25" t="str">
        <f aca="false">IF(A4703="","",IF(AND(C4703&lt;&gt;"No encontrado",F4703&lt;&gt;"Inactivo"),C4703&amp;" → "&amp;F4703,"Sin transición"))</f>
        <v/>
      </c>
      <c r="H4703" s="23" t="str">
        <f aca="false">IF(A4703="","",IF(D4703="GCIA LINEA SERVICIO DIGITALIDAD Y VENTAS","Chats",IF(OR(D4703="GERENCIA INBOUND LÍNEAS SERVICIO Y VENTA",D4703="GERENCIA INBOUND LINEAS ESPECIALIZADAS"),"Llamadas","Otro")))</f>
        <v/>
      </c>
      <c r="I4703" s="23" t="str">
        <f aca="false">IF(A4703="","",IF(C4703="No encontrado","No","Sí"))</f>
        <v/>
      </c>
      <c r="J4703" s="23" t="str">
        <f aca="false">IF(A4703="","",IF(F4703="Inactivo","No","Sí"))</f>
        <v/>
      </c>
      <c r="K4703" s="23" t="str">
        <f aca="false">IF(A4703="","",IF(AND(I4703="Sí",J4703="Sí"),"Sí","No"))</f>
        <v/>
      </c>
    </row>
    <row r="4704" customFormat="false" ht="15" hidden="false" customHeight="false" outlineLevel="0" collapsed="false">
      <c r="A4704" s="22"/>
      <c r="B4704" s="22"/>
      <c r="C4704" s="26" t="str">
        <f aca="false">IF(A4704="","",IFERROR(buscarx(A4704&amp;B4704,DATA!$E$3:$E$10000&amp;DATA!$B$3:$B$10000,DATA!$M$3:$M$10000),"No encontrado"))</f>
        <v/>
      </c>
      <c r="D4704" s="27" t="str">
        <f aca="false">IF(A4704="","",IFERROR(buscarx(A4704&amp;B4704,DATA!$E$3:$E$10000&amp;DATA!$B$3:$B$10000,DATA!$W$3:$W$10000),"No encontrado"))</f>
        <v/>
      </c>
      <c r="E4704" s="22"/>
      <c r="F4704" s="26" t="str">
        <f aca="false">IF(A4704="","",IFERROR(buscarx(A4704&amp;E4704,DATA!$E$3:$E$10000&amp;DATA!$B$3:$B$10000,DATA!$M$3:$M$10000),"Inactivo"))</f>
        <v/>
      </c>
      <c r="G4704" s="28" t="str">
        <f aca="false">IF(A4704="","",IF(AND(C4704&lt;&gt;"No encontrado",F4704&lt;&gt;"Inactivo"),C4704&amp;" → "&amp;F4704,"Sin transición"))</f>
        <v/>
      </c>
      <c r="H4704" s="26" t="str">
        <f aca="false">IF(A4704="","",IF(D4704="GCIA LINEA SERVICIO DIGITALIDAD Y VENTAS","Chats",IF(OR(D4704="GERENCIA INBOUND LÍNEAS SERVICIO Y VENTA",D4704="GERENCIA INBOUND LINEAS ESPECIALIZADAS"),"Llamadas","Otro")))</f>
        <v/>
      </c>
      <c r="I4704" s="26" t="str">
        <f aca="false">IF(A4704="","",IF(C4704="No encontrado","No","Sí"))</f>
        <v/>
      </c>
      <c r="J4704" s="26" t="str">
        <f aca="false">IF(A4704="","",IF(F4704="Inactivo","No","Sí"))</f>
        <v/>
      </c>
      <c r="K4704" s="26" t="str">
        <f aca="false">IF(A4704="","",IF(AND(I4704="Sí",J4704="Sí"),"Sí","No"))</f>
        <v/>
      </c>
    </row>
    <row r="4705" customFormat="false" ht="15" hidden="false" customHeight="false" outlineLevel="0" collapsed="false">
      <c r="A4705" s="22"/>
      <c r="B4705" s="22"/>
      <c r="C4705" s="23" t="str">
        <f aca="false">IF(A4705="","",IFERROR(buscarx(A4705&amp;B4705,DATA!$E$3:$E$10000&amp;DATA!$B$3:$B$10000,DATA!$M$3:$M$10000),"No encontrado"))</f>
        <v/>
      </c>
      <c r="D4705" s="24" t="str">
        <f aca="false">IF(A4705="","",IFERROR(buscarx(A4705&amp;B4705,DATA!$E$3:$E$10000&amp;DATA!$B$3:$B$10000,DATA!$W$3:$W$10000),"No encontrado"))</f>
        <v/>
      </c>
      <c r="E4705" s="22"/>
      <c r="F4705" s="23" t="str">
        <f aca="false">IF(A4705="","",IFERROR(buscarx(A4705&amp;E4705,DATA!$E$3:$E$10000&amp;DATA!$B$3:$B$10000,DATA!$M$3:$M$10000),"Inactivo"))</f>
        <v/>
      </c>
      <c r="G4705" s="25" t="str">
        <f aca="false">IF(A4705="","",IF(AND(C4705&lt;&gt;"No encontrado",F4705&lt;&gt;"Inactivo"),C4705&amp;" → "&amp;F4705,"Sin transición"))</f>
        <v/>
      </c>
      <c r="H4705" s="23" t="str">
        <f aca="false">IF(A4705="","",IF(D4705="GCIA LINEA SERVICIO DIGITALIDAD Y VENTAS","Chats",IF(OR(D4705="GERENCIA INBOUND LÍNEAS SERVICIO Y VENTA",D4705="GERENCIA INBOUND LINEAS ESPECIALIZADAS"),"Llamadas","Otro")))</f>
        <v/>
      </c>
      <c r="I4705" s="23" t="str">
        <f aca="false">IF(A4705="","",IF(C4705="No encontrado","No","Sí"))</f>
        <v/>
      </c>
      <c r="J4705" s="23" t="str">
        <f aca="false">IF(A4705="","",IF(F4705="Inactivo","No","Sí"))</f>
        <v/>
      </c>
      <c r="K4705" s="23" t="str">
        <f aca="false">IF(A4705="","",IF(AND(I4705="Sí",J4705="Sí"),"Sí","No"))</f>
        <v/>
      </c>
    </row>
    <row r="4706" customFormat="false" ht="15" hidden="false" customHeight="false" outlineLevel="0" collapsed="false">
      <c r="A4706" s="22"/>
      <c r="B4706" s="22"/>
      <c r="C4706" s="26" t="str">
        <f aca="false">IF(A4706="","",IFERROR(buscarx(A4706&amp;B4706,DATA!$E$3:$E$10000&amp;DATA!$B$3:$B$10000,DATA!$M$3:$M$10000),"No encontrado"))</f>
        <v/>
      </c>
      <c r="D4706" s="27" t="str">
        <f aca="false">IF(A4706="","",IFERROR(buscarx(A4706&amp;B4706,DATA!$E$3:$E$10000&amp;DATA!$B$3:$B$10000,DATA!$W$3:$W$10000),"No encontrado"))</f>
        <v/>
      </c>
      <c r="E4706" s="22"/>
      <c r="F4706" s="26" t="str">
        <f aca="false">IF(A4706="","",IFERROR(buscarx(A4706&amp;E4706,DATA!$E$3:$E$10000&amp;DATA!$B$3:$B$10000,DATA!$M$3:$M$10000),"Inactivo"))</f>
        <v/>
      </c>
      <c r="G4706" s="28" t="str">
        <f aca="false">IF(A4706="","",IF(AND(C4706&lt;&gt;"No encontrado",F4706&lt;&gt;"Inactivo"),C4706&amp;" → "&amp;F4706,"Sin transición"))</f>
        <v/>
      </c>
      <c r="H4706" s="26" t="str">
        <f aca="false">IF(A4706="","",IF(D4706="GCIA LINEA SERVICIO DIGITALIDAD Y VENTAS","Chats",IF(OR(D4706="GERENCIA INBOUND LÍNEAS SERVICIO Y VENTA",D4706="GERENCIA INBOUND LINEAS ESPECIALIZADAS"),"Llamadas","Otro")))</f>
        <v/>
      </c>
      <c r="I4706" s="26" t="str">
        <f aca="false">IF(A4706="","",IF(C4706="No encontrado","No","Sí"))</f>
        <v/>
      </c>
      <c r="J4706" s="26" t="str">
        <f aca="false">IF(A4706="","",IF(F4706="Inactivo","No","Sí"))</f>
        <v/>
      </c>
      <c r="K4706" s="26" t="str">
        <f aca="false">IF(A4706="","",IF(AND(I4706="Sí",J4706="Sí"),"Sí","No"))</f>
        <v/>
      </c>
    </row>
    <row r="4707" customFormat="false" ht="15" hidden="false" customHeight="false" outlineLevel="0" collapsed="false">
      <c r="A4707" s="22"/>
      <c r="B4707" s="22"/>
      <c r="C4707" s="23" t="str">
        <f aca="false">IF(A4707="","",IFERROR(buscarx(A4707&amp;B4707,DATA!$E$3:$E$10000&amp;DATA!$B$3:$B$10000,DATA!$M$3:$M$10000),"No encontrado"))</f>
        <v/>
      </c>
      <c r="D4707" s="24" t="str">
        <f aca="false">IF(A4707="","",IFERROR(buscarx(A4707&amp;B4707,DATA!$E$3:$E$10000&amp;DATA!$B$3:$B$10000,DATA!$W$3:$W$10000),"No encontrado"))</f>
        <v/>
      </c>
      <c r="E4707" s="22"/>
      <c r="F4707" s="23" t="str">
        <f aca="false">IF(A4707="","",IFERROR(buscarx(A4707&amp;E4707,DATA!$E$3:$E$10000&amp;DATA!$B$3:$B$10000,DATA!$M$3:$M$10000),"Inactivo"))</f>
        <v/>
      </c>
      <c r="G4707" s="25" t="str">
        <f aca="false">IF(A4707="","",IF(AND(C4707&lt;&gt;"No encontrado",F4707&lt;&gt;"Inactivo"),C4707&amp;" → "&amp;F4707,"Sin transición"))</f>
        <v/>
      </c>
      <c r="H4707" s="23" t="str">
        <f aca="false">IF(A4707="","",IF(D4707="GCIA LINEA SERVICIO DIGITALIDAD Y VENTAS","Chats",IF(OR(D4707="GERENCIA INBOUND LÍNEAS SERVICIO Y VENTA",D4707="GERENCIA INBOUND LINEAS ESPECIALIZADAS"),"Llamadas","Otro")))</f>
        <v/>
      </c>
      <c r="I4707" s="23" t="str">
        <f aca="false">IF(A4707="","",IF(C4707="No encontrado","No","Sí"))</f>
        <v/>
      </c>
      <c r="J4707" s="23" t="str">
        <f aca="false">IF(A4707="","",IF(F4707="Inactivo","No","Sí"))</f>
        <v/>
      </c>
      <c r="K4707" s="23" t="str">
        <f aca="false">IF(A4707="","",IF(AND(I4707="Sí",J4707="Sí"),"Sí","No"))</f>
        <v/>
      </c>
    </row>
    <row r="4708" customFormat="false" ht="15" hidden="false" customHeight="false" outlineLevel="0" collapsed="false">
      <c r="A4708" s="22"/>
      <c r="B4708" s="22"/>
      <c r="C4708" s="26" t="str">
        <f aca="false">IF(A4708="","",IFERROR(buscarx(A4708&amp;B4708,DATA!$E$3:$E$10000&amp;DATA!$B$3:$B$10000,DATA!$M$3:$M$10000),"No encontrado"))</f>
        <v/>
      </c>
      <c r="D4708" s="27" t="str">
        <f aca="false">IF(A4708="","",IFERROR(buscarx(A4708&amp;B4708,DATA!$E$3:$E$10000&amp;DATA!$B$3:$B$10000,DATA!$W$3:$W$10000),"No encontrado"))</f>
        <v/>
      </c>
      <c r="E4708" s="22"/>
      <c r="F4708" s="26" t="str">
        <f aca="false">IF(A4708="","",IFERROR(buscarx(A4708&amp;E4708,DATA!$E$3:$E$10000&amp;DATA!$B$3:$B$10000,DATA!$M$3:$M$10000),"Inactivo"))</f>
        <v/>
      </c>
      <c r="G4708" s="28" t="str">
        <f aca="false">IF(A4708="","",IF(AND(C4708&lt;&gt;"No encontrado",F4708&lt;&gt;"Inactivo"),C4708&amp;" → "&amp;F4708,"Sin transición"))</f>
        <v/>
      </c>
      <c r="H4708" s="26" t="str">
        <f aca="false">IF(A4708="","",IF(D4708="GCIA LINEA SERVICIO DIGITALIDAD Y VENTAS","Chats",IF(OR(D4708="GERENCIA INBOUND LÍNEAS SERVICIO Y VENTA",D4708="GERENCIA INBOUND LINEAS ESPECIALIZADAS"),"Llamadas","Otro")))</f>
        <v/>
      </c>
      <c r="I4708" s="26" t="str">
        <f aca="false">IF(A4708="","",IF(C4708="No encontrado","No","Sí"))</f>
        <v/>
      </c>
      <c r="J4708" s="26" t="str">
        <f aca="false">IF(A4708="","",IF(F4708="Inactivo","No","Sí"))</f>
        <v/>
      </c>
      <c r="K4708" s="26" t="str">
        <f aca="false">IF(A4708="","",IF(AND(I4708="Sí",J4708="Sí"),"Sí","No"))</f>
        <v/>
      </c>
    </row>
    <row r="4709" customFormat="false" ht="15" hidden="false" customHeight="false" outlineLevel="0" collapsed="false">
      <c r="A4709" s="22"/>
      <c r="B4709" s="22"/>
      <c r="C4709" s="23" t="str">
        <f aca="false">IF(A4709="","",IFERROR(buscarx(A4709&amp;B4709,DATA!$E$3:$E$10000&amp;DATA!$B$3:$B$10000,DATA!$M$3:$M$10000),"No encontrado"))</f>
        <v/>
      </c>
      <c r="D4709" s="24" t="str">
        <f aca="false">IF(A4709="","",IFERROR(buscarx(A4709&amp;B4709,DATA!$E$3:$E$10000&amp;DATA!$B$3:$B$10000,DATA!$W$3:$W$10000),"No encontrado"))</f>
        <v/>
      </c>
      <c r="E4709" s="22"/>
      <c r="F4709" s="23" t="str">
        <f aca="false">IF(A4709="","",IFERROR(buscarx(A4709&amp;E4709,DATA!$E$3:$E$10000&amp;DATA!$B$3:$B$10000,DATA!$M$3:$M$10000),"Inactivo"))</f>
        <v/>
      </c>
      <c r="G4709" s="25" t="str">
        <f aca="false">IF(A4709="","",IF(AND(C4709&lt;&gt;"No encontrado",F4709&lt;&gt;"Inactivo"),C4709&amp;" → "&amp;F4709,"Sin transición"))</f>
        <v/>
      </c>
      <c r="H4709" s="23" t="str">
        <f aca="false">IF(A4709="","",IF(D4709="GCIA LINEA SERVICIO DIGITALIDAD Y VENTAS","Chats",IF(OR(D4709="GERENCIA INBOUND LÍNEAS SERVICIO Y VENTA",D4709="GERENCIA INBOUND LINEAS ESPECIALIZADAS"),"Llamadas","Otro")))</f>
        <v/>
      </c>
      <c r="I4709" s="23" t="str">
        <f aca="false">IF(A4709="","",IF(C4709="No encontrado","No","Sí"))</f>
        <v/>
      </c>
      <c r="J4709" s="23" t="str">
        <f aca="false">IF(A4709="","",IF(F4709="Inactivo","No","Sí"))</f>
        <v/>
      </c>
      <c r="K4709" s="23" t="str">
        <f aca="false">IF(A4709="","",IF(AND(I4709="Sí",J4709="Sí"),"Sí","No"))</f>
        <v/>
      </c>
    </row>
    <row r="4710" customFormat="false" ht="15" hidden="false" customHeight="false" outlineLevel="0" collapsed="false">
      <c r="A4710" s="22"/>
      <c r="B4710" s="22"/>
      <c r="C4710" s="26" t="str">
        <f aca="false">IF(A4710="","",IFERROR(buscarx(A4710&amp;B4710,DATA!$E$3:$E$10000&amp;DATA!$B$3:$B$10000,DATA!$M$3:$M$10000),"No encontrado"))</f>
        <v/>
      </c>
      <c r="D4710" s="27" t="str">
        <f aca="false">IF(A4710="","",IFERROR(buscarx(A4710&amp;B4710,DATA!$E$3:$E$10000&amp;DATA!$B$3:$B$10000,DATA!$W$3:$W$10000),"No encontrado"))</f>
        <v/>
      </c>
      <c r="E4710" s="22"/>
      <c r="F4710" s="26" t="str">
        <f aca="false">IF(A4710="","",IFERROR(buscarx(A4710&amp;E4710,DATA!$E$3:$E$10000&amp;DATA!$B$3:$B$10000,DATA!$M$3:$M$10000),"Inactivo"))</f>
        <v/>
      </c>
      <c r="G4710" s="28" t="str">
        <f aca="false">IF(A4710="","",IF(AND(C4710&lt;&gt;"No encontrado",F4710&lt;&gt;"Inactivo"),C4710&amp;" → "&amp;F4710,"Sin transición"))</f>
        <v/>
      </c>
      <c r="H4710" s="26" t="str">
        <f aca="false">IF(A4710="","",IF(D4710="GCIA LINEA SERVICIO DIGITALIDAD Y VENTAS","Chats",IF(OR(D4710="GERENCIA INBOUND LÍNEAS SERVICIO Y VENTA",D4710="GERENCIA INBOUND LINEAS ESPECIALIZADAS"),"Llamadas","Otro")))</f>
        <v/>
      </c>
      <c r="I4710" s="26" t="str">
        <f aca="false">IF(A4710="","",IF(C4710="No encontrado","No","Sí"))</f>
        <v/>
      </c>
      <c r="J4710" s="26" t="str">
        <f aca="false">IF(A4710="","",IF(F4710="Inactivo","No","Sí"))</f>
        <v/>
      </c>
      <c r="K4710" s="26" t="str">
        <f aca="false">IF(A4710="","",IF(AND(I4710="Sí",J4710="Sí"),"Sí","No"))</f>
        <v/>
      </c>
    </row>
    <row r="4711" customFormat="false" ht="15" hidden="false" customHeight="false" outlineLevel="0" collapsed="false">
      <c r="A4711" s="22"/>
      <c r="B4711" s="22"/>
      <c r="C4711" s="23" t="str">
        <f aca="false">IF(A4711="","",IFERROR(buscarx(A4711&amp;B4711,DATA!$E$3:$E$10000&amp;DATA!$B$3:$B$10000,DATA!$M$3:$M$10000),"No encontrado"))</f>
        <v/>
      </c>
      <c r="D4711" s="24" t="str">
        <f aca="false">IF(A4711="","",IFERROR(buscarx(A4711&amp;B4711,DATA!$E$3:$E$10000&amp;DATA!$B$3:$B$10000,DATA!$W$3:$W$10000),"No encontrado"))</f>
        <v/>
      </c>
      <c r="E4711" s="22"/>
      <c r="F4711" s="23" t="str">
        <f aca="false">IF(A4711="","",IFERROR(buscarx(A4711&amp;E4711,DATA!$E$3:$E$10000&amp;DATA!$B$3:$B$10000,DATA!$M$3:$M$10000),"Inactivo"))</f>
        <v/>
      </c>
      <c r="G4711" s="25" t="str">
        <f aca="false">IF(A4711="","",IF(AND(C4711&lt;&gt;"No encontrado",F4711&lt;&gt;"Inactivo"),C4711&amp;" → "&amp;F4711,"Sin transición"))</f>
        <v/>
      </c>
      <c r="H4711" s="23" t="str">
        <f aca="false">IF(A4711="","",IF(D4711="GCIA LINEA SERVICIO DIGITALIDAD Y VENTAS","Chats",IF(OR(D4711="GERENCIA INBOUND LÍNEAS SERVICIO Y VENTA",D4711="GERENCIA INBOUND LINEAS ESPECIALIZADAS"),"Llamadas","Otro")))</f>
        <v/>
      </c>
      <c r="I4711" s="23" t="str">
        <f aca="false">IF(A4711="","",IF(C4711="No encontrado","No","Sí"))</f>
        <v/>
      </c>
      <c r="J4711" s="23" t="str">
        <f aca="false">IF(A4711="","",IF(F4711="Inactivo","No","Sí"))</f>
        <v/>
      </c>
      <c r="K4711" s="23" t="str">
        <f aca="false">IF(A4711="","",IF(AND(I4711="Sí",J4711="Sí"),"Sí","No"))</f>
        <v/>
      </c>
    </row>
    <row r="4712" customFormat="false" ht="15" hidden="false" customHeight="false" outlineLevel="0" collapsed="false">
      <c r="A4712" s="22"/>
      <c r="B4712" s="22"/>
      <c r="C4712" s="26" t="str">
        <f aca="false">IF(A4712="","",IFERROR(buscarx(A4712&amp;B4712,DATA!$E$3:$E$10000&amp;DATA!$B$3:$B$10000,DATA!$M$3:$M$10000),"No encontrado"))</f>
        <v/>
      </c>
      <c r="D4712" s="27" t="str">
        <f aca="false">IF(A4712="","",IFERROR(buscarx(A4712&amp;B4712,DATA!$E$3:$E$10000&amp;DATA!$B$3:$B$10000,DATA!$W$3:$W$10000),"No encontrado"))</f>
        <v/>
      </c>
      <c r="E4712" s="22"/>
      <c r="F4712" s="26" t="str">
        <f aca="false">IF(A4712="","",IFERROR(buscarx(A4712&amp;E4712,DATA!$E$3:$E$10000&amp;DATA!$B$3:$B$10000,DATA!$M$3:$M$10000),"Inactivo"))</f>
        <v/>
      </c>
      <c r="G4712" s="28" t="str">
        <f aca="false">IF(A4712="","",IF(AND(C4712&lt;&gt;"No encontrado",F4712&lt;&gt;"Inactivo"),C4712&amp;" → "&amp;F4712,"Sin transición"))</f>
        <v/>
      </c>
      <c r="H4712" s="26" t="str">
        <f aca="false">IF(A4712="","",IF(D4712="GCIA LINEA SERVICIO DIGITALIDAD Y VENTAS","Chats",IF(OR(D4712="GERENCIA INBOUND LÍNEAS SERVICIO Y VENTA",D4712="GERENCIA INBOUND LINEAS ESPECIALIZADAS"),"Llamadas","Otro")))</f>
        <v/>
      </c>
      <c r="I4712" s="26" t="str">
        <f aca="false">IF(A4712="","",IF(C4712="No encontrado","No","Sí"))</f>
        <v/>
      </c>
      <c r="J4712" s="26" t="str">
        <f aca="false">IF(A4712="","",IF(F4712="Inactivo","No","Sí"))</f>
        <v/>
      </c>
      <c r="K4712" s="26" t="str">
        <f aca="false">IF(A4712="","",IF(AND(I4712="Sí",J4712="Sí"),"Sí","No"))</f>
        <v/>
      </c>
    </row>
    <row r="4713" customFormat="false" ht="15" hidden="false" customHeight="false" outlineLevel="0" collapsed="false">
      <c r="A4713" s="22"/>
      <c r="B4713" s="22"/>
      <c r="C4713" s="23" t="str">
        <f aca="false">IF(A4713="","",IFERROR(buscarx(A4713&amp;B4713,DATA!$E$3:$E$10000&amp;DATA!$B$3:$B$10000,DATA!$M$3:$M$10000),"No encontrado"))</f>
        <v/>
      </c>
      <c r="D4713" s="24" t="str">
        <f aca="false">IF(A4713="","",IFERROR(buscarx(A4713&amp;B4713,DATA!$E$3:$E$10000&amp;DATA!$B$3:$B$10000,DATA!$W$3:$W$10000),"No encontrado"))</f>
        <v/>
      </c>
      <c r="E4713" s="22"/>
      <c r="F4713" s="23" t="str">
        <f aca="false">IF(A4713="","",IFERROR(buscarx(A4713&amp;E4713,DATA!$E$3:$E$10000&amp;DATA!$B$3:$B$10000,DATA!$M$3:$M$10000),"Inactivo"))</f>
        <v/>
      </c>
      <c r="G4713" s="25" t="str">
        <f aca="false">IF(A4713="","",IF(AND(C4713&lt;&gt;"No encontrado",F4713&lt;&gt;"Inactivo"),C4713&amp;" → "&amp;F4713,"Sin transición"))</f>
        <v/>
      </c>
      <c r="H4713" s="23" t="str">
        <f aca="false">IF(A4713="","",IF(D4713="GCIA LINEA SERVICIO DIGITALIDAD Y VENTAS","Chats",IF(OR(D4713="GERENCIA INBOUND LÍNEAS SERVICIO Y VENTA",D4713="GERENCIA INBOUND LINEAS ESPECIALIZADAS"),"Llamadas","Otro")))</f>
        <v/>
      </c>
      <c r="I4713" s="23" t="str">
        <f aca="false">IF(A4713="","",IF(C4713="No encontrado","No","Sí"))</f>
        <v/>
      </c>
      <c r="J4713" s="23" t="str">
        <f aca="false">IF(A4713="","",IF(F4713="Inactivo","No","Sí"))</f>
        <v/>
      </c>
      <c r="K4713" s="23" t="str">
        <f aca="false">IF(A4713="","",IF(AND(I4713="Sí",J4713="Sí"),"Sí","No"))</f>
        <v/>
      </c>
    </row>
    <row r="4714" customFormat="false" ht="15" hidden="false" customHeight="false" outlineLevel="0" collapsed="false">
      <c r="A4714" s="22"/>
      <c r="B4714" s="22"/>
      <c r="C4714" s="26" t="str">
        <f aca="false">IF(A4714="","",IFERROR(buscarx(A4714&amp;B4714,DATA!$E$3:$E$10000&amp;DATA!$B$3:$B$10000,DATA!$M$3:$M$10000),"No encontrado"))</f>
        <v/>
      </c>
      <c r="D4714" s="27" t="str">
        <f aca="false">IF(A4714="","",IFERROR(buscarx(A4714&amp;B4714,DATA!$E$3:$E$10000&amp;DATA!$B$3:$B$10000,DATA!$W$3:$W$10000),"No encontrado"))</f>
        <v/>
      </c>
      <c r="E4714" s="22"/>
      <c r="F4714" s="26" t="str">
        <f aca="false">IF(A4714="","",IFERROR(buscarx(A4714&amp;E4714,DATA!$E$3:$E$10000&amp;DATA!$B$3:$B$10000,DATA!$M$3:$M$10000),"Inactivo"))</f>
        <v/>
      </c>
      <c r="G4714" s="28" t="str">
        <f aca="false">IF(A4714="","",IF(AND(C4714&lt;&gt;"No encontrado",F4714&lt;&gt;"Inactivo"),C4714&amp;" → "&amp;F4714,"Sin transición"))</f>
        <v/>
      </c>
      <c r="H4714" s="26" t="str">
        <f aca="false">IF(A4714="","",IF(D4714="GCIA LINEA SERVICIO DIGITALIDAD Y VENTAS","Chats",IF(OR(D4714="GERENCIA INBOUND LÍNEAS SERVICIO Y VENTA",D4714="GERENCIA INBOUND LINEAS ESPECIALIZADAS"),"Llamadas","Otro")))</f>
        <v/>
      </c>
      <c r="I4714" s="26" t="str">
        <f aca="false">IF(A4714="","",IF(C4714="No encontrado","No","Sí"))</f>
        <v/>
      </c>
      <c r="J4714" s="26" t="str">
        <f aca="false">IF(A4714="","",IF(F4714="Inactivo","No","Sí"))</f>
        <v/>
      </c>
      <c r="K4714" s="26" t="str">
        <f aca="false">IF(A4714="","",IF(AND(I4714="Sí",J4714="Sí"),"Sí","No"))</f>
        <v/>
      </c>
    </row>
    <row r="4715" customFormat="false" ht="15" hidden="false" customHeight="false" outlineLevel="0" collapsed="false">
      <c r="A4715" s="22"/>
      <c r="B4715" s="22"/>
      <c r="C4715" s="23" t="str">
        <f aca="false">IF(A4715="","",IFERROR(buscarx(A4715&amp;B4715,DATA!$E$3:$E$10000&amp;DATA!$B$3:$B$10000,DATA!$M$3:$M$10000),"No encontrado"))</f>
        <v/>
      </c>
      <c r="D4715" s="24" t="str">
        <f aca="false">IF(A4715="","",IFERROR(buscarx(A4715&amp;B4715,DATA!$E$3:$E$10000&amp;DATA!$B$3:$B$10000,DATA!$W$3:$W$10000),"No encontrado"))</f>
        <v/>
      </c>
      <c r="E4715" s="22"/>
      <c r="F4715" s="23" t="str">
        <f aca="false">IF(A4715="","",IFERROR(buscarx(A4715&amp;E4715,DATA!$E$3:$E$10000&amp;DATA!$B$3:$B$10000,DATA!$M$3:$M$10000),"Inactivo"))</f>
        <v/>
      </c>
      <c r="G4715" s="25" t="str">
        <f aca="false">IF(A4715="","",IF(AND(C4715&lt;&gt;"No encontrado",F4715&lt;&gt;"Inactivo"),C4715&amp;" → "&amp;F4715,"Sin transición"))</f>
        <v/>
      </c>
      <c r="H4715" s="23" t="str">
        <f aca="false">IF(A4715="","",IF(D4715="GCIA LINEA SERVICIO DIGITALIDAD Y VENTAS","Chats",IF(OR(D4715="GERENCIA INBOUND LÍNEAS SERVICIO Y VENTA",D4715="GERENCIA INBOUND LINEAS ESPECIALIZADAS"),"Llamadas","Otro")))</f>
        <v/>
      </c>
      <c r="I4715" s="23" t="str">
        <f aca="false">IF(A4715="","",IF(C4715="No encontrado","No","Sí"))</f>
        <v/>
      </c>
      <c r="J4715" s="23" t="str">
        <f aca="false">IF(A4715="","",IF(F4715="Inactivo","No","Sí"))</f>
        <v/>
      </c>
      <c r="K4715" s="23" t="str">
        <f aca="false">IF(A4715="","",IF(AND(I4715="Sí",J4715="Sí"),"Sí","No"))</f>
        <v/>
      </c>
    </row>
    <row r="4716" customFormat="false" ht="15" hidden="false" customHeight="false" outlineLevel="0" collapsed="false">
      <c r="A4716" s="22"/>
      <c r="B4716" s="22"/>
      <c r="C4716" s="26" t="str">
        <f aca="false">IF(A4716="","",IFERROR(buscarx(A4716&amp;B4716,DATA!$E$3:$E$10000&amp;DATA!$B$3:$B$10000,DATA!$M$3:$M$10000),"No encontrado"))</f>
        <v/>
      </c>
      <c r="D4716" s="27" t="str">
        <f aca="false">IF(A4716="","",IFERROR(buscarx(A4716&amp;B4716,DATA!$E$3:$E$10000&amp;DATA!$B$3:$B$10000,DATA!$W$3:$W$10000),"No encontrado"))</f>
        <v/>
      </c>
      <c r="E4716" s="22"/>
      <c r="F4716" s="26" t="str">
        <f aca="false">IF(A4716="","",IFERROR(buscarx(A4716&amp;E4716,DATA!$E$3:$E$10000&amp;DATA!$B$3:$B$10000,DATA!$M$3:$M$10000),"Inactivo"))</f>
        <v/>
      </c>
      <c r="G4716" s="28" t="str">
        <f aca="false">IF(A4716="","",IF(AND(C4716&lt;&gt;"No encontrado",F4716&lt;&gt;"Inactivo"),C4716&amp;" → "&amp;F4716,"Sin transición"))</f>
        <v/>
      </c>
      <c r="H4716" s="26" t="str">
        <f aca="false">IF(A4716="","",IF(D4716="GCIA LINEA SERVICIO DIGITALIDAD Y VENTAS","Chats",IF(OR(D4716="GERENCIA INBOUND LÍNEAS SERVICIO Y VENTA",D4716="GERENCIA INBOUND LINEAS ESPECIALIZADAS"),"Llamadas","Otro")))</f>
        <v/>
      </c>
      <c r="I4716" s="26" t="str">
        <f aca="false">IF(A4716="","",IF(C4716="No encontrado","No","Sí"))</f>
        <v/>
      </c>
      <c r="J4716" s="26" t="str">
        <f aca="false">IF(A4716="","",IF(F4716="Inactivo","No","Sí"))</f>
        <v/>
      </c>
      <c r="K4716" s="26" t="str">
        <f aca="false">IF(A4716="","",IF(AND(I4716="Sí",J4716="Sí"),"Sí","No"))</f>
        <v/>
      </c>
    </row>
    <row r="4717" customFormat="false" ht="15" hidden="false" customHeight="false" outlineLevel="0" collapsed="false">
      <c r="A4717" s="22"/>
      <c r="B4717" s="22"/>
      <c r="C4717" s="23" t="str">
        <f aca="false">IF(A4717="","",IFERROR(buscarx(A4717&amp;B4717,DATA!$E$3:$E$10000&amp;DATA!$B$3:$B$10000,DATA!$M$3:$M$10000),"No encontrado"))</f>
        <v/>
      </c>
      <c r="D4717" s="24" t="str">
        <f aca="false">IF(A4717="","",IFERROR(buscarx(A4717&amp;B4717,DATA!$E$3:$E$10000&amp;DATA!$B$3:$B$10000,DATA!$W$3:$W$10000),"No encontrado"))</f>
        <v/>
      </c>
      <c r="E4717" s="22"/>
      <c r="F4717" s="23" t="str">
        <f aca="false">IF(A4717="","",IFERROR(buscarx(A4717&amp;E4717,DATA!$E$3:$E$10000&amp;DATA!$B$3:$B$10000,DATA!$M$3:$M$10000),"Inactivo"))</f>
        <v/>
      </c>
      <c r="G4717" s="25" t="str">
        <f aca="false">IF(A4717="","",IF(AND(C4717&lt;&gt;"No encontrado",F4717&lt;&gt;"Inactivo"),C4717&amp;" → "&amp;F4717,"Sin transición"))</f>
        <v/>
      </c>
      <c r="H4717" s="23" t="str">
        <f aca="false">IF(A4717="","",IF(D4717="GCIA LINEA SERVICIO DIGITALIDAD Y VENTAS","Chats",IF(OR(D4717="GERENCIA INBOUND LÍNEAS SERVICIO Y VENTA",D4717="GERENCIA INBOUND LINEAS ESPECIALIZADAS"),"Llamadas","Otro")))</f>
        <v/>
      </c>
      <c r="I4717" s="23" t="str">
        <f aca="false">IF(A4717="","",IF(C4717="No encontrado","No","Sí"))</f>
        <v/>
      </c>
      <c r="J4717" s="23" t="str">
        <f aca="false">IF(A4717="","",IF(F4717="Inactivo","No","Sí"))</f>
        <v/>
      </c>
      <c r="K4717" s="23" t="str">
        <f aca="false">IF(A4717="","",IF(AND(I4717="Sí",J4717="Sí"),"Sí","No"))</f>
        <v/>
      </c>
    </row>
    <row r="4718" customFormat="false" ht="15" hidden="false" customHeight="false" outlineLevel="0" collapsed="false">
      <c r="A4718" s="22"/>
      <c r="B4718" s="22"/>
      <c r="C4718" s="26" t="str">
        <f aca="false">IF(A4718="","",IFERROR(buscarx(A4718&amp;B4718,DATA!$E$3:$E$10000&amp;DATA!$B$3:$B$10000,DATA!$M$3:$M$10000),"No encontrado"))</f>
        <v/>
      </c>
      <c r="D4718" s="27" t="str">
        <f aca="false">IF(A4718="","",IFERROR(buscarx(A4718&amp;B4718,DATA!$E$3:$E$10000&amp;DATA!$B$3:$B$10000,DATA!$W$3:$W$10000),"No encontrado"))</f>
        <v/>
      </c>
      <c r="E4718" s="22"/>
      <c r="F4718" s="26" t="str">
        <f aca="false">IF(A4718="","",IFERROR(buscarx(A4718&amp;E4718,DATA!$E$3:$E$10000&amp;DATA!$B$3:$B$10000,DATA!$M$3:$M$10000),"Inactivo"))</f>
        <v/>
      </c>
      <c r="G4718" s="28" t="str">
        <f aca="false">IF(A4718="","",IF(AND(C4718&lt;&gt;"No encontrado",F4718&lt;&gt;"Inactivo"),C4718&amp;" → "&amp;F4718,"Sin transición"))</f>
        <v/>
      </c>
      <c r="H4718" s="26" t="str">
        <f aca="false">IF(A4718="","",IF(D4718="GCIA LINEA SERVICIO DIGITALIDAD Y VENTAS","Chats",IF(OR(D4718="GERENCIA INBOUND LÍNEAS SERVICIO Y VENTA",D4718="GERENCIA INBOUND LINEAS ESPECIALIZADAS"),"Llamadas","Otro")))</f>
        <v/>
      </c>
      <c r="I4718" s="26" t="str">
        <f aca="false">IF(A4718="","",IF(C4718="No encontrado","No","Sí"))</f>
        <v/>
      </c>
      <c r="J4718" s="26" t="str">
        <f aca="false">IF(A4718="","",IF(F4718="Inactivo","No","Sí"))</f>
        <v/>
      </c>
      <c r="K4718" s="26" t="str">
        <f aca="false">IF(A4718="","",IF(AND(I4718="Sí",J4718="Sí"),"Sí","No"))</f>
        <v/>
      </c>
    </row>
    <row r="4719" customFormat="false" ht="15" hidden="false" customHeight="false" outlineLevel="0" collapsed="false">
      <c r="A4719" s="22"/>
      <c r="B4719" s="22"/>
      <c r="C4719" s="23" t="str">
        <f aca="false">IF(A4719="","",IFERROR(buscarx(A4719&amp;B4719,DATA!$E$3:$E$10000&amp;DATA!$B$3:$B$10000,DATA!$M$3:$M$10000),"No encontrado"))</f>
        <v/>
      </c>
      <c r="D4719" s="24" t="str">
        <f aca="false">IF(A4719="","",IFERROR(buscarx(A4719&amp;B4719,DATA!$E$3:$E$10000&amp;DATA!$B$3:$B$10000,DATA!$W$3:$W$10000),"No encontrado"))</f>
        <v/>
      </c>
      <c r="E4719" s="22"/>
      <c r="F4719" s="23" t="str">
        <f aca="false">IF(A4719="","",IFERROR(buscarx(A4719&amp;E4719,DATA!$E$3:$E$10000&amp;DATA!$B$3:$B$10000,DATA!$M$3:$M$10000),"Inactivo"))</f>
        <v/>
      </c>
      <c r="G4719" s="25" t="str">
        <f aca="false">IF(A4719="","",IF(AND(C4719&lt;&gt;"No encontrado",F4719&lt;&gt;"Inactivo"),C4719&amp;" → "&amp;F4719,"Sin transición"))</f>
        <v/>
      </c>
      <c r="H4719" s="23" t="str">
        <f aca="false">IF(A4719="","",IF(D4719="GCIA LINEA SERVICIO DIGITALIDAD Y VENTAS","Chats",IF(OR(D4719="GERENCIA INBOUND LÍNEAS SERVICIO Y VENTA",D4719="GERENCIA INBOUND LINEAS ESPECIALIZADAS"),"Llamadas","Otro")))</f>
        <v/>
      </c>
      <c r="I4719" s="23" t="str">
        <f aca="false">IF(A4719="","",IF(C4719="No encontrado","No","Sí"))</f>
        <v/>
      </c>
      <c r="J4719" s="23" t="str">
        <f aca="false">IF(A4719="","",IF(F4719="Inactivo","No","Sí"))</f>
        <v/>
      </c>
      <c r="K4719" s="23" t="str">
        <f aca="false">IF(A4719="","",IF(AND(I4719="Sí",J4719="Sí"),"Sí","No"))</f>
        <v/>
      </c>
    </row>
    <row r="4720" customFormat="false" ht="15" hidden="false" customHeight="false" outlineLevel="0" collapsed="false">
      <c r="A4720" s="22"/>
      <c r="B4720" s="22"/>
      <c r="C4720" s="26" t="str">
        <f aca="false">IF(A4720="","",IFERROR(buscarx(A4720&amp;B4720,DATA!$E$3:$E$10000&amp;DATA!$B$3:$B$10000,DATA!$M$3:$M$10000),"No encontrado"))</f>
        <v/>
      </c>
      <c r="D4720" s="27" t="str">
        <f aca="false">IF(A4720="","",IFERROR(buscarx(A4720&amp;B4720,DATA!$E$3:$E$10000&amp;DATA!$B$3:$B$10000,DATA!$W$3:$W$10000),"No encontrado"))</f>
        <v/>
      </c>
      <c r="E4720" s="22"/>
      <c r="F4720" s="26" t="str">
        <f aca="false">IF(A4720="","",IFERROR(buscarx(A4720&amp;E4720,DATA!$E$3:$E$10000&amp;DATA!$B$3:$B$10000,DATA!$M$3:$M$10000),"Inactivo"))</f>
        <v/>
      </c>
      <c r="G4720" s="28" t="str">
        <f aca="false">IF(A4720="","",IF(AND(C4720&lt;&gt;"No encontrado",F4720&lt;&gt;"Inactivo"),C4720&amp;" → "&amp;F4720,"Sin transición"))</f>
        <v/>
      </c>
      <c r="H4720" s="26" t="str">
        <f aca="false">IF(A4720="","",IF(D4720="GCIA LINEA SERVICIO DIGITALIDAD Y VENTAS","Chats",IF(OR(D4720="GERENCIA INBOUND LÍNEAS SERVICIO Y VENTA",D4720="GERENCIA INBOUND LINEAS ESPECIALIZADAS"),"Llamadas","Otro")))</f>
        <v/>
      </c>
      <c r="I4720" s="26" t="str">
        <f aca="false">IF(A4720="","",IF(C4720="No encontrado","No","Sí"))</f>
        <v/>
      </c>
      <c r="J4720" s="26" t="str">
        <f aca="false">IF(A4720="","",IF(F4720="Inactivo","No","Sí"))</f>
        <v/>
      </c>
      <c r="K4720" s="26" t="str">
        <f aca="false">IF(A4720="","",IF(AND(I4720="Sí",J4720="Sí"),"Sí","No"))</f>
        <v/>
      </c>
    </row>
    <row r="4721" customFormat="false" ht="15" hidden="false" customHeight="false" outlineLevel="0" collapsed="false">
      <c r="A4721" s="22"/>
      <c r="B4721" s="22"/>
      <c r="C4721" s="23" t="str">
        <f aca="false">IF(A4721="","",IFERROR(buscarx(A4721&amp;B4721,DATA!$E$3:$E$10000&amp;DATA!$B$3:$B$10000,DATA!$M$3:$M$10000),"No encontrado"))</f>
        <v/>
      </c>
      <c r="D4721" s="24" t="str">
        <f aca="false">IF(A4721="","",IFERROR(buscarx(A4721&amp;B4721,DATA!$E$3:$E$10000&amp;DATA!$B$3:$B$10000,DATA!$W$3:$W$10000),"No encontrado"))</f>
        <v/>
      </c>
      <c r="E4721" s="22"/>
      <c r="F4721" s="23" t="str">
        <f aca="false">IF(A4721="","",IFERROR(buscarx(A4721&amp;E4721,DATA!$E$3:$E$10000&amp;DATA!$B$3:$B$10000,DATA!$M$3:$M$10000),"Inactivo"))</f>
        <v/>
      </c>
      <c r="G4721" s="25" t="str">
        <f aca="false">IF(A4721="","",IF(AND(C4721&lt;&gt;"No encontrado",F4721&lt;&gt;"Inactivo"),C4721&amp;" → "&amp;F4721,"Sin transición"))</f>
        <v/>
      </c>
      <c r="H4721" s="23" t="str">
        <f aca="false">IF(A4721="","",IF(D4721="GCIA LINEA SERVICIO DIGITALIDAD Y VENTAS","Chats",IF(OR(D4721="GERENCIA INBOUND LÍNEAS SERVICIO Y VENTA",D4721="GERENCIA INBOUND LINEAS ESPECIALIZADAS"),"Llamadas","Otro")))</f>
        <v/>
      </c>
      <c r="I4721" s="23" t="str">
        <f aca="false">IF(A4721="","",IF(C4721="No encontrado","No","Sí"))</f>
        <v/>
      </c>
      <c r="J4721" s="23" t="str">
        <f aca="false">IF(A4721="","",IF(F4721="Inactivo","No","Sí"))</f>
        <v/>
      </c>
      <c r="K4721" s="23" t="str">
        <f aca="false">IF(A4721="","",IF(AND(I4721="Sí",J4721="Sí"),"Sí","No"))</f>
        <v/>
      </c>
    </row>
    <row r="4722" customFormat="false" ht="15" hidden="false" customHeight="false" outlineLevel="0" collapsed="false">
      <c r="A4722" s="22"/>
      <c r="B4722" s="22"/>
      <c r="C4722" s="26" t="str">
        <f aca="false">IF(A4722="","",IFERROR(buscarx(A4722&amp;B4722,DATA!$E$3:$E$10000&amp;DATA!$B$3:$B$10000,DATA!$M$3:$M$10000),"No encontrado"))</f>
        <v/>
      </c>
      <c r="D4722" s="27" t="str">
        <f aca="false">IF(A4722="","",IFERROR(buscarx(A4722&amp;B4722,DATA!$E$3:$E$10000&amp;DATA!$B$3:$B$10000,DATA!$W$3:$W$10000),"No encontrado"))</f>
        <v/>
      </c>
      <c r="E4722" s="22"/>
      <c r="F4722" s="26" t="str">
        <f aca="false">IF(A4722="","",IFERROR(buscarx(A4722&amp;E4722,DATA!$E$3:$E$10000&amp;DATA!$B$3:$B$10000,DATA!$M$3:$M$10000),"Inactivo"))</f>
        <v/>
      </c>
      <c r="G4722" s="28" t="str">
        <f aca="false">IF(A4722="","",IF(AND(C4722&lt;&gt;"No encontrado",F4722&lt;&gt;"Inactivo"),C4722&amp;" → "&amp;F4722,"Sin transición"))</f>
        <v/>
      </c>
      <c r="H4722" s="26" t="str">
        <f aca="false">IF(A4722="","",IF(D4722="GCIA LINEA SERVICIO DIGITALIDAD Y VENTAS","Chats",IF(OR(D4722="GERENCIA INBOUND LÍNEAS SERVICIO Y VENTA",D4722="GERENCIA INBOUND LINEAS ESPECIALIZADAS"),"Llamadas","Otro")))</f>
        <v/>
      </c>
      <c r="I4722" s="26" t="str">
        <f aca="false">IF(A4722="","",IF(C4722="No encontrado","No","Sí"))</f>
        <v/>
      </c>
      <c r="J4722" s="26" t="str">
        <f aca="false">IF(A4722="","",IF(F4722="Inactivo","No","Sí"))</f>
        <v/>
      </c>
      <c r="K4722" s="26" t="str">
        <f aca="false">IF(A4722="","",IF(AND(I4722="Sí",J4722="Sí"),"Sí","No"))</f>
        <v/>
      </c>
    </row>
    <row r="4723" customFormat="false" ht="15" hidden="false" customHeight="false" outlineLevel="0" collapsed="false">
      <c r="A4723" s="22"/>
      <c r="B4723" s="22"/>
      <c r="C4723" s="23" t="str">
        <f aca="false">IF(A4723="","",IFERROR(buscarx(A4723&amp;B4723,DATA!$E$3:$E$10000&amp;DATA!$B$3:$B$10000,DATA!$M$3:$M$10000),"No encontrado"))</f>
        <v/>
      </c>
      <c r="D4723" s="24" t="str">
        <f aca="false">IF(A4723="","",IFERROR(buscarx(A4723&amp;B4723,DATA!$E$3:$E$10000&amp;DATA!$B$3:$B$10000,DATA!$W$3:$W$10000),"No encontrado"))</f>
        <v/>
      </c>
      <c r="E4723" s="22"/>
      <c r="F4723" s="23" t="str">
        <f aca="false">IF(A4723="","",IFERROR(buscarx(A4723&amp;E4723,DATA!$E$3:$E$10000&amp;DATA!$B$3:$B$10000,DATA!$M$3:$M$10000),"Inactivo"))</f>
        <v/>
      </c>
      <c r="G4723" s="25" t="str">
        <f aca="false">IF(A4723="","",IF(AND(C4723&lt;&gt;"No encontrado",F4723&lt;&gt;"Inactivo"),C4723&amp;" → "&amp;F4723,"Sin transición"))</f>
        <v/>
      </c>
      <c r="H4723" s="23" t="str">
        <f aca="false">IF(A4723="","",IF(D4723="GCIA LINEA SERVICIO DIGITALIDAD Y VENTAS","Chats",IF(OR(D4723="GERENCIA INBOUND LÍNEAS SERVICIO Y VENTA",D4723="GERENCIA INBOUND LINEAS ESPECIALIZADAS"),"Llamadas","Otro")))</f>
        <v/>
      </c>
      <c r="I4723" s="23" t="str">
        <f aca="false">IF(A4723="","",IF(C4723="No encontrado","No","Sí"))</f>
        <v/>
      </c>
      <c r="J4723" s="23" t="str">
        <f aca="false">IF(A4723="","",IF(F4723="Inactivo","No","Sí"))</f>
        <v/>
      </c>
      <c r="K4723" s="23" t="str">
        <f aca="false">IF(A4723="","",IF(AND(I4723="Sí",J4723="Sí"),"Sí","No"))</f>
        <v/>
      </c>
    </row>
    <row r="4724" customFormat="false" ht="15" hidden="false" customHeight="false" outlineLevel="0" collapsed="false">
      <c r="A4724" s="22"/>
      <c r="B4724" s="22"/>
      <c r="C4724" s="26" t="str">
        <f aca="false">IF(A4724="","",IFERROR(buscarx(A4724&amp;B4724,DATA!$E$3:$E$10000&amp;DATA!$B$3:$B$10000,DATA!$M$3:$M$10000),"No encontrado"))</f>
        <v/>
      </c>
      <c r="D4724" s="27" t="str">
        <f aca="false">IF(A4724="","",IFERROR(buscarx(A4724&amp;B4724,DATA!$E$3:$E$10000&amp;DATA!$B$3:$B$10000,DATA!$W$3:$W$10000),"No encontrado"))</f>
        <v/>
      </c>
      <c r="E4724" s="22"/>
      <c r="F4724" s="26" t="str">
        <f aca="false">IF(A4724="","",IFERROR(buscarx(A4724&amp;E4724,DATA!$E$3:$E$10000&amp;DATA!$B$3:$B$10000,DATA!$M$3:$M$10000),"Inactivo"))</f>
        <v/>
      </c>
      <c r="G4724" s="28" t="str">
        <f aca="false">IF(A4724="","",IF(AND(C4724&lt;&gt;"No encontrado",F4724&lt;&gt;"Inactivo"),C4724&amp;" → "&amp;F4724,"Sin transición"))</f>
        <v/>
      </c>
      <c r="H4724" s="26" t="str">
        <f aca="false">IF(A4724="","",IF(D4724="GCIA LINEA SERVICIO DIGITALIDAD Y VENTAS","Chats",IF(OR(D4724="GERENCIA INBOUND LÍNEAS SERVICIO Y VENTA",D4724="GERENCIA INBOUND LINEAS ESPECIALIZADAS"),"Llamadas","Otro")))</f>
        <v/>
      </c>
      <c r="I4724" s="26" t="str">
        <f aca="false">IF(A4724="","",IF(C4724="No encontrado","No","Sí"))</f>
        <v/>
      </c>
      <c r="J4724" s="26" t="str">
        <f aca="false">IF(A4724="","",IF(F4724="Inactivo","No","Sí"))</f>
        <v/>
      </c>
      <c r="K4724" s="26" t="str">
        <f aca="false">IF(A4724="","",IF(AND(I4724="Sí",J4724="Sí"),"Sí","No"))</f>
        <v/>
      </c>
    </row>
    <row r="4725" customFormat="false" ht="15" hidden="false" customHeight="false" outlineLevel="0" collapsed="false">
      <c r="A4725" s="22"/>
      <c r="B4725" s="22"/>
      <c r="C4725" s="23" t="str">
        <f aca="false">IF(A4725="","",IFERROR(buscarx(A4725&amp;B4725,DATA!$E$3:$E$10000&amp;DATA!$B$3:$B$10000,DATA!$M$3:$M$10000),"No encontrado"))</f>
        <v/>
      </c>
      <c r="D4725" s="24" t="str">
        <f aca="false">IF(A4725="","",IFERROR(buscarx(A4725&amp;B4725,DATA!$E$3:$E$10000&amp;DATA!$B$3:$B$10000,DATA!$W$3:$W$10000),"No encontrado"))</f>
        <v/>
      </c>
      <c r="E4725" s="22"/>
      <c r="F4725" s="23" t="str">
        <f aca="false">IF(A4725="","",IFERROR(buscarx(A4725&amp;E4725,DATA!$E$3:$E$10000&amp;DATA!$B$3:$B$10000,DATA!$M$3:$M$10000),"Inactivo"))</f>
        <v/>
      </c>
      <c r="G4725" s="25" t="str">
        <f aca="false">IF(A4725="","",IF(AND(C4725&lt;&gt;"No encontrado",F4725&lt;&gt;"Inactivo"),C4725&amp;" → "&amp;F4725,"Sin transición"))</f>
        <v/>
      </c>
      <c r="H4725" s="23" t="str">
        <f aca="false">IF(A4725="","",IF(D4725="GCIA LINEA SERVICIO DIGITALIDAD Y VENTAS","Chats",IF(OR(D4725="GERENCIA INBOUND LÍNEAS SERVICIO Y VENTA",D4725="GERENCIA INBOUND LINEAS ESPECIALIZADAS"),"Llamadas","Otro")))</f>
        <v/>
      </c>
      <c r="I4725" s="23" t="str">
        <f aca="false">IF(A4725="","",IF(C4725="No encontrado","No","Sí"))</f>
        <v/>
      </c>
      <c r="J4725" s="23" t="str">
        <f aca="false">IF(A4725="","",IF(F4725="Inactivo","No","Sí"))</f>
        <v/>
      </c>
      <c r="K4725" s="23" t="str">
        <f aca="false">IF(A4725="","",IF(AND(I4725="Sí",J4725="Sí"),"Sí","No"))</f>
        <v/>
      </c>
    </row>
    <row r="4726" customFormat="false" ht="15" hidden="false" customHeight="false" outlineLevel="0" collapsed="false">
      <c r="A4726" s="22"/>
      <c r="B4726" s="22"/>
      <c r="C4726" s="26" t="str">
        <f aca="false">IF(A4726="","",IFERROR(buscarx(A4726&amp;B4726,DATA!$E$3:$E$10000&amp;DATA!$B$3:$B$10000,DATA!$M$3:$M$10000),"No encontrado"))</f>
        <v/>
      </c>
      <c r="D4726" s="27" t="str">
        <f aca="false">IF(A4726="","",IFERROR(buscarx(A4726&amp;B4726,DATA!$E$3:$E$10000&amp;DATA!$B$3:$B$10000,DATA!$W$3:$W$10000),"No encontrado"))</f>
        <v/>
      </c>
      <c r="E4726" s="22"/>
      <c r="F4726" s="26" t="str">
        <f aca="false">IF(A4726="","",IFERROR(buscarx(A4726&amp;E4726,DATA!$E$3:$E$10000&amp;DATA!$B$3:$B$10000,DATA!$M$3:$M$10000),"Inactivo"))</f>
        <v/>
      </c>
      <c r="G4726" s="28" t="str">
        <f aca="false">IF(A4726="","",IF(AND(C4726&lt;&gt;"No encontrado",F4726&lt;&gt;"Inactivo"),C4726&amp;" → "&amp;F4726,"Sin transición"))</f>
        <v/>
      </c>
      <c r="H4726" s="26" t="str">
        <f aca="false">IF(A4726="","",IF(D4726="GCIA LINEA SERVICIO DIGITALIDAD Y VENTAS","Chats",IF(OR(D4726="GERENCIA INBOUND LÍNEAS SERVICIO Y VENTA",D4726="GERENCIA INBOUND LINEAS ESPECIALIZADAS"),"Llamadas","Otro")))</f>
        <v/>
      </c>
      <c r="I4726" s="26" t="str">
        <f aca="false">IF(A4726="","",IF(C4726="No encontrado","No","Sí"))</f>
        <v/>
      </c>
      <c r="J4726" s="26" t="str">
        <f aca="false">IF(A4726="","",IF(F4726="Inactivo","No","Sí"))</f>
        <v/>
      </c>
      <c r="K4726" s="26" t="str">
        <f aca="false">IF(A4726="","",IF(AND(I4726="Sí",J4726="Sí"),"Sí","No"))</f>
        <v/>
      </c>
    </row>
    <row r="4727" customFormat="false" ht="15" hidden="false" customHeight="false" outlineLevel="0" collapsed="false">
      <c r="A4727" s="22"/>
      <c r="B4727" s="22"/>
      <c r="C4727" s="23" t="str">
        <f aca="false">IF(A4727="","",IFERROR(buscarx(A4727&amp;B4727,DATA!$E$3:$E$10000&amp;DATA!$B$3:$B$10000,DATA!$M$3:$M$10000),"No encontrado"))</f>
        <v/>
      </c>
      <c r="D4727" s="24" t="str">
        <f aca="false">IF(A4727="","",IFERROR(buscarx(A4727&amp;B4727,DATA!$E$3:$E$10000&amp;DATA!$B$3:$B$10000,DATA!$W$3:$W$10000),"No encontrado"))</f>
        <v/>
      </c>
      <c r="E4727" s="22"/>
      <c r="F4727" s="23" t="str">
        <f aca="false">IF(A4727="","",IFERROR(buscarx(A4727&amp;E4727,DATA!$E$3:$E$10000&amp;DATA!$B$3:$B$10000,DATA!$M$3:$M$10000),"Inactivo"))</f>
        <v/>
      </c>
      <c r="G4727" s="25" t="str">
        <f aca="false">IF(A4727="","",IF(AND(C4727&lt;&gt;"No encontrado",F4727&lt;&gt;"Inactivo"),C4727&amp;" → "&amp;F4727,"Sin transición"))</f>
        <v/>
      </c>
      <c r="H4727" s="23" t="str">
        <f aca="false">IF(A4727="","",IF(D4727="GCIA LINEA SERVICIO DIGITALIDAD Y VENTAS","Chats",IF(OR(D4727="GERENCIA INBOUND LÍNEAS SERVICIO Y VENTA",D4727="GERENCIA INBOUND LINEAS ESPECIALIZADAS"),"Llamadas","Otro")))</f>
        <v/>
      </c>
      <c r="I4727" s="23" t="str">
        <f aca="false">IF(A4727="","",IF(C4727="No encontrado","No","Sí"))</f>
        <v/>
      </c>
      <c r="J4727" s="23" t="str">
        <f aca="false">IF(A4727="","",IF(F4727="Inactivo","No","Sí"))</f>
        <v/>
      </c>
      <c r="K4727" s="23" t="str">
        <f aca="false">IF(A4727="","",IF(AND(I4727="Sí",J4727="Sí"),"Sí","No"))</f>
        <v/>
      </c>
    </row>
    <row r="4728" customFormat="false" ht="15" hidden="false" customHeight="false" outlineLevel="0" collapsed="false">
      <c r="A4728" s="22"/>
      <c r="B4728" s="22"/>
      <c r="C4728" s="26" t="str">
        <f aca="false">IF(A4728="","",IFERROR(buscarx(A4728&amp;B4728,DATA!$E$3:$E$10000&amp;DATA!$B$3:$B$10000,DATA!$M$3:$M$10000),"No encontrado"))</f>
        <v/>
      </c>
      <c r="D4728" s="27" t="str">
        <f aca="false">IF(A4728="","",IFERROR(buscarx(A4728&amp;B4728,DATA!$E$3:$E$10000&amp;DATA!$B$3:$B$10000,DATA!$W$3:$W$10000),"No encontrado"))</f>
        <v/>
      </c>
      <c r="E4728" s="22"/>
      <c r="F4728" s="26" t="str">
        <f aca="false">IF(A4728="","",IFERROR(buscarx(A4728&amp;E4728,DATA!$E$3:$E$10000&amp;DATA!$B$3:$B$10000,DATA!$M$3:$M$10000),"Inactivo"))</f>
        <v/>
      </c>
      <c r="G4728" s="28" t="str">
        <f aca="false">IF(A4728="","",IF(AND(C4728&lt;&gt;"No encontrado",F4728&lt;&gt;"Inactivo"),C4728&amp;" → "&amp;F4728,"Sin transición"))</f>
        <v/>
      </c>
      <c r="H4728" s="26" t="str">
        <f aca="false">IF(A4728="","",IF(D4728="GCIA LINEA SERVICIO DIGITALIDAD Y VENTAS","Chats",IF(OR(D4728="GERENCIA INBOUND LÍNEAS SERVICIO Y VENTA",D4728="GERENCIA INBOUND LINEAS ESPECIALIZADAS"),"Llamadas","Otro")))</f>
        <v/>
      </c>
      <c r="I4728" s="26" t="str">
        <f aca="false">IF(A4728="","",IF(C4728="No encontrado","No","Sí"))</f>
        <v/>
      </c>
      <c r="J4728" s="26" t="str">
        <f aca="false">IF(A4728="","",IF(F4728="Inactivo","No","Sí"))</f>
        <v/>
      </c>
      <c r="K4728" s="26" t="str">
        <f aca="false">IF(A4728="","",IF(AND(I4728="Sí",J4728="Sí"),"Sí","No"))</f>
        <v/>
      </c>
    </row>
    <row r="4729" customFormat="false" ht="15" hidden="false" customHeight="false" outlineLevel="0" collapsed="false">
      <c r="A4729" s="22"/>
      <c r="B4729" s="22"/>
      <c r="C4729" s="23" t="str">
        <f aca="false">IF(A4729="","",IFERROR(buscarx(A4729&amp;B4729,DATA!$E$3:$E$10000&amp;DATA!$B$3:$B$10000,DATA!$M$3:$M$10000),"No encontrado"))</f>
        <v/>
      </c>
      <c r="D4729" s="24" t="str">
        <f aca="false">IF(A4729="","",IFERROR(buscarx(A4729&amp;B4729,DATA!$E$3:$E$10000&amp;DATA!$B$3:$B$10000,DATA!$W$3:$W$10000),"No encontrado"))</f>
        <v/>
      </c>
      <c r="E4729" s="22"/>
      <c r="F4729" s="23" t="str">
        <f aca="false">IF(A4729="","",IFERROR(buscarx(A4729&amp;E4729,DATA!$E$3:$E$10000&amp;DATA!$B$3:$B$10000,DATA!$M$3:$M$10000),"Inactivo"))</f>
        <v/>
      </c>
      <c r="G4729" s="25" t="str">
        <f aca="false">IF(A4729="","",IF(AND(C4729&lt;&gt;"No encontrado",F4729&lt;&gt;"Inactivo"),C4729&amp;" → "&amp;F4729,"Sin transición"))</f>
        <v/>
      </c>
      <c r="H4729" s="23" t="str">
        <f aca="false">IF(A4729="","",IF(D4729="GCIA LINEA SERVICIO DIGITALIDAD Y VENTAS","Chats",IF(OR(D4729="GERENCIA INBOUND LÍNEAS SERVICIO Y VENTA",D4729="GERENCIA INBOUND LINEAS ESPECIALIZADAS"),"Llamadas","Otro")))</f>
        <v/>
      </c>
      <c r="I4729" s="23" t="str">
        <f aca="false">IF(A4729="","",IF(C4729="No encontrado","No","Sí"))</f>
        <v/>
      </c>
      <c r="J4729" s="23" t="str">
        <f aca="false">IF(A4729="","",IF(F4729="Inactivo","No","Sí"))</f>
        <v/>
      </c>
      <c r="K4729" s="23" t="str">
        <f aca="false">IF(A4729="","",IF(AND(I4729="Sí",J4729="Sí"),"Sí","No"))</f>
        <v/>
      </c>
    </row>
    <row r="4730" customFormat="false" ht="15" hidden="false" customHeight="false" outlineLevel="0" collapsed="false">
      <c r="A4730" s="22"/>
      <c r="B4730" s="22"/>
      <c r="C4730" s="26" t="str">
        <f aca="false">IF(A4730="","",IFERROR(buscarx(A4730&amp;B4730,DATA!$E$3:$E$10000&amp;DATA!$B$3:$B$10000,DATA!$M$3:$M$10000),"No encontrado"))</f>
        <v/>
      </c>
      <c r="D4730" s="27" t="str">
        <f aca="false">IF(A4730="","",IFERROR(buscarx(A4730&amp;B4730,DATA!$E$3:$E$10000&amp;DATA!$B$3:$B$10000,DATA!$W$3:$W$10000),"No encontrado"))</f>
        <v/>
      </c>
      <c r="E4730" s="22"/>
      <c r="F4730" s="26" t="str">
        <f aca="false">IF(A4730="","",IFERROR(buscarx(A4730&amp;E4730,DATA!$E$3:$E$10000&amp;DATA!$B$3:$B$10000,DATA!$M$3:$M$10000),"Inactivo"))</f>
        <v/>
      </c>
      <c r="G4730" s="28" t="str">
        <f aca="false">IF(A4730="","",IF(AND(C4730&lt;&gt;"No encontrado",F4730&lt;&gt;"Inactivo"),C4730&amp;" → "&amp;F4730,"Sin transición"))</f>
        <v/>
      </c>
      <c r="H4730" s="26" t="str">
        <f aca="false">IF(A4730="","",IF(D4730="GCIA LINEA SERVICIO DIGITALIDAD Y VENTAS","Chats",IF(OR(D4730="GERENCIA INBOUND LÍNEAS SERVICIO Y VENTA",D4730="GERENCIA INBOUND LINEAS ESPECIALIZADAS"),"Llamadas","Otro")))</f>
        <v/>
      </c>
      <c r="I4730" s="26" t="str">
        <f aca="false">IF(A4730="","",IF(C4730="No encontrado","No","Sí"))</f>
        <v/>
      </c>
      <c r="J4730" s="26" t="str">
        <f aca="false">IF(A4730="","",IF(F4730="Inactivo","No","Sí"))</f>
        <v/>
      </c>
      <c r="K4730" s="26" t="str">
        <f aca="false">IF(A4730="","",IF(AND(I4730="Sí",J4730="Sí"),"Sí","No"))</f>
        <v/>
      </c>
    </row>
    <row r="4731" customFormat="false" ht="15" hidden="false" customHeight="false" outlineLevel="0" collapsed="false">
      <c r="A4731" s="22"/>
      <c r="B4731" s="22"/>
      <c r="C4731" s="23" t="str">
        <f aca="false">IF(A4731="","",IFERROR(buscarx(A4731&amp;B4731,DATA!$E$3:$E$10000&amp;DATA!$B$3:$B$10000,DATA!$M$3:$M$10000),"No encontrado"))</f>
        <v/>
      </c>
      <c r="D4731" s="24" t="str">
        <f aca="false">IF(A4731="","",IFERROR(buscarx(A4731&amp;B4731,DATA!$E$3:$E$10000&amp;DATA!$B$3:$B$10000,DATA!$W$3:$W$10000),"No encontrado"))</f>
        <v/>
      </c>
      <c r="E4731" s="22"/>
      <c r="F4731" s="23" t="str">
        <f aca="false">IF(A4731="","",IFERROR(buscarx(A4731&amp;E4731,DATA!$E$3:$E$10000&amp;DATA!$B$3:$B$10000,DATA!$M$3:$M$10000),"Inactivo"))</f>
        <v/>
      </c>
      <c r="G4731" s="25" t="str">
        <f aca="false">IF(A4731="","",IF(AND(C4731&lt;&gt;"No encontrado",F4731&lt;&gt;"Inactivo"),C4731&amp;" → "&amp;F4731,"Sin transición"))</f>
        <v/>
      </c>
      <c r="H4731" s="23" t="str">
        <f aca="false">IF(A4731="","",IF(D4731="GCIA LINEA SERVICIO DIGITALIDAD Y VENTAS","Chats",IF(OR(D4731="GERENCIA INBOUND LÍNEAS SERVICIO Y VENTA",D4731="GERENCIA INBOUND LINEAS ESPECIALIZADAS"),"Llamadas","Otro")))</f>
        <v/>
      </c>
      <c r="I4731" s="23" t="str">
        <f aca="false">IF(A4731="","",IF(C4731="No encontrado","No","Sí"))</f>
        <v/>
      </c>
      <c r="J4731" s="23" t="str">
        <f aca="false">IF(A4731="","",IF(F4731="Inactivo","No","Sí"))</f>
        <v/>
      </c>
      <c r="K4731" s="23" t="str">
        <f aca="false">IF(A4731="","",IF(AND(I4731="Sí",J4731="Sí"),"Sí","No"))</f>
        <v/>
      </c>
    </row>
    <row r="4732" customFormat="false" ht="15" hidden="false" customHeight="false" outlineLevel="0" collapsed="false">
      <c r="A4732" s="22"/>
      <c r="B4732" s="22"/>
      <c r="C4732" s="26" t="str">
        <f aca="false">IF(A4732="","",IFERROR(buscarx(A4732&amp;B4732,DATA!$E$3:$E$10000&amp;DATA!$B$3:$B$10000,DATA!$M$3:$M$10000),"No encontrado"))</f>
        <v/>
      </c>
      <c r="D4732" s="27" t="str">
        <f aca="false">IF(A4732="","",IFERROR(buscarx(A4732&amp;B4732,DATA!$E$3:$E$10000&amp;DATA!$B$3:$B$10000,DATA!$W$3:$W$10000),"No encontrado"))</f>
        <v/>
      </c>
      <c r="E4732" s="22"/>
      <c r="F4732" s="26" t="str">
        <f aca="false">IF(A4732="","",IFERROR(buscarx(A4732&amp;E4732,DATA!$E$3:$E$10000&amp;DATA!$B$3:$B$10000,DATA!$M$3:$M$10000),"Inactivo"))</f>
        <v/>
      </c>
      <c r="G4732" s="28" t="str">
        <f aca="false">IF(A4732="","",IF(AND(C4732&lt;&gt;"No encontrado",F4732&lt;&gt;"Inactivo"),C4732&amp;" → "&amp;F4732,"Sin transición"))</f>
        <v/>
      </c>
      <c r="H4732" s="26" t="str">
        <f aca="false">IF(A4732="","",IF(D4732="GCIA LINEA SERVICIO DIGITALIDAD Y VENTAS","Chats",IF(OR(D4732="GERENCIA INBOUND LÍNEAS SERVICIO Y VENTA",D4732="GERENCIA INBOUND LINEAS ESPECIALIZADAS"),"Llamadas","Otro")))</f>
        <v/>
      </c>
      <c r="I4732" s="26" t="str">
        <f aca="false">IF(A4732="","",IF(C4732="No encontrado","No","Sí"))</f>
        <v/>
      </c>
      <c r="J4732" s="26" t="str">
        <f aca="false">IF(A4732="","",IF(F4732="Inactivo","No","Sí"))</f>
        <v/>
      </c>
      <c r="K4732" s="26" t="str">
        <f aca="false">IF(A4732="","",IF(AND(I4732="Sí",J4732="Sí"),"Sí","No"))</f>
        <v/>
      </c>
    </row>
    <row r="4733" customFormat="false" ht="15" hidden="false" customHeight="false" outlineLevel="0" collapsed="false">
      <c r="A4733" s="22"/>
      <c r="B4733" s="22"/>
      <c r="C4733" s="23" t="str">
        <f aca="false">IF(A4733="","",IFERROR(buscarx(A4733&amp;B4733,DATA!$E$3:$E$10000&amp;DATA!$B$3:$B$10000,DATA!$M$3:$M$10000),"No encontrado"))</f>
        <v/>
      </c>
      <c r="D4733" s="24" t="str">
        <f aca="false">IF(A4733="","",IFERROR(buscarx(A4733&amp;B4733,DATA!$E$3:$E$10000&amp;DATA!$B$3:$B$10000,DATA!$W$3:$W$10000),"No encontrado"))</f>
        <v/>
      </c>
      <c r="E4733" s="22"/>
      <c r="F4733" s="23" t="str">
        <f aca="false">IF(A4733="","",IFERROR(buscarx(A4733&amp;E4733,DATA!$E$3:$E$10000&amp;DATA!$B$3:$B$10000,DATA!$M$3:$M$10000),"Inactivo"))</f>
        <v/>
      </c>
      <c r="G4733" s="25" t="str">
        <f aca="false">IF(A4733="","",IF(AND(C4733&lt;&gt;"No encontrado",F4733&lt;&gt;"Inactivo"),C4733&amp;" → "&amp;F4733,"Sin transición"))</f>
        <v/>
      </c>
      <c r="H4733" s="23" t="str">
        <f aca="false">IF(A4733="","",IF(D4733="GCIA LINEA SERVICIO DIGITALIDAD Y VENTAS","Chats",IF(OR(D4733="GERENCIA INBOUND LÍNEAS SERVICIO Y VENTA",D4733="GERENCIA INBOUND LINEAS ESPECIALIZADAS"),"Llamadas","Otro")))</f>
        <v/>
      </c>
      <c r="I4733" s="23" t="str">
        <f aca="false">IF(A4733="","",IF(C4733="No encontrado","No","Sí"))</f>
        <v/>
      </c>
      <c r="J4733" s="23" t="str">
        <f aca="false">IF(A4733="","",IF(F4733="Inactivo","No","Sí"))</f>
        <v/>
      </c>
      <c r="K4733" s="23" t="str">
        <f aca="false">IF(A4733="","",IF(AND(I4733="Sí",J4733="Sí"),"Sí","No"))</f>
        <v/>
      </c>
    </row>
    <row r="4734" customFormat="false" ht="15" hidden="false" customHeight="false" outlineLevel="0" collapsed="false">
      <c r="A4734" s="22"/>
      <c r="B4734" s="22"/>
      <c r="C4734" s="26" t="str">
        <f aca="false">IF(A4734="","",IFERROR(buscarx(A4734&amp;B4734,DATA!$E$3:$E$10000&amp;DATA!$B$3:$B$10000,DATA!$M$3:$M$10000),"No encontrado"))</f>
        <v/>
      </c>
      <c r="D4734" s="27" t="str">
        <f aca="false">IF(A4734="","",IFERROR(buscarx(A4734&amp;B4734,DATA!$E$3:$E$10000&amp;DATA!$B$3:$B$10000,DATA!$W$3:$W$10000),"No encontrado"))</f>
        <v/>
      </c>
      <c r="E4734" s="22"/>
      <c r="F4734" s="26" t="str">
        <f aca="false">IF(A4734="","",IFERROR(buscarx(A4734&amp;E4734,DATA!$E$3:$E$10000&amp;DATA!$B$3:$B$10000,DATA!$M$3:$M$10000),"Inactivo"))</f>
        <v/>
      </c>
      <c r="G4734" s="28" t="str">
        <f aca="false">IF(A4734="","",IF(AND(C4734&lt;&gt;"No encontrado",F4734&lt;&gt;"Inactivo"),C4734&amp;" → "&amp;F4734,"Sin transición"))</f>
        <v/>
      </c>
      <c r="H4734" s="26" t="str">
        <f aca="false">IF(A4734="","",IF(D4734="GCIA LINEA SERVICIO DIGITALIDAD Y VENTAS","Chats",IF(OR(D4734="GERENCIA INBOUND LÍNEAS SERVICIO Y VENTA",D4734="GERENCIA INBOUND LINEAS ESPECIALIZADAS"),"Llamadas","Otro")))</f>
        <v/>
      </c>
      <c r="I4734" s="26" t="str">
        <f aca="false">IF(A4734="","",IF(C4734="No encontrado","No","Sí"))</f>
        <v/>
      </c>
      <c r="J4734" s="26" t="str">
        <f aca="false">IF(A4734="","",IF(F4734="Inactivo","No","Sí"))</f>
        <v/>
      </c>
      <c r="K4734" s="26" t="str">
        <f aca="false">IF(A4734="","",IF(AND(I4734="Sí",J4734="Sí"),"Sí","No"))</f>
        <v/>
      </c>
    </row>
    <row r="4735" customFormat="false" ht="15" hidden="false" customHeight="false" outlineLevel="0" collapsed="false">
      <c r="A4735" s="22"/>
      <c r="B4735" s="22"/>
      <c r="C4735" s="23" t="str">
        <f aca="false">IF(A4735="","",IFERROR(buscarx(A4735&amp;B4735,DATA!$E$3:$E$10000&amp;DATA!$B$3:$B$10000,DATA!$M$3:$M$10000),"No encontrado"))</f>
        <v/>
      </c>
      <c r="D4735" s="24" t="str">
        <f aca="false">IF(A4735="","",IFERROR(buscarx(A4735&amp;B4735,DATA!$E$3:$E$10000&amp;DATA!$B$3:$B$10000,DATA!$W$3:$W$10000),"No encontrado"))</f>
        <v/>
      </c>
      <c r="E4735" s="22"/>
      <c r="F4735" s="23" t="str">
        <f aca="false">IF(A4735="","",IFERROR(buscarx(A4735&amp;E4735,DATA!$E$3:$E$10000&amp;DATA!$B$3:$B$10000,DATA!$M$3:$M$10000),"Inactivo"))</f>
        <v/>
      </c>
      <c r="G4735" s="25" t="str">
        <f aca="false">IF(A4735="","",IF(AND(C4735&lt;&gt;"No encontrado",F4735&lt;&gt;"Inactivo"),C4735&amp;" → "&amp;F4735,"Sin transición"))</f>
        <v/>
      </c>
      <c r="H4735" s="23" t="str">
        <f aca="false">IF(A4735="","",IF(D4735="GCIA LINEA SERVICIO DIGITALIDAD Y VENTAS","Chats",IF(OR(D4735="GERENCIA INBOUND LÍNEAS SERVICIO Y VENTA",D4735="GERENCIA INBOUND LINEAS ESPECIALIZADAS"),"Llamadas","Otro")))</f>
        <v/>
      </c>
      <c r="I4735" s="23" t="str">
        <f aca="false">IF(A4735="","",IF(C4735="No encontrado","No","Sí"))</f>
        <v/>
      </c>
      <c r="J4735" s="23" t="str">
        <f aca="false">IF(A4735="","",IF(F4735="Inactivo","No","Sí"))</f>
        <v/>
      </c>
      <c r="K4735" s="23" t="str">
        <f aca="false">IF(A4735="","",IF(AND(I4735="Sí",J4735="Sí"),"Sí","No"))</f>
        <v/>
      </c>
    </row>
    <row r="4736" customFormat="false" ht="15" hidden="false" customHeight="false" outlineLevel="0" collapsed="false">
      <c r="A4736" s="22"/>
      <c r="B4736" s="22"/>
      <c r="C4736" s="26" t="str">
        <f aca="false">IF(A4736="","",IFERROR(buscarx(A4736&amp;B4736,DATA!$E$3:$E$10000&amp;DATA!$B$3:$B$10000,DATA!$M$3:$M$10000),"No encontrado"))</f>
        <v/>
      </c>
      <c r="D4736" s="27" t="str">
        <f aca="false">IF(A4736="","",IFERROR(buscarx(A4736&amp;B4736,DATA!$E$3:$E$10000&amp;DATA!$B$3:$B$10000,DATA!$W$3:$W$10000),"No encontrado"))</f>
        <v/>
      </c>
      <c r="E4736" s="22"/>
      <c r="F4736" s="26" t="str">
        <f aca="false">IF(A4736="","",IFERROR(buscarx(A4736&amp;E4736,DATA!$E$3:$E$10000&amp;DATA!$B$3:$B$10000,DATA!$M$3:$M$10000),"Inactivo"))</f>
        <v/>
      </c>
      <c r="G4736" s="28" t="str">
        <f aca="false">IF(A4736="","",IF(AND(C4736&lt;&gt;"No encontrado",F4736&lt;&gt;"Inactivo"),C4736&amp;" → "&amp;F4736,"Sin transición"))</f>
        <v/>
      </c>
      <c r="H4736" s="26" t="str">
        <f aca="false">IF(A4736="","",IF(D4736="GCIA LINEA SERVICIO DIGITALIDAD Y VENTAS","Chats",IF(OR(D4736="GERENCIA INBOUND LÍNEAS SERVICIO Y VENTA",D4736="GERENCIA INBOUND LINEAS ESPECIALIZADAS"),"Llamadas","Otro")))</f>
        <v/>
      </c>
      <c r="I4736" s="26" t="str">
        <f aca="false">IF(A4736="","",IF(C4736="No encontrado","No","Sí"))</f>
        <v/>
      </c>
      <c r="J4736" s="26" t="str">
        <f aca="false">IF(A4736="","",IF(F4736="Inactivo","No","Sí"))</f>
        <v/>
      </c>
      <c r="K4736" s="26" t="str">
        <f aca="false">IF(A4736="","",IF(AND(I4736="Sí",J4736="Sí"),"Sí","No"))</f>
        <v/>
      </c>
    </row>
    <row r="4737" customFormat="false" ht="15" hidden="false" customHeight="false" outlineLevel="0" collapsed="false">
      <c r="A4737" s="22"/>
      <c r="B4737" s="22"/>
      <c r="C4737" s="23" t="str">
        <f aca="false">IF(A4737="","",IFERROR(buscarx(A4737&amp;B4737,DATA!$E$3:$E$10000&amp;DATA!$B$3:$B$10000,DATA!$M$3:$M$10000),"No encontrado"))</f>
        <v/>
      </c>
      <c r="D4737" s="24" t="str">
        <f aca="false">IF(A4737="","",IFERROR(buscarx(A4737&amp;B4737,DATA!$E$3:$E$10000&amp;DATA!$B$3:$B$10000,DATA!$W$3:$W$10000),"No encontrado"))</f>
        <v/>
      </c>
      <c r="E4737" s="22"/>
      <c r="F4737" s="23" t="str">
        <f aca="false">IF(A4737="","",IFERROR(buscarx(A4737&amp;E4737,DATA!$E$3:$E$10000&amp;DATA!$B$3:$B$10000,DATA!$M$3:$M$10000),"Inactivo"))</f>
        <v/>
      </c>
      <c r="G4737" s="25" t="str">
        <f aca="false">IF(A4737="","",IF(AND(C4737&lt;&gt;"No encontrado",F4737&lt;&gt;"Inactivo"),C4737&amp;" → "&amp;F4737,"Sin transición"))</f>
        <v/>
      </c>
      <c r="H4737" s="23" t="str">
        <f aca="false">IF(A4737="","",IF(D4737="GCIA LINEA SERVICIO DIGITALIDAD Y VENTAS","Chats",IF(OR(D4737="GERENCIA INBOUND LÍNEAS SERVICIO Y VENTA",D4737="GERENCIA INBOUND LINEAS ESPECIALIZADAS"),"Llamadas","Otro")))</f>
        <v/>
      </c>
      <c r="I4737" s="23" t="str">
        <f aca="false">IF(A4737="","",IF(C4737="No encontrado","No","Sí"))</f>
        <v/>
      </c>
      <c r="J4737" s="23" t="str">
        <f aca="false">IF(A4737="","",IF(F4737="Inactivo","No","Sí"))</f>
        <v/>
      </c>
      <c r="K4737" s="23" t="str">
        <f aca="false">IF(A4737="","",IF(AND(I4737="Sí",J4737="Sí"),"Sí","No"))</f>
        <v/>
      </c>
    </row>
    <row r="4738" customFormat="false" ht="15" hidden="false" customHeight="false" outlineLevel="0" collapsed="false">
      <c r="A4738" s="22"/>
      <c r="B4738" s="22"/>
      <c r="C4738" s="26" t="str">
        <f aca="false">IF(A4738="","",IFERROR(buscarx(A4738&amp;B4738,DATA!$E$3:$E$10000&amp;DATA!$B$3:$B$10000,DATA!$M$3:$M$10000),"No encontrado"))</f>
        <v/>
      </c>
      <c r="D4738" s="27" t="str">
        <f aca="false">IF(A4738="","",IFERROR(buscarx(A4738&amp;B4738,DATA!$E$3:$E$10000&amp;DATA!$B$3:$B$10000,DATA!$W$3:$W$10000),"No encontrado"))</f>
        <v/>
      </c>
      <c r="E4738" s="22"/>
      <c r="F4738" s="26" t="str">
        <f aca="false">IF(A4738="","",IFERROR(buscarx(A4738&amp;E4738,DATA!$E$3:$E$10000&amp;DATA!$B$3:$B$10000,DATA!$M$3:$M$10000),"Inactivo"))</f>
        <v/>
      </c>
      <c r="G4738" s="28" t="str">
        <f aca="false">IF(A4738="","",IF(AND(C4738&lt;&gt;"No encontrado",F4738&lt;&gt;"Inactivo"),C4738&amp;" → "&amp;F4738,"Sin transición"))</f>
        <v/>
      </c>
      <c r="H4738" s="26" t="str">
        <f aca="false">IF(A4738="","",IF(D4738="GCIA LINEA SERVICIO DIGITALIDAD Y VENTAS","Chats",IF(OR(D4738="GERENCIA INBOUND LÍNEAS SERVICIO Y VENTA",D4738="GERENCIA INBOUND LINEAS ESPECIALIZADAS"),"Llamadas","Otro")))</f>
        <v/>
      </c>
      <c r="I4738" s="26" t="str">
        <f aca="false">IF(A4738="","",IF(C4738="No encontrado","No","Sí"))</f>
        <v/>
      </c>
      <c r="J4738" s="26" t="str">
        <f aca="false">IF(A4738="","",IF(F4738="Inactivo","No","Sí"))</f>
        <v/>
      </c>
      <c r="K4738" s="26" t="str">
        <f aca="false">IF(A4738="","",IF(AND(I4738="Sí",J4738="Sí"),"Sí","No"))</f>
        <v/>
      </c>
    </row>
    <row r="4739" customFormat="false" ht="15" hidden="false" customHeight="false" outlineLevel="0" collapsed="false">
      <c r="A4739" s="22"/>
      <c r="B4739" s="22"/>
      <c r="C4739" s="23" t="str">
        <f aca="false">IF(A4739="","",IFERROR(buscarx(A4739&amp;B4739,DATA!$E$3:$E$10000&amp;DATA!$B$3:$B$10000,DATA!$M$3:$M$10000),"No encontrado"))</f>
        <v/>
      </c>
      <c r="D4739" s="24" t="str">
        <f aca="false">IF(A4739="","",IFERROR(buscarx(A4739&amp;B4739,DATA!$E$3:$E$10000&amp;DATA!$B$3:$B$10000,DATA!$W$3:$W$10000),"No encontrado"))</f>
        <v/>
      </c>
      <c r="E4739" s="22"/>
      <c r="F4739" s="23" t="str">
        <f aca="false">IF(A4739="","",IFERROR(buscarx(A4739&amp;E4739,DATA!$E$3:$E$10000&amp;DATA!$B$3:$B$10000,DATA!$M$3:$M$10000),"Inactivo"))</f>
        <v/>
      </c>
      <c r="G4739" s="25" t="str">
        <f aca="false">IF(A4739="","",IF(AND(C4739&lt;&gt;"No encontrado",F4739&lt;&gt;"Inactivo"),C4739&amp;" → "&amp;F4739,"Sin transición"))</f>
        <v/>
      </c>
      <c r="H4739" s="23" t="str">
        <f aca="false">IF(A4739="","",IF(D4739="GCIA LINEA SERVICIO DIGITALIDAD Y VENTAS","Chats",IF(OR(D4739="GERENCIA INBOUND LÍNEAS SERVICIO Y VENTA",D4739="GERENCIA INBOUND LINEAS ESPECIALIZADAS"),"Llamadas","Otro")))</f>
        <v/>
      </c>
      <c r="I4739" s="23" t="str">
        <f aca="false">IF(A4739="","",IF(C4739="No encontrado","No","Sí"))</f>
        <v/>
      </c>
      <c r="J4739" s="23" t="str">
        <f aca="false">IF(A4739="","",IF(F4739="Inactivo","No","Sí"))</f>
        <v/>
      </c>
      <c r="K4739" s="23" t="str">
        <f aca="false">IF(A4739="","",IF(AND(I4739="Sí",J4739="Sí"),"Sí","No"))</f>
        <v/>
      </c>
    </row>
    <row r="4740" customFormat="false" ht="15" hidden="false" customHeight="false" outlineLevel="0" collapsed="false">
      <c r="A4740" s="22"/>
      <c r="B4740" s="22"/>
      <c r="C4740" s="26" t="str">
        <f aca="false">IF(A4740="","",IFERROR(buscarx(A4740&amp;B4740,DATA!$E$3:$E$10000&amp;DATA!$B$3:$B$10000,DATA!$M$3:$M$10000),"No encontrado"))</f>
        <v/>
      </c>
      <c r="D4740" s="27" t="str">
        <f aca="false">IF(A4740="","",IFERROR(buscarx(A4740&amp;B4740,DATA!$E$3:$E$10000&amp;DATA!$B$3:$B$10000,DATA!$W$3:$W$10000),"No encontrado"))</f>
        <v/>
      </c>
      <c r="E4740" s="22"/>
      <c r="F4740" s="26" t="str">
        <f aca="false">IF(A4740="","",IFERROR(buscarx(A4740&amp;E4740,DATA!$E$3:$E$10000&amp;DATA!$B$3:$B$10000,DATA!$M$3:$M$10000),"Inactivo"))</f>
        <v/>
      </c>
      <c r="G4740" s="28" t="str">
        <f aca="false">IF(A4740="","",IF(AND(C4740&lt;&gt;"No encontrado",F4740&lt;&gt;"Inactivo"),C4740&amp;" → "&amp;F4740,"Sin transición"))</f>
        <v/>
      </c>
      <c r="H4740" s="26" t="str">
        <f aca="false">IF(A4740="","",IF(D4740="GCIA LINEA SERVICIO DIGITALIDAD Y VENTAS","Chats",IF(OR(D4740="GERENCIA INBOUND LÍNEAS SERVICIO Y VENTA",D4740="GERENCIA INBOUND LINEAS ESPECIALIZADAS"),"Llamadas","Otro")))</f>
        <v/>
      </c>
      <c r="I4740" s="26" t="str">
        <f aca="false">IF(A4740="","",IF(C4740="No encontrado","No","Sí"))</f>
        <v/>
      </c>
      <c r="J4740" s="26" t="str">
        <f aca="false">IF(A4740="","",IF(F4740="Inactivo","No","Sí"))</f>
        <v/>
      </c>
      <c r="K4740" s="26" t="str">
        <f aca="false">IF(A4740="","",IF(AND(I4740="Sí",J4740="Sí"),"Sí","No"))</f>
        <v/>
      </c>
    </row>
    <row r="4741" customFormat="false" ht="15" hidden="false" customHeight="false" outlineLevel="0" collapsed="false">
      <c r="A4741" s="22"/>
      <c r="B4741" s="22"/>
      <c r="C4741" s="23" t="str">
        <f aca="false">IF(A4741="","",IFERROR(buscarx(A4741&amp;B4741,DATA!$E$3:$E$10000&amp;DATA!$B$3:$B$10000,DATA!$M$3:$M$10000),"No encontrado"))</f>
        <v/>
      </c>
      <c r="D4741" s="24" t="str">
        <f aca="false">IF(A4741="","",IFERROR(buscarx(A4741&amp;B4741,DATA!$E$3:$E$10000&amp;DATA!$B$3:$B$10000,DATA!$W$3:$W$10000),"No encontrado"))</f>
        <v/>
      </c>
      <c r="E4741" s="22"/>
      <c r="F4741" s="23" t="str">
        <f aca="false">IF(A4741="","",IFERROR(buscarx(A4741&amp;E4741,DATA!$E$3:$E$10000&amp;DATA!$B$3:$B$10000,DATA!$M$3:$M$10000),"Inactivo"))</f>
        <v/>
      </c>
      <c r="G4741" s="25" t="str">
        <f aca="false">IF(A4741="","",IF(AND(C4741&lt;&gt;"No encontrado",F4741&lt;&gt;"Inactivo"),C4741&amp;" → "&amp;F4741,"Sin transición"))</f>
        <v/>
      </c>
      <c r="H4741" s="23" t="str">
        <f aca="false">IF(A4741="","",IF(D4741="GCIA LINEA SERVICIO DIGITALIDAD Y VENTAS","Chats",IF(OR(D4741="GERENCIA INBOUND LÍNEAS SERVICIO Y VENTA",D4741="GERENCIA INBOUND LINEAS ESPECIALIZADAS"),"Llamadas","Otro")))</f>
        <v/>
      </c>
      <c r="I4741" s="23" t="str">
        <f aca="false">IF(A4741="","",IF(C4741="No encontrado","No","Sí"))</f>
        <v/>
      </c>
      <c r="J4741" s="23" t="str">
        <f aca="false">IF(A4741="","",IF(F4741="Inactivo","No","Sí"))</f>
        <v/>
      </c>
      <c r="K4741" s="23" t="str">
        <f aca="false">IF(A4741="","",IF(AND(I4741="Sí",J4741="Sí"),"Sí","No"))</f>
        <v/>
      </c>
    </row>
    <row r="4742" customFormat="false" ht="15" hidden="false" customHeight="false" outlineLevel="0" collapsed="false">
      <c r="A4742" s="22"/>
      <c r="B4742" s="22"/>
      <c r="C4742" s="26" t="str">
        <f aca="false">IF(A4742="","",IFERROR(buscarx(A4742&amp;B4742,DATA!$E$3:$E$10000&amp;DATA!$B$3:$B$10000,DATA!$M$3:$M$10000),"No encontrado"))</f>
        <v/>
      </c>
      <c r="D4742" s="27" t="str">
        <f aca="false">IF(A4742="","",IFERROR(buscarx(A4742&amp;B4742,DATA!$E$3:$E$10000&amp;DATA!$B$3:$B$10000,DATA!$W$3:$W$10000),"No encontrado"))</f>
        <v/>
      </c>
      <c r="E4742" s="22"/>
      <c r="F4742" s="26" t="str">
        <f aca="false">IF(A4742="","",IFERROR(buscarx(A4742&amp;E4742,DATA!$E$3:$E$10000&amp;DATA!$B$3:$B$10000,DATA!$M$3:$M$10000),"Inactivo"))</f>
        <v/>
      </c>
      <c r="G4742" s="28" t="str">
        <f aca="false">IF(A4742="","",IF(AND(C4742&lt;&gt;"No encontrado",F4742&lt;&gt;"Inactivo"),C4742&amp;" → "&amp;F4742,"Sin transición"))</f>
        <v/>
      </c>
      <c r="H4742" s="26" t="str">
        <f aca="false">IF(A4742="","",IF(D4742="GCIA LINEA SERVICIO DIGITALIDAD Y VENTAS","Chats",IF(OR(D4742="GERENCIA INBOUND LÍNEAS SERVICIO Y VENTA",D4742="GERENCIA INBOUND LINEAS ESPECIALIZADAS"),"Llamadas","Otro")))</f>
        <v/>
      </c>
      <c r="I4742" s="26" t="str">
        <f aca="false">IF(A4742="","",IF(C4742="No encontrado","No","Sí"))</f>
        <v/>
      </c>
      <c r="J4742" s="26" t="str">
        <f aca="false">IF(A4742="","",IF(F4742="Inactivo","No","Sí"))</f>
        <v/>
      </c>
      <c r="K4742" s="26" t="str">
        <f aca="false">IF(A4742="","",IF(AND(I4742="Sí",J4742="Sí"),"Sí","No"))</f>
        <v/>
      </c>
    </row>
    <row r="4743" customFormat="false" ht="15" hidden="false" customHeight="false" outlineLevel="0" collapsed="false">
      <c r="A4743" s="22"/>
      <c r="B4743" s="22"/>
      <c r="C4743" s="23" t="str">
        <f aca="false">IF(A4743="","",IFERROR(buscarx(A4743&amp;B4743,DATA!$E$3:$E$10000&amp;DATA!$B$3:$B$10000,DATA!$M$3:$M$10000),"No encontrado"))</f>
        <v/>
      </c>
      <c r="D4743" s="24" t="str">
        <f aca="false">IF(A4743="","",IFERROR(buscarx(A4743&amp;B4743,DATA!$E$3:$E$10000&amp;DATA!$B$3:$B$10000,DATA!$W$3:$W$10000),"No encontrado"))</f>
        <v/>
      </c>
      <c r="E4743" s="22"/>
      <c r="F4743" s="23" t="str">
        <f aca="false">IF(A4743="","",IFERROR(buscarx(A4743&amp;E4743,DATA!$E$3:$E$10000&amp;DATA!$B$3:$B$10000,DATA!$M$3:$M$10000),"Inactivo"))</f>
        <v/>
      </c>
      <c r="G4743" s="25" t="str">
        <f aca="false">IF(A4743="","",IF(AND(C4743&lt;&gt;"No encontrado",F4743&lt;&gt;"Inactivo"),C4743&amp;" → "&amp;F4743,"Sin transición"))</f>
        <v/>
      </c>
      <c r="H4743" s="23" t="str">
        <f aca="false">IF(A4743="","",IF(D4743="GCIA LINEA SERVICIO DIGITALIDAD Y VENTAS","Chats",IF(OR(D4743="GERENCIA INBOUND LÍNEAS SERVICIO Y VENTA",D4743="GERENCIA INBOUND LINEAS ESPECIALIZADAS"),"Llamadas","Otro")))</f>
        <v/>
      </c>
      <c r="I4743" s="23" t="str">
        <f aca="false">IF(A4743="","",IF(C4743="No encontrado","No","Sí"))</f>
        <v/>
      </c>
      <c r="J4743" s="23" t="str">
        <f aca="false">IF(A4743="","",IF(F4743="Inactivo","No","Sí"))</f>
        <v/>
      </c>
      <c r="K4743" s="23" t="str">
        <f aca="false">IF(A4743="","",IF(AND(I4743="Sí",J4743="Sí"),"Sí","No"))</f>
        <v/>
      </c>
    </row>
    <row r="4744" customFormat="false" ht="15" hidden="false" customHeight="false" outlineLevel="0" collapsed="false">
      <c r="A4744" s="22"/>
      <c r="B4744" s="22"/>
      <c r="C4744" s="26" t="str">
        <f aca="false">IF(A4744="","",IFERROR(buscarx(A4744&amp;B4744,DATA!$E$3:$E$10000&amp;DATA!$B$3:$B$10000,DATA!$M$3:$M$10000),"No encontrado"))</f>
        <v/>
      </c>
      <c r="D4744" s="27" t="str">
        <f aca="false">IF(A4744="","",IFERROR(buscarx(A4744&amp;B4744,DATA!$E$3:$E$10000&amp;DATA!$B$3:$B$10000,DATA!$W$3:$W$10000),"No encontrado"))</f>
        <v/>
      </c>
      <c r="E4744" s="22"/>
      <c r="F4744" s="26" t="str">
        <f aca="false">IF(A4744="","",IFERROR(buscarx(A4744&amp;E4744,DATA!$E$3:$E$10000&amp;DATA!$B$3:$B$10000,DATA!$M$3:$M$10000),"Inactivo"))</f>
        <v/>
      </c>
      <c r="G4744" s="28" t="str">
        <f aca="false">IF(A4744="","",IF(AND(C4744&lt;&gt;"No encontrado",F4744&lt;&gt;"Inactivo"),C4744&amp;" → "&amp;F4744,"Sin transición"))</f>
        <v/>
      </c>
      <c r="H4744" s="26" t="str">
        <f aca="false">IF(A4744="","",IF(D4744="GCIA LINEA SERVICIO DIGITALIDAD Y VENTAS","Chats",IF(OR(D4744="GERENCIA INBOUND LÍNEAS SERVICIO Y VENTA",D4744="GERENCIA INBOUND LINEAS ESPECIALIZADAS"),"Llamadas","Otro")))</f>
        <v/>
      </c>
      <c r="I4744" s="26" t="str">
        <f aca="false">IF(A4744="","",IF(C4744="No encontrado","No","Sí"))</f>
        <v/>
      </c>
      <c r="J4744" s="26" t="str">
        <f aca="false">IF(A4744="","",IF(F4744="Inactivo","No","Sí"))</f>
        <v/>
      </c>
      <c r="K4744" s="26" t="str">
        <f aca="false">IF(A4744="","",IF(AND(I4744="Sí",J4744="Sí"),"Sí","No"))</f>
        <v/>
      </c>
    </row>
    <row r="4745" customFormat="false" ht="15" hidden="false" customHeight="false" outlineLevel="0" collapsed="false">
      <c r="A4745" s="22"/>
      <c r="B4745" s="22"/>
      <c r="C4745" s="23" t="str">
        <f aca="false">IF(A4745="","",IFERROR(buscarx(A4745&amp;B4745,DATA!$E$3:$E$10000&amp;DATA!$B$3:$B$10000,DATA!$M$3:$M$10000),"No encontrado"))</f>
        <v/>
      </c>
      <c r="D4745" s="24" t="str">
        <f aca="false">IF(A4745="","",IFERROR(buscarx(A4745&amp;B4745,DATA!$E$3:$E$10000&amp;DATA!$B$3:$B$10000,DATA!$W$3:$W$10000),"No encontrado"))</f>
        <v/>
      </c>
      <c r="E4745" s="22"/>
      <c r="F4745" s="23" t="str">
        <f aca="false">IF(A4745="","",IFERROR(buscarx(A4745&amp;E4745,DATA!$E$3:$E$10000&amp;DATA!$B$3:$B$10000,DATA!$M$3:$M$10000),"Inactivo"))</f>
        <v/>
      </c>
      <c r="G4745" s="25" t="str">
        <f aca="false">IF(A4745="","",IF(AND(C4745&lt;&gt;"No encontrado",F4745&lt;&gt;"Inactivo"),C4745&amp;" → "&amp;F4745,"Sin transición"))</f>
        <v/>
      </c>
      <c r="H4745" s="23" t="str">
        <f aca="false">IF(A4745="","",IF(D4745="GCIA LINEA SERVICIO DIGITALIDAD Y VENTAS","Chats",IF(OR(D4745="GERENCIA INBOUND LÍNEAS SERVICIO Y VENTA",D4745="GERENCIA INBOUND LINEAS ESPECIALIZADAS"),"Llamadas","Otro")))</f>
        <v/>
      </c>
      <c r="I4745" s="23" t="str">
        <f aca="false">IF(A4745="","",IF(C4745="No encontrado","No","Sí"))</f>
        <v/>
      </c>
      <c r="J4745" s="23" t="str">
        <f aca="false">IF(A4745="","",IF(F4745="Inactivo","No","Sí"))</f>
        <v/>
      </c>
      <c r="K4745" s="23" t="str">
        <f aca="false">IF(A4745="","",IF(AND(I4745="Sí",J4745="Sí"),"Sí","No"))</f>
        <v/>
      </c>
    </row>
    <row r="4746" customFormat="false" ht="15" hidden="false" customHeight="false" outlineLevel="0" collapsed="false">
      <c r="A4746" s="22"/>
      <c r="B4746" s="22"/>
      <c r="C4746" s="26" t="str">
        <f aca="false">IF(A4746="","",IFERROR(buscarx(A4746&amp;B4746,DATA!$E$3:$E$10000&amp;DATA!$B$3:$B$10000,DATA!$M$3:$M$10000),"No encontrado"))</f>
        <v/>
      </c>
      <c r="D4746" s="27" t="str">
        <f aca="false">IF(A4746="","",IFERROR(buscarx(A4746&amp;B4746,DATA!$E$3:$E$10000&amp;DATA!$B$3:$B$10000,DATA!$W$3:$W$10000),"No encontrado"))</f>
        <v/>
      </c>
      <c r="E4746" s="22"/>
      <c r="F4746" s="26" t="str">
        <f aca="false">IF(A4746="","",IFERROR(buscarx(A4746&amp;E4746,DATA!$E$3:$E$10000&amp;DATA!$B$3:$B$10000,DATA!$M$3:$M$10000),"Inactivo"))</f>
        <v/>
      </c>
      <c r="G4746" s="28" t="str">
        <f aca="false">IF(A4746="","",IF(AND(C4746&lt;&gt;"No encontrado",F4746&lt;&gt;"Inactivo"),C4746&amp;" → "&amp;F4746,"Sin transición"))</f>
        <v/>
      </c>
      <c r="H4746" s="26" t="str">
        <f aca="false">IF(A4746="","",IF(D4746="GCIA LINEA SERVICIO DIGITALIDAD Y VENTAS","Chats",IF(OR(D4746="GERENCIA INBOUND LÍNEAS SERVICIO Y VENTA",D4746="GERENCIA INBOUND LINEAS ESPECIALIZADAS"),"Llamadas","Otro")))</f>
        <v/>
      </c>
      <c r="I4746" s="26" t="str">
        <f aca="false">IF(A4746="","",IF(C4746="No encontrado","No","Sí"))</f>
        <v/>
      </c>
      <c r="J4746" s="26" t="str">
        <f aca="false">IF(A4746="","",IF(F4746="Inactivo","No","Sí"))</f>
        <v/>
      </c>
      <c r="K4746" s="26" t="str">
        <f aca="false">IF(A4746="","",IF(AND(I4746="Sí",J4746="Sí"),"Sí","No"))</f>
        <v/>
      </c>
    </row>
    <row r="4747" customFormat="false" ht="15" hidden="false" customHeight="false" outlineLevel="0" collapsed="false">
      <c r="A4747" s="22"/>
      <c r="B4747" s="22"/>
      <c r="C4747" s="23" t="str">
        <f aca="false">IF(A4747="","",IFERROR(buscarx(A4747&amp;B4747,DATA!$E$3:$E$10000&amp;DATA!$B$3:$B$10000,DATA!$M$3:$M$10000),"No encontrado"))</f>
        <v/>
      </c>
      <c r="D4747" s="24" t="str">
        <f aca="false">IF(A4747="","",IFERROR(buscarx(A4747&amp;B4747,DATA!$E$3:$E$10000&amp;DATA!$B$3:$B$10000,DATA!$W$3:$W$10000),"No encontrado"))</f>
        <v/>
      </c>
      <c r="E4747" s="22"/>
      <c r="F4747" s="23" t="str">
        <f aca="false">IF(A4747="","",IFERROR(buscarx(A4747&amp;E4747,DATA!$E$3:$E$10000&amp;DATA!$B$3:$B$10000,DATA!$M$3:$M$10000),"Inactivo"))</f>
        <v/>
      </c>
      <c r="G4747" s="25" t="str">
        <f aca="false">IF(A4747="","",IF(AND(C4747&lt;&gt;"No encontrado",F4747&lt;&gt;"Inactivo"),C4747&amp;" → "&amp;F4747,"Sin transición"))</f>
        <v/>
      </c>
      <c r="H4747" s="23" t="str">
        <f aca="false">IF(A4747="","",IF(D4747="GCIA LINEA SERVICIO DIGITALIDAD Y VENTAS","Chats",IF(OR(D4747="GERENCIA INBOUND LÍNEAS SERVICIO Y VENTA",D4747="GERENCIA INBOUND LINEAS ESPECIALIZADAS"),"Llamadas","Otro")))</f>
        <v/>
      </c>
      <c r="I4747" s="23" t="str">
        <f aca="false">IF(A4747="","",IF(C4747="No encontrado","No","Sí"))</f>
        <v/>
      </c>
      <c r="J4747" s="23" t="str">
        <f aca="false">IF(A4747="","",IF(F4747="Inactivo","No","Sí"))</f>
        <v/>
      </c>
      <c r="K4747" s="23" t="str">
        <f aca="false">IF(A4747="","",IF(AND(I4747="Sí",J4747="Sí"),"Sí","No"))</f>
        <v/>
      </c>
    </row>
    <row r="4748" customFormat="false" ht="15" hidden="false" customHeight="false" outlineLevel="0" collapsed="false">
      <c r="A4748" s="22"/>
      <c r="B4748" s="22"/>
      <c r="C4748" s="26" t="str">
        <f aca="false">IF(A4748="","",IFERROR(buscarx(A4748&amp;B4748,DATA!$E$3:$E$10000&amp;DATA!$B$3:$B$10000,DATA!$M$3:$M$10000),"No encontrado"))</f>
        <v/>
      </c>
      <c r="D4748" s="27" t="str">
        <f aca="false">IF(A4748="","",IFERROR(buscarx(A4748&amp;B4748,DATA!$E$3:$E$10000&amp;DATA!$B$3:$B$10000,DATA!$W$3:$W$10000),"No encontrado"))</f>
        <v/>
      </c>
      <c r="E4748" s="22"/>
      <c r="F4748" s="26" t="str">
        <f aca="false">IF(A4748="","",IFERROR(buscarx(A4748&amp;E4748,DATA!$E$3:$E$10000&amp;DATA!$B$3:$B$10000,DATA!$M$3:$M$10000),"Inactivo"))</f>
        <v/>
      </c>
      <c r="G4748" s="28" t="str">
        <f aca="false">IF(A4748="","",IF(AND(C4748&lt;&gt;"No encontrado",F4748&lt;&gt;"Inactivo"),C4748&amp;" → "&amp;F4748,"Sin transición"))</f>
        <v/>
      </c>
      <c r="H4748" s="26" t="str">
        <f aca="false">IF(A4748="","",IF(D4748="GCIA LINEA SERVICIO DIGITALIDAD Y VENTAS","Chats",IF(OR(D4748="GERENCIA INBOUND LÍNEAS SERVICIO Y VENTA",D4748="GERENCIA INBOUND LINEAS ESPECIALIZADAS"),"Llamadas","Otro")))</f>
        <v/>
      </c>
      <c r="I4748" s="26" t="str">
        <f aca="false">IF(A4748="","",IF(C4748="No encontrado","No","Sí"))</f>
        <v/>
      </c>
      <c r="J4748" s="26" t="str">
        <f aca="false">IF(A4748="","",IF(F4748="Inactivo","No","Sí"))</f>
        <v/>
      </c>
      <c r="K4748" s="26" t="str">
        <f aca="false">IF(A4748="","",IF(AND(I4748="Sí",J4748="Sí"),"Sí","No"))</f>
        <v/>
      </c>
    </row>
    <row r="4749" customFormat="false" ht="15" hidden="false" customHeight="false" outlineLevel="0" collapsed="false">
      <c r="A4749" s="22"/>
      <c r="B4749" s="22"/>
      <c r="C4749" s="23" t="str">
        <f aca="false">IF(A4749="","",IFERROR(buscarx(A4749&amp;B4749,DATA!$E$3:$E$10000&amp;DATA!$B$3:$B$10000,DATA!$M$3:$M$10000),"No encontrado"))</f>
        <v/>
      </c>
      <c r="D4749" s="24" t="str">
        <f aca="false">IF(A4749="","",IFERROR(buscarx(A4749&amp;B4749,DATA!$E$3:$E$10000&amp;DATA!$B$3:$B$10000,DATA!$W$3:$W$10000),"No encontrado"))</f>
        <v/>
      </c>
      <c r="E4749" s="22"/>
      <c r="F4749" s="23" t="str">
        <f aca="false">IF(A4749="","",IFERROR(buscarx(A4749&amp;E4749,DATA!$E$3:$E$10000&amp;DATA!$B$3:$B$10000,DATA!$M$3:$M$10000),"Inactivo"))</f>
        <v/>
      </c>
      <c r="G4749" s="25" t="str">
        <f aca="false">IF(A4749="","",IF(AND(C4749&lt;&gt;"No encontrado",F4749&lt;&gt;"Inactivo"),C4749&amp;" → "&amp;F4749,"Sin transición"))</f>
        <v/>
      </c>
      <c r="H4749" s="23" t="str">
        <f aca="false">IF(A4749="","",IF(D4749="GCIA LINEA SERVICIO DIGITALIDAD Y VENTAS","Chats",IF(OR(D4749="GERENCIA INBOUND LÍNEAS SERVICIO Y VENTA",D4749="GERENCIA INBOUND LINEAS ESPECIALIZADAS"),"Llamadas","Otro")))</f>
        <v/>
      </c>
      <c r="I4749" s="23" t="str">
        <f aca="false">IF(A4749="","",IF(C4749="No encontrado","No","Sí"))</f>
        <v/>
      </c>
      <c r="J4749" s="23" t="str">
        <f aca="false">IF(A4749="","",IF(F4749="Inactivo","No","Sí"))</f>
        <v/>
      </c>
      <c r="K4749" s="23" t="str">
        <f aca="false">IF(A4749="","",IF(AND(I4749="Sí",J4749="Sí"),"Sí","No"))</f>
        <v/>
      </c>
    </row>
    <row r="4750" customFormat="false" ht="15" hidden="false" customHeight="false" outlineLevel="0" collapsed="false">
      <c r="A4750" s="22"/>
      <c r="B4750" s="22"/>
      <c r="C4750" s="26" t="str">
        <f aca="false">IF(A4750="","",IFERROR(buscarx(A4750&amp;B4750,DATA!$E$3:$E$10000&amp;DATA!$B$3:$B$10000,DATA!$M$3:$M$10000),"No encontrado"))</f>
        <v/>
      </c>
      <c r="D4750" s="27" t="str">
        <f aca="false">IF(A4750="","",IFERROR(buscarx(A4750&amp;B4750,DATA!$E$3:$E$10000&amp;DATA!$B$3:$B$10000,DATA!$W$3:$W$10000),"No encontrado"))</f>
        <v/>
      </c>
      <c r="E4750" s="22"/>
      <c r="F4750" s="26" t="str">
        <f aca="false">IF(A4750="","",IFERROR(buscarx(A4750&amp;E4750,DATA!$E$3:$E$10000&amp;DATA!$B$3:$B$10000,DATA!$M$3:$M$10000),"Inactivo"))</f>
        <v/>
      </c>
      <c r="G4750" s="28" t="str">
        <f aca="false">IF(A4750="","",IF(AND(C4750&lt;&gt;"No encontrado",F4750&lt;&gt;"Inactivo"),C4750&amp;" → "&amp;F4750,"Sin transición"))</f>
        <v/>
      </c>
      <c r="H4750" s="26" t="str">
        <f aca="false">IF(A4750="","",IF(D4750="GCIA LINEA SERVICIO DIGITALIDAD Y VENTAS","Chats",IF(OR(D4750="GERENCIA INBOUND LÍNEAS SERVICIO Y VENTA",D4750="GERENCIA INBOUND LINEAS ESPECIALIZADAS"),"Llamadas","Otro")))</f>
        <v/>
      </c>
      <c r="I4750" s="26" t="str">
        <f aca="false">IF(A4750="","",IF(C4750="No encontrado","No","Sí"))</f>
        <v/>
      </c>
      <c r="J4750" s="26" t="str">
        <f aca="false">IF(A4750="","",IF(F4750="Inactivo","No","Sí"))</f>
        <v/>
      </c>
      <c r="K4750" s="26" t="str">
        <f aca="false">IF(A4750="","",IF(AND(I4750="Sí",J4750="Sí"),"Sí","No"))</f>
        <v/>
      </c>
    </row>
    <row r="4751" customFormat="false" ht="15" hidden="false" customHeight="false" outlineLevel="0" collapsed="false">
      <c r="A4751" s="22"/>
      <c r="B4751" s="22"/>
      <c r="C4751" s="23" t="str">
        <f aca="false">IF(A4751="","",IFERROR(buscarx(A4751&amp;B4751,DATA!$E$3:$E$10000&amp;DATA!$B$3:$B$10000,DATA!$M$3:$M$10000),"No encontrado"))</f>
        <v/>
      </c>
      <c r="D4751" s="24" t="str">
        <f aca="false">IF(A4751="","",IFERROR(buscarx(A4751&amp;B4751,DATA!$E$3:$E$10000&amp;DATA!$B$3:$B$10000,DATA!$W$3:$W$10000),"No encontrado"))</f>
        <v/>
      </c>
      <c r="E4751" s="22"/>
      <c r="F4751" s="23" t="str">
        <f aca="false">IF(A4751="","",IFERROR(buscarx(A4751&amp;E4751,DATA!$E$3:$E$10000&amp;DATA!$B$3:$B$10000,DATA!$M$3:$M$10000),"Inactivo"))</f>
        <v/>
      </c>
      <c r="G4751" s="25" t="str">
        <f aca="false">IF(A4751="","",IF(AND(C4751&lt;&gt;"No encontrado",F4751&lt;&gt;"Inactivo"),C4751&amp;" → "&amp;F4751,"Sin transición"))</f>
        <v/>
      </c>
      <c r="H4751" s="23" t="str">
        <f aca="false">IF(A4751="","",IF(D4751="GCIA LINEA SERVICIO DIGITALIDAD Y VENTAS","Chats",IF(OR(D4751="GERENCIA INBOUND LÍNEAS SERVICIO Y VENTA",D4751="GERENCIA INBOUND LINEAS ESPECIALIZADAS"),"Llamadas","Otro")))</f>
        <v/>
      </c>
      <c r="I4751" s="23" t="str">
        <f aca="false">IF(A4751="","",IF(C4751="No encontrado","No","Sí"))</f>
        <v/>
      </c>
      <c r="J4751" s="23" t="str">
        <f aca="false">IF(A4751="","",IF(F4751="Inactivo","No","Sí"))</f>
        <v/>
      </c>
      <c r="K4751" s="23" t="str">
        <f aca="false">IF(A4751="","",IF(AND(I4751="Sí",J4751="Sí"),"Sí","No"))</f>
        <v/>
      </c>
    </row>
    <row r="4752" customFormat="false" ht="15" hidden="false" customHeight="false" outlineLevel="0" collapsed="false">
      <c r="A4752" s="22"/>
      <c r="B4752" s="22"/>
      <c r="C4752" s="26" t="str">
        <f aca="false">IF(A4752="","",IFERROR(buscarx(A4752&amp;B4752,DATA!$E$3:$E$10000&amp;DATA!$B$3:$B$10000,DATA!$M$3:$M$10000),"No encontrado"))</f>
        <v/>
      </c>
      <c r="D4752" s="27" t="str">
        <f aca="false">IF(A4752="","",IFERROR(buscarx(A4752&amp;B4752,DATA!$E$3:$E$10000&amp;DATA!$B$3:$B$10000,DATA!$W$3:$W$10000),"No encontrado"))</f>
        <v/>
      </c>
      <c r="E4752" s="22"/>
      <c r="F4752" s="26" t="str">
        <f aca="false">IF(A4752="","",IFERROR(buscarx(A4752&amp;E4752,DATA!$E$3:$E$10000&amp;DATA!$B$3:$B$10000,DATA!$M$3:$M$10000),"Inactivo"))</f>
        <v/>
      </c>
      <c r="G4752" s="28" t="str">
        <f aca="false">IF(A4752="","",IF(AND(C4752&lt;&gt;"No encontrado",F4752&lt;&gt;"Inactivo"),C4752&amp;" → "&amp;F4752,"Sin transición"))</f>
        <v/>
      </c>
      <c r="H4752" s="26" t="str">
        <f aca="false">IF(A4752="","",IF(D4752="GCIA LINEA SERVICIO DIGITALIDAD Y VENTAS","Chats",IF(OR(D4752="GERENCIA INBOUND LÍNEAS SERVICIO Y VENTA",D4752="GERENCIA INBOUND LINEAS ESPECIALIZADAS"),"Llamadas","Otro")))</f>
        <v/>
      </c>
      <c r="I4752" s="26" t="str">
        <f aca="false">IF(A4752="","",IF(C4752="No encontrado","No","Sí"))</f>
        <v/>
      </c>
      <c r="J4752" s="26" t="str">
        <f aca="false">IF(A4752="","",IF(F4752="Inactivo","No","Sí"))</f>
        <v/>
      </c>
      <c r="K4752" s="26" t="str">
        <f aca="false">IF(A4752="","",IF(AND(I4752="Sí",J4752="Sí"),"Sí","No"))</f>
        <v/>
      </c>
    </row>
    <row r="4753" customFormat="false" ht="15" hidden="false" customHeight="false" outlineLevel="0" collapsed="false">
      <c r="A4753" s="22"/>
      <c r="B4753" s="22"/>
      <c r="C4753" s="23" t="str">
        <f aca="false">IF(A4753="","",IFERROR(buscarx(A4753&amp;B4753,DATA!$E$3:$E$10000&amp;DATA!$B$3:$B$10000,DATA!$M$3:$M$10000),"No encontrado"))</f>
        <v/>
      </c>
      <c r="D4753" s="24" t="str">
        <f aca="false">IF(A4753="","",IFERROR(buscarx(A4753&amp;B4753,DATA!$E$3:$E$10000&amp;DATA!$B$3:$B$10000,DATA!$W$3:$W$10000),"No encontrado"))</f>
        <v/>
      </c>
      <c r="E4753" s="22"/>
      <c r="F4753" s="23" t="str">
        <f aca="false">IF(A4753="","",IFERROR(buscarx(A4753&amp;E4753,DATA!$E$3:$E$10000&amp;DATA!$B$3:$B$10000,DATA!$M$3:$M$10000),"Inactivo"))</f>
        <v/>
      </c>
      <c r="G4753" s="25" t="str">
        <f aca="false">IF(A4753="","",IF(AND(C4753&lt;&gt;"No encontrado",F4753&lt;&gt;"Inactivo"),C4753&amp;" → "&amp;F4753,"Sin transición"))</f>
        <v/>
      </c>
      <c r="H4753" s="23" t="str">
        <f aca="false">IF(A4753="","",IF(D4753="GCIA LINEA SERVICIO DIGITALIDAD Y VENTAS","Chats",IF(OR(D4753="GERENCIA INBOUND LÍNEAS SERVICIO Y VENTA",D4753="GERENCIA INBOUND LINEAS ESPECIALIZADAS"),"Llamadas","Otro")))</f>
        <v/>
      </c>
      <c r="I4753" s="23" t="str">
        <f aca="false">IF(A4753="","",IF(C4753="No encontrado","No","Sí"))</f>
        <v/>
      </c>
      <c r="J4753" s="23" t="str">
        <f aca="false">IF(A4753="","",IF(F4753="Inactivo","No","Sí"))</f>
        <v/>
      </c>
      <c r="K4753" s="23" t="str">
        <f aca="false">IF(A4753="","",IF(AND(I4753="Sí",J4753="Sí"),"Sí","No"))</f>
        <v/>
      </c>
    </row>
    <row r="4754" customFormat="false" ht="15" hidden="false" customHeight="false" outlineLevel="0" collapsed="false">
      <c r="A4754" s="22"/>
      <c r="B4754" s="22"/>
      <c r="C4754" s="26" t="str">
        <f aca="false">IF(A4754="","",IFERROR(buscarx(A4754&amp;B4754,DATA!$E$3:$E$10000&amp;DATA!$B$3:$B$10000,DATA!$M$3:$M$10000),"No encontrado"))</f>
        <v/>
      </c>
      <c r="D4754" s="27" t="str">
        <f aca="false">IF(A4754="","",IFERROR(buscarx(A4754&amp;B4754,DATA!$E$3:$E$10000&amp;DATA!$B$3:$B$10000,DATA!$W$3:$W$10000),"No encontrado"))</f>
        <v/>
      </c>
      <c r="E4754" s="22"/>
      <c r="F4754" s="26" t="str">
        <f aca="false">IF(A4754="","",IFERROR(buscarx(A4754&amp;E4754,DATA!$E$3:$E$10000&amp;DATA!$B$3:$B$10000,DATA!$M$3:$M$10000),"Inactivo"))</f>
        <v/>
      </c>
      <c r="G4754" s="28" t="str">
        <f aca="false">IF(A4754="","",IF(AND(C4754&lt;&gt;"No encontrado",F4754&lt;&gt;"Inactivo"),C4754&amp;" → "&amp;F4754,"Sin transición"))</f>
        <v/>
      </c>
      <c r="H4754" s="26" t="str">
        <f aca="false">IF(A4754="","",IF(D4754="GCIA LINEA SERVICIO DIGITALIDAD Y VENTAS","Chats",IF(OR(D4754="GERENCIA INBOUND LÍNEAS SERVICIO Y VENTA",D4754="GERENCIA INBOUND LINEAS ESPECIALIZADAS"),"Llamadas","Otro")))</f>
        <v/>
      </c>
      <c r="I4754" s="26" t="str">
        <f aca="false">IF(A4754="","",IF(C4754="No encontrado","No","Sí"))</f>
        <v/>
      </c>
      <c r="J4754" s="26" t="str">
        <f aca="false">IF(A4754="","",IF(F4754="Inactivo","No","Sí"))</f>
        <v/>
      </c>
      <c r="K4754" s="26" t="str">
        <f aca="false">IF(A4754="","",IF(AND(I4754="Sí",J4754="Sí"),"Sí","No"))</f>
        <v/>
      </c>
    </row>
    <row r="4755" customFormat="false" ht="15" hidden="false" customHeight="false" outlineLevel="0" collapsed="false">
      <c r="A4755" s="22"/>
      <c r="B4755" s="22"/>
      <c r="C4755" s="23" t="str">
        <f aca="false">IF(A4755="","",IFERROR(buscarx(A4755&amp;B4755,DATA!$E$3:$E$10000&amp;DATA!$B$3:$B$10000,DATA!$M$3:$M$10000),"No encontrado"))</f>
        <v/>
      </c>
      <c r="D4755" s="24" t="str">
        <f aca="false">IF(A4755="","",IFERROR(buscarx(A4755&amp;B4755,DATA!$E$3:$E$10000&amp;DATA!$B$3:$B$10000,DATA!$W$3:$W$10000),"No encontrado"))</f>
        <v/>
      </c>
      <c r="E4755" s="22"/>
      <c r="F4755" s="23" t="str">
        <f aca="false">IF(A4755="","",IFERROR(buscarx(A4755&amp;E4755,DATA!$E$3:$E$10000&amp;DATA!$B$3:$B$10000,DATA!$M$3:$M$10000),"Inactivo"))</f>
        <v/>
      </c>
      <c r="G4755" s="25" t="str">
        <f aca="false">IF(A4755="","",IF(AND(C4755&lt;&gt;"No encontrado",F4755&lt;&gt;"Inactivo"),C4755&amp;" → "&amp;F4755,"Sin transición"))</f>
        <v/>
      </c>
      <c r="H4755" s="23" t="str">
        <f aca="false">IF(A4755="","",IF(D4755="GCIA LINEA SERVICIO DIGITALIDAD Y VENTAS","Chats",IF(OR(D4755="GERENCIA INBOUND LÍNEAS SERVICIO Y VENTA",D4755="GERENCIA INBOUND LINEAS ESPECIALIZADAS"),"Llamadas","Otro")))</f>
        <v/>
      </c>
      <c r="I4755" s="23" t="str">
        <f aca="false">IF(A4755="","",IF(C4755="No encontrado","No","Sí"))</f>
        <v/>
      </c>
      <c r="J4755" s="23" t="str">
        <f aca="false">IF(A4755="","",IF(F4755="Inactivo","No","Sí"))</f>
        <v/>
      </c>
      <c r="K4755" s="23" t="str">
        <f aca="false">IF(A4755="","",IF(AND(I4755="Sí",J4755="Sí"),"Sí","No"))</f>
        <v/>
      </c>
    </row>
    <row r="4756" customFormat="false" ht="15" hidden="false" customHeight="false" outlineLevel="0" collapsed="false">
      <c r="A4756" s="22"/>
      <c r="B4756" s="22"/>
      <c r="C4756" s="26" t="str">
        <f aca="false">IF(A4756="","",IFERROR(buscarx(A4756&amp;B4756,DATA!$E$3:$E$10000&amp;DATA!$B$3:$B$10000,DATA!$M$3:$M$10000),"No encontrado"))</f>
        <v/>
      </c>
      <c r="D4756" s="27" t="str">
        <f aca="false">IF(A4756="","",IFERROR(buscarx(A4756&amp;B4756,DATA!$E$3:$E$10000&amp;DATA!$B$3:$B$10000,DATA!$W$3:$W$10000),"No encontrado"))</f>
        <v/>
      </c>
      <c r="E4756" s="22"/>
      <c r="F4756" s="26" t="str">
        <f aca="false">IF(A4756="","",IFERROR(buscarx(A4756&amp;E4756,DATA!$E$3:$E$10000&amp;DATA!$B$3:$B$10000,DATA!$M$3:$M$10000),"Inactivo"))</f>
        <v/>
      </c>
      <c r="G4756" s="28" t="str">
        <f aca="false">IF(A4756="","",IF(AND(C4756&lt;&gt;"No encontrado",F4756&lt;&gt;"Inactivo"),C4756&amp;" → "&amp;F4756,"Sin transición"))</f>
        <v/>
      </c>
      <c r="H4756" s="26" t="str">
        <f aca="false">IF(A4756="","",IF(D4756="GCIA LINEA SERVICIO DIGITALIDAD Y VENTAS","Chats",IF(OR(D4756="GERENCIA INBOUND LÍNEAS SERVICIO Y VENTA",D4756="GERENCIA INBOUND LINEAS ESPECIALIZADAS"),"Llamadas","Otro")))</f>
        <v/>
      </c>
      <c r="I4756" s="26" t="str">
        <f aca="false">IF(A4756="","",IF(C4756="No encontrado","No","Sí"))</f>
        <v/>
      </c>
      <c r="J4756" s="26" t="str">
        <f aca="false">IF(A4756="","",IF(F4756="Inactivo","No","Sí"))</f>
        <v/>
      </c>
      <c r="K4756" s="26" t="str">
        <f aca="false">IF(A4756="","",IF(AND(I4756="Sí",J4756="Sí"),"Sí","No"))</f>
        <v/>
      </c>
    </row>
    <row r="4757" customFormat="false" ht="15" hidden="false" customHeight="false" outlineLevel="0" collapsed="false">
      <c r="A4757" s="22"/>
      <c r="B4757" s="22"/>
      <c r="C4757" s="23" t="str">
        <f aca="false">IF(A4757="","",IFERROR(buscarx(A4757&amp;B4757,DATA!$E$3:$E$10000&amp;DATA!$B$3:$B$10000,DATA!$M$3:$M$10000),"No encontrado"))</f>
        <v/>
      </c>
      <c r="D4757" s="24" t="str">
        <f aca="false">IF(A4757="","",IFERROR(buscarx(A4757&amp;B4757,DATA!$E$3:$E$10000&amp;DATA!$B$3:$B$10000,DATA!$W$3:$W$10000),"No encontrado"))</f>
        <v/>
      </c>
      <c r="E4757" s="22"/>
      <c r="F4757" s="23" t="str">
        <f aca="false">IF(A4757="","",IFERROR(buscarx(A4757&amp;E4757,DATA!$E$3:$E$10000&amp;DATA!$B$3:$B$10000,DATA!$M$3:$M$10000),"Inactivo"))</f>
        <v/>
      </c>
      <c r="G4757" s="25" t="str">
        <f aca="false">IF(A4757="","",IF(AND(C4757&lt;&gt;"No encontrado",F4757&lt;&gt;"Inactivo"),C4757&amp;" → "&amp;F4757,"Sin transición"))</f>
        <v/>
      </c>
      <c r="H4757" s="23" t="str">
        <f aca="false">IF(A4757="","",IF(D4757="GCIA LINEA SERVICIO DIGITALIDAD Y VENTAS","Chats",IF(OR(D4757="GERENCIA INBOUND LÍNEAS SERVICIO Y VENTA",D4757="GERENCIA INBOUND LINEAS ESPECIALIZADAS"),"Llamadas","Otro")))</f>
        <v/>
      </c>
      <c r="I4757" s="23" t="str">
        <f aca="false">IF(A4757="","",IF(C4757="No encontrado","No","Sí"))</f>
        <v/>
      </c>
      <c r="J4757" s="23" t="str">
        <f aca="false">IF(A4757="","",IF(F4757="Inactivo","No","Sí"))</f>
        <v/>
      </c>
      <c r="K4757" s="23" t="str">
        <f aca="false">IF(A4757="","",IF(AND(I4757="Sí",J4757="Sí"),"Sí","No"))</f>
        <v/>
      </c>
    </row>
    <row r="4758" customFormat="false" ht="15" hidden="false" customHeight="false" outlineLevel="0" collapsed="false">
      <c r="A4758" s="22"/>
      <c r="B4758" s="22"/>
      <c r="C4758" s="26" t="str">
        <f aca="false">IF(A4758="","",IFERROR(buscarx(A4758&amp;B4758,DATA!$E$3:$E$10000&amp;DATA!$B$3:$B$10000,DATA!$M$3:$M$10000),"No encontrado"))</f>
        <v/>
      </c>
      <c r="D4758" s="27" t="str">
        <f aca="false">IF(A4758="","",IFERROR(buscarx(A4758&amp;B4758,DATA!$E$3:$E$10000&amp;DATA!$B$3:$B$10000,DATA!$W$3:$W$10000),"No encontrado"))</f>
        <v/>
      </c>
      <c r="E4758" s="22"/>
      <c r="F4758" s="26" t="str">
        <f aca="false">IF(A4758="","",IFERROR(buscarx(A4758&amp;E4758,DATA!$E$3:$E$10000&amp;DATA!$B$3:$B$10000,DATA!$M$3:$M$10000),"Inactivo"))</f>
        <v/>
      </c>
      <c r="G4758" s="28" t="str">
        <f aca="false">IF(A4758="","",IF(AND(C4758&lt;&gt;"No encontrado",F4758&lt;&gt;"Inactivo"),C4758&amp;" → "&amp;F4758,"Sin transición"))</f>
        <v/>
      </c>
      <c r="H4758" s="26" t="str">
        <f aca="false">IF(A4758="","",IF(D4758="GCIA LINEA SERVICIO DIGITALIDAD Y VENTAS","Chats",IF(OR(D4758="GERENCIA INBOUND LÍNEAS SERVICIO Y VENTA",D4758="GERENCIA INBOUND LINEAS ESPECIALIZADAS"),"Llamadas","Otro")))</f>
        <v/>
      </c>
      <c r="I4758" s="26" t="str">
        <f aca="false">IF(A4758="","",IF(C4758="No encontrado","No","Sí"))</f>
        <v/>
      </c>
      <c r="J4758" s="26" t="str">
        <f aca="false">IF(A4758="","",IF(F4758="Inactivo","No","Sí"))</f>
        <v/>
      </c>
      <c r="K4758" s="26" t="str">
        <f aca="false">IF(A4758="","",IF(AND(I4758="Sí",J4758="Sí"),"Sí","No"))</f>
        <v/>
      </c>
    </row>
    <row r="4759" customFormat="false" ht="15" hidden="false" customHeight="false" outlineLevel="0" collapsed="false">
      <c r="A4759" s="22"/>
      <c r="B4759" s="22"/>
      <c r="C4759" s="23" t="str">
        <f aca="false">IF(A4759="","",IFERROR(buscarx(A4759&amp;B4759,DATA!$E$3:$E$10000&amp;DATA!$B$3:$B$10000,DATA!$M$3:$M$10000),"No encontrado"))</f>
        <v/>
      </c>
      <c r="D4759" s="24" t="str">
        <f aca="false">IF(A4759="","",IFERROR(buscarx(A4759&amp;B4759,DATA!$E$3:$E$10000&amp;DATA!$B$3:$B$10000,DATA!$W$3:$W$10000),"No encontrado"))</f>
        <v/>
      </c>
      <c r="E4759" s="22"/>
      <c r="F4759" s="23" t="str">
        <f aca="false">IF(A4759="","",IFERROR(buscarx(A4759&amp;E4759,DATA!$E$3:$E$10000&amp;DATA!$B$3:$B$10000,DATA!$M$3:$M$10000),"Inactivo"))</f>
        <v/>
      </c>
      <c r="G4759" s="25" t="str">
        <f aca="false">IF(A4759="","",IF(AND(C4759&lt;&gt;"No encontrado",F4759&lt;&gt;"Inactivo"),C4759&amp;" → "&amp;F4759,"Sin transición"))</f>
        <v/>
      </c>
      <c r="H4759" s="23" t="str">
        <f aca="false">IF(A4759="","",IF(D4759="GCIA LINEA SERVICIO DIGITALIDAD Y VENTAS","Chats",IF(OR(D4759="GERENCIA INBOUND LÍNEAS SERVICIO Y VENTA",D4759="GERENCIA INBOUND LINEAS ESPECIALIZADAS"),"Llamadas","Otro")))</f>
        <v/>
      </c>
      <c r="I4759" s="23" t="str">
        <f aca="false">IF(A4759="","",IF(C4759="No encontrado","No","Sí"))</f>
        <v/>
      </c>
      <c r="J4759" s="23" t="str">
        <f aca="false">IF(A4759="","",IF(F4759="Inactivo","No","Sí"))</f>
        <v/>
      </c>
      <c r="K4759" s="23" t="str">
        <f aca="false">IF(A4759="","",IF(AND(I4759="Sí",J4759="Sí"),"Sí","No"))</f>
        <v/>
      </c>
    </row>
    <row r="4760" customFormat="false" ht="15" hidden="false" customHeight="false" outlineLevel="0" collapsed="false">
      <c r="A4760" s="22"/>
      <c r="B4760" s="22"/>
      <c r="C4760" s="26" t="str">
        <f aca="false">IF(A4760="","",IFERROR(buscarx(A4760&amp;B4760,DATA!$E$3:$E$10000&amp;DATA!$B$3:$B$10000,DATA!$M$3:$M$10000),"No encontrado"))</f>
        <v/>
      </c>
      <c r="D4760" s="27" t="str">
        <f aca="false">IF(A4760="","",IFERROR(buscarx(A4760&amp;B4760,DATA!$E$3:$E$10000&amp;DATA!$B$3:$B$10000,DATA!$W$3:$W$10000),"No encontrado"))</f>
        <v/>
      </c>
      <c r="E4760" s="22"/>
      <c r="F4760" s="26" t="str">
        <f aca="false">IF(A4760="","",IFERROR(buscarx(A4760&amp;E4760,DATA!$E$3:$E$10000&amp;DATA!$B$3:$B$10000,DATA!$M$3:$M$10000),"Inactivo"))</f>
        <v/>
      </c>
      <c r="G4760" s="28" t="str">
        <f aca="false">IF(A4760="","",IF(AND(C4760&lt;&gt;"No encontrado",F4760&lt;&gt;"Inactivo"),C4760&amp;" → "&amp;F4760,"Sin transición"))</f>
        <v/>
      </c>
      <c r="H4760" s="26" t="str">
        <f aca="false">IF(A4760="","",IF(D4760="GCIA LINEA SERVICIO DIGITALIDAD Y VENTAS","Chats",IF(OR(D4760="GERENCIA INBOUND LÍNEAS SERVICIO Y VENTA",D4760="GERENCIA INBOUND LINEAS ESPECIALIZADAS"),"Llamadas","Otro")))</f>
        <v/>
      </c>
      <c r="I4760" s="26" t="str">
        <f aca="false">IF(A4760="","",IF(C4760="No encontrado","No","Sí"))</f>
        <v/>
      </c>
      <c r="J4760" s="26" t="str">
        <f aca="false">IF(A4760="","",IF(F4760="Inactivo","No","Sí"))</f>
        <v/>
      </c>
      <c r="K4760" s="26" t="str">
        <f aca="false">IF(A4760="","",IF(AND(I4760="Sí",J4760="Sí"),"Sí","No"))</f>
        <v/>
      </c>
    </row>
    <row r="4761" customFormat="false" ht="15" hidden="false" customHeight="false" outlineLevel="0" collapsed="false">
      <c r="A4761" s="22"/>
      <c r="B4761" s="22"/>
      <c r="C4761" s="23" t="str">
        <f aca="false">IF(A4761="","",IFERROR(buscarx(A4761&amp;B4761,DATA!$E$3:$E$10000&amp;DATA!$B$3:$B$10000,DATA!$M$3:$M$10000),"No encontrado"))</f>
        <v/>
      </c>
      <c r="D4761" s="24" t="str">
        <f aca="false">IF(A4761="","",IFERROR(buscarx(A4761&amp;B4761,DATA!$E$3:$E$10000&amp;DATA!$B$3:$B$10000,DATA!$W$3:$W$10000),"No encontrado"))</f>
        <v/>
      </c>
      <c r="E4761" s="22"/>
      <c r="F4761" s="23" t="str">
        <f aca="false">IF(A4761="","",IFERROR(buscarx(A4761&amp;E4761,DATA!$E$3:$E$10000&amp;DATA!$B$3:$B$10000,DATA!$M$3:$M$10000),"Inactivo"))</f>
        <v/>
      </c>
      <c r="G4761" s="25" t="str">
        <f aca="false">IF(A4761="","",IF(AND(C4761&lt;&gt;"No encontrado",F4761&lt;&gt;"Inactivo"),C4761&amp;" → "&amp;F4761,"Sin transición"))</f>
        <v/>
      </c>
      <c r="H4761" s="23" t="str">
        <f aca="false">IF(A4761="","",IF(D4761="GCIA LINEA SERVICIO DIGITALIDAD Y VENTAS","Chats",IF(OR(D4761="GERENCIA INBOUND LÍNEAS SERVICIO Y VENTA",D4761="GERENCIA INBOUND LINEAS ESPECIALIZADAS"),"Llamadas","Otro")))</f>
        <v/>
      </c>
      <c r="I4761" s="23" t="str">
        <f aca="false">IF(A4761="","",IF(C4761="No encontrado","No","Sí"))</f>
        <v/>
      </c>
      <c r="J4761" s="23" t="str">
        <f aca="false">IF(A4761="","",IF(F4761="Inactivo","No","Sí"))</f>
        <v/>
      </c>
      <c r="K4761" s="23" t="str">
        <f aca="false">IF(A4761="","",IF(AND(I4761="Sí",J4761="Sí"),"Sí","No"))</f>
        <v/>
      </c>
    </row>
    <row r="4762" customFormat="false" ht="15" hidden="false" customHeight="false" outlineLevel="0" collapsed="false">
      <c r="A4762" s="22"/>
      <c r="B4762" s="22"/>
      <c r="C4762" s="26" t="str">
        <f aca="false">IF(A4762="","",IFERROR(buscarx(A4762&amp;B4762,DATA!$E$3:$E$10000&amp;DATA!$B$3:$B$10000,DATA!$M$3:$M$10000),"No encontrado"))</f>
        <v/>
      </c>
      <c r="D4762" s="27" t="str">
        <f aca="false">IF(A4762="","",IFERROR(buscarx(A4762&amp;B4762,DATA!$E$3:$E$10000&amp;DATA!$B$3:$B$10000,DATA!$W$3:$W$10000),"No encontrado"))</f>
        <v/>
      </c>
      <c r="E4762" s="22"/>
      <c r="F4762" s="26" t="str">
        <f aca="false">IF(A4762="","",IFERROR(buscarx(A4762&amp;E4762,DATA!$E$3:$E$10000&amp;DATA!$B$3:$B$10000,DATA!$M$3:$M$10000),"Inactivo"))</f>
        <v/>
      </c>
      <c r="G4762" s="28" t="str">
        <f aca="false">IF(A4762="","",IF(AND(C4762&lt;&gt;"No encontrado",F4762&lt;&gt;"Inactivo"),C4762&amp;" → "&amp;F4762,"Sin transición"))</f>
        <v/>
      </c>
      <c r="H4762" s="26" t="str">
        <f aca="false">IF(A4762="","",IF(D4762="GCIA LINEA SERVICIO DIGITALIDAD Y VENTAS","Chats",IF(OR(D4762="GERENCIA INBOUND LÍNEAS SERVICIO Y VENTA",D4762="GERENCIA INBOUND LINEAS ESPECIALIZADAS"),"Llamadas","Otro")))</f>
        <v/>
      </c>
      <c r="I4762" s="26" t="str">
        <f aca="false">IF(A4762="","",IF(C4762="No encontrado","No","Sí"))</f>
        <v/>
      </c>
      <c r="J4762" s="26" t="str">
        <f aca="false">IF(A4762="","",IF(F4762="Inactivo","No","Sí"))</f>
        <v/>
      </c>
      <c r="K4762" s="26" t="str">
        <f aca="false">IF(A4762="","",IF(AND(I4762="Sí",J4762="Sí"),"Sí","No"))</f>
        <v/>
      </c>
    </row>
    <row r="4763" customFormat="false" ht="15" hidden="false" customHeight="false" outlineLevel="0" collapsed="false">
      <c r="A4763" s="22"/>
      <c r="B4763" s="22"/>
      <c r="C4763" s="23" t="str">
        <f aca="false">IF(A4763="","",IFERROR(buscarx(A4763&amp;B4763,DATA!$E$3:$E$10000&amp;DATA!$B$3:$B$10000,DATA!$M$3:$M$10000),"No encontrado"))</f>
        <v/>
      </c>
      <c r="D4763" s="24" t="str">
        <f aca="false">IF(A4763="","",IFERROR(buscarx(A4763&amp;B4763,DATA!$E$3:$E$10000&amp;DATA!$B$3:$B$10000,DATA!$W$3:$W$10000),"No encontrado"))</f>
        <v/>
      </c>
      <c r="E4763" s="22"/>
      <c r="F4763" s="23" t="str">
        <f aca="false">IF(A4763="","",IFERROR(buscarx(A4763&amp;E4763,DATA!$E$3:$E$10000&amp;DATA!$B$3:$B$10000,DATA!$M$3:$M$10000),"Inactivo"))</f>
        <v/>
      </c>
      <c r="G4763" s="25" t="str">
        <f aca="false">IF(A4763="","",IF(AND(C4763&lt;&gt;"No encontrado",F4763&lt;&gt;"Inactivo"),C4763&amp;" → "&amp;F4763,"Sin transición"))</f>
        <v/>
      </c>
      <c r="H4763" s="23" t="str">
        <f aca="false">IF(A4763="","",IF(D4763="GCIA LINEA SERVICIO DIGITALIDAD Y VENTAS","Chats",IF(OR(D4763="GERENCIA INBOUND LÍNEAS SERVICIO Y VENTA",D4763="GERENCIA INBOUND LINEAS ESPECIALIZADAS"),"Llamadas","Otro")))</f>
        <v/>
      </c>
      <c r="I4763" s="23" t="str">
        <f aca="false">IF(A4763="","",IF(C4763="No encontrado","No","Sí"))</f>
        <v/>
      </c>
      <c r="J4763" s="23" t="str">
        <f aca="false">IF(A4763="","",IF(F4763="Inactivo","No","Sí"))</f>
        <v/>
      </c>
      <c r="K4763" s="23" t="str">
        <f aca="false">IF(A4763="","",IF(AND(I4763="Sí",J4763="Sí"),"Sí","No"))</f>
        <v/>
      </c>
    </row>
    <row r="4764" customFormat="false" ht="15" hidden="false" customHeight="false" outlineLevel="0" collapsed="false">
      <c r="A4764" s="22"/>
      <c r="B4764" s="22"/>
      <c r="C4764" s="26" t="str">
        <f aca="false">IF(A4764="","",IFERROR(buscarx(A4764&amp;B4764,DATA!$E$3:$E$10000&amp;DATA!$B$3:$B$10000,DATA!$M$3:$M$10000),"No encontrado"))</f>
        <v/>
      </c>
      <c r="D4764" s="27" t="str">
        <f aca="false">IF(A4764="","",IFERROR(buscarx(A4764&amp;B4764,DATA!$E$3:$E$10000&amp;DATA!$B$3:$B$10000,DATA!$W$3:$W$10000),"No encontrado"))</f>
        <v/>
      </c>
      <c r="E4764" s="22"/>
      <c r="F4764" s="26" t="str">
        <f aca="false">IF(A4764="","",IFERROR(buscarx(A4764&amp;E4764,DATA!$E$3:$E$10000&amp;DATA!$B$3:$B$10000,DATA!$M$3:$M$10000),"Inactivo"))</f>
        <v/>
      </c>
      <c r="G4764" s="28" t="str">
        <f aca="false">IF(A4764="","",IF(AND(C4764&lt;&gt;"No encontrado",F4764&lt;&gt;"Inactivo"),C4764&amp;" → "&amp;F4764,"Sin transición"))</f>
        <v/>
      </c>
      <c r="H4764" s="26" t="str">
        <f aca="false">IF(A4764="","",IF(D4764="GCIA LINEA SERVICIO DIGITALIDAD Y VENTAS","Chats",IF(OR(D4764="GERENCIA INBOUND LÍNEAS SERVICIO Y VENTA",D4764="GERENCIA INBOUND LINEAS ESPECIALIZADAS"),"Llamadas","Otro")))</f>
        <v/>
      </c>
      <c r="I4764" s="26" t="str">
        <f aca="false">IF(A4764="","",IF(C4764="No encontrado","No","Sí"))</f>
        <v/>
      </c>
      <c r="J4764" s="26" t="str">
        <f aca="false">IF(A4764="","",IF(F4764="Inactivo","No","Sí"))</f>
        <v/>
      </c>
      <c r="K4764" s="26" t="str">
        <f aca="false">IF(A4764="","",IF(AND(I4764="Sí",J4764="Sí"),"Sí","No"))</f>
        <v/>
      </c>
    </row>
    <row r="4765" customFormat="false" ht="15" hidden="false" customHeight="false" outlineLevel="0" collapsed="false">
      <c r="A4765" s="22"/>
      <c r="B4765" s="22"/>
      <c r="C4765" s="23" t="str">
        <f aca="false">IF(A4765="","",IFERROR(buscarx(A4765&amp;B4765,DATA!$E$3:$E$10000&amp;DATA!$B$3:$B$10000,DATA!$M$3:$M$10000),"No encontrado"))</f>
        <v/>
      </c>
      <c r="D4765" s="24" t="str">
        <f aca="false">IF(A4765="","",IFERROR(buscarx(A4765&amp;B4765,DATA!$E$3:$E$10000&amp;DATA!$B$3:$B$10000,DATA!$W$3:$W$10000),"No encontrado"))</f>
        <v/>
      </c>
      <c r="E4765" s="22"/>
      <c r="F4765" s="23" t="str">
        <f aca="false">IF(A4765="","",IFERROR(buscarx(A4765&amp;E4765,DATA!$E$3:$E$10000&amp;DATA!$B$3:$B$10000,DATA!$M$3:$M$10000),"Inactivo"))</f>
        <v/>
      </c>
      <c r="G4765" s="25" t="str">
        <f aca="false">IF(A4765="","",IF(AND(C4765&lt;&gt;"No encontrado",F4765&lt;&gt;"Inactivo"),C4765&amp;" → "&amp;F4765,"Sin transición"))</f>
        <v/>
      </c>
      <c r="H4765" s="23" t="str">
        <f aca="false">IF(A4765="","",IF(D4765="GCIA LINEA SERVICIO DIGITALIDAD Y VENTAS","Chats",IF(OR(D4765="GERENCIA INBOUND LÍNEAS SERVICIO Y VENTA",D4765="GERENCIA INBOUND LINEAS ESPECIALIZADAS"),"Llamadas","Otro")))</f>
        <v/>
      </c>
      <c r="I4765" s="23" t="str">
        <f aca="false">IF(A4765="","",IF(C4765="No encontrado","No","Sí"))</f>
        <v/>
      </c>
      <c r="J4765" s="23" t="str">
        <f aca="false">IF(A4765="","",IF(F4765="Inactivo","No","Sí"))</f>
        <v/>
      </c>
      <c r="K4765" s="23" t="str">
        <f aca="false">IF(A4765="","",IF(AND(I4765="Sí",J4765="Sí"),"Sí","No"))</f>
        <v/>
      </c>
    </row>
    <row r="4766" customFormat="false" ht="15" hidden="false" customHeight="false" outlineLevel="0" collapsed="false">
      <c r="A4766" s="22"/>
      <c r="B4766" s="22"/>
      <c r="C4766" s="26" t="str">
        <f aca="false">IF(A4766="","",IFERROR(buscarx(A4766&amp;B4766,DATA!$E$3:$E$10000&amp;DATA!$B$3:$B$10000,DATA!$M$3:$M$10000),"No encontrado"))</f>
        <v/>
      </c>
      <c r="D4766" s="27" t="str">
        <f aca="false">IF(A4766="","",IFERROR(buscarx(A4766&amp;B4766,DATA!$E$3:$E$10000&amp;DATA!$B$3:$B$10000,DATA!$W$3:$W$10000),"No encontrado"))</f>
        <v/>
      </c>
      <c r="E4766" s="22"/>
      <c r="F4766" s="26" t="str">
        <f aca="false">IF(A4766="","",IFERROR(buscarx(A4766&amp;E4766,DATA!$E$3:$E$10000&amp;DATA!$B$3:$B$10000,DATA!$M$3:$M$10000),"Inactivo"))</f>
        <v/>
      </c>
      <c r="G4766" s="28" t="str">
        <f aca="false">IF(A4766="","",IF(AND(C4766&lt;&gt;"No encontrado",F4766&lt;&gt;"Inactivo"),C4766&amp;" → "&amp;F4766,"Sin transición"))</f>
        <v/>
      </c>
      <c r="H4766" s="26" t="str">
        <f aca="false">IF(A4766="","",IF(D4766="GCIA LINEA SERVICIO DIGITALIDAD Y VENTAS","Chats",IF(OR(D4766="GERENCIA INBOUND LÍNEAS SERVICIO Y VENTA",D4766="GERENCIA INBOUND LINEAS ESPECIALIZADAS"),"Llamadas","Otro")))</f>
        <v/>
      </c>
      <c r="I4766" s="26" t="str">
        <f aca="false">IF(A4766="","",IF(C4766="No encontrado","No","Sí"))</f>
        <v/>
      </c>
      <c r="J4766" s="26" t="str">
        <f aca="false">IF(A4766="","",IF(F4766="Inactivo","No","Sí"))</f>
        <v/>
      </c>
      <c r="K4766" s="26" t="str">
        <f aca="false">IF(A4766="","",IF(AND(I4766="Sí",J4766="Sí"),"Sí","No"))</f>
        <v/>
      </c>
    </row>
    <row r="4767" customFormat="false" ht="15" hidden="false" customHeight="false" outlineLevel="0" collapsed="false">
      <c r="A4767" s="22"/>
      <c r="B4767" s="22"/>
      <c r="C4767" s="23" t="str">
        <f aca="false">IF(A4767="","",IFERROR(buscarx(A4767&amp;B4767,DATA!$E$3:$E$10000&amp;DATA!$B$3:$B$10000,DATA!$M$3:$M$10000),"No encontrado"))</f>
        <v/>
      </c>
      <c r="D4767" s="24" t="str">
        <f aca="false">IF(A4767="","",IFERROR(buscarx(A4767&amp;B4767,DATA!$E$3:$E$10000&amp;DATA!$B$3:$B$10000,DATA!$W$3:$W$10000),"No encontrado"))</f>
        <v/>
      </c>
      <c r="E4767" s="22"/>
      <c r="F4767" s="23" t="str">
        <f aca="false">IF(A4767="","",IFERROR(buscarx(A4767&amp;E4767,DATA!$E$3:$E$10000&amp;DATA!$B$3:$B$10000,DATA!$M$3:$M$10000),"Inactivo"))</f>
        <v/>
      </c>
      <c r="G4767" s="25" t="str">
        <f aca="false">IF(A4767="","",IF(AND(C4767&lt;&gt;"No encontrado",F4767&lt;&gt;"Inactivo"),C4767&amp;" → "&amp;F4767,"Sin transición"))</f>
        <v/>
      </c>
      <c r="H4767" s="23" t="str">
        <f aca="false">IF(A4767="","",IF(D4767="GCIA LINEA SERVICIO DIGITALIDAD Y VENTAS","Chats",IF(OR(D4767="GERENCIA INBOUND LÍNEAS SERVICIO Y VENTA",D4767="GERENCIA INBOUND LINEAS ESPECIALIZADAS"),"Llamadas","Otro")))</f>
        <v/>
      </c>
      <c r="I4767" s="23" t="str">
        <f aca="false">IF(A4767="","",IF(C4767="No encontrado","No","Sí"))</f>
        <v/>
      </c>
      <c r="J4767" s="23" t="str">
        <f aca="false">IF(A4767="","",IF(F4767="Inactivo","No","Sí"))</f>
        <v/>
      </c>
      <c r="K4767" s="23" t="str">
        <f aca="false">IF(A4767="","",IF(AND(I4767="Sí",J4767="Sí"),"Sí","No"))</f>
        <v/>
      </c>
    </row>
    <row r="4768" customFormat="false" ht="15" hidden="false" customHeight="false" outlineLevel="0" collapsed="false">
      <c r="A4768" s="22"/>
      <c r="B4768" s="22"/>
      <c r="C4768" s="26" t="str">
        <f aca="false">IF(A4768="","",IFERROR(buscarx(A4768&amp;B4768,DATA!$E$3:$E$10000&amp;DATA!$B$3:$B$10000,DATA!$M$3:$M$10000),"No encontrado"))</f>
        <v/>
      </c>
      <c r="D4768" s="27" t="str">
        <f aca="false">IF(A4768="","",IFERROR(buscarx(A4768&amp;B4768,DATA!$E$3:$E$10000&amp;DATA!$B$3:$B$10000,DATA!$W$3:$W$10000),"No encontrado"))</f>
        <v/>
      </c>
      <c r="E4768" s="22"/>
      <c r="F4768" s="26" t="str">
        <f aca="false">IF(A4768="","",IFERROR(buscarx(A4768&amp;E4768,DATA!$E$3:$E$10000&amp;DATA!$B$3:$B$10000,DATA!$M$3:$M$10000),"Inactivo"))</f>
        <v/>
      </c>
      <c r="G4768" s="28" t="str">
        <f aca="false">IF(A4768="","",IF(AND(C4768&lt;&gt;"No encontrado",F4768&lt;&gt;"Inactivo"),C4768&amp;" → "&amp;F4768,"Sin transición"))</f>
        <v/>
      </c>
      <c r="H4768" s="26" t="str">
        <f aca="false">IF(A4768="","",IF(D4768="GCIA LINEA SERVICIO DIGITALIDAD Y VENTAS","Chats",IF(OR(D4768="GERENCIA INBOUND LÍNEAS SERVICIO Y VENTA",D4768="GERENCIA INBOUND LINEAS ESPECIALIZADAS"),"Llamadas","Otro")))</f>
        <v/>
      </c>
      <c r="I4768" s="26" t="str">
        <f aca="false">IF(A4768="","",IF(C4768="No encontrado","No","Sí"))</f>
        <v/>
      </c>
      <c r="J4768" s="26" t="str">
        <f aca="false">IF(A4768="","",IF(F4768="Inactivo","No","Sí"))</f>
        <v/>
      </c>
      <c r="K4768" s="26" t="str">
        <f aca="false">IF(A4768="","",IF(AND(I4768="Sí",J4768="Sí"),"Sí","No"))</f>
        <v/>
      </c>
    </row>
    <row r="4769" customFormat="false" ht="15" hidden="false" customHeight="false" outlineLevel="0" collapsed="false">
      <c r="A4769" s="22"/>
      <c r="B4769" s="22"/>
      <c r="C4769" s="23" t="str">
        <f aca="false">IF(A4769="","",IFERROR(buscarx(A4769&amp;B4769,DATA!$E$3:$E$10000&amp;DATA!$B$3:$B$10000,DATA!$M$3:$M$10000),"No encontrado"))</f>
        <v/>
      </c>
      <c r="D4769" s="24" t="str">
        <f aca="false">IF(A4769="","",IFERROR(buscarx(A4769&amp;B4769,DATA!$E$3:$E$10000&amp;DATA!$B$3:$B$10000,DATA!$W$3:$W$10000),"No encontrado"))</f>
        <v/>
      </c>
      <c r="E4769" s="22"/>
      <c r="F4769" s="23" t="str">
        <f aca="false">IF(A4769="","",IFERROR(buscarx(A4769&amp;E4769,DATA!$E$3:$E$10000&amp;DATA!$B$3:$B$10000,DATA!$M$3:$M$10000),"Inactivo"))</f>
        <v/>
      </c>
      <c r="G4769" s="25" t="str">
        <f aca="false">IF(A4769="","",IF(AND(C4769&lt;&gt;"No encontrado",F4769&lt;&gt;"Inactivo"),C4769&amp;" → "&amp;F4769,"Sin transición"))</f>
        <v/>
      </c>
      <c r="H4769" s="23" t="str">
        <f aca="false">IF(A4769="","",IF(D4769="GCIA LINEA SERVICIO DIGITALIDAD Y VENTAS","Chats",IF(OR(D4769="GERENCIA INBOUND LÍNEAS SERVICIO Y VENTA",D4769="GERENCIA INBOUND LINEAS ESPECIALIZADAS"),"Llamadas","Otro")))</f>
        <v/>
      </c>
      <c r="I4769" s="23" t="str">
        <f aca="false">IF(A4769="","",IF(C4769="No encontrado","No","Sí"))</f>
        <v/>
      </c>
      <c r="J4769" s="23" t="str">
        <f aca="false">IF(A4769="","",IF(F4769="Inactivo","No","Sí"))</f>
        <v/>
      </c>
      <c r="K4769" s="23" t="str">
        <f aca="false">IF(A4769="","",IF(AND(I4769="Sí",J4769="Sí"),"Sí","No"))</f>
        <v/>
      </c>
    </row>
    <row r="4770" customFormat="false" ht="15" hidden="false" customHeight="false" outlineLevel="0" collapsed="false">
      <c r="A4770" s="22"/>
      <c r="B4770" s="22"/>
      <c r="C4770" s="26" t="str">
        <f aca="false">IF(A4770="","",IFERROR(buscarx(A4770&amp;B4770,DATA!$E$3:$E$10000&amp;DATA!$B$3:$B$10000,DATA!$M$3:$M$10000),"No encontrado"))</f>
        <v/>
      </c>
      <c r="D4770" s="27" t="str">
        <f aca="false">IF(A4770="","",IFERROR(buscarx(A4770&amp;B4770,DATA!$E$3:$E$10000&amp;DATA!$B$3:$B$10000,DATA!$W$3:$W$10000),"No encontrado"))</f>
        <v/>
      </c>
      <c r="E4770" s="22"/>
      <c r="F4770" s="26" t="str">
        <f aca="false">IF(A4770="","",IFERROR(buscarx(A4770&amp;E4770,DATA!$E$3:$E$10000&amp;DATA!$B$3:$B$10000,DATA!$M$3:$M$10000),"Inactivo"))</f>
        <v/>
      </c>
      <c r="G4770" s="28" t="str">
        <f aca="false">IF(A4770="","",IF(AND(C4770&lt;&gt;"No encontrado",F4770&lt;&gt;"Inactivo"),C4770&amp;" → "&amp;F4770,"Sin transición"))</f>
        <v/>
      </c>
      <c r="H4770" s="26" t="str">
        <f aca="false">IF(A4770="","",IF(D4770="GCIA LINEA SERVICIO DIGITALIDAD Y VENTAS","Chats",IF(OR(D4770="GERENCIA INBOUND LÍNEAS SERVICIO Y VENTA",D4770="GERENCIA INBOUND LINEAS ESPECIALIZADAS"),"Llamadas","Otro")))</f>
        <v/>
      </c>
      <c r="I4770" s="26" t="str">
        <f aca="false">IF(A4770="","",IF(C4770="No encontrado","No","Sí"))</f>
        <v/>
      </c>
      <c r="J4770" s="26" t="str">
        <f aca="false">IF(A4770="","",IF(F4770="Inactivo","No","Sí"))</f>
        <v/>
      </c>
      <c r="K4770" s="26" t="str">
        <f aca="false">IF(A4770="","",IF(AND(I4770="Sí",J4770="Sí"),"Sí","No"))</f>
        <v/>
      </c>
    </row>
    <row r="4771" customFormat="false" ht="15" hidden="false" customHeight="false" outlineLevel="0" collapsed="false">
      <c r="A4771" s="22"/>
      <c r="B4771" s="22"/>
      <c r="C4771" s="23" t="str">
        <f aca="false">IF(A4771="","",IFERROR(buscarx(A4771&amp;B4771,DATA!$E$3:$E$10000&amp;DATA!$B$3:$B$10000,DATA!$M$3:$M$10000),"No encontrado"))</f>
        <v/>
      </c>
      <c r="D4771" s="24" t="str">
        <f aca="false">IF(A4771="","",IFERROR(buscarx(A4771&amp;B4771,DATA!$E$3:$E$10000&amp;DATA!$B$3:$B$10000,DATA!$W$3:$W$10000),"No encontrado"))</f>
        <v/>
      </c>
      <c r="E4771" s="22"/>
      <c r="F4771" s="23" t="str">
        <f aca="false">IF(A4771="","",IFERROR(buscarx(A4771&amp;E4771,DATA!$E$3:$E$10000&amp;DATA!$B$3:$B$10000,DATA!$M$3:$M$10000),"Inactivo"))</f>
        <v/>
      </c>
      <c r="G4771" s="25" t="str">
        <f aca="false">IF(A4771="","",IF(AND(C4771&lt;&gt;"No encontrado",F4771&lt;&gt;"Inactivo"),C4771&amp;" → "&amp;F4771,"Sin transición"))</f>
        <v/>
      </c>
      <c r="H4771" s="23" t="str">
        <f aca="false">IF(A4771="","",IF(D4771="GCIA LINEA SERVICIO DIGITALIDAD Y VENTAS","Chats",IF(OR(D4771="GERENCIA INBOUND LÍNEAS SERVICIO Y VENTA",D4771="GERENCIA INBOUND LINEAS ESPECIALIZADAS"),"Llamadas","Otro")))</f>
        <v/>
      </c>
      <c r="I4771" s="23" t="str">
        <f aca="false">IF(A4771="","",IF(C4771="No encontrado","No","Sí"))</f>
        <v/>
      </c>
      <c r="J4771" s="23" t="str">
        <f aca="false">IF(A4771="","",IF(F4771="Inactivo","No","Sí"))</f>
        <v/>
      </c>
      <c r="K4771" s="23" t="str">
        <f aca="false">IF(A4771="","",IF(AND(I4771="Sí",J4771="Sí"),"Sí","No"))</f>
        <v/>
      </c>
    </row>
    <row r="4772" customFormat="false" ht="15" hidden="false" customHeight="false" outlineLevel="0" collapsed="false">
      <c r="A4772" s="22"/>
      <c r="B4772" s="22"/>
      <c r="C4772" s="26" t="str">
        <f aca="false">IF(A4772="","",IFERROR(buscarx(A4772&amp;B4772,DATA!$E$3:$E$10000&amp;DATA!$B$3:$B$10000,DATA!$M$3:$M$10000),"No encontrado"))</f>
        <v/>
      </c>
      <c r="D4772" s="27" t="str">
        <f aca="false">IF(A4772="","",IFERROR(buscarx(A4772&amp;B4772,DATA!$E$3:$E$10000&amp;DATA!$B$3:$B$10000,DATA!$W$3:$W$10000),"No encontrado"))</f>
        <v/>
      </c>
      <c r="E4772" s="22"/>
      <c r="F4772" s="26" t="str">
        <f aca="false">IF(A4772="","",IFERROR(buscarx(A4772&amp;E4772,DATA!$E$3:$E$10000&amp;DATA!$B$3:$B$10000,DATA!$M$3:$M$10000),"Inactivo"))</f>
        <v/>
      </c>
      <c r="G4772" s="28" t="str">
        <f aca="false">IF(A4772="","",IF(AND(C4772&lt;&gt;"No encontrado",F4772&lt;&gt;"Inactivo"),C4772&amp;" → "&amp;F4772,"Sin transición"))</f>
        <v/>
      </c>
      <c r="H4772" s="26" t="str">
        <f aca="false">IF(A4772="","",IF(D4772="GCIA LINEA SERVICIO DIGITALIDAD Y VENTAS","Chats",IF(OR(D4772="GERENCIA INBOUND LÍNEAS SERVICIO Y VENTA",D4772="GERENCIA INBOUND LINEAS ESPECIALIZADAS"),"Llamadas","Otro")))</f>
        <v/>
      </c>
      <c r="I4772" s="26" t="str">
        <f aca="false">IF(A4772="","",IF(C4772="No encontrado","No","Sí"))</f>
        <v/>
      </c>
      <c r="J4772" s="26" t="str">
        <f aca="false">IF(A4772="","",IF(F4772="Inactivo","No","Sí"))</f>
        <v/>
      </c>
      <c r="K4772" s="26" t="str">
        <f aca="false">IF(A4772="","",IF(AND(I4772="Sí",J4772="Sí"),"Sí","No"))</f>
        <v/>
      </c>
    </row>
    <row r="4773" customFormat="false" ht="15" hidden="false" customHeight="false" outlineLevel="0" collapsed="false">
      <c r="A4773" s="22"/>
      <c r="B4773" s="22"/>
      <c r="C4773" s="23" t="str">
        <f aca="false">IF(A4773="","",IFERROR(buscarx(A4773&amp;B4773,DATA!$E$3:$E$10000&amp;DATA!$B$3:$B$10000,DATA!$M$3:$M$10000),"No encontrado"))</f>
        <v/>
      </c>
      <c r="D4773" s="24" t="str">
        <f aca="false">IF(A4773="","",IFERROR(buscarx(A4773&amp;B4773,DATA!$E$3:$E$10000&amp;DATA!$B$3:$B$10000,DATA!$W$3:$W$10000),"No encontrado"))</f>
        <v/>
      </c>
      <c r="E4773" s="22"/>
      <c r="F4773" s="23" t="str">
        <f aca="false">IF(A4773="","",IFERROR(buscarx(A4773&amp;E4773,DATA!$E$3:$E$10000&amp;DATA!$B$3:$B$10000,DATA!$M$3:$M$10000),"Inactivo"))</f>
        <v/>
      </c>
      <c r="G4773" s="25" t="str">
        <f aca="false">IF(A4773="","",IF(AND(C4773&lt;&gt;"No encontrado",F4773&lt;&gt;"Inactivo"),C4773&amp;" → "&amp;F4773,"Sin transición"))</f>
        <v/>
      </c>
      <c r="H4773" s="23" t="str">
        <f aca="false">IF(A4773="","",IF(D4773="GCIA LINEA SERVICIO DIGITALIDAD Y VENTAS","Chats",IF(OR(D4773="GERENCIA INBOUND LÍNEAS SERVICIO Y VENTA",D4773="GERENCIA INBOUND LINEAS ESPECIALIZADAS"),"Llamadas","Otro")))</f>
        <v/>
      </c>
      <c r="I4773" s="23" t="str">
        <f aca="false">IF(A4773="","",IF(C4773="No encontrado","No","Sí"))</f>
        <v/>
      </c>
      <c r="J4773" s="23" t="str">
        <f aca="false">IF(A4773="","",IF(F4773="Inactivo","No","Sí"))</f>
        <v/>
      </c>
      <c r="K4773" s="23" t="str">
        <f aca="false">IF(A4773="","",IF(AND(I4773="Sí",J4773="Sí"),"Sí","No"))</f>
        <v/>
      </c>
    </row>
    <row r="4774" customFormat="false" ht="15" hidden="false" customHeight="false" outlineLevel="0" collapsed="false">
      <c r="A4774" s="22"/>
      <c r="B4774" s="22"/>
      <c r="C4774" s="26" t="str">
        <f aca="false">IF(A4774="","",IFERROR(buscarx(A4774&amp;B4774,DATA!$E$3:$E$10000&amp;DATA!$B$3:$B$10000,DATA!$M$3:$M$10000),"No encontrado"))</f>
        <v/>
      </c>
      <c r="D4774" s="27" t="str">
        <f aca="false">IF(A4774="","",IFERROR(buscarx(A4774&amp;B4774,DATA!$E$3:$E$10000&amp;DATA!$B$3:$B$10000,DATA!$W$3:$W$10000),"No encontrado"))</f>
        <v/>
      </c>
      <c r="E4774" s="22"/>
      <c r="F4774" s="26" t="str">
        <f aca="false">IF(A4774="","",IFERROR(buscarx(A4774&amp;E4774,DATA!$E$3:$E$10000&amp;DATA!$B$3:$B$10000,DATA!$M$3:$M$10000),"Inactivo"))</f>
        <v/>
      </c>
      <c r="G4774" s="28" t="str">
        <f aca="false">IF(A4774="","",IF(AND(C4774&lt;&gt;"No encontrado",F4774&lt;&gt;"Inactivo"),C4774&amp;" → "&amp;F4774,"Sin transición"))</f>
        <v/>
      </c>
      <c r="H4774" s="26" t="str">
        <f aca="false">IF(A4774="","",IF(D4774="GCIA LINEA SERVICIO DIGITALIDAD Y VENTAS","Chats",IF(OR(D4774="GERENCIA INBOUND LÍNEAS SERVICIO Y VENTA",D4774="GERENCIA INBOUND LINEAS ESPECIALIZADAS"),"Llamadas","Otro")))</f>
        <v/>
      </c>
      <c r="I4774" s="26" t="str">
        <f aca="false">IF(A4774="","",IF(C4774="No encontrado","No","Sí"))</f>
        <v/>
      </c>
      <c r="J4774" s="26" t="str">
        <f aca="false">IF(A4774="","",IF(F4774="Inactivo","No","Sí"))</f>
        <v/>
      </c>
      <c r="K4774" s="26" t="str">
        <f aca="false">IF(A4774="","",IF(AND(I4774="Sí",J4774="Sí"),"Sí","No"))</f>
        <v/>
      </c>
    </row>
    <row r="4775" customFormat="false" ht="15" hidden="false" customHeight="false" outlineLevel="0" collapsed="false">
      <c r="A4775" s="22"/>
      <c r="B4775" s="22"/>
      <c r="C4775" s="23" t="str">
        <f aca="false">IF(A4775="","",IFERROR(buscarx(A4775&amp;B4775,DATA!$E$3:$E$10000&amp;DATA!$B$3:$B$10000,DATA!$M$3:$M$10000),"No encontrado"))</f>
        <v/>
      </c>
      <c r="D4775" s="24" t="str">
        <f aca="false">IF(A4775="","",IFERROR(buscarx(A4775&amp;B4775,DATA!$E$3:$E$10000&amp;DATA!$B$3:$B$10000,DATA!$W$3:$W$10000),"No encontrado"))</f>
        <v/>
      </c>
      <c r="E4775" s="22"/>
      <c r="F4775" s="23" t="str">
        <f aca="false">IF(A4775="","",IFERROR(buscarx(A4775&amp;E4775,DATA!$E$3:$E$10000&amp;DATA!$B$3:$B$10000,DATA!$M$3:$M$10000),"Inactivo"))</f>
        <v/>
      </c>
      <c r="G4775" s="25" t="str">
        <f aca="false">IF(A4775="","",IF(AND(C4775&lt;&gt;"No encontrado",F4775&lt;&gt;"Inactivo"),C4775&amp;" → "&amp;F4775,"Sin transición"))</f>
        <v/>
      </c>
      <c r="H4775" s="23" t="str">
        <f aca="false">IF(A4775="","",IF(D4775="GCIA LINEA SERVICIO DIGITALIDAD Y VENTAS","Chats",IF(OR(D4775="GERENCIA INBOUND LÍNEAS SERVICIO Y VENTA",D4775="GERENCIA INBOUND LINEAS ESPECIALIZADAS"),"Llamadas","Otro")))</f>
        <v/>
      </c>
      <c r="I4775" s="23" t="str">
        <f aca="false">IF(A4775="","",IF(C4775="No encontrado","No","Sí"))</f>
        <v/>
      </c>
      <c r="J4775" s="23" t="str">
        <f aca="false">IF(A4775="","",IF(F4775="Inactivo","No","Sí"))</f>
        <v/>
      </c>
      <c r="K4775" s="23" t="str">
        <f aca="false">IF(A4775="","",IF(AND(I4775="Sí",J4775="Sí"),"Sí","No"))</f>
        <v/>
      </c>
    </row>
    <row r="4776" customFormat="false" ht="15" hidden="false" customHeight="false" outlineLevel="0" collapsed="false">
      <c r="A4776" s="22"/>
      <c r="B4776" s="22"/>
      <c r="C4776" s="26" t="str">
        <f aca="false">IF(A4776="","",IFERROR(buscarx(A4776&amp;B4776,DATA!$E$3:$E$10000&amp;DATA!$B$3:$B$10000,DATA!$M$3:$M$10000),"No encontrado"))</f>
        <v/>
      </c>
      <c r="D4776" s="27" t="str">
        <f aca="false">IF(A4776="","",IFERROR(buscarx(A4776&amp;B4776,DATA!$E$3:$E$10000&amp;DATA!$B$3:$B$10000,DATA!$W$3:$W$10000),"No encontrado"))</f>
        <v/>
      </c>
      <c r="E4776" s="22"/>
      <c r="F4776" s="26" t="str">
        <f aca="false">IF(A4776="","",IFERROR(buscarx(A4776&amp;E4776,DATA!$E$3:$E$10000&amp;DATA!$B$3:$B$10000,DATA!$M$3:$M$10000),"Inactivo"))</f>
        <v/>
      </c>
      <c r="G4776" s="28" t="str">
        <f aca="false">IF(A4776="","",IF(AND(C4776&lt;&gt;"No encontrado",F4776&lt;&gt;"Inactivo"),C4776&amp;" → "&amp;F4776,"Sin transición"))</f>
        <v/>
      </c>
      <c r="H4776" s="26" t="str">
        <f aca="false">IF(A4776="","",IF(D4776="GCIA LINEA SERVICIO DIGITALIDAD Y VENTAS","Chats",IF(OR(D4776="GERENCIA INBOUND LÍNEAS SERVICIO Y VENTA",D4776="GERENCIA INBOUND LINEAS ESPECIALIZADAS"),"Llamadas","Otro")))</f>
        <v/>
      </c>
      <c r="I4776" s="26" t="str">
        <f aca="false">IF(A4776="","",IF(C4776="No encontrado","No","Sí"))</f>
        <v/>
      </c>
      <c r="J4776" s="26" t="str">
        <f aca="false">IF(A4776="","",IF(F4776="Inactivo","No","Sí"))</f>
        <v/>
      </c>
      <c r="K4776" s="26" t="str">
        <f aca="false">IF(A4776="","",IF(AND(I4776="Sí",J4776="Sí"),"Sí","No"))</f>
        <v/>
      </c>
    </row>
    <row r="4777" customFormat="false" ht="15" hidden="false" customHeight="false" outlineLevel="0" collapsed="false">
      <c r="A4777" s="22"/>
      <c r="B4777" s="22"/>
      <c r="C4777" s="23" t="str">
        <f aca="false">IF(A4777="","",IFERROR(buscarx(A4777&amp;B4777,DATA!$E$3:$E$10000&amp;DATA!$B$3:$B$10000,DATA!$M$3:$M$10000),"No encontrado"))</f>
        <v/>
      </c>
      <c r="D4777" s="24" t="str">
        <f aca="false">IF(A4777="","",IFERROR(buscarx(A4777&amp;B4777,DATA!$E$3:$E$10000&amp;DATA!$B$3:$B$10000,DATA!$W$3:$W$10000),"No encontrado"))</f>
        <v/>
      </c>
      <c r="E4777" s="22"/>
      <c r="F4777" s="23" t="str">
        <f aca="false">IF(A4777="","",IFERROR(buscarx(A4777&amp;E4777,DATA!$E$3:$E$10000&amp;DATA!$B$3:$B$10000,DATA!$M$3:$M$10000),"Inactivo"))</f>
        <v/>
      </c>
      <c r="G4777" s="25" t="str">
        <f aca="false">IF(A4777="","",IF(AND(C4777&lt;&gt;"No encontrado",F4777&lt;&gt;"Inactivo"),C4777&amp;" → "&amp;F4777,"Sin transición"))</f>
        <v/>
      </c>
      <c r="H4777" s="23" t="str">
        <f aca="false">IF(A4777="","",IF(D4777="GCIA LINEA SERVICIO DIGITALIDAD Y VENTAS","Chats",IF(OR(D4777="GERENCIA INBOUND LÍNEAS SERVICIO Y VENTA",D4777="GERENCIA INBOUND LINEAS ESPECIALIZADAS"),"Llamadas","Otro")))</f>
        <v/>
      </c>
      <c r="I4777" s="23" t="str">
        <f aca="false">IF(A4777="","",IF(C4777="No encontrado","No","Sí"))</f>
        <v/>
      </c>
      <c r="J4777" s="23" t="str">
        <f aca="false">IF(A4777="","",IF(F4777="Inactivo","No","Sí"))</f>
        <v/>
      </c>
      <c r="K4777" s="23" t="str">
        <f aca="false">IF(A4777="","",IF(AND(I4777="Sí",J4777="Sí"),"Sí","No"))</f>
        <v/>
      </c>
    </row>
    <row r="4778" customFormat="false" ht="15" hidden="false" customHeight="false" outlineLevel="0" collapsed="false">
      <c r="A4778" s="22"/>
      <c r="B4778" s="22"/>
      <c r="C4778" s="26" t="str">
        <f aca="false">IF(A4778="","",IFERROR(buscarx(A4778&amp;B4778,DATA!$E$3:$E$10000&amp;DATA!$B$3:$B$10000,DATA!$M$3:$M$10000),"No encontrado"))</f>
        <v/>
      </c>
      <c r="D4778" s="27" t="str">
        <f aca="false">IF(A4778="","",IFERROR(buscarx(A4778&amp;B4778,DATA!$E$3:$E$10000&amp;DATA!$B$3:$B$10000,DATA!$W$3:$W$10000),"No encontrado"))</f>
        <v/>
      </c>
      <c r="E4778" s="22"/>
      <c r="F4778" s="26" t="str">
        <f aca="false">IF(A4778="","",IFERROR(buscarx(A4778&amp;E4778,DATA!$E$3:$E$10000&amp;DATA!$B$3:$B$10000,DATA!$M$3:$M$10000),"Inactivo"))</f>
        <v/>
      </c>
      <c r="G4778" s="28" t="str">
        <f aca="false">IF(A4778="","",IF(AND(C4778&lt;&gt;"No encontrado",F4778&lt;&gt;"Inactivo"),C4778&amp;" → "&amp;F4778,"Sin transición"))</f>
        <v/>
      </c>
      <c r="H4778" s="26" t="str">
        <f aca="false">IF(A4778="","",IF(D4778="GCIA LINEA SERVICIO DIGITALIDAD Y VENTAS","Chats",IF(OR(D4778="GERENCIA INBOUND LÍNEAS SERVICIO Y VENTA",D4778="GERENCIA INBOUND LINEAS ESPECIALIZADAS"),"Llamadas","Otro")))</f>
        <v/>
      </c>
      <c r="I4778" s="26" t="str">
        <f aca="false">IF(A4778="","",IF(C4778="No encontrado","No","Sí"))</f>
        <v/>
      </c>
      <c r="J4778" s="26" t="str">
        <f aca="false">IF(A4778="","",IF(F4778="Inactivo","No","Sí"))</f>
        <v/>
      </c>
      <c r="K4778" s="26" t="str">
        <f aca="false">IF(A4778="","",IF(AND(I4778="Sí",J4778="Sí"),"Sí","No"))</f>
        <v/>
      </c>
    </row>
    <row r="4779" customFormat="false" ht="15" hidden="false" customHeight="false" outlineLevel="0" collapsed="false">
      <c r="A4779" s="22"/>
      <c r="B4779" s="22"/>
      <c r="C4779" s="23" t="str">
        <f aca="false">IF(A4779="","",IFERROR(buscarx(A4779&amp;B4779,DATA!$E$3:$E$10000&amp;DATA!$B$3:$B$10000,DATA!$M$3:$M$10000),"No encontrado"))</f>
        <v/>
      </c>
      <c r="D4779" s="24" t="str">
        <f aca="false">IF(A4779="","",IFERROR(buscarx(A4779&amp;B4779,DATA!$E$3:$E$10000&amp;DATA!$B$3:$B$10000,DATA!$W$3:$W$10000),"No encontrado"))</f>
        <v/>
      </c>
      <c r="E4779" s="22"/>
      <c r="F4779" s="23" t="str">
        <f aca="false">IF(A4779="","",IFERROR(buscarx(A4779&amp;E4779,DATA!$E$3:$E$10000&amp;DATA!$B$3:$B$10000,DATA!$M$3:$M$10000),"Inactivo"))</f>
        <v/>
      </c>
      <c r="G4779" s="25" t="str">
        <f aca="false">IF(A4779="","",IF(AND(C4779&lt;&gt;"No encontrado",F4779&lt;&gt;"Inactivo"),C4779&amp;" → "&amp;F4779,"Sin transición"))</f>
        <v/>
      </c>
      <c r="H4779" s="23" t="str">
        <f aca="false">IF(A4779="","",IF(D4779="GCIA LINEA SERVICIO DIGITALIDAD Y VENTAS","Chats",IF(OR(D4779="GERENCIA INBOUND LÍNEAS SERVICIO Y VENTA",D4779="GERENCIA INBOUND LINEAS ESPECIALIZADAS"),"Llamadas","Otro")))</f>
        <v/>
      </c>
      <c r="I4779" s="23" t="str">
        <f aca="false">IF(A4779="","",IF(C4779="No encontrado","No","Sí"))</f>
        <v/>
      </c>
      <c r="J4779" s="23" t="str">
        <f aca="false">IF(A4779="","",IF(F4779="Inactivo","No","Sí"))</f>
        <v/>
      </c>
      <c r="K4779" s="23" t="str">
        <f aca="false">IF(A4779="","",IF(AND(I4779="Sí",J4779="Sí"),"Sí","No"))</f>
        <v/>
      </c>
    </row>
    <row r="4780" customFormat="false" ht="15" hidden="false" customHeight="false" outlineLevel="0" collapsed="false">
      <c r="A4780" s="22"/>
      <c r="B4780" s="22"/>
      <c r="C4780" s="26" t="str">
        <f aca="false">IF(A4780="","",IFERROR(buscarx(A4780&amp;B4780,DATA!$E$3:$E$10000&amp;DATA!$B$3:$B$10000,DATA!$M$3:$M$10000),"No encontrado"))</f>
        <v/>
      </c>
      <c r="D4780" s="27" t="str">
        <f aca="false">IF(A4780="","",IFERROR(buscarx(A4780&amp;B4780,DATA!$E$3:$E$10000&amp;DATA!$B$3:$B$10000,DATA!$W$3:$W$10000),"No encontrado"))</f>
        <v/>
      </c>
      <c r="E4780" s="22"/>
      <c r="F4780" s="26" t="str">
        <f aca="false">IF(A4780="","",IFERROR(buscarx(A4780&amp;E4780,DATA!$E$3:$E$10000&amp;DATA!$B$3:$B$10000,DATA!$M$3:$M$10000),"Inactivo"))</f>
        <v/>
      </c>
      <c r="G4780" s="28" t="str">
        <f aca="false">IF(A4780="","",IF(AND(C4780&lt;&gt;"No encontrado",F4780&lt;&gt;"Inactivo"),C4780&amp;" → "&amp;F4780,"Sin transición"))</f>
        <v/>
      </c>
      <c r="H4780" s="26" t="str">
        <f aca="false">IF(A4780="","",IF(D4780="GCIA LINEA SERVICIO DIGITALIDAD Y VENTAS","Chats",IF(OR(D4780="GERENCIA INBOUND LÍNEAS SERVICIO Y VENTA",D4780="GERENCIA INBOUND LINEAS ESPECIALIZADAS"),"Llamadas","Otro")))</f>
        <v/>
      </c>
      <c r="I4780" s="26" t="str">
        <f aca="false">IF(A4780="","",IF(C4780="No encontrado","No","Sí"))</f>
        <v/>
      </c>
      <c r="J4780" s="26" t="str">
        <f aca="false">IF(A4780="","",IF(F4780="Inactivo","No","Sí"))</f>
        <v/>
      </c>
      <c r="K4780" s="26" t="str">
        <f aca="false">IF(A4780="","",IF(AND(I4780="Sí",J4780="Sí"),"Sí","No"))</f>
        <v/>
      </c>
    </row>
    <row r="4781" customFormat="false" ht="15" hidden="false" customHeight="false" outlineLevel="0" collapsed="false">
      <c r="A4781" s="22"/>
      <c r="B4781" s="22"/>
      <c r="C4781" s="23" t="str">
        <f aca="false">IF(A4781="","",IFERROR(buscarx(A4781&amp;B4781,DATA!$E$3:$E$10000&amp;DATA!$B$3:$B$10000,DATA!$M$3:$M$10000),"No encontrado"))</f>
        <v/>
      </c>
      <c r="D4781" s="24" t="str">
        <f aca="false">IF(A4781="","",IFERROR(buscarx(A4781&amp;B4781,DATA!$E$3:$E$10000&amp;DATA!$B$3:$B$10000,DATA!$W$3:$W$10000),"No encontrado"))</f>
        <v/>
      </c>
      <c r="E4781" s="22"/>
      <c r="F4781" s="23" t="str">
        <f aca="false">IF(A4781="","",IFERROR(buscarx(A4781&amp;E4781,DATA!$E$3:$E$10000&amp;DATA!$B$3:$B$10000,DATA!$M$3:$M$10000),"Inactivo"))</f>
        <v/>
      </c>
      <c r="G4781" s="25" t="str">
        <f aca="false">IF(A4781="","",IF(AND(C4781&lt;&gt;"No encontrado",F4781&lt;&gt;"Inactivo"),C4781&amp;" → "&amp;F4781,"Sin transición"))</f>
        <v/>
      </c>
      <c r="H4781" s="23" t="str">
        <f aca="false">IF(A4781="","",IF(D4781="GCIA LINEA SERVICIO DIGITALIDAD Y VENTAS","Chats",IF(OR(D4781="GERENCIA INBOUND LÍNEAS SERVICIO Y VENTA",D4781="GERENCIA INBOUND LINEAS ESPECIALIZADAS"),"Llamadas","Otro")))</f>
        <v/>
      </c>
      <c r="I4781" s="23" t="str">
        <f aca="false">IF(A4781="","",IF(C4781="No encontrado","No","Sí"))</f>
        <v/>
      </c>
      <c r="J4781" s="23" t="str">
        <f aca="false">IF(A4781="","",IF(F4781="Inactivo","No","Sí"))</f>
        <v/>
      </c>
      <c r="K4781" s="23" t="str">
        <f aca="false">IF(A4781="","",IF(AND(I4781="Sí",J4781="Sí"),"Sí","No"))</f>
        <v/>
      </c>
    </row>
    <row r="4782" customFormat="false" ht="15" hidden="false" customHeight="false" outlineLevel="0" collapsed="false">
      <c r="A4782" s="22"/>
      <c r="B4782" s="22"/>
      <c r="C4782" s="26" t="str">
        <f aca="false">IF(A4782="","",IFERROR(buscarx(A4782&amp;B4782,DATA!$E$3:$E$10000&amp;DATA!$B$3:$B$10000,DATA!$M$3:$M$10000),"No encontrado"))</f>
        <v/>
      </c>
      <c r="D4782" s="27" t="str">
        <f aca="false">IF(A4782="","",IFERROR(buscarx(A4782&amp;B4782,DATA!$E$3:$E$10000&amp;DATA!$B$3:$B$10000,DATA!$W$3:$W$10000),"No encontrado"))</f>
        <v/>
      </c>
      <c r="E4782" s="22"/>
      <c r="F4782" s="26" t="str">
        <f aca="false">IF(A4782="","",IFERROR(buscarx(A4782&amp;E4782,DATA!$E$3:$E$10000&amp;DATA!$B$3:$B$10000,DATA!$M$3:$M$10000),"Inactivo"))</f>
        <v/>
      </c>
      <c r="G4782" s="28" t="str">
        <f aca="false">IF(A4782="","",IF(AND(C4782&lt;&gt;"No encontrado",F4782&lt;&gt;"Inactivo"),C4782&amp;" → "&amp;F4782,"Sin transición"))</f>
        <v/>
      </c>
      <c r="H4782" s="26" t="str">
        <f aca="false">IF(A4782="","",IF(D4782="GCIA LINEA SERVICIO DIGITALIDAD Y VENTAS","Chats",IF(OR(D4782="GERENCIA INBOUND LÍNEAS SERVICIO Y VENTA",D4782="GERENCIA INBOUND LINEAS ESPECIALIZADAS"),"Llamadas","Otro")))</f>
        <v/>
      </c>
      <c r="I4782" s="26" t="str">
        <f aca="false">IF(A4782="","",IF(C4782="No encontrado","No","Sí"))</f>
        <v/>
      </c>
      <c r="J4782" s="26" t="str">
        <f aca="false">IF(A4782="","",IF(F4782="Inactivo","No","Sí"))</f>
        <v/>
      </c>
      <c r="K4782" s="26" t="str">
        <f aca="false">IF(A4782="","",IF(AND(I4782="Sí",J4782="Sí"),"Sí","No"))</f>
        <v/>
      </c>
    </row>
    <row r="4783" customFormat="false" ht="15" hidden="false" customHeight="false" outlineLevel="0" collapsed="false">
      <c r="A4783" s="22"/>
      <c r="B4783" s="22"/>
      <c r="C4783" s="23" t="str">
        <f aca="false">IF(A4783="","",IFERROR(buscarx(A4783&amp;B4783,DATA!$E$3:$E$10000&amp;DATA!$B$3:$B$10000,DATA!$M$3:$M$10000),"No encontrado"))</f>
        <v/>
      </c>
      <c r="D4783" s="24" t="str">
        <f aca="false">IF(A4783="","",IFERROR(buscarx(A4783&amp;B4783,DATA!$E$3:$E$10000&amp;DATA!$B$3:$B$10000,DATA!$W$3:$W$10000),"No encontrado"))</f>
        <v/>
      </c>
      <c r="E4783" s="22"/>
      <c r="F4783" s="23" t="str">
        <f aca="false">IF(A4783="","",IFERROR(buscarx(A4783&amp;E4783,DATA!$E$3:$E$10000&amp;DATA!$B$3:$B$10000,DATA!$M$3:$M$10000),"Inactivo"))</f>
        <v/>
      </c>
      <c r="G4783" s="25" t="str">
        <f aca="false">IF(A4783="","",IF(AND(C4783&lt;&gt;"No encontrado",F4783&lt;&gt;"Inactivo"),C4783&amp;" → "&amp;F4783,"Sin transición"))</f>
        <v/>
      </c>
      <c r="H4783" s="23" t="str">
        <f aca="false">IF(A4783="","",IF(D4783="GCIA LINEA SERVICIO DIGITALIDAD Y VENTAS","Chats",IF(OR(D4783="GERENCIA INBOUND LÍNEAS SERVICIO Y VENTA",D4783="GERENCIA INBOUND LINEAS ESPECIALIZADAS"),"Llamadas","Otro")))</f>
        <v/>
      </c>
      <c r="I4783" s="23" t="str">
        <f aca="false">IF(A4783="","",IF(C4783="No encontrado","No","Sí"))</f>
        <v/>
      </c>
      <c r="J4783" s="23" t="str">
        <f aca="false">IF(A4783="","",IF(F4783="Inactivo","No","Sí"))</f>
        <v/>
      </c>
      <c r="K4783" s="23" t="str">
        <f aca="false">IF(A4783="","",IF(AND(I4783="Sí",J4783="Sí"),"Sí","No"))</f>
        <v/>
      </c>
    </row>
    <row r="4784" customFormat="false" ht="15" hidden="false" customHeight="false" outlineLevel="0" collapsed="false">
      <c r="A4784" s="22"/>
      <c r="B4784" s="22"/>
      <c r="C4784" s="26" t="str">
        <f aca="false">IF(A4784="","",IFERROR(buscarx(A4784&amp;B4784,DATA!$E$3:$E$10000&amp;DATA!$B$3:$B$10000,DATA!$M$3:$M$10000),"No encontrado"))</f>
        <v/>
      </c>
      <c r="D4784" s="27" t="str">
        <f aca="false">IF(A4784="","",IFERROR(buscarx(A4784&amp;B4784,DATA!$E$3:$E$10000&amp;DATA!$B$3:$B$10000,DATA!$W$3:$W$10000),"No encontrado"))</f>
        <v/>
      </c>
      <c r="E4784" s="22"/>
      <c r="F4784" s="26" t="str">
        <f aca="false">IF(A4784="","",IFERROR(buscarx(A4784&amp;E4784,DATA!$E$3:$E$10000&amp;DATA!$B$3:$B$10000,DATA!$M$3:$M$10000),"Inactivo"))</f>
        <v/>
      </c>
      <c r="G4784" s="28" t="str">
        <f aca="false">IF(A4784="","",IF(AND(C4784&lt;&gt;"No encontrado",F4784&lt;&gt;"Inactivo"),C4784&amp;" → "&amp;F4784,"Sin transición"))</f>
        <v/>
      </c>
      <c r="H4784" s="26" t="str">
        <f aca="false">IF(A4784="","",IF(D4784="GCIA LINEA SERVICIO DIGITALIDAD Y VENTAS","Chats",IF(OR(D4784="GERENCIA INBOUND LÍNEAS SERVICIO Y VENTA",D4784="GERENCIA INBOUND LINEAS ESPECIALIZADAS"),"Llamadas","Otro")))</f>
        <v/>
      </c>
      <c r="I4784" s="26" t="str">
        <f aca="false">IF(A4784="","",IF(C4784="No encontrado","No","Sí"))</f>
        <v/>
      </c>
      <c r="J4784" s="26" t="str">
        <f aca="false">IF(A4784="","",IF(F4784="Inactivo","No","Sí"))</f>
        <v/>
      </c>
      <c r="K4784" s="26" t="str">
        <f aca="false">IF(A4784="","",IF(AND(I4784="Sí",J4784="Sí"),"Sí","No"))</f>
        <v/>
      </c>
    </row>
    <row r="4785" customFormat="false" ht="15" hidden="false" customHeight="false" outlineLevel="0" collapsed="false">
      <c r="A4785" s="22"/>
      <c r="B4785" s="22"/>
      <c r="C4785" s="23" t="str">
        <f aca="false">IF(A4785="","",IFERROR(buscarx(A4785&amp;B4785,DATA!$E$3:$E$10000&amp;DATA!$B$3:$B$10000,DATA!$M$3:$M$10000),"No encontrado"))</f>
        <v/>
      </c>
      <c r="D4785" s="24" t="str">
        <f aca="false">IF(A4785="","",IFERROR(buscarx(A4785&amp;B4785,DATA!$E$3:$E$10000&amp;DATA!$B$3:$B$10000,DATA!$W$3:$W$10000),"No encontrado"))</f>
        <v/>
      </c>
      <c r="E4785" s="22"/>
      <c r="F4785" s="23" t="str">
        <f aca="false">IF(A4785="","",IFERROR(buscarx(A4785&amp;E4785,DATA!$E$3:$E$10000&amp;DATA!$B$3:$B$10000,DATA!$M$3:$M$10000),"Inactivo"))</f>
        <v/>
      </c>
      <c r="G4785" s="25" t="str">
        <f aca="false">IF(A4785="","",IF(AND(C4785&lt;&gt;"No encontrado",F4785&lt;&gt;"Inactivo"),C4785&amp;" → "&amp;F4785,"Sin transición"))</f>
        <v/>
      </c>
      <c r="H4785" s="23" t="str">
        <f aca="false">IF(A4785="","",IF(D4785="GCIA LINEA SERVICIO DIGITALIDAD Y VENTAS","Chats",IF(OR(D4785="GERENCIA INBOUND LÍNEAS SERVICIO Y VENTA",D4785="GERENCIA INBOUND LINEAS ESPECIALIZADAS"),"Llamadas","Otro")))</f>
        <v/>
      </c>
      <c r="I4785" s="23" t="str">
        <f aca="false">IF(A4785="","",IF(C4785="No encontrado","No","Sí"))</f>
        <v/>
      </c>
      <c r="J4785" s="23" t="str">
        <f aca="false">IF(A4785="","",IF(F4785="Inactivo","No","Sí"))</f>
        <v/>
      </c>
      <c r="K4785" s="23" t="str">
        <f aca="false">IF(A4785="","",IF(AND(I4785="Sí",J4785="Sí"),"Sí","No"))</f>
        <v/>
      </c>
    </row>
    <row r="4786" customFormat="false" ht="15" hidden="false" customHeight="false" outlineLevel="0" collapsed="false">
      <c r="A4786" s="22"/>
      <c r="B4786" s="22"/>
      <c r="C4786" s="26" t="str">
        <f aca="false">IF(A4786="","",IFERROR(buscarx(A4786&amp;B4786,DATA!$E$3:$E$10000&amp;DATA!$B$3:$B$10000,DATA!$M$3:$M$10000),"No encontrado"))</f>
        <v/>
      </c>
      <c r="D4786" s="27" t="str">
        <f aca="false">IF(A4786="","",IFERROR(buscarx(A4786&amp;B4786,DATA!$E$3:$E$10000&amp;DATA!$B$3:$B$10000,DATA!$W$3:$W$10000),"No encontrado"))</f>
        <v/>
      </c>
      <c r="E4786" s="22"/>
      <c r="F4786" s="26" t="str">
        <f aca="false">IF(A4786="","",IFERROR(buscarx(A4786&amp;E4786,DATA!$E$3:$E$10000&amp;DATA!$B$3:$B$10000,DATA!$M$3:$M$10000),"Inactivo"))</f>
        <v/>
      </c>
      <c r="G4786" s="28" t="str">
        <f aca="false">IF(A4786="","",IF(AND(C4786&lt;&gt;"No encontrado",F4786&lt;&gt;"Inactivo"),C4786&amp;" → "&amp;F4786,"Sin transición"))</f>
        <v/>
      </c>
      <c r="H4786" s="26" t="str">
        <f aca="false">IF(A4786="","",IF(D4786="GCIA LINEA SERVICIO DIGITALIDAD Y VENTAS","Chats",IF(OR(D4786="GERENCIA INBOUND LÍNEAS SERVICIO Y VENTA",D4786="GERENCIA INBOUND LINEAS ESPECIALIZADAS"),"Llamadas","Otro")))</f>
        <v/>
      </c>
      <c r="I4786" s="26" t="str">
        <f aca="false">IF(A4786="","",IF(C4786="No encontrado","No","Sí"))</f>
        <v/>
      </c>
      <c r="J4786" s="26" t="str">
        <f aca="false">IF(A4786="","",IF(F4786="Inactivo","No","Sí"))</f>
        <v/>
      </c>
      <c r="K4786" s="26" t="str">
        <f aca="false">IF(A4786="","",IF(AND(I4786="Sí",J4786="Sí"),"Sí","No"))</f>
        <v/>
      </c>
    </row>
    <row r="4787" customFormat="false" ht="15" hidden="false" customHeight="false" outlineLevel="0" collapsed="false">
      <c r="A4787" s="22"/>
      <c r="B4787" s="22"/>
      <c r="C4787" s="23" t="str">
        <f aca="false">IF(A4787="","",IFERROR(buscarx(A4787&amp;B4787,DATA!$E$3:$E$10000&amp;DATA!$B$3:$B$10000,DATA!$M$3:$M$10000),"No encontrado"))</f>
        <v/>
      </c>
      <c r="D4787" s="24" t="str">
        <f aca="false">IF(A4787="","",IFERROR(buscarx(A4787&amp;B4787,DATA!$E$3:$E$10000&amp;DATA!$B$3:$B$10000,DATA!$W$3:$W$10000),"No encontrado"))</f>
        <v/>
      </c>
      <c r="E4787" s="22"/>
      <c r="F4787" s="23" t="str">
        <f aca="false">IF(A4787="","",IFERROR(buscarx(A4787&amp;E4787,DATA!$E$3:$E$10000&amp;DATA!$B$3:$B$10000,DATA!$M$3:$M$10000),"Inactivo"))</f>
        <v/>
      </c>
      <c r="G4787" s="25" t="str">
        <f aca="false">IF(A4787="","",IF(AND(C4787&lt;&gt;"No encontrado",F4787&lt;&gt;"Inactivo"),C4787&amp;" → "&amp;F4787,"Sin transición"))</f>
        <v/>
      </c>
      <c r="H4787" s="23" t="str">
        <f aca="false">IF(A4787="","",IF(D4787="GCIA LINEA SERVICIO DIGITALIDAD Y VENTAS","Chats",IF(OR(D4787="GERENCIA INBOUND LÍNEAS SERVICIO Y VENTA",D4787="GERENCIA INBOUND LINEAS ESPECIALIZADAS"),"Llamadas","Otro")))</f>
        <v/>
      </c>
      <c r="I4787" s="23" t="str">
        <f aca="false">IF(A4787="","",IF(C4787="No encontrado","No","Sí"))</f>
        <v/>
      </c>
      <c r="J4787" s="23" t="str">
        <f aca="false">IF(A4787="","",IF(F4787="Inactivo","No","Sí"))</f>
        <v/>
      </c>
      <c r="K4787" s="23" t="str">
        <f aca="false">IF(A4787="","",IF(AND(I4787="Sí",J4787="Sí"),"Sí","No"))</f>
        <v/>
      </c>
    </row>
    <row r="4788" customFormat="false" ht="15" hidden="false" customHeight="false" outlineLevel="0" collapsed="false">
      <c r="A4788" s="22"/>
      <c r="B4788" s="22"/>
      <c r="C4788" s="26" t="str">
        <f aca="false">IF(A4788="","",IFERROR(buscarx(A4788&amp;B4788,DATA!$E$3:$E$10000&amp;DATA!$B$3:$B$10000,DATA!$M$3:$M$10000),"No encontrado"))</f>
        <v/>
      </c>
      <c r="D4788" s="27" t="str">
        <f aca="false">IF(A4788="","",IFERROR(buscarx(A4788&amp;B4788,DATA!$E$3:$E$10000&amp;DATA!$B$3:$B$10000,DATA!$W$3:$W$10000),"No encontrado"))</f>
        <v/>
      </c>
      <c r="E4788" s="22"/>
      <c r="F4788" s="26" t="str">
        <f aca="false">IF(A4788="","",IFERROR(buscarx(A4788&amp;E4788,DATA!$E$3:$E$10000&amp;DATA!$B$3:$B$10000,DATA!$M$3:$M$10000),"Inactivo"))</f>
        <v/>
      </c>
      <c r="G4788" s="28" t="str">
        <f aca="false">IF(A4788="","",IF(AND(C4788&lt;&gt;"No encontrado",F4788&lt;&gt;"Inactivo"),C4788&amp;" → "&amp;F4788,"Sin transición"))</f>
        <v/>
      </c>
      <c r="H4788" s="26" t="str">
        <f aca="false">IF(A4788="","",IF(D4788="GCIA LINEA SERVICIO DIGITALIDAD Y VENTAS","Chats",IF(OR(D4788="GERENCIA INBOUND LÍNEAS SERVICIO Y VENTA",D4788="GERENCIA INBOUND LINEAS ESPECIALIZADAS"),"Llamadas","Otro")))</f>
        <v/>
      </c>
      <c r="I4788" s="26" t="str">
        <f aca="false">IF(A4788="","",IF(C4788="No encontrado","No","Sí"))</f>
        <v/>
      </c>
      <c r="J4788" s="26" t="str">
        <f aca="false">IF(A4788="","",IF(F4788="Inactivo","No","Sí"))</f>
        <v/>
      </c>
      <c r="K4788" s="26" t="str">
        <f aca="false">IF(A4788="","",IF(AND(I4788="Sí",J4788="Sí"),"Sí","No"))</f>
        <v/>
      </c>
    </row>
    <row r="4789" customFormat="false" ht="15" hidden="false" customHeight="false" outlineLevel="0" collapsed="false">
      <c r="A4789" s="22"/>
      <c r="B4789" s="22"/>
      <c r="C4789" s="23" t="str">
        <f aca="false">IF(A4789="","",IFERROR(buscarx(A4789&amp;B4789,DATA!$E$3:$E$10000&amp;DATA!$B$3:$B$10000,DATA!$M$3:$M$10000),"No encontrado"))</f>
        <v/>
      </c>
      <c r="D4789" s="24" t="str">
        <f aca="false">IF(A4789="","",IFERROR(buscarx(A4789&amp;B4789,DATA!$E$3:$E$10000&amp;DATA!$B$3:$B$10000,DATA!$W$3:$W$10000),"No encontrado"))</f>
        <v/>
      </c>
      <c r="E4789" s="22"/>
      <c r="F4789" s="23" t="str">
        <f aca="false">IF(A4789="","",IFERROR(buscarx(A4789&amp;E4789,DATA!$E$3:$E$10000&amp;DATA!$B$3:$B$10000,DATA!$M$3:$M$10000),"Inactivo"))</f>
        <v/>
      </c>
      <c r="G4789" s="25" t="str">
        <f aca="false">IF(A4789="","",IF(AND(C4789&lt;&gt;"No encontrado",F4789&lt;&gt;"Inactivo"),C4789&amp;" → "&amp;F4789,"Sin transición"))</f>
        <v/>
      </c>
      <c r="H4789" s="23" t="str">
        <f aca="false">IF(A4789="","",IF(D4789="GCIA LINEA SERVICIO DIGITALIDAD Y VENTAS","Chats",IF(OR(D4789="GERENCIA INBOUND LÍNEAS SERVICIO Y VENTA",D4789="GERENCIA INBOUND LINEAS ESPECIALIZADAS"),"Llamadas","Otro")))</f>
        <v/>
      </c>
      <c r="I4789" s="23" t="str">
        <f aca="false">IF(A4789="","",IF(C4789="No encontrado","No","Sí"))</f>
        <v/>
      </c>
      <c r="J4789" s="23" t="str">
        <f aca="false">IF(A4789="","",IF(F4789="Inactivo","No","Sí"))</f>
        <v/>
      </c>
      <c r="K4789" s="23" t="str">
        <f aca="false">IF(A4789="","",IF(AND(I4789="Sí",J4789="Sí"),"Sí","No"))</f>
        <v/>
      </c>
    </row>
    <row r="4790" customFormat="false" ht="15" hidden="false" customHeight="false" outlineLevel="0" collapsed="false">
      <c r="A4790" s="22"/>
      <c r="B4790" s="22"/>
      <c r="C4790" s="26" t="str">
        <f aca="false">IF(A4790="","",IFERROR(buscarx(A4790&amp;B4790,DATA!$E$3:$E$10000&amp;DATA!$B$3:$B$10000,DATA!$M$3:$M$10000),"No encontrado"))</f>
        <v/>
      </c>
      <c r="D4790" s="27" t="str">
        <f aca="false">IF(A4790="","",IFERROR(buscarx(A4790&amp;B4790,DATA!$E$3:$E$10000&amp;DATA!$B$3:$B$10000,DATA!$W$3:$W$10000),"No encontrado"))</f>
        <v/>
      </c>
      <c r="E4790" s="22"/>
      <c r="F4790" s="26" t="str">
        <f aca="false">IF(A4790="","",IFERROR(buscarx(A4790&amp;E4790,DATA!$E$3:$E$10000&amp;DATA!$B$3:$B$10000,DATA!$M$3:$M$10000),"Inactivo"))</f>
        <v/>
      </c>
      <c r="G4790" s="28" t="str">
        <f aca="false">IF(A4790="","",IF(AND(C4790&lt;&gt;"No encontrado",F4790&lt;&gt;"Inactivo"),C4790&amp;" → "&amp;F4790,"Sin transición"))</f>
        <v/>
      </c>
      <c r="H4790" s="26" t="str">
        <f aca="false">IF(A4790="","",IF(D4790="GCIA LINEA SERVICIO DIGITALIDAD Y VENTAS","Chats",IF(OR(D4790="GERENCIA INBOUND LÍNEAS SERVICIO Y VENTA",D4790="GERENCIA INBOUND LINEAS ESPECIALIZADAS"),"Llamadas","Otro")))</f>
        <v/>
      </c>
      <c r="I4790" s="26" t="str">
        <f aca="false">IF(A4790="","",IF(C4790="No encontrado","No","Sí"))</f>
        <v/>
      </c>
      <c r="J4790" s="26" t="str">
        <f aca="false">IF(A4790="","",IF(F4790="Inactivo","No","Sí"))</f>
        <v/>
      </c>
      <c r="K4790" s="26" t="str">
        <f aca="false">IF(A4790="","",IF(AND(I4790="Sí",J4790="Sí"),"Sí","No"))</f>
        <v/>
      </c>
    </row>
    <row r="4791" customFormat="false" ht="15" hidden="false" customHeight="false" outlineLevel="0" collapsed="false">
      <c r="A4791" s="22"/>
      <c r="B4791" s="22"/>
      <c r="C4791" s="23" t="str">
        <f aca="false">IF(A4791="","",IFERROR(buscarx(A4791&amp;B4791,DATA!$E$3:$E$10000&amp;DATA!$B$3:$B$10000,DATA!$M$3:$M$10000),"No encontrado"))</f>
        <v/>
      </c>
      <c r="D4791" s="24" t="str">
        <f aca="false">IF(A4791="","",IFERROR(buscarx(A4791&amp;B4791,DATA!$E$3:$E$10000&amp;DATA!$B$3:$B$10000,DATA!$W$3:$W$10000),"No encontrado"))</f>
        <v/>
      </c>
      <c r="E4791" s="22"/>
      <c r="F4791" s="23" t="str">
        <f aca="false">IF(A4791="","",IFERROR(buscarx(A4791&amp;E4791,DATA!$E$3:$E$10000&amp;DATA!$B$3:$B$10000,DATA!$M$3:$M$10000),"Inactivo"))</f>
        <v/>
      </c>
      <c r="G4791" s="25" t="str">
        <f aca="false">IF(A4791="","",IF(AND(C4791&lt;&gt;"No encontrado",F4791&lt;&gt;"Inactivo"),C4791&amp;" → "&amp;F4791,"Sin transición"))</f>
        <v/>
      </c>
      <c r="H4791" s="23" t="str">
        <f aca="false">IF(A4791="","",IF(D4791="GCIA LINEA SERVICIO DIGITALIDAD Y VENTAS","Chats",IF(OR(D4791="GERENCIA INBOUND LÍNEAS SERVICIO Y VENTA",D4791="GERENCIA INBOUND LINEAS ESPECIALIZADAS"),"Llamadas","Otro")))</f>
        <v/>
      </c>
      <c r="I4791" s="23" t="str">
        <f aca="false">IF(A4791="","",IF(C4791="No encontrado","No","Sí"))</f>
        <v/>
      </c>
      <c r="J4791" s="23" t="str">
        <f aca="false">IF(A4791="","",IF(F4791="Inactivo","No","Sí"))</f>
        <v/>
      </c>
      <c r="K4791" s="23" t="str">
        <f aca="false">IF(A4791="","",IF(AND(I4791="Sí",J4791="Sí"),"Sí","No"))</f>
        <v/>
      </c>
    </row>
    <row r="4792" customFormat="false" ht="15" hidden="false" customHeight="false" outlineLevel="0" collapsed="false">
      <c r="A4792" s="22"/>
      <c r="B4792" s="22"/>
      <c r="C4792" s="26" t="str">
        <f aca="false">IF(A4792="","",IFERROR(buscarx(A4792&amp;B4792,DATA!$E$3:$E$10000&amp;DATA!$B$3:$B$10000,DATA!$M$3:$M$10000),"No encontrado"))</f>
        <v/>
      </c>
      <c r="D4792" s="27" t="str">
        <f aca="false">IF(A4792="","",IFERROR(buscarx(A4792&amp;B4792,DATA!$E$3:$E$10000&amp;DATA!$B$3:$B$10000,DATA!$W$3:$W$10000),"No encontrado"))</f>
        <v/>
      </c>
      <c r="E4792" s="22"/>
      <c r="F4792" s="26" t="str">
        <f aca="false">IF(A4792="","",IFERROR(buscarx(A4792&amp;E4792,DATA!$E$3:$E$10000&amp;DATA!$B$3:$B$10000,DATA!$M$3:$M$10000),"Inactivo"))</f>
        <v/>
      </c>
      <c r="G4792" s="28" t="str">
        <f aca="false">IF(A4792="","",IF(AND(C4792&lt;&gt;"No encontrado",F4792&lt;&gt;"Inactivo"),C4792&amp;" → "&amp;F4792,"Sin transición"))</f>
        <v/>
      </c>
      <c r="H4792" s="26" t="str">
        <f aca="false">IF(A4792="","",IF(D4792="GCIA LINEA SERVICIO DIGITALIDAD Y VENTAS","Chats",IF(OR(D4792="GERENCIA INBOUND LÍNEAS SERVICIO Y VENTA",D4792="GERENCIA INBOUND LINEAS ESPECIALIZADAS"),"Llamadas","Otro")))</f>
        <v/>
      </c>
      <c r="I4792" s="26" t="str">
        <f aca="false">IF(A4792="","",IF(C4792="No encontrado","No","Sí"))</f>
        <v/>
      </c>
      <c r="J4792" s="26" t="str">
        <f aca="false">IF(A4792="","",IF(F4792="Inactivo","No","Sí"))</f>
        <v/>
      </c>
      <c r="K4792" s="26" t="str">
        <f aca="false">IF(A4792="","",IF(AND(I4792="Sí",J4792="Sí"),"Sí","No"))</f>
        <v/>
      </c>
    </row>
    <row r="4793" customFormat="false" ht="15" hidden="false" customHeight="false" outlineLevel="0" collapsed="false">
      <c r="A4793" s="22"/>
      <c r="B4793" s="22"/>
      <c r="C4793" s="23" t="str">
        <f aca="false">IF(A4793="","",IFERROR(buscarx(A4793&amp;B4793,DATA!$E$3:$E$10000&amp;DATA!$B$3:$B$10000,DATA!$M$3:$M$10000),"No encontrado"))</f>
        <v/>
      </c>
      <c r="D4793" s="24" t="str">
        <f aca="false">IF(A4793="","",IFERROR(buscarx(A4793&amp;B4793,DATA!$E$3:$E$10000&amp;DATA!$B$3:$B$10000,DATA!$W$3:$W$10000),"No encontrado"))</f>
        <v/>
      </c>
      <c r="E4793" s="22"/>
      <c r="F4793" s="23" t="str">
        <f aca="false">IF(A4793="","",IFERROR(buscarx(A4793&amp;E4793,DATA!$E$3:$E$10000&amp;DATA!$B$3:$B$10000,DATA!$M$3:$M$10000),"Inactivo"))</f>
        <v/>
      </c>
      <c r="G4793" s="25" t="str">
        <f aca="false">IF(A4793="","",IF(AND(C4793&lt;&gt;"No encontrado",F4793&lt;&gt;"Inactivo"),C4793&amp;" → "&amp;F4793,"Sin transición"))</f>
        <v/>
      </c>
      <c r="H4793" s="23" t="str">
        <f aca="false">IF(A4793="","",IF(D4793="GCIA LINEA SERVICIO DIGITALIDAD Y VENTAS","Chats",IF(OR(D4793="GERENCIA INBOUND LÍNEAS SERVICIO Y VENTA",D4793="GERENCIA INBOUND LINEAS ESPECIALIZADAS"),"Llamadas","Otro")))</f>
        <v/>
      </c>
      <c r="I4793" s="23" t="str">
        <f aca="false">IF(A4793="","",IF(C4793="No encontrado","No","Sí"))</f>
        <v/>
      </c>
      <c r="J4793" s="23" t="str">
        <f aca="false">IF(A4793="","",IF(F4793="Inactivo","No","Sí"))</f>
        <v/>
      </c>
      <c r="K4793" s="23" t="str">
        <f aca="false">IF(A4793="","",IF(AND(I4793="Sí",J4793="Sí"),"Sí","No"))</f>
        <v/>
      </c>
    </row>
    <row r="4794" customFormat="false" ht="15" hidden="false" customHeight="false" outlineLevel="0" collapsed="false">
      <c r="A4794" s="22"/>
      <c r="B4794" s="22"/>
      <c r="C4794" s="26" t="str">
        <f aca="false">IF(A4794="","",IFERROR(buscarx(A4794&amp;B4794,DATA!$E$3:$E$10000&amp;DATA!$B$3:$B$10000,DATA!$M$3:$M$10000),"No encontrado"))</f>
        <v/>
      </c>
      <c r="D4794" s="27" t="str">
        <f aca="false">IF(A4794="","",IFERROR(buscarx(A4794&amp;B4794,DATA!$E$3:$E$10000&amp;DATA!$B$3:$B$10000,DATA!$W$3:$W$10000),"No encontrado"))</f>
        <v/>
      </c>
      <c r="E4794" s="22"/>
      <c r="F4794" s="26" t="str">
        <f aca="false">IF(A4794="","",IFERROR(buscarx(A4794&amp;E4794,DATA!$E$3:$E$10000&amp;DATA!$B$3:$B$10000,DATA!$M$3:$M$10000),"Inactivo"))</f>
        <v/>
      </c>
      <c r="G4794" s="28" t="str">
        <f aca="false">IF(A4794="","",IF(AND(C4794&lt;&gt;"No encontrado",F4794&lt;&gt;"Inactivo"),C4794&amp;" → "&amp;F4794,"Sin transición"))</f>
        <v/>
      </c>
      <c r="H4794" s="26" t="str">
        <f aca="false">IF(A4794="","",IF(D4794="GCIA LINEA SERVICIO DIGITALIDAD Y VENTAS","Chats",IF(OR(D4794="GERENCIA INBOUND LÍNEAS SERVICIO Y VENTA",D4794="GERENCIA INBOUND LINEAS ESPECIALIZADAS"),"Llamadas","Otro")))</f>
        <v/>
      </c>
      <c r="I4794" s="26" t="str">
        <f aca="false">IF(A4794="","",IF(C4794="No encontrado","No","Sí"))</f>
        <v/>
      </c>
      <c r="J4794" s="26" t="str">
        <f aca="false">IF(A4794="","",IF(F4794="Inactivo","No","Sí"))</f>
        <v/>
      </c>
      <c r="K4794" s="26" t="str">
        <f aca="false">IF(A4794="","",IF(AND(I4794="Sí",J4794="Sí"),"Sí","No"))</f>
        <v/>
      </c>
    </row>
    <row r="4795" customFormat="false" ht="15" hidden="false" customHeight="false" outlineLevel="0" collapsed="false">
      <c r="A4795" s="22"/>
      <c r="B4795" s="22"/>
      <c r="C4795" s="23" t="str">
        <f aca="false">IF(A4795="","",IFERROR(buscarx(A4795&amp;B4795,DATA!$E$3:$E$10000&amp;DATA!$B$3:$B$10000,DATA!$M$3:$M$10000),"No encontrado"))</f>
        <v/>
      </c>
      <c r="D4795" s="24" t="str">
        <f aca="false">IF(A4795="","",IFERROR(buscarx(A4795&amp;B4795,DATA!$E$3:$E$10000&amp;DATA!$B$3:$B$10000,DATA!$W$3:$W$10000),"No encontrado"))</f>
        <v/>
      </c>
      <c r="E4795" s="22"/>
      <c r="F4795" s="23" t="str">
        <f aca="false">IF(A4795="","",IFERROR(buscarx(A4795&amp;E4795,DATA!$E$3:$E$10000&amp;DATA!$B$3:$B$10000,DATA!$M$3:$M$10000),"Inactivo"))</f>
        <v/>
      </c>
      <c r="G4795" s="25" t="str">
        <f aca="false">IF(A4795="","",IF(AND(C4795&lt;&gt;"No encontrado",F4795&lt;&gt;"Inactivo"),C4795&amp;" → "&amp;F4795,"Sin transición"))</f>
        <v/>
      </c>
      <c r="H4795" s="23" t="str">
        <f aca="false">IF(A4795="","",IF(D4795="GCIA LINEA SERVICIO DIGITALIDAD Y VENTAS","Chats",IF(OR(D4795="GERENCIA INBOUND LÍNEAS SERVICIO Y VENTA",D4795="GERENCIA INBOUND LINEAS ESPECIALIZADAS"),"Llamadas","Otro")))</f>
        <v/>
      </c>
      <c r="I4795" s="23" t="str">
        <f aca="false">IF(A4795="","",IF(C4795="No encontrado","No","Sí"))</f>
        <v/>
      </c>
      <c r="J4795" s="23" t="str">
        <f aca="false">IF(A4795="","",IF(F4795="Inactivo","No","Sí"))</f>
        <v/>
      </c>
      <c r="K4795" s="23" t="str">
        <f aca="false">IF(A4795="","",IF(AND(I4795="Sí",J4795="Sí"),"Sí","No"))</f>
        <v/>
      </c>
    </row>
    <row r="4796" customFormat="false" ht="15" hidden="false" customHeight="false" outlineLevel="0" collapsed="false">
      <c r="A4796" s="22"/>
      <c r="B4796" s="22"/>
      <c r="C4796" s="26" t="str">
        <f aca="false">IF(A4796="","",IFERROR(buscarx(A4796&amp;B4796,DATA!$E$3:$E$10000&amp;DATA!$B$3:$B$10000,DATA!$M$3:$M$10000),"No encontrado"))</f>
        <v/>
      </c>
      <c r="D4796" s="27" t="str">
        <f aca="false">IF(A4796="","",IFERROR(buscarx(A4796&amp;B4796,DATA!$E$3:$E$10000&amp;DATA!$B$3:$B$10000,DATA!$W$3:$W$10000),"No encontrado"))</f>
        <v/>
      </c>
      <c r="E4796" s="22"/>
      <c r="F4796" s="26" t="str">
        <f aca="false">IF(A4796="","",IFERROR(buscarx(A4796&amp;E4796,DATA!$E$3:$E$10000&amp;DATA!$B$3:$B$10000,DATA!$M$3:$M$10000),"Inactivo"))</f>
        <v/>
      </c>
      <c r="G4796" s="28" t="str">
        <f aca="false">IF(A4796="","",IF(AND(C4796&lt;&gt;"No encontrado",F4796&lt;&gt;"Inactivo"),C4796&amp;" → "&amp;F4796,"Sin transición"))</f>
        <v/>
      </c>
      <c r="H4796" s="26" t="str">
        <f aca="false">IF(A4796="","",IF(D4796="GCIA LINEA SERVICIO DIGITALIDAD Y VENTAS","Chats",IF(OR(D4796="GERENCIA INBOUND LÍNEAS SERVICIO Y VENTA",D4796="GERENCIA INBOUND LINEAS ESPECIALIZADAS"),"Llamadas","Otro")))</f>
        <v/>
      </c>
      <c r="I4796" s="26" t="str">
        <f aca="false">IF(A4796="","",IF(C4796="No encontrado","No","Sí"))</f>
        <v/>
      </c>
      <c r="J4796" s="26" t="str">
        <f aca="false">IF(A4796="","",IF(F4796="Inactivo","No","Sí"))</f>
        <v/>
      </c>
      <c r="K4796" s="26" t="str">
        <f aca="false">IF(A4796="","",IF(AND(I4796="Sí",J4796="Sí"),"Sí","No"))</f>
        <v/>
      </c>
    </row>
    <row r="4797" customFormat="false" ht="15" hidden="false" customHeight="false" outlineLevel="0" collapsed="false">
      <c r="A4797" s="22"/>
      <c r="B4797" s="22"/>
      <c r="C4797" s="23" t="str">
        <f aca="false">IF(A4797="","",IFERROR(buscarx(A4797&amp;B4797,DATA!$E$3:$E$10000&amp;DATA!$B$3:$B$10000,DATA!$M$3:$M$10000),"No encontrado"))</f>
        <v/>
      </c>
      <c r="D4797" s="24" t="str">
        <f aca="false">IF(A4797="","",IFERROR(buscarx(A4797&amp;B4797,DATA!$E$3:$E$10000&amp;DATA!$B$3:$B$10000,DATA!$W$3:$W$10000),"No encontrado"))</f>
        <v/>
      </c>
      <c r="E4797" s="22"/>
      <c r="F4797" s="23" t="str">
        <f aca="false">IF(A4797="","",IFERROR(buscarx(A4797&amp;E4797,DATA!$E$3:$E$10000&amp;DATA!$B$3:$B$10000,DATA!$M$3:$M$10000),"Inactivo"))</f>
        <v/>
      </c>
      <c r="G4797" s="25" t="str">
        <f aca="false">IF(A4797="","",IF(AND(C4797&lt;&gt;"No encontrado",F4797&lt;&gt;"Inactivo"),C4797&amp;" → "&amp;F4797,"Sin transición"))</f>
        <v/>
      </c>
      <c r="H4797" s="23" t="str">
        <f aca="false">IF(A4797="","",IF(D4797="GCIA LINEA SERVICIO DIGITALIDAD Y VENTAS","Chats",IF(OR(D4797="GERENCIA INBOUND LÍNEAS SERVICIO Y VENTA",D4797="GERENCIA INBOUND LINEAS ESPECIALIZADAS"),"Llamadas","Otro")))</f>
        <v/>
      </c>
      <c r="I4797" s="23" t="str">
        <f aca="false">IF(A4797="","",IF(C4797="No encontrado","No","Sí"))</f>
        <v/>
      </c>
      <c r="J4797" s="23" t="str">
        <f aca="false">IF(A4797="","",IF(F4797="Inactivo","No","Sí"))</f>
        <v/>
      </c>
      <c r="K4797" s="23" t="str">
        <f aca="false">IF(A4797="","",IF(AND(I4797="Sí",J4797="Sí"),"Sí","No"))</f>
        <v/>
      </c>
    </row>
    <row r="4798" customFormat="false" ht="15" hidden="false" customHeight="false" outlineLevel="0" collapsed="false">
      <c r="A4798" s="22"/>
      <c r="B4798" s="22"/>
      <c r="C4798" s="26" t="str">
        <f aca="false">IF(A4798="","",IFERROR(buscarx(A4798&amp;B4798,DATA!$E$3:$E$10000&amp;DATA!$B$3:$B$10000,DATA!$M$3:$M$10000),"No encontrado"))</f>
        <v/>
      </c>
      <c r="D4798" s="27" t="str">
        <f aca="false">IF(A4798="","",IFERROR(buscarx(A4798&amp;B4798,DATA!$E$3:$E$10000&amp;DATA!$B$3:$B$10000,DATA!$W$3:$W$10000),"No encontrado"))</f>
        <v/>
      </c>
      <c r="E4798" s="22"/>
      <c r="F4798" s="26" t="str">
        <f aca="false">IF(A4798="","",IFERROR(buscarx(A4798&amp;E4798,DATA!$E$3:$E$10000&amp;DATA!$B$3:$B$10000,DATA!$M$3:$M$10000),"Inactivo"))</f>
        <v/>
      </c>
      <c r="G4798" s="28" t="str">
        <f aca="false">IF(A4798="","",IF(AND(C4798&lt;&gt;"No encontrado",F4798&lt;&gt;"Inactivo"),C4798&amp;" → "&amp;F4798,"Sin transición"))</f>
        <v/>
      </c>
      <c r="H4798" s="26" t="str">
        <f aca="false">IF(A4798="","",IF(D4798="GCIA LINEA SERVICIO DIGITALIDAD Y VENTAS","Chats",IF(OR(D4798="GERENCIA INBOUND LÍNEAS SERVICIO Y VENTA",D4798="GERENCIA INBOUND LINEAS ESPECIALIZADAS"),"Llamadas","Otro")))</f>
        <v/>
      </c>
      <c r="I4798" s="26" t="str">
        <f aca="false">IF(A4798="","",IF(C4798="No encontrado","No","Sí"))</f>
        <v/>
      </c>
      <c r="J4798" s="26" t="str">
        <f aca="false">IF(A4798="","",IF(F4798="Inactivo","No","Sí"))</f>
        <v/>
      </c>
      <c r="K4798" s="26" t="str">
        <f aca="false">IF(A4798="","",IF(AND(I4798="Sí",J4798="Sí"),"Sí","No"))</f>
        <v/>
      </c>
    </row>
    <row r="4799" customFormat="false" ht="15" hidden="false" customHeight="false" outlineLevel="0" collapsed="false">
      <c r="A4799" s="22"/>
      <c r="B4799" s="22"/>
      <c r="C4799" s="23" t="str">
        <f aca="false">IF(A4799="","",IFERROR(buscarx(A4799&amp;B4799,DATA!$E$3:$E$10000&amp;DATA!$B$3:$B$10000,DATA!$M$3:$M$10000),"No encontrado"))</f>
        <v/>
      </c>
      <c r="D4799" s="24" t="str">
        <f aca="false">IF(A4799="","",IFERROR(buscarx(A4799&amp;B4799,DATA!$E$3:$E$10000&amp;DATA!$B$3:$B$10000,DATA!$W$3:$W$10000),"No encontrado"))</f>
        <v/>
      </c>
      <c r="E4799" s="22"/>
      <c r="F4799" s="23" t="str">
        <f aca="false">IF(A4799="","",IFERROR(buscarx(A4799&amp;E4799,DATA!$E$3:$E$10000&amp;DATA!$B$3:$B$10000,DATA!$M$3:$M$10000),"Inactivo"))</f>
        <v/>
      </c>
      <c r="G4799" s="25" t="str">
        <f aca="false">IF(A4799="","",IF(AND(C4799&lt;&gt;"No encontrado",F4799&lt;&gt;"Inactivo"),C4799&amp;" → "&amp;F4799,"Sin transición"))</f>
        <v/>
      </c>
      <c r="H4799" s="23" t="str">
        <f aca="false">IF(A4799="","",IF(D4799="GCIA LINEA SERVICIO DIGITALIDAD Y VENTAS","Chats",IF(OR(D4799="GERENCIA INBOUND LÍNEAS SERVICIO Y VENTA",D4799="GERENCIA INBOUND LINEAS ESPECIALIZADAS"),"Llamadas","Otro")))</f>
        <v/>
      </c>
      <c r="I4799" s="23" t="str">
        <f aca="false">IF(A4799="","",IF(C4799="No encontrado","No","Sí"))</f>
        <v/>
      </c>
      <c r="J4799" s="23" t="str">
        <f aca="false">IF(A4799="","",IF(F4799="Inactivo","No","Sí"))</f>
        <v/>
      </c>
      <c r="K4799" s="23" t="str">
        <f aca="false">IF(A4799="","",IF(AND(I4799="Sí",J4799="Sí"),"Sí","No"))</f>
        <v/>
      </c>
    </row>
    <row r="4800" customFormat="false" ht="15" hidden="false" customHeight="false" outlineLevel="0" collapsed="false">
      <c r="A4800" s="22"/>
      <c r="B4800" s="22"/>
      <c r="C4800" s="26" t="str">
        <f aca="false">IF(A4800="","",IFERROR(buscarx(A4800&amp;B4800,DATA!$E$3:$E$10000&amp;DATA!$B$3:$B$10000,DATA!$M$3:$M$10000),"No encontrado"))</f>
        <v/>
      </c>
      <c r="D4800" s="27" t="str">
        <f aca="false">IF(A4800="","",IFERROR(buscarx(A4800&amp;B4800,DATA!$E$3:$E$10000&amp;DATA!$B$3:$B$10000,DATA!$W$3:$W$10000),"No encontrado"))</f>
        <v/>
      </c>
      <c r="E4800" s="22"/>
      <c r="F4800" s="26" t="str">
        <f aca="false">IF(A4800="","",IFERROR(buscarx(A4800&amp;E4800,DATA!$E$3:$E$10000&amp;DATA!$B$3:$B$10000,DATA!$M$3:$M$10000),"Inactivo"))</f>
        <v/>
      </c>
      <c r="G4800" s="28" t="str">
        <f aca="false">IF(A4800="","",IF(AND(C4800&lt;&gt;"No encontrado",F4800&lt;&gt;"Inactivo"),C4800&amp;" → "&amp;F4800,"Sin transición"))</f>
        <v/>
      </c>
      <c r="H4800" s="26" t="str">
        <f aca="false">IF(A4800="","",IF(D4800="GCIA LINEA SERVICIO DIGITALIDAD Y VENTAS","Chats",IF(OR(D4800="GERENCIA INBOUND LÍNEAS SERVICIO Y VENTA",D4800="GERENCIA INBOUND LINEAS ESPECIALIZADAS"),"Llamadas","Otro")))</f>
        <v/>
      </c>
      <c r="I4800" s="26" t="str">
        <f aca="false">IF(A4800="","",IF(C4800="No encontrado","No","Sí"))</f>
        <v/>
      </c>
      <c r="J4800" s="26" t="str">
        <f aca="false">IF(A4800="","",IF(F4800="Inactivo","No","Sí"))</f>
        <v/>
      </c>
      <c r="K4800" s="26" t="str">
        <f aca="false">IF(A4800="","",IF(AND(I4800="Sí",J4800="Sí"),"Sí","No"))</f>
        <v/>
      </c>
    </row>
    <row r="4801" customFormat="false" ht="15" hidden="false" customHeight="false" outlineLevel="0" collapsed="false">
      <c r="A4801" s="22"/>
      <c r="B4801" s="22"/>
      <c r="C4801" s="23" t="str">
        <f aca="false">IF(A4801="","",IFERROR(buscarx(A4801&amp;B4801,DATA!$E$3:$E$10000&amp;DATA!$B$3:$B$10000,DATA!$M$3:$M$10000),"No encontrado"))</f>
        <v/>
      </c>
      <c r="D4801" s="24" t="str">
        <f aca="false">IF(A4801="","",IFERROR(buscarx(A4801&amp;B4801,DATA!$E$3:$E$10000&amp;DATA!$B$3:$B$10000,DATA!$W$3:$W$10000),"No encontrado"))</f>
        <v/>
      </c>
      <c r="E4801" s="22"/>
      <c r="F4801" s="23" t="str">
        <f aca="false">IF(A4801="","",IFERROR(buscarx(A4801&amp;E4801,DATA!$E$3:$E$10000&amp;DATA!$B$3:$B$10000,DATA!$M$3:$M$10000),"Inactivo"))</f>
        <v/>
      </c>
      <c r="G4801" s="25" t="str">
        <f aca="false">IF(A4801="","",IF(AND(C4801&lt;&gt;"No encontrado",F4801&lt;&gt;"Inactivo"),C4801&amp;" → "&amp;F4801,"Sin transición"))</f>
        <v/>
      </c>
      <c r="H4801" s="23" t="str">
        <f aca="false">IF(A4801="","",IF(D4801="GCIA LINEA SERVICIO DIGITALIDAD Y VENTAS","Chats",IF(OR(D4801="GERENCIA INBOUND LÍNEAS SERVICIO Y VENTA",D4801="GERENCIA INBOUND LINEAS ESPECIALIZADAS"),"Llamadas","Otro")))</f>
        <v/>
      </c>
      <c r="I4801" s="23" t="str">
        <f aca="false">IF(A4801="","",IF(C4801="No encontrado","No","Sí"))</f>
        <v/>
      </c>
      <c r="J4801" s="23" t="str">
        <f aca="false">IF(A4801="","",IF(F4801="Inactivo","No","Sí"))</f>
        <v/>
      </c>
      <c r="K4801" s="23" t="str">
        <f aca="false">IF(A4801="","",IF(AND(I4801="Sí",J4801="Sí"),"Sí","No"))</f>
        <v/>
      </c>
    </row>
    <row r="4802" customFormat="false" ht="15" hidden="false" customHeight="false" outlineLevel="0" collapsed="false">
      <c r="A4802" s="22"/>
      <c r="B4802" s="22"/>
      <c r="C4802" s="26" t="str">
        <f aca="false">IF(A4802="","",IFERROR(buscarx(A4802&amp;B4802,DATA!$E$3:$E$10000&amp;DATA!$B$3:$B$10000,DATA!$M$3:$M$10000),"No encontrado"))</f>
        <v/>
      </c>
      <c r="D4802" s="27" t="str">
        <f aca="false">IF(A4802="","",IFERROR(buscarx(A4802&amp;B4802,DATA!$E$3:$E$10000&amp;DATA!$B$3:$B$10000,DATA!$W$3:$W$10000),"No encontrado"))</f>
        <v/>
      </c>
      <c r="E4802" s="22"/>
      <c r="F4802" s="26" t="str">
        <f aca="false">IF(A4802="","",IFERROR(buscarx(A4802&amp;E4802,DATA!$E$3:$E$10000&amp;DATA!$B$3:$B$10000,DATA!$M$3:$M$10000),"Inactivo"))</f>
        <v/>
      </c>
      <c r="G4802" s="28" t="str">
        <f aca="false">IF(A4802="","",IF(AND(C4802&lt;&gt;"No encontrado",F4802&lt;&gt;"Inactivo"),C4802&amp;" → "&amp;F4802,"Sin transición"))</f>
        <v/>
      </c>
      <c r="H4802" s="26" t="str">
        <f aca="false">IF(A4802="","",IF(D4802="GCIA LINEA SERVICIO DIGITALIDAD Y VENTAS","Chats",IF(OR(D4802="GERENCIA INBOUND LÍNEAS SERVICIO Y VENTA",D4802="GERENCIA INBOUND LINEAS ESPECIALIZADAS"),"Llamadas","Otro")))</f>
        <v/>
      </c>
      <c r="I4802" s="26" t="str">
        <f aca="false">IF(A4802="","",IF(C4802="No encontrado","No","Sí"))</f>
        <v/>
      </c>
      <c r="J4802" s="26" t="str">
        <f aca="false">IF(A4802="","",IF(F4802="Inactivo","No","Sí"))</f>
        <v/>
      </c>
      <c r="K4802" s="26" t="str">
        <f aca="false">IF(A4802="","",IF(AND(I4802="Sí",J4802="Sí"),"Sí","No"))</f>
        <v/>
      </c>
    </row>
    <row r="4803" customFormat="false" ht="15" hidden="false" customHeight="false" outlineLevel="0" collapsed="false">
      <c r="A4803" s="22"/>
      <c r="B4803" s="22"/>
      <c r="C4803" s="23" t="str">
        <f aca="false">IF(A4803="","",IFERROR(buscarx(A4803&amp;B4803,DATA!$E$3:$E$10000&amp;DATA!$B$3:$B$10000,DATA!$M$3:$M$10000),"No encontrado"))</f>
        <v/>
      </c>
      <c r="D4803" s="24" t="str">
        <f aca="false">IF(A4803="","",IFERROR(buscarx(A4803&amp;B4803,DATA!$E$3:$E$10000&amp;DATA!$B$3:$B$10000,DATA!$W$3:$W$10000),"No encontrado"))</f>
        <v/>
      </c>
      <c r="E4803" s="22"/>
      <c r="F4803" s="23" t="str">
        <f aca="false">IF(A4803="","",IFERROR(buscarx(A4803&amp;E4803,DATA!$E$3:$E$10000&amp;DATA!$B$3:$B$10000,DATA!$M$3:$M$10000),"Inactivo"))</f>
        <v/>
      </c>
      <c r="G4803" s="25" t="str">
        <f aca="false">IF(A4803="","",IF(AND(C4803&lt;&gt;"No encontrado",F4803&lt;&gt;"Inactivo"),C4803&amp;" → "&amp;F4803,"Sin transición"))</f>
        <v/>
      </c>
      <c r="H4803" s="23" t="str">
        <f aca="false">IF(A4803="","",IF(D4803="GCIA LINEA SERVICIO DIGITALIDAD Y VENTAS","Chats",IF(OR(D4803="GERENCIA INBOUND LÍNEAS SERVICIO Y VENTA",D4803="GERENCIA INBOUND LINEAS ESPECIALIZADAS"),"Llamadas","Otro")))</f>
        <v/>
      </c>
      <c r="I4803" s="23" t="str">
        <f aca="false">IF(A4803="","",IF(C4803="No encontrado","No","Sí"))</f>
        <v/>
      </c>
      <c r="J4803" s="23" t="str">
        <f aca="false">IF(A4803="","",IF(F4803="Inactivo","No","Sí"))</f>
        <v/>
      </c>
      <c r="K4803" s="23" t="str">
        <f aca="false">IF(A4803="","",IF(AND(I4803="Sí",J4803="Sí"),"Sí","No"))</f>
        <v/>
      </c>
    </row>
    <row r="4804" customFormat="false" ht="15" hidden="false" customHeight="false" outlineLevel="0" collapsed="false">
      <c r="A4804" s="22"/>
      <c r="B4804" s="22"/>
      <c r="C4804" s="26" t="str">
        <f aca="false">IF(A4804="","",IFERROR(buscarx(A4804&amp;B4804,DATA!$E$3:$E$10000&amp;DATA!$B$3:$B$10000,DATA!$M$3:$M$10000),"No encontrado"))</f>
        <v/>
      </c>
      <c r="D4804" s="27" t="str">
        <f aca="false">IF(A4804="","",IFERROR(buscarx(A4804&amp;B4804,DATA!$E$3:$E$10000&amp;DATA!$B$3:$B$10000,DATA!$W$3:$W$10000),"No encontrado"))</f>
        <v/>
      </c>
      <c r="E4804" s="22"/>
      <c r="F4804" s="26" t="str">
        <f aca="false">IF(A4804="","",IFERROR(buscarx(A4804&amp;E4804,DATA!$E$3:$E$10000&amp;DATA!$B$3:$B$10000,DATA!$M$3:$M$10000),"Inactivo"))</f>
        <v/>
      </c>
      <c r="G4804" s="28" t="str">
        <f aca="false">IF(A4804="","",IF(AND(C4804&lt;&gt;"No encontrado",F4804&lt;&gt;"Inactivo"),C4804&amp;" → "&amp;F4804,"Sin transición"))</f>
        <v/>
      </c>
      <c r="H4804" s="26" t="str">
        <f aca="false">IF(A4804="","",IF(D4804="GCIA LINEA SERVICIO DIGITALIDAD Y VENTAS","Chats",IF(OR(D4804="GERENCIA INBOUND LÍNEAS SERVICIO Y VENTA",D4804="GERENCIA INBOUND LINEAS ESPECIALIZADAS"),"Llamadas","Otro")))</f>
        <v/>
      </c>
      <c r="I4804" s="26" t="str">
        <f aca="false">IF(A4804="","",IF(C4804="No encontrado","No","Sí"))</f>
        <v/>
      </c>
      <c r="J4804" s="26" t="str">
        <f aca="false">IF(A4804="","",IF(F4804="Inactivo","No","Sí"))</f>
        <v/>
      </c>
      <c r="K4804" s="26" t="str">
        <f aca="false">IF(A4804="","",IF(AND(I4804="Sí",J4804="Sí"),"Sí","No"))</f>
        <v/>
      </c>
    </row>
    <row r="4805" customFormat="false" ht="15" hidden="false" customHeight="false" outlineLevel="0" collapsed="false">
      <c r="A4805" s="22"/>
      <c r="B4805" s="22"/>
      <c r="C4805" s="23" t="str">
        <f aca="false">IF(A4805="","",IFERROR(buscarx(A4805&amp;B4805,DATA!$E$3:$E$10000&amp;DATA!$B$3:$B$10000,DATA!$M$3:$M$10000),"No encontrado"))</f>
        <v/>
      </c>
      <c r="D4805" s="24" t="str">
        <f aca="false">IF(A4805="","",IFERROR(buscarx(A4805&amp;B4805,DATA!$E$3:$E$10000&amp;DATA!$B$3:$B$10000,DATA!$W$3:$W$10000),"No encontrado"))</f>
        <v/>
      </c>
      <c r="E4805" s="22"/>
      <c r="F4805" s="23" t="str">
        <f aca="false">IF(A4805="","",IFERROR(buscarx(A4805&amp;E4805,DATA!$E$3:$E$10000&amp;DATA!$B$3:$B$10000,DATA!$M$3:$M$10000),"Inactivo"))</f>
        <v/>
      </c>
      <c r="G4805" s="25" t="str">
        <f aca="false">IF(A4805="","",IF(AND(C4805&lt;&gt;"No encontrado",F4805&lt;&gt;"Inactivo"),C4805&amp;" → "&amp;F4805,"Sin transición"))</f>
        <v/>
      </c>
      <c r="H4805" s="23" t="str">
        <f aca="false">IF(A4805="","",IF(D4805="GCIA LINEA SERVICIO DIGITALIDAD Y VENTAS","Chats",IF(OR(D4805="GERENCIA INBOUND LÍNEAS SERVICIO Y VENTA",D4805="GERENCIA INBOUND LINEAS ESPECIALIZADAS"),"Llamadas","Otro")))</f>
        <v/>
      </c>
      <c r="I4805" s="23" t="str">
        <f aca="false">IF(A4805="","",IF(C4805="No encontrado","No","Sí"))</f>
        <v/>
      </c>
      <c r="J4805" s="23" t="str">
        <f aca="false">IF(A4805="","",IF(F4805="Inactivo","No","Sí"))</f>
        <v/>
      </c>
      <c r="K4805" s="23" t="str">
        <f aca="false">IF(A4805="","",IF(AND(I4805="Sí",J4805="Sí"),"Sí","No"))</f>
        <v/>
      </c>
    </row>
    <row r="4806" customFormat="false" ht="15" hidden="false" customHeight="false" outlineLevel="0" collapsed="false">
      <c r="A4806" s="22"/>
      <c r="B4806" s="22"/>
      <c r="C4806" s="26" t="str">
        <f aca="false">IF(A4806="","",IFERROR(buscarx(A4806&amp;B4806,DATA!$E$3:$E$10000&amp;DATA!$B$3:$B$10000,DATA!$M$3:$M$10000),"No encontrado"))</f>
        <v/>
      </c>
      <c r="D4806" s="27" t="str">
        <f aca="false">IF(A4806="","",IFERROR(buscarx(A4806&amp;B4806,DATA!$E$3:$E$10000&amp;DATA!$B$3:$B$10000,DATA!$W$3:$W$10000),"No encontrado"))</f>
        <v/>
      </c>
      <c r="E4806" s="22"/>
      <c r="F4806" s="26" t="str">
        <f aca="false">IF(A4806="","",IFERROR(buscarx(A4806&amp;E4806,DATA!$E$3:$E$10000&amp;DATA!$B$3:$B$10000,DATA!$M$3:$M$10000),"Inactivo"))</f>
        <v/>
      </c>
      <c r="G4806" s="28" t="str">
        <f aca="false">IF(A4806="","",IF(AND(C4806&lt;&gt;"No encontrado",F4806&lt;&gt;"Inactivo"),C4806&amp;" → "&amp;F4806,"Sin transición"))</f>
        <v/>
      </c>
      <c r="H4806" s="26" t="str">
        <f aca="false">IF(A4806="","",IF(D4806="GCIA LINEA SERVICIO DIGITALIDAD Y VENTAS","Chats",IF(OR(D4806="GERENCIA INBOUND LÍNEAS SERVICIO Y VENTA",D4806="GERENCIA INBOUND LINEAS ESPECIALIZADAS"),"Llamadas","Otro")))</f>
        <v/>
      </c>
      <c r="I4806" s="26" t="str">
        <f aca="false">IF(A4806="","",IF(C4806="No encontrado","No","Sí"))</f>
        <v/>
      </c>
      <c r="J4806" s="26" t="str">
        <f aca="false">IF(A4806="","",IF(F4806="Inactivo","No","Sí"))</f>
        <v/>
      </c>
      <c r="K4806" s="26" t="str">
        <f aca="false">IF(A4806="","",IF(AND(I4806="Sí",J4806="Sí"),"Sí","No"))</f>
        <v/>
      </c>
    </row>
    <row r="4807" customFormat="false" ht="15" hidden="false" customHeight="false" outlineLevel="0" collapsed="false">
      <c r="A4807" s="22"/>
      <c r="B4807" s="22"/>
      <c r="C4807" s="23" t="str">
        <f aca="false">IF(A4807="","",IFERROR(buscarx(A4807&amp;B4807,DATA!$E$3:$E$10000&amp;DATA!$B$3:$B$10000,DATA!$M$3:$M$10000),"No encontrado"))</f>
        <v/>
      </c>
      <c r="D4807" s="24" t="str">
        <f aca="false">IF(A4807="","",IFERROR(buscarx(A4807&amp;B4807,DATA!$E$3:$E$10000&amp;DATA!$B$3:$B$10000,DATA!$W$3:$W$10000),"No encontrado"))</f>
        <v/>
      </c>
      <c r="E4807" s="22"/>
      <c r="F4807" s="23" t="str">
        <f aca="false">IF(A4807="","",IFERROR(buscarx(A4807&amp;E4807,DATA!$E$3:$E$10000&amp;DATA!$B$3:$B$10000,DATA!$M$3:$M$10000),"Inactivo"))</f>
        <v/>
      </c>
      <c r="G4807" s="25" t="str">
        <f aca="false">IF(A4807="","",IF(AND(C4807&lt;&gt;"No encontrado",F4807&lt;&gt;"Inactivo"),C4807&amp;" → "&amp;F4807,"Sin transición"))</f>
        <v/>
      </c>
      <c r="H4807" s="23" t="str">
        <f aca="false">IF(A4807="","",IF(D4807="GCIA LINEA SERVICIO DIGITALIDAD Y VENTAS","Chats",IF(OR(D4807="GERENCIA INBOUND LÍNEAS SERVICIO Y VENTA",D4807="GERENCIA INBOUND LINEAS ESPECIALIZADAS"),"Llamadas","Otro")))</f>
        <v/>
      </c>
      <c r="I4807" s="23" t="str">
        <f aca="false">IF(A4807="","",IF(C4807="No encontrado","No","Sí"))</f>
        <v/>
      </c>
      <c r="J4807" s="23" t="str">
        <f aca="false">IF(A4807="","",IF(F4807="Inactivo","No","Sí"))</f>
        <v/>
      </c>
      <c r="K4807" s="23" t="str">
        <f aca="false">IF(A4807="","",IF(AND(I4807="Sí",J4807="Sí"),"Sí","No"))</f>
        <v/>
      </c>
    </row>
    <row r="4808" customFormat="false" ht="15" hidden="false" customHeight="false" outlineLevel="0" collapsed="false">
      <c r="A4808" s="22"/>
      <c r="B4808" s="22"/>
      <c r="C4808" s="26" t="str">
        <f aca="false">IF(A4808="","",IFERROR(buscarx(A4808&amp;B4808,DATA!$E$3:$E$10000&amp;DATA!$B$3:$B$10000,DATA!$M$3:$M$10000),"No encontrado"))</f>
        <v/>
      </c>
      <c r="D4808" s="27" t="str">
        <f aca="false">IF(A4808="","",IFERROR(buscarx(A4808&amp;B4808,DATA!$E$3:$E$10000&amp;DATA!$B$3:$B$10000,DATA!$W$3:$W$10000),"No encontrado"))</f>
        <v/>
      </c>
      <c r="E4808" s="22"/>
      <c r="F4808" s="26" t="str">
        <f aca="false">IF(A4808="","",IFERROR(buscarx(A4808&amp;E4808,DATA!$E$3:$E$10000&amp;DATA!$B$3:$B$10000,DATA!$M$3:$M$10000),"Inactivo"))</f>
        <v/>
      </c>
      <c r="G4808" s="28" t="str">
        <f aca="false">IF(A4808="","",IF(AND(C4808&lt;&gt;"No encontrado",F4808&lt;&gt;"Inactivo"),C4808&amp;" → "&amp;F4808,"Sin transición"))</f>
        <v/>
      </c>
      <c r="H4808" s="26" t="str">
        <f aca="false">IF(A4808="","",IF(D4808="GCIA LINEA SERVICIO DIGITALIDAD Y VENTAS","Chats",IF(OR(D4808="GERENCIA INBOUND LÍNEAS SERVICIO Y VENTA",D4808="GERENCIA INBOUND LINEAS ESPECIALIZADAS"),"Llamadas","Otro")))</f>
        <v/>
      </c>
      <c r="I4808" s="26" t="str">
        <f aca="false">IF(A4808="","",IF(C4808="No encontrado","No","Sí"))</f>
        <v/>
      </c>
      <c r="J4808" s="26" t="str">
        <f aca="false">IF(A4808="","",IF(F4808="Inactivo","No","Sí"))</f>
        <v/>
      </c>
      <c r="K4808" s="26" t="str">
        <f aca="false">IF(A4808="","",IF(AND(I4808="Sí",J4808="Sí"),"Sí","No"))</f>
        <v/>
      </c>
    </row>
    <row r="4809" customFormat="false" ht="15" hidden="false" customHeight="false" outlineLevel="0" collapsed="false">
      <c r="A4809" s="22"/>
      <c r="B4809" s="22"/>
      <c r="C4809" s="23" t="str">
        <f aca="false">IF(A4809="","",IFERROR(buscarx(A4809&amp;B4809,DATA!$E$3:$E$10000&amp;DATA!$B$3:$B$10000,DATA!$M$3:$M$10000),"No encontrado"))</f>
        <v/>
      </c>
      <c r="D4809" s="24" t="str">
        <f aca="false">IF(A4809="","",IFERROR(buscarx(A4809&amp;B4809,DATA!$E$3:$E$10000&amp;DATA!$B$3:$B$10000,DATA!$W$3:$W$10000),"No encontrado"))</f>
        <v/>
      </c>
      <c r="E4809" s="22"/>
      <c r="F4809" s="23" t="str">
        <f aca="false">IF(A4809="","",IFERROR(buscarx(A4809&amp;E4809,DATA!$E$3:$E$10000&amp;DATA!$B$3:$B$10000,DATA!$M$3:$M$10000),"Inactivo"))</f>
        <v/>
      </c>
      <c r="G4809" s="25" t="str">
        <f aca="false">IF(A4809="","",IF(AND(C4809&lt;&gt;"No encontrado",F4809&lt;&gt;"Inactivo"),C4809&amp;" → "&amp;F4809,"Sin transición"))</f>
        <v/>
      </c>
      <c r="H4809" s="23" t="str">
        <f aca="false">IF(A4809="","",IF(D4809="GCIA LINEA SERVICIO DIGITALIDAD Y VENTAS","Chats",IF(OR(D4809="GERENCIA INBOUND LÍNEAS SERVICIO Y VENTA",D4809="GERENCIA INBOUND LINEAS ESPECIALIZADAS"),"Llamadas","Otro")))</f>
        <v/>
      </c>
      <c r="I4809" s="23" t="str">
        <f aca="false">IF(A4809="","",IF(C4809="No encontrado","No","Sí"))</f>
        <v/>
      </c>
      <c r="J4809" s="23" t="str">
        <f aca="false">IF(A4809="","",IF(F4809="Inactivo","No","Sí"))</f>
        <v/>
      </c>
      <c r="K4809" s="23" t="str">
        <f aca="false">IF(A4809="","",IF(AND(I4809="Sí",J4809="Sí"),"Sí","No"))</f>
        <v/>
      </c>
    </row>
    <row r="4810" customFormat="false" ht="15" hidden="false" customHeight="false" outlineLevel="0" collapsed="false">
      <c r="A4810" s="22"/>
      <c r="B4810" s="22"/>
      <c r="C4810" s="26" t="str">
        <f aca="false">IF(A4810="","",IFERROR(buscarx(A4810&amp;B4810,DATA!$E$3:$E$10000&amp;DATA!$B$3:$B$10000,DATA!$M$3:$M$10000),"No encontrado"))</f>
        <v/>
      </c>
      <c r="D4810" s="27" t="str">
        <f aca="false">IF(A4810="","",IFERROR(buscarx(A4810&amp;B4810,DATA!$E$3:$E$10000&amp;DATA!$B$3:$B$10000,DATA!$W$3:$W$10000),"No encontrado"))</f>
        <v/>
      </c>
      <c r="E4810" s="22"/>
      <c r="F4810" s="26" t="str">
        <f aca="false">IF(A4810="","",IFERROR(buscarx(A4810&amp;E4810,DATA!$E$3:$E$10000&amp;DATA!$B$3:$B$10000,DATA!$M$3:$M$10000),"Inactivo"))</f>
        <v/>
      </c>
      <c r="G4810" s="28" t="str">
        <f aca="false">IF(A4810="","",IF(AND(C4810&lt;&gt;"No encontrado",F4810&lt;&gt;"Inactivo"),C4810&amp;" → "&amp;F4810,"Sin transición"))</f>
        <v/>
      </c>
      <c r="H4810" s="26" t="str">
        <f aca="false">IF(A4810="","",IF(D4810="GCIA LINEA SERVICIO DIGITALIDAD Y VENTAS","Chats",IF(OR(D4810="GERENCIA INBOUND LÍNEAS SERVICIO Y VENTA",D4810="GERENCIA INBOUND LINEAS ESPECIALIZADAS"),"Llamadas","Otro")))</f>
        <v/>
      </c>
      <c r="I4810" s="26" t="str">
        <f aca="false">IF(A4810="","",IF(C4810="No encontrado","No","Sí"))</f>
        <v/>
      </c>
      <c r="J4810" s="26" t="str">
        <f aca="false">IF(A4810="","",IF(F4810="Inactivo","No","Sí"))</f>
        <v/>
      </c>
      <c r="K4810" s="26" t="str">
        <f aca="false">IF(A4810="","",IF(AND(I4810="Sí",J4810="Sí"),"Sí","No"))</f>
        <v/>
      </c>
    </row>
    <row r="4811" customFormat="false" ht="15" hidden="false" customHeight="false" outlineLevel="0" collapsed="false">
      <c r="A4811" s="22"/>
      <c r="B4811" s="22"/>
      <c r="C4811" s="23" t="str">
        <f aca="false">IF(A4811="","",IFERROR(buscarx(A4811&amp;B4811,DATA!$E$3:$E$10000&amp;DATA!$B$3:$B$10000,DATA!$M$3:$M$10000),"No encontrado"))</f>
        <v/>
      </c>
      <c r="D4811" s="24" t="str">
        <f aca="false">IF(A4811="","",IFERROR(buscarx(A4811&amp;B4811,DATA!$E$3:$E$10000&amp;DATA!$B$3:$B$10000,DATA!$W$3:$W$10000),"No encontrado"))</f>
        <v/>
      </c>
      <c r="E4811" s="22"/>
      <c r="F4811" s="23" t="str">
        <f aca="false">IF(A4811="","",IFERROR(buscarx(A4811&amp;E4811,DATA!$E$3:$E$10000&amp;DATA!$B$3:$B$10000,DATA!$M$3:$M$10000),"Inactivo"))</f>
        <v/>
      </c>
      <c r="G4811" s="25" t="str">
        <f aca="false">IF(A4811="","",IF(AND(C4811&lt;&gt;"No encontrado",F4811&lt;&gt;"Inactivo"),C4811&amp;" → "&amp;F4811,"Sin transición"))</f>
        <v/>
      </c>
      <c r="H4811" s="23" t="str">
        <f aca="false">IF(A4811="","",IF(D4811="GCIA LINEA SERVICIO DIGITALIDAD Y VENTAS","Chats",IF(OR(D4811="GERENCIA INBOUND LÍNEAS SERVICIO Y VENTA",D4811="GERENCIA INBOUND LINEAS ESPECIALIZADAS"),"Llamadas","Otro")))</f>
        <v/>
      </c>
      <c r="I4811" s="23" t="str">
        <f aca="false">IF(A4811="","",IF(C4811="No encontrado","No","Sí"))</f>
        <v/>
      </c>
      <c r="J4811" s="23" t="str">
        <f aca="false">IF(A4811="","",IF(F4811="Inactivo","No","Sí"))</f>
        <v/>
      </c>
      <c r="K4811" s="23" t="str">
        <f aca="false">IF(A4811="","",IF(AND(I4811="Sí",J4811="Sí"),"Sí","No"))</f>
        <v/>
      </c>
    </row>
    <row r="4812" customFormat="false" ht="15" hidden="false" customHeight="false" outlineLevel="0" collapsed="false">
      <c r="A4812" s="22"/>
      <c r="B4812" s="22"/>
      <c r="C4812" s="26" t="str">
        <f aca="false">IF(A4812="","",IFERROR(buscarx(A4812&amp;B4812,DATA!$E$3:$E$10000&amp;DATA!$B$3:$B$10000,DATA!$M$3:$M$10000),"No encontrado"))</f>
        <v/>
      </c>
      <c r="D4812" s="27" t="str">
        <f aca="false">IF(A4812="","",IFERROR(buscarx(A4812&amp;B4812,DATA!$E$3:$E$10000&amp;DATA!$B$3:$B$10000,DATA!$W$3:$W$10000),"No encontrado"))</f>
        <v/>
      </c>
      <c r="E4812" s="22"/>
      <c r="F4812" s="26" t="str">
        <f aca="false">IF(A4812="","",IFERROR(buscarx(A4812&amp;E4812,DATA!$E$3:$E$10000&amp;DATA!$B$3:$B$10000,DATA!$M$3:$M$10000),"Inactivo"))</f>
        <v/>
      </c>
      <c r="G4812" s="28" t="str">
        <f aca="false">IF(A4812="","",IF(AND(C4812&lt;&gt;"No encontrado",F4812&lt;&gt;"Inactivo"),C4812&amp;" → "&amp;F4812,"Sin transición"))</f>
        <v/>
      </c>
      <c r="H4812" s="26" t="str">
        <f aca="false">IF(A4812="","",IF(D4812="GCIA LINEA SERVICIO DIGITALIDAD Y VENTAS","Chats",IF(OR(D4812="GERENCIA INBOUND LÍNEAS SERVICIO Y VENTA",D4812="GERENCIA INBOUND LINEAS ESPECIALIZADAS"),"Llamadas","Otro")))</f>
        <v/>
      </c>
      <c r="I4812" s="26" t="str">
        <f aca="false">IF(A4812="","",IF(C4812="No encontrado","No","Sí"))</f>
        <v/>
      </c>
      <c r="J4812" s="26" t="str">
        <f aca="false">IF(A4812="","",IF(F4812="Inactivo","No","Sí"))</f>
        <v/>
      </c>
      <c r="K4812" s="26" t="str">
        <f aca="false">IF(A4812="","",IF(AND(I4812="Sí",J4812="Sí"),"Sí","No"))</f>
        <v/>
      </c>
    </row>
    <row r="4813" customFormat="false" ht="15" hidden="false" customHeight="false" outlineLevel="0" collapsed="false">
      <c r="A4813" s="22"/>
      <c r="B4813" s="22"/>
      <c r="C4813" s="23" t="str">
        <f aca="false">IF(A4813="","",IFERROR(buscarx(A4813&amp;B4813,DATA!$E$3:$E$10000&amp;DATA!$B$3:$B$10000,DATA!$M$3:$M$10000),"No encontrado"))</f>
        <v/>
      </c>
      <c r="D4813" s="24" t="str">
        <f aca="false">IF(A4813="","",IFERROR(buscarx(A4813&amp;B4813,DATA!$E$3:$E$10000&amp;DATA!$B$3:$B$10000,DATA!$W$3:$W$10000),"No encontrado"))</f>
        <v/>
      </c>
      <c r="E4813" s="22"/>
      <c r="F4813" s="23" t="str">
        <f aca="false">IF(A4813="","",IFERROR(buscarx(A4813&amp;E4813,DATA!$E$3:$E$10000&amp;DATA!$B$3:$B$10000,DATA!$M$3:$M$10000),"Inactivo"))</f>
        <v/>
      </c>
      <c r="G4813" s="25" t="str">
        <f aca="false">IF(A4813="","",IF(AND(C4813&lt;&gt;"No encontrado",F4813&lt;&gt;"Inactivo"),C4813&amp;" → "&amp;F4813,"Sin transición"))</f>
        <v/>
      </c>
      <c r="H4813" s="23" t="str">
        <f aca="false">IF(A4813="","",IF(D4813="GCIA LINEA SERVICIO DIGITALIDAD Y VENTAS","Chats",IF(OR(D4813="GERENCIA INBOUND LÍNEAS SERVICIO Y VENTA",D4813="GERENCIA INBOUND LINEAS ESPECIALIZADAS"),"Llamadas","Otro")))</f>
        <v/>
      </c>
      <c r="I4813" s="23" t="str">
        <f aca="false">IF(A4813="","",IF(C4813="No encontrado","No","Sí"))</f>
        <v/>
      </c>
      <c r="J4813" s="23" t="str">
        <f aca="false">IF(A4813="","",IF(F4813="Inactivo","No","Sí"))</f>
        <v/>
      </c>
      <c r="K4813" s="23" t="str">
        <f aca="false">IF(A4813="","",IF(AND(I4813="Sí",J4813="Sí"),"Sí","No"))</f>
        <v/>
      </c>
    </row>
    <row r="4814" customFormat="false" ht="15" hidden="false" customHeight="false" outlineLevel="0" collapsed="false">
      <c r="A4814" s="22"/>
      <c r="B4814" s="22"/>
      <c r="C4814" s="26" t="str">
        <f aca="false">IF(A4814="","",IFERROR(buscarx(A4814&amp;B4814,DATA!$E$3:$E$10000&amp;DATA!$B$3:$B$10000,DATA!$M$3:$M$10000),"No encontrado"))</f>
        <v/>
      </c>
      <c r="D4814" s="27" t="str">
        <f aca="false">IF(A4814="","",IFERROR(buscarx(A4814&amp;B4814,DATA!$E$3:$E$10000&amp;DATA!$B$3:$B$10000,DATA!$W$3:$W$10000),"No encontrado"))</f>
        <v/>
      </c>
      <c r="E4814" s="22"/>
      <c r="F4814" s="26" t="str">
        <f aca="false">IF(A4814="","",IFERROR(buscarx(A4814&amp;E4814,DATA!$E$3:$E$10000&amp;DATA!$B$3:$B$10000,DATA!$M$3:$M$10000),"Inactivo"))</f>
        <v/>
      </c>
      <c r="G4814" s="28" t="str">
        <f aca="false">IF(A4814="","",IF(AND(C4814&lt;&gt;"No encontrado",F4814&lt;&gt;"Inactivo"),C4814&amp;" → "&amp;F4814,"Sin transición"))</f>
        <v/>
      </c>
      <c r="H4814" s="26" t="str">
        <f aca="false">IF(A4814="","",IF(D4814="GCIA LINEA SERVICIO DIGITALIDAD Y VENTAS","Chats",IF(OR(D4814="GERENCIA INBOUND LÍNEAS SERVICIO Y VENTA",D4814="GERENCIA INBOUND LINEAS ESPECIALIZADAS"),"Llamadas","Otro")))</f>
        <v/>
      </c>
      <c r="I4814" s="26" t="str">
        <f aca="false">IF(A4814="","",IF(C4814="No encontrado","No","Sí"))</f>
        <v/>
      </c>
      <c r="J4814" s="26" t="str">
        <f aca="false">IF(A4814="","",IF(F4814="Inactivo","No","Sí"))</f>
        <v/>
      </c>
      <c r="K4814" s="26" t="str">
        <f aca="false">IF(A4814="","",IF(AND(I4814="Sí",J4814="Sí"),"Sí","No"))</f>
        <v/>
      </c>
    </row>
    <row r="4815" customFormat="false" ht="15" hidden="false" customHeight="false" outlineLevel="0" collapsed="false">
      <c r="A4815" s="22"/>
      <c r="B4815" s="22"/>
      <c r="C4815" s="23" t="str">
        <f aca="false">IF(A4815="","",IFERROR(buscarx(A4815&amp;B4815,DATA!$E$3:$E$10000&amp;DATA!$B$3:$B$10000,DATA!$M$3:$M$10000),"No encontrado"))</f>
        <v/>
      </c>
      <c r="D4815" s="24" t="str">
        <f aca="false">IF(A4815="","",IFERROR(buscarx(A4815&amp;B4815,DATA!$E$3:$E$10000&amp;DATA!$B$3:$B$10000,DATA!$W$3:$W$10000),"No encontrado"))</f>
        <v/>
      </c>
      <c r="E4815" s="22"/>
      <c r="F4815" s="23" t="str">
        <f aca="false">IF(A4815="","",IFERROR(buscarx(A4815&amp;E4815,DATA!$E$3:$E$10000&amp;DATA!$B$3:$B$10000,DATA!$M$3:$M$10000),"Inactivo"))</f>
        <v/>
      </c>
      <c r="G4815" s="25" t="str">
        <f aca="false">IF(A4815="","",IF(AND(C4815&lt;&gt;"No encontrado",F4815&lt;&gt;"Inactivo"),C4815&amp;" → "&amp;F4815,"Sin transición"))</f>
        <v/>
      </c>
      <c r="H4815" s="23" t="str">
        <f aca="false">IF(A4815="","",IF(D4815="GCIA LINEA SERVICIO DIGITALIDAD Y VENTAS","Chats",IF(OR(D4815="GERENCIA INBOUND LÍNEAS SERVICIO Y VENTA",D4815="GERENCIA INBOUND LINEAS ESPECIALIZADAS"),"Llamadas","Otro")))</f>
        <v/>
      </c>
      <c r="I4815" s="23" t="str">
        <f aca="false">IF(A4815="","",IF(C4815="No encontrado","No","Sí"))</f>
        <v/>
      </c>
      <c r="J4815" s="23" t="str">
        <f aca="false">IF(A4815="","",IF(F4815="Inactivo","No","Sí"))</f>
        <v/>
      </c>
      <c r="K4815" s="23" t="str">
        <f aca="false">IF(A4815="","",IF(AND(I4815="Sí",J4815="Sí"),"Sí","No"))</f>
        <v/>
      </c>
    </row>
    <row r="4816" customFormat="false" ht="15" hidden="false" customHeight="false" outlineLevel="0" collapsed="false">
      <c r="A4816" s="22"/>
      <c r="B4816" s="22"/>
      <c r="C4816" s="26" t="str">
        <f aca="false">IF(A4816="","",IFERROR(buscarx(A4816&amp;B4816,DATA!$E$3:$E$10000&amp;DATA!$B$3:$B$10000,DATA!$M$3:$M$10000),"No encontrado"))</f>
        <v/>
      </c>
      <c r="D4816" s="27" t="str">
        <f aca="false">IF(A4816="","",IFERROR(buscarx(A4816&amp;B4816,DATA!$E$3:$E$10000&amp;DATA!$B$3:$B$10000,DATA!$W$3:$W$10000),"No encontrado"))</f>
        <v/>
      </c>
      <c r="E4816" s="22"/>
      <c r="F4816" s="26" t="str">
        <f aca="false">IF(A4816="","",IFERROR(buscarx(A4816&amp;E4816,DATA!$E$3:$E$10000&amp;DATA!$B$3:$B$10000,DATA!$M$3:$M$10000),"Inactivo"))</f>
        <v/>
      </c>
      <c r="G4816" s="28" t="str">
        <f aca="false">IF(A4816="","",IF(AND(C4816&lt;&gt;"No encontrado",F4816&lt;&gt;"Inactivo"),C4816&amp;" → "&amp;F4816,"Sin transición"))</f>
        <v/>
      </c>
      <c r="H4816" s="26" t="str">
        <f aca="false">IF(A4816="","",IF(D4816="GCIA LINEA SERVICIO DIGITALIDAD Y VENTAS","Chats",IF(OR(D4816="GERENCIA INBOUND LÍNEAS SERVICIO Y VENTA",D4816="GERENCIA INBOUND LINEAS ESPECIALIZADAS"),"Llamadas","Otro")))</f>
        <v/>
      </c>
      <c r="I4816" s="26" t="str">
        <f aca="false">IF(A4816="","",IF(C4816="No encontrado","No","Sí"))</f>
        <v/>
      </c>
      <c r="J4816" s="26" t="str">
        <f aca="false">IF(A4816="","",IF(F4816="Inactivo","No","Sí"))</f>
        <v/>
      </c>
      <c r="K4816" s="26" t="str">
        <f aca="false">IF(A4816="","",IF(AND(I4816="Sí",J4816="Sí"),"Sí","No"))</f>
        <v/>
      </c>
    </row>
    <row r="4817" customFormat="false" ht="15" hidden="false" customHeight="false" outlineLevel="0" collapsed="false">
      <c r="A4817" s="22"/>
      <c r="B4817" s="22"/>
      <c r="C4817" s="23" t="str">
        <f aca="false">IF(A4817="","",IFERROR(buscarx(A4817&amp;B4817,DATA!$E$3:$E$10000&amp;DATA!$B$3:$B$10000,DATA!$M$3:$M$10000),"No encontrado"))</f>
        <v/>
      </c>
      <c r="D4817" s="24" t="str">
        <f aca="false">IF(A4817="","",IFERROR(buscarx(A4817&amp;B4817,DATA!$E$3:$E$10000&amp;DATA!$B$3:$B$10000,DATA!$W$3:$W$10000),"No encontrado"))</f>
        <v/>
      </c>
      <c r="E4817" s="22"/>
      <c r="F4817" s="23" t="str">
        <f aca="false">IF(A4817="","",IFERROR(buscarx(A4817&amp;E4817,DATA!$E$3:$E$10000&amp;DATA!$B$3:$B$10000,DATA!$M$3:$M$10000),"Inactivo"))</f>
        <v/>
      </c>
      <c r="G4817" s="25" t="str">
        <f aca="false">IF(A4817="","",IF(AND(C4817&lt;&gt;"No encontrado",F4817&lt;&gt;"Inactivo"),C4817&amp;" → "&amp;F4817,"Sin transición"))</f>
        <v/>
      </c>
      <c r="H4817" s="23" t="str">
        <f aca="false">IF(A4817="","",IF(D4817="GCIA LINEA SERVICIO DIGITALIDAD Y VENTAS","Chats",IF(OR(D4817="GERENCIA INBOUND LÍNEAS SERVICIO Y VENTA",D4817="GERENCIA INBOUND LINEAS ESPECIALIZADAS"),"Llamadas","Otro")))</f>
        <v/>
      </c>
      <c r="I4817" s="23" t="str">
        <f aca="false">IF(A4817="","",IF(C4817="No encontrado","No","Sí"))</f>
        <v/>
      </c>
      <c r="J4817" s="23" t="str">
        <f aca="false">IF(A4817="","",IF(F4817="Inactivo","No","Sí"))</f>
        <v/>
      </c>
      <c r="K4817" s="23" t="str">
        <f aca="false">IF(A4817="","",IF(AND(I4817="Sí",J4817="Sí"),"Sí","No"))</f>
        <v/>
      </c>
    </row>
    <row r="4818" customFormat="false" ht="15" hidden="false" customHeight="false" outlineLevel="0" collapsed="false">
      <c r="A4818" s="22"/>
      <c r="B4818" s="22"/>
      <c r="C4818" s="26" t="str">
        <f aca="false">IF(A4818="","",IFERROR(buscarx(A4818&amp;B4818,DATA!$E$3:$E$10000&amp;DATA!$B$3:$B$10000,DATA!$M$3:$M$10000),"No encontrado"))</f>
        <v/>
      </c>
      <c r="D4818" s="27" t="str">
        <f aca="false">IF(A4818="","",IFERROR(buscarx(A4818&amp;B4818,DATA!$E$3:$E$10000&amp;DATA!$B$3:$B$10000,DATA!$W$3:$W$10000),"No encontrado"))</f>
        <v/>
      </c>
      <c r="E4818" s="22"/>
      <c r="F4818" s="26" t="str">
        <f aca="false">IF(A4818="","",IFERROR(buscarx(A4818&amp;E4818,DATA!$E$3:$E$10000&amp;DATA!$B$3:$B$10000,DATA!$M$3:$M$10000),"Inactivo"))</f>
        <v/>
      </c>
      <c r="G4818" s="28" t="str">
        <f aca="false">IF(A4818="","",IF(AND(C4818&lt;&gt;"No encontrado",F4818&lt;&gt;"Inactivo"),C4818&amp;" → "&amp;F4818,"Sin transición"))</f>
        <v/>
      </c>
      <c r="H4818" s="26" t="str">
        <f aca="false">IF(A4818="","",IF(D4818="GCIA LINEA SERVICIO DIGITALIDAD Y VENTAS","Chats",IF(OR(D4818="GERENCIA INBOUND LÍNEAS SERVICIO Y VENTA",D4818="GERENCIA INBOUND LINEAS ESPECIALIZADAS"),"Llamadas","Otro")))</f>
        <v/>
      </c>
      <c r="I4818" s="26" t="str">
        <f aca="false">IF(A4818="","",IF(C4818="No encontrado","No","Sí"))</f>
        <v/>
      </c>
      <c r="J4818" s="26" t="str">
        <f aca="false">IF(A4818="","",IF(F4818="Inactivo","No","Sí"))</f>
        <v/>
      </c>
      <c r="K4818" s="26" t="str">
        <f aca="false">IF(A4818="","",IF(AND(I4818="Sí",J4818="Sí"),"Sí","No"))</f>
        <v/>
      </c>
    </row>
    <row r="4819" customFormat="false" ht="15" hidden="false" customHeight="false" outlineLevel="0" collapsed="false">
      <c r="A4819" s="22"/>
      <c r="B4819" s="22"/>
      <c r="C4819" s="23" t="str">
        <f aca="false">IF(A4819="","",IFERROR(buscarx(A4819&amp;B4819,DATA!$E$3:$E$10000&amp;DATA!$B$3:$B$10000,DATA!$M$3:$M$10000),"No encontrado"))</f>
        <v/>
      </c>
      <c r="D4819" s="24" t="str">
        <f aca="false">IF(A4819="","",IFERROR(buscarx(A4819&amp;B4819,DATA!$E$3:$E$10000&amp;DATA!$B$3:$B$10000,DATA!$W$3:$W$10000),"No encontrado"))</f>
        <v/>
      </c>
      <c r="E4819" s="22"/>
      <c r="F4819" s="23" t="str">
        <f aca="false">IF(A4819="","",IFERROR(buscarx(A4819&amp;E4819,DATA!$E$3:$E$10000&amp;DATA!$B$3:$B$10000,DATA!$M$3:$M$10000),"Inactivo"))</f>
        <v/>
      </c>
      <c r="G4819" s="25" t="str">
        <f aca="false">IF(A4819="","",IF(AND(C4819&lt;&gt;"No encontrado",F4819&lt;&gt;"Inactivo"),C4819&amp;" → "&amp;F4819,"Sin transición"))</f>
        <v/>
      </c>
      <c r="H4819" s="23" t="str">
        <f aca="false">IF(A4819="","",IF(D4819="GCIA LINEA SERVICIO DIGITALIDAD Y VENTAS","Chats",IF(OR(D4819="GERENCIA INBOUND LÍNEAS SERVICIO Y VENTA",D4819="GERENCIA INBOUND LINEAS ESPECIALIZADAS"),"Llamadas","Otro")))</f>
        <v/>
      </c>
      <c r="I4819" s="23" t="str">
        <f aca="false">IF(A4819="","",IF(C4819="No encontrado","No","Sí"))</f>
        <v/>
      </c>
      <c r="J4819" s="23" t="str">
        <f aca="false">IF(A4819="","",IF(F4819="Inactivo","No","Sí"))</f>
        <v/>
      </c>
      <c r="K4819" s="23" t="str">
        <f aca="false">IF(A4819="","",IF(AND(I4819="Sí",J4819="Sí"),"Sí","No"))</f>
        <v/>
      </c>
    </row>
    <row r="4820" customFormat="false" ht="15" hidden="false" customHeight="false" outlineLevel="0" collapsed="false">
      <c r="A4820" s="22"/>
      <c r="B4820" s="22"/>
      <c r="C4820" s="26" t="str">
        <f aca="false">IF(A4820="","",IFERROR(buscarx(A4820&amp;B4820,DATA!$E$3:$E$10000&amp;DATA!$B$3:$B$10000,DATA!$M$3:$M$10000),"No encontrado"))</f>
        <v/>
      </c>
      <c r="D4820" s="27" t="str">
        <f aca="false">IF(A4820="","",IFERROR(buscarx(A4820&amp;B4820,DATA!$E$3:$E$10000&amp;DATA!$B$3:$B$10000,DATA!$W$3:$W$10000),"No encontrado"))</f>
        <v/>
      </c>
      <c r="E4820" s="22"/>
      <c r="F4820" s="26" t="str">
        <f aca="false">IF(A4820="","",IFERROR(buscarx(A4820&amp;E4820,DATA!$E$3:$E$10000&amp;DATA!$B$3:$B$10000,DATA!$M$3:$M$10000),"Inactivo"))</f>
        <v/>
      </c>
      <c r="G4820" s="28" t="str">
        <f aca="false">IF(A4820="","",IF(AND(C4820&lt;&gt;"No encontrado",F4820&lt;&gt;"Inactivo"),C4820&amp;" → "&amp;F4820,"Sin transición"))</f>
        <v/>
      </c>
      <c r="H4820" s="26" t="str">
        <f aca="false">IF(A4820="","",IF(D4820="GCIA LINEA SERVICIO DIGITALIDAD Y VENTAS","Chats",IF(OR(D4820="GERENCIA INBOUND LÍNEAS SERVICIO Y VENTA",D4820="GERENCIA INBOUND LINEAS ESPECIALIZADAS"),"Llamadas","Otro")))</f>
        <v/>
      </c>
      <c r="I4820" s="26" t="str">
        <f aca="false">IF(A4820="","",IF(C4820="No encontrado","No","Sí"))</f>
        <v/>
      </c>
      <c r="J4820" s="26" t="str">
        <f aca="false">IF(A4820="","",IF(F4820="Inactivo","No","Sí"))</f>
        <v/>
      </c>
      <c r="K4820" s="26" t="str">
        <f aca="false">IF(A4820="","",IF(AND(I4820="Sí",J4820="Sí"),"Sí","No"))</f>
        <v/>
      </c>
    </row>
    <row r="4821" customFormat="false" ht="15" hidden="false" customHeight="false" outlineLevel="0" collapsed="false">
      <c r="A4821" s="22"/>
      <c r="B4821" s="22"/>
      <c r="C4821" s="23" t="str">
        <f aca="false">IF(A4821="","",IFERROR(buscarx(A4821&amp;B4821,DATA!$E$3:$E$10000&amp;DATA!$B$3:$B$10000,DATA!$M$3:$M$10000),"No encontrado"))</f>
        <v/>
      </c>
      <c r="D4821" s="24" t="str">
        <f aca="false">IF(A4821="","",IFERROR(buscarx(A4821&amp;B4821,DATA!$E$3:$E$10000&amp;DATA!$B$3:$B$10000,DATA!$W$3:$W$10000),"No encontrado"))</f>
        <v/>
      </c>
      <c r="E4821" s="22"/>
      <c r="F4821" s="23" t="str">
        <f aca="false">IF(A4821="","",IFERROR(buscarx(A4821&amp;E4821,DATA!$E$3:$E$10000&amp;DATA!$B$3:$B$10000,DATA!$M$3:$M$10000),"Inactivo"))</f>
        <v/>
      </c>
      <c r="G4821" s="25" t="str">
        <f aca="false">IF(A4821="","",IF(AND(C4821&lt;&gt;"No encontrado",F4821&lt;&gt;"Inactivo"),C4821&amp;" → "&amp;F4821,"Sin transición"))</f>
        <v/>
      </c>
      <c r="H4821" s="23" t="str">
        <f aca="false">IF(A4821="","",IF(D4821="GCIA LINEA SERVICIO DIGITALIDAD Y VENTAS","Chats",IF(OR(D4821="GERENCIA INBOUND LÍNEAS SERVICIO Y VENTA",D4821="GERENCIA INBOUND LINEAS ESPECIALIZADAS"),"Llamadas","Otro")))</f>
        <v/>
      </c>
      <c r="I4821" s="23" t="str">
        <f aca="false">IF(A4821="","",IF(C4821="No encontrado","No","Sí"))</f>
        <v/>
      </c>
      <c r="J4821" s="23" t="str">
        <f aca="false">IF(A4821="","",IF(F4821="Inactivo","No","Sí"))</f>
        <v/>
      </c>
      <c r="K4821" s="23" t="str">
        <f aca="false">IF(A4821="","",IF(AND(I4821="Sí",J4821="Sí"),"Sí","No"))</f>
        <v/>
      </c>
    </row>
    <row r="4822" customFormat="false" ht="15" hidden="false" customHeight="false" outlineLevel="0" collapsed="false">
      <c r="A4822" s="22"/>
      <c r="B4822" s="22"/>
      <c r="C4822" s="26" t="str">
        <f aca="false">IF(A4822="","",IFERROR(buscarx(A4822&amp;B4822,DATA!$E$3:$E$10000&amp;DATA!$B$3:$B$10000,DATA!$M$3:$M$10000),"No encontrado"))</f>
        <v/>
      </c>
      <c r="D4822" s="27" t="str">
        <f aca="false">IF(A4822="","",IFERROR(buscarx(A4822&amp;B4822,DATA!$E$3:$E$10000&amp;DATA!$B$3:$B$10000,DATA!$W$3:$W$10000),"No encontrado"))</f>
        <v/>
      </c>
      <c r="E4822" s="22"/>
      <c r="F4822" s="26" t="str">
        <f aca="false">IF(A4822="","",IFERROR(buscarx(A4822&amp;E4822,DATA!$E$3:$E$10000&amp;DATA!$B$3:$B$10000,DATA!$M$3:$M$10000),"Inactivo"))</f>
        <v/>
      </c>
      <c r="G4822" s="28" t="str">
        <f aca="false">IF(A4822="","",IF(AND(C4822&lt;&gt;"No encontrado",F4822&lt;&gt;"Inactivo"),C4822&amp;" → "&amp;F4822,"Sin transición"))</f>
        <v/>
      </c>
      <c r="H4822" s="26" t="str">
        <f aca="false">IF(A4822="","",IF(D4822="GCIA LINEA SERVICIO DIGITALIDAD Y VENTAS","Chats",IF(OR(D4822="GERENCIA INBOUND LÍNEAS SERVICIO Y VENTA",D4822="GERENCIA INBOUND LINEAS ESPECIALIZADAS"),"Llamadas","Otro")))</f>
        <v/>
      </c>
      <c r="I4822" s="26" t="str">
        <f aca="false">IF(A4822="","",IF(C4822="No encontrado","No","Sí"))</f>
        <v/>
      </c>
      <c r="J4822" s="26" t="str">
        <f aca="false">IF(A4822="","",IF(F4822="Inactivo","No","Sí"))</f>
        <v/>
      </c>
      <c r="K4822" s="26" t="str">
        <f aca="false">IF(A4822="","",IF(AND(I4822="Sí",J4822="Sí"),"Sí","No"))</f>
        <v/>
      </c>
    </row>
    <row r="4823" customFormat="false" ht="15" hidden="false" customHeight="false" outlineLevel="0" collapsed="false">
      <c r="A4823" s="22"/>
      <c r="B4823" s="22"/>
      <c r="C4823" s="23" t="str">
        <f aca="false">IF(A4823="","",IFERROR(buscarx(A4823&amp;B4823,DATA!$E$3:$E$10000&amp;DATA!$B$3:$B$10000,DATA!$M$3:$M$10000),"No encontrado"))</f>
        <v/>
      </c>
      <c r="D4823" s="24" t="str">
        <f aca="false">IF(A4823="","",IFERROR(buscarx(A4823&amp;B4823,DATA!$E$3:$E$10000&amp;DATA!$B$3:$B$10000,DATA!$W$3:$W$10000),"No encontrado"))</f>
        <v/>
      </c>
      <c r="E4823" s="22"/>
      <c r="F4823" s="23" t="str">
        <f aca="false">IF(A4823="","",IFERROR(buscarx(A4823&amp;E4823,DATA!$E$3:$E$10000&amp;DATA!$B$3:$B$10000,DATA!$M$3:$M$10000),"Inactivo"))</f>
        <v/>
      </c>
      <c r="G4823" s="25" t="str">
        <f aca="false">IF(A4823="","",IF(AND(C4823&lt;&gt;"No encontrado",F4823&lt;&gt;"Inactivo"),C4823&amp;" → "&amp;F4823,"Sin transición"))</f>
        <v/>
      </c>
      <c r="H4823" s="23" t="str">
        <f aca="false">IF(A4823="","",IF(D4823="GCIA LINEA SERVICIO DIGITALIDAD Y VENTAS","Chats",IF(OR(D4823="GERENCIA INBOUND LÍNEAS SERVICIO Y VENTA",D4823="GERENCIA INBOUND LINEAS ESPECIALIZADAS"),"Llamadas","Otro")))</f>
        <v/>
      </c>
      <c r="I4823" s="23" t="str">
        <f aca="false">IF(A4823="","",IF(C4823="No encontrado","No","Sí"))</f>
        <v/>
      </c>
      <c r="J4823" s="23" t="str">
        <f aca="false">IF(A4823="","",IF(F4823="Inactivo","No","Sí"))</f>
        <v/>
      </c>
      <c r="K4823" s="23" t="str">
        <f aca="false">IF(A4823="","",IF(AND(I4823="Sí",J4823="Sí"),"Sí","No"))</f>
        <v/>
      </c>
    </row>
    <row r="4824" customFormat="false" ht="15" hidden="false" customHeight="false" outlineLevel="0" collapsed="false">
      <c r="A4824" s="22"/>
      <c r="B4824" s="22"/>
      <c r="C4824" s="26" t="str">
        <f aca="false">IF(A4824="","",IFERROR(buscarx(A4824&amp;B4824,DATA!$E$3:$E$10000&amp;DATA!$B$3:$B$10000,DATA!$M$3:$M$10000),"No encontrado"))</f>
        <v/>
      </c>
      <c r="D4824" s="27" t="str">
        <f aca="false">IF(A4824="","",IFERROR(buscarx(A4824&amp;B4824,DATA!$E$3:$E$10000&amp;DATA!$B$3:$B$10000,DATA!$W$3:$W$10000),"No encontrado"))</f>
        <v/>
      </c>
      <c r="E4824" s="22"/>
      <c r="F4824" s="26" t="str">
        <f aca="false">IF(A4824="","",IFERROR(buscarx(A4824&amp;E4824,DATA!$E$3:$E$10000&amp;DATA!$B$3:$B$10000,DATA!$M$3:$M$10000),"Inactivo"))</f>
        <v/>
      </c>
      <c r="G4824" s="28" t="str">
        <f aca="false">IF(A4824="","",IF(AND(C4824&lt;&gt;"No encontrado",F4824&lt;&gt;"Inactivo"),C4824&amp;" → "&amp;F4824,"Sin transición"))</f>
        <v/>
      </c>
      <c r="H4824" s="26" t="str">
        <f aca="false">IF(A4824="","",IF(D4824="GCIA LINEA SERVICIO DIGITALIDAD Y VENTAS","Chats",IF(OR(D4824="GERENCIA INBOUND LÍNEAS SERVICIO Y VENTA",D4824="GERENCIA INBOUND LINEAS ESPECIALIZADAS"),"Llamadas","Otro")))</f>
        <v/>
      </c>
      <c r="I4824" s="26" t="str">
        <f aca="false">IF(A4824="","",IF(C4824="No encontrado","No","Sí"))</f>
        <v/>
      </c>
      <c r="J4824" s="26" t="str">
        <f aca="false">IF(A4824="","",IF(F4824="Inactivo","No","Sí"))</f>
        <v/>
      </c>
      <c r="K4824" s="26" t="str">
        <f aca="false">IF(A4824="","",IF(AND(I4824="Sí",J4824="Sí"),"Sí","No"))</f>
        <v/>
      </c>
    </row>
    <row r="4825" customFormat="false" ht="15" hidden="false" customHeight="false" outlineLevel="0" collapsed="false">
      <c r="A4825" s="22"/>
      <c r="B4825" s="22"/>
      <c r="C4825" s="23" t="str">
        <f aca="false">IF(A4825="","",IFERROR(buscarx(A4825&amp;B4825,DATA!$E$3:$E$10000&amp;DATA!$B$3:$B$10000,DATA!$M$3:$M$10000),"No encontrado"))</f>
        <v/>
      </c>
      <c r="D4825" s="24" t="str">
        <f aca="false">IF(A4825="","",IFERROR(buscarx(A4825&amp;B4825,DATA!$E$3:$E$10000&amp;DATA!$B$3:$B$10000,DATA!$W$3:$W$10000),"No encontrado"))</f>
        <v/>
      </c>
      <c r="E4825" s="22"/>
      <c r="F4825" s="23" t="str">
        <f aca="false">IF(A4825="","",IFERROR(buscarx(A4825&amp;E4825,DATA!$E$3:$E$10000&amp;DATA!$B$3:$B$10000,DATA!$M$3:$M$10000),"Inactivo"))</f>
        <v/>
      </c>
      <c r="G4825" s="25" t="str">
        <f aca="false">IF(A4825="","",IF(AND(C4825&lt;&gt;"No encontrado",F4825&lt;&gt;"Inactivo"),C4825&amp;" → "&amp;F4825,"Sin transición"))</f>
        <v/>
      </c>
      <c r="H4825" s="23" t="str">
        <f aca="false">IF(A4825="","",IF(D4825="GCIA LINEA SERVICIO DIGITALIDAD Y VENTAS","Chats",IF(OR(D4825="GERENCIA INBOUND LÍNEAS SERVICIO Y VENTA",D4825="GERENCIA INBOUND LINEAS ESPECIALIZADAS"),"Llamadas","Otro")))</f>
        <v/>
      </c>
      <c r="I4825" s="23" t="str">
        <f aca="false">IF(A4825="","",IF(C4825="No encontrado","No","Sí"))</f>
        <v/>
      </c>
      <c r="J4825" s="23" t="str">
        <f aca="false">IF(A4825="","",IF(F4825="Inactivo","No","Sí"))</f>
        <v/>
      </c>
      <c r="K4825" s="23" t="str">
        <f aca="false">IF(A4825="","",IF(AND(I4825="Sí",J4825="Sí"),"Sí","No"))</f>
        <v/>
      </c>
    </row>
    <row r="4826" customFormat="false" ht="15" hidden="false" customHeight="false" outlineLevel="0" collapsed="false">
      <c r="A4826" s="22"/>
      <c r="B4826" s="22"/>
      <c r="C4826" s="26" t="str">
        <f aca="false">IF(A4826="","",IFERROR(buscarx(A4826&amp;B4826,DATA!$E$3:$E$10000&amp;DATA!$B$3:$B$10000,DATA!$M$3:$M$10000),"No encontrado"))</f>
        <v/>
      </c>
      <c r="D4826" s="27" t="str">
        <f aca="false">IF(A4826="","",IFERROR(buscarx(A4826&amp;B4826,DATA!$E$3:$E$10000&amp;DATA!$B$3:$B$10000,DATA!$W$3:$W$10000),"No encontrado"))</f>
        <v/>
      </c>
      <c r="E4826" s="22"/>
      <c r="F4826" s="26" t="str">
        <f aca="false">IF(A4826="","",IFERROR(buscarx(A4826&amp;E4826,DATA!$E$3:$E$10000&amp;DATA!$B$3:$B$10000,DATA!$M$3:$M$10000),"Inactivo"))</f>
        <v/>
      </c>
      <c r="G4826" s="28" t="str">
        <f aca="false">IF(A4826="","",IF(AND(C4826&lt;&gt;"No encontrado",F4826&lt;&gt;"Inactivo"),C4826&amp;" → "&amp;F4826,"Sin transición"))</f>
        <v/>
      </c>
      <c r="H4826" s="26" t="str">
        <f aca="false">IF(A4826="","",IF(D4826="GCIA LINEA SERVICIO DIGITALIDAD Y VENTAS","Chats",IF(OR(D4826="GERENCIA INBOUND LÍNEAS SERVICIO Y VENTA",D4826="GERENCIA INBOUND LINEAS ESPECIALIZADAS"),"Llamadas","Otro")))</f>
        <v/>
      </c>
      <c r="I4826" s="26" t="str">
        <f aca="false">IF(A4826="","",IF(C4826="No encontrado","No","Sí"))</f>
        <v/>
      </c>
      <c r="J4826" s="26" t="str">
        <f aca="false">IF(A4826="","",IF(F4826="Inactivo","No","Sí"))</f>
        <v/>
      </c>
      <c r="K4826" s="26" t="str">
        <f aca="false">IF(A4826="","",IF(AND(I4826="Sí",J4826="Sí"),"Sí","No"))</f>
        <v/>
      </c>
    </row>
    <row r="4827" customFormat="false" ht="15" hidden="false" customHeight="false" outlineLevel="0" collapsed="false">
      <c r="A4827" s="22"/>
      <c r="B4827" s="22"/>
      <c r="C4827" s="23" t="str">
        <f aca="false">IF(A4827="","",IFERROR(buscarx(A4827&amp;B4827,DATA!$E$3:$E$10000&amp;DATA!$B$3:$B$10000,DATA!$M$3:$M$10000),"No encontrado"))</f>
        <v/>
      </c>
      <c r="D4827" s="24" t="str">
        <f aca="false">IF(A4827="","",IFERROR(buscarx(A4827&amp;B4827,DATA!$E$3:$E$10000&amp;DATA!$B$3:$B$10000,DATA!$W$3:$W$10000),"No encontrado"))</f>
        <v/>
      </c>
      <c r="E4827" s="22"/>
      <c r="F4827" s="23" t="str">
        <f aca="false">IF(A4827="","",IFERROR(buscarx(A4827&amp;E4827,DATA!$E$3:$E$10000&amp;DATA!$B$3:$B$10000,DATA!$M$3:$M$10000),"Inactivo"))</f>
        <v/>
      </c>
      <c r="G4827" s="25" t="str">
        <f aca="false">IF(A4827="","",IF(AND(C4827&lt;&gt;"No encontrado",F4827&lt;&gt;"Inactivo"),C4827&amp;" → "&amp;F4827,"Sin transición"))</f>
        <v/>
      </c>
      <c r="H4827" s="23" t="str">
        <f aca="false">IF(A4827="","",IF(D4827="GCIA LINEA SERVICIO DIGITALIDAD Y VENTAS","Chats",IF(OR(D4827="GERENCIA INBOUND LÍNEAS SERVICIO Y VENTA",D4827="GERENCIA INBOUND LINEAS ESPECIALIZADAS"),"Llamadas","Otro")))</f>
        <v/>
      </c>
      <c r="I4827" s="23" t="str">
        <f aca="false">IF(A4827="","",IF(C4827="No encontrado","No","Sí"))</f>
        <v/>
      </c>
      <c r="J4827" s="23" t="str">
        <f aca="false">IF(A4827="","",IF(F4827="Inactivo","No","Sí"))</f>
        <v/>
      </c>
      <c r="K4827" s="23" t="str">
        <f aca="false">IF(A4827="","",IF(AND(I4827="Sí",J4827="Sí"),"Sí","No"))</f>
        <v/>
      </c>
    </row>
    <row r="4828" customFormat="false" ht="15" hidden="false" customHeight="false" outlineLevel="0" collapsed="false">
      <c r="A4828" s="22"/>
      <c r="B4828" s="22"/>
      <c r="C4828" s="26" t="str">
        <f aca="false">IF(A4828="","",IFERROR(buscarx(A4828&amp;B4828,DATA!$E$3:$E$10000&amp;DATA!$B$3:$B$10000,DATA!$M$3:$M$10000),"No encontrado"))</f>
        <v/>
      </c>
      <c r="D4828" s="27" t="str">
        <f aca="false">IF(A4828="","",IFERROR(buscarx(A4828&amp;B4828,DATA!$E$3:$E$10000&amp;DATA!$B$3:$B$10000,DATA!$W$3:$W$10000),"No encontrado"))</f>
        <v/>
      </c>
      <c r="E4828" s="22"/>
      <c r="F4828" s="26" t="str">
        <f aca="false">IF(A4828="","",IFERROR(buscarx(A4828&amp;E4828,DATA!$E$3:$E$10000&amp;DATA!$B$3:$B$10000,DATA!$M$3:$M$10000),"Inactivo"))</f>
        <v/>
      </c>
      <c r="G4828" s="28" t="str">
        <f aca="false">IF(A4828="","",IF(AND(C4828&lt;&gt;"No encontrado",F4828&lt;&gt;"Inactivo"),C4828&amp;" → "&amp;F4828,"Sin transición"))</f>
        <v/>
      </c>
      <c r="H4828" s="26" t="str">
        <f aca="false">IF(A4828="","",IF(D4828="GCIA LINEA SERVICIO DIGITALIDAD Y VENTAS","Chats",IF(OR(D4828="GERENCIA INBOUND LÍNEAS SERVICIO Y VENTA",D4828="GERENCIA INBOUND LINEAS ESPECIALIZADAS"),"Llamadas","Otro")))</f>
        <v/>
      </c>
      <c r="I4828" s="26" t="str">
        <f aca="false">IF(A4828="","",IF(C4828="No encontrado","No","Sí"))</f>
        <v/>
      </c>
      <c r="J4828" s="26" t="str">
        <f aca="false">IF(A4828="","",IF(F4828="Inactivo","No","Sí"))</f>
        <v/>
      </c>
      <c r="K4828" s="26" t="str">
        <f aca="false">IF(A4828="","",IF(AND(I4828="Sí",J4828="Sí"),"Sí","No"))</f>
        <v/>
      </c>
    </row>
    <row r="4829" customFormat="false" ht="15" hidden="false" customHeight="false" outlineLevel="0" collapsed="false">
      <c r="A4829" s="22"/>
      <c r="B4829" s="22"/>
      <c r="C4829" s="23" t="str">
        <f aca="false">IF(A4829="","",IFERROR(buscarx(A4829&amp;B4829,DATA!$E$3:$E$10000&amp;DATA!$B$3:$B$10000,DATA!$M$3:$M$10000),"No encontrado"))</f>
        <v/>
      </c>
      <c r="D4829" s="24" t="str">
        <f aca="false">IF(A4829="","",IFERROR(buscarx(A4829&amp;B4829,DATA!$E$3:$E$10000&amp;DATA!$B$3:$B$10000,DATA!$W$3:$W$10000),"No encontrado"))</f>
        <v/>
      </c>
      <c r="E4829" s="22"/>
      <c r="F4829" s="23" t="str">
        <f aca="false">IF(A4829="","",IFERROR(buscarx(A4829&amp;E4829,DATA!$E$3:$E$10000&amp;DATA!$B$3:$B$10000,DATA!$M$3:$M$10000),"Inactivo"))</f>
        <v/>
      </c>
      <c r="G4829" s="25" t="str">
        <f aca="false">IF(A4829="","",IF(AND(C4829&lt;&gt;"No encontrado",F4829&lt;&gt;"Inactivo"),C4829&amp;" → "&amp;F4829,"Sin transición"))</f>
        <v/>
      </c>
      <c r="H4829" s="23" t="str">
        <f aca="false">IF(A4829="","",IF(D4829="GCIA LINEA SERVICIO DIGITALIDAD Y VENTAS","Chats",IF(OR(D4829="GERENCIA INBOUND LÍNEAS SERVICIO Y VENTA",D4829="GERENCIA INBOUND LINEAS ESPECIALIZADAS"),"Llamadas","Otro")))</f>
        <v/>
      </c>
      <c r="I4829" s="23" t="str">
        <f aca="false">IF(A4829="","",IF(C4829="No encontrado","No","Sí"))</f>
        <v/>
      </c>
      <c r="J4829" s="23" t="str">
        <f aca="false">IF(A4829="","",IF(F4829="Inactivo","No","Sí"))</f>
        <v/>
      </c>
      <c r="K4829" s="23" t="str">
        <f aca="false">IF(A4829="","",IF(AND(I4829="Sí",J4829="Sí"),"Sí","No"))</f>
        <v/>
      </c>
    </row>
    <row r="4830" customFormat="false" ht="15" hidden="false" customHeight="false" outlineLevel="0" collapsed="false">
      <c r="A4830" s="22"/>
      <c r="B4830" s="22"/>
      <c r="C4830" s="26" t="str">
        <f aca="false">IF(A4830="","",IFERROR(buscarx(A4830&amp;B4830,DATA!$E$3:$E$10000&amp;DATA!$B$3:$B$10000,DATA!$M$3:$M$10000),"No encontrado"))</f>
        <v/>
      </c>
      <c r="D4830" s="27" t="str">
        <f aca="false">IF(A4830="","",IFERROR(buscarx(A4830&amp;B4830,DATA!$E$3:$E$10000&amp;DATA!$B$3:$B$10000,DATA!$W$3:$W$10000),"No encontrado"))</f>
        <v/>
      </c>
      <c r="E4830" s="22"/>
      <c r="F4830" s="26" t="str">
        <f aca="false">IF(A4830="","",IFERROR(buscarx(A4830&amp;E4830,DATA!$E$3:$E$10000&amp;DATA!$B$3:$B$10000,DATA!$M$3:$M$10000),"Inactivo"))</f>
        <v/>
      </c>
      <c r="G4830" s="28" t="str">
        <f aca="false">IF(A4830="","",IF(AND(C4830&lt;&gt;"No encontrado",F4830&lt;&gt;"Inactivo"),C4830&amp;" → "&amp;F4830,"Sin transición"))</f>
        <v/>
      </c>
      <c r="H4830" s="26" t="str">
        <f aca="false">IF(A4830="","",IF(D4830="GCIA LINEA SERVICIO DIGITALIDAD Y VENTAS","Chats",IF(OR(D4830="GERENCIA INBOUND LÍNEAS SERVICIO Y VENTA",D4830="GERENCIA INBOUND LINEAS ESPECIALIZADAS"),"Llamadas","Otro")))</f>
        <v/>
      </c>
      <c r="I4830" s="26" t="str">
        <f aca="false">IF(A4830="","",IF(C4830="No encontrado","No","Sí"))</f>
        <v/>
      </c>
      <c r="J4830" s="26" t="str">
        <f aca="false">IF(A4830="","",IF(F4830="Inactivo","No","Sí"))</f>
        <v/>
      </c>
      <c r="K4830" s="26" t="str">
        <f aca="false">IF(A4830="","",IF(AND(I4830="Sí",J4830="Sí"),"Sí","No"))</f>
        <v/>
      </c>
    </row>
    <row r="4831" customFormat="false" ht="15" hidden="false" customHeight="false" outlineLevel="0" collapsed="false">
      <c r="A4831" s="22"/>
      <c r="B4831" s="22"/>
      <c r="C4831" s="23" t="str">
        <f aca="false">IF(A4831="","",IFERROR(buscarx(A4831&amp;B4831,DATA!$E$3:$E$10000&amp;DATA!$B$3:$B$10000,DATA!$M$3:$M$10000),"No encontrado"))</f>
        <v/>
      </c>
      <c r="D4831" s="24" t="str">
        <f aca="false">IF(A4831="","",IFERROR(buscarx(A4831&amp;B4831,DATA!$E$3:$E$10000&amp;DATA!$B$3:$B$10000,DATA!$W$3:$W$10000),"No encontrado"))</f>
        <v/>
      </c>
      <c r="E4831" s="22"/>
      <c r="F4831" s="23" t="str">
        <f aca="false">IF(A4831="","",IFERROR(buscarx(A4831&amp;E4831,DATA!$E$3:$E$10000&amp;DATA!$B$3:$B$10000,DATA!$M$3:$M$10000),"Inactivo"))</f>
        <v/>
      </c>
      <c r="G4831" s="25" t="str">
        <f aca="false">IF(A4831="","",IF(AND(C4831&lt;&gt;"No encontrado",F4831&lt;&gt;"Inactivo"),C4831&amp;" → "&amp;F4831,"Sin transición"))</f>
        <v/>
      </c>
      <c r="H4831" s="23" t="str">
        <f aca="false">IF(A4831="","",IF(D4831="GCIA LINEA SERVICIO DIGITALIDAD Y VENTAS","Chats",IF(OR(D4831="GERENCIA INBOUND LÍNEAS SERVICIO Y VENTA",D4831="GERENCIA INBOUND LINEAS ESPECIALIZADAS"),"Llamadas","Otro")))</f>
        <v/>
      </c>
      <c r="I4831" s="23" t="str">
        <f aca="false">IF(A4831="","",IF(C4831="No encontrado","No","Sí"))</f>
        <v/>
      </c>
      <c r="J4831" s="23" t="str">
        <f aca="false">IF(A4831="","",IF(F4831="Inactivo","No","Sí"))</f>
        <v/>
      </c>
      <c r="K4831" s="23" t="str">
        <f aca="false">IF(A4831="","",IF(AND(I4831="Sí",J4831="Sí"),"Sí","No"))</f>
        <v/>
      </c>
    </row>
    <row r="4832" customFormat="false" ht="15" hidden="false" customHeight="false" outlineLevel="0" collapsed="false">
      <c r="A4832" s="22"/>
      <c r="B4832" s="22"/>
      <c r="C4832" s="26" t="str">
        <f aca="false">IF(A4832="","",IFERROR(buscarx(A4832&amp;B4832,DATA!$E$3:$E$10000&amp;DATA!$B$3:$B$10000,DATA!$M$3:$M$10000),"No encontrado"))</f>
        <v/>
      </c>
      <c r="D4832" s="27" t="str">
        <f aca="false">IF(A4832="","",IFERROR(buscarx(A4832&amp;B4832,DATA!$E$3:$E$10000&amp;DATA!$B$3:$B$10000,DATA!$W$3:$W$10000),"No encontrado"))</f>
        <v/>
      </c>
      <c r="E4832" s="22"/>
      <c r="F4832" s="26" t="str">
        <f aca="false">IF(A4832="","",IFERROR(buscarx(A4832&amp;E4832,DATA!$E$3:$E$10000&amp;DATA!$B$3:$B$10000,DATA!$M$3:$M$10000),"Inactivo"))</f>
        <v/>
      </c>
      <c r="G4832" s="28" t="str">
        <f aca="false">IF(A4832="","",IF(AND(C4832&lt;&gt;"No encontrado",F4832&lt;&gt;"Inactivo"),C4832&amp;" → "&amp;F4832,"Sin transición"))</f>
        <v/>
      </c>
      <c r="H4832" s="26" t="str">
        <f aca="false">IF(A4832="","",IF(D4832="GCIA LINEA SERVICIO DIGITALIDAD Y VENTAS","Chats",IF(OR(D4832="GERENCIA INBOUND LÍNEAS SERVICIO Y VENTA",D4832="GERENCIA INBOUND LINEAS ESPECIALIZADAS"),"Llamadas","Otro")))</f>
        <v/>
      </c>
      <c r="I4832" s="26" t="str">
        <f aca="false">IF(A4832="","",IF(C4832="No encontrado","No","Sí"))</f>
        <v/>
      </c>
      <c r="J4832" s="26" t="str">
        <f aca="false">IF(A4832="","",IF(F4832="Inactivo","No","Sí"))</f>
        <v/>
      </c>
      <c r="K4832" s="26" t="str">
        <f aca="false">IF(A4832="","",IF(AND(I4832="Sí",J4832="Sí"),"Sí","No"))</f>
        <v/>
      </c>
    </row>
    <row r="4833" customFormat="false" ht="15" hidden="false" customHeight="false" outlineLevel="0" collapsed="false">
      <c r="A4833" s="22"/>
      <c r="B4833" s="22"/>
      <c r="C4833" s="23" t="str">
        <f aca="false">IF(A4833="","",IFERROR(buscarx(A4833&amp;B4833,DATA!$E$3:$E$10000&amp;DATA!$B$3:$B$10000,DATA!$M$3:$M$10000),"No encontrado"))</f>
        <v/>
      </c>
      <c r="D4833" s="24" t="str">
        <f aca="false">IF(A4833="","",IFERROR(buscarx(A4833&amp;B4833,DATA!$E$3:$E$10000&amp;DATA!$B$3:$B$10000,DATA!$W$3:$W$10000),"No encontrado"))</f>
        <v/>
      </c>
      <c r="E4833" s="22"/>
      <c r="F4833" s="23" t="str">
        <f aca="false">IF(A4833="","",IFERROR(buscarx(A4833&amp;E4833,DATA!$E$3:$E$10000&amp;DATA!$B$3:$B$10000,DATA!$M$3:$M$10000),"Inactivo"))</f>
        <v/>
      </c>
      <c r="G4833" s="25" t="str">
        <f aca="false">IF(A4833="","",IF(AND(C4833&lt;&gt;"No encontrado",F4833&lt;&gt;"Inactivo"),C4833&amp;" → "&amp;F4833,"Sin transición"))</f>
        <v/>
      </c>
      <c r="H4833" s="23" t="str">
        <f aca="false">IF(A4833="","",IF(D4833="GCIA LINEA SERVICIO DIGITALIDAD Y VENTAS","Chats",IF(OR(D4833="GERENCIA INBOUND LÍNEAS SERVICIO Y VENTA",D4833="GERENCIA INBOUND LINEAS ESPECIALIZADAS"),"Llamadas","Otro")))</f>
        <v/>
      </c>
      <c r="I4833" s="23" t="str">
        <f aca="false">IF(A4833="","",IF(C4833="No encontrado","No","Sí"))</f>
        <v/>
      </c>
      <c r="J4833" s="23" t="str">
        <f aca="false">IF(A4833="","",IF(F4833="Inactivo","No","Sí"))</f>
        <v/>
      </c>
      <c r="K4833" s="23" t="str">
        <f aca="false">IF(A4833="","",IF(AND(I4833="Sí",J4833="Sí"),"Sí","No"))</f>
        <v/>
      </c>
    </row>
    <row r="4834" customFormat="false" ht="15" hidden="false" customHeight="false" outlineLevel="0" collapsed="false">
      <c r="A4834" s="22"/>
      <c r="B4834" s="22"/>
      <c r="C4834" s="26" t="str">
        <f aca="false">IF(A4834="","",IFERROR(buscarx(A4834&amp;B4834,DATA!$E$3:$E$10000&amp;DATA!$B$3:$B$10000,DATA!$M$3:$M$10000),"No encontrado"))</f>
        <v/>
      </c>
      <c r="D4834" s="27" t="str">
        <f aca="false">IF(A4834="","",IFERROR(buscarx(A4834&amp;B4834,DATA!$E$3:$E$10000&amp;DATA!$B$3:$B$10000,DATA!$W$3:$W$10000),"No encontrado"))</f>
        <v/>
      </c>
      <c r="E4834" s="22"/>
      <c r="F4834" s="26" t="str">
        <f aca="false">IF(A4834="","",IFERROR(buscarx(A4834&amp;E4834,DATA!$E$3:$E$10000&amp;DATA!$B$3:$B$10000,DATA!$M$3:$M$10000),"Inactivo"))</f>
        <v/>
      </c>
      <c r="G4834" s="28" t="str">
        <f aca="false">IF(A4834="","",IF(AND(C4834&lt;&gt;"No encontrado",F4834&lt;&gt;"Inactivo"),C4834&amp;" → "&amp;F4834,"Sin transición"))</f>
        <v/>
      </c>
      <c r="H4834" s="26" t="str">
        <f aca="false">IF(A4834="","",IF(D4834="GCIA LINEA SERVICIO DIGITALIDAD Y VENTAS","Chats",IF(OR(D4834="GERENCIA INBOUND LÍNEAS SERVICIO Y VENTA",D4834="GERENCIA INBOUND LINEAS ESPECIALIZADAS"),"Llamadas","Otro")))</f>
        <v/>
      </c>
      <c r="I4834" s="26" t="str">
        <f aca="false">IF(A4834="","",IF(C4834="No encontrado","No","Sí"))</f>
        <v/>
      </c>
      <c r="J4834" s="26" t="str">
        <f aca="false">IF(A4834="","",IF(F4834="Inactivo","No","Sí"))</f>
        <v/>
      </c>
      <c r="K4834" s="26" t="str">
        <f aca="false">IF(A4834="","",IF(AND(I4834="Sí",J4834="Sí"),"Sí","No"))</f>
        <v/>
      </c>
    </row>
    <row r="4835" customFormat="false" ht="15" hidden="false" customHeight="false" outlineLevel="0" collapsed="false">
      <c r="A4835" s="22"/>
      <c r="B4835" s="22"/>
      <c r="C4835" s="23" t="str">
        <f aca="false">IF(A4835="","",IFERROR(buscarx(A4835&amp;B4835,DATA!$E$3:$E$10000&amp;DATA!$B$3:$B$10000,DATA!$M$3:$M$10000),"No encontrado"))</f>
        <v/>
      </c>
      <c r="D4835" s="24" t="str">
        <f aca="false">IF(A4835="","",IFERROR(buscarx(A4835&amp;B4835,DATA!$E$3:$E$10000&amp;DATA!$B$3:$B$10000,DATA!$W$3:$W$10000),"No encontrado"))</f>
        <v/>
      </c>
      <c r="E4835" s="22"/>
      <c r="F4835" s="23" t="str">
        <f aca="false">IF(A4835="","",IFERROR(buscarx(A4835&amp;E4835,DATA!$E$3:$E$10000&amp;DATA!$B$3:$B$10000,DATA!$M$3:$M$10000),"Inactivo"))</f>
        <v/>
      </c>
      <c r="G4835" s="25" t="str">
        <f aca="false">IF(A4835="","",IF(AND(C4835&lt;&gt;"No encontrado",F4835&lt;&gt;"Inactivo"),C4835&amp;" → "&amp;F4835,"Sin transición"))</f>
        <v/>
      </c>
      <c r="H4835" s="23" t="str">
        <f aca="false">IF(A4835="","",IF(D4835="GCIA LINEA SERVICIO DIGITALIDAD Y VENTAS","Chats",IF(OR(D4835="GERENCIA INBOUND LÍNEAS SERVICIO Y VENTA",D4835="GERENCIA INBOUND LINEAS ESPECIALIZADAS"),"Llamadas","Otro")))</f>
        <v/>
      </c>
      <c r="I4835" s="23" t="str">
        <f aca="false">IF(A4835="","",IF(C4835="No encontrado","No","Sí"))</f>
        <v/>
      </c>
      <c r="J4835" s="23" t="str">
        <f aca="false">IF(A4835="","",IF(F4835="Inactivo","No","Sí"))</f>
        <v/>
      </c>
      <c r="K4835" s="23" t="str">
        <f aca="false">IF(A4835="","",IF(AND(I4835="Sí",J4835="Sí"),"Sí","No"))</f>
        <v/>
      </c>
    </row>
    <row r="4836" customFormat="false" ht="15" hidden="false" customHeight="false" outlineLevel="0" collapsed="false">
      <c r="A4836" s="22"/>
      <c r="B4836" s="22"/>
      <c r="C4836" s="26" t="str">
        <f aca="false">IF(A4836="","",IFERROR(buscarx(A4836&amp;B4836,DATA!$E$3:$E$10000&amp;DATA!$B$3:$B$10000,DATA!$M$3:$M$10000),"No encontrado"))</f>
        <v/>
      </c>
      <c r="D4836" s="27" t="str">
        <f aca="false">IF(A4836="","",IFERROR(buscarx(A4836&amp;B4836,DATA!$E$3:$E$10000&amp;DATA!$B$3:$B$10000,DATA!$W$3:$W$10000),"No encontrado"))</f>
        <v/>
      </c>
      <c r="E4836" s="22"/>
      <c r="F4836" s="26" t="str">
        <f aca="false">IF(A4836="","",IFERROR(buscarx(A4836&amp;E4836,DATA!$E$3:$E$10000&amp;DATA!$B$3:$B$10000,DATA!$M$3:$M$10000),"Inactivo"))</f>
        <v/>
      </c>
      <c r="G4836" s="28" t="str">
        <f aca="false">IF(A4836="","",IF(AND(C4836&lt;&gt;"No encontrado",F4836&lt;&gt;"Inactivo"),C4836&amp;" → "&amp;F4836,"Sin transición"))</f>
        <v/>
      </c>
      <c r="H4836" s="26" t="str">
        <f aca="false">IF(A4836="","",IF(D4836="GCIA LINEA SERVICIO DIGITALIDAD Y VENTAS","Chats",IF(OR(D4836="GERENCIA INBOUND LÍNEAS SERVICIO Y VENTA",D4836="GERENCIA INBOUND LINEAS ESPECIALIZADAS"),"Llamadas","Otro")))</f>
        <v/>
      </c>
      <c r="I4836" s="26" t="str">
        <f aca="false">IF(A4836="","",IF(C4836="No encontrado","No","Sí"))</f>
        <v/>
      </c>
      <c r="J4836" s="26" t="str">
        <f aca="false">IF(A4836="","",IF(F4836="Inactivo","No","Sí"))</f>
        <v/>
      </c>
      <c r="K4836" s="26" t="str">
        <f aca="false">IF(A4836="","",IF(AND(I4836="Sí",J4836="Sí"),"Sí","No"))</f>
        <v/>
      </c>
    </row>
    <row r="4837" customFormat="false" ht="15" hidden="false" customHeight="false" outlineLevel="0" collapsed="false">
      <c r="A4837" s="22"/>
      <c r="B4837" s="22"/>
      <c r="C4837" s="23" t="str">
        <f aca="false">IF(A4837="","",IFERROR(buscarx(A4837&amp;B4837,DATA!$E$3:$E$10000&amp;DATA!$B$3:$B$10000,DATA!$M$3:$M$10000),"No encontrado"))</f>
        <v/>
      </c>
      <c r="D4837" s="24" t="str">
        <f aca="false">IF(A4837="","",IFERROR(buscarx(A4837&amp;B4837,DATA!$E$3:$E$10000&amp;DATA!$B$3:$B$10000,DATA!$W$3:$W$10000),"No encontrado"))</f>
        <v/>
      </c>
      <c r="E4837" s="22"/>
      <c r="F4837" s="23" t="str">
        <f aca="false">IF(A4837="","",IFERROR(buscarx(A4837&amp;E4837,DATA!$E$3:$E$10000&amp;DATA!$B$3:$B$10000,DATA!$M$3:$M$10000),"Inactivo"))</f>
        <v/>
      </c>
      <c r="G4837" s="25" t="str">
        <f aca="false">IF(A4837="","",IF(AND(C4837&lt;&gt;"No encontrado",F4837&lt;&gt;"Inactivo"),C4837&amp;" → "&amp;F4837,"Sin transición"))</f>
        <v/>
      </c>
      <c r="H4837" s="23" t="str">
        <f aca="false">IF(A4837="","",IF(D4837="GCIA LINEA SERVICIO DIGITALIDAD Y VENTAS","Chats",IF(OR(D4837="GERENCIA INBOUND LÍNEAS SERVICIO Y VENTA",D4837="GERENCIA INBOUND LINEAS ESPECIALIZADAS"),"Llamadas","Otro")))</f>
        <v/>
      </c>
      <c r="I4837" s="23" t="str">
        <f aca="false">IF(A4837="","",IF(C4837="No encontrado","No","Sí"))</f>
        <v/>
      </c>
      <c r="J4837" s="23" t="str">
        <f aca="false">IF(A4837="","",IF(F4837="Inactivo","No","Sí"))</f>
        <v/>
      </c>
      <c r="K4837" s="23" t="str">
        <f aca="false">IF(A4837="","",IF(AND(I4837="Sí",J4837="Sí"),"Sí","No"))</f>
        <v/>
      </c>
    </row>
    <row r="4838" customFormat="false" ht="15" hidden="false" customHeight="false" outlineLevel="0" collapsed="false">
      <c r="A4838" s="22"/>
      <c r="B4838" s="22"/>
      <c r="C4838" s="26" t="str">
        <f aca="false">IF(A4838="","",IFERROR(buscarx(A4838&amp;B4838,DATA!$E$3:$E$10000&amp;DATA!$B$3:$B$10000,DATA!$M$3:$M$10000),"No encontrado"))</f>
        <v/>
      </c>
      <c r="D4838" s="27" t="str">
        <f aca="false">IF(A4838="","",IFERROR(buscarx(A4838&amp;B4838,DATA!$E$3:$E$10000&amp;DATA!$B$3:$B$10000,DATA!$W$3:$W$10000),"No encontrado"))</f>
        <v/>
      </c>
      <c r="E4838" s="22"/>
      <c r="F4838" s="26" t="str">
        <f aca="false">IF(A4838="","",IFERROR(buscarx(A4838&amp;E4838,DATA!$E$3:$E$10000&amp;DATA!$B$3:$B$10000,DATA!$M$3:$M$10000),"Inactivo"))</f>
        <v/>
      </c>
      <c r="G4838" s="28" t="str">
        <f aca="false">IF(A4838="","",IF(AND(C4838&lt;&gt;"No encontrado",F4838&lt;&gt;"Inactivo"),C4838&amp;" → "&amp;F4838,"Sin transición"))</f>
        <v/>
      </c>
      <c r="H4838" s="26" t="str">
        <f aca="false">IF(A4838="","",IF(D4838="GCIA LINEA SERVICIO DIGITALIDAD Y VENTAS","Chats",IF(OR(D4838="GERENCIA INBOUND LÍNEAS SERVICIO Y VENTA",D4838="GERENCIA INBOUND LINEAS ESPECIALIZADAS"),"Llamadas","Otro")))</f>
        <v/>
      </c>
      <c r="I4838" s="26" t="str">
        <f aca="false">IF(A4838="","",IF(C4838="No encontrado","No","Sí"))</f>
        <v/>
      </c>
      <c r="J4838" s="26" t="str">
        <f aca="false">IF(A4838="","",IF(F4838="Inactivo","No","Sí"))</f>
        <v/>
      </c>
      <c r="K4838" s="26" t="str">
        <f aca="false">IF(A4838="","",IF(AND(I4838="Sí",J4838="Sí"),"Sí","No"))</f>
        <v/>
      </c>
    </row>
    <row r="4839" customFormat="false" ht="15" hidden="false" customHeight="false" outlineLevel="0" collapsed="false">
      <c r="A4839" s="22"/>
      <c r="B4839" s="22"/>
      <c r="C4839" s="23" t="str">
        <f aca="false">IF(A4839="","",IFERROR(buscarx(A4839&amp;B4839,DATA!$E$3:$E$10000&amp;DATA!$B$3:$B$10000,DATA!$M$3:$M$10000),"No encontrado"))</f>
        <v/>
      </c>
      <c r="D4839" s="24" t="str">
        <f aca="false">IF(A4839="","",IFERROR(buscarx(A4839&amp;B4839,DATA!$E$3:$E$10000&amp;DATA!$B$3:$B$10000,DATA!$W$3:$W$10000),"No encontrado"))</f>
        <v/>
      </c>
      <c r="E4839" s="22"/>
      <c r="F4839" s="23" t="str">
        <f aca="false">IF(A4839="","",IFERROR(buscarx(A4839&amp;E4839,DATA!$E$3:$E$10000&amp;DATA!$B$3:$B$10000,DATA!$M$3:$M$10000),"Inactivo"))</f>
        <v/>
      </c>
      <c r="G4839" s="25" t="str">
        <f aca="false">IF(A4839="","",IF(AND(C4839&lt;&gt;"No encontrado",F4839&lt;&gt;"Inactivo"),C4839&amp;" → "&amp;F4839,"Sin transición"))</f>
        <v/>
      </c>
      <c r="H4839" s="23" t="str">
        <f aca="false">IF(A4839="","",IF(D4839="GCIA LINEA SERVICIO DIGITALIDAD Y VENTAS","Chats",IF(OR(D4839="GERENCIA INBOUND LÍNEAS SERVICIO Y VENTA",D4839="GERENCIA INBOUND LINEAS ESPECIALIZADAS"),"Llamadas","Otro")))</f>
        <v/>
      </c>
      <c r="I4839" s="23" t="str">
        <f aca="false">IF(A4839="","",IF(C4839="No encontrado","No","Sí"))</f>
        <v/>
      </c>
      <c r="J4839" s="23" t="str">
        <f aca="false">IF(A4839="","",IF(F4839="Inactivo","No","Sí"))</f>
        <v/>
      </c>
      <c r="K4839" s="23" t="str">
        <f aca="false">IF(A4839="","",IF(AND(I4839="Sí",J4839="Sí"),"Sí","No"))</f>
        <v/>
      </c>
    </row>
    <row r="4840" customFormat="false" ht="15" hidden="false" customHeight="false" outlineLevel="0" collapsed="false">
      <c r="A4840" s="22"/>
      <c r="B4840" s="22"/>
      <c r="C4840" s="26" t="str">
        <f aca="false">IF(A4840="","",IFERROR(buscarx(A4840&amp;B4840,DATA!$E$3:$E$10000&amp;DATA!$B$3:$B$10000,DATA!$M$3:$M$10000),"No encontrado"))</f>
        <v/>
      </c>
      <c r="D4840" s="27" t="str">
        <f aca="false">IF(A4840="","",IFERROR(buscarx(A4840&amp;B4840,DATA!$E$3:$E$10000&amp;DATA!$B$3:$B$10000,DATA!$W$3:$W$10000),"No encontrado"))</f>
        <v/>
      </c>
      <c r="E4840" s="22"/>
      <c r="F4840" s="26" t="str">
        <f aca="false">IF(A4840="","",IFERROR(buscarx(A4840&amp;E4840,DATA!$E$3:$E$10000&amp;DATA!$B$3:$B$10000,DATA!$M$3:$M$10000),"Inactivo"))</f>
        <v/>
      </c>
      <c r="G4840" s="28" t="str">
        <f aca="false">IF(A4840="","",IF(AND(C4840&lt;&gt;"No encontrado",F4840&lt;&gt;"Inactivo"),C4840&amp;" → "&amp;F4840,"Sin transición"))</f>
        <v/>
      </c>
      <c r="H4840" s="26" t="str">
        <f aca="false">IF(A4840="","",IF(D4840="GCIA LINEA SERVICIO DIGITALIDAD Y VENTAS","Chats",IF(OR(D4840="GERENCIA INBOUND LÍNEAS SERVICIO Y VENTA",D4840="GERENCIA INBOUND LINEAS ESPECIALIZADAS"),"Llamadas","Otro")))</f>
        <v/>
      </c>
      <c r="I4840" s="26" t="str">
        <f aca="false">IF(A4840="","",IF(C4840="No encontrado","No","Sí"))</f>
        <v/>
      </c>
      <c r="J4840" s="26" t="str">
        <f aca="false">IF(A4840="","",IF(F4840="Inactivo","No","Sí"))</f>
        <v/>
      </c>
      <c r="K4840" s="26" t="str">
        <f aca="false">IF(A4840="","",IF(AND(I4840="Sí",J4840="Sí"),"Sí","No"))</f>
        <v/>
      </c>
    </row>
    <row r="4841" customFormat="false" ht="15" hidden="false" customHeight="false" outlineLevel="0" collapsed="false">
      <c r="A4841" s="22"/>
      <c r="B4841" s="22"/>
      <c r="C4841" s="23" t="str">
        <f aca="false">IF(A4841="","",IFERROR(buscarx(A4841&amp;B4841,DATA!$E$3:$E$10000&amp;DATA!$B$3:$B$10000,DATA!$M$3:$M$10000),"No encontrado"))</f>
        <v/>
      </c>
      <c r="D4841" s="24" t="str">
        <f aca="false">IF(A4841="","",IFERROR(buscarx(A4841&amp;B4841,DATA!$E$3:$E$10000&amp;DATA!$B$3:$B$10000,DATA!$W$3:$W$10000),"No encontrado"))</f>
        <v/>
      </c>
      <c r="E4841" s="22"/>
      <c r="F4841" s="23" t="str">
        <f aca="false">IF(A4841="","",IFERROR(buscarx(A4841&amp;E4841,DATA!$E$3:$E$10000&amp;DATA!$B$3:$B$10000,DATA!$M$3:$M$10000),"Inactivo"))</f>
        <v/>
      </c>
      <c r="G4841" s="25" t="str">
        <f aca="false">IF(A4841="","",IF(AND(C4841&lt;&gt;"No encontrado",F4841&lt;&gt;"Inactivo"),C4841&amp;" → "&amp;F4841,"Sin transición"))</f>
        <v/>
      </c>
      <c r="H4841" s="23" t="str">
        <f aca="false">IF(A4841="","",IF(D4841="GCIA LINEA SERVICIO DIGITALIDAD Y VENTAS","Chats",IF(OR(D4841="GERENCIA INBOUND LÍNEAS SERVICIO Y VENTA",D4841="GERENCIA INBOUND LINEAS ESPECIALIZADAS"),"Llamadas","Otro")))</f>
        <v/>
      </c>
      <c r="I4841" s="23" t="str">
        <f aca="false">IF(A4841="","",IF(C4841="No encontrado","No","Sí"))</f>
        <v/>
      </c>
      <c r="J4841" s="23" t="str">
        <f aca="false">IF(A4841="","",IF(F4841="Inactivo","No","Sí"))</f>
        <v/>
      </c>
      <c r="K4841" s="23" t="str">
        <f aca="false">IF(A4841="","",IF(AND(I4841="Sí",J4841="Sí"),"Sí","No"))</f>
        <v/>
      </c>
    </row>
    <row r="4842" customFormat="false" ht="15" hidden="false" customHeight="false" outlineLevel="0" collapsed="false">
      <c r="A4842" s="22"/>
      <c r="B4842" s="22"/>
      <c r="C4842" s="26" t="str">
        <f aca="false">IF(A4842="","",IFERROR(buscarx(A4842&amp;B4842,DATA!$E$3:$E$10000&amp;DATA!$B$3:$B$10000,DATA!$M$3:$M$10000),"No encontrado"))</f>
        <v/>
      </c>
      <c r="D4842" s="27" t="str">
        <f aca="false">IF(A4842="","",IFERROR(buscarx(A4842&amp;B4842,DATA!$E$3:$E$10000&amp;DATA!$B$3:$B$10000,DATA!$W$3:$W$10000),"No encontrado"))</f>
        <v/>
      </c>
      <c r="E4842" s="22"/>
      <c r="F4842" s="26" t="str">
        <f aca="false">IF(A4842="","",IFERROR(buscarx(A4842&amp;E4842,DATA!$E$3:$E$10000&amp;DATA!$B$3:$B$10000,DATA!$M$3:$M$10000),"Inactivo"))</f>
        <v/>
      </c>
      <c r="G4842" s="28" t="str">
        <f aca="false">IF(A4842="","",IF(AND(C4842&lt;&gt;"No encontrado",F4842&lt;&gt;"Inactivo"),C4842&amp;" → "&amp;F4842,"Sin transición"))</f>
        <v/>
      </c>
      <c r="H4842" s="26" t="str">
        <f aca="false">IF(A4842="","",IF(D4842="GCIA LINEA SERVICIO DIGITALIDAD Y VENTAS","Chats",IF(OR(D4842="GERENCIA INBOUND LÍNEAS SERVICIO Y VENTA",D4842="GERENCIA INBOUND LINEAS ESPECIALIZADAS"),"Llamadas","Otro")))</f>
        <v/>
      </c>
      <c r="I4842" s="26" t="str">
        <f aca="false">IF(A4842="","",IF(C4842="No encontrado","No","Sí"))</f>
        <v/>
      </c>
      <c r="J4842" s="26" t="str">
        <f aca="false">IF(A4842="","",IF(F4842="Inactivo","No","Sí"))</f>
        <v/>
      </c>
      <c r="K4842" s="26" t="str">
        <f aca="false">IF(A4842="","",IF(AND(I4842="Sí",J4842="Sí"),"Sí","No"))</f>
        <v/>
      </c>
    </row>
    <row r="4843" customFormat="false" ht="15" hidden="false" customHeight="false" outlineLevel="0" collapsed="false">
      <c r="A4843" s="22"/>
      <c r="B4843" s="22"/>
      <c r="C4843" s="23" t="str">
        <f aca="false">IF(A4843="","",IFERROR(buscarx(A4843&amp;B4843,DATA!$E$3:$E$10000&amp;DATA!$B$3:$B$10000,DATA!$M$3:$M$10000),"No encontrado"))</f>
        <v/>
      </c>
      <c r="D4843" s="24" t="str">
        <f aca="false">IF(A4843="","",IFERROR(buscarx(A4843&amp;B4843,DATA!$E$3:$E$10000&amp;DATA!$B$3:$B$10000,DATA!$W$3:$W$10000),"No encontrado"))</f>
        <v/>
      </c>
      <c r="E4843" s="22"/>
      <c r="F4843" s="23" t="str">
        <f aca="false">IF(A4843="","",IFERROR(buscarx(A4843&amp;E4843,DATA!$E$3:$E$10000&amp;DATA!$B$3:$B$10000,DATA!$M$3:$M$10000),"Inactivo"))</f>
        <v/>
      </c>
      <c r="G4843" s="25" t="str">
        <f aca="false">IF(A4843="","",IF(AND(C4843&lt;&gt;"No encontrado",F4843&lt;&gt;"Inactivo"),C4843&amp;" → "&amp;F4843,"Sin transición"))</f>
        <v/>
      </c>
      <c r="H4843" s="23" t="str">
        <f aca="false">IF(A4843="","",IF(D4843="GCIA LINEA SERVICIO DIGITALIDAD Y VENTAS","Chats",IF(OR(D4843="GERENCIA INBOUND LÍNEAS SERVICIO Y VENTA",D4843="GERENCIA INBOUND LINEAS ESPECIALIZADAS"),"Llamadas","Otro")))</f>
        <v/>
      </c>
      <c r="I4843" s="23" t="str">
        <f aca="false">IF(A4843="","",IF(C4843="No encontrado","No","Sí"))</f>
        <v/>
      </c>
      <c r="J4843" s="23" t="str">
        <f aca="false">IF(A4843="","",IF(F4843="Inactivo","No","Sí"))</f>
        <v/>
      </c>
      <c r="K4843" s="23" t="str">
        <f aca="false">IF(A4843="","",IF(AND(I4843="Sí",J4843="Sí"),"Sí","No"))</f>
        <v/>
      </c>
    </row>
    <row r="4844" customFormat="false" ht="15" hidden="false" customHeight="false" outlineLevel="0" collapsed="false">
      <c r="A4844" s="22"/>
      <c r="B4844" s="22"/>
      <c r="C4844" s="26" t="str">
        <f aca="false">IF(A4844="","",IFERROR(buscarx(A4844&amp;B4844,DATA!$E$3:$E$10000&amp;DATA!$B$3:$B$10000,DATA!$M$3:$M$10000),"No encontrado"))</f>
        <v/>
      </c>
      <c r="D4844" s="27" t="str">
        <f aca="false">IF(A4844="","",IFERROR(buscarx(A4844&amp;B4844,DATA!$E$3:$E$10000&amp;DATA!$B$3:$B$10000,DATA!$W$3:$W$10000),"No encontrado"))</f>
        <v/>
      </c>
      <c r="E4844" s="22"/>
      <c r="F4844" s="26" t="str">
        <f aca="false">IF(A4844="","",IFERROR(buscarx(A4844&amp;E4844,DATA!$E$3:$E$10000&amp;DATA!$B$3:$B$10000,DATA!$M$3:$M$10000),"Inactivo"))</f>
        <v/>
      </c>
      <c r="G4844" s="28" t="str">
        <f aca="false">IF(A4844="","",IF(AND(C4844&lt;&gt;"No encontrado",F4844&lt;&gt;"Inactivo"),C4844&amp;" → "&amp;F4844,"Sin transición"))</f>
        <v/>
      </c>
      <c r="H4844" s="26" t="str">
        <f aca="false">IF(A4844="","",IF(D4844="GCIA LINEA SERVICIO DIGITALIDAD Y VENTAS","Chats",IF(OR(D4844="GERENCIA INBOUND LÍNEAS SERVICIO Y VENTA",D4844="GERENCIA INBOUND LINEAS ESPECIALIZADAS"),"Llamadas","Otro")))</f>
        <v/>
      </c>
      <c r="I4844" s="26" t="str">
        <f aca="false">IF(A4844="","",IF(C4844="No encontrado","No","Sí"))</f>
        <v/>
      </c>
      <c r="J4844" s="26" t="str">
        <f aca="false">IF(A4844="","",IF(F4844="Inactivo","No","Sí"))</f>
        <v/>
      </c>
      <c r="K4844" s="26" t="str">
        <f aca="false">IF(A4844="","",IF(AND(I4844="Sí",J4844="Sí"),"Sí","No"))</f>
        <v/>
      </c>
    </row>
    <row r="4845" customFormat="false" ht="15" hidden="false" customHeight="false" outlineLevel="0" collapsed="false">
      <c r="A4845" s="22"/>
      <c r="B4845" s="22"/>
      <c r="C4845" s="23" t="str">
        <f aca="false">IF(A4845="","",IFERROR(buscarx(A4845&amp;B4845,DATA!$E$3:$E$10000&amp;DATA!$B$3:$B$10000,DATA!$M$3:$M$10000),"No encontrado"))</f>
        <v/>
      </c>
      <c r="D4845" s="24" t="str">
        <f aca="false">IF(A4845="","",IFERROR(buscarx(A4845&amp;B4845,DATA!$E$3:$E$10000&amp;DATA!$B$3:$B$10000,DATA!$W$3:$W$10000),"No encontrado"))</f>
        <v/>
      </c>
      <c r="E4845" s="22"/>
      <c r="F4845" s="23" t="str">
        <f aca="false">IF(A4845="","",IFERROR(buscarx(A4845&amp;E4845,DATA!$E$3:$E$10000&amp;DATA!$B$3:$B$10000,DATA!$M$3:$M$10000),"Inactivo"))</f>
        <v/>
      </c>
      <c r="G4845" s="25" t="str">
        <f aca="false">IF(A4845="","",IF(AND(C4845&lt;&gt;"No encontrado",F4845&lt;&gt;"Inactivo"),C4845&amp;" → "&amp;F4845,"Sin transición"))</f>
        <v/>
      </c>
      <c r="H4845" s="23" t="str">
        <f aca="false">IF(A4845="","",IF(D4845="GCIA LINEA SERVICIO DIGITALIDAD Y VENTAS","Chats",IF(OR(D4845="GERENCIA INBOUND LÍNEAS SERVICIO Y VENTA",D4845="GERENCIA INBOUND LINEAS ESPECIALIZADAS"),"Llamadas","Otro")))</f>
        <v/>
      </c>
      <c r="I4845" s="23" t="str">
        <f aca="false">IF(A4845="","",IF(C4845="No encontrado","No","Sí"))</f>
        <v/>
      </c>
      <c r="J4845" s="23" t="str">
        <f aca="false">IF(A4845="","",IF(F4845="Inactivo","No","Sí"))</f>
        <v/>
      </c>
      <c r="K4845" s="23" t="str">
        <f aca="false">IF(A4845="","",IF(AND(I4845="Sí",J4845="Sí"),"Sí","No"))</f>
        <v/>
      </c>
    </row>
    <row r="4846" customFormat="false" ht="15" hidden="false" customHeight="false" outlineLevel="0" collapsed="false">
      <c r="A4846" s="22"/>
      <c r="B4846" s="22"/>
      <c r="C4846" s="26" t="str">
        <f aca="false">IF(A4846="","",IFERROR(buscarx(A4846&amp;B4846,DATA!$E$3:$E$10000&amp;DATA!$B$3:$B$10000,DATA!$M$3:$M$10000),"No encontrado"))</f>
        <v/>
      </c>
      <c r="D4846" s="27" t="str">
        <f aca="false">IF(A4846="","",IFERROR(buscarx(A4846&amp;B4846,DATA!$E$3:$E$10000&amp;DATA!$B$3:$B$10000,DATA!$W$3:$W$10000),"No encontrado"))</f>
        <v/>
      </c>
      <c r="E4846" s="22"/>
      <c r="F4846" s="26" t="str">
        <f aca="false">IF(A4846="","",IFERROR(buscarx(A4846&amp;E4846,DATA!$E$3:$E$10000&amp;DATA!$B$3:$B$10000,DATA!$M$3:$M$10000),"Inactivo"))</f>
        <v/>
      </c>
      <c r="G4846" s="28" t="str">
        <f aca="false">IF(A4846="","",IF(AND(C4846&lt;&gt;"No encontrado",F4846&lt;&gt;"Inactivo"),C4846&amp;" → "&amp;F4846,"Sin transición"))</f>
        <v/>
      </c>
      <c r="H4846" s="26" t="str">
        <f aca="false">IF(A4846="","",IF(D4846="GCIA LINEA SERVICIO DIGITALIDAD Y VENTAS","Chats",IF(OR(D4846="GERENCIA INBOUND LÍNEAS SERVICIO Y VENTA",D4846="GERENCIA INBOUND LINEAS ESPECIALIZADAS"),"Llamadas","Otro")))</f>
        <v/>
      </c>
      <c r="I4846" s="26" t="str">
        <f aca="false">IF(A4846="","",IF(C4846="No encontrado","No","Sí"))</f>
        <v/>
      </c>
      <c r="J4846" s="26" t="str">
        <f aca="false">IF(A4846="","",IF(F4846="Inactivo","No","Sí"))</f>
        <v/>
      </c>
      <c r="K4846" s="26" t="str">
        <f aca="false">IF(A4846="","",IF(AND(I4846="Sí",J4846="Sí"),"Sí","No"))</f>
        <v/>
      </c>
    </row>
    <row r="4847" customFormat="false" ht="15" hidden="false" customHeight="false" outlineLevel="0" collapsed="false">
      <c r="A4847" s="22"/>
      <c r="B4847" s="22"/>
      <c r="C4847" s="23" t="str">
        <f aca="false">IF(A4847="","",IFERROR(buscarx(A4847&amp;B4847,DATA!$E$3:$E$10000&amp;DATA!$B$3:$B$10000,DATA!$M$3:$M$10000),"No encontrado"))</f>
        <v/>
      </c>
      <c r="D4847" s="24" t="str">
        <f aca="false">IF(A4847="","",IFERROR(buscarx(A4847&amp;B4847,DATA!$E$3:$E$10000&amp;DATA!$B$3:$B$10000,DATA!$W$3:$W$10000),"No encontrado"))</f>
        <v/>
      </c>
      <c r="E4847" s="22"/>
      <c r="F4847" s="23" t="str">
        <f aca="false">IF(A4847="","",IFERROR(buscarx(A4847&amp;E4847,DATA!$E$3:$E$10000&amp;DATA!$B$3:$B$10000,DATA!$M$3:$M$10000),"Inactivo"))</f>
        <v/>
      </c>
      <c r="G4847" s="25" t="str">
        <f aca="false">IF(A4847="","",IF(AND(C4847&lt;&gt;"No encontrado",F4847&lt;&gt;"Inactivo"),C4847&amp;" → "&amp;F4847,"Sin transición"))</f>
        <v/>
      </c>
      <c r="H4847" s="23" t="str">
        <f aca="false">IF(A4847="","",IF(D4847="GCIA LINEA SERVICIO DIGITALIDAD Y VENTAS","Chats",IF(OR(D4847="GERENCIA INBOUND LÍNEAS SERVICIO Y VENTA",D4847="GERENCIA INBOUND LINEAS ESPECIALIZADAS"),"Llamadas","Otro")))</f>
        <v/>
      </c>
      <c r="I4847" s="23" t="str">
        <f aca="false">IF(A4847="","",IF(C4847="No encontrado","No","Sí"))</f>
        <v/>
      </c>
      <c r="J4847" s="23" t="str">
        <f aca="false">IF(A4847="","",IF(F4847="Inactivo","No","Sí"))</f>
        <v/>
      </c>
      <c r="K4847" s="23" t="str">
        <f aca="false">IF(A4847="","",IF(AND(I4847="Sí",J4847="Sí"),"Sí","No"))</f>
        <v/>
      </c>
    </row>
    <row r="4848" customFormat="false" ht="15" hidden="false" customHeight="false" outlineLevel="0" collapsed="false">
      <c r="A4848" s="22"/>
      <c r="B4848" s="22"/>
      <c r="C4848" s="26" t="str">
        <f aca="false">IF(A4848="","",IFERROR(buscarx(A4848&amp;B4848,DATA!$E$3:$E$10000&amp;DATA!$B$3:$B$10000,DATA!$M$3:$M$10000),"No encontrado"))</f>
        <v/>
      </c>
      <c r="D4848" s="27" t="str">
        <f aca="false">IF(A4848="","",IFERROR(buscarx(A4848&amp;B4848,DATA!$E$3:$E$10000&amp;DATA!$B$3:$B$10000,DATA!$W$3:$W$10000),"No encontrado"))</f>
        <v/>
      </c>
      <c r="E4848" s="22"/>
      <c r="F4848" s="26" t="str">
        <f aca="false">IF(A4848="","",IFERROR(buscarx(A4848&amp;E4848,DATA!$E$3:$E$10000&amp;DATA!$B$3:$B$10000,DATA!$M$3:$M$10000),"Inactivo"))</f>
        <v/>
      </c>
      <c r="G4848" s="28" t="str">
        <f aca="false">IF(A4848="","",IF(AND(C4848&lt;&gt;"No encontrado",F4848&lt;&gt;"Inactivo"),C4848&amp;" → "&amp;F4848,"Sin transición"))</f>
        <v/>
      </c>
      <c r="H4848" s="26" t="str">
        <f aca="false">IF(A4848="","",IF(D4848="GCIA LINEA SERVICIO DIGITALIDAD Y VENTAS","Chats",IF(OR(D4848="GERENCIA INBOUND LÍNEAS SERVICIO Y VENTA",D4848="GERENCIA INBOUND LINEAS ESPECIALIZADAS"),"Llamadas","Otro")))</f>
        <v/>
      </c>
      <c r="I4848" s="26" t="str">
        <f aca="false">IF(A4848="","",IF(C4848="No encontrado","No","Sí"))</f>
        <v/>
      </c>
      <c r="J4848" s="26" t="str">
        <f aca="false">IF(A4848="","",IF(F4848="Inactivo","No","Sí"))</f>
        <v/>
      </c>
      <c r="K4848" s="26" t="str">
        <f aca="false">IF(A4848="","",IF(AND(I4848="Sí",J4848="Sí"),"Sí","No"))</f>
        <v/>
      </c>
    </row>
    <row r="4849" customFormat="false" ht="15" hidden="false" customHeight="false" outlineLevel="0" collapsed="false">
      <c r="A4849" s="22"/>
      <c r="B4849" s="22"/>
      <c r="C4849" s="23" t="str">
        <f aca="false">IF(A4849="","",IFERROR(buscarx(A4849&amp;B4849,DATA!$E$3:$E$10000&amp;DATA!$B$3:$B$10000,DATA!$M$3:$M$10000),"No encontrado"))</f>
        <v/>
      </c>
      <c r="D4849" s="24" t="str">
        <f aca="false">IF(A4849="","",IFERROR(buscarx(A4849&amp;B4849,DATA!$E$3:$E$10000&amp;DATA!$B$3:$B$10000,DATA!$W$3:$W$10000),"No encontrado"))</f>
        <v/>
      </c>
      <c r="E4849" s="22"/>
      <c r="F4849" s="23" t="str">
        <f aca="false">IF(A4849="","",IFERROR(buscarx(A4849&amp;E4849,DATA!$E$3:$E$10000&amp;DATA!$B$3:$B$10000,DATA!$M$3:$M$10000),"Inactivo"))</f>
        <v/>
      </c>
      <c r="G4849" s="25" t="str">
        <f aca="false">IF(A4849="","",IF(AND(C4849&lt;&gt;"No encontrado",F4849&lt;&gt;"Inactivo"),C4849&amp;" → "&amp;F4849,"Sin transición"))</f>
        <v/>
      </c>
      <c r="H4849" s="23" t="str">
        <f aca="false">IF(A4849="","",IF(D4849="GCIA LINEA SERVICIO DIGITALIDAD Y VENTAS","Chats",IF(OR(D4849="GERENCIA INBOUND LÍNEAS SERVICIO Y VENTA",D4849="GERENCIA INBOUND LINEAS ESPECIALIZADAS"),"Llamadas","Otro")))</f>
        <v/>
      </c>
      <c r="I4849" s="23" t="str">
        <f aca="false">IF(A4849="","",IF(C4849="No encontrado","No","Sí"))</f>
        <v/>
      </c>
      <c r="J4849" s="23" t="str">
        <f aca="false">IF(A4849="","",IF(F4849="Inactivo","No","Sí"))</f>
        <v/>
      </c>
      <c r="K4849" s="23" t="str">
        <f aca="false">IF(A4849="","",IF(AND(I4849="Sí",J4849="Sí"),"Sí","No"))</f>
        <v/>
      </c>
    </row>
    <row r="4850" customFormat="false" ht="15" hidden="false" customHeight="false" outlineLevel="0" collapsed="false">
      <c r="A4850" s="22"/>
      <c r="B4850" s="22"/>
      <c r="C4850" s="26" t="str">
        <f aca="false">IF(A4850="","",IFERROR(buscarx(A4850&amp;B4850,DATA!$E$3:$E$10000&amp;DATA!$B$3:$B$10000,DATA!$M$3:$M$10000),"No encontrado"))</f>
        <v/>
      </c>
      <c r="D4850" s="27" t="str">
        <f aca="false">IF(A4850="","",IFERROR(buscarx(A4850&amp;B4850,DATA!$E$3:$E$10000&amp;DATA!$B$3:$B$10000,DATA!$W$3:$W$10000),"No encontrado"))</f>
        <v/>
      </c>
      <c r="E4850" s="22"/>
      <c r="F4850" s="26" t="str">
        <f aca="false">IF(A4850="","",IFERROR(buscarx(A4850&amp;E4850,DATA!$E$3:$E$10000&amp;DATA!$B$3:$B$10000,DATA!$M$3:$M$10000),"Inactivo"))</f>
        <v/>
      </c>
      <c r="G4850" s="28" t="str">
        <f aca="false">IF(A4850="","",IF(AND(C4850&lt;&gt;"No encontrado",F4850&lt;&gt;"Inactivo"),C4850&amp;" → "&amp;F4850,"Sin transición"))</f>
        <v/>
      </c>
      <c r="H4850" s="26" t="str">
        <f aca="false">IF(A4850="","",IF(D4850="GCIA LINEA SERVICIO DIGITALIDAD Y VENTAS","Chats",IF(OR(D4850="GERENCIA INBOUND LÍNEAS SERVICIO Y VENTA",D4850="GERENCIA INBOUND LINEAS ESPECIALIZADAS"),"Llamadas","Otro")))</f>
        <v/>
      </c>
      <c r="I4850" s="26" t="str">
        <f aca="false">IF(A4850="","",IF(C4850="No encontrado","No","Sí"))</f>
        <v/>
      </c>
      <c r="J4850" s="26" t="str">
        <f aca="false">IF(A4850="","",IF(F4850="Inactivo","No","Sí"))</f>
        <v/>
      </c>
      <c r="K4850" s="26" t="str">
        <f aca="false">IF(A4850="","",IF(AND(I4850="Sí",J4850="Sí"),"Sí","No"))</f>
        <v/>
      </c>
    </row>
    <row r="4851" customFormat="false" ht="15" hidden="false" customHeight="false" outlineLevel="0" collapsed="false">
      <c r="A4851" s="22"/>
      <c r="B4851" s="22"/>
      <c r="C4851" s="23" t="str">
        <f aca="false">IF(A4851="","",IFERROR(buscarx(A4851&amp;B4851,DATA!$E$3:$E$10000&amp;DATA!$B$3:$B$10000,DATA!$M$3:$M$10000),"No encontrado"))</f>
        <v/>
      </c>
      <c r="D4851" s="24" t="str">
        <f aca="false">IF(A4851="","",IFERROR(buscarx(A4851&amp;B4851,DATA!$E$3:$E$10000&amp;DATA!$B$3:$B$10000,DATA!$W$3:$W$10000),"No encontrado"))</f>
        <v/>
      </c>
      <c r="E4851" s="22"/>
      <c r="F4851" s="23" t="str">
        <f aca="false">IF(A4851="","",IFERROR(buscarx(A4851&amp;E4851,DATA!$E$3:$E$10000&amp;DATA!$B$3:$B$10000,DATA!$M$3:$M$10000),"Inactivo"))</f>
        <v/>
      </c>
      <c r="G4851" s="25" t="str">
        <f aca="false">IF(A4851="","",IF(AND(C4851&lt;&gt;"No encontrado",F4851&lt;&gt;"Inactivo"),C4851&amp;" → "&amp;F4851,"Sin transición"))</f>
        <v/>
      </c>
      <c r="H4851" s="23" t="str">
        <f aca="false">IF(A4851="","",IF(D4851="GCIA LINEA SERVICIO DIGITALIDAD Y VENTAS","Chats",IF(OR(D4851="GERENCIA INBOUND LÍNEAS SERVICIO Y VENTA",D4851="GERENCIA INBOUND LINEAS ESPECIALIZADAS"),"Llamadas","Otro")))</f>
        <v/>
      </c>
      <c r="I4851" s="23" t="str">
        <f aca="false">IF(A4851="","",IF(C4851="No encontrado","No","Sí"))</f>
        <v/>
      </c>
      <c r="J4851" s="23" t="str">
        <f aca="false">IF(A4851="","",IF(F4851="Inactivo","No","Sí"))</f>
        <v/>
      </c>
      <c r="K4851" s="23" t="str">
        <f aca="false">IF(A4851="","",IF(AND(I4851="Sí",J4851="Sí"),"Sí","No"))</f>
        <v/>
      </c>
    </row>
    <row r="4852" customFormat="false" ht="15" hidden="false" customHeight="false" outlineLevel="0" collapsed="false">
      <c r="A4852" s="22"/>
      <c r="B4852" s="22"/>
      <c r="C4852" s="26" t="str">
        <f aca="false">IF(A4852="","",IFERROR(buscarx(A4852&amp;B4852,DATA!$E$3:$E$10000&amp;DATA!$B$3:$B$10000,DATA!$M$3:$M$10000),"No encontrado"))</f>
        <v/>
      </c>
      <c r="D4852" s="27" t="str">
        <f aca="false">IF(A4852="","",IFERROR(buscarx(A4852&amp;B4852,DATA!$E$3:$E$10000&amp;DATA!$B$3:$B$10000,DATA!$W$3:$W$10000),"No encontrado"))</f>
        <v/>
      </c>
      <c r="E4852" s="22"/>
      <c r="F4852" s="26" t="str">
        <f aca="false">IF(A4852="","",IFERROR(buscarx(A4852&amp;E4852,DATA!$E$3:$E$10000&amp;DATA!$B$3:$B$10000,DATA!$M$3:$M$10000),"Inactivo"))</f>
        <v/>
      </c>
      <c r="G4852" s="28" t="str">
        <f aca="false">IF(A4852="","",IF(AND(C4852&lt;&gt;"No encontrado",F4852&lt;&gt;"Inactivo"),C4852&amp;" → "&amp;F4852,"Sin transición"))</f>
        <v/>
      </c>
      <c r="H4852" s="26" t="str">
        <f aca="false">IF(A4852="","",IF(D4852="GCIA LINEA SERVICIO DIGITALIDAD Y VENTAS","Chats",IF(OR(D4852="GERENCIA INBOUND LÍNEAS SERVICIO Y VENTA",D4852="GERENCIA INBOUND LINEAS ESPECIALIZADAS"),"Llamadas","Otro")))</f>
        <v/>
      </c>
      <c r="I4852" s="26" t="str">
        <f aca="false">IF(A4852="","",IF(C4852="No encontrado","No","Sí"))</f>
        <v/>
      </c>
      <c r="J4852" s="26" t="str">
        <f aca="false">IF(A4852="","",IF(F4852="Inactivo","No","Sí"))</f>
        <v/>
      </c>
      <c r="K4852" s="26" t="str">
        <f aca="false">IF(A4852="","",IF(AND(I4852="Sí",J4852="Sí"),"Sí","No"))</f>
        <v/>
      </c>
    </row>
    <row r="4853" customFormat="false" ht="15" hidden="false" customHeight="false" outlineLevel="0" collapsed="false">
      <c r="A4853" s="22"/>
      <c r="B4853" s="22"/>
      <c r="C4853" s="23" t="str">
        <f aca="false">IF(A4853="","",IFERROR(buscarx(A4853&amp;B4853,DATA!$E$3:$E$10000&amp;DATA!$B$3:$B$10000,DATA!$M$3:$M$10000),"No encontrado"))</f>
        <v/>
      </c>
      <c r="D4853" s="24" t="str">
        <f aca="false">IF(A4853="","",IFERROR(buscarx(A4853&amp;B4853,DATA!$E$3:$E$10000&amp;DATA!$B$3:$B$10000,DATA!$W$3:$W$10000),"No encontrado"))</f>
        <v/>
      </c>
      <c r="E4853" s="22"/>
      <c r="F4853" s="23" t="str">
        <f aca="false">IF(A4853="","",IFERROR(buscarx(A4853&amp;E4853,DATA!$E$3:$E$10000&amp;DATA!$B$3:$B$10000,DATA!$M$3:$M$10000),"Inactivo"))</f>
        <v/>
      </c>
      <c r="G4853" s="25" t="str">
        <f aca="false">IF(A4853="","",IF(AND(C4853&lt;&gt;"No encontrado",F4853&lt;&gt;"Inactivo"),C4853&amp;" → "&amp;F4853,"Sin transición"))</f>
        <v/>
      </c>
      <c r="H4853" s="23" t="str">
        <f aca="false">IF(A4853="","",IF(D4853="GCIA LINEA SERVICIO DIGITALIDAD Y VENTAS","Chats",IF(OR(D4853="GERENCIA INBOUND LÍNEAS SERVICIO Y VENTA",D4853="GERENCIA INBOUND LINEAS ESPECIALIZADAS"),"Llamadas","Otro")))</f>
        <v/>
      </c>
      <c r="I4853" s="23" t="str">
        <f aca="false">IF(A4853="","",IF(C4853="No encontrado","No","Sí"))</f>
        <v/>
      </c>
      <c r="J4853" s="23" t="str">
        <f aca="false">IF(A4853="","",IF(F4853="Inactivo","No","Sí"))</f>
        <v/>
      </c>
      <c r="K4853" s="23" t="str">
        <f aca="false">IF(A4853="","",IF(AND(I4853="Sí",J4853="Sí"),"Sí","No"))</f>
        <v/>
      </c>
    </row>
    <row r="4854" customFormat="false" ht="15" hidden="false" customHeight="false" outlineLevel="0" collapsed="false">
      <c r="A4854" s="22"/>
      <c r="B4854" s="22"/>
      <c r="C4854" s="26" t="str">
        <f aca="false">IF(A4854="","",IFERROR(buscarx(A4854&amp;B4854,DATA!$E$3:$E$10000&amp;DATA!$B$3:$B$10000,DATA!$M$3:$M$10000),"No encontrado"))</f>
        <v/>
      </c>
      <c r="D4854" s="27" t="str">
        <f aca="false">IF(A4854="","",IFERROR(buscarx(A4854&amp;B4854,DATA!$E$3:$E$10000&amp;DATA!$B$3:$B$10000,DATA!$W$3:$W$10000),"No encontrado"))</f>
        <v/>
      </c>
      <c r="E4854" s="22"/>
      <c r="F4854" s="26" t="str">
        <f aca="false">IF(A4854="","",IFERROR(buscarx(A4854&amp;E4854,DATA!$E$3:$E$10000&amp;DATA!$B$3:$B$10000,DATA!$M$3:$M$10000),"Inactivo"))</f>
        <v/>
      </c>
      <c r="G4854" s="28" t="str">
        <f aca="false">IF(A4854="","",IF(AND(C4854&lt;&gt;"No encontrado",F4854&lt;&gt;"Inactivo"),C4854&amp;" → "&amp;F4854,"Sin transición"))</f>
        <v/>
      </c>
      <c r="H4854" s="26" t="str">
        <f aca="false">IF(A4854="","",IF(D4854="GCIA LINEA SERVICIO DIGITALIDAD Y VENTAS","Chats",IF(OR(D4854="GERENCIA INBOUND LÍNEAS SERVICIO Y VENTA",D4854="GERENCIA INBOUND LINEAS ESPECIALIZADAS"),"Llamadas","Otro")))</f>
        <v/>
      </c>
      <c r="I4854" s="26" t="str">
        <f aca="false">IF(A4854="","",IF(C4854="No encontrado","No","Sí"))</f>
        <v/>
      </c>
      <c r="J4854" s="26" t="str">
        <f aca="false">IF(A4854="","",IF(F4854="Inactivo","No","Sí"))</f>
        <v/>
      </c>
      <c r="K4854" s="26" t="str">
        <f aca="false">IF(A4854="","",IF(AND(I4854="Sí",J4854="Sí"),"Sí","No"))</f>
        <v/>
      </c>
    </row>
    <row r="4855" customFormat="false" ht="15" hidden="false" customHeight="false" outlineLevel="0" collapsed="false">
      <c r="A4855" s="22"/>
      <c r="B4855" s="22"/>
      <c r="C4855" s="23" t="str">
        <f aca="false">IF(A4855="","",IFERROR(buscarx(A4855&amp;B4855,DATA!$E$3:$E$10000&amp;DATA!$B$3:$B$10000,DATA!$M$3:$M$10000),"No encontrado"))</f>
        <v/>
      </c>
      <c r="D4855" s="24" t="str">
        <f aca="false">IF(A4855="","",IFERROR(buscarx(A4855&amp;B4855,DATA!$E$3:$E$10000&amp;DATA!$B$3:$B$10000,DATA!$W$3:$W$10000),"No encontrado"))</f>
        <v/>
      </c>
      <c r="E4855" s="22"/>
      <c r="F4855" s="23" t="str">
        <f aca="false">IF(A4855="","",IFERROR(buscarx(A4855&amp;E4855,DATA!$E$3:$E$10000&amp;DATA!$B$3:$B$10000,DATA!$M$3:$M$10000),"Inactivo"))</f>
        <v/>
      </c>
      <c r="G4855" s="25" t="str">
        <f aca="false">IF(A4855="","",IF(AND(C4855&lt;&gt;"No encontrado",F4855&lt;&gt;"Inactivo"),C4855&amp;" → "&amp;F4855,"Sin transición"))</f>
        <v/>
      </c>
      <c r="H4855" s="23" t="str">
        <f aca="false">IF(A4855="","",IF(D4855="GCIA LINEA SERVICIO DIGITALIDAD Y VENTAS","Chats",IF(OR(D4855="GERENCIA INBOUND LÍNEAS SERVICIO Y VENTA",D4855="GERENCIA INBOUND LINEAS ESPECIALIZADAS"),"Llamadas","Otro")))</f>
        <v/>
      </c>
      <c r="I4855" s="23" t="str">
        <f aca="false">IF(A4855="","",IF(C4855="No encontrado","No","Sí"))</f>
        <v/>
      </c>
      <c r="J4855" s="23" t="str">
        <f aca="false">IF(A4855="","",IF(F4855="Inactivo","No","Sí"))</f>
        <v/>
      </c>
      <c r="K4855" s="23" t="str">
        <f aca="false">IF(A4855="","",IF(AND(I4855="Sí",J4855="Sí"),"Sí","No"))</f>
        <v/>
      </c>
    </row>
    <row r="4856" customFormat="false" ht="15" hidden="false" customHeight="false" outlineLevel="0" collapsed="false">
      <c r="A4856" s="22"/>
      <c r="B4856" s="22"/>
      <c r="C4856" s="26" t="str">
        <f aca="false">IF(A4856="","",IFERROR(buscarx(A4856&amp;B4856,DATA!$E$3:$E$10000&amp;DATA!$B$3:$B$10000,DATA!$M$3:$M$10000),"No encontrado"))</f>
        <v/>
      </c>
      <c r="D4856" s="27" t="str">
        <f aca="false">IF(A4856="","",IFERROR(buscarx(A4856&amp;B4856,DATA!$E$3:$E$10000&amp;DATA!$B$3:$B$10000,DATA!$W$3:$W$10000),"No encontrado"))</f>
        <v/>
      </c>
      <c r="E4856" s="22"/>
      <c r="F4856" s="26" t="str">
        <f aca="false">IF(A4856="","",IFERROR(buscarx(A4856&amp;E4856,DATA!$E$3:$E$10000&amp;DATA!$B$3:$B$10000,DATA!$M$3:$M$10000),"Inactivo"))</f>
        <v/>
      </c>
      <c r="G4856" s="28" t="str">
        <f aca="false">IF(A4856="","",IF(AND(C4856&lt;&gt;"No encontrado",F4856&lt;&gt;"Inactivo"),C4856&amp;" → "&amp;F4856,"Sin transición"))</f>
        <v/>
      </c>
      <c r="H4856" s="26" t="str">
        <f aca="false">IF(A4856="","",IF(D4856="GCIA LINEA SERVICIO DIGITALIDAD Y VENTAS","Chats",IF(OR(D4856="GERENCIA INBOUND LÍNEAS SERVICIO Y VENTA",D4856="GERENCIA INBOUND LINEAS ESPECIALIZADAS"),"Llamadas","Otro")))</f>
        <v/>
      </c>
      <c r="I4856" s="26" t="str">
        <f aca="false">IF(A4856="","",IF(C4856="No encontrado","No","Sí"))</f>
        <v/>
      </c>
      <c r="J4856" s="26" t="str">
        <f aca="false">IF(A4856="","",IF(F4856="Inactivo","No","Sí"))</f>
        <v/>
      </c>
      <c r="K4856" s="26" t="str">
        <f aca="false">IF(A4856="","",IF(AND(I4856="Sí",J4856="Sí"),"Sí","No"))</f>
        <v/>
      </c>
    </row>
    <row r="4857" customFormat="false" ht="15" hidden="false" customHeight="false" outlineLevel="0" collapsed="false">
      <c r="A4857" s="22"/>
      <c r="B4857" s="22"/>
      <c r="C4857" s="23" t="str">
        <f aca="false">IF(A4857="","",IFERROR(buscarx(A4857&amp;B4857,DATA!$E$3:$E$10000&amp;DATA!$B$3:$B$10000,DATA!$M$3:$M$10000),"No encontrado"))</f>
        <v/>
      </c>
      <c r="D4857" s="24" t="str">
        <f aca="false">IF(A4857="","",IFERROR(buscarx(A4857&amp;B4857,DATA!$E$3:$E$10000&amp;DATA!$B$3:$B$10000,DATA!$W$3:$W$10000),"No encontrado"))</f>
        <v/>
      </c>
      <c r="E4857" s="22"/>
      <c r="F4857" s="23" t="str">
        <f aca="false">IF(A4857="","",IFERROR(buscarx(A4857&amp;E4857,DATA!$E$3:$E$10000&amp;DATA!$B$3:$B$10000,DATA!$M$3:$M$10000),"Inactivo"))</f>
        <v/>
      </c>
      <c r="G4857" s="25" t="str">
        <f aca="false">IF(A4857="","",IF(AND(C4857&lt;&gt;"No encontrado",F4857&lt;&gt;"Inactivo"),C4857&amp;" → "&amp;F4857,"Sin transición"))</f>
        <v/>
      </c>
      <c r="H4857" s="23" t="str">
        <f aca="false">IF(A4857="","",IF(D4857="GCIA LINEA SERVICIO DIGITALIDAD Y VENTAS","Chats",IF(OR(D4857="GERENCIA INBOUND LÍNEAS SERVICIO Y VENTA",D4857="GERENCIA INBOUND LINEAS ESPECIALIZADAS"),"Llamadas","Otro")))</f>
        <v/>
      </c>
      <c r="I4857" s="23" t="str">
        <f aca="false">IF(A4857="","",IF(C4857="No encontrado","No","Sí"))</f>
        <v/>
      </c>
      <c r="J4857" s="23" t="str">
        <f aca="false">IF(A4857="","",IF(F4857="Inactivo","No","Sí"))</f>
        <v/>
      </c>
      <c r="K4857" s="23" t="str">
        <f aca="false">IF(A4857="","",IF(AND(I4857="Sí",J4857="Sí"),"Sí","No"))</f>
        <v/>
      </c>
    </row>
    <row r="4858" customFormat="false" ht="15" hidden="false" customHeight="false" outlineLevel="0" collapsed="false">
      <c r="A4858" s="22"/>
      <c r="B4858" s="22"/>
      <c r="C4858" s="26" t="str">
        <f aca="false">IF(A4858="","",IFERROR(buscarx(A4858&amp;B4858,DATA!$E$3:$E$10000&amp;DATA!$B$3:$B$10000,DATA!$M$3:$M$10000),"No encontrado"))</f>
        <v/>
      </c>
      <c r="D4858" s="27" t="str">
        <f aca="false">IF(A4858="","",IFERROR(buscarx(A4858&amp;B4858,DATA!$E$3:$E$10000&amp;DATA!$B$3:$B$10000,DATA!$W$3:$W$10000),"No encontrado"))</f>
        <v/>
      </c>
      <c r="E4858" s="22"/>
      <c r="F4858" s="26" t="str">
        <f aca="false">IF(A4858="","",IFERROR(buscarx(A4858&amp;E4858,DATA!$E$3:$E$10000&amp;DATA!$B$3:$B$10000,DATA!$M$3:$M$10000),"Inactivo"))</f>
        <v/>
      </c>
      <c r="G4858" s="28" t="str">
        <f aca="false">IF(A4858="","",IF(AND(C4858&lt;&gt;"No encontrado",F4858&lt;&gt;"Inactivo"),C4858&amp;" → "&amp;F4858,"Sin transición"))</f>
        <v/>
      </c>
      <c r="H4858" s="26" t="str">
        <f aca="false">IF(A4858="","",IF(D4858="GCIA LINEA SERVICIO DIGITALIDAD Y VENTAS","Chats",IF(OR(D4858="GERENCIA INBOUND LÍNEAS SERVICIO Y VENTA",D4858="GERENCIA INBOUND LINEAS ESPECIALIZADAS"),"Llamadas","Otro")))</f>
        <v/>
      </c>
      <c r="I4858" s="26" t="str">
        <f aca="false">IF(A4858="","",IF(C4858="No encontrado","No","Sí"))</f>
        <v/>
      </c>
      <c r="J4858" s="26" t="str">
        <f aca="false">IF(A4858="","",IF(F4858="Inactivo","No","Sí"))</f>
        <v/>
      </c>
      <c r="K4858" s="26" t="str">
        <f aca="false">IF(A4858="","",IF(AND(I4858="Sí",J4858="Sí"),"Sí","No"))</f>
        <v/>
      </c>
    </row>
    <row r="4859" customFormat="false" ht="15" hidden="false" customHeight="false" outlineLevel="0" collapsed="false">
      <c r="A4859" s="22"/>
      <c r="B4859" s="22"/>
      <c r="C4859" s="23" t="str">
        <f aca="false">IF(A4859="","",IFERROR(buscarx(A4859&amp;B4859,DATA!$E$3:$E$10000&amp;DATA!$B$3:$B$10000,DATA!$M$3:$M$10000),"No encontrado"))</f>
        <v/>
      </c>
      <c r="D4859" s="24" t="str">
        <f aca="false">IF(A4859="","",IFERROR(buscarx(A4859&amp;B4859,DATA!$E$3:$E$10000&amp;DATA!$B$3:$B$10000,DATA!$W$3:$W$10000),"No encontrado"))</f>
        <v/>
      </c>
      <c r="E4859" s="22"/>
      <c r="F4859" s="23" t="str">
        <f aca="false">IF(A4859="","",IFERROR(buscarx(A4859&amp;E4859,DATA!$E$3:$E$10000&amp;DATA!$B$3:$B$10000,DATA!$M$3:$M$10000),"Inactivo"))</f>
        <v/>
      </c>
      <c r="G4859" s="25" t="str">
        <f aca="false">IF(A4859="","",IF(AND(C4859&lt;&gt;"No encontrado",F4859&lt;&gt;"Inactivo"),C4859&amp;" → "&amp;F4859,"Sin transición"))</f>
        <v/>
      </c>
      <c r="H4859" s="23" t="str">
        <f aca="false">IF(A4859="","",IF(D4859="GCIA LINEA SERVICIO DIGITALIDAD Y VENTAS","Chats",IF(OR(D4859="GERENCIA INBOUND LÍNEAS SERVICIO Y VENTA",D4859="GERENCIA INBOUND LINEAS ESPECIALIZADAS"),"Llamadas","Otro")))</f>
        <v/>
      </c>
      <c r="I4859" s="23" t="str">
        <f aca="false">IF(A4859="","",IF(C4859="No encontrado","No","Sí"))</f>
        <v/>
      </c>
      <c r="J4859" s="23" t="str">
        <f aca="false">IF(A4859="","",IF(F4859="Inactivo","No","Sí"))</f>
        <v/>
      </c>
      <c r="K4859" s="23" t="str">
        <f aca="false">IF(A4859="","",IF(AND(I4859="Sí",J4859="Sí"),"Sí","No"))</f>
        <v/>
      </c>
    </row>
    <row r="4860" customFormat="false" ht="15" hidden="false" customHeight="false" outlineLevel="0" collapsed="false">
      <c r="A4860" s="22"/>
      <c r="B4860" s="22"/>
      <c r="C4860" s="26" t="str">
        <f aca="false">IF(A4860="","",IFERROR(buscarx(A4860&amp;B4860,DATA!$E$3:$E$10000&amp;DATA!$B$3:$B$10000,DATA!$M$3:$M$10000),"No encontrado"))</f>
        <v/>
      </c>
      <c r="D4860" s="27" t="str">
        <f aca="false">IF(A4860="","",IFERROR(buscarx(A4860&amp;B4860,DATA!$E$3:$E$10000&amp;DATA!$B$3:$B$10000,DATA!$W$3:$W$10000),"No encontrado"))</f>
        <v/>
      </c>
      <c r="E4860" s="22"/>
      <c r="F4860" s="26" t="str">
        <f aca="false">IF(A4860="","",IFERROR(buscarx(A4860&amp;E4860,DATA!$E$3:$E$10000&amp;DATA!$B$3:$B$10000,DATA!$M$3:$M$10000),"Inactivo"))</f>
        <v/>
      </c>
      <c r="G4860" s="28" t="str">
        <f aca="false">IF(A4860="","",IF(AND(C4860&lt;&gt;"No encontrado",F4860&lt;&gt;"Inactivo"),C4860&amp;" → "&amp;F4860,"Sin transición"))</f>
        <v/>
      </c>
      <c r="H4860" s="26" t="str">
        <f aca="false">IF(A4860="","",IF(D4860="GCIA LINEA SERVICIO DIGITALIDAD Y VENTAS","Chats",IF(OR(D4860="GERENCIA INBOUND LÍNEAS SERVICIO Y VENTA",D4860="GERENCIA INBOUND LINEAS ESPECIALIZADAS"),"Llamadas","Otro")))</f>
        <v/>
      </c>
      <c r="I4860" s="26" t="str">
        <f aca="false">IF(A4860="","",IF(C4860="No encontrado","No","Sí"))</f>
        <v/>
      </c>
      <c r="J4860" s="26" t="str">
        <f aca="false">IF(A4860="","",IF(F4860="Inactivo","No","Sí"))</f>
        <v/>
      </c>
      <c r="K4860" s="26" t="str">
        <f aca="false">IF(A4860="","",IF(AND(I4860="Sí",J4860="Sí"),"Sí","No"))</f>
        <v/>
      </c>
    </row>
    <row r="4861" customFormat="false" ht="15" hidden="false" customHeight="false" outlineLevel="0" collapsed="false">
      <c r="A4861" s="22"/>
      <c r="B4861" s="22"/>
      <c r="C4861" s="23" t="str">
        <f aca="false">IF(A4861="","",IFERROR(buscarx(A4861&amp;B4861,DATA!$E$3:$E$10000&amp;DATA!$B$3:$B$10000,DATA!$M$3:$M$10000),"No encontrado"))</f>
        <v/>
      </c>
      <c r="D4861" s="24" t="str">
        <f aca="false">IF(A4861="","",IFERROR(buscarx(A4861&amp;B4861,DATA!$E$3:$E$10000&amp;DATA!$B$3:$B$10000,DATA!$W$3:$W$10000),"No encontrado"))</f>
        <v/>
      </c>
      <c r="E4861" s="22"/>
      <c r="F4861" s="23" t="str">
        <f aca="false">IF(A4861="","",IFERROR(buscarx(A4861&amp;E4861,DATA!$E$3:$E$10000&amp;DATA!$B$3:$B$10000,DATA!$M$3:$M$10000),"Inactivo"))</f>
        <v/>
      </c>
      <c r="G4861" s="25" t="str">
        <f aca="false">IF(A4861="","",IF(AND(C4861&lt;&gt;"No encontrado",F4861&lt;&gt;"Inactivo"),C4861&amp;" → "&amp;F4861,"Sin transición"))</f>
        <v/>
      </c>
      <c r="H4861" s="23" t="str">
        <f aca="false">IF(A4861="","",IF(D4861="GCIA LINEA SERVICIO DIGITALIDAD Y VENTAS","Chats",IF(OR(D4861="GERENCIA INBOUND LÍNEAS SERVICIO Y VENTA",D4861="GERENCIA INBOUND LINEAS ESPECIALIZADAS"),"Llamadas","Otro")))</f>
        <v/>
      </c>
      <c r="I4861" s="23" t="str">
        <f aca="false">IF(A4861="","",IF(C4861="No encontrado","No","Sí"))</f>
        <v/>
      </c>
      <c r="J4861" s="23" t="str">
        <f aca="false">IF(A4861="","",IF(F4861="Inactivo","No","Sí"))</f>
        <v/>
      </c>
      <c r="K4861" s="23" t="str">
        <f aca="false">IF(A4861="","",IF(AND(I4861="Sí",J4861="Sí"),"Sí","No"))</f>
        <v/>
      </c>
    </row>
    <row r="4862" customFormat="false" ht="15" hidden="false" customHeight="false" outlineLevel="0" collapsed="false">
      <c r="A4862" s="22"/>
      <c r="B4862" s="22"/>
      <c r="C4862" s="26" t="str">
        <f aca="false">IF(A4862="","",IFERROR(buscarx(A4862&amp;B4862,DATA!$E$3:$E$10000&amp;DATA!$B$3:$B$10000,DATA!$M$3:$M$10000),"No encontrado"))</f>
        <v/>
      </c>
      <c r="D4862" s="27" t="str">
        <f aca="false">IF(A4862="","",IFERROR(buscarx(A4862&amp;B4862,DATA!$E$3:$E$10000&amp;DATA!$B$3:$B$10000,DATA!$W$3:$W$10000),"No encontrado"))</f>
        <v/>
      </c>
      <c r="E4862" s="22"/>
      <c r="F4862" s="26" t="str">
        <f aca="false">IF(A4862="","",IFERROR(buscarx(A4862&amp;E4862,DATA!$E$3:$E$10000&amp;DATA!$B$3:$B$10000,DATA!$M$3:$M$10000),"Inactivo"))</f>
        <v/>
      </c>
      <c r="G4862" s="28" t="str">
        <f aca="false">IF(A4862="","",IF(AND(C4862&lt;&gt;"No encontrado",F4862&lt;&gt;"Inactivo"),C4862&amp;" → "&amp;F4862,"Sin transición"))</f>
        <v/>
      </c>
      <c r="H4862" s="26" t="str">
        <f aca="false">IF(A4862="","",IF(D4862="GCIA LINEA SERVICIO DIGITALIDAD Y VENTAS","Chats",IF(OR(D4862="GERENCIA INBOUND LÍNEAS SERVICIO Y VENTA",D4862="GERENCIA INBOUND LINEAS ESPECIALIZADAS"),"Llamadas","Otro")))</f>
        <v/>
      </c>
      <c r="I4862" s="26" t="str">
        <f aca="false">IF(A4862="","",IF(C4862="No encontrado","No","Sí"))</f>
        <v/>
      </c>
      <c r="J4862" s="26" t="str">
        <f aca="false">IF(A4862="","",IF(F4862="Inactivo","No","Sí"))</f>
        <v/>
      </c>
      <c r="K4862" s="26" t="str">
        <f aca="false">IF(A4862="","",IF(AND(I4862="Sí",J4862="Sí"),"Sí","No"))</f>
        <v/>
      </c>
    </row>
    <row r="4863" customFormat="false" ht="15" hidden="false" customHeight="false" outlineLevel="0" collapsed="false">
      <c r="A4863" s="22"/>
      <c r="B4863" s="22"/>
      <c r="C4863" s="23" t="str">
        <f aca="false">IF(A4863="","",IFERROR(buscarx(A4863&amp;B4863,DATA!$E$3:$E$10000&amp;DATA!$B$3:$B$10000,DATA!$M$3:$M$10000),"No encontrado"))</f>
        <v/>
      </c>
      <c r="D4863" s="24" t="str">
        <f aca="false">IF(A4863="","",IFERROR(buscarx(A4863&amp;B4863,DATA!$E$3:$E$10000&amp;DATA!$B$3:$B$10000,DATA!$W$3:$W$10000),"No encontrado"))</f>
        <v/>
      </c>
      <c r="E4863" s="22"/>
      <c r="F4863" s="23" t="str">
        <f aca="false">IF(A4863="","",IFERROR(buscarx(A4863&amp;E4863,DATA!$E$3:$E$10000&amp;DATA!$B$3:$B$10000,DATA!$M$3:$M$10000),"Inactivo"))</f>
        <v/>
      </c>
      <c r="G4863" s="25" t="str">
        <f aca="false">IF(A4863="","",IF(AND(C4863&lt;&gt;"No encontrado",F4863&lt;&gt;"Inactivo"),C4863&amp;" → "&amp;F4863,"Sin transición"))</f>
        <v/>
      </c>
      <c r="H4863" s="23" t="str">
        <f aca="false">IF(A4863="","",IF(D4863="GCIA LINEA SERVICIO DIGITALIDAD Y VENTAS","Chats",IF(OR(D4863="GERENCIA INBOUND LÍNEAS SERVICIO Y VENTA",D4863="GERENCIA INBOUND LINEAS ESPECIALIZADAS"),"Llamadas","Otro")))</f>
        <v/>
      </c>
      <c r="I4863" s="23" t="str">
        <f aca="false">IF(A4863="","",IF(C4863="No encontrado","No","Sí"))</f>
        <v/>
      </c>
      <c r="J4863" s="23" t="str">
        <f aca="false">IF(A4863="","",IF(F4863="Inactivo","No","Sí"))</f>
        <v/>
      </c>
      <c r="K4863" s="23" t="str">
        <f aca="false">IF(A4863="","",IF(AND(I4863="Sí",J4863="Sí"),"Sí","No"))</f>
        <v/>
      </c>
    </row>
    <row r="4864" customFormat="false" ht="15" hidden="false" customHeight="false" outlineLevel="0" collapsed="false">
      <c r="A4864" s="22"/>
      <c r="B4864" s="22"/>
      <c r="C4864" s="26" t="str">
        <f aca="false">IF(A4864="","",IFERROR(buscarx(A4864&amp;B4864,DATA!$E$3:$E$10000&amp;DATA!$B$3:$B$10000,DATA!$M$3:$M$10000),"No encontrado"))</f>
        <v/>
      </c>
      <c r="D4864" s="27" t="str">
        <f aca="false">IF(A4864="","",IFERROR(buscarx(A4864&amp;B4864,DATA!$E$3:$E$10000&amp;DATA!$B$3:$B$10000,DATA!$W$3:$W$10000),"No encontrado"))</f>
        <v/>
      </c>
      <c r="E4864" s="22"/>
      <c r="F4864" s="26" t="str">
        <f aca="false">IF(A4864="","",IFERROR(buscarx(A4864&amp;E4864,DATA!$E$3:$E$10000&amp;DATA!$B$3:$B$10000,DATA!$M$3:$M$10000),"Inactivo"))</f>
        <v/>
      </c>
      <c r="G4864" s="28" t="str">
        <f aca="false">IF(A4864="","",IF(AND(C4864&lt;&gt;"No encontrado",F4864&lt;&gt;"Inactivo"),C4864&amp;" → "&amp;F4864,"Sin transición"))</f>
        <v/>
      </c>
      <c r="H4864" s="26" t="str">
        <f aca="false">IF(A4864="","",IF(D4864="GCIA LINEA SERVICIO DIGITALIDAD Y VENTAS","Chats",IF(OR(D4864="GERENCIA INBOUND LÍNEAS SERVICIO Y VENTA",D4864="GERENCIA INBOUND LINEAS ESPECIALIZADAS"),"Llamadas","Otro")))</f>
        <v/>
      </c>
      <c r="I4864" s="26" t="str">
        <f aca="false">IF(A4864="","",IF(C4864="No encontrado","No","Sí"))</f>
        <v/>
      </c>
      <c r="J4864" s="26" t="str">
        <f aca="false">IF(A4864="","",IF(F4864="Inactivo","No","Sí"))</f>
        <v/>
      </c>
      <c r="K4864" s="26" t="str">
        <f aca="false">IF(A4864="","",IF(AND(I4864="Sí",J4864="Sí"),"Sí","No"))</f>
        <v/>
      </c>
    </row>
    <row r="4865" customFormat="false" ht="15" hidden="false" customHeight="false" outlineLevel="0" collapsed="false">
      <c r="A4865" s="22"/>
      <c r="B4865" s="22"/>
      <c r="C4865" s="23" t="str">
        <f aca="false">IF(A4865="","",IFERROR(buscarx(A4865&amp;B4865,DATA!$E$3:$E$10000&amp;DATA!$B$3:$B$10000,DATA!$M$3:$M$10000),"No encontrado"))</f>
        <v/>
      </c>
      <c r="D4865" s="24" t="str">
        <f aca="false">IF(A4865="","",IFERROR(buscarx(A4865&amp;B4865,DATA!$E$3:$E$10000&amp;DATA!$B$3:$B$10000,DATA!$W$3:$W$10000),"No encontrado"))</f>
        <v/>
      </c>
      <c r="E4865" s="22"/>
      <c r="F4865" s="23" t="str">
        <f aca="false">IF(A4865="","",IFERROR(buscarx(A4865&amp;E4865,DATA!$E$3:$E$10000&amp;DATA!$B$3:$B$10000,DATA!$M$3:$M$10000),"Inactivo"))</f>
        <v/>
      </c>
      <c r="G4865" s="25" t="str">
        <f aca="false">IF(A4865="","",IF(AND(C4865&lt;&gt;"No encontrado",F4865&lt;&gt;"Inactivo"),C4865&amp;" → "&amp;F4865,"Sin transición"))</f>
        <v/>
      </c>
      <c r="H4865" s="23" t="str">
        <f aca="false">IF(A4865="","",IF(D4865="GCIA LINEA SERVICIO DIGITALIDAD Y VENTAS","Chats",IF(OR(D4865="GERENCIA INBOUND LÍNEAS SERVICIO Y VENTA",D4865="GERENCIA INBOUND LINEAS ESPECIALIZADAS"),"Llamadas","Otro")))</f>
        <v/>
      </c>
      <c r="I4865" s="23" t="str">
        <f aca="false">IF(A4865="","",IF(C4865="No encontrado","No","Sí"))</f>
        <v/>
      </c>
      <c r="J4865" s="23" t="str">
        <f aca="false">IF(A4865="","",IF(F4865="Inactivo","No","Sí"))</f>
        <v/>
      </c>
      <c r="K4865" s="23" t="str">
        <f aca="false">IF(A4865="","",IF(AND(I4865="Sí",J4865="Sí"),"Sí","No"))</f>
        <v/>
      </c>
    </row>
    <row r="4866" customFormat="false" ht="15" hidden="false" customHeight="false" outlineLevel="0" collapsed="false">
      <c r="A4866" s="22"/>
      <c r="B4866" s="22"/>
      <c r="C4866" s="26" t="str">
        <f aca="false">IF(A4866="","",IFERROR(buscarx(A4866&amp;B4866,DATA!$E$3:$E$10000&amp;DATA!$B$3:$B$10000,DATA!$M$3:$M$10000),"No encontrado"))</f>
        <v/>
      </c>
      <c r="D4866" s="27" t="str">
        <f aca="false">IF(A4866="","",IFERROR(buscarx(A4866&amp;B4866,DATA!$E$3:$E$10000&amp;DATA!$B$3:$B$10000,DATA!$W$3:$W$10000),"No encontrado"))</f>
        <v/>
      </c>
      <c r="E4866" s="22"/>
      <c r="F4866" s="26" t="str">
        <f aca="false">IF(A4866="","",IFERROR(buscarx(A4866&amp;E4866,DATA!$E$3:$E$10000&amp;DATA!$B$3:$B$10000,DATA!$M$3:$M$10000),"Inactivo"))</f>
        <v/>
      </c>
      <c r="G4866" s="28" t="str">
        <f aca="false">IF(A4866="","",IF(AND(C4866&lt;&gt;"No encontrado",F4866&lt;&gt;"Inactivo"),C4866&amp;" → "&amp;F4866,"Sin transición"))</f>
        <v/>
      </c>
      <c r="H4866" s="26" t="str">
        <f aca="false">IF(A4866="","",IF(D4866="GCIA LINEA SERVICIO DIGITALIDAD Y VENTAS","Chats",IF(OR(D4866="GERENCIA INBOUND LÍNEAS SERVICIO Y VENTA",D4866="GERENCIA INBOUND LINEAS ESPECIALIZADAS"),"Llamadas","Otro")))</f>
        <v/>
      </c>
      <c r="I4866" s="26" t="str">
        <f aca="false">IF(A4866="","",IF(C4866="No encontrado","No","Sí"))</f>
        <v/>
      </c>
      <c r="J4866" s="26" t="str">
        <f aca="false">IF(A4866="","",IF(F4866="Inactivo","No","Sí"))</f>
        <v/>
      </c>
      <c r="K4866" s="26" t="str">
        <f aca="false">IF(A4866="","",IF(AND(I4866="Sí",J4866="Sí"),"Sí","No"))</f>
        <v/>
      </c>
    </row>
    <row r="4867" customFormat="false" ht="15" hidden="false" customHeight="false" outlineLevel="0" collapsed="false">
      <c r="A4867" s="22"/>
      <c r="B4867" s="22"/>
      <c r="C4867" s="23" t="str">
        <f aca="false">IF(A4867="","",IFERROR(buscarx(A4867&amp;B4867,DATA!$E$3:$E$10000&amp;DATA!$B$3:$B$10000,DATA!$M$3:$M$10000),"No encontrado"))</f>
        <v/>
      </c>
      <c r="D4867" s="24" t="str">
        <f aca="false">IF(A4867="","",IFERROR(buscarx(A4867&amp;B4867,DATA!$E$3:$E$10000&amp;DATA!$B$3:$B$10000,DATA!$W$3:$W$10000),"No encontrado"))</f>
        <v/>
      </c>
      <c r="E4867" s="22"/>
      <c r="F4867" s="23" t="str">
        <f aca="false">IF(A4867="","",IFERROR(buscarx(A4867&amp;E4867,DATA!$E$3:$E$10000&amp;DATA!$B$3:$B$10000,DATA!$M$3:$M$10000),"Inactivo"))</f>
        <v/>
      </c>
      <c r="G4867" s="25" t="str">
        <f aca="false">IF(A4867="","",IF(AND(C4867&lt;&gt;"No encontrado",F4867&lt;&gt;"Inactivo"),C4867&amp;" → "&amp;F4867,"Sin transición"))</f>
        <v/>
      </c>
      <c r="H4867" s="23" t="str">
        <f aca="false">IF(A4867="","",IF(D4867="GCIA LINEA SERVICIO DIGITALIDAD Y VENTAS","Chats",IF(OR(D4867="GERENCIA INBOUND LÍNEAS SERVICIO Y VENTA",D4867="GERENCIA INBOUND LINEAS ESPECIALIZADAS"),"Llamadas","Otro")))</f>
        <v/>
      </c>
      <c r="I4867" s="23" t="str">
        <f aca="false">IF(A4867="","",IF(C4867="No encontrado","No","Sí"))</f>
        <v/>
      </c>
      <c r="J4867" s="23" t="str">
        <f aca="false">IF(A4867="","",IF(F4867="Inactivo","No","Sí"))</f>
        <v/>
      </c>
      <c r="K4867" s="23" t="str">
        <f aca="false">IF(A4867="","",IF(AND(I4867="Sí",J4867="Sí"),"Sí","No"))</f>
        <v/>
      </c>
    </row>
    <row r="4868" customFormat="false" ht="15" hidden="false" customHeight="false" outlineLevel="0" collapsed="false">
      <c r="A4868" s="22"/>
      <c r="B4868" s="22"/>
      <c r="C4868" s="26" t="str">
        <f aca="false">IF(A4868="","",IFERROR(buscarx(A4868&amp;B4868,DATA!$E$3:$E$10000&amp;DATA!$B$3:$B$10000,DATA!$M$3:$M$10000),"No encontrado"))</f>
        <v/>
      </c>
      <c r="D4868" s="27" t="str">
        <f aca="false">IF(A4868="","",IFERROR(buscarx(A4868&amp;B4868,DATA!$E$3:$E$10000&amp;DATA!$B$3:$B$10000,DATA!$W$3:$W$10000),"No encontrado"))</f>
        <v/>
      </c>
      <c r="E4868" s="22"/>
      <c r="F4868" s="26" t="str">
        <f aca="false">IF(A4868="","",IFERROR(buscarx(A4868&amp;E4868,DATA!$E$3:$E$10000&amp;DATA!$B$3:$B$10000,DATA!$M$3:$M$10000),"Inactivo"))</f>
        <v/>
      </c>
      <c r="G4868" s="28" t="str">
        <f aca="false">IF(A4868="","",IF(AND(C4868&lt;&gt;"No encontrado",F4868&lt;&gt;"Inactivo"),C4868&amp;" → "&amp;F4868,"Sin transición"))</f>
        <v/>
      </c>
      <c r="H4868" s="26" t="str">
        <f aca="false">IF(A4868="","",IF(D4868="GCIA LINEA SERVICIO DIGITALIDAD Y VENTAS","Chats",IF(OR(D4868="GERENCIA INBOUND LÍNEAS SERVICIO Y VENTA",D4868="GERENCIA INBOUND LINEAS ESPECIALIZADAS"),"Llamadas","Otro")))</f>
        <v/>
      </c>
      <c r="I4868" s="26" t="str">
        <f aca="false">IF(A4868="","",IF(C4868="No encontrado","No","Sí"))</f>
        <v/>
      </c>
      <c r="J4868" s="26" t="str">
        <f aca="false">IF(A4868="","",IF(F4868="Inactivo","No","Sí"))</f>
        <v/>
      </c>
      <c r="K4868" s="26" t="str">
        <f aca="false">IF(A4868="","",IF(AND(I4868="Sí",J4868="Sí"),"Sí","No"))</f>
        <v/>
      </c>
    </row>
    <row r="4869" customFormat="false" ht="15" hidden="false" customHeight="false" outlineLevel="0" collapsed="false">
      <c r="A4869" s="22"/>
      <c r="B4869" s="22"/>
      <c r="C4869" s="23" t="str">
        <f aca="false">IF(A4869="","",IFERROR(buscarx(A4869&amp;B4869,DATA!$E$3:$E$10000&amp;DATA!$B$3:$B$10000,DATA!$M$3:$M$10000),"No encontrado"))</f>
        <v/>
      </c>
      <c r="D4869" s="24" t="str">
        <f aca="false">IF(A4869="","",IFERROR(buscarx(A4869&amp;B4869,DATA!$E$3:$E$10000&amp;DATA!$B$3:$B$10000,DATA!$W$3:$W$10000),"No encontrado"))</f>
        <v/>
      </c>
      <c r="E4869" s="22"/>
      <c r="F4869" s="23" t="str">
        <f aca="false">IF(A4869="","",IFERROR(buscarx(A4869&amp;E4869,DATA!$E$3:$E$10000&amp;DATA!$B$3:$B$10000,DATA!$M$3:$M$10000),"Inactivo"))</f>
        <v/>
      </c>
      <c r="G4869" s="25" t="str">
        <f aca="false">IF(A4869="","",IF(AND(C4869&lt;&gt;"No encontrado",F4869&lt;&gt;"Inactivo"),C4869&amp;" → "&amp;F4869,"Sin transición"))</f>
        <v/>
      </c>
      <c r="H4869" s="23" t="str">
        <f aca="false">IF(A4869="","",IF(D4869="GCIA LINEA SERVICIO DIGITALIDAD Y VENTAS","Chats",IF(OR(D4869="GERENCIA INBOUND LÍNEAS SERVICIO Y VENTA",D4869="GERENCIA INBOUND LINEAS ESPECIALIZADAS"),"Llamadas","Otro")))</f>
        <v/>
      </c>
      <c r="I4869" s="23" t="str">
        <f aca="false">IF(A4869="","",IF(C4869="No encontrado","No","Sí"))</f>
        <v/>
      </c>
      <c r="J4869" s="23" t="str">
        <f aca="false">IF(A4869="","",IF(F4869="Inactivo","No","Sí"))</f>
        <v/>
      </c>
      <c r="K4869" s="23" t="str">
        <f aca="false">IF(A4869="","",IF(AND(I4869="Sí",J4869="Sí"),"Sí","No"))</f>
        <v/>
      </c>
    </row>
    <row r="4870" customFormat="false" ht="15" hidden="false" customHeight="false" outlineLevel="0" collapsed="false">
      <c r="A4870" s="22"/>
      <c r="B4870" s="22"/>
      <c r="C4870" s="26" t="str">
        <f aca="false">IF(A4870="","",IFERROR(buscarx(A4870&amp;B4870,DATA!$E$3:$E$10000&amp;DATA!$B$3:$B$10000,DATA!$M$3:$M$10000),"No encontrado"))</f>
        <v/>
      </c>
      <c r="D4870" s="27" t="str">
        <f aca="false">IF(A4870="","",IFERROR(buscarx(A4870&amp;B4870,DATA!$E$3:$E$10000&amp;DATA!$B$3:$B$10000,DATA!$W$3:$W$10000),"No encontrado"))</f>
        <v/>
      </c>
      <c r="E4870" s="22"/>
      <c r="F4870" s="26" t="str">
        <f aca="false">IF(A4870="","",IFERROR(buscarx(A4870&amp;E4870,DATA!$E$3:$E$10000&amp;DATA!$B$3:$B$10000,DATA!$M$3:$M$10000),"Inactivo"))</f>
        <v/>
      </c>
      <c r="G4870" s="28" t="str">
        <f aca="false">IF(A4870="","",IF(AND(C4870&lt;&gt;"No encontrado",F4870&lt;&gt;"Inactivo"),C4870&amp;" → "&amp;F4870,"Sin transición"))</f>
        <v/>
      </c>
      <c r="H4870" s="26" t="str">
        <f aca="false">IF(A4870="","",IF(D4870="GCIA LINEA SERVICIO DIGITALIDAD Y VENTAS","Chats",IF(OR(D4870="GERENCIA INBOUND LÍNEAS SERVICIO Y VENTA",D4870="GERENCIA INBOUND LINEAS ESPECIALIZADAS"),"Llamadas","Otro")))</f>
        <v/>
      </c>
      <c r="I4870" s="26" t="str">
        <f aca="false">IF(A4870="","",IF(C4870="No encontrado","No","Sí"))</f>
        <v/>
      </c>
      <c r="J4870" s="26" t="str">
        <f aca="false">IF(A4870="","",IF(F4870="Inactivo","No","Sí"))</f>
        <v/>
      </c>
      <c r="K4870" s="26" t="str">
        <f aca="false">IF(A4870="","",IF(AND(I4870="Sí",J4870="Sí"),"Sí","No"))</f>
        <v/>
      </c>
    </row>
    <row r="4871" customFormat="false" ht="15" hidden="false" customHeight="false" outlineLevel="0" collapsed="false">
      <c r="A4871" s="22"/>
      <c r="B4871" s="22"/>
      <c r="C4871" s="23" t="str">
        <f aca="false">IF(A4871="","",IFERROR(buscarx(A4871&amp;B4871,DATA!$E$3:$E$10000&amp;DATA!$B$3:$B$10000,DATA!$M$3:$M$10000),"No encontrado"))</f>
        <v/>
      </c>
      <c r="D4871" s="24" t="str">
        <f aca="false">IF(A4871="","",IFERROR(buscarx(A4871&amp;B4871,DATA!$E$3:$E$10000&amp;DATA!$B$3:$B$10000,DATA!$W$3:$W$10000),"No encontrado"))</f>
        <v/>
      </c>
      <c r="E4871" s="22"/>
      <c r="F4871" s="23" t="str">
        <f aca="false">IF(A4871="","",IFERROR(buscarx(A4871&amp;E4871,DATA!$E$3:$E$10000&amp;DATA!$B$3:$B$10000,DATA!$M$3:$M$10000),"Inactivo"))</f>
        <v/>
      </c>
      <c r="G4871" s="25" t="str">
        <f aca="false">IF(A4871="","",IF(AND(C4871&lt;&gt;"No encontrado",F4871&lt;&gt;"Inactivo"),C4871&amp;" → "&amp;F4871,"Sin transición"))</f>
        <v/>
      </c>
      <c r="H4871" s="23" t="str">
        <f aca="false">IF(A4871="","",IF(D4871="GCIA LINEA SERVICIO DIGITALIDAD Y VENTAS","Chats",IF(OR(D4871="GERENCIA INBOUND LÍNEAS SERVICIO Y VENTA",D4871="GERENCIA INBOUND LINEAS ESPECIALIZADAS"),"Llamadas","Otro")))</f>
        <v/>
      </c>
      <c r="I4871" s="23" t="str">
        <f aca="false">IF(A4871="","",IF(C4871="No encontrado","No","Sí"))</f>
        <v/>
      </c>
      <c r="J4871" s="23" t="str">
        <f aca="false">IF(A4871="","",IF(F4871="Inactivo","No","Sí"))</f>
        <v/>
      </c>
      <c r="K4871" s="23" t="str">
        <f aca="false">IF(A4871="","",IF(AND(I4871="Sí",J4871="Sí"),"Sí","No"))</f>
        <v/>
      </c>
    </row>
    <row r="4872" customFormat="false" ht="15" hidden="false" customHeight="false" outlineLevel="0" collapsed="false">
      <c r="A4872" s="22"/>
      <c r="B4872" s="22"/>
      <c r="C4872" s="26" t="str">
        <f aca="false">IF(A4872="","",IFERROR(buscarx(A4872&amp;B4872,DATA!$E$3:$E$10000&amp;DATA!$B$3:$B$10000,DATA!$M$3:$M$10000),"No encontrado"))</f>
        <v/>
      </c>
      <c r="D4872" s="27" t="str">
        <f aca="false">IF(A4872="","",IFERROR(buscarx(A4872&amp;B4872,DATA!$E$3:$E$10000&amp;DATA!$B$3:$B$10000,DATA!$W$3:$W$10000),"No encontrado"))</f>
        <v/>
      </c>
      <c r="E4872" s="22"/>
      <c r="F4872" s="26" t="str">
        <f aca="false">IF(A4872="","",IFERROR(buscarx(A4872&amp;E4872,DATA!$E$3:$E$10000&amp;DATA!$B$3:$B$10000,DATA!$M$3:$M$10000),"Inactivo"))</f>
        <v/>
      </c>
      <c r="G4872" s="28" t="str">
        <f aca="false">IF(A4872="","",IF(AND(C4872&lt;&gt;"No encontrado",F4872&lt;&gt;"Inactivo"),C4872&amp;" → "&amp;F4872,"Sin transición"))</f>
        <v/>
      </c>
      <c r="H4872" s="26" t="str">
        <f aca="false">IF(A4872="","",IF(D4872="GCIA LINEA SERVICIO DIGITALIDAD Y VENTAS","Chats",IF(OR(D4872="GERENCIA INBOUND LÍNEAS SERVICIO Y VENTA",D4872="GERENCIA INBOUND LINEAS ESPECIALIZADAS"),"Llamadas","Otro")))</f>
        <v/>
      </c>
      <c r="I4872" s="26" t="str">
        <f aca="false">IF(A4872="","",IF(C4872="No encontrado","No","Sí"))</f>
        <v/>
      </c>
      <c r="J4872" s="26" t="str">
        <f aca="false">IF(A4872="","",IF(F4872="Inactivo","No","Sí"))</f>
        <v/>
      </c>
      <c r="K4872" s="26" t="str">
        <f aca="false">IF(A4872="","",IF(AND(I4872="Sí",J4872="Sí"),"Sí","No"))</f>
        <v/>
      </c>
    </row>
    <row r="4873" customFormat="false" ht="15" hidden="false" customHeight="false" outlineLevel="0" collapsed="false">
      <c r="A4873" s="22"/>
      <c r="B4873" s="22"/>
      <c r="C4873" s="23" t="str">
        <f aca="false">IF(A4873="","",IFERROR(buscarx(A4873&amp;B4873,DATA!$E$3:$E$10000&amp;DATA!$B$3:$B$10000,DATA!$M$3:$M$10000),"No encontrado"))</f>
        <v/>
      </c>
      <c r="D4873" s="24" t="str">
        <f aca="false">IF(A4873="","",IFERROR(buscarx(A4873&amp;B4873,DATA!$E$3:$E$10000&amp;DATA!$B$3:$B$10000,DATA!$W$3:$W$10000),"No encontrado"))</f>
        <v/>
      </c>
      <c r="E4873" s="22"/>
      <c r="F4873" s="23" t="str">
        <f aca="false">IF(A4873="","",IFERROR(buscarx(A4873&amp;E4873,DATA!$E$3:$E$10000&amp;DATA!$B$3:$B$10000,DATA!$M$3:$M$10000),"Inactivo"))</f>
        <v/>
      </c>
      <c r="G4873" s="25" t="str">
        <f aca="false">IF(A4873="","",IF(AND(C4873&lt;&gt;"No encontrado",F4873&lt;&gt;"Inactivo"),C4873&amp;" → "&amp;F4873,"Sin transición"))</f>
        <v/>
      </c>
      <c r="H4873" s="23" t="str">
        <f aca="false">IF(A4873="","",IF(D4873="GCIA LINEA SERVICIO DIGITALIDAD Y VENTAS","Chats",IF(OR(D4873="GERENCIA INBOUND LÍNEAS SERVICIO Y VENTA",D4873="GERENCIA INBOUND LINEAS ESPECIALIZADAS"),"Llamadas","Otro")))</f>
        <v/>
      </c>
      <c r="I4873" s="23" t="str">
        <f aca="false">IF(A4873="","",IF(C4873="No encontrado","No","Sí"))</f>
        <v/>
      </c>
      <c r="J4873" s="23" t="str">
        <f aca="false">IF(A4873="","",IF(F4873="Inactivo","No","Sí"))</f>
        <v/>
      </c>
      <c r="K4873" s="23" t="str">
        <f aca="false">IF(A4873="","",IF(AND(I4873="Sí",J4873="Sí"),"Sí","No"))</f>
        <v/>
      </c>
    </row>
    <row r="4874" customFormat="false" ht="15" hidden="false" customHeight="false" outlineLevel="0" collapsed="false">
      <c r="A4874" s="22"/>
      <c r="B4874" s="22"/>
      <c r="C4874" s="26" t="str">
        <f aca="false">IF(A4874="","",IFERROR(buscarx(A4874&amp;B4874,DATA!$E$3:$E$10000&amp;DATA!$B$3:$B$10000,DATA!$M$3:$M$10000),"No encontrado"))</f>
        <v/>
      </c>
      <c r="D4874" s="27" t="str">
        <f aca="false">IF(A4874="","",IFERROR(buscarx(A4874&amp;B4874,DATA!$E$3:$E$10000&amp;DATA!$B$3:$B$10000,DATA!$W$3:$W$10000),"No encontrado"))</f>
        <v/>
      </c>
      <c r="E4874" s="22"/>
      <c r="F4874" s="26" t="str">
        <f aca="false">IF(A4874="","",IFERROR(buscarx(A4874&amp;E4874,DATA!$E$3:$E$10000&amp;DATA!$B$3:$B$10000,DATA!$M$3:$M$10000),"Inactivo"))</f>
        <v/>
      </c>
      <c r="G4874" s="28" t="str">
        <f aca="false">IF(A4874="","",IF(AND(C4874&lt;&gt;"No encontrado",F4874&lt;&gt;"Inactivo"),C4874&amp;" → "&amp;F4874,"Sin transición"))</f>
        <v/>
      </c>
      <c r="H4874" s="26" t="str">
        <f aca="false">IF(A4874="","",IF(D4874="GCIA LINEA SERVICIO DIGITALIDAD Y VENTAS","Chats",IF(OR(D4874="GERENCIA INBOUND LÍNEAS SERVICIO Y VENTA",D4874="GERENCIA INBOUND LINEAS ESPECIALIZADAS"),"Llamadas","Otro")))</f>
        <v/>
      </c>
      <c r="I4874" s="26" t="str">
        <f aca="false">IF(A4874="","",IF(C4874="No encontrado","No","Sí"))</f>
        <v/>
      </c>
      <c r="J4874" s="26" t="str">
        <f aca="false">IF(A4874="","",IF(F4874="Inactivo","No","Sí"))</f>
        <v/>
      </c>
      <c r="K4874" s="26" t="str">
        <f aca="false">IF(A4874="","",IF(AND(I4874="Sí",J4874="Sí"),"Sí","No"))</f>
        <v/>
      </c>
    </row>
    <row r="4875" customFormat="false" ht="15" hidden="false" customHeight="false" outlineLevel="0" collapsed="false">
      <c r="A4875" s="22"/>
      <c r="B4875" s="22"/>
      <c r="C4875" s="23" t="str">
        <f aca="false">IF(A4875="","",IFERROR(buscarx(A4875&amp;B4875,DATA!$E$3:$E$10000&amp;DATA!$B$3:$B$10000,DATA!$M$3:$M$10000),"No encontrado"))</f>
        <v/>
      </c>
      <c r="D4875" s="24" t="str">
        <f aca="false">IF(A4875="","",IFERROR(buscarx(A4875&amp;B4875,DATA!$E$3:$E$10000&amp;DATA!$B$3:$B$10000,DATA!$W$3:$W$10000),"No encontrado"))</f>
        <v/>
      </c>
      <c r="E4875" s="22"/>
      <c r="F4875" s="23" t="str">
        <f aca="false">IF(A4875="","",IFERROR(buscarx(A4875&amp;E4875,DATA!$E$3:$E$10000&amp;DATA!$B$3:$B$10000,DATA!$M$3:$M$10000),"Inactivo"))</f>
        <v/>
      </c>
      <c r="G4875" s="25" t="str">
        <f aca="false">IF(A4875="","",IF(AND(C4875&lt;&gt;"No encontrado",F4875&lt;&gt;"Inactivo"),C4875&amp;" → "&amp;F4875,"Sin transición"))</f>
        <v/>
      </c>
      <c r="H4875" s="23" t="str">
        <f aca="false">IF(A4875="","",IF(D4875="GCIA LINEA SERVICIO DIGITALIDAD Y VENTAS","Chats",IF(OR(D4875="GERENCIA INBOUND LÍNEAS SERVICIO Y VENTA",D4875="GERENCIA INBOUND LINEAS ESPECIALIZADAS"),"Llamadas","Otro")))</f>
        <v/>
      </c>
      <c r="I4875" s="23" t="str">
        <f aca="false">IF(A4875="","",IF(C4875="No encontrado","No","Sí"))</f>
        <v/>
      </c>
      <c r="J4875" s="23" t="str">
        <f aca="false">IF(A4875="","",IF(F4875="Inactivo","No","Sí"))</f>
        <v/>
      </c>
      <c r="K4875" s="23" t="str">
        <f aca="false">IF(A4875="","",IF(AND(I4875="Sí",J4875="Sí"),"Sí","No"))</f>
        <v/>
      </c>
    </row>
    <row r="4876" customFormat="false" ht="15" hidden="false" customHeight="false" outlineLevel="0" collapsed="false">
      <c r="A4876" s="22"/>
      <c r="B4876" s="22"/>
      <c r="C4876" s="26" t="str">
        <f aca="false">IF(A4876="","",IFERROR(buscarx(A4876&amp;B4876,DATA!$E$3:$E$10000&amp;DATA!$B$3:$B$10000,DATA!$M$3:$M$10000),"No encontrado"))</f>
        <v/>
      </c>
      <c r="D4876" s="27" t="str">
        <f aca="false">IF(A4876="","",IFERROR(buscarx(A4876&amp;B4876,DATA!$E$3:$E$10000&amp;DATA!$B$3:$B$10000,DATA!$W$3:$W$10000),"No encontrado"))</f>
        <v/>
      </c>
      <c r="E4876" s="22"/>
      <c r="F4876" s="26" t="str">
        <f aca="false">IF(A4876="","",IFERROR(buscarx(A4876&amp;E4876,DATA!$E$3:$E$10000&amp;DATA!$B$3:$B$10000,DATA!$M$3:$M$10000),"Inactivo"))</f>
        <v/>
      </c>
      <c r="G4876" s="28" t="str">
        <f aca="false">IF(A4876="","",IF(AND(C4876&lt;&gt;"No encontrado",F4876&lt;&gt;"Inactivo"),C4876&amp;" → "&amp;F4876,"Sin transición"))</f>
        <v/>
      </c>
      <c r="H4876" s="26" t="str">
        <f aca="false">IF(A4876="","",IF(D4876="GCIA LINEA SERVICIO DIGITALIDAD Y VENTAS","Chats",IF(OR(D4876="GERENCIA INBOUND LÍNEAS SERVICIO Y VENTA",D4876="GERENCIA INBOUND LINEAS ESPECIALIZADAS"),"Llamadas","Otro")))</f>
        <v/>
      </c>
      <c r="I4876" s="26" t="str">
        <f aca="false">IF(A4876="","",IF(C4876="No encontrado","No","Sí"))</f>
        <v/>
      </c>
      <c r="J4876" s="26" t="str">
        <f aca="false">IF(A4876="","",IF(F4876="Inactivo","No","Sí"))</f>
        <v/>
      </c>
      <c r="K4876" s="26" t="str">
        <f aca="false">IF(A4876="","",IF(AND(I4876="Sí",J4876="Sí"),"Sí","No"))</f>
        <v/>
      </c>
    </row>
    <row r="4877" customFormat="false" ht="15" hidden="false" customHeight="false" outlineLevel="0" collapsed="false">
      <c r="A4877" s="22"/>
      <c r="B4877" s="22"/>
      <c r="C4877" s="23" t="str">
        <f aca="false">IF(A4877="","",IFERROR(buscarx(A4877&amp;B4877,DATA!$E$3:$E$10000&amp;DATA!$B$3:$B$10000,DATA!$M$3:$M$10000),"No encontrado"))</f>
        <v/>
      </c>
      <c r="D4877" s="24" t="str">
        <f aca="false">IF(A4877="","",IFERROR(buscarx(A4877&amp;B4877,DATA!$E$3:$E$10000&amp;DATA!$B$3:$B$10000,DATA!$W$3:$W$10000),"No encontrado"))</f>
        <v/>
      </c>
      <c r="E4877" s="22"/>
      <c r="F4877" s="23" t="str">
        <f aca="false">IF(A4877="","",IFERROR(buscarx(A4877&amp;E4877,DATA!$E$3:$E$10000&amp;DATA!$B$3:$B$10000,DATA!$M$3:$M$10000),"Inactivo"))</f>
        <v/>
      </c>
      <c r="G4877" s="25" t="str">
        <f aca="false">IF(A4877="","",IF(AND(C4877&lt;&gt;"No encontrado",F4877&lt;&gt;"Inactivo"),C4877&amp;" → "&amp;F4877,"Sin transición"))</f>
        <v/>
      </c>
      <c r="H4877" s="23" t="str">
        <f aca="false">IF(A4877="","",IF(D4877="GCIA LINEA SERVICIO DIGITALIDAD Y VENTAS","Chats",IF(OR(D4877="GERENCIA INBOUND LÍNEAS SERVICIO Y VENTA",D4877="GERENCIA INBOUND LINEAS ESPECIALIZADAS"),"Llamadas","Otro")))</f>
        <v/>
      </c>
      <c r="I4877" s="23" t="str">
        <f aca="false">IF(A4877="","",IF(C4877="No encontrado","No","Sí"))</f>
        <v/>
      </c>
      <c r="J4877" s="23" t="str">
        <f aca="false">IF(A4877="","",IF(F4877="Inactivo","No","Sí"))</f>
        <v/>
      </c>
      <c r="K4877" s="23" t="str">
        <f aca="false">IF(A4877="","",IF(AND(I4877="Sí",J4877="Sí"),"Sí","No"))</f>
        <v/>
      </c>
    </row>
    <row r="4878" customFormat="false" ht="15" hidden="false" customHeight="false" outlineLevel="0" collapsed="false">
      <c r="A4878" s="22"/>
      <c r="B4878" s="22"/>
      <c r="C4878" s="26" t="str">
        <f aca="false">IF(A4878="","",IFERROR(buscarx(A4878&amp;B4878,DATA!$E$3:$E$10000&amp;DATA!$B$3:$B$10000,DATA!$M$3:$M$10000),"No encontrado"))</f>
        <v/>
      </c>
      <c r="D4878" s="27" t="str">
        <f aca="false">IF(A4878="","",IFERROR(buscarx(A4878&amp;B4878,DATA!$E$3:$E$10000&amp;DATA!$B$3:$B$10000,DATA!$W$3:$W$10000),"No encontrado"))</f>
        <v/>
      </c>
      <c r="E4878" s="22"/>
      <c r="F4878" s="26" t="str">
        <f aca="false">IF(A4878="","",IFERROR(buscarx(A4878&amp;E4878,DATA!$E$3:$E$10000&amp;DATA!$B$3:$B$10000,DATA!$M$3:$M$10000),"Inactivo"))</f>
        <v/>
      </c>
      <c r="G4878" s="28" t="str">
        <f aca="false">IF(A4878="","",IF(AND(C4878&lt;&gt;"No encontrado",F4878&lt;&gt;"Inactivo"),C4878&amp;" → "&amp;F4878,"Sin transición"))</f>
        <v/>
      </c>
      <c r="H4878" s="26" t="str">
        <f aca="false">IF(A4878="","",IF(D4878="GCIA LINEA SERVICIO DIGITALIDAD Y VENTAS","Chats",IF(OR(D4878="GERENCIA INBOUND LÍNEAS SERVICIO Y VENTA",D4878="GERENCIA INBOUND LINEAS ESPECIALIZADAS"),"Llamadas","Otro")))</f>
        <v/>
      </c>
      <c r="I4878" s="26" t="str">
        <f aca="false">IF(A4878="","",IF(C4878="No encontrado","No","Sí"))</f>
        <v/>
      </c>
      <c r="J4878" s="26" t="str">
        <f aca="false">IF(A4878="","",IF(F4878="Inactivo","No","Sí"))</f>
        <v/>
      </c>
      <c r="K4878" s="26" t="str">
        <f aca="false">IF(A4878="","",IF(AND(I4878="Sí",J4878="Sí"),"Sí","No"))</f>
        <v/>
      </c>
    </row>
    <row r="4879" customFormat="false" ht="15" hidden="false" customHeight="false" outlineLevel="0" collapsed="false">
      <c r="A4879" s="22"/>
      <c r="B4879" s="22"/>
      <c r="C4879" s="23" t="str">
        <f aca="false">IF(A4879="","",IFERROR(buscarx(A4879&amp;B4879,DATA!$E$3:$E$10000&amp;DATA!$B$3:$B$10000,DATA!$M$3:$M$10000),"No encontrado"))</f>
        <v/>
      </c>
      <c r="D4879" s="24" t="str">
        <f aca="false">IF(A4879="","",IFERROR(buscarx(A4879&amp;B4879,DATA!$E$3:$E$10000&amp;DATA!$B$3:$B$10000,DATA!$W$3:$W$10000),"No encontrado"))</f>
        <v/>
      </c>
      <c r="E4879" s="22"/>
      <c r="F4879" s="23" t="str">
        <f aca="false">IF(A4879="","",IFERROR(buscarx(A4879&amp;E4879,DATA!$E$3:$E$10000&amp;DATA!$B$3:$B$10000,DATA!$M$3:$M$10000),"Inactivo"))</f>
        <v/>
      </c>
      <c r="G4879" s="25" t="str">
        <f aca="false">IF(A4879="","",IF(AND(C4879&lt;&gt;"No encontrado",F4879&lt;&gt;"Inactivo"),C4879&amp;" → "&amp;F4879,"Sin transición"))</f>
        <v/>
      </c>
      <c r="H4879" s="23" t="str">
        <f aca="false">IF(A4879="","",IF(D4879="GCIA LINEA SERVICIO DIGITALIDAD Y VENTAS","Chats",IF(OR(D4879="GERENCIA INBOUND LÍNEAS SERVICIO Y VENTA",D4879="GERENCIA INBOUND LINEAS ESPECIALIZADAS"),"Llamadas","Otro")))</f>
        <v/>
      </c>
      <c r="I4879" s="23" t="str">
        <f aca="false">IF(A4879="","",IF(C4879="No encontrado","No","Sí"))</f>
        <v/>
      </c>
      <c r="J4879" s="23" t="str">
        <f aca="false">IF(A4879="","",IF(F4879="Inactivo","No","Sí"))</f>
        <v/>
      </c>
      <c r="K4879" s="23" t="str">
        <f aca="false">IF(A4879="","",IF(AND(I4879="Sí",J4879="Sí"),"Sí","No"))</f>
        <v/>
      </c>
    </row>
    <row r="4880" customFormat="false" ht="15" hidden="false" customHeight="false" outlineLevel="0" collapsed="false">
      <c r="A4880" s="22"/>
      <c r="B4880" s="22"/>
      <c r="C4880" s="26" t="str">
        <f aca="false">IF(A4880="","",IFERROR(buscarx(A4880&amp;B4880,DATA!$E$3:$E$10000&amp;DATA!$B$3:$B$10000,DATA!$M$3:$M$10000),"No encontrado"))</f>
        <v/>
      </c>
      <c r="D4880" s="27" t="str">
        <f aca="false">IF(A4880="","",IFERROR(buscarx(A4880&amp;B4880,DATA!$E$3:$E$10000&amp;DATA!$B$3:$B$10000,DATA!$W$3:$W$10000),"No encontrado"))</f>
        <v/>
      </c>
      <c r="E4880" s="22"/>
      <c r="F4880" s="26" t="str">
        <f aca="false">IF(A4880="","",IFERROR(buscarx(A4880&amp;E4880,DATA!$E$3:$E$10000&amp;DATA!$B$3:$B$10000,DATA!$M$3:$M$10000),"Inactivo"))</f>
        <v/>
      </c>
      <c r="G4880" s="28" t="str">
        <f aca="false">IF(A4880="","",IF(AND(C4880&lt;&gt;"No encontrado",F4880&lt;&gt;"Inactivo"),C4880&amp;" → "&amp;F4880,"Sin transición"))</f>
        <v/>
      </c>
      <c r="H4880" s="26" t="str">
        <f aca="false">IF(A4880="","",IF(D4880="GCIA LINEA SERVICIO DIGITALIDAD Y VENTAS","Chats",IF(OR(D4880="GERENCIA INBOUND LÍNEAS SERVICIO Y VENTA",D4880="GERENCIA INBOUND LINEAS ESPECIALIZADAS"),"Llamadas","Otro")))</f>
        <v/>
      </c>
      <c r="I4880" s="26" t="str">
        <f aca="false">IF(A4880="","",IF(C4880="No encontrado","No","Sí"))</f>
        <v/>
      </c>
      <c r="J4880" s="26" t="str">
        <f aca="false">IF(A4880="","",IF(F4880="Inactivo","No","Sí"))</f>
        <v/>
      </c>
      <c r="K4880" s="26" t="str">
        <f aca="false">IF(A4880="","",IF(AND(I4880="Sí",J4880="Sí"),"Sí","No"))</f>
        <v/>
      </c>
    </row>
    <row r="4881" customFormat="false" ht="15" hidden="false" customHeight="false" outlineLevel="0" collapsed="false">
      <c r="A4881" s="22"/>
      <c r="B4881" s="22"/>
      <c r="C4881" s="23" t="str">
        <f aca="false">IF(A4881="","",IFERROR(buscarx(A4881&amp;B4881,DATA!$E$3:$E$10000&amp;DATA!$B$3:$B$10000,DATA!$M$3:$M$10000),"No encontrado"))</f>
        <v/>
      </c>
      <c r="D4881" s="24" t="str">
        <f aca="false">IF(A4881="","",IFERROR(buscarx(A4881&amp;B4881,DATA!$E$3:$E$10000&amp;DATA!$B$3:$B$10000,DATA!$W$3:$W$10000),"No encontrado"))</f>
        <v/>
      </c>
      <c r="E4881" s="22"/>
      <c r="F4881" s="23" t="str">
        <f aca="false">IF(A4881="","",IFERROR(buscarx(A4881&amp;E4881,DATA!$E$3:$E$10000&amp;DATA!$B$3:$B$10000,DATA!$M$3:$M$10000),"Inactivo"))</f>
        <v/>
      </c>
      <c r="G4881" s="25" t="str">
        <f aca="false">IF(A4881="","",IF(AND(C4881&lt;&gt;"No encontrado",F4881&lt;&gt;"Inactivo"),C4881&amp;" → "&amp;F4881,"Sin transición"))</f>
        <v/>
      </c>
      <c r="H4881" s="23" t="str">
        <f aca="false">IF(A4881="","",IF(D4881="GCIA LINEA SERVICIO DIGITALIDAD Y VENTAS","Chats",IF(OR(D4881="GERENCIA INBOUND LÍNEAS SERVICIO Y VENTA",D4881="GERENCIA INBOUND LINEAS ESPECIALIZADAS"),"Llamadas","Otro")))</f>
        <v/>
      </c>
      <c r="I4881" s="23" t="str">
        <f aca="false">IF(A4881="","",IF(C4881="No encontrado","No","Sí"))</f>
        <v/>
      </c>
      <c r="J4881" s="23" t="str">
        <f aca="false">IF(A4881="","",IF(F4881="Inactivo","No","Sí"))</f>
        <v/>
      </c>
      <c r="K4881" s="23" t="str">
        <f aca="false">IF(A4881="","",IF(AND(I4881="Sí",J4881="Sí"),"Sí","No"))</f>
        <v/>
      </c>
    </row>
    <row r="4882" customFormat="false" ht="15" hidden="false" customHeight="false" outlineLevel="0" collapsed="false">
      <c r="A4882" s="22"/>
      <c r="B4882" s="22"/>
      <c r="C4882" s="26" t="str">
        <f aca="false">IF(A4882="","",IFERROR(buscarx(A4882&amp;B4882,DATA!$E$3:$E$10000&amp;DATA!$B$3:$B$10000,DATA!$M$3:$M$10000),"No encontrado"))</f>
        <v/>
      </c>
      <c r="D4882" s="27" t="str">
        <f aca="false">IF(A4882="","",IFERROR(buscarx(A4882&amp;B4882,DATA!$E$3:$E$10000&amp;DATA!$B$3:$B$10000,DATA!$W$3:$W$10000),"No encontrado"))</f>
        <v/>
      </c>
      <c r="E4882" s="22"/>
      <c r="F4882" s="26" t="str">
        <f aca="false">IF(A4882="","",IFERROR(buscarx(A4882&amp;E4882,DATA!$E$3:$E$10000&amp;DATA!$B$3:$B$10000,DATA!$M$3:$M$10000),"Inactivo"))</f>
        <v/>
      </c>
      <c r="G4882" s="28" t="str">
        <f aca="false">IF(A4882="","",IF(AND(C4882&lt;&gt;"No encontrado",F4882&lt;&gt;"Inactivo"),C4882&amp;" → "&amp;F4882,"Sin transición"))</f>
        <v/>
      </c>
      <c r="H4882" s="26" t="str">
        <f aca="false">IF(A4882="","",IF(D4882="GCIA LINEA SERVICIO DIGITALIDAD Y VENTAS","Chats",IF(OR(D4882="GERENCIA INBOUND LÍNEAS SERVICIO Y VENTA",D4882="GERENCIA INBOUND LINEAS ESPECIALIZADAS"),"Llamadas","Otro")))</f>
        <v/>
      </c>
      <c r="I4882" s="26" t="str">
        <f aca="false">IF(A4882="","",IF(C4882="No encontrado","No","Sí"))</f>
        <v/>
      </c>
      <c r="J4882" s="26" t="str">
        <f aca="false">IF(A4882="","",IF(F4882="Inactivo","No","Sí"))</f>
        <v/>
      </c>
      <c r="K4882" s="26" t="str">
        <f aca="false">IF(A4882="","",IF(AND(I4882="Sí",J4882="Sí"),"Sí","No"))</f>
        <v/>
      </c>
    </row>
    <row r="4883" customFormat="false" ht="15" hidden="false" customHeight="false" outlineLevel="0" collapsed="false">
      <c r="A4883" s="22"/>
      <c r="B4883" s="22"/>
      <c r="C4883" s="23" t="str">
        <f aca="false">IF(A4883="","",IFERROR(buscarx(A4883&amp;B4883,DATA!$E$3:$E$10000&amp;DATA!$B$3:$B$10000,DATA!$M$3:$M$10000),"No encontrado"))</f>
        <v/>
      </c>
      <c r="D4883" s="24" t="str">
        <f aca="false">IF(A4883="","",IFERROR(buscarx(A4883&amp;B4883,DATA!$E$3:$E$10000&amp;DATA!$B$3:$B$10000,DATA!$W$3:$W$10000),"No encontrado"))</f>
        <v/>
      </c>
      <c r="E4883" s="22"/>
      <c r="F4883" s="23" t="str">
        <f aca="false">IF(A4883="","",IFERROR(buscarx(A4883&amp;E4883,DATA!$E$3:$E$10000&amp;DATA!$B$3:$B$10000,DATA!$M$3:$M$10000),"Inactivo"))</f>
        <v/>
      </c>
      <c r="G4883" s="25" t="str">
        <f aca="false">IF(A4883="","",IF(AND(C4883&lt;&gt;"No encontrado",F4883&lt;&gt;"Inactivo"),C4883&amp;" → "&amp;F4883,"Sin transición"))</f>
        <v/>
      </c>
      <c r="H4883" s="23" t="str">
        <f aca="false">IF(A4883="","",IF(D4883="GCIA LINEA SERVICIO DIGITALIDAD Y VENTAS","Chats",IF(OR(D4883="GERENCIA INBOUND LÍNEAS SERVICIO Y VENTA",D4883="GERENCIA INBOUND LINEAS ESPECIALIZADAS"),"Llamadas","Otro")))</f>
        <v/>
      </c>
      <c r="I4883" s="23" t="str">
        <f aca="false">IF(A4883="","",IF(C4883="No encontrado","No","Sí"))</f>
        <v/>
      </c>
      <c r="J4883" s="23" t="str">
        <f aca="false">IF(A4883="","",IF(F4883="Inactivo","No","Sí"))</f>
        <v/>
      </c>
      <c r="K4883" s="23" t="str">
        <f aca="false">IF(A4883="","",IF(AND(I4883="Sí",J4883="Sí"),"Sí","No"))</f>
        <v/>
      </c>
    </row>
    <row r="4884" customFormat="false" ht="15" hidden="false" customHeight="false" outlineLevel="0" collapsed="false">
      <c r="A4884" s="22"/>
      <c r="B4884" s="22"/>
      <c r="C4884" s="26" t="str">
        <f aca="false">IF(A4884="","",IFERROR(buscarx(A4884&amp;B4884,DATA!$E$3:$E$10000&amp;DATA!$B$3:$B$10000,DATA!$M$3:$M$10000),"No encontrado"))</f>
        <v/>
      </c>
      <c r="D4884" s="27" t="str">
        <f aca="false">IF(A4884="","",IFERROR(buscarx(A4884&amp;B4884,DATA!$E$3:$E$10000&amp;DATA!$B$3:$B$10000,DATA!$W$3:$W$10000),"No encontrado"))</f>
        <v/>
      </c>
      <c r="E4884" s="22"/>
      <c r="F4884" s="26" t="str">
        <f aca="false">IF(A4884="","",IFERROR(buscarx(A4884&amp;E4884,DATA!$E$3:$E$10000&amp;DATA!$B$3:$B$10000,DATA!$M$3:$M$10000),"Inactivo"))</f>
        <v/>
      </c>
      <c r="G4884" s="28" t="str">
        <f aca="false">IF(A4884="","",IF(AND(C4884&lt;&gt;"No encontrado",F4884&lt;&gt;"Inactivo"),C4884&amp;" → "&amp;F4884,"Sin transición"))</f>
        <v/>
      </c>
      <c r="H4884" s="26" t="str">
        <f aca="false">IF(A4884="","",IF(D4884="GCIA LINEA SERVICIO DIGITALIDAD Y VENTAS","Chats",IF(OR(D4884="GERENCIA INBOUND LÍNEAS SERVICIO Y VENTA",D4884="GERENCIA INBOUND LINEAS ESPECIALIZADAS"),"Llamadas","Otro")))</f>
        <v/>
      </c>
      <c r="I4884" s="26" t="str">
        <f aca="false">IF(A4884="","",IF(C4884="No encontrado","No","Sí"))</f>
        <v/>
      </c>
      <c r="J4884" s="26" t="str">
        <f aca="false">IF(A4884="","",IF(F4884="Inactivo","No","Sí"))</f>
        <v/>
      </c>
      <c r="K4884" s="26" t="str">
        <f aca="false">IF(A4884="","",IF(AND(I4884="Sí",J4884="Sí"),"Sí","No"))</f>
        <v/>
      </c>
    </row>
    <row r="4885" customFormat="false" ht="15" hidden="false" customHeight="false" outlineLevel="0" collapsed="false">
      <c r="A4885" s="22"/>
      <c r="B4885" s="22"/>
      <c r="C4885" s="23" t="str">
        <f aca="false">IF(A4885="","",IFERROR(buscarx(A4885&amp;B4885,DATA!$E$3:$E$10000&amp;DATA!$B$3:$B$10000,DATA!$M$3:$M$10000),"No encontrado"))</f>
        <v/>
      </c>
      <c r="D4885" s="24" t="str">
        <f aca="false">IF(A4885="","",IFERROR(buscarx(A4885&amp;B4885,DATA!$E$3:$E$10000&amp;DATA!$B$3:$B$10000,DATA!$W$3:$W$10000),"No encontrado"))</f>
        <v/>
      </c>
      <c r="E4885" s="22"/>
      <c r="F4885" s="23" t="str">
        <f aca="false">IF(A4885="","",IFERROR(buscarx(A4885&amp;E4885,DATA!$E$3:$E$10000&amp;DATA!$B$3:$B$10000,DATA!$M$3:$M$10000),"Inactivo"))</f>
        <v/>
      </c>
      <c r="G4885" s="25" t="str">
        <f aca="false">IF(A4885="","",IF(AND(C4885&lt;&gt;"No encontrado",F4885&lt;&gt;"Inactivo"),C4885&amp;" → "&amp;F4885,"Sin transición"))</f>
        <v/>
      </c>
      <c r="H4885" s="23" t="str">
        <f aca="false">IF(A4885="","",IF(D4885="GCIA LINEA SERVICIO DIGITALIDAD Y VENTAS","Chats",IF(OR(D4885="GERENCIA INBOUND LÍNEAS SERVICIO Y VENTA",D4885="GERENCIA INBOUND LINEAS ESPECIALIZADAS"),"Llamadas","Otro")))</f>
        <v/>
      </c>
      <c r="I4885" s="23" t="str">
        <f aca="false">IF(A4885="","",IF(C4885="No encontrado","No","Sí"))</f>
        <v/>
      </c>
      <c r="J4885" s="23" t="str">
        <f aca="false">IF(A4885="","",IF(F4885="Inactivo","No","Sí"))</f>
        <v/>
      </c>
      <c r="K4885" s="23" t="str">
        <f aca="false">IF(A4885="","",IF(AND(I4885="Sí",J4885="Sí"),"Sí","No"))</f>
        <v/>
      </c>
    </row>
    <row r="4886" customFormat="false" ht="15" hidden="false" customHeight="false" outlineLevel="0" collapsed="false">
      <c r="A4886" s="22"/>
      <c r="B4886" s="22"/>
      <c r="C4886" s="26" t="str">
        <f aca="false">IF(A4886="","",IFERROR(buscarx(A4886&amp;B4886,DATA!$E$3:$E$10000&amp;DATA!$B$3:$B$10000,DATA!$M$3:$M$10000),"No encontrado"))</f>
        <v/>
      </c>
      <c r="D4886" s="27" t="str">
        <f aca="false">IF(A4886="","",IFERROR(buscarx(A4886&amp;B4886,DATA!$E$3:$E$10000&amp;DATA!$B$3:$B$10000,DATA!$W$3:$W$10000),"No encontrado"))</f>
        <v/>
      </c>
      <c r="E4886" s="22"/>
      <c r="F4886" s="26" t="str">
        <f aca="false">IF(A4886="","",IFERROR(buscarx(A4886&amp;E4886,DATA!$E$3:$E$10000&amp;DATA!$B$3:$B$10000,DATA!$M$3:$M$10000),"Inactivo"))</f>
        <v/>
      </c>
      <c r="G4886" s="28" t="str">
        <f aca="false">IF(A4886="","",IF(AND(C4886&lt;&gt;"No encontrado",F4886&lt;&gt;"Inactivo"),C4886&amp;" → "&amp;F4886,"Sin transición"))</f>
        <v/>
      </c>
      <c r="H4886" s="26" t="str">
        <f aca="false">IF(A4886="","",IF(D4886="GCIA LINEA SERVICIO DIGITALIDAD Y VENTAS","Chats",IF(OR(D4886="GERENCIA INBOUND LÍNEAS SERVICIO Y VENTA",D4886="GERENCIA INBOUND LINEAS ESPECIALIZADAS"),"Llamadas","Otro")))</f>
        <v/>
      </c>
      <c r="I4886" s="26" t="str">
        <f aca="false">IF(A4886="","",IF(C4886="No encontrado","No","Sí"))</f>
        <v/>
      </c>
      <c r="J4886" s="26" t="str">
        <f aca="false">IF(A4886="","",IF(F4886="Inactivo","No","Sí"))</f>
        <v/>
      </c>
      <c r="K4886" s="26" t="str">
        <f aca="false">IF(A4886="","",IF(AND(I4886="Sí",J4886="Sí"),"Sí","No"))</f>
        <v/>
      </c>
    </row>
    <row r="4887" customFormat="false" ht="15" hidden="false" customHeight="false" outlineLevel="0" collapsed="false">
      <c r="A4887" s="22"/>
      <c r="B4887" s="22"/>
      <c r="C4887" s="23" t="str">
        <f aca="false">IF(A4887="","",IFERROR(buscarx(A4887&amp;B4887,DATA!$E$3:$E$10000&amp;DATA!$B$3:$B$10000,DATA!$M$3:$M$10000),"No encontrado"))</f>
        <v/>
      </c>
      <c r="D4887" s="24" t="str">
        <f aca="false">IF(A4887="","",IFERROR(buscarx(A4887&amp;B4887,DATA!$E$3:$E$10000&amp;DATA!$B$3:$B$10000,DATA!$W$3:$W$10000),"No encontrado"))</f>
        <v/>
      </c>
      <c r="E4887" s="22"/>
      <c r="F4887" s="23" t="str">
        <f aca="false">IF(A4887="","",IFERROR(buscarx(A4887&amp;E4887,DATA!$E$3:$E$10000&amp;DATA!$B$3:$B$10000,DATA!$M$3:$M$10000),"Inactivo"))</f>
        <v/>
      </c>
      <c r="G4887" s="25" t="str">
        <f aca="false">IF(A4887="","",IF(AND(C4887&lt;&gt;"No encontrado",F4887&lt;&gt;"Inactivo"),C4887&amp;" → "&amp;F4887,"Sin transición"))</f>
        <v/>
      </c>
      <c r="H4887" s="23" t="str">
        <f aca="false">IF(A4887="","",IF(D4887="GCIA LINEA SERVICIO DIGITALIDAD Y VENTAS","Chats",IF(OR(D4887="GERENCIA INBOUND LÍNEAS SERVICIO Y VENTA",D4887="GERENCIA INBOUND LINEAS ESPECIALIZADAS"),"Llamadas","Otro")))</f>
        <v/>
      </c>
      <c r="I4887" s="23" t="str">
        <f aca="false">IF(A4887="","",IF(C4887="No encontrado","No","Sí"))</f>
        <v/>
      </c>
      <c r="J4887" s="23" t="str">
        <f aca="false">IF(A4887="","",IF(F4887="Inactivo","No","Sí"))</f>
        <v/>
      </c>
      <c r="K4887" s="23" t="str">
        <f aca="false">IF(A4887="","",IF(AND(I4887="Sí",J4887="Sí"),"Sí","No"))</f>
        <v/>
      </c>
    </row>
    <row r="4888" customFormat="false" ht="15" hidden="false" customHeight="false" outlineLevel="0" collapsed="false">
      <c r="A4888" s="22"/>
      <c r="B4888" s="22"/>
      <c r="C4888" s="26" t="str">
        <f aca="false">IF(A4888="","",IFERROR(buscarx(A4888&amp;B4888,DATA!$E$3:$E$10000&amp;DATA!$B$3:$B$10000,DATA!$M$3:$M$10000),"No encontrado"))</f>
        <v/>
      </c>
      <c r="D4888" s="27" t="str">
        <f aca="false">IF(A4888="","",IFERROR(buscarx(A4888&amp;B4888,DATA!$E$3:$E$10000&amp;DATA!$B$3:$B$10000,DATA!$W$3:$W$10000),"No encontrado"))</f>
        <v/>
      </c>
      <c r="E4888" s="22"/>
      <c r="F4888" s="26" t="str">
        <f aca="false">IF(A4888="","",IFERROR(buscarx(A4888&amp;E4888,DATA!$E$3:$E$10000&amp;DATA!$B$3:$B$10000,DATA!$M$3:$M$10000),"Inactivo"))</f>
        <v/>
      </c>
      <c r="G4888" s="28" t="str">
        <f aca="false">IF(A4888="","",IF(AND(C4888&lt;&gt;"No encontrado",F4888&lt;&gt;"Inactivo"),C4888&amp;" → "&amp;F4888,"Sin transición"))</f>
        <v/>
      </c>
      <c r="H4888" s="26" t="str">
        <f aca="false">IF(A4888="","",IF(D4888="GCIA LINEA SERVICIO DIGITALIDAD Y VENTAS","Chats",IF(OR(D4888="GERENCIA INBOUND LÍNEAS SERVICIO Y VENTA",D4888="GERENCIA INBOUND LINEAS ESPECIALIZADAS"),"Llamadas","Otro")))</f>
        <v/>
      </c>
      <c r="I4888" s="26" t="str">
        <f aca="false">IF(A4888="","",IF(C4888="No encontrado","No","Sí"))</f>
        <v/>
      </c>
      <c r="J4888" s="26" t="str">
        <f aca="false">IF(A4888="","",IF(F4888="Inactivo","No","Sí"))</f>
        <v/>
      </c>
      <c r="K4888" s="26" t="str">
        <f aca="false">IF(A4888="","",IF(AND(I4888="Sí",J4888="Sí"),"Sí","No"))</f>
        <v/>
      </c>
    </row>
    <row r="4889" customFormat="false" ht="15" hidden="false" customHeight="false" outlineLevel="0" collapsed="false">
      <c r="A4889" s="22"/>
      <c r="B4889" s="22"/>
      <c r="C4889" s="23" t="str">
        <f aca="false">IF(A4889="","",IFERROR(buscarx(A4889&amp;B4889,DATA!$E$3:$E$10000&amp;DATA!$B$3:$B$10000,DATA!$M$3:$M$10000),"No encontrado"))</f>
        <v/>
      </c>
      <c r="D4889" s="24" t="str">
        <f aca="false">IF(A4889="","",IFERROR(buscarx(A4889&amp;B4889,DATA!$E$3:$E$10000&amp;DATA!$B$3:$B$10000,DATA!$W$3:$W$10000),"No encontrado"))</f>
        <v/>
      </c>
      <c r="E4889" s="22"/>
      <c r="F4889" s="23" t="str">
        <f aca="false">IF(A4889="","",IFERROR(buscarx(A4889&amp;E4889,DATA!$E$3:$E$10000&amp;DATA!$B$3:$B$10000,DATA!$M$3:$M$10000),"Inactivo"))</f>
        <v/>
      </c>
      <c r="G4889" s="25" t="str">
        <f aca="false">IF(A4889="","",IF(AND(C4889&lt;&gt;"No encontrado",F4889&lt;&gt;"Inactivo"),C4889&amp;" → "&amp;F4889,"Sin transición"))</f>
        <v/>
      </c>
      <c r="H4889" s="23" t="str">
        <f aca="false">IF(A4889="","",IF(D4889="GCIA LINEA SERVICIO DIGITALIDAD Y VENTAS","Chats",IF(OR(D4889="GERENCIA INBOUND LÍNEAS SERVICIO Y VENTA",D4889="GERENCIA INBOUND LINEAS ESPECIALIZADAS"),"Llamadas","Otro")))</f>
        <v/>
      </c>
      <c r="I4889" s="23" t="str">
        <f aca="false">IF(A4889="","",IF(C4889="No encontrado","No","Sí"))</f>
        <v/>
      </c>
      <c r="J4889" s="23" t="str">
        <f aca="false">IF(A4889="","",IF(F4889="Inactivo","No","Sí"))</f>
        <v/>
      </c>
      <c r="K4889" s="23" t="str">
        <f aca="false">IF(A4889="","",IF(AND(I4889="Sí",J4889="Sí"),"Sí","No"))</f>
        <v/>
      </c>
    </row>
    <row r="4890" customFormat="false" ht="15" hidden="false" customHeight="false" outlineLevel="0" collapsed="false">
      <c r="A4890" s="22"/>
      <c r="B4890" s="22"/>
      <c r="C4890" s="26" t="str">
        <f aca="false">IF(A4890="","",IFERROR(buscarx(A4890&amp;B4890,DATA!$E$3:$E$10000&amp;DATA!$B$3:$B$10000,DATA!$M$3:$M$10000),"No encontrado"))</f>
        <v/>
      </c>
      <c r="D4890" s="27" t="str">
        <f aca="false">IF(A4890="","",IFERROR(buscarx(A4890&amp;B4890,DATA!$E$3:$E$10000&amp;DATA!$B$3:$B$10000,DATA!$W$3:$W$10000),"No encontrado"))</f>
        <v/>
      </c>
      <c r="E4890" s="22"/>
      <c r="F4890" s="26" t="str">
        <f aca="false">IF(A4890="","",IFERROR(buscarx(A4890&amp;E4890,DATA!$E$3:$E$10000&amp;DATA!$B$3:$B$10000,DATA!$M$3:$M$10000),"Inactivo"))</f>
        <v/>
      </c>
      <c r="G4890" s="28" t="str">
        <f aca="false">IF(A4890="","",IF(AND(C4890&lt;&gt;"No encontrado",F4890&lt;&gt;"Inactivo"),C4890&amp;" → "&amp;F4890,"Sin transición"))</f>
        <v/>
      </c>
      <c r="H4890" s="26" t="str">
        <f aca="false">IF(A4890="","",IF(D4890="GCIA LINEA SERVICIO DIGITALIDAD Y VENTAS","Chats",IF(OR(D4890="GERENCIA INBOUND LÍNEAS SERVICIO Y VENTA",D4890="GERENCIA INBOUND LINEAS ESPECIALIZADAS"),"Llamadas","Otro")))</f>
        <v/>
      </c>
      <c r="I4890" s="26" t="str">
        <f aca="false">IF(A4890="","",IF(C4890="No encontrado","No","Sí"))</f>
        <v/>
      </c>
      <c r="J4890" s="26" t="str">
        <f aca="false">IF(A4890="","",IF(F4890="Inactivo","No","Sí"))</f>
        <v/>
      </c>
      <c r="K4890" s="26" t="str">
        <f aca="false">IF(A4890="","",IF(AND(I4890="Sí",J4890="Sí"),"Sí","No"))</f>
        <v/>
      </c>
    </row>
    <row r="4891" customFormat="false" ht="15" hidden="false" customHeight="false" outlineLevel="0" collapsed="false">
      <c r="A4891" s="22"/>
      <c r="B4891" s="22"/>
      <c r="C4891" s="23" t="str">
        <f aca="false">IF(A4891="","",IFERROR(buscarx(A4891&amp;B4891,DATA!$E$3:$E$10000&amp;DATA!$B$3:$B$10000,DATA!$M$3:$M$10000),"No encontrado"))</f>
        <v/>
      </c>
      <c r="D4891" s="24" t="str">
        <f aca="false">IF(A4891="","",IFERROR(buscarx(A4891&amp;B4891,DATA!$E$3:$E$10000&amp;DATA!$B$3:$B$10000,DATA!$W$3:$W$10000),"No encontrado"))</f>
        <v/>
      </c>
      <c r="E4891" s="22"/>
      <c r="F4891" s="23" t="str">
        <f aca="false">IF(A4891="","",IFERROR(buscarx(A4891&amp;E4891,DATA!$E$3:$E$10000&amp;DATA!$B$3:$B$10000,DATA!$M$3:$M$10000),"Inactivo"))</f>
        <v/>
      </c>
      <c r="G4891" s="25" t="str">
        <f aca="false">IF(A4891="","",IF(AND(C4891&lt;&gt;"No encontrado",F4891&lt;&gt;"Inactivo"),C4891&amp;" → "&amp;F4891,"Sin transición"))</f>
        <v/>
      </c>
      <c r="H4891" s="23" t="str">
        <f aca="false">IF(A4891="","",IF(D4891="GCIA LINEA SERVICIO DIGITALIDAD Y VENTAS","Chats",IF(OR(D4891="GERENCIA INBOUND LÍNEAS SERVICIO Y VENTA",D4891="GERENCIA INBOUND LINEAS ESPECIALIZADAS"),"Llamadas","Otro")))</f>
        <v/>
      </c>
      <c r="I4891" s="23" t="str">
        <f aca="false">IF(A4891="","",IF(C4891="No encontrado","No","Sí"))</f>
        <v/>
      </c>
      <c r="J4891" s="23" t="str">
        <f aca="false">IF(A4891="","",IF(F4891="Inactivo","No","Sí"))</f>
        <v/>
      </c>
      <c r="K4891" s="23" t="str">
        <f aca="false">IF(A4891="","",IF(AND(I4891="Sí",J4891="Sí"),"Sí","No"))</f>
        <v/>
      </c>
    </row>
    <row r="4892" customFormat="false" ht="15" hidden="false" customHeight="false" outlineLevel="0" collapsed="false">
      <c r="A4892" s="22"/>
      <c r="B4892" s="22"/>
      <c r="C4892" s="26" t="str">
        <f aca="false">IF(A4892="","",IFERROR(buscarx(A4892&amp;B4892,DATA!$E$3:$E$10000&amp;DATA!$B$3:$B$10000,DATA!$M$3:$M$10000),"No encontrado"))</f>
        <v/>
      </c>
      <c r="D4892" s="27" t="str">
        <f aca="false">IF(A4892="","",IFERROR(buscarx(A4892&amp;B4892,DATA!$E$3:$E$10000&amp;DATA!$B$3:$B$10000,DATA!$W$3:$W$10000),"No encontrado"))</f>
        <v/>
      </c>
      <c r="E4892" s="22"/>
      <c r="F4892" s="26" t="str">
        <f aca="false">IF(A4892="","",IFERROR(buscarx(A4892&amp;E4892,DATA!$E$3:$E$10000&amp;DATA!$B$3:$B$10000,DATA!$M$3:$M$10000),"Inactivo"))</f>
        <v/>
      </c>
      <c r="G4892" s="28" t="str">
        <f aca="false">IF(A4892="","",IF(AND(C4892&lt;&gt;"No encontrado",F4892&lt;&gt;"Inactivo"),C4892&amp;" → "&amp;F4892,"Sin transición"))</f>
        <v/>
      </c>
      <c r="H4892" s="26" t="str">
        <f aca="false">IF(A4892="","",IF(D4892="GCIA LINEA SERVICIO DIGITALIDAD Y VENTAS","Chats",IF(OR(D4892="GERENCIA INBOUND LÍNEAS SERVICIO Y VENTA",D4892="GERENCIA INBOUND LINEAS ESPECIALIZADAS"),"Llamadas","Otro")))</f>
        <v/>
      </c>
      <c r="I4892" s="26" t="str">
        <f aca="false">IF(A4892="","",IF(C4892="No encontrado","No","Sí"))</f>
        <v/>
      </c>
      <c r="J4892" s="26" t="str">
        <f aca="false">IF(A4892="","",IF(F4892="Inactivo","No","Sí"))</f>
        <v/>
      </c>
      <c r="K4892" s="26" t="str">
        <f aca="false">IF(A4892="","",IF(AND(I4892="Sí",J4892="Sí"),"Sí","No"))</f>
        <v/>
      </c>
    </row>
    <row r="4893" customFormat="false" ht="15" hidden="false" customHeight="false" outlineLevel="0" collapsed="false">
      <c r="A4893" s="22"/>
      <c r="B4893" s="22"/>
      <c r="C4893" s="23" t="str">
        <f aca="false">IF(A4893="","",IFERROR(buscarx(A4893&amp;B4893,DATA!$E$3:$E$10000&amp;DATA!$B$3:$B$10000,DATA!$M$3:$M$10000),"No encontrado"))</f>
        <v/>
      </c>
      <c r="D4893" s="24" t="str">
        <f aca="false">IF(A4893="","",IFERROR(buscarx(A4893&amp;B4893,DATA!$E$3:$E$10000&amp;DATA!$B$3:$B$10000,DATA!$W$3:$W$10000),"No encontrado"))</f>
        <v/>
      </c>
      <c r="E4893" s="22"/>
      <c r="F4893" s="23" t="str">
        <f aca="false">IF(A4893="","",IFERROR(buscarx(A4893&amp;E4893,DATA!$E$3:$E$10000&amp;DATA!$B$3:$B$10000,DATA!$M$3:$M$10000),"Inactivo"))</f>
        <v/>
      </c>
      <c r="G4893" s="25" t="str">
        <f aca="false">IF(A4893="","",IF(AND(C4893&lt;&gt;"No encontrado",F4893&lt;&gt;"Inactivo"),C4893&amp;" → "&amp;F4893,"Sin transición"))</f>
        <v/>
      </c>
      <c r="H4893" s="23" t="str">
        <f aca="false">IF(A4893="","",IF(D4893="GCIA LINEA SERVICIO DIGITALIDAD Y VENTAS","Chats",IF(OR(D4893="GERENCIA INBOUND LÍNEAS SERVICIO Y VENTA",D4893="GERENCIA INBOUND LINEAS ESPECIALIZADAS"),"Llamadas","Otro")))</f>
        <v/>
      </c>
      <c r="I4893" s="23" t="str">
        <f aca="false">IF(A4893="","",IF(C4893="No encontrado","No","Sí"))</f>
        <v/>
      </c>
      <c r="J4893" s="23" t="str">
        <f aca="false">IF(A4893="","",IF(F4893="Inactivo","No","Sí"))</f>
        <v/>
      </c>
      <c r="K4893" s="23" t="str">
        <f aca="false">IF(A4893="","",IF(AND(I4893="Sí",J4893="Sí"),"Sí","No"))</f>
        <v/>
      </c>
    </row>
    <row r="4894" customFormat="false" ht="15" hidden="false" customHeight="false" outlineLevel="0" collapsed="false">
      <c r="A4894" s="22"/>
      <c r="B4894" s="22"/>
      <c r="C4894" s="26" t="str">
        <f aca="false">IF(A4894="","",IFERROR(buscarx(A4894&amp;B4894,DATA!$E$3:$E$10000&amp;DATA!$B$3:$B$10000,DATA!$M$3:$M$10000),"No encontrado"))</f>
        <v/>
      </c>
      <c r="D4894" s="27" t="str">
        <f aca="false">IF(A4894="","",IFERROR(buscarx(A4894&amp;B4894,DATA!$E$3:$E$10000&amp;DATA!$B$3:$B$10000,DATA!$W$3:$W$10000),"No encontrado"))</f>
        <v/>
      </c>
      <c r="E4894" s="22"/>
      <c r="F4894" s="26" t="str">
        <f aca="false">IF(A4894="","",IFERROR(buscarx(A4894&amp;E4894,DATA!$E$3:$E$10000&amp;DATA!$B$3:$B$10000,DATA!$M$3:$M$10000),"Inactivo"))</f>
        <v/>
      </c>
      <c r="G4894" s="28" t="str">
        <f aca="false">IF(A4894="","",IF(AND(C4894&lt;&gt;"No encontrado",F4894&lt;&gt;"Inactivo"),C4894&amp;" → "&amp;F4894,"Sin transición"))</f>
        <v/>
      </c>
      <c r="H4894" s="26" t="str">
        <f aca="false">IF(A4894="","",IF(D4894="GCIA LINEA SERVICIO DIGITALIDAD Y VENTAS","Chats",IF(OR(D4894="GERENCIA INBOUND LÍNEAS SERVICIO Y VENTA",D4894="GERENCIA INBOUND LINEAS ESPECIALIZADAS"),"Llamadas","Otro")))</f>
        <v/>
      </c>
      <c r="I4894" s="26" t="str">
        <f aca="false">IF(A4894="","",IF(C4894="No encontrado","No","Sí"))</f>
        <v/>
      </c>
      <c r="J4894" s="26" t="str">
        <f aca="false">IF(A4894="","",IF(F4894="Inactivo","No","Sí"))</f>
        <v/>
      </c>
      <c r="K4894" s="26" t="str">
        <f aca="false">IF(A4894="","",IF(AND(I4894="Sí",J4894="Sí"),"Sí","No"))</f>
        <v/>
      </c>
    </row>
    <row r="4895" customFormat="false" ht="15" hidden="false" customHeight="false" outlineLevel="0" collapsed="false">
      <c r="A4895" s="22"/>
      <c r="B4895" s="22"/>
      <c r="C4895" s="23" t="str">
        <f aca="false">IF(A4895="","",IFERROR(buscarx(A4895&amp;B4895,DATA!$E$3:$E$10000&amp;DATA!$B$3:$B$10000,DATA!$M$3:$M$10000),"No encontrado"))</f>
        <v/>
      </c>
      <c r="D4895" s="24" t="str">
        <f aca="false">IF(A4895="","",IFERROR(buscarx(A4895&amp;B4895,DATA!$E$3:$E$10000&amp;DATA!$B$3:$B$10000,DATA!$W$3:$W$10000),"No encontrado"))</f>
        <v/>
      </c>
      <c r="E4895" s="22"/>
      <c r="F4895" s="23" t="str">
        <f aca="false">IF(A4895="","",IFERROR(buscarx(A4895&amp;E4895,DATA!$E$3:$E$10000&amp;DATA!$B$3:$B$10000,DATA!$M$3:$M$10000),"Inactivo"))</f>
        <v/>
      </c>
      <c r="G4895" s="25" t="str">
        <f aca="false">IF(A4895="","",IF(AND(C4895&lt;&gt;"No encontrado",F4895&lt;&gt;"Inactivo"),C4895&amp;" → "&amp;F4895,"Sin transición"))</f>
        <v/>
      </c>
      <c r="H4895" s="23" t="str">
        <f aca="false">IF(A4895="","",IF(D4895="GCIA LINEA SERVICIO DIGITALIDAD Y VENTAS","Chats",IF(OR(D4895="GERENCIA INBOUND LÍNEAS SERVICIO Y VENTA",D4895="GERENCIA INBOUND LINEAS ESPECIALIZADAS"),"Llamadas","Otro")))</f>
        <v/>
      </c>
      <c r="I4895" s="23" t="str">
        <f aca="false">IF(A4895="","",IF(C4895="No encontrado","No","Sí"))</f>
        <v/>
      </c>
      <c r="J4895" s="23" t="str">
        <f aca="false">IF(A4895="","",IF(F4895="Inactivo","No","Sí"))</f>
        <v/>
      </c>
      <c r="K4895" s="23" t="str">
        <f aca="false">IF(A4895="","",IF(AND(I4895="Sí",J4895="Sí"),"Sí","No"))</f>
        <v/>
      </c>
    </row>
    <row r="4896" customFormat="false" ht="15" hidden="false" customHeight="false" outlineLevel="0" collapsed="false">
      <c r="A4896" s="22"/>
      <c r="B4896" s="22"/>
      <c r="C4896" s="26" t="str">
        <f aca="false">IF(A4896="","",IFERROR(buscarx(A4896&amp;B4896,DATA!$E$3:$E$10000&amp;DATA!$B$3:$B$10000,DATA!$M$3:$M$10000),"No encontrado"))</f>
        <v/>
      </c>
      <c r="D4896" s="27" t="str">
        <f aca="false">IF(A4896="","",IFERROR(buscarx(A4896&amp;B4896,DATA!$E$3:$E$10000&amp;DATA!$B$3:$B$10000,DATA!$W$3:$W$10000),"No encontrado"))</f>
        <v/>
      </c>
      <c r="E4896" s="22"/>
      <c r="F4896" s="26" t="str">
        <f aca="false">IF(A4896="","",IFERROR(buscarx(A4896&amp;E4896,DATA!$E$3:$E$10000&amp;DATA!$B$3:$B$10000,DATA!$M$3:$M$10000),"Inactivo"))</f>
        <v/>
      </c>
      <c r="G4896" s="28" t="str">
        <f aca="false">IF(A4896="","",IF(AND(C4896&lt;&gt;"No encontrado",F4896&lt;&gt;"Inactivo"),C4896&amp;" → "&amp;F4896,"Sin transición"))</f>
        <v/>
      </c>
      <c r="H4896" s="26" t="str">
        <f aca="false">IF(A4896="","",IF(D4896="GCIA LINEA SERVICIO DIGITALIDAD Y VENTAS","Chats",IF(OR(D4896="GERENCIA INBOUND LÍNEAS SERVICIO Y VENTA",D4896="GERENCIA INBOUND LINEAS ESPECIALIZADAS"),"Llamadas","Otro")))</f>
        <v/>
      </c>
      <c r="I4896" s="26" t="str">
        <f aca="false">IF(A4896="","",IF(C4896="No encontrado","No","Sí"))</f>
        <v/>
      </c>
      <c r="J4896" s="26" t="str">
        <f aca="false">IF(A4896="","",IF(F4896="Inactivo","No","Sí"))</f>
        <v/>
      </c>
      <c r="K4896" s="26" t="str">
        <f aca="false">IF(A4896="","",IF(AND(I4896="Sí",J4896="Sí"),"Sí","No"))</f>
        <v/>
      </c>
    </row>
    <row r="4897" customFormat="false" ht="15" hidden="false" customHeight="false" outlineLevel="0" collapsed="false">
      <c r="A4897" s="22"/>
      <c r="B4897" s="22"/>
      <c r="C4897" s="23" t="str">
        <f aca="false">IF(A4897="","",IFERROR(buscarx(A4897&amp;B4897,DATA!$E$3:$E$10000&amp;DATA!$B$3:$B$10000,DATA!$M$3:$M$10000),"No encontrado"))</f>
        <v/>
      </c>
      <c r="D4897" s="24" t="str">
        <f aca="false">IF(A4897="","",IFERROR(buscarx(A4897&amp;B4897,DATA!$E$3:$E$10000&amp;DATA!$B$3:$B$10000,DATA!$W$3:$W$10000),"No encontrado"))</f>
        <v/>
      </c>
      <c r="E4897" s="22"/>
      <c r="F4897" s="23" t="str">
        <f aca="false">IF(A4897="","",IFERROR(buscarx(A4897&amp;E4897,DATA!$E$3:$E$10000&amp;DATA!$B$3:$B$10000,DATA!$M$3:$M$10000),"Inactivo"))</f>
        <v/>
      </c>
      <c r="G4897" s="25" t="str">
        <f aca="false">IF(A4897="","",IF(AND(C4897&lt;&gt;"No encontrado",F4897&lt;&gt;"Inactivo"),C4897&amp;" → "&amp;F4897,"Sin transición"))</f>
        <v/>
      </c>
      <c r="H4897" s="23" t="str">
        <f aca="false">IF(A4897="","",IF(D4897="GCIA LINEA SERVICIO DIGITALIDAD Y VENTAS","Chats",IF(OR(D4897="GERENCIA INBOUND LÍNEAS SERVICIO Y VENTA",D4897="GERENCIA INBOUND LINEAS ESPECIALIZADAS"),"Llamadas","Otro")))</f>
        <v/>
      </c>
      <c r="I4897" s="23" t="str">
        <f aca="false">IF(A4897="","",IF(C4897="No encontrado","No","Sí"))</f>
        <v/>
      </c>
      <c r="J4897" s="23" t="str">
        <f aca="false">IF(A4897="","",IF(F4897="Inactivo","No","Sí"))</f>
        <v/>
      </c>
      <c r="K4897" s="23" t="str">
        <f aca="false">IF(A4897="","",IF(AND(I4897="Sí",J4897="Sí"),"Sí","No"))</f>
        <v/>
      </c>
    </row>
    <row r="4898" customFormat="false" ht="15" hidden="false" customHeight="false" outlineLevel="0" collapsed="false">
      <c r="A4898" s="22"/>
      <c r="B4898" s="22"/>
      <c r="C4898" s="26" t="str">
        <f aca="false">IF(A4898="","",IFERROR(buscarx(A4898&amp;B4898,DATA!$E$3:$E$10000&amp;DATA!$B$3:$B$10000,DATA!$M$3:$M$10000),"No encontrado"))</f>
        <v/>
      </c>
      <c r="D4898" s="27" t="str">
        <f aca="false">IF(A4898="","",IFERROR(buscarx(A4898&amp;B4898,DATA!$E$3:$E$10000&amp;DATA!$B$3:$B$10000,DATA!$W$3:$W$10000),"No encontrado"))</f>
        <v/>
      </c>
      <c r="E4898" s="22"/>
      <c r="F4898" s="26" t="str">
        <f aca="false">IF(A4898="","",IFERROR(buscarx(A4898&amp;E4898,DATA!$E$3:$E$10000&amp;DATA!$B$3:$B$10000,DATA!$M$3:$M$10000),"Inactivo"))</f>
        <v/>
      </c>
      <c r="G4898" s="28" t="str">
        <f aca="false">IF(A4898="","",IF(AND(C4898&lt;&gt;"No encontrado",F4898&lt;&gt;"Inactivo"),C4898&amp;" → "&amp;F4898,"Sin transición"))</f>
        <v/>
      </c>
      <c r="H4898" s="26" t="str">
        <f aca="false">IF(A4898="","",IF(D4898="GCIA LINEA SERVICIO DIGITALIDAD Y VENTAS","Chats",IF(OR(D4898="GERENCIA INBOUND LÍNEAS SERVICIO Y VENTA",D4898="GERENCIA INBOUND LINEAS ESPECIALIZADAS"),"Llamadas","Otro")))</f>
        <v/>
      </c>
      <c r="I4898" s="26" t="str">
        <f aca="false">IF(A4898="","",IF(C4898="No encontrado","No","Sí"))</f>
        <v/>
      </c>
      <c r="J4898" s="26" t="str">
        <f aca="false">IF(A4898="","",IF(F4898="Inactivo","No","Sí"))</f>
        <v/>
      </c>
      <c r="K4898" s="26" t="str">
        <f aca="false">IF(A4898="","",IF(AND(I4898="Sí",J4898="Sí"),"Sí","No"))</f>
        <v/>
      </c>
    </row>
    <row r="4899" customFormat="false" ht="15" hidden="false" customHeight="false" outlineLevel="0" collapsed="false">
      <c r="A4899" s="22"/>
      <c r="B4899" s="22"/>
      <c r="C4899" s="23" t="str">
        <f aca="false">IF(A4899="","",IFERROR(buscarx(A4899&amp;B4899,DATA!$E$3:$E$10000&amp;DATA!$B$3:$B$10000,DATA!$M$3:$M$10000),"No encontrado"))</f>
        <v/>
      </c>
      <c r="D4899" s="24" t="str">
        <f aca="false">IF(A4899="","",IFERROR(buscarx(A4899&amp;B4899,DATA!$E$3:$E$10000&amp;DATA!$B$3:$B$10000,DATA!$W$3:$W$10000),"No encontrado"))</f>
        <v/>
      </c>
      <c r="E4899" s="22"/>
      <c r="F4899" s="23" t="str">
        <f aca="false">IF(A4899="","",IFERROR(buscarx(A4899&amp;E4899,DATA!$E$3:$E$10000&amp;DATA!$B$3:$B$10000,DATA!$M$3:$M$10000),"Inactivo"))</f>
        <v/>
      </c>
      <c r="G4899" s="25" t="str">
        <f aca="false">IF(A4899="","",IF(AND(C4899&lt;&gt;"No encontrado",F4899&lt;&gt;"Inactivo"),C4899&amp;" → "&amp;F4899,"Sin transición"))</f>
        <v/>
      </c>
      <c r="H4899" s="23" t="str">
        <f aca="false">IF(A4899="","",IF(D4899="GCIA LINEA SERVICIO DIGITALIDAD Y VENTAS","Chats",IF(OR(D4899="GERENCIA INBOUND LÍNEAS SERVICIO Y VENTA",D4899="GERENCIA INBOUND LINEAS ESPECIALIZADAS"),"Llamadas","Otro")))</f>
        <v/>
      </c>
      <c r="I4899" s="23" t="str">
        <f aca="false">IF(A4899="","",IF(C4899="No encontrado","No","Sí"))</f>
        <v/>
      </c>
      <c r="J4899" s="23" t="str">
        <f aca="false">IF(A4899="","",IF(F4899="Inactivo","No","Sí"))</f>
        <v/>
      </c>
      <c r="K4899" s="23" t="str">
        <f aca="false">IF(A4899="","",IF(AND(I4899="Sí",J4899="Sí"),"Sí","No"))</f>
        <v/>
      </c>
    </row>
    <row r="4900" customFormat="false" ht="15" hidden="false" customHeight="false" outlineLevel="0" collapsed="false">
      <c r="A4900" s="22"/>
      <c r="B4900" s="22"/>
      <c r="C4900" s="26" t="str">
        <f aca="false">IF(A4900="","",IFERROR(buscarx(A4900&amp;B4900,DATA!$E$3:$E$10000&amp;DATA!$B$3:$B$10000,DATA!$M$3:$M$10000),"No encontrado"))</f>
        <v/>
      </c>
      <c r="D4900" s="27" t="str">
        <f aca="false">IF(A4900="","",IFERROR(buscarx(A4900&amp;B4900,DATA!$E$3:$E$10000&amp;DATA!$B$3:$B$10000,DATA!$W$3:$W$10000),"No encontrado"))</f>
        <v/>
      </c>
      <c r="E4900" s="22"/>
      <c r="F4900" s="26" t="str">
        <f aca="false">IF(A4900="","",IFERROR(buscarx(A4900&amp;E4900,DATA!$E$3:$E$10000&amp;DATA!$B$3:$B$10000,DATA!$M$3:$M$10000),"Inactivo"))</f>
        <v/>
      </c>
      <c r="G4900" s="28" t="str">
        <f aca="false">IF(A4900="","",IF(AND(C4900&lt;&gt;"No encontrado",F4900&lt;&gt;"Inactivo"),C4900&amp;" → "&amp;F4900,"Sin transición"))</f>
        <v/>
      </c>
      <c r="H4900" s="26" t="str">
        <f aca="false">IF(A4900="","",IF(D4900="GCIA LINEA SERVICIO DIGITALIDAD Y VENTAS","Chats",IF(OR(D4900="GERENCIA INBOUND LÍNEAS SERVICIO Y VENTA",D4900="GERENCIA INBOUND LINEAS ESPECIALIZADAS"),"Llamadas","Otro")))</f>
        <v/>
      </c>
      <c r="I4900" s="26" t="str">
        <f aca="false">IF(A4900="","",IF(C4900="No encontrado","No","Sí"))</f>
        <v/>
      </c>
      <c r="J4900" s="26" t="str">
        <f aca="false">IF(A4900="","",IF(F4900="Inactivo","No","Sí"))</f>
        <v/>
      </c>
      <c r="K4900" s="26" t="str">
        <f aca="false">IF(A4900="","",IF(AND(I4900="Sí",J4900="Sí"),"Sí","No"))</f>
        <v/>
      </c>
    </row>
    <row r="4901" customFormat="false" ht="15" hidden="false" customHeight="false" outlineLevel="0" collapsed="false">
      <c r="A4901" s="22"/>
      <c r="B4901" s="22"/>
      <c r="C4901" s="23" t="str">
        <f aca="false">IF(A4901="","",IFERROR(buscarx(A4901&amp;B4901,DATA!$E$3:$E$10000&amp;DATA!$B$3:$B$10000,DATA!$M$3:$M$10000),"No encontrado"))</f>
        <v/>
      </c>
      <c r="D4901" s="24" t="str">
        <f aca="false">IF(A4901="","",IFERROR(buscarx(A4901&amp;B4901,DATA!$E$3:$E$10000&amp;DATA!$B$3:$B$10000,DATA!$W$3:$W$10000),"No encontrado"))</f>
        <v/>
      </c>
      <c r="E4901" s="22"/>
      <c r="F4901" s="23" t="str">
        <f aca="false">IF(A4901="","",IFERROR(buscarx(A4901&amp;E4901,DATA!$E$3:$E$10000&amp;DATA!$B$3:$B$10000,DATA!$M$3:$M$10000),"Inactivo"))</f>
        <v/>
      </c>
      <c r="G4901" s="25" t="str">
        <f aca="false">IF(A4901="","",IF(AND(C4901&lt;&gt;"No encontrado",F4901&lt;&gt;"Inactivo"),C4901&amp;" → "&amp;F4901,"Sin transición"))</f>
        <v/>
      </c>
      <c r="H4901" s="23" t="str">
        <f aca="false">IF(A4901="","",IF(D4901="GCIA LINEA SERVICIO DIGITALIDAD Y VENTAS","Chats",IF(OR(D4901="GERENCIA INBOUND LÍNEAS SERVICIO Y VENTA",D4901="GERENCIA INBOUND LINEAS ESPECIALIZADAS"),"Llamadas","Otro")))</f>
        <v/>
      </c>
      <c r="I4901" s="23" t="str">
        <f aca="false">IF(A4901="","",IF(C4901="No encontrado","No","Sí"))</f>
        <v/>
      </c>
      <c r="J4901" s="23" t="str">
        <f aca="false">IF(A4901="","",IF(F4901="Inactivo","No","Sí"))</f>
        <v/>
      </c>
      <c r="K4901" s="23" t="str">
        <f aca="false">IF(A4901="","",IF(AND(I4901="Sí",J4901="Sí"),"Sí","No"))</f>
        <v/>
      </c>
    </row>
    <row r="4902" customFormat="false" ht="15" hidden="false" customHeight="false" outlineLevel="0" collapsed="false">
      <c r="A4902" s="22"/>
      <c r="B4902" s="22"/>
      <c r="C4902" s="26" t="str">
        <f aca="false">IF(A4902="","",IFERROR(buscarx(A4902&amp;B4902,DATA!$E$3:$E$10000&amp;DATA!$B$3:$B$10000,DATA!$M$3:$M$10000),"No encontrado"))</f>
        <v/>
      </c>
      <c r="D4902" s="27" t="str">
        <f aca="false">IF(A4902="","",IFERROR(buscarx(A4902&amp;B4902,DATA!$E$3:$E$10000&amp;DATA!$B$3:$B$10000,DATA!$W$3:$W$10000),"No encontrado"))</f>
        <v/>
      </c>
      <c r="E4902" s="22"/>
      <c r="F4902" s="26" t="str">
        <f aca="false">IF(A4902="","",IFERROR(buscarx(A4902&amp;E4902,DATA!$E$3:$E$10000&amp;DATA!$B$3:$B$10000,DATA!$M$3:$M$10000),"Inactivo"))</f>
        <v/>
      </c>
      <c r="G4902" s="28" t="str">
        <f aca="false">IF(A4902="","",IF(AND(C4902&lt;&gt;"No encontrado",F4902&lt;&gt;"Inactivo"),C4902&amp;" → "&amp;F4902,"Sin transición"))</f>
        <v/>
      </c>
      <c r="H4902" s="26" t="str">
        <f aca="false">IF(A4902="","",IF(D4902="GCIA LINEA SERVICIO DIGITALIDAD Y VENTAS","Chats",IF(OR(D4902="GERENCIA INBOUND LÍNEAS SERVICIO Y VENTA",D4902="GERENCIA INBOUND LINEAS ESPECIALIZADAS"),"Llamadas","Otro")))</f>
        <v/>
      </c>
      <c r="I4902" s="26" t="str">
        <f aca="false">IF(A4902="","",IF(C4902="No encontrado","No","Sí"))</f>
        <v/>
      </c>
      <c r="J4902" s="26" t="str">
        <f aca="false">IF(A4902="","",IF(F4902="Inactivo","No","Sí"))</f>
        <v/>
      </c>
      <c r="K4902" s="26" t="str">
        <f aca="false">IF(A4902="","",IF(AND(I4902="Sí",J4902="Sí"),"Sí","No"))</f>
        <v/>
      </c>
    </row>
    <row r="4903" customFormat="false" ht="15" hidden="false" customHeight="false" outlineLevel="0" collapsed="false">
      <c r="A4903" s="22"/>
      <c r="B4903" s="22"/>
      <c r="C4903" s="23" t="str">
        <f aca="false">IF(A4903="","",IFERROR(buscarx(A4903&amp;B4903,DATA!$E$3:$E$10000&amp;DATA!$B$3:$B$10000,DATA!$M$3:$M$10000),"No encontrado"))</f>
        <v/>
      </c>
      <c r="D4903" s="24" t="str">
        <f aca="false">IF(A4903="","",IFERROR(buscarx(A4903&amp;B4903,DATA!$E$3:$E$10000&amp;DATA!$B$3:$B$10000,DATA!$W$3:$W$10000),"No encontrado"))</f>
        <v/>
      </c>
      <c r="E4903" s="22"/>
      <c r="F4903" s="23" t="str">
        <f aca="false">IF(A4903="","",IFERROR(buscarx(A4903&amp;E4903,DATA!$E$3:$E$10000&amp;DATA!$B$3:$B$10000,DATA!$M$3:$M$10000),"Inactivo"))</f>
        <v/>
      </c>
      <c r="G4903" s="25" t="str">
        <f aca="false">IF(A4903="","",IF(AND(C4903&lt;&gt;"No encontrado",F4903&lt;&gt;"Inactivo"),C4903&amp;" → "&amp;F4903,"Sin transición"))</f>
        <v/>
      </c>
      <c r="H4903" s="23" t="str">
        <f aca="false">IF(A4903="","",IF(D4903="GCIA LINEA SERVICIO DIGITALIDAD Y VENTAS","Chats",IF(OR(D4903="GERENCIA INBOUND LÍNEAS SERVICIO Y VENTA",D4903="GERENCIA INBOUND LINEAS ESPECIALIZADAS"),"Llamadas","Otro")))</f>
        <v/>
      </c>
      <c r="I4903" s="23" t="str">
        <f aca="false">IF(A4903="","",IF(C4903="No encontrado","No","Sí"))</f>
        <v/>
      </c>
      <c r="J4903" s="23" t="str">
        <f aca="false">IF(A4903="","",IF(F4903="Inactivo","No","Sí"))</f>
        <v/>
      </c>
      <c r="K4903" s="23" t="str">
        <f aca="false">IF(A4903="","",IF(AND(I4903="Sí",J4903="Sí"),"Sí","No"))</f>
        <v/>
      </c>
    </row>
    <row r="4904" customFormat="false" ht="15" hidden="false" customHeight="false" outlineLevel="0" collapsed="false">
      <c r="A4904" s="22"/>
      <c r="B4904" s="22"/>
      <c r="C4904" s="26" t="str">
        <f aca="false">IF(A4904="","",IFERROR(buscarx(A4904&amp;B4904,DATA!$E$3:$E$10000&amp;DATA!$B$3:$B$10000,DATA!$M$3:$M$10000),"No encontrado"))</f>
        <v/>
      </c>
      <c r="D4904" s="27" t="str">
        <f aca="false">IF(A4904="","",IFERROR(buscarx(A4904&amp;B4904,DATA!$E$3:$E$10000&amp;DATA!$B$3:$B$10000,DATA!$W$3:$W$10000),"No encontrado"))</f>
        <v/>
      </c>
      <c r="E4904" s="22"/>
      <c r="F4904" s="26" t="str">
        <f aca="false">IF(A4904="","",IFERROR(buscarx(A4904&amp;E4904,DATA!$E$3:$E$10000&amp;DATA!$B$3:$B$10000,DATA!$M$3:$M$10000),"Inactivo"))</f>
        <v/>
      </c>
      <c r="G4904" s="28" t="str">
        <f aca="false">IF(A4904="","",IF(AND(C4904&lt;&gt;"No encontrado",F4904&lt;&gt;"Inactivo"),C4904&amp;" → "&amp;F4904,"Sin transición"))</f>
        <v/>
      </c>
      <c r="H4904" s="26" t="str">
        <f aca="false">IF(A4904="","",IF(D4904="GCIA LINEA SERVICIO DIGITALIDAD Y VENTAS","Chats",IF(OR(D4904="GERENCIA INBOUND LÍNEAS SERVICIO Y VENTA",D4904="GERENCIA INBOUND LINEAS ESPECIALIZADAS"),"Llamadas","Otro")))</f>
        <v/>
      </c>
      <c r="I4904" s="26" t="str">
        <f aca="false">IF(A4904="","",IF(C4904="No encontrado","No","Sí"))</f>
        <v/>
      </c>
      <c r="J4904" s="26" t="str">
        <f aca="false">IF(A4904="","",IF(F4904="Inactivo","No","Sí"))</f>
        <v/>
      </c>
      <c r="K4904" s="26" t="str">
        <f aca="false">IF(A4904="","",IF(AND(I4904="Sí",J4904="Sí"),"Sí","No"))</f>
        <v/>
      </c>
    </row>
    <row r="4905" customFormat="false" ht="15" hidden="false" customHeight="false" outlineLevel="0" collapsed="false">
      <c r="A4905" s="22"/>
      <c r="B4905" s="22"/>
      <c r="C4905" s="23" t="str">
        <f aca="false">IF(A4905="","",IFERROR(buscarx(A4905&amp;B4905,DATA!$E$3:$E$10000&amp;DATA!$B$3:$B$10000,DATA!$M$3:$M$10000),"No encontrado"))</f>
        <v/>
      </c>
      <c r="D4905" s="24" t="str">
        <f aca="false">IF(A4905="","",IFERROR(buscarx(A4905&amp;B4905,DATA!$E$3:$E$10000&amp;DATA!$B$3:$B$10000,DATA!$W$3:$W$10000),"No encontrado"))</f>
        <v/>
      </c>
      <c r="E4905" s="22"/>
      <c r="F4905" s="23" t="str">
        <f aca="false">IF(A4905="","",IFERROR(buscarx(A4905&amp;E4905,DATA!$E$3:$E$10000&amp;DATA!$B$3:$B$10000,DATA!$M$3:$M$10000),"Inactivo"))</f>
        <v/>
      </c>
      <c r="G4905" s="25" t="str">
        <f aca="false">IF(A4905="","",IF(AND(C4905&lt;&gt;"No encontrado",F4905&lt;&gt;"Inactivo"),C4905&amp;" → "&amp;F4905,"Sin transición"))</f>
        <v/>
      </c>
      <c r="H4905" s="23" t="str">
        <f aca="false">IF(A4905="","",IF(D4905="GCIA LINEA SERVICIO DIGITALIDAD Y VENTAS","Chats",IF(OR(D4905="GERENCIA INBOUND LÍNEAS SERVICIO Y VENTA",D4905="GERENCIA INBOUND LINEAS ESPECIALIZADAS"),"Llamadas","Otro")))</f>
        <v/>
      </c>
      <c r="I4905" s="23" t="str">
        <f aca="false">IF(A4905="","",IF(C4905="No encontrado","No","Sí"))</f>
        <v/>
      </c>
      <c r="J4905" s="23" t="str">
        <f aca="false">IF(A4905="","",IF(F4905="Inactivo","No","Sí"))</f>
        <v/>
      </c>
      <c r="K4905" s="23" t="str">
        <f aca="false">IF(A4905="","",IF(AND(I4905="Sí",J4905="Sí"),"Sí","No"))</f>
        <v/>
      </c>
    </row>
    <row r="4906" customFormat="false" ht="15" hidden="false" customHeight="false" outlineLevel="0" collapsed="false">
      <c r="A4906" s="22"/>
      <c r="B4906" s="22"/>
      <c r="C4906" s="26" t="str">
        <f aca="false">IF(A4906="","",IFERROR(buscarx(A4906&amp;B4906,DATA!$E$3:$E$10000&amp;DATA!$B$3:$B$10000,DATA!$M$3:$M$10000),"No encontrado"))</f>
        <v/>
      </c>
      <c r="D4906" s="27" t="str">
        <f aca="false">IF(A4906="","",IFERROR(buscarx(A4906&amp;B4906,DATA!$E$3:$E$10000&amp;DATA!$B$3:$B$10000,DATA!$W$3:$W$10000),"No encontrado"))</f>
        <v/>
      </c>
      <c r="E4906" s="22"/>
      <c r="F4906" s="26" t="str">
        <f aca="false">IF(A4906="","",IFERROR(buscarx(A4906&amp;E4906,DATA!$E$3:$E$10000&amp;DATA!$B$3:$B$10000,DATA!$M$3:$M$10000),"Inactivo"))</f>
        <v/>
      </c>
      <c r="G4906" s="28" t="str">
        <f aca="false">IF(A4906="","",IF(AND(C4906&lt;&gt;"No encontrado",F4906&lt;&gt;"Inactivo"),C4906&amp;" → "&amp;F4906,"Sin transición"))</f>
        <v/>
      </c>
      <c r="H4906" s="26" t="str">
        <f aca="false">IF(A4906="","",IF(D4906="GCIA LINEA SERVICIO DIGITALIDAD Y VENTAS","Chats",IF(OR(D4906="GERENCIA INBOUND LÍNEAS SERVICIO Y VENTA",D4906="GERENCIA INBOUND LINEAS ESPECIALIZADAS"),"Llamadas","Otro")))</f>
        <v/>
      </c>
      <c r="I4906" s="26" t="str">
        <f aca="false">IF(A4906="","",IF(C4906="No encontrado","No","Sí"))</f>
        <v/>
      </c>
      <c r="J4906" s="26" t="str">
        <f aca="false">IF(A4906="","",IF(F4906="Inactivo","No","Sí"))</f>
        <v/>
      </c>
      <c r="K4906" s="26" t="str">
        <f aca="false">IF(A4906="","",IF(AND(I4906="Sí",J4906="Sí"),"Sí","No"))</f>
        <v/>
      </c>
    </row>
    <row r="4907" customFormat="false" ht="15" hidden="false" customHeight="false" outlineLevel="0" collapsed="false">
      <c r="A4907" s="22"/>
      <c r="B4907" s="22"/>
      <c r="C4907" s="23" t="str">
        <f aca="false">IF(A4907="","",IFERROR(buscarx(A4907&amp;B4907,DATA!$E$3:$E$10000&amp;DATA!$B$3:$B$10000,DATA!$M$3:$M$10000),"No encontrado"))</f>
        <v/>
      </c>
      <c r="D4907" s="24" t="str">
        <f aca="false">IF(A4907="","",IFERROR(buscarx(A4907&amp;B4907,DATA!$E$3:$E$10000&amp;DATA!$B$3:$B$10000,DATA!$W$3:$W$10000),"No encontrado"))</f>
        <v/>
      </c>
      <c r="E4907" s="22"/>
      <c r="F4907" s="23" t="str">
        <f aca="false">IF(A4907="","",IFERROR(buscarx(A4907&amp;E4907,DATA!$E$3:$E$10000&amp;DATA!$B$3:$B$10000,DATA!$M$3:$M$10000),"Inactivo"))</f>
        <v/>
      </c>
      <c r="G4907" s="25" t="str">
        <f aca="false">IF(A4907="","",IF(AND(C4907&lt;&gt;"No encontrado",F4907&lt;&gt;"Inactivo"),C4907&amp;" → "&amp;F4907,"Sin transición"))</f>
        <v/>
      </c>
      <c r="H4907" s="23" t="str">
        <f aca="false">IF(A4907="","",IF(D4907="GCIA LINEA SERVICIO DIGITALIDAD Y VENTAS","Chats",IF(OR(D4907="GERENCIA INBOUND LÍNEAS SERVICIO Y VENTA",D4907="GERENCIA INBOUND LINEAS ESPECIALIZADAS"),"Llamadas","Otro")))</f>
        <v/>
      </c>
      <c r="I4907" s="23" t="str">
        <f aca="false">IF(A4907="","",IF(C4907="No encontrado","No","Sí"))</f>
        <v/>
      </c>
      <c r="J4907" s="23" t="str">
        <f aca="false">IF(A4907="","",IF(F4907="Inactivo","No","Sí"))</f>
        <v/>
      </c>
      <c r="K4907" s="23" t="str">
        <f aca="false">IF(A4907="","",IF(AND(I4907="Sí",J4907="Sí"),"Sí","No"))</f>
        <v/>
      </c>
    </row>
    <row r="4908" customFormat="false" ht="15" hidden="false" customHeight="false" outlineLevel="0" collapsed="false">
      <c r="A4908" s="22"/>
      <c r="B4908" s="22"/>
      <c r="C4908" s="26" t="str">
        <f aca="false">IF(A4908="","",IFERROR(buscarx(A4908&amp;B4908,DATA!$E$3:$E$10000&amp;DATA!$B$3:$B$10000,DATA!$M$3:$M$10000),"No encontrado"))</f>
        <v/>
      </c>
      <c r="D4908" s="27" t="str">
        <f aca="false">IF(A4908="","",IFERROR(buscarx(A4908&amp;B4908,DATA!$E$3:$E$10000&amp;DATA!$B$3:$B$10000,DATA!$W$3:$W$10000),"No encontrado"))</f>
        <v/>
      </c>
      <c r="E4908" s="22"/>
      <c r="F4908" s="26" t="str">
        <f aca="false">IF(A4908="","",IFERROR(buscarx(A4908&amp;E4908,DATA!$E$3:$E$10000&amp;DATA!$B$3:$B$10000,DATA!$M$3:$M$10000),"Inactivo"))</f>
        <v/>
      </c>
      <c r="G4908" s="28" t="str">
        <f aca="false">IF(A4908="","",IF(AND(C4908&lt;&gt;"No encontrado",F4908&lt;&gt;"Inactivo"),C4908&amp;" → "&amp;F4908,"Sin transición"))</f>
        <v/>
      </c>
      <c r="H4908" s="26" t="str">
        <f aca="false">IF(A4908="","",IF(D4908="GCIA LINEA SERVICIO DIGITALIDAD Y VENTAS","Chats",IF(OR(D4908="GERENCIA INBOUND LÍNEAS SERVICIO Y VENTA",D4908="GERENCIA INBOUND LINEAS ESPECIALIZADAS"),"Llamadas","Otro")))</f>
        <v/>
      </c>
      <c r="I4908" s="26" t="str">
        <f aca="false">IF(A4908="","",IF(C4908="No encontrado","No","Sí"))</f>
        <v/>
      </c>
      <c r="J4908" s="26" t="str">
        <f aca="false">IF(A4908="","",IF(F4908="Inactivo","No","Sí"))</f>
        <v/>
      </c>
      <c r="K4908" s="26" t="str">
        <f aca="false">IF(A4908="","",IF(AND(I4908="Sí",J4908="Sí"),"Sí","No"))</f>
        <v/>
      </c>
    </row>
    <row r="4909" customFormat="false" ht="15" hidden="false" customHeight="false" outlineLevel="0" collapsed="false">
      <c r="A4909" s="22"/>
      <c r="B4909" s="22"/>
      <c r="C4909" s="23" t="str">
        <f aca="false">IF(A4909="","",IFERROR(buscarx(A4909&amp;B4909,DATA!$E$3:$E$10000&amp;DATA!$B$3:$B$10000,DATA!$M$3:$M$10000),"No encontrado"))</f>
        <v/>
      </c>
      <c r="D4909" s="24" t="str">
        <f aca="false">IF(A4909="","",IFERROR(buscarx(A4909&amp;B4909,DATA!$E$3:$E$10000&amp;DATA!$B$3:$B$10000,DATA!$W$3:$W$10000),"No encontrado"))</f>
        <v/>
      </c>
      <c r="E4909" s="22"/>
      <c r="F4909" s="23" t="str">
        <f aca="false">IF(A4909="","",IFERROR(buscarx(A4909&amp;E4909,DATA!$E$3:$E$10000&amp;DATA!$B$3:$B$10000,DATA!$M$3:$M$10000),"Inactivo"))</f>
        <v/>
      </c>
      <c r="G4909" s="25" t="str">
        <f aca="false">IF(A4909="","",IF(AND(C4909&lt;&gt;"No encontrado",F4909&lt;&gt;"Inactivo"),C4909&amp;" → "&amp;F4909,"Sin transición"))</f>
        <v/>
      </c>
      <c r="H4909" s="23" t="str">
        <f aca="false">IF(A4909="","",IF(D4909="GCIA LINEA SERVICIO DIGITALIDAD Y VENTAS","Chats",IF(OR(D4909="GERENCIA INBOUND LÍNEAS SERVICIO Y VENTA",D4909="GERENCIA INBOUND LINEAS ESPECIALIZADAS"),"Llamadas","Otro")))</f>
        <v/>
      </c>
      <c r="I4909" s="23" t="str">
        <f aca="false">IF(A4909="","",IF(C4909="No encontrado","No","Sí"))</f>
        <v/>
      </c>
      <c r="J4909" s="23" t="str">
        <f aca="false">IF(A4909="","",IF(F4909="Inactivo","No","Sí"))</f>
        <v/>
      </c>
      <c r="K4909" s="23" t="str">
        <f aca="false">IF(A4909="","",IF(AND(I4909="Sí",J4909="Sí"),"Sí","No"))</f>
        <v/>
      </c>
    </row>
    <row r="4910" customFormat="false" ht="15" hidden="false" customHeight="false" outlineLevel="0" collapsed="false">
      <c r="A4910" s="22"/>
      <c r="B4910" s="22"/>
      <c r="C4910" s="26" t="str">
        <f aca="false">IF(A4910="","",IFERROR(buscarx(A4910&amp;B4910,DATA!$E$3:$E$10000&amp;DATA!$B$3:$B$10000,DATA!$M$3:$M$10000),"No encontrado"))</f>
        <v/>
      </c>
      <c r="D4910" s="27" t="str">
        <f aca="false">IF(A4910="","",IFERROR(buscarx(A4910&amp;B4910,DATA!$E$3:$E$10000&amp;DATA!$B$3:$B$10000,DATA!$W$3:$W$10000),"No encontrado"))</f>
        <v/>
      </c>
      <c r="E4910" s="22"/>
      <c r="F4910" s="26" t="str">
        <f aca="false">IF(A4910="","",IFERROR(buscarx(A4910&amp;E4910,DATA!$E$3:$E$10000&amp;DATA!$B$3:$B$10000,DATA!$M$3:$M$10000),"Inactivo"))</f>
        <v/>
      </c>
      <c r="G4910" s="28" t="str">
        <f aca="false">IF(A4910="","",IF(AND(C4910&lt;&gt;"No encontrado",F4910&lt;&gt;"Inactivo"),C4910&amp;" → "&amp;F4910,"Sin transición"))</f>
        <v/>
      </c>
      <c r="H4910" s="26" t="str">
        <f aca="false">IF(A4910="","",IF(D4910="GCIA LINEA SERVICIO DIGITALIDAD Y VENTAS","Chats",IF(OR(D4910="GERENCIA INBOUND LÍNEAS SERVICIO Y VENTA",D4910="GERENCIA INBOUND LINEAS ESPECIALIZADAS"),"Llamadas","Otro")))</f>
        <v/>
      </c>
      <c r="I4910" s="26" t="str">
        <f aca="false">IF(A4910="","",IF(C4910="No encontrado","No","Sí"))</f>
        <v/>
      </c>
      <c r="J4910" s="26" t="str">
        <f aca="false">IF(A4910="","",IF(F4910="Inactivo","No","Sí"))</f>
        <v/>
      </c>
      <c r="K4910" s="26" t="str">
        <f aca="false">IF(A4910="","",IF(AND(I4910="Sí",J4910="Sí"),"Sí","No"))</f>
        <v/>
      </c>
    </row>
    <row r="4911" customFormat="false" ht="15" hidden="false" customHeight="false" outlineLevel="0" collapsed="false">
      <c r="A4911" s="22"/>
      <c r="B4911" s="22"/>
      <c r="C4911" s="23" t="str">
        <f aca="false">IF(A4911="","",IFERROR(buscarx(A4911&amp;B4911,DATA!$E$3:$E$10000&amp;DATA!$B$3:$B$10000,DATA!$M$3:$M$10000),"No encontrado"))</f>
        <v/>
      </c>
      <c r="D4911" s="24" t="str">
        <f aca="false">IF(A4911="","",IFERROR(buscarx(A4911&amp;B4911,DATA!$E$3:$E$10000&amp;DATA!$B$3:$B$10000,DATA!$W$3:$W$10000),"No encontrado"))</f>
        <v/>
      </c>
      <c r="E4911" s="22"/>
      <c r="F4911" s="23" t="str">
        <f aca="false">IF(A4911="","",IFERROR(buscarx(A4911&amp;E4911,DATA!$E$3:$E$10000&amp;DATA!$B$3:$B$10000,DATA!$M$3:$M$10000),"Inactivo"))</f>
        <v/>
      </c>
      <c r="G4911" s="25" t="str">
        <f aca="false">IF(A4911="","",IF(AND(C4911&lt;&gt;"No encontrado",F4911&lt;&gt;"Inactivo"),C4911&amp;" → "&amp;F4911,"Sin transición"))</f>
        <v/>
      </c>
      <c r="H4911" s="23" t="str">
        <f aca="false">IF(A4911="","",IF(D4911="GCIA LINEA SERVICIO DIGITALIDAD Y VENTAS","Chats",IF(OR(D4911="GERENCIA INBOUND LÍNEAS SERVICIO Y VENTA",D4911="GERENCIA INBOUND LINEAS ESPECIALIZADAS"),"Llamadas","Otro")))</f>
        <v/>
      </c>
      <c r="I4911" s="23" t="str">
        <f aca="false">IF(A4911="","",IF(C4911="No encontrado","No","Sí"))</f>
        <v/>
      </c>
      <c r="J4911" s="23" t="str">
        <f aca="false">IF(A4911="","",IF(F4911="Inactivo","No","Sí"))</f>
        <v/>
      </c>
      <c r="K4911" s="23" t="str">
        <f aca="false">IF(A4911="","",IF(AND(I4911="Sí",J4911="Sí"),"Sí","No"))</f>
        <v/>
      </c>
    </row>
    <row r="4912" customFormat="false" ht="15" hidden="false" customHeight="false" outlineLevel="0" collapsed="false">
      <c r="A4912" s="22"/>
      <c r="B4912" s="22"/>
      <c r="C4912" s="26" t="str">
        <f aca="false">IF(A4912="","",IFERROR(buscarx(A4912&amp;B4912,DATA!$E$3:$E$10000&amp;DATA!$B$3:$B$10000,DATA!$M$3:$M$10000),"No encontrado"))</f>
        <v/>
      </c>
      <c r="D4912" s="27" t="str">
        <f aca="false">IF(A4912="","",IFERROR(buscarx(A4912&amp;B4912,DATA!$E$3:$E$10000&amp;DATA!$B$3:$B$10000,DATA!$W$3:$W$10000),"No encontrado"))</f>
        <v/>
      </c>
      <c r="E4912" s="22"/>
      <c r="F4912" s="26" t="str">
        <f aca="false">IF(A4912="","",IFERROR(buscarx(A4912&amp;E4912,DATA!$E$3:$E$10000&amp;DATA!$B$3:$B$10000,DATA!$M$3:$M$10000),"Inactivo"))</f>
        <v/>
      </c>
      <c r="G4912" s="28" t="str">
        <f aca="false">IF(A4912="","",IF(AND(C4912&lt;&gt;"No encontrado",F4912&lt;&gt;"Inactivo"),C4912&amp;" → "&amp;F4912,"Sin transición"))</f>
        <v/>
      </c>
      <c r="H4912" s="26" t="str">
        <f aca="false">IF(A4912="","",IF(D4912="GCIA LINEA SERVICIO DIGITALIDAD Y VENTAS","Chats",IF(OR(D4912="GERENCIA INBOUND LÍNEAS SERVICIO Y VENTA",D4912="GERENCIA INBOUND LINEAS ESPECIALIZADAS"),"Llamadas","Otro")))</f>
        <v/>
      </c>
      <c r="I4912" s="26" t="str">
        <f aca="false">IF(A4912="","",IF(C4912="No encontrado","No","Sí"))</f>
        <v/>
      </c>
      <c r="J4912" s="26" t="str">
        <f aca="false">IF(A4912="","",IF(F4912="Inactivo","No","Sí"))</f>
        <v/>
      </c>
      <c r="K4912" s="26" t="str">
        <f aca="false">IF(A4912="","",IF(AND(I4912="Sí",J4912="Sí"),"Sí","No"))</f>
        <v/>
      </c>
    </row>
    <row r="4913" customFormat="false" ht="15" hidden="false" customHeight="false" outlineLevel="0" collapsed="false">
      <c r="A4913" s="22"/>
      <c r="B4913" s="22"/>
      <c r="C4913" s="23" t="str">
        <f aca="false">IF(A4913="","",IFERROR(buscarx(A4913&amp;B4913,DATA!$E$3:$E$10000&amp;DATA!$B$3:$B$10000,DATA!$M$3:$M$10000),"No encontrado"))</f>
        <v/>
      </c>
      <c r="D4913" s="24" t="str">
        <f aca="false">IF(A4913="","",IFERROR(buscarx(A4913&amp;B4913,DATA!$E$3:$E$10000&amp;DATA!$B$3:$B$10000,DATA!$W$3:$W$10000),"No encontrado"))</f>
        <v/>
      </c>
      <c r="E4913" s="22"/>
      <c r="F4913" s="23" t="str">
        <f aca="false">IF(A4913="","",IFERROR(buscarx(A4913&amp;E4913,DATA!$E$3:$E$10000&amp;DATA!$B$3:$B$10000,DATA!$M$3:$M$10000),"Inactivo"))</f>
        <v/>
      </c>
      <c r="G4913" s="25" t="str">
        <f aca="false">IF(A4913="","",IF(AND(C4913&lt;&gt;"No encontrado",F4913&lt;&gt;"Inactivo"),C4913&amp;" → "&amp;F4913,"Sin transición"))</f>
        <v/>
      </c>
      <c r="H4913" s="23" t="str">
        <f aca="false">IF(A4913="","",IF(D4913="GCIA LINEA SERVICIO DIGITALIDAD Y VENTAS","Chats",IF(OR(D4913="GERENCIA INBOUND LÍNEAS SERVICIO Y VENTA",D4913="GERENCIA INBOUND LINEAS ESPECIALIZADAS"),"Llamadas","Otro")))</f>
        <v/>
      </c>
      <c r="I4913" s="23" t="str">
        <f aca="false">IF(A4913="","",IF(C4913="No encontrado","No","Sí"))</f>
        <v/>
      </c>
      <c r="J4913" s="23" t="str">
        <f aca="false">IF(A4913="","",IF(F4913="Inactivo","No","Sí"))</f>
        <v/>
      </c>
      <c r="K4913" s="23" t="str">
        <f aca="false">IF(A4913="","",IF(AND(I4913="Sí",J4913="Sí"),"Sí","No"))</f>
        <v/>
      </c>
    </row>
    <row r="4914" customFormat="false" ht="15" hidden="false" customHeight="false" outlineLevel="0" collapsed="false">
      <c r="A4914" s="22"/>
      <c r="B4914" s="22"/>
      <c r="C4914" s="26" t="str">
        <f aca="false">IF(A4914="","",IFERROR(buscarx(A4914&amp;B4914,DATA!$E$3:$E$10000&amp;DATA!$B$3:$B$10000,DATA!$M$3:$M$10000),"No encontrado"))</f>
        <v/>
      </c>
      <c r="D4914" s="27" t="str">
        <f aca="false">IF(A4914="","",IFERROR(buscarx(A4914&amp;B4914,DATA!$E$3:$E$10000&amp;DATA!$B$3:$B$10000,DATA!$W$3:$W$10000),"No encontrado"))</f>
        <v/>
      </c>
      <c r="E4914" s="22"/>
      <c r="F4914" s="26" t="str">
        <f aca="false">IF(A4914="","",IFERROR(buscarx(A4914&amp;E4914,DATA!$E$3:$E$10000&amp;DATA!$B$3:$B$10000,DATA!$M$3:$M$10000),"Inactivo"))</f>
        <v/>
      </c>
      <c r="G4914" s="28" t="str">
        <f aca="false">IF(A4914="","",IF(AND(C4914&lt;&gt;"No encontrado",F4914&lt;&gt;"Inactivo"),C4914&amp;" → "&amp;F4914,"Sin transición"))</f>
        <v/>
      </c>
      <c r="H4914" s="26" t="str">
        <f aca="false">IF(A4914="","",IF(D4914="GCIA LINEA SERVICIO DIGITALIDAD Y VENTAS","Chats",IF(OR(D4914="GERENCIA INBOUND LÍNEAS SERVICIO Y VENTA",D4914="GERENCIA INBOUND LINEAS ESPECIALIZADAS"),"Llamadas","Otro")))</f>
        <v/>
      </c>
      <c r="I4914" s="26" t="str">
        <f aca="false">IF(A4914="","",IF(C4914="No encontrado","No","Sí"))</f>
        <v/>
      </c>
      <c r="J4914" s="26" t="str">
        <f aca="false">IF(A4914="","",IF(F4914="Inactivo","No","Sí"))</f>
        <v/>
      </c>
      <c r="K4914" s="26" t="str">
        <f aca="false">IF(A4914="","",IF(AND(I4914="Sí",J4914="Sí"),"Sí","No"))</f>
        <v/>
      </c>
    </row>
    <row r="4915" customFormat="false" ht="15" hidden="false" customHeight="false" outlineLevel="0" collapsed="false">
      <c r="A4915" s="22"/>
      <c r="B4915" s="22"/>
      <c r="C4915" s="23" t="str">
        <f aca="false">IF(A4915="","",IFERROR(buscarx(A4915&amp;B4915,DATA!$E$3:$E$10000&amp;DATA!$B$3:$B$10000,DATA!$M$3:$M$10000),"No encontrado"))</f>
        <v/>
      </c>
      <c r="D4915" s="24" t="str">
        <f aca="false">IF(A4915="","",IFERROR(buscarx(A4915&amp;B4915,DATA!$E$3:$E$10000&amp;DATA!$B$3:$B$10000,DATA!$W$3:$W$10000),"No encontrado"))</f>
        <v/>
      </c>
      <c r="E4915" s="22"/>
      <c r="F4915" s="23" t="str">
        <f aca="false">IF(A4915="","",IFERROR(buscarx(A4915&amp;E4915,DATA!$E$3:$E$10000&amp;DATA!$B$3:$B$10000,DATA!$M$3:$M$10000),"Inactivo"))</f>
        <v/>
      </c>
      <c r="G4915" s="25" t="str">
        <f aca="false">IF(A4915="","",IF(AND(C4915&lt;&gt;"No encontrado",F4915&lt;&gt;"Inactivo"),C4915&amp;" → "&amp;F4915,"Sin transición"))</f>
        <v/>
      </c>
      <c r="H4915" s="23" t="str">
        <f aca="false">IF(A4915="","",IF(D4915="GCIA LINEA SERVICIO DIGITALIDAD Y VENTAS","Chats",IF(OR(D4915="GERENCIA INBOUND LÍNEAS SERVICIO Y VENTA",D4915="GERENCIA INBOUND LINEAS ESPECIALIZADAS"),"Llamadas","Otro")))</f>
        <v/>
      </c>
      <c r="I4915" s="23" t="str">
        <f aca="false">IF(A4915="","",IF(C4915="No encontrado","No","Sí"))</f>
        <v/>
      </c>
      <c r="J4915" s="23" t="str">
        <f aca="false">IF(A4915="","",IF(F4915="Inactivo","No","Sí"))</f>
        <v/>
      </c>
      <c r="K4915" s="23" t="str">
        <f aca="false">IF(A4915="","",IF(AND(I4915="Sí",J4915="Sí"),"Sí","No"))</f>
        <v/>
      </c>
    </row>
    <row r="4916" customFormat="false" ht="15" hidden="false" customHeight="false" outlineLevel="0" collapsed="false">
      <c r="A4916" s="22"/>
      <c r="B4916" s="22"/>
      <c r="C4916" s="26" t="str">
        <f aca="false">IF(A4916="","",IFERROR(buscarx(A4916&amp;B4916,DATA!$E$3:$E$10000&amp;DATA!$B$3:$B$10000,DATA!$M$3:$M$10000),"No encontrado"))</f>
        <v/>
      </c>
      <c r="D4916" s="27" t="str">
        <f aca="false">IF(A4916="","",IFERROR(buscarx(A4916&amp;B4916,DATA!$E$3:$E$10000&amp;DATA!$B$3:$B$10000,DATA!$W$3:$W$10000),"No encontrado"))</f>
        <v/>
      </c>
      <c r="E4916" s="22"/>
      <c r="F4916" s="26" t="str">
        <f aca="false">IF(A4916="","",IFERROR(buscarx(A4916&amp;E4916,DATA!$E$3:$E$10000&amp;DATA!$B$3:$B$10000,DATA!$M$3:$M$10000),"Inactivo"))</f>
        <v/>
      </c>
      <c r="G4916" s="28" t="str">
        <f aca="false">IF(A4916="","",IF(AND(C4916&lt;&gt;"No encontrado",F4916&lt;&gt;"Inactivo"),C4916&amp;" → "&amp;F4916,"Sin transición"))</f>
        <v/>
      </c>
      <c r="H4916" s="26" t="str">
        <f aca="false">IF(A4916="","",IF(D4916="GCIA LINEA SERVICIO DIGITALIDAD Y VENTAS","Chats",IF(OR(D4916="GERENCIA INBOUND LÍNEAS SERVICIO Y VENTA",D4916="GERENCIA INBOUND LINEAS ESPECIALIZADAS"),"Llamadas","Otro")))</f>
        <v/>
      </c>
      <c r="I4916" s="26" t="str">
        <f aca="false">IF(A4916="","",IF(C4916="No encontrado","No","Sí"))</f>
        <v/>
      </c>
      <c r="J4916" s="26" t="str">
        <f aca="false">IF(A4916="","",IF(F4916="Inactivo","No","Sí"))</f>
        <v/>
      </c>
      <c r="K4916" s="26" t="str">
        <f aca="false">IF(A4916="","",IF(AND(I4916="Sí",J4916="Sí"),"Sí","No"))</f>
        <v/>
      </c>
    </row>
    <row r="4917" customFormat="false" ht="15" hidden="false" customHeight="false" outlineLevel="0" collapsed="false">
      <c r="A4917" s="22"/>
      <c r="B4917" s="22"/>
      <c r="C4917" s="23" t="str">
        <f aca="false">IF(A4917="","",IFERROR(buscarx(A4917&amp;B4917,DATA!$E$3:$E$10000&amp;DATA!$B$3:$B$10000,DATA!$M$3:$M$10000),"No encontrado"))</f>
        <v/>
      </c>
      <c r="D4917" s="24" t="str">
        <f aca="false">IF(A4917="","",IFERROR(buscarx(A4917&amp;B4917,DATA!$E$3:$E$10000&amp;DATA!$B$3:$B$10000,DATA!$W$3:$W$10000),"No encontrado"))</f>
        <v/>
      </c>
      <c r="E4917" s="22"/>
      <c r="F4917" s="23" t="str">
        <f aca="false">IF(A4917="","",IFERROR(buscarx(A4917&amp;E4917,DATA!$E$3:$E$10000&amp;DATA!$B$3:$B$10000,DATA!$M$3:$M$10000),"Inactivo"))</f>
        <v/>
      </c>
      <c r="G4917" s="25" t="str">
        <f aca="false">IF(A4917="","",IF(AND(C4917&lt;&gt;"No encontrado",F4917&lt;&gt;"Inactivo"),C4917&amp;" → "&amp;F4917,"Sin transición"))</f>
        <v/>
      </c>
      <c r="H4917" s="23" t="str">
        <f aca="false">IF(A4917="","",IF(D4917="GCIA LINEA SERVICIO DIGITALIDAD Y VENTAS","Chats",IF(OR(D4917="GERENCIA INBOUND LÍNEAS SERVICIO Y VENTA",D4917="GERENCIA INBOUND LINEAS ESPECIALIZADAS"),"Llamadas","Otro")))</f>
        <v/>
      </c>
      <c r="I4917" s="23" t="str">
        <f aca="false">IF(A4917="","",IF(C4917="No encontrado","No","Sí"))</f>
        <v/>
      </c>
      <c r="J4917" s="23" t="str">
        <f aca="false">IF(A4917="","",IF(F4917="Inactivo","No","Sí"))</f>
        <v/>
      </c>
      <c r="K4917" s="23" t="str">
        <f aca="false">IF(A4917="","",IF(AND(I4917="Sí",J4917="Sí"),"Sí","No"))</f>
        <v/>
      </c>
    </row>
    <row r="4918" customFormat="false" ht="15" hidden="false" customHeight="false" outlineLevel="0" collapsed="false">
      <c r="A4918" s="22"/>
      <c r="B4918" s="22"/>
      <c r="C4918" s="26" t="str">
        <f aca="false">IF(A4918="","",IFERROR(buscarx(A4918&amp;B4918,DATA!$E$3:$E$10000&amp;DATA!$B$3:$B$10000,DATA!$M$3:$M$10000),"No encontrado"))</f>
        <v/>
      </c>
      <c r="D4918" s="27" t="str">
        <f aca="false">IF(A4918="","",IFERROR(buscarx(A4918&amp;B4918,DATA!$E$3:$E$10000&amp;DATA!$B$3:$B$10000,DATA!$W$3:$W$10000),"No encontrado"))</f>
        <v/>
      </c>
      <c r="E4918" s="22"/>
      <c r="F4918" s="26" t="str">
        <f aca="false">IF(A4918="","",IFERROR(buscarx(A4918&amp;E4918,DATA!$E$3:$E$10000&amp;DATA!$B$3:$B$10000,DATA!$M$3:$M$10000),"Inactivo"))</f>
        <v/>
      </c>
      <c r="G4918" s="28" t="str">
        <f aca="false">IF(A4918="","",IF(AND(C4918&lt;&gt;"No encontrado",F4918&lt;&gt;"Inactivo"),C4918&amp;" → "&amp;F4918,"Sin transición"))</f>
        <v/>
      </c>
      <c r="H4918" s="26" t="str">
        <f aca="false">IF(A4918="","",IF(D4918="GCIA LINEA SERVICIO DIGITALIDAD Y VENTAS","Chats",IF(OR(D4918="GERENCIA INBOUND LÍNEAS SERVICIO Y VENTA",D4918="GERENCIA INBOUND LINEAS ESPECIALIZADAS"),"Llamadas","Otro")))</f>
        <v/>
      </c>
      <c r="I4918" s="26" t="str">
        <f aca="false">IF(A4918="","",IF(C4918="No encontrado","No","Sí"))</f>
        <v/>
      </c>
      <c r="J4918" s="26" t="str">
        <f aca="false">IF(A4918="","",IF(F4918="Inactivo","No","Sí"))</f>
        <v/>
      </c>
      <c r="K4918" s="26" t="str">
        <f aca="false">IF(A4918="","",IF(AND(I4918="Sí",J4918="Sí"),"Sí","No"))</f>
        <v/>
      </c>
    </row>
    <row r="4919" customFormat="false" ht="15" hidden="false" customHeight="false" outlineLevel="0" collapsed="false">
      <c r="A4919" s="22"/>
      <c r="B4919" s="22"/>
      <c r="C4919" s="23" t="str">
        <f aca="false">IF(A4919="","",IFERROR(buscarx(A4919&amp;B4919,DATA!$E$3:$E$10000&amp;DATA!$B$3:$B$10000,DATA!$M$3:$M$10000),"No encontrado"))</f>
        <v/>
      </c>
      <c r="D4919" s="24" t="str">
        <f aca="false">IF(A4919="","",IFERROR(buscarx(A4919&amp;B4919,DATA!$E$3:$E$10000&amp;DATA!$B$3:$B$10000,DATA!$W$3:$W$10000),"No encontrado"))</f>
        <v/>
      </c>
      <c r="E4919" s="22"/>
      <c r="F4919" s="23" t="str">
        <f aca="false">IF(A4919="","",IFERROR(buscarx(A4919&amp;E4919,DATA!$E$3:$E$10000&amp;DATA!$B$3:$B$10000,DATA!$M$3:$M$10000),"Inactivo"))</f>
        <v/>
      </c>
      <c r="G4919" s="25" t="str">
        <f aca="false">IF(A4919="","",IF(AND(C4919&lt;&gt;"No encontrado",F4919&lt;&gt;"Inactivo"),C4919&amp;" → "&amp;F4919,"Sin transición"))</f>
        <v/>
      </c>
      <c r="H4919" s="23" t="str">
        <f aca="false">IF(A4919="","",IF(D4919="GCIA LINEA SERVICIO DIGITALIDAD Y VENTAS","Chats",IF(OR(D4919="GERENCIA INBOUND LÍNEAS SERVICIO Y VENTA",D4919="GERENCIA INBOUND LINEAS ESPECIALIZADAS"),"Llamadas","Otro")))</f>
        <v/>
      </c>
      <c r="I4919" s="23" t="str">
        <f aca="false">IF(A4919="","",IF(C4919="No encontrado","No","Sí"))</f>
        <v/>
      </c>
      <c r="J4919" s="23" t="str">
        <f aca="false">IF(A4919="","",IF(F4919="Inactivo","No","Sí"))</f>
        <v/>
      </c>
      <c r="K4919" s="23" t="str">
        <f aca="false">IF(A4919="","",IF(AND(I4919="Sí",J4919="Sí"),"Sí","No"))</f>
        <v/>
      </c>
    </row>
    <row r="4920" customFormat="false" ht="15" hidden="false" customHeight="false" outlineLevel="0" collapsed="false">
      <c r="A4920" s="22"/>
      <c r="B4920" s="22"/>
      <c r="C4920" s="26" t="str">
        <f aca="false">IF(A4920="","",IFERROR(buscarx(A4920&amp;B4920,DATA!$E$3:$E$10000&amp;DATA!$B$3:$B$10000,DATA!$M$3:$M$10000),"No encontrado"))</f>
        <v/>
      </c>
      <c r="D4920" s="27" t="str">
        <f aca="false">IF(A4920="","",IFERROR(buscarx(A4920&amp;B4920,DATA!$E$3:$E$10000&amp;DATA!$B$3:$B$10000,DATA!$W$3:$W$10000),"No encontrado"))</f>
        <v/>
      </c>
      <c r="E4920" s="22"/>
      <c r="F4920" s="26" t="str">
        <f aca="false">IF(A4920="","",IFERROR(buscarx(A4920&amp;E4920,DATA!$E$3:$E$10000&amp;DATA!$B$3:$B$10000,DATA!$M$3:$M$10000),"Inactivo"))</f>
        <v/>
      </c>
      <c r="G4920" s="28" t="str">
        <f aca="false">IF(A4920="","",IF(AND(C4920&lt;&gt;"No encontrado",F4920&lt;&gt;"Inactivo"),C4920&amp;" → "&amp;F4920,"Sin transición"))</f>
        <v/>
      </c>
      <c r="H4920" s="26" t="str">
        <f aca="false">IF(A4920="","",IF(D4920="GCIA LINEA SERVICIO DIGITALIDAD Y VENTAS","Chats",IF(OR(D4920="GERENCIA INBOUND LÍNEAS SERVICIO Y VENTA",D4920="GERENCIA INBOUND LINEAS ESPECIALIZADAS"),"Llamadas","Otro")))</f>
        <v/>
      </c>
      <c r="I4920" s="26" t="str">
        <f aca="false">IF(A4920="","",IF(C4920="No encontrado","No","Sí"))</f>
        <v/>
      </c>
      <c r="J4920" s="26" t="str">
        <f aca="false">IF(A4920="","",IF(F4920="Inactivo","No","Sí"))</f>
        <v/>
      </c>
      <c r="K4920" s="26" t="str">
        <f aca="false">IF(A4920="","",IF(AND(I4920="Sí",J4920="Sí"),"Sí","No"))</f>
        <v/>
      </c>
    </row>
    <row r="4921" customFormat="false" ht="15" hidden="false" customHeight="false" outlineLevel="0" collapsed="false">
      <c r="A4921" s="22"/>
      <c r="B4921" s="22"/>
      <c r="C4921" s="23" t="str">
        <f aca="false">IF(A4921="","",IFERROR(buscarx(A4921&amp;B4921,DATA!$E$3:$E$10000&amp;DATA!$B$3:$B$10000,DATA!$M$3:$M$10000),"No encontrado"))</f>
        <v/>
      </c>
      <c r="D4921" s="24" t="str">
        <f aca="false">IF(A4921="","",IFERROR(buscarx(A4921&amp;B4921,DATA!$E$3:$E$10000&amp;DATA!$B$3:$B$10000,DATA!$W$3:$W$10000),"No encontrado"))</f>
        <v/>
      </c>
      <c r="E4921" s="22"/>
      <c r="F4921" s="23" t="str">
        <f aca="false">IF(A4921="","",IFERROR(buscarx(A4921&amp;E4921,DATA!$E$3:$E$10000&amp;DATA!$B$3:$B$10000,DATA!$M$3:$M$10000),"Inactivo"))</f>
        <v/>
      </c>
      <c r="G4921" s="25" t="str">
        <f aca="false">IF(A4921="","",IF(AND(C4921&lt;&gt;"No encontrado",F4921&lt;&gt;"Inactivo"),C4921&amp;" → "&amp;F4921,"Sin transición"))</f>
        <v/>
      </c>
      <c r="H4921" s="23" t="str">
        <f aca="false">IF(A4921="","",IF(D4921="GCIA LINEA SERVICIO DIGITALIDAD Y VENTAS","Chats",IF(OR(D4921="GERENCIA INBOUND LÍNEAS SERVICIO Y VENTA",D4921="GERENCIA INBOUND LINEAS ESPECIALIZADAS"),"Llamadas","Otro")))</f>
        <v/>
      </c>
      <c r="I4921" s="23" t="str">
        <f aca="false">IF(A4921="","",IF(C4921="No encontrado","No","Sí"))</f>
        <v/>
      </c>
      <c r="J4921" s="23" t="str">
        <f aca="false">IF(A4921="","",IF(F4921="Inactivo","No","Sí"))</f>
        <v/>
      </c>
      <c r="K4921" s="23" t="str">
        <f aca="false">IF(A4921="","",IF(AND(I4921="Sí",J4921="Sí"),"Sí","No"))</f>
        <v/>
      </c>
    </row>
    <row r="4922" customFormat="false" ht="15" hidden="false" customHeight="false" outlineLevel="0" collapsed="false">
      <c r="A4922" s="22"/>
      <c r="B4922" s="22"/>
      <c r="C4922" s="26" t="str">
        <f aca="false">IF(A4922="","",IFERROR(buscarx(A4922&amp;B4922,DATA!$E$3:$E$10000&amp;DATA!$B$3:$B$10000,DATA!$M$3:$M$10000),"No encontrado"))</f>
        <v/>
      </c>
      <c r="D4922" s="27" t="str">
        <f aca="false">IF(A4922="","",IFERROR(buscarx(A4922&amp;B4922,DATA!$E$3:$E$10000&amp;DATA!$B$3:$B$10000,DATA!$W$3:$W$10000),"No encontrado"))</f>
        <v/>
      </c>
      <c r="E4922" s="22"/>
      <c r="F4922" s="26" t="str">
        <f aca="false">IF(A4922="","",IFERROR(buscarx(A4922&amp;E4922,DATA!$E$3:$E$10000&amp;DATA!$B$3:$B$10000,DATA!$M$3:$M$10000),"Inactivo"))</f>
        <v/>
      </c>
      <c r="G4922" s="28" t="str">
        <f aca="false">IF(A4922="","",IF(AND(C4922&lt;&gt;"No encontrado",F4922&lt;&gt;"Inactivo"),C4922&amp;" → "&amp;F4922,"Sin transición"))</f>
        <v/>
      </c>
      <c r="H4922" s="26" t="str">
        <f aca="false">IF(A4922="","",IF(D4922="GCIA LINEA SERVICIO DIGITALIDAD Y VENTAS","Chats",IF(OR(D4922="GERENCIA INBOUND LÍNEAS SERVICIO Y VENTA",D4922="GERENCIA INBOUND LINEAS ESPECIALIZADAS"),"Llamadas","Otro")))</f>
        <v/>
      </c>
      <c r="I4922" s="26" t="str">
        <f aca="false">IF(A4922="","",IF(C4922="No encontrado","No","Sí"))</f>
        <v/>
      </c>
      <c r="J4922" s="26" t="str">
        <f aca="false">IF(A4922="","",IF(F4922="Inactivo","No","Sí"))</f>
        <v/>
      </c>
      <c r="K4922" s="26" t="str">
        <f aca="false">IF(A4922="","",IF(AND(I4922="Sí",J4922="Sí"),"Sí","No"))</f>
        <v/>
      </c>
    </row>
    <row r="4923" customFormat="false" ht="15" hidden="false" customHeight="false" outlineLevel="0" collapsed="false">
      <c r="A4923" s="22"/>
      <c r="B4923" s="22"/>
      <c r="C4923" s="23" t="str">
        <f aca="false">IF(A4923="","",IFERROR(buscarx(A4923&amp;B4923,DATA!$E$3:$E$10000&amp;DATA!$B$3:$B$10000,DATA!$M$3:$M$10000),"No encontrado"))</f>
        <v/>
      </c>
      <c r="D4923" s="24" t="str">
        <f aca="false">IF(A4923="","",IFERROR(buscarx(A4923&amp;B4923,DATA!$E$3:$E$10000&amp;DATA!$B$3:$B$10000,DATA!$W$3:$W$10000),"No encontrado"))</f>
        <v/>
      </c>
      <c r="E4923" s="22"/>
      <c r="F4923" s="23" t="str">
        <f aca="false">IF(A4923="","",IFERROR(buscarx(A4923&amp;E4923,DATA!$E$3:$E$10000&amp;DATA!$B$3:$B$10000,DATA!$M$3:$M$10000),"Inactivo"))</f>
        <v/>
      </c>
      <c r="G4923" s="25" t="str">
        <f aca="false">IF(A4923="","",IF(AND(C4923&lt;&gt;"No encontrado",F4923&lt;&gt;"Inactivo"),C4923&amp;" → "&amp;F4923,"Sin transición"))</f>
        <v/>
      </c>
      <c r="H4923" s="23" t="str">
        <f aca="false">IF(A4923="","",IF(D4923="GCIA LINEA SERVICIO DIGITALIDAD Y VENTAS","Chats",IF(OR(D4923="GERENCIA INBOUND LÍNEAS SERVICIO Y VENTA",D4923="GERENCIA INBOUND LINEAS ESPECIALIZADAS"),"Llamadas","Otro")))</f>
        <v/>
      </c>
      <c r="I4923" s="23" t="str">
        <f aca="false">IF(A4923="","",IF(C4923="No encontrado","No","Sí"))</f>
        <v/>
      </c>
      <c r="J4923" s="23" t="str">
        <f aca="false">IF(A4923="","",IF(F4923="Inactivo","No","Sí"))</f>
        <v/>
      </c>
      <c r="K4923" s="23" t="str">
        <f aca="false">IF(A4923="","",IF(AND(I4923="Sí",J4923="Sí"),"Sí","No"))</f>
        <v/>
      </c>
    </row>
    <row r="4924" customFormat="false" ht="15" hidden="false" customHeight="false" outlineLevel="0" collapsed="false">
      <c r="A4924" s="22"/>
      <c r="B4924" s="22"/>
      <c r="C4924" s="26" t="str">
        <f aca="false">IF(A4924="","",IFERROR(buscarx(A4924&amp;B4924,DATA!$E$3:$E$10000&amp;DATA!$B$3:$B$10000,DATA!$M$3:$M$10000),"No encontrado"))</f>
        <v/>
      </c>
      <c r="D4924" s="27" t="str">
        <f aca="false">IF(A4924="","",IFERROR(buscarx(A4924&amp;B4924,DATA!$E$3:$E$10000&amp;DATA!$B$3:$B$10000,DATA!$W$3:$W$10000),"No encontrado"))</f>
        <v/>
      </c>
      <c r="E4924" s="22"/>
      <c r="F4924" s="26" t="str">
        <f aca="false">IF(A4924="","",IFERROR(buscarx(A4924&amp;E4924,DATA!$E$3:$E$10000&amp;DATA!$B$3:$B$10000,DATA!$M$3:$M$10000),"Inactivo"))</f>
        <v/>
      </c>
      <c r="G4924" s="28" t="str">
        <f aca="false">IF(A4924="","",IF(AND(C4924&lt;&gt;"No encontrado",F4924&lt;&gt;"Inactivo"),C4924&amp;" → "&amp;F4924,"Sin transición"))</f>
        <v/>
      </c>
      <c r="H4924" s="26" t="str">
        <f aca="false">IF(A4924="","",IF(D4924="GCIA LINEA SERVICIO DIGITALIDAD Y VENTAS","Chats",IF(OR(D4924="GERENCIA INBOUND LÍNEAS SERVICIO Y VENTA",D4924="GERENCIA INBOUND LINEAS ESPECIALIZADAS"),"Llamadas","Otro")))</f>
        <v/>
      </c>
      <c r="I4924" s="26" t="str">
        <f aca="false">IF(A4924="","",IF(C4924="No encontrado","No","Sí"))</f>
        <v/>
      </c>
      <c r="J4924" s="26" t="str">
        <f aca="false">IF(A4924="","",IF(F4924="Inactivo","No","Sí"))</f>
        <v/>
      </c>
      <c r="K4924" s="26" t="str">
        <f aca="false">IF(A4924="","",IF(AND(I4924="Sí",J4924="Sí"),"Sí","No"))</f>
        <v/>
      </c>
    </row>
    <row r="4925" customFormat="false" ht="15" hidden="false" customHeight="false" outlineLevel="0" collapsed="false">
      <c r="A4925" s="22"/>
      <c r="B4925" s="22"/>
      <c r="C4925" s="23" t="str">
        <f aca="false">IF(A4925="","",IFERROR(buscarx(A4925&amp;B4925,DATA!$E$3:$E$10000&amp;DATA!$B$3:$B$10000,DATA!$M$3:$M$10000),"No encontrado"))</f>
        <v/>
      </c>
      <c r="D4925" s="24" t="str">
        <f aca="false">IF(A4925="","",IFERROR(buscarx(A4925&amp;B4925,DATA!$E$3:$E$10000&amp;DATA!$B$3:$B$10000,DATA!$W$3:$W$10000),"No encontrado"))</f>
        <v/>
      </c>
      <c r="E4925" s="22"/>
      <c r="F4925" s="23" t="str">
        <f aca="false">IF(A4925="","",IFERROR(buscarx(A4925&amp;E4925,DATA!$E$3:$E$10000&amp;DATA!$B$3:$B$10000,DATA!$M$3:$M$10000),"Inactivo"))</f>
        <v/>
      </c>
      <c r="G4925" s="25" t="str">
        <f aca="false">IF(A4925="","",IF(AND(C4925&lt;&gt;"No encontrado",F4925&lt;&gt;"Inactivo"),C4925&amp;" → "&amp;F4925,"Sin transición"))</f>
        <v/>
      </c>
      <c r="H4925" s="23" t="str">
        <f aca="false">IF(A4925="","",IF(D4925="GCIA LINEA SERVICIO DIGITALIDAD Y VENTAS","Chats",IF(OR(D4925="GERENCIA INBOUND LÍNEAS SERVICIO Y VENTA",D4925="GERENCIA INBOUND LINEAS ESPECIALIZADAS"),"Llamadas","Otro")))</f>
        <v/>
      </c>
      <c r="I4925" s="23" t="str">
        <f aca="false">IF(A4925="","",IF(C4925="No encontrado","No","Sí"))</f>
        <v/>
      </c>
      <c r="J4925" s="23" t="str">
        <f aca="false">IF(A4925="","",IF(F4925="Inactivo","No","Sí"))</f>
        <v/>
      </c>
      <c r="K4925" s="23" t="str">
        <f aca="false">IF(A4925="","",IF(AND(I4925="Sí",J4925="Sí"),"Sí","No"))</f>
        <v/>
      </c>
    </row>
    <row r="4926" customFormat="false" ht="15" hidden="false" customHeight="false" outlineLevel="0" collapsed="false">
      <c r="A4926" s="22"/>
      <c r="B4926" s="22"/>
      <c r="C4926" s="26" t="str">
        <f aca="false">IF(A4926="","",IFERROR(buscarx(A4926&amp;B4926,DATA!$E$3:$E$10000&amp;DATA!$B$3:$B$10000,DATA!$M$3:$M$10000),"No encontrado"))</f>
        <v/>
      </c>
      <c r="D4926" s="27" t="str">
        <f aca="false">IF(A4926="","",IFERROR(buscarx(A4926&amp;B4926,DATA!$E$3:$E$10000&amp;DATA!$B$3:$B$10000,DATA!$W$3:$W$10000),"No encontrado"))</f>
        <v/>
      </c>
      <c r="E4926" s="22"/>
      <c r="F4926" s="26" t="str">
        <f aca="false">IF(A4926="","",IFERROR(buscarx(A4926&amp;E4926,DATA!$E$3:$E$10000&amp;DATA!$B$3:$B$10000,DATA!$M$3:$M$10000),"Inactivo"))</f>
        <v/>
      </c>
      <c r="G4926" s="28" t="str">
        <f aca="false">IF(A4926="","",IF(AND(C4926&lt;&gt;"No encontrado",F4926&lt;&gt;"Inactivo"),C4926&amp;" → "&amp;F4926,"Sin transición"))</f>
        <v/>
      </c>
      <c r="H4926" s="26" t="str">
        <f aca="false">IF(A4926="","",IF(D4926="GCIA LINEA SERVICIO DIGITALIDAD Y VENTAS","Chats",IF(OR(D4926="GERENCIA INBOUND LÍNEAS SERVICIO Y VENTA",D4926="GERENCIA INBOUND LINEAS ESPECIALIZADAS"),"Llamadas","Otro")))</f>
        <v/>
      </c>
      <c r="I4926" s="26" t="str">
        <f aca="false">IF(A4926="","",IF(C4926="No encontrado","No","Sí"))</f>
        <v/>
      </c>
      <c r="J4926" s="26" t="str">
        <f aca="false">IF(A4926="","",IF(F4926="Inactivo","No","Sí"))</f>
        <v/>
      </c>
      <c r="K4926" s="26" t="str">
        <f aca="false">IF(A4926="","",IF(AND(I4926="Sí",J4926="Sí"),"Sí","No"))</f>
        <v/>
      </c>
    </row>
    <row r="4927" customFormat="false" ht="15" hidden="false" customHeight="false" outlineLevel="0" collapsed="false">
      <c r="A4927" s="22"/>
      <c r="B4927" s="22"/>
      <c r="C4927" s="23" t="str">
        <f aca="false">IF(A4927="","",IFERROR(buscarx(A4927&amp;B4927,DATA!$E$3:$E$10000&amp;DATA!$B$3:$B$10000,DATA!$M$3:$M$10000),"No encontrado"))</f>
        <v/>
      </c>
      <c r="D4927" s="24" t="str">
        <f aca="false">IF(A4927="","",IFERROR(buscarx(A4927&amp;B4927,DATA!$E$3:$E$10000&amp;DATA!$B$3:$B$10000,DATA!$W$3:$W$10000),"No encontrado"))</f>
        <v/>
      </c>
      <c r="E4927" s="22"/>
      <c r="F4927" s="23" t="str">
        <f aca="false">IF(A4927="","",IFERROR(buscarx(A4927&amp;E4927,DATA!$E$3:$E$10000&amp;DATA!$B$3:$B$10000,DATA!$M$3:$M$10000),"Inactivo"))</f>
        <v/>
      </c>
      <c r="G4927" s="25" t="str">
        <f aca="false">IF(A4927="","",IF(AND(C4927&lt;&gt;"No encontrado",F4927&lt;&gt;"Inactivo"),C4927&amp;" → "&amp;F4927,"Sin transición"))</f>
        <v/>
      </c>
      <c r="H4927" s="23" t="str">
        <f aca="false">IF(A4927="","",IF(D4927="GCIA LINEA SERVICIO DIGITALIDAD Y VENTAS","Chats",IF(OR(D4927="GERENCIA INBOUND LÍNEAS SERVICIO Y VENTA",D4927="GERENCIA INBOUND LINEAS ESPECIALIZADAS"),"Llamadas","Otro")))</f>
        <v/>
      </c>
      <c r="I4927" s="23" t="str">
        <f aca="false">IF(A4927="","",IF(C4927="No encontrado","No","Sí"))</f>
        <v/>
      </c>
      <c r="J4927" s="23" t="str">
        <f aca="false">IF(A4927="","",IF(F4927="Inactivo","No","Sí"))</f>
        <v/>
      </c>
      <c r="K4927" s="23" t="str">
        <f aca="false">IF(A4927="","",IF(AND(I4927="Sí",J4927="Sí"),"Sí","No"))</f>
        <v/>
      </c>
    </row>
    <row r="4928" customFormat="false" ht="15" hidden="false" customHeight="false" outlineLevel="0" collapsed="false">
      <c r="A4928" s="22"/>
      <c r="B4928" s="22"/>
      <c r="C4928" s="26" t="str">
        <f aca="false">IF(A4928="","",IFERROR(buscarx(A4928&amp;B4928,DATA!$E$3:$E$10000&amp;DATA!$B$3:$B$10000,DATA!$M$3:$M$10000),"No encontrado"))</f>
        <v/>
      </c>
      <c r="D4928" s="27" t="str">
        <f aca="false">IF(A4928="","",IFERROR(buscarx(A4928&amp;B4928,DATA!$E$3:$E$10000&amp;DATA!$B$3:$B$10000,DATA!$W$3:$W$10000),"No encontrado"))</f>
        <v/>
      </c>
      <c r="E4928" s="22"/>
      <c r="F4928" s="26" t="str">
        <f aca="false">IF(A4928="","",IFERROR(buscarx(A4928&amp;E4928,DATA!$E$3:$E$10000&amp;DATA!$B$3:$B$10000,DATA!$M$3:$M$10000),"Inactivo"))</f>
        <v/>
      </c>
      <c r="G4928" s="28" t="str">
        <f aca="false">IF(A4928="","",IF(AND(C4928&lt;&gt;"No encontrado",F4928&lt;&gt;"Inactivo"),C4928&amp;" → "&amp;F4928,"Sin transición"))</f>
        <v/>
      </c>
      <c r="H4928" s="26" t="str">
        <f aca="false">IF(A4928="","",IF(D4928="GCIA LINEA SERVICIO DIGITALIDAD Y VENTAS","Chats",IF(OR(D4928="GERENCIA INBOUND LÍNEAS SERVICIO Y VENTA",D4928="GERENCIA INBOUND LINEAS ESPECIALIZADAS"),"Llamadas","Otro")))</f>
        <v/>
      </c>
      <c r="I4928" s="26" t="str">
        <f aca="false">IF(A4928="","",IF(C4928="No encontrado","No","Sí"))</f>
        <v/>
      </c>
      <c r="J4928" s="26" t="str">
        <f aca="false">IF(A4928="","",IF(F4928="Inactivo","No","Sí"))</f>
        <v/>
      </c>
      <c r="K4928" s="26" t="str">
        <f aca="false">IF(A4928="","",IF(AND(I4928="Sí",J4928="Sí"),"Sí","No"))</f>
        <v/>
      </c>
    </row>
    <row r="4929" customFormat="false" ht="15" hidden="false" customHeight="false" outlineLevel="0" collapsed="false">
      <c r="A4929" s="22"/>
      <c r="B4929" s="22"/>
      <c r="C4929" s="23" t="str">
        <f aca="false">IF(A4929="","",IFERROR(buscarx(A4929&amp;B4929,DATA!$E$3:$E$10000&amp;DATA!$B$3:$B$10000,DATA!$M$3:$M$10000),"No encontrado"))</f>
        <v/>
      </c>
      <c r="D4929" s="24" t="str">
        <f aca="false">IF(A4929="","",IFERROR(buscarx(A4929&amp;B4929,DATA!$E$3:$E$10000&amp;DATA!$B$3:$B$10000,DATA!$W$3:$W$10000),"No encontrado"))</f>
        <v/>
      </c>
      <c r="E4929" s="22"/>
      <c r="F4929" s="23" t="str">
        <f aca="false">IF(A4929="","",IFERROR(buscarx(A4929&amp;E4929,DATA!$E$3:$E$10000&amp;DATA!$B$3:$B$10000,DATA!$M$3:$M$10000),"Inactivo"))</f>
        <v/>
      </c>
      <c r="G4929" s="25" t="str">
        <f aca="false">IF(A4929="","",IF(AND(C4929&lt;&gt;"No encontrado",F4929&lt;&gt;"Inactivo"),C4929&amp;" → "&amp;F4929,"Sin transición"))</f>
        <v/>
      </c>
      <c r="H4929" s="23" t="str">
        <f aca="false">IF(A4929="","",IF(D4929="GCIA LINEA SERVICIO DIGITALIDAD Y VENTAS","Chats",IF(OR(D4929="GERENCIA INBOUND LÍNEAS SERVICIO Y VENTA",D4929="GERENCIA INBOUND LINEAS ESPECIALIZADAS"),"Llamadas","Otro")))</f>
        <v/>
      </c>
      <c r="I4929" s="23" t="str">
        <f aca="false">IF(A4929="","",IF(C4929="No encontrado","No","Sí"))</f>
        <v/>
      </c>
      <c r="J4929" s="23" t="str">
        <f aca="false">IF(A4929="","",IF(F4929="Inactivo","No","Sí"))</f>
        <v/>
      </c>
      <c r="K4929" s="23" t="str">
        <f aca="false">IF(A4929="","",IF(AND(I4929="Sí",J4929="Sí"),"Sí","No"))</f>
        <v/>
      </c>
    </row>
    <row r="4930" customFormat="false" ht="15" hidden="false" customHeight="false" outlineLevel="0" collapsed="false">
      <c r="A4930" s="22"/>
      <c r="B4930" s="22"/>
      <c r="C4930" s="26" t="str">
        <f aca="false">IF(A4930="","",IFERROR(buscarx(A4930&amp;B4930,DATA!$E$3:$E$10000&amp;DATA!$B$3:$B$10000,DATA!$M$3:$M$10000),"No encontrado"))</f>
        <v/>
      </c>
      <c r="D4930" s="27" t="str">
        <f aca="false">IF(A4930="","",IFERROR(buscarx(A4930&amp;B4930,DATA!$E$3:$E$10000&amp;DATA!$B$3:$B$10000,DATA!$W$3:$W$10000),"No encontrado"))</f>
        <v/>
      </c>
      <c r="E4930" s="22"/>
      <c r="F4930" s="26" t="str">
        <f aca="false">IF(A4930="","",IFERROR(buscarx(A4930&amp;E4930,DATA!$E$3:$E$10000&amp;DATA!$B$3:$B$10000,DATA!$M$3:$M$10000),"Inactivo"))</f>
        <v/>
      </c>
      <c r="G4930" s="28" t="str">
        <f aca="false">IF(A4930="","",IF(AND(C4930&lt;&gt;"No encontrado",F4930&lt;&gt;"Inactivo"),C4930&amp;" → "&amp;F4930,"Sin transición"))</f>
        <v/>
      </c>
      <c r="H4930" s="26" t="str">
        <f aca="false">IF(A4930="","",IF(D4930="GCIA LINEA SERVICIO DIGITALIDAD Y VENTAS","Chats",IF(OR(D4930="GERENCIA INBOUND LÍNEAS SERVICIO Y VENTA",D4930="GERENCIA INBOUND LINEAS ESPECIALIZADAS"),"Llamadas","Otro")))</f>
        <v/>
      </c>
      <c r="I4930" s="26" t="str">
        <f aca="false">IF(A4930="","",IF(C4930="No encontrado","No","Sí"))</f>
        <v/>
      </c>
      <c r="J4930" s="26" t="str">
        <f aca="false">IF(A4930="","",IF(F4930="Inactivo","No","Sí"))</f>
        <v/>
      </c>
      <c r="K4930" s="26" t="str">
        <f aca="false">IF(A4930="","",IF(AND(I4930="Sí",J4930="Sí"),"Sí","No"))</f>
        <v/>
      </c>
    </row>
    <row r="4931" customFormat="false" ht="15" hidden="false" customHeight="false" outlineLevel="0" collapsed="false">
      <c r="A4931" s="22"/>
      <c r="B4931" s="22"/>
      <c r="C4931" s="23" t="str">
        <f aca="false">IF(A4931="","",IFERROR(buscarx(A4931&amp;B4931,DATA!$E$3:$E$10000&amp;DATA!$B$3:$B$10000,DATA!$M$3:$M$10000),"No encontrado"))</f>
        <v/>
      </c>
      <c r="D4931" s="24" t="str">
        <f aca="false">IF(A4931="","",IFERROR(buscarx(A4931&amp;B4931,DATA!$E$3:$E$10000&amp;DATA!$B$3:$B$10000,DATA!$W$3:$W$10000),"No encontrado"))</f>
        <v/>
      </c>
      <c r="E4931" s="22"/>
      <c r="F4931" s="23" t="str">
        <f aca="false">IF(A4931="","",IFERROR(buscarx(A4931&amp;E4931,DATA!$E$3:$E$10000&amp;DATA!$B$3:$B$10000,DATA!$M$3:$M$10000),"Inactivo"))</f>
        <v/>
      </c>
      <c r="G4931" s="25" t="str">
        <f aca="false">IF(A4931="","",IF(AND(C4931&lt;&gt;"No encontrado",F4931&lt;&gt;"Inactivo"),C4931&amp;" → "&amp;F4931,"Sin transición"))</f>
        <v/>
      </c>
      <c r="H4931" s="23" t="str">
        <f aca="false">IF(A4931="","",IF(D4931="GCIA LINEA SERVICIO DIGITALIDAD Y VENTAS","Chats",IF(OR(D4931="GERENCIA INBOUND LÍNEAS SERVICIO Y VENTA",D4931="GERENCIA INBOUND LINEAS ESPECIALIZADAS"),"Llamadas","Otro")))</f>
        <v/>
      </c>
      <c r="I4931" s="23" t="str">
        <f aca="false">IF(A4931="","",IF(C4931="No encontrado","No","Sí"))</f>
        <v/>
      </c>
      <c r="J4931" s="23" t="str">
        <f aca="false">IF(A4931="","",IF(F4931="Inactivo","No","Sí"))</f>
        <v/>
      </c>
      <c r="K4931" s="23" t="str">
        <f aca="false">IF(A4931="","",IF(AND(I4931="Sí",J4931="Sí"),"Sí","No"))</f>
        <v/>
      </c>
    </row>
    <row r="4932" customFormat="false" ht="15" hidden="false" customHeight="false" outlineLevel="0" collapsed="false">
      <c r="A4932" s="22"/>
      <c r="B4932" s="22"/>
      <c r="C4932" s="26" t="str">
        <f aca="false">IF(A4932="","",IFERROR(buscarx(A4932&amp;B4932,DATA!$E$3:$E$10000&amp;DATA!$B$3:$B$10000,DATA!$M$3:$M$10000),"No encontrado"))</f>
        <v/>
      </c>
      <c r="D4932" s="27" t="str">
        <f aca="false">IF(A4932="","",IFERROR(buscarx(A4932&amp;B4932,DATA!$E$3:$E$10000&amp;DATA!$B$3:$B$10000,DATA!$W$3:$W$10000),"No encontrado"))</f>
        <v/>
      </c>
      <c r="E4932" s="22"/>
      <c r="F4932" s="26" t="str">
        <f aca="false">IF(A4932="","",IFERROR(buscarx(A4932&amp;E4932,DATA!$E$3:$E$10000&amp;DATA!$B$3:$B$10000,DATA!$M$3:$M$10000),"Inactivo"))</f>
        <v/>
      </c>
      <c r="G4932" s="28" t="str">
        <f aca="false">IF(A4932="","",IF(AND(C4932&lt;&gt;"No encontrado",F4932&lt;&gt;"Inactivo"),C4932&amp;" → "&amp;F4932,"Sin transición"))</f>
        <v/>
      </c>
      <c r="H4932" s="26" t="str">
        <f aca="false">IF(A4932="","",IF(D4932="GCIA LINEA SERVICIO DIGITALIDAD Y VENTAS","Chats",IF(OR(D4932="GERENCIA INBOUND LÍNEAS SERVICIO Y VENTA",D4932="GERENCIA INBOUND LINEAS ESPECIALIZADAS"),"Llamadas","Otro")))</f>
        <v/>
      </c>
      <c r="I4932" s="26" t="str">
        <f aca="false">IF(A4932="","",IF(C4932="No encontrado","No","Sí"))</f>
        <v/>
      </c>
      <c r="J4932" s="26" t="str">
        <f aca="false">IF(A4932="","",IF(F4932="Inactivo","No","Sí"))</f>
        <v/>
      </c>
      <c r="K4932" s="26" t="str">
        <f aca="false">IF(A4932="","",IF(AND(I4932="Sí",J4932="Sí"),"Sí","No"))</f>
        <v/>
      </c>
    </row>
    <row r="4933" customFormat="false" ht="15" hidden="false" customHeight="false" outlineLevel="0" collapsed="false">
      <c r="A4933" s="22"/>
      <c r="B4933" s="22"/>
      <c r="C4933" s="23" t="str">
        <f aca="false">IF(A4933="","",IFERROR(buscarx(A4933&amp;B4933,DATA!$E$3:$E$10000&amp;DATA!$B$3:$B$10000,DATA!$M$3:$M$10000),"No encontrado"))</f>
        <v/>
      </c>
      <c r="D4933" s="24" t="str">
        <f aca="false">IF(A4933="","",IFERROR(buscarx(A4933&amp;B4933,DATA!$E$3:$E$10000&amp;DATA!$B$3:$B$10000,DATA!$W$3:$W$10000),"No encontrado"))</f>
        <v/>
      </c>
      <c r="E4933" s="22"/>
      <c r="F4933" s="23" t="str">
        <f aca="false">IF(A4933="","",IFERROR(buscarx(A4933&amp;E4933,DATA!$E$3:$E$10000&amp;DATA!$B$3:$B$10000,DATA!$M$3:$M$10000),"Inactivo"))</f>
        <v/>
      </c>
      <c r="G4933" s="25" t="str">
        <f aca="false">IF(A4933="","",IF(AND(C4933&lt;&gt;"No encontrado",F4933&lt;&gt;"Inactivo"),C4933&amp;" → "&amp;F4933,"Sin transición"))</f>
        <v/>
      </c>
      <c r="H4933" s="23" t="str">
        <f aca="false">IF(A4933="","",IF(D4933="GCIA LINEA SERVICIO DIGITALIDAD Y VENTAS","Chats",IF(OR(D4933="GERENCIA INBOUND LÍNEAS SERVICIO Y VENTA",D4933="GERENCIA INBOUND LINEAS ESPECIALIZADAS"),"Llamadas","Otro")))</f>
        <v/>
      </c>
      <c r="I4933" s="23" t="str">
        <f aca="false">IF(A4933="","",IF(C4933="No encontrado","No","Sí"))</f>
        <v/>
      </c>
      <c r="J4933" s="23" t="str">
        <f aca="false">IF(A4933="","",IF(F4933="Inactivo","No","Sí"))</f>
        <v/>
      </c>
      <c r="K4933" s="23" t="str">
        <f aca="false">IF(A4933="","",IF(AND(I4933="Sí",J4933="Sí"),"Sí","No"))</f>
        <v/>
      </c>
    </row>
    <row r="4934" customFormat="false" ht="15" hidden="false" customHeight="false" outlineLevel="0" collapsed="false">
      <c r="A4934" s="22"/>
      <c r="B4934" s="22"/>
      <c r="C4934" s="26" t="str">
        <f aca="false">IF(A4934="","",IFERROR(buscarx(A4934&amp;B4934,DATA!$E$3:$E$10000&amp;DATA!$B$3:$B$10000,DATA!$M$3:$M$10000),"No encontrado"))</f>
        <v/>
      </c>
      <c r="D4934" s="27" t="str">
        <f aca="false">IF(A4934="","",IFERROR(buscarx(A4934&amp;B4934,DATA!$E$3:$E$10000&amp;DATA!$B$3:$B$10000,DATA!$W$3:$W$10000),"No encontrado"))</f>
        <v/>
      </c>
      <c r="E4934" s="22"/>
      <c r="F4934" s="26" t="str">
        <f aca="false">IF(A4934="","",IFERROR(buscarx(A4934&amp;E4934,DATA!$E$3:$E$10000&amp;DATA!$B$3:$B$10000,DATA!$M$3:$M$10000),"Inactivo"))</f>
        <v/>
      </c>
      <c r="G4934" s="28" t="str">
        <f aca="false">IF(A4934="","",IF(AND(C4934&lt;&gt;"No encontrado",F4934&lt;&gt;"Inactivo"),C4934&amp;" → "&amp;F4934,"Sin transición"))</f>
        <v/>
      </c>
      <c r="H4934" s="26" t="str">
        <f aca="false">IF(A4934="","",IF(D4934="GCIA LINEA SERVICIO DIGITALIDAD Y VENTAS","Chats",IF(OR(D4934="GERENCIA INBOUND LÍNEAS SERVICIO Y VENTA",D4934="GERENCIA INBOUND LINEAS ESPECIALIZADAS"),"Llamadas","Otro")))</f>
        <v/>
      </c>
      <c r="I4934" s="26" t="str">
        <f aca="false">IF(A4934="","",IF(C4934="No encontrado","No","Sí"))</f>
        <v/>
      </c>
      <c r="J4934" s="26" t="str">
        <f aca="false">IF(A4934="","",IF(F4934="Inactivo","No","Sí"))</f>
        <v/>
      </c>
      <c r="K4934" s="26" t="str">
        <f aca="false">IF(A4934="","",IF(AND(I4934="Sí",J4934="Sí"),"Sí","No"))</f>
        <v/>
      </c>
    </row>
    <row r="4935" customFormat="false" ht="15" hidden="false" customHeight="false" outlineLevel="0" collapsed="false">
      <c r="A4935" s="22"/>
      <c r="B4935" s="22"/>
      <c r="C4935" s="23" t="str">
        <f aca="false">IF(A4935="","",IFERROR(buscarx(A4935&amp;B4935,DATA!$E$3:$E$10000&amp;DATA!$B$3:$B$10000,DATA!$M$3:$M$10000),"No encontrado"))</f>
        <v/>
      </c>
      <c r="D4935" s="24" t="str">
        <f aca="false">IF(A4935="","",IFERROR(buscarx(A4935&amp;B4935,DATA!$E$3:$E$10000&amp;DATA!$B$3:$B$10000,DATA!$W$3:$W$10000),"No encontrado"))</f>
        <v/>
      </c>
      <c r="E4935" s="22"/>
      <c r="F4935" s="23" t="str">
        <f aca="false">IF(A4935="","",IFERROR(buscarx(A4935&amp;E4935,DATA!$E$3:$E$10000&amp;DATA!$B$3:$B$10000,DATA!$M$3:$M$10000),"Inactivo"))</f>
        <v/>
      </c>
      <c r="G4935" s="25" t="str">
        <f aca="false">IF(A4935="","",IF(AND(C4935&lt;&gt;"No encontrado",F4935&lt;&gt;"Inactivo"),C4935&amp;" → "&amp;F4935,"Sin transición"))</f>
        <v/>
      </c>
      <c r="H4935" s="23" t="str">
        <f aca="false">IF(A4935="","",IF(D4935="GCIA LINEA SERVICIO DIGITALIDAD Y VENTAS","Chats",IF(OR(D4935="GERENCIA INBOUND LÍNEAS SERVICIO Y VENTA",D4935="GERENCIA INBOUND LINEAS ESPECIALIZADAS"),"Llamadas","Otro")))</f>
        <v/>
      </c>
      <c r="I4935" s="23" t="str">
        <f aca="false">IF(A4935="","",IF(C4935="No encontrado","No","Sí"))</f>
        <v/>
      </c>
      <c r="J4935" s="23" t="str">
        <f aca="false">IF(A4935="","",IF(F4935="Inactivo","No","Sí"))</f>
        <v/>
      </c>
      <c r="K4935" s="23" t="str">
        <f aca="false">IF(A4935="","",IF(AND(I4935="Sí",J4935="Sí"),"Sí","No"))</f>
        <v/>
      </c>
    </row>
    <row r="4936" customFormat="false" ht="15" hidden="false" customHeight="false" outlineLevel="0" collapsed="false">
      <c r="A4936" s="22"/>
      <c r="B4936" s="22"/>
      <c r="C4936" s="26" t="str">
        <f aca="false">IF(A4936="","",IFERROR(buscarx(A4936&amp;B4936,DATA!$E$3:$E$10000&amp;DATA!$B$3:$B$10000,DATA!$M$3:$M$10000),"No encontrado"))</f>
        <v/>
      </c>
      <c r="D4936" s="27" t="str">
        <f aca="false">IF(A4936="","",IFERROR(buscarx(A4936&amp;B4936,DATA!$E$3:$E$10000&amp;DATA!$B$3:$B$10000,DATA!$W$3:$W$10000),"No encontrado"))</f>
        <v/>
      </c>
      <c r="E4936" s="22"/>
      <c r="F4936" s="26" t="str">
        <f aca="false">IF(A4936="","",IFERROR(buscarx(A4936&amp;E4936,DATA!$E$3:$E$10000&amp;DATA!$B$3:$B$10000,DATA!$M$3:$M$10000),"Inactivo"))</f>
        <v/>
      </c>
      <c r="G4936" s="28" t="str">
        <f aca="false">IF(A4936="","",IF(AND(C4936&lt;&gt;"No encontrado",F4936&lt;&gt;"Inactivo"),C4936&amp;" → "&amp;F4936,"Sin transición"))</f>
        <v/>
      </c>
      <c r="H4936" s="26" t="str">
        <f aca="false">IF(A4936="","",IF(D4936="GCIA LINEA SERVICIO DIGITALIDAD Y VENTAS","Chats",IF(OR(D4936="GERENCIA INBOUND LÍNEAS SERVICIO Y VENTA",D4936="GERENCIA INBOUND LINEAS ESPECIALIZADAS"),"Llamadas","Otro")))</f>
        <v/>
      </c>
      <c r="I4936" s="26" t="str">
        <f aca="false">IF(A4936="","",IF(C4936="No encontrado","No","Sí"))</f>
        <v/>
      </c>
      <c r="J4936" s="26" t="str">
        <f aca="false">IF(A4936="","",IF(F4936="Inactivo","No","Sí"))</f>
        <v/>
      </c>
      <c r="K4936" s="26" t="str">
        <f aca="false">IF(A4936="","",IF(AND(I4936="Sí",J4936="Sí"),"Sí","No"))</f>
        <v/>
      </c>
    </row>
    <row r="4937" customFormat="false" ht="15" hidden="false" customHeight="false" outlineLevel="0" collapsed="false">
      <c r="A4937" s="22"/>
      <c r="B4937" s="22"/>
      <c r="C4937" s="23" t="str">
        <f aca="false">IF(A4937="","",IFERROR(buscarx(A4937&amp;B4937,DATA!$E$3:$E$10000&amp;DATA!$B$3:$B$10000,DATA!$M$3:$M$10000),"No encontrado"))</f>
        <v/>
      </c>
      <c r="D4937" s="24" t="str">
        <f aca="false">IF(A4937="","",IFERROR(buscarx(A4937&amp;B4937,DATA!$E$3:$E$10000&amp;DATA!$B$3:$B$10000,DATA!$W$3:$W$10000),"No encontrado"))</f>
        <v/>
      </c>
      <c r="E4937" s="22"/>
      <c r="F4937" s="23" t="str">
        <f aca="false">IF(A4937="","",IFERROR(buscarx(A4937&amp;E4937,DATA!$E$3:$E$10000&amp;DATA!$B$3:$B$10000,DATA!$M$3:$M$10000),"Inactivo"))</f>
        <v/>
      </c>
      <c r="G4937" s="25" t="str">
        <f aca="false">IF(A4937="","",IF(AND(C4937&lt;&gt;"No encontrado",F4937&lt;&gt;"Inactivo"),C4937&amp;" → "&amp;F4937,"Sin transición"))</f>
        <v/>
      </c>
      <c r="H4937" s="23" t="str">
        <f aca="false">IF(A4937="","",IF(D4937="GCIA LINEA SERVICIO DIGITALIDAD Y VENTAS","Chats",IF(OR(D4937="GERENCIA INBOUND LÍNEAS SERVICIO Y VENTA",D4937="GERENCIA INBOUND LINEAS ESPECIALIZADAS"),"Llamadas","Otro")))</f>
        <v/>
      </c>
      <c r="I4937" s="23" t="str">
        <f aca="false">IF(A4937="","",IF(C4937="No encontrado","No","Sí"))</f>
        <v/>
      </c>
      <c r="J4937" s="23" t="str">
        <f aca="false">IF(A4937="","",IF(F4937="Inactivo","No","Sí"))</f>
        <v/>
      </c>
      <c r="K4937" s="23" t="str">
        <f aca="false">IF(A4937="","",IF(AND(I4937="Sí",J4937="Sí"),"Sí","No"))</f>
        <v/>
      </c>
    </row>
    <row r="4938" customFormat="false" ht="15" hidden="false" customHeight="false" outlineLevel="0" collapsed="false">
      <c r="A4938" s="22"/>
      <c r="B4938" s="22"/>
      <c r="C4938" s="26" t="str">
        <f aca="false">IF(A4938="","",IFERROR(buscarx(A4938&amp;B4938,DATA!$E$3:$E$10000&amp;DATA!$B$3:$B$10000,DATA!$M$3:$M$10000),"No encontrado"))</f>
        <v/>
      </c>
      <c r="D4938" s="27" t="str">
        <f aca="false">IF(A4938="","",IFERROR(buscarx(A4938&amp;B4938,DATA!$E$3:$E$10000&amp;DATA!$B$3:$B$10000,DATA!$W$3:$W$10000),"No encontrado"))</f>
        <v/>
      </c>
      <c r="E4938" s="22"/>
      <c r="F4938" s="26" t="str">
        <f aca="false">IF(A4938="","",IFERROR(buscarx(A4938&amp;E4938,DATA!$E$3:$E$10000&amp;DATA!$B$3:$B$10000,DATA!$M$3:$M$10000),"Inactivo"))</f>
        <v/>
      </c>
      <c r="G4938" s="28" t="str">
        <f aca="false">IF(A4938="","",IF(AND(C4938&lt;&gt;"No encontrado",F4938&lt;&gt;"Inactivo"),C4938&amp;" → "&amp;F4938,"Sin transición"))</f>
        <v/>
      </c>
      <c r="H4938" s="26" t="str">
        <f aca="false">IF(A4938="","",IF(D4938="GCIA LINEA SERVICIO DIGITALIDAD Y VENTAS","Chats",IF(OR(D4938="GERENCIA INBOUND LÍNEAS SERVICIO Y VENTA",D4938="GERENCIA INBOUND LINEAS ESPECIALIZADAS"),"Llamadas","Otro")))</f>
        <v/>
      </c>
      <c r="I4938" s="26" t="str">
        <f aca="false">IF(A4938="","",IF(C4938="No encontrado","No","Sí"))</f>
        <v/>
      </c>
      <c r="J4938" s="26" t="str">
        <f aca="false">IF(A4938="","",IF(F4938="Inactivo","No","Sí"))</f>
        <v/>
      </c>
      <c r="K4938" s="26" t="str">
        <f aca="false">IF(A4938="","",IF(AND(I4938="Sí",J4938="Sí"),"Sí","No"))</f>
        <v/>
      </c>
    </row>
    <row r="4939" customFormat="false" ht="15" hidden="false" customHeight="false" outlineLevel="0" collapsed="false">
      <c r="A4939" s="22"/>
      <c r="B4939" s="22"/>
      <c r="C4939" s="23" t="str">
        <f aca="false">IF(A4939="","",IFERROR(buscarx(A4939&amp;B4939,DATA!$E$3:$E$10000&amp;DATA!$B$3:$B$10000,DATA!$M$3:$M$10000),"No encontrado"))</f>
        <v/>
      </c>
      <c r="D4939" s="24" t="str">
        <f aca="false">IF(A4939="","",IFERROR(buscarx(A4939&amp;B4939,DATA!$E$3:$E$10000&amp;DATA!$B$3:$B$10000,DATA!$W$3:$W$10000),"No encontrado"))</f>
        <v/>
      </c>
      <c r="E4939" s="22"/>
      <c r="F4939" s="23" t="str">
        <f aca="false">IF(A4939="","",IFERROR(buscarx(A4939&amp;E4939,DATA!$E$3:$E$10000&amp;DATA!$B$3:$B$10000,DATA!$M$3:$M$10000),"Inactivo"))</f>
        <v/>
      </c>
      <c r="G4939" s="25" t="str">
        <f aca="false">IF(A4939="","",IF(AND(C4939&lt;&gt;"No encontrado",F4939&lt;&gt;"Inactivo"),C4939&amp;" → "&amp;F4939,"Sin transición"))</f>
        <v/>
      </c>
      <c r="H4939" s="23" t="str">
        <f aca="false">IF(A4939="","",IF(D4939="GCIA LINEA SERVICIO DIGITALIDAD Y VENTAS","Chats",IF(OR(D4939="GERENCIA INBOUND LÍNEAS SERVICIO Y VENTA",D4939="GERENCIA INBOUND LINEAS ESPECIALIZADAS"),"Llamadas","Otro")))</f>
        <v/>
      </c>
      <c r="I4939" s="23" t="str">
        <f aca="false">IF(A4939="","",IF(C4939="No encontrado","No","Sí"))</f>
        <v/>
      </c>
      <c r="J4939" s="23" t="str">
        <f aca="false">IF(A4939="","",IF(F4939="Inactivo","No","Sí"))</f>
        <v/>
      </c>
      <c r="K4939" s="23" t="str">
        <f aca="false">IF(A4939="","",IF(AND(I4939="Sí",J4939="Sí"),"Sí","No"))</f>
        <v/>
      </c>
    </row>
    <row r="4940" customFormat="false" ht="15" hidden="false" customHeight="false" outlineLevel="0" collapsed="false">
      <c r="A4940" s="22"/>
      <c r="B4940" s="22"/>
      <c r="C4940" s="26" t="str">
        <f aca="false">IF(A4940="","",IFERROR(buscarx(A4940&amp;B4940,DATA!$E$3:$E$10000&amp;DATA!$B$3:$B$10000,DATA!$M$3:$M$10000),"No encontrado"))</f>
        <v/>
      </c>
      <c r="D4940" s="27" t="str">
        <f aca="false">IF(A4940="","",IFERROR(buscarx(A4940&amp;B4940,DATA!$E$3:$E$10000&amp;DATA!$B$3:$B$10000,DATA!$W$3:$W$10000),"No encontrado"))</f>
        <v/>
      </c>
      <c r="E4940" s="22"/>
      <c r="F4940" s="26" t="str">
        <f aca="false">IF(A4940="","",IFERROR(buscarx(A4940&amp;E4940,DATA!$E$3:$E$10000&amp;DATA!$B$3:$B$10000,DATA!$M$3:$M$10000),"Inactivo"))</f>
        <v/>
      </c>
      <c r="G4940" s="28" t="str">
        <f aca="false">IF(A4940="","",IF(AND(C4940&lt;&gt;"No encontrado",F4940&lt;&gt;"Inactivo"),C4940&amp;" → "&amp;F4940,"Sin transición"))</f>
        <v/>
      </c>
      <c r="H4940" s="26" t="str">
        <f aca="false">IF(A4940="","",IF(D4940="GCIA LINEA SERVICIO DIGITALIDAD Y VENTAS","Chats",IF(OR(D4940="GERENCIA INBOUND LÍNEAS SERVICIO Y VENTA",D4940="GERENCIA INBOUND LINEAS ESPECIALIZADAS"),"Llamadas","Otro")))</f>
        <v/>
      </c>
      <c r="I4940" s="26" t="str">
        <f aca="false">IF(A4940="","",IF(C4940="No encontrado","No","Sí"))</f>
        <v/>
      </c>
      <c r="J4940" s="26" t="str">
        <f aca="false">IF(A4940="","",IF(F4940="Inactivo","No","Sí"))</f>
        <v/>
      </c>
      <c r="K4940" s="26" t="str">
        <f aca="false">IF(A4940="","",IF(AND(I4940="Sí",J4940="Sí"),"Sí","No"))</f>
        <v/>
      </c>
    </row>
    <row r="4941" customFormat="false" ht="15" hidden="false" customHeight="false" outlineLevel="0" collapsed="false">
      <c r="A4941" s="22"/>
      <c r="B4941" s="22"/>
      <c r="C4941" s="23" t="str">
        <f aca="false">IF(A4941="","",IFERROR(buscarx(A4941&amp;B4941,DATA!$E$3:$E$10000&amp;DATA!$B$3:$B$10000,DATA!$M$3:$M$10000),"No encontrado"))</f>
        <v/>
      </c>
      <c r="D4941" s="24" t="str">
        <f aca="false">IF(A4941="","",IFERROR(buscarx(A4941&amp;B4941,DATA!$E$3:$E$10000&amp;DATA!$B$3:$B$10000,DATA!$W$3:$W$10000),"No encontrado"))</f>
        <v/>
      </c>
      <c r="E4941" s="22"/>
      <c r="F4941" s="23" t="str">
        <f aca="false">IF(A4941="","",IFERROR(buscarx(A4941&amp;E4941,DATA!$E$3:$E$10000&amp;DATA!$B$3:$B$10000,DATA!$M$3:$M$10000),"Inactivo"))</f>
        <v/>
      </c>
      <c r="G4941" s="25" t="str">
        <f aca="false">IF(A4941="","",IF(AND(C4941&lt;&gt;"No encontrado",F4941&lt;&gt;"Inactivo"),C4941&amp;" → "&amp;F4941,"Sin transición"))</f>
        <v/>
      </c>
      <c r="H4941" s="23" t="str">
        <f aca="false">IF(A4941="","",IF(D4941="GCIA LINEA SERVICIO DIGITALIDAD Y VENTAS","Chats",IF(OR(D4941="GERENCIA INBOUND LÍNEAS SERVICIO Y VENTA",D4941="GERENCIA INBOUND LINEAS ESPECIALIZADAS"),"Llamadas","Otro")))</f>
        <v/>
      </c>
      <c r="I4941" s="23" t="str">
        <f aca="false">IF(A4941="","",IF(C4941="No encontrado","No","Sí"))</f>
        <v/>
      </c>
      <c r="J4941" s="23" t="str">
        <f aca="false">IF(A4941="","",IF(F4941="Inactivo","No","Sí"))</f>
        <v/>
      </c>
      <c r="K4941" s="23" t="str">
        <f aca="false">IF(A4941="","",IF(AND(I4941="Sí",J4941="Sí"),"Sí","No"))</f>
        <v/>
      </c>
    </row>
    <row r="4942" customFormat="false" ht="15" hidden="false" customHeight="false" outlineLevel="0" collapsed="false">
      <c r="A4942" s="22"/>
      <c r="B4942" s="22"/>
      <c r="C4942" s="26" t="str">
        <f aca="false">IF(A4942="","",IFERROR(buscarx(A4942&amp;B4942,DATA!$E$3:$E$10000&amp;DATA!$B$3:$B$10000,DATA!$M$3:$M$10000),"No encontrado"))</f>
        <v/>
      </c>
      <c r="D4942" s="27" t="str">
        <f aca="false">IF(A4942="","",IFERROR(buscarx(A4942&amp;B4942,DATA!$E$3:$E$10000&amp;DATA!$B$3:$B$10000,DATA!$W$3:$W$10000),"No encontrado"))</f>
        <v/>
      </c>
      <c r="E4942" s="22"/>
      <c r="F4942" s="26" t="str">
        <f aca="false">IF(A4942="","",IFERROR(buscarx(A4942&amp;E4942,DATA!$E$3:$E$10000&amp;DATA!$B$3:$B$10000,DATA!$M$3:$M$10000),"Inactivo"))</f>
        <v/>
      </c>
      <c r="G4942" s="28" t="str">
        <f aca="false">IF(A4942="","",IF(AND(C4942&lt;&gt;"No encontrado",F4942&lt;&gt;"Inactivo"),C4942&amp;" → "&amp;F4942,"Sin transición"))</f>
        <v/>
      </c>
      <c r="H4942" s="26" t="str">
        <f aca="false">IF(A4942="","",IF(D4942="GCIA LINEA SERVICIO DIGITALIDAD Y VENTAS","Chats",IF(OR(D4942="GERENCIA INBOUND LÍNEAS SERVICIO Y VENTA",D4942="GERENCIA INBOUND LINEAS ESPECIALIZADAS"),"Llamadas","Otro")))</f>
        <v/>
      </c>
      <c r="I4942" s="26" t="str">
        <f aca="false">IF(A4942="","",IF(C4942="No encontrado","No","Sí"))</f>
        <v/>
      </c>
      <c r="J4942" s="26" t="str">
        <f aca="false">IF(A4942="","",IF(F4942="Inactivo","No","Sí"))</f>
        <v/>
      </c>
      <c r="K4942" s="26" t="str">
        <f aca="false">IF(A4942="","",IF(AND(I4942="Sí",J4942="Sí"),"Sí","No"))</f>
        <v/>
      </c>
    </row>
    <row r="4943" customFormat="false" ht="15" hidden="false" customHeight="false" outlineLevel="0" collapsed="false">
      <c r="A4943" s="22"/>
      <c r="B4943" s="22"/>
      <c r="C4943" s="23" t="str">
        <f aca="false">IF(A4943="","",IFERROR(buscarx(A4943&amp;B4943,DATA!$E$3:$E$10000&amp;DATA!$B$3:$B$10000,DATA!$M$3:$M$10000),"No encontrado"))</f>
        <v/>
      </c>
      <c r="D4943" s="24" t="str">
        <f aca="false">IF(A4943="","",IFERROR(buscarx(A4943&amp;B4943,DATA!$E$3:$E$10000&amp;DATA!$B$3:$B$10000,DATA!$W$3:$W$10000),"No encontrado"))</f>
        <v/>
      </c>
      <c r="E4943" s="22"/>
      <c r="F4943" s="23" t="str">
        <f aca="false">IF(A4943="","",IFERROR(buscarx(A4943&amp;E4943,DATA!$E$3:$E$10000&amp;DATA!$B$3:$B$10000,DATA!$M$3:$M$10000),"Inactivo"))</f>
        <v/>
      </c>
      <c r="G4943" s="25" t="str">
        <f aca="false">IF(A4943="","",IF(AND(C4943&lt;&gt;"No encontrado",F4943&lt;&gt;"Inactivo"),C4943&amp;" → "&amp;F4943,"Sin transición"))</f>
        <v/>
      </c>
      <c r="H4943" s="23" t="str">
        <f aca="false">IF(A4943="","",IF(D4943="GCIA LINEA SERVICIO DIGITALIDAD Y VENTAS","Chats",IF(OR(D4943="GERENCIA INBOUND LÍNEAS SERVICIO Y VENTA",D4943="GERENCIA INBOUND LINEAS ESPECIALIZADAS"),"Llamadas","Otro")))</f>
        <v/>
      </c>
      <c r="I4943" s="23" t="str">
        <f aca="false">IF(A4943="","",IF(C4943="No encontrado","No","Sí"))</f>
        <v/>
      </c>
      <c r="J4943" s="23" t="str">
        <f aca="false">IF(A4943="","",IF(F4943="Inactivo","No","Sí"))</f>
        <v/>
      </c>
      <c r="K4943" s="23" t="str">
        <f aca="false">IF(A4943="","",IF(AND(I4943="Sí",J4943="Sí"),"Sí","No"))</f>
        <v/>
      </c>
    </row>
    <row r="4944" customFormat="false" ht="15" hidden="false" customHeight="false" outlineLevel="0" collapsed="false">
      <c r="A4944" s="22"/>
      <c r="B4944" s="22"/>
      <c r="C4944" s="26" t="str">
        <f aca="false">IF(A4944="","",IFERROR(buscarx(A4944&amp;B4944,DATA!$E$3:$E$10000&amp;DATA!$B$3:$B$10000,DATA!$M$3:$M$10000),"No encontrado"))</f>
        <v/>
      </c>
      <c r="D4944" s="27" t="str">
        <f aca="false">IF(A4944="","",IFERROR(buscarx(A4944&amp;B4944,DATA!$E$3:$E$10000&amp;DATA!$B$3:$B$10000,DATA!$W$3:$W$10000),"No encontrado"))</f>
        <v/>
      </c>
      <c r="E4944" s="22"/>
      <c r="F4944" s="26" t="str">
        <f aca="false">IF(A4944="","",IFERROR(buscarx(A4944&amp;E4944,DATA!$E$3:$E$10000&amp;DATA!$B$3:$B$10000,DATA!$M$3:$M$10000),"Inactivo"))</f>
        <v/>
      </c>
      <c r="G4944" s="28" t="str">
        <f aca="false">IF(A4944="","",IF(AND(C4944&lt;&gt;"No encontrado",F4944&lt;&gt;"Inactivo"),C4944&amp;" → "&amp;F4944,"Sin transición"))</f>
        <v/>
      </c>
      <c r="H4944" s="26" t="str">
        <f aca="false">IF(A4944="","",IF(D4944="GCIA LINEA SERVICIO DIGITALIDAD Y VENTAS","Chats",IF(OR(D4944="GERENCIA INBOUND LÍNEAS SERVICIO Y VENTA",D4944="GERENCIA INBOUND LINEAS ESPECIALIZADAS"),"Llamadas","Otro")))</f>
        <v/>
      </c>
      <c r="I4944" s="26" t="str">
        <f aca="false">IF(A4944="","",IF(C4944="No encontrado","No","Sí"))</f>
        <v/>
      </c>
      <c r="J4944" s="26" t="str">
        <f aca="false">IF(A4944="","",IF(F4944="Inactivo","No","Sí"))</f>
        <v/>
      </c>
      <c r="K4944" s="26" t="str">
        <f aca="false">IF(A4944="","",IF(AND(I4944="Sí",J4944="Sí"),"Sí","No"))</f>
        <v/>
      </c>
    </row>
    <row r="4945" customFormat="false" ht="15" hidden="false" customHeight="false" outlineLevel="0" collapsed="false">
      <c r="A4945" s="22"/>
      <c r="B4945" s="22"/>
      <c r="C4945" s="23" t="str">
        <f aca="false">IF(A4945="","",IFERROR(buscarx(A4945&amp;B4945,DATA!$E$3:$E$10000&amp;DATA!$B$3:$B$10000,DATA!$M$3:$M$10000),"No encontrado"))</f>
        <v/>
      </c>
      <c r="D4945" s="24" t="str">
        <f aca="false">IF(A4945="","",IFERROR(buscarx(A4945&amp;B4945,DATA!$E$3:$E$10000&amp;DATA!$B$3:$B$10000,DATA!$W$3:$W$10000),"No encontrado"))</f>
        <v/>
      </c>
      <c r="E4945" s="22"/>
      <c r="F4945" s="23" t="str">
        <f aca="false">IF(A4945="","",IFERROR(buscarx(A4945&amp;E4945,DATA!$E$3:$E$10000&amp;DATA!$B$3:$B$10000,DATA!$M$3:$M$10000),"Inactivo"))</f>
        <v/>
      </c>
      <c r="G4945" s="25" t="str">
        <f aca="false">IF(A4945="","",IF(AND(C4945&lt;&gt;"No encontrado",F4945&lt;&gt;"Inactivo"),C4945&amp;" → "&amp;F4945,"Sin transición"))</f>
        <v/>
      </c>
      <c r="H4945" s="23" t="str">
        <f aca="false">IF(A4945="","",IF(D4945="GCIA LINEA SERVICIO DIGITALIDAD Y VENTAS","Chats",IF(OR(D4945="GERENCIA INBOUND LÍNEAS SERVICIO Y VENTA",D4945="GERENCIA INBOUND LINEAS ESPECIALIZADAS"),"Llamadas","Otro")))</f>
        <v/>
      </c>
      <c r="I4945" s="23" t="str">
        <f aca="false">IF(A4945="","",IF(C4945="No encontrado","No","Sí"))</f>
        <v/>
      </c>
      <c r="J4945" s="23" t="str">
        <f aca="false">IF(A4945="","",IF(F4945="Inactivo","No","Sí"))</f>
        <v/>
      </c>
      <c r="K4945" s="23" t="str">
        <f aca="false">IF(A4945="","",IF(AND(I4945="Sí",J4945="Sí"),"Sí","No"))</f>
        <v/>
      </c>
    </row>
    <row r="4946" customFormat="false" ht="15" hidden="false" customHeight="false" outlineLevel="0" collapsed="false">
      <c r="A4946" s="22"/>
      <c r="B4946" s="22"/>
      <c r="C4946" s="26" t="str">
        <f aca="false">IF(A4946="","",IFERROR(buscarx(A4946&amp;B4946,DATA!$E$3:$E$10000&amp;DATA!$B$3:$B$10000,DATA!$M$3:$M$10000),"No encontrado"))</f>
        <v/>
      </c>
      <c r="D4946" s="27" t="str">
        <f aca="false">IF(A4946="","",IFERROR(buscarx(A4946&amp;B4946,DATA!$E$3:$E$10000&amp;DATA!$B$3:$B$10000,DATA!$W$3:$W$10000),"No encontrado"))</f>
        <v/>
      </c>
      <c r="E4946" s="22"/>
      <c r="F4946" s="26" t="str">
        <f aca="false">IF(A4946="","",IFERROR(buscarx(A4946&amp;E4946,DATA!$E$3:$E$10000&amp;DATA!$B$3:$B$10000,DATA!$M$3:$M$10000),"Inactivo"))</f>
        <v/>
      </c>
      <c r="G4946" s="28" t="str">
        <f aca="false">IF(A4946="","",IF(AND(C4946&lt;&gt;"No encontrado",F4946&lt;&gt;"Inactivo"),C4946&amp;" → "&amp;F4946,"Sin transición"))</f>
        <v/>
      </c>
      <c r="H4946" s="26" t="str">
        <f aca="false">IF(A4946="","",IF(D4946="GCIA LINEA SERVICIO DIGITALIDAD Y VENTAS","Chats",IF(OR(D4946="GERENCIA INBOUND LÍNEAS SERVICIO Y VENTA",D4946="GERENCIA INBOUND LINEAS ESPECIALIZADAS"),"Llamadas","Otro")))</f>
        <v/>
      </c>
      <c r="I4946" s="26" t="str">
        <f aca="false">IF(A4946="","",IF(C4946="No encontrado","No","Sí"))</f>
        <v/>
      </c>
      <c r="J4946" s="26" t="str">
        <f aca="false">IF(A4946="","",IF(F4946="Inactivo","No","Sí"))</f>
        <v/>
      </c>
      <c r="K4946" s="26" t="str">
        <f aca="false">IF(A4946="","",IF(AND(I4946="Sí",J4946="Sí"),"Sí","No"))</f>
        <v/>
      </c>
    </row>
    <row r="4947" customFormat="false" ht="15" hidden="false" customHeight="false" outlineLevel="0" collapsed="false">
      <c r="A4947" s="22"/>
      <c r="B4947" s="22"/>
      <c r="C4947" s="23" t="str">
        <f aca="false">IF(A4947="","",IFERROR(buscarx(A4947&amp;B4947,DATA!$E$3:$E$10000&amp;DATA!$B$3:$B$10000,DATA!$M$3:$M$10000),"No encontrado"))</f>
        <v/>
      </c>
      <c r="D4947" s="24" t="str">
        <f aca="false">IF(A4947="","",IFERROR(buscarx(A4947&amp;B4947,DATA!$E$3:$E$10000&amp;DATA!$B$3:$B$10000,DATA!$W$3:$W$10000),"No encontrado"))</f>
        <v/>
      </c>
      <c r="E4947" s="22"/>
      <c r="F4947" s="23" t="str">
        <f aca="false">IF(A4947="","",IFERROR(buscarx(A4947&amp;E4947,DATA!$E$3:$E$10000&amp;DATA!$B$3:$B$10000,DATA!$M$3:$M$10000),"Inactivo"))</f>
        <v/>
      </c>
      <c r="G4947" s="25" t="str">
        <f aca="false">IF(A4947="","",IF(AND(C4947&lt;&gt;"No encontrado",F4947&lt;&gt;"Inactivo"),C4947&amp;" → "&amp;F4947,"Sin transición"))</f>
        <v/>
      </c>
      <c r="H4947" s="23" t="str">
        <f aca="false">IF(A4947="","",IF(D4947="GCIA LINEA SERVICIO DIGITALIDAD Y VENTAS","Chats",IF(OR(D4947="GERENCIA INBOUND LÍNEAS SERVICIO Y VENTA",D4947="GERENCIA INBOUND LINEAS ESPECIALIZADAS"),"Llamadas","Otro")))</f>
        <v/>
      </c>
      <c r="I4947" s="23" t="str">
        <f aca="false">IF(A4947="","",IF(C4947="No encontrado","No","Sí"))</f>
        <v/>
      </c>
      <c r="J4947" s="23" t="str">
        <f aca="false">IF(A4947="","",IF(F4947="Inactivo","No","Sí"))</f>
        <v/>
      </c>
      <c r="K4947" s="23" t="str">
        <f aca="false">IF(A4947="","",IF(AND(I4947="Sí",J4947="Sí"),"Sí","No"))</f>
        <v/>
      </c>
    </row>
    <row r="4948" customFormat="false" ht="15" hidden="false" customHeight="false" outlineLevel="0" collapsed="false">
      <c r="A4948" s="22"/>
      <c r="B4948" s="22"/>
      <c r="C4948" s="26" t="str">
        <f aca="false">IF(A4948="","",IFERROR(buscarx(A4948&amp;B4948,DATA!$E$3:$E$10000&amp;DATA!$B$3:$B$10000,DATA!$M$3:$M$10000),"No encontrado"))</f>
        <v/>
      </c>
      <c r="D4948" s="27" t="str">
        <f aca="false">IF(A4948="","",IFERROR(buscarx(A4948&amp;B4948,DATA!$E$3:$E$10000&amp;DATA!$B$3:$B$10000,DATA!$W$3:$W$10000),"No encontrado"))</f>
        <v/>
      </c>
      <c r="E4948" s="22"/>
      <c r="F4948" s="26" t="str">
        <f aca="false">IF(A4948="","",IFERROR(buscarx(A4948&amp;E4948,DATA!$E$3:$E$10000&amp;DATA!$B$3:$B$10000,DATA!$M$3:$M$10000),"Inactivo"))</f>
        <v/>
      </c>
      <c r="G4948" s="28" t="str">
        <f aca="false">IF(A4948="","",IF(AND(C4948&lt;&gt;"No encontrado",F4948&lt;&gt;"Inactivo"),C4948&amp;" → "&amp;F4948,"Sin transición"))</f>
        <v/>
      </c>
      <c r="H4948" s="26" t="str">
        <f aca="false">IF(A4948="","",IF(D4948="GCIA LINEA SERVICIO DIGITALIDAD Y VENTAS","Chats",IF(OR(D4948="GERENCIA INBOUND LÍNEAS SERVICIO Y VENTA",D4948="GERENCIA INBOUND LINEAS ESPECIALIZADAS"),"Llamadas","Otro")))</f>
        <v/>
      </c>
      <c r="I4948" s="26" t="str">
        <f aca="false">IF(A4948="","",IF(C4948="No encontrado","No","Sí"))</f>
        <v/>
      </c>
      <c r="J4948" s="26" t="str">
        <f aca="false">IF(A4948="","",IF(F4948="Inactivo","No","Sí"))</f>
        <v/>
      </c>
      <c r="K4948" s="26" t="str">
        <f aca="false">IF(A4948="","",IF(AND(I4948="Sí",J4948="Sí"),"Sí","No"))</f>
        <v/>
      </c>
    </row>
    <row r="4949" customFormat="false" ht="15" hidden="false" customHeight="false" outlineLevel="0" collapsed="false">
      <c r="A4949" s="22"/>
      <c r="B4949" s="22"/>
      <c r="C4949" s="23" t="str">
        <f aca="false">IF(A4949="","",IFERROR(buscarx(A4949&amp;B4949,DATA!$E$3:$E$10000&amp;DATA!$B$3:$B$10000,DATA!$M$3:$M$10000),"No encontrado"))</f>
        <v/>
      </c>
      <c r="D4949" s="24" t="str">
        <f aca="false">IF(A4949="","",IFERROR(buscarx(A4949&amp;B4949,DATA!$E$3:$E$10000&amp;DATA!$B$3:$B$10000,DATA!$W$3:$W$10000),"No encontrado"))</f>
        <v/>
      </c>
      <c r="E4949" s="22"/>
      <c r="F4949" s="23" t="str">
        <f aca="false">IF(A4949="","",IFERROR(buscarx(A4949&amp;E4949,DATA!$E$3:$E$10000&amp;DATA!$B$3:$B$10000,DATA!$M$3:$M$10000),"Inactivo"))</f>
        <v/>
      </c>
      <c r="G4949" s="25" t="str">
        <f aca="false">IF(A4949="","",IF(AND(C4949&lt;&gt;"No encontrado",F4949&lt;&gt;"Inactivo"),C4949&amp;" → "&amp;F4949,"Sin transición"))</f>
        <v/>
      </c>
      <c r="H4949" s="23" t="str">
        <f aca="false">IF(A4949="","",IF(D4949="GCIA LINEA SERVICIO DIGITALIDAD Y VENTAS","Chats",IF(OR(D4949="GERENCIA INBOUND LÍNEAS SERVICIO Y VENTA",D4949="GERENCIA INBOUND LINEAS ESPECIALIZADAS"),"Llamadas","Otro")))</f>
        <v/>
      </c>
      <c r="I4949" s="23" t="str">
        <f aca="false">IF(A4949="","",IF(C4949="No encontrado","No","Sí"))</f>
        <v/>
      </c>
      <c r="J4949" s="23" t="str">
        <f aca="false">IF(A4949="","",IF(F4949="Inactivo","No","Sí"))</f>
        <v/>
      </c>
      <c r="K4949" s="23" t="str">
        <f aca="false">IF(A4949="","",IF(AND(I4949="Sí",J4949="Sí"),"Sí","No"))</f>
        <v/>
      </c>
    </row>
    <row r="4950" customFormat="false" ht="15" hidden="false" customHeight="false" outlineLevel="0" collapsed="false">
      <c r="A4950" s="22"/>
      <c r="B4950" s="22"/>
      <c r="C4950" s="26" t="str">
        <f aca="false">IF(A4950="","",IFERROR(buscarx(A4950&amp;B4950,DATA!$E$3:$E$10000&amp;DATA!$B$3:$B$10000,DATA!$M$3:$M$10000),"No encontrado"))</f>
        <v/>
      </c>
      <c r="D4950" s="27" t="str">
        <f aca="false">IF(A4950="","",IFERROR(buscarx(A4950&amp;B4950,DATA!$E$3:$E$10000&amp;DATA!$B$3:$B$10000,DATA!$W$3:$W$10000),"No encontrado"))</f>
        <v/>
      </c>
      <c r="E4950" s="22"/>
      <c r="F4950" s="26" t="str">
        <f aca="false">IF(A4950="","",IFERROR(buscarx(A4950&amp;E4950,DATA!$E$3:$E$10000&amp;DATA!$B$3:$B$10000,DATA!$M$3:$M$10000),"Inactivo"))</f>
        <v/>
      </c>
      <c r="G4950" s="28" t="str">
        <f aca="false">IF(A4950="","",IF(AND(C4950&lt;&gt;"No encontrado",F4950&lt;&gt;"Inactivo"),C4950&amp;" → "&amp;F4950,"Sin transición"))</f>
        <v/>
      </c>
      <c r="H4950" s="26" t="str">
        <f aca="false">IF(A4950="","",IF(D4950="GCIA LINEA SERVICIO DIGITALIDAD Y VENTAS","Chats",IF(OR(D4950="GERENCIA INBOUND LÍNEAS SERVICIO Y VENTA",D4950="GERENCIA INBOUND LINEAS ESPECIALIZADAS"),"Llamadas","Otro")))</f>
        <v/>
      </c>
      <c r="I4950" s="26" t="str">
        <f aca="false">IF(A4950="","",IF(C4950="No encontrado","No","Sí"))</f>
        <v/>
      </c>
      <c r="J4950" s="26" t="str">
        <f aca="false">IF(A4950="","",IF(F4950="Inactivo","No","Sí"))</f>
        <v/>
      </c>
      <c r="K4950" s="26" t="str">
        <f aca="false">IF(A4950="","",IF(AND(I4950="Sí",J4950="Sí"),"Sí","No"))</f>
        <v/>
      </c>
    </row>
    <row r="4951" customFormat="false" ht="15" hidden="false" customHeight="false" outlineLevel="0" collapsed="false">
      <c r="A4951" s="22"/>
      <c r="B4951" s="22"/>
      <c r="C4951" s="23" t="str">
        <f aca="false">IF(A4951="","",IFERROR(buscarx(A4951&amp;B4951,DATA!$E$3:$E$10000&amp;DATA!$B$3:$B$10000,DATA!$M$3:$M$10000),"No encontrado"))</f>
        <v/>
      </c>
      <c r="D4951" s="24" t="str">
        <f aca="false">IF(A4951="","",IFERROR(buscarx(A4951&amp;B4951,DATA!$E$3:$E$10000&amp;DATA!$B$3:$B$10000,DATA!$W$3:$W$10000),"No encontrado"))</f>
        <v/>
      </c>
      <c r="E4951" s="22"/>
      <c r="F4951" s="23" t="str">
        <f aca="false">IF(A4951="","",IFERROR(buscarx(A4951&amp;E4951,DATA!$E$3:$E$10000&amp;DATA!$B$3:$B$10000,DATA!$M$3:$M$10000),"Inactivo"))</f>
        <v/>
      </c>
      <c r="G4951" s="25" t="str">
        <f aca="false">IF(A4951="","",IF(AND(C4951&lt;&gt;"No encontrado",F4951&lt;&gt;"Inactivo"),C4951&amp;" → "&amp;F4951,"Sin transición"))</f>
        <v/>
      </c>
      <c r="H4951" s="23" t="str">
        <f aca="false">IF(A4951="","",IF(D4951="GCIA LINEA SERVICIO DIGITALIDAD Y VENTAS","Chats",IF(OR(D4951="GERENCIA INBOUND LÍNEAS SERVICIO Y VENTA",D4951="GERENCIA INBOUND LINEAS ESPECIALIZADAS"),"Llamadas","Otro")))</f>
        <v/>
      </c>
      <c r="I4951" s="23" t="str">
        <f aca="false">IF(A4951="","",IF(C4951="No encontrado","No","Sí"))</f>
        <v/>
      </c>
      <c r="J4951" s="23" t="str">
        <f aca="false">IF(A4951="","",IF(F4951="Inactivo","No","Sí"))</f>
        <v/>
      </c>
      <c r="K4951" s="23" t="str">
        <f aca="false">IF(A4951="","",IF(AND(I4951="Sí",J4951="Sí"),"Sí","No"))</f>
        <v/>
      </c>
    </row>
    <row r="4952" customFormat="false" ht="15" hidden="false" customHeight="false" outlineLevel="0" collapsed="false">
      <c r="A4952" s="22"/>
      <c r="B4952" s="22"/>
      <c r="C4952" s="26" t="str">
        <f aca="false">IF(A4952="","",IFERROR(buscarx(A4952&amp;B4952,DATA!$E$3:$E$10000&amp;DATA!$B$3:$B$10000,DATA!$M$3:$M$10000),"No encontrado"))</f>
        <v/>
      </c>
      <c r="D4952" s="27" t="str">
        <f aca="false">IF(A4952="","",IFERROR(buscarx(A4952&amp;B4952,DATA!$E$3:$E$10000&amp;DATA!$B$3:$B$10000,DATA!$W$3:$W$10000),"No encontrado"))</f>
        <v/>
      </c>
      <c r="E4952" s="22"/>
      <c r="F4952" s="26" t="str">
        <f aca="false">IF(A4952="","",IFERROR(buscarx(A4952&amp;E4952,DATA!$E$3:$E$10000&amp;DATA!$B$3:$B$10000,DATA!$M$3:$M$10000),"Inactivo"))</f>
        <v/>
      </c>
      <c r="G4952" s="28" t="str">
        <f aca="false">IF(A4952="","",IF(AND(C4952&lt;&gt;"No encontrado",F4952&lt;&gt;"Inactivo"),C4952&amp;" → "&amp;F4952,"Sin transición"))</f>
        <v/>
      </c>
      <c r="H4952" s="26" t="str">
        <f aca="false">IF(A4952="","",IF(D4952="GCIA LINEA SERVICIO DIGITALIDAD Y VENTAS","Chats",IF(OR(D4952="GERENCIA INBOUND LÍNEAS SERVICIO Y VENTA",D4952="GERENCIA INBOUND LINEAS ESPECIALIZADAS"),"Llamadas","Otro")))</f>
        <v/>
      </c>
      <c r="I4952" s="26" t="str">
        <f aca="false">IF(A4952="","",IF(C4952="No encontrado","No","Sí"))</f>
        <v/>
      </c>
      <c r="J4952" s="26" t="str">
        <f aca="false">IF(A4952="","",IF(F4952="Inactivo","No","Sí"))</f>
        <v/>
      </c>
      <c r="K4952" s="26" t="str">
        <f aca="false">IF(A4952="","",IF(AND(I4952="Sí",J4952="Sí"),"Sí","No"))</f>
        <v/>
      </c>
    </row>
    <row r="4953" customFormat="false" ht="15" hidden="false" customHeight="false" outlineLevel="0" collapsed="false">
      <c r="A4953" s="22"/>
      <c r="B4953" s="22"/>
      <c r="C4953" s="23" t="str">
        <f aca="false">IF(A4953="","",IFERROR(buscarx(A4953&amp;B4953,DATA!$E$3:$E$10000&amp;DATA!$B$3:$B$10000,DATA!$M$3:$M$10000),"No encontrado"))</f>
        <v/>
      </c>
      <c r="D4953" s="24" t="str">
        <f aca="false">IF(A4953="","",IFERROR(buscarx(A4953&amp;B4953,DATA!$E$3:$E$10000&amp;DATA!$B$3:$B$10000,DATA!$W$3:$W$10000),"No encontrado"))</f>
        <v/>
      </c>
      <c r="E4953" s="22"/>
      <c r="F4953" s="23" t="str">
        <f aca="false">IF(A4953="","",IFERROR(buscarx(A4953&amp;E4953,DATA!$E$3:$E$10000&amp;DATA!$B$3:$B$10000,DATA!$M$3:$M$10000),"Inactivo"))</f>
        <v/>
      </c>
      <c r="G4953" s="25" t="str">
        <f aca="false">IF(A4953="","",IF(AND(C4953&lt;&gt;"No encontrado",F4953&lt;&gt;"Inactivo"),C4953&amp;" → "&amp;F4953,"Sin transición"))</f>
        <v/>
      </c>
      <c r="H4953" s="23" t="str">
        <f aca="false">IF(A4953="","",IF(D4953="GCIA LINEA SERVICIO DIGITALIDAD Y VENTAS","Chats",IF(OR(D4953="GERENCIA INBOUND LÍNEAS SERVICIO Y VENTA",D4953="GERENCIA INBOUND LINEAS ESPECIALIZADAS"),"Llamadas","Otro")))</f>
        <v/>
      </c>
      <c r="I4953" s="23" t="str">
        <f aca="false">IF(A4953="","",IF(C4953="No encontrado","No","Sí"))</f>
        <v/>
      </c>
      <c r="J4953" s="23" t="str">
        <f aca="false">IF(A4953="","",IF(F4953="Inactivo","No","Sí"))</f>
        <v/>
      </c>
      <c r="K4953" s="23" t="str">
        <f aca="false">IF(A4953="","",IF(AND(I4953="Sí",J4953="Sí"),"Sí","No"))</f>
        <v/>
      </c>
    </row>
    <row r="4954" customFormat="false" ht="15" hidden="false" customHeight="false" outlineLevel="0" collapsed="false">
      <c r="A4954" s="22"/>
      <c r="B4954" s="22"/>
      <c r="C4954" s="26" t="str">
        <f aca="false">IF(A4954="","",IFERROR(buscarx(A4954&amp;B4954,DATA!$E$3:$E$10000&amp;DATA!$B$3:$B$10000,DATA!$M$3:$M$10000),"No encontrado"))</f>
        <v/>
      </c>
      <c r="D4954" s="27" t="str">
        <f aca="false">IF(A4954="","",IFERROR(buscarx(A4954&amp;B4954,DATA!$E$3:$E$10000&amp;DATA!$B$3:$B$10000,DATA!$W$3:$W$10000),"No encontrado"))</f>
        <v/>
      </c>
      <c r="E4954" s="22"/>
      <c r="F4954" s="26" t="str">
        <f aca="false">IF(A4954="","",IFERROR(buscarx(A4954&amp;E4954,DATA!$E$3:$E$10000&amp;DATA!$B$3:$B$10000,DATA!$M$3:$M$10000),"Inactivo"))</f>
        <v/>
      </c>
      <c r="G4954" s="28" t="str">
        <f aca="false">IF(A4954="","",IF(AND(C4954&lt;&gt;"No encontrado",F4954&lt;&gt;"Inactivo"),C4954&amp;" → "&amp;F4954,"Sin transición"))</f>
        <v/>
      </c>
      <c r="H4954" s="26" t="str">
        <f aca="false">IF(A4954="","",IF(D4954="GCIA LINEA SERVICIO DIGITALIDAD Y VENTAS","Chats",IF(OR(D4954="GERENCIA INBOUND LÍNEAS SERVICIO Y VENTA",D4954="GERENCIA INBOUND LINEAS ESPECIALIZADAS"),"Llamadas","Otro")))</f>
        <v/>
      </c>
      <c r="I4954" s="26" t="str">
        <f aca="false">IF(A4954="","",IF(C4954="No encontrado","No","Sí"))</f>
        <v/>
      </c>
      <c r="J4954" s="26" t="str">
        <f aca="false">IF(A4954="","",IF(F4954="Inactivo","No","Sí"))</f>
        <v/>
      </c>
      <c r="K4954" s="26" t="str">
        <f aca="false">IF(A4954="","",IF(AND(I4954="Sí",J4954="Sí"),"Sí","No"))</f>
        <v/>
      </c>
    </row>
    <row r="4955" customFormat="false" ht="15" hidden="false" customHeight="false" outlineLevel="0" collapsed="false">
      <c r="A4955" s="22"/>
      <c r="B4955" s="22"/>
      <c r="C4955" s="23" t="str">
        <f aca="false">IF(A4955="","",IFERROR(buscarx(A4955&amp;B4955,DATA!$E$3:$E$10000&amp;DATA!$B$3:$B$10000,DATA!$M$3:$M$10000),"No encontrado"))</f>
        <v/>
      </c>
      <c r="D4955" s="24" t="str">
        <f aca="false">IF(A4955="","",IFERROR(buscarx(A4955&amp;B4955,DATA!$E$3:$E$10000&amp;DATA!$B$3:$B$10000,DATA!$W$3:$W$10000),"No encontrado"))</f>
        <v/>
      </c>
      <c r="E4955" s="22"/>
      <c r="F4955" s="23" t="str">
        <f aca="false">IF(A4955="","",IFERROR(buscarx(A4955&amp;E4955,DATA!$E$3:$E$10000&amp;DATA!$B$3:$B$10000,DATA!$M$3:$M$10000),"Inactivo"))</f>
        <v/>
      </c>
      <c r="G4955" s="25" t="str">
        <f aca="false">IF(A4955="","",IF(AND(C4955&lt;&gt;"No encontrado",F4955&lt;&gt;"Inactivo"),C4955&amp;" → "&amp;F4955,"Sin transición"))</f>
        <v/>
      </c>
      <c r="H4955" s="23" t="str">
        <f aca="false">IF(A4955="","",IF(D4955="GCIA LINEA SERVICIO DIGITALIDAD Y VENTAS","Chats",IF(OR(D4955="GERENCIA INBOUND LÍNEAS SERVICIO Y VENTA",D4955="GERENCIA INBOUND LINEAS ESPECIALIZADAS"),"Llamadas","Otro")))</f>
        <v/>
      </c>
      <c r="I4955" s="23" t="str">
        <f aca="false">IF(A4955="","",IF(C4955="No encontrado","No","Sí"))</f>
        <v/>
      </c>
      <c r="J4955" s="23" t="str">
        <f aca="false">IF(A4955="","",IF(F4955="Inactivo","No","Sí"))</f>
        <v/>
      </c>
      <c r="K4955" s="23" t="str">
        <f aca="false">IF(A4955="","",IF(AND(I4955="Sí",J4955="Sí"),"Sí","No"))</f>
        <v/>
      </c>
    </row>
    <row r="4956" customFormat="false" ht="15" hidden="false" customHeight="false" outlineLevel="0" collapsed="false">
      <c r="A4956" s="22"/>
      <c r="B4956" s="22"/>
      <c r="C4956" s="26" t="str">
        <f aca="false">IF(A4956="","",IFERROR(buscarx(A4956&amp;B4956,DATA!$E$3:$E$10000&amp;DATA!$B$3:$B$10000,DATA!$M$3:$M$10000),"No encontrado"))</f>
        <v/>
      </c>
      <c r="D4956" s="27" t="str">
        <f aca="false">IF(A4956="","",IFERROR(buscarx(A4956&amp;B4956,DATA!$E$3:$E$10000&amp;DATA!$B$3:$B$10000,DATA!$W$3:$W$10000),"No encontrado"))</f>
        <v/>
      </c>
      <c r="E4956" s="22"/>
      <c r="F4956" s="26" t="str">
        <f aca="false">IF(A4956="","",IFERROR(buscarx(A4956&amp;E4956,DATA!$E$3:$E$10000&amp;DATA!$B$3:$B$10000,DATA!$M$3:$M$10000),"Inactivo"))</f>
        <v/>
      </c>
      <c r="G4956" s="28" t="str">
        <f aca="false">IF(A4956="","",IF(AND(C4956&lt;&gt;"No encontrado",F4956&lt;&gt;"Inactivo"),C4956&amp;" → "&amp;F4956,"Sin transición"))</f>
        <v/>
      </c>
      <c r="H4956" s="26" t="str">
        <f aca="false">IF(A4956="","",IF(D4956="GCIA LINEA SERVICIO DIGITALIDAD Y VENTAS","Chats",IF(OR(D4956="GERENCIA INBOUND LÍNEAS SERVICIO Y VENTA",D4956="GERENCIA INBOUND LINEAS ESPECIALIZADAS"),"Llamadas","Otro")))</f>
        <v/>
      </c>
      <c r="I4956" s="26" t="str">
        <f aca="false">IF(A4956="","",IF(C4956="No encontrado","No","Sí"))</f>
        <v/>
      </c>
      <c r="J4956" s="26" t="str">
        <f aca="false">IF(A4956="","",IF(F4956="Inactivo","No","Sí"))</f>
        <v/>
      </c>
      <c r="K4956" s="26" t="str">
        <f aca="false">IF(A4956="","",IF(AND(I4956="Sí",J4956="Sí"),"Sí","No"))</f>
        <v/>
      </c>
    </row>
    <row r="4957" customFormat="false" ht="15" hidden="false" customHeight="false" outlineLevel="0" collapsed="false">
      <c r="A4957" s="22"/>
      <c r="B4957" s="22"/>
      <c r="C4957" s="23" t="str">
        <f aca="false">IF(A4957="","",IFERROR(buscarx(A4957&amp;B4957,DATA!$E$3:$E$10000&amp;DATA!$B$3:$B$10000,DATA!$M$3:$M$10000),"No encontrado"))</f>
        <v/>
      </c>
      <c r="D4957" s="24" t="str">
        <f aca="false">IF(A4957="","",IFERROR(buscarx(A4957&amp;B4957,DATA!$E$3:$E$10000&amp;DATA!$B$3:$B$10000,DATA!$W$3:$W$10000),"No encontrado"))</f>
        <v/>
      </c>
      <c r="E4957" s="22"/>
      <c r="F4957" s="23" t="str">
        <f aca="false">IF(A4957="","",IFERROR(buscarx(A4957&amp;E4957,DATA!$E$3:$E$10000&amp;DATA!$B$3:$B$10000,DATA!$M$3:$M$10000),"Inactivo"))</f>
        <v/>
      </c>
      <c r="G4957" s="25" t="str">
        <f aca="false">IF(A4957="","",IF(AND(C4957&lt;&gt;"No encontrado",F4957&lt;&gt;"Inactivo"),C4957&amp;" → "&amp;F4957,"Sin transición"))</f>
        <v/>
      </c>
      <c r="H4957" s="23" t="str">
        <f aca="false">IF(A4957="","",IF(D4957="GCIA LINEA SERVICIO DIGITALIDAD Y VENTAS","Chats",IF(OR(D4957="GERENCIA INBOUND LÍNEAS SERVICIO Y VENTA",D4957="GERENCIA INBOUND LINEAS ESPECIALIZADAS"),"Llamadas","Otro")))</f>
        <v/>
      </c>
      <c r="I4957" s="23" t="str">
        <f aca="false">IF(A4957="","",IF(C4957="No encontrado","No","Sí"))</f>
        <v/>
      </c>
      <c r="J4957" s="23" t="str">
        <f aca="false">IF(A4957="","",IF(F4957="Inactivo","No","Sí"))</f>
        <v/>
      </c>
      <c r="K4957" s="23" t="str">
        <f aca="false">IF(A4957="","",IF(AND(I4957="Sí",J4957="Sí"),"Sí","No"))</f>
        <v/>
      </c>
    </row>
    <row r="4958" customFormat="false" ht="15" hidden="false" customHeight="false" outlineLevel="0" collapsed="false">
      <c r="A4958" s="22"/>
      <c r="B4958" s="22"/>
      <c r="C4958" s="26" t="str">
        <f aca="false">IF(A4958="","",IFERROR(buscarx(A4958&amp;B4958,DATA!$E$3:$E$10000&amp;DATA!$B$3:$B$10000,DATA!$M$3:$M$10000),"No encontrado"))</f>
        <v/>
      </c>
      <c r="D4958" s="27" t="str">
        <f aca="false">IF(A4958="","",IFERROR(buscarx(A4958&amp;B4958,DATA!$E$3:$E$10000&amp;DATA!$B$3:$B$10000,DATA!$W$3:$W$10000),"No encontrado"))</f>
        <v/>
      </c>
      <c r="E4958" s="22"/>
      <c r="F4958" s="26" t="str">
        <f aca="false">IF(A4958="","",IFERROR(buscarx(A4958&amp;E4958,DATA!$E$3:$E$10000&amp;DATA!$B$3:$B$10000,DATA!$M$3:$M$10000),"Inactivo"))</f>
        <v/>
      </c>
      <c r="G4958" s="28" t="str">
        <f aca="false">IF(A4958="","",IF(AND(C4958&lt;&gt;"No encontrado",F4958&lt;&gt;"Inactivo"),C4958&amp;" → "&amp;F4958,"Sin transición"))</f>
        <v/>
      </c>
      <c r="H4958" s="26" t="str">
        <f aca="false">IF(A4958="","",IF(D4958="GCIA LINEA SERVICIO DIGITALIDAD Y VENTAS","Chats",IF(OR(D4958="GERENCIA INBOUND LÍNEAS SERVICIO Y VENTA",D4958="GERENCIA INBOUND LINEAS ESPECIALIZADAS"),"Llamadas","Otro")))</f>
        <v/>
      </c>
      <c r="I4958" s="26" t="str">
        <f aca="false">IF(A4958="","",IF(C4958="No encontrado","No","Sí"))</f>
        <v/>
      </c>
      <c r="J4958" s="26" t="str">
        <f aca="false">IF(A4958="","",IF(F4958="Inactivo","No","Sí"))</f>
        <v/>
      </c>
      <c r="K4958" s="26" t="str">
        <f aca="false">IF(A4958="","",IF(AND(I4958="Sí",J4958="Sí"),"Sí","No"))</f>
        <v/>
      </c>
    </row>
    <row r="4959" customFormat="false" ht="15" hidden="false" customHeight="false" outlineLevel="0" collapsed="false">
      <c r="A4959" s="22"/>
      <c r="B4959" s="22"/>
      <c r="C4959" s="23" t="str">
        <f aca="false">IF(A4959="","",IFERROR(buscarx(A4959&amp;B4959,DATA!$E$3:$E$10000&amp;DATA!$B$3:$B$10000,DATA!$M$3:$M$10000),"No encontrado"))</f>
        <v/>
      </c>
      <c r="D4959" s="24" t="str">
        <f aca="false">IF(A4959="","",IFERROR(buscarx(A4959&amp;B4959,DATA!$E$3:$E$10000&amp;DATA!$B$3:$B$10000,DATA!$W$3:$W$10000),"No encontrado"))</f>
        <v/>
      </c>
      <c r="E4959" s="22"/>
      <c r="F4959" s="23" t="str">
        <f aca="false">IF(A4959="","",IFERROR(buscarx(A4959&amp;E4959,DATA!$E$3:$E$10000&amp;DATA!$B$3:$B$10000,DATA!$M$3:$M$10000),"Inactivo"))</f>
        <v/>
      </c>
      <c r="G4959" s="25" t="str">
        <f aca="false">IF(A4959="","",IF(AND(C4959&lt;&gt;"No encontrado",F4959&lt;&gt;"Inactivo"),C4959&amp;" → "&amp;F4959,"Sin transición"))</f>
        <v/>
      </c>
      <c r="H4959" s="23" t="str">
        <f aca="false">IF(A4959="","",IF(D4959="GCIA LINEA SERVICIO DIGITALIDAD Y VENTAS","Chats",IF(OR(D4959="GERENCIA INBOUND LÍNEAS SERVICIO Y VENTA",D4959="GERENCIA INBOUND LINEAS ESPECIALIZADAS"),"Llamadas","Otro")))</f>
        <v/>
      </c>
      <c r="I4959" s="23" t="str">
        <f aca="false">IF(A4959="","",IF(C4959="No encontrado","No","Sí"))</f>
        <v/>
      </c>
      <c r="J4959" s="23" t="str">
        <f aca="false">IF(A4959="","",IF(F4959="Inactivo","No","Sí"))</f>
        <v/>
      </c>
      <c r="K4959" s="23" t="str">
        <f aca="false">IF(A4959="","",IF(AND(I4959="Sí",J4959="Sí"),"Sí","No"))</f>
        <v/>
      </c>
    </row>
    <row r="4960" customFormat="false" ht="15" hidden="false" customHeight="false" outlineLevel="0" collapsed="false">
      <c r="A4960" s="22"/>
      <c r="B4960" s="22"/>
      <c r="C4960" s="26" t="str">
        <f aca="false">IF(A4960="","",IFERROR(buscarx(A4960&amp;B4960,DATA!$E$3:$E$10000&amp;DATA!$B$3:$B$10000,DATA!$M$3:$M$10000),"No encontrado"))</f>
        <v/>
      </c>
      <c r="D4960" s="27" t="str">
        <f aca="false">IF(A4960="","",IFERROR(buscarx(A4960&amp;B4960,DATA!$E$3:$E$10000&amp;DATA!$B$3:$B$10000,DATA!$W$3:$W$10000),"No encontrado"))</f>
        <v/>
      </c>
      <c r="E4960" s="22"/>
      <c r="F4960" s="26" t="str">
        <f aca="false">IF(A4960="","",IFERROR(buscarx(A4960&amp;E4960,DATA!$E$3:$E$10000&amp;DATA!$B$3:$B$10000,DATA!$M$3:$M$10000),"Inactivo"))</f>
        <v/>
      </c>
      <c r="G4960" s="28" t="str">
        <f aca="false">IF(A4960="","",IF(AND(C4960&lt;&gt;"No encontrado",F4960&lt;&gt;"Inactivo"),C4960&amp;" → "&amp;F4960,"Sin transición"))</f>
        <v/>
      </c>
      <c r="H4960" s="26" t="str">
        <f aca="false">IF(A4960="","",IF(D4960="GCIA LINEA SERVICIO DIGITALIDAD Y VENTAS","Chats",IF(OR(D4960="GERENCIA INBOUND LÍNEAS SERVICIO Y VENTA",D4960="GERENCIA INBOUND LINEAS ESPECIALIZADAS"),"Llamadas","Otro")))</f>
        <v/>
      </c>
      <c r="I4960" s="26" t="str">
        <f aca="false">IF(A4960="","",IF(C4960="No encontrado","No","Sí"))</f>
        <v/>
      </c>
      <c r="J4960" s="26" t="str">
        <f aca="false">IF(A4960="","",IF(F4960="Inactivo","No","Sí"))</f>
        <v/>
      </c>
      <c r="K4960" s="26" t="str">
        <f aca="false">IF(A4960="","",IF(AND(I4960="Sí",J4960="Sí"),"Sí","No"))</f>
        <v/>
      </c>
    </row>
    <row r="4961" customFormat="false" ht="15" hidden="false" customHeight="false" outlineLevel="0" collapsed="false">
      <c r="A4961" s="22"/>
      <c r="B4961" s="22"/>
      <c r="C4961" s="23" t="str">
        <f aca="false">IF(A4961="","",IFERROR(buscarx(A4961&amp;B4961,DATA!$E$3:$E$10000&amp;DATA!$B$3:$B$10000,DATA!$M$3:$M$10000),"No encontrado"))</f>
        <v/>
      </c>
      <c r="D4961" s="24" t="str">
        <f aca="false">IF(A4961="","",IFERROR(buscarx(A4961&amp;B4961,DATA!$E$3:$E$10000&amp;DATA!$B$3:$B$10000,DATA!$W$3:$W$10000),"No encontrado"))</f>
        <v/>
      </c>
      <c r="E4961" s="22"/>
      <c r="F4961" s="23" t="str">
        <f aca="false">IF(A4961="","",IFERROR(buscarx(A4961&amp;E4961,DATA!$E$3:$E$10000&amp;DATA!$B$3:$B$10000,DATA!$M$3:$M$10000),"Inactivo"))</f>
        <v/>
      </c>
      <c r="G4961" s="25" t="str">
        <f aca="false">IF(A4961="","",IF(AND(C4961&lt;&gt;"No encontrado",F4961&lt;&gt;"Inactivo"),C4961&amp;" → "&amp;F4961,"Sin transición"))</f>
        <v/>
      </c>
      <c r="H4961" s="23" t="str">
        <f aca="false">IF(A4961="","",IF(D4961="GCIA LINEA SERVICIO DIGITALIDAD Y VENTAS","Chats",IF(OR(D4961="GERENCIA INBOUND LÍNEAS SERVICIO Y VENTA",D4961="GERENCIA INBOUND LINEAS ESPECIALIZADAS"),"Llamadas","Otro")))</f>
        <v/>
      </c>
      <c r="I4961" s="23" t="str">
        <f aca="false">IF(A4961="","",IF(C4961="No encontrado","No","Sí"))</f>
        <v/>
      </c>
      <c r="J4961" s="23" t="str">
        <f aca="false">IF(A4961="","",IF(F4961="Inactivo","No","Sí"))</f>
        <v/>
      </c>
      <c r="K4961" s="23" t="str">
        <f aca="false">IF(A4961="","",IF(AND(I4961="Sí",J4961="Sí"),"Sí","No"))</f>
        <v/>
      </c>
    </row>
    <row r="4962" customFormat="false" ht="15" hidden="false" customHeight="false" outlineLevel="0" collapsed="false">
      <c r="A4962" s="22"/>
      <c r="B4962" s="22"/>
      <c r="C4962" s="26" t="str">
        <f aca="false">IF(A4962="","",IFERROR(buscarx(A4962&amp;B4962,DATA!$E$3:$E$10000&amp;DATA!$B$3:$B$10000,DATA!$M$3:$M$10000),"No encontrado"))</f>
        <v/>
      </c>
      <c r="D4962" s="27" t="str">
        <f aca="false">IF(A4962="","",IFERROR(buscarx(A4962&amp;B4962,DATA!$E$3:$E$10000&amp;DATA!$B$3:$B$10000,DATA!$W$3:$W$10000),"No encontrado"))</f>
        <v/>
      </c>
      <c r="E4962" s="22"/>
      <c r="F4962" s="26" t="str">
        <f aca="false">IF(A4962="","",IFERROR(buscarx(A4962&amp;E4962,DATA!$E$3:$E$10000&amp;DATA!$B$3:$B$10000,DATA!$M$3:$M$10000),"Inactivo"))</f>
        <v/>
      </c>
      <c r="G4962" s="28" t="str">
        <f aca="false">IF(A4962="","",IF(AND(C4962&lt;&gt;"No encontrado",F4962&lt;&gt;"Inactivo"),C4962&amp;" → "&amp;F4962,"Sin transición"))</f>
        <v/>
      </c>
      <c r="H4962" s="26" t="str">
        <f aca="false">IF(A4962="","",IF(D4962="GCIA LINEA SERVICIO DIGITALIDAD Y VENTAS","Chats",IF(OR(D4962="GERENCIA INBOUND LÍNEAS SERVICIO Y VENTA",D4962="GERENCIA INBOUND LINEAS ESPECIALIZADAS"),"Llamadas","Otro")))</f>
        <v/>
      </c>
      <c r="I4962" s="26" t="str">
        <f aca="false">IF(A4962="","",IF(C4962="No encontrado","No","Sí"))</f>
        <v/>
      </c>
      <c r="J4962" s="26" t="str">
        <f aca="false">IF(A4962="","",IF(F4962="Inactivo","No","Sí"))</f>
        <v/>
      </c>
      <c r="K4962" s="26" t="str">
        <f aca="false">IF(A4962="","",IF(AND(I4962="Sí",J4962="Sí"),"Sí","No"))</f>
        <v/>
      </c>
    </row>
    <row r="4963" customFormat="false" ht="15" hidden="false" customHeight="false" outlineLevel="0" collapsed="false">
      <c r="A4963" s="22"/>
      <c r="B4963" s="22"/>
      <c r="C4963" s="23" t="str">
        <f aca="false">IF(A4963="","",IFERROR(buscarx(A4963&amp;B4963,DATA!$E$3:$E$10000&amp;DATA!$B$3:$B$10000,DATA!$M$3:$M$10000),"No encontrado"))</f>
        <v/>
      </c>
      <c r="D4963" s="24" t="str">
        <f aca="false">IF(A4963="","",IFERROR(buscarx(A4963&amp;B4963,DATA!$E$3:$E$10000&amp;DATA!$B$3:$B$10000,DATA!$W$3:$W$10000),"No encontrado"))</f>
        <v/>
      </c>
      <c r="E4963" s="22"/>
      <c r="F4963" s="23" t="str">
        <f aca="false">IF(A4963="","",IFERROR(buscarx(A4963&amp;E4963,DATA!$E$3:$E$10000&amp;DATA!$B$3:$B$10000,DATA!$M$3:$M$10000),"Inactivo"))</f>
        <v/>
      </c>
      <c r="G4963" s="25" t="str">
        <f aca="false">IF(A4963="","",IF(AND(C4963&lt;&gt;"No encontrado",F4963&lt;&gt;"Inactivo"),C4963&amp;" → "&amp;F4963,"Sin transición"))</f>
        <v/>
      </c>
      <c r="H4963" s="23" t="str">
        <f aca="false">IF(A4963="","",IF(D4963="GCIA LINEA SERVICIO DIGITALIDAD Y VENTAS","Chats",IF(OR(D4963="GERENCIA INBOUND LÍNEAS SERVICIO Y VENTA",D4963="GERENCIA INBOUND LINEAS ESPECIALIZADAS"),"Llamadas","Otro")))</f>
        <v/>
      </c>
      <c r="I4963" s="23" t="str">
        <f aca="false">IF(A4963="","",IF(C4963="No encontrado","No","Sí"))</f>
        <v/>
      </c>
      <c r="J4963" s="23" t="str">
        <f aca="false">IF(A4963="","",IF(F4963="Inactivo","No","Sí"))</f>
        <v/>
      </c>
      <c r="K4963" s="23" t="str">
        <f aca="false">IF(A4963="","",IF(AND(I4963="Sí",J4963="Sí"),"Sí","No"))</f>
        <v/>
      </c>
    </row>
    <row r="4964" customFormat="false" ht="15" hidden="false" customHeight="false" outlineLevel="0" collapsed="false">
      <c r="A4964" s="22"/>
      <c r="B4964" s="22"/>
      <c r="C4964" s="26" t="str">
        <f aca="false">IF(A4964="","",IFERROR(buscarx(A4964&amp;B4964,DATA!$E$3:$E$10000&amp;DATA!$B$3:$B$10000,DATA!$M$3:$M$10000),"No encontrado"))</f>
        <v/>
      </c>
      <c r="D4964" s="27" t="str">
        <f aca="false">IF(A4964="","",IFERROR(buscarx(A4964&amp;B4964,DATA!$E$3:$E$10000&amp;DATA!$B$3:$B$10000,DATA!$W$3:$W$10000),"No encontrado"))</f>
        <v/>
      </c>
      <c r="E4964" s="22"/>
      <c r="F4964" s="26" t="str">
        <f aca="false">IF(A4964="","",IFERROR(buscarx(A4964&amp;E4964,DATA!$E$3:$E$10000&amp;DATA!$B$3:$B$10000,DATA!$M$3:$M$10000),"Inactivo"))</f>
        <v/>
      </c>
      <c r="G4964" s="28" t="str">
        <f aca="false">IF(A4964="","",IF(AND(C4964&lt;&gt;"No encontrado",F4964&lt;&gt;"Inactivo"),C4964&amp;" → "&amp;F4964,"Sin transición"))</f>
        <v/>
      </c>
      <c r="H4964" s="26" t="str">
        <f aca="false">IF(A4964="","",IF(D4964="GCIA LINEA SERVICIO DIGITALIDAD Y VENTAS","Chats",IF(OR(D4964="GERENCIA INBOUND LÍNEAS SERVICIO Y VENTA",D4964="GERENCIA INBOUND LINEAS ESPECIALIZADAS"),"Llamadas","Otro")))</f>
        <v/>
      </c>
      <c r="I4964" s="26" t="str">
        <f aca="false">IF(A4964="","",IF(C4964="No encontrado","No","Sí"))</f>
        <v/>
      </c>
      <c r="J4964" s="26" t="str">
        <f aca="false">IF(A4964="","",IF(F4964="Inactivo","No","Sí"))</f>
        <v/>
      </c>
      <c r="K4964" s="26" t="str">
        <f aca="false">IF(A4964="","",IF(AND(I4964="Sí",J4964="Sí"),"Sí","No"))</f>
        <v/>
      </c>
    </row>
    <row r="4965" customFormat="false" ht="15" hidden="false" customHeight="false" outlineLevel="0" collapsed="false">
      <c r="A4965" s="22"/>
      <c r="B4965" s="22"/>
      <c r="C4965" s="23" t="str">
        <f aca="false">IF(A4965="","",IFERROR(buscarx(A4965&amp;B4965,DATA!$E$3:$E$10000&amp;DATA!$B$3:$B$10000,DATA!$M$3:$M$10000),"No encontrado"))</f>
        <v/>
      </c>
      <c r="D4965" s="24" t="str">
        <f aca="false">IF(A4965="","",IFERROR(buscarx(A4965&amp;B4965,DATA!$E$3:$E$10000&amp;DATA!$B$3:$B$10000,DATA!$W$3:$W$10000),"No encontrado"))</f>
        <v/>
      </c>
      <c r="E4965" s="22"/>
      <c r="F4965" s="23" t="str">
        <f aca="false">IF(A4965="","",IFERROR(buscarx(A4965&amp;E4965,DATA!$E$3:$E$10000&amp;DATA!$B$3:$B$10000,DATA!$M$3:$M$10000),"Inactivo"))</f>
        <v/>
      </c>
      <c r="G4965" s="25" t="str">
        <f aca="false">IF(A4965="","",IF(AND(C4965&lt;&gt;"No encontrado",F4965&lt;&gt;"Inactivo"),C4965&amp;" → "&amp;F4965,"Sin transición"))</f>
        <v/>
      </c>
      <c r="H4965" s="23" t="str">
        <f aca="false">IF(A4965="","",IF(D4965="GCIA LINEA SERVICIO DIGITALIDAD Y VENTAS","Chats",IF(OR(D4965="GERENCIA INBOUND LÍNEAS SERVICIO Y VENTA",D4965="GERENCIA INBOUND LINEAS ESPECIALIZADAS"),"Llamadas","Otro")))</f>
        <v/>
      </c>
      <c r="I4965" s="23" t="str">
        <f aca="false">IF(A4965="","",IF(C4965="No encontrado","No","Sí"))</f>
        <v/>
      </c>
      <c r="J4965" s="23" t="str">
        <f aca="false">IF(A4965="","",IF(F4965="Inactivo","No","Sí"))</f>
        <v/>
      </c>
      <c r="K4965" s="23" t="str">
        <f aca="false">IF(A4965="","",IF(AND(I4965="Sí",J4965="Sí"),"Sí","No"))</f>
        <v/>
      </c>
    </row>
    <row r="4966" customFormat="false" ht="15" hidden="false" customHeight="false" outlineLevel="0" collapsed="false">
      <c r="A4966" s="22"/>
      <c r="B4966" s="22"/>
      <c r="C4966" s="26" t="str">
        <f aca="false">IF(A4966="","",IFERROR(buscarx(A4966&amp;B4966,DATA!$E$3:$E$10000&amp;DATA!$B$3:$B$10000,DATA!$M$3:$M$10000),"No encontrado"))</f>
        <v/>
      </c>
      <c r="D4966" s="27" t="str">
        <f aca="false">IF(A4966="","",IFERROR(buscarx(A4966&amp;B4966,DATA!$E$3:$E$10000&amp;DATA!$B$3:$B$10000,DATA!$W$3:$W$10000),"No encontrado"))</f>
        <v/>
      </c>
      <c r="E4966" s="22"/>
      <c r="F4966" s="26" t="str">
        <f aca="false">IF(A4966="","",IFERROR(buscarx(A4966&amp;E4966,DATA!$E$3:$E$10000&amp;DATA!$B$3:$B$10000,DATA!$M$3:$M$10000),"Inactivo"))</f>
        <v/>
      </c>
      <c r="G4966" s="28" t="str">
        <f aca="false">IF(A4966="","",IF(AND(C4966&lt;&gt;"No encontrado",F4966&lt;&gt;"Inactivo"),C4966&amp;" → "&amp;F4966,"Sin transición"))</f>
        <v/>
      </c>
      <c r="H4966" s="26" t="str">
        <f aca="false">IF(A4966="","",IF(D4966="GCIA LINEA SERVICIO DIGITALIDAD Y VENTAS","Chats",IF(OR(D4966="GERENCIA INBOUND LÍNEAS SERVICIO Y VENTA",D4966="GERENCIA INBOUND LINEAS ESPECIALIZADAS"),"Llamadas","Otro")))</f>
        <v/>
      </c>
      <c r="I4966" s="26" t="str">
        <f aca="false">IF(A4966="","",IF(C4966="No encontrado","No","Sí"))</f>
        <v/>
      </c>
      <c r="J4966" s="26" t="str">
        <f aca="false">IF(A4966="","",IF(F4966="Inactivo","No","Sí"))</f>
        <v/>
      </c>
      <c r="K4966" s="26" t="str">
        <f aca="false">IF(A4966="","",IF(AND(I4966="Sí",J4966="Sí"),"Sí","No"))</f>
        <v/>
      </c>
    </row>
    <row r="4967" customFormat="false" ht="15" hidden="false" customHeight="false" outlineLevel="0" collapsed="false">
      <c r="A4967" s="22"/>
      <c r="B4967" s="22"/>
      <c r="C4967" s="23" t="str">
        <f aca="false">IF(A4967="","",IFERROR(buscarx(A4967&amp;B4967,DATA!$E$3:$E$10000&amp;DATA!$B$3:$B$10000,DATA!$M$3:$M$10000),"No encontrado"))</f>
        <v/>
      </c>
      <c r="D4967" s="24" t="str">
        <f aca="false">IF(A4967="","",IFERROR(buscarx(A4967&amp;B4967,DATA!$E$3:$E$10000&amp;DATA!$B$3:$B$10000,DATA!$W$3:$W$10000),"No encontrado"))</f>
        <v/>
      </c>
      <c r="E4967" s="22"/>
      <c r="F4967" s="23" t="str">
        <f aca="false">IF(A4967="","",IFERROR(buscarx(A4967&amp;E4967,DATA!$E$3:$E$10000&amp;DATA!$B$3:$B$10000,DATA!$M$3:$M$10000),"Inactivo"))</f>
        <v/>
      </c>
      <c r="G4967" s="25" t="str">
        <f aca="false">IF(A4967="","",IF(AND(C4967&lt;&gt;"No encontrado",F4967&lt;&gt;"Inactivo"),C4967&amp;" → "&amp;F4967,"Sin transición"))</f>
        <v/>
      </c>
      <c r="H4967" s="23" t="str">
        <f aca="false">IF(A4967="","",IF(D4967="GCIA LINEA SERVICIO DIGITALIDAD Y VENTAS","Chats",IF(OR(D4967="GERENCIA INBOUND LÍNEAS SERVICIO Y VENTA",D4967="GERENCIA INBOUND LINEAS ESPECIALIZADAS"),"Llamadas","Otro")))</f>
        <v/>
      </c>
      <c r="I4967" s="23" t="str">
        <f aca="false">IF(A4967="","",IF(C4967="No encontrado","No","Sí"))</f>
        <v/>
      </c>
      <c r="J4967" s="23" t="str">
        <f aca="false">IF(A4967="","",IF(F4967="Inactivo","No","Sí"))</f>
        <v/>
      </c>
      <c r="K4967" s="23" t="str">
        <f aca="false">IF(A4967="","",IF(AND(I4967="Sí",J4967="Sí"),"Sí","No"))</f>
        <v/>
      </c>
    </row>
    <row r="4968" customFormat="false" ht="15" hidden="false" customHeight="false" outlineLevel="0" collapsed="false">
      <c r="A4968" s="22"/>
      <c r="B4968" s="22"/>
      <c r="C4968" s="26" t="str">
        <f aca="false">IF(A4968="","",IFERROR(buscarx(A4968&amp;B4968,DATA!$E$3:$E$10000&amp;DATA!$B$3:$B$10000,DATA!$M$3:$M$10000),"No encontrado"))</f>
        <v/>
      </c>
      <c r="D4968" s="27" t="str">
        <f aca="false">IF(A4968="","",IFERROR(buscarx(A4968&amp;B4968,DATA!$E$3:$E$10000&amp;DATA!$B$3:$B$10000,DATA!$W$3:$W$10000),"No encontrado"))</f>
        <v/>
      </c>
      <c r="E4968" s="22"/>
      <c r="F4968" s="26" t="str">
        <f aca="false">IF(A4968="","",IFERROR(buscarx(A4968&amp;E4968,DATA!$E$3:$E$10000&amp;DATA!$B$3:$B$10000,DATA!$M$3:$M$10000),"Inactivo"))</f>
        <v/>
      </c>
      <c r="G4968" s="28" t="str">
        <f aca="false">IF(A4968="","",IF(AND(C4968&lt;&gt;"No encontrado",F4968&lt;&gt;"Inactivo"),C4968&amp;" → "&amp;F4968,"Sin transición"))</f>
        <v/>
      </c>
      <c r="H4968" s="26" t="str">
        <f aca="false">IF(A4968="","",IF(D4968="GCIA LINEA SERVICIO DIGITALIDAD Y VENTAS","Chats",IF(OR(D4968="GERENCIA INBOUND LÍNEAS SERVICIO Y VENTA",D4968="GERENCIA INBOUND LINEAS ESPECIALIZADAS"),"Llamadas","Otro")))</f>
        <v/>
      </c>
      <c r="I4968" s="26" t="str">
        <f aca="false">IF(A4968="","",IF(C4968="No encontrado","No","Sí"))</f>
        <v/>
      </c>
      <c r="J4968" s="26" t="str">
        <f aca="false">IF(A4968="","",IF(F4968="Inactivo","No","Sí"))</f>
        <v/>
      </c>
      <c r="K4968" s="26" t="str">
        <f aca="false">IF(A4968="","",IF(AND(I4968="Sí",J4968="Sí"),"Sí","No"))</f>
        <v/>
      </c>
    </row>
    <row r="4969" customFormat="false" ht="15" hidden="false" customHeight="false" outlineLevel="0" collapsed="false">
      <c r="A4969" s="22"/>
      <c r="B4969" s="22"/>
      <c r="C4969" s="23" t="str">
        <f aca="false">IF(A4969="","",IFERROR(buscarx(A4969&amp;B4969,DATA!$E$3:$E$10000&amp;DATA!$B$3:$B$10000,DATA!$M$3:$M$10000),"No encontrado"))</f>
        <v/>
      </c>
      <c r="D4969" s="24" t="str">
        <f aca="false">IF(A4969="","",IFERROR(buscarx(A4969&amp;B4969,DATA!$E$3:$E$10000&amp;DATA!$B$3:$B$10000,DATA!$W$3:$W$10000),"No encontrado"))</f>
        <v/>
      </c>
      <c r="E4969" s="22"/>
      <c r="F4969" s="23" t="str">
        <f aca="false">IF(A4969="","",IFERROR(buscarx(A4969&amp;E4969,DATA!$E$3:$E$10000&amp;DATA!$B$3:$B$10000,DATA!$M$3:$M$10000),"Inactivo"))</f>
        <v/>
      </c>
      <c r="G4969" s="25" t="str">
        <f aca="false">IF(A4969="","",IF(AND(C4969&lt;&gt;"No encontrado",F4969&lt;&gt;"Inactivo"),C4969&amp;" → "&amp;F4969,"Sin transición"))</f>
        <v/>
      </c>
      <c r="H4969" s="23" t="str">
        <f aca="false">IF(A4969="","",IF(D4969="GCIA LINEA SERVICIO DIGITALIDAD Y VENTAS","Chats",IF(OR(D4969="GERENCIA INBOUND LÍNEAS SERVICIO Y VENTA",D4969="GERENCIA INBOUND LINEAS ESPECIALIZADAS"),"Llamadas","Otro")))</f>
        <v/>
      </c>
      <c r="I4969" s="23" t="str">
        <f aca="false">IF(A4969="","",IF(C4969="No encontrado","No","Sí"))</f>
        <v/>
      </c>
      <c r="J4969" s="23" t="str">
        <f aca="false">IF(A4969="","",IF(F4969="Inactivo","No","Sí"))</f>
        <v/>
      </c>
      <c r="K4969" s="23" t="str">
        <f aca="false">IF(A4969="","",IF(AND(I4969="Sí",J4969="Sí"),"Sí","No"))</f>
        <v/>
      </c>
    </row>
    <row r="4970" customFormat="false" ht="15" hidden="false" customHeight="false" outlineLevel="0" collapsed="false">
      <c r="A4970" s="22"/>
      <c r="B4970" s="22"/>
      <c r="C4970" s="26" t="str">
        <f aca="false">IF(A4970="","",IFERROR(buscarx(A4970&amp;B4970,DATA!$E$3:$E$10000&amp;DATA!$B$3:$B$10000,DATA!$M$3:$M$10000),"No encontrado"))</f>
        <v/>
      </c>
      <c r="D4970" s="27" t="str">
        <f aca="false">IF(A4970="","",IFERROR(buscarx(A4970&amp;B4970,DATA!$E$3:$E$10000&amp;DATA!$B$3:$B$10000,DATA!$W$3:$W$10000),"No encontrado"))</f>
        <v/>
      </c>
      <c r="E4970" s="22"/>
      <c r="F4970" s="26" t="str">
        <f aca="false">IF(A4970="","",IFERROR(buscarx(A4970&amp;E4970,DATA!$E$3:$E$10000&amp;DATA!$B$3:$B$10000,DATA!$M$3:$M$10000),"Inactivo"))</f>
        <v/>
      </c>
      <c r="G4970" s="28" t="str">
        <f aca="false">IF(A4970="","",IF(AND(C4970&lt;&gt;"No encontrado",F4970&lt;&gt;"Inactivo"),C4970&amp;" → "&amp;F4970,"Sin transición"))</f>
        <v/>
      </c>
      <c r="H4970" s="26" t="str">
        <f aca="false">IF(A4970="","",IF(D4970="GCIA LINEA SERVICIO DIGITALIDAD Y VENTAS","Chats",IF(OR(D4970="GERENCIA INBOUND LÍNEAS SERVICIO Y VENTA",D4970="GERENCIA INBOUND LINEAS ESPECIALIZADAS"),"Llamadas","Otro")))</f>
        <v/>
      </c>
      <c r="I4970" s="26" t="str">
        <f aca="false">IF(A4970="","",IF(C4970="No encontrado","No","Sí"))</f>
        <v/>
      </c>
      <c r="J4970" s="26" t="str">
        <f aca="false">IF(A4970="","",IF(F4970="Inactivo","No","Sí"))</f>
        <v/>
      </c>
      <c r="K4970" s="26" t="str">
        <f aca="false">IF(A4970="","",IF(AND(I4970="Sí",J4970="Sí"),"Sí","No"))</f>
        <v/>
      </c>
    </row>
    <row r="4971" customFormat="false" ht="15" hidden="false" customHeight="false" outlineLevel="0" collapsed="false">
      <c r="A4971" s="22"/>
      <c r="B4971" s="22"/>
      <c r="C4971" s="23" t="str">
        <f aca="false">IF(A4971="","",IFERROR(buscarx(A4971&amp;B4971,DATA!$E$3:$E$10000&amp;DATA!$B$3:$B$10000,DATA!$M$3:$M$10000),"No encontrado"))</f>
        <v/>
      </c>
      <c r="D4971" s="24" t="str">
        <f aca="false">IF(A4971="","",IFERROR(buscarx(A4971&amp;B4971,DATA!$E$3:$E$10000&amp;DATA!$B$3:$B$10000,DATA!$W$3:$W$10000),"No encontrado"))</f>
        <v/>
      </c>
      <c r="E4971" s="22"/>
      <c r="F4971" s="23" t="str">
        <f aca="false">IF(A4971="","",IFERROR(buscarx(A4971&amp;E4971,DATA!$E$3:$E$10000&amp;DATA!$B$3:$B$10000,DATA!$M$3:$M$10000),"Inactivo"))</f>
        <v/>
      </c>
      <c r="G4971" s="25" t="str">
        <f aca="false">IF(A4971="","",IF(AND(C4971&lt;&gt;"No encontrado",F4971&lt;&gt;"Inactivo"),C4971&amp;" → "&amp;F4971,"Sin transición"))</f>
        <v/>
      </c>
      <c r="H4971" s="23" t="str">
        <f aca="false">IF(A4971="","",IF(D4971="GCIA LINEA SERVICIO DIGITALIDAD Y VENTAS","Chats",IF(OR(D4971="GERENCIA INBOUND LÍNEAS SERVICIO Y VENTA",D4971="GERENCIA INBOUND LINEAS ESPECIALIZADAS"),"Llamadas","Otro")))</f>
        <v/>
      </c>
      <c r="I4971" s="23" t="str">
        <f aca="false">IF(A4971="","",IF(C4971="No encontrado","No","Sí"))</f>
        <v/>
      </c>
      <c r="J4971" s="23" t="str">
        <f aca="false">IF(A4971="","",IF(F4971="Inactivo","No","Sí"))</f>
        <v/>
      </c>
      <c r="K4971" s="23" t="str">
        <f aca="false">IF(A4971="","",IF(AND(I4971="Sí",J4971="Sí"),"Sí","No"))</f>
        <v/>
      </c>
    </row>
    <row r="4972" customFormat="false" ht="15" hidden="false" customHeight="false" outlineLevel="0" collapsed="false">
      <c r="A4972" s="22"/>
      <c r="B4972" s="22"/>
      <c r="C4972" s="26" t="str">
        <f aca="false">IF(A4972="","",IFERROR(buscarx(A4972&amp;B4972,DATA!$E$3:$E$10000&amp;DATA!$B$3:$B$10000,DATA!$M$3:$M$10000),"No encontrado"))</f>
        <v/>
      </c>
      <c r="D4972" s="27" t="str">
        <f aca="false">IF(A4972="","",IFERROR(buscarx(A4972&amp;B4972,DATA!$E$3:$E$10000&amp;DATA!$B$3:$B$10000,DATA!$W$3:$W$10000),"No encontrado"))</f>
        <v/>
      </c>
      <c r="E4972" s="22"/>
      <c r="F4972" s="26" t="str">
        <f aca="false">IF(A4972="","",IFERROR(buscarx(A4972&amp;E4972,DATA!$E$3:$E$10000&amp;DATA!$B$3:$B$10000,DATA!$M$3:$M$10000),"Inactivo"))</f>
        <v/>
      </c>
      <c r="G4972" s="28" t="str">
        <f aca="false">IF(A4972="","",IF(AND(C4972&lt;&gt;"No encontrado",F4972&lt;&gt;"Inactivo"),C4972&amp;" → "&amp;F4972,"Sin transición"))</f>
        <v/>
      </c>
      <c r="H4972" s="26" t="str">
        <f aca="false">IF(A4972="","",IF(D4972="GCIA LINEA SERVICIO DIGITALIDAD Y VENTAS","Chats",IF(OR(D4972="GERENCIA INBOUND LÍNEAS SERVICIO Y VENTA",D4972="GERENCIA INBOUND LINEAS ESPECIALIZADAS"),"Llamadas","Otro")))</f>
        <v/>
      </c>
      <c r="I4972" s="26" t="str">
        <f aca="false">IF(A4972="","",IF(C4972="No encontrado","No","Sí"))</f>
        <v/>
      </c>
      <c r="J4972" s="26" t="str">
        <f aca="false">IF(A4972="","",IF(F4972="Inactivo","No","Sí"))</f>
        <v/>
      </c>
      <c r="K4972" s="26" t="str">
        <f aca="false">IF(A4972="","",IF(AND(I4972="Sí",J4972="Sí"),"Sí","No"))</f>
        <v/>
      </c>
    </row>
    <row r="4973" customFormat="false" ht="15" hidden="false" customHeight="false" outlineLevel="0" collapsed="false">
      <c r="A4973" s="22"/>
      <c r="B4973" s="22"/>
      <c r="C4973" s="23" t="str">
        <f aca="false">IF(A4973="","",IFERROR(buscarx(A4973&amp;B4973,DATA!$E$3:$E$10000&amp;DATA!$B$3:$B$10000,DATA!$M$3:$M$10000),"No encontrado"))</f>
        <v/>
      </c>
      <c r="D4973" s="24" t="str">
        <f aca="false">IF(A4973="","",IFERROR(buscarx(A4973&amp;B4973,DATA!$E$3:$E$10000&amp;DATA!$B$3:$B$10000,DATA!$W$3:$W$10000),"No encontrado"))</f>
        <v/>
      </c>
      <c r="E4973" s="22"/>
      <c r="F4973" s="23" t="str">
        <f aca="false">IF(A4973="","",IFERROR(buscarx(A4973&amp;E4973,DATA!$E$3:$E$10000&amp;DATA!$B$3:$B$10000,DATA!$M$3:$M$10000),"Inactivo"))</f>
        <v/>
      </c>
      <c r="G4973" s="25" t="str">
        <f aca="false">IF(A4973="","",IF(AND(C4973&lt;&gt;"No encontrado",F4973&lt;&gt;"Inactivo"),C4973&amp;" → "&amp;F4973,"Sin transición"))</f>
        <v/>
      </c>
      <c r="H4973" s="23" t="str">
        <f aca="false">IF(A4973="","",IF(D4973="GCIA LINEA SERVICIO DIGITALIDAD Y VENTAS","Chats",IF(OR(D4973="GERENCIA INBOUND LÍNEAS SERVICIO Y VENTA",D4973="GERENCIA INBOUND LINEAS ESPECIALIZADAS"),"Llamadas","Otro")))</f>
        <v/>
      </c>
      <c r="I4973" s="23" t="str">
        <f aca="false">IF(A4973="","",IF(C4973="No encontrado","No","Sí"))</f>
        <v/>
      </c>
      <c r="J4973" s="23" t="str">
        <f aca="false">IF(A4973="","",IF(F4973="Inactivo","No","Sí"))</f>
        <v/>
      </c>
      <c r="K4973" s="23" t="str">
        <f aca="false">IF(A4973="","",IF(AND(I4973="Sí",J4973="Sí"),"Sí","No"))</f>
        <v/>
      </c>
    </row>
    <row r="4974" customFormat="false" ht="15" hidden="false" customHeight="false" outlineLevel="0" collapsed="false">
      <c r="A4974" s="22"/>
      <c r="B4974" s="22"/>
      <c r="C4974" s="26" t="str">
        <f aca="false">IF(A4974="","",IFERROR(buscarx(A4974&amp;B4974,DATA!$E$3:$E$10000&amp;DATA!$B$3:$B$10000,DATA!$M$3:$M$10000),"No encontrado"))</f>
        <v/>
      </c>
      <c r="D4974" s="27" t="str">
        <f aca="false">IF(A4974="","",IFERROR(buscarx(A4974&amp;B4974,DATA!$E$3:$E$10000&amp;DATA!$B$3:$B$10000,DATA!$W$3:$W$10000),"No encontrado"))</f>
        <v/>
      </c>
      <c r="E4974" s="22"/>
      <c r="F4974" s="26" t="str">
        <f aca="false">IF(A4974="","",IFERROR(buscarx(A4974&amp;E4974,DATA!$E$3:$E$10000&amp;DATA!$B$3:$B$10000,DATA!$M$3:$M$10000),"Inactivo"))</f>
        <v/>
      </c>
      <c r="G4974" s="28" t="str">
        <f aca="false">IF(A4974="","",IF(AND(C4974&lt;&gt;"No encontrado",F4974&lt;&gt;"Inactivo"),C4974&amp;" → "&amp;F4974,"Sin transición"))</f>
        <v/>
      </c>
      <c r="H4974" s="26" t="str">
        <f aca="false">IF(A4974="","",IF(D4974="GCIA LINEA SERVICIO DIGITALIDAD Y VENTAS","Chats",IF(OR(D4974="GERENCIA INBOUND LÍNEAS SERVICIO Y VENTA",D4974="GERENCIA INBOUND LINEAS ESPECIALIZADAS"),"Llamadas","Otro")))</f>
        <v/>
      </c>
      <c r="I4974" s="26" t="str">
        <f aca="false">IF(A4974="","",IF(C4974="No encontrado","No","Sí"))</f>
        <v/>
      </c>
      <c r="J4974" s="26" t="str">
        <f aca="false">IF(A4974="","",IF(F4974="Inactivo","No","Sí"))</f>
        <v/>
      </c>
      <c r="K4974" s="26" t="str">
        <f aca="false">IF(A4974="","",IF(AND(I4974="Sí",J4974="Sí"),"Sí","No"))</f>
        <v/>
      </c>
    </row>
    <row r="4975" customFormat="false" ht="15" hidden="false" customHeight="false" outlineLevel="0" collapsed="false">
      <c r="A4975" s="22"/>
      <c r="B4975" s="22"/>
      <c r="C4975" s="23" t="str">
        <f aca="false">IF(A4975="","",IFERROR(buscarx(A4975&amp;B4975,DATA!$E$3:$E$10000&amp;DATA!$B$3:$B$10000,DATA!$M$3:$M$10000),"No encontrado"))</f>
        <v/>
      </c>
      <c r="D4975" s="24" t="str">
        <f aca="false">IF(A4975="","",IFERROR(buscarx(A4975&amp;B4975,DATA!$E$3:$E$10000&amp;DATA!$B$3:$B$10000,DATA!$W$3:$W$10000),"No encontrado"))</f>
        <v/>
      </c>
      <c r="E4975" s="22"/>
      <c r="F4975" s="23" t="str">
        <f aca="false">IF(A4975="","",IFERROR(buscarx(A4975&amp;E4975,DATA!$E$3:$E$10000&amp;DATA!$B$3:$B$10000,DATA!$M$3:$M$10000),"Inactivo"))</f>
        <v/>
      </c>
      <c r="G4975" s="25" t="str">
        <f aca="false">IF(A4975="","",IF(AND(C4975&lt;&gt;"No encontrado",F4975&lt;&gt;"Inactivo"),C4975&amp;" → "&amp;F4975,"Sin transición"))</f>
        <v/>
      </c>
      <c r="H4975" s="23" t="str">
        <f aca="false">IF(A4975="","",IF(D4975="GCIA LINEA SERVICIO DIGITALIDAD Y VENTAS","Chats",IF(OR(D4975="GERENCIA INBOUND LÍNEAS SERVICIO Y VENTA",D4975="GERENCIA INBOUND LINEAS ESPECIALIZADAS"),"Llamadas","Otro")))</f>
        <v/>
      </c>
      <c r="I4975" s="23" t="str">
        <f aca="false">IF(A4975="","",IF(C4975="No encontrado","No","Sí"))</f>
        <v/>
      </c>
      <c r="J4975" s="23" t="str">
        <f aca="false">IF(A4975="","",IF(F4975="Inactivo","No","Sí"))</f>
        <v/>
      </c>
      <c r="K4975" s="23" t="str">
        <f aca="false">IF(A4975="","",IF(AND(I4975="Sí",J4975="Sí"),"Sí","No"))</f>
        <v/>
      </c>
    </row>
    <row r="4976" customFormat="false" ht="15" hidden="false" customHeight="false" outlineLevel="0" collapsed="false">
      <c r="A4976" s="22"/>
      <c r="B4976" s="22"/>
      <c r="C4976" s="26" t="str">
        <f aca="false">IF(A4976="","",IFERROR(buscarx(A4976&amp;B4976,DATA!$E$3:$E$10000&amp;DATA!$B$3:$B$10000,DATA!$M$3:$M$10000),"No encontrado"))</f>
        <v/>
      </c>
      <c r="D4976" s="27" t="str">
        <f aca="false">IF(A4976="","",IFERROR(buscarx(A4976&amp;B4976,DATA!$E$3:$E$10000&amp;DATA!$B$3:$B$10000,DATA!$W$3:$W$10000),"No encontrado"))</f>
        <v/>
      </c>
      <c r="E4976" s="22"/>
      <c r="F4976" s="26" t="str">
        <f aca="false">IF(A4976="","",IFERROR(buscarx(A4976&amp;E4976,DATA!$E$3:$E$10000&amp;DATA!$B$3:$B$10000,DATA!$M$3:$M$10000),"Inactivo"))</f>
        <v/>
      </c>
      <c r="G4976" s="28" t="str">
        <f aca="false">IF(A4976="","",IF(AND(C4976&lt;&gt;"No encontrado",F4976&lt;&gt;"Inactivo"),C4976&amp;" → "&amp;F4976,"Sin transición"))</f>
        <v/>
      </c>
      <c r="H4976" s="26" t="str">
        <f aca="false">IF(A4976="","",IF(D4976="GCIA LINEA SERVICIO DIGITALIDAD Y VENTAS","Chats",IF(OR(D4976="GERENCIA INBOUND LÍNEAS SERVICIO Y VENTA",D4976="GERENCIA INBOUND LINEAS ESPECIALIZADAS"),"Llamadas","Otro")))</f>
        <v/>
      </c>
      <c r="I4976" s="26" t="str">
        <f aca="false">IF(A4976="","",IF(C4976="No encontrado","No","Sí"))</f>
        <v/>
      </c>
      <c r="J4976" s="26" t="str">
        <f aca="false">IF(A4976="","",IF(F4976="Inactivo","No","Sí"))</f>
        <v/>
      </c>
      <c r="K4976" s="26" t="str">
        <f aca="false">IF(A4976="","",IF(AND(I4976="Sí",J4976="Sí"),"Sí","No"))</f>
        <v/>
      </c>
    </row>
    <row r="4977" customFormat="false" ht="15" hidden="false" customHeight="false" outlineLevel="0" collapsed="false">
      <c r="A4977" s="22"/>
      <c r="B4977" s="22"/>
      <c r="C4977" s="23" t="str">
        <f aca="false">IF(A4977="","",IFERROR(buscarx(A4977&amp;B4977,DATA!$E$3:$E$10000&amp;DATA!$B$3:$B$10000,DATA!$M$3:$M$10000),"No encontrado"))</f>
        <v/>
      </c>
      <c r="D4977" s="24" t="str">
        <f aca="false">IF(A4977="","",IFERROR(buscarx(A4977&amp;B4977,DATA!$E$3:$E$10000&amp;DATA!$B$3:$B$10000,DATA!$W$3:$W$10000),"No encontrado"))</f>
        <v/>
      </c>
      <c r="E4977" s="22"/>
      <c r="F4977" s="23" t="str">
        <f aca="false">IF(A4977="","",IFERROR(buscarx(A4977&amp;E4977,DATA!$E$3:$E$10000&amp;DATA!$B$3:$B$10000,DATA!$M$3:$M$10000),"Inactivo"))</f>
        <v/>
      </c>
      <c r="G4977" s="25" t="str">
        <f aca="false">IF(A4977="","",IF(AND(C4977&lt;&gt;"No encontrado",F4977&lt;&gt;"Inactivo"),C4977&amp;" → "&amp;F4977,"Sin transición"))</f>
        <v/>
      </c>
      <c r="H4977" s="23" t="str">
        <f aca="false">IF(A4977="","",IF(D4977="GCIA LINEA SERVICIO DIGITALIDAD Y VENTAS","Chats",IF(OR(D4977="GERENCIA INBOUND LÍNEAS SERVICIO Y VENTA",D4977="GERENCIA INBOUND LINEAS ESPECIALIZADAS"),"Llamadas","Otro")))</f>
        <v/>
      </c>
      <c r="I4977" s="23" t="str">
        <f aca="false">IF(A4977="","",IF(C4977="No encontrado","No","Sí"))</f>
        <v/>
      </c>
      <c r="J4977" s="23" t="str">
        <f aca="false">IF(A4977="","",IF(F4977="Inactivo","No","Sí"))</f>
        <v/>
      </c>
      <c r="K4977" s="23" t="str">
        <f aca="false">IF(A4977="","",IF(AND(I4977="Sí",J4977="Sí"),"Sí","No"))</f>
        <v/>
      </c>
    </row>
    <row r="4978" customFormat="false" ht="15" hidden="false" customHeight="false" outlineLevel="0" collapsed="false">
      <c r="A4978" s="22"/>
      <c r="B4978" s="22"/>
      <c r="C4978" s="26" t="str">
        <f aca="false">IF(A4978="","",IFERROR(buscarx(A4978&amp;B4978,DATA!$E$3:$E$10000&amp;DATA!$B$3:$B$10000,DATA!$M$3:$M$10000),"No encontrado"))</f>
        <v/>
      </c>
      <c r="D4978" s="27" t="str">
        <f aca="false">IF(A4978="","",IFERROR(buscarx(A4978&amp;B4978,DATA!$E$3:$E$10000&amp;DATA!$B$3:$B$10000,DATA!$W$3:$W$10000),"No encontrado"))</f>
        <v/>
      </c>
      <c r="E4978" s="22"/>
      <c r="F4978" s="26" t="str">
        <f aca="false">IF(A4978="","",IFERROR(buscarx(A4978&amp;E4978,DATA!$E$3:$E$10000&amp;DATA!$B$3:$B$10000,DATA!$M$3:$M$10000),"Inactivo"))</f>
        <v/>
      </c>
      <c r="G4978" s="28" t="str">
        <f aca="false">IF(A4978="","",IF(AND(C4978&lt;&gt;"No encontrado",F4978&lt;&gt;"Inactivo"),C4978&amp;" → "&amp;F4978,"Sin transición"))</f>
        <v/>
      </c>
      <c r="H4978" s="26" t="str">
        <f aca="false">IF(A4978="","",IF(D4978="GCIA LINEA SERVICIO DIGITALIDAD Y VENTAS","Chats",IF(OR(D4978="GERENCIA INBOUND LÍNEAS SERVICIO Y VENTA",D4978="GERENCIA INBOUND LINEAS ESPECIALIZADAS"),"Llamadas","Otro")))</f>
        <v/>
      </c>
      <c r="I4978" s="26" t="str">
        <f aca="false">IF(A4978="","",IF(C4978="No encontrado","No","Sí"))</f>
        <v/>
      </c>
      <c r="J4978" s="26" t="str">
        <f aca="false">IF(A4978="","",IF(F4978="Inactivo","No","Sí"))</f>
        <v/>
      </c>
      <c r="K4978" s="26" t="str">
        <f aca="false">IF(A4978="","",IF(AND(I4978="Sí",J4978="Sí"),"Sí","No"))</f>
        <v/>
      </c>
    </row>
    <row r="4979" customFormat="false" ht="15" hidden="false" customHeight="false" outlineLevel="0" collapsed="false">
      <c r="A4979" s="22"/>
      <c r="B4979" s="22"/>
      <c r="C4979" s="23" t="str">
        <f aca="false">IF(A4979="","",IFERROR(buscarx(A4979&amp;B4979,DATA!$E$3:$E$10000&amp;DATA!$B$3:$B$10000,DATA!$M$3:$M$10000),"No encontrado"))</f>
        <v/>
      </c>
      <c r="D4979" s="24" t="str">
        <f aca="false">IF(A4979="","",IFERROR(buscarx(A4979&amp;B4979,DATA!$E$3:$E$10000&amp;DATA!$B$3:$B$10000,DATA!$W$3:$W$10000),"No encontrado"))</f>
        <v/>
      </c>
      <c r="E4979" s="22"/>
      <c r="F4979" s="23" t="str">
        <f aca="false">IF(A4979="","",IFERROR(buscarx(A4979&amp;E4979,DATA!$E$3:$E$10000&amp;DATA!$B$3:$B$10000,DATA!$M$3:$M$10000),"Inactivo"))</f>
        <v/>
      </c>
      <c r="G4979" s="25" t="str">
        <f aca="false">IF(A4979="","",IF(AND(C4979&lt;&gt;"No encontrado",F4979&lt;&gt;"Inactivo"),C4979&amp;" → "&amp;F4979,"Sin transición"))</f>
        <v/>
      </c>
      <c r="H4979" s="23" t="str">
        <f aca="false">IF(A4979="","",IF(D4979="GCIA LINEA SERVICIO DIGITALIDAD Y VENTAS","Chats",IF(OR(D4979="GERENCIA INBOUND LÍNEAS SERVICIO Y VENTA",D4979="GERENCIA INBOUND LINEAS ESPECIALIZADAS"),"Llamadas","Otro")))</f>
        <v/>
      </c>
      <c r="I4979" s="23" t="str">
        <f aca="false">IF(A4979="","",IF(C4979="No encontrado","No","Sí"))</f>
        <v/>
      </c>
      <c r="J4979" s="23" t="str">
        <f aca="false">IF(A4979="","",IF(F4979="Inactivo","No","Sí"))</f>
        <v/>
      </c>
      <c r="K4979" s="23" t="str">
        <f aca="false">IF(A4979="","",IF(AND(I4979="Sí",J4979="Sí"),"Sí","No"))</f>
        <v/>
      </c>
    </row>
    <row r="4980" customFormat="false" ht="15" hidden="false" customHeight="false" outlineLevel="0" collapsed="false">
      <c r="A4980" s="22"/>
      <c r="B4980" s="22"/>
      <c r="C4980" s="26" t="str">
        <f aca="false">IF(A4980="","",IFERROR(buscarx(A4980&amp;B4980,DATA!$E$3:$E$10000&amp;DATA!$B$3:$B$10000,DATA!$M$3:$M$10000),"No encontrado"))</f>
        <v/>
      </c>
      <c r="D4980" s="27" t="str">
        <f aca="false">IF(A4980="","",IFERROR(buscarx(A4980&amp;B4980,DATA!$E$3:$E$10000&amp;DATA!$B$3:$B$10000,DATA!$W$3:$W$10000),"No encontrado"))</f>
        <v/>
      </c>
      <c r="E4980" s="22"/>
      <c r="F4980" s="26" t="str">
        <f aca="false">IF(A4980="","",IFERROR(buscarx(A4980&amp;E4980,DATA!$E$3:$E$10000&amp;DATA!$B$3:$B$10000,DATA!$M$3:$M$10000),"Inactivo"))</f>
        <v/>
      </c>
      <c r="G4980" s="28" t="str">
        <f aca="false">IF(A4980="","",IF(AND(C4980&lt;&gt;"No encontrado",F4980&lt;&gt;"Inactivo"),C4980&amp;" → "&amp;F4980,"Sin transición"))</f>
        <v/>
      </c>
      <c r="H4980" s="26" t="str">
        <f aca="false">IF(A4980="","",IF(D4980="GCIA LINEA SERVICIO DIGITALIDAD Y VENTAS","Chats",IF(OR(D4980="GERENCIA INBOUND LÍNEAS SERVICIO Y VENTA",D4980="GERENCIA INBOUND LINEAS ESPECIALIZADAS"),"Llamadas","Otro")))</f>
        <v/>
      </c>
      <c r="I4980" s="26" t="str">
        <f aca="false">IF(A4980="","",IF(C4980="No encontrado","No","Sí"))</f>
        <v/>
      </c>
      <c r="J4980" s="26" t="str">
        <f aca="false">IF(A4980="","",IF(F4980="Inactivo","No","Sí"))</f>
        <v/>
      </c>
      <c r="K4980" s="26" t="str">
        <f aca="false">IF(A4980="","",IF(AND(I4980="Sí",J4980="Sí"),"Sí","No"))</f>
        <v/>
      </c>
    </row>
    <row r="4981" customFormat="false" ht="15" hidden="false" customHeight="false" outlineLevel="0" collapsed="false">
      <c r="A4981" s="22"/>
      <c r="B4981" s="22"/>
      <c r="C4981" s="23" t="str">
        <f aca="false">IF(A4981="","",IFERROR(buscarx(A4981&amp;B4981,DATA!$E$3:$E$10000&amp;DATA!$B$3:$B$10000,DATA!$M$3:$M$10000),"No encontrado"))</f>
        <v/>
      </c>
      <c r="D4981" s="24" t="str">
        <f aca="false">IF(A4981="","",IFERROR(buscarx(A4981&amp;B4981,DATA!$E$3:$E$10000&amp;DATA!$B$3:$B$10000,DATA!$W$3:$W$10000),"No encontrado"))</f>
        <v/>
      </c>
      <c r="E4981" s="22"/>
      <c r="F4981" s="23" t="str">
        <f aca="false">IF(A4981="","",IFERROR(buscarx(A4981&amp;E4981,DATA!$E$3:$E$10000&amp;DATA!$B$3:$B$10000,DATA!$M$3:$M$10000),"Inactivo"))</f>
        <v/>
      </c>
      <c r="G4981" s="25" t="str">
        <f aca="false">IF(A4981="","",IF(AND(C4981&lt;&gt;"No encontrado",F4981&lt;&gt;"Inactivo"),C4981&amp;" → "&amp;F4981,"Sin transición"))</f>
        <v/>
      </c>
      <c r="H4981" s="23" t="str">
        <f aca="false">IF(A4981="","",IF(D4981="GCIA LINEA SERVICIO DIGITALIDAD Y VENTAS","Chats",IF(OR(D4981="GERENCIA INBOUND LÍNEAS SERVICIO Y VENTA",D4981="GERENCIA INBOUND LINEAS ESPECIALIZADAS"),"Llamadas","Otro")))</f>
        <v/>
      </c>
      <c r="I4981" s="23" t="str">
        <f aca="false">IF(A4981="","",IF(C4981="No encontrado","No","Sí"))</f>
        <v/>
      </c>
      <c r="J4981" s="23" t="str">
        <f aca="false">IF(A4981="","",IF(F4981="Inactivo","No","Sí"))</f>
        <v/>
      </c>
      <c r="K4981" s="23" t="str">
        <f aca="false">IF(A4981="","",IF(AND(I4981="Sí",J4981="Sí"),"Sí","No"))</f>
        <v/>
      </c>
    </row>
    <row r="4982" customFormat="false" ht="15" hidden="false" customHeight="false" outlineLevel="0" collapsed="false">
      <c r="A4982" s="22"/>
      <c r="B4982" s="22"/>
      <c r="C4982" s="26" t="str">
        <f aca="false">IF(A4982="","",IFERROR(buscarx(A4982&amp;B4982,DATA!$E$3:$E$10000&amp;DATA!$B$3:$B$10000,DATA!$M$3:$M$10000),"No encontrado"))</f>
        <v/>
      </c>
      <c r="D4982" s="27" t="str">
        <f aca="false">IF(A4982="","",IFERROR(buscarx(A4982&amp;B4982,DATA!$E$3:$E$10000&amp;DATA!$B$3:$B$10000,DATA!$W$3:$W$10000),"No encontrado"))</f>
        <v/>
      </c>
      <c r="E4982" s="22"/>
      <c r="F4982" s="26" t="str">
        <f aca="false">IF(A4982="","",IFERROR(buscarx(A4982&amp;E4982,DATA!$E$3:$E$10000&amp;DATA!$B$3:$B$10000,DATA!$M$3:$M$10000),"Inactivo"))</f>
        <v/>
      </c>
      <c r="G4982" s="28" t="str">
        <f aca="false">IF(A4982="","",IF(AND(C4982&lt;&gt;"No encontrado",F4982&lt;&gt;"Inactivo"),C4982&amp;" → "&amp;F4982,"Sin transición"))</f>
        <v/>
      </c>
      <c r="H4982" s="26" t="str">
        <f aca="false">IF(A4982="","",IF(D4982="GCIA LINEA SERVICIO DIGITALIDAD Y VENTAS","Chats",IF(OR(D4982="GERENCIA INBOUND LÍNEAS SERVICIO Y VENTA",D4982="GERENCIA INBOUND LINEAS ESPECIALIZADAS"),"Llamadas","Otro")))</f>
        <v/>
      </c>
      <c r="I4982" s="26" t="str">
        <f aca="false">IF(A4982="","",IF(C4982="No encontrado","No","Sí"))</f>
        <v/>
      </c>
      <c r="J4982" s="26" t="str">
        <f aca="false">IF(A4982="","",IF(F4982="Inactivo","No","Sí"))</f>
        <v/>
      </c>
      <c r="K4982" s="26" t="str">
        <f aca="false">IF(A4982="","",IF(AND(I4982="Sí",J4982="Sí"),"Sí","No"))</f>
        <v/>
      </c>
    </row>
    <row r="4983" customFormat="false" ht="15" hidden="false" customHeight="false" outlineLevel="0" collapsed="false">
      <c r="A4983" s="22"/>
      <c r="B4983" s="22"/>
      <c r="C4983" s="23" t="str">
        <f aca="false">IF(A4983="","",IFERROR(buscarx(A4983&amp;B4983,DATA!$E$3:$E$10000&amp;DATA!$B$3:$B$10000,DATA!$M$3:$M$10000),"No encontrado"))</f>
        <v/>
      </c>
      <c r="D4983" s="24" t="str">
        <f aca="false">IF(A4983="","",IFERROR(buscarx(A4983&amp;B4983,DATA!$E$3:$E$10000&amp;DATA!$B$3:$B$10000,DATA!$W$3:$W$10000),"No encontrado"))</f>
        <v/>
      </c>
      <c r="E4983" s="22"/>
      <c r="F4983" s="23" t="str">
        <f aca="false">IF(A4983="","",IFERROR(buscarx(A4983&amp;E4983,DATA!$E$3:$E$10000&amp;DATA!$B$3:$B$10000,DATA!$M$3:$M$10000),"Inactivo"))</f>
        <v/>
      </c>
      <c r="G4983" s="25" t="str">
        <f aca="false">IF(A4983="","",IF(AND(C4983&lt;&gt;"No encontrado",F4983&lt;&gt;"Inactivo"),C4983&amp;" → "&amp;F4983,"Sin transición"))</f>
        <v/>
      </c>
      <c r="H4983" s="23" t="str">
        <f aca="false">IF(A4983="","",IF(D4983="GCIA LINEA SERVICIO DIGITALIDAD Y VENTAS","Chats",IF(OR(D4983="GERENCIA INBOUND LÍNEAS SERVICIO Y VENTA",D4983="GERENCIA INBOUND LINEAS ESPECIALIZADAS"),"Llamadas","Otro")))</f>
        <v/>
      </c>
      <c r="I4983" s="23" t="str">
        <f aca="false">IF(A4983="","",IF(C4983="No encontrado","No","Sí"))</f>
        <v/>
      </c>
      <c r="J4983" s="23" t="str">
        <f aca="false">IF(A4983="","",IF(F4983="Inactivo","No","Sí"))</f>
        <v/>
      </c>
      <c r="K4983" s="23" t="str">
        <f aca="false">IF(A4983="","",IF(AND(I4983="Sí",J4983="Sí"),"Sí","No"))</f>
        <v/>
      </c>
    </row>
    <row r="4984" customFormat="false" ht="15" hidden="false" customHeight="false" outlineLevel="0" collapsed="false">
      <c r="A4984" s="22"/>
      <c r="B4984" s="22"/>
      <c r="C4984" s="26" t="str">
        <f aca="false">IF(A4984="","",IFERROR(buscarx(A4984&amp;B4984,DATA!$E$3:$E$10000&amp;DATA!$B$3:$B$10000,DATA!$M$3:$M$10000),"No encontrado"))</f>
        <v/>
      </c>
      <c r="D4984" s="27" t="str">
        <f aca="false">IF(A4984="","",IFERROR(buscarx(A4984&amp;B4984,DATA!$E$3:$E$10000&amp;DATA!$B$3:$B$10000,DATA!$W$3:$W$10000),"No encontrado"))</f>
        <v/>
      </c>
      <c r="E4984" s="22"/>
      <c r="F4984" s="26" t="str">
        <f aca="false">IF(A4984="","",IFERROR(buscarx(A4984&amp;E4984,DATA!$E$3:$E$10000&amp;DATA!$B$3:$B$10000,DATA!$M$3:$M$10000),"Inactivo"))</f>
        <v/>
      </c>
      <c r="G4984" s="28" t="str">
        <f aca="false">IF(A4984="","",IF(AND(C4984&lt;&gt;"No encontrado",F4984&lt;&gt;"Inactivo"),C4984&amp;" → "&amp;F4984,"Sin transición"))</f>
        <v/>
      </c>
      <c r="H4984" s="26" t="str">
        <f aca="false">IF(A4984="","",IF(D4984="GCIA LINEA SERVICIO DIGITALIDAD Y VENTAS","Chats",IF(OR(D4984="GERENCIA INBOUND LÍNEAS SERVICIO Y VENTA",D4984="GERENCIA INBOUND LINEAS ESPECIALIZADAS"),"Llamadas","Otro")))</f>
        <v/>
      </c>
      <c r="I4984" s="26" t="str">
        <f aca="false">IF(A4984="","",IF(C4984="No encontrado","No","Sí"))</f>
        <v/>
      </c>
      <c r="J4984" s="26" t="str">
        <f aca="false">IF(A4984="","",IF(F4984="Inactivo","No","Sí"))</f>
        <v/>
      </c>
      <c r="K4984" s="26" t="str">
        <f aca="false">IF(A4984="","",IF(AND(I4984="Sí",J4984="Sí"),"Sí","No"))</f>
        <v/>
      </c>
    </row>
    <row r="4985" customFormat="false" ht="15" hidden="false" customHeight="false" outlineLevel="0" collapsed="false">
      <c r="A4985" s="22"/>
      <c r="B4985" s="22"/>
      <c r="C4985" s="23" t="str">
        <f aca="false">IF(A4985="","",IFERROR(buscarx(A4985&amp;B4985,DATA!$E$3:$E$10000&amp;DATA!$B$3:$B$10000,DATA!$M$3:$M$10000),"No encontrado"))</f>
        <v/>
      </c>
      <c r="D4985" s="24" t="str">
        <f aca="false">IF(A4985="","",IFERROR(buscarx(A4985&amp;B4985,DATA!$E$3:$E$10000&amp;DATA!$B$3:$B$10000,DATA!$W$3:$W$10000),"No encontrado"))</f>
        <v/>
      </c>
      <c r="E4985" s="22"/>
      <c r="F4985" s="23" t="str">
        <f aca="false">IF(A4985="","",IFERROR(buscarx(A4985&amp;E4985,DATA!$E$3:$E$10000&amp;DATA!$B$3:$B$10000,DATA!$M$3:$M$10000),"Inactivo"))</f>
        <v/>
      </c>
      <c r="G4985" s="25" t="str">
        <f aca="false">IF(A4985="","",IF(AND(C4985&lt;&gt;"No encontrado",F4985&lt;&gt;"Inactivo"),C4985&amp;" → "&amp;F4985,"Sin transición"))</f>
        <v/>
      </c>
      <c r="H4985" s="23" t="str">
        <f aca="false">IF(A4985="","",IF(D4985="GCIA LINEA SERVICIO DIGITALIDAD Y VENTAS","Chats",IF(OR(D4985="GERENCIA INBOUND LÍNEAS SERVICIO Y VENTA",D4985="GERENCIA INBOUND LINEAS ESPECIALIZADAS"),"Llamadas","Otro")))</f>
        <v/>
      </c>
      <c r="I4985" s="23" t="str">
        <f aca="false">IF(A4985="","",IF(C4985="No encontrado","No","Sí"))</f>
        <v/>
      </c>
      <c r="J4985" s="23" t="str">
        <f aca="false">IF(A4985="","",IF(F4985="Inactivo","No","Sí"))</f>
        <v/>
      </c>
      <c r="K4985" s="23" t="str">
        <f aca="false">IF(A4985="","",IF(AND(I4985="Sí",J4985="Sí"),"Sí","No"))</f>
        <v/>
      </c>
    </row>
    <row r="4986" customFormat="false" ht="15" hidden="false" customHeight="false" outlineLevel="0" collapsed="false">
      <c r="A4986" s="22"/>
      <c r="B4986" s="22"/>
      <c r="C4986" s="26" t="str">
        <f aca="false">IF(A4986="","",IFERROR(buscarx(A4986&amp;B4986,DATA!$E$3:$E$10000&amp;DATA!$B$3:$B$10000,DATA!$M$3:$M$10000),"No encontrado"))</f>
        <v/>
      </c>
      <c r="D4986" s="27" t="str">
        <f aca="false">IF(A4986="","",IFERROR(buscarx(A4986&amp;B4986,DATA!$E$3:$E$10000&amp;DATA!$B$3:$B$10000,DATA!$W$3:$W$10000),"No encontrado"))</f>
        <v/>
      </c>
      <c r="E4986" s="22"/>
      <c r="F4986" s="26" t="str">
        <f aca="false">IF(A4986="","",IFERROR(buscarx(A4986&amp;E4986,DATA!$E$3:$E$10000&amp;DATA!$B$3:$B$10000,DATA!$M$3:$M$10000),"Inactivo"))</f>
        <v/>
      </c>
      <c r="G4986" s="28" t="str">
        <f aca="false">IF(A4986="","",IF(AND(C4986&lt;&gt;"No encontrado",F4986&lt;&gt;"Inactivo"),C4986&amp;" → "&amp;F4986,"Sin transición"))</f>
        <v/>
      </c>
      <c r="H4986" s="26" t="str">
        <f aca="false">IF(A4986="","",IF(D4986="GCIA LINEA SERVICIO DIGITALIDAD Y VENTAS","Chats",IF(OR(D4986="GERENCIA INBOUND LÍNEAS SERVICIO Y VENTA",D4986="GERENCIA INBOUND LINEAS ESPECIALIZADAS"),"Llamadas","Otro")))</f>
        <v/>
      </c>
      <c r="I4986" s="26" t="str">
        <f aca="false">IF(A4986="","",IF(C4986="No encontrado","No","Sí"))</f>
        <v/>
      </c>
      <c r="J4986" s="26" t="str">
        <f aca="false">IF(A4986="","",IF(F4986="Inactivo","No","Sí"))</f>
        <v/>
      </c>
      <c r="K4986" s="26" t="str">
        <f aca="false">IF(A4986="","",IF(AND(I4986="Sí",J4986="Sí"),"Sí","No"))</f>
        <v/>
      </c>
    </row>
    <row r="4987" customFormat="false" ht="15" hidden="false" customHeight="false" outlineLevel="0" collapsed="false">
      <c r="A4987" s="22"/>
      <c r="B4987" s="22"/>
      <c r="C4987" s="23" t="str">
        <f aca="false">IF(A4987="","",IFERROR(buscarx(A4987&amp;B4987,DATA!$E$3:$E$10000&amp;DATA!$B$3:$B$10000,DATA!$M$3:$M$10000),"No encontrado"))</f>
        <v/>
      </c>
      <c r="D4987" s="24" t="str">
        <f aca="false">IF(A4987="","",IFERROR(buscarx(A4987&amp;B4987,DATA!$E$3:$E$10000&amp;DATA!$B$3:$B$10000,DATA!$W$3:$W$10000),"No encontrado"))</f>
        <v/>
      </c>
      <c r="E4987" s="22"/>
      <c r="F4987" s="23" t="str">
        <f aca="false">IF(A4987="","",IFERROR(buscarx(A4987&amp;E4987,DATA!$E$3:$E$10000&amp;DATA!$B$3:$B$10000,DATA!$M$3:$M$10000),"Inactivo"))</f>
        <v/>
      </c>
      <c r="G4987" s="25" t="str">
        <f aca="false">IF(A4987="","",IF(AND(C4987&lt;&gt;"No encontrado",F4987&lt;&gt;"Inactivo"),C4987&amp;" → "&amp;F4987,"Sin transición"))</f>
        <v/>
      </c>
      <c r="H4987" s="23" t="str">
        <f aca="false">IF(A4987="","",IF(D4987="GCIA LINEA SERVICIO DIGITALIDAD Y VENTAS","Chats",IF(OR(D4987="GERENCIA INBOUND LÍNEAS SERVICIO Y VENTA",D4987="GERENCIA INBOUND LINEAS ESPECIALIZADAS"),"Llamadas","Otro")))</f>
        <v/>
      </c>
      <c r="I4987" s="23" t="str">
        <f aca="false">IF(A4987="","",IF(C4987="No encontrado","No","Sí"))</f>
        <v/>
      </c>
      <c r="J4987" s="23" t="str">
        <f aca="false">IF(A4987="","",IF(F4987="Inactivo","No","Sí"))</f>
        <v/>
      </c>
      <c r="K4987" s="23" t="str">
        <f aca="false">IF(A4987="","",IF(AND(I4987="Sí",J4987="Sí"),"Sí","No"))</f>
        <v/>
      </c>
    </row>
    <row r="4988" customFormat="false" ht="15" hidden="false" customHeight="false" outlineLevel="0" collapsed="false">
      <c r="A4988" s="22"/>
      <c r="B4988" s="22"/>
      <c r="C4988" s="26" t="str">
        <f aca="false">IF(A4988="","",IFERROR(buscarx(A4988&amp;B4988,DATA!$E$3:$E$10000&amp;DATA!$B$3:$B$10000,DATA!$M$3:$M$10000),"No encontrado"))</f>
        <v/>
      </c>
      <c r="D4988" s="27" t="str">
        <f aca="false">IF(A4988="","",IFERROR(buscarx(A4988&amp;B4988,DATA!$E$3:$E$10000&amp;DATA!$B$3:$B$10000,DATA!$W$3:$W$10000),"No encontrado"))</f>
        <v/>
      </c>
      <c r="E4988" s="22"/>
      <c r="F4988" s="26" t="str">
        <f aca="false">IF(A4988="","",IFERROR(buscarx(A4988&amp;E4988,DATA!$E$3:$E$10000&amp;DATA!$B$3:$B$10000,DATA!$M$3:$M$10000),"Inactivo"))</f>
        <v/>
      </c>
      <c r="G4988" s="28" t="str">
        <f aca="false">IF(A4988="","",IF(AND(C4988&lt;&gt;"No encontrado",F4988&lt;&gt;"Inactivo"),C4988&amp;" → "&amp;F4988,"Sin transición"))</f>
        <v/>
      </c>
      <c r="H4988" s="26" t="str">
        <f aca="false">IF(A4988="","",IF(D4988="GCIA LINEA SERVICIO DIGITALIDAD Y VENTAS","Chats",IF(OR(D4988="GERENCIA INBOUND LÍNEAS SERVICIO Y VENTA",D4988="GERENCIA INBOUND LINEAS ESPECIALIZADAS"),"Llamadas","Otro")))</f>
        <v/>
      </c>
      <c r="I4988" s="26" t="str">
        <f aca="false">IF(A4988="","",IF(C4988="No encontrado","No","Sí"))</f>
        <v/>
      </c>
      <c r="J4988" s="26" t="str">
        <f aca="false">IF(A4988="","",IF(F4988="Inactivo","No","Sí"))</f>
        <v/>
      </c>
      <c r="K4988" s="26" t="str">
        <f aca="false">IF(A4988="","",IF(AND(I4988="Sí",J4988="Sí"),"Sí","No"))</f>
        <v/>
      </c>
    </row>
    <row r="4989" customFormat="false" ht="15" hidden="false" customHeight="false" outlineLevel="0" collapsed="false">
      <c r="A4989" s="22"/>
      <c r="B4989" s="22"/>
      <c r="C4989" s="23" t="str">
        <f aca="false">IF(A4989="","",IFERROR(buscarx(A4989&amp;B4989,DATA!$E$3:$E$10000&amp;DATA!$B$3:$B$10000,DATA!$M$3:$M$10000),"No encontrado"))</f>
        <v/>
      </c>
      <c r="D4989" s="24" t="str">
        <f aca="false">IF(A4989="","",IFERROR(buscarx(A4989&amp;B4989,DATA!$E$3:$E$10000&amp;DATA!$B$3:$B$10000,DATA!$W$3:$W$10000),"No encontrado"))</f>
        <v/>
      </c>
      <c r="E4989" s="22"/>
      <c r="F4989" s="23" t="str">
        <f aca="false">IF(A4989="","",IFERROR(buscarx(A4989&amp;E4989,DATA!$E$3:$E$10000&amp;DATA!$B$3:$B$10000,DATA!$M$3:$M$10000),"Inactivo"))</f>
        <v/>
      </c>
      <c r="G4989" s="25" t="str">
        <f aca="false">IF(A4989="","",IF(AND(C4989&lt;&gt;"No encontrado",F4989&lt;&gt;"Inactivo"),C4989&amp;" → "&amp;F4989,"Sin transición"))</f>
        <v/>
      </c>
      <c r="H4989" s="23" t="str">
        <f aca="false">IF(A4989="","",IF(D4989="GCIA LINEA SERVICIO DIGITALIDAD Y VENTAS","Chats",IF(OR(D4989="GERENCIA INBOUND LÍNEAS SERVICIO Y VENTA",D4989="GERENCIA INBOUND LINEAS ESPECIALIZADAS"),"Llamadas","Otro")))</f>
        <v/>
      </c>
      <c r="I4989" s="23" t="str">
        <f aca="false">IF(A4989="","",IF(C4989="No encontrado","No","Sí"))</f>
        <v/>
      </c>
      <c r="J4989" s="23" t="str">
        <f aca="false">IF(A4989="","",IF(F4989="Inactivo","No","Sí"))</f>
        <v/>
      </c>
      <c r="K4989" s="23" t="str">
        <f aca="false">IF(A4989="","",IF(AND(I4989="Sí",J4989="Sí"),"Sí","No"))</f>
        <v/>
      </c>
    </row>
    <row r="4990" customFormat="false" ht="15" hidden="false" customHeight="false" outlineLevel="0" collapsed="false">
      <c r="A4990" s="22"/>
      <c r="B4990" s="22"/>
      <c r="C4990" s="26" t="str">
        <f aca="false">IF(A4990="","",IFERROR(buscarx(A4990&amp;B4990,DATA!$E$3:$E$10000&amp;DATA!$B$3:$B$10000,DATA!$M$3:$M$10000),"No encontrado"))</f>
        <v/>
      </c>
      <c r="D4990" s="27" t="str">
        <f aca="false">IF(A4990="","",IFERROR(buscarx(A4990&amp;B4990,DATA!$E$3:$E$10000&amp;DATA!$B$3:$B$10000,DATA!$W$3:$W$10000),"No encontrado"))</f>
        <v/>
      </c>
      <c r="E4990" s="22"/>
      <c r="F4990" s="26" t="str">
        <f aca="false">IF(A4990="","",IFERROR(buscarx(A4990&amp;E4990,DATA!$E$3:$E$10000&amp;DATA!$B$3:$B$10000,DATA!$M$3:$M$10000),"Inactivo"))</f>
        <v/>
      </c>
      <c r="G4990" s="28" t="str">
        <f aca="false">IF(A4990="","",IF(AND(C4990&lt;&gt;"No encontrado",F4990&lt;&gt;"Inactivo"),C4990&amp;" → "&amp;F4990,"Sin transición"))</f>
        <v/>
      </c>
      <c r="H4990" s="26" t="str">
        <f aca="false">IF(A4990="","",IF(D4990="GCIA LINEA SERVICIO DIGITALIDAD Y VENTAS","Chats",IF(OR(D4990="GERENCIA INBOUND LÍNEAS SERVICIO Y VENTA",D4990="GERENCIA INBOUND LINEAS ESPECIALIZADAS"),"Llamadas","Otro")))</f>
        <v/>
      </c>
      <c r="I4990" s="26" t="str">
        <f aca="false">IF(A4990="","",IF(C4990="No encontrado","No","Sí"))</f>
        <v/>
      </c>
      <c r="J4990" s="26" t="str">
        <f aca="false">IF(A4990="","",IF(F4990="Inactivo","No","Sí"))</f>
        <v/>
      </c>
      <c r="K4990" s="26" t="str">
        <f aca="false">IF(A4990="","",IF(AND(I4990="Sí",J4990="Sí"),"Sí","No"))</f>
        <v/>
      </c>
    </row>
    <row r="4991" customFormat="false" ht="15" hidden="false" customHeight="false" outlineLevel="0" collapsed="false">
      <c r="A4991" s="22"/>
      <c r="B4991" s="22"/>
      <c r="C4991" s="23" t="str">
        <f aca="false">IF(A4991="","",IFERROR(buscarx(A4991&amp;B4991,DATA!$E$3:$E$10000&amp;DATA!$B$3:$B$10000,DATA!$M$3:$M$10000),"No encontrado"))</f>
        <v/>
      </c>
      <c r="D4991" s="24" t="str">
        <f aca="false">IF(A4991="","",IFERROR(buscarx(A4991&amp;B4991,DATA!$E$3:$E$10000&amp;DATA!$B$3:$B$10000,DATA!$W$3:$W$10000),"No encontrado"))</f>
        <v/>
      </c>
      <c r="E4991" s="22"/>
      <c r="F4991" s="23" t="str">
        <f aca="false">IF(A4991="","",IFERROR(buscarx(A4991&amp;E4991,DATA!$E$3:$E$10000&amp;DATA!$B$3:$B$10000,DATA!$M$3:$M$10000),"Inactivo"))</f>
        <v/>
      </c>
      <c r="G4991" s="25" t="str">
        <f aca="false">IF(A4991="","",IF(AND(C4991&lt;&gt;"No encontrado",F4991&lt;&gt;"Inactivo"),C4991&amp;" → "&amp;F4991,"Sin transición"))</f>
        <v/>
      </c>
      <c r="H4991" s="23" t="str">
        <f aca="false">IF(A4991="","",IF(D4991="GCIA LINEA SERVICIO DIGITALIDAD Y VENTAS","Chats",IF(OR(D4991="GERENCIA INBOUND LÍNEAS SERVICIO Y VENTA",D4991="GERENCIA INBOUND LINEAS ESPECIALIZADAS"),"Llamadas","Otro")))</f>
        <v/>
      </c>
      <c r="I4991" s="23" t="str">
        <f aca="false">IF(A4991="","",IF(C4991="No encontrado","No","Sí"))</f>
        <v/>
      </c>
      <c r="J4991" s="23" t="str">
        <f aca="false">IF(A4991="","",IF(F4991="Inactivo","No","Sí"))</f>
        <v/>
      </c>
      <c r="K4991" s="23" t="str">
        <f aca="false">IF(A4991="","",IF(AND(I4991="Sí",J4991="Sí"),"Sí","No"))</f>
        <v/>
      </c>
    </row>
    <row r="4992" customFormat="false" ht="15" hidden="false" customHeight="false" outlineLevel="0" collapsed="false">
      <c r="A4992" s="22"/>
      <c r="B4992" s="22"/>
      <c r="C4992" s="26" t="str">
        <f aca="false">IF(A4992="","",IFERROR(buscarx(A4992&amp;B4992,DATA!$E$3:$E$10000&amp;DATA!$B$3:$B$10000,DATA!$M$3:$M$10000),"No encontrado"))</f>
        <v/>
      </c>
      <c r="D4992" s="27" t="str">
        <f aca="false">IF(A4992="","",IFERROR(buscarx(A4992&amp;B4992,DATA!$E$3:$E$10000&amp;DATA!$B$3:$B$10000,DATA!$W$3:$W$10000),"No encontrado"))</f>
        <v/>
      </c>
      <c r="E4992" s="22"/>
      <c r="F4992" s="26" t="str">
        <f aca="false">IF(A4992="","",IFERROR(buscarx(A4992&amp;E4992,DATA!$E$3:$E$10000&amp;DATA!$B$3:$B$10000,DATA!$M$3:$M$10000),"Inactivo"))</f>
        <v/>
      </c>
      <c r="G4992" s="28" t="str">
        <f aca="false">IF(A4992="","",IF(AND(C4992&lt;&gt;"No encontrado",F4992&lt;&gt;"Inactivo"),C4992&amp;" → "&amp;F4992,"Sin transición"))</f>
        <v/>
      </c>
      <c r="H4992" s="26" t="str">
        <f aca="false">IF(A4992="","",IF(D4992="GCIA LINEA SERVICIO DIGITALIDAD Y VENTAS","Chats",IF(OR(D4992="GERENCIA INBOUND LÍNEAS SERVICIO Y VENTA",D4992="GERENCIA INBOUND LINEAS ESPECIALIZADAS"),"Llamadas","Otro")))</f>
        <v/>
      </c>
      <c r="I4992" s="26" t="str">
        <f aca="false">IF(A4992="","",IF(C4992="No encontrado","No","Sí"))</f>
        <v/>
      </c>
      <c r="J4992" s="26" t="str">
        <f aca="false">IF(A4992="","",IF(F4992="Inactivo","No","Sí"))</f>
        <v/>
      </c>
      <c r="K4992" s="26" t="str">
        <f aca="false">IF(A4992="","",IF(AND(I4992="Sí",J4992="Sí"),"Sí","No"))</f>
        <v/>
      </c>
    </row>
    <row r="4993" customFormat="false" ht="15" hidden="false" customHeight="false" outlineLevel="0" collapsed="false">
      <c r="A4993" s="22"/>
      <c r="B4993" s="22"/>
      <c r="C4993" s="23" t="str">
        <f aca="false">IF(A4993="","",IFERROR(buscarx(A4993&amp;B4993,DATA!$E$3:$E$10000&amp;DATA!$B$3:$B$10000,DATA!$M$3:$M$10000),"No encontrado"))</f>
        <v/>
      </c>
      <c r="D4993" s="24" t="str">
        <f aca="false">IF(A4993="","",IFERROR(buscarx(A4993&amp;B4993,DATA!$E$3:$E$10000&amp;DATA!$B$3:$B$10000,DATA!$W$3:$W$10000),"No encontrado"))</f>
        <v/>
      </c>
      <c r="E4993" s="22"/>
      <c r="F4993" s="23" t="str">
        <f aca="false">IF(A4993="","",IFERROR(buscarx(A4993&amp;E4993,DATA!$E$3:$E$10000&amp;DATA!$B$3:$B$10000,DATA!$M$3:$M$10000),"Inactivo"))</f>
        <v/>
      </c>
      <c r="G4993" s="25" t="str">
        <f aca="false">IF(A4993="","",IF(AND(C4993&lt;&gt;"No encontrado",F4993&lt;&gt;"Inactivo"),C4993&amp;" → "&amp;F4993,"Sin transición"))</f>
        <v/>
      </c>
      <c r="H4993" s="23" t="str">
        <f aca="false">IF(A4993="","",IF(D4993="GCIA LINEA SERVICIO DIGITALIDAD Y VENTAS","Chats",IF(OR(D4993="GERENCIA INBOUND LÍNEAS SERVICIO Y VENTA",D4993="GERENCIA INBOUND LINEAS ESPECIALIZADAS"),"Llamadas","Otro")))</f>
        <v/>
      </c>
      <c r="I4993" s="23" t="str">
        <f aca="false">IF(A4993="","",IF(C4993="No encontrado","No","Sí"))</f>
        <v/>
      </c>
      <c r="J4993" s="23" t="str">
        <f aca="false">IF(A4993="","",IF(F4993="Inactivo","No","Sí"))</f>
        <v/>
      </c>
      <c r="K4993" s="23" t="str">
        <f aca="false">IF(A4993="","",IF(AND(I4993="Sí",J4993="Sí"),"Sí","No"))</f>
        <v/>
      </c>
    </row>
    <row r="4994" customFormat="false" ht="15" hidden="false" customHeight="false" outlineLevel="0" collapsed="false">
      <c r="A4994" s="22"/>
      <c r="B4994" s="22"/>
      <c r="C4994" s="26" t="str">
        <f aca="false">IF(A4994="","",IFERROR(buscarx(A4994&amp;B4994,DATA!$E$3:$E$10000&amp;DATA!$B$3:$B$10000,DATA!$M$3:$M$10000),"No encontrado"))</f>
        <v/>
      </c>
      <c r="D4994" s="27" t="str">
        <f aca="false">IF(A4994="","",IFERROR(buscarx(A4994&amp;B4994,DATA!$E$3:$E$10000&amp;DATA!$B$3:$B$10000,DATA!$W$3:$W$10000),"No encontrado"))</f>
        <v/>
      </c>
      <c r="E4994" s="22"/>
      <c r="F4994" s="26" t="str">
        <f aca="false">IF(A4994="","",IFERROR(buscarx(A4994&amp;E4994,DATA!$E$3:$E$10000&amp;DATA!$B$3:$B$10000,DATA!$M$3:$M$10000),"Inactivo"))</f>
        <v/>
      </c>
      <c r="G4994" s="28" t="str">
        <f aca="false">IF(A4994="","",IF(AND(C4994&lt;&gt;"No encontrado",F4994&lt;&gt;"Inactivo"),C4994&amp;" → "&amp;F4994,"Sin transición"))</f>
        <v/>
      </c>
      <c r="H4994" s="26" t="str">
        <f aca="false">IF(A4994="","",IF(D4994="GCIA LINEA SERVICIO DIGITALIDAD Y VENTAS","Chats",IF(OR(D4994="GERENCIA INBOUND LÍNEAS SERVICIO Y VENTA",D4994="GERENCIA INBOUND LINEAS ESPECIALIZADAS"),"Llamadas","Otro")))</f>
        <v/>
      </c>
      <c r="I4994" s="26" t="str">
        <f aca="false">IF(A4994="","",IF(C4994="No encontrado","No","Sí"))</f>
        <v/>
      </c>
      <c r="J4994" s="26" t="str">
        <f aca="false">IF(A4994="","",IF(F4994="Inactivo","No","Sí"))</f>
        <v/>
      </c>
      <c r="K4994" s="26" t="str">
        <f aca="false">IF(A4994="","",IF(AND(I4994="Sí",J4994="Sí"),"Sí","No"))</f>
        <v/>
      </c>
    </row>
    <row r="4995" customFormat="false" ht="15" hidden="false" customHeight="false" outlineLevel="0" collapsed="false">
      <c r="A4995" s="22"/>
      <c r="B4995" s="22"/>
      <c r="C4995" s="23" t="str">
        <f aca="false">IF(A4995="","",IFERROR(buscarx(A4995&amp;B4995,DATA!$E$3:$E$10000&amp;DATA!$B$3:$B$10000,DATA!$M$3:$M$10000),"No encontrado"))</f>
        <v/>
      </c>
      <c r="D4995" s="24" t="str">
        <f aca="false">IF(A4995="","",IFERROR(buscarx(A4995&amp;B4995,DATA!$E$3:$E$10000&amp;DATA!$B$3:$B$10000,DATA!$W$3:$W$10000),"No encontrado"))</f>
        <v/>
      </c>
      <c r="E4995" s="22"/>
      <c r="F4995" s="23" t="str">
        <f aca="false">IF(A4995="","",IFERROR(buscarx(A4995&amp;E4995,DATA!$E$3:$E$10000&amp;DATA!$B$3:$B$10000,DATA!$M$3:$M$10000),"Inactivo"))</f>
        <v/>
      </c>
      <c r="G4995" s="25" t="str">
        <f aca="false">IF(A4995="","",IF(AND(C4995&lt;&gt;"No encontrado",F4995&lt;&gt;"Inactivo"),C4995&amp;" → "&amp;F4995,"Sin transición"))</f>
        <v/>
      </c>
      <c r="H4995" s="23" t="str">
        <f aca="false">IF(A4995="","",IF(D4995="GCIA LINEA SERVICIO DIGITALIDAD Y VENTAS","Chats",IF(OR(D4995="GERENCIA INBOUND LÍNEAS SERVICIO Y VENTA",D4995="GERENCIA INBOUND LINEAS ESPECIALIZADAS"),"Llamadas","Otro")))</f>
        <v/>
      </c>
      <c r="I4995" s="23" t="str">
        <f aca="false">IF(A4995="","",IF(C4995="No encontrado","No","Sí"))</f>
        <v/>
      </c>
      <c r="J4995" s="23" t="str">
        <f aca="false">IF(A4995="","",IF(F4995="Inactivo","No","Sí"))</f>
        <v/>
      </c>
      <c r="K4995" s="23" t="str">
        <f aca="false">IF(A4995="","",IF(AND(I4995="Sí",J4995="Sí"),"Sí","No"))</f>
        <v/>
      </c>
    </row>
    <row r="4996" customFormat="false" ht="15" hidden="false" customHeight="false" outlineLevel="0" collapsed="false">
      <c r="A4996" s="22"/>
      <c r="B4996" s="22"/>
      <c r="C4996" s="26" t="str">
        <f aca="false">IF(A4996="","",IFERROR(buscarx(A4996&amp;B4996,DATA!$E$3:$E$10000&amp;DATA!$B$3:$B$10000,DATA!$M$3:$M$10000),"No encontrado"))</f>
        <v/>
      </c>
      <c r="D4996" s="27" t="str">
        <f aca="false">IF(A4996="","",IFERROR(buscarx(A4996&amp;B4996,DATA!$E$3:$E$10000&amp;DATA!$B$3:$B$10000,DATA!$W$3:$W$10000),"No encontrado"))</f>
        <v/>
      </c>
      <c r="E4996" s="22"/>
      <c r="F4996" s="26" t="str">
        <f aca="false">IF(A4996="","",IFERROR(buscarx(A4996&amp;E4996,DATA!$E$3:$E$10000&amp;DATA!$B$3:$B$10000,DATA!$M$3:$M$10000),"Inactivo"))</f>
        <v/>
      </c>
      <c r="G4996" s="28" t="str">
        <f aca="false">IF(A4996="","",IF(AND(C4996&lt;&gt;"No encontrado",F4996&lt;&gt;"Inactivo"),C4996&amp;" → "&amp;F4996,"Sin transición"))</f>
        <v/>
      </c>
      <c r="H4996" s="26" t="str">
        <f aca="false">IF(A4996="","",IF(D4996="GCIA LINEA SERVICIO DIGITALIDAD Y VENTAS","Chats",IF(OR(D4996="GERENCIA INBOUND LÍNEAS SERVICIO Y VENTA",D4996="GERENCIA INBOUND LINEAS ESPECIALIZADAS"),"Llamadas","Otro")))</f>
        <v/>
      </c>
      <c r="I4996" s="26" t="str">
        <f aca="false">IF(A4996="","",IF(C4996="No encontrado","No","Sí"))</f>
        <v/>
      </c>
      <c r="J4996" s="26" t="str">
        <f aca="false">IF(A4996="","",IF(F4996="Inactivo","No","Sí"))</f>
        <v/>
      </c>
      <c r="K4996" s="26" t="str">
        <f aca="false">IF(A4996="","",IF(AND(I4996="Sí",J4996="Sí"),"Sí","No"))</f>
        <v/>
      </c>
    </row>
    <row r="4997" customFormat="false" ht="15" hidden="false" customHeight="false" outlineLevel="0" collapsed="false">
      <c r="A4997" s="22"/>
      <c r="B4997" s="22"/>
      <c r="C4997" s="23" t="str">
        <f aca="false">IF(A4997="","",IFERROR(buscarx(A4997&amp;B4997,DATA!$E$3:$E$10000&amp;DATA!$B$3:$B$10000,DATA!$M$3:$M$10000),"No encontrado"))</f>
        <v/>
      </c>
      <c r="D4997" s="24" t="str">
        <f aca="false">IF(A4997="","",IFERROR(buscarx(A4997&amp;B4997,DATA!$E$3:$E$10000&amp;DATA!$B$3:$B$10000,DATA!$W$3:$W$10000),"No encontrado"))</f>
        <v/>
      </c>
      <c r="E4997" s="22"/>
      <c r="F4997" s="23" t="str">
        <f aca="false">IF(A4997="","",IFERROR(buscarx(A4997&amp;E4997,DATA!$E$3:$E$10000&amp;DATA!$B$3:$B$10000,DATA!$M$3:$M$10000),"Inactivo"))</f>
        <v/>
      </c>
      <c r="G4997" s="25" t="str">
        <f aca="false">IF(A4997="","",IF(AND(C4997&lt;&gt;"No encontrado",F4997&lt;&gt;"Inactivo"),C4997&amp;" → "&amp;F4997,"Sin transición"))</f>
        <v/>
      </c>
      <c r="H4997" s="23" t="str">
        <f aca="false">IF(A4997="","",IF(D4997="GCIA LINEA SERVICIO DIGITALIDAD Y VENTAS","Chats",IF(OR(D4997="GERENCIA INBOUND LÍNEAS SERVICIO Y VENTA",D4997="GERENCIA INBOUND LINEAS ESPECIALIZADAS"),"Llamadas","Otro")))</f>
        <v/>
      </c>
      <c r="I4997" s="23" t="str">
        <f aca="false">IF(A4997="","",IF(C4997="No encontrado","No","Sí"))</f>
        <v/>
      </c>
      <c r="J4997" s="23" t="str">
        <f aca="false">IF(A4997="","",IF(F4997="Inactivo","No","Sí"))</f>
        <v/>
      </c>
      <c r="K4997" s="23" t="str">
        <f aca="false">IF(A4997="","",IF(AND(I4997="Sí",J4997="Sí"),"Sí","No"))</f>
        <v/>
      </c>
    </row>
    <row r="4998" customFormat="false" ht="15" hidden="false" customHeight="false" outlineLevel="0" collapsed="false">
      <c r="A4998" s="22"/>
      <c r="B4998" s="22"/>
      <c r="C4998" s="26" t="str">
        <f aca="false">IF(A4998="","",IFERROR(buscarx(A4998&amp;B4998,DATA!$E$3:$E$10000&amp;DATA!$B$3:$B$10000,DATA!$M$3:$M$10000),"No encontrado"))</f>
        <v/>
      </c>
      <c r="D4998" s="27" t="str">
        <f aca="false">IF(A4998="","",IFERROR(buscarx(A4998&amp;B4998,DATA!$E$3:$E$10000&amp;DATA!$B$3:$B$10000,DATA!$W$3:$W$10000),"No encontrado"))</f>
        <v/>
      </c>
      <c r="E4998" s="22"/>
      <c r="F4998" s="26" t="str">
        <f aca="false">IF(A4998="","",IFERROR(buscarx(A4998&amp;E4998,DATA!$E$3:$E$10000&amp;DATA!$B$3:$B$10000,DATA!$M$3:$M$10000),"Inactivo"))</f>
        <v/>
      </c>
      <c r="G4998" s="28" t="str">
        <f aca="false">IF(A4998="","",IF(AND(C4998&lt;&gt;"No encontrado",F4998&lt;&gt;"Inactivo"),C4998&amp;" → "&amp;F4998,"Sin transición"))</f>
        <v/>
      </c>
      <c r="H4998" s="26" t="str">
        <f aca="false">IF(A4998="","",IF(D4998="GCIA LINEA SERVICIO DIGITALIDAD Y VENTAS","Chats",IF(OR(D4998="GERENCIA INBOUND LÍNEAS SERVICIO Y VENTA",D4998="GERENCIA INBOUND LINEAS ESPECIALIZADAS"),"Llamadas","Otro")))</f>
        <v/>
      </c>
      <c r="I4998" s="26" t="str">
        <f aca="false">IF(A4998="","",IF(C4998="No encontrado","No","Sí"))</f>
        <v/>
      </c>
      <c r="J4998" s="26" t="str">
        <f aca="false">IF(A4998="","",IF(F4998="Inactivo","No","Sí"))</f>
        <v/>
      </c>
      <c r="K4998" s="26" t="str">
        <f aca="false">IF(A4998="","",IF(AND(I4998="Sí",J4998="Sí"),"Sí","No"))</f>
        <v/>
      </c>
    </row>
    <row r="4999" customFormat="false" ht="15" hidden="false" customHeight="false" outlineLevel="0" collapsed="false">
      <c r="A4999" s="22"/>
      <c r="B4999" s="22"/>
      <c r="C4999" s="23" t="str">
        <f aca="false">IF(A4999="","",IFERROR(buscarx(A4999&amp;B4999,DATA!$E$3:$E$10000&amp;DATA!$B$3:$B$10000,DATA!$M$3:$M$10000),"No encontrado"))</f>
        <v/>
      </c>
      <c r="D4999" s="24" t="str">
        <f aca="false">IF(A4999="","",IFERROR(buscarx(A4999&amp;B4999,DATA!$E$3:$E$10000&amp;DATA!$B$3:$B$10000,DATA!$W$3:$W$10000),"No encontrado"))</f>
        <v/>
      </c>
      <c r="E4999" s="22"/>
      <c r="F4999" s="23" t="str">
        <f aca="false">IF(A4999="","",IFERROR(buscarx(A4999&amp;E4999,DATA!$E$3:$E$10000&amp;DATA!$B$3:$B$10000,DATA!$M$3:$M$10000),"Inactivo"))</f>
        <v/>
      </c>
      <c r="G4999" s="25" t="str">
        <f aca="false">IF(A4999="","",IF(AND(C4999&lt;&gt;"No encontrado",F4999&lt;&gt;"Inactivo"),C4999&amp;" → "&amp;F4999,"Sin transición"))</f>
        <v/>
      </c>
      <c r="H4999" s="23" t="str">
        <f aca="false">IF(A4999="","",IF(D4999="GCIA LINEA SERVICIO DIGITALIDAD Y VENTAS","Chats",IF(OR(D4999="GERENCIA INBOUND LÍNEAS SERVICIO Y VENTA",D4999="GERENCIA INBOUND LINEAS ESPECIALIZADAS"),"Llamadas","Otro")))</f>
        <v/>
      </c>
      <c r="I4999" s="23" t="str">
        <f aca="false">IF(A4999="","",IF(C4999="No encontrado","No","Sí"))</f>
        <v/>
      </c>
      <c r="J4999" s="23" t="str">
        <f aca="false">IF(A4999="","",IF(F4999="Inactivo","No","Sí"))</f>
        <v/>
      </c>
      <c r="K4999" s="23" t="str">
        <f aca="false">IF(A4999="","",IF(AND(I4999="Sí",J4999="Sí"),"Sí","No"))</f>
        <v/>
      </c>
    </row>
    <row r="5000" customFormat="false" ht="15" hidden="false" customHeight="false" outlineLevel="0" collapsed="false">
      <c r="A5000" s="22"/>
      <c r="B5000" s="22"/>
      <c r="C5000" s="26" t="str">
        <f aca="false">IF(A5000="","",IFERROR(buscarx(A5000&amp;B5000,DATA!$E$3:$E$10000&amp;DATA!$B$3:$B$10000,DATA!$M$3:$M$10000),"No encontrado"))</f>
        <v/>
      </c>
      <c r="D5000" s="27" t="str">
        <f aca="false">IF(A5000="","",IFERROR(buscarx(A5000&amp;B5000,DATA!$E$3:$E$10000&amp;DATA!$B$3:$B$10000,DATA!$W$3:$W$10000),"No encontrado"))</f>
        <v/>
      </c>
      <c r="E5000" s="22"/>
      <c r="F5000" s="26" t="str">
        <f aca="false">IF(A5000="","",IFERROR(buscarx(A5000&amp;E5000,DATA!$E$3:$E$10000&amp;DATA!$B$3:$B$10000,DATA!$M$3:$M$10000),"Inactivo"))</f>
        <v/>
      </c>
      <c r="G5000" s="28" t="str">
        <f aca="false">IF(A5000="","",IF(AND(C5000&lt;&gt;"No encontrado",F5000&lt;&gt;"Inactivo"),C5000&amp;" → "&amp;F5000,"Sin transición"))</f>
        <v/>
      </c>
      <c r="H5000" s="26" t="str">
        <f aca="false">IF(A5000="","",IF(D5000="GCIA LINEA SERVICIO DIGITALIDAD Y VENTAS","Chats",IF(OR(D5000="GERENCIA INBOUND LÍNEAS SERVICIO Y VENTA",D5000="GERENCIA INBOUND LINEAS ESPECIALIZADAS"),"Llamadas","Otro")))</f>
        <v/>
      </c>
      <c r="I5000" s="26" t="str">
        <f aca="false">IF(A5000="","",IF(C5000="No encontrado","No","Sí"))</f>
        <v/>
      </c>
      <c r="J5000" s="26" t="str">
        <f aca="false">IF(A5000="","",IF(F5000="Inactivo","No","Sí"))</f>
        <v/>
      </c>
      <c r="K5000" s="26" t="str">
        <f aca="false">IF(A5000="","",IF(AND(I5000="Sí",J5000="Sí"),"Sí","No"))</f>
        <v/>
      </c>
    </row>
    <row r="5001" customFormat="false" ht="15" hidden="false" customHeight="false" outlineLevel="0" collapsed="false">
      <c r="A5001" s="22"/>
      <c r="B5001" s="22"/>
      <c r="C5001" s="23" t="str">
        <f aca="false">IF(A5001="","",IFERROR(buscarx(A5001&amp;B5001,DATA!$E$3:$E$10000&amp;DATA!$B$3:$B$10000,DATA!$M$3:$M$10000),"No encontrado"))</f>
        <v/>
      </c>
      <c r="D5001" s="24" t="str">
        <f aca="false">IF(A5001="","",IFERROR(buscarx(A5001&amp;B5001,DATA!$E$3:$E$10000&amp;DATA!$B$3:$B$10000,DATA!$W$3:$W$10000),"No encontrado"))</f>
        <v/>
      </c>
      <c r="E5001" s="22"/>
      <c r="F5001" s="23" t="str">
        <f aca="false">IF(A5001="","",IFERROR(buscarx(A5001&amp;E5001,DATA!$E$3:$E$10000&amp;DATA!$B$3:$B$10000,DATA!$M$3:$M$10000),"Inactivo"))</f>
        <v/>
      </c>
      <c r="G5001" s="25" t="str">
        <f aca="false">IF(A5001="","",IF(AND(C5001&lt;&gt;"No encontrado",F5001&lt;&gt;"Inactivo"),C5001&amp;" → "&amp;F5001,"Sin transición"))</f>
        <v/>
      </c>
      <c r="H5001" s="23" t="str">
        <f aca="false">IF(A5001="","",IF(D5001="GCIA LINEA SERVICIO DIGITALIDAD Y VENTAS","Chats",IF(OR(D5001="GERENCIA INBOUND LÍNEAS SERVICIO Y VENTA",D5001="GERENCIA INBOUND LINEAS ESPECIALIZADAS"),"Llamadas","Otro")))</f>
        <v/>
      </c>
      <c r="I5001" s="23" t="str">
        <f aca="false">IF(A5001="","",IF(C5001="No encontrado","No","Sí"))</f>
        <v/>
      </c>
      <c r="J5001" s="23" t="str">
        <f aca="false">IF(A5001="","",IF(F5001="Inactivo","No","Sí"))</f>
        <v/>
      </c>
      <c r="K5001" s="23" t="str">
        <f aca="false">IF(A5001="","",IF(AND(I5001="Sí",J5001="Sí"),"Sí","No"))</f>
        <v/>
      </c>
    </row>
    <row r="5002" customFormat="false" ht="15" hidden="false" customHeight="false" outlineLevel="0" collapsed="false">
      <c r="A5002" s="22"/>
      <c r="B5002" s="22"/>
      <c r="C5002" s="26" t="str">
        <f aca="false">IF(A5002="","",IFERROR(buscarx(A5002&amp;B5002,DATA!$E$3:$E$10000&amp;DATA!$B$3:$B$10000,DATA!$M$3:$M$10000),"No encontrado"))</f>
        <v/>
      </c>
      <c r="D5002" s="27" t="str">
        <f aca="false">IF(A5002="","",IFERROR(buscarx(A5002&amp;B5002,DATA!$E$3:$E$10000&amp;DATA!$B$3:$B$10000,DATA!$W$3:$W$10000),"No encontrado"))</f>
        <v/>
      </c>
      <c r="E5002" s="22"/>
      <c r="F5002" s="26" t="str">
        <f aca="false">IF(A5002="","",IFERROR(buscarx(A5002&amp;E5002,DATA!$E$3:$E$10000&amp;DATA!$B$3:$B$10000,DATA!$M$3:$M$10000),"Inactivo"))</f>
        <v/>
      </c>
      <c r="G5002" s="28" t="str">
        <f aca="false">IF(A5002="","",IF(AND(C5002&lt;&gt;"No encontrado",F5002&lt;&gt;"Inactivo"),C5002&amp;" → "&amp;F5002,"Sin transición"))</f>
        <v/>
      </c>
      <c r="H5002" s="26" t="str">
        <f aca="false">IF(A5002="","",IF(D5002="GCIA LINEA SERVICIO DIGITALIDAD Y VENTAS","Chats",IF(OR(D5002="GERENCIA INBOUND LÍNEAS SERVICIO Y VENTA",D5002="GERENCIA INBOUND LINEAS ESPECIALIZADAS"),"Llamadas","Otro")))</f>
        <v/>
      </c>
      <c r="I5002" s="26" t="str">
        <f aca="false">IF(A5002="","",IF(C5002="No encontrado","No","Sí"))</f>
        <v/>
      </c>
      <c r="J5002" s="26" t="str">
        <f aca="false">IF(A5002="","",IF(F5002="Inactivo","No","Sí"))</f>
        <v/>
      </c>
      <c r="K5002" s="26" t="str">
        <f aca="false">IF(A5002="","",IF(AND(I5002="Sí",J5002="Sí"),"Sí","No"))</f>
        <v/>
      </c>
    </row>
    <row r="5003" customFormat="false" ht="15" hidden="false" customHeight="false" outlineLevel="0" collapsed="false">
      <c r="A5003" s="22"/>
      <c r="B5003" s="22"/>
      <c r="C5003" s="23" t="str">
        <f aca="false">IF(A5003="","",IFERROR(buscarx(A5003&amp;B5003,DATA!$E$3:$E$10000&amp;DATA!$B$3:$B$10000,DATA!$M$3:$M$10000),"No encontrado"))</f>
        <v/>
      </c>
      <c r="D5003" s="24" t="str">
        <f aca="false">IF(A5003="","",IFERROR(buscarx(A5003&amp;B5003,DATA!$E$3:$E$10000&amp;DATA!$B$3:$B$10000,DATA!$W$3:$W$10000),"No encontrado"))</f>
        <v/>
      </c>
      <c r="E5003" s="22"/>
      <c r="F5003" s="23" t="str">
        <f aca="false">IF(A5003="","",IFERROR(buscarx(A5003&amp;E5003,DATA!$E$3:$E$10000&amp;DATA!$B$3:$B$10000,DATA!$M$3:$M$10000),"Inactivo"))</f>
        <v/>
      </c>
      <c r="G5003" s="25" t="str">
        <f aca="false">IF(A5003="","",IF(AND(C5003&lt;&gt;"No encontrado",F5003&lt;&gt;"Inactivo"),C5003&amp;" → "&amp;F5003,"Sin transición"))</f>
        <v/>
      </c>
      <c r="H5003" s="23" t="str">
        <f aca="false">IF(A5003="","",IF(D5003="GCIA LINEA SERVICIO DIGITALIDAD Y VENTAS","Chats",IF(OR(D5003="GERENCIA INBOUND LÍNEAS SERVICIO Y VENTA",D5003="GERENCIA INBOUND LINEAS ESPECIALIZADAS"),"Llamadas","Otro")))</f>
        <v/>
      </c>
      <c r="I5003" s="23" t="str">
        <f aca="false">IF(A5003="","",IF(C5003="No encontrado","No","Sí"))</f>
        <v/>
      </c>
      <c r="J5003" s="23" t="str">
        <f aca="false">IF(A5003="","",IF(F5003="Inactivo","No","Sí"))</f>
        <v/>
      </c>
      <c r="K5003" s="23" t="str">
        <f aca="false">IF(A5003="","",IF(AND(I5003="Sí",J5003="Sí"),"Sí","No"))</f>
        <v/>
      </c>
    </row>
    <row r="5004" customFormat="false" ht="15" hidden="false" customHeight="false" outlineLevel="0" collapsed="false">
      <c r="A5004" s="22"/>
      <c r="B5004" s="22"/>
      <c r="C5004" s="26" t="str">
        <f aca="false">IF(A5004="","",IFERROR(buscarx(A5004&amp;B5004,DATA!$E$3:$E$10000&amp;DATA!$B$3:$B$10000,DATA!$M$3:$M$10000),"No encontrado"))</f>
        <v/>
      </c>
      <c r="D5004" s="27" t="str">
        <f aca="false">IF(A5004="","",IFERROR(buscarx(A5004&amp;B5004,DATA!$E$3:$E$10000&amp;DATA!$B$3:$B$10000,DATA!$W$3:$W$10000),"No encontrado"))</f>
        <v/>
      </c>
      <c r="E5004" s="22"/>
      <c r="F5004" s="26" t="str">
        <f aca="false">IF(A5004="","",IFERROR(buscarx(A5004&amp;E5004,DATA!$E$3:$E$10000&amp;DATA!$B$3:$B$10000,DATA!$M$3:$M$10000),"Inactivo"))</f>
        <v/>
      </c>
      <c r="G5004" s="28" t="str">
        <f aca="false">IF(A5004="","",IF(AND(C5004&lt;&gt;"No encontrado",F5004&lt;&gt;"Inactivo"),C5004&amp;" → "&amp;F5004,"Sin transición"))</f>
        <v/>
      </c>
      <c r="H5004" s="26" t="str">
        <f aca="false">IF(A5004="","",IF(D5004="GCIA LINEA SERVICIO DIGITALIDAD Y VENTAS","Chats",IF(OR(D5004="GERENCIA INBOUND LÍNEAS SERVICIO Y VENTA",D5004="GERENCIA INBOUND LINEAS ESPECIALIZADAS"),"Llamadas","Otro")))</f>
        <v/>
      </c>
      <c r="I5004" s="26" t="str">
        <f aca="false">IF(A5004="","",IF(C5004="No encontrado","No","Sí"))</f>
        <v/>
      </c>
      <c r="J5004" s="26" t="str">
        <f aca="false">IF(A5004="","",IF(F5004="Inactivo","No","Sí"))</f>
        <v/>
      </c>
      <c r="K5004" s="26" t="str">
        <f aca="false">IF(A5004="","",IF(AND(I5004="Sí",J5004="Sí"),"Sí","No"))</f>
        <v/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5"/>
  </cols>
  <sheetData>
    <row r="1" customFormat="false" ht="36" hidden="false" customHeight="true" outlineLevel="0" collapsed="false">
      <c r="A1" s="1" t="s">
        <v>72</v>
      </c>
      <c r="B1" s="1"/>
      <c r="C1" s="1"/>
    </row>
    <row r="2" customFormat="false" ht="7.5" hidden="false" customHeight="true" outlineLevel="0" collapsed="false"/>
    <row r="3" customFormat="false" ht="24" hidden="false" customHeight="true" outlineLevel="0" collapsed="false">
      <c r="A3" s="29" t="s">
        <v>73</v>
      </c>
      <c r="B3" s="29"/>
      <c r="C3" s="29"/>
    </row>
    <row r="4" customFormat="false" ht="48" hidden="false" customHeight="true" outlineLevel="0" collapsed="false">
      <c r="B4" s="30" t="s">
        <v>74</v>
      </c>
      <c r="C4" s="30"/>
    </row>
    <row r="5" customFormat="false" ht="7.5" hidden="false" customHeight="true" outlineLevel="0" collapsed="false"/>
    <row r="6" customFormat="false" ht="24" hidden="false" customHeight="true" outlineLevel="0" collapsed="false">
      <c r="A6" s="29" t="s">
        <v>75</v>
      </c>
      <c r="B6" s="29"/>
      <c r="C6" s="29"/>
    </row>
    <row r="7" customFormat="false" ht="48" hidden="false" customHeight="true" outlineLevel="0" collapsed="false">
      <c r="B7" s="30" t="s">
        <v>76</v>
      </c>
      <c r="C7" s="30"/>
    </row>
    <row r="8" customFormat="false" ht="7.5" hidden="false" customHeight="true" outlineLevel="0" collapsed="false"/>
    <row r="9" customFormat="false" ht="24" hidden="false" customHeight="true" outlineLevel="0" collapsed="false">
      <c r="A9" s="29" t="s">
        <v>77</v>
      </c>
      <c r="B9" s="29"/>
      <c r="C9" s="29"/>
    </row>
    <row r="10" customFormat="false" ht="48" hidden="false" customHeight="true" outlineLevel="0" collapsed="false">
      <c r="B10" s="30" t="s">
        <v>78</v>
      </c>
      <c r="C10" s="30"/>
    </row>
    <row r="11" customFormat="false" ht="7.5" hidden="false" customHeight="true" outlineLevel="0" collapsed="false"/>
    <row r="12" customFormat="false" ht="24" hidden="false" customHeight="true" outlineLevel="0" collapsed="false">
      <c r="A12" s="29" t="s">
        <v>79</v>
      </c>
      <c r="B12" s="29"/>
      <c r="C12" s="29"/>
    </row>
    <row r="13" customFormat="false" ht="48" hidden="false" customHeight="true" outlineLevel="0" collapsed="false">
      <c r="B13" s="30" t="s">
        <v>80</v>
      </c>
      <c r="C13" s="30"/>
    </row>
    <row r="14" customFormat="false" ht="7.5" hidden="false" customHeight="true" outlineLevel="0" collapsed="false"/>
    <row r="15" customFormat="false" ht="24" hidden="false" customHeight="true" outlineLevel="0" collapsed="false">
      <c r="A15" s="29" t="s">
        <v>81</v>
      </c>
      <c r="B15" s="29"/>
      <c r="C15" s="29"/>
    </row>
    <row r="16" customFormat="false" ht="63.75" hidden="false" customHeight="true" outlineLevel="0" collapsed="false">
      <c r="B16" s="30" t="s">
        <v>82</v>
      </c>
      <c r="C16" s="30"/>
    </row>
    <row r="17" customFormat="false" ht="7.5" hidden="false" customHeight="true" outlineLevel="0" collapsed="false"/>
    <row r="18" customFormat="false" ht="24" hidden="false" customHeight="true" outlineLevel="0" collapsed="false">
      <c r="A18" s="29" t="s">
        <v>83</v>
      </c>
      <c r="B18" s="29"/>
      <c r="C18" s="29"/>
    </row>
    <row r="19" customFormat="false" ht="48" hidden="false" customHeight="true" outlineLevel="0" collapsed="false">
      <c r="B19" s="30" t="s">
        <v>84</v>
      </c>
      <c r="C19" s="30"/>
    </row>
  </sheetData>
  <mergeCells count="13">
    <mergeCell ref="A1:C1"/>
    <mergeCell ref="A3:C3"/>
    <mergeCell ref="B4:C4"/>
    <mergeCell ref="A6:C6"/>
    <mergeCell ref="B7:C7"/>
    <mergeCell ref="A9:C9"/>
    <mergeCell ref="B10:C10"/>
    <mergeCell ref="A12:C12"/>
    <mergeCell ref="B13:C13"/>
    <mergeCell ref="A15:C15"/>
    <mergeCell ref="B16:C16"/>
    <mergeCell ref="A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2026-05-22T03:34:14Z</dcterms:created>
  <dc:creator>openpyxl</dc:creator>
  <dc:description/>
  <dc:language>en-US</dc:language>
  <cp:lastModifiedBy/>
  <dcterms:modified xsi:type="dcterms:W3CDTF">2026-05-22T03:34:25Z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